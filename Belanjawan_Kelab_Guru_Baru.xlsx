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arian" sheetId="2" state="visible" r:id="rId2"/>
    <sheet xmlns:r="http://schemas.openxmlformats.org/officeDocument/2006/relationships" name="Yuran" sheetId="3" state="visible" r:id="rId3"/>
    <sheet xmlns:r="http://schemas.openxmlformats.org/officeDocument/2006/relationships" name="Transaksi" sheetId="4" state="visible" r:id="rId4"/>
    <sheet xmlns:r="http://schemas.openxmlformats.org/officeDocument/2006/relationships" name="Tetapan" sheetId="5" state="visible" r:id="rId5"/>
    <sheet xmlns:r="http://schemas.openxmlformats.org/officeDocument/2006/relationships" name="Panduan" sheetId="6" state="visible" r:id="rId6"/>
  </sheets>
  <definedNames>
    <definedName name="_xlnm._FilterDatabase" localSheetId="3" hidden="1">'Transaksi'!$A$1:$L$2001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mmm yyyy"/>
    <numFmt numFmtId="166" formatCode="&quot;RM&quot;#,##0"/>
    <numFmt numFmtId="167" formatCode="dd mmm yyyy"/>
    <numFmt numFmtId="168" formatCode="#,##0.00;[Red]-#,##0.00;&quot;–&quot;"/>
    <numFmt numFmtId="169" formatCode="mmm yy"/>
    <numFmt numFmtId="170" formatCode="&quot;RM&quot;#,##0.00;[Red]-&quot;RM&quot;#,##0.00"/>
    <numFmt numFmtId="171" formatCode="mmmm yyyy"/>
  </numFmts>
  <fonts count="24">
    <font>
      <name val="Calibri"/>
      <family val="2"/>
      <color theme="1"/>
      <sz val="11"/>
      <scheme val="minor"/>
    </font>
    <font>
      <name val="Arial"/>
      <b val="1"/>
      <color rgb="000F172A"/>
      <sz val="18"/>
    </font>
    <font>
      <name val="Arial"/>
      <color rgb="0064748B"/>
      <sz val="9"/>
    </font>
    <font>
      <name val="Arial"/>
      <b val="1"/>
      <color rgb="0064748B"/>
      <sz val="9"/>
    </font>
    <font>
      <name val="Arial"/>
      <color rgb="000F172A"/>
      <sz val="10"/>
    </font>
    <font>
      <name val="Arial"/>
      <b val="1"/>
      <color rgb="000F172A"/>
      <sz val="10"/>
    </font>
    <font>
      <name val="Arial"/>
      <i val="1"/>
      <color rgb="0064748B"/>
      <sz val="9"/>
    </font>
    <font>
      <name val="Arial"/>
      <color rgb="0064748B"/>
      <sz val="8"/>
    </font>
    <font>
      <name val="Arial"/>
      <color rgb="0064748B"/>
      <sz val="10"/>
    </font>
    <font>
      <name val="Arial"/>
      <b val="1"/>
      <color rgb="000F172A"/>
      <sz val="12"/>
    </font>
    <font>
      <name val="Arial"/>
      <b val="1"/>
      <color rgb="0064748B"/>
      <sz val="8"/>
    </font>
    <font>
      <name val="Arial"/>
      <b val="1"/>
      <color rgb="000F766E"/>
      <sz val="20"/>
    </font>
    <font>
      <name val="Arial"/>
      <b val="1"/>
      <color rgb="0015803D"/>
      <sz val="20"/>
    </font>
    <font>
      <name val="Arial"/>
      <b val="1"/>
      <color rgb="00B91C1C"/>
      <sz val="20"/>
    </font>
    <font>
      <name val="Arial"/>
      <b val="1"/>
      <color rgb="00B45309"/>
      <sz val="20"/>
    </font>
    <font>
      <name val="Arial"/>
      <b val="1"/>
      <color rgb="000F172A"/>
      <sz val="11"/>
    </font>
    <font>
      <name val="Arial"/>
      <b val="1"/>
      <color rgb="000F766E"/>
      <sz val="10"/>
    </font>
    <font>
      <name val="Arial"/>
      <b val="1"/>
      <color rgb="0015803D"/>
      <sz val="13"/>
    </font>
    <font>
      <name val="Arial"/>
      <b val="1"/>
      <color rgb="00B91C1C"/>
      <sz val="13"/>
    </font>
    <font>
      <name val="Arial"/>
      <b val="1"/>
      <color rgb="000F172A"/>
      <sz val="13"/>
    </font>
    <font>
      <name val="Arial"/>
      <b val="1"/>
      <color rgb="000F766E"/>
      <sz val="13"/>
    </font>
    <font>
      <name val="Arial"/>
      <color rgb="0015803D"/>
      <sz val="10"/>
    </font>
    <font>
      <name val="Arial"/>
      <color rgb="00B91C1C"/>
      <sz val="10"/>
    </font>
    <font>
      <name val="Arial"/>
      <color rgb="00B91C1C"/>
      <sz val="8"/>
    </font>
  </fonts>
  <fills count="4">
    <fill>
      <patternFill/>
    </fill>
    <fill>
      <patternFill patternType="gray125"/>
    </fill>
    <fill>
      <patternFill patternType="solid">
        <fgColor rgb="00FEF9C3"/>
        <bgColor rgb="00FEF9C3"/>
      </patternFill>
    </fill>
    <fill>
      <patternFill patternType="solid">
        <fgColor rgb="00F8FAFC"/>
        <bgColor rgb="00F8FAFC"/>
      </patternFill>
    </fill>
  </fills>
  <borders count="4">
    <border>
      <left/>
      <right/>
      <top/>
      <bottom/>
      <diagonal/>
    </border>
    <border>
      <bottom style="medium">
        <color rgb="000F172A"/>
      </bottom>
    </border>
    <border>
      <bottom style="thin">
        <color rgb="00E5E7EB"/>
      </bottom>
    </border>
    <border>
      <left/>
      <right/>
      <top/>
      <bottom style="medium">
        <color rgb="000F172A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170" fontId="11" fillId="3" borderId="0" applyAlignment="1" pivotButton="0" quotePrefix="0" xfId="0">
      <alignment horizontal="left" vertical="center" indent="1"/>
    </xf>
    <xf numFmtId="170" fontId="12" fillId="3" borderId="0" applyAlignment="1" pivotButton="0" quotePrefix="0" xfId="0">
      <alignment horizontal="left" vertical="center" indent="1"/>
    </xf>
    <xf numFmtId="170" fontId="13" fillId="3" borderId="0" applyAlignment="1" pivotButton="0" quotePrefix="0" xfId="0">
      <alignment horizontal="left" vertical="center" indent="1"/>
    </xf>
    <xf numFmtId="170" fontId="14" fillId="3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top" wrapText="1" indent="1"/>
    </xf>
    <xf numFmtId="0" fontId="15" fillId="0" borderId="0" pivotButton="0" quotePrefix="0" xfId="0"/>
    <xf numFmtId="171" fontId="16" fillId="2" borderId="0" applyAlignment="1" pivotButton="0" quotePrefix="0" xfId="0">
      <alignment horizontal="center"/>
    </xf>
    <xf numFmtId="0" fontId="7" fillId="0" borderId="0" pivotButton="0" quotePrefix="0" xfId="0"/>
    <xf numFmtId="170" fontId="17" fillId="3" borderId="0" applyAlignment="1" pivotButton="0" quotePrefix="0" xfId="0">
      <alignment horizontal="left" vertical="center" indent="1"/>
    </xf>
    <xf numFmtId="170" fontId="18" fillId="3" borderId="0" applyAlignment="1" pivotButton="0" quotePrefix="0" xfId="0">
      <alignment horizontal="left" vertical="center" indent="1"/>
    </xf>
    <xf numFmtId="170" fontId="19" fillId="3" borderId="0" applyAlignment="1" pivotButton="0" quotePrefix="0" xfId="0">
      <alignment horizontal="left" vertical="center" indent="1"/>
    </xf>
    <xf numFmtId="1" fontId="19" fillId="3" borderId="0" applyAlignment="1" pivotButton="0" quotePrefix="0" xfId="0">
      <alignment horizontal="left" vertical="center" indent="1"/>
    </xf>
    <xf numFmtId="49" fontId="20" fillId="3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65" fontId="4" fillId="0" borderId="2" applyAlignment="1" pivotButton="0" quotePrefix="0" xfId="0">
      <alignment horizontal="left"/>
    </xf>
    <xf numFmtId="168" fontId="21" fillId="0" borderId="2" pivotButton="0" quotePrefix="0" xfId="0"/>
    <xf numFmtId="168" fontId="22" fillId="0" borderId="2" pivotButton="0" quotePrefix="0" xfId="0"/>
    <xf numFmtId="168" fontId="4" fillId="0" borderId="2" pivotButton="0" quotePrefix="0" xfId="0"/>
    <xf numFmtId="168" fontId="5" fillId="0" borderId="2" pivotButton="0" quotePrefix="0" xfId="0"/>
    <xf numFmtId="0" fontId="5" fillId="3" borderId="0" pivotButton="0" quotePrefix="0" xfId="0"/>
    <xf numFmtId="168" fontId="5" fillId="3" borderId="0" pivotButton="0" quotePrefix="0" xfId="0"/>
    <xf numFmtId="0" fontId="0" fillId="0" borderId="3" pivotButton="0" quotePrefix="0" xfId="0"/>
    <xf numFmtId="0" fontId="4" fillId="0" borderId="2" pivotButton="0" quotePrefix="0" xfId="0"/>
    <xf numFmtId="9" fontId="4" fillId="0" borderId="2" pivotButton="0" quotePrefix="0" xfId="0"/>
    <xf numFmtId="0" fontId="23" fillId="0" borderId="2" pivotButton="0" quotePrefix="0" xfId="0"/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168" fontId="4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 wrapText="1"/>
    </xf>
    <xf numFmtId="0" fontId="0" fillId="0" borderId="2" pivotButton="0" quotePrefix="0" xfId="0"/>
    <xf numFmtId="0" fontId="9" fillId="0" borderId="0" pivotButton="0" quotePrefix="0" xfId="0"/>
    <xf numFmtId="169" fontId="10" fillId="0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2" applyAlignment="1" pivotButton="0" quotePrefix="0" xfId="0">
      <alignment horizontal="center"/>
    </xf>
    <xf numFmtId="167" fontId="4" fillId="0" borderId="2" applyAlignment="1" pivotButton="0" quotePrefix="0" xfId="0">
      <alignment horizontal="left"/>
    </xf>
    <xf numFmtId="165" fontId="4" fillId="0" borderId="2" applyAlignment="1" pivotButton="0" quotePrefix="0" xfId="0">
      <alignment horizontal="center"/>
    </xf>
    <xf numFmtId="168" fontId="8" fillId="0" borderId="2" pivotButton="0" quotePrefix="0" xfId="0"/>
    <xf numFmtId="0" fontId="2" fillId="0" borderId="2" pivotButton="0" quotePrefix="0" xfId="0"/>
    <xf numFmtId="165" fontId="4" fillId="2" borderId="2" applyAlignment="1" pivotButton="0" quotePrefix="0" xfId="0">
      <alignment horizontal="center"/>
    </xf>
    <xf numFmtId="166" fontId="4" fillId="0" borderId="2" applyAlignment="1" pivotButton="0" quotePrefix="0" xfId="0">
      <alignment horizontal="center"/>
    </xf>
    <xf numFmtId="0" fontId="5" fillId="0" borderId="0" pivotButton="0" quotePrefix="0" xfId="0"/>
    <xf numFmtId="165" fontId="4" fillId="2" borderId="0" applyAlignment="1" pivotButton="0" quotePrefix="0" xfId="0">
      <alignment horizontal="center"/>
    </xf>
    <xf numFmtId="0" fontId="6" fillId="0" borderId="0" pivotButton="0" quotePrefix="0" xfId="0"/>
    <xf numFmtId="0" fontId="16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16">
    <dxf>
      <font>
        <name val="Arial"/>
        <b val="1"/>
        <color rgb="00B91C1C"/>
      </font>
    </dxf>
    <dxf>
      <fill>
        <patternFill patternType="solid">
          <fgColor rgb="00ECFDF5"/>
          <bgColor rgb="00ECFDF5"/>
        </patternFill>
      </fill>
    </dxf>
    <dxf>
      <font>
        <name val="Arial"/>
        <b val="1"/>
        <color rgb="000F766E"/>
      </font>
      <fill>
        <patternFill patternType="solid">
          <fgColor rgb="00ECFDF5"/>
          <bgColor rgb="00ECFDF5"/>
        </patternFill>
      </fill>
    </dxf>
    <dxf>
      <font>
        <name val="Arial"/>
        <color rgb="0015803D"/>
      </font>
    </dxf>
    <dxf>
      <font>
        <name val="Arial"/>
        <color rgb="00B91C1C"/>
      </font>
    </dxf>
    <dxf>
      <font>
        <name val="Arial"/>
        <b val="1"/>
        <color rgb="0015803D"/>
      </font>
    </dxf>
    <dxf>
      <font>
        <name val="Arial"/>
        <color rgb="0064748B"/>
      </font>
    </dxf>
    <dxf>
      <font>
        <name val="Arial"/>
        <b val="1"/>
        <color rgb="00B91C1C"/>
      </font>
      <fill>
        <patternFill patternType="solid">
          <fgColor rgb="00FEE2E2"/>
          <bgColor rgb="00FEE2E2"/>
        </patternFill>
      </fill>
    </dxf>
    <dxf>
      <font>
        <name val="Arial"/>
        <color rgb="0015803D"/>
        <sz val="9"/>
      </font>
    </dxf>
    <dxf>
      <font>
        <name val="Arial"/>
        <b val="1"/>
        <color rgb="0015803D"/>
      </font>
      <fill>
        <patternFill patternType="solid">
          <fgColor rgb="00DCFCE7"/>
          <bgColor rgb="00DCFCE7"/>
        </patternFill>
      </fill>
    </dxf>
    <dxf>
      <font>
        <name val="Arial"/>
        <b val="1"/>
        <color rgb="00B45309"/>
      </font>
      <fill>
        <patternFill patternType="solid">
          <fgColor rgb="00FEF3C7"/>
          <bgColor rgb="00FEF3C7"/>
        </patternFill>
      </fill>
    </dxf>
    <dxf>
      <font>
        <name val="Arial"/>
        <color rgb="00CBD5E1"/>
      </font>
    </dxf>
    <dxf>
      <fill>
        <patternFill patternType="solid">
          <fgColor rgb="00F8FAFC"/>
          <bgColor rgb="00F8FAFC"/>
        </patternFill>
      </fill>
    </dxf>
    <dxf>
      <font>
        <name val="Arial"/>
        <b val="1"/>
      </font>
    </dxf>
    <dxf>
      <fill>
        <patternFill patternType="solid">
          <fgColor rgb="00FEF3C7"/>
          <bgColor rgb="00FEF3C7"/>
        </patternFill>
      </fill>
    </dxf>
    <dxf>
      <font>
        <name val="Arial"/>
        <b val="1"/>
        <color rgb="00B4530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>
                <a:solidFill>
                  <a:srgbClr val="0F172A"/>
                </a:solidFill>
              </a:rPr>
              <a:t>Masuk &amp; keluar setiap bulan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'Dashboard'!C51</f>
            </strRef>
          </tx>
          <spPr>
            <a:solidFill xmlns:a="http://schemas.openxmlformats.org/drawingml/2006/main">
              <a:srgbClr val="16A34A"/>
            </a:solidFill>
            <a:ln xmlns:a="http://schemas.openxmlformats.org/drawingml/2006/main">
              <a:prstDash val="solid"/>
            </a:ln>
          </spPr>
          <cat>
            <numRef>
              <f>'Dashboard'!$B$52:$B$70</f>
            </numRef>
          </cat>
          <val>
            <numRef>
              <f>'Dashboard'!$C$52:$C$70</f>
            </numRef>
          </val>
        </ser>
        <ser>
          <idx val="1"/>
          <order val="1"/>
          <tx>
            <strRef>
              <f>'Dashboard'!D51</f>
            </strRef>
          </tx>
          <spPr>
            <a:solidFill xmlns:a="http://schemas.openxmlformats.org/drawingml/2006/main">
              <a:srgbClr val="DC2626"/>
            </a:solidFill>
            <a:ln xmlns:a="http://schemas.openxmlformats.org/drawingml/2006/main">
              <a:prstDash val="solid"/>
            </a:ln>
          </spPr>
          <cat>
            <numRef>
              <f>'Dashboard'!$B$52:$B$70</f>
            </numRef>
          </cat>
          <val>
            <numRef>
              <f>'Dashboard'!$D$52:$D$70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numFmt formatCode="mmm 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>
                <a:solidFill>
                  <a:srgbClr val="0F172A"/>
                </a:solidFill>
              </a:rPr>
              <a:t>Baki akhir bulan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'Dashboard'!F51</f>
            </strRef>
          </tx>
          <spPr>
            <a:ln xmlns:a="http://schemas.openxmlformats.org/drawingml/2006/main" w="28000">
              <a:solidFill>
                <a:srgbClr val="0F76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'Dashboard'!$B$52:$B$70</f>
            </numRef>
          </cat>
          <val>
            <numRef>
              <f>'Dashboard'!$F$52:$F$70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 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>
                <a:solidFill>
                  <a:srgbClr val="0F172A"/>
                </a:solidFill>
              </a:rPr>
              <a:t>Sumber wang masuk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'Dashboard'!G51</f>
            </strRef>
          </tx>
          <spPr>
            <a:solidFill xmlns:a="http://schemas.openxmlformats.org/drawingml/2006/main">
              <a:srgbClr val="0F766E"/>
            </a:solidFill>
            <a:ln xmlns:a="http://schemas.openxmlformats.org/drawingml/2006/main">
              <a:prstDash val="solid"/>
            </a:ln>
          </spPr>
          <cat>
            <numRef>
              <f>'Dashboard'!$B$52:$B$70</f>
            </numRef>
          </cat>
          <val>
            <numRef>
              <f>'Dashboard'!$G$52:$G$70</f>
            </numRef>
          </val>
        </ser>
        <ser>
          <idx val="1"/>
          <order val="1"/>
          <tx>
            <strRef>
              <f>'Dashboard'!H51</f>
            </strRef>
          </tx>
          <spPr>
            <a:solidFill xmlns:a="http://schemas.openxmlformats.org/drawingml/2006/main">
              <a:srgbClr val="38BDF8"/>
            </a:solidFill>
            <a:ln xmlns:a="http://schemas.openxmlformats.org/drawingml/2006/main">
              <a:prstDash val="solid"/>
            </a:ln>
          </spPr>
          <cat>
            <numRef>
              <f>'Dashboard'!$B$52:$B$70</f>
            </numRef>
          </cat>
          <val>
            <numRef>
              <f>'Dashboard'!$H$52:$H$70</f>
            </numRef>
          </val>
        </ser>
        <ser>
          <idx val="2"/>
          <order val="2"/>
          <tx>
            <strRef>
              <f>'Dashboard'!I51</f>
            </strRef>
          </tx>
          <spPr>
            <a:solidFill xmlns:a="http://schemas.openxmlformats.org/drawingml/2006/main">
              <a:srgbClr val="A3A3A3"/>
            </a:solidFill>
            <a:ln xmlns:a="http://schemas.openxmlformats.org/drawingml/2006/main">
              <a:prstDash val="solid"/>
            </a:ln>
          </spPr>
          <cat>
            <numRef>
              <f>'Dashboard'!$B$52:$B$70</f>
            </numRef>
          </cat>
          <val>
            <numRef>
              <f>'Dashboard'!$I$52:$I$70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mmm 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>
                <a:solidFill>
                  <a:srgbClr val="0F172A"/>
                </a:solidFill>
              </a:rPr>
              <a:t>Perbelanjaan mengikut kategori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DC2626"/>
            </a:solidFill>
            <a:ln xmlns:a="http://schemas.openxmlformats.org/drawingml/2006/main">
              <a:prstDash val="solid"/>
            </a:ln>
          </spPr>
          <cat>
            <numRef>
              <f>'Dashboard'!$B$76:$B$82</f>
            </numRef>
          </cat>
          <val>
            <numRef>
              <f>'Dashboard'!$C$76:$C$82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numFmt formatCode="mmm 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4392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14</row>
      <rowOff>0</rowOff>
    </from>
    <ext cx="4392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30</row>
      <rowOff>0</rowOff>
    </from>
    <ext cx="4392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30</row>
      <rowOff>0</rowOff>
    </from>
    <ext cx="4392000" cy="259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B1:M82"/>
  <sheetViews>
    <sheetView showGridLines="0" zoomScale="100" workbookViewId="0">
      <selection activeCell="A1" sqref="A1"/>
    </sheetView>
  </sheetViews>
  <sheetFormatPr baseColWidth="8" defaultRowHeight="15"/>
  <cols>
    <col width="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2" customWidth="1" min="14" max="14"/>
  </cols>
  <sheetData>
    <row r="1" ht="30" customHeight="1">
      <c r="B1" s="1" t="inlineStr">
        <is>
          <t>Belanjawan Kelab Guru</t>
        </is>
      </c>
    </row>
    <row r="2">
      <c r="B2" s="2">
        <f>"Dikemas kini "&amp;TEXT(TODAY(),"d mmm yyyy")&amp;"  ·  data daripada tab Transaksi"</f>
        <v/>
      </c>
    </row>
    <row r="4" ht="20" customHeight="1">
      <c r="B4" s="3" t="inlineStr">
        <is>
          <t>BAKI SEMASA</t>
        </is>
      </c>
      <c r="C4" s="4" t="n"/>
      <c r="D4" s="4" t="n"/>
      <c r="E4" s="3" t="inlineStr">
        <is>
          <t>JUMLAH MASUK</t>
        </is>
      </c>
      <c r="F4" s="4" t="n"/>
      <c r="G4" s="4" t="n"/>
      <c r="H4" s="3" t="inlineStr">
        <is>
          <t>JUMLAH KELUAR</t>
        </is>
      </c>
      <c r="I4" s="4" t="n"/>
      <c r="J4" s="4" t="n"/>
      <c r="K4" s="3" t="inlineStr">
        <is>
          <t>YURAN BELUM BAYAR</t>
        </is>
      </c>
      <c r="L4" s="4" t="n"/>
      <c r="M4" s="4" t="n"/>
    </row>
    <row r="5" ht="34" customHeight="1">
      <c r="B5" s="5">
        <f>SUM(Transaksi!$G$2:$I$2001)-SUM(Transaksi!$J$2:$J$2001)</f>
        <v/>
      </c>
      <c r="C5" s="4" t="n"/>
      <c r="D5" s="4" t="n"/>
      <c r="E5" s="6">
        <f>SUM(Transaksi!$G$2:$I$2001)</f>
        <v/>
      </c>
      <c r="F5" s="4" t="n"/>
      <c r="G5" s="4" t="n"/>
      <c r="H5" s="7">
        <f>SUM(Transaksi!$J$2:$J$2001)</f>
        <v/>
      </c>
      <c r="I5" s="4" t="n"/>
      <c r="J5" s="4" t="n"/>
      <c r="K5" s="8">
        <f>SUM(Yuran!$X$5:$X$24)</f>
        <v/>
      </c>
      <c r="L5" s="4" t="n"/>
      <c r="M5" s="4" t="n"/>
    </row>
    <row r="6" ht="16" customHeight="1">
      <c r="K6" s="9" t="inlineStr">
        <is>
          <t>anggaran, ikut jadual Yuran</t>
        </is>
      </c>
      <c r="L6" s="4" t="n"/>
      <c r="M6" s="4" t="n"/>
    </row>
    <row r="8">
      <c r="B8" s="10" t="inlineStr">
        <is>
          <t>Lihat bulan</t>
        </is>
      </c>
      <c r="C8" s="11">
        <f>DATE(YEAR(TODAY()),MONTH(TODAY()),1)</f>
        <v/>
      </c>
      <c r="E8" s="12" t="inlineStr">
        <is>
          <t>◂ pilih bulan daripada senarai</t>
        </is>
      </c>
    </row>
    <row r="10" ht="18" customHeight="1">
      <c r="B10" s="3" t="inlineStr">
        <is>
          <t>MASUK</t>
        </is>
      </c>
      <c r="C10" s="4" t="n"/>
      <c r="D10" s="3" t="inlineStr">
        <is>
          <t>KELUAR</t>
        </is>
      </c>
      <c r="E10" s="4" t="n"/>
      <c r="F10" s="3" t="inlineStr">
        <is>
          <t>BERSIH</t>
        </is>
      </c>
      <c r="G10" s="4" t="n"/>
      <c r="H10" s="3" t="inlineStr">
        <is>
          <t>BIL. REKOD</t>
        </is>
      </c>
      <c r="I10" s="4" t="n"/>
      <c r="J10" s="3" t="inlineStr">
        <is>
          <t>KELAB DIBAYAR</t>
        </is>
      </c>
      <c r="K10" s="4" t="n"/>
      <c r="L10" s="3" t="inlineStr">
        <is>
          <t>BELANJA TERBESAR</t>
        </is>
      </c>
      <c r="M10" s="4" t="n"/>
    </row>
    <row r="11" ht="26" customHeight="1">
      <c r="B11" s="13">
        <f>SUMIFS(Transaksi!$G$2:$G$2001,Transaksi!$A$2:$A$2001,"&gt;="&amp;$C$8,Transaksi!$A$2:$A$2001,"&lt;"&amp;EDATE($C$8,1))+SUMIFS(Transaksi!$H$2:$H$2001,Transaksi!$A$2:$A$2001,"&gt;="&amp;$C$8,Transaksi!$A$2:$A$2001,"&lt;"&amp;EDATE($C$8,1))+SUMIFS(Transaksi!$I$2:$I$2001,Transaksi!$A$2:$A$2001,"&gt;="&amp;$C$8,Transaksi!$A$2:$A$2001,"&lt;"&amp;EDATE($C$8,1))</f>
        <v/>
      </c>
      <c r="C11" s="4" t="n"/>
      <c r="D11" s="14">
        <f>SUMIFS(Transaksi!$J$2:$J$2001,Transaksi!$A$2:$A$2001,"&gt;="&amp;$C$8,Transaksi!$A$2:$A$2001,"&lt;"&amp;EDATE($C$8,1))</f>
        <v/>
      </c>
      <c r="E11" s="4" t="n"/>
      <c r="F11" s="15">
        <f>SUMIFS(Transaksi!$G$2:$G$2001,Transaksi!$A$2:$A$2001,"&gt;="&amp;$C$8,Transaksi!$A$2:$A$2001,"&lt;"&amp;EDATE($C$8,1))+SUMIFS(Transaksi!$H$2:$H$2001,Transaksi!$A$2:$A$2001,"&gt;="&amp;$C$8,Transaksi!$A$2:$A$2001,"&lt;"&amp;EDATE($C$8,1))+SUMIFS(Transaksi!$I$2:$I$2001,Transaksi!$A$2:$A$2001,"&gt;="&amp;$C$8,Transaksi!$A$2:$A$2001,"&lt;"&amp;EDATE($C$8,1))-(SUMIFS(Transaksi!$J$2:$J$2001,Transaksi!$A$2:$A$2001,"&gt;="&amp;$C$8,Transaksi!$A$2:$A$2001,"&lt;"&amp;EDATE($C$8,1)))</f>
        <v/>
      </c>
      <c r="G11" s="4" t="n"/>
      <c r="H11" s="16">
        <f>COUNTIFS(Transaksi!$A$2:$A$2001,"&gt;="&amp;$C$8,Transaksi!$A$2:$A$2001,"&lt;"&amp;EDATE($C$8,1))</f>
        <v/>
      </c>
      <c r="I11" s="4" t="n"/>
      <c r="J11" s="17">
        <f>COUNTIF(INDEX(Yuran!$B$29:$T$48,0,MATCH($C$8,Yuran!$B$28:$T$28,0)),"✓")&amp;" / "&amp;(COUNTIF(INDEX(Yuran!$B$29:$T$48,0,MATCH($C$8,Yuran!$B$28:$T$28,0)),"✓")+COUNTIF(INDEX(Yuran!$B$29:$T$48,0,MATCH($C$8,Yuran!$B$28:$T$28,0)),"✗")+COUNTIF(INDEX(Yuran!$B$29:$T$48,0,MATCH($C$8,Yuran!$B$28:$T$28,0)),"½"))&amp;" ahli"</f>
        <v/>
      </c>
      <c r="K11" s="4" t="n"/>
      <c r="L11" s="14">
        <f>SUMPRODUCT(MAX((Transaksi!$J$2:$J$2001)*(Transaksi!$A$2:$A$2001&gt;=$C$8)*(Transaksi!$A$2:$A$2001&lt;EDATE($C$8,1))))</f>
        <v/>
      </c>
      <c r="M11" s="4" t="n"/>
    </row>
    <row r="12" ht="26" customHeight="1">
      <c r="L12" s="9">
        <f>IF(SUMPRODUCT(MAX((Transaksi!$J$2:$J$2001)*(Transaksi!$A$2:$A$2001&gt;=$C$8)*(Transaksi!$A$2:$A$2001&lt;EDATE($C$8,1))))=0,"-",INDEX(Transaksi!$B$1:$B$2001,SUMPRODUCT(MAX((Transaksi!$J$2:$J$2001=SUMPRODUCT(MAX((Transaksi!$J$2:$J$2001)*(Transaksi!$A$2:$A$2001&gt;=$C$8)*(Transaksi!$A$2:$A$2001&lt;EDATE($C$8,1)))))*(Transaksi!$A$2:$A$2001&gt;=$C$8)*(Transaksi!$A$2:$A$2001&lt;EDATE($C$8,1))*ROW(Transaksi!$J$2:$J$2001)))))</f>
        <v/>
      </c>
      <c r="M12" s="4" t="n"/>
    </row>
    <row r="14">
      <c r="B14" s="10" t="inlineStr">
        <is>
          <t>Graf</t>
        </is>
      </c>
    </row>
    <row r="49">
      <c r="B49" s="10" t="inlineStr">
        <is>
          <t>Pergerakan bulanan</t>
        </is>
      </c>
    </row>
    <row r="51" ht="22" customHeight="1">
      <c r="B51" s="18" t="inlineStr">
        <is>
          <t>Bulan</t>
        </is>
      </c>
      <c r="C51" s="19" t="inlineStr">
        <is>
          <t>Masuk</t>
        </is>
      </c>
      <c r="D51" s="19" t="inlineStr">
        <is>
          <t>Keluar</t>
        </is>
      </c>
      <c r="E51" s="19" t="inlineStr">
        <is>
          <t>Bersih</t>
        </is>
      </c>
      <c r="F51" s="19" t="inlineStr">
        <is>
          <t>Baki akhir</t>
        </is>
      </c>
      <c r="G51" s="19" t="inlineStr">
        <is>
          <t>Kelab</t>
        </is>
      </c>
      <c r="H51" s="19" t="inlineStr">
        <is>
          <t>Lawatan</t>
        </is>
      </c>
      <c r="I51" s="19" t="inlineStr">
        <is>
          <t>Lain</t>
        </is>
      </c>
    </row>
    <row r="52">
      <c r="B52" s="20">
        <f>EDATE(Tetapan!$B$28,0)</f>
        <v/>
      </c>
      <c r="C52" s="21">
        <f>SUMIFS(Transaksi!$G$2:$G$2001,Transaksi!$A$2:$A$2001,"&gt;="&amp;$B52,Transaksi!$A$2:$A$2001,"&lt;"&amp;EDATE($B52,1))+SUMIFS(Transaksi!$H$2:$H$2001,Transaksi!$A$2:$A$2001,"&gt;="&amp;$B52,Transaksi!$A$2:$A$2001,"&lt;"&amp;EDATE($B52,1))+SUMIFS(Transaksi!$I$2:$I$2001,Transaksi!$A$2:$A$2001,"&gt;="&amp;$B52,Transaksi!$A$2:$A$2001,"&lt;"&amp;EDATE($B52,1))</f>
        <v/>
      </c>
      <c r="D52" s="22">
        <f>SUMIFS(Transaksi!$J$2:$J$2001,Transaksi!$A$2:$A$2001,"&gt;="&amp;$B52,Transaksi!$A$2:$A$2001,"&lt;"&amp;EDATE($B52,1))</f>
        <v/>
      </c>
      <c r="E52" s="23">
        <f>C52-D52</f>
        <v/>
      </c>
      <c r="F52" s="24">
        <f>SUM(E$52:E52)</f>
        <v/>
      </c>
      <c r="G52" s="23">
        <f>SUMIFS(Transaksi!$G$2:$G$2001,Transaksi!$A$2:$A$2001,"&gt;="&amp;$B52,Transaksi!$A$2:$A$2001,"&lt;"&amp;EDATE($B52,1))</f>
        <v/>
      </c>
      <c r="H52" s="23">
        <f>SUMIFS(Transaksi!$H$2:$H$2001,Transaksi!$A$2:$A$2001,"&gt;="&amp;$B52,Transaksi!$A$2:$A$2001,"&lt;"&amp;EDATE($B52,1))</f>
        <v/>
      </c>
      <c r="I52" s="23">
        <f>SUMIFS(Transaksi!$I$2:$I$2001,Transaksi!$A$2:$A$2001,"&gt;="&amp;$B52,Transaksi!$A$2:$A$2001,"&lt;"&amp;EDATE($B52,1))</f>
        <v/>
      </c>
    </row>
    <row r="53">
      <c r="B53" s="20">
        <f>EDATE(Tetapan!$B$28,1)</f>
        <v/>
      </c>
      <c r="C53" s="21">
        <f>SUMIFS(Transaksi!$G$2:$G$2001,Transaksi!$A$2:$A$2001,"&gt;="&amp;$B53,Transaksi!$A$2:$A$2001,"&lt;"&amp;EDATE($B53,1))+SUMIFS(Transaksi!$H$2:$H$2001,Transaksi!$A$2:$A$2001,"&gt;="&amp;$B53,Transaksi!$A$2:$A$2001,"&lt;"&amp;EDATE($B53,1))+SUMIFS(Transaksi!$I$2:$I$2001,Transaksi!$A$2:$A$2001,"&gt;="&amp;$B53,Transaksi!$A$2:$A$2001,"&lt;"&amp;EDATE($B53,1))</f>
        <v/>
      </c>
      <c r="D53" s="22">
        <f>SUMIFS(Transaksi!$J$2:$J$2001,Transaksi!$A$2:$A$2001,"&gt;="&amp;$B53,Transaksi!$A$2:$A$2001,"&lt;"&amp;EDATE($B53,1))</f>
        <v/>
      </c>
      <c r="E53" s="23">
        <f>C53-D53</f>
        <v/>
      </c>
      <c r="F53" s="24">
        <f>SUM(E$52:E53)</f>
        <v/>
      </c>
      <c r="G53" s="23">
        <f>SUMIFS(Transaksi!$G$2:$G$2001,Transaksi!$A$2:$A$2001,"&gt;="&amp;$B53,Transaksi!$A$2:$A$2001,"&lt;"&amp;EDATE($B53,1))</f>
        <v/>
      </c>
      <c r="H53" s="23">
        <f>SUMIFS(Transaksi!$H$2:$H$2001,Transaksi!$A$2:$A$2001,"&gt;="&amp;$B53,Transaksi!$A$2:$A$2001,"&lt;"&amp;EDATE($B53,1))</f>
        <v/>
      </c>
      <c r="I53" s="23">
        <f>SUMIFS(Transaksi!$I$2:$I$2001,Transaksi!$A$2:$A$2001,"&gt;="&amp;$B53,Transaksi!$A$2:$A$2001,"&lt;"&amp;EDATE($B53,1))</f>
        <v/>
      </c>
    </row>
    <row r="54">
      <c r="B54" s="20">
        <f>EDATE(Tetapan!$B$28,2)</f>
        <v/>
      </c>
      <c r="C54" s="21">
        <f>SUMIFS(Transaksi!$G$2:$G$2001,Transaksi!$A$2:$A$2001,"&gt;="&amp;$B54,Transaksi!$A$2:$A$2001,"&lt;"&amp;EDATE($B54,1))+SUMIFS(Transaksi!$H$2:$H$2001,Transaksi!$A$2:$A$2001,"&gt;="&amp;$B54,Transaksi!$A$2:$A$2001,"&lt;"&amp;EDATE($B54,1))+SUMIFS(Transaksi!$I$2:$I$2001,Transaksi!$A$2:$A$2001,"&gt;="&amp;$B54,Transaksi!$A$2:$A$2001,"&lt;"&amp;EDATE($B54,1))</f>
        <v/>
      </c>
      <c r="D54" s="22">
        <f>SUMIFS(Transaksi!$J$2:$J$2001,Transaksi!$A$2:$A$2001,"&gt;="&amp;$B54,Transaksi!$A$2:$A$2001,"&lt;"&amp;EDATE($B54,1))</f>
        <v/>
      </c>
      <c r="E54" s="23">
        <f>C54-D54</f>
        <v/>
      </c>
      <c r="F54" s="24">
        <f>SUM(E$52:E54)</f>
        <v/>
      </c>
      <c r="G54" s="23">
        <f>SUMIFS(Transaksi!$G$2:$G$2001,Transaksi!$A$2:$A$2001,"&gt;="&amp;$B54,Transaksi!$A$2:$A$2001,"&lt;"&amp;EDATE($B54,1))</f>
        <v/>
      </c>
      <c r="H54" s="23">
        <f>SUMIFS(Transaksi!$H$2:$H$2001,Transaksi!$A$2:$A$2001,"&gt;="&amp;$B54,Transaksi!$A$2:$A$2001,"&lt;"&amp;EDATE($B54,1))</f>
        <v/>
      </c>
      <c r="I54" s="23">
        <f>SUMIFS(Transaksi!$I$2:$I$2001,Transaksi!$A$2:$A$2001,"&gt;="&amp;$B54,Transaksi!$A$2:$A$2001,"&lt;"&amp;EDATE($B54,1))</f>
        <v/>
      </c>
    </row>
    <row r="55">
      <c r="B55" s="20">
        <f>EDATE(Tetapan!$B$28,3)</f>
        <v/>
      </c>
      <c r="C55" s="21">
        <f>SUMIFS(Transaksi!$G$2:$G$2001,Transaksi!$A$2:$A$2001,"&gt;="&amp;$B55,Transaksi!$A$2:$A$2001,"&lt;"&amp;EDATE($B55,1))+SUMIFS(Transaksi!$H$2:$H$2001,Transaksi!$A$2:$A$2001,"&gt;="&amp;$B55,Transaksi!$A$2:$A$2001,"&lt;"&amp;EDATE($B55,1))+SUMIFS(Transaksi!$I$2:$I$2001,Transaksi!$A$2:$A$2001,"&gt;="&amp;$B55,Transaksi!$A$2:$A$2001,"&lt;"&amp;EDATE($B55,1))</f>
        <v/>
      </c>
      <c r="D55" s="22">
        <f>SUMIFS(Transaksi!$J$2:$J$2001,Transaksi!$A$2:$A$2001,"&gt;="&amp;$B55,Transaksi!$A$2:$A$2001,"&lt;"&amp;EDATE($B55,1))</f>
        <v/>
      </c>
      <c r="E55" s="23">
        <f>C55-D55</f>
        <v/>
      </c>
      <c r="F55" s="24">
        <f>SUM(E$52:E55)</f>
        <v/>
      </c>
      <c r="G55" s="23">
        <f>SUMIFS(Transaksi!$G$2:$G$2001,Transaksi!$A$2:$A$2001,"&gt;="&amp;$B55,Transaksi!$A$2:$A$2001,"&lt;"&amp;EDATE($B55,1))</f>
        <v/>
      </c>
      <c r="H55" s="23">
        <f>SUMIFS(Transaksi!$H$2:$H$2001,Transaksi!$A$2:$A$2001,"&gt;="&amp;$B55,Transaksi!$A$2:$A$2001,"&lt;"&amp;EDATE($B55,1))</f>
        <v/>
      </c>
      <c r="I55" s="23">
        <f>SUMIFS(Transaksi!$I$2:$I$2001,Transaksi!$A$2:$A$2001,"&gt;="&amp;$B55,Transaksi!$A$2:$A$2001,"&lt;"&amp;EDATE($B55,1))</f>
        <v/>
      </c>
    </row>
    <row r="56">
      <c r="B56" s="20">
        <f>EDATE(Tetapan!$B$28,4)</f>
        <v/>
      </c>
      <c r="C56" s="21">
        <f>SUMIFS(Transaksi!$G$2:$G$2001,Transaksi!$A$2:$A$2001,"&gt;="&amp;$B56,Transaksi!$A$2:$A$2001,"&lt;"&amp;EDATE($B56,1))+SUMIFS(Transaksi!$H$2:$H$2001,Transaksi!$A$2:$A$2001,"&gt;="&amp;$B56,Transaksi!$A$2:$A$2001,"&lt;"&amp;EDATE($B56,1))+SUMIFS(Transaksi!$I$2:$I$2001,Transaksi!$A$2:$A$2001,"&gt;="&amp;$B56,Transaksi!$A$2:$A$2001,"&lt;"&amp;EDATE($B56,1))</f>
        <v/>
      </c>
      <c r="D56" s="22">
        <f>SUMIFS(Transaksi!$J$2:$J$2001,Transaksi!$A$2:$A$2001,"&gt;="&amp;$B56,Transaksi!$A$2:$A$2001,"&lt;"&amp;EDATE($B56,1))</f>
        <v/>
      </c>
      <c r="E56" s="23">
        <f>C56-D56</f>
        <v/>
      </c>
      <c r="F56" s="24">
        <f>SUM(E$52:E56)</f>
        <v/>
      </c>
      <c r="G56" s="23">
        <f>SUMIFS(Transaksi!$G$2:$G$2001,Transaksi!$A$2:$A$2001,"&gt;="&amp;$B56,Transaksi!$A$2:$A$2001,"&lt;"&amp;EDATE($B56,1))</f>
        <v/>
      </c>
      <c r="H56" s="23">
        <f>SUMIFS(Transaksi!$H$2:$H$2001,Transaksi!$A$2:$A$2001,"&gt;="&amp;$B56,Transaksi!$A$2:$A$2001,"&lt;"&amp;EDATE($B56,1))</f>
        <v/>
      </c>
      <c r="I56" s="23">
        <f>SUMIFS(Transaksi!$I$2:$I$2001,Transaksi!$A$2:$A$2001,"&gt;="&amp;$B56,Transaksi!$A$2:$A$2001,"&lt;"&amp;EDATE($B56,1))</f>
        <v/>
      </c>
    </row>
    <row r="57">
      <c r="B57" s="20">
        <f>EDATE(Tetapan!$B$28,5)</f>
        <v/>
      </c>
      <c r="C57" s="21">
        <f>SUMIFS(Transaksi!$G$2:$G$2001,Transaksi!$A$2:$A$2001,"&gt;="&amp;$B57,Transaksi!$A$2:$A$2001,"&lt;"&amp;EDATE($B57,1))+SUMIFS(Transaksi!$H$2:$H$2001,Transaksi!$A$2:$A$2001,"&gt;="&amp;$B57,Transaksi!$A$2:$A$2001,"&lt;"&amp;EDATE($B57,1))+SUMIFS(Transaksi!$I$2:$I$2001,Transaksi!$A$2:$A$2001,"&gt;="&amp;$B57,Transaksi!$A$2:$A$2001,"&lt;"&amp;EDATE($B57,1))</f>
        <v/>
      </c>
      <c r="D57" s="22">
        <f>SUMIFS(Transaksi!$J$2:$J$2001,Transaksi!$A$2:$A$2001,"&gt;="&amp;$B57,Transaksi!$A$2:$A$2001,"&lt;"&amp;EDATE($B57,1))</f>
        <v/>
      </c>
      <c r="E57" s="23">
        <f>C57-D57</f>
        <v/>
      </c>
      <c r="F57" s="24">
        <f>SUM(E$52:E57)</f>
        <v/>
      </c>
      <c r="G57" s="23">
        <f>SUMIFS(Transaksi!$G$2:$G$2001,Transaksi!$A$2:$A$2001,"&gt;="&amp;$B57,Transaksi!$A$2:$A$2001,"&lt;"&amp;EDATE($B57,1))</f>
        <v/>
      </c>
      <c r="H57" s="23">
        <f>SUMIFS(Transaksi!$H$2:$H$2001,Transaksi!$A$2:$A$2001,"&gt;="&amp;$B57,Transaksi!$A$2:$A$2001,"&lt;"&amp;EDATE($B57,1))</f>
        <v/>
      </c>
      <c r="I57" s="23">
        <f>SUMIFS(Transaksi!$I$2:$I$2001,Transaksi!$A$2:$A$2001,"&gt;="&amp;$B57,Transaksi!$A$2:$A$2001,"&lt;"&amp;EDATE($B57,1))</f>
        <v/>
      </c>
    </row>
    <row r="58">
      <c r="B58" s="20">
        <f>EDATE(Tetapan!$B$28,6)</f>
        <v/>
      </c>
      <c r="C58" s="21">
        <f>SUMIFS(Transaksi!$G$2:$G$2001,Transaksi!$A$2:$A$2001,"&gt;="&amp;$B58,Transaksi!$A$2:$A$2001,"&lt;"&amp;EDATE($B58,1))+SUMIFS(Transaksi!$H$2:$H$2001,Transaksi!$A$2:$A$2001,"&gt;="&amp;$B58,Transaksi!$A$2:$A$2001,"&lt;"&amp;EDATE($B58,1))+SUMIFS(Transaksi!$I$2:$I$2001,Transaksi!$A$2:$A$2001,"&gt;="&amp;$B58,Transaksi!$A$2:$A$2001,"&lt;"&amp;EDATE($B58,1))</f>
        <v/>
      </c>
      <c r="D58" s="22">
        <f>SUMIFS(Transaksi!$J$2:$J$2001,Transaksi!$A$2:$A$2001,"&gt;="&amp;$B58,Transaksi!$A$2:$A$2001,"&lt;"&amp;EDATE($B58,1))</f>
        <v/>
      </c>
      <c r="E58" s="23">
        <f>C58-D58</f>
        <v/>
      </c>
      <c r="F58" s="24">
        <f>SUM(E$52:E58)</f>
        <v/>
      </c>
      <c r="G58" s="23">
        <f>SUMIFS(Transaksi!$G$2:$G$2001,Transaksi!$A$2:$A$2001,"&gt;="&amp;$B58,Transaksi!$A$2:$A$2001,"&lt;"&amp;EDATE($B58,1))</f>
        <v/>
      </c>
      <c r="H58" s="23">
        <f>SUMIFS(Transaksi!$H$2:$H$2001,Transaksi!$A$2:$A$2001,"&gt;="&amp;$B58,Transaksi!$A$2:$A$2001,"&lt;"&amp;EDATE($B58,1))</f>
        <v/>
      </c>
      <c r="I58" s="23">
        <f>SUMIFS(Transaksi!$I$2:$I$2001,Transaksi!$A$2:$A$2001,"&gt;="&amp;$B58,Transaksi!$A$2:$A$2001,"&lt;"&amp;EDATE($B58,1))</f>
        <v/>
      </c>
    </row>
    <row r="59">
      <c r="B59" s="20">
        <f>EDATE(Tetapan!$B$28,7)</f>
        <v/>
      </c>
      <c r="C59" s="21">
        <f>SUMIFS(Transaksi!$G$2:$G$2001,Transaksi!$A$2:$A$2001,"&gt;="&amp;$B59,Transaksi!$A$2:$A$2001,"&lt;"&amp;EDATE($B59,1))+SUMIFS(Transaksi!$H$2:$H$2001,Transaksi!$A$2:$A$2001,"&gt;="&amp;$B59,Transaksi!$A$2:$A$2001,"&lt;"&amp;EDATE($B59,1))+SUMIFS(Transaksi!$I$2:$I$2001,Transaksi!$A$2:$A$2001,"&gt;="&amp;$B59,Transaksi!$A$2:$A$2001,"&lt;"&amp;EDATE($B59,1))</f>
        <v/>
      </c>
      <c r="D59" s="22">
        <f>SUMIFS(Transaksi!$J$2:$J$2001,Transaksi!$A$2:$A$2001,"&gt;="&amp;$B59,Transaksi!$A$2:$A$2001,"&lt;"&amp;EDATE($B59,1))</f>
        <v/>
      </c>
      <c r="E59" s="23">
        <f>C59-D59</f>
        <v/>
      </c>
      <c r="F59" s="24">
        <f>SUM(E$52:E59)</f>
        <v/>
      </c>
      <c r="G59" s="23">
        <f>SUMIFS(Transaksi!$G$2:$G$2001,Transaksi!$A$2:$A$2001,"&gt;="&amp;$B59,Transaksi!$A$2:$A$2001,"&lt;"&amp;EDATE($B59,1))</f>
        <v/>
      </c>
      <c r="H59" s="23">
        <f>SUMIFS(Transaksi!$H$2:$H$2001,Transaksi!$A$2:$A$2001,"&gt;="&amp;$B59,Transaksi!$A$2:$A$2001,"&lt;"&amp;EDATE($B59,1))</f>
        <v/>
      </c>
      <c r="I59" s="23">
        <f>SUMIFS(Transaksi!$I$2:$I$2001,Transaksi!$A$2:$A$2001,"&gt;="&amp;$B59,Transaksi!$A$2:$A$2001,"&lt;"&amp;EDATE($B59,1))</f>
        <v/>
      </c>
    </row>
    <row r="60">
      <c r="B60" s="20">
        <f>EDATE(Tetapan!$B$28,8)</f>
        <v/>
      </c>
      <c r="C60" s="21">
        <f>SUMIFS(Transaksi!$G$2:$G$2001,Transaksi!$A$2:$A$2001,"&gt;="&amp;$B60,Transaksi!$A$2:$A$2001,"&lt;"&amp;EDATE($B60,1))+SUMIFS(Transaksi!$H$2:$H$2001,Transaksi!$A$2:$A$2001,"&gt;="&amp;$B60,Transaksi!$A$2:$A$2001,"&lt;"&amp;EDATE($B60,1))+SUMIFS(Transaksi!$I$2:$I$2001,Transaksi!$A$2:$A$2001,"&gt;="&amp;$B60,Transaksi!$A$2:$A$2001,"&lt;"&amp;EDATE($B60,1))</f>
        <v/>
      </c>
      <c r="D60" s="22">
        <f>SUMIFS(Transaksi!$J$2:$J$2001,Transaksi!$A$2:$A$2001,"&gt;="&amp;$B60,Transaksi!$A$2:$A$2001,"&lt;"&amp;EDATE($B60,1))</f>
        <v/>
      </c>
      <c r="E60" s="23">
        <f>C60-D60</f>
        <v/>
      </c>
      <c r="F60" s="24">
        <f>SUM(E$52:E60)</f>
        <v/>
      </c>
      <c r="G60" s="23">
        <f>SUMIFS(Transaksi!$G$2:$G$2001,Transaksi!$A$2:$A$2001,"&gt;="&amp;$B60,Transaksi!$A$2:$A$2001,"&lt;"&amp;EDATE($B60,1))</f>
        <v/>
      </c>
      <c r="H60" s="23">
        <f>SUMIFS(Transaksi!$H$2:$H$2001,Transaksi!$A$2:$A$2001,"&gt;="&amp;$B60,Transaksi!$A$2:$A$2001,"&lt;"&amp;EDATE($B60,1))</f>
        <v/>
      </c>
      <c r="I60" s="23">
        <f>SUMIFS(Transaksi!$I$2:$I$2001,Transaksi!$A$2:$A$2001,"&gt;="&amp;$B60,Transaksi!$A$2:$A$2001,"&lt;"&amp;EDATE($B60,1))</f>
        <v/>
      </c>
    </row>
    <row r="61">
      <c r="B61" s="20">
        <f>EDATE(Tetapan!$B$28,9)</f>
        <v/>
      </c>
      <c r="C61" s="21">
        <f>SUMIFS(Transaksi!$G$2:$G$2001,Transaksi!$A$2:$A$2001,"&gt;="&amp;$B61,Transaksi!$A$2:$A$2001,"&lt;"&amp;EDATE($B61,1))+SUMIFS(Transaksi!$H$2:$H$2001,Transaksi!$A$2:$A$2001,"&gt;="&amp;$B61,Transaksi!$A$2:$A$2001,"&lt;"&amp;EDATE($B61,1))+SUMIFS(Transaksi!$I$2:$I$2001,Transaksi!$A$2:$A$2001,"&gt;="&amp;$B61,Transaksi!$A$2:$A$2001,"&lt;"&amp;EDATE($B61,1))</f>
        <v/>
      </c>
      <c r="D61" s="22">
        <f>SUMIFS(Transaksi!$J$2:$J$2001,Transaksi!$A$2:$A$2001,"&gt;="&amp;$B61,Transaksi!$A$2:$A$2001,"&lt;"&amp;EDATE($B61,1))</f>
        <v/>
      </c>
      <c r="E61" s="23">
        <f>C61-D61</f>
        <v/>
      </c>
      <c r="F61" s="24">
        <f>SUM(E$52:E61)</f>
        <v/>
      </c>
      <c r="G61" s="23">
        <f>SUMIFS(Transaksi!$G$2:$G$2001,Transaksi!$A$2:$A$2001,"&gt;="&amp;$B61,Transaksi!$A$2:$A$2001,"&lt;"&amp;EDATE($B61,1))</f>
        <v/>
      </c>
      <c r="H61" s="23">
        <f>SUMIFS(Transaksi!$H$2:$H$2001,Transaksi!$A$2:$A$2001,"&gt;="&amp;$B61,Transaksi!$A$2:$A$2001,"&lt;"&amp;EDATE($B61,1))</f>
        <v/>
      </c>
      <c r="I61" s="23">
        <f>SUMIFS(Transaksi!$I$2:$I$2001,Transaksi!$A$2:$A$2001,"&gt;="&amp;$B61,Transaksi!$A$2:$A$2001,"&lt;"&amp;EDATE($B61,1))</f>
        <v/>
      </c>
    </row>
    <row r="62">
      <c r="B62" s="20">
        <f>EDATE(Tetapan!$B$28,10)</f>
        <v/>
      </c>
      <c r="C62" s="21">
        <f>SUMIFS(Transaksi!$G$2:$G$2001,Transaksi!$A$2:$A$2001,"&gt;="&amp;$B62,Transaksi!$A$2:$A$2001,"&lt;"&amp;EDATE($B62,1))+SUMIFS(Transaksi!$H$2:$H$2001,Transaksi!$A$2:$A$2001,"&gt;="&amp;$B62,Transaksi!$A$2:$A$2001,"&lt;"&amp;EDATE($B62,1))+SUMIFS(Transaksi!$I$2:$I$2001,Transaksi!$A$2:$A$2001,"&gt;="&amp;$B62,Transaksi!$A$2:$A$2001,"&lt;"&amp;EDATE($B62,1))</f>
        <v/>
      </c>
      <c r="D62" s="22">
        <f>SUMIFS(Transaksi!$J$2:$J$2001,Transaksi!$A$2:$A$2001,"&gt;="&amp;$B62,Transaksi!$A$2:$A$2001,"&lt;"&amp;EDATE($B62,1))</f>
        <v/>
      </c>
      <c r="E62" s="23">
        <f>C62-D62</f>
        <v/>
      </c>
      <c r="F62" s="24">
        <f>SUM(E$52:E62)</f>
        <v/>
      </c>
      <c r="G62" s="23">
        <f>SUMIFS(Transaksi!$G$2:$G$2001,Transaksi!$A$2:$A$2001,"&gt;="&amp;$B62,Transaksi!$A$2:$A$2001,"&lt;"&amp;EDATE($B62,1))</f>
        <v/>
      </c>
      <c r="H62" s="23">
        <f>SUMIFS(Transaksi!$H$2:$H$2001,Transaksi!$A$2:$A$2001,"&gt;="&amp;$B62,Transaksi!$A$2:$A$2001,"&lt;"&amp;EDATE($B62,1))</f>
        <v/>
      </c>
      <c r="I62" s="23">
        <f>SUMIFS(Transaksi!$I$2:$I$2001,Transaksi!$A$2:$A$2001,"&gt;="&amp;$B62,Transaksi!$A$2:$A$2001,"&lt;"&amp;EDATE($B62,1))</f>
        <v/>
      </c>
    </row>
    <row r="63">
      <c r="B63" s="20">
        <f>EDATE(Tetapan!$B$28,11)</f>
        <v/>
      </c>
      <c r="C63" s="21">
        <f>SUMIFS(Transaksi!$G$2:$G$2001,Transaksi!$A$2:$A$2001,"&gt;="&amp;$B63,Transaksi!$A$2:$A$2001,"&lt;"&amp;EDATE($B63,1))+SUMIFS(Transaksi!$H$2:$H$2001,Transaksi!$A$2:$A$2001,"&gt;="&amp;$B63,Transaksi!$A$2:$A$2001,"&lt;"&amp;EDATE($B63,1))+SUMIFS(Transaksi!$I$2:$I$2001,Transaksi!$A$2:$A$2001,"&gt;="&amp;$B63,Transaksi!$A$2:$A$2001,"&lt;"&amp;EDATE($B63,1))</f>
        <v/>
      </c>
      <c r="D63" s="22">
        <f>SUMIFS(Transaksi!$J$2:$J$2001,Transaksi!$A$2:$A$2001,"&gt;="&amp;$B63,Transaksi!$A$2:$A$2001,"&lt;"&amp;EDATE($B63,1))</f>
        <v/>
      </c>
      <c r="E63" s="23">
        <f>C63-D63</f>
        <v/>
      </c>
      <c r="F63" s="24">
        <f>SUM(E$52:E63)</f>
        <v/>
      </c>
      <c r="G63" s="23">
        <f>SUMIFS(Transaksi!$G$2:$G$2001,Transaksi!$A$2:$A$2001,"&gt;="&amp;$B63,Transaksi!$A$2:$A$2001,"&lt;"&amp;EDATE($B63,1))</f>
        <v/>
      </c>
      <c r="H63" s="23">
        <f>SUMIFS(Transaksi!$H$2:$H$2001,Transaksi!$A$2:$A$2001,"&gt;="&amp;$B63,Transaksi!$A$2:$A$2001,"&lt;"&amp;EDATE($B63,1))</f>
        <v/>
      </c>
      <c r="I63" s="23">
        <f>SUMIFS(Transaksi!$I$2:$I$2001,Transaksi!$A$2:$A$2001,"&gt;="&amp;$B63,Transaksi!$A$2:$A$2001,"&lt;"&amp;EDATE($B63,1))</f>
        <v/>
      </c>
    </row>
    <row r="64">
      <c r="B64" s="20">
        <f>EDATE(Tetapan!$B$28,12)</f>
        <v/>
      </c>
      <c r="C64" s="21">
        <f>SUMIFS(Transaksi!$G$2:$G$2001,Transaksi!$A$2:$A$2001,"&gt;="&amp;$B64,Transaksi!$A$2:$A$2001,"&lt;"&amp;EDATE($B64,1))+SUMIFS(Transaksi!$H$2:$H$2001,Transaksi!$A$2:$A$2001,"&gt;="&amp;$B64,Transaksi!$A$2:$A$2001,"&lt;"&amp;EDATE($B64,1))+SUMIFS(Transaksi!$I$2:$I$2001,Transaksi!$A$2:$A$2001,"&gt;="&amp;$B64,Transaksi!$A$2:$A$2001,"&lt;"&amp;EDATE($B64,1))</f>
        <v/>
      </c>
      <c r="D64" s="22">
        <f>SUMIFS(Transaksi!$J$2:$J$2001,Transaksi!$A$2:$A$2001,"&gt;="&amp;$B64,Transaksi!$A$2:$A$2001,"&lt;"&amp;EDATE($B64,1))</f>
        <v/>
      </c>
      <c r="E64" s="23">
        <f>C64-D64</f>
        <v/>
      </c>
      <c r="F64" s="24">
        <f>SUM(E$52:E64)</f>
        <v/>
      </c>
      <c r="G64" s="23">
        <f>SUMIFS(Transaksi!$G$2:$G$2001,Transaksi!$A$2:$A$2001,"&gt;="&amp;$B64,Transaksi!$A$2:$A$2001,"&lt;"&amp;EDATE($B64,1))</f>
        <v/>
      </c>
      <c r="H64" s="23">
        <f>SUMIFS(Transaksi!$H$2:$H$2001,Transaksi!$A$2:$A$2001,"&gt;="&amp;$B64,Transaksi!$A$2:$A$2001,"&lt;"&amp;EDATE($B64,1))</f>
        <v/>
      </c>
      <c r="I64" s="23">
        <f>SUMIFS(Transaksi!$I$2:$I$2001,Transaksi!$A$2:$A$2001,"&gt;="&amp;$B64,Transaksi!$A$2:$A$2001,"&lt;"&amp;EDATE($B64,1))</f>
        <v/>
      </c>
    </row>
    <row r="65">
      <c r="B65" s="20">
        <f>EDATE(Tetapan!$B$28,13)</f>
        <v/>
      </c>
      <c r="C65" s="21">
        <f>SUMIFS(Transaksi!$G$2:$G$2001,Transaksi!$A$2:$A$2001,"&gt;="&amp;$B65,Transaksi!$A$2:$A$2001,"&lt;"&amp;EDATE($B65,1))+SUMIFS(Transaksi!$H$2:$H$2001,Transaksi!$A$2:$A$2001,"&gt;="&amp;$B65,Transaksi!$A$2:$A$2001,"&lt;"&amp;EDATE($B65,1))+SUMIFS(Transaksi!$I$2:$I$2001,Transaksi!$A$2:$A$2001,"&gt;="&amp;$B65,Transaksi!$A$2:$A$2001,"&lt;"&amp;EDATE($B65,1))</f>
        <v/>
      </c>
      <c r="D65" s="22">
        <f>SUMIFS(Transaksi!$J$2:$J$2001,Transaksi!$A$2:$A$2001,"&gt;="&amp;$B65,Transaksi!$A$2:$A$2001,"&lt;"&amp;EDATE($B65,1))</f>
        <v/>
      </c>
      <c r="E65" s="23">
        <f>C65-D65</f>
        <v/>
      </c>
      <c r="F65" s="24">
        <f>SUM(E$52:E65)</f>
        <v/>
      </c>
      <c r="G65" s="23">
        <f>SUMIFS(Transaksi!$G$2:$G$2001,Transaksi!$A$2:$A$2001,"&gt;="&amp;$B65,Transaksi!$A$2:$A$2001,"&lt;"&amp;EDATE($B65,1))</f>
        <v/>
      </c>
      <c r="H65" s="23">
        <f>SUMIFS(Transaksi!$H$2:$H$2001,Transaksi!$A$2:$A$2001,"&gt;="&amp;$B65,Transaksi!$A$2:$A$2001,"&lt;"&amp;EDATE($B65,1))</f>
        <v/>
      </c>
      <c r="I65" s="23">
        <f>SUMIFS(Transaksi!$I$2:$I$2001,Transaksi!$A$2:$A$2001,"&gt;="&amp;$B65,Transaksi!$A$2:$A$2001,"&lt;"&amp;EDATE($B65,1))</f>
        <v/>
      </c>
    </row>
    <row r="66">
      <c r="B66" s="20">
        <f>EDATE(Tetapan!$B$28,14)</f>
        <v/>
      </c>
      <c r="C66" s="21">
        <f>SUMIFS(Transaksi!$G$2:$G$2001,Transaksi!$A$2:$A$2001,"&gt;="&amp;$B66,Transaksi!$A$2:$A$2001,"&lt;"&amp;EDATE($B66,1))+SUMIFS(Transaksi!$H$2:$H$2001,Transaksi!$A$2:$A$2001,"&gt;="&amp;$B66,Transaksi!$A$2:$A$2001,"&lt;"&amp;EDATE($B66,1))+SUMIFS(Transaksi!$I$2:$I$2001,Transaksi!$A$2:$A$2001,"&gt;="&amp;$B66,Transaksi!$A$2:$A$2001,"&lt;"&amp;EDATE($B66,1))</f>
        <v/>
      </c>
      <c r="D66" s="22">
        <f>SUMIFS(Transaksi!$J$2:$J$2001,Transaksi!$A$2:$A$2001,"&gt;="&amp;$B66,Transaksi!$A$2:$A$2001,"&lt;"&amp;EDATE($B66,1))</f>
        <v/>
      </c>
      <c r="E66" s="23">
        <f>C66-D66</f>
        <v/>
      </c>
      <c r="F66" s="24">
        <f>SUM(E$52:E66)</f>
        <v/>
      </c>
      <c r="G66" s="23">
        <f>SUMIFS(Transaksi!$G$2:$G$2001,Transaksi!$A$2:$A$2001,"&gt;="&amp;$B66,Transaksi!$A$2:$A$2001,"&lt;"&amp;EDATE($B66,1))</f>
        <v/>
      </c>
      <c r="H66" s="23">
        <f>SUMIFS(Transaksi!$H$2:$H$2001,Transaksi!$A$2:$A$2001,"&gt;="&amp;$B66,Transaksi!$A$2:$A$2001,"&lt;"&amp;EDATE($B66,1))</f>
        <v/>
      </c>
      <c r="I66" s="23">
        <f>SUMIFS(Transaksi!$I$2:$I$2001,Transaksi!$A$2:$A$2001,"&gt;="&amp;$B66,Transaksi!$A$2:$A$2001,"&lt;"&amp;EDATE($B66,1))</f>
        <v/>
      </c>
    </row>
    <row r="67">
      <c r="B67" s="20">
        <f>EDATE(Tetapan!$B$28,15)</f>
        <v/>
      </c>
      <c r="C67" s="21">
        <f>SUMIFS(Transaksi!$G$2:$G$2001,Transaksi!$A$2:$A$2001,"&gt;="&amp;$B67,Transaksi!$A$2:$A$2001,"&lt;"&amp;EDATE($B67,1))+SUMIFS(Transaksi!$H$2:$H$2001,Transaksi!$A$2:$A$2001,"&gt;="&amp;$B67,Transaksi!$A$2:$A$2001,"&lt;"&amp;EDATE($B67,1))+SUMIFS(Transaksi!$I$2:$I$2001,Transaksi!$A$2:$A$2001,"&gt;="&amp;$B67,Transaksi!$A$2:$A$2001,"&lt;"&amp;EDATE($B67,1))</f>
        <v/>
      </c>
      <c r="D67" s="22">
        <f>SUMIFS(Transaksi!$J$2:$J$2001,Transaksi!$A$2:$A$2001,"&gt;="&amp;$B67,Transaksi!$A$2:$A$2001,"&lt;"&amp;EDATE($B67,1))</f>
        <v/>
      </c>
      <c r="E67" s="23">
        <f>C67-D67</f>
        <v/>
      </c>
      <c r="F67" s="24">
        <f>SUM(E$52:E67)</f>
        <v/>
      </c>
      <c r="G67" s="23">
        <f>SUMIFS(Transaksi!$G$2:$G$2001,Transaksi!$A$2:$A$2001,"&gt;="&amp;$B67,Transaksi!$A$2:$A$2001,"&lt;"&amp;EDATE($B67,1))</f>
        <v/>
      </c>
      <c r="H67" s="23">
        <f>SUMIFS(Transaksi!$H$2:$H$2001,Transaksi!$A$2:$A$2001,"&gt;="&amp;$B67,Transaksi!$A$2:$A$2001,"&lt;"&amp;EDATE($B67,1))</f>
        <v/>
      </c>
      <c r="I67" s="23">
        <f>SUMIFS(Transaksi!$I$2:$I$2001,Transaksi!$A$2:$A$2001,"&gt;="&amp;$B67,Transaksi!$A$2:$A$2001,"&lt;"&amp;EDATE($B67,1))</f>
        <v/>
      </c>
    </row>
    <row r="68">
      <c r="B68" s="20">
        <f>EDATE(Tetapan!$B$28,16)</f>
        <v/>
      </c>
      <c r="C68" s="21">
        <f>SUMIFS(Transaksi!$G$2:$G$2001,Transaksi!$A$2:$A$2001,"&gt;="&amp;$B68,Transaksi!$A$2:$A$2001,"&lt;"&amp;EDATE($B68,1))+SUMIFS(Transaksi!$H$2:$H$2001,Transaksi!$A$2:$A$2001,"&gt;="&amp;$B68,Transaksi!$A$2:$A$2001,"&lt;"&amp;EDATE($B68,1))+SUMIFS(Transaksi!$I$2:$I$2001,Transaksi!$A$2:$A$2001,"&gt;="&amp;$B68,Transaksi!$A$2:$A$2001,"&lt;"&amp;EDATE($B68,1))</f>
        <v/>
      </c>
      <c r="D68" s="22">
        <f>SUMIFS(Transaksi!$J$2:$J$2001,Transaksi!$A$2:$A$2001,"&gt;="&amp;$B68,Transaksi!$A$2:$A$2001,"&lt;"&amp;EDATE($B68,1))</f>
        <v/>
      </c>
      <c r="E68" s="23">
        <f>C68-D68</f>
        <v/>
      </c>
      <c r="F68" s="24">
        <f>SUM(E$52:E68)</f>
        <v/>
      </c>
      <c r="G68" s="23">
        <f>SUMIFS(Transaksi!$G$2:$G$2001,Transaksi!$A$2:$A$2001,"&gt;="&amp;$B68,Transaksi!$A$2:$A$2001,"&lt;"&amp;EDATE($B68,1))</f>
        <v/>
      </c>
      <c r="H68" s="23">
        <f>SUMIFS(Transaksi!$H$2:$H$2001,Transaksi!$A$2:$A$2001,"&gt;="&amp;$B68,Transaksi!$A$2:$A$2001,"&lt;"&amp;EDATE($B68,1))</f>
        <v/>
      </c>
      <c r="I68" s="23">
        <f>SUMIFS(Transaksi!$I$2:$I$2001,Transaksi!$A$2:$A$2001,"&gt;="&amp;$B68,Transaksi!$A$2:$A$2001,"&lt;"&amp;EDATE($B68,1))</f>
        <v/>
      </c>
    </row>
    <row r="69">
      <c r="B69" s="20">
        <f>EDATE(Tetapan!$B$28,17)</f>
        <v/>
      </c>
      <c r="C69" s="21">
        <f>SUMIFS(Transaksi!$G$2:$G$2001,Transaksi!$A$2:$A$2001,"&gt;="&amp;$B69,Transaksi!$A$2:$A$2001,"&lt;"&amp;EDATE($B69,1))+SUMIFS(Transaksi!$H$2:$H$2001,Transaksi!$A$2:$A$2001,"&gt;="&amp;$B69,Transaksi!$A$2:$A$2001,"&lt;"&amp;EDATE($B69,1))+SUMIFS(Transaksi!$I$2:$I$2001,Transaksi!$A$2:$A$2001,"&gt;="&amp;$B69,Transaksi!$A$2:$A$2001,"&lt;"&amp;EDATE($B69,1))</f>
        <v/>
      </c>
      <c r="D69" s="22">
        <f>SUMIFS(Transaksi!$J$2:$J$2001,Transaksi!$A$2:$A$2001,"&gt;="&amp;$B69,Transaksi!$A$2:$A$2001,"&lt;"&amp;EDATE($B69,1))</f>
        <v/>
      </c>
      <c r="E69" s="23">
        <f>C69-D69</f>
        <v/>
      </c>
      <c r="F69" s="24">
        <f>SUM(E$52:E69)</f>
        <v/>
      </c>
      <c r="G69" s="23">
        <f>SUMIFS(Transaksi!$G$2:$G$2001,Transaksi!$A$2:$A$2001,"&gt;="&amp;$B69,Transaksi!$A$2:$A$2001,"&lt;"&amp;EDATE($B69,1))</f>
        <v/>
      </c>
      <c r="H69" s="23">
        <f>SUMIFS(Transaksi!$H$2:$H$2001,Transaksi!$A$2:$A$2001,"&gt;="&amp;$B69,Transaksi!$A$2:$A$2001,"&lt;"&amp;EDATE($B69,1))</f>
        <v/>
      </c>
      <c r="I69" s="23">
        <f>SUMIFS(Transaksi!$I$2:$I$2001,Transaksi!$A$2:$A$2001,"&gt;="&amp;$B69,Transaksi!$A$2:$A$2001,"&lt;"&amp;EDATE($B69,1))</f>
        <v/>
      </c>
    </row>
    <row r="70">
      <c r="B70" s="20">
        <f>EDATE(Tetapan!$B$28,18)</f>
        <v/>
      </c>
      <c r="C70" s="21">
        <f>SUMIFS(Transaksi!$G$2:$G$2001,Transaksi!$A$2:$A$2001,"&gt;="&amp;$B70,Transaksi!$A$2:$A$2001,"&lt;"&amp;EDATE($B70,1))+SUMIFS(Transaksi!$H$2:$H$2001,Transaksi!$A$2:$A$2001,"&gt;="&amp;$B70,Transaksi!$A$2:$A$2001,"&lt;"&amp;EDATE($B70,1))+SUMIFS(Transaksi!$I$2:$I$2001,Transaksi!$A$2:$A$2001,"&gt;="&amp;$B70,Transaksi!$A$2:$A$2001,"&lt;"&amp;EDATE($B70,1))</f>
        <v/>
      </c>
      <c r="D70" s="22">
        <f>SUMIFS(Transaksi!$J$2:$J$2001,Transaksi!$A$2:$A$2001,"&gt;="&amp;$B70,Transaksi!$A$2:$A$2001,"&lt;"&amp;EDATE($B70,1))</f>
        <v/>
      </c>
      <c r="E70" s="23">
        <f>C70-D70</f>
        <v/>
      </c>
      <c r="F70" s="24">
        <f>SUM(E$52:E70)</f>
        <v/>
      </c>
      <c r="G70" s="23">
        <f>SUMIFS(Transaksi!$G$2:$G$2001,Transaksi!$A$2:$A$2001,"&gt;="&amp;$B70,Transaksi!$A$2:$A$2001,"&lt;"&amp;EDATE($B70,1))</f>
        <v/>
      </c>
      <c r="H70" s="23">
        <f>SUMIFS(Transaksi!$H$2:$H$2001,Transaksi!$A$2:$A$2001,"&gt;="&amp;$B70,Transaksi!$A$2:$A$2001,"&lt;"&amp;EDATE($B70,1))</f>
        <v/>
      </c>
      <c r="I70" s="23">
        <f>SUMIFS(Transaksi!$I$2:$I$2001,Transaksi!$A$2:$A$2001,"&gt;="&amp;$B70,Transaksi!$A$2:$A$2001,"&lt;"&amp;EDATE($B70,1))</f>
        <v/>
      </c>
    </row>
    <row r="71">
      <c r="B71" s="25" t="inlineStr">
        <is>
          <t>Jumlah</t>
        </is>
      </c>
      <c r="C71" s="26">
        <f>SUM(C52:C70)</f>
        <v/>
      </c>
      <c r="D71" s="26">
        <f>SUM(D52:D70)</f>
        <v/>
      </c>
      <c r="E71" s="26">
        <f>SUM(E52:E70)</f>
        <v/>
      </c>
      <c r="F71" s="4" t="n"/>
      <c r="G71" s="26">
        <f>SUM(G52:G70)</f>
        <v/>
      </c>
      <c r="H71" s="26">
        <f>SUM(H52:H70)</f>
        <v/>
      </c>
      <c r="I71" s="26">
        <f>SUM(I52:I70)</f>
        <v/>
      </c>
    </row>
    <row r="74">
      <c r="B74" s="10" t="inlineStr">
        <is>
          <t>Perbelanjaan mengikut kategori</t>
        </is>
      </c>
    </row>
    <row r="75" ht="22" customHeight="1">
      <c r="B75" s="18" t="inlineStr">
        <is>
          <t>Kategori</t>
        </is>
      </c>
      <c r="C75" s="19" t="inlineStr">
        <is>
          <t>Jumlah</t>
        </is>
      </c>
      <c r="D75" s="19" t="inlineStr">
        <is>
          <t>%</t>
        </is>
      </c>
      <c r="E75" s="19" t="inlineStr"/>
      <c r="F75" s="27" t="n"/>
      <c r="G75" s="27" t="n"/>
      <c r="H75" s="27" t="n"/>
      <c r="I75" s="27" t="n"/>
    </row>
    <row r="76">
      <c r="B76" s="28">
        <f>Tetapan!H9</f>
        <v/>
      </c>
      <c r="C76" s="23">
        <f>SUMIFS(Transaksi!$J$2:$J$2001,Transaksi!$D$2:$D$2001,B76)</f>
        <v/>
      </c>
      <c r="D76" s="29">
        <f>IF(SUM(C$76:C$82)=0,0,C76/SUM(C$76:C$82))</f>
        <v/>
      </c>
      <c r="E76" s="30">
        <f>REPT("█",ROUND(D76*40,0))</f>
        <v/>
      </c>
    </row>
    <row r="77">
      <c r="B77" s="28">
        <f>Tetapan!H10</f>
        <v/>
      </c>
      <c r="C77" s="23">
        <f>SUMIFS(Transaksi!$J$2:$J$2001,Transaksi!$D$2:$D$2001,B77)</f>
        <v/>
      </c>
      <c r="D77" s="29">
        <f>IF(SUM(C$76:C$82)=0,0,C77/SUM(C$76:C$82))</f>
        <v/>
      </c>
      <c r="E77" s="30">
        <f>REPT("█",ROUND(D77*40,0))</f>
        <v/>
      </c>
    </row>
    <row r="78">
      <c r="B78" s="28">
        <f>Tetapan!H11</f>
        <v/>
      </c>
      <c r="C78" s="23">
        <f>SUMIFS(Transaksi!$J$2:$J$2001,Transaksi!$D$2:$D$2001,B78)</f>
        <v/>
      </c>
      <c r="D78" s="29">
        <f>IF(SUM(C$76:C$82)=0,0,C78/SUM(C$76:C$82))</f>
        <v/>
      </c>
      <c r="E78" s="30">
        <f>REPT("█",ROUND(D78*40,0))</f>
        <v/>
      </c>
    </row>
    <row r="79">
      <c r="B79" s="28">
        <f>Tetapan!H12</f>
        <v/>
      </c>
      <c r="C79" s="23">
        <f>SUMIFS(Transaksi!$J$2:$J$2001,Transaksi!$D$2:$D$2001,B79)</f>
        <v/>
      </c>
      <c r="D79" s="29">
        <f>IF(SUM(C$76:C$82)=0,0,C79/SUM(C$76:C$82))</f>
        <v/>
      </c>
      <c r="E79" s="30">
        <f>REPT("█",ROUND(D79*40,0))</f>
        <v/>
      </c>
    </row>
    <row r="80">
      <c r="B80" s="28">
        <f>Tetapan!H13</f>
        <v/>
      </c>
      <c r="C80" s="23">
        <f>SUMIFS(Transaksi!$J$2:$J$2001,Transaksi!$D$2:$D$2001,B80)</f>
        <v/>
      </c>
      <c r="D80" s="29">
        <f>IF(SUM(C$76:C$82)=0,0,C80/SUM(C$76:C$82))</f>
        <v/>
      </c>
      <c r="E80" s="30">
        <f>REPT("█",ROUND(D80*40,0))</f>
        <v/>
      </c>
    </row>
    <row r="81">
      <c r="B81" s="28">
        <f>Tetapan!H14</f>
        <v/>
      </c>
      <c r="C81" s="23">
        <f>SUMIFS(Transaksi!$J$2:$J$2001,Transaksi!$D$2:$D$2001,B81)</f>
        <v/>
      </c>
      <c r="D81" s="29">
        <f>IF(SUM(C$76:C$82)=0,0,C81/SUM(C$76:C$82))</f>
        <v/>
      </c>
      <c r="E81" s="30">
        <f>REPT("█",ROUND(D81*40,0))</f>
        <v/>
      </c>
    </row>
    <row r="82">
      <c r="B82" s="28">
        <f>Tetapan!H15</f>
        <v/>
      </c>
      <c r="C82" s="23">
        <f>SUMIFS(Transaksi!$J$2:$J$2001,Transaksi!$D$2:$D$2001,B82)</f>
        <v/>
      </c>
      <c r="D82" s="29">
        <f>IF(SUM(C$76:C$82)=0,0,C82/SUM(C$76:C$82))</f>
        <v/>
      </c>
      <c r="E82" s="30">
        <f>REPT("█",ROUND(D82*40,0))</f>
        <v/>
      </c>
    </row>
  </sheetData>
  <mergeCells count="24">
    <mergeCell ref="F11:G11"/>
    <mergeCell ref="D10:E10"/>
    <mergeCell ref="F10:G10"/>
    <mergeCell ref="H10:I10"/>
    <mergeCell ref="J10:K10"/>
    <mergeCell ref="L12:M12"/>
    <mergeCell ref="B11:C11"/>
    <mergeCell ref="D11:E11"/>
    <mergeCell ref="H11:I11"/>
    <mergeCell ref="B5:D5"/>
    <mergeCell ref="J11:K11"/>
    <mergeCell ref="K4:M4"/>
    <mergeCell ref="K6:M6"/>
    <mergeCell ref="H5:J5"/>
    <mergeCell ref="L10:M10"/>
    <mergeCell ref="B4:D4"/>
    <mergeCell ref="B10:C10"/>
    <mergeCell ref="C8:D8"/>
    <mergeCell ref="E5:G5"/>
    <mergeCell ref="K5:M5"/>
    <mergeCell ref="H4:J4"/>
    <mergeCell ref="L11:M11"/>
    <mergeCell ref="E4:G4"/>
    <mergeCell ref="E75:I75"/>
  </mergeCells>
  <conditionalFormatting sqref="E52:E70">
    <cfRule type="cellIs" priority="1" operator="lessThan" dxfId="0">
      <formula>0</formula>
    </cfRule>
  </conditionalFormatting>
  <conditionalFormatting sqref="B52:I70">
    <cfRule type="expression" priority="2" dxfId="1">
      <formula>$B52=$C$8</formula>
    </cfRule>
  </conditionalFormatting>
  <dataValidations count="1">
    <dataValidation sqref="C8" showDropDown="0" showInputMessage="0" showErrorMessage="0" allowBlank="0" type="list">
      <formula1>=$B$52:$B$70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B5CF6"/>
    <outlinePr summaryBelow="1" summaryRight="1"/>
    <pageSetUpPr/>
  </sheetPr>
  <dimension ref="A1:T1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6" customWidth="1" min="4" max="4"/>
    <col width="13" customWidth="1" min="5" max="5"/>
    <col width="13" customWidth="1" min="6" max="6"/>
    <col width="17" customWidth="1" min="7" max="7"/>
    <col width="2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</cols>
  <sheetData>
    <row r="1" ht="30" customHeight="1">
      <c r="A1" s="1" t="inlineStr">
        <is>
          <t>Harian</t>
        </is>
      </c>
      <c r="N1" t="inlineStr">
        <is>
          <t>maksimum hari</t>
        </is>
      </c>
      <c r="O1">
        <f>MAX(Transaksi!$M$2:$M$2001)</f>
        <v/>
      </c>
    </row>
    <row r="2">
      <c r="A2" s="2" t="inlineStr">
        <is>
          <t>Setiap hari: semua wang masuk &amp; keluar pada hari itu. Terbaru di atas. Auto daripada Transaksi.</t>
        </is>
      </c>
      <c r="N2" t="inlineStr">
        <is>
          <t>jumlah baris</t>
        </is>
      </c>
      <c r="O2">
        <f>SUM(P3:P402)</f>
        <v/>
      </c>
    </row>
    <row r="3" ht="24" customHeight="1">
      <c r="A3" s="18" t="n"/>
      <c r="B3" s="19" t="inlineStr">
        <is>
          <t>Butiran</t>
        </is>
      </c>
      <c r="C3" s="19" t="inlineStr">
        <is>
          <t>Ahli</t>
        </is>
      </c>
      <c r="D3" s="19" t="inlineStr">
        <is>
          <t>Kategori</t>
        </is>
      </c>
      <c r="E3" s="19" t="inlineStr">
        <is>
          <t>Masuk</t>
        </is>
      </c>
      <c r="F3" s="19" t="inlineStr">
        <is>
          <t>Keluar</t>
        </is>
      </c>
      <c r="G3" s="19" t="inlineStr">
        <is>
          <t>Baki hujung hari</t>
        </is>
      </c>
      <c r="N3" t="n">
        <v>1</v>
      </c>
      <c r="O3">
        <f>IF(N3&lt;=$O$1,$O$1-N3+1,"")</f>
        <v/>
      </c>
      <c r="P3">
        <f>IF(O3="",0,COUNTIF(Transaksi!$M$2:$M$2001,O3)+1)</f>
        <v/>
      </c>
      <c r="Q3">
        <f>1+SUM(P$2:P2)</f>
        <v/>
      </c>
    </row>
    <row r="4">
      <c r="A4" s="31">
        <f>IF(J4="E",IF(INDEX(Transaksi!$J$2:$J$2001,K4)&gt;0,"↑","↓"),"")</f>
        <v/>
      </c>
      <c r="B4" s="32">
        <f>IF(J4="H",CHOOSE(WEEKDAY(T4,2),"Isnin","Selasa","Rabu","Khamis","Jumaat","Sabtu","Ahad")&amp;", "&amp;DAY(T4)&amp;" "&amp;CHOOSE(MONTH(T4),"Jan","Feb","Mac","Apr","Mei","Jun","Jul","Ogo","Sep","Okt","Nov","Dis")&amp;" "&amp;YEAR(T4),IF(J4="E",IF(INDEX(Transaksi!$B$2:$B$2001,K4)="",INDEX(Transaksi!$C$2:$C$2001,K4)&amp;" · "&amp;INDEX(Transaksi!$D$2:$D$2001,K4),INDEX(Transaksi!$B$2:$B$2001,K4)),""))</f>
        <v/>
      </c>
      <c r="C4" s="32">
        <f>IF(J4="E",INDEX(Transaksi!$C$2:$C$2001,K4)&amp;"","")</f>
        <v/>
      </c>
      <c r="D4" s="32">
        <f>IF(J4="E",INDEX(Transaksi!$D$2:$D$2001,K4)&amp;"","")</f>
        <v/>
      </c>
      <c r="E4" s="33">
        <f>IF(J4="H",SUMIFS(Transaksi!$G$2:$G$2001,Transaksi!$M$2:$M$2001,"="&amp;S4)+SUMIFS(Transaksi!$H$2:$H$2001,Transaksi!$M$2:$M$2001,"="&amp;S4)+SUMIFS(Transaksi!$I$2:$I$2001,Transaksi!$M$2:$M$2001,"="&amp;S4),IF(J4="E",IF(INDEX(Transaksi!$G$2:$G$2001,K4)+INDEX(Transaksi!$H$2:$H$2001,K4)+INDEX(Transaksi!$I$2:$I$2001,K4)=0,"",INDEX(Transaksi!$G$2:$G$2001,K4)+INDEX(Transaksi!$H$2:$H$2001,K4)+INDEX(Transaksi!$I$2:$I$2001,K4)),""))</f>
        <v/>
      </c>
      <c r="F4" s="33">
        <f>IF(J4="H",SUMIFS(Transaksi!$J$2:$J$2001,Transaksi!$M$2:$M$2001,"="&amp;S4),IF(J4="E",IF(INDEX(Transaksi!$J$2:$J$2001,K4)=0,"",INDEX(Transaksi!$J$2:$J$2001,K4)),""))</f>
        <v/>
      </c>
      <c r="G4" s="33">
        <f>IF(J4="H",(SUMIFS(Transaksi!$G$2:$G$2001,Transaksi!$M$2:$M$2001,"&lt;="&amp;S4)+SUMIFS(Transaksi!$H$2:$H$2001,Transaksi!$M$2:$M$2001,"&lt;="&amp;S4)+SUMIFS(Transaksi!$I$2:$I$2001,Transaksi!$M$2:$M$2001,"&lt;="&amp;S4))-(SUMIFS(Transaksi!$J$2:$J$2001,Transaksi!$M$2:$M$2001,"&lt;="&amp;S4)),"")</f>
        <v/>
      </c>
      <c r="I4">
        <f>IF(1&gt;$O$2,"",MATCH(1,$Q$3:$Q$402,1))</f>
        <v/>
      </c>
      <c r="J4">
        <f>IF(I4="","",IF(1=INDEX($Q$3:$Q$402,I4),"H","E"))</f>
        <v/>
      </c>
      <c r="K4">
        <f>IF(J4&lt;&gt;"E","",MATCH(S4,Transaksi!$M$2:$M$2001,0)+1-INDEX($Q$3:$Q$402,I4)-1)</f>
        <v/>
      </c>
      <c r="N4" t="n">
        <v>2</v>
      </c>
      <c r="O4">
        <f>IF(N4&lt;=$O$1,$O$1-N4+1,"")</f>
        <v/>
      </c>
      <c r="P4">
        <f>IF(O4="",0,COUNTIF(Transaksi!$M$2:$M$2001,O4)+1)</f>
        <v/>
      </c>
      <c r="Q4">
        <f>1+SUM(P$2:P3)</f>
        <v/>
      </c>
      <c r="S4">
        <f>IF(I4="","",INDEX($O$3:$O$402,I4))</f>
        <v/>
      </c>
      <c r="T4">
        <f>IF(J4&lt;&gt;"H","",INDEX(Transaksi!$A$2:$A$2001,MATCH(S4,Transaksi!$M$2:$M$2001,0)))</f>
        <v/>
      </c>
    </row>
    <row r="5">
      <c r="A5" s="31">
        <f>IF(J5="E",IF(INDEX(Transaksi!$J$2:$J$2001,K5)&gt;0,"↑","↓"),"")</f>
        <v/>
      </c>
      <c r="B5" s="32">
        <f>IF(J5="H",CHOOSE(WEEKDAY(T5,2),"Isnin","Selasa","Rabu","Khamis","Jumaat","Sabtu","Ahad")&amp;", "&amp;DAY(T5)&amp;" "&amp;CHOOSE(MONTH(T5),"Jan","Feb","Mac","Apr","Mei","Jun","Jul","Ogo","Sep","Okt","Nov","Dis")&amp;" "&amp;YEAR(T5),IF(J5="E",IF(INDEX(Transaksi!$B$2:$B$2001,K5)="",INDEX(Transaksi!$C$2:$C$2001,K5)&amp;" · "&amp;INDEX(Transaksi!$D$2:$D$2001,K5),INDEX(Transaksi!$B$2:$B$2001,K5)),""))</f>
        <v/>
      </c>
      <c r="C5" s="32">
        <f>IF(J5="E",INDEX(Transaksi!$C$2:$C$2001,K5)&amp;"","")</f>
        <v/>
      </c>
      <c r="D5" s="32">
        <f>IF(J5="E",INDEX(Transaksi!$D$2:$D$2001,K5)&amp;"","")</f>
        <v/>
      </c>
      <c r="E5" s="33">
        <f>IF(J5="H",SUMIFS(Transaksi!$G$2:$G$2001,Transaksi!$M$2:$M$2001,"="&amp;S5)+SUMIFS(Transaksi!$H$2:$H$2001,Transaksi!$M$2:$M$2001,"="&amp;S5)+SUMIFS(Transaksi!$I$2:$I$2001,Transaksi!$M$2:$M$2001,"="&amp;S5),IF(J5="E",IF(INDEX(Transaksi!$G$2:$G$2001,K5)+INDEX(Transaksi!$H$2:$H$2001,K5)+INDEX(Transaksi!$I$2:$I$2001,K5)=0,"",INDEX(Transaksi!$G$2:$G$2001,K5)+INDEX(Transaksi!$H$2:$H$2001,K5)+INDEX(Transaksi!$I$2:$I$2001,K5)),""))</f>
        <v/>
      </c>
      <c r="F5" s="33">
        <f>IF(J5="H",SUMIFS(Transaksi!$J$2:$J$2001,Transaksi!$M$2:$M$2001,"="&amp;S5),IF(J5="E",IF(INDEX(Transaksi!$J$2:$J$2001,K5)=0,"",INDEX(Transaksi!$J$2:$J$2001,K5)),""))</f>
        <v/>
      </c>
      <c r="G5" s="33">
        <f>IF(J5="H",(SUMIFS(Transaksi!$G$2:$G$2001,Transaksi!$M$2:$M$2001,"&lt;="&amp;S5)+SUMIFS(Transaksi!$H$2:$H$2001,Transaksi!$M$2:$M$2001,"&lt;="&amp;S5)+SUMIFS(Transaksi!$I$2:$I$2001,Transaksi!$M$2:$M$2001,"&lt;="&amp;S5))-(SUMIFS(Transaksi!$J$2:$J$2001,Transaksi!$M$2:$M$2001,"&lt;="&amp;S5)),"")</f>
        <v/>
      </c>
      <c r="I5">
        <f>IF(2&gt;$O$2,"",MATCH(2,$Q$3:$Q$402,1))</f>
        <v/>
      </c>
      <c r="J5">
        <f>IF(I5="","",IF(2=INDEX($Q$3:$Q$402,I5),"H","E"))</f>
        <v/>
      </c>
      <c r="K5">
        <f>IF(J5&lt;&gt;"E","",MATCH(S5,Transaksi!$M$2:$M$2001,0)+2-INDEX($Q$3:$Q$402,I5)-1)</f>
        <v/>
      </c>
      <c r="N5" t="n">
        <v>3</v>
      </c>
      <c r="O5">
        <f>IF(N5&lt;=$O$1,$O$1-N5+1,"")</f>
        <v/>
      </c>
      <c r="P5">
        <f>IF(O5="",0,COUNTIF(Transaksi!$M$2:$M$2001,O5)+1)</f>
        <v/>
      </c>
      <c r="Q5">
        <f>1+SUM(P$2:P4)</f>
        <v/>
      </c>
      <c r="S5">
        <f>IF(I5="","",INDEX($O$3:$O$402,I5))</f>
        <v/>
      </c>
      <c r="T5">
        <f>IF(J5&lt;&gt;"H","",INDEX(Transaksi!$A$2:$A$2001,MATCH(S5,Transaksi!$M$2:$M$2001,0)))</f>
        <v/>
      </c>
    </row>
    <row r="6">
      <c r="A6" s="31">
        <f>IF(J6="E",IF(INDEX(Transaksi!$J$2:$J$2001,K6)&gt;0,"↑","↓"),"")</f>
        <v/>
      </c>
      <c r="B6" s="32">
        <f>IF(J6="H",CHOOSE(WEEKDAY(T6,2),"Isnin","Selasa","Rabu","Khamis","Jumaat","Sabtu","Ahad")&amp;", "&amp;DAY(T6)&amp;" "&amp;CHOOSE(MONTH(T6),"Jan","Feb","Mac","Apr","Mei","Jun","Jul","Ogo","Sep","Okt","Nov","Dis")&amp;" "&amp;YEAR(T6),IF(J6="E",IF(INDEX(Transaksi!$B$2:$B$2001,K6)="",INDEX(Transaksi!$C$2:$C$2001,K6)&amp;" · "&amp;INDEX(Transaksi!$D$2:$D$2001,K6),INDEX(Transaksi!$B$2:$B$2001,K6)),""))</f>
        <v/>
      </c>
      <c r="C6" s="32">
        <f>IF(J6="E",INDEX(Transaksi!$C$2:$C$2001,K6)&amp;"","")</f>
        <v/>
      </c>
      <c r="D6" s="32">
        <f>IF(J6="E",INDEX(Transaksi!$D$2:$D$2001,K6)&amp;"","")</f>
        <v/>
      </c>
      <c r="E6" s="33">
        <f>IF(J6="H",SUMIFS(Transaksi!$G$2:$G$2001,Transaksi!$M$2:$M$2001,"="&amp;S6)+SUMIFS(Transaksi!$H$2:$H$2001,Transaksi!$M$2:$M$2001,"="&amp;S6)+SUMIFS(Transaksi!$I$2:$I$2001,Transaksi!$M$2:$M$2001,"="&amp;S6),IF(J6="E",IF(INDEX(Transaksi!$G$2:$G$2001,K6)+INDEX(Transaksi!$H$2:$H$2001,K6)+INDEX(Transaksi!$I$2:$I$2001,K6)=0,"",INDEX(Transaksi!$G$2:$G$2001,K6)+INDEX(Transaksi!$H$2:$H$2001,K6)+INDEX(Transaksi!$I$2:$I$2001,K6)),""))</f>
        <v/>
      </c>
      <c r="F6" s="33">
        <f>IF(J6="H",SUMIFS(Transaksi!$J$2:$J$2001,Transaksi!$M$2:$M$2001,"="&amp;S6),IF(J6="E",IF(INDEX(Transaksi!$J$2:$J$2001,K6)=0,"",INDEX(Transaksi!$J$2:$J$2001,K6)),""))</f>
        <v/>
      </c>
      <c r="G6" s="33">
        <f>IF(J6="H",(SUMIFS(Transaksi!$G$2:$G$2001,Transaksi!$M$2:$M$2001,"&lt;="&amp;S6)+SUMIFS(Transaksi!$H$2:$H$2001,Transaksi!$M$2:$M$2001,"&lt;="&amp;S6)+SUMIFS(Transaksi!$I$2:$I$2001,Transaksi!$M$2:$M$2001,"&lt;="&amp;S6))-(SUMIFS(Transaksi!$J$2:$J$2001,Transaksi!$M$2:$M$2001,"&lt;="&amp;S6)),"")</f>
        <v/>
      </c>
      <c r="I6">
        <f>IF(3&gt;$O$2,"",MATCH(3,$Q$3:$Q$402,1))</f>
        <v/>
      </c>
      <c r="J6">
        <f>IF(I6="","",IF(3=INDEX($Q$3:$Q$402,I6),"H","E"))</f>
        <v/>
      </c>
      <c r="K6">
        <f>IF(J6&lt;&gt;"E","",MATCH(S6,Transaksi!$M$2:$M$2001,0)+3-INDEX($Q$3:$Q$402,I6)-1)</f>
        <v/>
      </c>
      <c r="N6" t="n">
        <v>4</v>
      </c>
      <c r="O6">
        <f>IF(N6&lt;=$O$1,$O$1-N6+1,"")</f>
        <v/>
      </c>
      <c r="P6">
        <f>IF(O6="",0,COUNTIF(Transaksi!$M$2:$M$2001,O6)+1)</f>
        <v/>
      </c>
      <c r="Q6">
        <f>1+SUM(P$2:P5)</f>
        <v/>
      </c>
      <c r="S6">
        <f>IF(I6="","",INDEX($O$3:$O$402,I6))</f>
        <v/>
      </c>
      <c r="T6">
        <f>IF(J6&lt;&gt;"H","",INDEX(Transaksi!$A$2:$A$2001,MATCH(S6,Transaksi!$M$2:$M$2001,0)))</f>
        <v/>
      </c>
    </row>
    <row r="7">
      <c r="A7" s="31">
        <f>IF(J7="E",IF(INDEX(Transaksi!$J$2:$J$2001,K7)&gt;0,"↑","↓"),"")</f>
        <v/>
      </c>
      <c r="B7" s="32">
        <f>IF(J7="H",CHOOSE(WEEKDAY(T7,2),"Isnin","Selasa","Rabu","Khamis","Jumaat","Sabtu","Ahad")&amp;", "&amp;DAY(T7)&amp;" "&amp;CHOOSE(MONTH(T7),"Jan","Feb","Mac","Apr","Mei","Jun","Jul","Ogo","Sep","Okt","Nov","Dis")&amp;" "&amp;YEAR(T7),IF(J7="E",IF(INDEX(Transaksi!$B$2:$B$2001,K7)="",INDEX(Transaksi!$C$2:$C$2001,K7)&amp;" · "&amp;INDEX(Transaksi!$D$2:$D$2001,K7),INDEX(Transaksi!$B$2:$B$2001,K7)),""))</f>
        <v/>
      </c>
      <c r="C7" s="32">
        <f>IF(J7="E",INDEX(Transaksi!$C$2:$C$2001,K7)&amp;"","")</f>
        <v/>
      </c>
      <c r="D7" s="32">
        <f>IF(J7="E",INDEX(Transaksi!$D$2:$D$2001,K7)&amp;"","")</f>
        <v/>
      </c>
      <c r="E7" s="33">
        <f>IF(J7="H",SUMIFS(Transaksi!$G$2:$G$2001,Transaksi!$M$2:$M$2001,"="&amp;S7)+SUMIFS(Transaksi!$H$2:$H$2001,Transaksi!$M$2:$M$2001,"="&amp;S7)+SUMIFS(Transaksi!$I$2:$I$2001,Transaksi!$M$2:$M$2001,"="&amp;S7),IF(J7="E",IF(INDEX(Transaksi!$G$2:$G$2001,K7)+INDEX(Transaksi!$H$2:$H$2001,K7)+INDEX(Transaksi!$I$2:$I$2001,K7)=0,"",INDEX(Transaksi!$G$2:$G$2001,K7)+INDEX(Transaksi!$H$2:$H$2001,K7)+INDEX(Transaksi!$I$2:$I$2001,K7)),""))</f>
        <v/>
      </c>
      <c r="F7" s="33">
        <f>IF(J7="H",SUMIFS(Transaksi!$J$2:$J$2001,Transaksi!$M$2:$M$2001,"="&amp;S7),IF(J7="E",IF(INDEX(Transaksi!$J$2:$J$2001,K7)=0,"",INDEX(Transaksi!$J$2:$J$2001,K7)),""))</f>
        <v/>
      </c>
      <c r="G7" s="33">
        <f>IF(J7="H",(SUMIFS(Transaksi!$G$2:$G$2001,Transaksi!$M$2:$M$2001,"&lt;="&amp;S7)+SUMIFS(Transaksi!$H$2:$H$2001,Transaksi!$M$2:$M$2001,"&lt;="&amp;S7)+SUMIFS(Transaksi!$I$2:$I$2001,Transaksi!$M$2:$M$2001,"&lt;="&amp;S7))-(SUMIFS(Transaksi!$J$2:$J$2001,Transaksi!$M$2:$M$2001,"&lt;="&amp;S7)),"")</f>
        <v/>
      </c>
      <c r="I7">
        <f>IF(4&gt;$O$2,"",MATCH(4,$Q$3:$Q$402,1))</f>
        <v/>
      </c>
      <c r="J7">
        <f>IF(I7="","",IF(4=INDEX($Q$3:$Q$402,I7),"H","E"))</f>
        <v/>
      </c>
      <c r="K7">
        <f>IF(J7&lt;&gt;"E","",MATCH(S7,Transaksi!$M$2:$M$2001,0)+4-INDEX($Q$3:$Q$402,I7)-1)</f>
        <v/>
      </c>
      <c r="N7" t="n">
        <v>5</v>
      </c>
      <c r="O7">
        <f>IF(N7&lt;=$O$1,$O$1-N7+1,"")</f>
        <v/>
      </c>
      <c r="P7">
        <f>IF(O7="",0,COUNTIF(Transaksi!$M$2:$M$2001,O7)+1)</f>
        <v/>
      </c>
      <c r="Q7">
        <f>1+SUM(P$2:P6)</f>
        <v/>
      </c>
      <c r="S7">
        <f>IF(I7="","",INDEX($O$3:$O$402,I7))</f>
        <v/>
      </c>
      <c r="T7">
        <f>IF(J7&lt;&gt;"H","",INDEX(Transaksi!$A$2:$A$2001,MATCH(S7,Transaksi!$M$2:$M$2001,0)))</f>
        <v/>
      </c>
    </row>
    <row r="8">
      <c r="A8" s="31">
        <f>IF(J8="E",IF(INDEX(Transaksi!$J$2:$J$2001,K8)&gt;0,"↑","↓"),"")</f>
        <v/>
      </c>
      <c r="B8" s="32">
        <f>IF(J8="H",CHOOSE(WEEKDAY(T8,2),"Isnin","Selasa","Rabu","Khamis","Jumaat","Sabtu","Ahad")&amp;", "&amp;DAY(T8)&amp;" "&amp;CHOOSE(MONTH(T8),"Jan","Feb","Mac","Apr","Mei","Jun","Jul","Ogo","Sep","Okt","Nov","Dis")&amp;" "&amp;YEAR(T8),IF(J8="E",IF(INDEX(Transaksi!$B$2:$B$2001,K8)="",INDEX(Transaksi!$C$2:$C$2001,K8)&amp;" · "&amp;INDEX(Transaksi!$D$2:$D$2001,K8),INDEX(Transaksi!$B$2:$B$2001,K8)),""))</f>
        <v/>
      </c>
      <c r="C8" s="32">
        <f>IF(J8="E",INDEX(Transaksi!$C$2:$C$2001,K8)&amp;"","")</f>
        <v/>
      </c>
      <c r="D8" s="32">
        <f>IF(J8="E",INDEX(Transaksi!$D$2:$D$2001,K8)&amp;"","")</f>
        <v/>
      </c>
      <c r="E8" s="33">
        <f>IF(J8="H",SUMIFS(Transaksi!$G$2:$G$2001,Transaksi!$M$2:$M$2001,"="&amp;S8)+SUMIFS(Transaksi!$H$2:$H$2001,Transaksi!$M$2:$M$2001,"="&amp;S8)+SUMIFS(Transaksi!$I$2:$I$2001,Transaksi!$M$2:$M$2001,"="&amp;S8),IF(J8="E",IF(INDEX(Transaksi!$G$2:$G$2001,K8)+INDEX(Transaksi!$H$2:$H$2001,K8)+INDEX(Transaksi!$I$2:$I$2001,K8)=0,"",INDEX(Transaksi!$G$2:$G$2001,K8)+INDEX(Transaksi!$H$2:$H$2001,K8)+INDEX(Transaksi!$I$2:$I$2001,K8)),""))</f>
        <v/>
      </c>
      <c r="F8" s="33">
        <f>IF(J8="H",SUMIFS(Transaksi!$J$2:$J$2001,Transaksi!$M$2:$M$2001,"="&amp;S8),IF(J8="E",IF(INDEX(Transaksi!$J$2:$J$2001,K8)=0,"",INDEX(Transaksi!$J$2:$J$2001,K8)),""))</f>
        <v/>
      </c>
      <c r="G8" s="33">
        <f>IF(J8="H",(SUMIFS(Transaksi!$G$2:$G$2001,Transaksi!$M$2:$M$2001,"&lt;="&amp;S8)+SUMIFS(Transaksi!$H$2:$H$2001,Transaksi!$M$2:$M$2001,"&lt;="&amp;S8)+SUMIFS(Transaksi!$I$2:$I$2001,Transaksi!$M$2:$M$2001,"&lt;="&amp;S8))-(SUMIFS(Transaksi!$J$2:$J$2001,Transaksi!$M$2:$M$2001,"&lt;="&amp;S8)),"")</f>
        <v/>
      </c>
      <c r="I8">
        <f>IF(5&gt;$O$2,"",MATCH(5,$Q$3:$Q$402,1))</f>
        <v/>
      </c>
      <c r="J8">
        <f>IF(I8="","",IF(5=INDEX($Q$3:$Q$402,I8),"H","E"))</f>
        <v/>
      </c>
      <c r="K8">
        <f>IF(J8&lt;&gt;"E","",MATCH(S8,Transaksi!$M$2:$M$2001,0)+5-INDEX($Q$3:$Q$402,I8)-1)</f>
        <v/>
      </c>
      <c r="N8" t="n">
        <v>6</v>
      </c>
      <c r="O8">
        <f>IF(N8&lt;=$O$1,$O$1-N8+1,"")</f>
        <v/>
      </c>
      <c r="P8">
        <f>IF(O8="",0,COUNTIF(Transaksi!$M$2:$M$2001,O8)+1)</f>
        <v/>
      </c>
      <c r="Q8">
        <f>1+SUM(P$2:P7)</f>
        <v/>
      </c>
      <c r="S8">
        <f>IF(I8="","",INDEX($O$3:$O$402,I8))</f>
        <v/>
      </c>
      <c r="T8">
        <f>IF(J8&lt;&gt;"H","",INDEX(Transaksi!$A$2:$A$2001,MATCH(S8,Transaksi!$M$2:$M$2001,0)))</f>
        <v/>
      </c>
    </row>
    <row r="9">
      <c r="A9" s="31">
        <f>IF(J9="E",IF(INDEX(Transaksi!$J$2:$J$2001,K9)&gt;0,"↑","↓"),"")</f>
        <v/>
      </c>
      <c r="B9" s="32">
        <f>IF(J9="H",CHOOSE(WEEKDAY(T9,2),"Isnin","Selasa","Rabu","Khamis","Jumaat","Sabtu","Ahad")&amp;", "&amp;DAY(T9)&amp;" "&amp;CHOOSE(MONTH(T9),"Jan","Feb","Mac","Apr","Mei","Jun","Jul","Ogo","Sep","Okt","Nov","Dis")&amp;" "&amp;YEAR(T9),IF(J9="E",IF(INDEX(Transaksi!$B$2:$B$2001,K9)="",INDEX(Transaksi!$C$2:$C$2001,K9)&amp;" · "&amp;INDEX(Transaksi!$D$2:$D$2001,K9),INDEX(Transaksi!$B$2:$B$2001,K9)),""))</f>
        <v/>
      </c>
      <c r="C9" s="32">
        <f>IF(J9="E",INDEX(Transaksi!$C$2:$C$2001,K9)&amp;"","")</f>
        <v/>
      </c>
      <c r="D9" s="32">
        <f>IF(J9="E",INDEX(Transaksi!$D$2:$D$2001,K9)&amp;"","")</f>
        <v/>
      </c>
      <c r="E9" s="33">
        <f>IF(J9="H",SUMIFS(Transaksi!$G$2:$G$2001,Transaksi!$M$2:$M$2001,"="&amp;S9)+SUMIFS(Transaksi!$H$2:$H$2001,Transaksi!$M$2:$M$2001,"="&amp;S9)+SUMIFS(Transaksi!$I$2:$I$2001,Transaksi!$M$2:$M$2001,"="&amp;S9),IF(J9="E",IF(INDEX(Transaksi!$G$2:$G$2001,K9)+INDEX(Transaksi!$H$2:$H$2001,K9)+INDEX(Transaksi!$I$2:$I$2001,K9)=0,"",INDEX(Transaksi!$G$2:$G$2001,K9)+INDEX(Transaksi!$H$2:$H$2001,K9)+INDEX(Transaksi!$I$2:$I$2001,K9)),""))</f>
        <v/>
      </c>
      <c r="F9" s="33">
        <f>IF(J9="H",SUMIFS(Transaksi!$J$2:$J$2001,Transaksi!$M$2:$M$2001,"="&amp;S9),IF(J9="E",IF(INDEX(Transaksi!$J$2:$J$2001,K9)=0,"",INDEX(Transaksi!$J$2:$J$2001,K9)),""))</f>
        <v/>
      </c>
      <c r="G9" s="33">
        <f>IF(J9="H",(SUMIFS(Transaksi!$G$2:$G$2001,Transaksi!$M$2:$M$2001,"&lt;="&amp;S9)+SUMIFS(Transaksi!$H$2:$H$2001,Transaksi!$M$2:$M$2001,"&lt;="&amp;S9)+SUMIFS(Transaksi!$I$2:$I$2001,Transaksi!$M$2:$M$2001,"&lt;="&amp;S9))-(SUMIFS(Transaksi!$J$2:$J$2001,Transaksi!$M$2:$M$2001,"&lt;="&amp;S9)),"")</f>
        <v/>
      </c>
      <c r="I9">
        <f>IF(6&gt;$O$2,"",MATCH(6,$Q$3:$Q$402,1))</f>
        <v/>
      </c>
      <c r="J9">
        <f>IF(I9="","",IF(6=INDEX($Q$3:$Q$402,I9),"H","E"))</f>
        <v/>
      </c>
      <c r="K9">
        <f>IF(J9&lt;&gt;"E","",MATCH(S9,Transaksi!$M$2:$M$2001,0)+6-INDEX($Q$3:$Q$402,I9)-1)</f>
        <v/>
      </c>
      <c r="N9" t="n">
        <v>7</v>
      </c>
      <c r="O9">
        <f>IF(N9&lt;=$O$1,$O$1-N9+1,"")</f>
        <v/>
      </c>
      <c r="P9">
        <f>IF(O9="",0,COUNTIF(Transaksi!$M$2:$M$2001,O9)+1)</f>
        <v/>
      </c>
      <c r="Q9">
        <f>1+SUM(P$2:P8)</f>
        <v/>
      </c>
      <c r="S9">
        <f>IF(I9="","",INDEX($O$3:$O$402,I9))</f>
        <v/>
      </c>
      <c r="T9">
        <f>IF(J9&lt;&gt;"H","",INDEX(Transaksi!$A$2:$A$2001,MATCH(S9,Transaksi!$M$2:$M$2001,0)))</f>
        <v/>
      </c>
    </row>
    <row r="10">
      <c r="A10" s="31">
        <f>IF(J10="E",IF(INDEX(Transaksi!$J$2:$J$2001,K10)&gt;0,"↑","↓"),"")</f>
        <v/>
      </c>
      <c r="B10" s="32">
        <f>IF(J10="H",CHOOSE(WEEKDAY(T10,2),"Isnin","Selasa","Rabu","Khamis","Jumaat","Sabtu","Ahad")&amp;", "&amp;DAY(T10)&amp;" "&amp;CHOOSE(MONTH(T10),"Jan","Feb","Mac","Apr","Mei","Jun","Jul","Ogo","Sep","Okt","Nov","Dis")&amp;" "&amp;YEAR(T10),IF(J10="E",IF(INDEX(Transaksi!$B$2:$B$2001,K10)="",INDEX(Transaksi!$C$2:$C$2001,K10)&amp;" · "&amp;INDEX(Transaksi!$D$2:$D$2001,K10),INDEX(Transaksi!$B$2:$B$2001,K10)),""))</f>
        <v/>
      </c>
      <c r="C10" s="32">
        <f>IF(J10="E",INDEX(Transaksi!$C$2:$C$2001,K10)&amp;"","")</f>
        <v/>
      </c>
      <c r="D10" s="32">
        <f>IF(J10="E",INDEX(Transaksi!$D$2:$D$2001,K10)&amp;"","")</f>
        <v/>
      </c>
      <c r="E10" s="33">
        <f>IF(J10="H",SUMIFS(Transaksi!$G$2:$G$2001,Transaksi!$M$2:$M$2001,"="&amp;S10)+SUMIFS(Transaksi!$H$2:$H$2001,Transaksi!$M$2:$M$2001,"="&amp;S10)+SUMIFS(Transaksi!$I$2:$I$2001,Transaksi!$M$2:$M$2001,"="&amp;S10),IF(J10="E",IF(INDEX(Transaksi!$G$2:$G$2001,K10)+INDEX(Transaksi!$H$2:$H$2001,K10)+INDEX(Transaksi!$I$2:$I$2001,K10)=0,"",INDEX(Transaksi!$G$2:$G$2001,K10)+INDEX(Transaksi!$H$2:$H$2001,K10)+INDEX(Transaksi!$I$2:$I$2001,K10)),""))</f>
        <v/>
      </c>
      <c r="F10" s="33">
        <f>IF(J10="H",SUMIFS(Transaksi!$J$2:$J$2001,Transaksi!$M$2:$M$2001,"="&amp;S10),IF(J10="E",IF(INDEX(Transaksi!$J$2:$J$2001,K10)=0,"",INDEX(Transaksi!$J$2:$J$2001,K10)),""))</f>
        <v/>
      </c>
      <c r="G10" s="33">
        <f>IF(J10="H",(SUMIFS(Transaksi!$G$2:$G$2001,Transaksi!$M$2:$M$2001,"&lt;="&amp;S10)+SUMIFS(Transaksi!$H$2:$H$2001,Transaksi!$M$2:$M$2001,"&lt;="&amp;S10)+SUMIFS(Transaksi!$I$2:$I$2001,Transaksi!$M$2:$M$2001,"&lt;="&amp;S10))-(SUMIFS(Transaksi!$J$2:$J$2001,Transaksi!$M$2:$M$2001,"&lt;="&amp;S10)),"")</f>
        <v/>
      </c>
      <c r="I10">
        <f>IF(7&gt;$O$2,"",MATCH(7,$Q$3:$Q$402,1))</f>
        <v/>
      </c>
      <c r="J10">
        <f>IF(I10="","",IF(7=INDEX($Q$3:$Q$402,I10),"H","E"))</f>
        <v/>
      </c>
      <c r="K10">
        <f>IF(J10&lt;&gt;"E","",MATCH(S10,Transaksi!$M$2:$M$2001,0)+7-INDEX($Q$3:$Q$402,I10)-1)</f>
        <v/>
      </c>
      <c r="N10" t="n">
        <v>8</v>
      </c>
      <c r="O10">
        <f>IF(N10&lt;=$O$1,$O$1-N10+1,"")</f>
        <v/>
      </c>
      <c r="P10">
        <f>IF(O10="",0,COUNTIF(Transaksi!$M$2:$M$2001,O10)+1)</f>
        <v/>
      </c>
      <c r="Q10">
        <f>1+SUM(P$2:P9)</f>
        <v/>
      </c>
      <c r="S10">
        <f>IF(I10="","",INDEX($O$3:$O$402,I10))</f>
        <v/>
      </c>
      <c r="T10">
        <f>IF(J10&lt;&gt;"H","",INDEX(Transaksi!$A$2:$A$2001,MATCH(S10,Transaksi!$M$2:$M$2001,0)))</f>
        <v/>
      </c>
    </row>
    <row r="11">
      <c r="A11" s="31">
        <f>IF(J11="E",IF(INDEX(Transaksi!$J$2:$J$2001,K11)&gt;0,"↑","↓"),"")</f>
        <v/>
      </c>
      <c r="B11" s="32">
        <f>IF(J11="H",CHOOSE(WEEKDAY(T11,2),"Isnin","Selasa","Rabu","Khamis","Jumaat","Sabtu","Ahad")&amp;", "&amp;DAY(T11)&amp;" "&amp;CHOOSE(MONTH(T11),"Jan","Feb","Mac","Apr","Mei","Jun","Jul","Ogo","Sep","Okt","Nov","Dis")&amp;" "&amp;YEAR(T11),IF(J11="E",IF(INDEX(Transaksi!$B$2:$B$2001,K11)="",INDEX(Transaksi!$C$2:$C$2001,K11)&amp;" · "&amp;INDEX(Transaksi!$D$2:$D$2001,K11),INDEX(Transaksi!$B$2:$B$2001,K11)),""))</f>
        <v/>
      </c>
      <c r="C11" s="32">
        <f>IF(J11="E",INDEX(Transaksi!$C$2:$C$2001,K11)&amp;"","")</f>
        <v/>
      </c>
      <c r="D11" s="32">
        <f>IF(J11="E",INDEX(Transaksi!$D$2:$D$2001,K11)&amp;"","")</f>
        <v/>
      </c>
      <c r="E11" s="33">
        <f>IF(J11="H",SUMIFS(Transaksi!$G$2:$G$2001,Transaksi!$M$2:$M$2001,"="&amp;S11)+SUMIFS(Transaksi!$H$2:$H$2001,Transaksi!$M$2:$M$2001,"="&amp;S11)+SUMIFS(Transaksi!$I$2:$I$2001,Transaksi!$M$2:$M$2001,"="&amp;S11),IF(J11="E",IF(INDEX(Transaksi!$G$2:$G$2001,K11)+INDEX(Transaksi!$H$2:$H$2001,K11)+INDEX(Transaksi!$I$2:$I$2001,K11)=0,"",INDEX(Transaksi!$G$2:$G$2001,K11)+INDEX(Transaksi!$H$2:$H$2001,K11)+INDEX(Transaksi!$I$2:$I$2001,K11)),""))</f>
        <v/>
      </c>
      <c r="F11" s="33">
        <f>IF(J11="H",SUMIFS(Transaksi!$J$2:$J$2001,Transaksi!$M$2:$M$2001,"="&amp;S11),IF(J11="E",IF(INDEX(Transaksi!$J$2:$J$2001,K11)=0,"",INDEX(Transaksi!$J$2:$J$2001,K11)),""))</f>
        <v/>
      </c>
      <c r="G11" s="33">
        <f>IF(J11="H",(SUMIFS(Transaksi!$G$2:$G$2001,Transaksi!$M$2:$M$2001,"&lt;="&amp;S11)+SUMIFS(Transaksi!$H$2:$H$2001,Transaksi!$M$2:$M$2001,"&lt;="&amp;S11)+SUMIFS(Transaksi!$I$2:$I$2001,Transaksi!$M$2:$M$2001,"&lt;="&amp;S11))-(SUMIFS(Transaksi!$J$2:$J$2001,Transaksi!$M$2:$M$2001,"&lt;="&amp;S11)),"")</f>
        <v/>
      </c>
      <c r="I11">
        <f>IF(8&gt;$O$2,"",MATCH(8,$Q$3:$Q$402,1))</f>
        <v/>
      </c>
      <c r="J11">
        <f>IF(I11="","",IF(8=INDEX($Q$3:$Q$402,I11),"H","E"))</f>
        <v/>
      </c>
      <c r="K11">
        <f>IF(J11&lt;&gt;"E","",MATCH(S11,Transaksi!$M$2:$M$2001,0)+8-INDEX($Q$3:$Q$402,I11)-1)</f>
        <v/>
      </c>
      <c r="N11" t="n">
        <v>9</v>
      </c>
      <c r="O11">
        <f>IF(N11&lt;=$O$1,$O$1-N11+1,"")</f>
        <v/>
      </c>
      <c r="P11">
        <f>IF(O11="",0,COUNTIF(Transaksi!$M$2:$M$2001,O11)+1)</f>
        <v/>
      </c>
      <c r="Q11">
        <f>1+SUM(P$2:P10)</f>
        <v/>
      </c>
      <c r="S11">
        <f>IF(I11="","",INDEX($O$3:$O$402,I11))</f>
        <v/>
      </c>
      <c r="T11">
        <f>IF(J11&lt;&gt;"H","",INDEX(Transaksi!$A$2:$A$2001,MATCH(S11,Transaksi!$M$2:$M$2001,0)))</f>
        <v/>
      </c>
    </row>
    <row r="12">
      <c r="A12" s="31">
        <f>IF(J12="E",IF(INDEX(Transaksi!$J$2:$J$2001,K12)&gt;0,"↑","↓"),"")</f>
        <v/>
      </c>
      <c r="B12" s="32">
        <f>IF(J12="H",CHOOSE(WEEKDAY(T12,2),"Isnin","Selasa","Rabu","Khamis","Jumaat","Sabtu","Ahad")&amp;", "&amp;DAY(T12)&amp;" "&amp;CHOOSE(MONTH(T12),"Jan","Feb","Mac","Apr","Mei","Jun","Jul","Ogo","Sep","Okt","Nov","Dis")&amp;" "&amp;YEAR(T12),IF(J12="E",IF(INDEX(Transaksi!$B$2:$B$2001,K12)="",INDEX(Transaksi!$C$2:$C$2001,K12)&amp;" · "&amp;INDEX(Transaksi!$D$2:$D$2001,K12),INDEX(Transaksi!$B$2:$B$2001,K12)),""))</f>
        <v/>
      </c>
      <c r="C12" s="32">
        <f>IF(J12="E",INDEX(Transaksi!$C$2:$C$2001,K12)&amp;"","")</f>
        <v/>
      </c>
      <c r="D12" s="32">
        <f>IF(J12="E",INDEX(Transaksi!$D$2:$D$2001,K12)&amp;"","")</f>
        <v/>
      </c>
      <c r="E12" s="33">
        <f>IF(J12="H",SUMIFS(Transaksi!$G$2:$G$2001,Transaksi!$M$2:$M$2001,"="&amp;S12)+SUMIFS(Transaksi!$H$2:$H$2001,Transaksi!$M$2:$M$2001,"="&amp;S12)+SUMIFS(Transaksi!$I$2:$I$2001,Transaksi!$M$2:$M$2001,"="&amp;S12),IF(J12="E",IF(INDEX(Transaksi!$G$2:$G$2001,K12)+INDEX(Transaksi!$H$2:$H$2001,K12)+INDEX(Transaksi!$I$2:$I$2001,K12)=0,"",INDEX(Transaksi!$G$2:$G$2001,K12)+INDEX(Transaksi!$H$2:$H$2001,K12)+INDEX(Transaksi!$I$2:$I$2001,K12)),""))</f>
        <v/>
      </c>
      <c r="F12" s="33">
        <f>IF(J12="H",SUMIFS(Transaksi!$J$2:$J$2001,Transaksi!$M$2:$M$2001,"="&amp;S12),IF(J12="E",IF(INDEX(Transaksi!$J$2:$J$2001,K12)=0,"",INDEX(Transaksi!$J$2:$J$2001,K12)),""))</f>
        <v/>
      </c>
      <c r="G12" s="33">
        <f>IF(J12="H",(SUMIFS(Transaksi!$G$2:$G$2001,Transaksi!$M$2:$M$2001,"&lt;="&amp;S12)+SUMIFS(Transaksi!$H$2:$H$2001,Transaksi!$M$2:$M$2001,"&lt;="&amp;S12)+SUMIFS(Transaksi!$I$2:$I$2001,Transaksi!$M$2:$M$2001,"&lt;="&amp;S12))-(SUMIFS(Transaksi!$J$2:$J$2001,Transaksi!$M$2:$M$2001,"&lt;="&amp;S12)),"")</f>
        <v/>
      </c>
      <c r="I12">
        <f>IF(9&gt;$O$2,"",MATCH(9,$Q$3:$Q$402,1))</f>
        <v/>
      </c>
      <c r="J12">
        <f>IF(I12="","",IF(9=INDEX($Q$3:$Q$402,I12),"H","E"))</f>
        <v/>
      </c>
      <c r="K12">
        <f>IF(J12&lt;&gt;"E","",MATCH(S12,Transaksi!$M$2:$M$2001,0)+9-INDEX($Q$3:$Q$402,I12)-1)</f>
        <v/>
      </c>
      <c r="N12" t="n">
        <v>10</v>
      </c>
      <c r="O12">
        <f>IF(N12&lt;=$O$1,$O$1-N12+1,"")</f>
        <v/>
      </c>
      <c r="P12">
        <f>IF(O12="",0,COUNTIF(Transaksi!$M$2:$M$2001,O12)+1)</f>
        <v/>
      </c>
      <c r="Q12">
        <f>1+SUM(P$2:P11)</f>
        <v/>
      </c>
      <c r="S12">
        <f>IF(I12="","",INDEX($O$3:$O$402,I12))</f>
        <v/>
      </c>
      <c r="T12">
        <f>IF(J12&lt;&gt;"H","",INDEX(Transaksi!$A$2:$A$2001,MATCH(S12,Transaksi!$M$2:$M$2001,0)))</f>
        <v/>
      </c>
    </row>
    <row r="13">
      <c r="A13" s="31">
        <f>IF(J13="E",IF(INDEX(Transaksi!$J$2:$J$2001,K13)&gt;0,"↑","↓"),"")</f>
        <v/>
      </c>
      <c r="B13" s="32">
        <f>IF(J13="H",CHOOSE(WEEKDAY(T13,2),"Isnin","Selasa","Rabu","Khamis","Jumaat","Sabtu","Ahad")&amp;", "&amp;DAY(T13)&amp;" "&amp;CHOOSE(MONTH(T13),"Jan","Feb","Mac","Apr","Mei","Jun","Jul","Ogo","Sep","Okt","Nov","Dis")&amp;" "&amp;YEAR(T13),IF(J13="E",IF(INDEX(Transaksi!$B$2:$B$2001,K13)="",INDEX(Transaksi!$C$2:$C$2001,K13)&amp;" · "&amp;INDEX(Transaksi!$D$2:$D$2001,K13),INDEX(Transaksi!$B$2:$B$2001,K13)),""))</f>
        <v/>
      </c>
      <c r="C13" s="32">
        <f>IF(J13="E",INDEX(Transaksi!$C$2:$C$2001,K13)&amp;"","")</f>
        <v/>
      </c>
      <c r="D13" s="32">
        <f>IF(J13="E",INDEX(Transaksi!$D$2:$D$2001,K13)&amp;"","")</f>
        <v/>
      </c>
      <c r="E13" s="33">
        <f>IF(J13="H",SUMIFS(Transaksi!$G$2:$G$2001,Transaksi!$M$2:$M$2001,"="&amp;S13)+SUMIFS(Transaksi!$H$2:$H$2001,Transaksi!$M$2:$M$2001,"="&amp;S13)+SUMIFS(Transaksi!$I$2:$I$2001,Transaksi!$M$2:$M$2001,"="&amp;S13),IF(J13="E",IF(INDEX(Transaksi!$G$2:$G$2001,K13)+INDEX(Transaksi!$H$2:$H$2001,K13)+INDEX(Transaksi!$I$2:$I$2001,K13)=0,"",INDEX(Transaksi!$G$2:$G$2001,K13)+INDEX(Transaksi!$H$2:$H$2001,K13)+INDEX(Transaksi!$I$2:$I$2001,K13)),""))</f>
        <v/>
      </c>
      <c r="F13" s="33">
        <f>IF(J13="H",SUMIFS(Transaksi!$J$2:$J$2001,Transaksi!$M$2:$M$2001,"="&amp;S13),IF(J13="E",IF(INDEX(Transaksi!$J$2:$J$2001,K13)=0,"",INDEX(Transaksi!$J$2:$J$2001,K13)),""))</f>
        <v/>
      </c>
      <c r="G13" s="33">
        <f>IF(J13="H",(SUMIFS(Transaksi!$G$2:$G$2001,Transaksi!$M$2:$M$2001,"&lt;="&amp;S13)+SUMIFS(Transaksi!$H$2:$H$2001,Transaksi!$M$2:$M$2001,"&lt;="&amp;S13)+SUMIFS(Transaksi!$I$2:$I$2001,Transaksi!$M$2:$M$2001,"&lt;="&amp;S13))-(SUMIFS(Transaksi!$J$2:$J$2001,Transaksi!$M$2:$M$2001,"&lt;="&amp;S13)),"")</f>
        <v/>
      </c>
      <c r="I13">
        <f>IF(10&gt;$O$2,"",MATCH(10,$Q$3:$Q$402,1))</f>
        <v/>
      </c>
      <c r="J13">
        <f>IF(I13="","",IF(10=INDEX($Q$3:$Q$402,I13),"H","E"))</f>
        <v/>
      </c>
      <c r="K13">
        <f>IF(J13&lt;&gt;"E","",MATCH(S13,Transaksi!$M$2:$M$2001,0)+10-INDEX($Q$3:$Q$402,I13)-1)</f>
        <v/>
      </c>
      <c r="N13" t="n">
        <v>11</v>
      </c>
      <c r="O13">
        <f>IF(N13&lt;=$O$1,$O$1-N13+1,"")</f>
        <v/>
      </c>
      <c r="P13">
        <f>IF(O13="",0,COUNTIF(Transaksi!$M$2:$M$2001,O13)+1)</f>
        <v/>
      </c>
      <c r="Q13">
        <f>1+SUM(P$2:P12)</f>
        <v/>
      </c>
      <c r="S13">
        <f>IF(I13="","",INDEX($O$3:$O$402,I13))</f>
        <v/>
      </c>
      <c r="T13">
        <f>IF(J13&lt;&gt;"H","",INDEX(Transaksi!$A$2:$A$2001,MATCH(S13,Transaksi!$M$2:$M$2001,0)))</f>
        <v/>
      </c>
    </row>
    <row r="14">
      <c r="A14" s="31">
        <f>IF(J14="E",IF(INDEX(Transaksi!$J$2:$J$2001,K14)&gt;0,"↑","↓"),"")</f>
        <v/>
      </c>
      <c r="B14" s="32">
        <f>IF(J14="H",CHOOSE(WEEKDAY(T14,2),"Isnin","Selasa","Rabu","Khamis","Jumaat","Sabtu","Ahad")&amp;", "&amp;DAY(T14)&amp;" "&amp;CHOOSE(MONTH(T14),"Jan","Feb","Mac","Apr","Mei","Jun","Jul","Ogo","Sep","Okt","Nov","Dis")&amp;" "&amp;YEAR(T14),IF(J14="E",IF(INDEX(Transaksi!$B$2:$B$2001,K14)="",INDEX(Transaksi!$C$2:$C$2001,K14)&amp;" · "&amp;INDEX(Transaksi!$D$2:$D$2001,K14),INDEX(Transaksi!$B$2:$B$2001,K14)),""))</f>
        <v/>
      </c>
      <c r="C14" s="32">
        <f>IF(J14="E",INDEX(Transaksi!$C$2:$C$2001,K14)&amp;"","")</f>
        <v/>
      </c>
      <c r="D14" s="32">
        <f>IF(J14="E",INDEX(Transaksi!$D$2:$D$2001,K14)&amp;"","")</f>
        <v/>
      </c>
      <c r="E14" s="33">
        <f>IF(J14="H",SUMIFS(Transaksi!$G$2:$G$2001,Transaksi!$M$2:$M$2001,"="&amp;S14)+SUMIFS(Transaksi!$H$2:$H$2001,Transaksi!$M$2:$M$2001,"="&amp;S14)+SUMIFS(Transaksi!$I$2:$I$2001,Transaksi!$M$2:$M$2001,"="&amp;S14),IF(J14="E",IF(INDEX(Transaksi!$G$2:$G$2001,K14)+INDEX(Transaksi!$H$2:$H$2001,K14)+INDEX(Transaksi!$I$2:$I$2001,K14)=0,"",INDEX(Transaksi!$G$2:$G$2001,K14)+INDEX(Transaksi!$H$2:$H$2001,K14)+INDEX(Transaksi!$I$2:$I$2001,K14)),""))</f>
        <v/>
      </c>
      <c r="F14" s="33">
        <f>IF(J14="H",SUMIFS(Transaksi!$J$2:$J$2001,Transaksi!$M$2:$M$2001,"="&amp;S14),IF(J14="E",IF(INDEX(Transaksi!$J$2:$J$2001,K14)=0,"",INDEX(Transaksi!$J$2:$J$2001,K14)),""))</f>
        <v/>
      </c>
      <c r="G14" s="33">
        <f>IF(J14="H",(SUMIFS(Transaksi!$G$2:$G$2001,Transaksi!$M$2:$M$2001,"&lt;="&amp;S14)+SUMIFS(Transaksi!$H$2:$H$2001,Transaksi!$M$2:$M$2001,"&lt;="&amp;S14)+SUMIFS(Transaksi!$I$2:$I$2001,Transaksi!$M$2:$M$2001,"&lt;="&amp;S14))-(SUMIFS(Transaksi!$J$2:$J$2001,Transaksi!$M$2:$M$2001,"&lt;="&amp;S14)),"")</f>
        <v/>
      </c>
      <c r="I14">
        <f>IF(11&gt;$O$2,"",MATCH(11,$Q$3:$Q$402,1))</f>
        <v/>
      </c>
      <c r="J14">
        <f>IF(I14="","",IF(11=INDEX($Q$3:$Q$402,I14),"H","E"))</f>
        <v/>
      </c>
      <c r="K14">
        <f>IF(J14&lt;&gt;"E","",MATCH(S14,Transaksi!$M$2:$M$2001,0)+11-INDEX($Q$3:$Q$402,I14)-1)</f>
        <v/>
      </c>
      <c r="N14" t="n">
        <v>12</v>
      </c>
      <c r="O14">
        <f>IF(N14&lt;=$O$1,$O$1-N14+1,"")</f>
        <v/>
      </c>
      <c r="P14">
        <f>IF(O14="",0,COUNTIF(Transaksi!$M$2:$M$2001,O14)+1)</f>
        <v/>
      </c>
      <c r="Q14">
        <f>1+SUM(P$2:P13)</f>
        <v/>
      </c>
      <c r="S14">
        <f>IF(I14="","",INDEX($O$3:$O$402,I14))</f>
        <v/>
      </c>
      <c r="T14">
        <f>IF(J14&lt;&gt;"H","",INDEX(Transaksi!$A$2:$A$2001,MATCH(S14,Transaksi!$M$2:$M$2001,0)))</f>
        <v/>
      </c>
    </row>
    <row r="15">
      <c r="A15" s="31">
        <f>IF(J15="E",IF(INDEX(Transaksi!$J$2:$J$2001,K15)&gt;0,"↑","↓"),"")</f>
        <v/>
      </c>
      <c r="B15" s="32">
        <f>IF(J15="H",CHOOSE(WEEKDAY(T15,2),"Isnin","Selasa","Rabu","Khamis","Jumaat","Sabtu","Ahad")&amp;", "&amp;DAY(T15)&amp;" "&amp;CHOOSE(MONTH(T15),"Jan","Feb","Mac","Apr","Mei","Jun","Jul","Ogo","Sep","Okt","Nov","Dis")&amp;" "&amp;YEAR(T15),IF(J15="E",IF(INDEX(Transaksi!$B$2:$B$2001,K15)="",INDEX(Transaksi!$C$2:$C$2001,K15)&amp;" · "&amp;INDEX(Transaksi!$D$2:$D$2001,K15),INDEX(Transaksi!$B$2:$B$2001,K15)),""))</f>
        <v/>
      </c>
      <c r="C15" s="32">
        <f>IF(J15="E",INDEX(Transaksi!$C$2:$C$2001,K15)&amp;"","")</f>
        <v/>
      </c>
      <c r="D15" s="32">
        <f>IF(J15="E",INDEX(Transaksi!$D$2:$D$2001,K15)&amp;"","")</f>
        <v/>
      </c>
      <c r="E15" s="33">
        <f>IF(J15="H",SUMIFS(Transaksi!$G$2:$G$2001,Transaksi!$M$2:$M$2001,"="&amp;S15)+SUMIFS(Transaksi!$H$2:$H$2001,Transaksi!$M$2:$M$2001,"="&amp;S15)+SUMIFS(Transaksi!$I$2:$I$2001,Transaksi!$M$2:$M$2001,"="&amp;S15),IF(J15="E",IF(INDEX(Transaksi!$G$2:$G$2001,K15)+INDEX(Transaksi!$H$2:$H$2001,K15)+INDEX(Transaksi!$I$2:$I$2001,K15)=0,"",INDEX(Transaksi!$G$2:$G$2001,K15)+INDEX(Transaksi!$H$2:$H$2001,K15)+INDEX(Transaksi!$I$2:$I$2001,K15)),""))</f>
        <v/>
      </c>
      <c r="F15" s="33">
        <f>IF(J15="H",SUMIFS(Transaksi!$J$2:$J$2001,Transaksi!$M$2:$M$2001,"="&amp;S15),IF(J15="E",IF(INDEX(Transaksi!$J$2:$J$2001,K15)=0,"",INDEX(Transaksi!$J$2:$J$2001,K15)),""))</f>
        <v/>
      </c>
      <c r="G15" s="33">
        <f>IF(J15="H",(SUMIFS(Transaksi!$G$2:$G$2001,Transaksi!$M$2:$M$2001,"&lt;="&amp;S15)+SUMIFS(Transaksi!$H$2:$H$2001,Transaksi!$M$2:$M$2001,"&lt;="&amp;S15)+SUMIFS(Transaksi!$I$2:$I$2001,Transaksi!$M$2:$M$2001,"&lt;="&amp;S15))-(SUMIFS(Transaksi!$J$2:$J$2001,Transaksi!$M$2:$M$2001,"&lt;="&amp;S15)),"")</f>
        <v/>
      </c>
      <c r="I15">
        <f>IF(12&gt;$O$2,"",MATCH(12,$Q$3:$Q$402,1))</f>
        <v/>
      </c>
      <c r="J15">
        <f>IF(I15="","",IF(12=INDEX($Q$3:$Q$402,I15),"H","E"))</f>
        <v/>
      </c>
      <c r="K15">
        <f>IF(J15&lt;&gt;"E","",MATCH(S15,Transaksi!$M$2:$M$2001,0)+12-INDEX($Q$3:$Q$402,I15)-1)</f>
        <v/>
      </c>
      <c r="N15" t="n">
        <v>13</v>
      </c>
      <c r="O15">
        <f>IF(N15&lt;=$O$1,$O$1-N15+1,"")</f>
        <v/>
      </c>
      <c r="P15">
        <f>IF(O15="",0,COUNTIF(Transaksi!$M$2:$M$2001,O15)+1)</f>
        <v/>
      </c>
      <c r="Q15">
        <f>1+SUM(P$2:P14)</f>
        <v/>
      </c>
      <c r="S15">
        <f>IF(I15="","",INDEX($O$3:$O$402,I15))</f>
        <v/>
      </c>
      <c r="T15">
        <f>IF(J15&lt;&gt;"H","",INDEX(Transaksi!$A$2:$A$2001,MATCH(S15,Transaksi!$M$2:$M$2001,0)))</f>
        <v/>
      </c>
    </row>
    <row r="16">
      <c r="A16" s="31">
        <f>IF(J16="E",IF(INDEX(Transaksi!$J$2:$J$2001,K16)&gt;0,"↑","↓"),"")</f>
        <v/>
      </c>
      <c r="B16" s="32">
        <f>IF(J16="H",CHOOSE(WEEKDAY(T16,2),"Isnin","Selasa","Rabu","Khamis","Jumaat","Sabtu","Ahad")&amp;", "&amp;DAY(T16)&amp;" "&amp;CHOOSE(MONTH(T16),"Jan","Feb","Mac","Apr","Mei","Jun","Jul","Ogo","Sep","Okt","Nov","Dis")&amp;" "&amp;YEAR(T16),IF(J16="E",IF(INDEX(Transaksi!$B$2:$B$2001,K16)="",INDEX(Transaksi!$C$2:$C$2001,K16)&amp;" · "&amp;INDEX(Transaksi!$D$2:$D$2001,K16),INDEX(Transaksi!$B$2:$B$2001,K16)),""))</f>
        <v/>
      </c>
      <c r="C16" s="32">
        <f>IF(J16="E",INDEX(Transaksi!$C$2:$C$2001,K16)&amp;"","")</f>
        <v/>
      </c>
      <c r="D16" s="32">
        <f>IF(J16="E",INDEX(Transaksi!$D$2:$D$2001,K16)&amp;"","")</f>
        <v/>
      </c>
      <c r="E16" s="33">
        <f>IF(J16="H",SUMIFS(Transaksi!$G$2:$G$2001,Transaksi!$M$2:$M$2001,"="&amp;S16)+SUMIFS(Transaksi!$H$2:$H$2001,Transaksi!$M$2:$M$2001,"="&amp;S16)+SUMIFS(Transaksi!$I$2:$I$2001,Transaksi!$M$2:$M$2001,"="&amp;S16),IF(J16="E",IF(INDEX(Transaksi!$G$2:$G$2001,K16)+INDEX(Transaksi!$H$2:$H$2001,K16)+INDEX(Transaksi!$I$2:$I$2001,K16)=0,"",INDEX(Transaksi!$G$2:$G$2001,K16)+INDEX(Transaksi!$H$2:$H$2001,K16)+INDEX(Transaksi!$I$2:$I$2001,K16)),""))</f>
        <v/>
      </c>
      <c r="F16" s="33">
        <f>IF(J16="H",SUMIFS(Transaksi!$J$2:$J$2001,Transaksi!$M$2:$M$2001,"="&amp;S16),IF(J16="E",IF(INDEX(Transaksi!$J$2:$J$2001,K16)=0,"",INDEX(Transaksi!$J$2:$J$2001,K16)),""))</f>
        <v/>
      </c>
      <c r="G16" s="33">
        <f>IF(J16="H",(SUMIFS(Transaksi!$G$2:$G$2001,Transaksi!$M$2:$M$2001,"&lt;="&amp;S16)+SUMIFS(Transaksi!$H$2:$H$2001,Transaksi!$M$2:$M$2001,"&lt;="&amp;S16)+SUMIFS(Transaksi!$I$2:$I$2001,Transaksi!$M$2:$M$2001,"&lt;="&amp;S16))-(SUMIFS(Transaksi!$J$2:$J$2001,Transaksi!$M$2:$M$2001,"&lt;="&amp;S16)),"")</f>
        <v/>
      </c>
      <c r="I16">
        <f>IF(13&gt;$O$2,"",MATCH(13,$Q$3:$Q$402,1))</f>
        <v/>
      </c>
      <c r="J16">
        <f>IF(I16="","",IF(13=INDEX($Q$3:$Q$402,I16),"H","E"))</f>
        <v/>
      </c>
      <c r="K16">
        <f>IF(J16&lt;&gt;"E","",MATCH(S16,Transaksi!$M$2:$M$2001,0)+13-INDEX($Q$3:$Q$402,I16)-1)</f>
        <v/>
      </c>
      <c r="N16" t="n">
        <v>14</v>
      </c>
      <c r="O16">
        <f>IF(N16&lt;=$O$1,$O$1-N16+1,"")</f>
        <v/>
      </c>
      <c r="P16">
        <f>IF(O16="",0,COUNTIF(Transaksi!$M$2:$M$2001,O16)+1)</f>
        <v/>
      </c>
      <c r="Q16">
        <f>1+SUM(P$2:P15)</f>
        <v/>
      </c>
      <c r="S16">
        <f>IF(I16="","",INDEX($O$3:$O$402,I16))</f>
        <v/>
      </c>
      <c r="T16">
        <f>IF(J16&lt;&gt;"H","",INDEX(Transaksi!$A$2:$A$2001,MATCH(S16,Transaksi!$M$2:$M$2001,0)))</f>
        <v/>
      </c>
    </row>
    <row r="17">
      <c r="A17" s="31">
        <f>IF(J17="E",IF(INDEX(Transaksi!$J$2:$J$2001,K17)&gt;0,"↑","↓"),"")</f>
        <v/>
      </c>
      <c r="B17" s="32">
        <f>IF(J17="H",CHOOSE(WEEKDAY(T17,2),"Isnin","Selasa","Rabu","Khamis","Jumaat","Sabtu","Ahad")&amp;", "&amp;DAY(T17)&amp;" "&amp;CHOOSE(MONTH(T17),"Jan","Feb","Mac","Apr","Mei","Jun","Jul","Ogo","Sep","Okt","Nov","Dis")&amp;" "&amp;YEAR(T17),IF(J17="E",IF(INDEX(Transaksi!$B$2:$B$2001,K17)="",INDEX(Transaksi!$C$2:$C$2001,K17)&amp;" · "&amp;INDEX(Transaksi!$D$2:$D$2001,K17),INDEX(Transaksi!$B$2:$B$2001,K17)),""))</f>
        <v/>
      </c>
      <c r="C17" s="32">
        <f>IF(J17="E",INDEX(Transaksi!$C$2:$C$2001,K17)&amp;"","")</f>
        <v/>
      </c>
      <c r="D17" s="32">
        <f>IF(J17="E",INDEX(Transaksi!$D$2:$D$2001,K17)&amp;"","")</f>
        <v/>
      </c>
      <c r="E17" s="33">
        <f>IF(J17="H",SUMIFS(Transaksi!$G$2:$G$2001,Transaksi!$M$2:$M$2001,"="&amp;S17)+SUMIFS(Transaksi!$H$2:$H$2001,Transaksi!$M$2:$M$2001,"="&amp;S17)+SUMIFS(Transaksi!$I$2:$I$2001,Transaksi!$M$2:$M$2001,"="&amp;S17),IF(J17="E",IF(INDEX(Transaksi!$G$2:$G$2001,K17)+INDEX(Transaksi!$H$2:$H$2001,K17)+INDEX(Transaksi!$I$2:$I$2001,K17)=0,"",INDEX(Transaksi!$G$2:$G$2001,K17)+INDEX(Transaksi!$H$2:$H$2001,K17)+INDEX(Transaksi!$I$2:$I$2001,K17)),""))</f>
        <v/>
      </c>
      <c r="F17" s="33">
        <f>IF(J17="H",SUMIFS(Transaksi!$J$2:$J$2001,Transaksi!$M$2:$M$2001,"="&amp;S17),IF(J17="E",IF(INDEX(Transaksi!$J$2:$J$2001,K17)=0,"",INDEX(Transaksi!$J$2:$J$2001,K17)),""))</f>
        <v/>
      </c>
      <c r="G17" s="33">
        <f>IF(J17="H",(SUMIFS(Transaksi!$G$2:$G$2001,Transaksi!$M$2:$M$2001,"&lt;="&amp;S17)+SUMIFS(Transaksi!$H$2:$H$2001,Transaksi!$M$2:$M$2001,"&lt;="&amp;S17)+SUMIFS(Transaksi!$I$2:$I$2001,Transaksi!$M$2:$M$2001,"&lt;="&amp;S17))-(SUMIFS(Transaksi!$J$2:$J$2001,Transaksi!$M$2:$M$2001,"&lt;="&amp;S17)),"")</f>
        <v/>
      </c>
      <c r="I17">
        <f>IF(14&gt;$O$2,"",MATCH(14,$Q$3:$Q$402,1))</f>
        <v/>
      </c>
      <c r="J17">
        <f>IF(I17="","",IF(14=INDEX($Q$3:$Q$402,I17),"H","E"))</f>
        <v/>
      </c>
      <c r="K17">
        <f>IF(J17&lt;&gt;"E","",MATCH(S17,Transaksi!$M$2:$M$2001,0)+14-INDEX($Q$3:$Q$402,I17)-1)</f>
        <v/>
      </c>
      <c r="N17" t="n">
        <v>15</v>
      </c>
      <c r="O17">
        <f>IF(N17&lt;=$O$1,$O$1-N17+1,"")</f>
        <v/>
      </c>
      <c r="P17">
        <f>IF(O17="",0,COUNTIF(Transaksi!$M$2:$M$2001,O17)+1)</f>
        <v/>
      </c>
      <c r="Q17">
        <f>1+SUM(P$2:P16)</f>
        <v/>
      </c>
      <c r="S17">
        <f>IF(I17="","",INDEX($O$3:$O$402,I17))</f>
        <v/>
      </c>
      <c r="T17">
        <f>IF(J17&lt;&gt;"H","",INDEX(Transaksi!$A$2:$A$2001,MATCH(S17,Transaksi!$M$2:$M$2001,0)))</f>
        <v/>
      </c>
    </row>
    <row r="18">
      <c r="A18" s="31">
        <f>IF(J18="E",IF(INDEX(Transaksi!$J$2:$J$2001,K18)&gt;0,"↑","↓"),"")</f>
        <v/>
      </c>
      <c r="B18" s="32">
        <f>IF(J18="H",CHOOSE(WEEKDAY(T18,2),"Isnin","Selasa","Rabu","Khamis","Jumaat","Sabtu","Ahad")&amp;", "&amp;DAY(T18)&amp;" "&amp;CHOOSE(MONTH(T18),"Jan","Feb","Mac","Apr","Mei","Jun","Jul","Ogo","Sep","Okt","Nov","Dis")&amp;" "&amp;YEAR(T18),IF(J18="E",IF(INDEX(Transaksi!$B$2:$B$2001,K18)="",INDEX(Transaksi!$C$2:$C$2001,K18)&amp;" · "&amp;INDEX(Transaksi!$D$2:$D$2001,K18),INDEX(Transaksi!$B$2:$B$2001,K18)),""))</f>
        <v/>
      </c>
      <c r="C18" s="32">
        <f>IF(J18="E",INDEX(Transaksi!$C$2:$C$2001,K18)&amp;"","")</f>
        <v/>
      </c>
      <c r="D18" s="32">
        <f>IF(J18="E",INDEX(Transaksi!$D$2:$D$2001,K18)&amp;"","")</f>
        <v/>
      </c>
      <c r="E18" s="33">
        <f>IF(J18="H",SUMIFS(Transaksi!$G$2:$G$2001,Transaksi!$M$2:$M$2001,"="&amp;S18)+SUMIFS(Transaksi!$H$2:$H$2001,Transaksi!$M$2:$M$2001,"="&amp;S18)+SUMIFS(Transaksi!$I$2:$I$2001,Transaksi!$M$2:$M$2001,"="&amp;S18),IF(J18="E",IF(INDEX(Transaksi!$G$2:$G$2001,K18)+INDEX(Transaksi!$H$2:$H$2001,K18)+INDEX(Transaksi!$I$2:$I$2001,K18)=0,"",INDEX(Transaksi!$G$2:$G$2001,K18)+INDEX(Transaksi!$H$2:$H$2001,K18)+INDEX(Transaksi!$I$2:$I$2001,K18)),""))</f>
        <v/>
      </c>
      <c r="F18" s="33">
        <f>IF(J18="H",SUMIFS(Transaksi!$J$2:$J$2001,Transaksi!$M$2:$M$2001,"="&amp;S18),IF(J18="E",IF(INDEX(Transaksi!$J$2:$J$2001,K18)=0,"",INDEX(Transaksi!$J$2:$J$2001,K18)),""))</f>
        <v/>
      </c>
      <c r="G18" s="33">
        <f>IF(J18="H",(SUMIFS(Transaksi!$G$2:$G$2001,Transaksi!$M$2:$M$2001,"&lt;="&amp;S18)+SUMIFS(Transaksi!$H$2:$H$2001,Transaksi!$M$2:$M$2001,"&lt;="&amp;S18)+SUMIFS(Transaksi!$I$2:$I$2001,Transaksi!$M$2:$M$2001,"&lt;="&amp;S18))-(SUMIFS(Transaksi!$J$2:$J$2001,Transaksi!$M$2:$M$2001,"&lt;="&amp;S18)),"")</f>
        <v/>
      </c>
      <c r="I18">
        <f>IF(15&gt;$O$2,"",MATCH(15,$Q$3:$Q$402,1))</f>
        <v/>
      </c>
      <c r="J18">
        <f>IF(I18="","",IF(15=INDEX($Q$3:$Q$402,I18),"H","E"))</f>
        <v/>
      </c>
      <c r="K18">
        <f>IF(J18&lt;&gt;"E","",MATCH(S18,Transaksi!$M$2:$M$2001,0)+15-INDEX($Q$3:$Q$402,I18)-1)</f>
        <v/>
      </c>
      <c r="N18" t="n">
        <v>16</v>
      </c>
      <c r="O18">
        <f>IF(N18&lt;=$O$1,$O$1-N18+1,"")</f>
        <v/>
      </c>
      <c r="P18">
        <f>IF(O18="",0,COUNTIF(Transaksi!$M$2:$M$2001,O18)+1)</f>
        <v/>
      </c>
      <c r="Q18">
        <f>1+SUM(P$2:P17)</f>
        <v/>
      </c>
      <c r="S18">
        <f>IF(I18="","",INDEX($O$3:$O$402,I18))</f>
        <v/>
      </c>
      <c r="T18">
        <f>IF(J18&lt;&gt;"H","",INDEX(Transaksi!$A$2:$A$2001,MATCH(S18,Transaksi!$M$2:$M$2001,0)))</f>
        <v/>
      </c>
    </row>
    <row r="19">
      <c r="A19" s="31">
        <f>IF(J19="E",IF(INDEX(Transaksi!$J$2:$J$2001,K19)&gt;0,"↑","↓"),"")</f>
        <v/>
      </c>
      <c r="B19" s="32">
        <f>IF(J19="H",CHOOSE(WEEKDAY(T19,2),"Isnin","Selasa","Rabu","Khamis","Jumaat","Sabtu","Ahad")&amp;", "&amp;DAY(T19)&amp;" "&amp;CHOOSE(MONTH(T19),"Jan","Feb","Mac","Apr","Mei","Jun","Jul","Ogo","Sep","Okt","Nov","Dis")&amp;" "&amp;YEAR(T19),IF(J19="E",IF(INDEX(Transaksi!$B$2:$B$2001,K19)="",INDEX(Transaksi!$C$2:$C$2001,K19)&amp;" · "&amp;INDEX(Transaksi!$D$2:$D$2001,K19),INDEX(Transaksi!$B$2:$B$2001,K19)),""))</f>
        <v/>
      </c>
      <c r="C19" s="32">
        <f>IF(J19="E",INDEX(Transaksi!$C$2:$C$2001,K19)&amp;"","")</f>
        <v/>
      </c>
      <c r="D19" s="32">
        <f>IF(J19="E",INDEX(Transaksi!$D$2:$D$2001,K19)&amp;"","")</f>
        <v/>
      </c>
      <c r="E19" s="33">
        <f>IF(J19="H",SUMIFS(Transaksi!$G$2:$G$2001,Transaksi!$M$2:$M$2001,"="&amp;S19)+SUMIFS(Transaksi!$H$2:$H$2001,Transaksi!$M$2:$M$2001,"="&amp;S19)+SUMIFS(Transaksi!$I$2:$I$2001,Transaksi!$M$2:$M$2001,"="&amp;S19),IF(J19="E",IF(INDEX(Transaksi!$G$2:$G$2001,K19)+INDEX(Transaksi!$H$2:$H$2001,K19)+INDEX(Transaksi!$I$2:$I$2001,K19)=0,"",INDEX(Transaksi!$G$2:$G$2001,K19)+INDEX(Transaksi!$H$2:$H$2001,K19)+INDEX(Transaksi!$I$2:$I$2001,K19)),""))</f>
        <v/>
      </c>
      <c r="F19" s="33">
        <f>IF(J19="H",SUMIFS(Transaksi!$J$2:$J$2001,Transaksi!$M$2:$M$2001,"="&amp;S19),IF(J19="E",IF(INDEX(Transaksi!$J$2:$J$2001,K19)=0,"",INDEX(Transaksi!$J$2:$J$2001,K19)),""))</f>
        <v/>
      </c>
      <c r="G19" s="33">
        <f>IF(J19="H",(SUMIFS(Transaksi!$G$2:$G$2001,Transaksi!$M$2:$M$2001,"&lt;="&amp;S19)+SUMIFS(Transaksi!$H$2:$H$2001,Transaksi!$M$2:$M$2001,"&lt;="&amp;S19)+SUMIFS(Transaksi!$I$2:$I$2001,Transaksi!$M$2:$M$2001,"&lt;="&amp;S19))-(SUMIFS(Transaksi!$J$2:$J$2001,Transaksi!$M$2:$M$2001,"&lt;="&amp;S19)),"")</f>
        <v/>
      </c>
      <c r="I19">
        <f>IF(16&gt;$O$2,"",MATCH(16,$Q$3:$Q$402,1))</f>
        <v/>
      </c>
      <c r="J19">
        <f>IF(I19="","",IF(16=INDEX($Q$3:$Q$402,I19),"H","E"))</f>
        <v/>
      </c>
      <c r="K19">
        <f>IF(J19&lt;&gt;"E","",MATCH(S19,Transaksi!$M$2:$M$2001,0)+16-INDEX($Q$3:$Q$402,I19)-1)</f>
        <v/>
      </c>
      <c r="N19" t="n">
        <v>17</v>
      </c>
      <c r="O19">
        <f>IF(N19&lt;=$O$1,$O$1-N19+1,"")</f>
        <v/>
      </c>
      <c r="P19">
        <f>IF(O19="",0,COUNTIF(Transaksi!$M$2:$M$2001,O19)+1)</f>
        <v/>
      </c>
      <c r="Q19">
        <f>1+SUM(P$2:P18)</f>
        <v/>
      </c>
      <c r="S19">
        <f>IF(I19="","",INDEX($O$3:$O$402,I19))</f>
        <v/>
      </c>
      <c r="T19">
        <f>IF(J19&lt;&gt;"H","",INDEX(Transaksi!$A$2:$A$2001,MATCH(S19,Transaksi!$M$2:$M$2001,0)))</f>
        <v/>
      </c>
    </row>
    <row r="20">
      <c r="A20" s="31">
        <f>IF(J20="E",IF(INDEX(Transaksi!$J$2:$J$2001,K20)&gt;0,"↑","↓"),"")</f>
        <v/>
      </c>
      <c r="B20" s="32">
        <f>IF(J20="H",CHOOSE(WEEKDAY(T20,2),"Isnin","Selasa","Rabu","Khamis","Jumaat","Sabtu","Ahad")&amp;", "&amp;DAY(T20)&amp;" "&amp;CHOOSE(MONTH(T20),"Jan","Feb","Mac","Apr","Mei","Jun","Jul","Ogo","Sep","Okt","Nov","Dis")&amp;" "&amp;YEAR(T20),IF(J20="E",IF(INDEX(Transaksi!$B$2:$B$2001,K20)="",INDEX(Transaksi!$C$2:$C$2001,K20)&amp;" · "&amp;INDEX(Transaksi!$D$2:$D$2001,K20),INDEX(Transaksi!$B$2:$B$2001,K20)),""))</f>
        <v/>
      </c>
      <c r="C20" s="32">
        <f>IF(J20="E",INDEX(Transaksi!$C$2:$C$2001,K20)&amp;"","")</f>
        <v/>
      </c>
      <c r="D20" s="32">
        <f>IF(J20="E",INDEX(Transaksi!$D$2:$D$2001,K20)&amp;"","")</f>
        <v/>
      </c>
      <c r="E20" s="33">
        <f>IF(J20="H",SUMIFS(Transaksi!$G$2:$G$2001,Transaksi!$M$2:$M$2001,"="&amp;S20)+SUMIFS(Transaksi!$H$2:$H$2001,Transaksi!$M$2:$M$2001,"="&amp;S20)+SUMIFS(Transaksi!$I$2:$I$2001,Transaksi!$M$2:$M$2001,"="&amp;S20),IF(J20="E",IF(INDEX(Transaksi!$G$2:$G$2001,K20)+INDEX(Transaksi!$H$2:$H$2001,K20)+INDEX(Transaksi!$I$2:$I$2001,K20)=0,"",INDEX(Transaksi!$G$2:$G$2001,K20)+INDEX(Transaksi!$H$2:$H$2001,K20)+INDEX(Transaksi!$I$2:$I$2001,K20)),""))</f>
        <v/>
      </c>
      <c r="F20" s="33">
        <f>IF(J20="H",SUMIFS(Transaksi!$J$2:$J$2001,Transaksi!$M$2:$M$2001,"="&amp;S20),IF(J20="E",IF(INDEX(Transaksi!$J$2:$J$2001,K20)=0,"",INDEX(Transaksi!$J$2:$J$2001,K20)),""))</f>
        <v/>
      </c>
      <c r="G20" s="33">
        <f>IF(J20="H",(SUMIFS(Transaksi!$G$2:$G$2001,Transaksi!$M$2:$M$2001,"&lt;="&amp;S20)+SUMIFS(Transaksi!$H$2:$H$2001,Transaksi!$M$2:$M$2001,"&lt;="&amp;S20)+SUMIFS(Transaksi!$I$2:$I$2001,Transaksi!$M$2:$M$2001,"&lt;="&amp;S20))-(SUMIFS(Transaksi!$J$2:$J$2001,Transaksi!$M$2:$M$2001,"&lt;="&amp;S20)),"")</f>
        <v/>
      </c>
      <c r="I20">
        <f>IF(17&gt;$O$2,"",MATCH(17,$Q$3:$Q$402,1))</f>
        <v/>
      </c>
      <c r="J20">
        <f>IF(I20="","",IF(17=INDEX($Q$3:$Q$402,I20),"H","E"))</f>
        <v/>
      </c>
      <c r="K20">
        <f>IF(J20&lt;&gt;"E","",MATCH(S20,Transaksi!$M$2:$M$2001,0)+17-INDEX($Q$3:$Q$402,I20)-1)</f>
        <v/>
      </c>
      <c r="N20" t="n">
        <v>18</v>
      </c>
      <c r="O20">
        <f>IF(N20&lt;=$O$1,$O$1-N20+1,"")</f>
        <v/>
      </c>
      <c r="P20">
        <f>IF(O20="",0,COUNTIF(Transaksi!$M$2:$M$2001,O20)+1)</f>
        <v/>
      </c>
      <c r="Q20">
        <f>1+SUM(P$2:P19)</f>
        <v/>
      </c>
      <c r="S20">
        <f>IF(I20="","",INDEX($O$3:$O$402,I20))</f>
        <v/>
      </c>
      <c r="T20">
        <f>IF(J20&lt;&gt;"H","",INDEX(Transaksi!$A$2:$A$2001,MATCH(S20,Transaksi!$M$2:$M$2001,0)))</f>
        <v/>
      </c>
    </row>
    <row r="21">
      <c r="A21" s="31">
        <f>IF(J21="E",IF(INDEX(Transaksi!$J$2:$J$2001,K21)&gt;0,"↑","↓"),"")</f>
        <v/>
      </c>
      <c r="B21" s="32">
        <f>IF(J21="H",CHOOSE(WEEKDAY(T21,2),"Isnin","Selasa","Rabu","Khamis","Jumaat","Sabtu","Ahad")&amp;", "&amp;DAY(T21)&amp;" "&amp;CHOOSE(MONTH(T21),"Jan","Feb","Mac","Apr","Mei","Jun","Jul","Ogo","Sep","Okt","Nov","Dis")&amp;" "&amp;YEAR(T21),IF(J21="E",IF(INDEX(Transaksi!$B$2:$B$2001,K21)="",INDEX(Transaksi!$C$2:$C$2001,K21)&amp;" · "&amp;INDEX(Transaksi!$D$2:$D$2001,K21),INDEX(Transaksi!$B$2:$B$2001,K21)),""))</f>
        <v/>
      </c>
      <c r="C21" s="32">
        <f>IF(J21="E",INDEX(Transaksi!$C$2:$C$2001,K21)&amp;"","")</f>
        <v/>
      </c>
      <c r="D21" s="32">
        <f>IF(J21="E",INDEX(Transaksi!$D$2:$D$2001,K21)&amp;"","")</f>
        <v/>
      </c>
      <c r="E21" s="33">
        <f>IF(J21="H",SUMIFS(Transaksi!$G$2:$G$2001,Transaksi!$M$2:$M$2001,"="&amp;S21)+SUMIFS(Transaksi!$H$2:$H$2001,Transaksi!$M$2:$M$2001,"="&amp;S21)+SUMIFS(Transaksi!$I$2:$I$2001,Transaksi!$M$2:$M$2001,"="&amp;S21),IF(J21="E",IF(INDEX(Transaksi!$G$2:$G$2001,K21)+INDEX(Transaksi!$H$2:$H$2001,K21)+INDEX(Transaksi!$I$2:$I$2001,K21)=0,"",INDEX(Transaksi!$G$2:$G$2001,K21)+INDEX(Transaksi!$H$2:$H$2001,K21)+INDEX(Transaksi!$I$2:$I$2001,K21)),""))</f>
        <v/>
      </c>
      <c r="F21" s="33">
        <f>IF(J21="H",SUMIFS(Transaksi!$J$2:$J$2001,Transaksi!$M$2:$M$2001,"="&amp;S21),IF(J21="E",IF(INDEX(Transaksi!$J$2:$J$2001,K21)=0,"",INDEX(Transaksi!$J$2:$J$2001,K21)),""))</f>
        <v/>
      </c>
      <c r="G21" s="33">
        <f>IF(J21="H",(SUMIFS(Transaksi!$G$2:$G$2001,Transaksi!$M$2:$M$2001,"&lt;="&amp;S21)+SUMIFS(Transaksi!$H$2:$H$2001,Transaksi!$M$2:$M$2001,"&lt;="&amp;S21)+SUMIFS(Transaksi!$I$2:$I$2001,Transaksi!$M$2:$M$2001,"&lt;="&amp;S21))-(SUMIFS(Transaksi!$J$2:$J$2001,Transaksi!$M$2:$M$2001,"&lt;="&amp;S21)),"")</f>
        <v/>
      </c>
      <c r="I21">
        <f>IF(18&gt;$O$2,"",MATCH(18,$Q$3:$Q$402,1))</f>
        <v/>
      </c>
      <c r="J21">
        <f>IF(I21="","",IF(18=INDEX($Q$3:$Q$402,I21),"H","E"))</f>
        <v/>
      </c>
      <c r="K21">
        <f>IF(J21&lt;&gt;"E","",MATCH(S21,Transaksi!$M$2:$M$2001,0)+18-INDEX($Q$3:$Q$402,I21)-1)</f>
        <v/>
      </c>
      <c r="N21" t="n">
        <v>19</v>
      </c>
      <c r="O21">
        <f>IF(N21&lt;=$O$1,$O$1-N21+1,"")</f>
        <v/>
      </c>
      <c r="P21">
        <f>IF(O21="",0,COUNTIF(Transaksi!$M$2:$M$2001,O21)+1)</f>
        <v/>
      </c>
      <c r="Q21">
        <f>1+SUM(P$2:P20)</f>
        <v/>
      </c>
      <c r="S21">
        <f>IF(I21="","",INDEX($O$3:$O$402,I21))</f>
        <v/>
      </c>
      <c r="T21">
        <f>IF(J21&lt;&gt;"H","",INDEX(Transaksi!$A$2:$A$2001,MATCH(S21,Transaksi!$M$2:$M$2001,0)))</f>
        <v/>
      </c>
    </row>
    <row r="22">
      <c r="A22" s="31">
        <f>IF(J22="E",IF(INDEX(Transaksi!$J$2:$J$2001,K22)&gt;0,"↑","↓"),"")</f>
        <v/>
      </c>
      <c r="B22" s="32">
        <f>IF(J22="H",CHOOSE(WEEKDAY(T22,2),"Isnin","Selasa","Rabu","Khamis","Jumaat","Sabtu","Ahad")&amp;", "&amp;DAY(T22)&amp;" "&amp;CHOOSE(MONTH(T22),"Jan","Feb","Mac","Apr","Mei","Jun","Jul","Ogo","Sep","Okt","Nov","Dis")&amp;" "&amp;YEAR(T22),IF(J22="E",IF(INDEX(Transaksi!$B$2:$B$2001,K22)="",INDEX(Transaksi!$C$2:$C$2001,K22)&amp;" · "&amp;INDEX(Transaksi!$D$2:$D$2001,K22),INDEX(Transaksi!$B$2:$B$2001,K22)),""))</f>
        <v/>
      </c>
      <c r="C22" s="32">
        <f>IF(J22="E",INDEX(Transaksi!$C$2:$C$2001,K22)&amp;"","")</f>
        <v/>
      </c>
      <c r="D22" s="32">
        <f>IF(J22="E",INDEX(Transaksi!$D$2:$D$2001,K22)&amp;"","")</f>
        <v/>
      </c>
      <c r="E22" s="33">
        <f>IF(J22="H",SUMIFS(Transaksi!$G$2:$G$2001,Transaksi!$M$2:$M$2001,"="&amp;S22)+SUMIFS(Transaksi!$H$2:$H$2001,Transaksi!$M$2:$M$2001,"="&amp;S22)+SUMIFS(Transaksi!$I$2:$I$2001,Transaksi!$M$2:$M$2001,"="&amp;S22),IF(J22="E",IF(INDEX(Transaksi!$G$2:$G$2001,K22)+INDEX(Transaksi!$H$2:$H$2001,K22)+INDEX(Transaksi!$I$2:$I$2001,K22)=0,"",INDEX(Transaksi!$G$2:$G$2001,K22)+INDEX(Transaksi!$H$2:$H$2001,K22)+INDEX(Transaksi!$I$2:$I$2001,K22)),""))</f>
        <v/>
      </c>
      <c r="F22" s="33">
        <f>IF(J22="H",SUMIFS(Transaksi!$J$2:$J$2001,Transaksi!$M$2:$M$2001,"="&amp;S22),IF(J22="E",IF(INDEX(Transaksi!$J$2:$J$2001,K22)=0,"",INDEX(Transaksi!$J$2:$J$2001,K22)),""))</f>
        <v/>
      </c>
      <c r="G22" s="33">
        <f>IF(J22="H",(SUMIFS(Transaksi!$G$2:$G$2001,Transaksi!$M$2:$M$2001,"&lt;="&amp;S22)+SUMIFS(Transaksi!$H$2:$H$2001,Transaksi!$M$2:$M$2001,"&lt;="&amp;S22)+SUMIFS(Transaksi!$I$2:$I$2001,Transaksi!$M$2:$M$2001,"&lt;="&amp;S22))-(SUMIFS(Transaksi!$J$2:$J$2001,Transaksi!$M$2:$M$2001,"&lt;="&amp;S22)),"")</f>
        <v/>
      </c>
      <c r="I22">
        <f>IF(19&gt;$O$2,"",MATCH(19,$Q$3:$Q$402,1))</f>
        <v/>
      </c>
      <c r="J22">
        <f>IF(I22="","",IF(19=INDEX($Q$3:$Q$402,I22),"H","E"))</f>
        <v/>
      </c>
      <c r="K22">
        <f>IF(J22&lt;&gt;"E","",MATCH(S22,Transaksi!$M$2:$M$2001,0)+19-INDEX($Q$3:$Q$402,I22)-1)</f>
        <v/>
      </c>
      <c r="N22" t="n">
        <v>20</v>
      </c>
      <c r="O22">
        <f>IF(N22&lt;=$O$1,$O$1-N22+1,"")</f>
        <v/>
      </c>
      <c r="P22">
        <f>IF(O22="",0,COUNTIF(Transaksi!$M$2:$M$2001,O22)+1)</f>
        <v/>
      </c>
      <c r="Q22">
        <f>1+SUM(P$2:P21)</f>
        <v/>
      </c>
      <c r="S22">
        <f>IF(I22="","",INDEX($O$3:$O$402,I22))</f>
        <v/>
      </c>
      <c r="T22">
        <f>IF(J22&lt;&gt;"H","",INDEX(Transaksi!$A$2:$A$2001,MATCH(S22,Transaksi!$M$2:$M$2001,0)))</f>
        <v/>
      </c>
    </row>
    <row r="23">
      <c r="A23" s="31">
        <f>IF(J23="E",IF(INDEX(Transaksi!$J$2:$J$2001,K23)&gt;0,"↑","↓"),"")</f>
        <v/>
      </c>
      <c r="B23" s="32">
        <f>IF(J23="H",CHOOSE(WEEKDAY(T23,2),"Isnin","Selasa","Rabu","Khamis","Jumaat","Sabtu","Ahad")&amp;", "&amp;DAY(T23)&amp;" "&amp;CHOOSE(MONTH(T23),"Jan","Feb","Mac","Apr","Mei","Jun","Jul","Ogo","Sep","Okt","Nov","Dis")&amp;" "&amp;YEAR(T23),IF(J23="E",IF(INDEX(Transaksi!$B$2:$B$2001,K23)="",INDEX(Transaksi!$C$2:$C$2001,K23)&amp;" · "&amp;INDEX(Transaksi!$D$2:$D$2001,K23),INDEX(Transaksi!$B$2:$B$2001,K23)),""))</f>
        <v/>
      </c>
      <c r="C23" s="32">
        <f>IF(J23="E",INDEX(Transaksi!$C$2:$C$2001,K23)&amp;"","")</f>
        <v/>
      </c>
      <c r="D23" s="32">
        <f>IF(J23="E",INDEX(Transaksi!$D$2:$D$2001,K23)&amp;"","")</f>
        <v/>
      </c>
      <c r="E23" s="33">
        <f>IF(J23="H",SUMIFS(Transaksi!$G$2:$G$2001,Transaksi!$M$2:$M$2001,"="&amp;S23)+SUMIFS(Transaksi!$H$2:$H$2001,Transaksi!$M$2:$M$2001,"="&amp;S23)+SUMIFS(Transaksi!$I$2:$I$2001,Transaksi!$M$2:$M$2001,"="&amp;S23),IF(J23="E",IF(INDEX(Transaksi!$G$2:$G$2001,K23)+INDEX(Transaksi!$H$2:$H$2001,K23)+INDEX(Transaksi!$I$2:$I$2001,K23)=0,"",INDEX(Transaksi!$G$2:$G$2001,K23)+INDEX(Transaksi!$H$2:$H$2001,K23)+INDEX(Transaksi!$I$2:$I$2001,K23)),""))</f>
        <v/>
      </c>
      <c r="F23" s="33">
        <f>IF(J23="H",SUMIFS(Transaksi!$J$2:$J$2001,Transaksi!$M$2:$M$2001,"="&amp;S23),IF(J23="E",IF(INDEX(Transaksi!$J$2:$J$2001,K23)=0,"",INDEX(Transaksi!$J$2:$J$2001,K23)),""))</f>
        <v/>
      </c>
      <c r="G23" s="33">
        <f>IF(J23="H",(SUMIFS(Transaksi!$G$2:$G$2001,Transaksi!$M$2:$M$2001,"&lt;="&amp;S23)+SUMIFS(Transaksi!$H$2:$H$2001,Transaksi!$M$2:$M$2001,"&lt;="&amp;S23)+SUMIFS(Transaksi!$I$2:$I$2001,Transaksi!$M$2:$M$2001,"&lt;="&amp;S23))-(SUMIFS(Transaksi!$J$2:$J$2001,Transaksi!$M$2:$M$2001,"&lt;="&amp;S23)),"")</f>
        <v/>
      </c>
      <c r="I23">
        <f>IF(20&gt;$O$2,"",MATCH(20,$Q$3:$Q$402,1))</f>
        <v/>
      </c>
      <c r="J23">
        <f>IF(I23="","",IF(20=INDEX($Q$3:$Q$402,I23),"H","E"))</f>
        <v/>
      </c>
      <c r="K23">
        <f>IF(J23&lt;&gt;"E","",MATCH(S23,Transaksi!$M$2:$M$2001,0)+20-INDEX($Q$3:$Q$402,I23)-1)</f>
        <v/>
      </c>
      <c r="N23" t="n">
        <v>21</v>
      </c>
      <c r="O23">
        <f>IF(N23&lt;=$O$1,$O$1-N23+1,"")</f>
        <v/>
      </c>
      <c r="P23">
        <f>IF(O23="",0,COUNTIF(Transaksi!$M$2:$M$2001,O23)+1)</f>
        <v/>
      </c>
      <c r="Q23">
        <f>1+SUM(P$2:P22)</f>
        <v/>
      </c>
      <c r="S23">
        <f>IF(I23="","",INDEX($O$3:$O$402,I23))</f>
        <v/>
      </c>
      <c r="T23">
        <f>IF(J23&lt;&gt;"H","",INDEX(Transaksi!$A$2:$A$2001,MATCH(S23,Transaksi!$M$2:$M$2001,0)))</f>
        <v/>
      </c>
    </row>
    <row r="24">
      <c r="A24" s="31">
        <f>IF(J24="E",IF(INDEX(Transaksi!$J$2:$J$2001,K24)&gt;0,"↑","↓"),"")</f>
        <v/>
      </c>
      <c r="B24" s="32">
        <f>IF(J24="H",CHOOSE(WEEKDAY(T24,2),"Isnin","Selasa","Rabu","Khamis","Jumaat","Sabtu","Ahad")&amp;", "&amp;DAY(T24)&amp;" "&amp;CHOOSE(MONTH(T24),"Jan","Feb","Mac","Apr","Mei","Jun","Jul","Ogo","Sep","Okt","Nov","Dis")&amp;" "&amp;YEAR(T24),IF(J24="E",IF(INDEX(Transaksi!$B$2:$B$2001,K24)="",INDEX(Transaksi!$C$2:$C$2001,K24)&amp;" · "&amp;INDEX(Transaksi!$D$2:$D$2001,K24),INDEX(Transaksi!$B$2:$B$2001,K24)),""))</f>
        <v/>
      </c>
      <c r="C24" s="32">
        <f>IF(J24="E",INDEX(Transaksi!$C$2:$C$2001,K24)&amp;"","")</f>
        <v/>
      </c>
      <c r="D24" s="32">
        <f>IF(J24="E",INDEX(Transaksi!$D$2:$D$2001,K24)&amp;"","")</f>
        <v/>
      </c>
      <c r="E24" s="33">
        <f>IF(J24="H",SUMIFS(Transaksi!$G$2:$G$2001,Transaksi!$M$2:$M$2001,"="&amp;S24)+SUMIFS(Transaksi!$H$2:$H$2001,Transaksi!$M$2:$M$2001,"="&amp;S24)+SUMIFS(Transaksi!$I$2:$I$2001,Transaksi!$M$2:$M$2001,"="&amp;S24),IF(J24="E",IF(INDEX(Transaksi!$G$2:$G$2001,K24)+INDEX(Transaksi!$H$2:$H$2001,K24)+INDEX(Transaksi!$I$2:$I$2001,K24)=0,"",INDEX(Transaksi!$G$2:$G$2001,K24)+INDEX(Transaksi!$H$2:$H$2001,K24)+INDEX(Transaksi!$I$2:$I$2001,K24)),""))</f>
        <v/>
      </c>
      <c r="F24" s="33">
        <f>IF(J24="H",SUMIFS(Transaksi!$J$2:$J$2001,Transaksi!$M$2:$M$2001,"="&amp;S24),IF(J24="E",IF(INDEX(Transaksi!$J$2:$J$2001,K24)=0,"",INDEX(Transaksi!$J$2:$J$2001,K24)),""))</f>
        <v/>
      </c>
      <c r="G24" s="33">
        <f>IF(J24="H",(SUMIFS(Transaksi!$G$2:$G$2001,Transaksi!$M$2:$M$2001,"&lt;="&amp;S24)+SUMIFS(Transaksi!$H$2:$H$2001,Transaksi!$M$2:$M$2001,"&lt;="&amp;S24)+SUMIFS(Transaksi!$I$2:$I$2001,Transaksi!$M$2:$M$2001,"&lt;="&amp;S24))-(SUMIFS(Transaksi!$J$2:$J$2001,Transaksi!$M$2:$M$2001,"&lt;="&amp;S24)),"")</f>
        <v/>
      </c>
      <c r="I24">
        <f>IF(21&gt;$O$2,"",MATCH(21,$Q$3:$Q$402,1))</f>
        <v/>
      </c>
      <c r="J24">
        <f>IF(I24="","",IF(21=INDEX($Q$3:$Q$402,I24),"H","E"))</f>
        <v/>
      </c>
      <c r="K24">
        <f>IF(J24&lt;&gt;"E","",MATCH(S24,Transaksi!$M$2:$M$2001,0)+21-INDEX($Q$3:$Q$402,I24)-1)</f>
        <v/>
      </c>
      <c r="N24" t="n">
        <v>22</v>
      </c>
      <c r="O24">
        <f>IF(N24&lt;=$O$1,$O$1-N24+1,"")</f>
        <v/>
      </c>
      <c r="P24">
        <f>IF(O24="",0,COUNTIF(Transaksi!$M$2:$M$2001,O24)+1)</f>
        <v/>
      </c>
      <c r="Q24">
        <f>1+SUM(P$2:P23)</f>
        <v/>
      </c>
      <c r="S24">
        <f>IF(I24="","",INDEX($O$3:$O$402,I24))</f>
        <v/>
      </c>
      <c r="T24">
        <f>IF(J24&lt;&gt;"H","",INDEX(Transaksi!$A$2:$A$2001,MATCH(S24,Transaksi!$M$2:$M$2001,0)))</f>
        <v/>
      </c>
    </row>
    <row r="25">
      <c r="A25" s="31">
        <f>IF(J25="E",IF(INDEX(Transaksi!$J$2:$J$2001,K25)&gt;0,"↑","↓"),"")</f>
        <v/>
      </c>
      <c r="B25" s="32">
        <f>IF(J25="H",CHOOSE(WEEKDAY(T25,2),"Isnin","Selasa","Rabu","Khamis","Jumaat","Sabtu","Ahad")&amp;", "&amp;DAY(T25)&amp;" "&amp;CHOOSE(MONTH(T25),"Jan","Feb","Mac","Apr","Mei","Jun","Jul","Ogo","Sep","Okt","Nov","Dis")&amp;" "&amp;YEAR(T25),IF(J25="E",IF(INDEX(Transaksi!$B$2:$B$2001,K25)="",INDEX(Transaksi!$C$2:$C$2001,K25)&amp;" · "&amp;INDEX(Transaksi!$D$2:$D$2001,K25),INDEX(Transaksi!$B$2:$B$2001,K25)),""))</f>
        <v/>
      </c>
      <c r="C25" s="32">
        <f>IF(J25="E",INDEX(Transaksi!$C$2:$C$2001,K25)&amp;"","")</f>
        <v/>
      </c>
      <c r="D25" s="32">
        <f>IF(J25="E",INDEX(Transaksi!$D$2:$D$2001,K25)&amp;"","")</f>
        <v/>
      </c>
      <c r="E25" s="33">
        <f>IF(J25="H",SUMIFS(Transaksi!$G$2:$G$2001,Transaksi!$M$2:$M$2001,"="&amp;S25)+SUMIFS(Transaksi!$H$2:$H$2001,Transaksi!$M$2:$M$2001,"="&amp;S25)+SUMIFS(Transaksi!$I$2:$I$2001,Transaksi!$M$2:$M$2001,"="&amp;S25),IF(J25="E",IF(INDEX(Transaksi!$G$2:$G$2001,K25)+INDEX(Transaksi!$H$2:$H$2001,K25)+INDEX(Transaksi!$I$2:$I$2001,K25)=0,"",INDEX(Transaksi!$G$2:$G$2001,K25)+INDEX(Transaksi!$H$2:$H$2001,K25)+INDEX(Transaksi!$I$2:$I$2001,K25)),""))</f>
        <v/>
      </c>
      <c r="F25" s="33">
        <f>IF(J25="H",SUMIFS(Transaksi!$J$2:$J$2001,Transaksi!$M$2:$M$2001,"="&amp;S25),IF(J25="E",IF(INDEX(Transaksi!$J$2:$J$2001,K25)=0,"",INDEX(Transaksi!$J$2:$J$2001,K25)),""))</f>
        <v/>
      </c>
      <c r="G25" s="33">
        <f>IF(J25="H",(SUMIFS(Transaksi!$G$2:$G$2001,Transaksi!$M$2:$M$2001,"&lt;="&amp;S25)+SUMIFS(Transaksi!$H$2:$H$2001,Transaksi!$M$2:$M$2001,"&lt;="&amp;S25)+SUMIFS(Transaksi!$I$2:$I$2001,Transaksi!$M$2:$M$2001,"&lt;="&amp;S25))-(SUMIFS(Transaksi!$J$2:$J$2001,Transaksi!$M$2:$M$2001,"&lt;="&amp;S25)),"")</f>
        <v/>
      </c>
      <c r="I25">
        <f>IF(22&gt;$O$2,"",MATCH(22,$Q$3:$Q$402,1))</f>
        <v/>
      </c>
      <c r="J25">
        <f>IF(I25="","",IF(22=INDEX($Q$3:$Q$402,I25),"H","E"))</f>
        <v/>
      </c>
      <c r="K25">
        <f>IF(J25&lt;&gt;"E","",MATCH(S25,Transaksi!$M$2:$M$2001,0)+22-INDEX($Q$3:$Q$402,I25)-1)</f>
        <v/>
      </c>
      <c r="N25" t="n">
        <v>23</v>
      </c>
      <c r="O25">
        <f>IF(N25&lt;=$O$1,$O$1-N25+1,"")</f>
        <v/>
      </c>
      <c r="P25">
        <f>IF(O25="",0,COUNTIF(Transaksi!$M$2:$M$2001,O25)+1)</f>
        <v/>
      </c>
      <c r="Q25">
        <f>1+SUM(P$2:P24)</f>
        <v/>
      </c>
      <c r="S25">
        <f>IF(I25="","",INDEX($O$3:$O$402,I25))</f>
        <v/>
      </c>
      <c r="T25">
        <f>IF(J25&lt;&gt;"H","",INDEX(Transaksi!$A$2:$A$2001,MATCH(S25,Transaksi!$M$2:$M$2001,0)))</f>
        <v/>
      </c>
    </row>
    <row r="26">
      <c r="A26" s="31">
        <f>IF(J26="E",IF(INDEX(Transaksi!$J$2:$J$2001,K26)&gt;0,"↑","↓"),"")</f>
        <v/>
      </c>
      <c r="B26" s="32">
        <f>IF(J26="H",CHOOSE(WEEKDAY(T26,2),"Isnin","Selasa","Rabu","Khamis","Jumaat","Sabtu","Ahad")&amp;", "&amp;DAY(T26)&amp;" "&amp;CHOOSE(MONTH(T26),"Jan","Feb","Mac","Apr","Mei","Jun","Jul","Ogo","Sep","Okt","Nov","Dis")&amp;" "&amp;YEAR(T26),IF(J26="E",IF(INDEX(Transaksi!$B$2:$B$2001,K26)="",INDEX(Transaksi!$C$2:$C$2001,K26)&amp;" · "&amp;INDEX(Transaksi!$D$2:$D$2001,K26),INDEX(Transaksi!$B$2:$B$2001,K26)),""))</f>
        <v/>
      </c>
      <c r="C26" s="32">
        <f>IF(J26="E",INDEX(Transaksi!$C$2:$C$2001,K26)&amp;"","")</f>
        <v/>
      </c>
      <c r="D26" s="32">
        <f>IF(J26="E",INDEX(Transaksi!$D$2:$D$2001,K26)&amp;"","")</f>
        <v/>
      </c>
      <c r="E26" s="33">
        <f>IF(J26="H",SUMIFS(Transaksi!$G$2:$G$2001,Transaksi!$M$2:$M$2001,"="&amp;S26)+SUMIFS(Transaksi!$H$2:$H$2001,Transaksi!$M$2:$M$2001,"="&amp;S26)+SUMIFS(Transaksi!$I$2:$I$2001,Transaksi!$M$2:$M$2001,"="&amp;S26),IF(J26="E",IF(INDEX(Transaksi!$G$2:$G$2001,K26)+INDEX(Transaksi!$H$2:$H$2001,K26)+INDEX(Transaksi!$I$2:$I$2001,K26)=0,"",INDEX(Transaksi!$G$2:$G$2001,K26)+INDEX(Transaksi!$H$2:$H$2001,K26)+INDEX(Transaksi!$I$2:$I$2001,K26)),""))</f>
        <v/>
      </c>
      <c r="F26" s="33">
        <f>IF(J26="H",SUMIFS(Transaksi!$J$2:$J$2001,Transaksi!$M$2:$M$2001,"="&amp;S26),IF(J26="E",IF(INDEX(Transaksi!$J$2:$J$2001,K26)=0,"",INDEX(Transaksi!$J$2:$J$2001,K26)),""))</f>
        <v/>
      </c>
      <c r="G26" s="33">
        <f>IF(J26="H",(SUMIFS(Transaksi!$G$2:$G$2001,Transaksi!$M$2:$M$2001,"&lt;="&amp;S26)+SUMIFS(Transaksi!$H$2:$H$2001,Transaksi!$M$2:$M$2001,"&lt;="&amp;S26)+SUMIFS(Transaksi!$I$2:$I$2001,Transaksi!$M$2:$M$2001,"&lt;="&amp;S26))-(SUMIFS(Transaksi!$J$2:$J$2001,Transaksi!$M$2:$M$2001,"&lt;="&amp;S26)),"")</f>
        <v/>
      </c>
      <c r="I26">
        <f>IF(23&gt;$O$2,"",MATCH(23,$Q$3:$Q$402,1))</f>
        <v/>
      </c>
      <c r="J26">
        <f>IF(I26="","",IF(23=INDEX($Q$3:$Q$402,I26),"H","E"))</f>
        <v/>
      </c>
      <c r="K26">
        <f>IF(J26&lt;&gt;"E","",MATCH(S26,Transaksi!$M$2:$M$2001,0)+23-INDEX($Q$3:$Q$402,I26)-1)</f>
        <v/>
      </c>
      <c r="N26" t="n">
        <v>24</v>
      </c>
      <c r="O26">
        <f>IF(N26&lt;=$O$1,$O$1-N26+1,"")</f>
        <v/>
      </c>
      <c r="P26">
        <f>IF(O26="",0,COUNTIF(Transaksi!$M$2:$M$2001,O26)+1)</f>
        <v/>
      </c>
      <c r="Q26">
        <f>1+SUM(P$2:P25)</f>
        <v/>
      </c>
      <c r="S26">
        <f>IF(I26="","",INDEX($O$3:$O$402,I26))</f>
        <v/>
      </c>
      <c r="T26">
        <f>IF(J26&lt;&gt;"H","",INDEX(Transaksi!$A$2:$A$2001,MATCH(S26,Transaksi!$M$2:$M$2001,0)))</f>
        <v/>
      </c>
    </row>
    <row r="27">
      <c r="A27" s="31">
        <f>IF(J27="E",IF(INDEX(Transaksi!$J$2:$J$2001,K27)&gt;0,"↑","↓"),"")</f>
        <v/>
      </c>
      <c r="B27" s="32">
        <f>IF(J27="H",CHOOSE(WEEKDAY(T27,2),"Isnin","Selasa","Rabu","Khamis","Jumaat","Sabtu","Ahad")&amp;", "&amp;DAY(T27)&amp;" "&amp;CHOOSE(MONTH(T27),"Jan","Feb","Mac","Apr","Mei","Jun","Jul","Ogo","Sep","Okt","Nov","Dis")&amp;" "&amp;YEAR(T27),IF(J27="E",IF(INDEX(Transaksi!$B$2:$B$2001,K27)="",INDEX(Transaksi!$C$2:$C$2001,K27)&amp;" · "&amp;INDEX(Transaksi!$D$2:$D$2001,K27),INDEX(Transaksi!$B$2:$B$2001,K27)),""))</f>
        <v/>
      </c>
      <c r="C27" s="32">
        <f>IF(J27="E",INDEX(Transaksi!$C$2:$C$2001,K27)&amp;"","")</f>
        <v/>
      </c>
      <c r="D27" s="32">
        <f>IF(J27="E",INDEX(Transaksi!$D$2:$D$2001,K27)&amp;"","")</f>
        <v/>
      </c>
      <c r="E27" s="33">
        <f>IF(J27="H",SUMIFS(Transaksi!$G$2:$G$2001,Transaksi!$M$2:$M$2001,"="&amp;S27)+SUMIFS(Transaksi!$H$2:$H$2001,Transaksi!$M$2:$M$2001,"="&amp;S27)+SUMIFS(Transaksi!$I$2:$I$2001,Transaksi!$M$2:$M$2001,"="&amp;S27),IF(J27="E",IF(INDEX(Transaksi!$G$2:$G$2001,K27)+INDEX(Transaksi!$H$2:$H$2001,K27)+INDEX(Transaksi!$I$2:$I$2001,K27)=0,"",INDEX(Transaksi!$G$2:$G$2001,K27)+INDEX(Transaksi!$H$2:$H$2001,K27)+INDEX(Transaksi!$I$2:$I$2001,K27)),""))</f>
        <v/>
      </c>
      <c r="F27" s="33">
        <f>IF(J27="H",SUMIFS(Transaksi!$J$2:$J$2001,Transaksi!$M$2:$M$2001,"="&amp;S27),IF(J27="E",IF(INDEX(Transaksi!$J$2:$J$2001,K27)=0,"",INDEX(Transaksi!$J$2:$J$2001,K27)),""))</f>
        <v/>
      </c>
      <c r="G27" s="33">
        <f>IF(J27="H",(SUMIFS(Transaksi!$G$2:$G$2001,Transaksi!$M$2:$M$2001,"&lt;="&amp;S27)+SUMIFS(Transaksi!$H$2:$H$2001,Transaksi!$M$2:$M$2001,"&lt;="&amp;S27)+SUMIFS(Transaksi!$I$2:$I$2001,Transaksi!$M$2:$M$2001,"&lt;="&amp;S27))-(SUMIFS(Transaksi!$J$2:$J$2001,Transaksi!$M$2:$M$2001,"&lt;="&amp;S27)),"")</f>
        <v/>
      </c>
      <c r="I27">
        <f>IF(24&gt;$O$2,"",MATCH(24,$Q$3:$Q$402,1))</f>
        <v/>
      </c>
      <c r="J27">
        <f>IF(I27="","",IF(24=INDEX($Q$3:$Q$402,I27),"H","E"))</f>
        <v/>
      </c>
      <c r="K27">
        <f>IF(J27&lt;&gt;"E","",MATCH(S27,Transaksi!$M$2:$M$2001,0)+24-INDEX($Q$3:$Q$402,I27)-1)</f>
        <v/>
      </c>
      <c r="N27" t="n">
        <v>25</v>
      </c>
      <c r="O27">
        <f>IF(N27&lt;=$O$1,$O$1-N27+1,"")</f>
        <v/>
      </c>
      <c r="P27">
        <f>IF(O27="",0,COUNTIF(Transaksi!$M$2:$M$2001,O27)+1)</f>
        <v/>
      </c>
      <c r="Q27">
        <f>1+SUM(P$2:P26)</f>
        <v/>
      </c>
      <c r="S27">
        <f>IF(I27="","",INDEX($O$3:$O$402,I27))</f>
        <v/>
      </c>
      <c r="T27">
        <f>IF(J27&lt;&gt;"H","",INDEX(Transaksi!$A$2:$A$2001,MATCH(S27,Transaksi!$M$2:$M$2001,0)))</f>
        <v/>
      </c>
    </row>
    <row r="28">
      <c r="A28" s="31">
        <f>IF(J28="E",IF(INDEX(Transaksi!$J$2:$J$2001,K28)&gt;0,"↑","↓"),"")</f>
        <v/>
      </c>
      <c r="B28" s="32">
        <f>IF(J28="H",CHOOSE(WEEKDAY(T28,2),"Isnin","Selasa","Rabu","Khamis","Jumaat","Sabtu","Ahad")&amp;", "&amp;DAY(T28)&amp;" "&amp;CHOOSE(MONTH(T28),"Jan","Feb","Mac","Apr","Mei","Jun","Jul","Ogo","Sep","Okt","Nov","Dis")&amp;" "&amp;YEAR(T28),IF(J28="E",IF(INDEX(Transaksi!$B$2:$B$2001,K28)="",INDEX(Transaksi!$C$2:$C$2001,K28)&amp;" · "&amp;INDEX(Transaksi!$D$2:$D$2001,K28),INDEX(Transaksi!$B$2:$B$2001,K28)),""))</f>
        <v/>
      </c>
      <c r="C28" s="32">
        <f>IF(J28="E",INDEX(Transaksi!$C$2:$C$2001,K28)&amp;"","")</f>
        <v/>
      </c>
      <c r="D28" s="32">
        <f>IF(J28="E",INDEX(Transaksi!$D$2:$D$2001,K28)&amp;"","")</f>
        <v/>
      </c>
      <c r="E28" s="33">
        <f>IF(J28="H",SUMIFS(Transaksi!$G$2:$G$2001,Transaksi!$M$2:$M$2001,"="&amp;S28)+SUMIFS(Transaksi!$H$2:$H$2001,Transaksi!$M$2:$M$2001,"="&amp;S28)+SUMIFS(Transaksi!$I$2:$I$2001,Transaksi!$M$2:$M$2001,"="&amp;S28),IF(J28="E",IF(INDEX(Transaksi!$G$2:$G$2001,K28)+INDEX(Transaksi!$H$2:$H$2001,K28)+INDEX(Transaksi!$I$2:$I$2001,K28)=0,"",INDEX(Transaksi!$G$2:$G$2001,K28)+INDEX(Transaksi!$H$2:$H$2001,K28)+INDEX(Transaksi!$I$2:$I$2001,K28)),""))</f>
        <v/>
      </c>
      <c r="F28" s="33">
        <f>IF(J28="H",SUMIFS(Transaksi!$J$2:$J$2001,Transaksi!$M$2:$M$2001,"="&amp;S28),IF(J28="E",IF(INDEX(Transaksi!$J$2:$J$2001,K28)=0,"",INDEX(Transaksi!$J$2:$J$2001,K28)),""))</f>
        <v/>
      </c>
      <c r="G28" s="33">
        <f>IF(J28="H",(SUMIFS(Transaksi!$G$2:$G$2001,Transaksi!$M$2:$M$2001,"&lt;="&amp;S28)+SUMIFS(Transaksi!$H$2:$H$2001,Transaksi!$M$2:$M$2001,"&lt;="&amp;S28)+SUMIFS(Transaksi!$I$2:$I$2001,Transaksi!$M$2:$M$2001,"&lt;="&amp;S28))-(SUMIFS(Transaksi!$J$2:$J$2001,Transaksi!$M$2:$M$2001,"&lt;="&amp;S28)),"")</f>
        <v/>
      </c>
      <c r="I28">
        <f>IF(25&gt;$O$2,"",MATCH(25,$Q$3:$Q$402,1))</f>
        <v/>
      </c>
      <c r="J28">
        <f>IF(I28="","",IF(25=INDEX($Q$3:$Q$402,I28),"H","E"))</f>
        <v/>
      </c>
      <c r="K28">
        <f>IF(J28&lt;&gt;"E","",MATCH(S28,Transaksi!$M$2:$M$2001,0)+25-INDEX($Q$3:$Q$402,I28)-1)</f>
        <v/>
      </c>
      <c r="N28" t="n">
        <v>26</v>
      </c>
      <c r="O28">
        <f>IF(N28&lt;=$O$1,$O$1-N28+1,"")</f>
        <v/>
      </c>
      <c r="P28">
        <f>IF(O28="",0,COUNTIF(Transaksi!$M$2:$M$2001,O28)+1)</f>
        <v/>
      </c>
      <c r="Q28">
        <f>1+SUM(P$2:P27)</f>
        <v/>
      </c>
      <c r="S28">
        <f>IF(I28="","",INDEX($O$3:$O$402,I28))</f>
        <v/>
      </c>
      <c r="T28">
        <f>IF(J28&lt;&gt;"H","",INDEX(Transaksi!$A$2:$A$2001,MATCH(S28,Transaksi!$M$2:$M$2001,0)))</f>
        <v/>
      </c>
    </row>
    <row r="29">
      <c r="A29" s="31">
        <f>IF(J29="E",IF(INDEX(Transaksi!$J$2:$J$2001,K29)&gt;0,"↑","↓"),"")</f>
        <v/>
      </c>
      <c r="B29" s="32">
        <f>IF(J29="H",CHOOSE(WEEKDAY(T29,2),"Isnin","Selasa","Rabu","Khamis","Jumaat","Sabtu","Ahad")&amp;", "&amp;DAY(T29)&amp;" "&amp;CHOOSE(MONTH(T29),"Jan","Feb","Mac","Apr","Mei","Jun","Jul","Ogo","Sep","Okt","Nov","Dis")&amp;" "&amp;YEAR(T29),IF(J29="E",IF(INDEX(Transaksi!$B$2:$B$2001,K29)="",INDEX(Transaksi!$C$2:$C$2001,K29)&amp;" · "&amp;INDEX(Transaksi!$D$2:$D$2001,K29),INDEX(Transaksi!$B$2:$B$2001,K29)),""))</f>
        <v/>
      </c>
      <c r="C29" s="32">
        <f>IF(J29="E",INDEX(Transaksi!$C$2:$C$2001,K29)&amp;"","")</f>
        <v/>
      </c>
      <c r="D29" s="32">
        <f>IF(J29="E",INDEX(Transaksi!$D$2:$D$2001,K29)&amp;"","")</f>
        <v/>
      </c>
      <c r="E29" s="33">
        <f>IF(J29="H",SUMIFS(Transaksi!$G$2:$G$2001,Transaksi!$M$2:$M$2001,"="&amp;S29)+SUMIFS(Transaksi!$H$2:$H$2001,Transaksi!$M$2:$M$2001,"="&amp;S29)+SUMIFS(Transaksi!$I$2:$I$2001,Transaksi!$M$2:$M$2001,"="&amp;S29),IF(J29="E",IF(INDEX(Transaksi!$G$2:$G$2001,K29)+INDEX(Transaksi!$H$2:$H$2001,K29)+INDEX(Transaksi!$I$2:$I$2001,K29)=0,"",INDEX(Transaksi!$G$2:$G$2001,K29)+INDEX(Transaksi!$H$2:$H$2001,K29)+INDEX(Transaksi!$I$2:$I$2001,K29)),""))</f>
        <v/>
      </c>
      <c r="F29" s="33">
        <f>IF(J29="H",SUMIFS(Transaksi!$J$2:$J$2001,Transaksi!$M$2:$M$2001,"="&amp;S29),IF(J29="E",IF(INDEX(Transaksi!$J$2:$J$2001,K29)=0,"",INDEX(Transaksi!$J$2:$J$2001,K29)),""))</f>
        <v/>
      </c>
      <c r="G29" s="33">
        <f>IF(J29="H",(SUMIFS(Transaksi!$G$2:$G$2001,Transaksi!$M$2:$M$2001,"&lt;="&amp;S29)+SUMIFS(Transaksi!$H$2:$H$2001,Transaksi!$M$2:$M$2001,"&lt;="&amp;S29)+SUMIFS(Transaksi!$I$2:$I$2001,Transaksi!$M$2:$M$2001,"&lt;="&amp;S29))-(SUMIFS(Transaksi!$J$2:$J$2001,Transaksi!$M$2:$M$2001,"&lt;="&amp;S29)),"")</f>
        <v/>
      </c>
      <c r="I29">
        <f>IF(26&gt;$O$2,"",MATCH(26,$Q$3:$Q$402,1))</f>
        <v/>
      </c>
      <c r="J29">
        <f>IF(I29="","",IF(26=INDEX($Q$3:$Q$402,I29),"H","E"))</f>
        <v/>
      </c>
      <c r="K29">
        <f>IF(J29&lt;&gt;"E","",MATCH(S29,Transaksi!$M$2:$M$2001,0)+26-INDEX($Q$3:$Q$402,I29)-1)</f>
        <v/>
      </c>
      <c r="N29" t="n">
        <v>27</v>
      </c>
      <c r="O29">
        <f>IF(N29&lt;=$O$1,$O$1-N29+1,"")</f>
        <v/>
      </c>
      <c r="P29">
        <f>IF(O29="",0,COUNTIF(Transaksi!$M$2:$M$2001,O29)+1)</f>
        <v/>
      </c>
      <c r="Q29">
        <f>1+SUM(P$2:P28)</f>
        <v/>
      </c>
      <c r="S29">
        <f>IF(I29="","",INDEX($O$3:$O$402,I29))</f>
        <v/>
      </c>
      <c r="T29">
        <f>IF(J29&lt;&gt;"H","",INDEX(Transaksi!$A$2:$A$2001,MATCH(S29,Transaksi!$M$2:$M$2001,0)))</f>
        <v/>
      </c>
    </row>
    <row r="30">
      <c r="A30" s="31">
        <f>IF(J30="E",IF(INDEX(Transaksi!$J$2:$J$2001,K30)&gt;0,"↑","↓"),"")</f>
        <v/>
      </c>
      <c r="B30" s="32">
        <f>IF(J30="H",CHOOSE(WEEKDAY(T30,2),"Isnin","Selasa","Rabu","Khamis","Jumaat","Sabtu","Ahad")&amp;", "&amp;DAY(T30)&amp;" "&amp;CHOOSE(MONTH(T30),"Jan","Feb","Mac","Apr","Mei","Jun","Jul","Ogo","Sep","Okt","Nov","Dis")&amp;" "&amp;YEAR(T30),IF(J30="E",IF(INDEX(Transaksi!$B$2:$B$2001,K30)="",INDEX(Transaksi!$C$2:$C$2001,K30)&amp;" · "&amp;INDEX(Transaksi!$D$2:$D$2001,K30),INDEX(Transaksi!$B$2:$B$2001,K30)),""))</f>
        <v/>
      </c>
      <c r="C30" s="32">
        <f>IF(J30="E",INDEX(Transaksi!$C$2:$C$2001,K30)&amp;"","")</f>
        <v/>
      </c>
      <c r="D30" s="32">
        <f>IF(J30="E",INDEX(Transaksi!$D$2:$D$2001,K30)&amp;"","")</f>
        <v/>
      </c>
      <c r="E30" s="33">
        <f>IF(J30="H",SUMIFS(Transaksi!$G$2:$G$2001,Transaksi!$M$2:$M$2001,"="&amp;S30)+SUMIFS(Transaksi!$H$2:$H$2001,Transaksi!$M$2:$M$2001,"="&amp;S30)+SUMIFS(Transaksi!$I$2:$I$2001,Transaksi!$M$2:$M$2001,"="&amp;S30),IF(J30="E",IF(INDEX(Transaksi!$G$2:$G$2001,K30)+INDEX(Transaksi!$H$2:$H$2001,K30)+INDEX(Transaksi!$I$2:$I$2001,K30)=0,"",INDEX(Transaksi!$G$2:$G$2001,K30)+INDEX(Transaksi!$H$2:$H$2001,K30)+INDEX(Transaksi!$I$2:$I$2001,K30)),""))</f>
        <v/>
      </c>
      <c r="F30" s="33">
        <f>IF(J30="H",SUMIFS(Transaksi!$J$2:$J$2001,Transaksi!$M$2:$M$2001,"="&amp;S30),IF(J30="E",IF(INDEX(Transaksi!$J$2:$J$2001,K30)=0,"",INDEX(Transaksi!$J$2:$J$2001,K30)),""))</f>
        <v/>
      </c>
      <c r="G30" s="33">
        <f>IF(J30="H",(SUMIFS(Transaksi!$G$2:$G$2001,Transaksi!$M$2:$M$2001,"&lt;="&amp;S30)+SUMIFS(Transaksi!$H$2:$H$2001,Transaksi!$M$2:$M$2001,"&lt;="&amp;S30)+SUMIFS(Transaksi!$I$2:$I$2001,Transaksi!$M$2:$M$2001,"&lt;="&amp;S30))-(SUMIFS(Transaksi!$J$2:$J$2001,Transaksi!$M$2:$M$2001,"&lt;="&amp;S30)),"")</f>
        <v/>
      </c>
      <c r="I30">
        <f>IF(27&gt;$O$2,"",MATCH(27,$Q$3:$Q$402,1))</f>
        <v/>
      </c>
      <c r="J30">
        <f>IF(I30="","",IF(27=INDEX($Q$3:$Q$402,I30),"H","E"))</f>
        <v/>
      </c>
      <c r="K30">
        <f>IF(J30&lt;&gt;"E","",MATCH(S30,Transaksi!$M$2:$M$2001,0)+27-INDEX($Q$3:$Q$402,I30)-1)</f>
        <v/>
      </c>
      <c r="N30" t="n">
        <v>28</v>
      </c>
      <c r="O30">
        <f>IF(N30&lt;=$O$1,$O$1-N30+1,"")</f>
        <v/>
      </c>
      <c r="P30">
        <f>IF(O30="",0,COUNTIF(Transaksi!$M$2:$M$2001,O30)+1)</f>
        <v/>
      </c>
      <c r="Q30">
        <f>1+SUM(P$2:P29)</f>
        <v/>
      </c>
      <c r="S30">
        <f>IF(I30="","",INDEX($O$3:$O$402,I30))</f>
        <v/>
      </c>
      <c r="T30">
        <f>IF(J30&lt;&gt;"H","",INDEX(Transaksi!$A$2:$A$2001,MATCH(S30,Transaksi!$M$2:$M$2001,0)))</f>
        <v/>
      </c>
    </row>
    <row r="31">
      <c r="A31" s="31">
        <f>IF(J31="E",IF(INDEX(Transaksi!$J$2:$J$2001,K31)&gt;0,"↑","↓"),"")</f>
        <v/>
      </c>
      <c r="B31" s="32">
        <f>IF(J31="H",CHOOSE(WEEKDAY(T31,2),"Isnin","Selasa","Rabu","Khamis","Jumaat","Sabtu","Ahad")&amp;", "&amp;DAY(T31)&amp;" "&amp;CHOOSE(MONTH(T31),"Jan","Feb","Mac","Apr","Mei","Jun","Jul","Ogo","Sep","Okt","Nov","Dis")&amp;" "&amp;YEAR(T31),IF(J31="E",IF(INDEX(Transaksi!$B$2:$B$2001,K31)="",INDEX(Transaksi!$C$2:$C$2001,K31)&amp;" · "&amp;INDEX(Transaksi!$D$2:$D$2001,K31),INDEX(Transaksi!$B$2:$B$2001,K31)),""))</f>
        <v/>
      </c>
      <c r="C31" s="32">
        <f>IF(J31="E",INDEX(Transaksi!$C$2:$C$2001,K31)&amp;"","")</f>
        <v/>
      </c>
      <c r="D31" s="32">
        <f>IF(J31="E",INDEX(Transaksi!$D$2:$D$2001,K31)&amp;"","")</f>
        <v/>
      </c>
      <c r="E31" s="33">
        <f>IF(J31="H",SUMIFS(Transaksi!$G$2:$G$2001,Transaksi!$M$2:$M$2001,"="&amp;S31)+SUMIFS(Transaksi!$H$2:$H$2001,Transaksi!$M$2:$M$2001,"="&amp;S31)+SUMIFS(Transaksi!$I$2:$I$2001,Transaksi!$M$2:$M$2001,"="&amp;S31),IF(J31="E",IF(INDEX(Transaksi!$G$2:$G$2001,K31)+INDEX(Transaksi!$H$2:$H$2001,K31)+INDEX(Transaksi!$I$2:$I$2001,K31)=0,"",INDEX(Transaksi!$G$2:$G$2001,K31)+INDEX(Transaksi!$H$2:$H$2001,K31)+INDEX(Transaksi!$I$2:$I$2001,K31)),""))</f>
        <v/>
      </c>
      <c r="F31" s="33">
        <f>IF(J31="H",SUMIFS(Transaksi!$J$2:$J$2001,Transaksi!$M$2:$M$2001,"="&amp;S31),IF(J31="E",IF(INDEX(Transaksi!$J$2:$J$2001,K31)=0,"",INDEX(Transaksi!$J$2:$J$2001,K31)),""))</f>
        <v/>
      </c>
      <c r="G31" s="33">
        <f>IF(J31="H",(SUMIFS(Transaksi!$G$2:$G$2001,Transaksi!$M$2:$M$2001,"&lt;="&amp;S31)+SUMIFS(Transaksi!$H$2:$H$2001,Transaksi!$M$2:$M$2001,"&lt;="&amp;S31)+SUMIFS(Transaksi!$I$2:$I$2001,Transaksi!$M$2:$M$2001,"&lt;="&amp;S31))-(SUMIFS(Transaksi!$J$2:$J$2001,Transaksi!$M$2:$M$2001,"&lt;="&amp;S31)),"")</f>
        <v/>
      </c>
      <c r="I31">
        <f>IF(28&gt;$O$2,"",MATCH(28,$Q$3:$Q$402,1))</f>
        <v/>
      </c>
      <c r="J31">
        <f>IF(I31="","",IF(28=INDEX($Q$3:$Q$402,I31),"H","E"))</f>
        <v/>
      </c>
      <c r="K31">
        <f>IF(J31&lt;&gt;"E","",MATCH(S31,Transaksi!$M$2:$M$2001,0)+28-INDEX($Q$3:$Q$402,I31)-1)</f>
        <v/>
      </c>
      <c r="N31" t="n">
        <v>29</v>
      </c>
      <c r="O31">
        <f>IF(N31&lt;=$O$1,$O$1-N31+1,"")</f>
        <v/>
      </c>
      <c r="P31">
        <f>IF(O31="",0,COUNTIF(Transaksi!$M$2:$M$2001,O31)+1)</f>
        <v/>
      </c>
      <c r="Q31">
        <f>1+SUM(P$2:P30)</f>
        <v/>
      </c>
      <c r="S31">
        <f>IF(I31="","",INDEX($O$3:$O$402,I31))</f>
        <v/>
      </c>
      <c r="T31">
        <f>IF(J31&lt;&gt;"H","",INDEX(Transaksi!$A$2:$A$2001,MATCH(S31,Transaksi!$M$2:$M$2001,0)))</f>
        <v/>
      </c>
    </row>
    <row r="32">
      <c r="A32" s="31">
        <f>IF(J32="E",IF(INDEX(Transaksi!$J$2:$J$2001,K32)&gt;0,"↑","↓"),"")</f>
        <v/>
      </c>
      <c r="B32" s="32">
        <f>IF(J32="H",CHOOSE(WEEKDAY(T32,2),"Isnin","Selasa","Rabu","Khamis","Jumaat","Sabtu","Ahad")&amp;", "&amp;DAY(T32)&amp;" "&amp;CHOOSE(MONTH(T32),"Jan","Feb","Mac","Apr","Mei","Jun","Jul","Ogo","Sep","Okt","Nov","Dis")&amp;" "&amp;YEAR(T32),IF(J32="E",IF(INDEX(Transaksi!$B$2:$B$2001,K32)="",INDEX(Transaksi!$C$2:$C$2001,K32)&amp;" · "&amp;INDEX(Transaksi!$D$2:$D$2001,K32),INDEX(Transaksi!$B$2:$B$2001,K32)),""))</f>
        <v/>
      </c>
      <c r="C32" s="32">
        <f>IF(J32="E",INDEX(Transaksi!$C$2:$C$2001,K32)&amp;"","")</f>
        <v/>
      </c>
      <c r="D32" s="32">
        <f>IF(J32="E",INDEX(Transaksi!$D$2:$D$2001,K32)&amp;"","")</f>
        <v/>
      </c>
      <c r="E32" s="33">
        <f>IF(J32="H",SUMIFS(Transaksi!$G$2:$G$2001,Transaksi!$M$2:$M$2001,"="&amp;S32)+SUMIFS(Transaksi!$H$2:$H$2001,Transaksi!$M$2:$M$2001,"="&amp;S32)+SUMIFS(Transaksi!$I$2:$I$2001,Transaksi!$M$2:$M$2001,"="&amp;S32),IF(J32="E",IF(INDEX(Transaksi!$G$2:$G$2001,K32)+INDEX(Transaksi!$H$2:$H$2001,K32)+INDEX(Transaksi!$I$2:$I$2001,K32)=0,"",INDEX(Transaksi!$G$2:$G$2001,K32)+INDEX(Transaksi!$H$2:$H$2001,K32)+INDEX(Transaksi!$I$2:$I$2001,K32)),""))</f>
        <v/>
      </c>
      <c r="F32" s="33">
        <f>IF(J32="H",SUMIFS(Transaksi!$J$2:$J$2001,Transaksi!$M$2:$M$2001,"="&amp;S32),IF(J32="E",IF(INDEX(Transaksi!$J$2:$J$2001,K32)=0,"",INDEX(Transaksi!$J$2:$J$2001,K32)),""))</f>
        <v/>
      </c>
      <c r="G32" s="33">
        <f>IF(J32="H",(SUMIFS(Transaksi!$G$2:$G$2001,Transaksi!$M$2:$M$2001,"&lt;="&amp;S32)+SUMIFS(Transaksi!$H$2:$H$2001,Transaksi!$M$2:$M$2001,"&lt;="&amp;S32)+SUMIFS(Transaksi!$I$2:$I$2001,Transaksi!$M$2:$M$2001,"&lt;="&amp;S32))-(SUMIFS(Transaksi!$J$2:$J$2001,Transaksi!$M$2:$M$2001,"&lt;="&amp;S32)),"")</f>
        <v/>
      </c>
      <c r="I32">
        <f>IF(29&gt;$O$2,"",MATCH(29,$Q$3:$Q$402,1))</f>
        <v/>
      </c>
      <c r="J32">
        <f>IF(I32="","",IF(29=INDEX($Q$3:$Q$402,I32),"H","E"))</f>
        <v/>
      </c>
      <c r="K32">
        <f>IF(J32&lt;&gt;"E","",MATCH(S32,Transaksi!$M$2:$M$2001,0)+29-INDEX($Q$3:$Q$402,I32)-1)</f>
        <v/>
      </c>
      <c r="N32" t="n">
        <v>30</v>
      </c>
      <c r="O32">
        <f>IF(N32&lt;=$O$1,$O$1-N32+1,"")</f>
        <v/>
      </c>
      <c r="P32">
        <f>IF(O32="",0,COUNTIF(Transaksi!$M$2:$M$2001,O32)+1)</f>
        <v/>
      </c>
      <c r="Q32">
        <f>1+SUM(P$2:P31)</f>
        <v/>
      </c>
      <c r="S32">
        <f>IF(I32="","",INDEX($O$3:$O$402,I32))</f>
        <v/>
      </c>
      <c r="T32">
        <f>IF(J32&lt;&gt;"H","",INDEX(Transaksi!$A$2:$A$2001,MATCH(S32,Transaksi!$M$2:$M$2001,0)))</f>
        <v/>
      </c>
    </row>
    <row r="33">
      <c r="A33" s="31">
        <f>IF(J33="E",IF(INDEX(Transaksi!$J$2:$J$2001,K33)&gt;0,"↑","↓"),"")</f>
        <v/>
      </c>
      <c r="B33" s="32">
        <f>IF(J33="H",CHOOSE(WEEKDAY(T33,2),"Isnin","Selasa","Rabu","Khamis","Jumaat","Sabtu","Ahad")&amp;", "&amp;DAY(T33)&amp;" "&amp;CHOOSE(MONTH(T33),"Jan","Feb","Mac","Apr","Mei","Jun","Jul","Ogo","Sep","Okt","Nov","Dis")&amp;" "&amp;YEAR(T33),IF(J33="E",IF(INDEX(Transaksi!$B$2:$B$2001,K33)="",INDEX(Transaksi!$C$2:$C$2001,K33)&amp;" · "&amp;INDEX(Transaksi!$D$2:$D$2001,K33),INDEX(Transaksi!$B$2:$B$2001,K33)),""))</f>
        <v/>
      </c>
      <c r="C33" s="32">
        <f>IF(J33="E",INDEX(Transaksi!$C$2:$C$2001,K33)&amp;"","")</f>
        <v/>
      </c>
      <c r="D33" s="32">
        <f>IF(J33="E",INDEX(Transaksi!$D$2:$D$2001,K33)&amp;"","")</f>
        <v/>
      </c>
      <c r="E33" s="33">
        <f>IF(J33="H",SUMIFS(Transaksi!$G$2:$G$2001,Transaksi!$M$2:$M$2001,"="&amp;S33)+SUMIFS(Transaksi!$H$2:$H$2001,Transaksi!$M$2:$M$2001,"="&amp;S33)+SUMIFS(Transaksi!$I$2:$I$2001,Transaksi!$M$2:$M$2001,"="&amp;S33),IF(J33="E",IF(INDEX(Transaksi!$G$2:$G$2001,K33)+INDEX(Transaksi!$H$2:$H$2001,K33)+INDEX(Transaksi!$I$2:$I$2001,K33)=0,"",INDEX(Transaksi!$G$2:$G$2001,K33)+INDEX(Transaksi!$H$2:$H$2001,K33)+INDEX(Transaksi!$I$2:$I$2001,K33)),""))</f>
        <v/>
      </c>
      <c r="F33" s="33">
        <f>IF(J33="H",SUMIFS(Transaksi!$J$2:$J$2001,Transaksi!$M$2:$M$2001,"="&amp;S33),IF(J33="E",IF(INDEX(Transaksi!$J$2:$J$2001,K33)=0,"",INDEX(Transaksi!$J$2:$J$2001,K33)),""))</f>
        <v/>
      </c>
      <c r="G33" s="33">
        <f>IF(J33="H",(SUMIFS(Transaksi!$G$2:$G$2001,Transaksi!$M$2:$M$2001,"&lt;="&amp;S33)+SUMIFS(Transaksi!$H$2:$H$2001,Transaksi!$M$2:$M$2001,"&lt;="&amp;S33)+SUMIFS(Transaksi!$I$2:$I$2001,Transaksi!$M$2:$M$2001,"&lt;="&amp;S33))-(SUMIFS(Transaksi!$J$2:$J$2001,Transaksi!$M$2:$M$2001,"&lt;="&amp;S33)),"")</f>
        <v/>
      </c>
      <c r="I33">
        <f>IF(30&gt;$O$2,"",MATCH(30,$Q$3:$Q$402,1))</f>
        <v/>
      </c>
      <c r="J33">
        <f>IF(I33="","",IF(30=INDEX($Q$3:$Q$402,I33),"H","E"))</f>
        <v/>
      </c>
      <c r="K33">
        <f>IF(J33&lt;&gt;"E","",MATCH(S33,Transaksi!$M$2:$M$2001,0)+30-INDEX($Q$3:$Q$402,I33)-1)</f>
        <v/>
      </c>
      <c r="N33" t="n">
        <v>31</v>
      </c>
      <c r="O33">
        <f>IF(N33&lt;=$O$1,$O$1-N33+1,"")</f>
        <v/>
      </c>
      <c r="P33">
        <f>IF(O33="",0,COUNTIF(Transaksi!$M$2:$M$2001,O33)+1)</f>
        <v/>
      </c>
      <c r="Q33">
        <f>1+SUM(P$2:P32)</f>
        <v/>
      </c>
      <c r="S33">
        <f>IF(I33="","",INDEX($O$3:$O$402,I33))</f>
        <v/>
      </c>
      <c r="T33">
        <f>IF(J33&lt;&gt;"H","",INDEX(Transaksi!$A$2:$A$2001,MATCH(S33,Transaksi!$M$2:$M$2001,0)))</f>
        <v/>
      </c>
    </row>
    <row r="34">
      <c r="A34" s="31">
        <f>IF(J34="E",IF(INDEX(Transaksi!$J$2:$J$2001,K34)&gt;0,"↑","↓"),"")</f>
        <v/>
      </c>
      <c r="B34" s="32">
        <f>IF(J34="H",CHOOSE(WEEKDAY(T34,2),"Isnin","Selasa","Rabu","Khamis","Jumaat","Sabtu","Ahad")&amp;", "&amp;DAY(T34)&amp;" "&amp;CHOOSE(MONTH(T34),"Jan","Feb","Mac","Apr","Mei","Jun","Jul","Ogo","Sep","Okt","Nov","Dis")&amp;" "&amp;YEAR(T34),IF(J34="E",IF(INDEX(Transaksi!$B$2:$B$2001,K34)="",INDEX(Transaksi!$C$2:$C$2001,K34)&amp;" · "&amp;INDEX(Transaksi!$D$2:$D$2001,K34),INDEX(Transaksi!$B$2:$B$2001,K34)),""))</f>
        <v/>
      </c>
      <c r="C34" s="32">
        <f>IF(J34="E",INDEX(Transaksi!$C$2:$C$2001,K34)&amp;"","")</f>
        <v/>
      </c>
      <c r="D34" s="32">
        <f>IF(J34="E",INDEX(Transaksi!$D$2:$D$2001,K34)&amp;"","")</f>
        <v/>
      </c>
      <c r="E34" s="33">
        <f>IF(J34="H",SUMIFS(Transaksi!$G$2:$G$2001,Transaksi!$M$2:$M$2001,"="&amp;S34)+SUMIFS(Transaksi!$H$2:$H$2001,Transaksi!$M$2:$M$2001,"="&amp;S34)+SUMIFS(Transaksi!$I$2:$I$2001,Transaksi!$M$2:$M$2001,"="&amp;S34),IF(J34="E",IF(INDEX(Transaksi!$G$2:$G$2001,K34)+INDEX(Transaksi!$H$2:$H$2001,K34)+INDEX(Transaksi!$I$2:$I$2001,K34)=0,"",INDEX(Transaksi!$G$2:$G$2001,K34)+INDEX(Transaksi!$H$2:$H$2001,K34)+INDEX(Transaksi!$I$2:$I$2001,K34)),""))</f>
        <v/>
      </c>
      <c r="F34" s="33">
        <f>IF(J34="H",SUMIFS(Transaksi!$J$2:$J$2001,Transaksi!$M$2:$M$2001,"="&amp;S34),IF(J34="E",IF(INDEX(Transaksi!$J$2:$J$2001,K34)=0,"",INDEX(Transaksi!$J$2:$J$2001,K34)),""))</f>
        <v/>
      </c>
      <c r="G34" s="33">
        <f>IF(J34="H",(SUMIFS(Transaksi!$G$2:$G$2001,Transaksi!$M$2:$M$2001,"&lt;="&amp;S34)+SUMIFS(Transaksi!$H$2:$H$2001,Transaksi!$M$2:$M$2001,"&lt;="&amp;S34)+SUMIFS(Transaksi!$I$2:$I$2001,Transaksi!$M$2:$M$2001,"&lt;="&amp;S34))-(SUMIFS(Transaksi!$J$2:$J$2001,Transaksi!$M$2:$M$2001,"&lt;="&amp;S34)),"")</f>
        <v/>
      </c>
      <c r="I34">
        <f>IF(31&gt;$O$2,"",MATCH(31,$Q$3:$Q$402,1))</f>
        <v/>
      </c>
      <c r="J34">
        <f>IF(I34="","",IF(31=INDEX($Q$3:$Q$402,I34),"H","E"))</f>
        <v/>
      </c>
      <c r="K34">
        <f>IF(J34&lt;&gt;"E","",MATCH(S34,Transaksi!$M$2:$M$2001,0)+31-INDEX($Q$3:$Q$402,I34)-1)</f>
        <v/>
      </c>
      <c r="N34" t="n">
        <v>32</v>
      </c>
      <c r="O34">
        <f>IF(N34&lt;=$O$1,$O$1-N34+1,"")</f>
        <v/>
      </c>
      <c r="P34">
        <f>IF(O34="",0,COUNTIF(Transaksi!$M$2:$M$2001,O34)+1)</f>
        <v/>
      </c>
      <c r="Q34">
        <f>1+SUM(P$2:P33)</f>
        <v/>
      </c>
      <c r="S34">
        <f>IF(I34="","",INDEX($O$3:$O$402,I34))</f>
        <v/>
      </c>
      <c r="T34">
        <f>IF(J34&lt;&gt;"H","",INDEX(Transaksi!$A$2:$A$2001,MATCH(S34,Transaksi!$M$2:$M$2001,0)))</f>
        <v/>
      </c>
    </row>
    <row r="35">
      <c r="A35" s="31">
        <f>IF(J35="E",IF(INDEX(Transaksi!$J$2:$J$2001,K35)&gt;0,"↑","↓"),"")</f>
        <v/>
      </c>
      <c r="B35" s="32">
        <f>IF(J35="H",CHOOSE(WEEKDAY(T35,2),"Isnin","Selasa","Rabu","Khamis","Jumaat","Sabtu","Ahad")&amp;", "&amp;DAY(T35)&amp;" "&amp;CHOOSE(MONTH(T35),"Jan","Feb","Mac","Apr","Mei","Jun","Jul","Ogo","Sep","Okt","Nov","Dis")&amp;" "&amp;YEAR(T35),IF(J35="E",IF(INDEX(Transaksi!$B$2:$B$2001,K35)="",INDEX(Transaksi!$C$2:$C$2001,K35)&amp;" · "&amp;INDEX(Transaksi!$D$2:$D$2001,K35),INDEX(Transaksi!$B$2:$B$2001,K35)),""))</f>
        <v/>
      </c>
      <c r="C35" s="32">
        <f>IF(J35="E",INDEX(Transaksi!$C$2:$C$2001,K35)&amp;"","")</f>
        <v/>
      </c>
      <c r="D35" s="32">
        <f>IF(J35="E",INDEX(Transaksi!$D$2:$D$2001,K35)&amp;"","")</f>
        <v/>
      </c>
      <c r="E35" s="33">
        <f>IF(J35="H",SUMIFS(Transaksi!$G$2:$G$2001,Transaksi!$M$2:$M$2001,"="&amp;S35)+SUMIFS(Transaksi!$H$2:$H$2001,Transaksi!$M$2:$M$2001,"="&amp;S35)+SUMIFS(Transaksi!$I$2:$I$2001,Transaksi!$M$2:$M$2001,"="&amp;S35),IF(J35="E",IF(INDEX(Transaksi!$G$2:$G$2001,K35)+INDEX(Transaksi!$H$2:$H$2001,K35)+INDEX(Transaksi!$I$2:$I$2001,K35)=0,"",INDEX(Transaksi!$G$2:$G$2001,K35)+INDEX(Transaksi!$H$2:$H$2001,K35)+INDEX(Transaksi!$I$2:$I$2001,K35)),""))</f>
        <v/>
      </c>
      <c r="F35" s="33">
        <f>IF(J35="H",SUMIFS(Transaksi!$J$2:$J$2001,Transaksi!$M$2:$M$2001,"="&amp;S35),IF(J35="E",IF(INDEX(Transaksi!$J$2:$J$2001,K35)=0,"",INDEX(Transaksi!$J$2:$J$2001,K35)),""))</f>
        <v/>
      </c>
      <c r="G35" s="33">
        <f>IF(J35="H",(SUMIFS(Transaksi!$G$2:$G$2001,Transaksi!$M$2:$M$2001,"&lt;="&amp;S35)+SUMIFS(Transaksi!$H$2:$H$2001,Transaksi!$M$2:$M$2001,"&lt;="&amp;S35)+SUMIFS(Transaksi!$I$2:$I$2001,Transaksi!$M$2:$M$2001,"&lt;="&amp;S35))-(SUMIFS(Transaksi!$J$2:$J$2001,Transaksi!$M$2:$M$2001,"&lt;="&amp;S35)),"")</f>
        <v/>
      </c>
      <c r="I35">
        <f>IF(32&gt;$O$2,"",MATCH(32,$Q$3:$Q$402,1))</f>
        <v/>
      </c>
      <c r="J35">
        <f>IF(I35="","",IF(32=INDEX($Q$3:$Q$402,I35),"H","E"))</f>
        <v/>
      </c>
      <c r="K35">
        <f>IF(J35&lt;&gt;"E","",MATCH(S35,Transaksi!$M$2:$M$2001,0)+32-INDEX($Q$3:$Q$402,I35)-1)</f>
        <v/>
      </c>
      <c r="N35" t="n">
        <v>33</v>
      </c>
      <c r="O35">
        <f>IF(N35&lt;=$O$1,$O$1-N35+1,"")</f>
        <v/>
      </c>
      <c r="P35">
        <f>IF(O35="",0,COUNTIF(Transaksi!$M$2:$M$2001,O35)+1)</f>
        <v/>
      </c>
      <c r="Q35">
        <f>1+SUM(P$2:P34)</f>
        <v/>
      </c>
      <c r="S35">
        <f>IF(I35="","",INDEX($O$3:$O$402,I35))</f>
        <v/>
      </c>
      <c r="T35">
        <f>IF(J35&lt;&gt;"H","",INDEX(Transaksi!$A$2:$A$2001,MATCH(S35,Transaksi!$M$2:$M$2001,0)))</f>
        <v/>
      </c>
    </row>
    <row r="36">
      <c r="A36" s="31">
        <f>IF(J36="E",IF(INDEX(Transaksi!$J$2:$J$2001,K36)&gt;0,"↑","↓"),"")</f>
        <v/>
      </c>
      <c r="B36" s="32">
        <f>IF(J36="H",CHOOSE(WEEKDAY(T36,2),"Isnin","Selasa","Rabu","Khamis","Jumaat","Sabtu","Ahad")&amp;", "&amp;DAY(T36)&amp;" "&amp;CHOOSE(MONTH(T36),"Jan","Feb","Mac","Apr","Mei","Jun","Jul","Ogo","Sep","Okt","Nov","Dis")&amp;" "&amp;YEAR(T36),IF(J36="E",IF(INDEX(Transaksi!$B$2:$B$2001,K36)="",INDEX(Transaksi!$C$2:$C$2001,K36)&amp;" · "&amp;INDEX(Transaksi!$D$2:$D$2001,K36),INDEX(Transaksi!$B$2:$B$2001,K36)),""))</f>
        <v/>
      </c>
      <c r="C36" s="32">
        <f>IF(J36="E",INDEX(Transaksi!$C$2:$C$2001,K36)&amp;"","")</f>
        <v/>
      </c>
      <c r="D36" s="32">
        <f>IF(J36="E",INDEX(Transaksi!$D$2:$D$2001,K36)&amp;"","")</f>
        <v/>
      </c>
      <c r="E36" s="33">
        <f>IF(J36="H",SUMIFS(Transaksi!$G$2:$G$2001,Transaksi!$M$2:$M$2001,"="&amp;S36)+SUMIFS(Transaksi!$H$2:$H$2001,Transaksi!$M$2:$M$2001,"="&amp;S36)+SUMIFS(Transaksi!$I$2:$I$2001,Transaksi!$M$2:$M$2001,"="&amp;S36),IF(J36="E",IF(INDEX(Transaksi!$G$2:$G$2001,K36)+INDEX(Transaksi!$H$2:$H$2001,K36)+INDEX(Transaksi!$I$2:$I$2001,K36)=0,"",INDEX(Transaksi!$G$2:$G$2001,K36)+INDEX(Transaksi!$H$2:$H$2001,K36)+INDEX(Transaksi!$I$2:$I$2001,K36)),""))</f>
        <v/>
      </c>
      <c r="F36" s="33">
        <f>IF(J36="H",SUMIFS(Transaksi!$J$2:$J$2001,Transaksi!$M$2:$M$2001,"="&amp;S36),IF(J36="E",IF(INDEX(Transaksi!$J$2:$J$2001,K36)=0,"",INDEX(Transaksi!$J$2:$J$2001,K36)),""))</f>
        <v/>
      </c>
      <c r="G36" s="33">
        <f>IF(J36="H",(SUMIFS(Transaksi!$G$2:$G$2001,Transaksi!$M$2:$M$2001,"&lt;="&amp;S36)+SUMIFS(Transaksi!$H$2:$H$2001,Transaksi!$M$2:$M$2001,"&lt;="&amp;S36)+SUMIFS(Transaksi!$I$2:$I$2001,Transaksi!$M$2:$M$2001,"&lt;="&amp;S36))-(SUMIFS(Transaksi!$J$2:$J$2001,Transaksi!$M$2:$M$2001,"&lt;="&amp;S36)),"")</f>
        <v/>
      </c>
      <c r="I36">
        <f>IF(33&gt;$O$2,"",MATCH(33,$Q$3:$Q$402,1))</f>
        <v/>
      </c>
      <c r="J36">
        <f>IF(I36="","",IF(33=INDEX($Q$3:$Q$402,I36),"H","E"))</f>
        <v/>
      </c>
      <c r="K36">
        <f>IF(J36&lt;&gt;"E","",MATCH(S36,Transaksi!$M$2:$M$2001,0)+33-INDEX($Q$3:$Q$402,I36)-1)</f>
        <v/>
      </c>
      <c r="N36" t="n">
        <v>34</v>
      </c>
      <c r="O36">
        <f>IF(N36&lt;=$O$1,$O$1-N36+1,"")</f>
        <v/>
      </c>
      <c r="P36">
        <f>IF(O36="",0,COUNTIF(Transaksi!$M$2:$M$2001,O36)+1)</f>
        <v/>
      </c>
      <c r="Q36">
        <f>1+SUM(P$2:P35)</f>
        <v/>
      </c>
      <c r="S36">
        <f>IF(I36="","",INDEX($O$3:$O$402,I36))</f>
        <v/>
      </c>
      <c r="T36">
        <f>IF(J36&lt;&gt;"H","",INDEX(Transaksi!$A$2:$A$2001,MATCH(S36,Transaksi!$M$2:$M$2001,0)))</f>
        <v/>
      </c>
    </row>
    <row r="37">
      <c r="A37" s="31">
        <f>IF(J37="E",IF(INDEX(Transaksi!$J$2:$J$2001,K37)&gt;0,"↑","↓"),"")</f>
        <v/>
      </c>
      <c r="B37" s="32">
        <f>IF(J37="H",CHOOSE(WEEKDAY(T37,2),"Isnin","Selasa","Rabu","Khamis","Jumaat","Sabtu","Ahad")&amp;", "&amp;DAY(T37)&amp;" "&amp;CHOOSE(MONTH(T37),"Jan","Feb","Mac","Apr","Mei","Jun","Jul","Ogo","Sep","Okt","Nov","Dis")&amp;" "&amp;YEAR(T37),IF(J37="E",IF(INDEX(Transaksi!$B$2:$B$2001,K37)="",INDEX(Transaksi!$C$2:$C$2001,K37)&amp;" · "&amp;INDEX(Transaksi!$D$2:$D$2001,K37),INDEX(Transaksi!$B$2:$B$2001,K37)),""))</f>
        <v/>
      </c>
      <c r="C37" s="32">
        <f>IF(J37="E",INDEX(Transaksi!$C$2:$C$2001,K37)&amp;"","")</f>
        <v/>
      </c>
      <c r="D37" s="32">
        <f>IF(J37="E",INDEX(Transaksi!$D$2:$D$2001,K37)&amp;"","")</f>
        <v/>
      </c>
      <c r="E37" s="33">
        <f>IF(J37="H",SUMIFS(Transaksi!$G$2:$G$2001,Transaksi!$M$2:$M$2001,"="&amp;S37)+SUMIFS(Transaksi!$H$2:$H$2001,Transaksi!$M$2:$M$2001,"="&amp;S37)+SUMIFS(Transaksi!$I$2:$I$2001,Transaksi!$M$2:$M$2001,"="&amp;S37),IF(J37="E",IF(INDEX(Transaksi!$G$2:$G$2001,K37)+INDEX(Transaksi!$H$2:$H$2001,K37)+INDEX(Transaksi!$I$2:$I$2001,K37)=0,"",INDEX(Transaksi!$G$2:$G$2001,K37)+INDEX(Transaksi!$H$2:$H$2001,K37)+INDEX(Transaksi!$I$2:$I$2001,K37)),""))</f>
        <v/>
      </c>
      <c r="F37" s="33">
        <f>IF(J37="H",SUMIFS(Transaksi!$J$2:$J$2001,Transaksi!$M$2:$M$2001,"="&amp;S37),IF(J37="E",IF(INDEX(Transaksi!$J$2:$J$2001,K37)=0,"",INDEX(Transaksi!$J$2:$J$2001,K37)),""))</f>
        <v/>
      </c>
      <c r="G37" s="33">
        <f>IF(J37="H",(SUMIFS(Transaksi!$G$2:$G$2001,Transaksi!$M$2:$M$2001,"&lt;="&amp;S37)+SUMIFS(Transaksi!$H$2:$H$2001,Transaksi!$M$2:$M$2001,"&lt;="&amp;S37)+SUMIFS(Transaksi!$I$2:$I$2001,Transaksi!$M$2:$M$2001,"&lt;="&amp;S37))-(SUMIFS(Transaksi!$J$2:$J$2001,Transaksi!$M$2:$M$2001,"&lt;="&amp;S37)),"")</f>
        <v/>
      </c>
      <c r="I37">
        <f>IF(34&gt;$O$2,"",MATCH(34,$Q$3:$Q$402,1))</f>
        <v/>
      </c>
      <c r="J37">
        <f>IF(I37="","",IF(34=INDEX($Q$3:$Q$402,I37),"H","E"))</f>
        <v/>
      </c>
      <c r="K37">
        <f>IF(J37&lt;&gt;"E","",MATCH(S37,Transaksi!$M$2:$M$2001,0)+34-INDEX($Q$3:$Q$402,I37)-1)</f>
        <v/>
      </c>
      <c r="N37" t="n">
        <v>35</v>
      </c>
      <c r="O37">
        <f>IF(N37&lt;=$O$1,$O$1-N37+1,"")</f>
        <v/>
      </c>
      <c r="P37">
        <f>IF(O37="",0,COUNTIF(Transaksi!$M$2:$M$2001,O37)+1)</f>
        <v/>
      </c>
      <c r="Q37">
        <f>1+SUM(P$2:P36)</f>
        <v/>
      </c>
      <c r="S37">
        <f>IF(I37="","",INDEX($O$3:$O$402,I37))</f>
        <v/>
      </c>
      <c r="T37">
        <f>IF(J37&lt;&gt;"H","",INDEX(Transaksi!$A$2:$A$2001,MATCH(S37,Transaksi!$M$2:$M$2001,0)))</f>
        <v/>
      </c>
    </row>
    <row r="38">
      <c r="A38" s="31">
        <f>IF(J38="E",IF(INDEX(Transaksi!$J$2:$J$2001,K38)&gt;0,"↑","↓"),"")</f>
        <v/>
      </c>
      <c r="B38" s="32">
        <f>IF(J38="H",CHOOSE(WEEKDAY(T38,2),"Isnin","Selasa","Rabu","Khamis","Jumaat","Sabtu","Ahad")&amp;", "&amp;DAY(T38)&amp;" "&amp;CHOOSE(MONTH(T38),"Jan","Feb","Mac","Apr","Mei","Jun","Jul","Ogo","Sep","Okt","Nov","Dis")&amp;" "&amp;YEAR(T38),IF(J38="E",IF(INDEX(Transaksi!$B$2:$B$2001,K38)="",INDEX(Transaksi!$C$2:$C$2001,K38)&amp;" · "&amp;INDEX(Transaksi!$D$2:$D$2001,K38),INDEX(Transaksi!$B$2:$B$2001,K38)),""))</f>
        <v/>
      </c>
      <c r="C38" s="32">
        <f>IF(J38="E",INDEX(Transaksi!$C$2:$C$2001,K38)&amp;"","")</f>
        <v/>
      </c>
      <c r="D38" s="32">
        <f>IF(J38="E",INDEX(Transaksi!$D$2:$D$2001,K38)&amp;"","")</f>
        <v/>
      </c>
      <c r="E38" s="33">
        <f>IF(J38="H",SUMIFS(Transaksi!$G$2:$G$2001,Transaksi!$M$2:$M$2001,"="&amp;S38)+SUMIFS(Transaksi!$H$2:$H$2001,Transaksi!$M$2:$M$2001,"="&amp;S38)+SUMIFS(Transaksi!$I$2:$I$2001,Transaksi!$M$2:$M$2001,"="&amp;S38),IF(J38="E",IF(INDEX(Transaksi!$G$2:$G$2001,K38)+INDEX(Transaksi!$H$2:$H$2001,K38)+INDEX(Transaksi!$I$2:$I$2001,K38)=0,"",INDEX(Transaksi!$G$2:$G$2001,K38)+INDEX(Transaksi!$H$2:$H$2001,K38)+INDEX(Transaksi!$I$2:$I$2001,K38)),""))</f>
        <v/>
      </c>
      <c r="F38" s="33">
        <f>IF(J38="H",SUMIFS(Transaksi!$J$2:$J$2001,Transaksi!$M$2:$M$2001,"="&amp;S38),IF(J38="E",IF(INDEX(Transaksi!$J$2:$J$2001,K38)=0,"",INDEX(Transaksi!$J$2:$J$2001,K38)),""))</f>
        <v/>
      </c>
      <c r="G38" s="33">
        <f>IF(J38="H",(SUMIFS(Transaksi!$G$2:$G$2001,Transaksi!$M$2:$M$2001,"&lt;="&amp;S38)+SUMIFS(Transaksi!$H$2:$H$2001,Transaksi!$M$2:$M$2001,"&lt;="&amp;S38)+SUMIFS(Transaksi!$I$2:$I$2001,Transaksi!$M$2:$M$2001,"&lt;="&amp;S38))-(SUMIFS(Transaksi!$J$2:$J$2001,Transaksi!$M$2:$M$2001,"&lt;="&amp;S38)),"")</f>
        <v/>
      </c>
      <c r="I38">
        <f>IF(35&gt;$O$2,"",MATCH(35,$Q$3:$Q$402,1))</f>
        <v/>
      </c>
      <c r="J38">
        <f>IF(I38="","",IF(35=INDEX($Q$3:$Q$402,I38),"H","E"))</f>
        <v/>
      </c>
      <c r="K38">
        <f>IF(J38&lt;&gt;"E","",MATCH(S38,Transaksi!$M$2:$M$2001,0)+35-INDEX($Q$3:$Q$402,I38)-1)</f>
        <v/>
      </c>
      <c r="N38" t="n">
        <v>36</v>
      </c>
      <c r="O38">
        <f>IF(N38&lt;=$O$1,$O$1-N38+1,"")</f>
        <v/>
      </c>
      <c r="P38">
        <f>IF(O38="",0,COUNTIF(Transaksi!$M$2:$M$2001,O38)+1)</f>
        <v/>
      </c>
      <c r="Q38">
        <f>1+SUM(P$2:P37)</f>
        <v/>
      </c>
      <c r="S38">
        <f>IF(I38="","",INDEX($O$3:$O$402,I38))</f>
        <v/>
      </c>
      <c r="T38">
        <f>IF(J38&lt;&gt;"H","",INDEX(Transaksi!$A$2:$A$2001,MATCH(S38,Transaksi!$M$2:$M$2001,0)))</f>
        <v/>
      </c>
    </row>
    <row r="39">
      <c r="A39" s="31">
        <f>IF(J39="E",IF(INDEX(Transaksi!$J$2:$J$2001,K39)&gt;0,"↑","↓"),"")</f>
        <v/>
      </c>
      <c r="B39" s="32">
        <f>IF(J39="H",CHOOSE(WEEKDAY(T39,2),"Isnin","Selasa","Rabu","Khamis","Jumaat","Sabtu","Ahad")&amp;", "&amp;DAY(T39)&amp;" "&amp;CHOOSE(MONTH(T39),"Jan","Feb","Mac","Apr","Mei","Jun","Jul","Ogo","Sep","Okt","Nov","Dis")&amp;" "&amp;YEAR(T39),IF(J39="E",IF(INDEX(Transaksi!$B$2:$B$2001,K39)="",INDEX(Transaksi!$C$2:$C$2001,K39)&amp;" · "&amp;INDEX(Transaksi!$D$2:$D$2001,K39),INDEX(Transaksi!$B$2:$B$2001,K39)),""))</f>
        <v/>
      </c>
      <c r="C39" s="32">
        <f>IF(J39="E",INDEX(Transaksi!$C$2:$C$2001,K39)&amp;"","")</f>
        <v/>
      </c>
      <c r="D39" s="32">
        <f>IF(J39="E",INDEX(Transaksi!$D$2:$D$2001,K39)&amp;"","")</f>
        <v/>
      </c>
      <c r="E39" s="33">
        <f>IF(J39="H",SUMIFS(Transaksi!$G$2:$G$2001,Transaksi!$M$2:$M$2001,"="&amp;S39)+SUMIFS(Transaksi!$H$2:$H$2001,Transaksi!$M$2:$M$2001,"="&amp;S39)+SUMIFS(Transaksi!$I$2:$I$2001,Transaksi!$M$2:$M$2001,"="&amp;S39),IF(J39="E",IF(INDEX(Transaksi!$G$2:$G$2001,K39)+INDEX(Transaksi!$H$2:$H$2001,K39)+INDEX(Transaksi!$I$2:$I$2001,K39)=0,"",INDEX(Transaksi!$G$2:$G$2001,K39)+INDEX(Transaksi!$H$2:$H$2001,K39)+INDEX(Transaksi!$I$2:$I$2001,K39)),""))</f>
        <v/>
      </c>
      <c r="F39" s="33">
        <f>IF(J39="H",SUMIFS(Transaksi!$J$2:$J$2001,Transaksi!$M$2:$M$2001,"="&amp;S39),IF(J39="E",IF(INDEX(Transaksi!$J$2:$J$2001,K39)=0,"",INDEX(Transaksi!$J$2:$J$2001,K39)),""))</f>
        <v/>
      </c>
      <c r="G39" s="33">
        <f>IF(J39="H",(SUMIFS(Transaksi!$G$2:$G$2001,Transaksi!$M$2:$M$2001,"&lt;="&amp;S39)+SUMIFS(Transaksi!$H$2:$H$2001,Transaksi!$M$2:$M$2001,"&lt;="&amp;S39)+SUMIFS(Transaksi!$I$2:$I$2001,Transaksi!$M$2:$M$2001,"&lt;="&amp;S39))-(SUMIFS(Transaksi!$J$2:$J$2001,Transaksi!$M$2:$M$2001,"&lt;="&amp;S39)),"")</f>
        <v/>
      </c>
      <c r="I39">
        <f>IF(36&gt;$O$2,"",MATCH(36,$Q$3:$Q$402,1))</f>
        <v/>
      </c>
      <c r="J39">
        <f>IF(I39="","",IF(36=INDEX($Q$3:$Q$402,I39),"H","E"))</f>
        <v/>
      </c>
      <c r="K39">
        <f>IF(J39&lt;&gt;"E","",MATCH(S39,Transaksi!$M$2:$M$2001,0)+36-INDEX($Q$3:$Q$402,I39)-1)</f>
        <v/>
      </c>
      <c r="N39" t="n">
        <v>37</v>
      </c>
      <c r="O39">
        <f>IF(N39&lt;=$O$1,$O$1-N39+1,"")</f>
        <v/>
      </c>
      <c r="P39">
        <f>IF(O39="",0,COUNTIF(Transaksi!$M$2:$M$2001,O39)+1)</f>
        <v/>
      </c>
      <c r="Q39">
        <f>1+SUM(P$2:P38)</f>
        <v/>
      </c>
      <c r="S39">
        <f>IF(I39="","",INDEX($O$3:$O$402,I39))</f>
        <v/>
      </c>
      <c r="T39">
        <f>IF(J39&lt;&gt;"H","",INDEX(Transaksi!$A$2:$A$2001,MATCH(S39,Transaksi!$M$2:$M$2001,0)))</f>
        <v/>
      </c>
    </row>
    <row r="40">
      <c r="A40" s="31">
        <f>IF(J40="E",IF(INDEX(Transaksi!$J$2:$J$2001,K40)&gt;0,"↑","↓"),"")</f>
        <v/>
      </c>
      <c r="B40" s="32">
        <f>IF(J40="H",CHOOSE(WEEKDAY(T40,2),"Isnin","Selasa","Rabu","Khamis","Jumaat","Sabtu","Ahad")&amp;", "&amp;DAY(T40)&amp;" "&amp;CHOOSE(MONTH(T40),"Jan","Feb","Mac","Apr","Mei","Jun","Jul","Ogo","Sep","Okt","Nov","Dis")&amp;" "&amp;YEAR(T40),IF(J40="E",IF(INDEX(Transaksi!$B$2:$B$2001,K40)="",INDEX(Transaksi!$C$2:$C$2001,K40)&amp;" · "&amp;INDEX(Transaksi!$D$2:$D$2001,K40),INDEX(Transaksi!$B$2:$B$2001,K40)),""))</f>
        <v/>
      </c>
      <c r="C40" s="32">
        <f>IF(J40="E",INDEX(Transaksi!$C$2:$C$2001,K40)&amp;"","")</f>
        <v/>
      </c>
      <c r="D40" s="32">
        <f>IF(J40="E",INDEX(Transaksi!$D$2:$D$2001,K40)&amp;"","")</f>
        <v/>
      </c>
      <c r="E40" s="33">
        <f>IF(J40="H",SUMIFS(Transaksi!$G$2:$G$2001,Transaksi!$M$2:$M$2001,"="&amp;S40)+SUMIFS(Transaksi!$H$2:$H$2001,Transaksi!$M$2:$M$2001,"="&amp;S40)+SUMIFS(Transaksi!$I$2:$I$2001,Transaksi!$M$2:$M$2001,"="&amp;S40),IF(J40="E",IF(INDEX(Transaksi!$G$2:$G$2001,K40)+INDEX(Transaksi!$H$2:$H$2001,K40)+INDEX(Transaksi!$I$2:$I$2001,K40)=0,"",INDEX(Transaksi!$G$2:$G$2001,K40)+INDEX(Transaksi!$H$2:$H$2001,K40)+INDEX(Transaksi!$I$2:$I$2001,K40)),""))</f>
        <v/>
      </c>
      <c r="F40" s="33">
        <f>IF(J40="H",SUMIFS(Transaksi!$J$2:$J$2001,Transaksi!$M$2:$M$2001,"="&amp;S40),IF(J40="E",IF(INDEX(Transaksi!$J$2:$J$2001,K40)=0,"",INDEX(Transaksi!$J$2:$J$2001,K40)),""))</f>
        <v/>
      </c>
      <c r="G40" s="33">
        <f>IF(J40="H",(SUMIFS(Transaksi!$G$2:$G$2001,Transaksi!$M$2:$M$2001,"&lt;="&amp;S40)+SUMIFS(Transaksi!$H$2:$H$2001,Transaksi!$M$2:$M$2001,"&lt;="&amp;S40)+SUMIFS(Transaksi!$I$2:$I$2001,Transaksi!$M$2:$M$2001,"&lt;="&amp;S40))-(SUMIFS(Transaksi!$J$2:$J$2001,Transaksi!$M$2:$M$2001,"&lt;="&amp;S40)),"")</f>
        <v/>
      </c>
      <c r="I40">
        <f>IF(37&gt;$O$2,"",MATCH(37,$Q$3:$Q$402,1))</f>
        <v/>
      </c>
      <c r="J40">
        <f>IF(I40="","",IF(37=INDEX($Q$3:$Q$402,I40),"H","E"))</f>
        <v/>
      </c>
      <c r="K40">
        <f>IF(J40&lt;&gt;"E","",MATCH(S40,Transaksi!$M$2:$M$2001,0)+37-INDEX($Q$3:$Q$402,I40)-1)</f>
        <v/>
      </c>
      <c r="N40" t="n">
        <v>38</v>
      </c>
      <c r="O40">
        <f>IF(N40&lt;=$O$1,$O$1-N40+1,"")</f>
        <v/>
      </c>
      <c r="P40">
        <f>IF(O40="",0,COUNTIF(Transaksi!$M$2:$M$2001,O40)+1)</f>
        <v/>
      </c>
      <c r="Q40">
        <f>1+SUM(P$2:P39)</f>
        <v/>
      </c>
      <c r="S40">
        <f>IF(I40="","",INDEX($O$3:$O$402,I40))</f>
        <v/>
      </c>
      <c r="T40">
        <f>IF(J40&lt;&gt;"H","",INDEX(Transaksi!$A$2:$A$2001,MATCH(S40,Transaksi!$M$2:$M$2001,0)))</f>
        <v/>
      </c>
    </row>
    <row r="41">
      <c r="A41" s="31">
        <f>IF(J41="E",IF(INDEX(Transaksi!$J$2:$J$2001,K41)&gt;0,"↑","↓"),"")</f>
        <v/>
      </c>
      <c r="B41" s="32">
        <f>IF(J41="H",CHOOSE(WEEKDAY(T41,2),"Isnin","Selasa","Rabu","Khamis","Jumaat","Sabtu","Ahad")&amp;", "&amp;DAY(T41)&amp;" "&amp;CHOOSE(MONTH(T41),"Jan","Feb","Mac","Apr","Mei","Jun","Jul","Ogo","Sep","Okt","Nov","Dis")&amp;" "&amp;YEAR(T41),IF(J41="E",IF(INDEX(Transaksi!$B$2:$B$2001,K41)="",INDEX(Transaksi!$C$2:$C$2001,K41)&amp;" · "&amp;INDEX(Transaksi!$D$2:$D$2001,K41),INDEX(Transaksi!$B$2:$B$2001,K41)),""))</f>
        <v/>
      </c>
      <c r="C41" s="32">
        <f>IF(J41="E",INDEX(Transaksi!$C$2:$C$2001,K41)&amp;"","")</f>
        <v/>
      </c>
      <c r="D41" s="32">
        <f>IF(J41="E",INDEX(Transaksi!$D$2:$D$2001,K41)&amp;"","")</f>
        <v/>
      </c>
      <c r="E41" s="33">
        <f>IF(J41="H",SUMIFS(Transaksi!$G$2:$G$2001,Transaksi!$M$2:$M$2001,"="&amp;S41)+SUMIFS(Transaksi!$H$2:$H$2001,Transaksi!$M$2:$M$2001,"="&amp;S41)+SUMIFS(Transaksi!$I$2:$I$2001,Transaksi!$M$2:$M$2001,"="&amp;S41),IF(J41="E",IF(INDEX(Transaksi!$G$2:$G$2001,K41)+INDEX(Transaksi!$H$2:$H$2001,K41)+INDEX(Transaksi!$I$2:$I$2001,K41)=0,"",INDEX(Transaksi!$G$2:$G$2001,K41)+INDEX(Transaksi!$H$2:$H$2001,K41)+INDEX(Transaksi!$I$2:$I$2001,K41)),""))</f>
        <v/>
      </c>
      <c r="F41" s="33">
        <f>IF(J41="H",SUMIFS(Transaksi!$J$2:$J$2001,Transaksi!$M$2:$M$2001,"="&amp;S41),IF(J41="E",IF(INDEX(Transaksi!$J$2:$J$2001,K41)=0,"",INDEX(Transaksi!$J$2:$J$2001,K41)),""))</f>
        <v/>
      </c>
      <c r="G41" s="33">
        <f>IF(J41="H",(SUMIFS(Transaksi!$G$2:$G$2001,Transaksi!$M$2:$M$2001,"&lt;="&amp;S41)+SUMIFS(Transaksi!$H$2:$H$2001,Transaksi!$M$2:$M$2001,"&lt;="&amp;S41)+SUMIFS(Transaksi!$I$2:$I$2001,Transaksi!$M$2:$M$2001,"&lt;="&amp;S41))-(SUMIFS(Transaksi!$J$2:$J$2001,Transaksi!$M$2:$M$2001,"&lt;="&amp;S41)),"")</f>
        <v/>
      </c>
      <c r="I41">
        <f>IF(38&gt;$O$2,"",MATCH(38,$Q$3:$Q$402,1))</f>
        <v/>
      </c>
      <c r="J41">
        <f>IF(I41="","",IF(38=INDEX($Q$3:$Q$402,I41),"H","E"))</f>
        <v/>
      </c>
      <c r="K41">
        <f>IF(J41&lt;&gt;"E","",MATCH(S41,Transaksi!$M$2:$M$2001,0)+38-INDEX($Q$3:$Q$402,I41)-1)</f>
        <v/>
      </c>
      <c r="N41" t="n">
        <v>39</v>
      </c>
      <c r="O41">
        <f>IF(N41&lt;=$O$1,$O$1-N41+1,"")</f>
        <v/>
      </c>
      <c r="P41">
        <f>IF(O41="",0,COUNTIF(Transaksi!$M$2:$M$2001,O41)+1)</f>
        <v/>
      </c>
      <c r="Q41">
        <f>1+SUM(P$2:P40)</f>
        <v/>
      </c>
      <c r="S41">
        <f>IF(I41="","",INDEX($O$3:$O$402,I41))</f>
        <v/>
      </c>
      <c r="T41">
        <f>IF(J41&lt;&gt;"H","",INDEX(Transaksi!$A$2:$A$2001,MATCH(S41,Transaksi!$M$2:$M$2001,0)))</f>
        <v/>
      </c>
    </row>
    <row r="42">
      <c r="A42" s="31">
        <f>IF(J42="E",IF(INDEX(Transaksi!$J$2:$J$2001,K42)&gt;0,"↑","↓"),"")</f>
        <v/>
      </c>
      <c r="B42" s="32">
        <f>IF(J42="H",CHOOSE(WEEKDAY(T42,2),"Isnin","Selasa","Rabu","Khamis","Jumaat","Sabtu","Ahad")&amp;", "&amp;DAY(T42)&amp;" "&amp;CHOOSE(MONTH(T42),"Jan","Feb","Mac","Apr","Mei","Jun","Jul","Ogo","Sep","Okt","Nov","Dis")&amp;" "&amp;YEAR(T42),IF(J42="E",IF(INDEX(Transaksi!$B$2:$B$2001,K42)="",INDEX(Transaksi!$C$2:$C$2001,K42)&amp;" · "&amp;INDEX(Transaksi!$D$2:$D$2001,K42),INDEX(Transaksi!$B$2:$B$2001,K42)),""))</f>
        <v/>
      </c>
      <c r="C42" s="32">
        <f>IF(J42="E",INDEX(Transaksi!$C$2:$C$2001,K42)&amp;"","")</f>
        <v/>
      </c>
      <c r="D42" s="32">
        <f>IF(J42="E",INDEX(Transaksi!$D$2:$D$2001,K42)&amp;"","")</f>
        <v/>
      </c>
      <c r="E42" s="33">
        <f>IF(J42="H",SUMIFS(Transaksi!$G$2:$G$2001,Transaksi!$M$2:$M$2001,"="&amp;S42)+SUMIFS(Transaksi!$H$2:$H$2001,Transaksi!$M$2:$M$2001,"="&amp;S42)+SUMIFS(Transaksi!$I$2:$I$2001,Transaksi!$M$2:$M$2001,"="&amp;S42),IF(J42="E",IF(INDEX(Transaksi!$G$2:$G$2001,K42)+INDEX(Transaksi!$H$2:$H$2001,K42)+INDEX(Transaksi!$I$2:$I$2001,K42)=0,"",INDEX(Transaksi!$G$2:$G$2001,K42)+INDEX(Transaksi!$H$2:$H$2001,K42)+INDEX(Transaksi!$I$2:$I$2001,K42)),""))</f>
        <v/>
      </c>
      <c r="F42" s="33">
        <f>IF(J42="H",SUMIFS(Transaksi!$J$2:$J$2001,Transaksi!$M$2:$M$2001,"="&amp;S42),IF(J42="E",IF(INDEX(Transaksi!$J$2:$J$2001,K42)=0,"",INDEX(Transaksi!$J$2:$J$2001,K42)),""))</f>
        <v/>
      </c>
      <c r="G42" s="33">
        <f>IF(J42="H",(SUMIFS(Transaksi!$G$2:$G$2001,Transaksi!$M$2:$M$2001,"&lt;="&amp;S42)+SUMIFS(Transaksi!$H$2:$H$2001,Transaksi!$M$2:$M$2001,"&lt;="&amp;S42)+SUMIFS(Transaksi!$I$2:$I$2001,Transaksi!$M$2:$M$2001,"&lt;="&amp;S42))-(SUMIFS(Transaksi!$J$2:$J$2001,Transaksi!$M$2:$M$2001,"&lt;="&amp;S42)),"")</f>
        <v/>
      </c>
      <c r="I42">
        <f>IF(39&gt;$O$2,"",MATCH(39,$Q$3:$Q$402,1))</f>
        <v/>
      </c>
      <c r="J42">
        <f>IF(I42="","",IF(39=INDEX($Q$3:$Q$402,I42),"H","E"))</f>
        <v/>
      </c>
      <c r="K42">
        <f>IF(J42&lt;&gt;"E","",MATCH(S42,Transaksi!$M$2:$M$2001,0)+39-INDEX($Q$3:$Q$402,I42)-1)</f>
        <v/>
      </c>
      <c r="N42" t="n">
        <v>40</v>
      </c>
      <c r="O42">
        <f>IF(N42&lt;=$O$1,$O$1-N42+1,"")</f>
        <v/>
      </c>
      <c r="P42">
        <f>IF(O42="",0,COUNTIF(Transaksi!$M$2:$M$2001,O42)+1)</f>
        <v/>
      </c>
      <c r="Q42">
        <f>1+SUM(P$2:P41)</f>
        <v/>
      </c>
      <c r="S42">
        <f>IF(I42="","",INDEX($O$3:$O$402,I42))</f>
        <v/>
      </c>
      <c r="T42">
        <f>IF(J42&lt;&gt;"H","",INDEX(Transaksi!$A$2:$A$2001,MATCH(S42,Transaksi!$M$2:$M$2001,0)))</f>
        <v/>
      </c>
    </row>
    <row r="43">
      <c r="A43" s="31">
        <f>IF(J43="E",IF(INDEX(Transaksi!$J$2:$J$2001,K43)&gt;0,"↑","↓"),"")</f>
        <v/>
      </c>
      <c r="B43" s="32">
        <f>IF(J43="H",CHOOSE(WEEKDAY(T43,2),"Isnin","Selasa","Rabu","Khamis","Jumaat","Sabtu","Ahad")&amp;", "&amp;DAY(T43)&amp;" "&amp;CHOOSE(MONTH(T43),"Jan","Feb","Mac","Apr","Mei","Jun","Jul","Ogo","Sep","Okt","Nov","Dis")&amp;" "&amp;YEAR(T43),IF(J43="E",IF(INDEX(Transaksi!$B$2:$B$2001,K43)="",INDEX(Transaksi!$C$2:$C$2001,K43)&amp;" · "&amp;INDEX(Transaksi!$D$2:$D$2001,K43),INDEX(Transaksi!$B$2:$B$2001,K43)),""))</f>
        <v/>
      </c>
      <c r="C43" s="32">
        <f>IF(J43="E",INDEX(Transaksi!$C$2:$C$2001,K43)&amp;"","")</f>
        <v/>
      </c>
      <c r="D43" s="32">
        <f>IF(J43="E",INDEX(Transaksi!$D$2:$D$2001,K43)&amp;"","")</f>
        <v/>
      </c>
      <c r="E43" s="33">
        <f>IF(J43="H",SUMIFS(Transaksi!$G$2:$G$2001,Transaksi!$M$2:$M$2001,"="&amp;S43)+SUMIFS(Transaksi!$H$2:$H$2001,Transaksi!$M$2:$M$2001,"="&amp;S43)+SUMIFS(Transaksi!$I$2:$I$2001,Transaksi!$M$2:$M$2001,"="&amp;S43),IF(J43="E",IF(INDEX(Transaksi!$G$2:$G$2001,K43)+INDEX(Transaksi!$H$2:$H$2001,K43)+INDEX(Transaksi!$I$2:$I$2001,K43)=0,"",INDEX(Transaksi!$G$2:$G$2001,K43)+INDEX(Transaksi!$H$2:$H$2001,K43)+INDEX(Transaksi!$I$2:$I$2001,K43)),""))</f>
        <v/>
      </c>
      <c r="F43" s="33">
        <f>IF(J43="H",SUMIFS(Transaksi!$J$2:$J$2001,Transaksi!$M$2:$M$2001,"="&amp;S43),IF(J43="E",IF(INDEX(Transaksi!$J$2:$J$2001,K43)=0,"",INDEX(Transaksi!$J$2:$J$2001,K43)),""))</f>
        <v/>
      </c>
      <c r="G43" s="33">
        <f>IF(J43="H",(SUMIFS(Transaksi!$G$2:$G$2001,Transaksi!$M$2:$M$2001,"&lt;="&amp;S43)+SUMIFS(Transaksi!$H$2:$H$2001,Transaksi!$M$2:$M$2001,"&lt;="&amp;S43)+SUMIFS(Transaksi!$I$2:$I$2001,Transaksi!$M$2:$M$2001,"&lt;="&amp;S43))-(SUMIFS(Transaksi!$J$2:$J$2001,Transaksi!$M$2:$M$2001,"&lt;="&amp;S43)),"")</f>
        <v/>
      </c>
      <c r="I43">
        <f>IF(40&gt;$O$2,"",MATCH(40,$Q$3:$Q$402,1))</f>
        <v/>
      </c>
      <c r="J43">
        <f>IF(I43="","",IF(40=INDEX($Q$3:$Q$402,I43),"H","E"))</f>
        <v/>
      </c>
      <c r="K43">
        <f>IF(J43&lt;&gt;"E","",MATCH(S43,Transaksi!$M$2:$M$2001,0)+40-INDEX($Q$3:$Q$402,I43)-1)</f>
        <v/>
      </c>
      <c r="N43" t="n">
        <v>41</v>
      </c>
      <c r="O43">
        <f>IF(N43&lt;=$O$1,$O$1-N43+1,"")</f>
        <v/>
      </c>
      <c r="P43">
        <f>IF(O43="",0,COUNTIF(Transaksi!$M$2:$M$2001,O43)+1)</f>
        <v/>
      </c>
      <c r="Q43">
        <f>1+SUM(P$2:P42)</f>
        <v/>
      </c>
      <c r="S43">
        <f>IF(I43="","",INDEX($O$3:$O$402,I43))</f>
        <v/>
      </c>
      <c r="T43">
        <f>IF(J43&lt;&gt;"H","",INDEX(Transaksi!$A$2:$A$2001,MATCH(S43,Transaksi!$M$2:$M$2001,0)))</f>
        <v/>
      </c>
    </row>
    <row r="44">
      <c r="A44" s="31">
        <f>IF(J44="E",IF(INDEX(Transaksi!$J$2:$J$2001,K44)&gt;0,"↑","↓"),"")</f>
        <v/>
      </c>
      <c r="B44" s="32">
        <f>IF(J44="H",CHOOSE(WEEKDAY(T44,2),"Isnin","Selasa","Rabu","Khamis","Jumaat","Sabtu","Ahad")&amp;", "&amp;DAY(T44)&amp;" "&amp;CHOOSE(MONTH(T44),"Jan","Feb","Mac","Apr","Mei","Jun","Jul","Ogo","Sep","Okt","Nov","Dis")&amp;" "&amp;YEAR(T44),IF(J44="E",IF(INDEX(Transaksi!$B$2:$B$2001,K44)="",INDEX(Transaksi!$C$2:$C$2001,K44)&amp;" · "&amp;INDEX(Transaksi!$D$2:$D$2001,K44),INDEX(Transaksi!$B$2:$B$2001,K44)),""))</f>
        <v/>
      </c>
      <c r="C44" s="32">
        <f>IF(J44="E",INDEX(Transaksi!$C$2:$C$2001,K44)&amp;"","")</f>
        <v/>
      </c>
      <c r="D44" s="32">
        <f>IF(J44="E",INDEX(Transaksi!$D$2:$D$2001,K44)&amp;"","")</f>
        <v/>
      </c>
      <c r="E44" s="33">
        <f>IF(J44="H",SUMIFS(Transaksi!$G$2:$G$2001,Transaksi!$M$2:$M$2001,"="&amp;S44)+SUMIFS(Transaksi!$H$2:$H$2001,Transaksi!$M$2:$M$2001,"="&amp;S44)+SUMIFS(Transaksi!$I$2:$I$2001,Transaksi!$M$2:$M$2001,"="&amp;S44),IF(J44="E",IF(INDEX(Transaksi!$G$2:$G$2001,K44)+INDEX(Transaksi!$H$2:$H$2001,K44)+INDEX(Transaksi!$I$2:$I$2001,K44)=0,"",INDEX(Transaksi!$G$2:$G$2001,K44)+INDEX(Transaksi!$H$2:$H$2001,K44)+INDEX(Transaksi!$I$2:$I$2001,K44)),""))</f>
        <v/>
      </c>
      <c r="F44" s="33">
        <f>IF(J44="H",SUMIFS(Transaksi!$J$2:$J$2001,Transaksi!$M$2:$M$2001,"="&amp;S44),IF(J44="E",IF(INDEX(Transaksi!$J$2:$J$2001,K44)=0,"",INDEX(Transaksi!$J$2:$J$2001,K44)),""))</f>
        <v/>
      </c>
      <c r="G44" s="33">
        <f>IF(J44="H",(SUMIFS(Transaksi!$G$2:$G$2001,Transaksi!$M$2:$M$2001,"&lt;="&amp;S44)+SUMIFS(Transaksi!$H$2:$H$2001,Transaksi!$M$2:$M$2001,"&lt;="&amp;S44)+SUMIFS(Transaksi!$I$2:$I$2001,Transaksi!$M$2:$M$2001,"&lt;="&amp;S44))-(SUMIFS(Transaksi!$J$2:$J$2001,Transaksi!$M$2:$M$2001,"&lt;="&amp;S44)),"")</f>
        <v/>
      </c>
      <c r="I44">
        <f>IF(41&gt;$O$2,"",MATCH(41,$Q$3:$Q$402,1))</f>
        <v/>
      </c>
      <c r="J44">
        <f>IF(I44="","",IF(41=INDEX($Q$3:$Q$402,I44),"H","E"))</f>
        <v/>
      </c>
      <c r="K44">
        <f>IF(J44&lt;&gt;"E","",MATCH(S44,Transaksi!$M$2:$M$2001,0)+41-INDEX($Q$3:$Q$402,I44)-1)</f>
        <v/>
      </c>
      <c r="N44" t="n">
        <v>42</v>
      </c>
      <c r="O44">
        <f>IF(N44&lt;=$O$1,$O$1-N44+1,"")</f>
        <v/>
      </c>
      <c r="P44">
        <f>IF(O44="",0,COUNTIF(Transaksi!$M$2:$M$2001,O44)+1)</f>
        <v/>
      </c>
      <c r="Q44">
        <f>1+SUM(P$2:P43)</f>
        <v/>
      </c>
      <c r="S44">
        <f>IF(I44="","",INDEX($O$3:$O$402,I44))</f>
        <v/>
      </c>
      <c r="T44">
        <f>IF(J44&lt;&gt;"H","",INDEX(Transaksi!$A$2:$A$2001,MATCH(S44,Transaksi!$M$2:$M$2001,0)))</f>
        <v/>
      </c>
    </row>
    <row r="45">
      <c r="A45" s="31">
        <f>IF(J45="E",IF(INDEX(Transaksi!$J$2:$J$2001,K45)&gt;0,"↑","↓"),"")</f>
        <v/>
      </c>
      <c r="B45" s="32">
        <f>IF(J45="H",CHOOSE(WEEKDAY(T45,2),"Isnin","Selasa","Rabu","Khamis","Jumaat","Sabtu","Ahad")&amp;", "&amp;DAY(T45)&amp;" "&amp;CHOOSE(MONTH(T45),"Jan","Feb","Mac","Apr","Mei","Jun","Jul","Ogo","Sep","Okt","Nov","Dis")&amp;" "&amp;YEAR(T45),IF(J45="E",IF(INDEX(Transaksi!$B$2:$B$2001,K45)="",INDEX(Transaksi!$C$2:$C$2001,K45)&amp;" · "&amp;INDEX(Transaksi!$D$2:$D$2001,K45),INDEX(Transaksi!$B$2:$B$2001,K45)),""))</f>
        <v/>
      </c>
      <c r="C45" s="32">
        <f>IF(J45="E",INDEX(Transaksi!$C$2:$C$2001,K45)&amp;"","")</f>
        <v/>
      </c>
      <c r="D45" s="32">
        <f>IF(J45="E",INDEX(Transaksi!$D$2:$D$2001,K45)&amp;"","")</f>
        <v/>
      </c>
      <c r="E45" s="33">
        <f>IF(J45="H",SUMIFS(Transaksi!$G$2:$G$2001,Transaksi!$M$2:$M$2001,"="&amp;S45)+SUMIFS(Transaksi!$H$2:$H$2001,Transaksi!$M$2:$M$2001,"="&amp;S45)+SUMIFS(Transaksi!$I$2:$I$2001,Transaksi!$M$2:$M$2001,"="&amp;S45),IF(J45="E",IF(INDEX(Transaksi!$G$2:$G$2001,K45)+INDEX(Transaksi!$H$2:$H$2001,K45)+INDEX(Transaksi!$I$2:$I$2001,K45)=0,"",INDEX(Transaksi!$G$2:$G$2001,K45)+INDEX(Transaksi!$H$2:$H$2001,K45)+INDEX(Transaksi!$I$2:$I$2001,K45)),""))</f>
        <v/>
      </c>
      <c r="F45" s="33">
        <f>IF(J45="H",SUMIFS(Transaksi!$J$2:$J$2001,Transaksi!$M$2:$M$2001,"="&amp;S45),IF(J45="E",IF(INDEX(Transaksi!$J$2:$J$2001,K45)=0,"",INDEX(Transaksi!$J$2:$J$2001,K45)),""))</f>
        <v/>
      </c>
      <c r="G45" s="33">
        <f>IF(J45="H",(SUMIFS(Transaksi!$G$2:$G$2001,Transaksi!$M$2:$M$2001,"&lt;="&amp;S45)+SUMIFS(Transaksi!$H$2:$H$2001,Transaksi!$M$2:$M$2001,"&lt;="&amp;S45)+SUMIFS(Transaksi!$I$2:$I$2001,Transaksi!$M$2:$M$2001,"&lt;="&amp;S45))-(SUMIFS(Transaksi!$J$2:$J$2001,Transaksi!$M$2:$M$2001,"&lt;="&amp;S45)),"")</f>
        <v/>
      </c>
      <c r="I45">
        <f>IF(42&gt;$O$2,"",MATCH(42,$Q$3:$Q$402,1))</f>
        <v/>
      </c>
      <c r="J45">
        <f>IF(I45="","",IF(42=INDEX($Q$3:$Q$402,I45),"H","E"))</f>
        <v/>
      </c>
      <c r="K45">
        <f>IF(J45&lt;&gt;"E","",MATCH(S45,Transaksi!$M$2:$M$2001,0)+42-INDEX($Q$3:$Q$402,I45)-1)</f>
        <v/>
      </c>
      <c r="N45" t="n">
        <v>43</v>
      </c>
      <c r="O45">
        <f>IF(N45&lt;=$O$1,$O$1-N45+1,"")</f>
        <v/>
      </c>
      <c r="P45">
        <f>IF(O45="",0,COUNTIF(Transaksi!$M$2:$M$2001,O45)+1)</f>
        <v/>
      </c>
      <c r="Q45">
        <f>1+SUM(P$2:P44)</f>
        <v/>
      </c>
      <c r="S45">
        <f>IF(I45="","",INDEX($O$3:$O$402,I45))</f>
        <v/>
      </c>
      <c r="T45">
        <f>IF(J45&lt;&gt;"H","",INDEX(Transaksi!$A$2:$A$2001,MATCH(S45,Transaksi!$M$2:$M$2001,0)))</f>
        <v/>
      </c>
    </row>
    <row r="46">
      <c r="A46" s="31">
        <f>IF(J46="E",IF(INDEX(Transaksi!$J$2:$J$2001,K46)&gt;0,"↑","↓"),"")</f>
        <v/>
      </c>
      <c r="B46" s="32">
        <f>IF(J46="H",CHOOSE(WEEKDAY(T46,2),"Isnin","Selasa","Rabu","Khamis","Jumaat","Sabtu","Ahad")&amp;", "&amp;DAY(T46)&amp;" "&amp;CHOOSE(MONTH(T46),"Jan","Feb","Mac","Apr","Mei","Jun","Jul","Ogo","Sep","Okt","Nov","Dis")&amp;" "&amp;YEAR(T46),IF(J46="E",IF(INDEX(Transaksi!$B$2:$B$2001,K46)="",INDEX(Transaksi!$C$2:$C$2001,K46)&amp;" · "&amp;INDEX(Transaksi!$D$2:$D$2001,K46),INDEX(Transaksi!$B$2:$B$2001,K46)),""))</f>
        <v/>
      </c>
      <c r="C46" s="32">
        <f>IF(J46="E",INDEX(Transaksi!$C$2:$C$2001,K46)&amp;"","")</f>
        <v/>
      </c>
      <c r="D46" s="32">
        <f>IF(J46="E",INDEX(Transaksi!$D$2:$D$2001,K46)&amp;"","")</f>
        <v/>
      </c>
      <c r="E46" s="33">
        <f>IF(J46="H",SUMIFS(Transaksi!$G$2:$G$2001,Transaksi!$M$2:$M$2001,"="&amp;S46)+SUMIFS(Transaksi!$H$2:$H$2001,Transaksi!$M$2:$M$2001,"="&amp;S46)+SUMIFS(Transaksi!$I$2:$I$2001,Transaksi!$M$2:$M$2001,"="&amp;S46),IF(J46="E",IF(INDEX(Transaksi!$G$2:$G$2001,K46)+INDEX(Transaksi!$H$2:$H$2001,K46)+INDEX(Transaksi!$I$2:$I$2001,K46)=0,"",INDEX(Transaksi!$G$2:$G$2001,K46)+INDEX(Transaksi!$H$2:$H$2001,K46)+INDEX(Transaksi!$I$2:$I$2001,K46)),""))</f>
        <v/>
      </c>
      <c r="F46" s="33">
        <f>IF(J46="H",SUMIFS(Transaksi!$J$2:$J$2001,Transaksi!$M$2:$M$2001,"="&amp;S46),IF(J46="E",IF(INDEX(Transaksi!$J$2:$J$2001,K46)=0,"",INDEX(Transaksi!$J$2:$J$2001,K46)),""))</f>
        <v/>
      </c>
      <c r="G46" s="33">
        <f>IF(J46="H",(SUMIFS(Transaksi!$G$2:$G$2001,Transaksi!$M$2:$M$2001,"&lt;="&amp;S46)+SUMIFS(Transaksi!$H$2:$H$2001,Transaksi!$M$2:$M$2001,"&lt;="&amp;S46)+SUMIFS(Transaksi!$I$2:$I$2001,Transaksi!$M$2:$M$2001,"&lt;="&amp;S46))-(SUMIFS(Transaksi!$J$2:$J$2001,Transaksi!$M$2:$M$2001,"&lt;="&amp;S46)),"")</f>
        <v/>
      </c>
      <c r="I46">
        <f>IF(43&gt;$O$2,"",MATCH(43,$Q$3:$Q$402,1))</f>
        <v/>
      </c>
      <c r="J46">
        <f>IF(I46="","",IF(43=INDEX($Q$3:$Q$402,I46),"H","E"))</f>
        <v/>
      </c>
      <c r="K46">
        <f>IF(J46&lt;&gt;"E","",MATCH(S46,Transaksi!$M$2:$M$2001,0)+43-INDEX($Q$3:$Q$402,I46)-1)</f>
        <v/>
      </c>
      <c r="N46" t="n">
        <v>44</v>
      </c>
      <c r="O46">
        <f>IF(N46&lt;=$O$1,$O$1-N46+1,"")</f>
        <v/>
      </c>
      <c r="P46">
        <f>IF(O46="",0,COUNTIF(Transaksi!$M$2:$M$2001,O46)+1)</f>
        <v/>
      </c>
      <c r="Q46">
        <f>1+SUM(P$2:P45)</f>
        <v/>
      </c>
      <c r="S46">
        <f>IF(I46="","",INDEX($O$3:$O$402,I46))</f>
        <v/>
      </c>
      <c r="T46">
        <f>IF(J46&lt;&gt;"H","",INDEX(Transaksi!$A$2:$A$2001,MATCH(S46,Transaksi!$M$2:$M$2001,0)))</f>
        <v/>
      </c>
    </row>
    <row r="47">
      <c r="A47" s="31">
        <f>IF(J47="E",IF(INDEX(Transaksi!$J$2:$J$2001,K47)&gt;0,"↑","↓"),"")</f>
        <v/>
      </c>
      <c r="B47" s="32">
        <f>IF(J47="H",CHOOSE(WEEKDAY(T47,2),"Isnin","Selasa","Rabu","Khamis","Jumaat","Sabtu","Ahad")&amp;", "&amp;DAY(T47)&amp;" "&amp;CHOOSE(MONTH(T47),"Jan","Feb","Mac","Apr","Mei","Jun","Jul","Ogo","Sep","Okt","Nov","Dis")&amp;" "&amp;YEAR(T47),IF(J47="E",IF(INDEX(Transaksi!$B$2:$B$2001,K47)="",INDEX(Transaksi!$C$2:$C$2001,K47)&amp;" · "&amp;INDEX(Transaksi!$D$2:$D$2001,K47),INDEX(Transaksi!$B$2:$B$2001,K47)),""))</f>
        <v/>
      </c>
      <c r="C47" s="32">
        <f>IF(J47="E",INDEX(Transaksi!$C$2:$C$2001,K47)&amp;"","")</f>
        <v/>
      </c>
      <c r="D47" s="32">
        <f>IF(J47="E",INDEX(Transaksi!$D$2:$D$2001,K47)&amp;"","")</f>
        <v/>
      </c>
      <c r="E47" s="33">
        <f>IF(J47="H",SUMIFS(Transaksi!$G$2:$G$2001,Transaksi!$M$2:$M$2001,"="&amp;S47)+SUMIFS(Transaksi!$H$2:$H$2001,Transaksi!$M$2:$M$2001,"="&amp;S47)+SUMIFS(Transaksi!$I$2:$I$2001,Transaksi!$M$2:$M$2001,"="&amp;S47),IF(J47="E",IF(INDEX(Transaksi!$G$2:$G$2001,K47)+INDEX(Transaksi!$H$2:$H$2001,K47)+INDEX(Transaksi!$I$2:$I$2001,K47)=0,"",INDEX(Transaksi!$G$2:$G$2001,K47)+INDEX(Transaksi!$H$2:$H$2001,K47)+INDEX(Transaksi!$I$2:$I$2001,K47)),""))</f>
        <v/>
      </c>
      <c r="F47" s="33">
        <f>IF(J47="H",SUMIFS(Transaksi!$J$2:$J$2001,Transaksi!$M$2:$M$2001,"="&amp;S47),IF(J47="E",IF(INDEX(Transaksi!$J$2:$J$2001,K47)=0,"",INDEX(Transaksi!$J$2:$J$2001,K47)),""))</f>
        <v/>
      </c>
      <c r="G47" s="33">
        <f>IF(J47="H",(SUMIFS(Transaksi!$G$2:$G$2001,Transaksi!$M$2:$M$2001,"&lt;="&amp;S47)+SUMIFS(Transaksi!$H$2:$H$2001,Transaksi!$M$2:$M$2001,"&lt;="&amp;S47)+SUMIFS(Transaksi!$I$2:$I$2001,Transaksi!$M$2:$M$2001,"&lt;="&amp;S47))-(SUMIFS(Transaksi!$J$2:$J$2001,Transaksi!$M$2:$M$2001,"&lt;="&amp;S47)),"")</f>
        <v/>
      </c>
      <c r="I47">
        <f>IF(44&gt;$O$2,"",MATCH(44,$Q$3:$Q$402,1))</f>
        <v/>
      </c>
      <c r="J47">
        <f>IF(I47="","",IF(44=INDEX($Q$3:$Q$402,I47),"H","E"))</f>
        <v/>
      </c>
      <c r="K47">
        <f>IF(J47&lt;&gt;"E","",MATCH(S47,Transaksi!$M$2:$M$2001,0)+44-INDEX($Q$3:$Q$402,I47)-1)</f>
        <v/>
      </c>
      <c r="N47" t="n">
        <v>45</v>
      </c>
      <c r="O47">
        <f>IF(N47&lt;=$O$1,$O$1-N47+1,"")</f>
        <v/>
      </c>
      <c r="P47">
        <f>IF(O47="",0,COUNTIF(Transaksi!$M$2:$M$2001,O47)+1)</f>
        <v/>
      </c>
      <c r="Q47">
        <f>1+SUM(P$2:P46)</f>
        <v/>
      </c>
      <c r="S47">
        <f>IF(I47="","",INDEX($O$3:$O$402,I47))</f>
        <v/>
      </c>
      <c r="T47">
        <f>IF(J47&lt;&gt;"H","",INDEX(Transaksi!$A$2:$A$2001,MATCH(S47,Transaksi!$M$2:$M$2001,0)))</f>
        <v/>
      </c>
    </row>
    <row r="48">
      <c r="A48" s="31">
        <f>IF(J48="E",IF(INDEX(Transaksi!$J$2:$J$2001,K48)&gt;0,"↑","↓"),"")</f>
        <v/>
      </c>
      <c r="B48" s="32">
        <f>IF(J48="H",CHOOSE(WEEKDAY(T48,2),"Isnin","Selasa","Rabu","Khamis","Jumaat","Sabtu","Ahad")&amp;", "&amp;DAY(T48)&amp;" "&amp;CHOOSE(MONTH(T48),"Jan","Feb","Mac","Apr","Mei","Jun","Jul","Ogo","Sep","Okt","Nov","Dis")&amp;" "&amp;YEAR(T48),IF(J48="E",IF(INDEX(Transaksi!$B$2:$B$2001,K48)="",INDEX(Transaksi!$C$2:$C$2001,K48)&amp;" · "&amp;INDEX(Transaksi!$D$2:$D$2001,K48),INDEX(Transaksi!$B$2:$B$2001,K48)),""))</f>
        <v/>
      </c>
      <c r="C48" s="32">
        <f>IF(J48="E",INDEX(Transaksi!$C$2:$C$2001,K48)&amp;"","")</f>
        <v/>
      </c>
      <c r="D48" s="32">
        <f>IF(J48="E",INDEX(Transaksi!$D$2:$D$2001,K48)&amp;"","")</f>
        <v/>
      </c>
      <c r="E48" s="33">
        <f>IF(J48="H",SUMIFS(Transaksi!$G$2:$G$2001,Transaksi!$M$2:$M$2001,"="&amp;S48)+SUMIFS(Transaksi!$H$2:$H$2001,Transaksi!$M$2:$M$2001,"="&amp;S48)+SUMIFS(Transaksi!$I$2:$I$2001,Transaksi!$M$2:$M$2001,"="&amp;S48),IF(J48="E",IF(INDEX(Transaksi!$G$2:$G$2001,K48)+INDEX(Transaksi!$H$2:$H$2001,K48)+INDEX(Transaksi!$I$2:$I$2001,K48)=0,"",INDEX(Transaksi!$G$2:$G$2001,K48)+INDEX(Transaksi!$H$2:$H$2001,K48)+INDEX(Transaksi!$I$2:$I$2001,K48)),""))</f>
        <v/>
      </c>
      <c r="F48" s="33">
        <f>IF(J48="H",SUMIFS(Transaksi!$J$2:$J$2001,Transaksi!$M$2:$M$2001,"="&amp;S48),IF(J48="E",IF(INDEX(Transaksi!$J$2:$J$2001,K48)=0,"",INDEX(Transaksi!$J$2:$J$2001,K48)),""))</f>
        <v/>
      </c>
      <c r="G48" s="33">
        <f>IF(J48="H",(SUMIFS(Transaksi!$G$2:$G$2001,Transaksi!$M$2:$M$2001,"&lt;="&amp;S48)+SUMIFS(Transaksi!$H$2:$H$2001,Transaksi!$M$2:$M$2001,"&lt;="&amp;S48)+SUMIFS(Transaksi!$I$2:$I$2001,Transaksi!$M$2:$M$2001,"&lt;="&amp;S48))-(SUMIFS(Transaksi!$J$2:$J$2001,Transaksi!$M$2:$M$2001,"&lt;="&amp;S48)),"")</f>
        <v/>
      </c>
      <c r="I48">
        <f>IF(45&gt;$O$2,"",MATCH(45,$Q$3:$Q$402,1))</f>
        <v/>
      </c>
      <c r="J48">
        <f>IF(I48="","",IF(45=INDEX($Q$3:$Q$402,I48),"H","E"))</f>
        <v/>
      </c>
      <c r="K48">
        <f>IF(J48&lt;&gt;"E","",MATCH(S48,Transaksi!$M$2:$M$2001,0)+45-INDEX($Q$3:$Q$402,I48)-1)</f>
        <v/>
      </c>
      <c r="N48" t="n">
        <v>46</v>
      </c>
      <c r="O48">
        <f>IF(N48&lt;=$O$1,$O$1-N48+1,"")</f>
        <v/>
      </c>
      <c r="P48">
        <f>IF(O48="",0,COUNTIF(Transaksi!$M$2:$M$2001,O48)+1)</f>
        <v/>
      </c>
      <c r="Q48">
        <f>1+SUM(P$2:P47)</f>
        <v/>
      </c>
      <c r="S48">
        <f>IF(I48="","",INDEX($O$3:$O$402,I48))</f>
        <v/>
      </c>
      <c r="T48">
        <f>IF(J48&lt;&gt;"H","",INDEX(Transaksi!$A$2:$A$2001,MATCH(S48,Transaksi!$M$2:$M$2001,0)))</f>
        <v/>
      </c>
    </row>
    <row r="49">
      <c r="A49" s="31">
        <f>IF(J49="E",IF(INDEX(Transaksi!$J$2:$J$2001,K49)&gt;0,"↑","↓"),"")</f>
        <v/>
      </c>
      <c r="B49" s="32">
        <f>IF(J49="H",CHOOSE(WEEKDAY(T49,2),"Isnin","Selasa","Rabu","Khamis","Jumaat","Sabtu","Ahad")&amp;", "&amp;DAY(T49)&amp;" "&amp;CHOOSE(MONTH(T49),"Jan","Feb","Mac","Apr","Mei","Jun","Jul","Ogo","Sep","Okt","Nov","Dis")&amp;" "&amp;YEAR(T49),IF(J49="E",IF(INDEX(Transaksi!$B$2:$B$2001,K49)="",INDEX(Transaksi!$C$2:$C$2001,K49)&amp;" · "&amp;INDEX(Transaksi!$D$2:$D$2001,K49),INDEX(Transaksi!$B$2:$B$2001,K49)),""))</f>
        <v/>
      </c>
      <c r="C49" s="32">
        <f>IF(J49="E",INDEX(Transaksi!$C$2:$C$2001,K49)&amp;"","")</f>
        <v/>
      </c>
      <c r="D49" s="32">
        <f>IF(J49="E",INDEX(Transaksi!$D$2:$D$2001,K49)&amp;"","")</f>
        <v/>
      </c>
      <c r="E49" s="33">
        <f>IF(J49="H",SUMIFS(Transaksi!$G$2:$G$2001,Transaksi!$M$2:$M$2001,"="&amp;S49)+SUMIFS(Transaksi!$H$2:$H$2001,Transaksi!$M$2:$M$2001,"="&amp;S49)+SUMIFS(Transaksi!$I$2:$I$2001,Transaksi!$M$2:$M$2001,"="&amp;S49),IF(J49="E",IF(INDEX(Transaksi!$G$2:$G$2001,K49)+INDEX(Transaksi!$H$2:$H$2001,K49)+INDEX(Transaksi!$I$2:$I$2001,K49)=0,"",INDEX(Transaksi!$G$2:$G$2001,K49)+INDEX(Transaksi!$H$2:$H$2001,K49)+INDEX(Transaksi!$I$2:$I$2001,K49)),""))</f>
        <v/>
      </c>
      <c r="F49" s="33">
        <f>IF(J49="H",SUMIFS(Transaksi!$J$2:$J$2001,Transaksi!$M$2:$M$2001,"="&amp;S49),IF(J49="E",IF(INDEX(Transaksi!$J$2:$J$2001,K49)=0,"",INDEX(Transaksi!$J$2:$J$2001,K49)),""))</f>
        <v/>
      </c>
      <c r="G49" s="33">
        <f>IF(J49="H",(SUMIFS(Transaksi!$G$2:$G$2001,Transaksi!$M$2:$M$2001,"&lt;="&amp;S49)+SUMIFS(Transaksi!$H$2:$H$2001,Transaksi!$M$2:$M$2001,"&lt;="&amp;S49)+SUMIFS(Transaksi!$I$2:$I$2001,Transaksi!$M$2:$M$2001,"&lt;="&amp;S49))-(SUMIFS(Transaksi!$J$2:$J$2001,Transaksi!$M$2:$M$2001,"&lt;="&amp;S49)),"")</f>
        <v/>
      </c>
      <c r="I49">
        <f>IF(46&gt;$O$2,"",MATCH(46,$Q$3:$Q$402,1))</f>
        <v/>
      </c>
      <c r="J49">
        <f>IF(I49="","",IF(46=INDEX($Q$3:$Q$402,I49),"H","E"))</f>
        <v/>
      </c>
      <c r="K49">
        <f>IF(J49&lt;&gt;"E","",MATCH(S49,Transaksi!$M$2:$M$2001,0)+46-INDEX($Q$3:$Q$402,I49)-1)</f>
        <v/>
      </c>
      <c r="N49" t="n">
        <v>47</v>
      </c>
      <c r="O49">
        <f>IF(N49&lt;=$O$1,$O$1-N49+1,"")</f>
        <v/>
      </c>
      <c r="P49">
        <f>IF(O49="",0,COUNTIF(Transaksi!$M$2:$M$2001,O49)+1)</f>
        <v/>
      </c>
      <c r="Q49">
        <f>1+SUM(P$2:P48)</f>
        <v/>
      </c>
      <c r="S49">
        <f>IF(I49="","",INDEX($O$3:$O$402,I49))</f>
        <v/>
      </c>
      <c r="T49">
        <f>IF(J49&lt;&gt;"H","",INDEX(Transaksi!$A$2:$A$2001,MATCH(S49,Transaksi!$M$2:$M$2001,0)))</f>
        <v/>
      </c>
    </row>
    <row r="50">
      <c r="A50" s="31">
        <f>IF(J50="E",IF(INDEX(Transaksi!$J$2:$J$2001,K50)&gt;0,"↑","↓"),"")</f>
        <v/>
      </c>
      <c r="B50" s="32">
        <f>IF(J50="H",CHOOSE(WEEKDAY(T50,2),"Isnin","Selasa","Rabu","Khamis","Jumaat","Sabtu","Ahad")&amp;", "&amp;DAY(T50)&amp;" "&amp;CHOOSE(MONTH(T50),"Jan","Feb","Mac","Apr","Mei","Jun","Jul","Ogo","Sep","Okt","Nov","Dis")&amp;" "&amp;YEAR(T50),IF(J50="E",IF(INDEX(Transaksi!$B$2:$B$2001,K50)="",INDEX(Transaksi!$C$2:$C$2001,K50)&amp;" · "&amp;INDEX(Transaksi!$D$2:$D$2001,K50),INDEX(Transaksi!$B$2:$B$2001,K50)),""))</f>
        <v/>
      </c>
      <c r="C50" s="32">
        <f>IF(J50="E",INDEX(Transaksi!$C$2:$C$2001,K50)&amp;"","")</f>
        <v/>
      </c>
      <c r="D50" s="32">
        <f>IF(J50="E",INDEX(Transaksi!$D$2:$D$2001,K50)&amp;"","")</f>
        <v/>
      </c>
      <c r="E50" s="33">
        <f>IF(J50="H",SUMIFS(Transaksi!$G$2:$G$2001,Transaksi!$M$2:$M$2001,"="&amp;S50)+SUMIFS(Transaksi!$H$2:$H$2001,Transaksi!$M$2:$M$2001,"="&amp;S50)+SUMIFS(Transaksi!$I$2:$I$2001,Transaksi!$M$2:$M$2001,"="&amp;S50),IF(J50="E",IF(INDEX(Transaksi!$G$2:$G$2001,K50)+INDEX(Transaksi!$H$2:$H$2001,K50)+INDEX(Transaksi!$I$2:$I$2001,K50)=0,"",INDEX(Transaksi!$G$2:$G$2001,K50)+INDEX(Transaksi!$H$2:$H$2001,K50)+INDEX(Transaksi!$I$2:$I$2001,K50)),""))</f>
        <v/>
      </c>
      <c r="F50" s="33">
        <f>IF(J50="H",SUMIFS(Transaksi!$J$2:$J$2001,Transaksi!$M$2:$M$2001,"="&amp;S50),IF(J50="E",IF(INDEX(Transaksi!$J$2:$J$2001,K50)=0,"",INDEX(Transaksi!$J$2:$J$2001,K50)),""))</f>
        <v/>
      </c>
      <c r="G50" s="33">
        <f>IF(J50="H",(SUMIFS(Transaksi!$G$2:$G$2001,Transaksi!$M$2:$M$2001,"&lt;="&amp;S50)+SUMIFS(Transaksi!$H$2:$H$2001,Transaksi!$M$2:$M$2001,"&lt;="&amp;S50)+SUMIFS(Transaksi!$I$2:$I$2001,Transaksi!$M$2:$M$2001,"&lt;="&amp;S50))-(SUMIFS(Transaksi!$J$2:$J$2001,Transaksi!$M$2:$M$2001,"&lt;="&amp;S50)),"")</f>
        <v/>
      </c>
      <c r="I50">
        <f>IF(47&gt;$O$2,"",MATCH(47,$Q$3:$Q$402,1))</f>
        <v/>
      </c>
      <c r="J50">
        <f>IF(I50="","",IF(47=INDEX($Q$3:$Q$402,I50),"H","E"))</f>
        <v/>
      </c>
      <c r="K50">
        <f>IF(J50&lt;&gt;"E","",MATCH(S50,Transaksi!$M$2:$M$2001,0)+47-INDEX($Q$3:$Q$402,I50)-1)</f>
        <v/>
      </c>
      <c r="N50" t="n">
        <v>48</v>
      </c>
      <c r="O50">
        <f>IF(N50&lt;=$O$1,$O$1-N50+1,"")</f>
        <v/>
      </c>
      <c r="P50">
        <f>IF(O50="",0,COUNTIF(Transaksi!$M$2:$M$2001,O50)+1)</f>
        <v/>
      </c>
      <c r="Q50">
        <f>1+SUM(P$2:P49)</f>
        <v/>
      </c>
      <c r="S50">
        <f>IF(I50="","",INDEX($O$3:$O$402,I50))</f>
        <v/>
      </c>
      <c r="T50">
        <f>IF(J50&lt;&gt;"H","",INDEX(Transaksi!$A$2:$A$2001,MATCH(S50,Transaksi!$M$2:$M$2001,0)))</f>
        <v/>
      </c>
    </row>
    <row r="51">
      <c r="A51" s="31">
        <f>IF(J51="E",IF(INDEX(Transaksi!$J$2:$J$2001,K51)&gt;0,"↑","↓"),"")</f>
        <v/>
      </c>
      <c r="B51" s="32">
        <f>IF(J51="H",CHOOSE(WEEKDAY(T51,2),"Isnin","Selasa","Rabu","Khamis","Jumaat","Sabtu","Ahad")&amp;", "&amp;DAY(T51)&amp;" "&amp;CHOOSE(MONTH(T51),"Jan","Feb","Mac","Apr","Mei","Jun","Jul","Ogo","Sep","Okt","Nov","Dis")&amp;" "&amp;YEAR(T51),IF(J51="E",IF(INDEX(Transaksi!$B$2:$B$2001,K51)="",INDEX(Transaksi!$C$2:$C$2001,K51)&amp;" · "&amp;INDEX(Transaksi!$D$2:$D$2001,K51),INDEX(Transaksi!$B$2:$B$2001,K51)),""))</f>
        <v/>
      </c>
      <c r="C51" s="32">
        <f>IF(J51="E",INDEX(Transaksi!$C$2:$C$2001,K51)&amp;"","")</f>
        <v/>
      </c>
      <c r="D51" s="32">
        <f>IF(J51="E",INDEX(Transaksi!$D$2:$D$2001,K51)&amp;"","")</f>
        <v/>
      </c>
      <c r="E51" s="33">
        <f>IF(J51="H",SUMIFS(Transaksi!$G$2:$G$2001,Transaksi!$M$2:$M$2001,"="&amp;S51)+SUMIFS(Transaksi!$H$2:$H$2001,Transaksi!$M$2:$M$2001,"="&amp;S51)+SUMIFS(Transaksi!$I$2:$I$2001,Transaksi!$M$2:$M$2001,"="&amp;S51),IF(J51="E",IF(INDEX(Transaksi!$G$2:$G$2001,K51)+INDEX(Transaksi!$H$2:$H$2001,K51)+INDEX(Transaksi!$I$2:$I$2001,K51)=0,"",INDEX(Transaksi!$G$2:$G$2001,K51)+INDEX(Transaksi!$H$2:$H$2001,K51)+INDEX(Transaksi!$I$2:$I$2001,K51)),""))</f>
        <v/>
      </c>
      <c r="F51" s="33">
        <f>IF(J51="H",SUMIFS(Transaksi!$J$2:$J$2001,Transaksi!$M$2:$M$2001,"="&amp;S51),IF(J51="E",IF(INDEX(Transaksi!$J$2:$J$2001,K51)=0,"",INDEX(Transaksi!$J$2:$J$2001,K51)),""))</f>
        <v/>
      </c>
      <c r="G51" s="33">
        <f>IF(J51="H",(SUMIFS(Transaksi!$G$2:$G$2001,Transaksi!$M$2:$M$2001,"&lt;="&amp;S51)+SUMIFS(Transaksi!$H$2:$H$2001,Transaksi!$M$2:$M$2001,"&lt;="&amp;S51)+SUMIFS(Transaksi!$I$2:$I$2001,Transaksi!$M$2:$M$2001,"&lt;="&amp;S51))-(SUMIFS(Transaksi!$J$2:$J$2001,Transaksi!$M$2:$M$2001,"&lt;="&amp;S51)),"")</f>
        <v/>
      </c>
      <c r="I51">
        <f>IF(48&gt;$O$2,"",MATCH(48,$Q$3:$Q$402,1))</f>
        <v/>
      </c>
      <c r="J51">
        <f>IF(I51="","",IF(48=INDEX($Q$3:$Q$402,I51),"H","E"))</f>
        <v/>
      </c>
      <c r="K51">
        <f>IF(J51&lt;&gt;"E","",MATCH(S51,Transaksi!$M$2:$M$2001,0)+48-INDEX($Q$3:$Q$402,I51)-1)</f>
        <v/>
      </c>
      <c r="N51" t="n">
        <v>49</v>
      </c>
      <c r="O51">
        <f>IF(N51&lt;=$O$1,$O$1-N51+1,"")</f>
        <v/>
      </c>
      <c r="P51">
        <f>IF(O51="",0,COUNTIF(Transaksi!$M$2:$M$2001,O51)+1)</f>
        <v/>
      </c>
      <c r="Q51">
        <f>1+SUM(P$2:P50)</f>
        <v/>
      </c>
      <c r="S51">
        <f>IF(I51="","",INDEX($O$3:$O$402,I51))</f>
        <v/>
      </c>
      <c r="T51">
        <f>IF(J51&lt;&gt;"H","",INDEX(Transaksi!$A$2:$A$2001,MATCH(S51,Transaksi!$M$2:$M$2001,0)))</f>
        <v/>
      </c>
    </row>
    <row r="52">
      <c r="A52" s="31">
        <f>IF(J52="E",IF(INDEX(Transaksi!$J$2:$J$2001,K52)&gt;0,"↑","↓"),"")</f>
        <v/>
      </c>
      <c r="B52" s="32">
        <f>IF(J52="H",CHOOSE(WEEKDAY(T52,2),"Isnin","Selasa","Rabu","Khamis","Jumaat","Sabtu","Ahad")&amp;", "&amp;DAY(T52)&amp;" "&amp;CHOOSE(MONTH(T52),"Jan","Feb","Mac","Apr","Mei","Jun","Jul","Ogo","Sep","Okt","Nov","Dis")&amp;" "&amp;YEAR(T52),IF(J52="E",IF(INDEX(Transaksi!$B$2:$B$2001,K52)="",INDEX(Transaksi!$C$2:$C$2001,K52)&amp;" · "&amp;INDEX(Transaksi!$D$2:$D$2001,K52),INDEX(Transaksi!$B$2:$B$2001,K52)),""))</f>
        <v/>
      </c>
      <c r="C52" s="32">
        <f>IF(J52="E",INDEX(Transaksi!$C$2:$C$2001,K52)&amp;"","")</f>
        <v/>
      </c>
      <c r="D52" s="32">
        <f>IF(J52="E",INDEX(Transaksi!$D$2:$D$2001,K52)&amp;"","")</f>
        <v/>
      </c>
      <c r="E52" s="33">
        <f>IF(J52="H",SUMIFS(Transaksi!$G$2:$G$2001,Transaksi!$M$2:$M$2001,"="&amp;S52)+SUMIFS(Transaksi!$H$2:$H$2001,Transaksi!$M$2:$M$2001,"="&amp;S52)+SUMIFS(Transaksi!$I$2:$I$2001,Transaksi!$M$2:$M$2001,"="&amp;S52),IF(J52="E",IF(INDEX(Transaksi!$G$2:$G$2001,K52)+INDEX(Transaksi!$H$2:$H$2001,K52)+INDEX(Transaksi!$I$2:$I$2001,K52)=0,"",INDEX(Transaksi!$G$2:$G$2001,K52)+INDEX(Transaksi!$H$2:$H$2001,K52)+INDEX(Transaksi!$I$2:$I$2001,K52)),""))</f>
        <v/>
      </c>
      <c r="F52" s="33">
        <f>IF(J52="H",SUMIFS(Transaksi!$J$2:$J$2001,Transaksi!$M$2:$M$2001,"="&amp;S52),IF(J52="E",IF(INDEX(Transaksi!$J$2:$J$2001,K52)=0,"",INDEX(Transaksi!$J$2:$J$2001,K52)),""))</f>
        <v/>
      </c>
      <c r="G52" s="33">
        <f>IF(J52="H",(SUMIFS(Transaksi!$G$2:$G$2001,Transaksi!$M$2:$M$2001,"&lt;="&amp;S52)+SUMIFS(Transaksi!$H$2:$H$2001,Transaksi!$M$2:$M$2001,"&lt;="&amp;S52)+SUMIFS(Transaksi!$I$2:$I$2001,Transaksi!$M$2:$M$2001,"&lt;="&amp;S52))-(SUMIFS(Transaksi!$J$2:$J$2001,Transaksi!$M$2:$M$2001,"&lt;="&amp;S52)),"")</f>
        <v/>
      </c>
      <c r="I52">
        <f>IF(49&gt;$O$2,"",MATCH(49,$Q$3:$Q$402,1))</f>
        <v/>
      </c>
      <c r="J52">
        <f>IF(I52="","",IF(49=INDEX($Q$3:$Q$402,I52),"H","E"))</f>
        <v/>
      </c>
      <c r="K52">
        <f>IF(J52&lt;&gt;"E","",MATCH(S52,Transaksi!$M$2:$M$2001,0)+49-INDEX($Q$3:$Q$402,I52)-1)</f>
        <v/>
      </c>
      <c r="N52" t="n">
        <v>50</v>
      </c>
      <c r="O52">
        <f>IF(N52&lt;=$O$1,$O$1-N52+1,"")</f>
        <v/>
      </c>
      <c r="P52">
        <f>IF(O52="",0,COUNTIF(Transaksi!$M$2:$M$2001,O52)+1)</f>
        <v/>
      </c>
      <c r="Q52">
        <f>1+SUM(P$2:P51)</f>
        <v/>
      </c>
      <c r="S52">
        <f>IF(I52="","",INDEX($O$3:$O$402,I52))</f>
        <v/>
      </c>
      <c r="T52">
        <f>IF(J52&lt;&gt;"H","",INDEX(Transaksi!$A$2:$A$2001,MATCH(S52,Transaksi!$M$2:$M$2001,0)))</f>
        <v/>
      </c>
    </row>
    <row r="53">
      <c r="A53" s="31">
        <f>IF(J53="E",IF(INDEX(Transaksi!$J$2:$J$2001,K53)&gt;0,"↑","↓"),"")</f>
        <v/>
      </c>
      <c r="B53" s="32">
        <f>IF(J53="H",CHOOSE(WEEKDAY(T53,2),"Isnin","Selasa","Rabu","Khamis","Jumaat","Sabtu","Ahad")&amp;", "&amp;DAY(T53)&amp;" "&amp;CHOOSE(MONTH(T53),"Jan","Feb","Mac","Apr","Mei","Jun","Jul","Ogo","Sep","Okt","Nov","Dis")&amp;" "&amp;YEAR(T53),IF(J53="E",IF(INDEX(Transaksi!$B$2:$B$2001,K53)="",INDEX(Transaksi!$C$2:$C$2001,K53)&amp;" · "&amp;INDEX(Transaksi!$D$2:$D$2001,K53),INDEX(Transaksi!$B$2:$B$2001,K53)),""))</f>
        <v/>
      </c>
      <c r="C53" s="32">
        <f>IF(J53="E",INDEX(Transaksi!$C$2:$C$2001,K53)&amp;"","")</f>
        <v/>
      </c>
      <c r="D53" s="32">
        <f>IF(J53="E",INDEX(Transaksi!$D$2:$D$2001,K53)&amp;"","")</f>
        <v/>
      </c>
      <c r="E53" s="33">
        <f>IF(J53="H",SUMIFS(Transaksi!$G$2:$G$2001,Transaksi!$M$2:$M$2001,"="&amp;S53)+SUMIFS(Transaksi!$H$2:$H$2001,Transaksi!$M$2:$M$2001,"="&amp;S53)+SUMIFS(Transaksi!$I$2:$I$2001,Transaksi!$M$2:$M$2001,"="&amp;S53),IF(J53="E",IF(INDEX(Transaksi!$G$2:$G$2001,K53)+INDEX(Transaksi!$H$2:$H$2001,K53)+INDEX(Transaksi!$I$2:$I$2001,K53)=0,"",INDEX(Transaksi!$G$2:$G$2001,K53)+INDEX(Transaksi!$H$2:$H$2001,K53)+INDEX(Transaksi!$I$2:$I$2001,K53)),""))</f>
        <v/>
      </c>
      <c r="F53" s="33">
        <f>IF(J53="H",SUMIFS(Transaksi!$J$2:$J$2001,Transaksi!$M$2:$M$2001,"="&amp;S53),IF(J53="E",IF(INDEX(Transaksi!$J$2:$J$2001,K53)=0,"",INDEX(Transaksi!$J$2:$J$2001,K53)),""))</f>
        <v/>
      </c>
      <c r="G53" s="33">
        <f>IF(J53="H",(SUMIFS(Transaksi!$G$2:$G$2001,Transaksi!$M$2:$M$2001,"&lt;="&amp;S53)+SUMIFS(Transaksi!$H$2:$H$2001,Transaksi!$M$2:$M$2001,"&lt;="&amp;S53)+SUMIFS(Transaksi!$I$2:$I$2001,Transaksi!$M$2:$M$2001,"&lt;="&amp;S53))-(SUMIFS(Transaksi!$J$2:$J$2001,Transaksi!$M$2:$M$2001,"&lt;="&amp;S53)),"")</f>
        <v/>
      </c>
      <c r="I53">
        <f>IF(50&gt;$O$2,"",MATCH(50,$Q$3:$Q$402,1))</f>
        <v/>
      </c>
      <c r="J53">
        <f>IF(I53="","",IF(50=INDEX($Q$3:$Q$402,I53),"H","E"))</f>
        <v/>
      </c>
      <c r="K53">
        <f>IF(J53&lt;&gt;"E","",MATCH(S53,Transaksi!$M$2:$M$2001,0)+50-INDEX($Q$3:$Q$402,I53)-1)</f>
        <v/>
      </c>
      <c r="N53" t="n">
        <v>51</v>
      </c>
      <c r="O53">
        <f>IF(N53&lt;=$O$1,$O$1-N53+1,"")</f>
        <v/>
      </c>
      <c r="P53">
        <f>IF(O53="",0,COUNTIF(Transaksi!$M$2:$M$2001,O53)+1)</f>
        <v/>
      </c>
      <c r="Q53">
        <f>1+SUM(P$2:P52)</f>
        <v/>
      </c>
      <c r="S53">
        <f>IF(I53="","",INDEX($O$3:$O$402,I53))</f>
        <v/>
      </c>
      <c r="T53">
        <f>IF(J53&lt;&gt;"H","",INDEX(Transaksi!$A$2:$A$2001,MATCH(S53,Transaksi!$M$2:$M$2001,0)))</f>
        <v/>
      </c>
    </row>
    <row r="54">
      <c r="A54" s="31">
        <f>IF(J54="E",IF(INDEX(Transaksi!$J$2:$J$2001,K54)&gt;0,"↑","↓"),"")</f>
        <v/>
      </c>
      <c r="B54" s="32">
        <f>IF(J54="H",CHOOSE(WEEKDAY(T54,2),"Isnin","Selasa","Rabu","Khamis","Jumaat","Sabtu","Ahad")&amp;", "&amp;DAY(T54)&amp;" "&amp;CHOOSE(MONTH(T54),"Jan","Feb","Mac","Apr","Mei","Jun","Jul","Ogo","Sep","Okt","Nov","Dis")&amp;" "&amp;YEAR(T54),IF(J54="E",IF(INDEX(Transaksi!$B$2:$B$2001,K54)="",INDEX(Transaksi!$C$2:$C$2001,K54)&amp;" · "&amp;INDEX(Transaksi!$D$2:$D$2001,K54),INDEX(Transaksi!$B$2:$B$2001,K54)),""))</f>
        <v/>
      </c>
      <c r="C54" s="32">
        <f>IF(J54="E",INDEX(Transaksi!$C$2:$C$2001,K54)&amp;"","")</f>
        <v/>
      </c>
      <c r="D54" s="32">
        <f>IF(J54="E",INDEX(Transaksi!$D$2:$D$2001,K54)&amp;"","")</f>
        <v/>
      </c>
      <c r="E54" s="33">
        <f>IF(J54="H",SUMIFS(Transaksi!$G$2:$G$2001,Transaksi!$M$2:$M$2001,"="&amp;S54)+SUMIFS(Transaksi!$H$2:$H$2001,Transaksi!$M$2:$M$2001,"="&amp;S54)+SUMIFS(Transaksi!$I$2:$I$2001,Transaksi!$M$2:$M$2001,"="&amp;S54),IF(J54="E",IF(INDEX(Transaksi!$G$2:$G$2001,K54)+INDEX(Transaksi!$H$2:$H$2001,K54)+INDEX(Transaksi!$I$2:$I$2001,K54)=0,"",INDEX(Transaksi!$G$2:$G$2001,K54)+INDEX(Transaksi!$H$2:$H$2001,K54)+INDEX(Transaksi!$I$2:$I$2001,K54)),""))</f>
        <v/>
      </c>
      <c r="F54" s="33">
        <f>IF(J54="H",SUMIFS(Transaksi!$J$2:$J$2001,Transaksi!$M$2:$M$2001,"="&amp;S54),IF(J54="E",IF(INDEX(Transaksi!$J$2:$J$2001,K54)=0,"",INDEX(Transaksi!$J$2:$J$2001,K54)),""))</f>
        <v/>
      </c>
      <c r="G54" s="33">
        <f>IF(J54="H",(SUMIFS(Transaksi!$G$2:$G$2001,Transaksi!$M$2:$M$2001,"&lt;="&amp;S54)+SUMIFS(Transaksi!$H$2:$H$2001,Transaksi!$M$2:$M$2001,"&lt;="&amp;S54)+SUMIFS(Transaksi!$I$2:$I$2001,Transaksi!$M$2:$M$2001,"&lt;="&amp;S54))-(SUMIFS(Transaksi!$J$2:$J$2001,Transaksi!$M$2:$M$2001,"&lt;="&amp;S54)),"")</f>
        <v/>
      </c>
      <c r="I54">
        <f>IF(51&gt;$O$2,"",MATCH(51,$Q$3:$Q$402,1))</f>
        <v/>
      </c>
      <c r="J54">
        <f>IF(I54="","",IF(51=INDEX($Q$3:$Q$402,I54),"H","E"))</f>
        <v/>
      </c>
      <c r="K54">
        <f>IF(J54&lt;&gt;"E","",MATCH(S54,Transaksi!$M$2:$M$2001,0)+51-INDEX($Q$3:$Q$402,I54)-1)</f>
        <v/>
      </c>
      <c r="N54" t="n">
        <v>52</v>
      </c>
      <c r="O54">
        <f>IF(N54&lt;=$O$1,$O$1-N54+1,"")</f>
        <v/>
      </c>
      <c r="P54">
        <f>IF(O54="",0,COUNTIF(Transaksi!$M$2:$M$2001,O54)+1)</f>
        <v/>
      </c>
      <c r="Q54">
        <f>1+SUM(P$2:P53)</f>
        <v/>
      </c>
      <c r="S54">
        <f>IF(I54="","",INDEX($O$3:$O$402,I54))</f>
        <v/>
      </c>
      <c r="T54">
        <f>IF(J54&lt;&gt;"H","",INDEX(Transaksi!$A$2:$A$2001,MATCH(S54,Transaksi!$M$2:$M$2001,0)))</f>
        <v/>
      </c>
    </row>
    <row r="55">
      <c r="A55" s="31">
        <f>IF(J55="E",IF(INDEX(Transaksi!$J$2:$J$2001,K55)&gt;0,"↑","↓"),"")</f>
        <v/>
      </c>
      <c r="B55" s="32">
        <f>IF(J55="H",CHOOSE(WEEKDAY(T55,2),"Isnin","Selasa","Rabu","Khamis","Jumaat","Sabtu","Ahad")&amp;", "&amp;DAY(T55)&amp;" "&amp;CHOOSE(MONTH(T55),"Jan","Feb","Mac","Apr","Mei","Jun","Jul","Ogo","Sep","Okt","Nov","Dis")&amp;" "&amp;YEAR(T55),IF(J55="E",IF(INDEX(Transaksi!$B$2:$B$2001,K55)="",INDEX(Transaksi!$C$2:$C$2001,K55)&amp;" · "&amp;INDEX(Transaksi!$D$2:$D$2001,K55),INDEX(Transaksi!$B$2:$B$2001,K55)),""))</f>
        <v/>
      </c>
      <c r="C55" s="32">
        <f>IF(J55="E",INDEX(Transaksi!$C$2:$C$2001,K55)&amp;"","")</f>
        <v/>
      </c>
      <c r="D55" s="32">
        <f>IF(J55="E",INDEX(Transaksi!$D$2:$D$2001,K55)&amp;"","")</f>
        <v/>
      </c>
      <c r="E55" s="33">
        <f>IF(J55="H",SUMIFS(Transaksi!$G$2:$G$2001,Transaksi!$M$2:$M$2001,"="&amp;S55)+SUMIFS(Transaksi!$H$2:$H$2001,Transaksi!$M$2:$M$2001,"="&amp;S55)+SUMIFS(Transaksi!$I$2:$I$2001,Transaksi!$M$2:$M$2001,"="&amp;S55),IF(J55="E",IF(INDEX(Transaksi!$G$2:$G$2001,K55)+INDEX(Transaksi!$H$2:$H$2001,K55)+INDEX(Transaksi!$I$2:$I$2001,K55)=0,"",INDEX(Transaksi!$G$2:$G$2001,K55)+INDEX(Transaksi!$H$2:$H$2001,K55)+INDEX(Transaksi!$I$2:$I$2001,K55)),""))</f>
        <v/>
      </c>
      <c r="F55" s="33">
        <f>IF(J55="H",SUMIFS(Transaksi!$J$2:$J$2001,Transaksi!$M$2:$M$2001,"="&amp;S55),IF(J55="E",IF(INDEX(Transaksi!$J$2:$J$2001,K55)=0,"",INDEX(Transaksi!$J$2:$J$2001,K55)),""))</f>
        <v/>
      </c>
      <c r="G55" s="33">
        <f>IF(J55="H",(SUMIFS(Transaksi!$G$2:$G$2001,Transaksi!$M$2:$M$2001,"&lt;="&amp;S55)+SUMIFS(Transaksi!$H$2:$H$2001,Transaksi!$M$2:$M$2001,"&lt;="&amp;S55)+SUMIFS(Transaksi!$I$2:$I$2001,Transaksi!$M$2:$M$2001,"&lt;="&amp;S55))-(SUMIFS(Transaksi!$J$2:$J$2001,Transaksi!$M$2:$M$2001,"&lt;="&amp;S55)),"")</f>
        <v/>
      </c>
      <c r="I55">
        <f>IF(52&gt;$O$2,"",MATCH(52,$Q$3:$Q$402,1))</f>
        <v/>
      </c>
      <c r="J55">
        <f>IF(I55="","",IF(52=INDEX($Q$3:$Q$402,I55),"H","E"))</f>
        <v/>
      </c>
      <c r="K55">
        <f>IF(J55&lt;&gt;"E","",MATCH(S55,Transaksi!$M$2:$M$2001,0)+52-INDEX($Q$3:$Q$402,I55)-1)</f>
        <v/>
      </c>
      <c r="N55" t="n">
        <v>53</v>
      </c>
      <c r="O55">
        <f>IF(N55&lt;=$O$1,$O$1-N55+1,"")</f>
        <v/>
      </c>
      <c r="P55">
        <f>IF(O55="",0,COUNTIF(Transaksi!$M$2:$M$2001,O55)+1)</f>
        <v/>
      </c>
      <c r="Q55">
        <f>1+SUM(P$2:P54)</f>
        <v/>
      </c>
      <c r="S55">
        <f>IF(I55="","",INDEX($O$3:$O$402,I55))</f>
        <v/>
      </c>
      <c r="T55">
        <f>IF(J55&lt;&gt;"H","",INDEX(Transaksi!$A$2:$A$2001,MATCH(S55,Transaksi!$M$2:$M$2001,0)))</f>
        <v/>
      </c>
    </row>
    <row r="56">
      <c r="A56" s="31">
        <f>IF(J56="E",IF(INDEX(Transaksi!$J$2:$J$2001,K56)&gt;0,"↑","↓"),"")</f>
        <v/>
      </c>
      <c r="B56" s="32">
        <f>IF(J56="H",CHOOSE(WEEKDAY(T56,2),"Isnin","Selasa","Rabu","Khamis","Jumaat","Sabtu","Ahad")&amp;", "&amp;DAY(T56)&amp;" "&amp;CHOOSE(MONTH(T56),"Jan","Feb","Mac","Apr","Mei","Jun","Jul","Ogo","Sep","Okt","Nov","Dis")&amp;" "&amp;YEAR(T56),IF(J56="E",IF(INDEX(Transaksi!$B$2:$B$2001,K56)="",INDEX(Transaksi!$C$2:$C$2001,K56)&amp;" · "&amp;INDEX(Transaksi!$D$2:$D$2001,K56),INDEX(Transaksi!$B$2:$B$2001,K56)),""))</f>
        <v/>
      </c>
      <c r="C56" s="32">
        <f>IF(J56="E",INDEX(Transaksi!$C$2:$C$2001,K56)&amp;"","")</f>
        <v/>
      </c>
      <c r="D56" s="32">
        <f>IF(J56="E",INDEX(Transaksi!$D$2:$D$2001,K56)&amp;"","")</f>
        <v/>
      </c>
      <c r="E56" s="33">
        <f>IF(J56="H",SUMIFS(Transaksi!$G$2:$G$2001,Transaksi!$M$2:$M$2001,"="&amp;S56)+SUMIFS(Transaksi!$H$2:$H$2001,Transaksi!$M$2:$M$2001,"="&amp;S56)+SUMIFS(Transaksi!$I$2:$I$2001,Transaksi!$M$2:$M$2001,"="&amp;S56),IF(J56="E",IF(INDEX(Transaksi!$G$2:$G$2001,K56)+INDEX(Transaksi!$H$2:$H$2001,K56)+INDEX(Transaksi!$I$2:$I$2001,K56)=0,"",INDEX(Transaksi!$G$2:$G$2001,K56)+INDEX(Transaksi!$H$2:$H$2001,K56)+INDEX(Transaksi!$I$2:$I$2001,K56)),""))</f>
        <v/>
      </c>
      <c r="F56" s="33">
        <f>IF(J56="H",SUMIFS(Transaksi!$J$2:$J$2001,Transaksi!$M$2:$M$2001,"="&amp;S56),IF(J56="E",IF(INDEX(Transaksi!$J$2:$J$2001,K56)=0,"",INDEX(Transaksi!$J$2:$J$2001,K56)),""))</f>
        <v/>
      </c>
      <c r="G56" s="33">
        <f>IF(J56="H",(SUMIFS(Transaksi!$G$2:$G$2001,Transaksi!$M$2:$M$2001,"&lt;="&amp;S56)+SUMIFS(Transaksi!$H$2:$H$2001,Transaksi!$M$2:$M$2001,"&lt;="&amp;S56)+SUMIFS(Transaksi!$I$2:$I$2001,Transaksi!$M$2:$M$2001,"&lt;="&amp;S56))-(SUMIFS(Transaksi!$J$2:$J$2001,Transaksi!$M$2:$M$2001,"&lt;="&amp;S56)),"")</f>
        <v/>
      </c>
      <c r="I56">
        <f>IF(53&gt;$O$2,"",MATCH(53,$Q$3:$Q$402,1))</f>
        <v/>
      </c>
      <c r="J56">
        <f>IF(I56="","",IF(53=INDEX($Q$3:$Q$402,I56),"H","E"))</f>
        <v/>
      </c>
      <c r="K56">
        <f>IF(J56&lt;&gt;"E","",MATCH(S56,Transaksi!$M$2:$M$2001,0)+53-INDEX($Q$3:$Q$402,I56)-1)</f>
        <v/>
      </c>
      <c r="N56" t="n">
        <v>54</v>
      </c>
      <c r="O56">
        <f>IF(N56&lt;=$O$1,$O$1-N56+1,"")</f>
        <v/>
      </c>
      <c r="P56">
        <f>IF(O56="",0,COUNTIF(Transaksi!$M$2:$M$2001,O56)+1)</f>
        <v/>
      </c>
      <c r="Q56">
        <f>1+SUM(P$2:P55)</f>
        <v/>
      </c>
      <c r="S56">
        <f>IF(I56="","",INDEX($O$3:$O$402,I56))</f>
        <v/>
      </c>
      <c r="T56">
        <f>IF(J56&lt;&gt;"H","",INDEX(Transaksi!$A$2:$A$2001,MATCH(S56,Transaksi!$M$2:$M$2001,0)))</f>
        <v/>
      </c>
    </row>
    <row r="57">
      <c r="A57" s="31">
        <f>IF(J57="E",IF(INDEX(Transaksi!$J$2:$J$2001,K57)&gt;0,"↑","↓"),"")</f>
        <v/>
      </c>
      <c r="B57" s="32">
        <f>IF(J57="H",CHOOSE(WEEKDAY(T57,2),"Isnin","Selasa","Rabu","Khamis","Jumaat","Sabtu","Ahad")&amp;", "&amp;DAY(T57)&amp;" "&amp;CHOOSE(MONTH(T57),"Jan","Feb","Mac","Apr","Mei","Jun","Jul","Ogo","Sep","Okt","Nov","Dis")&amp;" "&amp;YEAR(T57),IF(J57="E",IF(INDEX(Transaksi!$B$2:$B$2001,K57)="",INDEX(Transaksi!$C$2:$C$2001,K57)&amp;" · "&amp;INDEX(Transaksi!$D$2:$D$2001,K57),INDEX(Transaksi!$B$2:$B$2001,K57)),""))</f>
        <v/>
      </c>
      <c r="C57" s="32">
        <f>IF(J57="E",INDEX(Transaksi!$C$2:$C$2001,K57)&amp;"","")</f>
        <v/>
      </c>
      <c r="D57" s="32">
        <f>IF(J57="E",INDEX(Transaksi!$D$2:$D$2001,K57)&amp;"","")</f>
        <v/>
      </c>
      <c r="E57" s="33">
        <f>IF(J57="H",SUMIFS(Transaksi!$G$2:$G$2001,Transaksi!$M$2:$M$2001,"="&amp;S57)+SUMIFS(Transaksi!$H$2:$H$2001,Transaksi!$M$2:$M$2001,"="&amp;S57)+SUMIFS(Transaksi!$I$2:$I$2001,Transaksi!$M$2:$M$2001,"="&amp;S57),IF(J57="E",IF(INDEX(Transaksi!$G$2:$G$2001,K57)+INDEX(Transaksi!$H$2:$H$2001,K57)+INDEX(Transaksi!$I$2:$I$2001,K57)=0,"",INDEX(Transaksi!$G$2:$G$2001,K57)+INDEX(Transaksi!$H$2:$H$2001,K57)+INDEX(Transaksi!$I$2:$I$2001,K57)),""))</f>
        <v/>
      </c>
      <c r="F57" s="33">
        <f>IF(J57="H",SUMIFS(Transaksi!$J$2:$J$2001,Transaksi!$M$2:$M$2001,"="&amp;S57),IF(J57="E",IF(INDEX(Transaksi!$J$2:$J$2001,K57)=0,"",INDEX(Transaksi!$J$2:$J$2001,K57)),""))</f>
        <v/>
      </c>
      <c r="G57" s="33">
        <f>IF(J57="H",(SUMIFS(Transaksi!$G$2:$G$2001,Transaksi!$M$2:$M$2001,"&lt;="&amp;S57)+SUMIFS(Transaksi!$H$2:$H$2001,Transaksi!$M$2:$M$2001,"&lt;="&amp;S57)+SUMIFS(Transaksi!$I$2:$I$2001,Transaksi!$M$2:$M$2001,"&lt;="&amp;S57))-(SUMIFS(Transaksi!$J$2:$J$2001,Transaksi!$M$2:$M$2001,"&lt;="&amp;S57)),"")</f>
        <v/>
      </c>
      <c r="I57">
        <f>IF(54&gt;$O$2,"",MATCH(54,$Q$3:$Q$402,1))</f>
        <v/>
      </c>
      <c r="J57">
        <f>IF(I57="","",IF(54=INDEX($Q$3:$Q$402,I57),"H","E"))</f>
        <v/>
      </c>
      <c r="K57">
        <f>IF(J57&lt;&gt;"E","",MATCH(S57,Transaksi!$M$2:$M$2001,0)+54-INDEX($Q$3:$Q$402,I57)-1)</f>
        <v/>
      </c>
      <c r="N57" t="n">
        <v>55</v>
      </c>
      <c r="O57">
        <f>IF(N57&lt;=$O$1,$O$1-N57+1,"")</f>
        <v/>
      </c>
      <c r="P57">
        <f>IF(O57="",0,COUNTIF(Transaksi!$M$2:$M$2001,O57)+1)</f>
        <v/>
      </c>
      <c r="Q57">
        <f>1+SUM(P$2:P56)</f>
        <v/>
      </c>
      <c r="S57">
        <f>IF(I57="","",INDEX($O$3:$O$402,I57))</f>
        <v/>
      </c>
      <c r="T57">
        <f>IF(J57&lt;&gt;"H","",INDEX(Transaksi!$A$2:$A$2001,MATCH(S57,Transaksi!$M$2:$M$2001,0)))</f>
        <v/>
      </c>
    </row>
    <row r="58">
      <c r="A58" s="31">
        <f>IF(J58="E",IF(INDEX(Transaksi!$J$2:$J$2001,K58)&gt;0,"↑","↓"),"")</f>
        <v/>
      </c>
      <c r="B58" s="32">
        <f>IF(J58="H",CHOOSE(WEEKDAY(T58,2),"Isnin","Selasa","Rabu","Khamis","Jumaat","Sabtu","Ahad")&amp;", "&amp;DAY(T58)&amp;" "&amp;CHOOSE(MONTH(T58),"Jan","Feb","Mac","Apr","Mei","Jun","Jul","Ogo","Sep","Okt","Nov","Dis")&amp;" "&amp;YEAR(T58),IF(J58="E",IF(INDEX(Transaksi!$B$2:$B$2001,K58)="",INDEX(Transaksi!$C$2:$C$2001,K58)&amp;" · "&amp;INDEX(Transaksi!$D$2:$D$2001,K58),INDEX(Transaksi!$B$2:$B$2001,K58)),""))</f>
        <v/>
      </c>
      <c r="C58" s="32">
        <f>IF(J58="E",INDEX(Transaksi!$C$2:$C$2001,K58)&amp;"","")</f>
        <v/>
      </c>
      <c r="D58" s="32">
        <f>IF(J58="E",INDEX(Transaksi!$D$2:$D$2001,K58)&amp;"","")</f>
        <v/>
      </c>
      <c r="E58" s="33">
        <f>IF(J58="H",SUMIFS(Transaksi!$G$2:$G$2001,Transaksi!$M$2:$M$2001,"="&amp;S58)+SUMIFS(Transaksi!$H$2:$H$2001,Transaksi!$M$2:$M$2001,"="&amp;S58)+SUMIFS(Transaksi!$I$2:$I$2001,Transaksi!$M$2:$M$2001,"="&amp;S58),IF(J58="E",IF(INDEX(Transaksi!$G$2:$G$2001,K58)+INDEX(Transaksi!$H$2:$H$2001,K58)+INDEX(Transaksi!$I$2:$I$2001,K58)=0,"",INDEX(Transaksi!$G$2:$G$2001,K58)+INDEX(Transaksi!$H$2:$H$2001,K58)+INDEX(Transaksi!$I$2:$I$2001,K58)),""))</f>
        <v/>
      </c>
      <c r="F58" s="33">
        <f>IF(J58="H",SUMIFS(Transaksi!$J$2:$J$2001,Transaksi!$M$2:$M$2001,"="&amp;S58),IF(J58="E",IF(INDEX(Transaksi!$J$2:$J$2001,K58)=0,"",INDEX(Transaksi!$J$2:$J$2001,K58)),""))</f>
        <v/>
      </c>
      <c r="G58" s="33">
        <f>IF(J58="H",(SUMIFS(Transaksi!$G$2:$G$2001,Transaksi!$M$2:$M$2001,"&lt;="&amp;S58)+SUMIFS(Transaksi!$H$2:$H$2001,Transaksi!$M$2:$M$2001,"&lt;="&amp;S58)+SUMIFS(Transaksi!$I$2:$I$2001,Transaksi!$M$2:$M$2001,"&lt;="&amp;S58))-(SUMIFS(Transaksi!$J$2:$J$2001,Transaksi!$M$2:$M$2001,"&lt;="&amp;S58)),"")</f>
        <v/>
      </c>
      <c r="I58">
        <f>IF(55&gt;$O$2,"",MATCH(55,$Q$3:$Q$402,1))</f>
        <v/>
      </c>
      <c r="J58">
        <f>IF(I58="","",IF(55=INDEX($Q$3:$Q$402,I58),"H","E"))</f>
        <v/>
      </c>
      <c r="K58">
        <f>IF(J58&lt;&gt;"E","",MATCH(S58,Transaksi!$M$2:$M$2001,0)+55-INDEX($Q$3:$Q$402,I58)-1)</f>
        <v/>
      </c>
      <c r="N58" t="n">
        <v>56</v>
      </c>
      <c r="O58">
        <f>IF(N58&lt;=$O$1,$O$1-N58+1,"")</f>
        <v/>
      </c>
      <c r="P58">
        <f>IF(O58="",0,COUNTIF(Transaksi!$M$2:$M$2001,O58)+1)</f>
        <v/>
      </c>
      <c r="Q58">
        <f>1+SUM(P$2:P57)</f>
        <v/>
      </c>
      <c r="S58">
        <f>IF(I58="","",INDEX($O$3:$O$402,I58))</f>
        <v/>
      </c>
      <c r="T58">
        <f>IF(J58&lt;&gt;"H","",INDEX(Transaksi!$A$2:$A$2001,MATCH(S58,Transaksi!$M$2:$M$2001,0)))</f>
        <v/>
      </c>
    </row>
    <row r="59">
      <c r="A59" s="31">
        <f>IF(J59="E",IF(INDEX(Transaksi!$J$2:$J$2001,K59)&gt;0,"↑","↓"),"")</f>
        <v/>
      </c>
      <c r="B59" s="32">
        <f>IF(J59="H",CHOOSE(WEEKDAY(T59,2),"Isnin","Selasa","Rabu","Khamis","Jumaat","Sabtu","Ahad")&amp;", "&amp;DAY(T59)&amp;" "&amp;CHOOSE(MONTH(T59),"Jan","Feb","Mac","Apr","Mei","Jun","Jul","Ogo","Sep","Okt","Nov","Dis")&amp;" "&amp;YEAR(T59),IF(J59="E",IF(INDEX(Transaksi!$B$2:$B$2001,K59)="",INDEX(Transaksi!$C$2:$C$2001,K59)&amp;" · "&amp;INDEX(Transaksi!$D$2:$D$2001,K59),INDEX(Transaksi!$B$2:$B$2001,K59)),""))</f>
        <v/>
      </c>
      <c r="C59" s="32">
        <f>IF(J59="E",INDEX(Transaksi!$C$2:$C$2001,K59)&amp;"","")</f>
        <v/>
      </c>
      <c r="D59" s="32">
        <f>IF(J59="E",INDEX(Transaksi!$D$2:$D$2001,K59)&amp;"","")</f>
        <v/>
      </c>
      <c r="E59" s="33">
        <f>IF(J59="H",SUMIFS(Transaksi!$G$2:$G$2001,Transaksi!$M$2:$M$2001,"="&amp;S59)+SUMIFS(Transaksi!$H$2:$H$2001,Transaksi!$M$2:$M$2001,"="&amp;S59)+SUMIFS(Transaksi!$I$2:$I$2001,Transaksi!$M$2:$M$2001,"="&amp;S59),IF(J59="E",IF(INDEX(Transaksi!$G$2:$G$2001,K59)+INDEX(Transaksi!$H$2:$H$2001,K59)+INDEX(Transaksi!$I$2:$I$2001,K59)=0,"",INDEX(Transaksi!$G$2:$G$2001,K59)+INDEX(Transaksi!$H$2:$H$2001,K59)+INDEX(Transaksi!$I$2:$I$2001,K59)),""))</f>
        <v/>
      </c>
      <c r="F59" s="33">
        <f>IF(J59="H",SUMIFS(Transaksi!$J$2:$J$2001,Transaksi!$M$2:$M$2001,"="&amp;S59),IF(J59="E",IF(INDEX(Transaksi!$J$2:$J$2001,K59)=0,"",INDEX(Transaksi!$J$2:$J$2001,K59)),""))</f>
        <v/>
      </c>
      <c r="G59" s="33">
        <f>IF(J59="H",(SUMIFS(Transaksi!$G$2:$G$2001,Transaksi!$M$2:$M$2001,"&lt;="&amp;S59)+SUMIFS(Transaksi!$H$2:$H$2001,Transaksi!$M$2:$M$2001,"&lt;="&amp;S59)+SUMIFS(Transaksi!$I$2:$I$2001,Transaksi!$M$2:$M$2001,"&lt;="&amp;S59))-(SUMIFS(Transaksi!$J$2:$J$2001,Transaksi!$M$2:$M$2001,"&lt;="&amp;S59)),"")</f>
        <v/>
      </c>
      <c r="I59">
        <f>IF(56&gt;$O$2,"",MATCH(56,$Q$3:$Q$402,1))</f>
        <v/>
      </c>
      <c r="J59">
        <f>IF(I59="","",IF(56=INDEX($Q$3:$Q$402,I59),"H","E"))</f>
        <v/>
      </c>
      <c r="K59">
        <f>IF(J59&lt;&gt;"E","",MATCH(S59,Transaksi!$M$2:$M$2001,0)+56-INDEX($Q$3:$Q$402,I59)-1)</f>
        <v/>
      </c>
      <c r="N59" t="n">
        <v>57</v>
      </c>
      <c r="O59">
        <f>IF(N59&lt;=$O$1,$O$1-N59+1,"")</f>
        <v/>
      </c>
      <c r="P59">
        <f>IF(O59="",0,COUNTIF(Transaksi!$M$2:$M$2001,O59)+1)</f>
        <v/>
      </c>
      <c r="Q59">
        <f>1+SUM(P$2:P58)</f>
        <v/>
      </c>
      <c r="S59">
        <f>IF(I59="","",INDEX($O$3:$O$402,I59))</f>
        <v/>
      </c>
      <c r="T59">
        <f>IF(J59&lt;&gt;"H","",INDEX(Transaksi!$A$2:$A$2001,MATCH(S59,Transaksi!$M$2:$M$2001,0)))</f>
        <v/>
      </c>
    </row>
    <row r="60">
      <c r="A60" s="31">
        <f>IF(J60="E",IF(INDEX(Transaksi!$J$2:$J$2001,K60)&gt;0,"↑","↓"),"")</f>
        <v/>
      </c>
      <c r="B60" s="32">
        <f>IF(J60="H",CHOOSE(WEEKDAY(T60,2),"Isnin","Selasa","Rabu","Khamis","Jumaat","Sabtu","Ahad")&amp;", "&amp;DAY(T60)&amp;" "&amp;CHOOSE(MONTH(T60),"Jan","Feb","Mac","Apr","Mei","Jun","Jul","Ogo","Sep","Okt","Nov","Dis")&amp;" "&amp;YEAR(T60),IF(J60="E",IF(INDEX(Transaksi!$B$2:$B$2001,K60)="",INDEX(Transaksi!$C$2:$C$2001,K60)&amp;" · "&amp;INDEX(Transaksi!$D$2:$D$2001,K60),INDEX(Transaksi!$B$2:$B$2001,K60)),""))</f>
        <v/>
      </c>
      <c r="C60" s="32">
        <f>IF(J60="E",INDEX(Transaksi!$C$2:$C$2001,K60)&amp;"","")</f>
        <v/>
      </c>
      <c r="D60" s="32">
        <f>IF(J60="E",INDEX(Transaksi!$D$2:$D$2001,K60)&amp;"","")</f>
        <v/>
      </c>
      <c r="E60" s="33">
        <f>IF(J60="H",SUMIFS(Transaksi!$G$2:$G$2001,Transaksi!$M$2:$M$2001,"="&amp;S60)+SUMIFS(Transaksi!$H$2:$H$2001,Transaksi!$M$2:$M$2001,"="&amp;S60)+SUMIFS(Transaksi!$I$2:$I$2001,Transaksi!$M$2:$M$2001,"="&amp;S60),IF(J60="E",IF(INDEX(Transaksi!$G$2:$G$2001,K60)+INDEX(Transaksi!$H$2:$H$2001,K60)+INDEX(Transaksi!$I$2:$I$2001,K60)=0,"",INDEX(Transaksi!$G$2:$G$2001,K60)+INDEX(Transaksi!$H$2:$H$2001,K60)+INDEX(Transaksi!$I$2:$I$2001,K60)),""))</f>
        <v/>
      </c>
      <c r="F60" s="33">
        <f>IF(J60="H",SUMIFS(Transaksi!$J$2:$J$2001,Transaksi!$M$2:$M$2001,"="&amp;S60),IF(J60="E",IF(INDEX(Transaksi!$J$2:$J$2001,K60)=0,"",INDEX(Transaksi!$J$2:$J$2001,K60)),""))</f>
        <v/>
      </c>
      <c r="G60" s="33">
        <f>IF(J60="H",(SUMIFS(Transaksi!$G$2:$G$2001,Transaksi!$M$2:$M$2001,"&lt;="&amp;S60)+SUMIFS(Transaksi!$H$2:$H$2001,Transaksi!$M$2:$M$2001,"&lt;="&amp;S60)+SUMIFS(Transaksi!$I$2:$I$2001,Transaksi!$M$2:$M$2001,"&lt;="&amp;S60))-(SUMIFS(Transaksi!$J$2:$J$2001,Transaksi!$M$2:$M$2001,"&lt;="&amp;S60)),"")</f>
        <v/>
      </c>
      <c r="I60">
        <f>IF(57&gt;$O$2,"",MATCH(57,$Q$3:$Q$402,1))</f>
        <v/>
      </c>
      <c r="J60">
        <f>IF(I60="","",IF(57=INDEX($Q$3:$Q$402,I60),"H","E"))</f>
        <v/>
      </c>
      <c r="K60">
        <f>IF(J60&lt;&gt;"E","",MATCH(S60,Transaksi!$M$2:$M$2001,0)+57-INDEX($Q$3:$Q$402,I60)-1)</f>
        <v/>
      </c>
      <c r="N60" t="n">
        <v>58</v>
      </c>
      <c r="O60">
        <f>IF(N60&lt;=$O$1,$O$1-N60+1,"")</f>
        <v/>
      </c>
      <c r="P60">
        <f>IF(O60="",0,COUNTIF(Transaksi!$M$2:$M$2001,O60)+1)</f>
        <v/>
      </c>
      <c r="Q60">
        <f>1+SUM(P$2:P59)</f>
        <v/>
      </c>
      <c r="S60">
        <f>IF(I60="","",INDEX($O$3:$O$402,I60))</f>
        <v/>
      </c>
      <c r="T60">
        <f>IF(J60&lt;&gt;"H","",INDEX(Transaksi!$A$2:$A$2001,MATCH(S60,Transaksi!$M$2:$M$2001,0)))</f>
        <v/>
      </c>
    </row>
    <row r="61">
      <c r="A61" s="31">
        <f>IF(J61="E",IF(INDEX(Transaksi!$J$2:$J$2001,K61)&gt;0,"↑","↓"),"")</f>
        <v/>
      </c>
      <c r="B61" s="32">
        <f>IF(J61="H",CHOOSE(WEEKDAY(T61,2),"Isnin","Selasa","Rabu","Khamis","Jumaat","Sabtu","Ahad")&amp;", "&amp;DAY(T61)&amp;" "&amp;CHOOSE(MONTH(T61),"Jan","Feb","Mac","Apr","Mei","Jun","Jul","Ogo","Sep","Okt","Nov","Dis")&amp;" "&amp;YEAR(T61),IF(J61="E",IF(INDEX(Transaksi!$B$2:$B$2001,K61)="",INDEX(Transaksi!$C$2:$C$2001,K61)&amp;" · "&amp;INDEX(Transaksi!$D$2:$D$2001,K61),INDEX(Transaksi!$B$2:$B$2001,K61)),""))</f>
        <v/>
      </c>
      <c r="C61" s="32">
        <f>IF(J61="E",INDEX(Transaksi!$C$2:$C$2001,K61)&amp;"","")</f>
        <v/>
      </c>
      <c r="D61" s="32">
        <f>IF(J61="E",INDEX(Transaksi!$D$2:$D$2001,K61)&amp;"","")</f>
        <v/>
      </c>
      <c r="E61" s="33">
        <f>IF(J61="H",SUMIFS(Transaksi!$G$2:$G$2001,Transaksi!$M$2:$M$2001,"="&amp;S61)+SUMIFS(Transaksi!$H$2:$H$2001,Transaksi!$M$2:$M$2001,"="&amp;S61)+SUMIFS(Transaksi!$I$2:$I$2001,Transaksi!$M$2:$M$2001,"="&amp;S61),IF(J61="E",IF(INDEX(Transaksi!$G$2:$G$2001,K61)+INDEX(Transaksi!$H$2:$H$2001,K61)+INDEX(Transaksi!$I$2:$I$2001,K61)=0,"",INDEX(Transaksi!$G$2:$G$2001,K61)+INDEX(Transaksi!$H$2:$H$2001,K61)+INDEX(Transaksi!$I$2:$I$2001,K61)),""))</f>
        <v/>
      </c>
      <c r="F61" s="33">
        <f>IF(J61="H",SUMIFS(Transaksi!$J$2:$J$2001,Transaksi!$M$2:$M$2001,"="&amp;S61),IF(J61="E",IF(INDEX(Transaksi!$J$2:$J$2001,K61)=0,"",INDEX(Transaksi!$J$2:$J$2001,K61)),""))</f>
        <v/>
      </c>
      <c r="G61" s="33">
        <f>IF(J61="H",(SUMIFS(Transaksi!$G$2:$G$2001,Transaksi!$M$2:$M$2001,"&lt;="&amp;S61)+SUMIFS(Transaksi!$H$2:$H$2001,Transaksi!$M$2:$M$2001,"&lt;="&amp;S61)+SUMIFS(Transaksi!$I$2:$I$2001,Transaksi!$M$2:$M$2001,"&lt;="&amp;S61))-(SUMIFS(Transaksi!$J$2:$J$2001,Transaksi!$M$2:$M$2001,"&lt;="&amp;S61)),"")</f>
        <v/>
      </c>
      <c r="I61">
        <f>IF(58&gt;$O$2,"",MATCH(58,$Q$3:$Q$402,1))</f>
        <v/>
      </c>
      <c r="J61">
        <f>IF(I61="","",IF(58=INDEX($Q$3:$Q$402,I61),"H","E"))</f>
        <v/>
      </c>
      <c r="K61">
        <f>IF(J61&lt;&gt;"E","",MATCH(S61,Transaksi!$M$2:$M$2001,0)+58-INDEX($Q$3:$Q$402,I61)-1)</f>
        <v/>
      </c>
      <c r="N61" t="n">
        <v>59</v>
      </c>
      <c r="O61">
        <f>IF(N61&lt;=$O$1,$O$1-N61+1,"")</f>
        <v/>
      </c>
      <c r="P61">
        <f>IF(O61="",0,COUNTIF(Transaksi!$M$2:$M$2001,O61)+1)</f>
        <v/>
      </c>
      <c r="Q61">
        <f>1+SUM(P$2:P60)</f>
        <v/>
      </c>
      <c r="S61">
        <f>IF(I61="","",INDEX($O$3:$O$402,I61))</f>
        <v/>
      </c>
      <c r="T61">
        <f>IF(J61&lt;&gt;"H","",INDEX(Transaksi!$A$2:$A$2001,MATCH(S61,Transaksi!$M$2:$M$2001,0)))</f>
        <v/>
      </c>
    </row>
    <row r="62">
      <c r="A62" s="31">
        <f>IF(J62="E",IF(INDEX(Transaksi!$J$2:$J$2001,K62)&gt;0,"↑","↓"),"")</f>
        <v/>
      </c>
      <c r="B62" s="32">
        <f>IF(J62="H",CHOOSE(WEEKDAY(T62,2),"Isnin","Selasa","Rabu","Khamis","Jumaat","Sabtu","Ahad")&amp;", "&amp;DAY(T62)&amp;" "&amp;CHOOSE(MONTH(T62),"Jan","Feb","Mac","Apr","Mei","Jun","Jul","Ogo","Sep","Okt","Nov","Dis")&amp;" "&amp;YEAR(T62),IF(J62="E",IF(INDEX(Transaksi!$B$2:$B$2001,K62)="",INDEX(Transaksi!$C$2:$C$2001,K62)&amp;" · "&amp;INDEX(Transaksi!$D$2:$D$2001,K62),INDEX(Transaksi!$B$2:$B$2001,K62)),""))</f>
        <v/>
      </c>
      <c r="C62" s="32">
        <f>IF(J62="E",INDEX(Transaksi!$C$2:$C$2001,K62)&amp;"","")</f>
        <v/>
      </c>
      <c r="D62" s="32">
        <f>IF(J62="E",INDEX(Transaksi!$D$2:$D$2001,K62)&amp;"","")</f>
        <v/>
      </c>
      <c r="E62" s="33">
        <f>IF(J62="H",SUMIFS(Transaksi!$G$2:$G$2001,Transaksi!$M$2:$M$2001,"="&amp;S62)+SUMIFS(Transaksi!$H$2:$H$2001,Transaksi!$M$2:$M$2001,"="&amp;S62)+SUMIFS(Transaksi!$I$2:$I$2001,Transaksi!$M$2:$M$2001,"="&amp;S62),IF(J62="E",IF(INDEX(Transaksi!$G$2:$G$2001,K62)+INDEX(Transaksi!$H$2:$H$2001,K62)+INDEX(Transaksi!$I$2:$I$2001,K62)=0,"",INDEX(Transaksi!$G$2:$G$2001,K62)+INDEX(Transaksi!$H$2:$H$2001,K62)+INDEX(Transaksi!$I$2:$I$2001,K62)),""))</f>
        <v/>
      </c>
      <c r="F62" s="33">
        <f>IF(J62="H",SUMIFS(Transaksi!$J$2:$J$2001,Transaksi!$M$2:$M$2001,"="&amp;S62),IF(J62="E",IF(INDEX(Transaksi!$J$2:$J$2001,K62)=0,"",INDEX(Transaksi!$J$2:$J$2001,K62)),""))</f>
        <v/>
      </c>
      <c r="G62" s="33">
        <f>IF(J62="H",(SUMIFS(Transaksi!$G$2:$G$2001,Transaksi!$M$2:$M$2001,"&lt;="&amp;S62)+SUMIFS(Transaksi!$H$2:$H$2001,Transaksi!$M$2:$M$2001,"&lt;="&amp;S62)+SUMIFS(Transaksi!$I$2:$I$2001,Transaksi!$M$2:$M$2001,"&lt;="&amp;S62))-(SUMIFS(Transaksi!$J$2:$J$2001,Transaksi!$M$2:$M$2001,"&lt;="&amp;S62)),"")</f>
        <v/>
      </c>
      <c r="I62">
        <f>IF(59&gt;$O$2,"",MATCH(59,$Q$3:$Q$402,1))</f>
        <v/>
      </c>
      <c r="J62">
        <f>IF(I62="","",IF(59=INDEX($Q$3:$Q$402,I62),"H","E"))</f>
        <v/>
      </c>
      <c r="K62">
        <f>IF(J62&lt;&gt;"E","",MATCH(S62,Transaksi!$M$2:$M$2001,0)+59-INDEX($Q$3:$Q$402,I62)-1)</f>
        <v/>
      </c>
      <c r="N62" t="n">
        <v>60</v>
      </c>
      <c r="O62">
        <f>IF(N62&lt;=$O$1,$O$1-N62+1,"")</f>
        <v/>
      </c>
      <c r="P62">
        <f>IF(O62="",0,COUNTIF(Transaksi!$M$2:$M$2001,O62)+1)</f>
        <v/>
      </c>
      <c r="Q62">
        <f>1+SUM(P$2:P61)</f>
        <v/>
      </c>
      <c r="S62">
        <f>IF(I62="","",INDEX($O$3:$O$402,I62))</f>
        <v/>
      </c>
      <c r="T62">
        <f>IF(J62&lt;&gt;"H","",INDEX(Transaksi!$A$2:$A$2001,MATCH(S62,Transaksi!$M$2:$M$2001,0)))</f>
        <v/>
      </c>
    </row>
    <row r="63">
      <c r="A63" s="31">
        <f>IF(J63="E",IF(INDEX(Transaksi!$J$2:$J$2001,K63)&gt;0,"↑","↓"),"")</f>
        <v/>
      </c>
      <c r="B63" s="32">
        <f>IF(J63="H",CHOOSE(WEEKDAY(T63,2),"Isnin","Selasa","Rabu","Khamis","Jumaat","Sabtu","Ahad")&amp;", "&amp;DAY(T63)&amp;" "&amp;CHOOSE(MONTH(T63),"Jan","Feb","Mac","Apr","Mei","Jun","Jul","Ogo","Sep","Okt","Nov","Dis")&amp;" "&amp;YEAR(T63),IF(J63="E",IF(INDEX(Transaksi!$B$2:$B$2001,K63)="",INDEX(Transaksi!$C$2:$C$2001,K63)&amp;" · "&amp;INDEX(Transaksi!$D$2:$D$2001,K63),INDEX(Transaksi!$B$2:$B$2001,K63)),""))</f>
        <v/>
      </c>
      <c r="C63" s="32">
        <f>IF(J63="E",INDEX(Transaksi!$C$2:$C$2001,K63)&amp;"","")</f>
        <v/>
      </c>
      <c r="D63" s="32">
        <f>IF(J63="E",INDEX(Transaksi!$D$2:$D$2001,K63)&amp;"","")</f>
        <v/>
      </c>
      <c r="E63" s="33">
        <f>IF(J63="H",SUMIFS(Transaksi!$G$2:$G$2001,Transaksi!$M$2:$M$2001,"="&amp;S63)+SUMIFS(Transaksi!$H$2:$H$2001,Transaksi!$M$2:$M$2001,"="&amp;S63)+SUMIFS(Transaksi!$I$2:$I$2001,Transaksi!$M$2:$M$2001,"="&amp;S63),IF(J63="E",IF(INDEX(Transaksi!$G$2:$G$2001,K63)+INDEX(Transaksi!$H$2:$H$2001,K63)+INDEX(Transaksi!$I$2:$I$2001,K63)=0,"",INDEX(Transaksi!$G$2:$G$2001,K63)+INDEX(Transaksi!$H$2:$H$2001,K63)+INDEX(Transaksi!$I$2:$I$2001,K63)),""))</f>
        <v/>
      </c>
      <c r="F63" s="33">
        <f>IF(J63="H",SUMIFS(Transaksi!$J$2:$J$2001,Transaksi!$M$2:$M$2001,"="&amp;S63),IF(J63="E",IF(INDEX(Transaksi!$J$2:$J$2001,K63)=0,"",INDEX(Transaksi!$J$2:$J$2001,K63)),""))</f>
        <v/>
      </c>
      <c r="G63" s="33">
        <f>IF(J63="H",(SUMIFS(Transaksi!$G$2:$G$2001,Transaksi!$M$2:$M$2001,"&lt;="&amp;S63)+SUMIFS(Transaksi!$H$2:$H$2001,Transaksi!$M$2:$M$2001,"&lt;="&amp;S63)+SUMIFS(Transaksi!$I$2:$I$2001,Transaksi!$M$2:$M$2001,"&lt;="&amp;S63))-(SUMIFS(Transaksi!$J$2:$J$2001,Transaksi!$M$2:$M$2001,"&lt;="&amp;S63)),"")</f>
        <v/>
      </c>
      <c r="I63">
        <f>IF(60&gt;$O$2,"",MATCH(60,$Q$3:$Q$402,1))</f>
        <v/>
      </c>
      <c r="J63">
        <f>IF(I63="","",IF(60=INDEX($Q$3:$Q$402,I63),"H","E"))</f>
        <v/>
      </c>
      <c r="K63">
        <f>IF(J63&lt;&gt;"E","",MATCH(S63,Transaksi!$M$2:$M$2001,0)+60-INDEX($Q$3:$Q$402,I63)-1)</f>
        <v/>
      </c>
      <c r="N63" t="n">
        <v>61</v>
      </c>
      <c r="O63">
        <f>IF(N63&lt;=$O$1,$O$1-N63+1,"")</f>
        <v/>
      </c>
      <c r="P63">
        <f>IF(O63="",0,COUNTIF(Transaksi!$M$2:$M$2001,O63)+1)</f>
        <v/>
      </c>
      <c r="Q63">
        <f>1+SUM(P$2:P62)</f>
        <v/>
      </c>
      <c r="S63">
        <f>IF(I63="","",INDEX($O$3:$O$402,I63))</f>
        <v/>
      </c>
      <c r="T63">
        <f>IF(J63&lt;&gt;"H","",INDEX(Transaksi!$A$2:$A$2001,MATCH(S63,Transaksi!$M$2:$M$2001,0)))</f>
        <v/>
      </c>
    </row>
    <row r="64">
      <c r="A64" s="31">
        <f>IF(J64="E",IF(INDEX(Transaksi!$J$2:$J$2001,K64)&gt;0,"↑","↓"),"")</f>
        <v/>
      </c>
      <c r="B64" s="32">
        <f>IF(J64="H",CHOOSE(WEEKDAY(T64,2),"Isnin","Selasa","Rabu","Khamis","Jumaat","Sabtu","Ahad")&amp;", "&amp;DAY(T64)&amp;" "&amp;CHOOSE(MONTH(T64),"Jan","Feb","Mac","Apr","Mei","Jun","Jul","Ogo","Sep","Okt","Nov","Dis")&amp;" "&amp;YEAR(T64),IF(J64="E",IF(INDEX(Transaksi!$B$2:$B$2001,K64)="",INDEX(Transaksi!$C$2:$C$2001,K64)&amp;" · "&amp;INDEX(Transaksi!$D$2:$D$2001,K64),INDEX(Transaksi!$B$2:$B$2001,K64)),""))</f>
        <v/>
      </c>
      <c r="C64" s="32">
        <f>IF(J64="E",INDEX(Transaksi!$C$2:$C$2001,K64)&amp;"","")</f>
        <v/>
      </c>
      <c r="D64" s="32">
        <f>IF(J64="E",INDEX(Transaksi!$D$2:$D$2001,K64)&amp;"","")</f>
        <v/>
      </c>
      <c r="E64" s="33">
        <f>IF(J64="H",SUMIFS(Transaksi!$G$2:$G$2001,Transaksi!$M$2:$M$2001,"="&amp;S64)+SUMIFS(Transaksi!$H$2:$H$2001,Transaksi!$M$2:$M$2001,"="&amp;S64)+SUMIFS(Transaksi!$I$2:$I$2001,Transaksi!$M$2:$M$2001,"="&amp;S64),IF(J64="E",IF(INDEX(Transaksi!$G$2:$G$2001,K64)+INDEX(Transaksi!$H$2:$H$2001,K64)+INDEX(Transaksi!$I$2:$I$2001,K64)=0,"",INDEX(Transaksi!$G$2:$G$2001,K64)+INDEX(Transaksi!$H$2:$H$2001,K64)+INDEX(Transaksi!$I$2:$I$2001,K64)),""))</f>
        <v/>
      </c>
      <c r="F64" s="33">
        <f>IF(J64="H",SUMIFS(Transaksi!$J$2:$J$2001,Transaksi!$M$2:$M$2001,"="&amp;S64),IF(J64="E",IF(INDEX(Transaksi!$J$2:$J$2001,K64)=0,"",INDEX(Transaksi!$J$2:$J$2001,K64)),""))</f>
        <v/>
      </c>
      <c r="G64" s="33">
        <f>IF(J64="H",(SUMIFS(Transaksi!$G$2:$G$2001,Transaksi!$M$2:$M$2001,"&lt;="&amp;S64)+SUMIFS(Transaksi!$H$2:$H$2001,Transaksi!$M$2:$M$2001,"&lt;="&amp;S64)+SUMIFS(Transaksi!$I$2:$I$2001,Transaksi!$M$2:$M$2001,"&lt;="&amp;S64))-(SUMIFS(Transaksi!$J$2:$J$2001,Transaksi!$M$2:$M$2001,"&lt;="&amp;S64)),"")</f>
        <v/>
      </c>
      <c r="I64">
        <f>IF(61&gt;$O$2,"",MATCH(61,$Q$3:$Q$402,1))</f>
        <v/>
      </c>
      <c r="J64">
        <f>IF(I64="","",IF(61=INDEX($Q$3:$Q$402,I64),"H","E"))</f>
        <v/>
      </c>
      <c r="K64">
        <f>IF(J64&lt;&gt;"E","",MATCH(S64,Transaksi!$M$2:$M$2001,0)+61-INDEX($Q$3:$Q$402,I64)-1)</f>
        <v/>
      </c>
      <c r="N64" t="n">
        <v>62</v>
      </c>
      <c r="O64">
        <f>IF(N64&lt;=$O$1,$O$1-N64+1,"")</f>
        <v/>
      </c>
      <c r="P64">
        <f>IF(O64="",0,COUNTIF(Transaksi!$M$2:$M$2001,O64)+1)</f>
        <v/>
      </c>
      <c r="Q64">
        <f>1+SUM(P$2:P63)</f>
        <v/>
      </c>
      <c r="S64">
        <f>IF(I64="","",INDEX($O$3:$O$402,I64))</f>
        <v/>
      </c>
      <c r="T64">
        <f>IF(J64&lt;&gt;"H","",INDEX(Transaksi!$A$2:$A$2001,MATCH(S64,Transaksi!$M$2:$M$2001,0)))</f>
        <v/>
      </c>
    </row>
    <row r="65">
      <c r="A65" s="31">
        <f>IF(J65="E",IF(INDEX(Transaksi!$J$2:$J$2001,K65)&gt;0,"↑","↓"),"")</f>
        <v/>
      </c>
      <c r="B65" s="32">
        <f>IF(J65="H",CHOOSE(WEEKDAY(T65,2),"Isnin","Selasa","Rabu","Khamis","Jumaat","Sabtu","Ahad")&amp;", "&amp;DAY(T65)&amp;" "&amp;CHOOSE(MONTH(T65),"Jan","Feb","Mac","Apr","Mei","Jun","Jul","Ogo","Sep","Okt","Nov","Dis")&amp;" "&amp;YEAR(T65),IF(J65="E",IF(INDEX(Transaksi!$B$2:$B$2001,K65)="",INDEX(Transaksi!$C$2:$C$2001,K65)&amp;" · "&amp;INDEX(Transaksi!$D$2:$D$2001,K65),INDEX(Transaksi!$B$2:$B$2001,K65)),""))</f>
        <v/>
      </c>
      <c r="C65" s="32">
        <f>IF(J65="E",INDEX(Transaksi!$C$2:$C$2001,K65)&amp;"","")</f>
        <v/>
      </c>
      <c r="D65" s="32">
        <f>IF(J65="E",INDEX(Transaksi!$D$2:$D$2001,K65)&amp;"","")</f>
        <v/>
      </c>
      <c r="E65" s="33">
        <f>IF(J65="H",SUMIFS(Transaksi!$G$2:$G$2001,Transaksi!$M$2:$M$2001,"="&amp;S65)+SUMIFS(Transaksi!$H$2:$H$2001,Transaksi!$M$2:$M$2001,"="&amp;S65)+SUMIFS(Transaksi!$I$2:$I$2001,Transaksi!$M$2:$M$2001,"="&amp;S65),IF(J65="E",IF(INDEX(Transaksi!$G$2:$G$2001,K65)+INDEX(Transaksi!$H$2:$H$2001,K65)+INDEX(Transaksi!$I$2:$I$2001,K65)=0,"",INDEX(Transaksi!$G$2:$G$2001,K65)+INDEX(Transaksi!$H$2:$H$2001,K65)+INDEX(Transaksi!$I$2:$I$2001,K65)),""))</f>
        <v/>
      </c>
      <c r="F65" s="33">
        <f>IF(J65="H",SUMIFS(Transaksi!$J$2:$J$2001,Transaksi!$M$2:$M$2001,"="&amp;S65),IF(J65="E",IF(INDEX(Transaksi!$J$2:$J$2001,K65)=0,"",INDEX(Transaksi!$J$2:$J$2001,K65)),""))</f>
        <v/>
      </c>
      <c r="G65" s="33">
        <f>IF(J65="H",(SUMIFS(Transaksi!$G$2:$G$2001,Transaksi!$M$2:$M$2001,"&lt;="&amp;S65)+SUMIFS(Transaksi!$H$2:$H$2001,Transaksi!$M$2:$M$2001,"&lt;="&amp;S65)+SUMIFS(Transaksi!$I$2:$I$2001,Transaksi!$M$2:$M$2001,"&lt;="&amp;S65))-(SUMIFS(Transaksi!$J$2:$J$2001,Transaksi!$M$2:$M$2001,"&lt;="&amp;S65)),"")</f>
        <v/>
      </c>
      <c r="I65">
        <f>IF(62&gt;$O$2,"",MATCH(62,$Q$3:$Q$402,1))</f>
        <v/>
      </c>
      <c r="J65">
        <f>IF(I65="","",IF(62=INDEX($Q$3:$Q$402,I65),"H","E"))</f>
        <v/>
      </c>
      <c r="K65">
        <f>IF(J65&lt;&gt;"E","",MATCH(S65,Transaksi!$M$2:$M$2001,0)+62-INDEX($Q$3:$Q$402,I65)-1)</f>
        <v/>
      </c>
      <c r="N65" t="n">
        <v>63</v>
      </c>
      <c r="O65">
        <f>IF(N65&lt;=$O$1,$O$1-N65+1,"")</f>
        <v/>
      </c>
      <c r="P65">
        <f>IF(O65="",0,COUNTIF(Transaksi!$M$2:$M$2001,O65)+1)</f>
        <v/>
      </c>
      <c r="Q65">
        <f>1+SUM(P$2:P64)</f>
        <v/>
      </c>
      <c r="S65">
        <f>IF(I65="","",INDEX($O$3:$O$402,I65))</f>
        <v/>
      </c>
      <c r="T65">
        <f>IF(J65&lt;&gt;"H","",INDEX(Transaksi!$A$2:$A$2001,MATCH(S65,Transaksi!$M$2:$M$2001,0)))</f>
        <v/>
      </c>
    </row>
    <row r="66">
      <c r="A66" s="31">
        <f>IF(J66="E",IF(INDEX(Transaksi!$J$2:$J$2001,K66)&gt;0,"↑","↓"),"")</f>
        <v/>
      </c>
      <c r="B66" s="32">
        <f>IF(J66="H",CHOOSE(WEEKDAY(T66,2),"Isnin","Selasa","Rabu","Khamis","Jumaat","Sabtu","Ahad")&amp;", "&amp;DAY(T66)&amp;" "&amp;CHOOSE(MONTH(T66),"Jan","Feb","Mac","Apr","Mei","Jun","Jul","Ogo","Sep","Okt","Nov","Dis")&amp;" "&amp;YEAR(T66),IF(J66="E",IF(INDEX(Transaksi!$B$2:$B$2001,K66)="",INDEX(Transaksi!$C$2:$C$2001,K66)&amp;" · "&amp;INDEX(Transaksi!$D$2:$D$2001,K66),INDEX(Transaksi!$B$2:$B$2001,K66)),""))</f>
        <v/>
      </c>
      <c r="C66" s="32">
        <f>IF(J66="E",INDEX(Transaksi!$C$2:$C$2001,K66)&amp;"","")</f>
        <v/>
      </c>
      <c r="D66" s="32">
        <f>IF(J66="E",INDEX(Transaksi!$D$2:$D$2001,K66)&amp;"","")</f>
        <v/>
      </c>
      <c r="E66" s="33">
        <f>IF(J66="H",SUMIFS(Transaksi!$G$2:$G$2001,Transaksi!$M$2:$M$2001,"="&amp;S66)+SUMIFS(Transaksi!$H$2:$H$2001,Transaksi!$M$2:$M$2001,"="&amp;S66)+SUMIFS(Transaksi!$I$2:$I$2001,Transaksi!$M$2:$M$2001,"="&amp;S66),IF(J66="E",IF(INDEX(Transaksi!$G$2:$G$2001,K66)+INDEX(Transaksi!$H$2:$H$2001,K66)+INDEX(Transaksi!$I$2:$I$2001,K66)=0,"",INDEX(Transaksi!$G$2:$G$2001,K66)+INDEX(Transaksi!$H$2:$H$2001,K66)+INDEX(Transaksi!$I$2:$I$2001,K66)),""))</f>
        <v/>
      </c>
      <c r="F66" s="33">
        <f>IF(J66="H",SUMIFS(Transaksi!$J$2:$J$2001,Transaksi!$M$2:$M$2001,"="&amp;S66),IF(J66="E",IF(INDEX(Transaksi!$J$2:$J$2001,K66)=0,"",INDEX(Transaksi!$J$2:$J$2001,K66)),""))</f>
        <v/>
      </c>
      <c r="G66" s="33">
        <f>IF(J66="H",(SUMIFS(Transaksi!$G$2:$G$2001,Transaksi!$M$2:$M$2001,"&lt;="&amp;S66)+SUMIFS(Transaksi!$H$2:$H$2001,Transaksi!$M$2:$M$2001,"&lt;="&amp;S66)+SUMIFS(Transaksi!$I$2:$I$2001,Transaksi!$M$2:$M$2001,"&lt;="&amp;S66))-(SUMIFS(Transaksi!$J$2:$J$2001,Transaksi!$M$2:$M$2001,"&lt;="&amp;S66)),"")</f>
        <v/>
      </c>
      <c r="I66">
        <f>IF(63&gt;$O$2,"",MATCH(63,$Q$3:$Q$402,1))</f>
        <v/>
      </c>
      <c r="J66">
        <f>IF(I66="","",IF(63=INDEX($Q$3:$Q$402,I66),"H","E"))</f>
        <v/>
      </c>
      <c r="K66">
        <f>IF(J66&lt;&gt;"E","",MATCH(S66,Transaksi!$M$2:$M$2001,0)+63-INDEX($Q$3:$Q$402,I66)-1)</f>
        <v/>
      </c>
      <c r="N66" t="n">
        <v>64</v>
      </c>
      <c r="O66">
        <f>IF(N66&lt;=$O$1,$O$1-N66+1,"")</f>
        <v/>
      </c>
      <c r="P66">
        <f>IF(O66="",0,COUNTIF(Transaksi!$M$2:$M$2001,O66)+1)</f>
        <v/>
      </c>
      <c r="Q66">
        <f>1+SUM(P$2:P65)</f>
        <v/>
      </c>
      <c r="S66">
        <f>IF(I66="","",INDEX($O$3:$O$402,I66))</f>
        <v/>
      </c>
      <c r="T66">
        <f>IF(J66&lt;&gt;"H","",INDEX(Transaksi!$A$2:$A$2001,MATCH(S66,Transaksi!$M$2:$M$2001,0)))</f>
        <v/>
      </c>
    </row>
    <row r="67">
      <c r="A67" s="31">
        <f>IF(J67="E",IF(INDEX(Transaksi!$J$2:$J$2001,K67)&gt;0,"↑","↓"),"")</f>
        <v/>
      </c>
      <c r="B67" s="32">
        <f>IF(J67="H",CHOOSE(WEEKDAY(T67,2),"Isnin","Selasa","Rabu","Khamis","Jumaat","Sabtu","Ahad")&amp;", "&amp;DAY(T67)&amp;" "&amp;CHOOSE(MONTH(T67),"Jan","Feb","Mac","Apr","Mei","Jun","Jul","Ogo","Sep","Okt","Nov","Dis")&amp;" "&amp;YEAR(T67),IF(J67="E",IF(INDEX(Transaksi!$B$2:$B$2001,K67)="",INDEX(Transaksi!$C$2:$C$2001,K67)&amp;" · "&amp;INDEX(Transaksi!$D$2:$D$2001,K67),INDEX(Transaksi!$B$2:$B$2001,K67)),""))</f>
        <v/>
      </c>
      <c r="C67" s="32">
        <f>IF(J67="E",INDEX(Transaksi!$C$2:$C$2001,K67)&amp;"","")</f>
        <v/>
      </c>
      <c r="D67" s="32">
        <f>IF(J67="E",INDEX(Transaksi!$D$2:$D$2001,K67)&amp;"","")</f>
        <v/>
      </c>
      <c r="E67" s="33">
        <f>IF(J67="H",SUMIFS(Transaksi!$G$2:$G$2001,Transaksi!$M$2:$M$2001,"="&amp;S67)+SUMIFS(Transaksi!$H$2:$H$2001,Transaksi!$M$2:$M$2001,"="&amp;S67)+SUMIFS(Transaksi!$I$2:$I$2001,Transaksi!$M$2:$M$2001,"="&amp;S67),IF(J67="E",IF(INDEX(Transaksi!$G$2:$G$2001,K67)+INDEX(Transaksi!$H$2:$H$2001,K67)+INDEX(Transaksi!$I$2:$I$2001,K67)=0,"",INDEX(Transaksi!$G$2:$G$2001,K67)+INDEX(Transaksi!$H$2:$H$2001,K67)+INDEX(Transaksi!$I$2:$I$2001,K67)),""))</f>
        <v/>
      </c>
      <c r="F67" s="33">
        <f>IF(J67="H",SUMIFS(Transaksi!$J$2:$J$2001,Transaksi!$M$2:$M$2001,"="&amp;S67),IF(J67="E",IF(INDEX(Transaksi!$J$2:$J$2001,K67)=0,"",INDEX(Transaksi!$J$2:$J$2001,K67)),""))</f>
        <v/>
      </c>
      <c r="G67" s="33">
        <f>IF(J67="H",(SUMIFS(Transaksi!$G$2:$G$2001,Transaksi!$M$2:$M$2001,"&lt;="&amp;S67)+SUMIFS(Transaksi!$H$2:$H$2001,Transaksi!$M$2:$M$2001,"&lt;="&amp;S67)+SUMIFS(Transaksi!$I$2:$I$2001,Transaksi!$M$2:$M$2001,"&lt;="&amp;S67))-(SUMIFS(Transaksi!$J$2:$J$2001,Transaksi!$M$2:$M$2001,"&lt;="&amp;S67)),"")</f>
        <v/>
      </c>
      <c r="I67">
        <f>IF(64&gt;$O$2,"",MATCH(64,$Q$3:$Q$402,1))</f>
        <v/>
      </c>
      <c r="J67">
        <f>IF(I67="","",IF(64=INDEX($Q$3:$Q$402,I67),"H","E"))</f>
        <v/>
      </c>
      <c r="K67">
        <f>IF(J67&lt;&gt;"E","",MATCH(S67,Transaksi!$M$2:$M$2001,0)+64-INDEX($Q$3:$Q$402,I67)-1)</f>
        <v/>
      </c>
      <c r="N67" t="n">
        <v>65</v>
      </c>
      <c r="O67">
        <f>IF(N67&lt;=$O$1,$O$1-N67+1,"")</f>
        <v/>
      </c>
      <c r="P67">
        <f>IF(O67="",0,COUNTIF(Transaksi!$M$2:$M$2001,O67)+1)</f>
        <v/>
      </c>
      <c r="Q67">
        <f>1+SUM(P$2:P66)</f>
        <v/>
      </c>
      <c r="S67">
        <f>IF(I67="","",INDEX($O$3:$O$402,I67))</f>
        <v/>
      </c>
      <c r="T67">
        <f>IF(J67&lt;&gt;"H","",INDEX(Transaksi!$A$2:$A$2001,MATCH(S67,Transaksi!$M$2:$M$2001,0)))</f>
        <v/>
      </c>
    </row>
    <row r="68">
      <c r="A68" s="31">
        <f>IF(J68="E",IF(INDEX(Transaksi!$J$2:$J$2001,K68)&gt;0,"↑","↓"),"")</f>
        <v/>
      </c>
      <c r="B68" s="32">
        <f>IF(J68="H",CHOOSE(WEEKDAY(T68,2),"Isnin","Selasa","Rabu","Khamis","Jumaat","Sabtu","Ahad")&amp;", "&amp;DAY(T68)&amp;" "&amp;CHOOSE(MONTH(T68),"Jan","Feb","Mac","Apr","Mei","Jun","Jul","Ogo","Sep","Okt","Nov","Dis")&amp;" "&amp;YEAR(T68),IF(J68="E",IF(INDEX(Transaksi!$B$2:$B$2001,K68)="",INDEX(Transaksi!$C$2:$C$2001,K68)&amp;" · "&amp;INDEX(Transaksi!$D$2:$D$2001,K68),INDEX(Transaksi!$B$2:$B$2001,K68)),""))</f>
        <v/>
      </c>
      <c r="C68" s="32">
        <f>IF(J68="E",INDEX(Transaksi!$C$2:$C$2001,K68)&amp;"","")</f>
        <v/>
      </c>
      <c r="D68" s="32">
        <f>IF(J68="E",INDEX(Transaksi!$D$2:$D$2001,K68)&amp;"","")</f>
        <v/>
      </c>
      <c r="E68" s="33">
        <f>IF(J68="H",SUMIFS(Transaksi!$G$2:$G$2001,Transaksi!$M$2:$M$2001,"="&amp;S68)+SUMIFS(Transaksi!$H$2:$H$2001,Transaksi!$M$2:$M$2001,"="&amp;S68)+SUMIFS(Transaksi!$I$2:$I$2001,Transaksi!$M$2:$M$2001,"="&amp;S68),IF(J68="E",IF(INDEX(Transaksi!$G$2:$G$2001,K68)+INDEX(Transaksi!$H$2:$H$2001,K68)+INDEX(Transaksi!$I$2:$I$2001,K68)=0,"",INDEX(Transaksi!$G$2:$G$2001,K68)+INDEX(Transaksi!$H$2:$H$2001,K68)+INDEX(Transaksi!$I$2:$I$2001,K68)),""))</f>
        <v/>
      </c>
      <c r="F68" s="33">
        <f>IF(J68="H",SUMIFS(Transaksi!$J$2:$J$2001,Transaksi!$M$2:$M$2001,"="&amp;S68),IF(J68="E",IF(INDEX(Transaksi!$J$2:$J$2001,K68)=0,"",INDEX(Transaksi!$J$2:$J$2001,K68)),""))</f>
        <v/>
      </c>
      <c r="G68" s="33">
        <f>IF(J68="H",(SUMIFS(Transaksi!$G$2:$G$2001,Transaksi!$M$2:$M$2001,"&lt;="&amp;S68)+SUMIFS(Transaksi!$H$2:$H$2001,Transaksi!$M$2:$M$2001,"&lt;="&amp;S68)+SUMIFS(Transaksi!$I$2:$I$2001,Transaksi!$M$2:$M$2001,"&lt;="&amp;S68))-(SUMIFS(Transaksi!$J$2:$J$2001,Transaksi!$M$2:$M$2001,"&lt;="&amp;S68)),"")</f>
        <v/>
      </c>
      <c r="I68">
        <f>IF(65&gt;$O$2,"",MATCH(65,$Q$3:$Q$402,1))</f>
        <v/>
      </c>
      <c r="J68">
        <f>IF(I68="","",IF(65=INDEX($Q$3:$Q$402,I68),"H","E"))</f>
        <v/>
      </c>
      <c r="K68">
        <f>IF(J68&lt;&gt;"E","",MATCH(S68,Transaksi!$M$2:$M$2001,0)+65-INDEX($Q$3:$Q$402,I68)-1)</f>
        <v/>
      </c>
      <c r="N68" t="n">
        <v>66</v>
      </c>
      <c r="O68">
        <f>IF(N68&lt;=$O$1,$O$1-N68+1,"")</f>
        <v/>
      </c>
      <c r="P68">
        <f>IF(O68="",0,COUNTIF(Transaksi!$M$2:$M$2001,O68)+1)</f>
        <v/>
      </c>
      <c r="Q68">
        <f>1+SUM(P$2:P67)</f>
        <v/>
      </c>
      <c r="S68">
        <f>IF(I68="","",INDEX($O$3:$O$402,I68))</f>
        <v/>
      </c>
      <c r="T68">
        <f>IF(J68&lt;&gt;"H","",INDEX(Transaksi!$A$2:$A$2001,MATCH(S68,Transaksi!$M$2:$M$2001,0)))</f>
        <v/>
      </c>
    </row>
    <row r="69">
      <c r="A69" s="31">
        <f>IF(J69="E",IF(INDEX(Transaksi!$J$2:$J$2001,K69)&gt;0,"↑","↓"),"")</f>
        <v/>
      </c>
      <c r="B69" s="32">
        <f>IF(J69="H",CHOOSE(WEEKDAY(T69,2),"Isnin","Selasa","Rabu","Khamis","Jumaat","Sabtu","Ahad")&amp;", "&amp;DAY(T69)&amp;" "&amp;CHOOSE(MONTH(T69),"Jan","Feb","Mac","Apr","Mei","Jun","Jul","Ogo","Sep","Okt","Nov","Dis")&amp;" "&amp;YEAR(T69),IF(J69="E",IF(INDEX(Transaksi!$B$2:$B$2001,K69)="",INDEX(Transaksi!$C$2:$C$2001,K69)&amp;" · "&amp;INDEX(Transaksi!$D$2:$D$2001,K69),INDEX(Transaksi!$B$2:$B$2001,K69)),""))</f>
        <v/>
      </c>
      <c r="C69" s="32">
        <f>IF(J69="E",INDEX(Transaksi!$C$2:$C$2001,K69)&amp;"","")</f>
        <v/>
      </c>
      <c r="D69" s="32">
        <f>IF(J69="E",INDEX(Transaksi!$D$2:$D$2001,K69)&amp;"","")</f>
        <v/>
      </c>
      <c r="E69" s="33">
        <f>IF(J69="H",SUMIFS(Transaksi!$G$2:$G$2001,Transaksi!$M$2:$M$2001,"="&amp;S69)+SUMIFS(Transaksi!$H$2:$H$2001,Transaksi!$M$2:$M$2001,"="&amp;S69)+SUMIFS(Transaksi!$I$2:$I$2001,Transaksi!$M$2:$M$2001,"="&amp;S69),IF(J69="E",IF(INDEX(Transaksi!$G$2:$G$2001,K69)+INDEX(Transaksi!$H$2:$H$2001,K69)+INDEX(Transaksi!$I$2:$I$2001,K69)=0,"",INDEX(Transaksi!$G$2:$G$2001,K69)+INDEX(Transaksi!$H$2:$H$2001,K69)+INDEX(Transaksi!$I$2:$I$2001,K69)),""))</f>
        <v/>
      </c>
      <c r="F69" s="33">
        <f>IF(J69="H",SUMIFS(Transaksi!$J$2:$J$2001,Transaksi!$M$2:$M$2001,"="&amp;S69),IF(J69="E",IF(INDEX(Transaksi!$J$2:$J$2001,K69)=0,"",INDEX(Transaksi!$J$2:$J$2001,K69)),""))</f>
        <v/>
      </c>
      <c r="G69" s="33">
        <f>IF(J69="H",(SUMIFS(Transaksi!$G$2:$G$2001,Transaksi!$M$2:$M$2001,"&lt;="&amp;S69)+SUMIFS(Transaksi!$H$2:$H$2001,Transaksi!$M$2:$M$2001,"&lt;="&amp;S69)+SUMIFS(Transaksi!$I$2:$I$2001,Transaksi!$M$2:$M$2001,"&lt;="&amp;S69))-(SUMIFS(Transaksi!$J$2:$J$2001,Transaksi!$M$2:$M$2001,"&lt;="&amp;S69)),"")</f>
        <v/>
      </c>
      <c r="I69">
        <f>IF(66&gt;$O$2,"",MATCH(66,$Q$3:$Q$402,1))</f>
        <v/>
      </c>
      <c r="J69">
        <f>IF(I69="","",IF(66=INDEX($Q$3:$Q$402,I69),"H","E"))</f>
        <v/>
      </c>
      <c r="K69">
        <f>IF(J69&lt;&gt;"E","",MATCH(S69,Transaksi!$M$2:$M$2001,0)+66-INDEX($Q$3:$Q$402,I69)-1)</f>
        <v/>
      </c>
      <c r="N69" t="n">
        <v>67</v>
      </c>
      <c r="O69">
        <f>IF(N69&lt;=$O$1,$O$1-N69+1,"")</f>
        <v/>
      </c>
      <c r="P69">
        <f>IF(O69="",0,COUNTIF(Transaksi!$M$2:$M$2001,O69)+1)</f>
        <v/>
      </c>
      <c r="Q69">
        <f>1+SUM(P$2:P68)</f>
        <v/>
      </c>
      <c r="S69">
        <f>IF(I69="","",INDEX($O$3:$O$402,I69))</f>
        <v/>
      </c>
      <c r="T69">
        <f>IF(J69&lt;&gt;"H","",INDEX(Transaksi!$A$2:$A$2001,MATCH(S69,Transaksi!$M$2:$M$2001,0)))</f>
        <v/>
      </c>
    </row>
    <row r="70">
      <c r="A70" s="31">
        <f>IF(J70="E",IF(INDEX(Transaksi!$J$2:$J$2001,K70)&gt;0,"↑","↓"),"")</f>
        <v/>
      </c>
      <c r="B70" s="32">
        <f>IF(J70="H",CHOOSE(WEEKDAY(T70,2),"Isnin","Selasa","Rabu","Khamis","Jumaat","Sabtu","Ahad")&amp;", "&amp;DAY(T70)&amp;" "&amp;CHOOSE(MONTH(T70),"Jan","Feb","Mac","Apr","Mei","Jun","Jul","Ogo","Sep","Okt","Nov","Dis")&amp;" "&amp;YEAR(T70),IF(J70="E",IF(INDEX(Transaksi!$B$2:$B$2001,K70)="",INDEX(Transaksi!$C$2:$C$2001,K70)&amp;" · "&amp;INDEX(Transaksi!$D$2:$D$2001,K70),INDEX(Transaksi!$B$2:$B$2001,K70)),""))</f>
        <v/>
      </c>
      <c r="C70" s="32">
        <f>IF(J70="E",INDEX(Transaksi!$C$2:$C$2001,K70)&amp;"","")</f>
        <v/>
      </c>
      <c r="D70" s="32">
        <f>IF(J70="E",INDEX(Transaksi!$D$2:$D$2001,K70)&amp;"","")</f>
        <v/>
      </c>
      <c r="E70" s="33">
        <f>IF(J70="H",SUMIFS(Transaksi!$G$2:$G$2001,Transaksi!$M$2:$M$2001,"="&amp;S70)+SUMIFS(Transaksi!$H$2:$H$2001,Transaksi!$M$2:$M$2001,"="&amp;S70)+SUMIFS(Transaksi!$I$2:$I$2001,Transaksi!$M$2:$M$2001,"="&amp;S70),IF(J70="E",IF(INDEX(Transaksi!$G$2:$G$2001,K70)+INDEX(Transaksi!$H$2:$H$2001,K70)+INDEX(Transaksi!$I$2:$I$2001,K70)=0,"",INDEX(Transaksi!$G$2:$G$2001,K70)+INDEX(Transaksi!$H$2:$H$2001,K70)+INDEX(Transaksi!$I$2:$I$2001,K70)),""))</f>
        <v/>
      </c>
      <c r="F70" s="33">
        <f>IF(J70="H",SUMIFS(Transaksi!$J$2:$J$2001,Transaksi!$M$2:$M$2001,"="&amp;S70),IF(J70="E",IF(INDEX(Transaksi!$J$2:$J$2001,K70)=0,"",INDEX(Transaksi!$J$2:$J$2001,K70)),""))</f>
        <v/>
      </c>
      <c r="G70" s="33">
        <f>IF(J70="H",(SUMIFS(Transaksi!$G$2:$G$2001,Transaksi!$M$2:$M$2001,"&lt;="&amp;S70)+SUMIFS(Transaksi!$H$2:$H$2001,Transaksi!$M$2:$M$2001,"&lt;="&amp;S70)+SUMIFS(Transaksi!$I$2:$I$2001,Transaksi!$M$2:$M$2001,"&lt;="&amp;S70))-(SUMIFS(Transaksi!$J$2:$J$2001,Transaksi!$M$2:$M$2001,"&lt;="&amp;S70)),"")</f>
        <v/>
      </c>
      <c r="I70">
        <f>IF(67&gt;$O$2,"",MATCH(67,$Q$3:$Q$402,1))</f>
        <v/>
      </c>
      <c r="J70">
        <f>IF(I70="","",IF(67=INDEX($Q$3:$Q$402,I70),"H","E"))</f>
        <v/>
      </c>
      <c r="K70">
        <f>IF(J70&lt;&gt;"E","",MATCH(S70,Transaksi!$M$2:$M$2001,0)+67-INDEX($Q$3:$Q$402,I70)-1)</f>
        <v/>
      </c>
      <c r="N70" t="n">
        <v>68</v>
      </c>
      <c r="O70">
        <f>IF(N70&lt;=$O$1,$O$1-N70+1,"")</f>
        <v/>
      </c>
      <c r="P70">
        <f>IF(O70="",0,COUNTIF(Transaksi!$M$2:$M$2001,O70)+1)</f>
        <v/>
      </c>
      <c r="Q70">
        <f>1+SUM(P$2:P69)</f>
        <v/>
      </c>
      <c r="S70">
        <f>IF(I70="","",INDEX($O$3:$O$402,I70))</f>
        <v/>
      </c>
      <c r="T70">
        <f>IF(J70&lt;&gt;"H","",INDEX(Transaksi!$A$2:$A$2001,MATCH(S70,Transaksi!$M$2:$M$2001,0)))</f>
        <v/>
      </c>
    </row>
    <row r="71">
      <c r="A71" s="31">
        <f>IF(J71="E",IF(INDEX(Transaksi!$J$2:$J$2001,K71)&gt;0,"↑","↓"),"")</f>
        <v/>
      </c>
      <c r="B71" s="32">
        <f>IF(J71="H",CHOOSE(WEEKDAY(T71,2),"Isnin","Selasa","Rabu","Khamis","Jumaat","Sabtu","Ahad")&amp;", "&amp;DAY(T71)&amp;" "&amp;CHOOSE(MONTH(T71),"Jan","Feb","Mac","Apr","Mei","Jun","Jul","Ogo","Sep","Okt","Nov","Dis")&amp;" "&amp;YEAR(T71),IF(J71="E",IF(INDEX(Transaksi!$B$2:$B$2001,K71)="",INDEX(Transaksi!$C$2:$C$2001,K71)&amp;" · "&amp;INDEX(Transaksi!$D$2:$D$2001,K71),INDEX(Transaksi!$B$2:$B$2001,K71)),""))</f>
        <v/>
      </c>
      <c r="C71" s="32">
        <f>IF(J71="E",INDEX(Transaksi!$C$2:$C$2001,K71)&amp;"","")</f>
        <v/>
      </c>
      <c r="D71" s="32">
        <f>IF(J71="E",INDEX(Transaksi!$D$2:$D$2001,K71)&amp;"","")</f>
        <v/>
      </c>
      <c r="E71" s="33">
        <f>IF(J71="H",SUMIFS(Transaksi!$G$2:$G$2001,Transaksi!$M$2:$M$2001,"="&amp;S71)+SUMIFS(Transaksi!$H$2:$H$2001,Transaksi!$M$2:$M$2001,"="&amp;S71)+SUMIFS(Transaksi!$I$2:$I$2001,Transaksi!$M$2:$M$2001,"="&amp;S71),IF(J71="E",IF(INDEX(Transaksi!$G$2:$G$2001,K71)+INDEX(Transaksi!$H$2:$H$2001,K71)+INDEX(Transaksi!$I$2:$I$2001,K71)=0,"",INDEX(Transaksi!$G$2:$G$2001,K71)+INDEX(Transaksi!$H$2:$H$2001,K71)+INDEX(Transaksi!$I$2:$I$2001,K71)),""))</f>
        <v/>
      </c>
      <c r="F71" s="33">
        <f>IF(J71="H",SUMIFS(Transaksi!$J$2:$J$2001,Transaksi!$M$2:$M$2001,"="&amp;S71),IF(J71="E",IF(INDEX(Transaksi!$J$2:$J$2001,K71)=0,"",INDEX(Transaksi!$J$2:$J$2001,K71)),""))</f>
        <v/>
      </c>
      <c r="G71" s="33">
        <f>IF(J71="H",(SUMIFS(Transaksi!$G$2:$G$2001,Transaksi!$M$2:$M$2001,"&lt;="&amp;S71)+SUMIFS(Transaksi!$H$2:$H$2001,Transaksi!$M$2:$M$2001,"&lt;="&amp;S71)+SUMIFS(Transaksi!$I$2:$I$2001,Transaksi!$M$2:$M$2001,"&lt;="&amp;S71))-(SUMIFS(Transaksi!$J$2:$J$2001,Transaksi!$M$2:$M$2001,"&lt;="&amp;S71)),"")</f>
        <v/>
      </c>
      <c r="I71">
        <f>IF(68&gt;$O$2,"",MATCH(68,$Q$3:$Q$402,1))</f>
        <v/>
      </c>
      <c r="J71">
        <f>IF(I71="","",IF(68=INDEX($Q$3:$Q$402,I71),"H","E"))</f>
        <v/>
      </c>
      <c r="K71">
        <f>IF(J71&lt;&gt;"E","",MATCH(S71,Transaksi!$M$2:$M$2001,0)+68-INDEX($Q$3:$Q$402,I71)-1)</f>
        <v/>
      </c>
      <c r="N71" t="n">
        <v>69</v>
      </c>
      <c r="O71">
        <f>IF(N71&lt;=$O$1,$O$1-N71+1,"")</f>
        <v/>
      </c>
      <c r="P71">
        <f>IF(O71="",0,COUNTIF(Transaksi!$M$2:$M$2001,O71)+1)</f>
        <v/>
      </c>
      <c r="Q71">
        <f>1+SUM(P$2:P70)</f>
        <v/>
      </c>
      <c r="S71">
        <f>IF(I71="","",INDEX($O$3:$O$402,I71))</f>
        <v/>
      </c>
      <c r="T71">
        <f>IF(J71&lt;&gt;"H","",INDEX(Transaksi!$A$2:$A$2001,MATCH(S71,Transaksi!$M$2:$M$2001,0)))</f>
        <v/>
      </c>
    </row>
    <row r="72">
      <c r="A72" s="31">
        <f>IF(J72="E",IF(INDEX(Transaksi!$J$2:$J$2001,K72)&gt;0,"↑","↓"),"")</f>
        <v/>
      </c>
      <c r="B72" s="32">
        <f>IF(J72="H",CHOOSE(WEEKDAY(T72,2),"Isnin","Selasa","Rabu","Khamis","Jumaat","Sabtu","Ahad")&amp;", "&amp;DAY(T72)&amp;" "&amp;CHOOSE(MONTH(T72),"Jan","Feb","Mac","Apr","Mei","Jun","Jul","Ogo","Sep","Okt","Nov","Dis")&amp;" "&amp;YEAR(T72),IF(J72="E",IF(INDEX(Transaksi!$B$2:$B$2001,K72)="",INDEX(Transaksi!$C$2:$C$2001,K72)&amp;" · "&amp;INDEX(Transaksi!$D$2:$D$2001,K72),INDEX(Transaksi!$B$2:$B$2001,K72)),""))</f>
        <v/>
      </c>
      <c r="C72" s="32">
        <f>IF(J72="E",INDEX(Transaksi!$C$2:$C$2001,K72)&amp;"","")</f>
        <v/>
      </c>
      <c r="D72" s="32">
        <f>IF(J72="E",INDEX(Transaksi!$D$2:$D$2001,K72)&amp;"","")</f>
        <v/>
      </c>
      <c r="E72" s="33">
        <f>IF(J72="H",SUMIFS(Transaksi!$G$2:$G$2001,Transaksi!$M$2:$M$2001,"="&amp;S72)+SUMIFS(Transaksi!$H$2:$H$2001,Transaksi!$M$2:$M$2001,"="&amp;S72)+SUMIFS(Transaksi!$I$2:$I$2001,Transaksi!$M$2:$M$2001,"="&amp;S72),IF(J72="E",IF(INDEX(Transaksi!$G$2:$G$2001,K72)+INDEX(Transaksi!$H$2:$H$2001,K72)+INDEX(Transaksi!$I$2:$I$2001,K72)=0,"",INDEX(Transaksi!$G$2:$G$2001,K72)+INDEX(Transaksi!$H$2:$H$2001,K72)+INDEX(Transaksi!$I$2:$I$2001,K72)),""))</f>
        <v/>
      </c>
      <c r="F72" s="33">
        <f>IF(J72="H",SUMIFS(Transaksi!$J$2:$J$2001,Transaksi!$M$2:$M$2001,"="&amp;S72),IF(J72="E",IF(INDEX(Transaksi!$J$2:$J$2001,K72)=0,"",INDEX(Transaksi!$J$2:$J$2001,K72)),""))</f>
        <v/>
      </c>
      <c r="G72" s="33">
        <f>IF(J72="H",(SUMIFS(Transaksi!$G$2:$G$2001,Transaksi!$M$2:$M$2001,"&lt;="&amp;S72)+SUMIFS(Transaksi!$H$2:$H$2001,Transaksi!$M$2:$M$2001,"&lt;="&amp;S72)+SUMIFS(Transaksi!$I$2:$I$2001,Transaksi!$M$2:$M$2001,"&lt;="&amp;S72))-(SUMIFS(Transaksi!$J$2:$J$2001,Transaksi!$M$2:$M$2001,"&lt;="&amp;S72)),"")</f>
        <v/>
      </c>
      <c r="I72">
        <f>IF(69&gt;$O$2,"",MATCH(69,$Q$3:$Q$402,1))</f>
        <v/>
      </c>
      <c r="J72">
        <f>IF(I72="","",IF(69=INDEX($Q$3:$Q$402,I72),"H","E"))</f>
        <v/>
      </c>
      <c r="K72">
        <f>IF(J72&lt;&gt;"E","",MATCH(S72,Transaksi!$M$2:$M$2001,0)+69-INDEX($Q$3:$Q$402,I72)-1)</f>
        <v/>
      </c>
      <c r="N72" t="n">
        <v>70</v>
      </c>
      <c r="O72">
        <f>IF(N72&lt;=$O$1,$O$1-N72+1,"")</f>
        <v/>
      </c>
      <c r="P72">
        <f>IF(O72="",0,COUNTIF(Transaksi!$M$2:$M$2001,O72)+1)</f>
        <v/>
      </c>
      <c r="Q72">
        <f>1+SUM(P$2:P71)</f>
        <v/>
      </c>
      <c r="S72">
        <f>IF(I72="","",INDEX($O$3:$O$402,I72))</f>
        <v/>
      </c>
      <c r="T72">
        <f>IF(J72&lt;&gt;"H","",INDEX(Transaksi!$A$2:$A$2001,MATCH(S72,Transaksi!$M$2:$M$2001,0)))</f>
        <v/>
      </c>
    </row>
    <row r="73">
      <c r="A73" s="31">
        <f>IF(J73="E",IF(INDEX(Transaksi!$J$2:$J$2001,K73)&gt;0,"↑","↓"),"")</f>
        <v/>
      </c>
      <c r="B73" s="32">
        <f>IF(J73="H",CHOOSE(WEEKDAY(T73,2),"Isnin","Selasa","Rabu","Khamis","Jumaat","Sabtu","Ahad")&amp;", "&amp;DAY(T73)&amp;" "&amp;CHOOSE(MONTH(T73),"Jan","Feb","Mac","Apr","Mei","Jun","Jul","Ogo","Sep","Okt","Nov","Dis")&amp;" "&amp;YEAR(T73),IF(J73="E",IF(INDEX(Transaksi!$B$2:$B$2001,K73)="",INDEX(Transaksi!$C$2:$C$2001,K73)&amp;" · "&amp;INDEX(Transaksi!$D$2:$D$2001,K73),INDEX(Transaksi!$B$2:$B$2001,K73)),""))</f>
        <v/>
      </c>
      <c r="C73" s="32">
        <f>IF(J73="E",INDEX(Transaksi!$C$2:$C$2001,K73)&amp;"","")</f>
        <v/>
      </c>
      <c r="D73" s="32">
        <f>IF(J73="E",INDEX(Transaksi!$D$2:$D$2001,K73)&amp;"","")</f>
        <v/>
      </c>
      <c r="E73" s="33">
        <f>IF(J73="H",SUMIFS(Transaksi!$G$2:$G$2001,Transaksi!$M$2:$M$2001,"="&amp;S73)+SUMIFS(Transaksi!$H$2:$H$2001,Transaksi!$M$2:$M$2001,"="&amp;S73)+SUMIFS(Transaksi!$I$2:$I$2001,Transaksi!$M$2:$M$2001,"="&amp;S73),IF(J73="E",IF(INDEX(Transaksi!$G$2:$G$2001,K73)+INDEX(Transaksi!$H$2:$H$2001,K73)+INDEX(Transaksi!$I$2:$I$2001,K73)=0,"",INDEX(Transaksi!$G$2:$G$2001,K73)+INDEX(Transaksi!$H$2:$H$2001,K73)+INDEX(Transaksi!$I$2:$I$2001,K73)),""))</f>
        <v/>
      </c>
      <c r="F73" s="33">
        <f>IF(J73="H",SUMIFS(Transaksi!$J$2:$J$2001,Transaksi!$M$2:$M$2001,"="&amp;S73),IF(J73="E",IF(INDEX(Transaksi!$J$2:$J$2001,K73)=0,"",INDEX(Transaksi!$J$2:$J$2001,K73)),""))</f>
        <v/>
      </c>
      <c r="G73" s="33">
        <f>IF(J73="H",(SUMIFS(Transaksi!$G$2:$G$2001,Transaksi!$M$2:$M$2001,"&lt;="&amp;S73)+SUMIFS(Transaksi!$H$2:$H$2001,Transaksi!$M$2:$M$2001,"&lt;="&amp;S73)+SUMIFS(Transaksi!$I$2:$I$2001,Transaksi!$M$2:$M$2001,"&lt;="&amp;S73))-(SUMIFS(Transaksi!$J$2:$J$2001,Transaksi!$M$2:$M$2001,"&lt;="&amp;S73)),"")</f>
        <v/>
      </c>
      <c r="I73">
        <f>IF(70&gt;$O$2,"",MATCH(70,$Q$3:$Q$402,1))</f>
        <v/>
      </c>
      <c r="J73">
        <f>IF(I73="","",IF(70=INDEX($Q$3:$Q$402,I73),"H","E"))</f>
        <v/>
      </c>
      <c r="K73">
        <f>IF(J73&lt;&gt;"E","",MATCH(S73,Transaksi!$M$2:$M$2001,0)+70-INDEX($Q$3:$Q$402,I73)-1)</f>
        <v/>
      </c>
      <c r="N73" t="n">
        <v>71</v>
      </c>
      <c r="O73">
        <f>IF(N73&lt;=$O$1,$O$1-N73+1,"")</f>
        <v/>
      </c>
      <c r="P73">
        <f>IF(O73="",0,COUNTIF(Transaksi!$M$2:$M$2001,O73)+1)</f>
        <v/>
      </c>
      <c r="Q73">
        <f>1+SUM(P$2:P72)</f>
        <v/>
      </c>
      <c r="S73">
        <f>IF(I73="","",INDEX($O$3:$O$402,I73))</f>
        <v/>
      </c>
      <c r="T73">
        <f>IF(J73&lt;&gt;"H","",INDEX(Transaksi!$A$2:$A$2001,MATCH(S73,Transaksi!$M$2:$M$2001,0)))</f>
        <v/>
      </c>
    </row>
    <row r="74">
      <c r="A74" s="31">
        <f>IF(J74="E",IF(INDEX(Transaksi!$J$2:$J$2001,K74)&gt;0,"↑","↓"),"")</f>
        <v/>
      </c>
      <c r="B74" s="32">
        <f>IF(J74="H",CHOOSE(WEEKDAY(T74,2),"Isnin","Selasa","Rabu","Khamis","Jumaat","Sabtu","Ahad")&amp;", "&amp;DAY(T74)&amp;" "&amp;CHOOSE(MONTH(T74),"Jan","Feb","Mac","Apr","Mei","Jun","Jul","Ogo","Sep","Okt","Nov","Dis")&amp;" "&amp;YEAR(T74),IF(J74="E",IF(INDEX(Transaksi!$B$2:$B$2001,K74)="",INDEX(Transaksi!$C$2:$C$2001,K74)&amp;" · "&amp;INDEX(Transaksi!$D$2:$D$2001,K74),INDEX(Transaksi!$B$2:$B$2001,K74)),""))</f>
        <v/>
      </c>
      <c r="C74" s="32">
        <f>IF(J74="E",INDEX(Transaksi!$C$2:$C$2001,K74)&amp;"","")</f>
        <v/>
      </c>
      <c r="D74" s="32">
        <f>IF(J74="E",INDEX(Transaksi!$D$2:$D$2001,K74)&amp;"","")</f>
        <v/>
      </c>
      <c r="E74" s="33">
        <f>IF(J74="H",SUMIFS(Transaksi!$G$2:$G$2001,Transaksi!$M$2:$M$2001,"="&amp;S74)+SUMIFS(Transaksi!$H$2:$H$2001,Transaksi!$M$2:$M$2001,"="&amp;S74)+SUMIFS(Transaksi!$I$2:$I$2001,Transaksi!$M$2:$M$2001,"="&amp;S74),IF(J74="E",IF(INDEX(Transaksi!$G$2:$G$2001,K74)+INDEX(Transaksi!$H$2:$H$2001,K74)+INDEX(Transaksi!$I$2:$I$2001,K74)=0,"",INDEX(Transaksi!$G$2:$G$2001,K74)+INDEX(Transaksi!$H$2:$H$2001,K74)+INDEX(Transaksi!$I$2:$I$2001,K74)),""))</f>
        <v/>
      </c>
      <c r="F74" s="33">
        <f>IF(J74="H",SUMIFS(Transaksi!$J$2:$J$2001,Transaksi!$M$2:$M$2001,"="&amp;S74),IF(J74="E",IF(INDEX(Transaksi!$J$2:$J$2001,K74)=0,"",INDEX(Transaksi!$J$2:$J$2001,K74)),""))</f>
        <v/>
      </c>
      <c r="G74" s="33">
        <f>IF(J74="H",(SUMIFS(Transaksi!$G$2:$G$2001,Transaksi!$M$2:$M$2001,"&lt;="&amp;S74)+SUMIFS(Transaksi!$H$2:$H$2001,Transaksi!$M$2:$M$2001,"&lt;="&amp;S74)+SUMIFS(Transaksi!$I$2:$I$2001,Transaksi!$M$2:$M$2001,"&lt;="&amp;S74))-(SUMIFS(Transaksi!$J$2:$J$2001,Transaksi!$M$2:$M$2001,"&lt;="&amp;S74)),"")</f>
        <v/>
      </c>
      <c r="I74">
        <f>IF(71&gt;$O$2,"",MATCH(71,$Q$3:$Q$402,1))</f>
        <v/>
      </c>
      <c r="J74">
        <f>IF(I74="","",IF(71=INDEX($Q$3:$Q$402,I74),"H","E"))</f>
        <v/>
      </c>
      <c r="K74">
        <f>IF(J74&lt;&gt;"E","",MATCH(S74,Transaksi!$M$2:$M$2001,0)+71-INDEX($Q$3:$Q$402,I74)-1)</f>
        <v/>
      </c>
      <c r="N74" t="n">
        <v>72</v>
      </c>
      <c r="O74">
        <f>IF(N74&lt;=$O$1,$O$1-N74+1,"")</f>
        <v/>
      </c>
      <c r="P74">
        <f>IF(O74="",0,COUNTIF(Transaksi!$M$2:$M$2001,O74)+1)</f>
        <v/>
      </c>
      <c r="Q74">
        <f>1+SUM(P$2:P73)</f>
        <v/>
      </c>
      <c r="S74">
        <f>IF(I74="","",INDEX($O$3:$O$402,I74))</f>
        <v/>
      </c>
      <c r="T74">
        <f>IF(J74&lt;&gt;"H","",INDEX(Transaksi!$A$2:$A$2001,MATCH(S74,Transaksi!$M$2:$M$2001,0)))</f>
        <v/>
      </c>
    </row>
    <row r="75">
      <c r="A75" s="31">
        <f>IF(J75="E",IF(INDEX(Transaksi!$J$2:$J$2001,K75)&gt;0,"↑","↓"),"")</f>
        <v/>
      </c>
      <c r="B75" s="32">
        <f>IF(J75="H",CHOOSE(WEEKDAY(T75,2),"Isnin","Selasa","Rabu","Khamis","Jumaat","Sabtu","Ahad")&amp;", "&amp;DAY(T75)&amp;" "&amp;CHOOSE(MONTH(T75),"Jan","Feb","Mac","Apr","Mei","Jun","Jul","Ogo","Sep","Okt","Nov","Dis")&amp;" "&amp;YEAR(T75),IF(J75="E",IF(INDEX(Transaksi!$B$2:$B$2001,K75)="",INDEX(Transaksi!$C$2:$C$2001,K75)&amp;" · "&amp;INDEX(Transaksi!$D$2:$D$2001,K75),INDEX(Transaksi!$B$2:$B$2001,K75)),""))</f>
        <v/>
      </c>
      <c r="C75" s="32">
        <f>IF(J75="E",INDEX(Transaksi!$C$2:$C$2001,K75)&amp;"","")</f>
        <v/>
      </c>
      <c r="D75" s="32">
        <f>IF(J75="E",INDEX(Transaksi!$D$2:$D$2001,K75)&amp;"","")</f>
        <v/>
      </c>
      <c r="E75" s="33">
        <f>IF(J75="H",SUMIFS(Transaksi!$G$2:$G$2001,Transaksi!$M$2:$M$2001,"="&amp;S75)+SUMIFS(Transaksi!$H$2:$H$2001,Transaksi!$M$2:$M$2001,"="&amp;S75)+SUMIFS(Transaksi!$I$2:$I$2001,Transaksi!$M$2:$M$2001,"="&amp;S75),IF(J75="E",IF(INDEX(Transaksi!$G$2:$G$2001,K75)+INDEX(Transaksi!$H$2:$H$2001,K75)+INDEX(Transaksi!$I$2:$I$2001,K75)=0,"",INDEX(Transaksi!$G$2:$G$2001,K75)+INDEX(Transaksi!$H$2:$H$2001,K75)+INDEX(Transaksi!$I$2:$I$2001,K75)),""))</f>
        <v/>
      </c>
      <c r="F75" s="33">
        <f>IF(J75="H",SUMIFS(Transaksi!$J$2:$J$2001,Transaksi!$M$2:$M$2001,"="&amp;S75),IF(J75="E",IF(INDEX(Transaksi!$J$2:$J$2001,K75)=0,"",INDEX(Transaksi!$J$2:$J$2001,K75)),""))</f>
        <v/>
      </c>
      <c r="G75" s="33">
        <f>IF(J75="H",(SUMIFS(Transaksi!$G$2:$G$2001,Transaksi!$M$2:$M$2001,"&lt;="&amp;S75)+SUMIFS(Transaksi!$H$2:$H$2001,Transaksi!$M$2:$M$2001,"&lt;="&amp;S75)+SUMIFS(Transaksi!$I$2:$I$2001,Transaksi!$M$2:$M$2001,"&lt;="&amp;S75))-(SUMIFS(Transaksi!$J$2:$J$2001,Transaksi!$M$2:$M$2001,"&lt;="&amp;S75)),"")</f>
        <v/>
      </c>
      <c r="I75">
        <f>IF(72&gt;$O$2,"",MATCH(72,$Q$3:$Q$402,1))</f>
        <v/>
      </c>
      <c r="J75">
        <f>IF(I75="","",IF(72=INDEX($Q$3:$Q$402,I75),"H","E"))</f>
        <v/>
      </c>
      <c r="K75">
        <f>IF(J75&lt;&gt;"E","",MATCH(S75,Transaksi!$M$2:$M$2001,0)+72-INDEX($Q$3:$Q$402,I75)-1)</f>
        <v/>
      </c>
      <c r="N75" t="n">
        <v>73</v>
      </c>
      <c r="O75">
        <f>IF(N75&lt;=$O$1,$O$1-N75+1,"")</f>
        <v/>
      </c>
      <c r="P75">
        <f>IF(O75="",0,COUNTIF(Transaksi!$M$2:$M$2001,O75)+1)</f>
        <v/>
      </c>
      <c r="Q75">
        <f>1+SUM(P$2:P74)</f>
        <v/>
      </c>
      <c r="S75">
        <f>IF(I75="","",INDEX($O$3:$O$402,I75))</f>
        <v/>
      </c>
      <c r="T75">
        <f>IF(J75&lt;&gt;"H","",INDEX(Transaksi!$A$2:$A$2001,MATCH(S75,Transaksi!$M$2:$M$2001,0)))</f>
        <v/>
      </c>
    </row>
    <row r="76">
      <c r="A76" s="31">
        <f>IF(J76="E",IF(INDEX(Transaksi!$J$2:$J$2001,K76)&gt;0,"↑","↓"),"")</f>
        <v/>
      </c>
      <c r="B76" s="32">
        <f>IF(J76="H",CHOOSE(WEEKDAY(T76,2),"Isnin","Selasa","Rabu","Khamis","Jumaat","Sabtu","Ahad")&amp;", "&amp;DAY(T76)&amp;" "&amp;CHOOSE(MONTH(T76),"Jan","Feb","Mac","Apr","Mei","Jun","Jul","Ogo","Sep","Okt","Nov","Dis")&amp;" "&amp;YEAR(T76),IF(J76="E",IF(INDEX(Transaksi!$B$2:$B$2001,K76)="",INDEX(Transaksi!$C$2:$C$2001,K76)&amp;" · "&amp;INDEX(Transaksi!$D$2:$D$2001,K76),INDEX(Transaksi!$B$2:$B$2001,K76)),""))</f>
        <v/>
      </c>
      <c r="C76" s="32">
        <f>IF(J76="E",INDEX(Transaksi!$C$2:$C$2001,K76)&amp;"","")</f>
        <v/>
      </c>
      <c r="D76" s="32">
        <f>IF(J76="E",INDEX(Transaksi!$D$2:$D$2001,K76)&amp;"","")</f>
        <v/>
      </c>
      <c r="E76" s="33">
        <f>IF(J76="H",SUMIFS(Transaksi!$G$2:$G$2001,Transaksi!$M$2:$M$2001,"="&amp;S76)+SUMIFS(Transaksi!$H$2:$H$2001,Transaksi!$M$2:$M$2001,"="&amp;S76)+SUMIFS(Transaksi!$I$2:$I$2001,Transaksi!$M$2:$M$2001,"="&amp;S76),IF(J76="E",IF(INDEX(Transaksi!$G$2:$G$2001,K76)+INDEX(Transaksi!$H$2:$H$2001,K76)+INDEX(Transaksi!$I$2:$I$2001,K76)=0,"",INDEX(Transaksi!$G$2:$G$2001,K76)+INDEX(Transaksi!$H$2:$H$2001,K76)+INDEX(Transaksi!$I$2:$I$2001,K76)),""))</f>
        <v/>
      </c>
      <c r="F76" s="33">
        <f>IF(J76="H",SUMIFS(Transaksi!$J$2:$J$2001,Transaksi!$M$2:$M$2001,"="&amp;S76),IF(J76="E",IF(INDEX(Transaksi!$J$2:$J$2001,K76)=0,"",INDEX(Transaksi!$J$2:$J$2001,K76)),""))</f>
        <v/>
      </c>
      <c r="G76" s="33">
        <f>IF(J76="H",(SUMIFS(Transaksi!$G$2:$G$2001,Transaksi!$M$2:$M$2001,"&lt;="&amp;S76)+SUMIFS(Transaksi!$H$2:$H$2001,Transaksi!$M$2:$M$2001,"&lt;="&amp;S76)+SUMIFS(Transaksi!$I$2:$I$2001,Transaksi!$M$2:$M$2001,"&lt;="&amp;S76))-(SUMIFS(Transaksi!$J$2:$J$2001,Transaksi!$M$2:$M$2001,"&lt;="&amp;S76)),"")</f>
        <v/>
      </c>
      <c r="I76">
        <f>IF(73&gt;$O$2,"",MATCH(73,$Q$3:$Q$402,1))</f>
        <v/>
      </c>
      <c r="J76">
        <f>IF(I76="","",IF(73=INDEX($Q$3:$Q$402,I76),"H","E"))</f>
        <v/>
      </c>
      <c r="K76">
        <f>IF(J76&lt;&gt;"E","",MATCH(S76,Transaksi!$M$2:$M$2001,0)+73-INDEX($Q$3:$Q$402,I76)-1)</f>
        <v/>
      </c>
      <c r="N76" t="n">
        <v>74</v>
      </c>
      <c r="O76">
        <f>IF(N76&lt;=$O$1,$O$1-N76+1,"")</f>
        <v/>
      </c>
      <c r="P76">
        <f>IF(O76="",0,COUNTIF(Transaksi!$M$2:$M$2001,O76)+1)</f>
        <v/>
      </c>
      <c r="Q76">
        <f>1+SUM(P$2:P75)</f>
        <v/>
      </c>
      <c r="S76">
        <f>IF(I76="","",INDEX($O$3:$O$402,I76))</f>
        <v/>
      </c>
      <c r="T76">
        <f>IF(J76&lt;&gt;"H","",INDEX(Transaksi!$A$2:$A$2001,MATCH(S76,Transaksi!$M$2:$M$2001,0)))</f>
        <v/>
      </c>
    </row>
    <row r="77">
      <c r="A77" s="31">
        <f>IF(J77="E",IF(INDEX(Transaksi!$J$2:$J$2001,K77)&gt;0,"↑","↓"),"")</f>
        <v/>
      </c>
      <c r="B77" s="32">
        <f>IF(J77="H",CHOOSE(WEEKDAY(T77,2),"Isnin","Selasa","Rabu","Khamis","Jumaat","Sabtu","Ahad")&amp;", "&amp;DAY(T77)&amp;" "&amp;CHOOSE(MONTH(T77),"Jan","Feb","Mac","Apr","Mei","Jun","Jul","Ogo","Sep","Okt","Nov","Dis")&amp;" "&amp;YEAR(T77),IF(J77="E",IF(INDEX(Transaksi!$B$2:$B$2001,K77)="",INDEX(Transaksi!$C$2:$C$2001,K77)&amp;" · "&amp;INDEX(Transaksi!$D$2:$D$2001,K77),INDEX(Transaksi!$B$2:$B$2001,K77)),""))</f>
        <v/>
      </c>
      <c r="C77" s="32">
        <f>IF(J77="E",INDEX(Transaksi!$C$2:$C$2001,K77)&amp;"","")</f>
        <v/>
      </c>
      <c r="D77" s="32">
        <f>IF(J77="E",INDEX(Transaksi!$D$2:$D$2001,K77)&amp;"","")</f>
        <v/>
      </c>
      <c r="E77" s="33">
        <f>IF(J77="H",SUMIFS(Transaksi!$G$2:$G$2001,Transaksi!$M$2:$M$2001,"="&amp;S77)+SUMIFS(Transaksi!$H$2:$H$2001,Transaksi!$M$2:$M$2001,"="&amp;S77)+SUMIFS(Transaksi!$I$2:$I$2001,Transaksi!$M$2:$M$2001,"="&amp;S77),IF(J77="E",IF(INDEX(Transaksi!$G$2:$G$2001,K77)+INDEX(Transaksi!$H$2:$H$2001,K77)+INDEX(Transaksi!$I$2:$I$2001,K77)=0,"",INDEX(Transaksi!$G$2:$G$2001,K77)+INDEX(Transaksi!$H$2:$H$2001,K77)+INDEX(Transaksi!$I$2:$I$2001,K77)),""))</f>
        <v/>
      </c>
      <c r="F77" s="33">
        <f>IF(J77="H",SUMIFS(Transaksi!$J$2:$J$2001,Transaksi!$M$2:$M$2001,"="&amp;S77),IF(J77="E",IF(INDEX(Transaksi!$J$2:$J$2001,K77)=0,"",INDEX(Transaksi!$J$2:$J$2001,K77)),""))</f>
        <v/>
      </c>
      <c r="G77" s="33">
        <f>IF(J77="H",(SUMIFS(Transaksi!$G$2:$G$2001,Transaksi!$M$2:$M$2001,"&lt;="&amp;S77)+SUMIFS(Transaksi!$H$2:$H$2001,Transaksi!$M$2:$M$2001,"&lt;="&amp;S77)+SUMIFS(Transaksi!$I$2:$I$2001,Transaksi!$M$2:$M$2001,"&lt;="&amp;S77))-(SUMIFS(Transaksi!$J$2:$J$2001,Transaksi!$M$2:$M$2001,"&lt;="&amp;S77)),"")</f>
        <v/>
      </c>
      <c r="I77">
        <f>IF(74&gt;$O$2,"",MATCH(74,$Q$3:$Q$402,1))</f>
        <v/>
      </c>
      <c r="J77">
        <f>IF(I77="","",IF(74=INDEX($Q$3:$Q$402,I77),"H","E"))</f>
        <v/>
      </c>
      <c r="K77">
        <f>IF(J77&lt;&gt;"E","",MATCH(S77,Transaksi!$M$2:$M$2001,0)+74-INDEX($Q$3:$Q$402,I77)-1)</f>
        <v/>
      </c>
      <c r="N77" t="n">
        <v>75</v>
      </c>
      <c r="O77">
        <f>IF(N77&lt;=$O$1,$O$1-N77+1,"")</f>
        <v/>
      </c>
      <c r="P77">
        <f>IF(O77="",0,COUNTIF(Transaksi!$M$2:$M$2001,O77)+1)</f>
        <v/>
      </c>
      <c r="Q77">
        <f>1+SUM(P$2:P76)</f>
        <v/>
      </c>
      <c r="S77">
        <f>IF(I77="","",INDEX($O$3:$O$402,I77))</f>
        <v/>
      </c>
      <c r="T77">
        <f>IF(J77&lt;&gt;"H","",INDEX(Transaksi!$A$2:$A$2001,MATCH(S77,Transaksi!$M$2:$M$2001,0)))</f>
        <v/>
      </c>
    </row>
    <row r="78">
      <c r="A78" s="31">
        <f>IF(J78="E",IF(INDEX(Transaksi!$J$2:$J$2001,K78)&gt;0,"↑","↓"),"")</f>
        <v/>
      </c>
      <c r="B78" s="32">
        <f>IF(J78="H",CHOOSE(WEEKDAY(T78,2),"Isnin","Selasa","Rabu","Khamis","Jumaat","Sabtu","Ahad")&amp;", "&amp;DAY(T78)&amp;" "&amp;CHOOSE(MONTH(T78),"Jan","Feb","Mac","Apr","Mei","Jun","Jul","Ogo","Sep","Okt","Nov","Dis")&amp;" "&amp;YEAR(T78),IF(J78="E",IF(INDEX(Transaksi!$B$2:$B$2001,K78)="",INDEX(Transaksi!$C$2:$C$2001,K78)&amp;" · "&amp;INDEX(Transaksi!$D$2:$D$2001,K78),INDEX(Transaksi!$B$2:$B$2001,K78)),""))</f>
        <v/>
      </c>
      <c r="C78" s="32">
        <f>IF(J78="E",INDEX(Transaksi!$C$2:$C$2001,K78)&amp;"","")</f>
        <v/>
      </c>
      <c r="D78" s="32">
        <f>IF(J78="E",INDEX(Transaksi!$D$2:$D$2001,K78)&amp;"","")</f>
        <v/>
      </c>
      <c r="E78" s="33">
        <f>IF(J78="H",SUMIFS(Transaksi!$G$2:$G$2001,Transaksi!$M$2:$M$2001,"="&amp;S78)+SUMIFS(Transaksi!$H$2:$H$2001,Transaksi!$M$2:$M$2001,"="&amp;S78)+SUMIFS(Transaksi!$I$2:$I$2001,Transaksi!$M$2:$M$2001,"="&amp;S78),IF(J78="E",IF(INDEX(Transaksi!$G$2:$G$2001,K78)+INDEX(Transaksi!$H$2:$H$2001,K78)+INDEX(Transaksi!$I$2:$I$2001,K78)=0,"",INDEX(Transaksi!$G$2:$G$2001,K78)+INDEX(Transaksi!$H$2:$H$2001,K78)+INDEX(Transaksi!$I$2:$I$2001,K78)),""))</f>
        <v/>
      </c>
      <c r="F78" s="33">
        <f>IF(J78="H",SUMIFS(Transaksi!$J$2:$J$2001,Transaksi!$M$2:$M$2001,"="&amp;S78),IF(J78="E",IF(INDEX(Transaksi!$J$2:$J$2001,K78)=0,"",INDEX(Transaksi!$J$2:$J$2001,K78)),""))</f>
        <v/>
      </c>
      <c r="G78" s="33">
        <f>IF(J78="H",(SUMIFS(Transaksi!$G$2:$G$2001,Transaksi!$M$2:$M$2001,"&lt;="&amp;S78)+SUMIFS(Transaksi!$H$2:$H$2001,Transaksi!$M$2:$M$2001,"&lt;="&amp;S78)+SUMIFS(Transaksi!$I$2:$I$2001,Transaksi!$M$2:$M$2001,"&lt;="&amp;S78))-(SUMIFS(Transaksi!$J$2:$J$2001,Transaksi!$M$2:$M$2001,"&lt;="&amp;S78)),"")</f>
        <v/>
      </c>
      <c r="I78">
        <f>IF(75&gt;$O$2,"",MATCH(75,$Q$3:$Q$402,1))</f>
        <v/>
      </c>
      <c r="J78">
        <f>IF(I78="","",IF(75=INDEX($Q$3:$Q$402,I78),"H","E"))</f>
        <v/>
      </c>
      <c r="K78">
        <f>IF(J78&lt;&gt;"E","",MATCH(S78,Transaksi!$M$2:$M$2001,0)+75-INDEX($Q$3:$Q$402,I78)-1)</f>
        <v/>
      </c>
      <c r="N78" t="n">
        <v>76</v>
      </c>
      <c r="O78">
        <f>IF(N78&lt;=$O$1,$O$1-N78+1,"")</f>
        <v/>
      </c>
      <c r="P78">
        <f>IF(O78="",0,COUNTIF(Transaksi!$M$2:$M$2001,O78)+1)</f>
        <v/>
      </c>
      <c r="Q78">
        <f>1+SUM(P$2:P77)</f>
        <v/>
      </c>
      <c r="S78">
        <f>IF(I78="","",INDEX($O$3:$O$402,I78))</f>
        <v/>
      </c>
      <c r="T78">
        <f>IF(J78&lt;&gt;"H","",INDEX(Transaksi!$A$2:$A$2001,MATCH(S78,Transaksi!$M$2:$M$2001,0)))</f>
        <v/>
      </c>
    </row>
    <row r="79">
      <c r="A79" s="31">
        <f>IF(J79="E",IF(INDEX(Transaksi!$J$2:$J$2001,K79)&gt;0,"↑","↓"),"")</f>
        <v/>
      </c>
      <c r="B79" s="32">
        <f>IF(J79="H",CHOOSE(WEEKDAY(T79,2),"Isnin","Selasa","Rabu","Khamis","Jumaat","Sabtu","Ahad")&amp;", "&amp;DAY(T79)&amp;" "&amp;CHOOSE(MONTH(T79),"Jan","Feb","Mac","Apr","Mei","Jun","Jul","Ogo","Sep","Okt","Nov","Dis")&amp;" "&amp;YEAR(T79),IF(J79="E",IF(INDEX(Transaksi!$B$2:$B$2001,K79)="",INDEX(Transaksi!$C$2:$C$2001,K79)&amp;" · "&amp;INDEX(Transaksi!$D$2:$D$2001,K79),INDEX(Transaksi!$B$2:$B$2001,K79)),""))</f>
        <v/>
      </c>
      <c r="C79" s="32">
        <f>IF(J79="E",INDEX(Transaksi!$C$2:$C$2001,K79)&amp;"","")</f>
        <v/>
      </c>
      <c r="D79" s="32">
        <f>IF(J79="E",INDEX(Transaksi!$D$2:$D$2001,K79)&amp;"","")</f>
        <v/>
      </c>
      <c r="E79" s="33">
        <f>IF(J79="H",SUMIFS(Transaksi!$G$2:$G$2001,Transaksi!$M$2:$M$2001,"="&amp;S79)+SUMIFS(Transaksi!$H$2:$H$2001,Transaksi!$M$2:$M$2001,"="&amp;S79)+SUMIFS(Transaksi!$I$2:$I$2001,Transaksi!$M$2:$M$2001,"="&amp;S79),IF(J79="E",IF(INDEX(Transaksi!$G$2:$G$2001,K79)+INDEX(Transaksi!$H$2:$H$2001,K79)+INDEX(Transaksi!$I$2:$I$2001,K79)=0,"",INDEX(Transaksi!$G$2:$G$2001,K79)+INDEX(Transaksi!$H$2:$H$2001,K79)+INDEX(Transaksi!$I$2:$I$2001,K79)),""))</f>
        <v/>
      </c>
      <c r="F79" s="33">
        <f>IF(J79="H",SUMIFS(Transaksi!$J$2:$J$2001,Transaksi!$M$2:$M$2001,"="&amp;S79),IF(J79="E",IF(INDEX(Transaksi!$J$2:$J$2001,K79)=0,"",INDEX(Transaksi!$J$2:$J$2001,K79)),""))</f>
        <v/>
      </c>
      <c r="G79" s="33">
        <f>IF(J79="H",(SUMIFS(Transaksi!$G$2:$G$2001,Transaksi!$M$2:$M$2001,"&lt;="&amp;S79)+SUMIFS(Transaksi!$H$2:$H$2001,Transaksi!$M$2:$M$2001,"&lt;="&amp;S79)+SUMIFS(Transaksi!$I$2:$I$2001,Transaksi!$M$2:$M$2001,"&lt;="&amp;S79))-(SUMIFS(Transaksi!$J$2:$J$2001,Transaksi!$M$2:$M$2001,"&lt;="&amp;S79)),"")</f>
        <v/>
      </c>
      <c r="I79">
        <f>IF(76&gt;$O$2,"",MATCH(76,$Q$3:$Q$402,1))</f>
        <v/>
      </c>
      <c r="J79">
        <f>IF(I79="","",IF(76=INDEX($Q$3:$Q$402,I79),"H","E"))</f>
        <v/>
      </c>
      <c r="K79">
        <f>IF(J79&lt;&gt;"E","",MATCH(S79,Transaksi!$M$2:$M$2001,0)+76-INDEX($Q$3:$Q$402,I79)-1)</f>
        <v/>
      </c>
      <c r="N79" t="n">
        <v>77</v>
      </c>
      <c r="O79">
        <f>IF(N79&lt;=$O$1,$O$1-N79+1,"")</f>
        <v/>
      </c>
      <c r="P79">
        <f>IF(O79="",0,COUNTIF(Transaksi!$M$2:$M$2001,O79)+1)</f>
        <v/>
      </c>
      <c r="Q79">
        <f>1+SUM(P$2:P78)</f>
        <v/>
      </c>
      <c r="S79">
        <f>IF(I79="","",INDEX($O$3:$O$402,I79))</f>
        <v/>
      </c>
      <c r="T79">
        <f>IF(J79&lt;&gt;"H","",INDEX(Transaksi!$A$2:$A$2001,MATCH(S79,Transaksi!$M$2:$M$2001,0)))</f>
        <v/>
      </c>
    </row>
    <row r="80">
      <c r="A80" s="31">
        <f>IF(J80="E",IF(INDEX(Transaksi!$J$2:$J$2001,K80)&gt;0,"↑","↓"),"")</f>
        <v/>
      </c>
      <c r="B80" s="32">
        <f>IF(J80="H",CHOOSE(WEEKDAY(T80,2),"Isnin","Selasa","Rabu","Khamis","Jumaat","Sabtu","Ahad")&amp;", "&amp;DAY(T80)&amp;" "&amp;CHOOSE(MONTH(T80),"Jan","Feb","Mac","Apr","Mei","Jun","Jul","Ogo","Sep","Okt","Nov","Dis")&amp;" "&amp;YEAR(T80),IF(J80="E",IF(INDEX(Transaksi!$B$2:$B$2001,K80)="",INDEX(Transaksi!$C$2:$C$2001,K80)&amp;" · "&amp;INDEX(Transaksi!$D$2:$D$2001,K80),INDEX(Transaksi!$B$2:$B$2001,K80)),""))</f>
        <v/>
      </c>
      <c r="C80" s="32">
        <f>IF(J80="E",INDEX(Transaksi!$C$2:$C$2001,K80)&amp;"","")</f>
        <v/>
      </c>
      <c r="D80" s="32">
        <f>IF(J80="E",INDEX(Transaksi!$D$2:$D$2001,K80)&amp;"","")</f>
        <v/>
      </c>
      <c r="E80" s="33">
        <f>IF(J80="H",SUMIFS(Transaksi!$G$2:$G$2001,Transaksi!$M$2:$M$2001,"="&amp;S80)+SUMIFS(Transaksi!$H$2:$H$2001,Transaksi!$M$2:$M$2001,"="&amp;S80)+SUMIFS(Transaksi!$I$2:$I$2001,Transaksi!$M$2:$M$2001,"="&amp;S80),IF(J80="E",IF(INDEX(Transaksi!$G$2:$G$2001,K80)+INDEX(Transaksi!$H$2:$H$2001,K80)+INDEX(Transaksi!$I$2:$I$2001,K80)=0,"",INDEX(Transaksi!$G$2:$G$2001,K80)+INDEX(Transaksi!$H$2:$H$2001,K80)+INDEX(Transaksi!$I$2:$I$2001,K80)),""))</f>
        <v/>
      </c>
      <c r="F80" s="33">
        <f>IF(J80="H",SUMIFS(Transaksi!$J$2:$J$2001,Transaksi!$M$2:$M$2001,"="&amp;S80),IF(J80="E",IF(INDEX(Transaksi!$J$2:$J$2001,K80)=0,"",INDEX(Transaksi!$J$2:$J$2001,K80)),""))</f>
        <v/>
      </c>
      <c r="G80" s="33">
        <f>IF(J80="H",(SUMIFS(Transaksi!$G$2:$G$2001,Transaksi!$M$2:$M$2001,"&lt;="&amp;S80)+SUMIFS(Transaksi!$H$2:$H$2001,Transaksi!$M$2:$M$2001,"&lt;="&amp;S80)+SUMIFS(Transaksi!$I$2:$I$2001,Transaksi!$M$2:$M$2001,"&lt;="&amp;S80))-(SUMIFS(Transaksi!$J$2:$J$2001,Transaksi!$M$2:$M$2001,"&lt;="&amp;S80)),"")</f>
        <v/>
      </c>
      <c r="I80">
        <f>IF(77&gt;$O$2,"",MATCH(77,$Q$3:$Q$402,1))</f>
        <v/>
      </c>
      <c r="J80">
        <f>IF(I80="","",IF(77=INDEX($Q$3:$Q$402,I80),"H","E"))</f>
        <v/>
      </c>
      <c r="K80">
        <f>IF(J80&lt;&gt;"E","",MATCH(S80,Transaksi!$M$2:$M$2001,0)+77-INDEX($Q$3:$Q$402,I80)-1)</f>
        <v/>
      </c>
      <c r="N80" t="n">
        <v>78</v>
      </c>
      <c r="O80">
        <f>IF(N80&lt;=$O$1,$O$1-N80+1,"")</f>
        <v/>
      </c>
      <c r="P80">
        <f>IF(O80="",0,COUNTIF(Transaksi!$M$2:$M$2001,O80)+1)</f>
        <v/>
      </c>
      <c r="Q80">
        <f>1+SUM(P$2:P79)</f>
        <v/>
      </c>
      <c r="S80">
        <f>IF(I80="","",INDEX($O$3:$O$402,I80))</f>
        <v/>
      </c>
      <c r="T80">
        <f>IF(J80&lt;&gt;"H","",INDEX(Transaksi!$A$2:$A$2001,MATCH(S80,Transaksi!$M$2:$M$2001,0)))</f>
        <v/>
      </c>
    </row>
    <row r="81">
      <c r="A81" s="31">
        <f>IF(J81="E",IF(INDEX(Transaksi!$J$2:$J$2001,K81)&gt;0,"↑","↓"),"")</f>
        <v/>
      </c>
      <c r="B81" s="32">
        <f>IF(J81="H",CHOOSE(WEEKDAY(T81,2),"Isnin","Selasa","Rabu","Khamis","Jumaat","Sabtu","Ahad")&amp;", "&amp;DAY(T81)&amp;" "&amp;CHOOSE(MONTH(T81),"Jan","Feb","Mac","Apr","Mei","Jun","Jul","Ogo","Sep","Okt","Nov","Dis")&amp;" "&amp;YEAR(T81),IF(J81="E",IF(INDEX(Transaksi!$B$2:$B$2001,K81)="",INDEX(Transaksi!$C$2:$C$2001,K81)&amp;" · "&amp;INDEX(Transaksi!$D$2:$D$2001,K81),INDEX(Transaksi!$B$2:$B$2001,K81)),""))</f>
        <v/>
      </c>
      <c r="C81" s="32">
        <f>IF(J81="E",INDEX(Transaksi!$C$2:$C$2001,K81)&amp;"","")</f>
        <v/>
      </c>
      <c r="D81" s="32">
        <f>IF(J81="E",INDEX(Transaksi!$D$2:$D$2001,K81)&amp;"","")</f>
        <v/>
      </c>
      <c r="E81" s="33">
        <f>IF(J81="H",SUMIFS(Transaksi!$G$2:$G$2001,Transaksi!$M$2:$M$2001,"="&amp;S81)+SUMIFS(Transaksi!$H$2:$H$2001,Transaksi!$M$2:$M$2001,"="&amp;S81)+SUMIFS(Transaksi!$I$2:$I$2001,Transaksi!$M$2:$M$2001,"="&amp;S81),IF(J81="E",IF(INDEX(Transaksi!$G$2:$G$2001,K81)+INDEX(Transaksi!$H$2:$H$2001,K81)+INDEX(Transaksi!$I$2:$I$2001,K81)=0,"",INDEX(Transaksi!$G$2:$G$2001,K81)+INDEX(Transaksi!$H$2:$H$2001,K81)+INDEX(Transaksi!$I$2:$I$2001,K81)),""))</f>
        <v/>
      </c>
      <c r="F81" s="33">
        <f>IF(J81="H",SUMIFS(Transaksi!$J$2:$J$2001,Transaksi!$M$2:$M$2001,"="&amp;S81),IF(J81="E",IF(INDEX(Transaksi!$J$2:$J$2001,K81)=0,"",INDEX(Transaksi!$J$2:$J$2001,K81)),""))</f>
        <v/>
      </c>
      <c r="G81" s="33">
        <f>IF(J81="H",(SUMIFS(Transaksi!$G$2:$G$2001,Transaksi!$M$2:$M$2001,"&lt;="&amp;S81)+SUMIFS(Transaksi!$H$2:$H$2001,Transaksi!$M$2:$M$2001,"&lt;="&amp;S81)+SUMIFS(Transaksi!$I$2:$I$2001,Transaksi!$M$2:$M$2001,"&lt;="&amp;S81))-(SUMIFS(Transaksi!$J$2:$J$2001,Transaksi!$M$2:$M$2001,"&lt;="&amp;S81)),"")</f>
        <v/>
      </c>
      <c r="I81">
        <f>IF(78&gt;$O$2,"",MATCH(78,$Q$3:$Q$402,1))</f>
        <v/>
      </c>
      <c r="J81">
        <f>IF(I81="","",IF(78=INDEX($Q$3:$Q$402,I81),"H","E"))</f>
        <v/>
      </c>
      <c r="K81">
        <f>IF(J81&lt;&gt;"E","",MATCH(S81,Transaksi!$M$2:$M$2001,0)+78-INDEX($Q$3:$Q$402,I81)-1)</f>
        <v/>
      </c>
      <c r="N81" t="n">
        <v>79</v>
      </c>
      <c r="O81">
        <f>IF(N81&lt;=$O$1,$O$1-N81+1,"")</f>
        <v/>
      </c>
      <c r="P81">
        <f>IF(O81="",0,COUNTIF(Transaksi!$M$2:$M$2001,O81)+1)</f>
        <v/>
      </c>
      <c r="Q81">
        <f>1+SUM(P$2:P80)</f>
        <v/>
      </c>
      <c r="S81">
        <f>IF(I81="","",INDEX($O$3:$O$402,I81))</f>
        <v/>
      </c>
      <c r="T81">
        <f>IF(J81&lt;&gt;"H","",INDEX(Transaksi!$A$2:$A$2001,MATCH(S81,Transaksi!$M$2:$M$2001,0)))</f>
        <v/>
      </c>
    </row>
    <row r="82">
      <c r="A82" s="31">
        <f>IF(J82="E",IF(INDEX(Transaksi!$J$2:$J$2001,K82)&gt;0,"↑","↓"),"")</f>
        <v/>
      </c>
      <c r="B82" s="32">
        <f>IF(J82="H",CHOOSE(WEEKDAY(T82,2),"Isnin","Selasa","Rabu","Khamis","Jumaat","Sabtu","Ahad")&amp;", "&amp;DAY(T82)&amp;" "&amp;CHOOSE(MONTH(T82),"Jan","Feb","Mac","Apr","Mei","Jun","Jul","Ogo","Sep","Okt","Nov","Dis")&amp;" "&amp;YEAR(T82),IF(J82="E",IF(INDEX(Transaksi!$B$2:$B$2001,K82)="",INDEX(Transaksi!$C$2:$C$2001,K82)&amp;" · "&amp;INDEX(Transaksi!$D$2:$D$2001,K82),INDEX(Transaksi!$B$2:$B$2001,K82)),""))</f>
        <v/>
      </c>
      <c r="C82" s="32">
        <f>IF(J82="E",INDEX(Transaksi!$C$2:$C$2001,K82)&amp;"","")</f>
        <v/>
      </c>
      <c r="D82" s="32">
        <f>IF(J82="E",INDEX(Transaksi!$D$2:$D$2001,K82)&amp;"","")</f>
        <v/>
      </c>
      <c r="E82" s="33">
        <f>IF(J82="H",SUMIFS(Transaksi!$G$2:$G$2001,Transaksi!$M$2:$M$2001,"="&amp;S82)+SUMIFS(Transaksi!$H$2:$H$2001,Transaksi!$M$2:$M$2001,"="&amp;S82)+SUMIFS(Transaksi!$I$2:$I$2001,Transaksi!$M$2:$M$2001,"="&amp;S82),IF(J82="E",IF(INDEX(Transaksi!$G$2:$G$2001,K82)+INDEX(Transaksi!$H$2:$H$2001,K82)+INDEX(Transaksi!$I$2:$I$2001,K82)=0,"",INDEX(Transaksi!$G$2:$G$2001,K82)+INDEX(Transaksi!$H$2:$H$2001,K82)+INDEX(Transaksi!$I$2:$I$2001,K82)),""))</f>
        <v/>
      </c>
      <c r="F82" s="33">
        <f>IF(J82="H",SUMIFS(Transaksi!$J$2:$J$2001,Transaksi!$M$2:$M$2001,"="&amp;S82),IF(J82="E",IF(INDEX(Transaksi!$J$2:$J$2001,K82)=0,"",INDEX(Transaksi!$J$2:$J$2001,K82)),""))</f>
        <v/>
      </c>
      <c r="G82" s="33">
        <f>IF(J82="H",(SUMIFS(Transaksi!$G$2:$G$2001,Transaksi!$M$2:$M$2001,"&lt;="&amp;S82)+SUMIFS(Transaksi!$H$2:$H$2001,Transaksi!$M$2:$M$2001,"&lt;="&amp;S82)+SUMIFS(Transaksi!$I$2:$I$2001,Transaksi!$M$2:$M$2001,"&lt;="&amp;S82))-(SUMIFS(Transaksi!$J$2:$J$2001,Transaksi!$M$2:$M$2001,"&lt;="&amp;S82)),"")</f>
        <v/>
      </c>
      <c r="I82">
        <f>IF(79&gt;$O$2,"",MATCH(79,$Q$3:$Q$402,1))</f>
        <v/>
      </c>
      <c r="J82">
        <f>IF(I82="","",IF(79=INDEX($Q$3:$Q$402,I82),"H","E"))</f>
        <v/>
      </c>
      <c r="K82">
        <f>IF(J82&lt;&gt;"E","",MATCH(S82,Transaksi!$M$2:$M$2001,0)+79-INDEX($Q$3:$Q$402,I82)-1)</f>
        <v/>
      </c>
      <c r="N82" t="n">
        <v>80</v>
      </c>
      <c r="O82">
        <f>IF(N82&lt;=$O$1,$O$1-N82+1,"")</f>
        <v/>
      </c>
      <c r="P82">
        <f>IF(O82="",0,COUNTIF(Transaksi!$M$2:$M$2001,O82)+1)</f>
        <v/>
      </c>
      <c r="Q82">
        <f>1+SUM(P$2:P81)</f>
        <v/>
      </c>
      <c r="S82">
        <f>IF(I82="","",INDEX($O$3:$O$402,I82))</f>
        <v/>
      </c>
      <c r="T82">
        <f>IF(J82&lt;&gt;"H","",INDEX(Transaksi!$A$2:$A$2001,MATCH(S82,Transaksi!$M$2:$M$2001,0)))</f>
        <v/>
      </c>
    </row>
    <row r="83">
      <c r="A83" s="31">
        <f>IF(J83="E",IF(INDEX(Transaksi!$J$2:$J$2001,K83)&gt;0,"↑","↓"),"")</f>
        <v/>
      </c>
      <c r="B83" s="32">
        <f>IF(J83="H",CHOOSE(WEEKDAY(T83,2),"Isnin","Selasa","Rabu","Khamis","Jumaat","Sabtu","Ahad")&amp;", "&amp;DAY(T83)&amp;" "&amp;CHOOSE(MONTH(T83),"Jan","Feb","Mac","Apr","Mei","Jun","Jul","Ogo","Sep","Okt","Nov","Dis")&amp;" "&amp;YEAR(T83),IF(J83="E",IF(INDEX(Transaksi!$B$2:$B$2001,K83)="",INDEX(Transaksi!$C$2:$C$2001,K83)&amp;" · "&amp;INDEX(Transaksi!$D$2:$D$2001,K83),INDEX(Transaksi!$B$2:$B$2001,K83)),""))</f>
        <v/>
      </c>
      <c r="C83" s="32">
        <f>IF(J83="E",INDEX(Transaksi!$C$2:$C$2001,K83)&amp;"","")</f>
        <v/>
      </c>
      <c r="D83" s="32">
        <f>IF(J83="E",INDEX(Transaksi!$D$2:$D$2001,K83)&amp;"","")</f>
        <v/>
      </c>
      <c r="E83" s="33">
        <f>IF(J83="H",SUMIFS(Transaksi!$G$2:$G$2001,Transaksi!$M$2:$M$2001,"="&amp;S83)+SUMIFS(Transaksi!$H$2:$H$2001,Transaksi!$M$2:$M$2001,"="&amp;S83)+SUMIFS(Transaksi!$I$2:$I$2001,Transaksi!$M$2:$M$2001,"="&amp;S83),IF(J83="E",IF(INDEX(Transaksi!$G$2:$G$2001,K83)+INDEX(Transaksi!$H$2:$H$2001,K83)+INDEX(Transaksi!$I$2:$I$2001,K83)=0,"",INDEX(Transaksi!$G$2:$G$2001,K83)+INDEX(Transaksi!$H$2:$H$2001,K83)+INDEX(Transaksi!$I$2:$I$2001,K83)),""))</f>
        <v/>
      </c>
      <c r="F83" s="33">
        <f>IF(J83="H",SUMIFS(Transaksi!$J$2:$J$2001,Transaksi!$M$2:$M$2001,"="&amp;S83),IF(J83="E",IF(INDEX(Transaksi!$J$2:$J$2001,K83)=0,"",INDEX(Transaksi!$J$2:$J$2001,K83)),""))</f>
        <v/>
      </c>
      <c r="G83" s="33">
        <f>IF(J83="H",(SUMIFS(Transaksi!$G$2:$G$2001,Transaksi!$M$2:$M$2001,"&lt;="&amp;S83)+SUMIFS(Transaksi!$H$2:$H$2001,Transaksi!$M$2:$M$2001,"&lt;="&amp;S83)+SUMIFS(Transaksi!$I$2:$I$2001,Transaksi!$M$2:$M$2001,"&lt;="&amp;S83))-(SUMIFS(Transaksi!$J$2:$J$2001,Transaksi!$M$2:$M$2001,"&lt;="&amp;S83)),"")</f>
        <v/>
      </c>
      <c r="I83">
        <f>IF(80&gt;$O$2,"",MATCH(80,$Q$3:$Q$402,1))</f>
        <v/>
      </c>
      <c r="J83">
        <f>IF(I83="","",IF(80=INDEX($Q$3:$Q$402,I83),"H","E"))</f>
        <v/>
      </c>
      <c r="K83">
        <f>IF(J83&lt;&gt;"E","",MATCH(S83,Transaksi!$M$2:$M$2001,0)+80-INDEX($Q$3:$Q$402,I83)-1)</f>
        <v/>
      </c>
      <c r="N83" t="n">
        <v>81</v>
      </c>
      <c r="O83">
        <f>IF(N83&lt;=$O$1,$O$1-N83+1,"")</f>
        <v/>
      </c>
      <c r="P83">
        <f>IF(O83="",0,COUNTIF(Transaksi!$M$2:$M$2001,O83)+1)</f>
        <v/>
      </c>
      <c r="Q83">
        <f>1+SUM(P$2:P82)</f>
        <v/>
      </c>
      <c r="S83">
        <f>IF(I83="","",INDEX($O$3:$O$402,I83))</f>
        <v/>
      </c>
      <c r="T83">
        <f>IF(J83&lt;&gt;"H","",INDEX(Transaksi!$A$2:$A$2001,MATCH(S83,Transaksi!$M$2:$M$2001,0)))</f>
        <v/>
      </c>
    </row>
    <row r="84">
      <c r="A84" s="31">
        <f>IF(J84="E",IF(INDEX(Transaksi!$J$2:$J$2001,K84)&gt;0,"↑","↓"),"")</f>
        <v/>
      </c>
      <c r="B84" s="32">
        <f>IF(J84="H",CHOOSE(WEEKDAY(T84,2),"Isnin","Selasa","Rabu","Khamis","Jumaat","Sabtu","Ahad")&amp;", "&amp;DAY(T84)&amp;" "&amp;CHOOSE(MONTH(T84),"Jan","Feb","Mac","Apr","Mei","Jun","Jul","Ogo","Sep","Okt","Nov","Dis")&amp;" "&amp;YEAR(T84),IF(J84="E",IF(INDEX(Transaksi!$B$2:$B$2001,K84)="",INDEX(Transaksi!$C$2:$C$2001,K84)&amp;" · "&amp;INDEX(Transaksi!$D$2:$D$2001,K84),INDEX(Transaksi!$B$2:$B$2001,K84)),""))</f>
        <v/>
      </c>
      <c r="C84" s="32">
        <f>IF(J84="E",INDEX(Transaksi!$C$2:$C$2001,K84)&amp;"","")</f>
        <v/>
      </c>
      <c r="D84" s="32">
        <f>IF(J84="E",INDEX(Transaksi!$D$2:$D$2001,K84)&amp;"","")</f>
        <v/>
      </c>
      <c r="E84" s="33">
        <f>IF(J84="H",SUMIFS(Transaksi!$G$2:$G$2001,Transaksi!$M$2:$M$2001,"="&amp;S84)+SUMIFS(Transaksi!$H$2:$H$2001,Transaksi!$M$2:$M$2001,"="&amp;S84)+SUMIFS(Transaksi!$I$2:$I$2001,Transaksi!$M$2:$M$2001,"="&amp;S84),IF(J84="E",IF(INDEX(Transaksi!$G$2:$G$2001,K84)+INDEX(Transaksi!$H$2:$H$2001,K84)+INDEX(Transaksi!$I$2:$I$2001,K84)=0,"",INDEX(Transaksi!$G$2:$G$2001,K84)+INDEX(Transaksi!$H$2:$H$2001,K84)+INDEX(Transaksi!$I$2:$I$2001,K84)),""))</f>
        <v/>
      </c>
      <c r="F84" s="33">
        <f>IF(J84="H",SUMIFS(Transaksi!$J$2:$J$2001,Transaksi!$M$2:$M$2001,"="&amp;S84),IF(J84="E",IF(INDEX(Transaksi!$J$2:$J$2001,K84)=0,"",INDEX(Transaksi!$J$2:$J$2001,K84)),""))</f>
        <v/>
      </c>
      <c r="G84" s="33">
        <f>IF(J84="H",(SUMIFS(Transaksi!$G$2:$G$2001,Transaksi!$M$2:$M$2001,"&lt;="&amp;S84)+SUMIFS(Transaksi!$H$2:$H$2001,Transaksi!$M$2:$M$2001,"&lt;="&amp;S84)+SUMIFS(Transaksi!$I$2:$I$2001,Transaksi!$M$2:$M$2001,"&lt;="&amp;S84))-(SUMIFS(Transaksi!$J$2:$J$2001,Transaksi!$M$2:$M$2001,"&lt;="&amp;S84)),"")</f>
        <v/>
      </c>
      <c r="I84">
        <f>IF(81&gt;$O$2,"",MATCH(81,$Q$3:$Q$402,1))</f>
        <v/>
      </c>
      <c r="J84">
        <f>IF(I84="","",IF(81=INDEX($Q$3:$Q$402,I84),"H","E"))</f>
        <v/>
      </c>
      <c r="K84">
        <f>IF(J84&lt;&gt;"E","",MATCH(S84,Transaksi!$M$2:$M$2001,0)+81-INDEX($Q$3:$Q$402,I84)-1)</f>
        <v/>
      </c>
      <c r="N84" t="n">
        <v>82</v>
      </c>
      <c r="O84">
        <f>IF(N84&lt;=$O$1,$O$1-N84+1,"")</f>
        <v/>
      </c>
      <c r="P84">
        <f>IF(O84="",0,COUNTIF(Transaksi!$M$2:$M$2001,O84)+1)</f>
        <v/>
      </c>
      <c r="Q84">
        <f>1+SUM(P$2:P83)</f>
        <v/>
      </c>
      <c r="S84">
        <f>IF(I84="","",INDEX($O$3:$O$402,I84))</f>
        <v/>
      </c>
      <c r="T84">
        <f>IF(J84&lt;&gt;"H","",INDEX(Transaksi!$A$2:$A$2001,MATCH(S84,Transaksi!$M$2:$M$2001,0)))</f>
        <v/>
      </c>
    </row>
    <row r="85">
      <c r="A85" s="31">
        <f>IF(J85="E",IF(INDEX(Transaksi!$J$2:$J$2001,K85)&gt;0,"↑","↓"),"")</f>
        <v/>
      </c>
      <c r="B85" s="32">
        <f>IF(J85="H",CHOOSE(WEEKDAY(T85,2),"Isnin","Selasa","Rabu","Khamis","Jumaat","Sabtu","Ahad")&amp;", "&amp;DAY(T85)&amp;" "&amp;CHOOSE(MONTH(T85),"Jan","Feb","Mac","Apr","Mei","Jun","Jul","Ogo","Sep","Okt","Nov","Dis")&amp;" "&amp;YEAR(T85),IF(J85="E",IF(INDEX(Transaksi!$B$2:$B$2001,K85)="",INDEX(Transaksi!$C$2:$C$2001,K85)&amp;" · "&amp;INDEX(Transaksi!$D$2:$D$2001,K85),INDEX(Transaksi!$B$2:$B$2001,K85)),""))</f>
        <v/>
      </c>
      <c r="C85" s="32">
        <f>IF(J85="E",INDEX(Transaksi!$C$2:$C$2001,K85)&amp;"","")</f>
        <v/>
      </c>
      <c r="D85" s="32">
        <f>IF(J85="E",INDEX(Transaksi!$D$2:$D$2001,K85)&amp;"","")</f>
        <v/>
      </c>
      <c r="E85" s="33">
        <f>IF(J85="H",SUMIFS(Transaksi!$G$2:$G$2001,Transaksi!$M$2:$M$2001,"="&amp;S85)+SUMIFS(Transaksi!$H$2:$H$2001,Transaksi!$M$2:$M$2001,"="&amp;S85)+SUMIFS(Transaksi!$I$2:$I$2001,Transaksi!$M$2:$M$2001,"="&amp;S85),IF(J85="E",IF(INDEX(Transaksi!$G$2:$G$2001,K85)+INDEX(Transaksi!$H$2:$H$2001,K85)+INDEX(Transaksi!$I$2:$I$2001,K85)=0,"",INDEX(Transaksi!$G$2:$G$2001,K85)+INDEX(Transaksi!$H$2:$H$2001,K85)+INDEX(Transaksi!$I$2:$I$2001,K85)),""))</f>
        <v/>
      </c>
      <c r="F85" s="33">
        <f>IF(J85="H",SUMIFS(Transaksi!$J$2:$J$2001,Transaksi!$M$2:$M$2001,"="&amp;S85),IF(J85="E",IF(INDEX(Transaksi!$J$2:$J$2001,K85)=0,"",INDEX(Transaksi!$J$2:$J$2001,K85)),""))</f>
        <v/>
      </c>
      <c r="G85" s="33">
        <f>IF(J85="H",(SUMIFS(Transaksi!$G$2:$G$2001,Transaksi!$M$2:$M$2001,"&lt;="&amp;S85)+SUMIFS(Transaksi!$H$2:$H$2001,Transaksi!$M$2:$M$2001,"&lt;="&amp;S85)+SUMIFS(Transaksi!$I$2:$I$2001,Transaksi!$M$2:$M$2001,"&lt;="&amp;S85))-(SUMIFS(Transaksi!$J$2:$J$2001,Transaksi!$M$2:$M$2001,"&lt;="&amp;S85)),"")</f>
        <v/>
      </c>
      <c r="I85">
        <f>IF(82&gt;$O$2,"",MATCH(82,$Q$3:$Q$402,1))</f>
        <v/>
      </c>
      <c r="J85">
        <f>IF(I85="","",IF(82=INDEX($Q$3:$Q$402,I85),"H","E"))</f>
        <v/>
      </c>
      <c r="K85">
        <f>IF(J85&lt;&gt;"E","",MATCH(S85,Transaksi!$M$2:$M$2001,0)+82-INDEX($Q$3:$Q$402,I85)-1)</f>
        <v/>
      </c>
      <c r="N85" t="n">
        <v>83</v>
      </c>
      <c r="O85">
        <f>IF(N85&lt;=$O$1,$O$1-N85+1,"")</f>
        <v/>
      </c>
      <c r="P85">
        <f>IF(O85="",0,COUNTIF(Transaksi!$M$2:$M$2001,O85)+1)</f>
        <v/>
      </c>
      <c r="Q85">
        <f>1+SUM(P$2:P84)</f>
        <v/>
      </c>
      <c r="S85">
        <f>IF(I85="","",INDEX($O$3:$O$402,I85))</f>
        <v/>
      </c>
      <c r="T85">
        <f>IF(J85&lt;&gt;"H","",INDEX(Transaksi!$A$2:$A$2001,MATCH(S85,Transaksi!$M$2:$M$2001,0)))</f>
        <v/>
      </c>
    </row>
    <row r="86">
      <c r="A86" s="31">
        <f>IF(J86="E",IF(INDEX(Transaksi!$J$2:$J$2001,K86)&gt;0,"↑","↓"),"")</f>
        <v/>
      </c>
      <c r="B86" s="32">
        <f>IF(J86="H",CHOOSE(WEEKDAY(T86,2),"Isnin","Selasa","Rabu","Khamis","Jumaat","Sabtu","Ahad")&amp;", "&amp;DAY(T86)&amp;" "&amp;CHOOSE(MONTH(T86),"Jan","Feb","Mac","Apr","Mei","Jun","Jul","Ogo","Sep","Okt","Nov","Dis")&amp;" "&amp;YEAR(T86),IF(J86="E",IF(INDEX(Transaksi!$B$2:$B$2001,K86)="",INDEX(Transaksi!$C$2:$C$2001,K86)&amp;" · "&amp;INDEX(Transaksi!$D$2:$D$2001,K86),INDEX(Transaksi!$B$2:$B$2001,K86)),""))</f>
        <v/>
      </c>
      <c r="C86" s="32">
        <f>IF(J86="E",INDEX(Transaksi!$C$2:$C$2001,K86)&amp;"","")</f>
        <v/>
      </c>
      <c r="D86" s="32">
        <f>IF(J86="E",INDEX(Transaksi!$D$2:$D$2001,K86)&amp;"","")</f>
        <v/>
      </c>
      <c r="E86" s="33">
        <f>IF(J86="H",SUMIFS(Transaksi!$G$2:$G$2001,Transaksi!$M$2:$M$2001,"="&amp;S86)+SUMIFS(Transaksi!$H$2:$H$2001,Transaksi!$M$2:$M$2001,"="&amp;S86)+SUMIFS(Transaksi!$I$2:$I$2001,Transaksi!$M$2:$M$2001,"="&amp;S86),IF(J86="E",IF(INDEX(Transaksi!$G$2:$G$2001,K86)+INDEX(Transaksi!$H$2:$H$2001,K86)+INDEX(Transaksi!$I$2:$I$2001,K86)=0,"",INDEX(Transaksi!$G$2:$G$2001,K86)+INDEX(Transaksi!$H$2:$H$2001,K86)+INDEX(Transaksi!$I$2:$I$2001,K86)),""))</f>
        <v/>
      </c>
      <c r="F86" s="33">
        <f>IF(J86="H",SUMIFS(Transaksi!$J$2:$J$2001,Transaksi!$M$2:$M$2001,"="&amp;S86),IF(J86="E",IF(INDEX(Transaksi!$J$2:$J$2001,K86)=0,"",INDEX(Transaksi!$J$2:$J$2001,K86)),""))</f>
        <v/>
      </c>
      <c r="G86" s="33">
        <f>IF(J86="H",(SUMIFS(Transaksi!$G$2:$G$2001,Transaksi!$M$2:$M$2001,"&lt;="&amp;S86)+SUMIFS(Transaksi!$H$2:$H$2001,Transaksi!$M$2:$M$2001,"&lt;="&amp;S86)+SUMIFS(Transaksi!$I$2:$I$2001,Transaksi!$M$2:$M$2001,"&lt;="&amp;S86))-(SUMIFS(Transaksi!$J$2:$J$2001,Transaksi!$M$2:$M$2001,"&lt;="&amp;S86)),"")</f>
        <v/>
      </c>
      <c r="I86">
        <f>IF(83&gt;$O$2,"",MATCH(83,$Q$3:$Q$402,1))</f>
        <v/>
      </c>
      <c r="J86">
        <f>IF(I86="","",IF(83=INDEX($Q$3:$Q$402,I86),"H","E"))</f>
        <v/>
      </c>
      <c r="K86">
        <f>IF(J86&lt;&gt;"E","",MATCH(S86,Transaksi!$M$2:$M$2001,0)+83-INDEX($Q$3:$Q$402,I86)-1)</f>
        <v/>
      </c>
      <c r="N86" t="n">
        <v>84</v>
      </c>
      <c r="O86">
        <f>IF(N86&lt;=$O$1,$O$1-N86+1,"")</f>
        <v/>
      </c>
      <c r="P86">
        <f>IF(O86="",0,COUNTIF(Transaksi!$M$2:$M$2001,O86)+1)</f>
        <v/>
      </c>
      <c r="Q86">
        <f>1+SUM(P$2:P85)</f>
        <v/>
      </c>
      <c r="S86">
        <f>IF(I86="","",INDEX($O$3:$O$402,I86))</f>
        <v/>
      </c>
      <c r="T86">
        <f>IF(J86&lt;&gt;"H","",INDEX(Transaksi!$A$2:$A$2001,MATCH(S86,Transaksi!$M$2:$M$2001,0)))</f>
        <v/>
      </c>
    </row>
    <row r="87">
      <c r="A87" s="31">
        <f>IF(J87="E",IF(INDEX(Transaksi!$J$2:$J$2001,K87)&gt;0,"↑","↓"),"")</f>
        <v/>
      </c>
      <c r="B87" s="32">
        <f>IF(J87="H",CHOOSE(WEEKDAY(T87,2),"Isnin","Selasa","Rabu","Khamis","Jumaat","Sabtu","Ahad")&amp;", "&amp;DAY(T87)&amp;" "&amp;CHOOSE(MONTH(T87),"Jan","Feb","Mac","Apr","Mei","Jun","Jul","Ogo","Sep","Okt","Nov","Dis")&amp;" "&amp;YEAR(T87),IF(J87="E",IF(INDEX(Transaksi!$B$2:$B$2001,K87)="",INDEX(Transaksi!$C$2:$C$2001,K87)&amp;" · "&amp;INDEX(Transaksi!$D$2:$D$2001,K87),INDEX(Transaksi!$B$2:$B$2001,K87)),""))</f>
        <v/>
      </c>
      <c r="C87" s="32">
        <f>IF(J87="E",INDEX(Transaksi!$C$2:$C$2001,K87)&amp;"","")</f>
        <v/>
      </c>
      <c r="D87" s="32">
        <f>IF(J87="E",INDEX(Transaksi!$D$2:$D$2001,K87)&amp;"","")</f>
        <v/>
      </c>
      <c r="E87" s="33">
        <f>IF(J87="H",SUMIFS(Transaksi!$G$2:$G$2001,Transaksi!$M$2:$M$2001,"="&amp;S87)+SUMIFS(Transaksi!$H$2:$H$2001,Transaksi!$M$2:$M$2001,"="&amp;S87)+SUMIFS(Transaksi!$I$2:$I$2001,Transaksi!$M$2:$M$2001,"="&amp;S87),IF(J87="E",IF(INDEX(Transaksi!$G$2:$G$2001,K87)+INDEX(Transaksi!$H$2:$H$2001,K87)+INDEX(Transaksi!$I$2:$I$2001,K87)=0,"",INDEX(Transaksi!$G$2:$G$2001,K87)+INDEX(Transaksi!$H$2:$H$2001,K87)+INDEX(Transaksi!$I$2:$I$2001,K87)),""))</f>
        <v/>
      </c>
      <c r="F87" s="33">
        <f>IF(J87="H",SUMIFS(Transaksi!$J$2:$J$2001,Transaksi!$M$2:$M$2001,"="&amp;S87),IF(J87="E",IF(INDEX(Transaksi!$J$2:$J$2001,K87)=0,"",INDEX(Transaksi!$J$2:$J$2001,K87)),""))</f>
        <v/>
      </c>
      <c r="G87" s="33">
        <f>IF(J87="H",(SUMIFS(Transaksi!$G$2:$G$2001,Transaksi!$M$2:$M$2001,"&lt;="&amp;S87)+SUMIFS(Transaksi!$H$2:$H$2001,Transaksi!$M$2:$M$2001,"&lt;="&amp;S87)+SUMIFS(Transaksi!$I$2:$I$2001,Transaksi!$M$2:$M$2001,"&lt;="&amp;S87))-(SUMIFS(Transaksi!$J$2:$J$2001,Transaksi!$M$2:$M$2001,"&lt;="&amp;S87)),"")</f>
        <v/>
      </c>
      <c r="I87">
        <f>IF(84&gt;$O$2,"",MATCH(84,$Q$3:$Q$402,1))</f>
        <v/>
      </c>
      <c r="J87">
        <f>IF(I87="","",IF(84=INDEX($Q$3:$Q$402,I87),"H","E"))</f>
        <v/>
      </c>
      <c r="K87">
        <f>IF(J87&lt;&gt;"E","",MATCH(S87,Transaksi!$M$2:$M$2001,0)+84-INDEX($Q$3:$Q$402,I87)-1)</f>
        <v/>
      </c>
      <c r="N87" t="n">
        <v>85</v>
      </c>
      <c r="O87">
        <f>IF(N87&lt;=$O$1,$O$1-N87+1,"")</f>
        <v/>
      </c>
      <c r="P87">
        <f>IF(O87="",0,COUNTIF(Transaksi!$M$2:$M$2001,O87)+1)</f>
        <v/>
      </c>
      <c r="Q87">
        <f>1+SUM(P$2:P86)</f>
        <v/>
      </c>
      <c r="S87">
        <f>IF(I87="","",INDEX($O$3:$O$402,I87))</f>
        <v/>
      </c>
      <c r="T87">
        <f>IF(J87&lt;&gt;"H","",INDEX(Transaksi!$A$2:$A$2001,MATCH(S87,Transaksi!$M$2:$M$2001,0)))</f>
        <v/>
      </c>
    </row>
    <row r="88">
      <c r="A88" s="31">
        <f>IF(J88="E",IF(INDEX(Transaksi!$J$2:$J$2001,K88)&gt;0,"↑","↓"),"")</f>
        <v/>
      </c>
      <c r="B88" s="32">
        <f>IF(J88="H",CHOOSE(WEEKDAY(T88,2),"Isnin","Selasa","Rabu","Khamis","Jumaat","Sabtu","Ahad")&amp;", "&amp;DAY(T88)&amp;" "&amp;CHOOSE(MONTH(T88),"Jan","Feb","Mac","Apr","Mei","Jun","Jul","Ogo","Sep","Okt","Nov","Dis")&amp;" "&amp;YEAR(T88),IF(J88="E",IF(INDEX(Transaksi!$B$2:$B$2001,K88)="",INDEX(Transaksi!$C$2:$C$2001,K88)&amp;" · "&amp;INDEX(Transaksi!$D$2:$D$2001,K88),INDEX(Transaksi!$B$2:$B$2001,K88)),""))</f>
        <v/>
      </c>
      <c r="C88" s="32">
        <f>IF(J88="E",INDEX(Transaksi!$C$2:$C$2001,K88)&amp;"","")</f>
        <v/>
      </c>
      <c r="D88" s="32">
        <f>IF(J88="E",INDEX(Transaksi!$D$2:$D$2001,K88)&amp;"","")</f>
        <v/>
      </c>
      <c r="E88" s="33">
        <f>IF(J88="H",SUMIFS(Transaksi!$G$2:$G$2001,Transaksi!$M$2:$M$2001,"="&amp;S88)+SUMIFS(Transaksi!$H$2:$H$2001,Transaksi!$M$2:$M$2001,"="&amp;S88)+SUMIFS(Transaksi!$I$2:$I$2001,Transaksi!$M$2:$M$2001,"="&amp;S88),IF(J88="E",IF(INDEX(Transaksi!$G$2:$G$2001,K88)+INDEX(Transaksi!$H$2:$H$2001,K88)+INDEX(Transaksi!$I$2:$I$2001,K88)=0,"",INDEX(Transaksi!$G$2:$G$2001,K88)+INDEX(Transaksi!$H$2:$H$2001,K88)+INDEX(Transaksi!$I$2:$I$2001,K88)),""))</f>
        <v/>
      </c>
      <c r="F88" s="33">
        <f>IF(J88="H",SUMIFS(Transaksi!$J$2:$J$2001,Transaksi!$M$2:$M$2001,"="&amp;S88),IF(J88="E",IF(INDEX(Transaksi!$J$2:$J$2001,K88)=0,"",INDEX(Transaksi!$J$2:$J$2001,K88)),""))</f>
        <v/>
      </c>
      <c r="G88" s="33">
        <f>IF(J88="H",(SUMIFS(Transaksi!$G$2:$G$2001,Transaksi!$M$2:$M$2001,"&lt;="&amp;S88)+SUMIFS(Transaksi!$H$2:$H$2001,Transaksi!$M$2:$M$2001,"&lt;="&amp;S88)+SUMIFS(Transaksi!$I$2:$I$2001,Transaksi!$M$2:$M$2001,"&lt;="&amp;S88))-(SUMIFS(Transaksi!$J$2:$J$2001,Transaksi!$M$2:$M$2001,"&lt;="&amp;S88)),"")</f>
        <v/>
      </c>
      <c r="I88">
        <f>IF(85&gt;$O$2,"",MATCH(85,$Q$3:$Q$402,1))</f>
        <v/>
      </c>
      <c r="J88">
        <f>IF(I88="","",IF(85=INDEX($Q$3:$Q$402,I88),"H","E"))</f>
        <v/>
      </c>
      <c r="K88">
        <f>IF(J88&lt;&gt;"E","",MATCH(S88,Transaksi!$M$2:$M$2001,0)+85-INDEX($Q$3:$Q$402,I88)-1)</f>
        <v/>
      </c>
      <c r="N88" t="n">
        <v>86</v>
      </c>
      <c r="O88">
        <f>IF(N88&lt;=$O$1,$O$1-N88+1,"")</f>
        <v/>
      </c>
      <c r="P88">
        <f>IF(O88="",0,COUNTIF(Transaksi!$M$2:$M$2001,O88)+1)</f>
        <v/>
      </c>
      <c r="Q88">
        <f>1+SUM(P$2:P87)</f>
        <v/>
      </c>
      <c r="S88">
        <f>IF(I88="","",INDEX($O$3:$O$402,I88))</f>
        <v/>
      </c>
      <c r="T88">
        <f>IF(J88&lt;&gt;"H","",INDEX(Transaksi!$A$2:$A$2001,MATCH(S88,Transaksi!$M$2:$M$2001,0)))</f>
        <v/>
      </c>
    </row>
    <row r="89">
      <c r="A89" s="31">
        <f>IF(J89="E",IF(INDEX(Transaksi!$J$2:$J$2001,K89)&gt;0,"↑","↓"),"")</f>
        <v/>
      </c>
      <c r="B89" s="32">
        <f>IF(J89="H",CHOOSE(WEEKDAY(T89,2),"Isnin","Selasa","Rabu","Khamis","Jumaat","Sabtu","Ahad")&amp;", "&amp;DAY(T89)&amp;" "&amp;CHOOSE(MONTH(T89),"Jan","Feb","Mac","Apr","Mei","Jun","Jul","Ogo","Sep","Okt","Nov","Dis")&amp;" "&amp;YEAR(T89),IF(J89="E",IF(INDEX(Transaksi!$B$2:$B$2001,K89)="",INDEX(Transaksi!$C$2:$C$2001,K89)&amp;" · "&amp;INDEX(Transaksi!$D$2:$D$2001,K89),INDEX(Transaksi!$B$2:$B$2001,K89)),""))</f>
        <v/>
      </c>
      <c r="C89" s="32">
        <f>IF(J89="E",INDEX(Transaksi!$C$2:$C$2001,K89)&amp;"","")</f>
        <v/>
      </c>
      <c r="D89" s="32">
        <f>IF(J89="E",INDEX(Transaksi!$D$2:$D$2001,K89)&amp;"","")</f>
        <v/>
      </c>
      <c r="E89" s="33">
        <f>IF(J89="H",SUMIFS(Transaksi!$G$2:$G$2001,Transaksi!$M$2:$M$2001,"="&amp;S89)+SUMIFS(Transaksi!$H$2:$H$2001,Transaksi!$M$2:$M$2001,"="&amp;S89)+SUMIFS(Transaksi!$I$2:$I$2001,Transaksi!$M$2:$M$2001,"="&amp;S89),IF(J89="E",IF(INDEX(Transaksi!$G$2:$G$2001,K89)+INDEX(Transaksi!$H$2:$H$2001,K89)+INDEX(Transaksi!$I$2:$I$2001,K89)=0,"",INDEX(Transaksi!$G$2:$G$2001,K89)+INDEX(Transaksi!$H$2:$H$2001,K89)+INDEX(Transaksi!$I$2:$I$2001,K89)),""))</f>
        <v/>
      </c>
      <c r="F89" s="33">
        <f>IF(J89="H",SUMIFS(Transaksi!$J$2:$J$2001,Transaksi!$M$2:$M$2001,"="&amp;S89),IF(J89="E",IF(INDEX(Transaksi!$J$2:$J$2001,K89)=0,"",INDEX(Transaksi!$J$2:$J$2001,K89)),""))</f>
        <v/>
      </c>
      <c r="G89" s="33">
        <f>IF(J89="H",(SUMIFS(Transaksi!$G$2:$G$2001,Transaksi!$M$2:$M$2001,"&lt;="&amp;S89)+SUMIFS(Transaksi!$H$2:$H$2001,Transaksi!$M$2:$M$2001,"&lt;="&amp;S89)+SUMIFS(Transaksi!$I$2:$I$2001,Transaksi!$M$2:$M$2001,"&lt;="&amp;S89))-(SUMIFS(Transaksi!$J$2:$J$2001,Transaksi!$M$2:$M$2001,"&lt;="&amp;S89)),"")</f>
        <v/>
      </c>
      <c r="I89">
        <f>IF(86&gt;$O$2,"",MATCH(86,$Q$3:$Q$402,1))</f>
        <v/>
      </c>
      <c r="J89">
        <f>IF(I89="","",IF(86=INDEX($Q$3:$Q$402,I89),"H","E"))</f>
        <v/>
      </c>
      <c r="K89">
        <f>IF(J89&lt;&gt;"E","",MATCH(S89,Transaksi!$M$2:$M$2001,0)+86-INDEX($Q$3:$Q$402,I89)-1)</f>
        <v/>
      </c>
      <c r="N89" t="n">
        <v>87</v>
      </c>
      <c r="O89">
        <f>IF(N89&lt;=$O$1,$O$1-N89+1,"")</f>
        <v/>
      </c>
      <c r="P89">
        <f>IF(O89="",0,COUNTIF(Transaksi!$M$2:$M$2001,O89)+1)</f>
        <v/>
      </c>
      <c r="Q89">
        <f>1+SUM(P$2:P88)</f>
        <v/>
      </c>
      <c r="S89">
        <f>IF(I89="","",INDEX($O$3:$O$402,I89))</f>
        <v/>
      </c>
      <c r="T89">
        <f>IF(J89&lt;&gt;"H","",INDEX(Transaksi!$A$2:$A$2001,MATCH(S89,Transaksi!$M$2:$M$2001,0)))</f>
        <v/>
      </c>
    </row>
    <row r="90">
      <c r="A90" s="31">
        <f>IF(J90="E",IF(INDEX(Transaksi!$J$2:$J$2001,K90)&gt;0,"↑","↓"),"")</f>
        <v/>
      </c>
      <c r="B90" s="32">
        <f>IF(J90="H",CHOOSE(WEEKDAY(T90,2),"Isnin","Selasa","Rabu","Khamis","Jumaat","Sabtu","Ahad")&amp;", "&amp;DAY(T90)&amp;" "&amp;CHOOSE(MONTH(T90),"Jan","Feb","Mac","Apr","Mei","Jun","Jul","Ogo","Sep","Okt","Nov","Dis")&amp;" "&amp;YEAR(T90),IF(J90="E",IF(INDEX(Transaksi!$B$2:$B$2001,K90)="",INDEX(Transaksi!$C$2:$C$2001,K90)&amp;" · "&amp;INDEX(Transaksi!$D$2:$D$2001,K90),INDEX(Transaksi!$B$2:$B$2001,K90)),""))</f>
        <v/>
      </c>
      <c r="C90" s="32">
        <f>IF(J90="E",INDEX(Transaksi!$C$2:$C$2001,K90)&amp;"","")</f>
        <v/>
      </c>
      <c r="D90" s="32">
        <f>IF(J90="E",INDEX(Transaksi!$D$2:$D$2001,K90)&amp;"","")</f>
        <v/>
      </c>
      <c r="E90" s="33">
        <f>IF(J90="H",SUMIFS(Transaksi!$G$2:$G$2001,Transaksi!$M$2:$M$2001,"="&amp;S90)+SUMIFS(Transaksi!$H$2:$H$2001,Transaksi!$M$2:$M$2001,"="&amp;S90)+SUMIFS(Transaksi!$I$2:$I$2001,Transaksi!$M$2:$M$2001,"="&amp;S90),IF(J90="E",IF(INDEX(Transaksi!$G$2:$G$2001,K90)+INDEX(Transaksi!$H$2:$H$2001,K90)+INDEX(Transaksi!$I$2:$I$2001,K90)=0,"",INDEX(Transaksi!$G$2:$G$2001,K90)+INDEX(Transaksi!$H$2:$H$2001,K90)+INDEX(Transaksi!$I$2:$I$2001,K90)),""))</f>
        <v/>
      </c>
      <c r="F90" s="33">
        <f>IF(J90="H",SUMIFS(Transaksi!$J$2:$J$2001,Transaksi!$M$2:$M$2001,"="&amp;S90),IF(J90="E",IF(INDEX(Transaksi!$J$2:$J$2001,K90)=0,"",INDEX(Transaksi!$J$2:$J$2001,K90)),""))</f>
        <v/>
      </c>
      <c r="G90" s="33">
        <f>IF(J90="H",(SUMIFS(Transaksi!$G$2:$G$2001,Transaksi!$M$2:$M$2001,"&lt;="&amp;S90)+SUMIFS(Transaksi!$H$2:$H$2001,Transaksi!$M$2:$M$2001,"&lt;="&amp;S90)+SUMIFS(Transaksi!$I$2:$I$2001,Transaksi!$M$2:$M$2001,"&lt;="&amp;S90))-(SUMIFS(Transaksi!$J$2:$J$2001,Transaksi!$M$2:$M$2001,"&lt;="&amp;S90)),"")</f>
        <v/>
      </c>
      <c r="I90">
        <f>IF(87&gt;$O$2,"",MATCH(87,$Q$3:$Q$402,1))</f>
        <v/>
      </c>
      <c r="J90">
        <f>IF(I90="","",IF(87=INDEX($Q$3:$Q$402,I90),"H","E"))</f>
        <v/>
      </c>
      <c r="K90">
        <f>IF(J90&lt;&gt;"E","",MATCH(S90,Transaksi!$M$2:$M$2001,0)+87-INDEX($Q$3:$Q$402,I90)-1)</f>
        <v/>
      </c>
      <c r="N90" t="n">
        <v>88</v>
      </c>
      <c r="O90">
        <f>IF(N90&lt;=$O$1,$O$1-N90+1,"")</f>
        <v/>
      </c>
      <c r="P90">
        <f>IF(O90="",0,COUNTIF(Transaksi!$M$2:$M$2001,O90)+1)</f>
        <v/>
      </c>
      <c r="Q90">
        <f>1+SUM(P$2:P89)</f>
        <v/>
      </c>
      <c r="S90">
        <f>IF(I90="","",INDEX($O$3:$O$402,I90))</f>
        <v/>
      </c>
      <c r="T90">
        <f>IF(J90&lt;&gt;"H","",INDEX(Transaksi!$A$2:$A$2001,MATCH(S90,Transaksi!$M$2:$M$2001,0)))</f>
        <v/>
      </c>
    </row>
    <row r="91">
      <c r="A91" s="31">
        <f>IF(J91="E",IF(INDEX(Transaksi!$J$2:$J$2001,K91)&gt;0,"↑","↓"),"")</f>
        <v/>
      </c>
      <c r="B91" s="32">
        <f>IF(J91="H",CHOOSE(WEEKDAY(T91,2),"Isnin","Selasa","Rabu","Khamis","Jumaat","Sabtu","Ahad")&amp;", "&amp;DAY(T91)&amp;" "&amp;CHOOSE(MONTH(T91),"Jan","Feb","Mac","Apr","Mei","Jun","Jul","Ogo","Sep","Okt","Nov","Dis")&amp;" "&amp;YEAR(T91),IF(J91="E",IF(INDEX(Transaksi!$B$2:$B$2001,K91)="",INDEX(Transaksi!$C$2:$C$2001,K91)&amp;" · "&amp;INDEX(Transaksi!$D$2:$D$2001,K91),INDEX(Transaksi!$B$2:$B$2001,K91)),""))</f>
        <v/>
      </c>
      <c r="C91" s="32">
        <f>IF(J91="E",INDEX(Transaksi!$C$2:$C$2001,K91)&amp;"","")</f>
        <v/>
      </c>
      <c r="D91" s="32">
        <f>IF(J91="E",INDEX(Transaksi!$D$2:$D$2001,K91)&amp;"","")</f>
        <v/>
      </c>
      <c r="E91" s="33">
        <f>IF(J91="H",SUMIFS(Transaksi!$G$2:$G$2001,Transaksi!$M$2:$M$2001,"="&amp;S91)+SUMIFS(Transaksi!$H$2:$H$2001,Transaksi!$M$2:$M$2001,"="&amp;S91)+SUMIFS(Transaksi!$I$2:$I$2001,Transaksi!$M$2:$M$2001,"="&amp;S91),IF(J91="E",IF(INDEX(Transaksi!$G$2:$G$2001,K91)+INDEX(Transaksi!$H$2:$H$2001,K91)+INDEX(Transaksi!$I$2:$I$2001,K91)=0,"",INDEX(Transaksi!$G$2:$G$2001,K91)+INDEX(Transaksi!$H$2:$H$2001,K91)+INDEX(Transaksi!$I$2:$I$2001,K91)),""))</f>
        <v/>
      </c>
      <c r="F91" s="33">
        <f>IF(J91="H",SUMIFS(Transaksi!$J$2:$J$2001,Transaksi!$M$2:$M$2001,"="&amp;S91),IF(J91="E",IF(INDEX(Transaksi!$J$2:$J$2001,K91)=0,"",INDEX(Transaksi!$J$2:$J$2001,K91)),""))</f>
        <v/>
      </c>
      <c r="G91" s="33">
        <f>IF(J91="H",(SUMIFS(Transaksi!$G$2:$G$2001,Transaksi!$M$2:$M$2001,"&lt;="&amp;S91)+SUMIFS(Transaksi!$H$2:$H$2001,Transaksi!$M$2:$M$2001,"&lt;="&amp;S91)+SUMIFS(Transaksi!$I$2:$I$2001,Transaksi!$M$2:$M$2001,"&lt;="&amp;S91))-(SUMIFS(Transaksi!$J$2:$J$2001,Transaksi!$M$2:$M$2001,"&lt;="&amp;S91)),"")</f>
        <v/>
      </c>
      <c r="I91">
        <f>IF(88&gt;$O$2,"",MATCH(88,$Q$3:$Q$402,1))</f>
        <v/>
      </c>
      <c r="J91">
        <f>IF(I91="","",IF(88=INDEX($Q$3:$Q$402,I91),"H","E"))</f>
        <v/>
      </c>
      <c r="K91">
        <f>IF(J91&lt;&gt;"E","",MATCH(S91,Transaksi!$M$2:$M$2001,0)+88-INDEX($Q$3:$Q$402,I91)-1)</f>
        <v/>
      </c>
      <c r="N91" t="n">
        <v>89</v>
      </c>
      <c r="O91">
        <f>IF(N91&lt;=$O$1,$O$1-N91+1,"")</f>
        <v/>
      </c>
      <c r="P91">
        <f>IF(O91="",0,COUNTIF(Transaksi!$M$2:$M$2001,O91)+1)</f>
        <v/>
      </c>
      <c r="Q91">
        <f>1+SUM(P$2:P90)</f>
        <v/>
      </c>
      <c r="S91">
        <f>IF(I91="","",INDEX($O$3:$O$402,I91))</f>
        <v/>
      </c>
      <c r="T91">
        <f>IF(J91&lt;&gt;"H","",INDEX(Transaksi!$A$2:$A$2001,MATCH(S91,Transaksi!$M$2:$M$2001,0)))</f>
        <v/>
      </c>
    </row>
    <row r="92">
      <c r="A92" s="31">
        <f>IF(J92="E",IF(INDEX(Transaksi!$J$2:$J$2001,K92)&gt;0,"↑","↓"),"")</f>
        <v/>
      </c>
      <c r="B92" s="32">
        <f>IF(J92="H",CHOOSE(WEEKDAY(T92,2),"Isnin","Selasa","Rabu","Khamis","Jumaat","Sabtu","Ahad")&amp;", "&amp;DAY(T92)&amp;" "&amp;CHOOSE(MONTH(T92),"Jan","Feb","Mac","Apr","Mei","Jun","Jul","Ogo","Sep","Okt","Nov","Dis")&amp;" "&amp;YEAR(T92),IF(J92="E",IF(INDEX(Transaksi!$B$2:$B$2001,K92)="",INDEX(Transaksi!$C$2:$C$2001,K92)&amp;" · "&amp;INDEX(Transaksi!$D$2:$D$2001,K92),INDEX(Transaksi!$B$2:$B$2001,K92)),""))</f>
        <v/>
      </c>
      <c r="C92" s="32">
        <f>IF(J92="E",INDEX(Transaksi!$C$2:$C$2001,K92)&amp;"","")</f>
        <v/>
      </c>
      <c r="D92" s="32">
        <f>IF(J92="E",INDEX(Transaksi!$D$2:$D$2001,K92)&amp;"","")</f>
        <v/>
      </c>
      <c r="E92" s="33">
        <f>IF(J92="H",SUMIFS(Transaksi!$G$2:$G$2001,Transaksi!$M$2:$M$2001,"="&amp;S92)+SUMIFS(Transaksi!$H$2:$H$2001,Transaksi!$M$2:$M$2001,"="&amp;S92)+SUMIFS(Transaksi!$I$2:$I$2001,Transaksi!$M$2:$M$2001,"="&amp;S92),IF(J92="E",IF(INDEX(Transaksi!$G$2:$G$2001,K92)+INDEX(Transaksi!$H$2:$H$2001,K92)+INDEX(Transaksi!$I$2:$I$2001,K92)=0,"",INDEX(Transaksi!$G$2:$G$2001,K92)+INDEX(Transaksi!$H$2:$H$2001,K92)+INDEX(Transaksi!$I$2:$I$2001,K92)),""))</f>
        <v/>
      </c>
      <c r="F92" s="33">
        <f>IF(J92="H",SUMIFS(Transaksi!$J$2:$J$2001,Transaksi!$M$2:$M$2001,"="&amp;S92),IF(J92="E",IF(INDEX(Transaksi!$J$2:$J$2001,K92)=0,"",INDEX(Transaksi!$J$2:$J$2001,K92)),""))</f>
        <v/>
      </c>
      <c r="G92" s="33">
        <f>IF(J92="H",(SUMIFS(Transaksi!$G$2:$G$2001,Transaksi!$M$2:$M$2001,"&lt;="&amp;S92)+SUMIFS(Transaksi!$H$2:$H$2001,Transaksi!$M$2:$M$2001,"&lt;="&amp;S92)+SUMIFS(Transaksi!$I$2:$I$2001,Transaksi!$M$2:$M$2001,"&lt;="&amp;S92))-(SUMIFS(Transaksi!$J$2:$J$2001,Transaksi!$M$2:$M$2001,"&lt;="&amp;S92)),"")</f>
        <v/>
      </c>
      <c r="I92">
        <f>IF(89&gt;$O$2,"",MATCH(89,$Q$3:$Q$402,1))</f>
        <v/>
      </c>
      <c r="J92">
        <f>IF(I92="","",IF(89=INDEX($Q$3:$Q$402,I92),"H","E"))</f>
        <v/>
      </c>
      <c r="K92">
        <f>IF(J92&lt;&gt;"E","",MATCH(S92,Transaksi!$M$2:$M$2001,0)+89-INDEX($Q$3:$Q$402,I92)-1)</f>
        <v/>
      </c>
      <c r="N92" t="n">
        <v>90</v>
      </c>
      <c r="O92">
        <f>IF(N92&lt;=$O$1,$O$1-N92+1,"")</f>
        <v/>
      </c>
      <c r="P92">
        <f>IF(O92="",0,COUNTIF(Transaksi!$M$2:$M$2001,O92)+1)</f>
        <v/>
      </c>
      <c r="Q92">
        <f>1+SUM(P$2:P91)</f>
        <v/>
      </c>
      <c r="S92">
        <f>IF(I92="","",INDEX($O$3:$O$402,I92))</f>
        <v/>
      </c>
      <c r="T92">
        <f>IF(J92&lt;&gt;"H","",INDEX(Transaksi!$A$2:$A$2001,MATCH(S92,Transaksi!$M$2:$M$2001,0)))</f>
        <v/>
      </c>
    </row>
    <row r="93">
      <c r="A93" s="31">
        <f>IF(J93="E",IF(INDEX(Transaksi!$J$2:$J$2001,K93)&gt;0,"↑","↓"),"")</f>
        <v/>
      </c>
      <c r="B93" s="32">
        <f>IF(J93="H",CHOOSE(WEEKDAY(T93,2),"Isnin","Selasa","Rabu","Khamis","Jumaat","Sabtu","Ahad")&amp;", "&amp;DAY(T93)&amp;" "&amp;CHOOSE(MONTH(T93),"Jan","Feb","Mac","Apr","Mei","Jun","Jul","Ogo","Sep","Okt","Nov","Dis")&amp;" "&amp;YEAR(T93),IF(J93="E",IF(INDEX(Transaksi!$B$2:$B$2001,K93)="",INDEX(Transaksi!$C$2:$C$2001,K93)&amp;" · "&amp;INDEX(Transaksi!$D$2:$D$2001,K93),INDEX(Transaksi!$B$2:$B$2001,K93)),""))</f>
        <v/>
      </c>
      <c r="C93" s="32">
        <f>IF(J93="E",INDEX(Transaksi!$C$2:$C$2001,K93)&amp;"","")</f>
        <v/>
      </c>
      <c r="D93" s="32">
        <f>IF(J93="E",INDEX(Transaksi!$D$2:$D$2001,K93)&amp;"","")</f>
        <v/>
      </c>
      <c r="E93" s="33">
        <f>IF(J93="H",SUMIFS(Transaksi!$G$2:$G$2001,Transaksi!$M$2:$M$2001,"="&amp;S93)+SUMIFS(Transaksi!$H$2:$H$2001,Transaksi!$M$2:$M$2001,"="&amp;S93)+SUMIFS(Transaksi!$I$2:$I$2001,Transaksi!$M$2:$M$2001,"="&amp;S93),IF(J93="E",IF(INDEX(Transaksi!$G$2:$G$2001,K93)+INDEX(Transaksi!$H$2:$H$2001,K93)+INDEX(Transaksi!$I$2:$I$2001,K93)=0,"",INDEX(Transaksi!$G$2:$G$2001,K93)+INDEX(Transaksi!$H$2:$H$2001,K93)+INDEX(Transaksi!$I$2:$I$2001,K93)),""))</f>
        <v/>
      </c>
      <c r="F93" s="33">
        <f>IF(J93="H",SUMIFS(Transaksi!$J$2:$J$2001,Transaksi!$M$2:$M$2001,"="&amp;S93),IF(J93="E",IF(INDEX(Transaksi!$J$2:$J$2001,K93)=0,"",INDEX(Transaksi!$J$2:$J$2001,K93)),""))</f>
        <v/>
      </c>
      <c r="G93" s="33">
        <f>IF(J93="H",(SUMIFS(Transaksi!$G$2:$G$2001,Transaksi!$M$2:$M$2001,"&lt;="&amp;S93)+SUMIFS(Transaksi!$H$2:$H$2001,Transaksi!$M$2:$M$2001,"&lt;="&amp;S93)+SUMIFS(Transaksi!$I$2:$I$2001,Transaksi!$M$2:$M$2001,"&lt;="&amp;S93))-(SUMIFS(Transaksi!$J$2:$J$2001,Transaksi!$M$2:$M$2001,"&lt;="&amp;S93)),"")</f>
        <v/>
      </c>
      <c r="I93">
        <f>IF(90&gt;$O$2,"",MATCH(90,$Q$3:$Q$402,1))</f>
        <v/>
      </c>
      <c r="J93">
        <f>IF(I93="","",IF(90=INDEX($Q$3:$Q$402,I93),"H","E"))</f>
        <v/>
      </c>
      <c r="K93">
        <f>IF(J93&lt;&gt;"E","",MATCH(S93,Transaksi!$M$2:$M$2001,0)+90-INDEX($Q$3:$Q$402,I93)-1)</f>
        <v/>
      </c>
      <c r="N93" t="n">
        <v>91</v>
      </c>
      <c r="O93">
        <f>IF(N93&lt;=$O$1,$O$1-N93+1,"")</f>
        <v/>
      </c>
      <c r="P93">
        <f>IF(O93="",0,COUNTIF(Transaksi!$M$2:$M$2001,O93)+1)</f>
        <v/>
      </c>
      <c r="Q93">
        <f>1+SUM(P$2:P92)</f>
        <v/>
      </c>
      <c r="S93">
        <f>IF(I93="","",INDEX($O$3:$O$402,I93))</f>
        <v/>
      </c>
      <c r="T93">
        <f>IF(J93&lt;&gt;"H","",INDEX(Transaksi!$A$2:$A$2001,MATCH(S93,Transaksi!$M$2:$M$2001,0)))</f>
        <v/>
      </c>
    </row>
    <row r="94">
      <c r="A94" s="31">
        <f>IF(J94="E",IF(INDEX(Transaksi!$J$2:$J$2001,K94)&gt;0,"↑","↓"),"")</f>
        <v/>
      </c>
      <c r="B94" s="32">
        <f>IF(J94="H",CHOOSE(WEEKDAY(T94,2),"Isnin","Selasa","Rabu","Khamis","Jumaat","Sabtu","Ahad")&amp;", "&amp;DAY(T94)&amp;" "&amp;CHOOSE(MONTH(T94),"Jan","Feb","Mac","Apr","Mei","Jun","Jul","Ogo","Sep","Okt","Nov","Dis")&amp;" "&amp;YEAR(T94),IF(J94="E",IF(INDEX(Transaksi!$B$2:$B$2001,K94)="",INDEX(Transaksi!$C$2:$C$2001,K94)&amp;" · "&amp;INDEX(Transaksi!$D$2:$D$2001,K94),INDEX(Transaksi!$B$2:$B$2001,K94)),""))</f>
        <v/>
      </c>
      <c r="C94" s="32">
        <f>IF(J94="E",INDEX(Transaksi!$C$2:$C$2001,K94)&amp;"","")</f>
        <v/>
      </c>
      <c r="D94" s="32">
        <f>IF(J94="E",INDEX(Transaksi!$D$2:$D$2001,K94)&amp;"","")</f>
        <v/>
      </c>
      <c r="E94" s="33">
        <f>IF(J94="H",SUMIFS(Transaksi!$G$2:$G$2001,Transaksi!$M$2:$M$2001,"="&amp;S94)+SUMIFS(Transaksi!$H$2:$H$2001,Transaksi!$M$2:$M$2001,"="&amp;S94)+SUMIFS(Transaksi!$I$2:$I$2001,Transaksi!$M$2:$M$2001,"="&amp;S94),IF(J94="E",IF(INDEX(Transaksi!$G$2:$G$2001,K94)+INDEX(Transaksi!$H$2:$H$2001,K94)+INDEX(Transaksi!$I$2:$I$2001,K94)=0,"",INDEX(Transaksi!$G$2:$G$2001,K94)+INDEX(Transaksi!$H$2:$H$2001,K94)+INDEX(Transaksi!$I$2:$I$2001,K94)),""))</f>
        <v/>
      </c>
      <c r="F94" s="33">
        <f>IF(J94="H",SUMIFS(Transaksi!$J$2:$J$2001,Transaksi!$M$2:$M$2001,"="&amp;S94),IF(J94="E",IF(INDEX(Transaksi!$J$2:$J$2001,K94)=0,"",INDEX(Transaksi!$J$2:$J$2001,K94)),""))</f>
        <v/>
      </c>
      <c r="G94" s="33">
        <f>IF(J94="H",(SUMIFS(Transaksi!$G$2:$G$2001,Transaksi!$M$2:$M$2001,"&lt;="&amp;S94)+SUMIFS(Transaksi!$H$2:$H$2001,Transaksi!$M$2:$M$2001,"&lt;="&amp;S94)+SUMIFS(Transaksi!$I$2:$I$2001,Transaksi!$M$2:$M$2001,"&lt;="&amp;S94))-(SUMIFS(Transaksi!$J$2:$J$2001,Transaksi!$M$2:$M$2001,"&lt;="&amp;S94)),"")</f>
        <v/>
      </c>
      <c r="I94">
        <f>IF(91&gt;$O$2,"",MATCH(91,$Q$3:$Q$402,1))</f>
        <v/>
      </c>
      <c r="J94">
        <f>IF(I94="","",IF(91=INDEX($Q$3:$Q$402,I94),"H","E"))</f>
        <v/>
      </c>
      <c r="K94">
        <f>IF(J94&lt;&gt;"E","",MATCH(S94,Transaksi!$M$2:$M$2001,0)+91-INDEX($Q$3:$Q$402,I94)-1)</f>
        <v/>
      </c>
      <c r="N94" t="n">
        <v>92</v>
      </c>
      <c r="O94">
        <f>IF(N94&lt;=$O$1,$O$1-N94+1,"")</f>
        <v/>
      </c>
      <c r="P94">
        <f>IF(O94="",0,COUNTIF(Transaksi!$M$2:$M$2001,O94)+1)</f>
        <v/>
      </c>
      <c r="Q94">
        <f>1+SUM(P$2:P93)</f>
        <v/>
      </c>
      <c r="S94">
        <f>IF(I94="","",INDEX($O$3:$O$402,I94))</f>
        <v/>
      </c>
      <c r="T94">
        <f>IF(J94&lt;&gt;"H","",INDEX(Transaksi!$A$2:$A$2001,MATCH(S94,Transaksi!$M$2:$M$2001,0)))</f>
        <v/>
      </c>
    </row>
    <row r="95">
      <c r="A95" s="31">
        <f>IF(J95="E",IF(INDEX(Transaksi!$J$2:$J$2001,K95)&gt;0,"↑","↓"),"")</f>
        <v/>
      </c>
      <c r="B95" s="32">
        <f>IF(J95="H",CHOOSE(WEEKDAY(T95,2),"Isnin","Selasa","Rabu","Khamis","Jumaat","Sabtu","Ahad")&amp;", "&amp;DAY(T95)&amp;" "&amp;CHOOSE(MONTH(T95),"Jan","Feb","Mac","Apr","Mei","Jun","Jul","Ogo","Sep","Okt","Nov","Dis")&amp;" "&amp;YEAR(T95),IF(J95="E",IF(INDEX(Transaksi!$B$2:$B$2001,K95)="",INDEX(Transaksi!$C$2:$C$2001,K95)&amp;" · "&amp;INDEX(Transaksi!$D$2:$D$2001,K95),INDEX(Transaksi!$B$2:$B$2001,K95)),""))</f>
        <v/>
      </c>
      <c r="C95" s="32">
        <f>IF(J95="E",INDEX(Transaksi!$C$2:$C$2001,K95)&amp;"","")</f>
        <v/>
      </c>
      <c r="D95" s="32">
        <f>IF(J95="E",INDEX(Transaksi!$D$2:$D$2001,K95)&amp;"","")</f>
        <v/>
      </c>
      <c r="E95" s="33">
        <f>IF(J95="H",SUMIFS(Transaksi!$G$2:$G$2001,Transaksi!$M$2:$M$2001,"="&amp;S95)+SUMIFS(Transaksi!$H$2:$H$2001,Transaksi!$M$2:$M$2001,"="&amp;S95)+SUMIFS(Transaksi!$I$2:$I$2001,Transaksi!$M$2:$M$2001,"="&amp;S95),IF(J95="E",IF(INDEX(Transaksi!$G$2:$G$2001,K95)+INDEX(Transaksi!$H$2:$H$2001,K95)+INDEX(Transaksi!$I$2:$I$2001,K95)=0,"",INDEX(Transaksi!$G$2:$G$2001,K95)+INDEX(Transaksi!$H$2:$H$2001,K95)+INDEX(Transaksi!$I$2:$I$2001,K95)),""))</f>
        <v/>
      </c>
      <c r="F95" s="33">
        <f>IF(J95="H",SUMIFS(Transaksi!$J$2:$J$2001,Transaksi!$M$2:$M$2001,"="&amp;S95),IF(J95="E",IF(INDEX(Transaksi!$J$2:$J$2001,K95)=0,"",INDEX(Transaksi!$J$2:$J$2001,K95)),""))</f>
        <v/>
      </c>
      <c r="G95" s="33">
        <f>IF(J95="H",(SUMIFS(Transaksi!$G$2:$G$2001,Transaksi!$M$2:$M$2001,"&lt;="&amp;S95)+SUMIFS(Transaksi!$H$2:$H$2001,Transaksi!$M$2:$M$2001,"&lt;="&amp;S95)+SUMIFS(Transaksi!$I$2:$I$2001,Transaksi!$M$2:$M$2001,"&lt;="&amp;S95))-(SUMIFS(Transaksi!$J$2:$J$2001,Transaksi!$M$2:$M$2001,"&lt;="&amp;S95)),"")</f>
        <v/>
      </c>
      <c r="I95">
        <f>IF(92&gt;$O$2,"",MATCH(92,$Q$3:$Q$402,1))</f>
        <v/>
      </c>
      <c r="J95">
        <f>IF(I95="","",IF(92=INDEX($Q$3:$Q$402,I95),"H","E"))</f>
        <v/>
      </c>
      <c r="K95">
        <f>IF(J95&lt;&gt;"E","",MATCH(S95,Transaksi!$M$2:$M$2001,0)+92-INDEX($Q$3:$Q$402,I95)-1)</f>
        <v/>
      </c>
      <c r="N95" t="n">
        <v>93</v>
      </c>
      <c r="O95">
        <f>IF(N95&lt;=$O$1,$O$1-N95+1,"")</f>
        <v/>
      </c>
      <c r="P95">
        <f>IF(O95="",0,COUNTIF(Transaksi!$M$2:$M$2001,O95)+1)</f>
        <v/>
      </c>
      <c r="Q95">
        <f>1+SUM(P$2:P94)</f>
        <v/>
      </c>
      <c r="S95">
        <f>IF(I95="","",INDEX($O$3:$O$402,I95))</f>
        <v/>
      </c>
      <c r="T95">
        <f>IF(J95&lt;&gt;"H","",INDEX(Transaksi!$A$2:$A$2001,MATCH(S95,Transaksi!$M$2:$M$2001,0)))</f>
        <v/>
      </c>
    </row>
    <row r="96">
      <c r="A96" s="31">
        <f>IF(J96="E",IF(INDEX(Transaksi!$J$2:$J$2001,K96)&gt;0,"↑","↓"),"")</f>
        <v/>
      </c>
      <c r="B96" s="32">
        <f>IF(J96="H",CHOOSE(WEEKDAY(T96,2),"Isnin","Selasa","Rabu","Khamis","Jumaat","Sabtu","Ahad")&amp;", "&amp;DAY(T96)&amp;" "&amp;CHOOSE(MONTH(T96),"Jan","Feb","Mac","Apr","Mei","Jun","Jul","Ogo","Sep","Okt","Nov","Dis")&amp;" "&amp;YEAR(T96),IF(J96="E",IF(INDEX(Transaksi!$B$2:$B$2001,K96)="",INDEX(Transaksi!$C$2:$C$2001,K96)&amp;" · "&amp;INDEX(Transaksi!$D$2:$D$2001,K96),INDEX(Transaksi!$B$2:$B$2001,K96)),""))</f>
        <v/>
      </c>
      <c r="C96" s="32">
        <f>IF(J96="E",INDEX(Transaksi!$C$2:$C$2001,K96)&amp;"","")</f>
        <v/>
      </c>
      <c r="D96" s="32">
        <f>IF(J96="E",INDEX(Transaksi!$D$2:$D$2001,K96)&amp;"","")</f>
        <v/>
      </c>
      <c r="E96" s="33">
        <f>IF(J96="H",SUMIFS(Transaksi!$G$2:$G$2001,Transaksi!$M$2:$M$2001,"="&amp;S96)+SUMIFS(Transaksi!$H$2:$H$2001,Transaksi!$M$2:$M$2001,"="&amp;S96)+SUMIFS(Transaksi!$I$2:$I$2001,Transaksi!$M$2:$M$2001,"="&amp;S96),IF(J96="E",IF(INDEX(Transaksi!$G$2:$G$2001,K96)+INDEX(Transaksi!$H$2:$H$2001,K96)+INDEX(Transaksi!$I$2:$I$2001,K96)=0,"",INDEX(Transaksi!$G$2:$G$2001,K96)+INDEX(Transaksi!$H$2:$H$2001,K96)+INDEX(Transaksi!$I$2:$I$2001,K96)),""))</f>
        <v/>
      </c>
      <c r="F96" s="33">
        <f>IF(J96="H",SUMIFS(Transaksi!$J$2:$J$2001,Transaksi!$M$2:$M$2001,"="&amp;S96),IF(J96="E",IF(INDEX(Transaksi!$J$2:$J$2001,K96)=0,"",INDEX(Transaksi!$J$2:$J$2001,K96)),""))</f>
        <v/>
      </c>
      <c r="G96" s="33">
        <f>IF(J96="H",(SUMIFS(Transaksi!$G$2:$G$2001,Transaksi!$M$2:$M$2001,"&lt;="&amp;S96)+SUMIFS(Transaksi!$H$2:$H$2001,Transaksi!$M$2:$M$2001,"&lt;="&amp;S96)+SUMIFS(Transaksi!$I$2:$I$2001,Transaksi!$M$2:$M$2001,"&lt;="&amp;S96))-(SUMIFS(Transaksi!$J$2:$J$2001,Transaksi!$M$2:$M$2001,"&lt;="&amp;S96)),"")</f>
        <v/>
      </c>
      <c r="I96">
        <f>IF(93&gt;$O$2,"",MATCH(93,$Q$3:$Q$402,1))</f>
        <v/>
      </c>
      <c r="J96">
        <f>IF(I96="","",IF(93=INDEX($Q$3:$Q$402,I96),"H","E"))</f>
        <v/>
      </c>
      <c r="K96">
        <f>IF(J96&lt;&gt;"E","",MATCH(S96,Transaksi!$M$2:$M$2001,0)+93-INDEX($Q$3:$Q$402,I96)-1)</f>
        <v/>
      </c>
      <c r="N96" t="n">
        <v>94</v>
      </c>
      <c r="O96">
        <f>IF(N96&lt;=$O$1,$O$1-N96+1,"")</f>
        <v/>
      </c>
      <c r="P96">
        <f>IF(O96="",0,COUNTIF(Transaksi!$M$2:$M$2001,O96)+1)</f>
        <v/>
      </c>
      <c r="Q96">
        <f>1+SUM(P$2:P95)</f>
        <v/>
      </c>
      <c r="S96">
        <f>IF(I96="","",INDEX($O$3:$O$402,I96))</f>
        <v/>
      </c>
      <c r="T96">
        <f>IF(J96&lt;&gt;"H","",INDEX(Transaksi!$A$2:$A$2001,MATCH(S96,Transaksi!$M$2:$M$2001,0)))</f>
        <v/>
      </c>
    </row>
    <row r="97">
      <c r="A97" s="31">
        <f>IF(J97="E",IF(INDEX(Transaksi!$J$2:$J$2001,K97)&gt;0,"↑","↓"),"")</f>
        <v/>
      </c>
      <c r="B97" s="32">
        <f>IF(J97="H",CHOOSE(WEEKDAY(T97,2),"Isnin","Selasa","Rabu","Khamis","Jumaat","Sabtu","Ahad")&amp;", "&amp;DAY(T97)&amp;" "&amp;CHOOSE(MONTH(T97),"Jan","Feb","Mac","Apr","Mei","Jun","Jul","Ogo","Sep","Okt","Nov","Dis")&amp;" "&amp;YEAR(T97),IF(J97="E",IF(INDEX(Transaksi!$B$2:$B$2001,K97)="",INDEX(Transaksi!$C$2:$C$2001,K97)&amp;" · "&amp;INDEX(Transaksi!$D$2:$D$2001,K97),INDEX(Transaksi!$B$2:$B$2001,K97)),""))</f>
        <v/>
      </c>
      <c r="C97" s="32">
        <f>IF(J97="E",INDEX(Transaksi!$C$2:$C$2001,K97)&amp;"","")</f>
        <v/>
      </c>
      <c r="D97" s="32">
        <f>IF(J97="E",INDEX(Transaksi!$D$2:$D$2001,K97)&amp;"","")</f>
        <v/>
      </c>
      <c r="E97" s="33">
        <f>IF(J97="H",SUMIFS(Transaksi!$G$2:$G$2001,Transaksi!$M$2:$M$2001,"="&amp;S97)+SUMIFS(Transaksi!$H$2:$H$2001,Transaksi!$M$2:$M$2001,"="&amp;S97)+SUMIFS(Transaksi!$I$2:$I$2001,Transaksi!$M$2:$M$2001,"="&amp;S97),IF(J97="E",IF(INDEX(Transaksi!$G$2:$G$2001,K97)+INDEX(Transaksi!$H$2:$H$2001,K97)+INDEX(Transaksi!$I$2:$I$2001,K97)=0,"",INDEX(Transaksi!$G$2:$G$2001,K97)+INDEX(Transaksi!$H$2:$H$2001,K97)+INDEX(Transaksi!$I$2:$I$2001,K97)),""))</f>
        <v/>
      </c>
      <c r="F97" s="33">
        <f>IF(J97="H",SUMIFS(Transaksi!$J$2:$J$2001,Transaksi!$M$2:$M$2001,"="&amp;S97),IF(J97="E",IF(INDEX(Transaksi!$J$2:$J$2001,K97)=0,"",INDEX(Transaksi!$J$2:$J$2001,K97)),""))</f>
        <v/>
      </c>
      <c r="G97" s="33">
        <f>IF(J97="H",(SUMIFS(Transaksi!$G$2:$G$2001,Transaksi!$M$2:$M$2001,"&lt;="&amp;S97)+SUMIFS(Transaksi!$H$2:$H$2001,Transaksi!$M$2:$M$2001,"&lt;="&amp;S97)+SUMIFS(Transaksi!$I$2:$I$2001,Transaksi!$M$2:$M$2001,"&lt;="&amp;S97))-(SUMIFS(Transaksi!$J$2:$J$2001,Transaksi!$M$2:$M$2001,"&lt;="&amp;S97)),"")</f>
        <v/>
      </c>
      <c r="I97">
        <f>IF(94&gt;$O$2,"",MATCH(94,$Q$3:$Q$402,1))</f>
        <v/>
      </c>
      <c r="J97">
        <f>IF(I97="","",IF(94=INDEX($Q$3:$Q$402,I97),"H","E"))</f>
        <v/>
      </c>
      <c r="K97">
        <f>IF(J97&lt;&gt;"E","",MATCH(S97,Transaksi!$M$2:$M$2001,0)+94-INDEX($Q$3:$Q$402,I97)-1)</f>
        <v/>
      </c>
      <c r="N97" t="n">
        <v>95</v>
      </c>
      <c r="O97">
        <f>IF(N97&lt;=$O$1,$O$1-N97+1,"")</f>
        <v/>
      </c>
      <c r="P97">
        <f>IF(O97="",0,COUNTIF(Transaksi!$M$2:$M$2001,O97)+1)</f>
        <v/>
      </c>
      <c r="Q97">
        <f>1+SUM(P$2:P96)</f>
        <v/>
      </c>
      <c r="S97">
        <f>IF(I97="","",INDEX($O$3:$O$402,I97))</f>
        <v/>
      </c>
      <c r="T97">
        <f>IF(J97&lt;&gt;"H","",INDEX(Transaksi!$A$2:$A$2001,MATCH(S97,Transaksi!$M$2:$M$2001,0)))</f>
        <v/>
      </c>
    </row>
    <row r="98">
      <c r="A98" s="31">
        <f>IF(J98="E",IF(INDEX(Transaksi!$J$2:$J$2001,K98)&gt;0,"↑","↓"),"")</f>
        <v/>
      </c>
      <c r="B98" s="32">
        <f>IF(J98="H",CHOOSE(WEEKDAY(T98,2),"Isnin","Selasa","Rabu","Khamis","Jumaat","Sabtu","Ahad")&amp;", "&amp;DAY(T98)&amp;" "&amp;CHOOSE(MONTH(T98),"Jan","Feb","Mac","Apr","Mei","Jun","Jul","Ogo","Sep","Okt","Nov","Dis")&amp;" "&amp;YEAR(T98),IF(J98="E",IF(INDEX(Transaksi!$B$2:$B$2001,K98)="",INDEX(Transaksi!$C$2:$C$2001,K98)&amp;" · "&amp;INDEX(Transaksi!$D$2:$D$2001,K98),INDEX(Transaksi!$B$2:$B$2001,K98)),""))</f>
        <v/>
      </c>
      <c r="C98" s="32">
        <f>IF(J98="E",INDEX(Transaksi!$C$2:$C$2001,K98)&amp;"","")</f>
        <v/>
      </c>
      <c r="D98" s="32">
        <f>IF(J98="E",INDEX(Transaksi!$D$2:$D$2001,K98)&amp;"","")</f>
        <v/>
      </c>
      <c r="E98" s="33">
        <f>IF(J98="H",SUMIFS(Transaksi!$G$2:$G$2001,Transaksi!$M$2:$M$2001,"="&amp;S98)+SUMIFS(Transaksi!$H$2:$H$2001,Transaksi!$M$2:$M$2001,"="&amp;S98)+SUMIFS(Transaksi!$I$2:$I$2001,Transaksi!$M$2:$M$2001,"="&amp;S98),IF(J98="E",IF(INDEX(Transaksi!$G$2:$G$2001,K98)+INDEX(Transaksi!$H$2:$H$2001,K98)+INDEX(Transaksi!$I$2:$I$2001,K98)=0,"",INDEX(Transaksi!$G$2:$G$2001,K98)+INDEX(Transaksi!$H$2:$H$2001,K98)+INDEX(Transaksi!$I$2:$I$2001,K98)),""))</f>
        <v/>
      </c>
      <c r="F98" s="33">
        <f>IF(J98="H",SUMIFS(Transaksi!$J$2:$J$2001,Transaksi!$M$2:$M$2001,"="&amp;S98),IF(J98="E",IF(INDEX(Transaksi!$J$2:$J$2001,K98)=0,"",INDEX(Transaksi!$J$2:$J$2001,K98)),""))</f>
        <v/>
      </c>
      <c r="G98" s="33">
        <f>IF(J98="H",(SUMIFS(Transaksi!$G$2:$G$2001,Transaksi!$M$2:$M$2001,"&lt;="&amp;S98)+SUMIFS(Transaksi!$H$2:$H$2001,Transaksi!$M$2:$M$2001,"&lt;="&amp;S98)+SUMIFS(Transaksi!$I$2:$I$2001,Transaksi!$M$2:$M$2001,"&lt;="&amp;S98))-(SUMIFS(Transaksi!$J$2:$J$2001,Transaksi!$M$2:$M$2001,"&lt;="&amp;S98)),"")</f>
        <v/>
      </c>
      <c r="I98">
        <f>IF(95&gt;$O$2,"",MATCH(95,$Q$3:$Q$402,1))</f>
        <v/>
      </c>
      <c r="J98">
        <f>IF(I98="","",IF(95=INDEX($Q$3:$Q$402,I98),"H","E"))</f>
        <v/>
      </c>
      <c r="K98">
        <f>IF(J98&lt;&gt;"E","",MATCH(S98,Transaksi!$M$2:$M$2001,0)+95-INDEX($Q$3:$Q$402,I98)-1)</f>
        <v/>
      </c>
      <c r="N98" t="n">
        <v>96</v>
      </c>
      <c r="O98">
        <f>IF(N98&lt;=$O$1,$O$1-N98+1,"")</f>
        <v/>
      </c>
      <c r="P98">
        <f>IF(O98="",0,COUNTIF(Transaksi!$M$2:$M$2001,O98)+1)</f>
        <v/>
      </c>
      <c r="Q98">
        <f>1+SUM(P$2:P97)</f>
        <v/>
      </c>
      <c r="S98">
        <f>IF(I98="","",INDEX($O$3:$O$402,I98))</f>
        <v/>
      </c>
      <c r="T98">
        <f>IF(J98&lt;&gt;"H","",INDEX(Transaksi!$A$2:$A$2001,MATCH(S98,Transaksi!$M$2:$M$2001,0)))</f>
        <v/>
      </c>
    </row>
    <row r="99">
      <c r="A99" s="31">
        <f>IF(J99="E",IF(INDEX(Transaksi!$J$2:$J$2001,K99)&gt;0,"↑","↓"),"")</f>
        <v/>
      </c>
      <c r="B99" s="32">
        <f>IF(J99="H",CHOOSE(WEEKDAY(T99,2),"Isnin","Selasa","Rabu","Khamis","Jumaat","Sabtu","Ahad")&amp;", "&amp;DAY(T99)&amp;" "&amp;CHOOSE(MONTH(T99),"Jan","Feb","Mac","Apr","Mei","Jun","Jul","Ogo","Sep","Okt","Nov","Dis")&amp;" "&amp;YEAR(T99),IF(J99="E",IF(INDEX(Transaksi!$B$2:$B$2001,K99)="",INDEX(Transaksi!$C$2:$C$2001,K99)&amp;" · "&amp;INDEX(Transaksi!$D$2:$D$2001,K99),INDEX(Transaksi!$B$2:$B$2001,K99)),""))</f>
        <v/>
      </c>
      <c r="C99" s="32">
        <f>IF(J99="E",INDEX(Transaksi!$C$2:$C$2001,K99)&amp;"","")</f>
        <v/>
      </c>
      <c r="D99" s="32">
        <f>IF(J99="E",INDEX(Transaksi!$D$2:$D$2001,K99)&amp;"","")</f>
        <v/>
      </c>
      <c r="E99" s="33">
        <f>IF(J99="H",SUMIFS(Transaksi!$G$2:$G$2001,Transaksi!$M$2:$M$2001,"="&amp;S99)+SUMIFS(Transaksi!$H$2:$H$2001,Transaksi!$M$2:$M$2001,"="&amp;S99)+SUMIFS(Transaksi!$I$2:$I$2001,Transaksi!$M$2:$M$2001,"="&amp;S99),IF(J99="E",IF(INDEX(Transaksi!$G$2:$G$2001,K99)+INDEX(Transaksi!$H$2:$H$2001,K99)+INDEX(Transaksi!$I$2:$I$2001,K99)=0,"",INDEX(Transaksi!$G$2:$G$2001,K99)+INDEX(Transaksi!$H$2:$H$2001,K99)+INDEX(Transaksi!$I$2:$I$2001,K99)),""))</f>
        <v/>
      </c>
      <c r="F99" s="33">
        <f>IF(J99="H",SUMIFS(Transaksi!$J$2:$J$2001,Transaksi!$M$2:$M$2001,"="&amp;S99),IF(J99="E",IF(INDEX(Transaksi!$J$2:$J$2001,K99)=0,"",INDEX(Transaksi!$J$2:$J$2001,K99)),""))</f>
        <v/>
      </c>
      <c r="G99" s="33">
        <f>IF(J99="H",(SUMIFS(Transaksi!$G$2:$G$2001,Transaksi!$M$2:$M$2001,"&lt;="&amp;S99)+SUMIFS(Transaksi!$H$2:$H$2001,Transaksi!$M$2:$M$2001,"&lt;="&amp;S99)+SUMIFS(Transaksi!$I$2:$I$2001,Transaksi!$M$2:$M$2001,"&lt;="&amp;S99))-(SUMIFS(Transaksi!$J$2:$J$2001,Transaksi!$M$2:$M$2001,"&lt;="&amp;S99)),"")</f>
        <v/>
      </c>
      <c r="I99">
        <f>IF(96&gt;$O$2,"",MATCH(96,$Q$3:$Q$402,1))</f>
        <v/>
      </c>
      <c r="J99">
        <f>IF(I99="","",IF(96=INDEX($Q$3:$Q$402,I99),"H","E"))</f>
        <v/>
      </c>
      <c r="K99">
        <f>IF(J99&lt;&gt;"E","",MATCH(S99,Transaksi!$M$2:$M$2001,0)+96-INDEX($Q$3:$Q$402,I99)-1)</f>
        <v/>
      </c>
      <c r="N99" t="n">
        <v>97</v>
      </c>
      <c r="O99">
        <f>IF(N99&lt;=$O$1,$O$1-N99+1,"")</f>
        <v/>
      </c>
      <c r="P99">
        <f>IF(O99="",0,COUNTIF(Transaksi!$M$2:$M$2001,O99)+1)</f>
        <v/>
      </c>
      <c r="Q99">
        <f>1+SUM(P$2:P98)</f>
        <v/>
      </c>
      <c r="S99">
        <f>IF(I99="","",INDEX($O$3:$O$402,I99))</f>
        <v/>
      </c>
      <c r="T99">
        <f>IF(J99&lt;&gt;"H","",INDEX(Transaksi!$A$2:$A$2001,MATCH(S99,Transaksi!$M$2:$M$2001,0)))</f>
        <v/>
      </c>
    </row>
    <row r="100">
      <c r="A100" s="31">
        <f>IF(J100="E",IF(INDEX(Transaksi!$J$2:$J$2001,K100)&gt;0,"↑","↓"),"")</f>
        <v/>
      </c>
      <c r="B100" s="32">
        <f>IF(J100="H",CHOOSE(WEEKDAY(T100,2),"Isnin","Selasa","Rabu","Khamis","Jumaat","Sabtu","Ahad")&amp;", "&amp;DAY(T100)&amp;" "&amp;CHOOSE(MONTH(T100),"Jan","Feb","Mac","Apr","Mei","Jun","Jul","Ogo","Sep","Okt","Nov","Dis")&amp;" "&amp;YEAR(T100),IF(J100="E",IF(INDEX(Transaksi!$B$2:$B$2001,K100)="",INDEX(Transaksi!$C$2:$C$2001,K100)&amp;" · "&amp;INDEX(Transaksi!$D$2:$D$2001,K100),INDEX(Transaksi!$B$2:$B$2001,K100)),""))</f>
        <v/>
      </c>
      <c r="C100" s="32">
        <f>IF(J100="E",INDEX(Transaksi!$C$2:$C$2001,K100)&amp;"","")</f>
        <v/>
      </c>
      <c r="D100" s="32">
        <f>IF(J100="E",INDEX(Transaksi!$D$2:$D$2001,K100)&amp;"","")</f>
        <v/>
      </c>
      <c r="E100" s="33">
        <f>IF(J100="H",SUMIFS(Transaksi!$G$2:$G$2001,Transaksi!$M$2:$M$2001,"="&amp;S100)+SUMIFS(Transaksi!$H$2:$H$2001,Transaksi!$M$2:$M$2001,"="&amp;S100)+SUMIFS(Transaksi!$I$2:$I$2001,Transaksi!$M$2:$M$2001,"="&amp;S100),IF(J100="E",IF(INDEX(Transaksi!$G$2:$G$2001,K100)+INDEX(Transaksi!$H$2:$H$2001,K100)+INDEX(Transaksi!$I$2:$I$2001,K100)=0,"",INDEX(Transaksi!$G$2:$G$2001,K100)+INDEX(Transaksi!$H$2:$H$2001,K100)+INDEX(Transaksi!$I$2:$I$2001,K100)),""))</f>
        <v/>
      </c>
      <c r="F100" s="33">
        <f>IF(J100="H",SUMIFS(Transaksi!$J$2:$J$2001,Transaksi!$M$2:$M$2001,"="&amp;S100),IF(J100="E",IF(INDEX(Transaksi!$J$2:$J$2001,K100)=0,"",INDEX(Transaksi!$J$2:$J$2001,K100)),""))</f>
        <v/>
      </c>
      <c r="G100" s="33">
        <f>IF(J100="H",(SUMIFS(Transaksi!$G$2:$G$2001,Transaksi!$M$2:$M$2001,"&lt;="&amp;S100)+SUMIFS(Transaksi!$H$2:$H$2001,Transaksi!$M$2:$M$2001,"&lt;="&amp;S100)+SUMIFS(Transaksi!$I$2:$I$2001,Transaksi!$M$2:$M$2001,"&lt;="&amp;S100))-(SUMIFS(Transaksi!$J$2:$J$2001,Transaksi!$M$2:$M$2001,"&lt;="&amp;S100)),"")</f>
        <v/>
      </c>
      <c r="I100">
        <f>IF(97&gt;$O$2,"",MATCH(97,$Q$3:$Q$402,1))</f>
        <v/>
      </c>
      <c r="J100">
        <f>IF(I100="","",IF(97=INDEX($Q$3:$Q$402,I100),"H","E"))</f>
        <v/>
      </c>
      <c r="K100">
        <f>IF(J100&lt;&gt;"E","",MATCH(S100,Transaksi!$M$2:$M$2001,0)+97-INDEX($Q$3:$Q$402,I100)-1)</f>
        <v/>
      </c>
      <c r="N100" t="n">
        <v>98</v>
      </c>
      <c r="O100">
        <f>IF(N100&lt;=$O$1,$O$1-N100+1,"")</f>
        <v/>
      </c>
      <c r="P100">
        <f>IF(O100="",0,COUNTIF(Transaksi!$M$2:$M$2001,O100)+1)</f>
        <v/>
      </c>
      <c r="Q100">
        <f>1+SUM(P$2:P99)</f>
        <v/>
      </c>
      <c r="S100">
        <f>IF(I100="","",INDEX($O$3:$O$402,I100))</f>
        <v/>
      </c>
      <c r="T100">
        <f>IF(J100&lt;&gt;"H","",INDEX(Transaksi!$A$2:$A$2001,MATCH(S100,Transaksi!$M$2:$M$2001,0)))</f>
        <v/>
      </c>
    </row>
    <row r="101">
      <c r="A101" s="31">
        <f>IF(J101="E",IF(INDEX(Transaksi!$J$2:$J$2001,K101)&gt;0,"↑","↓"),"")</f>
        <v/>
      </c>
      <c r="B101" s="32">
        <f>IF(J101="H",CHOOSE(WEEKDAY(T101,2),"Isnin","Selasa","Rabu","Khamis","Jumaat","Sabtu","Ahad")&amp;", "&amp;DAY(T101)&amp;" "&amp;CHOOSE(MONTH(T101),"Jan","Feb","Mac","Apr","Mei","Jun","Jul","Ogo","Sep","Okt","Nov","Dis")&amp;" "&amp;YEAR(T101),IF(J101="E",IF(INDEX(Transaksi!$B$2:$B$2001,K101)="",INDEX(Transaksi!$C$2:$C$2001,K101)&amp;" · "&amp;INDEX(Transaksi!$D$2:$D$2001,K101),INDEX(Transaksi!$B$2:$B$2001,K101)),""))</f>
        <v/>
      </c>
      <c r="C101" s="32">
        <f>IF(J101="E",INDEX(Transaksi!$C$2:$C$2001,K101)&amp;"","")</f>
        <v/>
      </c>
      <c r="D101" s="32">
        <f>IF(J101="E",INDEX(Transaksi!$D$2:$D$2001,K101)&amp;"","")</f>
        <v/>
      </c>
      <c r="E101" s="33">
        <f>IF(J101="H",SUMIFS(Transaksi!$G$2:$G$2001,Transaksi!$M$2:$M$2001,"="&amp;S101)+SUMIFS(Transaksi!$H$2:$H$2001,Transaksi!$M$2:$M$2001,"="&amp;S101)+SUMIFS(Transaksi!$I$2:$I$2001,Transaksi!$M$2:$M$2001,"="&amp;S101),IF(J101="E",IF(INDEX(Transaksi!$G$2:$G$2001,K101)+INDEX(Transaksi!$H$2:$H$2001,K101)+INDEX(Transaksi!$I$2:$I$2001,K101)=0,"",INDEX(Transaksi!$G$2:$G$2001,K101)+INDEX(Transaksi!$H$2:$H$2001,K101)+INDEX(Transaksi!$I$2:$I$2001,K101)),""))</f>
        <v/>
      </c>
      <c r="F101" s="33">
        <f>IF(J101="H",SUMIFS(Transaksi!$J$2:$J$2001,Transaksi!$M$2:$M$2001,"="&amp;S101),IF(J101="E",IF(INDEX(Transaksi!$J$2:$J$2001,K101)=0,"",INDEX(Transaksi!$J$2:$J$2001,K101)),""))</f>
        <v/>
      </c>
      <c r="G101" s="33">
        <f>IF(J101="H",(SUMIFS(Transaksi!$G$2:$G$2001,Transaksi!$M$2:$M$2001,"&lt;="&amp;S101)+SUMIFS(Transaksi!$H$2:$H$2001,Transaksi!$M$2:$M$2001,"&lt;="&amp;S101)+SUMIFS(Transaksi!$I$2:$I$2001,Transaksi!$M$2:$M$2001,"&lt;="&amp;S101))-(SUMIFS(Transaksi!$J$2:$J$2001,Transaksi!$M$2:$M$2001,"&lt;="&amp;S101)),"")</f>
        <v/>
      </c>
      <c r="I101">
        <f>IF(98&gt;$O$2,"",MATCH(98,$Q$3:$Q$402,1))</f>
        <v/>
      </c>
      <c r="J101">
        <f>IF(I101="","",IF(98=INDEX($Q$3:$Q$402,I101),"H","E"))</f>
        <v/>
      </c>
      <c r="K101">
        <f>IF(J101&lt;&gt;"E","",MATCH(S101,Transaksi!$M$2:$M$2001,0)+98-INDEX($Q$3:$Q$402,I101)-1)</f>
        <v/>
      </c>
      <c r="N101" t="n">
        <v>99</v>
      </c>
      <c r="O101">
        <f>IF(N101&lt;=$O$1,$O$1-N101+1,"")</f>
        <v/>
      </c>
      <c r="P101">
        <f>IF(O101="",0,COUNTIF(Transaksi!$M$2:$M$2001,O101)+1)</f>
        <v/>
      </c>
      <c r="Q101">
        <f>1+SUM(P$2:P100)</f>
        <v/>
      </c>
      <c r="S101">
        <f>IF(I101="","",INDEX($O$3:$O$402,I101))</f>
        <v/>
      </c>
      <c r="T101">
        <f>IF(J101&lt;&gt;"H","",INDEX(Transaksi!$A$2:$A$2001,MATCH(S101,Transaksi!$M$2:$M$2001,0)))</f>
        <v/>
      </c>
    </row>
    <row r="102">
      <c r="A102" s="31">
        <f>IF(J102="E",IF(INDEX(Transaksi!$J$2:$J$2001,K102)&gt;0,"↑","↓"),"")</f>
        <v/>
      </c>
      <c r="B102" s="32">
        <f>IF(J102="H",CHOOSE(WEEKDAY(T102,2),"Isnin","Selasa","Rabu","Khamis","Jumaat","Sabtu","Ahad")&amp;", "&amp;DAY(T102)&amp;" "&amp;CHOOSE(MONTH(T102),"Jan","Feb","Mac","Apr","Mei","Jun","Jul","Ogo","Sep","Okt","Nov","Dis")&amp;" "&amp;YEAR(T102),IF(J102="E",IF(INDEX(Transaksi!$B$2:$B$2001,K102)="",INDEX(Transaksi!$C$2:$C$2001,K102)&amp;" · "&amp;INDEX(Transaksi!$D$2:$D$2001,K102),INDEX(Transaksi!$B$2:$B$2001,K102)),""))</f>
        <v/>
      </c>
      <c r="C102" s="32">
        <f>IF(J102="E",INDEX(Transaksi!$C$2:$C$2001,K102)&amp;"","")</f>
        <v/>
      </c>
      <c r="D102" s="32">
        <f>IF(J102="E",INDEX(Transaksi!$D$2:$D$2001,K102)&amp;"","")</f>
        <v/>
      </c>
      <c r="E102" s="33">
        <f>IF(J102="H",SUMIFS(Transaksi!$G$2:$G$2001,Transaksi!$M$2:$M$2001,"="&amp;S102)+SUMIFS(Transaksi!$H$2:$H$2001,Transaksi!$M$2:$M$2001,"="&amp;S102)+SUMIFS(Transaksi!$I$2:$I$2001,Transaksi!$M$2:$M$2001,"="&amp;S102),IF(J102="E",IF(INDEX(Transaksi!$G$2:$G$2001,K102)+INDEX(Transaksi!$H$2:$H$2001,K102)+INDEX(Transaksi!$I$2:$I$2001,K102)=0,"",INDEX(Transaksi!$G$2:$G$2001,K102)+INDEX(Transaksi!$H$2:$H$2001,K102)+INDEX(Transaksi!$I$2:$I$2001,K102)),""))</f>
        <v/>
      </c>
      <c r="F102" s="33">
        <f>IF(J102="H",SUMIFS(Transaksi!$J$2:$J$2001,Transaksi!$M$2:$M$2001,"="&amp;S102),IF(J102="E",IF(INDEX(Transaksi!$J$2:$J$2001,K102)=0,"",INDEX(Transaksi!$J$2:$J$2001,K102)),""))</f>
        <v/>
      </c>
      <c r="G102" s="33">
        <f>IF(J102="H",(SUMIFS(Transaksi!$G$2:$G$2001,Transaksi!$M$2:$M$2001,"&lt;="&amp;S102)+SUMIFS(Transaksi!$H$2:$H$2001,Transaksi!$M$2:$M$2001,"&lt;="&amp;S102)+SUMIFS(Transaksi!$I$2:$I$2001,Transaksi!$M$2:$M$2001,"&lt;="&amp;S102))-(SUMIFS(Transaksi!$J$2:$J$2001,Transaksi!$M$2:$M$2001,"&lt;="&amp;S102)),"")</f>
        <v/>
      </c>
      <c r="I102">
        <f>IF(99&gt;$O$2,"",MATCH(99,$Q$3:$Q$402,1))</f>
        <v/>
      </c>
      <c r="J102">
        <f>IF(I102="","",IF(99=INDEX($Q$3:$Q$402,I102),"H","E"))</f>
        <v/>
      </c>
      <c r="K102">
        <f>IF(J102&lt;&gt;"E","",MATCH(S102,Transaksi!$M$2:$M$2001,0)+99-INDEX($Q$3:$Q$402,I102)-1)</f>
        <v/>
      </c>
      <c r="N102" t="n">
        <v>100</v>
      </c>
      <c r="O102">
        <f>IF(N102&lt;=$O$1,$O$1-N102+1,"")</f>
        <v/>
      </c>
      <c r="P102">
        <f>IF(O102="",0,COUNTIF(Transaksi!$M$2:$M$2001,O102)+1)</f>
        <v/>
      </c>
      <c r="Q102">
        <f>1+SUM(P$2:P101)</f>
        <v/>
      </c>
      <c r="S102">
        <f>IF(I102="","",INDEX($O$3:$O$402,I102))</f>
        <v/>
      </c>
      <c r="T102">
        <f>IF(J102&lt;&gt;"H","",INDEX(Transaksi!$A$2:$A$2001,MATCH(S102,Transaksi!$M$2:$M$2001,0)))</f>
        <v/>
      </c>
    </row>
    <row r="103">
      <c r="A103" s="31">
        <f>IF(J103="E",IF(INDEX(Transaksi!$J$2:$J$2001,K103)&gt;0,"↑","↓"),"")</f>
        <v/>
      </c>
      <c r="B103" s="32">
        <f>IF(J103="H",CHOOSE(WEEKDAY(T103,2),"Isnin","Selasa","Rabu","Khamis","Jumaat","Sabtu","Ahad")&amp;", "&amp;DAY(T103)&amp;" "&amp;CHOOSE(MONTH(T103),"Jan","Feb","Mac","Apr","Mei","Jun","Jul","Ogo","Sep","Okt","Nov","Dis")&amp;" "&amp;YEAR(T103),IF(J103="E",IF(INDEX(Transaksi!$B$2:$B$2001,K103)="",INDEX(Transaksi!$C$2:$C$2001,K103)&amp;" · "&amp;INDEX(Transaksi!$D$2:$D$2001,K103),INDEX(Transaksi!$B$2:$B$2001,K103)),""))</f>
        <v/>
      </c>
      <c r="C103" s="32">
        <f>IF(J103="E",INDEX(Transaksi!$C$2:$C$2001,K103)&amp;"","")</f>
        <v/>
      </c>
      <c r="D103" s="32">
        <f>IF(J103="E",INDEX(Transaksi!$D$2:$D$2001,K103)&amp;"","")</f>
        <v/>
      </c>
      <c r="E103" s="33">
        <f>IF(J103="H",SUMIFS(Transaksi!$G$2:$G$2001,Transaksi!$M$2:$M$2001,"="&amp;S103)+SUMIFS(Transaksi!$H$2:$H$2001,Transaksi!$M$2:$M$2001,"="&amp;S103)+SUMIFS(Transaksi!$I$2:$I$2001,Transaksi!$M$2:$M$2001,"="&amp;S103),IF(J103="E",IF(INDEX(Transaksi!$G$2:$G$2001,K103)+INDEX(Transaksi!$H$2:$H$2001,K103)+INDEX(Transaksi!$I$2:$I$2001,K103)=0,"",INDEX(Transaksi!$G$2:$G$2001,K103)+INDEX(Transaksi!$H$2:$H$2001,K103)+INDEX(Transaksi!$I$2:$I$2001,K103)),""))</f>
        <v/>
      </c>
      <c r="F103" s="33">
        <f>IF(J103="H",SUMIFS(Transaksi!$J$2:$J$2001,Transaksi!$M$2:$M$2001,"="&amp;S103),IF(J103="E",IF(INDEX(Transaksi!$J$2:$J$2001,K103)=0,"",INDEX(Transaksi!$J$2:$J$2001,K103)),""))</f>
        <v/>
      </c>
      <c r="G103" s="33">
        <f>IF(J103="H",(SUMIFS(Transaksi!$G$2:$G$2001,Transaksi!$M$2:$M$2001,"&lt;="&amp;S103)+SUMIFS(Transaksi!$H$2:$H$2001,Transaksi!$M$2:$M$2001,"&lt;="&amp;S103)+SUMIFS(Transaksi!$I$2:$I$2001,Transaksi!$M$2:$M$2001,"&lt;="&amp;S103))-(SUMIFS(Transaksi!$J$2:$J$2001,Transaksi!$M$2:$M$2001,"&lt;="&amp;S103)),"")</f>
        <v/>
      </c>
      <c r="I103">
        <f>IF(100&gt;$O$2,"",MATCH(100,$Q$3:$Q$402,1))</f>
        <v/>
      </c>
      <c r="J103">
        <f>IF(I103="","",IF(100=INDEX($Q$3:$Q$402,I103),"H","E"))</f>
        <v/>
      </c>
      <c r="K103">
        <f>IF(J103&lt;&gt;"E","",MATCH(S103,Transaksi!$M$2:$M$2001,0)+100-INDEX($Q$3:$Q$402,I103)-1)</f>
        <v/>
      </c>
      <c r="N103" t="n">
        <v>101</v>
      </c>
      <c r="O103">
        <f>IF(N103&lt;=$O$1,$O$1-N103+1,"")</f>
        <v/>
      </c>
      <c r="P103">
        <f>IF(O103="",0,COUNTIF(Transaksi!$M$2:$M$2001,O103)+1)</f>
        <v/>
      </c>
      <c r="Q103">
        <f>1+SUM(P$2:P102)</f>
        <v/>
      </c>
      <c r="S103">
        <f>IF(I103="","",INDEX($O$3:$O$402,I103))</f>
        <v/>
      </c>
      <c r="T103">
        <f>IF(J103&lt;&gt;"H","",INDEX(Transaksi!$A$2:$A$2001,MATCH(S103,Transaksi!$M$2:$M$2001,0)))</f>
        <v/>
      </c>
    </row>
    <row r="104">
      <c r="A104" s="31">
        <f>IF(J104="E",IF(INDEX(Transaksi!$J$2:$J$2001,K104)&gt;0,"↑","↓"),"")</f>
        <v/>
      </c>
      <c r="B104" s="32">
        <f>IF(J104="H",CHOOSE(WEEKDAY(T104,2),"Isnin","Selasa","Rabu","Khamis","Jumaat","Sabtu","Ahad")&amp;", "&amp;DAY(T104)&amp;" "&amp;CHOOSE(MONTH(T104),"Jan","Feb","Mac","Apr","Mei","Jun","Jul","Ogo","Sep","Okt","Nov","Dis")&amp;" "&amp;YEAR(T104),IF(J104="E",IF(INDEX(Transaksi!$B$2:$B$2001,K104)="",INDEX(Transaksi!$C$2:$C$2001,K104)&amp;" · "&amp;INDEX(Transaksi!$D$2:$D$2001,K104),INDEX(Transaksi!$B$2:$B$2001,K104)),""))</f>
        <v/>
      </c>
      <c r="C104" s="32">
        <f>IF(J104="E",INDEX(Transaksi!$C$2:$C$2001,K104)&amp;"","")</f>
        <v/>
      </c>
      <c r="D104" s="32">
        <f>IF(J104="E",INDEX(Transaksi!$D$2:$D$2001,K104)&amp;"","")</f>
        <v/>
      </c>
      <c r="E104" s="33">
        <f>IF(J104="H",SUMIFS(Transaksi!$G$2:$G$2001,Transaksi!$M$2:$M$2001,"="&amp;S104)+SUMIFS(Transaksi!$H$2:$H$2001,Transaksi!$M$2:$M$2001,"="&amp;S104)+SUMIFS(Transaksi!$I$2:$I$2001,Transaksi!$M$2:$M$2001,"="&amp;S104),IF(J104="E",IF(INDEX(Transaksi!$G$2:$G$2001,K104)+INDEX(Transaksi!$H$2:$H$2001,K104)+INDEX(Transaksi!$I$2:$I$2001,K104)=0,"",INDEX(Transaksi!$G$2:$G$2001,K104)+INDEX(Transaksi!$H$2:$H$2001,K104)+INDEX(Transaksi!$I$2:$I$2001,K104)),""))</f>
        <v/>
      </c>
      <c r="F104" s="33">
        <f>IF(J104="H",SUMIFS(Transaksi!$J$2:$J$2001,Transaksi!$M$2:$M$2001,"="&amp;S104),IF(J104="E",IF(INDEX(Transaksi!$J$2:$J$2001,K104)=0,"",INDEX(Transaksi!$J$2:$J$2001,K104)),""))</f>
        <v/>
      </c>
      <c r="G104" s="33">
        <f>IF(J104="H",(SUMIFS(Transaksi!$G$2:$G$2001,Transaksi!$M$2:$M$2001,"&lt;="&amp;S104)+SUMIFS(Transaksi!$H$2:$H$2001,Transaksi!$M$2:$M$2001,"&lt;="&amp;S104)+SUMIFS(Transaksi!$I$2:$I$2001,Transaksi!$M$2:$M$2001,"&lt;="&amp;S104))-(SUMIFS(Transaksi!$J$2:$J$2001,Transaksi!$M$2:$M$2001,"&lt;="&amp;S104)),"")</f>
        <v/>
      </c>
      <c r="I104">
        <f>IF(101&gt;$O$2,"",MATCH(101,$Q$3:$Q$402,1))</f>
        <v/>
      </c>
      <c r="J104">
        <f>IF(I104="","",IF(101=INDEX($Q$3:$Q$402,I104),"H","E"))</f>
        <v/>
      </c>
      <c r="K104">
        <f>IF(J104&lt;&gt;"E","",MATCH(S104,Transaksi!$M$2:$M$2001,0)+101-INDEX($Q$3:$Q$402,I104)-1)</f>
        <v/>
      </c>
      <c r="N104" t="n">
        <v>102</v>
      </c>
      <c r="O104">
        <f>IF(N104&lt;=$O$1,$O$1-N104+1,"")</f>
        <v/>
      </c>
      <c r="P104">
        <f>IF(O104="",0,COUNTIF(Transaksi!$M$2:$M$2001,O104)+1)</f>
        <v/>
      </c>
      <c r="Q104">
        <f>1+SUM(P$2:P103)</f>
        <v/>
      </c>
      <c r="S104">
        <f>IF(I104="","",INDEX($O$3:$O$402,I104))</f>
        <v/>
      </c>
      <c r="T104">
        <f>IF(J104&lt;&gt;"H","",INDEX(Transaksi!$A$2:$A$2001,MATCH(S104,Transaksi!$M$2:$M$2001,0)))</f>
        <v/>
      </c>
    </row>
    <row r="105">
      <c r="A105" s="31">
        <f>IF(J105="E",IF(INDEX(Transaksi!$J$2:$J$2001,K105)&gt;0,"↑","↓"),"")</f>
        <v/>
      </c>
      <c r="B105" s="32">
        <f>IF(J105="H",CHOOSE(WEEKDAY(T105,2),"Isnin","Selasa","Rabu","Khamis","Jumaat","Sabtu","Ahad")&amp;", "&amp;DAY(T105)&amp;" "&amp;CHOOSE(MONTH(T105),"Jan","Feb","Mac","Apr","Mei","Jun","Jul","Ogo","Sep","Okt","Nov","Dis")&amp;" "&amp;YEAR(T105),IF(J105="E",IF(INDEX(Transaksi!$B$2:$B$2001,K105)="",INDEX(Transaksi!$C$2:$C$2001,K105)&amp;" · "&amp;INDEX(Transaksi!$D$2:$D$2001,K105),INDEX(Transaksi!$B$2:$B$2001,K105)),""))</f>
        <v/>
      </c>
      <c r="C105" s="32">
        <f>IF(J105="E",INDEX(Transaksi!$C$2:$C$2001,K105)&amp;"","")</f>
        <v/>
      </c>
      <c r="D105" s="32">
        <f>IF(J105="E",INDEX(Transaksi!$D$2:$D$2001,K105)&amp;"","")</f>
        <v/>
      </c>
      <c r="E105" s="33">
        <f>IF(J105="H",SUMIFS(Transaksi!$G$2:$G$2001,Transaksi!$M$2:$M$2001,"="&amp;S105)+SUMIFS(Transaksi!$H$2:$H$2001,Transaksi!$M$2:$M$2001,"="&amp;S105)+SUMIFS(Transaksi!$I$2:$I$2001,Transaksi!$M$2:$M$2001,"="&amp;S105),IF(J105="E",IF(INDEX(Transaksi!$G$2:$G$2001,K105)+INDEX(Transaksi!$H$2:$H$2001,K105)+INDEX(Transaksi!$I$2:$I$2001,K105)=0,"",INDEX(Transaksi!$G$2:$G$2001,K105)+INDEX(Transaksi!$H$2:$H$2001,K105)+INDEX(Transaksi!$I$2:$I$2001,K105)),""))</f>
        <v/>
      </c>
      <c r="F105" s="33">
        <f>IF(J105="H",SUMIFS(Transaksi!$J$2:$J$2001,Transaksi!$M$2:$M$2001,"="&amp;S105),IF(J105="E",IF(INDEX(Transaksi!$J$2:$J$2001,K105)=0,"",INDEX(Transaksi!$J$2:$J$2001,K105)),""))</f>
        <v/>
      </c>
      <c r="G105" s="33">
        <f>IF(J105="H",(SUMIFS(Transaksi!$G$2:$G$2001,Transaksi!$M$2:$M$2001,"&lt;="&amp;S105)+SUMIFS(Transaksi!$H$2:$H$2001,Transaksi!$M$2:$M$2001,"&lt;="&amp;S105)+SUMIFS(Transaksi!$I$2:$I$2001,Transaksi!$M$2:$M$2001,"&lt;="&amp;S105))-(SUMIFS(Transaksi!$J$2:$J$2001,Transaksi!$M$2:$M$2001,"&lt;="&amp;S105)),"")</f>
        <v/>
      </c>
      <c r="I105">
        <f>IF(102&gt;$O$2,"",MATCH(102,$Q$3:$Q$402,1))</f>
        <v/>
      </c>
      <c r="J105">
        <f>IF(I105="","",IF(102=INDEX($Q$3:$Q$402,I105),"H","E"))</f>
        <v/>
      </c>
      <c r="K105">
        <f>IF(J105&lt;&gt;"E","",MATCH(S105,Transaksi!$M$2:$M$2001,0)+102-INDEX($Q$3:$Q$402,I105)-1)</f>
        <v/>
      </c>
      <c r="N105" t="n">
        <v>103</v>
      </c>
      <c r="O105">
        <f>IF(N105&lt;=$O$1,$O$1-N105+1,"")</f>
        <v/>
      </c>
      <c r="P105">
        <f>IF(O105="",0,COUNTIF(Transaksi!$M$2:$M$2001,O105)+1)</f>
        <v/>
      </c>
      <c r="Q105">
        <f>1+SUM(P$2:P104)</f>
        <v/>
      </c>
      <c r="S105">
        <f>IF(I105="","",INDEX($O$3:$O$402,I105))</f>
        <v/>
      </c>
      <c r="T105">
        <f>IF(J105&lt;&gt;"H","",INDEX(Transaksi!$A$2:$A$2001,MATCH(S105,Transaksi!$M$2:$M$2001,0)))</f>
        <v/>
      </c>
    </row>
    <row r="106">
      <c r="A106" s="31">
        <f>IF(J106="E",IF(INDEX(Transaksi!$J$2:$J$2001,K106)&gt;0,"↑","↓"),"")</f>
        <v/>
      </c>
      <c r="B106" s="32">
        <f>IF(J106="H",CHOOSE(WEEKDAY(T106,2),"Isnin","Selasa","Rabu","Khamis","Jumaat","Sabtu","Ahad")&amp;", "&amp;DAY(T106)&amp;" "&amp;CHOOSE(MONTH(T106),"Jan","Feb","Mac","Apr","Mei","Jun","Jul","Ogo","Sep","Okt","Nov","Dis")&amp;" "&amp;YEAR(T106),IF(J106="E",IF(INDEX(Transaksi!$B$2:$B$2001,K106)="",INDEX(Transaksi!$C$2:$C$2001,K106)&amp;" · "&amp;INDEX(Transaksi!$D$2:$D$2001,K106),INDEX(Transaksi!$B$2:$B$2001,K106)),""))</f>
        <v/>
      </c>
      <c r="C106" s="32">
        <f>IF(J106="E",INDEX(Transaksi!$C$2:$C$2001,K106)&amp;"","")</f>
        <v/>
      </c>
      <c r="D106" s="32">
        <f>IF(J106="E",INDEX(Transaksi!$D$2:$D$2001,K106)&amp;"","")</f>
        <v/>
      </c>
      <c r="E106" s="33">
        <f>IF(J106="H",SUMIFS(Transaksi!$G$2:$G$2001,Transaksi!$M$2:$M$2001,"="&amp;S106)+SUMIFS(Transaksi!$H$2:$H$2001,Transaksi!$M$2:$M$2001,"="&amp;S106)+SUMIFS(Transaksi!$I$2:$I$2001,Transaksi!$M$2:$M$2001,"="&amp;S106),IF(J106="E",IF(INDEX(Transaksi!$G$2:$G$2001,K106)+INDEX(Transaksi!$H$2:$H$2001,K106)+INDEX(Transaksi!$I$2:$I$2001,K106)=0,"",INDEX(Transaksi!$G$2:$G$2001,K106)+INDEX(Transaksi!$H$2:$H$2001,K106)+INDEX(Transaksi!$I$2:$I$2001,K106)),""))</f>
        <v/>
      </c>
      <c r="F106" s="33">
        <f>IF(J106="H",SUMIFS(Transaksi!$J$2:$J$2001,Transaksi!$M$2:$M$2001,"="&amp;S106),IF(J106="E",IF(INDEX(Transaksi!$J$2:$J$2001,K106)=0,"",INDEX(Transaksi!$J$2:$J$2001,K106)),""))</f>
        <v/>
      </c>
      <c r="G106" s="33">
        <f>IF(J106="H",(SUMIFS(Transaksi!$G$2:$G$2001,Transaksi!$M$2:$M$2001,"&lt;="&amp;S106)+SUMIFS(Transaksi!$H$2:$H$2001,Transaksi!$M$2:$M$2001,"&lt;="&amp;S106)+SUMIFS(Transaksi!$I$2:$I$2001,Transaksi!$M$2:$M$2001,"&lt;="&amp;S106))-(SUMIFS(Transaksi!$J$2:$J$2001,Transaksi!$M$2:$M$2001,"&lt;="&amp;S106)),"")</f>
        <v/>
      </c>
      <c r="I106">
        <f>IF(103&gt;$O$2,"",MATCH(103,$Q$3:$Q$402,1))</f>
        <v/>
      </c>
      <c r="J106">
        <f>IF(I106="","",IF(103=INDEX($Q$3:$Q$402,I106),"H","E"))</f>
        <v/>
      </c>
      <c r="K106">
        <f>IF(J106&lt;&gt;"E","",MATCH(S106,Transaksi!$M$2:$M$2001,0)+103-INDEX($Q$3:$Q$402,I106)-1)</f>
        <v/>
      </c>
      <c r="N106" t="n">
        <v>104</v>
      </c>
      <c r="O106">
        <f>IF(N106&lt;=$O$1,$O$1-N106+1,"")</f>
        <v/>
      </c>
      <c r="P106">
        <f>IF(O106="",0,COUNTIF(Transaksi!$M$2:$M$2001,O106)+1)</f>
        <v/>
      </c>
      <c r="Q106">
        <f>1+SUM(P$2:P105)</f>
        <v/>
      </c>
      <c r="S106">
        <f>IF(I106="","",INDEX($O$3:$O$402,I106))</f>
        <v/>
      </c>
      <c r="T106">
        <f>IF(J106&lt;&gt;"H","",INDEX(Transaksi!$A$2:$A$2001,MATCH(S106,Transaksi!$M$2:$M$2001,0)))</f>
        <v/>
      </c>
    </row>
    <row r="107">
      <c r="A107" s="31">
        <f>IF(J107="E",IF(INDEX(Transaksi!$J$2:$J$2001,K107)&gt;0,"↑","↓"),"")</f>
        <v/>
      </c>
      <c r="B107" s="32">
        <f>IF(J107="H",CHOOSE(WEEKDAY(T107,2),"Isnin","Selasa","Rabu","Khamis","Jumaat","Sabtu","Ahad")&amp;", "&amp;DAY(T107)&amp;" "&amp;CHOOSE(MONTH(T107),"Jan","Feb","Mac","Apr","Mei","Jun","Jul","Ogo","Sep","Okt","Nov","Dis")&amp;" "&amp;YEAR(T107),IF(J107="E",IF(INDEX(Transaksi!$B$2:$B$2001,K107)="",INDEX(Transaksi!$C$2:$C$2001,K107)&amp;" · "&amp;INDEX(Transaksi!$D$2:$D$2001,K107),INDEX(Transaksi!$B$2:$B$2001,K107)),""))</f>
        <v/>
      </c>
      <c r="C107" s="32">
        <f>IF(J107="E",INDEX(Transaksi!$C$2:$C$2001,K107)&amp;"","")</f>
        <v/>
      </c>
      <c r="D107" s="32">
        <f>IF(J107="E",INDEX(Transaksi!$D$2:$D$2001,K107)&amp;"","")</f>
        <v/>
      </c>
      <c r="E107" s="33">
        <f>IF(J107="H",SUMIFS(Transaksi!$G$2:$G$2001,Transaksi!$M$2:$M$2001,"="&amp;S107)+SUMIFS(Transaksi!$H$2:$H$2001,Transaksi!$M$2:$M$2001,"="&amp;S107)+SUMIFS(Transaksi!$I$2:$I$2001,Transaksi!$M$2:$M$2001,"="&amp;S107),IF(J107="E",IF(INDEX(Transaksi!$G$2:$G$2001,K107)+INDEX(Transaksi!$H$2:$H$2001,K107)+INDEX(Transaksi!$I$2:$I$2001,K107)=0,"",INDEX(Transaksi!$G$2:$G$2001,K107)+INDEX(Transaksi!$H$2:$H$2001,K107)+INDEX(Transaksi!$I$2:$I$2001,K107)),""))</f>
        <v/>
      </c>
      <c r="F107" s="33">
        <f>IF(J107="H",SUMIFS(Transaksi!$J$2:$J$2001,Transaksi!$M$2:$M$2001,"="&amp;S107),IF(J107="E",IF(INDEX(Transaksi!$J$2:$J$2001,K107)=0,"",INDEX(Transaksi!$J$2:$J$2001,K107)),""))</f>
        <v/>
      </c>
      <c r="G107" s="33">
        <f>IF(J107="H",(SUMIFS(Transaksi!$G$2:$G$2001,Transaksi!$M$2:$M$2001,"&lt;="&amp;S107)+SUMIFS(Transaksi!$H$2:$H$2001,Transaksi!$M$2:$M$2001,"&lt;="&amp;S107)+SUMIFS(Transaksi!$I$2:$I$2001,Transaksi!$M$2:$M$2001,"&lt;="&amp;S107))-(SUMIFS(Transaksi!$J$2:$J$2001,Transaksi!$M$2:$M$2001,"&lt;="&amp;S107)),"")</f>
        <v/>
      </c>
      <c r="I107">
        <f>IF(104&gt;$O$2,"",MATCH(104,$Q$3:$Q$402,1))</f>
        <v/>
      </c>
      <c r="J107">
        <f>IF(I107="","",IF(104=INDEX($Q$3:$Q$402,I107),"H","E"))</f>
        <v/>
      </c>
      <c r="K107">
        <f>IF(J107&lt;&gt;"E","",MATCH(S107,Transaksi!$M$2:$M$2001,0)+104-INDEX($Q$3:$Q$402,I107)-1)</f>
        <v/>
      </c>
      <c r="N107" t="n">
        <v>105</v>
      </c>
      <c r="O107">
        <f>IF(N107&lt;=$O$1,$O$1-N107+1,"")</f>
        <v/>
      </c>
      <c r="P107">
        <f>IF(O107="",0,COUNTIF(Transaksi!$M$2:$M$2001,O107)+1)</f>
        <v/>
      </c>
      <c r="Q107">
        <f>1+SUM(P$2:P106)</f>
        <v/>
      </c>
      <c r="S107">
        <f>IF(I107="","",INDEX($O$3:$O$402,I107))</f>
        <v/>
      </c>
      <c r="T107">
        <f>IF(J107&lt;&gt;"H","",INDEX(Transaksi!$A$2:$A$2001,MATCH(S107,Transaksi!$M$2:$M$2001,0)))</f>
        <v/>
      </c>
    </row>
    <row r="108">
      <c r="A108" s="31">
        <f>IF(J108="E",IF(INDEX(Transaksi!$J$2:$J$2001,K108)&gt;0,"↑","↓"),"")</f>
        <v/>
      </c>
      <c r="B108" s="32">
        <f>IF(J108="H",CHOOSE(WEEKDAY(T108,2),"Isnin","Selasa","Rabu","Khamis","Jumaat","Sabtu","Ahad")&amp;", "&amp;DAY(T108)&amp;" "&amp;CHOOSE(MONTH(T108),"Jan","Feb","Mac","Apr","Mei","Jun","Jul","Ogo","Sep","Okt","Nov","Dis")&amp;" "&amp;YEAR(T108),IF(J108="E",IF(INDEX(Transaksi!$B$2:$B$2001,K108)="",INDEX(Transaksi!$C$2:$C$2001,K108)&amp;" · "&amp;INDEX(Transaksi!$D$2:$D$2001,K108),INDEX(Transaksi!$B$2:$B$2001,K108)),""))</f>
        <v/>
      </c>
      <c r="C108" s="32">
        <f>IF(J108="E",INDEX(Transaksi!$C$2:$C$2001,K108)&amp;"","")</f>
        <v/>
      </c>
      <c r="D108" s="32">
        <f>IF(J108="E",INDEX(Transaksi!$D$2:$D$2001,K108)&amp;"","")</f>
        <v/>
      </c>
      <c r="E108" s="33">
        <f>IF(J108="H",SUMIFS(Transaksi!$G$2:$G$2001,Transaksi!$M$2:$M$2001,"="&amp;S108)+SUMIFS(Transaksi!$H$2:$H$2001,Transaksi!$M$2:$M$2001,"="&amp;S108)+SUMIFS(Transaksi!$I$2:$I$2001,Transaksi!$M$2:$M$2001,"="&amp;S108),IF(J108="E",IF(INDEX(Transaksi!$G$2:$G$2001,K108)+INDEX(Transaksi!$H$2:$H$2001,K108)+INDEX(Transaksi!$I$2:$I$2001,K108)=0,"",INDEX(Transaksi!$G$2:$G$2001,K108)+INDEX(Transaksi!$H$2:$H$2001,K108)+INDEX(Transaksi!$I$2:$I$2001,K108)),""))</f>
        <v/>
      </c>
      <c r="F108" s="33">
        <f>IF(J108="H",SUMIFS(Transaksi!$J$2:$J$2001,Transaksi!$M$2:$M$2001,"="&amp;S108),IF(J108="E",IF(INDEX(Transaksi!$J$2:$J$2001,K108)=0,"",INDEX(Transaksi!$J$2:$J$2001,K108)),""))</f>
        <v/>
      </c>
      <c r="G108" s="33">
        <f>IF(J108="H",(SUMIFS(Transaksi!$G$2:$G$2001,Transaksi!$M$2:$M$2001,"&lt;="&amp;S108)+SUMIFS(Transaksi!$H$2:$H$2001,Transaksi!$M$2:$M$2001,"&lt;="&amp;S108)+SUMIFS(Transaksi!$I$2:$I$2001,Transaksi!$M$2:$M$2001,"&lt;="&amp;S108))-(SUMIFS(Transaksi!$J$2:$J$2001,Transaksi!$M$2:$M$2001,"&lt;="&amp;S108)),"")</f>
        <v/>
      </c>
      <c r="I108">
        <f>IF(105&gt;$O$2,"",MATCH(105,$Q$3:$Q$402,1))</f>
        <v/>
      </c>
      <c r="J108">
        <f>IF(I108="","",IF(105=INDEX($Q$3:$Q$402,I108),"H","E"))</f>
        <v/>
      </c>
      <c r="K108">
        <f>IF(J108&lt;&gt;"E","",MATCH(S108,Transaksi!$M$2:$M$2001,0)+105-INDEX($Q$3:$Q$402,I108)-1)</f>
        <v/>
      </c>
      <c r="N108" t="n">
        <v>106</v>
      </c>
      <c r="O108">
        <f>IF(N108&lt;=$O$1,$O$1-N108+1,"")</f>
        <v/>
      </c>
      <c r="P108">
        <f>IF(O108="",0,COUNTIF(Transaksi!$M$2:$M$2001,O108)+1)</f>
        <v/>
      </c>
      <c r="Q108">
        <f>1+SUM(P$2:P107)</f>
        <v/>
      </c>
      <c r="S108">
        <f>IF(I108="","",INDEX($O$3:$O$402,I108))</f>
        <v/>
      </c>
      <c r="T108">
        <f>IF(J108&lt;&gt;"H","",INDEX(Transaksi!$A$2:$A$2001,MATCH(S108,Transaksi!$M$2:$M$2001,0)))</f>
        <v/>
      </c>
    </row>
    <row r="109">
      <c r="A109" s="31">
        <f>IF(J109="E",IF(INDEX(Transaksi!$J$2:$J$2001,K109)&gt;0,"↑","↓"),"")</f>
        <v/>
      </c>
      <c r="B109" s="32">
        <f>IF(J109="H",CHOOSE(WEEKDAY(T109,2),"Isnin","Selasa","Rabu","Khamis","Jumaat","Sabtu","Ahad")&amp;", "&amp;DAY(T109)&amp;" "&amp;CHOOSE(MONTH(T109),"Jan","Feb","Mac","Apr","Mei","Jun","Jul","Ogo","Sep","Okt","Nov","Dis")&amp;" "&amp;YEAR(T109),IF(J109="E",IF(INDEX(Transaksi!$B$2:$B$2001,K109)="",INDEX(Transaksi!$C$2:$C$2001,K109)&amp;" · "&amp;INDEX(Transaksi!$D$2:$D$2001,K109),INDEX(Transaksi!$B$2:$B$2001,K109)),""))</f>
        <v/>
      </c>
      <c r="C109" s="32">
        <f>IF(J109="E",INDEX(Transaksi!$C$2:$C$2001,K109)&amp;"","")</f>
        <v/>
      </c>
      <c r="D109" s="32">
        <f>IF(J109="E",INDEX(Transaksi!$D$2:$D$2001,K109)&amp;"","")</f>
        <v/>
      </c>
      <c r="E109" s="33">
        <f>IF(J109="H",SUMIFS(Transaksi!$G$2:$G$2001,Transaksi!$M$2:$M$2001,"="&amp;S109)+SUMIFS(Transaksi!$H$2:$H$2001,Transaksi!$M$2:$M$2001,"="&amp;S109)+SUMIFS(Transaksi!$I$2:$I$2001,Transaksi!$M$2:$M$2001,"="&amp;S109),IF(J109="E",IF(INDEX(Transaksi!$G$2:$G$2001,K109)+INDEX(Transaksi!$H$2:$H$2001,K109)+INDEX(Transaksi!$I$2:$I$2001,K109)=0,"",INDEX(Transaksi!$G$2:$G$2001,K109)+INDEX(Transaksi!$H$2:$H$2001,K109)+INDEX(Transaksi!$I$2:$I$2001,K109)),""))</f>
        <v/>
      </c>
      <c r="F109" s="33">
        <f>IF(J109="H",SUMIFS(Transaksi!$J$2:$J$2001,Transaksi!$M$2:$M$2001,"="&amp;S109),IF(J109="E",IF(INDEX(Transaksi!$J$2:$J$2001,K109)=0,"",INDEX(Transaksi!$J$2:$J$2001,K109)),""))</f>
        <v/>
      </c>
      <c r="G109" s="33">
        <f>IF(J109="H",(SUMIFS(Transaksi!$G$2:$G$2001,Transaksi!$M$2:$M$2001,"&lt;="&amp;S109)+SUMIFS(Transaksi!$H$2:$H$2001,Transaksi!$M$2:$M$2001,"&lt;="&amp;S109)+SUMIFS(Transaksi!$I$2:$I$2001,Transaksi!$M$2:$M$2001,"&lt;="&amp;S109))-(SUMIFS(Transaksi!$J$2:$J$2001,Transaksi!$M$2:$M$2001,"&lt;="&amp;S109)),"")</f>
        <v/>
      </c>
      <c r="I109">
        <f>IF(106&gt;$O$2,"",MATCH(106,$Q$3:$Q$402,1))</f>
        <v/>
      </c>
      <c r="J109">
        <f>IF(I109="","",IF(106=INDEX($Q$3:$Q$402,I109),"H","E"))</f>
        <v/>
      </c>
      <c r="K109">
        <f>IF(J109&lt;&gt;"E","",MATCH(S109,Transaksi!$M$2:$M$2001,0)+106-INDEX($Q$3:$Q$402,I109)-1)</f>
        <v/>
      </c>
      <c r="N109" t="n">
        <v>107</v>
      </c>
      <c r="O109">
        <f>IF(N109&lt;=$O$1,$O$1-N109+1,"")</f>
        <v/>
      </c>
      <c r="P109">
        <f>IF(O109="",0,COUNTIF(Transaksi!$M$2:$M$2001,O109)+1)</f>
        <v/>
      </c>
      <c r="Q109">
        <f>1+SUM(P$2:P108)</f>
        <v/>
      </c>
      <c r="S109">
        <f>IF(I109="","",INDEX($O$3:$O$402,I109))</f>
        <v/>
      </c>
      <c r="T109">
        <f>IF(J109&lt;&gt;"H","",INDEX(Transaksi!$A$2:$A$2001,MATCH(S109,Transaksi!$M$2:$M$2001,0)))</f>
        <v/>
      </c>
    </row>
    <row r="110">
      <c r="A110" s="31">
        <f>IF(J110="E",IF(INDEX(Transaksi!$J$2:$J$2001,K110)&gt;0,"↑","↓"),"")</f>
        <v/>
      </c>
      <c r="B110" s="32">
        <f>IF(J110="H",CHOOSE(WEEKDAY(T110,2),"Isnin","Selasa","Rabu","Khamis","Jumaat","Sabtu","Ahad")&amp;", "&amp;DAY(T110)&amp;" "&amp;CHOOSE(MONTH(T110),"Jan","Feb","Mac","Apr","Mei","Jun","Jul","Ogo","Sep","Okt","Nov","Dis")&amp;" "&amp;YEAR(T110),IF(J110="E",IF(INDEX(Transaksi!$B$2:$B$2001,K110)="",INDEX(Transaksi!$C$2:$C$2001,K110)&amp;" · "&amp;INDEX(Transaksi!$D$2:$D$2001,K110),INDEX(Transaksi!$B$2:$B$2001,K110)),""))</f>
        <v/>
      </c>
      <c r="C110" s="32">
        <f>IF(J110="E",INDEX(Transaksi!$C$2:$C$2001,K110)&amp;"","")</f>
        <v/>
      </c>
      <c r="D110" s="32">
        <f>IF(J110="E",INDEX(Transaksi!$D$2:$D$2001,K110)&amp;"","")</f>
        <v/>
      </c>
      <c r="E110" s="33">
        <f>IF(J110="H",SUMIFS(Transaksi!$G$2:$G$2001,Transaksi!$M$2:$M$2001,"="&amp;S110)+SUMIFS(Transaksi!$H$2:$H$2001,Transaksi!$M$2:$M$2001,"="&amp;S110)+SUMIFS(Transaksi!$I$2:$I$2001,Transaksi!$M$2:$M$2001,"="&amp;S110),IF(J110="E",IF(INDEX(Transaksi!$G$2:$G$2001,K110)+INDEX(Transaksi!$H$2:$H$2001,K110)+INDEX(Transaksi!$I$2:$I$2001,K110)=0,"",INDEX(Transaksi!$G$2:$G$2001,K110)+INDEX(Transaksi!$H$2:$H$2001,K110)+INDEX(Transaksi!$I$2:$I$2001,K110)),""))</f>
        <v/>
      </c>
      <c r="F110" s="33">
        <f>IF(J110="H",SUMIFS(Transaksi!$J$2:$J$2001,Transaksi!$M$2:$M$2001,"="&amp;S110),IF(J110="E",IF(INDEX(Transaksi!$J$2:$J$2001,K110)=0,"",INDEX(Transaksi!$J$2:$J$2001,K110)),""))</f>
        <v/>
      </c>
      <c r="G110" s="33">
        <f>IF(J110="H",(SUMIFS(Transaksi!$G$2:$G$2001,Transaksi!$M$2:$M$2001,"&lt;="&amp;S110)+SUMIFS(Transaksi!$H$2:$H$2001,Transaksi!$M$2:$M$2001,"&lt;="&amp;S110)+SUMIFS(Transaksi!$I$2:$I$2001,Transaksi!$M$2:$M$2001,"&lt;="&amp;S110))-(SUMIFS(Transaksi!$J$2:$J$2001,Transaksi!$M$2:$M$2001,"&lt;="&amp;S110)),"")</f>
        <v/>
      </c>
      <c r="I110">
        <f>IF(107&gt;$O$2,"",MATCH(107,$Q$3:$Q$402,1))</f>
        <v/>
      </c>
      <c r="J110">
        <f>IF(I110="","",IF(107=INDEX($Q$3:$Q$402,I110),"H","E"))</f>
        <v/>
      </c>
      <c r="K110">
        <f>IF(J110&lt;&gt;"E","",MATCH(S110,Transaksi!$M$2:$M$2001,0)+107-INDEX($Q$3:$Q$402,I110)-1)</f>
        <v/>
      </c>
      <c r="N110" t="n">
        <v>108</v>
      </c>
      <c r="O110">
        <f>IF(N110&lt;=$O$1,$O$1-N110+1,"")</f>
        <v/>
      </c>
      <c r="P110">
        <f>IF(O110="",0,COUNTIF(Transaksi!$M$2:$M$2001,O110)+1)</f>
        <v/>
      </c>
      <c r="Q110">
        <f>1+SUM(P$2:P109)</f>
        <v/>
      </c>
      <c r="S110">
        <f>IF(I110="","",INDEX($O$3:$O$402,I110))</f>
        <v/>
      </c>
      <c r="T110">
        <f>IF(J110&lt;&gt;"H","",INDEX(Transaksi!$A$2:$A$2001,MATCH(S110,Transaksi!$M$2:$M$2001,0)))</f>
        <v/>
      </c>
    </row>
    <row r="111">
      <c r="A111" s="31">
        <f>IF(J111="E",IF(INDEX(Transaksi!$J$2:$J$2001,K111)&gt;0,"↑","↓"),"")</f>
        <v/>
      </c>
      <c r="B111" s="32">
        <f>IF(J111="H",CHOOSE(WEEKDAY(T111,2),"Isnin","Selasa","Rabu","Khamis","Jumaat","Sabtu","Ahad")&amp;", "&amp;DAY(T111)&amp;" "&amp;CHOOSE(MONTH(T111),"Jan","Feb","Mac","Apr","Mei","Jun","Jul","Ogo","Sep","Okt","Nov","Dis")&amp;" "&amp;YEAR(T111),IF(J111="E",IF(INDEX(Transaksi!$B$2:$B$2001,K111)="",INDEX(Transaksi!$C$2:$C$2001,K111)&amp;" · "&amp;INDEX(Transaksi!$D$2:$D$2001,K111),INDEX(Transaksi!$B$2:$B$2001,K111)),""))</f>
        <v/>
      </c>
      <c r="C111" s="32">
        <f>IF(J111="E",INDEX(Transaksi!$C$2:$C$2001,K111)&amp;"","")</f>
        <v/>
      </c>
      <c r="D111" s="32">
        <f>IF(J111="E",INDEX(Transaksi!$D$2:$D$2001,K111)&amp;"","")</f>
        <v/>
      </c>
      <c r="E111" s="33">
        <f>IF(J111="H",SUMIFS(Transaksi!$G$2:$G$2001,Transaksi!$M$2:$M$2001,"="&amp;S111)+SUMIFS(Transaksi!$H$2:$H$2001,Transaksi!$M$2:$M$2001,"="&amp;S111)+SUMIFS(Transaksi!$I$2:$I$2001,Transaksi!$M$2:$M$2001,"="&amp;S111),IF(J111="E",IF(INDEX(Transaksi!$G$2:$G$2001,K111)+INDEX(Transaksi!$H$2:$H$2001,K111)+INDEX(Transaksi!$I$2:$I$2001,K111)=0,"",INDEX(Transaksi!$G$2:$G$2001,K111)+INDEX(Transaksi!$H$2:$H$2001,K111)+INDEX(Transaksi!$I$2:$I$2001,K111)),""))</f>
        <v/>
      </c>
      <c r="F111" s="33">
        <f>IF(J111="H",SUMIFS(Transaksi!$J$2:$J$2001,Transaksi!$M$2:$M$2001,"="&amp;S111),IF(J111="E",IF(INDEX(Transaksi!$J$2:$J$2001,K111)=0,"",INDEX(Transaksi!$J$2:$J$2001,K111)),""))</f>
        <v/>
      </c>
      <c r="G111" s="33">
        <f>IF(J111="H",(SUMIFS(Transaksi!$G$2:$G$2001,Transaksi!$M$2:$M$2001,"&lt;="&amp;S111)+SUMIFS(Transaksi!$H$2:$H$2001,Transaksi!$M$2:$M$2001,"&lt;="&amp;S111)+SUMIFS(Transaksi!$I$2:$I$2001,Transaksi!$M$2:$M$2001,"&lt;="&amp;S111))-(SUMIFS(Transaksi!$J$2:$J$2001,Transaksi!$M$2:$M$2001,"&lt;="&amp;S111)),"")</f>
        <v/>
      </c>
      <c r="I111">
        <f>IF(108&gt;$O$2,"",MATCH(108,$Q$3:$Q$402,1))</f>
        <v/>
      </c>
      <c r="J111">
        <f>IF(I111="","",IF(108=INDEX($Q$3:$Q$402,I111),"H","E"))</f>
        <v/>
      </c>
      <c r="K111">
        <f>IF(J111&lt;&gt;"E","",MATCH(S111,Transaksi!$M$2:$M$2001,0)+108-INDEX($Q$3:$Q$402,I111)-1)</f>
        <v/>
      </c>
      <c r="N111" t="n">
        <v>109</v>
      </c>
      <c r="O111">
        <f>IF(N111&lt;=$O$1,$O$1-N111+1,"")</f>
        <v/>
      </c>
      <c r="P111">
        <f>IF(O111="",0,COUNTIF(Transaksi!$M$2:$M$2001,O111)+1)</f>
        <v/>
      </c>
      <c r="Q111">
        <f>1+SUM(P$2:P110)</f>
        <v/>
      </c>
      <c r="S111">
        <f>IF(I111="","",INDEX($O$3:$O$402,I111))</f>
        <v/>
      </c>
      <c r="T111">
        <f>IF(J111&lt;&gt;"H","",INDEX(Transaksi!$A$2:$A$2001,MATCH(S111,Transaksi!$M$2:$M$2001,0)))</f>
        <v/>
      </c>
    </row>
    <row r="112">
      <c r="A112" s="31">
        <f>IF(J112="E",IF(INDEX(Transaksi!$J$2:$J$2001,K112)&gt;0,"↑","↓"),"")</f>
        <v/>
      </c>
      <c r="B112" s="32">
        <f>IF(J112="H",CHOOSE(WEEKDAY(T112,2),"Isnin","Selasa","Rabu","Khamis","Jumaat","Sabtu","Ahad")&amp;", "&amp;DAY(T112)&amp;" "&amp;CHOOSE(MONTH(T112),"Jan","Feb","Mac","Apr","Mei","Jun","Jul","Ogo","Sep","Okt","Nov","Dis")&amp;" "&amp;YEAR(T112),IF(J112="E",IF(INDEX(Transaksi!$B$2:$B$2001,K112)="",INDEX(Transaksi!$C$2:$C$2001,K112)&amp;" · "&amp;INDEX(Transaksi!$D$2:$D$2001,K112),INDEX(Transaksi!$B$2:$B$2001,K112)),""))</f>
        <v/>
      </c>
      <c r="C112" s="32">
        <f>IF(J112="E",INDEX(Transaksi!$C$2:$C$2001,K112)&amp;"","")</f>
        <v/>
      </c>
      <c r="D112" s="32">
        <f>IF(J112="E",INDEX(Transaksi!$D$2:$D$2001,K112)&amp;"","")</f>
        <v/>
      </c>
      <c r="E112" s="33">
        <f>IF(J112="H",SUMIFS(Transaksi!$G$2:$G$2001,Transaksi!$M$2:$M$2001,"="&amp;S112)+SUMIFS(Transaksi!$H$2:$H$2001,Transaksi!$M$2:$M$2001,"="&amp;S112)+SUMIFS(Transaksi!$I$2:$I$2001,Transaksi!$M$2:$M$2001,"="&amp;S112),IF(J112="E",IF(INDEX(Transaksi!$G$2:$G$2001,K112)+INDEX(Transaksi!$H$2:$H$2001,K112)+INDEX(Transaksi!$I$2:$I$2001,K112)=0,"",INDEX(Transaksi!$G$2:$G$2001,K112)+INDEX(Transaksi!$H$2:$H$2001,K112)+INDEX(Transaksi!$I$2:$I$2001,K112)),""))</f>
        <v/>
      </c>
      <c r="F112" s="33">
        <f>IF(J112="H",SUMIFS(Transaksi!$J$2:$J$2001,Transaksi!$M$2:$M$2001,"="&amp;S112),IF(J112="E",IF(INDEX(Transaksi!$J$2:$J$2001,K112)=0,"",INDEX(Transaksi!$J$2:$J$2001,K112)),""))</f>
        <v/>
      </c>
      <c r="G112" s="33">
        <f>IF(J112="H",(SUMIFS(Transaksi!$G$2:$G$2001,Transaksi!$M$2:$M$2001,"&lt;="&amp;S112)+SUMIFS(Transaksi!$H$2:$H$2001,Transaksi!$M$2:$M$2001,"&lt;="&amp;S112)+SUMIFS(Transaksi!$I$2:$I$2001,Transaksi!$M$2:$M$2001,"&lt;="&amp;S112))-(SUMIFS(Transaksi!$J$2:$J$2001,Transaksi!$M$2:$M$2001,"&lt;="&amp;S112)),"")</f>
        <v/>
      </c>
      <c r="I112">
        <f>IF(109&gt;$O$2,"",MATCH(109,$Q$3:$Q$402,1))</f>
        <v/>
      </c>
      <c r="J112">
        <f>IF(I112="","",IF(109=INDEX($Q$3:$Q$402,I112),"H","E"))</f>
        <v/>
      </c>
      <c r="K112">
        <f>IF(J112&lt;&gt;"E","",MATCH(S112,Transaksi!$M$2:$M$2001,0)+109-INDEX($Q$3:$Q$402,I112)-1)</f>
        <v/>
      </c>
      <c r="N112" t="n">
        <v>110</v>
      </c>
      <c r="O112">
        <f>IF(N112&lt;=$O$1,$O$1-N112+1,"")</f>
        <v/>
      </c>
      <c r="P112">
        <f>IF(O112="",0,COUNTIF(Transaksi!$M$2:$M$2001,O112)+1)</f>
        <v/>
      </c>
      <c r="Q112">
        <f>1+SUM(P$2:P111)</f>
        <v/>
      </c>
      <c r="S112">
        <f>IF(I112="","",INDEX($O$3:$O$402,I112))</f>
        <v/>
      </c>
      <c r="T112">
        <f>IF(J112&lt;&gt;"H","",INDEX(Transaksi!$A$2:$A$2001,MATCH(S112,Transaksi!$M$2:$M$2001,0)))</f>
        <v/>
      </c>
    </row>
    <row r="113">
      <c r="A113" s="31">
        <f>IF(J113="E",IF(INDEX(Transaksi!$J$2:$J$2001,K113)&gt;0,"↑","↓"),"")</f>
        <v/>
      </c>
      <c r="B113" s="32">
        <f>IF(J113="H",CHOOSE(WEEKDAY(T113,2),"Isnin","Selasa","Rabu","Khamis","Jumaat","Sabtu","Ahad")&amp;", "&amp;DAY(T113)&amp;" "&amp;CHOOSE(MONTH(T113),"Jan","Feb","Mac","Apr","Mei","Jun","Jul","Ogo","Sep","Okt","Nov","Dis")&amp;" "&amp;YEAR(T113),IF(J113="E",IF(INDEX(Transaksi!$B$2:$B$2001,K113)="",INDEX(Transaksi!$C$2:$C$2001,K113)&amp;" · "&amp;INDEX(Transaksi!$D$2:$D$2001,K113),INDEX(Transaksi!$B$2:$B$2001,K113)),""))</f>
        <v/>
      </c>
      <c r="C113" s="32">
        <f>IF(J113="E",INDEX(Transaksi!$C$2:$C$2001,K113)&amp;"","")</f>
        <v/>
      </c>
      <c r="D113" s="32">
        <f>IF(J113="E",INDEX(Transaksi!$D$2:$D$2001,K113)&amp;"","")</f>
        <v/>
      </c>
      <c r="E113" s="33">
        <f>IF(J113="H",SUMIFS(Transaksi!$G$2:$G$2001,Transaksi!$M$2:$M$2001,"="&amp;S113)+SUMIFS(Transaksi!$H$2:$H$2001,Transaksi!$M$2:$M$2001,"="&amp;S113)+SUMIFS(Transaksi!$I$2:$I$2001,Transaksi!$M$2:$M$2001,"="&amp;S113),IF(J113="E",IF(INDEX(Transaksi!$G$2:$G$2001,K113)+INDEX(Transaksi!$H$2:$H$2001,K113)+INDEX(Transaksi!$I$2:$I$2001,K113)=0,"",INDEX(Transaksi!$G$2:$G$2001,K113)+INDEX(Transaksi!$H$2:$H$2001,K113)+INDEX(Transaksi!$I$2:$I$2001,K113)),""))</f>
        <v/>
      </c>
      <c r="F113" s="33">
        <f>IF(J113="H",SUMIFS(Transaksi!$J$2:$J$2001,Transaksi!$M$2:$M$2001,"="&amp;S113),IF(J113="E",IF(INDEX(Transaksi!$J$2:$J$2001,K113)=0,"",INDEX(Transaksi!$J$2:$J$2001,K113)),""))</f>
        <v/>
      </c>
      <c r="G113" s="33">
        <f>IF(J113="H",(SUMIFS(Transaksi!$G$2:$G$2001,Transaksi!$M$2:$M$2001,"&lt;="&amp;S113)+SUMIFS(Transaksi!$H$2:$H$2001,Transaksi!$M$2:$M$2001,"&lt;="&amp;S113)+SUMIFS(Transaksi!$I$2:$I$2001,Transaksi!$M$2:$M$2001,"&lt;="&amp;S113))-(SUMIFS(Transaksi!$J$2:$J$2001,Transaksi!$M$2:$M$2001,"&lt;="&amp;S113)),"")</f>
        <v/>
      </c>
      <c r="I113">
        <f>IF(110&gt;$O$2,"",MATCH(110,$Q$3:$Q$402,1))</f>
        <v/>
      </c>
      <c r="J113">
        <f>IF(I113="","",IF(110=INDEX($Q$3:$Q$402,I113),"H","E"))</f>
        <v/>
      </c>
      <c r="K113">
        <f>IF(J113&lt;&gt;"E","",MATCH(S113,Transaksi!$M$2:$M$2001,0)+110-INDEX($Q$3:$Q$402,I113)-1)</f>
        <v/>
      </c>
      <c r="N113" t="n">
        <v>111</v>
      </c>
      <c r="O113">
        <f>IF(N113&lt;=$O$1,$O$1-N113+1,"")</f>
        <v/>
      </c>
      <c r="P113">
        <f>IF(O113="",0,COUNTIF(Transaksi!$M$2:$M$2001,O113)+1)</f>
        <v/>
      </c>
      <c r="Q113">
        <f>1+SUM(P$2:P112)</f>
        <v/>
      </c>
      <c r="S113">
        <f>IF(I113="","",INDEX($O$3:$O$402,I113))</f>
        <v/>
      </c>
      <c r="T113">
        <f>IF(J113&lt;&gt;"H","",INDEX(Transaksi!$A$2:$A$2001,MATCH(S113,Transaksi!$M$2:$M$2001,0)))</f>
        <v/>
      </c>
    </row>
    <row r="114">
      <c r="A114" s="31">
        <f>IF(J114="E",IF(INDEX(Transaksi!$J$2:$J$2001,K114)&gt;0,"↑","↓"),"")</f>
        <v/>
      </c>
      <c r="B114" s="32">
        <f>IF(J114="H",CHOOSE(WEEKDAY(T114,2),"Isnin","Selasa","Rabu","Khamis","Jumaat","Sabtu","Ahad")&amp;", "&amp;DAY(T114)&amp;" "&amp;CHOOSE(MONTH(T114),"Jan","Feb","Mac","Apr","Mei","Jun","Jul","Ogo","Sep","Okt","Nov","Dis")&amp;" "&amp;YEAR(T114),IF(J114="E",IF(INDEX(Transaksi!$B$2:$B$2001,K114)="",INDEX(Transaksi!$C$2:$C$2001,K114)&amp;" · "&amp;INDEX(Transaksi!$D$2:$D$2001,K114),INDEX(Transaksi!$B$2:$B$2001,K114)),""))</f>
        <v/>
      </c>
      <c r="C114" s="32">
        <f>IF(J114="E",INDEX(Transaksi!$C$2:$C$2001,K114)&amp;"","")</f>
        <v/>
      </c>
      <c r="D114" s="32">
        <f>IF(J114="E",INDEX(Transaksi!$D$2:$D$2001,K114)&amp;"","")</f>
        <v/>
      </c>
      <c r="E114" s="33">
        <f>IF(J114="H",SUMIFS(Transaksi!$G$2:$G$2001,Transaksi!$M$2:$M$2001,"="&amp;S114)+SUMIFS(Transaksi!$H$2:$H$2001,Transaksi!$M$2:$M$2001,"="&amp;S114)+SUMIFS(Transaksi!$I$2:$I$2001,Transaksi!$M$2:$M$2001,"="&amp;S114),IF(J114="E",IF(INDEX(Transaksi!$G$2:$G$2001,K114)+INDEX(Transaksi!$H$2:$H$2001,K114)+INDEX(Transaksi!$I$2:$I$2001,K114)=0,"",INDEX(Transaksi!$G$2:$G$2001,K114)+INDEX(Transaksi!$H$2:$H$2001,K114)+INDEX(Transaksi!$I$2:$I$2001,K114)),""))</f>
        <v/>
      </c>
      <c r="F114" s="33">
        <f>IF(J114="H",SUMIFS(Transaksi!$J$2:$J$2001,Transaksi!$M$2:$M$2001,"="&amp;S114),IF(J114="E",IF(INDEX(Transaksi!$J$2:$J$2001,K114)=0,"",INDEX(Transaksi!$J$2:$J$2001,K114)),""))</f>
        <v/>
      </c>
      <c r="G114" s="33">
        <f>IF(J114="H",(SUMIFS(Transaksi!$G$2:$G$2001,Transaksi!$M$2:$M$2001,"&lt;="&amp;S114)+SUMIFS(Transaksi!$H$2:$H$2001,Transaksi!$M$2:$M$2001,"&lt;="&amp;S114)+SUMIFS(Transaksi!$I$2:$I$2001,Transaksi!$M$2:$M$2001,"&lt;="&amp;S114))-(SUMIFS(Transaksi!$J$2:$J$2001,Transaksi!$M$2:$M$2001,"&lt;="&amp;S114)),"")</f>
        <v/>
      </c>
      <c r="I114">
        <f>IF(111&gt;$O$2,"",MATCH(111,$Q$3:$Q$402,1))</f>
        <v/>
      </c>
      <c r="J114">
        <f>IF(I114="","",IF(111=INDEX($Q$3:$Q$402,I114),"H","E"))</f>
        <v/>
      </c>
      <c r="K114">
        <f>IF(J114&lt;&gt;"E","",MATCH(S114,Transaksi!$M$2:$M$2001,0)+111-INDEX($Q$3:$Q$402,I114)-1)</f>
        <v/>
      </c>
      <c r="N114" t="n">
        <v>112</v>
      </c>
      <c r="O114">
        <f>IF(N114&lt;=$O$1,$O$1-N114+1,"")</f>
        <v/>
      </c>
      <c r="P114">
        <f>IF(O114="",0,COUNTIF(Transaksi!$M$2:$M$2001,O114)+1)</f>
        <v/>
      </c>
      <c r="Q114">
        <f>1+SUM(P$2:P113)</f>
        <v/>
      </c>
      <c r="S114">
        <f>IF(I114="","",INDEX($O$3:$O$402,I114))</f>
        <v/>
      </c>
      <c r="T114">
        <f>IF(J114&lt;&gt;"H","",INDEX(Transaksi!$A$2:$A$2001,MATCH(S114,Transaksi!$M$2:$M$2001,0)))</f>
        <v/>
      </c>
    </row>
    <row r="115">
      <c r="A115" s="31">
        <f>IF(J115="E",IF(INDEX(Transaksi!$J$2:$J$2001,K115)&gt;0,"↑","↓"),"")</f>
        <v/>
      </c>
      <c r="B115" s="32">
        <f>IF(J115="H",CHOOSE(WEEKDAY(T115,2),"Isnin","Selasa","Rabu","Khamis","Jumaat","Sabtu","Ahad")&amp;", "&amp;DAY(T115)&amp;" "&amp;CHOOSE(MONTH(T115),"Jan","Feb","Mac","Apr","Mei","Jun","Jul","Ogo","Sep","Okt","Nov","Dis")&amp;" "&amp;YEAR(T115),IF(J115="E",IF(INDEX(Transaksi!$B$2:$B$2001,K115)="",INDEX(Transaksi!$C$2:$C$2001,K115)&amp;" · "&amp;INDEX(Transaksi!$D$2:$D$2001,K115),INDEX(Transaksi!$B$2:$B$2001,K115)),""))</f>
        <v/>
      </c>
      <c r="C115" s="32">
        <f>IF(J115="E",INDEX(Transaksi!$C$2:$C$2001,K115)&amp;"","")</f>
        <v/>
      </c>
      <c r="D115" s="32">
        <f>IF(J115="E",INDEX(Transaksi!$D$2:$D$2001,K115)&amp;"","")</f>
        <v/>
      </c>
      <c r="E115" s="33">
        <f>IF(J115="H",SUMIFS(Transaksi!$G$2:$G$2001,Transaksi!$M$2:$M$2001,"="&amp;S115)+SUMIFS(Transaksi!$H$2:$H$2001,Transaksi!$M$2:$M$2001,"="&amp;S115)+SUMIFS(Transaksi!$I$2:$I$2001,Transaksi!$M$2:$M$2001,"="&amp;S115),IF(J115="E",IF(INDEX(Transaksi!$G$2:$G$2001,K115)+INDEX(Transaksi!$H$2:$H$2001,K115)+INDEX(Transaksi!$I$2:$I$2001,K115)=0,"",INDEX(Transaksi!$G$2:$G$2001,K115)+INDEX(Transaksi!$H$2:$H$2001,K115)+INDEX(Transaksi!$I$2:$I$2001,K115)),""))</f>
        <v/>
      </c>
      <c r="F115" s="33">
        <f>IF(J115="H",SUMIFS(Transaksi!$J$2:$J$2001,Transaksi!$M$2:$M$2001,"="&amp;S115),IF(J115="E",IF(INDEX(Transaksi!$J$2:$J$2001,K115)=0,"",INDEX(Transaksi!$J$2:$J$2001,K115)),""))</f>
        <v/>
      </c>
      <c r="G115" s="33">
        <f>IF(J115="H",(SUMIFS(Transaksi!$G$2:$G$2001,Transaksi!$M$2:$M$2001,"&lt;="&amp;S115)+SUMIFS(Transaksi!$H$2:$H$2001,Transaksi!$M$2:$M$2001,"&lt;="&amp;S115)+SUMIFS(Transaksi!$I$2:$I$2001,Transaksi!$M$2:$M$2001,"&lt;="&amp;S115))-(SUMIFS(Transaksi!$J$2:$J$2001,Transaksi!$M$2:$M$2001,"&lt;="&amp;S115)),"")</f>
        <v/>
      </c>
      <c r="I115">
        <f>IF(112&gt;$O$2,"",MATCH(112,$Q$3:$Q$402,1))</f>
        <v/>
      </c>
      <c r="J115">
        <f>IF(I115="","",IF(112=INDEX($Q$3:$Q$402,I115),"H","E"))</f>
        <v/>
      </c>
      <c r="K115">
        <f>IF(J115&lt;&gt;"E","",MATCH(S115,Transaksi!$M$2:$M$2001,0)+112-INDEX($Q$3:$Q$402,I115)-1)</f>
        <v/>
      </c>
      <c r="N115" t="n">
        <v>113</v>
      </c>
      <c r="O115">
        <f>IF(N115&lt;=$O$1,$O$1-N115+1,"")</f>
        <v/>
      </c>
      <c r="P115">
        <f>IF(O115="",0,COUNTIF(Transaksi!$M$2:$M$2001,O115)+1)</f>
        <v/>
      </c>
      <c r="Q115">
        <f>1+SUM(P$2:P114)</f>
        <v/>
      </c>
      <c r="S115">
        <f>IF(I115="","",INDEX($O$3:$O$402,I115))</f>
        <v/>
      </c>
      <c r="T115">
        <f>IF(J115&lt;&gt;"H","",INDEX(Transaksi!$A$2:$A$2001,MATCH(S115,Transaksi!$M$2:$M$2001,0)))</f>
        <v/>
      </c>
    </row>
    <row r="116">
      <c r="A116" s="31">
        <f>IF(J116="E",IF(INDEX(Transaksi!$J$2:$J$2001,K116)&gt;0,"↑","↓"),"")</f>
        <v/>
      </c>
      <c r="B116" s="32">
        <f>IF(J116="H",CHOOSE(WEEKDAY(T116,2),"Isnin","Selasa","Rabu","Khamis","Jumaat","Sabtu","Ahad")&amp;", "&amp;DAY(T116)&amp;" "&amp;CHOOSE(MONTH(T116),"Jan","Feb","Mac","Apr","Mei","Jun","Jul","Ogo","Sep","Okt","Nov","Dis")&amp;" "&amp;YEAR(T116),IF(J116="E",IF(INDEX(Transaksi!$B$2:$B$2001,K116)="",INDEX(Transaksi!$C$2:$C$2001,K116)&amp;" · "&amp;INDEX(Transaksi!$D$2:$D$2001,K116),INDEX(Transaksi!$B$2:$B$2001,K116)),""))</f>
        <v/>
      </c>
      <c r="C116" s="32">
        <f>IF(J116="E",INDEX(Transaksi!$C$2:$C$2001,K116)&amp;"","")</f>
        <v/>
      </c>
      <c r="D116" s="32">
        <f>IF(J116="E",INDEX(Transaksi!$D$2:$D$2001,K116)&amp;"","")</f>
        <v/>
      </c>
      <c r="E116" s="33">
        <f>IF(J116="H",SUMIFS(Transaksi!$G$2:$G$2001,Transaksi!$M$2:$M$2001,"="&amp;S116)+SUMIFS(Transaksi!$H$2:$H$2001,Transaksi!$M$2:$M$2001,"="&amp;S116)+SUMIFS(Transaksi!$I$2:$I$2001,Transaksi!$M$2:$M$2001,"="&amp;S116),IF(J116="E",IF(INDEX(Transaksi!$G$2:$G$2001,K116)+INDEX(Transaksi!$H$2:$H$2001,K116)+INDEX(Transaksi!$I$2:$I$2001,K116)=0,"",INDEX(Transaksi!$G$2:$G$2001,K116)+INDEX(Transaksi!$H$2:$H$2001,K116)+INDEX(Transaksi!$I$2:$I$2001,K116)),""))</f>
        <v/>
      </c>
      <c r="F116" s="33">
        <f>IF(J116="H",SUMIFS(Transaksi!$J$2:$J$2001,Transaksi!$M$2:$M$2001,"="&amp;S116),IF(J116="E",IF(INDEX(Transaksi!$J$2:$J$2001,K116)=0,"",INDEX(Transaksi!$J$2:$J$2001,K116)),""))</f>
        <v/>
      </c>
      <c r="G116" s="33">
        <f>IF(J116="H",(SUMIFS(Transaksi!$G$2:$G$2001,Transaksi!$M$2:$M$2001,"&lt;="&amp;S116)+SUMIFS(Transaksi!$H$2:$H$2001,Transaksi!$M$2:$M$2001,"&lt;="&amp;S116)+SUMIFS(Transaksi!$I$2:$I$2001,Transaksi!$M$2:$M$2001,"&lt;="&amp;S116))-(SUMIFS(Transaksi!$J$2:$J$2001,Transaksi!$M$2:$M$2001,"&lt;="&amp;S116)),"")</f>
        <v/>
      </c>
      <c r="I116">
        <f>IF(113&gt;$O$2,"",MATCH(113,$Q$3:$Q$402,1))</f>
        <v/>
      </c>
      <c r="J116">
        <f>IF(I116="","",IF(113=INDEX($Q$3:$Q$402,I116),"H","E"))</f>
        <v/>
      </c>
      <c r="K116">
        <f>IF(J116&lt;&gt;"E","",MATCH(S116,Transaksi!$M$2:$M$2001,0)+113-INDEX($Q$3:$Q$402,I116)-1)</f>
        <v/>
      </c>
      <c r="N116" t="n">
        <v>114</v>
      </c>
      <c r="O116">
        <f>IF(N116&lt;=$O$1,$O$1-N116+1,"")</f>
        <v/>
      </c>
      <c r="P116">
        <f>IF(O116="",0,COUNTIF(Transaksi!$M$2:$M$2001,O116)+1)</f>
        <v/>
      </c>
      <c r="Q116">
        <f>1+SUM(P$2:P115)</f>
        <v/>
      </c>
      <c r="S116">
        <f>IF(I116="","",INDEX($O$3:$O$402,I116))</f>
        <v/>
      </c>
      <c r="T116">
        <f>IF(J116&lt;&gt;"H","",INDEX(Transaksi!$A$2:$A$2001,MATCH(S116,Transaksi!$M$2:$M$2001,0)))</f>
        <v/>
      </c>
    </row>
    <row r="117">
      <c r="A117" s="31">
        <f>IF(J117="E",IF(INDEX(Transaksi!$J$2:$J$2001,K117)&gt;0,"↑","↓"),"")</f>
        <v/>
      </c>
      <c r="B117" s="32">
        <f>IF(J117="H",CHOOSE(WEEKDAY(T117,2),"Isnin","Selasa","Rabu","Khamis","Jumaat","Sabtu","Ahad")&amp;", "&amp;DAY(T117)&amp;" "&amp;CHOOSE(MONTH(T117),"Jan","Feb","Mac","Apr","Mei","Jun","Jul","Ogo","Sep","Okt","Nov","Dis")&amp;" "&amp;YEAR(T117),IF(J117="E",IF(INDEX(Transaksi!$B$2:$B$2001,K117)="",INDEX(Transaksi!$C$2:$C$2001,K117)&amp;" · "&amp;INDEX(Transaksi!$D$2:$D$2001,K117),INDEX(Transaksi!$B$2:$B$2001,K117)),""))</f>
        <v/>
      </c>
      <c r="C117" s="32">
        <f>IF(J117="E",INDEX(Transaksi!$C$2:$C$2001,K117)&amp;"","")</f>
        <v/>
      </c>
      <c r="D117" s="32">
        <f>IF(J117="E",INDEX(Transaksi!$D$2:$D$2001,K117)&amp;"","")</f>
        <v/>
      </c>
      <c r="E117" s="33">
        <f>IF(J117="H",SUMIFS(Transaksi!$G$2:$G$2001,Transaksi!$M$2:$M$2001,"="&amp;S117)+SUMIFS(Transaksi!$H$2:$H$2001,Transaksi!$M$2:$M$2001,"="&amp;S117)+SUMIFS(Transaksi!$I$2:$I$2001,Transaksi!$M$2:$M$2001,"="&amp;S117),IF(J117="E",IF(INDEX(Transaksi!$G$2:$G$2001,K117)+INDEX(Transaksi!$H$2:$H$2001,K117)+INDEX(Transaksi!$I$2:$I$2001,K117)=0,"",INDEX(Transaksi!$G$2:$G$2001,K117)+INDEX(Transaksi!$H$2:$H$2001,K117)+INDEX(Transaksi!$I$2:$I$2001,K117)),""))</f>
        <v/>
      </c>
      <c r="F117" s="33">
        <f>IF(J117="H",SUMIFS(Transaksi!$J$2:$J$2001,Transaksi!$M$2:$M$2001,"="&amp;S117),IF(J117="E",IF(INDEX(Transaksi!$J$2:$J$2001,K117)=0,"",INDEX(Transaksi!$J$2:$J$2001,K117)),""))</f>
        <v/>
      </c>
      <c r="G117" s="33">
        <f>IF(J117="H",(SUMIFS(Transaksi!$G$2:$G$2001,Transaksi!$M$2:$M$2001,"&lt;="&amp;S117)+SUMIFS(Transaksi!$H$2:$H$2001,Transaksi!$M$2:$M$2001,"&lt;="&amp;S117)+SUMIFS(Transaksi!$I$2:$I$2001,Transaksi!$M$2:$M$2001,"&lt;="&amp;S117))-(SUMIFS(Transaksi!$J$2:$J$2001,Transaksi!$M$2:$M$2001,"&lt;="&amp;S117)),"")</f>
        <v/>
      </c>
      <c r="I117">
        <f>IF(114&gt;$O$2,"",MATCH(114,$Q$3:$Q$402,1))</f>
        <v/>
      </c>
      <c r="J117">
        <f>IF(I117="","",IF(114=INDEX($Q$3:$Q$402,I117),"H","E"))</f>
        <v/>
      </c>
      <c r="K117">
        <f>IF(J117&lt;&gt;"E","",MATCH(S117,Transaksi!$M$2:$M$2001,0)+114-INDEX($Q$3:$Q$402,I117)-1)</f>
        <v/>
      </c>
      <c r="N117" t="n">
        <v>115</v>
      </c>
      <c r="O117">
        <f>IF(N117&lt;=$O$1,$O$1-N117+1,"")</f>
        <v/>
      </c>
      <c r="P117">
        <f>IF(O117="",0,COUNTIF(Transaksi!$M$2:$M$2001,O117)+1)</f>
        <v/>
      </c>
      <c r="Q117">
        <f>1+SUM(P$2:P116)</f>
        <v/>
      </c>
      <c r="S117">
        <f>IF(I117="","",INDEX($O$3:$O$402,I117))</f>
        <v/>
      </c>
      <c r="T117">
        <f>IF(J117&lt;&gt;"H","",INDEX(Transaksi!$A$2:$A$2001,MATCH(S117,Transaksi!$M$2:$M$2001,0)))</f>
        <v/>
      </c>
    </row>
    <row r="118">
      <c r="A118" s="31">
        <f>IF(J118="E",IF(INDEX(Transaksi!$J$2:$J$2001,K118)&gt;0,"↑","↓"),"")</f>
        <v/>
      </c>
      <c r="B118" s="32">
        <f>IF(J118="H",CHOOSE(WEEKDAY(T118,2),"Isnin","Selasa","Rabu","Khamis","Jumaat","Sabtu","Ahad")&amp;", "&amp;DAY(T118)&amp;" "&amp;CHOOSE(MONTH(T118),"Jan","Feb","Mac","Apr","Mei","Jun","Jul","Ogo","Sep","Okt","Nov","Dis")&amp;" "&amp;YEAR(T118),IF(J118="E",IF(INDEX(Transaksi!$B$2:$B$2001,K118)="",INDEX(Transaksi!$C$2:$C$2001,K118)&amp;" · "&amp;INDEX(Transaksi!$D$2:$D$2001,K118),INDEX(Transaksi!$B$2:$B$2001,K118)),""))</f>
        <v/>
      </c>
      <c r="C118" s="32">
        <f>IF(J118="E",INDEX(Transaksi!$C$2:$C$2001,K118)&amp;"","")</f>
        <v/>
      </c>
      <c r="D118" s="32">
        <f>IF(J118="E",INDEX(Transaksi!$D$2:$D$2001,K118)&amp;"","")</f>
        <v/>
      </c>
      <c r="E118" s="33">
        <f>IF(J118="H",SUMIFS(Transaksi!$G$2:$G$2001,Transaksi!$M$2:$M$2001,"="&amp;S118)+SUMIFS(Transaksi!$H$2:$H$2001,Transaksi!$M$2:$M$2001,"="&amp;S118)+SUMIFS(Transaksi!$I$2:$I$2001,Transaksi!$M$2:$M$2001,"="&amp;S118),IF(J118="E",IF(INDEX(Transaksi!$G$2:$G$2001,K118)+INDEX(Transaksi!$H$2:$H$2001,K118)+INDEX(Transaksi!$I$2:$I$2001,K118)=0,"",INDEX(Transaksi!$G$2:$G$2001,K118)+INDEX(Transaksi!$H$2:$H$2001,K118)+INDEX(Transaksi!$I$2:$I$2001,K118)),""))</f>
        <v/>
      </c>
      <c r="F118" s="33">
        <f>IF(J118="H",SUMIFS(Transaksi!$J$2:$J$2001,Transaksi!$M$2:$M$2001,"="&amp;S118),IF(J118="E",IF(INDEX(Transaksi!$J$2:$J$2001,K118)=0,"",INDEX(Transaksi!$J$2:$J$2001,K118)),""))</f>
        <v/>
      </c>
      <c r="G118" s="33">
        <f>IF(J118="H",(SUMIFS(Transaksi!$G$2:$G$2001,Transaksi!$M$2:$M$2001,"&lt;="&amp;S118)+SUMIFS(Transaksi!$H$2:$H$2001,Transaksi!$M$2:$M$2001,"&lt;="&amp;S118)+SUMIFS(Transaksi!$I$2:$I$2001,Transaksi!$M$2:$M$2001,"&lt;="&amp;S118))-(SUMIFS(Transaksi!$J$2:$J$2001,Transaksi!$M$2:$M$2001,"&lt;="&amp;S118)),"")</f>
        <v/>
      </c>
      <c r="I118">
        <f>IF(115&gt;$O$2,"",MATCH(115,$Q$3:$Q$402,1))</f>
        <v/>
      </c>
      <c r="J118">
        <f>IF(I118="","",IF(115=INDEX($Q$3:$Q$402,I118),"H","E"))</f>
        <v/>
      </c>
      <c r="K118">
        <f>IF(J118&lt;&gt;"E","",MATCH(S118,Transaksi!$M$2:$M$2001,0)+115-INDEX($Q$3:$Q$402,I118)-1)</f>
        <v/>
      </c>
      <c r="N118" t="n">
        <v>116</v>
      </c>
      <c r="O118">
        <f>IF(N118&lt;=$O$1,$O$1-N118+1,"")</f>
        <v/>
      </c>
      <c r="P118">
        <f>IF(O118="",0,COUNTIF(Transaksi!$M$2:$M$2001,O118)+1)</f>
        <v/>
      </c>
      <c r="Q118">
        <f>1+SUM(P$2:P117)</f>
        <v/>
      </c>
      <c r="S118">
        <f>IF(I118="","",INDEX($O$3:$O$402,I118))</f>
        <v/>
      </c>
      <c r="T118">
        <f>IF(J118&lt;&gt;"H","",INDEX(Transaksi!$A$2:$A$2001,MATCH(S118,Transaksi!$M$2:$M$2001,0)))</f>
        <v/>
      </c>
    </row>
    <row r="119">
      <c r="A119" s="31">
        <f>IF(J119="E",IF(INDEX(Transaksi!$J$2:$J$2001,K119)&gt;0,"↑","↓"),"")</f>
        <v/>
      </c>
      <c r="B119" s="32">
        <f>IF(J119="H",CHOOSE(WEEKDAY(T119,2),"Isnin","Selasa","Rabu","Khamis","Jumaat","Sabtu","Ahad")&amp;", "&amp;DAY(T119)&amp;" "&amp;CHOOSE(MONTH(T119),"Jan","Feb","Mac","Apr","Mei","Jun","Jul","Ogo","Sep","Okt","Nov","Dis")&amp;" "&amp;YEAR(T119),IF(J119="E",IF(INDEX(Transaksi!$B$2:$B$2001,K119)="",INDEX(Transaksi!$C$2:$C$2001,K119)&amp;" · "&amp;INDEX(Transaksi!$D$2:$D$2001,K119),INDEX(Transaksi!$B$2:$B$2001,K119)),""))</f>
        <v/>
      </c>
      <c r="C119" s="32">
        <f>IF(J119="E",INDEX(Transaksi!$C$2:$C$2001,K119)&amp;"","")</f>
        <v/>
      </c>
      <c r="D119" s="32">
        <f>IF(J119="E",INDEX(Transaksi!$D$2:$D$2001,K119)&amp;"","")</f>
        <v/>
      </c>
      <c r="E119" s="33">
        <f>IF(J119="H",SUMIFS(Transaksi!$G$2:$G$2001,Transaksi!$M$2:$M$2001,"="&amp;S119)+SUMIFS(Transaksi!$H$2:$H$2001,Transaksi!$M$2:$M$2001,"="&amp;S119)+SUMIFS(Transaksi!$I$2:$I$2001,Transaksi!$M$2:$M$2001,"="&amp;S119),IF(J119="E",IF(INDEX(Transaksi!$G$2:$G$2001,K119)+INDEX(Transaksi!$H$2:$H$2001,K119)+INDEX(Transaksi!$I$2:$I$2001,K119)=0,"",INDEX(Transaksi!$G$2:$G$2001,K119)+INDEX(Transaksi!$H$2:$H$2001,K119)+INDEX(Transaksi!$I$2:$I$2001,K119)),""))</f>
        <v/>
      </c>
      <c r="F119" s="33">
        <f>IF(J119="H",SUMIFS(Transaksi!$J$2:$J$2001,Transaksi!$M$2:$M$2001,"="&amp;S119),IF(J119="E",IF(INDEX(Transaksi!$J$2:$J$2001,K119)=0,"",INDEX(Transaksi!$J$2:$J$2001,K119)),""))</f>
        <v/>
      </c>
      <c r="G119" s="33">
        <f>IF(J119="H",(SUMIFS(Transaksi!$G$2:$G$2001,Transaksi!$M$2:$M$2001,"&lt;="&amp;S119)+SUMIFS(Transaksi!$H$2:$H$2001,Transaksi!$M$2:$M$2001,"&lt;="&amp;S119)+SUMIFS(Transaksi!$I$2:$I$2001,Transaksi!$M$2:$M$2001,"&lt;="&amp;S119))-(SUMIFS(Transaksi!$J$2:$J$2001,Transaksi!$M$2:$M$2001,"&lt;="&amp;S119)),"")</f>
        <v/>
      </c>
      <c r="I119">
        <f>IF(116&gt;$O$2,"",MATCH(116,$Q$3:$Q$402,1))</f>
        <v/>
      </c>
      <c r="J119">
        <f>IF(I119="","",IF(116=INDEX($Q$3:$Q$402,I119),"H","E"))</f>
        <v/>
      </c>
      <c r="K119">
        <f>IF(J119&lt;&gt;"E","",MATCH(S119,Transaksi!$M$2:$M$2001,0)+116-INDEX($Q$3:$Q$402,I119)-1)</f>
        <v/>
      </c>
      <c r="N119" t="n">
        <v>117</v>
      </c>
      <c r="O119">
        <f>IF(N119&lt;=$O$1,$O$1-N119+1,"")</f>
        <v/>
      </c>
      <c r="P119">
        <f>IF(O119="",0,COUNTIF(Transaksi!$M$2:$M$2001,O119)+1)</f>
        <v/>
      </c>
      <c r="Q119">
        <f>1+SUM(P$2:P118)</f>
        <v/>
      </c>
      <c r="S119">
        <f>IF(I119="","",INDEX($O$3:$O$402,I119))</f>
        <v/>
      </c>
      <c r="T119">
        <f>IF(J119&lt;&gt;"H","",INDEX(Transaksi!$A$2:$A$2001,MATCH(S119,Transaksi!$M$2:$M$2001,0)))</f>
        <v/>
      </c>
    </row>
    <row r="120">
      <c r="A120" s="31">
        <f>IF(J120="E",IF(INDEX(Transaksi!$J$2:$J$2001,K120)&gt;0,"↑","↓"),"")</f>
        <v/>
      </c>
      <c r="B120" s="32">
        <f>IF(J120="H",CHOOSE(WEEKDAY(T120,2),"Isnin","Selasa","Rabu","Khamis","Jumaat","Sabtu","Ahad")&amp;", "&amp;DAY(T120)&amp;" "&amp;CHOOSE(MONTH(T120),"Jan","Feb","Mac","Apr","Mei","Jun","Jul","Ogo","Sep","Okt","Nov","Dis")&amp;" "&amp;YEAR(T120),IF(J120="E",IF(INDEX(Transaksi!$B$2:$B$2001,K120)="",INDEX(Transaksi!$C$2:$C$2001,K120)&amp;" · "&amp;INDEX(Transaksi!$D$2:$D$2001,K120),INDEX(Transaksi!$B$2:$B$2001,K120)),""))</f>
        <v/>
      </c>
      <c r="C120" s="32">
        <f>IF(J120="E",INDEX(Transaksi!$C$2:$C$2001,K120)&amp;"","")</f>
        <v/>
      </c>
      <c r="D120" s="32">
        <f>IF(J120="E",INDEX(Transaksi!$D$2:$D$2001,K120)&amp;"","")</f>
        <v/>
      </c>
      <c r="E120" s="33">
        <f>IF(J120="H",SUMIFS(Transaksi!$G$2:$G$2001,Transaksi!$M$2:$M$2001,"="&amp;S120)+SUMIFS(Transaksi!$H$2:$H$2001,Transaksi!$M$2:$M$2001,"="&amp;S120)+SUMIFS(Transaksi!$I$2:$I$2001,Transaksi!$M$2:$M$2001,"="&amp;S120),IF(J120="E",IF(INDEX(Transaksi!$G$2:$G$2001,K120)+INDEX(Transaksi!$H$2:$H$2001,K120)+INDEX(Transaksi!$I$2:$I$2001,K120)=0,"",INDEX(Transaksi!$G$2:$G$2001,K120)+INDEX(Transaksi!$H$2:$H$2001,K120)+INDEX(Transaksi!$I$2:$I$2001,K120)),""))</f>
        <v/>
      </c>
      <c r="F120" s="33">
        <f>IF(J120="H",SUMIFS(Transaksi!$J$2:$J$2001,Transaksi!$M$2:$M$2001,"="&amp;S120),IF(J120="E",IF(INDEX(Transaksi!$J$2:$J$2001,K120)=0,"",INDEX(Transaksi!$J$2:$J$2001,K120)),""))</f>
        <v/>
      </c>
      <c r="G120" s="33">
        <f>IF(J120="H",(SUMIFS(Transaksi!$G$2:$G$2001,Transaksi!$M$2:$M$2001,"&lt;="&amp;S120)+SUMIFS(Transaksi!$H$2:$H$2001,Transaksi!$M$2:$M$2001,"&lt;="&amp;S120)+SUMIFS(Transaksi!$I$2:$I$2001,Transaksi!$M$2:$M$2001,"&lt;="&amp;S120))-(SUMIFS(Transaksi!$J$2:$J$2001,Transaksi!$M$2:$M$2001,"&lt;="&amp;S120)),"")</f>
        <v/>
      </c>
      <c r="I120">
        <f>IF(117&gt;$O$2,"",MATCH(117,$Q$3:$Q$402,1))</f>
        <v/>
      </c>
      <c r="J120">
        <f>IF(I120="","",IF(117=INDEX($Q$3:$Q$402,I120),"H","E"))</f>
        <v/>
      </c>
      <c r="K120">
        <f>IF(J120&lt;&gt;"E","",MATCH(S120,Transaksi!$M$2:$M$2001,0)+117-INDEX($Q$3:$Q$402,I120)-1)</f>
        <v/>
      </c>
      <c r="N120" t="n">
        <v>118</v>
      </c>
      <c r="O120">
        <f>IF(N120&lt;=$O$1,$O$1-N120+1,"")</f>
        <v/>
      </c>
      <c r="P120">
        <f>IF(O120="",0,COUNTIF(Transaksi!$M$2:$M$2001,O120)+1)</f>
        <v/>
      </c>
      <c r="Q120">
        <f>1+SUM(P$2:P119)</f>
        <v/>
      </c>
      <c r="S120">
        <f>IF(I120="","",INDEX($O$3:$O$402,I120))</f>
        <v/>
      </c>
      <c r="T120">
        <f>IF(J120&lt;&gt;"H","",INDEX(Transaksi!$A$2:$A$2001,MATCH(S120,Transaksi!$M$2:$M$2001,0)))</f>
        <v/>
      </c>
    </row>
    <row r="121">
      <c r="A121" s="31">
        <f>IF(J121="E",IF(INDEX(Transaksi!$J$2:$J$2001,K121)&gt;0,"↑","↓"),"")</f>
        <v/>
      </c>
      <c r="B121" s="32">
        <f>IF(J121="H",CHOOSE(WEEKDAY(T121,2),"Isnin","Selasa","Rabu","Khamis","Jumaat","Sabtu","Ahad")&amp;", "&amp;DAY(T121)&amp;" "&amp;CHOOSE(MONTH(T121),"Jan","Feb","Mac","Apr","Mei","Jun","Jul","Ogo","Sep","Okt","Nov","Dis")&amp;" "&amp;YEAR(T121),IF(J121="E",IF(INDEX(Transaksi!$B$2:$B$2001,K121)="",INDEX(Transaksi!$C$2:$C$2001,K121)&amp;" · "&amp;INDEX(Transaksi!$D$2:$D$2001,K121),INDEX(Transaksi!$B$2:$B$2001,K121)),""))</f>
        <v/>
      </c>
      <c r="C121" s="32">
        <f>IF(J121="E",INDEX(Transaksi!$C$2:$C$2001,K121)&amp;"","")</f>
        <v/>
      </c>
      <c r="D121" s="32">
        <f>IF(J121="E",INDEX(Transaksi!$D$2:$D$2001,K121)&amp;"","")</f>
        <v/>
      </c>
      <c r="E121" s="33">
        <f>IF(J121="H",SUMIFS(Transaksi!$G$2:$G$2001,Transaksi!$M$2:$M$2001,"="&amp;S121)+SUMIFS(Transaksi!$H$2:$H$2001,Transaksi!$M$2:$M$2001,"="&amp;S121)+SUMIFS(Transaksi!$I$2:$I$2001,Transaksi!$M$2:$M$2001,"="&amp;S121),IF(J121="E",IF(INDEX(Transaksi!$G$2:$G$2001,K121)+INDEX(Transaksi!$H$2:$H$2001,K121)+INDEX(Transaksi!$I$2:$I$2001,K121)=0,"",INDEX(Transaksi!$G$2:$G$2001,K121)+INDEX(Transaksi!$H$2:$H$2001,K121)+INDEX(Transaksi!$I$2:$I$2001,K121)),""))</f>
        <v/>
      </c>
      <c r="F121" s="33">
        <f>IF(J121="H",SUMIFS(Transaksi!$J$2:$J$2001,Transaksi!$M$2:$M$2001,"="&amp;S121),IF(J121="E",IF(INDEX(Transaksi!$J$2:$J$2001,K121)=0,"",INDEX(Transaksi!$J$2:$J$2001,K121)),""))</f>
        <v/>
      </c>
      <c r="G121" s="33">
        <f>IF(J121="H",(SUMIFS(Transaksi!$G$2:$G$2001,Transaksi!$M$2:$M$2001,"&lt;="&amp;S121)+SUMIFS(Transaksi!$H$2:$H$2001,Transaksi!$M$2:$M$2001,"&lt;="&amp;S121)+SUMIFS(Transaksi!$I$2:$I$2001,Transaksi!$M$2:$M$2001,"&lt;="&amp;S121))-(SUMIFS(Transaksi!$J$2:$J$2001,Transaksi!$M$2:$M$2001,"&lt;="&amp;S121)),"")</f>
        <v/>
      </c>
      <c r="I121">
        <f>IF(118&gt;$O$2,"",MATCH(118,$Q$3:$Q$402,1))</f>
        <v/>
      </c>
      <c r="J121">
        <f>IF(I121="","",IF(118=INDEX($Q$3:$Q$402,I121),"H","E"))</f>
        <v/>
      </c>
      <c r="K121">
        <f>IF(J121&lt;&gt;"E","",MATCH(S121,Transaksi!$M$2:$M$2001,0)+118-INDEX($Q$3:$Q$402,I121)-1)</f>
        <v/>
      </c>
      <c r="N121" t="n">
        <v>119</v>
      </c>
      <c r="O121">
        <f>IF(N121&lt;=$O$1,$O$1-N121+1,"")</f>
        <v/>
      </c>
      <c r="P121">
        <f>IF(O121="",0,COUNTIF(Transaksi!$M$2:$M$2001,O121)+1)</f>
        <v/>
      </c>
      <c r="Q121">
        <f>1+SUM(P$2:P120)</f>
        <v/>
      </c>
      <c r="S121">
        <f>IF(I121="","",INDEX($O$3:$O$402,I121))</f>
        <v/>
      </c>
      <c r="T121">
        <f>IF(J121&lt;&gt;"H","",INDEX(Transaksi!$A$2:$A$2001,MATCH(S121,Transaksi!$M$2:$M$2001,0)))</f>
        <v/>
      </c>
    </row>
    <row r="122">
      <c r="A122" s="31">
        <f>IF(J122="E",IF(INDEX(Transaksi!$J$2:$J$2001,K122)&gt;0,"↑","↓"),"")</f>
        <v/>
      </c>
      <c r="B122" s="32">
        <f>IF(J122="H",CHOOSE(WEEKDAY(T122,2),"Isnin","Selasa","Rabu","Khamis","Jumaat","Sabtu","Ahad")&amp;", "&amp;DAY(T122)&amp;" "&amp;CHOOSE(MONTH(T122),"Jan","Feb","Mac","Apr","Mei","Jun","Jul","Ogo","Sep","Okt","Nov","Dis")&amp;" "&amp;YEAR(T122),IF(J122="E",IF(INDEX(Transaksi!$B$2:$B$2001,K122)="",INDEX(Transaksi!$C$2:$C$2001,K122)&amp;" · "&amp;INDEX(Transaksi!$D$2:$D$2001,K122),INDEX(Transaksi!$B$2:$B$2001,K122)),""))</f>
        <v/>
      </c>
      <c r="C122" s="32">
        <f>IF(J122="E",INDEX(Transaksi!$C$2:$C$2001,K122)&amp;"","")</f>
        <v/>
      </c>
      <c r="D122" s="32">
        <f>IF(J122="E",INDEX(Transaksi!$D$2:$D$2001,K122)&amp;"","")</f>
        <v/>
      </c>
      <c r="E122" s="33">
        <f>IF(J122="H",SUMIFS(Transaksi!$G$2:$G$2001,Transaksi!$M$2:$M$2001,"="&amp;S122)+SUMIFS(Transaksi!$H$2:$H$2001,Transaksi!$M$2:$M$2001,"="&amp;S122)+SUMIFS(Transaksi!$I$2:$I$2001,Transaksi!$M$2:$M$2001,"="&amp;S122),IF(J122="E",IF(INDEX(Transaksi!$G$2:$G$2001,K122)+INDEX(Transaksi!$H$2:$H$2001,K122)+INDEX(Transaksi!$I$2:$I$2001,K122)=0,"",INDEX(Transaksi!$G$2:$G$2001,K122)+INDEX(Transaksi!$H$2:$H$2001,K122)+INDEX(Transaksi!$I$2:$I$2001,K122)),""))</f>
        <v/>
      </c>
      <c r="F122" s="33">
        <f>IF(J122="H",SUMIFS(Transaksi!$J$2:$J$2001,Transaksi!$M$2:$M$2001,"="&amp;S122),IF(J122="E",IF(INDEX(Transaksi!$J$2:$J$2001,K122)=0,"",INDEX(Transaksi!$J$2:$J$2001,K122)),""))</f>
        <v/>
      </c>
      <c r="G122" s="33">
        <f>IF(J122="H",(SUMIFS(Transaksi!$G$2:$G$2001,Transaksi!$M$2:$M$2001,"&lt;="&amp;S122)+SUMIFS(Transaksi!$H$2:$H$2001,Transaksi!$M$2:$M$2001,"&lt;="&amp;S122)+SUMIFS(Transaksi!$I$2:$I$2001,Transaksi!$M$2:$M$2001,"&lt;="&amp;S122))-(SUMIFS(Transaksi!$J$2:$J$2001,Transaksi!$M$2:$M$2001,"&lt;="&amp;S122)),"")</f>
        <v/>
      </c>
      <c r="I122">
        <f>IF(119&gt;$O$2,"",MATCH(119,$Q$3:$Q$402,1))</f>
        <v/>
      </c>
      <c r="J122">
        <f>IF(I122="","",IF(119=INDEX($Q$3:$Q$402,I122),"H","E"))</f>
        <v/>
      </c>
      <c r="K122">
        <f>IF(J122&lt;&gt;"E","",MATCH(S122,Transaksi!$M$2:$M$2001,0)+119-INDEX($Q$3:$Q$402,I122)-1)</f>
        <v/>
      </c>
      <c r="N122" t="n">
        <v>120</v>
      </c>
      <c r="O122">
        <f>IF(N122&lt;=$O$1,$O$1-N122+1,"")</f>
        <v/>
      </c>
      <c r="P122">
        <f>IF(O122="",0,COUNTIF(Transaksi!$M$2:$M$2001,O122)+1)</f>
        <v/>
      </c>
      <c r="Q122">
        <f>1+SUM(P$2:P121)</f>
        <v/>
      </c>
      <c r="S122">
        <f>IF(I122="","",INDEX($O$3:$O$402,I122))</f>
        <v/>
      </c>
      <c r="T122">
        <f>IF(J122&lt;&gt;"H","",INDEX(Transaksi!$A$2:$A$2001,MATCH(S122,Transaksi!$M$2:$M$2001,0)))</f>
        <v/>
      </c>
    </row>
    <row r="123">
      <c r="A123" s="31">
        <f>IF(J123="E",IF(INDEX(Transaksi!$J$2:$J$2001,K123)&gt;0,"↑","↓"),"")</f>
        <v/>
      </c>
      <c r="B123" s="32">
        <f>IF(J123="H",CHOOSE(WEEKDAY(T123,2),"Isnin","Selasa","Rabu","Khamis","Jumaat","Sabtu","Ahad")&amp;", "&amp;DAY(T123)&amp;" "&amp;CHOOSE(MONTH(T123),"Jan","Feb","Mac","Apr","Mei","Jun","Jul","Ogo","Sep","Okt","Nov","Dis")&amp;" "&amp;YEAR(T123),IF(J123="E",IF(INDEX(Transaksi!$B$2:$B$2001,K123)="",INDEX(Transaksi!$C$2:$C$2001,K123)&amp;" · "&amp;INDEX(Transaksi!$D$2:$D$2001,K123),INDEX(Transaksi!$B$2:$B$2001,K123)),""))</f>
        <v/>
      </c>
      <c r="C123" s="32">
        <f>IF(J123="E",INDEX(Transaksi!$C$2:$C$2001,K123)&amp;"","")</f>
        <v/>
      </c>
      <c r="D123" s="32">
        <f>IF(J123="E",INDEX(Transaksi!$D$2:$D$2001,K123)&amp;"","")</f>
        <v/>
      </c>
      <c r="E123" s="33">
        <f>IF(J123="H",SUMIFS(Transaksi!$G$2:$G$2001,Transaksi!$M$2:$M$2001,"="&amp;S123)+SUMIFS(Transaksi!$H$2:$H$2001,Transaksi!$M$2:$M$2001,"="&amp;S123)+SUMIFS(Transaksi!$I$2:$I$2001,Transaksi!$M$2:$M$2001,"="&amp;S123),IF(J123="E",IF(INDEX(Transaksi!$G$2:$G$2001,K123)+INDEX(Transaksi!$H$2:$H$2001,K123)+INDEX(Transaksi!$I$2:$I$2001,K123)=0,"",INDEX(Transaksi!$G$2:$G$2001,K123)+INDEX(Transaksi!$H$2:$H$2001,K123)+INDEX(Transaksi!$I$2:$I$2001,K123)),""))</f>
        <v/>
      </c>
      <c r="F123" s="33">
        <f>IF(J123="H",SUMIFS(Transaksi!$J$2:$J$2001,Transaksi!$M$2:$M$2001,"="&amp;S123),IF(J123="E",IF(INDEX(Transaksi!$J$2:$J$2001,K123)=0,"",INDEX(Transaksi!$J$2:$J$2001,K123)),""))</f>
        <v/>
      </c>
      <c r="G123" s="33">
        <f>IF(J123="H",(SUMIFS(Transaksi!$G$2:$G$2001,Transaksi!$M$2:$M$2001,"&lt;="&amp;S123)+SUMIFS(Transaksi!$H$2:$H$2001,Transaksi!$M$2:$M$2001,"&lt;="&amp;S123)+SUMIFS(Transaksi!$I$2:$I$2001,Transaksi!$M$2:$M$2001,"&lt;="&amp;S123))-(SUMIFS(Transaksi!$J$2:$J$2001,Transaksi!$M$2:$M$2001,"&lt;="&amp;S123)),"")</f>
        <v/>
      </c>
      <c r="I123">
        <f>IF(120&gt;$O$2,"",MATCH(120,$Q$3:$Q$402,1))</f>
        <v/>
      </c>
      <c r="J123">
        <f>IF(I123="","",IF(120=INDEX($Q$3:$Q$402,I123),"H","E"))</f>
        <v/>
      </c>
      <c r="K123">
        <f>IF(J123&lt;&gt;"E","",MATCH(S123,Transaksi!$M$2:$M$2001,0)+120-INDEX($Q$3:$Q$402,I123)-1)</f>
        <v/>
      </c>
      <c r="N123" t="n">
        <v>121</v>
      </c>
      <c r="O123">
        <f>IF(N123&lt;=$O$1,$O$1-N123+1,"")</f>
        <v/>
      </c>
      <c r="P123">
        <f>IF(O123="",0,COUNTIF(Transaksi!$M$2:$M$2001,O123)+1)</f>
        <v/>
      </c>
      <c r="Q123">
        <f>1+SUM(P$2:P122)</f>
        <v/>
      </c>
      <c r="S123">
        <f>IF(I123="","",INDEX($O$3:$O$402,I123))</f>
        <v/>
      </c>
      <c r="T123">
        <f>IF(J123&lt;&gt;"H","",INDEX(Transaksi!$A$2:$A$2001,MATCH(S123,Transaksi!$M$2:$M$2001,0)))</f>
        <v/>
      </c>
    </row>
    <row r="124">
      <c r="A124" s="31">
        <f>IF(J124="E",IF(INDEX(Transaksi!$J$2:$J$2001,K124)&gt;0,"↑","↓"),"")</f>
        <v/>
      </c>
      <c r="B124" s="32">
        <f>IF(J124="H",CHOOSE(WEEKDAY(T124,2),"Isnin","Selasa","Rabu","Khamis","Jumaat","Sabtu","Ahad")&amp;", "&amp;DAY(T124)&amp;" "&amp;CHOOSE(MONTH(T124),"Jan","Feb","Mac","Apr","Mei","Jun","Jul","Ogo","Sep","Okt","Nov","Dis")&amp;" "&amp;YEAR(T124),IF(J124="E",IF(INDEX(Transaksi!$B$2:$B$2001,K124)="",INDEX(Transaksi!$C$2:$C$2001,K124)&amp;" · "&amp;INDEX(Transaksi!$D$2:$D$2001,K124),INDEX(Transaksi!$B$2:$B$2001,K124)),""))</f>
        <v/>
      </c>
      <c r="C124" s="32">
        <f>IF(J124="E",INDEX(Transaksi!$C$2:$C$2001,K124)&amp;"","")</f>
        <v/>
      </c>
      <c r="D124" s="32">
        <f>IF(J124="E",INDEX(Transaksi!$D$2:$D$2001,K124)&amp;"","")</f>
        <v/>
      </c>
      <c r="E124" s="33">
        <f>IF(J124="H",SUMIFS(Transaksi!$G$2:$G$2001,Transaksi!$M$2:$M$2001,"="&amp;S124)+SUMIFS(Transaksi!$H$2:$H$2001,Transaksi!$M$2:$M$2001,"="&amp;S124)+SUMIFS(Transaksi!$I$2:$I$2001,Transaksi!$M$2:$M$2001,"="&amp;S124),IF(J124="E",IF(INDEX(Transaksi!$G$2:$G$2001,K124)+INDEX(Transaksi!$H$2:$H$2001,K124)+INDEX(Transaksi!$I$2:$I$2001,K124)=0,"",INDEX(Transaksi!$G$2:$G$2001,K124)+INDEX(Transaksi!$H$2:$H$2001,K124)+INDEX(Transaksi!$I$2:$I$2001,K124)),""))</f>
        <v/>
      </c>
      <c r="F124" s="33">
        <f>IF(J124="H",SUMIFS(Transaksi!$J$2:$J$2001,Transaksi!$M$2:$M$2001,"="&amp;S124),IF(J124="E",IF(INDEX(Transaksi!$J$2:$J$2001,K124)=0,"",INDEX(Transaksi!$J$2:$J$2001,K124)),""))</f>
        <v/>
      </c>
      <c r="G124" s="33">
        <f>IF(J124="H",(SUMIFS(Transaksi!$G$2:$G$2001,Transaksi!$M$2:$M$2001,"&lt;="&amp;S124)+SUMIFS(Transaksi!$H$2:$H$2001,Transaksi!$M$2:$M$2001,"&lt;="&amp;S124)+SUMIFS(Transaksi!$I$2:$I$2001,Transaksi!$M$2:$M$2001,"&lt;="&amp;S124))-(SUMIFS(Transaksi!$J$2:$J$2001,Transaksi!$M$2:$M$2001,"&lt;="&amp;S124)),"")</f>
        <v/>
      </c>
      <c r="I124">
        <f>IF(121&gt;$O$2,"",MATCH(121,$Q$3:$Q$402,1))</f>
        <v/>
      </c>
      <c r="J124">
        <f>IF(I124="","",IF(121=INDEX($Q$3:$Q$402,I124),"H","E"))</f>
        <v/>
      </c>
      <c r="K124">
        <f>IF(J124&lt;&gt;"E","",MATCH(S124,Transaksi!$M$2:$M$2001,0)+121-INDEX($Q$3:$Q$402,I124)-1)</f>
        <v/>
      </c>
      <c r="N124" t="n">
        <v>122</v>
      </c>
      <c r="O124">
        <f>IF(N124&lt;=$O$1,$O$1-N124+1,"")</f>
        <v/>
      </c>
      <c r="P124">
        <f>IF(O124="",0,COUNTIF(Transaksi!$M$2:$M$2001,O124)+1)</f>
        <v/>
      </c>
      <c r="Q124">
        <f>1+SUM(P$2:P123)</f>
        <v/>
      </c>
      <c r="S124">
        <f>IF(I124="","",INDEX($O$3:$O$402,I124))</f>
        <v/>
      </c>
      <c r="T124">
        <f>IF(J124&lt;&gt;"H","",INDEX(Transaksi!$A$2:$A$2001,MATCH(S124,Transaksi!$M$2:$M$2001,0)))</f>
        <v/>
      </c>
    </row>
    <row r="125">
      <c r="A125" s="31">
        <f>IF(J125="E",IF(INDEX(Transaksi!$J$2:$J$2001,K125)&gt;0,"↑","↓"),"")</f>
        <v/>
      </c>
      <c r="B125" s="32">
        <f>IF(J125="H",CHOOSE(WEEKDAY(T125,2),"Isnin","Selasa","Rabu","Khamis","Jumaat","Sabtu","Ahad")&amp;", "&amp;DAY(T125)&amp;" "&amp;CHOOSE(MONTH(T125),"Jan","Feb","Mac","Apr","Mei","Jun","Jul","Ogo","Sep","Okt","Nov","Dis")&amp;" "&amp;YEAR(T125),IF(J125="E",IF(INDEX(Transaksi!$B$2:$B$2001,K125)="",INDEX(Transaksi!$C$2:$C$2001,K125)&amp;" · "&amp;INDEX(Transaksi!$D$2:$D$2001,K125),INDEX(Transaksi!$B$2:$B$2001,K125)),""))</f>
        <v/>
      </c>
      <c r="C125" s="32">
        <f>IF(J125="E",INDEX(Transaksi!$C$2:$C$2001,K125)&amp;"","")</f>
        <v/>
      </c>
      <c r="D125" s="32">
        <f>IF(J125="E",INDEX(Transaksi!$D$2:$D$2001,K125)&amp;"","")</f>
        <v/>
      </c>
      <c r="E125" s="33">
        <f>IF(J125="H",SUMIFS(Transaksi!$G$2:$G$2001,Transaksi!$M$2:$M$2001,"="&amp;S125)+SUMIFS(Transaksi!$H$2:$H$2001,Transaksi!$M$2:$M$2001,"="&amp;S125)+SUMIFS(Transaksi!$I$2:$I$2001,Transaksi!$M$2:$M$2001,"="&amp;S125),IF(J125="E",IF(INDEX(Transaksi!$G$2:$G$2001,K125)+INDEX(Transaksi!$H$2:$H$2001,K125)+INDEX(Transaksi!$I$2:$I$2001,K125)=0,"",INDEX(Transaksi!$G$2:$G$2001,K125)+INDEX(Transaksi!$H$2:$H$2001,K125)+INDEX(Transaksi!$I$2:$I$2001,K125)),""))</f>
        <v/>
      </c>
      <c r="F125" s="33">
        <f>IF(J125="H",SUMIFS(Transaksi!$J$2:$J$2001,Transaksi!$M$2:$M$2001,"="&amp;S125),IF(J125="E",IF(INDEX(Transaksi!$J$2:$J$2001,K125)=0,"",INDEX(Transaksi!$J$2:$J$2001,K125)),""))</f>
        <v/>
      </c>
      <c r="G125" s="33">
        <f>IF(J125="H",(SUMIFS(Transaksi!$G$2:$G$2001,Transaksi!$M$2:$M$2001,"&lt;="&amp;S125)+SUMIFS(Transaksi!$H$2:$H$2001,Transaksi!$M$2:$M$2001,"&lt;="&amp;S125)+SUMIFS(Transaksi!$I$2:$I$2001,Transaksi!$M$2:$M$2001,"&lt;="&amp;S125))-(SUMIFS(Transaksi!$J$2:$J$2001,Transaksi!$M$2:$M$2001,"&lt;="&amp;S125)),"")</f>
        <v/>
      </c>
      <c r="I125">
        <f>IF(122&gt;$O$2,"",MATCH(122,$Q$3:$Q$402,1))</f>
        <v/>
      </c>
      <c r="J125">
        <f>IF(I125="","",IF(122=INDEX($Q$3:$Q$402,I125),"H","E"))</f>
        <v/>
      </c>
      <c r="K125">
        <f>IF(J125&lt;&gt;"E","",MATCH(S125,Transaksi!$M$2:$M$2001,0)+122-INDEX($Q$3:$Q$402,I125)-1)</f>
        <v/>
      </c>
      <c r="N125" t="n">
        <v>123</v>
      </c>
      <c r="O125">
        <f>IF(N125&lt;=$O$1,$O$1-N125+1,"")</f>
        <v/>
      </c>
      <c r="P125">
        <f>IF(O125="",0,COUNTIF(Transaksi!$M$2:$M$2001,O125)+1)</f>
        <v/>
      </c>
      <c r="Q125">
        <f>1+SUM(P$2:P124)</f>
        <v/>
      </c>
      <c r="S125">
        <f>IF(I125="","",INDEX($O$3:$O$402,I125))</f>
        <v/>
      </c>
      <c r="T125">
        <f>IF(J125&lt;&gt;"H","",INDEX(Transaksi!$A$2:$A$2001,MATCH(S125,Transaksi!$M$2:$M$2001,0)))</f>
        <v/>
      </c>
    </row>
    <row r="126">
      <c r="A126" s="31">
        <f>IF(J126="E",IF(INDEX(Transaksi!$J$2:$J$2001,K126)&gt;0,"↑","↓"),"")</f>
        <v/>
      </c>
      <c r="B126" s="32">
        <f>IF(J126="H",CHOOSE(WEEKDAY(T126,2),"Isnin","Selasa","Rabu","Khamis","Jumaat","Sabtu","Ahad")&amp;", "&amp;DAY(T126)&amp;" "&amp;CHOOSE(MONTH(T126),"Jan","Feb","Mac","Apr","Mei","Jun","Jul","Ogo","Sep","Okt","Nov","Dis")&amp;" "&amp;YEAR(T126),IF(J126="E",IF(INDEX(Transaksi!$B$2:$B$2001,K126)="",INDEX(Transaksi!$C$2:$C$2001,K126)&amp;" · "&amp;INDEX(Transaksi!$D$2:$D$2001,K126),INDEX(Transaksi!$B$2:$B$2001,K126)),""))</f>
        <v/>
      </c>
      <c r="C126" s="32">
        <f>IF(J126="E",INDEX(Transaksi!$C$2:$C$2001,K126)&amp;"","")</f>
        <v/>
      </c>
      <c r="D126" s="32">
        <f>IF(J126="E",INDEX(Transaksi!$D$2:$D$2001,K126)&amp;"","")</f>
        <v/>
      </c>
      <c r="E126" s="33">
        <f>IF(J126="H",SUMIFS(Transaksi!$G$2:$G$2001,Transaksi!$M$2:$M$2001,"="&amp;S126)+SUMIFS(Transaksi!$H$2:$H$2001,Transaksi!$M$2:$M$2001,"="&amp;S126)+SUMIFS(Transaksi!$I$2:$I$2001,Transaksi!$M$2:$M$2001,"="&amp;S126),IF(J126="E",IF(INDEX(Transaksi!$G$2:$G$2001,K126)+INDEX(Transaksi!$H$2:$H$2001,K126)+INDEX(Transaksi!$I$2:$I$2001,K126)=0,"",INDEX(Transaksi!$G$2:$G$2001,K126)+INDEX(Transaksi!$H$2:$H$2001,K126)+INDEX(Transaksi!$I$2:$I$2001,K126)),""))</f>
        <v/>
      </c>
      <c r="F126" s="33">
        <f>IF(J126="H",SUMIFS(Transaksi!$J$2:$J$2001,Transaksi!$M$2:$M$2001,"="&amp;S126),IF(J126="E",IF(INDEX(Transaksi!$J$2:$J$2001,K126)=0,"",INDEX(Transaksi!$J$2:$J$2001,K126)),""))</f>
        <v/>
      </c>
      <c r="G126" s="33">
        <f>IF(J126="H",(SUMIFS(Transaksi!$G$2:$G$2001,Transaksi!$M$2:$M$2001,"&lt;="&amp;S126)+SUMIFS(Transaksi!$H$2:$H$2001,Transaksi!$M$2:$M$2001,"&lt;="&amp;S126)+SUMIFS(Transaksi!$I$2:$I$2001,Transaksi!$M$2:$M$2001,"&lt;="&amp;S126))-(SUMIFS(Transaksi!$J$2:$J$2001,Transaksi!$M$2:$M$2001,"&lt;="&amp;S126)),"")</f>
        <v/>
      </c>
      <c r="I126">
        <f>IF(123&gt;$O$2,"",MATCH(123,$Q$3:$Q$402,1))</f>
        <v/>
      </c>
      <c r="J126">
        <f>IF(I126="","",IF(123=INDEX($Q$3:$Q$402,I126),"H","E"))</f>
        <v/>
      </c>
      <c r="K126">
        <f>IF(J126&lt;&gt;"E","",MATCH(S126,Transaksi!$M$2:$M$2001,0)+123-INDEX($Q$3:$Q$402,I126)-1)</f>
        <v/>
      </c>
      <c r="N126" t="n">
        <v>124</v>
      </c>
      <c r="O126">
        <f>IF(N126&lt;=$O$1,$O$1-N126+1,"")</f>
        <v/>
      </c>
      <c r="P126">
        <f>IF(O126="",0,COUNTIF(Transaksi!$M$2:$M$2001,O126)+1)</f>
        <v/>
      </c>
      <c r="Q126">
        <f>1+SUM(P$2:P125)</f>
        <v/>
      </c>
      <c r="S126">
        <f>IF(I126="","",INDEX($O$3:$O$402,I126))</f>
        <v/>
      </c>
      <c r="T126">
        <f>IF(J126&lt;&gt;"H","",INDEX(Transaksi!$A$2:$A$2001,MATCH(S126,Transaksi!$M$2:$M$2001,0)))</f>
        <v/>
      </c>
    </row>
    <row r="127">
      <c r="A127" s="31">
        <f>IF(J127="E",IF(INDEX(Transaksi!$J$2:$J$2001,K127)&gt;0,"↑","↓"),"")</f>
        <v/>
      </c>
      <c r="B127" s="32">
        <f>IF(J127="H",CHOOSE(WEEKDAY(T127,2),"Isnin","Selasa","Rabu","Khamis","Jumaat","Sabtu","Ahad")&amp;", "&amp;DAY(T127)&amp;" "&amp;CHOOSE(MONTH(T127),"Jan","Feb","Mac","Apr","Mei","Jun","Jul","Ogo","Sep","Okt","Nov","Dis")&amp;" "&amp;YEAR(T127),IF(J127="E",IF(INDEX(Transaksi!$B$2:$B$2001,K127)="",INDEX(Transaksi!$C$2:$C$2001,K127)&amp;" · "&amp;INDEX(Transaksi!$D$2:$D$2001,K127),INDEX(Transaksi!$B$2:$B$2001,K127)),""))</f>
        <v/>
      </c>
      <c r="C127" s="32">
        <f>IF(J127="E",INDEX(Transaksi!$C$2:$C$2001,K127)&amp;"","")</f>
        <v/>
      </c>
      <c r="D127" s="32">
        <f>IF(J127="E",INDEX(Transaksi!$D$2:$D$2001,K127)&amp;"","")</f>
        <v/>
      </c>
      <c r="E127" s="33">
        <f>IF(J127="H",SUMIFS(Transaksi!$G$2:$G$2001,Transaksi!$M$2:$M$2001,"="&amp;S127)+SUMIFS(Transaksi!$H$2:$H$2001,Transaksi!$M$2:$M$2001,"="&amp;S127)+SUMIFS(Transaksi!$I$2:$I$2001,Transaksi!$M$2:$M$2001,"="&amp;S127),IF(J127="E",IF(INDEX(Transaksi!$G$2:$G$2001,K127)+INDEX(Transaksi!$H$2:$H$2001,K127)+INDEX(Transaksi!$I$2:$I$2001,K127)=0,"",INDEX(Transaksi!$G$2:$G$2001,K127)+INDEX(Transaksi!$H$2:$H$2001,K127)+INDEX(Transaksi!$I$2:$I$2001,K127)),""))</f>
        <v/>
      </c>
      <c r="F127" s="33">
        <f>IF(J127="H",SUMIFS(Transaksi!$J$2:$J$2001,Transaksi!$M$2:$M$2001,"="&amp;S127),IF(J127="E",IF(INDEX(Transaksi!$J$2:$J$2001,K127)=0,"",INDEX(Transaksi!$J$2:$J$2001,K127)),""))</f>
        <v/>
      </c>
      <c r="G127" s="33">
        <f>IF(J127="H",(SUMIFS(Transaksi!$G$2:$G$2001,Transaksi!$M$2:$M$2001,"&lt;="&amp;S127)+SUMIFS(Transaksi!$H$2:$H$2001,Transaksi!$M$2:$M$2001,"&lt;="&amp;S127)+SUMIFS(Transaksi!$I$2:$I$2001,Transaksi!$M$2:$M$2001,"&lt;="&amp;S127))-(SUMIFS(Transaksi!$J$2:$J$2001,Transaksi!$M$2:$M$2001,"&lt;="&amp;S127)),"")</f>
        <v/>
      </c>
      <c r="I127">
        <f>IF(124&gt;$O$2,"",MATCH(124,$Q$3:$Q$402,1))</f>
        <v/>
      </c>
      <c r="J127">
        <f>IF(I127="","",IF(124=INDEX($Q$3:$Q$402,I127),"H","E"))</f>
        <v/>
      </c>
      <c r="K127">
        <f>IF(J127&lt;&gt;"E","",MATCH(S127,Transaksi!$M$2:$M$2001,0)+124-INDEX($Q$3:$Q$402,I127)-1)</f>
        <v/>
      </c>
      <c r="N127" t="n">
        <v>125</v>
      </c>
      <c r="O127">
        <f>IF(N127&lt;=$O$1,$O$1-N127+1,"")</f>
        <v/>
      </c>
      <c r="P127">
        <f>IF(O127="",0,COUNTIF(Transaksi!$M$2:$M$2001,O127)+1)</f>
        <v/>
      </c>
      <c r="Q127">
        <f>1+SUM(P$2:P126)</f>
        <v/>
      </c>
      <c r="S127">
        <f>IF(I127="","",INDEX($O$3:$O$402,I127))</f>
        <v/>
      </c>
      <c r="T127">
        <f>IF(J127&lt;&gt;"H","",INDEX(Transaksi!$A$2:$A$2001,MATCH(S127,Transaksi!$M$2:$M$2001,0)))</f>
        <v/>
      </c>
    </row>
    <row r="128">
      <c r="A128" s="31">
        <f>IF(J128="E",IF(INDEX(Transaksi!$J$2:$J$2001,K128)&gt;0,"↑","↓"),"")</f>
        <v/>
      </c>
      <c r="B128" s="32">
        <f>IF(J128="H",CHOOSE(WEEKDAY(T128,2),"Isnin","Selasa","Rabu","Khamis","Jumaat","Sabtu","Ahad")&amp;", "&amp;DAY(T128)&amp;" "&amp;CHOOSE(MONTH(T128),"Jan","Feb","Mac","Apr","Mei","Jun","Jul","Ogo","Sep","Okt","Nov","Dis")&amp;" "&amp;YEAR(T128),IF(J128="E",IF(INDEX(Transaksi!$B$2:$B$2001,K128)="",INDEX(Transaksi!$C$2:$C$2001,K128)&amp;" · "&amp;INDEX(Transaksi!$D$2:$D$2001,K128),INDEX(Transaksi!$B$2:$B$2001,K128)),""))</f>
        <v/>
      </c>
      <c r="C128" s="32">
        <f>IF(J128="E",INDEX(Transaksi!$C$2:$C$2001,K128)&amp;"","")</f>
        <v/>
      </c>
      <c r="D128" s="32">
        <f>IF(J128="E",INDEX(Transaksi!$D$2:$D$2001,K128)&amp;"","")</f>
        <v/>
      </c>
      <c r="E128" s="33">
        <f>IF(J128="H",SUMIFS(Transaksi!$G$2:$G$2001,Transaksi!$M$2:$M$2001,"="&amp;S128)+SUMIFS(Transaksi!$H$2:$H$2001,Transaksi!$M$2:$M$2001,"="&amp;S128)+SUMIFS(Transaksi!$I$2:$I$2001,Transaksi!$M$2:$M$2001,"="&amp;S128),IF(J128="E",IF(INDEX(Transaksi!$G$2:$G$2001,K128)+INDEX(Transaksi!$H$2:$H$2001,K128)+INDEX(Transaksi!$I$2:$I$2001,K128)=0,"",INDEX(Transaksi!$G$2:$G$2001,K128)+INDEX(Transaksi!$H$2:$H$2001,K128)+INDEX(Transaksi!$I$2:$I$2001,K128)),""))</f>
        <v/>
      </c>
      <c r="F128" s="33">
        <f>IF(J128="H",SUMIFS(Transaksi!$J$2:$J$2001,Transaksi!$M$2:$M$2001,"="&amp;S128),IF(J128="E",IF(INDEX(Transaksi!$J$2:$J$2001,K128)=0,"",INDEX(Transaksi!$J$2:$J$2001,K128)),""))</f>
        <v/>
      </c>
      <c r="G128" s="33">
        <f>IF(J128="H",(SUMIFS(Transaksi!$G$2:$G$2001,Transaksi!$M$2:$M$2001,"&lt;="&amp;S128)+SUMIFS(Transaksi!$H$2:$H$2001,Transaksi!$M$2:$M$2001,"&lt;="&amp;S128)+SUMIFS(Transaksi!$I$2:$I$2001,Transaksi!$M$2:$M$2001,"&lt;="&amp;S128))-(SUMIFS(Transaksi!$J$2:$J$2001,Transaksi!$M$2:$M$2001,"&lt;="&amp;S128)),"")</f>
        <v/>
      </c>
      <c r="I128">
        <f>IF(125&gt;$O$2,"",MATCH(125,$Q$3:$Q$402,1))</f>
        <v/>
      </c>
      <c r="J128">
        <f>IF(I128="","",IF(125=INDEX($Q$3:$Q$402,I128),"H","E"))</f>
        <v/>
      </c>
      <c r="K128">
        <f>IF(J128&lt;&gt;"E","",MATCH(S128,Transaksi!$M$2:$M$2001,0)+125-INDEX($Q$3:$Q$402,I128)-1)</f>
        <v/>
      </c>
      <c r="N128" t="n">
        <v>126</v>
      </c>
      <c r="O128">
        <f>IF(N128&lt;=$O$1,$O$1-N128+1,"")</f>
        <v/>
      </c>
      <c r="P128">
        <f>IF(O128="",0,COUNTIF(Transaksi!$M$2:$M$2001,O128)+1)</f>
        <v/>
      </c>
      <c r="Q128">
        <f>1+SUM(P$2:P127)</f>
        <v/>
      </c>
      <c r="S128">
        <f>IF(I128="","",INDEX($O$3:$O$402,I128))</f>
        <v/>
      </c>
      <c r="T128">
        <f>IF(J128&lt;&gt;"H","",INDEX(Transaksi!$A$2:$A$2001,MATCH(S128,Transaksi!$M$2:$M$2001,0)))</f>
        <v/>
      </c>
    </row>
    <row r="129">
      <c r="A129" s="31">
        <f>IF(J129="E",IF(INDEX(Transaksi!$J$2:$J$2001,K129)&gt;0,"↑","↓"),"")</f>
        <v/>
      </c>
      <c r="B129" s="32">
        <f>IF(J129="H",CHOOSE(WEEKDAY(T129,2),"Isnin","Selasa","Rabu","Khamis","Jumaat","Sabtu","Ahad")&amp;", "&amp;DAY(T129)&amp;" "&amp;CHOOSE(MONTH(T129),"Jan","Feb","Mac","Apr","Mei","Jun","Jul","Ogo","Sep","Okt","Nov","Dis")&amp;" "&amp;YEAR(T129),IF(J129="E",IF(INDEX(Transaksi!$B$2:$B$2001,K129)="",INDEX(Transaksi!$C$2:$C$2001,K129)&amp;" · "&amp;INDEX(Transaksi!$D$2:$D$2001,K129),INDEX(Transaksi!$B$2:$B$2001,K129)),""))</f>
        <v/>
      </c>
      <c r="C129" s="32">
        <f>IF(J129="E",INDEX(Transaksi!$C$2:$C$2001,K129)&amp;"","")</f>
        <v/>
      </c>
      <c r="D129" s="32">
        <f>IF(J129="E",INDEX(Transaksi!$D$2:$D$2001,K129)&amp;"","")</f>
        <v/>
      </c>
      <c r="E129" s="33">
        <f>IF(J129="H",SUMIFS(Transaksi!$G$2:$G$2001,Transaksi!$M$2:$M$2001,"="&amp;S129)+SUMIFS(Transaksi!$H$2:$H$2001,Transaksi!$M$2:$M$2001,"="&amp;S129)+SUMIFS(Transaksi!$I$2:$I$2001,Transaksi!$M$2:$M$2001,"="&amp;S129),IF(J129="E",IF(INDEX(Transaksi!$G$2:$G$2001,K129)+INDEX(Transaksi!$H$2:$H$2001,K129)+INDEX(Transaksi!$I$2:$I$2001,K129)=0,"",INDEX(Transaksi!$G$2:$G$2001,K129)+INDEX(Transaksi!$H$2:$H$2001,K129)+INDEX(Transaksi!$I$2:$I$2001,K129)),""))</f>
        <v/>
      </c>
      <c r="F129" s="33">
        <f>IF(J129="H",SUMIFS(Transaksi!$J$2:$J$2001,Transaksi!$M$2:$M$2001,"="&amp;S129),IF(J129="E",IF(INDEX(Transaksi!$J$2:$J$2001,K129)=0,"",INDEX(Transaksi!$J$2:$J$2001,K129)),""))</f>
        <v/>
      </c>
      <c r="G129" s="33">
        <f>IF(J129="H",(SUMIFS(Transaksi!$G$2:$G$2001,Transaksi!$M$2:$M$2001,"&lt;="&amp;S129)+SUMIFS(Transaksi!$H$2:$H$2001,Transaksi!$M$2:$M$2001,"&lt;="&amp;S129)+SUMIFS(Transaksi!$I$2:$I$2001,Transaksi!$M$2:$M$2001,"&lt;="&amp;S129))-(SUMIFS(Transaksi!$J$2:$J$2001,Transaksi!$M$2:$M$2001,"&lt;="&amp;S129)),"")</f>
        <v/>
      </c>
      <c r="I129">
        <f>IF(126&gt;$O$2,"",MATCH(126,$Q$3:$Q$402,1))</f>
        <v/>
      </c>
      <c r="J129">
        <f>IF(I129="","",IF(126=INDEX($Q$3:$Q$402,I129),"H","E"))</f>
        <v/>
      </c>
      <c r="K129">
        <f>IF(J129&lt;&gt;"E","",MATCH(S129,Transaksi!$M$2:$M$2001,0)+126-INDEX($Q$3:$Q$402,I129)-1)</f>
        <v/>
      </c>
      <c r="N129" t="n">
        <v>127</v>
      </c>
      <c r="O129">
        <f>IF(N129&lt;=$O$1,$O$1-N129+1,"")</f>
        <v/>
      </c>
      <c r="P129">
        <f>IF(O129="",0,COUNTIF(Transaksi!$M$2:$M$2001,O129)+1)</f>
        <v/>
      </c>
      <c r="Q129">
        <f>1+SUM(P$2:P128)</f>
        <v/>
      </c>
      <c r="S129">
        <f>IF(I129="","",INDEX($O$3:$O$402,I129))</f>
        <v/>
      </c>
      <c r="T129">
        <f>IF(J129&lt;&gt;"H","",INDEX(Transaksi!$A$2:$A$2001,MATCH(S129,Transaksi!$M$2:$M$2001,0)))</f>
        <v/>
      </c>
    </row>
    <row r="130">
      <c r="A130" s="31">
        <f>IF(J130="E",IF(INDEX(Transaksi!$J$2:$J$2001,K130)&gt;0,"↑","↓"),"")</f>
        <v/>
      </c>
      <c r="B130" s="32">
        <f>IF(J130="H",CHOOSE(WEEKDAY(T130,2),"Isnin","Selasa","Rabu","Khamis","Jumaat","Sabtu","Ahad")&amp;", "&amp;DAY(T130)&amp;" "&amp;CHOOSE(MONTH(T130),"Jan","Feb","Mac","Apr","Mei","Jun","Jul","Ogo","Sep","Okt","Nov","Dis")&amp;" "&amp;YEAR(T130),IF(J130="E",IF(INDEX(Transaksi!$B$2:$B$2001,K130)="",INDEX(Transaksi!$C$2:$C$2001,K130)&amp;" · "&amp;INDEX(Transaksi!$D$2:$D$2001,K130),INDEX(Transaksi!$B$2:$B$2001,K130)),""))</f>
        <v/>
      </c>
      <c r="C130" s="32">
        <f>IF(J130="E",INDEX(Transaksi!$C$2:$C$2001,K130)&amp;"","")</f>
        <v/>
      </c>
      <c r="D130" s="32">
        <f>IF(J130="E",INDEX(Transaksi!$D$2:$D$2001,K130)&amp;"","")</f>
        <v/>
      </c>
      <c r="E130" s="33">
        <f>IF(J130="H",SUMIFS(Transaksi!$G$2:$G$2001,Transaksi!$M$2:$M$2001,"="&amp;S130)+SUMIFS(Transaksi!$H$2:$H$2001,Transaksi!$M$2:$M$2001,"="&amp;S130)+SUMIFS(Transaksi!$I$2:$I$2001,Transaksi!$M$2:$M$2001,"="&amp;S130),IF(J130="E",IF(INDEX(Transaksi!$G$2:$G$2001,K130)+INDEX(Transaksi!$H$2:$H$2001,K130)+INDEX(Transaksi!$I$2:$I$2001,K130)=0,"",INDEX(Transaksi!$G$2:$G$2001,K130)+INDEX(Transaksi!$H$2:$H$2001,K130)+INDEX(Transaksi!$I$2:$I$2001,K130)),""))</f>
        <v/>
      </c>
      <c r="F130" s="33">
        <f>IF(J130="H",SUMIFS(Transaksi!$J$2:$J$2001,Transaksi!$M$2:$M$2001,"="&amp;S130),IF(J130="E",IF(INDEX(Transaksi!$J$2:$J$2001,K130)=0,"",INDEX(Transaksi!$J$2:$J$2001,K130)),""))</f>
        <v/>
      </c>
      <c r="G130" s="33">
        <f>IF(J130="H",(SUMIFS(Transaksi!$G$2:$G$2001,Transaksi!$M$2:$M$2001,"&lt;="&amp;S130)+SUMIFS(Transaksi!$H$2:$H$2001,Transaksi!$M$2:$M$2001,"&lt;="&amp;S130)+SUMIFS(Transaksi!$I$2:$I$2001,Transaksi!$M$2:$M$2001,"&lt;="&amp;S130))-(SUMIFS(Transaksi!$J$2:$J$2001,Transaksi!$M$2:$M$2001,"&lt;="&amp;S130)),"")</f>
        <v/>
      </c>
      <c r="I130">
        <f>IF(127&gt;$O$2,"",MATCH(127,$Q$3:$Q$402,1))</f>
        <v/>
      </c>
      <c r="J130">
        <f>IF(I130="","",IF(127=INDEX($Q$3:$Q$402,I130),"H","E"))</f>
        <v/>
      </c>
      <c r="K130">
        <f>IF(J130&lt;&gt;"E","",MATCH(S130,Transaksi!$M$2:$M$2001,0)+127-INDEX($Q$3:$Q$402,I130)-1)</f>
        <v/>
      </c>
      <c r="N130" t="n">
        <v>128</v>
      </c>
      <c r="O130">
        <f>IF(N130&lt;=$O$1,$O$1-N130+1,"")</f>
        <v/>
      </c>
      <c r="P130">
        <f>IF(O130="",0,COUNTIF(Transaksi!$M$2:$M$2001,O130)+1)</f>
        <v/>
      </c>
      <c r="Q130">
        <f>1+SUM(P$2:P129)</f>
        <v/>
      </c>
      <c r="S130">
        <f>IF(I130="","",INDEX($O$3:$O$402,I130))</f>
        <v/>
      </c>
      <c r="T130">
        <f>IF(J130&lt;&gt;"H","",INDEX(Transaksi!$A$2:$A$2001,MATCH(S130,Transaksi!$M$2:$M$2001,0)))</f>
        <v/>
      </c>
    </row>
    <row r="131">
      <c r="A131" s="31">
        <f>IF(J131="E",IF(INDEX(Transaksi!$J$2:$J$2001,K131)&gt;0,"↑","↓"),"")</f>
        <v/>
      </c>
      <c r="B131" s="32">
        <f>IF(J131="H",CHOOSE(WEEKDAY(T131,2),"Isnin","Selasa","Rabu","Khamis","Jumaat","Sabtu","Ahad")&amp;", "&amp;DAY(T131)&amp;" "&amp;CHOOSE(MONTH(T131),"Jan","Feb","Mac","Apr","Mei","Jun","Jul","Ogo","Sep","Okt","Nov","Dis")&amp;" "&amp;YEAR(T131),IF(J131="E",IF(INDEX(Transaksi!$B$2:$B$2001,K131)="",INDEX(Transaksi!$C$2:$C$2001,K131)&amp;" · "&amp;INDEX(Transaksi!$D$2:$D$2001,K131),INDEX(Transaksi!$B$2:$B$2001,K131)),""))</f>
        <v/>
      </c>
      <c r="C131" s="32">
        <f>IF(J131="E",INDEX(Transaksi!$C$2:$C$2001,K131)&amp;"","")</f>
        <v/>
      </c>
      <c r="D131" s="32">
        <f>IF(J131="E",INDEX(Transaksi!$D$2:$D$2001,K131)&amp;"","")</f>
        <v/>
      </c>
      <c r="E131" s="33">
        <f>IF(J131="H",SUMIFS(Transaksi!$G$2:$G$2001,Transaksi!$M$2:$M$2001,"="&amp;S131)+SUMIFS(Transaksi!$H$2:$H$2001,Transaksi!$M$2:$M$2001,"="&amp;S131)+SUMIFS(Transaksi!$I$2:$I$2001,Transaksi!$M$2:$M$2001,"="&amp;S131),IF(J131="E",IF(INDEX(Transaksi!$G$2:$G$2001,K131)+INDEX(Transaksi!$H$2:$H$2001,K131)+INDEX(Transaksi!$I$2:$I$2001,K131)=0,"",INDEX(Transaksi!$G$2:$G$2001,K131)+INDEX(Transaksi!$H$2:$H$2001,K131)+INDEX(Transaksi!$I$2:$I$2001,K131)),""))</f>
        <v/>
      </c>
      <c r="F131" s="33">
        <f>IF(J131="H",SUMIFS(Transaksi!$J$2:$J$2001,Transaksi!$M$2:$M$2001,"="&amp;S131),IF(J131="E",IF(INDEX(Transaksi!$J$2:$J$2001,K131)=0,"",INDEX(Transaksi!$J$2:$J$2001,K131)),""))</f>
        <v/>
      </c>
      <c r="G131" s="33">
        <f>IF(J131="H",(SUMIFS(Transaksi!$G$2:$G$2001,Transaksi!$M$2:$M$2001,"&lt;="&amp;S131)+SUMIFS(Transaksi!$H$2:$H$2001,Transaksi!$M$2:$M$2001,"&lt;="&amp;S131)+SUMIFS(Transaksi!$I$2:$I$2001,Transaksi!$M$2:$M$2001,"&lt;="&amp;S131))-(SUMIFS(Transaksi!$J$2:$J$2001,Transaksi!$M$2:$M$2001,"&lt;="&amp;S131)),"")</f>
        <v/>
      </c>
      <c r="I131">
        <f>IF(128&gt;$O$2,"",MATCH(128,$Q$3:$Q$402,1))</f>
        <v/>
      </c>
      <c r="J131">
        <f>IF(I131="","",IF(128=INDEX($Q$3:$Q$402,I131),"H","E"))</f>
        <v/>
      </c>
      <c r="K131">
        <f>IF(J131&lt;&gt;"E","",MATCH(S131,Transaksi!$M$2:$M$2001,0)+128-INDEX($Q$3:$Q$402,I131)-1)</f>
        <v/>
      </c>
      <c r="N131" t="n">
        <v>129</v>
      </c>
      <c r="O131">
        <f>IF(N131&lt;=$O$1,$O$1-N131+1,"")</f>
        <v/>
      </c>
      <c r="P131">
        <f>IF(O131="",0,COUNTIF(Transaksi!$M$2:$M$2001,O131)+1)</f>
        <v/>
      </c>
      <c r="Q131">
        <f>1+SUM(P$2:P130)</f>
        <v/>
      </c>
      <c r="S131">
        <f>IF(I131="","",INDEX($O$3:$O$402,I131))</f>
        <v/>
      </c>
      <c r="T131">
        <f>IF(J131&lt;&gt;"H","",INDEX(Transaksi!$A$2:$A$2001,MATCH(S131,Transaksi!$M$2:$M$2001,0)))</f>
        <v/>
      </c>
    </row>
    <row r="132">
      <c r="A132" s="31">
        <f>IF(J132="E",IF(INDEX(Transaksi!$J$2:$J$2001,K132)&gt;0,"↑","↓"),"")</f>
        <v/>
      </c>
      <c r="B132" s="32">
        <f>IF(J132="H",CHOOSE(WEEKDAY(T132,2),"Isnin","Selasa","Rabu","Khamis","Jumaat","Sabtu","Ahad")&amp;", "&amp;DAY(T132)&amp;" "&amp;CHOOSE(MONTH(T132),"Jan","Feb","Mac","Apr","Mei","Jun","Jul","Ogo","Sep","Okt","Nov","Dis")&amp;" "&amp;YEAR(T132),IF(J132="E",IF(INDEX(Transaksi!$B$2:$B$2001,K132)="",INDEX(Transaksi!$C$2:$C$2001,K132)&amp;" · "&amp;INDEX(Transaksi!$D$2:$D$2001,K132),INDEX(Transaksi!$B$2:$B$2001,K132)),""))</f>
        <v/>
      </c>
      <c r="C132" s="32">
        <f>IF(J132="E",INDEX(Transaksi!$C$2:$C$2001,K132)&amp;"","")</f>
        <v/>
      </c>
      <c r="D132" s="32">
        <f>IF(J132="E",INDEX(Transaksi!$D$2:$D$2001,K132)&amp;"","")</f>
        <v/>
      </c>
      <c r="E132" s="33">
        <f>IF(J132="H",SUMIFS(Transaksi!$G$2:$G$2001,Transaksi!$M$2:$M$2001,"="&amp;S132)+SUMIFS(Transaksi!$H$2:$H$2001,Transaksi!$M$2:$M$2001,"="&amp;S132)+SUMIFS(Transaksi!$I$2:$I$2001,Transaksi!$M$2:$M$2001,"="&amp;S132),IF(J132="E",IF(INDEX(Transaksi!$G$2:$G$2001,K132)+INDEX(Transaksi!$H$2:$H$2001,K132)+INDEX(Transaksi!$I$2:$I$2001,K132)=0,"",INDEX(Transaksi!$G$2:$G$2001,K132)+INDEX(Transaksi!$H$2:$H$2001,K132)+INDEX(Transaksi!$I$2:$I$2001,K132)),""))</f>
        <v/>
      </c>
      <c r="F132" s="33">
        <f>IF(J132="H",SUMIFS(Transaksi!$J$2:$J$2001,Transaksi!$M$2:$M$2001,"="&amp;S132),IF(J132="E",IF(INDEX(Transaksi!$J$2:$J$2001,K132)=0,"",INDEX(Transaksi!$J$2:$J$2001,K132)),""))</f>
        <v/>
      </c>
      <c r="G132" s="33">
        <f>IF(J132="H",(SUMIFS(Transaksi!$G$2:$G$2001,Transaksi!$M$2:$M$2001,"&lt;="&amp;S132)+SUMIFS(Transaksi!$H$2:$H$2001,Transaksi!$M$2:$M$2001,"&lt;="&amp;S132)+SUMIFS(Transaksi!$I$2:$I$2001,Transaksi!$M$2:$M$2001,"&lt;="&amp;S132))-(SUMIFS(Transaksi!$J$2:$J$2001,Transaksi!$M$2:$M$2001,"&lt;="&amp;S132)),"")</f>
        <v/>
      </c>
      <c r="I132">
        <f>IF(129&gt;$O$2,"",MATCH(129,$Q$3:$Q$402,1))</f>
        <v/>
      </c>
      <c r="J132">
        <f>IF(I132="","",IF(129=INDEX($Q$3:$Q$402,I132),"H","E"))</f>
        <v/>
      </c>
      <c r="K132">
        <f>IF(J132&lt;&gt;"E","",MATCH(S132,Transaksi!$M$2:$M$2001,0)+129-INDEX($Q$3:$Q$402,I132)-1)</f>
        <v/>
      </c>
      <c r="N132" t="n">
        <v>130</v>
      </c>
      <c r="O132">
        <f>IF(N132&lt;=$O$1,$O$1-N132+1,"")</f>
        <v/>
      </c>
      <c r="P132">
        <f>IF(O132="",0,COUNTIF(Transaksi!$M$2:$M$2001,O132)+1)</f>
        <v/>
      </c>
      <c r="Q132">
        <f>1+SUM(P$2:P131)</f>
        <v/>
      </c>
      <c r="S132">
        <f>IF(I132="","",INDEX($O$3:$O$402,I132))</f>
        <v/>
      </c>
      <c r="T132">
        <f>IF(J132&lt;&gt;"H","",INDEX(Transaksi!$A$2:$A$2001,MATCH(S132,Transaksi!$M$2:$M$2001,0)))</f>
        <v/>
      </c>
    </row>
    <row r="133">
      <c r="A133" s="31">
        <f>IF(J133="E",IF(INDEX(Transaksi!$J$2:$J$2001,K133)&gt;0,"↑","↓"),"")</f>
        <v/>
      </c>
      <c r="B133" s="32">
        <f>IF(J133="H",CHOOSE(WEEKDAY(T133,2),"Isnin","Selasa","Rabu","Khamis","Jumaat","Sabtu","Ahad")&amp;", "&amp;DAY(T133)&amp;" "&amp;CHOOSE(MONTH(T133),"Jan","Feb","Mac","Apr","Mei","Jun","Jul","Ogo","Sep","Okt","Nov","Dis")&amp;" "&amp;YEAR(T133),IF(J133="E",IF(INDEX(Transaksi!$B$2:$B$2001,K133)="",INDEX(Transaksi!$C$2:$C$2001,K133)&amp;" · "&amp;INDEX(Transaksi!$D$2:$D$2001,K133),INDEX(Transaksi!$B$2:$B$2001,K133)),""))</f>
        <v/>
      </c>
      <c r="C133" s="32">
        <f>IF(J133="E",INDEX(Transaksi!$C$2:$C$2001,K133)&amp;"","")</f>
        <v/>
      </c>
      <c r="D133" s="32">
        <f>IF(J133="E",INDEX(Transaksi!$D$2:$D$2001,K133)&amp;"","")</f>
        <v/>
      </c>
      <c r="E133" s="33">
        <f>IF(J133="H",SUMIFS(Transaksi!$G$2:$G$2001,Transaksi!$M$2:$M$2001,"="&amp;S133)+SUMIFS(Transaksi!$H$2:$H$2001,Transaksi!$M$2:$M$2001,"="&amp;S133)+SUMIFS(Transaksi!$I$2:$I$2001,Transaksi!$M$2:$M$2001,"="&amp;S133),IF(J133="E",IF(INDEX(Transaksi!$G$2:$G$2001,K133)+INDEX(Transaksi!$H$2:$H$2001,K133)+INDEX(Transaksi!$I$2:$I$2001,K133)=0,"",INDEX(Transaksi!$G$2:$G$2001,K133)+INDEX(Transaksi!$H$2:$H$2001,K133)+INDEX(Transaksi!$I$2:$I$2001,K133)),""))</f>
        <v/>
      </c>
      <c r="F133" s="33">
        <f>IF(J133="H",SUMIFS(Transaksi!$J$2:$J$2001,Transaksi!$M$2:$M$2001,"="&amp;S133),IF(J133="E",IF(INDEX(Transaksi!$J$2:$J$2001,K133)=0,"",INDEX(Transaksi!$J$2:$J$2001,K133)),""))</f>
        <v/>
      </c>
      <c r="G133" s="33">
        <f>IF(J133="H",(SUMIFS(Transaksi!$G$2:$G$2001,Transaksi!$M$2:$M$2001,"&lt;="&amp;S133)+SUMIFS(Transaksi!$H$2:$H$2001,Transaksi!$M$2:$M$2001,"&lt;="&amp;S133)+SUMIFS(Transaksi!$I$2:$I$2001,Transaksi!$M$2:$M$2001,"&lt;="&amp;S133))-(SUMIFS(Transaksi!$J$2:$J$2001,Transaksi!$M$2:$M$2001,"&lt;="&amp;S133)),"")</f>
        <v/>
      </c>
      <c r="I133">
        <f>IF(130&gt;$O$2,"",MATCH(130,$Q$3:$Q$402,1))</f>
        <v/>
      </c>
      <c r="J133">
        <f>IF(I133="","",IF(130=INDEX($Q$3:$Q$402,I133),"H","E"))</f>
        <v/>
      </c>
      <c r="K133">
        <f>IF(J133&lt;&gt;"E","",MATCH(S133,Transaksi!$M$2:$M$2001,0)+130-INDEX($Q$3:$Q$402,I133)-1)</f>
        <v/>
      </c>
      <c r="N133" t="n">
        <v>131</v>
      </c>
      <c r="O133">
        <f>IF(N133&lt;=$O$1,$O$1-N133+1,"")</f>
        <v/>
      </c>
      <c r="P133">
        <f>IF(O133="",0,COUNTIF(Transaksi!$M$2:$M$2001,O133)+1)</f>
        <v/>
      </c>
      <c r="Q133">
        <f>1+SUM(P$2:P132)</f>
        <v/>
      </c>
      <c r="S133">
        <f>IF(I133="","",INDEX($O$3:$O$402,I133))</f>
        <v/>
      </c>
      <c r="T133">
        <f>IF(J133&lt;&gt;"H","",INDEX(Transaksi!$A$2:$A$2001,MATCH(S133,Transaksi!$M$2:$M$2001,0)))</f>
        <v/>
      </c>
    </row>
    <row r="134">
      <c r="A134" s="31">
        <f>IF(J134="E",IF(INDEX(Transaksi!$J$2:$J$2001,K134)&gt;0,"↑","↓"),"")</f>
        <v/>
      </c>
      <c r="B134" s="32">
        <f>IF(J134="H",CHOOSE(WEEKDAY(T134,2),"Isnin","Selasa","Rabu","Khamis","Jumaat","Sabtu","Ahad")&amp;", "&amp;DAY(T134)&amp;" "&amp;CHOOSE(MONTH(T134),"Jan","Feb","Mac","Apr","Mei","Jun","Jul","Ogo","Sep","Okt","Nov","Dis")&amp;" "&amp;YEAR(T134),IF(J134="E",IF(INDEX(Transaksi!$B$2:$B$2001,K134)="",INDEX(Transaksi!$C$2:$C$2001,K134)&amp;" · "&amp;INDEX(Transaksi!$D$2:$D$2001,K134),INDEX(Transaksi!$B$2:$B$2001,K134)),""))</f>
        <v/>
      </c>
      <c r="C134" s="32">
        <f>IF(J134="E",INDEX(Transaksi!$C$2:$C$2001,K134)&amp;"","")</f>
        <v/>
      </c>
      <c r="D134" s="32">
        <f>IF(J134="E",INDEX(Transaksi!$D$2:$D$2001,K134)&amp;"","")</f>
        <v/>
      </c>
      <c r="E134" s="33">
        <f>IF(J134="H",SUMIFS(Transaksi!$G$2:$G$2001,Transaksi!$M$2:$M$2001,"="&amp;S134)+SUMIFS(Transaksi!$H$2:$H$2001,Transaksi!$M$2:$M$2001,"="&amp;S134)+SUMIFS(Transaksi!$I$2:$I$2001,Transaksi!$M$2:$M$2001,"="&amp;S134),IF(J134="E",IF(INDEX(Transaksi!$G$2:$G$2001,K134)+INDEX(Transaksi!$H$2:$H$2001,K134)+INDEX(Transaksi!$I$2:$I$2001,K134)=0,"",INDEX(Transaksi!$G$2:$G$2001,K134)+INDEX(Transaksi!$H$2:$H$2001,K134)+INDEX(Transaksi!$I$2:$I$2001,K134)),""))</f>
        <v/>
      </c>
      <c r="F134" s="33">
        <f>IF(J134="H",SUMIFS(Transaksi!$J$2:$J$2001,Transaksi!$M$2:$M$2001,"="&amp;S134),IF(J134="E",IF(INDEX(Transaksi!$J$2:$J$2001,K134)=0,"",INDEX(Transaksi!$J$2:$J$2001,K134)),""))</f>
        <v/>
      </c>
      <c r="G134" s="33">
        <f>IF(J134="H",(SUMIFS(Transaksi!$G$2:$G$2001,Transaksi!$M$2:$M$2001,"&lt;="&amp;S134)+SUMIFS(Transaksi!$H$2:$H$2001,Transaksi!$M$2:$M$2001,"&lt;="&amp;S134)+SUMIFS(Transaksi!$I$2:$I$2001,Transaksi!$M$2:$M$2001,"&lt;="&amp;S134))-(SUMIFS(Transaksi!$J$2:$J$2001,Transaksi!$M$2:$M$2001,"&lt;="&amp;S134)),"")</f>
        <v/>
      </c>
      <c r="I134">
        <f>IF(131&gt;$O$2,"",MATCH(131,$Q$3:$Q$402,1))</f>
        <v/>
      </c>
      <c r="J134">
        <f>IF(I134="","",IF(131=INDEX($Q$3:$Q$402,I134),"H","E"))</f>
        <v/>
      </c>
      <c r="K134">
        <f>IF(J134&lt;&gt;"E","",MATCH(S134,Transaksi!$M$2:$M$2001,0)+131-INDEX($Q$3:$Q$402,I134)-1)</f>
        <v/>
      </c>
      <c r="N134" t="n">
        <v>132</v>
      </c>
      <c r="O134">
        <f>IF(N134&lt;=$O$1,$O$1-N134+1,"")</f>
        <v/>
      </c>
      <c r="P134">
        <f>IF(O134="",0,COUNTIF(Transaksi!$M$2:$M$2001,O134)+1)</f>
        <v/>
      </c>
      <c r="Q134">
        <f>1+SUM(P$2:P133)</f>
        <v/>
      </c>
      <c r="S134">
        <f>IF(I134="","",INDEX($O$3:$O$402,I134))</f>
        <v/>
      </c>
      <c r="T134">
        <f>IF(J134&lt;&gt;"H","",INDEX(Transaksi!$A$2:$A$2001,MATCH(S134,Transaksi!$M$2:$M$2001,0)))</f>
        <v/>
      </c>
    </row>
    <row r="135">
      <c r="A135" s="31">
        <f>IF(J135="E",IF(INDEX(Transaksi!$J$2:$J$2001,K135)&gt;0,"↑","↓"),"")</f>
        <v/>
      </c>
      <c r="B135" s="32">
        <f>IF(J135="H",CHOOSE(WEEKDAY(T135,2),"Isnin","Selasa","Rabu","Khamis","Jumaat","Sabtu","Ahad")&amp;", "&amp;DAY(T135)&amp;" "&amp;CHOOSE(MONTH(T135),"Jan","Feb","Mac","Apr","Mei","Jun","Jul","Ogo","Sep","Okt","Nov","Dis")&amp;" "&amp;YEAR(T135),IF(J135="E",IF(INDEX(Transaksi!$B$2:$B$2001,K135)="",INDEX(Transaksi!$C$2:$C$2001,K135)&amp;" · "&amp;INDEX(Transaksi!$D$2:$D$2001,K135),INDEX(Transaksi!$B$2:$B$2001,K135)),""))</f>
        <v/>
      </c>
      <c r="C135" s="32">
        <f>IF(J135="E",INDEX(Transaksi!$C$2:$C$2001,K135)&amp;"","")</f>
        <v/>
      </c>
      <c r="D135" s="32">
        <f>IF(J135="E",INDEX(Transaksi!$D$2:$D$2001,K135)&amp;"","")</f>
        <v/>
      </c>
      <c r="E135" s="33">
        <f>IF(J135="H",SUMIFS(Transaksi!$G$2:$G$2001,Transaksi!$M$2:$M$2001,"="&amp;S135)+SUMIFS(Transaksi!$H$2:$H$2001,Transaksi!$M$2:$M$2001,"="&amp;S135)+SUMIFS(Transaksi!$I$2:$I$2001,Transaksi!$M$2:$M$2001,"="&amp;S135),IF(J135="E",IF(INDEX(Transaksi!$G$2:$G$2001,K135)+INDEX(Transaksi!$H$2:$H$2001,K135)+INDEX(Transaksi!$I$2:$I$2001,K135)=0,"",INDEX(Transaksi!$G$2:$G$2001,K135)+INDEX(Transaksi!$H$2:$H$2001,K135)+INDEX(Transaksi!$I$2:$I$2001,K135)),""))</f>
        <v/>
      </c>
      <c r="F135" s="33">
        <f>IF(J135="H",SUMIFS(Transaksi!$J$2:$J$2001,Transaksi!$M$2:$M$2001,"="&amp;S135),IF(J135="E",IF(INDEX(Transaksi!$J$2:$J$2001,K135)=0,"",INDEX(Transaksi!$J$2:$J$2001,K135)),""))</f>
        <v/>
      </c>
      <c r="G135" s="33">
        <f>IF(J135="H",(SUMIFS(Transaksi!$G$2:$G$2001,Transaksi!$M$2:$M$2001,"&lt;="&amp;S135)+SUMIFS(Transaksi!$H$2:$H$2001,Transaksi!$M$2:$M$2001,"&lt;="&amp;S135)+SUMIFS(Transaksi!$I$2:$I$2001,Transaksi!$M$2:$M$2001,"&lt;="&amp;S135))-(SUMIFS(Transaksi!$J$2:$J$2001,Transaksi!$M$2:$M$2001,"&lt;="&amp;S135)),"")</f>
        <v/>
      </c>
      <c r="I135">
        <f>IF(132&gt;$O$2,"",MATCH(132,$Q$3:$Q$402,1))</f>
        <v/>
      </c>
      <c r="J135">
        <f>IF(I135="","",IF(132=INDEX($Q$3:$Q$402,I135),"H","E"))</f>
        <v/>
      </c>
      <c r="K135">
        <f>IF(J135&lt;&gt;"E","",MATCH(S135,Transaksi!$M$2:$M$2001,0)+132-INDEX($Q$3:$Q$402,I135)-1)</f>
        <v/>
      </c>
      <c r="N135" t="n">
        <v>133</v>
      </c>
      <c r="O135">
        <f>IF(N135&lt;=$O$1,$O$1-N135+1,"")</f>
        <v/>
      </c>
      <c r="P135">
        <f>IF(O135="",0,COUNTIF(Transaksi!$M$2:$M$2001,O135)+1)</f>
        <v/>
      </c>
      <c r="Q135">
        <f>1+SUM(P$2:P134)</f>
        <v/>
      </c>
      <c r="S135">
        <f>IF(I135="","",INDEX($O$3:$O$402,I135))</f>
        <v/>
      </c>
      <c r="T135">
        <f>IF(J135&lt;&gt;"H","",INDEX(Transaksi!$A$2:$A$2001,MATCH(S135,Transaksi!$M$2:$M$2001,0)))</f>
        <v/>
      </c>
    </row>
    <row r="136">
      <c r="A136" s="31">
        <f>IF(J136="E",IF(INDEX(Transaksi!$J$2:$J$2001,K136)&gt;0,"↑","↓"),"")</f>
        <v/>
      </c>
      <c r="B136" s="32">
        <f>IF(J136="H",CHOOSE(WEEKDAY(T136,2),"Isnin","Selasa","Rabu","Khamis","Jumaat","Sabtu","Ahad")&amp;", "&amp;DAY(T136)&amp;" "&amp;CHOOSE(MONTH(T136),"Jan","Feb","Mac","Apr","Mei","Jun","Jul","Ogo","Sep","Okt","Nov","Dis")&amp;" "&amp;YEAR(T136),IF(J136="E",IF(INDEX(Transaksi!$B$2:$B$2001,K136)="",INDEX(Transaksi!$C$2:$C$2001,K136)&amp;" · "&amp;INDEX(Transaksi!$D$2:$D$2001,K136),INDEX(Transaksi!$B$2:$B$2001,K136)),""))</f>
        <v/>
      </c>
      <c r="C136" s="32">
        <f>IF(J136="E",INDEX(Transaksi!$C$2:$C$2001,K136)&amp;"","")</f>
        <v/>
      </c>
      <c r="D136" s="32">
        <f>IF(J136="E",INDEX(Transaksi!$D$2:$D$2001,K136)&amp;"","")</f>
        <v/>
      </c>
      <c r="E136" s="33">
        <f>IF(J136="H",SUMIFS(Transaksi!$G$2:$G$2001,Transaksi!$M$2:$M$2001,"="&amp;S136)+SUMIFS(Transaksi!$H$2:$H$2001,Transaksi!$M$2:$M$2001,"="&amp;S136)+SUMIFS(Transaksi!$I$2:$I$2001,Transaksi!$M$2:$M$2001,"="&amp;S136),IF(J136="E",IF(INDEX(Transaksi!$G$2:$G$2001,K136)+INDEX(Transaksi!$H$2:$H$2001,K136)+INDEX(Transaksi!$I$2:$I$2001,K136)=0,"",INDEX(Transaksi!$G$2:$G$2001,K136)+INDEX(Transaksi!$H$2:$H$2001,K136)+INDEX(Transaksi!$I$2:$I$2001,K136)),""))</f>
        <v/>
      </c>
      <c r="F136" s="33">
        <f>IF(J136="H",SUMIFS(Transaksi!$J$2:$J$2001,Transaksi!$M$2:$M$2001,"="&amp;S136),IF(J136="E",IF(INDEX(Transaksi!$J$2:$J$2001,K136)=0,"",INDEX(Transaksi!$J$2:$J$2001,K136)),""))</f>
        <v/>
      </c>
      <c r="G136" s="33">
        <f>IF(J136="H",(SUMIFS(Transaksi!$G$2:$G$2001,Transaksi!$M$2:$M$2001,"&lt;="&amp;S136)+SUMIFS(Transaksi!$H$2:$H$2001,Transaksi!$M$2:$M$2001,"&lt;="&amp;S136)+SUMIFS(Transaksi!$I$2:$I$2001,Transaksi!$M$2:$M$2001,"&lt;="&amp;S136))-(SUMIFS(Transaksi!$J$2:$J$2001,Transaksi!$M$2:$M$2001,"&lt;="&amp;S136)),"")</f>
        <v/>
      </c>
      <c r="I136">
        <f>IF(133&gt;$O$2,"",MATCH(133,$Q$3:$Q$402,1))</f>
        <v/>
      </c>
      <c r="J136">
        <f>IF(I136="","",IF(133=INDEX($Q$3:$Q$402,I136),"H","E"))</f>
        <v/>
      </c>
      <c r="K136">
        <f>IF(J136&lt;&gt;"E","",MATCH(S136,Transaksi!$M$2:$M$2001,0)+133-INDEX($Q$3:$Q$402,I136)-1)</f>
        <v/>
      </c>
      <c r="N136" t="n">
        <v>134</v>
      </c>
      <c r="O136">
        <f>IF(N136&lt;=$O$1,$O$1-N136+1,"")</f>
        <v/>
      </c>
      <c r="P136">
        <f>IF(O136="",0,COUNTIF(Transaksi!$M$2:$M$2001,O136)+1)</f>
        <v/>
      </c>
      <c r="Q136">
        <f>1+SUM(P$2:P135)</f>
        <v/>
      </c>
      <c r="S136">
        <f>IF(I136="","",INDEX($O$3:$O$402,I136))</f>
        <v/>
      </c>
      <c r="T136">
        <f>IF(J136&lt;&gt;"H","",INDEX(Transaksi!$A$2:$A$2001,MATCH(S136,Transaksi!$M$2:$M$2001,0)))</f>
        <v/>
      </c>
    </row>
    <row r="137">
      <c r="A137" s="31">
        <f>IF(J137="E",IF(INDEX(Transaksi!$J$2:$J$2001,K137)&gt;0,"↑","↓"),"")</f>
        <v/>
      </c>
      <c r="B137" s="32">
        <f>IF(J137="H",CHOOSE(WEEKDAY(T137,2),"Isnin","Selasa","Rabu","Khamis","Jumaat","Sabtu","Ahad")&amp;", "&amp;DAY(T137)&amp;" "&amp;CHOOSE(MONTH(T137),"Jan","Feb","Mac","Apr","Mei","Jun","Jul","Ogo","Sep","Okt","Nov","Dis")&amp;" "&amp;YEAR(T137),IF(J137="E",IF(INDEX(Transaksi!$B$2:$B$2001,K137)="",INDEX(Transaksi!$C$2:$C$2001,K137)&amp;" · "&amp;INDEX(Transaksi!$D$2:$D$2001,K137),INDEX(Transaksi!$B$2:$B$2001,K137)),""))</f>
        <v/>
      </c>
      <c r="C137" s="32">
        <f>IF(J137="E",INDEX(Transaksi!$C$2:$C$2001,K137)&amp;"","")</f>
        <v/>
      </c>
      <c r="D137" s="32">
        <f>IF(J137="E",INDEX(Transaksi!$D$2:$D$2001,K137)&amp;"","")</f>
        <v/>
      </c>
      <c r="E137" s="33">
        <f>IF(J137="H",SUMIFS(Transaksi!$G$2:$G$2001,Transaksi!$M$2:$M$2001,"="&amp;S137)+SUMIFS(Transaksi!$H$2:$H$2001,Transaksi!$M$2:$M$2001,"="&amp;S137)+SUMIFS(Transaksi!$I$2:$I$2001,Transaksi!$M$2:$M$2001,"="&amp;S137),IF(J137="E",IF(INDEX(Transaksi!$G$2:$G$2001,K137)+INDEX(Transaksi!$H$2:$H$2001,K137)+INDEX(Transaksi!$I$2:$I$2001,K137)=0,"",INDEX(Transaksi!$G$2:$G$2001,K137)+INDEX(Transaksi!$H$2:$H$2001,K137)+INDEX(Transaksi!$I$2:$I$2001,K137)),""))</f>
        <v/>
      </c>
      <c r="F137" s="33">
        <f>IF(J137="H",SUMIFS(Transaksi!$J$2:$J$2001,Transaksi!$M$2:$M$2001,"="&amp;S137),IF(J137="E",IF(INDEX(Transaksi!$J$2:$J$2001,K137)=0,"",INDEX(Transaksi!$J$2:$J$2001,K137)),""))</f>
        <v/>
      </c>
      <c r="G137" s="33">
        <f>IF(J137="H",(SUMIFS(Transaksi!$G$2:$G$2001,Transaksi!$M$2:$M$2001,"&lt;="&amp;S137)+SUMIFS(Transaksi!$H$2:$H$2001,Transaksi!$M$2:$M$2001,"&lt;="&amp;S137)+SUMIFS(Transaksi!$I$2:$I$2001,Transaksi!$M$2:$M$2001,"&lt;="&amp;S137))-(SUMIFS(Transaksi!$J$2:$J$2001,Transaksi!$M$2:$M$2001,"&lt;="&amp;S137)),"")</f>
        <v/>
      </c>
      <c r="I137">
        <f>IF(134&gt;$O$2,"",MATCH(134,$Q$3:$Q$402,1))</f>
        <v/>
      </c>
      <c r="J137">
        <f>IF(I137="","",IF(134=INDEX($Q$3:$Q$402,I137),"H","E"))</f>
        <v/>
      </c>
      <c r="K137">
        <f>IF(J137&lt;&gt;"E","",MATCH(S137,Transaksi!$M$2:$M$2001,0)+134-INDEX($Q$3:$Q$402,I137)-1)</f>
        <v/>
      </c>
      <c r="N137" t="n">
        <v>135</v>
      </c>
      <c r="O137">
        <f>IF(N137&lt;=$O$1,$O$1-N137+1,"")</f>
        <v/>
      </c>
      <c r="P137">
        <f>IF(O137="",0,COUNTIF(Transaksi!$M$2:$M$2001,O137)+1)</f>
        <v/>
      </c>
      <c r="Q137">
        <f>1+SUM(P$2:P136)</f>
        <v/>
      </c>
      <c r="S137">
        <f>IF(I137="","",INDEX($O$3:$O$402,I137))</f>
        <v/>
      </c>
      <c r="T137">
        <f>IF(J137&lt;&gt;"H","",INDEX(Transaksi!$A$2:$A$2001,MATCH(S137,Transaksi!$M$2:$M$2001,0)))</f>
        <v/>
      </c>
    </row>
    <row r="138">
      <c r="A138" s="31">
        <f>IF(J138="E",IF(INDEX(Transaksi!$J$2:$J$2001,K138)&gt;0,"↑","↓"),"")</f>
        <v/>
      </c>
      <c r="B138" s="32">
        <f>IF(J138="H",CHOOSE(WEEKDAY(T138,2),"Isnin","Selasa","Rabu","Khamis","Jumaat","Sabtu","Ahad")&amp;", "&amp;DAY(T138)&amp;" "&amp;CHOOSE(MONTH(T138),"Jan","Feb","Mac","Apr","Mei","Jun","Jul","Ogo","Sep","Okt","Nov","Dis")&amp;" "&amp;YEAR(T138),IF(J138="E",IF(INDEX(Transaksi!$B$2:$B$2001,K138)="",INDEX(Transaksi!$C$2:$C$2001,K138)&amp;" · "&amp;INDEX(Transaksi!$D$2:$D$2001,K138),INDEX(Transaksi!$B$2:$B$2001,K138)),""))</f>
        <v/>
      </c>
      <c r="C138" s="32">
        <f>IF(J138="E",INDEX(Transaksi!$C$2:$C$2001,K138)&amp;"","")</f>
        <v/>
      </c>
      <c r="D138" s="32">
        <f>IF(J138="E",INDEX(Transaksi!$D$2:$D$2001,K138)&amp;"","")</f>
        <v/>
      </c>
      <c r="E138" s="33">
        <f>IF(J138="H",SUMIFS(Transaksi!$G$2:$G$2001,Transaksi!$M$2:$M$2001,"="&amp;S138)+SUMIFS(Transaksi!$H$2:$H$2001,Transaksi!$M$2:$M$2001,"="&amp;S138)+SUMIFS(Transaksi!$I$2:$I$2001,Transaksi!$M$2:$M$2001,"="&amp;S138),IF(J138="E",IF(INDEX(Transaksi!$G$2:$G$2001,K138)+INDEX(Transaksi!$H$2:$H$2001,K138)+INDEX(Transaksi!$I$2:$I$2001,K138)=0,"",INDEX(Transaksi!$G$2:$G$2001,K138)+INDEX(Transaksi!$H$2:$H$2001,K138)+INDEX(Transaksi!$I$2:$I$2001,K138)),""))</f>
        <v/>
      </c>
      <c r="F138" s="33">
        <f>IF(J138="H",SUMIFS(Transaksi!$J$2:$J$2001,Transaksi!$M$2:$M$2001,"="&amp;S138),IF(J138="E",IF(INDEX(Transaksi!$J$2:$J$2001,K138)=0,"",INDEX(Transaksi!$J$2:$J$2001,K138)),""))</f>
        <v/>
      </c>
      <c r="G138" s="33">
        <f>IF(J138="H",(SUMIFS(Transaksi!$G$2:$G$2001,Transaksi!$M$2:$M$2001,"&lt;="&amp;S138)+SUMIFS(Transaksi!$H$2:$H$2001,Transaksi!$M$2:$M$2001,"&lt;="&amp;S138)+SUMIFS(Transaksi!$I$2:$I$2001,Transaksi!$M$2:$M$2001,"&lt;="&amp;S138))-(SUMIFS(Transaksi!$J$2:$J$2001,Transaksi!$M$2:$M$2001,"&lt;="&amp;S138)),"")</f>
        <v/>
      </c>
      <c r="I138">
        <f>IF(135&gt;$O$2,"",MATCH(135,$Q$3:$Q$402,1))</f>
        <v/>
      </c>
      <c r="J138">
        <f>IF(I138="","",IF(135=INDEX($Q$3:$Q$402,I138),"H","E"))</f>
        <v/>
      </c>
      <c r="K138">
        <f>IF(J138&lt;&gt;"E","",MATCH(S138,Transaksi!$M$2:$M$2001,0)+135-INDEX($Q$3:$Q$402,I138)-1)</f>
        <v/>
      </c>
      <c r="N138" t="n">
        <v>136</v>
      </c>
      <c r="O138">
        <f>IF(N138&lt;=$O$1,$O$1-N138+1,"")</f>
        <v/>
      </c>
      <c r="P138">
        <f>IF(O138="",0,COUNTIF(Transaksi!$M$2:$M$2001,O138)+1)</f>
        <v/>
      </c>
      <c r="Q138">
        <f>1+SUM(P$2:P137)</f>
        <v/>
      </c>
      <c r="S138">
        <f>IF(I138="","",INDEX($O$3:$O$402,I138))</f>
        <v/>
      </c>
      <c r="T138">
        <f>IF(J138&lt;&gt;"H","",INDEX(Transaksi!$A$2:$A$2001,MATCH(S138,Transaksi!$M$2:$M$2001,0)))</f>
        <v/>
      </c>
    </row>
    <row r="139">
      <c r="A139" s="31">
        <f>IF(J139="E",IF(INDEX(Transaksi!$J$2:$J$2001,K139)&gt;0,"↑","↓"),"")</f>
        <v/>
      </c>
      <c r="B139" s="32">
        <f>IF(J139="H",CHOOSE(WEEKDAY(T139,2),"Isnin","Selasa","Rabu","Khamis","Jumaat","Sabtu","Ahad")&amp;", "&amp;DAY(T139)&amp;" "&amp;CHOOSE(MONTH(T139),"Jan","Feb","Mac","Apr","Mei","Jun","Jul","Ogo","Sep","Okt","Nov","Dis")&amp;" "&amp;YEAR(T139),IF(J139="E",IF(INDEX(Transaksi!$B$2:$B$2001,K139)="",INDEX(Transaksi!$C$2:$C$2001,K139)&amp;" · "&amp;INDEX(Transaksi!$D$2:$D$2001,K139),INDEX(Transaksi!$B$2:$B$2001,K139)),""))</f>
        <v/>
      </c>
      <c r="C139" s="32">
        <f>IF(J139="E",INDEX(Transaksi!$C$2:$C$2001,K139)&amp;"","")</f>
        <v/>
      </c>
      <c r="D139" s="32">
        <f>IF(J139="E",INDEX(Transaksi!$D$2:$D$2001,K139)&amp;"","")</f>
        <v/>
      </c>
      <c r="E139" s="33">
        <f>IF(J139="H",SUMIFS(Transaksi!$G$2:$G$2001,Transaksi!$M$2:$M$2001,"="&amp;S139)+SUMIFS(Transaksi!$H$2:$H$2001,Transaksi!$M$2:$M$2001,"="&amp;S139)+SUMIFS(Transaksi!$I$2:$I$2001,Transaksi!$M$2:$M$2001,"="&amp;S139),IF(J139="E",IF(INDEX(Transaksi!$G$2:$G$2001,K139)+INDEX(Transaksi!$H$2:$H$2001,K139)+INDEX(Transaksi!$I$2:$I$2001,K139)=0,"",INDEX(Transaksi!$G$2:$G$2001,K139)+INDEX(Transaksi!$H$2:$H$2001,K139)+INDEX(Transaksi!$I$2:$I$2001,K139)),""))</f>
        <v/>
      </c>
      <c r="F139" s="33">
        <f>IF(J139="H",SUMIFS(Transaksi!$J$2:$J$2001,Transaksi!$M$2:$M$2001,"="&amp;S139),IF(J139="E",IF(INDEX(Transaksi!$J$2:$J$2001,K139)=0,"",INDEX(Transaksi!$J$2:$J$2001,K139)),""))</f>
        <v/>
      </c>
      <c r="G139" s="33">
        <f>IF(J139="H",(SUMIFS(Transaksi!$G$2:$G$2001,Transaksi!$M$2:$M$2001,"&lt;="&amp;S139)+SUMIFS(Transaksi!$H$2:$H$2001,Transaksi!$M$2:$M$2001,"&lt;="&amp;S139)+SUMIFS(Transaksi!$I$2:$I$2001,Transaksi!$M$2:$M$2001,"&lt;="&amp;S139))-(SUMIFS(Transaksi!$J$2:$J$2001,Transaksi!$M$2:$M$2001,"&lt;="&amp;S139)),"")</f>
        <v/>
      </c>
      <c r="I139">
        <f>IF(136&gt;$O$2,"",MATCH(136,$Q$3:$Q$402,1))</f>
        <v/>
      </c>
      <c r="J139">
        <f>IF(I139="","",IF(136=INDEX($Q$3:$Q$402,I139),"H","E"))</f>
        <v/>
      </c>
      <c r="K139">
        <f>IF(J139&lt;&gt;"E","",MATCH(S139,Transaksi!$M$2:$M$2001,0)+136-INDEX($Q$3:$Q$402,I139)-1)</f>
        <v/>
      </c>
      <c r="N139" t="n">
        <v>137</v>
      </c>
      <c r="O139">
        <f>IF(N139&lt;=$O$1,$O$1-N139+1,"")</f>
        <v/>
      </c>
      <c r="P139">
        <f>IF(O139="",0,COUNTIF(Transaksi!$M$2:$M$2001,O139)+1)</f>
        <v/>
      </c>
      <c r="Q139">
        <f>1+SUM(P$2:P138)</f>
        <v/>
      </c>
      <c r="S139">
        <f>IF(I139="","",INDEX($O$3:$O$402,I139))</f>
        <v/>
      </c>
      <c r="T139">
        <f>IF(J139&lt;&gt;"H","",INDEX(Transaksi!$A$2:$A$2001,MATCH(S139,Transaksi!$M$2:$M$2001,0)))</f>
        <v/>
      </c>
    </row>
    <row r="140">
      <c r="A140" s="31">
        <f>IF(J140="E",IF(INDEX(Transaksi!$J$2:$J$2001,K140)&gt;0,"↑","↓"),"")</f>
        <v/>
      </c>
      <c r="B140" s="32">
        <f>IF(J140="H",CHOOSE(WEEKDAY(T140,2),"Isnin","Selasa","Rabu","Khamis","Jumaat","Sabtu","Ahad")&amp;", "&amp;DAY(T140)&amp;" "&amp;CHOOSE(MONTH(T140),"Jan","Feb","Mac","Apr","Mei","Jun","Jul","Ogo","Sep","Okt","Nov","Dis")&amp;" "&amp;YEAR(T140),IF(J140="E",IF(INDEX(Transaksi!$B$2:$B$2001,K140)="",INDEX(Transaksi!$C$2:$C$2001,K140)&amp;" · "&amp;INDEX(Transaksi!$D$2:$D$2001,K140),INDEX(Transaksi!$B$2:$B$2001,K140)),""))</f>
        <v/>
      </c>
      <c r="C140" s="32">
        <f>IF(J140="E",INDEX(Transaksi!$C$2:$C$2001,K140)&amp;"","")</f>
        <v/>
      </c>
      <c r="D140" s="32">
        <f>IF(J140="E",INDEX(Transaksi!$D$2:$D$2001,K140)&amp;"","")</f>
        <v/>
      </c>
      <c r="E140" s="33">
        <f>IF(J140="H",SUMIFS(Transaksi!$G$2:$G$2001,Transaksi!$M$2:$M$2001,"="&amp;S140)+SUMIFS(Transaksi!$H$2:$H$2001,Transaksi!$M$2:$M$2001,"="&amp;S140)+SUMIFS(Transaksi!$I$2:$I$2001,Transaksi!$M$2:$M$2001,"="&amp;S140),IF(J140="E",IF(INDEX(Transaksi!$G$2:$G$2001,K140)+INDEX(Transaksi!$H$2:$H$2001,K140)+INDEX(Transaksi!$I$2:$I$2001,K140)=0,"",INDEX(Transaksi!$G$2:$G$2001,K140)+INDEX(Transaksi!$H$2:$H$2001,K140)+INDEX(Transaksi!$I$2:$I$2001,K140)),""))</f>
        <v/>
      </c>
      <c r="F140" s="33">
        <f>IF(J140="H",SUMIFS(Transaksi!$J$2:$J$2001,Transaksi!$M$2:$M$2001,"="&amp;S140),IF(J140="E",IF(INDEX(Transaksi!$J$2:$J$2001,K140)=0,"",INDEX(Transaksi!$J$2:$J$2001,K140)),""))</f>
        <v/>
      </c>
      <c r="G140" s="33">
        <f>IF(J140="H",(SUMIFS(Transaksi!$G$2:$G$2001,Transaksi!$M$2:$M$2001,"&lt;="&amp;S140)+SUMIFS(Transaksi!$H$2:$H$2001,Transaksi!$M$2:$M$2001,"&lt;="&amp;S140)+SUMIFS(Transaksi!$I$2:$I$2001,Transaksi!$M$2:$M$2001,"&lt;="&amp;S140))-(SUMIFS(Transaksi!$J$2:$J$2001,Transaksi!$M$2:$M$2001,"&lt;="&amp;S140)),"")</f>
        <v/>
      </c>
      <c r="I140">
        <f>IF(137&gt;$O$2,"",MATCH(137,$Q$3:$Q$402,1))</f>
        <v/>
      </c>
      <c r="J140">
        <f>IF(I140="","",IF(137=INDEX($Q$3:$Q$402,I140),"H","E"))</f>
        <v/>
      </c>
      <c r="K140">
        <f>IF(J140&lt;&gt;"E","",MATCH(S140,Transaksi!$M$2:$M$2001,0)+137-INDEX($Q$3:$Q$402,I140)-1)</f>
        <v/>
      </c>
      <c r="N140" t="n">
        <v>138</v>
      </c>
      <c r="O140">
        <f>IF(N140&lt;=$O$1,$O$1-N140+1,"")</f>
        <v/>
      </c>
      <c r="P140">
        <f>IF(O140="",0,COUNTIF(Transaksi!$M$2:$M$2001,O140)+1)</f>
        <v/>
      </c>
      <c r="Q140">
        <f>1+SUM(P$2:P139)</f>
        <v/>
      </c>
      <c r="S140">
        <f>IF(I140="","",INDEX($O$3:$O$402,I140))</f>
        <v/>
      </c>
      <c r="T140">
        <f>IF(J140&lt;&gt;"H","",INDEX(Transaksi!$A$2:$A$2001,MATCH(S140,Transaksi!$M$2:$M$2001,0)))</f>
        <v/>
      </c>
    </row>
    <row r="141">
      <c r="A141" s="31">
        <f>IF(J141="E",IF(INDEX(Transaksi!$J$2:$J$2001,K141)&gt;0,"↑","↓"),"")</f>
        <v/>
      </c>
      <c r="B141" s="32">
        <f>IF(J141="H",CHOOSE(WEEKDAY(T141,2),"Isnin","Selasa","Rabu","Khamis","Jumaat","Sabtu","Ahad")&amp;", "&amp;DAY(T141)&amp;" "&amp;CHOOSE(MONTH(T141),"Jan","Feb","Mac","Apr","Mei","Jun","Jul","Ogo","Sep","Okt","Nov","Dis")&amp;" "&amp;YEAR(T141),IF(J141="E",IF(INDEX(Transaksi!$B$2:$B$2001,K141)="",INDEX(Transaksi!$C$2:$C$2001,K141)&amp;" · "&amp;INDEX(Transaksi!$D$2:$D$2001,K141),INDEX(Transaksi!$B$2:$B$2001,K141)),""))</f>
        <v/>
      </c>
      <c r="C141" s="32">
        <f>IF(J141="E",INDEX(Transaksi!$C$2:$C$2001,K141)&amp;"","")</f>
        <v/>
      </c>
      <c r="D141" s="32">
        <f>IF(J141="E",INDEX(Transaksi!$D$2:$D$2001,K141)&amp;"","")</f>
        <v/>
      </c>
      <c r="E141" s="33">
        <f>IF(J141="H",SUMIFS(Transaksi!$G$2:$G$2001,Transaksi!$M$2:$M$2001,"="&amp;S141)+SUMIFS(Transaksi!$H$2:$H$2001,Transaksi!$M$2:$M$2001,"="&amp;S141)+SUMIFS(Transaksi!$I$2:$I$2001,Transaksi!$M$2:$M$2001,"="&amp;S141),IF(J141="E",IF(INDEX(Transaksi!$G$2:$G$2001,K141)+INDEX(Transaksi!$H$2:$H$2001,K141)+INDEX(Transaksi!$I$2:$I$2001,K141)=0,"",INDEX(Transaksi!$G$2:$G$2001,K141)+INDEX(Transaksi!$H$2:$H$2001,K141)+INDEX(Transaksi!$I$2:$I$2001,K141)),""))</f>
        <v/>
      </c>
      <c r="F141" s="33">
        <f>IF(J141="H",SUMIFS(Transaksi!$J$2:$J$2001,Transaksi!$M$2:$M$2001,"="&amp;S141),IF(J141="E",IF(INDEX(Transaksi!$J$2:$J$2001,K141)=0,"",INDEX(Transaksi!$J$2:$J$2001,K141)),""))</f>
        <v/>
      </c>
      <c r="G141" s="33">
        <f>IF(J141="H",(SUMIFS(Transaksi!$G$2:$G$2001,Transaksi!$M$2:$M$2001,"&lt;="&amp;S141)+SUMIFS(Transaksi!$H$2:$H$2001,Transaksi!$M$2:$M$2001,"&lt;="&amp;S141)+SUMIFS(Transaksi!$I$2:$I$2001,Transaksi!$M$2:$M$2001,"&lt;="&amp;S141))-(SUMIFS(Transaksi!$J$2:$J$2001,Transaksi!$M$2:$M$2001,"&lt;="&amp;S141)),"")</f>
        <v/>
      </c>
      <c r="I141">
        <f>IF(138&gt;$O$2,"",MATCH(138,$Q$3:$Q$402,1))</f>
        <v/>
      </c>
      <c r="J141">
        <f>IF(I141="","",IF(138=INDEX($Q$3:$Q$402,I141),"H","E"))</f>
        <v/>
      </c>
      <c r="K141">
        <f>IF(J141&lt;&gt;"E","",MATCH(S141,Transaksi!$M$2:$M$2001,0)+138-INDEX($Q$3:$Q$402,I141)-1)</f>
        <v/>
      </c>
      <c r="N141" t="n">
        <v>139</v>
      </c>
      <c r="O141">
        <f>IF(N141&lt;=$O$1,$O$1-N141+1,"")</f>
        <v/>
      </c>
      <c r="P141">
        <f>IF(O141="",0,COUNTIF(Transaksi!$M$2:$M$2001,O141)+1)</f>
        <v/>
      </c>
      <c r="Q141">
        <f>1+SUM(P$2:P140)</f>
        <v/>
      </c>
      <c r="S141">
        <f>IF(I141="","",INDEX($O$3:$O$402,I141))</f>
        <v/>
      </c>
      <c r="T141">
        <f>IF(J141&lt;&gt;"H","",INDEX(Transaksi!$A$2:$A$2001,MATCH(S141,Transaksi!$M$2:$M$2001,0)))</f>
        <v/>
      </c>
    </row>
    <row r="142">
      <c r="A142" s="31">
        <f>IF(J142="E",IF(INDEX(Transaksi!$J$2:$J$2001,K142)&gt;0,"↑","↓"),"")</f>
        <v/>
      </c>
      <c r="B142" s="32">
        <f>IF(J142="H",CHOOSE(WEEKDAY(T142,2),"Isnin","Selasa","Rabu","Khamis","Jumaat","Sabtu","Ahad")&amp;", "&amp;DAY(T142)&amp;" "&amp;CHOOSE(MONTH(T142),"Jan","Feb","Mac","Apr","Mei","Jun","Jul","Ogo","Sep","Okt","Nov","Dis")&amp;" "&amp;YEAR(T142),IF(J142="E",IF(INDEX(Transaksi!$B$2:$B$2001,K142)="",INDEX(Transaksi!$C$2:$C$2001,K142)&amp;" · "&amp;INDEX(Transaksi!$D$2:$D$2001,K142),INDEX(Transaksi!$B$2:$B$2001,K142)),""))</f>
        <v/>
      </c>
      <c r="C142" s="32">
        <f>IF(J142="E",INDEX(Transaksi!$C$2:$C$2001,K142)&amp;"","")</f>
        <v/>
      </c>
      <c r="D142" s="32">
        <f>IF(J142="E",INDEX(Transaksi!$D$2:$D$2001,K142)&amp;"","")</f>
        <v/>
      </c>
      <c r="E142" s="33">
        <f>IF(J142="H",SUMIFS(Transaksi!$G$2:$G$2001,Transaksi!$M$2:$M$2001,"="&amp;S142)+SUMIFS(Transaksi!$H$2:$H$2001,Transaksi!$M$2:$M$2001,"="&amp;S142)+SUMIFS(Transaksi!$I$2:$I$2001,Transaksi!$M$2:$M$2001,"="&amp;S142),IF(J142="E",IF(INDEX(Transaksi!$G$2:$G$2001,K142)+INDEX(Transaksi!$H$2:$H$2001,K142)+INDEX(Transaksi!$I$2:$I$2001,K142)=0,"",INDEX(Transaksi!$G$2:$G$2001,K142)+INDEX(Transaksi!$H$2:$H$2001,K142)+INDEX(Transaksi!$I$2:$I$2001,K142)),""))</f>
        <v/>
      </c>
      <c r="F142" s="33">
        <f>IF(J142="H",SUMIFS(Transaksi!$J$2:$J$2001,Transaksi!$M$2:$M$2001,"="&amp;S142),IF(J142="E",IF(INDEX(Transaksi!$J$2:$J$2001,K142)=0,"",INDEX(Transaksi!$J$2:$J$2001,K142)),""))</f>
        <v/>
      </c>
      <c r="G142" s="33">
        <f>IF(J142="H",(SUMIFS(Transaksi!$G$2:$G$2001,Transaksi!$M$2:$M$2001,"&lt;="&amp;S142)+SUMIFS(Transaksi!$H$2:$H$2001,Transaksi!$M$2:$M$2001,"&lt;="&amp;S142)+SUMIFS(Transaksi!$I$2:$I$2001,Transaksi!$M$2:$M$2001,"&lt;="&amp;S142))-(SUMIFS(Transaksi!$J$2:$J$2001,Transaksi!$M$2:$M$2001,"&lt;="&amp;S142)),"")</f>
        <v/>
      </c>
      <c r="I142">
        <f>IF(139&gt;$O$2,"",MATCH(139,$Q$3:$Q$402,1))</f>
        <v/>
      </c>
      <c r="J142">
        <f>IF(I142="","",IF(139=INDEX($Q$3:$Q$402,I142),"H","E"))</f>
        <v/>
      </c>
      <c r="K142">
        <f>IF(J142&lt;&gt;"E","",MATCH(S142,Transaksi!$M$2:$M$2001,0)+139-INDEX($Q$3:$Q$402,I142)-1)</f>
        <v/>
      </c>
      <c r="N142" t="n">
        <v>140</v>
      </c>
      <c r="O142">
        <f>IF(N142&lt;=$O$1,$O$1-N142+1,"")</f>
        <v/>
      </c>
      <c r="P142">
        <f>IF(O142="",0,COUNTIF(Transaksi!$M$2:$M$2001,O142)+1)</f>
        <v/>
      </c>
      <c r="Q142">
        <f>1+SUM(P$2:P141)</f>
        <v/>
      </c>
      <c r="S142">
        <f>IF(I142="","",INDEX($O$3:$O$402,I142))</f>
        <v/>
      </c>
      <c r="T142">
        <f>IF(J142&lt;&gt;"H","",INDEX(Transaksi!$A$2:$A$2001,MATCH(S142,Transaksi!$M$2:$M$2001,0)))</f>
        <v/>
      </c>
    </row>
    <row r="143">
      <c r="A143" s="31">
        <f>IF(J143="E",IF(INDEX(Transaksi!$J$2:$J$2001,K143)&gt;0,"↑","↓"),"")</f>
        <v/>
      </c>
      <c r="B143" s="32">
        <f>IF(J143="H",CHOOSE(WEEKDAY(T143,2),"Isnin","Selasa","Rabu","Khamis","Jumaat","Sabtu","Ahad")&amp;", "&amp;DAY(T143)&amp;" "&amp;CHOOSE(MONTH(T143),"Jan","Feb","Mac","Apr","Mei","Jun","Jul","Ogo","Sep","Okt","Nov","Dis")&amp;" "&amp;YEAR(T143),IF(J143="E",IF(INDEX(Transaksi!$B$2:$B$2001,K143)="",INDEX(Transaksi!$C$2:$C$2001,K143)&amp;" · "&amp;INDEX(Transaksi!$D$2:$D$2001,K143),INDEX(Transaksi!$B$2:$B$2001,K143)),""))</f>
        <v/>
      </c>
      <c r="C143" s="32">
        <f>IF(J143="E",INDEX(Transaksi!$C$2:$C$2001,K143)&amp;"","")</f>
        <v/>
      </c>
      <c r="D143" s="32">
        <f>IF(J143="E",INDEX(Transaksi!$D$2:$D$2001,K143)&amp;"","")</f>
        <v/>
      </c>
      <c r="E143" s="33">
        <f>IF(J143="H",SUMIFS(Transaksi!$G$2:$G$2001,Transaksi!$M$2:$M$2001,"="&amp;S143)+SUMIFS(Transaksi!$H$2:$H$2001,Transaksi!$M$2:$M$2001,"="&amp;S143)+SUMIFS(Transaksi!$I$2:$I$2001,Transaksi!$M$2:$M$2001,"="&amp;S143),IF(J143="E",IF(INDEX(Transaksi!$G$2:$G$2001,K143)+INDEX(Transaksi!$H$2:$H$2001,K143)+INDEX(Transaksi!$I$2:$I$2001,K143)=0,"",INDEX(Transaksi!$G$2:$G$2001,K143)+INDEX(Transaksi!$H$2:$H$2001,K143)+INDEX(Transaksi!$I$2:$I$2001,K143)),""))</f>
        <v/>
      </c>
      <c r="F143" s="33">
        <f>IF(J143="H",SUMIFS(Transaksi!$J$2:$J$2001,Transaksi!$M$2:$M$2001,"="&amp;S143),IF(J143="E",IF(INDEX(Transaksi!$J$2:$J$2001,K143)=0,"",INDEX(Transaksi!$J$2:$J$2001,K143)),""))</f>
        <v/>
      </c>
      <c r="G143" s="33">
        <f>IF(J143="H",(SUMIFS(Transaksi!$G$2:$G$2001,Transaksi!$M$2:$M$2001,"&lt;="&amp;S143)+SUMIFS(Transaksi!$H$2:$H$2001,Transaksi!$M$2:$M$2001,"&lt;="&amp;S143)+SUMIFS(Transaksi!$I$2:$I$2001,Transaksi!$M$2:$M$2001,"&lt;="&amp;S143))-(SUMIFS(Transaksi!$J$2:$J$2001,Transaksi!$M$2:$M$2001,"&lt;="&amp;S143)),"")</f>
        <v/>
      </c>
      <c r="I143">
        <f>IF(140&gt;$O$2,"",MATCH(140,$Q$3:$Q$402,1))</f>
        <v/>
      </c>
      <c r="J143">
        <f>IF(I143="","",IF(140=INDEX($Q$3:$Q$402,I143),"H","E"))</f>
        <v/>
      </c>
      <c r="K143">
        <f>IF(J143&lt;&gt;"E","",MATCH(S143,Transaksi!$M$2:$M$2001,0)+140-INDEX($Q$3:$Q$402,I143)-1)</f>
        <v/>
      </c>
      <c r="N143" t="n">
        <v>141</v>
      </c>
      <c r="O143">
        <f>IF(N143&lt;=$O$1,$O$1-N143+1,"")</f>
        <v/>
      </c>
      <c r="P143">
        <f>IF(O143="",0,COUNTIF(Transaksi!$M$2:$M$2001,O143)+1)</f>
        <v/>
      </c>
      <c r="Q143">
        <f>1+SUM(P$2:P142)</f>
        <v/>
      </c>
      <c r="S143">
        <f>IF(I143="","",INDEX($O$3:$O$402,I143))</f>
        <v/>
      </c>
      <c r="T143">
        <f>IF(J143&lt;&gt;"H","",INDEX(Transaksi!$A$2:$A$2001,MATCH(S143,Transaksi!$M$2:$M$2001,0)))</f>
        <v/>
      </c>
    </row>
    <row r="144">
      <c r="A144" s="31">
        <f>IF(J144="E",IF(INDEX(Transaksi!$J$2:$J$2001,K144)&gt;0,"↑","↓"),"")</f>
        <v/>
      </c>
      <c r="B144" s="32">
        <f>IF(J144="H",CHOOSE(WEEKDAY(T144,2),"Isnin","Selasa","Rabu","Khamis","Jumaat","Sabtu","Ahad")&amp;", "&amp;DAY(T144)&amp;" "&amp;CHOOSE(MONTH(T144),"Jan","Feb","Mac","Apr","Mei","Jun","Jul","Ogo","Sep","Okt","Nov","Dis")&amp;" "&amp;YEAR(T144),IF(J144="E",IF(INDEX(Transaksi!$B$2:$B$2001,K144)="",INDEX(Transaksi!$C$2:$C$2001,K144)&amp;" · "&amp;INDEX(Transaksi!$D$2:$D$2001,K144),INDEX(Transaksi!$B$2:$B$2001,K144)),""))</f>
        <v/>
      </c>
      <c r="C144" s="32">
        <f>IF(J144="E",INDEX(Transaksi!$C$2:$C$2001,K144)&amp;"","")</f>
        <v/>
      </c>
      <c r="D144" s="32">
        <f>IF(J144="E",INDEX(Transaksi!$D$2:$D$2001,K144)&amp;"","")</f>
        <v/>
      </c>
      <c r="E144" s="33">
        <f>IF(J144="H",SUMIFS(Transaksi!$G$2:$G$2001,Transaksi!$M$2:$M$2001,"="&amp;S144)+SUMIFS(Transaksi!$H$2:$H$2001,Transaksi!$M$2:$M$2001,"="&amp;S144)+SUMIFS(Transaksi!$I$2:$I$2001,Transaksi!$M$2:$M$2001,"="&amp;S144),IF(J144="E",IF(INDEX(Transaksi!$G$2:$G$2001,K144)+INDEX(Transaksi!$H$2:$H$2001,K144)+INDEX(Transaksi!$I$2:$I$2001,K144)=0,"",INDEX(Transaksi!$G$2:$G$2001,K144)+INDEX(Transaksi!$H$2:$H$2001,K144)+INDEX(Transaksi!$I$2:$I$2001,K144)),""))</f>
        <v/>
      </c>
      <c r="F144" s="33">
        <f>IF(J144="H",SUMIFS(Transaksi!$J$2:$J$2001,Transaksi!$M$2:$M$2001,"="&amp;S144),IF(J144="E",IF(INDEX(Transaksi!$J$2:$J$2001,K144)=0,"",INDEX(Transaksi!$J$2:$J$2001,K144)),""))</f>
        <v/>
      </c>
      <c r="G144" s="33">
        <f>IF(J144="H",(SUMIFS(Transaksi!$G$2:$G$2001,Transaksi!$M$2:$M$2001,"&lt;="&amp;S144)+SUMIFS(Transaksi!$H$2:$H$2001,Transaksi!$M$2:$M$2001,"&lt;="&amp;S144)+SUMIFS(Transaksi!$I$2:$I$2001,Transaksi!$M$2:$M$2001,"&lt;="&amp;S144))-(SUMIFS(Transaksi!$J$2:$J$2001,Transaksi!$M$2:$M$2001,"&lt;="&amp;S144)),"")</f>
        <v/>
      </c>
      <c r="I144">
        <f>IF(141&gt;$O$2,"",MATCH(141,$Q$3:$Q$402,1))</f>
        <v/>
      </c>
      <c r="J144">
        <f>IF(I144="","",IF(141=INDEX($Q$3:$Q$402,I144),"H","E"))</f>
        <v/>
      </c>
      <c r="K144">
        <f>IF(J144&lt;&gt;"E","",MATCH(S144,Transaksi!$M$2:$M$2001,0)+141-INDEX($Q$3:$Q$402,I144)-1)</f>
        <v/>
      </c>
      <c r="N144" t="n">
        <v>142</v>
      </c>
      <c r="O144">
        <f>IF(N144&lt;=$O$1,$O$1-N144+1,"")</f>
        <v/>
      </c>
      <c r="P144">
        <f>IF(O144="",0,COUNTIF(Transaksi!$M$2:$M$2001,O144)+1)</f>
        <v/>
      </c>
      <c r="Q144">
        <f>1+SUM(P$2:P143)</f>
        <v/>
      </c>
      <c r="S144">
        <f>IF(I144="","",INDEX($O$3:$O$402,I144))</f>
        <v/>
      </c>
      <c r="T144">
        <f>IF(J144&lt;&gt;"H","",INDEX(Transaksi!$A$2:$A$2001,MATCH(S144,Transaksi!$M$2:$M$2001,0)))</f>
        <v/>
      </c>
    </row>
    <row r="145">
      <c r="A145" s="31">
        <f>IF(J145="E",IF(INDEX(Transaksi!$J$2:$J$2001,K145)&gt;0,"↑","↓"),"")</f>
        <v/>
      </c>
      <c r="B145" s="32">
        <f>IF(J145="H",CHOOSE(WEEKDAY(T145,2),"Isnin","Selasa","Rabu","Khamis","Jumaat","Sabtu","Ahad")&amp;", "&amp;DAY(T145)&amp;" "&amp;CHOOSE(MONTH(T145),"Jan","Feb","Mac","Apr","Mei","Jun","Jul","Ogo","Sep","Okt","Nov","Dis")&amp;" "&amp;YEAR(T145),IF(J145="E",IF(INDEX(Transaksi!$B$2:$B$2001,K145)="",INDEX(Transaksi!$C$2:$C$2001,K145)&amp;" · "&amp;INDEX(Transaksi!$D$2:$D$2001,K145),INDEX(Transaksi!$B$2:$B$2001,K145)),""))</f>
        <v/>
      </c>
      <c r="C145" s="32">
        <f>IF(J145="E",INDEX(Transaksi!$C$2:$C$2001,K145)&amp;"","")</f>
        <v/>
      </c>
      <c r="D145" s="32">
        <f>IF(J145="E",INDEX(Transaksi!$D$2:$D$2001,K145)&amp;"","")</f>
        <v/>
      </c>
      <c r="E145" s="33">
        <f>IF(J145="H",SUMIFS(Transaksi!$G$2:$G$2001,Transaksi!$M$2:$M$2001,"="&amp;S145)+SUMIFS(Transaksi!$H$2:$H$2001,Transaksi!$M$2:$M$2001,"="&amp;S145)+SUMIFS(Transaksi!$I$2:$I$2001,Transaksi!$M$2:$M$2001,"="&amp;S145),IF(J145="E",IF(INDEX(Transaksi!$G$2:$G$2001,K145)+INDEX(Transaksi!$H$2:$H$2001,K145)+INDEX(Transaksi!$I$2:$I$2001,K145)=0,"",INDEX(Transaksi!$G$2:$G$2001,K145)+INDEX(Transaksi!$H$2:$H$2001,K145)+INDEX(Transaksi!$I$2:$I$2001,K145)),""))</f>
        <v/>
      </c>
      <c r="F145" s="33">
        <f>IF(J145="H",SUMIFS(Transaksi!$J$2:$J$2001,Transaksi!$M$2:$M$2001,"="&amp;S145),IF(J145="E",IF(INDEX(Transaksi!$J$2:$J$2001,K145)=0,"",INDEX(Transaksi!$J$2:$J$2001,K145)),""))</f>
        <v/>
      </c>
      <c r="G145" s="33">
        <f>IF(J145="H",(SUMIFS(Transaksi!$G$2:$G$2001,Transaksi!$M$2:$M$2001,"&lt;="&amp;S145)+SUMIFS(Transaksi!$H$2:$H$2001,Transaksi!$M$2:$M$2001,"&lt;="&amp;S145)+SUMIFS(Transaksi!$I$2:$I$2001,Transaksi!$M$2:$M$2001,"&lt;="&amp;S145))-(SUMIFS(Transaksi!$J$2:$J$2001,Transaksi!$M$2:$M$2001,"&lt;="&amp;S145)),"")</f>
        <v/>
      </c>
      <c r="I145">
        <f>IF(142&gt;$O$2,"",MATCH(142,$Q$3:$Q$402,1))</f>
        <v/>
      </c>
      <c r="J145">
        <f>IF(I145="","",IF(142=INDEX($Q$3:$Q$402,I145),"H","E"))</f>
        <v/>
      </c>
      <c r="K145">
        <f>IF(J145&lt;&gt;"E","",MATCH(S145,Transaksi!$M$2:$M$2001,0)+142-INDEX($Q$3:$Q$402,I145)-1)</f>
        <v/>
      </c>
      <c r="N145" t="n">
        <v>143</v>
      </c>
      <c r="O145">
        <f>IF(N145&lt;=$O$1,$O$1-N145+1,"")</f>
        <v/>
      </c>
      <c r="P145">
        <f>IF(O145="",0,COUNTIF(Transaksi!$M$2:$M$2001,O145)+1)</f>
        <v/>
      </c>
      <c r="Q145">
        <f>1+SUM(P$2:P144)</f>
        <v/>
      </c>
      <c r="S145">
        <f>IF(I145="","",INDEX($O$3:$O$402,I145))</f>
        <v/>
      </c>
      <c r="T145">
        <f>IF(J145&lt;&gt;"H","",INDEX(Transaksi!$A$2:$A$2001,MATCH(S145,Transaksi!$M$2:$M$2001,0)))</f>
        <v/>
      </c>
    </row>
    <row r="146">
      <c r="A146" s="31">
        <f>IF(J146="E",IF(INDEX(Transaksi!$J$2:$J$2001,K146)&gt;0,"↑","↓"),"")</f>
        <v/>
      </c>
      <c r="B146" s="32">
        <f>IF(J146="H",CHOOSE(WEEKDAY(T146,2),"Isnin","Selasa","Rabu","Khamis","Jumaat","Sabtu","Ahad")&amp;", "&amp;DAY(T146)&amp;" "&amp;CHOOSE(MONTH(T146),"Jan","Feb","Mac","Apr","Mei","Jun","Jul","Ogo","Sep","Okt","Nov","Dis")&amp;" "&amp;YEAR(T146),IF(J146="E",IF(INDEX(Transaksi!$B$2:$B$2001,K146)="",INDEX(Transaksi!$C$2:$C$2001,K146)&amp;" · "&amp;INDEX(Transaksi!$D$2:$D$2001,K146),INDEX(Transaksi!$B$2:$B$2001,K146)),""))</f>
        <v/>
      </c>
      <c r="C146" s="32">
        <f>IF(J146="E",INDEX(Transaksi!$C$2:$C$2001,K146)&amp;"","")</f>
        <v/>
      </c>
      <c r="D146" s="32">
        <f>IF(J146="E",INDEX(Transaksi!$D$2:$D$2001,K146)&amp;"","")</f>
        <v/>
      </c>
      <c r="E146" s="33">
        <f>IF(J146="H",SUMIFS(Transaksi!$G$2:$G$2001,Transaksi!$M$2:$M$2001,"="&amp;S146)+SUMIFS(Transaksi!$H$2:$H$2001,Transaksi!$M$2:$M$2001,"="&amp;S146)+SUMIFS(Transaksi!$I$2:$I$2001,Transaksi!$M$2:$M$2001,"="&amp;S146),IF(J146="E",IF(INDEX(Transaksi!$G$2:$G$2001,K146)+INDEX(Transaksi!$H$2:$H$2001,K146)+INDEX(Transaksi!$I$2:$I$2001,K146)=0,"",INDEX(Transaksi!$G$2:$G$2001,K146)+INDEX(Transaksi!$H$2:$H$2001,K146)+INDEX(Transaksi!$I$2:$I$2001,K146)),""))</f>
        <v/>
      </c>
      <c r="F146" s="33">
        <f>IF(J146="H",SUMIFS(Transaksi!$J$2:$J$2001,Transaksi!$M$2:$M$2001,"="&amp;S146),IF(J146="E",IF(INDEX(Transaksi!$J$2:$J$2001,K146)=0,"",INDEX(Transaksi!$J$2:$J$2001,K146)),""))</f>
        <v/>
      </c>
      <c r="G146" s="33">
        <f>IF(J146="H",(SUMIFS(Transaksi!$G$2:$G$2001,Transaksi!$M$2:$M$2001,"&lt;="&amp;S146)+SUMIFS(Transaksi!$H$2:$H$2001,Transaksi!$M$2:$M$2001,"&lt;="&amp;S146)+SUMIFS(Transaksi!$I$2:$I$2001,Transaksi!$M$2:$M$2001,"&lt;="&amp;S146))-(SUMIFS(Transaksi!$J$2:$J$2001,Transaksi!$M$2:$M$2001,"&lt;="&amp;S146)),"")</f>
        <v/>
      </c>
      <c r="I146">
        <f>IF(143&gt;$O$2,"",MATCH(143,$Q$3:$Q$402,1))</f>
        <v/>
      </c>
      <c r="J146">
        <f>IF(I146="","",IF(143=INDEX($Q$3:$Q$402,I146),"H","E"))</f>
        <v/>
      </c>
      <c r="K146">
        <f>IF(J146&lt;&gt;"E","",MATCH(S146,Transaksi!$M$2:$M$2001,0)+143-INDEX($Q$3:$Q$402,I146)-1)</f>
        <v/>
      </c>
      <c r="N146" t="n">
        <v>144</v>
      </c>
      <c r="O146">
        <f>IF(N146&lt;=$O$1,$O$1-N146+1,"")</f>
        <v/>
      </c>
      <c r="P146">
        <f>IF(O146="",0,COUNTIF(Transaksi!$M$2:$M$2001,O146)+1)</f>
        <v/>
      </c>
      <c r="Q146">
        <f>1+SUM(P$2:P145)</f>
        <v/>
      </c>
      <c r="S146">
        <f>IF(I146="","",INDEX($O$3:$O$402,I146))</f>
        <v/>
      </c>
      <c r="T146">
        <f>IF(J146&lt;&gt;"H","",INDEX(Transaksi!$A$2:$A$2001,MATCH(S146,Transaksi!$M$2:$M$2001,0)))</f>
        <v/>
      </c>
    </row>
    <row r="147">
      <c r="A147" s="31">
        <f>IF(J147="E",IF(INDEX(Transaksi!$J$2:$J$2001,K147)&gt;0,"↑","↓"),"")</f>
        <v/>
      </c>
      <c r="B147" s="32">
        <f>IF(J147="H",CHOOSE(WEEKDAY(T147,2),"Isnin","Selasa","Rabu","Khamis","Jumaat","Sabtu","Ahad")&amp;", "&amp;DAY(T147)&amp;" "&amp;CHOOSE(MONTH(T147),"Jan","Feb","Mac","Apr","Mei","Jun","Jul","Ogo","Sep","Okt","Nov","Dis")&amp;" "&amp;YEAR(T147),IF(J147="E",IF(INDEX(Transaksi!$B$2:$B$2001,K147)="",INDEX(Transaksi!$C$2:$C$2001,K147)&amp;" · "&amp;INDEX(Transaksi!$D$2:$D$2001,K147),INDEX(Transaksi!$B$2:$B$2001,K147)),""))</f>
        <v/>
      </c>
      <c r="C147" s="32">
        <f>IF(J147="E",INDEX(Transaksi!$C$2:$C$2001,K147)&amp;"","")</f>
        <v/>
      </c>
      <c r="D147" s="32">
        <f>IF(J147="E",INDEX(Transaksi!$D$2:$D$2001,K147)&amp;"","")</f>
        <v/>
      </c>
      <c r="E147" s="33">
        <f>IF(J147="H",SUMIFS(Transaksi!$G$2:$G$2001,Transaksi!$M$2:$M$2001,"="&amp;S147)+SUMIFS(Transaksi!$H$2:$H$2001,Transaksi!$M$2:$M$2001,"="&amp;S147)+SUMIFS(Transaksi!$I$2:$I$2001,Transaksi!$M$2:$M$2001,"="&amp;S147),IF(J147="E",IF(INDEX(Transaksi!$G$2:$G$2001,K147)+INDEX(Transaksi!$H$2:$H$2001,K147)+INDEX(Transaksi!$I$2:$I$2001,K147)=0,"",INDEX(Transaksi!$G$2:$G$2001,K147)+INDEX(Transaksi!$H$2:$H$2001,K147)+INDEX(Transaksi!$I$2:$I$2001,K147)),""))</f>
        <v/>
      </c>
      <c r="F147" s="33">
        <f>IF(J147="H",SUMIFS(Transaksi!$J$2:$J$2001,Transaksi!$M$2:$M$2001,"="&amp;S147),IF(J147="E",IF(INDEX(Transaksi!$J$2:$J$2001,K147)=0,"",INDEX(Transaksi!$J$2:$J$2001,K147)),""))</f>
        <v/>
      </c>
      <c r="G147" s="33">
        <f>IF(J147="H",(SUMIFS(Transaksi!$G$2:$G$2001,Transaksi!$M$2:$M$2001,"&lt;="&amp;S147)+SUMIFS(Transaksi!$H$2:$H$2001,Transaksi!$M$2:$M$2001,"&lt;="&amp;S147)+SUMIFS(Transaksi!$I$2:$I$2001,Transaksi!$M$2:$M$2001,"&lt;="&amp;S147))-(SUMIFS(Transaksi!$J$2:$J$2001,Transaksi!$M$2:$M$2001,"&lt;="&amp;S147)),"")</f>
        <v/>
      </c>
      <c r="I147">
        <f>IF(144&gt;$O$2,"",MATCH(144,$Q$3:$Q$402,1))</f>
        <v/>
      </c>
      <c r="J147">
        <f>IF(I147="","",IF(144=INDEX($Q$3:$Q$402,I147),"H","E"))</f>
        <v/>
      </c>
      <c r="K147">
        <f>IF(J147&lt;&gt;"E","",MATCH(S147,Transaksi!$M$2:$M$2001,0)+144-INDEX($Q$3:$Q$402,I147)-1)</f>
        <v/>
      </c>
      <c r="N147" t="n">
        <v>145</v>
      </c>
      <c r="O147">
        <f>IF(N147&lt;=$O$1,$O$1-N147+1,"")</f>
        <v/>
      </c>
      <c r="P147">
        <f>IF(O147="",0,COUNTIF(Transaksi!$M$2:$M$2001,O147)+1)</f>
        <v/>
      </c>
      <c r="Q147">
        <f>1+SUM(P$2:P146)</f>
        <v/>
      </c>
      <c r="S147">
        <f>IF(I147="","",INDEX($O$3:$O$402,I147))</f>
        <v/>
      </c>
      <c r="T147">
        <f>IF(J147&lt;&gt;"H","",INDEX(Transaksi!$A$2:$A$2001,MATCH(S147,Transaksi!$M$2:$M$2001,0)))</f>
        <v/>
      </c>
    </row>
    <row r="148">
      <c r="A148" s="31">
        <f>IF(J148="E",IF(INDEX(Transaksi!$J$2:$J$2001,K148)&gt;0,"↑","↓"),"")</f>
        <v/>
      </c>
      <c r="B148" s="32">
        <f>IF(J148="H",CHOOSE(WEEKDAY(T148,2),"Isnin","Selasa","Rabu","Khamis","Jumaat","Sabtu","Ahad")&amp;", "&amp;DAY(T148)&amp;" "&amp;CHOOSE(MONTH(T148),"Jan","Feb","Mac","Apr","Mei","Jun","Jul","Ogo","Sep","Okt","Nov","Dis")&amp;" "&amp;YEAR(T148),IF(J148="E",IF(INDEX(Transaksi!$B$2:$B$2001,K148)="",INDEX(Transaksi!$C$2:$C$2001,K148)&amp;" · "&amp;INDEX(Transaksi!$D$2:$D$2001,K148),INDEX(Transaksi!$B$2:$B$2001,K148)),""))</f>
        <v/>
      </c>
      <c r="C148" s="32">
        <f>IF(J148="E",INDEX(Transaksi!$C$2:$C$2001,K148)&amp;"","")</f>
        <v/>
      </c>
      <c r="D148" s="32">
        <f>IF(J148="E",INDEX(Transaksi!$D$2:$D$2001,K148)&amp;"","")</f>
        <v/>
      </c>
      <c r="E148" s="33">
        <f>IF(J148="H",SUMIFS(Transaksi!$G$2:$G$2001,Transaksi!$M$2:$M$2001,"="&amp;S148)+SUMIFS(Transaksi!$H$2:$H$2001,Transaksi!$M$2:$M$2001,"="&amp;S148)+SUMIFS(Transaksi!$I$2:$I$2001,Transaksi!$M$2:$M$2001,"="&amp;S148),IF(J148="E",IF(INDEX(Transaksi!$G$2:$G$2001,K148)+INDEX(Transaksi!$H$2:$H$2001,K148)+INDEX(Transaksi!$I$2:$I$2001,K148)=0,"",INDEX(Transaksi!$G$2:$G$2001,K148)+INDEX(Transaksi!$H$2:$H$2001,K148)+INDEX(Transaksi!$I$2:$I$2001,K148)),""))</f>
        <v/>
      </c>
      <c r="F148" s="33">
        <f>IF(J148="H",SUMIFS(Transaksi!$J$2:$J$2001,Transaksi!$M$2:$M$2001,"="&amp;S148),IF(J148="E",IF(INDEX(Transaksi!$J$2:$J$2001,K148)=0,"",INDEX(Transaksi!$J$2:$J$2001,K148)),""))</f>
        <v/>
      </c>
      <c r="G148" s="33">
        <f>IF(J148="H",(SUMIFS(Transaksi!$G$2:$G$2001,Transaksi!$M$2:$M$2001,"&lt;="&amp;S148)+SUMIFS(Transaksi!$H$2:$H$2001,Transaksi!$M$2:$M$2001,"&lt;="&amp;S148)+SUMIFS(Transaksi!$I$2:$I$2001,Transaksi!$M$2:$M$2001,"&lt;="&amp;S148))-(SUMIFS(Transaksi!$J$2:$J$2001,Transaksi!$M$2:$M$2001,"&lt;="&amp;S148)),"")</f>
        <v/>
      </c>
      <c r="I148">
        <f>IF(145&gt;$O$2,"",MATCH(145,$Q$3:$Q$402,1))</f>
        <v/>
      </c>
      <c r="J148">
        <f>IF(I148="","",IF(145=INDEX($Q$3:$Q$402,I148),"H","E"))</f>
        <v/>
      </c>
      <c r="K148">
        <f>IF(J148&lt;&gt;"E","",MATCH(S148,Transaksi!$M$2:$M$2001,0)+145-INDEX($Q$3:$Q$402,I148)-1)</f>
        <v/>
      </c>
      <c r="N148" t="n">
        <v>146</v>
      </c>
      <c r="O148">
        <f>IF(N148&lt;=$O$1,$O$1-N148+1,"")</f>
        <v/>
      </c>
      <c r="P148">
        <f>IF(O148="",0,COUNTIF(Transaksi!$M$2:$M$2001,O148)+1)</f>
        <v/>
      </c>
      <c r="Q148">
        <f>1+SUM(P$2:P147)</f>
        <v/>
      </c>
      <c r="S148">
        <f>IF(I148="","",INDEX($O$3:$O$402,I148))</f>
        <v/>
      </c>
      <c r="T148">
        <f>IF(J148&lt;&gt;"H","",INDEX(Transaksi!$A$2:$A$2001,MATCH(S148,Transaksi!$M$2:$M$2001,0)))</f>
        <v/>
      </c>
    </row>
    <row r="149">
      <c r="A149" s="31">
        <f>IF(J149="E",IF(INDEX(Transaksi!$J$2:$J$2001,K149)&gt;0,"↑","↓"),"")</f>
        <v/>
      </c>
      <c r="B149" s="32">
        <f>IF(J149="H",CHOOSE(WEEKDAY(T149,2),"Isnin","Selasa","Rabu","Khamis","Jumaat","Sabtu","Ahad")&amp;", "&amp;DAY(T149)&amp;" "&amp;CHOOSE(MONTH(T149),"Jan","Feb","Mac","Apr","Mei","Jun","Jul","Ogo","Sep","Okt","Nov","Dis")&amp;" "&amp;YEAR(T149),IF(J149="E",IF(INDEX(Transaksi!$B$2:$B$2001,K149)="",INDEX(Transaksi!$C$2:$C$2001,K149)&amp;" · "&amp;INDEX(Transaksi!$D$2:$D$2001,K149),INDEX(Transaksi!$B$2:$B$2001,K149)),""))</f>
        <v/>
      </c>
      <c r="C149" s="32">
        <f>IF(J149="E",INDEX(Transaksi!$C$2:$C$2001,K149)&amp;"","")</f>
        <v/>
      </c>
      <c r="D149" s="32">
        <f>IF(J149="E",INDEX(Transaksi!$D$2:$D$2001,K149)&amp;"","")</f>
        <v/>
      </c>
      <c r="E149" s="33">
        <f>IF(J149="H",SUMIFS(Transaksi!$G$2:$G$2001,Transaksi!$M$2:$M$2001,"="&amp;S149)+SUMIFS(Transaksi!$H$2:$H$2001,Transaksi!$M$2:$M$2001,"="&amp;S149)+SUMIFS(Transaksi!$I$2:$I$2001,Transaksi!$M$2:$M$2001,"="&amp;S149),IF(J149="E",IF(INDEX(Transaksi!$G$2:$G$2001,K149)+INDEX(Transaksi!$H$2:$H$2001,K149)+INDEX(Transaksi!$I$2:$I$2001,K149)=0,"",INDEX(Transaksi!$G$2:$G$2001,K149)+INDEX(Transaksi!$H$2:$H$2001,K149)+INDEX(Transaksi!$I$2:$I$2001,K149)),""))</f>
        <v/>
      </c>
      <c r="F149" s="33">
        <f>IF(J149="H",SUMIFS(Transaksi!$J$2:$J$2001,Transaksi!$M$2:$M$2001,"="&amp;S149),IF(J149="E",IF(INDEX(Transaksi!$J$2:$J$2001,K149)=0,"",INDEX(Transaksi!$J$2:$J$2001,K149)),""))</f>
        <v/>
      </c>
      <c r="G149" s="33">
        <f>IF(J149="H",(SUMIFS(Transaksi!$G$2:$G$2001,Transaksi!$M$2:$M$2001,"&lt;="&amp;S149)+SUMIFS(Transaksi!$H$2:$H$2001,Transaksi!$M$2:$M$2001,"&lt;="&amp;S149)+SUMIFS(Transaksi!$I$2:$I$2001,Transaksi!$M$2:$M$2001,"&lt;="&amp;S149))-(SUMIFS(Transaksi!$J$2:$J$2001,Transaksi!$M$2:$M$2001,"&lt;="&amp;S149)),"")</f>
        <v/>
      </c>
      <c r="I149">
        <f>IF(146&gt;$O$2,"",MATCH(146,$Q$3:$Q$402,1))</f>
        <v/>
      </c>
      <c r="J149">
        <f>IF(I149="","",IF(146=INDEX($Q$3:$Q$402,I149),"H","E"))</f>
        <v/>
      </c>
      <c r="K149">
        <f>IF(J149&lt;&gt;"E","",MATCH(S149,Transaksi!$M$2:$M$2001,0)+146-INDEX($Q$3:$Q$402,I149)-1)</f>
        <v/>
      </c>
      <c r="N149" t="n">
        <v>147</v>
      </c>
      <c r="O149">
        <f>IF(N149&lt;=$O$1,$O$1-N149+1,"")</f>
        <v/>
      </c>
      <c r="P149">
        <f>IF(O149="",0,COUNTIF(Transaksi!$M$2:$M$2001,O149)+1)</f>
        <v/>
      </c>
      <c r="Q149">
        <f>1+SUM(P$2:P148)</f>
        <v/>
      </c>
      <c r="S149">
        <f>IF(I149="","",INDEX($O$3:$O$402,I149))</f>
        <v/>
      </c>
      <c r="T149">
        <f>IF(J149&lt;&gt;"H","",INDEX(Transaksi!$A$2:$A$2001,MATCH(S149,Transaksi!$M$2:$M$2001,0)))</f>
        <v/>
      </c>
    </row>
    <row r="150">
      <c r="A150" s="31">
        <f>IF(J150="E",IF(INDEX(Transaksi!$J$2:$J$2001,K150)&gt;0,"↑","↓"),"")</f>
        <v/>
      </c>
      <c r="B150" s="32">
        <f>IF(J150="H",CHOOSE(WEEKDAY(T150,2),"Isnin","Selasa","Rabu","Khamis","Jumaat","Sabtu","Ahad")&amp;", "&amp;DAY(T150)&amp;" "&amp;CHOOSE(MONTH(T150),"Jan","Feb","Mac","Apr","Mei","Jun","Jul","Ogo","Sep","Okt","Nov","Dis")&amp;" "&amp;YEAR(T150),IF(J150="E",IF(INDEX(Transaksi!$B$2:$B$2001,K150)="",INDEX(Transaksi!$C$2:$C$2001,K150)&amp;" · "&amp;INDEX(Transaksi!$D$2:$D$2001,K150),INDEX(Transaksi!$B$2:$B$2001,K150)),""))</f>
        <v/>
      </c>
      <c r="C150" s="32">
        <f>IF(J150="E",INDEX(Transaksi!$C$2:$C$2001,K150)&amp;"","")</f>
        <v/>
      </c>
      <c r="D150" s="32">
        <f>IF(J150="E",INDEX(Transaksi!$D$2:$D$2001,K150)&amp;"","")</f>
        <v/>
      </c>
      <c r="E150" s="33">
        <f>IF(J150="H",SUMIFS(Transaksi!$G$2:$G$2001,Transaksi!$M$2:$M$2001,"="&amp;S150)+SUMIFS(Transaksi!$H$2:$H$2001,Transaksi!$M$2:$M$2001,"="&amp;S150)+SUMIFS(Transaksi!$I$2:$I$2001,Transaksi!$M$2:$M$2001,"="&amp;S150),IF(J150="E",IF(INDEX(Transaksi!$G$2:$G$2001,K150)+INDEX(Transaksi!$H$2:$H$2001,K150)+INDEX(Transaksi!$I$2:$I$2001,K150)=0,"",INDEX(Transaksi!$G$2:$G$2001,K150)+INDEX(Transaksi!$H$2:$H$2001,K150)+INDEX(Transaksi!$I$2:$I$2001,K150)),""))</f>
        <v/>
      </c>
      <c r="F150" s="33">
        <f>IF(J150="H",SUMIFS(Transaksi!$J$2:$J$2001,Transaksi!$M$2:$M$2001,"="&amp;S150),IF(J150="E",IF(INDEX(Transaksi!$J$2:$J$2001,K150)=0,"",INDEX(Transaksi!$J$2:$J$2001,K150)),""))</f>
        <v/>
      </c>
      <c r="G150" s="33">
        <f>IF(J150="H",(SUMIFS(Transaksi!$G$2:$G$2001,Transaksi!$M$2:$M$2001,"&lt;="&amp;S150)+SUMIFS(Transaksi!$H$2:$H$2001,Transaksi!$M$2:$M$2001,"&lt;="&amp;S150)+SUMIFS(Transaksi!$I$2:$I$2001,Transaksi!$M$2:$M$2001,"&lt;="&amp;S150))-(SUMIFS(Transaksi!$J$2:$J$2001,Transaksi!$M$2:$M$2001,"&lt;="&amp;S150)),"")</f>
        <v/>
      </c>
      <c r="I150">
        <f>IF(147&gt;$O$2,"",MATCH(147,$Q$3:$Q$402,1))</f>
        <v/>
      </c>
      <c r="J150">
        <f>IF(I150="","",IF(147=INDEX($Q$3:$Q$402,I150),"H","E"))</f>
        <v/>
      </c>
      <c r="K150">
        <f>IF(J150&lt;&gt;"E","",MATCH(S150,Transaksi!$M$2:$M$2001,0)+147-INDEX($Q$3:$Q$402,I150)-1)</f>
        <v/>
      </c>
      <c r="N150" t="n">
        <v>148</v>
      </c>
      <c r="O150">
        <f>IF(N150&lt;=$O$1,$O$1-N150+1,"")</f>
        <v/>
      </c>
      <c r="P150">
        <f>IF(O150="",0,COUNTIF(Transaksi!$M$2:$M$2001,O150)+1)</f>
        <v/>
      </c>
      <c r="Q150">
        <f>1+SUM(P$2:P149)</f>
        <v/>
      </c>
      <c r="S150">
        <f>IF(I150="","",INDEX($O$3:$O$402,I150))</f>
        <v/>
      </c>
      <c r="T150">
        <f>IF(J150&lt;&gt;"H","",INDEX(Transaksi!$A$2:$A$2001,MATCH(S150,Transaksi!$M$2:$M$2001,0)))</f>
        <v/>
      </c>
    </row>
    <row r="151">
      <c r="A151" s="31">
        <f>IF(J151="E",IF(INDEX(Transaksi!$J$2:$J$2001,K151)&gt;0,"↑","↓"),"")</f>
        <v/>
      </c>
      <c r="B151" s="32">
        <f>IF(J151="H",CHOOSE(WEEKDAY(T151,2),"Isnin","Selasa","Rabu","Khamis","Jumaat","Sabtu","Ahad")&amp;", "&amp;DAY(T151)&amp;" "&amp;CHOOSE(MONTH(T151),"Jan","Feb","Mac","Apr","Mei","Jun","Jul","Ogo","Sep","Okt","Nov","Dis")&amp;" "&amp;YEAR(T151),IF(J151="E",IF(INDEX(Transaksi!$B$2:$B$2001,K151)="",INDEX(Transaksi!$C$2:$C$2001,K151)&amp;" · "&amp;INDEX(Transaksi!$D$2:$D$2001,K151),INDEX(Transaksi!$B$2:$B$2001,K151)),""))</f>
        <v/>
      </c>
      <c r="C151" s="32">
        <f>IF(J151="E",INDEX(Transaksi!$C$2:$C$2001,K151)&amp;"","")</f>
        <v/>
      </c>
      <c r="D151" s="32">
        <f>IF(J151="E",INDEX(Transaksi!$D$2:$D$2001,K151)&amp;"","")</f>
        <v/>
      </c>
      <c r="E151" s="33">
        <f>IF(J151="H",SUMIFS(Transaksi!$G$2:$G$2001,Transaksi!$M$2:$M$2001,"="&amp;S151)+SUMIFS(Transaksi!$H$2:$H$2001,Transaksi!$M$2:$M$2001,"="&amp;S151)+SUMIFS(Transaksi!$I$2:$I$2001,Transaksi!$M$2:$M$2001,"="&amp;S151),IF(J151="E",IF(INDEX(Transaksi!$G$2:$G$2001,K151)+INDEX(Transaksi!$H$2:$H$2001,K151)+INDEX(Transaksi!$I$2:$I$2001,K151)=0,"",INDEX(Transaksi!$G$2:$G$2001,K151)+INDEX(Transaksi!$H$2:$H$2001,K151)+INDEX(Transaksi!$I$2:$I$2001,K151)),""))</f>
        <v/>
      </c>
      <c r="F151" s="33">
        <f>IF(J151="H",SUMIFS(Transaksi!$J$2:$J$2001,Transaksi!$M$2:$M$2001,"="&amp;S151),IF(J151="E",IF(INDEX(Transaksi!$J$2:$J$2001,K151)=0,"",INDEX(Transaksi!$J$2:$J$2001,K151)),""))</f>
        <v/>
      </c>
      <c r="G151" s="33">
        <f>IF(J151="H",(SUMIFS(Transaksi!$G$2:$G$2001,Transaksi!$M$2:$M$2001,"&lt;="&amp;S151)+SUMIFS(Transaksi!$H$2:$H$2001,Transaksi!$M$2:$M$2001,"&lt;="&amp;S151)+SUMIFS(Transaksi!$I$2:$I$2001,Transaksi!$M$2:$M$2001,"&lt;="&amp;S151))-(SUMIFS(Transaksi!$J$2:$J$2001,Transaksi!$M$2:$M$2001,"&lt;="&amp;S151)),"")</f>
        <v/>
      </c>
      <c r="I151">
        <f>IF(148&gt;$O$2,"",MATCH(148,$Q$3:$Q$402,1))</f>
        <v/>
      </c>
      <c r="J151">
        <f>IF(I151="","",IF(148=INDEX($Q$3:$Q$402,I151),"H","E"))</f>
        <v/>
      </c>
      <c r="K151">
        <f>IF(J151&lt;&gt;"E","",MATCH(S151,Transaksi!$M$2:$M$2001,0)+148-INDEX($Q$3:$Q$402,I151)-1)</f>
        <v/>
      </c>
      <c r="N151" t="n">
        <v>149</v>
      </c>
      <c r="O151">
        <f>IF(N151&lt;=$O$1,$O$1-N151+1,"")</f>
        <v/>
      </c>
      <c r="P151">
        <f>IF(O151="",0,COUNTIF(Transaksi!$M$2:$M$2001,O151)+1)</f>
        <v/>
      </c>
      <c r="Q151">
        <f>1+SUM(P$2:P150)</f>
        <v/>
      </c>
      <c r="S151">
        <f>IF(I151="","",INDEX($O$3:$O$402,I151))</f>
        <v/>
      </c>
      <c r="T151">
        <f>IF(J151&lt;&gt;"H","",INDEX(Transaksi!$A$2:$A$2001,MATCH(S151,Transaksi!$M$2:$M$2001,0)))</f>
        <v/>
      </c>
    </row>
    <row r="152">
      <c r="A152" s="31">
        <f>IF(J152="E",IF(INDEX(Transaksi!$J$2:$J$2001,K152)&gt;0,"↑","↓"),"")</f>
        <v/>
      </c>
      <c r="B152" s="32">
        <f>IF(J152="H",CHOOSE(WEEKDAY(T152,2),"Isnin","Selasa","Rabu","Khamis","Jumaat","Sabtu","Ahad")&amp;", "&amp;DAY(T152)&amp;" "&amp;CHOOSE(MONTH(T152),"Jan","Feb","Mac","Apr","Mei","Jun","Jul","Ogo","Sep","Okt","Nov","Dis")&amp;" "&amp;YEAR(T152),IF(J152="E",IF(INDEX(Transaksi!$B$2:$B$2001,K152)="",INDEX(Transaksi!$C$2:$C$2001,K152)&amp;" · "&amp;INDEX(Transaksi!$D$2:$D$2001,K152),INDEX(Transaksi!$B$2:$B$2001,K152)),""))</f>
        <v/>
      </c>
      <c r="C152" s="32">
        <f>IF(J152="E",INDEX(Transaksi!$C$2:$C$2001,K152)&amp;"","")</f>
        <v/>
      </c>
      <c r="D152" s="32">
        <f>IF(J152="E",INDEX(Transaksi!$D$2:$D$2001,K152)&amp;"","")</f>
        <v/>
      </c>
      <c r="E152" s="33">
        <f>IF(J152="H",SUMIFS(Transaksi!$G$2:$G$2001,Transaksi!$M$2:$M$2001,"="&amp;S152)+SUMIFS(Transaksi!$H$2:$H$2001,Transaksi!$M$2:$M$2001,"="&amp;S152)+SUMIFS(Transaksi!$I$2:$I$2001,Transaksi!$M$2:$M$2001,"="&amp;S152),IF(J152="E",IF(INDEX(Transaksi!$G$2:$G$2001,K152)+INDEX(Transaksi!$H$2:$H$2001,K152)+INDEX(Transaksi!$I$2:$I$2001,K152)=0,"",INDEX(Transaksi!$G$2:$G$2001,K152)+INDEX(Transaksi!$H$2:$H$2001,K152)+INDEX(Transaksi!$I$2:$I$2001,K152)),""))</f>
        <v/>
      </c>
      <c r="F152" s="33">
        <f>IF(J152="H",SUMIFS(Transaksi!$J$2:$J$2001,Transaksi!$M$2:$M$2001,"="&amp;S152),IF(J152="E",IF(INDEX(Transaksi!$J$2:$J$2001,K152)=0,"",INDEX(Transaksi!$J$2:$J$2001,K152)),""))</f>
        <v/>
      </c>
      <c r="G152" s="33">
        <f>IF(J152="H",(SUMIFS(Transaksi!$G$2:$G$2001,Transaksi!$M$2:$M$2001,"&lt;="&amp;S152)+SUMIFS(Transaksi!$H$2:$H$2001,Transaksi!$M$2:$M$2001,"&lt;="&amp;S152)+SUMIFS(Transaksi!$I$2:$I$2001,Transaksi!$M$2:$M$2001,"&lt;="&amp;S152))-(SUMIFS(Transaksi!$J$2:$J$2001,Transaksi!$M$2:$M$2001,"&lt;="&amp;S152)),"")</f>
        <v/>
      </c>
      <c r="I152">
        <f>IF(149&gt;$O$2,"",MATCH(149,$Q$3:$Q$402,1))</f>
        <v/>
      </c>
      <c r="J152">
        <f>IF(I152="","",IF(149=INDEX($Q$3:$Q$402,I152),"H","E"))</f>
        <v/>
      </c>
      <c r="K152">
        <f>IF(J152&lt;&gt;"E","",MATCH(S152,Transaksi!$M$2:$M$2001,0)+149-INDEX($Q$3:$Q$402,I152)-1)</f>
        <v/>
      </c>
      <c r="N152" t="n">
        <v>150</v>
      </c>
      <c r="O152">
        <f>IF(N152&lt;=$O$1,$O$1-N152+1,"")</f>
        <v/>
      </c>
      <c r="P152">
        <f>IF(O152="",0,COUNTIF(Transaksi!$M$2:$M$2001,O152)+1)</f>
        <v/>
      </c>
      <c r="Q152">
        <f>1+SUM(P$2:P151)</f>
        <v/>
      </c>
      <c r="S152">
        <f>IF(I152="","",INDEX($O$3:$O$402,I152))</f>
        <v/>
      </c>
      <c r="T152">
        <f>IF(J152&lt;&gt;"H","",INDEX(Transaksi!$A$2:$A$2001,MATCH(S152,Transaksi!$M$2:$M$2001,0)))</f>
        <v/>
      </c>
    </row>
    <row r="153">
      <c r="A153" s="31">
        <f>IF(J153="E",IF(INDEX(Transaksi!$J$2:$J$2001,K153)&gt;0,"↑","↓"),"")</f>
        <v/>
      </c>
      <c r="B153" s="32">
        <f>IF(J153="H",CHOOSE(WEEKDAY(T153,2),"Isnin","Selasa","Rabu","Khamis","Jumaat","Sabtu","Ahad")&amp;", "&amp;DAY(T153)&amp;" "&amp;CHOOSE(MONTH(T153),"Jan","Feb","Mac","Apr","Mei","Jun","Jul","Ogo","Sep","Okt","Nov","Dis")&amp;" "&amp;YEAR(T153),IF(J153="E",IF(INDEX(Transaksi!$B$2:$B$2001,K153)="",INDEX(Transaksi!$C$2:$C$2001,K153)&amp;" · "&amp;INDEX(Transaksi!$D$2:$D$2001,K153),INDEX(Transaksi!$B$2:$B$2001,K153)),""))</f>
        <v/>
      </c>
      <c r="C153" s="32">
        <f>IF(J153="E",INDEX(Transaksi!$C$2:$C$2001,K153)&amp;"","")</f>
        <v/>
      </c>
      <c r="D153" s="32">
        <f>IF(J153="E",INDEX(Transaksi!$D$2:$D$2001,K153)&amp;"","")</f>
        <v/>
      </c>
      <c r="E153" s="33">
        <f>IF(J153="H",SUMIFS(Transaksi!$G$2:$G$2001,Transaksi!$M$2:$M$2001,"="&amp;S153)+SUMIFS(Transaksi!$H$2:$H$2001,Transaksi!$M$2:$M$2001,"="&amp;S153)+SUMIFS(Transaksi!$I$2:$I$2001,Transaksi!$M$2:$M$2001,"="&amp;S153),IF(J153="E",IF(INDEX(Transaksi!$G$2:$G$2001,K153)+INDEX(Transaksi!$H$2:$H$2001,K153)+INDEX(Transaksi!$I$2:$I$2001,K153)=0,"",INDEX(Transaksi!$G$2:$G$2001,K153)+INDEX(Transaksi!$H$2:$H$2001,K153)+INDEX(Transaksi!$I$2:$I$2001,K153)),""))</f>
        <v/>
      </c>
      <c r="F153" s="33">
        <f>IF(J153="H",SUMIFS(Transaksi!$J$2:$J$2001,Transaksi!$M$2:$M$2001,"="&amp;S153),IF(J153="E",IF(INDEX(Transaksi!$J$2:$J$2001,K153)=0,"",INDEX(Transaksi!$J$2:$J$2001,K153)),""))</f>
        <v/>
      </c>
      <c r="G153" s="33">
        <f>IF(J153="H",(SUMIFS(Transaksi!$G$2:$G$2001,Transaksi!$M$2:$M$2001,"&lt;="&amp;S153)+SUMIFS(Transaksi!$H$2:$H$2001,Transaksi!$M$2:$M$2001,"&lt;="&amp;S153)+SUMIFS(Transaksi!$I$2:$I$2001,Transaksi!$M$2:$M$2001,"&lt;="&amp;S153))-(SUMIFS(Transaksi!$J$2:$J$2001,Transaksi!$M$2:$M$2001,"&lt;="&amp;S153)),"")</f>
        <v/>
      </c>
      <c r="I153">
        <f>IF(150&gt;$O$2,"",MATCH(150,$Q$3:$Q$402,1))</f>
        <v/>
      </c>
      <c r="J153">
        <f>IF(I153="","",IF(150=INDEX($Q$3:$Q$402,I153),"H","E"))</f>
        <v/>
      </c>
      <c r="K153">
        <f>IF(J153&lt;&gt;"E","",MATCH(S153,Transaksi!$M$2:$M$2001,0)+150-INDEX($Q$3:$Q$402,I153)-1)</f>
        <v/>
      </c>
      <c r="N153" t="n">
        <v>151</v>
      </c>
      <c r="O153">
        <f>IF(N153&lt;=$O$1,$O$1-N153+1,"")</f>
        <v/>
      </c>
      <c r="P153">
        <f>IF(O153="",0,COUNTIF(Transaksi!$M$2:$M$2001,O153)+1)</f>
        <v/>
      </c>
      <c r="Q153">
        <f>1+SUM(P$2:P152)</f>
        <v/>
      </c>
      <c r="S153">
        <f>IF(I153="","",INDEX($O$3:$O$402,I153))</f>
        <v/>
      </c>
      <c r="T153">
        <f>IF(J153&lt;&gt;"H","",INDEX(Transaksi!$A$2:$A$2001,MATCH(S153,Transaksi!$M$2:$M$2001,0)))</f>
        <v/>
      </c>
    </row>
    <row r="154">
      <c r="A154" s="31">
        <f>IF(J154="E",IF(INDEX(Transaksi!$J$2:$J$2001,K154)&gt;0,"↑","↓"),"")</f>
        <v/>
      </c>
      <c r="B154" s="32">
        <f>IF(J154="H",CHOOSE(WEEKDAY(T154,2),"Isnin","Selasa","Rabu","Khamis","Jumaat","Sabtu","Ahad")&amp;", "&amp;DAY(T154)&amp;" "&amp;CHOOSE(MONTH(T154),"Jan","Feb","Mac","Apr","Mei","Jun","Jul","Ogo","Sep","Okt","Nov","Dis")&amp;" "&amp;YEAR(T154),IF(J154="E",IF(INDEX(Transaksi!$B$2:$B$2001,K154)="",INDEX(Transaksi!$C$2:$C$2001,K154)&amp;" · "&amp;INDEX(Transaksi!$D$2:$D$2001,K154),INDEX(Transaksi!$B$2:$B$2001,K154)),""))</f>
        <v/>
      </c>
      <c r="C154" s="32">
        <f>IF(J154="E",INDEX(Transaksi!$C$2:$C$2001,K154)&amp;"","")</f>
        <v/>
      </c>
      <c r="D154" s="32">
        <f>IF(J154="E",INDEX(Transaksi!$D$2:$D$2001,K154)&amp;"","")</f>
        <v/>
      </c>
      <c r="E154" s="33">
        <f>IF(J154="H",SUMIFS(Transaksi!$G$2:$G$2001,Transaksi!$M$2:$M$2001,"="&amp;S154)+SUMIFS(Transaksi!$H$2:$H$2001,Transaksi!$M$2:$M$2001,"="&amp;S154)+SUMIFS(Transaksi!$I$2:$I$2001,Transaksi!$M$2:$M$2001,"="&amp;S154),IF(J154="E",IF(INDEX(Transaksi!$G$2:$G$2001,K154)+INDEX(Transaksi!$H$2:$H$2001,K154)+INDEX(Transaksi!$I$2:$I$2001,K154)=0,"",INDEX(Transaksi!$G$2:$G$2001,K154)+INDEX(Transaksi!$H$2:$H$2001,K154)+INDEX(Transaksi!$I$2:$I$2001,K154)),""))</f>
        <v/>
      </c>
      <c r="F154" s="33">
        <f>IF(J154="H",SUMIFS(Transaksi!$J$2:$J$2001,Transaksi!$M$2:$M$2001,"="&amp;S154),IF(J154="E",IF(INDEX(Transaksi!$J$2:$J$2001,K154)=0,"",INDEX(Transaksi!$J$2:$J$2001,K154)),""))</f>
        <v/>
      </c>
      <c r="G154" s="33">
        <f>IF(J154="H",(SUMIFS(Transaksi!$G$2:$G$2001,Transaksi!$M$2:$M$2001,"&lt;="&amp;S154)+SUMIFS(Transaksi!$H$2:$H$2001,Transaksi!$M$2:$M$2001,"&lt;="&amp;S154)+SUMIFS(Transaksi!$I$2:$I$2001,Transaksi!$M$2:$M$2001,"&lt;="&amp;S154))-(SUMIFS(Transaksi!$J$2:$J$2001,Transaksi!$M$2:$M$2001,"&lt;="&amp;S154)),"")</f>
        <v/>
      </c>
      <c r="I154">
        <f>IF(151&gt;$O$2,"",MATCH(151,$Q$3:$Q$402,1))</f>
        <v/>
      </c>
      <c r="J154">
        <f>IF(I154="","",IF(151=INDEX($Q$3:$Q$402,I154),"H","E"))</f>
        <v/>
      </c>
      <c r="K154">
        <f>IF(J154&lt;&gt;"E","",MATCH(S154,Transaksi!$M$2:$M$2001,0)+151-INDEX($Q$3:$Q$402,I154)-1)</f>
        <v/>
      </c>
      <c r="N154" t="n">
        <v>152</v>
      </c>
      <c r="O154">
        <f>IF(N154&lt;=$O$1,$O$1-N154+1,"")</f>
        <v/>
      </c>
      <c r="P154">
        <f>IF(O154="",0,COUNTIF(Transaksi!$M$2:$M$2001,O154)+1)</f>
        <v/>
      </c>
      <c r="Q154">
        <f>1+SUM(P$2:P153)</f>
        <v/>
      </c>
      <c r="S154">
        <f>IF(I154="","",INDEX($O$3:$O$402,I154))</f>
        <v/>
      </c>
      <c r="T154">
        <f>IF(J154&lt;&gt;"H","",INDEX(Transaksi!$A$2:$A$2001,MATCH(S154,Transaksi!$M$2:$M$2001,0)))</f>
        <v/>
      </c>
    </row>
    <row r="155">
      <c r="A155" s="31">
        <f>IF(J155="E",IF(INDEX(Transaksi!$J$2:$J$2001,K155)&gt;0,"↑","↓"),"")</f>
        <v/>
      </c>
      <c r="B155" s="32">
        <f>IF(J155="H",CHOOSE(WEEKDAY(T155,2),"Isnin","Selasa","Rabu","Khamis","Jumaat","Sabtu","Ahad")&amp;", "&amp;DAY(T155)&amp;" "&amp;CHOOSE(MONTH(T155),"Jan","Feb","Mac","Apr","Mei","Jun","Jul","Ogo","Sep","Okt","Nov","Dis")&amp;" "&amp;YEAR(T155),IF(J155="E",IF(INDEX(Transaksi!$B$2:$B$2001,K155)="",INDEX(Transaksi!$C$2:$C$2001,K155)&amp;" · "&amp;INDEX(Transaksi!$D$2:$D$2001,K155),INDEX(Transaksi!$B$2:$B$2001,K155)),""))</f>
        <v/>
      </c>
      <c r="C155" s="32">
        <f>IF(J155="E",INDEX(Transaksi!$C$2:$C$2001,K155)&amp;"","")</f>
        <v/>
      </c>
      <c r="D155" s="32">
        <f>IF(J155="E",INDEX(Transaksi!$D$2:$D$2001,K155)&amp;"","")</f>
        <v/>
      </c>
      <c r="E155" s="33">
        <f>IF(J155="H",SUMIFS(Transaksi!$G$2:$G$2001,Transaksi!$M$2:$M$2001,"="&amp;S155)+SUMIFS(Transaksi!$H$2:$H$2001,Transaksi!$M$2:$M$2001,"="&amp;S155)+SUMIFS(Transaksi!$I$2:$I$2001,Transaksi!$M$2:$M$2001,"="&amp;S155),IF(J155="E",IF(INDEX(Transaksi!$G$2:$G$2001,K155)+INDEX(Transaksi!$H$2:$H$2001,K155)+INDEX(Transaksi!$I$2:$I$2001,K155)=0,"",INDEX(Transaksi!$G$2:$G$2001,K155)+INDEX(Transaksi!$H$2:$H$2001,K155)+INDEX(Transaksi!$I$2:$I$2001,K155)),""))</f>
        <v/>
      </c>
      <c r="F155" s="33">
        <f>IF(J155="H",SUMIFS(Transaksi!$J$2:$J$2001,Transaksi!$M$2:$M$2001,"="&amp;S155),IF(J155="E",IF(INDEX(Transaksi!$J$2:$J$2001,K155)=0,"",INDEX(Transaksi!$J$2:$J$2001,K155)),""))</f>
        <v/>
      </c>
      <c r="G155" s="33">
        <f>IF(J155="H",(SUMIFS(Transaksi!$G$2:$G$2001,Transaksi!$M$2:$M$2001,"&lt;="&amp;S155)+SUMIFS(Transaksi!$H$2:$H$2001,Transaksi!$M$2:$M$2001,"&lt;="&amp;S155)+SUMIFS(Transaksi!$I$2:$I$2001,Transaksi!$M$2:$M$2001,"&lt;="&amp;S155))-(SUMIFS(Transaksi!$J$2:$J$2001,Transaksi!$M$2:$M$2001,"&lt;="&amp;S155)),"")</f>
        <v/>
      </c>
      <c r="I155">
        <f>IF(152&gt;$O$2,"",MATCH(152,$Q$3:$Q$402,1))</f>
        <v/>
      </c>
      <c r="J155">
        <f>IF(I155="","",IF(152=INDEX($Q$3:$Q$402,I155),"H","E"))</f>
        <v/>
      </c>
      <c r="K155">
        <f>IF(J155&lt;&gt;"E","",MATCH(S155,Transaksi!$M$2:$M$2001,0)+152-INDEX($Q$3:$Q$402,I155)-1)</f>
        <v/>
      </c>
      <c r="N155" t="n">
        <v>153</v>
      </c>
      <c r="O155">
        <f>IF(N155&lt;=$O$1,$O$1-N155+1,"")</f>
        <v/>
      </c>
      <c r="P155">
        <f>IF(O155="",0,COUNTIF(Transaksi!$M$2:$M$2001,O155)+1)</f>
        <v/>
      </c>
      <c r="Q155">
        <f>1+SUM(P$2:P154)</f>
        <v/>
      </c>
      <c r="S155">
        <f>IF(I155="","",INDEX($O$3:$O$402,I155))</f>
        <v/>
      </c>
      <c r="T155">
        <f>IF(J155&lt;&gt;"H","",INDEX(Transaksi!$A$2:$A$2001,MATCH(S155,Transaksi!$M$2:$M$2001,0)))</f>
        <v/>
      </c>
    </row>
    <row r="156">
      <c r="A156" s="31">
        <f>IF(J156="E",IF(INDEX(Transaksi!$J$2:$J$2001,K156)&gt;0,"↑","↓"),"")</f>
        <v/>
      </c>
      <c r="B156" s="32">
        <f>IF(J156="H",CHOOSE(WEEKDAY(T156,2),"Isnin","Selasa","Rabu","Khamis","Jumaat","Sabtu","Ahad")&amp;", "&amp;DAY(T156)&amp;" "&amp;CHOOSE(MONTH(T156),"Jan","Feb","Mac","Apr","Mei","Jun","Jul","Ogo","Sep","Okt","Nov","Dis")&amp;" "&amp;YEAR(T156),IF(J156="E",IF(INDEX(Transaksi!$B$2:$B$2001,K156)="",INDEX(Transaksi!$C$2:$C$2001,K156)&amp;" · "&amp;INDEX(Transaksi!$D$2:$D$2001,K156),INDEX(Transaksi!$B$2:$B$2001,K156)),""))</f>
        <v/>
      </c>
      <c r="C156" s="32">
        <f>IF(J156="E",INDEX(Transaksi!$C$2:$C$2001,K156)&amp;"","")</f>
        <v/>
      </c>
      <c r="D156" s="32">
        <f>IF(J156="E",INDEX(Transaksi!$D$2:$D$2001,K156)&amp;"","")</f>
        <v/>
      </c>
      <c r="E156" s="33">
        <f>IF(J156="H",SUMIFS(Transaksi!$G$2:$G$2001,Transaksi!$M$2:$M$2001,"="&amp;S156)+SUMIFS(Transaksi!$H$2:$H$2001,Transaksi!$M$2:$M$2001,"="&amp;S156)+SUMIFS(Transaksi!$I$2:$I$2001,Transaksi!$M$2:$M$2001,"="&amp;S156),IF(J156="E",IF(INDEX(Transaksi!$G$2:$G$2001,K156)+INDEX(Transaksi!$H$2:$H$2001,K156)+INDEX(Transaksi!$I$2:$I$2001,K156)=0,"",INDEX(Transaksi!$G$2:$G$2001,K156)+INDEX(Transaksi!$H$2:$H$2001,K156)+INDEX(Transaksi!$I$2:$I$2001,K156)),""))</f>
        <v/>
      </c>
      <c r="F156" s="33">
        <f>IF(J156="H",SUMIFS(Transaksi!$J$2:$J$2001,Transaksi!$M$2:$M$2001,"="&amp;S156),IF(J156="E",IF(INDEX(Transaksi!$J$2:$J$2001,K156)=0,"",INDEX(Transaksi!$J$2:$J$2001,K156)),""))</f>
        <v/>
      </c>
      <c r="G156" s="33">
        <f>IF(J156="H",(SUMIFS(Transaksi!$G$2:$G$2001,Transaksi!$M$2:$M$2001,"&lt;="&amp;S156)+SUMIFS(Transaksi!$H$2:$H$2001,Transaksi!$M$2:$M$2001,"&lt;="&amp;S156)+SUMIFS(Transaksi!$I$2:$I$2001,Transaksi!$M$2:$M$2001,"&lt;="&amp;S156))-(SUMIFS(Transaksi!$J$2:$J$2001,Transaksi!$M$2:$M$2001,"&lt;="&amp;S156)),"")</f>
        <v/>
      </c>
      <c r="I156">
        <f>IF(153&gt;$O$2,"",MATCH(153,$Q$3:$Q$402,1))</f>
        <v/>
      </c>
      <c r="J156">
        <f>IF(I156="","",IF(153=INDEX($Q$3:$Q$402,I156),"H","E"))</f>
        <v/>
      </c>
      <c r="K156">
        <f>IF(J156&lt;&gt;"E","",MATCH(S156,Transaksi!$M$2:$M$2001,0)+153-INDEX($Q$3:$Q$402,I156)-1)</f>
        <v/>
      </c>
      <c r="N156" t="n">
        <v>154</v>
      </c>
      <c r="O156">
        <f>IF(N156&lt;=$O$1,$O$1-N156+1,"")</f>
        <v/>
      </c>
      <c r="P156">
        <f>IF(O156="",0,COUNTIF(Transaksi!$M$2:$M$2001,O156)+1)</f>
        <v/>
      </c>
      <c r="Q156">
        <f>1+SUM(P$2:P155)</f>
        <v/>
      </c>
      <c r="S156">
        <f>IF(I156="","",INDEX($O$3:$O$402,I156))</f>
        <v/>
      </c>
      <c r="T156">
        <f>IF(J156&lt;&gt;"H","",INDEX(Transaksi!$A$2:$A$2001,MATCH(S156,Transaksi!$M$2:$M$2001,0)))</f>
        <v/>
      </c>
    </row>
    <row r="157">
      <c r="A157" s="31">
        <f>IF(J157="E",IF(INDEX(Transaksi!$J$2:$J$2001,K157)&gt;0,"↑","↓"),"")</f>
        <v/>
      </c>
      <c r="B157" s="32">
        <f>IF(J157="H",CHOOSE(WEEKDAY(T157,2),"Isnin","Selasa","Rabu","Khamis","Jumaat","Sabtu","Ahad")&amp;", "&amp;DAY(T157)&amp;" "&amp;CHOOSE(MONTH(T157),"Jan","Feb","Mac","Apr","Mei","Jun","Jul","Ogo","Sep","Okt","Nov","Dis")&amp;" "&amp;YEAR(T157),IF(J157="E",IF(INDEX(Transaksi!$B$2:$B$2001,K157)="",INDEX(Transaksi!$C$2:$C$2001,K157)&amp;" · "&amp;INDEX(Transaksi!$D$2:$D$2001,K157),INDEX(Transaksi!$B$2:$B$2001,K157)),""))</f>
        <v/>
      </c>
      <c r="C157" s="32">
        <f>IF(J157="E",INDEX(Transaksi!$C$2:$C$2001,K157)&amp;"","")</f>
        <v/>
      </c>
      <c r="D157" s="32">
        <f>IF(J157="E",INDEX(Transaksi!$D$2:$D$2001,K157)&amp;"","")</f>
        <v/>
      </c>
      <c r="E157" s="33">
        <f>IF(J157="H",SUMIFS(Transaksi!$G$2:$G$2001,Transaksi!$M$2:$M$2001,"="&amp;S157)+SUMIFS(Transaksi!$H$2:$H$2001,Transaksi!$M$2:$M$2001,"="&amp;S157)+SUMIFS(Transaksi!$I$2:$I$2001,Transaksi!$M$2:$M$2001,"="&amp;S157),IF(J157="E",IF(INDEX(Transaksi!$G$2:$G$2001,K157)+INDEX(Transaksi!$H$2:$H$2001,K157)+INDEX(Transaksi!$I$2:$I$2001,K157)=0,"",INDEX(Transaksi!$G$2:$G$2001,K157)+INDEX(Transaksi!$H$2:$H$2001,K157)+INDEX(Transaksi!$I$2:$I$2001,K157)),""))</f>
        <v/>
      </c>
      <c r="F157" s="33">
        <f>IF(J157="H",SUMIFS(Transaksi!$J$2:$J$2001,Transaksi!$M$2:$M$2001,"="&amp;S157),IF(J157="E",IF(INDEX(Transaksi!$J$2:$J$2001,K157)=0,"",INDEX(Transaksi!$J$2:$J$2001,K157)),""))</f>
        <v/>
      </c>
      <c r="G157" s="33">
        <f>IF(J157="H",(SUMIFS(Transaksi!$G$2:$G$2001,Transaksi!$M$2:$M$2001,"&lt;="&amp;S157)+SUMIFS(Transaksi!$H$2:$H$2001,Transaksi!$M$2:$M$2001,"&lt;="&amp;S157)+SUMIFS(Transaksi!$I$2:$I$2001,Transaksi!$M$2:$M$2001,"&lt;="&amp;S157))-(SUMIFS(Transaksi!$J$2:$J$2001,Transaksi!$M$2:$M$2001,"&lt;="&amp;S157)),"")</f>
        <v/>
      </c>
      <c r="I157">
        <f>IF(154&gt;$O$2,"",MATCH(154,$Q$3:$Q$402,1))</f>
        <v/>
      </c>
      <c r="J157">
        <f>IF(I157="","",IF(154=INDEX($Q$3:$Q$402,I157),"H","E"))</f>
        <v/>
      </c>
      <c r="K157">
        <f>IF(J157&lt;&gt;"E","",MATCH(S157,Transaksi!$M$2:$M$2001,0)+154-INDEX($Q$3:$Q$402,I157)-1)</f>
        <v/>
      </c>
      <c r="N157" t="n">
        <v>155</v>
      </c>
      <c r="O157">
        <f>IF(N157&lt;=$O$1,$O$1-N157+1,"")</f>
        <v/>
      </c>
      <c r="P157">
        <f>IF(O157="",0,COUNTIF(Transaksi!$M$2:$M$2001,O157)+1)</f>
        <v/>
      </c>
      <c r="Q157">
        <f>1+SUM(P$2:P156)</f>
        <v/>
      </c>
      <c r="S157">
        <f>IF(I157="","",INDEX($O$3:$O$402,I157))</f>
        <v/>
      </c>
      <c r="T157">
        <f>IF(J157&lt;&gt;"H","",INDEX(Transaksi!$A$2:$A$2001,MATCH(S157,Transaksi!$M$2:$M$2001,0)))</f>
        <v/>
      </c>
    </row>
    <row r="158">
      <c r="A158" s="31">
        <f>IF(J158="E",IF(INDEX(Transaksi!$J$2:$J$2001,K158)&gt;0,"↑","↓"),"")</f>
        <v/>
      </c>
      <c r="B158" s="32">
        <f>IF(J158="H",CHOOSE(WEEKDAY(T158,2),"Isnin","Selasa","Rabu","Khamis","Jumaat","Sabtu","Ahad")&amp;", "&amp;DAY(T158)&amp;" "&amp;CHOOSE(MONTH(T158),"Jan","Feb","Mac","Apr","Mei","Jun","Jul","Ogo","Sep","Okt","Nov","Dis")&amp;" "&amp;YEAR(T158),IF(J158="E",IF(INDEX(Transaksi!$B$2:$B$2001,K158)="",INDEX(Transaksi!$C$2:$C$2001,K158)&amp;" · "&amp;INDEX(Transaksi!$D$2:$D$2001,K158),INDEX(Transaksi!$B$2:$B$2001,K158)),""))</f>
        <v/>
      </c>
      <c r="C158" s="32">
        <f>IF(J158="E",INDEX(Transaksi!$C$2:$C$2001,K158)&amp;"","")</f>
        <v/>
      </c>
      <c r="D158" s="32">
        <f>IF(J158="E",INDEX(Transaksi!$D$2:$D$2001,K158)&amp;"","")</f>
        <v/>
      </c>
      <c r="E158" s="33">
        <f>IF(J158="H",SUMIFS(Transaksi!$G$2:$G$2001,Transaksi!$M$2:$M$2001,"="&amp;S158)+SUMIFS(Transaksi!$H$2:$H$2001,Transaksi!$M$2:$M$2001,"="&amp;S158)+SUMIFS(Transaksi!$I$2:$I$2001,Transaksi!$M$2:$M$2001,"="&amp;S158),IF(J158="E",IF(INDEX(Transaksi!$G$2:$G$2001,K158)+INDEX(Transaksi!$H$2:$H$2001,K158)+INDEX(Transaksi!$I$2:$I$2001,K158)=0,"",INDEX(Transaksi!$G$2:$G$2001,K158)+INDEX(Transaksi!$H$2:$H$2001,K158)+INDEX(Transaksi!$I$2:$I$2001,K158)),""))</f>
        <v/>
      </c>
      <c r="F158" s="33">
        <f>IF(J158="H",SUMIFS(Transaksi!$J$2:$J$2001,Transaksi!$M$2:$M$2001,"="&amp;S158),IF(J158="E",IF(INDEX(Transaksi!$J$2:$J$2001,K158)=0,"",INDEX(Transaksi!$J$2:$J$2001,K158)),""))</f>
        <v/>
      </c>
      <c r="G158" s="33">
        <f>IF(J158="H",(SUMIFS(Transaksi!$G$2:$G$2001,Transaksi!$M$2:$M$2001,"&lt;="&amp;S158)+SUMIFS(Transaksi!$H$2:$H$2001,Transaksi!$M$2:$M$2001,"&lt;="&amp;S158)+SUMIFS(Transaksi!$I$2:$I$2001,Transaksi!$M$2:$M$2001,"&lt;="&amp;S158))-(SUMIFS(Transaksi!$J$2:$J$2001,Transaksi!$M$2:$M$2001,"&lt;="&amp;S158)),"")</f>
        <v/>
      </c>
      <c r="I158">
        <f>IF(155&gt;$O$2,"",MATCH(155,$Q$3:$Q$402,1))</f>
        <v/>
      </c>
      <c r="J158">
        <f>IF(I158="","",IF(155=INDEX($Q$3:$Q$402,I158),"H","E"))</f>
        <v/>
      </c>
      <c r="K158">
        <f>IF(J158&lt;&gt;"E","",MATCH(S158,Transaksi!$M$2:$M$2001,0)+155-INDEX($Q$3:$Q$402,I158)-1)</f>
        <v/>
      </c>
      <c r="N158" t="n">
        <v>156</v>
      </c>
      <c r="O158">
        <f>IF(N158&lt;=$O$1,$O$1-N158+1,"")</f>
        <v/>
      </c>
      <c r="P158">
        <f>IF(O158="",0,COUNTIF(Transaksi!$M$2:$M$2001,O158)+1)</f>
        <v/>
      </c>
      <c r="Q158">
        <f>1+SUM(P$2:P157)</f>
        <v/>
      </c>
      <c r="S158">
        <f>IF(I158="","",INDEX($O$3:$O$402,I158))</f>
        <v/>
      </c>
      <c r="T158">
        <f>IF(J158&lt;&gt;"H","",INDEX(Transaksi!$A$2:$A$2001,MATCH(S158,Transaksi!$M$2:$M$2001,0)))</f>
        <v/>
      </c>
    </row>
    <row r="159">
      <c r="A159" s="31">
        <f>IF(J159="E",IF(INDEX(Transaksi!$J$2:$J$2001,K159)&gt;0,"↑","↓"),"")</f>
        <v/>
      </c>
      <c r="B159" s="32">
        <f>IF(J159="H",CHOOSE(WEEKDAY(T159,2),"Isnin","Selasa","Rabu","Khamis","Jumaat","Sabtu","Ahad")&amp;", "&amp;DAY(T159)&amp;" "&amp;CHOOSE(MONTH(T159),"Jan","Feb","Mac","Apr","Mei","Jun","Jul","Ogo","Sep","Okt","Nov","Dis")&amp;" "&amp;YEAR(T159),IF(J159="E",IF(INDEX(Transaksi!$B$2:$B$2001,K159)="",INDEX(Transaksi!$C$2:$C$2001,K159)&amp;" · "&amp;INDEX(Transaksi!$D$2:$D$2001,K159),INDEX(Transaksi!$B$2:$B$2001,K159)),""))</f>
        <v/>
      </c>
      <c r="C159" s="32">
        <f>IF(J159="E",INDEX(Transaksi!$C$2:$C$2001,K159)&amp;"","")</f>
        <v/>
      </c>
      <c r="D159" s="32">
        <f>IF(J159="E",INDEX(Transaksi!$D$2:$D$2001,K159)&amp;"","")</f>
        <v/>
      </c>
      <c r="E159" s="33">
        <f>IF(J159="H",SUMIFS(Transaksi!$G$2:$G$2001,Transaksi!$M$2:$M$2001,"="&amp;S159)+SUMIFS(Transaksi!$H$2:$H$2001,Transaksi!$M$2:$M$2001,"="&amp;S159)+SUMIFS(Transaksi!$I$2:$I$2001,Transaksi!$M$2:$M$2001,"="&amp;S159),IF(J159="E",IF(INDEX(Transaksi!$G$2:$G$2001,K159)+INDEX(Transaksi!$H$2:$H$2001,K159)+INDEX(Transaksi!$I$2:$I$2001,K159)=0,"",INDEX(Transaksi!$G$2:$G$2001,K159)+INDEX(Transaksi!$H$2:$H$2001,K159)+INDEX(Transaksi!$I$2:$I$2001,K159)),""))</f>
        <v/>
      </c>
      <c r="F159" s="33">
        <f>IF(J159="H",SUMIFS(Transaksi!$J$2:$J$2001,Transaksi!$M$2:$M$2001,"="&amp;S159),IF(J159="E",IF(INDEX(Transaksi!$J$2:$J$2001,K159)=0,"",INDEX(Transaksi!$J$2:$J$2001,K159)),""))</f>
        <v/>
      </c>
      <c r="G159" s="33">
        <f>IF(J159="H",(SUMIFS(Transaksi!$G$2:$G$2001,Transaksi!$M$2:$M$2001,"&lt;="&amp;S159)+SUMIFS(Transaksi!$H$2:$H$2001,Transaksi!$M$2:$M$2001,"&lt;="&amp;S159)+SUMIFS(Transaksi!$I$2:$I$2001,Transaksi!$M$2:$M$2001,"&lt;="&amp;S159))-(SUMIFS(Transaksi!$J$2:$J$2001,Transaksi!$M$2:$M$2001,"&lt;="&amp;S159)),"")</f>
        <v/>
      </c>
      <c r="I159">
        <f>IF(156&gt;$O$2,"",MATCH(156,$Q$3:$Q$402,1))</f>
        <v/>
      </c>
      <c r="J159">
        <f>IF(I159="","",IF(156=INDEX($Q$3:$Q$402,I159),"H","E"))</f>
        <v/>
      </c>
      <c r="K159">
        <f>IF(J159&lt;&gt;"E","",MATCH(S159,Transaksi!$M$2:$M$2001,0)+156-INDEX($Q$3:$Q$402,I159)-1)</f>
        <v/>
      </c>
      <c r="N159" t="n">
        <v>157</v>
      </c>
      <c r="O159">
        <f>IF(N159&lt;=$O$1,$O$1-N159+1,"")</f>
        <v/>
      </c>
      <c r="P159">
        <f>IF(O159="",0,COUNTIF(Transaksi!$M$2:$M$2001,O159)+1)</f>
        <v/>
      </c>
      <c r="Q159">
        <f>1+SUM(P$2:P158)</f>
        <v/>
      </c>
      <c r="S159">
        <f>IF(I159="","",INDEX($O$3:$O$402,I159))</f>
        <v/>
      </c>
      <c r="T159">
        <f>IF(J159&lt;&gt;"H","",INDEX(Transaksi!$A$2:$A$2001,MATCH(S159,Transaksi!$M$2:$M$2001,0)))</f>
        <v/>
      </c>
    </row>
    <row r="160">
      <c r="A160" s="31">
        <f>IF(J160="E",IF(INDEX(Transaksi!$J$2:$J$2001,K160)&gt;0,"↑","↓"),"")</f>
        <v/>
      </c>
      <c r="B160" s="32">
        <f>IF(J160="H",CHOOSE(WEEKDAY(T160,2),"Isnin","Selasa","Rabu","Khamis","Jumaat","Sabtu","Ahad")&amp;", "&amp;DAY(T160)&amp;" "&amp;CHOOSE(MONTH(T160),"Jan","Feb","Mac","Apr","Mei","Jun","Jul","Ogo","Sep","Okt","Nov","Dis")&amp;" "&amp;YEAR(T160),IF(J160="E",IF(INDEX(Transaksi!$B$2:$B$2001,K160)="",INDEX(Transaksi!$C$2:$C$2001,K160)&amp;" · "&amp;INDEX(Transaksi!$D$2:$D$2001,K160),INDEX(Transaksi!$B$2:$B$2001,K160)),""))</f>
        <v/>
      </c>
      <c r="C160" s="32">
        <f>IF(J160="E",INDEX(Transaksi!$C$2:$C$2001,K160)&amp;"","")</f>
        <v/>
      </c>
      <c r="D160" s="32">
        <f>IF(J160="E",INDEX(Transaksi!$D$2:$D$2001,K160)&amp;"","")</f>
        <v/>
      </c>
      <c r="E160" s="33">
        <f>IF(J160="H",SUMIFS(Transaksi!$G$2:$G$2001,Transaksi!$M$2:$M$2001,"="&amp;S160)+SUMIFS(Transaksi!$H$2:$H$2001,Transaksi!$M$2:$M$2001,"="&amp;S160)+SUMIFS(Transaksi!$I$2:$I$2001,Transaksi!$M$2:$M$2001,"="&amp;S160),IF(J160="E",IF(INDEX(Transaksi!$G$2:$G$2001,K160)+INDEX(Transaksi!$H$2:$H$2001,K160)+INDEX(Transaksi!$I$2:$I$2001,K160)=0,"",INDEX(Transaksi!$G$2:$G$2001,K160)+INDEX(Transaksi!$H$2:$H$2001,K160)+INDEX(Transaksi!$I$2:$I$2001,K160)),""))</f>
        <v/>
      </c>
      <c r="F160" s="33">
        <f>IF(J160="H",SUMIFS(Transaksi!$J$2:$J$2001,Transaksi!$M$2:$M$2001,"="&amp;S160),IF(J160="E",IF(INDEX(Transaksi!$J$2:$J$2001,K160)=0,"",INDEX(Transaksi!$J$2:$J$2001,K160)),""))</f>
        <v/>
      </c>
      <c r="G160" s="33">
        <f>IF(J160="H",(SUMIFS(Transaksi!$G$2:$G$2001,Transaksi!$M$2:$M$2001,"&lt;="&amp;S160)+SUMIFS(Transaksi!$H$2:$H$2001,Transaksi!$M$2:$M$2001,"&lt;="&amp;S160)+SUMIFS(Transaksi!$I$2:$I$2001,Transaksi!$M$2:$M$2001,"&lt;="&amp;S160))-(SUMIFS(Transaksi!$J$2:$J$2001,Transaksi!$M$2:$M$2001,"&lt;="&amp;S160)),"")</f>
        <v/>
      </c>
      <c r="I160">
        <f>IF(157&gt;$O$2,"",MATCH(157,$Q$3:$Q$402,1))</f>
        <v/>
      </c>
      <c r="J160">
        <f>IF(I160="","",IF(157=INDEX($Q$3:$Q$402,I160),"H","E"))</f>
        <v/>
      </c>
      <c r="K160">
        <f>IF(J160&lt;&gt;"E","",MATCH(S160,Transaksi!$M$2:$M$2001,0)+157-INDEX($Q$3:$Q$402,I160)-1)</f>
        <v/>
      </c>
      <c r="N160" t="n">
        <v>158</v>
      </c>
      <c r="O160">
        <f>IF(N160&lt;=$O$1,$O$1-N160+1,"")</f>
        <v/>
      </c>
      <c r="P160">
        <f>IF(O160="",0,COUNTIF(Transaksi!$M$2:$M$2001,O160)+1)</f>
        <v/>
      </c>
      <c r="Q160">
        <f>1+SUM(P$2:P159)</f>
        <v/>
      </c>
      <c r="S160">
        <f>IF(I160="","",INDEX($O$3:$O$402,I160))</f>
        <v/>
      </c>
      <c r="T160">
        <f>IF(J160&lt;&gt;"H","",INDEX(Transaksi!$A$2:$A$2001,MATCH(S160,Transaksi!$M$2:$M$2001,0)))</f>
        <v/>
      </c>
    </row>
    <row r="161">
      <c r="A161" s="31">
        <f>IF(J161="E",IF(INDEX(Transaksi!$J$2:$J$2001,K161)&gt;0,"↑","↓"),"")</f>
        <v/>
      </c>
      <c r="B161" s="32">
        <f>IF(J161="H",CHOOSE(WEEKDAY(T161,2),"Isnin","Selasa","Rabu","Khamis","Jumaat","Sabtu","Ahad")&amp;", "&amp;DAY(T161)&amp;" "&amp;CHOOSE(MONTH(T161),"Jan","Feb","Mac","Apr","Mei","Jun","Jul","Ogo","Sep","Okt","Nov","Dis")&amp;" "&amp;YEAR(T161),IF(J161="E",IF(INDEX(Transaksi!$B$2:$B$2001,K161)="",INDEX(Transaksi!$C$2:$C$2001,K161)&amp;" · "&amp;INDEX(Transaksi!$D$2:$D$2001,K161),INDEX(Transaksi!$B$2:$B$2001,K161)),""))</f>
        <v/>
      </c>
      <c r="C161" s="32">
        <f>IF(J161="E",INDEX(Transaksi!$C$2:$C$2001,K161)&amp;"","")</f>
        <v/>
      </c>
      <c r="D161" s="32">
        <f>IF(J161="E",INDEX(Transaksi!$D$2:$D$2001,K161)&amp;"","")</f>
        <v/>
      </c>
      <c r="E161" s="33">
        <f>IF(J161="H",SUMIFS(Transaksi!$G$2:$G$2001,Transaksi!$M$2:$M$2001,"="&amp;S161)+SUMIFS(Transaksi!$H$2:$H$2001,Transaksi!$M$2:$M$2001,"="&amp;S161)+SUMIFS(Transaksi!$I$2:$I$2001,Transaksi!$M$2:$M$2001,"="&amp;S161),IF(J161="E",IF(INDEX(Transaksi!$G$2:$G$2001,K161)+INDEX(Transaksi!$H$2:$H$2001,K161)+INDEX(Transaksi!$I$2:$I$2001,K161)=0,"",INDEX(Transaksi!$G$2:$G$2001,K161)+INDEX(Transaksi!$H$2:$H$2001,K161)+INDEX(Transaksi!$I$2:$I$2001,K161)),""))</f>
        <v/>
      </c>
      <c r="F161" s="33">
        <f>IF(J161="H",SUMIFS(Transaksi!$J$2:$J$2001,Transaksi!$M$2:$M$2001,"="&amp;S161),IF(J161="E",IF(INDEX(Transaksi!$J$2:$J$2001,K161)=0,"",INDEX(Transaksi!$J$2:$J$2001,K161)),""))</f>
        <v/>
      </c>
      <c r="G161" s="33">
        <f>IF(J161="H",(SUMIFS(Transaksi!$G$2:$G$2001,Transaksi!$M$2:$M$2001,"&lt;="&amp;S161)+SUMIFS(Transaksi!$H$2:$H$2001,Transaksi!$M$2:$M$2001,"&lt;="&amp;S161)+SUMIFS(Transaksi!$I$2:$I$2001,Transaksi!$M$2:$M$2001,"&lt;="&amp;S161))-(SUMIFS(Transaksi!$J$2:$J$2001,Transaksi!$M$2:$M$2001,"&lt;="&amp;S161)),"")</f>
        <v/>
      </c>
      <c r="I161">
        <f>IF(158&gt;$O$2,"",MATCH(158,$Q$3:$Q$402,1))</f>
        <v/>
      </c>
      <c r="J161">
        <f>IF(I161="","",IF(158=INDEX($Q$3:$Q$402,I161),"H","E"))</f>
        <v/>
      </c>
      <c r="K161">
        <f>IF(J161&lt;&gt;"E","",MATCH(S161,Transaksi!$M$2:$M$2001,0)+158-INDEX($Q$3:$Q$402,I161)-1)</f>
        <v/>
      </c>
      <c r="N161" t="n">
        <v>159</v>
      </c>
      <c r="O161">
        <f>IF(N161&lt;=$O$1,$O$1-N161+1,"")</f>
        <v/>
      </c>
      <c r="P161">
        <f>IF(O161="",0,COUNTIF(Transaksi!$M$2:$M$2001,O161)+1)</f>
        <v/>
      </c>
      <c r="Q161">
        <f>1+SUM(P$2:P160)</f>
        <v/>
      </c>
      <c r="S161">
        <f>IF(I161="","",INDEX($O$3:$O$402,I161))</f>
        <v/>
      </c>
      <c r="T161">
        <f>IF(J161&lt;&gt;"H","",INDEX(Transaksi!$A$2:$A$2001,MATCH(S161,Transaksi!$M$2:$M$2001,0)))</f>
        <v/>
      </c>
    </row>
    <row r="162">
      <c r="A162" s="31">
        <f>IF(J162="E",IF(INDEX(Transaksi!$J$2:$J$2001,K162)&gt;0,"↑","↓"),"")</f>
        <v/>
      </c>
      <c r="B162" s="32">
        <f>IF(J162="H",CHOOSE(WEEKDAY(T162,2),"Isnin","Selasa","Rabu","Khamis","Jumaat","Sabtu","Ahad")&amp;", "&amp;DAY(T162)&amp;" "&amp;CHOOSE(MONTH(T162),"Jan","Feb","Mac","Apr","Mei","Jun","Jul","Ogo","Sep","Okt","Nov","Dis")&amp;" "&amp;YEAR(T162),IF(J162="E",IF(INDEX(Transaksi!$B$2:$B$2001,K162)="",INDEX(Transaksi!$C$2:$C$2001,K162)&amp;" · "&amp;INDEX(Transaksi!$D$2:$D$2001,K162),INDEX(Transaksi!$B$2:$B$2001,K162)),""))</f>
        <v/>
      </c>
      <c r="C162" s="32">
        <f>IF(J162="E",INDEX(Transaksi!$C$2:$C$2001,K162)&amp;"","")</f>
        <v/>
      </c>
      <c r="D162" s="32">
        <f>IF(J162="E",INDEX(Transaksi!$D$2:$D$2001,K162)&amp;"","")</f>
        <v/>
      </c>
      <c r="E162" s="33">
        <f>IF(J162="H",SUMIFS(Transaksi!$G$2:$G$2001,Transaksi!$M$2:$M$2001,"="&amp;S162)+SUMIFS(Transaksi!$H$2:$H$2001,Transaksi!$M$2:$M$2001,"="&amp;S162)+SUMIFS(Transaksi!$I$2:$I$2001,Transaksi!$M$2:$M$2001,"="&amp;S162),IF(J162="E",IF(INDEX(Transaksi!$G$2:$G$2001,K162)+INDEX(Transaksi!$H$2:$H$2001,K162)+INDEX(Transaksi!$I$2:$I$2001,K162)=0,"",INDEX(Transaksi!$G$2:$G$2001,K162)+INDEX(Transaksi!$H$2:$H$2001,K162)+INDEX(Transaksi!$I$2:$I$2001,K162)),""))</f>
        <v/>
      </c>
      <c r="F162" s="33">
        <f>IF(J162="H",SUMIFS(Transaksi!$J$2:$J$2001,Transaksi!$M$2:$M$2001,"="&amp;S162),IF(J162="E",IF(INDEX(Transaksi!$J$2:$J$2001,K162)=0,"",INDEX(Transaksi!$J$2:$J$2001,K162)),""))</f>
        <v/>
      </c>
      <c r="G162" s="33">
        <f>IF(J162="H",(SUMIFS(Transaksi!$G$2:$G$2001,Transaksi!$M$2:$M$2001,"&lt;="&amp;S162)+SUMIFS(Transaksi!$H$2:$H$2001,Transaksi!$M$2:$M$2001,"&lt;="&amp;S162)+SUMIFS(Transaksi!$I$2:$I$2001,Transaksi!$M$2:$M$2001,"&lt;="&amp;S162))-(SUMIFS(Transaksi!$J$2:$J$2001,Transaksi!$M$2:$M$2001,"&lt;="&amp;S162)),"")</f>
        <v/>
      </c>
      <c r="I162">
        <f>IF(159&gt;$O$2,"",MATCH(159,$Q$3:$Q$402,1))</f>
        <v/>
      </c>
      <c r="J162">
        <f>IF(I162="","",IF(159=INDEX($Q$3:$Q$402,I162),"H","E"))</f>
        <v/>
      </c>
      <c r="K162">
        <f>IF(J162&lt;&gt;"E","",MATCH(S162,Transaksi!$M$2:$M$2001,0)+159-INDEX($Q$3:$Q$402,I162)-1)</f>
        <v/>
      </c>
      <c r="N162" t="n">
        <v>160</v>
      </c>
      <c r="O162">
        <f>IF(N162&lt;=$O$1,$O$1-N162+1,"")</f>
        <v/>
      </c>
      <c r="P162">
        <f>IF(O162="",0,COUNTIF(Transaksi!$M$2:$M$2001,O162)+1)</f>
        <v/>
      </c>
      <c r="Q162">
        <f>1+SUM(P$2:P161)</f>
        <v/>
      </c>
      <c r="S162">
        <f>IF(I162="","",INDEX($O$3:$O$402,I162))</f>
        <v/>
      </c>
      <c r="T162">
        <f>IF(J162&lt;&gt;"H","",INDEX(Transaksi!$A$2:$A$2001,MATCH(S162,Transaksi!$M$2:$M$2001,0)))</f>
        <v/>
      </c>
    </row>
    <row r="163">
      <c r="A163" s="31">
        <f>IF(J163="E",IF(INDEX(Transaksi!$J$2:$J$2001,K163)&gt;0,"↑","↓"),"")</f>
        <v/>
      </c>
      <c r="B163" s="32">
        <f>IF(J163="H",CHOOSE(WEEKDAY(T163,2),"Isnin","Selasa","Rabu","Khamis","Jumaat","Sabtu","Ahad")&amp;", "&amp;DAY(T163)&amp;" "&amp;CHOOSE(MONTH(T163),"Jan","Feb","Mac","Apr","Mei","Jun","Jul","Ogo","Sep","Okt","Nov","Dis")&amp;" "&amp;YEAR(T163),IF(J163="E",IF(INDEX(Transaksi!$B$2:$B$2001,K163)="",INDEX(Transaksi!$C$2:$C$2001,K163)&amp;" · "&amp;INDEX(Transaksi!$D$2:$D$2001,K163),INDEX(Transaksi!$B$2:$B$2001,K163)),""))</f>
        <v/>
      </c>
      <c r="C163" s="32">
        <f>IF(J163="E",INDEX(Transaksi!$C$2:$C$2001,K163)&amp;"","")</f>
        <v/>
      </c>
      <c r="D163" s="32">
        <f>IF(J163="E",INDEX(Transaksi!$D$2:$D$2001,K163)&amp;"","")</f>
        <v/>
      </c>
      <c r="E163" s="33">
        <f>IF(J163="H",SUMIFS(Transaksi!$G$2:$G$2001,Transaksi!$M$2:$M$2001,"="&amp;S163)+SUMIFS(Transaksi!$H$2:$H$2001,Transaksi!$M$2:$M$2001,"="&amp;S163)+SUMIFS(Transaksi!$I$2:$I$2001,Transaksi!$M$2:$M$2001,"="&amp;S163),IF(J163="E",IF(INDEX(Transaksi!$G$2:$G$2001,K163)+INDEX(Transaksi!$H$2:$H$2001,K163)+INDEX(Transaksi!$I$2:$I$2001,K163)=0,"",INDEX(Transaksi!$G$2:$G$2001,K163)+INDEX(Transaksi!$H$2:$H$2001,K163)+INDEX(Transaksi!$I$2:$I$2001,K163)),""))</f>
        <v/>
      </c>
      <c r="F163" s="33">
        <f>IF(J163="H",SUMIFS(Transaksi!$J$2:$J$2001,Transaksi!$M$2:$M$2001,"="&amp;S163),IF(J163="E",IF(INDEX(Transaksi!$J$2:$J$2001,K163)=0,"",INDEX(Transaksi!$J$2:$J$2001,K163)),""))</f>
        <v/>
      </c>
      <c r="G163" s="33">
        <f>IF(J163="H",(SUMIFS(Transaksi!$G$2:$G$2001,Transaksi!$M$2:$M$2001,"&lt;="&amp;S163)+SUMIFS(Transaksi!$H$2:$H$2001,Transaksi!$M$2:$M$2001,"&lt;="&amp;S163)+SUMIFS(Transaksi!$I$2:$I$2001,Transaksi!$M$2:$M$2001,"&lt;="&amp;S163))-(SUMIFS(Transaksi!$J$2:$J$2001,Transaksi!$M$2:$M$2001,"&lt;="&amp;S163)),"")</f>
        <v/>
      </c>
      <c r="I163">
        <f>IF(160&gt;$O$2,"",MATCH(160,$Q$3:$Q$402,1))</f>
        <v/>
      </c>
      <c r="J163">
        <f>IF(I163="","",IF(160=INDEX($Q$3:$Q$402,I163),"H","E"))</f>
        <v/>
      </c>
      <c r="K163">
        <f>IF(J163&lt;&gt;"E","",MATCH(S163,Transaksi!$M$2:$M$2001,0)+160-INDEX($Q$3:$Q$402,I163)-1)</f>
        <v/>
      </c>
      <c r="N163" t="n">
        <v>161</v>
      </c>
      <c r="O163">
        <f>IF(N163&lt;=$O$1,$O$1-N163+1,"")</f>
        <v/>
      </c>
      <c r="P163">
        <f>IF(O163="",0,COUNTIF(Transaksi!$M$2:$M$2001,O163)+1)</f>
        <v/>
      </c>
      <c r="Q163">
        <f>1+SUM(P$2:P162)</f>
        <v/>
      </c>
      <c r="S163">
        <f>IF(I163="","",INDEX($O$3:$O$402,I163))</f>
        <v/>
      </c>
      <c r="T163">
        <f>IF(J163&lt;&gt;"H","",INDEX(Transaksi!$A$2:$A$2001,MATCH(S163,Transaksi!$M$2:$M$2001,0)))</f>
        <v/>
      </c>
    </row>
    <row r="164">
      <c r="A164" s="31">
        <f>IF(J164="E",IF(INDEX(Transaksi!$J$2:$J$2001,K164)&gt;0,"↑","↓"),"")</f>
        <v/>
      </c>
      <c r="B164" s="32">
        <f>IF(J164="H",CHOOSE(WEEKDAY(T164,2),"Isnin","Selasa","Rabu","Khamis","Jumaat","Sabtu","Ahad")&amp;", "&amp;DAY(T164)&amp;" "&amp;CHOOSE(MONTH(T164),"Jan","Feb","Mac","Apr","Mei","Jun","Jul","Ogo","Sep","Okt","Nov","Dis")&amp;" "&amp;YEAR(T164),IF(J164="E",IF(INDEX(Transaksi!$B$2:$B$2001,K164)="",INDEX(Transaksi!$C$2:$C$2001,K164)&amp;" · "&amp;INDEX(Transaksi!$D$2:$D$2001,K164),INDEX(Transaksi!$B$2:$B$2001,K164)),""))</f>
        <v/>
      </c>
      <c r="C164" s="32">
        <f>IF(J164="E",INDEX(Transaksi!$C$2:$C$2001,K164)&amp;"","")</f>
        <v/>
      </c>
      <c r="D164" s="32">
        <f>IF(J164="E",INDEX(Transaksi!$D$2:$D$2001,K164)&amp;"","")</f>
        <v/>
      </c>
      <c r="E164" s="33">
        <f>IF(J164="H",SUMIFS(Transaksi!$G$2:$G$2001,Transaksi!$M$2:$M$2001,"="&amp;S164)+SUMIFS(Transaksi!$H$2:$H$2001,Transaksi!$M$2:$M$2001,"="&amp;S164)+SUMIFS(Transaksi!$I$2:$I$2001,Transaksi!$M$2:$M$2001,"="&amp;S164),IF(J164="E",IF(INDEX(Transaksi!$G$2:$G$2001,K164)+INDEX(Transaksi!$H$2:$H$2001,K164)+INDEX(Transaksi!$I$2:$I$2001,K164)=0,"",INDEX(Transaksi!$G$2:$G$2001,K164)+INDEX(Transaksi!$H$2:$H$2001,K164)+INDEX(Transaksi!$I$2:$I$2001,K164)),""))</f>
        <v/>
      </c>
      <c r="F164" s="33">
        <f>IF(J164="H",SUMIFS(Transaksi!$J$2:$J$2001,Transaksi!$M$2:$M$2001,"="&amp;S164),IF(J164="E",IF(INDEX(Transaksi!$J$2:$J$2001,K164)=0,"",INDEX(Transaksi!$J$2:$J$2001,K164)),""))</f>
        <v/>
      </c>
      <c r="G164" s="33">
        <f>IF(J164="H",(SUMIFS(Transaksi!$G$2:$G$2001,Transaksi!$M$2:$M$2001,"&lt;="&amp;S164)+SUMIFS(Transaksi!$H$2:$H$2001,Transaksi!$M$2:$M$2001,"&lt;="&amp;S164)+SUMIFS(Transaksi!$I$2:$I$2001,Transaksi!$M$2:$M$2001,"&lt;="&amp;S164))-(SUMIFS(Transaksi!$J$2:$J$2001,Transaksi!$M$2:$M$2001,"&lt;="&amp;S164)),"")</f>
        <v/>
      </c>
      <c r="I164">
        <f>IF(161&gt;$O$2,"",MATCH(161,$Q$3:$Q$402,1))</f>
        <v/>
      </c>
      <c r="J164">
        <f>IF(I164="","",IF(161=INDEX($Q$3:$Q$402,I164),"H","E"))</f>
        <v/>
      </c>
      <c r="K164">
        <f>IF(J164&lt;&gt;"E","",MATCH(S164,Transaksi!$M$2:$M$2001,0)+161-INDEX($Q$3:$Q$402,I164)-1)</f>
        <v/>
      </c>
      <c r="N164" t="n">
        <v>162</v>
      </c>
      <c r="O164">
        <f>IF(N164&lt;=$O$1,$O$1-N164+1,"")</f>
        <v/>
      </c>
      <c r="P164">
        <f>IF(O164="",0,COUNTIF(Transaksi!$M$2:$M$2001,O164)+1)</f>
        <v/>
      </c>
      <c r="Q164">
        <f>1+SUM(P$2:P163)</f>
        <v/>
      </c>
      <c r="S164">
        <f>IF(I164="","",INDEX($O$3:$O$402,I164))</f>
        <v/>
      </c>
      <c r="T164">
        <f>IF(J164&lt;&gt;"H","",INDEX(Transaksi!$A$2:$A$2001,MATCH(S164,Transaksi!$M$2:$M$2001,0)))</f>
        <v/>
      </c>
    </row>
    <row r="165">
      <c r="A165" s="31">
        <f>IF(J165="E",IF(INDEX(Transaksi!$J$2:$J$2001,K165)&gt;0,"↑","↓"),"")</f>
        <v/>
      </c>
      <c r="B165" s="32">
        <f>IF(J165="H",CHOOSE(WEEKDAY(T165,2),"Isnin","Selasa","Rabu","Khamis","Jumaat","Sabtu","Ahad")&amp;", "&amp;DAY(T165)&amp;" "&amp;CHOOSE(MONTH(T165),"Jan","Feb","Mac","Apr","Mei","Jun","Jul","Ogo","Sep","Okt","Nov","Dis")&amp;" "&amp;YEAR(T165),IF(J165="E",IF(INDEX(Transaksi!$B$2:$B$2001,K165)="",INDEX(Transaksi!$C$2:$C$2001,K165)&amp;" · "&amp;INDEX(Transaksi!$D$2:$D$2001,K165),INDEX(Transaksi!$B$2:$B$2001,K165)),""))</f>
        <v/>
      </c>
      <c r="C165" s="32">
        <f>IF(J165="E",INDEX(Transaksi!$C$2:$C$2001,K165)&amp;"","")</f>
        <v/>
      </c>
      <c r="D165" s="32">
        <f>IF(J165="E",INDEX(Transaksi!$D$2:$D$2001,K165)&amp;"","")</f>
        <v/>
      </c>
      <c r="E165" s="33">
        <f>IF(J165="H",SUMIFS(Transaksi!$G$2:$G$2001,Transaksi!$M$2:$M$2001,"="&amp;S165)+SUMIFS(Transaksi!$H$2:$H$2001,Transaksi!$M$2:$M$2001,"="&amp;S165)+SUMIFS(Transaksi!$I$2:$I$2001,Transaksi!$M$2:$M$2001,"="&amp;S165),IF(J165="E",IF(INDEX(Transaksi!$G$2:$G$2001,K165)+INDEX(Transaksi!$H$2:$H$2001,K165)+INDEX(Transaksi!$I$2:$I$2001,K165)=0,"",INDEX(Transaksi!$G$2:$G$2001,K165)+INDEX(Transaksi!$H$2:$H$2001,K165)+INDEX(Transaksi!$I$2:$I$2001,K165)),""))</f>
        <v/>
      </c>
      <c r="F165" s="33">
        <f>IF(J165="H",SUMIFS(Transaksi!$J$2:$J$2001,Transaksi!$M$2:$M$2001,"="&amp;S165),IF(J165="E",IF(INDEX(Transaksi!$J$2:$J$2001,K165)=0,"",INDEX(Transaksi!$J$2:$J$2001,K165)),""))</f>
        <v/>
      </c>
      <c r="G165" s="33">
        <f>IF(J165="H",(SUMIFS(Transaksi!$G$2:$G$2001,Transaksi!$M$2:$M$2001,"&lt;="&amp;S165)+SUMIFS(Transaksi!$H$2:$H$2001,Transaksi!$M$2:$M$2001,"&lt;="&amp;S165)+SUMIFS(Transaksi!$I$2:$I$2001,Transaksi!$M$2:$M$2001,"&lt;="&amp;S165))-(SUMIFS(Transaksi!$J$2:$J$2001,Transaksi!$M$2:$M$2001,"&lt;="&amp;S165)),"")</f>
        <v/>
      </c>
      <c r="I165">
        <f>IF(162&gt;$O$2,"",MATCH(162,$Q$3:$Q$402,1))</f>
        <v/>
      </c>
      <c r="J165">
        <f>IF(I165="","",IF(162=INDEX($Q$3:$Q$402,I165),"H","E"))</f>
        <v/>
      </c>
      <c r="K165">
        <f>IF(J165&lt;&gt;"E","",MATCH(S165,Transaksi!$M$2:$M$2001,0)+162-INDEX($Q$3:$Q$402,I165)-1)</f>
        <v/>
      </c>
      <c r="N165" t="n">
        <v>163</v>
      </c>
      <c r="O165">
        <f>IF(N165&lt;=$O$1,$O$1-N165+1,"")</f>
        <v/>
      </c>
      <c r="P165">
        <f>IF(O165="",0,COUNTIF(Transaksi!$M$2:$M$2001,O165)+1)</f>
        <v/>
      </c>
      <c r="Q165">
        <f>1+SUM(P$2:P164)</f>
        <v/>
      </c>
      <c r="S165">
        <f>IF(I165="","",INDEX($O$3:$O$402,I165))</f>
        <v/>
      </c>
      <c r="T165">
        <f>IF(J165&lt;&gt;"H","",INDEX(Transaksi!$A$2:$A$2001,MATCH(S165,Transaksi!$M$2:$M$2001,0)))</f>
        <v/>
      </c>
    </row>
    <row r="166">
      <c r="A166" s="31">
        <f>IF(J166="E",IF(INDEX(Transaksi!$J$2:$J$2001,K166)&gt;0,"↑","↓"),"")</f>
        <v/>
      </c>
      <c r="B166" s="32">
        <f>IF(J166="H",CHOOSE(WEEKDAY(T166,2),"Isnin","Selasa","Rabu","Khamis","Jumaat","Sabtu","Ahad")&amp;", "&amp;DAY(T166)&amp;" "&amp;CHOOSE(MONTH(T166),"Jan","Feb","Mac","Apr","Mei","Jun","Jul","Ogo","Sep","Okt","Nov","Dis")&amp;" "&amp;YEAR(T166),IF(J166="E",IF(INDEX(Transaksi!$B$2:$B$2001,K166)="",INDEX(Transaksi!$C$2:$C$2001,K166)&amp;" · "&amp;INDEX(Transaksi!$D$2:$D$2001,K166),INDEX(Transaksi!$B$2:$B$2001,K166)),""))</f>
        <v/>
      </c>
      <c r="C166" s="32">
        <f>IF(J166="E",INDEX(Transaksi!$C$2:$C$2001,K166)&amp;"","")</f>
        <v/>
      </c>
      <c r="D166" s="32">
        <f>IF(J166="E",INDEX(Transaksi!$D$2:$D$2001,K166)&amp;"","")</f>
        <v/>
      </c>
      <c r="E166" s="33">
        <f>IF(J166="H",SUMIFS(Transaksi!$G$2:$G$2001,Transaksi!$M$2:$M$2001,"="&amp;S166)+SUMIFS(Transaksi!$H$2:$H$2001,Transaksi!$M$2:$M$2001,"="&amp;S166)+SUMIFS(Transaksi!$I$2:$I$2001,Transaksi!$M$2:$M$2001,"="&amp;S166),IF(J166="E",IF(INDEX(Transaksi!$G$2:$G$2001,K166)+INDEX(Transaksi!$H$2:$H$2001,K166)+INDEX(Transaksi!$I$2:$I$2001,K166)=0,"",INDEX(Transaksi!$G$2:$G$2001,K166)+INDEX(Transaksi!$H$2:$H$2001,K166)+INDEX(Transaksi!$I$2:$I$2001,K166)),""))</f>
        <v/>
      </c>
      <c r="F166" s="33">
        <f>IF(J166="H",SUMIFS(Transaksi!$J$2:$J$2001,Transaksi!$M$2:$M$2001,"="&amp;S166),IF(J166="E",IF(INDEX(Transaksi!$J$2:$J$2001,K166)=0,"",INDEX(Transaksi!$J$2:$J$2001,K166)),""))</f>
        <v/>
      </c>
      <c r="G166" s="33">
        <f>IF(J166="H",(SUMIFS(Transaksi!$G$2:$G$2001,Transaksi!$M$2:$M$2001,"&lt;="&amp;S166)+SUMIFS(Transaksi!$H$2:$H$2001,Transaksi!$M$2:$M$2001,"&lt;="&amp;S166)+SUMIFS(Transaksi!$I$2:$I$2001,Transaksi!$M$2:$M$2001,"&lt;="&amp;S166))-(SUMIFS(Transaksi!$J$2:$J$2001,Transaksi!$M$2:$M$2001,"&lt;="&amp;S166)),"")</f>
        <v/>
      </c>
      <c r="I166">
        <f>IF(163&gt;$O$2,"",MATCH(163,$Q$3:$Q$402,1))</f>
        <v/>
      </c>
      <c r="J166">
        <f>IF(I166="","",IF(163=INDEX($Q$3:$Q$402,I166),"H","E"))</f>
        <v/>
      </c>
      <c r="K166">
        <f>IF(J166&lt;&gt;"E","",MATCH(S166,Transaksi!$M$2:$M$2001,0)+163-INDEX($Q$3:$Q$402,I166)-1)</f>
        <v/>
      </c>
      <c r="N166" t="n">
        <v>164</v>
      </c>
      <c r="O166">
        <f>IF(N166&lt;=$O$1,$O$1-N166+1,"")</f>
        <v/>
      </c>
      <c r="P166">
        <f>IF(O166="",0,COUNTIF(Transaksi!$M$2:$M$2001,O166)+1)</f>
        <v/>
      </c>
      <c r="Q166">
        <f>1+SUM(P$2:P165)</f>
        <v/>
      </c>
      <c r="S166">
        <f>IF(I166="","",INDEX($O$3:$O$402,I166))</f>
        <v/>
      </c>
      <c r="T166">
        <f>IF(J166&lt;&gt;"H","",INDEX(Transaksi!$A$2:$A$2001,MATCH(S166,Transaksi!$M$2:$M$2001,0)))</f>
        <v/>
      </c>
    </row>
    <row r="167">
      <c r="A167" s="31">
        <f>IF(J167="E",IF(INDEX(Transaksi!$J$2:$J$2001,K167)&gt;0,"↑","↓"),"")</f>
        <v/>
      </c>
      <c r="B167" s="32">
        <f>IF(J167="H",CHOOSE(WEEKDAY(T167,2),"Isnin","Selasa","Rabu","Khamis","Jumaat","Sabtu","Ahad")&amp;", "&amp;DAY(T167)&amp;" "&amp;CHOOSE(MONTH(T167),"Jan","Feb","Mac","Apr","Mei","Jun","Jul","Ogo","Sep","Okt","Nov","Dis")&amp;" "&amp;YEAR(T167),IF(J167="E",IF(INDEX(Transaksi!$B$2:$B$2001,K167)="",INDEX(Transaksi!$C$2:$C$2001,K167)&amp;" · "&amp;INDEX(Transaksi!$D$2:$D$2001,K167),INDEX(Transaksi!$B$2:$B$2001,K167)),""))</f>
        <v/>
      </c>
      <c r="C167" s="32">
        <f>IF(J167="E",INDEX(Transaksi!$C$2:$C$2001,K167)&amp;"","")</f>
        <v/>
      </c>
      <c r="D167" s="32">
        <f>IF(J167="E",INDEX(Transaksi!$D$2:$D$2001,K167)&amp;"","")</f>
        <v/>
      </c>
      <c r="E167" s="33">
        <f>IF(J167="H",SUMIFS(Transaksi!$G$2:$G$2001,Transaksi!$M$2:$M$2001,"="&amp;S167)+SUMIFS(Transaksi!$H$2:$H$2001,Transaksi!$M$2:$M$2001,"="&amp;S167)+SUMIFS(Transaksi!$I$2:$I$2001,Transaksi!$M$2:$M$2001,"="&amp;S167),IF(J167="E",IF(INDEX(Transaksi!$G$2:$G$2001,K167)+INDEX(Transaksi!$H$2:$H$2001,K167)+INDEX(Transaksi!$I$2:$I$2001,K167)=0,"",INDEX(Transaksi!$G$2:$G$2001,K167)+INDEX(Transaksi!$H$2:$H$2001,K167)+INDEX(Transaksi!$I$2:$I$2001,K167)),""))</f>
        <v/>
      </c>
      <c r="F167" s="33">
        <f>IF(J167="H",SUMIFS(Transaksi!$J$2:$J$2001,Transaksi!$M$2:$M$2001,"="&amp;S167),IF(J167="E",IF(INDEX(Transaksi!$J$2:$J$2001,K167)=0,"",INDEX(Transaksi!$J$2:$J$2001,K167)),""))</f>
        <v/>
      </c>
      <c r="G167" s="33">
        <f>IF(J167="H",(SUMIFS(Transaksi!$G$2:$G$2001,Transaksi!$M$2:$M$2001,"&lt;="&amp;S167)+SUMIFS(Transaksi!$H$2:$H$2001,Transaksi!$M$2:$M$2001,"&lt;="&amp;S167)+SUMIFS(Transaksi!$I$2:$I$2001,Transaksi!$M$2:$M$2001,"&lt;="&amp;S167))-(SUMIFS(Transaksi!$J$2:$J$2001,Transaksi!$M$2:$M$2001,"&lt;="&amp;S167)),"")</f>
        <v/>
      </c>
      <c r="I167">
        <f>IF(164&gt;$O$2,"",MATCH(164,$Q$3:$Q$402,1))</f>
        <v/>
      </c>
      <c r="J167">
        <f>IF(I167="","",IF(164=INDEX($Q$3:$Q$402,I167),"H","E"))</f>
        <v/>
      </c>
      <c r="K167">
        <f>IF(J167&lt;&gt;"E","",MATCH(S167,Transaksi!$M$2:$M$2001,0)+164-INDEX($Q$3:$Q$402,I167)-1)</f>
        <v/>
      </c>
      <c r="N167" t="n">
        <v>165</v>
      </c>
      <c r="O167">
        <f>IF(N167&lt;=$O$1,$O$1-N167+1,"")</f>
        <v/>
      </c>
      <c r="P167">
        <f>IF(O167="",0,COUNTIF(Transaksi!$M$2:$M$2001,O167)+1)</f>
        <v/>
      </c>
      <c r="Q167">
        <f>1+SUM(P$2:P166)</f>
        <v/>
      </c>
      <c r="S167">
        <f>IF(I167="","",INDEX($O$3:$O$402,I167))</f>
        <v/>
      </c>
      <c r="T167">
        <f>IF(J167&lt;&gt;"H","",INDEX(Transaksi!$A$2:$A$2001,MATCH(S167,Transaksi!$M$2:$M$2001,0)))</f>
        <v/>
      </c>
    </row>
    <row r="168">
      <c r="A168" s="31">
        <f>IF(J168="E",IF(INDEX(Transaksi!$J$2:$J$2001,K168)&gt;0,"↑","↓"),"")</f>
        <v/>
      </c>
      <c r="B168" s="32">
        <f>IF(J168="H",CHOOSE(WEEKDAY(T168,2),"Isnin","Selasa","Rabu","Khamis","Jumaat","Sabtu","Ahad")&amp;", "&amp;DAY(T168)&amp;" "&amp;CHOOSE(MONTH(T168),"Jan","Feb","Mac","Apr","Mei","Jun","Jul","Ogo","Sep","Okt","Nov","Dis")&amp;" "&amp;YEAR(T168),IF(J168="E",IF(INDEX(Transaksi!$B$2:$B$2001,K168)="",INDEX(Transaksi!$C$2:$C$2001,K168)&amp;" · "&amp;INDEX(Transaksi!$D$2:$D$2001,K168),INDEX(Transaksi!$B$2:$B$2001,K168)),""))</f>
        <v/>
      </c>
      <c r="C168" s="32">
        <f>IF(J168="E",INDEX(Transaksi!$C$2:$C$2001,K168)&amp;"","")</f>
        <v/>
      </c>
      <c r="D168" s="32">
        <f>IF(J168="E",INDEX(Transaksi!$D$2:$D$2001,K168)&amp;"","")</f>
        <v/>
      </c>
      <c r="E168" s="33">
        <f>IF(J168="H",SUMIFS(Transaksi!$G$2:$G$2001,Transaksi!$M$2:$M$2001,"="&amp;S168)+SUMIFS(Transaksi!$H$2:$H$2001,Transaksi!$M$2:$M$2001,"="&amp;S168)+SUMIFS(Transaksi!$I$2:$I$2001,Transaksi!$M$2:$M$2001,"="&amp;S168),IF(J168="E",IF(INDEX(Transaksi!$G$2:$G$2001,K168)+INDEX(Transaksi!$H$2:$H$2001,K168)+INDEX(Transaksi!$I$2:$I$2001,K168)=0,"",INDEX(Transaksi!$G$2:$G$2001,K168)+INDEX(Transaksi!$H$2:$H$2001,K168)+INDEX(Transaksi!$I$2:$I$2001,K168)),""))</f>
        <v/>
      </c>
      <c r="F168" s="33">
        <f>IF(J168="H",SUMIFS(Transaksi!$J$2:$J$2001,Transaksi!$M$2:$M$2001,"="&amp;S168),IF(J168="E",IF(INDEX(Transaksi!$J$2:$J$2001,K168)=0,"",INDEX(Transaksi!$J$2:$J$2001,K168)),""))</f>
        <v/>
      </c>
      <c r="G168" s="33">
        <f>IF(J168="H",(SUMIFS(Transaksi!$G$2:$G$2001,Transaksi!$M$2:$M$2001,"&lt;="&amp;S168)+SUMIFS(Transaksi!$H$2:$H$2001,Transaksi!$M$2:$M$2001,"&lt;="&amp;S168)+SUMIFS(Transaksi!$I$2:$I$2001,Transaksi!$M$2:$M$2001,"&lt;="&amp;S168))-(SUMIFS(Transaksi!$J$2:$J$2001,Transaksi!$M$2:$M$2001,"&lt;="&amp;S168)),"")</f>
        <v/>
      </c>
      <c r="I168">
        <f>IF(165&gt;$O$2,"",MATCH(165,$Q$3:$Q$402,1))</f>
        <v/>
      </c>
      <c r="J168">
        <f>IF(I168="","",IF(165=INDEX($Q$3:$Q$402,I168),"H","E"))</f>
        <v/>
      </c>
      <c r="K168">
        <f>IF(J168&lt;&gt;"E","",MATCH(S168,Transaksi!$M$2:$M$2001,0)+165-INDEX($Q$3:$Q$402,I168)-1)</f>
        <v/>
      </c>
      <c r="N168" t="n">
        <v>166</v>
      </c>
      <c r="O168">
        <f>IF(N168&lt;=$O$1,$O$1-N168+1,"")</f>
        <v/>
      </c>
      <c r="P168">
        <f>IF(O168="",0,COUNTIF(Transaksi!$M$2:$M$2001,O168)+1)</f>
        <v/>
      </c>
      <c r="Q168">
        <f>1+SUM(P$2:P167)</f>
        <v/>
      </c>
      <c r="S168">
        <f>IF(I168="","",INDEX($O$3:$O$402,I168))</f>
        <v/>
      </c>
      <c r="T168">
        <f>IF(J168&lt;&gt;"H","",INDEX(Transaksi!$A$2:$A$2001,MATCH(S168,Transaksi!$M$2:$M$2001,0)))</f>
        <v/>
      </c>
    </row>
    <row r="169">
      <c r="A169" s="31">
        <f>IF(J169="E",IF(INDEX(Transaksi!$J$2:$J$2001,K169)&gt;0,"↑","↓"),"")</f>
        <v/>
      </c>
      <c r="B169" s="32">
        <f>IF(J169="H",CHOOSE(WEEKDAY(T169,2),"Isnin","Selasa","Rabu","Khamis","Jumaat","Sabtu","Ahad")&amp;", "&amp;DAY(T169)&amp;" "&amp;CHOOSE(MONTH(T169),"Jan","Feb","Mac","Apr","Mei","Jun","Jul","Ogo","Sep","Okt","Nov","Dis")&amp;" "&amp;YEAR(T169),IF(J169="E",IF(INDEX(Transaksi!$B$2:$B$2001,K169)="",INDEX(Transaksi!$C$2:$C$2001,K169)&amp;" · "&amp;INDEX(Transaksi!$D$2:$D$2001,K169),INDEX(Transaksi!$B$2:$B$2001,K169)),""))</f>
        <v/>
      </c>
      <c r="C169" s="32">
        <f>IF(J169="E",INDEX(Transaksi!$C$2:$C$2001,K169)&amp;"","")</f>
        <v/>
      </c>
      <c r="D169" s="32">
        <f>IF(J169="E",INDEX(Transaksi!$D$2:$D$2001,K169)&amp;"","")</f>
        <v/>
      </c>
      <c r="E169" s="33">
        <f>IF(J169="H",SUMIFS(Transaksi!$G$2:$G$2001,Transaksi!$M$2:$M$2001,"="&amp;S169)+SUMIFS(Transaksi!$H$2:$H$2001,Transaksi!$M$2:$M$2001,"="&amp;S169)+SUMIFS(Transaksi!$I$2:$I$2001,Transaksi!$M$2:$M$2001,"="&amp;S169),IF(J169="E",IF(INDEX(Transaksi!$G$2:$G$2001,K169)+INDEX(Transaksi!$H$2:$H$2001,K169)+INDEX(Transaksi!$I$2:$I$2001,K169)=0,"",INDEX(Transaksi!$G$2:$G$2001,K169)+INDEX(Transaksi!$H$2:$H$2001,K169)+INDEX(Transaksi!$I$2:$I$2001,K169)),""))</f>
        <v/>
      </c>
      <c r="F169" s="33">
        <f>IF(J169="H",SUMIFS(Transaksi!$J$2:$J$2001,Transaksi!$M$2:$M$2001,"="&amp;S169),IF(J169="E",IF(INDEX(Transaksi!$J$2:$J$2001,K169)=0,"",INDEX(Transaksi!$J$2:$J$2001,K169)),""))</f>
        <v/>
      </c>
      <c r="G169" s="33">
        <f>IF(J169="H",(SUMIFS(Transaksi!$G$2:$G$2001,Transaksi!$M$2:$M$2001,"&lt;="&amp;S169)+SUMIFS(Transaksi!$H$2:$H$2001,Transaksi!$M$2:$M$2001,"&lt;="&amp;S169)+SUMIFS(Transaksi!$I$2:$I$2001,Transaksi!$M$2:$M$2001,"&lt;="&amp;S169))-(SUMIFS(Transaksi!$J$2:$J$2001,Transaksi!$M$2:$M$2001,"&lt;="&amp;S169)),"")</f>
        <v/>
      </c>
      <c r="I169">
        <f>IF(166&gt;$O$2,"",MATCH(166,$Q$3:$Q$402,1))</f>
        <v/>
      </c>
      <c r="J169">
        <f>IF(I169="","",IF(166=INDEX($Q$3:$Q$402,I169),"H","E"))</f>
        <v/>
      </c>
      <c r="K169">
        <f>IF(J169&lt;&gt;"E","",MATCH(S169,Transaksi!$M$2:$M$2001,0)+166-INDEX($Q$3:$Q$402,I169)-1)</f>
        <v/>
      </c>
      <c r="N169" t="n">
        <v>167</v>
      </c>
      <c r="O169">
        <f>IF(N169&lt;=$O$1,$O$1-N169+1,"")</f>
        <v/>
      </c>
      <c r="P169">
        <f>IF(O169="",0,COUNTIF(Transaksi!$M$2:$M$2001,O169)+1)</f>
        <v/>
      </c>
      <c r="Q169">
        <f>1+SUM(P$2:P168)</f>
        <v/>
      </c>
      <c r="S169">
        <f>IF(I169="","",INDEX($O$3:$O$402,I169))</f>
        <v/>
      </c>
      <c r="T169">
        <f>IF(J169&lt;&gt;"H","",INDEX(Transaksi!$A$2:$A$2001,MATCH(S169,Transaksi!$M$2:$M$2001,0)))</f>
        <v/>
      </c>
    </row>
    <row r="170">
      <c r="A170" s="31">
        <f>IF(J170="E",IF(INDEX(Transaksi!$J$2:$J$2001,K170)&gt;0,"↑","↓"),"")</f>
        <v/>
      </c>
      <c r="B170" s="32">
        <f>IF(J170="H",CHOOSE(WEEKDAY(T170,2),"Isnin","Selasa","Rabu","Khamis","Jumaat","Sabtu","Ahad")&amp;", "&amp;DAY(T170)&amp;" "&amp;CHOOSE(MONTH(T170),"Jan","Feb","Mac","Apr","Mei","Jun","Jul","Ogo","Sep","Okt","Nov","Dis")&amp;" "&amp;YEAR(T170),IF(J170="E",IF(INDEX(Transaksi!$B$2:$B$2001,K170)="",INDEX(Transaksi!$C$2:$C$2001,K170)&amp;" · "&amp;INDEX(Transaksi!$D$2:$D$2001,K170),INDEX(Transaksi!$B$2:$B$2001,K170)),""))</f>
        <v/>
      </c>
      <c r="C170" s="32">
        <f>IF(J170="E",INDEX(Transaksi!$C$2:$C$2001,K170)&amp;"","")</f>
        <v/>
      </c>
      <c r="D170" s="32">
        <f>IF(J170="E",INDEX(Transaksi!$D$2:$D$2001,K170)&amp;"","")</f>
        <v/>
      </c>
      <c r="E170" s="33">
        <f>IF(J170="H",SUMIFS(Transaksi!$G$2:$G$2001,Transaksi!$M$2:$M$2001,"="&amp;S170)+SUMIFS(Transaksi!$H$2:$H$2001,Transaksi!$M$2:$M$2001,"="&amp;S170)+SUMIFS(Transaksi!$I$2:$I$2001,Transaksi!$M$2:$M$2001,"="&amp;S170),IF(J170="E",IF(INDEX(Transaksi!$G$2:$G$2001,K170)+INDEX(Transaksi!$H$2:$H$2001,K170)+INDEX(Transaksi!$I$2:$I$2001,K170)=0,"",INDEX(Transaksi!$G$2:$G$2001,K170)+INDEX(Transaksi!$H$2:$H$2001,K170)+INDEX(Transaksi!$I$2:$I$2001,K170)),""))</f>
        <v/>
      </c>
      <c r="F170" s="33">
        <f>IF(J170="H",SUMIFS(Transaksi!$J$2:$J$2001,Transaksi!$M$2:$M$2001,"="&amp;S170),IF(J170="E",IF(INDEX(Transaksi!$J$2:$J$2001,K170)=0,"",INDEX(Transaksi!$J$2:$J$2001,K170)),""))</f>
        <v/>
      </c>
      <c r="G170" s="33">
        <f>IF(J170="H",(SUMIFS(Transaksi!$G$2:$G$2001,Transaksi!$M$2:$M$2001,"&lt;="&amp;S170)+SUMIFS(Transaksi!$H$2:$H$2001,Transaksi!$M$2:$M$2001,"&lt;="&amp;S170)+SUMIFS(Transaksi!$I$2:$I$2001,Transaksi!$M$2:$M$2001,"&lt;="&amp;S170))-(SUMIFS(Transaksi!$J$2:$J$2001,Transaksi!$M$2:$M$2001,"&lt;="&amp;S170)),"")</f>
        <v/>
      </c>
      <c r="I170">
        <f>IF(167&gt;$O$2,"",MATCH(167,$Q$3:$Q$402,1))</f>
        <v/>
      </c>
      <c r="J170">
        <f>IF(I170="","",IF(167=INDEX($Q$3:$Q$402,I170),"H","E"))</f>
        <v/>
      </c>
      <c r="K170">
        <f>IF(J170&lt;&gt;"E","",MATCH(S170,Transaksi!$M$2:$M$2001,0)+167-INDEX($Q$3:$Q$402,I170)-1)</f>
        <v/>
      </c>
      <c r="N170" t="n">
        <v>168</v>
      </c>
      <c r="O170">
        <f>IF(N170&lt;=$O$1,$O$1-N170+1,"")</f>
        <v/>
      </c>
      <c r="P170">
        <f>IF(O170="",0,COUNTIF(Transaksi!$M$2:$M$2001,O170)+1)</f>
        <v/>
      </c>
      <c r="Q170">
        <f>1+SUM(P$2:P169)</f>
        <v/>
      </c>
      <c r="S170">
        <f>IF(I170="","",INDEX($O$3:$O$402,I170))</f>
        <v/>
      </c>
      <c r="T170">
        <f>IF(J170&lt;&gt;"H","",INDEX(Transaksi!$A$2:$A$2001,MATCH(S170,Transaksi!$M$2:$M$2001,0)))</f>
        <v/>
      </c>
    </row>
    <row r="171">
      <c r="A171" s="31">
        <f>IF(J171="E",IF(INDEX(Transaksi!$J$2:$J$2001,K171)&gt;0,"↑","↓"),"")</f>
        <v/>
      </c>
      <c r="B171" s="32">
        <f>IF(J171="H",CHOOSE(WEEKDAY(T171,2),"Isnin","Selasa","Rabu","Khamis","Jumaat","Sabtu","Ahad")&amp;", "&amp;DAY(T171)&amp;" "&amp;CHOOSE(MONTH(T171),"Jan","Feb","Mac","Apr","Mei","Jun","Jul","Ogo","Sep","Okt","Nov","Dis")&amp;" "&amp;YEAR(T171),IF(J171="E",IF(INDEX(Transaksi!$B$2:$B$2001,K171)="",INDEX(Transaksi!$C$2:$C$2001,K171)&amp;" · "&amp;INDEX(Transaksi!$D$2:$D$2001,K171),INDEX(Transaksi!$B$2:$B$2001,K171)),""))</f>
        <v/>
      </c>
      <c r="C171" s="32">
        <f>IF(J171="E",INDEX(Transaksi!$C$2:$C$2001,K171)&amp;"","")</f>
        <v/>
      </c>
      <c r="D171" s="32">
        <f>IF(J171="E",INDEX(Transaksi!$D$2:$D$2001,K171)&amp;"","")</f>
        <v/>
      </c>
      <c r="E171" s="33">
        <f>IF(J171="H",SUMIFS(Transaksi!$G$2:$G$2001,Transaksi!$M$2:$M$2001,"="&amp;S171)+SUMIFS(Transaksi!$H$2:$H$2001,Transaksi!$M$2:$M$2001,"="&amp;S171)+SUMIFS(Transaksi!$I$2:$I$2001,Transaksi!$M$2:$M$2001,"="&amp;S171),IF(J171="E",IF(INDEX(Transaksi!$G$2:$G$2001,K171)+INDEX(Transaksi!$H$2:$H$2001,K171)+INDEX(Transaksi!$I$2:$I$2001,K171)=0,"",INDEX(Transaksi!$G$2:$G$2001,K171)+INDEX(Transaksi!$H$2:$H$2001,K171)+INDEX(Transaksi!$I$2:$I$2001,K171)),""))</f>
        <v/>
      </c>
      <c r="F171" s="33">
        <f>IF(J171="H",SUMIFS(Transaksi!$J$2:$J$2001,Transaksi!$M$2:$M$2001,"="&amp;S171),IF(J171="E",IF(INDEX(Transaksi!$J$2:$J$2001,K171)=0,"",INDEX(Transaksi!$J$2:$J$2001,K171)),""))</f>
        <v/>
      </c>
      <c r="G171" s="33">
        <f>IF(J171="H",(SUMIFS(Transaksi!$G$2:$G$2001,Transaksi!$M$2:$M$2001,"&lt;="&amp;S171)+SUMIFS(Transaksi!$H$2:$H$2001,Transaksi!$M$2:$M$2001,"&lt;="&amp;S171)+SUMIFS(Transaksi!$I$2:$I$2001,Transaksi!$M$2:$M$2001,"&lt;="&amp;S171))-(SUMIFS(Transaksi!$J$2:$J$2001,Transaksi!$M$2:$M$2001,"&lt;="&amp;S171)),"")</f>
        <v/>
      </c>
      <c r="I171">
        <f>IF(168&gt;$O$2,"",MATCH(168,$Q$3:$Q$402,1))</f>
        <v/>
      </c>
      <c r="J171">
        <f>IF(I171="","",IF(168=INDEX($Q$3:$Q$402,I171),"H","E"))</f>
        <v/>
      </c>
      <c r="K171">
        <f>IF(J171&lt;&gt;"E","",MATCH(S171,Transaksi!$M$2:$M$2001,0)+168-INDEX($Q$3:$Q$402,I171)-1)</f>
        <v/>
      </c>
      <c r="N171" t="n">
        <v>169</v>
      </c>
      <c r="O171">
        <f>IF(N171&lt;=$O$1,$O$1-N171+1,"")</f>
        <v/>
      </c>
      <c r="P171">
        <f>IF(O171="",0,COUNTIF(Transaksi!$M$2:$M$2001,O171)+1)</f>
        <v/>
      </c>
      <c r="Q171">
        <f>1+SUM(P$2:P170)</f>
        <v/>
      </c>
      <c r="S171">
        <f>IF(I171="","",INDEX($O$3:$O$402,I171))</f>
        <v/>
      </c>
      <c r="T171">
        <f>IF(J171&lt;&gt;"H","",INDEX(Transaksi!$A$2:$A$2001,MATCH(S171,Transaksi!$M$2:$M$2001,0)))</f>
        <v/>
      </c>
    </row>
    <row r="172">
      <c r="A172" s="31">
        <f>IF(J172="E",IF(INDEX(Transaksi!$J$2:$J$2001,K172)&gt;0,"↑","↓"),"")</f>
        <v/>
      </c>
      <c r="B172" s="32">
        <f>IF(J172="H",CHOOSE(WEEKDAY(T172,2),"Isnin","Selasa","Rabu","Khamis","Jumaat","Sabtu","Ahad")&amp;", "&amp;DAY(T172)&amp;" "&amp;CHOOSE(MONTH(T172),"Jan","Feb","Mac","Apr","Mei","Jun","Jul","Ogo","Sep","Okt","Nov","Dis")&amp;" "&amp;YEAR(T172),IF(J172="E",IF(INDEX(Transaksi!$B$2:$B$2001,K172)="",INDEX(Transaksi!$C$2:$C$2001,K172)&amp;" · "&amp;INDEX(Transaksi!$D$2:$D$2001,K172),INDEX(Transaksi!$B$2:$B$2001,K172)),""))</f>
        <v/>
      </c>
      <c r="C172" s="32">
        <f>IF(J172="E",INDEX(Transaksi!$C$2:$C$2001,K172)&amp;"","")</f>
        <v/>
      </c>
      <c r="D172" s="32">
        <f>IF(J172="E",INDEX(Transaksi!$D$2:$D$2001,K172)&amp;"","")</f>
        <v/>
      </c>
      <c r="E172" s="33">
        <f>IF(J172="H",SUMIFS(Transaksi!$G$2:$G$2001,Transaksi!$M$2:$M$2001,"="&amp;S172)+SUMIFS(Transaksi!$H$2:$H$2001,Transaksi!$M$2:$M$2001,"="&amp;S172)+SUMIFS(Transaksi!$I$2:$I$2001,Transaksi!$M$2:$M$2001,"="&amp;S172),IF(J172="E",IF(INDEX(Transaksi!$G$2:$G$2001,K172)+INDEX(Transaksi!$H$2:$H$2001,K172)+INDEX(Transaksi!$I$2:$I$2001,K172)=0,"",INDEX(Transaksi!$G$2:$G$2001,K172)+INDEX(Transaksi!$H$2:$H$2001,K172)+INDEX(Transaksi!$I$2:$I$2001,K172)),""))</f>
        <v/>
      </c>
      <c r="F172" s="33">
        <f>IF(J172="H",SUMIFS(Transaksi!$J$2:$J$2001,Transaksi!$M$2:$M$2001,"="&amp;S172),IF(J172="E",IF(INDEX(Transaksi!$J$2:$J$2001,K172)=0,"",INDEX(Transaksi!$J$2:$J$2001,K172)),""))</f>
        <v/>
      </c>
      <c r="G172" s="33">
        <f>IF(J172="H",(SUMIFS(Transaksi!$G$2:$G$2001,Transaksi!$M$2:$M$2001,"&lt;="&amp;S172)+SUMIFS(Transaksi!$H$2:$H$2001,Transaksi!$M$2:$M$2001,"&lt;="&amp;S172)+SUMIFS(Transaksi!$I$2:$I$2001,Transaksi!$M$2:$M$2001,"&lt;="&amp;S172))-(SUMIFS(Transaksi!$J$2:$J$2001,Transaksi!$M$2:$M$2001,"&lt;="&amp;S172)),"")</f>
        <v/>
      </c>
      <c r="I172">
        <f>IF(169&gt;$O$2,"",MATCH(169,$Q$3:$Q$402,1))</f>
        <v/>
      </c>
      <c r="J172">
        <f>IF(I172="","",IF(169=INDEX($Q$3:$Q$402,I172),"H","E"))</f>
        <v/>
      </c>
      <c r="K172">
        <f>IF(J172&lt;&gt;"E","",MATCH(S172,Transaksi!$M$2:$M$2001,0)+169-INDEX($Q$3:$Q$402,I172)-1)</f>
        <v/>
      </c>
      <c r="N172" t="n">
        <v>170</v>
      </c>
      <c r="O172">
        <f>IF(N172&lt;=$O$1,$O$1-N172+1,"")</f>
        <v/>
      </c>
      <c r="P172">
        <f>IF(O172="",0,COUNTIF(Transaksi!$M$2:$M$2001,O172)+1)</f>
        <v/>
      </c>
      <c r="Q172">
        <f>1+SUM(P$2:P171)</f>
        <v/>
      </c>
      <c r="S172">
        <f>IF(I172="","",INDEX($O$3:$O$402,I172))</f>
        <v/>
      </c>
      <c r="T172">
        <f>IF(J172&lt;&gt;"H","",INDEX(Transaksi!$A$2:$A$2001,MATCH(S172,Transaksi!$M$2:$M$2001,0)))</f>
        <v/>
      </c>
    </row>
    <row r="173">
      <c r="A173" s="31">
        <f>IF(J173="E",IF(INDEX(Transaksi!$J$2:$J$2001,K173)&gt;0,"↑","↓"),"")</f>
        <v/>
      </c>
      <c r="B173" s="32">
        <f>IF(J173="H",CHOOSE(WEEKDAY(T173,2),"Isnin","Selasa","Rabu","Khamis","Jumaat","Sabtu","Ahad")&amp;", "&amp;DAY(T173)&amp;" "&amp;CHOOSE(MONTH(T173),"Jan","Feb","Mac","Apr","Mei","Jun","Jul","Ogo","Sep","Okt","Nov","Dis")&amp;" "&amp;YEAR(T173),IF(J173="E",IF(INDEX(Transaksi!$B$2:$B$2001,K173)="",INDEX(Transaksi!$C$2:$C$2001,K173)&amp;" · "&amp;INDEX(Transaksi!$D$2:$D$2001,K173),INDEX(Transaksi!$B$2:$B$2001,K173)),""))</f>
        <v/>
      </c>
      <c r="C173" s="32">
        <f>IF(J173="E",INDEX(Transaksi!$C$2:$C$2001,K173)&amp;"","")</f>
        <v/>
      </c>
      <c r="D173" s="32">
        <f>IF(J173="E",INDEX(Transaksi!$D$2:$D$2001,K173)&amp;"","")</f>
        <v/>
      </c>
      <c r="E173" s="33">
        <f>IF(J173="H",SUMIFS(Transaksi!$G$2:$G$2001,Transaksi!$M$2:$M$2001,"="&amp;S173)+SUMIFS(Transaksi!$H$2:$H$2001,Transaksi!$M$2:$M$2001,"="&amp;S173)+SUMIFS(Transaksi!$I$2:$I$2001,Transaksi!$M$2:$M$2001,"="&amp;S173),IF(J173="E",IF(INDEX(Transaksi!$G$2:$G$2001,K173)+INDEX(Transaksi!$H$2:$H$2001,K173)+INDEX(Transaksi!$I$2:$I$2001,K173)=0,"",INDEX(Transaksi!$G$2:$G$2001,K173)+INDEX(Transaksi!$H$2:$H$2001,K173)+INDEX(Transaksi!$I$2:$I$2001,K173)),""))</f>
        <v/>
      </c>
      <c r="F173" s="33">
        <f>IF(J173="H",SUMIFS(Transaksi!$J$2:$J$2001,Transaksi!$M$2:$M$2001,"="&amp;S173),IF(J173="E",IF(INDEX(Transaksi!$J$2:$J$2001,K173)=0,"",INDEX(Transaksi!$J$2:$J$2001,K173)),""))</f>
        <v/>
      </c>
      <c r="G173" s="33">
        <f>IF(J173="H",(SUMIFS(Transaksi!$G$2:$G$2001,Transaksi!$M$2:$M$2001,"&lt;="&amp;S173)+SUMIFS(Transaksi!$H$2:$H$2001,Transaksi!$M$2:$M$2001,"&lt;="&amp;S173)+SUMIFS(Transaksi!$I$2:$I$2001,Transaksi!$M$2:$M$2001,"&lt;="&amp;S173))-(SUMIFS(Transaksi!$J$2:$J$2001,Transaksi!$M$2:$M$2001,"&lt;="&amp;S173)),"")</f>
        <v/>
      </c>
      <c r="I173">
        <f>IF(170&gt;$O$2,"",MATCH(170,$Q$3:$Q$402,1))</f>
        <v/>
      </c>
      <c r="J173">
        <f>IF(I173="","",IF(170=INDEX($Q$3:$Q$402,I173),"H","E"))</f>
        <v/>
      </c>
      <c r="K173">
        <f>IF(J173&lt;&gt;"E","",MATCH(S173,Transaksi!$M$2:$M$2001,0)+170-INDEX($Q$3:$Q$402,I173)-1)</f>
        <v/>
      </c>
      <c r="N173" t="n">
        <v>171</v>
      </c>
      <c r="O173">
        <f>IF(N173&lt;=$O$1,$O$1-N173+1,"")</f>
        <v/>
      </c>
      <c r="P173">
        <f>IF(O173="",0,COUNTIF(Transaksi!$M$2:$M$2001,O173)+1)</f>
        <v/>
      </c>
      <c r="Q173">
        <f>1+SUM(P$2:P172)</f>
        <v/>
      </c>
      <c r="S173">
        <f>IF(I173="","",INDEX($O$3:$O$402,I173))</f>
        <v/>
      </c>
      <c r="T173">
        <f>IF(J173&lt;&gt;"H","",INDEX(Transaksi!$A$2:$A$2001,MATCH(S173,Transaksi!$M$2:$M$2001,0)))</f>
        <v/>
      </c>
    </row>
    <row r="174">
      <c r="A174" s="31">
        <f>IF(J174="E",IF(INDEX(Transaksi!$J$2:$J$2001,K174)&gt;0,"↑","↓"),"")</f>
        <v/>
      </c>
      <c r="B174" s="32">
        <f>IF(J174="H",CHOOSE(WEEKDAY(T174,2),"Isnin","Selasa","Rabu","Khamis","Jumaat","Sabtu","Ahad")&amp;", "&amp;DAY(T174)&amp;" "&amp;CHOOSE(MONTH(T174),"Jan","Feb","Mac","Apr","Mei","Jun","Jul","Ogo","Sep","Okt","Nov","Dis")&amp;" "&amp;YEAR(T174),IF(J174="E",IF(INDEX(Transaksi!$B$2:$B$2001,K174)="",INDEX(Transaksi!$C$2:$C$2001,K174)&amp;" · "&amp;INDEX(Transaksi!$D$2:$D$2001,K174),INDEX(Transaksi!$B$2:$B$2001,K174)),""))</f>
        <v/>
      </c>
      <c r="C174" s="32">
        <f>IF(J174="E",INDEX(Transaksi!$C$2:$C$2001,K174)&amp;"","")</f>
        <v/>
      </c>
      <c r="D174" s="32">
        <f>IF(J174="E",INDEX(Transaksi!$D$2:$D$2001,K174)&amp;"","")</f>
        <v/>
      </c>
      <c r="E174" s="33">
        <f>IF(J174="H",SUMIFS(Transaksi!$G$2:$G$2001,Transaksi!$M$2:$M$2001,"="&amp;S174)+SUMIFS(Transaksi!$H$2:$H$2001,Transaksi!$M$2:$M$2001,"="&amp;S174)+SUMIFS(Transaksi!$I$2:$I$2001,Transaksi!$M$2:$M$2001,"="&amp;S174),IF(J174="E",IF(INDEX(Transaksi!$G$2:$G$2001,K174)+INDEX(Transaksi!$H$2:$H$2001,K174)+INDEX(Transaksi!$I$2:$I$2001,K174)=0,"",INDEX(Transaksi!$G$2:$G$2001,K174)+INDEX(Transaksi!$H$2:$H$2001,K174)+INDEX(Transaksi!$I$2:$I$2001,K174)),""))</f>
        <v/>
      </c>
      <c r="F174" s="33">
        <f>IF(J174="H",SUMIFS(Transaksi!$J$2:$J$2001,Transaksi!$M$2:$M$2001,"="&amp;S174),IF(J174="E",IF(INDEX(Transaksi!$J$2:$J$2001,K174)=0,"",INDEX(Transaksi!$J$2:$J$2001,K174)),""))</f>
        <v/>
      </c>
      <c r="G174" s="33">
        <f>IF(J174="H",(SUMIFS(Transaksi!$G$2:$G$2001,Transaksi!$M$2:$M$2001,"&lt;="&amp;S174)+SUMIFS(Transaksi!$H$2:$H$2001,Transaksi!$M$2:$M$2001,"&lt;="&amp;S174)+SUMIFS(Transaksi!$I$2:$I$2001,Transaksi!$M$2:$M$2001,"&lt;="&amp;S174))-(SUMIFS(Transaksi!$J$2:$J$2001,Transaksi!$M$2:$M$2001,"&lt;="&amp;S174)),"")</f>
        <v/>
      </c>
      <c r="I174">
        <f>IF(171&gt;$O$2,"",MATCH(171,$Q$3:$Q$402,1))</f>
        <v/>
      </c>
      <c r="J174">
        <f>IF(I174="","",IF(171=INDEX($Q$3:$Q$402,I174),"H","E"))</f>
        <v/>
      </c>
      <c r="K174">
        <f>IF(J174&lt;&gt;"E","",MATCH(S174,Transaksi!$M$2:$M$2001,0)+171-INDEX($Q$3:$Q$402,I174)-1)</f>
        <v/>
      </c>
      <c r="N174" t="n">
        <v>172</v>
      </c>
      <c r="O174">
        <f>IF(N174&lt;=$O$1,$O$1-N174+1,"")</f>
        <v/>
      </c>
      <c r="P174">
        <f>IF(O174="",0,COUNTIF(Transaksi!$M$2:$M$2001,O174)+1)</f>
        <v/>
      </c>
      <c r="Q174">
        <f>1+SUM(P$2:P173)</f>
        <v/>
      </c>
      <c r="S174">
        <f>IF(I174="","",INDEX($O$3:$O$402,I174))</f>
        <v/>
      </c>
      <c r="T174">
        <f>IF(J174&lt;&gt;"H","",INDEX(Transaksi!$A$2:$A$2001,MATCH(S174,Transaksi!$M$2:$M$2001,0)))</f>
        <v/>
      </c>
    </row>
    <row r="175">
      <c r="A175" s="31">
        <f>IF(J175="E",IF(INDEX(Transaksi!$J$2:$J$2001,K175)&gt;0,"↑","↓"),"")</f>
        <v/>
      </c>
      <c r="B175" s="32">
        <f>IF(J175="H",CHOOSE(WEEKDAY(T175,2),"Isnin","Selasa","Rabu","Khamis","Jumaat","Sabtu","Ahad")&amp;", "&amp;DAY(T175)&amp;" "&amp;CHOOSE(MONTH(T175),"Jan","Feb","Mac","Apr","Mei","Jun","Jul","Ogo","Sep","Okt","Nov","Dis")&amp;" "&amp;YEAR(T175),IF(J175="E",IF(INDEX(Transaksi!$B$2:$B$2001,K175)="",INDEX(Transaksi!$C$2:$C$2001,K175)&amp;" · "&amp;INDEX(Transaksi!$D$2:$D$2001,K175),INDEX(Transaksi!$B$2:$B$2001,K175)),""))</f>
        <v/>
      </c>
      <c r="C175" s="32">
        <f>IF(J175="E",INDEX(Transaksi!$C$2:$C$2001,K175)&amp;"","")</f>
        <v/>
      </c>
      <c r="D175" s="32">
        <f>IF(J175="E",INDEX(Transaksi!$D$2:$D$2001,K175)&amp;"","")</f>
        <v/>
      </c>
      <c r="E175" s="33">
        <f>IF(J175="H",SUMIFS(Transaksi!$G$2:$G$2001,Transaksi!$M$2:$M$2001,"="&amp;S175)+SUMIFS(Transaksi!$H$2:$H$2001,Transaksi!$M$2:$M$2001,"="&amp;S175)+SUMIFS(Transaksi!$I$2:$I$2001,Transaksi!$M$2:$M$2001,"="&amp;S175),IF(J175="E",IF(INDEX(Transaksi!$G$2:$G$2001,K175)+INDEX(Transaksi!$H$2:$H$2001,K175)+INDEX(Transaksi!$I$2:$I$2001,K175)=0,"",INDEX(Transaksi!$G$2:$G$2001,K175)+INDEX(Transaksi!$H$2:$H$2001,K175)+INDEX(Transaksi!$I$2:$I$2001,K175)),""))</f>
        <v/>
      </c>
      <c r="F175" s="33">
        <f>IF(J175="H",SUMIFS(Transaksi!$J$2:$J$2001,Transaksi!$M$2:$M$2001,"="&amp;S175),IF(J175="E",IF(INDEX(Transaksi!$J$2:$J$2001,K175)=0,"",INDEX(Transaksi!$J$2:$J$2001,K175)),""))</f>
        <v/>
      </c>
      <c r="G175" s="33">
        <f>IF(J175="H",(SUMIFS(Transaksi!$G$2:$G$2001,Transaksi!$M$2:$M$2001,"&lt;="&amp;S175)+SUMIFS(Transaksi!$H$2:$H$2001,Transaksi!$M$2:$M$2001,"&lt;="&amp;S175)+SUMIFS(Transaksi!$I$2:$I$2001,Transaksi!$M$2:$M$2001,"&lt;="&amp;S175))-(SUMIFS(Transaksi!$J$2:$J$2001,Transaksi!$M$2:$M$2001,"&lt;="&amp;S175)),"")</f>
        <v/>
      </c>
      <c r="I175">
        <f>IF(172&gt;$O$2,"",MATCH(172,$Q$3:$Q$402,1))</f>
        <v/>
      </c>
      <c r="J175">
        <f>IF(I175="","",IF(172=INDEX($Q$3:$Q$402,I175),"H","E"))</f>
        <v/>
      </c>
      <c r="K175">
        <f>IF(J175&lt;&gt;"E","",MATCH(S175,Transaksi!$M$2:$M$2001,0)+172-INDEX($Q$3:$Q$402,I175)-1)</f>
        <v/>
      </c>
      <c r="N175" t="n">
        <v>173</v>
      </c>
      <c r="O175">
        <f>IF(N175&lt;=$O$1,$O$1-N175+1,"")</f>
        <v/>
      </c>
      <c r="P175">
        <f>IF(O175="",0,COUNTIF(Transaksi!$M$2:$M$2001,O175)+1)</f>
        <v/>
      </c>
      <c r="Q175">
        <f>1+SUM(P$2:P174)</f>
        <v/>
      </c>
      <c r="S175">
        <f>IF(I175="","",INDEX($O$3:$O$402,I175))</f>
        <v/>
      </c>
      <c r="T175">
        <f>IF(J175&lt;&gt;"H","",INDEX(Transaksi!$A$2:$A$2001,MATCH(S175,Transaksi!$M$2:$M$2001,0)))</f>
        <v/>
      </c>
    </row>
    <row r="176">
      <c r="A176" s="31">
        <f>IF(J176="E",IF(INDEX(Transaksi!$J$2:$J$2001,K176)&gt;0,"↑","↓"),"")</f>
        <v/>
      </c>
      <c r="B176" s="32">
        <f>IF(J176="H",CHOOSE(WEEKDAY(T176,2),"Isnin","Selasa","Rabu","Khamis","Jumaat","Sabtu","Ahad")&amp;", "&amp;DAY(T176)&amp;" "&amp;CHOOSE(MONTH(T176),"Jan","Feb","Mac","Apr","Mei","Jun","Jul","Ogo","Sep","Okt","Nov","Dis")&amp;" "&amp;YEAR(T176),IF(J176="E",IF(INDEX(Transaksi!$B$2:$B$2001,K176)="",INDEX(Transaksi!$C$2:$C$2001,K176)&amp;" · "&amp;INDEX(Transaksi!$D$2:$D$2001,K176),INDEX(Transaksi!$B$2:$B$2001,K176)),""))</f>
        <v/>
      </c>
      <c r="C176" s="32">
        <f>IF(J176="E",INDEX(Transaksi!$C$2:$C$2001,K176)&amp;"","")</f>
        <v/>
      </c>
      <c r="D176" s="32">
        <f>IF(J176="E",INDEX(Transaksi!$D$2:$D$2001,K176)&amp;"","")</f>
        <v/>
      </c>
      <c r="E176" s="33">
        <f>IF(J176="H",SUMIFS(Transaksi!$G$2:$G$2001,Transaksi!$M$2:$M$2001,"="&amp;S176)+SUMIFS(Transaksi!$H$2:$H$2001,Transaksi!$M$2:$M$2001,"="&amp;S176)+SUMIFS(Transaksi!$I$2:$I$2001,Transaksi!$M$2:$M$2001,"="&amp;S176),IF(J176="E",IF(INDEX(Transaksi!$G$2:$G$2001,K176)+INDEX(Transaksi!$H$2:$H$2001,K176)+INDEX(Transaksi!$I$2:$I$2001,K176)=0,"",INDEX(Transaksi!$G$2:$G$2001,K176)+INDEX(Transaksi!$H$2:$H$2001,K176)+INDEX(Transaksi!$I$2:$I$2001,K176)),""))</f>
        <v/>
      </c>
      <c r="F176" s="33">
        <f>IF(J176="H",SUMIFS(Transaksi!$J$2:$J$2001,Transaksi!$M$2:$M$2001,"="&amp;S176),IF(J176="E",IF(INDEX(Transaksi!$J$2:$J$2001,K176)=0,"",INDEX(Transaksi!$J$2:$J$2001,K176)),""))</f>
        <v/>
      </c>
      <c r="G176" s="33">
        <f>IF(J176="H",(SUMIFS(Transaksi!$G$2:$G$2001,Transaksi!$M$2:$M$2001,"&lt;="&amp;S176)+SUMIFS(Transaksi!$H$2:$H$2001,Transaksi!$M$2:$M$2001,"&lt;="&amp;S176)+SUMIFS(Transaksi!$I$2:$I$2001,Transaksi!$M$2:$M$2001,"&lt;="&amp;S176))-(SUMIFS(Transaksi!$J$2:$J$2001,Transaksi!$M$2:$M$2001,"&lt;="&amp;S176)),"")</f>
        <v/>
      </c>
      <c r="I176">
        <f>IF(173&gt;$O$2,"",MATCH(173,$Q$3:$Q$402,1))</f>
        <v/>
      </c>
      <c r="J176">
        <f>IF(I176="","",IF(173=INDEX($Q$3:$Q$402,I176),"H","E"))</f>
        <v/>
      </c>
      <c r="K176">
        <f>IF(J176&lt;&gt;"E","",MATCH(S176,Transaksi!$M$2:$M$2001,0)+173-INDEX($Q$3:$Q$402,I176)-1)</f>
        <v/>
      </c>
      <c r="N176" t="n">
        <v>174</v>
      </c>
      <c r="O176">
        <f>IF(N176&lt;=$O$1,$O$1-N176+1,"")</f>
        <v/>
      </c>
      <c r="P176">
        <f>IF(O176="",0,COUNTIF(Transaksi!$M$2:$M$2001,O176)+1)</f>
        <v/>
      </c>
      <c r="Q176">
        <f>1+SUM(P$2:P175)</f>
        <v/>
      </c>
      <c r="S176">
        <f>IF(I176="","",INDEX($O$3:$O$402,I176))</f>
        <v/>
      </c>
      <c r="T176">
        <f>IF(J176&lt;&gt;"H","",INDEX(Transaksi!$A$2:$A$2001,MATCH(S176,Transaksi!$M$2:$M$2001,0)))</f>
        <v/>
      </c>
    </row>
    <row r="177">
      <c r="A177" s="31">
        <f>IF(J177="E",IF(INDEX(Transaksi!$J$2:$J$2001,K177)&gt;0,"↑","↓"),"")</f>
        <v/>
      </c>
      <c r="B177" s="32">
        <f>IF(J177="H",CHOOSE(WEEKDAY(T177,2),"Isnin","Selasa","Rabu","Khamis","Jumaat","Sabtu","Ahad")&amp;", "&amp;DAY(T177)&amp;" "&amp;CHOOSE(MONTH(T177),"Jan","Feb","Mac","Apr","Mei","Jun","Jul","Ogo","Sep","Okt","Nov","Dis")&amp;" "&amp;YEAR(T177),IF(J177="E",IF(INDEX(Transaksi!$B$2:$B$2001,K177)="",INDEX(Transaksi!$C$2:$C$2001,K177)&amp;" · "&amp;INDEX(Transaksi!$D$2:$D$2001,K177),INDEX(Transaksi!$B$2:$B$2001,K177)),""))</f>
        <v/>
      </c>
      <c r="C177" s="32">
        <f>IF(J177="E",INDEX(Transaksi!$C$2:$C$2001,K177)&amp;"","")</f>
        <v/>
      </c>
      <c r="D177" s="32">
        <f>IF(J177="E",INDEX(Transaksi!$D$2:$D$2001,K177)&amp;"","")</f>
        <v/>
      </c>
      <c r="E177" s="33">
        <f>IF(J177="H",SUMIFS(Transaksi!$G$2:$G$2001,Transaksi!$M$2:$M$2001,"="&amp;S177)+SUMIFS(Transaksi!$H$2:$H$2001,Transaksi!$M$2:$M$2001,"="&amp;S177)+SUMIFS(Transaksi!$I$2:$I$2001,Transaksi!$M$2:$M$2001,"="&amp;S177),IF(J177="E",IF(INDEX(Transaksi!$G$2:$G$2001,K177)+INDEX(Transaksi!$H$2:$H$2001,K177)+INDEX(Transaksi!$I$2:$I$2001,K177)=0,"",INDEX(Transaksi!$G$2:$G$2001,K177)+INDEX(Transaksi!$H$2:$H$2001,K177)+INDEX(Transaksi!$I$2:$I$2001,K177)),""))</f>
        <v/>
      </c>
      <c r="F177" s="33">
        <f>IF(J177="H",SUMIFS(Transaksi!$J$2:$J$2001,Transaksi!$M$2:$M$2001,"="&amp;S177),IF(J177="E",IF(INDEX(Transaksi!$J$2:$J$2001,K177)=0,"",INDEX(Transaksi!$J$2:$J$2001,K177)),""))</f>
        <v/>
      </c>
      <c r="G177" s="33">
        <f>IF(J177="H",(SUMIFS(Transaksi!$G$2:$G$2001,Transaksi!$M$2:$M$2001,"&lt;="&amp;S177)+SUMIFS(Transaksi!$H$2:$H$2001,Transaksi!$M$2:$M$2001,"&lt;="&amp;S177)+SUMIFS(Transaksi!$I$2:$I$2001,Transaksi!$M$2:$M$2001,"&lt;="&amp;S177))-(SUMIFS(Transaksi!$J$2:$J$2001,Transaksi!$M$2:$M$2001,"&lt;="&amp;S177)),"")</f>
        <v/>
      </c>
      <c r="I177">
        <f>IF(174&gt;$O$2,"",MATCH(174,$Q$3:$Q$402,1))</f>
        <v/>
      </c>
      <c r="J177">
        <f>IF(I177="","",IF(174=INDEX($Q$3:$Q$402,I177),"H","E"))</f>
        <v/>
      </c>
      <c r="K177">
        <f>IF(J177&lt;&gt;"E","",MATCH(S177,Transaksi!$M$2:$M$2001,0)+174-INDEX($Q$3:$Q$402,I177)-1)</f>
        <v/>
      </c>
      <c r="N177" t="n">
        <v>175</v>
      </c>
      <c r="O177">
        <f>IF(N177&lt;=$O$1,$O$1-N177+1,"")</f>
        <v/>
      </c>
      <c r="P177">
        <f>IF(O177="",0,COUNTIF(Transaksi!$M$2:$M$2001,O177)+1)</f>
        <v/>
      </c>
      <c r="Q177">
        <f>1+SUM(P$2:P176)</f>
        <v/>
      </c>
      <c r="S177">
        <f>IF(I177="","",INDEX($O$3:$O$402,I177))</f>
        <v/>
      </c>
      <c r="T177">
        <f>IF(J177&lt;&gt;"H","",INDEX(Transaksi!$A$2:$A$2001,MATCH(S177,Transaksi!$M$2:$M$2001,0)))</f>
        <v/>
      </c>
    </row>
    <row r="178">
      <c r="A178" s="31">
        <f>IF(J178="E",IF(INDEX(Transaksi!$J$2:$J$2001,K178)&gt;0,"↑","↓"),"")</f>
        <v/>
      </c>
      <c r="B178" s="32">
        <f>IF(J178="H",CHOOSE(WEEKDAY(T178,2),"Isnin","Selasa","Rabu","Khamis","Jumaat","Sabtu","Ahad")&amp;", "&amp;DAY(T178)&amp;" "&amp;CHOOSE(MONTH(T178),"Jan","Feb","Mac","Apr","Mei","Jun","Jul","Ogo","Sep","Okt","Nov","Dis")&amp;" "&amp;YEAR(T178),IF(J178="E",IF(INDEX(Transaksi!$B$2:$B$2001,K178)="",INDEX(Transaksi!$C$2:$C$2001,K178)&amp;" · "&amp;INDEX(Transaksi!$D$2:$D$2001,K178),INDEX(Transaksi!$B$2:$B$2001,K178)),""))</f>
        <v/>
      </c>
      <c r="C178" s="32">
        <f>IF(J178="E",INDEX(Transaksi!$C$2:$C$2001,K178)&amp;"","")</f>
        <v/>
      </c>
      <c r="D178" s="32">
        <f>IF(J178="E",INDEX(Transaksi!$D$2:$D$2001,K178)&amp;"","")</f>
        <v/>
      </c>
      <c r="E178" s="33">
        <f>IF(J178="H",SUMIFS(Transaksi!$G$2:$G$2001,Transaksi!$M$2:$M$2001,"="&amp;S178)+SUMIFS(Transaksi!$H$2:$H$2001,Transaksi!$M$2:$M$2001,"="&amp;S178)+SUMIFS(Transaksi!$I$2:$I$2001,Transaksi!$M$2:$M$2001,"="&amp;S178),IF(J178="E",IF(INDEX(Transaksi!$G$2:$G$2001,K178)+INDEX(Transaksi!$H$2:$H$2001,K178)+INDEX(Transaksi!$I$2:$I$2001,K178)=0,"",INDEX(Transaksi!$G$2:$G$2001,K178)+INDEX(Transaksi!$H$2:$H$2001,K178)+INDEX(Transaksi!$I$2:$I$2001,K178)),""))</f>
        <v/>
      </c>
      <c r="F178" s="33">
        <f>IF(J178="H",SUMIFS(Transaksi!$J$2:$J$2001,Transaksi!$M$2:$M$2001,"="&amp;S178),IF(J178="E",IF(INDEX(Transaksi!$J$2:$J$2001,K178)=0,"",INDEX(Transaksi!$J$2:$J$2001,K178)),""))</f>
        <v/>
      </c>
      <c r="G178" s="33">
        <f>IF(J178="H",(SUMIFS(Transaksi!$G$2:$G$2001,Transaksi!$M$2:$M$2001,"&lt;="&amp;S178)+SUMIFS(Transaksi!$H$2:$H$2001,Transaksi!$M$2:$M$2001,"&lt;="&amp;S178)+SUMIFS(Transaksi!$I$2:$I$2001,Transaksi!$M$2:$M$2001,"&lt;="&amp;S178))-(SUMIFS(Transaksi!$J$2:$J$2001,Transaksi!$M$2:$M$2001,"&lt;="&amp;S178)),"")</f>
        <v/>
      </c>
      <c r="I178">
        <f>IF(175&gt;$O$2,"",MATCH(175,$Q$3:$Q$402,1))</f>
        <v/>
      </c>
      <c r="J178">
        <f>IF(I178="","",IF(175=INDEX($Q$3:$Q$402,I178),"H","E"))</f>
        <v/>
      </c>
      <c r="K178">
        <f>IF(J178&lt;&gt;"E","",MATCH(S178,Transaksi!$M$2:$M$2001,0)+175-INDEX($Q$3:$Q$402,I178)-1)</f>
        <v/>
      </c>
      <c r="N178" t="n">
        <v>176</v>
      </c>
      <c r="O178">
        <f>IF(N178&lt;=$O$1,$O$1-N178+1,"")</f>
        <v/>
      </c>
      <c r="P178">
        <f>IF(O178="",0,COUNTIF(Transaksi!$M$2:$M$2001,O178)+1)</f>
        <v/>
      </c>
      <c r="Q178">
        <f>1+SUM(P$2:P177)</f>
        <v/>
      </c>
      <c r="S178">
        <f>IF(I178="","",INDEX($O$3:$O$402,I178))</f>
        <v/>
      </c>
      <c r="T178">
        <f>IF(J178&lt;&gt;"H","",INDEX(Transaksi!$A$2:$A$2001,MATCH(S178,Transaksi!$M$2:$M$2001,0)))</f>
        <v/>
      </c>
    </row>
    <row r="179">
      <c r="A179" s="31">
        <f>IF(J179="E",IF(INDEX(Transaksi!$J$2:$J$2001,K179)&gt;0,"↑","↓"),"")</f>
        <v/>
      </c>
      <c r="B179" s="32">
        <f>IF(J179="H",CHOOSE(WEEKDAY(T179,2),"Isnin","Selasa","Rabu","Khamis","Jumaat","Sabtu","Ahad")&amp;", "&amp;DAY(T179)&amp;" "&amp;CHOOSE(MONTH(T179),"Jan","Feb","Mac","Apr","Mei","Jun","Jul","Ogo","Sep","Okt","Nov","Dis")&amp;" "&amp;YEAR(T179),IF(J179="E",IF(INDEX(Transaksi!$B$2:$B$2001,K179)="",INDEX(Transaksi!$C$2:$C$2001,K179)&amp;" · "&amp;INDEX(Transaksi!$D$2:$D$2001,K179),INDEX(Transaksi!$B$2:$B$2001,K179)),""))</f>
        <v/>
      </c>
      <c r="C179" s="32">
        <f>IF(J179="E",INDEX(Transaksi!$C$2:$C$2001,K179)&amp;"","")</f>
        <v/>
      </c>
      <c r="D179" s="32">
        <f>IF(J179="E",INDEX(Transaksi!$D$2:$D$2001,K179)&amp;"","")</f>
        <v/>
      </c>
      <c r="E179" s="33">
        <f>IF(J179="H",SUMIFS(Transaksi!$G$2:$G$2001,Transaksi!$M$2:$M$2001,"="&amp;S179)+SUMIFS(Transaksi!$H$2:$H$2001,Transaksi!$M$2:$M$2001,"="&amp;S179)+SUMIFS(Transaksi!$I$2:$I$2001,Transaksi!$M$2:$M$2001,"="&amp;S179),IF(J179="E",IF(INDEX(Transaksi!$G$2:$G$2001,K179)+INDEX(Transaksi!$H$2:$H$2001,K179)+INDEX(Transaksi!$I$2:$I$2001,K179)=0,"",INDEX(Transaksi!$G$2:$G$2001,K179)+INDEX(Transaksi!$H$2:$H$2001,K179)+INDEX(Transaksi!$I$2:$I$2001,K179)),""))</f>
        <v/>
      </c>
      <c r="F179" s="33">
        <f>IF(J179="H",SUMIFS(Transaksi!$J$2:$J$2001,Transaksi!$M$2:$M$2001,"="&amp;S179),IF(J179="E",IF(INDEX(Transaksi!$J$2:$J$2001,K179)=0,"",INDEX(Transaksi!$J$2:$J$2001,K179)),""))</f>
        <v/>
      </c>
      <c r="G179" s="33">
        <f>IF(J179="H",(SUMIFS(Transaksi!$G$2:$G$2001,Transaksi!$M$2:$M$2001,"&lt;="&amp;S179)+SUMIFS(Transaksi!$H$2:$H$2001,Transaksi!$M$2:$M$2001,"&lt;="&amp;S179)+SUMIFS(Transaksi!$I$2:$I$2001,Transaksi!$M$2:$M$2001,"&lt;="&amp;S179))-(SUMIFS(Transaksi!$J$2:$J$2001,Transaksi!$M$2:$M$2001,"&lt;="&amp;S179)),"")</f>
        <v/>
      </c>
      <c r="I179">
        <f>IF(176&gt;$O$2,"",MATCH(176,$Q$3:$Q$402,1))</f>
        <v/>
      </c>
      <c r="J179">
        <f>IF(I179="","",IF(176=INDEX($Q$3:$Q$402,I179),"H","E"))</f>
        <v/>
      </c>
      <c r="K179">
        <f>IF(J179&lt;&gt;"E","",MATCH(S179,Transaksi!$M$2:$M$2001,0)+176-INDEX($Q$3:$Q$402,I179)-1)</f>
        <v/>
      </c>
      <c r="N179" t="n">
        <v>177</v>
      </c>
      <c r="O179">
        <f>IF(N179&lt;=$O$1,$O$1-N179+1,"")</f>
        <v/>
      </c>
      <c r="P179">
        <f>IF(O179="",0,COUNTIF(Transaksi!$M$2:$M$2001,O179)+1)</f>
        <v/>
      </c>
      <c r="Q179">
        <f>1+SUM(P$2:P178)</f>
        <v/>
      </c>
      <c r="S179">
        <f>IF(I179="","",INDEX($O$3:$O$402,I179))</f>
        <v/>
      </c>
      <c r="T179">
        <f>IF(J179&lt;&gt;"H","",INDEX(Transaksi!$A$2:$A$2001,MATCH(S179,Transaksi!$M$2:$M$2001,0)))</f>
        <v/>
      </c>
    </row>
    <row r="180">
      <c r="A180" s="31">
        <f>IF(J180="E",IF(INDEX(Transaksi!$J$2:$J$2001,K180)&gt;0,"↑","↓"),"")</f>
        <v/>
      </c>
      <c r="B180" s="32">
        <f>IF(J180="H",CHOOSE(WEEKDAY(T180,2),"Isnin","Selasa","Rabu","Khamis","Jumaat","Sabtu","Ahad")&amp;", "&amp;DAY(T180)&amp;" "&amp;CHOOSE(MONTH(T180),"Jan","Feb","Mac","Apr","Mei","Jun","Jul","Ogo","Sep","Okt","Nov","Dis")&amp;" "&amp;YEAR(T180),IF(J180="E",IF(INDEX(Transaksi!$B$2:$B$2001,K180)="",INDEX(Transaksi!$C$2:$C$2001,K180)&amp;" · "&amp;INDEX(Transaksi!$D$2:$D$2001,K180),INDEX(Transaksi!$B$2:$B$2001,K180)),""))</f>
        <v/>
      </c>
      <c r="C180" s="32">
        <f>IF(J180="E",INDEX(Transaksi!$C$2:$C$2001,K180)&amp;"","")</f>
        <v/>
      </c>
      <c r="D180" s="32">
        <f>IF(J180="E",INDEX(Transaksi!$D$2:$D$2001,K180)&amp;"","")</f>
        <v/>
      </c>
      <c r="E180" s="33">
        <f>IF(J180="H",SUMIFS(Transaksi!$G$2:$G$2001,Transaksi!$M$2:$M$2001,"="&amp;S180)+SUMIFS(Transaksi!$H$2:$H$2001,Transaksi!$M$2:$M$2001,"="&amp;S180)+SUMIFS(Transaksi!$I$2:$I$2001,Transaksi!$M$2:$M$2001,"="&amp;S180),IF(J180="E",IF(INDEX(Transaksi!$G$2:$G$2001,K180)+INDEX(Transaksi!$H$2:$H$2001,K180)+INDEX(Transaksi!$I$2:$I$2001,K180)=0,"",INDEX(Transaksi!$G$2:$G$2001,K180)+INDEX(Transaksi!$H$2:$H$2001,K180)+INDEX(Transaksi!$I$2:$I$2001,K180)),""))</f>
        <v/>
      </c>
      <c r="F180" s="33">
        <f>IF(J180="H",SUMIFS(Transaksi!$J$2:$J$2001,Transaksi!$M$2:$M$2001,"="&amp;S180),IF(J180="E",IF(INDEX(Transaksi!$J$2:$J$2001,K180)=0,"",INDEX(Transaksi!$J$2:$J$2001,K180)),""))</f>
        <v/>
      </c>
      <c r="G180" s="33">
        <f>IF(J180="H",(SUMIFS(Transaksi!$G$2:$G$2001,Transaksi!$M$2:$M$2001,"&lt;="&amp;S180)+SUMIFS(Transaksi!$H$2:$H$2001,Transaksi!$M$2:$M$2001,"&lt;="&amp;S180)+SUMIFS(Transaksi!$I$2:$I$2001,Transaksi!$M$2:$M$2001,"&lt;="&amp;S180))-(SUMIFS(Transaksi!$J$2:$J$2001,Transaksi!$M$2:$M$2001,"&lt;="&amp;S180)),"")</f>
        <v/>
      </c>
      <c r="I180">
        <f>IF(177&gt;$O$2,"",MATCH(177,$Q$3:$Q$402,1))</f>
        <v/>
      </c>
      <c r="J180">
        <f>IF(I180="","",IF(177=INDEX($Q$3:$Q$402,I180),"H","E"))</f>
        <v/>
      </c>
      <c r="K180">
        <f>IF(J180&lt;&gt;"E","",MATCH(S180,Transaksi!$M$2:$M$2001,0)+177-INDEX($Q$3:$Q$402,I180)-1)</f>
        <v/>
      </c>
      <c r="N180" t="n">
        <v>178</v>
      </c>
      <c r="O180">
        <f>IF(N180&lt;=$O$1,$O$1-N180+1,"")</f>
        <v/>
      </c>
      <c r="P180">
        <f>IF(O180="",0,COUNTIF(Transaksi!$M$2:$M$2001,O180)+1)</f>
        <v/>
      </c>
      <c r="Q180">
        <f>1+SUM(P$2:P179)</f>
        <v/>
      </c>
      <c r="S180">
        <f>IF(I180="","",INDEX($O$3:$O$402,I180))</f>
        <v/>
      </c>
      <c r="T180">
        <f>IF(J180&lt;&gt;"H","",INDEX(Transaksi!$A$2:$A$2001,MATCH(S180,Transaksi!$M$2:$M$2001,0)))</f>
        <v/>
      </c>
    </row>
    <row r="181">
      <c r="A181" s="31">
        <f>IF(J181="E",IF(INDEX(Transaksi!$J$2:$J$2001,K181)&gt;0,"↑","↓"),"")</f>
        <v/>
      </c>
      <c r="B181" s="32">
        <f>IF(J181="H",CHOOSE(WEEKDAY(T181,2),"Isnin","Selasa","Rabu","Khamis","Jumaat","Sabtu","Ahad")&amp;", "&amp;DAY(T181)&amp;" "&amp;CHOOSE(MONTH(T181),"Jan","Feb","Mac","Apr","Mei","Jun","Jul","Ogo","Sep","Okt","Nov","Dis")&amp;" "&amp;YEAR(T181),IF(J181="E",IF(INDEX(Transaksi!$B$2:$B$2001,K181)="",INDEX(Transaksi!$C$2:$C$2001,K181)&amp;" · "&amp;INDEX(Transaksi!$D$2:$D$2001,K181),INDEX(Transaksi!$B$2:$B$2001,K181)),""))</f>
        <v/>
      </c>
      <c r="C181" s="32">
        <f>IF(J181="E",INDEX(Transaksi!$C$2:$C$2001,K181)&amp;"","")</f>
        <v/>
      </c>
      <c r="D181" s="32">
        <f>IF(J181="E",INDEX(Transaksi!$D$2:$D$2001,K181)&amp;"","")</f>
        <v/>
      </c>
      <c r="E181" s="33">
        <f>IF(J181="H",SUMIFS(Transaksi!$G$2:$G$2001,Transaksi!$M$2:$M$2001,"="&amp;S181)+SUMIFS(Transaksi!$H$2:$H$2001,Transaksi!$M$2:$M$2001,"="&amp;S181)+SUMIFS(Transaksi!$I$2:$I$2001,Transaksi!$M$2:$M$2001,"="&amp;S181),IF(J181="E",IF(INDEX(Transaksi!$G$2:$G$2001,K181)+INDEX(Transaksi!$H$2:$H$2001,K181)+INDEX(Transaksi!$I$2:$I$2001,K181)=0,"",INDEX(Transaksi!$G$2:$G$2001,K181)+INDEX(Transaksi!$H$2:$H$2001,K181)+INDEX(Transaksi!$I$2:$I$2001,K181)),""))</f>
        <v/>
      </c>
      <c r="F181" s="33">
        <f>IF(J181="H",SUMIFS(Transaksi!$J$2:$J$2001,Transaksi!$M$2:$M$2001,"="&amp;S181),IF(J181="E",IF(INDEX(Transaksi!$J$2:$J$2001,K181)=0,"",INDEX(Transaksi!$J$2:$J$2001,K181)),""))</f>
        <v/>
      </c>
      <c r="G181" s="33">
        <f>IF(J181="H",(SUMIFS(Transaksi!$G$2:$G$2001,Transaksi!$M$2:$M$2001,"&lt;="&amp;S181)+SUMIFS(Transaksi!$H$2:$H$2001,Transaksi!$M$2:$M$2001,"&lt;="&amp;S181)+SUMIFS(Transaksi!$I$2:$I$2001,Transaksi!$M$2:$M$2001,"&lt;="&amp;S181))-(SUMIFS(Transaksi!$J$2:$J$2001,Transaksi!$M$2:$M$2001,"&lt;="&amp;S181)),"")</f>
        <v/>
      </c>
      <c r="I181">
        <f>IF(178&gt;$O$2,"",MATCH(178,$Q$3:$Q$402,1))</f>
        <v/>
      </c>
      <c r="J181">
        <f>IF(I181="","",IF(178=INDEX($Q$3:$Q$402,I181),"H","E"))</f>
        <v/>
      </c>
      <c r="K181">
        <f>IF(J181&lt;&gt;"E","",MATCH(S181,Transaksi!$M$2:$M$2001,0)+178-INDEX($Q$3:$Q$402,I181)-1)</f>
        <v/>
      </c>
      <c r="N181" t="n">
        <v>179</v>
      </c>
      <c r="O181">
        <f>IF(N181&lt;=$O$1,$O$1-N181+1,"")</f>
        <v/>
      </c>
      <c r="P181">
        <f>IF(O181="",0,COUNTIF(Transaksi!$M$2:$M$2001,O181)+1)</f>
        <v/>
      </c>
      <c r="Q181">
        <f>1+SUM(P$2:P180)</f>
        <v/>
      </c>
      <c r="S181">
        <f>IF(I181="","",INDEX($O$3:$O$402,I181))</f>
        <v/>
      </c>
      <c r="T181">
        <f>IF(J181&lt;&gt;"H","",INDEX(Transaksi!$A$2:$A$2001,MATCH(S181,Transaksi!$M$2:$M$2001,0)))</f>
        <v/>
      </c>
    </row>
    <row r="182">
      <c r="A182" s="31">
        <f>IF(J182="E",IF(INDEX(Transaksi!$J$2:$J$2001,K182)&gt;0,"↑","↓"),"")</f>
        <v/>
      </c>
      <c r="B182" s="32">
        <f>IF(J182="H",CHOOSE(WEEKDAY(T182,2),"Isnin","Selasa","Rabu","Khamis","Jumaat","Sabtu","Ahad")&amp;", "&amp;DAY(T182)&amp;" "&amp;CHOOSE(MONTH(T182),"Jan","Feb","Mac","Apr","Mei","Jun","Jul","Ogo","Sep","Okt","Nov","Dis")&amp;" "&amp;YEAR(T182),IF(J182="E",IF(INDEX(Transaksi!$B$2:$B$2001,K182)="",INDEX(Transaksi!$C$2:$C$2001,K182)&amp;" · "&amp;INDEX(Transaksi!$D$2:$D$2001,K182),INDEX(Transaksi!$B$2:$B$2001,K182)),""))</f>
        <v/>
      </c>
      <c r="C182" s="32">
        <f>IF(J182="E",INDEX(Transaksi!$C$2:$C$2001,K182)&amp;"","")</f>
        <v/>
      </c>
      <c r="D182" s="32">
        <f>IF(J182="E",INDEX(Transaksi!$D$2:$D$2001,K182)&amp;"","")</f>
        <v/>
      </c>
      <c r="E182" s="33">
        <f>IF(J182="H",SUMIFS(Transaksi!$G$2:$G$2001,Transaksi!$M$2:$M$2001,"="&amp;S182)+SUMIFS(Transaksi!$H$2:$H$2001,Transaksi!$M$2:$M$2001,"="&amp;S182)+SUMIFS(Transaksi!$I$2:$I$2001,Transaksi!$M$2:$M$2001,"="&amp;S182),IF(J182="E",IF(INDEX(Transaksi!$G$2:$G$2001,K182)+INDEX(Transaksi!$H$2:$H$2001,K182)+INDEX(Transaksi!$I$2:$I$2001,K182)=0,"",INDEX(Transaksi!$G$2:$G$2001,K182)+INDEX(Transaksi!$H$2:$H$2001,K182)+INDEX(Transaksi!$I$2:$I$2001,K182)),""))</f>
        <v/>
      </c>
      <c r="F182" s="33">
        <f>IF(J182="H",SUMIFS(Transaksi!$J$2:$J$2001,Transaksi!$M$2:$M$2001,"="&amp;S182),IF(J182="E",IF(INDEX(Transaksi!$J$2:$J$2001,K182)=0,"",INDEX(Transaksi!$J$2:$J$2001,K182)),""))</f>
        <v/>
      </c>
      <c r="G182" s="33">
        <f>IF(J182="H",(SUMIFS(Transaksi!$G$2:$G$2001,Transaksi!$M$2:$M$2001,"&lt;="&amp;S182)+SUMIFS(Transaksi!$H$2:$H$2001,Transaksi!$M$2:$M$2001,"&lt;="&amp;S182)+SUMIFS(Transaksi!$I$2:$I$2001,Transaksi!$M$2:$M$2001,"&lt;="&amp;S182))-(SUMIFS(Transaksi!$J$2:$J$2001,Transaksi!$M$2:$M$2001,"&lt;="&amp;S182)),"")</f>
        <v/>
      </c>
      <c r="I182">
        <f>IF(179&gt;$O$2,"",MATCH(179,$Q$3:$Q$402,1))</f>
        <v/>
      </c>
      <c r="J182">
        <f>IF(I182="","",IF(179=INDEX($Q$3:$Q$402,I182),"H","E"))</f>
        <v/>
      </c>
      <c r="K182">
        <f>IF(J182&lt;&gt;"E","",MATCH(S182,Transaksi!$M$2:$M$2001,0)+179-INDEX($Q$3:$Q$402,I182)-1)</f>
        <v/>
      </c>
      <c r="N182" t="n">
        <v>180</v>
      </c>
      <c r="O182">
        <f>IF(N182&lt;=$O$1,$O$1-N182+1,"")</f>
        <v/>
      </c>
      <c r="P182">
        <f>IF(O182="",0,COUNTIF(Transaksi!$M$2:$M$2001,O182)+1)</f>
        <v/>
      </c>
      <c r="Q182">
        <f>1+SUM(P$2:P181)</f>
        <v/>
      </c>
      <c r="S182">
        <f>IF(I182="","",INDEX($O$3:$O$402,I182))</f>
        <v/>
      </c>
      <c r="T182">
        <f>IF(J182&lt;&gt;"H","",INDEX(Transaksi!$A$2:$A$2001,MATCH(S182,Transaksi!$M$2:$M$2001,0)))</f>
        <v/>
      </c>
    </row>
    <row r="183">
      <c r="A183" s="31">
        <f>IF(J183="E",IF(INDEX(Transaksi!$J$2:$J$2001,K183)&gt;0,"↑","↓"),"")</f>
        <v/>
      </c>
      <c r="B183" s="32">
        <f>IF(J183="H",CHOOSE(WEEKDAY(T183,2),"Isnin","Selasa","Rabu","Khamis","Jumaat","Sabtu","Ahad")&amp;", "&amp;DAY(T183)&amp;" "&amp;CHOOSE(MONTH(T183),"Jan","Feb","Mac","Apr","Mei","Jun","Jul","Ogo","Sep","Okt","Nov","Dis")&amp;" "&amp;YEAR(T183),IF(J183="E",IF(INDEX(Transaksi!$B$2:$B$2001,K183)="",INDEX(Transaksi!$C$2:$C$2001,K183)&amp;" · "&amp;INDEX(Transaksi!$D$2:$D$2001,K183),INDEX(Transaksi!$B$2:$B$2001,K183)),""))</f>
        <v/>
      </c>
      <c r="C183" s="32">
        <f>IF(J183="E",INDEX(Transaksi!$C$2:$C$2001,K183)&amp;"","")</f>
        <v/>
      </c>
      <c r="D183" s="32">
        <f>IF(J183="E",INDEX(Transaksi!$D$2:$D$2001,K183)&amp;"","")</f>
        <v/>
      </c>
      <c r="E183" s="33">
        <f>IF(J183="H",SUMIFS(Transaksi!$G$2:$G$2001,Transaksi!$M$2:$M$2001,"="&amp;S183)+SUMIFS(Transaksi!$H$2:$H$2001,Transaksi!$M$2:$M$2001,"="&amp;S183)+SUMIFS(Transaksi!$I$2:$I$2001,Transaksi!$M$2:$M$2001,"="&amp;S183),IF(J183="E",IF(INDEX(Transaksi!$G$2:$G$2001,K183)+INDEX(Transaksi!$H$2:$H$2001,K183)+INDEX(Transaksi!$I$2:$I$2001,K183)=0,"",INDEX(Transaksi!$G$2:$G$2001,K183)+INDEX(Transaksi!$H$2:$H$2001,K183)+INDEX(Transaksi!$I$2:$I$2001,K183)),""))</f>
        <v/>
      </c>
      <c r="F183" s="33">
        <f>IF(J183="H",SUMIFS(Transaksi!$J$2:$J$2001,Transaksi!$M$2:$M$2001,"="&amp;S183),IF(J183="E",IF(INDEX(Transaksi!$J$2:$J$2001,K183)=0,"",INDEX(Transaksi!$J$2:$J$2001,K183)),""))</f>
        <v/>
      </c>
      <c r="G183" s="33">
        <f>IF(J183="H",(SUMIFS(Transaksi!$G$2:$G$2001,Transaksi!$M$2:$M$2001,"&lt;="&amp;S183)+SUMIFS(Transaksi!$H$2:$H$2001,Transaksi!$M$2:$M$2001,"&lt;="&amp;S183)+SUMIFS(Transaksi!$I$2:$I$2001,Transaksi!$M$2:$M$2001,"&lt;="&amp;S183))-(SUMIFS(Transaksi!$J$2:$J$2001,Transaksi!$M$2:$M$2001,"&lt;="&amp;S183)),"")</f>
        <v/>
      </c>
      <c r="I183">
        <f>IF(180&gt;$O$2,"",MATCH(180,$Q$3:$Q$402,1))</f>
        <v/>
      </c>
      <c r="J183">
        <f>IF(I183="","",IF(180=INDEX($Q$3:$Q$402,I183),"H","E"))</f>
        <v/>
      </c>
      <c r="K183">
        <f>IF(J183&lt;&gt;"E","",MATCH(S183,Transaksi!$M$2:$M$2001,0)+180-INDEX($Q$3:$Q$402,I183)-1)</f>
        <v/>
      </c>
      <c r="N183" t="n">
        <v>181</v>
      </c>
      <c r="O183">
        <f>IF(N183&lt;=$O$1,$O$1-N183+1,"")</f>
        <v/>
      </c>
      <c r="P183">
        <f>IF(O183="",0,COUNTIF(Transaksi!$M$2:$M$2001,O183)+1)</f>
        <v/>
      </c>
      <c r="Q183">
        <f>1+SUM(P$2:P182)</f>
        <v/>
      </c>
      <c r="S183">
        <f>IF(I183="","",INDEX($O$3:$O$402,I183))</f>
        <v/>
      </c>
      <c r="T183">
        <f>IF(J183&lt;&gt;"H","",INDEX(Transaksi!$A$2:$A$2001,MATCH(S183,Transaksi!$M$2:$M$2001,0)))</f>
        <v/>
      </c>
    </row>
    <row r="184">
      <c r="A184" s="31">
        <f>IF(J184="E",IF(INDEX(Transaksi!$J$2:$J$2001,K184)&gt;0,"↑","↓"),"")</f>
        <v/>
      </c>
      <c r="B184" s="32">
        <f>IF(J184="H",CHOOSE(WEEKDAY(T184,2),"Isnin","Selasa","Rabu","Khamis","Jumaat","Sabtu","Ahad")&amp;", "&amp;DAY(T184)&amp;" "&amp;CHOOSE(MONTH(T184),"Jan","Feb","Mac","Apr","Mei","Jun","Jul","Ogo","Sep","Okt","Nov","Dis")&amp;" "&amp;YEAR(T184),IF(J184="E",IF(INDEX(Transaksi!$B$2:$B$2001,K184)="",INDEX(Transaksi!$C$2:$C$2001,K184)&amp;" · "&amp;INDEX(Transaksi!$D$2:$D$2001,K184),INDEX(Transaksi!$B$2:$B$2001,K184)),""))</f>
        <v/>
      </c>
      <c r="C184" s="32">
        <f>IF(J184="E",INDEX(Transaksi!$C$2:$C$2001,K184)&amp;"","")</f>
        <v/>
      </c>
      <c r="D184" s="32">
        <f>IF(J184="E",INDEX(Transaksi!$D$2:$D$2001,K184)&amp;"","")</f>
        <v/>
      </c>
      <c r="E184" s="33">
        <f>IF(J184="H",SUMIFS(Transaksi!$G$2:$G$2001,Transaksi!$M$2:$M$2001,"="&amp;S184)+SUMIFS(Transaksi!$H$2:$H$2001,Transaksi!$M$2:$M$2001,"="&amp;S184)+SUMIFS(Transaksi!$I$2:$I$2001,Transaksi!$M$2:$M$2001,"="&amp;S184),IF(J184="E",IF(INDEX(Transaksi!$G$2:$G$2001,K184)+INDEX(Transaksi!$H$2:$H$2001,K184)+INDEX(Transaksi!$I$2:$I$2001,K184)=0,"",INDEX(Transaksi!$G$2:$G$2001,K184)+INDEX(Transaksi!$H$2:$H$2001,K184)+INDEX(Transaksi!$I$2:$I$2001,K184)),""))</f>
        <v/>
      </c>
      <c r="F184" s="33">
        <f>IF(J184="H",SUMIFS(Transaksi!$J$2:$J$2001,Transaksi!$M$2:$M$2001,"="&amp;S184),IF(J184="E",IF(INDEX(Transaksi!$J$2:$J$2001,K184)=0,"",INDEX(Transaksi!$J$2:$J$2001,K184)),""))</f>
        <v/>
      </c>
      <c r="G184" s="33">
        <f>IF(J184="H",(SUMIFS(Transaksi!$G$2:$G$2001,Transaksi!$M$2:$M$2001,"&lt;="&amp;S184)+SUMIFS(Transaksi!$H$2:$H$2001,Transaksi!$M$2:$M$2001,"&lt;="&amp;S184)+SUMIFS(Transaksi!$I$2:$I$2001,Transaksi!$M$2:$M$2001,"&lt;="&amp;S184))-(SUMIFS(Transaksi!$J$2:$J$2001,Transaksi!$M$2:$M$2001,"&lt;="&amp;S184)),"")</f>
        <v/>
      </c>
      <c r="I184">
        <f>IF(181&gt;$O$2,"",MATCH(181,$Q$3:$Q$402,1))</f>
        <v/>
      </c>
      <c r="J184">
        <f>IF(I184="","",IF(181=INDEX($Q$3:$Q$402,I184),"H","E"))</f>
        <v/>
      </c>
      <c r="K184">
        <f>IF(J184&lt;&gt;"E","",MATCH(S184,Transaksi!$M$2:$M$2001,0)+181-INDEX($Q$3:$Q$402,I184)-1)</f>
        <v/>
      </c>
      <c r="N184" t="n">
        <v>182</v>
      </c>
      <c r="O184">
        <f>IF(N184&lt;=$O$1,$O$1-N184+1,"")</f>
        <v/>
      </c>
      <c r="P184">
        <f>IF(O184="",0,COUNTIF(Transaksi!$M$2:$M$2001,O184)+1)</f>
        <v/>
      </c>
      <c r="Q184">
        <f>1+SUM(P$2:P183)</f>
        <v/>
      </c>
      <c r="S184">
        <f>IF(I184="","",INDEX($O$3:$O$402,I184))</f>
        <v/>
      </c>
      <c r="T184">
        <f>IF(J184&lt;&gt;"H","",INDEX(Transaksi!$A$2:$A$2001,MATCH(S184,Transaksi!$M$2:$M$2001,0)))</f>
        <v/>
      </c>
    </row>
    <row r="185">
      <c r="A185" s="31">
        <f>IF(J185="E",IF(INDEX(Transaksi!$J$2:$J$2001,K185)&gt;0,"↑","↓"),"")</f>
        <v/>
      </c>
      <c r="B185" s="32">
        <f>IF(J185="H",CHOOSE(WEEKDAY(T185,2),"Isnin","Selasa","Rabu","Khamis","Jumaat","Sabtu","Ahad")&amp;", "&amp;DAY(T185)&amp;" "&amp;CHOOSE(MONTH(T185),"Jan","Feb","Mac","Apr","Mei","Jun","Jul","Ogo","Sep","Okt","Nov","Dis")&amp;" "&amp;YEAR(T185),IF(J185="E",IF(INDEX(Transaksi!$B$2:$B$2001,K185)="",INDEX(Transaksi!$C$2:$C$2001,K185)&amp;" · "&amp;INDEX(Transaksi!$D$2:$D$2001,K185),INDEX(Transaksi!$B$2:$B$2001,K185)),""))</f>
        <v/>
      </c>
      <c r="C185" s="32">
        <f>IF(J185="E",INDEX(Transaksi!$C$2:$C$2001,K185)&amp;"","")</f>
        <v/>
      </c>
      <c r="D185" s="32">
        <f>IF(J185="E",INDEX(Transaksi!$D$2:$D$2001,K185)&amp;"","")</f>
        <v/>
      </c>
      <c r="E185" s="33">
        <f>IF(J185="H",SUMIFS(Transaksi!$G$2:$G$2001,Transaksi!$M$2:$M$2001,"="&amp;S185)+SUMIFS(Transaksi!$H$2:$H$2001,Transaksi!$M$2:$M$2001,"="&amp;S185)+SUMIFS(Transaksi!$I$2:$I$2001,Transaksi!$M$2:$M$2001,"="&amp;S185),IF(J185="E",IF(INDEX(Transaksi!$G$2:$G$2001,K185)+INDEX(Transaksi!$H$2:$H$2001,K185)+INDEX(Transaksi!$I$2:$I$2001,K185)=0,"",INDEX(Transaksi!$G$2:$G$2001,K185)+INDEX(Transaksi!$H$2:$H$2001,K185)+INDEX(Transaksi!$I$2:$I$2001,K185)),""))</f>
        <v/>
      </c>
      <c r="F185" s="33">
        <f>IF(J185="H",SUMIFS(Transaksi!$J$2:$J$2001,Transaksi!$M$2:$M$2001,"="&amp;S185),IF(J185="E",IF(INDEX(Transaksi!$J$2:$J$2001,K185)=0,"",INDEX(Transaksi!$J$2:$J$2001,K185)),""))</f>
        <v/>
      </c>
      <c r="G185" s="33">
        <f>IF(J185="H",(SUMIFS(Transaksi!$G$2:$G$2001,Transaksi!$M$2:$M$2001,"&lt;="&amp;S185)+SUMIFS(Transaksi!$H$2:$H$2001,Transaksi!$M$2:$M$2001,"&lt;="&amp;S185)+SUMIFS(Transaksi!$I$2:$I$2001,Transaksi!$M$2:$M$2001,"&lt;="&amp;S185))-(SUMIFS(Transaksi!$J$2:$J$2001,Transaksi!$M$2:$M$2001,"&lt;="&amp;S185)),"")</f>
        <v/>
      </c>
      <c r="I185">
        <f>IF(182&gt;$O$2,"",MATCH(182,$Q$3:$Q$402,1))</f>
        <v/>
      </c>
      <c r="J185">
        <f>IF(I185="","",IF(182=INDEX($Q$3:$Q$402,I185),"H","E"))</f>
        <v/>
      </c>
      <c r="K185">
        <f>IF(J185&lt;&gt;"E","",MATCH(S185,Transaksi!$M$2:$M$2001,0)+182-INDEX($Q$3:$Q$402,I185)-1)</f>
        <v/>
      </c>
      <c r="N185" t="n">
        <v>183</v>
      </c>
      <c r="O185">
        <f>IF(N185&lt;=$O$1,$O$1-N185+1,"")</f>
        <v/>
      </c>
      <c r="P185">
        <f>IF(O185="",0,COUNTIF(Transaksi!$M$2:$M$2001,O185)+1)</f>
        <v/>
      </c>
      <c r="Q185">
        <f>1+SUM(P$2:P184)</f>
        <v/>
      </c>
      <c r="S185">
        <f>IF(I185="","",INDEX($O$3:$O$402,I185))</f>
        <v/>
      </c>
      <c r="T185">
        <f>IF(J185&lt;&gt;"H","",INDEX(Transaksi!$A$2:$A$2001,MATCH(S185,Transaksi!$M$2:$M$2001,0)))</f>
        <v/>
      </c>
    </row>
    <row r="186">
      <c r="A186" s="31">
        <f>IF(J186="E",IF(INDEX(Transaksi!$J$2:$J$2001,K186)&gt;0,"↑","↓"),"")</f>
        <v/>
      </c>
      <c r="B186" s="32">
        <f>IF(J186="H",CHOOSE(WEEKDAY(T186,2),"Isnin","Selasa","Rabu","Khamis","Jumaat","Sabtu","Ahad")&amp;", "&amp;DAY(T186)&amp;" "&amp;CHOOSE(MONTH(T186),"Jan","Feb","Mac","Apr","Mei","Jun","Jul","Ogo","Sep","Okt","Nov","Dis")&amp;" "&amp;YEAR(T186),IF(J186="E",IF(INDEX(Transaksi!$B$2:$B$2001,K186)="",INDEX(Transaksi!$C$2:$C$2001,K186)&amp;" · "&amp;INDEX(Transaksi!$D$2:$D$2001,K186),INDEX(Transaksi!$B$2:$B$2001,K186)),""))</f>
        <v/>
      </c>
      <c r="C186" s="32">
        <f>IF(J186="E",INDEX(Transaksi!$C$2:$C$2001,K186)&amp;"","")</f>
        <v/>
      </c>
      <c r="D186" s="32">
        <f>IF(J186="E",INDEX(Transaksi!$D$2:$D$2001,K186)&amp;"","")</f>
        <v/>
      </c>
      <c r="E186" s="33">
        <f>IF(J186="H",SUMIFS(Transaksi!$G$2:$G$2001,Transaksi!$M$2:$M$2001,"="&amp;S186)+SUMIFS(Transaksi!$H$2:$H$2001,Transaksi!$M$2:$M$2001,"="&amp;S186)+SUMIFS(Transaksi!$I$2:$I$2001,Transaksi!$M$2:$M$2001,"="&amp;S186),IF(J186="E",IF(INDEX(Transaksi!$G$2:$G$2001,K186)+INDEX(Transaksi!$H$2:$H$2001,K186)+INDEX(Transaksi!$I$2:$I$2001,K186)=0,"",INDEX(Transaksi!$G$2:$G$2001,K186)+INDEX(Transaksi!$H$2:$H$2001,K186)+INDEX(Transaksi!$I$2:$I$2001,K186)),""))</f>
        <v/>
      </c>
      <c r="F186" s="33">
        <f>IF(J186="H",SUMIFS(Transaksi!$J$2:$J$2001,Transaksi!$M$2:$M$2001,"="&amp;S186),IF(J186="E",IF(INDEX(Transaksi!$J$2:$J$2001,K186)=0,"",INDEX(Transaksi!$J$2:$J$2001,K186)),""))</f>
        <v/>
      </c>
      <c r="G186" s="33">
        <f>IF(J186="H",(SUMIFS(Transaksi!$G$2:$G$2001,Transaksi!$M$2:$M$2001,"&lt;="&amp;S186)+SUMIFS(Transaksi!$H$2:$H$2001,Transaksi!$M$2:$M$2001,"&lt;="&amp;S186)+SUMIFS(Transaksi!$I$2:$I$2001,Transaksi!$M$2:$M$2001,"&lt;="&amp;S186))-(SUMIFS(Transaksi!$J$2:$J$2001,Transaksi!$M$2:$M$2001,"&lt;="&amp;S186)),"")</f>
        <v/>
      </c>
      <c r="I186">
        <f>IF(183&gt;$O$2,"",MATCH(183,$Q$3:$Q$402,1))</f>
        <v/>
      </c>
      <c r="J186">
        <f>IF(I186="","",IF(183=INDEX($Q$3:$Q$402,I186),"H","E"))</f>
        <v/>
      </c>
      <c r="K186">
        <f>IF(J186&lt;&gt;"E","",MATCH(S186,Transaksi!$M$2:$M$2001,0)+183-INDEX($Q$3:$Q$402,I186)-1)</f>
        <v/>
      </c>
      <c r="N186" t="n">
        <v>184</v>
      </c>
      <c r="O186">
        <f>IF(N186&lt;=$O$1,$O$1-N186+1,"")</f>
        <v/>
      </c>
      <c r="P186">
        <f>IF(O186="",0,COUNTIF(Transaksi!$M$2:$M$2001,O186)+1)</f>
        <v/>
      </c>
      <c r="Q186">
        <f>1+SUM(P$2:P185)</f>
        <v/>
      </c>
      <c r="S186">
        <f>IF(I186="","",INDEX($O$3:$O$402,I186))</f>
        <v/>
      </c>
      <c r="T186">
        <f>IF(J186&lt;&gt;"H","",INDEX(Transaksi!$A$2:$A$2001,MATCH(S186,Transaksi!$M$2:$M$2001,0)))</f>
        <v/>
      </c>
    </row>
    <row r="187">
      <c r="A187" s="31">
        <f>IF(J187="E",IF(INDEX(Transaksi!$J$2:$J$2001,K187)&gt;0,"↑","↓"),"")</f>
        <v/>
      </c>
      <c r="B187" s="32">
        <f>IF(J187="H",CHOOSE(WEEKDAY(T187,2),"Isnin","Selasa","Rabu","Khamis","Jumaat","Sabtu","Ahad")&amp;", "&amp;DAY(T187)&amp;" "&amp;CHOOSE(MONTH(T187),"Jan","Feb","Mac","Apr","Mei","Jun","Jul","Ogo","Sep","Okt","Nov","Dis")&amp;" "&amp;YEAR(T187),IF(J187="E",IF(INDEX(Transaksi!$B$2:$B$2001,K187)="",INDEX(Transaksi!$C$2:$C$2001,K187)&amp;" · "&amp;INDEX(Transaksi!$D$2:$D$2001,K187),INDEX(Transaksi!$B$2:$B$2001,K187)),""))</f>
        <v/>
      </c>
      <c r="C187" s="32">
        <f>IF(J187="E",INDEX(Transaksi!$C$2:$C$2001,K187)&amp;"","")</f>
        <v/>
      </c>
      <c r="D187" s="32">
        <f>IF(J187="E",INDEX(Transaksi!$D$2:$D$2001,K187)&amp;"","")</f>
        <v/>
      </c>
      <c r="E187" s="33">
        <f>IF(J187="H",SUMIFS(Transaksi!$G$2:$G$2001,Transaksi!$M$2:$M$2001,"="&amp;S187)+SUMIFS(Transaksi!$H$2:$H$2001,Transaksi!$M$2:$M$2001,"="&amp;S187)+SUMIFS(Transaksi!$I$2:$I$2001,Transaksi!$M$2:$M$2001,"="&amp;S187),IF(J187="E",IF(INDEX(Transaksi!$G$2:$G$2001,K187)+INDEX(Transaksi!$H$2:$H$2001,K187)+INDEX(Transaksi!$I$2:$I$2001,K187)=0,"",INDEX(Transaksi!$G$2:$G$2001,K187)+INDEX(Transaksi!$H$2:$H$2001,K187)+INDEX(Transaksi!$I$2:$I$2001,K187)),""))</f>
        <v/>
      </c>
      <c r="F187" s="33">
        <f>IF(J187="H",SUMIFS(Transaksi!$J$2:$J$2001,Transaksi!$M$2:$M$2001,"="&amp;S187),IF(J187="E",IF(INDEX(Transaksi!$J$2:$J$2001,K187)=0,"",INDEX(Transaksi!$J$2:$J$2001,K187)),""))</f>
        <v/>
      </c>
      <c r="G187" s="33">
        <f>IF(J187="H",(SUMIFS(Transaksi!$G$2:$G$2001,Transaksi!$M$2:$M$2001,"&lt;="&amp;S187)+SUMIFS(Transaksi!$H$2:$H$2001,Transaksi!$M$2:$M$2001,"&lt;="&amp;S187)+SUMIFS(Transaksi!$I$2:$I$2001,Transaksi!$M$2:$M$2001,"&lt;="&amp;S187))-(SUMIFS(Transaksi!$J$2:$J$2001,Transaksi!$M$2:$M$2001,"&lt;="&amp;S187)),"")</f>
        <v/>
      </c>
      <c r="I187">
        <f>IF(184&gt;$O$2,"",MATCH(184,$Q$3:$Q$402,1))</f>
        <v/>
      </c>
      <c r="J187">
        <f>IF(I187="","",IF(184=INDEX($Q$3:$Q$402,I187),"H","E"))</f>
        <v/>
      </c>
      <c r="K187">
        <f>IF(J187&lt;&gt;"E","",MATCH(S187,Transaksi!$M$2:$M$2001,0)+184-INDEX($Q$3:$Q$402,I187)-1)</f>
        <v/>
      </c>
      <c r="N187" t="n">
        <v>185</v>
      </c>
      <c r="O187">
        <f>IF(N187&lt;=$O$1,$O$1-N187+1,"")</f>
        <v/>
      </c>
      <c r="P187">
        <f>IF(O187="",0,COUNTIF(Transaksi!$M$2:$M$2001,O187)+1)</f>
        <v/>
      </c>
      <c r="Q187">
        <f>1+SUM(P$2:P186)</f>
        <v/>
      </c>
      <c r="S187">
        <f>IF(I187="","",INDEX($O$3:$O$402,I187))</f>
        <v/>
      </c>
      <c r="T187">
        <f>IF(J187&lt;&gt;"H","",INDEX(Transaksi!$A$2:$A$2001,MATCH(S187,Transaksi!$M$2:$M$2001,0)))</f>
        <v/>
      </c>
    </row>
    <row r="188">
      <c r="A188" s="31">
        <f>IF(J188="E",IF(INDEX(Transaksi!$J$2:$J$2001,K188)&gt;0,"↑","↓"),"")</f>
        <v/>
      </c>
      <c r="B188" s="32">
        <f>IF(J188="H",CHOOSE(WEEKDAY(T188,2),"Isnin","Selasa","Rabu","Khamis","Jumaat","Sabtu","Ahad")&amp;", "&amp;DAY(T188)&amp;" "&amp;CHOOSE(MONTH(T188),"Jan","Feb","Mac","Apr","Mei","Jun","Jul","Ogo","Sep","Okt","Nov","Dis")&amp;" "&amp;YEAR(T188),IF(J188="E",IF(INDEX(Transaksi!$B$2:$B$2001,K188)="",INDEX(Transaksi!$C$2:$C$2001,K188)&amp;" · "&amp;INDEX(Transaksi!$D$2:$D$2001,K188),INDEX(Transaksi!$B$2:$B$2001,K188)),""))</f>
        <v/>
      </c>
      <c r="C188" s="32">
        <f>IF(J188="E",INDEX(Transaksi!$C$2:$C$2001,K188)&amp;"","")</f>
        <v/>
      </c>
      <c r="D188" s="32">
        <f>IF(J188="E",INDEX(Transaksi!$D$2:$D$2001,K188)&amp;"","")</f>
        <v/>
      </c>
      <c r="E188" s="33">
        <f>IF(J188="H",SUMIFS(Transaksi!$G$2:$G$2001,Transaksi!$M$2:$M$2001,"="&amp;S188)+SUMIFS(Transaksi!$H$2:$H$2001,Transaksi!$M$2:$M$2001,"="&amp;S188)+SUMIFS(Transaksi!$I$2:$I$2001,Transaksi!$M$2:$M$2001,"="&amp;S188),IF(J188="E",IF(INDEX(Transaksi!$G$2:$G$2001,K188)+INDEX(Transaksi!$H$2:$H$2001,K188)+INDEX(Transaksi!$I$2:$I$2001,K188)=0,"",INDEX(Transaksi!$G$2:$G$2001,K188)+INDEX(Transaksi!$H$2:$H$2001,K188)+INDEX(Transaksi!$I$2:$I$2001,K188)),""))</f>
        <v/>
      </c>
      <c r="F188" s="33">
        <f>IF(J188="H",SUMIFS(Transaksi!$J$2:$J$2001,Transaksi!$M$2:$M$2001,"="&amp;S188),IF(J188="E",IF(INDEX(Transaksi!$J$2:$J$2001,K188)=0,"",INDEX(Transaksi!$J$2:$J$2001,K188)),""))</f>
        <v/>
      </c>
      <c r="G188" s="33">
        <f>IF(J188="H",(SUMIFS(Transaksi!$G$2:$G$2001,Transaksi!$M$2:$M$2001,"&lt;="&amp;S188)+SUMIFS(Transaksi!$H$2:$H$2001,Transaksi!$M$2:$M$2001,"&lt;="&amp;S188)+SUMIFS(Transaksi!$I$2:$I$2001,Transaksi!$M$2:$M$2001,"&lt;="&amp;S188))-(SUMIFS(Transaksi!$J$2:$J$2001,Transaksi!$M$2:$M$2001,"&lt;="&amp;S188)),"")</f>
        <v/>
      </c>
      <c r="I188">
        <f>IF(185&gt;$O$2,"",MATCH(185,$Q$3:$Q$402,1))</f>
        <v/>
      </c>
      <c r="J188">
        <f>IF(I188="","",IF(185=INDEX($Q$3:$Q$402,I188),"H","E"))</f>
        <v/>
      </c>
      <c r="K188">
        <f>IF(J188&lt;&gt;"E","",MATCH(S188,Transaksi!$M$2:$M$2001,0)+185-INDEX($Q$3:$Q$402,I188)-1)</f>
        <v/>
      </c>
      <c r="N188" t="n">
        <v>186</v>
      </c>
      <c r="O188">
        <f>IF(N188&lt;=$O$1,$O$1-N188+1,"")</f>
        <v/>
      </c>
      <c r="P188">
        <f>IF(O188="",0,COUNTIF(Transaksi!$M$2:$M$2001,O188)+1)</f>
        <v/>
      </c>
      <c r="Q188">
        <f>1+SUM(P$2:P187)</f>
        <v/>
      </c>
      <c r="S188">
        <f>IF(I188="","",INDEX($O$3:$O$402,I188))</f>
        <v/>
      </c>
      <c r="T188">
        <f>IF(J188&lt;&gt;"H","",INDEX(Transaksi!$A$2:$A$2001,MATCH(S188,Transaksi!$M$2:$M$2001,0)))</f>
        <v/>
      </c>
    </row>
    <row r="189">
      <c r="A189" s="31">
        <f>IF(J189="E",IF(INDEX(Transaksi!$J$2:$J$2001,K189)&gt;0,"↑","↓"),"")</f>
        <v/>
      </c>
      <c r="B189" s="32">
        <f>IF(J189="H",CHOOSE(WEEKDAY(T189,2),"Isnin","Selasa","Rabu","Khamis","Jumaat","Sabtu","Ahad")&amp;", "&amp;DAY(T189)&amp;" "&amp;CHOOSE(MONTH(T189),"Jan","Feb","Mac","Apr","Mei","Jun","Jul","Ogo","Sep","Okt","Nov","Dis")&amp;" "&amp;YEAR(T189),IF(J189="E",IF(INDEX(Transaksi!$B$2:$B$2001,K189)="",INDEX(Transaksi!$C$2:$C$2001,K189)&amp;" · "&amp;INDEX(Transaksi!$D$2:$D$2001,K189),INDEX(Transaksi!$B$2:$B$2001,K189)),""))</f>
        <v/>
      </c>
      <c r="C189" s="32">
        <f>IF(J189="E",INDEX(Transaksi!$C$2:$C$2001,K189)&amp;"","")</f>
        <v/>
      </c>
      <c r="D189" s="32">
        <f>IF(J189="E",INDEX(Transaksi!$D$2:$D$2001,K189)&amp;"","")</f>
        <v/>
      </c>
      <c r="E189" s="33">
        <f>IF(J189="H",SUMIFS(Transaksi!$G$2:$G$2001,Transaksi!$M$2:$M$2001,"="&amp;S189)+SUMIFS(Transaksi!$H$2:$H$2001,Transaksi!$M$2:$M$2001,"="&amp;S189)+SUMIFS(Transaksi!$I$2:$I$2001,Transaksi!$M$2:$M$2001,"="&amp;S189),IF(J189="E",IF(INDEX(Transaksi!$G$2:$G$2001,K189)+INDEX(Transaksi!$H$2:$H$2001,K189)+INDEX(Transaksi!$I$2:$I$2001,K189)=0,"",INDEX(Transaksi!$G$2:$G$2001,K189)+INDEX(Transaksi!$H$2:$H$2001,K189)+INDEX(Transaksi!$I$2:$I$2001,K189)),""))</f>
        <v/>
      </c>
      <c r="F189" s="33">
        <f>IF(J189="H",SUMIFS(Transaksi!$J$2:$J$2001,Transaksi!$M$2:$M$2001,"="&amp;S189),IF(J189="E",IF(INDEX(Transaksi!$J$2:$J$2001,K189)=0,"",INDEX(Transaksi!$J$2:$J$2001,K189)),""))</f>
        <v/>
      </c>
      <c r="G189" s="33">
        <f>IF(J189="H",(SUMIFS(Transaksi!$G$2:$G$2001,Transaksi!$M$2:$M$2001,"&lt;="&amp;S189)+SUMIFS(Transaksi!$H$2:$H$2001,Transaksi!$M$2:$M$2001,"&lt;="&amp;S189)+SUMIFS(Transaksi!$I$2:$I$2001,Transaksi!$M$2:$M$2001,"&lt;="&amp;S189))-(SUMIFS(Transaksi!$J$2:$J$2001,Transaksi!$M$2:$M$2001,"&lt;="&amp;S189)),"")</f>
        <v/>
      </c>
      <c r="I189">
        <f>IF(186&gt;$O$2,"",MATCH(186,$Q$3:$Q$402,1))</f>
        <v/>
      </c>
      <c r="J189">
        <f>IF(I189="","",IF(186=INDEX($Q$3:$Q$402,I189),"H","E"))</f>
        <v/>
      </c>
      <c r="K189">
        <f>IF(J189&lt;&gt;"E","",MATCH(S189,Transaksi!$M$2:$M$2001,0)+186-INDEX($Q$3:$Q$402,I189)-1)</f>
        <v/>
      </c>
      <c r="N189" t="n">
        <v>187</v>
      </c>
      <c r="O189">
        <f>IF(N189&lt;=$O$1,$O$1-N189+1,"")</f>
        <v/>
      </c>
      <c r="P189">
        <f>IF(O189="",0,COUNTIF(Transaksi!$M$2:$M$2001,O189)+1)</f>
        <v/>
      </c>
      <c r="Q189">
        <f>1+SUM(P$2:P188)</f>
        <v/>
      </c>
      <c r="S189">
        <f>IF(I189="","",INDEX($O$3:$O$402,I189))</f>
        <v/>
      </c>
      <c r="T189">
        <f>IF(J189&lt;&gt;"H","",INDEX(Transaksi!$A$2:$A$2001,MATCH(S189,Transaksi!$M$2:$M$2001,0)))</f>
        <v/>
      </c>
    </row>
    <row r="190">
      <c r="A190" s="31">
        <f>IF(J190="E",IF(INDEX(Transaksi!$J$2:$J$2001,K190)&gt;0,"↑","↓"),"")</f>
        <v/>
      </c>
      <c r="B190" s="32">
        <f>IF(J190="H",CHOOSE(WEEKDAY(T190,2),"Isnin","Selasa","Rabu","Khamis","Jumaat","Sabtu","Ahad")&amp;", "&amp;DAY(T190)&amp;" "&amp;CHOOSE(MONTH(T190),"Jan","Feb","Mac","Apr","Mei","Jun","Jul","Ogo","Sep","Okt","Nov","Dis")&amp;" "&amp;YEAR(T190),IF(J190="E",IF(INDEX(Transaksi!$B$2:$B$2001,K190)="",INDEX(Transaksi!$C$2:$C$2001,K190)&amp;" · "&amp;INDEX(Transaksi!$D$2:$D$2001,K190),INDEX(Transaksi!$B$2:$B$2001,K190)),""))</f>
        <v/>
      </c>
      <c r="C190" s="32">
        <f>IF(J190="E",INDEX(Transaksi!$C$2:$C$2001,K190)&amp;"","")</f>
        <v/>
      </c>
      <c r="D190" s="32">
        <f>IF(J190="E",INDEX(Transaksi!$D$2:$D$2001,K190)&amp;"","")</f>
        <v/>
      </c>
      <c r="E190" s="33">
        <f>IF(J190="H",SUMIFS(Transaksi!$G$2:$G$2001,Transaksi!$M$2:$M$2001,"="&amp;S190)+SUMIFS(Transaksi!$H$2:$H$2001,Transaksi!$M$2:$M$2001,"="&amp;S190)+SUMIFS(Transaksi!$I$2:$I$2001,Transaksi!$M$2:$M$2001,"="&amp;S190),IF(J190="E",IF(INDEX(Transaksi!$G$2:$G$2001,K190)+INDEX(Transaksi!$H$2:$H$2001,K190)+INDEX(Transaksi!$I$2:$I$2001,K190)=0,"",INDEX(Transaksi!$G$2:$G$2001,K190)+INDEX(Transaksi!$H$2:$H$2001,K190)+INDEX(Transaksi!$I$2:$I$2001,K190)),""))</f>
        <v/>
      </c>
      <c r="F190" s="33">
        <f>IF(J190="H",SUMIFS(Transaksi!$J$2:$J$2001,Transaksi!$M$2:$M$2001,"="&amp;S190),IF(J190="E",IF(INDEX(Transaksi!$J$2:$J$2001,K190)=0,"",INDEX(Transaksi!$J$2:$J$2001,K190)),""))</f>
        <v/>
      </c>
      <c r="G190" s="33">
        <f>IF(J190="H",(SUMIFS(Transaksi!$G$2:$G$2001,Transaksi!$M$2:$M$2001,"&lt;="&amp;S190)+SUMIFS(Transaksi!$H$2:$H$2001,Transaksi!$M$2:$M$2001,"&lt;="&amp;S190)+SUMIFS(Transaksi!$I$2:$I$2001,Transaksi!$M$2:$M$2001,"&lt;="&amp;S190))-(SUMIFS(Transaksi!$J$2:$J$2001,Transaksi!$M$2:$M$2001,"&lt;="&amp;S190)),"")</f>
        <v/>
      </c>
      <c r="I190">
        <f>IF(187&gt;$O$2,"",MATCH(187,$Q$3:$Q$402,1))</f>
        <v/>
      </c>
      <c r="J190">
        <f>IF(I190="","",IF(187=INDEX($Q$3:$Q$402,I190),"H","E"))</f>
        <v/>
      </c>
      <c r="K190">
        <f>IF(J190&lt;&gt;"E","",MATCH(S190,Transaksi!$M$2:$M$2001,0)+187-INDEX($Q$3:$Q$402,I190)-1)</f>
        <v/>
      </c>
      <c r="N190" t="n">
        <v>188</v>
      </c>
      <c r="O190">
        <f>IF(N190&lt;=$O$1,$O$1-N190+1,"")</f>
        <v/>
      </c>
      <c r="P190">
        <f>IF(O190="",0,COUNTIF(Transaksi!$M$2:$M$2001,O190)+1)</f>
        <v/>
      </c>
      <c r="Q190">
        <f>1+SUM(P$2:P189)</f>
        <v/>
      </c>
      <c r="S190">
        <f>IF(I190="","",INDEX($O$3:$O$402,I190))</f>
        <v/>
      </c>
      <c r="T190">
        <f>IF(J190&lt;&gt;"H","",INDEX(Transaksi!$A$2:$A$2001,MATCH(S190,Transaksi!$M$2:$M$2001,0)))</f>
        <v/>
      </c>
    </row>
    <row r="191">
      <c r="A191" s="31">
        <f>IF(J191="E",IF(INDEX(Transaksi!$J$2:$J$2001,K191)&gt;0,"↑","↓"),"")</f>
        <v/>
      </c>
      <c r="B191" s="32">
        <f>IF(J191="H",CHOOSE(WEEKDAY(T191,2),"Isnin","Selasa","Rabu","Khamis","Jumaat","Sabtu","Ahad")&amp;", "&amp;DAY(T191)&amp;" "&amp;CHOOSE(MONTH(T191),"Jan","Feb","Mac","Apr","Mei","Jun","Jul","Ogo","Sep","Okt","Nov","Dis")&amp;" "&amp;YEAR(T191),IF(J191="E",IF(INDEX(Transaksi!$B$2:$B$2001,K191)="",INDEX(Transaksi!$C$2:$C$2001,K191)&amp;" · "&amp;INDEX(Transaksi!$D$2:$D$2001,K191),INDEX(Transaksi!$B$2:$B$2001,K191)),""))</f>
        <v/>
      </c>
      <c r="C191" s="32">
        <f>IF(J191="E",INDEX(Transaksi!$C$2:$C$2001,K191)&amp;"","")</f>
        <v/>
      </c>
      <c r="D191" s="32">
        <f>IF(J191="E",INDEX(Transaksi!$D$2:$D$2001,K191)&amp;"","")</f>
        <v/>
      </c>
      <c r="E191" s="33">
        <f>IF(J191="H",SUMIFS(Transaksi!$G$2:$G$2001,Transaksi!$M$2:$M$2001,"="&amp;S191)+SUMIFS(Transaksi!$H$2:$H$2001,Transaksi!$M$2:$M$2001,"="&amp;S191)+SUMIFS(Transaksi!$I$2:$I$2001,Transaksi!$M$2:$M$2001,"="&amp;S191),IF(J191="E",IF(INDEX(Transaksi!$G$2:$G$2001,K191)+INDEX(Transaksi!$H$2:$H$2001,K191)+INDEX(Transaksi!$I$2:$I$2001,K191)=0,"",INDEX(Transaksi!$G$2:$G$2001,K191)+INDEX(Transaksi!$H$2:$H$2001,K191)+INDEX(Transaksi!$I$2:$I$2001,K191)),""))</f>
        <v/>
      </c>
      <c r="F191" s="33">
        <f>IF(J191="H",SUMIFS(Transaksi!$J$2:$J$2001,Transaksi!$M$2:$M$2001,"="&amp;S191),IF(J191="E",IF(INDEX(Transaksi!$J$2:$J$2001,K191)=0,"",INDEX(Transaksi!$J$2:$J$2001,K191)),""))</f>
        <v/>
      </c>
      <c r="G191" s="33">
        <f>IF(J191="H",(SUMIFS(Transaksi!$G$2:$G$2001,Transaksi!$M$2:$M$2001,"&lt;="&amp;S191)+SUMIFS(Transaksi!$H$2:$H$2001,Transaksi!$M$2:$M$2001,"&lt;="&amp;S191)+SUMIFS(Transaksi!$I$2:$I$2001,Transaksi!$M$2:$M$2001,"&lt;="&amp;S191))-(SUMIFS(Transaksi!$J$2:$J$2001,Transaksi!$M$2:$M$2001,"&lt;="&amp;S191)),"")</f>
        <v/>
      </c>
      <c r="I191">
        <f>IF(188&gt;$O$2,"",MATCH(188,$Q$3:$Q$402,1))</f>
        <v/>
      </c>
      <c r="J191">
        <f>IF(I191="","",IF(188=INDEX($Q$3:$Q$402,I191),"H","E"))</f>
        <v/>
      </c>
      <c r="K191">
        <f>IF(J191&lt;&gt;"E","",MATCH(S191,Transaksi!$M$2:$M$2001,0)+188-INDEX($Q$3:$Q$402,I191)-1)</f>
        <v/>
      </c>
      <c r="N191" t="n">
        <v>189</v>
      </c>
      <c r="O191">
        <f>IF(N191&lt;=$O$1,$O$1-N191+1,"")</f>
        <v/>
      </c>
      <c r="P191">
        <f>IF(O191="",0,COUNTIF(Transaksi!$M$2:$M$2001,O191)+1)</f>
        <v/>
      </c>
      <c r="Q191">
        <f>1+SUM(P$2:P190)</f>
        <v/>
      </c>
      <c r="S191">
        <f>IF(I191="","",INDEX($O$3:$O$402,I191))</f>
        <v/>
      </c>
      <c r="T191">
        <f>IF(J191&lt;&gt;"H","",INDEX(Transaksi!$A$2:$A$2001,MATCH(S191,Transaksi!$M$2:$M$2001,0)))</f>
        <v/>
      </c>
    </row>
    <row r="192">
      <c r="A192" s="31">
        <f>IF(J192="E",IF(INDEX(Transaksi!$J$2:$J$2001,K192)&gt;0,"↑","↓"),"")</f>
        <v/>
      </c>
      <c r="B192" s="32">
        <f>IF(J192="H",CHOOSE(WEEKDAY(T192,2),"Isnin","Selasa","Rabu","Khamis","Jumaat","Sabtu","Ahad")&amp;", "&amp;DAY(T192)&amp;" "&amp;CHOOSE(MONTH(T192),"Jan","Feb","Mac","Apr","Mei","Jun","Jul","Ogo","Sep","Okt","Nov","Dis")&amp;" "&amp;YEAR(T192),IF(J192="E",IF(INDEX(Transaksi!$B$2:$B$2001,K192)="",INDEX(Transaksi!$C$2:$C$2001,K192)&amp;" · "&amp;INDEX(Transaksi!$D$2:$D$2001,K192),INDEX(Transaksi!$B$2:$B$2001,K192)),""))</f>
        <v/>
      </c>
      <c r="C192" s="32">
        <f>IF(J192="E",INDEX(Transaksi!$C$2:$C$2001,K192)&amp;"","")</f>
        <v/>
      </c>
      <c r="D192" s="32">
        <f>IF(J192="E",INDEX(Transaksi!$D$2:$D$2001,K192)&amp;"","")</f>
        <v/>
      </c>
      <c r="E192" s="33">
        <f>IF(J192="H",SUMIFS(Transaksi!$G$2:$G$2001,Transaksi!$M$2:$M$2001,"="&amp;S192)+SUMIFS(Transaksi!$H$2:$H$2001,Transaksi!$M$2:$M$2001,"="&amp;S192)+SUMIFS(Transaksi!$I$2:$I$2001,Transaksi!$M$2:$M$2001,"="&amp;S192),IF(J192="E",IF(INDEX(Transaksi!$G$2:$G$2001,K192)+INDEX(Transaksi!$H$2:$H$2001,K192)+INDEX(Transaksi!$I$2:$I$2001,K192)=0,"",INDEX(Transaksi!$G$2:$G$2001,K192)+INDEX(Transaksi!$H$2:$H$2001,K192)+INDEX(Transaksi!$I$2:$I$2001,K192)),""))</f>
        <v/>
      </c>
      <c r="F192" s="33">
        <f>IF(J192="H",SUMIFS(Transaksi!$J$2:$J$2001,Transaksi!$M$2:$M$2001,"="&amp;S192),IF(J192="E",IF(INDEX(Transaksi!$J$2:$J$2001,K192)=0,"",INDEX(Transaksi!$J$2:$J$2001,K192)),""))</f>
        <v/>
      </c>
      <c r="G192" s="33">
        <f>IF(J192="H",(SUMIFS(Transaksi!$G$2:$G$2001,Transaksi!$M$2:$M$2001,"&lt;="&amp;S192)+SUMIFS(Transaksi!$H$2:$H$2001,Transaksi!$M$2:$M$2001,"&lt;="&amp;S192)+SUMIFS(Transaksi!$I$2:$I$2001,Transaksi!$M$2:$M$2001,"&lt;="&amp;S192))-(SUMIFS(Transaksi!$J$2:$J$2001,Transaksi!$M$2:$M$2001,"&lt;="&amp;S192)),"")</f>
        <v/>
      </c>
      <c r="I192">
        <f>IF(189&gt;$O$2,"",MATCH(189,$Q$3:$Q$402,1))</f>
        <v/>
      </c>
      <c r="J192">
        <f>IF(I192="","",IF(189=INDEX($Q$3:$Q$402,I192),"H","E"))</f>
        <v/>
      </c>
      <c r="K192">
        <f>IF(J192&lt;&gt;"E","",MATCH(S192,Transaksi!$M$2:$M$2001,0)+189-INDEX($Q$3:$Q$402,I192)-1)</f>
        <v/>
      </c>
      <c r="N192" t="n">
        <v>190</v>
      </c>
      <c r="O192">
        <f>IF(N192&lt;=$O$1,$O$1-N192+1,"")</f>
        <v/>
      </c>
      <c r="P192">
        <f>IF(O192="",0,COUNTIF(Transaksi!$M$2:$M$2001,O192)+1)</f>
        <v/>
      </c>
      <c r="Q192">
        <f>1+SUM(P$2:P191)</f>
        <v/>
      </c>
      <c r="S192">
        <f>IF(I192="","",INDEX($O$3:$O$402,I192))</f>
        <v/>
      </c>
      <c r="T192">
        <f>IF(J192&lt;&gt;"H","",INDEX(Transaksi!$A$2:$A$2001,MATCH(S192,Transaksi!$M$2:$M$2001,0)))</f>
        <v/>
      </c>
    </row>
    <row r="193">
      <c r="A193" s="31">
        <f>IF(J193="E",IF(INDEX(Transaksi!$J$2:$J$2001,K193)&gt;0,"↑","↓"),"")</f>
        <v/>
      </c>
      <c r="B193" s="32">
        <f>IF(J193="H",CHOOSE(WEEKDAY(T193,2),"Isnin","Selasa","Rabu","Khamis","Jumaat","Sabtu","Ahad")&amp;", "&amp;DAY(T193)&amp;" "&amp;CHOOSE(MONTH(T193),"Jan","Feb","Mac","Apr","Mei","Jun","Jul","Ogo","Sep","Okt","Nov","Dis")&amp;" "&amp;YEAR(T193),IF(J193="E",IF(INDEX(Transaksi!$B$2:$B$2001,K193)="",INDEX(Transaksi!$C$2:$C$2001,K193)&amp;" · "&amp;INDEX(Transaksi!$D$2:$D$2001,K193),INDEX(Transaksi!$B$2:$B$2001,K193)),""))</f>
        <v/>
      </c>
      <c r="C193" s="32">
        <f>IF(J193="E",INDEX(Transaksi!$C$2:$C$2001,K193)&amp;"","")</f>
        <v/>
      </c>
      <c r="D193" s="32">
        <f>IF(J193="E",INDEX(Transaksi!$D$2:$D$2001,K193)&amp;"","")</f>
        <v/>
      </c>
      <c r="E193" s="33">
        <f>IF(J193="H",SUMIFS(Transaksi!$G$2:$G$2001,Transaksi!$M$2:$M$2001,"="&amp;S193)+SUMIFS(Transaksi!$H$2:$H$2001,Transaksi!$M$2:$M$2001,"="&amp;S193)+SUMIFS(Transaksi!$I$2:$I$2001,Transaksi!$M$2:$M$2001,"="&amp;S193),IF(J193="E",IF(INDEX(Transaksi!$G$2:$G$2001,K193)+INDEX(Transaksi!$H$2:$H$2001,K193)+INDEX(Transaksi!$I$2:$I$2001,K193)=0,"",INDEX(Transaksi!$G$2:$G$2001,K193)+INDEX(Transaksi!$H$2:$H$2001,K193)+INDEX(Transaksi!$I$2:$I$2001,K193)),""))</f>
        <v/>
      </c>
      <c r="F193" s="33">
        <f>IF(J193="H",SUMIFS(Transaksi!$J$2:$J$2001,Transaksi!$M$2:$M$2001,"="&amp;S193),IF(J193="E",IF(INDEX(Transaksi!$J$2:$J$2001,K193)=0,"",INDEX(Transaksi!$J$2:$J$2001,K193)),""))</f>
        <v/>
      </c>
      <c r="G193" s="33">
        <f>IF(J193="H",(SUMIFS(Transaksi!$G$2:$G$2001,Transaksi!$M$2:$M$2001,"&lt;="&amp;S193)+SUMIFS(Transaksi!$H$2:$H$2001,Transaksi!$M$2:$M$2001,"&lt;="&amp;S193)+SUMIFS(Transaksi!$I$2:$I$2001,Transaksi!$M$2:$M$2001,"&lt;="&amp;S193))-(SUMIFS(Transaksi!$J$2:$J$2001,Transaksi!$M$2:$M$2001,"&lt;="&amp;S193)),"")</f>
        <v/>
      </c>
      <c r="I193">
        <f>IF(190&gt;$O$2,"",MATCH(190,$Q$3:$Q$402,1))</f>
        <v/>
      </c>
      <c r="J193">
        <f>IF(I193="","",IF(190=INDEX($Q$3:$Q$402,I193),"H","E"))</f>
        <v/>
      </c>
      <c r="K193">
        <f>IF(J193&lt;&gt;"E","",MATCH(S193,Transaksi!$M$2:$M$2001,0)+190-INDEX($Q$3:$Q$402,I193)-1)</f>
        <v/>
      </c>
      <c r="N193" t="n">
        <v>191</v>
      </c>
      <c r="O193">
        <f>IF(N193&lt;=$O$1,$O$1-N193+1,"")</f>
        <v/>
      </c>
      <c r="P193">
        <f>IF(O193="",0,COUNTIF(Transaksi!$M$2:$M$2001,O193)+1)</f>
        <v/>
      </c>
      <c r="Q193">
        <f>1+SUM(P$2:P192)</f>
        <v/>
      </c>
      <c r="S193">
        <f>IF(I193="","",INDEX($O$3:$O$402,I193))</f>
        <v/>
      </c>
      <c r="T193">
        <f>IF(J193&lt;&gt;"H","",INDEX(Transaksi!$A$2:$A$2001,MATCH(S193,Transaksi!$M$2:$M$2001,0)))</f>
        <v/>
      </c>
    </row>
    <row r="194">
      <c r="A194" s="31">
        <f>IF(J194="E",IF(INDEX(Transaksi!$J$2:$J$2001,K194)&gt;0,"↑","↓"),"")</f>
        <v/>
      </c>
      <c r="B194" s="32">
        <f>IF(J194="H",CHOOSE(WEEKDAY(T194,2),"Isnin","Selasa","Rabu","Khamis","Jumaat","Sabtu","Ahad")&amp;", "&amp;DAY(T194)&amp;" "&amp;CHOOSE(MONTH(T194),"Jan","Feb","Mac","Apr","Mei","Jun","Jul","Ogo","Sep","Okt","Nov","Dis")&amp;" "&amp;YEAR(T194),IF(J194="E",IF(INDEX(Transaksi!$B$2:$B$2001,K194)="",INDEX(Transaksi!$C$2:$C$2001,K194)&amp;" · "&amp;INDEX(Transaksi!$D$2:$D$2001,K194),INDEX(Transaksi!$B$2:$B$2001,K194)),""))</f>
        <v/>
      </c>
      <c r="C194" s="32">
        <f>IF(J194="E",INDEX(Transaksi!$C$2:$C$2001,K194)&amp;"","")</f>
        <v/>
      </c>
      <c r="D194" s="32">
        <f>IF(J194="E",INDEX(Transaksi!$D$2:$D$2001,K194)&amp;"","")</f>
        <v/>
      </c>
      <c r="E194" s="33">
        <f>IF(J194="H",SUMIFS(Transaksi!$G$2:$G$2001,Transaksi!$M$2:$M$2001,"="&amp;S194)+SUMIFS(Transaksi!$H$2:$H$2001,Transaksi!$M$2:$M$2001,"="&amp;S194)+SUMIFS(Transaksi!$I$2:$I$2001,Transaksi!$M$2:$M$2001,"="&amp;S194),IF(J194="E",IF(INDEX(Transaksi!$G$2:$G$2001,K194)+INDEX(Transaksi!$H$2:$H$2001,K194)+INDEX(Transaksi!$I$2:$I$2001,K194)=0,"",INDEX(Transaksi!$G$2:$G$2001,K194)+INDEX(Transaksi!$H$2:$H$2001,K194)+INDEX(Transaksi!$I$2:$I$2001,K194)),""))</f>
        <v/>
      </c>
      <c r="F194" s="33">
        <f>IF(J194="H",SUMIFS(Transaksi!$J$2:$J$2001,Transaksi!$M$2:$M$2001,"="&amp;S194),IF(J194="E",IF(INDEX(Transaksi!$J$2:$J$2001,K194)=0,"",INDEX(Transaksi!$J$2:$J$2001,K194)),""))</f>
        <v/>
      </c>
      <c r="G194" s="33">
        <f>IF(J194="H",(SUMIFS(Transaksi!$G$2:$G$2001,Transaksi!$M$2:$M$2001,"&lt;="&amp;S194)+SUMIFS(Transaksi!$H$2:$H$2001,Transaksi!$M$2:$M$2001,"&lt;="&amp;S194)+SUMIFS(Transaksi!$I$2:$I$2001,Transaksi!$M$2:$M$2001,"&lt;="&amp;S194))-(SUMIFS(Transaksi!$J$2:$J$2001,Transaksi!$M$2:$M$2001,"&lt;="&amp;S194)),"")</f>
        <v/>
      </c>
      <c r="I194">
        <f>IF(191&gt;$O$2,"",MATCH(191,$Q$3:$Q$402,1))</f>
        <v/>
      </c>
      <c r="J194">
        <f>IF(I194="","",IF(191=INDEX($Q$3:$Q$402,I194),"H","E"))</f>
        <v/>
      </c>
      <c r="K194">
        <f>IF(J194&lt;&gt;"E","",MATCH(S194,Transaksi!$M$2:$M$2001,0)+191-INDEX($Q$3:$Q$402,I194)-1)</f>
        <v/>
      </c>
      <c r="N194" t="n">
        <v>192</v>
      </c>
      <c r="O194">
        <f>IF(N194&lt;=$O$1,$O$1-N194+1,"")</f>
        <v/>
      </c>
      <c r="P194">
        <f>IF(O194="",0,COUNTIF(Transaksi!$M$2:$M$2001,O194)+1)</f>
        <v/>
      </c>
      <c r="Q194">
        <f>1+SUM(P$2:P193)</f>
        <v/>
      </c>
      <c r="S194">
        <f>IF(I194="","",INDEX($O$3:$O$402,I194))</f>
        <v/>
      </c>
      <c r="T194">
        <f>IF(J194&lt;&gt;"H","",INDEX(Transaksi!$A$2:$A$2001,MATCH(S194,Transaksi!$M$2:$M$2001,0)))</f>
        <v/>
      </c>
    </row>
    <row r="195">
      <c r="A195" s="31">
        <f>IF(J195="E",IF(INDEX(Transaksi!$J$2:$J$2001,K195)&gt;0,"↑","↓"),"")</f>
        <v/>
      </c>
      <c r="B195" s="32">
        <f>IF(J195="H",CHOOSE(WEEKDAY(T195,2),"Isnin","Selasa","Rabu","Khamis","Jumaat","Sabtu","Ahad")&amp;", "&amp;DAY(T195)&amp;" "&amp;CHOOSE(MONTH(T195),"Jan","Feb","Mac","Apr","Mei","Jun","Jul","Ogo","Sep","Okt","Nov","Dis")&amp;" "&amp;YEAR(T195),IF(J195="E",IF(INDEX(Transaksi!$B$2:$B$2001,K195)="",INDEX(Transaksi!$C$2:$C$2001,K195)&amp;" · "&amp;INDEX(Transaksi!$D$2:$D$2001,K195),INDEX(Transaksi!$B$2:$B$2001,K195)),""))</f>
        <v/>
      </c>
      <c r="C195" s="32">
        <f>IF(J195="E",INDEX(Transaksi!$C$2:$C$2001,K195)&amp;"","")</f>
        <v/>
      </c>
      <c r="D195" s="32">
        <f>IF(J195="E",INDEX(Transaksi!$D$2:$D$2001,K195)&amp;"","")</f>
        <v/>
      </c>
      <c r="E195" s="33">
        <f>IF(J195="H",SUMIFS(Transaksi!$G$2:$G$2001,Transaksi!$M$2:$M$2001,"="&amp;S195)+SUMIFS(Transaksi!$H$2:$H$2001,Transaksi!$M$2:$M$2001,"="&amp;S195)+SUMIFS(Transaksi!$I$2:$I$2001,Transaksi!$M$2:$M$2001,"="&amp;S195),IF(J195="E",IF(INDEX(Transaksi!$G$2:$G$2001,K195)+INDEX(Transaksi!$H$2:$H$2001,K195)+INDEX(Transaksi!$I$2:$I$2001,K195)=0,"",INDEX(Transaksi!$G$2:$G$2001,K195)+INDEX(Transaksi!$H$2:$H$2001,K195)+INDEX(Transaksi!$I$2:$I$2001,K195)),""))</f>
        <v/>
      </c>
      <c r="F195" s="33">
        <f>IF(J195="H",SUMIFS(Transaksi!$J$2:$J$2001,Transaksi!$M$2:$M$2001,"="&amp;S195),IF(J195="E",IF(INDEX(Transaksi!$J$2:$J$2001,K195)=0,"",INDEX(Transaksi!$J$2:$J$2001,K195)),""))</f>
        <v/>
      </c>
      <c r="G195" s="33">
        <f>IF(J195="H",(SUMIFS(Transaksi!$G$2:$G$2001,Transaksi!$M$2:$M$2001,"&lt;="&amp;S195)+SUMIFS(Transaksi!$H$2:$H$2001,Transaksi!$M$2:$M$2001,"&lt;="&amp;S195)+SUMIFS(Transaksi!$I$2:$I$2001,Transaksi!$M$2:$M$2001,"&lt;="&amp;S195))-(SUMIFS(Transaksi!$J$2:$J$2001,Transaksi!$M$2:$M$2001,"&lt;="&amp;S195)),"")</f>
        <v/>
      </c>
      <c r="I195">
        <f>IF(192&gt;$O$2,"",MATCH(192,$Q$3:$Q$402,1))</f>
        <v/>
      </c>
      <c r="J195">
        <f>IF(I195="","",IF(192=INDEX($Q$3:$Q$402,I195),"H","E"))</f>
        <v/>
      </c>
      <c r="K195">
        <f>IF(J195&lt;&gt;"E","",MATCH(S195,Transaksi!$M$2:$M$2001,0)+192-INDEX($Q$3:$Q$402,I195)-1)</f>
        <v/>
      </c>
      <c r="N195" t="n">
        <v>193</v>
      </c>
      <c r="O195">
        <f>IF(N195&lt;=$O$1,$O$1-N195+1,"")</f>
        <v/>
      </c>
      <c r="P195">
        <f>IF(O195="",0,COUNTIF(Transaksi!$M$2:$M$2001,O195)+1)</f>
        <v/>
      </c>
      <c r="Q195">
        <f>1+SUM(P$2:P194)</f>
        <v/>
      </c>
      <c r="S195">
        <f>IF(I195="","",INDEX($O$3:$O$402,I195))</f>
        <v/>
      </c>
      <c r="T195">
        <f>IF(J195&lt;&gt;"H","",INDEX(Transaksi!$A$2:$A$2001,MATCH(S195,Transaksi!$M$2:$M$2001,0)))</f>
        <v/>
      </c>
    </row>
    <row r="196">
      <c r="A196" s="31">
        <f>IF(J196="E",IF(INDEX(Transaksi!$J$2:$J$2001,K196)&gt;0,"↑","↓"),"")</f>
        <v/>
      </c>
      <c r="B196" s="32">
        <f>IF(J196="H",CHOOSE(WEEKDAY(T196,2),"Isnin","Selasa","Rabu","Khamis","Jumaat","Sabtu","Ahad")&amp;", "&amp;DAY(T196)&amp;" "&amp;CHOOSE(MONTH(T196),"Jan","Feb","Mac","Apr","Mei","Jun","Jul","Ogo","Sep","Okt","Nov","Dis")&amp;" "&amp;YEAR(T196),IF(J196="E",IF(INDEX(Transaksi!$B$2:$B$2001,K196)="",INDEX(Transaksi!$C$2:$C$2001,K196)&amp;" · "&amp;INDEX(Transaksi!$D$2:$D$2001,K196),INDEX(Transaksi!$B$2:$B$2001,K196)),""))</f>
        <v/>
      </c>
      <c r="C196" s="32">
        <f>IF(J196="E",INDEX(Transaksi!$C$2:$C$2001,K196)&amp;"","")</f>
        <v/>
      </c>
      <c r="D196" s="32">
        <f>IF(J196="E",INDEX(Transaksi!$D$2:$D$2001,K196)&amp;"","")</f>
        <v/>
      </c>
      <c r="E196" s="33">
        <f>IF(J196="H",SUMIFS(Transaksi!$G$2:$G$2001,Transaksi!$M$2:$M$2001,"="&amp;S196)+SUMIFS(Transaksi!$H$2:$H$2001,Transaksi!$M$2:$M$2001,"="&amp;S196)+SUMIFS(Transaksi!$I$2:$I$2001,Transaksi!$M$2:$M$2001,"="&amp;S196),IF(J196="E",IF(INDEX(Transaksi!$G$2:$G$2001,K196)+INDEX(Transaksi!$H$2:$H$2001,K196)+INDEX(Transaksi!$I$2:$I$2001,K196)=0,"",INDEX(Transaksi!$G$2:$G$2001,K196)+INDEX(Transaksi!$H$2:$H$2001,K196)+INDEX(Transaksi!$I$2:$I$2001,K196)),""))</f>
        <v/>
      </c>
      <c r="F196" s="33">
        <f>IF(J196="H",SUMIFS(Transaksi!$J$2:$J$2001,Transaksi!$M$2:$M$2001,"="&amp;S196),IF(J196="E",IF(INDEX(Transaksi!$J$2:$J$2001,K196)=0,"",INDEX(Transaksi!$J$2:$J$2001,K196)),""))</f>
        <v/>
      </c>
      <c r="G196" s="33">
        <f>IF(J196="H",(SUMIFS(Transaksi!$G$2:$G$2001,Transaksi!$M$2:$M$2001,"&lt;="&amp;S196)+SUMIFS(Transaksi!$H$2:$H$2001,Transaksi!$M$2:$M$2001,"&lt;="&amp;S196)+SUMIFS(Transaksi!$I$2:$I$2001,Transaksi!$M$2:$M$2001,"&lt;="&amp;S196))-(SUMIFS(Transaksi!$J$2:$J$2001,Transaksi!$M$2:$M$2001,"&lt;="&amp;S196)),"")</f>
        <v/>
      </c>
      <c r="I196">
        <f>IF(193&gt;$O$2,"",MATCH(193,$Q$3:$Q$402,1))</f>
        <v/>
      </c>
      <c r="J196">
        <f>IF(I196="","",IF(193=INDEX($Q$3:$Q$402,I196),"H","E"))</f>
        <v/>
      </c>
      <c r="K196">
        <f>IF(J196&lt;&gt;"E","",MATCH(S196,Transaksi!$M$2:$M$2001,0)+193-INDEX($Q$3:$Q$402,I196)-1)</f>
        <v/>
      </c>
      <c r="N196" t="n">
        <v>194</v>
      </c>
      <c r="O196">
        <f>IF(N196&lt;=$O$1,$O$1-N196+1,"")</f>
        <v/>
      </c>
      <c r="P196">
        <f>IF(O196="",0,COUNTIF(Transaksi!$M$2:$M$2001,O196)+1)</f>
        <v/>
      </c>
      <c r="Q196">
        <f>1+SUM(P$2:P195)</f>
        <v/>
      </c>
      <c r="S196">
        <f>IF(I196="","",INDEX($O$3:$O$402,I196))</f>
        <v/>
      </c>
      <c r="T196">
        <f>IF(J196&lt;&gt;"H","",INDEX(Transaksi!$A$2:$A$2001,MATCH(S196,Transaksi!$M$2:$M$2001,0)))</f>
        <v/>
      </c>
    </row>
    <row r="197">
      <c r="A197" s="31">
        <f>IF(J197="E",IF(INDEX(Transaksi!$J$2:$J$2001,K197)&gt;0,"↑","↓"),"")</f>
        <v/>
      </c>
      <c r="B197" s="32">
        <f>IF(J197="H",CHOOSE(WEEKDAY(T197,2),"Isnin","Selasa","Rabu","Khamis","Jumaat","Sabtu","Ahad")&amp;", "&amp;DAY(T197)&amp;" "&amp;CHOOSE(MONTH(T197),"Jan","Feb","Mac","Apr","Mei","Jun","Jul","Ogo","Sep","Okt","Nov","Dis")&amp;" "&amp;YEAR(T197),IF(J197="E",IF(INDEX(Transaksi!$B$2:$B$2001,K197)="",INDEX(Transaksi!$C$2:$C$2001,K197)&amp;" · "&amp;INDEX(Transaksi!$D$2:$D$2001,K197),INDEX(Transaksi!$B$2:$B$2001,K197)),""))</f>
        <v/>
      </c>
      <c r="C197" s="32">
        <f>IF(J197="E",INDEX(Transaksi!$C$2:$C$2001,K197)&amp;"","")</f>
        <v/>
      </c>
      <c r="D197" s="32">
        <f>IF(J197="E",INDEX(Transaksi!$D$2:$D$2001,K197)&amp;"","")</f>
        <v/>
      </c>
      <c r="E197" s="33">
        <f>IF(J197="H",SUMIFS(Transaksi!$G$2:$G$2001,Transaksi!$M$2:$M$2001,"="&amp;S197)+SUMIFS(Transaksi!$H$2:$H$2001,Transaksi!$M$2:$M$2001,"="&amp;S197)+SUMIFS(Transaksi!$I$2:$I$2001,Transaksi!$M$2:$M$2001,"="&amp;S197),IF(J197="E",IF(INDEX(Transaksi!$G$2:$G$2001,K197)+INDEX(Transaksi!$H$2:$H$2001,K197)+INDEX(Transaksi!$I$2:$I$2001,K197)=0,"",INDEX(Transaksi!$G$2:$G$2001,K197)+INDEX(Transaksi!$H$2:$H$2001,K197)+INDEX(Transaksi!$I$2:$I$2001,K197)),""))</f>
        <v/>
      </c>
      <c r="F197" s="33">
        <f>IF(J197="H",SUMIFS(Transaksi!$J$2:$J$2001,Transaksi!$M$2:$M$2001,"="&amp;S197),IF(J197="E",IF(INDEX(Transaksi!$J$2:$J$2001,K197)=0,"",INDEX(Transaksi!$J$2:$J$2001,K197)),""))</f>
        <v/>
      </c>
      <c r="G197" s="33">
        <f>IF(J197="H",(SUMIFS(Transaksi!$G$2:$G$2001,Transaksi!$M$2:$M$2001,"&lt;="&amp;S197)+SUMIFS(Transaksi!$H$2:$H$2001,Transaksi!$M$2:$M$2001,"&lt;="&amp;S197)+SUMIFS(Transaksi!$I$2:$I$2001,Transaksi!$M$2:$M$2001,"&lt;="&amp;S197))-(SUMIFS(Transaksi!$J$2:$J$2001,Transaksi!$M$2:$M$2001,"&lt;="&amp;S197)),"")</f>
        <v/>
      </c>
      <c r="I197">
        <f>IF(194&gt;$O$2,"",MATCH(194,$Q$3:$Q$402,1))</f>
        <v/>
      </c>
      <c r="J197">
        <f>IF(I197="","",IF(194=INDEX($Q$3:$Q$402,I197),"H","E"))</f>
        <v/>
      </c>
      <c r="K197">
        <f>IF(J197&lt;&gt;"E","",MATCH(S197,Transaksi!$M$2:$M$2001,0)+194-INDEX($Q$3:$Q$402,I197)-1)</f>
        <v/>
      </c>
      <c r="N197" t="n">
        <v>195</v>
      </c>
      <c r="O197">
        <f>IF(N197&lt;=$O$1,$O$1-N197+1,"")</f>
        <v/>
      </c>
      <c r="P197">
        <f>IF(O197="",0,COUNTIF(Transaksi!$M$2:$M$2001,O197)+1)</f>
        <v/>
      </c>
      <c r="Q197">
        <f>1+SUM(P$2:P196)</f>
        <v/>
      </c>
      <c r="S197">
        <f>IF(I197="","",INDEX($O$3:$O$402,I197))</f>
        <v/>
      </c>
      <c r="T197">
        <f>IF(J197&lt;&gt;"H","",INDEX(Transaksi!$A$2:$A$2001,MATCH(S197,Transaksi!$M$2:$M$2001,0)))</f>
        <v/>
      </c>
    </row>
    <row r="198">
      <c r="A198" s="31">
        <f>IF(J198="E",IF(INDEX(Transaksi!$J$2:$J$2001,K198)&gt;0,"↑","↓"),"")</f>
        <v/>
      </c>
      <c r="B198" s="32">
        <f>IF(J198="H",CHOOSE(WEEKDAY(T198,2),"Isnin","Selasa","Rabu","Khamis","Jumaat","Sabtu","Ahad")&amp;", "&amp;DAY(T198)&amp;" "&amp;CHOOSE(MONTH(T198),"Jan","Feb","Mac","Apr","Mei","Jun","Jul","Ogo","Sep","Okt","Nov","Dis")&amp;" "&amp;YEAR(T198),IF(J198="E",IF(INDEX(Transaksi!$B$2:$B$2001,K198)="",INDEX(Transaksi!$C$2:$C$2001,K198)&amp;" · "&amp;INDEX(Transaksi!$D$2:$D$2001,K198),INDEX(Transaksi!$B$2:$B$2001,K198)),""))</f>
        <v/>
      </c>
      <c r="C198" s="32">
        <f>IF(J198="E",INDEX(Transaksi!$C$2:$C$2001,K198)&amp;"","")</f>
        <v/>
      </c>
      <c r="D198" s="32">
        <f>IF(J198="E",INDEX(Transaksi!$D$2:$D$2001,K198)&amp;"","")</f>
        <v/>
      </c>
      <c r="E198" s="33">
        <f>IF(J198="H",SUMIFS(Transaksi!$G$2:$G$2001,Transaksi!$M$2:$M$2001,"="&amp;S198)+SUMIFS(Transaksi!$H$2:$H$2001,Transaksi!$M$2:$M$2001,"="&amp;S198)+SUMIFS(Transaksi!$I$2:$I$2001,Transaksi!$M$2:$M$2001,"="&amp;S198),IF(J198="E",IF(INDEX(Transaksi!$G$2:$G$2001,K198)+INDEX(Transaksi!$H$2:$H$2001,K198)+INDEX(Transaksi!$I$2:$I$2001,K198)=0,"",INDEX(Transaksi!$G$2:$G$2001,K198)+INDEX(Transaksi!$H$2:$H$2001,K198)+INDEX(Transaksi!$I$2:$I$2001,K198)),""))</f>
        <v/>
      </c>
      <c r="F198" s="33">
        <f>IF(J198="H",SUMIFS(Transaksi!$J$2:$J$2001,Transaksi!$M$2:$M$2001,"="&amp;S198),IF(J198="E",IF(INDEX(Transaksi!$J$2:$J$2001,K198)=0,"",INDEX(Transaksi!$J$2:$J$2001,K198)),""))</f>
        <v/>
      </c>
      <c r="G198" s="33">
        <f>IF(J198="H",(SUMIFS(Transaksi!$G$2:$G$2001,Transaksi!$M$2:$M$2001,"&lt;="&amp;S198)+SUMIFS(Transaksi!$H$2:$H$2001,Transaksi!$M$2:$M$2001,"&lt;="&amp;S198)+SUMIFS(Transaksi!$I$2:$I$2001,Transaksi!$M$2:$M$2001,"&lt;="&amp;S198))-(SUMIFS(Transaksi!$J$2:$J$2001,Transaksi!$M$2:$M$2001,"&lt;="&amp;S198)),"")</f>
        <v/>
      </c>
      <c r="I198">
        <f>IF(195&gt;$O$2,"",MATCH(195,$Q$3:$Q$402,1))</f>
        <v/>
      </c>
      <c r="J198">
        <f>IF(I198="","",IF(195=INDEX($Q$3:$Q$402,I198),"H","E"))</f>
        <v/>
      </c>
      <c r="K198">
        <f>IF(J198&lt;&gt;"E","",MATCH(S198,Transaksi!$M$2:$M$2001,0)+195-INDEX($Q$3:$Q$402,I198)-1)</f>
        <v/>
      </c>
      <c r="N198" t="n">
        <v>196</v>
      </c>
      <c r="O198">
        <f>IF(N198&lt;=$O$1,$O$1-N198+1,"")</f>
        <v/>
      </c>
      <c r="P198">
        <f>IF(O198="",0,COUNTIF(Transaksi!$M$2:$M$2001,O198)+1)</f>
        <v/>
      </c>
      <c r="Q198">
        <f>1+SUM(P$2:P197)</f>
        <v/>
      </c>
      <c r="S198">
        <f>IF(I198="","",INDEX($O$3:$O$402,I198))</f>
        <v/>
      </c>
      <c r="T198">
        <f>IF(J198&lt;&gt;"H","",INDEX(Transaksi!$A$2:$A$2001,MATCH(S198,Transaksi!$M$2:$M$2001,0)))</f>
        <v/>
      </c>
    </row>
    <row r="199">
      <c r="A199" s="31">
        <f>IF(J199="E",IF(INDEX(Transaksi!$J$2:$J$2001,K199)&gt;0,"↑","↓"),"")</f>
        <v/>
      </c>
      <c r="B199" s="32">
        <f>IF(J199="H",CHOOSE(WEEKDAY(T199,2),"Isnin","Selasa","Rabu","Khamis","Jumaat","Sabtu","Ahad")&amp;", "&amp;DAY(T199)&amp;" "&amp;CHOOSE(MONTH(T199),"Jan","Feb","Mac","Apr","Mei","Jun","Jul","Ogo","Sep","Okt","Nov","Dis")&amp;" "&amp;YEAR(T199),IF(J199="E",IF(INDEX(Transaksi!$B$2:$B$2001,K199)="",INDEX(Transaksi!$C$2:$C$2001,K199)&amp;" · "&amp;INDEX(Transaksi!$D$2:$D$2001,K199),INDEX(Transaksi!$B$2:$B$2001,K199)),""))</f>
        <v/>
      </c>
      <c r="C199" s="32">
        <f>IF(J199="E",INDEX(Transaksi!$C$2:$C$2001,K199)&amp;"","")</f>
        <v/>
      </c>
      <c r="D199" s="32">
        <f>IF(J199="E",INDEX(Transaksi!$D$2:$D$2001,K199)&amp;"","")</f>
        <v/>
      </c>
      <c r="E199" s="33">
        <f>IF(J199="H",SUMIFS(Transaksi!$G$2:$G$2001,Transaksi!$M$2:$M$2001,"="&amp;S199)+SUMIFS(Transaksi!$H$2:$H$2001,Transaksi!$M$2:$M$2001,"="&amp;S199)+SUMIFS(Transaksi!$I$2:$I$2001,Transaksi!$M$2:$M$2001,"="&amp;S199),IF(J199="E",IF(INDEX(Transaksi!$G$2:$G$2001,K199)+INDEX(Transaksi!$H$2:$H$2001,K199)+INDEX(Transaksi!$I$2:$I$2001,K199)=0,"",INDEX(Transaksi!$G$2:$G$2001,K199)+INDEX(Transaksi!$H$2:$H$2001,K199)+INDEX(Transaksi!$I$2:$I$2001,K199)),""))</f>
        <v/>
      </c>
      <c r="F199" s="33">
        <f>IF(J199="H",SUMIFS(Transaksi!$J$2:$J$2001,Transaksi!$M$2:$M$2001,"="&amp;S199),IF(J199="E",IF(INDEX(Transaksi!$J$2:$J$2001,K199)=0,"",INDEX(Transaksi!$J$2:$J$2001,K199)),""))</f>
        <v/>
      </c>
      <c r="G199" s="33">
        <f>IF(J199="H",(SUMIFS(Transaksi!$G$2:$G$2001,Transaksi!$M$2:$M$2001,"&lt;="&amp;S199)+SUMIFS(Transaksi!$H$2:$H$2001,Transaksi!$M$2:$M$2001,"&lt;="&amp;S199)+SUMIFS(Transaksi!$I$2:$I$2001,Transaksi!$M$2:$M$2001,"&lt;="&amp;S199))-(SUMIFS(Transaksi!$J$2:$J$2001,Transaksi!$M$2:$M$2001,"&lt;="&amp;S199)),"")</f>
        <v/>
      </c>
      <c r="I199">
        <f>IF(196&gt;$O$2,"",MATCH(196,$Q$3:$Q$402,1))</f>
        <v/>
      </c>
      <c r="J199">
        <f>IF(I199="","",IF(196=INDEX($Q$3:$Q$402,I199),"H","E"))</f>
        <v/>
      </c>
      <c r="K199">
        <f>IF(J199&lt;&gt;"E","",MATCH(S199,Transaksi!$M$2:$M$2001,0)+196-INDEX($Q$3:$Q$402,I199)-1)</f>
        <v/>
      </c>
      <c r="N199" t="n">
        <v>197</v>
      </c>
      <c r="O199">
        <f>IF(N199&lt;=$O$1,$O$1-N199+1,"")</f>
        <v/>
      </c>
      <c r="P199">
        <f>IF(O199="",0,COUNTIF(Transaksi!$M$2:$M$2001,O199)+1)</f>
        <v/>
      </c>
      <c r="Q199">
        <f>1+SUM(P$2:P198)</f>
        <v/>
      </c>
      <c r="S199">
        <f>IF(I199="","",INDEX($O$3:$O$402,I199))</f>
        <v/>
      </c>
      <c r="T199">
        <f>IF(J199&lt;&gt;"H","",INDEX(Transaksi!$A$2:$A$2001,MATCH(S199,Transaksi!$M$2:$M$2001,0)))</f>
        <v/>
      </c>
    </row>
    <row r="200">
      <c r="A200" s="31">
        <f>IF(J200="E",IF(INDEX(Transaksi!$J$2:$J$2001,K200)&gt;0,"↑","↓"),"")</f>
        <v/>
      </c>
      <c r="B200" s="32">
        <f>IF(J200="H",CHOOSE(WEEKDAY(T200,2),"Isnin","Selasa","Rabu","Khamis","Jumaat","Sabtu","Ahad")&amp;", "&amp;DAY(T200)&amp;" "&amp;CHOOSE(MONTH(T200),"Jan","Feb","Mac","Apr","Mei","Jun","Jul","Ogo","Sep","Okt","Nov","Dis")&amp;" "&amp;YEAR(T200),IF(J200="E",IF(INDEX(Transaksi!$B$2:$B$2001,K200)="",INDEX(Transaksi!$C$2:$C$2001,K200)&amp;" · "&amp;INDEX(Transaksi!$D$2:$D$2001,K200),INDEX(Transaksi!$B$2:$B$2001,K200)),""))</f>
        <v/>
      </c>
      <c r="C200" s="32">
        <f>IF(J200="E",INDEX(Transaksi!$C$2:$C$2001,K200)&amp;"","")</f>
        <v/>
      </c>
      <c r="D200" s="32">
        <f>IF(J200="E",INDEX(Transaksi!$D$2:$D$2001,K200)&amp;"","")</f>
        <v/>
      </c>
      <c r="E200" s="33">
        <f>IF(J200="H",SUMIFS(Transaksi!$G$2:$G$2001,Transaksi!$M$2:$M$2001,"="&amp;S200)+SUMIFS(Transaksi!$H$2:$H$2001,Transaksi!$M$2:$M$2001,"="&amp;S200)+SUMIFS(Transaksi!$I$2:$I$2001,Transaksi!$M$2:$M$2001,"="&amp;S200),IF(J200="E",IF(INDEX(Transaksi!$G$2:$G$2001,K200)+INDEX(Transaksi!$H$2:$H$2001,K200)+INDEX(Transaksi!$I$2:$I$2001,K200)=0,"",INDEX(Transaksi!$G$2:$G$2001,K200)+INDEX(Transaksi!$H$2:$H$2001,K200)+INDEX(Transaksi!$I$2:$I$2001,K200)),""))</f>
        <v/>
      </c>
      <c r="F200" s="33">
        <f>IF(J200="H",SUMIFS(Transaksi!$J$2:$J$2001,Transaksi!$M$2:$M$2001,"="&amp;S200),IF(J200="E",IF(INDEX(Transaksi!$J$2:$J$2001,K200)=0,"",INDEX(Transaksi!$J$2:$J$2001,K200)),""))</f>
        <v/>
      </c>
      <c r="G200" s="33">
        <f>IF(J200="H",(SUMIFS(Transaksi!$G$2:$G$2001,Transaksi!$M$2:$M$2001,"&lt;="&amp;S200)+SUMIFS(Transaksi!$H$2:$H$2001,Transaksi!$M$2:$M$2001,"&lt;="&amp;S200)+SUMIFS(Transaksi!$I$2:$I$2001,Transaksi!$M$2:$M$2001,"&lt;="&amp;S200))-(SUMIFS(Transaksi!$J$2:$J$2001,Transaksi!$M$2:$M$2001,"&lt;="&amp;S200)),"")</f>
        <v/>
      </c>
      <c r="I200">
        <f>IF(197&gt;$O$2,"",MATCH(197,$Q$3:$Q$402,1))</f>
        <v/>
      </c>
      <c r="J200">
        <f>IF(I200="","",IF(197=INDEX($Q$3:$Q$402,I200),"H","E"))</f>
        <v/>
      </c>
      <c r="K200">
        <f>IF(J200&lt;&gt;"E","",MATCH(S200,Transaksi!$M$2:$M$2001,0)+197-INDEX($Q$3:$Q$402,I200)-1)</f>
        <v/>
      </c>
      <c r="N200" t="n">
        <v>198</v>
      </c>
      <c r="O200">
        <f>IF(N200&lt;=$O$1,$O$1-N200+1,"")</f>
        <v/>
      </c>
      <c r="P200">
        <f>IF(O200="",0,COUNTIF(Transaksi!$M$2:$M$2001,O200)+1)</f>
        <v/>
      </c>
      <c r="Q200">
        <f>1+SUM(P$2:P199)</f>
        <v/>
      </c>
      <c r="S200">
        <f>IF(I200="","",INDEX($O$3:$O$402,I200))</f>
        <v/>
      </c>
      <c r="T200">
        <f>IF(J200&lt;&gt;"H","",INDEX(Transaksi!$A$2:$A$2001,MATCH(S200,Transaksi!$M$2:$M$2001,0)))</f>
        <v/>
      </c>
    </row>
    <row r="201">
      <c r="A201" s="31">
        <f>IF(J201="E",IF(INDEX(Transaksi!$J$2:$J$2001,K201)&gt;0,"↑","↓"),"")</f>
        <v/>
      </c>
      <c r="B201" s="32">
        <f>IF(J201="H",CHOOSE(WEEKDAY(T201,2),"Isnin","Selasa","Rabu","Khamis","Jumaat","Sabtu","Ahad")&amp;", "&amp;DAY(T201)&amp;" "&amp;CHOOSE(MONTH(T201),"Jan","Feb","Mac","Apr","Mei","Jun","Jul","Ogo","Sep","Okt","Nov","Dis")&amp;" "&amp;YEAR(T201),IF(J201="E",IF(INDEX(Transaksi!$B$2:$B$2001,K201)="",INDEX(Transaksi!$C$2:$C$2001,K201)&amp;" · "&amp;INDEX(Transaksi!$D$2:$D$2001,K201),INDEX(Transaksi!$B$2:$B$2001,K201)),""))</f>
        <v/>
      </c>
      <c r="C201" s="32">
        <f>IF(J201="E",INDEX(Transaksi!$C$2:$C$2001,K201)&amp;"","")</f>
        <v/>
      </c>
      <c r="D201" s="32">
        <f>IF(J201="E",INDEX(Transaksi!$D$2:$D$2001,K201)&amp;"","")</f>
        <v/>
      </c>
      <c r="E201" s="33">
        <f>IF(J201="H",SUMIFS(Transaksi!$G$2:$G$2001,Transaksi!$M$2:$M$2001,"="&amp;S201)+SUMIFS(Transaksi!$H$2:$H$2001,Transaksi!$M$2:$M$2001,"="&amp;S201)+SUMIFS(Transaksi!$I$2:$I$2001,Transaksi!$M$2:$M$2001,"="&amp;S201),IF(J201="E",IF(INDEX(Transaksi!$G$2:$G$2001,K201)+INDEX(Transaksi!$H$2:$H$2001,K201)+INDEX(Transaksi!$I$2:$I$2001,K201)=0,"",INDEX(Transaksi!$G$2:$G$2001,K201)+INDEX(Transaksi!$H$2:$H$2001,K201)+INDEX(Transaksi!$I$2:$I$2001,K201)),""))</f>
        <v/>
      </c>
      <c r="F201" s="33">
        <f>IF(J201="H",SUMIFS(Transaksi!$J$2:$J$2001,Transaksi!$M$2:$M$2001,"="&amp;S201),IF(J201="E",IF(INDEX(Transaksi!$J$2:$J$2001,K201)=0,"",INDEX(Transaksi!$J$2:$J$2001,K201)),""))</f>
        <v/>
      </c>
      <c r="G201" s="33">
        <f>IF(J201="H",(SUMIFS(Transaksi!$G$2:$G$2001,Transaksi!$M$2:$M$2001,"&lt;="&amp;S201)+SUMIFS(Transaksi!$H$2:$H$2001,Transaksi!$M$2:$M$2001,"&lt;="&amp;S201)+SUMIFS(Transaksi!$I$2:$I$2001,Transaksi!$M$2:$M$2001,"&lt;="&amp;S201))-(SUMIFS(Transaksi!$J$2:$J$2001,Transaksi!$M$2:$M$2001,"&lt;="&amp;S201)),"")</f>
        <v/>
      </c>
      <c r="I201">
        <f>IF(198&gt;$O$2,"",MATCH(198,$Q$3:$Q$402,1))</f>
        <v/>
      </c>
      <c r="J201">
        <f>IF(I201="","",IF(198=INDEX($Q$3:$Q$402,I201),"H","E"))</f>
        <v/>
      </c>
      <c r="K201">
        <f>IF(J201&lt;&gt;"E","",MATCH(S201,Transaksi!$M$2:$M$2001,0)+198-INDEX($Q$3:$Q$402,I201)-1)</f>
        <v/>
      </c>
      <c r="N201" t="n">
        <v>199</v>
      </c>
      <c r="O201">
        <f>IF(N201&lt;=$O$1,$O$1-N201+1,"")</f>
        <v/>
      </c>
      <c r="P201">
        <f>IF(O201="",0,COUNTIF(Transaksi!$M$2:$M$2001,O201)+1)</f>
        <v/>
      </c>
      <c r="Q201">
        <f>1+SUM(P$2:P200)</f>
        <v/>
      </c>
      <c r="S201">
        <f>IF(I201="","",INDEX($O$3:$O$402,I201))</f>
        <v/>
      </c>
      <c r="T201">
        <f>IF(J201&lt;&gt;"H","",INDEX(Transaksi!$A$2:$A$2001,MATCH(S201,Transaksi!$M$2:$M$2001,0)))</f>
        <v/>
      </c>
    </row>
    <row r="202">
      <c r="A202" s="31">
        <f>IF(J202="E",IF(INDEX(Transaksi!$J$2:$J$2001,K202)&gt;0,"↑","↓"),"")</f>
        <v/>
      </c>
      <c r="B202" s="32">
        <f>IF(J202="H",CHOOSE(WEEKDAY(T202,2),"Isnin","Selasa","Rabu","Khamis","Jumaat","Sabtu","Ahad")&amp;", "&amp;DAY(T202)&amp;" "&amp;CHOOSE(MONTH(T202),"Jan","Feb","Mac","Apr","Mei","Jun","Jul","Ogo","Sep","Okt","Nov","Dis")&amp;" "&amp;YEAR(T202),IF(J202="E",IF(INDEX(Transaksi!$B$2:$B$2001,K202)="",INDEX(Transaksi!$C$2:$C$2001,K202)&amp;" · "&amp;INDEX(Transaksi!$D$2:$D$2001,K202),INDEX(Transaksi!$B$2:$B$2001,K202)),""))</f>
        <v/>
      </c>
      <c r="C202" s="32">
        <f>IF(J202="E",INDEX(Transaksi!$C$2:$C$2001,K202)&amp;"","")</f>
        <v/>
      </c>
      <c r="D202" s="32">
        <f>IF(J202="E",INDEX(Transaksi!$D$2:$D$2001,K202)&amp;"","")</f>
        <v/>
      </c>
      <c r="E202" s="33">
        <f>IF(J202="H",SUMIFS(Transaksi!$G$2:$G$2001,Transaksi!$M$2:$M$2001,"="&amp;S202)+SUMIFS(Transaksi!$H$2:$H$2001,Transaksi!$M$2:$M$2001,"="&amp;S202)+SUMIFS(Transaksi!$I$2:$I$2001,Transaksi!$M$2:$M$2001,"="&amp;S202),IF(J202="E",IF(INDEX(Transaksi!$G$2:$G$2001,K202)+INDEX(Transaksi!$H$2:$H$2001,K202)+INDEX(Transaksi!$I$2:$I$2001,K202)=0,"",INDEX(Transaksi!$G$2:$G$2001,K202)+INDEX(Transaksi!$H$2:$H$2001,K202)+INDEX(Transaksi!$I$2:$I$2001,K202)),""))</f>
        <v/>
      </c>
      <c r="F202" s="33">
        <f>IF(J202="H",SUMIFS(Transaksi!$J$2:$J$2001,Transaksi!$M$2:$M$2001,"="&amp;S202),IF(J202="E",IF(INDEX(Transaksi!$J$2:$J$2001,K202)=0,"",INDEX(Transaksi!$J$2:$J$2001,K202)),""))</f>
        <v/>
      </c>
      <c r="G202" s="33">
        <f>IF(J202="H",(SUMIFS(Transaksi!$G$2:$G$2001,Transaksi!$M$2:$M$2001,"&lt;="&amp;S202)+SUMIFS(Transaksi!$H$2:$H$2001,Transaksi!$M$2:$M$2001,"&lt;="&amp;S202)+SUMIFS(Transaksi!$I$2:$I$2001,Transaksi!$M$2:$M$2001,"&lt;="&amp;S202))-(SUMIFS(Transaksi!$J$2:$J$2001,Transaksi!$M$2:$M$2001,"&lt;="&amp;S202)),"")</f>
        <v/>
      </c>
      <c r="I202">
        <f>IF(199&gt;$O$2,"",MATCH(199,$Q$3:$Q$402,1))</f>
        <v/>
      </c>
      <c r="J202">
        <f>IF(I202="","",IF(199=INDEX($Q$3:$Q$402,I202),"H","E"))</f>
        <v/>
      </c>
      <c r="K202">
        <f>IF(J202&lt;&gt;"E","",MATCH(S202,Transaksi!$M$2:$M$2001,0)+199-INDEX($Q$3:$Q$402,I202)-1)</f>
        <v/>
      </c>
      <c r="N202" t="n">
        <v>200</v>
      </c>
      <c r="O202">
        <f>IF(N202&lt;=$O$1,$O$1-N202+1,"")</f>
        <v/>
      </c>
      <c r="P202">
        <f>IF(O202="",0,COUNTIF(Transaksi!$M$2:$M$2001,O202)+1)</f>
        <v/>
      </c>
      <c r="Q202">
        <f>1+SUM(P$2:P201)</f>
        <v/>
      </c>
      <c r="S202">
        <f>IF(I202="","",INDEX($O$3:$O$402,I202))</f>
        <v/>
      </c>
      <c r="T202">
        <f>IF(J202&lt;&gt;"H","",INDEX(Transaksi!$A$2:$A$2001,MATCH(S202,Transaksi!$M$2:$M$2001,0)))</f>
        <v/>
      </c>
    </row>
    <row r="203">
      <c r="A203" s="31">
        <f>IF(J203="E",IF(INDEX(Transaksi!$J$2:$J$2001,K203)&gt;0,"↑","↓"),"")</f>
        <v/>
      </c>
      <c r="B203" s="32">
        <f>IF(J203="H",CHOOSE(WEEKDAY(T203,2),"Isnin","Selasa","Rabu","Khamis","Jumaat","Sabtu","Ahad")&amp;", "&amp;DAY(T203)&amp;" "&amp;CHOOSE(MONTH(T203),"Jan","Feb","Mac","Apr","Mei","Jun","Jul","Ogo","Sep","Okt","Nov","Dis")&amp;" "&amp;YEAR(T203),IF(J203="E",IF(INDEX(Transaksi!$B$2:$B$2001,K203)="",INDEX(Transaksi!$C$2:$C$2001,K203)&amp;" · "&amp;INDEX(Transaksi!$D$2:$D$2001,K203),INDEX(Transaksi!$B$2:$B$2001,K203)),""))</f>
        <v/>
      </c>
      <c r="C203" s="32">
        <f>IF(J203="E",INDEX(Transaksi!$C$2:$C$2001,K203)&amp;"","")</f>
        <v/>
      </c>
      <c r="D203" s="32">
        <f>IF(J203="E",INDEX(Transaksi!$D$2:$D$2001,K203)&amp;"","")</f>
        <v/>
      </c>
      <c r="E203" s="33">
        <f>IF(J203="H",SUMIFS(Transaksi!$G$2:$G$2001,Transaksi!$M$2:$M$2001,"="&amp;S203)+SUMIFS(Transaksi!$H$2:$H$2001,Transaksi!$M$2:$M$2001,"="&amp;S203)+SUMIFS(Transaksi!$I$2:$I$2001,Transaksi!$M$2:$M$2001,"="&amp;S203),IF(J203="E",IF(INDEX(Transaksi!$G$2:$G$2001,K203)+INDEX(Transaksi!$H$2:$H$2001,K203)+INDEX(Transaksi!$I$2:$I$2001,K203)=0,"",INDEX(Transaksi!$G$2:$G$2001,K203)+INDEX(Transaksi!$H$2:$H$2001,K203)+INDEX(Transaksi!$I$2:$I$2001,K203)),""))</f>
        <v/>
      </c>
      <c r="F203" s="33">
        <f>IF(J203="H",SUMIFS(Transaksi!$J$2:$J$2001,Transaksi!$M$2:$M$2001,"="&amp;S203),IF(J203="E",IF(INDEX(Transaksi!$J$2:$J$2001,K203)=0,"",INDEX(Transaksi!$J$2:$J$2001,K203)),""))</f>
        <v/>
      </c>
      <c r="G203" s="33">
        <f>IF(J203="H",(SUMIFS(Transaksi!$G$2:$G$2001,Transaksi!$M$2:$M$2001,"&lt;="&amp;S203)+SUMIFS(Transaksi!$H$2:$H$2001,Transaksi!$M$2:$M$2001,"&lt;="&amp;S203)+SUMIFS(Transaksi!$I$2:$I$2001,Transaksi!$M$2:$M$2001,"&lt;="&amp;S203))-(SUMIFS(Transaksi!$J$2:$J$2001,Transaksi!$M$2:$M$2001,"&lt;="&amp;S203)),"")</f>
        <v/>
      </c>
      <c r="I203">
        <f>IF(200&gt;$O$2,"",MATCH(200,$Q$3:$Q$402,1))</f>
        <v/>
      </c>
      <c r="J203">
        <f>IF(I203="","",IF(200=INDEX($Q$3:$Q$402,I203),"H","E"))</f>
        <v/>
      </c>
      <c r="K203">
        <f>IF(J203&lt;&gt;"E","",MATCH(S203,Transaksi!$M$2:$M$2001,0)+200-INDEX($Q$3:$Q$402,I203)-1)</f>
        <v/>
      </c>
      <c r="N203" t="n">
        <v>201</v>
      </c>
      <c r="O203">
        <f>IF(N203&lt;=$O$1,$O$1-N203+1,"")</f>
        <v/>
      </c>
      <c r="P203">
        <f>IF(O203="",0,COUNTIF(Transaksi!$M$2:$M$2001,O203)+1)</f>
        <v/>
      </c>
      <c r="Q203">
        <f>1+SUM(P$2:P202)</f>
        <v/>
      </c>
      <c r="S203">
        <f>IF(I203="","",INDEX($O$3:$O$402,I203))</f>
        <v/>
      </c>
      <c r="T203">
        <f>IF(J203&lt;&gt;"H","",INDEX(Transaksi!$A$2:$A$2001,MATCH(S203,Transaksi!$M$2:$M$2001,0)))</f>
        <v/>
      </c>
    </row>
    <row r="204">
      <c r="A204" s="31">
        <f>IF(J204="E",IF(INDEX(Transaksi!$J$2:$J$2001,K204)&gt;0,"↑","↓"),"")</f>
        <v/>
      </c>
      <c r="B204" s="32">
        <f>IF(J204="H",CHOOSE(WEEKDAY(T204,2),"Isnin","Selasa","Rabu","Khamis","Jumaat","Sabtu","Ahad")&amp;", "&amp;DAY(T204)&amp;" "&amp;CHOOSE(MONTH(T204),"Jan","Feb","Mac","Apr","Mei","Jun","Jul","Ogo","Sep","Okt","Nov","Dis")&amp;" "&amp;YEAR(T204),IF(J204="E",IF(INDEX(Transaksi!$B$2:$B$2001,K204)="",INDEX(Transaksi!$C$2:$C$2001,K204)&amp;" · "&amp;INDEX(Transaksi!$D$2:$D$2001,K204),INDEX(Transaksi!$B$2:$B$2001,K204)),""))</f>
        <v/>
      </c>
      <c r="C204" s="32">
        <f>IF(J204="E",INDEX(Transaksi!$C$2:$C$2001,K204)&amp;"","")</f>
        <v/>
      </c>
      <c r="D204" s="32">
        <f>IF(J204="E",INDEX(Transaksi!$D$2:$D$2001,K204)&amp;"","")</f>
        <v/>
      </c>
      <c r="E204" s="33">
        <f>IF(J204="H",SUMIFS(Transaksi!$G$2:$G$2001,Transaksi!$M$2:$M$2001,"="&amp;S204)+SUMIFS(Transaksi!$H$2:$H$2001,Transaksi!$M$2:$M$2001,"="&amp;S204)+SUMIFS(Transaksi!$I$2:$I$2001,Transaksi!$M$2:$M$2001,"="&amp;S204),IF(J204="E",IF(INDEX(Transaksi!$G$2:$G$2001,K204)+INDEX(Transaksi!$H$2:$H$2001,K204)+INDEX(Transaksi!$I$2:$I$2001,K204)=0,"",INDEX(Transaksi!$G$2:$G$2001,K204)+INDEX(Transaksi!$H$2:$H$2001,K204)+INDEX(Transaksi!$I$2:$I$2001,K204)),""))</f>
        <v/>
      </c>
      <c r="F204" s="33">
        <f>IF(J204="H",SUMIFS(Transaksi!$J$2:$J$2001,Transaksi!$M$2:$M$2001,"="&amp;S204),IF(J204="E",IF(INDEX(Transaksi!$J$2:$J$2001,K204)=0,"",INDEX(Transaksi!$J$2:$J$2001,K204)),""))</f>
        <v/>
      </c>
      <c r="G204" s="33">
        <f>IF(J204="H",(SUMIFS(Transaksi!$G$2:$G$2001,Transaksi!$M$2:$M$2001,"&lt;="&amp;S204)+SUMIFS(Transaksi!$H$2:$H$2001,Transaksi!$M$2:$M$2001,"&lt;="&amp;S204)+SUMIFS(Transaksi!$I$2:$I$2001,Transaksi!$M$2:$M$2001,"&lt;="&amp;S204))-(SUMIFS(Transaksi!$J$2:$J$2001,Transaksi!$M$2:$M$2001,"&lt;="&amp;S204)),"")</f>
        <v/>
      </c>
      <c r="I204">
        <f>IF(201&gt;$O$2,"",MATCH(201,$Q$3:$Q$402,1))</f>
        <v/>
      </c>
      <c r="J204">
        <f>IF(I204="","",IF(201=INDEX($Q$3:$Q$402,I204),"H","E"))</f>
        <v/>
      </c>
      <c r="K204">
        <f>IF(J204&lt;&gt;"E","",MATCH(S204,Transaksi!$M$2:$M$2001,0)+201-INDEX($Q$3:$Q$402,I204)-1)</f>
        <v/>
      </c>
      <c r="N204" t="n">
        <v>202</v>
      </c>
      <c r="O204">
        <f>IF(N204&lt;=$O$1,$O$1-N204+1,"")</f>
        <v/>
      </c>
      <c r="P204">
        <f>IF(O204="",0,COUNTIF(Transaksi!$M$2:$M$2001,O204)+1)</f>
        <v/>
      </c>
      <c r="Q204">
        <f>1+SUM(P$2:P203)</f>
        <v/>
      </c>
      <c r="S204">
        <f>IF(I204="","",INDEX($O$3:$O$402,I204))</f>
        <v/>
      </c>
      <c r="T204">
        <f>IF(J204&lt;&gt;"H","",INDEX(Transaksi!$A$2:$A$2001,MATCH(S204,Transaksi!$M$2:$M$2001,0)))</f>
        <v/>
      </c>
    </row>
    <row r="205">
      <c r="A205" s="31">
        <f>IF(J205="E",IF(INDEX(Transaksi!$J$2:$J$2001,K205)&gt;0,"↑","↓"),"")</f>
        <v/>
      </c>
      <c r="B205" s="32">
        <f>IF(J205="H",CHOOSE(WEEKDAY(T205,2),"Isnin","Selasa","Rabu","Khamis","Jumaat","Sabtu","Ahad")&amp;", "&amp;DAY(T205)&amp;" "&amp;CHOOSE(MONTH(T205),"Jan","Feb","Mac","Apr","Mei","Jun","Jul","Ogo","Sep","Okt","Nov","Dis")&amp;" "&amp;YEAR(T205),IF(J205="E",IF(INDEX(Transaksi!$B$2:$B$2001,K205)="",INDEX(Transaksi!$C$2:$C$2001,K205)&amp;" · "&amp;INDEX(Transaksi!$D$2:$D$2001,K205),INDEX(Transaksi!$B$2:$B$2001,K205)),""))</f>
        <v/>
      </c>
      <c r="C205" s="32">
        <f>IF(J205="E",INDEX(Transaksi!$C$2:$C$2001,K205)&amp;"","")</f>
        <v/>
      </c>
      <c r="D205" s="32">
        <f>IF(J205="E",INDEX(Transaksi!$D$2:$D$2001,K205)&amp;"","")</f>
        <v/>
      </c>
      <c r="E205" s="33">
        <f>IF(J205="H",SUMIFS(Transaksi!$G$2:$G$2001,Transaksi!$M$2:$M$2001,"="&amp;S205)+SUMIFS(Transaksi!$H$2:$H$2001,Transaksi!$M$2:$M$2001,"="&amp;S205)+SUMIFS(Transaksi!$I$2:$I$2001,Transaksi!$M$2:$M$2001,"="&amp;S205),IF(J205="E",IF(INDEX(Transaksi!$G$2:$G$2001,K205)+INDEX(Transaksi!$H$2:$H$2001,K205)+INDEX(Transaksi!$I$2:$I$2001,K205)=0,"",INDEX(Transaksi!$G$2:$G$2001,K205)+INDEX(Transaksi!$H$2:$H$2001,K205)+INDEX(Transaksi!$I$2:$I$2001,K205)),""))</f>
        <v/>
      </c>
      <c r="F205" s="33">
        <f>IF(J205="H",SUMIFS(Transaksi!$J$2:$J$2001,Transaksi!$M$2:$M$2001,"="&amp;S205),IF(J205="E",IF(INDEX(Transaksi!$J$2:$J$2001,K205)=0,"",INDEX(Transaksi!$J$2:$J$2001,K205)),""))</f>
        <v/>
      </c>
      <c r="G205" s="33">
        <f>IF(J205="H",(SUMIFS(Transaksi!$G$2:$G$2001,Transaksi!$M$2:$M$2001,"&lt;="&amp;S205)+SUMIFS(Transaksi!$H$2:$H$2001,Transaksi!$M$2:$M$2001,"&lt;="&amp;S205)+SUMIFS(Transaksi!$I$2:$I$2001,Transaksi!$M$2:$M$2001,"&lt;="&amp;S205))-(SUMIFS(Transaksi!$J$2:$J$2001,Transaksi!$M$2:$M$2001,"&lt;="&amp;S205)),"")</f>
        <v/>
      </c>
      <c r="I205">
        <f>IF(202&gt;$O$2,"",MATCH(202,$Q$3:$Q$402,1))</f>
        <v/>
      </c>
      <c r="J205">
        <f>IF(I205="","",IF(202=INDEX($Q$3:$Q$402,I205),"H","E"))</f>
        <v/>
      </c>
      <c r="K205">
        <f>IF(J205&lt;&gt;"E","",MATCH(S205,Transaksi!$M$2:$M$2001,0)+202-INDEX($Q$3:$Q$402,I205)-1)</f>
        <v/>
      </c>
      <c r="N205" t="n">
        <v>203</v>
      </c>
      <c r="O205">
        <f>IF(N205&lt;=$O$1,$O$1-N205+1,"")</f>
        <v/>
      </c>
      <c r="P205">
        <f>IF(O205="",0,COUNTIF(Transaksi!$M$2:$M$2001,O205)+1)</f>
        <v/>
      </c>
      <c r="Q205">
        <f>1+SUM(P$2:P204)</f>
        <v/>
      </c>
      <c r="S205">
        <f>IF(I205="","",INDEX($O$3:$O$402,I205))</f>
        <v/>
      </c>
      <c r="T205">
        <f>IF(J205&lt;&gt;"H","",INDEX(Transaksi!$A$2:$A$2001,MATCH(S205,Transaksi!$M$2:$M$2001,0)))</f>
        <v/>
      </c>
    </row>
    <row r="206">
      <c r="A206" s="31">
        <f>IF(J206="E",IF(INDEX(Transaksi!$J$2:$J$2001,K206)&gt;0,"↑","↓"),"")</f>
        <v/>
      </c>
      <c r="B206" s="32">
        <f>IF(J206="H",CHOOSE(WEEKDAY(T206,2),"Isnin","Selasa","Rabu","Khamis","Jumaat","Sabtu","Ahad")&amp;", "&amp;DAY(T206)&amp;" "&amp;CHOOSE(MONTH(T206),"Jan","Feb","Mac","Apr","Mei","Jun","Jul","Ogo","Sep","Okt","Nov","Dis")&amp;" "&amp;YEAR(T206),IF(J206="E",IF(INDEX(Transaksi!$B$2:$B$2001,K206)="",INDEX(Transaksi!$C$2:$C$2001,K206)&amp;" · "&amp;INDEX(Transaksi!$D$2:$D$2001,K206),INDEX(Transaksi!$B$2:$B$2001,K206)),""))</f>
        <v/>
      </c>
      <c r="C206" s="32">
        <f>IF(J206="E",INDEX(Transaksi!$C$2:$C$2001,K206)&amp;"","")</f>
        <v/>
      </c>
      <c r="D206" s="32">
        <f>IF(J206="E",INDEX(Transaksi!$D$2:$D$2001,K206)&amp;"","")</f>
        <v/>
      </c>
      <c r="E206" s="33">
        <f>IF(J206="H",SUMIFS(Transaksi!$G$2:$G$2001,Transaksi!$M$2:$M$2001,"="&amp;S206)+SUMIFS(Transaksi!$H$2:$H$2001,Transaksi!$M$2:$M$2001,"="&amp;S206)+SUMIFS(Transaksi!$I$2:$I$2001,Transaksi!$M$2:$M$2001,"="&amp;S206),IF(J206="E",IF(INDEX(Transaksi!$G$2:$G$2001,K206)+INDEX(Transaksi!$H$2:$H$2001,K206)+INDEX(Transaksi!$I$2:$I$2001,K206)=0,"",INDEX(Transaksi!$G$2:$G$2001,K206)+INDEX(Transaksi!$H$2:$H$2001,K206)+INDEX(Transaksi!$I$2:$I$2001,K206)),""))</f>
        <v/>
      </c>
      <c r="F206" s="33">
        <f>IF(J206="H",SUMIFS(Transaksi!$J$2:$J$2001,Transaksi!$M$2:$M$2001,"="&amp;S206),IF(J206="E",IF(INDEX(Transaksi!$J$2:$J$2001,K206)=0,"",INDEX(Transaksi!$J$2:$J$2001,K206)),""))</f>
        <v/>
      </c>
      <c r="G206" s="33">
        <f>IF(J206="H",(SUMIFS(Transaksi!$G$2:$G$2001,Transaksi!$M$2:$M$2001,"&lt;="&amp;S206)+SUMIFS(Transaksi!$H$2:$H$2001,Transaksi!$M$2:$M$2001,"&lt;="&amp;S206)+SUMIFS(Transaksi!$I$2:$I$2001,Transaksi!$M$2:$M$2001,"&lt;="&amp;S206))-(SUMIFS(Transaksi!$J$2:$J$2001,Transaksi!$M$2:$M$2001,"&lt;="&amp;S206)),"")</f>
        <v/>
      </c>
      <c r="I206">
        <f>IF(203&gt;$O$2,"",MATCH(203,$Q$3:$Q$402,1))</f>
        <v/>
      </c>
      <c r="J206">
        <f>IF(I206="","",IF(203=INDEX($Q$3:$Q$402,I206),"H","E"))</f>
        <v/>
      </c>
      <c r="K206">
        <f>IF(J206&lt;&gt;"E","",MATCH(S206,Transaksi!$M$2:$M$2001,0)+203-INDEX($Q$3:$Q$402,I206)-1)</f>
        <v/>
      </c>
      <c r="N206" t="n">
        <v>204</v>
      </c>
      <c r="O206">
        <f>IF(N206&lt;=$O$1,$O$1-N206+1,"")</f>
        <v/>
      </c>
      <c r="P206">
        <f>IF(O206="",0,COUNTIF(Transaksi!$M$2:$M$2001,O206)+1)</f>
        <v/>
      </c>
      <c r="Q206">
        <f>1+SUM(P$2:P205)</f>
        <v/>
      </c>
      <c r="S206">
        <f>IF(I206="","",INDEX($O$3:$O$402,I206))</f>
        <v/>
      </c>
      <c r="T206">
        <f>IF(J206&lt;&gt;"H","",INDEX(Transaksi!$A$2:$A$2001,MATCH(S206,Transaksi!$M$2:$M$2001,0)))</f>
        <v/>
      </c>
    </row>
    <row r="207">
      <c r="A207" s="31">
        <f>IF(J207="E",IF(INDEX(Transaksi!$J$2:$J$2001,K207)&gt;0,"↑","↓"),"")</f>
        <v/>
      </c>
      <c r="B207" s="32">
        <f>IF(J207="H",CHOOSE(WEEKDAY(T207,2),"Isnin","Selasa","Rabu","Khamis","Jumaat","Sabtu","Ahad")&amp;", "&amp;DAY(T207)&amp;" "&amp;CHOOSE(MONTH(T207),"Jan","Feb","Mac","Apr","Mei","Jun","Jul","Ogo","Sep","Okt","Nov","Dis")&amp;" "&amp;YEAR(T207),IF(J207="E",IF(INDEX(Transaksi!$B$2:$B$2001,K207)="",INDEX(Transaksi!$C$2:$C$2001,K207)&amp;" · "&amp;INDEX(Transaksi!$D$2:$D$2001,K207),INDEX(Transaksi!$B$2:$B$2001,K207)),""))</f>
        <v/>
      </c>
      <c r="C207" s="32">
        <f>IF(J207="E",INDEX(Transaksi!$C$2:$C$2001,K207)&amp;"","")</f>
        <v/>
      </c>
      <c r="D207" s="32">
        <f>IF(J207="E",INDEX(Transaksi!$D$2:$D$2001,K207)&amp;"","")</f>
        <v/>
      </c>
      <c r="E207" s="33">
        <f>IF(J207="H",SUMIFS(Transaksi!$G$2:$G$2001,Transaksi!$M$2:$M$2001,"="&amp;S207)+SUMIFS(Transaksi!$H$2:$H$2001,Transaksi!$M$2:$M$2001,"="&amp;S207)+SUMIFS(Transaksi!$I$2:$I$2001,Transaksi!$M$2:$M$2001,"="&amp;S207),IF(J207="E",IF(INDEX(Transaksi!$G$2:$G$2001,K207)+INDEX(Transaksi!$H$2:$H$2001,K207)+INDEX(Transaksi!$I$2:$I$2001,K207)=0,"",INDEX(Transaksi!$G$2:$G$2001,K207)+INDEX(Transaksi!$H$2:$H$2001,K207)+INDEX(Transaksi!$I$2:$I$2001,K207)),""))</f>
        <v/>
      </c>
      <c r="F207" s="33">
        <f>IF(J207="H",SUMIFS(Transaksi!$J$2:$J$2001,Transaksi!$M$2:$M$2001,"="&amp;S207),IF(J207="E",IF(INDEX(Transaksi!$J$2:$J$2001,K207)=0,"",INDEX(Transaksi!$J$2:$J$2001,K207)),""))</f>
        <v/>
      </c>
      <c r="G207" s="33">
        <f>IF(J207="H",(SUMIFS(Transaksi!$G$2:$G$2001,Transaksi!$M$2:$M$2001,"&lt;="&amp;S207)+SUMIFS(Transaksi!$H$2:$H$2001,Transaksi!$M$2:$M$2001,"&lt;="&amp;S207)+SUMIFS(Transaksi!$I$2:$I$2001,Transaksi!$M$2:$M$2001,"&lt;="&amp;S207))-(SUMIFS(Transaksi!$J$2:$J$2001,Transaksi!$M$2:$M$2001,"&lt;="&amp;S207)),"")</f>
        <v/>
      </c>
      <c r="I207">
        <f>IF(204&gt;$O$2,"",MATCH(204,$Q$3:$Q$402,1))</f>
        <v/>
      </c>
      <c r="J207">
        <f>IF(I207="","",IF(204=INDEX($Q$3:$Q$402,I207),"H","E"))</f>
        <v/>
      </c>
      <c r="K207">
        <f>IF(J207&lt;&gt;"E","",MATCH(S207,Transaksi!$M$2:$M$2001,0)+204-INDEX($Q$3:$Q$402,I207)-1)</f>
        <v/>
      </c>
      <c r="N207" t="n">
        <v>205</v>
      </c>
      <c r="O207">
        <f>IF(N207&lt;=$O$1,$O$1-N207+1,"")</f>
        <v/>
      </c>
      <c r="P207">
        <f>IF(O207="",0,COUNTIF(Transaksi!$M$2:$M$2001,O207)+1)</f>
        <v/>
      </c>
      <c r="Q207">
        <f>1+SUM(P$2:P206)</f>
        <v/>
      </c>
      <c r="S207">
        <f>IF(I207="","",INDEX($O$3:$O$402,I207))</f>
        <v/>
      </c>
      <c r="T207">
        <f>IF(J207&lt;&gt;"H","",INDEX(Transaksi!$A$2:$A$2001,MATCH(S207,Transaksi!$M$2:$M$2001,0)))</f>
        <v/>
      </c>
    </row>
    <row r="208">
      <c r="A208" s="31">
        <f>IF(J208="E",IF(INDEX(Transaksi!$J$2:$J$2001,K208)&gt;0,"↑","↓"),"")</f>
        <v/>
      </c>
      <c r="B208" s="32">
        <f>IF(J208="H",CHOOSE(WEEKDAY(T208,2),"Isnin","Selasa","Rabu","Khamis","Jumaat","Sabtu","Ahad")&amp;", "&amp;DAY(T208)&amp;" "&amp;CHOOSE(MONTH(T208),"Jan","Feb","Mac","Apr","Mei","Jun","Jul","Ogo","Sep","Okt","Nov","Dis")&amp;" "&amp;YEAR(T208),IF(J208="E",IF(INDEX(Transaksi!$B$2:$B$2001,K208)="",INDEX(Transaksi!$C$2:$C$2001,K208)&amp;" · "&amp;INDEX(Transaksi!$D$2:$D$2001,K208),INDEX(Transaksi!$B$2:$B$2001,K208)),""))</f>
        <v/>
      </c>
      <c r="C208" s="32">
        <f>IF(J208="E",INDEX(Transaksi!$C$2:$C$2001,K208)&amp;"","")</f>
        <v/>
      </c>
      <c r="D208" s="32">
        <f>IF(J208="E",INDEX(Transaksi!$D$2:$D$2001,K208)&amp;"","")</f>
        <v/>
      </c>
      <c r="E208" s="33">
        <f>IF(J208="H",SUMIFS(Transaksi!$G$2:$G$2001,Transaksi!$M$2:$M$2001,"="&amp;S208)+SUMIFS(Transaksi!$H$2:$H$2001,Transaksi!$M$2:$M$2001,"="&amp;S208)+SUMIFS(Transaksi!$I$2:$I$2001,Transaksi!$M$2:$M$2001,"="&amp;S208),IF(J208="E",IF(INDEX(Transaksi!$G$2:$G$2001,K208)+INDEX(Transaksi!$H$2:$H$2001,K208)+INDEX(Transaksi!$I$2:$I$2001,K208)=0,"",INDEX(Transaksi!$G$2:$G$2001,K208)+INDEX(Transaksi!$H$2:$H$2001,K208)+INDEX(Transaksi!$I$2:$I$2001,K208)),""))</f>
        <v/>
      </c>
      <c r="F208" s="33">
        <f>IF(J208="H",SUMIFS(Transaksi!$J$2:$J$2001,Transaksi!$M$2:$M$2001,"="&amp;S208),IF(J208="E",IF(INDEX(Transaksi!$J$2:$J$2001,K208)=0,"",INDEX(Transaksi!$J$2:$J$2001,K208)),""))</f>
        <v/>
      </c>
      <c r="G208" s="33">
        <f>IF(J208="H",(SUMIFS(Transaksi!$G$2:$G$2001,Transaksi!$M$2:$M$2001,"&lt;="&amp;S208)+SUMIFS(Transaksi!$H$2:$H$2001,Transaksi!$M$2:$M$2001,"&lt;="&amp;S208)+SUMIFS(Transaksi!$I$2:$I$2001,Transaksi!$M$2:$M$2001,"&lt;="&amp;S208))-(SUMIFS(Transaksi!$J$2:$J$2001,Transaksi!$M$2:$M$2001,"&lt;="&amp;S208)),"")</f>
        <v/>
      </c>
      <c r="I208">
        <f>IF(205&gt;$O$2,"",MATCH(205,$Q$3:$Q$402,1))</f>
        <v/>
      </c>
      <c r="J208">
        <f>IF(I208="","",IF(205=INDEX($Q$3:$Q$402,I208),"H","E"))</f>
        <v/>
      </c>
      <c r="K208">
        <f>IF(J208&lt;&gt;"E","",MATCH(S208,Transaksi!$M$2:$M$2001,0)+205-INDEX($Q$3:$Q$402,I208)-1)</f>
        <v/>
      </c>
      <c r="N208" t="n">
        <v>206</v>
      </c>
      <c r="O208">
        <f>IF(N208&lt;=$O$1,$O$1-N208+1,"")</f>
        <v/>
      </c>
      <c r="P208">
        <f>IF(O208="",0,COUNTIF(Transaksi!$M$2:$M$2001,O208)+1)</f>
        <v/>
      </c>
      <c r="Q208">
        <f>1+SUM(P$2:P207)</f>
        <v/>
      </c>
      <c r="S208">
        <f>IF(I208="","",INDEX($O$3:$O$402,I208))</f>
        <v/>
      </c>
      <c r="T208">
        <f>IF(J208&lt;&gt;"H","",INDEX(Transaksi!$A$2:$A$2001,MATCH(S208,Transaksi!$M$2:$M$2001,0)))</f>
        <v/>
      </c>
    </row>
    <row r="209">
      <c r="A209" s="31">
        <f>IF(J209="E",IF(INDEX(Transaksi!$J$2:$J$2001,K209)&gt;0,"↑","↓"),"")</f>
        <v/>
      </c>
      <c r="B209" s="32">
        <f>IF(J209="H",CHOOSE(WEEKDAY(T209,2),"Isnin","Selasa","Rabu","Khamis","Jumaat","Sabtu","Ahad")&amp;", "&amp;DAY(T209)&amp;" "&amp;CHOOSE(MONTH(T209),"Jan","Feb","Mac","Apr","Mei","Jun","Jul","Ogo","Sep","Okt","Nov","Dis")&amp;" "&amp;YEAR(T209),IF(J209="E",IF(INDEX(Transaksi!$B$2:$B$2001,K209)="",INDEX(Transaksi!$C$2:$C$2001,K209)&amp;" · "&amp;INDEX(Transaksi!$D$2:$D$2001,K209),INDEX(Transaksi!$B$2:$B$2001,K209)),""))</f>
        <v/>
      </c>
      <c r="C209" s="32">
        <f>IF(J209="E",INDEX(Transaksi!$C$2:$C$2001,K209)&amp;"","")</f>
        <v/>
      </c>
      <c r="D209" s="32">
        <f>IF(J209="E",INDEX(Transaksi!$D$2:$D$2001,K209)&amp;"","")</f>
        <v/>
      </c>
      <c r="E209" s="33">
        <f>IF(J209="H",SUMIFS(Transaksi!$G$2:$G$2001,Transaksi!$M$2:$M$2001,"="&amp;S209)+SUMIFS(Transaksi!$H$2:$H$2001,Transaksi!$M$2:$M$2001,"="&amp;S209)+SUMIFS(Transaksi!$I$2:$I$2001,Transaksi!$M$2:$M$2001,"="&amp;S209),IF(J209="E",IF(INDEX(Transaksi!$G$2:$G$2001,K209)+INDEX(Transaksi!$H$2:$H$2001,K209)+INDEX(Transaksi!$I$2:$I$2001,K209)=0,"",INDEX(Transaksi!$G$2:$G$2001,K209)+INDEX(Transaksi!$H$2:$H$2001,K209)+INDEX(Transaksi!$I$2:$I$2001,K209)),""))</f>
        <v/>
      </c>
      <c r="F209" s="33">
        <f>IF(J209="H",SUMIFS(Transaksi!$J$2:$J$2001,Transaksi!$M$2:$M$2001,"="&amp;S209),IF(J209="E",IF(INDEX(Transaksi!$J$2:$J$2001,K209)=0,"",INDEX(Transaksi!$J$2:$J$2001,K209)),""))</f>
        <v/>
      </c>
      <c r="G209" s="33">
        <f>IF(J209="H",(SUMIFS(Transaksi!$G$2:$G$2001,Transaksi!$M$2:$M$2001,"&lt;="&amp;S209)+SUMIFS(Transaksi!$H$2:$H$2001,Transaksi!$M$2:$M$2001,"&lt;="&amp;S209)+SUMIFS(Transaksi!$I$2:$I$2001,Transaksi!$M$2:$M$2001,"&lt;="&amp;S209))-(SUMIFS(Transaksi!$J$2:$J$2001,Transaksi!$M$2:$M$2001,"&lt;="&amp;S209)),"")</f>
        <v/>
      </c>
      <c r="I209">
        <f>IF(206&gt;$O$2,"",MATCH(206,$Q$3:$Q$402,1))</f>
        <v/>
      </c>
      <c r="J209">
        <f>IF(I209="","",IF(206=INDEX($Q$3:$Q$402,I209),"H","E"))</f>
        <v/>
      </c>
      <c r="K209">
        <f>IF(J209&lt;&gt;"E","",MATCH(S209,Transaksi!$M$2:$M$2001,0)+206-INDEX($Q$3:$Q$402,I209)-1)</f>
        <v/>
      </c>
      <c r="N209" t="n">
        <v>207</v>
      </c>
      <c r="O209">
        <f>IF(N209&lt;=$O$1,$O$1-N209+1,"")</f>
        <v/>
      </c>
      <c r="P209">
        <f>IF(O209="",0,COUNTIF(Transaksi!$M$2:$M$2001,O209)+1)</f>
        <v/>
      </c>
      <c r="Q209">
        <f>1+SUM(P$2:P208)</f>
        <v/>
      </c>
      <c r="S209">
        <f>IF(I209="","",INDEX($O$3:$O$402,I209))</f>
        <v/>
      </c>
      <c r="T209">
        <f>IF(J209&lt;&gt;"H","",INDEX(Transaksi!$A$2:$A$2001,MATCH(S209,Transaksi!$M$2:$M$2001,0)))</f>
        <v/>
      </c>
    </row>
    <row r="210">
      <c r="A210" s="31">
        <f>IF(J210="E",IF(INDEX(Transaksi!$J$2:$J$2001,K210)&gt;0,"↑","↓"),"")</f>
        <v/>
      </c>
      <c r="B210" s="32">
        <f>IF(J210="H",CHOOSE(WEEKDAY(T210,2),"Isnin","Selasa","Rabu","Khamis","Jumaat","Sabtu","Ahad")&amp;", "&amp;DAY(T210)&amp;" "&amp;CHOOSE(MONTH(T210),"Jan","Feb","Mac","Apr","Mei","Jun","Jul","Ogo","Sep","Okt","Nov","Dis")&amp;" "&amp;YEAR(T210),IF(J210="E",IF(INDEX(Transaksi!$B$2:$B$2001,K210)="",INDEX(Transaksi!$C$2:$C$2001,K210)&amp;" · "&amp;INDEX(Transaksi!$D$2:$D$2001,K210),INDEX(Transaksi!$B$2:$B$2001,K210)),""))</f>
        <v/>
      </c>
      <c r="C210" s="32">
        <f>IF(J210="E",INDEX(Transaksi!$C$2:$C$2001,K210)&amp;"","")</f>
        <v/>
      </c>
      <c r="D210" s="32">
        <f>IF(J210="E",INDEX(Transaksi!$D$2:$D$2001,K210)&amp;"","")</f>
        <v/>
      </c>
      <c r="E210" s="33">
        <f>IF(J210="H",SUMIFS(Transaksi!$G$2:$G$2001,Transaksi!$M$2:$M$2001,"="&amp;S210)+SUMIFS(Transaksi!$H$2:$H$2001,Transaksi!$M$2:$M$2001,"="&amp;S210)+SUMIFS(Transaksi!$I$2:$I$2001,Transaksi!$M$2:$M$2001,"="&amp;S210),IF(J210="E",IF(INDEX(Transaksi!$G$2:$G$2001,K210)+INDEX(Transaksi!$H$2:$H$2001,K210)+INDEX(Transaksi!$I$2:$I$2001,K210)=0,"",INDEX(Transaksi!$G$2:$G$2001,K210)+INDEX(Transaksi!$H$2:$H$2001,K210)+INDEX(Transaksi!$I$2:$I$2001,K210)),""))</f>
        <v/>
      </c>
      <c r="F210" s="33">
        <f>IF(J210="H",SUMIFS(Transaksi!$J$2:$J$2001,Transaksi!$M$2:$M$2001,"="&amp;S210),IF(J210="E",IF(INDEX(Transaksi!$J$2:$J$2001,K210)=0,"",INDEX(Transaksi!$J$2:$J$2001,K210)),""))</f>
        <v/>
      </c>
      <c r="G210" s="33">
        <f>IF(J210="H",(SUMIFS(Transaksi!$G$2:$G$2001,Transaksi!$M$2:$M$2001,"&lt;="&amp;S210)+SUMIFS(Transaksi!$H$2:$H$2001,Transaksi!$M$2:$M$2001,"&lt;="&amp;S210)+SUMIFS(Transaksi!$I$2:$I$2001,Transaksi!$M$2:$M$2001,"&lt;="&amp;S210))-(SUMIFS(Transaksi!$J$2:$J$2001,Transaksi!$M$2:$M$2001,"&lt;="&amp;S210)),"")</f>
        <v/>
      </c>
      <c r="I210">
        <f>IF(207&gt;$O$2,"",MATCH(207,$Q$3:$Q$402,1))</f>
        <v/>
      </c>
      <c r="J210">
        <f>IF(I210="","",IF(207=INDEX($Q$3:$Q$402,I210),"H","E"))</f>
        <v/>
      </c>
      <c r="K210">
        <f>IF(J210&lt;&gt;"E","",MATCH(S210,Transaksi!$M$2:$M$2001,0)+207-INDEX($Q$3:$Q$402,I210)-1)</f>
        <v/>
      </c>
      <c r="N210" t="n">
        <v>208</v>
      </c>
      <c r="O210">
        <f>IF(N210&lt;=$O$1,$O$1-N210+1,"")</f>
        <v/>
      </c>
      <c r="P210">
        <f>IF(O210="",0,COUNTIF(Transaksi!$M$2:$M$2001,O210)+1)</f>
        <v/>
      </c>
      <c r="Q210">
        <f>1+SUM(P$2:P209)</f>
        <v/>
      </c>
      <c r="S210">
        <f>IF(I210="","",INDEX($O$3:$O$402,I210))</f>
        <v/>
      </c>
      <c r="T210">
        <f>IF(J210&lt;&gt;"H","",INDEX(Transaksi!$A$2:$A$2001,MATCH(S210,Transaksi!$M$2:$M$2001,0)))</f>
        <v/>
      </c>
    </row>
    <row r="211">
      <c r="A211" s="31">
        <f>IF(J211="E",IF(INDEX(Transaksi!$J$2:$J$2001,K211)&gt;0,"↑","↓"),"")</f>
        <v/>
      </c>
      <c r="B211" s="32">
        <f>IF(J211="H",CHOOSE(WEEKDAY(T211,2),"Isnin","Selasa","Rabu","Khamis","Jumaat","Sabtu","Ahad")&amp;", "&amp;DAY(T211)&amp;" "&amp;CHOOSE(MONTH(T211),"Jan","Feb","Mac","Apr","Mei","Jun","Jul","Ogo","Sep","Okt","Nov","Dis")&amp;" "&amp;YEAR(T211),IF(J211="E",IF(INDEX(Transaksi!$B$2:$B$2001,K211)="",INDEX(Transaksi!$C$2:$C$2001,K211)&amp;" · "&amp;INDEX(Transaksi!$D$2:$D$2001,K211),INDEX(Transaksi!$B$2:$B$2001,K211)),""))</f>
        <v/>
      </c>
      <c r="C211" s="32">
        <f>IF(J211="E",INDEX(Transaksi!$C$2:$C$2001,K211)&amp;"","")</f>
        <v/>
      </c>
      <c r="D211" s="32">
        <f>IF(J211="E",INDEX(Transaksi!$D$2:$D$2001,K211)&amp;"","")</f>
        <v/>
      </c>
      <c r="E211" s="33">
        <f>IF(J211="H",SUMIFS(Transaksi!$G$2:$G$2001,Transaksi!$M$2:$M$2001,"="&amp;S211)+SUMIFS(Transaksi!$H$2:$H$2001,Transaksi!$M$2:$M$2001,"="&amp;S211)+SUMIFS(Transaksi!$I$2:$I$2001,Transaksi!$M$2:$M$2001,"="&amp;S211),IF(J211="E",IF(INDEX(Transaksi!$G$2:$G$2001,K211)+INDEX(Transaksi!$H$2:$H$2001,K211)+INDEX(Transaksi!$I$2:$I$2001,K211)=0,"",INDEX(Transaksi!$G$2:$G$2001,K211)+INDEX(Transaksi!$H$2:$H$2001,K211)+INDEX(Transaksi!$I$2:$I$2001,K211)),""))</f>
        <v/>
      </c>
      <c r="F211" s="33">
        <f>IF(J211="H",SUMIFS(Transaksi!$J$2:$J$2001,Transaksi!$M$2:$M$2001,"="&amp;S211),IF(J211="E",IF(INDEX(Transaksi!$J$2:$J$2001,K211)=0,"",INDEX(Transaksi!$J$2:$J$2001,K211)),""))</f>
        <v/>
      </c>
      <c r="G211" s="33">
        <f>IF(J211="H",(SUMIFS(Transaksi!$G$2:$G$2001,Transaksi!$M$2:$M$2001,"&lt;="&amp;S211)+SUMIFS(Transaksi!$H$2:$H$2001,Transaksi!$M$2:$M$2001,"&lt;="&amp;S211)+SUMIFS(Transaksi!$I$2:$I$2001,Transaksi!$M$2:$M$2001,"&lt;="&amp;S211))-(SUMIFS(Transaksi!$J$2:$J$2001,Transaksi!$M$2:$M$2001,"&lt;="&amp;S211)),"")</f>
        <v/>
      </c>
      <c r="I211">
        <f>IF(208&gt;$O$2,"",MATCH(208,$Q$3:$Q$402,1))</f>
        <v/>
      </c>
      <c r="J211">
        <f>IF(I211="","",IF(208=INDEX($Q$3:$Q$402,I211),"H","E"))</f>
        <v/>
      </c>
      <c r="K211">
        <f>IF(J211&lt;&gt;"E","",MATCH(S211,Transaksi!$M$2:$M$2001,0)+208-INDEX($Q$3:$Q$402,I211)-1)</f>
        <v/>
      </c>
      <c r="N211" t="n">
        <v>209</v>
      </c>
      <c r="O211">
        <f>IF(N211&lt;=$O$1,$O$1-N211+1,"")</f>
        <v/>
      </c>
      <c r="P211">
        <f>IF(O211="",0,COUNTIF(Transaksi!$M$2:$M$2001,O211)+1)</f>
        <v/>
      </c>
      <c r="Q211">
        <f>1+SUM(P$2:P210)</f>
        <v/>
      </c>
      <c r="S211">
        <f>IF(I211="","",INDEX($O$3:$O$402,I211))</f>
        <v/>
      </c>
      <c r="T211">
        <f>IF(J211&lt;&gt;"H","",INDEX(Transaksi!$A$2:$A$2001,MATCH(S211,Transaksi!$M$2:$M$2001,0)))</f>
        <v/>
      </c>
    </row>
    <row r="212">
      <c r="A212" s="31">
        <f>IF(J212="E",IF(INDEX(Transaksi!$J$2:$J$2001,K212)&gt;0,"↑","↓"),"")</f>
        <v/>
      </c>
      <c r="B212" s="32">
        <f>IF(J212="H",CHOOSE(WEEKDAY(T212,2),"Isnin","Selasa","Rabu","Khamis","Jumaat","Sabtu","Ahad")&amp;", "&amp;DAY(T212)&amp;" "&amp;CHOOSE(MONTH(T212),"Jan","Feb","Mac","Apr","Mei","Jun","Jul","Ogo","Sep","Okt","Nov","Dis")&amp;" "&amp;YEAR(T212),IF(J212="E",IF(INDEX(Transaksi!$B$2:$B$2001,K212)="",INDEX(Transaksi!$C$2:$C$2001,K212)&amp;" · "&amp;INDEX(Transaksi!$D$2:$D$2001,K212),INDEX(Transaksi!$B$2:$B$2001,K212)),""))</f>
        <v/>
      </c>
      <c r="C212" s="32">
        <f>IF(J212="E",INDEX(Transaksi!$C$2:$C$2001,K212)&amp;"","")</f>
        <v/>
      </c>
      <c r="D212" s="32">
        <f>IF(J212="E",INDEX(Transaksi!$D$2:$D$2001,K212)&amp;"","")</f>
        <v/>
      </c>
      <c r="E212" s="33">
        <f>IF(J212="H",SUMIFS(Transaksi!$G$2:$G$2001,Transaksi!$M$2:$M$2001,"="&amp;S212)+SUMIFS(Transaksi!$H$2:$H$2001,Transaksi!$M$2:$M$2001,"="&amp;S212)+SUMIFS(Transaksi!$I$2:$I$2001,Transaksi!$M$2:$M$2001,"="&amp;S212),IF(J212="E",IF(INDEX(Transaksi!$G$2:$G$2001,K212)+INDEX(Transaksi!$H$2:$H$2001,K212)+INDEX(Transaksi!$I$2:$I$2001,K212)=0,"",INDEX(Transaksi!$G$2:$G$2001,K212)+INDEX(Transaksi!$H$2:$H$2001,K212)+INDEX(Transaksi!$I$2:$I$2001,K212)),""))</f>
        <v/>
      </c>
      <c r="F212" s="33">
        <f>IF(J212="H",SUMIFS(Transaksi!$J$2:$J$2001,Transaksi!$M$2:$M$2001,"="&amp;S212),IF(J212="E",IF(INDEX(Transaksi!$J$2:$J$2001,K212)=0,"",INDEX(Transaksi!$J$2:$J$2001,K212)),""))</f>
        <v/>
      </c>
      <c r="G212" s="33">
        <f>IF(J212="H",(SUMIFS(Transaksi!$G$2:$G$2001,Transaksi!$M$2:$M$2001,"&lt;="&amp;S212)+SUMIFS(Transaksi!$H$2:$H$2001,Transaksi!$M$2:$M$2001,"&lt;="&amp;S212)+SUMIFS(Transaksi!$I$2:$I$2001,Transaksi!$M$2:$M$2001,"&lt;="&amp;S212))-(SUMIFS(Transaksi!$J$2:$J$2001,Transaksi!$M$2:$M$2001,"&lt;="&amp;S212)),"")</f>
        <v/>
      </c>
      <c r="I212">
        <f>IF(209&gt;$O$2,"",MATCH(209,$Q$3:$Q$402,1))</f>
        <v/>
      </c>
      <c r="J212">
        <f>IF(I212="","",IF(209=INDEX($Q$3:$Q$402,I212),"H","E"))</f>
        <v/>
      </c>
      <c r="K212">
        <f>IF(J212&lt;&gt;"E","",MATCH(S212,Transaksi!$M$2:$M$2001,0)+209-INDEX($Q$3:$Q$402,I212)-1)</f>
        <v/>
      </c>
      <c r="N212" t="n">
        <v>210</v>
      </c>
      <c r="O212">
        <f>IF(N212&lt;=$O$1,$O$1-N212+1,"")</f>
        <v/>
      </c>
      <c r="P212">
        <f>IF(O212="",0,COUNTIF(Transaksi!$M$2:$M$2001,O212)+1)</f>
        <v/>
      </c>
      <c r="Q212">
        <f>1+SUM(P$2:P211)</f>
        <v/>
      </c>
      <c r="S212">
        <f>IF(I212="","",INDEX($O$3:$O$402,I212))</f>
        <v/>
      </c>
      <c r="T212">
        <f>IF(J212&lt;&gt;"H","",INDEX(Transaksi!$A$2:$A$2001,MATCH(S212,Transaksi!$M$2:$M$2001,0)))</f>
        <v/>
      </c>
    </row>
    <row r="213">
      <c r="A213" s="31">
        <f>IF(J213="E",IF(INDEX(Transaksi!$J$2:$J$2001,K213)&gt;0,"↑","↓"),"")</f>
        <v/>
      </c>
      <c r="B213" s="32">
        <f>IF(J213="H",CHOOSE(WEEKDAY(T213,2),"Isnin","Selasa","Rabu","Khamis","Jumaat","Sabtu","Ahad")&amp;", "&amp;DAY(T213)&amp;" "&amp;CHOOSE(MONTH(T213),"Jan","Feb","Mac","Apr","Mei","Jun","Jul","Ogo","Sep","Okt","Nov","Dis")&amp;" "&amp;YEAR(T213),IF(J213="E",IF(INDEX(Transaksi!$B$2:$B$2001,K213)="",INDEX(Transaksi!$C$2:$C$2001,K213)&amp;" · "&amp;INDEX(Transaksi!$D$2:$D$2001,K213),INDEX(Transaksi!$B$2:$B$2001,K213)),""))</f>
        <v/>
      </c>
      <c r="C213" s="32">
        <f>IF(J213="E",INDEX(Transaksi!$C$2:$C$2001,K213)&amp;"","")</f>
        <v/>
      </c>
      <c r="D213" s="32">
        <f>IF(J213="E",INDEX(Transaksi!$D$2:$D$2001,K213)&amp;"","")</f>
        <v/>
      </c>
      <c r="E213" s="33">
        <f>IF(J213="H",SUMIFS(Transaksi!$G$2:$G$2001,Transaksi!$M$2:$M$2001,"="&amp;S213)+SUMIFS(Transaksi!$H$2:$H$2001,Transaksi!$M$2:$M$2001,"="&amp;S213)+SUMIFS(Transaksi!$I$2:$I$2001,Transaksi!$M$2:$M$2001,"="&amp;S213),IF(J213="E",IF(INDEX(Transaksi!$G$2:$G$2001,K213)+INDEX(Transaksi!$H$2:$H$2001,K213)+INDEX(Transaksi!$I$2:$I$2001,K213)=0,"",INDEX(Transaksi!$G$2:$G$2001,K213)+INDEX(Transaksi!$H$2:$H$2001,K213)+INDEX(Transaksi!$I$2:$I$2001,K213)),""))</f>
        <v/>
      </c>
      <c r="F213" s="33">
        <f>IF(J213="H",SUMIFS(Transaksi!$J$2:$J$2001,Transaksi!$M$2:$M$2001,"="&amp;S213),IF(J213="E",IF(INDEX(Transaksi!$J$2:$J$2001,K213)=0,"",INDEX(Transaksi!$J$2:$J$2001,K213)),""))</f>
        <v/>
      </c>
      <c r="G213" s="33">
        <f>IF(J213="H",(SUMIFS(Transaksi!$G$2:$G$2001,Transaksi!$M$2:$M$2001,"&lt;="&amp;S213)+SUMIFS(Transaksi!$H$2:$H$2001,Transaksi!$M$2:$M$2001,"&lt;="&amp;S213)+SUMIFS(Transaksi!$I$2:$I$2001,Transaksi!$M$2:$M$2001,"&lt;="&amp;S213))-(SUMIFS(Transaksi!$J$2:$J$2001,Transaksi!$M$2:$M$2001,"&lt;="&amp;S213)),"")</f>
        <v/>
      </c>
      <c r="I213">
        <f>IF(210&gt;$O$2,"",MATCH(210,$Q$3:$Q$402,1))</f>
        <v/>
      </c>
      <c r="J213">
        <f>IF(I213="","",IF(210=INDEX($Q$3:$Q$402,I213),"H","E"))</f>
        <v/>
      </c>
      <c r="K213">
        <f>IF(J213&lt;&gt;"E","",MATCH(S213,Transaksi!$M$2:$M$2001,0)+210-INDEX($Q$3:$Q$402,I213)-1)</f>
        <v/>
      </c>
      <c r="N213" t="n">
        <v>211</v>
      </c>
      <c r="O213">
        <f>IF(N213&lt;=$O$1,$O$1-N213+1,"")</f>
        <v/>
      </c>
      <c r="P213">
        <f>IF(O213="",0,COUNTIF(Transaksi!$M$2:$M$2001,O213)+1)</f>
        <v/>
      </c>
      <c r="Q213">
        <f>1+SUM(P$2:P212)</f>
        <v/>
      </c>
      <c r="S213">
        <f>IF(I213="","",INDEX($O$3:$O$402,I213))</f>
        <v/>
      </c>
      <c r="T213">
        <f>IF(J213&lt;&gt;"H","",INDEX(Transaksi!$A$2:$A$2001,MATCH(S213,Transaksi!$M$2:$M$2001,0)))</f>
        <v/>
      </c>
    </row>
    <row r="214">
      <c r="A214" s="31">
        <f>IF(J214="E",IF(INDEX(Transaksi!$J$2:$J$2001,K214)&gt;0,"↑","↓"),"")</f>
        <v/>
      </c>
      <c r="B214" s="32">
        <f>IF(J214="H",CHOOSE(WEEKDAY(T214,2),"Isnin","Selasa","Rabu","Khamis","Jumaat","Sabtu","Ahad")&amp;", "&amp;DAY(T214)&amp;" "&amp;CHOOSE(MONTH(T214),"Jan","Feb","Mac","Apr","Mei","Jun","Jul","Ogo","Sep","Okt","Nov","Dis")&amp;" "&amp;YEAR(T214),IF(J214="E",IF(INDEX(Transaksi!$B$2:$B$2001,K214)="",INDEX(Transaksi!$C$2:$C$2001,K214)&amp;" · "&amp;INDEX(Transaksi!$D$2:$D$2001,K214),INDEX(Transaksi!$B$2:$B$2001,K214)),""))</f>
        <v/>
      </c>
      <c r="C214" s="32">
        <f>IF(J214="E",INDEX(Transaksi!$C$2:$C$2001,K214)&amp;"","")</f>
        <v/>
      </c>
      <c r="D214" s="32">
        <f>IF(J214="E",INDEX(Transaksi!$D$2:$D$2001,K214)&amp;"","")</f>
        <v/>
      </c>
      <c r="E214" s="33">
        <f>IF(J214="H",SUMIFS(Transaksi!$G$2:$G$2001,Transaksi!$M$2:$M$2001,"="&amp;S214)+SUMIFS(Transaksi!$H$2:$H$2001,Transaksi!$M$2:$M$2001,"="&amp;S214)+SUMIFS(Transaksi!$I$2:$I$2001,Transaksi!$M$2:$M$2001,"="&amp;S214),IF(J214="E",IF(INDEX(Transaksi!$G$2:$G$2001,K214)+INDEX(Transaksi!$H$2:$H$2001,K214)+INDEX(Transaksi!$I$2:$I$2001,K214)=0,"",INDEX(Transaksi!$G$2:$G$2001,K214)+INDEX(Transaksi!$H$2:$H$2001,K214)+INDEX(Transaksi!$I$2:$I$2001,K214)),""))</f>
        <v/>
      </c>
      <c r="F214" s="33">
        <f>IF(J214="H",SUMIFS(Transaksi!$J$2:$J$2001,Transaksi!$M$2:$M$2001,"="&amp;S214),IF(J214="E",IF(INDEX(Transaksi!$J$2:$J$2001,K214)=0,"",INDEX(Transaksi!$J$2:$J$2001,K214)),""))</f>
        <v/>
      </c>
      <c r="G214" s="33">
        <f>IF(J214="H",(SUMIFS(Transaksi!$G$2:$G$2001,Transaksi!$M$2:$M$2001,"&lt;="&amp;S214)+SUMIFS(Transaksi!$H$2:$H$2001,Transaksi!$M$2:$M$2001,"&lt;="&amp;S214)+SUMIFS(Transaksi!$I$2:$I$2001,Transaksi!$M$2:$M$2001,"&lt;="&amp;S214))-(SUMIFS(Transaksi!$J$2:$J$2001,Transaksi!$M$2:$M$2001,"&lt;="&amp;S214)),"")</f>
        <v/>
      </c>
      <c r="I214">
        <f>IF(211&gt;$O$2,"",MATCH(211,$Q$3:$Q$402,1))</f>
        <v/>
      </c>
      <c r="J214">
        <f>IF(I214="","",IF(211=INDEX($Q$3:$Q$402,I214),"H","E"))</f>
        <v/>
      </c>
      <c r="K214">
        <f>IF(J214&lt;&gt;"E","",MATCH(S214,Transaksi!$M$2:$M$2001,0)+211-INDEX($Q$3:$Q$402,I214)-1)</f>
        <v/>
      </c>
      <c r="N214" t="n">
        <v>212</v>
      </c>
      <c r="O214">
        <f>IF(N214&lt;=$O$1,$O$1-N214+1,"")</f>
        <v/>
      </c>
      <c r="P214">
        <f>IF(O214="",0,COUNTIF(Transaksi!$M$2:$M$2001,O214)+1)</f>
        <v/>
      </c>
      <c r="Q214">
        <f>1+SUM(P$2:P213)</f>
        <v/>
      </c>
      <c r="S214">
        <f>IF(I214="","",INDEX($O$3:$O$402,I214))</f>
        <v/>
      </c>
      <c r="T214">
        <f>IF(J214&lt;&gt;"H","",INDEX(Transaksi!$A$2:$A$2001,MATCH(S214,Transaksi!$M$2:$M$2001,0)))</f>
        <v/>
      </c>
    </row>
    <row r="215">
      <c r="A215" s="31">
        <f>IF(J215="E",IF(INDEX(Transaksi!$J$2:$J$2001,K215)&gt;0,"↑","↓"),"")</f>
        <v/>
      </c>
      <c r="B215" s="32">
        <f>IF(J215="H",CHOOSE(WEEKDAY(T215,2),"Isnin","Selasa","Rabu","Khamis","Jumaat","Sabtu","Ahad")&amp;", "&amp;DAY(T215)&amp;" "&amp;CHOOSE(MONTH(T215),"Jan","Feb","Mac","Apr","Mei","Jun","Jul","Ogo","Sep","Okt","Nov","Dis")&amp;" "&amp;YEAR(T215),IF(J215="E",IF(INDEX(Transaksi!$B$2:$B$2001,K215)="",INDEX(Transaksi!$C$2:$C$2001,K215)&amp;" · "&amp;INDEX(Transaksi!$D$2:$D$2001,K215),INDEX(Transaksi!$B$2:$B$2001,K215)),""))</f>
        <v/>
      </c>
      <c r="C215" s="32">
        <f>IF(J215="E",INDEX(Transaksi!$C$2:$C$2001,K215)&amp;"","")</f>
        <v/>
      </c>
      <c r="D215" s="32">
        <f>IF(J215="E",INDEX(Transaksi!$D$2:$D$2001,K215)&amp;"","")</f>
        <v/>
      </c>
      <c r="E215" s="33">
        <f>IF(J215="H",SUMIFS(Transaksi!$G$2:$G$2001,Transaksi!$M$2:$M$2001,"="&amp;S215)+SUMIFS(Transaksi!$H$2:$H$2001,Transaksi!$M$2:$M$2001,"="&amp;S215)+SUMIFS(Transaksi!$I$2:$I$2001,Transaksi!$M$2:$M$2001,"="&amp;S215),IF(J215="E",IF(INDEX(Transaksi!$G$2:$G$2001,K215)+INDEX(Transaksi!$H$2:$H$2001,K215)+INDEX(Transaksi!$I$2:$I$2001,K215)=0,"",INDEX(Transaksi!$G$2:$G$2001,K215)+INDEX(Transaksi!$H$2:$H$2001,K215)+INDEX(Transaksi!$I$2:$I$2001,K215)),""))</f>
        <v/>
      </c>
      <c r="F215" s="33">
        <f>IF(J215="H",SUMIFS(Transaksi!$J$2:$J$2001,Transaksi!$M$2:$M$2001,"="&amp;S215),IF(J215="E",IF(INDEX(Transaksi!$J$2:$J$2001,K215)=0,"",INDEX(Transaksi!$J$2:$J$2001,K215)),""))</f>
        <v/>
      </c>
      <c r="G215" s="33">
        <f>IF(J215="H",(SUMIFS(Transaksi!$G$2:$G$2001,Transaksi!$M$2:$M$2001,"&lt;="&amp;S215)+SUMIFS(Transaksi!$H$2:$H$2001,Transaksi!$M$2:$M$2001,"&lt;="&amp;S215)+SUMIFS(Transaksi!$I$2:$I$2001,Transaksi!$M$2:$M$2001,"&lt;="&amp;S215))-(SUMIFS(Transaksi!$J$2:$J$2001,Transaksi!$M$2:$M$2001,"&lt;="&amp;S215)),"")</f>
        <v/>
      </c>
      <c r="I215">
        <f>IF(212&gt;$O$2,"",MATCH(212,$Q$3:$Q$402,1))</f>
        <v/>
      </c>
      <c r="J215">
        <f>IF(I215="","",IF(212=INDEX($Q$3:$Q$402,I215),"H","E"))</f>
        <v/>
      </c>
      <c r="K215">
        <f>IF(J215&lt;&gt;"E","",MATCH(S215,Transaksi!$M$2:$M$2001,0)+212-INDEX($Q$3:$Q$402,I215)-1)</f>
        <v/>
      </c>
      <c r="N215" t="n">
        <v>213</v>
      </c>
      <c r="O215">
        <f>IF(N215&lt;=$O$1,$O$1-N215+1,"")</f>
        <v/>
      </c>
      <c r="P215">
        <f>IF(O215="",0,COUNTIF(Transaksi!$M$2:$M$2001,O215)+1)</f>
        <v/>
      </c>
      <c r="Q215">
        <f>1+SUM(P$2:P214)</f>
        <v/>
      </c>
      <c r="S215">
        <f>IF(I215="","",INDEX($O$3:$O$402,I215))</f>
        <v/>
      </c>
      <c r="T215">
        <f>IF(J215&lt;&gt;"H","",INDEX(Transaksi!$A$2:$A$2001,MATCH(S215,Transaksi!$M$2:$M$2001,0)))</f>
        <v/>
      </c>
    </row>
    <row r="216">
      <c r="A216" s="31">
        <f>IF(J216="E",IF(INDEX(Transaksi!$J$2:$J$2001,K216)&gt;0,"↑","↓"),"")</f>
        <v/>
      </c>
      <c r="B216" s="32">
        <f>IF(J216="H",CHOOSE(WEEKDAY(T216,2),"Isnin","Selasa","Rabu","Khamis","Jumaat","Sabtu","Ahad")&amp;", "&amp;DAY(T216)&amp;" "&amp;CHOOSE(MONTH(T216),"Jan","Feb","Mac","Apr","Mei","Jun","Jul","Ogo","Sep","Okt","Nov","Dis")&amp;" "&amp;YEAR(T216),IF(J216="E",IF(INDEX(Transaksi!$B$2:$B$2001,K216)="",INDEX(Transaksi!$C$2:$C$2001,K216)&amp;" · "&amp;INDEX(Transaksi!$D$2:$D$2001,K216),INDEX(Transaksi!$B$2:$B$2001,K216)),""))</f>
        <v/>
      </c>
      <c r="C216" s="32">
        <f>IF(J216="E",INDEX(Transaksi!$C$2:$C$2001,K216)&amp;"","")</f>
        <v/>
      </c>
      <c r="D216" s="32">
        <f>IF(J216="E",INDEX(Transaksi!$D$2:$D$2001,K216)&amp;"","")</f>
        <v/>
      </c>
      <c r="E216" s="33">
        <f>IF(J216="H",SUMIFS(Transaksi!$G$2:$G$2001,Transaksi!$M$2:$M$2001,"="&amp;S216)+SUMIFS(Transaksi!$H$2:$H$2001,Transaksi!$M$2:$M$2001,"="&amp;S216)+SUMIFS(Transaksi!$I$2:$I$2001,Transaksi!$M$2:$M$2001,"="&amp;S216),IF(J216="E",IF(INDEX(Transaksi!$G$2:$G$2001,K216)+INDEX(Transaksi!$H$2:$H$2001,K216)+INDEX(Transaksi!$I$2:$I$2001,K216)=0,"",INDEX(Transaksi!$G$2:$G$2001,K216)+INDEX(Transaksi!$H$2:$H$2001,K216)+INDEX(Transaksi!$I$2:$I$2001,K216)),""))</f>
        <v/>
      </c>
      <c r="F216" s="33">
        <f>IF(J216="H",SUMIFS(Transaksi!$J$2:$J$2001,Transaksi!$M$2:$M$2001,"="&amp;S216),IF(J216="E",IF(INDEX(Transaksi!$J$2:$J$2001,K216)=0,"",INDEX(Transaksi!$J$2:$J$2001,K216)),""))</f>
        <v/>
      </c>
      <c r="G216" s="33">
        <f>IF(J216="H",(SUMIFS(Transaksi!$G$2:$G$2001,Transaksi!$M$2:$M$2001,"&lt;="&amp;S216)+SUMIFS(Transaksi!$H$2:$H$2001,Transaksi!$M$2:$M$2001,"&lt;="&amp;S216)+SUMIFS(Transaksi!$I$2:$I$2001,Transaksi!$M$2:$M$2001,"&lt;="&amp;S216))-(SUMIFS(Transaksi!$J$2:$J$2001,Transaksi!$M$2:$M$2001,"&lt;="&amp;S216)),"")</f>
        <v/>
      </c>
      <c r="I216">
        <f>IF(213&gt;$O$2,"",MATCH(213,$Q$3:$Q$402,1))</f>
        <v/>
      </c>
      <c r="J216">
        <f>IF(I216="","",IF(213=INDEX($Q$3:$Q$402,I216),"H","E"))</f>
        <v/>
      </c>
      <c r="K216">
        <f>IF(J216&lt;&gt;"E","",MATCH(S216,Transaksi!$M$2:$M$2001,0)+213-INDEX($Q$3:$Q$402,I216)-1)</f>
        <v/>
      </c>
      <c r="N216" t="n">
        <v>214</v>
      </c>
      <c r="O216">
        <f>IF(N216&lt;=$O$1,$O$1-N216+1,"")</f>
        <v/>
      </c>
      <c r="P216">
        <f>IF(O216="",0,COUNTIF(Transaksi!$M$2:$M$2001,O216)+1)</f>
        <v/>
      </c>
      <c r="Q216">
        <f>1+SUM(P$2:P215)</f>
        <v/>
      </c>
      <c r="S216">
        <f>IF(I216="","",INDEX($O$3:$O$402,I216))</f>
        <v/>
      </c>
      <c r="T216">
        <f>IF(J216&lt;&gt;"H","",INDEX(Transaksi!$A$2:$A$2001,MATCH(S216,Transaksi!$M$2:$M$2001,0)))</f>
        <v/>
      </c>
    </row>
    <row r="217">
      <c r="A217" s="31">
        <f>IF(J217="E",IF(INDEX(Transaksi!$J$2:$J$2001,K217)&gt;0,"↑","↓"),"")</f>
        <v/>
      </c>
      <c r="B217" s="32">
        <f>IF(J217="H",CHOOSE(WEEKDAY(T217,2),"Isnin","Selasa","Rabu","Khamis","Jumaat","Sabtu","Ahad")&amp;", "&amp;DAY(T217)&amp;" "&amp;CHOOSE(MONTH(T217),"Jan","Feb","Mac","Apr","Mei","Jun","Jul","Ogo","Sep","Okt","Nov","Dis")&amp;" "&amp;YEAR(T217),IF(J217="E",IF(INDEX(Transaksi!$B$2:$B$2001,K217)="",INDEX(Transaksi!$C$2:$C$2001,K217)&amp;" · "&amp;INDEX(Transaksi!$D$2:$D$2001,K217),INDEX(Transaksi!$B$2:$B$2001,K217)),""))</f>
        <v/>
      </c>
      <c r="C217" s="32">
        <f>IF(J217="E",INDEX(Transaksi!$C$2:$C$2001,K217)&amp;"","")</f>
        <v/>
      </c>
      <c r="D217" s="32">
        <f>IF(J217="E",INDEX(Transaksi!$D$2:$D$2001,K217)&amp;"","")</f>
        <v/>
      </c>
      <c r="E217" s="33">
        <f>IF(J217="H",SUMIFS(Transaksi!$G$2:$G$2001,Transaksi!$M$2:$M$2001,"="&amp;S217)+SUMIFS(Transaksi!$H$2:$H$2001,Transaksi!$M$2:$M$2001,"="&amp;S217)+SUMIFS(Transaksi!$I$2:$I$2001,Transaksi!$M$2:$M$2001,"="&amp;S217),IF(J217="E",IF(INDEX(Transaksi!$G$2:$G$2001,K217)+INDEX(Transaksi!$H$2:$H$2001,K217)+INDEX(Transaksi!$I$2:$I$2001,K217)=0,"",INDEX(Transaksi!$G$2:$G$2001,K217)+INDEX(Transaksi!$H$2:$H$2001,K217)+INDEX(Transaksi!$I$2:$I$2001,K217)),""))</f>
        <v/>
      </c>
      <c r="F217" s="33">
        <f>IF(J217="H",SUMIFS(Transaksi!$J$2:$J$2001,Transaksi!$M$2:$M$2001,"="&amp;S217),IF(J217="E",IF(INDEX(Transaksi!$J$2:$J$2001,K217)=0,"",INDEX(Transaksi!$J$2:$J$2001,K217)),""))</f>
        <v/>
      </c>
      <c r="G217" s="33">
        <f>IF(J217="H",(SUMIFS(Transaksi!$G$2:$G$2001,Transaksi!$M$2:$M$2001,"&lt;="&amp;S217)+SUMIFS(Transaksi!$H$2:$H$2001,Transaksi!$M$2:$M$2001,"&lt;="&amp;S217)+SUMIFS(Transaksi!$I$2:$I$2001,Transaksi!$M$2:$M$2001,"&lt;="&amp;S217))-(SUMIFS(Transaksi!$J$2:$J$2001,Transaksi!$M$2:$M$2001,"&lt;="&amp;S217)),"")</f>
        <v/>
      </c>
      <c r="I217">
        <f>IF(214&gt;$O$2,"",MATCH(214,$Q$3:$Q$402,1))</f>
        <v/>
      </c>
      <c r="J217">
        <f>IF(I217="","",IF(214=INDEX($Q$3:$Q$402,I217),"H","E"))</f>
        <v/>
      </c>
      <c r="K217">
        <f>IF(J217&lt;&gt;"E","",MATCH(S217,Transaksi!$M$2:$M$2001,0)+214-INDEX($Q$3:$Q$402,I217)-1)</f>
        <v/>
      </c>
      <c r="N217" t="n">
        <v>215</v>
      </c>
      <c r="O217">
        <f>IF(N217&lt;=$O$1,$O$1-N217+1,"")</f>
        <v/>
      </c>
      <c r="P217">
        <f>IF(O217="",0,COUNTIF(Transaksi!$M$2:$M$2001,O217)+1)</f>
        <v/>
      </c>
      <c r="Q217">
        <f>1+SUM(P$2:P216)</f>
        <v/>
      </c>
      <c r="S217">
        <f>IF(I217="","",INDEX($O$3:$O$402,I217))</f>
        <v/>
      </c>
      <c r="T217">
        <f>IF(J217&lt;&gt;"H","",INDEX(Transaksi!$A$2:$A$2001,MATCH(S217,Transaksi!$M$2:$M$2001,0)))</f>
        <v/>
      </c>
    </row>
    <row r="218">
      <c r="A218" s="31">
        <f>IF(J218="E",IF(INDEX(Transaksi!$J$2:$J$2001,K218)&gt;0,"↑","↓"),"")</f>
        <v/>
      </c>
      <c r="B218" s="32">
        <f>IF(J218="H",CHOOSE(WEEKDAY(T218,2),"Isnin","Selasa","Rabu","Khamis","Jumaat","Sabtu","Ahad")&amp;", "&amp;DAY(T218)&amp;" "&amp;CHOOSE(MONTH(T218),"Jan","Feb","Mac","Apr","Mei","Jun","Jul","Ogo","Sep","Okt","Nov","Dis")&amp;" "&amp;YEAR(T218),IF(J218="E",IF(INDEX(Transaksi!$B$2:$B$2001,K218)="",INDEX(Transaksi!$C$2:$C$2001,K218)&amp;" · "&amp;INDEX(Transaksi!$D$2:$D$2001,K218),INDEX(Transaksi!$B$2:$B$2001,K218)),""))</f>
        <v/>
      </c>
      <c r="C218" s="32">
        <f>IF(J218="E",INDEX(Transaksi!$C$2:$C$2001,K218)&amp;"","")</f>
        <v/>
      </c>
      <c r="D218" s="32">
        <f>IF(J218="E",INDEX(Transaksi!$D$2:$D$2001,K218)&amp;"","")</f>
        <v/>
      </c>
      <c r="E218" s="33">
        <f>IF(J218="H",SUMIFS(Transaksi!$G$2:$G$2001,Transaksi!$M$2:$M$2001,"="&amp;S218)+SUMIFS(Transaksi!$H$2:$H$2001,Transaksi!$M$2:$M$2001,"="&amp;S218)+SUMIFS(Transaksi!$I$2:$I$2001,Transaksi!$M$2:$M$2001,"="&amp;S218),IF(J218="E",IF(INDEX(Transaksi!$G$2:$G$2001,K218)+INDEX(Transaksi!$H$2:$H$2001,K218)+INDEX(Transaksi!$I$2:$I$2001,K218)=0,"",INDEX(Transaksi!$G$2:$G$2001,K218)+INDEX(Transaksi!$H$2:$H$2001,K218)+INDEX(Transaksi!$I$2:$I$2001,K218)),""))</f>
        <v/>
      </c>
      <c r="F218" s="33">
        <f>IF(J218="H",SUMIFS(Transaksi!$J$2:$J$2001,Transaksi!$M$2:$M$2001,"="&amp;S218),IF(J218="E",IF(INDEX(Transaksi!$J$2:$J$2001,K218)=0,"",INDEX(Transaksi!$J$2:$J$2001,K218)),""))</f>
        <v/>
      </c>
      <c r="G218" s="33">
        <f>IF(J218="H",(SUMIFS(Transaksi!$G$2:$G$2001,Transaksi!$M$2:$M$2001,"&lt;="&amp;S218)+SUMIFS(Transaksi!$H$2:$H$2001,Transaksi!$M$2:$M$2001,"&lt;="&amp;S218)+SUMIFS(Transaksi!$I$2:$I$2001,Transaksi!$M$2:$M$2001,"&lt;="&amp;S218))-(SUMIFS(Transaksi!$J$2:$J$2001,Transaksi!$M$2:$M$2001,"&lt;="&amp;S218)),"")</f>
        <v/>
      </c>
      <c r="I218">
        <f>IF(215&gt;$O$2,"",MATCH(215,$Q$3:$Q$402,1))</f>
        <v/>
      </c>
      <c r="J218">
        <f>IF(I218="","",IF(215=INDEX($Q$3:$Q$402,I218),"H","E"))</f>
        <v/>
      </c>
      <c r="K218">
        <f>IF(J218&lt;&gt;"E","",MATCH(S218,Transaksi!$M$2:$M$2001,0)+215-INDEX($Q$3:$Q$402,I218)-1)</f>
        <v/>
      </c>
      <c r="N218" t="n">
        <v>216</v>
      </c>
      <c r="O218">
        <f>IF(N218&lt;=$O$1,$O$1-N218+1,"")</f>
        <v/>
      </c>
      <c r="P218">
        <f>IF(O218="",0,COUNTIF(Transaksi!$M$2:$M$2001,O218)+1)</f>
        <v/>
      </c>
      <c r="Q218">
        <f>1+SUM(P$2:P217)</f>
        <v/>
      </c>
      <c r="S218">
        <f>IF(I218="","",INDEX($O$3:$O$402,I218))</f>
        <v/>
      </c>
      <c r="T218">
        <f>IF(J218&lt;&gt;"H","",INDEX(Transaksi!$A$2:$A$2001,MATCH(S218,Transaksi!$M$2:$M$2001,0)))</f>
        <v/>
      </c>
    </row>
    <row r="219">
      <c r="A219" s="31">
        <f>IF(J219="E",IF(INDEX(Transaksi!$J$2:$J$2001,K219)&gt;0,"↑","↓"),"")</f>
        <v/>
      </c>
      <c r="B219" s="32">
        <f>IF(J219="H",CHOOSE(WEEKDAY(T219,2),"Isnin","Selasa","Rabu","Khamis","Jumaat","Sabtu","Ahad")&amp;", "&amp;DAY(T219)&amp;" "&amp;CHOOSE(MONTH(T219),"Jan","Feb","Mac","Apr","Mei","Jun","Jul","Ogo","Sep","Okt","Nov","Dis")&amp;" "&amp;YEAR(T219),IF(J219="E",IF(INDEX(Transaksi!$B$2:$B$2001,K219)="",INDEX(Transaksi!$C$2:$C$2001,K219)&amp;" · "&amp;INDEX(Transaksi!$D$2:$D$2001,K219),INDEX(Transaksi!$B$2:$B$2001,K219)),""))</f>
        <v/>
      </c>
      <c r="C219" s="32">
        <f>IF(J219="E",INDEX(Transaksi!$C$2:$C$2001,K219)&amp;"","")</f>
        <v/>
      </c>
      <c r="D219" s="32">
        <f>IF(J219="E",INDEX(Transaksi!$D$2:$D$2001,K219)&amp;"","")</f>
        <v/>
      </c>
      <c r="E219" s="33">
        <f>IF(J219="H",SUMIFS(Transaksi!$G$2:$G$2001,Transaksi!$M$2:$M$2001,"="&amp;S219)+SUMIFS(Transaksi!$H$2:$H$2001,Transaksi!$M$2:$M$2001,"="&amp;S219)+SUMIFS(Transaksi!$I$2:$I$2001,Transaksi!$M$2:$M$2001,"="&amp;S219),IF(J219="E",IF(INDEX(Transaksi!$G$2:$G$2001,K219)+INDEX(Transaksi!$H$2:$H$2001,K219)+INDEX(Transaksi!$I$2:$I$2001,K219)=0,"",INDEX(Transaksi!$G$2:$G$2001,K219)+INDEX(Transaksi!$H$2:$H$2001,K219)+INDEX(Transaksi!$I$2:$I$2001,K219)),""))</f>
        <v/>
      </c>
      <c r="F219" s="33">
        <f>IF(J219="H",SUMIFS(Transaksi!$J$2:$J$2001,Transaksi!$M$2:$M$2001,"="&amp;S219),IF(J219="E",IF(INDEX(Transaksi!$J$2:$J$2001,K219)=0,"",INDEX(Transaksi!$J$2:$J$2001,K219)),""))</f>
        <v/>
      </c>
      <c r="G219" s="33">
        <f>IF(J219="H",(SUMIFS(Transaksi!$G$2:$G$2001,Transaksi!$M$2:$M$2001,"&lt;="&amp;S219)+SUMIFS(Transaksi!$H$2:$H$2001,Transaksi!$M$2:$M$2001,"&lt;="&amp;S219)+SUMIFS(Transaksi!$I$2:$I$2001,Transaksi!$M$2:$M$2001,"&lt;="&amp;S219))-(SUMIFS(Transaksi!$J$2:$J$2001,Transaksi!$M$2:$M$2001,"&lt;="&amp;S219)),"")</f>
        <v/>
      </c>
      <c r="I219">
        <f>IF(216&gt;$O$2,"",MATCH(216,$Q$3:$Q$402,1))</f>
        <v/>
      </c>
      <c r="J219">
        <f>IF(I219="","",IF(216=INDEX($Q$3:$Q$402,I219),"H","E"))</f>
        <v/>
      </c>
      <c r="K219">
        <f>IF(J219&lt;&gt;"E","",MATCH(S219,Transaksi!$M$2:$M$2001,0)+216-INDEX($Q$3:$Q$402,I219)-1)</f>
        <v/>
      </c>
      <c r="N219" t="n">
        <v>217</v>
      </c>
      <c r="O219">
        <f>IF(N219&lt;=$O$1,$O$1-N219+1,"")</f>
        <v/>
      </c>
      <c r="P219">
        <f>IF(O219="",0,COUNTIF(Transaksi!$M$2:$M$2001,O219)+1)</f>
        <v/>
      </c>
      <c r="Q219">
        <f>1+SUM(P$2:P218)</f>
        <v/>
      </c>
      <c r="S219">
        <f>IF(I219="","",INDEX($O$3:$O$402,I219))</f>
        <v/>
      </c>
      <c r="T219">
        <f>IF(J219&lt;&gt;"H","",INDEX(Transaksi!$A$2:$A$2001,MATCH(S219,Transaksi!$M$2:$M$2001,0)))</f>
        <v/>
      </c>
    </row>
    <row r="220">
      <c r="A220" s="31">
        <f>IF(J220="E",IF(INDEX(Transaksi!$J$2:$J$2001,K220)&gt;0,"↑","↓"),"")</f>
        <v/>
      </c>
      <c r="B220" s="32">
        <f>IF(J220="H",CHOOSE(WEEKDAY(T220,2),"Isnin","Selasa","Rabu","Khamis","Jumaat","Sabtu","Ahad")&amp;", "&amp;DAY(T220)&amp;" "&amp;CHOOSE(MONTH(T220),"Jan","Feb","Mac","Apr","Mei","Jun","Jul","Ogo","Sep","Okt","Nov","Dis")&amp;" "&amp;YEAR(T220),IF(J220="E",IF(INDEX(Transaksi!$B$2:$B$2001,K220)="",INDEX(Transaksi!$C$2:$C$2001,K220)&amp;" · "&amp;INDEX(Transaksi!$D$2:$D$2001,K220),INDEX(Transaksi!$B$2:$B$2001,K220)),""))</f>
        <v/>
      </c>
      <c r="C220" s="32">
        <f>IF(J220="E",INDEX(Transaksi!$C$2:$C$2001,K220)&amp;"","")</f>
        <v/>
      </c>
      <c r="D220" s="32">
        <f>IF(J220="E",INDEX(Transaksi!$D$2:$D$2001,K220)&amp;"","")</f>
        <v/>
      </c>
      <c r="E220" s="33">
        <f>IF(J220="H",SUMIFS(Transaksi!$G$2:$G$2001,Transaksi!$M$2:$M$2001,"="&amp;S220)+SUMIFS(Transaksi!$H$2:$H$2001,Transaksi!$M$2:$M$2001,"="&amp;S220)+SUMIFS(Transaksi!$I$2:$I$2001,Transaksi!$M$2:$M$2001,"="&amp;S220),IF(J220="E",IF(INDEX(Transaksi!$G$2:$G$2001,K220)+INDEX(Transaksi!$H$2:$H$2001,K220)+INDEX(Transaksi!$I$2:$I$2001,K220)=0,"",INDEX(Transaksi!$G$2:$G$2001,K220)+INDEX(Transaksi!$H$2:$H$2001,K220)+INDEX(Transaksi!$I$2:$I$2001,K220)),""))</f>
        <v/>
      </c>
      <c r="F220" s="33">
        <f>IF(J220="H",SUMIFS(Transaksi!$J$2:$J$2001,Transaksi!$M$2:$M$2001,"="&amp;S220),IF(J220="E",IF(INDEX(Transaksi!$J$2:$J$2001,K220)=0,"",INDEX(Transaksi!$J$2:$J$2001,K220)),""))</f>
        <v/>
      </c>
      <c r="G220" s="33">
        <f>IF(J220="H",(SUMIFS(Transaksi!$G$2:$G$2001,Transaksi!$M$2:$M$2001,"&lt;="&amp;S220)+SUMIFS(Transaksi!$H$2:$H$2001,Transaksi!$M$2:$M$2001,"&lt;="&amp;S220)+SUMIFS(Transaksi!$I$2:$I$2001,Transaksi!$M$2:$M$2001,"&lt;="&amp;S220))-(SUMIFS(Transaksi!$J$2:$J$2001,Transaksi!$M$2:$M$2001,"&lt;="&amp;S220)),"")</f>
        <v/>
      </c>
      <c r="I220">
        <f>IF(217&gt;$O$2,"",MATCH(217,$Q$3:$Q$402,1))</f>
        <v/>
      </c>
      <c r="J220">
        <f>IF(I220="","",IF(217=INDEX($Q$3:$Q$402,I220),"H","E"))</f>
        <v/>
      </c>
      <c r="K220">
        <f>IF(J220&lt;&gt;"E","",MATCH(S220,Transaksi!$M$2:$M$2001,0)+217-INDEX($Q$3:$Q$402,I220)-1)</f>
        <v/>
      </c>
      <c r="N220" t="n">
        <v>218</v>
      </c>
      <c r="O220">
        <f>IF(N220&lt;=$O$1,$O$1-N220+1,"")</f>
        <v/>
      </c>
      <c r="P220">
        <f>IF(O220="",0,COUNTIF(Transaksi!$M$2:$M$2001,O220)+1)</f>
        <v/>
      </c>
      <c r="Q220">
        <f>1+SUM(P$2:P219)</f>
        <v/>
      </c>
      <c r="S220">
        <f>IF(I220="","",INDEX($O$3:$O$402,I220))</f>
        <v/>
      </c>
      <c r="T220">
        <f>IF(J220&lt;&gt;"H","",INDEX(Transaksi!$A$2:$A$2001,MATCH(S220,Transaksi!$M$2:$M$2001,0)))</f>
        <v/>
      </c>
    </row>
    <row r="221">
      <c r="A221" s="31">
        <f>IF(J221="E",IF(INDEX(Transaksi!$J$2:$J$2001,K221)&gt;0,"↑","↓"),"")</f>
        <v/>
      </c>
      <c r="B221" s="32">
        <f>IF(J221="H",CHOOSE(WEEKDAY(T221,2),"Isnin","Selasa","Rabu","Khamis","Jumaat","Sabtu","Ahad")&amp;", "&amp;DAY(T221)&amp;" "&amp;CHOOSE(MONTH(T221),"Jan","Feb","Mac","Apr","Mei","Jun","Jul","Ogo","Sep","Okt","Nov","Dis")&amp;" "&amp;YEAR(T221),IF(J221="E",IF(INDEX(Transaksi!$B$2:$B$2001,K221)="",INDEX(Transaksi!$C$2:$C$2001,K221)&amp;" · "&amp;INDEX(Transaksi!$D$2:$D$2001,K221),INDEX(Transaksi!$B$2:$B$2001,K221)),""))</f>
        <v/>
      </c>
      <c r="C221" s="32">
        <f>IF(J221="E",INDEX(Transaksi!$C$2:$C$2001,K221)&amp;"","")</f>
        <v/>
      </c>
      <c r="D221" s="32">
        <f>IF(J221="E",INDEX(Transaksi!$D$2:$D$2001,K221)&amp;"","")</f>
        <v/>
      </c>
      <c r="E221" s="33">
        <f>IF(J221="H",SUMIFS(Transaksi!$G$2:$G$2001,Transaksi!$M$2:$M$2001,"="&amp;S221)+SUMIFS(Transaksi!$H$2:$H$2001,Transaksi!$M$2:$M$2001,"="&amp;S221)+SUMIFS(Transaksi!$I$2:$I$2001,Transaksi!$M$2:$M$2001,"="&amp;S221),IF(J221="E",IF(INDEX(Transaksi!$G$2:$G$2001,K221)+INDEX(Transaksi!$H$2:$H$2001,K221)+INDEX(Transaksi!$I$2:$I$2001,K221)=0,"",INDEX(Transaksi!$G$2:$G$2001,K221)+INDEX(Transaksi!$H$2:$H$2001,K221)+INDEX(Transaksi!$I$2:$I$2001,K221)),""))</f>
        <v/>
      </c>
      <c r="F221" s="33">
        <f>IF(J221="H",SUMIFS(Transaksi!$J$2:$J$2001,Transaksi!$M$2:$M$2001,"="&amp;S221),IF(J221="E",IF(INDEX(Transaksi!$J$2:$J$2001,K221)=0,"",INDEX(Transaksi!$J$2:$J$2001,K221)),""))</f>
        <v/>
      </c>
      <c r="G221" s="33">
        <f>IF(J221="H",(SUMIFS(Transaksi!$G$2:$G$2001,Transaksi!$M$2:$M$2001,"&lt;="&amp;S221)+SUMIFS(Transaksi!$H$2:$H$2001,Transaksi!$M$2:$M$2001,"&lt;="&amp;S221)+SUMIFS(Transaksi!$I$2:$I$2001,Transaksi!$M$2:$M$2001,"&lt;="&amp;S221))-(SUMIFS(Transaksi!$J$2:$J$2001,Transaksi!$M$2:$M$2001,"&lt;="&amp;S221)),"")</f>
        <v/>
      </c>
      <c r="I221">
        <f>IF(218&gt;$O$2,"",MATCH(218,$Q$3:$Q$402,1))</f>
        <v/>
      </c>
      <c r="J221">
        <f>IF(I221="","",IF(218=INDEX($Q$3:$Q$402,I221),"H","E"))</f>
        <v/>
      </c>
      <c r="K221">
        <f>IF(J221&lt;&gt;"E","",MATCH(S221,Transaksi!$M$2:$M$2001,0)+218-INDEX($Q$3:$Q$402,I221)-1)</f>
        <v/>
      </c>
      <c r="N221" t="n">
        <v>219</v>
      </c>
      <c r="O221">
        <f>IF(N221&lt;=$O$1,$O$1-N221+1,"")</f>
        <v/>
      </c>
      <c r="P221">
        <f>IF(O221="",0,COUNTIF(Transaksi!$M$2:$M$2001,O221)+1)</f>
        <v/>
      </c>
      <c r="Q221">
        <f>1+SUM(P$2:P220)</f>
        <v/>
      </c>
      <c r="S221">
        <f>IF(I221="","",INDEX($O$3:$O$402,I221))</f>
        <v/>
      </c>
      <c r="T221">
        <f>IF(J221&lt;&gt;"H","",INDEX(Transaksi!$A$2:$A$2001,MATCH(S221,Transaksi!$M$2:$M$2001,0)))</f>
        <v/>
      </c>
    </row>
    <row r="222">
      <c r="A222" s="31">
        <f>IF(J222="E",IF(INDEX(Transaksi!$J$2:$J$2001,K222)&gt;0,"↑","↓"),"")</f>
        <v/>
      </c>
      <c r="B222" s="32">
        <f>IF(J222="H",CHOOSE(WEEKDAY(T222,2),"Isnin","Selasa","Rabu","Khamis","Jumaat","Sabtu","Ahad")&amp;", "&amp;DAY(T222)&amp;" "&amp;CHOOSE(MONTH(T222),"Jan","Feb","Mac","Apr","Mei","Jun","Jul","Ogo","Sep","Okt","Nov","Dis")&amp;" "&amp;YEAR(T222),IF(J222="E",IF(INDEX(Transaksi!$B$2:$B$2001,K222)="",INDEX(Transaksi!$C$2:$C$2001,K222)&amp;" · "&amp;INDEX(Transaksi!$D$2:$D$2001,K222),INDEX(Transaksi!$B$2:$B$2001,K222)),""))</f>
        <v/>
      </c>
      <c r="C222" s="32">
        <f>IF(J222="E",INDEX(Transaksi!$C$2:$C$2001,K222)&amp;"","")</f>
        <v/>
      </c>
      <c r="D222" s="32">
        <f>IF(J222="E",INDEX(Transaksi!$D$2:$D$2001,K222)&amp;"","")</f>
        <v/>
      </c>
      <c r="E222" s="33">
        <f>IF(J222="H",SUMIFS(Transaksi!$G$2:$G$2001,Transaksi!$M$2:$M$2001,"="&amp;S222)+SUMIFS(Transaksi!$H$2:$H$2001,Transaksi!$M$2:$M$2001,"="&amp;S222)+SUMIFS(Transaksi!$I$2:$I$2001,Transaksi!$M$2:$M$2001,"="&amp;S222),IF(J222="E",IF(INDEX(Transaksi!$G$2:$G$2001,K222)+INDEX(Transaksi!$H$2:$H$2001,K222)+INDEX(Transaksi!$I$2:$I$2001,K222)=0,"",INDEX(Transaksi!$G$2:$G$2001,K222)+INDEX(Transaksi!$H$2:$H$2001,K222)+INDEX(Transaksi!$I$2:$I$2001,K222)),""))</f>
        <v/>
      </c>
      <c r="F222" s="33">
        <f>IF(J222="H",SUMIFS(Transaksi!$J$2:$J$2001,Transaksi!$M$2:$M$2001,"="&amp;S222),IF(J222="E",IF(INDEX(Transaksi!$J$2:$J$2001,K222)=0,"",INDEX(Transaksi!$J$2:$J$2001,K222)),""))</f>
        <v/>
      </c>
      <c r="G222" s="33">
        <f>IF(J222="H",(SUMIFS(Transaksi!$G$2:$G$2001,Transaksi!$M$2:$M$2001,"&lt;="&amp;S222)+SUMIFS(Transaksi!$H$2:$H$2001,Transaksi!$M$2:$M$2001,"&lt;="&amp;S222)+SUMIFS(Transaksi!$I$2:$I$2001,Transaksi!$M$2:$M$2001,"&lt;="&amp;S222))-(SUMIFS(Transaksi!$J$2:$J$2001,Transaksi!$M$2:$M$2001,"&lt;="&amp;S222)),"")</f>
        <v/>
      </c>
      <c r="I222">
        <f>IF(219&gt;$O$2,"",MATCH(219,$Q$3:$Q$402,1))</f>
        <v/>
      </c>
      <c r="J222">
        <f>IF(I222="","",IF(219=INDEX($Q$3:$Q$402,I222),"H","E"))</f>
        <v/>
      </c>
      <c r="K222">
        <f>IF(J222&lt;&gt;"E","",MATCH(S222,Transaksi!$M$2:$M$2001,0)+219-INDEX($Q$3:$Q$402,I222)-1)</f>
        <v/>
      </c>
      <c r="N222" t="n">
        <v>220</v>
      </c>
      <c r="O222">
        <f>IF(N222&lt;=$O$1,$O$1-N222+1,"")</f>
        <v/>
      </c>
      <c r="P222">
        <f>IF(O222="",0,COUNTIF(Transaksi!$M$2:$M$2001,O222)+1)</f>
        <v/>
      </c>
      <c r="Q222">
        <f>1+SUM(P$2:P221)</f>
        <v/>
      </c>
      <c r="S222">
        <f>IF(I222="","",INDEX($O$3:$O$402,I222))</f>
        <v/>
      </c>
      <c r="T222">
        <f>IF(J222&lt;&gt;"H","",INDEX(Transaksi!$A$2:$A$2001,MATCH(S222,Transaksi!$M$2:$M$2001,0)))</f>
        <v/>
      </c>
    </row>
    <row r="223">
      <c r="A223" s="31">
        <f>IF(J223="E",IF(INDEX(Transaksi!$J$2:$J$2001,K223)&gt;0,"↑","↓"),"")</f>
        <v/>
      </c>
      <c r="B223" s="32">
        <f>IF(J223="H",CHOOSE(WEEKDAY(T223,2),"Isnin","Selasa","Rabu","Khamis","Jumaat","Sabtu","Ahad")&amp;", "&amp;DAY(T223)&amp;" "&amp;CHOOSE(MONTH(T223),"Jan","Feb","Mac","Apr","Mei","Jun","Jul","Ogo","Sep","Okt","Nov","Dis")&amp;" "&amp;YEAR(T223),IF(J223="E",IF(INDEX(Transaksi!$B$2:$B$2001,K223)="",INDEX(Transaksi!$C$2:$C$2001,K223)&amp;" · "&amp;INDEX(Transaksi!$D$2:$D$2001,K223),INDEX(Transaksi!$B$2:$B$2001,K223)),""))</f>
        <v/>
      </c>
      <c r="C223" s="32">
        <f>IF(J223="E",INDEX(Transaksi!$C$2:$C$2001,K223)&amp;"","")</f>
        <v/>
      </c>
      <c r="D223" s="32">
        <f>IF(J223="E",INDEX(Transaksi!$D$2:$D$2001,K223)&amp;"","")</f>
        <v/>
      </c>
      <c r="E223" s="33">
        <f>IF(J223="H",SUMIFS(Transaksi!$G$2:$G$2001,Transaksi!$M$2:$M$2001,"="&amp;S223)+SUMIFS(Transaksi!$H$2:$H$2001,Transaksi!$M$2:$M$2001,"="&amp;S223)+SUMIFS(Transaksi!$I$2:$I$2001,Transaksi!$M$2:$M$2001,"="&amp;S223),IF(J223="E",IF(INDEX(Transaksi!$G$2:$G$2001,K223)+INDEX(Transaksi!$H$2:$H$2001,K223)+INDEX(Transaksi!$I$2:$I$2001,K223)=0,"",INDEX(Transaksi!$G$2:$G$2001,K223)+INDEX(Transaksi!$H$2:$H$2001,K223)+INDEX(Transaksi!$I$2:$I$2001,K223)),""))</f>
        <v/>
      </c>
      <c r="F223" s="33">
        <f>IF(J223="H",SUMIFS(Transaksi!$J$2:$J$2001,Transaksi!$M$2:$M$2001,"="&amp;S223),IF(J223="E",IF(INDEX(Transaksi!$J$2:$J$2001,K223)=0,"",INDEX(Transaksi!$J$2:$J$2001,K223)),""))</f>
        <v/>
      </c>
      <c r="G223" s="33">
        <f>IF(J223="H",(SUMIFS(Transaksi!$G$2:$G$2001,Transaksi!$M$2:$M$2001,"&lt;="&amp;S223)+SUMIFS(Transaksi!$H$2:$H$2001,Transaksi!$M$2:$M$2001,"&lt;="&amp;S223)+SUMIFS(Transaksi!$I$2:$I$2001,Transaksi!$M$2:$M$2001,"&lt;="&amp;S223))-(SUMIFS(Transaksi!$J$2:$J$2001,Transaksi!$M$2:$M$2001,"&lt;="&amp;S223)),"")</f>
        <v/>
      </c>
      <c r="I223">
        <f>IF(220&gt;$O$2,"",MATCH(220,$Q$3:$Q$402,1))</f>
        <v/>
      </c>
      <c r="J223">
        <f>IF(I223="","",IF(220=INDEX($Q$3:$Q$402,I223),"H","E"))</f>
        <v/>
      </c>
      <c r="K223">
        <f>IF(J223&lt;&gt;"E","",MATCH(S223,Transaksi!$M$2:$M$2001,0)+220-INDEX($Q$3:$Q$402,I223)-1)</f>
        <v/>
      </c>
      <c r="N223" t="n">
        <v>221</v>
      </c>
      <c r="O223">
        <f>IF(N223&lt;=$O$1,$O$1-N223+1,"")</f>
        <v/>
      </c>
      <c r="P223">
        <f>IF(O223="",0,COUNTIF(Transaksi!$M$2:$M$2001,O223)+1)</f>
        <v/>
      </c>
      <c r="Q223">
        <f>1+SUM(P$2:P222)</f>
        <v/>
      </c>
      <c r="S223">
        <f>IF(I223="","",INDEX($O$3:$O$402,I223))</f>
        <v/>
      </c>
      <c r="T223">
        <f>IF(J223&lt;&gt;"H","",INDEX(Transaksi!$A$2:$A$2001,MATCH(S223,Transaksi!$M$2:$M$2001,0)))</f>
        <v/>
      </c>
    </row>
    <row r="224">
      <c r="A224" s="31">
        <f>IF(J224="E",IF(INDEX(Transaksi!$J$2:$J$2001,K224)&gt;0,"↑","↓"),"")</f>
        <v/>
      </c>
      <c r="B224" s="32">
        <f>IF(J224="H",CHOOSE(WEEKDAY(T224,2),"Isnin","Selasa","Rabu","Khamis","Jumaat","Sabtu","Ahad")&amp;", "&amp;DAY(T224)&amp;" "&amp;CHOOSE(MONTH(T224),"Jan","Feb","Mac","Apr","Mei","Jun","Jul","Ogo","Sep","Okt","Nov","Dis")&amp;" "&amp;YEAR(T224),IF(J224="E",IF(INDEX(Transaksi!$B$2:$B$2001,K224)="",INDEX(Transaksi!$C$2:$C$2001,K224)&amp;" · "&amp;INDEX(Transaksi!$D$2:$D$2001,K224),INDEX(Transaksi!$B$2:$B$2001,K224)),""))</f>
        <v/>
      </c>
      <c r="C224" s="32">
        <f>IF(J224="E",INDEX(Transaksi!$C$2:$C$2001,K224)&amp;"","")</f>
        <v/>
      </c>
      <c r="D224" s="32">
        <f>IF(J224="E",INDEX(Transaksi!$D$2:$D$2001,K224)&amp;"","")</f>
        <v/>
      </c>
      <c r="E224" s="33">
        <f>IF(J224="H",SUMIFS(Transaksi!$G$2:$G$2001,Transaksi!$M$2:$M$2001,"="&amp;S224)+SUMIFS(Transaksi!$H$2:$H$2001,Transaksi!$M$2:$M$2001,"="&amp;S224)+SUMIFS(Transaksi!$I$2:$I$2001,Transaksi!$M$2:$M$2001,"="&amp;S224),IF(J224="E",IF(INDEX(Transaksi!$G$2:$G$2001,K224)+INDEX(Transaksi!$H$2:$H$2001,K224)+INDEX(Transaksi!$I$2:$I$2001,K224)=0,"",INDEX(Transaksi!$G$2:$G$2001,K224)+INDEX(Transaksi!$H$2:$H$2001,K224)+INDEX(Transaksi!$I$2:$I$2001,K224)),""))</f>
        <v/>
      </c>
      <c r="F224" s="33">
        <f>IF(J224="H",SUMIFS(Transaksi!$J$2:$J$2001,Transaksi!$M$2:$M$2001,"="&amp;S224),IF(J224="E",IF(INDEX(Transaksi!$J$2:$J$2001,K224)=0,"",INDEX(Transaksi!$J$2:$J$2001,K224)),""))</f>
        <v/>
      </c>
      <c r="G224" s="33">
        <f>IF(J224="H",(SUMIFS(Transaksi!$G$2:$G$2001,Transaksi!$M$2:$M$2001,"&lt;="&amp;S224)+SUMIFS(Transaksi!$H$2:$H$2001,Transaksi!$M$2:$M$2001,"&lt;="&amp;S224)+SUMIFS(Transaksi!$I$2:$I$2001,Transaksi!$M$2:$M$2001,"&lt;="&amp;S224))-(SUMIFS(Transaksi!$J$2:$J$2001,Transaksi!$M$2:$M$2001,"&lt;="&amp;S224)),"")</f>
        <v/>
      </c>
      <c r="I224">
        <f>IF(221&gt;$O$2,"",MATCH(221,$Q$3:$Q$402,1))</f>
        <v/>
      </c>
      <c r="J224">
        <f>IF(I224="","",IF(221=INDEX($Q$3:$Q$402,I224),"H","E"))</f>
        <v/>
      </c>
      <c r="K224">
        <f>IF(J224&lt;&gt;"E","",MATCH(S224,Transaksi!$M$2:$M$2001,0)+221-INDEX($Q$3:$Q$402,I224)-1)</f>
        <v/>
      </c>
      <c r="N224" t="n">
        <v>222</v>
      </c>
      <c r="O224">
        <f>IF(N224&lt;=$O$1,$O$1-N224+1,"")</f>
        <v/>
      </c>
      <c r="P224">
        <f>IF(O224="",0,COUNTIF(Transaksi!$M$2:$M$2001,O224)+1)</f>
        <v/>
      </c>
      <c r="Q224">
        <f>1+SUM(P$2:P223)</f>
        <v/>
      </c>
      <c r="S224">
        <f>IF(I224="","",INDEX($O$3:$O$402,I224))</f>
        <v/>
      </c>
      <c r="T224">
        <f>IF(J224&lt;&gt;"H","",INDEX(Transaksi!$A$2:$A$2001,MATCH(S224,Transaksi!$M$2:$M$2001,0)))</f>
        <v/>
      </c>
    </row>
    <row r="225">
      <c r="A225" s="31">
        <f>IF(J225="E",IF(INDEX(Transaksi!$J$2:$J$2001,K225)&gt;0,"↑","↓"),"")</f>
        <v/>
      </c>
      <c r="B225" s="32">
        <f>IF(J225="H",CHOOSE(WEEKDAY(T225,2),"Isnin","Selasa","Rabu","Khamis","Jumaat","Sabtu","Ahad")&amp;", "&amp;DAY(T225)&amp;" "&amp;CHOOSE(MONTH(T225),"Jan","Feb","Mac","Apr","Mei","Jun","Jul","Ogo","Sep","Okt","Nov","Dis")&amp;" "&amp;YEAR(T225),IF(J225="E",IF(INDEX(Transaksi!$B$2:$B$2001,K225)="",INDEX(Transaksi!$C$2:$C$2001,K225)&amp;" · "&amp;INDEX(Transaksi!$D$2:$D$2001,K225),INDEX(Transaksi!$B$2:$B$2001,K225)),""))</f>
        <v/>
      </c>
      <c r="C225" s="32">
        <f>IF(J225="E",INDEX(Transaksi!$C$2:$C$2001,K225)&amp;"","")</f>
        <v/>
      </c>
      <c r="D225" s="32">
        <f>IF(J225="E",INDEX(Transaksi!$D$2:$D$2001,K225)&amp;"","")</f>
        <v/>
      </c>
      <c r="E225" s="33">
        <f>IF(J225="H",SUMIFS(Transaksi!$G$2:$G$2001,Transaksi!$M$2:$M$2001,"="&amp;S225)+SUMIFS(Transaksi!$H$2:$H$2001,Transaksi!$M$2:$M$2001,"="&amp;S225)+SUMIFS(Transaksi!$I$2:$I$2001,Transaksi!$M$2:$M$2001,"="&amp;S225),IF(J225="E",IF(INDEX(Transaksi!$G$2:$G$2001,K225)+INDEX(Transaksi!$H$2:$H$2001,K225)+INDEX(Transaksi!$I$2:$I$2001,K225)=0,"",INDEX(Transaksi!$G$2:$G$2001,K225)+INDEX(Transaksi!$H$2:$H$2001,K225)+INDEX(Transaksi!$I$2:$I$2001,K225)),""))</f>
        <v/>
      </c>
      <c r="F225" s="33">
        <f>IF(J225="H",SUMIFS(Transaksi!$J$2:$J$2001,Transaksi!$M$2:$M$2001,"="&amp;S225),IF(J225="E",IF(INDEX(Transaksi!$J$2:$J$2001,K225)=0,"",INDEX(Transaksi!$J$2:$J$2001,K225)),""))</f>
        <v/>
      </c>
      <c r="G225" s="33">
        <f>IF(J225="H",(SUMIFS(Transaksi!$G$2:$G$2001,Transaksi!$M$2:$M$2001,"&lt;="&amp;S225)+SUMIFS(Transaksi!$H$2:$H$2001,Transaksi!$M$2:$M$2001,"&lt;="&amp;S225)+SUMIFS(Transaksi!$I$2:$I$2001,Transaksi!$M$2:$M$2001,"&lt;="&amp;S225))-(SUMIFS(Transaksi!$J$2:$J$2001,Transaksi!$M$2:$M$2001,"&lt;="&amp;S225)),"")</f>
        <v/>
      </c>
      <c r="I225">
        <f>IF(222&gt;$O$2,"",MATCH(222,$Q$3:$Q$402,1))</f>
        <v/>
      </c>
      <c r="J225">
        <f>IF(I225="","",IF(222=INDEX($Q$3:$Q$402,I225),"H","E"))</f>
        <v/>
      </c>
      <c r="K225">
        <f>IF(J225&lt;&gt;"E","",MATCH(S225,Transaksi!$M$2:$M$2001,0)+222-INDEX($Q$3:$Q$402,I225)-1)</f>
        <v/>
      </c>
      <c r="N225" t="n">
        <v>223</v>
      </c>
      <c r="O225">
        <f>IF(N225&lt;=$O$1,$O$1-N225+1,"")</f>
        <v/>
      </c>
      <c r="P225">
        <f>IF(O225="",0,COUNTIF(Transaksi!$M$2:$M$2001,O225)+1)</f>
        <v/>
      </c>
      <c r="Q225">
        <f>1+SUM(P$2:P224)</f>
        <v/>
      </c>
      <c r="S225">
        <f>IF(I225="","",INDEX($O$3:$O$402,I225))</f>
        <v/>
      </c>
      <c r="T225">
        <f>IF(J225&lt;&gt;"H","",INDEX(Transaksi!$A$2:$A$2001,MATCH(S225,Transaksi!$M$2:$M$2001,0)))</f>
        <v/>
      </c>
    </row>
    <row r="226">
      <c r="A226" s="31">
        <f>IF(J226="E",IF(INDEX(Transaksi!$J$2:$J$2001,K226)&gt;0,"↑","↓"),"")</f>
        <v/>
      </c>
      <c r="B226" s="32">
        <f>IF(J226="H",CHOOSE(WEEKDAY(T226,2),"Isnin","Selasa","Rabu","Khamis","Jumaat","Sabtu","Ahad")&amp;", "&amp;DAY(T226)&amp;" "&amp;CHOOSE(MONTH(T226),"Jan","Feb","Mac","Apr","Mei","Jun","Jul","Ogo","Sep","Okt","Nov","Dis")&amp;" "&amp;YEAR(T226),IF(J226="E",IF(INDEX(Transaksi!$B$2:$B$2001,K226)="",INDEX(Transaksi!$C$2:$C$2001,K226)&amp;" · "&amp;INDEX(Transaksi!$D$2:$D$2001,K226),INDEX(Transaksi!$B$2:$B$2001,K226)),""))</f>
        <v/>
      </c>
      <c r="C226" s="32">
        <f>IF(J226="E",INDEX(Transaksi!$C$2:$C$2001,K226)&amp;"","")</f>
        <v/>
      </c>
      <c r="D226" s="32">
        <f>IF(J226="E",INDEX(Transaksi!$D$2:$D$2001,K226)&amp;"","")</f>
        <v/>
      </c>
      <c r="E226" s="33">
        <f>IF(J226="H",SUMIFS(Transaksi!$G$2:$G$2001,Transaksi!$M$2:$M$2001,"="&amp;S226)+SUMIFS(Transaksi!$H$2:$H$2001,Transaksi!$M$2:$M$2001,"="&amp;S226)+SUMIFS(Transaksi!$I$2:$I$2001,Transaksi!$M$2:$M$2001,"="&amp;S226),IF(J226="E",IF(INDEX(Transaksi!$G$2:$G$2001,K226)+INDEX(Transaksi!$H$2:$H$2001,K226)+INDEX(Transaksi!$I$2:$I$2001,K226)=0,"",INDEX(Transaksi!$G$2:$G$2001,K226)+INDEX(Transaksi!$H$2:$H$2001,K226)+INDEX(Transaksi!$I$2:$I$2001,K226)),""))</f>
        <v/>
      </c>
      <c r="F226" s="33">
        <f>IF(J226="H",SUMIFS(Transaksi!$J$2:$J$2001,Transaksi!$M$2:$M$2001,"="&amp;S226),IF(J226="E",IF(INDEX(Transaksi!$J$2:$J$2001,K226)=0,"",INDEX(Transaksi!$J$2:$J$2001,K226)),""))</f>
        <v/>
      </c>
      <c r="G226" s="33">
        <f>IF(J226="H",(SUMIFS(Transaksi!$G$2:$G$2001,Transaksi!$M$2:$M$2001,"&lt;="&amp;S226)+SUMIFS(Transaksi!$H$2:$H$2001,Transaksi!$M$2:$M$2001,"&lt;="&amp;S226)+SUMIFS(Transaksi!$I$2:$I$2001,Transaksi!$M$2:$M$2001,"&lt;="&amp;S226))-(SUMIFS(Transaksi!$J$2:$J$2001,Transaksi!$M$2:$M$2001,"&lt;="&amp;S226)),"")</f>
        <v/>
      </c>
      <c r="I226">
        <f>IF(223&gt;$O$2,"",MATCH(223,$Q$3:$Q$402,1))</f>
        <v/>
      </c>
      <c r="J226">
        <f>IF(I226="","",IF(223=INDEX($Q$3:$Q$402,I226),"H","E"))</f>
        <v/>
      </c>
      <c r="K226">
        <f>IF(J226&lt;&gt;"E","",MATCH(S226,Transaksi!$M$2:$M$2001,0)+223-INDEX($Q$3:$Q$402,I226)-1)</f>
        <v/>
      </c>
      <c r="N226" t="n">
        <v>224</v>
      </c>
      <c r="O226">
        <f>IF(N226&lt;=$O$1,$O$1-N226+1,"")</f>
        <v/>
      </c>
      <c r="P226">
        <f>IF(O226="",0,COUNTIF(Transaksi!$M$2:$M$2001,O226)+1)</f>
        <v/>
      </c>
      <c r="Q226">
        <f>1+SUM(P$2:P225)</f>
        <v/>
      </c>
      <c r="S226">
        <f>IF(I226="","",INDEX($O$3:$O$402,I226))</f>
        <v/>
      </c>
      <c r="T226">
        <f>IF(J226&lt;&gt;"H","",INDEX(Transaksi!$A$2:$A$2001,MATCH(S226,Transaksi!$M$2:$M$2001,0)))</f>
        <v/>
      </c>
    </row>
    <row r="227">
      <c r="A227" s="31">
        <f>IF(J227="E",IF(INDEX(Transaksi!$J$2:$J$2001,K227)&gt;0,"↑","↓"),"")</f>
        <v/>
      </c>
      <c r="B227" s="32">
        <f>IF(J227="H",CHOOSE(WEEKDAY(T227,2),"Isnin","Selasa","Rabu","Khamis","Jumaat","Sabtu","Ahad")&amp;", "&amp;DAY(T227)&amp;" "&amp;CHOOSE(MONTH(T227),"Jan","Feb","Mac","Apr","Mei","Jun","Jul","Ogo","Sep","Okt","Nov","Dis")&amp;" "&amp;YEAR(T227),IF(J227="E",IF(INDEX(Transaksi!$B$2:$B$2001,K227)="",INDEX(Transaksi!$C$2:$C$2001,K227)&amp;" · "&amp;INDEX(Transaksi!$D$2:$D$2001,K227),INDEX(Transaksi!$B$2:$B$2001,K227)),""))</f>
        <v/>
      </c>
      <c r="C227" s="32">
        <f>IF(J227="E",INDEX(Transaksi!$C$2:$C$2001,K227)&amp;"","")</f>
        <v/>
      </c>
      <c r="D227" s="32">
        <f>IF(J227="E",INDEX(Transaksi!$D$2:$D$2001,K227)&amp;"","")</f>
        <v/>
      </c>
      <c r="E227" s="33">
        <f>IF(J227="H",SUMIFS(Transaksi!$G$2:$G$2001,Transaksi!$M$2:$M$2001,"="&amp;S227)+SUMIFS(Transaksi!$H$2:$H$2001,Transaksi!$M$2:$M$2001,"="&amp;S227)+SUMIFS(Transaksi!$I$2:$I$2001,Transaksi!$M$2:$M$2001,"="&amp;S227),IF(J227="E",IF(INDEX(Transaksi!$G$2:$G$2001,K227)+INDEX(Transaksi!$H$2:$H$2001,K227)+INDEX(Transaksi!$I$2:$I$2001,K227)=0,"",INDEX(Transaksi!$G$2:$G$2001,K227)+INDEX(Transaksi!$H$2:$H$2001,K227)+INDEX(Transaksi!$I$2:$I$2001,K227)),""))</f>
        <v/>
      </c>
      <c r="F227" s="33">
        <f>IF(J227="H",SUMIFS(Transaksi!$J$2:$J$2001,Transaksi!$M$2:$M$2001,"="&amp;S227),IF(J227="E",IF(INDEX(Transaksi!$J$2:$J$2001,K227)=0,"",INDEX(Transaksi!$J$2:$J$2001,K227)),""))</f>
        <v/>
      </c>
      <c r="G227" s="33">
        <f>IF(J227="H",(SUMIFS(Transaksi!$G$2:$G$2001,Transaksi!$M$2:$M$2001,"&lt;="&amp;S227)+SUMIFS(Transaksi!$H$2:$H$2001,Transaksi!$M$2:$M$2001,"&lt;="&amp;S227)+SUMIFS(Transaksi!$I$2:$I$2001,Transaksi!$M$2:$M$2001,"&lt;="&amp;S227))-(SUMIFS(Transaksi!$J$2:$J$2001,Transaksi!$M$2:$M$2001,"&lt;="&amp;S227)),"")</f>
        <v/>
      </c>
      <c r="I227">
        <f>IF(224&gt;$O$2,"",MATCH(224,$Q$3:$Q$402,1))</f>
        <v/>
      </c>
      <c r="J227">
        <f>IF(I227="","",IF(224=INDEX($Q$3:$Q$402,I227),"H","E"))</f>
        <v/>
      </c>
      <c r="K227">
        <f>IF(J227&lt;&gt;"E","",MATCH(S227,Transaksi!$M$2:$M$2001,0)+224-INDEX($Q$3:$Q$402,I227)-1)</f>
        <v/>
      </c>
      <c r="N227" t="n">
        <v>225</v>
      </c>
      <c r="O227">
        <f>IF(N227&lt;=$O$1,$O$1-N227+1,"")</f>
        <v/>
      </c>
      <c r="P227">
        <f>IF(O227="",0,COUNTIF(Transaksi!$M$2:$M$2001,O227)+1)</f>
        <v/>
      </c>
      <c r="Q227">
        <f>1+SUM(P$2:P226)</f>
        <v/>
      </c>
      <c r="S227">
        <f>IF(I227="","",INDEX($O$3:$O$402,I227))</f>
        <v/>
      </c>
      <c r="T227">
        <f>IF(J227&lt;&gt;"H","",INDEX(Transaksi!$A$2:$A$2001,MATCH(S227,Transaksi!$M$2:$M$2001,0)))</f>
        <v/>
      </c>
    </row>
    <row r="228">
      <c r="A228" s="31">
        <f>IF(J228="E",IF(INDEX(Transaksi!$J$2:$J$2001,K228)&gt;0,"↑","↓"),"")</f>
        <v/>
      </c>
      <c r="B228" s="32">
        <f>IF(J228="H",CHOOSE(WEEKDAY(T228,2),"Isnin","Selasa","Rabu","Khamis","Jumaat","Sabtu","Ahad")&amp;", "&amp;DAY(T228)&amp;" "&amp;CHOOSE(MONTH(T228),"Jan","Feb","Mac","Apr","Mei","Jun","Jul","Ogo","Sep","Okt","Nov","Dis")&amp;" "&amp;YEAR(T228),IF(J228="E",IF(INDEX(Transaksi!$B$2:$B$2001,K228)="",INDEX(Transaksi!$C$2:$C$2001,K228)&amp;" · "&amp;INDEX(Transaksi!$D$2:$D$2001,K228),INDEX(Transaksi!$B$2:$B$2001,K228)),""))</f>
        <v/>
      </c>
      <c r="C228" s="32">
        <f>IF(J228="E",INDEX(Transaksi!$C$2:$C$2001,K228)&amp;"","")</f>
        <v/>
      </c>
      <c r="D228" s="32">
        <f>IF(J228="E",INDEX(Transaksi!$D$2:$D$2001,K228)&amp;"","")</f>
        <v/>
      </c>
      <c r="E228" s="33">
        <f>IF(J228="H",SUMIFS(Transaksi!$G$2:$G$2001,Transaksi!$M$2:$M$2001,"="&amp;S228)+SUMIFS(Transaksi!$H$2:$H$2001,Transaksi!$M$2:$M$2001,"="&amp;S228)+SUMIFS(Transaksi!$I$2:$I$2001,Transaksi!$M$2:$M$2001,"="&amp;S228),IF(J228="E",IF(INDEX(Transaksi!$G$2:$G$2001,K228)+INDEX(Transaksi!$H$2:$H$2001,K228)+INDEX(Transaksi!$I$2:$I$2001,K228)=0,"",INDEX(Transaksi!$G$2:$G$2001,K228)+INDEX(Transaksi!$H$2:$H$2001,K228)+INDEX(Transaksi!$I$2:$I$2001,K228)),""))</f>
        <v/>
      </c>
      <c r="F228" s="33">
        <f>IF(J228="H",SUMIFS(Transaksi!$J$2:$J$2001,Transaksi!$M$2:$M$2001,"="&amp;S228),IF(J228="E",IF(INDEX(Transaksi!$J$2:$J$2001,K228)=0,"",INDEX(Transaksi!$J$2:$J$2001,K228)),""))</f>
        <v/>
      </c>
      <c r="G228" s="33">
        <f>IF(J228="H",(SUMIFS(Transaksi!$G$2:$G$2001,Transaksi!$M$2:$M$2001,"&lt;="&amp;S228)+SUMIFS(Transaksi!$H$2:$H$2001,Transaksi!$M$2:$M$2001,"&lt;="&amp;S228)+SUMIFS(Transaksi!$I$2:$I$2001,Transaksi!$M$2:$M$2001,"&lt;="&amp;S228))-(SUMIFS(Transaksi!$J$2:$J$2001,Transaksi!$M$2:$M$2001,"&lt;="&amp;S228)),"")</f>
        <v/>
      </c>
      <c r="I228">
        <f>IF(225&gt;$O$2,"",MATCH(225,$Q$3:$Q$402,1))</f>
        <v/>
      </c>
      <c r="J228">
        <f>IF(I228="","",IF(225=INDEX($Q$3:$Q$402,I228),"H","E"))</f>
        <v/>
      </c>
      <c r="K228">
        <f>IF(J228&lt;&gt;"E","",MATCH(S228,Transaksi!$M$2:$M$2001,0)+225-INDEX($Q$3:$Q$402,I228)-1)</f>
        <v/>
      </c>
      <c r="N228" t="n">
        <v>226</v>
      </c>
      <c r="O228">
        <f>IF(N228&lt;=$O$1,$O$1-N228+1,"")</f>
        <v/>
      </c>
      <c r="P228">
        <f>IF(O228="",0,COUNTIF(Transaksi!$M$2:$M$2001,O228)+1)</f>
        <v/>
      </c>
      <c r="Q228">
        <f>1+SUM(P$2:P227)</f>
        <v/>
      </c>
      <c r="S228">
        <f>IF(I228="","",INDEX($O$3:$O$402,I228))</f>
        <v/>
      </c>
      <c r="T228">
        <f>IF(J228&lt;&gt;"H","",INDEX(Transaksi!$A$2:$A$2001,MATCH(S228,Transaksi!$M$2:$M$2001,0)))</f>
        <v/>
      </c>
    </row>
    <row r="229">
      <c r="A229" s="31">
        <f>IF(J229="E",IF(INDEX(Transaksi!$J$2:$J$2001,K229)&gt;0,"↑","↓"),"")</f>
        <v/>
      </c>
      <c r="B229" s="32">
        <f>IF(J229="H",CHOOSE(WEEKDAY(T229,2),"Isnin","Selasa","Rabu","Khamis","Jumaat","Sabtu","Ahad")&amp;", "&amp;DAY(T229)&amp;" "&amp;CHOOSE(MONTH(T229),"Jan","Feb","Mac","Apr","Mei","Jun","Jul","Ogo","Sep","Okt","Nov","Dis")&amp;" "&amp;YEAR(T229),IF(J229="E",IF(INDEX(Transaksi!$B$2:$B$2001,K229)="",INDEX(Transaksi!$C$2:$C$2001,K229)&amp;" · "&amp;INDEX(Transaksi!$D$2:$D$2001,K229),INDEX(Transaksi!$B$2:$B$2001,K229)),""))</f>
        <v/>
      </c>
      <c r="C229" s="32">
        <f>IF(J229="E",INDEX(Transaksi!$C$2:$C$2001,K229)&amp;"","")</f>
        <v/>
      </c>
      <c r="D229" s="32">
        <f>IF(J229="E",INDEX(Transaksi!$D$2:$D$2001,K229)&amp;"","")</f>
        <v/>
      </c>
      <c r="E229" s="33">
        <f>IF(J229="H",SUMIFS(Transaksi!$G$2:$G$2001,Transaksi!$M$2:$M$2001,"="&amp;S229)+SUMIFS(Transaksi!$H$2:$H$2001,Transaksi!$M$2:$M$2001,"="&amp;S229)+SUMIFS(Transaksi!$I$2:$I$2001,Transaksi!$M$2:$M$2001,"="&amp;S229),IF(J229="E",IF(INDEX(Transaksi!$G$2:$G$2001,K229)+INDEX(Transaksi!$H$2:$H$2001,K229)+INDEX(Transaksi!$I$2:$I$2001,K229)=0,"",INDEX(Transaksi!$G$2:$G$2001,K229)+INDEX(Transaksi!$H$2:$H$2001,K229)+INDEX(Transaksi!$I$2:$I$2001,K229)),""))</f>
        <v/>
      </c>
      <c r="F229" s="33">
        <f>IF(J229="H",SUMIFS(Transaksi!$J$2:$J$2001,Transaksi!$M$2:$M$2001,"="&amp;S229),IF(J229="E",IF(INDEX(Transaksi!$J$2:$J$2001,K229)=0,"",INDEX(Transaksi!$J$2:$J$2001,K229)),""))</f>
        <v/>
      </c>
      <c r="G229" s="33">
        <f>IF(J229="H",(SUMIFS(Transaksi!$G$2:$G$2001,Transaksi!$M$2:$M$2001,"&lt;="&amp;S229)+SUMIFS(Transaksi!$H$2:$H$2001,Transaksi!$M$2:$M$2001,"&lt;="&amp;S229)+SUMIFS(Transaksi!$I$2:$I$2001,Transaksi!$M$2:$M$2001,"&lt;="&amp;S229))-(SUMIFS(Transaksi!$J$2:$J$2001,Transaksi!$M$2:$M$2001,"&lt;="&amp;S229)),"")</f>
        <v/>
      </c>
      <c r="I229">
        <f>IF(226&gt;$O$2,"",MATCH(226,$Q$3:$Q$402,1))</f>
        <v/>
      </c>
      <c r="J229">
        <f>IF(I229="","",IF(226=INDEX($Q$3:$Q$402,I229),"H","E"))</f>
        <v/>
      </c>
      <c r="K229">
        <f>IF(J229&lt;&gt;"E","",MATCH(S229,Transaksi!$M$2:$M$2001,0)+226-INDEX($Q$3:$Q$402,I229)-1)</f>
        <v/>
      </c>
      <c r="N229" t="n">
        <v>227</v>
      </c>
      <c r="O229">
        <f>IF(N229&lt;=$O$1,$O$1-N229+1,"")</f>
        <v/>
      </c>
      <c r="P229">
        <f>IF(O229="",0,COUNTIF(Transaksi!$M$2:$M$2001,O229)+1)</f>
        <v/>
      </c>
      <c r="Q229">
        <f>1+SUM(P$2:P228)</f>
        <v/>
      </c>
      <c r="S229">
        <f>IF(I229="","",INDEX($O$3:$O$402,I229))</f>
        <v/>
      </c>
      <c r="T229">
        <f>IF(J229&lt;&gt;"H","",INDEX(Transaksi!$A$2:$A$2001,MATCH(S229,Transaksi!$M$2:$M$2001,0)))</f>
        <v/>
      </c>
    </row>
    <row r="230">
      <c r="A230" s="31">
        <f>IF(J230="E",IF(INDEX(Transaksi!$J$2:$J$2001,K230)&gt;0,"↑","↓"),"")</f>
        <v/>
      </c>
      <c r="B230" s="32">
        <f>IF(J230="H",CHOOSE(WEEKDAY(T230,2),"Isnin","Selasa","Rabu","Khamis","Jumaat","Sabtu","Ahad")&amp;", "&amp;DAY(T230)&amp;" "&amp;CHOOSE(MONTH(T230),"Jan","Feb","Mac","Apr","Mei","Jun","Jul","Ogo","Sep","Okt","Nov","Dis")&amp;" "&amp;YEAR(T230),IF(J230="E",IF(INDEX(Transaksi!$B$2:$B$2001,K230)="",INDEX(Transaksi!$C$2:$C$2001,K230)&amp;" · "&amp;INDEX(Transaksi!$D$2:$D$2001,K230),INDEX(Transaksi!$B$2:$B$2001,K230)),""))</f>
        <v/>
      </c>
      <c r="C230" s="32">
        <f>IF(J230="E",INDEX(Transaksi!$C$2:$C$2001,K230)&amp;"","")</f>
        <v/>
      </c>
      <c r="D230" s="32">
        <f>IF(J230="E",INDEX(Transaksi!$D$2:$D$2001,K230)&amp;"","")</f>
        <v/>
      </c>
      <c r="E230" s="33">
        <f>IF(J230="H",SUMIFS(Transaksi!$G$2:$G$2001,Transaksi!$M$2:$M$2001,"="&amp;S230)+SUMIFS(Transaksi!$H$2:$H$2001,Transaksi!$M$2:$M$2001,"="&amp;S230)+SUMIFS(Transaksi!$I$2:$I$2001,Transaksi!$M$2:$M$2001,"="&amp;S230),IF(J230="E",IF(INDEX(Transaksi!$G$2:$G$2001,K230)+INDEX(Transaksi!$H$2:$H$2001,K230)+INDEX(Transaksi!$I$2:$I$2001,K230)=0,"",INDEX(Transaksi!$G$2:$G$2001,K230)+INDEX(Transaksi!$H$2:$H$2001,K230)+INDEX(Transaksi!$I$2:$I$2001,K230)),""))</f>
        <v/>
      </c>
      <c r="F230" s="33">
        <f>IF(J230="H",SUMIFS(Transaksi!$J$2:$J$2001,Transaksi!$M$2:$M$2001,"="&amp;S230),IF(J230="E",IF(INDEX(Transaksi!$J$2:$J$2001,K230)=0,"",INDEX(Transaksi!$J$2:$J$2001,K230)),""))</f>
        <v/>
      </c>
      <c r="G230" s="33">
        <f>IF(J230="H",(SUMIFS(Transaksi!$G$2:$G$2001,Transaksi!$M$2:$M$2001,"&lt;="&amp;S230)+SUMIFS(Transaksi!$H$2:$H$2001,Transaksi!$M$2:$M$2001,"&lt;="&amp;S230)+SUMIFS(Transaksi!$I$2:$I$2001,Transaksi!$M$2:$M$2001,"&lt;="&amp;S230))-(SUMIFS(Transaksi!$J$2:$J$2001,Transaksi!$M$2:$M$2001,"&lt;="&amp;S230)),"")</f>
        <v/>
      </c>
      <c r="I230">
        <f>IF(227&gt;$O$2,"",MATCH(227,$Q$3:$Q$402,1))</f>
        <v/>
      </c>
      <c r="J230">
        <f>IF(I230="","",IF(227=INDEX($Q$3:$Q$402,I230),"H","E"))</f>
        <v/>
      </c>
      <c r="K230">
        <f>IF(J230&lt;&gt;"E","",MATCH(S230,Transaksi!$M$2:$M$2001,0)+227-INDEX($Q$3:$Q$402,I230)-1)</f>
        <v/>
      </c>
      <c r="N230" t="n">
        <v>228</v>
      </c>
      <c r="O230">
        <f>IF(N230&lt;=$O$1,$O$1-N230+1,"")</f>
        <v/>
      </c>
      <c r="P230">
        <f>IF(O230="",0,COUNTIF(Transaksi!$M$2:$M$2001,O230)+1)</f>
        <v/>
      </c>
      <c r="Q230">
        <f>1+SUM(P$2:P229)</f>
        <v/>
      </c>
      <c r="S230">
        <f>IF(I230="","",INDEX($O$3:$O$402,I230))</f>
        <v/>
      </c>
      <c r="T230">
        <f>IF(J230&lt;&gt;"H","",INDEX(Transaksi!$A$2:$A$2001,MATCH(S230,Transaksi!$M$2:$M$2001,0)))</f>
        <v/>
      </c>
    </row>
    <row r="231">
      <c r="A231" s="31">
        <f>IF(J231="E",IF(INDEX(Transaksi!$J$2:$J$2001,K231)&gt;0,"↑","↓"),"")</f>
        <v/>
      </c>
      <c r="B231" s="32">
        <f>IF(J231="H",CHOOSE(WEEKDAY(T231,2),"Isnin","Selasa","Rabu","Khamis","Jumaat","Sabtu","Ahad")&amp;", "&amp;DAY(T231)&amp;" "&amp;CHOOSE(MONTH(T231),"Jan","Feb","Mac","Apr","Mei","Jun","Jul","Ogo","Sep","Okt","Nov","Dis")&amp;" "&amp;YEAR(T231),IF(J231="E",IF(INDEX(Transaksi!$B$2:$B$2001,K231)="",INDEX(Transaksi!$C$2:$C$2001,K231)&amp;" · "&amp;INDEX(Transaksi!$D$2:$D$2001,K231),INDEX(Transaksi!$B$2:$B$2001,K231)),""))</f>
        <v/>
      </c>
      <c r="C231" s="32">
        <f>IF(J231="E",INDEX(Transaksi!$C$2:$C$2001,K231)&amp;"","")</f>
        <v/>
      </c>
      <c r="D231" s="32">
        <f>IF(J231="E",INDEX(Transaksi!$D$2:$D$2001,K231)&amp;"","")</f>
        <v/>
      </c>
      <c r="E231" s="33">
        <f>IF(J231="H",SUMIFS(Transaksi!$G$2:$G$2001,Transaksi!$M$2:$M$2001,"="&amp;S231)+SUMIFS(Transaksi!$H$2:$H$2001,Transaksi!$M$2:$M$2001,"="&amp;S231)+SUMIFS(Transaksi!$I$2:$I$2001,Transaksi!$M$2:$M$2001,"="&amp;S231),IF(J231="E",IF(INDEX(Transaksi!$G$2:$G$2001,K231)+INDEX(Transaksi!$H$2:$H$2001,K231)+INDEX(Transaksi!$I$2:$I$2001,K231)=0,"",INDEX(Transaksi!$G$2:$G$2001,K231)+INDEX(Transaksi!$H$2:$H$2001,K231)+INDEX(Transaksi!$I$2:$I$2001,K231)),""))</f>
        <v/>
      </c>
      <c r="F231" s="33">
        <f>IF(J231="H",SUMIFS(Transaksi!$J$2:$J$2001,Transaksi!$M$2:$M$2001,"="&amp;S231),IF(J231="E",IF(INDEX(Transaksi!$J$2:$J$2001,K231)=0,"",INDEX(Transaksi!$J$2:$J$2001,K231)),""))</f>
        <v/>
      </c>
      <c r="G231" s="33">
        <f>IF(J231="H",(SUMIFS(Transaksi!$G$2:$G$2001,Transaksi!$M$2:$M$2001,"&lt;="&amp;S231)+SUMIFS(Transaksi!$H$2:$H$2001,Transaksi!$M$2:$M$2001,"&lt;="&amp;S231)+SUMIFS(Transaksi!$I$2:$I$2001,Transaksi!$M$2:$M$2001,"&lt;="&amp;S231))-(SUMIFS(Transaksi!$J$2:$J$2001,Transaksi!$M$2:$M$2001,"&lt;="&amp;S231)),"")</f>
        <v/>
      </c>
      <c r="I231">
        <f>IF(228&gt;$O$2,"",MATCH(228,$Q$3:$Q$402,1))</f>
        <v/>
      </c>
      <c r="J231">
        <f>IF(I231="","",IF(228=INDEX($Q$3:$Q$402,I231),"H","E"))</f>
        <v/>
      </c>
      <c r="K231">
        <f>IF(J231&lt;&gt;"E","",MATCH(S231,Transaksi!$M$2:$M$2001,0)+228-INDEX($Q$3:$Q$402,I231)-1)</f>
        <v/>
      </c>
      <c r="N231" t="n">
        <v>229</v>
      </c>
      <c r="O231">
        <f>IF(N231&lt;=$O$1,$O$1-N231+1,"")</f>
        <v/>
      </c>
      <c r="P231">
        <f>IF(O231="",0,COUNTIF(Transaksi!$M$2:$M$2001,O231)+1)</f>
        <v/>
      </c>
      <c r="Q231">
        <f>1+SUM(P$2:P230)</f>
        <v/>
      </c>
      <c r="S231">
        <f>IF(I231="","",INDEX($O$3:$O$402,I231))</f>
        <v/>
      </c>
      <c r="T231">
        <f>IF(J231&lt;&gt;"H","",INDEX(Transaksi!$A$2:$A$2001,MATCH(S231,Transaksi!$M$2:$M$2001,0)))</f>
        <v/>
      </c>
    </row>
    <row r="232">
      <c r="A232" s="31">
        <f>IF(J232="E",IF(INDEX(Transaksi!$J$2:$J$2001,K232)&gt;0,"↑","↓"),"")</f>
        <v/>
      </c>
      <c r="B232" s="32">
        <f>IF(J232="H",CHOOSE(WEEKDAY(T232,2),"Isnin","Selasa","Rabu","Khamis","Jumaat","Sabtu","Ahad")&amp;", "&amp;DAY(T232)&amp;" "&amp;CHOOSE(MONTH(T232),"Jan","Feb","Mac","Apr","Mei","Jun","Jul","Ogo","Sep","Okt","Nov","Dis")&amp;" "&amp;YEAR(T232),IF(J232="E",IF(INDEX(Transaksi!$B$2:$B$2001,K232)="",INDEX(Transaksi!$C$2:$C$2001,K232)&amp;" · "&amp;INDEX(Transaksi!$D$2:$D$2001,K232),INDEX(Transaksi!$B$2:$B$2001,K232)),""))</f>
        <v/>
      </c>
      <c r="C232" s="32">
        <f>IF(J232="E",INDEX(Transaksi!$C$2:$C$2001,K232)&amp;"","")</f>
        <v/>
      </c>
      <c r="D232" s="32">
        <f>IF(J232="E",INDEX(Transaksi!$D$2:$D$2001,K232)&amp;"","")</f>
        <v/>
      </c>
      <c r="E232" s="33">
        <f>IF(J232="H",SUMIFS(Transaksi!$G$2:$G$2001,Transaksi!$M$2:$M$2001,"="&amp;S232)+SUMIFS(Transaksi!$H$2:$H$2001,Transaksi!$M$2:$M$2001,"="&amp;S232)+SUMIFS(Transaksi!$I$2:$I$2001,Transaksi!$M$2:$M$2001,"="&amp;S232),IF(J232="E",IF(INDEX(Transaksi!$G$2:$G$2001,K232)+INDEX(Transaksi!$H$2:$H$2001,K232)+INDEX(Transaksi!$I$2:$I$2001,K232)=0,"",INDEX(Transaksi!$G$2:$G$2001,K232)+INDEX(Transaksi!$H$2:$H$2001,K232)+INDEX(Transaksi!$I$2:$I$2001,K232)),""))</f>
        <v/>
      </c>
      <c r="F232" s="33">
        <f>IF(J232="H",SUMIFS(Transaksi!$J$2:$J$2001,Transaksi!$M$2:$M$2001,"="&amp;S232),IF(J232="E",IF(INDEX(Transaksi!$J$2:$J$2001,K232)=0,"",INDEX(Transaksi!$J$2:$J$2001,K232)),""))</f>
        <v/>
      </c>
      <c r="G232" s="33">
        <f>IF(J232="H",(SUMIFS(Transaksi!$G$2:$G$2001,Transaksi!$M$2:$M$2001,"&lt;="&amp;S232)+SUMIFS(Transaksi!$H$2:$H$2001,Transaksi!$M$2:$M$2001,"&lt;="&amp;S232)+SUMIFS(Transaksi!$I$2:$I$2001,Transaksi!$M$2:$M$2001,"&lt;="&amp;S232))-(SUMIFS(Transaksi!$J$2:$J$2001,Transaksi!$M$2:$M$2001,"&lt;="&amp;S232)),"")</f>
        <v/>
      </c>
      <c r="I232">
        <f>IF(229&gt;$O$2,"",MATCH(229,$Q$3:$Q$402,1))</f>
        <v/>
      </c>
      <c r="J232">
        <f>IF(I232="","",IF(229=INDEX($Q$3:$Q$402,I232),"H","E"))</f>
        <v/>
      </c>
      <c r="K232">
        <f>IF(J232&lt;&gt;"E","",MATCH(S232,Transaksi!$M$2:$M$2001,0)+229-INDEX($Q$3:$Q$402,I232)-1)</f>
        <v/>
      </c>
      <c r="N232" t="n">
        <v>230</v>
      </c>
      <c r="O232">
        <f>IF(N232&lt;=$O$1,$O$1-N232+1,"")</f>
        <v/>
      </c>
      <c r="P232">
        <f>IF(O232="",0,COUNTIF(Transaksi!$M$2:$M$2001,O232)+1)</f>
        <v/>
      </c>
      <c r="Q232">
        <f>1+SUM(P$2:P231)</f>
        <v/>
      </c>
      <c r="S232">
        <f>IF(I232="","",INDEX($O$3:$O$402,I232))</f>
        <v/>
      </c>
      <c r="T232">
        <f>IF(J232&lt;&gt;"H","",INDEX(Transaksi!$A$2:$A$2001,MATCH(S232,Transaksi!$M$2:$M$2001,0)))</f>
        <v/>
      </c>
    </row>
    <row r="233">
      <c r="A233" s="31">
        <f>IF(J233="E",IF(INDEX(Transaksi!$J$2:$J$2001,K233)&gt;0,"↑","↓"),"")</f>
        <v/>
      </c>
      <c r="B233" s="32">
        <f>IF(J233="H",CHOOSE(WEEKDAY(T233,2),"Isnin","Selasa","Rabu","Khamis","Jumaat","Sabtu","Ahad")&amp;", "&amp;DAY(T233)&amp;" "&amp;CHOOSE(MONTH(T233),"Jan","Feb","Mac","Apr","Mei","Jun","Jul","Ogo","Sep","Okt","Nov","Dis")&amp;" "&amp;YEAR(T233),IF(J233="E",IF(INDEX(Transaksi!$B$2:$B$2001,K233)="",INDEX(Transaksi!$C$2:$C$2001,K233)&amp;" · "&amp;INDEX(Transaksi!$D$2:$D$2001,K233),INDEX(Transaksi!$B$2:$B$2001,K233)),""))</f>
        <v/>
      </c>
      <c r="C233" s="32">
        <f>IF(J233="E",INDEX(Transaksi!$C$2:$C$2001,K233)&amp;"","")</f>
        <v/>
      </c>
      <c r="D233" s="32">
        <f>IF(J233="E",INDEX(Transaksi!$D$2:$D$2001,K233)&amp;"","")</f>
        <v/>
      </c>
      <c r="E233" s="33">
        <f>IF(J233="H",SUMIFS(Transaksi!$G$2:$G$2001,Transaksi!$M$2:$M$2001,"="&amp;S233)+SUMIFS(Transaksi!$H$2:$H$2001,Transaksi!$M$2:$M$2001,"="&amp;S233)+SUMIFS(Transaksi!$I$2:$I$2001,Transaksi!$M$2:$M$2001,"="&amp;S233),IF(J233="E",IF(INDEX(Transaksi!$G$2:$G$2001,K233)+INDEX(Transaksi!$H$2:$H$2001,K233)+INDEX(Transaksi!$I$2:$I$2001,K233)=0,"",INDEX(Transaksi!$G$2:$G$2001,K233)+INDEX(Transaksi!$H$2:$H$2001,K233)+INDEX(Transaksi!$I$2:$I$2001,K233)),""))</f>
        <v/>
      </c>
      <c r="F233" s="33">
        <f>IF(J233="H",SUMIFS(Transaksi!$J$2:$J$2001,Transaksi!$M$2:$M$2001,"="&amp;S233),IF(J233="E",IF(INDEX(Transaksi!$J$2:$J$2001,K233)=0,"",INDEX(Transaksi!$J$2:$J$2001,K233)),""))</f>
        <v/>
      </c>
      <c r="G233" s="33">
        <f>IF(J233="H",(SUMIFS(Transaksi!$G$2:$G$2001,Transaksi!$M$2:$M$2001,"&lt;="&amp;S233)+SUMIFS(Transaksi!$H$2:$H$2001,Transaksi!$M$2:$M$2001,"&lt;="&amp;S233)+SUMIFS(Transaksi!$I$2:$I$2001,Transaksi!$M$2:$M$2001,"&lt;="&amp;S233))-(SUMIFS(Transaksi!$J$2:$J$2001,Transaksi!$M$2:$M$2001,"&lt;="&amp;S233)),"")</f>
        <v/>
      </c>
      <c r="I233">
        <f>IF(230&gt;$O$2,"",MATCH(230,$Q$3:$Q$402,1))</f>
        <v/>
      </c>
      <c r="J233">
        <f>IF(I233="","",IF(230=INDEX($Q$3:$Q$402,I233),"H","E"))</f>
        <v/>
      </c>
      <c r="K233">
        <f>IF(J233&lt;&gt;"E","",MATCH(S233,Transaksi!$M$2:$M$2001,0)+230-INDEX($Q$3:$Q$402,I233)-1)</f>
        <v/>
      </c>
      <c r="N233" t="n">
        <v>231</v>
      </c>
      <c r="O233">
        <f>IF(N233&lt;=$O$1,$O$1-N233+1,"")</f>
        <v/>
      </c>
      <c r="P233">
        <f>IF(O233="",0,COUNTIF(Transaksi!$M$2:$M$2001,O233)+1)</f>
        <v/>
      </c>
      <c r="Q233">
        <f>1+SUM(P$2:P232)</f>
        <v/>
      </c>
      <c r="S233">
        <f>IF(I233="","",INDEX($O$3:$O$402,I233))</f>
        <v/>
      </c>
      <c r="T233">
        <f>IF(J233&lt;&gt;"H","",INDEX(Transaksi!$A$2:$A$2001,MATCH(S233,Transaksi!$M$2:$M$2001,0)))</f>
        <v/>
      </c>
    </row>
    <row r="234">
      <c r="A234" s="31">
        <f>IF(J234="E",IF(INDEX(Transaksi!$J$2:$J$2001,K234)&gt;0,"↑","↓"),"")</f>
        <v/>
      </c>
      <c r="B234" s="32">
        <f>IF(J234="H",CHOOSE(WEEKDAY(T234,2),"Isnin","Selasa","Rabu","Khamis","Jumaat","Sabtu","Ahad")&amp;", "&amp;DAY(T234)&amp;" "&amp;CHOOSE(MONTH(T234),"Jan","Feb","Mac","Apr","Mei","Jun","Jul","Ogo","Sep","Okt","Nov","Dis")&amp;" "&amp;YEAR(T234),IF(J234="E",IF(INDEX(Transaksi!$B$2:$B$2001,K234)="",INDEX(Transaksi!$C$2:$C$2001,K234)&amp;" · "&amp;INDEX(Transaksi!$D$2:$D$2001,K234),INDEX(Transaksi!$B$2:$B$2001,K234)),""))</f>
        <v/>
      </c>
      <c r="C234" s="32">
        <f>IF(J234="E",INDEX(Transaksi!$C$2:$C$2001,K234)&amp;"","")</f>
        <v/>
      </c>
      <c r="D234" s="32">
        <f>IF(J234="E",INDEX(Transaksi!$D$2:$D$2001,K234)&amp;"","")</f>
        <v/>
      </c>
      <c r="E234" s="33">
        <f>IF(J234="H",SUMIFS(Transaksi!$G$2:$G$2001,Transaksi!$M$2:$M$2001,"="&amp;S234)+SUMIFS(Transaksi!$H$2:$H$2001,Transaksi!$M$2:$M$2001,"="&amp;S234)+SUMIFS(Transaksi!$I$2:$I$2001,Transaksi!$M$2:$M$2001,"="&amp;S234),IF(J234="E",IF(INDEX(Transaksi!$G$2:$G$2001,K234)+INDEX(Transaksi!$H$2:$H$2001,K234)+INDEX(Transaksi!$I$2:$I$2001,K234)=0,"",INDEX(Transaksi!$G$2:$G$2001,K234)+INDEX(Transaksi!$H$2:$H$2001,K234)+INDEX(Transaksi!$I$2:$I$2001,K234)),""))</f>
        <v/>
      </c>
      <c r="F234" s="33">
        <f>IF(J234="H",SUMIFS(Transaksi!$J$2:$J$2001,Transaksi!$M$2:$M$2001,"="&amp;S234),IF(J234="E",IF(INDEX(Transaksi!$J$2:$J$2001,K234)=0,"",INDEX(Transaksi!$J$2:$J$2001,K234)),""))</f>
        <v/>
      </c>
      <c r="G234" s="33">
        <f>IF(J234="H",(SUMIFS(Transaksi!$G$2:$G$2001,Transaksi!$M$2:$M$2001,"&lt;="&amp;S234)+SUMIFS(Transaksi!$H$2:$H$2001,Transaksi!$M$2:$M$2001,"&lt;="&amp;S234)+SUMIFS(Transaksi!$I$2:$I$2001,Transaksi!$M$2:$M$2001,"&lt;="&amp;S234))-(SUMIFS(Transaksi!$J$2:$J$2001,Transaksi!$M$2:$M$2001,"&lt;="&amp;S234)),"")</f>
        <v/>
      </c>
      <c r="I234">
        <f>IF(231&gt;$O$2,"",MATCH(231,$Q$3:$Q$402,1))</f>
        <v/>
      </c>
      <c r="J234">
        <f>IF(I234="","",IF(231=INDEX($Q$3:$Q$402,I234),"H","E"))</f>
        <v/>
      </c>
      <c r="K234">
        <f>IF(J234&lt;&gt;"E","",MATCH(S234,Transaksi!$M$2:$M$2001,0)+231-INDEX($Q$3:$Q$402,I234)-1)</f>
        <v/>
      </c>
      <c r="N234" t="n">
        <v>232</v>
      </c>
      <c r="O234">
        <f>IF(N234&lt;=$O$1,$O$1-N234+1,"")</f>
        <v/>
      </c>
      <c r="P234">
        <f>IF(O234="",0,COUNTIF(Transaksi!$M$2:$M$2001,O234)+1)</f>
        <v/>
      </c>
      <c r="Q234">
        <f>1+SUM(P$2:P233)</f>
        <v/>
      </c>
      <c r="S234">
        <f>IF(I234="","",INDEX($O$3:$O$402,I234))</f>
        <v/>
      </c>
      <c r="T234">
        <f>IF(J234&lt;&gt;"H","",INDEX(Transaksi!$A$2:$A$2001,MATCH(S234,Transaksi!$M$2:$M$2001,0)))</f>
        <v/>
      </c>
    </row>
    <row r="235">
      <c r="A235" s="31">
        <f>IF(J235="E",IF(INDEX(Transaksi!$J$2:$J$2001,K235)&gt;0,"↑","↓"),"")</f>
        <v/>
      </c>
      <c r="B235" s="32">
        <f>IF(J235="H",CHOOSE(WEEKDAY(T235,2),"Isnin","Selasa","Rabu","Khamis","Jumaat","Sabtu","Ahad")&amp;", "&amp;DAY(T235)&amp;" "&amp;CHOOSE(MONTH(T235),"Jan","Feb","Mac","Apr","Mei","Jun","Jul","Ogo","Sep","Okt","Nov","Dis")&amp;" "&amp;YEAR(T235),IF(J235="E",IF(INDEX(Transaksi!$B$2:$B$2001,K235)="",INDEX(Transaksi!$C$2:$C$2001,K235)&amp;" · "&amp;INDEX(Transaksi!$D$2:$D$2001,K235),INDEX(Transaksi!$B$2:$B$2001,K235)),""))</f>
        <v/>
      </c>
      <c r="C235" s="32">
        <f>IF(J235="E",INDEX(Transaksi!$C$2:$C$2001,K235)&amp;"","")</f>
        <v/>
      </c>
      <c r="D235" s="32">
        <f>IF(J235="E",INDEX(Transaksi!$D$2:$D$2001,K235)&amp;"","")</f>
        <v/>
      </c>
      <c r="E235" s="33">
        <f>IF(J235="H",SUMIFS(Transaksi!$G$2:$G$2001,Transaksi!$M$2:$M$2001,"="&amp;S235)+SUMIFS(Transaksi!$H$2:$H$2001,Transaksi!$M$2:$M$2001,"="&amp;S235)+SUMIFS(Transaksi!$I$2:$I$2001,Transaksi!$M$2:$M$2001,"="&amp;S235),IF(J235="E",IF(INDEX(Transaksi!$G$2:$G$2001,K235)+INDEX(Transaksi!$H$2:$H$2001,K235)+INDEX(Transaksi!$I$2:$I$2001,K235)=0,"",INDEX(Transaksi!$G$2:$G$2001,K235)+INDEX(Transaksi!$H$2:$H$2001,K235)+INDEX(Transaksi!$I$2:$I$2001,K235)),""))</f>
        <v/>
      </c>
      <c r="F235" s="33">
        <f>IF(J235="H",SUMIFS(Transaksi!$J$2:$J$2001,Transaksi!$M$2:$M$2001,"="&amp;S235),IF(J235="E",IF(INDEX(Transaksi!$J$2:$J$2001,K235)=0,"",INDEX(Transaksi!$J$2:$J$2001,K235)),""))</f>
        <v/>
      </c>
      <c r="G235" s="33">
        <f>IF(J235="H",(SUMIFS(Transaksi!$G$2:$G$2001,Transaksi!$M$2:$M$2001,"&lt;="&amp;S235)+SUMIFS(Transaksi!$H$2:$H$2001,Transaksi!$M$2:$M$2001,"&lt;="&amp;S235)+SUMIFS(Transaksi!$I$2:$I$2001,Transaksi!$M$2:$M$2001,"&lt;="&amp;S235))-(SUMIFS(Transaksi!$J$2:$J$2001,Transaksi!$M$2:$M$2001,"&lt;="&amp;S235)),"")</f>
        <v/>
      </c>
      <c r="I235">
        <f>IF(232&gt;$O$2,"",MATCH(232,$Q$3:$Q$402,1))</f>
        <v/>
      </c>
      <c r="J235">
        <f>IF(I235="","",IF(232=INDEX($Q$3:$Q$402,I235),"H","E"))</f>
        <v/>
      </c>
      <c r="K235">
        <f>IF(J235&lt;&gt;"E","",MATCH(S235,Transaksi!$M$2:$M$2001,0)+232-INDEX($Q$3:$Q$402,I235)-1)</f>
        <v/>
      </c>
      <c r="N235" t="n">
        <v>233</v>
      </c>
      <c r="O235">
        <f>IF(N235&lt;=$O$1,$O$1-N235+1,"")</f>
        <v/>
      </c>
      <c r="P235">
        <f>IF(O235="",0,COUNTIF(Transaksi!$M$2:$M$2001,O235)+1)</f>
        <v/>
      </c>
      <c r="Q235">
        <f>1+SUM(P$2:P234)</f>
        <v/>
      </c>
      <c r="S235">
        <f>IF(I235="","",INDEX($O$3:$O$402,I235))</f>
        <v/>
      </c>
      <c r="T235">
        <f>IF(J235&lt;&gt;"H","",INDEX(Transaksi!$A$2:$A$2001,MATCH(S235,Transaksi!$M$2:$M$2001,0)))</f>
        <v/>
      </c>
    </row>
    <row r="236">
      <c r="A236" s="31">
        <f>IF(J236="E",IF(INDEX(Transaksi!$J$2:$J$2001,K236)&gt;0,"↑","↓"),"")</f>
        <v/>
      </c>
      <c r="B236" s="32">
        <f>IF(J236="H",CHOOSE(WEEKDAY(T236,2),"Isnin","Selasa","Rabu","Khamis","Jumaat","Sabtu","Ahad")&amp;", "&amp;DAY(T236)&amp;" "&amp;CHOOSE(MONTH(T236),"Jan","Feb","Mac","Apr","Mei","Jun","Jul","Ogo","Sep","Okt","Nov","Dis")&amp;" "&amp;YEAR(T236),IF(J236="E",IF(INDEX(Transaksi!$B$2:$B$2001,K236)="",INDEX(Transaksi!$C$2:$C$2001,K236)&amp;" · "&amp;INDEX(Transaksi!$D$2:$D$2001,K236),INDEX(Transaksi!$B$2:$B$2001,K236)),""))</f>
        <v/>
      </c>
      <c r="C236" s="32">
        <f>IF(J236="E",INDEX(Transaksi!$C$2:$C$2001,K236)&amp;"","")</f>
        <v/>
      </c>
      <c r="D236" s="32">
        <f>IF(J236="E",INDEX(Transaksi!$D$2:$D$2001,K236)&amp;"","")</f>
        <v/>
      </c>
      <c r="E236" s="33">
        <f>IF(J236="H",SUMIFS(Transaksi!$G$2:$G$2001,Transaksi!$M$2:$M$2001,"="&amp;S236)+SUMIFS(Transaksi!$H$2:$H$2001,Transaksi!$M$2:$M$2001,"="&amp;S236)+SUMIFS(Transaksi!$I$2:$I$2001,Transaksi!$M$2:$M$2001,"="&amp;S236),IF(J236="E",IF(INDEX(Transaksi!$G$2:$G$2001,K236)+INDEX(Transaksi!$H$2:$H$2001,K236)+INDEX(Transaksi!$I$2:$I$2001,K236)=0,"",INDEX(Transaksi!$G$2:$G$2001,K236)+INDEX(Transaksi!$H$2:$H$2001,K236)+INDEX(Transaksi!$I$2:$I$2001,K236)),""))</f>
        <v/>
      </c>
      <c r="F236" s="33">
        <f>IF(J236="H",SUMIFS(Transaksi!$J$2:$J$2001,Transaksi!$M$2:$M$2001,"="&amp;S236),IF(J236="E",IF(INDEX(Transaksi!$J$2:$J$2001,K236)=0,"",INDEX(Transaksi!$J$2:$J$2001,K236)),""))</f>
        <v/>
      </c>
      <c r="G236" s="33">
        <f>IF(J236="H",(SUMIFS(Transaksi!$G$2:$G$2001,Transaksi!$M$2:$M$2001,"&lt;="&amp;S236)+SUMIFS(Transaksi!$H$2:$H$2001,Transaksi!$M$2:$M$2001,"&lt;="&amp;S236)+SUMIFS(Transaksi!$I$2:$I$2001,Transaksi!$M$2:$M$2001,"&lt;="&amp;S236))-(SUMIFS(Transaksi!$J$2:$J$2001,Transaksi!$M$2:$M$2001,"&lt;="&amp;S236)),"")</f>
        <v/>
      </c>
      <c r="I236">
        <f>IF(233&gt;$O$2,"",MATCH(233,$Q$3:$Q$402,1))</f>
        <v/>
      </c>
      <c r="J236">
        <f>IF(I236="","",IF(233=INDEX($Q$3:$Q$402,I236),"H","E"))</f>
        <v/>
      </c>
      <c r="K236">
        <f>IF(J236&lt;&gt;"E","",MATCH(S236,Transaksi!$M$2:$M$2001,0)+233-INDEX($Q$3:$Q$402,I236)-1)</f>
        <v/>
      </c>
      <c r="N236" t="n">
        <v>234</v>
      </c>
      <c r="O236">
        <f>IF(N236&lt;=$O$1,$O$1-N236+1,"")</f>
        <v/>
      </c>
      <c r="P236">
        <f>IF(O236="",0,COUNTIF(Transaksi!$M$2:$M$2001,O236)+1)</f>
        <v/>
      </c>
      <c r="Q236">
        <f>1+SUM(P$2:P235)</f>
        <v/>
      </c>
      <c r="S236">
        <f>IF(I236="","",INDEX($O$3:$O$402,I236))</f>
        <v/>
      </c>
      <c r="T236">
        <f>IF(J236&lt;&gt;"H","",INDEX(Transaksi!$A$2:$A$2001,MATCH(S236,Transaksi!$M$2:$M$2001,0)))</f>
        <v/>
      </c>
    </row>
    <row r="237">
      <c r="A237" s="31">
        <f>IF(J237="E",IF(INDEX(Transaksi!$J$2:$J$2001,K237)&gt;0,"↑","↓"),"")</f>
        <v/>
      </c>
      <c r="B237" s="32">
        <f>IF(J237="H",CHOOSE(WEEKDAY(T237,2),"Isnin","Selasa","Rabu","Khamis","Jumaat","Sabtu","Ahad")&amp;", "&amp;DAY(T237)&amp;" "&amp;CHOOSE(MONTH(T237),"Jan","Feb","Mac","Apr","Mei","Jun","Jul","Ogo","Sep","Okt","Nov","Dis")&amp;" "&amp;YEAR(T237),IF(J237="E",IF(INDEX(Transaksi!$B$2:$B$2001,K237)="",INDEX(Transaksi!$C$2:$C$2001,K237)&amp;" · "&amp;INDEX(Transaksi!$D$2:$D$2001,K237),INDEX(Transaksi!$B$2:$B$2001,K237)),""))</f>
        <v/>
      </c>
      <c r="C237" s="32">
        <f>IF(J237="E",INDEX(Transaksi!$C$2:$C$2001,K237)&amp;"","")</f>
        <v/>
      </c>
      <c r="D237" s="32">
        <f>IF(J237="E",INDEX(Transaksi!$D$2:$D$2001,K237)&amp;"","")</f>
        <v/>
      </c>
      <c r="E237" s="33">
        <f>IF(J237="H",SUMIFS(Transaksi!$G$2:$G$2001,Transaksi!$M$2:$M$2001,"="&amp;S237)+SUMIFS(Transaksi!$H$2:$H$2001,Transaksi!$M$2:$M$2001,"="&amp;S237)+SUMIFS(Transaksi!$I$2:$I$2001,Transaksi!$M$2:$M$2001,"="&amp;S237),IF(J237="E",IF(INDEX(Transaksi!$G$2:$G$2001,K237)+INDEX(Transaksi!$H$2:$H$2001,K237)+INDEX(Transaksi!$I$2:$I$2001,K237)=0,"",INDEX(Transaksi!$G$2:$G$2001,K237)+INDEX(Transaksi!$H$2:$H$2001,K237)+INDEX(Transaksi!$I$2:$I$2001,K237)),""))</f>
        <v/>
      </c>
      <c r="F237" s="33">
        <f>IF(J237="H",SUMIFS(Transaksi!$J$2:$J$2001,Transaksi!$M$2:$M$2001,"="&amp;S237),IF(J237="E",IF(INDEX(Transaksi!$J$2:$J$2001,K237)=0,"",INDEX(Transaksi!$J$2:$J$2001,K237)),""))</f>
        <v/>
      </c>
      <c r="G237" s="33">
        <f>IF(J237="H",(SUMIFS(Transaksi!$G$2:$G$2001,Transaksi!$M$2:$M$2001,"&lt;="&amp;S237)+SUMIFS(Transaksi!$H$2:$H$2001,Transaksi!$M$2:$M$2001,"&lt;="&amp;S237)+SUMIFS(Transaksi!$I$2:$I$2001,Transaksi!$M$2:$M$2001,"&lt;="&amp;S237))-(SUMIFS(Transaksi!$J$2:$J$2001,Transaksi!$M$2:$M$2001,"&lt;="&amp;S237)),"")</f>
        <v/>
      </c>
      <c r="I237">
        <f>IF(234&gt;$O$2,"",MATCH(234,$Q$3:$Q$402,1))</f>
        <v/>
      </c>
      <c r="J237">
        <f>IF(I237="","",IF(234=INDEX($Q$3:$Q$402,I237),"H","E"))</f>
        <v/>
      </c>
      <c r="K237">
        <f>IF(J237&lt;&gt;"E","",MATCH(S237,Transaksi!$M$2:$M$2001,0)+234-INDEX($Q$3:$Q$402,I237)-1)</f>
        <v/>
      </c>
      <c r="N237" t="n">
        <v>235</v>
      </c>
      <c r="O237">
        <f>IF(N237&lt;=$O$1,$O$1-N237+1,"")</f>
        <v/>
      </c>
      <c r="P237">
        <f>IF(O237="",0,COUNTIF(Transaksi!$M$2:$M$2001,O237)+1)</f>
        <v/>
      </c>
      <c r="Q237">
        <f>1+SUM(P$2:P236)</f>
        <v/>
      </c>
      <c r="S237">
        <f>IF(I237="","",INDEX($O$3:$O$402,I237))</f>
        <v/>
      </c>
      <c r="T237">
        <f>IF(J237&lt;&gt;"H","",INDEX(Transaksi!$A$2:$A$2001,MATCH(S237,Transaksi!$M$2:$M$2001,0)))</f>
        <v/>
      </c>
    </row>
    <row r="238">
      <c r="A238" s="31">
        <f>IF(J238="E",IF(INDEX(Transaksi!$J$2:$J$2001,K238)&gt;0,"↑","↓"),"")</f>
        <v/>
      </c>
      <c r="B238" s="32">
        <f>IF(J238="H",CHOOSE(WEEKDAY(T238,2),"Isnin","Selasa","Rabu","Khamis","Jumaat","Sabtu","Ahad")&amp;", "&amp;DAY(T238)&amp;" "&amp;CHOOSE(MONTH(T238),"Jan","Feb","Mac","Apr","Mei","Jun","Jul","Ogo","Sep","Okt","Nov","Dis")&amp;" "&amp;YEAR(T238),IF(J238="E",IF(INDEX(Transaksi!$B$2:$B$2001,K238)="",INDEX(Transaksi!$C$2:$C$2001,K238)&amp;" · "&amp;INDEX(Transaksi!$D$2:$D$2001,K238),INDEX(Transaksi!$B$2:$B$2001,K238)),""))</f>
        <v/>
      </c>
      <c r="C238" s="32">
        <f>IF(J238="E",INDEX(Transaksi!$C$2:$C$2001,K238)&amp;"","")</f>
        <v/>
      </c>
      <c r="D238" s="32">
        <f>IF(J238="E",INDEX(Transaksi!$D$2:$D$2001,K238)&amp;"","")</f>
        <v/>
      </c>
      <c r="E238" s="33">
        <f>IF(J238="H",SUMIFS(Transaksi!$G$2:$G$2001,Transaksi!$M$2:$M$2001,"="&amp;S238)+SUMIFS(Transaksi!$H$2:$H$2001,Transaksi!$M$2:$M$2001,"="&amp;S238)+SUMIFS(Transaksi!$I$2:$I$2001,Transaksi!$M$2:$M$2001,"="&amp;S238),IF(J238="E",IF(INDEX(Transaksi!$G$2:$G$2001,K238)+INDEX(Transaksi!$H$2:$H$2001,K238)+INDEX(Transaksi!$I$2:$I$2001,K238)=0,"",INDEX(Transaksi!$G$2:$G$2001,K238)+INDEX(Transaksi!$H$2:$H$2001,K238)+INDEX(Transaksi!$I$2:$I$2001,K238)),""))</f>
        <v/>
      </c>
      <c r="F238" s="33">
        <f>IF(J238="H",SUMIFS(Transaksi!$J$2:$J$2001,Transaksi!$M$2:$M$2001,"="&amp;S238),IF(J238="E",IF(INDEX(Transaksi!$J$2:$J$2001,K238)=0,"",INDEX(Transaksi!$J$2:$J$2001,K238)),""))</f>
        <v/>
      </c>
      <c r="G238" s="33">
        <f>IF(J238="H",(SUMIFS(Transaksi!$G$2:$G$2001,Transaksi!$M$2:$M$2001,"&lt;="&amp;S238)+SUMIFS(Transaksi!$H$2:$H$2001,Transaksi!$M$2:$M$2001,"&lt;="&amp;S238)+SUMIFS(Transaksi!$I$2:$I$2001,Transaksi!$M$2:$M$2001,"&lt;="&amp;S238))-(SUMIFS(Transaksi!$J$2:$J$2001,Transaksi!$M$2:$M$2001,"&lt;="&amp;S238)),"")</f>
        <v/>
      </c>
      <c r="I238">
        <f>IF(235&gt;$O$2,"",MATCH(235,$Q$3:$Q$402,1))</f>
        <v/>
      </c>
      <c r="J238">
        <f>IF(I238="","",IF(235=INDEX($Q$3:$Q$402,I238),"H","E"))</f>
        <v/>
      </c>
      <c r="K238">
        <f>IF(J238&lt;&gt;"E","",MATCH(S238,Transaksi!$M$2:$M$2001,0)+235-INDEX($Q$3:$Q$402,I238)-1)</f>
        <v/>
      </c>
      <c r="N238" t="n">
        <v>236</v>
      </c>
      <c r="O238">
        <f>IF(N238&lt;=$O$1,$O$1-N238+1,"")</f>
        <v/>
      </c>
      <c r="P238">
        <f>IF(O238="",0,COUNTIF(Transaksi!$M$2:$M$2001,O238)+1)</f>
        <v/>
      </c>
      <c r="Q238">
        <f>1+SUM(P$2:P237)</f>
        <v/>
      </c>
      <c r="S238">
        <f>IF(I238="","",INDEX($O$3:$O$402,I238))</f>
        <v/>
      </c>
      <c r="T238">
        <f>IF(J238&lt;&gt;"H","",INDEX(Transaksi!$A$2:$A$2001,MATCH(S238,Transaksi!$M$2:$M$2001,0)))</f>
        <v/>
      </c>
    </row>
    <row r="239">
      <c r="A239" s="31">
        <f>IF(J239="E",IF(INDEX(Transaksi!$J$2:$J$2001,K239)&gt;0,"↑","↓"),"")</f>
        <v/>
      </c>
      <c r="B239" s="32">
        <f>IF(J239="H",CHOOSE(WEEKDAY(T239,2),"Isnin","Selasa","Rabu","Khamis","Jumaat","Sabtu","Ahad")&amp;", "&amp;DAY(T239)&amp;" "&amp;CHOOSE(MONTH(T239),"Jan","Feb","Mac","Apr","Mei","Jun","Jul","Ogo","Sep","Okt","Nov","Dis")&amp;" "&amp;YEAR(T239),IF(J239="E",IF(INDEX(Transaksi!$B$2:$B$2001,K239)="",INDEX(Transaksi!$C$2:$C$2001,K239)&amp;" · "&amp;INDEX(Transaksi!$D$2:$D$2001,K239),INDEX(Transaksi!$B$2:$B$2001,K239)),""))</f>
        <v/>
      </c>
      <c r="C239" s="32">
        <f>IF(J239="E",INDEX(Transaksi!$C$2:$C$2001,K239)&amp;"","")</f>
        <v/>
      </c>
      <c r="D239" s="32">
        <f>IF(J239="E",INDEX(Transaksi!$D$2:$D$2001,K239)&amp;"","")</f>
        <v/>
      </c>
      <c r="E239" s="33">
        <f>IF(J239="H",SUMIFS(Transaksi!$G$2:$G$2001,Transaksi!$M$2:$M$2001,"="&amp;S239)+SUMIFS(Transaksi!$H$2:$H$2001,Transaksi!$M$2:$M$2001,"="&amp;S239)+SUMIFS(Transaksi!$I$2:$I$2001,Transaksi!$M$2:$M$2001,"="&amp;S239),IF(J239="E",IF(INDEX(Transaksi!$G$2:$G$2001,K239)+INDEX(Transaksi!$H$2:$H$2001,K239)+INDEX(Transaksi!$I$2:$I$2001,K239)=0,"",INDEX(Transaksi!$G$2:$G$2001,K239)+INDEX(Transaksi!$H$2:$H$2001,K239)+INDEX(Transaksi!$I$2:$I$2001,K239)),""))</f>
        <v/>
      </c>
      <c r="F239" s="33">
        <f>IF(J239="H",SUMIFS(Transaksi!$J$2:$J$2001,Transaksi!$M$2:$M$2001,"="&amp;S239),IF(J239="E",IF(INDEX(Transaksi!$J$2:$J$2001,K239)=0,"",INDEX(Transaksi!$J$2:$J$2001,K239)),""))</f>
        <v/>
      </c>
      <c r="G239" s="33">
        <f>IF(J239="H",(SUMIFS(Transaksi!$G$2:$G$2001,Transaksi!$M$2:$M$2001,"&lt;="&amp;S239)+SUMIFS(Transaksi!$H$2:$H$2001,Transaksi!$M$2:$M$2001,"&lt;="&amp;S239)+SUMIFS(Transaksi!$I$2:$I$2001,Transaksi!$M$2:$M$2001,"&lt;="&amp;S239))-(SUMIFS(Transaksi!$J$2:$J$2001,Transaksi!$M$2:$M$2001,"&lt;="&amp;S239)),"")</f>
        <v/>
      </c>
      <c r="I239">
        <f>IF(236&gt;$O$2,"",MATCH(236,$Q$3:$Q$402,1))</f>
        <v/>
      </c>
      <c r="J239">
        <f>IF(I239="","",IF(236=INDEX($Q$3:$Q$402,I239),"H","E"))</f>
        <v/>
      </c>
      <c r="K239">
        <f>IF(J239&lt;&gt;"E","",MATCH(S239,Transaksi!$M$2:$M$2001,0)+236-INDEX($Q$3:$Q$402,I239)-1)</f>
        <v/>
      </c>
      <c r="N239" t="n">
        <v>237</v>
      </c>
      <c r="O239">
        <f>IF(N239&lt;=$O$1,$O$1-N239+1,"")</f>
        <v/>
      </c>
      <c r="P239">
        <f>IF(O239="",0,COUNTIF(Transaksi!$M$2:$M$2001,O239)+1)</f>
        <v/>
      </c>
      <c r="Q239">
        <f>1+SUM(P$2:P238)</f>
        <v/>
      </c>
      <c r="S239">
        <f>IF(I239="","",INDEX($O$3:$O$402,I239))</f>
        <v/>
      </c>
      <c r="T239">
        <f>IF(J239&lt;&gt;"H","",INDEX(Transaksi!$A$2:$A$2001,MATCH(S239,Transaksi!$M$2:$M$2001,0)))</f>
        <v/>
      </c>
    </row>
    <row r="240">
      <c r="A240" s="31">
        <f>IF(J240="E",IF(INDEX(Transaksi!$J$2:$J$2001,K240)&gt;0,"↑","↓"),"")</f>
        <v/>
      </c>
      <c r="B240" s="32">
        <f>IF(J240="H",CHOOSE(WEEKDAY(T240,2),"Isnin","Selasa","Rabu","Khamis","Jumaat","Sabtu","Ahad")&amp;", "&amp;DAY(T240)&amp;" "&amp;CHOOSE(MONTH(T240),"Jan","Feb","Mac","Apr","Mei","Jun","Jul","Ogo","Sep","Okt","Nov","Dis")&amp;" "&amp;YEAR(T240),IF(J240="E",IF(INDEX(Transaksi!$B$2:$B$2001,K240)="",INDEX(Transaksi!$C$2:$C$2001,K240)&amp;" · "&amp;INDEX(Transaksi!$D$2:$D$2001,K240),INDEX(Transaksi!$B$2:$B$2001,K240)),""))</f>
        <v/>
      </c>
      <c r="C240" s="32">
        <f>IF(J240="E",INDEX(Transaksi!$C$2:$C$2001,K240)&amp;"","")</f>
        <v/>
      </c>
      <c r="D240" s="32">
        <f>IF(J240="E",INDEX(Transaksi!$D$2:$D$2001,K240)&amp;"","")</f>
        <v/>
      </c>
      <c r="E240" s="33">
        <f>IF(J240="H",SUMIFS(Transaksi!$G$2:$G$2001,Transaksi!$M$2:$M$2001,"="&amp;S240)+SUMIFS(Transaksi!$H$2:$H$2001,Transaksi!$M$2:$M$2001,"="&amp;S240)+SUMIFS(Transaksi!$I$2:$I$2001,Transaksi!$M$2:$M$2001,"="&amp;S240),IF(J240="E",IF(INDEX(Transaksi!$G$2:$G$2001,K240)+INDEX(Transaksi!$H$2:$H$2001,K240)+INDEX(Transaksi!$I$2:$I$2001,K240)=0,"",INDEX(Transaksi!$G$2:$G$2001,K240)+INDEX(Transaksi!$H$2:$H$2001,K240)+INDEX(Transaksi!$I$2:$I$2001,K240)),""))</f>
        <v/>
      </c>
      <c r="F240" s="33">
        <f>IF(J240="H",SUMIFS(Transaksi!$J$2:$J$2001,Transaksi!$M$2:$M$2001,"="&amp;S240),IF(J240="E",IF(INDEX(Transaksi!$J$2:$J$2001,K240)=0,"",INDEX(Transaksi!$J$2:$J$2001,K240)),""))</f>
        <v/>
      </c>
      <c r="G240" s="33">
        <f>IF(J240="H",(SUMIFS(Transaksi!$G$2:$G$2001,Transaksi!$M$2:$M$2001,"&lt;="&amp;S240)+SUMIFS(Transaksi!$H$2:$H$2001,Transaksi!$M$2:$M$2001,"&lt;="&amp;S240)+SUMIFS(Transaksi!$I$2:$I$2001,Transaksi!$M$2:$M$2001,"&lt;="&amp;S240))-(SUMIFS(Transaksi!$J$2:$J$2001,Transaksi!$M$2:$M$2001,"&lt;="&amp;S240)),"")</f>
        <v/>
      </c>
      <c r="I240">
        <f>IF(237&gt;$O$2,"",MATCH(237,$Q$3:$Q$402,1))</f>
        <v/>
      </c>
      <c r="J240">
        <f>IF(I240="","",IF(237=INDEX($Q$3:$Q$402,I240),"H","E"))</f>
        <v/>
      </c>
      <c r="K240">
        <f>IF(J240&lt;&gt;"E","",MATCH(S240,Transaksi!$M$2:$M$2001,0)+237-INDEX($Q$3:$Q$402,I240)-1)</f>
        <v/>
      </c>
      <c r="N240" t="n">
        <v>238</v>
      </c>
      <c r="O240">
        <f>IF(N240&lt;=$O$1,$O$1-N240+1,"")</f>
        <v/>
      </c>
      <c r="P240">
        <f>IF(O240="",0,COUNTIF(Transaksi!$M$2:$M$2001,O240)+1)</f>
        <v/>
      </c>
      <c r="Q240">
        <f>1+SUM(P$2:P239)</f>
        <v/>
      </c>
      <c r="S240">
        <f>IF(I240="","",INDEX($O$3:$O$402,I240))</f>
        <v/>
      </c>
      <c r="T240">
        <f>IF(J240&lt;&gt;"H","",INDEX(Transaksi!$A$2:$A$2001,MATCH(S240,Transaksi!$M$2:$M$2001,0)))</f>
        <v/>
      </c>
    </row>
    <row r="241">
      <c r="A241" s="31">
        <f>IF(J241="E",IF(INDEX(Transaksi!$J$2:$J$2001,K241)&gt;0,"↑","↓"),"")</f>
        <v/>
      </c>
      <c r="B241" s="32">
        <f>IF(J241="H",CHOOSE(WEEKDAY(T241,2),"Isnin","Selasa","Rabu","Khamis","Jumaat","Sabtu","Ahad")&amp;", "&amp;DAY(T241)&amp;" "&amp;CHOOSE(MONTH(T241),"Jan","Feb","Mac","Apr","Mei","Jun","Jul","Ogo","Sep","Okt","Nov","Dis")&amp;" "&amp;YEAR(T241),IF(J241="E",IF(INDEX(Transaksi!$B$2:$B$2001,K241)="",INDEX(Transaksi!$C$2:$C$2001,K241)&amp;" · "&amp;INDEX(Transaksi!$D$2:$D$2001,K241),INDEX(Transaksi!$B$2:$B$2001,K241)),""))</f>
        <v/>
      </c>
      <c r="C241" s="32">
        <f>IF(J241="E",INDEX(Transaksi!$C$2:$C$2001,K241)&amp;"","")</f>
        <v/>
      </c>
      <c r="D241" s="32">
        <f>IF(J241="E",INDEX(Transaksi!$D$2:$D$2001,K241)&amp;"","")</f>
        <v/>
      </c>
      <c r="E241" s="33">
        <f>IF(J241="H",SUMIFS(Transaksi!$G$2:$G$2001,Transaksi!$M$2:$M$2001,"="&amp;S241)+SUMIFS(Transaksi!$H$2:$H$2001,Transaksi!$M$2:$M$2001,"="&amp;S241)+SUMIFS(Transaksi!$I$2:$I$2001,Transaksi!$M$2:$M$2001,"="&amp;S241),IF(J241="E",IF(INDEX(Transaksi!$G$2:$G$2001,K241)+INDEX(Transaksi!$H$2:$H$2001,K241)+INDEX(Transaksi!$I$2:$I$2001,K241)=0,"",INDEX(Transaksi!$G$2:$G$2001,K241)+INDEX(Transaksi!$H$2:$H$2001,K241)+INDEX(Transaksi!$I$2:$I$2001,K241)),""))</f>
        <v/>
      </c>
      <c r="F241" s="33">
        <f>IF(J241="H",SUMIFS(Transaksi!$J$2:$J$2001,Transaksi!$M$2:$M$2001,"="&amp;S241),IF(J241="E",IF(INDEX(Transaksi!$J$2:$J$2001,K241)=0,"",INDEX(Transaksi!$J$2:$J$2001,K241)),""))</f>
        <v/>
      </c>
      <c r="G241" s="33">
        <f>IF(J241="H",(SUMIFS(Transaksi!$G$2:$G$2001,Transaksi!$M$2:$M$2001,"&lt;="&amp;S241)+SUMIFS(Transaksi!$H$2:$H$2001,Transaksi!$M$2:$M$2001,"&lt;="&amp;S241)+SUMIFS(Transaksi!$I$2:$I$2001,Transaksi!$M$2:$M$2001,"&lt;="&amp;S241))-(SUMIFS(Transaksi!$J$2:$J$2001,Transaksi!$M$2:$M$2001,"&lt;="&amp;S241)),"")</f>
        <v/>
      </c>
      <c r="I241">
        <f>IF(238&gt;$O$2,"",MATCH(238,$Q$3:$Q$402,1))</f>
        <v/>
      </c>
      <c r="J241">
        <f>IF(I241="","",IF(238=INDEX($Q$3:$Q$402,I241),"H","E"))</f>
        <v/>
      </c>
      <c r="K241">
        <f>IF(J241&lt;&gt;"E","",MATCH(S241,Transaksi!$M$2:$M$2001,0)+238-INDEX($Q$3:$Q$402,I241)-1)</f>
        <v/>
      </c>
      <c r="N241" t="n">
        <v>239</v>
      </c>
      <c r="O241">
        <f>IF(N241&lt;=$O$1,$O$1-N241+1,"")</f>
        <v/>
      </c>
      <c r="P241">
        <f>IF(O241="",0,COUNTIF(Transaksi!$M$2:$M$2001,O241)+1)</f>
        <v/>
      </c>
      <c r="Q241">
        <f>1+SUM(P$2:P240)</f>
        <v/>
      </c>
      <c r="S241">
        <f>IF(I241="","",INDEX($O$3:$O$402,I241))</f>
        <v/>
      </c>
      <c r="T241">
        <f>IF(J241&lt;&gt;"H","",INDEX(Transaksi!$A$2:$A$2001,MATCH(S241,Transaksi!$M$2:$M$2001,0)))</f>
        <v/>
      </c>
    </row>
    <row r="242">
      <c r="A242" s="31">
        <f>IF(J242="E",IF(INDEX(Transaksi!$J$2:$J$2001,K242)&gt;0,"↑","↓"),"")</f>
        <v/>
      </c>
      <c r="B242" s="32">
        <f>IF(J242="H",CHOOSE(WEEKDAY(T242,2),"Isnin","Selasa","Rabu","Khamis","Jumaat","Sabtu","Ahad")&amp;", "&amp;DAY(T242)&amp;" "&amp;CHOOSE(MONTH(T242),"Jan","Feb","Mac","Apr","Mei","Jun","Jul","Ogo","Sep","Okt","Nov","Dis")&amp;" "&amp;YEAR(T242),IF(J242="E",IF(INDEX(Transaksi!$B$2:$B$2001,K242)="",INDEX(Transaksi!$C$2:$C$2001,K242)&amp;" · "&amp;INDEX(Transaksi!$D$2:$D$2001,K242),INDEX(Transaksi!$B$2:$B$2001,K242)),""))</f>
        <v/>
      </c>
      <c r="C242" s="32">
        <f>IF(J242="E",INDEX(Transaksi!$C$2:$C$2001,K242)&amp;"","")</f>
        <v/>
      </c>
      <c r="D242" s="32">
        <f>IF(J242="E",INDEX(Transaksi!$D$2:$D$2001,K242)&amp;"","")</f>
        <v/>
      </c>
      <c r="E242" s="33">
        <f>IF(J242="H",SUMIFS(Transaksi!$G$2:$G$2001,Transaksi!$M$2:$M$2001,"="&amp;S242)+SUMIFS(Transaksi!$H$2:$H$2001,Transaksi!$M$2:$M$2001,"="&amp;S242)+SUMIFS(Transaksi!$I$2:$I$2001,Transaksi!$M$2:$M$2001,"="&amp;S242),IF(J242="E",IF(INDEX(Transaksi!$G$2:$G$2001,K242)+INDEX(Transaksi!$H$2:$H$2001,K242)+INDEX(Transaksi!$I$2:$I$2001,K242)=0,"",INDEX(Transaksi!$G$2:$G$2001,K242)+INDEX(Transaksi!$H$2:$H$2001,K242)+INDEX(Transaksi!$I$2:$I$2001,K242)),""))</f>
        <v/>
      </c>
      <c r="F242" s="33">
        <f>IF(J242="H",SUMIFS(Transaksi!$J$2:$J$2001,Transaksi!$M$2:$M$2001,"="&amp;S242),IF(J242="E",IF(INDEX(Transaksi!$J$2:$J$2001,K242)=0,"",INDEX(Transaksi!$J$2:$J$2001,K242)),""))</f>
        <v/>
      </c>
      <c r="G242" s="33">
        <f>IF(J242="H",(SUMIFS(Transaksi!$G$2:$G$2001,Transaksi!$M$2:$M$2001,"&lt;="&amp;S242)+SUMIFS(Transaksi!$H$2:$H$2001,Transaksi!$M$2:$M$2001,"&lt;="&amp;S242)+SUMIFS(Transaksi!$I$2:$I$2001,Transaksi!$M$2:$M$2001,"&lt;="&amp;S242))-(SUMIFS(Transaksi!$J$2:$J$2001,Transaksi!$M$2:$M$2001,"&lt;="&amp;S242)),"")</f>
        <v/>
      </c>
      <c r="I242">
        <f>IF(239&gt;$O$2,"",MATCH(239,$Q$3:$Q$402,1))</f>
        <v/>
      </c>
      <c r="J242">
        <f>IF(I242="","",IF(239=INDEX($Q$3:$Q$402,I242),"H","E"))</f>
        <v/>
      </c>
      <c r="K242">
        <f>IF(J242&lt;&gt;"E","",MATCH(S242,Transaksi!$M$2:$M$2001,0)+239-INDEX($Q$3:$Q$402,I242)-1)</f>
        <v/>
      </c>
      <c r="N242" t="n">
        <v>240</v>
      </c>
      <c r="O242">
        <f>IF(N242&lt;=$O$1,$O$1-N242+1,"")</f>
        <v/>
      </c>
      <c r="P242">
        <f>IF(O242="",0,COUNTIF(Transaksi!$M$2:$M$2001,O242)+1)</f>
        <v/>
      </c>
      <c r="Q242">
        <f>1+SUM(P$2:P241)</f>
        <v/>
      </c>
      <c r="S242">
        <f>IF(I242="","",INDEX($O$3:$O$402,I242))</f>
        <v/>
      </c>
      <c r="T242">
        <f>IF(J242&lt;&gt;"H","",INDEX(Transaksi!$A$2:$A$2001,MATCH(S242,Transaksi!$M$2:$M$2001,0)))</f>
        <v/>
      </c>
    </row>
    <row r="243">
      <c r="A243" s="31">
        <f>IF(J243="E",IF(INDEX(Transaksi!$J$2:$J$2001,K243)&gt;0,"↑","↓"),"")</f>
        <v/>
      </c>
      <c r="B243" s="32">
        <f>IF(J243="H",CHOOSE(WEEKDAY(T243,2),"Isnin","Selasa","Rabu","Khamis","Jumaat","Sabtu","Ahad")&amp;", "&amp;DAY(T243)&amp;" "&amp;CHOOSE(MONTH(T243),"Jan","Feb","Mac","Apr","Mei","Jun","Jul","Ogo","Sep","Okt","Nov","Dis")&amp;" "&amp;YEAR(T243),IF(J243="E",IF(INDEX(Transaksi!$B$2:$B$2001,K243)="",INDEX(Transaksi!$C$2:$C$2001,K243)&amp;" · "&amp;INDEX(Transaksi!$D$2:$D$2001,K243),INDEX(Transaksi!$B$2:$B$2001,K243)),""))</f>
        <v/>
      </c>
      <c r="C243" s="32">
        <f>IF(J243="E",INDEX(Transaksi!$C$2:$C$2001,K243)&amp;"","")</f>
        <v/>
      </c>
      <c r="D243" s="32">
        <f>IF(J243="E",INDEX(Transaksi!$D$2:$D$2001,K243)&amp;"","")</f>
        <v/>
      </c>
      <c r="E243" s="33">
        <f>IF(J243="H",SUMIFS(Transaksi!$G$2:$G$2001,Transaksi!$M$2:$M$2001,"="&amp;S243)+SUMIFS(Transaksi!$H$2:$H$2001,Transaksi!$M$2:$M$2001,"="&amp;S243)+SUMIFS(Transaksi!$I$2:$I$2001,Transaksi!$M$2:$M$2001,"="&amp;S243),IF(J243="E",IF(INDEX(Transaksi!$G$2:$G$2001,K243)+INDEX(Transaksi!$H$2:$H$2001,K243)+INDEX(Transaksi!$I$2:$I$2001,K243)=0,"",INDEX(Transaksi!$G$2:$G$2001,K243)+INDEX(Transaksi!$H$2:$H$2001,K243)+INDEX(Transaksi!$I$2:$I$2001,K243)),""))</f>
        <v/>
      </c>
      <c r="F243" s="33">
        <f>IF(J243="H",SUMIFS(Transaksi!$J$2:$J$2001,Transaksi!$M$2:$M$2001,"="&amp;S243),IF(J243="E",IF(INDEX(Transaksi!$J$2:$J$2001,K243)=0,"",INDEX(Transaksi!$J$2:$J$2001,K243)),""))</f>
        <v/>
      </c>
      <c r="G243" s="33">
        <f>IF(J243="H",(SUMIFS(Transaksi!$G$2:$G$2001,Transaksi!$M$2:$M$2001,"&lt;="&amp;S243)+SUMIFS(Transaksi!$H$2:$H$2001,Transaksi!$M$2:$M$2001,"&lt;="&amp;S243)+SUMIFS(Transaksi!$I$2:$I$2001,Transaksi!$M$2:$M$2001,"&lt;="&amp;S243))-(SUMIFS(Transaksi!$J$2:$J$2001,Transaksi!$M$2:$M$2001,"&lt;="&amp;S243)),"")</f>
        <v/>
      </c>
      <c r="I243">
        <f>IF(240&gt;$O$2,"",MATCH(240,$Q$3:$Q$402,1))</f>
        <v/>
      </c>
      <c r="J243">
        <f>IF(I243="","",IF(240=INDEX($Q$3:$Q$402,I243),"H","E"))</f>
        <v/>
      </c>
      <c r="K243">
        <f>IF(J243&lt;&gt;"E","",MATCH(S243,Transaksi!$M$2:$M$2001,0)+240-INDEX($Q$3:$Q$402,I243)-1)</f>
        <v/>
      </c>
      <c r="N243" t="n">
        <v>241</v>
      </c>
      <c r="O243">
        <f>IF(N243&lt;=$O$1,$O$1-N243+1,"")</f>
        <v/>
      </c>
      <c r="P243">
        <f>IF(O243="",0,COUNTIF(Transaksi!$M$2:$M$2001,O243)+1)</f>
        <v/>
      </c>
      <c r="Q243">
        <f>1+SUM(P$2:P242)</f>
        <v/>
      </c>
      <c r="S243">
        <f>IF(I243="","",INDEX($O$3:$O$402,I243))</f>
        <v/>
      </c>
      <c r="T243">
        <f>IF(J243&lt;&gt;"H","",INDEX(Transaksi!$A$2:$A$2001,MATCH(S243,Transaksi!$M$2:$M$2001,0)))</f>
        <v/>
      </c>
    </row>
    <row r="244">
      <c r="A244" s="31">
        <f>IF(J244="E",IF(INDEX(Transaksi!$J$2:$J$2001,K244)&gt;0,"↑","↓"),"")</f>
        <v/>
      </c>
      <c r="B244" s="32">
        <f>IF(J244="H",CHOOSE(WEEKDAY(T244,2),"Isnin","Selasa","Rabu","Khamis","Jumaat","Sabtu","Ahad")&amp;", "&amp;DAY(T244)&amp;" "&amp;CHOOSE(MONTH(T244),"Jan","Feb","Mac","Apr","Mei","Jun","Jul","Ogo","Sep","Okt","Nov","Dis")&amp;" "&amp;YEAR(T244),IF(J244="E",IF(INDEX(Transaksi!$B$2:$B$2001,K244)="",INDEX(Transaksi!$C$2:$C$2001,K244)&amp;" · "&amp;INDEX(Transaksi!$D$2:$D$2001,K244),INDEX(Transaksi!$B$2:$B$2001,K244)),""))</f>
        <v/>
      </c>
      <c r="C244" s="32">
        <f>IF(J244="E",INDEX(Transaksi!$C$2:$C$2001,K244)&amp;"","")</f>
        <v/>
      </c>
      <c r="D244" s="32">
        <f>IF(J244="E",INDEX(Transaksi!$D$2:$D$2001,K244)&amp;"","")</f>
        <v/>
      </c>
      <c r="E244" s="33">
        <f>IF(J244="H",SUMIFS(Transaksi!$G$2:$G$2001,Transaksi!$M$2:$M$2001,"="&amp;S244)+SUMIFS(Transaksi!$H$2:$H$2001,Transaksi!$M$2:$M$2001,"="&amp;S244)+SUMIFS(Transaksi!$I$2:$I$2001,Transaksi!$M$2:$M$2001,"="&amp;S244),IF(J244="E",IF(INDEX(Transaksi!$G$2:$G$2001,K244)+INDEX(Transaksi!$H$2:$H$2001,K244)+INDEX(Transaksi!$I$2:$I$2001,K244)=0,"",INDEX(Transaksi!$G$2:$G$2001,K244)+INDEX(Transaksi!$H$2:$H$2001,K244)+INDEX(Transaksi!$I$2:$I$2001,K244)),""))</f>
        <v/>
      </c>
      <c r="F244" s="33">
        <f>IF(J244="H",SUMIFS(Transaksi!$J$2:$J$2001,Transaksi!$M$2:$M$2001,"="&amp;S244),IF(J244="E",IF(INDEX(Transaksi!$J$2:$J$2001,K244)=0,"",INDEX(Transaksi!$J$2:$J$2001,K244)),""))</f>
        <v/>
      </c>
      <c r="G244" s="33">
        <f>IF(J244="H",(SUMIFS(Transaksi!$G$2:$G$2001,Transaksi!$M$2:$M$2001,"&lt;="&amp;S244)+SUMIFS(Transaksi!$H$2:$H$2001,Transaksi!$M$2:$M$2001,"&lt;="&amp;S244)+SUMIFS(Transaksi!$I$2:$I$2001,Transaksi!$M$2:$M$2001,"&lt;="&amp;S244))-(SUMIFS(Transaksi!$J$2:$J$2001,Transaksi!$M$2:$M$2001,"&lt;="&amp;S244)),"")</f>
        <v/>
      </c>
      <c r="I244">
        <f>IF(241&gt;$O$2,"",MATCH(241,$Q$3:$Q$402,1))</f>
        <v/>
      </c>
      <c r="J244">
        <f>IF(I244="","",IF(241=INDEX($Q$3:$Q$402,I244),"H","E"))</f>
        <v/>
      </c>
      <c r="K244">
        <f>IF(J244&lt;&gt;"E","",MATCH(S244,Transaksi!$M$2:$M$2001,0)+241-INDEX($Q$3:$Q$402,I244)-1)</f>
        <v/>
      </c>
      <c r="N244" t="n">
        <v>242</v>
      </c>
      <c r="O244">
        <f>IF(N244&lt;=$O$1,$O$1-N244+1,"")</f>
        <v/>
      </c>
      <c r="P244">
        <f>IF(O244="",0,COUNTIF(Transaksi!$M$2:$M$2001,O244)+1)</f>
        <v/>
      </c>
      <c r="Q244">
        <f>1+SUM(P$2:P243)</f>
        <v/>
      </c>
      <c r="S244">
        <f>IF(I244="","",INDEX($O$3:$O$402,I244))</f>
        <v/>
      </c>
      <c r="T244">
        <f>IF(J244&lt;&gt;"H","",INDEX(Transaksi!$A$2:$A$2001,MATCH(S244,Transaksi!$M$2:$M$2001,0)))</f>
        <v/>
      </c>
    </row>
    <row r="245">
      <c r="A245" s="31">
        <f>IF(J245="E",IF(INDEX(Transaksi!$J$2:$J$2001,K245)&gt;0,"↑","↓"),"")</f>
        <v/>
      </c>
      <c r="B245" s="32">
        <f>IF(J245="H",CHOOSE(WEEKDAY(T245,2),"Isnin","Selasa","Rabu","Khamis","Jumaat","Sabtu","Ahad")&amp;", "&amp;DAY(T245)&amp;" "&amp;CHOOSE(MONTH(T245),"Jan","Feb","Mac","Apr","Mei","Jun","Jul","Ogo","Sep","Okt","Nov","Dis")&amp;" "&amp;YEAR(T245),IF(J245="E",IF(INDEX(Transaksi!$B$2:$B$2001,K245)="",INDEX(Transaksi!$C$2:$C$2001,K245)&amp;" · "&amp;INDEX(Transaksi!$D$2:$D$2001,K245),INDEX(Transaksi!$B$2:$B$2001,K245)),""))</f>
        <v/>
      </c>
      <c r="C245" s="32">
        <f>IF(J245="E",INDEX(Transaksi!$C$2:$C$2001,K245)&amp;"","")</f>
        <v/>
      </c>
      <c r="D245" s="32">
        <f>IF(J245="E",INDEX(Transaksi!$D$2:$D$2001,K245)&amp;"","")</f>
        <v/>
      </c>
      <c r="E245" s="33">
        <f>IF(J245="H",SUMIFS(Transaksi!$G$2:$G$2001,Transaksi!$M$2:$M$2001,"="&amp;S245)+SUMIFS(Transaksi!$H$2:$H$2001,Transaksi!$M$2:$M$2001,"="&amp;S245)+SUMIFS(Transaksi!$I$2:$I$2001,Transaksi!$M$2:$M$2001,"="&amp;S245),IF(J245="E",IF(INDEX(Transaksi!$G$2:$G$2001,K245)+INDEX(Transaksi!$H$2:$H$2001,K245)+INDEX(Transaksi!$I$2:$I$2001,K245)=0,"",INDEX(Transaksi!$G$2:$G$2001,K245)+INDEX(Transaksi!$H$2:$H$2001,K245)+INDEX(Transaksi!$I$2:$I$2001,K245)),""))</f>
        <v/>
      </c>
      <c r="F245" s="33">
        <f>IF(J245="H",SUMIFS(Transaksi!$J$2:$J$2001,Transaksi!$M$2:$M$2001,"="&amp;S245),IF(J245="E",IF(INDEX(Transaksi!$J$2:$J$2001,K245)=0,"",INDEX(Transaksi!$J$2:$J$2001,K245)),""))</f>
        <v/>
      </c>
      <c r="G245" s="33">
        <f>IF(J245="H",(SUMIFS(Transaksi!$G$2:$G$2001,Transaksi!$M$2:$M$2001,"&lt;="&amp;S245)+SUMIFS(Transaksi!$H$2:$H$2001,Transaksi!$M$2:$M$2001,"&lt;="&amp;S245)+SUMIFS(Transaksi!$I$2:$I$2001,Transaksi!$M$2:$M$2001,"&lt;="&amp;S245))-(SUMIFS(Transaksi!$J$2:$J$2001,Transaksi!$M$2:$M$2001,"&lt;="&amp;S245)),"")</f>
        <v/>
      </c>
      <c r="I245">
        <f>IF(242&gt;$O$2,"",MATCH(242,$Q$3:$Q$402,1))</f>
        <v/>
      </c>
      <c r="J245">
        <f>IF(I245="","",IF(242=INDEX($Q$3:$Q$402,I245),"H","E"))</f>
        <v/>
      </c>
      <c r="K245">
        <f>IF(J245&lt;&gt;"E","",MATCH(S245,Transaksi!$M$2:$M$2001,0)+242-INDEX($Q$3:$Q$402,I245)-1)</f>
        <v/>
      </c>
      <c r="N245" t="n">
        <v>243</v>
      </c>
      <c r="O245">
        <f>IF(N245&lt;=$O$1,$O$1-N245+1,"")</f>
        <v/>
      </c>
      <c r="P245">
        <f>IF(O245="",0,COUNTIF(Transaksi!$M$2:$M$2001,O245)+1)</f>
        <v/>
      </c>
      <c r="Q245">
        <f>1+SUM(P$2:P244)</f>
        <v/>
      </c>
      <c r="S245">
        <f>IF(I245="","",INDEX($O$3:$O$402,I245))</f>
        <v/>
      </c>
      <c r="T245">
        <f>IF(J245&lt;&gt;"H","",INDEX(Transaksi!$A$2:$A$2001,MATCH(S245,Transaksi!$M$2:$M$2001,0)))</f>
        <v/>
      </c>
    </row>
    <row r="246">
      <c r="A246" s="31">
        <f>IF(J246="E",IF(INDEX(Transaksi!$J$2:$J$2001,K246)&gt;0,"↑","↓"),"")</f>
        <v/>
      </c>
      <c r="B246" s="32">
        <f>IF(J246="H",CHOOSE(WEEKDAY(T246,2),"Isnin","Selasa","Rabu","Khamis","Jumaat","Sabtu","Ahad")&amp;", "&amp;DAY(T246)&amp;" "&amp;CHOOSE(MONTH(T246),"Jan","Feb","Mac","Apr","Mei","Jun","Jul","Ogo","Sep","Okt","Nov","Dis")&amp;" "&amp;YEAR(T246),IF(J246="E",IF(INDEX(Transaksi!$B$2:$B$2001,K246)="",INDEX(Transaksi!$C$2:$C$2001,K246)&amp;" · "&amp;INDEX(Transaksi!$D$2:$D$2001,K246),INDEX(Transaksi!$B$2:$B$2001,K246)),""))</f>
        <v/>
      </c>
      <c r="C246" s="32">
        <f>IF(J246="E",INDEX(Transaksi!$C$2:$C$2001,K246)&amp;"","")</f>
        <v/>
      </c>
      <c r="D246" s="32">
        <f>IF(J246="E",INDEX(Transaksi!$D$2:$D$2001,K246)&amp;"","")</f>
        <v/>
      </c>
      <c r="E246" s="33">
        <f>IF(J246="H",SUMIFS(Transaksi!$G$2:$G$2001,Transaksi!$M$2:$M$2001,"="&amp;S246)+SUMIFS(Transaksi!$H$2:$H$2001,Transaksi!$M$2:$M$2001,"="&amp;S246)+SUMIFS(Transaksi!$I$2:$I$2001,Transaksi!$M$2:$M$2001,"="&amp;S246),IF(J246="E",IF(INDEX(Transaksi!$G$2:$G$2001,K246)+INDEX(Transaksi!$H$2:$H$2001,K246)+INDEX(Transaksi!$I$2:$I$2001,K246)=0,"",INDEX(Transaksi!$G$2:$G$2001,K246)+INDEX(Transaksi!$H$2:$H$2001,K246)+INDEX(Transaksi!$I$2:$I$2001,K246)),""))</f>
        <v/>
      </c>
      <c r="F246" s="33">
        <f>IF(J246="H",SUMIFS(Transaksi!$J$2:$J$2001,Transaksi!$M$2:$M$2001,"="&amp;S246),IF(J246="E",IF(INDEX(Transaksi!$J$2:$J$2001,K246)=0,"",INDEX(Transaksi!$J$2:$J$2001,K246)),""))</f>
        <v/>
      </c>
      <c r="G246" s="33">
        <f>IF(J246="H",(SUMIFS(Transaksi!$G$2:$G$2001,Transaksi!$M$2:$M$2001,"&lt;="&amp;S246)+SUMIFS(Transaksi!$H$2:$H$2001,Transaksi!$M$2:$M$2001,"&lt;="&amp;S246)+SUMIFS(Transaksi!$I$2:$I$2001,Transaksi!$M$2:$M$2001,"&lt;="&amp;S246))-(SUMIFS(Transaksi!$J$2:$J$2001,Transaksi!$M$2:$M$2001,"&lt;="&amp;S246)),"")</f>
        <v/>
      </c>
      <c r="I246">
        <f>IF(243&gt;$O$2,"",MATCH(243,$Q$3:$Q$402,1))</f>
        <v/>
      </c>
      <c r="J246">
        <f>IF(I246="","",IF(243=INDEX($Q$3:$Q$402,I246),"H","E"))</f>
        <v/>
      </c>
      <c r="K246">
        <f>IF(J246&lt;&gt;"E","",MATCH(S246,Transaksi!$M$2:$M$2001,0)+243-INDEX($Q$3:$Q$402,I246)-1)</f>
        <v/>
      </c>
      <c r="N246" t="n">
        <v>244</v>
      </c>
      <c r="O246">
        <f>IF(N246&lt;=$O$1,$O$1-N246+1,"")</f>
        <v/>
      </c>
      <c r="P246">
        <f>IF(O246="",0,COUNTIF(Transaksi!$M$2:$M$2001,O246)+1)</f>
        <v/>
      </c>
      <c r="Q246">
        <f>1+SUM(P$2:P245)</f>
        <v/>
      </c>
      <c r="S246">
        <f>IF(I246="","",INDEX($O$3:$O$402,I246))</f>
        <v/>
      </c>
      <c r="T246">
        <f>IF(J246&lt;&gt;"H","",INDEX(Transaksi!$A$2:$A$2001,MATCH(S246,Transaksi!$M$2:$M$2001,0)))</f>
        <v/>
      </c>
    </row>
    <row r="247">
      <c r="A247" s="31">
        <f>IF(J247="E",IF(INDEX(Transaksi!$J$2:$J$2001,K247)&gt;0,"↑","↓"),"")</f>
        <v/>
      </c>
      <c r="B247" s="32">
        <f>IF(J247="H",CHOOSE(WEEKDAY(T247,2),"Isnin","Selasa","Rabu","Khamis","Jumaat","Sabtu","Ahad")&amp;", "&amp;DAY(T247)&amp;" "&amp;CHOOSE(MONTH(T247),"Jan","Feb","Mac","Apr","Mei","Jun","Jul","Ogo","Sep","Okt","Nov","Dis")&amp;" "&amp;YEAR(T247),IF(J247="E",IF(INDEX(Transaksi!$B$2:$B$2001,K247)="",INDEX(Transaksi!$C$2:$C$2001,K247)&amp;" · "&amp;INDEX(Transaksi!$D$2:$D$2001,K247),INDEX(Transaksi!$B$2:$B$2001,K247)),""))</f>
        <v/>
      </c>
      <c r="C247" s="32">
        <f>IF(J247="E",INDEX(Transaksi!$C$2:$C$2001,K247)&amp;"","")</f>
        <v/>
      </c>
      <c r="D247" s="32">
        <f>IF(J247="E",INDEX(Transaksi!$D$2:$D$2001,K247)&amp;"","")</f>
        <v/>
      </c>
      <c r="E247" s="33">
        <f>IF(J247="H",SUMIFS(Transaksi!$G$2:$G$2001,Transaksi!$M$2:$M$2001,"="&amp;S247)+SUMIFS(Transaksi!$H$2:$H$2001,Transaksi!$M$2:$M$2001,"="&amp;S247)+SUMIFS(Transaksi!$I$2:$I$2001,Transaksi!$M$2:$M$2001,"="&amp;S247),IF(J247="E",IF(INDEX(Transaksi!$G$2:$G$2001,K247)+INDEX(Transaksi!$H$2:$H$2001,K247)+INDEX(Transaksi!$I$2:$I$2001,K247)=0,"",INDEX(Transaksi!$G$2:$G$2001,K247)+INDEX(Transaksi!$H$2:$H$2001,K247)+INDEX(Transaksi!$I$2:$I$2001,K247)),""))</f>
        <v/>
      </c>
      <c r="F247" s="33">
        <f>IF(J247="H",SUMIFS(Transaksi!$J$2:$J$2001,Transaksi!$M$2:$M$2001,"="&amp;S247),IF(J247="E",IF(INDEX(Transaksi!$J$2:$J$2001,K247)=0,"",INDEX(Transaksi!$J$2:$J$2001,K247)),""))</f>
        <v/>
      </c>
      <c r="G247" s="33">
        <f>IF(J247="H",(SUMIFS(Transaksi!$G$2:$G$2001,Transaksi!$M$2:$M$2001,"&lt;="&amp;S247)+SUMIFS(Transaksi!$H$2:$H$2001,Transaksi!$M$2:$M$2001,"&lt;="&amp;S247)+SUMIFS(Transaksi!$I$2:$I$2001,Transaksi!$M$2:$M$2001,"&lt;="&amp;S247))-(SUMIFS(Transaksi!$J$2:$J$2001,Transaksi!$M$2:$M$2001,"&lt;="&amp;S247)),"")</f>
        <v/>
      </c>
      <c r="I247">
        <f>IF(244&gt;$O$2,"",MATCH(244,$Q$3:$Q$402,1))</f>
        <v/>
      </c>
      <c r="J247">
        <f>IF(I247="","",IF(244=INDEX($Q$3:$Q$402,I247),"H","E"))</f>
        <v/>
      </c>
      <c r="K247">
        <f>IF(J247&lt;&gt;"E","",MATCH(S247,Transaksi!$M$2:$M$2001,0)+244-INDEX($Q$3:$Q$402,I247)-1)</f>
        <v/>
      </c>
      <c r="N247" t="n">
        <v>245</v>
      </c>
      <c r="O247">
        <f>IF(N247&lt;=$O$1,$O$1-N247+1,"")</f>
        <v/>
      </c>
      <c r="P247">
        <f>IF(O247="",0,COUNTIF(Transaksi!$M$2:$M$2001,O247)+1)</f>
        <v/>
      </c>
      <c r="Q247">
        <f>1+SUM(P$2:P246)</f>
        <v/>
      </c>
      <c r="S247">
        <f>IF(I247="","",INDEX($O$3:$O$402,I247))</f>
        <v/>
      </c>
      <c r="T247">
        <f>IF(J247&lt;&gt;"H","",INDEX(Transaksi!$A$2:$A$2001,MATCH(S247,Transaksi!$M$2:$M$2001,0)))</f>
        <v/>
      </c>
    </row>
    <row r="248">
      <c r="A248" s="31">
        <f>IF(J248="E",IF(INDEX(Transaksi!$J$2:$J$2001,K248)&gt;0,"↑","↓"),"")</f>
        <v/>
      </c>
      <c r="B248" s="32">
        <f>IF(J248="H",CHOOSE(WEEKDAY(T248,2),"Isnin","Selasa","Rabu","Khamis","Jumaat","Sabtu","Ahad")&amp;", "&amp;DAY(T248)&amp;" "&amp;CHOOSE(MONTH(T248),"Jan","Feb","Mac","Apr","Mei","Jun","Jul","Ogo","Sep","Okt","Nov","Dis")&amp;" "&amp;YEAR(T248),IF(J248="E",IF(INDEX(Transaksi!$B$2:$B$2001,K248)="",INDEX(Transaksi!$C$2:$C$2001,K248)&amp;" · "&amp;INDEX(Transaksi!$D$2:$D$2001,K248),INDEX(Transaksi!$B$2:$B$2001,K248)),""))</f>
        <v/>
      </c>
      <c r="C248" s="32">
        <f>IF(J248="E",INDEX(Transaksi!$C$2:$C$2001,K248)&amp;"","")</f>
        <v/>
      </c>
      <c r="D248" s="32">
        <f>IF(J248="E",INDEX(Transaksi!$D$2:$D$2001,K248)&amp;"","")</f>
        <v/>
      </c>
      <c r="E248" s="33">
        <f>IF(J248="H",SUMIFS(Transaksi!$G$2:$G$2001,Transaksi!$M$2:$M$2001,"="&amp;S248)+SUMIFS(Transaksi!$H$2:$H$2001,Transaksi!$M$2:$M$2001,"="&amp;S248)+SUMIFS(Transaksi!$I$2:$I$2001,Transaksi!$M$2:$M$2001,"="&amp;S248),IF(J248="E",IF(INDEX(Transaksi!$G$2:$G$2001,K248)+INDEX(Transaksi!$H$2:$H$2001,K248)+INDEX(Transaksi!$I$2:$I$2001,K248)=0,"",INDEX(Transaksi!$G$2:$G$2001,K248)+INDEX(Transaksi!$H$2:$H$2001,K248)+INDEX(Transaksi!$I$2:$I$2001,K248)),""))</f>
        <v/>
      </c>
      <c r="F248" s="33">
        <f>IF(J248="H",SUMIFS(Transaksi!$J$2:$J$2001,Transaksi!$M$2:$M$2001,"="&amp;S248),IF(J248="E",IF(INDEX(Transaksi!$J$2:$J$2001,K248)=0,"",INDEX(Transaksi!$J$2:$J$2001,K248)),""))</f>
        <v/>
      </c>
      <c r="G248" s="33">
        <f>IF(J248="H",(SUMIFS(Transaksi!$G$2:$G$2001,Transaksi!$M$2:$M$2001,"&lt;="&amp;S248)+SUMIFS(Transaksi!$H$2:$H$2001,Transaksi!$M$2:$M$2001,"&lt;="&amp;S248)+SUMIFS(Transaksi!$I$2:$I$2001,Transaksi!$M$2:$M$2001,"&lt;="&amp;S248))-(SUMIFS(Transaksi!$J$2:$J$2001,Transaksi!$M$2:$M$2001,"&lt;="&amp;S248)),"")</f>
        <v/>
      </c>
      <c r="I248">
        <f>IF(245&gt;$O$2,"",MATCH(245,$Q$3:$Q$402,1))</f>
        <v/>
      </c>
      <c r="J248">
        <f>IF(I248="","",IF(245=INDEX($Q$3:$Q$402,I248),"H","E"))</f>
        <v/>
      </c>
      <c r="K248">
        <f>IF(J248&lt;&gt;"E","",MATCH(S248,Transaksi!$M$2:$M$2001,0)+245-INDEX($Q$3:$Q$402,I248)-1)</f>
        <v/>
      </c>
      <c r="N248" t="n">
        <v>246</v>
      </c>
      <c r="O248">
        <f>IF(N248&lt;=$O$1,$O$1-N248+1,"")</f>
        <v/>
      </c>
      <c r="P248">
        <f>IF(O248="",0,COUNTIF(Transaksi!$M$2:$M$2001,O248)+1)</f>
        <v/>
      </c>
      <c r="Q248">
        <f>1+SUM(P$2:P247)</f>
        <v/>
      </c>
      <c r="S248">
        <f>IF(I248="","",INDEX($O$3:$O$402,I248))</f>
        <v/>
      </c>
      <c r="T248">
        <f>IF(J248&lt;&gt;"H","",INDEX(Transaksi!$A$2:$A$2001,MATCH(S248,Transaksi!$M$2:$M$2001,0)))</f>
        <v/>
      </c>
    </row>
    <row r="249">
      <c r="A249" s="31">
        <f>IF(J249="E",IF(INDEX(Transaksi!$J$2:$J$2001,K249)&gt;0,"↑","↓"),"")</f>
        <v/>
      </c>
      <c r="B249" s="32">
        <f>IF(J249="H",CHOOSE(WEEKDAY(T249,2),"Isnin","Selasa","Rabu","Khamis","Jumaat","Sabtu","Ahad")&amp;", "&amp;DAY(T249)&amp;" "&amp;CHOOSE(MONTH(T249),"Jan","Feb","Mac","Apr","Mei","Jun","Jul","Ogo","Sep","Okt","Nov","Dis")&amp;" "&amp;YEAR(T249),IF(J249="E",IF(INDEX(Transaksi!$B$2:$B$2001,K249)="",INDEX(Transaksi!$C$2:$C$2001,K249)&amp;" · "&amp;INDEX(Transaksi!$D$2:$D$2001,K249),INDEX(Transaksi!$B$2:$B$2001,K249)),""))</f>
        <v/>
      </c>
      <c r="C249" s="32">
        <f>IF(J249="E",INDEX(Transaksi!$C$2:$C$2001,K249)&amp;"","")</f>
        <v/>
      </c>
      <c r="D249" s="32">
        <f>IF(J249="E",INDEX(Transaksi!$D$2:$D$2001,K249)&amp;"","")</f>
        <v/>
      </c>
      <c r="E249" s="33">
        <f>IF(J249="H",SUMIFS(Transaksi!$G$2:$G$2001,Transaksi!$M$2:$M$2001,"="&amp;S249)+SUMIFS(Transaksi!$H$2:$H$2001,Transaksi!$M$2:$M$2001,"="&amp;S249)+SUMIFS(Transaksi!$I$2:$I$2001,Transaksi!$M$2:$M$2001,"="&amp;S249),IF(J249="E",IF(INDEX(Transaksi!$G$2:$G$2001,K249)+INDEX(Transaksi!$H$2:$H$2001,K249)+INDEX(Transaksi!$I$2:$I$2001,K249)=0,"",INDEX(Transaksi!$G$2:$G$2001,K249)+INDEX(Transaksi!$H$2:$H$2001,K249)+INDEX(Transaksi!$I$2:$I$2001,K249)),""))</f>
        <v/>
      </c>
      <c r="F249" s="33">
        <f>IF(J249="H",SUMIFS(Transaksi!$J$2:$J$2001,Transaksi!$M$2:$M$2001,"="&amp;S249),IF(J249="E",IF(INDEX(Transaksi!$J$2:$J$2001,K249)=0,"",INDEX(Transaksi!$J$2:$J$2001,K249)),""))</f>
        <v/>
      </c>
      <c r="G249" s="33">
        <f>IF(J249="H",(SUMIFS(Transaksi!$G$2:$G$2001,Transaksi!$M$2:$M$2001,"&lt;="&amp;S249)+SUMIFS(Transaksi!$H$2:$H$2001,Transaksi!$M$2:$M$2001,"&lt;="&amp;S249)+SUMIFS(Transaksi!$I$2:$I$2001,Transaksi!$M$2:$M$2001,"&lt;="&amp;S249))-(SUMIFS(Transaksi!$J$2:$J$2001,Transaksi!$M$2:$M$2001,"&lt;="&amp;S249)),"")</f>
        <v/>
      </c>
      <c r="I249">
        <f>IF(246&gt;$O$2,"",MATCH(246,$Q$3:$Q$402,1))</f>
        <v/>
      </c>
      <c r="J249">
        <f>IF(I249="","",IF(246=INDEX($Q$3:$Q$402,I249),"H","E"))</f>
        <v/>
      </c>
      <c r="K249">
        <f>IF(J249&lt;&gt;"E","",MATCH(S249,Transaksi!$M$2:$M$2001,0)+246-INDEX($Q$3:$Q$402,I249)-1)</f>
        <v/>
      </c>
      <c r="N249" t="n">
        <v>247</v>
      </c>
      <c r="O249">
        <f>IF(N249&lt;=$O$1,$O$1-N249+1,"")</f>
        <v/>
      </c>
      <c r="P249">
        <f>IF(O249="",0,COUNTIF(Transaksi!$M$2:$M$2001,O249)+1)</f>
        <v/>
      </c>
      <c r="Q249">
        <f>1+SUM(P$2:P248)</f>
        <v/>
      </c>
      <c r="S249">
        <f>IF(I249="","",INDEX($O$3:$O$402,I249))</f>
        <v/>
      </c>
      <c r="T249">
        <f>IF(J249&lt;&gt;"H","",INDEX(Transaksi!$A$2:$A$2001,MATCH(S249,Transaksi!$M$2:$M$2001,0)))</f>
        <v/>
      </c>
    </row>
    <row r="250">
      <c r="A250" s="31">
        <f>IF(J250="E",IF(INDEX(Transaksi!$J$2:$J$2001,K250)&gt;0,"↑","↓"),"")</f>
        <v/>
      </c>
      <c r="B250" s="32">
        <f>IF(J250="H",CHOOSE(WEEKDAY(T250,2),"Isnin","Selasa","Rabu","Khamis","Jumaat","Sabtu","Ahad")&amp;", "&amp;DAY(T250)&amp;" "&amp;CHOOSE(MONTH(T250),"Jan","Feb","Mac","Apr","Mei","Jun","Jul","Ogo","Sep","Okt","Nov","Dis")&amp;" "&amp;YEAR(T250),IF(J250="E",IF(INDEX(Transaksi!$B$2:$B$2001,K250)="",INDEX(Transaksi!$C$2:$C$2001,K250)&amp;" · "&amp;INDEX(Transaksi!$D$2:$D$2001,K250),INDEX(Transaksi!$B$2:$B$2001,K250)),""))</f>
        <v/>
      </c>
      <c r="C250" s="32">
        <f>IF(J250="E",INDEX(Transaksi!$C$2:$C$2001,K250)&amp;"","")</f>
        <v/>
      </c>
      <c r="D250" s="32">
        <f>IF(J250="E",INDEX(Transaksi!$D$2:$D$2001,K250)&amp;"","")</f>
        <v/>
      </c>
      <c r="E250" s="33">
        <f>IF(J250="H",SUMIFS(Transaksi!$G$2:$G$2001,Transaksi!$M$2:$M$2001,"="&amp;S250)+SUMIFS(Transaksi!$H$2:$H$2001,Transaksi!$M$2:$M$2001,"="&amp;S250)+SUMIFS(Transaksi!$I$2:$I$2001,Transaksi!$M$2:$M$2001,"="&amp;S250),IF(J250="E",IF(INDEX(Transaksi!$G$2:$G$2001,K250)+INDEX(Transaksi!$H$2:$H$2001,K250)+INDEX(Transaksi!$I$2:$I$2001,K250)=0,"",INDEX(Transaksi!$G$2:$G$2001,K250)+INDEX(Transaksi!$H$2:$H$2001,K250)+INDEX(Transaksi!$I$2:$I$2001,K250)),""))</f>
        <v/>
      </c>
      <c r="F250" s="33">
        <f>IF(J250="H",SUMIFS(Transaksi!$J$2:$J$2001,Transaksi!$M$2:$M$2001,"="&amp;S250),IF(J250="E",IF(INDEX(Transaksi!$J$2:$J$2001,K250)=0,"",INDEX(Transaksi!$J$2:$J$2001,K250)),""))</f>
        <v/>
      </c>
      <c r="G250" s="33">
        <f>IF(J250="H",(SUMIFS(Transaksi!$G$2:$G$2001,Transaksi!$M$2:$M$2001,"&lt;="&amp;S250)+SUMIFS(Transaksi!$H$2:$H$2001,Transaksi!$M$2:$M$2001,"&lt;="&amp;S250)+SUMIFS(Transaksi!$I$2:$I$2001,Transaksi!$M$2:$M$2001,"&lt;="&amp;S250))-(SUMIFS(Transaksi!$J$2:$J$2001,Transaksi!$M$2:$M$2001,"&lt;="&amp;S250)),"")</f>
        <v/>
      </c>
      <c r="I250">
        <f>IF(247&gt;$O$2,"",MATCH(247,$Q$3:$Q$402,1))</f>
        <v/>
      </c>
      <c r="J250">
        <f>IF(I250="","",IF(247=INDEX($Q$3:$Q$402,I250),"H","E"))</f>
        <v/>
      </c>
      <c r="K250">
        <f>IF(J250&lt;&gt;"E","",MATCH(S250,Transaksi!$M$2:$M$2001,0)+247-INDEX($Q$3:$Q$402,I250)-1)</f>
        <v/>
      </c>
      <c r="N250" t="n">
        <v>248</v>
      </c>
      <c r="O250">
        <f>IF(N250&lt;=$O$1,$O$1-N250+1,"")</f>
        <v/>
      </c>
      <c r="P250">
        <f>IF(O250="",0,COUNTIF(Transaksi!$M$2:$M$2001,O250)+1)</f>
        <v/>
      </c>
      <c r="Q250">
        <f>1+SUM(P$2:P249)</f>
        <v/>
      </c>
      <c r="S250">
        <f>IF(I250="","",INDEX($O$3:$O$402,I250))</f>
        <v/>
      </c>
      <c r="T250">
        <f>IF(J250&lt;&gt;"H","",INDEX(Transaksi!$A$2:$A$2001,MATCH(S250,Transaksi!$M$2:$M$2001,0)))</f>
        <v/>
      </c>
    </row>
    <row r="251">
      <c r="A251" s="31">
        <f>IF(J251="E",IF(INDEX(Transaksi!$J$2:$J$2001,K251)&gt;0,"↑","↓"),"")</f>
        <v/>
      </c>
      <c r="B251" s="32">
        <f>IF(J251="H",CHOOSE(WEEKDAY(T251,2),"Isnin","Selasa","Rabu","Khamis","Jumaat","Sabtu","Ahad")&amp;", "&amp;DAY(T251)&amp;" "&amp;CHOOSE(MONTH(T251),"Jan","Feb","Mac","Apr","Mei","Jun","Jul","Ogo","Sep","Okt","Nov","Dis")&amp;" "&amp;YEAR(T251),IF(J251="E",IF(INDEX(Transaksi!$B$2:$B$2001,K251)="",INDEX(Transaksi!$C$2:$C$2001,K251)&amp;" · "&amp;INDEX(Transaksi!$D$2:$D$2001,K251),INDEX(Transaksi!$B$2:$B$2001,K251)),""))</f>
        <v/>
      </c>
      <c r="C251" s="32">
        <f>IF(J251="E",INDEX(Transaksi!$C$2:$C$2001,K251)&amp;"","")</f>
        <v/>
      </c>
      <c r="D251" s="32">
        <f>IF(J251="E",INDEX(Transaksi!$D$2:$D$2001,K251)&amp;"","")</f>
        <v/>
      </c>
      <c r="E251" s="33">
        <f>IF(J251="H",SUMIFS(Transaksi!$G$2:$G$2001,Transaksi!$M$2:$M$2001,"="&amp;S251)+SUMIFS(Transaksi!$H$2:$H$2001,Transaksi!$M$2:$M$2001,"="&amp;S251)+SUMIFS(Transaksi!$I$2:$I$2001,Transaksi!$M$2:$M$2001,"="&amp;S251),IF(J251="E",IF(INDEX(Transaksi!$G$2:$G$2001,K251)+INDEX(Transaksi!$H$2:$H$2001,K251)+INDEX(Transaksi!$I$2:$I$2001,K251)=0,"",INDEX(Transaksi!$G$2:$G$2001,K251)+INDEX(Transaksi!$H$2:$H$2001,K251)+INDEX(Transaksi!$I$2:$I$2001,K251)),""))</f>
        <v/>
      </c>
      <c r="F251" s="33">
        <f>IF(J251="H",SUMIFS(Transaksi!$J$2:$J$2001,Transaksi!$M$2:$M$2001,"="&amp;S251),IF(J251="E",IF(INDEX(Transaksi!$J$2:$J$2001,K251)=0,"",INDEX(Transaksi!$J$2:$J$2001,K251)),""))</f>
        <v/>
      </c>
      <c r="G251" s="33">
        <f>IF(J251="H",(SUMIFS(Transaksi!$G$2:$G$2001,Transaksi!$M$2:$M$2001,"&lt;="&amp;S251)+SUMIFS(Transaksi!$H$2:$H$2001,Transaksi!$M$2:$M$2001,"&lt;="&amp;S251)+SUMIFS(Transaksi!$I$2:$I$2001,Transaksi!$M$2:$M$2001,"&lt;="&amp;S251))-(SUMIFS(Transaksi!$J$2:$J$2001,Transaksi!$M$2:$M$2001,"&lt;="&amp;S251)),"")</f>
        <v/>
      </c>
      <c r="I251">
        <f>IF(248&gt;$O$2,"",MATCH(248,$Q$3:$Q$402,1))</f>
        <v/>
      </c>
      <c r="J251">
        <f>IF(I251="","",IF(248=INDEX($Q$3:$Q$402,I251),"H","E"))</f>
        <v/>
      </c>
      <c r="K251">
        <f>IF(J251&lt;&gt;"E","",MATCH(S251,Transaksi!$M$2:$M$2001,0)+248-INDEX($Q$3:$Q$402,I251)-1)</f>
        <v/>
      </c>
      <c r="N251" t="n">
        <v>249</v>
      </c>
      <c r="O251">
        <f>IF(N251&lt;=$O$1,$O$1-N251+1,"")</f>
        <v/>
      </c>
      <c r="P251">
        <f>IF(O251="",0,COUNTIF(Transaksi!$M$2:$M$2001,O251)+1)</f>
        <v/>
      </c>
      <c r="Q251">
        <f>1+SUM(P$2:P250)</f>
        <v/>
      </c>
      <c r="S251">
        <f>IF(I251="","",INDEX($O$3:$O$402,I251))</f>
        <v/>
      </c>
      <c r="T251">
        <f>IF(J251&lt;&gt;"H","",INDEX(Transaksi!$A$2:$A$2001,MATCH(S251,Transaksi!$M$2:$M$2001,0)))</f>
        <v/>
      </c>
    </row>
    <row r="252">
      <c r="A252" s="31">
        <f>IF(J252="E",IF(INDEX(Transaksi!$J$2:$J$2001,K252)&gt;0,"↑","↓"),"")</f>
        <v/>
      </c>
      <c r="B252" s="32">
        <f>IF(J252="H",CHOOSE(WEEKDAY(T252,2),"Isnin","Selasa","Rabu","Khamis","Jumaat","Sabtu","Ahad")&amp;", "&amp;DAY(T252)&amp;" "&amp;CHOOSE(MONTH(T252),"Jan","Feb","Mac","Apr","Mei","Jun","Jul","Ogo","Sep","Okt","Nov","Dis")&amp;" "&amp;YEAR(T252),IF(J252="E",IF(INDEX(Transaksi!$B$2:$B$2001,K252)="",INDEX(Transaksi!$C$2:$C$2001,K252)&amp;" · "&amp;INDEX(Transaksi!$D$2:$D$2001,K252),INDEX(Transaksi!$B$2:$B$2001,K252)),""))</f>
        <v/>
      </c>
      <c r="C252" s="32">
        <f>IF(J252="E",INDEX(Transaksi!$C$2:$C$2001,K252)&amp;"","")</f>
        <v/>
      </c>
      <c r="D252" s="32">
        <f>IF(J252="E",INDEX(Transaksi!$D$2:$D$2001,K252)&amp;"","")</f>
        <v/>
      </c>
      <c r="E252" s="33">
        <f>IF(J252="H",SUMIFS(Transaksi!$G$2:$G$2001,Transaksi!$M$2:$M$2001,"="&amp;S252)+SUMIFS(Transaksi!$H$2:$H$2001,Transaksi!$M$2:$M$2001,"="&amp;S252)+SUMIFS(Transaksi!$I$2:$I$2001,Transaksi!$M$2:$M$2001,"="&amp;S252),IF(J252="E",IF(INDEX(Transaksi!$G$2:$G$2001,K252)+INDEX(Transaksi!$H$2:$H$2001,K252)+INDEX(Transaksi!$I$2:$I$2001,K252)=0,"",INDEX(Transaksi!$G$2:$G$2001,K252)+INDEX(Transaksi!$H$2:$H$2001,K252)+INDEX(Transaksi!$I$2:$I$2001,K252)),""))</f>
        <v/>
      </c>
      <c r="F252" s="33">
        <f>IF(J252="H",SUMIFS(Transaksi!$J$2:$J$2001,Transaksi!$M$2:$M$2001,"="&amp;S252),IF(J252="E",IF(INDEX(Transaksi!$J$2:$J$2001,K252)=0,"",INDEX(Transaksi!$J$2:$J$2001,K252)),""))</f>
        <v/>
      </c>
      <c r="G252" s="33">
        <f>IF(J252="H",(SUMIFS(Transaksi!$G$2:$G$2001,Transaksi!$M$2:$M$2001,"&lt;="&amp;S252)+SUMIFS(Transaksi!$H$2:$H$2001,Transaksi!$M$2:$M$2001,"&lt;="&amp;S252)+SUMIFS(Transaksi!$I$2:$I$2001,Transaksi!$M$2:$M$2001,"&lt;="&amp;S252))-(SUMIFS(Transaksi!$J$2:$J$2001,Transaksi!$M$2:$M$2001,"&lt;="&amp;S252)),"")</f>
        <v/>
      </c>
      <c r="I252">
        <f>IF(249&gt;$O$2,"",MATCH(249,$Q$3:$Q$402,1))</f>
        <v/>
      </c>
      <c r="J252">
        <f>IF(I252="","",IF(249=INDEX($Q$3:$Q$402,I252),"H","E"))</f>
        <v/>
      </c>
      <c r="K252">
        <f>IF(J252&lt;&gt;"E","",MATCH(S252,Transaksi!$M$2:$M$2001,0)+249-INDEX($Q$3:$Q$402,I252)-1)</f>
        <v/>
      </c>
      <c r="N252" t="n">
        <v>250</v>
      </c>
      <c r="O252">
        <f>IF(N252&lt;=$O$1,$O$1-N252+1,"")</f>
        <v/>
      </c>
      <c r="P252">
        <f>IF(O252="",0,COUNTIF(Transaksi!$M$2:$M$2001,O252)+1)</f>
        <v/>
      </c>
      <c r="Q252">
        <f>1+SUM(P$2:P251)</f>
        <v/>
      </c>
      <c r="S252">
        <f>IF(I252="","",INDEX($O$3:$O$402,I252))</f>
        <v/>
      </c>
      <c r="T252">
        <f>IF(J252&lt;&gt;"H","",INDEX(Transaksi!$A$2:$A$2001,MATCH(S252,Transaksi!$M$2:$M$2001,0)))</f>
        <v/>
      </c>
    </row>
    <row r="253">
      <c r="A253" s="31">
        <f>IF(J253="E",IF(INDEX(Transaksi!$J$2:$J$2001,K253)&gt;0,"↑","↓"),"")</f>
        <v/>
      </c>
      <c r="B253" s="32">
        <f>IF(J253="H",CHOOSE(WEEKDAY(T253,2),"Isnin","Selasa","Rabu","Khamis","Jumaat","Sabtu","Ahad")&amp;", "&amp;DAY(T253)&amp;" "&amp;CHOOSE(MONTH(T253),"Jan","Feb","Mac","Apr","Mei","Jun","Jul","Ogo","Sep","Okt","Nov","Dis")&amp;" "&amp;YEAR(T253),IF(J253="E",IF(INDEX(Transaksi!$B$2:$B$2001,K253)="",INDEX(Transaksi!$C$2:$C$2001,K253)&amp;" · "&amp;INDEX(Transaksi!$D$2:$D$2001,K253),INDEX(Transaksi!$B$2:$B$2001,K253)),""))</f>
        <v/>
      </c>
      <c r="C253" s="32">
        <f>IF(J253="E",INDEX(Transaksi!$C$2:$C$2001,K253)&amp;"","")</f>
        <v/>
      </c>
      <c r="D253" s="32">
        <f>IF(J253="E",INDEX(Transaksi!$D$2:$D$2001,K253)&amp;"","")</f>
        <v/>
      </c>
      <c r="E253" s="33">
        <f>IF(J253="H",SUMIFS(Transaksi!$G$2:$G$2001,Transaksi!$M$2:$M$2001,"="&amp;S253)+SUMIFS(Transaksi!$H$2:$H$2001,Transaksi!$M$2:$M$2001,"="&amp;S253)+SUMIFS(Transaksi!$I$2:$I$2001,Transaksi!$M$2:$M$2001,"="&amp;S253),IF(J253="E",IF(INDEX(Transaksi!$G$2:$G$2001,K253)+INDEX(Transaksi!$H$2:$H$2001,K253)+INDEX(Transaksi!$I$2:$I$2001,K253)=0,"",INDEX(Transaksi!$G$2:$G$2001,K253)+INDEX(Transaksi!$H$2:$H$2001,K253)+INDEX(Transaksi!$I$2:$I$2001,K253)),""))</f>
        <v/>
      </c>
      <c r="F253" s="33">
        <f>IF(J253="H",SUMIFS(Transaksi!$J$2:$J$2001,Transaksi!$M$2:$M$2001,"="&amp;S253),IF(J253="E",IF(INDEX(Transaksi!$J$2:$J$2001,K253)=0,"",INDEX(Transaksi!$J$2:$J$2001,K253)),""))</f>
        <v/>
      </c>
      <c r="G253" s="33">
        <f>IF(J253="H",(SUMIFS(Transaksi!$G$2:$G$2001,Transaksi!$M$2:$M$2001,"&lt;="&amp;S253)+SUMIFS(Transaksi!$H$2:$H$2001,Transaksi!$M$2:$M$2001,"&lt;="&amp;S253)+SUMIFS(Transaksi!$I$2:$I$2001,Transaksi!$M$2:$M$2001,"&lt;="&amp;S253))-(SUMIFS(Transaksi!$J$2:$J$2001,Transaksi!$M$2:$M$2001,"&lt;="&amp;S253)),"")</f>
        <v/>
      </c>
      <c r="I253">
        <f>IF(250&gt;$O$2,"",MATCH(250,$Q$3:$Q$402,1))</f>
        <v/>
      </c>
      <c r="J253">
        <f>IF(I253="","",IF(250=INDEX($Q$3:$Q$402,I253),"H","E"))</f>
        <v/>
      </c>
      <c r="K253">
        <f>IF(J253&lt;&gt;"E","",MATCH(S253,Transaksi!$M$2:$M$2001,0)+250-INDEX($Q$3:$Q$402,I253)-1)</f>
        <v/>
      </c>
      <c r="N253" t="n">
        <v>251</v>
      </c>
      <c r="O253">
        <f>IF(N253&lt;=$O$1,$O$1-N253+1,"")</f>
        <v/>
      </c>
      <c r="P253">
        <f>IF(O253="",0,COUNTIF(Transaksi!$M$2:$M$2001,O253)+1)</f>
        <v/>
      </c>
      <c r="Q253">
        <f>1+SUM(P$2:P252)</f>
        <v/>
      </c>
      <c r="S253">
        <f>IF(I253="","",INDEX($O$3:$O$402,I253))</f>
        <v/>
      </c>
      <c r="T253">
        <f>IF(J253&lt;&gt;"H","",INDEX(Transaksi!$A$2:$A$2001,MATCH(S253,Transaksi!$M$2:$M$2001,0)))</f>
        <v/>
      </c>
    </row>
    <row r="254">
      <c r="A254" s="31">
        <f>IF(J254="E",IF(INDEX(Transaksi!$J$2:$J$2001,K254)&gt;0,"↑","↓"),"")</f>
        <v/>
      </c>
      <c r="B254" s="32">
        <f>IF(J254="H",CHOOSE(WEEKDAY(T254,2),"Isnin","Selasa","Rabu","Khamis","Jumaat","Sabtu","Ahad")&amp;", "&amp;DAY(T254)&amp;" "&amp;CHOOSE(MONTH(T254),"Jan","Feb","Mac","Apr","Mei","Jun","Jul","Ogo","Sep","Okt","Nov","Dis")&amp;" "&amp;YEAR(T254),IF(J254="E",IF(INDEX(Transaksi!$B$2:$B$2001,K254)="",INDEX(Transaksi!$C$2:$C$2001,K254)&amp;" · "&amp;INDEX(Transaksi!$D$2:$D$2001,K254),INDEX(Transaksi!$B$2:$B$2001,K254)),""))</f>
        <v/>
      </c>
      <c r="C254" s="32">
        <f>IF(J254="E",INDEX(Transaksi!$C$2:$C$2001,K254)&amp;"","")</f>
        <v/>
      </c>
      <c r="D254" s="32">
        <f>IF(J254="E",INDEX(Transaksi!$D$2:$D$2001,K254)&amp;"","")</f>
        <v/>
      </c>
      <c r="E254" s="33">
        <f>IF(J254="H",SUMIFS(Transaksi!$G$2:$G$2001,Transaksi!$M$2:$M$2001,"="&amp;S254)+SUMIFS(Transaksi!$H$2:$H$2001,Transaksi!$M$2:$M$2001,"="&amp;S254)+SUMIFS(Transaksi!$I$2:$I$2001,Transaksi!$M$2:$M$2001,"="&amp;S254),IF(J254="E",IF(INDEX(Transaksi!$G$2:$G$2001,K254)+INDEX(Transaksi!$H$2:$H$2001,K254)+INDEX(Transaksi!$I$2:$I$2001,K254)=0,"",INDEX(Transaksi!$G$2:$G$2001,K254)+INDEX(Transaksi!$H$2:$H$2001,K254)+INDEX(Transaksi!$I$2:$I$2001,K254)),""))</f>
        <v/>
      </c>
      <c r="F254" s="33">
        <f>IF(J254="H",SUMIFS(Transaksi!$J$2:$J$2001,Transaksi!$M$2:$M$2001,"="&amp;S254),IF(J254="E",IF(INDEX(Transaksi!$J$2:$J$2001,K254)=0,"",INDEX(Transaksi!$J$2:$J$2001,K254)),""))</f>
        <v/>
      </c>
      <c r="G254" s="33">
        <f>IF(J254="H",(SUMIFS(Transaksi!$G$2:$G$2001,Transaksi!$M$2:$M$2001,"&lt;="&amp;S254)+SUMIFS(Transaksi!$H$2:$H$2001,Transaksi!$M$2:$M$2001,"&lt;="&amp;S254)+SUMIFS(Transaksi!$I$2:$I$2001,Transaksi!$M$2:$M$2001,"&lt;="&amp;S254))-(SUMIFS(Transaksi!$J$2:$J$2001,Transaksi!$M$2:$M$2001,"&lt;="&amp;S254)),"")</f>
        <v/>
      </c>
      <c r="I254">
        <f>IF(251&gt;$O$2,"",MATCH(251,$Q$3:$Q$402,1))</f>
        <v/>
      </c>
      <c r="J254">
        <f>IF(I254="","",IF(251=INDEX($Q$3:$Q$402,I254),"H","E"))</f>
        <v/>
      </c>
      <c r="K254">
        <f>IF(J254&lt;&gt;"E","",MATCH(S254,Transaksi!$M$2:$M$2001,0)+251-INDEX($Q$3:$Q$402,I254)-1)</f>
        <v/>
      </c>
      <c r="N254" t="n">
        <v>252</v>
      </c>
      <c r="O254">
        <f>IF(N254&lt;=$O$1,$O$1-N254+1,"")</f>
        <v/>
      </c>
      <c r="P254">
        <f>IF(O254="",0,COUNTIF(Transaksi!$M$2:$M$2001,O254)+1)</f>
        <v/>
      </c>
      <c r="Q254">
        <f>1+SUM(P$2:P253)</f>
        <v/>
      </c>
      <c r="S254">
        <f>IF(I254="","",INDEX($O$3:$O$402,I254))</f>
        <v/>
      </c>
      <c r="T254">
        <f>IF(J254&lt;&gt;"H","",INDEX(Transaksi!$A$2:$A$2001,MATCH(S254,Transaksi!$M$2:$M$2001,0)))</f>
        <v/>
      </c>
    </row>
    <row r="255">
      <c r="A255" s="31">
        <f>IF(J255="E",IF(INDEX(Transaksi!$J$2:$J$2001,K255)&gt;0,"↑","↓"),"")</f>
        <v/>
      </c>
      <c r="B255" s="32">
        <f>IF(J255="H",CHOOSE(WEEKDAY(T255,2),"Isnin","Selasa","Rabu","Khamis","Jumaat","Sabtu","Ahad")&amp;", "&amp;DAY(T255)&amp;" "&amp;CHOOSE(MONTH(T255),"Jan","Feb","Mac","Apr","Mei","Jun","Jul","Ogo","Sep","Okt","Nov","Dis")&amp;" "&amp;YEAR(T255),IF(J255="E",IF(INDEX(Transaksi!$B$2:$B$2001,K255)="",INDEX(Transaksi!$C$2:$C$2001,K255)&amp;" · "&amp;INDEX(Transaksi!$D$2:$D$2001,K255),INDEX(Transaksi!$B$2:$B$2001,K255)),""))</f>
        <v/>
      </c>
      <c r="C255" s="32">
        <f>IF(J255="E",INDEX(Transaksi!$C$2:$C$2001,K255)&amp;"","")</f>
        <v/>
      </c>
      <c r="D255" s="32">
        <f>IF(J255="E",INDEX(Transaksi!$D$2:$D$2001,K255)&amp;"","")</f>
        <v/>
      </c>
      <c r="E255" s="33">
        <f>IF(J255="H",SUMIFS(Transaksi!$G$2:$G$2001,Transaksi!$M$2:$M$2001,"="&amp;S255)+SUMIFS(Transaksi!$H$2:$H$2001,Transaksi!$M$2:$M$2001,"="&amp;S255)+SUMIFS(Transaksi!$I$2:$I$2001,Transaksi!$M$2:$M$2001,"="&amp;S255),IF(J255="E",IF(INDEX(Transaksi!$G$2:$G$2001,K255)+INDEX(Transaksi!$H$2:$H$2001,K255)+INDEX(Transaksi!$I$2:$I$2001,K255)=0,"",INDEX(Transaksi!$G$2:$G$2001,K255)+INDEX(Transaksi!$H$2:$H$2001,K255)+INDEX(Transaksi!$I$2:$I$2001,K255)),""))</f>
        <v/>
      </c>
      <c r="F255" s="33">
        <f>IF(J255="H",SUMIFS(Transaksi!$J$2:$J$2001,Transaksi!$M$2:$M$2001,"="&amp;S255),IF(J255="E",IF(INDEX(Transaksi!$J$2:$J$2001,K255)=0,"",INDEX(Transaksi!$J$2:$J$2001,K255)),""))</f>
        <v/>
      </c>
      <c r="G255" s="33">
        <f>IF(J255="H",(SUMIFS(Transaksi!$G$2:$G$2001,Transaksi!$M$2:$M$2001,"&lt;="&amp;S255)+SUMIFS(Transaksi!$H$2:$H$2001,Transaksi!$M$2:$M$2001,"&lt;="&amp;S255)+SUMIFS(Transaksi!$I$2:$I$2001,Transaksi!$M$2:$M$2001,"&lt;="&amp;S255))-(SUMIFS(Transaksi!$J$2:$J$2001,Transaksi!$M$2:$M$2001,"&lt;="&amp;S255)),"")</f>
        <v/>
      </c>
      <c r="I255">
        <f>IF(252&gt;$O$2,"",MATCH(252,$Q$3:$Q$402,1))</f>
        <v/>
      </c>
      <c r="J255">
        <f>IF(I255="","",IF(252=INDEX($Q$3:$Q$402,I255),"H","E"))</f>
        <v/>
      </c>
      <c r="K255">
        <f>IF(J255&lt;&gt;"E","",MATCH(S255,Transaksi!$M$2:$M$2001,0)+252-INDEX($Q$3:$Q$402,I255)-1)</f>
        <v/>
      </c>
      <c r="N255" t="n">
        <v>253</v>
      </c>
      <c r="O255">
        <f>IF(N255&lt;=$O$1,$O$1-N255+1,"")</f>
        <v/>
      </c>
      <c r="P255">
        <f>IF(O255="",0,COUNTIF(Transaksi!$M$2:$M$2001,O255)+1)</f>
        <v/>
      </c>
      <c r="Q255">
        <f>1+SUM(P$2:P254)</f>
        <v/>
      </c>
      <c r="S255">
        <f>IF(I255="","",INDEX($O$3:$O$402,I255))</f>
        <v/>
      </c>
      <c r="T255">
        <f>IF(J255&lt;&gt;"H","",INDEX(Transaksi!$A$2:$A$2001,MATCH(S255,Transaksi!$M$2:$M$2001,0)))</f>
        <v/>
      </c>
    </row>
    <row r="256">
      <c r="A256" s="31">
        <f>IF(J256="E",IF(INDEX(Transaksi!$J$2:$J$2001,K256)&gt;0,"↑","↓"),"")</f>
        <v/>
      </c>
      <c r="B256" s="32">
        <f>IF(J256="H",CHOOSE(WEEKDAY(T256,2),"Isnin","Selasa","Rabu","Khamis","Jumaat","Sabtu","Ahad")&amp;", "&amp;DAY(T256)&amp;" "&amp;CHOOSE(MONTH(T256),"Jan","Feb","Mac","Apr","Mei","Jun","Jul","Ogo","Sep","Okt","Nov","Dis")&amp;" "&amp;YEAR(T256),IF(J256="E",IF(INDEX(Transaksi!$B$2:$B$2001,K256)="",INDEX(Transaksi!$C$2:$C$2001,K256)&amp;" · "&amp;INDEX(Transaksi!$D$2:$D$2001,K256),INDEX(Transaksi!$B$2:$B$2001,K256)),""))</f>
        <v/>
      </c>
      <c r="C256" s="32">
        <f>IF(J256="E",INDEX(Transaksi!$C$2:$C$2001,K256)&amp;"","")</f>
        <v/>
      </c>
      <c r="D256" s="32">
        <f>IF(J256="E",INDEX(Transaksi!$D$2:$D$2001,K256)&amp;"","")</f>
        <v/>
      </c>
      <c r="E256" s="33">
        <f>IF(J256="H",SUMIFS(Transaksi!$G$2:$G$2001,Transaksi!$M$2:$M$2001,"="&amp;S256)+SUMIFS(Transaksi!$H$2:$H$2001,Transaksi!$M$2:$M$2001,"="&amp;S256)+SUMIFS(Transaksi!$I$2:$I$2001,Transaksi!$M$2:$M$2001,"="&amp;S256),IF(J256="E",IF(INDEX(Transaksi!$G$2:$G$2001,K256)+INDEX(Transaksi!$H$2:$H$2001,K256)+INDEX(Transaksi!$I$2:$I$2001,K256)=0,"",INDEX(Transaksi!$G$2:$G$2001,K256)+INDEX(Transaksi!$H$2:$H$2001,K256)+INDEX(Transaksi!$I$2:$I$2001,K256)),""))</f>
        <v/>
      </c>
      <c r="F256" s="33">
        <f>IF(J256="H",SUMIFS(Transaksi!$J$2:$J$2001,Transaksi!$M$2:$M$2001,"="&amp;S256),IF(J256="E",IF(INDEX(Transaksi!$J$2:$J$2001,K256)=0,"",INDEX(Transaksi!$J$2:$J$2001,K256)),""))</f>
        <v/>
      </c>
      <c r="G256" s="33">
        <f>IF(J256="H",(SUMIFS(Transaksi!$G$2:$G$2001,Transaksi!$M$2:$M$2001,"&lt;="&amp;S256)+SUMIFS(Transaksi!$H$2:$H$2001,Transaksi!$M$2:$M$2001,"&lt;="&amp;S256)+SUMIFS(Transaksi!$I$2:$I$2001,Transaksi!$M$2:$M$2001,"&lt;="&amp;S256))-(SUMIFS(Transaksi!$J$2:$J$2001,Transaksi!$M$2:$M$2001,"&lt;="&amp;S256)),"")</f>
        <v/>
      </c>
      <c r="I256">
        <f>IF(253&gt;$O$2,"",MATCH(253,$Q$3:$Q$402,1))</f>
        <v/>
      </c>
      <c r="J256">
        <f>IF(I256="","",IF(253=INDEX($Q$3:$Q$402,I256),"H","E"))</f>
        <v/>
      </c>
      <c r="K256">
        <f>IF(J256&lt;&gt;"E","",MATCH(S256,Transaksi!$M$2:$M$2001,0)+253-INDEX($Q$3:$Q$402,I256)-1)</f>
        <v/>
      </c>
      <c r="N256" t="n">
        <v>254</v>
      </c>
      <c r="O256">
        <f>IF(N256&lt;=$O$1,$O$1-N256+1,"")</f>
        <v/>
      </c>
      <c r="P256">
        <f>IF(O256="",0,COUNTIF(Transaksi!$M$2:$M$2001,O256)+1)</f>
        <v/>
      </c>
      <c r="Q256">
        <f>1+SUM(P$2:P255)</f>
        <v/>
      </c>
      <c r="S256">
        <f>IF(I256="","",INDEX($O$3:$O$402,I256))</f>
        <v/>
      </c>
      <c r="T256">
        <f>IF(J256&lt;&gt;"H","",INDEX(Transaksi!$A$2:$A$2001,MATCH(S256,Transaksi!$M$2:$M$2001,0)))</f>
        <v/>
      </c>
    </row>
    <row r="257">
      <c r="A257" s="31">
        <f>IF(J257="E",IF(INDEX(Transaksi!$J$2:$J$2001,K257)&gt;0,"↑","↓"),"")</f>
        <v/>
      </c>
      <c r="B257" s="32">
        <f>IF(J257="H",CHOOSE(WEEKDAY(T257,2),"Isnin","Selasa","Rabu","Khamis","Jumaat","Sabtu","Ahad")&amp;", "&amp;DAY(T257)&amp;" "&amp;CHOOSE(MONTH(T257),"Jan","Feb","Mac","Apr","Mei","Jun","Jul","Ogo","Sep","Okt","Nov","Dis")&amp;" "&amp;YEAR(T257),IF(J257="E",IF(INDEX(Transaksi!$B$2:$B$2001,K257)="",INDEX(Transaksi!$C$2:$C$2001,K257)&amp;" · "&amp;INDEX(Transaksi!$D$2:$D$2001,K257),INDEX(Transaksi!$B$2:$B$2001,K257)),""))</f>
        <v/>
      </c>
      <c r="C257" s="32">
        <f>IF(J257="E",INDEX(Transaksi!$C$2:$C$2001,K257)&amp;"","")</f>
        <v/>
      </c>
      <c r="D257" s="32">
        <f>IF(J257="E",INDEX(Transaksi!$D$2:$D$2001,K257)&amp;"","")</f>
        <v/>
      </c>
      <c r="E257" s="33">
        <f>IF(J257="H",SUMIFS(Transaksi!$G$2:$G$2001,Transaksi!$M$2:$M$2001,"="&amp;S257)+SUMIFS(Transaksi!$H$2:$H$2001,Transaksi!$M$2:$M$2001,"="&amp;S257)+SUMIFS(Transaksi!$I$2:$I$2001,Transaksi!$M$2:$M$2001,"="&amp;S257),IF(J257="E",IF(INDEX(Transaksi!$G$2:$G$2001,K257)+INDEX(Transaksi!$H$2:$H$2001,K257)+INDEX(Transaksi!$I$2:$I$2001,K257)=0,"",INDEX(Transaksi!$G$2:$G$2001,K257)+INDEX(Transaksi!$H$2:$H$2001,K257)+INDEX(Transaksi!$I$2:$I$2001,K257)),""))</f>
        <v/>
      </c>
      <c r="F257" s="33">
        <f>IF(J257="H",SUMIFS(Transaksi!$J$2:$J$2001,Transaksi!$M$2:$M$2001,"="&amp;S257),IF(J257="E",IF(INDEX(Transaksi!$J$2:$J$2001,K257)=0,"",INDEX(Transaksi!$J$2:$J$2001,K257)),""))</f>
        <v/>
      </c>
      <c r="G257" s="33">
        <f>IF(J257="H",(SUMIFS(Transaksi!$G$2:$G$2001,Transaksi!$M$2:$M$2001,"&lt;="&amp;S257)+SUMIFS(Transaksi!$H$2:$H$2001,Transaksi!$M$2:$M$2001,"&lt;="&amp;S257)+SUMIFS(Transaksi!$I$2:$I$2001,Transaksi!$M$2:$M$2001,"&lt;="&amp;S257))-(SUMIFS(Transaksi!$J$2:$J$2001,Transaksi!$M$2:$M$2001,"&lt;="&amp;S257)),"")</f>
        <v/>
      </c>
      <c r="I257">
        <f>IF(254&gt;$O$2,"",MATCH(254,$Q$3:$Q$402,1))</f>
        <v/>
      </c>
      <c r="J257">
        <f>IF(I257="","",IF(254=INDEX($Q$3:$Q$402,I257),"H","E"))</f>
        <v/>
      </c>
      <c r="K257">
        <f>IF(J257&lt;&gt;"E","",MATCH(S257,Transaksi!$M$2:$M$2001,0)+254-INDEX($Q$3:$Q$402,I257)-1)</f>
        <v/>
      </c>
      <c r="N257" t="n">
        <v>255</v>
      </c>
      <c r="O257">
        <f>IF(N257&lt;=$O$1,$O$1-N257+1,"")</f>
        <v/>
      </c>
      <c r="P257">
        <f>IF(O257="",0,COUNTIF(Transaksi!$M$2:$M$2001,O257)+1)</f>
        <v/>
      </c>
      <c r="Q257">
        <f>1+SUM(P$2:P256)</f>
        <v/>
      </c>
      <c r="S257">
        <f>IF(I257="","",INDEX($O$3:$O$402,I257))</f>
        <v/>
      </c>
      <c r="T257">
        <f>IF(J257&lt;&gt;"H","",INDEX(Transaksi!$A$2:$A$2001,MATCH(S257,Transaksi!$M$2:$M$2001,0)))</f>
        <v/>
      </c>
    </row>
    <row r="258">
      <c r="A258" s="31">
        <f>IF(J258="E",IF(INDEX(Transaksi!$J$2:$J$2001,K258)&gt;0,"↑","↓"),"")</f>
        <v/>
      </c>
      <c r="B258" s="32">
        <f>IF(J258="H",CHOOSE(WEEKDAY(T258,2),"Isnin","Selasa","Rabu","Khamis","Jumaat","Sabtu","Ahad")&amp;", "&amp;DAY(T258)&amp;" "&amp;CHOOSE(MONTH(T258),"Jan","Feb","Mac","Apr","Mei","Jun","Jul","Ogo","Sep","Okt","Nov","Dis")&amp;" "&amp;YEAR(T258),IF(J258="E",IF(INDEX(Transaksi!$B$2:$B$2001,K258)="",INDEX(Transaksi!$C$2:$C$2001,K258)&amp;" · "&amp;INDEX(Transaksi!$D$2:$D$2001,K258),INDEX(Transaksi!$B$2:$B$2001,K258)),""))</f>
        <v/>
      </c>
      <c r="C258" s="32">
        <f>IF(J258="E",INDEX(Transaksi!$C$2:$C$2001,K258)&amp;"","")</f>
        <v/>
      </c>
      <c r="D258" s="32">
        <f>IF(J258="E",INDEX(Transaksi!$D$2:$D$2001,K258)&amp;"","")</f>
        <v/>
      </c>
      <c r="E258" s="33">
        <f>IF(J258="H",SUMIFS(Transaksi!$G$2:$G$2001,Transaksi!$M$2:$M$2001,"="&amp;S258)+SUMIFS(Transaksi!$H$2:$H$2001,Transaksi!$M$2:$M$2001,"="&amp;S258)+SUMIFS(Transaksi!$I$2:$I$2001,Transaksi!$M$2:$M$2001,"="&amp;S258),IF(J258="E",IF(INDEX(Transaksi!$G$2:$G$2001,K258)+INDEX(Transaksi!$H$2:$H$2001,K258)+INDEX(Transaksi!$I$2:$I$2001,K258)=0,"",INDEX(Transaksi!$G$2:$G$2001,K258)+INDEX(Transaksi!$H$2:$H$2001,K258)+INDEX(Transaksi!$I$2:$I$2001,K258)),""))</f>
        <v/>
      </c>
      <c r="F258" s="33">
        <f>IF(J258="H",SUMIFS(Transaksi!$J$2:$J$2001,Transaksi!$M$2:$M$2001,"="&amp;S258),IF(J258="E",IF(INDEX(Transaksi!$J$2:$J$2001,K258)=0,"",INDEX(Transaksi!$J$2:$J$2001,K258)),""))</f>
        <v/>
      </c>
      <c r="G258" s="33">
        <f>IF(J258="H",(SUMIFS(Transaksi!$G$2:$G$2001,Transaksi!$M$2:$M$2001,"&lt;="&amp;S258)+SUMIFS(Transaksi!$H$2:$H$2001,Transaksi!$M$2:$M$2001,"&lt;="&amp;S258)+SUMIFS(Transaksi!$I$2:$I$2001,Transaksi!$M$2:$M$2001,"&lt;="&amp;S258))-(SUMIFS(Transaksi!$J$2:$J$2001,Transaksi!$M$2:$M$2001,"&lt;="&amp;S258)),"")</f>
        <v/>
      </c>
      <c r="I258">
        <f>IF(255&gt;$O$2,"",MATCH(255,$Q$3:$Q$402,1))</f>
        <v/>
      </c>
      <c r="J258">
        <f>IF(I258="","",IF(255=INDEX($Q$3:$Q$402,I258),"H","E"))</f>
        <v/>
      </c>
      <c r="K258">
        <f>IF(J258&lt;&gt;"E","",MATCH(S258,Transaksi!$M$2:$M$2001,0)+255-INDEX($Q$3:$Q$402,I258)-1)</f>
        <v/>
      </c>
      <c r="N258" t="n">
        <v>256</v>
      </c>
      <c r="O258">
        <f>IF(N258&lt;=$O$1,$O$1-N258+1,"")</f>
        <v/>
      </c>
      <c r="P258">
        <f>IF(O258="",0,COUNTIF(Transaksi!$M$2:$M$2001,O258)+1)</f>
        <v/>
      </c>
      <c r="Q258">
        <f>1+SUM(P$2:P257)</f>
        <v/>
      </c>
      <c r="S258">
        <f>IF(I258="","",INDEX($O$3:$O$402,I258))</f>
        <v/>
      </c>
      <c r="T258">
        <f>IF(J258&lt;&gt;"H","",INDEX(Transaksi!$A$2:$A$2001,MATCH(S258,Transaksi!$M$2:$M$2001,0)))</f>
        <v/>
      </c>
    </row>
    <row r="259">
      <c r="A259" s="31">
        <f>IF(J259="E",IF(INDEX(Transaksi!$J$2:$J$2001,K259)&gt;0,"↑","↓"),"")</f>
        <v/>
      </c>
      <c r="B259" s="32">
        <f>IF(J259="H",CHOOSE(WEEKDAY(T259,2),"Isnin","Selasa","Rabu","Khamis","Jumaat","Sabtu","Ahad")&amp;", "&amp;DAY(T259)&amp;" "&amp;CHOOSE(MONTH(T259),"Jan","Feb","Mac","Apr","Mei","Jun","Jul","Ogo","Sep","Okt","Nov","Dis")&amp;" "&amp;YEAR(T259),IF(J259="E",IF(INDEX(Transaksi!$B$2:$B$2001,K259)="",INDEX(Transaksi!$C$2:$C$2001,K259)&amp;" · "&amp;INDEX(Transaksi!$D$2:$D$2001,K259),INDEX(Transaksi!$B$2:$B$2001,K259)),""))</f>
        <v/>
      </c>
      <c r="C259" s="32">
        <f>IF(J259="E",INDEX(Transaksi!$C$2:$C$2001,K259)&amp;"","")</f>
        <v/>
      </c>
      <c r="D259" s="32">
        <f>IF(J259="E",INDEX(Transaksi!$D$2:$D$2001,K259)&amp;"","")</f>
        <v/>
      </c>
      <c r="E259" s="33">
        <f>IF(J259="H",SUMIFS(Transaksi!$G$2:$G$2001,Transaksi!$M$2:$M$2001,"="&amp;S259)+SUMIFS(Transaksi!$H$2:$H$2001,Transaksi!$M$2:$M$2001,"="&amp;S259)+SUMIFS(Transaksi!$I$2:$I$2001,Transaksi!$M$2:$M$2001,"="&amp;S259),IF(J259="E",IF(INDEX(Transaksi!$G$2:$G$2001,K259)+INDEX(Transaksi!$H$2:$H$2001,K259)+INDEX(Transaksi!$I$2:$I$2001,K259)=0,"",INDEX(Transaksi!$G$2:$G$2001,K259)+INDEX(Transaksi!$H$2:$H$2001,K259)+INDEX(Transaksi!$I$2:$I$2001,K259)),""))</f>
        <v/>
      </c>
      <c r="F259" s="33">
        <f>IF(J259="H",SUMIFS(Transaksi!$J$2:$J$2001,Transaksi!$M$2:$M$2001,"="&amp;S259),IF(J259="E",IF(INDEX(Transaksi!$J$2:$J$2001,K259)=0,"",INDEX(Transaksi!$J$2:$J$2001,K259)),""))</f>
        <v/>
      </c>
      <c r="G259" s="33">
        <f>IF(J259="H",(SUMIFS(Transaksi!$G$2:$G$2001,Transaksi!$M$2:$M$2001,"&lt;="&amp;S259)+SUMIFS(Transaksi!$H$2:$H$2001,Transaksi!$M$2:$M$2001,"&lt;="&amp;S259)+SUMIFS(Transaksi!$I$2:$I$2001,Transaksi!$M$2:$M$2001,"&lt;="&amp;S259))-(SUMIFS(Transaksi!$J$2:$J$2001,Transaksi!$M$2:$M$2001,"&lt;="&amp;S259)),"")</f>
        <v/>
      </c>
      <c r="I259">
        <f>IF(256&gt;$O$2,"",MATCH(256,$Q$3:$Q$402,1))</f>
        <v/>
      </c>
      <c r="J259">
        <f>IF(I259="","",IF(256=INDEX($Q$3:$Q$402,I259),"H","E"))</f>
        <v/>
      </c>
      <c r="K259">
        <f>IF(J259&lt;&gt;"E","",MATCH(S259,Transaksi!$M$2:$M$2001,0)+256-INDEX($Q$3:$Q$402,I259)-1)</f>
        <v/>
      </c>
      <c r="N259" t="n">
        <v>257</v>
      </c>
      <c r="O259">
        <f>IF(N259&lt;=$O$1,$O$1-N259+1,"")</f>
        <v/>
      </c>
      <c r="P259">
        <f>IF(O259="",0,COUNTIF(Transaksi!$M$2:$M$2001,O259)+1)</f>
        <v/>
      </c>
      <c r="Q259">
        <f>1+SUM(P$2:P258)</f>
        <v/>
      </c>
      <c r="S259">
        <f>IF(I259="","",INDEX($O$3:$O$402,I259))</f>
        <v/>
      </c>
      <c r="T259">
        <f>IF(J259&lt;&gt;"H","",INDEX(Transaksi!$A$2:$A$2001,MATCH(S259,Transaksi!$M$2:$M$2001,0)))</f>
        <v/>
      </c>
    </row>
    <row r="260">
      <c r="A260" s="31">
        <f>IF(J260="E",IF(INDEX(Transaksi!$J$2:$J$2001,K260)&gt;0,"↑","↓"),"")</f>
        <v/>
      </c>
      <c r="B260" s="32">
        <f>IF(J260="H",CHOOSE(WEEKDAY(T260,2),"Isnin","Selasa","Rabu","Khamis","Jumaat","Sabtu","Ahad")&amp;", "&amp;DAY(T260)&amp;" "&amp;CHOOSE(MONTH(T260),"Jan","Feb","Mac","Apr","Mei","Jun","Jul","Ogo","Sep","Okt","Nov","Dis")&amp;" "&amp;YEAR(T260),IF(J260="E",IF(INDEX(Transaksi!$B$2:$B$2001,K260)="",INDEX(Transaksi!$C$2:$C$2001,K260)&amp;" · "&amp;INDEX(Transaksi!$D$2:$D$2001,K260),INDEX(Transaksi!$B$2:$B$2001,K260)),""))</f>
        <v/>
      </c>
      <c r="C260" s="32">
        <f>IF(J260="E",INDEX(Transaksi!$C$2:$C$2001,K260)&amp;"","")</f>
        <v/>
      </c>
      <c r="D260" s="32">
        <f>IF(J260="E",INDEX(Transaksi!$D$2:$D$2001,K260)&amp;"","")</f>
        <v/>
      </c>
      <c r="E260" s="33">
        <f>IF(J260="H",SUMIFS(Transaksi!$G$2:$G$2001,Transaksi!$M$2:$M$2001,"="&amp;S260)+SUMIFS(Transaksi!$H$2:$H$2001,Transaksi!$M$2:$M$2001,"="&amp;S260)+SUMIFS(Transaksi!$I$2:$I$2001,Transaksi!$M$2:$M$2001,"="&amp;S260),IF(J260="E",IF(INDEX(Transaksi!$G$2:$G$2001,K260)+INDEX(Transaksi!$H$2:$H$2001,K260)+INDEX(Transaksi!$I$2:$I$2001,K260)=0,"",INDEX(Transaksi!$G$2:$G$2001,K260)+INDEX(Transaksi!$H$2:$H$2001,K260)+INDEX(Transaksi!$I$2:$I$2001,K260)),""))</f>
        <v/>
      </c>
      <c r="F260" s="33">
        <f>IF(J260="H",SUMIFS(Transaksi!$J$2:$J$2001,Transaksi!$M$2:$M$2001,"="&amp;S260),IF(J260="E",IF(INDEX(Transaksi!$J$2:$J$2001,K260)=0,"",INDEX(Transaksi!$J$2:$J$2001,K260)),""))</f>
        <v/>
      </c>
      <c r="G260" s="33">
        <f>IF(J260="H",(SUMIFS(Transaksi!$G$2:$G$2001,Transaksi!$M$2:$M$2001,"&lt;="&amp;S260)+SUMIFS(Transaksi!$H$2:$H$2001,Transaksi!$M$2:$M$2001,"&lt;="&amp;S260)+SUMIFS(Transaksi!$I$2:$I$2001,Transaksi!$M$2:$M$2001,"&lt;="&amp;S260))-(SUMIFS(Transaksi!$J$2:$J$2001,Transaksi!$M$2:$M$2001,"&lt;="&amp;S260)),"")</f>
        <v/>
      </c>
      <c r="I260">
        <f>IF(257&gt;$O$2,"",MATCH(257,$Q$3:$Q$402,1))</f>
        <v/>
      </c>
      <c r="J260">
        <f>IF(I260="","",IF(257=INDEX($Q$3:$Q$402,I260),"H","E"))</f>
        <v/>
      </c>
      <c r="K260">
        <f>IF(J260&lt;&gt;"E","",MATCH(S260,Transaksi!$M$2:$M$2001,0)+257-INDEX($Q$3:$Q$402,I260)-1)</f>
        <v/>
      </c>
      <c r="N260" t="n">
        <v>258</v>
      </c>
      <c r="O260">
        <f>IF(N260&lt;=$O$1,$O$1-N260+1,"")</f>
        <v/>
      </c>
      <c r="P260">
        <f>IF(O260="",0,COUNTIF(Transaksi!$M$2:$M$2001,O260)+1)</f>
        <v/>
      </c>
      <c r="Q260">
        <f>1+SUM(P$2:P259)</f>
        <v/>
      </c>
      <c r="S260">
        <f>IF(I260="","",INDEX($O$3:$O$402,I260))</f>
        <v/>
      </c>
      <c r="T260">
        <f>IF(J260&lt;&gt;"H","",INDEX(Transaksi!$A$2:$A$2001,MATCH(S260,Transaksi!$M$2:$M$2001,0)))</f>
        <v/>
      </c>
    </row>
    <row r="261">
      <c r="A261" s="31">
        <f>IF(J261="E",IF(INDEX(Transaksi!$J$2:$J$2001,K261)&gt;0,"↑","↓"),"")</f>
        <v/>
      </c>
      <c r="B261" s="32">
        <f>IF(J261="H",CHOOSE(WEEKDAY(T261,2),"Isnin","Selasa","Rabu","Khamis","Jumaat","Sabtu","Ahad")&amp;", "&amp;DAY(T261)&amp;" "&amp;CHOOSE(MONTH(T261),"Jan","Feb","Mac","Apr","Mei","Jun","Jul","Ogo","Sep","Okt","Nov","Dis")&amp;" "&amp;YEAR(T261),IF(J261="E",IF(INDEX(Transaksi!$B$2:$B$2001,K261)="",INDEX(Transaksi!$C$2:$C$2001,K261)&amp;" · "&amp;INDEX(Transaksi!$D$2:$D$2001,K261),INDEX(Transaksi!$B$2:$B$2001,K261)),""))</f>
        <v/>
      </c>
      <c r="C261" s="32">
        <f>IF(J261="E",INDEX(Transaksi!$C$2:$C$2001,K261)&amp;"","")</f>
        <v/>
      </c>
      <c r="D261" s="32">
        <f>IF(J261="E",INDEX(Transaksi!$D$2:$D$2001,K261)&amp;"","")</f>
        <v/>
      </c>
      <c r="E261" s="33">
        <f>IF(J261="H",SUMIFS(Transaksi!$G$2:$G$2001,Transaksi!$M$2:$M$2001,"="&amp;S261)+SUMIFS(Transaksi!$H$2:$H$2001,Transaksi!$M$2:$M$2001,"="&amp;S261)+SUMIFS(Transaksi!$I$2:$I$2001,Transaksi!$M$2:$M$2001,"="&amp;S261),IF(J261="E",IF(INDEX(Transaksi!$G$2:$G$2001,K261)+INDEX(Transaksi!$H$2:$H$2001,K261)+INDEX(Transaksi!$I$2:$I$2001,K261)=0,"",INDEX(Transaksi!$G$2:$G$2001,K261)+INDEX(Transaksi!$H$2:$H$2001,K261)+INDEX(Transaksi!$I$2:$I$2001,K261)),""))</f>
        <v/>
      </c>
      <c r="F261" s="33">
        <f>IF(J261="H",SUMIFS(Transaksi!$J$2:$J$2001,Transaksi!$M$2:$M$2001,"="&amp;S261),IF(J261="E",IF(INDEX(Transaksi!$J$2:$J$2001,K261)=0,"",INDEX(Transaksi!$J$2:$J$2001,K261)),""))</f>
        <v/>
      </c>
      <c r="G261" s="33">
        <f>IF(J261="H",(SUMIFS(Transaksi!$G$2:$G$2001,Transaksi!$M$2:$M$2001,"&lt;="&amp;S261)+SUMIFS(Transaksi!$H$2:$H$2001,Transaksi!$M$2:$M$2001,"&lt;="&amp;S261)+SUMIFS(Transaksi!$I$2:$I$2001,Transaksi!$M$2:$M$2001,"&lt;="&amp;S261))-(SUMIFS(Transaksi!$J$2:$J$2001,Transaksi!$M$2:$M$2001,"&lt;="&amp;S261)),"")</f>
        <v/>
      </c>
      <c r="I261">
        <f>IF(258&gt;$O$2,"",MATCH(258,$Q$3:$Q$402,1))</f>
        <v/>
      </c>
      <c r="J261">
        <f>IF(I261="","",IF(258=INDEX($Q$3:$Q$402,I261),"H","E"))</f>
        <v/>
      </c>
      <c r="K261">
        <f>IF(J261&lt;&gt;"E","",MATCH(S261,Transaksi!$M$2:$M$2001,0)+258-INDEX($Q$3:$Q$402,I261)-1)</f>
        <v/>
      </c>
      <c r="N261" t="n">
        <v>259</v>
      </c>
      <c r="O261">
        <f>IF(N261&lt;=$O$1,$O$1-N261+1,"")</f>
        <v/>
      </c>
      <c r="P261">
        <f>IF(O261="",0,COUNTIF(Transaksi!$M$2:$M$2001,O261)+1)</f>
        <v/>
      </c>
      <c r="Q261">
        <f>1+SUM(P$2:P260)</f>
        <v/>
      </c>
      <c r="S261">
        <f>IF(I261="","",INDEX($O$3:$O$402,I261))</f>
        <v/>
      </c>
      <c r="T261">
        <f>IF(J261&lt;&gt;"H","",INDEX(Transaksi!$A$2:$A$2001,MATCH(S261,Transaksi!$M$2:$M$2001,0)))</f>
        <v/>
      </c>
    </row>
    <row r="262">
      <c r="A262" s="31">
        <f>IF(J262="E",IF(INDEX(Transaksi!$J$2:$J$2001,K262)&gt;0,"↑","↓"),"")</f>
        <v/>
      </c>
      <c r="B262" s="32">
        <f>IF(J262="H",CHOOSE(WEEKDAY(T262,2),"Isnin","Selasa","Rabu","Khamis","Jumaat","Sabtu","Ahad")&amp;", "&amp;DAY(T262)&amp;" "&amp;CHOOSE(MONTH(T262),"Jan","Feb","Mac","Apr","Mei","Jun","Jul","Ogo","Sep","Okt","Nov","Dis")&amp;" "&amp;YEAR(T262),IF(J262="E",IF(INDEX(Transaksi!$B$2:$B$2001,K262)="",INDEX(Transaksi!$C$2:$C$2001,K262)&amp;" · "&amp;INDEX(Transaksi!$D$2:$D$2001,K262),INDEX(Transaksi!$B$2:$B$2001,K262)),""))</f>
        <v/>
      </c>
      <c r="C262" s="32">
        <f>IF(J262="E",INDEX(Transaksi!$C$2:$C$2001,K262)&amp;"","")</f>
        <v/>
      </c>
      <c r="D262" s="32">
        <f>IF(J262="E",INDEX(Transaksi!$D$2:$D$2001,K262)&amp;"","")</f>
        <v/>
      </c>
      <c r="E262" s="33">
        <f>IF(J262="H",SUMIFS(Transaksi!$G$2:$G$2001,Transaksi!$M$2:$M$2001,"="&amp;S262)+SUMIFS(Transaksi!$H$2:$H$2001,Transaksi!$M$2:$M$2001,"="&amp;S262)+SUMIFS(Transaksi!$I$2:$I$2001,Transaksi!$M$2:$M$2001,"="&amp;S262),IF(J262="E",IF(INDEX(Transaksi!$G$2:$G$2001,K262)+INDEX(Transaksi!$H$2:$H$2001,K262)+INDEX(Transaksi!$I$2:$I$2001,K262)=0,"",INDEX(Transaksi!$G$2:$G$2001,K262)+INDEX(Transaksi!$H$2:$H$2001,K262)+INDEX(Transaksi!$I$2:$I$2001,K262)),""))</f>
        <v/>
      </c>
      <c r="F262" s="33">
        <f>IF(J262="H",SUMIFS(Transaksi!$J$2:$J$2001,Transaksi!$M$2:$M$2001,"="&amp;S262),IF(J262="E",IF(INDEX(Transaksi!$J$2:$J$2001,K262)=0,"",INDEX(Transaksi!$J$2:$J$2001,K262)),""))</f>
        <v/>
      </c>
      <c r="G262" s="33">
        <f>IF(J262="H",(SUMIFS(Transaksi!$G$2:$G$2001,Transaksi!$M$2:$M$2001,"&lt;="&amp;S262)+SUMIFS(Transaksi!$H$2:$H$2001,Transaksi!$M$2:$M$2001,"&lt;="&amp;S262)+SUMIFS(Transaksi!$I$2:$I$2001,Transaksi!$M$2:$M$2001,"&lt;="&amp;S262))-(SUMIFS(Transaksi!$J$2:$J$2001,Transaksi!$M$2:$M$2001,"&lt;="&amp;S262)),"")</f>
        <v/>
      </c>
      <c r="I262">
        <f>IF(259&gt;$O$2,"",MATCH(259,$Q$3:$Q$402,1))</f>
        <v/>
      </c>
      <c r="J262">
        <f>IF(I262="","",IF(259=INDEX($Q$3:$Q$402,I262),"H","E"))</f>
        <v/>
      </c>
      <c r="K262">
        <f>IF(J262&lt;&gt;"E","",MATCH(S262,Transaksi!$M$2:$M$2001,0)+259-INDEX($Q$3:$Q$402,I262)-1)</f>
        <v/>
      </c>
      <c r="N262" t="n">
        <v>260</v>
      </c>
      <c r="O262">
        <f>IF(N262&lt;=$O$1,$O$1-N262+1,"")</f>
        <v/>
      </c>
      <c r="P262">
        <f>IF(O262="",0,COUNTIF(Transaksi!$M$2:$M$2001,O262)+1)</f>
        <v/>
      </c>
      <c r="Q262">
        <f>1+SUM(P$2:P261)</f>
        <v/>
      </c>
      <c r="S262">
        <f>IF(I262="","",INDEX($O$3:$O$402,I262))</f>
        <v/>
      </c>
      <c r="T262">
        <f>IF(J262&lt;&gt;"H","",INDEX(Transaksi!$A$2:$A$2001,MATCH(S262,Transaksi!$M$2:$M$2001,0)))</f>
        <v/>
      </c>
    </row>
    <row r="263">
      <c r="A263" s="31">
        <f>IF(J263="E",IF(INDEX(Transaksi!$J$2:$J$2001,K263)&gt;0,"↑","↓"),"")</f>
        <v/>
      </c>
      <c r="B263" s="32">
        <f>IF(J263="H",CHOOSE(WEEKDAY(T263,2),"Isnin","Selasa","Rabu","Khamis","Jumaat","Sabtu","Ahad")&amp;", "&amp;DAY(T263)&amp;" "&amp;CHOOSE(MONTH(T263),"Jan","Feb","Mac","Apr","Mei","Jun","Jul","Ogo","Sep","Okt","Nov","Dis")&amp;" "&amp;YEAR(T263),IF(J263="E",IF(INDEX(Transaksi!$B$2:$B$2001,K263)="",INDEX(Transaksi!$C$2:$C$2001,K263)&amp;" · "&amp;INDEX(Transaksi!$D$2:$D$2001,K263),INDEX(Transaksi!$B$2:$B$2001,K263)),""))</f>
        <v/>
      </c>
      <c r="C263" s="32">
        <f>IF(J263="E",INDEX(Transaksi!$C$2:$C$2001,K263)&amp;"","")</f>
        <v/>
      </c>
      <c r="D263" s="32">
        <f>IF(J263="E",INDEX(Transaksi!$D$2:$D$2001,K263)&amp;"","")</f>
        <v/>
      </c>
      <c r="E263" s="33">
        <f>IF(J263="H",SUMIFS(Transaksi!$G$2:$G$2001,Transaksi!$M$2:$M$2001,"="&amp;S263)+SUMIFS(Transaksi!$H$2:$H$2001,Transaksi!$M$2:$M$2001,"="&amp;S263)+SUMIFS(Transaksi!$I$2:$I$2001,Transaksi!$M$2:$M$2001,"="&amp;S263),IF(J263="E",IF(INDEX(Transaksi!$G$2:$G$2001,K263)+INDEX(Transaksi!$H$2:$H$2001,K263)+INDEX(Transaksi!$I$2:$I$2001,K263)=0,"",INDEX(Transaksi!$G$2:$G$2001,K263)+INDEX(Transaksi!$H$2:$H$2001,K263)+INDEX(Transaksi!$I$2:$I$2001,K263)),""))</f>
        <v/>
      </c>
      <c r="F263" s="33">
        <f>IF(J263="H",SUMIFS(Transaksi!$J$2:$J$2001,Transaksi!$M$2:$M$2001,"="&amp;S263),IF(J263="E",IF(INDEX(Transaksi!$J$2:$J$2001,K263)=0,"",INDEX(Transaksi!$J$2:$J$2001,K263)),""))</f>
        <v/>
      </c>
      <c r="G263" s="33">
        <f>IF(J263="H",(SUMIFS(Transaksi!$G$2:$G$2001,Transaksi!$M$2:$M$2001,"&lt;="&amp;S263)+SUMIFS(Transaksi!$H$2:$H$2001,Transaksi!$M$2:$M$2001,"&lt;="&amp;S263)+SUMIFS(Transaksi!$I$2:$I$2001,Transaksi!$M$2:$M$2001,"&lt;="&amp;S263))-(SUMIFS(Transaksi!$J$2:$J$2001,Transaksi!$M$2:$M$2001,"&lt;="&amp;S263)),"")</f>
        <v/>
      </c>
      <c r="I263">
        <f>IF(260&gt;$O$2,"",MATCH(260,$Q$3:$Q$402,1))</f>
        <v/>
      </c>
      <c r="J263">
        <f>IF(I263="","",IF(260=INDEX($Q$3:$Q$402,I263),"H","E"))</f>
        <v/>
      </c>
      <c r="K263">
        <f>IF(J263&lt;&gt;"E","",MATCH(S263,Transaksi!$M$2:$M$2001,0)+260-INDEX($Q$3:$Q$402,I263)-1)</f>
        <v/>
      </c>
      <c r="N263" t="n">
        <v>261</v>
      </c>
      <c r="O263">
        <f>IF(N263&lt;=$O$1,$O$1-N263+1,"")</f>
        <v/>
      </c>
      <c r="P263">
        <f>IF(O263="",0,COUNTIF(Transaksi!$M$2:$M$2001,O263)+1)</f>
        <v/>
      </c>
      <c r="Q263">
        <f>1+SUM(P$2:P262)</f>
        <v/>
      </c>
      <c r="S263">
        <f>IF(I263="","",INDEX($O$3:$O$402,I263))</f>
        <v/>
      </c>
      <c r="T263">
        <f>IF(J263&lt;&gt;"H","",INDEX(Transaksi!$A$2:$A$2001,MATCH(S263,Transaksi!$M$2:$M$2001,0)))</f>
        <v/>
      </c>
    </row>
    <row r="264">
      <c r="A264" s="31">
        <f>IF(J264="E",IF(INDEX(Transaksi!$J$2:$J$2001,K264)&gt;0,"↑","↓"),"")</f>
        <v/>
      </c>
      <c r="B264" s="32">
        <f>IF(J264="H",CHOOSE(WEEKDAY(T264,2),"Isnin","Selasa","Rabu","Khamis","Jumaat","Sabtu","Ahad")&amp;", "&amp;DAY(T264)&amp;" "&amp;CHOOSE(MONTH(T264),"Jan","Feb","Mac","Apr","Mei","Jun","Jul","Ogo","Sep","Okt","Nov","Dis")&amp;" "&amp;YEAR(T264),IF(J264="E",IF(INDEX(Transaksi!$B$2:$B$2001,K264)="",INDEX(Transaksi!$C$2:$C$2001,K264)&amp;" · "&amp;INDEX(Transaksi!$D$2:$D$2001,K264),INDEX(Transaksi!$B$2:$B$2001,K264)),""))</f>
        <v/>
      </c>
      <c r="C264" s="32">
        <f>IF(J264="E",INDEX(Transaksi!$C$2:$C$2001,K264)&amp;"","")</f>
        <v/>
      </c>
      <c r="D264" s="32">
        <f>IF(J264="E",INDEX(Transaksi!$D$2:$D$2001,K264)&amp;"","")</f>
        <v/>
      </c>
      <c r="E264" s="33">
        <f>IF(J264="H",SUMIFS(Transaksi!$G$2:$G$2001,Transaksi!$M$2:$M$2001,"="&amp;S264)+SUMIFS(Transaksi!$H$2:$H$2001,Transaksi!$M$2:$M$2001,"="&amp;S264)+SUMIFS(Transaksi!$I$2:$I$2001,Transaksi!$M$2:$M$2001,"="&amp;S264),IF(J264="E",IF(INDEX(Transaksi!$G$2:$G$2001,K264)+INDEX(Transaksi!$H$2:$H$2001,K264)+INDEX(Transaksi!$I$2:$I$2001,K264)=0,"",INDEX(Transaksi!$G$2:$G$2001,K264)+INDEX(Transaksi!$H$2:$H$2001,K264)+INDEX(Transaksi!$I$2:$I$2001,K264)),""))</f>
        <v/>
      </c>
      <c r="F264" s="33">
        <f>IF(J264="H",SUMIFS(Transaksi!$J$2:$J$2001,Transaksi!$M$2:$M$2001,"="&amp;S264),IF(J264="E",IF(INDEX(Transaksi!$J$2:$J$2001,K264)=0,"",INDEX(Transaksi!$J$2:$J$2001,K264)),""))</f>
        <v/>
      </c>
      <c r="G264" s="33">
        <f>IF(J264="H",(SUMIFS(Transaksi!$G$2:$G$2001,Transaksi!$M$2:$M$2001,"&lt;="&amp;S264)+SUMIFS(Transaksi!$H$2:$H$2001,Transaksi!$M$2:$M$2001,"&lt;="&amp;S264)+SUMIFS(Transaksi!$I$2:$I$2001,Transaksi!$M$2:$M$2001,"&lt;="&amp;S264))-(SUMIFS(Transaksi!$J$2:$J$2001,Transaksi!$M$2:$M$2001,"&lt;="&amp;S264)),"")</f>
        <v/>
      </c>
      <c r="I264">
        <f>IF(261&gt;$O$2,"",MATCH(261,$Q$3:$Q$402,1))</f>
        <v/>
      </c>
      <c r="J264">
        <f>IF(I264="","",IF(261=INDEX($Q$3:$Q$402,I264),"H","E"))</f>
        <v/>
      </c>
      <c r="K264">
        <f>IF(J264&lt;&gt;"E","",MATCH(S264,Transaksi!$M$2:$M$2001,0)+261-INDEX($Q$3:$Q$402,I264)-1)</f>
        <v/>
      </c>
      <c r="N264" t="n">
        <v>262</v>
      </c>
      <c r="O264">
        <f>IF(N264&lt;=$O$1,$O$1-N264+1,"")</f>
        <v/>
      </c>
      <c r="P264">
        <f>IF(O264="",0,COUNTIF(Transaksi!$M$2:$M$2001,O264)+1)</f>
        <v/>
      </c>
      <c r="Q264">
        <f>1+SUM(P$2:P263)</f>
        <v/>
      </c>
      <c r="S264">
        <f>IF(I264="","",INDEX($O$3:$O$402,I264))</f>
        <v/>
      </c>
      <c r="T264">
        <f>IF(J264&lt;&gt;"H","",INDEX(Transaksi!$A$2:$A$2001,MATCH(S264,Transaksi!$M$2:$M$2001,0)))</f>
        <v/>
      </c>
    </row>
    <row r="265">
      <c r="A265" s="31">
        <f>IF(J265="E",IF(INDEX(Transaksi!$J$2:$J$2001,K265)&gt;0,"↑","↓"),"")</f>
        <v/>
      </c>
      <c r="B265" s="32">
        <f>IF(J265="H",CHOOSE(WEEKDAY(T265,2),"Isnin","Selasa","Rabu","Khamis","Jumaat","Sabtu","Ahad")&amp;", "&amp;DAY(T265)&amp;" "&amp;CHOOSE(MONTH(T265),"Jan","Feb","Mac","Apr","Mei","Jun","Jul","Ogo","Sep","Okt","Nov","Dis")&amp;" "&amp;YEAR(T265),IF(J265="E",IF(INDEX(Transaksi!$B$2:$B$2001,K265)="",INDEX(Transaksi!$C$2:$C$2001,K265)&amp;" · "&amp;INDEX(Transaksi!$D$2:$D$2001,K265),INDEX(Transaksi!$B$2:$B$2001,K265)),""))</f>
        <v/>
      </c>
      <c r="C265" s="32">
        <f>IF(J265="E",INDEX(Transaksi!$C$2:$C$2001,K265)&amp;"","")</f>
        <v/>
      </c>
      <c r="D265" s="32">
        <f>IF(J265="E",INDEX(Transaksi!$D$2:$D$2001,K265)&amp;"","")</f>
        <v/>
      </c>
      <c r="E265" s="33">
        <f>IF(J265="H",SUMIFS(Transaksi!$G$2:$G$2001,Transaksi!$M$2:$M$2001,"="&amp;S265)+SUMIFS(Transaksi!$H$2:$H$2001,Transaksi!$M$2:$M$2001,"="&amp;S265)+SUMIFS(Transaksi!$I$2:$I$2001,Transaksi!$M$2:$M$2001,"="&amp;S265),IF(J265="E",IF(INDEX(Transaksi!$G$2:$G$2001,K265)+INDEX(Transaksi!$H$2:$H$2001,K265)+INDEX(Transaksi!$I$2:$I$2001,K265)=0,"",INDEX(Transaksi!$G$2:$G$2001,K265)+INDEX(Transaksi!$H$2:$H$2001,K265)+INDEX(Transaksi!$I$2:$I$2001,K265)),""))</f>
        <v/>
      </c>
      <c r="F265" s="33">
        <f>IF(J265="H",SUMIFS(Transaksi!$J$2:$J$2001,Transaksi!$M$2:$M$2001,"="&amp;S265),IF(J265="E",IF(INDEX(Transaksi!$J$2:$J$2001,K265)=0,"",INDEX(Transaksi!$J$2:$J$2001,K265)),""))</f>
        <v/>
      </c>
      <c r="G265" s="33">
        <f>IF(J265="H",(SUMIFS(Transaksi!$G$2:$G$2001,Transaksi!$M$2:$M$2001,"&lt;="&amp;S265)+SUMIFS(Transaksi!$H$2:$H$2001,Transaksi!$M$2:$M$2001,"&lt;="&amp;S265)+SUMIFS(Transaksi!$I$2:$I$2001,Transaksi!$M$2:$M$2001,"&lt;="&amp;S265))-(SUMIFS(Transaksi!$J$2:$J$2001,Transaksi!$M$2:$M$2001,"&lt;="&amp;S265)),"")</f>
        <v/>
      </c>
      <c r="I265">
        <f>IF(262&gt;$O$2,"",MATCH(262,$Q$3:$Q$402,1))</f>
        <v/>
      </c>
      <c r="J265">
        <f>IF(I265="","",IF(262=INDEX($Q$3:$Q$402,I265),"H","E"))</f>
        <v/>
      </c>
      <c r="K265">
        <f>IF(J265&lt;&gt;"E","",MATCH(S265,Transaksi!$M$2:$M$2001,0)+262-INDEX($Q$3:$Q$402,I265)-1)</f>
        <v/>
      </c>
      <c r="N265" t="n">
        <v>263</v>
      </c>
      <c r="O265">
        <f>IF(N265&lt;=$O$1,$O$1-N265+1,"")</f>
        <v/>
      </c>
      <c r="P265">
        <f>IF(O265="",0,COUNTIF(Transaksi!$M$2:$M$2001,O265)+1)</f>
        <v/>
      </c>
      <c r="Q265">
        <f>1+SUM(P$2:P264)</f>
        <v/>
      </c>
      <c r="S265">
        <f>IF(I265="","",INDEX($O$3:$O$402,I265))</f>
        <v/>
      </c>
      <c r="T265">
        <f>IF(J265&lt;&gt;"H","",INDEX(Transaksi!$A$2:$A$2001,MATCH(S265,Transaksi!$M$2:$M$2001,0)))</f>
        <v/>
      </c>
    </row>
    <row r="266">
      <c r="A266" s="31">
        <f>IF(J266="E",IF(INDEX(Transaksi!$J$2:$J$2001,K266)&gt;0,"↑","↓"),"")</f>
        <v/>
      </c>
      <c r="B266" s="32">
        <f>IF(J266="H",CHOOSE(WEEKDAY(T266,2),"Isnin","Selasa","Rabu","Khamis","Jumaat","Sabtu","Ahad")&amp;", "&amp;DAY(T266)&amp;" "&amp;CHOOSE(MONTH(T266),"Jan","Feb","Mac","Apr","Mei","Jun","Jul","Ogo","Sep","Okt","Nov","Dis")&amp;" "&amp;YEAR(T266),IF(J266="E",IF(INDEX(Transaksi!$B$2:$B$2001,K266)="",INDEX(Transaksi!$C$2:$C$2001,K266)&amp;" · "&amp;INDEX(Transaksi!$D$2:$D$2001,K266),INDEX(Transaksi!$B$2:$B$2001,K266)),""))</f>
        <v/>
      </c>
      <c r="C266" s="32">
        <f>IF(J266="E",INDEX(Transaksi!$C$2:$C$2001,K266)&amp;"","")</f>
        <v/>
      </c>
      <c r="D266" s="32">
        <f>IF(J266="E",INDEX(Transaksi!$D$2:$D$2001,K266)&amp;"","")</f>
        <v/>
      </c>
      <c r="E266" s="33">
        <f>IF(J266="H",SUMIFS(Transaksi!$G$2:$G$2001,Transaksi!$M$2:$M$2001,"="&amp;S266)+SUMIFS(Transaksi!$H$2:$H$2001,Transaksi!$M$2:$M$2001,"="&amp;S266)+SUMIFS(Transaksi!$I$2:$I$2001,Transaksi!$M$2:$M$2001,"="&amp;S266),IF(J266="E",IF(INDEX(Transaksi!$G$2:$G$2001,K266)+INDEX(Transaksi!$H$2:$H$2001,K266)+INDEX(Transaksi!$I$2:$I$2001,K266)=0,"",INDEX(Transaksi!$G$2:$G$2001,K266)+INDEX(Transaksi!$H$2:$H$2001,K266)+INDEX(Transaksi!$I$2:$I$2001,K266)),""))</f>
        <v/>
      </c>
      <c r="F266" s="33">
        <f>IF(J266="H",SUMIFS(Transaksi!$J$2:$J$2001,Transaksi!$M$2:$M$2001,"="&amp;S266),IF(J266="E",IF(INDEX(Transaksi!$J$2:$J$2001,K266)=0,"",INDEX(Transaksi!$J$2:$J$2001,K266)),""))</f>
        <v/>
      </c>
      <c r="G266" s="33">
        <f>IF(J266="H",(SUMIFS(Transaksi!$G$2:$G$2001,Transaksi!$M$2:$M$2001,"&lt;="&amp;S266)+SUMIFS(Transaksi!$H$2:$H$2001,Transaksi!$M$2:$M$2001,"&lt;="&amp;S266)+SUMIFS(Transaksi!$I$2:$I$2001,Transaksi!$M$2:$M$2001,"&lt;="&amp;S266))-(SUMIFS(Transaksi!$J$2:$J$2001,Transaksi!$M$2:$M$2001,"&lt;="&amp;S266)),"")</f>
        <v/>
      </c>
      <c r="I266">
        <f>IF(263&gt;$O$2,"",MATCH(263,$Q$3:$Q$402,1))</f>
        <v/>
      </c>
      <c r="J266">
        <f>IF(I266="","",IF(263=INDEX($Q$3:$Q$402,I266),"H","E"))</f>
        <v/>
      </c>
      <c r="K266">
        <f>IF(J266&lt;&gt;"E","",MATCH(S266,Transaksi!$M$2:$M$2001,0)+263-INDEX($Q$3:$Q$402,I266)-1)</f>
        <v/>
      </c>
      <c r="N266" t="n">
        <v>264</v>
      </c>
      <c r="O266">
        <f>IF(N266&lt;=$O$1,$O$1-N266+1,"")</f>
        <v/>
      </c>
      <c r="P266">
        <f>IF(O266="",0,COUNTIF(Transaksi!$M$2:$M$2001,O266)+1)</f>
        <v/>
      </c>
      <c r="Q266">
        <f>1+SUM(P$2:P265)</f>
        <v/>
      </c>
      <c r="S266">
        <f>IF(I266="","",INDEX($O$3:$O$402,I266))</f>
        <v/>
      </c>
      <c r="T266">
        <f>IF(J266&lt;&gt;"H","",INDEX(Transaksi!$A$2:$A$2001,MATCH(S266,Transaksi!$M$2:$M$2001,0)))</f>
        <v/>
      </c>
    </row>
    <row r="267">
      <c r="A267" s="31">
        <f>IF(J267="E",IF(INDEX(Transaksi!$J$2:$J$2001,K267)&gt;0,"↑","↓"),"")</f>
        <v/>
      </c>
      <c r="B267" s="32">
        <f>IF(J267="H",CHOOSE(WEEKDAY(T267,2),"Isnin","Selasa","Rabu","Khamis","Jumaat","Sabtu","Ahad")&amp;", "&amp;DAY(T267)&amp;" "&amp;CHOOSE(MONTH(T267),"Jan","Feb","Mac","Apr","Mei","Jun","Jul","Ogo","Sep","Okt","Nov","Dis")&amp;" "&amp;YEAR(T267),IF(J267="E",IF(INDEX(Transaksi!$B$2:$B$2001,K267)="",INDEX(Transaksi!$C$2:$C$2001,K267)&amp;" · "&amp;INDEX(Transaksi!$D$2:$D$2001,K267),INDEX(Transaksi!$B$2:$B$2001,K267)),""))</f>
        <v/>
      </c>
      <c r="C267" s="32">
        <f>IF(J267="E",INDEX(Transaksi!$C$2:$C$2001,K267)&amp;"","")</f>
        <v/>
      </c>
      <c r="D267" s="32">
        <f>IF(J267="E",INDEX(Transaksi!$D$2:$D$2001,K267)&amp;"","")</f>
        <v/>
      </c>
      <c r="E267" s="33">
        <f>IF(J267="H",SUMIFS(Transaksi!$G$2:$G$2001,Transaksi!$M$2:$M$2001,"="&amp;S267)+SUMIFS(Transaksi!$H$2:$H$2001,Transaksi!$M$2:$M$2001,"="&amp;S267)+SUMIFS(Transaksi!$I$2:$I$2001,Transaksi!$M$2:$M$2001,"="&amp;S267),IF(J267="E",IF(INDEX(Transaksi!$G$2:$G$2001,K267)+INDEX(Transaksi!$H$2:$H$2001,K267)+INDEX(Transaksi!$I$2:$I$2001,K267)=0,"",INDEX(Transaksi!$G$2:$G$2001,K267)+INDEX(Transaksi!$H$2:$H$2001,K267)+INDEX(Transaksi!$I$2:$I$2001,K267)),""))</f>
        <v/>
      </c>
      <c r="F267" s="33">
        <f>IF(J267="H",SUMIFS(Transaksi!$J$2:$J$2001,Transaksi!$M$2:$M$2001,"="&amp;S267),IF(J267="E",IF(INDEX(Transaksi!$J$2:$J$2001,K267)=0,"",INDEX(Transaksi!$J$2:$J$2001,K267)),""))</f>
        <v/>
      </c>
      <c r="G267" s="33">
        <f>IF(J267="H",(SUMIFS(Transaksi!$G$2:$G$2001,Transaksi!$M$2:$M$2001,"&lt;="&amp;S267)+SUMIFS(Transaksi!$H$2:$H$2001,Transaksi!$M$2:$M$2001,"&lt;="&amp;S267)+SUMIFS(Transaksi!$I$2:$I$2001,Transaksi!$M$2:$M$2001,"&lt;="&amp;S267))-(SUMIFS(Transaksi!$J$2:$J$2001,Transaksi!$M$2:$M$2001,"&lt;="&amp;S267)),"")</f>
        <v/>
      </c>
      <c r="I267">
        <f>IF(264&gt;$O$2,"",MATCH(264,$Q$3:$Q$402,1))</f>
        <v/>
      </c>
      <c r="J267">
        <f>IF(I267="","",IF(264=INDEX($Q$3:$Q$402,I267),"H","E"))</f>
        <v/>
      </c>
      <c r="K267">
        <f>IF(J267&lt;&gt;"E","",MATCH(S267,Transaksi!$M$2:$M$2001,0)+264-INDEX($Q$3:$Q$402,I267)-1)</f>
        <v/>
      </c>
      <c r="N267" t="n">
        <v>265</v>
      </c>
      <c r="O267">
        <f>IF(N267&lt;=$O$1,$O$1-N267+1,"")</f>
        <v/>
      </c>
      <c r="P267">
        <f>IF(O267="",0,COUNTIF(Transaksi!$M$2:$M$2001,O267)+1)</f>
        <v/>
      </c>
      <c r="Q267">
        <f>1+SUM(P$2:P266)</f>
        <v/>
      </c>
      <c r="S267">
        <f>IF(I267="","",INDEX($O$3:$O$402,I267))</f>
        <v/>
      </c>
      <c r="T267">
        <f>IF(J267&lt;&gt;"H","",INDEX(Transaksi!$A$2:$A$2001,MATCH(S267,Transaksi!$M$2:$M$2001,0)))</f>
        <v/>
      </c>
    </row>
    <row r="268">
      <c r="A268" s="31">
        <f>IF(J268="E",IF(INDEX(Transaksi!$J$2:$J$2001,K268)&gt;0,"↑","↓"),"")</f>
        <v/>
      </c>
      <c r="B268" s="32">
        <f>IF(J268="H",CHOOSE(WEEKDAY(T268,2),"Isnin","Selasa","Rabu","Khamis","Jumaat","Sabtu","Ahad")&amp;", "&amp;DAY(T268)&amp;" "&amp;CHOOSE(MONTH(T268),"Jan","Feb","Mac","Apr","Mei","Jun","Jul","Ogo","Sep","Okt","Nov","Dis")&amp;" "&amp;YEAR(T268),IF(J268="E",IF(INDEX(Transaksi!$B$2:$B$2001,K268)="",INDEX(Transaksi!$C$2:$C$2001,K268)&amp;" · "&amp;INDEX(Transaksi!$D$2:$D$2001,K268),INDEX(Transaksi!$B$2:$B$2001,K268)),""))</f>
        <v/>
      </c>
      <c r="C268" s="32">
        <f>IF(J268="E",INDEX(Transaksi!$C$2:$C$2001,K268)&amp;"","")</f>
        <v/>
      </c>
      <c r="D268" s="32">
        <f>IF(J268="E",INDEX(Transaksi!$D$2:$D$2001,K268)&amp;"","")</f>
        <v/>
      </c>
      <c r="E268" s="33">
        <f>IF(J268="H",SUMIFS(Transaksi!$G$2:$G$2001,Transaksi!$M$2:$M$2001,"="&amp;S268)+SUMIFS(Transaksi!$H$2:$H$2001,Transaksi!$M$2:$M$2001,"="&amp;S268)+SUMIFS(Transaksi!$I$2:$I$2001,Transaksi!$M$2:$M$2001,"="&amp;S268),IF(J268="E",IF(INDEX(Transaksi!$G$2:$G$2001,K268)+INDEX(Transaksi!$H$2:$H$2001,K268)+INDEX(Transaksi!$I$2:$I$2001,K268)=0,"",INDEX(Transaksi!$G$2:$G$2001,K268)+INDEX(Transaksi!$H$2:$H$2001,K268)+INDEX(Transaksi!$I$2:$I$2001,K268)),""))</f>
        <v/>
      </c>
      <c r="F268" s="33">
        <f>IF(J268="H",SUMIFS(Transaksi!$J$2:$J$2001,Transaksi!$M$2:$M$2001,"="&amp;S268),IF(J268="E",IF(INDEX(Transaksi!$J$2:$J$2001,K268)=0,"",INDEX(Transaksi!$J$2:$J$2001,K268)),""))</f>
        <v/>
      </c>
      <c r="G268" s="33">
        <f>IF(J268="H",(SUMIFS(Transaksi!$G$2:$G$2001,Transaksi!$M$2:$M$2001,"&lt;="&amp;S268)+SUMIFS(Transaksi!$H$2:$H$2001,Transaksi!$M$2:$M$2001,"&lt;="&amp;S268)+SUMIFS(Transaksi!$I$2:$I$2001,Transaksi!$M$2:$M$2001,"&lt;="&amp;S268))-(SUMIFS(Transaksi!$J$2:$J$2001,Transaksi!$M$2:$M$2001,"&lt;="&amp;S268)),"")</f>
        <v/>
      </c>
      <c r="I268">
        <f>IF(265&gt;$O$2,"",MATCH(265,$Q$3:$Q$402,1))</f>
        <v/>
      </c>
      <c r="J268">
        <f>IF(I268="","",IF(265=INDEX($Q$3:$Q$402,I268),"H","E"))</f>
        <v/>
      </c>
      <c r="K268">
        <f>IF(J268&lt;&gt;"E","",MATCH(S268,Transaksi!$M$2:$M$2001,0)+265-INDEX($Q$3:$Q$402,I268)-1)</f>
        <v/>
      </c>
      <c r="N268" t="n">
        <v>266</v>
      </c>
      <c r="O268">
        <f>IF(N268&lt;=$O$1,$O$1-N268+1,"")</f>
        <v/>
      </c>
      <c r="P268">
        <f>IF(O268="",0,COUNTIF(Transaksi!$M$2:$M$2001,O268)+1)</f>
        <v/>
      </c>
      <c r="Q268">
        <f>1+SUM(P$2:P267)</f>
        <v/>
      </c>
      <c r="S268">
        <f>IF(I268="","",INDEX($O$3:$O$402,I268))</f>
        <v/>
      </c>
      <c r="T268">
        <f>IF(J268&lt;&gt;"H","",INDEX(Transaksi!$A$2:$A$2001,MATCH(S268,Transaksi!$M$2:$M$2001,0)))</f>
        <v/>
      </c>
    </row>
    <row r="269">
      <c r="A269" s="31">
        <f>IF(J269="E",IF(INDEX(Transaksi!$J$2:$J$2001,K269)&gt;0,"↑","↓"),"")</f>
        <v/>
      </c>
      <c r="B269" s="32">
        <f>IF(J269="H",CHOOSE(WEEKDAY(T269,2),"Isnin","Selasa","Rabu","Khamis","Jumaat","Sabtu","Ahad")&amp;", "&amp;DAY(T269)&amp;" "&amp;CHOOSE(MONTH(T269),"Jan","Feb","Mac","Apr","Mei","Jun","Jul","Ogo","Sep","Okt","Nov","Dis")&amp;" "&amp;YEAR(T269),IF(J269="E",IF(INDEX(Transaksi!$B$2:$B$2001,K269)="",INDEX(Transaksi!$C$2:$C$2001,K269)&amp;" · "&amp;INDEX(Transaksi!$D$2:$D$2001,K269),INDEX(Transaksi!$B$2:$B$2001,K269)),""))</f>
        <v/>
      </c>
      <c r="C269" s="32">
        <f>IF(J269="E",INDEX(Transaksi!$C$2:$C$2001,K269)&amp;"","")</f>
        <v/>
      </c>
      <c r="D269" s="32">
        <f>IF(J269="E",INDEX(Transaksi!$D$2:$D$2001,K269)&amp;"","")</f>
        <v/>
      </c>
      <c r="E269" s="33">
        <f>IF(J269="H",SUMIFS(Transaksi!$G$2:$G$2001,Transaksi!$M$2:$M$2001,"="&amp;S269)+SUMIFS(Transaksi!$H$2:$H$2001,Transaksi!$M$2:$M$2001,"="&amp;S269)+SUMIFS(Transaksi!$I$2:$I$2001,Transaksi!$M$2:$M$2001,"="&amp;S269),IF(J269="E",IF(INDEX(Transaksi!$G$2:$G$2001,K269)+INDEX(Transaksi!$H$2:$H$2001,K269)+INDEX(Transaksi!$I$2:$I$2001,K269)=0,"",INDEX(Transaksi!$G$2:$G$2001,K269)+INDEX(Transaksi!$H$2:$H$2001,K269)+INDEX(Transaksi!$I$2:$I$2001,K269)),""))</f>
        <v/>
      </c>
      <c r="F269" s="33">
        <f>IF(J269="H",SUMIFS(Transaksi!$J$2:$J$2001,Transaksi!$M$2:$M$2001,"="&amp;S269),IF(J269="E",IF(INDEX(Transaksi!$J$2:$J$2001,K269)=0,"",INDEX(Transaksi!$J$2:$J$2001,K269)),""))</f>
        <v/>
      </c>
      <c r="G269" s="33">
        <f>IF(J269="H",(SUMIFS(Transaksi!$G$2:$G$2001,Transaksi!$M$2:$M$2001,"&lt;="&amp;S269)+SUMIFS(Transaksi!$H$2:$H$2001,Transaksi!$M$2:$M$2001,"&lt;="&amp;S269)+SUMIFS(Transaksi!$I$2:$I$2001,Transaksi!$M$2:$M$2001,"&lt;="&amp;S269))-(SUMIFS(Transaksi!$J$2:$J$2001,Transaksi!$M$2:$M$2001,"&lt;="&amp;S269)),"")</f>
        <v/>
      </c>
      <c r="I269">
        <f>IF(266&gt;$O$2,"",MATCH(266,$Q$3:$Q$402,1))</f>
        <v/>
      </c>
      <c r="J269">
        <f>IF(I269="","",IF(266=INDEX($Q$3:$Q$402,I269),"H","E"))</f>
        <v/>
      </c>
      <c r="K269">
        <f>IF(J269&lt;&gt;"E","",MATCH(S269,Transaksi!$M$2:$M$2001,0)+266-INDEX($Q$3:$Q$402,I269)-1)</f>
        <v/>
      </c>
      <c r="N269" t="n">
        <v>267</v>
      </c>
      <c r="O269">
        <f>IF(N269&lt;=$O$1,$O$1-N269+1,"")</f>
        <v/>
      </c>
      <c r="P269">
        <f>IF(O269="",0,COUNTIF(Transaksi!$M$2:$M$2001,O269)+1)</f>
        <v/>
      </c>
      <c r="Q269">
        <f>1+SUM(P$2:P268)</f>
        <v/>
      </c>
      <c r="S269">
        <f>IF(I269="","",INDEX($O$3:$O$402,I269))</f>
        <v/>
      </c>
      <c r="T269">
        <f>IF(J269&lt;&gt;"H","",INDEX(Transaksi!$A$2:$A$2001,MATCH(S269,Transaksi!$M$2:$M$2001,0)))</f>
        <v/>
      </c>
    </row>
    <row r="270">
      <c r="A270" s="31">
        <f>IF(J270="E",IF(INDEX(Transaksi!$J$2:$J$2001,K270)&gt;0,"↑","↓"),"")</f>
        <v/>
      </c>
      <c r="B270" s="32">
        <f>IF(J270="H",CHOOSE(WEEKDAY(T270,2),"Isnin","Selasa","Rabu","Khamis","Jumaat","Sabtu","Ahad")&amp;", "&amp;DAY(T270)&amp;" "&amp;CHOOSE(MONTH(T270),"Jan","Feb","Mac","Apr","Mei","Jun","Jul","Ogo","Sep","Okt","Nov","Dis")&amp;" "&amp;YEAR(T270),IF(J270="E",IF(INDEX(Transaksi!$B$2:$B$2001,K270)="",INDEX(Transaksi!$C$2:$C$2001,K270)&amp;" · "&amp;INDEX(Transaksi!$D$2:$D$2001,K270),INDEX(Transaksi!$B$2:$B$2001,K270)),""))</f>
        <v/>
      </c>
      <c r="C270" s="32">
        <f>IF(J270="E",INDEX(Transaksi!$C$2:$C$2001,K270)&amp;"","")</f>
        <v/>
      </c>
      <c r="D270" s="32">
        <f>IF(J270="E",INDEX(Transaksi!$D$2:$D$2001,K270)&amp;"","")</f>
        <v/>
      </c>
      <c r="E270" s="33">
        <f>IF(J270="H",SUMIFS(Transaksi!$G$2:$G$2001,Transaksi!$M$2:$M$2001,"="&amp;S270)+SUMIFS(Transaksi!$H$2:$H$2001,Transaksi!$M$2:$M$2001,"="&amp;S270)+SUMIFS(Transaksi!$I$2:$I$2001,Transaksi!$M$2:$M$2001,"="&amp;S270),IF(J270="E",IF(INDEX(Transaksi!$G$2:$G$2001,K270)+INDEX(Transaksi!$H$2:$H$2001,K270)+INDEX(Transaksi!$I$2:$I$2001,K270)=0,"",INDEX(Transaksi!$G$2:$G$2001,K270)+INDEX(Transaksi!$H$2:$H$2001,K270)+INDEX(Transaksi!$I$2:$I$2001,K270)),""))</f>
        <v/>
      </c>
      <c r="F270" s="33">
        <f>IF(J270="H",SUMIFS(Transaksi!$J$2:$J$2001,Transaksi!$M$2:$M$2001,"="&amp;S270),IF(J270="E",IF(INDEX(Transaksi!$J$2:$J$2001,K270)=0,"",INDEX(Transaksi!$J$2:$J$2001,K270)),""))</f>
        <v/>
      </c>
      <c r="G270" s="33">
        <f>IF(J270="H",(SUMIFS(Transaksi!$G$2:$G$2001,Transaksi!$M$2:$M$2001,"&lt;="&amp;S270)+SUMIFS(Transaksi!$H$2:$H$2001,Transaksi!$M$2:$M$2001,"&lt;="&amp;S270)+SUMIFS(Transaksi!$I$2:$I$2001,Transaksi!$M$2:$M$2001,"&lt;="&amp;S270))-(SUMIFS(Transaksi!$J$2:$J$2001,Transaksi!$M$2:$M$2001,"&lt;="&amp;S270)),"")</f>
        <v/>
      </c>
      <c r="I270">
        <f>IF(267&gt;$O$2,"",MATCH(267,$Q$3:$Q$402,1))</f>
        <v/>
      </c>
      <c r="J270">
        <f>IF(I270="","",IF(267=INDEX($Q$3:$Q$402,I270),"H","E"))</f>
        <v/>
      </c>
      <c r="K270">
        <f>IF(J270&lt;&gt;"E","",MATCH(S270,Transaksi!$M$2:$M$2001,0)+267-INDEX($Q$3:$Q$402,I270)-1)</f>
        <v/>
      </c>
      <c r="N270" t="n">
        <v>268</v>
      </c>
      <c r="O270">
        <f>IF(N270&lt;=$O$1,$O$1-N270+1,"")</f>
        <v/>
      </c>
      <c r="P270">
        <f>IF(O270="",0,COUNTIF(Transaksi!$M$2:$M$2001,O270)+1)</f>
        <v/>
      </c>
      <c r="Q270">
        <f>1+SUM(P$2:P269)</f>
        <v/>
      </c>
      <c r="S270">
        <f>IF(I270="","",INDEX($O$3:$O$402,I270))</f>
        <v/>
      </c>
      <c r="T270">
        <f>IF(J270&lt;&gt;"H","",INDEX(Transaksi!$A$2:$A$2001,MATCH(S270,Transaksi!$M$2:$M$2001,0)))</f>
        <v/>
      </c>
    </row>
    <row r="271">
      <c r="A271" s="31">
        <f>IF(J271="E",IF(INDEX(Transaksi!$J$2:$J$2001,K271)&gt;0,"↑","↓"),"")</f>
        <v/>
      </c>
      <c r="B271" s="32">
        <f>IF(J271="H",CHOOSE(WEEKDAY(T271,2),"Isnin","Selasa","Rabu","Khamis","Jumaat","Sabtu","Ahad")&amp;", "&amp;DAY(T271)&amp;" "&amp;CHOOSE(MONTH(T271),"Jan","Feb","Mac","Apr","Mei","Jun","Jul","Ogo","Sep","Okt","Nov","Dis")&amp;" "&amp;YEAR(T271),IF(J271="E",IF(INDEX(Transaksi!$B$2:$B$2001,K271)="",INDEX(Transaksi!$C$2:$C$2001,K271)&amp;" · "&amp;INDEX(Transaksi!$D$2:$D$2001,K271),INDEX(Transaksi!$B$2:$B$2001,K271)),""))</f>
        <v/>
      </c>
      <c r="C271" s="32">
        <f>IF(J271="E",INDEX(Transaksi!$C$2:$C$2001,K271)&amp;"","")</f>
        <v/>
      </c>
      <c r="D271" s="32">
        <f>IF(J271="E",INDEX(Transaksi!$D$2:$D$2001,K271)&amp;"","")</f>
        <v/>
      </c>
      <c r="E271" s="33">
        <f>IF(J271="H",SUMIFS(Transaksi!$G$2:$G$2001,Transaksi!$M$2:$M$2001,"="&amp;S271)+SUMIFS(Transaksi!$H$2:$H$2001,Transaksi!$M$2:$M$2001,"="&amp;S271)+SUMIFS(Transaksi!$I$2:$I$2001,Transaksi!$M$2:$M$2001,"="&amp;S271),IF(J271="E",IF(INDEX(Transaksi!$G$2:$G$2001,K271)+INDEX(Transaksi!$H$2:$H$2001,K271)+INDEX(Transaksi!$I$2:$I$2001,K271)=0,"",INDEX(Transaksi!$G$2:$G$2001,K271)+INDEX(Transaksi!$H$2:$H$2001,K271)+INDEX(Transaksi!$I$2:$I$2001,K271)),""))</f>
        <v/>
      </c>
      <c r="F271" s="33">
        <f>IF(J271="H",SUMIFS(Transaksi!$J$2:$J$2001,Transaksi!$M$2:$M$2001,"="&amp;S271),IF(J271="E",IF(INDEX(Transaksi!$J$2:$J$2001,K271)=0,"",INDEX(Transaksi!$J$2:$J$2001,K271)),""))</f>
        <v/>
      </c>
      <c r="G271" s="33">
        <f>IF(J271="H",(SUMIFS(Transaksi!$G$2:$G$2001,Transaksi!$M$2:$M$2001,"&lt;="&amp;S271)+SUMIFS(Transaksi!$H$2:$H$2001,Transaksi!$M$2:$M$2001,"&lt;="&amp;S271)+SUMIFS(Transaksi!$I$2:$I$2001,Transaksi!$M$2:$M$2001,"&lt;="&amp;S271))-(SUMIFS(Transaksi!$J$2:$J$2001,Transaksi!$M$2:$M$2001,"&lt;="&amp;S271)),"")</f>
        <v/>
      </c>
      <c r="I271">
        <f>IF(268&gt;$O$2,"",MATCH(268,$Q$3:$Q$402,1))</f>
        <v/>
      </c>
      <c r="J271">
        <f>IF(I271="","",IF(268=INDEX($Q$3:$Q$402,I271),"H","E"))</f>
        <v/>
      </c>
      <c r="K271">
        <f>IF(J271&lt;&gt;"E","",MATCH(S271,Transaksi!$M$2:$M$2001,0)+268-INDEX($Q$3:$Q$402,I271)-1)</f>
        <v/>
      </c>
      <c r="N271" t="n">
        <v>269</v>
      </c>
      <c r="O271">
        <f>IF(N271&lt;=$O$1,$O$1-N271+1,"")</f>
        <v/>
      </c>
      <c r="P271">
        <f>IF(O271="",0,COUNTIF(Transaksi!$M$2:$M$2001,O271)+1)</f>
        <v/>
      </c>
      <c r="Q271">
        <f>1+SUM(P$2:P270)</f>
        <v/>
      </c>
      <c r="S271">
        <f>IF(I271="","",INDEX($O$3:$O$402,I271))</f>
        <v/>
      </c>
      <c r="T271">
        <f>IF(J271&lt;&gt;"H","",INDEX(Transaksi!$A$2:$A$2001,MATCH(S271,Transaksi!$M$2:$M$2001,0)))</f>
        <v/>
      </c>
    </row>
    <row r="272">
      <c r="A272" s="31">
        <f>IF(J272="E",IF(INDEX(Transaksi!$J$2:$J$2001,K272)&gt;0,"↑","↓"),"")</f>
        <v/>
      </c>
      <c r="B272" s="32">
        <f>IF(J272="H",CHOOSE(WEEKDAY(T272,2),"Isnin","Selasa","Rabu","Khamis","Jumaat","Sabtu","Ahad")&amp;", "&amp;DAY(T272)&amp;" "&amp;CHOOSE(MONTH(T272),"Jan","Feb","Mac","Apr","Mei","Jun","Jul","Ogo","Sep","Okt","Nov","Dis")&amp;" "&amp;YEAR(T272),IF(J272="E",IF(INDEX(Transaksi!$B$2:$B$2001,K272)="",INDEX(Transaksi!$C$2:$C$2001,K272)&amp;" · "&amp;INDEX(Transaksi!$D$2:$D$2001,K272),INDEX(Transaksi!$B$2:$B$2001,K272)),""))</f>
        <v/>
      </c>
      <c r="C272" s="32">
        <f>IF(J272="E",INDEX(Transaksi!$C$2:$C$2001,K272)&amp;"","")</f>
        <v/>
      </c>
      <c r="D272" s="32">
        <f>IF(J272="E",INDEX(Transaksi!$D$2:$D$2001,K272)&amp;"","")</f>
        <v/>
      </c>
      <c r="E272" s="33">
        <f>IF(J272="H",SUMIFS(Transaksi!$G$2:$G$2001,Transaksi!$M$2:$M$2001,"="&amp;S272)+SUMIFS(Transaksi!$H$2:$H$2001,Transaksi!$M$2:$M$2001,"="&amp;S272)+SUMIFS(Transaksi!$I$2:$I$2001,Transaksi!$M$2:$M$2001,"="&amp;S272),IF(J272="E",IF(INDEX(Transaksi!$G$2:$G$2001,K272)+INDEX(Transaksi!$H$2:$H$2001,K272)+INDEX(Transaksi!$I$2:$I$2001,K272)=0,"",INDEX(Transaksi!$G$2:$G$2001,K272)+INDEX(Transaksi!$H$2:$H$2001,K272)+INDEX(Transaksi!$I$2:$I$2001,K272)),""))</f>
        <v/>
      </c>
      <c r="F272" s="33">
        <f>IF(J272="H",SUMIFS(Transaksi!$J$2:$J$2001,Transaksi!$M$2:$M$2001,"="&amp;S272),IF(J272="E",IF(INDEX(Transaksi!$J$2:$J$2001,K272)=0,"",INDEX(Transaksi!$J$2:$J$2001,K272)),""))</f>
        <v/>
      </c>
      <c r="G272" s="33">
        <f>IF(J272="H",(SUMIFS(Transaksi!$G$2:$G$2001,Transaksi!$M$2:$M$2001,"&lt;="&amp;S272)+SUMIFS(Transaksi!$H$2:$H$2001,Transaksi!$M$2:$M$2001,"&lt;="&amp;S272)+SUMIFS(Transaksi!$I$2:$I$2001,Transaksi!$M$2:$M$2001,"&lt;="&amp;S272))-(SUMIFS(Transaksi!$J$2:$J$2001,Transaksi!$M$2:$M$2001,"&lt;="&amp;S272)),"")</f>
        <v/>
      </c>
      <c r="I272">
        <f>IF(269&gt;$O$2,"",MATCH(269,$Q$3:$Q$402,1))</f>
        <v/>
      </c>
      <c r="J272">
        <f>IF(I272="","",IF(269=INDEX($Q$3:$Q$402,I272),"H","E"))</f>
        <v/>
      </c>
      <c r="K272">
        <f>IF(J272&lt;&gt;"E","",MATCH(S272,Transaksi!$M$2:$M$2001,0)+269-INDEX($Q$3:$Q$402,I272)-1)</f>
        <v/>
      </c>
      <c r="N272" t="n">
        <v>270</v>
      </c>
      <c r="O272">
        <f>IF(N272&lt;=$O$1,$O$1-N272+1,"")</f>
        <v/>
      </c>
      <c r="P272">
        <f>IF(O272="",0,COUNTIF(Transaksi!$M$2:$M$2001,O272)+1)</f>
        <v/>
      </c>
      <c r="Q272">
        <f>1+SUM(P$2:P271)</f>
        <v/>
      </c>
      <c r="S272">
        <f>IF(I272="","",INDEX($O$3:$O$402,I272))</f>
        <v/>
      </c>
      <c r="T272">
        <f>IF(J272&lt;&gt;"H","",INDEX(Transaksi!$A$2:$A$2001,MATCH(S272,Transaksi!$M$2:$M$2001,0)))</f>
        <v/>
      </c>
    </row>
    <row r="273">
      <c r="A273" s="31">
        <f>IF(J273="E",IF(INDEX(Transaksi!$J$2:$J$2001,K273)&gt;0,"↑","↓"),"")</f>
        <v/>
      </c>
      <c r="B273" s="32">
        <f>IF(J273="H",CHOOSE(WEEKDAY(T273,2),"Isnin","Selasa","Rabu","Khamis","Jumaat","Sabtu","Ahad")&amp;", "&amp;DAY(T273)&amp;" "&amp;CHOOSE(MONTH(T273),"Jan","Feb","Mac","Apr","Mei","Jun","Jul","Ogo","Sep","Okt","Nov","Dis")&amp;" "&amp;YEAR(T273),IF(J273="E",IF(INDEX(Transaksi!$B$2:$B$2001,K273)="",INDEX(Transaksi!$C$2:$C$2001,K273)&amp;" · "&amp;INDEX(Transaksi!$D$2:$D$2001,K273),INDEX(Transaksi!$B$2:$B$2001,K273)),""))</f>
        <v/>
      </c>
      <c r="C273" s="32">
        <f>IF(J273="E",INDEX(Transaksi!$C$2:$C$2001,K273)&amp;"","")</f>
        <v/>
      </c>
      <c r="D273" s="32">
        <f>IF(J273="E",INDEX(Transaksi!$D$2:$D$2001,K273)&amp;"","")</f>
        <v/>
      </c>
      <c r="E273" s="33">
        <f>IF(J273="H",SUMIFS(Transaksi!$G$2:$G$2001,Transaksi!$M$2:$M$2001,"="&amp;S273)+SUMIFS(Transaksi!$H$2:$H$2001,Transaksi!$M$2:$M$2001,"="&amp;S273)+SUMIFS(Transaksi!$I$2:$I$2001,Transaksi!$M$2:$M$2001,"="&amp;S273),IF(J273="E",IF(INDEX(Transaksi!$G$2:$G$2001,K273)+INDEX(Transaksi!$H$2:$H$2001,K273)+INDEX(Transaksi!$I$2:$I$2001,K273)=0,"",INDEX(Transaksi!$G$2:$G$2001,K273)+INDEX(Transaksi!$H$2:$H$2001,K273)+INDEX(Transaksi!$I$2:$I$2001,K273)),""))</f>
        <v/>
      </c>
      <c r="F273" s="33">
        <f>IF(J273="H",SUMIFS(Transaksi!$J$2:$J$2001,Transaksi!$M$2:$M$2001,"="&amp;S273),IF(J273="E",IF(INDEX(Transaksi!$J$2:$J$2001,K273)=0,"",INDEX(Transaksi!$J$2:$J$2001,K273)),""))</f>
        <v/>
      </c>
      <c r="G273" s="33">
        <f>IF(J273="H",(SUMIFS(Transaksi!$G$2:$G$2001,Transaksi!$M$2:$M$2001,"&lt;="&amp;S273)+SUMIFS(Transaksi!$H$2:$H$2001,Transaksi!$M$2:$M$2001,"&lt;="&amp;S273)+SUMIFS(Transaksi!$I$2:$I$2001,Transaksi!$M$2:$M$2001,"&lt;="&amp;S273))-(SUMIFS(Transaksi!$J$2:$J$2001,Transaksi!$M$2:$M$2001,"&lt;="&amp;S273)),"")</f>
        <v/>
      </c>
      <c r="I273">
        <f>IF(270&gt;$O$2,"",MATCH(270,$Q$3:$Q$402,1))</f>
        <v/>
      </c>
      <c r="J273">
        <f>IF(I273="","",IF(270=INDEX($Q$3:$Q$402,I273),"H","E"))</f>
        <v/>
      </c>
      <c r="K273">
        <f>IF(J273&lt;&gt;"E","",MATCH(S273,Transaksi!$M$2:$M$2001,0)+270-INDEX($Q$3:$Q$402,I273)-1)</f>
        <v/>
      </c>
      <c r="N273" t="n">
        <v>271</v>
      </c>
      <c r="O273">
        <f>IF(N273&lt;=$O$1,$O$1-N273+1,"")</f>
        <v/>
      </c>
      <c r="P273">
        <f>IF(O273="",0,COUNTIF(Transaksi!$M$2:$M$2001,O273)+1)</f>
        <v/>
      </c>
      <c r="Q273">
        <f>1+SUM(P$2:P272)</f>
        <v/>
      </c>
      <c r="S273">
        <f>IF(I273="","",INDEX($O$3:$O$402,I273))</f>
        <v/>
      </c>
      <c r="T273">
        <f>IF(J273&lt;&gt;"H","",INDEX(Transaksi!$A$2:$A$2001,MATCH(S273,Transaksi!$M$2:$M$2001,0)))</f>
        <v/>
      </c>
    </row>
    <row r="274">
      <c r="A274" s="31">
        <f>IF(J274="E",IF(INDEX(Transaksi!$J$2:$J$2001,K274)&gt;0,"↑","↓"),"")</f>
        <v/>
      </c>
      <c r="B274" s="32">
        <f>IF(J274="H",CHOOSE(WEEKDAY(T274,2),"Isnin","Selasa","Rabu","Khamis","Jumaat","Sabtu","Ahad")&amp;", "&amp;DAY(T274)&amp;" "&amp;CHOOSE(MONTH(T274),"Jan","Feb","Mac","Apr","Mei","Jun","Jul","Ogo","Sep","Okt","Nov","Dis")&amp;" "&amp;YEAR(T274),IF(J274="E",IF(INDEX(Transaksi!$B$2:$B$2001,K274)="",INDEX(Transaksi!$C$2:$C$2001,K274)&amp;" · "&amp;INDEX(Transaksi!$D$2:$D$2001,K274),INDEX(Transaksi!$B$2:$B$2001,K274)),""))</f>
        <v/>
      </c>
      <c r="C274" s="32">
        <f>IF(J274="E",INDEX(Transaksi!$C$2:$C$2001,K274)&amp;"","")</f>
        <v/>
      </c>
      <c r="D274" s="32">
        <f>IF(J274="E",INDEX(Transaksi!$D$2:$D$2001,K274)&amp;"","")</f>
        <v/>
      </c>
      <c r="E274" s="33">
        <f>IF(J274="H",SUMIFS(Transaksi!$G$2:$G$2001,Transaksi!$M$2:$M$2001,"="&amp;S274)+SUMIFS(Transaksi!$H$2:$H$2001,Transaksi!$M$2:$M$2001,"="&amp;S274)+SUMIFS(Transaksi!$I$2:$I$2001,Transaksi!$M$2:$M$2001,"="&amp;S274),IF(J274="E",IF(INDEX(Transaksi!$G$2:$G$2001,K274)+INDEX(Transaksi!$H$2:$H$2001,K274)+INDEX(Transaksi!$I$2:$I$2001,K274)=0,"",INDEX(Transaksi!$G$2:$G$2001,K274)+INDEX(Transaksi!$H$2:$H$2001,K274)+INDEX(Transaksi!$I$2:$I$2001,K274)),""))</f>
        <v/>
      </c>
      <c r="F274" s="33">
        <f>IF(J274="H",SUMIFS(Transaksi!$J$2:$J$2001,Transaksi!$M$2:$M$2001,"="&amp;S274),IF(J274="E",IF(INDEX(Transaksi!$J$2:$J$2001,K274)=0,"",INDEX(Transaksi!$J$2:$J$2001,K274)),""))</f>
        <v/>
      </c>
      <c r="G274" s="33">
        <f>IF(J274="H",(SUMIFS(Transaksi!$G$2:$G$2001,Transaksi!$M$2:$M$2001,"&lt;="&amp;S274)+SUMIFS(Transaksi!$H$2:$H$2001,Transaksi!$M$2:$M$2001,"&lt;="&amp;S274)+SUMIFS(Transaksi!$I$2:$I$2001,Transaksi!$M$2:$M$2001,"&lt;="&amp;S274))-(SUMIFS(Transaksi!$J$2:$J$2001,Transaksi!$M$2:$M$2001,"&lt;="&amp;S274)),"")</f>
        <v/>
      </c>
      <c r="I274">
        <f>IF(271&gt;$O$2,"",MATCH(271,$Q$3:$Q$402,1))</f>
        <v/>
      </c>
      <c r="J274">
        <f>IF(I274="","",IF(271=INDEX($Q$3:$Q$402,I274),"H","E"))</f>
        <v/>
      </c>
      <c r="K274">
        <f>IF(J274&lt;&gt;"E","",MATCH(S274,Transaksi!$M$2:$M$2001,0)+271-INDEX($Q$3:$Q$402,I274)-1)</f>
        <v/>
      </c>
      <c r="N274" t="n">
        <v>272</v>
      </c>
      <c r="O274">
        <f>IF(N274&lt;=$O$1,$O$1-N274+1,"")</f>
        <v/>
      </c>
      <c r="P274">
        <f>IF(O274="",0,COUNTIF(Transaksi!$M$2:$M$2001,O274)+1)</f>
        <v/>
      </c>
      <c r="Q274">
        <f>1+SUM(P$2:P273)</f>
        <v/>
      </c>
      <c r="S274">
        <f>IF(I274="","",INDEX($O$3:$O$402,I274))</f>
        <v/>
      </c>
      <c r="T274">
        <f>IF(J274&lt;&gt;"H","",INDEX(Transaksi!$A$2:$A$2001,MATCH(S274,Transaksi!$M$2:$M$2001,0)))</f>
        <v/>
      </c>
    </row>
    <row r="275">
      <c r="A275" s="31">
        <f>IF(J275="E",IF(INDEX(Transaksi!$J$2:$J$2001,K275)&gt;0,"↑","↓"),"")</f>
        <v/>
      </c>
      <c r="B275" s="32">
        <f>IF(J275="H",CHOOSE(WEEKDAY(T275,2),"Isnin","Selasa","Rabu","Khamis","Jumaat","Sabtu","Ahad")&amp;", "&amp;DAY(T275)&amp;" "&amp;CHOOSE(MONTH(T275),"Jan","Feb","Mac","Apr","Mei","Jun","Jul","Ogo","Sep","Okt","Nov","Dis")&amp;" "&amp;YEAR(T275),IF(J275="E",IF(INDEX(Transaksi!$B$2:$B$2001,K275)="",INDEX(Transaksi!$C$2:$C$2001,K275)&amp;" · "&amp;INDEX(Transaksi!$D$2:$D$2001,K275),INDEX(Transaksi!$B$2:$B$2001,K275)),""))</f>
        <v/>
      </c>
      <c r="C275" s="32">
        <f>IF(J275="E",INDEX(Transaksi!$C$2:$C$2001,K275)&amp;"","")</f>
        <v/>
      </c>
      <c r="D275" s="32">
        <f>IF(J275="E",INDEX(Transaksi!$D$2:$D$2001,K275)&amp;"","")</f>
        <v/>
      </c>
      <c r="E275" s="33">
        <f>IF(J275="H",SUMIFS(Transaksi!$G$2:$G$2001,Transaksi!$M$2:$M$2001,"="&amp;S275)+SUMIFS(Transaksi!$H$2:$H$2001,Transaksi!$M$2:$M$2001,"="&amp;S275)+SUMIFS(Transaksi!$I$2:$I$2001,Transaksi!$M$2:$M$2001,"="&amp;S275),IF(J275="E",IF(INDEX(Transaksi!$G$2:$G$2001,K275)+INDEX(Transaksi!$H$2:$H$2001,K275)+INDEX(Transaksi!$I$2:$I$2001,K275)=0,"",INDEX(Transaksi!$G$2:$G$2001,K275)+INDEX(Transaksi!$H$2:$H$2001,K275)+INDEX(Transaksi!$I$2:$I$2001,K275)),""))</f>
        <v/>
      </c>
      <c r="F275" s="33">
        <f>IF(J275="H",SUMIFS(Transaksi!$J$2:$J$2001,Transaksi!$M$2:$M$2001,"="&amp;S275),IF(J275="E",IF(INDEX(Transaksi!$J$2:$J$2001,K275)=0,"",INDEX(Transaksi!$J$2:$J$2001,K275)),""))</f>
        <v/>
      </c>
      <c r="G275" s="33">
        <f>IF(J275="H",(SUMIFS(Transaksi!$G$2:$G$2001,Transaksi!$M$2:$M$2001,"&lt;="&amp;S275)+SUMIFS(Transaksi!$H$2:$H$2001,Transaksi!$M$2:$M$2001,"&lt;="&amp;S275)+SUMIFS(Transaksi!$I$2:$I$2001,Transaksi!$M$2:$M$2001,"&lt;="&amp;S275))-(SUMIFS(Transaksi!$J$2:$J$2001,Transaksi!$M$2:$M$2001,"&lt;="&amp;S275)),"")</f>
        <v/>
      </c>
      <c r="I275">
        <f>IF(272&gt;$O$2,"",MATCH(272,$Q$3:$Q$402,1))</f>
        <v/>
      </c>
      <c r="J275">
        <f>IF(I275="","",IF(272=INDEX($Q$3:$Q$402,I275),"H","E"))</f>
        <v/>
      </c>
      <c r="K275">
        <f>IF(J275&lt;&gt;"E","",MATCH(S275,Transaksi!$M$2:$M$2001,0)+272-INDEX($Q$3:$Q$402,I275)-1)</f>
        <v/>
      </c>
      <c r="N275" t="n">
        <v>273</v>
      </c>
      <c r="O275">
        <f>IF(N275&lt;=$O$1,$O$1-N275+1,"")</f>
        <v/>
      </c>
      <c r="P275">
        <f>IF(O275="",0,COUNTIF(Transaksi!$M$2:$M$2001,O275)+1)</f>
        <v/>
      </c>
      <c r="Q275">
        <f>1+SUM(P$2:P274)</f>
        <v/>
      </c>
      <c r="S275">
        <f>IF(I275="","",INDEX($O$3:$O$402,I275))</f>
        <v/>
      </c>
      <c r="T275">
        <f>IF(J275&lt;&gt;"H","",INDEX(Transaksi!$A$2:$A$2001,MATCH(S275,Transaksi!$M$2:$M$2001,0)))</f>
        <v/>
      </c>
    </row>
    <row r="276">
      <c r="A276" s="31">
        <f>IF(J276="E",IF(INDEX(Transaksi!$J$2:$J$2001,K276)&gt;0,"↑","↓"),"")</f>
        <v/>
      </c>
      <c r="B276" s="32">
        <f>IF(J276="H",CHOOSE(WEEKDAY(T276,2),"Isnin","Selasa","Rabu","Khamis","Jumaat","Sabtu","Ahad")&amp;", "&amp;DAY(T276)&amp;" "&amp;CHOOSE(MONTH(T276),"Jan","Feb","Mac","Apr","Mei","Jun","Jul","Ogo","Sep","Okt","Nov","Dis")&amp;" "&amp;YEAR(T276),IF(J276="E",IF(INDEX(Transaksi!$B$2:$B$2001,K276)="",INDEX(Transaksi!$C$2:$C$2001,K276)&amp;" · "&amp;INDEX(Transaksi!$D$2:$D$2001,K276),INDEX(Transaksi!$B$2:$B$2001,K276)),""))</f>
        <v/>
      </c>
      <c r="C276" s="32">
        <f>IF(J276="E",INDEX(Transaksi!$C$2:$C$2001,K276)&amp;"","")</f>
        <v/>
      </c>
      <c r="D276" s="32">
        <f>IF(J276="E",INDEX(Transaksi!$D$2:$D$2001,K276)&amp;"","")</f>
        <v/>
      </c>
      <c r="E276" s="33">
        <f>IF(J276="H",SUMIFS(Transaksi!$G$2:$G$2001,Transaksi!$M$2:$M$2001,"="&amp;S276)+SUMIFS(Transaksi!$H$2:$H$2001,Transaksi!$M$2:$M$2001,"="&amp;S276)+SUMIFS(Transaksi!$I$2:$I$2001,Transaksi!$M$2:$M$2001,"="&amp;S276),IF(J276="E",IF(INDEX(Transaksi!$G$2:$G$2001,K276)+INDEX(Transaksi!$H$2:$H$2001,K276)+INDEX(Transaksi!$I$2:$I$2001,K276)=0,"",INDEX(Transaksi!$G$2:$G$2001,K276)+INDEX(Transaksi!$H$2:$H$2001,K276)+INDEX(Transaksi!$I$2:$I$2001,K276)),""))</f>
        <v/>
      </c>
      <c r="F276" s="33">
        <f>IF(J276="H",SUMIFS(Transaksi!$J$2:$J$2001,Transaksi!$M$2:$M$2001,"="&amp;S276),IF(J276="E",IF(INDEX(Transaksi!$J$2:$J$2001,K276)=0,"",INDEX(Transaksi!$J$2:$J$2001,K276)),""))</f>
        <v/>
      </c>
      <c r="G276" s="33">
        <f>IF(J276="H",(SUMIFS(Transaksi!$G$2:$G$2001,Transaksi!$M$2:$M$2001,"&lt;="&amp;S276)+SUMIFS(Transaksi!$H$2:$H$2001,Transaksi!$M$2:$M$2001,"&lt;="&amp;S276)+SUMIFS(Transaksi!$I$2:$I$2001,Transaksi!$M$2:$M$2001,"&lt;="&amp;S276))-(SUMIFS(Transaksi!$J$2:$J$2001,Transaksi!$M$2:$M$2001,"&lt;="&amp;S276)),"")</f>
        <v/>
      </c>
      <c r="I276">
        <f>IF(273&gt;$O$2,"",MATCH(273,$Q$3:$Q$402,1))</f>
        <v/>
      </c>
      <c r="J276">
        <f>IF(I276="","",IF(273=INDEX($Q$3:$Q$402,I276),"H","E"))</f>
        <v/>
      </c>
      <c r="K276">
        <f>IF(J276&lt;&gt;"E","",MATCH(S276,Transaksi!$M$2:$M$2001,0)+273-INDEX($Q$3:$Q$402,I276)-1)</f>
        <v/>
      </c>
      <c r="N276" t="n">
        <v>274</v>
      </c>
      <c r="O276">
        <f>IF(N276&lt;=$O$1,$O$1-N276+1,"")</f>
        <v/>
      </c>
      <c r="P276">
        <f>IF(O276="",0,COUNTIF(Transaksi!$M$2:$M$2001,O276)+1)</f>
        <v/>
      </c>
      <c r="Q276">
        <f>1+SUM(P$2:P275)</f>
        <v/>
      </c>
      <c r="S276">
        <f>IF(I276="","",INDEX($O$3:$O$402,I276))</f>
        <v/>
      </c>
      <c r="T276">
        <f>IF(J276&lt;&gt;"H","",INDEX(Transaksi!$A$2:$A$2001,MATCH(S276,Transaksi!$M$2:$M$2001,0)))</f>
        <v/>
      </c>
    </row>
    <row r="277">
      <c r="A277" s="31">
        <f>IF(J277="E",IF(INDEX(Transaksi!$J$2:$J$2001,K277)&gt;0,"↑","↓"),"")</f>
        <v/>
      </c>
      <c r="B277" s="32">
        <f>IF(J277="H",CHOOSE(WEEKDAY(T277,2),"Isnin","Selasa","Rabu","Khamis","Jumaat","Sabtu","Ahad")&amp;", "&amp;DAY(T277)&amp;" "&amp;CHOOSE(MONTH(T277),"Jan","Feb","Mac","Apr","Mei","Jun","Jul","Ogo","Sep","Okt","Nov","Dis")&amp;" "&amp;YEAR(T277),IF(J277="E",IF(INDEX(Transaksi!$B$2:$B$2001,K277)="",INDEX(Transaksi!$C$2:$C$2001,K277)&amp;" · "&amp;INDEX(Transaksi!$D$2:$D$2001,K277),INDEX(Transaksi!$B$2:$B$2001,K277)),""))</f>
        <v/>
      </c>
      <c r="C277" s="32">
        <f>IF(J277="E",INDEX(Transaksi!$C$2:$C$2001,K277)&amp;"","")</f>
        <v/>
      </c>
      <c r="D277" s="32">
        <f>IF(J277="E",INDEX(Transaksi!$D$2:$D$2001,K277)&amp;"","")</f>
        <v/>
      </c>
      <c r="E277" s="33">
        <f>IF(J277="H",SUMIFS(Transaksi!$G$2:$G$2001,Transaksi!$M$2:$M$2001,"="&amp;S277)+SUMIFS(Transaksi!$H$2:$H$2001,Transaksi!$M$2:$M$2001,"="&amp;S277)+SUMIFS(Transaksi!$I$2:$I$2001,Transaksi!$M$2:$M$2001,"="&amp;S277),IF(J277="E",IF(INDEX(Transaksi!$G$2:$G$2001,K277)+INDEX(Transaksi!$H$2:$H$2001,K277)+INDEX(Transaksi!$I$2:$I$2001,K277)=0,"",INDEX(Transaksi!$G$2:$G$2001,K277)+INDEX(Transaksi!$H$2:$H$2001,K277)+INDEX(Transaksi!$I$2:$I$2001,K277)),""))</f>
        <v/>
      </c>
      <c r="F277" s="33">
        <f>IF(J277="H",SUMIFS(Transaksi!$J$2:$J$2001,Transaksi!$M$2:$M$2001,"="&amp;S277),IF(J277="E",IF(INDEX(Transaksi!$J$2:$J$2001,K277)=0,"",INDEX(Transaksi!$J$2:$J$2001,K277)),""))</f>
        <v/>
      </c>
      <c r="G277" s="33">
        <f>IF(J277="H",(SUMIFS(Transaksi!$G$2:$G$2001,Transaksi!$M$2:$M$2001,"&lt;="&amp;S277)+SUMIFS(Transaksi!$H$2:$H$2001,Transaksi!$M$2:$M$2001,"&lt;="&amp;S277)+SUMIFS(Transaksi!$I$2:$I$2001,Transaksi!$M$2:$M$2001,"&lt;="&amp;S277))-(SUMIFS(Transaksi!$J$2:$J$2001,Transaksi!$M$2:$M$2001,"&lt;="&amp;S277)),"")</f>
        <v/>
      </c>
      <c r="I277">
        <f>IF(274&gt;$O$2,"",MATCH(274,$Q$3:$Q$402,1))</f>
        <v/>
      </c>
      <c r="J277">
        <f>IF(I277="","",IF(274=INDEX($Q$3:$Q$402,I277),"H","E"))</f>
        <v/>
      </c>
      <c r="K277">
        <f>IF(J277&lt;&gt;"E","",MATCH(S277,Transaksi!$M$2:$M$2001,0)+274-INDEX($Q$3:$Q$402,I277)-1)</f>
        <v/>
      </c>
      <c r="N277" t="n">
        <v>275</v>
      </c>
      <c r="O277">
        <f>IF(N277&lt;=$O$1,$O$1-N277+1,"")</f>
        <v/>
      </c>
      <c r="P277">
        <f>IF(O277="",0,COUNTIF(Transaksi!$M$2:$M$2001,O277)+1)</f>
        <v/>
      </c>
      <c r="Q277">
        <f>1+SUM(P$2:P276)</f>
        <v/>
      </c>
      <c r="S277">
        <f>IF(I277="","",INDEX($O$3:$O$402,I277))</f>
        <v/>
      </c>
      <c r="T277">
        <f>IF(J277&lt;&gt;"H","",INDEX(Transaksi!$A$2:$A$2001,MATCH(S277,Transaksi!$M$2:$M$2001,0)))</f>
        <v/>
      </c>
    </row>
    <row r="278">
      <c r="A278" s="31">
        <f>IF(J278="E",IF(INDEX(Transaksi!$J$2:$J$2001,K278)&gt;0,"↑","↓"),"")</f>
        <v/>
      </c>
      <c r="B278" s="32">
        <f>IF(J278="H",CHOOSE(WEEKDAY(T278,2),"Isnin","Selasa","Rabu","Khamis","Jumaat","Sabtu","Ahad")&amp;", "&amp;DAY(T278)&amp;" "&amp;CHOOSE(MONTH(T278),"Jan","Feb","Mac","Apr","Mei","Jun","Jul","Ogo","Sep","Okt","Nov","Dis")&amp;" "&amp;YEAR(T278),IF(J278="E",IF(INDEX(Transaksi!$B$2:$B$2001,K278)="",INDEX(Transaksi!$C$2:$C$2001,K278)&amp;" · "&amp;INDEX(Transaksi!$D$2:$D$2001,K278),INDEX(Transaksi!$B$2:$B$2001,K278)),""))</f>
        <v/>
      </c>
      <c r="C278" s="32">
        <f>IF(J278="E",INDEX(Transaksi!$C$2:$C$2001,K278)&amp;"","")</f>
        <v/>
      </c>
      <c r="D278" s="32">
        <f>IF(J278="E",INDEX(Transaksi!$D$2:$D$2001,K278)&amp;"","")</f>
        <v/>
      </c>
      <c r="E278" s="33">
        <f>IF(J278="H",SUMIFS(Transaksi!$G$2:$G$2001,Transaksi!$M$2:$M$2001,"="&amp;S278)+SUMIFS(Transaksi!$H$2:$H$2001,Transaksi!$M$2:$M$2001,"="&amp;S278)+SUMIFS(Transaksi!$I$2:$I$2001,Transaksi!$M$2:$M$2001,"="&amp;S278),IF(J278="E",IF(INDEX(Transaksi!$G$2:$G$2001,K278)+INDEX(Transaksi!$H$2:$H$2001,K278)+INDEX(Transaksi!$I$2:$I$2001,K278)=0,"",INDEX(Transaksi!$G$2:$G$2001,K278)+INDEX(Transaksi!$H$2:$H$2001,K278)+INDEX(Transaksi!$I$2:$I$2001,K278)),""))</f>
        <v/>
      </c>
      <c r="F278" s="33">
        <f>IF(J278="H",SUMIFS(Transaksi!$J$2:$J$2001,Transaksi!$M$2:$M$2001,"="&amp;S278),IF(J278="E",IF(INDEX(Transaksi!$J$2:$J$2001,K278)=0,"",INDEX(Transaksi!$J$2:$J$2001,K278)),""))</f>
        <v/>
      </c>
      <c r="G278" s="33">
        <f>IF(J278="H",(SUMIFS(Transaksi!$G$2:$G$2001,Transaksi!$M$2:$M$2001,"&lt;="&amp;S278)+SUMIFS(Transaksi!$H$2:$H$2001,Transaksi!$M$2:$M$2001,"&lt;="&amp;S278)+SUMIFS(Transaksi!$I$2:$I$2001,Transaksi!$M$2:$M$2001,"&lt;="&amp;S278))-(SUMIFS(Transaksi!$J$2:$J$2001,Transaksi!$M$2:$M$2001,"&lt;="&amp;S278)),"")</f>
        <v/>
      </c>
      <c r="I278">
        <f>IF(275&gt;$O$2,"",MATCH(275,$Q$3:$Q$402,1))</f>
        <v/>
      </c>
      <c r="J278">
        <f>IF(I278="","",IF(275=INDEX($Q$3:$Q$402,I278),"H","E"))</f>
        <v/>
      </c>
      <c r="K278">
        <f>IF(J278&lt;&gt;"E","",MATCH(S278,Transaksi!$M$2:$M$2001,0)+275-INDEX($Q$3:$Q$402,I278)-1)</f>
        <v/>
      </c>
      <c r="N278" t="n">
        <v>276</v>
      </c>
      <c r="O278">
        <f>IF(N278&lt;=$O$1,$O$1-N278+1,"")</f>
        <v/>
      </c>
      <c r="P278">
        <f>IF(O278="",0,COUNTIF(Transaksi!$M$2:$M$2001,O278)+1)</f>
        <v/>
      </c>
      <c r="Q278">
        <f>1+SUM(P$2:P277)</f>
        <v/>
      </c>
      <c r="S278">
        <f>IF(I278="","",INDEX($O$3:$O$402,I278))</f>
        <v/>
      </c>
      <c r="T278">
        <f>IF(J278&lt;&gt;"H","",INDEX(Transaksi!$A$2:$A$2001,MATCH(S278,Transaksi!$M$2:$M$2001,0)))</f>
        <v/>
      </c>
    </row>
    <row r="279">
      <c r="A279" s="31">
        <f>IF(J279="E",IF(INDEX(Transaksi!$J$2:$J$2001,K279)&gt;0,"↑","↓"),"")</f>
        <v/>
      </c>
      <c r="B279" s="32">
        <f>IF(J279="H",CHOOSE(WEEKDAY(T279,2),"Isnin","Selasa","Rabu","Khamis","Jumaat","Sabtu","Ahad")&amp;", "&amp;DAY(T279)&amp;" "&amp;CHOOSE(MONTH(T279),"Jan","Feb","Mac","Apr","Mei","Jun","Jul","Ogo","Sep","Okt","Nov","Dis")&amp;" "&amp;YEAR(T279),IF(J279="E",IF(INDEX(Transaksi!$B$2:$B$2001,K279)="",INDEX(Transaksi!$C$2:$C$2001,K279)&amp;" · "&amp;INDEX(Transaksi!$D$2:$D$2001,K279),INDEX(Transaksi!$B$2:$B$2001,K279)),""))</f>
        <v/>
      </c>
      <c r="C279" s="32">
        <f>IF(J279="E",INDEX(Transaksi!$C$2:$C$2001,K279)&amp;"","")</f>
        <v/>
      </c>
      <c r="D279" s="32">
        <f>IF(J279="E",INDEX(Transaksi!$D$2:$D$2001,K279)&amp;"","")</f>
        <v/>
      </c>
      <c r="E279" s="33">
        <f>IF(J279="H",SUMIFS(Transaksi!$G$2:$G$2001,Transaksi!$M$2:$M$2001,"="&amp;S279)+SUMIFS(Transaksi!$H$2:$H$2001,Transaksi!$M$2:$M$2001,"="&amp;S279)+SUMIFS(Transaksi!$I$2:$I$2001,Transaksi!$M$2:$M$2001,"="&amp;S279),IF(J279="E",IF(INDEX(Transaksi!$G$2:$G$2001,K279)+INDEX(Transaksi!$H$2:$H$2001,K279)+INDEX(Transaksi!$I$2:$I$2001,K279)=0,"",INDEX(Transaksi!$G$2:$G$2001,K279)+INDEX(Transaksi!$H$2:$H$2001,K279)+INDEX(Transaksi!$I$2:$I$2001,K279)),""))</f>
        <v/>
      </c>
      <c r="F279" s="33">
        <f>IF(J279="H",SUMIFS(Transaksi!$J$2:$J$2001,Transaksi!$M$2:$M$2001,"="&amp;S279),IF(J279="E",IF(INDEX(Transaksi!$J$2:$J$2001,K279)=0,"",INDEX(Transaksi!$J$2:$J$2001,K279)),""))</f>
        <v/>
      </c>
      <c r="G279" s="33">
        <f>IF(J279="H",(SUMIFS(Transaksi!$G$2:$G$2001,Transaksi!$M$2:$M$2001,"&lt;="&amp;S279)+SUMIFS(Transaksi!$H$2:$H$2001,Transaksi!$M$2:$M$2001,"&lt;="&amp;S279)+SUMIFS(Transaksi!$I$2:$I$2001,Transaksi!$M$2:$M$2001,"&lt;="&amp;S279))-(SUMIFS(Transaksi!$J$2:$J$2001,Transaksi!$M$2:$M$2001,"&lt;="&amp;S279)),"")</f>
        <v/>
      </c>
      <c r="I279">
        <f>IF(276&gt;$O$2,"",MATCH(276,$Q$3:$Q$402,1))</f>
        <v/>
      </c>
      <c r="J279">
        <f>IF(I279="","",IF(276=INDEX($Q$3:$Q$402,I279),"H","E"))</f>
        <v/>
      </c>
      <c r="K279">
        <f>IF(J279&lt;&gt;"E","",MATCH(S279,Transaksi!$M$2:$M$2001,0)+276-INDEX($Q$3:$Q$402,I279)-1)</f>
        <v/>
      </c>
      <c r="N279" t="n">
        <v>277</v>
      </c>
      <c r="O279">
        <f>IF(N279&lt;=$O$1,$O$1-N279+1,"")</f>
        <v/>
      </c>
      <c r="P279">
        <f>IF(O279="",0,COUNTIF(Transaksi!$M$2:$M$2001,O279)+1)</f>
        <v/>
      </c>
      <c r="Q279">
        <f>1+SUM(P$2:P278)</f>
        <v/>
      </c>
      <c r="S279">
        <f>IF(I279="","",INDEX($O$3:$O$402,I279))</f>
        <v/>
      </c>
      <c r="T279">
        <f>IF(J279&lt;&gt;"H","",INDEX(Transaksi!$A$2:$A$2001,MATCH(S279,Transaksi!$M$2:$M$2001,0)))</f>
        <v/>
      </c>
    </row>
    <row r="280">
      <c r="A280" s="31">
        <f>IF(J280="E",IF(INDEX(Transaksi!$J$2:$J$2001,K280)&gt;0,"↑","↓"),"")</f>
        <v/>
      </c>
      <c r="B280" s="32">
        <f>IF(J280="H",CHOOSE(WEEKDAY(T280,2),"Isnin","Selasa","Rabu","Khamis","Jumaat","Sabtu","Ahad")&amp;", "&amp;DAY(T280)&amp;" "&amp;CHOOSE(MONTH(T280),"Jan","Feb","Mac","Apr","Mei","Jun","Jul","Ogo","Sep","Okt","Nov","Dis")&amp;" "&amp;YEAR(T280),IF(J280="E",IF(INDEX(Transaksi!$B$2:$B$2001,K280)="",INDEX(Transaksi!$C$2:$C$2001,K280)&amp;" · "&amp;INDEX(Transaksi!$D$2:$D$2001,K280),INDEX(Transaksi!$B$2:$B$2001,K280)),""))</f>
        <v/>
      </c>
      <c r="C280" s="32">
        <f>IF(J280="E",INDEX(Transaksi!$C$2:$C$2001,K280)&amp;"","")</f>
        <v/>
      </c>
      <c r="D280" s="32">
        <f>IF(J280="E",INDEX(Transaksi!$D$2:$D$2001,K280)&amp;"","")</f>
        <v/>
      </c>
      <c r="E280" s="33">
        <f>IF(J280="H",SUMIFS(Transaksi!$G$2:$G$2001,Transaksi!$M$2:$M$2001,"="&amp;S280)+SUMIFS(Transaksi!$H$2:$H$2001,Transaksi!$M$2:$M$2001,"="&amp;S280)+SUMIFS(Transaksi!$I$2:$I$2001,Transaksi!$M$2:$M$2001,"="&amp;S280),IF(J280="E",IF(INDEX(Transaksi!$G$2:$G$2001,K280)+INDEX(Transaksi!$H$2:$H$2001,K280)+INDEX(Transaksi!$I$2:$I$2001,K280)=0,"",INDEX(Transaksi!$G$2:$G$2001,K280)+INDEX(Transaksi!$H$2:$H$2001,K280)+INDEX(Transaksi!$I$2:$I$2001,K280)),""))</f>
        <v/>
      </c>
      <c r="F280" s="33">
        <f>IF(J280="H",SUMIFS(Transaksi!$J$2:$J$2001,Transaksi!$M$2:$M$2001,"="&amp;S280),IF(J280="E",IF(INDEX(Transaksi!$J$2:$J$2001,K280)=0,"",INDEX(Transaksi!$J$2:$J$2001,K280)),""))</f>
        <v/>
      </c>
      <c r="G280" s="33">
        <f>IF(J280="H",(SUMIFS(Transaksi!$G$2:$G$2001,Transaksi!$M$2:$M$2001,"&lt;="&amp;S280)+SUMIFS(Transaksi!$H$2:$H$2001,Transaksi!$M$2:$M$2001,"&lt;="&amp;S280)+SUMIFS(Transaksi!$I$2:$I$2001,Transaksi!$M$2:$M$2001,"&lt;="&amp;S280))-(SUMIFS(Transaksi!$J$2:$J$2001,Transaksi!$M$2:$M$2001,"&lt;="&amp;S280)),"")</f>
        <v/>
      </c>
      <c r="I280">
        <f>IF(277&gt;$O$2,"",MATCH(277,$Q$3:$Q$402,1))</f>
        <v/>
      </c>
      <c r="J280">
        <f>IF(I280="","",IF(277=INDEX($Q$3:$Q$402,I280),"H","E"))</f>
        <v/>
      </c>
      <c r="K280">
        <f>IF(J280&lt;&gt;"E","",MATCH(S280,Transaksi!$M$2:$M$2001,0)+277-INDEX($Q$3:$Q$402,I280)-1)</f>
        <v/>
      </c>
      <c r="N280" t="n">
        <v>278</v>
      </c>
      <c r="O280">
        <f>IF(N280&lt;=$O$1,$O$1-N280+1,"")</f>
        <v/>
      </c>
      <c r="P280">
        <f>IF(O280="",0,COUNTIF(Transaksi!$M$2:$M$2001,O280)+1)</f>
        <v/>
      </c>
      <c r="Q280">
        <f>1+SUM(P$2:P279)</f>
        <v/>
      </c>
      <c r="S280">
        <f>IF(I280="","",INDEX($O$3:$O$402,I280))</f>
        <v/>
      </c>
      <c r="T280">
        <f>IF(J280&lt;&gt;"H","",INDEX(Transaksi!$A$2:$A$2001,MATCH(S280,Transaksi!$M$2:$M$2001,0)))</f>
        <v/>
      </c>
    </row>
    <row r="281">
      <c r="A281" s="31">
        <f>IF(J281="E",IF(INDEX(Transaksi!$J$2:$J$2001,K281)&gt;0,"↑","↓"),"")</f>
        <v/>
      </c>
      <c r="B281" s="32">
        <f>IF(J281="H",CHOOSE(WEEKDAY(T281,2),"Isnin","Selasa","Rabu","Khamis","Jumaat","Sabtu","Ahad")&amp;", "&amp;DAY(T281)&amp;" "&amp;CHOOSE(MONTH(T281),"Jan","Feb","Mac","Apr","Mei","Jun","Jul","Ogo","Sep","Okt","Nov","Dis")&amp;" "&amp;YEAR(T281),IF(J281="E",IF(INDEX(Transaksi!$B$2:$B$2001,K281)="",INDEX(Transaksi!$C$2:$C$2001,K281)&amp;" · "&amp;INDEX(Transaksi!$D$2:$D$2001,K281),INDEX(Transaksi!$B$2:$B$2001,K281)),""))</f>
        <v/>
      </c>
      <c r="C281" s="32">
        <f>IF(J281="E",INDEX(Transaksi!$C$2:$C$2001,K281)&amp;"","")</f>
        <v/>
      </c>
      <c r="D281" s="32">
        <f>IF(J281="E",INDEX(Transaksi!$D$2:$D$2001,K281)&amp;"","")</f>
        <v/>
      </c>
      <c r="E281" s="33">
        <f>IF(J281="H",SUMIFS(Transaksi!$G$2:$G$2001,Transaksi!$M$2:$M$2001,"="&amp;S281)+SUMIFS(Transaksi!$H$2:$H$2001,Transaksi!$M$2:$M$2001,"="&amp;S281)+SUMIFS(Transaksi!$I$2:$I$2001,Transaksi!$M$2:$M$2001,"="&amp;S281),IF(J281="E",IF(INDEX(Transaksi!$G$2:$G$2001,K281)+INDEX(Transaksi!$H$2:$H$2001,K281)+INDEX(Transaksi!$I$2:$I$2001,K281)=0,"",INDEX(Transaksi!$G$2:$G$2001,K281)+INDEX(Transaksi!$H$2:$H$2001,K281)+INDEX(Transaksi!$I$2:$I$2001,K281)),""))</f>
        <v/>
      </c>
      <c r="F281" s="33">
        <f>IF(J281="H",SUMIFS(Transaksi!$J$2:$J$2001,Transaksi!$M$2:$M$2001,"="&amp;S281),IF(J281="E",IF(INDEX(Transaksi!$J$2:$J$2001,K281)=0,"",INDEX(Transaksi!$J$2:$J$2001,K281)),""))</f>
        <v/>
      </c>
      <c r="G281" s="33">
        <f>IF(J281="H",(SUMIFS(Transaksi!$G$2:$G$2001,Transaksi!$M$2:$M$2001,"&lt;="&amp;S281)+SUMIFS(Transaksi!$H$2:$H$2001,Transaksi!$M$2:$M$2001,"&lt;="&amp;S281)+SUMIFS(Transaksi!$I$2:$I$2001,Transaksi!$M$2:$M$2001,"&lt;="&amp;S281))-(SUMIFS(Transaksi!$J$2:$J$2001,Transaksi!$M$2:$M$2001,"&lt;="&amp;S281)),"")</f>
        <v/>
      </c>
      <c r="I281">
        <f>IF(278&gt;$O$2,"",MATCH(278,$Q$3:$Q$402,1))</f>
        <v/>
      </c>
      <c r="J281">
        <f>IF(I281="","",IF(278=INDEX($Q$3:$Q$402,I281),"H","E"))</f>
        <v/>
      </c>
      <c r="K281">
        <f>IF(J281&lt;&gt;"E","",MATCH(S281,Transaksi!$M$2:$M$2001,0)+278-INDEX($Q$3:$Q$402,I281)-1)</f>
        <v/>
      </c>
      <c r="N281" t="n">
        <v>279</v>
      </c>
      <c r="O281">
        <f>IF(N281&lt;=$O$1,$O$1-N281+1,"")</f>
        <v/>
      </c>
      <c r="P281">
        <f>IF(O281="",0,COUNTIF(Transaksi!$M$2:$M$2001,O281)+1)</f>
        <v/>
      </c>
      <c r="Q281">
        <f>1+SUM(P$2:P280)</f>
        <v/>
      </c>
      <c r="S281">
        <f>IF(I281="","",INDEX($O$3:$O$402,I281))</f>
        <v/>
      </c>
      <c r="T281">
        <f>IF(J281&lt;&gt;"H","",INDEX(Transaksi!$A$2:$A$2001,MATCH(S281,Transaksi!$M$2:$M$2001,0)))</f>
        <v/>
      </c>
    </row>
    <row r="282">
      <c r="A282" s="31">
        <f>IF(J282="E",IF(INDEX(Transaksi!$J$2:$J$2001,K282)&gt;0,"↑","↓"),"")</f>
        <v/>
      </c>
      <c r="B282" s="32">
        <f>IF(J282="H",CHOOSE(WEEKDAY(T282,2),"Isnin","Selasa","Rabu","Khamis","Jumaat","Sabtu","Ahad")&amp;", "&amp;DAY(T282)&amp;" "&amp;CHOOSE(MONTH(T282),"Jan","Feb","Mac","Apr","Mei","Jun","Jul","Ogo","Sep","Okt","Nov","Dis")&amp;" "&amp;YEAR(T282),IF(J282="E",IF(INDEX(Transaksi!$B$2:$B$2001,K282)="",INDEX(Transaksi!$C$2:$C$2001,K282)&amp;" · "&amp;INDEX(Transaksi!$D$2:$D$2001,K282),INDEX(Transaksi!$B$2:$B$2001,K282)),""))</f>
        <v/>
      </c>
      <c r="C282" s="32">
        <f>IF(J282="E",INDEX(Transaksi!$C$2:$C$2001,K282)&amp;"","")</f>
        <v/>
      </c>
      <c r="D282" s="32">
        <f>IF(J282="E",INDEX(Transaksi!$D$2:$D$2001,K282)&amp;"","")</f>
        <v/>
      </c>
      <c r="E282" s="33">
        <f>IF(J282="H",SUMIFS(Transaksi!$G$2:$G$2001,Transaksi!$M$2:$M$2001,"="&amp;S282)+SUMIFS(Transaksi!$H$2:$H$2001,Transaksi!$M$2:$M$2001,"="&amp;S282)+SUMIFS(Transaksi!$I$2:$I$2001,Transaksi!$M$2:$M$2001,"="&amp;S282),IF(J282="E",IF(INDEX(Transaksi!$G$2:$G$2001,K282)+INDEX(Transaksi!$H$2:$H$2001,K282)+INDEX(Transaksi!$I$2:$I$2001,K282)=0,"",INDEX(Transaksi!$G$2:$G$2001,K282)+INDEX(Transaksi!$H$2:$H$2001,K282)+INDEX(Transaksi!$I$2:$I$2001,K282)),""))</f>
        <v/>
      </c>
      <c r="F282" s="33">
        <f>IF(J282="H",SUMIFS(Transaksi!$J$2:$J$2001,Transaksi!$M$2:$M$2001,"="&amp;S282),IF(J282="E",IF(INDEX(Transaksi!$J$2:$J$2001,K282)=0,"",INDEX(Transaksi!$J$2:$J$2001,K282)),""))</f>
        <v/>
      </c>
      <c r="G282" s="33">
        <f>IF(J282="H",(SUMIFS(Transaksi!$G$2:$G$2001,Transaksi!$M$2:$M$2001,"&lt;="&amp;S282)+SUMIFS(Transaksi!$H$2:$H$2001,Transaksi!$M$2:$M$2001,"&lt;="&amp;S282)+SUMIFS(Transaksi!$I$2:$I$2001,Transaksi!$M$2:$M$2001,"&lt;="&amp;S282))-(SUMIFS(Transaksi!$J$2:$J$2001,Transaksi!$M$2:$M$2001,"&lt;="&amp;S282)),"")</f>
        <v/>
      </c>
      <c r="I282">
        <f>IF(279&gt;$O$2,"",MATCH(279,$Q$3:$Q$402,1))</f>
        <v/>
      </c>
      <c r="J282">
        <f>IF(I282="","",IF(279=INDEX($Q$3:$Q$402,I282),"H","E"))</f>
        <v/>
      </c>
      <c r="K282">
        <f>IF(J282&lt;&gt;"E","",MATCH(S282,Transaksi!$M$2:$M$2001,0)+279-INDEX($Q$3:$Q$402,I282)-1)</f>
        <v/>
      </c>
      <c r="N282" t="n">
        <v>280</v>
      </c>
      <c r="O282">
        <f>IF(N282&lt;=$O$1,$O$1-N282+1,"")</f>
        <v/>
      </c>
      <c r="P282">
        <f>IF(O282="",0,COUNTIF(Transaksi!$M$2:$M$2001,O282)+1)</f>
        <v/>
      </c>
      <c r="Q282">
        <f>1+SUM(P$2:P281)</f>
        <v/>
      </c>
      <c r="S282">
        <f>IF(I282="","",INDEX($O$3:$O$402,I282))</f>
        <v/>
      </c>
      <c r="T282">
        <f>IF(J282&lt;&gt;"H","",INDEX(Transaksi!$A$2:$A$2001,MATCH(S282,Transaksi!$M$2:$M$2001,0)))</f>
        <v/>
      </c>
    </row>
    <row r="283">
      <c r="A283" s="31">
        <f>IF(J283="E",IF(INDEX(Transaksi!$J$2:$J$2001,K283)&gt;0,"↑","↓"),"")</f>
        <v/>
      </c>
      <c r="B283" s="32">
        <f>IF(J283="H",CHOOSE(WEEKDAY(T283,2),"Isnin","Selasa","Rabu","Khamis","Jumaat","Sabtu","Ahad")&amp;", "&amp;DAY(T283)&amp;" "&amp;CHOOSE(MONTH(T283),"Jan","Feb","Mac","Apr","Mei","Jun","Jul","Ogo","Sep","Okt","Nov","Dis")&amp;" "&amp;YEAR(T283),IF(J283="E",IF(INDEX(Transaksi!$B$2:$B$2001,K283)="",INDEX(Transaksi!$C$2:$C$2001,K283)&amp;" · "&amp;INDEX(Transaksi!$D$2:$D$2001,K283),INDEX(Transaksi!$B$2:$B$2001,K283)),""))</f>
        <v/>
      </c>
      <c r="C283" s="32">
        <f>IF(J283="E",INDEX(Transaksi!$C$2:$C$2001,K283)&amp;"","")</f>
        <v/>
      </c>
      <c r="D283" s="32">
        <f>IF(J283="E",INDEX(Transaksi!$D$2:$D$2001,K283)&amp;"","")</f>
        <v/>
      </c>
      <c r="E283" s="33">
        <f>IF(J283="H",SUMIFS(Transaksi!$G$2:$G$2001,Transaksi!$M$2:$M$2001,"="&amp;S283)+SUMIFS(Transaksi!$H$2:$H$2001,Transaksi!$M$2:$M$2001,"="&amp;S283)+SUMIFS(Transaksi!$I$2:$I$2001,Transaksi!$M$2:$M$2001,"="&amp;S283),IF(J283="E",IF(INDEX(Transaksi!$G$2:$G$2001,K283)+INDEX(Transaksi!$H$2:$H$2001,K283)+INDEX(Transaksi!$I$2:$I$2001,K283)=0,"",INDEX(Transaksi!$G$2:$G$2001,K283)+INDEX(Transaksi!$H$2:$H$2001,K283)+INDEX(Transaksi!$I$2:$I$2001,K283)),""))</f>
        <v/>
      </c>
      <c r="F283" s="33">
        <f>IF(J283="H",SUMIFS(Transaksi!$J$2:$J$2001,Transaksi!$M$2:$M$2001,"="&amp;S283),IF(J283="E",IF(INDEX(Transaksi!$J$2:$J$2001,K283)=0,"",INDEX(Transaksi!$J$2:$J$2001,K283)),""))</f>
        <v/>
      </c>
      <c r="G283" s="33">
        <f>IF(J283="H",(SUMIFS(Transaksi!$G$2:$G$2001,Transaksi!$M$2:$M$2001,"&lt;="&amp;S283)+SUMIFS(Transaksi!$H$2:$H$2001,Transaksi!$M$2:$M$2001,"&lt;="&amp;S283)+SUMIFS(Transaksi!$I$2:$I$2001,Transaksi!$M$2:$M$2001,"&lt;="&amp;S283))-(SUMIFS(Transaksi!$J$2:$J$2001,Transaksi!$M$2:$M$2001,"&lt;="&amp;S283)),"")</f>
        <v/>
      </c>
      <c r="I283">
        <f>IF(280&gt;$O$2,"",MATCH(280,$Q$3:$Q$402,1))</f>
        <v/>
      </c>
      <c r="J283">
        <f>IF(I283="","",IF(280=INDEX($Q$3:$Q$402,I283),"H","E"))</f>
        <v/>
      </c>
      <c r="K283">
        <f>IF(J283&lt;&gt;"E","",MATCH(S283,Transaksi!$M$2:$M$2001,0)+280-INDEX($Q$3:$Q$402,I283)-1)</f>
        <v/>
      </c>
      <c r="N283" t="n">
        <v>281</v>
      </c>
      <c r="O283">
        <f>IF(N283&lt;=$O$1,$O$1-N283+1,"")</f>
        <v/>
      </c>
      <c r="P283">
        <f>IF(O283="",0,COUNTIF(Transaksi!$M$2:$M$2001,O283)+1)</f>
        <v/>
      </c>
      <c r="Q283">
        <f>1+SUM(P$2:P282)</f>
        <v/>
      </c>
      <c r="S283">
        <f>IF(I283="","",INDEX($O$3:$O$402,I283))</f>
        <v/>
      </c>
      <c r="T283">
        <f>IF(J283&lt;&gt;"H","",INDEX(Transaksi!$A$2:$A$2001,MATCH(S283,Transaksi!$M$2:$M$2001,0)))</f>
        <v/>
      </c>
    </row>
    <row r="284">
      <c r="A284" s="31">
        <f>IF(J284="E",IF(INDEX(Transaksi!$J$2:$J$2001,K284)&gt;0,"↑","↓"),"")</f>
        <v/>
      </c>
      <c r="B284" s="32">
        <f>IF(J284="H",CHOOSE(WEEKDAY(T284,2),"Isnin","Selasa","Rabu","Khamis","Jumaat","Sabtu","Ahad")&amp;", "&amp;DAY(T284)&amp;" "&amp;CHOOSE(MONTH(T284),"Jan","Feb","Mac","Apr","Mei","Jun","Jul","Ogo","Sep","Okt","Nov","Dis")&amp;" "&amp;YEAR(T284),IF(J284="E",IF(INDEX(Transaksi!$B$2:$B$2001,K284)="",INDEX(Transaksi!$C$2:$C$2001,K284)&amp;" · "&amp;INDEX(Transaksi!$D$2:$D$2001,K284),INDEX(Transaksi!$B$2:$B$2001,K284)),""))</f>
        <v/>
      </c>
      <c r="C284" s="32">
        <f>IF(J284="E",INDEX(Transaksi!$C$2:$C$2001,K284)&amp;"","")</f>
        <v/>
      </c>
      <c r="D284" s="32">
        <f>IF(J284="E",INDEX(Transaksi!$D$2:$D$2001,K284)&amp;"","")</f>
        <v/>
      </c>
      <c r="E284" s="33">
        <f>IF(J284="H",SUMIFS(Transaksi!$G$2:$G$2001,Transaksi!$M$2:$M$2001,"="&amp;S284)+SUMIFS(Transaksi!$H$2:$H$2001,Transaksi!$M$2:$M$2001,"="&amp;S284)+SUMIFS(Transaksi!$I$2:$I$2001,Transaksi!$M$2:$M$2001,"="&amp;S284),IF(J284="E",IF(INDEX(Transaksi!$G$2:$G$2001,K284)+INDEX(Transaksi!$H$2:$H$2001,K284)+INDEX(Transaksi!$I$2:$I$2001,K284)=0,"",INDEX(Transaksi!$G$2:$G$2001,K284)+INDEX(Transaksi!$H$2:$H$2001,K284)+INDEX(Transaksi!$I$2:$I$2001,K284)),""))</f>
        <v/>
      </c>
      <c r="F284" s="33">
        <f>IF(J284="H",SUMIFS(Transaksi!$J$2:$J$2001,Transaksi!$M$2:$M$2001,"="&amp;S284),IF(J284="E",IF(INDEX(Transaksi!$J$2:$J$2001,K284)=0,"",INDEX(Transaksi!$J$2:$J$2001,K284)),""))</f>
        <v/>
      </c>
      <c r="G284" s="33">
        <f>IF(J284="H",(SUMIFS(Transaksi!$G$2:$G$2001,Transaksi!$M$2:$M$2001,"&lt;="&amp;S284)+SUMIFS(Transaksi!$H$2:$H$2001,Transaksi!$M$2:$M$2001,"&lt;="&amp;S284)+SUMIFS(Transaksi!$I$2:$I$2001,Transaksi!$M$2:$M$2001,"&lt;="&amp;S284))-(SUMIFS(Transaksi!$J$2:$J$2001,Transaksi!$M$2:$M$2001,"&lt;="&amp;S284)),"")</f>
        <v/>
      </c>
      <c r="I284">
        <f>IF(281&gt;$O$2,"",MATCH(281,$Q$3:$Q$402,1))</f>
        <v/>
      </c>
      <c r="J284">
        <f>IF(I284="","",IF(281=INDEX($Q$3:$Q$402,I284),"H","E"))</f>
        <v/>
      </c>
      <c r="K284">
        <f>IF(J284&lt;&gt;"E","",MATCH(S284,Transaksi!$M$2:$M$2001,0)+281-INDEX($Q$3:$Q$402,I284)-1)</f>
        <v/>
      </c>
      <c r="N284" t="n">
        <v>282</v>
      </c>
      <c r="O284">
        <f>IF(N284&lt;=$O$1,$O$1-N284+1,"")</f>
        <v/>
      </c>
      <c r="P284">
        <f>IF(O284="",0,COUNTIF(Transaksi!$M$2:$M$2001,O284)+1)</f>
        <v/>
      </c>
      <c r="Q284">
        <f>1+SUM(P$2:P283)</f>
        <v/>
      </c>
      <c r="S284">
        <f>IF(I284="","",INDEX($O$3:$O$402,I284))</f>
        <v/>
      </c>
      <c r="T284">
        <f>IF(J284&lt;&gt;"H","",INDEX(Transaksi!$A$2:$A$2001,MATCH(S284,Transaksi!$M$2:$M$2001,0)))</f>
        <v/>
      </c>
    </row>
    <row r="285">
      <c r="A285" s="31">
        <f>IF(J285="E",IF(INDEX(Transaksi!$J$2:$J$2001,K285)&gt;0,"↑","↓"),"")</f>
        <v/>
      </c>
      <c r="B285" s="32">
        <f>IF(J285="H",CHOOSE(WEEKDAY(T285,2),"Isnin","Selasa","Rabu","Khamis","Jumaat","Sabtu","Ahad")&amp;", "&amp;DAY(T285)&amp;" "&amp;CHOOSE(MONTH(T285),"Jan","Feb","Mac","Apr","Mei","Jun","Jul","Ogo","Sep","Okt","Nov","Dis")&amp;" "&amp;YEAR(T285),IF(J285="E",IF(INDEX(Transaksi!$B$2:$B$2001,K285)="",INDEX(Transaksi!$C$2:$C$2001,K285)&amp;" · "&amp;INDEX(Transaksi!$D$2:$D$2001,K285),INDEX(Transaksi!$B$2:$B$2001,K285)),""))</f>
        <v/>
      </c>
      <c r="C285" s="32">
        <f>IF(J285="E",INDEX(Transaksi!$C$2:$C$2001,K285)&amp;"","")</f>
        <v/>
      </c>
      <c r="D285" s="32">
        <f>IF(J285="E",INDEX(Transaksi!$D$2:$D$2001,K285)&amp;"","")</f>
        <v/>
      </c>
      <c r="E285" s="33">
        <f>IF(J285="H",SUMIFS(Transaksi!$G$2:$G$2001,Transaksi!$M$2:$M$2001,"="&amp;S285)+SUMIFS(Transaksi!$H$2:$H$2001,Transaksi!$M$2:$M$2001,"="&amp;S285)+SUMIFS(Transaksi!$I$2:$I$2001,Transaksi!$M$2:$M$2001,"="&amp;S285),IF(J285="E",IF(INDEX(Transaksi!$G$2:$G$2001,K285)+INDEX(Transaksi!$H$2:$H$2001,K285)+INDEX(Transaksi!$I$2:$I$2001,K285)=0,"",INDEX(Transaksi!$G$2:$G$2001,K285)+INDEX(Transaksi!$H$2:$H$2001,K285)+INDEX(Transaksi!$I$2:$I$2001,K285)),""))</f>
        <v/>
      </c>
      <c r="F285" s="33">
        <f>IF(J285="H",SUMIFS(Transaksi!$J$2:$J$2001,Transaksi!$M$2:$M$2001,"="&amp;S285),IF(J285="E",IF(INDEX(Transaksi!$J$2:$J$2001,K285)=0,"",INDEX(Transaksi!$J$2:$J$2001,K285)),""))</f>
        <v/>
      </c>
      <c r="G285" s="33">
        <f>IF(J285="H",(SUMIFS(Transaksi!$G$2:$G$2001,Transaksi!$M$2:$M$2001,"&lt;="&amp;S285)+SUMIFS(Transaksi!$H$2:$H$2001,Transaksi!$M$2:$M$2001,"&lt;="&amp;S285)+SUMIFS(Transaksi!$I$2:$I$2001,Transaksi!$M$2:$M$2001,"&lt;="&amp;S285))-(SUMIFS(Transaksi!$J$2:$J$2001,Transaksi!$M$2:$M$2001,"&lt;="&amp;S285)),"")</f>
        <v/>
      </c>
      <c r="I285">
        <f>IF(282&gt;$O$2,"",MATCH(282,$Q$3:$Q$402,1))</f>
        <v/>
      </c>
      <c r="J285">
        <f>IF(I285="","",IF(282=INDEX($Q$3:$Q$402,I285),"H","E"))</f>
        <v/>
      </c>
      <c r="K285">
        <f>IF(J285&lt;&gt;"E","",MATCH(S285,Transaksi!$M$2:$M$2001,0)+282-INDEX($Q$3:$Q$402,I285)-1)</f>
        <v/>
      </c>
      <c r="N285" t="n">
        <v>283</v>
      </c>
      <c r="O285">
        <f>IF(N285&lt;=$O$1,$O$1-N285+1,"")</f>
        <v/>
      </c>
      <c r="P285">
        <f>IF(O285="",0,COUNTIF(Transaksi!$M$2:$M$2001,O285)+1)</f>
        <v/>
      </c>
      <c r="Q285">
        <f>1+SUM(P$2:P284)</f>
        <v/>
      </c>
      <c r="S285">
        <f>IF(I285="","",INDEX($O$3:$O$402,I285))</f>
        <v/>
      </c>
      <c r="T285">
        <f>IF(J285&lt;&gt;"H","",INDEX(Transaksi!$A$2:$A$2001,MATCH(S285,Transaksi!$M$2:$M$2001,0)))</f>
        <v/>
      </c>
    </row>
    <row r="286">
      <c r="A286" s="31">
        <f>IF(J286="E",IF(INDEX(Transaksi!$J$2:$J$2001,K286)&gt;0,"↑","↓"),"")</f>
        <v/>
      </c>
      <c r="B286" s="32">
        <f>IF(J286="H",CHOOSE(WEEKDAY(T286,2),"Isnin","Selasa","Rabu","Khamis","Jumaat","Sabtu","Ahad")&amp;", "&amp;DAY(T286)&amp;" "&amp;CHOOSE(MONTH(T286),"Jan","Feb","Mac","Apr","Mei","Jun","Jul","Ogo","Sep","Okt","Nov","Dis")&amp;" "&amp;YEAR(T286),IF(J286="E",IF(INDEX(Transaksi!$B$2:$B$2001,K286)="",INDEX(Transaksi!$C$2:$C$2001,K286)&amp;" · "&amp;INDEX(Transaksi!$D$2:$D$2001,K286),INDEX(Transaksi!$B$2:$B$2001,K286)),""))</f>
        <v/>
      </c>
      <c r="C286" s="32">
        <f>IF(J286="E",INDEX(Transaksi!$C$2:$C$2001,K286)&amp;"","")</f>
        <v/>
      </c>
      <c r="D286" s="32">
        <f>IF(J286="E",INDEX(Transaksi!$D$2:$D$2001,K286)&amp;"","")</f>
        <v/>
      </c>
      <c r="E286" s="33">
        <f>IF(J286="H",SUMIFS(Transaksi!$G$2:$G$2001,Transaksi!$M$2:$M$2001,"="&amp;S286)+SUMIFS(Transaksi!$H$2:$H$2001,Transaksi!$M$2:$M$2001,"="&amp;S286)+SUMIFS(Transaksi!$I$2:$I$2001,Transaksi!$M$2:$M$2001,"="&amp;S286),IF(J286="E",IF(INDEX(Transaksi!$G$2:$G$2001,K286)+INDEX(Transaksi!$H$2:$H$2001,K286)+INDEX(Transaksi!$I$2:$I$2001,K286)=0,"",INDEX(Transaksi!$G$2:$G$2001,K286)+INDEX(Transaksi!$H$2:$H$2001,K286)+INDEX(Transaksi!$I$2:$I$2001,K286)),""))</f>
        <v/>
      </c>
      <c r="F286" s="33">
        <f>IF(J286="H",SUMIFS(Transaksi!$J$2:$J$2001,Transaksi!$M$2:$M$2001,"="&amp;S286),IF(J286="E",IF(INDEX(Transaksi!$J$2:$J$2001,K286)=0,"",INDEX(Transaksi!$J$2:$J$2001,K286)),""))</f>
        <v/>
      </c>
      <c r="G286" s="33">
        <f>IF(J286="H",(SUMIFS(Transaksi!$G$2:$G$2001,Transaksi!$M$2:$M$2001,"&lt;="&amp;S286)+SUMIFS(Transaksi!$H$2:$H$2001,Transaksi!$M$2:$M$2001,"&lt;="&amp;S286)+SUMIFS(Transaksi!$I$2:$I$2001,Transaksi!$M$2:$M$2001,"&lt;="&amp;S286))-(SUMIFS(Transaksi!$J$2:$J$2001,Transaksi!$M$2:$M$2001,"&lt;="&amp;S286)),"")</f>
        <v/>
      </c>
      <c r="I286">
        <f>IF(283&gt;$O$2,"",MATCH(283,$Q$3:$Q$402,1))</f>
        <v/>
      </c>
      <c r="J286">
        <f>IF(I286="","",IF(283=INDEX($Q$3:$Q$402,I286),"H","E"))</f>
        <v/>
      </c>
      <c r="K286">
        <f>IF(J286&lt;&gt;"E","",MATCH(S286,Transaksi!$M$2:$M$2001,0)+283-INDEX($Q$3:$Q$402,I286)-1)</f>
        <v/>
      </c>
      <c r="N286" t="n">
        <v>284</v>
      </c>
      <c r="O286">
        <f>IF(N286&lt;=$O$1,$O$1-N286+1,"")</f>
        <v/>
      </c>
      <c r="P286">
        <f>IF(O286="",0,COUNTIF(Transaksi!$M$2:$M$2001,O286)+1)</f>
        <v/>
      </c>
      <c r="Q286">
        <f>1+SUM(P$2:P285)</f>
        <v/>
      </c>
      <c r="S286">
        <f>IF(I286="","",INDEX($O$3:$O$402,I286))</f>
        <v/>
      </c>
      <c r="T286">
        <f>IF(J286&lt;&gt;"H","",INDEX(Transaksi!$A$2:$A$2001,MATCH(S286,Transaksi!$M$2:$M$2001,0)))</f>
        <v/>
      </c>
    </row>
    <row r="287">
      <c r="A287" s="31">
        <f>IF(J287="E",IF(INDEX(Transaksi!$J$2:$J$2001,K287)&gt;0,"↑","↓"),"")</f>
        <v/>
      </c>
      <c r="B287" s="32">
        <f>IF(J287="H",CHOOSE(WEEKDAY(T287,2),"Isnin","Selasa","Rabu","Khamis","Jumaat","Sabtu","Ahad")&amp;", "&amp;DAY(T287)&amp;" "&amp;CHOOSE(MONTH(T287),"Jan","Feb","Mac","Apr","Mei","Jun","Jul","Ogo","Sep","Okt","Nov","Dis")&amp;" "&amp;YEAR(T287),IF(J287="E",IF(INDEX(Transaksi!$B$2:$B$2001,K287)="",INDEX(Transaksi!$C$2:$C$2001,K287)&amp;" · "&amp;INDEX(Transaksi!$D$2:$D$2001,K287),INDEX(Transaksi!$B$2:$B$2001,K287)),""))</f>
        <v/>
      </c>
      <c r="C287" s="32">
        <f>IF(J287="E",INDEX(Transaksi!$C$2:$C$2001,K287)&amp;"","")</f>
        <v/>
      </c>
      <c r="D287" s="32">
        <f>IF(J287="E",INDEX(Transaksi!$D$2:$D$2001,K287)&amp;"","")</f>
        <v/>
      </c>
      <c r="E287" s="33">
        <f>IF(J287="H",SUMIFS(Transaksi!$G$2:$G$2001,Transaksi!$M$2:$M$2001,"="&amp;S287)+SUMIFS(Transaksi!$H$2:$H$2001,Transaksi!$M$2:$M$2001,"="&amp;S287)+SUMIFS(Transaksi!$I$2:$I$2001,Transaksi!$M$2:$M$2001,"="&amp;S287),IF(J287="E",IF(INDEX(Transaksi!$G$2:$G$2001,K287)+INDEX(Transaksi!$H$2:$H$2001,K287)+INDEX(Transaksi!$I$2:$I$2001,K287)=0,"",INDEX(Transaksi!$G$2:$G$2001,K287)+INDEX(Transaksi!$H$2:$H$2001,K287)+INDEX(Transaksi!$I$2:$I$2001,K287)),""))</f>
        <v/>
      </c>
      <c r="F287" s="33">
        <f>IF(J287="H",SUMIFS(Transaksi!$J$2:$J$2001,Transaksi!$M$2:$M$2001,"="&amp;S287),IF(J287="E",IF(INDEX(Transaksi!$J$2:$J$2001,K287)=0,"",INDEX(Transaksi!$J$2:$J$2001,K287)),""))</f>
        <v/>
      </c>
      <c r="G287" s="33">
        <f>IF(J287="H",(SUMIFS(Transaksi!$G$2:$G$2001,Transaksi!$M$2:$M$2001,"&lt;="&amp;S287)+SUMIFS(Transaksi!$H$2:$H$2001,Transaksi!$M$2:$M$2001,"&lt;="&amp;S287)+SUMIFS(Transaksi!$I$2:$I$2001,Transaksi!$M$2:$M$2001,"&lt;="&amp;S287))-(SUMIFS(Transaksi!$J$2:$J$2001,Transaksi!$M$2:$M$2001,"&lt;="&amp;S287)),"")</f>
        <v/>
      </c>
      <c r="I287">
        <f>IF(284&gt;$O$2,"",MATCH(284,$Q$3:$Q$402,1))</f>
        <v/>
      </c>
      <c r="J287">
        <f>IF(I287="","",IF(284=INDEX($Q$3:$Q$402,I287),"H","E"))</f>
        <v/>
      </c>
      <c r="K287">
        <f>IF(J287&lt;&gt;"E","",MATCH(S287,Transaksi!$M$2:$M$2001,0)+284-INDEX($Q$3:$Q$402,I287)-1)</f>
        <v/>
      </c>
      <c r="N287" t="n">
        <v>285</v>
      </c>
      <c r="O287">
        <f>IF(N287&lt;=$O$1,$O$1-N287+1,"")</f>
        <v/>
      </c>
      <c r="P287">
        <f>IF(O287="",0,COUNTIF(Transaksi!$M$2:$M$2001,O287)+1)</f>
        <v/>
      </c>
      <c r="Q287">
        <f>1+SUM(P$2:P286)</f>
        <v/>
      </c>
      <c r="S287">
        <f>IF(I287="","",INDEX($O$3:$O$402,I287))</f>
        <v/>
      </c>
      <c r="T287">
        <f>IF(J287&lt;&gt;"H","",INDEX(Transaksi!$A$2:$A$2001,MATCH(S287,Transaksi!$M$2:$M$2001,0)))</f>
        <v/>
      </c>
    </row>
    <row r="288">
      <c r="A288" s="31">
        <f>IF(J288="E",IF(INDEX(Transaksi!$J$2:$J$2001,K288)&gt;0,"↑","↓"),"")</f>
        <v/>
      </c>
      <c r="B288" s="32">
        <f>IF(J288="H",CHOOSE(WEEKDAY(T288,2),"Isnin","Selasa","Rabu","Khamis","Jumaat","Sabtu","Ahad")&amp;", "&amp;DAY(T288)&amp;" "&amp;CHOOSE(MONTH(T288),"Jan","Feb","Mac","Apr","Mei","Jun","Jul","Ogo","Sep","Okt","Nov","Dis")&amp;" "&amp;YEAR(T288),IF(J288="E",IF(INDEX(Transaksi!$B$2:$B$2001,K288)="",INDEX(Transaksi!$C$2:$C$2001,K288)&amp;" · "&amp;INDEX(Transaksi!$D$2:$D$2001,K288),INDEX(Transaksi!$B$2:$B$2001,K288)),""))</f>
        <v/>
      </c>
      <c r="C288" s="32">
        <f>IF(J288="E",INDEX(Transaksi!$C$2:$C$2001,K288)&amp;"","")</f>
        <v/>
      </c>
      <c r="D288" s="32">
        <f>IF(J288="E",INDEX(Transaksi!$D$2:$D$2001,K288)&amp;"","")</f>
        <v/>
      </c>
      <c r="E288" s="33">
        <f>IF(J288="H",SUMIFS(Transaksi!$G$2:$G$2001,Transaksi!$M$2:$M$2001,"="&amp;S288)+SUMIFS(Transaksi!$H$2:$H$2001,Transaksi!$M$2:$M$2001,"="&amp;S288)+SUMIFS(Transaksi!$I$2:$I$2001,Transaksi!$M$2:$M$2001,"="&amp;S288),IF(J288="E",IF(INDEX(Transaksi!$G$2:$G$2001,K288)+INDEX(Transaksi!$H$2:$H$2001,K288)+INDEX(Transaksi!$I$2:$I$2001,K288)=0,"",INDEX(Transaksi!$G$2:$G$2001,K288)+INDEX(Transaksi!$H$2:$H$2001,K288)+INDEX(Transaksi!$I$2:$I$2001,K288)),""))</f>
        <v/>
      </c>
      <c r="F288" s="33">
        <f>IF(J288="H",SUMIFS(Transaksi!$J$2:$J$2001,Transaksi!$M$2:$M$2001,"="&amp;S288),IF(J288="E",IF(INDEX(Transaksi!$J$2:$J$2001,K288)=0,"",INDEX(Transaksi!$J$2:$J$2001,K288)),""))</f>
        <v/>
      </c>
      <c r="G288" s="33">
        <f>IF(J288="H",(SUMIFS(Transaksi!$G$2:$G$2001,Transaksi!$M$2:$M$2001,"&lt;="&amp;S288)+SUMIFS(Transaksi!$H$2:$H$2001,Transaksi!$M$2:$M$2001,"&lt;="&amp;S288)+SUMIFS(Transaksi!$I$2:$I$2001,Transaksi!$M$2:$M$2001,"&lt;="&amp;S288))-(SUMIFS(Transaksi!$J$2:$J$2001,Transaksi!$M$2:$M$2001,"&lt;="&amp;S288)),"")</f>
        <v/>
      </c>
      <c r="I288">
        <f>IF(285&gt;$O$2,"",MATCH(285,$Q$3:$Q$402,1))</f>
        <v/>
      </c>
      <c r="J288">
        <f>IF(I288="","",IF(285=INDEX($Q$3:$Q$402,I288),"H","E"))</f>
        <v/>
      </c>
      <c r="K288">
        <f>IF(J288&lt;&gt;"E","",MATCH(S288,Transaksi!$M$2:$M$2001,0)+285-INDEX($Q$3:$Q$402,I288)-1)</f>
        <v/>
      </c>
      <c r="N288" t="n">
        <v>286</v>
      </c>
      <c r="O288">
        <f>IF(N288&lt;=$O$1,$O$1-N288+1,"")</f>
        <v/>
      </c>
      <c r="P288">
        <f>IF(O288="",0,COUNTIF(Transaksi!$M$2:$M$2001,O288)+1)</f>
        <v/>
      </c>
      <c r="Q288">
        <f>1+SUM(P$2:P287)</f>
        <v/>
      </c>
      <c r="S288">
        <f>IF(I288="","",INDEX($O$3:$O$402,I288))</f>
        <v/>
      </c>
      <c r="T288">
        <f>IF(J288&lt;&gt;"H","",INDEX(Transaksi!$A$2:$A$2001,MATCH(S288,Transaksi!$M$2:$M$2001,0)))</f>
        <v/>
      </c>
    </row>
    <row r="289">
      <c r="A289" s="31">
        <f>IF(J289="E",IF(INDEX(Transaksi!$J$2:$J$2001,K289)&gt;0,"↑","↓"),"")</f>
        <v/>
      </c>
      <c r="B289" s="32">
        <f>IF(J289="H",CHOOSE(WEEKDAY(T289,2),"Isnin","Selasa","Rabu","Khamis","Jumaat","Sabtu","Ahad")&amp;", "&amp;DAY(T289)&amp;" "&amp;CHOOSE(MONTH(T289),"Jan","Feb","Mac","Apr","Mei","Jun","Jul","Ogo","Sep","Okt","Nov","Dis")&amp;" "&amp;YEAR(T289),IF(J289="E",IF(INDEX(Transaksi!$B$2:$B$2001,K289)="",INDEX(Transaksi!$C$2:$C$2001,K289)&amp;" · "&amp;INDEX(Transaksi!$D$2:$D$2001,K289),INDEX(Transaksi!$B$2:$B$2001,K289)),""))</f>
        <v/>
      </c>
      <c r="C289" s="32">
        <f>IF(J289="E",INDEX(Transaksi!$C$2:$C$2001,K289)&amp;"","")</f>
        <v/>
      </c>
      <c r="D289" s="32">
        <f>IF(J289="E",INDEX(Transaksi!$D$2:$D$2001,K289)&amp;"","")</f>
        <v/>
      </c>
      <c r="E289" s="33">
        <f>IF(J289="H",SUMIFS(Transaksi!$G$2:$G$2001,Transaksi!$M$2:$M$2001,"="&amp;S289)+SUMIFS(Transaksi!$H$2:$H$2001,Transaksi!$M$2:$M$2001,"="&amp;S289)+SUMIFS(Transaksi!$I$2:$I$2001,Transaksi!$M$2:$M$2001,"="&amp;S289),IF(J289="E",IF(INDEX(Transaksi!$G$2:$G$2001,K289)+INDEX(Transaksi!$H$2:$H$2001,K289)+INDEX(Transaksi!$I$2:$I$2001,K289)=0,"",INDEX(Transaksi!$G$2:$G$2001,K289)+INDEX(Transaksi!$H$2:$H$2001,K289)+INDEX(Transaksi!$I$2:$I$2001,K289)),""))</f>
        <v/>
      </c>
      <c r="F289" s="33">
        <f>IF(J289="H",SUMIFS(Transaksi!$J$2:$J$2001,Transaksi!$M$2:$M$2001,"="&amp;S289),IF(J289="E",IF(INDEX(Transaksi!$J$2:$J$2001,K289)=0,"",INDEX(Transaksi!$J$2:$J$2001,K289)),""))</f>
        <v/>
      </c>
      <c r="G289" s="33">
        <f>IF(J289="H",(SUMIFS(Transaksi!$G$2:$G$2001,Transaksi!$M$2:$M$2001,"&lt;="&amp;S289)+SUMIFS(Transaksi!$H$2:$H$2001,Transaksi!$M$2:$M$2001,"&lt;="&amp;S289)+SUMIFS(Transaksi!$I$2:$I$2001,Transaksi!$M$2:$M$2001,"&lt;="&amp;S289))-(SUMIFS(Transaksi!$J$2:$J$2001,Transaksi!$M$2:$M$2001,"&lt;="&amp;S289)),"")</f>
        <v/>
      </c>
      <c r="I289">
        <f>IF(286&gt;$O$2,"",MATCH(286,$Q$3:$Q$402,1))</f>
        <v/>
      </c>
      <c r="J289">
        <f>IF(I289="","",IF(286=INDEX($Q$3:$Q$402,I289),"H","E"))</f>
        <v/>
      </c>
      <c r="K289">
        <f>IF(J289&lt;&gt;"E","",MATCH(S289,Transaksi!$M$2:$M$2001,0)+286-INDEX($Q$3:$Q$402,I289)-1)</f>
        <v/>
      </c>
      <c r="N289" t="n">
        <v>287</v>
      </c>
      <c r="O289">
        <f>IF(N289&lt;=$O$1,$O$1-N289+1,"")</f>
        <v/>
      </c>
      <c r="P289">
        <f>IF(O289="",0,COUNTIF(Transaksi!$M$2:$M$2001,O289)+1)</f>
        <v/>
      </c>
      <c r="Q289">
        <f>1+SUM(P$2:P288)</f>
        <v/>
      </c>
      <c r="S289">
        <f>IF(I289="","",INDEX($O$3:$O$402,I289))</f>
        <v/>
      </c>
      <c r="T289">
        <f>IF(J289&lt;&gt;"H","",INDEX(Transaksi!$A$2:$A$2001,MATCH(S289,Transaksi!$M$2:$M$2001,0)))</f>
        <v/>
      </c>
    </row>
    <row r="290">
      <c r="A290" s="31">
        <f>IF(J290="E",IF(INDEX(Transaksi!$J$2:$J$2001,K290)&gt;0,"↑","↓"),"")</f>
        <v/>
      </c>
      <c r="B290" s="32">
        <f>IF(J290="H",CHOOSE(WEEKDAY(T290,2),"Isnin","Selasa","Rabu","Khamis","Jumaat","Sabtu","Ahad")&amp;", "&amp;DAY(T290)&amp;" "&amp;CHOOSE(MONTH(T290),"Jan","Feb","Mac","Apr","Mei","Jun","Jul","Ogo","Sep","Okt","Nov","Dis")&amp;" "&amp;YEAR(T290),IF(J290="E",IF(INDEX(Transaksi!$B$2:$B$2001,K290)="",INDEX(Transaksi!$C$2:$C$2001,K290)&amp;" · "&amp;INDEX(Transaksi!$D$2:$D$2001,K290),INDEX(Transaksi!$B$2:$B$2001,K290)),""))</f>
        <v/>
      </c>
      <c r="C290" s="32">
        <f>IF(J290="E",INDEX(Transaksi!$C$2:$C$2001,K290)&amp;"","")</f>
        <v/>
      </c>
      <c r="D290" s="32">
        <f>IF(J290="E",INDEX(Transaksi!$D$2:$D$2001,K290)&amp;"","")</f>
        <v/>
      </c>
      <c r="E290" s="33">
        <f>IF(J290="H",SUMIFS(Transaksi!$G$2:$G$2001,Transaksi!$M$2:$M$2001,"="&amp;S290)+SUMIFS(Transaksi!$H$2:$H$2001,Transaksi!$M$2:$M$2001,"="&amp;S290)+SUMIFS(Transaksi!$I$2:$I$2001,Transaksi!$M$2:$M$2001,"="&amp;S290),IF(J290="E",IF(INDEX(Transaksi!$G$2:$G$2001,K290)+INDEX(Transaksi!$H$2:$H$2001,K290)+INDEX(Transaksi!$I$2:$I$2001,K290)=0,"",INDEX(Transaksi!$G$2:$G$2001,K290)+INDEX(Transaksi!$H$2:$H$2001,K290)+INDEX(Transaksi!$I$2:$I$2001,K290)),""))</f>
        <v/>
      </c>
      <c r="F290" s="33">
        <f>IF(J290="H",SUMIFS(Transaksi!$J$2:$J$2001,Transaksi!$M$2:$M$2001,"="&amp;S290),IF(J290="E",IF(INDEX(Transaksi!$J$2:$J$2001,K290)=0,"",INDEX(Transaksi!$J$2:$J$2001,K290)),""))</f>
        <v/>
      </c>
      <c r="G290" s="33">
        <f>IF(J290="H",(SUMIFS(Transaksi!$G$2:$G$2001,Transaksi!$M$2:$M$2001,"&lt;="&amp;S290)+SUMIFS(Transaksi!$H$2:$H$2001,Transaksi!$M$2:$M$2001,"&lt;="&amp;S290)+SUMIFS(Transaksi!$I$2:$I$2001,Transaksi!$M$2:$M$2001,"&lt;="&amp;S290))-(SUMIFS(Transaksi!$J$2:$J$2001,Transaksi!$M$2:$M$2001,"&lt;="&amp;S290)),"")</f>
        <v/>
      </c>
      <c r="I290">
        <f>IF(287&gt;$O$2,"",MATCH(287,$Q$3:$Q$402,1))</f>
        <v/>
      </c>
      <c r="J290">
        <f>IF(I290="","",IF(287=INDEX($Q$3:$Q$402,I290),"H","E"))</f>
        <v/>
      </c>
      <c r="K290">
        <f>IF(J290&lt;&gt;"E","",MATCH(S290,Transaksi!$M$2:$M$2001,0)+287-INDEX($Q$3:$Q$402,I290)-1)</f>
        <v/>
      </c>
      <c r="N290" t="n">
        <v>288</v>
      </c>
      <c r="O290">
        <f>IF(N290&lt;=$O$1,$O$1-N290+1,"")</f>
        <v/>
      </c>
      <c r="P290">
        <f>IF(O290="",0,COUNTIF(Transaksi!$M$2:$M$2001,O290)+1)</f>
        <v/>
      </c>
      <c r="Q290">
        <f>1+SUM(P$2:P289)</f>
        <v/>
      </c>
      <c r="S290">
        <f>IF(I290="","",INDEX($O$3:$O$402,I290))</f>
        <v/>
      </c>
      <c r="T290">
        <f>IF(J290&lt;&gt;"H","",INDEX(Transaksi!$A$2:$A$2001,MATCH(S290,Transaksi!$M$2:$M$2001,0)))</f>
        <v/>
      </c>
    </row>
    <row r="291">
      <c r="A291" s="31">
        <f>IF(J291="E",IF(INDEX(Transaksi!$J$2:$J$2001,K291)&gt;0,"↑","↓"),"")</f>
        <v/>
      </c>
      <c r="B291" s="32">
        <f>IF(J291="H",CHOOSE(WEEKDAY(T291,2),"Isnin","Selasa","Rabu","Khamis","Jumaat","Sabtu","Ahad")&amp;", "&amp;DAY(T291)&amp;" "&amp;CHOOSE(MONTH(T291),"Jan","Feb","Mac","Apr","Mei","Jun","Jul","Ogo","Sep","Okt","Nov","Dis")&amp;" "&amp;YEAR(T291),IF(J291="E",IF(INDEX(Transaksi!$B$2:$B$2001,K291)="",INDEX(Transaksi!$C$2:$C$2001,K291)&amp;" · "&amp;INDEX(Transaksi!$D$2:$D$2001,K291),INDEX(Transaksi!$B$2:$B$2001,K291)),""))</f>
        <v/>
      </c>
      <c r="C291" s="32">
        <f>IF(J291="E",INDEX(Transaksi!$C$2:$C$2001,K291)&amp;"","")</f>
        <v/>
      </c>
      <c r="D291" s="32">
        <f>IF(J291="E",INDEX(Transaksi!$D$2:$D$2001,K291)&amp;"","")</f>
        <v/>
      </c>
      <c r="E291" s="33">
        <f>IF(J291="H",SUMIFS(Transaksi!$G$2:$G$2001,Transaksi!$M$2:$M$2001,"="&amp;S291)+SUMIFS(Transaksi!$H$2:$H$2001,Transaksi!$M$2:$M$2001,"="&amp;S291)+SUMIFS(Transaksi!$I$2:$I$2001,Transaksi!$M$2:$M$2001,"="&amp;S291),IF(J291="E",IF(INDEX(Transaksi!$G$2:$G$2001,K291)+INDEX(Transaksi!$H$2:$H$2001,K291)+INDEX(Transaksi!$I$2:$I$2001,K291)=0,"",INDEX(Transaksi!$G$2:$G$2001,K291)+INDEX(Transaksi!$H$2:$H$2001,K291)+INDEX(Transaksi!$I$2:$I$2001,K291)),""))</f>
        <v/>
      </c>
      <c r="F291" s="33">
        <f>IF(J291="H",SUMIFS(Transaksi!$J$2:$J$2001,Transaksi!$M$2:$M$2001,"="&amp;S291),IF(J291="E",IF(INDEX(Transaksi!$J$2:$J$2001,K291)=0,"",INDEX(Transaksi!$J$2:$J$2001,K291)),""))</f>
        <v/>
      </c>
      <c r="G291" s="33">
        <f>IF(J291="H",(SUMIFS(Transaksi!$G$2:$G$2001,Transaksi!$M$2:$M$2001,"&lt;="&amp;S291)+SUMIFS(Transaksi!$H$2:$H$2001,Transaksi!$M$2:$M$2001,"&lt;="&amp;S291)+SUMIFS(Transaksi!$I$2:$I$2001,Transaksi!$M$2:$M$2001,"&lt;="&amp;S291))-(SUMIFS(Transaksi!$J$2:$J$2001,Transaksi!$M$2:$M$2001,"&lt;="&amp;S291)),"")</f>
        <v/>
      </c>
      <c r="I291">
        <f>IF(288&gt;$O$2,"",MATCH(288,$Q$3:$Q$402,1))</f>
        <v/>
      </c>
      <c r="J291">
        <f>IF(I291="","",IF(288=INDEX($Q$3:$Q$402,I291),"H","E"))</f>
        <v/>
      </c>
      <c r="K291">
        <f>IF(J291&lt;&gt;"E","",MATCH(S291,Transaksi!$M$2:$M$2001,0)+288-INDEX($Q$3:$Q$402,I291)-1)</f>
        <v/>
      </c>
      <c r="N291" t="n">
        <v>289</v>
      </c>
      <c r="O291">
        <f>IF(N291&lt;=$O$1,$O$1-N291+1,"")</f>
        <v/>
      </c>
      <c r="P291">
        <f>IF(O291="",0,COUNTIF(Transaksi!$M$2:$M$2001,O291)+1)</f>
        <v/>
      </c>
      <c r="Q291">
        <f>1+SUM(P$2:P290)</f>
        <v/>
      </c>
      <c r="S291">
        <f>IF(I291="","",INDEX($O$3:$O$402,I291))</f>
        <v/>
      </c>
      <c r="T291">
        <f>IF(J291&lt;&gt;"H","",INDEX(Transaksi!$A$2:$A$2001,MATCH(S291,Transaksi!$M$2:$M$2001,0)))</f>
        <v/>
      </c>
    </row>
    <row r="292">
      <c r="A292" s="31">
        <f>IF(J292="E",IF(INDEX(Transaksi!$J$2:$J$2001,K292)&gt;0,"↑","↓"),"")</f>
        <v/>
      </c>
      <c r="B292" s="32">
        <f>IF(J292="H",CHOOSE(WEEKDAY(T292,2),"Isnin","Selasa","Rabu","Khamis","Jumaat","Sabtu","Ahad")&amp;", "&amp;DAY(T292)&amp;" "&amp;CHOOSE(MONTH(T292),"Jan","Feb","Mac","Apr","Mei","Jun","Jul","Ogo","Sep","Okt","Nov","Dis")&amp;" "&amp;YEAR(T292),IF(J292="E",IF(INDEX(Transaksi!$B$2:$B$2001,K292)="",INDEX(Transaksi!$C$2:$C$2001,K292)&amp;" · "&amp;INDEX(Transaksi!$D$2:$D$2001,K292),INDEX(Transaksi!$B$2:$B$2001,K292)),""))</f>
        <v/>
      </c>
      <c r="C292" s="32">
        <f>IF(J292="E",INDEX(Transaksi!$C$2:$C$2001,K292)&amp;"","")</f>
        <v/>
      </c>
      <c r="D292" s="32">
        <f>IF(J292="E",INDEX(Transaksi!$D$2:$D$2001,K292)&amp;"","")</f>
        <v/>
      </c>
      <c r="E292" s="33">
        <f>IF(J292="H",SUMIFS(Transaksi!$G$2:$G$2001,Transaksi!$M$2:$M$2001,"="&amp;S292)+SUMIFS(Transaksi!$H$2:$H$2001,Transaksi!$M$2:$M$2001,"="&amp;S292)+SUMIFS(Transaksi!$I$2:$I$2001,Transaksi!$M$2:$M$2001,"="&amp;S292),IF(J292="E",IF(INDEX(Transaksi!$G$2:$G$2001,K292)+INDEX(Transaksi!$H$2:$H$2001,K292)+INDEX(Transaksi!$I$2:$I$2001,K292)=0,"",INDEX(Transaksi!$G$2:$G$2001,K292)+INDEX(Transaksi!$H$2:$H$2001,K292)+INDEX(Transaksi!$I$2:$I$2001,K292)),""))</f>
        <v/>
      </c>
      <c r="F292" s="33">
        <f>IF(J292="H",SUMIFS(Transaksi!$J$2:$J$2001,Transaksi!$M$2:$M$2001,"="&amp;S292),IF(J292="E",IF(INDEX(Transaksi!$J$2:$J$2001,K292)=0,"",INDEX(Transaksi!$J$2:$J$2001,K292)),""))</f>
        <v/>
      </c>
      <c r="G292" s="33">
        <f>IF(J292="H",(SUMIFS(Transaksi!$G$2:$G$2001,Transaksi!$M$2:$M$2001,"&lt;="&amp;S292)+SUMIFS(Transaksi!$H$2:$H$2001,Transaksi!$M$2:$M$2001,"&lt;="&amp;S292)+SUMIFS(Transaksi!$I$2:$I$2001,Transaksi!$M$2:$M$2001,"&lt;="&amp;S292))-(SUMIFS(Transaksi!$J$2:$J$2001,Transaksi!$M$2:$M$2001,"&lt;="&amp;S292)),"")</f>
        <v/>
      </c>
      <c r="I292">
        <f>IF(289&gt;$O$2,"",MATCH(289,$Q$3:$Q$402,1))</f>
        <v/>
      </c>
      <c r="J292">
        <f>IF(I292="","",IF(289=INDEX($Q$3:$Q$402,I292),"H","E"))</f>
        <v/>
      </c>
      <c r="K292">
        <f>IF(J292&lt;&gt;"E","",MATCH(S292,Transaksi!$M$2:$M$2001,0)+289-INDEX($Q$3:$Q$402,I292)-1)</f>
        <v/>
      </c>
      <c r="N292" t="n">
        <v>290</v>
      </c>
      <c r="O292">
        <f>IF(N292&lt;=$O$1,$O$1-N292+1,"")</f>
        <v/>
      </c>
      <c r="P292">
        <f>IF(O292="",0,COUNTIF(Transaksi!$M$2:$M$2001,O292)+1)</f>
        <v/>
      </c>
      <c r="Q292">
        <f>1+SUM(P$2:P291)</f>
        <v/>
      </c>
      <c r="S292">
        <f>IF(I292="","",INDEX($O$3:$O$402,I292))</f>
        <v/>
      </c>
      <c r="T292">
        <f>IF(J292&lt;&gt;"H","",INDEX(Transaksi!$A$2:$A$2001,MATCH(S292,Transaksi!$M$2:$M$2001,0)))</f>
        <v/>
      </c>
    </row>
    <row r="293">
      <c r="A293" s="31">
        <f>IF(J293="E",IF(INDEX(Transaksi!$J$2:$J$2001,K293)&gt;0,"↑","↓"),"")</f>
        <v/>
      </c>
      <c r="B293" s="32">
        <f>IF(J293="H",CHOOSE(WEEKDAY(T293,2),"Isnin","Selasa","Rabu","Khamis","Jumaat","Sabtu","Ahad")&amp;", "&amp;DAY(T293)&amp;" "&amp;CHOOSE(MONTH(T293),"Jan","Feb","Mac","Apr","Mei","Jun","Jul","Ogo","Sep","Okt","Nov","Dis")&amp;" "&amp;YEAR(T293),IF(J293="E",IF(INDEX(Transaksi!$B$2:$B$2001,K293)="",INDEX(Transaksi!$C$2:$C$2001,K293)&amp;" · "&amp;INDEX(Transaksi!$D$2:$D$2001,K293),INDEX(Transaksi!$B$2:$B$2001,K293)),""))</f>
        <v/>
      </c>
      <c r="C293" s="32">
        <f>IF(J293="E",INDEX(Transaksi!$C$2:$C$2001,K293)&amp;"","")</f>
        <v/>
      </c>
      <c r="D293" s="32">
        <f>IF(J293="E",INDEX(Transaksi!$D$2:$D$2001,K293)&amp;"","")</f>
        <v/>
      </c>
      <c r="E293" s="33">
        <f>IF(J293="H",SUMIFS(Transaksi!$G$2:$G$2001,Transaksi!$M$2:$M$2001,"="&amp;S293)+SUMIFS(Transaksi!$H$2:$H$2001,Transaksi!$M$2:$M$2001,"="&amp;S293)+SUMIFS(Transaksi!$I$2:$I$2001,Transaksi!$M$2:$M$2001,"="&amp;S293),IF(J293="E",IF(INDEX(Transaksi!$G$2:$G$2001,K293)+INDEX(Transaksi!$H$2:$H$2001,K293)+INDEX(Transaksi!$I$2:$I$2001,K293)=0,"",INDEX(Transaksi!$G$2:$G$2001,K293)+INDEX(Transaksi!$H$2:$H$2001,K293)+INDEX(Transaksi!$I$2:$I$2001,K293)),""))</f>
        <v/>
      </c>
      <c r="F293" s="33">
        <f>IF(J293="H",SUMIFS(Transaksi!$J$2:$J$2001,Transaksi!$M$2:$M$2001,"="&amp;S293),IF(J293="E",IF(INDEX(Transaksi!$J$2:$J$2001,K293)=0,"",INDEX(Transaksi!$J$2:$J$2001,K293)),""))</f>
        <v/>
      </c>
      <c r="G293" s="33">
        <f>IF(J293="H",(SUMIFS(Transaksi!$G$2:$G$2001,Transaksi!$M$2:$M$2001,"&lt;="&amp;S293)+SUMIFS(Transaksi!$H$2:$H$2001,Transaksi!$M$2:$M$2001,"&lt;="&amp;S293)+SUMIFS(Transaksi!$I$2:$I$2001,Transaksi!$M$2:$M$2001,"&lt;="&amp;S293))-(SUMIFS(Transaksi!$J$2:$J$2001,Transaksi!$M$2:$M$2001,"&lt;="&amp;S293)),"")</f>
        <v/>
      </c>
      <c r="I293">
        <f>IF(290&gt;$O$2,"",MATCH(290,$Q$3:$Q$402,1))</f>
        <v/>
      </c>
      <c r="J293">
        <f>IF(I293="","",IF(290=INDEX($Q$3:$Q$402,I293),"H","E"))</f>
        <v/>
      </c>
      <c r="K293">
        <f>IF(J293&lt;&gt;"E","",MATCH(S293,Transaksi!$M$2:$M$2001,0)+290-INDEX($Q$3:$Q$402,I293)-1)</f>
        <v/>
      </c>
      <c r="N293" t="n">
        <v>291</v>
      </c>
      <c r="O293">
        <f>IF(N293&lt;=$O$1,$O$1-N293+1,"")</f>
        <v/>
      </c>
      <c r="P293">
        <f>IF(O293="",0,COUNTIF(Transaksi!$M$2:$M$2001,O293)+1)</f>
        <v/>
      </c>
      <c r="Q293">
        <f>1+SUM(P$2:P292)</f>
        <v/>
      </c>
      <c r="S293">
        <f>IF(I293="","",INDEX($O$3:$O$402,I293))</f>
        <v/>
      </c>
      <c r="T293">
        <f>IF(J293&lt;&gt;"H","",INDEX(Transaksi!$A$2:$A$2001,MATCH(S293,Transaksi!$M$2:$M$2001,0)))</f>
        <v/>
      </c>
    </row>
    <row r="294">
      <c r="A294" s="31">
        <f>IF(J294="E",IF(INDEX(Transaksi!$J$2:$J$2001,K294)&gt;0,"↑","↓"),"")</f>
        <v/>
      </c>
      <c r="B294" s="32">
        <f>IF(J294="H",CHOOSE(WEEKDAY(T294,2),"Isnin","Selasa","Rabu","Khamis","Jumaat","Sabtu","Ahad")&amp;", "&amp;DAY(T294)&amp;" "&amp;CHOOSE(MONTH(T294),"Jan","Feb","Mac","Apr","Mei","Jun","Jul","Ogo","Sep","Okt","Nov","Dis")&amp;" "&amp;YEAR(T294),IF(J294="E",IF(INDEX(Transaksi!$B$2:$B$2001,K294)="",INDEX(Transaksi!$C$2:$C$2001,K294)&amp;" · "&amp;INDEX(Transaksi!$D$2:$D$2001,K294),INDEX(Transaksi!$B$2:$B$2001,K294)),""))</f>
        <v/>
      </c>
      <c r="C294" s="32">
        <f>IF(J294="E",INDEX(Transaksi!$C$2:$C$2001,K294)&amp;"","")</f>
        <v/>
      </c>
      <c r="D294" s="32">
        <f>IF(J294="E",INDEX(Transaksi!$D$2:$D$2001,K294)&amp;"","")</f>
        <v/>
      </c>
      <c r="E294" s="33">
        <f>IF(J294="H",SUMIFS(Transaksi!$G$2:$G$2001,Transaksi!$M$2:$M$2001,"="&amp;S294)+SUMIFS(Transaksi!$H$2:$H$2001,Transaksi!$M$2:$M$2001,"="&amp;S294)+SUMIFS(Transaksi!$I$2:$I$2001,Transaksi!$M$2:$M$2001,"="&amp;S294),IF(J294="E",IF(INDEX(Transaksi!$G$2:$G$2001,K294)+INDEX(Transaksi!$H$2:$H$2001,K294)+INDEX(Transaksi!$I$2:$I$2001,K294)=0,"",INDEX(Transaksi!$G$2:$G$2001,K294)+INDEX(Transaksi!$H$2:$H$2001,K294)+INDEX(Transaksi!$I$2:$I$2001,K294)),""))</f>
        <v/>
      </c>
      <c r="F294" s="33">
        <f>IF(J294="H",SUMIFS(Transaksi!$J$2:$J$2001,Transaksi!$M$2:$M$2001,"="&amp;S294),IF(J294="E",IF(INDEX(Transaksi!$J$2:$J$2001,K294)=0,"",INDEX(Transaksi!$J$2:$J$2001,K294)),""))</f>
        <v/>
      </c>
      <c r="G294" s="33">
        <f>IF(J294="H",(SUMIFS(Transaksi!$G$2:$G$2001,Transaksi!$M$2:$M$2001,"&lt;="&amp;S294)+SUMIFS(Transaksi!$H$2:$H$2001,Transaksi!$M$2:$M$2001,"&lt;="&amp;S294)+SUMIFS(Transaksi!$I$2:$I$2001,Transaksi!$M$2:$M$2001,"&lt;="&amp;S294))-(SUMIFS(Transaksi!$J$2:$J$2001,Transaksi!$M$2:$M$2001,"&lt;="&amp;S294)),"")</f>
        <v/>
      </c>
      <c r="I294">
        <f>IF(291&gt;$O$2,"",MATCH(291,$Q$3:$Q$402,1))</f>
        <v/>
      </c>
      <c r="J294">
        <f>IF(I294="","",IF(291=INDEX($Q$3:$Q$402,I294),"H","E"))</f>
        <v/>
      </c>
      <c r="K294">
        <f>IF(J294&lt;&gt;"E","",MATCH(S294,Transaksi!$M$2:$M$2001,0)+291-INDEX($Q$3:$Q$402,I294)-1)</f>
        <v/>
      </c>
      <c r="N294" t="n">
        <v>292</v>
      </c>
      <c r="O294">
        <f>IF(N294&lt;=$O$1,$O$1-N294+1,"")</f>
        <v/>
      </c>
      <c r="P294">
        <f>IF(O294="",0,COUNTIF(Transaksi!$M$2:$M$2001,O294)+1)</f>
        <v/>
      </c>
      <c r="Q294">
        <f>1+SUM(P$2:P293)</f>
        <v/>
      </c>
      <c r="S294">
        <f>IF(I294="","",INDEX($O$3:$O$402,I294))</f>
        <v/>
      </c>
      <c r="T294">
        <f>IF(J294&lt;&gt;"H","",INDEX(Transaksi!$A$2:$A$2001,MATCH(S294,Transaksi!$M$2:$M$2001,0)))</f>
        <v/>
      </c>
    </row>
    <row r="295">
      <c r="A295" s="31">
        <f>IF(J295="E",IF(INDEX(Transaksi!$J$2:$J$2001,K295)&gt;0,"↑","↓"),"")</f>
        <v/>
      </c>
      <c r="B295" s="32">
        <f>IF(J295="H",CHOOSE(WEEKDAY(T295,2),"Isnin","Selasa","Rabu","Khamis","Jumaat","Sabtu","Ahad")&amp;", "&amp;DAY(T295)&amp;" "&amp;CHOOSE(MONTH(T295),"Jan","Feb","Mac","Apr","Mei","Jun","Jul","Ogo","Sep","Okt","Nov","Dis")&amp;" "&amp;YEAR(T295),IF(J295="E",IF(INDEX(Transaksi!$B$2:$B$2001,K295)="",INDEX(Transaksi!$C$2:$C$2001,K295)&amp;" · "&amp;INDEX(Transaksi!$D$2:$D$2001,K295),INDEX(Transaksi!$B$2:$B$2001,K295)),""))</f>
        <v/>
      </c>
      <c r="C295" s="32">
        <f>IF(J295="E",INDEX(Transaksi!$C$2:$C$2001,K295)&amp;"","")</f>
        <v/>
      </c>
      <c r="D295" s="32">
        <f>IF(J295="E",INDEX(Transaksi!$D$2:$D$2001,K295)&amp;"","")</f>
        <v/>
      </c>
      <c r="E295" s="33">
        <f>IF(J295="H",SUMIFS(Transaksi!$G$2:$G$2001,Transaksi!$M$2:$M$2001,"="&amp;S295)+SUMIFS(Transaksi!$H$2:$H$2001,Transaksi!$M$2:$M$2001,"="&amp;S295)+SUMIFS(Transaksi!$I$2:$I$2001,Transaksi!$M$2:$M$2001,"="&amp;S295),IF(J295="E",IF(INDEX(Transaksi!$G$2:$G$2001,K295)+INDEX(Transaksi!$H$2:$H$2001,K295)+INDEX(Transaksi!$I$2:$I$2001,K295)=0,"",INDEX(Transaksi!$G$2:$G$2001,K295)+INDEX(Transaksi!$H$2:$H$2001,K295)+INDEX(Transaksi!$I$2:$I$2001,K295)),""))</f>
        <v/>
      </c>
      <c r="F295" s="33">
        <f>IF(J295="H",SUMIFS(Transaksi!$J$2:$J$2001,Transaksi!$M$2:$M$2001,"="&amp;S295),IF(J295="E",IF(INDEX(Transaksi!$J$2:$J$2001,K295)=0,"",INDEX(Transaksi!$J$2:$J$2001,K295)),""))</f>
        <v/>
      </c>
      <c r="G295" s="33">
        <f>IF(J295="H",(SUMIFS(Transaksi!$G$2:$G$2001,Transaksi!$M$2:$M$2001,"&lt;="&amp;S295)+SUMIFS(Transaksi!$H$2:$H$2001,Transaksi!$M$2:$M$2001,"&lt;="&amp;S295)+SUMIFS(Transaksi!$I$2:$I$2001,Transaksi!$M$2:$M$2001,"&lt;="&amp;S295))-(SUMIFS(Transaksi!$J$2:$J$2001,Transaksi!$M$2:$M$2001,"&lt;="&amp;S295)),"")</f>
        <v/>
      </c>
      <c r="I295">
        <f>IF(292&gt;$O$2,"",MATCH(292,$Q$3:$Q$402,1))</f>
        <v/>
      </c>
      <c r="J295">
        <f>IF(I295="","",IF(292=INDEX($Q$3:$Q$402,I295),"H","E"))</f>
        <v/>
      </c>
      <c r="K295">
        <f>IF(J295&lt;&gt;"E","",MATCH(S295,Transaksi!$M$2:$M$2001,0)+292-INDEX($Q$3:$Q$402,I295)-1)</f>
        <v/>
      </c>
      <c r="N295" t="n">
        <v>293</v>
      </c>
      <c r="O295">
        <f>IF(N295&lt;=$O$1,$O$1-N295+1,"")</f>
        <v/>
      </c>
      <c r="P295">
        <f>IF(O295="",0,COUNTIF(Transaksi!$M$2:$M$2001,O295)+1)</f>
        <v/>
      </c>
      <c r="Q295">
        <f>1+SUM(P$2:P294)</f>
        <v/>
      </c>
      <c r="S295">
        <f>IF(I295="","",INDEX($O$3:$O$402,I295))</f>
        <v/>
      </c>
      <c r="T295">
        <f>IF(J295&lt;&gt;"H","",INDEX(Transaksi!$A$2:$A$2001,MATCH(S295,Transaksi!$M$2:$M$2001,0)))</f>
        <v/>
      </c>
    </row>
    <row r="296">
      <c r="A296" s="31">
        <f>IF(J296="E",IF(INDEX(Transaksi!$J$2:$J$2001,K296)&gt;0,"↑","↓"),"")</f>
        <v/>
      </c>
      <c r="B296" s="32">
        <f>IF(J296="H",CHOOSE(WEEKDAY(T296,2),"Isnin","Selasa","Rabu","Khamis","Jumaat","Sabtu","Ahad")&amp;", "&amp;DAY(T296)&amp;" "&amp;CHOOSE(MONTH(T296),"Jan","Feb","Mac","Apr","Mei","Jun","Jul","Ogo","Sep","Okt","Nov","Dis")&amp;" "&amp;YEAR(T296),IF(J296="E",IF(INDEX(Transaksi!$B$2:$B$2001,K296)="",INDEX(Transaksi!$C$2:$C$2001,K296)&amp;" · "&amp;INDEX(Transaksi!$D$2:$D$2001,K296),INDEX(Transaksi!$B$2:$B$2001,K296)),""))</f>
        <v/>
      </c>
      <c r="C296" s="32">
        <f>IF(J296="E",INDEX(Transaksi!$C$2:$C$2001,K296)&amp;"","")</f>
        <v/>
      </c>
      <c r="D296" s="32">
        <f>IF(J296="E",INDEX(Transaksi!$D$2:$D$2001,K296)&amp;"","")</f>
        <v/>
      </c>
      <c r="E296" s="33">
        <f>IF(J296="H",SUMIFS(Transaksi!$G$2:$G$2001,Transaksi!$M$2:$M$2001,"="&amp;S296)+SUMIFS(Transaksi!$H$2:$H$2001,Transaksi!$M$2:$M$2001,"="&amp;S296)+SUMIFS(Transaksi!$I$2:$I$2001,Transaksi!$M$2:$M$2001,"="&amp;S296),IF(J296="E",IF(INDEX(Transaksi!$G$2:$G$2001,K296)+INDEX(Transaksi!$H$2:$H$2001,K296)+INDEX(Transaksi!$I$2:$I$2001,K296)=0,"",INDEX(Transaksi!$G$2:$G$2001,K296)+INDEX(Transaksi!$H$2:$H$2001,K296)+INDEX(Transaksi!$I$2:$I$2001,K296)),""))</f>
        <v/>
      </c>
      <c r="F296" s="33">
        <f>IF(J296="H",SUMIFS(Transaksi!$J$2:$J$2001,Transaksi!$M$2:$M$2001,"="&amp;S296),IF(J296="E",IF(INDEX(Transaksi!$J$2:$J$2001,K296)=0,"",INDEX(Transaksi!$J$2:$J$2001,K296)),""))</f>
        <v/>
      </c>
      <c r="G296" s="33">
        <f>IF(J296="H",(SUMIFS(Transaksi!$G$2:$G$2001,Transaksi!$M$2:$M$2001,"&lt;="&amp;S296)+SUMIFS(Transaksi!$H$2:$H$2001,Transaksi!$M$2:$M$2001,"&lt;="&amp;S296)+SUMIFS(Transaksi!$I$2:$I$2001,Transaksi!$M$2:$M$2001,"&lt;="&amp;S296))-(SUMIFS(Transaksi!$J$2:$J$2001,Transaksi!$M$2:$M$2001,"&lt;="&amp;S296)),"")</f>
        <v/>
      </c>
      <c r="I296">
        <f>IF(293&gt;$O$2,"",MATCH(293,$Q$3:$Q$402,1))</f>
        <v/>
      </c>
      <c r="J296">
        <f>IF(I296="","",IF(293=INDEX($Q$3:$Q$402,I296),"H","E"))</f>
        <v/>
      </c>
      <c r="K296">
        <f>IF(J296&lt;&gt;"E","",MATCH(S296,Transaksi!$M$2:$M$2001,0)+293-INDEX($Q$3:$Q$402,I296)-1)</f>
        <v/>
      </c>
      <c r="N296" t="n">
        <v>294</v>
      </c>
      <c r="O296">
        <f>IF(N296&lt;=$O$1,$O$1-N296+1,"")</f>
        <v/>
      </c>
      <c r="P296">
        <f>IF(O296="",0,COUNTIF(Transaksi!$M$2:$M$2001,O296)+1)</f>
        <v/>
      </c>
      <c r="Q296">
        <f>1+SUM(P$2:P295)</f>
        <v/>
      </c>
      <c r="S296">
        <f>IF(I296="","",INDEX($O$3:$O$402,I296))</f>
        <v/>
      </c>
      <c r="T296">
        <f>IF(J296&lt;&gt;"H","",INDEX(Transaksi!$A$2:$A$2001,MATCH(S296,Transaksi!$M$2:$M$2001,0)))</f>
        <v/>
      </c>
    </row>
    <row r="297">
      <c r="A297" s="31">
        <f>IF(J297="E",IF(INDEX(Transaksi!$J$2:$J$2001,K297)&gt;0,"↑","↓"),"")</f>
        <v/>
      </c>
      <c r="B297" s="32">
        <f>IF(J297="H",CHOOSE(WEEKDAY(T297,2),"Isnin","Selasa","Rabu","Khamis","Jumaat","Sabtu","Ahad")&amp;", "&amp;DAY(T297)&amp;" "&amp;CHOOSE(MONTH(T297),"Jan","Feb","Mac","Apr","Mei","Jun","Jul","Ogo","Sep","Okt","Nov","Dis")&amp;" "&amp;YEAR(T297),IF(J297="E",IF(INDEX(Transaksi!$B$2:$B$2001,K297)="",INDEX(Transaksi!$C$2:$C$2001,K297)&amp;" · "&amp;INDEX(Transaksi!$D$2:$D$2001,K297),INDEX(Transaksi!$B$2:$B$2001,K297)),""))</f>
        <v/>
      </c>
      <c r="C297" s="32">
        <f>IF(J297="E",INDEX(Transaksi!$C$2:$C$2001,K297)&amp;"","")</f>
        <v/>
      </c>
      <c r="D297" s="32">
        <f>IF(J297="E",INDEX(Transaksi!$D$2:$D$2001,K297)&amp;"","")</f>
        <v/>
      </c>
      <c r="E297" s="33">
        <f>IF(J297="H",SUMIFS(Transaksi!$G$2:$G$2001,Transaksi!$M$2:$M$2001,"="&amp;S297)+SUMIFS(Transaksi!$H$2:$H$2001,Transaksi!$M$2:$M$2001,"="&amp;S297)+SUMIFS(Transaksi!$I$2:$I$2001,Transaksi!$M$2:$M$2001,"="&amp;S297),IF(J297="E",IF(INDEX(Transaksi!$G$2:$G$2001,K297)+INDEX(Transaksi!$H$2:$H$2001,K297)+INDEX(Transaksi!$I$2:$I$2001,K297)=0,"",INDEX(Transaksi!$G$2:$G$2001,K297)+INDEX(Transaksi!$H$2:$H$2001,K297)+INDEX(Transaksi!$I$2:$I$2001,K297)),""))</f>
        <v/>
      </c>
      <c r="F297" s="33">
        <f>IF(J297="H",SUMIFS(Transaksi!$J$2:$J$2001,Transaksi!$M$2:$M$2001,"="&amp;S297),IF(J297="E",IF(INDEX(Transaksi!$J$2:$J$2001,K297)=0,"",INDEX(Transaksi!$J$2:$J$2001,K297)),""))</f>
        <v/>
      </c>
      <c r="G297" s="33">
        <f>IF(J297="H",(SUMIFS(Transaksi!$G$2:$G$2001,Transaksi!$M$2:$M$2001,"&lt;="&amp;S297)+SUMIFS(Transaksi!$H$2:$H$2001,Transaksi!$M$2:$M$2001,"&lt;="&amp;S297)+SUMIFS(Transaksi!$I$2:$I$2001,Transaksi!$M$2:$M$2001,"&lt;="&amp;S297))-(SUMIFS(Transaksi!$J$2:$J$2001,Transaksi!$M$2:$M$2001,"&lt;="&amp;S297)),"")</f>
        <v/>
      </c>
      <c r="I297">
        <f>IF(294&gt;$O$2,"",MATCH(294,$Q$3:$Q$402,1))</f>
        <v/>
      </c>
      <c r="J297">
        <f>IF(I297="","",IF(294=INDEX($Q$3:$Q$402,I297),"H","E"))</f>
        <v/>
      </c>
      <c r="K297">
        <f>IF(J297&lt;&gt;"E","",MATCH(S297,Transaksi!$M$2:$M$2001,0)+294-INDEX($Q$3:$Q$402,I297)-1)</f>
        <v/>
      </c>
      <c r="N297" t="n">
        <v>295</v>
      </c>
      <c r="O297">
        <f>IF(N297&lt;=$O$1,$O$1-N297+1,"")</f>
        <v/>
      </c>
      <c r="P297">
        <f>IF(O297="",0,COUNTIF(Transaksi!$M$2:$M$2001,O297)+1)</f>
        <v/>
      </c>
      <c r="Q297">
        <f>1+SUM(P$2:P296)</f>
        <v/>
      </c>
      <c r="S297">
        <f>IF(I297="","",INDEX($O$3:$O$402,I297))</f>
        <v/>
      </c>
      <c r="T297">
        <f>IF(J297&lt;&gt;"H","",INDEX(Transaksi!$A$2:$A$2001,MATCH(S297,Transaksi!$M$2:$M$2001,0)))</f>
        <v/>
      </c>
    </row>
    <row r="298">
      <c r="A298" s="31">
        <f>IF(J298="E",IF(INDEX(Transaksi!$J$2:$J$2001,K298)&gt;0,"↑","↓"),"")</f>
        <v/>
      </c>
      <c r="B298" s="32">
        <f>IF(J298="H",CHOOSE(WEEKDAY(T298,2),"Isnin","Selasa","Rabu","Khamis","Jumaat","Sabtu","Ahad")&amp;", "&amp;DAY(T298)&amp;" "&amp;CHOOSE(MONTH(T298),"Jan","Feb","Mac","Apr","Mei","Jun","Jul","Ogo","Sep","Okt","Nov","Dis")&amp;" "&amp;YEAR(T298),IF(J298="E",IF(INDEX(Transaksi!$B$2:$B$2001,K298)="",INDEX(Transaksi!$C$2:$C$2001,K298)&amp;" · "&amp;INDEX(Transaksi!$D$2:$D$2001,K298),INDEX(Transaksi!$B$2:$B$2001,K298)),""))</f>
        <v/>
      </c>
      <c r="C298" s="32">
        <f>IF(J298="E",INDEX(Transaksi!$C$2:$C$2001,K298)&amp;"","")</f>
        <v/>
      </c>
      <c r="D298" s="32">
        <f>IF(J298="E",INDEX(Transaksi!$D$2:$D$2001,K298)&amp;"","")</f>
        <v/>
      </c>
      <c r="E298" s="33">
        <f>IF(J298="H",SUMIFS(Transaksi!$G$2:$G$2001,Transaksi!$M$2:$M$2001,"="&amp;S298)+SUMIFS(Transaksi!$H$2:$H$2001,Transaksi!$M$2:$M$2001,"="&amp;S298)+SUMIFS(Transaksi!$I$2:$I$2001,Transaksi!$M$2:$M$2001,"="&amp;S298),IF(J298="E",IF(INDEX(Transaksi!$G$2:$G$2001,K298)+INDEX(Transaksi!$H$2:$H$2001,K298)+INDEX(Transaksi!$I$2:$I$2001,K298)=0,"",INDEX(Transaksi!$G$2:$G$2001,K298)+INDEX(Transaksi!$H$2:$H$2001,K298)+INDEX(Transaksi!$I$2:$I$2001,K298)),""))</f>
        <v/>
      </c>
      <c r="F298" s="33">
        <f>IF(J298="H",SUMIFS(Transaksi!$J$2:$J$2001,Transaksi!$M$2:$M$2001,"="&amp;S298),IF(J298="E",IF(INDEX(Transaksi!$J$2:$J$2001,K298)=0,"",INDEX(Transaksi!$J$2:$J$2001,K298)),""))</f>
        <v/>
      </c>
      <c r="G298" s="33">
        <f>IF(J298="H",(SUMIFS(Transaksi!$G$2:$G$2001,Transaksi!$M$2:$M$2001,"&lt;="&amp;S298)+SUMIFS(Transaksi!$H$2:$H$2001,Transaksi!$M$2:$M$2001,"&lt;="&amp;S298)+SUMIFS(Transaksi!$I$2:$I$2001,Transaksi!$M$2:$M$2001,"&lt;="&amp;S298))-(SUMIFS(Transaksi!$J$2:$J$2001,Transaksi!$M$2:$M$2001,"&lt;="&amp;S298)),"")</f>
        <v/>
      </c>
      <c r="I298">
        <f>IF(295&gt;$O$2,"",MATCH(295,$Q$3:$Q$402,1))</f>
        <v/>
      </c>
      <c r="J298">
        <f>IF(I298="","",IF(295=INDEX($Q$3:$Q$402,I298),"H","E"))</f>
        <v/>
      </c>
      <c r="K298">
        <f>IF(J298&lt;&gt;"E","",MATCH(S298,Transaksi!$M$2:$M$2001,0)+295-INDEX($Q$3:$Q$402,I298)-1)</f>
        <v/>
      </c>
      <c r="N298" t="n">
        <v>296</v>
      </c>
      <c r="O298">
        <f>IF(N298&lt;=$O$1,$O$1-N298+1,"")</f>
        <v/>
      </c>
      <c r="P298">
        <f>IF(O298="",0,COUNTIF(Transaksi!$M$2:$M$2001,O298)+1)</f>
        <v/>
      </c>
      <c r="Q298">
        <f>1+SUM(P$2:P297)</f>
        <v/>
      </c>
      <c r="S298">
        <f>IF(I298="","",INDEX($O$3:$O$402,I298))</f>
        <v/>
      </c>
      <c r="T298">
        <f>IF(J298&lt;&gt;"H","",INDEX(Transaksi!$A$2:$A$2001,MATCH(S298,Transaksi!$M$2:$M$2001,0)))</f>
        <v/>
      </c>
    </row>
    <row r="299">
      <c r="A299" s="31">
        <f>IF(J299="E",IF(INDEX(Transaksi!$J$2:$J$2001,K299)&gt;0,"↑","↓"),"")</f>
        <v/>
      </c>
      <c r="B299" s="32">
        <f>IF(J299="H",CHOOSE(WEEKDAY(T299,2),"Isnin","Selasa","Rabu","Khamis","Jumaat","Sabtu","Ahad")&amp;", "&amp;DAY(T299)&amp;" "&amp;CHOOSE(MONTH(T299),"Jan","Feb","Mac","Apr","Mei","Jun","Jul","Ogo","Sep","Okt","Nov","Dis")&amp;" "&amp;YEAR(T299),IF(J299="E",IF(INDEX(Transaksi!$B$2:$B$2001,K299)="",INDEX(Transaksi!$C$2:$C$2001,K299)&amp;" · "&amp;INDEX(Transaksi!$D$2:$D$2001,K299),INDEX(Transaksi!$B$2:$B$2001,K299)),""))</f>
        <v/>
      </c>
      <c r="C299" s="32">
        <f>IF(J299="E",INDEX(Transaksi!$C$2:$C$2001,K299)&amp;"","")</f>
        <v/>
      </c>
      <c r="D299" s="32">
        <f>IF(J299="E",INDEX(Transaksi!$D$2:$D$2001,K299)&amp;"","")</f>
        <v/>
      </c>
      <c r="E299" s="33">
        <f>IF(J299="H",SUMIFS(Transaksi!$G$2:$G$2001,Transaksi!$M$2:$M$2001,"="&amp;S299)+SUMIFS(Transaksi!$H$2:$H$2001,Transaksi!$M$2:$M$2001,"="&amp;S299)+SUMIFS(Transaksi!$I$2:$I$2001,Transaksi!$M$2:$M$2001,"="&amp;S299),IF(J299="E",IF(INDEX(Transaksi!$G$2:$G$2001,K299)+INDEX(Transaksi!$H$2:$H$2001,K299)+INDEX(Transaksi!$I$2:$I$2001,K299)=0,"",INDEX(Transaksi!$G$2:$G$2001,K299)+INDEX(Transaksi!$H$2:$H$2001,K299)+INDEX(Transaksi!$I$2:$I$2001,K299)),""))</f>
        <v/>
      </c>
      <c r="F299" s="33">
        <f>IF(J299="H",SUMIFS(Transaksi!$J$2:$J$2001,Transaksi!$M$2:$M$2001,"="&amp;S299),IF(J299="E",IF(INDEX(Transaksi!$J$2:$J$2001,K299)=0,"",INDEX(Transaksi!$J$2:$J$2001,K299)),""))</f>
        <v/>
      </c>
      <c r="G299" s="33">
        <f>IF(J299="H",(SUMIFS(Transaksi!$G$2:$G$2001,Transaksi!$M$2:$M$2001,"&lt;="&amp;S299)+SUMIFS(Transaksi!$H$2:$H$2001,Transaksi!$M$2:$M$2001,"&lt;="&amp;S299)+SUMIFS(Transaksi!$I$2:$I$2001,Transaksi!$M$2:$M$2001,"&lt;="&amp;S299))-(SUMIFS(Transaksi!$J$2:$J$2001,Transaksi!$M$2:$M$2001,"&lt;="&amp;S299)),"")</f>
        <v/>
      </c>
      <c r="I299">
        <f>IF(296&gt;$O$2,"",MATCH(296,$Q$3:$Q$402,1))</f>
        <v/>
      </c>
      <c r="J299">
        <f>IF(I299="","",IF(296=INDEX($Q$3:$Q$402,I299),"H","E"))</f>
        <v/>
      </c>
      <c r="K299">
        <f>IF(J299&lt;&gt;"E","",MATCH(S299,Transaksi!$M$2:$M$2001,0)+296-INDEX($Q$3:$Q$402,I299)-1)</f>
        <v/>
      </c>
      <c r="N299" t="n">
        <v>297</v>
      </c>
      <c r="O299">
        <f>IF(N299&lt;=$O$1,$O$1-N299+1,"")</f>
        <v/>
      </c>
      <c r="P299">
        <f>IF(O299="",0,COUNTIF(Transaksi!$M$2:$M$2001,O299)+1)</f>
        <v/>
      </c>
      <c r="Q299">
        <f>1+SUM(P$2:P298)</f>
        <v/>
      </c>
      <c r="S299">
        <f>IF(I299="","",INDEX($O$3:$O$402,I299))</f>
        <v/>
      </c>
      <c r="T299">
        <f>IF(J299&lt;&gt;"H","",INDEX(Transaksi!$A$2:$A$2001,MATCH(S299,Transaksi!$M$2:$M$2001,0)))</f>
        <v/>
      </c>
    </row>
    <row r="300">
      <c r="A300" s="31">
        <f>IF(J300="E",IF(INDEX(Transaksi!$J$2:$J$2001,K300)&gt;0,"↑","↓"),"")</f>
        <v/>
      </c>
      <c r="B300" s="32">
        <f>IF(J300="H",CHOOSE(WEEKDAY(T300,2),"Isnin","Selasa","Rabu","Khamis","Jumaat","Sabtu","Ahad")&amp;", "&amp;DAY(T300)&amp;" "&amp;CHOOSE(MONTH(T300),"Jan","Feb","Mac","Apr","Mei","Jun","Jul","Ogo","Sep","Okt","Nov","Dis")&amp;" "&amp;YEAR(T300),IF(J300="E",IF(INDEX(Transaksi!$B$2:$B$2001,K300)="",INDEX(Transaksi!$C$2:$C$2001,K300)&amp;" · "&amp;INDEX(Transaksi!$D$2:$D$2001,K300),INDEX(Transaksi!$B$2:$B$2001,K300)),""))</f>
        <v/>
      </c>
      <c r="C300" s="32">
        <f>IF(J300="E",INDEX(Transaksi!$C$2:$C$2001,K300)&amp;"","")</f>
        <v/>
      </c>
      <c r="D300" s="32">
        <f>IF(J300="E",INDEX(Transaksi!$D$2:$D$2001,K300)&amp;"","")</f>
        <v/>
      </c>
      <c r="E300" s="33">
        <f>IF(J300="H",SUMIFS(Transaksi!$G$2:$G$2001,Transaksi!$M$2:$M$2001,"="&amp;S300)+SUMIFS(Transaksi!$H$2:$H$2001,Transaksi!$M$2:$M$2001,"="&amp;S300)+SUMIFS(Transaksi!$I$2:$I$2001,Transaksi!$M$2:$M$2001,"="&amp;S300),IF(J300="E",IF(INDEX(Transaksi!$G$2:$G$2001,K300)+INDEX(Transaksi!$H$2:$H$2001,K300)+INDEX(Transaksi!$I$2:$I$2001,K300)=0,"",INDEX(Transaksi!$G$2:$G$2001,K300)+INDEX(Transaksi!$H$2:$H$2001,K300)+INDEX(Transaksi!$I$2:$I$2001,K300)),""))</f>
        <v/>
      </c>
      <c r="F300" s="33">
        <f>IF(J300="H",SUMIFS(Transaksi!$J$2:$J$2001,Transaksi!$M$2:$M$2001,"="&amp;S300),IF(J300="E",IF(INDEX(Transaksi!$J$2:$J$2001,K300)=0,"",INDEX(Transaksi!$J$2:$J$2001,K300)),""))</f>
        <v/>
      </c>
      <c r="G300" s="33">
        <f>IF(J300="H",(SUMIFS(Transaksi!$G$2:$G$2001,Transaksi!$M$2:$M$2001,"&lt;="&amp;S300)+SUMIFS(Transaksi!$H$2:$H$2001,Transaksi!$M$2:$M$2001,"&lt;="&amp;S300)+SUMIFS(Transaksi!$I$2:$I$2001,Transaksi!$M$2:$M$2001,"&lt;="&amp;S300))-(SUMIFS(Transaksi!$J$2:$J$2001,Transaksi!$M$2:$M$2001,"&lt;="&amp;S300)),"")</f>
        <v/>
      </c>
      <c r="I300">
        <f>IF(297&gt;$O$2,"",MATCH(297,$Q$3:$Q$402,1))</f>
        <v/>
      </c>
      <c r="J300">
        <f>IF(I300="","",IF(297=INDEX($Q$3:$Q$402,I300),"H","E"))</f>
        <v/>
      </c>
      <c r="K300">
        <f>IF(J300&lt;&gt;"E","",MATCH(S300,Transaksi!$M$2:$M$2001,0)+297-INDEX($Q$3:$Q$402,I300)-1)</f>
        <v/>
      </c>
      <c r="N300" t="n">
        <v>298</v>
      </c>
      <c r="O300">
        <f>IF(N300&lt;=$O$1,$O$1-N300+1,"")</f>
        <v/>
      </c>
      <c r="P300">
        <f>IF(O300="",0,COUNTIF(Transaksi!$M$2:$M$2001,O300)+1)</f>
        <v/>
      </c>
      <c r="Q300">
        <f>1+SUM(P$2:P299)</f>
        <v/>
      </c>
      <c r="S300">
        <f>IF(I300="","",INDEX($O$3:$O$402,I300))</f>
        <v/>
      </c>
      <c r="T300">
        <f>IF(J300&lt;&gt;"H","",INDEX(Transaksi!$A$2:$A$2001,MATCH(S300,Transaksi!$M$2:$M$2001,0)))</f>
        <v/>
      </c>
    </row>
    <row r="301">
      <c r="A301" s="31">
        <f>IF(J301="E",IF(INDEX(Transaksi!$J$2:$J$2001,K301)&gt;0,"↑","↓"),"")</f>
        <v/>
      </c>
      <c r="B301" s="32">
        <f>IF(J301="H",CHOOSE(WEEKDAY(T301,2),"Isnin","Selasa","Rabu","Khamis","Jumaat","Sabtu","Ahad")&amp;", "&amp;DAY(T301)&amp;" "&amp;CHOOSE(MONTH(T301),"Jan","Feb","Mac","Apr","Mei","Jun","Jul","Ogo","Sep","Okt","Nov","Dis")&amp;" "&amp;YEAR(T301),IF(J301="E",IF(INDEX(Transaksi!$B$2:$B$2001,K301)="",INDEX(Transaksi!$C$2:$C$2001,K301)&amp;" · "&amp;INDEX(Transaksi!$D$2:$D$2001,K301),INDEX(Transaksi!$B$2:$B$2001,K301)),""))</f>
        <v/>
      </c>
      <c r="C301" s="32">
        <f>IF(J301="E",INDEX(Transaksi!$C$2:$C$2001,K301)&amp;"","")</f>
        <v/>
      </c>
      <c r="D301" s="32">
        <f>IF(J301="E",INDEX(Transaksi!$D$2:$D$2001,K301)&amp;"","")</f>
        <v/>
      </c>
      <c r="E301" s="33">
        <f>IF(J301="H",SUMIFS(Transaksi!$G$2:$G$2001,Transaksi!$M$2:$M$2001,"="&amp;S301)+SUMIFS(Transaksi!$H$2:$H$2001,Transaksi!$M$2:$M$2001,"="&amp;S301)+SUMIFS(Transaksi!$I$2:$I$2001,Transaksi!$M$2:$M$2001,"="&amp;S301),IF(J301="E",IF(INDEX(Transaksi!$G$2:$G$2001,K301)+INDEX(Transaksi!$H$2:$H$2001,K301)+INDEX(Transaksi!$I$2:$I$2001,K301)=0,"",INDEX(Transaksi!$G$2:$G$2001,K301)+INDEX(Transaksi!$H$2:$H$2001,K301)+INDEX(Transaksi!$I$2:$I$2001,K301)),""))</f>
        <v/>
      </c>
      <c r="F301" s="33">
        <f>IF(J301="H",SUMIFS(Transaksi!$J$2:$J$2001,Transaksi!$M$2:$M$2001,"="&amp;S301),IF(J301="E",IF(INDEX(Transaksi!$J$2:$J$2001,K301)=0,"",INDEX(Transaksi!$J$2:$J$2001,K301)),""))</f>
        <v/>
      </c>
      <c r="G301" s="33">
        <f>IF(J301="H",(SUMIFS(Transaksi!$G$2:$G$2001,Transaksi!$M$2:$M$2001,"&lt;="&amp;S301)+SUMIFS(Transaksi!$H$2:$H$2001,Transaksi!$M$2:$M$2001,"&lt;="&amp;S301)+SUMIFS(Transaksi!$I$2:$I$2001,Transaksi!$M$2:$M$2001,"&lt;="&amp;S301))-(SUMIFS(Transaksi!$J$2:$J$2001,Transaksi!$M$2:$M$2001,"&lt;="&amp;S301)),"")</f>
        <v/>
      </c>
      <c r="I301">
        <f>IF(298&gt;$O$2,"",MATCH(298,$Q$3:$Q$402,1))</f>
        <v/>
      </c>
      <c r="J301">
        <f>IF(I301="","",IF(298=INDEX($Q$3:$Q$402,I301),"H","E"))</f>
        <v/>
      </c>
      <c r="K301">
        <f>IF(J301&lt;&gt;"E","",MATCH(S301,Transaksi!$M$2:$M$2001,0)+298-INDEX($Q$3:$Q$402,I301)-1)</f>
        <v/>
      </c>
      <c r="N301" t="n">
        <v>299</v>
      </c>
      <c r="O301">
        <f>IF(N301&lt;=$O$1,$O$1-N301+1,"")</f>
        <v/>
      </c>
      <c r="P301">
        <f>IF(O301="",0,COUNTIF(Transaksi!$M$2:$M$2001,O301)+1)</f>
        <v/>
      </c>
      <c r="Q301">
        <f>1+SUM(P$2:P300)</f>
        <v/>
      </c>
      <c r="S301">
        <f>IF(I301="","",INDEX($O$3:$O$402,I301))</f>
        <v/>
      </c>
      <c r="T301">
        <f>IF(J301&lt;&gt;"H","",INDEX(Transaksi!$A$2:$A$2001,MATCH(S301,Transaksi!$M$2:$M$2001,0)))</f>
        <v/>
      </c>
    </row>
    <row r="302">
      <c r="A302" s="31">
        <f>IF(J302="E",IF(INDEX(Transaksi!$J$2:$J$2001,K302)&gt;0,"↑","↓"),"")</f>
        <v/>
      </c>
      <c r="B302" s="32">
        <f>IF(J302="H",CHOOSE(WEEKDAY(T302,2),"Isnin","Selasa","Rabu","Khamis","Jumaat","Sabtu","Ahad")&amp;", "&amp;DAY(T302)&amp;" "&amp;CHOOSE(MONTH(T302),"Jan","Feb","Mac","Apr","Mei","Jun","Jul","Ogo","Sep","Okt","Nov","Dis")&amp;" "&amp;YEAR(T302),IF(J302="E",IF(INDEX(Transaksi!$B$2:$B$2001,K302)="",INDEX(Transaksi!$C$2:$C$2001,K302)&amp;" · "&amp;INDEX(Transaksi!$D$2:$D$2001,K302),INDEX(Transaksi!$B$2:$B$2001,K302)),""))</f>
        <v/>
      </c>
      <c r="C302" s="32">
        <f>IF(J302="E",INDEX(Transaksi!$C$2:$C$2001,K302)&amp;"","")</f>
        <v/>
      </c>
      <c r="D302" s="32">
        <f>IF(J302="E",INDEX(Transaksi!$D$2:$D$2001,K302)&amp;"","")</f>
        <v/>
      </c>
      <c r="E302" s="33">
        <f>IF(J302="H",SUMIFS(Transaksi!$G$2:$G$2001,Transaksi!$M$2:$M$2001,"="&amp;S302)+SUMIFS(Transaksi!$H$2:$H$2001,Transaksi!$M$2:$M$2001,"="&amp;S302)+SUMIFS(Transaksi!$I$2:$I$2001,Transaksi!$M$2:$M$2001,"="&amp;S302),IF(J302="E",IF(INDEX(Transaksi!$G$2:$G$2001,K302)+INDEX(Transaksi!$H$2:$H$2001,K302)+INDEX(Transaksi!$I$2:$I$2001,K302)=0,"",INDEX(Transaksi!$G$2:$G$2001,K302)+INDEX(Transaksi!$H$2:$H$2001,K302)+INDEX(Transaksi!$I$2:$I$2001,K302)),""))</f>
        <v/>
      </c>
      <c r="F302" s="33">
        <f>IF(J302="H",SUMIFS(Transaksi!$J$2:$J$2001,Transaksi!$M$2:$M$2001,"="&amp;S302),IF(J302="E",IF(INDEX(Transaksi!$J$2:$J$2001,K302)=0,"",INDEX(Transaksi!$J$2:$J$2001,K302)),""))</f>
        <v/>
      </c>
      <c r="G302" s="33">
        <f>IF(J302="H",(SUMIFS(Transaksi!$G$2:$G$2001,Transaksi!$M$2:$M$2001,"&lt;="&amp;S302)+SUMIFS(Transaksi!$H$2:$H$2001,Transaksi!$M$2:$M$2001,"&lt;="&amp;S302)+SUMIFS(Transaksi!$I$2:$I$2001,Transaksi!$M$2:$M$2001,"&lt;="&amp;S302))-(SUMIFS(Transaksi!$J$2:$J$2001,Transaksi!$M$2:$M$2001,"&lt;="&amp;S302)),"")</f>
        <v/>
      </c>
      <c r="I302">
        <f>IF(299&gt;$O$2,"",MATCH(299,$Q$3:$Q$402,1))</f>
        <v/>
      </c>
      <c r="J302">
        <f>IF(I302="","",IF(299=INDEX($Q$3:$Q$402,I302),"H","E"))</f>
        <v/>
      </c>
      <c r="K302">
        <f>IF(J302&lt;&gt;"E","",MATCH(S302,Transaksi!$M$2:$M$2001,0)+299-INDEX($Q$3:$Q$402,I302)-1)</f>
        <v/>
      </c>
      <c r="N302" t="n">
        <v>300</v>
      </c>
      <c r="O302">
        <f>IF(N302&lt;=$O$1,$O$1-N302+1,"")</f>
        <v/>
      </c>
      <c r="P302">
        <f>IF(O302="",0,COUNTIF(Transaksi!$M$2:$M$2001,O302)+1)</f>
        <v/>
      </c>
      <c r="Q302">
        <f>1+SUM(P$2:P301)</f>
        <v/>
      </c>
      <c r="S302">
        <f>IF(I302="","",INDEX($O$3:$O$402,I302))</f>
        <v/>
      </c>
      <c r="T302">
        <f>IF(J302&lt;&gt;"H","",INDEX(Transaksi!$A$2:$A$2001,MATCH(S302,Transaksi!$M$2:$M$2001,0)))</f>
        <v/>
      </c>
    </row>
    <row r="303">
      <c r="A303" s="31">
        <f>IF(J303="E",IF(INDEX(Transaksi!$J$2:$J$2001,K303)&gt;0,"↑","↓"),"")</f>
        <v/>
      </c>
      <c r="B303" s="32">
        <f>IF(J303="H",CHOOSE(WEEKDAY(T303,2),"Isnin","Selasa","Rabu","Khamis","Jumaat","Sabtu","Ahad")&amp;", "&amp;DAY(T303)&amp;" "&amp;CHOOSE(MONTH(T303),"Jan","Feb","Mac","Apr","Mei","Jun","Jul","Ogo","Sep","Okt","Nov","Dis")&amp;" "&amp;YEAR(T303),IF(J303="E",IF(INDEX(Transaksi!$B$2:$B$2001,K303)="",INDEX(Transaksi!$C$2:$C$2001,K303)&amp;" · "&amp;INDEX(Transaksi!$D$2:$D$2001,K303),INDEX(Transaksi!$B$2:$B$2001,K303)),""))</f>
        <v/>
      </c>
      <c r="C303" s="32">
        <f>IF(J303="E",INDEX(Transaksi!$C$2:$C$2001,K303)&amp;"","")</f>
        <v/>
      </c>
      <c r="D303" s="32">
        <f>IF(J303="E",INDEX(Transaksi!$D$2:$D$2001,K303)&amp;"","")</f>
        <v/>
      </c>
      <c r="E303" s="33">
        <f>IF(J303="H",SUMIFS(Transaksi!$G$2:$G$2001,Transaksi!$M$2:$M$2001,"="&amp;S303)+SUMIFS(Transaksi!$H$2:$H$2001,Transaksi!$M$2:$M$2001,"="&amp;S303)+SUMIFS(Transaksi!$I$2:$I$2001,Transaksi!$M$2:$M$2001,"="&amp;S303),IF(J303="E",IF(INDEX(Transaksi!$G$2:$G$2001,K303)+INDEX(Transaksi!$H$2:$H$2001,K303)+INDEX(Transaksi!$I$2:$I$2001,K303)=0,"",INDEX(Transaksi!$G$2:$G$2001,K303)+INDEX(Transaksi!$H$2:$H$2001,K303)+INDEX(Transaksi!$I$2:$I$2001,K303)),""))</f>
        <v/>
      </c>
      <c r="F303" s="33">
        <f>IF(J303="H",SUMIFS(Transaksi!$J$2:$J$2001,Transaksi!$M$2:$M$2001,"="&amp;S303),IF(J303="E",IF(INDEX(Transaksi!$J$2:$J$2001,K303)=0,"",INDEX(Transaksi!$J$2:$J$2001,K303)),""))</f>
        <v/>
      </c>
      <c r="G303" s="33">
        <f>IF(J303="H",(SUMIFS(Transaksi!$G$2:$G$2001,Transaksi!$M$2:$M$2001,"&lt;="&amp;S303)+SUMIFS(Transaksi!$H$2:$H$2001,Transaksi!$M$2:$M$2001,"&lt;="&amp;S303)+SUMIFS(Transaksi!$I$2:$I$2001,Transaksi!$M$2:$M$2001,"&lt;="&amp;S303))-(SUMIFS(Transaksi!$J$2:$J$2001,Transaksi!$M$2:$M$2001,"&lt;="&amp;S303)),"")</f>
        <v/>
      </c>
      <c r="I303">
        <f>IF(300&gt;$O$2,"",MATCH(300,$Q$3:$Q$402,1))</f>
        <v/>
      </c>
      <c r="J303">
        <f>IF(I303="","",IF(300=INDEX($Q$3:$Q$402,I303),"H","E"))</f>
        <v/>
      </c>
      <c r="K303">
        <f>IF(J303&lt;&gt;"E","",MATCH(S303,Transaksi!$M$2:$M$2001,0)+300-INDEX($Q$3:$Q$402,I303)-1)</f>
        <v/>
      </c>
      <c r="N303" t="n">
        <v>301</v>
      </c>
      <c r="O303">
        <f>IF(N303&lt;=$O$1,$O$1-N303+1,"")</f>
        <v/>
      </c>
      <c r="P303">
        <f>IF(O303="",0,COUNTIF(Transaksi!$M$2:$M$2001,O303)+1)</f>
        <v/>
      </c>
      <c r="Q303">
        <f>1+SUM(P$2:P302)</f>
        <v/>
      </c>
      <c r="S303">
        <f>IF(I303="","",INDEX($O$3:$O$402,I303))</f>
        <v/>
      </c>
      <c r="T303">
        <f>IF(J303&lt;&gt;"H","",INDEX(Transaksi!$A$2:$A$2001,MATCH(S303,Transaksi!$M$2:$M$2001,0)))</f>
        <v/>
      </c>
    </row>
    <row r="304">
      <c r="A304" s="31">
        <f>IF(J304="E",IF(INDEX(Transaksi!$J$2:$J$2001,K304)&gt;0,"↑","↓"),"")</f>
        <v/>
      </c>
      <c r="B304" s="32">
        <f>IF(J304="H",CHOOSE(WEEKDAY(T304,2),"Isnin","Selasa","Rabu","Khamis","Jumaat","Sabtu","Ahad")&amp;", "&amp;DAY(T304)&amp;" "&amp;CHOOSE(MONTH(T304),"Jan","Feb","Mac","Apr","Mei","Jun","Jul","Ogo","Sep","Okt","Nov","Dis")&amp;" "&amp;YEAR(T304),IF(J304="E",IF(INDEX(Transaksi!$B$2:$B$2001,K304)="",INDEX(Transaksi!$C$2:$C$2001,K304)&amp;" · "&amp;INDEX(Transaksi!$D$2:$D$2001,K304),INDEX(Transaksi!$B$2:$B$2001,K304)),""))</f>
        <v/>
      </c>
      <c r="C304" s="32">
        <f>IF(J304="E",INDEX(Transaksi!$C$2:$C$2001,K304)&amp;"","")</f>
        <v/>
      </c>
      <c r="D304" s="32">
        <f>IF(J304="E",INDEX(Transaksi!$D$2:$D$2001,K304)&amp;"","")</f>
        <v/>
      </c>
      <c r="E304" s="33">
        <f>IF(J304="H",SUMIFS(Transaksi!$G$2:$G$2001,Transaksi!$M$2:$M$2001,"="&amp;S304)+SUMIFS(Transaksi!$H$2:$H$2001,Transaksi!$M$2:$M$2001,"="&amp;S304)+SUMIFS(Transaksi!$I$2:$I$2001,Transaksi!$M$2:$M$2001,"="&amp;S304),IF(J304="E",IF(INDEX(Transaksi!$G$2:$G$2001,K304)+INDEX(Transaksi!$H$2:$H$2001,K304)+INDEX(Transaksi!$I$2:$I$2001,K304)=0,"",INDEX(Transaksi!$G$2:$G$2001,K304)+INDEX(Transaksi!$H$2:$H$2001,K304)+INDEX(Transaksi!$I$2:$I$2001,K304)),""))</f>
        <v/>
      </c>
      <c r="F304" s="33">
        <f>IF(J304="H",SUMIFS(Transaksi!$J$2:$J$2001,Transaksi!$M$2:$M$2001,"="&amp;S304),IF(J304="E",IF(INDEX(Transaksi!$J$2:$J$2001,K304)=0,"",INDEX(Transaksi!$J$2:$J$2001,K304)),""))</f>
        <v/>
      </c>
      <c r="G304" s="33">
        <f>IF(J304="H",(SUMIFS(Transaksi!$G$2:$G$2001,Transaksi!$M$2:$M$2001,"&lt;="&amp;S304)+SUMIFS(Transaksi!$H$2:$H$2001,Transaksi!$M$2:$M$2001,"&lt;="&amp;S304)+SUMIFS(Transaksi!$I$2:$I$2001,Transaksi!$M$2:$M$2001,"&lt;="&amp;S304))-(SUMIFS(Transaksi!$J$2:$J$2001,Transaksi!$M$2:$M$2001,"&lt;="&amp;S304)),"")</f>
        <v/>
      </c>
      <c r="I304">
        <f>IF(301&gt;$O$2,"",MATCH(301,$Q$3:$Q$402,1))</f>
        <v/>
      </c>
      <c r="J304">
        <f>IF(I304="","",IF(301=INDEX($Q$3:$Q$402,I304),"H","E"))</f>
        <v/>
      </c>
      <c r="K304">
        <f>IF(J304&lt;&gt;"E","",MATCH(S304,Transaksi!$M$2:$M$2001,0)+301-INDEX($Q$3:$Q$402,I304)-1)</f>
        <v/>
      </c>
      <c r="N304" t="n">
        <v>302</v>
      </c>
      <c r="O304">
        <f>IF(N304&lt;=$O$1,$O$1-N304+1,"")</f>
        <v/>
      </c>
      <c r="P304">
        <f>IF(O304="",0,COUNTIF(Transaksi!$M$2:$M$2001,O304)+1)</f>
        <v/>
      </c>
      <c r="Q304">
        <f>1+SUM(P$2:P303)</f>
        <v/>
      </c>
      <c r="S304">
        <f>IF(I304="","",INDEX($O$3:$O$402,I304))</f>
        <v/>
      </c>
      <c r="T304">
        <f>IF(J304&lt;&gt;"H","",INDEX(Transaksi!$A$2:$A$2001,MATCH(S304,Transaksi!$M$2:$M$2001,0)))</f>
        <v/>
      </c>
    </row>
    <row r="305">
      <c r="A305" s="31">
        <f>IF(J305="E",IF(INDEX(Transaksi!$J$2:$J$2001,K305)&gt;0,"↑","↓"),"")</f>
        <v/>
      </c>
      <c r="B305" s="32">
        <f>IF(J305="H",CHOOSE(WEEKDAY(T305,2),"Isnin","Selasa","Rabu","Khamis","Jumaat","Sabtu","Ahad")&amp;", "&amp;DAY(T305)&amp;" "&amp;CHOOSE(MONTH(T305),"Jan","Feb","Mac","Apr","Mei","Jun","Jul","Ogo","Sep","Okt","Nov","Dis")&amp;" "&amp;YEAR(T305),IF(J305="E",IF(INDEX(Transaksi!$B$2:$B$2001,K305)="",INDEX(Transaksi!$C$2:$C$2001,K305)&amp;" · "&amp;INDEX(Transaksi!$D$2:$D$2001,K305),INDEX(Transaksi!$B$2:$B$2001,K305)),""))</f>
        <v/>
      </c>
      <c r="C305" s="32">
        <f>IF(J305="E",INDEX(Transaksi!$C$2:$C$2001,K305)&amp;"","")</f>
        <v/>
      </c>
      <c r="D305" s="32">
        <f>IF(J305="E",INDEX(Transaksi!$D$2:$D$2001,K305)&amp;"","")</f>
        <v/>
      </c>
      <c r="E305" s="33">
        <f>IF(J305="H",SUMIFS(Transaksi!$G$2:$G$2001,Transaksi!$M$2:$M$2001,"="&amp;S305)+SUMIFS(Transaksi!$H$2:$H$2001,Transaksi!$M$2:$M$2001,"="&amp;S305)+SUMIFS(Transaksi!$I$2:$I$2001,Transaksi!$M$2:$M$2001,"="&amp;S305),IF(J305="E",IF(INDEX(Transaksi!$G$2:$G$2001,K305)+INDEX(Transaksi!$H$2:$H$2001,K305)+INDEX(Transaksi!$I$2:$I$2001,K305)=0,"",INDEX(Transaksi!$G$2:$G$2001,K305)+INDEX(Transaksi!$H$2:$H$2001,K305)+INDEX(Transaksi!$I$2:$I$2001,K305)),""))</f>
        <v/>
      </c>
      <c r="F305" s="33">
        <f>IF(J305="H",SUMIFS(Transaksi!$J$2:$J$2001,Transaksi!$M$2:$M$2001,"="&amp;S305),IF(J305="E",IF(INDEX(Transaksi!$J$2:$J$2001,K305)=0,"",INDEX(Transaksi!$J$2:$J$2001,K305)),""))</f>
        <v/>
      </c>
      <c r="G305" s="33">
        <f>IF(J305="H",(SUMIFS(Transaksi!$G$2:$G$2001,Transaksi!$M$2:$M$2001,"&lt;="&amp;S305)+SUMIFS(Transaksi!$H$2:$H$2001,Transaksi!$M$2:$M$2001,"&lt;="&amp;S305)+SUMIFS(Transaksi!$I$2:$I$2001,Transaksi!$M$2:$M$2001,"&lt;="&amp;S305))-(SUMIFS(Transaksi!$J$2:$J$2001,Transaksi!$M$2:$M$2001,"&lt;="&amp;S305)),"")</f>
        <v/>
      </c>
      <c r="I305">
        <f>IF(302&gt;$O$2,"",MATCH(302,$Q$3:$Q$402,1))</f>
        <v/>
      </c>
      <c r="J305">
        <f>IF(I305="","",IF(302=INDEX($Q$3:$Q$402,I305),"H","E"))</f>
        <v/>
      </c>
      <c r="K305">
        <f>IF(J305&lt;&gt;"E","",MATCH(S305,Transaksi!$M$2:$M$2001,0)+302-INDEX($Q$3:$Q$402,I305)-1)</f>
        <v/>
      </c>
      <c r="N305" t="n">
        <v>303</v>
      </c>
      <c r="O305">
        <f>IF(N305&lt;=$O$1,$O$1-N305+1,"")</f>
        <v/>
      </c>
      <c r="P305">
        <f>IF(O305="",0,COUNTIF(Transaksi!$M$2:$M$2001,O305)+1)</f>
        <v/>
      </c>
      <c r="Q305">
        <f>1+SUM(P$2:P304)</f>
        <v/>
      </c>
      <c r="S305">
        <f>IF(I305="","",INDEX($O$3:$O$402,I305))</f>
        <v/>
      </c>
      <c r="T305">
        <f>IF(J305&lt;&gt;"H","",INDEX(Transaksi!$A$2:$A$2001,MATCH(S305,Transaksi!$M$2:$M$2001,0)))</f>
        <v/>
      </c>
    </row>
    <row r="306">
      <c r="A306" s="31">
        <f>IF(J306="E",IF(INDEX(Transaksi!$J$2:$J$2001,K306)&gt;0,"↑","↓"),"")</f>
        <v/>
      </c>
      <c r="B306" s="32">
        <f>IF(J306="H",CHOOSE(WEEKDAY(T306,2),"Isnin","Selasa","Rabu","Khamis","Jumaat","Sabtu","Ahad")&amp;", "&amp;DAY(T306)&amp;" "&amp;CHOOSE(MONTH(T306),"Jan","Feb","Mac","Apr","Mei","Jun","Jul","Ogo","Sep","Okt","Nov","Dis")&amp;" "&amp;YEAR(T306),IF(J306="E",IF(INDEX(Transaksi!$B$2:$B$2001,K306)="",INDEX(Transaksi!$C$2:$C$2001,K306)&amp;" · "&amp;INDEX(Transaksi!$D$2:$D$2001,K306),INDEX(Transaksi!$B$2:$B$2001,K306)),""))</f>
        <v/>
      </c>
      <c r="C306" s="32">
        <f>IF(J306="E",INDEX(Transaksi!$C$2:$C$2001,K306)&amp;"","")</f>
        <v/>
      </c>
      <c r="D306" s="32">
        <f>IF(J306="E",INDEX(Transaksi!$D$2:$D$2001,K306)&amp;"","")</f>
        <v/>
      </c>
      <c r="E306" s="33">
        <f>IF(J306="H",SUMIFS(Transaksi!$G$2:$G$2001,Transaksi!$M$2:$M$2001,"="&amp;S306)+SUMIFS(Transaksi!$H$2:$H$2001,Transaksi!$M$2:$M$2001,"="&amp;S306)+SUMIFS(Transaksi!$I$2:$I$2001,Transaksi!$M$2:$M$2001,"="&amp;S306),IF(J306="E",IF(INDEX(Transaksi!$G$2:$G$2001,K306)+INDEX(Transaksi!$H$2:$H$2001,K306)+INDEX(Transaksi!$I$2:$I$2001,K306)=0,"",INDEX(Transaksi!$G$2:$G$2001,K306)+INDEX(Transaksi!$H$2:$H$2001,K306)+INDEX(Transaksi!$I$2:$I$2001,K306)),""))</f>
        <v/>
      </c>
      <c r="F306" s="33">
        <f>IF(J306="H",SUMIFS(Transaksi!$J$2:$J$2001,Transaksi!$M$2:$M$2001,"="&amp;S306),IF(J306="E",IF(INDEX(Transaksi!$J$2:$J$2001,K306)=0,"",INDEX(Transaksi!$J$2:$J$2001,K306)),""))</f>
        <v/>
      </c>
      <c r="G306" s="33">
        <f>IF(J306="H",(SUMIFS(Transaksi!$G$2:$G$2001,Transaksi!$M$2:$M$2001,"&lt;="&amp;S306)+SUMIFS(Transaksi!$H$2:$H$2001,Transaksi!$M$2:$M$2001,"&lt;="&amp;S306)+SUMIFS(Transaksi!$I$2:$I$2001,Transaksi!$M$2:$M$2001,"&lt;="&amp;S306))-(SUMIFS(Transaksi!$J$2:$J$2001,Transaksi!$M$2:$M$2001,"&lt;="&amp;S306)),"")</f>
        <v/>
      </c>
      <c r="I306">
        <f>IF(303&gt;$O$2,"",MATCH(303,$Q$3:$Q$402,1))</f>
        <v/>
      </c>
      <c r="J306">
        <f>IF(I306="","",IF(303=INDEX($Q$3:$Q$402,I306),"H","E"))</f>
        <v/>
      </c>
      <c r="K306">
        <f>IF(J306&lt;&gt;"E","",MATCH(S306,Transaksi!$M$2:$M$2001,0)+303-INDEX($Q$3:$Q$402,I306)-1)</f>
        <v/>
      </c>
      <c r="N306" t="n">
        <v>304</v>
      </c>
      <c r="O306">
        <f>IF(N306&lt;=$O$1,$O$1-N306+1,"")</f>
        <v/>
      </c>
      <c r="P306">
        <f>IF(O306="",0,COUNTIF(Transaksi!$M$2:$M$2001,O306)+1)</f>
        <v/>
      </c>
      <c r="Q306">
        <f>1+SUM(P$2:P305)</f>
        <v/>
      </c>
      <c r="S306">
        <f>IF(I306="","",INDEX($O$3:$O$402,I306))</f>
        <v/>
      </c>
      <c r="T306">
        <f>IF(J306&lt;&gt;"H","",INDEX(Transaksi!$A$2:$A$2001,MATCH(S306,Transaksi!$M$2:$M$2001,0)))</f>
        <v/>
      </c>
    </row>
    <row r="307">
      <c r="A307" s="31">
        <f>IF(J307="E",IF(INDEX(Transaksi!$J$2:$J$2001,K307)&gt;0,"↑","↓"),"")</f>
        <v/>
      </c>
      <c r="B307" s="32">
        <f>IF(J307="H",CHOOSE(WEEKDAY(T307,2),"Isnin","Selasa","Rabu","Khamis","Jumaat","Sabtu","Ahad")&amp;", "&amp;DAY(T307)&amp;" "&amp;CHOOSE(MONTH(T307),"Jan","Feb","Mac","Apr","Mei","Jun","Jul","Ogo","Sep","Okt","Nov","Dis")&amp;" "&amp;YEAR(T307),IF(J307="E",IF(INDEX(Transaksi!$B$2:$B$2001,K307)="",INDEX(Transaksi!$C$2:$C$2001,K307)&amp;" · "&amp;INDEX(Transaksi!$D$2:$D$2001,K307),INDEX(Transaksi!$B$2:$B$2001,K307)),""))</f>
        <v/>
      </c>
      <c r="C307" s="32">
        <f>IF(J307="E",INDEX(Transaksi!$C$2:$C$2001,K307)&amp;"","")</f>
        <v/>
      </c>
      <c r="D307" s="32">
        <f>IF(J307="E",INDEX(Transaksi!$D$2:$D$2001,K307)&amp;"","")</f>
        <v/>
      </c>
      <c r="E307" s="33">
        <f>IF(J307="H",SUMIFS(Transaksi!$G$2:$G$2001,Transaksi!$M$2:$M$2001,"="&amp;S307)+SUMIFS(Transaksi!$H$2:$H$2001,Transaksi!$M$2:$M$2001,"="&amp;S307)+SUMIFS(Transaksi!$I$2:$I$2001,Transaksi!$M$2:$M$2001,"="&amp;S307),IF(J307="E",IF(INDEX(Transaksi!$G$2:$G$2001,K307)+INDEX(Transaksi!$H$2:$H$2001,K307)+INDEX(Transaksi!$I$2:$I$2001,K307)=0,"",INDEX(Transaksi!$G$2:$G$2001,K307)+INDEX(Transaksi!$H$2:$H$2001,K307)+INDEX(Transaksi!$I$2:$I$2001,K307)),""))</f>
        <v/>
      </c>
      <c r="F307" s="33">
        <f>IF(J307="H",SUMIFS(Transaksi!$J$2:$J$2001,Transaksi!$M$2:$M$2001,"="&amp;S307),IF(J307="E",IF(INDEX(Transaksi!$J$2:$J$2001,K307)=0,"",INDEX(Transaksi!$J$2:$J$2001,K307)),""))</f>
        <v/>
      </c>
      <c r="G307" s="33">
        <f>IF(J307="H",(SUMIFS(Transaksi!$G$2:$G$2001,Transaksi!$M$2:$M$2001,"&lt;="&amp;S307)+SUMIFS(Transaksi!$H$2:$H$2001,Transaksi!$M$2:$M$2001,"&lt;="&amp;S307)+SUMIFS(Transaksi!$I$2:$I$2001,Transaksi!$M$2:$M$2001,"&lt;="&amp;S307))-(SUMIFS(Transaksi!$J$2:$J$2001,Transaksi!$M$2:$M$2001,"&lt;="&amp;S307)),"")</f>
        <v/>
      </c>
      <c r="I307">
        <f>IF(304&gt;$O$2,"",MATCH(304,$Q$3:$Q$402,1))</f>
        <v/>
      </c>
      <c r="J307">
        <f>IF(I307="","",IF(304=INDEX($Q$3:$Q$402,I307),"H","E"))</f>
        <v/>
      </c>
      <c r="K307">
        <f>IF(J307&lt;&gt;"E","",MATCH(S307,Transaksi!$M$2:$M$2001,0)+304-INDEX($Q$3:$Q$402,I307)-1)</f>
        <v/>
      </c>
      <c r="N307" t="n">
        <v>305</v>
      </c>
      <c r="O307">
        <f>IF(N307&lt;=$O$1,$O$1-N307+1,"")</f>
        <v/>
      </c>
      <c r="P307">
        <f>IF(O307="",0,COUNTIF(Transaksi!$M$2:$M$2001,O307)+1)</f>
        <v/>
      </c>
      <c r="Q307">
        <f>1+SUM(P$2:P306)</f>
        <v/>
      </c>
      <c r="S307">
        <f>IF(I307="","",INDEX($O$3:$O$402,I307))</f>
        <v/>
      </c>
      <c r="T307">
        <f>IF(J307&lt;&gt;"H","",INDEX(Transaksi!$A$2:$A$2001,MATCH(S307,Transaksi!$M$2:$M$2001,0)))</f>
        <v/>
      </c>
    </row>
    <row r="308">
      <c r="A308" s="31">
        <f>IF(J308="E",IF(INDEX(Transaksi!$J$2:$J$2001,K308)&gt;0,"↑","↓"),"")</f>
        <v/>
      </c>
      <c r="B308" s="32">
        <f>IF(J308="H",CHOOSE(WEEKDAY(T308,2),"Isnin","Selasa","Rabu","Khamis","Jumaat","Sabtu","Ahad")&amp;", "&amp;DAY(T308)&amp;" "&amp;CHOOSE(MONTH(T308),"Jan","Feb","Mac","Apr","Mei","Jun","Jul","Ogo","Sep","Okt","Nov","Dis")&amp;" "&amp;YEAR(T308),IF(J308="E",IF(INDEX(Transaksi!$B$2:$B$2001,K308)="",INDEX(Transaksi!$C$2:$C$2001,K308)&amp;" · "&amp;INDEX(Transaksi!$D$2:$D$2001,K308),INDEX(Transaksi!$B$2:$B$2001,K308)),""))</f>
        <v/>
      </c>
      <c r="C308" s="32">
        <f>IF(J308="E",INDEX(Transaksi!$C$2:$C$2001,K308)&amp;"","")</f>
        <v/>
      </c>
      <c r="D308" s="32">
        <f>IF(J308="E",INDEX(Transaksi!$D$2:$D$2001,K308)&amp;"","")</f>
        <v/>
      </c>
      <c r="E308" s="33">
        <f>IF(J308="H",SUMIFS(Transaksi!$G$2:$G$2001,Transaksi!$M$2:$M$2001,"="&amp;S308)+SUMIFS(Transaksi!$H$2:$H$2001,Transaksi!$M$2:$M$2001,"="&amp;S308)+SUMIFS(Transaksi!$I$2:$I$2001,Transaksi!$M$2:$M$2001,"="&amp;S308),IF(J308="E",IF(INDEX(Transaksi!$G$2:$G$2001,K308)+INDEX(Transaksi!$H$2:$H$2001,K308)+INDEX(Transaksi!$I$2:$I$2001,K308)=0,"",INDEX(Transaksi!$G$2:$G$2001,K308)+INDEX(Transaksi!$H$2:$H$2001,K308)+INDEX(Transaksi!$I$2:$I$2001,K308)),""))</f>
        <v/>
      </c>
      <c r="F308" s="33">
        <f>IF(J308="H",SUMIFS(Transaksi!$J$2:$J$2001,Transaksi!$M$2:$M$2001,"="&amp;S308),IF(J308="E",IF(INDEX(Transaksi!$J$2:$J$2001,K308)=0,"",INDEX(Transaksi!$J$2:$J$2001,K308)),""))</f>
        <v/>
      </c>
      <c r="G308" s="33">
        <f>IF(J308="H",(SUMIFS(Transaksi!$G$2:$G$2001,Transaksi!$M$2:$M$2001,"&lt;="&amp;S308)+SUMIFS(Transaksi!$H$2:$H$2001,Transaksi!$M$2:$M$2001,"&lt;="&amp;S308)+SUMIFS(Transaksi!$I$2:$I$2001,Transaksi!$M$2:$M$2001,"&lt;="&amp;S308))-(SUMIFS(Transaksi!$J$2:$J$2001,Transaksi!$M$2:$M$2001,"&lt;="&amp;S308)),"")</f>
        <v/>
      </c>
      <c r="I308">
        <f>IF(305&gt;$O$2,"",MATCH(305,$Q$3:$Q$402,1))</f>
        <v/>
      </c>
      <c r="J308">
        <f>IF(I308="","",IF(305=INDEX($Q$3:$Q$402,I308),"H","E"))</f>
        <v/>
      </c>
      <c r="K308">
        <f>IF(J308&lt;&gt;"E","",MATCH(S308,Transaksi!$M$2:$M$2001,0)+305-INDEX($Q$3:$Q$402,I308)-1)</f>
        <v/>
      </c>
      <c r="N308" t="n">
        <v>306</v>
      </c>
      <c r="O308">
        <f>IF(N308&lt;=$O$1,$O$1-N308+1,"")</f>
        <v/>
      </c>
      <c r="P308">
        <f>IF(O308="",0,COUNTIF(Transaksi!$M$2:$M$2001,O308)+1)</f>
        <v/>
      </c>
      <c r="Q308">
        <f>1+SUM(P$2:P307)</f>
        <v/>
      </c>
      <c r="S308">
        <f>IF(I308="","",INDEX($O$3:$O$402,I308))</f>
        <v/>
      </c>
      <c r="T308">
        <f>IF(J308&lt;&gt;"H","",INDEX(Transaksi!$A$2:$A$2001,MATCH(S308,Transaksi!$M$2:$M$2001,0)))</f>
        <v/>
      </c>
    </row>
    <row r="309">
      <c r="A309" s="31">
        <f>IF(J309="E",IF(INDEX(Transaksi!$J$2:$J$2001,K309)&gt;0,"↑","↓"),"")</f>
        <v/>
      </c>
      <c r="B309" s="32">
        <f>IF(J309="H",CHOOSE(WEEKDAY(T309,2),"Isnin","Selasa","Rabu","Khamis","Jumaat","Sabtu","Ahad")&amp;", "&amp;DAY(T309)&amp;" "&amp;CHOOSE(MONTH(T309),"Jan","Feb","Mac","Apr","Mei","Jun","Jul","Ogo","Sep","Okt","Nov","Dis")&amp;" "&amp;YEAR(T309),IF(J309="E",IF(INDEX(Transaksi!$B$2:$B$2001,K309)="",INDEX(Transaksi!$C$2:$C$2001,K309)&amp;" · "&amp;INDEX(Transaksi!$D$2:$D$2001,K309),INDEX(Transaksi!$B$2:$B$2001,K309)),""))</f>
        <v/>
      </c>
      <c r="C309" s="32">
        <f>IF(J309="E",INDEX(Transaksi!$C$2:$C$2001,K309)&amp;"","")</f>
        <v/>
      </c>
      <c r="D309" s="32">
        <f>IF(J309="E",INDEX(Transaksi!$D$2:$D$2001,K309)&amp;"","")</f>
        <v/>
      </c>
      <c r="E309" s="33">
        <f>IF(J309="H",SUMIFS(Transaksi!$G$2:$G$2001,Transaksi!$M$2:$M$2001,"="&amp;S309)+SUMIFS(Transaksi!$H$2:$H$2001,Transaksi!$M$2:$M$2001,"="&amp;S309)+SUMIFS(Transaksi!$I$2:$I$2001,Transaksi!$M$2:$M$2001,"="&amp;S309),IF(J309="E",IF(INDEX(Transaksi!$G$2:$G$2001,K309)+INDEX(Transaksi!$H$2:$H$2001,K309)+INDEX(Transaksi!$I$2:$I$2001,K309)=0,"",INDEX(Transaksi!$G$2:$G$2001,K309)+INDEX(Transaksi!$H$2:$H$2001,K309)+INDEX(Transaksi!$I$2:$I$2001,K309)),""))</f>
        <v/>
      </c>
      <c r="F309" s="33">
        <f>IF(J309="H",SUMIFS(Transaksi!$J$2:$J$2001,Transaksi!$M$2:$M$2001,"="&amp;S309),IF(J309="E",IF(INDEX(Transaksi!$J$2:$J$2001,K309)=0,"",INDEX(Transaksi!$J$2:$J$2001,K309)),""))</f>
        <v/>
      </c>
      <c r="G309" s="33">
        <f>IF(J309="H",(SUMIFS(Transaksi!$G$2:$G$2001,Transaksi!$M$2:$M$2001,"&lt;="&amp;S309)+SUMIFS(Transaksi!$H$2:$H$2001,Transaksi!$M$2:$M$2001,"&lt;="&amp;S309)+SUMIFS(Transaksi!$I$2:$I$2001,Transaksi!$M$2:$M$2001,"&lt;="&amp;S309))-(SUMIFS(Transaksi!$J$2:$J$2001,Transaksi!$M$2:$M$2001,"&lt;="&amp;S309)),"")</f>
        <v/>
      </c>
      <c r="I309">
        <f>IF(306&gt;$O$2,"",MATCH(306,$Q$3:$Q$402,1))</f>
        <v/>
      </c>
      <c r="J309">
        <f>IF(I309="","",IF(306=INDEX($Q$3:$Q$402,I309),"H","E"))</f>
        <v/>
      </c>
      <c r="K309">
        <f>IF(J309&lt;&gt;"E","",MATCH(S309,Transaksi!$M$2:$M$2001,0)+306-INDEX($Q$3:$Q$402,I309)-1)</f>
        <v/>
      </c>
      <c r="N309" t="n">
        <v>307</v>
      </c>
      <c r="O309">
        <f>IF(N309&lt;=$O$1,$O$1-N309+1,"")</f>
        <v/>
      </c>
      <c r="P309">
        <f>IF(O309="",0,COUNTIF(Transaksi!$M$2:$M$2001,O309)+1)</f>
        <v/>
      </c>
      <c r="Q309">
        <f>1+SUM(P$2:P308)</f>
        <v/>
      </c>
      <c r="S309">
        <f>IF(I309="","",INDEX($O$3:$O$402,I309))</f>
        <v/>
      </c>
      <c r="T309">
        <f>IF(J309&lt;&gt;"H","",INDEX(Transaksi!$A$2:$A$2001,MATCH(S309,Transaksi!$M$2:$M$2001,0)))</f>
        <v/>
      </c>
    </row>
    <row r="310">
      <c r="A310" s="31">
        <f>IF(J310="E",IF(INDEX(Transaksi!$J$2:$J$2001,K310)&gt;0,"↑","↓"),"")</f>
        <v/>
      </c>
      <c r="B310" s="32">
        <f>IF(J310="H",CHOOSE(WEEKDAY(T310,2),"Isnin","Selasa","Rabu","Khamis","Jumaat","Sabtu","Ahad")&amp;", "&amp;DAY(T310)&amp;" "&amp;CHOOSE(MONTH(T310),"Jan","Feb","Mac","Apr","Mei","Jun","Jul","Ogo","Sep","Okt","Nov","Dis")&amp;" "&amp;YEAR(T310),IF(J310="E",IF(INDEX(Transaksi!$B$2:$B$2001,K310)="",INDEX(Transaksi!$C$2:$C$2001,K310)&amp;" · "&amp;INDEX(Transaksi!$D$2:$D$2001,K310),INDEX(Transaksi!$B$2:$B$2001,K310)),""))</f>
        <v/>
      </c>
      <c r="C310" s="32">
        <f>IF(J310="E",INDEX(Transaksi!$C$2:$C$2001,K310)&amp;"","")</f>
        <v/>
      </c>
      <c r="D310" s="32">
        <f>IF(J310="E",INDEX(Transaksi!$D$2:$D$2001,K310)&amp;"","")</f>
        <v/>
      </c>
      <c r="E310" s="33">
        <f>IF(J310="H",SUMIFS(Transaksi!$G$2:$G$2001,Transaksi!$M$2:$M$2001,"="&amp;S310)+SUMIFS(Transaksi!$H$2:$H$2001,Transaksi!$M$2:$M$2001,"="&amp;S310)+SUMIFS(Transaksi!$I$2:$I$2001,Transaksi!$M$2:$M$2001,"="&amp;S310),IF(J310="E",IF(INDEX(Transaksi!$G$2:$G$2001,K310)+INDEX(Transaksi!$H$2:$H$2001,K310)+INDEX(Transaksi!$I$2:$I$2001,K310)=0,"",INDEX(Transaksi!$G$2:$G$2001,K310)+INDEX(Transaksi!$H$2:$H$2001,K310)+INDEX(Transaksi!$I$2:$I$2001,K310)),""))</f>
        <v/>
      </c>
      <c r="F310" s="33">
        <f>IF(J310="H",SUMIFS(Transaksi!$J$2:$J$2001,Transaksi!$M$2:$M$2001,"="&amp;S310),IF(J310="E",IF(INDEX(Transaksi!$J$2:$J$2001,K310)=0,"",INDEX(Transaksi!$J$2:$J$2001,K310)),""))</f>
        <v/>
      </c>
      <c r="G310" s="33">
        <f>IF(J310="H",(SUMIFS(Transaksi!$G$2:$G$2001,Transaksi!$M$2:$M$2001,"&lt;="&amp;S310)+SUMIFS(Transaksi!$H$2:$H$2001,Transaksi!$M$2:$M$2001,"&lt;="&amp;S310)+SUMIFS(Transaksi!$I$2:$I$2001,Transaksi!$M$2:$M$2001,"&lt;="&amp;S310))-(SUMIFS(Transaksi!$J$2:$J$2001,Transaksi!$M$2:$M$2001,"&lt;="&amp;S310)),"")</f>
        <v/>
      </c>
      <c r="I310">
        <f>IF(307&gt;$O$2,"",MATCH(307,$Q$3:$Q$402,1))</f>
        <v/>
      </c>
      <c r="J310">
        <f>IF(I310="","",IF(307=INDEX($Q$3:$Q$402,I310),"H","E"))</f>
        <v/>
      </c>
      <c r="K310">
        <f>IF(J310&lt;&gt;"E","",MATCH(S310,Transaksi!$M$2:$M$2001,0)+307-INDEX($Q$3:$Q$402,I310)-1)</f>
        <v/>
      </c>
      <c r="N310" t="n">
        <v>308</v>
      </c>
      <c r="O310">
        <f>IF(N310&lt;=$O$1,$O$1-N310+1,"")</f>
        <v/>
      </c>
      <c r="P310">
        <f>IF(O310="",0,COUNTIF(Transaksi!$M$2:$M$2001,O310)+1)</f>
        <v/>
      </c>
      <c r="Q310">
        <f>1+SUM(P$2:P309)</f>
        <v/>
      </c>
      <c r="S310">
        <f>IF(I310="","",INDEX($O$3:$O$402,I310))</f>
        <v/>
      </c>
      <c r="T310">
        <f>IF(J310&lt;&gt;"H","",INDEX(Transaksi!$A$2:$A$2001,MATCH(S310,Transaksi!$M$2:$M$2001,0)))</f>
        <v/>
      </c>
    </row>
    <row r="311">
      <c r="A311" s="31">
        <f>IF(J311="E",IF(INDEX(Transaksi!$J$2:$J$2001,K311)&gt;0,"↑","↓"),"")</f>
        <v/>
      </c>
      <c r="B311" s="32">
        <f>IF(J311="H",CHOOSE(WEEKDAY(T311,2),"Isnin","Selasa","Rabu","Khamis","Jumaat","Sabtu","Ahad")&amp;", "&amp;DAY(T311)&amp;" "&amp;CHOOSE(MONTH(T311),"Jan","Feb","Mac","Apr","Mei","Jun","Jul","Ogo","Sep","Okt","Nov","Dis")&amp;" "&amp;YEAR(T311),IF(J311="E",IF(INDEX(Transaksi!$B$2:$B$2001,K311)="",INDEX(Transaksi!$C$2:$C$2001,K311)&amp;" · "&amp;INDEX(Transaksi!$D$2:$D$2001,K311),INDEX(Transaksi!$B$2:$B$2001,K311)),""))</f>
        <v/>
      </c>
      <c r="C311" s="32">
        <f>IF(J311="E",INDEX(Transaksi!$C$2:$C$2001,K311)&amp;"","")</f>
        <v/>
      </c>
      <c r="D311" s="32">
        <f>IF(J311="E",INDEX(Transaksi!$D$2:$D$2001,K311)&amp;"","")</f>
        <v/>
      </c>
      <c r="E311" s="33">
        <f>IF(J311="H",SUMIFS(Transaksi!$G$2:$G$2001,Transaksi!$M$2:$M$2001,"="&amp;S311)+SUMIFS(Transaksi!$H$2:$H$2001,Transaksi!$M$2:$M$2001,"="&amp;S311)+SUMIFS(Transaksi!$I$2:$I$2001,Transaksi!$M$2:$M$2001,"="&amp;S311),IF(J311="E",IF(INDEX(Transaksi!$G$2:$G$2001,K311)+INDEX(Transaksi!$H$2:$H$2001,K311)+INDEX(Transaksi!$I$2:$I$2001,K311)=0,"",INDEX(Transaksi!$G$2:$G$2001,K311)+INDEX(Transaksi!$H$2:$H$2001,K311)+INDEX(Transaksi!$I$2:$I$2001,K311)),""))</f>
        <v/>
      </c>
      <c r="F311" s="33">
        <f>IF(J311="H",SUMIFS(Transaksi!$J$2:$J$2001,Transaksi!$M$2:$M$2001,"="&amp;S311),IF(J311="E",IF(INDEX(Transaksi!$J$2:$J$2001,K311)=0,"",INDEX(Transaksi!$J$2:$J$2001,K311)),""))</f>
        <v/>
      </c>
      <c r="G311" s="33">
        <f>IF(J311="H",(SUMIFS(Transaksi!$G$2:$G$2001,Transaksi!$M$2:$M$2001,"&lt;="&amp;S311)+SUMIFS(Transaksi!$H$2:$H$2001,Transaksi!$M$2:$M$2001,"&lt;="&amp;S311)+SUMIFS(Transaksi!$I$2:$I$2001,Transaksi!$M$2:$M$2001,"&lt;="&amp;S311))-(SUMIFS(Transaksi!$J$2:$J$2001,Transaksi!$M$2:$M$2001,"&lt;="&amp;S311)),"")</f>
        <v/>
      </c>
      <c r="I311">
        <f>IF(308&gt;$O$2,"",MATCH(308,$Q$3:$Q$402,1))</f>
        <v/>
      </c>
      <c r="J311">
        <f>IF(I311="","",IF(308=INDEX($Q$3:$Q$402,I311),"H","E"))</f>
        <v/>
      </c>
      <c r="K311">
        <f>IF(J311&lt;&gt;"E","",MATCH(S311,Transaksi!$M$2:$M$2001,0)+308-INDEX($Q$3:$Q$402,I311)-1)</f>
        <v/>
      </c>
      <c r="N311" t="n">
        <v>309</v>
      </c>
      <c r="O311">
        <f>IF(N311&lt;=$O$1,$O$1-N311+1,"")</f>
        <v/>
      </c>
      <c r="P311">
        <f>IF(O311="",0,COUNTIF(Transaksi!$M$2:$M$2001,O311)+1)</f>
        <v/>
      </c>
      <c r="Q311">
        <f>1+SUM(P$2:P310)</f>
        <v/>
      </c>
      <c r="S311">
        <f>IF(I311="","",INDEX($O$3:$O$402,I311))</f>
        <v/>
      </c>
      <c r="T311">
        <f>IF(J311&lt;&gt;"H","",INDEX(Transaksi!$A$2:$A$2001,MATCH(S311,Transaksi!$M$2:$M$2001,0)))</f>
        <v/>
      </c>
    </row>
    <row r="312">
      <c r="A312" s="31">
        <f>IF(J312="E",IF(INDEX(Transaksi!$J$2:$J$2001,K312)&gt;0,"↑","↓"),"")</f>
        <v/>
      </c>
      <c r="B312" s="32">
        <f>IF(J312="H",CHOOSE(WEEKDAY(T312,2),"Isnin","Selasa","Rabu","Khamis","Jumaat","Sabtu","Ahad")&amp;", "&amp;DAY(T312)&amp;" "&amp;CHOOSE(MONTH(T312),"Jan","Feb","Mac","Apr","Mei","Jun","Jul","Ogo","Sep","Okt","Nov","Dis")&amp;" "&amp;YEAR(T312),IF(J312="E",IF(INDEX(Transaksi!$B$2:$B$2001,K312)="",INDEX(Transaksi!$C$2:$C$2001,K312)&amp;" · "&amp;INDEX(Transaksi!$D$2:$D$2001,K312),INDEX(Transaksi!$B$2:$B$2001,K312)),""))</f>
        <v/>
      </c>
      <c r="C312" s="32">
        <f>IF(J312="E",INDEX(Transaksi!$C$2:$C$2001,K312)&amp;"","")</f>
        <v/>
      </c>
      <c r="D312" s="32">
        <f>IF(J312="E",INDEX(Transaksi!$D$2:$D$2001,K312)&amp;"","")</f>
        <v/>
      </c>
      <c r="E312" s="33">
        <f>IF(J312="H",SUMIFS(Transaksi!$G$2:$G$2001,Transaksi!$M$2:$M$2001,"="&amp;S312)+SUMIFS(Transaksi!$H$2:$H$2001,Transaksi!$M$2:$M$2001,"="&amp;S312)+SUMIFS(Transaksi!$I$2:$I$2001,Transaksi!$M$2:$M$2001,"="&amp;S312),IF(J312="E",IF(INDEX(Transaksi!$G$2:$G$2001,K312)+INDEX(Transaksi!$H$2:$H$2001,K312)+INDEX(Transaksi!$I$2:$I$2001,K312)=0,"",INDEX(Transaksi!$G$2:$G$2001,K312)+INDEX(Transaksi!$H$2:$H$2001,K312)+INDEX(Transaksi!$I$2:$I$2001,K312)),""))</f>
        <v/>
      </c>
      <c r="F312" s="33">
        <f>IF(J312="H",SUMIFS(Transaksi!$J$2:$J$2001,Transaksi!$M$2:$M$2001,"="&amp;S312),IF(J312="E",IF(INDEX(Transaksi!$J$2:$J$2001,K312)=0,"",INDEX(Transaksi!$J$2:$J$2001,K312)),""))</f>
        <v/>
      </c>
      <c r="G312" s="33">
        <f>IF(J312="H",(SUMIFS(Transaksi!$G$2:$G$2001,Transaksi!$M$2:$M$2001,"&lt;="&amp;S312)+SUMIFS(Transaksi!$H$2:$H$2001,Transaksi!$M$2:$M$2001,"&lt;="&amp;S312)+SUMIFS(Transaksi!$I$2:$I$2001,Transaksi!$M$2:$M$2001,"&lt;="&amp;S312))-(SUMIFS(Transaksi!$J$2:$J$2001,Transaksi!$M$2:$M$2001,"&lt;="&amp;S312)),"")</f>
        <v/>
      </c>
      <c r="I312">
        <f>IF(309&gt;$O$2,"",MATCH(309,$Q$3:$Q$402,1))</f>
        <v/>
      </c>
      <c r="J312">
        <f>IF(I312="","",IF(309=INDEX($Q$3:$Q$402,I312),"H","E"))</f>
        <v/>
      </c>
      <c r="K312">
        <f>IF(J312&lt;&gt;"E","",MATCH(S312,Transaksi!$M$2:$M$2001,0)+309-INDEX($Q$3:$Q$402,I312)-1)</f>
        <v/>
      </c>
      <c r="N312" t="n">
        <v>310</v>
      </c>
      <c r="O312">
        <f>IF(N312&lt;=$O$1,$O$1-N312+1,"")</f>
        <v/>
      </c>
      <c r="P312">
        <f>IF(O312="",0,COUNTIF(Transaksi!$M$2:$M$2001,O312)+1)</f>
        <v/>
      </c>
      <c r="Q312">
        <f>1+SUM(P$2:P311)</f>
        <v/>
      </c>
      <c r="S312">
        <f>IF(I312="","",INDEX($O$3:$O$402,I312))</f>
        <v/>
      </c>
      <c r="T312">
        <f>IF(J312&lt;&gt;"H","",INDEX(Transaksi!$A$2:$A$2001,MATCH(S312,Transaksi!$M$2:$M$2001,0)))</f>
        <v/>
      </c>
    </row>
    <row r="313">
      <c r="A313" s="31">
        <f>IF(J313="E",IF(INDEX(Transaksi!$J$2:$J$2001,K313)&gt;0,"↑","↓"),"")</f>
        <v/>
      </c>
      <c r="B313" s="32">
        <f>IF(J313="H",CHOOSE(WEEKDAY(T313,2),"Isnin","Selasa","Rabu","Khamis","Jumaat","Sabtu","Ahad")&amp;", "&amp;DAY(T313)&amp;" "&amp;CHOOSE(MONTH(T313),"Jan","Feb","Mac","Apr","Mei","Jun","Jul","Ogo","Sep","Okt","Nov","Dis")&amp;" "&amp;YEAR(T313),IF(J313="E",IF(INDEX(Transaksi!$B$2:$B$2001,K313)="",INDEX(Transaksi!$C$2:$C$2001,K313)&amp;" · "&amp;INDEX(Transaksi!$D$2:$D$2001,K313),INDEX(Transaksi!$B$2:$B$2001,K313)),""))</f>
        <v/>
      </c>
      <c r="C313" s="32">
        <f>IF(J313="E",INDEX(Transaksi!$C$2:$C$2001,K313)&amp;"","")</f>
        <v/>
      </c>
      <c r="D313" s="32">
        <f>IF(J313="E",INDEX(Transaksi!$D$2:$D$2001,K313)&amp;"","")</f>
        <v/>
      </c>
      <c r="E313" s="33">
        <f>IF(J313="H",SUMIFS(Transaksi!$G$2:$G$2001,Transaksi!$M$2:$M$2001,"="&amp;S313)+SUMIFS(Transaksi!$H$2:$H$2001,Transaksi!$M$2:$M$2001,"="&amp;S313)+SUMIFS(Transaksi!$I$2:$I$2001,Transaksi!$M$2:$M$2001,"="&amp;S313),IF(J313="E",IF(INDEX(Transaksi!$G$2:$G$2001,K313)+INDEX(Transaksi!$H$2:$H$2001,K313)+INDEX(Transaksi!$I$2:$I$2001,K313)=0,"",INDEX(Transaksi!$G$2:$G$2001,K313)+INDEX(Transaksi!$H$2:$H$2001,K313)+INDEX(Transaksi!$I$2:$I$2001,K313)),""))</f>
        <v/>
      </c>
      <c r="F313" s="33">
        <f>IF(J313="H",SUMIFS(Transaksi!$J$2:$J$2001,Transaksi!$M$2:$M$2001,"="&amp;S313),IF(J313="E",IF(INDEX(Transaksi!$J$2:$J$2001,K313)=0,"",INDEX(Transaksi!$J$2:$J$2001,K313)),""))</f>
        <v/>
      </c>
      <c r="G313" s="33">
        <f>IF(J313="H",(SUMIFS(Transaksi!$G$2:$G$2001,Transaksi!$M$2:$M$2001,"&lt;="&amp;S313)+SUMIFS(Transaksi!$H$2:$H$2001,Transaksi!$M$2:$M$2001,"&lt;="&amp;S313)+SUMIFS(Transaksi!$I$2:$I$2001,Transaksi!$M$2:$M$2001,"&lt;="&amp;S313))-(SUMIFS(Transaksi!$J$2:$J$2001,Transaksi!$M$2:$M$2001,"&lt;="&amp;S313)),"")</f>
        <v/>
      </c>
      <c r="I313">
        <f>IF(310&gt;$O$2,"",MATCH(310,$Q$3:$Q$402,1))</f>
        <v/>
      </c>
      <c r="J313">
        <f>IF(I313="","",IF(310=INDEX($Q$3:$Q$402,I313),"H","E"))</f>
        <v/>
      </c>
      <c r="K313">
        <f>IF(J313&lt;&gt;"E","",MATCH(S313,Transaksi!$M$2:$M$2001,0)+310-INDEX($Q$3:$Q$402,I313)-1)</f>
        <v/>
      </c>
      <c r="N313" t="n">
        <v>311</v>
      </c>
      <c r="O313">
        <f>IF(N313&lt;=$O$1,$O$1-N313+1,"")</f>
        <v/>
      </c>
      <c r="P313">
        <f>IF(O313="",0,COUNTIF(Transaksi!$M$2:$M$2001,O313)+1)</f>
        <v/>
      </c>
      <c r="Q313">
        <f>1+SUM(P$2:P312)</f>
        <v/>
      </c>
      <c r="S313">
        <f>IF(I313="","",INDEX($O$3:$O$402,I313))</f>
        <v/>
      </c>
      <c r="T313">
        <f>IF(J313&lt;&gt;"H","",INDEX(Transaksi!$A$2:$A$2001,MATCH(S313,Transaksi!$M$2:$M$2001,0)))</f>
        <v/>
      </c>
    </row>
    <row r="314">
      <c r="A314" s="31">
        <f>IF(J314="E",IF(INDEX(Transaksi!$J$2:$J$2001,K314)&gt;0,"↑","↓"),"")</f>
        <v/>
      </c>
      <c r="B314" s="32">
        <f>IF(J314="H",CHOOSE(WEEKDAY(T314,2),"Isnin","Selasa","Rabu","Khamis","Jumaat","Sabtu","Ahad")&amp;", "&amp;DAY(T314)&amp;" "&amp;CHOOSE(MONTH(T314),"Jan","Feb","Mac","Apr","Mei","Jun","Jul","Ogo","Sep","Okt","Nov","Dis")&amp;" "&amp;YEAR(T314),IF(J314="E",IF(INDEX(Transaksi!$B$2:$B$2001,K314)="",INDEX(Transaksi!$C$2:$C$2001,K314)&amp;" · "&amp;INDEX(Transaksi!$D$2:$D$2001,K314),INDEX(Transaksi!$B$2:$B$2001,K314)),""))</f>
        <v/>
      </c>
      <c r="C314" s="32">
        <f>IF(J314="E",INDEX(Transaksi!$C$2:$C$2001,K314)&amp;"","")</f>
        <v/>
      </c>
      <c r="D314" s="32">
        <f>IF(J314="E",INDEX(Transaksi!$D$2:$D$2001,K314)&amp;"","")</f>
        <v/>
      </c>
      <c r="E314" s="33">
        <f>IF(J314="H",SUMIFS(Transaksi!$G$2:$G$2001,Transaksi!$M$2:$M$2001,"="&amp;S314)+SUMIFS(Transaksi!$H$2:$H$2001,Transaksi!$M$2:$M$2001,"="&amp;S314)+SUMIFS(Transaksi!$I$2:$I$2001,Transaksi!$M$2:$M$2001,"="&amp;S314),IF(J314="E",IF(INDEX(Transaksi!$G$2:$G$2001,K314)+INDEX(Transaksi!$H$2:$H$2001,K314)+INDEX(Transaksi!$I$2:$I$2001,K314)=0,"",INDEX(Transaksi!$G$2:$G$2001,K314)+INDEX(Transaksi!$H$2:$H$2001,K314)+INDEX(Transaksi!$I$2:$I$2001,K314)),""))</f>
        <v/>
      </c>
      <c r="F314" s="33">
        <f>IF(J314="H",SUMIFS(Transaksi!$J$2:$J$2001,Transaksi!$M$2:$M$2001,"="&amp;S314),IF(J314="E",IF(INDEX(Transaksi!$J$2:$J$2001,K314)=0,"",INDEX(Transaksi!$J$2:$J$2001,K314)),""))</f>
        <v/>
      </c>
      <c r="G314" s="33">
        <f>IF(J314="H",(SUMIFS(Transaksi!$G$2:$G$2001,Transaksi!$M$2:$M$2001,"&lt;="&amp;S314)+SUMIFS(Transaksi!$H$2:$H$2001,Transaksi!$M$2:$M$2001,"&lt;="&amp;S314)+SUMIFS(Transaksi!$I$2:$I$2001,Transaksi!$M$2:$M$2001,"&lt;="&amp;S314))-(SUMIFS(Transaksi!$J$2:$J$2001,Transaksi!$M$2:$M$2001,"&lt;="&amp;S314)),"")</f>
        <v/>
      </c>
      <c r="I314">
        <f>IF(311&gt;$O$2,"",MATCH(311,$Q$3:$Q$402,1))</f>
        <v/>
      </c>
      <c r="J314">
        <f>IF(I314="","",IF(311=INDEX($Q$3:$Q$402,I314),"H","E"))</f>
        <v/>
      </c>
      <c r="K314">
        <f>IF(J314&lt;&gt;"E","",MATCH(S314,Transaksi!$M$2:$M$2001,0)+311-INDEX($Q$3:$Q$402,I314)-1)</f>
        <v/>
      </c>
      <c r="N314" t="n">
        <v>312</v>
      </c>
      <c r="O314">
        <f>IF(N314&lt;=$O$1,$O$1-N314+1,"")</f>
        <v/>
      </c>
      <c r="P314">
        <f>IF(O314="",0,COUNTIF(Transaksi!$M$2:$M$2001,O314)+1)</f>
        <v/>
      </c>
      <c r="Q314">
        <f>1+SUM(P$2:P313)</f>
        <v/>
      </c>
      <c r="S314">
        <f>IF(I314="","",INDEX($O$3:$O$402,I314))</f>
        <v/>
      </c>
      <c r="T314">
        <f>IF(J314&lt;&gt;"H","",INDEX(Transaksi!$A$2:$A$2001,MATCH(S314,Transaksi!$M$2:$M$2001,0)))</f>
        <v/>
      </c>
    </row>
    <row r="315">
      <c r="A315" s="31">
        <f>IF(J315="E",IF(INDEX(Transaksi!$J$2:$J$2001,K315)&gt;0,"↑","↓"),"")</f>
        <v/>
      </c>
      <c r="B315" s="32">
        <f>IF(J315="H",CHOOSE(WEEKDAY(T315,2),"Isnin","Selasa","Rabu","Khamis","Jumaat","Sabtu","Ahad")&amp;", "&amp;DAY(T315)&amp;" "&amp;CHOOSE(MONTH(T315),"Jan","Feb","Mac","Apr","Mei","Jun","Jul","Ogo","Sep","Okt","Nov","Dis")&amp;" "&amp;YEAR(T315),IF(J315="E",IF(INDEX(Transaksi!$B$2:$B$2001,K315)="",INDEX(Transaksi!$C$2:$C$2001,K315)&amp;" · "&amp;INDEX(Transaksi!$D$2:$D$2001,K315),INDEX(Transaksi!$B$2:$B$2001,K315)),""))</f>
        <v/>
      </c>
      <c r="C315" s="32">
        <f>IF(J315="E",INDEX(Transaksi!$C$2:$C$2001,K315)&amp;"","")</f>
        <v/>
      </c>
      <c r="D315" s="32">
        <f>IF(J315="E",INDEX(Transaksi!$D$2:$D$2001,K315)&amp;"","")</f>
        <v/>
      </c>
      <c r="E315" s="33">
        <f>IF(J315="H",SUMIFS(Transaksi!$G$2:$G$2001,Transaksi!$M$2:$M$2001,"="&amp;S315)+SUMIFS(Transaksi!$H$2:$H$2001,Transaksi!$M$2:$M$2001,"="&amp;S315)+SUMIFS(Transaksi!$I$2:$I$2001,Transaksi!$M$2:$M$2001,"="&amp;S315),IF(J315="E",IF(INDEX(Transaksi!$G$2:$G$2001,K315)+INDEX(Transaksi!$H$2:$H$2001,K315)+INDEX(Transaksi!$I$2:$I$2001,K315)=0,"",INDEX(Transaksi!$G$2:$G$2001,K315)+INDEX(Transaksi!$H$2:$H$2001,K315)+INDEX(Transaksi!$I$2:$I$2001,K315)),""))</f>
        <v/>
      </c>
      <c r="F315" s="33">
        <f>IF(J315="H",SUMIFS(Transaksi!$J$2:$J$2001,Transaksi!$M$2:$M$2001,"="&amp;S315),IF(J315="E",IF(INDEX(Transaksi!$J$2:$J$2001,K315)=0,"",INDEX(Transaksi!$J$2:$J$2001,K315)),""))</f>
        <v/>
      </c>
      <c r="G315" s="33">
        <f>IF(J315="H",(SUMIFS(Transaksi!$G$2:$G$2001,Transaksi!$M$2:$M$2001,"&lt;="&amp;S315)+SUMIFS(Transaksi!$H$2:$H$2001,Transaksi!$M$2:$M$2001,"&lt;="&amp;S315)+SUMIFS(Transaksi!$I$2:$I$2001,Transaksi!$M$2:$M$2001,"&lt;="&amp;S315))-(SUMIFS(Transaksi!$J$2:$J$2001,Transaksi!$M$2:$M$2001,"&lt;="&amp;S315)),"")</f>
        <v/>
      </c>
      <c r="I315">
        <f>IF(312&gt;$O$2,"",MATCH(312,$Q$3:$Q$402,1))</f>
        <v/>
      </c>
      <c r="J315">
        <f>IF(I315="","",IF(312=INDEX($Q$3:$Q$402,I315),"H","E"))</f>
        <v/>
      </c>
      <c r="K315">
        <f>IF(J315&lt;&gt;"E","",MATCH(S315,Transaksi!$M$2:$M$2001,0)+312-INDEX($Q$3:$Q$402,I315)-1)</f>
        <v/>
      </c>
      <c r="N315" t="n">
        <v>313</v>
      </c>
      <c r="O315">
        <f>IF(N315&lt;=$O$1,$O$1-N315+1,"")</f>
        <v/>
      </c>
      <c r="P315">
        <f>IF(O315="",0,COUNTIF(Transaksi!$M$2:$M$2001,O315)+1)</f>
        <v/>
      </c>
      <c r="Q315">
        <f>1+SUM(P$2:P314)</f>
        <v/>
      </c>
      <c r="S315">
        <f>IF(I315="","",INDEX($O$3:$O$402,I315))</f>
        <v/>
      </c>
      <c r="T315">
        <f>IF(J315&lt;&gt;"H","",INDEX(Transaksi!$A$2:$A$2001,MATCH(S315,Transaksi!$M$2:$M$2001,0)))</f>
        <v/>
      </c>
    </row>
    <row r="316">
      <c r="A316" s="31">
        <f>IF(J316="E",IF(INDEX(Transaksi!$J$2:$J$2001,K316)&gt;0,"↑","↓"),"")</f>
        <v/>
      </c>
      <c r="B316" s="32">
        <f>IF(J316="H",CHOOSE(WEEKDAY(T316,2),"Isnin","Selasa","Rabu","Khamis","Jumaat","Sabtu","Ahad")&amp;", "&amp;DAY(T316)&amp;" "&amp;CHOOSE(MONTH(T316),"Jan","Feb","Mac","Apr","Mei","Jun","Jul","Ogo","Sep","Okt","Nov","Dis")&amp;" "&amp;YEAR(T316),IF(J316="E",IF(INDEX(Transaksi!$B$2:$B$2001,K316)="",INDEX(Transaksi!$C$2:$C$2001,K316)&amp;" · "&amp;INDEX(Transaksi!$D$2:$D$2001,K316),INDEX(Transaksi!$B$2:$B$2001,K316)),""))</f>
        <v/>
      </c>
      <c r="C316" s="32">
        <f>IF(J316="E",INDEX(Transaksi!$C$2:$C$2001,K316)&amp;"","")</f>
        <v/>
      </c>
      <c r="D316" s="32">
        <f>IF(J316="E",INDEX(Transaksi!$D$2:$D$2001,K316)&amp;"","")</f>
        <v/>
      </c>
      <c r="E316" s="33">
        <f>IF(J316="H",SUMIFS(Transaksi!$G$2:$G$2001,Transaksi!$M$2:$M$2001,"="&amp;S316)+SUMIFS(Transaksi!$H$2:$H$2001,Transaksi!$M$2:$M$2001,"="&amp;S316)+SUMIFS(Transaksi!$I$2:$I$2001,Transaksi!$M$2:$M$2001,"="&amp;S316),IF(J316="E",IF(INDEX(Transaksi!$G$2:$G$2001,K316)+INDEX(Transaksi!$H$2:$H$2001,K316)+INDEX(Transaksi!$I$2:$I$2001,K316)=0,"",INDEX(Transaksi!$G$2:$G$2001,K316)+INDEX(Transaksi!$H$2:$H$2001,K316)+INDEX(Transaksi!$I$2:$I$2001,K316)),""))</f>
        <v/>
      </c>
      <c r="F316" s="33">
        <f>IF(J316="H",SUMIFS(Transaksi!$J$2:$J$2001,Transaksi!$M$2:$M$2001,"="&amp;S316),IF(J316="E",IF(INDEX(Transaksi!$J$2:$J$2001,K316)=0,"",INDEX(Transaksi!$J$2:$J$2001,K316)),""))</f>
        <v/>
      </c>
      <c r="G316" s="33">
        <f>IF(J316="H",(SUMIFS(Transaksi!$G$2:$G$2001,Transaksi!$M$2:$M$2001,"&lt;="&amp;S316)+SUMIFS(Transaksi!$H$2:$H$2001,Transaksi!$M$2:$M$2001,"&lt;="&amp;S316)+SUMIFS(Transaksi!$I$2:$I$2001,Transaksi!$M$2:$M$2001,"&lt;="&amp;S316))-(SUMIFS(Transaksi!$J$2:$J$2001,Transaksi!$M$2:$M$2001,"&lt;="&amp;S316)),"")</f>
        <v/>
      </c>
      <c r="I316">
        <f>IF(313&gt;$O$2,"",MATCH(313,$Q$3:$Q$402,1))</f>
        <v/>
      </c>
      <c r="J316">
        <f>IF(I316="","",IF(313=INDEX($Q$3:$Q$402,I316),"H","E"))</f>
        <v/>
      </c>
      <c r="K316">
        <f>IF(J316&lt;&gt;"E","",MATCH(S316,Transaksi!$M$2:$M$2001,0)+313-INDEX($Q$3:$Q$402,I316)-1)</f>
        <v/>
      </c>
      <c r="N316" t="n">
        <v>314</v>
      </c>
      <c r="O316">
        <f>IF(N316&lt;=$O$1,$O$1-N316+1,"")</f>
        <v/>
      </c>
      <c r="P316">
        <f>IF(O316="",0,COUNTIF(Transaksi!$M$2:$M$2001,O316)+1)</f>
        <v/>
      </c>
      <c r="Q316">
        <f>1+SUM(P$2:P315)</f>
        <v/>
      </c>
      <c r="S316">
        <f>IF(I316="","",INDEX($O$3:$O$402,I316))</f>
        <v/>
      </c>
      <c r="T316">
        <f>IF(J316&lt;&gt;"H","",INDEX(Transaksi!$A$2:$A$2001,MATCH(S316,Transaksi!$M$2:$M$2001,0)))</f>
        <v/>
      </c>
    </row>
    <row r="317">
      <c r="A317" s="31">
        <f>IF(J317="E",IF(INDEX(Transaksi!$J$2:$J$2001,K317)&gt;0,"↑","↓"),"")</f>
        <v/>
      </c>
      <c r="B317" s="32">
        <f>IF(J317="H",CHOOSE(WEEKDAY(T317,2),"Isnin","Selasa","Rabu","Khamis","Jumaat","Sabtu","Ahad")&amp;", "&amp;DAY(T317)&amp;" "&amp;CHOOSE(MONTH(T317),"Jan","Feb","Mac","Apr","Mei","Jun","Jul","Ogo","Sep","Okt","Nov","Dis")&amp;" "&amp;YEAR(T317),IF(J317="E",IF(INDEX(Transaksi!$B$2:$B$2001,K317)="",INDEX(Transaksi!$C$2:$C$2001,K317)&amp;" · "&amp;INDEX(Transaksi!$D$2:$D$2001,K317),INDEX(Transaksi!$B$2:$B$2001,K317)),""))</f>
        <v/>
      </c>
      <c r="C317" s="32">
        <f>IF(J317="E",INDEX(Transaksi!$C$2:$C$2001,K317)&amp;"","")</f>
        <v/>
      </c>
      <c r="D317" s="32">
        <f>IF(J317="E",INDEX(Transaksi!$D$2:$D$2001,K317)&amp;"","")</f>
        <v/>
      </c>
      <c r="E317" s="33">
        <f>IF(J317="H",SUMIFS(Transaksi!$G$2:$G$2001,Transaksi!$M$2:$M$2001,"="&amp;S317)+SUMIFS(Transaksi!$H$2:$H$2001,Transaksi!$M$2:$M$2001,"="&amp;S317)+SUMIFS(Transaksi!$I$2:$I$2001,Transaksi!$M$2:$M$2001,"="&amp;S317),IF(J317="E",IF(INDEX(Transaksi!$G$2:$G$2001,K317)+INDEX(Transaksi!$H$2:$H$2001,K317)+INDEX(Transaksi!$I$2:$I$2001,K317)=0,"",INDEX(Transaksi!$G$2:$G$2001,K317)+INDEX(Transaksi!$H$2:$H$2001,K317)+INDEX(Transaksi!$I$2:$I$2001,K317)),""))</f>
        <v/>
      </c>
      <c r="F317" s="33">
        <f>IF(J317="H",SUMIFS(Transaksi!$J$2:$J$2001,Transaksi!$M$2:$M$2001,"="&amp;S317),IF(J317="E",IF(INDEX(Transaksi!$J$2:$J$2001,K317)=0,"",INDEX(Transaksi!$J$2:$J$2001,K317)),""))</f>
        <v/>
      </c>
      <c r="G317" s="33">
        <f>IF(J317="H",(SUMIFS(Transaksi!$G$2:$G$2001,Transaksi!$M$2:$M$2001,"&lt;="&amp;S317)+SUMIFS(Transaksi!$H$2:$H$2001,Transaksi!$M$2:$M$2001,"&lt;="&amp;S317)+SUMIFS(Transaksi!$I$2:$I$2001,Transaksi!$M$2:$M$2001,"&lt;="&amp;S317))-(SUMIFS(Transaksi!$J$2:$J$2001,Transaksi!$M$2:$M$2001,"&lt;="&amp;S317)),"")</f>
        <v/>
      </c>
      <c r="I317">
        <f>IF(314&gt;$O$2,"",MATCH(314,$Q$3:$Q$402,1))</f>
        <v/>
      </c>
      <c r="J317">
        <f>IF(I317="","",IF(314=INDEX($Q$3:$Q$402,I317),"H","E"))</f>
        <v/>
      </c>
      <c r="K317">
        <f>IF(J317&lt;&gt;"E","",MATCH(S317,Transaksi!$M$2:$M$2001,0)+314-INDEX($Q$3:$Q$402,I317)-1)</f>
        <v/>
      </c>
      <c r="N317" t="n">
        <v>315</v>
      </c>
      <c r="O317">
        <f>IF(N317&lt;=$O$1,$O$1-N317+1,"")</f>
        <v/>
      </c>
      <c r="P317">
        <f>IF(O317="",0,COUNTIF(Transaksi!$M$2:$M$2001,O317)+1)</f>
        <v/>
      </c>
      <c r="Q317">
        <f>1+SUM(P$2:P316)</f>
        <v/>
      </c>
      <c r="S317">
        <f>IF(I317="","",INDEX($O$3:$O$402,I317))</f>
        <v/>
      </c>
      <c r="T317">
        <f>IF(J317&lt;&gt;"H","",INDEX(Transaksi!$A$2:$A$2001,MATCH(S317,Transaksi!$M$2:$M$2001,0)))</f>
        <v/>
      </c>
    </row>
    <row r="318">
      <c r="A318" s="31">
        <f>IF(J318="E",IF(INDEX(Transaksi!$J$2:$J$2001,K318)&gt;0,"↑","↓"),"")</f>
        <v/>
      </c>
      <c r="B318" s="32">
        <f>IF(J318="H",CHOOSE(WEEKDAY(T318,2),"Isnin","Selasa","Rabu","Khamis","Jumaat","Sabtu","Ahad")&amp;", "&amp;DAY(T318)&amp;" "&amp;CHOOSE(MONTH(T318),"Jan","Feb","Mac","Apr","Mei","Jun","Jul","Ogo","Sep","Okt","Nov","Dis")&amp;" "&amp;YEAR(T318),IF(J318="E",IF(INDEX(Transaksi!$B$2:$B$2001,K318)="",INDEX(Transaksi!$C$2:$C$2001,K318)&amp;" · "&amp;INDEX(Transaksi!$D$2:$D$2001,K318),INDEX(Transaksi!$B$2:$B$2001,K318)),""))</f>
        <v/>
      </c>
      <c r="C318" s="32">
        <f>IF(J318="E",INDEX(Transaksi!$C$2:$C$2001,K318)&amp;"","")</f>
        <v/>
      </c>
      <c r="D318" s="32">
        <f>IF(J318="E",INDEX(Transaksi!$D$2:$D$2001,K318)&amp;"","")</f>
        <v/>
      </c>
      <c r="E318" s="33">
        <f>IF(J318="H",SUMIFS(Transaksi!$G$2:$G$2001,Transaksi!$M$2:$M$2001,"="&amp;S318)+SUMIFS(Transaksi!$H$2:$H$2001,Transaksi!$M$2:$M$2001,"="&amp;S318)+SUMIFS(Transaksi!$I$2:$I$2001,Transaksi!$M$2:$M$2001,"="&amp;S318),IF(J318="E",IF(INDEX(Transaksi!$G$2:$G$2001,K318)+INDEX(Transaksi!$H$2:$H$2001,K318)+INDEX(Transaksi!$I$2:$I$2001,K318)=0,"",INDEX(Transaksi!$G$2:$G$2001,K318)+INDEX(Transaksi!$H$2:$H$2001,K318)+INDEX(Transaksi!$I$2:$I$2001,K318)),""))</f>
        <v/>
      </c>
      <c r="F318" s="33">
        <f>IF(J318="H",SUMIFS(Transaksi!$J$2:$J$2001,Transaksi!$M$2:$M$2001,"="&amp;S318),IF(J318="E",IF(INDEX(Transaksi!$J$2:$J$2001,K318)=0,"",INDEX(Transaksi!$J$2:$J$2001,K318)),""))</f>
        <v/>
      </c>
      <c r="G318" s="33">
        <f>IF(J318="H",(SUMIFS(Transaksi!$G$2:$G$2001,Transaksi!$M$2:$M$2001,"&lt;="&amp;S318)+SUMIFS(Transaksi!$H$2:$H$2001,Transaksi!$M$2:$M$2001,"&lt;="&amp;S318)+SUMIFS(Transaksi!$I$2:$I$2001,Transaksi!$M$2:$M$2001,"&lt;="&amp;S318))-(SUMIFS(Transaksi!$J$2:$J$2001,Transaksi!$M$2:$M$2001,"&lt;="&amp;S318)),"")</f>
        <v/>
      </c>
      <c r="I318">
        <f>IF(315&gt;$O$2,"",MATCH(315,$Q$3:$Q$402,1))</f>
        <v/>
      </c>
      <c r="J318">
        <f>IF(I318="","",IF(315=INDEX($Q$3:$Q$402,I318),"H","E"))</f>
        <v/>
      </c>
      <c r="K318">
        <f>IF(J318&lt;&gt;"E","",MATCH(S318,Transaksi!$M$2:$M$2001,0)+315-INDEX($Q$3:$Q$402,I318)-1)</f>
        <v/>
      </c>
      <c r="N318" t="n">
        <v>316</v>
      </c>
      <c r="O318">
        <f>IF(N318&lt;=$O$1,$O$1-N318+1,"")</f>
        <v/>
      </c>
      <c r="P318">
        <f>IF(O318="",0,COUNTIF(Transaksi!$M$2:$M$2001,O318)+1)</f>
        <v/>
      </c>
      <c r="Q318">
        <f>1+SUM(P$2:P317)</f>
        <v/>
      </c>
      <c r="S318">
        <f>IF(I318="","",INDEX($O$3:$O$402,I318))</f>
        <v/>
      </c>
      <c r="T318">
        <f>IF(J318&lt;&gt;"H","",INDEX(Transaksi!$A$2:$A$2001,MATCH(S318,Transaksi!$M$2:$M$2001,0)))</f>
        <v/>
      </c>
    </row>
    <row r="319">
      <c r="A319" s="31">
        <f>IF(J319="E",IF(INDEX(Transaksi!$J$2:$J$2001,K319)&gt;0,"↑","↓"),"")</f>
        <v/>
      </c>
      <c r="B319" s="32">
        <f>IF(J319="H",CHOOSE(WEEKDAY(T319,2),"Isnin","Selasa","Rabu","Khamis","Jumaat","Sabtu","Ahad")&amp;", "&amp;DAY(T319)&amp;" "&amp;CHOOSE(MONTH(T319),"Jan","Feb","Mac","Apr","Mei","Jun","Jul","Ogo","Sep","Okt","Nov","Dis")&amp;" "&amp;YEAR(T319),IF(J319="E",IF(INDEX(Transaksi!$B$2:$B$2001,K319)="",INDEX(Transaksi!$C$2:$C$2001,K319)&amp;" · "&amp;INDEX(Transaksi!$D$2:$D$2001,K319),INDEX(Transaksi!$B$2:$B$2001,K319)),""))</f>
        <v/>
      </c>
      <c r="C319" s="32">
        <f>IF(J319="E",INDEX(Transaksi!$C$2:$C$2001,K319)&amp;"","")</f>
        <v/>
      </c>
      <c r="D319" s="32">
        <f>IF(J319="E",INDEX(Transaksi!$D$2:$D$2001,K319)&amp;"","")</f>
        <v/>
      </c>
      <c r="E319" s="33">
        <f>IF(J319="H",SUMIFS(Transaksi!$G$2:$G$2001,Transaksi!$M$2:$M$2001,"="&amp;S319)+SUMIFS(Transaksi!$H$2:$H$2001,Transaksi!$M$2:$M$2001,"="&amp;S319)+SUMIFS(Transaksi!$I$2:$I$2001,Transaksi!$M$2:$M$2001,"="&amp;S319),IF(J319="E",IF(INDEX(Transaksi!$G$2:$G$2001,K319)+INDEX(Transaksi!$H$2:$H$2001,K319)+INDEX(Transaksi!$I$2:$I$2001,K319)=0,"",INDEX(Transaksi!$G$2:$G$2001,K319)+INDEX(Transaksi!$H$2:$H$2001,K319)+INDEX(Transaksi!$I$2:$I$2001,K319)),""))</f>
        <v/>
      </c>
      <c r="F319" s="33">
        <f>IF(J319="H",SUMIFS(Transaksi!$J$2:$J$2001,Transaksi!$M$2:$M$2001,"="&amp;S319),IF(J319="E",IF(INDEX(Transaksi!$J$2:$J$2001,K319)=0,"",INDEX(Transaksi!$J$2:$J$2001,K319)),""))</f>
        <v/>
      </c>
      <c r="G319" s="33">
        <f>IF(J319="H",(SUMIFS(Transaksi!$G$2:$G$2001,Transaksi!$M$2:$M$2001,"&lt;="&amp;S319)+SUMIFS(Transaksi!$H$2:$H$2001,Transaksi!$M$2:$M$2001,"&lt;="&amp;S319)+SUMIFS(Transaksi!$I$2:$I$2001,Transaksi!$M$2:$M$2001,"&lt;="&amp;S319))-(SUMIFS(Transaksi!$J$2:$J$2001,Transaksi!$M$2:$M$2001,"&lt;="&amp;S319)),"")</f>
        <v/>
      </c>
      <c r="I319">
        <f>IF(316&gt;$O$2,"",MATCH(316,$Q$3:$Q$402,1))</f>
        <v/>
      </c>
      <c r="J319">
        <f>IF(I319="","",IF(316=INDEX($Q$3:$Q$402,I319),"H","E"))</f>
        <v/>
      </c>
      <c r="K319">
        <f>IF(J319&lt;&gt;"E","",MATCH(S319,Transaksi!$M$2:$M$2001,0)+316-INDEX($Q$3:$Q$402,I319)-1)</f>
        <v/>
      </c>
      <c r="N319" t="n">
        <v>317</v>
      </c>
      <c r="O319">
        <f>IF(N319&lt;=$O$1,$O$1-N319+1,"")</f>
        <v/>
      </c>
      <c r="P319">
        <f>IF(O319="",0,COUNTIF(Transaksi!$M$2:$M$2001,O319)+1)</f>
        <v/>
      </c>
      <c r="Q319">
        <f>1+SUM(P$2:P318)</f>
        <v/>
      </c>
      <c r="S319">
        <f>IF(I319="","",INDEX($O$3:$O$402,I319))</f>
        <v/>
      </c>
      <c r="T319">
        <f>IF(J319&lt;&gt;"H","",INDEX(Transaksi!$A$2:$A$2001,MATCH(S319,Transaksi!$M$2:$M$2001,0)))</f>
        <v/>
      </c>
    </row>
    <row r="320">
      <c r="A320" s="31">
        <f>IF(J320="E",IF(INDEX(Transaksi!$J$2:$J$2001,K320)&gt;0,"↑","↓"),"")</f>
        <v/>
      </c>
      <c r="B320" s="32">
        <f>IF(J320="H",CHOOSE(WEEKDAY(T320,2),"Isnin","Selasa","Rabu","Khamis","Jumaat","Sabtu","Ahad")&amp;", "&amp;DAY(T320)&amp;" "&amp;CHOOSE(MONTH(T320),"Jan","Feb","Mac","Apr","Mei","Jun","Jul","Ogo","Sep","Okt","Nov","Dis")&amp;" "&amp;YEAR(T320),IF(J320="E",IF(INDEX(Transaksi!$B$2:$B$2001,K320)="",INDEX(Transaksi!$C$2:$C$2001,K320)&amp;" · "&amp;INDEX(Transaksi!$D$2:$D$2001,K320),INDEX(Transaksi!$B$2:$B$2001,K320)),""))</f>
        <v/>
      </c>
      <c r="C320" s="32">
        <f>IF(J320="E",INDEX(Transaksi!$C$2:$C$2001,K320)&amp;"","")</f>
        <v/>
      </c>
      <c r="D320" s="32">
        <f>IF(J320="E",INDEX(Transaksi!$D$2:$D$2001,K320)&amp;"","")</f>
        <v/>
      </c>
      <c r="E320" s="33">
        <f>IF(J320="H",SUMIFS(Transaksi!$G$2:$G$2001,Transaksi!$M$2:$M$2001,"="&amp;S320)+SUMIFS(Transaksi!$H$2:$H$2001,Transaksi!$M$2:$M$2001,"="&amp;S320)+SUMIFS(Transaksi!$I$2:$I$2001,Transaksi!$M$2:$M$2001,"="&amp;S320),IF(J320="E",IF(INDEX(Transaksi!$G$2:$G$2001,K320)+INDEX(Transaksi!$H$2:$H$2001,K320)+INDEX(Transaksi!$I$2:$I$2001,K320)=0,"",INDEX(Transaksi!$G$2:$G$2001,K320)+INDEX(Transaksi!$H$2:$H$2001,K320)+INDEX(Transaksi!$I$2:$I$2001,K320)),""))</f>
        <v/>
      </c>
      <c r="F320" s="33">
        <f>IF(J320="H",SUMIFS(Transaksi!$J$2:$J$2001,Transaksi!$M$2:$M$2001,"="&amp;S320),IF(J320="E",IF(INDEX(Transaksi!$J$2:$J$2001,K320)=0,"",INDEX(Transaksi!$J$2:$J$2001,K320)),""))</f>
        <v/>
      </c>
      <c r="G320" s="33">
        <f>IF(J320="H",(SUMIFS(Transaksi!$G$2:$G$2001,Transaksi!$M$2:$M$2001,"&lt;="&amp;S320)+SUMIFS(Transaksi!$H$2:$H$2001,Transaksi!$M$2:$M$2001,"&lt;="&amp;S320)+SUMIFS(Transaksi!$I$2:$I$2001,Transaksi!$M$2:$M$2001,"&lt;="&amp;S320))-(SUMIFS(Transaksi!$J$2:$J$2001,Transaksi!$M$2:$M$2001,"&lt;="&amp;S320)),"")</f>
        <v/>
      </c>
      <c r="I320">
        <f>IF(317&gt;$O$2,"",MATCH(317,$Q$3:$Q$402,1))</f>
        <v/>
      </c>
      <c r="J320">
        <f>IF(I320="","",IF(317=INDEX($Q$3:$Q$402,I320),"H","E"))</f>
        <v/>
      </c>
      <c r="K320">
        <f>IF(J320&lt;&gt;"E","",MATCH(S320,Transaksi!$M$2:$M$2001,0)+317-INDEX($Q$3:$Q$402,I320)-1)</f>
        <v/>
      </c>
      <c r="N320" t="n">
        <v>318</v>
      </c>
      <c r="O320">
        <f>IF(N320&lt;=$O$1,$O$1-N320+1,"")</f>
        <v/>
      </c>
      <c r="P320">
        <f>IF(O320="",0,COUNTIF(Transaksi!$M$2:$M$2001,O320)+1)</f>
        <v/>
      </c>
      <c r="Q320">
        <f>1+SUM(P$2:P319)</f>
        <v/>
      </c>
      <c r="S320">
        <f>IF(I320="","",INDEX($O$3:$O$402,I320))</f>
        <v/>
      </c>
      <c r="T320">
        <f>IF(J320&lt;&gt;"H","",INDEX(Transaksi!$A$2:$A$2001,MATCH(S320,Transaksi!$M$2:$M$2001,0)))</f>
        <v/>
      </c>
    </row>
    <row r="321">
      <c r="A321" s="31">
        <f>IF(J321="E",IF(INDEX(Transaksi!$J$2:$J$2001,K321)&gt;0,"↑","↓"),"")</f>
        <v/>
      </c>
      <c r="B321" s="32">
        <f>IF(J321="H",CHOOSE(WEEKDAY(T321,2),"Isnin","Selasa","Rabu","Khamis","Jumaat","Sabtu","Ahad")&amp;", "&amp;DAY(T321)&amp;" "&amp;CHOOSE(MONTH(T321),"Jan","Feb","Mac","Apr","Mei","Jun","Jul","Ogo","Sep","Okt","Nov","Dis")&amp;" "&amp;YEAR(T321),IF(J321="E",IF(INDEX(Transaksi!$B$2:$B$2001,K321)="",INDEX(Transaksi!$C$2:$C$2001,K321)&amp;" · "&amp;INDEX(Transaksi!$D$2:$D$2001,K321),INDEX(Transaksi!$B$2:$B$2001,K321)),""))</f>
        <v/>
      </c>
      <c r="C321" s="32">
        <f>IF(J321="E",INDEX(Transaksi!$C$2:$C$2001,K321)&amp;"","")</f>
        <v/>
      </c>
      <c r="D321" s="32">
        <f>IF(J321="E",INDEX(Transaksi!$D$2:$D$2001,K321)&amp;"","")</f>
        <v/>
      </c>
      <c r="E321" s="33">
        <f>IF(J321="H",SUMIFS(Transaksi!$G$2:$G$2001,Transaksi!$M$2:$M$2001,"="&amp;S321)+SUMIFS(Transaksi!$H$2:$H$2001,Transaksi!$M$2:$M$2001,"="&amp;S321)+SUMIFS(Transaksi!$I$2:$I$2001,Transaksi!$M$2:$M$2001,"="&amp;S321),IF(J321="E",IF(INDEX(Transaksi!$G$2:$G$2001,K321)+INDEX(Transaksi!$H$2:$H$2001,K321)+INDEX(Transaksi!$I$2:$I$2001,K321)=0,"",INDEX(Transaksi!$G$2:$G$2001,K321)+INDEX(Transaksi!$H$2:$H$2001,K321)+INDEX(Transaksi!$I$2:$I$2001,K321)),""))</f>
        <v/>
      </c>
      <c r="F321" s="33">
        <f>IF(J321="H",SUMIFS(Transaksi!$J$2:$J$2001,Transaksi!$M$2:$M$2001,"="&amp;S321),IF(J321="E",IF(INDEX(Transaksi!$J$2:$J$2001,K321)=0,"",INDEX(Transaksi!$J$2:$J$2001,K321)),""))</f>
        <v/>
      </c>
      <c r="G321" s="33">
        <f>IF(J321="H",(SUMIFS(Transaksi!$G$2:$G$2001,Transaksi!$M$2:$M$2001,"&lt;="&amp;S321)+SUMIFS(Transaksi!$H$2:$H$2001,Transaksi!$M$2:$M$2001,"&lt;="&amp;S321)+SUMIFS(Transaksi!$I$2:$I$2001,Transaksi!$M$2:$M$2001,"&lt;="&amp;S321))-(SUMIFS(Transaksi!$J$2:$J$2001,Transaksi!$M$2:$M$2001,"&lt;="&amp;S321)),"")</f>
        <v/>
      </c>
      <c r="I321">
        <f>IF(318&gt;$O$2,"",MATCH(318,$Q$3:$Q$402,1))</f>
        <v/>
      </c>
      <c r="J321">
        <f>IF(I321="","",IF(318=INDEX($Q$3:$Q$402,I321),"H","E"))</f>
        <v/>
      </c>
      <c r="K321">
        <f>IF(J321&lt;&gt;"E","",MATCH(S321,Transaksi!$M$2:$M$2001,0)+318-INDEX($Q$3:$Q$402,I321)-1)</f>
        <v/>
      </c>
      <c r="N321" t="n">
        <v>319</v>
      </c>
      <c r="O321">
        <f>IF(N321&lt;=$O$1,$O$1-N321+1,"")</f>
        <v/>
      </c>
      <c r="P321">
        <f>IF(O321="",0,COUNTIF(Transaksi!$M$2:$M$2001,O321)+1)</f>
        <v/>
      </c>
      <c r="Q321">
        <f>1+SUM(P$2:P320)</f>
        <v/>
      </c>
      <c r="S321">
        <f>IF(I321="","",INDEX($O$3:$O$402,I321))</f>
        <v/>
      </c>
      <c r="T321">
        <f>IF(J321&lt;&gt;"H","",INDEX(Transaksi!$A$2:$A$2001,MATCH(S321,Transaksi!$M$2:$M$2001,0)))</f>
        <v/>
      </c>
    </row>
    <row r="322">
      <c r="A322" s="31">
        <f>IF(J322="E",IF(INDEX(Transaksi!$J$2:$J$2001,K322)&gt;0,"↑","↓"),"")</f>
        <v/>
      </c>
      <c r="B322" s="32">
        <f>IF(J322="H",CHOOSE(WEEKDAY(T322,2),"Isnin","Selasa","Rabu","Khamis","Jumaat","Sabtu","Ahad")&amp;", "&amp;DAY(T322)&amp;" "&amp;CHOOSE(MONTH(T322),"Jan","Feb","Mac","Apr","Mei","Jun","Jul","Ogo","Sep","Okt","Nov","Dis")&amp;" "&amp;YEAR(T322),IF(J322="E",IF(INDEX(Transaksi!$B$2:$B$2001,K322)="",INDEX(Transaksi!$C$2:$C$2001,K322)&amp;" · "&amp;INDEX(Transaksi!$D$2:$D$2001,K322),INDEX(Transaksi!$B$2:$B$2001,K322)),""))</f>
        <v/>
      </c>
      <c r="C322" s="32">
        <f>IF(J322="E",INDEX(Transaksi!$C$2:$C$2001,K322)&amp;"","")</f>
        <v/>
      </c>
      <c r="D322" s="32">
        <f>IF(J322="E",INDEX(Transaksi!$D$2:$D$2001,K322)&amp;"","")</f>
        <v/>
      </c>
      <c r="E322" s="33">
        <f>IF(J322="H",SUMIFS(Transaksi!$G$2:$G$2001,Transaksi!$M$2:$M$2001,"="&amp;S322)+SUMIFS(Transaksi!$H$2:$H$2001,Transaksi!$M$2:$M$2001,"="&amp;S322)+SUMIFS(Transaksi!$I$2:$I$2001,Transaksi!$M$2:$M$2001,"="&amp;S322),IF(J322="E",IF(INDEX(Transaksi!$G$2:$G$2001,K322)+INDEX(Transaksi!$H$2:$H$2001,K322)+INDEX(Transaksi!$I$2:$I$2001,K322)=0,"",INDEX(Transaksi!$G$2:$G$2001,K322)+INDEX(Transaksi!$H$2:$H$2001,K322)+INDEX(Transaksi!$I$2:$I$2001,K322)),""))</f>
        <v/>
      </c>
      <c r="F322" s="33">
        <f>IF(J322="H",SUMIFS(Transaksi!$J$2:$J$2001,Transaksi!$M$2:$M$2001,"="&amp;S322),IF(J322="E",IF(INDEX(Transaksi!$J$2:$J$2001,K322)=0,"",INDEX(Transaksi!$J$2:$J$2001,K322)),""))</f>
        <v/>
      </c>
      <c r="G322" s="33">
        <f>IF(J322="H",(SUMIFS(Transaksi!$G$2:$G$2001,Transaksi!$M$2:$M$2001,"&lt;="&amp;S322)+SUMIFS(Transaksi!$H$2:$H$2001,Transaksi!$M$2:$M$2001,"&lt;="&amp;S322)+SUMIFS(Transaksi!$I$2:$I$2001,Transaksi!$M$2:$M$2001,"&lt;="&amp;S322))-(SUMIFS(Transaksi!$J$2:$J$2001,Transaksi!$M$2:$M$2001,"&lt;="&amp;S322)),"")</f>
        <v/>
      </c>
      <c r="I322">
        <f>IF(319&gt;$O$2,"",MATCH(319,$Q$3:$Q$402,1))</f>
        <v/>
      </c>
      <c r="J322">
        <f>IF(I322="","",IF(319=INDEX($Q$3:$Q$402,I322),"H","E"))</f>
        <v/>
      </c>
      <c r="K322">
        <f>IF(J322&lt;&gt;"E","",MATCH(S322,Transaksi!$M$2:$M$2001,0)+319-INDEX($Q$3:$Q$402,I322)-1)</f>
        <v/>
      </c>
      <c r="N322" t="n">
        <v>320</v>
      </c>
      <c r="O322">
        <f>IF(N322&lt;=$O$1,$O$1-N322+1,"")</f>
        <v/>
      </c>
      <c r="P322">
        <f>IF(O322="",0,COUNTIF(Transaksi!$M$2:$M$2001,O322)+1)</f>
        <v/>
      </c>
      <c r="Q322">
        <f>1+SUM(P$2:P321)</f>
        <v/>
      </c>
      <c r="S322">
        <f>IF(I322="","",INDEX($O$3:$O$402,I322))</f>
        <v/>
      </c>
      <c r="T322">
        <f>IF(J322&lt;&gt;"H","",INDEX(Transaksi!$A$2:$A$2001,MATCH(S322,Transaksi!$M$2:$M$2001,0)))</f>
        <v/>
      </c>
    </row>
    <row r="323">
      <c r="A323" s="31">
        <f>IF(J323="E",IF(INDEX(Transaksi!$J$2:$J$2001,K323)&gt;0,"↑","↓"),"")</f>
        <v/>
      </c>
      <c r="B323" s="32">
        <f>IF(J323="H",CHOOSE(WEEKDAY(T323,2),"Isnin","Selasa","Rabu","Khamis","Jumaat","Sabtu","Ahad")&amp;", "&amp;DAY(T323)&amp;" "&amp;CHOOSE(MONTH(T323),"Jan","Feb","Mac","Apr","Mei","Jun","Jul","Ogo","Sep","Okt","Nov","Dis")&amp;" "&amp;YEAR(T323),IF(J323="E",IF(INDEX(Transaksi!$B$2:$B$2001,K323)="",INDEX(Transaksi!$C$2:$C$2001,K323)&amp;" · "&amp;INDEX(Transaksi!$D$2:$D$2001,K323),INDEX(Transaksi!$B$2:$B$2001,K323)),""))</f>
        <v/>
      </c>
      <c r="C323" s="32">
        <f>IF(J323="E",INDEX(Transaksi!$C$2:$C$2001,K323)&amp;"","")</f>
        <v/>
      </c>
      <c r="D323" s="32">
        <f>IF(J323="E",INDEX(Transaksi!$D$2:$D$2001,K323)&amp;"","")</f>
        <v/>
      </c>
      <c r="E323" s="33">
        <f>IF(J323="H",SUMIFS(Transaksi!$G$2:$G$2001,Transaksi!$M$2:$M$2001,"="&amp;S323)+SUMIFS(Transaksi!$H$2:$H$2001,Transaksi!$M$2:$M$2001,"="&amp;S323)+SUMIFS(Transaksi!$I$2:$I$2001,Transaksi!$M$2:$M$2001,"="&amp;S323),IF(J323="E",IF(INDEX(Transaksi!$G$2:$G$2001,K323)+INDEX(Transaksi!$H$2:$H$2001,K323)+INDEX(Transaksi!$I$2:$I$2001,K323)=0,"",INDEX(Transaksi!$G$2:$G$2001,K323)+INDEX(Transaksi!$H$2:$H$2001,K323)+INDEX(Transaksi!$I$2:$I$2001,K323)),""))</f>
        <v/>
      </c>
      <c r="F323" s="33">
        <f>IF(J323="H",SUMIFS(Transaksi!$J$2:$J$2001,Transaksi!$M$2:$M$2001,"="&amp;S323),IF(J323="E",IF(INDEX(Transaksi!$J$2:$J$2001,K323)=0,"",INDEX(Transaksi!$J$2:$J$2001,K323)),""))</f>
        <v/>
      </c>
      <c r="G323" s="33">
        <f>IF(J323="H",(SUMIFS(Transaksi!$G$2:$G$2001,Transaksi!$M$2:$M$2001,"&lt;="&amp;S323)+SUMIFS(Transaksi!$H$2:$H$2001,Transaksi!$M$2:$M$2001,"&lt;="&amp;S323)+SUMIFS(Transaksi!$I$2:$I$2001,Transaksi!$M$2:$M$2001,"&lt;="&amp;S323))-(SUMIFS(Transaksi!$J$2:$J$2001,Transaksi!$M$2:$M$2001,"&lt;="&amp;S323)),"")</f>
        <v/>
      </c>
      <c r="I323">
        <f>IF(320&gt;$O$2,"",MATCH(320,$Q$3:$Q$402,1))</f>
        <v/>
      </c>
      <c r="J323">
        <f>IF(I323="","",IF(320=INDEX($Q$3:$Q$402,I323),"H","E"))</f>
        <v/>
      </c>
      <c r="K323">
        <f>IF(J323&lt;&gt;"E","",MATCH(S323,Transaksi!$M$2:$M$2001,0)+320-INDEX($Q$3:$Q$402,I323)-1)</f>
        <v/>
      </c>
      <c r="N323" t="n">
        <v>321</v>
      </c>
      <c r="O323">
        <f>IF(N323&lt;=$O$1,$O$1-N323+1,"")</f>
        <v/>
      </c>
      <c r="P323">
        <f>IF(O323="",0,COUNTIF(Transaksi!$M$2:$M$2001,O323)+1)</f>
        <v/>
      </c>
      <c r="Q323">
        <f>1+SUM(P$2:P322)</f>
        <v/>
      </c>
      <c r="S323">
        <f>IF(I323="","",INDEX($O$3:$O$402,I323))</f>
        <v/>
      </c>
      <c r="T323">
        <f>IF(J323&lt;&gt;"H","",INDEX(Transaksi!$A$2:$A$2001,MATCH(S323,Transaksi!$M$2:$M$2001,0)))</f>
        <v/>
      </c>
    </row>
    <row r="324">
      <c r="A324" s="31">
        <f>IF(J324="E",IF(INDEX(Transaksi!$J$2:$J$2001,K324)&gt;0,"↑","↓"),"")</f>
        <v/>
      </c>
      <c r="B324" s="32">
        <f>IF(J324="H",CHOOSE(WEEKDAY(T324,2),"Isnin","Selasa","Rabu","Khamis","Jumaat","Sabtu","Ahad")&amp;", "&amp;DAY(T324)&amp;" "&amp;CHOOSE(MONTH(T324),"Jan","Feb","Mac","Apr","Mei","Jun","Jul","Ogo","Sep","Okt","Nov","Dis")&amp;" "&amp;YEAR(T324),IF(J324="E",IF(INDEX(Transaksi!$B$2:$B$2001,K324)="",INDEX(Transaksi!$C$2:$C$2001,K324)&amp;" · "&amp;INDEX(Transaksi!$D$2:$D$2001,K324),INDEX(Transaksi!$B$2:$B$2001,K324)),""))</f>
        <v/>
      </c>
      <c r="C324" s="32">
        <f>IF(J324="E",INDEX(Transaksi!$C$2:$C$2001,K324)&amp;"","")</f>
        <v/>
      </c>
      <c r="D324" s="32">
        <f>IF(J324="E",INDEX(Transaksi!$D$2:$D$2001,K324)&amp;"","")</f>
        <v/>
      </c>
      <c r="E324" s="33">
        <f>IF(J324="H",SUMIFS(Transaksi!$G$2:$G$2001,Transaksi!$M$2:$M$2001,"="&amp;S324)+SUMIFS(Transaksi!$H$2:$H$2001,Transaksi!$M$2:$M$2001,"="&amp;S324)+SUMIFS(Transaksi!$I$2:$I$2001,Transaksi!$M$2:$M$2001,"="&amp;S324),IF(J324="E",IF(INDEX(Transaksi!$G$2:$G$2001,K324)+INDEX(Transaksi!$H$2:$H$2001,K324)+INDEX(Transaksi!$I$2:$I$2001,K324)=0,"",INDEX(Transaksi!$G$2:$G$2001,K324)+INDEX(Transaksi!$H$2:$H$2001,K324)+INDEX(Transaksi!$I$2:$I$2001,K324)),""))</f>
        <v/>
      </c>
      <c r="F324" s="33">
        <f>IF(J324="H",SUMIFS(Transaksi!$J$2:$J$2001,Transaksi!$M$2:$M$2001,"="&amp;S324),IF(J324="E",IF(INDEX(Transaksi!$J$2:$J$2001,K324)=0,"",INDEX(Transaksi!$J$2:$J$2001,K324)),""))</f>
        <v/>
      </c>
      <c r="G324" s="33">
        <f>IF(J324="H",(SUMIFS(Transaksi!$G$2:$G$2001,Transaksi!$M$2:$M$2001,"&lt;="&amp;S324)+SUMIFS(Transaksi!$H$2:$H$2001,Transaksi!$M$2:$M$2001,"&lt;="&amp;S324)+SUMIFS(Transaksi!$I$2:$I$2001,Transaksi!$M$2:$M$2001,"&lt;="&amp;S324))-(SUMIFS(Transaksi!$J$2:$J$2001,Transaksi!$M$2:$M$2001,"&lt;="&amp;S324)),"")</f>
        <v/>
      </c>
      <c r="I324">
        <f>IF(321&gt;$O$2,"",MATCH(321,$Q$3:$Q$402,1))</f>
        <v/>
      </c>
      <c r="J324">
        <f>IF(I324="","",IF(321=INDEX($Q$3:$Q$402,I324),"H","E"))</f>
        <v/>
      </c>
      <c r="K324">
        <f>IF(J324&lt;&gt;"E","",MATCH(S324,Transaksi!$M$2:$M$2001,0)+321-INDEX($Q$3:$Q$402,I324)-1)</f>
        <v/>
      </c>
      <c r="N324" t="n">
        <v>322</v>
      </c>
      <c r="O324">
        <f>IF(N324&lt;=$O$1,$O$1-N324+1,"")</f>
        <v/>
      </c>
      <c r="P324">
        <f>IF(O324="",0,COUNTIF(Transaksi!$M$2:$M$2001,O324)+1)</f>
        <v/>
      </c>
      <c r="Q324">
        <f>1+SUM(P$2:P323)</f>
        <v/>
      </c>
      <c r="S324">
        <f>IF(I324="","",INDEX($O$3:$O$402,I324))</f>
        <v/>
      </c>
      <c r="T324">
        <f>IF(J324&lt;&gt;"H","",INDEX(Transaksi!$A$2:$A$2001,MATCH(S324,Transaksi!$M$2:$M$2001,0)))</f>
        <v/>
      </c>
    </row>
    <row r="325">
      <c r="A325" s="31">
        <f>IF(J325="E",IF(INDEX(Transaksi!$J$2:$J$2001,K325)&gt;0,"↑","↓"),"")</f>
        <v/>
      </c>
      <c r="B325" s="32">
        <f>IF(J325="H",CHOOSE(WEEKDAY(T325,2),"Isnin","Selasa","Rabu","Khamis","Jumaat","Sabtu","Ahad")&amp;", "&amp;DAY(T325)&amp;" "&amp;CHOOSE(MONTH(T325),"Jan","Feb","Mac","Apr","Mei","Jun","Jul","Ogo","Sep","Okt","Nov","Dis")&amp;" "&amp;YEAR(T325),IF(J325="E",IF(INDEX(Transaksi!$B$2:$B$2001,K325)="",INDEX(Transaksi!$C$2:$C$2001,K325)&amp;" · "&amp;INDEX(Transaksi!$D$2:$D$2001,K325),INDEX(Transaksi!$B$2:$B$2001,K325)),""))</f>
        <v/>
      </c>
      <c r="C325" s="32">
        <f>IF(J325="E",INDEX(Transaksi!$C$2:$C$2001,K325)&amp;"","")</f>
        <v/>
      </c>
      <c r="D325" s="32">
        <f>IF(J325="E",INDEX(Transaksi!$D$2:$D$2001,K325)&amp;"","")</f>
        <v/>
      </c>
      <c r="E325" s="33">
        <f>IF(J325="H",SUMIFS(Transaksi!$G$2:$G$2001,Transaksi!$M$2:$M$2001,"="&amp;S325)+SUMIFS(Transaksi!$H$2:$H$2001,Transaksi!$M$2:$M$2001,"="&amp;S325)+SUMIFS(Transaksi!$I$2:$I$2001,Transaksi!$M$2:$M$2001,"="&amp;S325),IF(J325="E",IF(INDEX(Transaksi!$G$2:$G$2001,K325)+INDEX(Transaksi!$H$2:$H$2001,K325)+INDEX(Transaksi!$I$2:$I$2001,K325)=0,"",INDEX(Transaksi!$G$2:$G$2001,K325)+INDEX(Transaksi!$H$2:$H$2001,K325)+INDEX(Transaksi!$I$2:$I$2001,K325)),""))</f>
        <v/>
      </c>
      <c r="F325" s="33">
        <f>IF(J325="H",SUMIFS(Transaksi!$J$2:$J$2001,Transaksi!$M$2:$M$2001,"="&amp;S325),IF(J325="E",IF(INDEX(Transaksi!$J$2:$J$2001,K325)=0,"",INDEX(Transaksi!$J$2:$J$2001,K325)),""))</f>
        <v/>
      </c>
      <c r="G325" s="33">
        <f>IF(J325="H",(SUMIFS(Transaksi!$G$2:$G$2001,Transaksi!$M$2:$M$2001,"&lt;="&amp;S325)+SUMIFS(Transaksi!$H$2:$H$2001,Transaksi!$M$2:$M$2001,"&lt;="&amp;S325)+SUMIFS(Transaksi!$I$2:$I$2001,Transaksi!$M$2:$M$2001,"&lt;="&amp;S325))-(SUMIFS(Transaksi!$J$2:$J$2001,Transaksi!$M$2:$M$2001,"&lt;="&amp;S325)),"")</f>
        <v/>
      </c>
      <c r="I325">
        <f>IF(322&gt;$O$2,"",MATCH(322,$Q$3:$Q$402,1))</f>
        <v/>
      </c>
      <c r="J325">
        <f>IF(I325="","",IF(322=INDEX($Q$3:$Q$402,I325),"H","E"))</f>
        <v/>
      </c>
      <c r="K325">
        <f>IF(J325&lt;&gt;"E","",MATCH(S325,Transaksi!$M$2:$M$2001,0)+322-INDEX($Q$3:$Q$402,I325)-1)</f>
        <v/>
      </c>
      <c r="N325" t="n">
        <v>323</v>
      </c>
      <c r="O325">
        <f>IF(N325&lt;=$O$1,$O$1-N325+1,"")</f>
        <v/>
      </c>
      <c r="P325">
        <f>IF(O325="",0,COUNTIF(Transaksi!$M$2:$M$2001,O325)+1)</f>
        <v/>
      </c>
      <c r="Q325">
        <f>1+SUM(P$2:P324)</f>
        <v/>
      </c>
      <c r="S325">
        <f>IF(I325="","",INDEX($O$3:$O$402,I325))</f>
        <v/>
      </c>
      <c r="T325">
        <f>IF(J325&lt;&gt;"H","",INDEX(Transaksi!$A$2:$A$2001,MATCH(S325,Transaksi!$M$2:$M$2001,0)))</f>
        <v/>
      </c>
    </row>
    <row r="326">
      <c r="A326" s="31">
        <f>IF(J326="E",IF(INDEX(Transaksi!$J$2:$J$2001,K326)&gt;0,"↑","↓"),"")</f>
        <v/>
      </c>
      <c r="B326" s="32">
        <f>IF(J326="H",CHOOSE(WEEKDAY(T326,2),"Isnin","Selasa","Rabu","Khamis","Jumaat","Sabtu","Ahad")&amp;", "&amp;DAY(T326)&amp;" "&amp;CHOOSE(MONTH(T326),"Jan","Feb","Mac","Apr","Mei","Jun","Jul","Ogo","Sep","Okt","Nov","Dis")&amp;" "&amp;YEAR(T326),IF(J326="E",IF(INDEX(Transaksi!$B$2:$B$2001,K326)="",INDEX(Transaksi!$C$2:$C$2001,K326)&amp;" · "&amp;INDEX(Transaksi!$D$2:$D$2001,K326),INDEX(Transaksi!$B$2:$B$2001,K326)),""))</f>
        <v/>
      </c>
      <c r="C326" s="32">
        <f>IF(J326="E",INDEX(Transaksi!$C$2:$C$2001,K326)&amp;"","")</f>
        <v/>
      </c>
      <c r="D326" s="32">
        <f>IF(J326="E",INDEX(Transaksi!$D$2:$D$2001,K326)&amp;"","")</f>
        <v/>
      </c>
      <c r="E326" s="33">
        <f>IF(J326="H",SUMIFS(Transaksi!$G$2:$G$2001,Transaksi!$M$2:$M$2001,"="&amp;S326)+SUMIFS(Transaksi!$H$2:$H$2001,Transaksi!$M$2:$M$2001,"="&amp;S326)+SUMIFS(Transaksi!$I$2:$I$2001,Transaksi!$M$2:$M$2001,"="&amp;S326),IF(J326="E",IF(INDEX(Transaksi!$G$2:$G$2001,K326)+INDEX(Transaksi!$H$2:$H$2001,K326)+INDEX(Transaksi!$I$2:$I$2001,K326)=0,"",INDEX(Transaksi!$G$2:$G$2001,K326)+INDEX(Transaksi!$H$2:$H$2001,K326)+INDEX(Transaksi!$I$2:$I$2001,K326)),""))</f>
        <v/>
      </c>
      <c r="F326" s="33">
        <f>IF(J326="H",SUMIFS(Transaksi!$J$2:$J$2001,Transaksi!$M$2:$M$2001,"="&amp;S326),IF(J326="E",IF(INDEX(Transaksi!$J$2:$J$2001,K326)=0,"",INDEX(Transaksi!$J$2:$J$2001,K326)),""))</f>
        <v/>
      </c>
      <c r="G326" s="33">
        <f>IF(J326="H",(SUMIFS(Transaksi!$G$2:$G$2001,Transaksi!$M$2:$M$2001,"&lt;="&amp;S326)+SUMIFS(Transaksi!$H$2:$H$2001,Transaksi!$M$2:$M$2001,"&lt;="&amp;S326)+SUMIFS(Transaksi!$I$2:$I$2001,Transaksi!$M$2:$M$2001,"&lt;="&amp;S326))-(SUMIFS(Transaksi!$J$2:$J$2001,Transaksi!$M$2:$M$2001,"&lt;="&amp;S326)),"")</f>
        <v/>
      </c>
      <c r="I326">
        <f>IF(323&gt;$O$2,"",MATCH(323,$Q$3:$Q$402,1))</f>
        <v/>
      </c>
      <c r="J326">
        <f>IF(I326="","",IF(323=INDEX($Q$3:$Q$402,I326),"H","E"))</f>
        <v/>
      </c>
      <c r="K326">
        <f>IF(J326&lt;&gt;"E","",MATCH(S326,Transaksi!$M$2:$M$2001,0)+323-INDEX($Q$3:$Q$402,I326)-1)</f>
        <v/>
      </c>
      <c r="N326" t="n">
        <v>324</v>
      </c>
      <c r="O326">
        <f>IF(N326&lt;=$O$1,$O$1-N326+1,"")</f>
        <v/>
      </c>
      <c r="P326">
        <f>IF(O326="",0,COUNTIF(Transaksi!$M$2:$M$2001,O326)+1)</f>
        <v/>
      </c>
      <c r="Q326">
        <f>1+SUM(P$2:P325)</f>
        <v/>
      </c>
      <c r="S326">
        <f>IF(I326="","",INDEX($O$3:$O$402,I326))</f>
        <v/>
      </c>
      <c r="T326">
        <f>IF(J326&lt;&gt;"H","",INDEX(Transaksi!$A$2:$A$2001,MATCH(S326,Transaksi!$M$2:$M$2001,0)))</f>
        <v/>
      </c>
    </row>
    <row r="327">
      <c r="A327" s="31">
        <f>IF(J327="E",IF(INDEX(Transaksi!$J$2:$J$2001,K327)&gt;0,"↑","↓"),"")</f>
        <v/>
      </c>
      <c r="B327" s="32">
        <f>IF(J327="H",CHOOSE(WEEKDAY(T327,2),"Isnin","Selasa","Rabu","Khamis","Jumaat","Sabtu","Ahad")&amp;", "&amp;DAY(T327)&amp;" "&amp;CHOOSE(MONTH(T327),"Jan","Feb","Mac","Apr","Mei","Jun","Jul","Ogo","Sep","Okt","Nov","Dis")&amp;" "&amp;YEAR(T327),IF(J327="E",IF(INDEX(Transaksi!$B$2:$B$2001,K327)="",INDEX(Transaksi!$C$2:$C$2001,K327)&amp;" · "&amp;INDEX(Transaksi!$D$2:$D$2001,K327),INDEX(Transaksi!$B$2:$B$2001,K327)),""))</f>
        <v/>
      </c>
      <c r="C327" s="32">
        <f>IF(J327="E",INDEX(Transaksi!$C$2:$C$2001,K327)&amp;"","")</f>
        <v/>
      </c>
      <c r="D327" s="32">
        <f>IF(J327="E",INDEX(Transaksi!$D$2:$D$2001,K327)&amp;"","")</f>
        <v/>
      </c>
      <c r="E327" s="33">
        <f>IF(J327="H",SUMIFS(Transaksi!$G$2:$G$2001,Transaksi!$M$2:$M$2001,"="&amp;S327)+SUMIFS(Transaksi!$H$2:$H$2001,Transaksi!$M$2:$M$2001,"="&amp;S327)+SUMIFS(Transaksi!$I$2:$I$2001,Transaksi!$M$2:$M$2001,"="&amp;S327),IF(J327="E",IF(INDEX(Transaksi!$G$2:$G$2001,K327)+INDEX(Transaksi!$H$2:$H$2001,K327)+INDEX(Transaksi!$I$2:$I$2001,K327)=0,"",INDEX(Transaksi!$G$2:$G$2001,K327)+INDEX(Transaksi!$H$2:$H$2001,K327)+INDEX(Transaksi!$I$2:$I$2001,K327)),""))</f>
        <v/>
      </c>
      <c r="F327" s="33">
        <f>IF(J327="H",SUMIFS(Transaksi!$J$2:$J$2001,Transaksi!$M$2:$M$2001,"="&amp;S327),IF(J327="E",IF(INDEX(Transaksi!$J$2:$J$2001,K327)=0,"",INDEX(Transaksi!$J$2:$J$2001,K327)),""))</f>
        <v/>
      </c>
      <c r="G327" s="33">
        <f>IF(J327="H",(SUMIFS(Transaksi!$G$2:$G$2001,Transaksi!$M$2:$M$2001,"&lt;="&amp;S327)+SUMIFS(Transaksi!$H$2:$H$2001,Transaksi!$M$2:$M$2001,"&lt;="&amp;S327)+SUMIFS(Transaksi!$I$2:$I$2001,Transaksi!$M$2:$M$2001,"&lt;="&amp;S327))-(SUMIFS(Transaksi!$J$2:$J$2001,Transaksi!$M$2:$M$2001,"&lt;="&amp;S327)),"")</f>
        <v/>
      </c>
      <c r="I327">
        <f>IF(324&gt;$O$2,"",MATCH(324,$Q$3:$Q$402,1))</f>
        <v/>
      </c>
      <c r="J327">
        <f>IF(I327="","",IF(324=INDEX($Q$3:$Q$402,I327),"H","E"))</f>
        <v/>
      </c>
      <c r="K327">
        <f>IF(J327&lt;&gt;"E","",MATCH(S327,Transaksi!$M$2:$M$2001,0)+324-INDEX($Q$3:$Q$402,I327)-1)</f>
        <v/>
      </c>
      <c r="N327" t="n">
        <v>325</v>
      </c>
      <c r="O327">
        <f>IF(N327&lt;=$O$1,$O$1-N327+1,"")</f>
        <v/>
      </c>
      <c r="P327">
        <f>IF(O327="",0,COUNTIF(Transaksi!$M$2:$M$2001,O327)+1)</f>
        <v/>
      </c>
      <c r="Q327">
        <f>1+SUM(P$2:P326)</f>
        <v/>
      </c>
      <c r="S327">
        <f>IF(I327="","",INDEX($O$3:$O$402,I327))</f>
        <v/>
      </c>
      <c r="T327">
        <f>IF(J327&lt;&gt;"H","",INDEX(Transaksi!$A$2:$A$2001,MATCH(S327,Transaksi!$M$2:$M$2001,0)))</f>
        <v/>
      </c>
    </row>
    <row r="328">
      <c r="A328" s="31">
        <f>IF(J328="E",IF(INDEX(Transaksi!$J$2:$J$2001,K328)&gt;0,"↑","↓"),"")</f>
        <v/>
      </c>
      <c r="B328" s="32">
        <f>IF(J328="H",CHOOSE(WEEKDAY(T328,2),"Isnin","Selasa","Rabu","Khamis","Jumaat","Sabtu","Ahad")&amp;", "&amp;DAY(T328)&amp;" "&amp;CHOOSE(MONTH(T328),"Jan","Feb","Mac","Apr","Mei","Jun","Jul","Ogo","Sep","Okt","Nov","Dis")&amp;" "&amp;YEAR(T328),IF(J328="E",IF(INDEX(Transaksi!$B$2:$B$2001,K328)="",INDEX(Transaksi!$C$2:$C$2001,K328)&amp;" · "&amp;INDEX(Transaksi!$D$2:$D$2001,K328),INDEX(Transaksi!$B$2:$B$2001,K328)),""))</f>
        <v/>
      </c>
      <c r="C328" s="32">
        <f>IF(J328="E",INDEX(Transaksi!$C$2:$C$2001,K328)&amp;"","")</f>
        <v/>
      </c>
      <c r="D328" s="32">
        <f>IF(J328="E",INDEX(Transaksi!$D$2:$D$2001,K328)&amp;"","")</f>
        <v/>
      </c>
      <c r="E328" s="33">
        <f>IF(J328="H",SUMIFS(Transaksi!$G$2:$G$2001,Transaksi!$M$2:$M$2001,"="&amp;S328)+SUMIFS(Transaksi!$H$2:$H$2001,Transaksi!$M$2:$M$2001,"="&amp;S328)+SUMIFS(Transaksi!$I$2:$I$2001,Transaksi!$M$2:$M$2001,"="&amp;S328),IF(J328="E",IF(INDEX(Transaksi!$G$2:$G$2001,K328)+INDEX(Transaksi!$H$2:$H$2001,K328)+INDEX(Transaksi!$I$2:$I$2001,K328)=0,"",INDEX(Transaksi!$G$2:$G$2001,K328)+INDEX(Transaksi!$H$2:$H$2001,K328)+INDEX(Transaksi!$I$2:$I$2001,K328)),""))</f>
        <v/>
      </c>
      <c r="F328" s="33">
        <f>IF(J328="H",SUMIFS(Transaksi!$J$2:$J$2001,Transaksi!$M$2:$M$2001,"="&amp;S328),IF(J328="E",IF(INDEX(Transaksi!$J$2:$J$2001,K328)=0,"",INDEX(Transaksi!$J$2:$J$2001,K328)),""))</f>
        <v/>
      </c>
      <c r="G328" s="33">
        <f>IF(J328="H",(SUMIFS(Transaksi!$G$2:$G$2001,Transaksi!$M$2:$M$2001,"&lt;="&amp;S328)+SUMIFS(Transaksi!$H$2:$H$2001,Transaksi!$M$2:$M$2001,"&lt;="&amp;S328)+SUMIFS(Transaksi!$I$2:$I$2001,Transaksi!$M$2:$M$2001,"&lt;="&amp;S328))-(SUMIFS(Transaksi!$J$2:$J$2001,Transaksi!$M$2:$M$2001,"&lt;="&amp;S328)),"")</f>
        <v/>
      </c>
      <c r="I328">
        <f>IF(325&gt;$O$2,"",MATCH(325,$Q$3:$Q$402,1))</f>
        <v/>
      </c>
      <c r="J328">
        <f>IF(I328="","",IF(325=INDEX($Q$3:$Q$402,I328),"H","E"))</f>
        <v/>
      </c>
      <c r="K328">
        <f>IF(J328&lt;&gt;"E","",MATCH(S328,Transaksi!$M$2:$M$2001,0)+325-INDEX($Q$3:$Q$402,I328)-1)</f>
        <v/>
      </c>
      <c r="N328" t="n">
        <v>326</v>
      </c>
      <c r="O328">
        <f>IF(N328&lt;=$O$1,$O$1-N328+1,"")</f>
        <v/>
      </c>
      <c r="P328">
        <f>IF(O328="",0,COUNTIF(Transaksi!$M$2:$M$2001,O328)+1)</f>
        <v/>
      </c>
      <c r="Q328">
        <f>1+SUM(P$2:P327)</f>
        <v/>
      </c>
      <c r="S328">
        <f>IF(I328="","",INDEX($O$3:$O$402,I328))</f>
        <v/>
      </c>
      <c r="T328">
        <f>IF(J328&lt;&gt;"H","",INDEX(Transaksi!$A$2:$A$2001,MATCH(S328,Transaksi!$M$2:$M$2001,0)))</f>
        <v/>
      </c>
    </row>
    <row r="329">
      <c r="A329" s="31">
        <f>IF(J329="E",IF(INDEX(Transaksi!$J$2:$J$2001,K329)&gt;0,"↑","↓"),"")</f>
        <v/>
      </c>
      <c r="B329" s="32">
        <f>IF(J329="H",CHOOSE(WEEKDAY(T329,2),"Isnin","Selasa","Rabu","Khamis","Jumaat","Sabtu","Ahad")&amp;", "&amp;DAY(T329)&amp;" "&amp;CHOOSE(MONTH(T329),"Jan","Feb","Mac","Apr","Mei","Jun","Jul","Ogo","Sep","Okt","Nov","Dis")&amp;" "&amp;YEAR(T329),IF(J329="E",IF(INDEX(Transaksi!$B$2:$B$2001,K329)="",INDEX(Transaksi!$C$2:$C$2001,K329)&amp;" · "&amp;INDEX(Transaksi!$D$2:$D$2001,K329),INDEX(Transaksi!$B$2:$B$2001,K329)),""))</f>
        <v/>
      </c>
      <c r="C329" s="32">
        <f>IF(J329="E",INDEX(Transaksi!$C$2:$C$2001,K329)&amp;"","")</f>
        <v/>
      </c>
      <c r="D329" s="32">
        <f>IF(J329="E",INDEX(Transaksi!$D$2:$D$2001,K329)&amp;"","")</f>
        <v/>
      </c>
      <c r="E329" s="33">
        <f>IF(J329="H",SUMIFS(Transaksi!$G$2:$G$2001,Transaksi!$M$2:$M$2001,"="&amp;S329)+SUMIFS(Transaksi!$H$2:$H$2001,Transaksi!$M$2:$M$2001,"="&amp;S329)+SUMIFS(Transaksi!$I$2:$I$2001,Transaksi!$M$2:$M$2001,"="&amp;S329),IF(J329="E",IF(INDEX(Transaksi!$G$2:$G$2001,K329)+INDEX(Transaksi!$H$2:$H$2001,K329)+INDEX(Transaksi!$I$2:$I$2001,K329)=0,"",INDEX(Transaksi!$G$2:$G$2001,K329)+INDEX(Transaksi!$H$2:$H$2001,K329)+INDEX(Transaksi!$I$2:$I$2001,K329)),""))</f>
        <v/>
      </c>
      <c r="F329" s="33">
        <f>IF(J329="H",SUMIFS(Transaksi!$J$2:$J$2001,Transaksi!$M$2:$M$2001,"="&amp;S329),IF(J329="E",IF(INDEX(Transaksi!$J$2:$J$2001,K329)=0,"",INDEX(Transaksi!$J$2:$J$2001,K329)),""))</f>
        <v/>
      </c>
      <c r="G329" s="33">
        <f>IF(J329="H",(SUMIFS(Transaksi!$G$2:$G$2001,Transaksi!$M$2:$M$2001,"&lt;="&amp;S329)+SUMIFS(Transaksi!$H$2:$H$2001,Transaksi!$M$2:$M$2001,"&lt;="&amp;S329)+SUMIFS(Transaksi!$I$2:$I$2001,Transaksi!$M$2:$M$2001,"&lt;="&amp;S329))-(SUMIFS(Transaksi!$J$2:$J$2001,Transaksi!$M$2:$M$2001,"&lt;="&amp;S329)),"")</f>
        <v/>
      </c>
      <c r="I329">
        <f>IF(326&gt;$O$2,"",MATCH(326,$Q$3:$Q$402,1))</f>
        <v/>
      </c>
      <c r="J329">
        <f>IF(I329="","",IF(326=INDEX($Q$3:$Q$402,I329),"H","E"))</f>
        <v/>
      </c>
      <c r="K329">
        <f>IF(J329&lt;&gt;"E","",MATCH(S329,Transaksi!$M$2:$M$2001,0)+326-INDEX($Q$3:$Q$402,I329)-1)</f>
        <v/>
      </c>
      <c r="N329" t="n">
        <v>327</v>
      </c>
      <c r="O329">
        <f>IF(N329&lt;=$O$1,$O$1-N329+1,"")</f>
        <v/>
      </c>
      <c r="P329">
        <f>IF(O329="",0,COUNTIF(Transaksi!$M$2:$M$2001,O329)+1)</f>
        <v/>
      </c>
      <c r="Q329">
        <f>1+SUM(P$2:P328)</f>
        <v/>
      </c>
      <c r="S329">
        <f>IF(I329="","",INDEX($O$3:$O$402,I329))</f>
        <v/>
      </c>
      <c r="T329">
        <f>IF(J329&lt;&gt;"H","",INDEX(Transaksi!$A$2:$A$2001,MATCH(S329,Transaksi!$M$2:$M$2001,0)))</f>
        <v/>
      </c>
    </row>
    <row r="330">
      <c r="A330" s="31">
        <f>IF(J330="E",IF(INDEX(Transaksi!$J$2:$J$2001,K330)&gt;0,"↑","↓"),"")</f>
        <v/>
      </c>
      <c r="B330" s="32">
        <f>IF(J330="H",CHOOSE(WEEKDAY(T330,2),"Isnin","Selasa","Rabu","Khamis","Jumaat","Sabtu","Ahad")&amp;", "&amp;DAY(T330)&amp;" "&amp;CHOOSE(MONTH(T330),"Jan","Feb","Mac","Apr","Mei","Jun","Jul","Ogo","Sep","Okt","Nov","Dis")&amp;" "&amp;YEAR(T330),IF(J330="E",IF(INDEX(Transaksi!$B$2:$B$2001,K330)="",INDEX(Transaksi!$C$2:$C$2001,K330)&amp;" · "&amp;INDEX(Transaksi!$D$2:$D$2001,K330),INDEX(Transaksi!$B$2:$B$2001,K330)),""))</f>
        <v/>
      </c>
      <c r="C330" s="32">
        <f>IF(J330="E",INDEX(Transaksi!$C$2:$C$2001,K330)&amp;"","")</f>
        <v/>
      </c>
      <c r="D330" s="32">
        <f>IF(J330="E",INDEX(Transaksi!$D$2:$D$2001,K330)&amp;"","")</f>
        <v/>
      </c>
      <c r="E330" s="33">
        <f>IF(J330="H",SUMIFS(Transaksi!$G$2:$G$2001,Transaksi!$M$2:$M$2001,"="&amp;S330)+SUMIFS(Transaksi!$H$2:$H$2001,Transaksi!$M$2:$M$2001,"="&amp;S330)+SUMIFS(Transaksi!$I$2:$I$2001,Transaksi!$M$2:$M$2001,"="&amp;S330),IF(J330="E",IF(INDEX(Transaksi!$G$2:$G$2001,K330)+INDEX(Transaksi!$H$2:$H$2001,K330)+INDEX(Transaksi!$I$2:$I$2001,K330)=0,"",INDEX(Transaksi!$G$2:$G$2001,K330)+INDEX(Transaksi!$H$2:$H$2001,K330)+INDEX(Transaksi!$I$2:$I$2001,K330)),""))</f>
        <v/>
      </c>
      <c r="F330" s="33">
        <f>IF(J330="H",SUMIFS(Transaksi!$J$2:$J$2001,Transaksi!$M$2:$M$2001,"="&amp;S330),IF(J330="E",IF(INDEX(Transaksi!$J$2:$J$2001,K330)=0,"",INDEX(Transaksi!$J$2:$J$2001,K330)),""))</f>
        <v/>
      </c>
      <c r="G330" s="33">
        <f>IF(J330="H",(SUMIFS(Transaksi!$G$2:$G$2001,Transaksi!$M$2:$M$2001,"&lt;="&amp;S330)+SUMIFS(Transaksi!$H$2:$H$2001,Transaksi!$M$2:$M$2001,"&lt;="&amp;S330)+SUMIFS(Transaksi!$I$2:$I$2001,Transaksi!$M$2:$M$2001,"&lt;="&amp;S330))-(SUMIFS(Transaksi!$J$2:$J$2001,Transaksi!$M$2:$M$2001,"&lt;="&amp;S330)),"")</f>
        <v/>
      </c>
      <c r="I330">
        <f>IF(327&gt;$O$2,"",MATCH(327,$Q$3:$Q$402,1))</f>
        <v/>
      </c>
      <c r="J330">
        <f>IF(I330="","",IF(327=INDEX($Q$3:$Q$402,I330),"H","E"))</f>
        <v/>
      </c>
      <c r="K330">
        <f>IF(J330&lt;&gt;"E","",MATCH(S330,Transaksi!$M$2:$M$2001,0)+327-INDEX($Q$3:$Q$402,I330)-1)</f>
        <v/>
      </c>
      <c r="N330" t="n">
        <v>328</v>
      </c>
      <c r="O330">
        <f>IF(N330&lt;=$O$1,$O$1-N330+1,"")</f>
        <v/>
      </c>
      <c r="P330">
        <f>IF(O330="",0,COUNTIF(Transaksi!$M$2:$M$2001,O330)+1)</f>
        <v/>
      </c>
      <c r="Q330">
        <f>1+SUM(P$2:P329)</f>
        <v/>
      </c>
      <c r="S330">
        <f>IF(I330="","",INDEX($O$3:$O$402,I330))</f>
        <v/>
      </c>
      <c r="T330">
        <f>IF(J330&lt;&gt;"H","",INDEX(Transaksi!$A$2:$A$2001,MATCH(S330,Transaksi!$M$2:$M$2001,0)))</f>
        <v/>
      </c>
    </row>
    <row r="331">
      <c r="A331" s="31">
        <f>IF(J331="E",IF(INDEX(Transaksi!$J$2:$J$2001,K331)&gt;0,"↑","↓"),"")</f>
        <v/>
      </c>
      <c r="B331" s="32">
        <f>IF(J331="H",CHOOSE(WEEKDAY(T331,2),"Isnin","Selasa","Rabu","Khamis","Jumaat","Sabtu","Ahad")&amp;", "&amp;DAY(T331)&amp;" "&amp;CHOOSE(MONTH(T331),"Jan","Feb","Mac","Apr","Mei","Jun","Jul","Ogo","Sep","Okt","Nov","Dis")&amp;" "&amp;YEAR(T331),IF(J331="E",IF(INDEX(Transaksi!$B$2:$B$2001,K331)="",INDEX(Transaksi!$C$2:$C$2001,K331)&amp;" · "&amp;INDEX(Transaksi!$D$2:$D$2001,K331),INDEX(Transaksi!$B$2:$B$2001,K331)),""))</f>
        <v/>
      </c>
      <c r="C331" s="32">
        <f>IF(J331="E",INDEX(Transaksi!$C$2:$C$2001,K331)&amp;"","")</f>
        <v/>
      </c>
      <c r="D331" s="32">
        <f>IF(J331="E",INDEX(Transaksi!$D$2:$D$2001,K331)&amp;"","")</f>
        <v/>
      </c>
      <c r="E331" s="33">
        <f>IF(J331="H",SUMIFS(Transaksi!$G$2:$G$2001,Transaksi!$M$2:$M$2001,"="&amp;S331)+SUMIFS(Transaksi!$H$2:$H$2001,Transaksi!$M$2:$M$2001,"="&amp;S331)+SUMIFS(Transaksi!$I$2:$I$2001,Transaksi!$M$2:$M$2001,"="&amp;S331),IF(J331="E",IF(INDEX(Transaksi!$G$2:$G$2001,K331)+INDEX(Transaksi!$H$2:$H$2001,K331)+INDEX(Transaksi!$I$2:$I$2001,K331)=0,"",INDEX(Transaksi!$G$2:$G$2001,K331)+INDEX(Transaksi!$H$2:$H$2001,K331)+INDEX(Transaksi!$I$2:$I$2001,K331)),""))</f>
        <v/>
      </c>
      <c r="F331" s="33">
        <f>IF(J331="H",SUMIFS(Transaksi!$J$2:$J$2001,Transaksi!$M$2:$M$2001,"="&amp;S331),IF(J331="E",IF(INDEX(Transaksi!$J$2:$J$2001,K331)=0,"",INDEX(Transaksi!$J$2:$J$2001,K331)),""))</f>
        <v/>
      </c>
      <c r="G331" s="33">
        <f>IF(J331="H",(SUMIFS(Transaksi!$G$2:$G$2001,Transaksi!$M$2:$M$2001,"&lt;="&amp;S331)+SUMIFS(Transaksi!$H$2:$H$2001,Transaksi!$M$2:$M$2001,"&lt;="&amp;S331)+SUMIFS(Transaksi!$I$2:$I$2001,Transaksi!$M$2:$M$2001,"&lt;="&amp;S331))-(SUMIFS(Transaksi!$J$2:$J$2001,Transaksi!$M$2:$M$2001,"&lt;="&amp;S331)),"")</f>
        <v/>
      </c>
      <c r="I331">
        <f>IF(328&gt;$O$2,"",MATCH(328,$Q$3:$Q$402,1))</f>
        <v/>
      </c>
      <c r="J331">
        <f>IF(I331="","",IF(328=INDEX($Q$3:$Q$402,I331),"H","E"))</f>
        <v/>
      </c>
      <c r="K331">
        <f>IF(J331&lt;&gt;"E","",MATCH(S331,Transaksi!$M$2:$M$2001,0)+328-INDEX($Q$3:$Q$402,I331)-1)</f>
        <v/>
      </c>
      <c r="N331" t="n">
        <v>329</v>
      </c>
      <c r="O331">
        <f>IF(N331&lt;=$O$1,$O$1-N331+1,"")</f>
        <v/>
      </c>
      <c r="P331">
        <f>IF(O331="",0,COUNTIF(Transaksi!$M$2:$M$2001,O331)+1)</f>
        <v/>
      </c>
      <c r="Q331">
        <f>1+SUM(P$2:P330)</f>
        <v/>
      </c>
      <c r="S331">
        <f>IF(I331="","",INDEX($O$3:$O$402,I331))</f>
        <v/>
      </c>
      <c r="T331">
        <f>IF(J331&lt;&gt;"H","",INDEX(Transaksi!$A$2:$A$2001,MATCH(S331,Transaksi!$M$2:$M$2001,0)))</f>
        <v/>
      </c>
    </row>
    <row r="332">
      <c r="A332" s="31">
        <f>IF(J332="E",IF(INDEX(Transaksi!$J$2:$J$2001,K332)&gt;0,"↑","↓"),"")</f>
        <v/>
      </c>
      <c r="B332" s="32">
        <f>IF(J332="H",CHOOSE(WEEKDAY(T332,2),"Isnin","Selasa","Rabu","Khamis","Jumaat","Sabtu","Ahad")&amp;", "&amp;DAY(T332)&amp;" "&amp;CHOOSE(MONTH(T332),"Jan","Feb","Mac","Apr","Mei","Jun","Jul","Ogo","Sep","Okt","Nov","Dis")&amp;" "&amp;YEAR(T332),IF(J332="E",IF(INDEX(Transaksi!$B$2:$B$2001,K332)="",INDEX(Transaksi!$C$2:$C$2001,K332)&amp;" · "&amp;INDEX(Transaksi!$D$2:$D$2001,K332),INDEX(Transaksi!$B$2:$B$2001,K332)),""))</f>
        <v/>
      </c>
      <c r="C332" s="32">
        <f>IF(J332="E",INDEX(Transaksi!$C$2:$C$2001,K332)&amp;"","")</f>
        <v/>
      </c>
      <c r="D332" s="32">
        <f>IF(J332="E",INDEX(Transaksi!$D$2:$D$2001,K332)&amp;"","")</f>
        <v/>
      </c>
      <c r="E332" s="33">
        <f>IF(J332="H",SUMIFS(Transaksi!$G$2:$G$2001,Transaksi!$M$2:$M$2001,"="&amp;S332)+SUMIFS(Transaksi!$H$2:$H$2001,Transaksi!$M$2:$M$2001,"="&amp;S332)+SUMIFS(Transaksi!$I$2:$I$2001,Transaksi!$M$2:$M$2001,"="&amp;S332),IF(J332="E",IF(INDEX(Transaksi!$G$2:$G$2001,K332)+INDEX(Transaksi!$H$2:$H$2001,K332)+INDEX(Transaksi!$I$2:$I$2001,K332)=0,"",INDEX(Transaksi!$G$2:$G$2001,K332)+INDEX(Transaksi!$H$2:$H$2001,K332)+INDEX(Transaksi!$I$2:$I$2001,K332)),""))</f>
        <v/>
      </c>
      <c r="F332" s="33">
        <f>IF(J332="H",SUMIFS(Transaksi!$J$2:$J$2001,Transaksi!$M$2:$M$2001,"="&amp;S332),IF(J332="E",IF(INDEX(Transaksi!$J$2:$J$2001,K332)=0,"",INDEX(Transaksi!$J$2:$J$2001,K332)),""))</f>
        <v/>
      </c>
      <c r="G332" s="33">
        <f>IF(J332="H",(SUMIFS(Transaksi!$G$2:$G$2001,Transaksi!$M$2:$M$2001,"&lt;="&amp;S332)+SUMIFS(Transaksi!$H$2:$H$2001,Transaksi!$M$2:$M$2001,"&lt;="&amp;S332)+SUMIFS(Transaksi!$I$2:$I$2001,Transaksi!$M$2:$M$2001,"&lt;="&amp;S332))-(SUMIFS(Transaksi!$J$2:$J$2001,Transaksi!$M$2:$M$2001,"&lt;="&amp;S332)),"")</f>
        <v/>
      </c>
      <c r="I332">
        <f>IF(329&gt;$O$2,"",MATCH(329,$Q$3:$Q$402,1))</f>
        <v/>
      </c>
      <c r="J332">
        <f>IF(I332="","",IF(329=INDEX($Q$3:$Q$402,I332),"H","E"))</f>
        <v/>
      </c>
      <c r="K332">
        <f>IF(J332&lt;&gt;"E","",MATCH(S332,Transaksi!$M$2:$M$2001,0)+329-INDEX($Q$3:$Q$402,I332)-1)</f>
        <v/>
      </c>
      <c r="N332" t="n">
        <v>330</v>
      </c>
      <c r="O332">
        <f>IF(N332&lt;=$O$1,$O$1-N332+1,"")</f>
        <v/>
      </c>
      <c r="P332">
        <f>IF(O332="",0,COUNTIF(Transaksi!$M$2:$M$2001,O332)+1)</f>
        <v/>
      </c>
      <c r="Q332">
        <f>1+SUM(P$2:P331)</f>
        <v/>
      </c>
      <c r="S332">
        <f>IF(I332="","",INDEX($O$3:$O$402,I332))</f>
        <v/>
      </c>
      <c r="T332">
        <f>IF(J332&lt;&gt;"H","",INDEX(Transaksi!$A$2:$A$2001,MATCH(S332,Transaksi!$M$2:$M$2001,0)))</f>
        <v/>
      </c>
    </row>
    <row r="333">
      <c r="A333" s="31">
        <f>IF(J333="E",IF(INDEX(Transaksi!$J$2:$J$2001,K333)&gt;0,"↑","↓"),"")</f>
        <v/>
      </c>
      <c r="B333" s="32">
        <f>IF(J333="H",CHOOSE(WEEKDAY(T333,2),"Isnin","Selasa","Rabu","Khamis","Jumaat","Sabtu","Ahad")&amp;", "&amp;DAY(T333)&amp;" "&amp;CHOOSE(MONTH(T333),"Jan","Feb","Mac","Apr","Mei","Jun","Jul","Ogo","Sep","Okt","Nov","Dis")&amp;" "&amp;YEAR(T333),IF(J333="E",IF(INDEX(Transaksi!$B$2:$B$2001,K333)="",INDEX(Transaksi!$C$2:$C$2001,K333)&amp;" · "&amp;INDEX(Transaksi!$D$2:$D$2001,K333),INDEX(Transaksi!$B$2:$B$2001,K333)),""))</f>
        <v/>
      </c>
      <c r="C333" s="32">
        <f>IF(J333="E",INDEX(Transaksi!$C$2:$C$2001,K333)&amp;"","")</f>
        <v/>
      </c>
      <c r="D333" s="32">
        <f>IF(J333="E",INDEX(Transaksi!$D$2:$D$2001,K333)&amp;"","")</f>
        <v/>
      </c>
      <c r="E333" s="33">
        <f>IF(J333="H",SUMIFS(Transaksi!$G$2:$G$2001,Transaksi!$M$2:$M$2001,"="&amp;S333)+SUMIFS(Transaksi!$H$2:$H$2001,Transaksi!$M$2:$M$2001,"="&amp;S333)+SUMIFS(Transaksi!$I$2:$I$2001,Transaksi!$M$2:$M$2001,"="&amp;S333),IF(J333="E",IF(INDEX(Transaksi!$G$2:$G$2001,K333)+INDEX(Transaksi!$H$2:$H$2001,K333)+INDEX(Transaksi!$I$2:$I$2001,K333)=0,"",INDEX(Transaksi!$G$2:$G$2001,K333)+INDEX(Transaksi!$H$2:$H$2001,K333)+INDEX(Transaksi!$I$2:$I$2001,K333)),""))</f>
        <v/>
      </c>
      <c r="F333" s="33">
        <f>IF(J333="H",SUMIFS(Transaksi!$J$2:$J$2001,Transaksi!$M$2:$M$2001,"="&amp;S333),IF(J333="E",IF(INDEX(Transaksi!$J$2:$J$2001,K333)=0,"",INDEX(Transaksi!$J$2:$J$2001,K333)),""))</f>
        <v/>
      </c>
      <c r="G333" s="33">
        <f>IF(J333="H",(SUMIFS(Transaksi!$G$2:$G$2001,Transaksi!$M$2:$M$2001,"&lt;="&amp;S333)+SUMIFS(Transaksi!$H$2:$H$2001,Transaksi!$M$2:$M$2001,"&lt;="&amp;S333)+SUMIFS(Transaksi!$I$2:$I$2001,Transaksi!$M$2:$M$2001,"&lt;="&amp;S333))-(SUMIFS(Transaksi!$J$2:$J$2001,Transaksi!$M$2:$M$2001,"&lt;="&amp;S333)),"")</f>
        <v/>
      </c>
      <c r="I333">
        <f>IF(330&gt;$O$2,"",MATCH(330,$Q$3:$Q$402,1))</f>
        <v/>
      </c>
      <c r="J333">
        <f>IF(I333="","",IF(330=INDEX($Q$3:$Q$402,I333),"H","E"))</f>
        <v/>
      </c>
      <c r="K333">
        <f>IF(J333&lt;&gt;"E","",MATCH(S333,Transaksi!$M$2:$M$2001,0)+330-INDEX($Q$3:$Q$402,I333)-1)</f>
        <v/>
      </c>
      <c r="N333" t="n">
        <v>331</v>
      </c>
      <c r="O333">
        <f>IF(N333&lt;=$O$1,$O$1-N333+1,"")</f>
        <v/>
      </c>
      <c r="P333">
        <f>IF(O333="",0,COUNTIF(Transaksi!$M$2:$M$2001,O333)+1)</f>
        <v/>
      </c>
      <c r="Q333">
        <f>1+SUM(P$2:P332)</f>
        <v/>
      </c>
      <c r="S333">
        <f>IF(I333="","",INDEX($O$3:$O$402,I333))</f>
        <v/>
      </c>
      <c r="T333">
        <f>IF(J333&lt;&gt;"H","",INDEX(Transaksi!$A$2:$A$2001,MATCH(S333,Transaksi!$M$2:$M$2001,0)))</f>
        <v/>
      </c>
    </row>
    <row r="334">
      <c r="A334" s="31">
        <f>IF(J334="E",IF(INDEX(Transaksi!$J$2:$J$2001,K334)&gt;0,"↑","↓"),"")</f>
        <v/>
      </c>
      <c r="B334" s="32">
        <f>IF(J334="H",CHOOSE(WEEKDAY(T334,2),"Isnin","Selasa","Rabu","Khamis","Jumaat","Sabtu","Ahad")&amp;", "&amp;DAY(T334)&amp;" "&amp;CHOOSE(MONTH(T334),"Jan","Feb","Mac","Apr","Mei","Jun","Jul","Ogo","Sep","Okt","Nov","Dis")&amp;" "&amp;YEAR(T334),IF(J334="E",IF(INDEX(Transaksi!$B$2:$B$2001,K334)="",INDEX(Transaksi!$C$2:$C$2001,K334)&amp;" · "&amp;INDEX(Transaksi!$D$2:$D$2001,K334),INDEX(Transaksi!$B$2:$B$2001,K334)),""))</f>
        <v/>
      </c>
      <c r="C334" s="32">
        <f>IF(J334="E",INDEX(Transaksi!$C$2:$C$2001,K334)&amp;"","")</f>
        <v/>
      </c>
      <c r="D334" s="32">
        <f>IF(J334="E",INDEX(Transaksi!$D$2:$D$2001,K334)&amp;"","")</f>
        <v/>
      </c>
      <c r="E334" s="33">
        <f>IF(J334="H",SUMIFS(Transaksi!$G$2:$G$2001,Transaksi!$M$2:$M$2001,"="&amp;S334)+SUMIFS(Transaksi!$H$2:$H$2001,Transaksi!$M$2:$M$2001,"="&amp;S334)+SUMIFS(Transaksi!$I$2:$I$2001,Transaksi!$M$2:$M$2001,"="&amp;S334),IF(J334="E",IF(INDEX(Transaksi!$G$2:$G$2001,K334)+INDEX(Transaksi!$H$2:$H$2001,K334)+INDEX(Transaksi!$I$2:$I$2001,K334)=0,"",INDEX(Transaksi!$G$2:$G$2001,K334)+INDEX(Transaksi!$H$2:$H$2001,K334)+INDEX(Transaksi!$I$2:$I$2001,K334)),""))</f>
        <v/>
      </c>
      <c r="F334" s="33">
        <f>IF(J334="H",SUMIFS(Transaksi!$J$2:$J$2001,Transaksi!$M$2:$M$2001,"="&amp;S334),IF(J334="E",IF(INDEX(Transaksi!$J$2:$J$2001,K334)=0,"",INDEX(Transaksi!$J$2:$J$2001,K334)),""))</f>
        <v/>
      </c>
      <c r="G334" s="33">
        <f>IF(J334="H",(SUMIFS(Transaksi!$G$2:$G$2001,Transaksi!$M$2:$M$2001,"&lt;="&amp;S334)+SUMIFS(Transaksi!$H$2:$H$2001,Transaksi!$M$2:$M$2001,"&lt;="&amp;S334)+SUMIFS(Transaksi!$I$2:$I$2001,Transaksi!$M$2:$M$2001,"&lt;="&amp;S334))-(SUMIFS(Transaksi!$J$2:$J$2001,Transaksi!$M$2:$M$2001,"&lt;="&amp;S334)),"")</f>
        <v/>
      </c>
      <c r="I334">
        <f>IF(331&gt;$O$2,"",MATCH(331,$Q$3:$Q$402,1))</f>
        <v/>
      </c>
      <c r="J334">
        <f>IF(I334="","",IF(331=INDEX($Q$3:$Q$402,I334),"H","E"))</f>
        <v/>
      </c>
      <c r="K334">
        <f>IF(J334&lt;&gt;"E","",MATCH(S334,Transaksi!$M$2:$M$2001,0)+331-INDEX($Q$3:$Q$402,I334)-1)</f>
        <v/>
      </c>
      <c r="N334" t="n">
        <v>332</v>
      </c>
      <c r="O334">
        <f>IF(N334&lt;=$O$1,$O$1-N334+1,"")</f>
        <v/>
      </c>
      <c r="P334">
        <f>IF(O334="",0,COUNTIF(Transaksi!$M$2:$M$2001,O334)+1)</f>
        <v/>
      </c>
      <c r="Q334">
        <f>1+SUM(P$2:P333)</f>
        <v/>
      </c>
      <c r="S334">
        <f>IF(I334="","",INDEX($O$3:$O$402,I334))</f>
        <v/>
      </c>
      <c r="T334">
        <f>IF(J334&lt;&gt;"H","",INDEX(Transaksi!$A$2:$A$2001,MATCH(S334,Transaksi!$M$2:$M$2001,0)))</f>
        <v/>
      </c>
    </row>
    <row r="335">
      <c r="A335" s="31">
        <f>IF(J335="E",IF(INDEX(Transaksi!$J$2:$J$2001,K335)&gt;0,"↑","↓"),"")</f>
        <v/>
      </c>
      <c r="B335" s="32">
        <f>IF(J335="H",CHOOSE(WEEKDAY(T335,2),"Isnin","Selasa","Rabu","Khamis","Jumaat","Sabtu","Ahad")&amp;", "&amp;DAY(T335)&amp;" "&amp;CHOOSE(MONTH(T335),"Jan","Feb","Mac","Apr","Mei","Jun","Jul","Ogo","Sep","Okt","Nov","Dis")&amp;" "&amp;YEAR(T335),IF(J335="E",IF(INDEX(Transaksi!$B$2:$B$2001,K335)="",INDEX(Transaksi!$C$2:$C$2001,K335)&amp;" · "&amp;INDEX(Transaksi!$D$2:$D$2001,K335),INDEX(Transaksi!$B$2:$B$2001,K335)),""))</f>
        <v/>
      </c>
      <c r="C335" s="32">
        <f>IF(J335="E",INDEX(Transaksi!$C$2:$C$2001,K335)&amp;"","")</f>
        <v/>
      </c>
      <c r="D335" s="32">
        <f>IF(J335="E",INDEX(Transaksi!$D$2:$D$2001,K335)&amp;"","")</f>
        <v/>
      </c>
      <c r="E335" s="33">
        <f>IF(J335="H",SUMIFS(Transaksi!$G$2:$G$2001,Transaksi!$M$2:$M$2001,"="&amp;S335)+SUMIFS(Transaksi!$H$2:$H$2001,Transaksi!$M$2:$M$2001,"="&amp;S335)+SUMIFS(Transaksi!$I$2:$I$2001,Transaksi!$M$2:$M$2001,"="&amp;S335),IF(J335="E",IF(INDEX(Transaksi!$G$2:$G$2001,K335)+INDEX(Transaksi!$H$2:$H$2001,K335)+INDEX(Transaksi!$I$2:$I$2001,K335)=0,"",INDEX(Transaksi!$G$2:$G$2001,K335)+INDEX(Transaksi!$H$2:$H$2001,K335)+INDEX(Transaksi!$I$2:$I$2001,K335)),""))</f>
        <v/>
      </c>
      <c r="F335" s="33">
        <f>IF(J335="H",SUMIFS(Transaksi!$J$2:$J$2001,Transaksi!$M$2:$M$2001,"="&amp;S335),IF(J335="E",IF(INDEX(Transaksi!$J$2:$J$2001,K335)=0,"",INDEX(Transaksi!$J$2:$J$2001,K335)),""))</f>
        <v/>
      </c>
      <c r="G335" s="33">
        <f>IF(J335="H",(SUMIFS(Transaksi!$G$2:$G$2001,Transaksi!$M$2:$M$2001,"&lt;="&amp;S335)+SUMIFS(Transaksi!$H$2:$H$2001,Transaksi!$M$2:$M$2001,"&lt;="&amp;S335)+SUMIFS(Transaksi!$I$2:$I$2001,Transaksi!$M$2:$M$2001,"&lt;="&amp;S335))-(SUMIFS(Transaksi!$J$2:$J$2001,Transaksi!$M$2:$M$2001,"&lt;="&amp;S335)),"")</f>
        <v/>
      </c>
      <c r="I335">
        <f>IF(332&gt;$O$2,"",MATCH(332,$Q$3:$Q$402,1))</f>
        <v/>
      </c>
      <c r="J335">
        <f>IF(I335="","",IF(332=INDEX($Q$3:$Q$402,I335),"H","E"))</f>
        <v/>
      </c>
      <c r="K335">
        <f>IF(J335&lt;&gt;"E","",MATCH(S335,Transaksi!$M$2:$M$2001,0)+332-INDEX($Q$3:$Q$402,I335)-1)</f>
        <v/>
      </c>
      <c r="N335" t="n">
        <v>333</v>
      </c>
      <c r="O335">
        <f>IF(N335&lt;=$O$1,$O$1-N335+1,"")</f>
        <v/>
      </c>
      <c r="P335">
        <f>IF(O335="",0,COUNTIF(Transaksi!$M$2:$M$2001,O335)+1)</f>
        <v/>
      </c>
      <c r="Q335">
        <f>1+SUM(P$2:P334)</f>
        <v/>
      </c>
      <c r="S335">
        <f>IF(I335="","",INDEX($O$3:$O$402,I335))</f>
        <v/>
      </c>
      <c r="T335">
        <f>IF(J335&lt;&gt;"H","",INDEX(Transaksi!$A$2:$A$2001,MATCH(S335,Transaksi!$M$2:$M$2001,0)))</f>
        <v/>
      </c>
    </row>
    <row r="336">
      <c r="A336" s="31">
        <f>IF(J336="E",IF(INDEX(Transaksi!$J$2:$J$2001,K336)&gt;0,"↑","↓"),"")</f>
        <v/>
      </c>
      <c r="B336" s="32">
        <f>IF(J336="H",CHOOSE(WEEKDAY(T336,2),"Isnin","Selasa","Rabu","Khamis","Jumaat","Sabtu","Ahad")&amp;", "&amp;DAY(T336)&amp;" "&amp;CHOOSE(MONTH(T336),"Jan","Feb","Mac","Apr","Mei","Jun","Jul","Ogo","Sep","Okt","Nov","Dis")&amp;" "&amp;YEAR(T336),IF(J336="E",IF(INDEX(Transaksi!$B$2:$B$2001,K336)="",INDEX(Transaksi!$C$2:$C$2001,K336)&amp;" · "&amp;INDEX(Transaksi!$D$2:$D$2001,K336),INDEX(Transaksi!$B$2:$B$2001,K336)),""))</f>
        <v/>
      </c>
      <c r="C336" s="32">
        <f>IF(J336="E",INDEX(Transaksi!$C$2:$C$2001,K336)&amp;"","")</f>
        <v/>
      </c>
      <c r="D336" s="32">
        <f>IF(J336="E",INDEX(Transaksi!$D$2:$D$2001,K336)&amp;"","")</f>
        <v/>
      </c>
      <c r="E336" s="33">
        <f>IF(J336="H",SUMIFS(Transaksi!$G$2:$G$2001,Transaksi!$M$2:$M$2001,"="&amp;S336)+SUMIFS(Transaksi!$H$2:$H$2001,Transaksi!$M$2:$M$2001,"="&amp;S336)+SUMIFS(Transaksi!$I$2:$I$2001,Transaksi!$M$2:$M$2001,"="&amp;S336),IF(J336="E",IF(INDEX(Transaksi!$G$2:$G$2001,K336)+INDEX(Transaksi!$H$2:$H$2001,K336)+INDEX(Transaksi!$I$2:$I$2001,K336)=0,"",INDEX(Transaksi!$G$2:$G$2001,K336)+INDEX(Transaksi!$H$2:$H$2001,K336)+INDEX(Transaksi!$I$2:$I$2001,K336)),""))</f>
        <v/>
      </c>
      <c r="F336" s="33">
        <f>IF(J336="H",SUMIFS(Transaksi!$J$2:$J$2001,Transaksi!$M$2:$M$2001,"="&amp;S336),IF(J336="E",IF(INDEX(Transaksi!$J$2:$J$2001,K336)=0,"",INDEX(Transaksi!$J$2:$J$2001,K336)),""))</f>
        <v/>
      </c>
      <c r="G336" s="33">
        <f>IF(J336="H",(SUMIFS(Transaksi!$G$2:$G$2001,Transaksi!$M$2:$M$2001,"&lt;="&amp;S336)+SUMIFS(Transaksi!$H$2:$H$2001,Transaksi!$M$2:$M$2001,"&lt;="&amp;S336)+SUMIFS(Transaksi!$I$2:$I$2001,Transaksi!$M$2:$M$2001,"&lt;="&amp;S336))-(SUMIFS(Transaksi!$J$2:$J$2001,Transaksi!$M$2:$M$2001,"&lt;="&amp;S336)),"")</f>
        <v/>
      </c>
      <c r="I336">
        <f>IF(333&gt;$O$2,"",MATCH(333,$Q$3:$Q$402,1))</f>
        <v/>
      </c>
      <c r="J336">
        <f>IF(I336="","",IF(333=INDEX($Q$3:$Q$402,I336),"H","E"))</f>
        <v/>
      </c>
      <c r="K336">
        <f>IF(J336&lt;&gt;"E","",MATCH(S336,Transaksi!$M$2:$M$2001,0)+333-INDEX($Q$3:$Q$402,I336)-1)</f>
        <v/>
      </c>
      <c r="N336" t="n">
        <v>334</v>
      </c>
      <c r="O336">
        <f>IF(N336&lt;=$O$1,$O$1-N336+1,"")</f>
        <v/>
      </c>
      <c r="P336">
        <f>IF(O336="",0,COUNTIF(Transaksi!$M$2:$M$2001,O336)+1)</f>
        <v/>
      </c>
      <c r="Q336">
        <f>1+SUM(P$2:P335)</f>
        <v/>
      </c>
      <c r="S336">
        <f>IF(I336="","",INDEX($O$3:$O$402,I336))</f>
        <v/>
      </c>
      <c r="T336">
        <f>IF(J336&lt;&gt;"H","",INDEX(Transaksi!$A$2:$A$2001,MATCH(S336,Transaksi!$M$2:$M$2001,0)))</f>
        <v/>
      </c>
    </row>
    <row r="337">
      <c r="A337" s="31">
        <f>IF(J337="E",IF(INDEX(Transaksi!$J$2:$J$2001,K337)&gt;0,"↑","↓"),"")</f>
        <v/>
      </c>
      <c r="B337" s="32">
        <f>IF(J337="H",CHOOSE(WEEKDAY(T337,2),"Isnin","Selasa","Rabu","Khamis","Jumaat","Sabtu","Ahad")&amp;", "&amp;DAY(T337)&amp;" "&amp;CHOOSE(MONTH(T337),"Jan","Feb","Mac","Apr","Mei","Jun","Jul","Ogo","Sep","Okt","Nov","Dis")&amp;" "&amp;YEAR(T337),IF(J337="E",IF(INDEX(Transaksi!$B$2:$B$2001,K337)="",INDEX(Transaksi!$C$2:$C$2001,K337)&amp;" · "&amp;INDEX(Transaksi!$D$2:$D$2001,K337),INDEX(Transaksi!$B$2:$B$2001,K337)),""))</f>
        <v/>
      </c>
      <c r="C337" s="32">
        <f>IF(J337="E",INDEX(Transaksi!$C$2:$C$2001,K337)&amp;"","")</f>
        <v/>
      </c>
      <c r="D337" s="32">
        <f>IF(J337="E",INDEX(Transaksi!$D$2:$D$2001,K337)&amp;"","")</f>
        <v/>
      </c>
      <c r="E337" s="33">
        <f>IF(J337="H",SUMIFS(Transaksi!$G$2:$G$2001,Transaksi!$M$2:$M$2001,"="&amp;S337)+SUMIFS(Transaksi!$H$2:$H$2001,Transaksi!$M$2:$M$2001,"="&amp;S337)+SUMIFS(Transaksi!$I$2:$I$2001,Transaksi!$M$2:$M$2001,"="&amp;S337),IF(J337="E",IF(INDEX(Transaksi!$G$2:$G$2001,K337)+INDEX(Transaksi!$H$2:$H$2001,K337)+INDEX(Transaksi!$I$2:$I$2001,K337)=0,"",INDEX(Transaksi!$G$2:$G$2001,K337)+INDEX(Transaksi!$H$2:$H$2001,K337)+INDEX(Transaksi!$I$2:$I$2001,K337)),""))</f>
        <v/>
      </c>
      <c r="F337" s="33">
        <f>IF(J337="H",SUMIFS(Transaksi!$J$2:$J$2001,Transaksi!$M$2:$M$2001,"="&amp;S337),IF(J337="E",IF(INDEX(Transaksi!$J$2:$J$2001,K337)=0,"",INDEX(Transaksi!$J$2:$J$2001,K337)),""))</f>
        <v/>
      </c>
      <c r="G337" s="33">
        <f>IF(J337="H",(SUMIFS(Transaksi!$G$2:$G$2001,Transaksi!$M$2:$M$2001,"&lt;="&amp;S337)+SUMIFS(Transaksi!$H$2:$H$2001,Transaksi!$M$2:$M$2001,"&lt;="&amp;S337)+SUMIFS(Transaksi!$I$2:$I$2001,Transaksi!$M$2:$M$2001,"&lt;="&amp;S337))-(SUMIFS(Transaksi!$J$2:$J$2001,Transaksi!$M$2:$M$2001,"&lt;="&amp;S337)),"")</f>
        <v/>
      </c>
      <c r="I337">
        <f>IF(334&gt;$O$2,"",MATCH(334,$Q$3:$Q$402,1))</f>
        <v/>
      </c>
      <c r="J337">
        <f>IF(I337="","",IF(334=INDEX($Q$3:$Q$402,I337),"H","E"))</f>
        <v/>
      </c>
      <c r="K337">
        <f>IF(J337&lt;&gt;"E","",MATCH(S337,Transaksi!$M$2:$M$2001,0)+334-INDEX($Q$3:$Q$402,I337)-1)</f>
        <v/>
      </c>
      <c r="N337" t="n">
        <v>335</v>
      </c>
      <c r="O337">
        <f>IF(N337&lt;=$O$1,$O$1-N337+1,"")</f>
        <v/>
      </c>
      <c r="P337">
        <f>IF(O337="",0,COUNTIF(Transaksi!$M$2:$M$2001,O337)+1)</f>
        <v/>
      </c>
      <c r="Q337">
        <f>1+SUM(P$2:P336)</f>
        <v/>
      </c>
      <c r="S337">
        <f>IF(I337="","",INDEX($O$3:$O$402,I337))</f>
        <v/>
      </c>
      <c r="T337">
        <f>IF(J337&lt;&gt;"H","",INDEX(Transaksi!$A$2:$A$2001,MATCH(S337,Transaksi!$M$2:$M$2001,0)))</f>
        <v/>
      </c>
    </row>
    <row r="338">
      <c r="A338" s="31">
        <f>IF(J338="E",IF(INDEX(Transaksi!$J$2:$J$2001,K338)&gt;0,"↑","↓"),"")</f>
        <v/>
      </c>
      <c r="B338" s="32">
        <f>IF(J338="H",CHOOSE(WEEKDAY(T338,2),"Isnin","Selasa","Rabu","Khamis","Jumaat","Sabtu","Ahad")&amp;", "&amp;DAY(T338)&amp;" "&amp;CHOOSE(MONTH(T338),"Jan","Feb","Mac","Apr","Mei","Jun","Jul","Ogo","Sep","Okt","Nov","Dis")&amp;" "&amp;YEAR(T338),IF(J338="E",IF(INDEX(Transaksi!$B$2:$B$2001,K338)="",INDEX(Transaksi!$C$2:$C$2001,K338)&amp;" · "&amp;INDEX(Transaksi!$D$2:$D$2001,K338),INDEX(Transaksi!$B$2:$B$2001,K338)),""))</f>
        <v/>
      </c>
      <c r="C338" s="32">
        <f>IF(J338="E",INDEX(Transaksi!$C$2:$C$2001,K338)&amp;"","")</f>
        <v/>
      </c>
      <c r="D338" s="32">
        <f>IF(J338="E",INDEX(Transaksi!$D$2:$D$2001,K338)&amp;"","")</f>
        <v/>
      </c>
      <c r="E338" s="33">
        <f>IF(J338="H",SUMIFS(Transaksi!$G$2:$G$2001,Transaksi!$M$2:$M$2001,"="&amp;S338)+SUMIFS(Transaksi!$H$2:$H$2001,Transaksi!$M$2:$M$2001,"="&amp;S338)+SUMIFS(Transaksi!$I$2:$I$2001,Transaksi!$M$2:$M$2001,"="&amp;S338),IF(J338="E",IF(INDEX(Transaksi!$G$2:$G$2001,K338)+INDEX(Transaksi!$H$2:$H$2001,K338)+INDEX(Transaksi!$I$2:$I$2001,K338)=0,"",INDEX(Transaksi!$G$2:$G$2001,K338)+INDEX(Transaksi!$H$2:$H$2001,K338)+INDEX(Transaksi!$I$2:$I$2001,K338)),""))</f>
        <v/>
      </c>
      <c r="F338" s="33">
        <f>IF(J338="H",SUMIFS(Transaksi!$J$2:$J$2001,Transaksi!$M$2:$M$2001,"="&amp;S338),IF(J338="E",IF(INDEX(Transaksi!$J$2:$J$2001,K338)=0,"",INDEX(Transaksi!$J$2:$J$2001,K338)),""))</f>
        <v/>
      </c>
      <c r="G338" s="33">
        <f>IF(J338="H",(SUMIFS(Transaksi!$G$2:$G$2001,Transaksi!$M$2:$M$2001,"&lt;="&amp;S338)+SUMIFS(Transaksi!$H$2:$H$2001,Transaksi!$M$2:$M$2001,"&lt;="&amp;S338)+SUMIFS(Transaksi!$I$2:$I$2001,Transaksi!$M$2:$M$2001,"&lt;="&amp;S338))-(SUMIFS(Transaksi!$J$2:$J$2001,Transaksi!$M$2:$M$2001,"&lt;="&amp;S338)),"")</f>
        <v/>
      </c>
      <c r="I338">
        <f>IF(335&gt;$O$2,"",MATCH(335,$Q$3:$Q$402,1))</f>
        <v/>
      </c>
      <c r="J338">
        <f>IF(I338="","",IF(335=INDEX($Q$3:$Q$402,I338),"H","E"))</f>
        <v/>
      </c>
      <c r="K338">
        <f>IF(J338&lt;&gt;"E","",MATCH(S338,Transaksi!$M$2:$M$2001,0)+335-INDEX($Q$3:$Q$402,I338)-1)</f>
        <v/>
      </c>
      <c r="N338" t="n">
        <v>336</v>
      </c>
      <c r="O338">
        <f>IF(N338&lt;=$O$1,$O$1-N338+1,"")</f>
        <v/>
      </c>
      <c r="P338">
        <f>IF(O338="",0,COUNTIF(Transaksi!$M$2:$M$2001,O338)+1)</f>
        <v/>
      </c>
      <c r="Q338">
        <f>1+SUM(P$2:P337)</f>
        <v/>
      </c>
      <c r="S338">
        <f>IF(I338="","",INDEX($O$3:$O$402,I338))</f>
        <v/>
      </c>
      <c r="T338">
        <f>IF(J338&lt;&gt;"H","",INDEX(Transaksi!$A$2:$A$2001,MATCH(S338,Transaksi!$M$2:$M$2001,0)))</f>
        <v/>
      </c>
    </row>
    <row r="339">
      <c r="A339" s="31">
        <f>IF(J339="E",IF(INDEX(Transaksi!$J$2:$J$2001,K339)&gt;0,"↑","↓"),"")</f>
        <v/>
      </c>
      <c r="B339" s="32">
        <f>IF(J339="H",CHOOSE(WEEKDAY(T339,2),"Isnin","Selasa","Rabu","Khamis","Jumaat","Sabtu","Ahad")&amp;", "&amp;DAY(T339)&amp;" "&amp;CHOOSE(MONTH(T339),"Jan","Feb","Mac","Apr","Mei","Jun","Jul","Ogo","Sep","Okt","Nov","Dis")&amp;" "&amp;YEAR(T339),IF(J339="E",IF(INDEX(Transaksi!$B$2:$B$2001,K339)="",INDEX(Transaksi!$C$2:$C$2001,K339)&amp;" · "&amp;INDEX(Transaksi!$D$2:$D$2001,K339),INDEX(Transaksi!$B$2:$B$2001,K339)),""))</f>
        <v/>
      </c>
      <c r="C339" s="32">
        <f>IF(J339="E",INDEX(Transaksi!$C$2:$C$2001,K339)&amp;"","")</f>
        <v/>
      </c>
      <c r="D339" s="32">
        <f>IF(J339="E",INDEX(Transaksi!$D$2:$D$2001,K339)&amp;"","")</f>
        <v/>
      </c>
      <c r="E339" s="33">
        <f>IF(J339="H",SUMIFS(Transaksi!$G$2:$G$2001,Transaksi!$M$2:$M$2001,"="&amp;S339)+SUMIFS(Transaksi!$H$2:$H$2001,Transaksi!$M$2:$M$2001,"="&amp;S339)+SUMIFS(Transaksi!$I$2:$I$2001,Transaksi!$M$2:$M$2001,"="&amp;S339),IF(J339="E",IF(INDEX(Transaksi!$G$2:$G$2001,K339)+INDEX(Transaksi!$H$2:$H$2001,K339)+INDEX(Transaksi!$I$2:$I$2001,K339)=0,"",INDEX(Transaksi!$G$2:$G$2001,K339)+INDEX(Transaksi!$H$2:$H$2001,K339)+INDEX(Transaksi!$I$2:$I$2001,K339)),""))</f>
        <v/>
      </c>
      <c r="F339" s="33">
        <f>IF(J339="H",SUMIFS(Transaksi!$J$2:$J$2001,Transaksi!$M$2:$M$2001,"="&amp;S339),IF(J339="E",IF(INDEX(Transaksi!$J$2:$J$2001,K339)=0,"",INDEX(Transaksi!$J$2:$J$2001,K339)),""))</f>
        <v/>
      </c>
      <c r="G339" s="33">
        <f>IF(J339="H",(SUMIFS(Transaksi!$G$2:$G$2001,Transaksi!$M$2:$M$2001,"&lt;="&amp;S339)+SUMIFS(Transaksi!$H$2:$H$2001,Transaksi!$M$2:$M$2001,"&lt;="&amp;S339)+SUMIFS(Transaksi!$I$2:$I$2001,Transaksi!$M$2:$M$2001,"&lt;="&amp;S339))-(SUMIFS(Transaksi!$J$2:$J$2001,Transaksi!$M$2:$M$2001,"&lt;="&amp;S339)),"")</f>
        <v/>
      </c>
      <c r="I339">
        <f>IF(336&gt;$O$2,"",MATCH(336,$Q$3:$Q$402,1))</f>
        <v/>
      </c>
      <c r="J339">
        <f>IF(I339="","",IF(336=INDEX($Q$3:$Q$402,I339),"H","E"))</f>
        <v/>
      </c>
      <c r="K339">
        <f>IF(J339&lt;&gt;"E","",MATCH(S339,Transaksi!$M$2:$M$2001,0)+336-INDEX($Q$3:$Q$402,I339)-1)</f>
        <v/>
      </c>
      <c r="N339" t="n">
        <v>337</v>
      </c>
      <c r="O339">
        <f>IF(N339&lt;=$O$1,$O$1-N339+1,"")</f>
        <v/>
      </c>
      <c r="P339">
        <f>IF(O339="",0,COUNTIF(Transaksi!$M$2:$M$2001,O339)+1)</f>
        <v/>
      </c>
      <c r="Q339">
        <f>1+SUM(P$2:P338)</f>
        <v/>
      </c>
      <c r="S339">
        <f>IF(I339="","",INDEX($O$3:$O$402,I339))</f>
        <v/>
      </c>
      <c r="T339">
        <f>IF(J339&lt;&gt;"H","",INDEX(Transaksi!$A$2:$A$2001,MATCH(S339,Transaksi!$M$2:$M$2001,0)))</f>
        <v/>
      </c>
    </row>
    <row r="340">
      <c r="A340" s="31">
        <f>IF(J340="E",IF(INDEX(Transaksi!$J$2:$J$2001,K340)&gt;0,"↑","↓"),"")</f>
        <v/>
      </c>
      <c r="B340" s="32">
        <f>IF(J340="H",CHOOSE(WEEKDAY(T340,2),"Isnin","Selasa","Rabu","Khamis","Jumaat","Sabtu","Ahad")&amp;", "&amp;DAY(T340)&amp;" "&amp;CHOOSE(MONTH(T340),"Jan","Feb","Mac","Apr","Mei","Jun","Jul","Ogo","Sep","Okt","Nov","Dis")&amp;" "&amp;YEAR(T340),IF(J340="E",IF(INDEX(Transaksi!$B$2:$B$2001,K340)="",INDEX(Transaksi!$C$2:$C$2001,K340)&amp;" · "&amp;INDEX(Transaksi!$D$2:$D$2001,K340),INDEX(Transaksi!$B$2:$B$2001,K340)),""))</f>
        <v/>
      </c>
      <c r="C340" s="32">
        <f>IF(J340="E",INDEX(Transaksi!$C$2:$C$2001,K340)&amp;"","")</f>
        <v/>
      </c>
      <c r="D340" s="32">
        <f>IF(J340="E",INDEX(Transaksi!$D$2:$D$2001,K340)&amp;"","")</f>
        <v/>
      </c>
      <c r="E340" s="33">
        <f>IF(J340="H",SUMIFS(Transaksi!$G$2:$G$2001,Transaksi!$M$2:$M$2001,"="&amp;S340)+SUMIFS(Transaksi!$H$2:$H$2001,Transaksi!$M$2:$M$2001,"="&amp;S340)+SUMIFS(Transaksi!$I$2:$I$2001,Transaksi!$M$2:$M$2001,"="&amp;S340),IF(J340="E",IF(INDEX(Transaksi!$G$2:$G$2001,K340)+INDEX(Transaksi!$H$2:$H$2001,K340)+INDEX(Transaksi!$I$2:$I$2001,K340)=0,"",INDEX(Transaksi!$G$2:$G$2001,K340)+INDEX(Transaksi!$H$2:$H$2001,K340)+INDEX(Transaksi!$I$2:$I$2001,K340)),""))</f>
        <v/>
      </c>
      <c r="F340" s="33">
        <f>IF(J340="H",SUMIFS(Transaksi!$J$2:$J$2001,Transaksi!$M$2:$M$2001,"="&amp;S340),IF(J340="E",IF(INDEX(Transaksi!$J$2:$J$2001,K340)=0,"",INDEX(Transaksi!$J$2:$J$2001,K340)),""))</f>
        <v/>
      </c>
      <c r="G340" s="33">
        <f>IF(J340="H",(SUMIFS(Transaksi!$G$2:$G$2001,Transaksi!$M$2:$M$2001,"&lt;="&amp;S340)+SUMIFS(Transaksi!$H$2:$H$2001,Transaksi!$M$2:$M$2001,"&lt;="&amp;S340)+SUMIFS(Transaksi!$I$2:$I$2001,Transaksi!$M$2:$M$2001,"&lt;="&amp;S340))-(SUMIFS(Transaksi!$J$2:$J$2001,Transaksi!$M$2:$M$2001,"&lt;="&amp;S340)),"")</f>
        <v/>
      </c>
      <c r="I340">
        <f>IF(337&gt;$O$2,"",MATCH(337,$Q$3:$Q$402,1))</f>
        <v/>
      </c>
      <c r="J340">
        <f>IF(I340="","",IF(337=INDEX($Q$3:$Q$402,I340),"H","E"))</f>
        <v/>
      </c>
      <c r="K340">
        <f>IF(J340&lt;&gt;"E","",MATCH(S340,Transaksi!$M$2:$M$2001,0)+337-INDEX($Q$3:$Q$402,I340)-1)</f>
        <v/>
      </c>
      <c r="N340" t="n">
        <v>338</v>
      </c>
      <c r="O340">
        <f>IF(N340&lt;=$O$1,$O$1-N340+1,"")</f>
        <v/>
      </c>
      <c r="P340">
        <f>IF(O340="",0,COUNTIF(Transaksi!$M$2:$M$2001,O340)+1)</f>
        <v/>
      </c>
      <c r="Q340">
        <f>1+SUM(P$2:P339)</f>
        <v/>
      </c>
      <c r="S340">
        <f>IF(I340="","",INDEX($O$3:$O$402,I340))</f>
        <v/>
      </c>
      <c r="T340">
        <f>IF(J340&lt;&gt;"H","",INDEX(Transaksi!$A$2:$A$2001,MATCH(S340,Transaksi!$M$2:$M$2001,0)))</f>
        <v/>
      </c>
    </row>
    <row r="341">
      <c r="A341" s="31">
        <f>IF(J341="E",IF(INDEX(Transaksi!$J$2:$J$2001,K341)&gt;0,"↑","↓"),"")</f>
        <v/>
      </c>
      <c r="B341" s="32">
        <f>IF(J341="H",CHOOSE(WEEKDAY(T341,2),"Isnin","Selasa","Rabu","Khamis","Jumaat","Sabtu","Ahad")&amp;", "&amp;DAY(T341)&amp;" "&amp;CHOOSE(MONTH(T341),"Jan","Feb","Mac","Apr","Mei","Jun","Jul","Ogo","Sep","Okt","Nov","Dis")&amp;" "&amp;YEAR(T341),IF(J341="E",IF(INDEX(Transaksi!$B$2:$B$2001,K341)="",INDEX(Transaksi!$C$2:$C$2001,K341)&amp;" · "&amp;INDEX(Transaksi!$D$2:$D$2001,K341),INDEX(Transaksi!$B$2:$B$2001,K341)),""))</f>
        <v/>
      </c>
      <c r="C341" s="32">
        <f>IF(J341="E",INDEX(Transaksi!$C$2:$C$2001,K341)&amp;"","")</f>
        <v/>
      </c>
      <c r="D341" s="32">
        <f>IF(J341="E",INDEX(Transaksi!$D$2:$D$2001,K341)&amp;"","")</f>
        <v/>
      </c>
      <c r="E341" s="33">
        <f>IF(J341="H",SUMIFS(Transaksi!$G$2:$G$2001,Transaksi!$M$2:$M$2001,"="&amp;S341)+SUMIFS(Transaksi!$H$2:$H$2001,Transaksi!$M$2:$M$2001,"="&amp;S341)+SUMIFS(Transaksi!$I$2:$I$2001,Transaksi!$M$2:$M$2001,"="&amp;S341),IF(J341="E",IF(INDEX(Transaksi!$G$2:$G$2001,K341)+INDEX(Transaksi!$H$2:$H$2001,K341)+INDEX(Transaksi!$I$2:$I$2001,K341)=0,"",INDEX(Transaksi!$G$2:$G$2001,K341)+INDEX(Transaksi!$H$2:$H$2001,K341)+INDEX(Transaksi!$I$2:$I$2001,K341)),""))</f>
        <v/>
      </c>
      <c r="F341" s="33">
        <f>IF(J341="H",SUMIFS(Transaksi!$J$2:$J$2001,Transaksi!$M$2:$M$2001,"="&amp;S341),IF(J341="E",IF(INDEX(Transaksi!$J$2:$J$2001,K341)=0,"",INDEX(Transaksi!$J$2:$J$2001,K341)),""))</f>
        <v/>
      </c>
      <c r="G341" s="33">
        <f>IF(J341="H",(SUMIFS(Transaksi!$G$2:$G$2001,Transaksi!$M$2:$M$2001,"&lt;="&amp;S341)+SUMIFS(Transaksi!$H$2:$H$2001,Transaksi!$M$2:$M$2001,"&lt;="&amp;S341)+SUMIFS(Transaksi!$I$2:$I$2001,Transaksi!$M$2:$M$2001,"&lt;="&amp;S341))-(SUMIFS(Transaksi!$J$2:$J$2001,Transaksi!$M$2:$M$2001,"&lt;="&amp;S341)),"")</f>
        <v/>
      </c>
      <c r="I341">
        <f>IF(338&gt;$O$2,"",MATCH(338,$Q$3:$Q$402,1))</f>
        <v/>
      </c>
      <c r="J341">
        <f>IF(I341="","",IF(338=INDEX($Q$3:$Q$402,I341),"H","E"))</f>
        <v/>
      </c>
      <c r="K341">
        <f>IF(J341&lt;&gt;"E","",MATCH(S341,Transaksi!$M$2:$M$2001,0)+338-INDEX($Q$3:$Q$402,I341)-1)</f>
        <v/>
      </c>
      <c r="N341" t="n">
        <v>339</v>
      </c>
      <c r="O341">
        <f>IF(N341&lt;=$O$1,$O$1-N341+1,"")</f>
        <v/>
      </c>
      <c r="P341">
        <f>IF(O341="",0,COUNTIF(Transaksi!$M$2:$M$2001,O341)+1)</f>
        <v/>
      </c>
      <c r="Q341">
        <f>1+SUM(P$2:P340)</f>
        <v/>
      </c>
      <c r="S341">
        <f>IF(I341="","",INDEX($O$3:$O$402,I341))</f>
        <v/>
      </c>
      <c r="T341">
        <f>IF(J341&lt;&gt;"H","",INDEX(Transaksi!$A$2:$A$2001,MATCH(S341,Transaksi!$M$2:$M$2001,0)))</f>
        <v/>
      </c>
    </row>
    <row r="342">
      <c r="A342" s="31">
        <f>IF(J342="E",IF(INDEX(Transaksi!$J$2:$J$2001,K342)&gt;0,"↑","↓"),"")</f>
        <v/>
      </c>
      <c r="B342" s="32">
        <f>IF(J342="H",CHOOSE(WEEKDAY(T342,2),"Isnin","Selasa","Rabu","Khamis","Jumaat","Sabtu","Ahad")&amp;", "&amp;DAY(T342)&amp;" "&amp;CHOOSE(MONTH(T342),"Jan","Feb","Mac","Apr","Mei","Jun","Jul","Ogo","Sep","Okt","Nov","Dis")&amp;" "&amp;YEAR(T342),IF(J342="E",IF(INDEX(Transaksi!$B$2:$B$2001,K342)="",INDEX(Transaksi!$C$2:$C$2001,K342)&amp;" · "&amp;INDEX(Transaksi!$D$2:$D$2001,K342),INDEX(Transaksi!$B$2:$B$2001,K342)),""))</f>
        <v/>
      </c>
      <c r="C342" s="32">
        <f>IF(J342="E",INDEX(Transaksi!$C$2:$C$2001,K342)&amp;"","")</f>
        <v/>
      </c>
      <c r="D342" s="32">
        <f>IF(J342="E",INDEX(Transaksi!$D$2:$D$2001,K342)&amp;"","")</f>
        <v/>
      </c>
      <c r="E342" s="33">
        <f>IF(J342="H",SUMIFS(Transaksi!$G$2:$G$2001,Transaksi!$M$2:$M$2001,"="&amp;S342)+SUMIFS(Transaksi!$H$2:$H$2001,Transaksi!$M$2:$M$2001,"="&amp;S342)+SUMIFS(Transaksi!$I$2:$I$2001,Transaksi!$M$2:$M$2001,"="&amp;S342),IF(J342="E",IF(INDEX(Transaksi!$G$2:$G$2001,K342)+INDEX(Transaksi!$H$2:$H$2001,K342)+INDEX(Transaksi!$I$2:$I$2001,K342)=0,"",INDEX(Transaksi!$G$2:$G$2001,K342)+INDEX(Transaksi!$H$2:$H$2001,K342)+INDEX(Transaksi!$I$2:$I$2001,K342)),""))</f>
        <v/>
      </c>
      <c r="F342" s="33">
        <f>IF(J342="H",SUMIFS(Transaksi!$J$2:$J$2001,Transaksi!$M$2:$M$2001,"="&amp;S342),IF(J342="E",IF(INDEX(Transaksi!$J$2:$J$2001,K342)=0,"",INDEX(Transaksi!$J$2:$J$2001,K342)),""))</f>
        <v/>
      </c>
      <c r="G342" s="33">
        <f>IF(J342="H",(SUMIFS(Transaksi!$G$2:$G$2001,Transaksi!$M$2:$M$2001,"&lt;="&amp;S342)+SUMIFS(Transaksi!$H$2:$H$2001,Transaksi!$M$2:$M$2001,"&lt;="&amp;S342)+SUMIFS(Transaksi!$I$2:$I$2001,Transaksi!$M$2:$M$2001,"&lt;="&amp;S342))-(SUMIFS(Transaksi!$J$2:$J$2001,Transaksi!$M$2:$M$2001,"&lt;="&amp;S342)),"")</f>
        <v/>
      </c>
      <c r="I342">
        <f>IF(339&gt;$O$2,"",MATCH(339,$Q$3:$Q$402,1))</f>
        <v/>
      </c>
      <c r="J342">
        <f>IF(I342="","",IF(339=INDEX($Q$3:$Q$402,I342),"H","E"))</f>
        <v/>
      </c>
      <c r="K342">
        <f>IF(J342&lt;&gt;"E","",MATCH(S342,Transaksi!$M$2:$M$2001,0)+339-INDEX($Q$3:$Q$402,I342)-1)</f>
        <v/>
      </c>
      <c r="N342" t="n">
        <v>340</v>
      </c>
      <c r="O342">
        <f>IF(N342&lt;=$O$1,$O$1-N342+1,"")</f>
        <v/>
      </c>
      <c r="P342">
        <f>IF(O342="",0,COUNTIF(Transaksi!$M$2:$M$2001,O342)+1)</f>
        <v/>
      </c>
      <c r="Q342">
        <f>1+SUM(P$2:P341)</f>
        <v/>
      </c>
      <c r="S342">
        <f>IF(I342="","",INDEX($O$3:$O$402,I342))</f>
        <v/>
      </c>
      <c r="T342">
        <f>IF(J342&lt;&gt;"H","",INDEX(Transaksi!$A$2:$A$2001,MATCH(S342,Transaksi!$M$2:$M$2001,0)))</f>
        <v/>
      </c>
    </row>
    <row r="343">
      <c r="A343" s="31">
        <f>IF(J343="E",IF(INDEX(Transaksi!$J$2:$J$2001,K343)&gt;0,"↑","↓"),"")</f>
        <v/>
      </c>
      <c r="B343" s="32">
        <f>IF(J343="H",CHOOSE(WEEKDAY(T343,2),"Isnin","Selasa","Rabu","Khamis","Jumaat","Sabtu","Ahad")&amp;", "&amp;DAY(T343)&amp;" "&amp;CHOOSE(MONTH(T343),"Jan","Feb","Mac","Apr","Mei","Jun","Jul","Ogo","Sep","Okt","Nov","Dis")&amp;" "&amp;YEAR(T343),IF(J343="E",IF(INDEX(Transaksi!$B$2:$B$2001,K343)="",INDEX(Transaksi!$C$2:$C$2001,K343)&amp;" · "&amp;INDEX(Transaksi!$D$2:$D$2001,K343),INDEX(Transaksi!$B$2:$B$2001,K343)),""))</f>
        <v/>
      </c>
      <c r="C343" s="32">
        <f>IF(J343="E",INDEX(Transaksi!$C$2:$C$2001,K343)&amp;"","")</f>
        <v/>
      </c>
      <c r="D343" s="32">
        <f>IF(J343="E",INDEX(Transaksi!$D$2:$D$2001,K343)&amp;"","")</f>
        <v/>
      </c>
      <c r="E343" s="33">
        <f>IF(J343="H",SUMIFS(Transaksi!$G$2:$G$2001,Transaksi!$M$2:$M$2001,"="&amp;S343)+SUMIFS(Transaksi!$H$2:$H$2001,Transaksi!$M$2:$M$2001,"="&amp;S343)+SUMIFS(Transaksi!$I$2:$I$2001,Transaksi!$M$2:$M$2001,"="&amp;S343),IF(J343="E",IF(INDEX(Transaksi!$G$2:$G$2001,K343)+INDEX(Transaksi!$H$2:$H$2001,K343)+INDEX(Transaksi!$I$2:$I$2001,K343)=0,"",INDEX(Transaksi!$G$2:$G$2001,K343)+INDEX(Transaksi!$H$2:$H$2001,K343)+INDEX(Transaksi!$I$2:$I$2001,K343)),""))</f>
        <v/>
      </c>
      <c r="F343" s="33">
        <f>IF(J343="H",SUMIFS(Transaksi!$J$2:$J$2001,Transaksi!$M$2:$M$2001,"="&amp;S343),IF(J343="E",IF(INDEX(Transaksi!$J$2:$J$2001,K343)=0,"",INDEX(Transaksi!$J$2:$J$2001,K343)),""))</f>
        <v/>
      </c>
      <c r="G343" s="33">
        <f>IF(J343="H",(SUMIFS(Transaksi!$G$2:$G$2001,Transaksi!$M$2:$M$2001,"&lt;="&amp;S343)+SUMIFS(Transaksi!$H$2:$H$2001,Transaksi!$M$2:$M$2001,"&lt;="&amp;S343)+SUMIFS(Transaksi!$I$2:$I$2001,Transaksi!$M$2:$M$2001,"&lt;="&amp;S343))-(SUMIFS(Transaksi!$J$2:$J$2001,Transaksi!$M$2:$M$2001,"&lt;="&amp;S343)),"")</f>
        <v/>
      </c>
      <c r="I343">
        <f>IF(340&gt;$O$2,"",MATCH(340,$Q$3:$Q$402,1))</f>
        <v/>
      </c>
      <c r="J343">
        <f>IF(I343="","",IF(340=INDEX($Q$3:$Q$402,I343),"H","E"))</f>
        <v/>
      </c>
      <c r="K343">
        <f>IF(J343&lt;&gt;"E","",MATCH(S343,Transaksi!$M$2:$M$2001,0)+340-INDEX($Q$3:$Q$402,I343)-1)</f>
        <v/>
      </c>
      <c r="N343" t="n">
        <v>341</v>
      </c>
      <c r="O343">
        <f>IF(N343&lt;=$O$1,$O$1-N343+1,"")</f>
        <v/>
      </c>
      <c r="P343">
        <f>IF(O343="",0,COUNTIF(Transaksi!$M$2:$M$2001,O343)+1)</f>
        <v/>
      </c>
      <c r="Q343">
        <f>1+SUM(P$2:P342)</f>
        <v/>
      </c>
      <c r="S343">
        <f>IF(I343="","",INDEX($O$3:$O$402,I343))</f>
        <v/>
      </c>
      <c r="T343">
        <f>IF(J343&lt;&gt;"H","",INDEX(Transaksi!$A$2:$A$2001,MATCH(S343,Transaksi!$M$2:$M$2001,0)))</f>
        <v/>
      </c>
    </row>
    <row r="344">
      <c r="A344" s="31">
        <f>IF(J344="E",IF(INDEX(Transaksi!$J$2:$J$2001,K344)&gt;0,"↑","↓"),"")</f>
        <v/>
      </c>
      <c r="B344" s="32">
        <f>IF(J344="H",CHOOSE(WEEKDAY(T344,2),"Isnin","Selasa","Rabu","Khamis","Jumaat","Sabtu","Ahad")&amp;", "&amp;DAY(T344)&amp;" "&amp;CHOOSE(MONTH(T344),"Jan","Feb","Mac","Apr","Mei","Jun","Jul","Ogo","Sep","Okt","Nov","Dis")&amp;" "&amp;YEAR(T344),IF(J344="E",IF(INDEX(Transaksi!$B$2:$B$2001,K344)="",INDEX(Transaksi!$C$2:$C$2001,K344)&amp;" · "&amp;INDEX(Transaksi!$D$2:$D$2001,K344),INDEX(Transaksi!$B$2:$B$2001,K344)),""))</f>
        <v/>
      </c>
      <c r="C344" s="32">
        <f>IF(J344="E",INDEX(Transaksi!$C$2:$C$2001,K344)&amp;"","")</f>
        <v/>
      </c>
      <c r="D344" s="32">
        <f>IF(J344="E",INDEX(Transaksi!$D$2:$D$2001,K344)&amp;"","")</f>
        <v/>
      </c>
      <c r="E344" s="33">
        <f>IF(J344="H",SUMIFS(Transaksi!$G$2:$G$2001,Transaksi!$M$2:$M$2001,"="&amp;S344)+SUMIFS(Transaksi!$H$2:$H$2001,Transaksi!$M$2:$M$2001,"="&amp;S344)+SUMIFS(Transaksi!$I$2:$I$2001,Transaksi!$M$2:$M$2001,"="&amp;S344),IF(J344="E",IF(INDEX(Transaksi!$G$2:$G$2001,K344)+INDEX(Transaksi!$H$2:$H$2001,K344)+INDEX(Transaksi!$I$2:$I$2001,K344)=0,"",INDEX(Transaksi!$G$2:$G$2001,K344)+INDEX(Transaksi!$H$2:$H$2001,K344)+INDEX(Transaksi!$I$2:$I$2001,K344)),""))</f>
        <v/>
      </c>
      <c r="F344" s="33">
        <f>IF(J344="H",SUMIFS(Transaksi!$J$2:$J$2001,Transaksi!$M$2:$M$2001,"="&amp;S344),IF(J344="E",IF(INDEX(Transaksi!$J$2:$J$2001,K344)=0,"",INDEX(Transaksi!$J$2:$J$2001,K344)),""))</f>
        <v/>
      </c>
      <c r="G344" s="33">
        <f>IF(J344="H",(SUMIFS(Transaksi!$G$2:$G$2001,Transaksi!$M$2:$M$2001,"&lt;="&amp;S344)+SUMIFS(Transaksi!$H$2:$H$2001,Transaksi!$M$2:$M$2001,"&lt;="&amp;S344)+SUMIFS(Transaksi!$I$2:$I$2001,Transaksi!$M$2:$M$2001,"&lt;="&amp;S344))-(SUMIFS(Transaksi!$J$2:$J$2001,Transaksi!$M$2:$M$2001,"&lt;="&amp;S344)),"")</f>
        <v/>
      </c>
      <c r="I344">
        <f>IF(341&gt;$O$2,"",MATCH(341,$Q$3:$Q$402,1))</f>
        <v/>
      </c>
      <c r="J344">
        <f>IF(I344="","",IF(341=INDEX($Q$3:$Q$402,I344),"H","E"))</f>
        <v/>
      </c>
      <c r="K344">
        <f>IF(J344&lt;&gt;"E","",MATCH(S344,Transaksi!$M$2:$M$2001,0)+341-INDEX($Q$3:$Q$402,I344)-1)</f>
        <v/>
      </c>
      <c r="N344" t="n">
        <v>342</v>
      </c>
      <c r="O344">
        <f>IF(N344&lt;=$O$1,$O$1-N344+1,"")</f>
        <v/>
      </c>
      <c r="P344">
        <f>IF(O344="",0,COUNTIF(Transaksi!$M$2:$M$2001,O344)+1)</f>
        <v/>
      </c>
      <c r="Q344">
        <f>1+SUM(P$2:P343)</f>
        <v/>
      </c>
      <c r="S344">
        <f>IF(I344="","",INDEX($O$3:$O$402,I344))</f>
        <v/>
      </c>
      <c r="T344">
        <f>IF(J344&lt;&gt;"H","",INDEX(Transaksi!$A$2:$A$2001,MATCH(S344,Transaksi!$M$2:$M$2001,0)))</f>
        <v/>
      </c>
    </row>
    <row r="345">
      <c r="A345" s="31">
        <f>IF(J345="E",IF(INDEX(Transaksi!$J$2:$J$2001,K345)&gt;0,"↑","↓"),"")</f>
        <v/>
      </c>
      <c r="B345" s="32">
        <f>IF(J345="H",CHOOSE(WEEKDAY(T345,2),"Isnin","Selasa","Rabu","Khamis","Jumaat","Sabtu","Ahad")&amp;", "&amp;DAY(T345)&amp;" "&amp;CHOOSE(MONTH(T345),"Jan","Feb","Mac","Apr","Mei","Jun","Jul","Ogo","Sep","Okt","Nov","Dis")&amp;" "&amp;YEAR(T345),IF(J345="E",IF(INDEX(Transaksi!$B$2:$B$2001,K345)="",INDEX(Transaksi!$C$2:$C$2001,K345)&amp;" · "&amp;INDEX(Transaksi!$D$2:$D$2001,K345),INDEX(Transaksi!$B$2:$B$2001,K345)),""))</f>
        <v/>
      </c>
      <c r="C345" s="32">
        <f>IF(J345="E",INDEX(Transaksi!$C$2:$C$2001,K345)&amp;"","")</f>
        <v/>
      </c>
      <c r="D345" s="32">
        <f>IF(J345="E",INDEX(Transaksi!$D$2:$D$2001,K345)&amp;"","")</f>
        <v/>
      </c>
      <c r="E345" s="33">
        <f>IF(J345="H",SUMIFS(Transaksi!$G$2:$G$2001,Transaksi!$M$2:$M$2001,"="&amp;S345)+SUMIFS(Transaksi!$H$2:$H$2001,Transaksi!$M$2:$M$2001,"="&amp;S345)+SUMIFS(Transaksi!$I$2:$I$2001,Transaksi!$M$2:$M$2001,"="&amp;S345),IF(J345="E",IF(INDEX(Transaksi!$G$2:$G$2001,K345)+INDEX(Transaksi!$H$2:$H$2001,K345)+INDEX(Transaksi!$I$2:$I$2001,K345)=0,"",INDEX(Transaksi!$G$2:$G$2001,K345)+INDEX(Transaksi!$H$2:$H$2001,K345)+INDEX(Transaksi!$I$2:$I$2001,K345)),""))</f>
        <v/>
      </c>
      <c r="F345" s="33">
        <f>IF(J345="H",SUMIFS(Transaksi!$J$2:$J$2001,Transaksi!$M$2:$M$2001,"="&amp;S345),IF(J345="E",IF(INDEX(Transaksi!$J$2:$J$2001,K345)=0,"",INDEX(Transaksi!$J$2:$J$2001,K345)),""))</f>
        <v/>
      </c>
      <c r="G345" s="33">
        <f>IF(J345="H",(SUMIFS(Transaksi!$G$2:$G$2001,Transaksi!$M$2:$M$2001,"&lt;="&amp;S345)+SUMIFS(Transaksi!$H$2:$H$2001,Transaksi!$M$2:$M$2001,"&lt;="&amp;S345)+SUMIFS(Transaksi!$I$2:$I$2001,Transaksi!$M$2:$M$2001,"&lt;="&amp;S345))-(SUMIFS(Transaksi!$J$2:$J$2001,Transaksi!$M$2:$M$2001,"&lt;="&amp;S345)),"")</f>
        <v/>
      </c>
      <c r="I345">
        <f>IF(342&gt;$O$2,"",MATCH(342,$Q$3:$Q$402,1))</f>
        <v/>
      </c>
      <c r="J345">
        <f>IF(I345="","",IF(342=INDEX($Q$3:$Q$402,I345),"H","E"))</f>
        <v/>
      </c>
      <c r="K345">
        <f>IF(J345&lt;&gt;"E","",MATCH(S345,Transaksi!$M$2:$M$2001,0)+342-INDEX($Q$3:$Q$402,I345)-1)</f>
        <v/>
      </c>
      <c r="N345" t="n">
        <v>343</v>
      </c>
      <c r="O345">
        <f>IF(N345&lt;=$O$1,$O$1-N345+1,"")</f>
        <v/>
      </c>
      <c r="P345">
        <f>IF(O345="",0,COUNTIF(Transaksi!$M$2:$M$2001,O345)+1)</f>
        <v/>
      </c>
      <c r="Q345">
        <f>1+SUM(P$2:P344)</f>
        <v/>
      </c>
      <c r="S345">
        <f>IF(I345="","",INDEX($O$3:$O$402,I345))</f>
        <v/>
      </c>
      <c r="T345">
        <f>IF(J345&lt;&gt;"H","",INDEX(Transaksi!$A$2:$A$2001,MATCH(S345,Transaksi!$M$2:$M$2001,0)))</f>
        <v/>
      </c>
    </row>
    <row r="346">
      <c r="A346" s="31">
        <f>IF(J346="E",IF(INDEX(Transaksi!$J$2:$J$2001,K346)&gt;0,"↑","↓"),"")</f>
        <v/>
      </c>
      <c r="B346" s="32">
        <f>IF(J346="H",CHOOSE(WEEKDAY(T346,2),"Isnin","Selasa","Rabu","Khamis","Jumaat","Sabtu","Ahad")&amp;", "&amp;DAY(T346)&amp;" "&amp;CHOOSE(MONTH(T346),"Jan","Feb","Mac","Apr","Mei","Jun","Jul","Ogo","Sep","Okt","Nov","Dis")&amp;" "&amp;YEAR(T346),IF(J346="E",IF(INDEX(Transaksi!$B$2:$B$2001,K346)="",INDEX(Transaksi!$C$2:$C$2001,K346)&amp;" · "&amp;INDEX(Transaksi!$D$2:$D$2001,K346),INDEX(Transaksi!$B$2:$B$2001,K346)),""))</f>
        <v/>
      </c>
      <c r="C346" s="32">
        <f>IF(J346="E",INDEX(Transaksi!$C$2:$C$2001,K346)&amp;"","")</f>
        <v/>
      </c>
      <c r="D346" s="32">
        <f>IF(J346="E",INDEX(Transaksi!$D$2:$D$2001,K346)&amp;"","")</f>
        <v/>
      </c>
      <c r="E346" s="33">
        <f>IF(J346="H",SUMIFS(Transaksi!$G$2:$G$2001,Transaksi!$M$2:$M$2001,"="&amp;S346)+SUMIFS(Transaksi!$H$2:$H$2001,Transaksi!$M$2:$M$2001,"="&amp;S346)+SUMIFS(Transaksi!$I$2:$I$2001,Transaksi!$M$2:$M$2001,"="&amp;S346),IF(J346="E",IF(INDEX(Transaksi!$G$2:$G$2001,K346)+INDEX(Transaksi!$H$2:$H$2001,K346)+INDEX(Transaksi!$I$2:$I$2001,K346)=0,"",INDEX(Transaksi!$G$2:$G$2001,K346)+INDEX(Transaksi!$H$2:$H$2001,K346)+INDEX(Transaksi!$I$2:$I$2001,K346)),""))</f>
        <v/>
      </c>
      <c r="F346" s="33">
        <f>IF(J346="H",SUMIFS(Transaksi!$J$2:$J$2001,Transaksi!$M$2:$M$2001,"="&amp;S346),IF(J346="E",IF(INDEX(Transaksi!$J$2:$J$2001,K346)=0,"",INDEX(Transaksi!$J$2:$J$2001,K346)),""))</f>
        <v/>
      </c>
      <c r="G346" s="33">
        <f>IF(J346="H",(SUMIFS(Transaksi!$G$2:$G$2001,Transaksi!$M$2:$M$2001,"&lt;="&amp;S346)+SUMIFS(Transaksi!$H$2:$H$2001,Transaksi!$M$2:$M$2001,"&lt;="&amp;S346)+SUMIFS(Transaksi!$I$2:$I$2001,Transaksi!$M$2:$M$2001,"&lt;="&amp;S346))-(SUMIFS(Transaksi!$J$2:$J$2001,Transaksi!$M$2:$M$2001,"&lt;="&amp;S346)),"")</f>
        <v/>
      </c>
      <c r="I346">
        <f>IF(343&gt;$O$2,"",MATCH(343,$Q$3:$Q$402,1))</f>
        <v/>
      </c>
      <c r="J346">
        <f>IF(I346="","",IF(343=INDEX($Q$3:$Q$402,I346),"H","E"))</f>
        <v/>
      </c>
      <c r="K346">
        <f>IF(J346&lt;&gt;"E","",MATCH(S346,Transaksi!$M$2:$M$2001,0)+343-INDEX($Q$3:$Q$402,I346)-1)</f>
        <v/>
      </c>
      <c r="N346" t="n">
        <v>344</v>
      </c>
      <c r="O346">
        <f>IF(N346&lt;=$O$1,$O$1-N346+1,"")</f>
        <v/>
      </c>
      <c r="P346">
        <f>IF(O346="",0,COUNTIF(Transaksi!$M$2:$M$2001,O346)+1)</f>
        <v/>
      </c>
      <c r="Q346">
        <f>1+SUM(P$2:P345)</f>
        <v/>
      </c>
      <c r="S346">
        <f>IF(I346="","",INDEX($O$3:$O$402,I346))</f>
        <v/>
      </c>
      <c r="T346">
        <f>IF(J346&lt;&gt;"H","",INDEX(Transaksi!$A$2:$A$2001,MATCH(S346,Transaksi!$M$2:$M$2001,0)))</f>
        <v/>
      </c>
    </row>
    <row r="347">
      <c r="A347" s="31">
        <f>IF(J347="E",IF(INDEX(Transaksi!$J$2:$J$2001,K347)&gt;0,"↑","↓"),"")</f>
        <v/>
      </c>
      <c r="B347" s="32">
        <f>IF(J347="H",CHOOSE(WEEKDAY(T347,2),"Isnin","Selasa","Rabu","Khamis","Jumaat","Sabtu","Ahad")&amp;", "&amp;DAY(T347)&amp;" "&amp;CHOOSE(MONTH(T347),"Jan","Feb","Mac","Apr","Mei","Jun","Jul","Ogo","Sep","Okt","Nov","Dis")&amp;" "&amp;YEAR(T347),IF(J347="E",IF(INDEX(Transaksi!$B$2:$B$2001,K347)="",INDEX(Transaksi!$C$2:$C$2001,K347)&amp;" · "&amp;INDEX(Transaksi!$D$2:$D$2001,K347),INDEX(Transaksi!$B$2:$B$2001,K347)),""))</f>
        <v/>
      </c>
      <c r="C347" s="32">
        <f>IF(J347="E",INDEX(Transaksi!$C$2:$C$2001,K347)&amp;"","")</f>
        <v/>
      </c>
      <c r="D347" s="32">
        <f>IF(J347="E",INDEX(Transaksi!$D$2:$D$2001,K347)&amp;"","")</f>
        <v/>
      </c>
      <c r="E347" s="33">
        <f>IF(J347="H",SUMIFS(Transaksi!$G$2:$G$2001,Transaksi!$M$2:$M$2001,"="&amp;S347)+SUMIFS(Transaksi!$H$2:$H$2001,Transaksi!$M$2:$M$2001,"="&amp;S347)+SUMIFS(Transaksi!$I$2:$I$2001,Transaksi!$M$2:$M$2001,"="&amp;S347),IF(J347="E",IF(INDEX(Transaksi!$G$2:$G$2001,K347)+INDEX(Transaksi!$H$2:$H$2001,K347)+INDEX(Transaksi!$I$2:$I$2001,K347)=0,"",INDEX(Transaksi!$G$2:$G$2001,K347)+INDEX(Transaksi!$H$2:$H$2001,K347)+INDEX(Transaksi!$I$2:$I$2001,K347)),""))</f>
        <v/>
      </c>
      <c r="F347" s="33">
        <f>IF(J347="H",SUMIFS(Transaksi!$J$2:$J$2001,Transaksi!$M$2:$M$2001,"="&amp;S347),IF(J347="E",IF(INDEX(Transaksi!$J$2:$J$2001,K347)=0,"",INDEX(Transaksi!$J$2:$J$2001,K347)),""))</f>
        <v/>
      </c>
      <c r="G347" s="33">
        <f>IF(J347="H",(SUMIFS(Transaksi!$G$2:$G$2001,Transaksi!$M$2:$M$2001,"&lt;="&amp;S347)+SUMIFS(Transaksi!$H$2:$H$2001,Transaksi!$M$2:$M$2001,"&lt;="&amp;S347)+SUMIFS(Transaksi!$I$2:$I$2001,Transaksi!$M$2:$M$2001,"&lt;="&amp;S347))-(SUMIFS(Transaksi!$J$2:$J$2001,Transaksi!$M$2:$M$2001,"&lt;="&amp;S347)),"")</f>
        <v/>
      </c>
      <c r="I347">
        <f>IF(344&gt;$O$2,"",MATCH(344,$Q$3:$Q$402,1))</f>
        <v/>
      </c>
      <c r="J347">
        <f>IF(I347="","",IF(344=INDEX($Q$3:$Q$402,I347),"H","E"))</f>
        <v/>
      </c>
      <c r="K347">
        <f>IF(J347&lt;&gt;"E","",MATCH(S347,Transaksi!$M$2:$M$2001,0)+344-INDEX($Q$3:$Q$402,I347)-1)</f>
        <v/>
      </c>
      <c r="N347" t="n">
        <v>345</v>
      </c>
      <c r="O347">
        <f>IF(N347&lt;=$O$1,$O$1-N347+1,"")</f>
        <v/>
      </c>
      <c r="P347">
        <f>IF(O347="",0,COUNTIF(Transaksi!$M$2:$M$2001,O347)+1)</f>
        <v/>
      </c>
      <c r="Q347">
        <f>1+SUM(P$2:P346)</f>
        <v/>
      </c>
      <c r="S347">
        <f>IF(I347="","",INDEX($O$3:$O$402,I347))</f>
        <v/>
      </c>
      <c r="T347">
        <f>IF(J347&lt;&gt;"H","",INDEX(Transaksi!$A$2:$A$2001,MATCH(S347,Transaksi!$M$2:$M$2001,0)))</f>
        <v/>
      </c>
    </row>
    <row r="348">
      <c r="A348" s="31">
        <f>IF(J348="E",IF(INDEX(Transaksi!$J$2:$J$2001,K348)&gt;0,"↑","↓"),"")</f>
        <v/>
      </c>
      <c r="B348" s="32">
        <f>IF(J348="H",CHOOSE(WEEKDAY(T348,2),"Isnin","Selasa","Rabu","Khamis","Jumaat","Sabtu","Ahad")&amp;", "&amp;DAY(T348)&amp;" "&amp;CHOOSE(MONTH(T348),"Jan","Feb","Mac","Apr","Mei","Jun","Jul","Ogo","Sep","Okt","Nov","Dis")&amp;" "&amp;YEAR(T348),IF(J348="E",IF(INDEX(Transaksi!$B$2:$B$2001,K348)="",INDEX(Transaksi!$C$2:$C$2001,K348)&amp;" · "&amp;INDEX(Transaksi!$D$2:$D$2001,K348),INDEX(Transaksi!$B$2:$B$2001,K348)),""))</f>
        <v/>
      </c>
      <c r="C348" s="32">
        <f>IF(J348="E",INDEX(Transaksi!$C$2:$C$2001,K348)&amp;"","")</f>
        <v/>
      </c>
      <c r="D348" s="32">
        <f>IF(J348="E",INDEX(Transaksi!$D$2:$D$2001,K348)&amp;"","")</f>
        <v/>
      </c>
      <c r="E348" s="33">
        <f>IF(J348="H",SUMIFS(Transaksi!$G$2:$G$2001,Transaksi!$M$2:$M$2001,"="&amp;S348)+SUMIFS(Transaksi!$H$2:$H$2001,Transaksi!$M$2:$M$2001,"="&amp;S348)+SUMIFS(Transaksi!$I$2:$I$2001,Transaksi!$M$2:$M$2001,"="&amp;S348),IF(J348="E",IF(INDEX(Transaksi!$G$2:$G$2001,K348)+INDEX(Transaksi!$H$2:$H$2001,K348)+INDEX(Transaksi!$I$2:$I$2001,K348)=0,"",INDEX(Transaksi!$G$2:$G$2001,K348)+INDEX(Transaksi!$H$2:$H$2001,K348)+INDEX(Transaksi!$I$2:$I$2001,K348)),""))</f>
        <v/>
      </c>
      <c r="F348" s="33">
        <f>IF(J348="H",SUMIFS(Transaksi!$J$2:$J$2001,Transaksi!$M$2:$M$2001,"="&amp;S348),IF(J348="E",IF(INDEX(Transaksi!$J$2:$J$2001,K348)=0,"",INDEX(Transaksi!$J$2:$J$2001,K348)),""))</f>
        <v/>
      </c>
      <c r="G348" s="33">
        <f>IF(J348="H",(SUMIFS(Transaksi!$G$2:$G$2001,Transaksi!$M$2:$M$2001,"&lt;="&amp;S348)+SUMIFS(Transaksi!$H$2:$H$2001,Transaksi!$M$2:$M$2001,"&lt;="&amp;S348)+SUMIFS(Transaksi!$I$2:$I$2001,Transaksi!$M$2:$M$2001,"&lt;="&amp;S348))-(SUMIFS(Transaksi!$J$2:$J$2001,Transaksi!$M$2:$M$2001,"&lt;="&amp;S348)),"")</f>
        <v/>
      </c>
      <c r="I348">
        <f>IF(345&gt;$O$2,"",MATCH(345,$Q$3:$Q$402,1))</f>
        <v/>
      </c>
      <c r="J348">
        <f>IF(I348="","",IF(345=INDEX($Q$3:$Q$402,I348),"H","E"))</f>
        <v/>
      </c>
      <c r="K348">
        <f>IF(J348&lt;&gt;"E","",MATCH(S348,Transaksi!$M$2:$M$2001,0)+345-INDEX($Q$3:$Q$402,I348)-1)</f>
        <v/>
      </c>
      <c r="N348" t="n">
        <v>346</v>
      </c>
      <c r="O348">
        <f>IF(N348&lt;=$O$1,$O$1-N348+1,"")</f>
        <v/>
      </c>
      <c r="P348">
        <f>IF(O348="",0,COUNTIF(Transaksi!$M$2:$M$2001,O348)+1)</f>
        <v/>
      </c>
      <c r="Q348">
        <f>1+SUM(P$2:P347)</f>
        <v/>
      </c>
      <c r="S348">
        <f>IF(I348="","",INDEX($O$3:$O$402,I348))</f>
        <v/>
      </c>
      <c r="T348">
        <f>IF(J348&lt;&gt;"H","",INDEX(Transaksi!$A$2:$A$2001,MATCH(S348,Transaksi!$M$2:$M$2001,0)))</f>
        <v/>
      </c>
    </row>
    <row r="349">
      <c r="A349" s="31">
        <f>IF(J349="E",IF(INDEX(Transaksi!$J$2:$J$2001,K349)&gt;0,"↑","↓"),"")</f>
        <v/>
      </c>
      <c r="B349" s="32">
        <f>IF(J349="H",CHOOSE(WEEKDAY(T349,2),"Isnin","Selasa","Rabu","Khamis","Jumaat","Sabtu","Ahad")&amp;", "&amp;DAY(T349)&amp;" "&amp;CHOOSE(MONTH(T349),"Jan","Feb","Mac","Apr","Mei","Jun","Jul","Ogo","Sep","Okt","Nov","Dis")&amp;" "&amp;YEAR(T349),IF(J349="E",IF(INDEX(Transaksi!$B$2:$B$2001,K349)="",INDEX(Transaksi!$C$2:$C$2001,K349)&amp;" · "&amp;INDEX(Transaksi!$D$2:$D$2001,K349),INDEX(Transaksi!$B$2:$B$2001,K349)),""))</f>
        <v/>
      </c>
      <c r="C349" s="32">
        <f>IF(J349="E",INDEX(Transaksi!$C$2:$C$2001,K349)&amp;"","")</f>
        <v/>
      </c>
      <c r="D349" s="32">
        <f>IF(J349="E",INDEX(Transaksi!$D$2:$D$2001,K349)&amp;"","")</f>
        <v/>
      </c>
      <c r="E349" s="33">
        <f>IF(J349="H",SUMIFS(Transaksi!$G$2:$G$2001,Transaksi!$M$2:$M$2001,"="&amp;S349)+SUMIFS(Transaksi!$H$2:$H$2001,Transaksi!$M$2:$M$2001,"="&amp;S349)+SUMIFS(Transaksi!$I$2:$I$2001,Transaksi!$M$2:$M$2001,"="&amp;S349),IF(J349="E",IF(INDEX(Transaksi!$G$2:$G$2001,K349)+INDEX(Transaksi!$H$2:$H$2001,K349)+INDEX(Transaksi!$I$2:$I$2001,K349)=0,"",INDEX(Transaksi!$G$2:$G$2001,K349)+INDEX(Transaksi!$H$2:$H$2001,K349)+INDEX(Transaksi!$I$2:$I$2001,K349)),""))</f>
        <v/>
      </c>
      <c r="F349" s="33">
        <f>IF(J349="H",SUMIFS(Transaksi!$J$2:$J$2001,Transaksi!$M$2:$M$2001,"="&amp;S349),IF(J349="E",IF(INDEX(Transaksi!$J$2:$J$2001,K349)=0,"",INDEX(Transaksi!$J$2:$J$2001,K349)),""))</f>
        <v/>
      </c>
      <c r="G349" s="33">
        <f>IF(J349="H",(SUMIFS(Transaksi!$G$2:$G$2001,Transaksi!$M$2:$M$2001,"&lt;="&amp;S349)+SUMIFS(Transaksi!$H$2:$H$2001,Transaksi!$M$2:$M$2001,"&lt;="&amp;S349)+SUMIFS(Transaksi!$I$2:$I$2001,Transaksi!$M$2:$M$2001,"&lt;="&amp;S349))-(SUMIFS(Transaksi!$J$2:$J$2001,Transaksi!$M$2:$M$2001,"&lt;="&amp;S349)),"")</f>
        <v/>
      </c>
      <c r="I349">
        <f>IF(346&gt;$O$2,"",MATCH(346,$Q$3:$Q$402,1))</f>
        <v/>
      </c>
      <c r="J349">
        <f>IF(I349="","",IF(346=INDEX($Q$3:$Q$402,I349),"H","E"))</f>
        <v/>
      </c>
      <c r="K349">
        <f>IF(J349&lt;&gt;"E","",MATCH(S349,Transaksi!$M$2:$M$2001,0)+346-INDEX($Q$3:$Q$402,I349)-1)</f>
        <v/>
      </c>
      <c r="N349" t="n">
        <v>347</v>
      </c>
      <c r="O349">
        <f>IF(N349&lt;=$O$1,$O$1-N349+1,"")</f>
        <v/>
      </c>
      <c r="P349">
        <f>IF(O349="",0,COUNTIF(Transaksi!$M$2:$M$2001,O349)+1)</f>
        <v/>
      </c>
      <c r="Q349">
        <f>1+SUM(P$2:P348)</f>
        <v/>
      </c>
      <c r="S349">
        <f>IF(I349="","",INDEX($O$3:$O$402,I349))</f>
        <v/>
      </c>
      <c r="T349">
        <f>IF(J349&lt;&gt;"H","",INDEX(Transaksi!$A$2:$A$2001,MATCH(S349,Transaksi!$M$2:$M$2001,0)))</f>
        <v/>
      </c>
    </row>
    <row r="350">
      <c r="A350" s="31">
        <f>IF(J350="E",IF(INDEX(Transaksi!$J$2:$J$2001,K350)&gt;0,"↑","↓"),"")</f>
        <v/>
      </c>
      <c r="B350" s="32">
        <f>IF(J350="H",CHOOSE(WEEKDAY(T350,2),"Isnin","Selasa","Rabu","Khamis","Jumaat","Sabtu","Ahad")&amp;", "&amp;DAY(T350)&amp;" "&amp;CHOOSE(MONTH(T350),"Jan","Feb","Mac","Apr","Mei","Jun","Jul","Ogo","Sep","Okt","Nov","Dis")&amp;" "&amp;YEAR(T350),IF(J350="E",IF(INDEX(Transaksi!$B$2:$B$2001,K350)="",INDEX(Transaksi!$C$2:$C$2001,K350)&amp;" · "&amp;INDEX(Transaksi!$D$2:$D$2001,K350),INDEX(Transaksi!$B$2:$B$2001,K350)),""))</f>
        <v/>
      </c>
      <c r="C350" s="32">
        <f>IF(J350="E",INDEX(Transaksi!$C$2:$C$2001,K350)&amp;"","")</f>
        <v/>
      </c>
      <c r="D350" s="32">
        <f>IF(J350="E",INDEX(Transaksi!$D$2:$D$2001,K350)&amp;"","")</f>
        <v/>
      </c>
      <c r="E350" s="33">
        <f>IF(J350="H",SUMIFS(Transaksi!$G$2:$G$2001,Transaksi!$M$2:$M$2001,"="&amp;S350)+SUMIFS(Transaksi!$H$2:$H$2001,Transaksi!$M$2:$M$2001,"="&amp;S350)+SUMIFS(Transaksi!$I$2:$I$2001,Transaksi!$M$2:$M$2001,"="&amp;S350),IF(J350="E",IF(INDEX(Transaksi!$G$2:$G$2001,K350)+INDEX(Transaksi!$H$2:$H$2001,K350)+INDEX(Transaksi!$I$2:$I$2001,K350)=0,"",INDEX(Transaksi!$G$2:$G$2001,K350)+INDEX(Transaksi!$H$2:$H$2001,K350)+INDEX(Transaksi!$I$2:$I$2001,K350)),""))</f>
        <v/>
      </c>
      <c r="F350" s="33">
        <f>IF(J350="H",SUMIFS(Transaksi!$J$2:$J$2001,Transaksi!$M$2:$M$2001,"="&amp;S350),IF(J350="E",IF(INDEX(Transaksi!$J$2:$J$2001,K350)=0,"",INDEX(Transaksi!$J$2:$J$2001,K350)),""))</f>
        <v/>
      </c>
      <c r="G350" s="33">
        <f>IF(J350="H",(SUMIFS(Transaksi!$G$2:$G$2001,Transaksi!$M$2:$M$2001,"&lt;="&amp;S350)+SUMIFS(Transaksi!$H$2:$H$2001,Transaksi!$M$2:$M$2001,"&lt;="&amp;S350)+SUMIFS(Transaksi!$I$2:$I$2001,Transaksi!$M$2:$M$2001,"&lt;="&amp;S350))-(SUMIFS(Transaksi!$J$2:$J$2001,Transaksi!$M$2:$M$2001,"&lt;="&amp;S350)),"")</f>
        <v/>
      </c>
      <c r="I350">
        <f>IF(347&gt;$O$2,"",MATCH(347,$Q$3:$Q$402,1))</f>
        <v/>
      </c>
      <c r="J350">
        <f>IF(I350="","",IF(347=INDEX($Q$3:$Q$402,I350),"H","E"))</f>
        <v/>
      </c>
      <c r="K350">
        <f>IF(J350&lt;&gt;"E","",MATCH(S350,Transaksi!$M$2:$M$2001,0)+347-INDEX($Q$3:$Q$402,I350)-1)</f>
        <v/>
      </c>
      <c r="N350" t="n">
        <v>348</v>
      </c>
      <c r="O350">
        <f>IF(N350&lt;=$O$1,$O$1-N350+1,"")</f>
        <v/>
      </c>
      <c r="P350">
        <f>IF(O350="",0,COUNTIF(Transaksi!$M$2:$M$2001,O350)+1)</f>
        <v/>
      </c>
      <c r="Q350">
        <f>1+SUM(P$2:P349)</f>
        <v/>
      </c>
      <c r="S350">
        <f>IF(I350="","",INDEX($O$3:$O$402,I350))</f>
        <v/>
      </c>
      <c r="T350">
        <f>IF(J350&lt;&gt;"H","",INDEX(Transaksi!$A$2:$A$2001,MATCH(S350,Transaksi!$M$2:$M$2001,0)))</f>
        <v/>
      </c>
    </row>
    <row r="351">
      <c r="A351" s="31">
        <f>IF(J351="E",IF(INDEX(Transaksi!$J$2:$J$2001,K351)&gt;0,"↑","↓"),"")</f>
        <v/>
      </c>
      <c r="B351" s="32">
        <f>IF(J351="H",CHOOSE(WEEKDAY(T351,2),"Isnin","Selasa","Rabu","Khamis","Jumaat","Sabtu","Ahad")&amp;", "&amp;DAY(T351)&amp;" "&amp;CHOOSE(MONTH(T351),"Jan","Feb","Mac","Apr","Mei","Jun","Jul","Ogo","Sep","Okt","Nov","Dis")&amp;" "&amp;YEAR(T351),IF(J351="E",IF(INDEX(Transaksi!$B$2:$B$2001,K351)="",INDEX(Transaksi!$C$2:$C$2001,K351)&amp;" · "&amp;INDEX(Transaksi!$D$2:$D$2001,K351),INDEX(Transaksi!$B$2:$B$2001,K351)),""))</f>
        <v/>
      </c>
      <c r="C351" s="32">
        <f>IF(J351="E",INDEX(Transaksi!$C$2:$C$2001,K351)&amp;"","")</f>
        <v/>
      </c>
      <c r="D351" s="32">
        <f>IF(J351="E",INDEX(Transaksi!$D$2:$D$2001,K351)&amp;"","")</f>
        <v/>
      </c>
      <c r="E351" s="33">
        <f>IF(J351="H",SUMIFS(Transaksi!$G$2:$G$2001,Transaksi!$M$2:$M$2001,"="&amp;S351)+SUMIFS(Transaksi!$H$2:$H$2001,Transaksi!$M$2:$M$2001,"="&amp;S351)+SUMIFS(Transaksi!$I$2:$I$2001,Transaksi!$M$2:$M$2001,"="&amp;S351),IF(J351="E",IF(INDEX(Transaksi!$G$2:$G$2001,K351)+INDEX(Transaksi!$H$2:$H$2001,K351)+INDEX(Transaksi!$I$2:$I$2001,K351)=0,"",INDEX(Transaksi!$G$2:$G$2001,K351)+INDEX(Transaksi!$H$2:$H$2001,K351)+INDEX(Transaksi!$I$2:$I$2001,K351)),""))</f>
        <v/>
      </c>
      <c r="F351" s="33">
        <f>IF(J351="H",SUMIFS(Transaksi!$J$2:$J$2001,Transaksi!$M$2:$M$2001,"="&amp;S351),IF(J351="E",IF(INDEX(Transaksi!$J$2:$J$2001,K351)=0,"",INDEX(Transaksi!$J$2:$J$2001,K351)),""))</f>
        <v/>
      </c>
      <c r="G351" s="33">
        <f>IF(J351="H",(SUMIFS(Transaksi!$G$2:$G$2001,Transaksi!$M$2:$M$2001,"&lt;="&amp;S351)+SUMIFS(Transaksi!$H$2:$H$2001,Transaksi!$M$2:$M$2001,"&lt;="&amp;S351)+SUMIFS(Transaksi!$I$2:$I$2001,Transaksi!$M$2:$M$2001,"&lt;="&amp;S351))-(SUMIFS(Transaksi!$J$2:$J$2001,Transaksi!$M$2:$M$2001,"&lt;="&amp;S351)),"")</f>
        <v/>
      </c>
      <c r="I351">
        <f>IF(348&gt;$O$2,"",MATCH(348,$Q$3:$Q$402,1))</f>
        <v/>
      </c>
      <c r="J351">
        <f>IF(I351="","",IF(348=INDEX($Q$3:$Q$402,I351),"H","E"))</f>
        <v/>
      </c>
      <c r="K351">
        <f>IF(J351&lt;&gt;"E","",MATCH(S351,Transaksi!$M$2:$M$2001,0)+348-INDEX($Q$3:$Q$402,I351)-1)</f>
        <v/>
      </c>
      <c r="N351" t="n">
        <v>349</v>
      </c>
      <c r="O351">
        <f>IF(N351&lt;=$O$1,$O$1-N351+1,"")</f>
        <v/>
      </c>
      <c r="P351">
        <f>IF(O351="",0,COUNTIF(Transaksi!$M$2:$M$2001,O351)+1)</f>
        <v/>
      </c>
      <c r="Q351">
        <f>1+SUM(P$2:P350)</f>
        <v/>
      </c>
      <c r="S351">
        <f>IF(I351="","",INDEX($O$3:$O$402,I351))</f>
        <v/>
      </c>
      <c r="T351">
        <f>IF(J351&lt;&gt;"H","",INDEX(Transaksi!$A$2:$A$2001,MATCH(S351,Transaksi!$M$2:$M$2001,0)))</f>
        <v/>
      </c>
    </row>
    <row r="352">
      <c r="A352" s="31">
        <f>IF(J352="E",IF(INDEX(Transaksi!$J$2:$J$2001,K352)&gt;0,"↑","↓"),"")</f>
        <v/>
      </c>
      <c r="B352" s="32">
        <f>IF(J352="H",CHOOSE(WEEKDAY(T352,2),"Isnin","Selasa","Rabu","Khamis","Jumaat","Sabtu","Ahad")&amp;", "&amp;DAY(T352)&amp;" "&amp;CHOOSE(MONTH(T352),"Jan","Feb","Mac","Apr","Mei","Jun","Jul","Ogo","Sep","Okt","Nov","Dis")&amp;" "&amp;YEAR(T352),IF(J352="E",IF(INDEX(Transaksi!$B$2:$B$2001,K352)="",INDEX(Transaksi!$C$2:$C$2001,K352)&amp;" · "&amp;INDEX(Transaksi!$D$2:$D$2001,K352),INDEX(Transaksi!$B$2:$B$2001,K352)),""))</f>
        <v/>
      </c>
      <c r="C352" s="32">
        <f>IF(J352="E",INDEX(Transaksi!$C$2:$C$2001,K352)&amp;"","")</f>
        <v/>
      </c>
      <c r="D352" s="32">
        <f>IF(J352="E",INDEX(Transaksi!$D$2:$D$2001,K352)&amp;"","")</f>
        <v/>
      </c>
      <c r="E352" s="33">
        <f>IF(J352="H",SUMIFS(Transaksi!$G$2:$G$2001,Transaksi!$M$2:$M$2001,"="&amp;S352)+SUMIFS(Transaksi!$H$2:$H$2001,Transaksi!$M$2:$M$2001,"="&amp;S352)+SUMIFS(Transaksi!$I$2:$I$2001,Transaksi!$M$2:$M$2001,"="&amp;S352),IF(J352="E",IF(INDEX(Transaksi!$G$2:$G$2001,K352)+INDEX(Transaksi!$H$2:$H$2001,K352)+INDEX(Transaksi!$I$2:$I$2001,K352)=0,"",INDEX(Transaksi!$G$2:$G$2001,K352)+INDEX(Transaksi!$H$2:$H$2001,K352)+INDEX(Transaksi!$I$2:$I$2001,K352)),""))</f>
        <v/>
      </c>
      <c r="F352" s="33">
        <f>IF(J352="H",SUMIFS(Transaksi!$J$2:$J$2001,Transaksi!$M$2:$M$2001,"="&amp;S352),IF(J352="E",IF(INDEX(Transaksi!$J$2:$J$2001,K352)=0,"",INDEX(Transaksi!$J$2:$J$2001,K352)),""))</f>
        <v/>
      </c>
      <c r="G352" s="33">
        <f>IF(J352="H",(SUMIFS(Transaksi!$G$2:$G$2001,Transaksi!$M$2:$M$2001,"&lt;="&amp;S352)+SUMIFS(Transaksi!$H$2:$H$2001,Transaksi!$M$2:$M$2001,"&lt;="&amp;S352)+SUMIFS(Transaksi!$I$2:$I$2001,Transaksi!$M$2:$M$2001,"&lt;="&amp;S352))-(SUMIFS(Transaksi!$J$2:$J$2001,Transaksi!$M$2:$M$2001,"&lt;="&amp;S352)),"")</f>
        <v/>
      </c>
      <c r="I352">
        <f>IF(349&gt;$O$2,"",MATCH(349,$Q$3:$Q$402,1))</f>
        <v/>
      </c>
      <c r="J352">
        <f>IF(I352="","",IF(349=INDEX($Q$3:$Q$402,I352),"H","E"))</f>
        <v/>
      </c>
      <c r="K352">
        <f>IF(J352&lt;&gt;"E","",MATCH(S352,Transaksi!$M$2:$M$2001,0)+349-INDEX($Q$3:$Q$402,I352)-1)</f>
        <v/>
      </c>
      <c r="N352" t="n">
        <v>350</v>
      </c>
      <c r="O352">
        <f>IF(N352&lt;=$O$1,$O$1-N352+1,"")</f>
        <v/>
      </c>
      <c r="P352">
        <f>IF(O352="",0,COUNTIF(Transaksi!$M$2:$M$2001,O352)+1)</f>
        <v/>
      </c>
      <c r="Q352">
        <f>1+SUM(P$2:P351)</f>
        <v/>
      </c>
      <c r="S352">
        <f>IF(I352="","",INDEX($O$3:$O$402,I352))</f>
        <v/>
      </c>
      <c r="T352">
        <f>IF(J352&lt;&gt;"H","",INDEX(Transaksi!$A$2:$A$2001,MATCH(S352,Transaksi!$M$2:$M$2001,0)))</f>
        <v/>
      </c>
    </row>
    <row r="353">
      <c r="A353" s="31">
        <f>IF(J353="E",IF(INDEX(Transaksi!$J$2:$J$2001,K353)&gt;0,"↑","↓"),"")</f>
        <v/>
      </c>
      <c r="B353" s="32">
        <f>IF(J353="H",CHOOSE(WEEKDAY(T353,2),"Isnin","Selasa","Rabu","Khamis","Jumaat","Sabtu","Ahad")&amp;", "&amp;DAY(T353)&amp;" "&amp;CHOOSE(MONTH(T353),"Jan","Feb","Mac","Apr","Mei","Jun","Jul","Ogo","Sep","Okt","Nov","Dis")&amp;" "&amp;YEAR(T353),IF(J353="E",IF(INDEX(Transaksi!$B$2:$B$2001,K353)="",INDEX(Transaksi!$C$2:$C$2001,K353)&amp;" · "&amp;INDEX(Transaksi!$D$2:$D$2001,K353),INDEX(Transaksi!$B$2:$B$2001,K353)),""))</f>
        <v/>
      </c>
      <c r="C353" s="32">
        <f>IF(J353="E",INDEX(Transaksi!$C$2:$C$2001,K353)&amp;"","")</f>
        <v/>
      </c>
      <c r="D353" s="32">
        <f>IF(J353="E",INDEX(Transaksi!$D$2:$D$2001,K353)&amp;"","")</f>
        <v/>
      </c>
      <c r="E353" s="33">
        <f>IF(J353="H",SUMIFS(Transaksi!$G$2:$G$2001,Transaksi!$M$2:$M$2001,"="&amp;S353)+SUMIFS(Transaksi!$H$2:$H$2001,Transaksi!$M$2:$M$2001,"="&amp;S353)+SUMIFS(Transaksi!$I$2:$I$2001,Transaksi!$M$2:$M$2001,"="&amp;S353),IF(J353="E",IF(INDEX(Transaksi!$G$2:$G$2001,K353)+INDEX(Transaksi!$H$2:$H$2001,K353)+INDEX(Transaksi!$I$2:$I$2001,K353)=0,"",INDEX(Transaksi!$G$2:$G$2001,K353)+INDEX(Transaksi!$H$2:$H$2001,K353)+INDEX(Transaksi!$I$2:$I$2001,K353)),""))</f>
        <v/>
      </c>
      <c r="F353" s="33">
        <f>IF(J353="H",SUMIFS(Transaksi!$J$2:$J$2001,Transaksi!$M$2:$M$2001,"="&amp;S353),IF(J353="E",IF(INDEX(Transaksi!$J$2:$J$2001,K353)=0,"",INDEX(Transaksi!$J$2:$J$2001,K353)),""))</f>
        <v/>
      </c>
      <c r="G353" s="33">
        <f>IF(J353="H",(SUMIFS(Transaksi!$G$2:$G$2001,Transaksi!$M$2:$M$2001,"&lt;="&amp;S353)+SUMIFS(Transaksi!$H$2:$H$2001,Transaksi!$M$2:$M$2001,"&lt;="&amp;S353)+SUMIFS(Transaksi!$I$2:$I$2001,Transaksi!$M$2:$M$2001,"&lt;="&amp;S353))-(SUMIFS(Transaksi!$J$2:$J$2001,Transaksi!$M$2:$M$2001,"&lt;="&amp;S353)),"")</f>
        <v/>
      </c>
      <c r="I353">
        <f>IF(350&gt;$O$2,"",MATCH(350,$Q$3:$Q$402,1))</f>
        <v/>
      </c>
      <c r="J353">
        <f>IF(I353="","",IF(350=INDEX($Q$3:$Q$402,I353),"H","E"))</f>
        <v/>
      </c>
      <c r="K353">
        <f>IF(J353&lt;&gt;"E","",MATCH(S353,Transaksi!$M$2:$M$2001,0)+350-INDEX($Q$3:$Q$402,I353)-1)</f>
        <v/>
      </c>
      <c r="N353" t="n">
        <v>351</v>
      </c>
      <c r="O353">
        <f>IF(N353&lt;=$O$1,$O$1-N353+1,"")</f>
        <v/>
      </c>
      <c r="P353">
        <f>IF(O353="",0,COUNTIF(Transaksi!$M$2:$M$2001,O353)+1)</f>
        <v/>
      </c>
      <c r="Q353">
        <f>1+SUM(P$2:P352)</f>
        <v/>
      </c>
      <c r="S353">
        <f>IF(I353="","",INDEX($O$3:$O$402,I353))</f>
        <v/>
      </c>
      <c r="T353">
        <f>IF(J353&lt;&gt;"H","",INDEX(Transaksi!$A$2:$A$2001,MATCH(S353,Transaksi!$M$2:$M$2001,0)))</f>
        <v/>
      </c>
    </row>
    <row r="354">
      <c r="A354" s="31">
        <f>IF(J354="E",IF(INDEX(Transaksi!$J$2:$J$2001,K354)&gt;0,"↑","↓"),"")</f>
        <v/>
      </c>
      <c r="B354" s="32">
        <f>IF(J354="H",CHOOSE(WEEKDAY(T354,2),"Isnin","Selasa","Rabu","Khamis","Jumaat","Sabtu","Ahad")&amp;", "&amp;DAY(T354)&amp;" "&amp;CHOOSE(MONTH(T354),"Jan","Feb","Mac","Apr","Mei","Jun","Jul","Ogo","Sep","Okt","Nov","Dis")&amp;" "&amp;YEAR(T354),IF(J354="E",IF(INDEX(Transaksi!$B$2:$B$2001,K354)="",INDEX(Transaksi!$C$2:$C$2001,K354)&amp;" · "&amp;INDEX(Transaksi!$D$2:$D$2001,K354),INDEX(Transaksi!$B$2:$B$2001,K354)),""))</f>
        <v/>
      </c>
      <c r="C354" s="32">
        <f>IF(J354="E",INDEX(Transaksi!$C$2:$C$2001,K354)&amp;"","")</f>
        <v/>
      </c>
      <c r="D354" s="32">
        <f>IF(J354="E",INDEX(Transaksi!$D$2:$D$2001,K354)&amp;"","")</f>
        <v/>
      </c>
      <c r="E354" s="33">
        <f>IF(J354="H",SUMIFS(Transaksi!$G$2:$G$2001,Transaksi!$M$2:$M$2001,"="&amp;S354)+SUMIFS(Transaksi!$H$2:$H$2001,Transaksi!$M$2:$M$2001,"="&amp;S354)+SUMIFS(Transaksi!$I$2:$I$2001,Transaksi!$M$2:$M$2001,"="&amp;S354),IF(J354="E",IF(INDEX(Transaksi!$G$2:$G$2001,K354)+INDEX(Transaksi!$H$2:$H$2001,K354)+INDEX(Transaksi!$I$2:$I$2001,K354)=0,"",INDEX(Transaksi!$G$2:$G$2001,K354)+INDEX(Transaksi!$H$2:$H$2001,K354)+INDEX(Transaksi!$I$2:$I$2001,K354)),""))</f>
        <v/>
      </c>
      <c r="F354" s="33">
        <f>IF(J354="H",SUMIFS(Transaksi!$J$2:$J$2001,Transaksi!$M$2:$M$2001,"="&amp;S354),IF(J354="E",IF(INDEX(Transaksi!$J$2:$J$2001,K354)=0,"",INDEX(Transaksi!$J$2:$J$2001,K354)),""))</f>
        <v/>
      </c>
      <c r="G354" s="33">
        <f>IF(J354="H",(SUMIFS(Transaksi!$G$2:$G$2001,Transaksi!$M$2:$M$2001,"&lt;="&amp;S354)+SUMIFS(Transaksi!$H$2:$H$2001,Transaksi!$M$2:$M$2001,"&lt;="&amp;S354)+SUMIFS(Transaksi!$I$2:$I$2001,Transaksi!$M$2:$M$2001,"&lt;="&amp;S354))-(SUMIFS(Transaksi!$J$2:$J$2001,Transaksi!$M$2:$M$2001,"&lt;="&amp;S354)),"")</f>
        <v/>
      </c>
      <c r="I354">
        <f>IF(351&gt;$O$2,"",MATCH(351,$Q$3:$Q$402,1))</f>
        <v/>
      </c>
      <c r="J354">
        <f>IF(I354="","",IF(351=INDEX($Q$3:$Q$402,I354),"H","E"))</f>
        <v/>
      </c>
      <c r="K354">
        <f>IF(J354&lt;&gt;"E","",MATCH(S354,Transaksi!$M$2:$M$2001,0)+351-INDEX($Q$3:$Q$402,I354)-1)</f>
        <v/>
      </c>
      <c r="N354" t="n">
        <v>352</v>
      </c>
      <c r="O354">
        <f>IF(N354&lt;=$O$1,$O$1-N354+1,"")</f>
        <v/>
      </c>
      <c r="P354">
        <f>IF(O354="",0,COUNTIF(Transaksi!$M$2:$M$2001,O354)+1)</f>
        <v/>
      </c>
      <c r="Q354">
        <f>1+SUM(P$2:P353)</f>
        <v/>
      </c>
      <c r="S354">
        <f>IF(I354="","",INDEX($O$3:$O$402,I354))</f>
        <v/>
      </c>
      <c r="T354">
        <f>IF(J354&lt;&gt;"H","",INDEX(Transaksi!$A$2:$A$2001,MATCH(S354,Transaksi!$M$2:$M$2001,0)))</f>
        <v/>
      </c>
    </row>
    <row r="355">
      <c r="A355" s="31">
        <f>IF(J355="E",IF(INDEX(Transaksi!$J$2:$J$2001,K355)&gt;0,"↑","↓"),"")</f>
        <v/>
      </c>
      <c r="B355" s="32">
        <f>IF(J355="H",CHOOSE(WEEKDAY(T355,2),"Isnin","Selasa","Rabu","Khamis","Jumaat","Sabtu","Ahad")&amp;", "&amp;DAY(T355)&amp;" "&amp;CHOOSE(MONTH(T355),"Jan","Feb","Mac","Apr","Mei","Jun","Jul","Ogo","Sep","Okt","Nov","Dis")&amp;" "&amp;YEAR(T355),IF(J355="E",IF(INDEX(Transaksi!$B$2:$B$2001,K355)="",INDEX(Transaksi!$C$2:$C$2001,K355)&amp;" · "&amp;INDEX(Transaksi!$D$2:$D$2001,K355),INDEX(Transaksi!$B$2:$B$2001,K355)),""))</f>
        <v/>
      </c>
      <c r="C355" s="32">
        <f>IF(J355="E",INDEX(Transaksi!$C$2:$C$2001,K355)&amp;"","")</f>
        <v/>
      </c>
      <c r="D355" s="32">
        <f>IF(J355="E",INDEX(Transaksi!$D$2:$D$2001,K355)&amp;"","")</f>
        <v/>
      </c>
      <c r="E355" s="33">
        <f>IF(J355="H",SUMIFS(Transaksi!$G$2:$G$2001,Transaksi!$M$2:$M$2001,"="&amp;S355)+SUMIFS(Transaksi!$H$2:$H$2001,Transaksi!$M$2:$M$2001,"="&amp;S355)+SUMIFS(Transaksi!$I$2:$I$2001,Transaksi!$M$2:$M$2001,"="&amp;S355),IF(J355="E",IF(INDEX(Transaksi!$G$2:$G$2001,K355)+INDEX(Transaksi!$H$2:$H$2001,K355)+INDEX(Transaksi!$I$2:$I$2001,K355)=0,"",INDEX(Transaksi!$G$2:$G$2001,K355)+INDEX(Transaksi!$H$2:$H$2001,K355)+INDEX(Transaksi!$I$2:$I$2001,K355)),""))</f>
        <v/>
      </c>
      <c r="F355" s="33">
        <f>IF(J355="H",SUMIFS(Transaksi!$J$2:$J$2001,Transaksi!$M$2:$M$2001,"="&amp;S355),IF(J355="E",IF(INDEX(Transaksi!$J$2:$J$2001,K355)=0,"",INDEX(Transaksi!$J$2:$J$2001,K355)),""))</f>
        <v/>
      </c>
      <c r="G355" s="33">
        <f>IF(J355="H",(SUMIFS(Transaksi!$G$2:$G$2001,Transaksi!$M$2:$M$2001,"&lt;="&amp;S355)+SUMIFS(Transaksi!$H$2:$H$2001,Transaksi!$M$2:$M$2001,"&lt;="&amp;S355)+SUMIFS(Transaksi!$I$2:$I$2001,Transaksi!$M$2:$M$2001,"&lt;="&amp;S355))-(SUMIFS(Transaksi!$J$2:$J$2001,Transaksi!$M$2:$M$2001,"&lt;="&amp;S355)),"")</f>
        <v/>
      </c>
      <c r="I355">
        <f>IF(352&gt;$O$2,"",MATCH(352,$Q$3:$Q$402,1))</f>
        <v/>
      </c>
      <c r="J355">
        <f>IF(I355="","",IF(352=INDEX($Q$3:$Q$402,I355),"H","E"))</f>
        <v/>
      </c>
      <c r="K355">
        <f>IF(J355&lt;&gt;"E","",MATCH(S355,Transaksi!$M$2:$M$2001,0)+352-INDEX($Q$3:$Q$402,I355)-1)</f>
        <v/>
      </c>
      <c r="N355" t="n">
        <v>353</v>
      </c>
      <c r="O355">
        <f>IF(N355&lt;=$O$1,$O$1-N355+1,"")</f>
        <v/>
      </c>
      <c r="P355">
        <f>IF(O355="",0,COUNTIF(Transaksi!$M$2:$M$2001,O355)+1)</f>
        <v/>
      </c>
      <c r="Q355">
        <f>1+SUM(P$2:P354)</f>
        <v/>
      </c>
      <c r="S355">
        <f>IF(I355="","",INDEX($O$3:$O$402,I355))</f>
        <v/>
      </c>
      <c r="T355">
        <f>IF(J355&lt;&gt;"H","",INDEX(Transaksi!$A$2:$A$2001,MATCH(S355,Transaksi!$M$2:$M$2001,0)))</f>
        <v/>
      </c>
    </row>
    <row r="356">
      <c r="A356" s="31">
        <f>IF(J356="E",IF(INDEX(Transaksi!$J$2:$J$2001,K356)&gt;0,"↑","↓"),"")</f>
        <v/>
      </c>
      <c r="B356" s="32">
        <f>IF(J356="H",CHOOSE(WEEKDAY(T356,2),"Isnin","Selasa","Rabu","Khamis","Jumaat","Sabtu","Ahad")&amp;", "&amp;DAY(T356)&amp;" "&amp;CHOOSE(MONTH(T356),"Jan","Feb","Mac","Apr","Mei","Jun","Jul","Ogo","Sep","Okt","Nov","Dis")&amp;" "&amp;YEAR(T356),IF(J356="E",IF(INDEX(Transaksi!$B$2:$B$2001,K356)="",INDEX(Transaksi!$C$2:$C$2001,K356)&amp;" · "&amp;INDEX(Transaksi!$D$2:$D$2001,K356),INDEX(Transaksi!$B$2:$B$2001,K356)),""))</f>
        <v/>
      </c>
      <c r="C356" s="32">
        <f>IF(J356="E",INDEX(Transaksi!$C$2:$C$2001,K356)&amp;"","")</f>
        <v/>
      </c>
      <c r="D356" s="32">
        <f>IF(J356="E",INDEX(Transaksi!$D$2:$D$2001,K356)&amp;"","")</f>
        <v/>
      </c>
      <c r="E356" s="33">
        <f>IF(J356="H",SUMIFS(Transaksi!$G$2:$G$2001,Transaksi!$M$2:$M$2001,"="&amp;S356)+SUMIFS(Transaksi!$H$2:$H$2001,Transaksi!$M$2:$M$2001,"="&amp;S356)+SUMIFS(Transaksi!$I$2:$I$2001,Transaksi!$M$2:$M$2001,"="&amp;S356),IF(J356="E",IF(INDEX(Transaksi!$G$2:$G$2001,K356)+INDEX(Transaksi!$H$2:$H$2001,K356)+INDEX(Transaksi!$I$2:$I$2001,K356)=0,"",INDEX(Transaksi!$G$2:$G$2001,K356)+INDEX(Transaksi!$H$2:$H$2001,K356)+INDEX(Transaksi!$I$2:$I$2001,K356)),""))</f>
        <v/>
      </c>
      <c r="F356" s="33">
        <f>IF(J356="H",SUMIFS(Transaksi!$J$2:$J$2001,Transaksi!$M$2:$M$2001,"="&amp;S356),IF(J356="E",IF(INDEX(Transaksi!$J$2:$J$2001,K356)=0,"",INDEX(Transaksi!$J$2:$J$2001,K356)),""))</f>
        <v/>
      </c>
      <c r="G356" s="33">
        <f>IF(J356="H",(SUMIFS(Transaksi!$G$2:$G$2001,Transaksi!$M$2:$M$2001,"&lt;="&amp;S356)+SUMIFS(Transaksi!$H$2:$H$2001,Transaksi!$M$2:$M$2001,"&lt;="&amp;S356)+SUMIFS(Transaksi!$I$2:$I$2001,Transaksi!$M$2:$M$2001,"&lt;="&amp;S356))-(SUMIFS(Transaksi!$J$2:$J$2001,Transaksi!$M$2:$M$2001,"&lt;="&amp;S356)),"")</f>
        <v/>
      </c>
      <c r="I356">
        <f>IF(353&gt;$O$2,"",MATCH(353,$Q$3:$Q$402,1))</f>
        <v/>
      </c>
      <c r="J356">
        <f>IF(I356="","",IF(353=INDEX($Q$3:$Q$402,I356),"H","E"))</f>
        <v/>
      </c>
      <c r="K356">
        <f>IF(J356&lt;&gt;"E","",MATCH(S356,Transaksi!$M$2:$M$2001,0)+353-INDEX($Q$3:$Q$402,I356)-1)</f>
        <v/>
      </c>
      <c r="N356" t="n">
        <v>354</v>
      </c>
      <c r="O356">
        <f>IF(N356&lt;=$O$1,$O$1-N356+1,"")</f>
        <v/>
      </c>
      <c r="P356">
        <f>IF(O356="",0,COUNTIF(Transaksi!$M$2:$M$2001,O356)+1)</f>
        <v/>
      </c>
      <c r="Q356">
        <f>1+SUM(P$2:P355)</f>
        <v/>
      </c>
      <c r="S356">
        <f>IF(I356="","",INDEX($O$3:$O$402,I356))</f>
        <v/>
      </c>
      <c r="T356">
        <f>IF(J356&lt;&gt;"H","",INDEX(Transaksi!$A$2:$A$2001,MATCH(S356,Transaksi!$M$2:$M$2001,0)))</f>
        <v/>
      </c>
    </row>
    <row r="357">
      <c r="A357" s="31">
        <f>IF(J357="E",IF(INDEX(Transaksi!$J$2:$J$2001,K357)&gt;0,"↑","↓"),"")</f>
        <v/>
      </c>
      <c r="B357" s="32">
        <f>IF(J357="H",CHOOSE(WEEKDAY(T357,2),"Isnin","Selasa","Rabu","Khamis","Jumaat","Sabtu","Ahad")&amp;", "&amp;DAY(T357)&amp;" "&amp;CHOOSE(MONTH(T357),"Jan","Feb","Mac","Apr","Mei","Jun","Jul","Ogo","Sep","Okt","Nov","Dis")&amp;" "&amp;YEAR(T357),IF(J357="E",IF(INDEX(Transaksi!$B$2:$B$2001,K357)="",INDEX(Transaksi!$C$2:$C$2001,K357)&amp;" · "&amp;INDEX(Transaksi!$D$2:$D$2001,K357),INDEX(Transaksi!$B$2:$B$2001,K357)),""))</f>
        <v/>
      </c>
      <c r="C357" s="32">
        <f>IF(J357="E",INDEX(Transaksi!$C$2:$C$2001,K357)&amp;"","")</f>
        <v/>
      </c>
      <c r="D357" s="32">
        <f>IF(J357="E",INDEX(Transaksi!$D$2:$D$2001,K357)&amp;"","")</f>
        <v/>
      </c>
      <c r="E357" s="33">
        <f>IF(J357="H",SUMIFS(Transaksi!$G$2:$G$2001,Transaksi!$M$2:$M$2001,"="&amp;S357)+SUMIFS(Transaksi!$H$2:$H$2001,Transaksi!$M$2:$M$2001,"="&amp;S357)+SUMIFS(Transaksi!$I$2:$I$2001,Transaksi!$M$2:$M$2001,"="&amp;S357),IF(J357="E",IF(INDEX(Transaksi!$G$2:$G$2001,K357)+INDEX(Transaksi!$H$2:$H$2001,K357)+INDEX(Transaksi!$I$2:$I$2001,K357)=0,"",INDEX(Transaksi!$G$2:$G$2001,K357)+INDEX(Transaksi!$H$2:$H$2001,K357)+INDEX(Transaksi!$I$2:$I$2001,K357)),""))</f>
        <v/>
      </c>
      <c r="F357" s="33">
        <f>IF(J357="H",SUMIFS(Transaksi!$J$2:$J$2001,Transaksi!$M$2:$M$2001,"="&amp;S357),IF(J357="E",IF(INDEX(Transaksi!$J$2:$J$2001,K357)=0,"",INDEX(Transaksi!$J$2:$J$2001,K357)),""))</f>
        <v/>
      </c>
      <c r="G357" s="33">
        <f>IF(J357="H",(SUMIFS(Transaksi!$G$2:$G$2001,Transaksi!$M$2:$M$2001,"&lt;="&amp;S357)+SUMIFS(Transaksi!$H$2:$H$2001,Transaksi!$M$2:$M$2001,"&lt;="&amp;S357)+SUMIFS(Transaksi!$I$2:$I$2001,Transaksi!$M$2:$M$2001,"&lt;="&amp;S357))-(SUMIFS(Transaksi!$J$2:$J$2001,Transaksi!$M$2:$M$2001,"&lt;="&amp;S357)),"")</f>
        <v/>
      </c>
      <c r="I357">
        <f>IF(354&gt;$O$2,"",MATCH(354,$Q$3:$Q$402,1))</f>
        <v/>
      </c>
      <c r="J357">
        <f>IF(I357="","",IF(354=INDEX($Q$3:$Q$402,I357),"H","E"))</f>
        <v/>
      </c>
      <c r="K357">
        <f>IF(J357&lt;&gt;"E","",MATCH(S357,Transaksi!$M$2:$M$2001,0)+354-INDEX($Q$3:$Q$402,I357)-1)</f>
        <v/>
      </c>
      <c r="N357" t="n">
        <v>355</v>
      </c>
      <c r="O357">
        <f>IF(N357&lt;=$O$1,$O$1-N357+1,"")</f>
        <v/>
      </c>
      <c r="P357">
        <f>IF(O357="",0,COUNTIF(Transaksi!$M$2:$M$2001,O357)+1)</f>
        <v/>
      </c>
      <c r="Q357">
        <f>1+SUM(P$2:P356)</f>
        <v/>
      </c>
      <c r="S357">
        <f>IF(I357="","",INDEX($O$3:$O$402,I357))</f>
        <v/>
      </c>
      <c r="T357">
        <f>IF(J357&lt;&gt;"H","",INDEX(Transaksi!$A$2:$A$2001,MATCH(S357,Transaksi!$M$2:$M$2001,0)))</f>
        <v/>
      </c>
    </row>
    <row r="358">
      <c r="A358" s="31">
        <f>IF(J358="E",IF(INDEX(Transaksi!$J$2:$J$2001,K358)&gt;0,"↑","↓"),"")</f>
        <v/>
      </c>
      <c r="B358" s="32">
        <f>IF(J358="H",CHOOSE(WEEKDAY(T358,2),"Isnin","Selasa","Rabu","Khamis","Jumaat","Sabtu","Ahad")&amp;", "&amp;DAY(T358)&amp;" "&amp;CHOOSE(MONTH(T358),"Jan","Feb","Mac","Apr","Mei","Jun","Jul","Ogo","Sep","Okt","Nov","Dis")&amp;" "&amp;YEAR(T358),IF(J358="E",IF(INDEX(Transaksi!$B$2:$B$2001,K358)="",INDEX(Transaksi!$C$2:$C$2001,K358)&amp;" · "&amp;INDEX(Transaksi!$D$2:$D$2001,K358),INDEX(Transaksi!$B$2:$B$2001,K358)),""))</f>
        <v/>
      </c>
      <c r="C358" s="32">
        <f>IF(J358="E",INDEX(Transaksi!$C$2:$C$2001,K358)&amp;"","")</f>
        <v/>
      </c>
      <c r="D358" s="32">
        <f>IF(J358="E",INDEX(Transaksi!$D$2:$D$2001,K358)&amp;"","")</f>
        <v/>
      </c>
      <c r="E358" s="33">
        <f>IF(J358="H",SUMIFS(Transaksi!$G$2:$G$2001,Transaksi!$M$2:$M$2001,"="&amp;S358)+SUMIFS(Transaksi!$H$2:$H$2001,Transaksi!$M$2:$M$2001,"="&amp;S358)+SUMIFS(Transaksi!$I$2:$I$2001,Transaksi!$M$2:$M$2001,"="&amp;S358),IF(J358="E",IF(INDEX(Transaksi!$G$2:$G$2001,K358)+INDEX(Transaksi!$H$2:$H$2001,K358)+INDEX(Transaksi!$I$2:$I$2001,K358)=0,"",INDEX(Transaksi!$G$2:$G$2001,K358)+INDEX(Transaksi!$H$2:$H$2001,K358)+INDEX(Transaksi!$I$2:$I$2001,K358)),""))</f>
        <v/>
      </c>
      <c r="F358" s="33">
        <f>IF(J358="H",SUMIFS(Transaksi!$J$2:$J$2001,Transaksi!$M$2:$M$2001,"="&amp;S358),IF(J358="E",IF(INDEX(Transaksi!$J$2:$J$2001,K358)=0,"",INDEX(Transaksi!$J$2:$J$2001,K358)),""))</f>
        <v/>
      </c>
      <c r="G358" s="33">
        <f>IF(J358="H",(SUMIFS(Transaksi!$G$2:$G$2001,Transaksi!$M$2:$M$2001,"&lt;="&amp;S358)+SUMIFS(Transaksi!$H$2:$H$2001,Transaksi!$M$2:$M$2001,"&lt;="&amp;S358)+SUMIFS(Transaksi!$I$2:$I$2001,Transaksi!$M$2:$M$2001,"&lt;="&amp;S358))-(SUMIFS(Transaksi!$J$2:$J$2001,Transaksi!$M$2:$M$2001,"&lt;="&amp;S358)),"")</f>
        <v/>
      </c>
      <c r="I358">
        <f>IF(355&gt;$O$2,"",MATCH(355,$Q$3:$Q$402,1))</f>
        <v/>
      </c>
      <c r="J358">
        <f>IF(I358="","",IF(355=INDEX($Q$3:$Q$402,I358),"H","E"))</f>
        <v/>
      </c>
      <c r="K358">
        <f>IF(J358&lt;&gt;"E","",MATCH(S358,Transaksi!$M$2:$M$2001,0)+355-INDEX($Q$3:$Q$402,I358)-1)</f>
        <v/>
      </c>
      <c r="N358" t="n">
        <v>356</v>
      </c>
      <c r="O358">
        <f>IF(N358&lt;=$O$1,$O$1-N358+1,"")</f>
        <v/>
      </c>
      <c r="P358">
        <f>IF(O358="",0,COUNTIF(Transaksi!$M$2:$M$2001,O358)+1)</f>
        <v/>
      </c>
      <c r="Q358">
        <f>1+SUM(P$2:P357)</f>
        <v/>
      </c>
      <c r="S358">
        <f>IF(I358="","",INDEX($O$3:$O$402,I358))</f>
        <v/>
      </c>
      <c r="T358">
        <f>IF(J358&lt;&gt;"H","",INDEX(Transaksi!$A$2:$A$2001,MATCH(S358,Transaksi!$M$2:$M$2001,0)))</f>
        <v/>
      </c>
    </row>
    <row r="359">
      <c r="A359" s="31">
        <f>IF(J359="E",IF(INDEX(Transaksi!$J$2:$J$2001,K359)&gt;0,"↑","↓"),"")</f>
        <v/>
      </c>
      <c r="B359" s="32">
        <f>IF(J359="H",CHOOSE(WEEKDAY(T359,2),"Isnin","Selasa","Rabu","Khamis","Jumaat","Sabtu","Ahad")&amp;", "&amp;DAY(T359)&amp;" "&amp;CHOOSE(MONTH(T359),"Jan","Feb","Mac","Apr","Mei","Jun","Jul","Ogo","Sep","Okt","Nov","Dis")&amp;" "&amp;YEAR(T359),IF(J359="E",IF(INDEX(Transaksi!$B$2:$B$2001,K359)="",INDEX(Transaksi!$C$2:$C$2001,K359)&amp;" · "&amp;INDEX(Transaksi!$D$2:$D$2001,K359),INDEX(Transaksi!$B$2:$B$2001,K359)),""))</f>
        <v/>
      </c>
      <c r="C359" s="32">
        <f>IF(J359="E",INDEX(Transaksi!$C$2:$C$2001,K359)&amp;"","")</f>
        <v/>
      </c>
      <c r="D359" s="32">
        <f>IF(J359="E",INDEX(Transaksi!$D$2:$D$2001,K359)&amp;"","")</f>
        <v/>
      </c>
      <c r="E359" s="33">
        <f>IF(J359="H",SUMIFS(Transaksi!$G$2:$G$2001,Transaksi!$M$2:$M$2001,"="&amp;S359)+SUMIFS(Transaksi!$H$2:$H$2001,Transaksi!$M$2:$M$2001,"="&amp;S359)+SUMIFS(Transaksi!$I$2:$I$2001,Transaksi!$M$2:$M$2001,"="&amp;S359),IF(J359="E",IF(INDEX(Transaksi!$G$2:$G$2001,K359)+INDEX(Transaksi!$H$2:$H$2001,K359)+INDEX(Transaksi!$I$2:$I$2001,K359)=0,"",INDEX(Transaksi!$G$2:$G$2001,K359)+INDEX(Transaksi!$H$2:$H$2001,K359)+INDEX(Transaksi!$I$2:$I$2001,K359)),""))</f>
        <v/>
      </c>
      <c r="F359" s="33">
        <f>IF(J359="H",SUMIFS(Transaksi!$J$2:$J$2001,Transaksi!$M$2:$M$2001,"="&amp;S359),IF(J359="E",IF(INDEX(Transaksi!$J$2:$J$2001,K359)=0,"",INDEX(Transaksi!$J$2:$J$2001,K359)),""))</f>
        <v/>
      </c>
      <c r="G359" s="33">
        <f>IF(J359="H",(SUMIFS(Transaksi!$G$2:$G$2001,Transaksi!$M$2:$M$2001,"&lt;="&amp;S359)+SUMIFS(Transaksi!$H$2:$H$2001,Transaksi!$M$2:$M$2001,"&lt;="&amp;S359)+SUMIFS(Transaksi!$I$2:$I$2001,Transaksi!$M$2:$M$2001,"&lt;="&amp;S359))-(SUMIFS(Transaksi!$J$2:$J$2001,Transaksi!$M$2:$M$2001,"&lt;="&amp;S359)),"")</f>
        <v/>
      </c>
      <c r="I359">
        <f>IF(356&gt;$O$2,"",MATCH(356,$Q$3:$Q$402,1))</f>
        <v/>
      </c>
      <c r="J359">
        <f>IF(I359="","",IF(356=INDEX($Q$3:$Q$402,I359),"H","E"))</f>
        <v/>
      </c>
      <c r="K359">
        <f>IF(J359&lt;&gt;"E","",MATCH(S359,Transaksi!$M$2:$M$2001,0)+356-INDEX($Q$3:$Q$402,I359)-1)</f>
        <v/>
      </c>
      <c r="N359" t="n">
        <v>357</v>
      </c>
      <c r="O359">
        <f>IF(N359&lt;=$O$1,$O$1-N359+1,"")</f>
        <v/>
      </c>
      <c r="P359">
        <f>IF(O359="",0,COUNTIF(Transaksi!$M$2:$M$2001,O359)+1)</f>
        <v/>
      </c>
      <c r="Q359">
        <f>1+SUM(P$2:P358)</f>
        <v/>
      </c>
      <c r="S359">
        <f>IF(I359="","",INDEX($O$3:$O$402,I359))</f>
        <v/>
      </c>
      <c r="T359">
        <f>IF(J359&lt;&gt;"H","",INDEX(Transaksi!$A$2:$A$2001,MATCH(S359,Transaksi!$M$2:$M$2001,0)))</f>
        <v/>
      </c>
    </row>
    <row r="360">
      <c r="A360" s="31">
        <f>IF(J360="E",IF(INDEX(Transaksi!$J$2:$J$2001,K360)&gt;0,"↑","↓"),"")</f>
        <v/>
      </c>
      <c r="B360" s="32">
        <f>IF(J360="H",CHOOSE(WEEKDAY(T360,2),"Isnin","Selasa","Rabu","Khamis","Jumaat","Sabtu","Ahad")&amp;", "&amp;DAY(T360)&amp;" "&amp;CHOOSE(MONTH(T360),"Jan","Feb","Mac","Apr","Mei","Jun","Jul","Ogo","Sep","Okt","Nov","Dis")&amp;" "&amp;YEAR(T360),IF(J360="E",IF(INDEX(Transaksi!$B$2:$B$2001,K360)="",INDEX(Transaksi!$C$2:$C$2001,K360)&amp;" · "&amp;INDEX(Transaksi!$D$2:$D$2001,K360),INDEX(Transaksi!$B$2:$B$2001,K360)),""))</f>
        <v/>
      </c>
      <c r="C360" s="32">
        <f>IF(J360="E",INDEX(Transaksi!$C$2:$C$2001,K360)&amp;"","")</f>
        <v/>
      </c>
      <c r="D360" s="32">
        <f>IF(J360="E",INDEX(Transaksi!$D$2:$D$2001,K360)&amp;"","")</f>
        <v/>
      </c>
      <c r="E360" s="33">
        <f>IF(J360="H",SUMIFS(Transaksi!$G$2:$G$2001,Transaksi!$M$2:$M$2001,"="&amp;S360)+SUMIFS(Transaksi!$H$2:$H$2001,Transaksi!$M$2:$M$2001,"="&amp;S360)+SUMIFS(Transaksi!$I$2:$I$2001,Transaksi!$M$2:$M$2001,"="&amp;S360),IF(J360="E",IF(INDEX(Transaksi!$G$2:$G$2001,K360)+INDEX(Transaksi!$H$2:$H$2001,K360)+INDEX(Transaksi!$I$2:$I$2001,K360)=0,"",INDEX(Transaksi!$G$2:$G$2001,K360)+INDEX(Transaksi!$H$2:$H$2001,K360)+INDEX(Transaksi!$I$2:$I$2001,K360)),""))</f>
        <v/>
      </c>
      <c r="F360" s="33">
        <f>IF(J360="H",SUMIFS(Transaksi!$J$2:$J$2001,Transaksi!$M$2:$M$2001,"="&amp;S360),IF(J360="E",IF(INDEX(Transaksi!$J$2:$J$2001,K360)=0,"",INDEX(Transaksi!$J$2:$J$2001,K360)),""))</f>
        <v/>
      </c>
      <c r="G360" s="33">
        <f>IF(J360="H",(SUMIFS(Transaksi!$G$2:$G$2001,Transaksi!$M$2:$M$2001,"&lt;="&amp;S360)+SUMIFS(Transaksi!$H$2:$H$2001,Transaksi!$M$2:$M$2001,"&lt;="&amp;S360)+SUMIFS(Transaksi!$I$2:$I$2001,Transaksi!$M$2:$M$2001,"&lt;="&amp;S360))-(SUMIFS(Transaksi!$J$2:$J$2001,Transaksi!$M$2:$M$2001,"&lt;="&amp;S360)),"")</f>
        <v/>
      </c>
      <c r="I360">
        <f>IF(357&gt;$O$2,"",MATCH(357,$Q$3:$Q$402,1))</f>
        <v/>
      </c>
      <c r="J360">
        <f>IF(I360="","",IF(357=INDEX($Q$3:$Q$402,I360),"H","E"))</f>
        <v/>
      </c>
      <c r="K360">
        <f>IF(J360&lt;&gt;"E","",MATCH(S360,Transaksi!$M$2:$M$2001,0)+357-INDEX($Q$3:$Q$402,I360)-1)</f>
        <v/>
      </c>
      <c r="N360" t="n">
        <v>358</v>
      </c>
      <c r="O360">
        <f>IF(N360&lt;=$O$1,$O$1-N360+1,"")</f>
        <v/>
      </c>
      <c r="P360">
        <f>IF(O360="",0,COUNTIF(Transaksi!$M$2:$M$2001,O360)+1)</f>
        <v/>
      </c>
      <c r="Q360">
        <f>1+SUM(P$2:P359)</f>
        <v/>
      </c>
      <c r="S360">
        <f>IF(I360="","",INDEX($O$3:$O$402,I360))</f>
        <v/>
      </c>
      <c r="T360">
        <f>IF(J360&lt;&gt;"H","",INDEX(Transaksi!$A$2:$A$2001,MATCH(S360,Transaksi!$M$2:$M$2001,0)))</f>
        <v/>
      </c>
    </row>
    <row r="361">
      <c r="A361" s="31">
        <f>IF(J361="E",IF(INDEX(Transaksi!$J$2:$J$2001,K361)&gt;0,"↑","↓"),"")</f>
        <v/>
      </c>
      <c r="B361" s="32">
        <f>IF(J361="H",CHOOSE(WEEKDAY(T361,2),"Isnin","Selasa","Rabu","Khamis","Jumaat","Sabtu","Ahad")&amp;", "&amp;DAY(T361)&amp;" "&amp;CHOOSE(MONTH(T361),"Jan","Feb","Mac","Apr","Mei","Jun","Jul","Ogo","Sep","Okt","Nov","Dis")&amp;" "&amp;YEAR(T361),IF(J361="E",IF(INDEX(Transaksi!$B$2:$B$2001,K361)="",INDEX(Transaksi!$C$2:$C$2001,K361)&amp;" · "&amp;INDEX(Transaksi!$D$2:$D$2001,K361),INDEX(Transaksi!$B$2:$B$2001,K361)),""))</f>
        <v/>
      </c>
      <c r="C361" s="32">
        <f>IF(J361="E",INDEX(Transaksi!$C$2:$C$2001,K361)&amp;"","")</f>
        <v/>
      </c>
      <c r="D361" s="32">
        <f>IF(J361="E",INDEX(Transaksi!$D$2:$D$2001,K361)&amp;"","")</f>
        <v/>
      </c>
      <c r="E361" s="33">
        <f>IF(J361="H",SUMIFS(Transaksi!$G$2:$G$2001,Transaksi!$M$2:$M$2001,"="&amp;S361)+SUMIFS(Transaksi!$H$2:$H$2001,Transaksi!$M$2:$M$2001,"="&amp;S361)+SUMIFS(Transaksi!$I$2:$I$2001,Transaksi!$M$2:$M$2001,"="&amp;S361),IF(J361="E",IF(INDEX(Transaksi!$G$2:$G$2001,K361)+INDEX(Transaksi!$H$2:$H$2001,K361)+INDEX(Transaksi!$I$2:$I$2001,K361)=0,"",INDEX(Transaksi!$G$2:$G$2001,K361)+INDEX(Transaksi!$H$2:$H$2001,K361)+INDEX(Transaksi!$I$2:$I$2001,K361)),""))</f>
        <v/>
      </c>
      <c r="F361" s="33">
        <f>IF(J361="H",SUMIFS(Transaksi!$J$2:$J$2001,Transaksi!$M$2:$M$2001,"="&amp;S361),IF(J361="E",IF(INDEX(Transaksi!$J$2:$J$2001,K361)=0,"",INDEX(Transaksi!$J$2:$J$2001,K361)),""))</f>
        <v/>
      </c>
      <c r="G361" s="33">
        <f>IF(J361="H",(SUMIFS(Transaksi!$G$2:$G$2001,Transaksi!$M$2:$M$2001,"&lt;="&amp;S361)+SUMIFS(Transaksi!$H$2:$H$2001,Transaksi!$M$2:$M$2001,"&lt;="&amp;S361)+SUMIFS(Transaksi!$I$2:$I$2001,Transaksi!$M$2:$M$2001,"&lt;="&amp;S361))-(SUMIFS(Transaksi!$J$2:$J$2001,Transaksi!$M$2:$M$2001,"&lt;="&amp;S361)),"")</f>
        <v/>
      </c>
      <c r="I361">
        <f>IF(358&gt;$O$2,"",MATCH(358,$Q$3:$Q$402,1))</f>
        <v/>
      </c>
      <c r="J361">
        <f>IF(I361="","",IF(358=INDEX($Q$3:$Q$402,I361),"H","E"))</f>
        <v/>
      </c>
      <c r="K361">
        <f>IF(J361&lt;&gt;"E","",MATCH(S361,Transaksi!$M$2:$M$2001,0)+358-INDEX($Q$3:$Q$402,I361)-1)</f>
        <v/>
      </c>
      <c r="N361" t="n">
        <v>359</v>
      </c>
      <c r="O361">
        <f>IF(N361&lt;=$O$1,$O$1-N361+1,"")</f>
        <v/>
      </c>
      <c r="P361">
        <f>IF(O361="",0,COUNTIF(Transaksi!$M$2:$M$2001,O361)+1)</f>
        <v/>
      </c>
      <c r="Q361">
        <f>1+SUM(P$2:P360)</f>
        <v/>
      </c>
      <c r="S361">
        <f>IF(I361="","",INDEX($O$3:$O$402,I361))</f>
        <v/>
      </c>
      <c r="T361">
        <f>IF(J361&lt;&gt;"H","",INDEX(Transaksi!$A$2:$A$2001,MATCH(S361,Transaksi!$M$2:$M$2001,0)))</f>
        <v/>
      </c>
    </row>
    <row r="362">
      <c r="A362" s="31">
        <f>IF(J362="E",IF(INDEX(Transaksi!$J$2:$J$2001,K362)&gt;0,"↑","↓"),"")</f>
        <v/>
      </c>
      <c r="B362" s="32">
        <f>IF(J362="H",CHOOSE(WEEKDAY(T362,2),"Isnin","Selasa","Rabu","Khamis","Jumaat","Sabtu","Ahad")&amp;", "&amp;DAY(T362)&amp;" "&amp;CHOOSE(MONTH(T362),"Jan","Feb","Mac","Apr","Mei","Jun","Jul","Ogo","Sep","Okt","Nov","Dis")&amp;" "&amp;YEAR(T362),IF(J362="E",IF(INDEX(Transaksi!$B$2:$B$2001,K362)="",INDEX(Transaksi!$C$2:$C$2001,K362)&amp;" · "&amp;INDEX(Transaksi!$D$2:$D$2001,K362),INDEX(Transaksi!$B$2:$B$2001,K362)),""))</f>
        <v/>
      </c>
      <c r="C362" s="32">
        <f>IF(J362="E",INDEX(Transaksi!$C$2:$C$2001,K362)&amp;"","")</f>
        <v/>
      </c>
      <c r="D362" s="32">
        <f>IF(J362="E",INDEX(Transaksi!$D$2:$D$2001,K362)&amp;"","")</f>
        <v/>
      </c>
      <c r="E362" s="33">
        <f>IF(J362="H",SUMIFS(Transaksi!$G$2:$G$2001,Transaksi!$M$2:$M$2001,"="&amp;S362)+SUMIFS(Transaksi!$H$2:$H$2001,Transaksi!$M$2:$M$2001,"="&amp;S362)+SUMIFS(Transaksi!$I$2:$I$2001,Transaksi!$M$2:$M$2001,"="&amp;S362),IF(J362="E",IF(INDEX(Transaksi!$G$2:$G$2001,K362)+INDEX(Transaksi!$H$2:$H$2001,K362)+INDEX(Transaksi!$I$2:$I$2001,K362)=0,"",INDEX(Transaksi!$G$2:$G$2001,K362)+INDEX(Transaksi!$H$2:$H$2001,K362)+INDEX(Transaksi!$I$2:$I$2001,K362)),""))</f>
        <v/>
      </c>
      <c r="F362" s="33">
        <f>IF(J362="H",SUMIFS(Transaksi!$J$2:$J$2001,Transaksi!$M$2:$M$2001,"="&amp;S362),IF(J362="E",IF(INDEX(Transaksi!$J$2:$J$2001,K362)=0,"",INDEX(Transaksi!$J$2:$J$2001,K362)),""))</f>
        <v/>
      </c>
      <c r="G362" s="33">
        <f>IF(J362="H",(SUMIFS(Transaksi!$G$2:$G$2001,Transaksi!$M$2:$M$2001,"&lt;="&amp;S362)+SUMIFS(Transaksi!$H$2:$H$2001,Transaksi!$M$2:$M$2001,"&lt;="&amp;S362)+SUMIFS(Transaksi!$I$2:$I$2001,Transaksi!$M$2:$M$2001,"&lt;="&amp;S362))-(SUMIFS(Transaksi!$J$2:$J$2001,Transaksi!$M$2:$M$2001,"&lt;="&amp;S362)),"")</f>
        <v/>
      </c>
      <c r="I362">
        <f>IF(359&gt;$O$2,"",MATCH(359,$Q$3:$Q$402,1))</f>
        <v/>
      </c>
      <c r="J362">
        <f>IF(I362="","",IF(359=INDEX($Q$3:$Q$402,I362),"H","E"))</f>
        <v/>
      </c>
      <c r="K362">
        <f>IF(J362&lt;&gt;"E","",MATCH(S362,Transaksi!$M$2:$M$2001,0)+359-INDEX($Q$3:$Q$402,I362)-1)</f>
        <v/>
      </c>
      <c r="N362" t="n">
        <v>360</v>
      </c>
      <c r="O362">
        <f>IF(N362&lt;=$O$1,$O$1-N362+1,"")</f>
        <v/>
      </c>
      <c r="P362">
        <f>IF(O362="",0,COUNTIF(Transaksi!$M$2:$M$2001,O362)+1)</f>
        <v/>
      </c>
      <c r="Q362">
        <f>1+SUM(P$2:P361)</f>
        <v/>
      </c>
      <c r="S362">
        <f>IF(I362="","",INDEX($O$3:$O$402,I362))</f>
        <v/>
      </c>
      <c r="T362">
        <f>IF(J362&lt;&gt;"H","",INDEX(Transaksi!$A$2:$A$2001,MATCH(S362,Transaksi!$M$2:$M$2001,0)))</f>
        <v/>
      </c>
    </row>
    <row r="363">
      <c r="A363" s="31">
        <f>IF(J363="E",IF(INDEX(Transaksi!$J$2:$J$2001,K363)&gt;0,"↑","↓"),"")</f>
        <v/>
      </c>
      <c r="B363" s="32">
        <f>IF(J363="H",CHOOSE(WEEKDAY(T363,2),"Isnin","Selasa","Rabu","Khamis","Jumaat","Sabtu","Ahad")&amp;", "&amp;DAY(T363)&amp;" "&amp;CHOOSE(MONTH(T363),"Jan","Feb","Mac","Apr","Mei","Jun","Jul","Ogo","Sep","Okt","Nov","Dis")&amp;" "&amp;YEAR(T363),IF(J363="E",IF(INDEX(Transaksi!$B$2:$B$2001,K363)="",INDEX(Transaksi!$C$2:$C$2001,K363)&amp;" · "&amp;INDEX(Transaksi!$D$2:$D$2001,K363),INDEX(Transaksi!$B$2:$B$2001,K363)),""))</f>
        <v/>
      </c>
      <c r="C363" s="32">
        <f>IF(J363="E",INDEX(Transaksi!$C$2:$C$2001,K363)&amp;"","")</f>
        <v/>
      </c>
      <c r="D363" s="32">
        <f>IF(J363="E",INDEX(Transaksi!$D$2:$D$2001,K363)&amp;"","")</f>
        <v/>
      </c>
      <c r="E363" s="33">
        <f>IF(J363="H",SUMIFS(Transaksi!$G$2:$G$2001,Transaksi!$M$2:$M$2001,"="&amp;S363)+SUMIFS(Transaksi!$H$2:$H$2001,Transaksi!$M$2:$M$2001,"="&amp;S363)+SUMIFS(Transaksi!$I$2:$I$2001,Transaksi!$M$2:$M$2001,"="&amp;S363),IF(J363="E",IF(INDEX(Transaksi!$G$2:$G$2001,K363)+INDEX(Transaksi!$H$2:$H$2001,K363)+INDEX(Transaksi!$I$2:$I$2001,K363)=0,"",INDEX(Transaksi!$G$2:$G$2001,K363)+INDEX(Transaksi!$H$2:$H$2001,K363)+INDEX(Transaksi!$I$2:$I$2001,K363)),""))</f>
        <v/>
      </c>
      <c r="F363" s="33">
        <f>IF(J363="H",SUMIFS(Transaksi!$J$2:$J$2001,Transaksi!$M$2:$M$2001,"="&amp;S363),IF(J363="E",IF(INDEX(Transaksi!$J$2:$J$2001,K363)=0,"",INDEX(Transaksi!$J$2:$J$2001,K363)),""))</f>
        <v/>
      </c>
      <c r="G363" s="33">
        <f>IF(J363="H",(SUMIFS(Transaksi!$G$2:$G$2001,Transaksi!$M$2:$M$2001,"&lt;="&amp;S363)+SUMIFS(Transaksi!$H$2:$H$2001,Transaksi!$M$2:$M$2001,"&lt;="&amp;S363)+SUMIFS(Transaksi!$I$2:$I$2001,Transaksi!$M$2:$M$2001,"&lt;="&amp;S363))-(SUMIFS(Transaksi!$J$2:$J$2001,Transaksi!$M$2:$M$2001,"&lt;="&amp;S363)),"")</f>
        <v/>
      </c>
      <c r="I363">
        <f>IF(360&gt;$O$2,"",MATCH(360,$Q$3:$Q$402,1))</f>
        <v/>
      </c>
      <c r="J363">
        <f>IF(I363="","",IF(360=INDEX($Q$3:$Q$402,I363),"H","E"))</f>
        <v/>
      </c>
      <c r="K363">
        <f>IF(J363&lt;&gt;"E","",MATCH(S363,Transaksi!$M$2:$M$2001,0)+360-INDEX($Q$3:$Q$402,I363)-1)</f>
        <v/>
      </c>
      <c r="N363" t="n">
        <v>361</v>
      </c>
      <c r="O363">
        <f>IF(N363&lt;=$O$1,$O$1-N363+1,"")</f>
        <v/>
      </c>
      <c r="P363">
        <f>IF(O363="",0,COUNTIF(Transaksi!$M$2:$M$2001,O363)+1)</f>
        <v/>
      </c>
      <c r="Q363">
        <f>1+SUM(P$2:P362)</f>
        <v/>
      </c>
      <c r="S363">
        <f>IF(I363="","",INDEX($O$3:$O$402,I363))</f>
        <v/>
      </c>
      <c r="T363">
        <f>IF(J363&lt;&gt;"H","",INDEX(Transaksi!$A$2:$A$2001,MATCH(S363,Transaksi!$M$2:$M$2001,0)))</f>
        <v/>
      </c>
    </row>
    <row r="364">
      <c r="A364" s="31">
        <f>IF(J364="E",IF(INDEX(Transaksi!$J$2:$J$2001,K364)&gt;0,"↑","↓"),"")</f>
        <v/>
      </c>
      <c r="B364" s="32">
        <f>IF(J364="H",CHOOSE(WEEKDAY(T364,2),"Isnin","Selasa","Rabu","Khamis","Jumaat","Sabtu","Ahad")&amp;", "&amp;DAY(T364)&amp;" "&amp;CHOOSE(MONTH(T364),"Jan","Feb","Mac","Apr","Mei","Jun","Jul","Ogo","Sep","Okt","Nov","Dis")&amp;" "&amp;YEAR(T364),IF(J364="E",IF(INDEX(Transaksi!$B$2:$B$2001,K364)="",INDEX(Transaksi!$C$2:$C$2001,K364)&amp;" · "&amp;INDEX(Transaksi!$D$2:$D$2001,K364),INDEX(Transaksi!$B$2:$B$2001,K364)),""))</f>
        <v/>
      </c>
      <c r="C364" s="32">
        <f>IF(J364="E",INDEX(Transaksi!$C$2:$C$2001,K364)&amp;"","")</f>
        <v/>
      </c>
      <c r="D364" s="32">
        <f>IF(J364="E",INDEX(Transaksi!$D$2:$D$2001,K364)&amp;"","")</f>
        <v/>
      </c>
      <c r="E364" s="33">
        <f>IF(J364="H",SUMIFS(Transaksi!$G$2:$G$2001,Transaksi!$M$2:$M$2001,"="&amp;S364)+SUMIFS(Transaksi!$H$2:$H$2001,Transaksi!$M$2:$M$2001,"="&amp;S364)+SUMIFS(Transaksi!$I$2:$I$2001,Transaksi!$M$2:$M$2001,"="&amp;S364),IF(J364="E",IF(INDEX(Transaksi!$G$2:$G$2001,K364)+INDEX(Transaksi!$H$2:$H$2001,K364)+INDEX(Transaksi!$I$2:$I$2001,K364)=0,"",INDEX(Transaksi!$G$2:$G$2001,K364)+INDEX(Transaksi!$H$2:$H$2001,K364)+INDEX(Transaksi!$I$2:$I$2001,K364)),""))</f>
        <v/>
      </c>
      <c r="F364" s="33">
        <f>IF(J364="H",SUMIFS(Transaksi!$J$2:$J$2001,Transaksi!$M$2:$M$2001,"="&amp;S364),IF(J364="E",IF(INDEX(Transaksi!$J$2:$J$2001,K364)=0,"",INDEX(Transaksi!$J$2:$J$2001,K364)),""))</f>
        <v/>
      </c>
      <c r="G364" s="33">
        <f>IF(J364="H",(SUMIFS(Transaksi!$G$2:$G$2001,Transaksi!$M$2:$M$2001,"&lt;="&amp;S364)+SUMIFS(Transaksi!$H$2:$H$2001,Transaksi!$M$2:$M$2001,"&lt;="&amp;S364)+SUMIFS(Transaksi!$I$2:$I$2001,Transaksi!$M$2:$M$2001,"&lt;="&amp;S364))-(SUMIFS(Transaksi!$J$2:$J$2001,Transaksi!$M$2:$M$2001,"&lt;="&amp;S364)),"")</f>
        <v/>
      </c>
      <c r="I364">
        <f>IF(361&gt;$O$2,"",MATCH(361,$Q$3:$Q$402,1))</f>
        <v/>
      </c>
      <c r="J364">
        <f>IF(I364="","",IF(361=INDEX($Q$3:$Q$402,I364),"H","E"))</f>
        <v/>
      </c>
      <c r="K364">
        <f>IF(J364&lt;&gt;"E","",MATCH(S364,Transaksi!$M$2:$M$2001,0)+361-INDEX($Q$3:$Q$402,I364)-1)</f>
        <v/>
      </c>
      <c r="N364" t="n">
        <v>362</v>
      </c>
      <c r="O364">
        <f>IF(N364&lt;=$O$1,$O$1-N364+1,"")</f>
        <v/>
      </c>
      <c r="P364">
        <f>IF(O364="",0,COUNTIF(Transaksi!$M$2:$M$2001,O364)+1)</f>
        <v/>
      </c>
      <c r="Q364">
        <f>1+SUM(P$2:P363)</f>
        <v/>
      </c>
      <c r="S364">
        <f>IF(I364="","",INDEX($O$3:$O$402,I364))</f>
        <v/>
      </c>
      <c r="T364">
        <f>IF(J364&lt;&gt;"H","",INDEX(Transaksi!$A$2:$A$2001,MATCH(S364,Transaksi!$M$2:$M$2001,0)))</f>
        <v/>
      </c>
    </row>
    <row r="365">
      <c r="A365" s="31">
        <f>IF(J365="E",IF(INDEX(Transaksi!$J$2:$J$2001,K365)&gt;0,"↑","↓"),"")</f>
        <v/>
      </c>
      <c r="B365" s="32">
        <f>IF(J365="H",CHOOSE(WEEKDAY(T365,2),"Isnin","Selasa","Rabu","Khamis","Jumaat","Sabtu","Ahad")&amp;", "&amp;DAY(T365)&amp;" "&amp;CHOOSE(MONTH(T365),"Jan","Feb","Mac","Apr","Mei","Jun","Jul","Ogo","Sep","Okt","Nov","Dis")&amp;" "&amp;YEAR(T365),IF(J365="E",IF(INDEX(Transaksi!$B$2:$B$2001,K365)="",INDEX(Transaksi!$C$2:$C$2001,K365)&amp;" · "&amp;INDEX(Transaksi!$D$2:$D$2001,K365),INDEX(Transaksi!$B$2:$B$2001,K365)),""))</f>
        <v/>
      </c>
      <c r="C365" s="32">
        <f>IF(J365="E",INDEX(Transaksi!$C$2:$C$2001,K365)&amp;"","")</f>
        <v/>
      </c>
      <c r="D365" s="32">
        <f>IF(J365="E",INDEX(Transaksi!$D$2:$D$2001,K365)&amp;"","")</f>
        <v/>
      </c>
      <c r="E365" s="33">
        <f>IF(J365="H",SUMIFS(Transaksi!$G$2:$G$2001,Transaksi!$M$2:$M$2001,"="&amp;S365)+SUMIFS(Transaksi!$H$2:$H$2001,Transaksi!$M$2:$M$2001,"="&amp;S365)+SUMIFS(Transaksi!$I$2:$I$2001,Transaksi!$M$2:$M$2001,"="&amp;S365),IF(J365="E",IF(INDEX(Transaksi!$G$2:$G$2001,K365)+INDEX(Transaksi!$H$2:$H$2001,K365)+INDEX(Transaksi!$I$2:$I$2001,K365)=0,"",INDEX(Transaksi!$G$2:$G$2001,K365)+INDEX(Transaksi!$H$2:$H$2001,K365)+INDEX(Transaksi!$I$2:$I$2001,K365)),""))</f>
        <v/>
      </c>
      <c r="F365" s="33">
        <f>IF(J365="H",SUMIFS(Transaksi!$J$2:$J$2001,Transaksi!$M$2:$M$2001,"="&amp;S365),IF(J365="E",IF(INDEX(Transaksi!$J$2:$J$2001,K365)=0,"",INDEX(Transaksi!$J$2:$J$2001,K365)),""))</f>
        <v/>
      </c>
      <c r="G365" s="33">
        <f>IF(J365="H",(SUMIFS(Transaksi!$G$2:$G$2001,Transaksi!$M$2:$M$2001,"&lt;="&amp;S365)+SUMIFS(Transaksi!$H$2:$H$2001,Transaksi!$M$2:$M$2001,"&lt;="&amp;S365)+SUMIFS(Transaksi!$I$2:$I$2001,Transaksi!$M$2:$M$2001,"&lt;="&amp;S365))-(SUMIFS(Transaksi!$J$2:$J$2001,Transaksi!$M$2:$M$2001,"&lt;="&amp;S365)),"")</f>
        <v/>
      </c>
      <c r="I365">
        <f>IF(362&gt;$O$2,"",MATCH(362,$Q$3:$Q$402,1))</f>
        <v/>
      </c>
      <c r="J365">
        <f>IF(I365="","",IF(362=INDEX($Q$3:$Q$402,I365),"H","E"))</f>
        <v/>
      </c>
      <c r="K365">
        <f>IF(J365&lt;&gt;"E","",MATCH(S365,Transaksi!$M$2:$M$2001,0)+362-INDEX($Q$3:$Q$402,I365)-1)</f>
        <v/>
      </c>
      <c r="N365" t="n">
        <v>363</v>
      </c>
      <c r="O365">
        <f>IF(N365&lt;=$O$1,$O$1-N365+1,"")</f>
        <v/>
      </c>
      <c r="P365">
        <f>IF(O365="",0,COUNTIF(Transaksi!$M$2:$M$2001,O365)+1)</f>
        <v/>
      </c>
      <c r="Q365">
        <f>1+SUM(P$2:P364)</f>
        <v/>
      </c>
      <c r="S365">
        <f>IF(I365="","",INDEX($O$3:$O$402,I365))</f>
        <v/>
      </c>
      <c r="T365">
        <f>IF(J365&lt;&gt;"H","",INDEX(Transaksi!$A$2:$A$2001,MATCH(S365,Transaksi!$M$2:$M$2001,0)))</f>
        <v/>
      </c>
    </row>
    <row r="366">
      <c r="A366" s="31">
        <f>IF(J366="E",IF(INDEX(Transaksi!$J$2:$J$2001,K366)&gt;0,"↑","↓"),"")</f>
        <v/>
      </c>
      <c r="B366" s="32">
        <f>IF(J366="H",CHOOSE(WEEKDAY(T366,2),"Isnin","Selasa","Rabu","Khamis","Jumaat","Sabtu","Ahad")&amp;", "&amp;DAY(T366)&amp;" "&amp;CHOOSE(MONTH(T366),"Jan","Feb","Mac","Apr","Mei","Jun","Jul","Ogo","Sep","Okt","Nov","Dis")&amp;" "&amp;YEAR(T366),IF(J366="E",IF(INDEX(Transaksi!$B$2:$B$2001,K366)="",INDEX(Transaksi!$C$2:$C$2001,K366)&amp;" · "&amp;INDEX(Transaksi!$D$2:$D$2001,K366),INDEX(Transaksi!$B$2:$B$2001,K366)),""))</f>
        <v/>
      </c>
      <c r="C366" s="32">
        <f>IF(J366="E",INDEX(Transaksi!$C$2:$C$2001,K366)&amp;"","")</f>
        <v/>
      </c>
      <c r="D366" s="32">
        <f>IF(J366="E",INDEX(Transaksi!$D$2:$D$2001,K366)&amp;"","")</f>
        <v/>
      </c>
      <c r="E366" s="33">
        <f>IF(J366="H",SUMIFS(Transaksi!$G$2:$G$2001,Transaksi!$M$2:$M$2001,"="&amp;S366)+SUMIFS(Transaksi!$H$2:$H$2001,Transaksi!$M$2:$M$2001,"="&amp;S366)+SUMIFS(Transaksi!$I$2:$I$2001,Transaksi!$M$2:$M$2001,"="&amp;S366),IF(J366="E",IF(INDEX(Transaksi!$G$2:$G$2001,K366)+INDEX(Transaksi!$H$2:$H$2001,K366)+INDEX(Transaksi!$I$2:$I$2001,K366)=0,"",INDEX(Transaksi!$G$2:$G$2001,K366)+INDEX(Transaksi!$H$2:$H$2001,K366)+INDEX(Transaksi!$I$2:$I$2001,K366)),""))</f>
        <v/>
      </c>
      <c r="F366" s="33">
        <f>IF(J366="H",SUMIFS(Transaksi!$J$2:$J$2001,Transaksi!$M$2:$M$2001,"="&amp;S366),IF(J366="E",IF(INDEX(Transaksi!$J$2:$J$2001,K366)=0,"",INDEX(Transaksi!$J$2:$J$2001,K366)),""))</f>
        <v/>
      </c>
      <c r="G366" s="33">
        <f>IF(J366="H",(SUMIFS(Transaksi!$G$2:$G$2001,Transaksi!$M$2:$M$2001,"&lt;="&amp;S366)+SUMIFS(Transaksi!$H$2:$H$2001,Transaksi!$M$2:$M$2001,"&lt;="&amp;S366)+SUMIFS(Transaksi!$I$2:$I$2001,Transaksi!$M$2:$M$2001,"&lt;="&amp;S366))-(SUMIFS(Transaksi!$J$2:$J$2001,Transaksi!$M$2:$M$2001,"&lt;="&amp;S366)),"")</f>
        <v/>
      </c>
      <c r="I366">
        <f>IF(363&gt;$O$2,"",MATCH(363,$Q$3:$Q$402,1))</f>
        <v/>
      </c>
      <c r="J366">
        <f>IF(I366="","",IF(363=INDEX($Q$3:$Q$402,I366),"H","E"))</f>
        <v/>
      </c>
      <c r="K366">
        <f>IF(J366&lt;&gt;"E","",MATCH(S366,Transaksi!$M$2:$M$2001,0)+363-INDEX($Q$3:$Q$402,I366)-1)</f>
        <v/>
      </c>
      <c r="N366" t="n">
        <v>364</v>
      </c>
      <c r="O366">
        <f>IF(N366&lt;=$O$1,$O$1-N366+1,"")</f>
        <v/>
      </c>
      <c r="P366">
        <f>IF(O366="",0,COUNTIF(Transaksi!$M$2:$M$2001,O366)+1)</f>
        <v/>
      </c>
      <c r="Q366">
        <f>1+SUM(P$2:P365)</f>
        <v/>
      </c>
      <c r="S366">
        <f>IF(I366="","",INDEX($O$3:$O$402,I366))</f>
        <v/>
      </c>
      <c r="T366">
        <f>IF(J366&lt;&gt;"H","",INDEX(Transaksi!$A$2:$A$2001,MATCH(S366,Transaksi!$M$2:$M$2001,0)))</f>
        <v/>
      </c>
    </row>
    <row r="367">
      <c r="A367" s="31">
        <f>IF(J367="E",IF(INDEX(Transaksi!$J$2:$J$2001,K367)&gt;0,"↑","↓"),"")</f>
        <v/>
      </c>
      <c r="B367" s="32">
        <f>IF(J367="H",CHOOSE(WEEKDAY(T367,2),"Isnin","Selasa","Rabu","Khamis","Jumaat","Sabtu","Ahad")&amp;", "&amp;DAY(T367)&amp;" "&amp;CHOOSE(MONTH(T367),"Jan","Feb","Mac","Apr","Mei","Jun","Jul","Ogo","Sep","Okt","Nov","Dis")&amp;" "&amp;YEAR(T367),IF(J367="E",IF(INDEX(Transaksi!$B$2:$B$2001,K367)="",INDEX(Transaksi!$C$2:$C$2001,K367)&amp;" · "&amp;INDEX(Transaksi!$D$2:$D$2001,K367),INDEX(Transaksi!$B$2:$B$2001,K367)),""))</f>
        <v/>
      </c>
      <c r="C367" s="32">
        <f>IF(J367="E",INDEX(Transaksi!$C$2:$C$2001,K367)&amp;"","")</f>
        <v/>
      </c>
      <c r="D367" s="32">
        <f>IF(J367="E",INDEX(Transaksi!$D$2:$D$2001,K367)&amp;"","")</f>
        <v/>
      </c>
      <c r="E367" s="33">
        <f>IF(J367="H",SUMIFS(Transaksi!$G$2:$G$2001,Transaksi!$M$2:$M$2001,"="&amp;S367)+SUMIFS(Transaksi!$H$2:$H$2001,Transaksi!$M$2:$M$2001,"="&amp;S367)+SUMIFS(Transaksi!$I$2:$I$2001,Transaksi!$M$2:$M$2001,"="&amp;S367),IF(J367="E",IF(INDEX(Transaksi!$G$2:$G$2001,K367)+INDEX(Transaksi!$H$2:$H$2001,K367)+INDEX(Transaksi!$I$2:$I$2001,K367)=0,"",INDEX(Transaksi!$G$2:$G$2001,K367)+INDEX(Transaksi!$H$2:$H$2001,K367)+INDEX(Transaksi!$I$2:$I$2001,K367)),""))</f>
        <v/>
      </c>
      <c r="F367" s="33">
        <f>IF(J367="H",SUMIFS(Transaksi!$J$2:$J$2001,Transaksi!$M$2:$M$2001,"="&amp;S367),IF(J367="E",IF(INDEX(Transaksi!$J$2:$J$2001,K367)=0,"",INDEX(Transaksi!$J$2:$J$2001,K367)),""))</f>
        <v/>
      </c>
      <c r="G367" s="33">
        <f>IF(J367="H",(SUMIFS(Transaksi!$G$2:$G$2001,Transaksi!$M$2:$M$2001,"&lt;="&amp;S367)+SUMIFS(Transaksi!$H$2:$H$2001,Transaksi!$M$2:$M$2001,"&lt;="&amp;S367)+SUMIFS(Transaksi!$I$2:$I$2001,Transaksi!$M$2:$M$2001,"&lt;="&amp;S367))-(SUMIFS(Transaksi!$J$2:$J$2001,Transaksi!$M$2:$M$2001,"&lt;="&amp;S367)),"")</f>
        <v/>
      </c>
      <c r="I367">
        <f>IF(364&gt;$O$2,"",MATCH(364,$Q$3:$Q$402,1))</f>
        <v/>
      </c>
      <c r="J367">
        <f>IF(I367="","",IF(364=INDEX($Q$3:$Q$402,I367),"H","E"))</f>
        <v/>
      </c>
      <c r="K367">
        <f>IF(J367&lt;&gt;"E","",MATCH(S367,Transaksi!$M$2:$M$2001,0)+364-INDEX($Q$3:$Q$402,I367)-1)</f>
        <v/>
      </c>
      <c r="N367" t="n">
        <v>365</v>
      </c>
      <c r="O367">
        <f>IF(N367&lt;=$O$1,$O$1-N367+1,"")</f>
        <v/>
      </c>
      <c r="P367">
        <f>IF(O367="",0,COUNTIF(Transaksi!$M$2:$M$2001,O367)+1)</f>
        <v/>
      </c>
      <c r="Q367">
        <f>1+SUM(P$2:P366)</f>
        <v/>
      </c>
      <c r="S367">
        <f>IF(I367="","",INDEX($O$3:$O$402,I367))</f>
        <v/>
      </c>
      <c r="T367">
        <f>IF(J367&lt;&gt;"H","",INDEX(Transaksi!$A$2:$A$2001,MATCH(S367,Transaksi!$M$2:$M$2001,0)))</f>
        <v/>
      </c>
    </row>
    <row r="368">
      <c r="A368" s="31">
        <f>IF(J368="E",IF(INDEX(Transaksi!$J$2:$J$2001,K368)&gt;0,"↑","↓"),"")</f>
        <v/>
      </c>
      <c r="B368" s="32">
        <f>IF(J368="H",CHOOSE(WEEKDAY(T368,2),"Isnin","Selasa","Rabu","Khamis","Jumaat","Sabtu","Ahad")&amp;", "&amp;DAY(T368)&amp;" "&amp;CHOOSE(MONTH(T368),"Jan","Feb","Mac","Apr","Mei","Jun","Jul","Ogo","Sep","Okt","Nov","Dis")&amp;" "&amp;YEAR(T368),IF(J368="E",IF(INDEX(Transaksi!$B$2:$B$2001,K368)="",INDEX(Transaksi!$C$2:$C$2001,K368)&amp;" · "&amp;INDEX(Transaksi!$D$2:$D$2001,K368),INDEX(Transaksi!$B$2:$B$2001,K368)),""))</f>
        <v/>
      </c>
      <c r="C368" s="32">
        <f>IF(J368="E",INDEX(Transaksi!$C$2:$C$2001,K368)&amp;"","")</f>
        <v/>
      </c>
      <c r="D368" s="32">
        <f>IF(J368="E",INDEX(Transaksi!$D$2:$D$2001,K368)&amp;"","")</f>
        <v/>
      </c>
      <c r="E368" s="33">
        <f>IF(J368="H",SUMIFS(Transaksi!$G$2:$G$2001,Transaksi!$M$2:$M$2001,"="&amp;S368)+SUMIFS(Transaksi!$H$2:$H$2001,Transaksi!$M$2:$M$2001,"="&amp;S368)+SUMIFS(Transaksi!$I$2:$I$2001,Transaksi!$M$2:$M$2001,"="&amp;S368),IF(J368="E",IF(INDEX(Transaksi!$G$2:$G$2001,K368)+INDEX(Transaksi!$H$2:$H$2001,K368)+INDEX(Transaksi!$I$2:$I$2001,K368)=0,"",INDEX(Transaksi!$G$2:$G$2001,K368)+INDEX(Transaksi!$H$2:$H$2001,K368)+INDEX(Transaksi!$I$2:$I$2001,K368)),""))</f>
        <v/>
      </c>
      <c r="F368" s="33">
        <f>IF(J368="H",SUMIFS(Transaksi!$J$2:$J$2001,Transaksi!$M$2:$M$2001,"="&amp;S368),IF(J368="E",IF(INDEX(Transaksi!$J$2:$J$2001,K368)=0,"",INDEX(Transaksi!$J$2:$J$2001,K368)),""))</f>
        <v/>
      </c>
      <c r="G368" s="33">
        <f>IF(J368="H",(SUMIFS(Transaksi!$G$2:$G$2001,Transaksi!$M$2:$M$2001,"&lt;="&amp;S368)+SUMIFS(Transaksi!$H$2:$H$2001,Transaksi!$M$2:$M$2001,"&lt;="&amp;S368)+SUMIFS(Transaksi!$I$2:$I$2001,Transaksi!$M$2:$M$2001,"&lt;="&amp;S368))-(SUMIFS(Transaksi!$J$2:$J$2001,Transaksi!$M$2:$M$2001,"&lt;="&amp;S368)),"")</f>
        <v/>
      </c>
      <c r="I368">
        <f>IF(365&gt;$O$2,"",MATCH(365,$Q$3:$Q$402,1))</f>
        <v/>
      </c>
      <c r="J368">
        <f>IF(I368="","",IF(365=INDEX($Q$3:$Q$402,I368),"H","E"))</f>
        <v/>
      </c>
      <c r="K368">
        <f>IF(J368&lt;&gt;"E","",MATCH(S368,Transaksi!$M$2:$M$2001,0)+365-INDEX($Q$3:$Q$402,I368)-1)</f>
        <v/>
      </c>
      <c r="N368" t="n">
        <v>366</v>
      </c>
      <c r="O368">
        <f>IF(N368&lt;=$O$1,$O$1-N368+1,"")</f>
        <v/>
      </c>
      <c r="P368">
        <f>IF(O368="",0,COUNTIF(Transaksi!$M$2:$M$2001,O368)+1)</f>
        <v/>
      </c>
      <c r="Q368">
        <f>1+SUM(P$2:P367)</f>
        <v/>
      </c>
      <c r="S368">
        <f>IF(I368="","",INDEX($O$3:$O$402,I368))</f>
        <v/>
      </c>
      <c r="T368">
        <f>IF(J368&lt;&gt;"H","",INDEX(Transaksi!$A$2:$A$2001,MATCH(S368,Transaksi!$M$2:$M$2001,0)))</f>
        <v/>
      </c>
    </row>
    <row r="369">
      <c r="A369" s="31">
        <f>IF(J369="E",IF(INDEX(Transaksi!$J$2:$J$2001,K369)&gt;0,"↑","↓"),"")</f>
        <v/>
      </c>
      <c r="B369" s="32">
        <f>IF(J369="H",CHOOSE(WEEKDAY(T369,2),"Isnin","Selasa","Rabu","Khamis","Jumaat","Sabtu","Ahad")&amp;", "&amp;DAY(T369)&amp;" "&amp;CHOOSE(MONTH(T369),"Jan","Feb","Mac","Apr","Mei","Jun","Jul","Ogo","Sep","Okt","Nov","Dis")&amp;" "&amp;YEAR(T369),IF(J369="E",IF(INDEX(Transaksi!$B$2:$B$2001,K369)="",INDEX(Transaksi!$C$2:$C$2001,K369)&amp;" · "&amp;INDEX(Transaksi!$D$2:$D$2001,K369),INDEX(Transaksi!$B$2:$B$2001,K369)),""))</f>
        <v/>
      </c>
      <c r="C369" s="32">
        <f>IF(J369="E",INDEX(Transaksi!$C$2:$C$2001,K369)&amp;"","")</f>
        <v/>
      </c>
      <c r="D369" s="32">
        <f>IF(J369="E",INDEX(Transaksi!$D$2:$D$2001,K369)&amp;"","")</f>
        <v/>
      </c>
      <c r="E369" s="33">
        <f>IF(J369="H",SUMIFS(Transaksi!$G$2:$G$2001,Transaksi!$M$2:$M$2001,"="&amp;S369)+SUMIFS(Transaksi!$H$2:$H$2001,Transaksi!$M$2:$M$2001,"="&amp;S369)+SUMIFS(Transaksi!$I$2:$I$2001,Transaksi!$M$2:$M$2001,"="&amp;S369),IF(J369="E",IF(INDEX(Transaksi!$G$2:$G$2001,K369)+INDEX(Transaksi!$H$2:$H$2001,K369)+INDEX(Transaksi!$I$2:$I$2001,K369)=0,"",INDEX(Transaksi!$G$2:$G$2001,K369)+INDEX(Transaksi!$H$2:$H$2001,K369)+INDEX(Transaksi!$I$2:$I$2001,K369)),""))</f>
        <v/>
      </c>
      <c r="F369" s="33">
        <f>IF(J369="H",SUMIFS(Transaksi!$J$2:$J$2001,Transaksi!$M$2:$M$2001,"="&amp;S369),IF(J369="E",IF(INDEX(Transaksi!$J$2:$J$2001,K369)=0,"",INDEX(Transaksi!$J$2:$J$2001,K369)),""))</f>
        <v/>
      </c>
      <c r="G369" s="33">
        <f>IF(J369="H",(SUMIFS(Transaksi!$G$2:$G$2001,Transaksi!$M$2:$M$2001,"&lt;="&amp;S369)+SUMIFS(Transaksi!$H$2:$H$2001,Transaksi!$M$2:$M$2001,"&lt;="&amp;S369)+SUMIFS(Transaksi!$I$2:$I$2001,Transaksi!$M$2:$M$2001,"&lt;="&amp;S369))-(SUMIFS(Transaksi!$J$2:$J$2001,Transaksi!$M$2:$M$2001,"&lt;="&amp;S369)),"")</f>
        <v/>
      </c>
      <c r="I369">
        <f>IF(366&gt;$O$2,"",MATCH(366,$Q$3:$Q$402,1))</f>
        <v/>
      </c>
      <c r="J369">
        <f>IF(I369="","",IF(366=INDEX($Q$3:$Q$402,I369),"H","E"))</f>
        <v/>
      </c>
      <c r="K369">
        <f>IF(J369&lt;&gt;"E","",MATCH(S369,Transaksi!$M$2:$M$2001,0)+366-INDEX($Q$3:$Q$402,I369)-1)</f>
        <v/>
      </c>
      <c r="N369" t="n">
        <v>367</v>
      </c>
      <c r="O369">
        <f>IF(N369&lt;=$O$1,$O$1-N369+1,"")</f>
        <v/>
      </c>
      <c r="P369">
        <f>IF(O369="",0,COUNTIF(Transaksi!$M$2:$M$2001,O369)+1)</f>
        <v/>
      </c>
      <c r="Q369">
        <f>1+SUM(P$2:P368)</f>
        <v/>
      </c>
      <c r="S369">
        <f>IF(I369="","",INDEX($O$3:$O$402,I369))</f>
        <v/>
      </c>
      <c r="T369">
        <f>IF(J369&lt;&gt;"H","",INDEX(Transaksi!$A$2:$A$2001,MATCH(S369,Transaksi!$M$2:$M$2001,0)))</f>
        <v/>
      </c>
    </row>
    <row r="370">
      <c r="A370" s="31">
        <f>IF(J370="E",IF(INDEX(Transaksi!$J$2:$J$2001,K370)&gt;0,"↑","↓"),"")</f>
        <v/>
      </c>
      <c r="B370" s="32">
        <f>IF(J370="H",CHOOSE(WEEKDAY(T370,2),"Isnin","Selasa","Rabu","Khamis","Jumaat","Sabtu","Ahad")&amp;", "&amp;DAY(T370)&amp;" "&amp;CHOOSE(MONTH(T370),"Jan","Feb","Mac","Apr","Mei","Jun","Jul","Ogo","Sep","Okt","Nov","Dis")&amp;" "&amp;YEAR(T370),IF(J370="E",IF(INDEX(Transaksi!$B$2:$B$2001,K370)="",INDEX(Transaksi!$C$2:$C$2001,K370)&amp;" · "&amp;INDEX(Transaksi!$D$2:$D$2001,K370),INDEX(Transaksi!$B$2:$B$2001,K370)),""))</f>
        <v/>
      </c>
      <c r="C370" s="32">
        <f>IF(J370="E",INDEX(Transaksi!$C$2:$C$2001,K370)&amp;"","")</f>
        <v/>
      </c>
      <c r="D370" s="32">
        <f>IF(J370="E",INDEX(Transaksi!$D$2:$D$2001,K370)&amp;"","")</f>
        <v/>
      </c>
      <c r="E370" s="33">
        <f>IF(J370="H",SUMIFS(Transaksi!$G$2:$G$2001,Transaksi!$M$2:$M$2001,"="&amp;S370)+SUMIFS(Transaksi!$H$2:$H$2001,Transaksi!$M$2:$M$2001,"="&amp;S370)+SUMIFS(Transaksi!$I$2:$I$2001,Transaksi!$M$2:$M$2001,"="&amp;S370),IF(J370="E",IF(INDEX(Transaksi!$G$2:$G$2001,K370)+INDEX(Transaksi!$H$2:$H$2001,K370)+INDEX(Transaksi!$I$2:$I$2001,K370)=0,"",INDEX(Transaksi!$G$2:$G$2001,K370)+INDEX(Transaksi!$H$2:$H$2001,K370)+INDEX(Transaksi!$I$2:$I$2001,K370)),""))</f>
        <v/>
      </c>
      <c r="F370" s="33">
        <f>IF(J370="H",SUMIFS(Transaksi!$J$2:$J$2001,Transaksi!$M$2:$M$2001,"="&amp;S370),IF(J370="E",IF(INDEX(Transaksi!$J$2:$J$2001,K370)=0,"",INDEX(Transaksi!$J$2:$J$2001,K370)),""))</f>
        <v/>
      </c>
      <c r="G370" s="33">
        <f>IF(J370="H",(SUMIFS(Transaksi!$G$2:$G$2001,Transaksi!$M$2:$M$2001,"&lt;="&amp;S370)+SUMIFS(Transaksi!$H$2:$H$2001,Transaksi!$M$2:$M$2001,"&lt;="&amp;S370)+SUMIFS(Transaksi!$I$2:$I$2001,Transaksi!$M$2:$M$2001,"&lt;="&amp;S370))-(SUMIFS(Transaksi!$J$2:$J$2001,Transaksi!$M$2:$M$2001,"&lt;="&amp;S370)),"")</f>
        <v/>
      </c>
      <c r="I370">
        <f>IF(367&gt;$O$2,"",MATCH(367,$Q$3:$Q$402,1))</f>
        <v/>
      </c>
      <c r="J370">
        <f>IF(I370="","",IF(367=INDEX($Q$3:$Q$402,I370),"H","E"))</f>
        <v/>
      </c>
      <c r="K370">
        <f>IF(J370&lt;&gt;"E","",MATCH(S370,Transaksi!$M$2:$M$2001,0)+367-INDEX($Q$3:$Q$402,I370)-1)</f>
        <v/>
      </c>
      <c r="N370" t="n">
        <v>368</v>
      </c>
      <c r="O370">
        <f>IF(N370&lt;=$O$1,$O$1-N370+1,"")</f>
        <v/>
      </c>
      <c r="P370">
        <f>IF(O370="",0,COUNTIF(Transaksi!$M$2:$M$2001,O370)+1)</f>
        <v/>
      </c>
      <c r="Q370">
        <f>1+SUM(P$2:P369)</f>
        <v/>
      </c>
      <c r="S370">
        <f>IF(I370="","",INDEX($O$3:$O$402,I370))</f>
        <v/>
      </c>
      <c r="T370">
        <f>IF(J370&lt;&gt;"H","",INDEX(Transaksi!$A$2:$A$2001,MATCH(S370,Transaksi!$M$2:$M$2001,0)))</f>
        <v/>
      </c>
    </row>
    <row r="371">
      <c r="A371" s="31">
        <f>IF(J371="E",IF(INDEX(Transaksi!$J$2:$J$2001,K371)&gt;0,"↑","↓"),"")</f>
        <v/>
      </c>
      <c r="B371" s="32">
        <f>IF(J371="H",CHOOSE(WEEKDAY(T371,2),"Isnin","Selasa","Rabu","Khamis","Jumaat","Sabtu","Ahad")&amp;", "&amp;DAY(T371)&amp;" "&amp;CHOOSE(MONTH(T371),"Jan","Feb","Mac","Apr","Mei","Jun","Jul","Ogo","Sep","Okt","Nov","Dis")&amp;" "&amp;YEAR(T371),IF(J371="E",IF(INDEX(Transaksi!$B$2:$B$2001,K371)="",INDEX(Transaksi!$C$2:$C$2001,K371)&amp;" · "&amp;INDEX(Transaksi!$D$2:$D$2001,K371),INDEX(Transaksi!$B$2:$B$2001,K371)),""))</f>
        <v/>
      </c>
      <c r="C371" s="32">
        <f>IF(J371="E",INDEX(Transaksi!$C$2:$C$2001,K371)&amp;"","")</f>
        <v/>
      </c>
      <c r="D371" s="32">
        <f>IF(J371="E",INDEX(Transaksi!$D$2:$D$2001,K371)&amp;"","")</f>
        <v/>
      </c>
      <c r="E371" s="33">
        <f>IF(J371="H",SUMIFS(Transaksi!$G$2:$G$2001,Transaksi!$M$2:$M$2001,"="&amp;S371)+SUMIFS(Transaksi!$H$2:$H$2001,Transaksi!$M$2:$M$2001,"="&amp;S371)+SUMIFS(Transaksi!$I$2:$I$2001,Transaksi!$M$2:$M$2001,"="&amp;S371),IF(J371="E",IF(INDEX(Transaksi!$G$2:$G$2001,K371)+INDEX(Transaksi!$H$2:$H$2001,K371)+INDEX(Transaksi!$I$2:$I$2001,K371)=0,"",INDEX(Transaksi!$G$2:$G$2001,K371)+INDEX(Transaksi!$H$2:$H$2001,K371)+INDEX(Transaksi!$I$2:$I$2001,K371)),""))</f>
        <v/>
      </c>
      <c r="F371" s="33">
        <f>IF(J371="H",SUMIFS(Transaksi!$J$2:$J$2001,Transaksi!$M$2:$M$2001,"="&amp;S371),IF(J371="E",IF(INDEX(Transaksi!$J$2:$J$2001,K371)=0,"",INDEX(Transaksi!$J$2:$J$2001,K371)),""))</f>
        <v/>
      </c>
      <c r="G371" s="33">
        <f>IF(J371="H",(SUMIFS(Transaksi!$G$2:$G$2001,Transaksi!$M$2:$M$2001,"&lt;="&amp;S371)+SUMIFS(Transaksi!$H$2:$H$2001,Transaksi!$M$2:$M$2001,"&lt;="&amp;S371)+SUMIFS(Transaksi!$I$2:$I$2001,Transaksi!$M$2:$M$2001,"&lt;="&amp;S371))-(SUMIFS(Transaksi!$J$2:$J$2001,Transaksi!$M$2:$M$2001,"&lt;="&amp;S371)),"")</f>
        <v/>
      </c>
      <c r="I371">
        <f>IF(368&gt;$O$2,"",MATCH(368,$Q$3:$Q$402,1))</f>
        <v/>
      </c>
      <c r="J371">
        <f>IF(I371="","",IF(368=INDEX($Q$3:$Q$402,I371),"H","E"))</f>
        <v/>
      </c>
      <c r="K371">
        <f>IF(J371&lt;&gt;"E","",MATCH(S371,Transaksi!$M$2:$M$2001,0)+368-INDEX($Q$3:$Q$402,I371)-1)</f>
        <v/>
      </c>
      <c r="N371" t="n">
        <v>369</v>
      </c>
      <c r="O371">
        <f>IF(N371&lt;=$O$1,$O$1-N371+1,"")</f>
        <v/>
      </c>
      <c r="P371">
        <f>IF(O371="",0,COUNTIF(Transaksi!$M$2:$M$2001,O371)+1)</f>
        <v/>
      </c>
      <c r="Q371">
        <f>1+SUM(P$2:P370)</f>
        <v/>
      </c>
      <c r="S371">
        <f>IF(I371="","",INDEX($O$3:$O$402,I371))</f>
        <v/>
      </c>
      <c r="T371">
        <f>IF(J371&lt;&gt;"H","",INDEX(Transaksi!$A$2:$A$2001,MATCH(S371,Transaksi!$M$2:$M$2001,0)))</f>
        <v/>
      </c>
    </row>
    <row r="372">
      <c r="A372" s="31">
        <f>IF(J372="E",IF(INDEX(Transaksi!$J$2:$J$2001,K372)&gt;0,"↑","↓"),"")</f>
        <v/>
      </c>
      <c r="B372" s="32">
        <f>IF(J372="H",CHOOSE(WEEKDAY(T372,2),"Isnin","Selasa","Rabu","Khamis","Jumaat","Sabtu","Ahad")&amp;", "&amp;DAY(T372)&amp;" "&amp;CHOOSE(MONTH(T372),"Jan","Feb","Mac","Apr","Mei","Jun","Jul","Ogo","Sep","Okt","Nov","Dis")&amp;" "&amp;YEAR(T372),IF(J372="E",IF(INDEX(Transaksi!$B$2:$B$2001,K372)="",INDEX(Transaksi!$C$2:$C$2001,K372)&amp;" · "&amp;INDEX(Transaksi!$D$2:$D$2001,K372),INDEX(Transaksi!$B$2:$B$2001,K372)),""))</f>
        <v/>
      </c>
      <c r="C372" s="32">
        <f>IF(J372="E",INDEX(Transaksi!$C$2:$C$2001,K372)&amp;"","")</f>
        <v/>
      </c>
      <c r="D372" s="32">
        <f>IF(J372="E",INDEX(Transaksi!$D$2:$D$2001,K372)&amp;"","")</f>
        <v/>
      </c>
      <c r="E372" s="33">
        <f>IF(J372="H",SUMIFS(Transaksi!$G$2:$G$2001,Transaksi!$M$2:$M$2001,"="&amp;S372)+SUMIFS(Transaksi!$H$2:$H$2001,Transaksi!$M$2:$M$2001,"="&amp;S372)+SUMIFS(Transaksi!$I$2:$I$2001,Transaksi!$M$2:$M$2001,"="&amp;S372),IF(J372="E",IF(INDEX(Transaksi!$G$2:$G$2001,K372)+INDEX(Transaksi!$H$2:$H$2001,K372)+INDEX(Transaksi!$I$2:$I$2001,K372)=0,"",INDEX(Transaksi!$G$2:$G$2001,K372)+INDEX(Transaksi!$H$2:$H$2001,K372)+INDEX(Transaksi!$I$2:$I$2001,K372)),""))</f>
        <v/>
      </c>
      <c r="F372" s="33">
        <f>IF(J372="H",SUMIFS(Transaksi!$J$2:$J$2001,Transaksi!$M$2:$M$2001,"="&amp;S372),IF(J372="E",IF(INDEX(Transaksi!$J$2:$J$2001,K372)=0,"",INDEX(Transaksi!$J$2:$J$2001,K372)),""))</f>
        <v/>
      </c>
      <c r="G372" s="33">
        <f>IF(J372="H",(SUMIFS(Transaksi!$G$2:$G$2001,Transaksi!$M$2:$M$2001,"&lt;="&amp;S372)+SUMIFS(Transaksi!$H$2:$H$2001,Transaksi!$M$2:$M$2001,"&lt;="&amp;S372)+SUMIFS(Transaksi!$I$2:$I$2001,Transaksi!$M$2:$M$2001,"&lt;="&amp;S372))-(SUMIFS(Transaksi!$J$2:$J$2001,Transaksi!$M$2:$M$2001,"&lt;="&amp;S372)),"")</f>
        <v/>
      </c>
      <c r="I372">
        <f>IF(369&gt;$O$2,"",MATCH(369,$Q$3:$Q$402,1))</f>
        <v/>
      </c>
      <c r="J372">
        <f>IF(I372="","",IF(369=INDEX($Q$3:$Q$402,I372),"H","E"))</f>
        <v/>
      </c>
      <c r="K372">
        <f>IF(J372&lt;&gt;"E","",MATCH(S372,Transaksi!$M$2:$M$2001,0)+369-INDEX($Q$3:$Q$402,I372)-1)</f>
        <v/>
      </c>
      <c r="N372" t="n">
        <v>370</v>
      </c>
      <c r="O372">
        <f>IF(N372&lt;=$O$1,$O$1-N372+1,"")</f>
        <v/>
      </c>
      <c r="P372">
        <f>IF(O372="",0,COUNTIF(Transaksi!$M$2:$M$2001,O372)+1)</f>
        <v/>
      </c>
      <c r="Q372">
        <f>1+SUM(P$2:P371)</f>
        <v/>
      </c>
      <c r="S372">
        <f>IF(I372="","",INDEX($O$3:$O$402,I372))</f>
        <v/>
      </c>
      <c r="T372">
        <f>IF(J372&lt;&gt;"H","",INDEX(Transaksi!$A$2:$A$2001,MATCH(S372,Transaksi!$M$2:$M$2001,0)))</f>
        <v/>
      </c>
    </row>
    <row r="373">
      <c r="A373" s="31">
        <f>IF(J373="E",IF(INDEX(Transaksi!$J$2:$J$2001,K373)&gt;0,"↑","↓"),"")</f>
        <v/>
      </c>
      <c r="B373" s="32">
        <f>IF(J373="H",CHOOSE(WEEKDAY(T373,2),"Isnin","Selasa","Rabu","Khamis","Jumaat","Sabtu","Ahad")&amp;", "&amp;DAY(T373)&amp;" "&amp;CHOOSE(MONTH(T373),"Jan","Feb","Mac","Apr","Mei","Jun","Jul","Ogo","Sep","Okt","Nov","Dis")&amp;" "&amp;YEAR(T373),IF(J373="E",IF(INDEX(Transaksi!$B$2:$B$2001,K373)="",INDEX(Transaksi!$C$2:$C$2001,K373)&amp;" · "&amp;INDEX(Transaksi!$D$2:$D$2001,K373),INDEX(Transaksi!$B$2:$B$2001,K373)),""))</f>
        <v/>
      </c>
      <c r="C373" s="32">
        <f>IF(J373="E",INDEX(Transaksi!$C$2:$C$2001,K373)&amp;"","")</f>
        <v/>
      </c>
      <c r="D373" s="32">
        <f>IF(J373="E",INDEX(Transaksi!$D$2:$D$2001,K373)&amp;"","")</f>
        <v/>
      </c>
      <c r="E373" s="33">
        <f>IF(J373="H",SUMIFS(Transaksi!$G$2:$G$2001,Transaksi!$M$2:$M$2001,"="&amp;S373)+SUMIFS(Transaksi!$H$2:$H$2001,Transaksi!$M$2:$M$2001,"="&amp;S373)+SUMIFS(Transaksi!$I$2:$I$2001,Transaksi!$M$2:$M$2001,"="&amp;S373),IF(J373="E",IF(INDEX(Transaksi!$G$2:$G$2001,K373)+INDEX(Transaksi!$H$2:$H$2001,K373)+INDEX(Transaksi!$I$2:$I$2001,K373)=0,"",INDEX(Transaksi!$G$2:$G$2001,K373)+INDEX(Transaksi!$H$2:$H$2001,K373)+INDEX(Transaksi!$I$2:$I$2001,K373)),""))</f>
        <v/>
      </c>
      <c r="F373" s="33">
        <f>IF(J373="H",SUMIFS(Transaksi!$J$2:$J$2001,Transaksi!$M$2:$M$2001,"="&amp;S373),IF(J373="E",IF(INDEX(Transaksi!$J$2:$J$2001,K373)=0,"",INDEX(Transaksi!$J$2:$J$2001,K373)),""))</f>
        <v/>
      </c>
      <c r="G373" s="33">
        <f>IF(J373="H",(SUMIFS(Transaksi!$G$2:$G$2001,Transaksi!$M$2:$M$2001,"&lt;="&amp;S373)+SUMIFS(Transaksi!$H$2:$H$2001,Transaksi!$M$2:$M$2001,"&lt;="&amp;S373)+SUMIFS(Transaksi!$I$2:$I$2001,Transaksi!$M$2:$M$2001,"&lt;="&amp;S373))-(SUMIFS(Transaksi!$J$2:$J$2001,Transaksi!$M$2:$M$2001,"&lt;="&amp;S373)),"")</f>
        <v/>
      </c>
      <c r="I373">
        <f>IF(370&gt;$O$2,"",MATCH(370,$Q$3:$Q$402,1))</f>
        <v/>
      </c>
      <c r="J373">
        <f>IF(I373="","",IF(370=INDEX($Q$3:$Q$402,I373),"H","E"))</f>
        <v/>
      </c>
      <c r="K373">
        <f>IF(J373&lt;&gt;"E","",MATCH(S373,Transaksi!$M$2:$M$2001,0)+370-INDEX($Q$3:$Q$402,I373)-1)</f>
        <v/>
      </c>
      <c r="N373" t="n">
        <v>371</v>
      </c>
      <c r="O373">
        <f>IF(N373&lt;=$O$1,$O$1-N373+1,"")</f>
        <v/>
      </c>
      <c r="P373">
        <f>IF(O373="",0,COUNTIF(Transaksi!$M$2:$M$2001,O373)+1)</f>
        <v/>
      </c>
      <c r="Q373">
        <f>1+SUM(P$2:P372)</f>
        <v/>
      </c>
      <c r="S373">
        <f>IF(I373="","",INDEX($O$3:$O$402,I373))</f>
        <v/>
      </c>
      <c r="T373">
        <f>IF(J373&lt;&gt;"H","",INDEX(Transaksi!$A$2:$A$2001,MATCH(S373,Transaksi!$M$2:$M$2001,0)))</f>
        <v/>
      </c>
    </row>
    <row r="374">
      <c r="A374" s="31">
        <f>IF(J374="E",IF(INDEX(Transaksi!$J$2:$J$2001,K374)&gt;0,"↑","↓"),"")</f>
        <v/>
      </c>
      <c r="B374" s="32">
        <f>IF(J374="H",CHOOSE(WEEKDAY(T374,2),"Isnin","Selasa","Rabu","Khamis","Jumaat","Sabtu","Ahad")&amp;", "&amp;DAY(T374)&amp;" "&amp;CHOOSE(MONTH(T374),"Jan","Feb","Mac","Apr","Mei","Jun","Jul","Ogo","Sep","Okt","Nov","Dis")&amp;" "&amp;YEAR(T374),IF(J374="E",IF(INDEX(Transaksi!$B$2:$B$2001,K374)="",INDEX(Transaksi!$C$2:$C$2001,K374)&amp;" · "&amp;INDEX(Transaksi!$D$2:$D$2001,K374),INDEX(Transaksi!$B$2:$B$2001,K374)),""))</f>
        <v/>
      </c>
      <c r="C374" s="32">
        <f>IF(J374="E",INDEX(Transaksi!$C$2:$C$2001,K374)&amp;"","")</f>
        <v/>
      </c>
      <c r="D374" s="32">
        <f>IF(J374="E",INDEX(Transaksi!$D$2:$D$2001,K374)&amp;"","")</f>
        <v/>
      </c>
      <c r="E374" s="33">
        <f>IF(J374="H",SUMIFS(Transaksi!$G$2:$G$2001,Transaksi!$M$2:$M$2001,"="&amp;S374)+SUMIFS(Transaksi!$H$2:$H$2001,Transaksi!$M$2:$M$2001,"="&amp;S374)+SUMIFS(Transaksi!$I$2:$I$2001,Transaksi!$M$2:$M$2001,"="&amp;S374),IF(J374="E",IF(INDEX(Transaksi!$G$2:$G$2001,K374)+INDEX(Transaksi!$H$2:$H$2001,K374)+INDEX(Transaksi!$I$2:$I$2001,K374)=0,"",INDEX(Transaksi!$G$2:$G$2001,K374)+INDEX(Transaksi!$H$2:$H$2001,K374)+INDEX(Transaksi!$I$2:$I$2001,K374)),""))</f>
        <v/>
      </c>
      <c r="F374" s="33">
        <f>IF(J374="H",SUMIFS(Transaksi!$J$2:$J$2001,Transaksi!$M$2:$M$2001,"="&amp;S374),IF(J374="E",IF(INDEX(Transaksi!$J$2:$J$2001,K374)=0,"",INDEX(Transaksi!$J$2:$J$2001,K374)),""))</f>
        <v/>
      </c>
      <c r="G374" s="33">
        <f>IF(J374="H",(SUMIFS(Transaksi!$G$2:$G$2001,Transaksi!$M$2:$M$2001,"&lt;="&amp;S374)+SUMIFS(Transaksi!$H$2:$H$2001,Transaksi!$M$2:$M$2001,"&lt;="&amp;S374)+SUMIFS(Transaksi!$I$2:$I$2001,Transaksi!$M$2:$M$2001,"&lt;="&amp;S374))-(SUMIFS(Transaksi!$J$2:$J$2001,Transaksi!$M$2:$M$2001,"&lt;="&amp;S374)),"")</f>
        <v/>
      </c>
      <c r="I374">
        <f>IF(371&gt;$O$2,"",MATCH(371,$Q$3:$Q$402,1))</f>
        <v/>
      </c>
      <c r="J374">
        <f>IF(I374="","",IF(371=INDEX($Q$3:$Q$402,I374),"H","E"))</f>
        <v/>
      </c>
      <c r="K374">
        <f>IF(J374&lt;&gt;"E","",MATCH(S374,Transaksi!$M$2:$M$2001,0)+371-INDEX($Q$3:$Q$402,I374)-1)</f>
        <v/>
      </c>
      <c r="N374" t="n">
        <v>372</v>
      </c>
      <c r="O374">
        <f>IF(N374&lt;=$O$1,$O$1-N374+1,"")</f>
        <v/>
      </c>
      <c r="P374">
        <f>IF(O374="",0,COUNTIF(Transaksi!$M$2:$M$2001,O374)+1)</f>
        <v/>
      </c>
      <c r="Q374">
        <f>1+SUM(P$2:P373)</f>
        <v/>
      </c>
      <c r="S374">
        <f>IF(I374="","",INDEX($O$3:$O$402,I374))</f>
        <v/>
      </c>
      <c r="T374">
        <f>IF(J374&lt;&gt;"H","",INDEX(Transaksi!$A$2:$A$2001,MATCH(S374,Transaksi!$M$2:$M$2001,0)))</f>
        <v/>
      </c>
    </row>
    <row r="375">
      <c r="A375" s="31">
        <f>IF(J375="E",IF(INDEX(Transaksi!$J$2:$J$2001,K375)&gt;0,"↑","↓"),"")</f>
        <v/>
      </c>
      <c r="B375" s="32">
        <f>IF(J375="H",CHOOSE(WEEKDAY(T375,2),"Isnin","Selasa","Rabu","Khamis","Jumaat","Sabtu","Ahad")&amp;", "&amp;DAY(T375)&amp;" "&amp;CHOOSE(MONTH(T375),"Jan","Feb","Mac","Apr","Mei","Jun","Jul","Ogo","Sep","Okt","Nov","Dis")&amp;" "&amp;YEAR(T375),IF(J375="E",IF(INDEX(Transaksi!$B$2:$B$2001,K375)="",INDEX(Transaksi!$C$2:$C$2001,K375)&amp;" · "&amp;INDEX(Transaksi!$D$2:$D$2001,K375),INDEX(Transaksi!$B$2:$B$2001,K375)),""))</f>
        <v/>
      </c>
      <c r="C375" s="32">
        <f>IF(J375="E",INDEX(Transaksi!$C$2:$C$2001,K375)&amp;"","")</f>
        <v/>
      </c>
      <c r="D375" s="32">
        <f>IF(J375="E",INDEX(Transaksi!$D$2:$D$2001,K375)&amp;"","")</f>
        <v/>
      </c>
      <c r="E375" s="33">
        <f>IF(J375="H",SUMIFS(Transaksi!$G$2:$G$2001,Transaksi!$M$2:$M$2001,"="&amp;S375)+SUMIFS(Transaksi!$H$2:$H$2001,Transaksi!$M$2:$M$2001,"="&amp;S375)+SUMIFS(Transaksi!$I$2:$I$2001,Transaksi!$M$2:$M$2001,"="&amp;S375),IF(J375="E",IF(INDEX(Transaksi!$G$2:$G$2001,K375)+INDEX(Transaksi!$H$2:$H$2001,K375)+INDEX(Transaksi!$I$2:$I$2001,K375)=0,"",INDEX(Transaksi!$G$2:$G$2001,K375)+INDEX(Transaksi!$H$2:$H$2001,K375)+INDEX(Transaksi!$I$2:$I$2001,K375)),""))</f>
        <v/>
      </c>
      <c r="F375" s="33">
        <f>IF(J375="H",SUMIFS(Transaksi!$J$2:$J$2001,Transaksi!$M$2:$M$2001,"="&amp;S375),IF(J375="E",IF(INDEX(Transaksi!$J$2:$J$2001,K375)=0,"",INDEX(Transaksi!$J$2:$J$2001,K375)),""))</f>
        <v/>
      </c>
      <c r="G375" s="33">
        <f>IF(J375="H",(SUMIFS(Transaksi!$G$2:$G$2001,Transaksi!$M$2:$M$2001,"&lt;="&amp;S375)+SUMIFS(Transaksi!$H$2:$H$2001,Transaksi!$M$2:$M$2001,"&lt;="&amp;S375)+SUMIFS(Transaksi!$I$2:$I$2001,Transaksi!$M$2:$M$2001,"&lt;="&amp;S375))-(SUMIFS(Transaksi!$J$2:$J$2001,Transaksi!$M$2:$M$2001,"&lt;="&amp;S375)),"")</f>
        <v/>
      </c>
      <c r="I375">
        <f>IF(372&gt;$O$2,"",MATCH(372,$Q$3:$Q$402,1))</f>
        <v/>
      </c>
      <c r="J375">
        <f>IF(I375="","",IF(372=INDEX($Q$3:$Q$402,I375),"H","E"))</f>
        <v/>
      </c>
      <c r="K375">
        <f>IF(J375&lt;&gt;"E","",MATCH(S375,Transaksi!$M$2:$M$2001,0)+372-INDEX($Q$3:$Q$402,I375)-1)</f>
        <v/>
      </c>
      <c r="N375" t="n">
        <v>373</v>
      </c>
      <c r="O375">
        <f>IF(N375&lt;=$O$1,$O$1-N375+1,"")</f>
        <v/>
      </c>
      <c r="P375">
        <f>IF(O375="",0,COUNTIF(Transaksi!$M$2:$M$2001,O375)+1)</f>
        <v/>
      </c>
      <c r="Q375">
        <f>1+SUM(P$2:P374)</f>
        <v/>
      </c>
      <c r="S375">
        <f>IF(I375="","",INDEX($O$3:$O$402,I375))</f>
        <v/>
      </c>
      <c r="T375">
        <f>IF(J375&lt;&gt;"H","",INDEX(Transaksi!$A$2:$A$2001,MATCH(S375,Transaksi!$M$2:$M$2001,0)))</f>
        <v/>
      </c>
    </row>
    <row r="376">
      <c r="A376" s="31">
        <f>IF(J376="E",IF(INDEX(Transaksi!$J$2:$J$2001,K376)&gt;0,"↑","↓"),"")</f>
        <v/>
      </c>
      <c r="B376" s="32">
        <f>IF(J376="H",CHOOSE(WEEKDAY(T376,2),"Isnin","Selasa","Rabu","Khamis","Jumaat","Sabtu","Ahad")&amp;", "&amp;DAY(T376)&amp;" "&amp;CHOOSE(MONTH(T376),"Jan","Feb","Mac","Apr","Mei","Jun","Jul","Ogo","Sep","Okt","Nov","Dis")&amp;" "&amp;YEAR(T376),IF(J376="E",IF(INDEX(Transaksi!$B$2:$B$2001,K376)="",INDEX(Transaksi!$C$2:$C$2001,K376)&amp;" · "&amp;INDEX(Transaksi!$D$2:$D$2001,K376),INDEX(Transaksi!$B$2:$B$2001,K376)),""))</f>
        <v/>
      </c>
      <c r="C376" s="32">
        <f>IF(J376="E",INDEX(Transaksi!$C$2:$C$2001,K376)&amp;"","")</f>
        <v/>
      </c>
      <c r="D376" s="32">
        <f>IF(J376="E",INDEX(Transaksi!$D$2:$D$2001,K376)&amp;"","")</f>
        <v/>
      </c>
      <c r="E376" s="33">
        <f>IF(J376="H",SUMIFS(Transaksi!$G$2:$G$2001,Transaksi!$M$2:$M$2001,"="&amp;S376)+SUMIFS(Transaksi!$H$2:$H$2001,Transaksi!$M$2:$M$2001,"="&amp;S376)+SUMIFS(Transaksi!$I$2:$I$2001,Transaksi!$M$2:$M$2001,"="&amp;S376),IF(J376="E",IF(INDEX(Transaksi!$G$2:$G$2001,K376)+INDEX(Transaksi!$H$2:$H$2001,K376)+INDEX(Transaksi!$I$2:$I$2001,K376)=0,"",INDEX(Transaksi!$G$2:$G$2001,K376)+INDEX(Transaksi!$H$2:$H$2001,K376)+INDEX(Transaksi!$I$2:$I$2001,K376)),""))</f>
        <v/>
      </c>
      <c r="F376" s="33">
        <f>IF(J376="H",SUMIFS(Transaksi!$J$2:$J$2001,Transaksi!$M$2:$M$2001,"="&amp;S376),IF(J376="E",IF(INDEX(Transaksi!$J$2:$J$2001,K376)=0,"",INDEX(Transaksi!$J$2:$J$2001,K376)),""))</f>
        <v/>
      </c>
      <c r="G376" s="33">
        <f>IF(J376="H",(SUMIFS(Transaksi!$G$2:$G$2001,Transaksi!$M$2:$M$2001,"&lt;="&amp;S376)+SUMIFS(Transaksi!$H$2:$H$2001,Transaksi!$M$2:$M$2001,"&lt;="&amp;S376)+SUMIFS(Transaksi!$I$2:$I$2001,Transaksi!$M$2:$M$2001,"&lt;="&amp;S376))-(SUMIFS(Transaksi!$J$2:$J$2001,Transaksi!$M$2:$M$2001,"&lt;="&amp;S376)),"")</f>
        <v/>
      </c>
      <c r="I376">
        <f>IF(373&gt;$O$2,"",MATCH(373,$Q$3:$Q$402,1))</f>
        <v/>
      </c>
      <c r="J376">
        <f>IF(I376="","",IF(373=INDEX($Q$3:$Q$402,I376),"H","E"))</f>
        <v/>
      </c>
      <c r="K376">
        <f>IF(J376&lt;&gt;"E","",MATCH(S376,Transaksi!$M$2:$M$2001,0)+373-INDEX($Q$3:$Q$402,I376)-1)</f>
        <v/>
      </c>
      <c r="N376" t="n">
        <v>374</v>
      </c>
      <c r="O376">
        <f>IF(N376&lt;=$O$1,$O$1-N376+1,"")</f>
        <v/>
      </c>
      <c r="P376">
        <f>IF(O376="",0,COUNTIF(Transaksi!$M$2:$M$2001,O376)+1)</f>
        <v/>
      </c>
      <c r="Q376">
        <f>1+SUM(P$2:P375)</f>
        <v/>
      </c>
      <c r="S376">
        <f>IF(I376="","",INDEX($O$3:$O$402,I376))</f>
        <v/>
      </c>
      <c r="T376">
        <f>IF(J376&lt;&gt;"H","",INDEX(Transaksi!$A$2:$A$2001,MATCH(S376,Transaksi!$M$2:$M$2001,0)))</f>
        <v/>
      </c>
    </row>
    <row r="377">
      <c r="A377" s="31">
        <f>IF(J377="E",IF(INDEX(Transaksi!$J$2:$J$2001,K377)&gt;0,"↑","↓"),"")</f>
        <v/>
      </c>
      <c r="B377" s="32">
        <f>IF(J377="H",CHOOSE(WEEKDAY(T377,2),"Isnin","Selasa","Rabu","Khamis","Jumaat","Sabtu","Ahad")&amp;", "&amp;DAY(T377)&amp;" "&amp;CHOOSE(MONTH(T377),"Jan","Feb","Mac","Apr","Mei","Jun","Jul","Ogo","Sep","Okt","Nov","Dis")&amp;" "&amp;YEAR(T377),IF(J377="E",IF(INDEX(Transaksi!$B$2:$B$2001,K377)="",INDEX(Transaksi!$C$2:$C$2001,K377)&amp;" · "&amp;INDEX(Transaksi!$D$2:$D$2001,K377),INDEX(Transaksi!$B$2:$B$2001,K377)),""))</f>
        <v/>
      </c>
      <c r="C377" s="32">
        <f>IF(J377="E",INDEX(Transaksi!$C$2:$C$2001,K377)&amp;"","")</f>
        <v/>
      </c>
      <c r="D377" s="32">
        <f>IF(J377="E",INDEX(Transaksi!$D$2:$D$2001,K377)&amp;"","")</f>
        <v/>
      </c>
      <c r="E377" s="33">
        <f>IF(J377="H",SUMIFS(Transaksi!$G$2:$G$2001,Transaksi!$M$2:$M$2001,"="&amp;S377)+SUMIFS(Transaksi!$H$2:$H$2001,Transaksi!$M$2:$M$2001,"="&amp;S377)+SUMIFS(Transaksi!$I$2:$I$2001,Transaksi!$M$2:$M$2001,"="&amp;S377),IF(J377="E",IF(INDEX(Transaksi!$G$2:$G$2001,K377)+INDEX(Transaksi!$H$2:$H$2001,K377)+INDEX(Transaksi!$I$2:$I$2001,K377)=0,"",INDEX(Transaksi!$G$2:$G$2001,K377)+INDEX(Transaksi!$H$2:$H$2001,K377)+INDEX(Transaksi!$I$2:$I$2001,K377)),""))</f>
        <v/>
      </c>
      <c r="F377" s="33">
        <f>IF(J377="H",SUMIFS(Transaksi!$J$2:$J$2001,Transaksi!$M$2:$M$2001,"="&amp;S377),IF(J377="E",IF(INDEX(Transaksi!$J$2:$J$2001,K377)=0,"",INDEX(Transaksi!$J$2:$J$2001,K377)),""))</f>
        <v/>
      </c>
      <c r="G377" s="33">
        <f>IF(J377="H",(SUMIFS(Transaksi!$G$2:$G$2001,Transaksi!$M$2:$M$2001,"&lt;="&amp;S377)+SUMIFS(Transaksi!$H$2:$H$2001,Transaksi!$M$2:$M$2001,"&lt;="&amp;S377)+SUMIFS(Transaksi!$I$2:$I$2001,Transaksi!$M$2:$M$2001,"&lt;="&amp;S377))-(SUMIFS(Transaksi!$J$2:$J$2001,Transaksi!$M$2:$M$2001,"&lt;="&amp;S377)),"")</f>
        <v/>
      </c>
      <c r="I377">
        <f>IF(374&gt;$O$2,"",MATCH(374,$Q$3:$Q$402,1))</f>
        <v/>
      </c>
      <c r="J377">
        <f>IF(I377="","",IF(374=INDEX($Q$3:$Q$402,I377),"H","E"))</f>
        <v/>
      </c>
      <c r="K377">
        <f>IF(J377&lt;&gt;"E","",MATCH(S377,Transaksi!$M$2:$M$2001,0)+374-INDEX($Q$3:$Q$402,I377)-1)</f>
        <v/>
      </c>
      <c r="N377" t="n">
        <v>375</v>
      </c>
      <c r="O377">
        <f>IF(N377&lt;=$O$1,$O$1-N377+1,"")</f>
        <v/>
      </c>
      <c r="P377">
        <f>IF(O377="",0,COUNTIF(Transaksi!$M$2:$M$2001,O377)+1)</f>
        <v/>
      </c>
      <c r="Q377">
        <f>1+SUM(P$2:P376)</f>
        <v/>
      </c>
      <c r="S377">
        <f>IF(I377="","",INDEX($O$3:$O$402,I377))</f>
        <v/>
      </c>
      <c r="T377">
        <f>IF(J377&lt;&gt;"H","",INDEX(Transaksi!$A$2:$A$2001,MATCH(S377,Transaksi!$M$2:$M$2001,0)))</f>
        <v/>
      </c>
    </row>
    <row r="378">
      <c r="A378" s="31">
        <f>IF(J378="E",IF(INDEX(Transaksi!$J$2:$J$2001,K378)&gt;0,"↑","↓"),"")</f>
        <v/>
      </c>
      <c r="B378" s="32">
        <f>IF(J378="H",CHOOSE(WEEKDAY(T378,2),"Isnin","Selasa","Rabu","Khamis","Jumaat","Sabtu","Ahad")&amp;", "&amp;DAY(T378)&amp;" "&amp;CHOOSE(MONTH(T378),"Jan","Feb","Mac","Apr","Mei","Jun","Jul","Ogo","Sep","Okt","Nov","Dis")&amp;" "&amp;YEAR(T378),IF(J378="E",IF(INDEX(Transaksi!$B$2:$B$2001,K378)="",INDEX(Transaksi!$C$2:$C$2001,K378)&amp;" · "&amp;INDEX(Transaksi!$D$2:$D$2001,K378),INDEX(Transaksi!$B$2:$B$2001,K378)),""))</f>
        <v/>
      </c>
      <c r="C378" s="32">
        <f>IF(J378="E",INDEX(Transaksi!$C$2:$C$2001,K378)&amp;"","")</f>
        <v/>
      </c>
      <c r="D378" s="32">
        <f>IF(J378="E",INDEX(Transaksi!$D$2:$D$2001,K378)&amp;"","")</f>
        <v/>
      </c>
      <c r="E378" s="33">
        <f>IF(J378="H",SUMIFS(Transaksi!$G$2:$G$2001,Transaksi!$M$2:$M$2001,"="&amp;S378)+SUMIFS(Transaksi!$H$2:$H$2001,Transaksi!$M$2:$M$2001,"="&amp;S378)+SUMIFS(Transaksi!$I$2:$I$2001,Transaksi!$M$2:$M$2001,"="&amp;S378),IF(J378="E",IF(INDEX(Transaksi!$G$2:$G$2001,K378)+INDEX(Transaksi!$H$2:$H$2001,K378)+INDEX(Transaksi!$I$2:$I$2001,K378)=0,"",INDEX(Transaksi!$G$2:$G$2001,K378)+INDEX(Transaksi!$H$2:$H$2001,K378)+INDEX(Transaksi!$I$2:$I$2001,K378)),""))</f>
        <v/>
      </c>
      <c r="F378" s="33">
        <f>IF(J378="H",SUMIFS(Transaksi!$J$2:$J$2001,Transaksi!$M$2:$M$2001,"="&amp;S378),IF(J378="E",IF(INDEX(Transaksi!$J$2:$J$2001,K378)=0,"",INDEX(Transaksi!$J$2:$J$2001,K378)),""))</f>
        <v/>
      </c>
      <c r="G378" s="33">
        <f>IF(J378="H",(SUMIFS(Transaksi!$G$2:$G$2001,Transaksi!$M$2:$M$2001,"&lt;="&amp;S378)+SUMIFS(Transaksi!$H$2:$H$2001,Transaksi!$M$2:$M$2001,"&lt;="&amp;S378)+SUMIFS(Transaksi!$I$2:$I$2001,Transaksi!$M$2:$M$2001,"&lt;="&amp;S378))-(SUMIFS(Transaksi!$J$2:$J$2001,Transaksi!$M$2:$M$2001,"&lt;="&amp;S378)),"")</f>
        <v/>
      </c>
      <c r="I378">
        <f>IF(375&gt;$O$2,"",MATCH(375,$Q$3:$Q$402,1))</f>
        <v/>
      </c>
      <c r="J378">
        <f>IF(I378="","",IF(375=INDEX($Q$3:$Q$402,I378),"H","E"))</f>
        <v/>
      </c>
      <c r="K378">
        <f>IF(J378&lt;&gt;"E","",MATCH(S378,Transaksi!$M$2:$M$2001,0)+375-INDEX($Q$3:$Q$402,I378)-1)</f>
        <v/>
      </c>
      <c r="N378" t="n">
        <v>376</v>
      </c>
      <c r="O378">
        <f>IF(N378&lt;=$O$1,$O$1-N378+1,"")</f>
        <v/>
      </c>
      <c r="P378">
        <f>IF(O378="",0,COUNTIF(Transaksi!$M$2:$M$2001,O378)+1)</f>
        <v/>
      </c>
      <c r="Q378">
        <f>1+SUM(P$2:P377)</f>
        <v/>
      </c>
      <c r="S378">
        <f>IF(I378="","",INDEX($O$3:$O$402,I378))</f>
        <v/>
      </c>
      <c r="T378">
        <f>IF(J378&lt;&gt;"H","",INDEX(Transaksi!$A$2:$A$2001,MATCH(S378,Transaksi!$M$2:$M$2001,0)))</f>
        <v/>
      </c>
    </row>
    <row r="379">
      <c r="A379" s="31">
        <f>IF(J379="E",IF(INDEX(Transaksi!$J$2:$J$2001,K379)&gt;0,"↑","↓"),"")</f>
        <v/>
      </c>
      <c r="B379" s="32">
        <f>IF(J379="H",CHOOSE(WEEKDAY(T379,2),"Isnin","Selasa","Rabu","Khamis","Jumaat","Sabtu","Ahad")&amp;", "&amp;DAY(T379)&amp;" "&amp;CHOOSE(MONTH(T379),"Jan","Feb","Mac","Apr","Mei","Jun","Jul","Ogo","Sep","Okt","Nov","Dis")&amp;" "&amp;YEAR(T379),IF(J379="E",IF(INDEX(Transaksi!$B$2:$B$2001,K379)="",INDEX(Transaksi!$C$2:$C$2001,K379)&amp;" · "&amp;INDEX(Transaksi!$D$2:$D$2001,K379),INDEX(Transaksi!$B$2:$B$2001,K379)),""))</f>
        <v/>
      </c>
      <c r="C379" s="32">
        <f>IF(J379="E",INDEX(Transaksi!$C$2:$C$2001,K379)&amp;"","")</f>
        <v/>
      </c>
      <c r="D379" s="32">
        <f>IF(J379="E",INDEX(Transaksi!$D$2:$D$2001,K379)&amp;"","")</f>
        <v/>
      </c>
      <c r="E379" s="33">
        <f>IF(J379="H",SUMIFS(Transaksi!$G$2:$G$2001,Transaksi!$M$2:$M$2001,"="&amp;S379)+SUMIFS(Transaksi!$H$2:$H$2001,Transaksi!$M$2:$M$2001,"="&amp;S379)+SUMIFS(Transaksi!$I$2:$I$2001,Transaksi!$M$2:$M$2001,"="&amp;S379),IF(J379="E",IF(INDEX(Transaksi!$G$2:$G$2001,K379)+INDEX(Transaksi!$H$2:$H$2001,K379)+INDEX(Transaksi!$I$2:$I$2001,K379)=0,"",INDEX(Transaksi!$G$2:$G$2001,K379)+INDEX(Transaksi!$H$2:$H$2001,K379)+INDEX(Transaksi!$I$2:$I$2001,K379)),""))</f>
        <v/>
      </c>
      <c r="F379" s="33">
        <f>IF(J379="H",SUMIFS(Transaksi!$J$2:$J$2001,Transaksi!$M$2:$M$2001,"="&amp;S379),IF(J379="E",IF(INDEX(Transaksi!$J$2:$J$2001,K379)=0,"",INDEX(Transaksi!$J$2:$J$2001,K379)),""))</f>
        <v/>
      </c>
      <c r="G379" s="33">
        <f>IF(J379="H",(SUMIFS(Transaksi!$G$2:$G$2001,Transaksi!$M$2:$M$2001,"&lt;="&amp;S379)+SUMIFS(Transaksi!$H$2:$H$2001,Transaksi!$M$2:$M$2001,"&lt;="&amp;S379)+SUMIFS(Transaksi!$I$2:$I$2001,Transaksi!$M$2:$M$2001,"&lt;="&amp;S379))-(SUMIFS(Transaksi!$J$2:$J$2001,Transaksi!$M$2:$M$2001,"&lt;="&amp;S379)),"")</f>
        <v/>
      </c>
      <c r="I379">
        <f>IF(376&gt;$O$2,"",MATCH(376,$Q$3:$Q$402,1))</f>
        <v/>
      </c>
      <c r="J379">
        <f>IF(I379="","",IF(376=INDEX($Q$3:$Q$402,I379),"H","E"))</f>
        <v/>
      </c>
      <c r="K379">
        <f>IF(J379&lt;&gt;"E","",MATCH(S379,Transaksi!$M$2:$M$2001,0)+376-INDEX($Q$3:$Q$402,I379)-1)</f>
        <v/>
      </c>
      <c r="N379" t="n">
        <v>377</v>
      </c>
      <c r="O379">
        <f>IF(N379&lt;=$O$1,$O$1-N379+1,"")</f>
        <v/>
      </c>
      <c r="P379">
        <f>IF(O379="",0,COUNTIF(Transaksi!$M$2:$M$2001,O379)+1)</f>
        <v/>
      </c>
      <c r="Q379">
        <f>1+SUM(P$2:P378)</f>
        <v/>
      </c>
      <c r="S379">
        <f>IF(I379="","",INDEX($O$3:$O$402,I379))</f>
        <v/>
      </c>
      <c r="T379">
        <f>IF(J379&lt;&gt;"H","",INDEX(Transaksi!$A$2:$A$2001,MATCH(S379,Transaksi!$M$2:$M$2001,0)))</f>
        <v/>
      </c>
    </row>
    <row r="380">
      <c r="A380" s="31">
        <f>IF(J380="E",IF(INDEX(Transaksi!$J$2:$J$2001,K380)&gt;0,"↑","↓"),"")</f>
        <v/>
      </c>
      <c r="B380" s="32">
        <f>IF(J380="H",CHOOSE(WEEKDAY(T380,2),"Isnin","Selasa","Rabu","Khamis","Jumaat","Sabtu","Ahad")&amp;", "&amp;DAY(T380)&amp;" "&amp;CHOOSE(MONTH(T380),"Jan","Feb","Mac","Apr","Mei","Jun","Jul","Ogo","Sep","Okt","Nov","Dis")&amp;" "&amp;YEAR(T380),IF(J380="E",IF(INDEX(Transaksi!$B$2:$B$2001,K380)="",INDEX(Transaksi!$C$2:$C$2001,K380)&amp;" · "&amp;INDEX(Transaksi!$D$2:$D$2001,K380),INDEX(Transaksi!$B$2:$B$2001,K380)),""))</f>
        <v/>
      </c>
      <c r="C380" s="32">
        <f>IF(J380="E",INDEX(Transaksi!$C$2:$C$2001,K380)&amp;"","")</f>
        <v/>
      </c>
      <c r="D380" s="32">
        <f>IF(J380="E",INDEX(Transaksi!$D$2:$D$2001,K380)&amp;"","")</f>
        <v/>
      </c>
      <c r="E380" s="33">
        <f>IF(J380="H",SUMIFS(Transaksi!$G$2:$G$2001,Transaksi!$M$2:$M$2001,"="&amp;S380)+SUMIFS(Transaksi!$H$2:$H$2001,Transaksi!$M$2:$M$2001,"="&amp;S380)+SUMIFS(Transaksi!$I$2:$I$2001,Transaksi!$M$2:$M$2001,"="&amp;S380),IF(J380="E",IF(INDEX(Transaksi!$G$2:$G$2001,K380)+INDEX(Transaksi!$H$2:$H$2001,K380)+INDEX(Transaksi!$I$2:$I$2001,K380)=0,"",INDEX(Transaksi!$G$2:$G$2001,K380)+INDEX(Transaksi!$H$2:$H$2001,K380)+INDEX(Transaksi!$I$2:$I$2001,K380)),""))</f>
        <v/>
      </c>
      <c r="F380" s="33">
        <f>IF(J380="H",SUMIFS(Transaksi!$J$2:$J$2001,Transaksi!$M$2:$M$2001,"="&amp;S380),IF(J380="E",IF(INDEX(Transaksi!$J$2:$J$2001,K380)=0,"",INDEX(Transaksi!$J$2:$J$2001,K380)),""))</f>
        <v/>
      </c>
      <c r="G380" s="33">
        <f>IF(J380="H",(SUMIFS(Transaksi!$G$2:$G$2001,Transaksi!$M$2:$M$2001,"&lt;="&amp;S380)+SUMIFS(Transaksi!$H$2:$H$2001,Transaksi!$M$2:$M$2001,"&lt;="&amp;S380)+SUMIFS(Transaksi!$I$2:$I$2001,Transaksi!$M$2:$M$2001,"&lt;="&amp;S380))-(SUMIFS(Transaksi!$J$2:$J$2001,Transaksi!$M$2:$M$2001,"&lt;="&amp;S380)),"")</f>
        <v/>
      </c>
      <c r="I380">
        <f>IF(377&gt;$O$2,"",MATCH(377,$Q$3:$Q$402,1))</f>
        <v/>
      </c>
      <c r="J380">
        <f>IF(I380="","",IF(377=INDEX($Q$3:$Q$402,I380),"H","E"))</f>
        <v/>
      </c>
      <c r="K380">
        <f>IF(J380&lt;&gt;"E","",MATCH(S380,Transaksi!$M$2:$M$2001,0)+377-INDEX($Q$3:$Q$402,I380)-1)</f>
        <v/>
      </c>
      <c r="N380" t="n">
        <v>378</v>
      </c>
      <c r="O380">
        <f>IF(N380&lt;=$O$1,$O$1-N380+1,"")</f>
        <v/>
      </c>
      <c r="P380">
        <f>IF(O380="",0,COUNTIF(Transaksi!$M$2:$M$2001,O380)+1)</f>
        <v/>
      </c>
      <c r="Q380">
        <f>1+SUM(P$2:P379)</f>
        <v/>
      </c>
      <c r="S380">
        <f>IF(I380="","",INDEX($O$3:$O$402,I380))</f>
        <v/>
      </c>
      <c r="T380">
        <f>IF(J380&lt;&gt;"H","",INDEX(Transaksi!$A$2:$A$2001,MATCH(S380,Transaksi!$M$2:$M$2001,0)))</f>
        <v/>
      </c>
    </row>
    <row r="381">
      <c r="A381" s="31">
        <f>IF(J381="E",IF(INDEX(Transaksi!$J$2:$J$2001,K381)&gt;0,"↑","↓"),"")</f>
        <v/>
      </c>
      <c r="B381" s="32">
        <f>IF(J381="H",CHOOSE(WEEKDAY(T381,2),"Isnin","Selasa","Rabu","Khamis","Jumaat","Sabtu","Ahad")&amp;", "&amp;DAY(T381)&amp;" "&amp;CHOOSE(MONTH(T381),"Jan","Feb","Mac","Apr","Mei","Jun","Jul","Ogo","Sep","Okt","Nov","Dis")&amp;" "&amp;YEAR(T381),IF(J381="E",IF(INDEX(Transaksi!$B$2:$B$2001,K381)="",INDEX(Transaksi!$C$2:$C$2001,K381)&amp;" · "&amp;INDEX(Transaksi!$D$2:$D$2001,K381),INDEX(Transaksi!$B$2:$B$2001,K381)),""))</f>
        <v/>
      </c>
      <c r="C381" s="32">
        <f>IF(J381="E",INDEX(Transaksi!$C$2:$C$2001,K381)&amp;"","")</f>
        <v/>
      </c>
      <c r="D381" s="32">
        <f>IF(J381="E",INDEX(Transaksi!$D$2:$D$2001,K381)&amp;"","")</f>
        <v/>
      </c>
      <c r="E381" s="33">
        <f>IF(J381="H",SUMIFS(Transaksi!$G$2:$G$2001,Transaksi!$M$2:$M$2001,"="&amp;S381)+SUMIFS(Transaksi!$H$2:$H$2001,Transaksi!$M$2:$M$2001,"="&amp;S381)+SUMIFS(Transaksi!$I$2:$I$2001,Transaksi!$M$2:$M$2001,"="&amp;S381),IF(J381="E",IF(INDEX(Transaksi!$G$2:$G$2001,K381)+INDEX(Transaksi!$H$2:$H$2001,K381)+INDEX(Transaksi!$I$2:$I$2001,K381)=0,"",INDEX(Transaksi!$G$2:$G$2001,K381)+INDEX(Transaksi!$H$2:$H$2001,K381)+INDEX(Transaksi!$I$2:$I$2001,K381)),""))</f>
        <v/>
      </c>
      <c r="F381" s="33">
        <f>IF(J381="H",SUMIFS(Transaksi!$J$2:$J$2001,Transaksi!$M$2:$M$2001,"="&amp;S381),IF(J381="E",IF(INDEX(Transaksi!$J$2:$J$2001,K381)=0,"",INDEX(Transaksi!$J$2:$J$2001,K381)),""))</f>
        <v/>
      </c>
      <c r="G381" s="33">
        <f>IF(J381="H",(SUMIFS(Transaksi!$G$2:$G$2001,Transaksi!$M$2:$M$2001,"&lt;="&amp;S381)+SUMIFS(Transaksi!$H$2:$H$2001,Transaksi!$M$2:$M$2001,"&lt;="&amp;S381)+SUMIFS(Transaksi!$I$2:$I$2001,Transaksi!$M$2:$M$2001,"&lt;="&amp;S381))-(SUMIFS(Transaksi!$J$2:$J$2001,Transaksi!$M$2:$M$2001,"&lt;="&amp;S381)),"")</f>
        <v/>
      </c>
      <c r="I381">
        <f>IF(378&gt;$O$2,"",MATCH(378,$Q$3:$Q$402,1))</f>
        <v/>
      </c>
      <c r="J381">
        <f>IF(I381="","",IF(378=INDEX($Q$3:$Q$402,I381),"H","E"))</f>
        <v/>
      </c>
      <c r="K381">
        <f>IF(J381&lt;&gt;"E","",MATCH(S381,Transaksi!$M$2:$M$2001,0)+378-INDEX($Q$3:$Q$402,I381)-1)</f>
        <v/>
      </c>
      <c r="N381" t="n">
        <v>379</v>
      </c>
      <c r="O381">
        <f>IF(N381&lt;=$O$1,$O$1-N381+1,"")</f>
        <v/>
      </c>
      <c r="P381">
        <f>IF(O381="",0,COUNTIF(Transaksi!$M$2:$M$2001,O381)+1)</f>
        <v/>
      </c>
      <c r="Q381">
        <f>1+SUM(P$2:P380)</f>
        <v/>
      </c>
      <c r="S381">
        <f>IF(I381="","",INDEX($O$3:$O$402,I381))</f>
        <v/>
      </c>
      <c r="T381">
        <f>IF(J381&lt;&gt;"H","",INDEX(Transaksi!$A$2:$A$2001,MATCH(S381,Transaksi!$M$2:$M$2001,0)))</f>
        <v/>
      </c>
    </row>
    <row r="382">
      <c r="A382" s="31">
        <f>IF(J382="E",IF(INDEX(Transaksi!$J$2:$J$2001,K382)&gt;0,"↑","↓"),"")</f>
        <v/>
      </c>
      <c r="B382" s="32">
        <f>IF(J382="H",CHOOSE(WEEKDAY(T382,2),"Isnin","Selasa","Rabu","Khamis","Jumaat","Sabtu","Ahad")&amp;", "&amp;DAY(T382)&amp;" "&amp;CHOOSE(MONTH(T382),"Jan","Feb","Mac","Apr","Mei","Jun","Jul","Ogo","Sep","Okt","Nov","Dis")&amp;" "&amp;YEAR(T382),IF(J382="E",IF(INDEX(Transaksi!$B$2:$B$2001,K382)="",INDEX(Transaksi!$C$2:$C$2001,K382)&amp;" · "&amp;INDEX(Transaksi!$D$2:$D$2001,K382),INDEX(Transaksi!$B$2:$B$2001,K382)),""))</f>
        <v/>
      </c>
      <c r="C382" s="32">
        <f>IF(J382="E",INDEX(Transaksi!$C$2:$C$2001,K382)&amp;"","")</f>
        <v/>
      </c>
      <c r="D382" s="32">
        <f>IF(J382="E",INDEX(Transaksi!$D$2:$D$2001,K382)&amp;"","")</f>
        <v/>
      </c>
      <c r="E382" s="33">
        <f>IF(J382="H",SUMIFS(Transaksi!$G$2:$G$2001,Transaksi!$M$2:$M$2001,"="&amp;S382)+SUMIFS(Transaksi!$H$2:$H$2001,Transaksi!$M$2:$M$2001,"="&amp;S382)+SUMIFS(Transaksi!$I$2:$I$2001,Transaksi!$M$2:$M$2001,"="&amp;S382),IF(J382="E",IF(INDEX(Transaksi!$G$2:$G$2001,K382)+INDEX(Transaksi!$H$2:$H$2001,K382)+INDEX(Transaksi!$I$2:$I$2001,K382)=0,"",INDEX(Transaksi!$G$2:$G$2001,K382)+INDEX(Transaksi!$H$2:$H$2001,K382)+INDEX(Transaksi!$I$2:$I$2001,K382)),""))</f>
        <v/>
      </c>
      <c r="F382" s="33">
        <f>IF(J382="H",SUMIFS(Transaksi!$J$2:$J$2001,Transaksi!$M$2:$M$2001,"="&amp;S382),IF(J382="E",IF(INDEX(Transaksi!$J$2:$J$2001,K382)=0,"",INDEX(Transaksi!$J$2:$J$2001,K382)),""))</f>
        <v/>
      </c>
      <c r="G382" s="33">
        <f>IF(J382="H",(SUMIFS(Transaksi!$G$2:$G$2001,Transaksi!$M$2:$M$2001,"&lt;="&amp;S382)+SUMIFS(Transaksi!$H$2:$H$2001,Transaksi!$M$2:$M$2001,"&lt;="&amp;S382)+SUMIFS(Transaksi!$I$2:$I$2001,Transaksi!$M$2:$M$2001,"&lt;="&amp;S382))-(SUMIFS(Transaksi!$J$2:$J$2001,Transaksi!$M$2:$M$2001,"&lt;="&amp;S382)),"")</f>
        <v/>
      </c>
      <c r="I382">
        <f>IF(379&gt;$O$2,"",MATCH(379,$Q$3:$Q$402,1))</f>
        <v/>
      </c>
      <c r="J382">
        <f>IF(I382="","",IF(379=INDEX($Q$3:$Q$402,I382),"H","E"))</f>
        <v/>
      </c>
      <c r="K382">
        <f>IF(J382&lt;&gt;"E","",MATCH(S382,Transaksi!$M$2:$M$2001,0)+379-INDEX($Q$3:$Q$402,I382)-1)</f>
        <v/>
      </c>
      <c r="N382" t="n">
        <v>380</v>
      </c>
      <c r="O382">
        <f>IF(N382&lt;=$O$1,$O$1-N382+1,"")</f>
        <v/>
      </c>
      <c r="P382">
        <f>IF(O382="",0,COUNTIF(Transaksi!$M$2:$M$2001,O382)+1)</f>
        <v/>
      </c>
      <c r="Q382">
        <f>1+SUM(P$2:P381)</f>
        <v/>
      </c>
      <c r="S382">
        <f>IF(I382="","",INDEX($O$3:$O$402,I382))</f>
        <v/>
      </c>
      <c r="T382">
        <f>IF(J382&lt;&gt;"H","",INDEX(Transaksi!$A$2:$A$2001,MATCH(S382,Transaksi!$M$2:$M$2001,0)))</f>
        <v/>
      </c>
    </row>
    <row r="383">
      <c r="A383" s="31">
        <f>IF(J383="E",IF(INDEX(Transaksi!$J$2:$J$2001,K383)&gt;0,"↑","↓"),"")</f>
        <v/>
      </c>
      <c r="B383" s="32">
        <f>IF(J383="H",CHOOSE(WEEKDAY(T383,2),"Isnin","Selasa","Rabu","Khamis","Jumaat","Sabtu","Ahad")&amp;", "&amp;DAY(T383)&amp;" "&amp;CHOOSE(MONTH(T383),"Jan","Feb","Mac","Apr","Mei","Jun","Jul","Ogo","Sep","Okt","Nov","Dis")&amp;" "&amp;YEAR(T383),IF(J383="E",IF(INDEX(Transaksi!$B$2:$B$2001,K383)="",INDEX(Transaksi!$C$2:$C$2001,K383)&amp;" · "&amp;INDEX(Transaksi!$D$2:$D$2001,K383),INDEX(Transaksi!$B$2:$B$2001,K383)),""))</f>
        <v/>
      </c>
      <c r="C383" s="32">
        <f>IF(J383="E",INDEX(Transaksi!$C$2:$C$2001,K383)&amp;"","")</f>
        <v/>
      </c>
      <c r="D383" s="32">
        <f>IF(J383="E",INDEX(Transaksi!$D$2:$D$2001,K383)&amp;"","")</f>
        <v/>
      </c>
      <c r="E383" s="33">
        <f>IF(J383="H",SUMIFS(Transaksi!$G$2:$G$2001,Transaksi!$M$2:$M$2001,"="&amp;S383)+SUMIFS(Transaksi!$H$2:$H$2001,Transaksi!$M$2:$M$2001,"="&amp;S383)+SUMIFS(Transaksi!$I$2:$I$2001,Transaksi!$M$2:$M$2001,"="&amp;S383),IF(J383="E",IF(INDEX(Transaksi!$G$2:$G$2001,K383)+INDEX(Transaksi!$H$2:$H$2001,K383)+INDEX(Transaksi!$I$2:$I$2001,K383)=0,"",INDEX(Transaksi!$G$2:$G$2001,K383)+INDEX(Transaksi!$H$2:$H$2001,K383)+INDEX(Transaksi!$I$2:$I$2001,K383)),""))</f>
        <v/>
      </c>
      <c r="F383" s="33">
        <f>IF(J383="H",SUMIFS(Transaksi!$J$2:$J$2001,Transaksi!$M$2:$M$2001,"="&amp;S383),IF(J383="E",IF(INDEX(Transaksi!$J$2:$J$2001,K383)=0,"",INDEX(Transaksi!$J$2:$J$2001,K383)),""))</f>
        <v/>
      </c>
      <c r="G383" s="33">
        <f>IF(J383="H",(SUMIFS(Transaksi!$G$2:$G$2001,Transaksi!$M$2:$M$2001,"&lt;="&amp;S383)+SUMIFS(Transaksi!$H$2:$H$2001,Transaksi!$M$2:$M$2001,"&lt;="&amp;S383)+SUMIFS(Transaksi!$I$2:$I$2001,Transaksi!$M$2:$M$2001,"&lt;="&amp;S383))-(SUMIFS(Transaksi!$J$2:$J$2001,Transaksi!$M$2:$M$2001,"&lt;="&amp;S383)),"")</f>
        <v/>
      </c>
      <c r="I383">
        <f>IF(380&gt;$O$2,"",MATCH(380,$Q$3:$Q$402,1))</f>
        <v/>
      </c>
      <c r="J383">
        <f>IF(I383="","",IF(380=INDEX($Q$3:$Q$402,I383),"H","E"))</f>
        <v/>
      </c>
      <c r="K383">
        <f>IF(J383&lt;&gt;"E","",MATCH(S383,Transaksi!$M$2:$M$2001,0)+380-INDEX($Q$3:$Q$402,I383)-1)</f>
        <v/>
      </c>
      <c r="N383" t="n">
        <v>381</v>
      </c>
      <c r="O383">
        <f>IF(N383&lt;=$O$1,$O$1-N383+1,"")</f>
        <v/>
      </c>
      <c r="P383">
        <f>IF(O383="",0,COUNTIF(Transaksi!$M$2:$M$2001,O383)+1)</f>
        <v/>
      </c>
      <c r="Q383">
        <f>1+SUM(P$2:P382)</f>
        <v/>
      </c>
      <c r="S383">
        <f>IF(I383="","",INDEX($O$3:$O$402,I383))</f>
        <v/>
      </c>
      <c r="T383">
        <f>IF(J383&lt;&gt;"H","",INDEX(Transaksi!$A$2:$A$2001,MATCH(S383,Transaksi!$M$2:$M$2001,0)))</f>
        <v/>
      </c>
    </row>
    <row r="384">
      <c r="A384" s="31">
        <f>IF(J384="E",IF(INDEX(Transaksi!$J$2:$J$2001,K384)&gt;0,"↑","↓"),"")</f>
        <v/>
      </c>
      <c r="B384" s="32">
        <f>IF(J384="H",CHOOSE(WEEKDAY(T384,2),"Isnin","Selasa","Rabu","Khamis","Jumaat","Sabtu","Ahad")&amp;", "&amp;DAY(T384)&amp;" "&amp;CHOOSE(MONTH(T384),"Jan","Feb","Mac","Apr","Mei","Jun","Jul","Ogo","Sep","Okt","Nov","Dis")&amp;" "&amp;YEAR(T384),IF(J384="E",IF(INDEX(Transaksi!$B$2:$B$2001,K384)="",INDEX(Transaksi!$C$2:$C$2001,K384)&amp;" · "&amp;INDEX(Transaksi!$D$2:$D$2001,K384),INDEX(Transaksi!$B$2:$B$2001,K384)),""))</f>
        <v/>
      </c>
      <c r="C384" s="32">
        <f>IF(J384="E",INDEX(Transaksi!$C$2:$C$2001,K384)&amp;"","")</f>
        <v/>
      </c>
      <c r="D384" s="32">
        <f>IF(J384="E",INDEX(Transaksi!$D$2:$D$2001,K384)&amp;"","")</f>
        <v/>
      </c>
      <c r="E384" s="33">
        <f>IF(J384="H",SUMIFS(Transaksi!$G$2:$G$2001,Transaksi!$M$2:$M$2001,"="&amp;S384)+SUMIFS(Transaksi!$H$2:$H$2001,Transaksi!$M$2:$M$2001,"="&amp;S384)+SUMIFS(Transaksi!$I$2:$I$2001,Transaksi!$M$2:$M$2001,"="&amp;S384),IF(J384="E",IF(INDEX(Transaksi!$G$2:$G$2001,K384)+INDEX(Transaksi!$H$2:$H$2001,K384)+INDEX(Transaksi!$I$2:$I$2001,K384)=0,"",INDEX(Transaksi!$G$2:$G$2001,K384)+INDEX(Transaksi!$H$2:$H$2001,K384)+INDEX(Transaksi!$I$2:$I$2001,K384)),""))</f>
        <v/>
      </c>
      <c r="F384" s="33">
        <f>IF(J384="H",SUMIFS(Transaksi!$J$2:$J$2001,Transaksi!$M$2:$M$2001,"="&amp;S384),IF(J384="E",IF(INDEX(Transaksi!$J$2:$J$2001,K384)=0,"",INDEX(Transaksi!$J$2:$J$2001,K384)),""))</f>
        <v/>
      </c>
      <c r="G384" s="33">
        <f>IF(J384="H",(SUMIFS(Transaksi!$G$2:$G$2001,Transaksi!$M$2:$M$2001,"&lt;="&amp;S384)+SUMIFS(Transaksi!$H$2:$H$2001,Transaksi!$M$2:$M$2001,"&lt;="&amp;S384)+SUMIFS(Transaksi!$I$2:$I$2001,Transaksi!$M$2:$M$2001,"&lt;="&amp;S384))-(SUMIFS(Transaksi!$J$2:$J$2001,Transaksi!$M$2:$M$2001,"&lt;="&amp;S384)),"")</f>
        <v/>
      </c>
      <c r="I384">
        <f>IF(381&gt;$O$2,"",MATCH(381,$Q$3:$Q$402,1))</f>
        <v/>
      </c>
      <c r="J384">
        <f>IF(I384="","",IF(381=INDEX($Q$3:$Q$402,I384),"H","E"))</f>
        <v/>
      </c>
      <c r="K384">
        <f>IF(J384&lt;&gt;"E","",MATCH(S384,Transaksi!$M$2:$M$2001,0)+381-INDEX($Q$3:$Q$402,I384)-1)</f>
        <v/>
      </c>
      <c r="N384" t="n">
        <v>382</v>
      </c>
      <c r="O384">
        <f>IF(N384&lt;=$O$1,$O$1-N384+1,"")</f>
        <v/>
      </c>
      <c r="P384">
        <f>IF(O384="",0,COUNTIF(Transaksi!$M$2:$M$2001,O384)+1)</f>
        <v/>
      </c>
      <c r="Q384">
        <f>1+SUM(P$2:P383)</f>
        <v/>
      </c>
      <c r="S384">
        <f>IF(I384="","",INDEX($O$3:$O$402,I384))</f>
        <v/>
      </c>
      <c r="T384">
        <f>IF(J384&lt;&gt;"H","",INDEX(Transaksi!$A$2:$A$2001,MATCH(S384,Transaksi!$M$2:$M$2001,0)))</f>
        <v/>
      </c>
    </row>
    <row r="385">
      <c r="A385" s="31">
        <f>IF(J385="E",IF(INDEX(Transaksi!$J$2:$J$2001,K385)&gt;0,"↑","↓"),"")</f>
        <v/>
      </c>
      <c r="B385" s="32">
        <f>IF(J385="H",CHOOSE(WEEKDAY(T385,2),"Isnin","Selasa","Rabu","Khamis","Jumaat","Sabtu","Ahad")&amp;", "&amp;DAY(T385)&amp;" "&amp;CHOOSE(MONTH(T385),"Jan","Feb","Mac","Apr","Mei","Jun","Jul","Ogo","Sep","Okt","Nov","Dis")&amp;" "&amp;YEAR(T385),IF(J385="E",IF(INDEX(Transaksi!$B$2:$B$2001,K385)="",INDEX(Transaksi!$C$2:$C$2001,K385)&amp;" · "&amp;INDEX(Transaksi!$D$2:$D$2001,K385),INDEX(Transaksi!$B$2:$B$2001,K385)),""))</f>
        <v/>
      </c>
      <c r="C385" s="32">
        <f>IF(J385="E",INDEX(Transaksi!$C$2:$C$2001,K385)&amp;"","")</f>
        <v/>
      </c>
      <c r="D385" s="32">
        <f>IF(J385="E",INDEX(Transaksi!$D$2:$D$2001,K385)&amp;"","")</f>
        <v/>
      </c>
      <c r="E385" s="33">
        <f>IF(J385="H",SUMIFS(Transaksi!$G$2:$G$2001,Transaksi!$M$2:$M$2001,"="&amp;S385)+SUMIFS(Transaksi!$H$2:$H$2001,Transaksi!$M$2:$M$2001,"="&amp;S385)+SUMIFS(Transaksi!$I$2:$I$2001,Transaksi!$M$2:$M$2001,"="&amp;S385),IF(J385="E",IF(INDEX(Transaksi!$G$2:$G$2001,K385)+INDEX(Transaksi!$H$2:$H$2001,K385)+INDEX(Transaksi!$I$2:$I$2001,K385)=0,"",INDEX(Transaksi!$G$2:$G$2001,K385)+INDEX(Transaksi!$H$2:$H$2001,K385)+INDEX(Transaksi!$I$2:$I$2001,K385)),""))</f>
        <v/>
      </c>
      <c r="F385" s="33">
        <f>IF(J385="H",SUMIFS(Transaksi!$J$2:$J$2001,Transaksi!$M$2:$M$2001,"="&amp;S385),IF(J385="E",IF(INDEX(Transaksi!$J$2:$J$2001,K385)=0,"",INDEX(Transaksi!$J$2:$J$2001,K385)),""))</f>
        <v/>
      </c>
      <c r="G385" s="33">
        <f>IF(J385="H",(SUMIFS(Transaksi!$G$2:$G$2001,Transaksi!$M$2:$M$2001,"&lt;="&amp;S385)+SUMIFS(Transaksi!$H$2:$H$2001,Transaksi!$M$2:$M$2001,"&lt;="&amp;S385)+SUMIFS(Transaksi!$I$2:$I$2001,Transaksi!$M$2:$M$2001,"&lt;="&amp;S385))-(SUMIFS(Transaksi!$J$2:$J$2001,Transaksi!$M$2:$M$2001,"&lt;="&amp;S385)),"")</f>
        <v/>
      </c>
      <c r="I385">
        <f>IF(382&gt;$O$2,"",MATCH(382,$Q$3:$Q$402,1))</f>
        <v/>
      </c>
      <c r="J385">
        <f>IF(I385="","",IF(382=INDEX($Q$3:$Q$402,I385),"H","E"))</f>
        <v/>
      </c>
      <c r="K385">
        <f>IF(J385&lt;&gt;"E","",MATCH(S385,Transaksi!$M$2:$M$2001,0)+382-INDEX($Q$3:$Q$402,I385)-1)</f>
        <v/>
      </c>
      <c r="N385" t="n">
        <v>383</v>
      </c>
      <c r="O385">
        <f>IF(N385&lt;=$O$1,$O$1-N385+1,"")</f>
        <v/>
      </c>
      <c r="P385">
        <f>IF(O385="",0,COUNTIF(Transaksi!$M$2:$M$2001,O385)+1)</f>
        <v/>
      </c>
      <c r="Q385">
        <f>1+SUM(P$2:P384)</f>
        <v/>
      </c>
      <c r="S385">
        <f>IF(I385="","",INDEX($O$3:$O$402,I385))</f>
        <v/>
      </c>
      <c r="T385">
        <f>IF(J385&lt;&gt;"H","",INDEX(Transaksi!$A$2:$A$2001,MATCH(S385,Transaksi!$M$2:$M$2001,0)))</f>
        <v/>
      </c>
    </row>
    <row r="386">
      <c r="A386" s="31">
        <f>IF(J386="E",IF(INDEX(Transaksi!$J$2:$J$2001,K386)&gt;0,"↑","↓"),"")</f>
        <v/>
      </c>
      <c r="B386" s="32">
        <f>IF(J386="H",CHOOSE(WEEKDAY(T386,2),"Isnin","Selasa","Rabu","Khamis","Jumaat","Sabtu","Ahad")&amp;", "&amp;DAY(T386)&amp;" "&amp;CHOOSE(MONTH(T386),"Jan","Feb","Mac","Apr","Mei","Jun","Jul","Ogo","Sep","Okt","Nov","Dis")&amp;" "&amp;YEAR(T386),IF(J386="E",IF(INDEX(Transaksi!$B$2:$B$2001,K386)="",INDEX(Transaksi!$C$2:$C$2001,K386)&amp;" · "&amp;INDEX(Transaksi!$D$2:$D$2001,K386),INDEX(Transaksi!$B$2:$B$2001,K386)),""))</f>
        <v/>
      </c>
      <c r="C386" s="32">
        <f>IF(J386="E",INDEX(Transaksi!$C$2:$C$2001,K386)&amp;"","")</f>
        <v/>
      </c>
      <c r="D386" s="32">
        <f>IF(J386="E",INDEX(Transaksi!$D$2:$D$2001,K386)&amp;"","")</f>
        <v/>
      </c>
      <c r="E386" s="33">
        <f>IF(J386="H",SUMIFS(Transaksi!$G$2:$G$2001,Transaksi!$M$2:$M$2001,"="&amp;S386)+SUMIFS(Transaksi!$H$2:$H$2001,Transaksi!$M$2:$M$2001,"="&amp;S386)+SUMIFS(Transaksi!$I$2:$I$2001,Transaksi!$M$2:$M$2001,"="&amp;S386),IF(J386="E",IF(INDEX(Transaksi!$G$2:$G$2001,K386)+INDEX(Transaksi!$H$2:$H$2001,K386)+INDEX(Transaksi!$I$2:$I$2001,K386)=0,"",INDEX(Transaksi!$G$2:$G$2001,K386)+INDEX(Transaksi!$H$2:$H$2001,K386)+INDEX(Transaksi!$I$2:$I$2001,K386)),""))</f>
        <v/>
      </c>
      <c r="F386" s="33">
        <f>IF(J386="H",SUMIFS(Transaksi!$J$2:$J$2001,Transaksi!$M$2:$M$2001,"="&amp;S386),IF(J386="E",IF(INDEX(Transaksi!$J$2:$J$2001,K386)=0,"",INDEX(Transaksi!$J$2:$J$2001,K386)),""))</f>
        <v/>
      </c>
      <c r="G386" s="33">
        <f>IF(J386="H",(SUMIFS(Transaksi!$G$2:$G$2001,Transaksi!$M$2:$M$2001,"&lt;="&amp;S386)+SUMIFS(Transaksi!$H$2:$H$2001,Transaksi!$M$2:$M$2001,"&lt;="&amp;S386)+SUMIFS(Transaksi!$I$2:$I$2001,Transaksi!$M$2:$M$2001,"&lt;="&amp;S386))-(SUMIFS(Transaksi!$J$2:$J$2001,Transaksi!$M$2:$M$2001,"&lt;="&amp;S386)),"")</f>
        <v/>
      </c>
      <c r="I386">
        <f>IF(383&gt;$O$2,"",MATCH(383,$Q$3:$Q$402,1))</f>
        <v/>
      </c>
      <c r="J386">
        <f>IF(I386="","",IF(383=INDEX($Q$3:$Q$402,I386),"H","E"))</f>
        <v/>
      </c>
      <c r="K386">
        <f>IF(J386&lt;&gt;"E","",MATCH(S386,Transaksi!$M$2:$M$2001,0)+383-INDEX($Q$3:$Q$402,I386)-1)</f>
        <v/>
      </c>
      <c r="N386" t="n">
        <v>384</v>
      </c>
      <c r="O386">
        <f>IF(N386&lt;=$O$1,$O$1-N386+1,"")</f>
        <v/>
      </c>
      <c r="P386">
        <f>IF(O386="",0,COUNTIF(Transaksi!$M$2:$M$2001,O386)+1)</f>
        <v/>
      </c>
      <c r="Q386">
        <f>1+SUM(P$2:P385)</f>
        <v/>
      </c>
      <c r="S386">
        <f>IF(I386="","",INDEX($O$3:$O$402,I386))</f>
        <v/>
      </c>
      <c r="T386">
        <f>IF(J386&lt;&gt;"H","",INDEX(Transaksi!$A$2:$A$2001,MATCH(S386,Transaksi!$M$2:$M$2001,0)))</f>
        <v/>
      </c>
    </row>
    <row r="387">
      <c r="A387" s="31">
        <f>IF(J387="E",IF(INDEX(Transaksi!$J$2:$J$2001,K387)&gt;0,"↑","↓"),"")</f>
        <v/>
      </c>
      <c r="B387" s="32">
        <f>IF(J387="H",CHOOSE(WEEKDAY(T387,2),"Isnin","Selasa","Rabu","Khamis","Jumaat","Sabtu","Ahad")&amp;", "&amp;DAY(T387)&amp;" "&amp;CHOOSE(MONTH(T387),"Jan","Feb","Mac","Apr","Mei","Jun","Jul","Ogo","Sep","Okt","Nov","Dis")&amp;" "&amp;YEAR(T387),IF(J387="E",IF(INDEX(Transaksi!$B$2:$B$2001,K387)="",INDEX(Transaksi!$C$2:$C$2001,K387)&amp;" · "&amp;INDEX(Transaksi!$D$2:$D$2001,K387),INDEX(Transaksi!$B$2:$B$2001,K387)),""))</f>
        <v/>
      </c>
      <c r="C387" s="32">
        <f>IF(J387="E",INDEX(Transaksi!$C$2:$C$2001,K387)&amp;"","")</f>
        <v/>
      </c>
      <c r="D387" s="32">
        <f>IF(J387="E",INDEX(Transaksi!$D$2:$D$2001,K387)&amp;"","")</f>
        <v/>
      </c>
      <c r="E387" s="33">
        <f>IF(J387="H",SUMIFS(Transaksi!$G$2:$G$2001,Transaksi!$M$2:$M$2001,"="&amp;S387)+SUMIFS(Transaksi!$H$2:$H$2001,Transaksi!$M$2:$M$2001,"="&amp;S387)+SUMIFS(Transaksi!$I$2:$I$2001,Transaksi!$M$2:$M$2001,"="&amp;S387),IF(J387="E",IF(INDEX(Transaksi!$G$2:$G$2001,K387)+INDEX(Transaksi!$H$2:$H$2001,K387)+INDEX(Transaksi!$I$2:$I$2001,K387)=0,"",INDEX(Transaksi!$G$2:$G$2001,K387)+INDEX(Transaksi!$H$2:$H$2001,K387)+INDEX(Transaksi!$I$2:$I$2001,K387)),""))</f>
        <v/>
      </c>
      <c r="F387" s="33">
        <f>IF(J387="H",SUMIFS(Transaksi!$J$2:$J$2001,Transaksi!$M$2:$M$2001,"="&amp;S387),IF(J387="E",IF(INDEX(Transaksi!$J$2:$J$2001,K387)=0,"",INDEX(Transaksi!$J$2:$J$2001,K387)),""))</f>
        <v/>
      </c>
      <c r="G387" s="33">
        <f>IF(J387="H",(SUMIFS(Transaksi!$G$2:$G$2001,Transaksi!$M$2:$M$2001,"&lt;="&amp;S387)+SUMIFS(Transaksi!$H$2:$H$2001,Transaksi!$M$2:$M$2001,"&lt;="&amp;S387)+SUMIFS(Transaksi!$I$2:$I$2001,Transaksi!$M$2:$M$2001,"&lt;="&amp;S387))-(SUMIFS(Transaksi!$J$2:$J$2001,Transaksi!$M$2:$M$2001,"&lt;="&amp;S387)),"")</f>
        <v/>
      </c>
      <c r="I387">
        <f>IF(384&gt;$O$2,"",MATCH(384,$Q$3:$Q$402,1))</f>
        <v/>
      </c>
      <c r="J387">
        <f>IF(I387="","",IF(384=INDEX($Q$3:$Q$402,I387),"H","E"))</f>
        <v/>
      </c>
      <c r="K387">
        <f>IF(J387&lt;&gt;"E","",MATCH(S387,Transaksi!$M$2:$M$2001,0)+384-INDEX($Q$3:$Q$402,I387)-1)</f>
        <v/>
      </c>
      <c r="N387" t="n">
        <v>385</v>
      </c>
      <c r="O387">
        <f>IF(N387&lt;=$O$1,$O$1-N387+1,"")</f>
        <v/>
      </c>
      <c r="P387">
        <f>IF(O387="",0,COUNTIF(Transaksi!$M$2:$M$2001,O387)+1)</f>
        <v/>
      </c>
      <c r="Q387">
        <f>1+SUM(P$2:P386)</f>
        <v/>
      </c>
      <c r="S387">
        <f>IF(I387="","",INDEX($O$3:$O$402,I387))</f>
        <v/>
      </c>
      <c r="T387">
        <f>IF(J387&lt;&gt;"H","",INDEX(Transaksi!$A$2:$A$2001,MATCH(S387,Transaksi!$M$2:$M$2001,0)))</f>
        <v/>
      </c>
    </row>
    <row r="388">
      <c r="A388" s="31">
        <f>IF(J388="E",IF(INDEX(Transaksi!$J$2:$J$2001,K388)&gt;0,"↑","↓"),"")</f>
        <v/>
      </c>
      <c r="B388" s="32">
        <f>IF(J388="H",CHOOSE(WEEKDAY(T388,2),"Isnin","Selasa","Rabu","Khamis","Jumaat","Sabtu","Ahad")&amp;", "&amp;DAY(T388)&amp;" "&amp;CHOOSE(MONTH(T388),"Jan","Feb","Mac","Apr","Mei","Jun","Jul","Ogo","Sep","Okt","Nov","Dis")&amp;" "&amp;YEAR(T388),IF(J388="E",IF(INDEX(Transaksi!$B$2:$B$2001,K388)="",INDEX(Transaksi!$C$2:$C$2001,K388)&amp;" · "&amp;INDEX(Transaksi!$D$2:$D$2001,K388),INDEX(Transaksi!$B$2:$B$2001,K388)),""))</f>
        <v/>
      </c>
      <c r="C388" s="32">
        <f>IF(J388="E",INDEX(Transaksi!$C$2:$C$2001,K388)&amp;"","")</f>
        <v/>
      </c>
      <c r="D388" s="32">
        <f>IF(J388="E",INDEX(Transaksi!$D$2:$D$2001,K388)&amp;"","")</f>
        <v/>
      </c>
      <c r="E388" s="33">
        <f>IF(J388="H",SUMIFS(Transaksi!$G$2:$G$2001,Transaksi!$M$2:$M$2001,"="&amp;S388)+SUMIFS(Transaksi!$H$2:$H$2001,Transaksi!$M$2:$M$2001,"="&amp;S388)+SUMIFS(Transaksi!$I$2:$I$2001,Transaksi!$M$2:$M$2001,"="&amp;S388),IF(J388="E",IF(INDEX(Transaksi!$G$2:$G$2001,K388)+INDEX(Transaksi!$H$2:$H$2001,K388)+INDEX(Transaksi!$I$2:$I$2001,K388)=0,"",INDEX(Transaksi!$G$2:$G$2001,K388)+INDEX(Transaksi!$H$2:$H$2001,K388)+INDEX(Transaksi!$I$2:$I$2001,K388)),""))</f>
        <v/>
      </c>
      <c r="F388" s="33">
        <f>IF(J388="H",SUMIFS(Transaksi!$J$2:$J$2001,Transaksi!$M$2:$M$2001,"="&amp;S388),IF(J388="E",IF(INDEX(Transaksi!$J$2:$J$2001,K388)=0,"",INDEX(Transaksi!$J$2:$J$2001,K388)),""))</f>
        <v/>
      </c>
      <c r="G388" s="33">
        <f>IF(J388="H",(SUMIFS(Transaksi!$G$2:$G$2001,Transaksi!$M$2:$M$2001,"&lt;="&amp;S388)+SUMIFS(Transaksi!$H$2:$H$2001,Transaksi!$M$2:$M$2001,"&lt;="&amp;S388)+SUMIFS(Transaksi!$I$2:$I$2001,Transaksi!$M$2:$M$2001,"&lt;="&amp;S388))-(SUMIFS(Transaksi!$J$2:$J$2001,Transaksi!$M$2:$M$2001,"&lt;="&amp;S388)),"")</f>
        <v/>
      </c>
      <c r="I388">
        <f>IF(385&gt;$O$2,"",MATCH(385,$Q$3:$Q$402,1))</f>
        <v/>
      </c>
      <c r="J388">
        <f>IF(I388="","",IF(385=INDEX($Q$3:$Q$402,I388),"H","E"))</f>
        <v/>
      </c>
      <c r="K388">
        <f>IF(J388&lt;&gt;"E","",MATCH(S388,Transaksi!$M$2:$M$2001,0)+385-INDEX($Q$3:$Q$402,I388)-1)</f>
        <v/>
      </c>
      <c r="N388" t="n">
        <v>386</v>
      </c>
      <c r="O388">
        <f>IF(N388&lt;=$O$1,$O$1-N388+1,"")</f>
        <v/>
      </c>
      <c r="P388">
        <f>IF(O388="",0,COUNTIF(Transaksi!$M$2:$M$2001,O388)+1)</f>
        <v/>
      </c>
      <c r="Q388">
        <f>1+SUM(P$2:P387)</f>
        <v/>
      </c>
      <c r="S388">
        <f>IF(I388="","",INDEX($O$3:$O$402,I388))</f>
        <v/>
      </c>
      <c r="T388">
        <f>IF(J388&lt;&gt;"H","",INDEX(Transaksi!$A$2:$A$2001,MATCH(S388,Transaksi!$M$2:$M$2001,0)))</f>
        <v/>
      </c>
    </row>
    <row r="389">
      <c r="A389" s="31">
        <f>IF(J389="E",IF(INDEX(Transaksi!$J$2:$J$2001,K389)&gt;0,"↑","↓"),"")</f>
        <v/>
      </c>
      <c r="B389" s="32">
        <f>IF(J389="H",CHOOSE(WEEKDAY(T389,2),"Isnin","Selasa","Rabu","Khamis","Jumaat","Sabtu","Ahad")&amp;", "&amp;DAY(T389)&amp;" "&amp;CHOOSE(MONTH(T389),"Jan","Feb","Mac","Apr","Mei","Jun","Jul","Ogo","Sep","Okt","Nov","Dis")&amp;" "&amp;YEAR(T389),IF(J389="E",IF(INDEX(Transaksi!$B$2:$B$2001,K389)="",INDEX(Transaksi!$C$2:$C$2001,K389)&amp;" · "&amp;INDEX(Transaksi!$D$2:$D$2001,K389),INDEX(Transaksi!$B$2:$B$2001,K389)),""))</f>
        <v/>
      </c>
      <c r="C389" s="32">
        <f>IF(J389="E",INDEX(Transaksi!$C$2:$C$2001,K389)&amp;"","")</f>
        <v/>
      </c>
      <c r="D389" s="32">
        <f>IF(J389="E",INDEX(Transaksi!$D$2:$D$2001,K389)&amp;"","")</f>
        <v/>
      </c>
      <c r="E389" s="33">
        <f>IF(J389="H",SUMIFS(Transaksi!$G$2:$G$2001,Transaksi!$M$2:$M$2001,"="&amp;S389)+SUMIFS(Transaksi!$H$2:$H$2001,Transaksi!$M$2:$M$2001,"="&amp;S389)+SUMIFS(Transaksi!$I$2:$I$2001,Transaksi!$M$2:$M$2001,"="&amp;S389),IF(J389="E",IF(INDEX(Transaksi!$G$2:$G$2001,K389)+INDEX(Transaksi!$H$2:$H$2001,K389)+INDEX(Transaksi!$I$2:$I$2001,K389)=0,"",INDEX(Transaksi!$G$2:$G$2001,K389)+INDEX(Transaksi!$H$2:$H$2001,K389)+INDEX(Transaksi!$I$2:$I$2001,K389)),""))</f>
        <v/>
      </c>
      <c r="F389" s="33">
        <f>IF(J389="H",SUMIFS(Transaksi!$J$2:$J$2001,Transaksi!$M$2:$M$2001,"="&amp;S389),IF(J389="E",IF(INDEX(Transaksi!$J$2:$J$2001,K389)=0,"",INDEX(Transaksi!$J$2:$J$2001,K389)),""))</f>
        <v/>
      </c>
      <c r="G389" s="33">
        <f>IF(J389="H",(SUMIFS(Transaksi!$G$2:$G$2001,Transaksi!$M$2:$M$2001,"&lt;="&amp;S389)+SUMIFS(Transaksi!$H$2:$H$2001,Transaksi!$M$2:$M$2001,"&lt;="&amp;S389)+SUMIFS(Transaksi!$I$2:$I$2001,Transaksi!$M$2:$M$2001,"&lt;="&amp;S389))-(SUMIFS(Transaksi!$J$2:$J$2001,Transaksi!$M$2:$M$2001,"&lt;="&amp;S389)),"")</f>
        <v/>
      </c>
      <c r="I389">
        <f>IF(386&gt;$O$2,"",MATCH(386,$Q$3:$Q$402,1))</f>
        <v/>
      </c>
      <c r="J389">
        <f>IF(I389="","",IF(386=INDEX($Q$3:$Q$402,I389),"H","E"))</f>
        <v/>
      </c>
      <c r="K389">
        <f>IF(J389&lt;&gt;"E","",MATCH(S389,Transaksi!$M$2:$M$2001,0)+386-INDEX($Q$3:$Q$402,I389)-1)</f>
        <v/>
      </c>
      <c r="N389" t="n">
        <v>387</v>
      </c>
      <c r="O389">
        <f>IF(N389&lt;=$O$1,$O$1-N389+1,"")</f>
        <v/>
      </c>
      <c r="P389">
        <f>IF(O389="",0,COUNTIF(Transaksi!$M$2:$M$2001,O389)+1)</f>
        <v/>
      </c>
      <c r="Q389">
        <f>1+SUM(P$2:P388)</f>
        <v/>
      </c>
      <c r="S389">
        <f>IF(I389="","",INDEX($O$3:$O$402,I389))</f>
        <v/>
      </c>
      <c r="T389">
        <f>IF(J389&lt;&gt;"H","",INDEX(Transaksi!$A$2:$A$2001,MATCH(S389,Transaksi!$M$2:$M$2001,0)))</f>
        <v/>
      </c>
    </row>
    <row r="390">
      <c r="A390" s="31">
        <f>IF(J390="E",IF(INDEX(Transaksi!$J$2:$J$2001,K390)&gt;0,"↑","↓"),"")</f>
        <v/>
      </c>
      <c r="B390" s="32">
        <f>IF(J390="H",CHOOSE(WEEKDAY(T390,2),"Isnin","Selasa","Rabu","Khamis","Jumaat","Sabtu","Ahad")&amp;", "&amp;DAY(T390)&amp;" "&amp;CHOOSE(MONTH(T390),"Jan","Feb","Mac","Apr","Mei","Jun","Jul","Ogo","Sep","Okt","Nov","Dis")&amp;" "&amp;YEAR(T390),IF(J390="E",IF(INDEX(Transaksi!$B$2:$B$2001,K390)="",INDEX(Transaksi!$C$2:$C$2001,K390)&amp;" · "&amp;INDEX(Transaksi!$D$2:$D$2001,K390),INDEX(Transaksi!$B$2:$B$2001,K390)),""))</f>
        <v/>
      </c>
      <c r="C390" s="32">
        <f>IF(J390="E",INDEX(Transaksi!$C$2:$C$2001,K390)&amp;"","")</f>
        <v/>
      </c>
      <c r="D390" s="32">
        <f>IF(J390="E",INDEX(Transaksi!$D$2:$D$2001,K390)&amp;"","")</f>
        <v/>
      </c>
      <c r="E390" s="33">
        <f>IF(J390="H",SUMIFS(Transaksi!$G$2:$G$2001,Transaksi!$M$2:$M$2001,"="&amp;S390)+SUMIFS(Transaksi!$H$2:$H$2001,Transaksi!$M$2:$M$2001,"="&amp;S390)+SUMIFS(Transaksi!$I$2:$I$2001,Transaksi!$M$2:$M$2001,"="&amp;S390),IF(J390="E",IF(INDEX(Transaksi!$G$2:$G$2001,K390)+INDEX(Transaksi!$H$2:$H$2001,K390)+INDEX(Transaksi!$I$2:$I$2001,K390)=0,"",INDEX(Transaksi!$G$2:$G$2001,K390)+INDEX(Transaksi!$H$2:$H$2001,K390)+INDEX(Transaksi!$I$2:$I$2001,K390)),""))</f>
        <v/>
      </c>
      <c r="F390" s="33">
        <f>IF(J390="H",SUMIFS(Transaksi!$J$2:$J$2001,Transaksi!$M$2:$M$2001,"="&amp;S390),IF(J390="E",IF(INDEX(Transaksi!$J$2:$J$2001,K390)=0,"",INDEX(Transaksi!$J$2:$J$2001,K390)),""))</f>
        <v/>
      </c>
      <c r="G390" s="33">
        <f>IF(J390="H",(SUMIFS(Transaksi!$G$2:$G$2001,Transaksi!$M$2:$M$2001,"&lt;="&amp;S390)+SUMIFS(Transaksi!$H$2:$H$2001,Transaksi!$M$2:$M$2001,"&lt;="&amp;S390)+SUMIFS(Transaksi!$I$2:$I$2001,Transaksi!$M$2:$M$2001,"&lt;="&amp;S390))-(SUMIFS(Transaksi!$J$2:$J$2001,Transaksi!$M$2:$M$2001,"&lt;="&amp;S390)),"")</f>
        <v/>
      </c>
      <c r="I390">
        <f>IF(387&gt;$O$2,"",MATCH(387,$Q$3:$Q$402,1))</f>
        <v/>
      </c>
      <c r="J390">
        <f>IF(I390="","",IF(387=INDEX($Q$3:$Q$402,I390),"H","E"))</f>
        <v/>
      </c>
      <c r="K390">
        <f>IF(J390&lt;&gt;"E","",MATCH(S390,Transaksi!$M$2:$M$2001,0)+387-INDEX($Q$3:$Q$402,I390)-1)</f>
        <v/>
      </c>
      <c r="N390" t="n">
        <v>388</v>
      </c>
      <c r="O390">
        <f>IF(N390&lt;=$O$1,$O$1-N390+1,"")</f>
        <v/>
      </c>
      <c r="P390">
        <f>IF(O390="",0,COUNTIF(Transaksi!$M$2:$M$2001,O390)+1)</f>
        <v/>
      </c>
      <c r="Q390">
        <f>1+SUM(P$2:P389)</f>
        <v/>
      </c>
      <c r="S390">
        <f>IF(I390="","",INDEX($O$3:$O$402,I390))</f>
        <v/>
      </c>
      <c r="T390">
        <f>IF(J390&lt;&gt;"H","",INDEX(Transaksi!$A$2:$A$2001,MATCH(S390,Transaksi!$M$2:$M$2001,0)))</f>
        <v/>
      </c>
    </row>
    <row r="391">
      <c r="A391" s="31">
        <f>IF(J391="E",IF(INDEX(Transaksi!$J$2:$J$2001,K391)&gt;0,"↑","↓"),"")</f>
        <v/>
      </c>
      <c r="B391" s="32">
        <f>IF(J391="H",CHOOSE(WEEKDAY(T391,2),"Isnin","Selasa","Rabu","Khamis","Jumaat","Sabtu","Ahad")&amp;", "&amp;DAY(T391)&amp;" "&amp;CHOOSE(MONTH(T391),"Jan","Feb","Mac","Apr","Mei","Jun","Jul","Ogo","Sep","Okt","Nov","Dis")&amp;" "&amp;YEAR(T391),IF(J391="E",IF(INDEX(Transaksi!$B$2:$B$2001,K391)="",INDEX(Transaksi!$C$2:$C$2001,K391)&amp;" · "&amp;INDEX(Transaksi!$D$2:$D$2001,K391),INDEX(Transaksi!$B$2:$B$2001,K391)),""))</f>
        <v/>
      </c>
      <c r="C391" s="32">
        <f>IF(J391="E",INDEX(Transaksi!$C$2:$C$2001,K391)&amp;"","")</f>
        <v/>
      </c>
      <c r="D391" s="32">
        <f>IF(J391="E",INDEX(Transaksi!$D$2:$D$2001,K391)&amp;"","")</f>
        <v/>
      </c>
      <c r="E391" s="33">
        <f>IF(J391="H",SUMIFS(Transaksi!$G$2:$G$2001,Transaksi!$M$2:$M$2001,"="&amp;S391)+SUMIFS(Transaksi!$H$2:$H$2001,Transaksi!$M$2:$M$2001,"="&amp;S391)+SUMIFS(Transaksi!$I$2:$I$2001,Transaksi!$M$2:$M$2001,"="&amp;S391),IF(J391="E",IF(INDEX(Transaksi!$G$2:$G$2001,K391)+INDEX(Transaksi!$H$2:$H$2001,K391)+INDEX(Transaksi!$I$2:$I$2001,K391)=0,"",INDEX(Transaksi!$G$2:$G$2001,K391)+INDEX(Transaksi!$H$2:$H$2001,K391)+INDEX(Transaksi!$I$2:$I$2001,K391)),""))</f>
        <v/>
      </c>
      <c r="F391" s="33">
        <f>IF(J391="H",SUMIFS(Transaksi!$J$2:$J$2001,Transaksi!$M$2:$M$2001,"="&amp;S391),IF(J391="E",IF(INDEX(Transaksi!$J$2:$J$2001,K391)=0,"",INDEX(Transaksi!$J$2:$J$2001,K391)),""))</f>
        <v/>
      </c>
      <c r="G391" s="33">
        <f>IF(J391="H",(SUMIFS(Transaksi!$G$2:$G$2001,Transaksi!$M$2:$M$2001,"&lt;="&amp;S391)+SUMIFS(Transaksi!$H$2:$H$2001,Transaksi!$M$2:$M$2001,"&lt;="&amp;S391)+SUMIFS(Transaksi!$I$2:$I$2001,Transaksi!$M$2:$M$2001,"&lt;="&amp;S391))-(SUMIFS(Transaksi!$J$2:$J$2001,Transaksi!$M$2:$M$2001,"&lt;="&amp;S391)),"")</f>
        <v/>
      </c>
      <c r="I391">
        <f>IF(388&gt;$O$2,"",MATCH(388,$Q$3:$Q$402,1))</f>
        <v/>
      </c>
      <c r="J391">
        <f>IF(I391="","",IF(388=INDEX($Q$3:$Q$402,I391),"H","E"))</f>
        <v/>
      </c>
      <c r="K391">
        <f>IF(J391&lt;&gt;"E","",MATCH(S391,Transaksi!$M$2:$M$2001,0)+388-INDEX($Q$3:$Q$402,I391)-1)</f>
        <v/>
      </c>
      <c r="N391" t="n">
        <v>389</v>
      </c>
      <c r="O391">
        <f>IF(N391&lt;=$O$1,$O$1-N391+1,"")</f>
        <v/>
      </c>
      <c r="P391">
        <f>IF(O391="",0,COUNTIF(Transaksi!$M$2:$M$2001,O391)+1)</f>
        <v/>
      </c>
      <c r="Q391">
        <f>1+SUM(P$2:P390)</f>
        <v/>
      </c>
      <c r="S391">
        <f>IF(I391="","",INDEX($O$3:$O$402,I391))</f>
        <v/>
      </c>
      <c r="T391">
        <f>IF(J391&lt;&gt;"H","",INDEX(Transaksi!$A$2:$A$2001,MATCH(S391,Transaksi!$M$2:$M$2001,0)))</f>
        <v/>
      </c>
    </row>
    <row r="392">
      <c r="A392" s="31">
        <f>IF(J392="E",IF(INDEX(Transaksi!$J$2:$J$2001,K392)&gt;0,"↑","↓"),"")</f>
        <v/>
      </c>
      <c r="B392" s="32">
        <f>IF(J392="H",CHOOSE(WEEKDAY(T392,2),"Isnin","Selasa","Rabu","Khamis","Jumaat","Sabtu","Ahad")&amp;", "&amp;DAY(T392)&amp;" "&amp;CHOOSE(MONTH(T392),"Jan","Feb","Mac","Apr","Mei","Jun","Jul","Ogo","Sep","Okt","Nov","Dis")&amp;" "&amp;YEAR(T392),IF(J392="E",IF(INDEX(Transaksi!$B$2:$B$2001,K392)="",INDEX(Transaksi!$C$2:$C$2001,K392)&amp;" · "&amp;INDEX(Transaksi!$D$2:$D$2001,K392),INDEX(Transaksi!$B$2:$B$2001,K392)),""))</f>
        <v/>
      </c>
      <c r="C392" s="32">
        <f>IF(J392="E",INDEX(Transaksi!$C$2:$C$2001,K392)&amp;"","")</f>
        <v/>
      </c>
      <c r="D392" s="32">
        <f>IF(J392="E",INDEX(Transaksi!$D$2:$D$2001,K392)&amp;"","")</f>
        <v/>
      </c>
      <c r="E392" s="33">
        <f>IF(J392="H",SUMIFS(Transaksi!$G$2:$G$2001,Transaksi!$M$2:$M$2001,"="&amp;S392)+SUMIFS(Transaksi!$H$2:$H$2001,Transaksi!$M$2:$M$2001,"="&amp;S392)+SUMIFS(Transaksi!$I$2:$I$2001,Transaksi!$M$2:$M$2001,"="&amp;S392),IF(J392="E",IF(INDEX(Transaksi!$G$2:$G$2001,K392)+INDEX(Transaksi!$H$2:$H$2001,K392)+INDEX(Transaksi!$I$2:$I$2001,K392)=0,"",INDEX(Transaksi!$G$2:$G$2001,K392)+INDEX(Transaksi!$H$2:$H$2001,K392)+INDEX(Transaksi!$I$2:$I$2001,K392)),""))</f>
        <v/>
      </c>
      <c r="F392" s="33">
        <f>IF(J392="H",SUMIFS(Transaksi!$J$2:$J$2001,Transaksi!$M$2:$M$2001,"="&amp;S392),IF(J392="E",IF(INDEX(Transaksi!$J$2:$J$2001,K392)=0,"",INDEX(Transaksi!$J$2:$J$2001,K392)),""))</f>
        <v/>
      </c>
      <c r="G392" s="33">
        <f>IF(J392="H",(SUMIFS(Transaksi!$G$2:$G$2001,Transaksi!$M$2:$M$2001,"&lt;="&amp;S392)+SUMIFS(Transaksi!$H$2:$H$2001,Transaksi!$M$2:$M$2001,"&lt;="&amp;S392)+SUMIFS(Transaksi!$I$2:$I$2001,Transaksi!$M$2:$M$2001,"&lt;="&amp;S392))-(SUMIFS(Transaksi!$J$2:$J$2001,Transaksi!$M$2:$M$2001,"&lt;="&amp;S392)),"")</f>
        <v/>
      </c>
      <c r="I392">
        <f>IF(389&gt;$O$2,"",MATCH(389,$Q$3:$Q$402,1))</f>
        <v/>
      </c>
      <c r="J392">
        <f>IF(I392="","",IF(389=INDEX($Q$3:$Q$402,I392),"H","E"))</f>
        <v/>
      </c>
      <c r="K392">
        <f>IF(J392&lt;&gt;"E","",MATCH(S392,Transaksi!$M$2:$M$2001,0)+389-INDEX($Q$3:$Q$402,I392)-1)</f>
        <v/>
      </c>
      <c r="N392" t="n">
        <v>390</v>
      </c>
      <c r="O392">
        <f>IF(N392&lt;=$O$1,$O$1-N392+1,"")</f>
        <v/>
      </c>
      <c r="P392">
        <f>IF(O392="",0,COUNTIF(Transaksi!$M$2:$M$2001,O392)+1)</f>
        <v/>
      </c>
      <c r="Q392">
        <f>1+SUM(P$2:P391)</f>
        <v/>
      </c>
      <c r="S392">
        <f>IF(I392="","",INDEX($O$3:$O$402,I392))</f>
        <v/>
      </c>
      <c r="T392">
        <f>IF(J392&lt;&gt;"H","",INDEX(Transaksi!$A$2:$A$2001,MATCH(S392,Transaksi!$M$2:$M$2001,0)))</f>
        <v/>
      </c>
    </row>
    <row r="393">
      <c r="A393" s="31">
        <f>IF(J393="E",IF(INDEX(Transaksi!$J$2:$J$2001,K393)&gt;0,"↑","↓"),"")</f>
        <v/>
      </c>
      <c r="B393" s="32">
        <f>IF(J393="H",CHOOSE(WEEKDAY(T393,2),"Isnin","Selasa","Rabu","Khamis","Jumaat","Sabtu","Ahad")&amp;", "&amp;DAY(T393)&amp;" "&amp;CHOOSE(MONTH(T393),"Jan","Feb","Mac","Apr","Mei","Jun","Jul","Ogo","Sep","Okt","Nov","Dis")&amp;" "&amp;YEAR(T393),IF(J393="E",IF(INDEX(Transaksi!$B$2:$B$2001,K393)="",INDEX(Transaksi!$C$2:$C$2001,K393)&amp;" · "&amp;INDEX(Transaksi!$D$2:$D$2001,K393),INDEX(Transaksi!$B$2:$B$2001,K393)),""))</f>
        <v/>
      </c>
      <c r="C393" s="32">
        <f>IF(J393="E",INDEX(Transaksi!$C$2:$C$2001,K393)&amp;"","")</f>
        <v/>
      </c>
      <c r="D393" s="32">
        <f>IF(J393="E",INDEX(Transaksi!$D$2:$D$2001,K393)&amp;"","")</f>
        <v/>
      </c>
      <c r="E393" s="33">
        <f>IF(J393="H",SUMIFS(Transaksi!$G$2:$G$2001,Transaksi!$M$2:$M$2001,"="&amp;S393)+SUMIFS(Transaksi!$H$2:$H$2001,Transaksi!$M$2:$M$2001,"="&amp;S393)+SUMIFS(Transaksi!$I$2:$I$2001,Transaksi!$M$2:$M$2001,"="&amp;S393),IF(J393="E",IF(INDEX(Transaksi!$G$2:$G$2001,K393)+INDEX(Transaksi!$H$2:$H$2001,K393)+INDEX(Transaksi!$I$2:$I$2001,K393)=0,"",INDEX(Transaksi!$G$2:$G$2001,K393)+INDEX(Transaksi!$H$2:$H$2001,K393)+INDEX(Transaksi!$I$2:$I$2001,K393)),""))</f>
        <v/>
      </c>
      <c r="F393" s="33">
        <f>IF(J393="H",SUMIFS(Transaksi!$J$2:$J$2001,Transaksi!$M$2:$M$2001,"="&amp;S393),IF(J393="E",IF(INDEX(Transaksi!$J$2:$J$2001,K393)=0,"",INDEX(Transaksi!$J$2:$J$2001,K393)),""))</f>
        <v/>
      </c>
      <c r="G393" s="33">
        <f>IF(J393="H",(SUMIFS(Transaksi!$G$2:$G$2001,Transaksi!$M$2:$M$2001,"&lt;="&amp;S393)+SUMIFS(Transaksi!$H$2:$H$2001,Transaksi!$M$2:$M$2001,"&lt;="&amp;S393)+SUMIFS(Transaksi!$I$2:$I$2001,Transaksi!$M$2:$M$2001,"&lt;="&amp;S393))-(SUMIFS(Transaksi!$J$2:$J$2001,Transaksi!$M$2:$M$2001,"&lt;="&amp;S393)),"")</f>
        <v/>
      </c>
      <c r="I393">
        <f>IF(390&gt;$O$2,"",MATCH(390,$Q$3:$Q$402,1))</f>
        <v/>
      </c>
      <c r="J393">
        <f>IF(I393="","",IF(390=INDEX($Q$3:$Q$402,I393),"H","E"))</f>
        <v/>
      </c>
      <c r="K393">
        <f>IF(J393&lt;&gt;"E","",MATCH(S393,Transaksi!$M$2:$M$2001,0)+390-INDEX($Q$3:$Q$402,I393)-1)</f>
        <v/>
      </c>
      <c r="N393" t="n">
        <v>391</v>
      </c>
      <c r="O393">
        <f>IF(N393&lt;=$O$1,$O$1-N393+1,"")</f>
        <v/>
      </c>
      <c r="P393">
        <f>IF(O393="",0,COUNTIF(Transaksi!$M$2:$M$2001,O393)+1)</f>
        <v/>
      </c>
      <c r="Q393">
        <f>1+SUM(P$2:P392)</f>
        <v/>
      </c>
      <c r="S393">
        <f>IF(I393="","",INDEX($O$3:$O$402,I393))</f>
        <v/>
      </c>
      <c r="T393">
        <f>IF(J393&lt;&gt;"H","",INDEX(Transaksi!$A$2:$A$2001,MATCH(S393,Transaksi!$M$2:$M$2001,0)))</f>
        <v/>
      </c>
    </row>
    <row r="394">
      <c r="A394" s="31">
        <f>IF(J394="E",IF(INDEX(Transaksi!$J$2:$J$2001,K394)&gt;0,"↑","↓"),"")</f>
        <v/>
      </c>
      <c r="B394" s="32">
        <f>IF(J394="H",CHOOSE(WEEKDAY(T394,2),"Isnin","Selasa","Rabu","Khamis","Jumaat","Sabtu","Ahad")&amp;", "&amp;DAY(T394)&amp;" "&amp;CHOOSE(MONTH(T394),"Jan","Feb","Mac","Apr","Mei","Jun","Jul","Ogo","Sep","Okt","Nov","Dis")&amp;" "&amp;YEAR(T394),IF(J394="E",IF(INDEX(Transaksi!$B$2:$B$2001,K394)="",INDEX(Transaksi!$C$2:$C$2001,K394)&amp;" · "&amp;INDEX(Transaksi!$D$2:$D$2001,K394),INDEX(Transaksi!$B$2:$B$2001,K394)),""))</f>
        <v/>
      </c>
      <c r="C394" s="32">
        <f>IF(J394="E",INDEX(Transaksi!$C$2:$C$2001,K394)&amp;"","")</f>
        <v/>
      </c>
      <c r="D394" s="32">
        <f>IF(J394="E",INDEX(Transaksi!$D$2:$D$2001,K394)&amp;"","")</f>
        <v/>
      </c>
      <c r="E394" s="33">
        <f>IF(J394="H",SUMIFS(Transaksi!$G$2:$G$2001,Transaksi!$M$2:$M$2001,"="&amp;S394)+SUMIFS(Transaksi!$H$2:$H$2001,Transaksi!$M$2:$M$2001,"="&amp;S394)+SUMIFS(Transaksi!$I$2:$I$2001,Transaksi!$M$2:$M$2001,"="&amp;S394),IF(J394="E",IF(INDEX(Transaksi!$G$2:$G$2001,K394)+INDEX(Transaksi!$H$2:$H$2001,K394)+INDEX(Transaksi!$I$2:$I$2001,K394)=0,"",INDEX(Transaksi!$G$2:$G$2001,K394)+INDEX(Transaksi!$H$2:$H$2001,K394)+INDEX(Transaksi!$I$2:$I$2001,K394)),""))</f>
        <v/>
      </c>
      <c r="F394" s="33">
        <f>IF(J394="H",SUMIFS(Transaksi!$J$2:$J$2001,Transaksi!$M$2:$M$2001,"="&amp;S394),IF(J394="E",IF(INDEX(Transaksi!$J$2:$J$2001,K394)=0,"",INDEX(Transaksi!$J$2:$J$2001,K394)),""))</f>
        <v/>
      </c>
      <c r="G394" s="33">
        <f>IF(J394="H",(SUMIFS(Transaksi!$G$2:$G$2001,Transaksi!$M$2:$M$2001,"&lt;="&amp;S394)+SUMIFS(Transaksi!$H$2:$H$2001,Transaksi!$M$2:$M$2001,"&lt;="&amp;S394)+SUMIFS(Transaksi!$I$2:$I$2001,Transaksi!$M$2:$M$2001,"&lt;="&amp;S394))-(SUMIFS(Transaksi!$J$2:$J$2001,Transaksi!$M$2:$M$2001,"&lt;="&amp;S394)),"")</f>
        <v/>
      </c>
      <c r="I394">
        <f>IF(391&gt;$O$2,"",MATCH(391,$Q$3:$Q$402,1))</f>
        <v/>
      </c>
      <c r="J394">
        <f>IF(I394="","",IF(391=INDEX($Q$3:$Q$402,I394),"H","E"))</f>
        <v/>
      </c>
      <c r="K394">
        <f>IF(J394&lt;&gt;"E","",MATCH(S394,Transaksi!$M$2:$M$2001,0)+391-INDEX($Q$3:$Q$402,I394)-1)</f>
        <v/>
      </c>
      <c r="N394" t="n">
        <v>392</v>
      </c>
      <c r="O394">
        <f>IF(N394&lt;=$O$1,$O$1-N394+1,"")</f>
        <v/>
      </c>
      <c r="P394">
        <f>IF(O394="",0,COUNTIF(Transaksi!$M$2:$M$2001,O394)+1)</f>
        <v/>
      </c>
      <c r="Q394">
        <f>1+SUM(P$2:P393)</f>
        <v/>
      </c>
      <c r="S394">
        <f>IF(I394="","",INDEX($O$3:$O$402,I394))</f>
        <v/>
      </c>
      <c r="T394">
        <f>IF(J394&lt;&gt;"H","",INDEX(Transaksi!$A$2:$A$2001,MATCH(S394,Transaksi!$M$2:$M$2001,0)))</f>
        <v/>
      </c>
    </row>
    <row r="395">
      <c r="A395" s="31">
        <f>IF(J395="E",IF(INDEX(Transaksi!$J$2:$J$2001,K395)&gt;0,"↑","↓"),"")</f>
        <v/>
      </c>
      <c r="B395" s="32">
        <f>IF(J395="H",CHOOSE(WEEKDAY(T395,2),"Isnin","Selasa","Rabu","Khamis","Jumaat","Sabtu","Ahad")&amp;", "&amp;DAY(T395)&amp;" "&amp;CHOOSE(MONTH(T395),"Jan","Feb","Mac","Apr","Mei","Jun","Jul","Ogo","Sep","Okt","Nov","Dis")&amp;" "&amp;YEAR(T395),IF(J395="E",IF(INDEX(Transaksi!$B$2:$B$2001,K395)="",INDEX(Transaksi!$C$2:$C$2001,K395)&amp;" · "&amp;INDEX(Transaksi!$D$2:$D$2001,K395),INDEX(Transaksi!$B$2:$B$2001,K395)),""))</f>
        <v/>
      </c>
      <c r="C395" s="32">
        <f>IF(J395="E",INDEX(Transaksi!$C$2:$C$2001,K395)&amp;"","")</f>
        <v/>
      </c>
      <c r="D395" s="32">
        <f>IF(J395="E",INDEX(Transaksi!$D$2:$D$2001,K395)&amp;"","")</f>
        <v/>
      </c>
      <c r="E395" s="33">
        <f>IF(J395="H",SUMIFS(Transaksi!$G$2:$G$2001,Transaksi!$M$2:$M$2001,"="&amp;S395)+SUMIFS(Transaksi!$H$2:$H$2001,Transaksi!$M$2:$M$2001,"="&amp;S395)+SUMIFS(Transaksi!$I$2:$I$2001,Transaksi!$M$2:$M$2001,"="&amp;S395),IF(J395="E",IF(INDEX(Transaksi!$G$2:$G$2001,K395)+INDEX(Transaksi!$H$2:$H$2001,K395)+INDEX(Transaksi!$I$2:$I$2001,K395)=0,"",INDEX(Transaksi!$G$2:$G$2001,K395)+INDEX(Transaksi!$H$2:$H$2001,K395)+INDEX(Transaksi!$I$2:$I$2001,K395)),""))</f>
        <v/>
      </c>
      <c r="F395" s="33">
        <f>IF(J395="H",SUMIFS(Transaksi!$J$2:$J$2001,Transaksi!$M$2:$M$2001,"="&amp;S395),IF(J395="E",IF(INDEX(Transaksi!$J$2:$J$2001,K395)=0,"",INDEX(Transaksi!$J$2:$J$2001,K395)),""))</f>
        <v/>
      </c>
      <c r="G395" s="33">
        <f>IF(J395="H",(SUMIFS(Transaksi!$G$2:$G$2001,Transaksi!$M$2:$M$2001,"&lt;="&amp;S395)+SUMIFS(Transaksi!$H$2:$H$2001,Transaksi!$M$2:$M$2001,"&lt;="&amp;S395)+SUMIFS(Transaksi!$I$2:$I$2001,Transaksi!$M$2:$M$2001,"&lt;="&amp;S395))-(SUMIFS(Transaksi!$J$2:$J$2001,Transaksi!$M$2:$M$2001,"&lt;="&amp;S395)),"")</f>
        <v/>
      </c>
      <c r="I395">
        <f>IF(392&gt;$O$2,"",MATCH(392,$Q$3:$Q$402,1))</f>
        <v/>
      </c>
      <c r="J395">
        <f>IF(I395="","",IF(392=INDEX($Q$3:$Q$402,I395),"H","E"))</f>
        <v/>
      </c>
      <c r="K395">
        <f>IF(J395&lt;&gt;"E","",MATCH(S395,Transaksi!$M$2:$M$2001,0)+392-INDEX($Q$3:$Q$402,I395)-1)</f>
        <v/>
      </c>
      <c r="N395" t="n">
        <v>393</v>
      </c>
      <c r="O395">
        <f>IF(N395&lt;=$O$1,$O$1-N395+1,"")</f>
        <v/>
      </c>
      <c r="P395">
        <f>IF(O395="",0,COUNTIF(Transaksi!$M$2:$M$2001,O395)+1)</f>
        <v/>
      </c>
      <c r="Q395">
        <f>1+SUM(P$2:P394)</f>
        <v/>
      </c>
      <c r="S395">
        <f>IF(I395="","",INDEX($O$3:$O$402,I395))</f>
        <v/>
      </c>
      <c r="T395">
        <f>IF(J395&lt;&gt;"H","",INDEX(Transaksi!$A$2:$A$2001,MATCH(S395,Transaksi!$M$2:$M$2001,0)))</f>
        <v/>
      </c>
    </row>
    <row r="396">
      <c r="A396" s="31">
        <f>IF(J396="E",IF(INDEX(Transaksi!$J$2:$J$2001,K396)&gt;0,"↑","↓"),"")</f>
        <v/>
      </c>
      <c r="B396" s="32">
        <f>IF(J396="H",CHOOSE(WEEKDAY(T396,2),"Isnin","Selasa","Rabu","Khamis","Jumaat","Sabtu","Ahad")&amp;", "&amp;DAY(T396)&amp;" "&amp;CHOOSE(MONTH(T396),"Jan","Feb","Mac","Apr","Mei","Jun","Jul","Ogo","Sep","Okt","Nov","Dis")&amp;" "&amp;YEAR(T396),IF(J396="E",IF(INDEX(Transaksi!$B$2:$B$2001,K396)="",INDEX(Transaksi!$C$2:$C$2001,K396)&amp;" · "&amp;INDEX(Transaksi!$D$2:$D$2001,K396),INDEX(Transaksi!$B$2:$B$2001,K396)),""))</f>
        <v/>
      </c>
      <c r="C396" s="32">
        <f>IF(J396="E",INDEX(Transaksi!$C$2:$C$2001,K396)&amp;"","")</f>
        <v/>
      </c>
      <c r="D396" s="32">
        <f>IF(J396="E",INDEX(Transaksi!$D$2:$D$2001,K396)&amp;"","")</f>
        <v/>
      </c>
      <c r="E396" s="33">
        <f>IF(J396="H",SUMIFS(Transaksi!$G$2:$G$2001,Transaksi!$M$2:$M$2001,"="&amp;S396)+SUMIFS(Transaksi!$H$2:$H$2001,Transaksi!$M$2:$M$2001,"="&amp;S396)+SUMIFS(Transaksi!$I$2:$I$2001,Transaksi!$M$2:$M$2001,"="&amp;S396),IF(J396="E",IF(INDEX(Transaksi!$G$2:$G$2001,K396)+INDEX(Transaksi!$H$2:$H$2001,K396)+INDEX(Transaksi!$I$2:$I$2001,K396)=0,"",INDEX(Transaksi!$G$2:$G$2001,K396)+INDEX(Transaksi!$H$2:$H$2001,K396)+INDEX(Transaksi!$I$2:$I$2001,K396)),""))</f>
        <v/>
      </c>
      <c r="F396" s="33">
        <f>IF(J396="H",SUMIFS(Transaksi!$J$2:$J$2001,Transaksi!$M$2:$M$2001,"="&amp;S396),IF(J396="E",IF(INDEX(Transaksi!$J$2:$J$2001,K396)=0,"",INDEX(Transaksi!$J$2:$J$2001,K396)),""))</f>
        <v/>
      </c>
      <c r="G396" s="33">
        <f>IF(J396="H",(SUMIFS(Transaksi!$G$2:$G$2001,Transaksi!$M$2:$M$2001,"&lt;="&amp;S396)+SUMIFS(Transaksi!$H$2:$H$2001,Transaksi!$M$2:$M$2001,"&lt;="&amp;S396)+SUMIFS(Transaksi!$I$2:$I$2001,Transaksi!$M$2:$M$2001,"&lt;="&amp;S396))-(SUMIFS(Transaksi!$J$2:$J$2001,Transaksi!$M$2:$M$2001,"&lt;="&amp;S396)),"")</f>
        <v/>
      </c>
      <c r="I396">
        <f>IF(393&gt;$O$2,"",MATCH(393,$Q$3:$Q$402,1))</f>
        <v/>
      </c>
      <c r="J396">
        <f>IF(I396="","",IF(393=INDEX($Q$3:$Q$402,I396),"H","E"))</f>
        <v/>
      </c>
      <c r="K396">
        <f>IF(J396&lt;&gt;"E","",MATCH(S396,Transaksi!$M$2:$M$2001,0)+393-INDEX($Q$3:$Q$402,I396)-1)</f>
        <v/>
      </c>
      <c r="N396" t="n">
        <v>394</v>
      </c>
      <c r="O396">
        <f>IF(N396&lt;=$O$1,$O$1-N396+1,"")</f>
        <v/>
      </c>
      <c r="P396">
        <f>IF(O396="",0,COUNTIF(Transaksi!$M$2:$M$2001,O396)+1)</f>
        <v/>
      </c>
      <c r="Q396">
        <f>1+SUM(P$2:P395)</f>
        <v/>
      </c>
      <c r="S396">
        <f>IF(I396="","",INDEX($O$3:$O$402,I396))</f>
        <v/>
      </c>
      <c r="T396">
        <f>IF(J396&lt;&gt;"H","",INDEX(Transaksi!$A$2:$A$2001,MATCH(S396,Transaksi!$M$2:$M$2001,0)))</f>
        <v/>
      </c>
    </row>
    <row r="397">
      <c r="A397" s="31">
        <f>IF(J397="E",IF(INDEX(Transaksi!$J$2:$J$2001,K397)&gt;0,"↑","↓"),"")</f>
        <v/>
      </c>
      <c r="B397" s="32">
        <f>IF(J397="H",CHOOSE(WEEKDAY(T397,2),"Isnin","Selasa","Rabu","Khamis","Jumaat","Sabtu","Ahad")&amp;", "&amp;DAY(T397)&amp;" "&amp;CHOOSE(MONTH(T397),"Jan","Feb","Mac","Apr","Mei","Jun","Jul","Ogo","Sep","Okt","Nov","Dis")&amp;" "&amp;YEAR(T397),IF(J397="E",IF(INDEX(Transaksi!$B$2:$B$2001,K397)="",INDEX(Transaksi!$C$2:$C$2001,K397)&amp;" · "&amp;INDEX(Transaksi!$D$2:$D$2001,K397),INDEX(Transaksi!$B$2:$B$2001,K397)),""))</f>
        <v/>
      </c>
      <c r="C397" s="32">
        <f>IF(J397="E",INDEX(Transaksi!$C$2:$C$2001,K397)&amp;"","")</f>
        <v/>
      </c>
      <c r="D397" s="32">
        <f>IF(J397="E",INDEX(Transaksi!$D$2:$D$2001,K397)&amp;"","")</f>
        <v/>
      </c>
      <c r="E397" s="33">
        <f>IF(J397="H",SUMIFS(Transaksi!$G$2:$G$2001,Transaksi!$M$2:$M$2001,"="&amp;S397)+SUMIFS(Transaksi!$H$2:$H$2001,Transaksi!$M$2:$M$2001,"="&amp;S397)+SUMIFS(Transaksi!$I$2:$I$2001,Transaksi!$M$2:$M$2001,"="&amp;S397),IF(J397="E",IF(INDEX(Transaksi!$G$2:$G$2001,K397)+INDEX(Transaksi!$H$2:$H$2001,K397)+INDEX(Transaksi!$I$2:$I$2001,K397)=0,"",INDEX(Transaksi!$G$2:$G$2001,K397)+INDEX(Transaksi!$H$2:$H$2001,K397)+INDEX(Transaksi!$I$2:$I$2001,K397)),""))</f>
        <v/>
      </c>
      <c r="F397" s="33">
        <f>IF(J397="H",SUMIFS(Transaksi!$J$2:$J$2001,Transaksi!$M$2:$M$2001,"="&amp;S397),IF(J397="E",IF(INDEX(Transaksi!$J$2:$J$2001,K397)=0,"",INDEX(Transaksi!$J$2:$J$2001,K397)),""))</f>
        <v/>
      </c>
      <c r="G397" s="33">
        <f>IF(J397="H",(SUMIFS(Transaksi!$G$2:$G$2001,Transaksi!$M$2:$M$2001,"&lt;="&amp;S397)+SUMIFS(Transaksi!$H$2:$H$2001,Transaksi!$M$2:$M$2001,"&lt;="&amp;S397)+SUMIFS(Transaksi!$I$2:$I$2001,Transaksi!$M$2:$M$2001,"&lt;="&amp;S397))-(SUMIFS(Transaksi!$J$2:$J$2001,Transaksi!$M$2:$M$2001,"&lt;="&amp;S397)),"")</f>
        <v/>
      </c>
      <c r="I397">
        <f>IF(394&gt;$O$2,"",MATCH(394,$Q$3:$Q$402,1))</f>
        <v/>
      </c>
      <c r="J397">
        <f>IF(I397="","",IF(394=INDEX($Q$3:$Q$402,I397),"H","E"))</f>
        <v/>
      </c>
      <c r="K397">
        <f>IF(J397&lt;&gt;"E","",MATCH(S397,Transaksi!$M$2:$M$2001,0)+394-INDEX($Q$3:$Q$402,I397)-1)</f>
        <v/>
      </c>
      <c r="N397" t="n">
        <v>395</v>
      </c>
      <c r="O397">
        <f>IF(N397&lt;=$O$1,$O$1-N397+1,"")</f>
        <v/>
      </c>
      <c r="P397">
        <f>IF(O397="",0,COUNTIF(Transaksi!$M$2:$M$2001,O397)+1)</f>
        <v/>
      </c>
      <c r="Q397">
        <f>1+SUM(P$2:P396)</f>
        <v/>
      </c>
      <c r="S397">
        <f>IF(I397="","",INDEX($O$3:$O$402,I397))</f>
        <v/>
      </c>
      <c r="T397">
        <f>IF(J397&lt;&gt;"H","",INDEX(Transaksi!$A$2:$A$2001,MATCH(S397,Transaksi!$M$2:$M$2001,0)))</f>
        <v/>
      </c>
    </row>
    <row r="398">
      <c r="A398" s="31">
        <f>IF(J398="E",IF(INDEX(Transaksi!$J$2:$J$2001,K398)&gt;0,"↑","↓"),"")</f>
        <v/>
      </c>
      <c r="B398" s="32">
        <f>IF(J398="H",CHOOSE(WEEKDAY(T398,2),"Isnin","Selasa","Rabu","Khamis","Jumaat","Sabtu","Ahad")&amp;", "&amp;DAY(T398)&amp;" "&amp;CHOOSE(MONTH(T398),"Jan","Feb","Mac","Apr","Mei","Jun","Jul","Ogo","Sep","Okt","Nov","Dis")&amp;" "&amp;YEAR(T398),IF(J398="E",IF(INDEX(Transaksi!$B$2:$B$2001,K398)="",INDEX(Transaksi!$C$2:$C$2001,K398)&amp;" · "&amp;INDEX(Transaksi!$D$2:$D$2001,K398),INDEX(Transaksi!$B$2:$B$2001,K398)),""))</f>
        <v/>
      </c>
      <c r="C398" s="32">
        <f>IF(J398="E",INDEX(Transaksi!$C$2:$C$2001,K398)&amp;"","")</f>
        <v/>
      </c>
      <c r="D398" s="32">
        <f>IF(J398="E",INDEX(Transaksi!$D$2:$D$2001,K398)&amp;"","")</f>
        <v/>
      </c>
      <c r="E398" s="33">
        <f>IF(J398="H",SUMIFS(Transaksi!$G$2:$G$2001,Transaksi!$M$2:$M$2001,"="&amp;S398)+SUMIFS(Transaksi!$H$2:$H$2001,Transaksi!$M$2:$M$2001,"="&amp;S398)+SUMIFS(Transaksi!$I$2:$I$2001,Transaksi!$M$2:$M$2001,"="&amp;S398),IF(J398="E",IF(INDEX(Transaksi!$G$2:$G$2001,K398)+INDEX(Transaksi!$H$2:$H$2001,K398)+INDEX(Transaksi!$I$2:$I$2001,K398)=0,"",INDEX(Transaksi!$G$2:$G$2001,K398)+INDEX(Transaksi!$H$2:$H$2001,K398)+INDEX(Transaksi!$I$2:$I$2001,K398)),""))</f>
        <v/>
      </c>
      <c r="F398" s="33">
        <f>IF(J398="H",SUMIFS(Transaksi!$J$2:$J$2001,Transaksi!$M$2:$M$2001,"="&amp;S398),IF(J398="E",IF(INDEX(Transaksi!$J$2:$J$2001,K398)=0,"",INDEX(Transaksi!$J$2:$J$2001,K398)),""))</f>
        <v/>
      </c>
      <c r="G398" s="33">
        <f>IF(J398="H",(SUMIFS(Transaksi!$G$2:$G$2001,Transaksi!$M$2:$M$2001,"&lt;="&amp;S398)+SUMIFS(Transaksi!$H$2:$H$2001,Transaksi!$M$2:$M$2001,"&lt;="&amp;S398)+SUMIFS(Transaksi!$I$2:$I$2001,Transaksi!$M$2:$M$2001,"&lt;="&amp;S398))-(SUMIFS(Transaksi!$J$2:$J$2001,Transaksi!$M$2:$M$2001,"&lt;="&amp;S398)),"")</f>
        <v/>
      </c>
      <c r="I398">
        <f>IF(395&gt;$O$2,"",MATCH(395,$Q$3:$Q$402,1))</f>
        <v/>
      </c>
      <c r="J398">
        <f>IF(I398="","",IF(395=INDEX($Q$3:$Q$402,I398),"H","E"))</f>
        <v/>
      </c>
      <c r="K398">
        <f>IF(J398&lt;&gt;"E","",MATCH(S398,Transaksi!$M$2:$M$2001,0)+395-INDEX($Q$3:$Q$402,I398)-1)</f>
        <v/>
      </c>
      <c r="N398" t="n">
        <v>396</v>
      </c>
      <c r="O398">
        <f>IF(N398&lt;=$O$1,$O$1-N398+1,"")</f>
        <v/>
      </c>
      <c r="P398">
        <f>IF(O398="",0,COUNTIF(Transaksi!$M$2:$M$2001,O398)+1)</f>
        <v/>
      </c>
      <c r="Q398">
        <f>1+SUM(P$2:P397)</f>
        <v/>
      </c>
      <c r="S398">
        <f>IF(I398="","",INDEX($O$3:$O$402,I398))</f>
        <v/>
      </c>
      <c r="T398">
        <f>IF(J398&lt;&gt;"H","",INDEX(Transaksi!$A$2:$A$2001,MATCH(S398,Transaksi!$M$2:$M$2001,0)))</f>
        <v/>
      </c>
    </row>
    <row r="399">
      <c r="A399" s="31">
        <f>IF(J399="E",IF(INDEX(Transaksi!$J$2:$J$2001,K399)&gt;0,"↑","↓"),"")</f>
        <v/>
      </c>
      <c r="B399" s="32">
        <f>IF(J399="H",CHOOSE(WEEKDAY(T399,2),"Isnin","Selasa","Rabu","Khamis","Jumaat","Sabtu","Ahad")&amp;", "&amp;DAY(T399)&amp;" "&amp;CHOOSE(MONTH(T399),"Jan","Feb","Mac","Apr","Mei","Jun","Jul","Ogo","Sep","Okt","Nov","Dis")&amp;" "&amp;YEAR(T399),IF(J399="E",IF(INDEX(Transaksi!$B$2:$B$2001,K399)="",INDEX(Transaksi!$C$2:$C$2001,K399)&amp;" · "&amp;INDEX(Transaksi!$D$2:$D$2001,K399),INDEX(Transaksi!$B$2:$B$2001,K399)),""))</f>
        <v/>
      </c>
      <c r="C399" s="32">
        <f>IF(J399="E",INDEX(Transaksi!$C$2:$C$2001,K399)&amp;"","")</f>
        <v/>
      </c>
      <c r="D399" s="32">
        <f>IF(J399="E",INDEX(Transaksi!$D$2:$D$2001,K399)&amp;"","")</f>
        <v/>
      </c>
      <c r="E399" s="33">
        <f>IF(J399="H",SUMIFS(Transaksi!$G$2:$G$2001,Transaksi!$M$2:$M$2001,"="&amp;S399)+SUMIFS(Transaksi!$H$2:$H$2001,Transaksi!$M$2:$M$2001,"="&amp;S399)+SUMIFS(Transaksi!$I$2:$I$2001,Transaksi!$M$2:$M$2001,"="&amp;S399),IF(J399="E",IF(INDEX(Transaksi!$G$2:$G$2001,K399)+INDEX(Transaksi!$H$2:$H$2001,K399)+INDEX(Transaksi!$I$2:$I$2001,K399)=0,"",INDEX(Transaksi!$G$2:$G$2001,K399)+INDEX(Transaksi!$H$2:$H$2001,K399)+INDEX(Transaksi!$I$2:$I$2001,K399)),""))</f>
        <v/>
      </c>
      <c r="F399" s="33">
        <f>IF(J399="H",SUMIFS(Transaksi!$J$2:$J$2001,Transaksi!$M$2:$M$2001,"="&amp;S399),IF(J399="E",IF(INDEX(Transaksi!$J$2:$J$2001,K399)=0,"",INDEX(Transaksi!$J$2:$J$2001,K399)),""))</f>
        <v/>
      </c>
      <c r="G399" s="33">
        <f>IF(J399="H",(SUMIFS(Transaksi!$G$2:$G$2001,Transaksi!$M$2:$M$2001,"&lt;="&amp;S399)+SUMIFS(Transaksi!$H$2:$H$2001,Transaksi!$M$2:$M$2001,"&lt;="&amp;S399)+SUMIFS(Transaksi!$I$2:$I$2001,Transaksi!$M$2:$M$2001,"&lt;="&amp;S399))-(SUMIFS(Transaksi!$J$2:$J$2001,Transaksi!$M$2:$M$2001,"&lt;="&amp;S399)),"")</f>
        <v/>
      </c>
      <c r="I399">
        <f>IF(396&gt;$O$2,"",MATCH(396,$Q$3:$Q$402,1))</f>
        <v/>
      </c>
      <c r="J399">
        <f>IF(I399="","",IF(396=INDEX($Q$3:$Q$402,I399),"H","E"))</f>
        <v/>
      </c>
      <c r="K399">
        <f>IF(J399&lt;&gt;"E","",MATCH(S399,Transaksi!$M$2:$M$2001,0)+396-INDEX($Q$3:$Q$402,I399)-1)</f>
        <v/>
      </c>
      <c r="N399" t="n">
        <v>397</v>
      </c>
      <c r="O399">
        <f>IF(N399&lt;=$O$1,$O$1-N399+1,"")</f>
        <v/>
      </c>
      <c r="P399">
        <f>IF(O399="",0,COUNTIF(Transaksi!$M$2:$M$2001,O399)+1)</f>
        <v/>
      </c>
      <c r="Q399">
        <f>1+SUM(P$2:P398)</f>
        <v/>
      </c>
      <c r="S399">
        <f>IF(I399="","",INDEX($O$3:$O$402,I399))</f>
        <v/>
      </c>
      <c r="T399">
        <f>IF(J399&lt;&gt;"H","",INDEX(Transaksi!$A$2:$A$2001,MATCH(S399,Transaksi!$M$2:$M$2001,0)))</f>
        <v/>
      </c>
    </row>
    <row r="400">
      <c r="A400" s="31">
        <f>IF(J400="E",IF(INDEX(Transaksi!$J$2:$J$2001,K400)&gt;0,"↑","↓"),"")</f>
        <v/>
      </c>
      <c r="B400" s="32">
        <f>IF(J400="H",CHOOSE(WEEKDAY(T400,2),"Isnin","Selasa","Rabu","Khamis","Jumaat","Sabtu","Ahad")&amp;", "&amp;DAY(T400)&amp;" "&amp;CHOOSE(MONTH(T400),"Jan","Feb","Mac","Apr","Mei","Jun","Jul","Ogo","Sep","Okt","Nov","Dis")&amp;" "&amp;YEAR(T400),IF(J400="E",IF(INDEX(Transaksi!$B$2:$B$2001,K400)="",INDEX(Transaksi!$C$2:$C$2001,K400)&amp;" · "&amp;INDEX(Transaksi!$D$2:$D$2001,K400),INDEX(Transaksi!$B$2:$B$2001,K400)),""))</f>
        <v/>
      </c>
      <c r="C400" s="32">
        <f>IF(J400="E",INDEX(Transaksi!$C$2:$C$2001,K400)&amp;"","")</f>
        <v/>
      </c>
      <c r="D400" s="32">
        <f>IF(J400="E",INDEX(Transaksi!$D$2:$D$2001,K400)&amp;"","")</f>
        <v/>
      </c>
      <c r="E400" s="33">
        <f>IF(J400="H",SUMIFS(Transaksi!$G$2:$G$2001,Transaksi!$M$2:$M$2001,"="&amp;S400)+SUMIFS(Transaksi!$H$2:$H$2001,Transaksi!$M$2:$M$2001,"="&amp;S400)+SUMIFS(Transaksi!$I$2:$I$2001,Transaksi!$M$2:$M$2001,"="&amp;S400),IF(J400="E",IF(INDEX(Transaksi!$G$2:$G$2001,K400)+INDEX(Transaksi!$H$2:$H$2001,K400)+INDEX(Transaksi!$I$2:$I$2001,K400)=0,"",INDEX(Transaksi!$G$2:$G$2001,K400)+INDEX(Transaksi!$H$2:$H$2001,K400)+INDEX(Transaksi!$I$2:$I$2001,K400)),""))</f>
        <v/>
      </c>
      <c r="F400" s="33">
        <f>IF(J400="H",SUMIFS(Transaksi!$J$2:$J$2001,Transaksi!$M$2:$M$2001,"="&amp;S400),IF(J400="E",IF(INDEX(Transaksi!$J$2:$J$2001,K400)=0,"",INDEX(Transaksi!$J$2:$J$2001,K400)),""))</f>
        <v/>
      </c>
      <c r="G400" s="33">
        <f>IF(J400="H",(SUMIFS(Transaksi!$G$2:$G$2001,Transaksi!$M$2:$M$2001,"&lt;="&amp;S400)+SUMIFS(Transaksi!$H$2:$H$2001,Transaksi!$M$2:$M$2001,"&lt;="&amp;S400)+SUMIFS(Transaksi!$I$2:$I$2001,Transaksi!$M$2:$M$2001,"&lt;="&amp;S400))-(SUMIFS(Transaksi!$J$2:$J$2001,Transaksi!$M$2:$M$2001,"&lt;="&amp;S400)),"")</f>
        <v/>
      </c>
      <c r="I400">
        <f>IF(397&gt;$O$2,"",MATCH(397,$Q$3:$Q$402,1))</f>
        <v/>
      </c>
      <c r="J400">
        <f>IF(I400="","",IF(397=INDEX($Q$3:$Q$402,I400),"H","E"))</f>
        <v/>
      </c>
      <c r="K400">
        <f>IF(J400&lt;&gt;"E","",MATCH(S400,Transaksi!$M$2:$M$2001,0)+397-INDEX($Q$3:$Q$402,I400)-1)</f>
        <v/>
      </c>
      <c r="N400" t="n">
        <v>398</v>
      </c>
      <c r="O400">
        <f>IF(N400&lt;=$O$1,$O$1-N400+1,"")</f>
        <v/>
      </c>
      <c r="P400">
        <f>IF(O400="",0,COUNTIF(Transaksi!$M$2:$M$2001,O400)+1)</f>
        <v/>
      </c>
      <c r="Q400">
        <f>1+SUM(P$2:P399)</f>
        <v/>
      </c>
      <c r="S400">
        <f>IF(I400="","",INDEX($O$3:$O$402,I400))</f>
        <v/>
      </c>
      <c r="T400">
        <f>IF(J400&lt;&gt;"H","",INDEX(Transaksi!$A$2:$A$2001,MATCH(S400,Transaksi!$M$2:$M$2001,0)))</f>
        <v/>
      </c>
    </row>
    <row r="401">
      <c r="A401" s="31">
        <f>IF(J401="E",IF(INDEX(Transaksi!$J$2:$J$2001,K401)&gt;0,"↑","↓"),"")</f>
        <v/>
      </c>
      <c r="B401" s="32">
        <f>IF(J401="H",CHOOSE(WEEKDAY(T401,2),"Isnin","Selasa","Rabu","Khamis","Jumaat","Sabtu","Ahad")&amp;", "&amp;DAY(T401)&amp;" "&amp;CHOOSE(MONTH(T401),"Jan","Feb","Mac","Apr","Mei","Jun","Jul","Ogo","Sep","Okt","Nov","Dis")&amp;" "&amp;YEAR(T401),IF(J401="E",IF(INDEX(Transaksi!$B$2:$B$2001,K401)="",INDEX(Transaksi!$C$2:$C$2001,K401)&amp;" · "&amp;INDEX(Transaksi!$D$2:$D$2001,K401),INDEX(Transaksi!$B$2:$B$2001,K401)),""))</f>
        <v/>
      </c>
      <c r="C401" s="32">
        <f>IF(J401="E",INDEX(Transaksi!$C$2:$C$2001,K401)&amp;"","")</f>
        <v/>
      </c>
      <c r="D401" s="32">
        <f>IF(J401="E",INDEX(Transaksi!$D$2:$D$2001,K401)&amp;"","")</f>
        <v/>
      </c>
      <c r="E401" s="33">
        <f>IF(J401="H",SUMIFS(Transaksi!$G$2:$G$2001,Transaksi!$M$2:$M$2001,"="&amp;S401)+SUMIFS(Transaksi!$H$2:$H$2001,Transaksi!$M$2:$M$2001,"="&amp;S401)+SUMIFS(Transaksi!$I$2:$I$2001,Transaksi!$M$2:$M$2001,"="&amp;S401),IF(J401="E",IF(INDEX(Transaksi!$G$2:$G$2001,K401)+INDEX(Transaksi!$H$2:$H$2001,K401)+INDEX(Transaksi!$I$2:$I$2001,K401)=0,"",INDEX(Transaksi!$G$2:$G$2001,K401)+INDEX(Transaksi!$H$2:$H$2001,K401)+INDEX(Transaksi!$I$2:$I$2001,K401)),""))</f>
        <v/>
      </c>
      <c r="F401" s="33">
        <f>IF(J401="H",SUMIFS(Transaksi!$J$2:$J$2001,Transaksi!$M$2:$M$2001,"="&amp;S401),IF(J401="E",IF(INDEX(Transaksi!$J$2:$J$2001,K401)=0,"",INDEX(Transaksi!$J$2:$J$2001,K401)),""))</f>
        <v/>
      </c>
      <c r="G401" s="33">
        <f>IF(J401="H",(SUMIFS(Transaksi!$G$2:$G$2001,Transaksi!$M$2:$M$2001,"&lt;="&amp;S401)+SUMIFS(Transaksi!$H$2:$H$2001,Transaksi!$M$2:$M$2001,"&lt;="&amp;S401)+SUMIFS(Transaksi!$I$2:$I$2001,Transaksi!$M$2:$M$2001,"&lt;="&amp;S401))-(SUMIFS(Transaksi!$J$2:$J$2001,Transaksi!$M$2:$M$2001,"&lt;="&amp;S401)),"")</f>
        <v/>
      </c>
      <c r="I401">
        <f>IF(398&gt;$O$2,"",MATCH(398,$Q$3:$Q$402,1))</f>
        <v/>
      </c>
      <c r="J401">
        <f>IF(I401="","",IF(398=INDEX($Q$3:$Q$402,I401),"H","E"))</f>
        <v/>
      </c>
      <c r="K401">
        <f>IF(J401&lt;&gt;"E","",MATCH(S401,Transaksi!$M$2:$M$2001,0)+398-INDEX($Q$3:$Q$402,I401)-1)</f>
        <v/>
      </c>
      <c r="N401" t="n">
        <v>399</v>
      </c>
      <c r="O401">
        <f>IF(N401&lt;=$O$1,$O$1-N401+1,"")</f>
        <v/>
      </c>
      <c r="P401">
        <f>IF(O401="",0,COUNTIF(Transaksi!$M$2:$M$2001,O401)+1)</f>
        <v/>
      </c>
      <c r="Q401">
        <f>1+SUM(P$2:P400)</f>
        <v/>
      </c>
      <c r="S401">
        <f>IF(I401="","",INDEX($O$3:$O$402,I401))</f>
        <v/>
      </c>
      <c r="T401">
        <f>IF(J401&lt;&gt;"H","",INDEX(Transaksi!$A$2:$A$2001,MATCH(S401,Transaksi!$M$2:$M$2001,0)))</f>
        <v/>
      </c>
    </row>
    <row r="402">
      <c r="A402" s="31">
        <f>IF(J402="E",IF(INDEX(Transaksi!$J$2:$J$2001,K402)&gt;0,"↑","↓"),"")</f>
        <v/>
      </c>
      <c r="B402" s="32">
        <f>IF(J402="H",CHOOSE(WEEKDAY(T402,2),"Isnin","Selasa","Rabu","Khamis","Jumaat","Sabtu","Ahad")&amp;", "&amp;DAY(T402)&amp;" "&amp;CHOOSE(MONTH(T402),"Jan","Feb","Mac","Apr","Mei","Jun","Jul","Ogo","Sep","Okt","Nov","Dis")&amp;" "&amp;YEAR(T402),IF(J402="E",IF(INDEX(Transaksi!$B$2:$B$2001,K402)="",INDEX(Transaksi!$C$2:$C$2001,K402)&amp;" · "&amp;INDEX(Transaksi!$D$2:$D$2001,K402),INDEX(Transaksi!$B$2:$B$2001,K402)),""))</f>
        <v/>
      </c>
      <c r="C402" s="32">
        <f>IF(J402="E",INDEX(Transaksi!$C$2:$C$2001,K402)&amp;"","")</f>
        <v/>
      </c>
      <c r="D402" s="32">
        <f>IF(J402="E",INDEX(Transaksi!$D$2:$D$2001,K402)&amp;"","")</f>
        <v/>
      </c>
      <c r="E402" s="33">
        <f>IF(J402="H",SUMIFS(Transaksi!$G$2:$G$2001,Transaksi!$M$2:$M$2001,"="&amp;S402)+SUMIFS(Transaksi!$H$2:$H$2001,Transaksi!$M$2:$M$2001,"="&amp;S402)+SUMIFS(Transaksi!$I$2:$I$2001,Transaksi!$M$2:$M$2001,"="&amp;S402),IF(J402="E",IF(INDEX(Transaksi!$G$2:$G$2001,K402)+INDEX(Transaksi!$H$2:$H$2001,K402)+INDEX(Transaksi!$I$2:$I$2001,K402)=0,"",INDEX(Transaksi!$G$2:$G$2001,K402)+INDEX(Transaksi!$H$2:$H$2001,K402)+INDEX(Transaksi!$I$2:$I$2001,K402)),""))</f>
        <v/>
      </c>
      <c r="F402" s="33">
        <f>IF(J402="H",SUMIFS(Transaksi!$J$2:$J$2001,Transaksi!$M$2:$M$2001,"="&amp;S402),IF(J402="E",IF(INDEX(Transaksi!$J$2:$J$2001,K402)=0,"",INDEX(Transaksi!$J$2:$J$2001,K402)),""))</f>
        <v/>
      </c>
      <c r="G402" s="33">
        <f>IF(J402="H",(SUMIFS(Transaksi!$G$2:$G$2001,Transaksi!$M$2:$M$2001,"&lt;="&amp;S402)+SUMIFS(Transaksi!$H$2:$H$2001,Transaksi!$M$2:$M$2001,"&lt;="&amp;S402)+SUMIFS(Transaksi!$I$2:$I$2001,Transaksi!$M$2:$M$2001,"&lt;="&amp;S402))-(SUMIFS(Transaksi!$J$2:$J$2001,Transaksi!$M$2:$M$2001,"&lt;="&amp;S402)),"")</f>
        <v/>
      </c>
      <c r="I402">
        <f>IF(399&gt;$O$2,"",MATCH(399,$Q$3:$Q$402,1))</f>
        <v/>
      </c>
      <c r="J402">
        <f>IF(I402="","",IF(399=INDEX($Q$3:$Q$402,I402),"H","E"))</f>
        <v/>
      </c>
      <c r="K402">
        <f>IF(J402&lt;&gt;"E","",MATCH(S402,Transaksi!$M$2:$M$2001,0)+399-INDEX($Q$3:$Q$402,I402)-1)</f>
        <v/>
      </c>
      <c r="N402" t="n">
        <v>400</v>
      </c>
      <c r="O402">
        <f>IF(N402&lt;=$O$1,$O$1-N402+1,"")</f>
        <v/>
      </c>
      <c r="P402">
        <f>IF(O402="",0,COUNTIF(Transaksi!$M$2:$M$2001,O402)+1)</f>
        <v/>
      </c>
      <c r="Q402">
        <f>1+SUM(P$2:P401)</f>
        <v/>
      </c>
      <c r="S402">
        <f>IF(I402="","",INDEX($O$3:$O$402,I402))</f>
        <v/>
      </c>
      <c r="T402">
        <f>IF(J402&lt;&gt;"H","",INDEX(Transaksi!$A$2:$A$2001,MATCH(S402,Transaksi!$M$2:$M$2001,0)))</f>
        <v/>
      </c>
    </row>
    <row r="403">
      <c r="A403" s="31">
        <f>IF(J403="E",IF(INDEX(Transaksi!$J$2:$J$2001,K403)&gt;0,"↑","↓"),"")</f>
        <v/>
      </c>
      <c r="B403" s="32">
        <f>IF(J403="H",CHOOSE(WEEKDAY(T403,2),"Isnin","Selasa","Rabu","Khamis","Jumaat","Sabtu","Ahad")&amp;", "&amp;DAY(T403)&amp;" "&amp;CHOOSE(MONTH(T403),"Jan","Feb","Mac","Apr","Mei","Jun","Jul","Ogo","Sep","Okt","Nov","Dis")&amp;" "&amp;YEAR(T403),IF(J403="E",IF(INDEX(Transaksi!$B$2:$B$2001,K403)="",INDEX(Transaksi!$C$2:$C$2001,K403)&amp;" · "&amp;INDEX(Transaksi!$D$2:$D$2001,K403),INDEX(Transaksi!$B$2:$B$2001,K403)),""))</f>
        <v/>
      </c>
      <c r="C403" s="32">
        <f>IF(J403="E",INDEX(Transaksi!$C$2:$C$2001,K403)&amp;"","")</f>
        <v/>
      </c>
      <c r="D403" s="32">
        <f>IF(J403="E",INDEX(Transaksi!$D$2:$D$2001,K403)&amp;"","")</f>
        <v/>
      </c>
      <c r="E403" s="33">
        <f>IF(J403="H",SUMIFS(Transaksi!$G$2:$G$2001,Transaksi!$M$2:$M$2001,"="&amp;S403)+SUMIFS(Transaksi!$H$2:$H$2001,Transaksi!$M$2:$M$2001,"="&amp;S403)+SUMIFS(Transaksi!$I$2:$I$2001,Transaksi!$M$2:$M$2001,"="&amp;S403),IF(J403="E",IF(INDEX(Transaksi!$G$2:$G$2001,K403)+INDEX(Transaksi!$H$2:$H$2001,K403)+INDEX(Transaksi!$I$2:$I$2001,K403)=0,"",INDEX(Transaksi!$G$2:$G$2001,K403)+INDEX(Transaksi!$H$2:$H$2001,K403)+INDEX(Transaksi!$I$2:$I$2001,K403)),""))</f>
        <v/>
      </c>
      <c r="F403" s="33">
        <f>IF(J403="H",SUMIFS(Transaksi!$J$2:$J$2001,Transaksi!$M$2:$M$2001,"="&amp;S403),IF(J403="E",IF(INDEX(Transaksi!$J$2:$J$2001,K403)=0,"",INDEX(Transaksi!$J$2:$J$2001,K403)),""))</f>
        <v/>
      </c>
      <c r="G403" s="33">
        <f>IF(J403="H",(SUMIFS(Transaksi!$G$2:$G$2001,Transaksi!$M$2:$M$2001,"&lt;="&amp;S403)+SUMIFS(Transaksi!$H$2:$H$2001,Transaksi!$M$2:$M$2001,"&lt;="&amp;S403)+SUMIFS(Transaksi!$I$2:$I$2001,Transaksi!$M$2:$M$2001,"&lt;="&amp;S403))-(SUMIFS(Transaksi!$J$2:$J$2001,Transaksi!$M$2:$M$2001,"&lt;="&amp;S403)),"")</f>
        <v/>
      </c>
      <c r="I403">
        <f>IF(400&gt;$O$2,"",MATCH(400,$Q$3:$Q$402,1))</f>
        <v/>
      </c>
      <c r="J403">
        <f>IF(I403="","",IF(400=INDEX($Q$3:$Q$402,I403),"H","E"))</f>
        <v/>
      </c>
      <c r="K403">
        <f>IF(J403&lt;&gt;"E","",MATCH(S403,Transaksi!$M$2:$M$2001,0)+400-INDEX($Q$3:$Q$402,I403)-1)</f>
        <v/>
      </c>
      <c r="S403">
        <f>IF(I403="","",INDEX($O$3:$O$402,I403))</f>
        <v/>
      </c>
      <c r="T403">
        <f>IF(J403&lt;&gt;"H","",INDEX(Transaksi!$A$2:$A$2001,MATCH(S403,Transaksi!$M$2:$M$2001,0)))</f>
        <v/>
      </c>
    </row>
    <row r="404">
      <c r="A404" s="31">
        <f>IF(J404="E",IF(INDEX(Transaksi!$J$2:$J$2001,K404)&gt;0,"↑","↓"),"")</f>
        <v/>
      </c>
      <c r="B404" s="32">
        <f>IF(J404="H",CHOOSE(WEEKDAY(T404,2),"Isnin","Selasa","Rabu","Khamis","Jumaat","Sabtu","Ahad")&amp;", "&amp;DAY(T404)&amp;" "&amp;CHOOSE(MONTH(T404),"Jan","Feb","Mac","Apr","Mei","Jun","Jul","Ogo","Sep","Okt","Nov","Dis")&amp;" "&amp;YEAR(T404),IF(J404="E",IF(INDEX(Transaksi!$B$2:$B$2001,K404)="",INDEX(Transaksi!$C$2:$C$2001,K404)&amp;" · "&amp;INDEX(Transaksi!$D$2:$D$2001,K404),INDEX(Transaksi!$B$2:$B$2001,K404)),""))</f>
        <v/>
      </c>
      <c r="C404" s="32">
        <f>IF(J404="E",INDEX(Transaksi!$C$2:$C$2001,K404)&amp;"","")</f>
        <v/>
      </c>
      <c r="D404" s="32">
        <f>IF(J404="E",INDEX(Transaksi!$D$2:$D$2001,K404)&amp;"","")</f>
        <v/>
      </c>
      <c r="E404" s="33">
        <f>IF(J404="H",SUMIFS(Transaksi!$G$2:$G$2001,Transaksi!$M$2:$M$2001,"="&amp;S404)+SUMIFS(Transaksi!$H$2:$H$2001,Transaksi!$M$2:$M$2001,"="&amp;S404)+SUMIFS(Transaksi!$I$2:$I$2001,Transaksi!$M$2:$M$2001,"="&amp;S404),IF(J404="E",IF(INDEX(Transaksi!$G$2:$G$2001,K404)+INDEX(Transaksi!$H$2:$H$2001,K404)+INDEX(Transaksi!$I$2:$I$2001,K404)=0,"",INDEX(Transaksi!$G$2:$G$2001,K404)+INDEX(Transaksi!$H$2:$H$2001,K404)+INDEX(Transaksi!$I$2:$I$2001,K404)),""))</f>
        <v/>
      </c>
      <c r="F404" s="33">
        <f>IF(J404="H",SUMIFS(Transaksi!$J$2:$J$2001,Transaksi!$M$2:$M$2001,"="&amp;S404),IF(J404="E",IF(INDEX(Transaksi!$J$2:$J$2001,K404)=0,"",INDEX(Transaksi!$J$2:$J$2001,K404)),""))</f>
        <v/>
      </c>
      <c r="G404" s="33">
        <f>IF(J404="H",(SUMIFS(Transaksi!$G$2:$G$2001,Transaksi!$M$2:$M$2001,"&lt;="&amp;S404)+SUMIFS(Transaksi!$H$2:$H$2001,Transaksi!$M$2:$M$2001,"&lt;="&amp;S404)+SUMIFS(Transaksi!$I$2:$I$2001,Transaksi!$M$2:$M$2001,"&lt;="&amp;S404))-(SUMIFS(Transaksi!$J$2:$J$2001,Transaksi!$M$2:$M$2001,"&lt;="&amp;S404)),"")</f>
        <v/>
      </c>
      <c r="I404">
        <f>IF(401&gt;$O$2,"",MATCH(401,$Q$3:$Q$402,1))</f>
        <v/>
      </c>
      <c r="J404">
        <f>IF(I404="","",IF(401=INDEX($Q$3:$Q$402,I404),"H","E"))</f>
        <v/>
      </c>
      <c r="K404">
        <f>IF(J404&lt;&gt;"E","",MATCH(S404,Transaksi!$M$2:$M$2001,0)+401-INDEX($Q$3:$Q$402,I404)-1)</f>
        <v/>
      </c>
      <c r="S404">
        <f>IF(I404="","",INDEX($O$3:$O$402,I404))</f>
        <v/>
      </c>
      <c r="T404">
        <f>IF(J404&lt;&gt;"H","",INDEX(Transaksi!$A$2:$A$2001,MATCH(S404,Transaksi!$M$2:$M$2001,0)))</f>
        <v/>
      </c>
    </row>
    <row r="405">
      <c r="A405" s="31">
        <f>IF(J405="E",IF(INDEX(Transaksi!$J$2:$J$2001,K405)&gt;0,"↑","↓"),"")</f>
        <v/>
      </c>
      <c r="B405" s="32">
        <f>IF(J405="H",CHOOSE(WEEKDAY(T405,2),"Isnin","Selasa","Rabu","Khamis","Jumaat","Sabtu","Ahad")&amp;", "&amp;DAY(T405)&amp;" "&amp;CHOOSE(MONTH(T405),"Jan","Feb","Mac","Apr","Mei","Jun","Jul","Ogo","Sep","Okt","Nov","Dis")&amp;" "&amp;YEAR(T405),IF(J405="E",IF(INDEX(Transaksi!$B$2:$B$2001,K405)="",INDEX(Transaksi!$C$2:$C$2001,K405)&amp;" · "&amp;INDEX(Transaksi!$D$2:$D$2001,K405),INDEX(Transaksi!$B$2:$B$2001,K405)),""))</f>
        <v/>
      </c>
      <c r="C405" s="32">
        <f>IF(J405="E",INDEX(Transaksi!$C$2:$C$2001,K405)&amp;"","")</f>
        <v/>
      </c>
      <c r="D405" s="32">
        <f>IF(J405="E",INDEX(Transaksi!$D$2:$D$2001,K405)&amp;"","")</f>
        <v/>
      </c>
      <c r="E405" s="33">
        <f>IF(J405="H",SUMIFS(Transaksi!$G$2:$G$2001,Transaksi!$M$2:$M$2001,"="&amp;S405)+SUMIFS(Transaksi!$H$2:$H$2001,Transaksi!$M$2:$M$2001,"="&amp;S405)+SUMIFS(Transaksi!$I$2:$I$2001,Transaksi!$M$2:$M$2001,"="&amp;S405),IF(J405="E",IF(INDEX(Transaksi!$G$2:$G$2001,K405)+INDEX(Transaksi!$H$2:$H$2001,K405)+INDEX(Transaksi!$I$2:$I$2001,K405)=0,"",INDEX(Transaksi!$G$2:$G$2001,K405)+INDEX(Transaksi!$H$2:$H$2001,K405)+INDEX(Transaksi!$I$2:$I$2001,K405)),""))</f>
        <v/>
      </c>
      <c r="F405" s="33">
        <f>IF(J405="H",SUMIFS(Transaksi!$J$2:$J$2001,Transaksi!$M$2:$M$2001,"="&amp;S405),IF(J405="E",IF(INDEX(Transaksi!$J$2:$J$2001,K405)=0,"",INDEX(Transaksi!$J$2:$J$2001,K405)),""))</f>
        <v/>
      </c>
      <c r="G405" s="33">
        <f>IF(J405="H",(SUMIFS(Transaksi!$G$2:$G$2001,Transaksi!$M$2:$M$2001,"&lt;="&amp;S405)+SUMIFS(Transaksi!$H$2:$H$2001,Transaksi!$M$2:$M$2001,"&lt;="&amp;S405)+SUMIFS(Transaksi!$I$2:$I$2001,Transaksi!$M$2:$M$2001,"&lt;="&amp;S405))-(SUMIFS(Transaksi!$J$2:$J$2001,Transaksi!$M$2:$M$2001,"&lt;="&amp;S405)),"")</f>
        <v/>
      </c>
      <c r="I405">
        <f>IF(402&gt;$O$2,"",MATCH(402,$Q$3:$Q$402,1))</f>
        <v/>
      </c>
      <c r="J405">
        <f>IF(I405="","",IF(402=INDEX($Q$3:$Q$402,I405),"H","E"))</f>
        <v/>
      </c>
      <c r="K405">
        <f>IF(J405&lt;&gt;"E","",MATCH(S405,Transaksi!$M$2:$M$2001,0)+402-INDEX($Q$3:$Q$402,I405)-1)</f>
        <v/>
      </c>
      <c r="S405">
        <f>IF(I405="","",INDEX($O$3:$O$402,I405))</f>
        <v/>
      </c>
      <c r="T405">
        <f>IF(J405&lt;&gt;"H","",INDEX(Transaksi!$A$2:$A$2001,MATCH(S405,Transaksi!$M$2:$M$2001,0)))</f>
        <v/>
      </c>
    </row>
    <row r="406">
      <c r="A406" s="31">
        <f>IF(J406="E",IF(INDEX(Transaksi!$J$2:$J$2001,K406)&gt;0,"↑","↓"),"")</f>
        <v/>
      </c>
      <c r="B406" s="32">
        <f>IF(J406="H",CHOOSE(WEEKDAY(T406,2),"Isnin","Selasa","Rabu","Khamis","Jumaat","Sabtu","Ahad")&amp;", "&amp;DAY(T406)&amp;" "&amp;CHOOSE(MONTH(T406),"Jan","Feb","Mac","Apr","Mei","Jun","Jul","Ogo","Sep","Okt","Nov","Dis")&amp;" "&amp;YEAR(T406),IF(J406="E",IF(INDEX(Transaksi!$B$2:$B$2001,K406)="",INDEX(Transaksi!$C$2:$C$2001,K406)&amp;" · "&amp;INDEX(Transaksi!$D$2:$D$2001,K406),INDEX(Transaksi!$B$2:$B$2001,K406)),""))</f>
        <v/>
      </c>
      <c r="C406" s="32">
        <f>IF(J406="E",INDEX(Transaksi!$C$2:$C$2001,K406)&amp;"","")</f>
        <v/>
      </c>
      <c r="D406" s="32">
        <f>IF(J406="E",INDEX(Transaksi!$D$2:$D$2001,K406)&amp;"","")</f>
        <v/>
      </c>
      <c r="E406" s="33">
        <f>IF(J406="H",SUMIFS(Transaksi!$G$2:$G$2001,Transaksi!$M$2:$M$2001,"="&amp;S406)+SUMIFS(Transaksi!$H$2:$H$2001,Transaksi!$M$2:$M$2001,"="&amp;S406)+SUMIFS(Transaksi!$I$2:$I$2001,Transaksi!$M$2:$M$2001,"="&amp;S406),IF(J406="E",IF(INDEX(Transaksi!$G$2:$G$2001,K406)+INDEX(Transaksi!$H$2:$H$2001,K406)+INDEX(Transaksi!$I$2:$I$2001,K406)=0,"",INDEX(Transaksi!$G$2:$G$2001,K406)+INDEX(Transaksi!$H$2:$H$2001,K406)+INDEX(Transaksi!$I$2:$I$2001,K406)),""))</f>
        <v/>
      </c>
      <c r="F406" s="33">
        <f>IF(J406="H",SUMIFS(Transaksi!$J$2:$J$2001,Transaksi!$M$2:$M$2001,"="&amp;S406),IF(J406="E",IF(INDEX(Transaksi!$J$2:$J$2001,K406)=0,"",INDEX(Transaksi!$J$2:$J$2001,K406)),""))</f>
        <v/>
      </c>
      <c r="G406" s="33">
        <f>IF(J406="H",(SUMIFS(Transaksi!$G$2:$G$2001,Transaksi!$M$2:$M$2001,"&lt;="&amp;S406)+SUMIFS(Transaksi!$H$2:$H$2001,Transaksi!$M$2:$M$2001,"&lt;="&amp;S406)+SUMIFS(Transaksi!$I$2:$I$2001,Transaksi!$M$2:$M$2001,"&lt;="&amp;S406))-(SUMIFS(Transaksi!$J$2:$J$2001,Transaksi!$M$2:$M$2001,"&lt;="&amp;S406)),"")</f>
        <v/>
      </c>
      <c r="I406">
        <f>IF(403&gt;$O$2,"",MATCH(403,$Q$3:$Q$402,1))</f>
        <v/>
      </c>
      <c r="J406">
        <f>IF(I406="","",IF(403=INDEX($Q$3:$Q$402,I406),"H","E"))</f>
        <v/>
      </c>
      <c r="K406">
        <f>IF(J406&lt;&gt;"E","",MATCH(S406,Transaksi!$M$2:$M$2001,0)+403-INDEX($Q$3:$Q$402,I406)-1)</f>
        <v/>
      </c>
      <c r="S406">
        <f>IF(I406="","",INDEX($O$3:$O$402,I406))</f>
        <v/>
      </c>
      <c r="T406">
        <f>IF(J406&lt;&gt;"H","",INDEX(Transaksi!$A$2:$A$2001,MATCH(S406,Transaksi!$M$2:$M$2001,0)))</f>
        <v/>
      </c>
    </row>
    <row r="407">
      <c r="A407" s="31">
        <f>IF(J407="E",IF(INDEX(Transaksi!$J$2:$J$2001,K407)&gt;0,"↑","↓"),"")</f>
        <v/>
      </c>
      <c r="B407" s="32">
        <f>IF(J407="H",CHOOSE(WEEKDAY(T407,2),"Isnin","Selasa","Rabu","Khamis","Jumaat","Sabtu","Ahad")&amp;", "&amp;DAY(T407)&amp;" "&amp;CHOOSE(MONTH(T407),"Jan","Feb","Mac","Apr","Mei","Jun","Jul","Ogo","Sep","Okt","Nov","Dis")&amp;" "&amp;YEAR(T407),IF(J407="E",IF(INDEX(Transaksi!$B$2:$B$2001,K407)="",INDEX(Transaksi!$C$2:$C$2001,K407)&amp;" · "&amp;INDEX(Transaksi!$D$2:$D$2001,K407),INDEX(Transaksi!$B$2:$B$2001,K407)),""))</f>
        <v/>
      </c>
      <c r="C407" s="32">
        <f>IF(J407="E",INDEX(Transaksi!$C$2:$C$2001,K407)&amp;"","")</f>
        <v/>
      </c>
      <c r="D407" s="32">
        <f>IF(J407="E",INDEX(Transaksi!$D$2:$D$2001,K407)&amp;"","")</f>
        <v/>
      </c>
      <c r="E407" s="33">
        <f>IF(J407="H",SUMIFS(Transaksi!$G$2:$G$2001,Transaksi!$M$2:$M$2001,"="&amp;S407)+SUMIFS(Transaksi!$H$2:$H$2001,Transaksi!$M$2:$M$2001,"="&amp;S407)+SUMIFS(Transaksi!$I$2:$I$2001,Transaksi!$M$2:$M$2001,"="&amp;S407),IF(J407="E",IF(INDEX(Transaksi!$G$2:$G$2001,K407)+INDEX(Transaksi!$H$2:$H$2001,K407)+INDEX(Transaksi!$I$2:$I$2001,K407)=0,"",INDEX(Transaksi!$G$2:$G$2001,K407)+INDEX(Transaksi!$H$2:$H$2001,K407)+INDEX(Transaksi!$I$2:$I$2001,K407)),""))</f>
        <v/>
      </c>
      <c r="F407" s="33">
        <f>IF(J407="H",SUMIFS(Transaksi!$J$2:$J$2001,Transaksi!$M$2:$M$2001,"="&amp;S407),IF(J407="E",IF(INDEX(Transaksi!$J$2:$J$2001,K407)=0,"",INDEX(Transaksi!$J$2:$J$2001,K407)),""))</f>
        <v/>
      </c>
      <c r="G407" s="33">
        <f>IF(J407="H",(SUMIFS(Transaksi!$G$2:$G$2001,Transaksi!$M$2:$M$2001,"&lt;="&amp;S407)+SUMIFS(Transaksi!$H$2:$H$2001,Transaksi!$M$2:$M$2001,"&lt;="&amp;S407)+SUMIFS(Transaksi!$I$2:$I$2001,Transaksi!$M$2:$M$2001,"&lt;="&amp;S407))-(SUMIFS(Transaksi!$J$2:$J$2001,Transaksi!$M$2:$M$2001,"&lt;="&amp;S407)),"")</f>
        <v/>
      </c>
      <c r="I407">
        <f>IF(404&gt;$O$2,"",MATCH(404,$Q$3:$Q$402,1))</f>
        <v/>
      </c>
      <c r="J407">
        <f>IF(I407="","",IF(404=INDEX($Q$3:$Q$402,I407),"H","E"))</f>
        <v/>
      </c>
      <c r="K407">
        <f>IF(J407&lt;&gt;"E","",MATCH(S407,Transaksi!$M$2:$M$2001,0)+404-INDEX($Q$3:$Q$402,I407)-1)</f>
        <v/>
      </c>
      <c r="S407">
        <f>IF(I407="","",INDEX($O$3:$O$402,I407))</f>
        <v/>
      </c>
      <c r="T407">
        <f>IF(J407&lt;&gt;"H","",INDEX(Transaksi!$A$2:$A$2001,MATCH(S407,Transaksi!$M$2:$M$2001,0)))</f>
        <v/>
      </c>
    </row>
    <row r="408">
      <c r="A408" s="31">
        <f>IF(J408="E",IF(INDEX(Transaksi!$J$2:$J$2001,K408)&gt;0,"↑","↓"),"")</f>
        <v/>
      </c>
      <c r="B408" s="32">
        <f>IF(J408="H",CHOOSE(WEEKDAY(T408,2),"Isnin","Selasa","Rabu","Khamis","Jumaat","Sabtu","Ahad")&amp;", "&amp;DAY(T408)&amp;" "&amp;CHOOSE(MONTH(T408),"Jan","Feb","Mac","Apr","Mei","Jun","Jul","Ogo","Sep","Okt","Nov","Dis")&amp;" "&amp;YEAR(T408),IF(J408="E",IF(INDEX(Transaksi!$B$2:$B$2001,K408)="",INDEX(Transaksi!$C$2:$C$2001,K408)&amp;" · "&amp;INDEX(Transaksi!$D$2:$D$2001,K408),INDEX(Transaksi!$B$2:$B$2001,K408)),""))</f>
        <v/>
      </c>
      <c r="C408" s="32">
        <f>IF(J408="E",INDEX(Transaksi!$C$2:$C$2001,K408)&amp;"","")</f>
        <v/>
      </c>
      <c r="D408" s="32">
        <f>IF(J408="E",INDEX(Transaksi!$D$2:$D$2001,K408)&amp;"","")</f>
        <v/>
      </c>
      <c r="E408" s="33">
        <f>IF(J408="H",SUMIFS(Transaksi!$G$2:$G$2001,Transaksi!$M$2:$M$2001,"="&amp;S408)+SUMIFS(Transaksi!$H$2:$H$2001,Transaksi!$M$2:$M$2001,"="&amp;S408)+SUMIFS(Transaksi!$I$2:$I$2001,Transaksi!$M$2:$M$2001,"="&amp;S408),IF(J408="E",IF(INDEX(Transaksi!$G$2:$G$2001,K408)+INDEX(Transaksi!$H$2:$H$2001,K408)+INDEX(Transaksi!$I$2:$I$2001,K408)=0,"",INDEX(Transaksi!$G$2:$G$2001,K408)+INDEX(Transaksi!$H$2:$H$2001,K408)+INDEX(Transaksi!$I$2:$I$2001,K408)),""))</f>
        <v/>
      </c>
      <c r="F408" s="33">
        <f>IF(J408="H",SUMIFS(Transaksi!$J$2:$J$2001,Transaksi!$M$2:$M$2001,"="&amp;S408),IF(J408="E",IF(INDEX(Transaksi!$J$2:$J$2001,K408)=0,"",INDEX(Transaksi!$J$2:$J$2001,K408)),""))</f>
        <v/>
      </c>
      <c r="G408" s="33">
        <f>IF(J408="H",(SUMIFS(Transaksi!$G$2:$G$2001,Transaksi!$M$2:$M$2001,"&lt;="&amp;S408)+SUMIFS(Transaksi!$H$2:$H$2001,Transaksi!$M$2:$M$2001,"&lt;="&amp;S408)+SUMIFS(Transaksi!$I$2:$I$2001,Transaksi!$M$2:$M$2001,"&lt;="&amp;S408))-(SUMIFS(Transaksi!$J$2:$J$2001,Transaksi!$M$2:$M$2001,"&lt;="&amp;S408)),"")</f>
        <v/>
      </c>
      <c r="I408">
        <f>IF(405&gt;$O$2,"",MATCH(405,$Q$3:$Q$402,1))</f>
        <v/>
      </c>
      <c r="J408">
        <f>IF(I408="","",IF(405=INDEX($Q$3:$Q$402,I408),"H","E"))</f>
        <v/>
      </c>
      <c r="K408">
        <f>IF(J408&lt;&gt;"E","",MATCH(S408,Transaksi!$M$2:$M$2001,0)+405-INDEX($Q$3:$Q$402,I408)-1)</f>
        <v/>
      </c>
      <c r="S408">
        <f>IF(I408="","",INDEX($O$3:$O$402,I408))</f>
        <v/>
      </c>
      <c r="T408">
        <f>IF(J408&lt;&gt;"H","",INDEX(Transaksi!$A$2:$A$2001,MATCH(S408,Transaksi!$M$2:$M$2001,0)))</f>
        <v/>
      </c>
    </row>
    <row r="409">
      <c r="A409" s="31">
        <f>IF(J409="E",IF(INDEX(Transaksi!$J$2:$J$2001,K409)&gt;0,"↑","↓"),"")</f>
        <v/>
      </c>
      <c r="B409" s="32">
        <f>IF(J409="H",CHOOSE(WEEKDAY(T409,2),"Isnin","Selasa","Rabu","Khamis","Jumaat","Sabtu","Ahad")&amp;", "&amp;DAY(T409)&amp;" "&amp;CHOOSE(MONTH(T409),"Jan","Feb","Mac","Apr","Mei","Jun","Jul","Ogo","Sep","Okt","Nov","Dis")&amp;" "&amp;YEAR(T409),IF(J409="E",IF(INDEX(Transaksi!$B$2:$B$2001,K409)="",INDEX(Transaksi!$C$2:$C$2001,K409)&amp;" · "&amp;INDEX(Transaksi!$D$2:$D$2001,K409),INDEX(Transaksi!$B$2:$B$2001,K409)),""))</f>
        <v/>
      </c>
      <c r="C409" s="32">
        <f>IF(J409="E",INDEX(Transaksi!$C$2:$C$2001,K409)&amp;"","")</f>
        <v/>
      </c>
      <c r="D409" s="32">
        <f>IF(J409="E",INDEX(Transaksi!$D$2:$D$2001,K409)&amp;"","")</f>
        <v/>
      </c>
      <c r="E409" s="33">
        <f>IF(J409="H",SUMIFS(Transaksi!$G$2:$G$2001,Transaksi!$M$2:$M$2001,"="&amp;S409)+SUMIFS(Transaksi!$H$2:$H$2001,Transaksi!$M$2:$M$2001,"="&amp;S409)+SUMIFS(Transaksi!$I$2:$I$2001,Transaksi!$M$2:$M$2001,"="&amp;S409),IF(J409="E",IF(INDEX(Transaksi!$G$2:$G$2001,K409)+INDEX(Transaksi!$H$2:$H$2001,K409)+INDEX(Transaksi!$I$2:$I$2001,K409)=0,"",INDEX(Transaksi!$G$2:$G$2001,K409)+INDEX(Transaksi!$H$2:$H$2001,K409)+INDEX(Transaksi!$I$2:$I$2001,K409)),""))</f>
        <v/>
      </c>
      <c r="F409" s="33">
        <f>IF(J409="H",SUMIFS(Transaksi!$J$2:$J$2001,Transaksi!$M$2:$M$2001,"="&amp;S409),IF(J409="E",IF(INDEX(Transaksi!$J$2:$J$2001,K409)=0,"",INDEX(Transaksi!$J$2:$J$2001,K409)),""))</f>
        <v/>
      </c>
      <c r="G409" s="33">
        <f>IF(J409="H",(SUMIFS(Transaksi!$G$2:$G$2001,Transaksi!$M$2:$M$2001,"&lt;="&amp;S409)+SUMIFS(Transaksi!$H$2:$H$2001,Transaksi!$M$2:$M$2001,"&lt;="&amp;S409)+SUMIFS(Transaksi!$I$2:$I$2001,Transaksi!$M$2:$M$2001,"&lt;="&amp;S409))-(SUMIFS(Transaksi!$J$2:$J$2001,Transaksi!$M$2:$M$2001,"&lt;="&amp;S409)),"")</f>
        <v/>
      </c>
      <c r="I409">
        <f>IF(406&gt;$O$2,"",MATCH(406,$Q$3:$Q$402,1))</f>
        <v/>
      </c>
      <c r="J409">
        <f>IF(I409="","",IF(406=INDEX($Q$3:$Q$402,I409),"H","E"))</f>
        <v/>
      </c>
      <c r="K409">
        <f>IF(J409&lt;&gt;"E","",MATCH(S409,Transaksi!$M$2:$M$2001,0)+406-INDEX($Q$3:$Q$402,I409)-1)</f>
        <v/>
      </c>
      <c r="S409">
        <f>IF(I409="","",INDEX($O$3:$O$402,I409))</f>
        <v/>
      </c>
      <c r="T409">
        <f>IF(J409&lt;&gt;"H","",INDEX(Transaksi!$A$2:$A$2001,MATCH(S409,Transaksi!$M$2:$M$2001,0)))</f>
        <v/>
      </c>
    </row>
    <row r="410">
      <c r="A410" s="31">
        <f>IF(J410="E",IF(INDEX(Transaksi!$J$2:$J$2001,K410)&gt;0,"↑","↓"),"")</f>
        <v/>
      </c>
      <c r="B410" s="32">
        <f>IF(J410="H",CHOOSE(WEEKDAY(T410,2),"Isnin","Selasa","Rabu","Khamis","Jumaat","Sabtu","Ahad")&amp;", "&amp;DAY(T410)&amp;" "&amp;CHOOSE(MONTH(T410),"Jan","Feb","Mac","Apr","Mei","Jun","Jul","Ogo","Sep","Okt","Nov","Dis")&amp;" "&amp;YEAR(T410),IF(J410="E",IF(INDEX(Transaksi!$B$2:$B$2001,K410)="",INDEX(Transaksi!$C$2:$C$2001,K410)&amp;" · "&amp;INDEX(Transaksi!$D$2:$D$2001,K410),INDEX(Transaksi!$B$2:$B$2001,K410)),""))</f>
        <v/>
      </c>
      <c r="C410" s="32">
        <f>IF(J410="E",INDEX(Transaksi!$C$2:$C$2001,K410)&amp;"","")</f>
        <v/>
      </c>
      <c r="D410" s="32">
        <f>IF(J410="E",INDEX(Transaksi!$D$2:$D$2001,K410)&amp;"","")</f>
        <v/>
      </c>
      <c r="E410" s="33">
        <f>IF(J410="H",SUMIFS(Transaksi!$G$2:$G$2001,Transaksi!$M$2:$M$2001,"="&amp;S410)+SUMIFS(Transaksi!$H$2:$H$2001,Transaksi!$M$2:$M$2001,"="&amp;S410)+SUMIFS(Transaksi!$I$2:$I$2001,Transaksi!$M$2:$M$2001,"="&amp;S410),IF(J410="E",IF(INDEX(Transaksi!$G$2:$G$2001,K410)+INDEX(Transaksi!$H$2:$H$2001,K410)+INDEX(Transaksi!$I$2:$I$2001,K410)=0,"",INDEX(Transaksi!$G$2:$G$2001,K410)+INDEX(Transaksi!$H$2:$H$2001,K410)+INDEX(Transaksi!$I$2:$I$2001,K410)),""))</f>
        <v/>
      </c>
      <c r="F410" s="33">
        <f>IF(J410="H",SUMIFS(Transaksi!$J$2:$J$2001,Transaksi!$M$2:$M$2001,"="&amp;S410),IF(J410="E",IF(INDEX(Transaksi!$J$2:$J$2001,K410)=0,"",INDEX(Transaksi!$J$2:$J$2001,K410)),""))</f>
        <v/>
      </c>
      <c r="G410" s="33">
        <f>IF(J410="H",(SUMIFS(Transaksi!$G$2:$G$2001,Transaksi!$M$2:$M$2001,"&lt;="&amp;S410)+SUMIFS(Transaksi!$H$2:$H$2001,Transaksi!$M$2:$M$2001,"&lt;="&amp;S410)+SUMIFS(Transaksi!$I$2:$I$2001,Transaksi!$M$2:$M$2001,"&lt;="&amp;S410))-(SUMIFS(Transaksi!$J$2:$J$2001,Transaksi!$M$2:$M$2001,"&lt;="&amp;S410)),"")</f>
        <v/>
      </c>
      <c r="I410">
        <f>IF(407&gt;$O$2,"",MATCH(407,$Q$3:$Q$402,1))</f>
        <v/>
      </c>
      <c r="J410">
        <f>IF(I410="","",IF(407=INDEX($Q$3:$Q$402,I410),"H","E"))</f>
        <v/>
      </c>
      <c r="K410">
        <f>IF(J410&lt;&gt;"E","",MATCH(S410,Transaksi!$M$2:$M$2001,0)+407-INDEX($Q$3:$Q$402,I410)-1)</f>
        <v/>
      </c>
      <c r="S410">
        <f>IF(I410="","",INDEX($O$3:$O$402,I410))</f>
        <v/>
      </c>
      <c r="T410">
        <f>IF(J410&lt;&gt;"H","",INDEX(Transaksi!$A$2:$A$2001,MATCH(S410,Transaksi!$M$2:$M$2001,0)))</f>
        <v/>
      </c>
    </row>
    <row r="411">
      <c r="A411" s="31">
        <f>IF(J411="E",IF(INDEX(Transaksi!$J$2:$J$2001,K411)&gt;0,"↑","↓"),"")</f>
        <v/>
      </c>
      <c r="B411" s="32">
        <f>IF(J411="H",CHOOSE(WEEKDAY(T411,2),"Isnin","Selasa","Rabu","Khamis","Jumaat","Sabtu","Ahad")&amp;", "&amp;DAY(T411)&amp;" "&amp;CHOOSE(MONTH(T411),"Jan","Feb","Mac","Apr","Mei","Jun","Jul","Ogo","Sep","Okt","Nov","Dis")&amp;" "&amp;YEAR(T411),IF(J411="E",IF(INDEX(Transaksi!$B$2:$B$2001,K411)="",INDEX(Transaksi!$C$2:$C$2001,K411)&amp;" · "&amp;INDEX(Transaksi!$D$2:$D$2001,K411),INDEX(Transaksi!$B$2:$B$2001,K411)),""))</f>
        <v/>
      </c>
      <c r="C411" s="32">
        <f>IF(J411="E",INDEX(Transaksi!$C$2:$C$2001,K411)&amp;"","")</f>
        <v/>
      </c>
      <c r="D411" s="32">
        <f>IF(J411="E",INDEX(Transaksi!$D$2:$D$2001,K411)&amp;"","")</f>
        <v/>
      </c>
      <c r="E411" s="33">
        <f>IF(J411="H",SUMIFS(Transaksi!$G$2:$G$2001,Transaksi!$M$2:$M$2001,"="&amp;S411)+SUMIFS(Transaksi!$H$2:$H$2001,Transaksi!$M$2:$M$2001,"="&amp;S411)+SUMIFS(Transaksi!$I$2:$I$2001,Transaksi!$M$2:$M$2001,"="&amp;S411),IF(J411="E",IF(INDEX(Transaksi!$G$2:$G$2001,K411)+INDEX(Transaksi!$H$2:$H$2001,K411)+INDEX(Transaksi!$I$2:$I$2001,K411)=0,"",INDEX(Transaksi!$G$2:$G$2001,K411)+INDEX(Transaksi!$H$2:$H$2001,K411)+INDEX(Transaksi!$I$2:$I$2001,K411)),""))</f>
        <v/>
      </c>
      <c r="F411" s="33">
        <f>IF(J411="H",SUMIFS(Transaksi!$J$2:$J$2001,Transaksi!$M$2:$M$2001,"="&amp;S411),IF(J411="E",IF(INDEX(Transaksi!$J$2:$J$2001,K411)=0,"",INDEX(Transaksi!$J$2:$J$2001,K411)),""))</f>
        <v/>
      </c>
      <c r="G411" s="33">
        <f>IF(J411="H",(SUMIFS(Transaksi!$G$2:$G$2001,Transaksi!$M$2:$M$2001,"&lt;="&amp;S411)+SUMIFS(Transaksi!$H$2:$H$2001,Transaksi!$M$2:$M$2001,"&lt;="&amp;S411)+SUMIFS(Transaksi!$I$2:$I$2001,Transaksi!$M$2:$M$2001,"&lt;="&amp;S411))-(SUMIFS(Transaksi!$J$2:$J$2001,Transaksi!$M$2:$M$2001,"&lt;="&amp;S411)),"")</f>
        <v/>
      </c>
      <c r="I411">
        <f>IF(408&gt;$O$2,"",MATCH(408,$Q$3:$Q$402,1))</f>
        <v/>
      </c>
      <c r="J411">
        <f>IF(I411="","",IF(408=INDEX($Q$3:$Q$402,I411),"H","E"))</f>
        <v/>
      </c>
      <c r="K411">
        <f>IF(J411&lt;&gt;"E","",MATCH(S411,Transaksi!$M$2:$M$2001,0)+408-INDEX($Q$3:$Q$402,I411)-1)</f>
        <v/>
      </c>
      <c r="S411">
        <f>IF(I411="","",INDEX($O$3:$O$402,I411))</f>
        <v/>
      </c>
      <c r="T411">
        <f>IF(J411&lt;&gt;"H","",INDEX(Transaksi!$A$2:$A$2001,MATCH(S411,Transaksi!$M$2:$M$2001,0)))</f>
        <v/>
      </c>
    </row>
    <row r="412">
      <c r="A412" s="31">
        <f>IF(J412="E",IF(INDEX(Transaksi!$J$2:$J$2001,K412)&gt;0,"↑","↓"),"")</f>
        <v/>
      </c>
      <c r="B412" s="32">
        <f>IF(J412="H",CHOOSE(WEEKDAY(T412,2),"Isnin","Selasa","Rabu","Khamis","Jumaat","Sabtu","Ahad")&amp;", "&amp;DAY(T412)&amp;" "&amp;CHOOSE(MONTH(T412),"Jan","Feb","Mac","Apr","Mei","Jun","Jul","Ogo","Sep","Okt","Nov","Dis")&amp;" "&amp;YEAR(T412),IF(J412="E",IF(INDEX(Transaksi!$B$2:$B$2001,K412)="",INDEX(Transaksi!$C$2:$C$2001,K412)&amp;" · "&amp;INDEX(Transaksi!$D$2:$D$2001,K412),INDEX(Transaksi!$B$2:$B$2001,K412)),""))</f>
        <v/>
      </c>
      <c r="C412" s="32">
        <f>IF(J412="E",INDEX(Transaksi!$C$2:$C$2001,K412)&amp;"","")</f>
        <v/>
      </c>
      <c r="D412" s="32">
        <f>IF(J412="E",INDEX(Transaksi!$D$2:$D$2001,K412)&amp;"","")</f>
        <v/>
      </c>
      <c r="E412" s="33">
        <f>IF(J412="H",SUMIFS(Transaksi!$G$2:$G$2001,Transaksi!$M$2:$M$2001,"="&amp;S412)+SUMIFS(Transaksi!$H$2:$H$2001,Transaksi!$M$2:$M$2001,"="&amp;S412)+SUMIFS(Transaksi!$I$2:$I$2001,Transaksi!$M$2:$M$2001,"="&amp;S412),IF(J412="E",IF(INDEX(Transaksi!$G$2:$G$2001,K412)+INDEX(Transaksi!$H$2:$H$2001,K412)+INDEX(Transaksi!$I$2:$I$2001,K412)=0,"",INDEX(Transaksi!$G$2:$G$2001,K412)+INDEX(Transaksi!$H$2:$H$2001,K412)+INDEX(Transaksi!$I$2:$I$2001,K412)),""))</f>
        <v/>
      </c>
      <c r="F412" s="33">
        <f>IF(J412="H",SUMIFS(Transaksi!$J$2:$J$2001,Transaksi!$M$2:$M$2001,"="&amp;S412),IF(J412="E",IF(INDEX(Transaksi!$J$2:$J$2001,K412)=0,"",INDEX(Transaksi!$J$2:$J$2001,K412)),""))</f>
        <v/>
      </c>
      <c r="G412" s="33">
        <f>IF(J412="H",(SUMIFS(Transaksi!$G$2:$G$2001,Transaksi!$M$2:$M$2001,"&lt;="&amp;S412)+SUMIFS(Transaksi!$H$2:$H$2001,Transaksi!$M$2:$M$2001,"&lt;="&amp;S412)+SUMIFS(Transaksi!$I$2:$I$2001,Transaksi!$M$2:$M$2001,"&lt;="&amp;S412))-(SUMIFS(Transaksi!$J$2:$J$2001,Transaksi!$M$2:$M$2001,"&lt;="&amp;S412)),"")</f>
        <v/>
      </c>
      <c r="I412">
        <f>IF(409&gt;$O$2,"",MATCH(409,$Q$3:$Q$402,1))</f>
        <v/>
      </c>
      <c r="J412">
        <f>IF(I412="","",IF(409=INDEX($Q$3:$Q$402,I412),"H","E"))</f>
        <v/>
      </c>
      <c r="K412">
        <f>IF(J412&lt;&gt;"E","",MATCH(S412,Transaksi!$M$2:$M$2001,0)+409-INDEX($Q$3:$Q$402,I412)-1)</f>
        <v/>
      </c>
      <c r="S412">
        <f>IF(I412="","",INDEX($O$3:$O$402,I412))</f>
        <v/>
      </c>
      <c r="T412">
        <f>IF(J412&lt;&gt;"H","",INDEX(Transaksi!$A$2:$A$2001,MATCH(S412,Transaksi!$M$2:$M$2001,0)))</f>
        <v/>
      </c>
    </row>
    <row r="413">
      <c r="A413" s="31">
        <f>IF(J413="E",IF(INDEX(Transaksi!$J$2:$J$2001,K413)&gt;0,"↑","↓"),"")</f>
        <v/>
      </c>
      <c r="B413" s="32">
        <f>IF(J413="H",CHOOSE(WEEKDAY(T413,2),"Isnin","Selasa","Rabu","Khamis","Jumaat","Sabtu","Ahad")&amp;", "&amp;DAY(T413)&amp;" "&amp;CHOOSE(MONTH(T413),"Jan","Feb","Mac","Apr","Mei","Jun","Jul","Ogo","Sep","Okt","Nov","Dis")&amp;" "&amp;YEAR(T413),IF(J413="E",IF(INDEX(Transaksi!$B$2:$B$2001,K413)="",INDEX(Transaksi!$C$2:$C$2001,K413)&amp;" · "&amp;INDEX(Transaksi!$D$2:$D$2001,K413),INDEX(Transaksi!$B$2:$B$2001,K413)),""))</f>
        <v/>
      </c>
      <c r="C413" s="32">
        <f>IF(J413="E",INDEX(Transaksi!$C$2:$C$2001,K413)&amp;"","")</f>
        <v/>
      </c>
      <c r="D413" s="32">
        <f>IF(J413="E",INDEX(Transaksi!$D$2:$D$2001,K413)&amp;"","")</f>
        <v/>
      </c>
      <c r="E413" s="33">
        <f>IF(J413="H",SUMIFS(Transaksi!$G$2:$G$2001,Transaksi!$M$2:$M$2001,"="&amp;S413)+SUMIFS(Transaksi!$H$2:$H$2001,Transaksi!$M$2:$M$2001,"="&amp;S413)+SUMIFS(Transaksi!$I$2:$I$2001,Transaksi!$M$2:$M$2001,"="&amp;S413),IF(J413="E",IF(INDEX(Transaksi!$G$2:$G$2001,K413)+INDEX(Transaksi!$H$2:$H$2001,K413)+INDEX(Transaksi!$I$2:$I$2001,K413)=0,"",INDEX(Transaksi!$G$2:$G$2001,K413)+INDEX(Transaksi!$H$2:$H$2001,K413)+INDEX(Transaksi!$I$2:$I$2001,K413)),""))</f>
        <v/>
      </c>
      <c r="F413" s="33">
        <f>IF(J413="H",SUMIFS(Transaksi!$J$2:$J$2001,Transaksi!$M$2:$M$2001,"="&amp;S413),IF(J413="E",IF(INDEX(Transaksi!$J$2:$J$2001,K413)=0,"",INDEX(Transaksi!$J$2:$J$2001,K413)),""))</f>
        <v/>
      </c>
      <c r="G413" s="33">
        <f>IF(J413="H",(SUMIFS(Transaksi!$G$2:$G$2001,Transaksi!$M$2:$M$2001,"&lt;="&amp;S413)+SUMIFS(Transaksi!$H$2:$H$2001,Transaksi!$M$2:$M$2001,"&lt;="&amp;S413)+SUMIFS(Transaksi!$I$2:$I$2001,Transaksi!$M$2:$M$2001,"&lt;="&amp;S413))-(SUMIFS(Transaksi!$J$2:$J$2001,Transaksi!$M$2:$M$2001,"&lt;="&amp;S413)),"")</f>
        <v/>
      </c>
      <c r="I413">
        <f>IF(410&gt;$O$2,"",MATCH(410,$Q$3:$Q$402,1))</f>
        <v/>
      </c>
      <c r="J413">
        <f>IF(I413="","",IF(410=INDEX($Q$3:$Q$402,I413),"H","E"))</f>
        <v/>
      </c>
      <c r="K413">
        <f>IF(J413&lt;&gt;"E","",MATCH(S413,Transaksi!$M$2:$M$2001,0)+410-INDEX($Q$3:$Q$402,I413)-1)</f>
        <v/>
      </c>
      <c r="S413">
        <f>IF(I413="","",INDEX($O$3:$O$402,I413))</f>
        <v/>
      </c>
      <c r="T413">
        <f>IF(J413&lt;&gt;"H","",INDEX(Transaksi!$A$2:$A$2001,MATCH(S413,Transaksi!$M$2:$M$2001,0)))</f>
        <v/>
      </c>
    </row>
    <row r="414">
      <c r="A414" s="31">
        <f>IF(J414="E",IF(INDEX(Transaksi!$J$2:$J$2001,K414)&gt;0,"↑","↓"),"")</f>
        <v/>
      </c>
      <c r="B414" s="32">
        <f>IF(J414="H",CHOOSE(WEEKDAY(T414,2),"Isnin","Selasa","Rabu","Khamis","Jumaat","Sabtu","Ahad")&amp;", "&amp;DAY(T414)&amp;" "&amp;CHOOSE(MONTH(T414),"Jan","Feb","Mac","Apr","Mei","Jun","Jul","Ogo","Sep","Okt","Nov","Dis")&amp;" "&amp;YEAR(T414),IF(J414="E",IF(INDEX(Transaksi!$B$2:$B$2001,K414)="",INDEX(Transaksi!$C$2:$C$2001,K414)&amp;" · "&amp;INDEX(Transaksi!$D$2:$D$2001,K414),INDEX(Transaksi!$B$2:$B$2001,K414)),""))</f>
        <v/>
      </c>
      <c r="C414" s="32">
        <f>IF(J414="E",INDEX(Transaksi!$C$2:$C$2001,K414)&amp;"","")</f>
        <v/>
      </c>
      <c r="D414" s="32">
        <f>IF(J414="E",INDEX(Transaksi!$D$2:$D$2001,K414)&amp;"","")</f>
        <v/>
      </c>
      <c r="E414" s="33">
        <f>IF(J414="H",SUMIFS(Transaksi!$G$2:$G$2001,Transaksi!$M$2:$M$2001,"="&amp;S414)+SUMIFS(Transaksi!$H$2:$H$2001,Transaksi!$M$2:$M$2001,"="&amp;S414)+SUMIFS(Transaksi!$I$2:$I$2001,Transaksi!$M$2:$M$2001,"="&amp;S414),IF(J414="E",IF(INDEX(Transaksi!$G$2:$G$2001,K414)+INDEX(Transaksi!$H$2:$H$2001,K414)+INDEX(Transaksi!$I$2:$I$2001,K414)=0,"",INDEX(Transaksi!$G$2:$G$2001,K414)+INDEX(Transaksi!$H$2:$H$2001,K414)+INDEX(Transaksi!$I$2:$I$2001,K414)),""))</f>
        <v/>
      </c>
      <c r="F414" s="33">
        <f>IF(J414="H",SUMIFS(Transaksi!$J$2:$J$2001,Transaksi!$M$2:$M$2001,"="&amp;S414),IF(J414="E",IF(INDEX(Transaksi!$J$2:$J$2001,K414)=0,"",INDEX(Transaksi!$J$2:$J$2001,K414)),""))</f>
        <v/>
      </c>
      <c r="G414" s="33">
        <f>IF(J414="H",(SUMIFS(Transaksi!$G$2:$G$2001,Transaksi!$M$2:$M$2001,"&lt;="&amp;S414)+SUMIFS(Transaksi!$H$2:$H$2001,Transaksi!$M$2:$M$2001,"&lt;="&amp;S414)+SUMIFS(Transaksi!$I$2:$I$2001,Transaksi!$M$2:$M$2001,"&lt;="&amp;S414))-(SUMIFS(Transaksi!$J$2:$J$2001,Transaksi!$M$2:$M$2001,"&lt;="&amp;S414)),"")</f>
        <v/>
      </c>
      <c r="I414">
        <f>IF(411&gt;$O$2,"",MATCH(411,$Q$3:$Q$402,1))</f>
        <v/>
      </c>
      <c r="J414">
        <f>IF(I414="","",IF(411=INDEX($Q$3:$Q$402,I414),"H","E"))</f>
        <v/>
      </c>
      <c r="K414">
        <f>IF(J414&lt;&gt;"E","",MATCH(S414,Transaksi!$M$2:$M$2001,0)+411-INDEX($Q$3:$Q$402,I414)-1)</f>
        <v/>
      </c>
      <c r="S414">
        <f>IF(I414="","",INDEX($O$3:$O$402,I414))</f>
        <v/>
      </c>
      <c r="T414">
        <f>IF(J414&lt;&gt;"H","",INDEX(Transaksi!$A$2:$A$2001,MATCH(S414,Transaksi!$M$2:$M$2001,0)))</f>
        <v/>
      </c>
    </row>
    <row r="415">
      <c r="A415" s="31">
        <f>IF(J415="E",IF(INDEX(Transaksi!$J$2:$J$2001,K415)&gt;0,"↑","↓"),"")</f>
        <v/>
      </c>
      <c r="B415" s="32">
        <f>IF(J415="H",CHOOSE(WEEKDAY(T415,2),"Isnin","Selasa","Rabu","Khamis","Jumaat","Sabtu","Ahad")&amp;", "&amp;DAY(T415)&amp;" "&amp;CHOOSE(MONTH(T415),"Jan","Feb","Mac","Apr","Mei","Jun","Jul","Ogo","Sep","Okt","Nov","Dis")&amp;" "&amp;YEAR(T415),IF(J415="E",IF(INDEX(Transaksi!$B$2:$B$2001,K415)="",INDEX(Transaksi!$C$2:$C$2001,K415)&amp;" · "&amp;INDEX(Transaksi!$D$2:$D$2001,K415),INDEX(Transaksi!$B$2:$B$2001,K415)),""))</f>
        <v/>
      </c>
      <c r="C415" s="32">
        <f>IF(J415="E",INDEX(Transaksi!$C$2:$C$2001,K415)&amp;"","")</f>
        <v/>
      </c>
      <c r="D415" s="32">
        <f>IF(J415="E",INDEX(Transaksi!$D$2:$D$2001,K415)&amp;"","")</f>
        <v/>
      </c>
      <c r="E415" s="33">
        <f>IF(J415="H",SUMIFS(Transaksi!$G$2:$G$2001,Transaksi!$M$2:$M$2001,"="&amp;S415)+SUMIFS(Transaksi!$H$2:$H$2001,Transaksi!$M$2:$M$2001,"="&amp;S415)+SUMIFS(Transaksi!$I$2:$I$2001,Transaksi!$M$2:$M$2001,"="&amp;S415),IF(J415="E",IF(INDEX(Transaksi!$G$2:$G$2001,K415)+INDEX(Transaksi!$H$2:$H$2001,K415)+INDEX(Transaksi!$I$2:$I$2001,K415)=0,"",INDEX(Transaksi!$G$2:$G$2001,K415)+INDEX(Transaksi!$H$2:$H$2001,K415)+INDEX(Transaksi!$I$2:$I$2001,K415)),""))</f>
        <v/>
      </c>
      <c r="F415" s="33">
        <f>IF(J415="H",SUMIFS(Transaksi!$J$2:$J$2001,Transaksi!$M$2:$M$2001,"="&amp;S415),IF(J415="E",IF(INDEX(Transaksi!$J$2:$J$2001,K415)=0,"",INDEX(Transaksi!$J$2:$J$2001,K415)),""))</f>
        <v/>
      </c>
      <c r="G415" s="33">
        <f>IF(J415="H",(SUMIFS(Transaksi!$G$2:$G$2001,Transaksi!$M$2:$M$2001,"&lt;="&amp;S415)+SUMIFS(Transaksi!$H$2:$H$2001,Transaksi!$M$2:$M$2001,"&lt;="&amp;S415)+SUMIFS(Transaksi!$I$2:$I$2001,Transaksi!$M$2:$M$2001,"&lt;="&amp;S415))-(SUMIFS(Transaksi!$J$2:$J$2001,Transaksi!$M$2:$M$2001,"&lt;="&amp;S415)),"")</f>
        <v/>
      </c>
      <c r="I415">
        <f>IF(412&gt;$O$2,"",MATCH(412,$Q$3:$Q$402,1))</f>
        <v/>
      </c>
      <c r="J415">
        <f>IF(I415="","",IF(412=INDEX($Q$3:$Q$402,I415),"H","E"))</f>
        <v/>
      </c>
      <c r="K415">
        <f>IF(J415&lt;&gt;"E","",MATCH(S415,Transaksi!$M$2:$M$2001,0)+412-INDEX($Q$3:$Q$402,I415)-1)</f>
        <v/>
      </c>
      <c r="S415">
        <f>IF(I415="","",INDEX($O$3:$O$402,I415))</f>
        <v/>
      </c>
      <c r="T415">
        <f>IF(J415&lt;&gt;"H","",INDEX(Transaksi!$A$2:$A$2001,MATCH(S415,Transaksi!$M$2:$M$2001,0)))</f>
        <v/>
      </c>
    </row>
    <row r="416">
      <c r="A416" s="31">
        <f>IF(J416="E",IF(INDEX(Transaksi!$J$2:$J$2001,K416)&gt;0,"↑","↓"),"")</f>
        <v/>
      </c>
      <c r="B416" s="32">
        <f>IF(J416="H",CHOOSE(WEEKDAY(T416,2),"Isnin","Selasa","Rabu","Khamis","Jumaat","Sabtu","Ahad")&amp;", "&amp;DAY(T416)&amp;" "&amp;CHOOSE(MONTH(T416),"Jan","Feb","Mac","Apr","Mei","Jun","Jul","Ogo","Sep","Okt","Nov","Dis")&amp;" "&amp;YEAR(T416),IF(J416="E",IF(INDEX(Transaksi!$B$2:$B$2001,K416)="",INDEX(Transaksi!$C$2:$C$2001,K416)&amp;" · "&amp;INDEX(Transaksi!$D$2:$D$2001,K416),INDEX(Transaksi!$B$2:$B$2001,K416)),""))</f>
        <v/>
      </c>
      <c r="C416" s="32">
        <f>IF(J416="E",INDEX(Transaksi!$C$2:$C$2001,K416)&amp;"","")</f>
        <v/>
      </c>
      <c r="D416" s="32">
        <f>IF(J416="E",INDEX(Transaksi!$D$2:$D$2001,K416)&amp;"","")</f>
        <v/>
      </c>
      <c r="E416" s="33">
        <f>IF(J416="H",SUMIFS(Transaksi!$G$2:$G$2001,Transaksi!$M$2:$M$2001,"="&amp;S416)+SUMIFS(Transaksi!$H$2:$H$2001,Transaksi!$M$2:$M$2001,"="&amp;S416)+SUMIFS(Transaksi!$I$2:$I$2001,Transaksi!$M$2:$M$2001,"="&amp;S416),IF(J416="E",IF(INDEX(Transaksi!$G$2:$G$2001,K416)+INDEX(Transaksi!$H$2:$H$2001,K416)+INDEX(Transaksi!$I$2:$I$2001,K416)=0,"",INDEX(Transaksi!$G$2:$G$2001,K416)+INDEX(Transaksi!$H$2:$H$2001,K416)+INDEX(Transaksi!$I$2:$I$2001,K416)),""))</f>
        <v/>
      </c>
      <c r="F416" s="33">
        <f>IF(J416="H",SUMIFS(Transaksi!$J$2:$J$2001,Transaksi!$M$2:$M$2001,"="&amp;S416),IF(J416="E",IF(INDEX(Transaksi!$J$2:$J$2001,K416)=0,"",INDEX(Transaksi!$J$2:$J$2001,K416)),""))</f>
        <v/>
      </c>
      <c r="G416" s="33">
        <f>IF(J416="H",(SUMIFS(Transaksi!$G$2:$G$2001,Transaksi!$M$2:$M$2001,"&lt;="&amp;S416)+SUMIFS(Transaksi!$H$2:$H$2001,Transaksi!$M$2:$M$2001,"&lt;="&amp;S416)+SUMIFS(Transaksi!$I$2:$I$2001,Transaksi!$M$2:$M$2001,"&lt;="&amp;S416))-(SUMIFS(Transaksi!$J$2:$J$2001,Transaksi!$M$2:$M$2001,"&lt;="&amp;S416)),"")</f>
        <v/>
      </c>
      <c r="I416">
        <f>IF(413&gt;$O$2,"",MATCH(413,$Q$3:$Q$402,1))</f>
        <v/>
      </c>
      <c r="J416">
        <f>IF(I416="","",IF(413=INDEX($Q$3:$Q$402,I416),"H","E"))</f>
        <v/>
      </c>
      <c r="K416">
        <f>IF(J416&lt;&gt;"E","",MATCH(S416,Transaksi!$M$2:$M$2001,0)+413-INDEX($Q$3:$Q$402,I416)-1)</f>
        <v/>
      </c>
      <c r="S416">
        <f>IF(I416="","",INDEX($O$3:$O$402,I416))</f>
        <v/>
      </c>
      <c r="T416">
        <f>IF(J416&lt;&gt;"H","",INDEX(Transaksi!$A$2:$A$2001,MATCH(S416,Transaksi!$M$2:$M$2001,0)))</f>
        <v/>
      </c>
    </row>
    <row r="417">
      <c r="A417" s="31">
        <f>IF(J417="E",IF(INDEX(Transaksi!$J$2:$J$2001,K417)&gt;0,"↑","↓"),"")</f>
        <v/>
      </c>
      <c r="B417" s="32">
        <f>IF(J417="H",CHOOSE(WEEKDAY(T417,2),"Isnin","Selasa","Rabu","Khamis","Jumaat","Sabtu","Ahad")&amp;", "&amp;DAY(T417)&amp;" "&amp;CHOOSE(MONTH(T417),"Jan","Feb","Mac","Apr","Mei","Jun","Jul","Ogo","Sep","Okt","Nov","Dis")&amp;" "&amp;YEAR(T417),IF(J417="E",IF(INDEX(Transaksi!$B$2:$B$2001,K417)="",INDEX(Transaksi!$C$2:$C$2001,K417)&amp;" · "&amp;INDEX(Transaksi!$D$2:$D$2001,K417),INDEX(Transaksi!$B$2:$B$2001,K417)),""))</f>
        <v/>
      </c>
      <c r="C417" s="32">
        <f>IF(J417="E",INDEX(Transaksi!$C$2:$C$2001,K417)&amp;"","")</f>
        <v/>
      </c>
      <c r="D417" s="32">
        <f>IF(J417="E",INDEX(Transaksi!$D$2:$D$2001,K417)&amp;"","")</f>
        <v/>
      </c>
      <c r="E417" s="33">
        <f>IF(J417="H",SUMIFS(Transaksi!$G$2:$G$2001,Transaksi!$M$2:$M$2001,"="&amp;S417)+SUMIFS(Transaksi!$H$2:$H$2001,Transaksi!$M$2:$M$2001,"="&amp;S417)+SUMIFS(Transaksi!$I$2:$I$2001,Transaksi!$M$2:$M$2001,"="&amp;S417),IF(J417="E",IF(INDEX(Transaksi!$G$2:$G$2001,K417)+INDEX(Transaksi!$H$2:$H$2001,K417)+INDEX(Transaksi!$I$2:$I$2001,K417)=0,"",INDEX(Transaksi!$G$2:$G$2001,K417)+INDEX(Transaksi!$H$2:$H$2001,K417)+INDEX(Transaksi!$I$2:$I$2001,K417)),""))</f>
        <v/>
      </c>
      <c r="F417" s="33">
        <f>IF(J417="H",SUMIFS(Transaksi!$J$2:$J$2001,Transaksi!$M$2:$M$2001,"="&amp;S417),IF(J417="E",IF(INDEX(Transaksi!$J$2:$J$2001,K417)=0,"",INDEX(Transaksi!$J$2:$J$2001,K417)),""))</f>
        <v/>
      </c>
      <c r="G417" s="33">
        <f>IF(J417="H",(SUMIFS(Transaksi!$G$2:$G$2001,Transaksi!$M$2:$M$2001,"&lt;="&amp;S417)+SUMIFS(Transaksi!$H$2:$H$2001,Transaksi!$M$2:$M$2001,"&lt;="&amp;S417)+SUMIFS(Transaksi!$I$2:$I$2001,Transaksi!$M$2:$M$2001,"&lt;="&amp;S417))-(SUMIFS(Transaksi!$J$2:$J$2001,Transaksi!$M$2:$M$2001,"&lt;="&amp;S417)),"")</f>
        <v/>
      </c>
      <c r="I417">
        <f>IF(414&gt;$O$2,"",MATCH(414,$Q$3:$Q$402,1))</f>
        <v/>
      </c>
      <c r="J417">
        <f>IF(I417="","",IF(414=INDEX($Q$3:$Q$402,I417),"H","E"))</f>
        <v/>
      </c>
      <c r="K417">
        <f>IF(J417&lt;&gt;"E","",MATCH(S417,Transaksi!$M$2:$M$2001,0)+414-INDEX($Q$3:$Q$402,I417)-1)</f>
        <v/>
      </c>
      <c r="S417">
        <f>IF(I417="","",INDEX($O$3:$O$402,I417))</f>
        <v/>
      </c>
      <c r="T417">
        <f>IF(J417&lt;&gt;"H","",INDEX(Transaksi!$A$2:$A$2001,MATCH(S417,Transaksi!$M$2:$M$2001,0)))</f>
        <v/>
      </c>
    </row>
    <row r="418">
      <c r="A418" s="31">
        <f>IF(J418="E",IF(INDEX(Transaksi!$J$2:$J$2001,K418)&gt;0,"↑","↓"),"")</f>
        <v/>
      </c>
      <c r="B418" s="32">
        <f>IF(J418="H",CHOOSE(WEEKDAY(T418,2),"Isnin","Selasa","Rabu","Khamis","Jumaat","Sabtu","Ahad")&amp;", "&amp;DAY(T418)&amp;" "&amp;CHOOSE(MONTH(T418),"Jan","Feb","Mac","Apr","Mei","Jun","Jul","Ogo","Sep","Okt","Nov","Dis")&amp;" "&amp;YEAR(T418),IF(J418="E",IF(INDEX(Transaksi!$B$2:$B$2001,K418)="",INDEX(Transaksi!$C$2:$C$2001,K418)&amp;" · "&amp;INDEX(Transaksi!$D$2:$D$2001,K418),INDEX(Transaksi!$B$2:$B$2001,K418)),""))</f>
        <v/>
      </c>
      <c r="C418" s="32">
        <f>IF(J418="E",INDEX(Transaksi!$C$2:$C$2001,K418)&amp;"","")</f>
        <v/>
      </c>
      <c r="D418" s="32">
        <f>IF(J418="E",INDEX(Transaksi!$D$2:$D$2001,K418)&amp;"","")</f>
        <v/>
      </c>
      <c r="E418" s="33">
        <f>IF(J418="H",SUMIFS(Transaksi!$G$2:$G$2001,Transaksi!$M$2:$M$2001,"="&amp;S418)+SUMIFS(Transaksi!$H$2:$H$2001,Transaksi!$M$2:$M$2001,"="&amp;S418)+SUMIFS(Transaksi!$I$2:$I$2001,Transaksi!$M$2:$M$2001,"="&amp;S418),IF(J418="E",IF(INDEX(Transaksi!$G$2:$G$2001,K418)+INDEX(Transaksi!$H$2:$H$2001,K418)+INDEX(Transaksi!$I$2:$I$2001,K418)=0,"",INDEX(Transaksi!$G$2:$G$2001,K418)+INDEX(Transaksi!$H$2:$H$2001,K418)+INDEX(Transaksi!$I$2:$I$2001,K418)),""))</f>
        <v/>
      </c>
      <c r="F418" s="33">
        <f>IF(J418="H",SUMIFS(Transaksi!$J$2:$J$2001,Transaksi!$M$2:$M$2001,"="&amp;S418),IF(J418="E",IF(INDEX(Transaksi!$J$2:$J$2001,K418)=0,"",INDEX(Transaksi!$J$2:$J$2001,K418)),""))</f>
        <v/>
      </c>
      <c r="G418" s="33">
        <f>IF(J418="H",(SUMIFS(Transaksi!$G$2:$G$2001,Transaksi!$M$2:$M$2001,"&lt;="&amp;S418)+SUMIFS(Transaksi!$H$2:$H$2001,Transaksi!$M$2:$M$2001,"&lt;="&amp;S418)+SUMIFS(Transaksi!$I$2:$I$2001,Transaksi!$M$2:$M$2001,"&lt;="&amp;S418))-(SUMIFS(Transaksi!$J$2:$J$2001,Transaksi!$M$2:$M$2001,"&lt;="&amp;S418)),"")</f>
        <v/>
      </c>
      <c r="I418">
        <f>IF(415&gt;$O$2,"",MATCH(415,$Q$3:$Q$402,1))</f>
        <v/>
      </c>
      <c r="J418">
        <f>IF(I418="","",IF(415=INDEX($Q$3:$Q$402,I418),"H","E"))</f>
        <v/>
      </c>
      <c r="K418">
        <f>IF(J418&lt;&gt;"E","",MATCH(S418,Transaksi!$M$2:$M$2001,0)+415-INDEX($Q$3:$Q$402,I418)-1)</f>
        <v/>
      </c>
      <c r="S418">
        <f>IF(I418="","",INDEX($O$3:$O$402,I418))</f>
        <v/>
      </c>
      <c r="T418">
        <f>IF(J418&lt;&gt;"H","",INDEX(Transaksi!$A$2:$A$2001,MATCH(S418,Transaksi!$M$2:$M$2001,0)))</f>
        <v/>
      </c>
    </row>
    <row r="419">
      <c r="A419" s="31">
        <f>IF(J419="E",IF(INDEX(Transaksi!$J$2:$J$2001,K419)&gt;0,"↑","↓"),"")</f>
        <v/>
      </c>
      <c r="B419" s="32">
        <f>IF(J419="H",CHOOSE(WEEKDAY(T419,2),"Isnin","Selasa","Rabu","Khamis","Jumaat","Sabtu","Ahad")&amp;", "&amp;DAY(T419)&amp;" "&amp;CHOOSE(MONTH(T419),"Jan","Feb","Mac","Apr","Mei","Jun","Jul","Ogo","Sep","Okt","Nov","Dis")&amp;" "&amp;YEAR(T419),IF(J419="E",IF(INDEX(Transaksi!$B$2:$B$2001,K419)="",INDEX(Transaksi!$C$2:$C$2001,K419)&amp;" · "&amp;INDEX(Transaksi!$D$2:$D$2001,K419),INDEX(Transaksi!$B$2:$B$2001,K419)),""))</f>
        <v/>
      </c>
      <c r="C419" s="32">
        <f>IF(J419="E",INDEX(Transaksi!$C$2:$C$2001,K419)&amp;"","")</f>
        <v/>
      </c>
      <c r="D419" s="32">
        <f>IF(J419="E",INDEX(Transaksi!$D$2:$D$2001,K419)&amp;"","")</f>
        <v/>
      </c>
      <c r="E419" s="33">
        <f>IF(J419="H",SUMIFS(Transaksi!$G$2:$G$2001,Transaksi!$M$2:$M$2001,"="&amp;S419)+SUMIFS(Transaksi!$H$2:$H$2001,Transaksi!$M$2:$M$2001,"="&amp;S419)+SUMIFS(Transaksi!$I$2:$I$2001,Transaksi!$M$2:$M$2001,"="&amp;S419),IF(J419="E",IF(INDEX(Transaksi!$G$2:$G$2001,K419)+INDEX(Transaksi!$H$2:$H$2001,K419)+INDEX(Transaksi!$I$2:$I$2001,K419)=0,"",INDEX(Transaksi!$G$2:$G$2001,K419)+INDEX(Transaksi!$H$2:$H$2001,K419)+INDEX(Transaksi!$I$2:$I$2001,K419)),""))</f>
        <v/>
      </c>
      <c r="F419" s="33">
        <f>IF(J419="H",SUMIFS(Transaksi!$J$2:$J$2001,Transaksi!$M$2:$M$2001,"="&amp;S419),IF(J419="E",IF(INDEX(Transaksi!$J$2:$J$2001,K419)=0,"",INDEX(Transaksi!$J$2:$J$2001,K419)),""))</f>
        <v/>
      </c>
      <c r="G419" s="33">
        <f>IF(J419="H",(SUMIFS(Transaksi!$G$2:$G$2001,Transaksi!$M$2:$M$2001,"&lt;="&amp;S419)+SUMIFS(Transaksi!$H$2:$H$2001,Transaksi!$M$2:$M$2001,"&lt;="&amp;S419)+SUMIFS(Transaksi!$I$2:$I$2001,Transaksi!$M$2:$M$2001,"&lt;="&amp;S419))-(SUMIFS(Transaksi!$J$2:$J$2001,Transaksi!$M$2:$M$2001,"&lt;="&amp;S419)),"")</f>
        <v/>
      </c>
      <c r="I419">
        <f>IF(416&gt;$O$2,"",MATCH(416,$Q$3:$Q$402,1))</f>
        <v/>
      </c>
      <c r="J419">
        <f>IF(I419="","",IF(416=INDEX($Q$3:$Q$402,I419),"H","E"))</f>
        <v/>
      </c>
      <c r="K419">
        <f>IF(J419&lt;&gt;"E","",MATCH(S419,Transaksi!$M$2:$M$2001,0)+416-INDEX($Q$3:$Q$402,I419)-1)</f>
        <v/>
      </c>
      <c r="S419">
        <f>IF(I419="","",INDEX($O$3:$O$402,I419))</f>
        <v/>
      </c>
      <c r="T419">
        <f>IF(J419&lt;&gt;"H","",INDEX(Transaksi!$A$2:$A$2001,MATCH(S419,Transaksi!$M$2:$M$2001,0)))</f>
        <v/>
      </c>
    </row>
    <row r="420">
      <c r="A420" s="31">
        <f>IF(J420="E",IF(INDEX(Transaksi!$J$2:$J$2001,K420)&gt;0,"↑","↓"),"")</f>
        <v/>
      </c>
      <c r="B420" s="32">
        <f>IF(J420="H",CHOOSE(WEEKDAY(T420,2),"Isnin","Selasa","Rabu","Khamis","Jumaat","Sabtu","Ahad")&amp;", "&amp;DAY(T420)&amp;" "&amp;CHOOSE(MONTH(T420),"Jan","Feb","Mac","Apr","Mei","Jun","Jul","Ogo","Sep","Okt","Nov","Dis")&amp;" "&amp;YEAR(T420),IF(J420="E",IF(INDEX(Transaksi!$B$2:$B$2001,K420)="",INDEX(Transaksi!$C$2:$C$2001,K420)&amp;" · "&amp;INDEX(Transaksi!$D$2:$D$2001,K420),INDEX(Transaksi!$B$2:$B$2001,K420)),""))</f>
        <v/>
      </c>
      <c r="C420" s="32">
        <f>IF(J420="E",INDEX(Transaksi!$C$2:$C$2001,K420)&amp;"","")</f>
        <v/>
      </c>
      <c r="D420" s="32">
        <f>IF(J420="E",INDEX(Transaksi!$D$2:$D$2001,K420)&amp;"","")</f>
        <v/>
      </c>
      <c r="E420" s="33">
        <f>IF(J420="H",SUMIFS(Transaksi!$G$2:$G$2001,Transaksi!$M$2:$M$2001,"="&amp;S420)+SUMIFS(Transaksi!$H$2:$H$2001,Transaksi!$M$2:$M$2001,"="&amp;S420)+SUMIFS(Transaksi!$I$2:$I$2001,Transaksi!$M$2:$M$2001,"="&amp;S420),IF(J420="E",IF(INDEX(Transaksi!$G$2:$G$2001,K420)+INDEX(Transaksi!$H$2:$H$2001,K420)+INDEX(Transaksi!$I$2:$I$2001,K420)=0,"",INDEX(Transaksi!$G$2:$G$2001,K420)+INDEX(Transaksi!$H$2:$H$2001,K420)+INDEX(Transaksi!$I$2:$I$2001,K420)),""))</f>
        <v/>
      </c>
      <c r="F420" s="33">
        <f>IF(J420="H",SUMIFS(Transaksi!$J$2:$J$2001,Transaksi!$M$2:$M$2001,"="&amp;S420),IF(J420="E",IF(INDEX(Transaksi!$J$2:$J$2001,K420)=0,"",INDEX(Transaksi!$J$2:$J$2001,K420)),""))</f>
        <v/>
      </c>
      <c r="G420" s="33">
        <f>IF(J420="H",(SUMIFS(Transaksi!$G$2:$G$2001,Transaksi!$M$2:$M$2001,"&lt;="&amp;S420)+SUMIFS(Transaksi!$H$2:$H$2001,Transaksi!$M$2:$M$2001,"&lt;="&amp;S420)+SUMIFS(Transaksi!$I$2:$I$2001,Transaksi!$M$2:$M$2001,"&lt;="&amp;S420))-(SUMIFS(Transaksi!$J$2:$J$2001,Transaksi!$M$2:$M$2001,"&lt;="&amp;S420)),"")</f>
        <v/>
      </c>
      <c r="I420">
        <f>IF(417&gt;$O$2,"",MATCH(417,$Q$3:$Q$402,1))</f>
        <v/>
      </c>
      <c r="J420">
        <f>IF(I420="","",IF(417=INDEX($Q$3:$Q$402,I420),"H","E"))</f>
        <v/>
      </c>
      <c r="K420">
        <f>IF(J420&lt;&gt;"E","",MATCH(S420,Transaksi!$M$2:$M$2001,0)+417-INDEX($Q$3:$Q$402,I420)-1)</f>
        <v/>
      </c>
      <c r="S420">
        <f>IF(I420="","",INDEX($O$3:$O$402,I420))</f>
        <v/>
      </c>
      <c r="T420">
        <f>IF(J420&lt;&gt;"H","",INDEX(Transaksi!$A$2:$A$2001,MATCH(S420,Transaksi!$M$2:$M$2001,0)))</f>
        <v/>
      </c>
    </row>
    <row r="421">
      <c r="A421" s="31">
        <f>IF(J421="E",IF(INDEX(Transaksi!$J$2:$J$2001,K421)&gt;0,"↑","↓"),"")</f>
        <v/>
      </c>
      <c r="B421" s="32">
        <f>IF(J421="H",CHOOSE(WEEKDAY(T421,2),"Isnin","Selasa","Rabu","Khamis","Jumaat","Sabtu","Ahad")&amp;", "&amp;DAY(T421)&amp;" "&amp;CHOOSE(MONTH(T421),"Jan","Feb","Mac","Apr","Mei","Jun","Jul","Ogo","Sep","Okt","Nov","Dis")&amp;" "&amp;YEAR(T421),IF(J421="E",IF(INDEX(Transaksi!$B$2:$B$2001,K421)="",INDEX(Transaksi!$C$2:$C$2001,K421)&amp;" · "&amp;INDEX(Transaksi!$D$2:$D$2001,K421),INDEX(Transaksi!$B$2:$B$2001,K421)),""))</f>
        <v/>
      </c>
      <c r="C421" s="32">
        <f>IF(J421="E",INDEX(Transaksi!$C$2:$C$2001,K421)&amp;"","")</f>
        <v/>
      </c>
      <c r="D421" s="32">
        <f>IF(J421="E",INDEX(Transaksi!$D$2:$D$2001,K421)&amp;"","")</f>
        <v/>
      </c>
      <c r="E421" s="33">
        <f>IF(J421="H",SUMIFS(Transaksi!$G$2:$G$2001,Transaksi!$M$2:$M$2001,"="&amp;S421)+SUMIFS(Transaksi!$H$2:$H$2001,Transaksi!$M$2:$M$2001,"="&amp;S421)+SUMIFS(Transaksi!$I$2:$I$2001,Transaksi!$M$2:$M$2001,"="&amp;S421),IF(J421="E",IF(INDEX(Transaksi!$G$2:$G$2001,K421)+INDEX(Transaksi!$H$2:$H$2001,K421)+INDEX(Transaksi!$I$2:$I$2001,K421)=0,"",INDEX(Transaksi!$G$2:$G$2001,K421)+INDEX(Transaksi!$H$2:$H$2001,K421)+INDEX(Transaksi!$I$2:$I$2001,K421)),""))</f>
        <v/>
      </c>
      <c r="F421" s="33">
        <f>IF(J421="H",SUMIFS(Transaksi!$J$2:$J$2001,Transaksi!$M$2:$M$2001,"="&amp;S421),IF(J421="E",IF(INDEX(Transaksi!$J$2:$J$2001,K421)=0,"",INDEX(Transaksi!$J$2:$J$2001,K421)),""))</f>
        <v/>
      </c>
      <c r="G421" s="33">
        <f>IF(J421="H",(SUMIFS(Transaksi!$G$2:$G$2001,Transaksi!$M$2:$M$2001,"&lt;="&amp;S421)+SUMIFS(Transaksi!$H$2:$H$2001,Transaksi!$M$2:$M$2001,"&lt;="&amp;S421)+SUMIFS(Transaksi!$I$2:$I$2001,Transaksi!$M$2:$M$2001,"&lt;="&amp;S421))-(SUMIFS(Transaksi!$J$2:$J$2001,Transaksi!$M$2:$M$2001,"&lt;="&amp;S421)),"")</f>
        <v/>
      </c>
      <c r="I421">
        <f>IF(418&gt;$O$2,"",MATCH(418,$Q$3:$Q$402,1))</f>
        <v/>
      </c>
      <c r="J421">
        <f>IF(I421="","",IF(418=INDEX($Q$3:$Q$402,I421),"H","E"))</f>
        <v/>
      </c>
      <c r="K421">
        <f>IF(J421&lt;&gt;"E","",MATCH(S421,Transaksi!$M$2:$M$2001,0)+418-INDEX($Q$3:$Q$402,I421)-1)</f>
        <v/>
      </c>
      <c r="S421">
        <f>IF(I421="","",INDEX($O$3:$O$402,I421))</f>
        <v/>
      </c>
      <c r="T421">
        <f>IF(J421&lt;&gt;"H","",INDEX(Transaksi!$A$2:$A$2001,MATCH(S421,Transaksi!$M$2:$M$2001,0)))</f>
        <v/>
      </c>
    </row>
    <row r="422">
      <c r="A422" s="31">
        <f>IF(J422="E",IF(INDEX(Transaksi!$J$2:$J$2001,K422)&gt;0,"↑","↓"),"")</f>
        <v/>
      </c>
      <c r="B422" s="32">
        <f>IF(J422="H",CHOOSE(WEEKDAY(T422,2),"Isnin","Selasa","Rabu","Khamis","Jumaat","Sabtu","Ahad")&amp;", "&amp;DAY(T422)&amp;" "&amp;CHOOSE(MONTH(T422),"Jan","Feb","Mac","Apr","Mei","Jun","Jul","Ogo","Sep","Okt","Nov","Dis")&amp;" "&amp;YEAR(T422),IF(J422="E",IF(INDEX(Transaksi!$B$2:$B$2001,K422)="",INDEX(Transaksi!$C$2:$C$2001,K422)&amp;" · "&amp;INDEX(Transaksi!$D$2:$D$2001,K422),INDEX(Transaksi!$B$2:$B$2001,K422)),""))</f>
        <v/>
      </c>
      <c r="C422" s="32">
        <f>IF(J422="E",INDEX(Transaksi!$C$2:$C$2001,K422)&amp;"","")</f>
        <v/>
      </c>
      <c r="D422" s="32">
        <f>IF(J422="E",INDEX(Transaksi!$D$2:$D$2001,K422)&amp;"","")</f>
        <v/>
      </c>
      <c r="E422" s="33">
        <f>IF(J422="H",SUMIFS(Transaksi!$G$2:$G$2001,Transaksi!$M$2:$M$2001,"="&amp;S422)+SUMIFS(Transaksi!$H$2:$H$2001,Transaksi!$M$2:$M$2001,"="&amp;S422)+SUMIFS(Transaksi!$I$2:$I$2001,Transaksi!$M$2:$M$2001,"="&amp;S422),IF(J422="E",IF(INDEX(Transaksi!$G$2:$G$2001,K422)+INDEX(Transaksi!$H$2:$H$2001,K422)+INDEX(Transaksi!$I$2:$I$2001,K422)=0,"",INDEX(Transaksi!$G$2:$G$2001,K422)+INDEX(Transaksi!$H$2:$H$2001,K422)+INDEX(Transaksi!$I$2:$I$2001,K422)),""))</f>
        <v/>
      </c>
      <c r="F422" s="33">
        <f>IF(J422="H",SUMIFS(Transaksi!$J$2:$J$2001,Transaksi!$M$2:$M$2001,"="&amp;S422),IF(J422="E",IF(INDEX(Transaksi!$J$2:$J$2001,K422)=0,"",INDEX(Transaksi!$J$2:$J$2001,K422)),""))</f>
        <v/>
      </c>
      <c r="G422" s="33">
        <f>IF(J422="H",(SUMIFS(Transaksi!$G$2:$G$2001,Transaksi!$M$2:$M$2001,"&lt;="&amp;S422)+SUMIFS(Transaksi!$H$2:$H$2001,Transaksi!$M$2:$M$2001,"&lt;="&amp;S422)+SUMIFS(Transaksi!$I$2:$I$2001,Transaksi!$M$2:$M$2001,"&lt;="&amp;S422))-(SUMIFS(Transaksi!$J$2:$J$2001,Transaksi!$M$2:$M$2001,"&lt;="&amp;S422)),"")</f>
        <v/>
      </c>
      <c r="I422">
        <f>IF(419&gt;$O$2,"",MATCH(419,$Q$3:$Q$402,1))</f>
        <v/>
      </c>
      <c r="J422">
        <f>IF(I422="","",IF(419=INDEX($Q$3:$Q$402,I422),"H","E"))</f>
        <v/>
      </c>
      <c r="K422">
        <f>IF(J422&lt;&gt;"E","",MATCH(S422,Transaksi!$M$2:$M$2001,0)+419-INDEX($Q$3:$Q$402,I422)-1)</f>
        <v/>
      </c>
      <c r="S422">
        <f>IF(I422="","",INDEX($O$3:$O$402,I422))</f>
        <v/>
      </c>
      <c r="T422">
        <f>IF(J422&lt;&gt;"H","",INDEX(Transaksi!$A$2:$A$2001,MATCH(S422,Transaksi!$M$2:$M$2001,0)))</f>
        <v/>
      </c>
    </row>
    <row r="423">
      <c r="A423" s="31">
        <f>IF(J423="E",IF(INDEX(Transaksi!$J$2:$J$2001,K423)&gt;0,"↑","↓"),"")</f>
        <v/>
      </c>
      <c r="B423" s="32">
        <f>IF(J423="H",CHOOSE(WEEKDAY(T423,2),"Isnin","Selasa","Rabu","Khamis","Jumaat","Sabtu","Ahad")&amp;", "&amp;DAY(T423)&amp;" "&amp;CHOOSE(MONTH(T423),"Jan","Feb","Mac","Apr","Mei","Jun","Jul","Ogo","Sep","Okt","Nov","Dis")&amp;" "&amp;YEAR(T423),IF(J423="E",IF(INDEX(Transaksi!$B$2:$B$2001,K423)="",INDEX(Transaksi!$C$2:$C$2001,K423)&amp;" · "&amp;INDEX(Transaksi!$D$2:$D$2001,K423),INDEX(Transaksi!$B$2:$B$2001,K423)),""))</f>
        <v/>
      </c>
      <c r="C423" s="32">
        <f>IF(J423="E",INDEX(Transaksi!$C$2:$C$2001,K423)&amp;"","")</f>
        <v/>
      </c>
      <c r="D423" s="32">
        <f>IF(J423="E",INDEX(Transaksi!$D$2:$D$2001,K423)&amp;"","")</f>
        <v/>
      </c>
      <c r="E423" s="33">
        <f>IF(J423="H",SUMIFS(Transaksi!$G$2:$G$2001,Transaksi!$M$2:$M$2001,"="&amp;S423)+SUMIFS(Transaksi!$H$2:$H$2001,Transaksi!$M$2:$M$2001,"="&amp;S423)+SUMIFS(Transaksi!$I$2:$I$2001,Transaksi!$M$2:$M$2001,"="&amp;S423),IF(J423="E",IF(INDEX(Transaksi!$G$2:$G$2001,K423)+INDEX(Transaksi!$H$2:$H$2001,K423)+INDEX(Transaksi!$I$2:$I$2001,K423)=0,"",INDEX(Transaksi!$G$2:$G$2001,K423)+INDEX(Transaksi!$H$2:$H$2001,K423)+INDEX(Transaksi!$I$2:$I$2001,K423)),""))</f>
        <v/>
      </c>
      <c r="F423" s="33">
        <f>IF(J423="H",SUMIFS(Transaksi!$J$2:$J$2001,Transaksi!$M$2:$M$2001,"="&amp;S423),IF(J423="E",IF(INDEX(Transaksi!$J$2:$J$2001,K423)=0,"",INDEX(Transaksi!$J$2:$J$2001,K423)),""))</f>
        <v/>
      </c>
      <c r="G423" s="33">
        <f>IF(J423="H",(SUMIFS(Transaksi!$G$2:$G$2001,Transaksi!$M$2:$M$2001,"&lt;="&amp;S423)+SUMIFS(Transaksi!$H$2:$H$2001,Transaksi!$M$2:$M$2001,"&lt;="&amp;S423)+SUMIFS(Transaksi!$I$2:$I$2001,Transaksi!$M$2:$M$2001,"&lt;="&amp;S423))-(SUMIFS(Transaksi!$J$2:$J$2001,Transaksi!$M$2:$M$2001,"&lt;="&amp;S423)),"")</f>
        <v/>
      </c>
      <c r="I423">
        <f>IF(420&gt;$O$2,"",MATCH(420,$Q$3:$Q$402,1))</f>
        <v/>
      </c>
      <c r="J423">
        <f>IF(I423="","",IF(420=INDEX($Q$3:$Q$402,I423),"H","E"))</f>
        <v/>
      </c>
      <c r="K423">
        <f>IF(J423&lt;&gt;"E","",MATCH(S423,Transaksi!$M$2:$M$2001,0)+420-INDEX($Q$3:$Q$402,I423)-1)</f>
        <v/>
      </c>
      <c r="S423">
        <f>IF(I423="","",INDEX($O$3:$O$402,I423))</f>
        <v/>
      </c>
      <c r="T423">
        <f>IF(J423&lt;&gt;"H","",INDEX(Transaksi!$A$2:$A$2001,MATCH(S423,Transaksi!$M$2:$M$2001,0)))</f>
        <v/>
      </c>
    </row>
    <row r="424">
      <c r="A424" s="31">
        <f>IF(J424="E",IF(INDEX(Transaksi!$J$2:$J$2001,K424)&gt;0,"↑","↓"),"")</f>
        <v/>
      </c>
      <c r="B424" s="32">
        <f>IF(J424="H",CHOOSE(WEEKDAY(T424,2),"Isnin","Selasa","Rabu","Khamis","Jumaat","Sabtu","Ahad")&amp;", "&amp;DAY(T424)&amp;" "&amp;CHOOSE(MONTH(T424),"Jan","Feb","Mac","Apr","Mei","Jun","Jul","Ogo","Sep","Okt","Nov","Dis")&amp;" "&amp;YEAR(T424),IF(J424="E",IF(INDEX(Transaksi!$B$2:$B$2001,K424)="",INDEX(Transaksi!$C$2:$C$2001,K424)&amp;" · "&amp;INDEX(Transaksi!$D$2:$D$2001,K424),INDEX(Transaksi!$B$2:$B$2001,K424)),""))</f>
        <v/>
      </c>
      <c r="C424" s="32">
        <f>IF(J424="E",INDEX(Transaksi!$C$2:$C$2001,K424)&amp;"","")</f>
        <v/>
      </c>
      <c r="D424" s="32">
        <f>IF(J424="E",INDEX(Transaksi!$D$2:$D$2001,K424)&amp;"","")</f>
        <v/>
      </c>
      <c r="E424" s="33">
        <f>IF(J424="H",SUMIFS(Transaksi!$G$2:$G$2001,Transaksi!$M$2:$M$2001,"="&amp;S424)+SUMIFS(Transaksi!$H$2:$H$2001,Transaksi!$M$2:$M$2001,"="&amp;S424)+SUMIFS(Transaksi!$I$2:$I$2001,Transaksi!$M$2:$M$2001,"="&amp;S424),IF(J424="E",IF(INDEX(Transaksi!$G$2:$G$2001,K424)+INDEX(Transaksi!$H$2:$H$2001,K424)+INDEX(Transaksi!$I$2:$I$2001,K424)=0,"",INDEX(Transaksi!$G$2:$G$2001,K424)+INDEX(Transaksi!$H$2:$H$2001,K424)+INDEX(Transaksi!$I$2:$I$2001,K424)),""))</f>
        <v/>
      </c>
      <c r="F424" s="33">
        <f>IF(J424="H",SUMIFS(Transaksi!$J$2:$J$2001,Transaksi!$M$2:$M$2001,"="&amp;S424),IF(J424="E",IF(INDEX(Transaksi!$J$2:$J$2001,K424)=0,"",INDEX(Transaksi!$J$2:$J$2001,K424)),""))</f>
        <v/>
      </c>
      <c r="G424" s="33">
        <f>IF(J424="H",(SUMIFS(Transaksi!$G$2:$G$2001,Transaksi!$M$2:$M$2001,"&lt;="&amp;S424)+SUMIFS(Transaksi!$H$2:$H$2001,Transaksi!$M$2:$M$2001,"&lt;="&amp;S424)+SUMIFS(Transaksi!$I$2:$I$2001,Transaksi!$M$2:$M$2001,"&lt;="&amp;S424))-(SUMIFS(Transaksi!$J$2:$J$2001,Transaksi!$M$2:$M$2001,"&lt;="&amp;S424)),"")</f>
        <v/>
      </c>
      <c r="I424">
        <f>IF(421&gt;$O$2,"",MATCH(421,$Q$3:$Q$402,1))</f>
        <v/>
      </c>
      <c r="J424">
        <f>IF(I424="","",IF(421=INDEX($Q$3:$Q$402,I424),"H","E"))</f>
        <v/>
      </c>
      <c r="K424">
        <f>IF(J424&lt;&gt;"E","",MATCH(S424,Transaksi!$M$2:$M$2001,0)+421-INDEX($Q$3:$Q$402,I424)-1)</f>
        <v/>
      </c>
      <c r="S424">
        <f>IF(I424="","",INDEX($O$3:$O$402,I424))</f>
        <v/>
      </c>
      <c r="T424">
        <f>IF(J424&lt;&gt;"H","",INDEX(Transaksi!$A$2:$A$2001,MATCH(S424,Transaksi!$M$2:$M$2001,0)))</f>
        <v/>
      </c>
    </row>
    <row r="425">
      <c r="A425" s="31">
        <f>IF(J425="E",IF(INDEX(Transaksi!$J$2:$J$2001,K425)&gt;0,"↑","↓"),"")</f>
        <v/>
      </c>
      <c r="B425" s="32">
        <f>IF(J425="H",CHOOSE(WEEKDAY(T425,2),"Isnin","Selasa","Rabu","Khamis","Jumaat","Sabtu","Ahad")&amp;", "&amp;DAY(T425)&amp;" "&amp;CHOOSE(MONTH(T425),"Jan","Feb","Mac","Apr","Mei","Jun","Jul","Ogo","Sep","Okt","Nov","Dis")&amp;" "&amp;YEAR(T425),IF(J425="E",IF(INDEX(Transaksi!$B$2:$B$2001,K425)="",INDEX(Transaksi!$C$2:$C$2001,K425)&amp;" · "&amp;INDEX(Transaksi!$D$2:$D$2001,K425),INDEX(Transaksi!$B$2:$B$2001,K425)),""))</f>
        <v/>
      </c>
      <c r="C425" s="32">
        <f>IF(J425="E",INDEX(Transaksi!$C$2:$C$2001,K425)&amp;"","")</f>
        <v/>
      </c>
      <c r="D425" s="32">
        <f>IF(J425="E",INDEX(Transaksi!$D$2:$D$2001,K425)&amp;"","")</f>
        <v/>
      </c>
      <c r="E425" s="33">
        <f>IF(J425="H",SUMIFS(Transaksi!$G$2:$G$2001,Transaksi!$M$2:$M$2001,"="&amp;S425)+SUMIFS(Transaksi!$H$2:$H$2001,Transaksi!$M$2:$M$2001,"="&amp;S425)+SUMIFS(Transaksi!$I$2:$I$2001,Transaksi!$M$2:$M$2001,"="&amp;S425),IF(J425="E",IF(INDEX(Transaksi!$G$2:$G$2001,K425)+INDEX(Transaksi!$H$2:$H$2001,K425)+INDEX(Transaksi!$I$2:$I$2001,K425)=0,"",INDEX(Transaksi!$G$2:$G$2001,K425)+INDEX(Transaksi!$H$2:$H$2001,K425)+INDEX(Transaksi!$I$2:$I$2001,K425)),""))</f>
        <v/>
      </c>
      <c r="F425" s="33">
        <f>IF(J425="H",SUMIFS(Transaksi!$J$2:$J$2001,Transaksi!$M$2:$M$2001,"="&amp;S425),IF(J425="E",IF(INDEX(Transaksi!$J$2:$J$2001,K425)=0,"",INDEX(Transaksi!$J$2:$J$2001,K425)),""))</f>
        <v/>
      </c>
      <c r="G425" s="33">
        <f>IF(J425="H",(SUMIFS(Transaksi!$G$2:$G$2001,Transaksi!$M$2:$M$2001,"&lt;="&amp;S425)+SUMIFS(Transaksi!$H$2:$H$2001,Transaksi!$M$2:$M$2001,"&lt;="&amp;S425)+SUMIFS(Transaksi!$I$2:$I$2001,Transaksi!$M$2:$M$2001,"&lt;="&amp;S425))-(SUMIFS(Transaksi!$J$2:$J$2001,Transaksi!$M$2:$M$2001,"&lt;="&amp;S425)),"")</f>
        <v/>
      </c>
      <c r="I425">
        <f>IF(422&gt;$O$2,"",MATCH(422,$Q$3:$Q$402,1))</f>
        <v/>
      </c>
      <c r="J425">
        <f>IF(I425="","",IF(422=INDEX($Q$3:$Q$402,I425),"H","E"))</f>
        <v/>
      </c>
      <c r="K425">
        <f>IF(J425&lt;&gt;"E","",MATCH(S425,Transaksi!$M$2:$M$2001,0)+422-INDEX($Q$3:$Q$402,I425)-1)</f>
        <v/>
      </c>
      <c r="S425">
        <f>IF(I425="","",INDEX($O$3:$O$402,I425))</f>
        <v/>
      </c>
      <c r="T425">
        <f>IF(J425&lt;&gt;"H","",INDEX(Transaksi!$A$2:$A$2001,MATCH(S425,Transaksi!$M$2:$M$2001,0)))</f>
        <v/>
      </c>
    </row>
    <row r="426">
      <c r="A426" s="31">
        <f>IF(J426="E",IF(INDEX(Transaksi!$J$2:$J$2001,K426)&gt;0,"↑","↓"),"")</f>
        <v/>
      </c>
      <c r="B426" s="32">
        <f>IF(J426="H",CHOOSE(WEEKDAY(T426,2),"Isnin","Selasa","Rabu","Khamis","Jumaat","Sabtu","Ahad")&amp;", "&amp;DAY(T426)&amp;" "&amp;CHOOSE(MONTH(T426),"Jan","Feb","Mac","Apr","Mei","Jun","Jul","Ogo","Sep","Okt","Nov","Dis")&amp;" "&amp;YEAR(T426),IF(J426="E",IF(INDEX(Transaksi!$B$2:$B$2001,K426)="",INDEX(Transaksi!$C$2:$C$2001,K426)&amp;" · "&amp;INDEX(Transaksi!$D$2:$D$2001,K426),INDEX(Transaksi!$B$2:$B$2001,K426)),""))</f>
        <v/>
      </c>
      <c r="C426" s="32">
        <f>IF(J426="E",INDEX(Transaksi!$C$2:$C$2001,K426)&amp;"","")</f>
        <v/>
      </c>
      <c r="D426" s="32">
        <f>IF(J426="E",INDEX(Transaksi!$D$2:$D$2001,K426)&amp;"","")</f>
        <v/>
      </c>
      <c r="E426" s="33">
        <f>IF(J426="H",SUMIFS(Transaksi!$G$2:$G$2001,Transaksi!$M$2:$M$2001,"="&amp;S426)+SUMIFS(Transaksi!$H$2:$H$2001,Transaksi!$M$2:$M$2001,"="&amp;S426)+SUMIFS(Transaksi!$I$2:$I$2001,Transaksi!$M$2:$M$2001,"="&amp;S426),IF(J426="E",IF(INDEX(Transaksi!$G$2:$G$2001,K426)+INDEX(Transaksi!$H$2:$H$2001,K426)+INDEX(Transaksi!$I$2:$I$2001,K426)=0,"",INDEX(Transaksi!$G$2:$G$2001,K426)+INDEX(Transaksi!$H$2:$H$2001,K426)+INDEX(Transaksi!$I$2:$I$2001,K426)),""))</f>
        <v/>
      </c>
      <c r="F426" s="33">
        <f>IF(J426="H",SUMIFS(Transaksi!$J$2:$J$2001,Transaksi!$M$2:$M$2001,"="&amp;S426),IF(J426="E",IF(INDEX(Transaksi!$J$2:$J$2001,K426)=0,"",INDEX(Transaksi!$J$2:$J$2001,K426)),""))</f>
        <v/>
      </c>
      <c r="G426" s="33">
        <f>IF(J426="H",(SUMIFS(Transaksi!$G$2:$G$2001,Transaksi!$M$2:$M$2001,"&lt;="&amp;S426)+SUMIFS(Transaksi!$H$2:$H$2001,Transaksi!$M$2:$M$2001,"&lt;="&amp;S426)+SUMIFS(Transaksi!$I$2:$I$2001,Transaksi!$M$2:$M$2001,"&lt;="&amp;S426))-(SUMIFS(Transaksi!$J$2:$J$2001,Transaksi!$M$2:$M$2001,"&lt;="&amp;S426)),"")</f>
        <v/>
      </c>
      <c r="I426">
        <f>IF(423&gt;$O$2,"",MATCH(423,$Q$3:$Q$402,1))</f>
        <v/>
      </c>
      <c r="J426">
        <f>IF(I426="","",IF(423=INDEX($Q$3:$Q$402,I426),"H","E"))</f>
        <v/>
      </c>
      <c r="K426">
        <f>IF(J426&lt;&gt;"E","",MATCH(S426,Transaksi!$M$2:$M$2001,0)+423-INDEX($Q$3:$Q$402,I426)-1)</f>
        <v/>
      </c>
      <c r="S426">
        <f>IF(I426="","",INDEX($O$3:$O$402,I426))</f>
        <v/>
      </c>
      <c r="T426">
        <f>IF(J426&lt;&gt;"H","",INDEX(Transaksi!$A$2:$A$2001,MATCH(S426,Transaksi!$M$2:$M$2001,0)))</f>
        <v/>
      </c>
    </row>
    <row r="427">
      <c r="A427" s="31">
        <f>IF(J427="E",IF(INDEX(Transaksi!$J$2:$J$2001,K427)&gt;0,"↑","↓"),"")</f>
        <v/>
      </c>
      <c r="B427" s="32">
        <f>IF(J427="H",CHOOSE(WEEKDAY(T427,2),"Isnin","Selasa","Rabu","Khamis","Jumaat","Sabtu","Ahad")&amp;", "&amp;DAY(T427)&amp;" "&amp;CHOOSE(MONTH(T427),"Jan","Feb","Mac","Apr","Mei","Jun","Jul","Ogo","Sep","Okt","Nov","Dis")&amp;" "&amp;YEAR(T427),IF(J427="E",IF(INDEX(Transaksi!$B$2:$B$2001,K427)="",INDEX(Transaksi!$C$2:$C$2001,K427)&amp;" · "&amp;INDEX(Transaksi!$D$2:$D$2001,K427),INDEX(Transaksi!$B$2:$B$2001,K427)),""))</f>
        <v/>
      </c>
      <c r="C427" s="32">
        <f>IF(J427="E",INDEX(Transaksi!$C$2:$C$2001,K427)&amp;"","")</f>
        <v/>
      </c>
      <c r="D427" s="32">
        <f>IF(J427="E",INDEX(Transaksi!$D$2:$D$2001,K427)&amp;"","")</f>
        <v/>
      </c>
      <c r="E427" s="33">
        <f>IF(J427="H",SUMIFS(Transaksi!$G$2:$G$2001,Transaksi!$M$2:$M$2001,"="&amp;S427)+SUMIFS(Transaksi!$H$2:$H$2001,Transaksi!$M$2:$M$2001,"="&amp;S427)+SUMIFS(Transaksi!$I$2:$I$2001,Transaksi!$M$2:$M$2001,"="&amp;S427),IF(J427="E",IF(INDEX(Transaksi!$G$2:$G$2001,K427)+INDEX(Transaksi!$H$2:$H$2001,K427)+INDEX(Transaksi!$I$2:$I$2001,K427)=0,"",INDEX(Transaksi!$G$2:$G$2001,K427)+INDEX(Transaksi!$H$2:$H$2001,K427)+INDEX(Transaksi!$I$2:$I$2001,K427)),""))</f>
        <v/>
      </c>
      <c r="F427" s="33">
        <f>IF(J427="H",SUMIFS(Transaksi!$J$2:$J$2001,Transaksi!$M$2:$M$2001,"="&amp;S427),IF(J427="E",IF(INDEX(Transaksi!$J$2:$J$2001,K427)=0,"",INDEX(Transaksi!$J$2:$J$2001,K427)),""))</f>
        <v/>
      </c>
      <c r="G427" s="33">
        <f>IF(J427="H",(SUMIFS(Transaksi!$G$2:$G$2001,Transaksi!$M$2:$M$2001,"&lt;="&amp;S427)+SUMIFS(Transaksi!$H$2:$H$2001,Transaksi!$M$2:$M$2001,"&lt;="&amp;S427)+SUMIFS(Transaksi!$I$2:$I$2001,Transaksi!$M$2:$M$2001,"&lt;="&amp;S427))-(SUMIFS(Transaksi!$J$2:$J$2001,Transaksi!$M$2:$M$2001,"&lt;="&amp;S427)),"")</f>
        <v/>
      </c>
      <c r="I427">
        <f>IF(424&gt;$O$2,"",MATCH(424,$Q$3:$Q$402,1))</f>
        <v/>
      </c>
      <c r="J427">
        <f>IF(I427="","",IF(424=INDEX($Q$3:$Q$402,I427),"H","E"))</f>
        <v/>
      </c>
      <c r="K427">
        <f>IF(J427&lt;&gt;"E","",MATCH(S427,Transaksi!$M$2:$M$2001,0)+424-INDEX($Q$3:$Q$402,I427)-1)</f>
        <v/>
      </c>
      <c r="S427">
        <f>IF(I427="","",INDEX($O$3:$O$402,I427))</f>
        <v/>
      </c>
      <c r="T427">
        <f>IF(J427&lt;&gt;"H","",INDEX(Transaksi!$A$2:$A$2001,MATCH(S427,Transaksi!$M$2:$M$2001,0)))</f>
        <v/>
      </c>
    </row>
    <row r="428">
      <c r="A428" s="31">
        <f>IF(J428="E",IF(INDEX(Transaksi!$J$2:$J$2001,K428)&gt;0,"↑","↓"),"")</f>
        <v/>
      </c>
      <c r="B428" s="32">
        <f>IF(J428="H",CHOOSE(WEEKDAY(T428,2),"Isnin","Selasa","Rabu","Khamis","Jumaat","Sabtu","Ahad")&amp;", "&amp;DAY(T428)&amp;" "&amp;CHOOSE(MONTH(T428),"Jan","Feb","Mac","Apr","Mei","Jun","Jul","Ogo","Sep","Okt","Nov","Dis")&amp;" "&amp;YEAR(T428),IF(J428="E",IF(INDEX(Transaksi!$B$2:$B$2001,K428)="",INDEX(Transaksi!$C$2:$C$2001,K428)&amp;" · "&amp;INDEX(Transaksi!$D$2:$D$2001,K428),INDEX(Transaksi!$B$2:$B$2001,K428)),""))</f>
        <v/>
      </c>
      <c r="C428" s="32">
        <f>IF(J428="E",INDEX(Transaksi!$C$2:$C$2001,K428)&amp;"","")</f>
        <v/>
      </c>
      <c r="D428" s="32">
        <f>IF(J428="E",INDEX(Transaksi!$D$2:$D$2001,K428)&amp;"","")</f>
        <v/>
      </c>
      <c r="E428" s="33">
        <f>IF(J428="H",SUMIFS(Transaksi!$G$2:$G$2001,Transaksi!$M$2:$M$2001,"="&amp;S428)+SUMIFS(Transaksi!$H$2:$H$2001,Transaksi!$M$2:$M$2001,"="&amp;S428)+SUMIFS(Transaksi!$I$2:$I$2001,Transaksi!$M$2:$M$2001,"="&amp;S428),IF(J428="E",IF(INDEX(Transaksi!$G$2:$G$2001,K428)+INDEX(Transaksi!$H$2:$H$2001,K428)+INDEX(Transaksi!$I$2:$I$2001,K428)=0,"",INDEX(Transaksi!$G$2:$G$2001,K428)+INDEX(Transaksi!$H$2:$H$2001,K428)+INDEX(Transaksi!$I$2:$I$2001,K428)),""))</f>
        <v/>
      </c>
      <c r="F428" s="33">
        <f>IF(J428="H",SUMIFS(Transaksi!$J$2:$J$2001,Transaksi!$M$2:$M$2001,"="&amp;S428),IF(J428="E",IF(INDEX(Transaksi!$J$2:$J$2001,K428)=0,"",INDEX(Transaksi!$J$2:$J$2001,K428)),""))</f>
        <v/>
      </c>
      <c r="G428" s="33">
        <f>IF(J428="H",(SUMIFS(Transaksi!$G$2:$G$2001,Transaksi!$M$2:$M$2001,"&lt;="&amp;S428)+SUMIFS(Transaksi!$H$2:$H$2001,Transaksi!$M$2:$M$2001,"&lt;="&amp;S428)+SUMIFS(Transaksi!$I$2:$I$2001,Transaksi!$M$2:$M$2001,"&lt;="&amp;S428))-(SUMIFS(Transaksi!$J$2:$J$2001,Transaksi!$M$2:$M$2001,"&lt;="&amp;S428)),"")</f>
        <v/>
      </c>
      <c r="I428">
        <f>IF(425&gt;$O$2,"",MATCH(425,$Q$3:$Q$402,1))</f>
        <v/>
      </c>
      <c r="J428">
        <f>IF(I428="","",IF(425=INDEX($Q$3:$Q$402,I428),"H","E"))</f>
        <v/>
      </c>
      <c r="K428">
        <f>IF(J428&lt;&gt;"E","",MATCH(S428,Transaksi!$M$2:$M$2001,0)+425-INDEX($Q$3:$Q$402,I428)-1)</f>
        <v/>
      </c>
      <c r="S428">
        <f>IF(I428="","",INDEX($O$3:$O$402,I428))</f>
        <v/>
      </c>
      <c r="T428">
        <f>IF(J428&lt;&gt;"H","",INDEX(Transaksi!$A$2:$A$2001,MATCH(S428,Transaksi!$M$2:$M$2001,0)))</f>
        <v/>
      </c>
    </row>
    <row r="429">
      <c r="A429" s="31">
        <f>IF(J429="E",IF(INDEX(Transaksi!$J$2:$J$2001,K429)&gt;0,"↑","↓"),"")</f>
        <v/>
      </c>
      <c r="B429" s="32">
        <f>IF(J429="H",CHOOSE(WEEKDAY(T429,2),"Isnin","Selasa","Rabu","Khamis","Jumaat","Sabtu","Ahad")&amp;", "&amp;DAY(T429)&amp;" "&amp;CHOOSE(MONTH(T429),"Jan","Feb","Mac","Apr","Mei","Jun","Jul","Ogo","Sep","Okt","Nov","Dis")&amp;" "&amp;YEAR(T429),IF(J429="E",IF(INDEX(Transaksi!$B$2:$B$2001,K429)="",INDEX(Transaksi!$C$2:$C$2001,K429)&amp;" · "&amp;INDEX(Transaksi!$D$2:$D$2001,K429),INDEX(Transaksi!$B$2:$B$2001,K429)),""))</f>
        <v/>
      </c>
      <c r="C429" s="32">
        <f>IF(J429="E",INDEX(Transaksi!$C$2:$C$2001,K429)&amp;"","")</f>
        <v/>
      </c>
      <c r="D429" s="32">
        <f>IF(J429="E",INDEX(Transaksi!$D$2:$D$2001,K429)&amp;"","")</f>
        <v/>
      </c>
      <c r="E429" s="33">
        <f>IF(J429="H",SUMIFS(Transaksi!$G$2:$G$2001,Transaksi!$M$2:$M$2001,"="&amp;S429)+SUMIFS(Transaksi!$H$2:$H$2001,Transaksi!$M$2:$M$2001,"="&amp;S429)+SUMIFS(Transaksi!$I$2:$I$2001,Transaksi!$M$2:$M$2001,"="&amp;S429),IF(J429="E",IF(INDEX(Transaksi!$G$2:$G$2001,K429)+INDEX(Transaksi!$H$2:$H$2001,K429)+INDEX(Transaksi!$I$2:$I$2001,K429)=0,"",INDEX(Transaksi!$G$2:$G$2001,K429)+INDEX(Transaksi!$H$2:$H$2001,K429)+INDEX(Transaksi!$I$2:$I$2001,K429)),""))</f>
        <v/>
      </c>
      <c r="F429" s="33">
        <f>IF(J429="H",SUMIFS(Transaksi!$J$2:$J$2001,Transaksi!$M$2:$M$2001,"="&amp;S429),IF(J429="E",IF(INDEX(Transaksi!$J$2:$J$2001,K429)=0,"",INDEX(Transaksi!$J$2:$J$2001,K429)),""))</f>
        <v/>
      </c>
      <c r="G429" s="33">
        <f>IF(J429="H",(SUMIFS(Transaksi!$G$2:$G$2001,Transaksi!$M$2:$M$2001,"&lt;="&amp;S429)+SUMIFS(Transaksi!$H$2:$H$2001,Transaksi!$M$2:$M$2001,"&lt;="&amp;S429)+SUMIFS(Transaksi!$I$2:$I$2001,Transaksi!$M$2:$M$2001,"&lt;="&amp;S429))-(SUMIFS(Transaksi!$J$2:$J$2001,Transaksi!$M$2:$M$2001,"&lt;="&amp;S429)),"")</f>
        <v/>
      </c>
      <c r="I429">
        <f>IF(426&gt;$O$2,"",MATCH(426,$Q$3:$Q$402,1))</f>
        <v/>
      </c>
      <c r="J429">
        <f>IF(I429="","",IF(426=INDEX($Q$3:$Q$402,I429),"H","E"))</f>
        <v/>
      </c>
      <c r="K429">
        <f>IF(J429&lt;&gt;"E","",MATCH(S429,Transaksi!$M$2:$M$2001,0)+426-INDEX($Q$3:$Q$402,I429)-1)</f>
        <v/>
      </c>
      <c r="S429">
        <f>IF(I429="","",INDEX($O$3:$O$402,I429))</f>
        <v/>
      </c>
      <c r="T429">
        <f>IF(J429&lt;&gt;"H","",INDEX(Transaksi!$A$2:$A$2001,MATCH(S429,Transaksi!$M$2:$M$2001,0)))</f>
        <v/>
      </c>
    </row>
    <row r="430">
      <c r="A430" s="31">
        <f>IF(J430="E",IF(INDEX(Transaksi!$J$2:$J$2001,K430)&gt;0,"↑","↓"),"")</f>
        <v/>
      </c>
      <c r="B430" s="32">
        <f>IF(J430="H",CHOOSE(WEEKDAY(T430,2),"Isnin","Selasa","Rabu","Khamis","Jumaat","Sabtu","Ahad")&amp;", "&amp;DAY(T430)&amp;" "&amp;CHOOSE(MONTH(T430),"Jan","Feb","Mac","Apr","Mei","Jun","Jul","Ogo","Sep","Okt","Nov","Dis")&amp;" "&amp;YEAR(T430),IF(J430="E",IF(INDEX(Transaksi!$B$2:$B$2001,K430)="",INDEX(Transaksi!$C$2:$C$2001,K430)&amp;" · "&amp;INDEX(Transaksi!$D$2:$D$2001,K430),INDEX(Transaksi!$B$2:$B$2001,K430)),""))</f>
        <v/>
      </c>
      <c r="C430" s="32">
        <f>IF(J430="E",INDEX(Transaksi!$C$2:$C$2001,K430)&amp;"","")</f>
        <v/>
      </c>
      <c r="D430" s="32">
        <f>IF(J430="E",INDEX(Transaksi!$D$2:$D$2001,K430)&amp;"","")</f>
        <v/>
      </c>
      <c r="E430" s="33">
        <f>IF(J430="H",SUMIFS(Transaksi!$G$2:$G$2001,Transaksi!$M$2:$M$2001,"="&amp;S430)+SUMIFS(Transaksi!$H$2:$H$2001,Transaksi!$M$2:$M$2001,"="&amp;S430)+SUMIFS(Transaksi!$I$2:$I$2001,Transaksi!$M$2:$M$2001,"="&amp;S430),IF(J430="E",IF(INDEX(Transaksi!$G$2:$G$2001,K430)+INDEX(Transaksi!$H$2:$H$2001,K430)+INDEX(Transaksi!$I$2:$I$2001,K430)=0,"",INDEX(Transaksi!$G$2:$G$2001,K430)+INDEX(Transaksi!$H$2:$H$2001,K430)+INDEX(Transaksi!$I$2:$I$2001,K430)),""))</f>
        <v/>
      </c>
      <c r="F430" s="33">
        <f>IF(J430="H",SUMIFS(Transaksi!$J$2:$J$2001,Transaksi!$M$2:$M$2001,"="&amp;S430),IF(J430="E",IF(INDEX(Transaksi!$J$2:$J$2001,K430)=0,"",INDEX(Transaksi!$J$2:$J$2001,K430)),""))</f>
        <v/>
      </c>
      <c r="G430" s="33">
        <f>IF(J430="H",(SUMIFS(Transaksi!$G$2:$G$2001,Transaksi!$M$2:$M$2001,"&lt;="&amp;S430)+SUMIFS(Transaksi!$H$2:$H$2001,Transaksi!$M$2:$M$2001,"&lt;="&amp;S430)+SUMIFS(Transaksi!$I$2:$I$2001,Transaksi!$M$2:$M$2001,"&lt;="&amp;S430))-(SUMIFS(Transaksi!$J$2:$J$2001,Transaksi!$M$2:$M$2001,"&lt;="&amp;S430)),"")</f>
        <v/>
      </c>
      <c r="I430">
        <f>IF(427&gt;$O$2,"",MATCH(427,$Q$3:$Q$402,1))</f>
        <v/>
      </c>
      <c r="J430">
        <f>IF(I430="","",IF(427=INDEX($Q$3:$Q$402,I430),"H","E"))</f>
        <v/>
      </c>
      <c r="K430">
        <f>IF(J430&lt;&gt;"E","",MATCH(S430,Transaksi!$M$2:$M$2001,0)+427-INDEX($Q$3:$Q$402,I430)-1)</f>
        <v/>
      </c>
      <c r="S430">
        <f>IF(I430="","",INDEX($O$3:$O$402,I430))</f>
        <v/>
      </c>
      <c r="T430">
        <f>IF(J430&lt;&gt;"H","",INDEX(Transaksi!$A$2:$A$2001,MATCH(S430,Transaksi!$M$2:$M$2001,0)))</f>
        <v/>
      </c>
    </row>
    <row r="431">
      <c r="A431" s="31">
        <f>IF(J431="E",IF(INDEX(Transaksi!$J$2:$J$2001,K431)&gt;0,"↑","↓"),"")</f>
        <v/>
      </c>
      <c r="B431" s="32">
        <f>IF(J431="H",CHOOSE(WEEKDAY(T431,2),"Isnin","Selasa","Rabu","Khamis","Jumaat","Sabtu","Ahad")&amp;", "&amp;DAY(T431)&amp;" "&amp;CHOOSE(MONTH(T431),"Jan","Feb","Mac","Apr","Mei","Jun","Jul","Ogo","Sep","Okt","Nov","Dis")&amp;" "&amp;YEAR(T431),IF(J431="E",IF(INDEX(Transaksi!$B$2:$B$2001,K431)="",INDEX(Transaksi!$C$2:$C$2001,K431)&amp;" · "&amp;INDEX(Transaksi!$D$2:$D$2001,K431),INDEX(Transaksi!$B$2:$B$2001,K431)),""))</f>
        <v/>
      </c>
      <c r="C431" s="32">
        <f>IF(J431="E",INDEX(Transaksi!$C$2:$C$2001,K431)&amp;"","")</f>
        <v/>
      </c>
      <c r="D431" s="32">
        <f>IF(J431="E",INDEX(Transaksi!$D$2:$D$2001,K431)&amp;"","")</f>
        <v/>
      </c>
      <c r="E431" s="33">
        <f>IF(J431="H",SUMIFS(Transaksi!$G$2:$G$2001,Transaksi!$M$2:$M$2001,"="&amp;S431)+SUMIFS(Transaksi!$H$2:$H$2001,Transaksi!$M$2:$M$2001,"="&amp;S431)+SUMIFS(Transaksi!$I$2:$I$2001,Transaksi!$M$2:$M$2001,"="&amp;S431),IF(J431="E",IF(INDEX(Transaksi!$G$2:$G$2001,K431)+INDEX(Transaksi!$H$2:$H$2001,K431)+INDEX(Transaksi!$I$2:$I$2001,K431)=0,"",INDEX(Transaksi!$G$2:$G$2001,K431)+INDEX(Transaksi!$H$2:$H$2001,K431)+INDEX(Transaksi!$I$2:$I$2001,K431)),""))</f>
        <v/>
      </c>
      <c r="F431" s="33">
        <f>IF(J431="H",SUMIFS(Transaksi!$J$2:$J$2001,Transaksi!$M$2:$M$2001,"="&amp;S431),IF(J431="E",IF(INDEX(Transaksi!$J$2:$J$2001,K431)=0,"",INDEX(Transaksi!$J$2:$J$2001,K431)),""))</f>
        <v/>
      </c>
      <c r="G431" s="33">
        <f>IF(J431="H",(SUMIFS(Transaksi!$G$2:$G$2001,Transaksi!$M$2:$M$2001,"&lt;="&amp;S431)+SUMIFS(Transaksi!$H$2:$H$2001,Transaksi!$M$2:$M$2001,"&lt;="&amp;S431)+SUMIFS(Transaksi!$I$2:$I$2001,Transaksi!$M$2:$M$2001,"&lt;="&amp;S431))-(SUMIFS(Transaksi!$J$2:$J$2001,Transaksi!$M$2:$M$2001,"&lt;="&amp;S431)),"")</f>
        <v/>
      </c>
      <c r="I431">
        <f>IF(428&gt;$O$2,"",MATCH(428,$Q$3:$Q$402,1))</f>
        <v/>
      </c>
      <c r="J431">
        <f>IF(I431="","",IF(428=INDEX($Q$3:$Q$402,I431),"H","E"))</f>
        <v/>
      </c>
      <c r="K431">
        <f>IF(J431&lt;&gt;"E","",MATCH(S431,Transaksi!$M$2:$M$2001,0)+428-INDEX($Q$3:$Q$402,I431)-1)</f>
        <v/>
      </c>
      <c r="S431">
        <f>IF(I431="","",INDEX($O$3:$O$402,I431))</f>
        <v/>
      </c>
      <c r="T431">
        <f>IF(J431&lt;&gt;"H","",INDEX(Transaksi!$A$2:$A$2001,MATCH(S431,Transaksi!$M$2:$M$2001,0)))</f>
        <v/>
      </c>
    </row>
    <row r="432">
      <c r="A432" s="31">
        <f>IF(J432="E",IF(INDEX(Transaksi!$J$2:$J$2001,K432)&gt;0,"↑","↓"),"")</f>
        <v/>
      </c>
      <c r="B432" s="32">
        <f>IF(J432="H",CHOOSE(WEEKDAY(T432,2),"Isnin","Selasa","Rabu","Khamis","Jumaat","Sabtu","Ahad")&amp;", "&amp;DAY(T432)&amp;" "&amp;CHOOSE(MONTH(T432),"Jan","Feb","Mac","Apr","Mei","Jun","Jul","Ogo","Sep","Okt","Nov","Dis")&amp;" "&amp;YEAR(T432),IF(J432="E",IF(INDEX(Transaksi!$B$2:$B$2001,K432)="",INDEX(Transaksi!$C$2:$C$2001,K432)&amp;" · "&amp;INDEX(Transaksi!$D$2:$D$2001,K432),INDEX(Transaksi!$B$2:$B$2001,K432)),""))</f>
        <v/>
      </c>
      <c r="C432" s="32">
        <f>IF(J432="E",INDEX(Transaksi!$C$2:$C$2001,K432)&amp;"","")</f>
        <v/>
      </c>
      <c r="D432" s="32">
        <f>IF(J432="E",INDEX(Transaksi!$D$2:$D$2001,K432)&amp;"","")</f>
        <v/>
      </c>
      <c r="E432" s="33">
        <f>IF(J432="H",SUMIFS(Transaksi!$G$2:$G$2001,Transaksi!$M$2:$M$2001,"="&amp;S432)+SUMIFS(Transaksi!$H$2:$H$2001,Transaksi!$M$2:$M$2001,"="&amp;S432)+SUMIFS(Transaksi!$I$2:$I$2001,Transaksi!$M$2:$M$2001,"="&amp;S432),IF(J432="E",IF(INDEX(Transaksi!$G$2:$G$2001,K432)+INDEX(Transaksi!$H$2:$H$2001,K432)+INDEX(Transaksi!$I$2:$I$2001,K432)=0,"",INDEX(Transaksi!$G$2:$G$2001,K432)+INDEX(Transaksi!$H$2:$H$2001,K432)+INDEX(Transaksi!$I$2:$I$2001,K432)),""))</f>
        <v/>
      </c>
      <c r="F432" s="33">
        <f>IF(J432="H",SUMIFS(Transaksi!$J$2:$J$2001,Transaksi!$M$2:$M$2001,"="&amp;S432),IF(J432="E",IF(INDEX(Transaksi!$J$2:$J$2001,K432)=0,"",INDEX(Transaksi!$J$2:$J$2001,K432)),""))</f>
        <v/>
      </c>
      <c r="G432" s="33">
        <f>IF(J432="H",(SUMIFS(Transaksi!$G$2:$G$2001,Transaksi!$M$2:$M$2001,"&lt;="&amp;S432)+SUMIFS(Transaksi!$H$2:$H$2001,Transaksi!$M$2:$M$2001,"&lt;="&amp;S432)+SUMIFS(Transaksi!$I$2:$I$2001,Transaksi!$M$2:$M$2001,"&lt;="&amp;S432))-(SUMIFS(Transaksi!$J$2:$J$2001,Transaksi!$M$2:$M$2001,"&lt;="&amp;S432)),"")</f>
        <v/>
      </c>
      <c r="I432">
        <f>IF(429&gt;$O$2,"",MATCH(429,$Q$3:$Q$402,1))</f>
        <v/>
      </c>
      <c r="J432">
        <f>IF(I432="","",IF(429=INDEX($Q$3:$Q$402,I432),"H","E"))</f>
        <v/>
      </c>
      <c r="K432">
        <f>IF(J432&lt;&gt;"E","",MATCH(S432,Transaksi!$M$2:$M$2001,0)+429-INDEX($Q$3:$Q$402,I432)-1)</f>
        <v/>
      </c>
      <c r="S432">
        <f>IF(I432="","",INDEX($O$3:$O$402,I432))</f>
        <v/>
      </c>
      <c r="T432">
        <f>IF(J432&lt;&gt;"H","",INDEX(Transaksi!$A$2:$A$2001,MATCH(S432,Transaksi!$M$2:$M$2001,0)))</f>
        <v/>
      </c>
    </row>
    <row r="433">
      <c r="A433" s="31">
        <f>IF(J433="E",IF(INDEX(Transaksi!$J$2:$J$2001,K433)&gt;0,"↑","↓"),"")</f>
        <v/>
      </c>
      <c r="B433" s="32">
        <f>IF(J433="H",CHOOSE(WEEKDAY(T433,2),"Isnin","Selasa","Rabu","Khamis","Jumaat","Sabtu","Ahad")&amp;", "&amp;DAY(T433)&amp;" "&amp;CHOOSE(MONTH(T433),"Jan","Feb","Mac","Apr","Mei","Jun","Jul","Ogo","Sep","Okt","Nov","Dis")&amp;" "&amp;YEAR(T433),IF(J433="E",IF(INDEX(Transaksi!$B$2:$B$2001,K433)="",INDEX(Transaksi!$C$2:$C$2001,K433)&amp;" · "&amp;INDEX(Transaksi!$D$2:$D$2001,K433),INDEX(Transaksi!$B$2:$B$2001,K433)),""))</f>
        <v/>
      </c>
      <c r="C433" s="32">
        <f>IF(J433="E",INDEX(Transaksi!$C$2:$C$2001,K433)&amp;"","")</f>
        <v/>
      </c>
      <c r="D433" s="32">
        <f>IF(J433="E",INDEX(Transaksi!$D$2:$D$2001,K433)&amp;"","")</f>
        <v/>
      </c>
      <c r="E433" s="33">
        <f>IF(J433="H",SUMIFS(Transaksi!$G$2:$G$2001,Transaksi!$M$2:$M$2001,"="&amp;S433)+SUMIFS(Transaksi!$H$2:$H$2001,Transaksi!$M$2:$M$2001,"="&amp;S433)+SUMIFS(Transaksi!$I$2:$I$2001,Transaksi!$M$2:$M$2001,"="&amp;S433),IF(J433="E",IF(INDEX(Transaksi!$G$2:$G$2001,K433)+INDEX(Transaksi!$H$2:$H$2001,K433)+INDEX(Transaksi!$I$2:$I$2001,K433)=0,"",INDEX(Transaksi!$G$2:$G$2001,K433)+INDEX(Transaksi!$H$2:$H$2001,K433)+INDEX(Transaksi!$I$2:$I$2001,K433)),""))</f>
        <v/>
      </c>
      <c r="F433" s="33">
        <f>IF(J433="H",SUMIFS(Transaksi!$J$2:$J$2001,Transaksi!$M$2:$M$2001,"="&amp;S433),IF(J433="E",IF(INDEX(Transaksi!$J$2:$J$2001,K433)=0,"",INDEX(Transaksi!$J$2:$J$2001,K433)),""))</f>
        <v/>
      </c>
      <c r="G433" s="33">
        <f>IF(J433="H",(SUMIFS(Transaksi!$G$2:$G$2001,Transaksi!$M$2:$M$2001,"&lt;="&amp;S433)+SUMIFS(Transaksi!$H$2:$H$2001,Transaksi!$M$2:$M$2001,"&lt;="&amp;S433)+SUMIFS(Transaksi!$I$2:$I$2001,Transaksi!$M$2:$M$2001,"&lt;="&amp;S433))-(SUMIFS(Transaksi!$J$2:$J$2001,Transaksi!$M$2:$M$2001,"&lt;="&amp;S433)),"")</f>
        <v/>
      </c>
      <c r="I433">
        <f>IF(430&gt;$O$2,"",MATCH(430,$Q$3:$Q$402,1))</f>
        <v/>
      </c>
      <c r="J433">
        <f>IF(I433="","",IF(430=INDEX($Q$3:$Q$402,I433),"H","E"))</f>
        <v/>
      </c>
      <c r="K433">
        <f>IF(J433&lt;&gt;"E","",MATCH(S433,Transaksi!$M$2:$M$2001,0)+430-INDEX($Q$3:$Q$402,I433)-1)</f>
        <v/>
      </c>
      <c r="S433">
        <f>IF(I433="","",INDEX($O$3:$O$402,I433))</f>
        <v/>
      </c>
      <c r="T433">
        <f>IF(J433&lt;&gt;"H","",INDEX(Transaksi!$A$2:$A$2001,MATCH(S433,Transaksi!$M$2:$M$2001,0)))</f>
        <v/>
      </c>
    </row>
    <row r="434">
      <c r="A434" s="31">
        <f>IF(J434="E",IF(INDEX(Transaksi!$J$2:$J$2001,K434)&gt;0,"↑","↓"),"")</f>
        <v/>
      </c>
      <c r="B434" s="32">
        <f>IF(J434="H",CHOOSE(WEEKDAY(T434,2),"Isnin","Selasa","Rabu","Khamis","Jumaat","Sabtu","Ahad")&amp;", "&amp;DAY(T434)&amp;" "&amp;CHOOSE(MONTH(T434),"Jan","Feb","Mac","Apr","Mei","Jun","Jul","Ogo","Sep","Okt","Nov","Dis")&amp;" "&amp;YEAR(T434),IF(J434="E",IF(INDEX(Transaksi!$B$2:$B$2001,K434)="",INDEX(Transaksi!$C$2:$C$2001,K434)&amp;" · "&amp;INDEX(Transaksi!$D$2:$D$2001,K434),INDEX(Transaksi!$B$2:$B$2001,K434)),""))</f>
        <v/>
      </c>
      <c r="C434" s="32">
        <f>IF(J434="E",INDEX(Transaksi!$C$2:$C$2001,K434)&amp;"","")</f>
        <v/>
      </c>
      <c r="D434" s="32">
        <f>IF(J434="E",INDEX(Transaksi!$D$2:$D$2001,K434)&amp;"","")</f>
        <v/>
      </c>
      <c r="E434" s="33">
        <f>IF(J434="H",SUMIFS(Transaksi!$G$2:$G$2001,Transaksi!$M$2:$M$2001,"="&amp;S434)+SUMIFS(Transaksi!$H$2:$H$2001,Transaksi!$M$2:$M$2001,"="&amp;S434)+SUMIFS(Transaksi!$I$2:$I$2001,Transaksi!$M$2:$M$2001,"="&amp;S434),IF(J434="E",IF(INDEX(Transaksi!$G$2:$G$2001,K434)+INDEX(Transaksi!$H$2:$H$2001,K434)+INDEX(Transaksi!$I$2:$I$2001,K434)=0,"",INDEX(Transaksi!$G$2:$G$2001,K434)+INDEX(Transaksi!$H$2:$H$2001,K434)+INDEX(Transaksi!$I$2:$I$2001,K434)),""))</f>
        <v/>
      </c>
      <c r="F434" s="33">
        <f>IF(J434="H",SUMIFS(Transaksi!$J$2:$J$2001,Transaksi!$M$2:$M$2001,"="&amp;S434),IF(J434="E",IF(INDEX(Transaksi!$J$2:$J$2001,K434)=0,"",INDEX(Transaksi!$J$2:$J$2001,K434)),""))</f>
        <v/>
      </c>
      <c r="G434" s="33">
        <f>IF(J434="H",(SUMIFS(Transaksi!$G$2:$G$2001,Transaksi!$M$2:$M$2001,"&lt;="&amp;S434)+SUMIFS(Transaksi!$H$2:$H$2001,Transaksi!$M$2:$M$2001,"&lt;="&amp;S434)+SUMIFS(Transaksi!$I$2:$I$2001,Transaksi!$M$2:$M$2001,"&lt;="&amp;S434))-(SUMIFS(Transaksi!$J$2:$J$2001,Transaksi!$M$2:$M$2001,"&lt;="&amp;S434)),"")</f>
        <v/>
      </c>
      <c r="I434">
        <f>IF(431&gt;$O$2,"",MATCH(431,$Q$3:$Q$402,1))</f>
        <v/>
      </c>
      <c r="J434">
        <f>IF(I434="","",IF(431=INDEX($Q$3:$Q$402,I434),"H","E"))</f>
        <v/>
      </c>
      <c r="K434">
        <f>IF(J434&lt;&gt;"E","",MATCH(S434,Transaksi!$M$2:$M$2001,0)+431-INDEX($Q$3:$Q$402,I434)-1)</f>
        <v/>
      </c>
      <c r="S434">
        <f>IF(I434="","",INDEX($O$3:$O$402,I434))</f>
        <v/>
      </c>
      <c r="T434">
        <f>IF(J434&lt;&gt;"H","",INDEX(Transaksi!$A$2:$A$2001,MATCH(S434,Transaksi!$M$2:$M$2001,0)))</f>
        <v/>
      </c>
    </row>
    <row r="435">
      <c r="A435" s="31">
        <f>IF(J435="E",IF(INDEX(Transaksi!$J$2:$J$2001,K435)&gt;0,"↑","↓"),"")</f>
        <v/>
      </c>
      <c r="B435" s="32">
        <f>IF(J435="H",CHOOSE(WEEKDAY(T435,2),"Isnin","Selasa","Rabu","Khamis","Jumaat","Sabtu","Ahad")&amp;", "&amp;DAY(T435)&amp;" "&amp;CHOOSE(MONTH(T435),"Jan","Feb","Mac","Apr","Mei","Jun","Jul","Ogo","Sep","Okt","Nov","Dis")&amp;" "&amp;YEAR(T435),IF(J435="E",IF(INDEX(Transaksi!$B$2:$B$2001,K435)="",INDEX(Transaksi!$C$2:$C$2001,K435)&amp;" · "&amp;INDEX(Transaksi!$D$2:$D$2001,K435),INDEX(Transaksi!$B$2:$B$2001,K435)),""))</f>
        <v/>
      </c>
      <c r="C435" s="32">
        <f>IF(J435="E",INDEX(Transaksi!$C$2:$C$2001,K435)&amp;"","")</f>
        <v/>
      </c>
      <c r="D435" s="32">
        <f>IF(J435="E",INDEX(Transaksi!$D$2:$D$2001,K435)&amp;"","")</f>
        <v/>
      </c>
      <c r="E435" s="33">
        <f>IF(J435="H",SUMIFS(Transaksi!$G$2:$G$2001,Transaksi!$M$2:$M$2001,"="&amp;S435)+SUMIFS(Transaksi!$H$2:$H$2001,Transaksi!$M$2:$M$2001,"="&amp;S435)+SUMIFS(Transaksi!$I$2:$I$2001,Transaksi!$M$2:$M$2001,"="&amp;S435),IF(J435="E",IF(INDEX(Transaksi!$G$2:$G$2001,K435)+INDEX(Transaksi!$H$2:$H$2001,K435)+INDEX(Transaksi!$I$2:$I$2001,K435)=0,"",INDEX(Transaksi!$G$2:$G$2001,K435)+INDEX(Transaksi!$H$2:$H$2001,K435)+INDEX(Transaksi!$I$2:$I$2001,K435)),""))</f>
        <v/>
      </c>
      <c r="F435" s="33">
        <f>IF(J435="H",SUMIFS(Transaksi!$J$2:$J$2001,Transaksi!$M$2:$M$2001,"="&amp;S435),IF(J435="E",IF(INDEX(Transaksi!$J$2:$J$2001,K435)=0,"",INDEX(Transaksi!$J$2:$J$2001,K435)),""))</f>
        <v/>
      </c>
      <c r="G435" s="33">
        <f>IF(J435="H",(SUMIFS(Transaksi!$G$2:$G$2001,Transaksi!$M$2:$M$2001,"&lt;="&amp;S435)+SUMIFS(Transaksi!$H$2:$H$2001,Transaksi!$M$2:$M$2001,"&lt;="&amp;S435)+SUMIFS(Transaksi!$I$2:$I$2001,Transaksi!$M$2:$M$2001,"&lt;="&amp;S435))-(SUMIFS(Transaksi!$J$2:$J$2001,Transaksi!$M$2:$M$2001,"&lt;="&amp;S435)),"")</f>
        <v/>
      </c>
      <c r="I435">
        <f>IF(432&gt;$O$2,"",MATCH(432,$Q$3:$Q$402,1))</f>
        <v/>
      </c>
      <c r="J435">
        <f>IF(I435="","",IF(432=INDEX($Q$3:$Q$402,I435),"H","E"))</f>
        <v/>
      </c>
      <c r="K435">
        <f>IF(J435&lt;&gt;"E","",MATCH(S435,Transaksi!$M$2:$M$2001,0)+432-INDEX($Q$3:$Q$402,I435)-1)</f>
        <v/>
      </c>
      <c r="S435">
        <f>IF(I435="","",INDEX($O$3:$O$402,I435))</f>
        <v/>
      </c>
      <c r="T435">
        <f>IF(J435&lt;&gt;"H","",INDEX(Transaksi!$A$2:$A$2001,MATCH(S435,Transaksi!$M$2:$M$2001,0)))</f>
        <v/>
      </c>
    </row>
    <row r="436">
      <c r="A436" s="31">
        <f>IF(J436="E",IF(INDEX(Transaksi!$J$2:$J$2001,K436)&gt;0,"↑","↓"),"")</f>
        <v/>
      </c>
      <c r="B436" s="32">
        <f>IF(J436="H",CHOOSE(WEEKDAY(T436,2),"Isnin","Selasa","Rabu","Khamis","Jumaat","Sabtu","Ahad")&amp;", "&amp;DAY(T436)&amp;" "&amp;CHOOSE(MONTH(T436),"Jan","Feb","Mac","Apr","Mei","Jun","Jul","Ogo","Sep","Okt","Nov","Dis")&amp;" "&amp;YEAR(T436),IF(J436="E",IF(INDEX(Transaksi!$B$2:$B$2001,K436)="",INDEX(Transaksi!$C$2:$C$2001,K436)&amp;" · "&amp;INDEX(Transaksi!$D$2:$D$2001,K436),INDEX(Transaksi!$B$2:$B$2001,K436)),""))</f>
        <v/>
      </c>
      <c r="C436" s="32">
        <f>IF(J436="E",INDEX(Transaksi!$C$2:$C$2001,K436)&amp;"","")</f>
        <v/>
      </c>
      <c r="D436" s="32">
        <f>IF(J436="E",INDEX(Transaksi!$D$2:$D$2001,K436)&amp;"","")</f>
        <v/>
      </c>
      <c r="E436" s="33">
        <f>IF(J436="H",SUMIFS(Transaksi!$G$2:$G$2001,Transaksi!$M$2:$M$2001,"="&amp;S436)+SUMIFS(Transaksi!$H$2:$H$2001,Transaksi!$M$2:$M$2001,"="&amp;S436)+SUMIFS(Transaksi!$I$2:$I$2001,Transaksi!$M$2:$M$2001,"="&amp;S436),IF(J436="E",IF(INDEX(Transaksi!$G$2:$G$2001,K436)+INDEX(Transaksi!$H$2:$H$2001,K436)+INDEX(Transaksi!$I$2:$I$2001,K436)=0,"",INDEX(Transaksi!$G$2:$G$2001,K436)+INDEX(Transaksi!$H$2:$H$2001,K436)+INDEX(Transaksi!$I$2:$I$2001,K436)),""))</f>
        <v/>
      </c>
      <c r="F436" s="33">
        <f>IF(J436="H",SUMIFS(Transaksi!$J$2:$J$2001,Transaksi!$M$2:$M$2001,"="&amp;S436),IF(J436="E",IF(INDEX(Transaksi!$J$2:$J$2001,K436)=0,"",INDEX(Transaksi!$J$2:$J$2001,K436)),""))</f>
        <v/>
      </c>
      <c r="G436" s="33">
        <f>IF(J436="H",(SUMIFS(Transaksi!$G$2:$G$2001,Transaksi!$M$2:$M$2001,"&lt;="&amp;S436)+SUMIFS(Transaksi!$H$2:$H$2001,Transaksi!$M$2:$M$2001,"&lt;="&amp;S436)+SUMIFS(Transaksi!$I$2:$I$2001,Transaksi!$M$2:$M$2001,"&lt;="&amp;S436))-(SUMIFS(Transaksi!$J$2:$J$2001,Transaksi!$M$2:$M$2001,"&lt;="&amp;S436)),"")</f>
        <v/>
      </c>
      <c r="I436">
        <f>IF(433&gt;$O$2,"",MATCH(433,$Q$3:$Q$402,1))</f>
        <v/>
      </c>
      <c r="J436">
        <f>IF(I436="","",IF(433=INDEX($Q$3:$Q$402,I436),"H","E"))</f>
        <v/>
      </c>
      <c r="K436">
        <f>IF(J436&lt;&gt;"E","",MATCH(S436,Transaksi!$M$2:$M$2001,0)+433-INDEX($Q$3:$Q$402,I436)-1)</f>
        <v/>
      </c>
      <c r="S436">
        <f>IF(I436="","",INDEX($O$3:$O$402,I436))</f>
        <v/>
      </c>
      <c r="T436">
        <f>IF(J436&lt;&gt;"H","",INDEX(Transaksi!$A$2:$A$2001,MATCH(S436,Transaksi!$M$2:$M$2001,0)))</f>
        <v/>
      </c>
    </row>
    <row r="437">
      <c r="A437" s="31">
        <f>IF(J437="E",IF(INDEX(Transaksi!$J$2:$J$2001,K437)&gt;0,"↑","↓"),"")</f>
        <v/>
      </c>
      <c r="B437" s="32">
        <f>IF(J437="H",CHOOSE(WEEKDAY(T437,2),"Isnin","Selasa","Rabu","Khamis","Jumaat","Sabtu","Ahad")&amp;", "&amp;DAY(T437)&amp;" "&amp;CHOOSE(MONTH(T437),"Jan","Feb","Mac","Apr","Mei","Jun","Jul","Ogo","Sep","Okt","Nov","Dis")&amp;" "&amp;YEAR(T437),IF(J437="E",IF(INDEX(Transaksi!$B$2:$B$2001,K437)="",INDEX(Transaksi!$C$2:$C$2001,K437)&amp;" · "&amp;INDEX(Transaksi!$D$2:$D$2001,K437),INDEX(Transaksi!$B$2:$B$2001,K437)),""))</f>
        <v/>
      </c>
      <c r="C437" s="32">
        <f>IF(J437="E",INDEX(Transaksi!$C$2:$C$2001,K437)&amp;"","")</f>
        <v/>
      </c>
      <c r="D437" s="32">
        <f>IF(J437="E",INDEX(Transaksi!$D$2:$D$2001,K437)&amp;"","")</f>
        <v/>
      </c>
      <c r="E437" s="33">
        <f>IF(J437="H",SUMIFS(Transaksi!$G$2:$G$2001,Transaksi!$M$2:$M$2001,"="&amp;S437)+SUMIFS(Transaksi!$H$2:$H$2001,Transaksi!$M$2:$M$2001,"="&amp;S437)+SUMIFS(Transaksi!$I$2:$I$2001,Transaksi!$M$2:$M$2001,"="&amp;S437),IF(J437="E",IF(INDEX(Transaksi!$G$2:$G$2001,K437)+INDEX(Transaksi!$H$2:$H$2001,K437)+INDEX(Transaksi!$I$2:$I$2001,K437)=0,"",INDEX(Transaksi!$G$2:$G$2001,K437)+INDEX(Transaksi!$H$2:$H$2001,K437)+INDEX(Transaksi!$I$2:$I$2001,K437)),""))</f>
        <v/>
      </c>
      <c r="F437" s="33">
        <f>IF(J437="H",SUMIFS(Transaksi!$J$2:$J$2001,Transaksi!$M$2:$M$2001,"="&amp;S437),IF(J437="E",IF(INDEX(Transaksi!$J$2:$J$2001,K437)=0,"",INDEX(Transaksi!$J$2:$J$2001,K437)),""))</f>
        <v/>
      </c>
      <c r="G437" s="33">
        <f>IF(J437="H",(SUMIFS(Transaksi!$G$2:$G$2001,Transaksi!$M$2:$M$2001,"&lt;="&amp;S437)+SUMIFS(Transaksi!$H$2:$H$2001,Transaksi!$M$2:$M$2001,"&lt;="&amp;S437)+SUMIFS(Transaksi!$I$2:$I$2001,Transaksi!$M$2:$M$2001,"&lt;="&amp;S437))-(SUMIFS(Transaksi!$J$2:$J$2001,Transaksi!$M$2:$M$2001,"&lt;="&amp;S437)),"")</f>
        <v/>
      </c>
      <c r="I437">
        <f>IF(434&gt;$O$2,"",MATCH(434,$Q$3:$Q$402,1))</f>
        <v/>
      </c>
      <c r="J437">
        <f>IF(I437="","",IF(434=INDEX($Q$3:$Q$402,I437),"H","E"))</f>
        <v/>
      </c>
      <c r="K437">
        <f>IF(J437&lt;&gt;"E","",MATCH(S437,Transaksi!$M$2:$M$2001,0)+434-INDEX($Q$3:$Q$402,I437)-1)</f>
        <v/>
      </c>
      <c r="S437">
        <f>IF(I437="","",INDEX($O$3:$O$402,I437))</f>
        <v/>
      </c>
      <c r="T437">
        <f>IF(J437&lt;&gt;"H","",INDEX(Transaksi!$A$2:$A$2001,MATCH(S437,Transaksi!$M$2:$M$2001,0)))</f>
        <v/>
      </c>
    </row>
    <row r="438">
      <c r="A438" s="31">
        <f>IF(J438="E",IF(INDEX(Transaksi!$J$2:$J$2001,K438)&gt;0,"↑","↓"),"")</f>
        <v/>
      </c>
      <c r="B438" s="32">
        <f>IF(J438="H",CHOOSE(WEEKDAY(T438,2),"Isnin","Selasa","Rabu","Khamis","Jumaat","Sabtu","Ahad")&amp;", "&amp;DAY(T438)&amp;" "&amp;CHOOSE(MONTH(T438),"Jan","Feb","Mac","Apr","Mei","Jun","Jul","Ogo","Sep","Okt","Nov","Dis")&amp;" "&amp;YEAR(T438),IF(J438="E",IF(INDEX(Transaksi!$B$2:$B$2001,K438)="",INDEX(Transaksi!$C$2:$C$2001,K438)&amp;" · "&amp;INDEX(Transaksi!$D$2:$D$2001,K438),INDEX(Transaksi!$B$2:$B$2001,K438)),""))</f>
        <v/>
      </c>
      <c r="C438" s="32">
        <f>IF(J438="E",INDEX(Transaksi!$C$2:$C$2001,K438)&amp;"","")</f>
        <v/>
      </c>
      <c r="D438" s="32">
        <f>IF(J438="E",INDEX(Transaksi!$D$2:$D$2001,K438)&amp;"","")</f>
        <v/>
      </c>
      <c r="E438" s="33">
        <f>IF(J438="H",SUMIFS(Transaksi!$G$2:$G$2001,Transaksi!$M$2:$M$2001,"="&amp;S438)+SUMIFS(Transaksi!$H$2:$H$2001,Transaksi!$M$2:$M$2001,"="&amp;S438)+SUMIFS(Transaksi!$I$2:$I$2001,Transaksi!$M$2:$M$2001,"="&amp;S438),IF(J438="E",IF(INDEX(Transaksi!$G$2:$G$2001,K438)+INDEX(Transaksi!$H$2:$H$2001,K438)+INDEX(Transaksi!$I$2:$I$2001,K438)=0,"",INDEX(Transaksi!$G$2:$G$2001,K438)+INDEX(Transaksi!$H$2:$H$2001,K438)+INDEX(Transaksi!$I$2:$I$2001,K438)),""))</f>
        <v/>
      </c>
      <c r="F438" s="33">
        <f>IF(J438="H",SUMIFS(Transaksi!$J$2:$J$2001,Transaksi!$M$2:$M$2001,"="&amp;S438),IF(J438="E",IF(INDEX(Transaksi!$J$2:$J$2001,K438)=0,"",INDEX(Transaksi!$J$2:$J$2001,K438)),""))</f>
        <v/>
      </c>
      <c r="G438" s="33">
        <f>IF(J438="H",(SUMIFS(Transaksi!$G$2:$G$2001,Transaksi!$M$2:$M$2001,"&lt;="&amp;S438)+SUMIFS(Transaksi!$H$2:$H$2001,Transaksi!$M$2:$M$2001,"&lt;="&amp;S438)+SUMIFS(Transaksi!$I$2:$I$2001,Transaksi!$M$2:$M$2001,"&lt;="&amp;S438))-(SUMIFS(Transaksi!$J$2:$J$2001,Transaksi!$M$2:$M$2001,"&lt;="&amp;S438)),"")</f>
        <v/>
      </c>
      <c r="I438">
        <f>IF(435&gt;$O$2,"",MATCH(435,$Q$3:$Q$402,1))</f>
        <v/>
      </c>
      <c r="J438">
        <f>IF(I438="","",IF(435=INDEX($Q$3:$Q$402,I438),"H","E"))</f>
        <v/>
      </c>
      <c r="K438">
        <f>IF(J438&lt;&gt;"E","",MATCH(S438,Transaksi!$M$2:$M$2001,0)+435-INDEX($Q$3:$Q$402,I438)-1)</f>
        <v/>
      </c>
      <c r="S438">
        <f>IF(I438="","",INDEX($O$3:$O$402,I438))</f>
        <v/>
      </c>
      <c r="T438">
        <f>IF(J438&lt;&gt;"H","",INDEX(Transaksi!$A$2:$A$2001,MATCH(S438,Transaksi!$M$2:$M$2001,0)))</f>
        <v/>
      </c>
    </row>
    <row r="439">
      <c r="A439" s="31">
        <f>IF(J439="E",IF(INDEX(Transaksi!$J$2:$J$2001,K439)&gt;0,"↑","↓"),"")</f>
        <v/>
      </c>
      <c r="B439" s="32">
        <f>IF(J439="H",CHOOSE(WEEKDAY(T439,2),"Isnin","Selasa","Rabu","Khamis","Jumaat","Sabtu","Ahad")&amp;", "&amp;DAY(T439)&amp;" "&amp;CHOOSE(MONTH(T439),"Jan","Feb","Mac","Apr","Mei","Jun","Jul","Ogo","Sep","Okt","Nov","Dis")&amp;" "&amp;YEAR(T439),IF(J439="E",IF(INDEX(Transaksi!$B$2:$B$2001,K439)="",INDEX(Transaksi!$C$2:$C$2001,K439)&amp;" · "&amp;INDEX(Transaksi!$D$2:$D$2001,K439),INDEX(Transaksi!$B$2:$B$2001,K439)),""))</f>
        <v/>
      </c>
      <c r="C439" s="32">
        <f>IF(J439="E",INDEX(Transaksi!$C$2:$C$2001,K439)&amp;"","")</f>
        <v/>
      </c>
      <c r="D439" s="32">
        <f>IF(J439="E",INDEX(Transaksi!$D$2:$D$2001,K439)&amp;"","")</f>
        <v/>
      </c>
      <c r="E439" s="33">
        <f>IF(J439="H",SUMIFS(Transaksi!$G$2:$G$2001,Transaksi!$M$2:$M$2001,"="&amp;S439)+SUMIFS(Transaksi!$H$2:$H$2001,Transaksi!$M$2:$M$2001,"="&amp;S439)+SUMIFS(Transaksi!$I$2:$I$2001,Transaksi!$M$2:$M$2001,"="&amp;S439),IF(J439="E",IF(INDEX(Transaksi!$G$2:$G$2001,K439)+INDEX(Transaksi!$H$2:$H$2001,K439)+INDEX(Transaksi!$I$2:$I$2001,K439)=0,"",INDEX(Transaksi!$G$2:$G$2001,K439)+INDEX(Transaksi!$H$2:$H$2001,K439)+INDEX(Transaksi!$I$2:$I$2001,K439)),""))</f>
        <v/>
      </c>
      <c r="F439" s="33">
        <f>IF(J439="H",SUMIFS(Transaksi!$J$2:$J$2001,Transaksi!$M$2:$M$2001,"="&amp;S439),IF(J439="E",IF(INDEX(Transaksi!$J$2:$J$2001,K439)=0,"",INDEX(Transaksi!$J$2:$J$2001,K439)),""))</f>
        <v/>
      </c>
      <c r="G439" s="33">
        <f>IF(J439="H",(SUMIFS(Transaksi!$G$2:$G$2001,Transaksi!$M$2:$M$2001,"&lt;="&amp;S439)+SUMIFS(Transaksi!$H$2:$H$2001,Transaksi!$M$2:$M$2001,"&lt;="&amp;S439)+SUMIFS(Transaksi!$I$2:$I$2001,Transaksi!$M$2:$M$2001,"&lt;="&amp;S439))-(SUMIFS(Transaksi!$J$2:$J$2001,Transaksi!$M$2:$M$2001,"&lt;="&amp;S439)),"")</f>
        <v/>
      </c>
      <c r="I439">
        <f>IF(436&gt;$O$2,"",MATCH(436,$Q$3:$Q$402,1))</f>
        <v/>
      </c>
      <c r="J439">
        <f>IF(I439="","",IF(436=INDEX($Q$3:$Q$402,I439),"H","E"))</f>
        <v/>
      </c>
      <c r="K439">
        <f>IF(J439&lt;&gt;"E","",MATCH(S439,Transaksi!$M$2:$M$2001,0)+436-INDEX($Q$3:$Q$402,I439)-1)</f>
        <v/>
      </c>
      <c r="S439">
        <f>IF(I439="","",INDEX($O$3:$O$402,I439))</f>
        <v/>
      </c>
      <c r="T439">
        <f>IF(J439&lt;&gt;"H","",INDEX(Transaksi!$A$2:$A$2001,MATCH(S439,Transaksi!$M$2:$M$2001,0)))</f>
        <v/>
      </c>
    </row>
    <row r="440">
      <c r="A440" s="31">
        <f>IF(J440="E",IF(INDEX(Transaksi!$J$2:$J$2001,K440)&gt;0,"↑","↓"),"")</f>
        <v/>
      </c>
      <c r="B440" s="32">
        <f>IF(J440="H",CHOOSE(WEEKDAY(T440,2),"Isnin","Selasa","Rabu","Khamis","Jumaat","Sabtu","Ahad")&amp;", "&amp;DAY(T440)&amp;" "&amp;CHOOSE(MONTH(T440),"Jan","Feb","Mac","Apr","Mei","Jun","Jul","Ogo","Sep","Okt","Nov","Dis")&amp;" "&amp;YEAR(T440),IF(J440="E",IF(INDEX(Transaksi!$B$2:$B$2001,K440)="",INDEX(Transaksi!$C$2:$C$2001,K440)&amp;" · "&amp;INDEX(Transaksi!$D$2:$D$2001,K440),INDEX(Transaksi!$B$2:$B$2001,K440)),""))</f>
        <v/>
      </c>
      <c r="C440" s="32">
        <f>IF(J440="E",INDEX(Transaksi!$C$2:$C$2001,K440)&amp;"","")</f>
        <v/>
      </c>
      <c r="D440" s="32">
        <f>IF(J440="E",INDEX(Transaksi!$D$2:$D$2001,K440)&amp;"","")</f>
        <v/>
      </c>
      <c r="E440" s="33">
        <f>IF(J440="H",SUMIFS(Transaksi!$G$2:$G$2001,Transaksi!$M$2:$M$2001,"="&amp;S440)+SUMIFS(Transaksi!$H$2:$H$2001,Transaksi!$M$2:$M$2001,"="&amp;S440)+SUMIFS(Transaksi!$I$2:$I$2001,Transaksi!$M$2:$M$2001,"="&amp;S440),IF(J440="E",IF(INDEX(Transaksi!$G$2:$G$2001,K440)+INDEX(Transaksi!$H$2:$H$2001,K440)+INDEX(Transaksi!$I$2:$I$2001,K440)=0,"",INDEX(Transaksi!$G$2:$G$2001,K440)+INDEX(Transaksi!$H$2:$H$2001,K440)+INDEX(Transaksi!$I$2:$I$2001,K440)),""))</f>
        <v/>
      </c>
      <c r="F440" s="33">
        <f>IF(J440="H",SUMIFS(Transaksi!$J$2:$J$2001,Transaksi!$M$2:$M$2001,"="&amp;S440),IF(J440="E",IF(INDEX(Transaksi!$J$2:$J$2001,K440)=0,"",INDEX(Transaksi!$J$2:$J$2001,K440)),""))</f>
        <v/>
      </c>
      <c r="G440" s="33">
        <f>IF(J440="H",(SUMIFS(Transaksi!$G$2:$G$2001,Transaksi!$M$2:$M$2001,"&lt;="&amp;S440)+SUMIFS(Transaksi!$H$2:$H$2001,Transaksi!$M$2:$M$2001,"&lt;="&amp;S440)+SUMIFS(Transaksi!$I$2:$I$2001,Transaksi!$M$2:$M$2001,"&lt;="&amp;S440))-(SUMIFS(Transaksi!$J$2:$J$2001,Transaksi!$M$2:$M$2001,"&lt;="&amp;S440)),"")</f>
        <v/>
      </c>
      <c r="I440">
        <f>IF(437&gt;$O$2,"",MATCH(437,$Q$3:$Q$402,1))</f>
        <v/>
      </c>
      <c r="J440">
        <f>IF(I440="","",IF(437=INDEX($Q$3:$Q$402,I440),"H","E"))</f>
        <v/>
      </c>
      <c r="K440">
        <f>IF(J440&lt;&gt;"E","",MATCH(S440,Transaksi!$M$2:$M$2001,0)+437-INDEX($Q$3:$Q$402,I440)-1)</f>
        <v/>
      </c>
      <c r="S440">
        <f>IF(I440="","",INDEX($O$3:$O$402,I440))</f>
        <v/>
      </c>
      <c r="T440">
        <f>IF(J440&lt;&gt;"H","",INDEX(Transaksi!$A$2:$A$2001,MATCH(S440,Transaksi!$M$2:$M$2001,0)))</f>
        <v/>
      </c>
    </row>
    <row r="441">
      <c r="A441" s="31">
        <f>IF(J441="E",IF(INDEX(Transaksi!$J$2:$J$2001,K441)&gt;0,"↑","↓"),"")</f>
        <v/>
      </c>
      <c r="B441" s="32">
        <f>IF(J441="H",CHOOSE(WEEKDAY(T441,2),"Isnin","Selasa","Rabu","Khamis","Jumaat","Sabtu","Ahad")&amp;", "&amp;DAY(T441)&amp;" "&amp;CHOOSE(MONTH(T441),"Jan","Feb","Mac","Apr","Mei","Jun","Jul","Ogo","Sep","Okt","Nov","Dis")&amp;" "&amp;YEAR(T441),IF(J441="E",IF(INDEX(Transaksi!$B$2:$B$2001,K441)="",INDEX(Transaksi!$C$2:$C$2001,K441)&amp;" · "&amp;INDEX(Transaksi!$D$2:$D$2001,K441),INDEX(Transaksi!$B$2:$B$2001,K441)),""))</f>
        <v/>
      </c>
      <c r="C441" s="32">
        <f>IF(J441="E",INDEX(Transaksi!$C$2:$C$2001,K441)&amp;"","")</f>
        <v/>
      </c>
      <c r="D441" s="32">
        <f>IF(J441="E",INDEX(Transaksi!$D$2:$D$2001,K441)&amp;"","")</f>
        <v/>
      </c>
      <c r="E441" s="33">
        <f>IF(J441="H",SUMIFS(Transaksi!$G$2:$G$2001,Transaksi!$M$2:$M$2001,"="&amp;S441)+SUMIFS(Transaksi!$H$2:$H$2001,Transaksi!$M$2:$M$2001,"="&amp;S441)+SUMIFS(Transaksi!$I$2:$I$2001,Transaksi!$M$2:$M$2001,"="&amp;S441),IF(J441="E",IF(INDEX(Transaksi!$G$2:$G$2001,K441)+INDEX(Transaksi!$H$2:$H$2001,K441)+INDEX(Transaksi!$I$2:$I$2001,K441)=0,"",INDEX(Transaksi!$G$2:$G$2001,K441)+INDEX(Transaksi!$H$2:$H$2001,K441)+INDEX(Transaksi!$I$2:$I$2001,K441)),""))</f>
        <v/>
      </c>
      <c r="F441" s="33">
        <f>IF(J441="H",SUMIFS(Transaksi!$J$2:$J$2001,Transaksi!$M$2:$M$2001,"="&amp;S441),IF(J441="E",IF(INDEX(Transaksi!$J$2:$J$2001,K441)=0,"",INDEX(Transaksi!$J$2:$J$2001,K441)),""))</f>
        <v/>
      </c>
      <c r="G441" s="33">
        <f>IF(J441="H",(SUMIFS(Transaksi!$G$2:$G$2001,Transaksi!$M$2:$M$2001,"&lt;="&amp;S441)+SUMIFS(Transaksi!$H$2:$H$2001,Transaksi!$M$2:$M$2001,"&lt;="&amp;S441)+SUMIFS(Transaksi!$I$2:$I$2001,Transaksi!$M$2:$M$2001,"&lt;="&amp;S441))-(SUMIFS(Transaksi!$J$2:$J$2001,Transaksi!$M$2:$M$2001,"&lt;="&amp;S441)),"")</f>
        <v/>
      </c>
      <c r="I441">
        <f>IF(438&gt;$O$2,"",MATCH(438,$Q$3:$Q$402,1))</f>
        <v/>
      </c>
      <c r="J441">
        <f>IF(I441="","",IF(438=INDEX($Q$3:$Q$402,I441),"H","E"))</f>
        <v/>
      </c>
      <c r="K441">
        <f>IF(J441&lt;&gt;"E","",MATCH(S441,Transaksi!$M$2:$M$2001,0)+438-INDEX($Q$3:$Q$402,I441)-1)</f>
        <v/>
      </c>
      <c r="S441">
        <f>IF(I441="","",INDEX($O$3:$O$402,I441))</f>
        <v/>
      </c>
      <c r="T441">
        <f>IF(J441&lt;&gt;"H","",INDEX(Transaksi!$A$2:$A$2001,MATCH(S441,Transaksi!$M$2:$M$2001,0)))</f>
        <v/>
      </c>
    </row>
    <row r="442">
      <c r="A442" s="31">
        <f>IF(J442="E",IF(INDEX(Transaksi!$J$2:$J$2001,K442)&gt;0,"↑","↓"),"")</f>
        <v/>
      </c>
      <c r="B442" s="32">
        <f>IF(J442="H",CHOOSE(WEEKDAY(T442,2),"Isnin","Selasa","Rabu","Khamis","Jumaat","Sabtu","Ahad")&amp;", "&amp;DAY(T442)&amp;" "&amp;CHOOSE(MONTH(T442),"Jan","Feb","Mac","Apr","Mei","Jun","Jul","Ogo","Sep","Okt","Nov","Dis")&amp;" "&amp;YEAR(T442),IF(J442="E",IF(INDEX(Transaksi!$B$2:$B$2001,K442)="",INDEX(Transaksi!$C$2:$C$2001,K442)&amp;" · "&amp;INDEX(Transaksi!$D$2:$D$2001,K442),INDEX(Transaksi!$B$2:$B$2001,K442)),""))</f>
        <v/>
      </c>
      <c r="C442" s="32">
        <f>IF(J442="E",INDEX(Transaksi!$C$2:$C$2001,K442)&amp;"","")</f>
        <v/>
      </c>
      <c r="D442" s="32">
        <f>IF(J442="E",INDEX(Transaksi!$D$2:$D$2001,K442)&amp;"","")</f>
        <v/>
      </c>
      <c r="E442" s="33">
        <f>IF(J442="H",SUMIFS(Transaksi!$G$2:$G$2001,Transaksi!$M$2:$M$2001,"="&amp;S442)+SUMIFS(Transaksi!$H$2:$H$2001,Transaksi!$M$2:$M$2001,"="&amp;S442)+SUMIFS(Transaksi!$I$2:$I$2001,Transaksi!$M$2:$M$2001,"="&amp;S442),IF(J442="E",IF(INDEX(Transaksi!$G$2:$G$2001,K442)+INDEX(Transaksi!$H$2:$H$2001,K442)+INDEX(Transaksi!$I$2:$I$2001,K442)=0,"",INDEX(Transaksi!$G$2:$G$2001,K442)+INDEX(Transaksi!$H$2:$H$2001,K442)+INDEX(Transaksi!$I$2:$I$2001,K442)),""))</f>
        <v/>
      </c>
      <c r="F442" s="33">
        <f>IF(J442="H",SUMIFS(Transaksi!$J$2:$J$2001,Transaksi!$M$2:$M$2001,"="&amp;S442),IF(J442="E",IF(INDEX(Transaksi!$J$2:$J$2001,K442)=0,"",INDEX(Transaksi!$J$2:$J$2001,K442)),""))</f>
        <v/>
      </c>
      <c r="G442" s="33">
        <f>IF(J442="H",(SUMIFS(Transaksi!$G$2:$G$2001,Transaksi!$M$2:$M$2001,"&lt;="&amp;S442)+SUMIFS(Transaksi!$H$2:$H$2001,Transaksi!$M$2:$M$2001,"&lt;="&amp;S442)+SUMIFS(Transaksi!$I$2:$I$2001,Transaksi!$M$2:$M$2001,"&lt;="&amp;S442))-(SUMIFS(Transaksi!$J$2:$J$2001,Transaksi!$M$2:$M$2001,"&lt;="&amp;S442)),"")</f>
        <v/>
      </c>
      <c r="I442">
        <f>IF(439&gt;$O$2,"",MATCH(439,$Q$3:$Q$402,1))</f>
        <v/>
      </c>
      <c r="J442">
        <f>IF(I442="","",IF(439=INDEX($Q$3:$Q$402,I442),"H","E"))</f>
        <v/>
      </c>
      <c r="K442">
        <f>IF(J442&lt;&gt;"E","",MATCH(S442,Transaksi!$M$2:$M$2001,0)+439-INDEX($Q$3:$Q$402,I442)-1)</f>
        <v/>
      </c>
      <c r="S442">
        <f>IF(I442="","",INDEX($O$3:$O$402,I442))</f>
        <v/>
      </c>
      <c r="T442">
        <f>IF(J442&lt;&gt;"H","",INDEX(Transaksi!$A$2:$A$2001,MATCH(S442,Transaksi!$M$2:$M$2001,0)))</f>
        <v/>
      </c>
    </row>
    <row r="443">
      <c r="A443" s="31">
        <f>IF(J443="E",IF(INDEX(Transaksi!$J$2:$J$2001,K443)&gt;0,"↑","↓"),"")</f>
        <v/>
      </c>
      <c r="B443" s="32">
        <f>IF(J443="H",CHOOSE(WEEKDAY(T443,2),"Isnin","Selasa","Rabu","Khamis","Jumaat","Sabtu","Ahad")&amp;", "&amp;DAY(T443)&amp;" "&amp;CHOOSE(MONTH(T443),"Jan","Feb","Mac","Apr","Mei","Jun","Jul","Ogo","Sep","Okt","Nov","Dis")&amp;" "&amp;YEAR(T443),IF(J443="E",IF(INDEX(Transaksi!$B$2:$B$2001,K443)="",INDEX(Transaksi!$C$2:$C$2001,K443)&amp;" · "&amp;INDEX(Transaksi!$D$2:$D$2001,K443),INDEX(Transaksi!$B$2:$B$2001,K443)),""))</f>
        <v/>
      </c>
      <c r="C443" s="32">
        <f>IF(J443="E",INDEX(Transaksi!$C$2:$C$2001,K443)&amp;"","")</f>
        <v/>
      </c>
      <c r="D443" s="32">
        <f>IF(J443="E",INDEX(Transaksi!$D$2:$D$2001,K443)&amp;"","")</f>
        <v/>
      </c>
      <c r="E443" s="33">
        <f>IF(J443="H",SUMIFS(Transaksi!$G$2:$G$2001,Transaksi!$M$2:$M$2001,"="&amp;S443)+SUMIFS(Transaksi!$H$2:$H$2001,Transaksi!$M$2:$M$2001,"="&amp;S443)+SUMIFS(Transaksi!$I$2:$I$2001,Transaksi!$M$2:$M$2001,"="&amp;S443),IF(J443="E",IF(INDEX(Transaksi!$G$2:$G$2001,K443)+INDEX(Transaksi!$H$2:$H$2001,K443)+INDEX(Transaksi!$I$2:$I$2001,K443)=0,"",INDEX(Transaksi!$G$2:$G$2001,K443)+INDEX(Transaksi!$H$2:$H$2001,K443)+INDEX(Transaksi!$I$2:$I$2001,K443)),""))</f>
        <v/>
      </c>
      <c r="F443" s="33">
        <f>IF(J443="H",SUMIFS(Transaksi!$J$2:$J$2001,Transaksi!$M$2:$M$2001,"="&amp;S443),IF(J443="E",IF(INDEX(Transaksi!$J$2:$J$2001,K443)=0,"",INDEX(Transaksi!$J$2:$J$2001,K443)),""))</f>
        <v/>
      </c>
      <c r="G443" s="33">
        <f>IF(J443="H",(SUMIFS(Transaksi!$G$2:$G$2001,Transaksi!$M$2:$M$2001,"&lt;="&amp;S443)+SUMIFS(Transaksi!$H$2:$H$2001,Transaksi!$M$2:$M$2001,"&lt;="&amp;S443)+SUMIFS(Transaksi!$I$2:$I$2001,Transaksi!$M$2:$M$2001,"&lt;="&amp;S443))-(SUMIFS(Transaksi!$J$2:$J$2001,Transaksi!$M$2:$M$2001,"&lt;="&amp;S443)),"")</f>
        <v/>
      </c>
      <c r="I443">
        <f>IF(440&gt;$O$2,"",MATCH(440,$Q$3:$Q$402,1))</f>
        <v/>
      </c>
      <c r="J443">
        <f>IF(I443="","",IF(440=INDEX($Q$3:$Q$402,I443),"H","E"))</f>
        <v/>
      </c>
      <c r="K443">
        <f>IF(J443&lt;&gt;"E","",MATCH(S443,Transaksi!$M$2:$M$2001,0)+440-INDEX($Q$3:$Q$402,I443)-1)</f>
        <v/>
      </c>
      <c r="S443">
        <f>IF(I443="","",INDEX($O$3:$O$402,I443))</f>
        <v/>
      </c>
      <c r="T443">
        <f>IF(J443&lt;&gt;"H","",INDEX(Transaksi!$A$2:$A$2001,MATCH(S443,Transaksi!$M$2:$M$2001,0)))</f>
        <v/>
      </c>
    </row>
    <row r="444">
      <c r="A444" s="31">
        <f>IF(J444="E",IF(INDEX(Transaksi!$J$2:$J$2001,K444)&gt;0,"↑","↓"),"")</f>
        <v/>
      </c>
      <c r="B444" s="32">
        <f>IF(J444="H",CHOOSE(WEEKDAY(T444,2),"Isnin","Selasa","Rabu","Khamis","Jumaat","Sabtu","Ahad")&amp;", "&amp;DAY(T444)&amp;" "&amp;CHOOSE(MONTH(T444),"Jan","Feb","Mac","Apr","Mei","Jun","Jul","Ogo","Sep","Okt","Nov","Dis")&amp;" "&amp;YEAR(T444),IF(J444="E",IF(INDEX(Transaksi!$B$2:$B$2001,K444)="",INDEX(Transaksi!$C$2:$C$2001,K444)&amp;" · "&amp;INDEX(Transaksi!$D$2:$D$2001,K444),INDEX(Transaksi!$B$2:$B$2001,K444)),""))</f>
        <v/>
      </c>
      <c r="C444" s="32">
        <f>IF(J444="E",INDEX(Transaksi!$C$2:$C$2001,K444)&amp;"","")</f>
        <v/>
      </c>
      <c r="D444" s="32">
        <f>IF(J444="E",INDEX(Transaksi!$D$2:$D$2001,K444)&amp;"","")</f>
        <v/>
      </c>
      <c r="E444" s="33">
        <f>IF(J444="H",SUMIFS(Transaksi!$G$2:$G$2001,Transaksi!$M$2:$M$2001,"="&amp;S444)+SUMIFS(Transaksi!$H$2:$H$2001,Transaksi!$M$2:$M$2001,"="&amp;S444)+SUMIFS(Transaksi!$I$2:$I$2001,Transaksi!$M$2:$M$2001,"="&amp;S444),IF(J444="E",IF(INDEX(Transaksi!$G$2:$G$2001,K444)+INDEX(Transaksi!$H$2:$H$2001,K444)+INDEX(Transaksi!$I$2:$I$2001,K444)=0,"",INDEX(Transaksi!$G$2:$G$2001,K444)+INDEX(Transaksi!$H$2:$H$2001,K444)+INDEX(Transaksi!$I$2:$I$2001,K444)),""))</f>
        <v/>
      </c>
      <c r="F444" s="33">
        <f>IF(J444="H",SUMIFS(Transaksi!$J$2:$J$2001,Transaksi!$M$2:$M$2001,"="&amp;S444),IF(J444="E",IF(INDEX(Transaksi!$J$2:$J$2001,K444)=0,"",INDEX(Transaksi!$J$2:$J$2001,K444)),""))</f>
        <v/>
      </c>
      <c r="G444" s="33">
        <f>IF(J444="H",(SUMIFS(Transaksi!$G$2:$G$2001,Transaksi!$M$2:$M$2001,"&lt;="&amp;S444)+SUMIFS(Transaksi!$H$2:$H$2001,Transaksi!$M$2:$M$2001,"&lt;="&amp;S444)+SUMIFS(Transaksi!$I$2:$I$2001,Transaksi!$M$2:$M$2001,"&lt;="&amp;S444))-(SUMIFS(Transaksi!$J$2:$J$2001,Transaksi!$M$2:$M$2001,"&lt;="&amp;S444)),"")</f>
        <v/>
      </c>
      <c r="I444">
        <f>IF(441&gt;$O$2,"",MATCH(441,$Q$3:$Q$402,1))</f>
        <v/>
      </c>
      <c r="J444">
        <f>IF(I444="","",IF(441=INDEX($Q$3:$Q$402,I444),"H","E"))</f>
        <v/>
      </c>
      <c r="K444">
        <f>IF(J444&lt;&gt;"E","",MATCH(S444,Transaksi!$M$2:$M$2001,0)+441-INDEX($Q$3:$Q$402,I444)-1)</f>
        <v/>
      </c>
      <c r="S444">
        <f>IF(I444="","",INDEX($O$3:$O$402,I444))</f>
        <v/>
      </c>
      <c r="T444">
        <f>IF(J444&lt;&gt;"H","",INDEX(Transaksi!$A$2:$A$2001,MATCH(S444,Transaksi!$M$2:$M$2001,0)))</f>
        <v/>
      </c>
    </row>
    <row r="445">
      <c r="A445" s="31">
        <f>IF(J445="E",IF(INDEX(Transaksi!$J$2:$J$2001,K445)&gt;0,"↑","↓"),"")</f>
        <v/>
      </c>
      <c r="B445" s="32">
        <f>IF(J445="H",CHOOSE(WEEKDAY(T445,2),"Isnin","Selasa","Rabu","Khamis","Jumaat","Sabtu","Ahad")&amp;", "&amp;DAY(T445)&amp;" "&amp;CHOOSE(MONTH(T445),"Jan","Feb","Mac","Apr","Mei","Jun","Jul","Ogo","Sep","Okt","Nov","Dis")&amp;" "&amp;YEAR(T445),IF(J445="E",IF(INDEX(Transaksi!$B$2:$B$2001,K445)="",INDEX(Transaksi!$C$2:$C$2001,K445)&amp;" · "&amp;INDEX(Transaksi!$D$2:$D$2001,K445),INDEX(Transaksi!$B$2:$B$2001,K445)),""))</f>
        <v/>
      </c>
      <c r="C445" s="32">
        <f>IF(J445="E",INDEX(Transaksi!$C$2:$C$2001,K445)&amp;"","")</f>
        <v/>
      </c>
      <c r="D445" s="32">
        <f>IF(J445="E",INDEX(Transaksi!$D$2:$D$2001,K445)&amp;"","")</f>
        <v/>
      </c>
      <c r="E445" s="33">
        <f>IF(J445="H",SUMIFS(Transaksi!$G$2:$G$2001,Transaksi!$M$2:$M$2001,"="&amp;S445)+SUMIFS(Transaksi!$H$2:$H$2001,Transaksi!$M$2:$M$2001,"="&amp;S445)+SUMIFS(Transaksi!$I$2:$I$2001,Transaksi!$M$2:$M$2001,"="&amp;S445),IF(J445="E",IF(INDEX(Transaksi!$G$2:$G$2001,K445)+INDEX(Transaksi!$H$2:$H$2001,K445)+INDEX(Transaksi!$I$2:$I$2001,K445)=0,"",INDEX(Transaksi!$G$2:$G$2001,K445)+INDEX(Transaksi!$H$2:$H$2001,K445)+INDEX(Transaksi!$I$2:$I$2001,K445)),""))</f>
        <v/>
      </c>
      <c r="F445" s="33">
        <f>IF(J445="H",SUMIFS(Transaksi!$J$2:$J$2001,Transaksi!$M$2:$M$2001,"="&amp;S445),IF(J445="E",IF(INDEX(Transaksi!$J$2:$J$2001,K445)=0,"",INDEX(Transaksi!$J$2:$J$2001,K445)),""))</f>
        <v/>
      </c>
      <c r="G445" s="33">
        <f>IF(J445="H",(SUMIFS(Transaksi!$G$2:$G$2001,Transaksi!$M$2:$M$2001,"&lt;="&amp;S445)+SUMIFS(Transaksi!$H$2:$H$2001,Transaksi!$M$2:$M$2001,"&lt;="&amp;S445)+SUMIFS(Transaksi!$I$2:$I$2001,Transaksi!$M$2:$M$2001,"&lt;="&amp;S445))-(SUMIFS(Transaksi!$J$2:$J$2001,Transaksi!$M$2:$M$2001,"&lt;="&amp;S445)),"")</f>
        <v/>
      </c>
      <c r="I445">
        <f>IF(442&gt;$O$2,"",MATCH(442,$Q$3:$Q$402,1))</f>
        <v/>
      </c>
      <c r="J445">
        <f>IF(I445="","",IF(442=INDEX($Q$3:$Q$402,I445),"H","E"))</f>
        <v/>
      </c>
      <c r="K445">
        <f>IF(J445&lt;&gt;"E","",MATCH(S445,Transaksi!$M$2:$M$2001,0)+442-INDEX($Q$3:$Q$402,I445)-1)</f>
        <v/>
      </c>
      <c r="S445">
        <f>IF(I445="","",INDEX($O$3:$O$402,I445))</f>
        <v/>
      </c>
      <c r="T445">
        <f>IF(J445&lt;&gt;"H","",INDEX(Transaksi!$A$2:$A$2001,MATCH(S445,Transaksi!$M$2:$M$2001,0)))</f>
        <v/>
      </c>
    </row>
    <row r="446">
      <c r="A446" s="31">
        <f>IF(J446="E",IF(INDEX(Transaksi!$J$2:$J$2001,K446)&gt;0,"↑","↓"),"")</f>
        <v/>
      </c>
      <c r="B446" s="32">
        <f>IF(J446="H",CHOOSE(WEEKDAY(T446,2),"Isnin","Selasa","Rabu","Khamis","Jumaat","Sabtu","Ahad")&amp;", "&amp;DAY(T446)&amp;" "&amp;CHOOSE(MONTH(T446),"Jan","Feb","Mac","Apr","Mei","Jun","Jul","Ogo","Sep","Okt","Nov","Dis")&amp;" "&amp;YEAR(T446),IF(J446="E",IF(INDEX(Transaksi!$B$2:$B$2001,K446)="",INDEX(Transaksi!$C$2:$C$2001,K446)&amp;" · "&amp;INDEX(Transaksi!$D$2:$D$2001,K446),INDEX(Transaksi!$B$2:$B$2001,K446)),""))</f>
        <v/>
      </c>
      <c r="C446" s="32">
        <f>IF(J446="E",INDEX(Transaksi!$C$2:$C$2001,K446)&amp;"","")</f>
        <v/>
      </c>
      <c r="D446" s="32">
        <f>IF(J446="E",INDEX(Transaksi!$D$2:$D$2001,K446)&amp;"","")</f>
        <v/>
      </c>
      <c r="E446" s="33">
        <f>IF(J446="H",SUMIFS(Transaksi!$G$2:$G$2001,Transaksi!$M$2:$M$2001,"="&amp;S446)+SUMIFS(Transaksi!$H$2:$H$2001,Transaksi!$M$2:$M$2001,"="&amp;S446)+SUMIFS(Transaksi!$I$2:$I$2001,Transaksi!$M$2:$M$2001,"="&amp;S446),IF(J446="E",IF(INDEX(Transaksi!$G$2:$G$2001,K446)+INDEX(Transaksi!$H$2:$H$2001,K446)+INDEX(Transaksi!$I$2:$I$2001,K446)=0,"",INDEX(Transaksi!$G$2:$G$2001,K446)+INDEX(Transaksi!$H$2:$H$2001,K446)+INDEX(Transaksi!$I$2:$I$2001,K446)),""))</f>
        <v/>
      </c>
      <c r="F446" s="33">
        <f>IF(J446="H",SUMIFS(Transaksi!$J$2:$J$2001,Transaksi!$M$2:$M$2001,"="&amp;S446),IF(J446="E",IF(INDEX(Transaksi!$J$2:$J$2001,K446)=0,"",INDEX(Transaksi!$J$2:$J$2001,K446)),""))</f>
        <v/>
      </c>
      <c r="G446" s="33">
        <f>IF(J446="H",(SUMIFS(Transaksi!$G$2:$G$2001,Transaksi!$M$2:$M$2001,"&lt;="&amp;S446)+SUMIFS(Transaksi!$H$2:$H$2001,Transaksi!$M$2:$M$2001,"&lt;="&amp;S446)+SUMIFS(Transaksi!$I$2:$I$2001,Transaksi!$M$2:$M$2001,"&lt;="&amp;S446))-(SUMIFS(Transaksi!$J$2:$J$2001,Transaksi!$M$2:$M$2001,"&lt;="&amp;S446)),"")</f>
        <v/>
      </c>
      <c r="I446">
        <f>IF(443&gt;$O$2,"",MATCH(443,$Q$3:$Q$402,1))</f>
        <v/>
      </c>
      <c r="J446">
        <f>IF(I446="","",IF(443=INDEX($Q$3:$Q$402,I446),"H","E"))</f>
        <v/>
      </c>
      <c r="K446">
        <f>IF(J446&lt;&gt;"E","",MATCH(S446,Transaksi!$M$2:$M$2001,0)+443-INDEX($Q$3:$Q$402,I446)-1)</f>
        <v/>
      </c>
      <c r="S446">
        <f>IF(I446="","",INDEX($O$3:$O$402,I446))</f>
        <v/>
      </c>
      <c r="T446">
        <f>IF(J446&lt;&gt;"H","",INDEX(Transaksi!$A$2:$A$2001,MATCH(S446,Transaksi!$M$2:$M$2001,0)))</f>
        <v/>
      </c>
    </row>
    <row r="447">
      <c r="A447" s="31">
        <f>IF(J447="E",IF(INDEX(Transaksi!$J$2:$J$2001,K447)&gt;0,"↑","↓"),"")</f>
        <v/>
      </c>
      <c r="B447" s="32">
        <f>IF(J447="H",CHOOSE(WEEKDAY(T447,2),"Isnin","Selasa","Rabu","Khamis","Jumaat","Sabtu","Ahad")&amp;", "&amp;DAY(T447)&amp;" "&amp;CHOOSE(MONTH(T447),"Jan","Feb","Mac","Apr","Mei","Jun","Jul","Ogo","Sep","Okt","Nov","Dis")&amp;" "&amp;YEAR(T447),IF(J447="E",IF(INDEX(Transaksi!$B$2:$B$2001,K447)="",INDEX(Transaksi!$C$2:$C$2001,K447)&amp;" · "&amp;INDEX(Transaksi!$D$2:$D$2001,K447),INDEX(Transaksi!$B$2:$B$2001,K447)),""))</f>
        <v/>
      </c>
      <c r="C447" s="32">
        <f>IF(J447="E",INDEX(Transaksi!$C$2:$C$2001,K447)&amp;"","")</f>
        <v/>
      </c>
      <c r="D447" s="32">
        <f>IF(J447="E",INDEX(Transaksi!$D$2:$D$2001,K447)&amp;"","")</f>
        <v/>
      </c>
      <c r="E447" s="33">
        <f>IF(J447="H",SUMIFS(Transaksi!$G$2:$G$2001,Transaksi!$M$2:$M$2001,"="&amp;S447)+SUMIFS(Transaksi!$H$2:$H$2001,Transaksi!$M$2:$M$2001,"="&amp;S447)+SUMIFS(Transaksi!$I$2:$I$2001,Transaksi!$M$2:$M$2001,"="&amp;S447),IF(J447="E",IF(INDEX(Transaksi!$G$2:$G$2001,K447)+INDEX(Transaksi!$H$2:$H$2001,K447)+INDEX(Transaksi!$I$2:$I$2001,K447)=0,"",INDEX(Transaksi!$G$2:$G$2001,K447)+INDEX(Transaksi!$H$2:$H$2001,K447)+INDEX(Transaksi!$I$2:$I$2001,K447)),""))</f>
        <v/>
      </c>
      <c r="F447" s="33">
        <f>IF(J447="H",SUMIFS(Transaksi!$J$2:$J$2001,Transaksi!$M$2:$M$2001,"="&amp;S447),IF(J447="E",IF(INDEX(Transaksi!$J$2:$J$2001,K447)=0,"",INDEX(Transaksi!$J$2:$J$2001,K447)),""))</f>
        <v/>
      </c>
      <c r="G447" s="33">
        <f>IF(J447="H",(SUMIFS(Transaksi!$G$2:$G$2001,Transaksi!$M$2:$M$2001,"&lt;="&amp;S447)+SUMIFS(Transaksi!$H$2:$H$2001,Transaksi!$M$2:$M$2001,"&lt;="&amp;S447)+SUMIFS(Transaksi!$I$2:$I$2001,Transaksi!$M$2:$M$2001,"&lt;="&amp;S447))-(SUMIFS(Transaksi!$J$2:$J$2001,Transaksi!$M$2:$M$2001,"&lt;="&amp;S447)),"")</f>
        <v/>
      </c>
      <c r="I447">
        <f>IF(444&gt;$O$2,"",MATCH(444,$Q$3:$Q$402,1))</f>
        <v/>
      </c>
      <c r="J447">
        <f>IF(I447="","",IF(444=INDEX($Q$3:$Q$402,I447),"H","E"))</f>
        <v/>
      </c>
      <c r="K447">
        <f>IF(J447&lt;&gt;"E","",MATCH(S447,Transaksi!$M$2:$M$2001,0)+444-INDEX($Q$3:$Q$402,I447)-1)</f>
        <v/>
      </c>
      <c r="S447">
        <f>IF(I447="","",INDEX($O$3:$O$402,I447))</f>
        <v/>
      </c>
      <c r="T447">
        <f>IF(J447&lt;&gt;"H","",INDEX(Transaksi!$A$2:$A$2001,MATCH(S447,Transaksi!$M$2:$M$2001,0)))</f>
        <v/>
      </c>
    </row>
    <row r="448">
      <c r="A448" s="31">
        <f>IF(J448="E",IF(INDEX(Transaksi!$J$2:$J$2001,K448)&gt;0,"↑","↓"),"")</f>
        <v/>
      </c>
      <c r="B448" s="32">
        <f>IF(J448="H",CHOOSE(WEEKDAY(T448,2),"Isnin","Selasa","Rabu","Khamis","Jumaat","Sabtu","Ahad")&amp;", "&amp;DAY(T448)&amp;" "&amp;CHOOSE(MONTH(T448),"Jan","Feb","Mac","Apr","Mei","Jun","Jul","Ogo","Sep","Okt","Nov","Dis")&amp;" "&amp;YEAR(T448),IF(J448="E",IF(INDEX(Transaksi!$B$2:$B$2001,K448)="",INDEX(Transaksi!$C$2:$C$2001,K448)&amp;" · "&amp;INDEX(Transaksi!$D$2:$D$2001,K448),INDEX(Transaksi!$B$2:$B$2001,K448)),""))</f>
        <v/>
      </c>
      <c r="C448" s="32">
        <f>IF(J448="E",INDEX(Transaksi!$C$2:$C$2001,K448)&amp;"","")</f>
        <v/>
      </c>
      <c r="D448" s="32">
        <f>IF(J448="E",INDEX(Transaksi!$D$2:$D$2001,K448)&amp;"","")</f>
        <v/>
      </c>
      <c r="E448" s="33">
        <f>IF(J448="H",SUMIFS(Transaksi!$G$2:$G$2001,Transaksi!$M$2:$M$2001,"="&amp;S448)+SUMIFS(Transaksi!$H$2:$H$2001,Transaksi!$M$2:$M$2001,"="&amp;S448)+SUMIFS(Transaksi!$I$2:$I$2001,Transaksi!$M$2:$M$2001,"="&amp;S448),IF(J448="E",IF(INDEX(Transaksi!$G$2:$G$2001,K448)+INDEX(Transaksi!$H$2:$H$2001,K448)+INDEX(Transaksi!$I$2:$I$2001,K448)=0,"",INDEX(Transaksi!$G$2:$G$2001,K448)+INDEX(Transaksi!$H$2:$H$2001,K448)+INDEX(Transaksi!$I$2:$I$2001,K448)),""))</f>
        <v/>
      </c>
      <c r="F448" s="33">
        <f>IF(J448="H",SUMIFS(Transaksi!$J$2:$J$2001,Transaksi!$M$2:$M$2001,"="&amp;S448),IF(J448="E",IF(INDEX(Transaksi!$J$2:$J$2001,K448)=0,"",INDEX(Transaksi!$J$2:$J$2001,K448)),""))</f>
        <v/>
      </c>
      <c r="G448" s="33">
        <f>IF(J448="H",(SUMIFS(Transaksi!$G$2:$G$2001,Transaksi!$M$2:$M$2001,"&lt;="&amp;S448)+SUMIFS(Transaksi!$H$2:$H$2001,Transaksi!$M$2:$M$2001,"&lt;="&amp;S448)+SUMIFS(Transaksi!$I$2:$I$2001,Transaksi!$M$2:$M$2001,"&lt;="&amp;S448))-(SUMIFS(Transaksi!$J$2:$J$2001,Transaksi!$M$2:$M$2001,"&lt;="&amp;S448)),"")</f>
        <v/>
      </c>
      <c r="I448">
        <f>IF(445&gt;$O$2,"",MATCH(445,$Q$3:$Q$402,1))</f>
        <v/>
      </c>
      <c r="J448">
        <f>IF(I448="","",IF(445=INDEX($Q$3:$Q$402,I448),"H","E"))</f>
        <v/>
      </c>
      <c r="K448">
        <f>IF(J448&lt;&gt;"E","",MATCH(S448,Transaksi!$M$2:$M$2001,0)+445-INDEX($Q$3:$Q$402,I448)-1)</f>
        <v/>
      </c>
      <c r="S448">
        <f>IF(I448="","",INDEX($O$3:$O$402,I448))</f>
        <v/>
      </c>
      <c r="T448">
        <f>IF(J448&lt;&gt;"H","",INDEX(Transaksi!$A$2:$A$2001,MATCH(S448,Transaksi!$M$2:$M$2001,0)))</f>
        <v/>
      </c>
    </row>
    <row r="449">
      <c r="A449" s="31">
        <f>IF(J449="E",IF(INDEX(Transaksi!$J$2:$J$2001,K449)&gt;0,"↑","↓"),"")</f>
        <v/>
      </c>
      <c r="B449" s="32">
        <f>IF(J449="H",CHOOSE(WEEKDAY(T449,2),"Isnin","Selasa","Rabu","Khamis","Jumaat","Sabtu","Ahad")&amp;", "&amp;DAY(T449)&amp;" "&amp;CHOOSE(MONTH(T449),"Jan","Feb","Mac","Apr","Mei","Jun","Jul","Ogo","Sep","Okt","Nov","Dis")&amp;" "&amp;YEAR(T449),IF(J449="E",IF(INDEX(Transaksi!$B$2:$B$2001,K449)="",INDEX(Transaksi!$C$2:$C$2001,K449)&amp;" · "&amp;INDEX(Transaksi!$D$2:$D$2001,K449),INDEX(Transaksi!$B$2:$B$2001,K449)),""))</f>
        <v/>
      </c>
      <c r="C449" s="32">
        <f>IF(J449="E",INDEX(Transaksi!$C$2:$C$2001,K449)&amp;"","")</f>
        <v/>
      </c>
      <c r="D449" s="32">
        <f>IF(J449="E",INDEX(Transaksi!$D$2:$D$2001,K449)&amp;"","")</f>
        <v/>
      </c>
      <c r="E449" s="33">
        <f>IF(J449="H",SUMIFS(Transaksi!$G$2:$G$2001,Transaksi!$M$2:$M$2001,"="&amp;S449)+SUMIFS(Transaksi!$H$2:$H$2001,Transaksi!$M$2:$M$2001,"="&amp;S449)+SUMIFS(Transaksi!$I$2:$I$2001,Transaksi!$M$2:$M$2001,"="&amp;S449),IF(J449="E",IF(INDEX(Transaksi!$G$2:$G$2001,K449)+INDEX(Transaksi!$H$2:$H$2001,K449)+INDEX(Transaksi!$I$2:$I$2001,K449)=0,"",INDEX(Transaksi!$G$2:$G$2001,K449)+INDEX(Transaksi!$H$2:$H$2001,K449)+INDEX(Transaksi!$I$2:$I$2001,K449)),""))</f>
        <v/>
      </c>
      <c r="F449" s="33">
        <f>IF(J449="H",SUMIFS(Transaksi!$J$2:$J$2001,Transaksi!$M$2:$M$2001,"="&amp;S449),IF(J449="E",IF(INDEX(Transaksi!$J$2:$J$2001,K449)=0,"",INDEX(Transaksi!$J$2:$J$2001,K449)),""))</f>
        <v/>
      </c>
      <c r="G449" s="33">
        <f>IF(J449="H",(SUMIFS(Transaksi!$G$2:$G$2001,Transaksi!$M$2:$M$2001,"&lt;="&amp;S449)+SUMIFS(Transaksi!$H$2:$H$2001,Transaksi!$M$2:$M$2001,"&lt;="&amp;S449)+SUMIFS(Transaksi!$I$2:$I$2001,Transaksi!$M$2:$M$2001,"&lt;="&amp;S449))-(SUMIFS(Transaksi!$J$2:$J$2001,Transaksi!$M$2:$M$2001,"&lt;="&amp;S449)),"")</f>
        <v/>
      </c>
      <c r="I449">
        <f>IF(446&gt;$O$2,"",MATCH(446,$Q$3:$Q$402,1))</f>
        <v/>
      </c>
      <c r="J449">
        <f>IF(I449="","",IF(446=INDEX($Q$3:$Q$402,I449),"H","E"))</f>
        <v/>
      </c>
      <c r="K449">
        <f>IF(J449&lt;&gt;"E","",MATCH(S449,Transaksi!$M$2:$M$2001,0)+446-INDEX($Q$3:$Q$402,I449)-1)</f>
        <v/>
      </c>
      <c r="S449">
        <f>IF(I449="","",INDEX($O$3:$O$402,I449))</f>
        <v/>
      </c>
      <c r="T449">
        <f>IF(J449&lt;&gt;"H","",INDEX(Transaksi!$A$2:$A$2001,MATCH(S449,Transaksi!$M$2:$M$2001,0)))</f>
        <v/>
      </c>
    </row>
    <row r="450">
      <c r="A450" s="31">
        <f>IF(J450="E",IF(INDEX(Transaksi!$J$2:$J$2001,K450)&gt;0,"↑","↓"),"")</f>
        <v/>
      </c>
      <c r="B450" s="32">
        <f>IF(J450="H",CHOOSE(WEEKDAY(T450,2),"Isnin","Selasa","Rabu","Khamis","Jumaat","Sabtu","Ahad")&amp;", "&amp;DAY(T450)&amp;" "&amp;CHOOSE(MONTH(T450),"Jan","Feb","Mac","Apr","Mei","Jun","Jul","Ogo","Sep","Okt","Nov","Dis")&amp;" "&amp;YEAR(T450),IF(J450="E",IF(INDEX(Transaksi!$B$2:$B$2001,K450)="",INDEX(Transaksi!$C$2:$C$2001,K450)&amp;" · "&amp;INDEX(Transaksi!$D$2:$D$2001,K450),INDEX(Transaksi!$B$2:$B$2001,K450)),""))</f>
        <v/>
      </c>
      <c r="C450" s="32">
        <f>IF(J450="E",INDEX(Transaksi!$C$2:$C$2001,K450)&amp;"","")</f>
        <v/>
      </c>
      <c r="D450" s="32">
        <f>IF(J450="E",INDEX(Transaksi!$D$2:$D$2001,K450)&amp;"","")</f>
        <v/>
      </c>
      <c r="E450" s="33">
        <f>IF(J450="H",SUMIFS(Transaksi!$G$2:$G$2001,Transaksi!$M$2:$M$2001,"="&amp;S450)+SUMIFS(Transaksi!$H$2:$H$2001,Transaksi!$M$2:$M$2001,"="&amp;S450)+SUMIFS(Transaksi!$I$2:$I$2001,Transaksi!$M$2:$M$2001,"="&amp;S450),IF(J450="E",IF(INDEX(Transaksi!$G$2:$G$2001,K450)+INDEX(Transaksi!$H$2:$H$2001,K450)+INDEX(Transaksi!$I$2:$I$2001,K450)=0,"",INDEX(Transaksi!$G$2:$G$2001,K450)+INDEX(Transaksi!$H$2:$H$2001,K450)+INDEX(Transaksi!$I$2:$I$2001,K450)),""))</f>
        <v/>
      </c>
      <c r="F450" s="33">
        <f>IF(J450="H",SUMIFS(Transaksi!$J$2:$J$2001,Transaksi!$M$2:$M$2001,"="&amp;S450),IF(J450="E",IF(INDEX(Transaksi!$J$2:$J$2001,K450)=0,"",INDEX(Transaksi!$J$2:$J$2001,K450)),""))</f>
        <v/>
      </c>
      <c r="G450" s="33">
        <f>IF(J450="H",(SUMIFS(Transaksi!$G$2:$G$2001,Transaksi!$M$2:$M$2001,"&lt;="&amp;S450)+SUMIFS(Transaksi!$H$2:$H$2001,Transaksi!$M$2:$M$2001,"&lt;="&amp;S450)+SUMIFS(Transaksi!$I$2:$I$2001,Transaksi!$M$2:$M$2001,"&lt;="&amp;S450))-(SUMIFS(Transaksi!$J$2:$J$2001,Transaksi!$M$2:$M$2001,"&lt;="&amp;S450)),"")</f>
        <v/>
      </c>
      <c r="I450">
        <f>IF(447&gt;$O$2,"",MATCH(447,$Q$3:$Q$402,1))</f>
        <v/>
      </c>
      <c r="J450">
        <f>IF(I450="","",IF(447=INDEX($Q$3:$Q$402,I450),"H","E"))</f>
        <v/>
      </c>
      <c r="K450">
        <f>IF(J450&lt;&gt;"E","",MATCH(S450,Transaksi!$M$2:$M$2001,0)+447-INDEX($Q$3:$Q$402,I450)-1)</f>
        <v/>
      </c>
      <c r="S450">
        <f>IF(I450="","",INDEX($O$3:$O$402,I450))</f>
        <v/>
      </c>
      <c r="T450">
        <f>IF(J450&lt;&gt;"H","",INDEX(Transaksi!$A$2:$A$2001,MATCH(S450,Transaksi!$M$2:$M$2001,0)))</f>
        <v/>
      </c>
    </row>
    <row r="451">
      <c r="A451" s="31">
        <f>IF(J451="E",IF(INDEX(Transaksi!$J$2:$J$2001,K451)&gt;0,"↑","↓"),"")</f>
        <v/>
      </c>
      <c r="B451" s="32">
        <f>IF(J451="H",CHOOSE(WEEKDAY(T451,2),"Isnin","Selasa","Rabu","Khamis","Jumaat","Sabtu","Ahad")&amp;", "&amp;DAY(T451)&amp;" "&amp;CHOOSE(MONTH(T451),"Jan","Feb","Mac","Apr","Mei","Jun","Jul","Ogo","Sep","Okt","Nov","Dis")&amp;" "&amp;YEAR(T451),IF(J451="E",IF(INDEX(Transaksi!$B$2:$B$2001,K451)="",INDEX(Transaksi!$C$2:$C$2001,K451)&amp;" · "&amp;INDEX(Transaksi!$D$2:$D$2001,K451),INDEX(Transaksi!$B$2:$B$2001,K451)),""))</f>
        <v/>
      </c>
      <c r="C451" s="32">
        <f>IF(J451="E",INDEX(Transaksi!$C$2:$C$2001,K451)&amp;"","")</f>
        <v/>
      </c>
      <c r="D451" s="32">
        <f>IF(J451="E",INDEX(Transaksi!$D$2:$D$2001,K451)&amp;"","")</f>
        <v/>
      </c>
      <c r="E451" s="33">
        <f>IF(J451="H",SUMIFS(Transaksi!$G$2:$G$2001,Transaksi!$M$2:$M$2001,"="&amp;S451)+SUMIFS(Transaksi!$H$2:$H$2001,Transaksi!$M$2:$M$2001,"="&amp;S451)+SUMIFS(Transaksi!$I$2:$I$2001,Transaksi!$M$2:$M$2001,"="&amp;S451),IF(J451="E",IF(INDEX(Transaksi!$G$2:$G$2001,K451)+INDEX(Transaksi!$H$2:$H$2001,K451)+INDEX(Transaksi!$I$2:$I$2001,K451)=0,"",INDEX(Transaksi!$G$2:$G$2001,K451)+INDEX(Transaksi!$H$2:$H$2001,K451)+INDEX(Transaksi!$I$2:$I$2001,K451)),""))</f>
        <v/>
      </c>
      <c r="F451" s="33">
        <f>IF(J451="H",SUMIFS(Transaksi!$J$2:$J$2001,Transaksi!$M$2:$M$2001,"="&amp;S451),IF(J451="E",IF(INDEX(Transaksi!$J$2:$J$2001,K451)=0,"",INDEX(Transaksi!$J$2:$J$2001,K451)),""))</f>
        <v/>
      </c>
      <c r="G451" s="33">
        <f>IF(J451="H",(SUMIFS(Transaksi!$G$2:$G$2001,Transaksi!$M$2:$M$2001,"&lt;="&amp;S451)+SUMIFS(Transaksi!$H$2:$H$2001,Transaksi!$M$2:$M$2001,"&lt;="&amp;S451)+SUMIFS(Transaksi!$I$2:$I$2001,Transaksi!$M$2:$M$2001,"&lt;="&amp;S451))-(SUMIFS(Transaksi!$J$2:$J$2001,Transaksi!$M$2:$M$2001,"&lt;="&amp;S451)),"")</f>
        <v/>
      </c>
      <c r="I451">
        <f>IF(448&gt;$O$2,"",MATCH(448,$Q$3:$Q$402,1))</f>
        <v/>
      </c>
      <c r="J451">
        <f>IF(I451="","",IF(448=INDEX($Q$3:$Q$402,I451),"H","E"))</f>
        <v/>
      </c>
      <c r="K451">
        <f>IF(J451&lt;&gt;"E","",MATCH(S451,Transaksi!$M$2:$M$2001,0)+448-INDEX($Q$3:$Q$402,I451)-1)</f>
        <v/>
      </c>
      <c r="S451">
        <f>IF(I451="","",INDEX($O$3:$O$402,I451))</f>
        <v/>
      </c>
      <c r="T451">
        <f>IF(J451&lt;&gt;"H","",INDEX(Transaksi!$A$2:$A$2001,MATCH(S451,Transaksi!$M$2:$M$2001,0)))</f>
        <v/>
      </c>
    </row>
    <row r="452">
      <c r="A452" s="31">
        <f>IF(J452="E",IF(INDEX(Transaksi!$J$2:$J$2001,K452)&gt;0,"↑","↓"),"")</f>
        <v/>
      </c>
      <c r="B452" s="32">
        <f>IF(J452="H",CHOOSE(WEEKDAY(T452,2),"Isnin","Selasa","Rabu","Khamis","Jumaat","Sabtu","Ahad")&amp;", "&amp;DAY(T452)&amp;" "&amp;CHOOSE(MONTH(T452),"Jan","Feb","Mac","Apr","Mei","Jun","Jul","Ogo","Sep","Okt","Nov","Dis")&amp;" "&amp;YEAR(T452),IF(J452="E",IF(INDEX(Transaksi!$B$2:$B$2001,K452)="",INDEX(Transaksi!$C$2:$C$2001,K452)&amp;" · "&amp;INDEX(Transaksi!$D$2:$D$2001,K452),INDEX(Transaksi!$B$2:$B$2001,K452)),""))</f>
        <v/>
      </c>
      <c r="C452" s="32">
        <f>IF(J452="E",INDEX(Transaksi!$C$2:$C$2001,K452)&amp;"","")</f>
        <v/>
      </c>
      <c r="D452" s="32">
        <f>IF(J452="E",INDEX(Transaksi!$D$2:$D$2001,K452)&amp;"","")</f>
        <v/>
      </c>
      <c r="E452" s="33">
        <f>IF(J452="H",SUMIFS(Transaksi!$G$2:$G$2001,Transaksi!$M$2:$M$2001,"="&amp;S452)+SUMIFS(Transaksi!$H$2:$H$2001,Transaksi!$M$2:$M$2001,"="&amp;S452)+SUMIFS(Transaksi!$I$2:$I$2001,Transaksi!$M$2:$M$2001,"="&amp;S452),IF(J452="E",IF(INDEX(Transaksi!$G$2:$G$2001,K452)+INDEX(Transaksi!$H$2:$H$2001,K452)+INDEX(Transaksi!$I$2:$I$2001,K452)=0,"",INDEX(Transaksi!$G$2:$G$2001,K452)+INDEX(Transaksi!$H$2:$H$2001,K452)+INDEX(Transaksi!$I$2:$I$2001,K452)),""))</f>
        <v/>
      </c>
      <c r="F452" s="33">
        <f>IF(J452="H",SUMIFS(Transaksi!$J$2:$J$2001,Transaksi!$M$2:$M$2001,"="&amp;S452),IF(J452="E",IF(INDEX(Transaksi!$J$2:$J$2001,K452)=0,"",INDEX(Transaksi!$J$2:$J$2001,K452)),""))</f>
        <v/>
      </c>
      <c r="G452" s="33">
        <f>IF(J452="H",(SUMIFS(Transaksi!$G$2:$G$2001,Transaksi!$M$2:$M$2001,"&lt;="&amp;S452)+SUMIFS(Transaksi!$H$2:$H$2001,Transaksi!$M$2:$M$2001,"&lt;="&amp;S452)+SUMIFS(Transaksi!$I$2:$I$2001,Transaksi!$M$2:$M$2001,"&lt;="&amp;S452))-(SUMIFS(Transaksi!$J$2:$J$2001,Transaksi!$M$2:$M$2001,"&lt;="&amp;S452)),"")</f>
        <v/>
      </c>
      <c r="I452">
        <f>IF(449&gt;$O$2,"",MATCH(449,$Q$3:$Q$402,1))</f>
        <v/>
      </c>
      <c r="J452">
        <f>IF(I452="","",IF(449=INDEX($Q$3:$Q$402,I452),"H","E"))</f>
        <v/>
      </c>
      <c r="K452">
        <f>IF(J452&lt;&gt;"E","",MATCH(S452,Transaksi!$M$2:$M$2001,0)+449-INDEX($Q$3:$Q$402,I452)-1)</f>
        <v/>
      </c>
      <c r="S452">
        <f>IF(I452="","",INDEX($O$3:$O$402,I452))</f>
        <v/>
      </c>
      <c r="T452">
        <f>IF(J452&lt;&gt;"H","",INDEX(Transaksi!$A$2:$A$2001,MATCH(S452,Transaksi!$M$2:$M$2001,0)))</f>
        <v/>
      </c>
    </row>
    <row r="453">
      <c r="A453" s="31">
        <f>IF(J453="E",IF(INDEX(Transaksi!$J$2:$J$2001,K453)&gt;0,"↑","↓"),"")</f>
        <v/>
      </c>
      <c r="B453" s="32">
        <f>IF(J453="H",CHOOSE(WEEKDAY(T453,2),"Isnin","Selasa","Rabu","Khamis","Jumaat","Sabtu","Ahad")&amp;", "&amp;DAY(T453)&amp;" "&amp;CHOOSE(MONTH(T453),"Jan","Feb","Mac","Apr","Mei","Jun","Jul","Ogo","Sep","Okt","Nov","Dis")&amp;" "&amp;YEAR(T453),IF(J453="E",IF(INDEX(Transaksi!$B$2:$B$2001,K453)="",INDEX(Transaksi!$C$2:$C$2001,K453)&amp;" · "&amp;INDEX(Transaksi!$D$2:$D$2001,K453),INDEX(Transaksi!$B$2:$B$2001,K453)),""))</f>
        <v/>
      </c>
      <c r="C453" s="32">
        <f>IF(J453="E",INDEX(Transaksi!$C$2:$C$2001,K453)&amp;"","")</f>
        <v/>
      </c>
      <c r="D453" s="32">
        <f>IF(J453="E",INDEX(Transaksi!$D$2:$D$2001,K453)&amp;"","")</f>
        <v/>
      </c>
      <c r="E453" s="33">
        <f>IF(J453="H",SUMIFS(Transaksi!$G$2:$G$2001,Transaksi!$M$2:$M$2001,"="&amp;S453)+SUMIFS(Transaksi!$H$2:$H$2001,Transaksi!$M$2:$M$2001,"="&amp;S453)+SUMIFS(Transaksi!$I$2:$I$2001,Transaksi!$M$2:$M$2001,"="&amp;S453),IF(J453="E",IF(INDEX(Transaksi!$G$2:$G$2001,K453)+INDEX(Transaksi!$H$2:$H$2001,K453)+INDEX(Transaksi!$I$2:$I$2001,K453)=0,"",INDEX(Transaksi!$G$2:$G$2001,K453)+INDEX(Transaksi!$H$2:$H$2001,K453)+INDEX(Transaksi!$I$2:$I$2001,K453)),""))</f>
        <v/>
      </c>
      <c r="F453" s="33">
        <f>IF(J453="H",SUMIFS(Transaksi!$J$2:$J$2001,Transaksi!$M$2:$M$2001,"="&amp;S453),IF(J453="E",IF(INDEX(Transaksi!$J$2:$J$2001,K453)=0,"",INDEX(Transaksi!$J$2:$J$2001,K453)),""))</f>
        <v/>
      </c>
      <c r="G453" s="33">
        <f>IF(J453="H",(SUMIFS(Transaksi!$G$2:$G$2001,Transaksi!$M$2:$M$2001,"&lt;="&amp;S453)+SUMIFS(Transaksi!$H$2:$H$2001,Transaksi!$M$2:$M$2001,"&lt;="&amp;S453)+SUMIFS(Transaksi!$I$2:$I$2001,Transaksi!$M$2:$M$2001,"&lt;="&amp;S453))-(SUMIFS(Transaksi!$J$2:$J$2001,Transaksi!$M$2:$M$2001,"&lt;="&amp;S453)),"")</f>
        <v/>
      </c>
      <c r="I453">
        <f>IF(450&gt;$O$2,"",MATCH(450,$Q$3:$Q$402,1))</f>
        <v/>
      </c>
      <c r="J453">
        <f>IF(I453="","",IF(450=INDEX($Q$3:$Q$402,I453),"H","E"))</f>
        <v/>
      </c>
      <c r="K453">
        <f>IF(J453&lt;&gt;"E","",MATCH(S453,Transaksi!$M$2:$M$2001,0)+450-INDEX($Q$3:$Q$402,I453)-1)</f>
        <v/>
      </c>
      <c r="S453">
        <f>IF(I453="","",INDEX($O$3:$O$402,I453))</f>
        <v/>
      </c>
      <c r="T453">
        <f>IF(J453&lt;&gt;"H","",INDEX(Transaksi!$A$2:$A$2001,MATCH(S453,Transaksi!$M$2:$M$2001,0)))</f>
        <v/>
      </c>
    </row>
    <row r="454">
      <c r="A454" s="31">
        <f>IF(J454="E",IF(INDEX(Transaksi!$J$2:$J$2001,K454)&gt;0,"↑","↓"),"")</f>
        <v/>
      </c>
      <c r="B454" s="32">
        <f>IF(J454="H",CHOOSE(WEEKDAY(T454,2),"Isnin","Selasa","Rabu","Khamis","Jumaat","Sabtu","Ahad")&amp;", "&amp;DAY(T454)&amp;" "&amp;CHOOSE(MONTH(T454),"Jan","Feb","Mac","Apr","Mei","Jun","Jul","Ogo","Sep","Okt","Nov","Dis")&amp;" "&amp;YEAR(T454),IF(J454="E",IF(INDEX(Transaksi!$B$2:$B$2001,K454)="",INDEX(Transaksi!$C$2:$C$2001,K454)&amp;" · "&amp;INDEX(Transaksi!$D$2:$D$2001,K454),INDEX(Transaksi!$B$2:$B$2001,K454)),""))</f>
        <v/>
      </c>
      <c r="C454" s="32">
        <f>IF(J454="E",INDEX(Transaksi!$C$2:$C$2001,K454)&amp;"","")</f>
        <v/>
      </c>
      <c r="D454" s="32">
        <f>IF(J454="E",INDEX(Transaksi!$D$2:$D$2001,K454)&amp;"","")</f>
        <v/>
      </c>
      <c r="E454" s="33">
        <f>IF(J454="H",SUMIFS(Transaksi!$G$2:$G$2001,Transaksi!$M$2:$M$2001,"="&amp;S454)+SUMIFS(Transaksi!$H$2:$H$2001,Transaksi!$M$2:$M$2001,"="&amp;S454)+SUMIFS(Transaksi!$I$2:$I$2001,Transaksi!$M$2:$M$2001,"="&amp;S454),IF(J454="E",IF(INDEX(Transaksi!$G$2:$G$2001,K454)+INDEX(Transaksi!$H$2:$H$2001,K454)+INDEX(Transaksi!$I$2:$I$2001,K454)=0,"",INDEX(Transaksi!$G$2:$G$2001,K454)+INDEX(Transaksi!$H$2:$H$2001,K454)+INDEX(Transaksi!$I$2:$I$2001,K454)),""))</f>
        <v/>
      </c>
      <c r="F454" s="33">
        <f>IF(J454="H",SUMIFS(Transaksi!$J$2:$J$2001,Transaksi!$M$2:$M$2001,"="&amp;S454),IF(J454="E",IF(INDEX(Transaksi!$J$2:$J$2001,K454)=0,"",INDEX(Transaksi!$J$2:$J$2001,K454)),""))</f>
        <v/>
      </c>
      <c r="G454" s="33">
        <f>IF(J454="H",(SUMIFS(Transaksi!$G$2:$G$2001,Transaksi!$M$2:$M$2001,"&lt;="&amp;S454)+SUMIFS(Transaksi!$H$2:$H$2001,Transaksi!$M$2:$M$2001,"&lt;="&amp;S454)+SUMIFS(Transaksi!$I$2:$I$2001,Transaksi!$M$2:$M$2001,"&lt;="&amp;S454))-(SUMIFS(Transaksi!$J$2:$J$2001,Transaksi!$M$2:$M$2001,"&lt;="&amp;S454)),"")</f>
        <v/>
      </c>
      <c r="I454">
        <f>IF(451&gt;$O$2,"",MATCH(451,$Q$3:$Q$402,1))</f>
        <v/>
      </c>
      <c r="J454">
        <f>IF(I454="","",IF(451=INDEX($Q$3:$Q$402,I454),"H","E"))</f>
        <v/>
      </c>
      <c r="K454">
        <f>IF(J454&lt;&gt;"E","",MATCH(S454,Transaksi!$M$2:$M$2001,0)+451-INDEX($Q$3:$Q$402,I454)-1)</f>
        <v/>
      </c>
      <c r="S454">
        <f>IF(I454="","",INDEX($O$3:$O$402,I454))</f>
        <v/>
      </c>
      <c r="T454">
        <f>IF(J454&lt;&gt;"H","",INDEX(Transaksi!$A$2:$A$2001,MATCH(S454,Transaksi!$M$2:$M$2001,0)))</f>
        <v/>
      </c>
    </row>
    <row r="455">
      <c r="A455" s="31">
        <f>IF(J455="E",IF(INDEX(Transaksi!$J$2:$J$2001,K455)&gt;0,"↑","↓"),"")</f>
        <v/>
      </c>
      <c r="B455" s="32">
        <f>IF(J455="H",CHOOSE(WEEKDAY(T455,2),"Isnin","Selasa","Rabu","Khamis","Jumaat","Sabtu","Ahad")&amp;", "&amp;DAY(T455)&amp;" "&amp;CHOOSE(MONTH(T455),"Jan","Feb","Mac","Apr","Mei","Jun","Jul","Ogo","Sep","Okt","Nov","Dis")&amp;" "&amp;YEAR(T455),IF(J455="E",IF(INDEX(Transaksi!$B$2:$B$2001,K455)="",INDEX(Transaksi!$C$2:$C$2001,K455)&amp;" · "&amp;INDEX(Transaksi!$D$2:$D$2001,K455),INDEX(Transaksi!$B$2:$B$2001,K455)),""))</f>
        <v/>
      </c>
      <c r="C455" s="32">
        <f>IF(J455="E",INDEX(Transaksi!$C$2:$C$2001,K455)&amp;"","")</f>
        <v/>
      </c>
      <c r="D455" s="32">
        <f>IF(J455="E",INDEX(Transaksi!$D$2:$D$2001,K455)&amp;"","")</f>
        <v/>
      </c>
      <c r="E455" s="33">
        <f>IF(J455="H",SUMIFS(Transaksi!$G$2:$G$2001,Transaksi!$M$2:$M$2001,"="&amp;S455)+SUMIFS(Transaksi!$H$2:$H$2001,Transaksi!$M$2:$M$2001,"="&amp;S455)+SUMIFS(Transaksi!$I$2:$I$2001,Transaksi!$M$2:$M$2001,"="&amp;S455),IF(J455="E",IF(INDEX(Transaksi!$G$2:$G$2001,K455)+INDEX(Transaksi!$H$2:$H$2001,K455)+INDEX(Transaksi!$I$2:$I$2001,K455)=0,"",INDEX(Transaksi!$G$2:$G$2001,K455)+INDEX(Transaksi!$H$2:$H$2001,K455)+INDEX(Transaksi!$I$2:$I$2001,K455)),""))</f>
        <v/>
      </c>
      <c r="F455" s="33">
        <f>IF(J455="H",SUMIFS(Transaksi!$J$2:$J$2001,Transaksi!$M$2:$M$2001,"="&amp;S455),IF(J455="E",IF(INDEX(Transaksi!$J$2:$J$2001,K455)=0,"",INDEX(Transaksi!$J$2:$J$2001,K455)),""))</f>
        <v/>
      </c>
      <c r="G455" s="33">
        <f>IF(J455="H",(SUMIFS(Transaksi!$G$2:$G$2001,Transaksi!$M$2:$M$2001,"&lt;="&amp;S455)+SUMIFS(Transaksi!$H$2:$H$2001,Transaksi!$M$2:$M$2001,"&lt;="&amp;S455)+SUMIFS(Transaksi!$I$2:$I$2001,Transaksi!$M$2:$M$2001,"&lt;="&amp;S455))-(SUMIFS(Transaksi!$J$2:$J$2001,Transaksi!$M$2:$M$2001,"&lt;="&amp;S455)),"")</f>
        <v/>
      </c>
      <c r="I455">
        <f>IF(452&gt;$O$2,"",MATCH(452,$Q$3:$Q$402,1))</f>
        <v/>
      </c>
      <c r="J455">
        <f>IF(I455="","",IF(452=INDEX($Q$3:$Q$402,I455),"H","E"))</f>
        <v/>
      </c>
      <c r="K455">
        <f>IF(J455&lt;&gt;"E","",MATCH(S455,Transaksi!$M$2:$M$2001,0)+452-INDEX($Q$3:$Q$402,I455)-1)</f>
        <v/>
      </c>
      <c r="S455">
        <f>IF(I455="","",INDEX($O$3:$O$402,I455))</f>
        <v/>
      </c>
      <c r="T455">
        <f>IF(J455&lt;&gt;"H","",INDEX(Transaksi!$A$2:$A$2001,MATCH(S455,Transaksi!$M$2:$M$2001,0)))</f>
        <v/>
      </c>
    </row>
    <row r="456">
      <c r="A456" s="31">
        <f>IF(J456="E",IF(INDEX(Transaksi!$J$2:$J$2001,K456)&gt;0,"↑","↓"),"")</f>
        <v/>
      </c>
      <c r="B456" s="32">
        <f>IF(J456="H",CHOOSE(WEEKDAY(T456,2),"Isnin","Selasa","Rabu","Khamis","Jumaat","Sabtu","Ahad")&amp;", "&amp;DAY(T456)&amp;" "&amp;CHOOSE(MONTH(T456),"Jan","Feb","Mac","Apr","Mei","Jun","Jul","Ogo","Sep","Okt","Nov","Dis")&amp;" "&amp;YEAR(T456),IF(J456="E",IF(INDEX(Transaksi!$B$2:$B$2001,K456)="",INDEX(Transaksi!$C$2:$C$2001,K456)&amp;" · "&amp;INDEX(Transaksi!$D$2:$D$2001,K456),INDEX(Transaksi!$B$2:$B$2001,K456)),""))</f>
        <v/>
      </c>
      <c r="C456" s="32">
        <f>IF(J456="E",INDEX(Transaksi!$C$2:$C$2001,K456)&amp;"","")</f>
        <v/>
      </c>
      <c r="D456" s="32">
        <f>IF(J456="E",INDEX(Transaksi!$D$2:$D$2001,K456)&amp;"","")</f>
        <v/>
      </c>
      <c r="E456" s="33">
        <f>IF(J456="H",SUMIFS(Transaksi!$G$2:$G$2001,Transaksi!$M$2:$M$2001,"="&amp;S456)+SUMIFS(Transaksi!$H$2:$H$2001,Transaksi!$M$2:$M$2001,"="&amp;S456)+SUMIFS(Transaksi!$I$2:$I$2001,Transaksi!$M$2:$M$2001,"="&amp;S456),IF(J456="E",IF(INDEX(Transaksi!$G$2:$G$2001,K456)+INDEX(Transaksi!$H$2:$H$2001,K456)+INDEX(Transaksi!$I$2:$I$2001,K456)=0,"",INDEX(Transaksi!$G$2:$G$2001,K456)+INDEX(Transaksi!$H$2:$H$2001,K456)+INDEX(Transaksi!$I$2:$I$2001,K456)),""))</f>
        <v/>
      </c>
      <c r="F456" s="33">
        <f>IF(J456="H",SUMIFS(Transaksi!$J$2:$J$2001,Transaksi!$M$2:$M$2001,"="&amp;S456),IF(J456="E",IF(INDEX(Transaksi!$J$2:$J$2001,K456)=0,"",INDEX(Transaksi!$J$2:$J$2001,K456)),""))</f>
        <v/>
      </c>
      <c r="G456" s="33">
        <f>IF(J456="H",(SUMIFS(Transaksi!$G$2:$G$2001,Transaksi!$M$2:$M$2001,"&lt;="&amp;S456)+SUMIFS(Transaksi!$H$2:$H$2001,Transaksi!$M$2:$M$2001,"&lt;="&amp;S456)+SUMIFS(Transaksi!$I$2:$I$2001,Transaksi!$M$2:$M$2001,"&lt;="&amp;S456))-(SUMIFS(Transaksi!$J$2:$J$2001,Transaksi!$M$2:$M$2001,"&lt;="&amp;S456)),"")</f>
        <v/>
      </c>
      <c r="I456">
        <f>IF(453&gt;$O$2,"",MATCH(453,$Q$3:$Q$402,1))</f>
        <v/>
      </c>
      <c r="J456">
        <f>IF(I456="","",IF(453=INDEX($Q$3:$Q$402,I456),"H","E"))</f>
        <v/>
      </c>
      <c r="K456">
        <f>IF(J456&lt;&gt;"E","",MATCH(S456,Transaksi!$M$2:$M$2001,0)+453-INDEX($Q$3:$Q$402,I456)-1)</f>
        <v/>
      </c>
      <c r="S456">
        <f>IF(I456="","",INDEX($O$3:$O$402,I456))</f>
        <v/>
      </c>
      <c r="T456">
        <f>IF(J456&lt;&gt;"H","",INDEX(Transaksi!$A$2:$A$2001,MATCH(S456,Transaksi!$M$2:$M$2001,0)))</f>
        <v/>
      </c>
    </row>
    <row r="457">
      <c r="A457" s="31">
        <f>IF(J457="E",IF(INDEX(Transaksi!$J$2:$J$2001,K457)&gt;0,"↑","↓"),"")</f>
        <v/>
      </c>
      <c r="B457" s="32">
        <f>IF(J457="H",CHOOSE(WEEKDAY(T457,2),"Isnin","Selasa","Rabu","Khamis","Jumaat","Sabtu","Ahad")&amp;", "&amp;DAY(T457)&amp;" "&amp;CHOOSE(MONTH(T457),"Jan","Feb","Mac","Apr","Mei","Jun","Jul","Ogo","Sep","Okt","Nov","Dis")&amp;" "&amp;YEAR(T457),IF(J457="E",IF(INDEX(Transaksi!$B$2:$B$2001,K457)="",INDEX(Transaksi!$C$2:$C$2001,K457)&amp;" · "&amp;INDEX(Transaksi!$D$2:$D$2001,K457),INDEX(Transaksi!$B$2:$B$2001,K457)),""))</f>
        <v/>
      </c>
      <c r="C457" s="32">
        <f>IF(J457="E",INDEX(Transaksi!$C$2:$C$2001,K457)&amp;"","")</f>
        <v/>
      </c>
      <c r="D457" s="32">
        <f>IF(J457="E",INDEX(Transaksi!$D$2:$D$2001,K457)&amp;"","")</f>
        <v/>
      </c>
      <c r="E457" s="33">
        <f>IF(J457="H",SUMIFS(Transaksi!$G$2:$G$2001,Transaksi!$M$2:$M$2001,"="&amp;S457)+SUMIFS(Transaksi!$H$2:$H$2001,Transaksi!$M$2:$M$2001,"="&amp;S457)+SUMIFS(Transaksi!$I$2:$I$2001,Transaksi!$M$2:$M$2001,"="&amp;S457),IF(J457="E",IF(INDEX(Transaksi!$G$2:$G$2001,K457)+INDEX(Transaksi!$H$2:$H$2001,K457)+INDEX(Transaksi!$I$2:$I$2001,K457)=0,"",INDEX(Transaksi!$G$2:$G$2001,K457)+INDEX(Transaksi!$H$2:$H$2001,K457)+INDEX(Transaksi!$I$2:$I$2001,K457)),""))</f>
        <v/>
      </c>
      <c r="F457" s="33">
        <f>IF(J457="H",SUMIFS(Transaksi!$J$2:$J$2001,Transaksi!$M$2:$M$2001,"="&amp;S457),IF(J457="E",IF(INDEX(Transaksi!$J$2:$J$2001,K457)=0,"",INDEX(Transaksi!$J$2:$J$2001,K457)),""))</f>
        <v/>
      </c>
      <c r="G457" s="33">
        <f>IF(J457="H",(SUMIFS(Transaksi!$G$2:$G$2001,Transaksi!$M$2:$M$2001,"&lt;="&amp;S457)+SUMIFS(Transaksi!$H$2:$H$2001,Transaksi!$M$2:$M$2001,"&lt;="&amp;S457)+SUMIFS(Transaksi!$I$2:$I$2001,Transaksi!$M$2:$M$2001,"&lt;="&amp;S457))-(SUMIFS(Transaksi!$J$2:$J$2001,Transaksi!$M$2:$M$2001,"&lt;="&amp;S457)),"")</f>
        <v/>
      </c>
      <c r="I457">
        <f>IF(454&gt;$O$2,"",MATCH(454,$Q$3:$Q$402,1))</f>
        <v/>
      </c>
      <c r="J457">
        <f>IF(I457="","",IF(454=INDEX($Q$3:$Q$402,I457),"H","E"))</f>
        <v/>
      </c>
      <c r="K457">
        <f>IF(J457&lt;&gt;"E","",MATCH(S457,Transaksi!$M$2:$M$2001,0)+454-INDEX($Q$3:$Q$402,I457)-1)</f>
        <v/>
      </c>
      <c r="S457">
        <f>IF(I457="","",INDEX($O$3:$O$402,I457))</f>
        <v/>
      </c>
      <c r="T457">
        <f>IF(J457&lt;&gt;"H","",INDEX(Transaksi!$A$2:$A$2001,MATCH(S457,Transaksi!$M$2:$M$2001,0)))</f>
        <v/>
      </c>
    </row>
    <row r="458">
      <c r="A458" s="31">
        <f>IF(J458="E",IF(INDEX(Transaksi!$J$2:$J$2001,K458)&gt;0,"↑","↓"),"")</f>
        <v/>
      </c>
      <c r="B458" s="32">
        <f>IF(J458="H",CHOOSE(WEEKDAY(T458,2),"Isnin","Selasa","Rabu","Khamis","Jumaat","Sabtu","Ahad")&amp;", "&amp;DAY(T458)&amp;" "&amp;CHOOSE(MONTH(T458),"Jan","Feb","Mac","Apr","Mei","Jun","Jul","Ogo","Sep","Okt","Nov","Dis")&amp;" "&amp;YEAR(T458),IF(J458="E",IF(INDEX(Transaksi!$B$2:$B$2001,K458)="",INDEX(Transaksi!$C$2:$C$2001,K458)&amp;" · "&amp;INDEX(Transaksi!$D$2:$D$2001,K458),INDEX(Transaksi!$B$2:$B$2001,K458)),""))</f>
        <v/>
      </c>
      <c r="C458" s="32">
        <f>IF(J458="E",INDEX(Transaksi!$C$2:$C$2001,K458)&amp;"","")</f>
        <v/>
      </c>
      <c r="D458" s="32">
        <f>IF(J458="E",INDEX(Transaksi!$D$2:$D$2001,K458)&amp;"","")</f>
        <v/>
      </c>
      <c r="E458" s="33">
        <f>IF(J458="H",SUMIFS(Transaksi!$G$2:$G$2001,Transaksi!$M$2:$M$2001,"="&amp;S458)+SUMIFS(Transaksi!$H$2:$H$2001,Transaksi!$M$2:$M$2001,"="&amp;S458)+SUMIFS(Transaksi!$I$2:$I$2001,Transaksi!$M$2:$M$2001,"="&amp;S458),IF(J458="E",IF(INDEX(Transaksi!$G$2:$G$2001,K458)+INDEX(Transaksi!$H$2:$H$2001,K458)+INDEX(Transaksi!$I$2:$I$2001,K458)=0,"",INDEX(Transaksi!$G$2:$G$2001,K458)+INDEX(Transaksi!$H$2:$H$2001,K458)+INDEX(Transaksi!$I$2:$I$2001,K458)),""))</f>
        <v/>
      </c>
      <c r="F458" s="33">
        <f>IF(J458="H",SUMIFS(Transaksi!$J$2:$J$2001,Transaksi!$M$2:$M$2001,"="&amp;S458),IF(J458="E",IF(INDEX(Transaksi!$J$2:$J$2001,K458)=0,"",INDEX(Transaksi!$J$2:$J$2001,K458)),""))</f>
        <v/>
      </c>
      <c r="G458" s="33">
        <f>IF(J458="H",(SUMIFS(Transaksi!$G$2:$G$2001,Transaksi!$M$2:$M$2001,"&lt;="&amp;S458)+SUMIFS(Transaksi!$H$2:$H$2001,Transaksi!$M$2:$M$2001,"&lt;="&amp;S458)+SUMIFS(Transaksi!$I$2:$I$2001,Transaksi!$M$2:$M$2001,"&lt;="&amp;S458))-(SUMIFS(Transaksi!$J$2:$J$2001,Transaksi!$M$2:$M$2001,"&lt;="&amp;S458)),"")</f>
        <v/>
      </c>
      <c r="I458">
        <f>IF(455&gt;$O$2,"",MATCH(455,$Q$3:$Q$402,1))</f>
        <v/>
      </c>
      <c r="J458">
        <f>IF(I458="","",IF(455=INDEX($Q$3:$Q$402,I458),"H","E"))</f>
        <v/>
      </c>
      <c r="K458">
        <f>IF(J458&lt;&gt;"E","",MATCH(S458,Transaksi!$M$2:$M$2001,0)+455-INDEX($Q$3:$Q$402,I458)-1)</f>
        <v/>
      </c>
      <c r="S458">
        <f>IF(I458="","",INDEX($O$3:$O$402,I458))</f>
        <v/>
      </c>
      <c r="T458">
        <f>IF(J458&lt;&gt;"H","",INDEX(Transaksi!$A$2:$A$2001,MATCH(S458,Transaksi!$M$2:$M$2001,0)))</f>
        <v/>
      </c>
    </row>
    <row r="459">
      <c r="A459" s="31">
        <f>IF(J459="E",IF(INDEX(Transaksi!$J$2:$J$2001,K459)&gt;0,"↑","↓"),"")</f>
        <v/>
      </c>
      <c r="B459" s="32">
        <f>IF(J459="H",CHOOSE(WEEKDAY(T459,2),"Isnin","Selasa","Rabu","Khamis","Jumaat","Sabtu","Ahad")&amp;", "&amp;DAY(T459)&amp;" "&amp;CHOOSE(MONTH(T459),"Jan","Feb","Mac","Apr","Mei","Jun","Jul","Ogo","Sep","Okt","Nov","Dis")&amp;" "&amp;YEAR(T459),IF(J459="E",IF(INDEX(Transaksi!$B$2:$B$2001,K459)="",INDEX(Transaksi!$C$2:$C$2001,K459)&amp;" · "&amp;INDEX(Transaksi!$D$2:$D$2001,K459),INDEX(Transaksi!$B$2:$B$2001,K459)),""))</f>
        <v/>
      </c>
      <c r="C459" s="32">
        <f>IF(J459="E",INDEX(Transaksi!$C$2:$C$2001,K459)&amp;"","")</f>
        <v/>
      </c>
      <c r="D459" s="32">
        <f>IF(J459="E",INDEX(Transaksi!$D$2:$D$2001,K459)&amp;"","")</f>
        <v/>
      </c>
      <c r="E459" s="33">
        <f>IF(J459="H",SUMIFS(Transaksi!$G$2:$G$2001,Transaksi!$M$2:$M$2001,"="&amp;S459)+SUMIFS(Transaksi!$H$2:$H$2001,Transaksi!$M$2:$M$2001,"="&amp;S459)+SUMIFS(Transaksi!$I$2:$I$2001,Transaksi!$M$2:$M$2001,"="&amp;S459),IF(J459="E",IF(INDEX(Transaksi!$G$2:$G$2001,K459)+INDEX(Transaksi!$H$2:$H$2001,K459)+INDEX(Transaksi!$I$2:$I$2001,K459)=0,"",INDEX(Transaksi!$G$2:$G$2001,K459)+INDEX(Transaksi!$H$2:$H$2001,K459)+INDEX(Transaksi!$I$2:$I$2001,K459)),""))</f>
        <v/>
      </c>
      <c r="F459" s="33">
        <f>IF(J459="H",SUMIFS(Transaksi!$J$2:$J$2001,Transaksi!$M$2:$M$2001,"="&amp;S459),IF(J459="E",IF(INDEX(Transaksi!$J$2:$J$2001,K459)=0,"",INDEX(Transaksi!$J$2:$J$2001,K459)),""))</f>
        <v/>
      </c>
      <c r="G459" s="33">
        <f>IF(J459="H",(SUMIFS(Transaksi!$G$2:$G$2001,Transaksi!$M$2:$M$2001,"&lt;="&amp;S459)+SUMIFS(Transaksi!$H$2:$H$2001,Transaksi!$M$2:$M$2001,"&lt;="&amp;S459)+SUMIFS(Transaksi!$I$2:$I$2001,Transaksi!$M$2:$M$2001,"&lt;="&amp;S459))-(SUMIFS(Transaksi!$J$2:$J$2001,Transaksi!$M$2:$M$2001,"&lt;="&amp;S459)),"")</f>
        <v/>
      </c>
      <c r="I459">
        <f>IF(456&gt;$O$2,"",MATCH(456,$Q$3:$Q$402,1))</f>
        <v/>
      </c>
      <c r="J459">
        <f>IF(I459="","",IF(456=INDEX($Q$3:$Q$402,I459),"H","E"))</f>
        <v/>
      </c>
      <c r="K459">
        <f>IF(J459&lt;&gt;"E","",MATCH(S459,Transaksi!$M$2:$M$2001,0)+456-INDEX($Q$3:$Q$402,I459)-1)</f>
        <v/>
      </c>
      <c r="S459">
        <f>IF(I459="","",INDEX($O$3:$O$402,I459))</f>
        <v/>
      </c>
      <c r="T459">
        <f>IF(J459&lt;&gt;"H","",INDEX(Transaksi!$A$2:$A$2001,MATCH(S459,Transaksi!$M$2:$M$2001,0)))</f>
        <v/>
      </c>
    </row>
    <row r="460">
      <c r="A460" s="31">
        <f>IF(J460="E",IF(INDEX(Transaksi!$J$2:$J$2001,K460)&gt;0,"↑","↓"),"")</f>
        <v/>
      </c>
      <c r="B460" s="32">
        <f>IF(J460="H",CHOOSE(WEEKDAY(T460,2),"Isnin","Selasa","Rabu","Khamis","Jumaat","Sabtu","Ahad")&amp;", "&amp;DAY(T460)&amp;" "&amp;CHOOSE(MONTH(T460),"Jan","Feb","Mac","Apr","Mei","Jun","Jul","Ogo","Sep","Okt","Nov","Dis")&amp;" "&amp;YEAR(T460),IF(J460="E",IF(INDEX(Transaksi!$B$2:$B$2001,K460)="",INDEX(Transaksi!$C$2:$C$2001,K460)&amp;" · "&amp;INDEX(Transaksi!$D$2:$D$2001,K460),INDEX(Transaksi!$B$2:$B$2001,K460)),""))</f>
        <v/>
      </c>
      <c r="C460" s="32">
        <f>IF(J460="E",INDEX(Transaksi!$C$2:$C$2001,K460)&amp;"","")</f>
        <v/>
      </c>
      <c r="D460" s="32">
        <f>IF(J460="E",INDEX(Transaksi!$D$2:$D$2001,K460)&amp;"","")</f>
        <v/>
      </c>
      <c r="E460" s="33">
        <f>IF(J460="H",SUMIFS(Transaksi!$G$2:$G$2001,Transaksi!$M$2:$M$2001,"="&amp;S460)+SUMIFS(Transaksi!$H$2:$H$2001,Transaksi!$M$2:$M$2001,"="&amp;S460)+SUMIFS(Transaksi!$I$2:$I$2001,Transaksi!$M$2:$M$2001,"="&amp;S460),IF(J460="E",IF(INDEX(Transaksi!$G$2:$G$2001,K460)+INDEX(Transaksi!$H$2:$H$2001,K460)+INDEX(Transaksi!$I$2:$I$2001,K460)=0,"",INDEX(Transaksi!$G$2:$G$2001,K460)+INDEX(Transaksi!$H$2:$H$2001,K460)+INDEX(Transaksi!$I$2:$I$2001,K460)),""))</f>
        <v/>
      </c>
      <c r="F460" s="33">
        <f>IF(J460="H",SUMIFS(Transaksi!$J$2:$J$2001,Transaksi!$M$2:$M$2001,"="&amp;S460),IF(J460="E",IF(INDEX(Transaksi!$J$2:$J$2001,K460)=0,"",INDEX(Transaksi!$J$2:$J$2001,K460)),""))</f>
        <v/>
      </c>
      <c r="G460" s="33">
        <f>IF(J460="H",(SUMIFS(Transaksi!$G$2:$G$2001,Transaksi!$M$2:$M$2001,"&lt;="&amp;S460)+SUMIFS(Transaksi!$H$2:$H$2001,Transaksi!$M$2:$M$2001,"&lt;="&amp;S460)+SUMIFS(Transaksi!$I$2:$I$2001,Transaksi!$M$2:$M$2001,"&lt;="&amp;S460))-(SUMIFS(Transaksi!$J$2:$J$2001,Transaksi!$M$2:$M$2001,"&lt;="&amp;S460)),"")</f>
        <v/>
      </c>
      <c r="I460">
        <f>IF(457&gt;$O$2,"",MATCH(457,$Q$3:$Q$402,1))</f>
        <v/>
      </c>
      <c r="J460">
        <f>IF(I460="","",IF(457=INDEX($Q$3:$Q$402,I460),"H","E"))</f>
        <v/>
      </c>
      <c r="K460">
        <f>IF(J460&lt;&gt;"E","",MATCH(S460,Transaksi!$M$2:$M$2001,0)+457-INDEX($Q$3:$Q$402,I460)-1)</f>
        <v/>
      </c>
      <c r="S460">
        <f>IF(I460="","",INDEX($O$3:$O$402,I460))</f>
        <v/>
      </c>
      <c r="T460">
        <f>IF(J460&lt;&gt;"H","",INDEX(Transaksi!$A$2:$A$2001,MATCH(S460,Transaksi!$M$2:$M$2001,0)))</f>
        <v/>
      </c>
    </row>
    <row r="461">
      <c r="A461" s="31">
        <f>IF(J461="E",IF(INDEX(Transaksi!$J$2:$J$2001,K461)&gt;0,"↑","↓"),"")</f>
        <v/>
      </c>
      <c r="B461" s="32">
        <f>IF(J461="H",CHOOSE(WEEKDAY(T461,2),"Isnin","Selasa","Rabu","Khamis","Jumaat","Sabtu","Ahad")&amp;", "&amp;DAY(T461)&amp;" "&amp;CHOOSE(MONTH(T461),"Jan","Feb","Mac","Apr","Mei","Jun","Jul","Ogo","Sep","Okt","Nov","Dis")&amp;" "&amp;YEAR(T461),IF(J461="E",IF(INDEX(Transaksi!$B$2:$B$2001,K461)="",INDEX(Transaksi!$C$2:$C$2001,K461)&amp;" · "&amp;INDEX(Transaksi!$D$2:$D$2001,K461),INDEX(Transaksi!$B$2:$B$2001,K461)),""))</f>
        <v/>
      </c>
      <c r="C461" s="32">
        <f>IF(J461="E",INDEX(Transaksi!$C$2:$C$2001,K461)&amp;"","")</f>
        <v/>
      </c>
      <c r="D461" s="32">
        <f>IF(J461="E",INDEX(Transaksi!$D$2:$D$2001,K461)&amp;"","")</f>
        <v/>
      </c>
      <c r="E461" s="33">
        <f>IF(J461="H",SUMIFS(Transaksi!$G$2:$G$2001,Transaksi!$M$2:$M$2001,"="&amp;S461)+SUMIFS(Transaksi!$H$2:$H$2001,Transaksi!$M$2:$M$2001,"="&amp;S461)+SUMIFS(Transaksi!$I$2:$I$2001,Transaksi!$M$2:$M$2001,"="&amp;S461),IF(J461="E",IF(INDEX(Transaksi!$G$2:$G$2001,K461)+INDEX(Transaksi!$H$2:$H$2001,K461)+INDEX(Transaksi!$I$2:$I$2001,K461)=0,"",INDEX(Transaksi!$G$2:$G$2001,K461)+INDEX(Transaksi!$H$2:$H$2001,K461)+INDEX(Transaksi!$I$2:$I$2001,K461)),""))</f>
        <v/>
      </c>
      <c r="F461" s="33">
        <f>IF(J461="H",SUMIFS(Transaksi!$J$2:$J$2001,Transaksi!$M$2:$M$2001,"="&amp;S461),IF(J461="E",IF(INDEX(Transaksi!$J$2:$J$2001,K461)=0,"",INDEX(Transaksi!$J$2:$J$2001,K461)),""))</f>
        <v/>
      </c>
      <c r="G461" s="33">
        <f>IF(J461="H",(SUMIFS(Transaksi!$G$2:$G$2001,Transaksi!$M$2:$M$2001,"&lt;="&amp;S461)+SUMIFS(Transaksi!$H$2:$H$2001,Transaksi!$M$2:$M$2001,"&lt;="&amp;S461)+SUMIFS(Transaksi!$I$2:$I$2001,Transaksi!$M$2:$M$2001,"&lt;="&amp;S461))-(SUMIFS(Transaksi!$J$2:$J$2001,Transaksi!$M$2:$M$2001,"&lt;="&amp;S461)),"")</f>
        <v/>
      </c>
      <c r="I461">
        <f>IF(458&gt;$O$2,"",MATCH(458,$Q$3:$Q$402,1))</f>
        <v/>
      </c>
      <c r="J461">
        <f>IF(I461="","",IF(458=INDEX($Q$3:$Q$402,I461),"H","E"))</f>
        <v/>
      </c>
      <c r="K461">
        <f>IF(J461&lt;&gt;"E","",MATCH(S461,Transaksi!$M$2:$M$2001,0)+458-INDEX($Q$3:$Q$402,I461)-1)</f>
        <v/>
      </c>
      <c r="S461">
        <f>IF(I461="","",INDEX($O$3:$O$402,I461))</f>
        <v/>
      </c>
      <c r="T461">
        <f>IF(J461&lt;&gt;"H","",INDEX(Transaksi!$A$2:$A$2001,MATCH(S461,Transaksi!$M$2:$M$2001,0)))</f>
        <v/>
      </c>
    </row>
    <row r="462">
      <c r="A462" s="31">
        <f>IF(J462="E",IF(INDEX(Transaksi!$J$2:$J$2001,K462)&gt;0,"↑","↓"),"")</f>
        <v/>
      </c>
      <c r="B462" s="32">
        <f>IF(J462="H",CHOOSE(WEEKDAY(T462,2),"Isnin","Selasa","Rabu","Khamis","Jumaat","Sabtu","Ahad")&amp;", "&amp;DAY(T462)&amp;" "&amp;CHOOSE(MONTH(T462),"Jan","Feb","Mac","Apr","Mei","Jun","Jul","Ogo","Sep","Okt","Nov","Dis")&amp;" "&amp;YEAR(T462),IF(J462="E",IF(INDEX(Transaksi!$B$2:$B$2001,K462)="",INDEX(Transaksi!$C$2:$C$2001,K462)&amp;" · "&amp;INDEX(Transaksi!$D$2:$D$2001,K462),INDEX(Transaksi!$B$2:$B$2001,K462)),""))</f>
        <v/>
      </c>
      <c r="C462" s="32">
        <f>IF(J462="E",INDEX(Transaksi!$C$2:$C$2001,K462)&amp;"","")</f>
        <v/>
      </c>
      <c r="D462" s="32">
        <f>IF(J462="E",INDEX(Transaksi!$D$2:$D$2001,K462)&amp;"","")</f>
        <v/>
      </c>
      <c r="E462" s="33">
        <f>IF(J462="H",SUMIFS(Transaksi!$G$2:$G$2001,Transaksi!$M$2:$M$2001,"="&amp;S462)+SUMIFS(Transaksi!$H$2:$H$2001,Transaksi!$M$2:$M$2001,"="&amp;S462)+SUMIFS(Transaksi!$I$2:$I$2001,Transaksi!$M$2:$M$2001,"="&amp;S462),IF(J462="E",IF(INDEX(Transaksi!$G$2:$G$2001,K462)+INDEX(Transaksi!$H$2:$H$2001,K462)+INDEX(Transaksi!$I$2:$I$2001,K462)=0,"",INDEX(Transaksi!$G$2:$G$2001,K462)+INDEX(Transaksi!$H$2:$H$2001,K462)+INDEX(Transaksi!$I$2:$I$2001,K462)),""))</f>
        <v/>
      </c>
      <c r="F462" s="33">
        <f>IF(J462="H",SUMIFS(Transaksi!$J$2:$J$2001,Transaksi!$M$2:$M$2001,"="&amp;S462),IF(J462="E",IF(INDEX(Transaksi!$J$2:$J$2001,K462)=0,"",INDEX(Transaksi!$J$2:$J$2001,K462)),""))</f>
        <v/>
      </c>
      <c r="G462" s="33">
        <f>IF(J462="H",(SUMIFS(Transaksi!$G$2:$G$2001,Transaksi!$M$2:$M$2001,"&lt;="&amp;S462)+SUMIFS(Transaksi!$H$2:$H$2001,Transaksi!$M$2:$M$2001,"&lt;="&amp;S462)+SUMIFS(Transaksi!$I$2:$I$2001,Transaksi!$M$2:$M$2001,"&lt;="&amp;S462))-(SUMIFS(Transaksi!$J$2:$J$2001,Transaksi!$M$2:$M$2001,"&lt;="&amp;S462)),"")</f>
        <v/>
      </c>
      <c r="I462">
        <f>IF(459&gt;$O$2,"",MATCH(459,$Q$3:$Q$402,1))</f>
        <v/>
      </c>
      <c r="J462">
        <f>IF(I462="","",IF(459=INDEX($Q$3:$Q$402,I462),"H","E"))</f>
        <v/>
      </c>
      <c r="K462">
        <f>IF(J462&lt;&gt;"E","",MATCH(S462,Transaksi!$M$2:$M$2001,0)+459-INDEX($Q$3:$Q$402,I462)-1)</f>
        <v/>
      </c>
      <c r="S462">
        <f>IF(I462="","",INDEX($O$3:$O$402,I462))</f>
        <v/>
      </c>
      <c r="T462">
        <f>IF(J462&lt;&gt;"H","",INDEX(Transaksi!$A$2:$A$2001,MATCH(S462,Transaksi!$M$2:$M$2001,0)))</f>
        <v/>
      </c>
    </row>
    <row r="463">
      <c r="A463" s="31">
        <f>IF(J463="E",IF(INDEX(Transaksi!$J$2:$J$2001,K463)&gt;0,"↑","↓"),"")</f>
        <v/>
      </c>
      <c r="B463" s="32">
        <f>IF(J463="H",CHOOSE(WEEKDAY(T463,2),"Isnin","Selasa","Rabu","Khamis","Jumaat","Sabtu","Ahad")&amp;", "&amp;DAY(T463)&amp;" "&amp;CHOOSE(MONTH(T463),"Jan","Feb","Mac","Apr","Mei","Jun","Jul","Ogo","Sep","Okt","Nov","Dis")&amp;" "&amp;YEAR(T463),IF(J463="E",IF(INDEX(Transaksi!$B$2:$B$2001,K463)="",INDEX(Transaksi!$C$2:$C$2001,K463)&amp;" · "&amp;INDEX(Transaksi!$D$2:$D$2001,K463),INDEX(Transaksi!$B$2:$B$2001,K463)),""))</f>
        <v/>
      </c>
      <c r="C463" s="32">
        <f>IF(J463="E",INDEX(Transaksi!$C$2:$C$2001,K463)&amp;"","")</f>
        <v/>
      </c>
      <c r="D463" s="32">
        <f>IF(J463="E",INDEX(Transaksi!$D$2:$D$2001,K463)&amp;"","")</f>
        <v/>
      </c>
      <c r="E463" s="33">
        <f>IF(J463="H",SUMIFS(Transaksi!$G$2:$G$2001,Transaksi!$M$2:$M$2001,"="&amp;S463)+SUMIFS(Transaksi!$H$2:$H$2001,Transaksi!$M$2:$M$2001,"="&amp;S463)+SUMIFS(Transaksi!$I$2:$I$2001,Transaksi!$M$2:$M$2001,"="&amp;S463),IF(J463="E",IF(INDEX(Transaksi!$G$2:$G$2001,K463)+INDEX(Transaksi!$H$2:$H$2001,K463)+INDEX(Transaksi!$I$2:$I$2001,K463)=0,"",INDEX(Transaksi!$G$2:$G$2001,K463)+INDEX(Transaksi!$H$2:$H$2001,K463)+INDEX(Transaksi!$I$2:$I$2001,K463)),""))</f>
        <v/>
      </c>
      <c r="F463" s="33">
        <f>IF(J463="H",SUMIFS(Transaksi!$J$2:$J$2001,Transaksi!$M$2:$M$2001,"="&amp;S463),IF(J463="E",IF(INDEX(Transaksi!$J$2:$J$2001,K463)=0,"",INDEX(Transaksi!$J$2:$J$2001,K463)),""))</f>
        <v/>
      </c>
      <c r="G463" s="33">
        <f>IF(J463="H",(SUMIFS(Transaksi!$G$2:$G$2001,Transaksi!$M$2:$M$2001,"&lt;="&amp;S463)+SUMIFS(Transaksi!$H$2:$H$2001,Transaksi!$M$2:$M$2001,"&lt;="&amp;S463)+SUMIFS(Transaksi!$I$2:$I$2001,Transaksi!$M$2:$M$2001,"&lt;="&amp;S463))-(SUMIFS(Transaksi!$J$2:$J$2001,Transaksi!$M$2:$M$2001,"&lt;="&amp;S463)),"")</f>
        <v/>
      </c>
      <c r="I463">
        <f>IF(460&gt;$O$2,"",MATCH(460,$Q$3:$Q$402,1))</f>
        <v/>
      </c>
      <c r="J463">
        <f>IF(I463="","",IF(460=INDEX($Q$3:$Q$402,I463),"H","E"))</f>
        <v/>
      </c>
      <c r="K463">
        <f>IF(J463&lt;&gt;"E","",MATCH(S463,Transaksi!$M$2:$M$2001,0)+460-INDEX($Q$3:$Q$402,I463)-1)</f>
        <v/>
      </c>
      <c r="S463">
        <f>IF(I463="","",INDEX($O$3:$O$402,I463))</f>
        <v/>
      </c>
      <c r="T463">
        <f>IF(J463&lt;&gt;"H","",INDEX(Transaksi!$A$2:$A$2001,MATCH(S463,Transaksi!$M$2:$M$2001,0)))</f>
        <v/>
      </c>
    </row>
    <row r="464">
      <c r="A464" s="31">
        <f>IF(J464="E",IF(INDEX(Transaksi!$J$2:$J$2001,K464)&gt;0,"↑","↓"),"")</f>
        <v/>
      </c>
      <c r="B464" s="32">
        <f>IF(J464="H",CHOOSE(WEEKDAY(T464,2),"Isnin","Selasa","Rabu","Khamis","Jumaat","Sabtu","Ahad")&amp;", "&amp;DAY(T464)&amp;" "&amp;CHOOSE(MONTH(T464),"Jan","Feb","Mac","Apr","Mei","Jun","Jul","Ogo","Sep","Okt","Nov","Dis")&amp;" "&amp;YEAR(T464),IF(J464="E",IF(INDEX(Transaksi!$B$2:$B$2001,K464)="",INDEX(Transaksi!$C$2:$C$2001,K464)&amp;" · "&amp;INDEX(Transaksi!$D$2:$D$2001,K464),INDEX(Transaksi!$B$2:$B$2001,K464)),""))</f>
        <v/>
      </c>
      <c r="C464" s="32">
        <f>IF(J464="E",INDEX(Transaksi!$C$2:$C$2001,K464)&amp;"","")</f>
        <v/>
      </c>
      <c r="D464" s="32">
        <f>IF(J464="E",INDEX(Transaksi!$D$2:$D$2001,K464)&amp;"","")</f>
        <v/>
      </c>
      <c r="E464" s="33">
        <f>IF(J464="H",SUMIFS(Transaksi!$G$2:$G$2001,Transaksi!$M$2:$M$2001,"="&amp;S464)+SUMIFS(Transaksi!$H$2:$H$2001,Transaksi!$M$2:$M$2001,"="&amp;S464)+SUMIFS(Transaksi!$I$2:$I$2001,Transaksi!$M$2:$M$2001,"="&amp;S464),IF(J464="E",IF(INDEX(Transaksi!$G$2:$G$2001,K464)+INDEX(Transaksi!$H$2:$H$2001,K464)+INDEX(Transaksi!$I$2:$I$2001,K464)=0,"",INDEX(Transaksi!$G$2:$G$2001,K464)+INDEX(Transaksi!$H$2:$H$2001,K464)+INDEX(Transaksi!$I$2:$I$2001,K464)),""))</f>
        <v/>
      </c>
      <c r="F464" s="33">
        <f>IF(J464="H",SUMIFS(Transaksi!$J$2:$J$2001,Transaksi!$M$2:$M$2001,"="&amp;S464),IF(J464="E",IF(INDEX(Transaksi!$J$2:$J$2001,K464)=0,"",INDEX(Transaksi!$J$2:$J$2001,K464)),""))</f>
        <v/>
      </c>
      <c r="G464" s="33">
        <f>IF(J464="H",(SUMIFS(Transaksi!$G$2:$G$2001,Transaksi!$M$2:$M$2001,"&lt;="&amp;S464)+SUMIFS(Transaksi!$H$2:$H$2001,Transaksi!$M$2:$M$2001,"&lt;="&amp;S464)+SUMIFS(Transaksi!$I$2:$I$2001,Transaksi!$M$2:$M$2001,"&lt;="&amp;S464))-(SUMIFS(Transaksi!$J$2:$J$2001,Transaksi!$M$2:$M$2001,"&lt;="&amp;S464)),"")</f>
        <v/>
      </c>
      <c r="I464">
        <f>IF(461&gt;$O$2,"",MATCH(461,$Q$3:$Q$402,1))</f>
        <v/>
      </c>
      <c r="J464">
        <f>IF(I464="","",IF(461=INDEX($Q$3:$Q$402,I464),"H","E"))</f>
        <v/>
      </c>
      <c r="K464">
        <f>IF(J464&lt;&gt;"E","",MATCH(S464,Transaksi!$M$2:$M$2001,0)+461-INDEX($Q$3:$Q$402,I464)-1)</f>
        <v/>
      </c>
      <c r="S464">
        <f>IF(I464="","",INDEX($O$3:$O$402,I464))</f>
        <v/>
      </c>
      <c r="T464">
        <f>IF(J464&lt;&gt;"H","",INDEX(Transaksi!$A$2:$A$2001,MATCH(S464,Transaksi!$M$2:$M$2001,0)))</f>
        <v/>
      </c>
    </row>
    <row r="465">
      <c r="A465" s="31">
        <f>IF(J465="E",IF(INDEX(Transaksi!$J$2:$J$2001,K465)&gt;0,"↑","↓"),"")</f>
        <v/>
      </c>
      <c r="B465" s="32">
        <f>IF(J465="H",CHOOSE(WEEKDAY(T465,2),"Isnin","Selasa","Rabu","Khamis","Jumaat","Sabtu","Ahad")&amp;", "&amp;DAY(T465)&amp;" "&amp;CHOOSE(MONTH(T465),"Jan","Feb","Mac","Apr","Mei","Jun","Jul","Ogo","Sep","Okt","Nov","Dis")&amp;" "&amp;YEAR(T465),IF(J465="E",IF(INDEX(Transaksi!$B$2:$B$2001,K465)="",INDEX(Transaksi!$C$2:$C$2001,K465)&amp;" · "&amp;INDEX(Transaksi!$D$2:$D$2001,K465),INDEX(Transaksi!$B$2:$B$2001,K465)),""))</f>
        <v/>
      </c>
      <c r="C465" s="32">
        <f>IF(J465="E",INDEX(Transaksi!$C$2:$C$2001,K465)&amp;"","")</f>
        <v/>
      </c>
      <c r="D465" s="32">
        <f>IF(J465="E",INDEX(Transaksi!$D$2:$D$2001,K465)&amp;"","")</f>
        <v/>
      </c>
      <c r="E465" s="33">
        <f>IF(J465="H",SUMIFS(Transaksi!$G$2:$G$2001,Transaksi!$M$2:$M$2001,"="&amp;S465)+SUMIFS(Transaksi!$H$2:$H$2001,Transaksi!$M$2:$M$2001,"="&amp;S465)+SUMIFS(Transaksi!$I$2:$I$2001,Transaksi!$M$2:$M$2001,"="&amp;S465),IF(J465="E",IF(INDEX(Transaksi!$G$2:$G$2001,K465)+INDEX(Transaksi!$H$2:$H$2001,K465)+INDEX(Transaksi!$I$2:$I$2001,K465)=0,"",INDEX(Transaksi!$G$2:$G$2001,K465)+INDEX(Transaksi!$H$2:$H$2001,K465)+INDEX(Transaksi!$I$2:$I$2001,K465)),""))</f>
        <v/>
      </c>
      <c r="F465" s="33">
        <f>IF(J465="H",SUMIFS(Transaksi!$J$2:$J$2001,Transaksi!$M$2:$M$2001,"="&amp;S465),IF(J465="E",IF(INDEX(Transaksi!$J$2:$J$2001,K465)=0,"",INDEX(Transaksi!$J$2:$J$2001,K465)),""))</f>
        <v/>
      </c>
      <c r="G465" s="33">
        <f>IF(J465="H",(SUMIFS(Transaksi!$G$2:$G$2001,Transaksi!$M$2:$M$2001,"&lt;="&amp;S465)+SUMIFS(Transaksi!$H$2:$H$2001,Transaksi!$M$2:$M$2001,"&lt;="&amp;S465)+SUMIFS(Transaksi!$I$2:$I$2001,Transaksi!$M$2:$M$2001,"&lt;="&amp;S465))-(SUMIFS(Transaksi!$J$2:$J$2001,Transaksi!$M$2:$M$2001,"&lt;="&amp;S465)),"")</f>
        <v/>
      </c>
      <c r="I465">
        <f>IF(462&gt;$O$2,"",MATCH(462,$Q$3:$Q$402,1))</f>
        <v/>
      </c>
      <c r="J465">
        <f>IF(I465="","",IF(462=INDEX($Q$3:$Q$402,I465),"H","E"))</f>
        <v/>
      </c>
      <c r="K465">
        <f>IF(J465&lt;&gt;"E","",MATCH(S465,Transaksi!$M$2:$M$2001,0)+462-INDEX($Q$3:$Q$402,I465)-1)</f>
        <v/>
      </c>
      <c r="S465">
        <f>IF(I465="","",INDEX($O$3:$O$402,I465))</f>
        <v/>
      </c>
      <c r="T465">
        <f>IF(J465&lt;&gt;"H","",INDEX(Transaksi!$A$2:$A$2001,MATCH(S465,Transaksi!$M$2:$M$2001,0)))</f>
        <v/>
      </c>
    </row>
    <row r="466">
      <c r="A466" s="31">
        <f>IF(J466="E",IF(INDEX(Transaksi!$J$2:$J$2001,K466)&gt;0,"↑","↓"),"")</f>
        <v/>
      </c>
      <c r="B466" s="32">
        <f>IF(J466="H",CHOOSE(WEEKDAY(T466,2),"Isnin","Selasa","Rabu","Khamis","Jumaat","Sabtu","Ahad")&amp;", "&amp;DAY(T466)&amp;" "&amp;CHOOSE(MONTH(T466),"Jan","Feb","Mac","Apr","Mei","Jun","Jul","Ogo","Sep","Okt","Nov","Dis")&amp;" "&amp;YEAR(T466),IF(J466="E",IF(INDEX(Transaksi!$B$2:$B$2001,K466)="",INDEX(Transaksi!$C$2:$C$2001,K466)&amp;" · "&amp;INDEX(Transaksi!$D$2:$D$2001,K466),INDEX(Transaksi!$B$2:$B$2001,K466)),""))</f>
        <v/>
      </c>
      <c r="C466" s="32">
        <f>IF(J466="E",INDEX(Transaksi!$C$2:$C$2001,K466)&amp;"","")</f>
        <v/>
      </c>
      <c r="D466" s="32">
        <f>IF(J466="E",INDEX(Transaksi!$D$2:$D$2001,K466)&amp;"","")</f>
        <v/>
      </c>
      <c r="E466" s="33">
        <f>IF(J466="H",SUMIFS(Transaksi!$G$2:$G$2001,Transaksi!$M$2:$M$2001,"="&amp;S466)+SUMIFS(Transaksi!$H$2:$H$2001,Transaksi!$M$2:$M$2001,"="&amp;S466)+SUMIFS(Transaksi!$I$2:$I$2001,Transaksi!$M$2:$M$2001,"="&amp;S466),IF(J466="E",IF(INDEX(Transaksi!$G$2:$G$2001,K466)+INDEX(Transaksi!$H$2:$H$2001,K466)+INDEX(Transaksi!$I$2:$I$2001,K466)=0,"",INDEX(Transaksi!$G$2:$G$2001,K466)+INDEX(Transaksi!$H$2:$H$2001,K466)+INDEX(Transaksi!$I$2:$I$2001,K466)),""))</f>
        <v/>
      </c>
      <c r="F466" s="33">
        <f>IF(J466="H",SUMIFS(Transaksi!$J$2:$J$2001,Transaksi!$M$2:$M$2001,"="&amp;S466),IF(J466="E",IF(INDEX(Transaksi!$J$2:$J$2001,K466)=0,"",INDEX(Transaksi!$J$2:$J$2001,K466)),""))</f>
        <v/>
      </c>
      <c r="G466" s="33">
        <f>IF(J466="H",(SUMIFS(Transaksi!$G$2:$G$2001,Transaksi!$M$2:$M$2001,"&lt;="&amp;S466)+SUMIFS(Transaksi!$H$2:$H$2001,Transaksi!$M$2:$M$2001,"&lt;="&amp;S466)+SUMIFS(Transaksi!$I$2:$I$2001,Transaksi!$M$2:$M$2001,"&lt;="&amp;S466))-(SUMIFS(Transaksi!$J$2:$J$2001,Transaksi!$M$2:$M$2001,"&lt;="&amp;S466)),"")</f>
        <v/>
      </c>
      <c r="I466">
        <f>IF(463&gt;$O$2,"",MATCH(463,$Q$3:$Q$402,1))</f>
        <v/>
      </c>
      <c r="J466">
        <f>IF(I466="","",IF(463=INDEX($Q$3:$Q$402,I466),"H","E"))</f>
        <v/>
      </c>
      <c r="K466">
        <f>IF(J466&lt;&gt;"E","",MATCH(S466,Transaksi!$M$2:$M$2001,0)+463-INDEX($Q$3:$Q$402,I466)-1)</f>
        <v/>
      </c>
      <c r="S466">
        <f>IF(I466="","",INDEX($O$3:$O$402,I466))</f>
        <v/>
      </c>
      <c r="T466">
        <f>IF(J466&lt;&gt;"H","",INDEX(Transaksi!$A$2:$A$2001,MATCH(S466,Transaksi!$M$2:$M$2001,0)))</f>
        <v/>
      </c>
    </row>
    <row r="467">
      <c r="A467" s="31">
        <f>IF(J467="E",IF(INDEX(Transaksi!$J$2:$J$2001,K467)&gt;0,"↑","↓"),"")</f>
        <v/>
      </c>
      <c r="B467" s="32">
        <f>IF(J467="H",CHOOSE(WEEKDAY(T467,2),"Isnin","Selasa","Rabu","Khamis","Jumaat","Sabtu","Ahad")&amp;", "&amp;DAY(T467)&amp;" "&amp;CHOOSE(MONTH(T467),"Jan","Feb","Mac","Apr","Mei","Jun","Jul","Ogo","Sep","Okt","Nov","Dis")&amp;" "&amp;YEAR(T467),IF(J467="E",IF(INDEX(Transaksi!$B$2:$B$2001,K467)="",INDEX(Transaksi!$C$2:$C$2001,K467)&amp;" · "&amp;INDEX(Transaksi!$D$2:$D$2001,K467),INDEX(Transaksi!$B$2:$B$2001,K467)),""))</f>
        <v/>
      </c>
      <c r="C467" s="32">
        <f>IF(J467="E",INDEX(Transaksi!$C$2:$C$2001,K467)&amp;"","")</f>
        <v/>
      </c>
      <c r="D467" s="32">
        <f>IF(J467="E",INDEX(Transaksi!$D$2:$D$2001,K467)&amp;"","")</f>
        <v/>
      </c>
      <c r="E467" s="33">
        <f>IF(J467="H",SUMIFS(Transaksi!$G$2:$G$2001,Transaksi!$M$2:$M$2001,"="&amp;S467)+SUMIFS(Transaksi!$H$2:$H$2001,Transaksi!$M$2:$M$2001,"="&amp;S467)+SUMIFS(Transaksi!$I$2:$I$2001,Transaksi!$M$2:$M$2001,"="&amp;S467),IF(J467="E",IF(INDEX(Transaksi!$G$2:$G$2001,K467)+INDEX(Transaksi!$H$2:$H$2001,K467)+INDEX(Transaksi!$I$2:$I$2001,K467)=0,"",INDEX(Transaksi!$G$2:$G$2001,K467)+INDEX(Transaksi!$H$2:$H$2001,K467)+INDEX(Transaksi!$I$2:$I$2001,K467)),""))</f>
        <v/>
      </c>
      <c r="F467" s="33">
        <f>IF(J467="H",SUMIFS(Transaksi!$J$2:$J$2001,Transaksi!$M$2:$M$2001,"="&amp;S467),IF(J467="E",IF(INDEX(Transaksi!$J$2:$J$2001,K467)=0,"",INDEX(Transaksi!$J$2:$J$2001,K467)),""))</f>
        <v/>
      </c>
      <c r="G467" s="33">
        <f>IF(J467="H",(SUMIFS(Transaksi!$G$2:$G$2001,Transaksi!$M$2:$M$2001,"&lt;="&amp;S467)+SUMIFS(Transaksi!$H$2:$H$2001,Transaksi!$M$2:$M$2001,"&lt;="&amp;S467)+SUMIFS(Transaksi!$I$2:$I$2001,Transaksi!$M$2:$M$2001,"&lt;="&amp;S467))-(SUMIFS(Transaksi!$J$2:$J$2001,Transaksi!$M$2:$M$2001,"&lt;="&amp;S467)),"")</f>
        <v/>
      </c>
      <c r="I467">
        <f>IF(464&gt;$O$2,"",MATCH(464,$Q$3:$Q$402,1))</f>
        <v/>
      </c>
      <c r="J467">
        <f>IF(I467="","",IF(464=INDEX($Q$3:$Q$402,I467),"H","E"))</f>
        <v/>
      </c>
      <c r="K467">
        <f>IF(J467&lt;&gt;"E","",MATCH(S467,Transaksi!$M$2:$M$2001,0)+464-INDEX($Q$3:$Q$402,I467)-1)</f>
        <v/>
      </c>
      <c r="S467">
        <f>IF(I467="","",INDEX($O$3:$O$402,I467))</f>
        <v/>
      </c>
      <c r="T467">
        <f>IF(J467&lt;&gt;"H","",INDEX(Transaksi!$A$2:$A$2001,MATCH(S467,Transaksi!$M$2:$M$2001,0)))</f>
        <v/>
      </c>
    </row>
    <row r="468">
      <c r="A468" s="31">
        <f>IF(J468="E",IF(INDEX(Transaksi!$J$2:$J$2001,K468)&gt;0,"↑","↓"),"")</f>
        <v/>
      </c>
      <c r="B468" s="32">
        <f>IF(J468="H",CHOOSE(WEEKDAY(T468,2),"Isnin","Selasa","Rabu","Khamis","Jumaat","Sabtu","Ahad")&amp;", "&amp;DAY(T468)&amp;" "&amp;CHOOSE(MONTH(T468),"Jan","Feb","Mac","Apr","Mei","Jun","Jul","Ogo","Sep","Okt","Nov","Dis")&amp;" "&amp;YEAR(T468),IF(J468="E",IF(INDEX(Transaksi!$B$2:$B$2001,K468)="",INDEX(Transaksi!$C$2:$C$2001,K468)&amp;" · "&amp;INDEX(Transaksi!$D$2:$D$2001,K468),INDEX(Transaksi!$B$2:$B$2001,K468)),""))</f>
        <v/>
      </c>
      <c r="C468" s="32">
        <f>IF(J468="E",INDEX(Transaksi!$C$2:$C$2001,K468)&amp;"","")</f>
        <v/>
      </c>
      <c r="D468" s="32">
        <f>IF(J468="E",INDEX(Transaksi!$D$2:$D$2001,K468)&amp;"","")</f>
        <v/>
      </c>
      <c r="E468" s="33">
        <f>IF(J468="H",SUMIFS(Transaksi!$G$2:$G$2001,Transaksi!$M$2:$M$2001,"="&amp;S468)+SUMIFS(Transaksi!$H$2:$H$2001,Transaksi!$M$2:$M$2001,"="&amp;S468)+SUMIFS(Transaksi!$I$2:$I$2001,Transaksi!$M$2:$M$2001,"="&amp;S468),IF(J468="E",IF(INDEX(Transaksi!$G$2:$G$2001,K468)+INDEX(Transaksi!$H$2:$H$2001,K468)+INDEX(Transaksi!$I$2:$I$2001,K468)=0,"",INDEX(Transaksi!$G$2:$G$2001,K468)+INDEX(Transaksi!$H$2:$H$2001,K468)+INDEX(Transaksi!$I$2:$I$2001,K468)),""))</f>
        <v/>
      </c>
      <c r="F468" s="33">
        <f>IF(J468="H",SUMIFS(Transaksi!$J$2:$J$2001,Transaksi!$M$2:$M$2001,"="&amp;S468),IF(J468="E",IF(INDEX(Transaksi!$J$2:$J$2001,K468)=0,"",INDEX(Transaksi!$J$2:$J$2001,K468)),""))</f>
        <v/>
      </c>
      <c r="G468" s="33">
        <f>IF(J468="H",(SUMIFS(Transaksi!$G$2:$G$2001,Transaksi!$M$2:$M$2001,"&lt;="&amp;S468)+SUMIFS(Transaksi!$H$2:$H$2001,Transaksi!$M$2:$M$2001,"&lt;="&amp;S468)+SUMIFS(Transaksi!$I$2:$I$2001,Transaksi!$M$2:$M$2001,"&lt;="&amp;S468))-(SUMIFS(Transaksi!$J$2:$J$2001,Transaksi!$M$2:$M$2001,"&lt;="&amp;S468)),"")</f>
        <v/>
      </c>
      <c r="I468">
        <f>IF(465&gt;$O$2,"",MATCH(465,$Q$3:$Q$402,1))</f>
        <v/>
      </c>
      <c r="J468">
        <f>IF(I468="","",IF(465=INDEX($Q$3:$Q$402,I468),"H","E"))</f>
        <v/>
      </c>
      <c r="K468">
        <f>IF(J468&lt;&gt;"E","",MATCH(S468,Transaksi!$M$2:$M$2001,0)+465-INDEX($Q$3:$Q$402,I468)-1)</f>
        <v/>
      </c>
      <c r="S468">
        <f>IF(I468="","",INDEX($O$3:$O$402,I468))</f>
        <v/>
      </c>
      <c r="T468">
        <f>IF(J468&lt;&gt;"H","",INDEX(Transaksi!$A$2:$A$2001,MATCH(S468,Transaksi!$M$2:$M$2001,0)))</f>
        <v/>
      </c>
    </row>
    <row r="469">
      <c r="A469" s="31">
        <f>IF(J469="E",IF(INDEX(Transaksi!$J$2:$J$2001,K469)&gt;0,"↑","↓"),"")</f>
        <v/>
      </c>
      <c r="B469" s="32">
        <f>IF(J469="H",CHOOSE(WEEKDAY(T469,2),"Isnin","Selasa","Rabu","Khamis","Jumaat","Sabtu","Ahad")&amp;", "&amp;DAY(T469)&amp;" "&amp;CHOOSE(MONTH(T469),"Jan","Feb","Mac","Apr","Mei","Jun","Jul","Ogo","Sep","Okt","Nov","Dis")&amp;" "&amp;YEAR(T469),IF(J469="E",IF(INDEX(Transaksi!$B$2:$B$2001,K469)="",INDEX(Transaksi!$C$2:$C$2001,K469)&amp;" · "&amp;INDEX(Transaksi!$D$2:$D$2001,K469),INDEX(Transaksi!$B$2:$B$2001,K469)),""))</f>
        <v/>
      </c>
      <c r="C469" s="32">
        <f>IF(J469="E",INDEX(Transaksi!$C$2:$C$2001,K469)&amp;"","")</f>
        <v/>
      </c>
      <c r="D469" s="32">
        <f>IF(J469="E",INDEX(Transaksi!$D$2:$D$2001,K469)&amp;"","")</f>
        <v/>
      </c>
      <c r="E469" s="33">
        <f>IF(J469="H",SUMIFS(Transaksi!$G$2:$G$2001,Transaksi!$M$2:$M$2001,"="&amp;S469)+SUMIFS(Transaksi!$H$2:$H$2001,Transaksi!$M$2:$M$2001,"="&amp;S469)+SUMIFS(Transaksi!$I$2:$I$2001,Transaksi!$M$2:$M$2001,"="&amp;S469),IF(J469="E",IF(INDEX(Transaksi!$G$2:$G$2001,K469)+INDEX(Transaksi!$H$2:$H$2001,K469)+INDEX(Transaksi!$I$2:$I$2001,K469)=0,"",INDEX(Transaksi!$G$2:$G$2001,K469)+INDEX(Transaksi!$H$2:$H$2001,K469)+INDEX(Transaksi!$I$2:$I$2001,K469)),""))</f>
        <v/>
      </c>
      <c r="F469" s="33">
        <f>IF(J469="H",SUMIFS(Transaksi!$J$2:$J$2001,Transaksi!$M$2:$M$2001,"="&amp;S469),IF(J469="E",IF(INDEX(Transaksi!$J$2:$J$2001,K469)=0,"",INDEX(Transaksi!$J$2:$J$2001,K469)),""))</f>
        <v/>
      </c>
      <c r="G469" s="33">
        <f>IF(J469="H",(SUMIFS(Transaksi!$G$2:$G$2001,Transaksi!$M$2:$M$2001,"&lt;="&amp;S469)+SUMIFS(Transaksi!$H$2:$H$2001,Transaksi!$M$2:$M$2001,"&lt;="&amp;S469)+SUMIFS(Transaksi!$I$2:$I$2001,Transaksi!$M$2:$M$2001,"&lt;="&amp;S469))-(SUMIFS(Transaksi!$J$2:$J$2001,Transaksi!$M$2:$M$2001,"&lt;="&amp;S469)),"")</f>
        <v/>
      </c>
      <c r="I469">
        <f>IF(466&gt;$O$2,"",MATCH(466,$Q$3:$Q$402,1))</f>
        <v/>
      </c>
      <c r="J469">
        <f>IF(I469="","",IF(466=INDEX($Q$3:$Q$402,I469),"H","E"))</f>
        <v/>
      </c>
      <c r="K469">
        <f>IF(J469&lt;&gt;"E","",MATCH(S469,Transaksi!$M$2:$M$2001,0)+466-INDEX($Q$3:$Q$402,I469)-1)</f>
        <v/>
      </c>
      <c r="S469">
        <f>IF(I469="","",INDEX($O$3:$O$402,I469))</f>
        <v/>
      </c>
      <c r="T469">
        <f>IF(J469&lt;&gt;"H","",INDEX(Transaksi!$A$2:$A$2001,MATCH(S469,Transaksi!$M$2:$M$2001,0)))</f>
        <v/>
      </c>
    </row>
    <row r="470">
      <c r="A470" s="31">
        <f>IF(J470="E",IF(INDEX(Transaksi!$J$2:$J$2001,K470)&gt;0,"↑","↓"),"")</f>
        <v/>
      </c>
      <c r="B470" s="32">
        <f>IF(J470="H",CHOOSE(WEEKDAY(T470,2),"Isnin","Selasa","Rabu","Khamis","Jumaat","Sabtu","Ahad")&amp;", "&amp;DAY(T470)&amp;" "&amp;CHOOSE(MONTH(T470),"Jan","Feb","Mac","Apr","Mei","Jun","Jul","Ogo","Sep","Okt","Nov","Dis")&amp;" "&amp;YEAR(T470),IF(J470="E",IF(INDEX(Transaksi!$B$2:$B$2001,K470)="",INDEX(Transaksi!$C$2:$C$2001,K470)&amp;" · "&amp;INDEX(Transaksi!$D$2:$D$2001,K470),INDEX(Transaksi!$B$2:$B$2001,K470)),""))</f>
        <v/>
      </c>
      <c r="C470" s="32">
        <f>IF(J470="E",INDEX(Transaksi!$C$2:$C$2001,K470)&amp;"","")</f>
        <v/>
      </c>
      <c r="D470" s="32">
        <f>IF(J470="E",INDEX(Transaksi!$D$2:$D$2001,K470)&amp;"","")</f>
        <v/>
      </c>
      <c r="E470" s="33">
        <f>IF(J470="H",SUMIFS(Transaksi!$G$2:$G$2001,Transaksi!$M$2:$M$2001,"="&amp;S470)+SUMIFS(Transaksi!$H$2:$H$2001,Transaksi!$M$2:$M$2001,"="&amp;S470)+SUMIFS(Transaksi!$I$2:$I$2001,Transaksi!$M$2:$M$2001,"="&amp;S470),IF(J470="E",IF(INDEX(Transaksi!$G$2:$G$2001,K470)+INDEX(Transaksi!$H$2:$H$2001,K470)+INDEX(Transaksi!$I$2:$I$2001,K470)=0,"",INDEX(Transaksi!$G$2:$G$2001,K470)+INDEX(Transaksi!$H$2:$H$2001,K470)+INDEX(Transaksi!$I$2:$I$2001,K470)),""))</f>
        <v/>
      </c>
      <c r="F470" s="33">
        <f>IF(J470="H",SUMIFS(Transaksi!$J$2:$J$2001,Transaksi!$M$2:$M$2001,"="&amp;S470),IF(J470="E",IF(INDEX(Transaksi!$J$2:$J$2001,K470)=0,"",INDEX(Transaksi!$J$2:$J$2001,K470)),""))</f>
        <v/>
      </c>
      <c r="G470" s="33">
        <f>IF(J470="H",(SUMIFS(Transaksi!$G$2:$G$2001,Transaksi!$M$2:$M$2001,"&lt;="&amp;S470)+SUMIFS(Transaksi!$H$2:$H$2001,Transaksi!$M$2:$M$2001,"&lt;="&amp;S470)+SUMIFS(Transaksi!$I$2:$I$2001,Transaksi!$M$2:$M$2001,"&lt;="&amp;S470))-(SUMIFS(Transaksi!$J$2:$J$2001,Transaksi!$M$2:$M$2001,"&lt;="&amp;S470)),"")</f>
        <v/>
      </c>
      <c r="I470">
        <f>IF(467&gt;$O$2,"",MATCH(467,$Q$3:$Q$402,1))</f>
        <v/>
      </c>
      <c r="J470">
        <f>IF(I470="","",IF(467=INDEX($Q$3:$Q$402,I470),"H","E"))</f>
        <v/>
      </c>
      <c r="K470">
        <f>IF(J470&lt;&gt;"E","",MATCH(S470,Transaksi!$M$2:$M$2001,0)+467-INDEX($Q$3:$Q$402,I470)-1)</f>
        <v/>
      </c>
      <c r="S470">
        <f>IF(I470="","",INDEX($O$3:$O$402,I470))</f>
        <v/>
      </c>
      <c r="T470">
        <f>IF(J470&lt;&gt;"H","",INDEX(Transaksi!$A$2:$A$2001,MATCH(S470,Transaksi!$M$2:$M$2001,0)))</f>
        <v/>
      </c>
    </row>
    <row r="471">
      <c r="A471" s="31">
        <f>IF(J471="E",IF(INDEX(Transaksi!$J$2:$J$2001,K471)&gt;0,"↑","↓"),"")</f>
        <v/>
      </c>
      <c r="B471" s="32">
        <f>IF(J471="H",CHOOSE(WEEKDAY(T471,2),"Isnin","Selasa","Rabu","Khamis","Jumaat","Sabtu","Ahad")&amp;", "&amp;DAY(T471)&amp;" "&amp;CHOOSE(MONTH(T471),"Jan","Feb","Mac","Apr","Mei","Jun","Jul","Ogo","Sep","Okt","Nov","Dis")&amp;" "&amp;YEAR(T471),IF(J471="E",IF(INDEX(Transaksi!$B$2:$B$2001,K471)="",INDEX(Transaksi!$C$2:$C$2001,K471)&amp;" · "&amp;INDEX(Transaksi!$D$2:$D$2001,K471),INDEX(Transaksi!$B$2:$B$2001,K471)),""))</f>
        <v/>
      </c>
      <c r="C471" s="32">
        <f>IF(J471="E",INDEX(Transaksi!$C$2:$C$2001,K471)&amp;"","")</f>
        <v/>
      </c>
      <c r="D471" s="32">
        <f>IF(J471="E",INDEX(Transaksi!$D$2:$D$2001,K471)&amp;"","")</f>
        <v/>
      </c>
      <c r="E471" s="33">
        <f>IF(J471="H",SUMIFS(Transaksi!$G$2:$G$2001,Transaksi!$M$2:$M$2001,"="&amp;S471)+SUMIFS(Transaksi!$H$2:$H$2001,Transaksi!$M$2:$M$2001,"="&amp;S471)+SUMIFS(Transaksi!$I$2:$I$2001,Transaksi!$M$2:$M$2001,"="&amp;S471),IF(J471="E",IF(INDEX(Transaksi!$G$2:$G$2001,K471)+INDEX(Transaksi!$H$2:$H$2001,K471)+INDEX(Transaksi!$I$2:$I$2001,K471)=0,"",INDEX(Transaksi!$G$2:$G$2001,K471)+INDEX(Transaksi!$H$2:$H$2001,K471)+INDEX(Transaksi!$I$2:$I$2001,K471)),""))</f>
        <v/>
      </c>
      <c r="F471" s="33">
        <f>IF(J471="H",SUMIFS(Transaksi!$J$2:$J$2001,Transaksi!$M$2:$M$2001,"="&amp;S471),IF(J471="E",IF(INDEX(Transaksi!$J$2:$J$2001,K471)=0,"",INDEX(Transaksi!$J$2:$J$2001,K471)),""))</f>
        <v/>
      </c>
      <c r="G471" s="33">
        <f>IF(J471="H",(SUMIFS(Transaksi!$G$2:$G$2001,Transaksi!$M$2:$M$2001,"&lt;="&amp;S471)+SUMIFS(Transaksi!$H$2:$H$2001,Transaksi!$M$2:$M$2001,"&lt;="&amp;S471)+SUMIFS(Transaksi!$I$2:$I$2001,Transaksi!$M$2:$M$2001,"&lt;="&amp;S471))-(SUMIFS(Transaksi!$J$2:$J$2001,Transaksi!$M$2:$M$2001,"&lt;="&amp;S471)),"")</f>
        <v/>
      </c>
      <c r="I471">
        <f>IF(468&gt;$O$2,"",MATCH(468,$Q$3:$Q$402,1))</f>
        <v/>
      </c>
      <c r="J471">
        <f>IF(I471="","",IF(468=INDEX($Q$3:$Q$402,I471),"H","E"))</f>
        <v/>
      </c>
      <c r="K471">
        <f>IF(J471&lt;&gt;"E","",MATCH(S471,Transaksi!$M$2:$M$2001,0)+468-INDEX($Q$3:$Q$402,I471)-1)</f>
        <v/>
      </c>
      <c r="S471">
        <f>IF(I471="","",INDEX($O$3:$O$402,I471))</f>
        <v/>
      </c>
      <c r="T471">
        <f>IF(J471&lt;&gt;"H","",INDEX(Transaksi!$A$2:$A$2001,MATCH(S471,Transaksi!$M$2:$M$2001,0)))</f>
        <v/>
      </c>
    </row>
    <row r="472">
      <c r="A472" s="31">
        <f>IF(J472="E",IF(INDEX(Transaksi!$J$2:$J$2001,K472)&gt;0,"↑","↓"),"")</f>
        <v/>
      </c>
      <c r="B472" s="32">
        <f>IF(J472="H",CHOOSE(WEEKDAY(T472,2),"Isnin","Selasa","Rabu","Khamis","Jumaat","Sabtu","Ahad")&amp;", "&amp;DAY(T472)&amp;" "&amp;CHOOSE(MONTH(T472),"Jan","Feb","Mac","Apr","Mei","Jun","Jul","Ogo","Sep","Okt","Nov","Dis")&amp;" "&amp;YEAR(T472),IF(J472="E",IF(INDEX(Transaksi!$B$2:$B$2001,K472)="",INDEX(Transaksi!$C$2:$C$2001,K472)&amp;" · "&amp;INDEX(Transaksi!$D$2:$D$2001,K472),INDEX(Transaksi!$B$2:$B$2001,K472)),""))</f>
        <v/>
      </c>
      <c r="C472" s="32">
        <f>IF(J472="E",INDEX(Transaksi!$C$2:$C$2001,K472)&amp;"","")</f>
        <v/>
      </c>
      <c r="D472" s="32">
        <f>IF(J472="E",INDEX(Transaksi!$D$2:$D$2001,K472)&amp;"","")</f>
        <v/>
      </c>
      <c r="E472" s="33">
        <f>IF(J472="H",SUMIFS(Transaksi!$G$2:$G$2001,Transaksi!$M$2:$M$2001,"="&amp;S472)+SUMIFS(Transaksi!$H$2:$H$2001,Transaksi!$M$2:$M$2001,"="&amp;S472)+SUMIFS(Transaksi!$I$2:$I$2001,Transaksi!$M$2:$M$2001,"="&amp;S472),IF(J472="E",IF(INDEX(Transaksi!$G$2:$G$2001,K472)+INDEX(Transaksi!$H$2:$H$2001,K472)+INDEX(Transaksi!$I$2:$I$2001,K472)=0,"",INDEX(Transaksi!$G$2:$G$2001,K472)+INDEX(Transaksi!$H$2:$H$2001,K472)+INDEX(Transaksi!$I$2:$I$2001,K472)),""))</f>
        <v/>
      </c>
      <c r="F472" s="33">
        <f>IF(J472="H",SUMIFS(Transaksi!$J$2:$J$2001,Transaksi!$M$2:$M$2001,"="&amp;S472),IF(J472="E",IF(INDEX(Transaksi!$J$2:$J$2001,K472)=0,"",INDEX(Transaksi!$J$2:$J$2001,K472)),""))</f>
        <v/>
      </c>
      <c r="G472" s="33">
        <f>IF(J472="H",(SUMIFS(Transaksi!$G$2:$G$2001,Transaksi!$M$2:$M$2001,"&lt;="&amp;S472)+SUMIFS(Transaksi!$H$2:$H$2001,Transaksi!$M$2:$M$2001,"&lt;="&amp;S472)+SUMIFS(Transaksi!$I$2:$I$2001,Transaksi!$M$2:$M$2001,"&lt;="&amp;S472))-(SUMIFS(Transaksi!$J$2:$J$2001,Transaksi!$M$2:$M$2001,"&lt;="&amp;S472)),"")</f>
        <v/>
      </c>
      <c r="I472">
        <f>IF(469&gt;$O$2,"",MATCH(469,$Q$3:$Q$402,1))</f>
        <v/>
      </c>
      <c r="J472">
        <f>IF(I472="","",IF(469=INDEX($Q$3:$Q$402,I472),"H","E"))</f>
        <v/>
      </c>
      <c r="K472">
        <f>IF(J472&lt;&gt;"E","",MATCH(S472,Transaksi!$M$2:$M$2001,0)+469-INDEX($Q$3:$Q$402,I472)-1)</f>
        <v/>
      </c>
      <c r="S472">
        <f>IF(I472="","",INDEX($O$3:$O$402,I472))</f>
        <v/>
      </c>
      <c r="T472">
        <f>IF(J472&lt;&gt;"H","",INDEX(Transaksi!$A$2:$A$2001,MATCH(S472,Transaksi!$M$2:$M$2001,0)))</f>
        <v/>
      </c>
    </row>
    <row r="473">
      <c r="A473" s="31">
        <f>IF(J473="E",IF(INDEX(Transaksi!$J$2:$J$2001,K473)&gt;0,"↑","↓"),"")</f>
        <v/>
      </c>
      <c r="B473" s="32">
        <f>IF(J473="H",CHOOSE(WEEKDAY(T473,2),"Isnin","Selasa","Rabu","Khamis","Jumaat","Sabtu","Ahad")&amp;", "&amp;DAY(T473)&amp;" "&amp;CHOOSE(MONTH(T473),"Jan","Feb","Mac","Apr","Mei","Jun","Jul","Ogo","Sep","Okt","Nov","Dis")&amp;" "&amp;YEAR(T473),IF(J473="E",IF(INDEX(Transaksi!$B$2:$B$2001,K473)="",INDEX(Transaksi!$C$2:$C$2001,K473)&amp;" · "&amp;INDEX(Transaksi!$D$2:$D$2001,K473),INDEX(Transaksi!$B$2:$B$2001,K473)),""))</f>
        <v/>
      </c>
      <c r="C473" s="32">
        <f>IF(J473="E",INDEX(Transaksi!$C$2:$C$2001,K473)&amp;"","")</f>
        <v/>
      </c>
      <c r="D473" s="32">
        <f>IF(J473="E",INDEX(Transaksi!$D$2:$D$2001,K473)&amp;"","")</f>
        <v/>
      </c>
      <c r="E473" s="33">
        <f>IF(J473="H",SUMIFS(Transaksi!$G$2:$G$2001,Transaksi!$M$2:$M$2001,"="&amp;S473)+SUMIFS(Transaksi!$H$2:$H$2001,Transaksi!$M$2:$M$2001,"="&amp;S473)+SUMIFS(Transaksi!$I$2:$I$2001,Transaksi!$M$2:$M$2001,"="&amp;S473),IF(J473="E",IF(INDEX(Transaksi!$G$2:$G$2001,K473)+INDEX(Transaksi!$H$2:$H$2001,K473)+INDEX(Transaksi!$I$2:$I$2001,K473)=0,"",INDEX(Transaksi!$G$2:$G$2001,K473)+INDEX(Transaksi!$H$2:$H$2001,K473)+INDEX(Transaksi!$I$2:$I$2001,K473)),""))</f>
        <v/>
      </c>
      <c r="F473" s="33">
        <f>IF(J473="H",SUMIFS(Transaksi!$J$2:$J$2001,Transaksi!$M$2:$M$2001,"="&amp;S473),IF(J473="E",IF(INDEX(Transaksi!$J$2:$J$2001,K473)=0,"",INDEX(Transaksi!$J$2:$J$2001,K473)),""))</f>
        <v/>
      </c>
      <c r="G473" s="33">
        <f>IF(J473="H",(SUMIFS(Transaksi!$G$2:$G$2001,Transaksi!$M$2:$M$2001,"&lt;="&amp;S473)+SUMIFS(Transaksi!$H$2:$H$2001,Transaksi!$M$2:$M$2001,"&lt;="&amp;S473)+SUMIFS(Transaksi!$I$2:$I$2001,Transaksi!$M$2:$M$2001,"&lt;="&amp;S473))-(SUMIFS(Transaksi!$J$2:$J$2001,Transaksi!$M$2:$M$2001,"&lt;="&amp;S473)),"")</f>
        <v/>
      </c>
      <c r="I473">
        <f>IF(470&gt;$O$2,"",MATCH(470,$Q$3:$Q$402,1))</f>
        <v/>
      </c>
      <c r="J473">
        <f>IF(I473="","",IF(470=INDEX($Q$3:$Q$402,I473),"H","E"))</f>
        <v/>
      </c>
      <c r="K473">
        <f>IF(J473&lt;&gt;"E","",MATCH(S473,Transaksi!$M$2:$M$2001,0)+470-INDEX($Q$3:$Q$402,I473)-1)</f>
        <v/>
      </c>
      <c r="S473">
        <f>IF(I473="","",INDEX($O$3:$O$402,I473))</f>
        <v/>
      </c>
      <c r="T473">
        <f>IF(J473&lt;&gt;"H","",INDEX(Transaksi!$A$2:$A$2001,MATCH(S473,Transaksi!$M$2:$M$2001,0)))</f>
        <v/>
      </c>
    </row>
    <row r="474">
      <c r="A474" s="31">
        <f>IF(J474="E",IF(INDEX(Transaksi!$J$2:$J$2001,K474)&gt;0,"↑","↓"),"")</f>
        <v/>
      </c>
      <c r="B474" s="32">
        <f>IF(J474="H",CHOOSE(WEEKDAY(T474,2),"Isnin","Selasa","Rabu","Khamis","Jumaat","Sabtu","Ahad")&amp;", "&amp;DAY(T474)&amp;" "&amp;CHOOSE(MONTH(T474),"Jan","Feb","Mac","Apr","Mei","Jun","Jul","Ogo","Sep","Okt","Nov","Dis")&amp;" "&amp;YEAR(T474),IF(J474="E",IF(INDEX(Transaksi!$B$2:$B$2001,K474)="",INDEX(Transaksi!$C$2:$C$2001,K474)&amp;" · "&amp;INDEX(Transaksi!$D$2:$D$2001,K474),INDEX(Transaksi!$B$2:$B$2001,K474)),""))</f>
        <v/>
      </c>
      <c r="C474" s="32">
        <f>IF(J474="E",INDEX(Transaksi!$C$2:$C$2001,K474)&amp;"","")</f>
        <v/>
      </c>
      <c r="D474" s="32">
        <f>IF(J474="E",INDEX(Transaksi!$D$2:$D$2001,K474)&amp;"","")</f>
        <v/>
      </c>
      <c r="E474" s="33">
        <f>IF(J474="H",SUMIFS(Transaksi!$G$2:$G$2001,Transaksi!$M$2:$M$2001,"="&amp;S474)+SUMIFS(Transaksi!$H$2:$H$2001,Transaksi!$M$2:$M$2001,"="&amp;S474)+SUMIFS(Transaksi!$I$2:$I$2001,Transaksi!$M$2:$M$2001,"="&amp;S474),IF(J474="E",IF(INDEX(Transaksi!$G$2:$G$2001,K474)+INDEX(Transaksi!$H$2:$H$2001,K474)+INDEX(Transaksi!$I$2:$I$2001,K474)=0,"",INDEX(Transaksi!$G$2:$G$2001,K474)+INDEX(Transaksi!$H$2:$H$2001,K474)+INDEX(Transaksi!$I$2:$I$2001,K474)),""))</f>
        <v/>
      </c>
      <c r="F474" s="33">
        <f>IF(J474="H",SUMIFS(Transaksi!$J$2:$J$2001,Transaksi!$M$2:$M$2001,"="&amp;S474),IF(J474="E",IF(INDEX(Transaksi!$J$2:$J$2001,K474)=0,"",INDEX(Transaksi!$J$2:$J$2001,K474)),""))</f>
        <v/>
      </c>
      <c r="G474" s="33">
        <f>IF(J474="H",(SUMIFS(Transaksi!$G$2:$G$2001,Transaksi!$M$2:$M$2001,"&lt;="&amp;S474)+SUMIFS(Transaksi!$H$2:$H$2001,Transaksi!$M$2:$M$2001,"&lt;="&amp;S474)+SUMIFS(Transaksi!$I$2:$I$2001,Transaksi!$M$2:$M$2001,"&lt;="&amp;S474))-(SUMIFS(Transaksi!$J$2:$J$2001,Transaksi!$M$2:$M$2001,"&lt;="&amp;S474)),"")</f>
        <v/>
      </c>
      <c r="I474">
        <f>IF(471&gt;$O$2,"",MATCH(471,$Q$3:$Q$402,1))</f>
        <v/>
      </c>
      <c r="J474">
        <f>IF(I474="","",IF(471=INDEX($Q$3:$Q$402,I474),"H","E"))</f>
        <v/>
      </c>
      <c r="K474">
        <f>IF(J474&lt;&gt;"E","",MATCH(S474,Transaksi!$M$2:$M$2001,0)+471-INDEX($Q$3:$Q$402,I474)-1)</f>
        <v/>
      </c>
      <c r="S474">
        <f>IF(I474="","",INDEX($O$3:$O$402,I474))</f>
        <v/>
      </c>
      <c r="T474">
        <f>IF(J474&lt;&gt;"H","",INDEX(Transaksi!$A$2:$A$2001,MATCH(S474,Transaksi!$M$2:$M$2001,0)))</f>
        <v/>
      </c>
    </row>
    <row r="475">
      <c r="A475" s="31">
        <f>IF(J475="E",IF(INDEX(Transaksi!$J$2:$J$2001,K475)&gt;0,"↑","↓"),"")</f>
        <v/>
      </c>
      <c r="B475" s="32">
        <f>IF(J475="H",CHOOSE(WEEKDAY(T475,2),"Isnin","Selasa","Rabu","Khamis","Jumaat","Sabtu","Ahad")&amp;", "&amp;DAY(T475)&amp;" "&amp;CHOOSE(MONTH(T475),"Jan","Feb","Mac","Apr","Mei","Jun","Jul","Ogo","Sep","Okt","Nov","Dis")&amp;" "&amp;YEAR(T475),IF(J475="E",IF(INDEX(Transaksi!$B$2:$B$2001,K475)="",INDEX(Transaksi!$C$2:$C$2001,K475)&amp;" · "&amp;INDEX(Transaksi!$D$2:$D$2001,K475),INDEX(Transaksi!$B$2:$B$2001,K475)),""))</f>
        <v/>
      </c>
      <c r="C475" s="32">
        <f>IF(J475="E",INDEX(Transaksi!$C$2:$C$2001,K475)&amp;"","")</f>
        <v/>
      </c>
      <c r="D475" s="32">
        <f>IF(J475="E",INDEX(Transaksi!$D$2:$D$2001,K475)&amp;"","")</f>
        <v/>
      </c>
      <c r="E475" s="33">
        <f>IF(J475="H",SUMIFS(Transaksi!$G$2:$G$2001,Transaksi!$M$2:$M$2001,"="&amp;S475)+SUMIFS(Transaksi!$H$2:$H$2001,Transaksi!$M$2:$M$2001,"="&amp;S475)+SUMIFS(Transaksi!$I$2:$I$2001,Transaksi!$M$2:$M$2001,"="&amp;S475),IF(J475="E",IF(INDEX(Transaksi!$G$2:$G$2001,K475)+INDEX(Transaksi!$H$2:$H$2001,K475)+INDEX(Transaksi!$I$2:$I$2001,K475)=0,"",INDEX(Transaksi!$G$2:$G$2001,K475)+INDEX(Transaksi!$H$2:$H$2001,K475)+INDEX(Transaksi!$I$2:$I$2001,K475)),""))</f>
        <v/>
      </c>
      <c r="F475" s="33">
        <f>IF(J475="H",SUMIFS(Transaksi!$J$2:$J$2001,Transaksi!$M$2:$M$2001,"="&amp;S475),IF(J475="E",IF(INDEX(Transaksi!$J$2:$J$2001,K475)=0,"",INDEX(Transaksi!$J$2:$J$2001,K475)),""))</f>
        <v/>
      </c>
      <c r="G475" s="33">
        <f>IF(J475="H",(SUMIFS(Transaksi!$G$2:$G$2001,Transaksi!$M$2:$M$2001,"&lt;="&amp;S475)+SUMIFS(Transaksi!$H$2:$H$2001,Transaksi!$M$2:$M$2001,"&lt;="&amp;S475)+SUMIFS(Transaksi!$I$2:$I$2001,Transaksi!$M$2:$M$2001,"&lt;="&amp;S475))-(SUMIFS(Transaksi!$J$2:$J$2001,Transaksi!$M$2:$M$2001,"&lt;="&amp;S475)),"")</f>
        <v/>
      </c>
      <c r="I475">
        <f>IF(472&gt;$O$2,"",MATCH(472,$Q$3:$Q$402,1))</f>
        <v/>
      </c>
      <c r="J475">
        <f>IF(I475="","",IF(472=INDEX($Q$3:$Q$402,I475),"H","E"))</f>
        <v/>
      </c>
      <c r="K475">
        <f>IF(J475&lt;&gt;"E","",MATCH(S475,Transaksi!$M$2:$M$2001,0)+472-INDEX($Q$3:$Q$402,I475)-1)</f>
        <v/>
      </c>
      <c r="S475">
        <f>IF(I475="","",INDEX($O$3:$O$402,I475))</f>
        <v/>
      </c>
      <c r="T475">
        <f>IF(J475&lt;&gt;"H","",INDEX(Transaksi!$A$2:$A$2001,MATCH(S475,Transaksi!$M$2:$M$2001,0)))</f>
        <v/>
      </c>
    </row>
    <row r="476">
      <c r="A476" s="31">
        <f>IF(J476="E",IF(INDEX(Transaksi!$J$2:$J$2001,K476)&gt;0,"↑","↓"),"")</f>
        <v/>
      </c>
      <c r="B476" s="32">
        <f>IF(J476="H",CHOOSE(WEEKDAY(T476,2),"Isnin","Selasa","Rabu","Khamis","Jumaat","Sabtu","Ahad")&amp;", "&amp;DAY(T476)&amp;" "&amp;CHOOSE(MONTH(T476),"Jan","Feb","Mac","Apr","Mei","Jun","Jul","Ogo","Sep","Okt","Nov","Dis")&amp;" "&amp;YEAR(T476),IF(J476="E",IF(INDEX(Transaksi!$B$2:$B$2001,K476)="",INDEX(Transaksi!$C$2:$C$2001,K476)&amp;" · "&amp;INDEX(Transaksi!$D$2:$D$2001,K476),INDEX(Transaksi!$B$2:$B$2001,K476)),""))</f>
        <v/>
      </c>
      <c r="C476" s="32">
        <f>IF(J476="E",INDEX(Transaksi!$C$2:$C$2001,K476)&amp;"","")</f>
        <v/>
      </c>
      <c r="D476" s="32">
        <f>IF(J476="E",INDEX(Transaksi!$D$2:$D$2001,K476)&amp;"","")</f>
        <v/>
      </c>
      <c r="E476" s="33">
        <f>IF(J476="H",SUMIFS(Transaksi!$G$2:$G$2001,Transaksi!$M$2:$M$2001,"="&amp;S476)+SUMIFS(Transaksi!$H$2:$H$2001,Transaksi!$M$2:$M$2001,"="&amp;S476)+SUMIFS(Transaksi!$I$2:$I$2001,Transaksi!$M$2:$M$2001,"="&amp;S476),IF(J476="E",IF(INDEX(Transaksi!$G$2:$G$2001,K476)+INDEX(Transaksi!$H$2:$H$2001,K476)+INDEX(Transaksi!$I$2:$I$2001,K476)=0,"",INDEX(Transaksi!$G$2:$G$2001,K476)+INDEX(Transaksi!$H$2:$H$2001,K476)+INDEX(Transaksi!$I$2:$I$2001,K476)),""))</f>
        <v/>
      </c>
      <c r="F476" s="33">
        <f>IF(J476="H",SUMIFS(Transaksi!$J$2:$J$2001,Transaksi!$M$2:$M$2001,"="&amp;S476),IF(J476="E",IF(INDEX(Transaksi!$J$2:$J$2001,K476)=0,"",INDEX(Transaksi!$J$2:$J$2001,K476)),""))</f>
        <v/>
      </c>
      <c r="G476" s="33">
        <f>IF(J476="H",(SUMIFS(Transaksi!$G$2:$G$2001,Transaksi!$M$2:$M$2001,"&lt;="&amp;S476)+SUMIFS(Transaksi!$H$2:$H$2001,Transaksi!$M$2:$M$2001,"&lt;="&amp;S476)+SUMIFS(Transaksi!$I$2:$I$2001,Transaksi!$M$2:$M$2001,"&lt;="&amp;S476))-(SUMIFS(Transaksi!$J$2:$J$2001,Transaksi!$M$2:$M$2001,"&lt;="&amp;S476)),"")</f>
        <v/>
      </c>
      <c r="I476">
        <f>IF(473&gt;$O$2,"",MATCH(473,$Q$3:$Q$402,1))</f>
        <v/>
      </c>
      <c r="J476">
        <f>IF(I476="","",IF(473=INDEX($Q$3:$Q$402,I476),"H","E"))</f>
        <v/>
      </c>
      <c r="K476">
        <f>IF(J476&lt;&gt;"E","",MATCH(S476,Transaksi!$M$2:$M$2001,0)+473-INDEX($Q$3:$Q$402,I476)-1)</f>
        <v/>
      </c>
      <c r="S476">
        <f>IF(I476="","",INDEX($O$3:$O$402,I476))</f>
        <v/>
      </c>
      <c r="T476">
        <f>IF(J476&lt;&gt;"H","",INDEX(Transaksi!$A$2:$A$2001,MATCH(S476,Transaksi!$M$2:$M$2001,0)))</f>
        <v/>
      </c>
    </row>
    <row r="477">
      <c r="A477" s="31">
        <f>IF(J477="E",IF(INDEX(Transaksi!$J$2:$J$2001,K477)&gt;0,"↑","↓"),"")</f>
        <v/>
      </c>
      <c r="B477" s="32">
        <f>IF(J477="H",CHOOSE(WEEKDAY(T477,2),"Isnin","Selasa","Rabu","Khamis","Jumaat","Sabtu","Ahad")&amp;", "&amp;DAY(T477)&amp;" "&amp;CHOOSE(MONTH(T477),"Jan","Feb","Mac","Apr","Mei","Jun","Jul","Ogo","Sep","Okt","Nov","Dis")&amp;" "&amp;YEAR(T477),IF(J477="E",IF(INDEX(Transaksi!$B$2:$B$2001,K477)="",INDEX(Transaksi!$C$2:$C$2001,K477)&amp;" · "&amp;INDEX(Transaksi!$D$2:$D$2001,K477),INDEX(Transaksi!$B$2:$B$2001,K477)),""))</f>
        <v/>
      </c>
      <c r="C477" s="32">
        <f>IF(J477="E",INDEX(Transaksi!$C$2:$C$2001,K477)&amp;"","")</f>
        <v/>
      </c>
      <c r="D477" s="32">
        <f>IF(J477="E",INDEX(Transaksi!$D$2:$D$2001,K477)&amp;"","")</f>
        <v/>
      </c>
      <c r="E477" s="33">
        <f>IF(J477="H",SUMIFS(Transaksi!$G$2:$G$2001,Transaksi!$M$2:$M$2001,"="&amp;S477)+SUMIFS(Transaksi!$H$2:$H$2001,Transaksi!$M$2:$M$2001,"="&amp;S477)+SUMIFS(Transaksi!$I$2:$I$2001,Transaksi!$M$2:$M$2001,"="&amp;S477),IF(J477="E",IF(INDEX(Transaksi!$G$2:$G$2001,K477)+INDEX(Transaksi!$H$2:$H$2001,K477)+INDEX(Transaksi!$I$2:$I$2001,K477)=0,"",INDEX(Transaksi!$G$2:$G$2001,K477)+INDEX(Transaksi!$H$2:$H$2001,K477)+INDEX(Transaksi!$I$2:$I$2001,K477)),""))</f>
        <v/>
      </c>
      <c r="F477" s="33">
        <f>IF(J477="H",SUMIFS(Transaksi!$J$2:$J$2001,Transaksi!$M$2:$M$2001,"="&amp;S477),IF(J477="E",IF(INDEX(Transaksi!$J$2:$J$2001,K477)=0,"",INDEX(Transaksi!$J$2:$J$2001,K477)),""))</f>
        <v/>
      </c>
      <c r="G477" s="33">
        <f>IF(J477="H",(SUMIFS(Transaksi!$G$2:$G$2001,Transaksi!$M$2:$M$2001,"&lt;="&amp;S477)+SUMIFS(Transaksi!$H$2:$H$2001,Transaksi!$M$2:$M$2001,"&lt;="&amp;S477)+SUMIFS(Transaksi!$I$2:$I$2001,Transaksi!$M$2:$M$2001,"&lt;="&amp;S477))-(SUMIFS(Transaksi!$J$2:$J$2001,Transaksi!$M$2:$M$2001,"&lt;="&amp;S477)),"")</f>
        <v/>
      </c>
      <c r="I477">
        <f>IF(474&gt;$O$2,"",MATCH(474,$Q$3:$Q$402,1))</f>
        <v/>
      </c>
      <c r="J477">
        <f>IF(I477="","",IF(474=INDEX($Q$3:$Q$402,I477),"H","E"))</f>
        <v/>
      </c>
      <c r="K477">
        <f>IF(J477&lt;&gt;"E","",MATCH(S477,Transaksi!$M$2:$M$2001,0)+474-INDEX($Q$3:$Q$402,I477)-1)</f>
        <v/>
      </c>
      <c r="S477">
        <f>IF(I477="","",INDEX($O$3:$O$402,I477))</f>
        <v/>
      </c>
      <c r="T477">
        <f>IF(J477&lt;&gt;"H","",INDEX(Transaksi!$A$2:$A$2001,MATCH(S477,Transaksi!$M$2:$M$2001,0)))</f>
        <v/>
      </c>
    </row>
    <row r="478">
      <c r="A478" s="31">
        <f>IF(J478="E",IF(INDEX(Transaksi!$J$2:$J$2001,K478)&gt;0,"↑","↓"),"")</f>
        <v/>
      </c>
      <c r="B478" s="32">
        <f>IF(J478="H",CHOOSE(WEEKDAY(T478,2),"Isnin","Selasa","Rabu","Khamis","Jumaat","Sabtu","Ahad")&amp;", "&amp;DAY(T478)&amp;" "&amp;CHOOSE(MONTH(T478),"Jan","Feb","Mac","Apr","Mei","Jun","Jul","Ogo","Sep","Okt","Nov","Dis")&amp;" "&amp;YEAR(T478),IF(J478="E",IF(INDEX(Transaksi!$B$2:$B$2001,K478)="",INDEX(Transaksi!$C$2:$C$2001,K478)&amp;" · "&amp;INDEX(Transaksi!$D$2:$D$2001,K478),INDEX(Transaksi!$B$2:$B$2001,K478)),""))</f>
        <v/>
      </c>
      <c r="C478" s="32">
        <f>IF(J478="E",INDEX(Transaksi!$C$2:$C$2001,K478)&amp;"","")</f>
        <v/>
      </c>
      <c r="D478" s="32">
        <f>IF(J478="E",INDEX(Transaksi!$D$2:$D$2001,K478)&amp;"","")</f>
        <v/>
      </c>
      <c r="E478" s="33">
        <f>IF(J478="H",SUMIFS(Transaksi!$G$2:$G$2001,Transaksi!$M$2:$M$2001,"="&amp;S478)+SUMIFS(Transaksi!$H$2:$H$2001,Transaksi!$M$2:$M$2001,"="&amp;S478)+SUMIFS(Transaksi!$I$2:$I$2001,Transaksi!$M$2:$M$2001,"="&amp;S478),IF(J478="E",IF(INDEX(Transaksi!$G$2:$G$2001,K478)+INDEX(Transaksi!$H$2:$H$2001,K478)+INDEX(Transaksi!$I$2:$I$2001,K478)=0,"",INDEX(Transaksi!$G$2:$G$2001,K478)+INDEX(Transaksi!$H$2:$H$2001,K478)+INDEX(Transaksi!$I$2:$I$2001,K478)),""))</f>
        <v/>
      </c>
      <c r="F478" s="33">
        <f>IF(J478="H",SUMIFS(Transaksi!$J$2:$J$2001,Transaksi!$M$2:$M$2001,"="&amp;S478),IF(J478="E",IF(INDEX(Transaksi!$J$2:$J$2001,K478)=0,"",INDEX(Transaksi!$J$2:$J$2001,K478)),""))</f>
        <v/>
      </c>
      <c r="G478" s="33">
        <f>IF(J478="H",(SUMIFS(Transaksi!$G$2:$G$2001,Transaksi!$M$2:$M$2001,"&lt;="&amp;S478)+SUMIFS(Transaksi!$H$2:$H$2001,Transaksi!$M$2:$M$2001,"&lt;="&amp;S478)+SUMIFS(Transaksi!$I$2:$I$2001,Transaksi!$M$2:$M$2001,"&lt;="&amp;S478))-(SUMIFS(Transaksi!$J$2:$J$2001,Transaksi!$M$2:$M$2001,"&lt;="&amp;S478)),"")</f>
        <v/>
      </c>
      <c r="I478">
        <f>IF(475&gt;$O$2,"",MATCH(475,$Q$3:$Q$402,1))</f>
        <v/>
      </c>
      <c r="J478">
        <f>IF(I478="","",IF(475=INDEX($Q$3:$Q$402,I478),"H","E"))</f>
        <v/>
      </c>
      <c r="K478">
        <f>IF(J478&lt;&gt;"E","",MATCH(S478,Transaksi!$M$2:$M$2001,0)+475-INDEX($Q$3:$Q$402,I478)-1)</f>
        <v/>
      </c>
      <c r="S478">
        <f>IF(I478="","",INDEX($O$3:$O$402,I478))</f>
        <v/>
      </c>
      <c r="T478">
        <f>IF(J478&lt;&gt;"H","",INDEX(Transaksi!$A$2:$A$2001,MATCH(S478,Transaksi!$M$2:$M$2001,0)))</f>
        <v/>
      </c>
    </row>
    <row r="479">
      <c r="A479" s="31">
        <f>IF(J479="E",IF(INDEX(Transaksi!$J$2:$J$2001,K479)&gt;0,"↑","↓"),"")</f>
        <v/>
      </c>
      <c r="B479" s="32">
        <f>IF(J479="H",CHOOSE(WEEKDAY(T479,2),"Isnin","Selasa","Rabu","Khamis","Jumaat","Sabtu","Ahad")&amp;", "&amp;DAY(T479)&amp;" "&amp;CHOOSE(MONTH(T479),"Jan","Feb","Mac","Apr","Mei","Jun","Jul","Ogo","Sep","Okt","Nov","Dis")&amp;" "&amp;YEAR(T479),IF(J479="E",IF(INDEX(Transaksi!$B$2:$B$2001,K479)="",INDEX(Transaksi!$C$2:$C$2001,K479)&amp;" · "&amp;INDEX(Transaksi!$D$2:$D$2001,K479),INDEX(Transaksi!$B$2:$B$2001,K479)),""))</f>
        <v/>
      </c>
      <c r="C479" s="32">
        <f>IF(J479="E",INDEX(Transaksi!$C$2:$C$2001,K479)&amp;"","")</f>
        <v/>
      </c>
      <c r="D479" s="32">
        <f>IF(J479="E",INDEX(Transaksi!$D$2:$D$2001,K479)&amp;"","")</f>
        <v/>
      </c>
      <c r="E479" s="33">
        <f>IF(J479="H",SUMIFS(Transaksi!$G$2:$G$2001,Transaksi!$M$2:$M$2001,"="&amp;S479)+SUMIFS(Transaksi!$H$2:$H$2001,Transaksi!$M$2:$M$2001,"="&amp;S479)+SUMIFS(Transaksi!$I$2:$I$2001,Transaksi!$M$2:$M$2001,"="&amp;S479),IF(J479="E",IF(INDEX(Transaksi!$G$2:$G$2001,K479)+INDEX(Transaksi!$H$2:$H$2001,K479)+INDEX(Transaksi!$I$2:$I$2001,K479)=0,"",INDEX(Transaksi!$G$2:$G$2001,K479)+INDEX(Transaksi!$H$2:$H$2001,K479)+INDEX(Transaksi!$I$2:$I$2001,K479)),""))</f>
        <v/>
      </c>
      <c r="F479" s="33">
        <f>IF(J479="H",SUMIFS(Transaksi!$J$2:$J$2001,Transaksi!$M$2:$M$2001,"="&amp;S479),IF(J479="E",IF(INDEX(Transaksi!$J$2:$J$2001,K479)=0,"",INDEX(Transaksi!$J$2:$J$2001,K479)),""))</f>
        <v/>
      </c>
      <c r="G479" s="33">
        <f>IF(J479="H",(SUMIFS(Transaksi!$G$2:$G$2001,Transaksi!$M$2:$M$2001,"&lt;="&amp;S479)+SUMIFS(Transaksi!$H$2:$H$2001,Transaksi!$M$2:$M$2001,"&lt;="&amp;S479)+SUMIFS(Transaksi!$I$2:$I$2001,Transaksi!$M$2:$M$2001,"&lt;="&amp;S479))-(SUMIFS(Transaksi!$J$2:$J$2001,Transaksi!$M$2:$M$2001,"&lt;="&amp;S479)),"")</f>
        <v/>
      </c>
      <c r="I479">
        <f>IF(476&gt;$O$2,"",MATCH(476,$Q$3:$Q$402,1))</f>
        <v/>
      </c>
      <c r="J479">
        <f>IF(I479="","",IF(476=INDEX($Q$3:$Q$402,I479),"H","E"))</f>
        <v/>
      </c>
      <c r="K479">
        <f>IF(J479&lt;&gt;"E","",MATCH(S479,Transaksi!$M$2:$M$2001,0)+476-INDEX($Q$3:$Q$402,I479)-1)</f>
        <v/>
      </c>
      <c r="S479">
        <f>IF(I479="","",INDEX($O$3:$O$402,I479))</f>
        <v/>
      </c>
      <c r="T479">
        <f>IF(J479&lt;&gt;"H","",INDEX(Transaksi!$A$2:$A$2001,MATCH(S479,Transaksi!$M$2:$M$2001,0)))</f>
        <v/>
      </c>
    </row>
    <row r="480">
      <c r="A480" s="31">
        <f>IF(J480="E",IF(INDEX(Transaksi!$J$2:$J$2001,K480)&gt;0,"↑","↓"),"")</f>
        <v/>
      </c>
      <c r="B480" s="32">
        <f>IF(J480="H",CHOOSE(WEEKDAY(T480,2),"Isnin","Selasa","Rabu","Khamis","Jumaat","Sabtu","Ahad")&amp;", "&amp;DAY(T480)&amp;" "&amp;CHOOSE(MONTH(T480),"Jan","Feb","Mac","Apr","Mei","Jun","Jul","Ogo","Sep","Okt","Nov","Dis")&amp;" "&amp;YEAR(T480),IF(J480="E",IF(INDEX(Transaksi!$B$2:$B$2001,K480)="",INDEX(Transaksi!$C$2:$C$2001,K480)&amp;" · "&amp;INDEX(Transaksi!$D$2:$D$2001,K480),INDEX(Transaksi!$B$2:$B$2001,K480)),""))</f>
        <v/>
      </c>
      <c r="C480" s="32">
        <f>IF(J480="E",INDEX(Transaksi!$C$2:$C$2001,K480)&amp;"","")</f>
        <v/>
      </c>
      <c r="D480" s="32">
        <f>IF(J480="E",INDEX(Transaksi!$D$2:$D$2001,K480)&amp;"","")</f>
        <v/>
      </c>
      <c r="E480" s="33">
        <f>IF(J480="H",SUMIFS(Transaksi!$G$2:$G$2001,Transaksi!$M$2:$M$2001,"="&amp;S480)+SUMIFS(Transaksi!$H$2:$H$2001,Transaksi!$M$2:$M$2001,"="&amp;S480)+SUMIFS(Transaksi!$I$2:$I$2001,Transaksi!$M$2:$M$2001,"="&amp;S480),IF(J480="E",IF(INDEX(Transaksi!$G$2:$G$2001,K480)+INDEX(Transaksi!$H$2:$H$2001,K480)+INDEX(Transaksi!$I$2:$I$2001,K480)=0,"",INDEX(Transaksi!$G$2:$G$2001,K480)+INDEX(Transaksi!$H$2:$H$2001,K480)+INDEX(Transaksi!$I$2:$I$2001,K480)),""))</f>
        <v/>
      </c>
      <c r="F480" s="33">
        <f>IF(J480="H",SUMIFS(Transaksi!$J$2:$J$2001,Transaksi!$M$2:$M$2001,"="&amp;S480),IF(J480="E",IF(INDEX(Transaksi!$J$2:$J$2001,K480)=0,"",INDEX(Transaksi!$J$2:$J$2001,K480)),""))</f>
        <v/>
      </c>
      <c r="G480" s="33">
        <f>IF(J480="H",(SUMIFS(Transaksi!$G$2:$G$2001,Transaksi!$M$2:$M$2001,"&lt;="&amp;S480)+SUMIFS(Transaksi!$H$2:$H$2001,Transaksi!$M$2:$M$2001,"&lt;="&amp;S480)+SUMIFS(Transaksi!$I$2:$I$2001,Transaksi!$M$2:$M$2001,"&lt;="&amp;S480))-(SUMIFS(Transaksi!$J$2:$J$2001,Transaksi!$M$2:$M$2001,"&lt;="&amp;S480)),"")</f>
        <v/>
      </c>
      <c r="I480">
        <f>IF(477&gt;$O$2,"",MATCH(477,$Q$3:$Q$402,1))</f>
        <v/>
      </c>
      <c r="J480">
        <f>IF(I480="","",IF(477=INDEX($Q$3:$Q$402,I480),"H","E"))</f>
        <v/>
      </c>
      <c r="K480">
        <f>IF(J480&lt;&gt;"E","",MATCH(S480,Transaksi!$M$2:$M$2001,0)+477-INDEX($Q$3:$Q$402,I480)-1)</f>
        <v/>
      </c>
      <c r="S480">
        <f>IF(I480="","",INDEX($O$3:$O$402,I480))</f>
        <v/>
      </c>
      <c r="T480">
        <f>IF(J480&lt;&gt;"H","",INDEX(Transaksi!$A$2:$A$2001,MATCH(S480,Transaksi!$M$2:$M$2001,0)))</f>
        <v/>
      </c>
    </row>
    <row r="481">
      <c r="A481" s="31">
        <f>IF(J481="E",IF(INDEX(Transaksi!$J$2:$J$2001,K481)&gt;0,"↑","↓"),"")</f>
        <v/>
      </c>
      <c r="B481" s="32">
        <f>IF(J481="H",CHOOSE(WEEKDAY(T481,2),"Isnin","Selasa","Rabu","Khamis","Jumaat","Sabtu","Ahad")&amp;", "&amp;DAY(T481)&amp;" "&amp;CHOOSE(MONTH(T481),"Jan","Feb","Mac","Apr","Mei","Jun","Jul","Ogo","Sep","Okt","Nov","Dis")&amp;" "&amp;YEAR(T481),IF(J481="E",IF(INDEX(Transaksi!$B$2:$B$2001,K481)="",INDEX(Transaksi!$C$2:$C$2001,K481)&amp;" · "&amp;INDEX(Transaksi!$D$2:$D$2001,K481),INDEX(Transaksi!$B$2:$B$2001,K481)),""))</f>
        <v/>
      </c>
      <c r="C481" s="32">
        <f>IF(J481="E",INDEX(Transaksi!$C$2:$C$2001,K481)&amp;"","")</f>
        <v/>
      </c>
      <c r="D481" s="32">
        <f>IF(J481="E",INDEX(Transaksi!$D$2:$D$2001,K481)&amp;"","")</f>
        <v/>
      </c>
      <c r="E481" s="33">
        <f>IF(J481="H",SUMIFS(Transaksi!$G$2:$G$2001,Transaksi!$M$2:$M$2001,"="&amp;S481)+SUMIFS(Transaksi!$H$2:$H$2001,Transaksi!$M$2:$M$2001,"="&amp;S481)+SUMIFS(Transaksi!$I$2:$I$2001,Transaksi!$M$2:$M$2001,"="&amp;S481),IF(J481="E",IF(INDEX(Transaksi!$G$2:$G$2001,K481)+INDEX(Transaksi!$H$2:$H$2001,K481)+INDEX(Transaksi!$I$2:$I$2001,K481)=0,"",INDEX(Transaksi!$G$2:$G$2001,K481)+INDEX(Transaksi!$H$2:$H$2001,K481)+INDEX(Transaksi!$I$2:$I$2001,K481)),""))</f>
        <v/>
      </c>
      <c r="F481" s="33">
        <f>IF(J481="H",SUMIFS(Transaksi!$J$2:$J$2001,Transaksi!$M$2:$M$2001,"="&amp;S481),IF(J481="E",IF(INDEX(Transaksi!$J$2:$J$2001,K481)=0,"",INDEX(Transaksi!$J$2:$J$2001,K481)),""))</f>
        <v/>
      </c>
      <c r="G481" s="33">
        <f>IF(J481="H",(SUMIFS(Transaksi!$G$2:$G$2001,Transaksi!$M$2:$M$2001,"&lt;="&amp;S481)+SUMIFS(Transaksi!$H$2:$H$2001,Transaksi!$M$2:$M$2001,"&lt;="&amp;S481)+SUMIFS(Transaksi!$I$2:$I$2001,Transaksi!$M$2:$M$2001,"&lt;="&amp;S481))-(SUMIFS(Transaksi!$J$2:$J$2001,Transaksi!$M$2:$M$2001,"&lt;="&amp;S481)),"")</f>
        <v/>
      </c>
      <c r="I481">
        <f>IF(478&gt;$O$2,"",MATCH(478,$Q$3:$Q$402,1))</f>
        <v/>
      </c>
      <c r="J481">
        <f>IF(I481="","",IF(478=INDEX($Q$3:$Q$402,I481),"H","E"))</f>
        <v/>
      </c>
      <c r="K481">
        <f>IF(J481&lt;&gt;"E","",MATCH(S481,Transaksi!$M$2:$M$2001,0)+478-INDEX($Q$3:$Q$402,I481)-1)</f>
        <v/>
      </c>
      <c r="S481">
        <f>IF(I481="","",INDEX($O$3:$O$402,I481))</f>
        <v/>
      </c>
      <c r="T481">
        <f>IF(J481&lt;&gt;"H","",INDEX(Transaksi!$A$2:$A$2001,MATCH(S481,Transaksi!$M$2:$M$2001,0)))</f>
        <v/>
      </c>
    </row>
    <row r="482">
      <c r="A482" s="31">
        <f>IF(J482="E",IF(INDEX(Transaksi!$J$2:$J$2001,K482)&gt;0,"↑","↓"),"")</f>
        <v/>
      </c>
      <c r="B482" s="32">
        <f>IF(J482="H",CHOOSE(WEEKDAY(T482,2),"Isnin","Selasa","Rabu","Khamis","Jumaat","Sabtu","Ahad")&amp;", "&amp;DAY(T482)&amp;" "&amp;CHOOSE(MONTH(T482),"Jan","Feb","Mac","Apr","Mei","Jun","Jul","Ogo","Sep","Okt","Nov","Dis")&amp;" "&amp;YEAR(T482),IF(J482="E",IF(INDEX(Transaksi!$B$2:$B$2001,K482)="",INDEX(Transaksi!$C$2:$C$2001,K482)&amp;" · "&amp;INDEX(Transaksi!$D$2:$D$2001,K482),INDEX(Transaksi!$B$2:$B$2001,K482)),""))</f>
        <v/>
      </c>
      <c r="C482" s="32">
        <f>IF(J482="E",INDEX(Transaksi!$C$2:$C$2001,K482)&amp;"","")</f>
        <v/>
      </c>
      <c r="D482" s="32">
        <f>IF(J482="E",INDEX(Transaksi!$D$2:$D$2001,K482)&amp;"","")</f>
        <v/>
      </c>
      <c r="E482" s="33">
        <f>IF(J482="H",SUMIFS(Transaksi!$G$2:$G$2001,Transaksi!$M$2:$M$2001,"="&amp;S482)+SUMIFS(Transaksi!$H$2:$H$2001,Transaksi!$M$2:$M$2001,"="&amp;S482)+SUMIFS(Transaksi!$I$2:$I$2001,Transaksi!$M$2:$M$2001,"="&amp;S482),IF(J482="E",IF(INDEX(Transaksi!$G$2:$G$2001,K482)+INDEX(Transaksi!$H$2:$H$2001,K482)+INDEX(Transaksi!$I$2:$I$2001,K482)=0,"",INDEX(Transaksi!$G$2:$G$2001,K482)+INDEX(Transaksi!$H$2:$H$2001,K482)+INDEX(Transaksi!$I$2:$I$2001,K482)),""))</f>
        <v/>
      </c>
      <c r="F482" s="33">
        <f>IF(J482="H",SUMIFS(Transaksi!$J$2:$J$2001,Transaksi!$M$2:$M$2001,"="&amp;S482),IF(J482="E",IF(INDEX(Transaksi!$J$2:$J$2001,K482)=0,"",INDEX(Transaksi!$J$2:$J$2001,K482)),""))</f>
        <v/>
      </c>
      <c r="G482" s="33">
        <f>IF(J482="H",(SUMIFS(Transaksi!$G$2:$G$2001,Transaksi!$M$2:$M$2001,"&lt;="&amp;S482)+SUMIFS(Transaksi!$H$2:$H$2001,Transaksi!$M$2:$M$2001,"&lt;="&amp;S482)+SUMIFS(Transaksi!$I$2:$I$2001,Transaksi!$M$2:$M$2001,"&lt;="&amp;S482))-(SUMIFS(Transaksi!$J$2:$J$2001,Transaksi!$M$2:$M$2001,"&lt;="&amp;S482)),"")</f>
        <v/>
      </c>
      <c r="I482">
        <f>IF(479&gt;$O$2,"",MATCH(479,$Q$3:$Q$402,1))</f>
        <v/>
      </c>
      <c r="J482">
        <f>IF(I482="","",IF(479=INDEX($Q$3:$Q$402,I482),"H","E"))</f>
        <v/>
      </c>
      <c r="K482">
        <f>IF(J482&lt;&gt;"E","",MATCH(S482,Transaksi!$M$2:$M$2001,0)+479-INDEX($Q$3:$Q$402,I482)-1)</f>
        <v/>
      </c>
      <c r="S482">
        <f>IF(I482="","",INDEX($O$3:$O$402,I482))</f>
        <v/>
      </c>
      <c r="T482">
        <f>IF(J482&lt;&gt;"H","",INDEX(Transaksi!$A$2:$A$2001,MATCH(S482,Transaksi!$M$2:$M$2001,0)))</f>
        <v/>
      </c>
    </row>
    <row r="483">
      <c r="A483" s="31">
        <f>IF(J483="E",IF(INDEX(Transaksi!$J$2:$J$2001,K483)&gt;0,"↑","↓"),"")</f>
        <v/>
      </c>
      <c r="B483" s="32">
        <f>IF(J483="H",CHOOSE(WEEKDAY(T483,2),"Isnin","Selasa","Rabu","Khamis","Jumaat","Sabtu","Ahad")&amp;", "&amp;DAY(T483)&amp;" "&amp;CHOOSE(MONTH(T483),"Jan","Feb","Mac","Apr","Mei","Jun","Jul","Ogo","Sep","Okt","Nov","Dis")&amp;" "&amp;YEAR(T483),IF(J483="E",IF(INDEX(Transaksi!$B$2:$B$2001,K483)="",INDEX(Transaksi!$C$2:$C$2001,K483)&amp;" · "&amp;INDEX(Transaksi!$D$2:$D$2001,K483),INDEX(Transaksi!$B$2:$B$2001,K483)),""))</f>
        <v/>
      </c>
      <c r="C483" s="32">
        <f>IF(J483="E",INDEX(Transaksi!$C$2:$C$2001,K483)&amp;"","")</f>
        <v/>
      </c>
      <c r="D483" s="32">
        <f>IF(J483="E",INDEX(Transaksi!$D$2:$D$2001,K483)&amp;"","")</f>
        <v/>
      </c>
      <c r="E483" s="33">
        <f>IF(J483="H",SUMIFS(Transaksi!$G$2:$G$2001,Transaksi!$M$2:$M$2001,"="&amp;S483)+SUMIFS(Transaksi!$H$2:$H$2001,Transaksi!$M$2:$M$2001,"="&amp;S483)+SUMIFS(Transaksi!$I$2:$I$2001,Transaksi!$M$2:$M$2001,"="&amp;S483),IF(J483="E",IF(INDEX(Transaksi!$G$2:$G$2001,K483)+INDEX(Transaksi!$H$2:$H$2001,K483)+INDEX(Transaksi!$I$2:$I$2001,K483)=0,"",INDEX(Transaksi!$G$2:$G$2001,K483)+INDEX(Transaksi!$H$2:$H$2001,K483)+INDEX(Transaksi!$I$2:$I$2001,K483)),""))</f>
        <v/>
      </c>
      <c r="F483" s="33">
        <f>IF(J483="H",SUMIFS(Transaksi!$J$2:$J$2001,Transaksi!$M$2:$M$2001,"="&amp;S483),IF(J483="E",IF(INDEX(Transaksi!$J$2:$J$2001,K483)=0,"",INDEX(Transaksi!$J$2:$J$2001,K483)),""))</f>
        <v/>
      </c>
      <c r="G483" s="33">
        <f>IF(J483="H",(SUMIFS(Transaksi!$G$2:$G$2001,Transaksi!$M$2:$M$2001,"&lt;="&amp;S483)+SUMIFS(Transaksi!$H$2:$H$2001,Transaksi!$M$2:$M$2001,"&lt;="&amp;S483)+SUMIFS(Transaksi!$I$2:$I$2001,Transaksi!$M$2:$M$2001,"&lt;="&amp;S483))-(SUMIFS(Transaksi!$J$2:$J$2001,Transaksi!$M$2:$M$2001,"&lt;="&amp;S483)),"")</f>
        <v/>
      </c>
      <c r="I483">
        <f>IF(480&gt;$O$2,"",MATCH(480,$Q$3:$Q$402,1))</f>
        <v/>
      </c>
      <c r="J483">
        <f>IF(I483="","",IF(480=INDEX($Q$3:$Q$402,I483),"H","E"))</f>
        <v/>
      </c>
      <c r="K483">
        <f>IF(J483&lt;&gt;"E","",MATCH(S483,Transaksi!$M$2:$M$2001,0)+480-INDEX($Q$3:$Q$402,I483)-1)</f>
        <v/>
      </c>
      <c r="S483">
        <f>IF(I483="","",INDEX($O$3:$O$402,I483))</f>
        <v/>
      </c>
      <c r="T483">
        <f>IF(J483&lt;&gt;"H","",INDEX(Transaksi!$A$2:$A$2001,MATCH(S483,Transaksi!$M$2:$M$2001,0)))</f>
        <v/>
      </c>
    </row>
    <row r="484">
      <c r="A484" s="31">
        <f>IF(J484="E",IF(INDEX(Transaksi!$J$2:$J$2001,K484)&gt;0,"↑","↓"),"")</f>
        <v/>
      </c>
      <c r="B484" s="32">
        <f>IF(J484="H",CHOOSE(WEEKDAY(T484,2),"Isnin","Selasa","Rabu","Khamis","Jumaat","Sabtu","Ahad")&amp;", "&amp;DAY(T484)&amp;" "&amp;CHOOSE(MONTH(T484),"Jan","Feb","Mac","Apr","Mei","Jun","Jul","Ogo","Sep","Okt","Nov","Dis")&amp;" "&amp;YEAR(T484),IF(J484="E",IF(INDEX(Transaksi!$B$2:$B$2001,K484)="",INDEX(Transaksi!$C$2:$C$2001,K484)&amp;" · "&amp;INDEX(Transaksi!$D$2:$D$2001,K484),INDEX(Transaksi!$B$2:$B$2001,K484)),""))</f>
        <v/>
      </c>
      <c r="C484" s="32">
        <f>IF(J484="E",INDEX(Transaksi!$C$2:$C$2001,K484)&amp;"","")</f>
        <v/>
      </c>
      <c r="D484" s="32">
        <f>IF(J484="E",INDEX(Transaksi!$D$2:$D$2001,K484)&amp;"","")</f>
        <v/>
      </c>
      <c r="E484" s="33">
        <f>IF(J484="H",SUMIFS(Transaksi!$G$2:$G$2001,Transaksi!$M$2:$M$2001,"="&amp;S484)+SUMIFS(Transaksi!$H$2:$H$2001,Transaksi!$M$2:$M$2001,"="&amp;S484)+SUMIFS(Transaksi!$I$2:$I$2001,Transaksi!$M$2:$M$2001,"="&amp;S484),IF(J484="E",IF(INDEX(Transaksi!$G$2:$G$2001,K484)+INDEX(Transaksi!$H$2:$H$2001,K484)+INDEX(Transaksi!$I$2:$I$2001,K484)=0,"",INDEX(Transaksi!$G$2:$G$2001,K484)+INDEX(Transaksi!$H$2:$H$2001,K484)+INDEX(Transaksi!$I$2:$I$2001,K484)),""))</f>
        <v/>
      </c>
      <c r="F484" s="33">
        <f>IF(J484="H",SUMIFS(Transaksi!$J$2:$J$2001,Transaksi!$M$2:$M$2001,"="&amp;S484),IF(J484="E",IF(INDEX(Transaksi!$J$2:$J$2001,K484)=0,"",INDEX(Transaksi!$J$2:$J$2001,K484)),""))</f>
        <v/>
      </c>
      <c r="G484" s="33">
        <f>IF(J484="H",(SUMIFS(Transaksi!$G$2:$G$2001,Transaksi!$M$2:$M$2001,"&lt;="&amp;S484)+SUMIFS(Transaksi!$H$2:$H$2001,Transaksi!$M$2:$M$2001,"&lt;="&amp;S484)+SUMIFS(Transaksi!$I$2:$I$2001,Transaksi!$M$2:$M$2001,"&lt;="&amp;S484))-(SUMIFS(Transaksi!$J$2:$J$2001,Transaksi!$M$2:$M$2001,"&lt;="&amp;S484)),"")</f>
        <v/>
      </c>
      <c r="I484">
        <f>IF(481&gt;$O$2,"",MATCH(481,$Q$3:$Q$402,1))</f>
        <v/>
      </c>
      <c r="J484">
        <f>IF(I484="","",IF(481=INDEX($Q$3:$Q$402,I484),"H","E"))</f>
        <v/>
      </c>
      <c r="K484">
        <f>IF(J484&lt;&gt;"E","",MATCH(S484,Transaksi!$M$2:$M$2001,0)+481-INDEX($Q$3:$Q$402,I484)-1)</f>
        <v/>
      </c>
      <c r="S484">
        <f>IF(I484="","",INDEX($O$3:$O$402,I484))</f>
        <v/>
      </c>
      <c r="T484">
        <f>IF(J484&lt;&gt;"H","",INDEX(Transaksi!$A$2:$A$2001,MATCH(S484,Transaksi!$M$2:$M$2001,0)))</f>
        <v/>
      </c>
    </row>
    <row r="485">
      <c r="A485" s="31">
        <f>IF(J485="E",IF(INDEX(Transaksi!$J$2:$J$2001,K485)&gt;0,"↑","↓"),"")</f>
        <v/>
      </c>
      <c r="B485" s="32">
        <f>IF(J485="H",CHOOSE(WEEKDAY(T485,2),"Isnin","Selasa","Rabu","Khamis","Jumaat","Sabtu","Ahad")&amp;", "&amp;DAY(T485)&amp;" "&amp;CHOOSE(MONTH(T485),"Jan","Feb","Mac","Apr","Mei","Jun","Jul","Ogo","Sep","Okt","Nov","Dis")&amp;" "&amp;YEAR(T485),IF(J485="E",IF(INDEX(Transaksi!$B$2:$B$2001,K485)="",INDEX(Transaksi!$C$2:$C$2001,K485)&amp;" · "&amp;INDEX(Transaksi!$D$2:$D$2001,K485),INDEX(Transaksi!$B$2:$B$2001,K485)),""))</f>
        <v/>
      </c>
      <c r="C485" s="32">
        <f>IF(J485="E",INDEX(Transaksi!$C$2:$C$2001,K485)&amp;"","")</f>
        <v/>
      </c>
      <c r="D485" s="32">
        <f>IF(J485="E",INDEX(Transaksi!$D$2:$D$2001,K485)&amp;"","")</f>
        <v/>
      </c>
      <c r="E485" s="33">
        <f>IF(J485="H",SUMIFS(Transaksi!$G$2:$G$2001,Transaksi!$M$2:$M$2001,"="&amp;S485)+SUMIFS(Transaksi!$H$2:$H$2001,Transaksi!$M$2:$M$2001,"="&amp;S485)+SUMIFS(Transaksi!$I$2:$I$2001,Transaksi!$M$2:$M$2001,"="&amp;S485),IF(J485="E",IF(INDEX(Transaksi!$G$2:$G$2001,K485)+INDEX(Transaksi!$H$2:$H$2001,K485)+INDEX(Transaksi!$I$2:$I$2001,K485)=0,"",INDEX(Transaksi!$G$2:$G$2001,K485)+INDEX(Transaksi!$H$2:$H$2001,K485)+INDEX(Transaksi!$I$2:$I$2001,K485)),""))</f>
        <v/>
      </c>
      <c r="F485" s="33">
        <f>IF(J485="H",SUMIFS(Transaksi!$J$2:$J$2001,Transaksi!$M$2:$M$2001,"="&amp;S485),IF(J485="E",IF(INDEX(Transaksi!$J$2:$J$2001,K485)=0,"",INDEX(Transaksi!$J$2:$J$2001,K485)),""))</f>
        <v/>
      </c>
      <c r="G485" s="33">
        <f>IF(J485="H",(SUMIFS(Transaksi!$G$2:$G$2001,Transaksi!$M$2:$M$2001,"&lt;="&amp;S485)+SUMIFS(Transaksi!$H$2:$H$2001,Transaksi!$M$2:$M$2001,"&lt;="&amp;S485)+SUMIFS(Transaksi!$I$2:$I$2001,Transaksi!$M$2:$M$2001,"&lt;="&amp;S485))-(SUMIFS(Transaksi!$J$2:$J$2001,Transaksi!$M$2:$M$2001,"&lt;="&amp;S485)),"")</f>
        <v/>
      </c>
      <c r="I485">
        <f>IF(482&gt;$O$2,"",MATCH(482,$Q$3:$Q$402,1))</f>
        <v/>
      </c>
      <c r="J485">
        <f>IF(I485="","",IF(482=INDEX($Q$3:$Q$402,I485),"H","E"))</f>
        <v/>
      </c>
      <c r="K485">
        <f>IF(J485&lt;&gt;"E","",MATCH(S485,Transaksi!$M$2:$M$2001,0)+482-INDEX($Q$3:$Q$402,I485)-1)</f>
        <v/>
      </c>
      <c r="S485">
        <f>IF(I485="","",INDEX($O$3:$O$402,I485))</f>
        <v/>
      </c>
      <c r="T485">
        <f>IF(J485&lt;&gt;"H","",INDEX(Transaksi!$A$2:$A$2001,MATCH(S485,Transaksi!$M$2:$M$2001,0)))</f>
        <v/>
      </c>
    </row>
    <row r="486">
      <c r="A486" s="31">
        <f>IF(J486="E",IF(INDEX(Transaksi!$J$2:$J$2001,K486)&gt;0,"↑","↓"),"")</f>
        <v/>
      </c>
      <c r="B486" s="32">
        <f>IF(J486="H",CHOOSE(WEEKDAY(T486,2),"Isnin","Selasa","Rabu","Khamis","Jumaat","Sabtu","Ahad")&amp;", "&amp;DAY(T486)&amp;" "&amp;CHOOSE(MONTH(T486),"Jan","Feb","Mac","Apr","Mei","Jun","Jul","Ogo","Sep","Okt","Nov","Dis")&amp;" "&amp;YEAR(T486),IF(J486="E",IF(INDEX(Transaksi!$B$2:$B$2001,K486)="",INDEX(Transaksi!$C$2:$C$2001,K486)&amp;" · "&amp;INDEX(Transaksi!$D$2:$D$2001,K486),INDEX(Transaksi!$B$2:$B$2001,K486)),""))</f>
        <v/>
      </c>
      <c r="C486" s="32">
        <f>IF(J486="E",INDEX(Transaksi!$C$2:$C$2001,K486)&amp;"","")</f>
        <v/>
      </c>
      <c r="D486" s="32">
        <f>IF(J486="E",INDEX(Transaksi!$D$2:$D$2001,K486)&amp;"","")</f>
        <v/>
      </c>
      <c r="E486" s="33">
        <f>IF(J486="H",SUMIFS(Transaksi!$G$2:$G$2001,Transaksi!$M$2:$M$2001,"="&amp;S486)+SUMIFS(Transaksi!$H$2:$H$2001,Transaksi!$M$2:$M$2001,"="&amp;S486)+SUMIFS(Transaksi!$I$2:$I$2001,Transaksi!$M$2:$M$2001,"="&amp;S486),IF(J486="E",IF(INDEX(Transaksi!$G$2:$G$2001,K486)+INDEX(Transaksi!$H$2:$H$2001,K486)+INDEX(Transaksi!$I$2:$I$2001,K486)=0,"",INDEX(Transaksi!$G$2:$G$2001,K486)+INDEX(Transaksi!$H$2:$H$2001,K486)+INDEX(Transaksi!$I$2:$I$2001,K486)),""))</f>
        <v/>
      </c>
      <c r="F486" s="33">
        <f>IF(J486="H",SUMIFS(Transaksi!$J$2:$J$2001,Transaksi!$M$2:$M$2001,"="&amp;S486),IF(J486="E",IF(INDEX(Transaksi!$J$2:$J$2001,K486)=0,"",INDEX(Transaksi!$J$2:$J$2001,K486)),""))</f>
        <v/>
      </c>
      <c r="G486" s="33">
        <f>IF(J486="H",(SUMIFS(Transaksi!$G$2:$G$2001,Transaksi!$M$2:$M$2001,"&lt;="&amp;S486)+SUMIFS(Transaksi!$H$2:$H$2001,Transaksi!$M$2:$M$2001,"&lt;="&amp;S486)+SUMIFS(Transaksi!$I$2:$I$2001,Transaksi!$M$2:$M$2001,"&lt;="&amp;S486))-(SUMIFS(Transaksi!$J$2:$J$2001,Transaksi!$M$2:$M$2001,"&lt;="&amp;S486)),"")</f>
        <v/>
      </c>
      <c r="I486">
        <f>IF(483&gt;$O$2,"",MATCH(483,$Q$3:$Q$402,1))</f>
        <v/>
      </c>
      <c r="J486">
        <f>IF(I486="","",IF(483=INDEX($Q$3:$Q$402,I486),"H","E"))</f>
        <v/>
      </c>
      <c r="K486">
        <f>IF(J486&lt;&gt;"E","",MATCH(S486,Transaksi!$M$2:$M$2001,0)+483-INDEX($Q$3:$Q$402,I486)-1)</f>
        <v/>
      </c>
      <c r="S486">
        <f>IF(I486="","",INDEX($O$3:$O$402,I486))</f>
        <v/>
      </c>
      <c r="T486">
        <f>IF(J486&lt;&gt;"H","",INDEX(Transaksi!$A$2:$A$2001,MATCH(S486,Transaksi!$M$2:$M$2001,0)))</f>
        <v/>
      </c>
    </row>
    <row r="487">
      <c r="A487" s="31">
        <f>IF(J487="E",IF(INDEX(Transaksi!$J$2:$J$2001,K487)&gt;0,"↑","↓"),"")</f>
        <v/>
      </c>
      <c r="B487" s="32">
        <f>IF(J487="H",CHOOSE(WEEKDAY(T487,2),"Isnin","Selasa","Rabu","Khamis","Jumaat","Sabtu","Ahad")&amp;", "&amp;DAY(T487)&amp;" "&amp;CHOOSE(MONTH(T487),"Jan","Feb","Mac","Apr","Mei","Jun","Jul","Ogo","Sep","Okt","Nov","Dis")&amp;" "&amp;YEAR(T487),IF(J487="E",IF(INDEX(Transaksi!$B$2:$B$2001,K487)="",INDEX(Transaksi!$C$2:$C$2001,K487)&amp;" · "&amp;INDEX(Transaksi!$D$2:$D$2001,K487),INDEX(Transaksi!$B$2:$B$2001,K487)),""))</f>
        <v/>
      </c>
      <c r="C487" s="32">
        <f>IF(J487="E",INDEX(Transaksi!$C$2:$C$2001,K487)&amp;"","")</f>
        <v/>
      </c>
      <c r="D487" s="32">
        <f>IF(J487="E",INDEX(Transaksi!$D$2:$D$2001,K487)&amp;"","")</f>
        <v/>
      </c>
      <c r="E487" s="33">
        <f>IF(J487="H",SUMIFS(Transaksi!$G$2:$G$2001,Transaksi!$M$2:$M$2001,"="&amp;S487)+SUMIFS(Transaksi!$H$2:$H$2001,Transaksi!$M$2:$M$2001,"="&amp;S487)+SUMIFS(Transaksi!$I$2:$I$2001,Transaksi!$M$2:$M$2001,"="&amp;S487),IF(J487="E",IF(INDEX(Transaksi!$G$2:$G$2001,K487)+INDEX(Transaksi!$H$2:$H$2001,K487)+INDEX(Transaksi!$I$2:$I$2001,K487)=0,"",INDEX(Transaksi!$G$2:$G$2001,K487)+INDEX(Transaksi!$H$2:$H$2001,K487)+INDEX(Transaksi!$I$2:$I$2001,K487)),""))</f>
        <v/>
      </c>
      <c r="F487" s="33">
        <f>IF(J487="H",SUMIFS(Transaksi!$J$2:$J$2001,Transaksi!$M$2:$M$2001,"="&amp;S487),IF(J487="E",IF(INDEX(Transaksi!$J$2:$J$2001,K487)=0,"",INDEX(Transaksi!$J$2:$J$2001,K487)),""))</f>
        <v/>
      </c>
      <c r="G487" s="33">
        <f>IF(J487="H",(SUMIFS(Transaksi!$G$2:$G$2001,Transaksi!$M$2:$M$2001,"&lt;="&amp;S487)+SUMIFS(Transaksi!$H$2:$H$2001,Transaksi!$M$2:$M$2001,"&lt;="&amp;S487)+SUMIFS(Transaksi!$I$2:$I$2001,Transaksi!$M$2:$M$2001,"&lt;="&amp;S487))-(SUMIFS(Transaksi!$J$2:$J$2001,Transaksi!$M$2:$M$2001,"&lt;="&amp;S487)),"")</f>
        <v/>
      </c>
      <c r="I487">
        <f>IF(484&gt;$O$2,"",MATCH(484,$Q$3:$Q$402,1))</f>
        <v/>
      </c>
      <c r="J487">
        <f>IF(I487="","",IF(484=INDEX($Q$3:$Q$402,I487),"H","E"))</f>
        <v/>
      </c>
      <c r="K487">
        <f>IF(J487&lt;&gt;"E","",MATCH(S487,Transaksi!$M$2:$M$2001,0)+484-INDEX($Q$3:$Q$402,I487)-1)</f>
        <v/>
      </c>
      <c r="S487">
        <f>IF(I487="","",INDEX($O$3:$O$402,I487))</f>
        <v/>
      </c>
      <c r="T487">
        <f>IF(J487&lt;&gt;"H","",INDEX(Transaksi!$A$2:$A$2001,MATCH(S487,Transaksi!$M$2:$M$2001,0)))</f>
        <v/>
      </c>
    </row>
    <row r="488">
      <c r="A488" s="31">
        <f>IF(J488="E",IF(INDEX(Transaksi!$J$2:$J$2001,K488)&gt;0,"↑","↓"),"")</f>
        <v/>
      </c>
      <c r="B488" s="32">
        <f>IF(J488="H",CHOOSE(WEEKDAY(T488,2),"Isnin","Selasa","Rabu","Khamis","Jumaat","Sabtu","Ahad")&amp;", "&amp;DAY(T488)&amp;" "&amp;CHOOSE(MONTH(T488),"Jan","Feb","Mac","Apr","Mei","Jun","Jul","Ogo","Sep","Okt","Nov","Dis")&amp;" "&amp;YEAR(T488),IF(J488="E",IF(INDEX(Transaksi!$B$2:$B$2001,K488)="",INDEX(Transaksi!$C$2:$C$2001,K488)&amp;" · "&amp;INDEX(Transaksi!$D$2:$D$2001,K488),INDEX(Transaksi!$B$2:$B$2001,K488)),""))</f>
        <v/>
      </c>
      <c r="C488" s="32">
        <f>IF(J488="E",INDEX(Transaksi!$C$2:$C$2001,K488)&amp;"","")</f>
        <v/>
      </c>
      <c r="D488" s="32">
        <f>IF(J488="E",INDEX(Transaksi!$D$2:$D$2001,K488)&amp;"","")</f>
        <v/>
      </c>
      <c r="E488" s="33">
        <f>IF(J488="H",SUMIFS(Transaksi!$G$2:$G$2001,Transaksi!$M$2:$M$2001,"="&amp;S488)+SUMIFS(Transaksi!$H$2:$H$2001,Transaksi!$M$2:$M$2001,"="&amp;S488)+SUMIFS(Transaksi!$I$2:$I$2001,Transaksi!$M$2:$M$2001,"="&amp;S488),IF(J488="E",IF(INDEX(Transaksi!$G$2:$G$2001,K488)+INDEX(Transaksi!$H$2:$H$2001,K488)+INDEX(Transaksi!$I$2:$I$2001,K488)=0,"",INDEX(Transaksi!$G$2:$G$2001,K488)+INDEX(Transaksi!$H$2:$H$2001,K488)+INDEX(Transaksi!$I$2:$I$2001,K488)),""))</f>
        <v/>
      </c>
      <c r="F488" s="33">
        <f>IF(J488="H",SUMIFS(Transaksi!$J$2:$J$2001,Transaksi!$M$2:$M$2001,"="&amp;S488),IF(J488="E",IF(INDEX(Transaksi!$J$2:$J$2001,K488)=0,"",INDEX(Transaksi!$J$2:$J$2001,K488)),""))</f>
        <v/>
      </c>
      <c r="G488" s="33">
        <f>IF(J488="H",(SUMIFS(Transaksi!$G$2:$G$2001,Transaksi!$M$2:$M$2001,"&lt;="&amp;S488)+SUMIFS(Transaksi!$H$2:$H$2001,Transaksi!$M$2:$M$2001,"&lt;="&amp;S488)+SUMIFS(Transaksi!$I$2:$I$2001,Transaksi!$M$2:$M$2001,"&lt;="&amp;S488))-(SUMIFS(Transaksi!$J$2:$J$2001,Transaksi!$M$2:$M$2001,"&lt;="&amp;S488)),"")</f>
        <v/>
      </c>
      <c r="I488">
        <f>IF(485&gt;$O$2,"",MATCH(485,$Q$3:$Q$402,1))</f>
        <v/>
      </c>
      <c r="J488">
        <f>IF(I488="","",IF(485=INDEX($Q$3:$Q$402,I488),"H","E"))</f>
        <v/>
      </c>
      <c r="K488">
        <f>IF(J488&lt;&gt;"E","",MATCH(S488,Transaksi!$M$2:$M$2001,0)+485-INDEX($Q$3:$Q$402,I488)-1)</f>
        <v/>
      </c>
      <c r="S488">
        <f>IF(I488="","",INDEX($O$3:$O$402,I488))</f>
        <v/>
      </c>
      <c r="T488">
        <f>IF(J488&lt;&gt;"H","",INDEX(Transaksi!$A$2:$A$2001,MATCH(S488,Transaksi!$M$2:$M$2001,0)))</f>
        <v/>
      </c>
    </row>
    <row r="489">
      <c r="A489" s="31">
        <f>IF(J489="E",IF(INDEX(Transaksi!$J$2:$J$2001,K489)&gt;0,"↑","↓"),"")</f>
        <v/>
      </c>
      <c r="B489" s="32">
        <f>IF(J489="H",CHOOSE(WEEKDAY(T489,2),"Isnin","Selasa","Rabu","Khamis","Jumaat","Sabtu","Ahad")&amp;", "&amp;DAY(T489)&amp;" "&amp;CHOOSE(MONTH(T489),"Jan","Feb","Mac","Apr","Mei","Jun","Jul","Ogo","Sep","Okt","Nov","Dis")&amp;" "&amp;YEAR(T489),IF(J489="E",IF(INDEX(Transaksi!$B$2:$B$2001,K489)="",INDEX(Transaksi!$C$2:$C$2001,K489)&amp;" · "&amp;INDEX(Transaksi!$D$2:$D$2001,K489),INDEX(Transaksi!$B$2:$B$2001,K489)),""))</f>
        <v/>
      </c>
      <c r="C489" s="32">
        <f>IF(J489="E",INDEX(Transaksi!$C$2:$C$2001,K489)&amp;"","")</f>
        <v/>
      </c>
      <c r="D489" s="32">
        <f>IF(J489="E",INDEX(Transaksi!$D$2:$D$2001,K489)&amp;"","")</f>
        <v/>
      </c>
      <c r="E489" s="33">
        <f>IF(J489="H",SUMIFS(Transaksi!$G$2:$G$2001,Transaksi!$M$2:$M$2001,"="&amp;S489)+SUMIFS(Transaksi!$H$2:$H$2001,Transaksi!$M$2:$M$2001,"="&amp;S489)+SUMIFS(Transaksi!$I$2:$I$2001,Transaksi!$M$2:$M$2001,"="&amp;S489),IF(J489="E",IF(INDEX(Transaksi!$G$2:$G$2001,K489)+INDEX(Transaksi!$H$2:$H$2001,K489)+INDEX(Transaksi!$I$2:$I$2001,K489)=0,"",INDEX(Transaksi!$G$2:$G$2001,K489)+INDEX(Transaksi!$H$2:$H$2001,K489)+INDEX(Transaksi!$I$2:$I$2001,K489)),""))</f>
        <v/>
      </c>
      <c r="F489" s="33">
        <f>IF(J489="H",SUMIFS(Transaksi!$J$2:$J$2001,Transaksi!$M$2:$M$2001,"="&amp;S489),IF(J489="E",IF(INDEX(Transaksi!$J$2:$J$2001,K489)=0,"",INDEX(Transaksi!$J$2:$J$2001,K489)),""))</f>
        <v/>
      </c>
      <c r="G489" s="33">
        <f>IF(J489="H",(SUMIFS(Transaksi!$G$2:$G$2001,Transaksi!$M$2:$M$2001,"&lt;="&amp;S489)+SUMIFS(Transaksi!$H$2:$H$2001,Transaksi!$M$2:$M$2001,"&lt;="&amp;S489)+SUMIFS(Transaksi!$I$2:$I$2001,Transaksi!$M$2:$M$2001,"&lt;="&amp;S489))-(SUMIFS(Transaksi!$J$2:$J$2001,Transaksi!$M$2:$M$2001,"&lt;="&amp;S489)),"")</f>
        <v/>
      </c>
      <c r="I489">
        <f>IF(486&gt;$O$2,"",MATCH(486,$Q$3:$Q$402,1))</f>
        <v/>
      </c>
      <c r="J489">
        <f>IF(I489="","",IF(486=INDEX($Q$3:$Q$402,I489),"H","E"))</f>
        <v/>
      </c>
      <c r="K489">
        <f>IF(J489&lt;&gt;"E","",MATCH(S489,Transaksi!$M$2:$M$2001,0)+486-INDEX($Q$3:$Q$402,I489)-1)</f>
        <v/>
      </c>
      <c r="S489">
        <f>IF(I489="","",INDEX($O$3:$O$402,I489))</f>
        <v/>
      </c>
      <c r="T489">
        <f>IF(J489&lt;&gt;"H","",INDEX(Transaksi!$A$2:$A$2001,MATCH(S489,Transaksi!$M$2:$M$2001,0)))</f>
        <v/>
      </c>
    </row>
    <row r="490">
      <c r="A490" s="31">
        <f>IF(J490="E",IF(INDEX(Transaksi!$J$2:$J$2001,K490)&gt;0,"↑","↓"),"")</f>
        <v/>
      </c>
      <c r="B490" s="32">
        <f>IF(J490="H",CHOOSE(WEEKDAY(T490,2),"Isnin","Selasa","Rabu","Khamis","Jumaat","Sabtu","Ahad")&amp;", "&amp;DAY(T490)&amp;" "&amp;CHOOSE(MONTH(T490),"Jan","Feb","Mac","Apr","Mei","Jun","Jul","Ogo","Sep","Okt","Nov","Dis")&amp;" "&amp;YEAR(T490),IF(J490="E",IF(INDEX(Transaksi!$B$2:$B$2001,K490)="",INDEX(Transaksi!$C$2:$C$2001,K490)&amp;" · "&amp;INDEX(Transaksi!$D$2:$D$2001,K490),INDEX(Transaksi!$B$2:$B$2001,K490)),""))</f>
        <v/>
      </c>
      <c r="C490" s="32">
        <f>IF(J490="E",INDEX(Transaksi!$C$2:$C$2001,K490)&amp;"","")</f>
        <v/>
      </c>
      <c r="D490" s="32">
        <f>IF(J490="E",INDEX(Transaksi!$D$2:$D$2001,K490)&amp;"","")</f>
        <v/>
      </c>
      <c r="E490" s="33">
        <f>IF(J490="H",SUMIFS(Transaksi!$G$2:$G$2001,Transaksi!$M$2:$M$2001,"="&amp;S490)+SUMIFS(Transaksi!$H$2:$H$2001,Transaksi!$M$2:$M$2001,"="&amp;S490)+SUMIFS(Transaksi!$I$2:$I$2001,Transaksi!$M$2:$M$2001,"="&amp;S490),IF(J490="E",IF(INDEX(Transaksi!$G$2:$G$2001,K490)+INDEX(Transaksi!$H$2:$H$2001,K490)+INDEX(Transaksi!$I$2:$I$2001,K490)=0,"",INDEX(Transaksi!$G$2:$G$2001,K490)+INDEX(Transaksi!$H$2:$H$2001,K490)+INDEX(Transaksi!$I$2:$I$2001,K490)),""))</f>
        <v/>
      </c>
      <c r="F490" s="33">
        <f>IF(J490="H",SUMIFS(Transaksi!$J$2:$J$2001,Transaksi!$M$2:$M$2001,"="&amp;S490),IF(J490="E",IF(INDEX(Transaksi!$J$2:$J$2001,K490)=0,"",INDEX(Transaksi!$J$2:$J$2001,K490)),""))</f>
        <v/>
      </c>
      <c r="G490" s="33">
        <f>IF(J490="H",(SUMIFS(Transaksi!$G$2:$G$2001,Transaksi!$M$2:$M$2001,"&lt;="&amp;S490)+SUMIFS(Transaksi!$H$2:$H$2001,Transaksi!$M$2:$M$2001,"&lt;="&amp;S490)+SUMIFS(Transaksi!$I$2:$I$2001,Transaksi!$M$2:$M$2001,"&lt;="&amp;S490))-(SUMIFS(Transaksi!$J$2:$J$2001,Transaksi!$M$2:$M$2001,"&lt;="&amp;S490)),"")</f>
        <v/>
      </c>
      <c r="I490">
        <f>IF(487&gt;$O$2,"",MATCH(487,$Q$3:$Q$402,1))</f>
        <v/>
      </c>
      <c r="J490">
        <f>IF(I490="","",IF(487=INDEX($Q$3:$Q$402,I490),"H","E"))</f>
        <v/>
      </c>
      <c r="K490">
        <f>IF(J490&lt;&gt;"E","",MATCH(S490,Transaksi!$M$2:$M$2001,0)+487-INDEX($Q$3:$Q$402,I490)-1)</f>
        <v/>
      </c>
      <c r="S490">
        <f>IF(I490="","",INDEX($O$3:$O$402,I490))</f>
        <v/>
      </c>
      <c r="T490">
        <f>IF(J490&lt;&gt;"H","",INDEX(Transaksi!$A$2:$A$2001,MATCH(S490,Transaksi!$M$2:$M$2001,0)))</f>
        <v/>
      </c>
    </row>
    <row r="491">
      <c r="A491" s="31">
        <f>IF(J491="E",IF(INDEX(Transaksi!$J$2:$J$2001,K491)&gt;0,"↑","↓"),"")</f>
        <v/>
      </c>
      <c r="B491" s="32">
        <f>IF(J491="H",CHOOSE(WEEKDAY(T491,2),"Isnin","Selasa","Rabu","Khamis","Jumaat","Sabtu","Ahad")&amp;", "&amp;DAY(T491)&amp;" "&amp;CHOOSE(MONTH(T491),"Jan","Feb","Mac","Apr","Mei","Jun","Jul","Ogo","Sep","Okt","Nov","Dis")&amp;" "&amp;YEAR(T491),IF(J491="E",IF(INDEX(Transaksi!$B$2:$B$2001,K491)="",INDEX(Transaksi!$C$2:$C$2001,K491)&amp;" · "&amp;INDEX(Transaksi!$D$2:$D$2001,K491),INDEX(Transaksi!$B$2:$B$2001,K491)),""))</f>
        <v/>
      </c>
      <c r="C491" s="32">
        <f>IF(J491="E",INDEX(Transaksi!$C$2:$C$2001,K491)&amp;"","")</f>
        <v/>
      </c>
      <c r="D491" s="32">
        <f>IF(J491="E",INDEX(Transaksi!$D$2:$D$2001,K491)&amp;"","")</f>
        <v/>
      </c>
      <c r="E491" s="33">
        <f>IF(J491="H",SUMIFS(Transaksi!$G$2:$G$2001,Transaksi!$M$2:$M$2001,"="&amp;S491)+SUMIFS(Transaksi!$H$2:$H$2001,Transaksi!$M$2:$M$2001,"="&amp;S491)+SUMIFS(Transaksi!$I$2:$I$2001,Transaksi!$M$2:$M$2001,"="&amp;S491),IF(J491="E",IF(INDEX(Transaksi!$G$2:$G$2001,K491)+INDEX(Transaksi!$H$2:$H$2001,K491)+INDEX(Transaksi!$I$2:$I$2001,K491)=0,"",INDEX(Transaksi!$G$2:$G$2001,K491)+INDEX(Transaksi!$H$2:$H$2001,K491)+INDEX(Transaksi!$I$2:$I$2001,K491)),""))</f>
        <v/>
      </c>
      <c r="F491" s="33">
        <f>IF(J491="H",SUMIFS(Transaksi!$J$2:$J$2001,Transaksi!$M$2:$M$2001,"="&amp;S491),IF(J491="E",IF(INDEX(Transaksi!$J$2:$J$2001,K491)=0,"",INDEX(Transaksi!$J$2:$J$2001,K491)),""))</f>
        <v/>
      </c>
      <c r="G491" s="33">
        <f>IF(J491="H",(SUMIFS(Transaksi!$G$2:$G$2001,Transaksi!$M$2:$M$2001,"&lt;="&amp;S491)+SUMIFS(Transaksi!$H$2:$H$2001,Transaksi!$M$2:$M$2001,"&lt;="&amp;S491)+SUMIFS(Transaksi!$I$2:$I$2001,Transaksi!$M$2:$M$2001,"&lt;="&amp;S491))-(SUMIFS(Transaksi!$J$2:$J$2001,Transaksi!$M$2:$M$2001,"&lt;="&amp;S491)),"")</f>
        <v/>
      </c>
      <c r="I491">
        <f>IF(488&gt;$O$2,"",MATCH(488,$Q$3:$Q$402,1))</f>
        <v/>
      </c>
      <c r="J491">
        <f>IF(I491="","",IF(488=INDEX($Q$3:$Q$402,I491),"H","E"))</f>
        <v/>
      </c>
      <c r="K491">
        <f>IF(J491&lt;&gt;"E","",MATCH(S491,Transaksi!$M$2:$M$2001,0)+488-INDEX($Q$3:$Q$402,I491)-1)</f>
        <v/>
      </c>
      <c r="S491">
        <f>IF(I491="","",INDEX($O$3:$O$402,I491))</f>
        <v/>
      </c>
      <c r="T491">
        <f>IF(J491&lt;&gt;"H","",INDEX(Transaksi!$A$2:$A$2001,MATCH(S491,Transaksi!$M$2:$M$2001,0)))</f>
        <v/>
      </c>
    </row>
    <row r="492">
      <c r="A492" s="31">
        <f>IF(J492="E",IF(INDEX(Transaksi!$J$2:$J$2001,K492)&gt;0,"↑","↓"),"")</f>
        <v/>
      </c>
      <c r="B492" s="32">
        <f>IF(J492="H",CHOOSE(WEEKDAY(T492,2),"Isnin","Selasa","Rabu","Khamis","Jumaat","Sabtu","Ahad")&amp;", "&amp;DAY(T492)&amp;" "&amp;CHOOSE(MONTH(T492),"Jan","Feb","Mac","Apr","Mei","Jun","Jul","Ogo","Sep","Okt","Nov","Dis")&amp;" "&amp;YEAR(T492),IF(J492="E",IF(INDEX(Transaksi!$B$2:$B$2001,K492)="",INDEX(Transaksi!$C$2:$C$2001,K492)&amp;" · "&amp;INDEX(Transaksi!$D$2:$D$2001,K492),INDEX(Transaksi!$B$2:$B$2001,K492)),""))</f>
        <v/>
      </c>
      <c r="C492" s="32">
        <f>IF(J492="E",INDEX(Transaksi!$C$2:$C$2001,K492)&amp;"","")</f>
        <v/>
      </c>
      <c r="D492" s="32">
        <f>IF(J492="E",INDEX(Transaksi!$D$2:$D$2001,K492)&amp;"","")</f>
        <v/>
      </c>
      <c r="E492" s="33">
        <f>IF(J492="H",SUMIFS(Transaksi!$G$2:$G$2001,Transaksi!$M$2:$M$2001,"="&amp;S492)+SUMIFS(Transaksi!$H$2:$H$2001,Transaksi!$M$2:$M$2001,"="&amp;S492)+SUMIFS(Transaksi!$I$2:$I$2001,Transaksi!$M$2:$M$2001,"="&amp;S492),IF(J492="E",IF(INDEX(Transaksi!$G$2:$G$2001,K492)+INDEX(Transaksi!$H$2:$H$2001,K492)+INDEX(Transaksi!$I$2:$I$2001,K492)=0,"",INDEX(Transaksi!$G$2:$G$2001,K492)+INDEX(Transaksi!$H$2:$H$2001,K492)+INDEX(Transaksi!$I$2:$I$2001,K492)),""))</f>
        <v/>
      </c>
      <c r="F492" s="33">
        <f>IF(J492="H",SUMIFS(Transaksi!$J$2:$J$2001,Transaksi!$M$2:$M$2001,"="&amp;S492),IF(J492="E",IF(INDEX(Transaksi!$J$2:$J$2001,K492)=0,"",INDEX(Transaksi!$J$2:$J$2001,K492)),""))</f>
        <v/>
      </c>
      <c r="G492" s="33">
        <f>IF(J492="H",(SUMIFS(Transaksi!$G$2:$G$2001,Transaksi!$M$2:$M$2001,"&lt;="&amp;S492)+SUMIFS(Transaksi!$H$2:$H$2001,Transaksi!$M$2:$M$2001,"&lt;="&amp;S492)+SUMIFS(Transaksi!$I$2:$I$2001,Transaksi!$M$2:$M$2001,"&lt;="&amp;S492))-(SUMIFS(Transaksi!$J$2:$J$2001,Transaksi!$M$2:$M$2001,"&lt;="&amp;S492)),"")</f>
        <v/>
      </c>
      <c r="I492">
        <f>IF(489&gt;$O$2,"",MATCH(489,$Q$3:$Q$402,1))</f>
        <v/>
      </c>
      <c r="J492">
        <f>IF(I492="","",IF(489=INDEX($Q$3:$Q$402,I492),"H","E"))</f>
        <v/>
      </c>
      <c r="K492">
        <f>IF(J492&lt;&gt;"E","",MATCH(S492,Transaksi!$M$2:$M$2001,0)+489-INDEX($Q$3:$Q$402,I492)-1)</f>
        <v/>
      </c>
      <c r="S492">
        <f>IF(I492="","",INDEX($O$3:$O$402,I492))</f>
        <v/>
      </c>
      <c r="T492">
        <f>IF(J492&lt;&gt;"H","",INDEX(Transaksi!$A$2:$A$2001,MATCH(S492,Transaksi!$M$2:$M$2001,0)))</f>
        <v/>
      </c>
    </row>
    <row r="493">
      <c r="A493" s="31">
        <f>IF(J493="E",IF(INDEX(Transaksi!$J$2:$J$2001,K493)&gt;0,"↑","↓"),"")</f>
        <v/>
      </c>
      <c r="B493" s="32">
        <f>IF(J493="H",CHOOSE(WEEKDAY(T493,2),"Isnin","Selasa","Rabu","Khamis","Jumaat","Sabtu","Ahad")&amp;", "&amp;DAY(T493)&amp;" "&amp;CHOOSE(MONTH(T493),"Jan","Feb","Mac","Apr","Mei","Jun","Jul","Ogo","Sep","Okt","Nov","Dis")&amp;" "&amp;YEAR(T493),IF(J493="E",IF(INDEX(Transaksi!$B$2:$B$2001,K493)="",INDEX(Transaksi!$C$2:$C$2001,K493)&amp;" · "&amp;INDEX(Transaksi!$D$2:$D$2001,K493),INDEX(Transaksi!$B$2:$B$2001,K493)),""))</f>
        <v/>
      </c>
      <c r="C493" s="32">
        <f>IF(J493="E",INDEX(Transaksi!$C$2:$C$2001,K493)&amp;"","")</f>
        <v/>
      </c>
      <c r="D493" s="32">
        <f>IF(J493="E",INDEX(Transaksi!$D$2:$D$2001,K493)&amp;"","")</f>
        <v/>
      </c>
      <c r="E493" s="33">
        <f>IF(J493="H",SUMIFS(Transaksi!$G$2:$G$2001,Transaksi!$M$2:$M$2001,"="&amp;S493)+SUMIFS(Transaksi!$H$2:$H$2001,Transaksi!$M$2:$M$2001,"="&amp;S493)+SUMIFS(Transaksi!$I$2:$I$2001,Transaksi!$M$2:$M$2001,"="&amp;S493),IF(J493="E",IF(INDEX(Transaksi!$G$2:$G$2001,K493)+INDEX(Transaksi!$H$2:$H$2001,K493)+INDEX(Transaksi!$I$2:$I$2001,K493)=0,"",INDEX(Transaksi!$G$2:$G$2001,K493)+INDEX(Transaksi!$H$2:$H$2001,K493)+INDEX(Transaksi!$I$2:$I$2001,K493)),""))</f>
        <v/>
      </c>
      <c r="F493" s="33">
        <f>IF(J493="H",SUMIFS(Transaksi!$J$2:$J$2001,Transaksi!$M$2:$M$2001,"="&amp;S493),IF(J493="E",IF(INDEX(Transaksi!$J$2:$J$2001,K493)=0,"",INDEX(Transaksi!$J$2:$J$2001,K493)),""))</f>
        <v/>
      </c>
      <c r="G493" s="33">
        <f>IF(J493="H",(SUMIFS(Transaksi!$G$2:$G$2001,Transaksi!$M$2:$M$2001,"&lt;="&amp;S493)+SUMIFS(Transaksi!$H$2:$H$2001,Transaksi!$M$2:$M$2001,"&lt;="&amp;S493)+SUMIFS(Transaksi!$I$2:$I$2001,Transaksi!$M$2:$M$2001,"&lt;="&amp;S493))-(SUMIFS(Transaksi!$J$2:$J$2001,Transaksi!$M$2:$M$2001,"&lt;="&amp;S493)),"")</f>
        <v/>
      </c>
      <c r="I493">
        <f>IF(490&gt;$O$2,"",MATCH(490,$Q$3:$Q$402,1))</f>
        <v/>
      </c>
      <c r="J493">
        <f>IF(I493="","",IF(490=INDEX($Q$3:$Q$402,I493),"H","E"))</f>
        <v/>
      </c>
      <c r="K493">
        <f>IF(J493&lt;&gt;"E","",MATCH(S493,Transaksi!$M$2:$M$2001,0)+490-INDEX($Q$3:$Q$402,I493)-1)</f>
        <v/>
      </c>
      <c r="S493">
        <f>IF(I493="","",INDEX($O$3:$O$402,I493))</f>
        <v/>
      </c>
      <c r="T493">
        <f>IF(J493&lt;&gt;"H","",INDEX(Transaksi!$A$2:$A$2001,MATCH(S493,Transaksi!$M$2:$M$2001,0)))</f>
        <v/>
      </c>
    </row>
    <row r="494">
      <c r="A494" s="31">
        <f>IF(J494="E",IF(INDEX(Transaksi!$J$2:$J$2001,K494)&gt;0,"↑","↓"),"")</f>
        <v/>
      </c>
      <c r="B494" s="32">
        <f>IF(J494="H",CHOOSE(WEEKDAY(T494,2),"Isnin","Selasa","Rabu","Khamis","Jumaat","Sabtu","Ahad")&amp;", "&amp;DAY(T494)&amp;" "&amp;CHOOSE(MONTH(T494),"Jan","Feb","Mac","Apr","Mei","Jun","Jul","Ogo","Sep","Okt","Nov","Dis")&amp;" "&amp;YEAR(T494),IF(J494="E",IF(INDEX(Transaksi!$B$2:$B$2001,K494)="",INDEX(Transaksi!$C$2:$C$2001,K494)&amp;" · "&amp;INDEX(Transaksi!$D$2:$D$2001,K494),INDEX(Transaksi!$B$2:$B$2001,K494)),""))</f>
        <v/>
      </c>
      <c r="C494" s="32">
        <f>IF(J494="E",INDEX(Transaksi!$C$2:$C$2001,K494)&amp;"","")</f>
        <v/>
      </c>
      <c r="D494" s="32">
        <f>IF(J494="E",INDEX(Transaksi!$D$2:$D$2001,K494)&amp;"","")</f>
        <v/>
      </c>
      <c r="E494" s="33">
        <f>IF(J494="H",SUMIFS(Transaksi!$G$2:$G$2001,Transaksi!$M$2:$M$2001,"="&amp;S494)+SUMIFS(Transaksi!$H$2:$H$2001,Transaksi!$M$2:$M$2001,"="&amp;S494)+SUMIFS(Transaksi!$I$2:$I$2001,Transaksi!$M$2:$M$2001,"="&amp;S494),IF(J494="E",IF(INDEX(Transaksi!$G$2:$G$2001,K494)+INDEX(Transaksi!$H$2:$H$2001,K494)+INDEX(Transaksi!$I$2:$I$2001,K494)=0,"",INDEX(Transaksi!$G$2:$G$2001,K494)+INDEX(Transaksi!$H$2:$H$2001,K494)+INDEX(Transaksi!$I$2:$I$2001,K494)),""))</f>
        <v/>
      </c>
      <c r="F494" s="33">
        <f>IF(J494="H",SUMIFS(Transaksi!$J$2:$J$2001,Transaksi!$M$2:$M$2001,"="&amp;S494),IF(J494="E",IF(INDEX(Transaksi!$J$2:$J$2001,K494)=0,"",INDEX(Transaksi!$J$2:$J$2001,K494)),""))</f>
        <v/>
      </c>
      <c r="G494" s="33">
        <f>IF(J494="H",(SUMIFS(Transaksi!$G$2:$G$2001,Transaksi!$M$2:$M$2001,"&lt;="&amp;S494)+SUMIFS(Transaksi!$H$2:$H$2001,Transaksi!$M$2:$M$2001,"&lt;="&amp;S494)+SUMIFS(Transaksi!$I$2:$I$2001,Transaksi!$M$2:$M$2001,"&lt;="&amp;S494))-(SUMIFS(Transaksi!$J$2:$J$2001,Transaksi!$M$2:$M$2001,"&lt;="&amp;S494)),"")</f>
        <v/>
      </c>
      <c r="I494">
        <f>IF(491&gt;$O$2,"",MATCH(491,$Q$3:$Q$402,1))</f>
        <v/>
      </c>
      <c r="J494">
        <f>IF(I494="","",IF(491=INDEX($Q$3:$Q$402,I494),"H","E"))</f>
        <v/>
      </c>
      <c r="K494">
        <f>IF(J494&lt;&gt;"E","",MATCH(S494,Transaksi!$M$2:$M$2001,0)+491-INDEX($Q$3:$Q$402,I494)-1)</f>
        <v/>
      </c>
      <c r="S494">
        <f>IF(I494="","",INDEX($O$3:$O$402,I494))</f>
        <v/>
      </c>
      <c r="T494">
        <f>IF(J494&lt;&gt;"H","",INDEX(Transaksi!$A$2:$A$2001,MATCH(S494,Transaksi!$M$2:$M$2001,0)))</f>
        <v/>
      </c>
    </row>
    <row r="495">
      <c r="A495" s="31">
        <f>IF(J495="E",IF(INDEX(Transaksi!$J$2:$J$2001,K495)&gt;0,"↑","↓"),"")</f>
        <v/>
      </c>
      <c r="B495" s="32">
        <f>IF(J495="H",CHOOSE(WEEKDAY(T495,2),"Isnin","Selasa","Rabu","Khamis","Jumaat","Sabtu","Ahad")&amp;", "&amp;DAY(T495)&amp;" "&amp;CHOOSE(MONTH(T495),"Jan","Feb","Mac","Apr","Mei","Jun","Jul","Ogo","Sep","Okt","Nov","Dis")&amp;" "&amp;YEAR(T495),IF(J495="E",IF(INDEX(Transaksi!$B$2:$B$2001,K495)="",INDEX(Transaksi!$C$2:$C$2001,K495)&amp;" · "&amp;INDEX(Transaksi!$D$2:$D$2001,K495),INDEX(Transaksi!$B$2:$B$2001,K495)),""))</f>
        <v/>
      </c>
      <c r="C495" s="32">
        <f>IF(J495="E",INDEX(Transaksi!$C$2:$C$2001,K495)&amp;"","")</f>
        <v/>
      </c>
      <c r="D495" s="32">
        <f>IF(J495="E",INDEX(Transaksi!$D$2:$D$2001,K495)&amp;"","")</f>
        <v/>
      </c>
      <c r="E495" s="33">
        <f>IF(J495="H",SUMIFS(Transaksi!$G$2:$G$2001,Transaksi!$M$2:$M$2001,"="&amp;S495)+SUMIFS(Transaksi!$H$2:$H$2001,Transaksi!$M$2:$M$2001,"="&amp;S495)+SUMIFS(Transaksi!$I$2:$I$2001,Transaksi!$M$2:$M$2001,"="&amp;S495),IF(J495="E",IF(INDEX(Transaksi!$G$2:$G$2001,K495)+INDEX(Transaksi!$H$2:$H$2001,K495)+INDEX(Transaksi!$I$2:$I$2001,K495)=0,"",INDEX(Transaksi!$G$2:$G$2001,K495)+INDEX(Transaksi!$H$2:$H$2001,K495)+INDEX(Transaksi!$I$2:$I$2001,K495)),""))</f>
        <v/>
      </c>
      <c r="F495" s="33">
        <f>IF(J495="H",SUMIFS(Transaksi!$J$2:$J$2001,Transaksi!$M$2:$M$2001,"="&amp;S495),IF(J495="E",IF(INDEX(Transaksi!$J$2:$J$2001,K495)=0,"",INDEX(Transaksi!$J$2:$J$2001,K495)),""))</f>
        <v/>
      </c>
      <c r="G495" s="33">
        <f>IF(J495="H",(SUMIFS(Transaksi!$G$2:$G$2001,Transaksi!$M$2:$M$2001,"&lt;="&amp;S495)+SUMIFS(Transaksi!$H$2:$H$2001,Transaksi!$M$2:$M$2001,"&lt;="&amp;S495)+SUMIFS(Transaksi!$I$2:$I$2001,Transaksi!$M$2:$M$2001,"&lt;="&amp;S495))-(SUMIFS(Transaksi!$J$2:$J$2001,Transaksi!$M$2:$M$2001,"&lt;="&amp;S495)),"")</f>
        <v/>
      </c>
      <c r="I495">
        <f>IF(492&gt;$O$2,"",MATCH(492,$Q$3:$Q$402,1))</f>
        <v/>
      </c>
      <c r="J495">
        <f>IF(I495="","",IF(492=INDEX($Q$3:$Q$402,I495),"H","E"))</f>
        <v/>
      </c>
      <c r="K495">
        <f>IF(J495&lt;&gt;"E","",MATCH(S495,Transaksi!$M$2:$M$2001,0)+492-INDEX($Q$3:$Q$402,I495)-1)</f>
        <v/>
      </c>
      <c r="S495">
        <f>IF(I495="","",INDEX($O$3:$O$402,I495))</f>
        <v/>
      </c>
      <c r="T495">
        <f>IF(J495&lt;&gt;"H","",INDEX(Transaksi!$A$2:$A$2001,MATCH(S495,Transaksi!$M$2:$M$2001,0)))</f>
        <v/>
      </c>
    </row>
    <row r="496">
      <c r="A496" s="31">
        <f>IF(J496="E",IF(INDEX(Transaksi!$J$2:$J$2001,K496)&gt;0,"↑","↓"),"")</f>
        <v/>
      </c>
      <c r="B496" s="32">
        <f>IF(J496="H",CHOOSE(WEEKDAY(T496,2),"Isnin","Selasa","Rabu","Khamis","Jumaat","Sabtu","Ahad")&amp;", "&amp;DAY(T496)&amp;" "&amp;CHOOSE(MONTH(T496),"Jan","Feb","Mac","Apr","Mei","Jun","Jul","Ogo","Sep","Okt","Nov","Dis")&amp;" "&amp;YEAR(T496),IF(J496="E",IF(INDEX(Transaksi!$B$2:$B$2001,K496)="",INDEX(Transaksi!$C$2:$C$2001,K496)&amp;" · "&amp;INDEX(Transaksi!$D$2:$D$2001,K496),INDEX(Transaksi!$B$2:$B$2001,K496)),""))</f>
        <v/>
      </c>
      <c r="C496" s="32">
        <f>IF(J496="E",INDEX(Transaksi!$C$2:$C$2001,K496)&amp;"","")</f>
        <v/>
      </c>
      <c r="D496" s="32">
        <f>IF(J496="E",INDEX(Transaksi!$D$2:$D$2001,K496)&amp;"","")</f>
        <v/>
      </c>
      <c r="E496" s="33">
        <f>IF(J496="H",SUMIFS(Transaksi!$G$2:$G$2001,Transaksi!$M$2:$M$2001,"="&amp;S496)+SUMIFS(Transaksi!$H$2:$H$2001,Transaksi!$M$2:$M$2001,"="&amp;S496)+SUMIFS(Transaksi!$I$2:$I$2001,Transaksi!$M$2:$M$2001,"="&amp;S496),IF(J496="E",IF(INDEX(Transaksi!$G$2:$G$2001,K496)+INDEX(Transaksi!$H$2:$H$2001,K496)+INDEX(Transaksi!$I$2:$I$2001,K496)=0,"",INDEX(Transaksi!$G$2:$G$2001,K496)+INDEX(Transaksi!$H$2:$H$2001,K496)+INDEX(Transaksi!$I$2:$I$2001,K496)),""))</f>
        <v/>
      </c>
      <c r="F496" s="33">
        <f>IF(J496="H",SUMIFS(Transaksi!$J$2:$J$2001,Transaksi!$M$2:$M$2001,"="&amp;S496),IF(J496="E",IF(INDEX(Transaksi!$J$2:$J$2001,K496)=0,"",INDEX(Transaksi!$J$2:$J$2001,K496)),""))</f>
        <v/>
      </c>
      <c r="G496" s="33">
        <f>IF(J496="H",(SUMIFS(Transaksi!$G$2:$G$2001,Transaksi!$M$2:$M$2001,"&lt;="&amp;S496)+SUMIFS(Transaksi!$H$2:$H$2001,Transaksi!$M$2:$M$2001,"&lt;="&amp;S496)+SUMIFS(Transaksi!$I$2:$I$2001,Transaksi!$M$2:$M$2001,"&lt;="&amp;S496))-(SUMIFS(Transaksi!$J$2:$J$2001,Transaksi!$M$2:$M$2001,"&lt;="&amp;S496)),"")</f>
        <v/>
      </c>
      <c r="I496">
        <f>IF(493&gt;$O$2,"",MATCH(493,$Q$3:$Q$402,1))</f>
        <v/>
      </c>
      <c r="J496">
        <f>IF(I496="","",IF(493=INDEX($Q$3:$Q$402,I496),"H","E"))</f>
        <v/>
      </c>
      <c r="K496">
        <f>IF(J496&lt;&gt;"E","",MATCH(S496,Transaksi!$M$2:$M$2001,0)+493-INDEX($Q$3:$Q$402,I496)-1)</f>
        <v/>
      </c>
      <c r="S496">
        <f>IF(I496="","",INDEX($O$3:$O$402,I496))</f>
        <v/>
      </c>
      <c r="T496">
        <f>IF(J496&lt;&gt;"H","",INDEX(Transaksi!$A$2:$A$2001,MATCH(S496,Transaksi!$M$2:$M$2001,0)))</f>
        <v/>
      </c>
    </row>
    <row r="497">
      <c r="A497" s="31">
        <f>IF(J497="E",IF(INDEX(Transaksi!$J$2:$J$2001,K497)&gt;0,"↑","↓"),"")</f>
        <v/>
      </c>
      <c r="B497" s="32">
        <f>IF(J497="H",CHOOSE(WEEKDAY(T497,2),"Isnin","Selasa","Rabu","Khamis","Jumaat","Sabtu","Ahad")&amp;", "&amp;DAY(T497)&amp;" "&amp;CHOOSE(MONTH(T497),"Jan","Feb","Mac","Apr","Mei","Jun","Jul","Ogo","Sep","Okt","Nov","Dis")&amp;" "&amp;YEAR(T497),IF(J497="E",IF(INDEX(Transaksi!$B$2:$B$2001,K497)="",INDEX(Transaksi!$C$2:$C$2001,K497)&amp;" · "&amp;INDEX(Transaksi!$D$2:$D$2001,K497),INDEX(Transaksi!$B$2:$B$2001,K497)),""))</f>
        <v/>
      </c>
      <c r="C497" s="32">
        <f>IF(J497="E",INDEX(Transaksi!$C$2:$C$2001,K497)&amp;"","")</f>
        <v/>
      </c>
      <c r="D497" s="32">
        <f>IF(J497="E",INDEX(Transaksi!$D$2:$D$2001,K497)&amp;"","")</f>
        <v/>
      </c>
      <c r="E497" s="33">
        <f>IF(J497="H",SUMIFS(Transaksi!$G$2:$G$2001,Transaksi!$M$2:$M$2001,"="&amp;S497)+SUMIFS(Transaksi!$H$2:$H$2001,Transaksi!$M$2:$M$2001,"="&amp;S497)+SUMIFS(Transaksi!$I$2:$I$2001,Transaksi!$M$2:$M$2001,"="&amp;S497),IF(J497="E",IF(INDEX(Transaksi!$G$2:$G$2001,K497)+INDEX(Transaksi!$H$2:$H$2001,K497)+INDEX(Transaksi!$I$2:$I$2001,K497)=0,"",INDEX(Transaksi!$G$2:$G$2001,K497)+INDEX(Transaksi!$H$2:$H$2001,K497)+INDEX(Transaksi!$I$2:$I$2001,K497)),""))</f>
        <v/>
      </c>
      <c r="F497" s="33">
        <f>IF(J497="H",SUMIFS(Transaksi!$J$2:$J$2001,Transaksi!$M$2:$M$2001,"="&amp;S497),IF(J497="E",IF(INDEX(Transaksi!$J$2:$J$2001,K497)=0,"",INDEX(Transaksi!$J$2:$J$2001,K497)),""))</f>
        <v/>
      </c>
      <c r="G497" s="33">
        <f>IF(J497="H",(SUMIFS(Transaksi!$G$2:$G$2001,Transaksi!$M$2:$M$2001,"&lt;="&amp;S497)+SUMIFS(Transaksi!$H$2:$H$2001,Transaksi!$M$2:$M$2001,"&lt;="&amp;S497)+SUMIFS(Transaksi!$I$2:$I$2001,Transaksi!$M$2:$M$2001,"&lt;="&amp;S497))-(SUMIFS(Transaksi!$J$2:$J$2001,Transaksi!$M$2:$M$2001,"&lt;="&amp;S497)),"")</f>
        <v/>
      </c>
      <c r="I497">
        <f>IF(494&gt;$O$2,"",MATCH(494,$Q$3:$Q$402,1))</f>
        <v/>
      </c>
      <c r="J497">
        <f>IF(I497="","",IF(494=INDEX($Q$3:$Q$402,I497),"H","E"))</f>
        <v/>
      </c>
      <c r="K497">
        <f>IF(J497&lt;&gt;"E","",MATCH(S497,Transaksi!$M$2:$M$2001,0)+494-INDEX($Q$3:$Q$402,I497)-1)</f>
        <v/>
      </c>
      <c r="S497">
        <f>IF(I497="","",INDEX($O$3:$O$402,I497))</f>
        <v/>
      </c>
      <c r="T497">
        <f>IF(J497&lt;&gt;"H","",INDEX(Transaksi!$A$2:$A$2001,MATCH(S497,Transaksi!$M$2:$M$2001,0)))</f>
        <v/>
      </c>
    </row>
    <row r="498">
      <c r="A498" s="31">
        <f>IF(J498="E",IF(INDEX(Transaksi!$J$2:$J$2001,K498)&gt;0,"↑","↓"),"")</f>
        <v/>
      </c>
      <c r="B498" s="32">
        <f>IF(J498="H",CHOOSE(WEEKDAY(T498,2),"Isnin","Selasa","Rabu","Khamis","Jumaat","Sabtu","Ahad")&amp;", "&amp;DAY(T498)&amp;" "&amp;CHOOSE(MONTH(T498),"Jan","Feb","Mac","Apr","Mei","Jun","Jul","Ogo","Sep","Okt","Nov","Dis")&amp;" "&amp;YEAR(T498),IF(J498="E",IF(INDEX(Transaksi!$B$2:$B$2001,K498)="",INDEX(Transaksi!$C$2:$C$2001,K498)&amp;" · "&amp;INDEX(Transaksi!$D$2:$D$2001,K498),INDEX(Transaksi!$B$2:$B$2001,K498)),""))</f>
        <v/>
      </c>
      <c r="C498" s="32">
        <f>IF(J498="E",INDEX(Transaksi!$C$2:$C$2001,K498)&amp;"","")</f>
        <v/>
      </c>
      <c r="D498" s="32">
        <f>IF(J498="E",INDEX(Transaksi!$D$2:$D$2001,K498)&amp;"","")</f>
        <v/>
      </c>
      <c r="E498" s="33">
        <f>IF(J498="H",SUMIFS(Transaksi!$G$2:$G$2001,Transaksi!$M$2:$M$2001,"="&amp;S498)+SUMIFS(Transaksi!$H$2:$H$2001,Transaksi!$M$2:$M$2001,"="&amp;S498)+SUMIFS(Transaksi!$I$2:$I$2001,Transaksi!$M$2:$M$2001,"="&amp;S498),IF(J498="E",IF(INDEX(Transaksi!$G$2:$G$2001,K498)+INDEX(Transaksi!$H$2:$H$2001,K498)+INDEX(Transaksi!$I$2:$I$2001,K498)=0,"",INDEX(Transaksi!$G$2:$G$2001,K498)+INDEX(Transaksi!$H$2:$H$2001,K498)+INDEX(Transaksi!$I$2:$I$2001,K498)),""))</f>
        <v/>
      </c>
      <c r="F498" s="33">
        <f>IF(J498="H",SUMIFS(Transaksi!$J$2:$J$2001,Transaksi!$M$2:$M$2001,"="&amp;S498),IF(J498="E",IF(INDEX(Transaksi!$J$2:$J$2001,K498)=0,"",INDEX(Transaksi!$J$2:$J$2001,K498)),""))</f>
        <v/>
      </c>
      <c r="G498" s="33">
        <f>IF(J498="H",(SUMIFS(Transaksi!$G$2:$G$2001,Transaksi!$M$2:$M$2001,"&lt;="&amp;S498)+SUMIFS(Transaksi!$H$2:$H$2001,Transaksi!$M$2:$M$2001,"&lt;="&amp;S498)+SUMIFS(Transaksi!$I$2:$I$2001,Transaksi!$M$2:$M$2001,"&lt;="&amp;S498))-(SUMIFS(Transaksi!$J$2:$J$2001,Transaksi!$M$2:$M$2001,"&lt;="&amp;S498)),"")</f>
        <v/>
      </c>
      <c r="I498">
        <f>IF(495&gt;$O$2,"",MATCH(495,$Q$3:$Q$402,1))</f>
        <v/>
      </c>
      <c r="J498">
        <f>IF(I498="","",IF(495=INDEX($Q$3:$Q$402,I498),"H","E"))</f>
        <v/>
      </c>
      <c r="K498">
        <f>IF(J498&lt;&gt;"E","",MATCH(S498,Transaksi!$M$2:$M$2001,0)+495-INDEX($Q$3:$Q$402,I498)-1)</f>
        <v/>
      </c>
      <c r="S498">
        <f>IF(I498="","",INDEX($O$3:$O$402,I498))</f>
        <v/>
      </c>
      <c r="T498">
        <f>IF(J498&lt;&gt;"H","",INDEX(Transaksi!$A$2:$A$2001,MATCH(S498,Transaksi!$M$2:$M$2001,0)))</f>
        <v/>
      </c>
    </row>
    <row r="499">
      <c r="A499" s="31">
        <f>IF(J499="E",IF(INDEX(Transaksi!$J$2:$J$2001,K499)&gt;0,"↑","↓"),"")</f>
        <v/>
      </c>
      <c r="B499" s="32">
        <f>IF(J499="H",CHOOSE(WEEKDAY(T499,2),"Isnin","Selasa","Rabu","Khamis","Jumaat","Sabtu","Ahad")&amp;", "&amp;DAY(T499)&amp;" "&amp;CHOOSE(MONTH(T499),"Jan","Feb","Mac","Apr","Mei","Jun","Jul","Ogo","Sep","Okt","Nov","Dis")&amp;" "&amp;YEAR(T499),IF(J499="E",IF(INDEX(Transaksi!$B$2:$B$2001,K499)="",INDEX(Transaksi!$C$2:$C$2001,K499)&amp;" · "&amp;INDEX(Transaksi!$D$2:$D$2001,K499),INDEX(Transaksi!$B$2:$B$2001,K499)),""))</f>
        <v/>
      </c>
      <c r="C499" s="32">
        <f>IF(J499="E",INDEX(Transaksi!$C$2:$C$2001,K499)&amp;"","")</f>
        <v/>
      </c>
      <c r="D499" s="32">
        <f>IF(J499="E",INDEX(Transaksi!$D$2:$D$2001,K499)&amp;"","")</f>
        <v/>
      </c>
      <c r="E499" s="33">
        <f>IF(J499="H",SUMIFS(Transaksi!$G$2:$G$2001,Transaksi!$M$2:$M$2001,"="&amp;S499)+SUMIFS(Transaksi!$H$2:$H$2001,Transaksi!$M$2:$M$2001,"="&amp;S499)+SUMIFS(Transaksi!$I$2:$I$2001,Transaksi!$M$2:$M$2001,"="&amp;S499),IF(J499="E",IF(INDEX(Transaksi!$G$2:$G$2001,K499)+INDEX(Transaksi!$H$2:$H$2001,K499)+INDEX(Transaksi!$I$2:$I$2001,K499)=0,"",INDEX(Transaksi!$G$2:$G$2001,K499)+INDEX(Transaksi!$H$2:$H$2001,K499)+INDEX(Transaksi!$I$2:$I$2001,K499)),""))</f>
        <v/>
      </c>
      <c r="F499" s="33">
        <f>IF(J499="H",SUMIFS(Transaksi!$J$2:$J$2001,Transaksi!$M$2:$M$2001,"="&amp;S499),IF(J499="E",IF(INDEX(Transaksi!$J$2:$J$2001,K499)=0,"",INDEX(Transaksi!$J$2:$J$2001,K499)),""))</f>
        <v/>
      </c>
      <c r="G499" s="33">
        <f>IF(J499="H",(SUMIFS(Transaksi!$G$2:$G$2001,Transaksi!$M$2:$M$2001,"&lt;="&amp;S499)+SUMIFS(Transaksi!$H$2:$H$2001,Transaksi!$M$2:$M$2001,"&lt;="&amp;S499)+SUMIFS(Transaksi!$I$2:$I$2001,Transaksi!$M$2:$M$2001,"&lt;="&amp;S499))-(SUMIFS(Transaksi!$J$2:$J$2001,Transaksi!$M$2:$M$2001,"&lt;="&amp;S499)),"")</f>
        <v/>
      </c>
      <c r="I499">
        <f>IF(496&gt;$O$2,"",MATCH(496,$Q$3:$Q$402,1))</f>
        <v/>
      </c>
      <c r="J499">
        <f>IF(I499="","",IF(496=INDEX($Q$3:$Q$402,I499),"H","E"))</f>
        <v/>
      </c>
      <c r="K499">
        <f>IF(J499&lt;&gt;"E","",MATCH(S499,Transaksi!$M$2:$M$2001,0)+496-INDEX($Q$3:$Q$402,I499)-1)</f>
        <v/>
      </c>
      <c r="S499">
        <f>IF(I499="","",INDEX($O$3:$O$402,I499))</f>
        <v/>
      </c>
      <c r="T499">
        <f>IF(J499&lt;&gt;"H","",INDEX(Transaksi!$A$2:$A$2001,MATCH(S499,Transaksi!$M$2:$M$2001,0)))</f>
        <v/>
      </c>
    </row>
    <row r="500">
      <c r="A500" s="31">
        <f>IF(J500="E",IF(INDEX(Transaksi!$J$2:$J$2001,K500)&gt;0,"↑","↓"),"")</f>
        <v/>
      </c>
      <c r="B500" s="32">
        <f>IF(J500="H",CHOOSE(WEEKDAY(T500,2),"Isnin","Selasa","Rabu","Khamis","Jumaat","Sabtu","Ahad")&amp;", "&amp;DAY(T500)&amp;" "&amp;CHOOSE(MONTH(T500),"Jan","Feb","Mac","Apr","Mei","Jun","Jul","Ogo","Sep","Okt","Nov","Dis")&amp;" "&amp;YEAR(T500),IF(J500="E",IF(INDEX(Transaksi!$B$2:$B$2001,K500)="",INDEX(Transaksi!$C$2:$C$2001,K500)&amp;" · "&amp;INDEX(Transaksi!$D$2:$D$2001,K500),INDEX(Transaksi!$B$2:$B$2001,K500)),""))</f>
        <v/>
      </c>
      <c r="C500" s="32">
        <f>IF(J500="E",INDEX(Transaksi!$C$2:$C$2001,K500)&amp;"","")</f>
        <v/>
      </c>
      <c r="D500" s="32">
        <f>IF(J500="E",INDEX(Transaksi!$D$2:$D$2001,K500)&amp;"","")</f>
        <v/>
      </c>
      <c r="E500" s="33">
        <f>IF(J500="H",SUMIFS(Transaksi!$G$2:$G$2001,Transaksi!$M$2:$M$2001,"="&amp;S500)+SUMIFS(Transaksi!$H$2:$H$2001,Transaksi!$M$2:$M$2001,"="&amp;S500)+SUMIFS(Transaksi!$I$2:$I$2001,Transaksi!$M$2:$M$2001,"="&amp;S500),IF(J500="E",IF(INDEX(Transaksi!$G$2:$G$2001,K500)+INDEX(Transaksi!$H$2:$H$2001,K500)+INDEX(Transaksi!$I$2:$I$2001,K500)=0,"",INDEX(Transaksi!$G$2:$G$2001,K500)+INDEX(Transaksi!$H$2:$H$2001,K500)+INDEX(Transaksi!$I$2:$I$2001,K500)),""))</f>
        <v/>
      </c>
      <c r="F500" s="33">
        <f>IF(J500="H",SUMIFS(Transaksi!$J$2:$J$2001,Transaksi!$M$2:$M$2001,"="&amp;S500),IF(J500="E",IF(INDEX(Transaksi!$J$2:$J$2001,K500)=0,"",INDEX(Transaksi!$J$2:$J$2001,K500)),""))</f>
        <v/>
      </c>
      <c r="G500" s="33">
        <f>IF(J500="H",(SUMIFS(Transaksi!$G$2:$G$2001,Transaksi!$M$2:$M$2001,"&lt;="&amp;S500)+SUMIFS(Transaksi!$H$2:$H$2001,Transaksi!$M$2:$M$2001,"&lt;="&amp;S500)+SUMIFS(Transaksi!$I$2:$I$2001,Transaksi!$M$2:$M$2001,"&lt;="&amp;S500))-(SUMIFS(Transaksi!$J$2:$J$2001,Transaksi!$M$2:$M$2001,"&lt;="&amp;S500)),"")</f>
        <v/>
      </c>
      <c r="I500">
        <f>IF(497&gt;$O$2,"",MATCH(497,$Q$3:$Q$402,1))</f>
        <v/>
      </c>
      <c r="J500">
        <f>IF(I500="","",IF(497=INDEX($Q$3:$Q$402,I500),"H","E"))</f>
        <v/>
      </c>
      <c r="K500">
        <f>IF(J500&lt;&gt;"E","",MATCH(S500,Transaksi!$M$2:$M$2001,0)+497-INDEX($Q$3:$Q$402,I500)-1)</f>
        <v/>
      </c>
      <c r="S500">
        <f>IF(I500="","",INDEX($O$3:$O$402,I500))</f>
        <v/>
      </c>
      <c r="T500">
        <f>IF(J500&lt;&gt;"H","",INDEX(Transaksi!$A$2:$A$2001,MATCH(S500,Transaksi!$M$2:$M$2001,0)))</f>
        <v/>
      </c>
    </row>
    <row r="501">
      <c r="A501" s="31">
        <f>IF(J501="E",IF(INDEX(Transaksi!$J$2:$J$2001,K501)&gt;0,"↑","↓"),"")</f>
        <v/>
      </c>
      <c r="B501" s="32">
        <f>IF(J501="H",CHOOSE(WEEKDAY(T501,2),"Isnin","Selasa","Rabu","Khamis","Jumaat","Sabtu","Ahad")&amp;", "&amp;DAY(T501)&amp;" "&amp;CHOOSE(MONTH(T501),"Jan","Feb","Mac","Apr","Mei","Jun","Jul","Ogo","Sep","Okt","Nov","Dis")&amp;" "&amp;YEAR(T501),IF(J501="E",IF(INDEX(Transaksi!$B$2:$B$2001,K501)="",INDEX(Transaksi!$C$2:$C$2001,K501)&amp;" · "&amp;INDEX(Transaksi!$D$2:$D$2001,K501),INDEX(Transaksi!$B$2:$B$2001,K501)),""))</f>
        <v/>
      </c>
      <c r="C501" s="32">
        <f>IF(J501="E",INDEX(Transaksi!$C$2:$C$2001,K501)&amp;"","")</f>
        <v/>
      </c>
      <c r="D501" s="32">
        <f>IF(J501="E",INDEX(Transaksi!$D$2:$D$2001,K501)&amp;"","")</f>
        <v/>
      </c>
      <c r="E501" s="33">
        <f>IF(J501="H",SUMIFS(Transaksi!$G$2:$G$2001,Transaksi!$M$2:$M$2001,"="&amp;S501)+SUMIFS(Transaksi!$H$2:$H$2001,Transaksi!$M$2:$M$2001,"="&amp;S501)+SUMIFS(Transaksi!$I$2:$I$2001,Transaksi!$M$2:$M$2001,"="&amp;S501),IF(J501="E",IF(INDEX(Transaksi!$G$2:$G$2001,K501)+INDEX(Transaksi!$H$2:$H$2001,K501)+INDEX(Transaksi!$I$2:$I$2001,K501)=0,"",INDEX(Transaksi!$G$2:$G$2001,K501)+INDEX(Transaksi!$H$2:$H$2001,K501)+INDEX(Transaksi!$I$2:$I$2001,K501)),""))</f>
        <v/>
      </c>
      <c r="F501" s="33">
        <f>IF(J501="H",SUMIFS(Transaksi!$J$2:$J$2001,Transaksi!$M$2:$M$2001,"="&amp;S501),IF(J501="E",IF(INDEX(Transaksi!$J$2:$J$2001,K501)=0,"",INDEX(Transaksi!$J$2:$J$2001,K501)),""))</f>
        <v/>
      </c>
      <c r="G501" s="33">
        <f>IF(J501="H",(SUMIFS(Transaksi!$G$2:$G$2001,Transaksi!$M$2:$M$2001,"&lt;="&amp;S501)+SUMIFS(Transaksi!$H$2:$H$2001,Transaksi!$M$2:$M$2001,"&lt;="&amp;S501)+SUMIFS(Transaksi!$I$2:$I$2001,Transaksi!$M$2:$M$2001,"&lt;="&amp;S501))-(SUMIFS(Transaksi!$J$2:$J$2001,Transaksi!$M$2:$M$2001,"&lt;="&amp;S501)),"")</f>
        <v/>
      </c>
      <c r="I501">
        <f>IF(498&gt;$O$2,"",MATCH(498,$Q$3:$Q$402,1))</f>
        <v/>
      </c>
      <c r="J501">
        <f>IF(I501="","",IF(498=INDEX($Q$3:$Q$402,I501),"H","E"))</f>
        <v/>
      </c>
      <c r="K501">
        <f>IF(J501&lt;&gt;"E","",MATCH(S501,Transaksi!$M$2:$M$2001,0)+498-INDEX($Q$3:$Q$402,I501)-1)</f>
        <v/>
      </c>
      <c r="S501">
        <f>IF(I501="","",INDEX($O$3:$O$402,I501))</f>
        <v/>
      </c>
      <c r="T501">
        <f>IF(J501&lt;&gt;"H","",INDEX(Transaksi!$A$2:$A$2001,MATCH(S501,Transaksi!$M$2:$M$2001,0)))</f>
        <v/>
      </c>
    </row>
    <row r="502">
      <c r="A502" s="31">
        <f>IF(J502="E",IF(INDEX(Transaksi!$J$2:$J$2001,K502)&gt;0,"↑","↓"),"")</f>
        <v/>
      </c>
      <c r="B502" s="32">
        <f>IF(J502="H",CHOOSE(WEEKDAY(T502,2),"Isnin","Selasa","Rabu","Khamis","Jumaat","Sabtu","Ahad")&amp;", "&amp;DAY(T502)&amp;" "&amp;CHOOSE(MONTH(T502),"Jan","Feb","Mac","Apr","Mei","Jun","Jul","Ogo","Sep","Okt","Nov","Dis")&amp;" "&amp;YEAR(T502),IF(J502="E",IF(INDEX(Transaksi!$B$2:$B$2001,K502)="",INDEX(Transaksi!$C$2:$C$2001,K502)&amp;" · "&amp;INDEX(Transaksi!$D$2:$D$2001,K502),INDEX(Transaksi!$B$2:$B$2001,K502)),""))</f>
        <v/>
      </c>
      <c r="C502" s="32">
        <f>IF(J502="E",INDEX(Transaksi!$C$2:$C$2001,K502)&amp;"","")</f>
        <v/>
      </c>
      <c r="D502" s="32">
        <f>IF(J502="E",INDEX(Transaksi!$D$2:$D$2001,K502)&amp;"","")</f>
        <v/>
      </c>
      <c r="E502" s="33">
        <f>IF(J502="H",SUMIFS(Transaksi!$G$2:$G$2001,Transaksi!$M$2:$M$2001,"="&amp;S502)+SUMIFS(Transaksi!$H$2:$H$2001,Transaksi!$M$2:$M$2001,"="&amp;S502)+SUMIFS(Transaksi!$I$2:$I$2001,Transaksi!$M$2:$M$2001,"="&amp;S502),IF(J502="E",IF(INDEX(Transaksi!$G$2:$G$2001,K502)+INDEX(Transaksi!$H$2:$H$2001,K502)+INDEX(Transaksi!$I$2:$I$2001,K502)=0,"",INDEX(Transaksi!$G$2:$G$2001,K502)+INDEX(Transaksi!$H$2:$H$2001,K502)+INDEX(Transaksi!$I$2:$I$2001,K502)),""))</f>
        <v/>
      </c>
      <c r="F502" s="33">
        <f>IF(J502="H",SUMIFS(Transaksi!$J$2:$J$2001,Transaksi!$M$2:$M$2001,"="&amp;S502),IF(J502="E",IF(INDEX(Transaksi!$J$2:$J$2001,K502)=0,"",INDEX(Transaksi!$J$2:$J$2001,K502)),""))</f>
        <v/>
      </c>
      <c r="G502" s="33">
        <f>IF(J502="H",(SUMIFS(Transaksi!$G$2:$G$2001,Transaksi!$M$2:$M$2001,"&lt;="&amp;S502)+SUMIFS(Transaksi!$H$2:$H$2001,Transaksi!$M$2:$M$2001,"&lt;="&amp;S502)+SUMIFS(Transaksi!$I$2:$I$2001,Transaksi!$M$2:$M$2001,"&lt;="&amp;S502))-(SUMIFS(Transaksi!$J$2:$J$2001,Transaksi!$M$2:$M$2001,"&lt;="&amp;S502)),"")</f>
        <v/>
      </c>
      <c r="I502">
        <f>IF(499&gt;$O$2,"",MATCH(499,$Q$3:$Q$402,1))</f>
        <v/>
      </c>
      <c r="J502">
        <f>IF(I502="","",IF(499=INDEX($Q$3:$Q$402,I502),"H","E"))</f>
        <v/>
      </c>
      <c r="K502">
        <f>IF(J502&lt;&gt;"E","",MATCH(S502,Transaksi!$M$2:$M$2001,0)+499-INDEX($Q$3:$Q$402,I502)-1)</f>
        <v/>
      </c>
      <c r="S502">
        <f>IF(I502="","",INDEX($O$3:$O$402,I502))</f>
        <v/>
      </c>
      <c r="T502">
        <f>IF(J502&lt;&gt;"H","",INDEX(Transaksi!$A$2:$A$2001,MATCH(S502,Transaksi!$M$2:$M$2001,0)))</f>
        <v/>
      </c>
    </row>
    <row r="503">
      <c r="A503" s="31">
        <f>IF(J503="E",IF(INDEX(Transaksi!$J$2:$J$2001,K503)&gt;0,"↑","↓"),"")</f>
        <v/>
      </c>
      <c r="B503" s="32">
        <f>IF(J503="H",CHOOSE(WEEKDAY(T503,2),"Isnin","Selasa","Rabu","Khamis","Jumaat","Sabtu","Ahad")&amp;", "&amp;DAY(T503)&amp;" "&amp;CHOOSE(MONTH(T503),"Jan","Feb","Mac","Apr","Mei","Jun","Jul","Ogo","Sep","Okt","Nov","Dis")&amp;" "&amp;YEAR(T503),IF(J503="E",IF(INDEX(Transaksi!$B$2:$B$2001,K503)="",INDEX(Transaksi!$C$2:$C$2001,K503)&amp;" · "&amp;INDEX(Transaksi!$D$2:$D$2001,K503),INDEX(Transaksi!$B$2:$B$2001,K503)),""))</f>
        <v/>
      </c>
      <c r="C503" s="32">
        <f>IF(J503="E",INDEX(Transaksi!$C$2:$C$2001,K503)&amp;"","")</f>
        <v/>
      </c>
      <c r="D503" s="32">
        <f>IF(J503="E",INDEX(Transaksi!$D$2:$D$2001,K503)&amp;"","")</f>
        <v/>
      </c>
      <c r="E503" s="33">
        <f>IF(J503="H",SUMIFS(Transaksi!$G$2:$G$2001,Transaksi!$M$2:$M$2001,"="&amp;S503)+SUMIFS(Transaksi!$H$2:$H$2001,Transaksi!$M$2:$M$2001,"="&amp;S503)+SUMIFS(Transaksi!$I$2:$I$2001,Transaksi!$M$2:$M$2001,"="&amp;S503),IF(J503="E",IF(INDEX(Transaksi!$G$2:$G$2001,K503)+INDEX(Transaksi!$H$2:$H$2001,K503)+INDEX(Transaksi!$I$2:$I$2001,K503)=0,"",INDEX(Transaksi!$G$2:$G$2001,K503)+INDEX(Transaksi!$H$2:$H$2001,K503)+INDEX(Transaksi!$I$2:$I$2001,K503)),""))</f>
        <v/>
      </c>
      <c r="F503" s="33">
        <f>IF(J503="H",SUMIFS(Transaksi!$J$2:$J$2001,Transaksi!$M$2:$M$2001,"="&amp;S503),IF(J503="E",IF(INDEX(Transaksi!$J$2:$J$2001,K503)=0,"",INDEX(Transaksi!$J$2:$J$2001,K503)),""))</f>
        <v/>
      </c>
      <c r="G503" s="33">
        <f>IF(J503="H",(SUMIFS(Transaksi!$G$2:$G$2001,Transaksi!$M$2:$M$2001,"&lt;="&amp;S503)+SUMIFS(Transaksi!$H$2:$H$2001,Transaksi!$M$2:$M$2001,"&lt;="&amp;S503)+SUMIFS(Transaksi!$I$2:$I$2001,Transaksi!$M$2:$M$2001,"&lt;="&amp;S503))-(SUMIFS(Transaksi!$J$2:$J$2001,Transaksi!$M$2:$M$2001,"&lt;="&amp;S503)),"")</f>
        <v/>
      </c>
      <c r="I503">
        <f>IF(500&gt;$O$2,"",MATCH(500,$Q$3:$Q$402,1))</f>
        <v/>
      </c>
      <c r="J503">
        <f>IF(I503="","",IF(500=INDEX($Q$3:$Q$402,I503),"H","E"))</f>
        <v/>
      </c>
      <c r="K503">
        <f>IF(J503&lt;&gt;"E","",MATCH(S503,Transaksi!$M$2:$M$2001,0)+500-INDEX($Q$3:$Q$402,I503)-1)</f>
        <v/>
      </c>
      <c r="S503">
        <f>IF(I503="","",INDEX($O$3:$O$402,I503))</f>
        <v/>
      </c>
      <c r="T503">
        <f>IF(J503&lt;&gt;"H","",INDEX(Transaksi!$A$2:$A$2001,MATCH(S503,Transaksi!$M$2:$M$2001,0)))</f>
        <v/>
      </c>
    </row>
    <row r="504">
      <c r="A504" s="31">
        <f>IF(J504="E",IF(INDEX(Transaksi!$J$2:$J$2001,K504)&gt;0,"↑","↓"),"")</f>
        <v/>
      </c>
      <c r="B504" s="32">
        <f>IF(J504="H",CHOOSE(WEEKDAY(T504,2),"Isnin","Selasa","Rabu","Khamis","Jumaat","Sabtu","Ahad")&amp;", "&amp;DAY(T504)&amp;" "&amp;CHOOSE(MONTH(T504),"Jan","Feb","Mac","Apr","Mei","Jun","Jul","Ogo","Sep","Okt","Nov","Dis")&amp;" "&amp;YEAR(T504),IF(J504="E",IF(INDEX(Transaksi!$B$2:$B$2001,K504)="",INDEX(Transaksi!$C$2:$C$2001,K504)&amp;" · "&amp;INDEX(Transaksi!$D$2:$D$2001,K504),INDEX(Transaksi!$B$2:$B$2001,K504)),""))</f>
        <v/>
      </c>
      <c r="C504" s="32">
        <f>IF(J504="E",INDEX(Transaksi!$C$2:$C$2001,K504)&amp;"","")</f>
        <v/>
      </c>
      <c r="D504" s="32">
        <f>IF(J504="E",INDEX(Transaksi!$D$2:$D$2001,K504)&amp;"","")</f>
        <v/>
      </c>
      <c r="E504" s="33">
        <f>IF(J504="H",SUMIFS(Transaksi!$G$2:$G$2001,Transaksi!$M$2:$M$2001,"="&amp;S504)+SUMIFS(Transaksi!$H$2:$H$2001,Transaksi!$M$2:$M$2001,"="&amp;S504)+SUMIFS(Transaksi!$I$2:$I$2001,Transaksi!$M$2:$M$2001,"="&amp;S504),IF(J504="E",IF(INDEX(Transaksi!$G$2:$G$2001,K504)+INDEX(Transaksi!$H$2:$H$2001,K504)+INDEX(Transaksi!$I$2:$I$2001,K504)=0,"",INDEX(Transaksi!$G$2:$G$2001,K504)+INDEX(Transaksi!$H$2:$H$2001,K504)+INDEX(Transaksi!$I$2:$I$2001,K504)),""))</f>
        <v/>
      </c>
      <c r="F504" s="33">
        <f>IF(J504="H",SUMIFS(Transaksi!$J$2:$J$2001,Transaksi!$M$2:$M$2001,"="&amp;S504),IF(J504="E",IF(INDEX(Transaksi!$J$2:$J$2001,K504)=0,"",INDEX(Transaksi!$J$2:$J$2001,K504)),""))</f>
        <v/>
      </c>
      <c r="G504" s="33">
        <f>IF(J504="H",(SUMIFS(Transaksi!$G$2:$G$2001,Transaksi!$M$2:$M$2001,"&lt;="&amp;S504)+SUMIFS(Transaksi!$H$2:$H$2001,Transaksi!$M$2:$M$2001,"&lt;="&amp;S504)+SUMIFS(Transaksi!$I$2:$I$2001,Transaksi!$M$2:$M$2001,"&lt;="&amp;S504))-(SUMIFS(Transaksi!$J$2:$J$2001,Transaksi!$M$2:$M$2001,"&lt;="&amp;S504)),"")</f>
        <v/>
      </c>
      <c r="I504">
        <f>IF(501&gt;$O$2,"",MATCH(501,$Q$3:$Q$402,1))</f>
        <v/>
      </c>
      <c r="J504">
        <f>IF(I504="","",IF(501=INDEX($Q$3:$Q$402,I504),"H","E"))</f>
        <v/>
      </c>
      <c r="K504">
        <f>IF(J504&lt;&gt;"E","",MATCH(S504,Transaksi!$M$2:$M$2001,0)+501-INDEX($Q$3:$Q$402,I504)-1)</f>
        <v/>
      </c>
      <c r="S504">
        <f>IF(I504="","",INDEX($O$3:$O$402,I504))</f>
        <v/>
      </c>
      <c r="T504">
        <f>IF(J504&lt;&gt;"H","",INDEX(Transaksi!$A$2:$A$2001,MATCH(S504,Transaksi!$M$2:$M$2001,0)))</f>
        <v/>
      </c>
    </row>
    <row r="505">
      <c r="A505" s="31">
        <f>IF(J505="E",IF(INDEX(Transaksi!$J$2:$J$2001,K505)&gt;0,"↑","↓"),"")</f>
        <v/>
      </c>
      <c r="B505" s="32">
        <f>IF(J505="H",CHOOSE(WEEKDAY(T505,2),"Isnin","Selasa","Rabu","Khamis","Jumaat","Sabtu","Ahad")&amp;", "&amp;DAY(T505)&amp;" "&amp;CHOOSE(MONTH(T505),"Jan","Feb","Mac","Apr","Mei","Jun","Jul","Ogo","Sep","Okt","Nov","Dis")&amp;" "&amp;YEAR(T505),IF(J505="E",IF(INDEX(Transaksi!$B$2:$B$2001,K505)="",INDEX(Transaksi!$C$2:$C$2001,K505)&amp;" · "&amp;INDEX(Transaksi!$D$2:$D$2001,K505),INDEX(Transaksi!$B$2:$B$2001,K505)),""))</f>
        <v/>
      </c>
      <c r="C505" s="32">
        <f>IF(J505="E",INDEX(Transaksi!$C$2:$C$2001,K505)&amp;"","")</f>
        <v/>
      </c>
      <c r="D505" s="32">
        <f>IF(J505="E",INDEX(Transaksi!$D$2:$D$2001,K505)&amp;"","")</f>
        <v/>
      </c>
      <c r="E505" s="33">
        <f>IF(J505="H",SUMIFS(Transaksi!$G$2:$G$2001,Transaksi!$M$2:$M$2001,"="&amp;S505)+SUMIFS(Transaksi!$H$2:$H$2001,Transaksi!$M$2:$M$2001,"="&amp;S505)+SUMIFS(Transaksi!$I$2:$I$2001,Transaksi!$M$2:$M$2001,"="&amp;S505),IF(J505="E",IF(INDEX(Transaksi!$G$2:$G$2001,K505)+INDEX(Transaksi!$H$2:$H$2001,K505)+INDEX(Transaksi!$I$2:$I$2001,K505)=0,"",INDEX(Transaksi!$G$2:$G$2001,K505)+INDEX(Transaksi!$H$2:$H$2001,K505)+INDEX(Transaksi!$I$2:$I$2001,K505)),""))</f>
        <v/>
      </c>
      <c r="F505" s="33">
        <f>IF(J505="H",SUMIFS(Transaksi!$J$2:$J$2001,Transaksi!$M$2:$M$2001,"="&amp;S505),IF(J505="E",IF(INDEX(Transaksi!$J$2:$J$2001,K505)=0,"",INDEX(Transaksi!$J$2:$J$2001,K505)),""))</f>
        <v/>
      </c>
      <c r="G505" s="33">
        <f>IF(J505="H",(SUMIFS(Transaksi!$G$2:$G$2001,Transaksi!$M$2:$M$2001,"&lt;="&amp;S505)+SUMIFS(Transaksi!$H$2:$H$2001,Transaksi!$M$2:$M$2001,"&lt;="&amp;S505)+SUMIFS(Transaksi!$I$2:$I$2001,Transaksi!$M$2:$M$2001,"&lt;="&amp;S505))-(SUMIFS(Transaksi!$J$2:$J$2001,Transaksi!$M$2:$M$2001,"&lt;="&amp;S505)),"")</f>
        <v/>
      </c>
      <c r="I505">
        <f>IF(502&gt;$O$2,"",MATCH(502,$Q$3:$Q$402,1))</f>
        <v/>
      </c>
      <c r="J505">
        <f>IF(I505="","",IF(502=INDEX($Q$3:$Q$402,I505),"H","E"))</f>
        <v/>
      </c>
      <c r="K505">
        <f>IF(J505&lt;&gt;"E","",MATCH(S505,Transaksi!$M$2:$M$2001,0)+502-INDEX($Q$3:$Q$402,I505)-1)</f>
        <v/>
      </c>
      <c r="S505">
        <f>IF(I505="","",INDEX($O$3:$O$402,I505))</f>
        <v/>
      </c>
      <c r="T505">
        <f>IF(J505&lt;&gt;"H","",INDEX(Transaksi!$A$2:$A$2001,MATCH(S505,Transaksi!$M$2:$M$2001,0)))</f>
        <v/>
      </c>
    </row>
    <row r="506">
      <c r="A506" s="31">
        <f>IF(J506="E",IF(INDEX(Transaksi!$J$2:$J$2001,K506)&gt;0,"↑","↓"),"")</f>
        <v/>
      </c>
      <c r="B506" s="32">
        <f>IF(J506="H",CHOOSE(WEEKDAY(T506,2),"Isnin","Selasa","Rabu","Khamis","Jumaat","Sabtu","Ahad")&amp;", "&amp;DAY(T506)&amp;" "&amp;CHOOSE(MONTH(T506),"Jan","Feb","Mac","Apr","Mei","Jun","Jul","Ogo","Sep","Okt","Nov","Dis")&amp;" "&amp;YEAR(T506),IF(J506="E",IF(INDEX(Transaksi!$B$2:$B$2001,K506)="",INDEX(Transaksi!$C$2:$C$2001,K506)&amp;" · "&amp;INDEX(Transaksi!$D$2:$D$2001,K506),INDEX(Transaksi!$B$2:$B$2001,K506)),""))</f>
        <v/>
      </c>
      <c r="C506" s="32">
        <f>IF(J506="E",INDEX(Transaksi!$C$2:$C$2001,K506)&amp;"","")</f>
        <v/>
      </c>
      <c r="D506" s="32">
        <f>IF(J506="E",INDEX(Transaksi!$D$2:$D$2001,K506)&amp;"","")</f>
        <v/>
      </c>
      <c r="E506" s="33">
        <f>IF(J506="H",SUMIFS(Transaksi!$G$2:$G$2001,Transaksi!$M$2:$M$2001,"="&amp;S506)+SUMIFS(Transaksi!$H$2:$H$2001,Transaksi!$M$2:$M$2001,"="&amp;S506)+SUMIFS(Transaksi!$I$2:$I$2001,Transaksi!$M$2:$M$2001,"="&amp;S506),IF(J506="E",IF(INDEX(Transaksi!$G$2:$G$2001,K506)+INDEX(Transaksi!$H$2:$H$2001,K506)+INDEX(Transaksi!$I$2:$I$2001,K506)=0,"",INDEX(Transaksi!$G$2:$G$2001,K506)+INDEX(Transaksi!$H$2:$H$2001,K506)+INDEX(Transaksi!$I$2:$I$2001,K506)),""))</f>
        <v/>
      </c>
      <c r="F506" s="33">
        <f>IF(J506="H",SUMIFS(Transaksi!$J$2:$J$2001,Transaksi!$M$2:$M$2001,"="&amp;S506),IF(J506="E",IF(INDEX(Transaksi!$J$2:$J$2001,K506)=0,"",INDEX(Transaksi!$J$2:$J$2001,K506)),""))</f>
        <v/>
      </c>
      <c r="G506" s="33">
        <f>IF(J506="H",(SUMIFS(Transaksi!$G$2:$G$2001,Transaksi!$M$2:$M$2001,"&lt;="&amp;S506)+SUMIFS(Transaksi!$H$2:$H$2001,Transaksi!$M$2:$M$2001,"&lt;="&amp;S506)+SUMIFS(Transaksi!$I$2:$I$2001,Transaksi!$M$2:$M$2001,"&lt;="&amp;S506))-(SUMIFS(Transaksi!$J$2:$J$2001,Transaksi!$M$2:$M$2001,"&lt;="&amp;S506)),"")</f>
        <v/>
      </c>
      <c r="I506">
        <f>IF(503&gt;$O$2,"",MATCH(503,$Q$3:$Q$402,1))</f>
        <v/>
      </c>
      <c r="J506">
        <f>IF(I506="","",IF(503=INDEX($Q$3:$Q$402,I506),"H","E"))</f>
        <v/>
      </c>
      <c r="K506">
        <f>IF(J506&lt;&gt;"E","",MATCH(S506,Transaksi!$M$2:$M$2001,0)+503-INDEX($Q$3:$Q$402,I506)-1)</f>
        <v/>
      </c>
      <c r="S506">
        <f>IF(I506="","",INDEX($O$3:$O$402,I506))</f>
        <v/>
      </c>
      <c r="T506">
        <f>IF(J506&lt;&gt;"H","",INDEX(Transaksi!$A$2:$A$2001,MATCH(S506,Transaksi!$M$2:$M$2001,0)))</f>
        <v/>
      </c>
    </row>
    <row r="507">
      <c r="A507" s="31">
        <f>IF(J507="E",IF(INDEX(Transaksi!$J$2:$J$2001,K507)&gt;0,"↑","↓"),"")</f>
        <v/>
      </c>
      <c r="B507" s="32">
        <f>IF(J507="H",CHOOSE(WEEKDAY(T507,2),"Isnin","Selasa","Rabu","Khamis","Jumaat","Sabtu","Ahad")&amp;", "&amp;DAY(T507)&amp;" "&amp;CHOOSE(MONTH(T507),"Jan","Feb","Mac","Apr","Mei","Jun","Jul","Ogo","Sep","Okt","Nov","Dis")&amp;" "&amp;YEAR(T507),IF(J507="E",IF(INDEX(Transaksi!$B$2:$B$2001,K507)="",INDEX(Transaksi!$C$2:$C$2001,K507)&amp;" · "&amp;INDEX(Transaksi!$D$2:$D$2001,K507),INDEX(Transaksi!$B$2:$B$2001,K507)),""))</f>
        <v/>
      </c>
      <c r="C507" s="32">
        <f>IF(J507="E",INDEX(Transaksi!$C$2:$C$2001,K507)&amp;"","")</f>
        <v/>
      </c>
      <c r="D507" s="32">
        <f>IF(J507="E",INDEX(Transaksi!$D$2:$D$2001,K507)&amp;"","")</f>
        <v/>
      </c>
      <c r="E507" s="33">
        <f>IF(J507="H",SUMIFS(Transaksi!$G$2:$G$2001,Transaksi!$M$2:$M$2001,"="&amp;S507)+SUMIFS(Transaksi!$H$2:$H$2001,Transaksi!$M$2:$M$2001,"="&amp;S507)+SUMIFS(Transaksi!$I$2:$I$2001,Transaksi!$M$2:$M$2001,"="&amp;S507),IF(J507="E",IF(INDEX(Transaksi!$G$2:$G$2001,K507)+INDEX(Transaksi!$H$2:$H$2001,K507)+INDEX(Transaksi!$I$2:$I$2001,K507)=0,"",INDEX(Transaksi!$G$2:$G$2001,K507)+INDEX(Transaksi!$H$2:$H$2001,K507)+INDEX(Transaksi!$I$2:$I$2001,K507)),""))</f>
        <v/>
      </c>
      <c r="F507" s="33">
        <f>IF(J507="H",SUMIFS(Transaksi!$J$2:$J$2001,Transaksi!$M$2:$M$2001,"="&amp;S507),IF(J507="E",IF(INDEX(Transaksi!$J$2:$J$2001,K507)=0,"",INDEX(Transaksi!$J$2:$J$2001,K507)),""))</f>
        <v/>
      </c>
      <c r="G507" s="33">
        <f>IF(J507="H",(SUMIFS(Transaksi!$G$2:$G$2001,Transaksi!$M$2:$M$2001,"&lt;="&amp;S507)+SUMIFS(Transaksi!$H$2:$H$2001,Transaksi!$M$2:$M$2001,"&lt;="&amp;S507)+SUMIFS(Transaksi!$I$2:$I$2001,Transaksi!$M$2:$M$2001,"&lt;="&amp;S507))-(SUMIFS(Transaksi!$J$2:$J$2001,Transaksi!$M$2:$M$2001,"&lt;="&amp;S507)),"")</f>
        <v/>
      </c>
      <c r="I507">
        <f>IF(504&gt;$O$2,"",MATCH(504,$Q$3:$Q$402,1))</f>
        <v/>
      </c>
      <c r="J507">
        <f>IF(I507="","",IF(504=INDEX($Q$3:$Q$402,I507),"H","E"))</f>
        <v/>
      </c>
      <c r="K507">
        <f>IF(J507&lt;&gt;"E","",MATCH(S507,Transaksi!$M$2:$M$2001,0)+504-INDEX($Q$3:$Q$402,I507)-1)</f>
        <v/>
      </c>
      <c r="S507">
        <f>IF(I507="","",INDEX($O$3:$O$402,I507))</f>
        <v/>
      </c>
      <c r="T507">
        <f>IF(J507&lt;&gt;"H","",INDEX(Transaksi!$A$2:$A$2001,MATCH(S507,Transaksi!$M$2:$M$2001,0)))</f>
        <v/>
      </c>
    </row>
    <row r="508">
      <c r="A508" s="31">
        <f>IF(J508="E",IF(INDEX(Transaksi!$J$2:$J$2001,K508)&gt;0,"↑","↓"),"")</f>
        <v/>
      </c>
      <c r="B508" s="32">
        <f>IF(J508="H",CHOOSE(WEEKDAY(T508,2),"Isnin","Selasa","Rabu","Khamis","Jumaat","Sabtu","Ahad")&amp;", "&amp;DAY(T508)&amp;" "&amp;CHOOSE(MONTH(T508),"Jan","Feb","Mac","Apr","Mei","Jun","Jul","Ogo","Sep","Okt","Nov","Dis")&amp;" "&amp;YEAR(T508),IF(J508="E",IF(INDEX(Transaksi!$B$2:$B$2001,K508)="",INDEX(Transaksi!$C$2:$C$2001,K508)&amp;" · "&amp;INDEX(Transaksi!$D$2:$D$2001,K508),INDEX(Transaksi!$B$2:$B$2001,K508)),""))</f>
        <v/>
      </c>
      <c r="C508" s="32">
        <f>IF(J508="E",INDEX(Transaksi!$C$2:$C$2001,K508)&amp;"","")</f>
        <v/>
      </c>
      <c r="D508" s="32">
        <f>IF(J508="E",INDEX(Transaksi!$D$2:$D$2001,K508)&amp;"","")</f>
        <v/>
      </c>
      <c r="E508" s="33">
        <f>IF(J508="H",SUMIFS(Transaksi!$G$2:$G$2001,Transaksi!$M$2:$M$2001,"="&amp;S508)+SUMIFS(Transaksi!$H$2:$H$2001,Transaksi!$M$2:$M$2001,"="&amp;S508)+SUMIFS(Transaksi!$I$2:$I$2001,Transaksi!$M$2:$M$2001,"="&amp;S508),IF(J508="E",IF(INDEX(Transaksi!$G$2:$G$2001,K508)+INDEX(Transaksi!$H$2:$H$2001,K508)+INDEX(Transaksi!$I$2:$I$2001,K508)=0,"",INDEX(Transaksi!$G$2:$G$2001,K508)+INDEX(Transaksi!$H$2:$H$2001,K508)+INDEX(Transaksi!$I$2:$I$2001,K508)),""))</f>
        <v/>
      </c>
      <c r="F508" s="33">
        <f>IF(J508="H",SUMIFS(Transaksi!$J$2:$J$2001,Transaksi!$M$2:$M$2001,"="&amp;S508),IF(J508="E",IF(INDEX(Transaksi!$J$2:$J$2001,K508)=0,"",INDEX(Transaksi!$J$2:$J$2001,K508)),""))</f>
        <v/>
      </c>
      <c r="G508" s="33">
        <f>IF(J508="H",(SUMIFS(Transaksi!$G$2:$G$2001,Transaksi!$M$2:$M$2001,"&lt;="&amp;S508)+SUMIFS(Transaksi!$H$2:$H$2001,Transaksi!$M$2:$M$2001,"&lt;="&amp;S508)+SUMIFS(Transaksi!$I$2:$I$2001,Transaksi!$M$2:$M$2001,"&lt;="&amp;S508))-(SUMIFS(Transaksi!$J$2:$J$2001,Transaksi!$M$2:$M$2001,"&lt;="&amp;S508)),"")</f>
        <v/>
      </c>
      <c r="I508">
        <f>IF(505&gt;$O$2,"",MATCH(505,$Q$3:$Q$402,1))</f>
        <v/>
      </c>
      <c r="J508">
        <f>IF(I508="","",IF(505=INDEX($Q$3:$Q$402,I508),"H","E"))</f>
        <v/>
      </c>
      <c r="K508">
        <f>IF(J508&lt;&gt;"E","",MATCH(S508,Transaksi!$M$2:$M$2001,0)+505-INDEX($Q$3:$Q$402,I508)-1)</f>
        <v/>
      </c>
      <c r="S508">
        <f>IF(I508="","",INDEX($O$3:$O$402,I508))</f>
        <v/>
      </c>
      <c r="T508">
        <f>IF(J508&lt;&gt;"H","",INDEX(Transaksi!$A$2:$A$2001,MATCH(S508,Transaksi!$M$2:$M$2001,0)))</f>
        <v/>
      </c>
    </row>
    <row r="509">
      <c r="A509" s="31">
        <f>IF(J509="E",IF(INDEX(Transaksi!$J$2:$J$2001,K509)&gt;0,"↑","↓"),"")</f>
        <v/>
      </c>
      <c r="B509" s="32">
        <f>IF(J509="H",CHOOSE(WEEKDAY(T509,2),"Isnin","Selasa","Rabu","Khamis","Jumaat","Sabtu","Ahad")&amp;", "&amp;DAY(T509)&amp;" "&amp;CHOOSE(MONTH(T509),"Jan","Feb","Mac","Apr","Mei","Jun","Jul","Ogo","Sep","Okt","Nov","Dis")&amp;" "&amp;YEAR(T509),IF(J509="E",IF(INDEX(Transaksi!$B$2:$B$2001,K509)="",INDEX(Transaksi!$C$2:$C$2001,K509)&amp;" · "&amp;INDEX(Transaksi!$D$2:$D$2001,K509),INDEX(Transaksi!$B$2:$B$2001,K509)),""))</f>
        <v/>
      </c>
      <c r="C509" s="32">
        <f>IF(J509="E",INDEX(Transaksi!$C$2:$C$2001,K509)&amp;"","")</f>
        <v/>
      </c>
      <c r="D509" s="32">
        <f>IF(J509="E",INDEX(Transaksi!$D$2:$D$2001,K509)&amp;"","")</f>
        <v/>
      </c>
      <c r="E509" s="33">
        <f>IF(J509="H",SUMIFS(Transaksi!$G$2:$G$2001,Transaksi!$M$2:$M$2001,"="&amp;S509)+SUMIFS(Transaksi!$H$2:$H$2001,Transaksi!$M$2:$M$2001,"="&amp;S509)+SUMIFS(Transaksi!$I$2:$I$2001,Transaksi!$M$2:$M$2001,"="&amp;S509),IF(J509="E",IF(INDEX(Transaksi!$G$2:$G$2001,K509)+INDEX(Transaksi!$H$2:$H$2001,K509)+INDEX(Transaksi!$I$2:$I$2001,K509)=0,"",INDEX(Transaksi!$G$2:$G$2001,K509)+INDEX(Transaksi!$H$2:$H$2001,K509)+INDEX(Transaksi!$I$2:$I$2001,K509)),""))</f>
        <v/>
      </c>
      <c r="F509" s="33">
        <f>IF(J509="H",SUMIFS(Transaksi!$J$2:$J$2001,Transaksi!$M$2:$M$2001,"="&amp;S509),IF(J509="E",IF(INDEX(Transaksi!$J$2:$J$2001,K509)=0,"",INDEX(Transaksi!$J$2:$J$2001,K509)),""))</f>
        <v/>
      </c>
      <c r="G509" s="33">
        <f>IF(J509="H",(SUMIFS(Transaksi!$G$2:$G$2001,Transaksi!$M$2:$M$2001,"&lt;="&amp;S509)+SUMIFS(Transaksi!$H$2:$H$2001,Transaksi!$M$2:$M$2001,"&lt;="&amp;S509)+SUMIFS(Transaksi!$I$2:$I$2001,Transaksi!$M$2:$M$2001,"&lt;="&amp;S509))-(SUMIFS(Transaksi!$J$2:$J$2001,Transaksi!$M$2:$M$2001,"&lt;="&amp;S509)),"")</f>
        <v/>
      </c>
      <c r="I509">
        <f>IF(506&gt;$O$2,"",MATCH(506,$Q$3:$Q$402,1))</f>
        <v/>
      </c>
      <c r="J509">
        <f>IF(I509="","",IF(506=INDEX($Q$3:$Q$402,I509),"H","E"))</f>
        <v/>
      </c>
      <c r="K509">
        <f>IF(J509&lt;&gt;"E","",MATCH(S509,Transaksi!$M$2:$M$2001,0)+506-INDEX($Q$3:$Q$402,I509)-1)</f>
        <v/>
      </c>
      <c r="S509">
        <f>IF(I509="","",INDEX($O$3:$O$402,I509))</f>
        <v/>
      </c>
      <c r="T509">
        <f>IF(J509&lt;&gt;"H","",INDEX(Transaksi!$A$2:$A$2001,MATCH(S509,Transaksi!$M$2:$M$2001,0)))</f>
        <v/>
      </c>
    </row>
    <row r="510">
      <c r="A510" s="31">
        <f>IF(J510="E",IF(INDEX(Transaksi!$J$2:$J$2001,K510)&gt;0,"↑","↓"),"")</f>
        <v/>
      </c>
      <c r="B510" s="32">
        <f>IF(J510="H",CHOOSE(WEEKDAY(T510,2),"Isnin","Selasa","Rabu","Khamis","Jumaat","Sabtu","Ahad")&amp;", "&amp;DAY(T510)&amp;" "&amp;CHOOSE(MONTH(T510),"Jan","Feb","Mac","Apr","Mei","Jun","Jul","Ogo","Sep","Okt","Nov","Dis")&amp;" "&amp;YEAR(T510),IF(J510="E",IF(INDEX(Transaksi!$B$2:$B$2001,K510)="",INDEX(Transaksi!$C$2:$C$2001,K510)&amp;" · "&amp;INDEX(Transaksi!$D$2:$D$2001,K510),INDEX(Transaksi!$B$2:$B$2001,K510)),""))</f>
        <v/>
      </c>
      <c r="C510" s="32">
        <f>IF(J510="E",INDEX(Transaksi!$C$2:$C$2001,K510)&amp;"","")</f>
        <v/>
      </c>
      <c r="D510" s="32">
        <f>IF(J510="E",INDEX(Transaksi!$D$2:$D$2001,K510)&amp;"","")</f>
        <v/>
      </c>
      <c r="E510" s="33">
        <f>IF(J510="H",SUMIFS(Transaksi!$G$2:$G$2001,Transaksi!$M$2:$M$2001,"="&amp;S510)+SUMIFS(Transaksi!$H$2:$H$2001,Transaksi!$M$2:$M$2001,"="&amp;S510)+SUMIFS(Transaksi!$I$2:$I$2001,Transaksi!$M$2:$M$2001,"="&amp;S510),IF(J510="E",IF(INDEX(Transaksi!$G$2:$G$2001,K510)+INDEX(Transaksi!$H$2:$H$2001,K510)+INDEX(Transaksi!$I$2:$I$2001,K510)=0,"",INDEX(Transaksi!$G$2:$G$2001,K510)+INDEX(Transaksi!$H$2:$H$2001,K510)+INDEX(Transaksi!$I$2:$I$2001,K510)),""))</f>
        <v/>
      </c>
      <c r="F510" s="33">
        <f>IF(J510="H",SUMIFS(Transaksi!$J$2:$J$2001,Transaksi!$M$2:$M$2001,"="&amp;S510),IF(J510="E",IF(INDEX(Transaksi!$J$2:$J$2001,K510)=0,"",INDEX(Transaksi!$J$2:$J$2001,K510)),""))</f>
        <v/>
      </c>
      <c r="G510" s="33">
        <f>IF(J510="H",(SUMIFS(Transaksi!$G$2:$G$2001,Transaksi!$M$2:$M$2001,"&lt;="&amp;S510)+SUMIFS(Transaksi!$H$2:$H$2001,Transaksi!$M$2:$M$2001,"&lt;="&amp;S510)+SUMIFS(Transaksi!$I$2:$I$2001,Transaksi!$M$2:$M$2001,"&lt;="&amp;S510))-(SUMIFS(Transaksi!$J$2:$J$2001,Transaksi!$M$2:$M$2001,"&lt;="&amp;S510)),"")</f>
        <v/>
      </c>
      <c r="I510">
        <f>IF(507&gt;$O$2,"",MATCH(507,$Q$3:$Q$402,1))</f>
        <v/>
      </c>
      <c r="J510">
        <f>IF(I510="","",IF(507=INDEX($Q$3:$Q$402,I510),"H","E"))</f>
        <v/>
      </c>
      <c r="K510">
        <f>IF(J510&lt;&gt;"E","",MATCH(S510,Transaksi!$M$2:$M$2001,0)+507-INDEX($Q$3:$Q$402,I510)-1)</f>
        <v/>
      </c>
      <c r="S510">
        <f>IF(I510="","",INDEX($O$3:$O$402,I510))</f>
        <v/>
      </c>
      <c r="T510">
        <f>IF(J510&lt;&gt;"H","",INDEX(Transaksi!$A$2:$A$2001,MATCH(S510,Transaksi!$M$2:$M$2001,0)))</f>
        <v/>
      </c>
    </row>
    <row r="511">
      <c r="A511" s="31">
        <f>IF(J511="E",IF(INDEX(Transaksi!$J$2:$J$2001,K511)&gt;0,"↑","↓"),"")</f>
        <v/>
      </c>
      <c r="B511" s="32">
        <f>IF(J511="H",CHOOSE(WEEKDAY(T511,2),"Isnin","Selasa","Rabu","Khamis","Jumaat","Sabtu","Ahad")&amp;", "&amp;DAY(T511)&amp;" "&amp;CHOOSE(MONTH(T511),"Jan","Feb","Mac","Apr","Mei","Jun","Jul","Ogo","Sep","Okt","Nov","Dis")&amp;" "&amp;YEAR(T511),IF(J511="E",IF(INDEX(Transaksi!$B$2:$B$2001,K511)="",INDEX(Transaksi!$C$2:$C$2001,K511)&amp;" · "&amp;INDEX(Transaksi!$D$2:$D$2001,K511),INDEX(Transaksi!$B$2:$B$2001,K511)),""))</f>
        <v/>
      </c>
      <c r="C511" s="32">
        <f>IF(J511="E",INDEX(Transaksi!$C$2:$C$2001,K511)&amp;"","")</f>
        <v/>
      </c>
      <c r="D511" s="32">
        <f>IF(J511="E",INDEX(Transaksi!$D$2:$D$2001,K511)&amp;"","")</f>
        <v/>
      </c>
      <c r="E511" s="33">
        <f>IF(J511="H",SUMIFS(Transaksi!$G$2:$G$2001,Transaksi!$M$2:$M$2001,"="&amp;S511)+SUMIFS(Transaksi!$H$2:$H$2001,Transaksi!$M$2:$M$2001,"="&amp;S511)+SUMIFS(Transaksi!$I$2:$I$2001,Transaksi!$M$2:$M$2001,"="&amp;S511),IF(J511="E",IF(INDEX(Transaksi!$G$2:$G$2001,K511)+INDEX(Transaksi!$H$2:$H$2001,K511)+INDEX(Transaksi!$I$2:$I$2001,K511)=0,"",INDEX(Transaksi!$G$2:$G$2001,K511)+INDEX(Transaksi!$H$2:$H$2001,K511)+INDEX(Transaksi!$I$2:$I$2001,K511)),""))</f>
        <v/>
      </c>
      <c r="F511" s="33">
        <f>IF(J511="H",SUMIFS(Transaksi!$J$2:$J$2001,Transaksi!$M$2:$M$2001,"="&amp;S511),IF(J511="E",IF(INDEX(Transaksi!$J$2:$J$2001,K511)=0,"",INDEX(Transaksi!$J$2:$J$2001,K511)),""))</f>
        <v/>
      </c>
      <c r="G511" s="33">
        <f>IF(J511="H",(SUMIFS(Transaksi!$G$2:$G$2001,Transaksi!$M$2:$M$2001,"&lt;="&amp;S511)+SUMIFS(Transaksi!$H$2:$H$2001,Transaksi!$M$2:$M$2001,"&lt;="&amp;S511)+SUMIFS(Transaksi!$I$2:$I$2001,Transaksi!$M$2:$M$2001,"&lt;="&amp;S511))-(SUMIFS(Transaksi!$J$2:$J$2001,Transaksi!$M$2:$M$2001,"&lt;="&amp;S511)),"")</f>
        <v/>
      </c>
      <c r="I511">
        <f>IF(508&gt;$O$2,"",MATCH(508,$Q$3:$Q$402,1))</f>
        <v/>
      </c>
      <c r="J511">
        <f>IF(I511="","",IF(508=INDEX($Q$3:$Q$402,I511),"H","E"))</f>
        <v/>
      </c>
      <c r="K511">
        <f>IF(J511&lt;&gt;"E","",MATCH(S511,Transaksi!$M$2:$M$2001,0)+508-INDEX($Q$3:$Q$402,I511)-1)</f>
        <v/>
      </c>
      <c r="S511">
        <f>IF(I511="","",INDEX($O$3:$O$402,I511))</f>
        <v/>
      </c>
      <c r="T511">
        <f>IF(J511&lt;&gt;"H","",INDEX(Transaksi!$A$2:$A$2001,MATCH(S511,Transaksi!$M$2:$M$2001,0)))</f>
        <v/>
      </c>
    </row>
    <row r="512">
      <c r="A512" s="31">
        <f>IF(J512="E",IF(INDEX(Transaksi!$J$2:$J$2001,K512)&gt;0,"↑","↓"),"")</f>
        <v/>
      </c>
      <c r="B512" s="32">
        <f>IF(J512="H",CHOOSE(WEEKDAY(T512,2),"Isnin","Selasa","Rabu","Khamis","Jumaat","Sabtu","Ahad")&amp;", "&amp;DAY(T512)&amp;" "&amp;CHOOSE(MONTH(T512),"Jan","Feb","Mac","Apr","Mei","Jun","Jul","Ogo","Sep","Okt","Nov","Dis")&amp;" "&amp;YEAR(T512),IF(J512="E",IF(INDEX(Transaksi!$B$2:$B$2001,K512)="",INDEX(Transaksi!$C$2:$C$2001,K512)&amp;" · "&amp;INDEX(Transaksi!$D$2:$D$2001,K512),INDEX(Transaksi!$B$2:$B$2001,K512)),""))</f>
        <v/>
      </c>
      <c r="C512" s="32">
        <f>IF(J512="E",INDEX(Transaksi!$C$2:$C$2001,K512)&amp;"","")</f>
        <v/>
      </c>
      <c r="D512" s="32">
        <f>IF(J512="E",INDEX(Transaksi!$D$2:$D$2001,K512)&amp;"","")</f>
        <v/>
      </c>
      <c r="E512" s="33">
        <f>IF(J512="H",SUMIFS(Transaksi!$G$2:$G$2001,Transaksi!$M$2:$M$2001,"="&amp;S512)+SUMIFS(Transaksi!$H$2:$H$2001,Transaksi!$M$2:$M$2001,"="&amp;S512)+SUMIFS(Transaksi!$I$2:$I$2001,Transaksi!$M$2:$M$2001,"="&amp;S512),IF(J512="E",IF(INDEX(Transaksi!$G$2:$G$2001,K512)+INDEX(Transaksi!$H$2:$H$2001,K512)+INDEX(Transaksi!$I$2:$I$2001,K512)=0,"",INDEX(Transaksi!$G$2:$G$2001,K512)+INDEX(Transaksi!$H$2:$H$2001,K512)+INDEX(Transaksi!$I$2:$I$2001,K512)),""))</f>
        <v/>
      </c>
      <c r="F512" s="33">
        <f>IF(J512="H",SUMIFS(Transaksi!$J$2:$J$2001,Transaksi!$M$2:$M$2001,"="&amp;S512),IF(J512="E",IF(INDEX(Transaksi!$J$2:$J$2001,K512)=0,"",INDEX(Transaksi!$J$2:$J$2001,K512)),""))</f>
        <v/>
      </c>
      <c r="G512" s="33">
        <f>IF(J512="H",(SUMIFS(Transaksi!$G$2:$G$2001,Transaksi!$M$2:$M$2001,"&lt;="&amp;S512)+SUMIFS(Transaksi!$H$2:$H$2001,Transaksi!$M$2:$M$2001,"&lt;="&amp;S512)+SUMIFS(Transaksi!$I$2:$I$2001,Transaksi!$M$2:$M$2001,"&lt;="&amp;S512))-(SUMIFS(Transaksi!$J$2:$J$2001,Transaksi!$M$2:$M$2001,"&lt;="&amp;S512)),"")</f>
        <v/>
      </c>
      <c r="I512">
        <f>IF(509&gt;$O$2,"",MATCH(509,$Q$3:$Q$402,1))</f>
        <v/>
      </c>
      <c r="J512">
        <f>IF(I512="","",IF(509=INDEX($Q$3:$Q$402,I512),"H","E"))</f>
        <v/>
      </c>
      <c r="K512">
        <f>IF(J512&lt;&gt;"E","",MATCH(S512,Transaksi!$M$2:$M$2001,0)+509-INDEX($Q$3:$Q$402,I512)-1)</f>
        <v/>
      </c>
      <c r="S512">
        <f>IF(I512="","",INDEX($O$3:$O$402,I512))</f>
        <v/>
      </c>
      <c r="T512">
        <f>IF(J512&lt;&gt;"H","",INDEX(Transaksi!$A$2:$A$2001,MATCH(S512,Transaksi!$M$2:$M$2001,0)))</f>
        <v/>
      </c>
    </row>
    <row r="513">
      <c r="A513" s="31">
        <f>IF(J513="E",IF(INDEX(Transaksi!$J$2:$J$2001,K513)&gt;0,"↑","↓"),"")</f>
        <v/>
      </c>
      <c r="B513" s="32">
        <f>IF(J513="H",CHOOSE(WEEKDAY(T513,2),"Isnin","Selasa","Rabu","Khamis","Jumaat","Sabtu","Ahad")&amp;", "&amp;DAY(T513)&amp;" "&amp;CHOOSE(MONTH(T513),"Jan","Feb","Mac","Apr","Mei","Jun","Jul","Ogo","Sep","Okt","Nov","Dis")&amp;" "&amp;YEAR(T513),IF(J513="E",IF(INDEX(Transaksi!$B$2:$B$2001,K513)="",INDEX(Transaksi!$C$2:$C$2001,K513)&amp;" · "&amp;INDEX(Transaksi!$D$2:$D$2001,K513),INDEX(Transaksi!$B$2:$B$2001,K513)),""))</f>
        <v/>
      </c>
      <c r="C513" s="32">
        <f>IF(J513="E",INDEX(Transaksi!$C$2:$C$2001,K513)&amp;"","")</f>
        <v/>
      </c>
      <c r="D513" s="32">
        <f>IF(J513="E",INDEX(Transaksi!$D$2:$D$2001,K513)&amp;"","")</f>
        <v/>
      </c>
      <c r="E513" s="33">
        <f>IF(J513="H",SUMIFS(Transaksi!$G$2:$G$2001,Transaksi!$M$2:$M$2001,"="&amp;S513)+SUMIFS(Transaksi!$H$2:$H$2001,Transaksi!$M$2:$M$2001,"="&amp;S513)+SUMIFS(Transaksi!$I$2:$I$2001,Transaksi!$M$2:$M$2001,"="&amp;S513),IF(J513="E",IF(INDEX(Transaksi!$G$2:$G$2001,K513)+INDEX(Transaksi!$H$2:$H$2001,K513)+INDEX(Transaksi!$I$2:$I$2001,K513)=0,"",INDEX(Transaksi!$G$2:$G$2001,K513)+INDEX(Transaksi!$H$2:$H$2001,K513)+INDEX(Transaksi!$I$2:$I$2001,K513)),""))</f>
        <v/>
      </c>
      <c r="F513" s="33">
        <f>IF(J513="H",SUMIFS(Transaksi!$J$2:$J$2001,Transaksi!$M$2:$M$2001,"="&amp;S513),IF(J513="E",IF(INDEX(Transaksi!$J$2:$J$2001,K513)=0,"",INDEX(Transaksi!$J$2:$J$2001,K513)),""))</f>
        <v/>
      </c>
      <c r="G513" s="33">
        <f>IF(J513="H",(SUMIFS(Transaksi!$G$2:$G$2001,Transaksi!$M$2:$M$2001,"&lt;="&amp;S513)+SUMIFS(Transaksi!$H$2:$H$2001,Transaksi!$M$2:$M$2001,"&lt;="&amp;S513)+SUMIFS(Transaksi!$I$2:$I$2001,Transaksi!$M$2:$M$2001,"&lt;="&amp;S513))-(SUMIFS(Transaksi!$J$2:$J$2001,Transaksi!$M$2:$M$2001,"&lt;="&amp;S513)),"")</f>
        <v/>
      </c>
      <c r="I513">
        <f>IF(510&gt;$O$2,"",MATCH(510,$Q$3:$Q$402,1))</f>
        <v/>
      </c>
      <c r="J513">
        <f>IF(I513="","",IF(510=INDEX($Q$3:$Q$402,I513),"H","E"))</f>
        <v/>
      </c>
      <c r="K513">
        <f>IF(J513&lt;&gt;"E","",MATCH(S513,Transaksi!$M$2:$M$2001,0)+510-INDEX($Q$3:$Q$402,I513)-1)</f>
        <v/>
      </c>
      <c r="S513">
        <f>IF(I513="","",INDEX($O$3:$O$402,I513))</f>
        <v/>
      </c>
      <c r="T513">
        <f>IF(J513&lt;&gt;"H","",INDEX(Transaksi!$A$2:$A$2001,MATCH(S513,Transaksi!$M$2:$M$2001,0)))</f>
        <v/>
      </c>
    </row>
    <row r="514">
      <c r="A514" s="31">
        <f>IF(J514="E",IF(INDEX(Transaksi!$J$2:$J$2001,K514)&gt;0,"↑","↓"),"")</f>
        <v/>
      </c>
      <c r="B514" s="32">
        <f>IF(J514="H",CHOOSE(WEEKDAY(T514,2),"Isnin","Selasa","Rabu","Khamis","Jumaat","Sabtu","Ahad")&amp;", "&amp;DAY(T514)&amp;" "&amp;CHOOSE(MONTH(T514),"Jan","Feb","Mac","Apr","Mei","Jun","Jul","Ogo","Sep","Okt","Nov","Dis")&amp;" "&amp;YEAR(T514),IF(J514="E",IF(INDEX(Transaksi!$B$2:$B$2001,K514)="",INDEX(Transaksi!$C$2:$C$2001,K514)&amp;" · "&amp;INDEX(Transaksi!$D$2:$D$2001,K514),INDEX(Transaksi!$B$2:$B$2001,K514)),""))</f>
        <v/>
      </c>
      <c r="C514" s="32">
        <f>IF(J514="E",INDEX(Transaksi!$C$2:$C$2001,K514)&amp;"","")</f>
        <v/>
      </c>
      <c r="D514" s="32">
        <f>IF(J514="E",INDEX(Transaksi!$D$2:$D$2001,K514)&amp;"","")</f>
        <v/>
      </c>
      <c r="E514" s="33">
        <f>IF(J514="H",SUMIFS(Transaksi!$G$2:$G$2001,Transaksi!$M$2:$M$2001,"="&amp;S514)+SUMIFS(Transaksi!$H$2:$H$2001,Transaksi!$M$2:$M$2001,"="&amp;S514)+SUMIFS(Transaksi!$I$2:$I$2001,Transaksi!$M$2:$M$2001,"="&amp;S514),IF(J514="E",IF(INDEX(Transaksi!$G$2:$G$2001,K514)+INDEX(Transaksi!$H$2:$H$2001,K514)+INDEX(Transaksi!$I$2:$I$2001,K514)=0,"",INDEX(Transaksi!$G$2:$G$2001,K514)+INDEX(Transaksi!$H$2:$H$2001,K514)+INDEX(Transaksi!$I$2:$I$2001,K514)),""))</f>
        <v/>
      </c>
      <c r="F514" s="33">
        <f>IF(J514="H",SUMIFS(Transaksi!$J$2:$J$2001,Transaksi!$M$2:$M$2001,"="&amp;S514),IF(J514="E",IF(INDEX(Transaksi!$J$2:$J$2001,K514)=0,"",INDEX(Transaksi!$J$2:$J$2001,K514)),""))</f>
        <v/>
      </c>
      <c r="G514" s="33">
        <f>IF(J514="H",(SUMIFS(Transaksi!$G$2:$G$2001,Transaksi!$M$2:$M$2001,"&lt;="&amp;S514)+SUMIFS(Transaksi!$H$2:$H$2001,Transaksi!$M$2:$M$2001,"&lt;="&amp;S514)+SUMIFS(Transaksi!$I$2:$I$2001,Transaksi!$M$2:$M$2001,"&lt;="&amp;S514))-(SUMIFS(Transaksi!$J$2:$J$2001,Transaksi!$M$2:$M$2001,"&lt;="&amp;S514)),"")</f>
        <v/>
      </c>
      <c r="I514">
        <f>IF(511&gt;$O$2,"",MATCH(511,$Q$3:$Q$402,1))</f>
        <v/>
      </c>
      <c r="J514">
        <f>IF(I514="","",IF(511=INDEX($Q$3:$Q$402,I514),"H","E"))</f>
        <v/>
      </c>
      <c r="K514">
        <f>IF(J514&lt;&gt;"E","",MATCH(S514,Transaksi!$M$2:$M$2001,0)+511-INDEX($Q$3:$Q$402,I514)-1)</f>
        <v/>
      </c>
      <c r="S514">
        <f>IF(I514="","",INDEX($O$3:$O$402,I514))</f>
        <v/>
      </c>
      <c r="T514">
        <f>IF(J514&lt;&gt;"H","",INDEX(Transaksi!$A$2:$A$2001,MATCH(S514,Transaksi!$M$2:$M$2001,0)))</f>
        <v/>
      </c>
    </row>
    <row r="515">
      <c r="A515" s="31">
        <f>IF(J515="E",IF(INDEX(Transaksi!$J$2:$J$2001,K515)&gt;0,"↑","↓"),"")</f>
        <v/>
      </c>
      <c r="B515" s="32">
        <f>IF(J515="H",CHOOSE(WEEKDAY(T515,2),"Isnin","Selasa","Rabu","Khamis","Jumaat","Sabtu","Ahad")&amp;", "&amp;DAY(T515)&amp;" "&amp;CHOOSE(MONTH(T515),"Jan","Feb","Mac","Apr","Mei","Jun","Jul","Ogo","Sep","Okt","Nov","Dis")&amp;" "&amp;YEAR(T515),IF(J515="E",IF(INDEX(Transaksi!$B$2:$B$2001,K515)="",INDEX(Transaksi!$C$2:$C$2001,K515)&amp;" · "&amp;INDEX(Transaksi!$D$2:$D$2001,K515),INDEX(Transaksi!$B$2:$B$2001,K515)),""))</f>
        <v/>
      </c>
      <c r="C515" s="32">
        <f>IF(J515="E",INDEX(Transaksi!$C$2:$C$2001,K515)&amp;"","")</f>
        <v/>
      </c>
      <c r="D515" s="32">
        <f>IF(J515="E",INDEX(Transaksi!$D$2:$D$2001,K515)&amp;"","")</f>
        <v/>
      </c>
      <c r="E515" s="33">
        <f>IF(J515="H",SUMIFS(Transaksi!$G$2:$G$2001,Transaksi!$M$2:$M$2001,"="&amp;S515)+SUMIFS(Transaksi!$H$2:$H$2001,Transaksi!$M$2:$M$2001,"="&amp;S515)+SUMIFS(Transaksi!$I$2:$I$2001,Transaksi!$M$2:$M$2001,"="&amp;S515),IF(J515="E",IF(INDEX(Transaksi!$G$2:$G$2001,K515)+INDEX(Transaksi!$H$2:$H$2001,K515)+INDEX(Transaksi!$I$2:$I$2001,K515)=0,"",INDEX(Transaksi!$G$2:$G$2001,K515)+INDEX(Transaksi!$H$2:$H$2001,K515)+INDEX(Transaksi!$I$2:$I$2001,K515)),""))</f>
        <v/>
      </c>
      <c r="F515" s="33">
        <f>IF(J515="H",SUMIFS(Transaksi!$J$2:$J$2001,Transaksi!$M$2:$M$2001,"="&amp;S515),IF(J515="E",IF(INDEX(Transaksi!$J$2:$J$2001,K515)=0,"",INDEX(Transaksi!$J$2:$J$2001,K515)),""))</f>
        <v/>
      </c>
      <c r="G515" s="33">
        <f>IF(J515="H",(SUMIFS(Transaksi!$G$2:$G$2001,Transaksi!$M$2:$M$2001,"&lt;="&amp;S515)+SUMIFS(Transaksi!$H$2:$H$2001,Transaksi!$M$2:$M$2001,"&lt;="&amp;S515)+SUMIFS(Transaksi!$I$2:$I$2001,Transaksi!$M$2:$M$2001,"&lt;="&amp;S515))-(SUMIFS(Transaksi!$J$2:$J$2001,Transaksi!$M$2:$M$2001,"&lt;="&amp;S515)),"")</f>
        <v/>
      </c>
      <c r="I515">
        <f>IF(512&gt;$O$2,"",MATCH(512,$Q$3:$Q$402,1))</f>
        <v/>
      </c>
      <c r="J515">
        <f>IF(I515="","",IF(512=INDEX($Q$3:$Q$402,I515),"H","E"))</f>
        <v/>
      </c>
      <c r="K515">
        <f>IF(J515&lt;&gt;"E","",MATCH(S515,Transaksi!$M$2:$M$2001,0)+512-INDEX($Q$3:$Q$402,I515)-1)</f>
        <v/>
      </c>
      <c r="S515">
        <f>IF(I515="","",INDEX($O$3:$O$402,I515))</f>
        <v/>
      </c>
      <c r="T515">
        <f>IF(J515&lt;&gt;"H","",INDEX(Transaksi!$A$2:$A$2001,MATCH(S515,Transaksi!$M$2:$M$2001,0)))</f>
        <v/>
      </c>
    </row>
    <row r="516">
      <c r="A516" s="31">
        <f>IF(J516="E",IF(INDEX(Transaksi!$J$2:$J$2001,K516)&gt;0,"↑","↓"),"")</f>
        <v/>
      </c>
      <c r="B516" s="32">
        <f>IF(J516="H",CHOOSE(WEEKDAY(T516,2),"Isnin","Selasa","Rabu","Khamis","Jumaat","Sabtu","Ahad")&amp;", "&amp;DAY(T516)&amp;" "&amp;CHOOSE(MONTH(T516),"Jan","Feb","Mac","Apr","Mei","Jun","Jul","Ogo","Sep","Okt","Nov","Dis")&amp;" "&amp;YEAR(T516),IF(J516="E",IF(INDEX(Transaksi!$B$2:$B$2001,K516)="",INDEX(Transaksi!$C$2:$C$2001,K516)&amp;" · "&amp;INDEX(Transaksi!$D$2:$D$2001,K516),INDEX(Transaksi!$B$2:$B$2001,K516)),""))</f>
        <v/>
      </c>
      <c r="C516" s="32">
        <f>IF(J516="E",INDEX(Transaksi!$C$2:$C$2001,K516)&amp;"","")</f>
        <v/>
      </c>
      <c r="D516" s="32">
        <f>IF(J516="E",INDEX(Transaksi!$D$2:$D$2001,K516)&amp;"","")</f>
        <v/>
      </c>
      <c r="E516" s="33">
        <f>IF(J516="H",SUMIFS(Transaksi!$G$2:$G$2001,Transaksi!$M$2:$M$2001,"="&amp;S516)+SUMIFS(Transaksi!$H$2:$H$2001,Transaksi!$M$2:$M$2001,"="&amp;S516)+SUMIFS(Transaksi!$I$2:$I$2001,Transaksi!$M$2:$M$2001,"="&amp;S516),IF(J516="E",IF(INDEX(Transaksi!$G$2:$G$2001,K516)+INDEX(Transaksi!$H$2:$H$2001,K516)+INDEX(Transaksi!$I$2:$I$2001,K516)=0,"",INDEX(Transaksi!$G$2:$G$2001,K516)+INDEX(Transaksi!$H$2:$H$2001,K516)+INDEX(Transaksi!$I$2:$I$2001,K516)),""))</f>
        <v/>
      </c>
      <c r="F516" s="33">
        <f>IF(J516="H",SUMIFS(Transaksi!$J$2:$J$2001,Transaksi!$M$2:$M$2001,"="&amp;S516),IF(J516="E",IF(INDEX(Transaksi!$J$2:$J$2001,K516)=0,"",INDEX(Transaksi!$J$2:$J$2001,K516)),""))</f>
        <v/>
      </c>
      <c r="G516" s="33">
        <f>IF(J516="H",(SUMIFS(Transaksi!$G$2:$G$2001,Transaksi!$M$2:$M$2001,"&lt;="&amp;S516)+SUMIFS(Transaksi!$H$2:$H$2001,Transaksi!$M$2:$M$2001,"&lt;="&amp;S516)+SUMIFS(Transaksi!$I$2:$I$2001,Transaksi!$M$2:$M$2001,"&lt;="&amp;S516))-(SUMIFS(Transaksi!$J$2:$J$2001,Transaksi!$M$2:$M$2001,"&lt;="&amp;S516)),"")</f>
        <v/>
      </c>
      <c r="I516">
        <f>IF(513&gt;$O$2,"",MATCH(513,$Q$3:$Q$402,1))</f>
        <v/>
      </c>
      <c r="J516">
        <f>IF(I516="","",IF(513=INDEX($Q$3:$Q$402,I516),"H","E"))</f>
        <v/>
      </c>
      <c r="K516">
        <f>IF(J516&lt;&gt;"E","",MATCH(S516,Transaksi!$M$2:$M$2001,0)+513-INDEX($Q$3:$Q$402,I516)-1)</f>
        <v/>
      </c>
      <c r="S516">
        <f>IF(I516="","",INDEX($O$3:$O$402,I516))</f>
        <v/>
      </c>
      <c r="T516">
        <f>IF(J516&lt;&gt;"H","",INDEX(Transaksi!$A$2:$A$2001,MATCH(S516,Transaksi!$M$2:$M$2001,0)))</f>
        <v/>
      </c>
    </row>
    <row r="517">
      <c r="A517" s="31">
        <f>IF(J517="E",IF(INDEX(Transaksi!$J$2:$J$2001,K517)&gt;0,"↑","↓"),"")</f>
        <v/>
      </c>
      <c r="B517" s="32">
        <f>IF(J517="H",CHOOSE(WEEKDAY(T517,2),"Isnin","Selasa","Rabu","Khamis","Jumaat","Sabtu","Ahad")&amp;", "&amp;DAY(T517)&amp;" "&amp;CHOOSE(MONTH(T517),"Jan","Feb","Mac","Apr","Mei","Jun","Jul","Ogo","Sep","Okt","Nov","Dis")&amp;" "&amp;YEAR(T517),IF(J517="E",IF(INDEX(Transaksi!$B$2:$B$2001,K517)="",INDEX(Transaksi!$C$2:$C$2001,K517)&amp;" · "&amp;INDEX(Transaksi!$D$2:$D$2001,K517),INDEX(Transaksi!$B$2:$B$2001,K517)),""))</f>
        <v/>
      </c>
      <c r="C517" s="32">
        <f>IF(J517="E",INDEX(Transaksi!$C$2:$C$2001,K517)&amp;"","")</f>
        <v/>
      </c>
      <c r="D517" s="32">
        <f>IF(J517="E",INDEX(Transaksi!$D$2:$D$2001,K517)&amp;"","")</f>
        <v/>
      </c>
      <c r="E517" s="33">
        <f>IF(J517="H",SUMIFS(Transaksi!$G$2:$G$2001,Transaksi!$M$2:$M$2001,"="&amp;S517)+SUMIFS(Transaksi!$H$2:$H$2001,Transaksi!$M$2:$M$2001,"="&amp;S517)+SUMIFS(Transaksi!$I$2:$I$2001,Transaksi!$M$2:$M$2001,"="&amp;S517),IF(J517="E",IF(INDEX(Transaksi!$G$2:$G$2001,K517)+INDEX(Transaksi!$H$2:$H$2001,K517)+INDEX(Transaksi!$I$2:$I$2001,K517)=0,"",INDEX(Transaksi!$G$2:$G$2001,K517)+INDEX(Transaksi!$H$2:$H$2001,K517)+INDEX(Transaksi!$I$2:$I$2001,K517)),""))</f>
        <v/>
      </c>
      <c r="F517" s="33">
        <f>IF(J517="H",SUMIFS(Transaksi!$J$2:$J$2001,Transaksi!$M$2:$M$2001,"="&amp;S517),IF(J517="E",IF(INDEX(Transaksi!$J$2:$J$2001,K517)=0,"",INDEX(Transaksi!$J$2:$J$2001,K517)),""))</f>
        <v/>
      </c>
      <c r="G517" s="33">
        <f>IF(J517="H",(SUMIFS(Transaksi!$G$2:$G$2001,Transaksi!$M$2:$M$2001,"&lt;="&amp;S517)+SUMIFS(Transaksi!$H$2:$H$2001,Transaksi!$M$2:$M$2001,"&lt;="&amp;S517)+SUMIFS(Transaksi!$I$2:$I$2001,Transaksi!$M$2:$M$2001,"&lt;="&amp;S517))-(SUMIFS(Transaksi!$J$2:$J$2001,Transaksi!$M$2:$M$2001,"&lt;="&amp;S517)),"")</f>
        <v/>
      </c>
      <c r="I517">
        <f>IF(514&gt;$O$2,"",MATCH(514,$Q$3:$Q$402,1))</f>
        <v/>
      </c>
      <c r="J517">
        <f>IF(I517="","",IF(514=INDEX($Q$3:$Q$402,I517),"H","E"))</f>
        <v/>
      </c>
      <c r="K517">
        <f>IF(J517&lt;&gt;"E","",MATCH(S517,Transaksi!$M$2:$M$2001,0)+514-INDEX($Q$3:$Q$402,I517)-1)</f>
        <v/>
      </c>
      <c r="S517">
        <f>IF(I517="","",INDEX($O$3:$O$402,I517))</f>
        <v/>
      </c>
      <c r="T517">
        <f>IF(J517&lt;&gt;"H","",INDEX(Transaksi!$A$2:$A$2001,MATCH(S517,Transaksi!$M$2:$M$2001,0)))</f>
        <v/>
      </c>
    </row>
    <row r="518">
      <c r="A518" s="31">
        <f>IF(J518="E",IF(INDEX(Transaksi!$J$2:$J$2001,K518)&gt;0,"↑","↓"),"")</f>
        <v/>
      </c>
      <c r="B518" s="32">
        <f>IF(J518="H",CHOOSE(WEEKDAY(T518,2),"Isnin","Selasa","Rabu","Khamis","Jumaat","Sabtu","Ahad")&amp;", "&amp;DAY(T518)&amp;" "&amp;CHOOSE(MONTH(T518),"Jan","Feb","Mac","Apr","Mei","Jun","Jul","Ogo","Sep","Okt","Nov","Dis")&amp;" "&amp;YEAR(T518),IF(J518="E",IF(INDEX(Transaksi!$B$2:$B$2001,K518)="",INDEX(Transaksi!$C$2:$C$2001,K518)&amp;" · "&amp;INDEX(Transaksi!$D$2:$D$2001,K518),INDEX(Transaksi!$B$2:$B$2001,K518)),""))</f>
        <v/>
      </c>
      <c r="C518" s="32">
        <f>IF(J518="E",INDEX(Transaksi!$C$2:$C$2001,K518)&amp;"","")</f>
        <v/>
      </c>
      <c r="D518" s="32">
        <f>IF(J518="E",INDEX(Transaksi!$D$2:$D$2001,K518)&amp;"","")</f>
        <v/>
      </c>
      <c r="E518" s="33">
        <f>IF(J518="H",SUMIFS(Transaksi!$G$2:$G$2001,Transaksi!$M$2:$M$2001,"="&amp;S518)+SUMIFS(Transaksi!$H$2:$H$2001,Transaksi!$M$2:$M$2001,"="&amp;S518)+SUMIFS(Transaksi!$I$2:$I$2001,Transaksi!$M$2:$M$2001,"="&amp;S518),IF(J518="E",IF(INDEX(Transaksi!$G$2:$G$2001,K518)+INDEX(Transaksi!$H$2:$H$2001,K518)+INDEX(Transaksi!$I$2:$I$2001,K518)=0,"",INDEX(Transaksi!$G$2:$G$2001,K518)+INDEX(Transaksi!$H$2:$H$2001,K518)+INDEX(Transaksi!$I$2:$I$2001,K518)),""))</f>
        <v/>
      </c>
      <c r="F518" s="33">
        <f>IF(J518="H",SUMIFS(Transaksi!$J$2:$J$2001,Transaksi!$M$2:$M$2001,"="&amp;S518),IF(J518="E",IF(INDEX(Transaksi!$J$2:$J$2001,K518)=0,"",INDEX(Transaksi!$J$2:$J$2001,K518)),""))</f>
        <v/>
      </c>
      <c r="G518" s="33">
        <f>IF(J518="H",(SUMIFS(Transaksi!$G$2:$G$2001,Transaksi!$M$2:$M$2001,"&lt;="&amp;S518)+SUMIFS(Transaksi!$H$2:$H$2001,Transaksi!$M$2:$M$2001,"&lt;="&amp;S518)+SUMIFS(Transaksi!$I$2:$I$2001,Transaksi!$M$2:$M$2001,"&lt;="&amp;S518))-(SUMIFS(Transaksi!$J$2:$J$2001,Transaksi!$M$2:$M$2001,"&lt;="&amp;S518)),"")</f>
        <v/>
      </c>
      <c r="I518">
        <f>IF(515&gt;$O$2,"",MATCH(515,$Q$3:$Q$402,1))</f>
        <v/>
      </c>
      <c r="J518">
        <f>IF(I518="","",IF(515=INDEX($Q$3:$Q$402,I518),"H","E"))</f>
        <v/>
      </c>
      <c r="K518">
        <f>IF(J518&lt;&gt;"E","",MATCH(S518,Transaksi!$M$2:$M$2001,0)+515-INDEX($Q$3:$Q$402,I518)-1)</f>
        <v/>
      </c>
      <c r="S518">
        <f>IF(I518="","",INDEX($O$3:$O$402,I518))</f>
        <v/>
      </c>
      <c r="T518">
        <f>IF(J518&lt;&gt;"H","",INDEX(Transaksi!$A$2:$A$2001,MATCH(S518,Transaksi!$M$2:$M$2001,0)))</f>
        <v/>
      </c>
    </row>
    <row r="519">
      <c r="A519" s="31">
        <f>IF(J519="E",IF(INDEX(Transaksi!$J$2:$J$2001,K519)&gt;0,"↑","↓"),"")</f>
        <v/>
      </c>
      <c r="B519" s="32">
        <f>IF(J519="H",CHOOSE(WEEKDAY(T519,2),"Isnin","Selasa","Rabu","Khamis","Jumaat","Sabtu","Ahad")&amp;", "&amp;DAY(T519)&amp;" "&amp;CHOOSE(MONTH(T519),"Jan","Feb","Mac","Apr","Mei","Jun","Jul","Ogo","Sep","Okt","Nov","Dis")&amp;" "&amp;YEAR(T519),IF(J519="E",IF(INDEX(Transaksi!$B$2:$B$2001,K519)="",INDEX(Transaksi!$C$2:$C$2001,K519)&amp;" · "&amp;INDEX(Transaksi!$D$2:$D$2001,K519),INDEX(Transaksi!$B$2:$B$2001,K519)),""))</f>
        <v/>
      </c>
      <c r="C519" s="32">
        <f>IF(J519="E",INDEX(Transaksi!$C$2:$C$2001,K519)&amp;"","")</f>
        <v/>
      </c>
      <c r="D519" s="32">
        <f>IF(J519="E",INDEX(Transaksi!$D$2:$D$2001,K519)&amp;"","")</f>
        <v/>
      </c>
      <c r="E519" s="33">
        <f>IF(J519="H",SUMIFS(Transaksi!$G$2:$G$2001,Transaksi!$M$2:$M$2001,"="&amp;S519)+SUMIFS(Transaksi!$H$2:$H$2001,Transaksi!$M$2:$M$2001,"="&amp;S519)+SUMIFS(Transaksi!$I$2:$I$2001,Transaksi!$M$2:$M$2001,"="&amp;S519),IF(J519="E",IF(INDEX(Transaksi!$G$2:$G$2001,K519)+INDEX(Transaksi!$H$2:$H$2001,K519)+INDEX(Transaksi!$I$2:$I$2001,K519)=0,"",INDEX(Transaksi!$G$2:$G$2001,K519)+INDEX(Transaksi!$H$2:$H$2001,K519)+INDEX(Transaksi!$I$2:$I$2001,K519)),""))</f>
        <v/>
      </c>
      <c r="F519" s="33">
        <f>IF(J519="H",SUMIFS(Transaksi!$J$2:$J$2001,Transaksi!$M$2:$M$2001,"="&amp;S519),IF(J519="E",IF(INDEX(Transaksi!$J$2:$J$2001,K519)=0,"",INDEX(Transaksi!$J$2:$J$2001,K519)),""))</f>
        <v/>
      </c>
      <c r="G519" s="33">
        <f>IF(J519="H",(SUMIFS(Transaksi!$G$2:$G$2001,Transaksi!$M$2:$M$2001,"&lt;="&amp;S519)+SUMIFS(Transaksi!$H$2:$H$2001,Transaksi!$M$2:$M$2001,"&lt;="&amp;S519)+SUMIFS(Transaksi!$I$2:$I$2001,Transaksi!$M$2:$M$2001,"&lt;="&amp;S519))-(SUMIFS(Transaksi!$J$2:$J$2001,Transaksi!$M$2:$M$2001,"&lt;="&amp;S519)),"")</f>
        <v/>
      </c>
      <c r="I519">
        <f>IF(516&gt;$O$2,"",MATCH(516,$Q$3:$Q$402,1))</f>
        <v/>
      </c>
      <c r="J519">
        <f>IF(I519="","",IF(516=INDEX($Q$3:$Q$402,I519),"H","E"))</f>
        <v/>
      </c>
      <c r="K519">
        <f>IF(J519&lt;&gt;"E","",MATCH(S519,Transaksi!$M$2:$M$2001,0)+516-INDEX($Q$3:$Q$402,I519)-1)</f>
        <v/>
      </c>
      <c r="S519">
        <f>IF(I519="","",INDEX($O$3:$O$402,I519))</f>
        <v/>
      </c>
      <c r="T519">
        <f>IF(J519&lt;&gt;"H","",INDEX(Transaksi!$A$2:$A$2001,MATCH(S519,Transaksi!$M$2:$M$2001,0)))</f>
        <v/>
      </c>
    </row>
    <row r="520">
      <c r="A520" s="31">
        <f>IF(J520="E",IF(INDEX(Transaksi!$J$2:$J$2001,K520)&gt;0,"↑","↓"),"")</f>
        <v/>
      </c>
      <c r="B520" s="32">
        <f>IF(J520="H",CHOOSE(WEEKDAY(T520,2),"Isnin","Selasa","Rabu","Khamis","Jumaat","Sabtu","Ahad")&amp;", "&amp;DAY(T520)&amp;" "&amp;CHOOSE(MONTH(T520),"Jan","Feb","Mac","Apr","Mei","Jun","Jul","Ogo","Sep","Okt","Nov","Dis")&amp;" "&amp;YEAR(T520),IF(J520="E",IF(INDEX(Transaksi!$B$2:$B$2001,K520)="",INDEX(Transaksi!$C$2:$C$2001,K520)&amp;" · "&amp;INDEX(Transaksi!$D$2:$D$2001,K520),INDEX(Transaksi!$B$2:$B$2001,K520)),""))</f>
        <v/>
      </c>
      <c r="C520" s="32">
        <f>IF(J520="E",INDEX(Transaksi!$C$2:$C$2001,K520)&amp;"","")</f>
        <v/>
      </c>
      <c r="D520" s="32">
        <f>IF(J520="E",INDEX(Transaksi!$D$2:$D$2001,K520)&amp;"","")</f>
        <v/>
      </c>
      <c r="E520" s="33">
        <f>IF(J520="H",SUMIFS(Transaksi!$G$2:$G$2001,Transaksi!$M$2:$M$2001,"="&amp;S520)+SUMIFS(Transaksi!$H$2:$H$2001,Transaksi!$M$2:$M$2001,"="&amp;S520)+SUMIFS(Transaksi!$I$2:$I$2001,Transaksi!$M$2:$M$2001,"="&amp;S520),IF(J520="E",IF(INDEX(Transaksi!$G$2:$G$2001,K520)+INDEX(Transaksi!$H$2:$H$2001,K520)+INDEX(Transaksi!$I$2:$I$2001,K520)=0,"",INDEX(Transaksi!$G$2:$G$2001,K520)+INDEX(Transaksi!$H$2:$H$2001,K520)+INDEX(Transaksi!$I$2:$I$2001,K520)),""))</f>
        <v/>
      </c>
      <c r="F520" s="33">
        <f>IF(J520="H",SUMIFS(Transaksi!$J$2:$J$2001,Transaksi!$M$2:$M$2001,"="&amp;S520),IF(J520="E",IF(INDEX(Transaksi!$J$2:$J$2001,K520)=0,"",INDEX(Transaksi!$J$2:$J$2001,K520)),""))</f>
        <v/>
      </c>
      <c r="G520" s="33">
        <f>IF(J520="H",(SUMIFS(Transaksi!$G$2:$G$2001,Transaksi!$M$2:$M$2001,"&lt;="&amp;S520)+SUMIFS(Transaksi!$H$2:$H$2001,Transaksi!$M$2:$M$2001,"&lt;="&amp;S520)+SUMIFS(Transaksi!$I$2:$I$2001,Transaksi!$M$2:$M$2001,"&lt;="&amp;S520))-(SUMIFS(Transaksi!$J$2:$J$2001,Transaksi!$M$2:$M$2001,"&lt;="&amp;S520)),"")</f>
        <v/>
      </c>
      <c r="I520">
        <f>IF(517&gt;$O$2,"",MATCH(517,$Q$3:$Q$402,1))</f>
        <v/>
      </c>
      <c r="J520">
        <f>IF(I520="","",IF(517=INDEX($Q$3:$Q$402,I520),"H","E"))</f>
        <v/>
      </c>
      <c r="K520">
        <f>IF(J520&lt;&gt;"E","",MATCH(S520,Transaksi!$M$2:$M$2001,0)+517-INDEX($Q$3:$Q$402,I520)-1)</f>
        <v/>
      </c>
      <c r="S520">
        <f>IF(I520="","",INDEX($O$3:$O$402,I520))</f>
        <v/>
      </c>
      <c r="T520">
        <f>IF(J520&lt;&gt;"H","",INDEX(Transaksi!$A$2:$A$2001,MATCH(S520,Transaksi!$M$2:$M$2001,0)))</f>
        <v/>
      </c>
    </row>
    <row r="521">
      <c r="A521" s="31">
        <f>IF(J521="E",IF(INDEX(Transaksi!$J$2:$J$2001,K521)&gt;0,"↑","↓"),"")</f>
        <v/>
      </c>
      <c r="B521" s="32">
        <f>IF(J521="H",CHOOSE(WEEKDAY(T521,2),"Isnin","Selasa","Rabu","Khamis","Jumaat","Sabtu","Ahad")&amp;", "&amp;DAY(T521)&amp;" "&amp;CHOOSE(MONTH(T521),"Jan","Feb","Mac","Apr","Mei","Jun","Jul","Ogo","Sep","Okt","Nov","Dis")&amp;" "&amp;YEAR(T521),IF(J521="E",IF(INDEX(Transaksi!$B$2:$B$2001,K521)="",INDEX(Transaksi!$C$2:$C$2001,K521)&amp;" · "&amp;INDEX(Transaksi!$D$2:$D$2001,K521),INDEX(Transaksi!$B$2:$B$2001,K521)),""))</f>
        <v/>
      </c>
      <c r="C521" s="32">
        <f>IF(J521="E",INDEX(Transaksi!$C$2:$C$2001,K521)&amp;"","")</f>
        <v/>
      </c>
      <c r="D521" s="32">
        <f>IF(J521="E",INDEX(Transaksi!$D$2:$D$2001,K521)&amp;"","")</f>
        <v/>
      </c>
      <c r="E521" s="33">
        <f>IF(J521="H",SUMIFS(Transaksi!$G$2:$G$2001,Transaksi!$M$2:$M$2001,"="&amp;S521)+SUMIFS(Transaksi!$H$2:$H$2001,Transaksi!$M$2:$M$2001,"="&amp;S521)+SUMIFS(Transaksi!$I$2:$I$2001,Transaksi!$M$2:$M$2001,"="&amp;S521),IF(J521="E",IF(INDEX(Transaksi!$G$2:$G$2001,K521)+INDEX(Transaksi!$H$2:$H$2001,K521)+INDEX(Transaksi!$I$2:$I$2001,K521)=0,"",INDEX(Transaksi!$G$2:$G$2001,K521)+INDEX(Transaksi!$H$2:$H$2001,K521)+INDEX(Transaksi!$I$2:$I$2001,K521)),""))</f>
        <v/>
      </c>
      <c r="F521" s="33">
        <f>IF(J521="H",SUMIFS(Transaksi!$J$2:$J$2001,Transaksi!$M$2:$M$2001,"="&amp;S521),IF(J521="E",IF(INDEX(Transaksi!$J$2:$J$2001,K521)=0,"",INDEX(Transaksi!$J$2:$J$2001,K521)),""))</f>
        <v/>
      </c>
      <c r="G521" s="33">
        <f>IF(J521="H",(SUMIFS(Transaksi!$G$2:$G$2001,Transaksi!$M$2:$M$2001,"&lt;="&amp;S521)+SUMIFS(Transaksi!$H$2:$H$2001,Transaksi!$M$2:$M$2001,"&lt;="&amp;S521)+SUMIFS(Transaksi!$I$2:$I$2001,Transaksi!$M$2:$M$2001,"&lt;="&amp;S521))-(SUMIFS(Transaksi!$J$2:$J$2001,Transaksi!$M$2:$M$2001,"&lt;="&amp;S521)),"")</f>
        <v/>
      </c>
      <c r="I521">
        <f>IF(518&gt;$O$2,"",MATCH(518,$Q$3:$Q$402,1))</f>
        <v/>
      </c>
      <c r="J521">
        <f>IF(I521="","",IF(518=INDEX($Q$3:$Q$402,I521),"H","E"))</f>
        <v/>
      </c>
      <c r="K521">
        <f>IF(J521&lt;&gt;"E","",MATCH(S521,Transaksi!$M$2:$M$2001,0)+518-INDEX($Q$3:$Q$402,I521)-1)</f>
        <v/>
      </c>
      <c r="S521">
        <f>IF(I521="","",INDEX($O$3:$O$402,I521))</f>
        <v/>
      </c>
      <c r="T521">
        <f>IF(J521&lt;&gt;"H","",INDEX(Transaksi!$A$2:$A$2001,MATCH(S521,Transaksi!$M$2:$M$2001,0)))</f>
        <v/>
      </c>
    </row>
    <row r="522">
      <c r="A522" s="31">
        <f>IF(J522="E",IF(INDEX(Transaksi!$J$2:$J$2001,K522)&gt;0,"↑","↓"),"")</f>
        <v/>
      </c>
      <c r="B522" s="32">
        <f>IF(J522="H",CHOOSE(WEEKDAY(T522,2),"Isnin","Selasa","Rabu","Khamis","Jumaat","Sabtu","Ahad")&amp;", "&amp;DAY(T522)&amp;" "&amp;CHOOSE(MONTH(T522),"Jan","Feb","Mac","Apr","Mei","Jun","Jul","Ogo","Sep","Okt","Nov","Dis")&amp;" "&amp;YEAR(T522),IF(J522="E",IF(INDEX(Transaksi!$B$2:$B$2001,K522)="",INDEX(Transaksi!$C$2:$C$2001,K522)&amp;" · "&amp;INDEX(Transaksi!$D$2:$D$2001,K522),INDEX(Transaksi!$B$2:$B$2001,K522)),""))</f>
        <v/>
      </c>
      <c r="C522" s="32">
        <f>IF(J522="E",INDEX(Transaksi!$C$2:$C$2001,K522)&amp;"","")</f>
        <v/>
      </c>
      <c r="D522" s="32">
        <f>IF(J522="E",INDEX(Transaksi!$D$2:$D$2001,K522)&amp;"","")</f>
        <v/>
      </c>
      <c r="E522" s="33">
        <f>IF(J522="H",SUMIFS(Transaksi!$G$2:$G$2001,Transaksi!$M$2:$M$2001,"="&amp;S522)+SUMIFS(Transaksi!$H$2:$H$2001,Transaksi!$M$2:$M$2001,"="&amp;S522)+SUMIFS(Transaksi!$I$2:$I$2001,Transaksi!$M$2:$M$2001,"="&amp;S522),IF(J522="E",IF(INDEX(Transaksi!$G$2:$G$2001,K522)+INDEX(Transaksi!$H$2:$H$2001,K522)+INDEX(Transaksi!$I$2:$I$2001,K522)=0,"",INDEX(Transaksi!$G$2:$G$2001,K522)+INDEX(Transaksi!$H$2:$H$2001,K522)+INDEX(Transaksi!$I$2:$I$2001,K522)),""))</f>
        <v/>
      </c>
      <c r="F522" s="33">
        <f>IF(J522="H",SUMIFS(Transaksi!$J$2:$J$2001,Transaksi!$M$2:$M$2001,"="&amp;S522),IF(J522="E",IF(INDEX(Transaksi!$J$2:$J$2001,K522)=0,"",INDEX(Transaksi!$J$2:$J$2001,K522)),""))</f>
        <v/>
      </c>
      <c r="G522" s="33">
        <f>IF(J522="H",(SUMIFS(Transaksi!$G$2:$G$2001,Transaksi!$M$2:$M$2001,"&lt;="&amp;S522)+SUMIFS(Transaksi!$H$2:$H$2001,Transaksi!$M$2:$M$2001,"&lt;="&amp;S522)+SUMIFS(Transaksi!$I$2:$I$2001,Transaksi!$M$2:$M$2001,"&lt;="&amp;S522))-(SUMIFS(Transaksi!$J$2:$J$2001,Transaksi!$M$2:$M$2001,"&lt;="&amp;S522)),"")</f>
        <v/>
      </c>
      <c r="I522">
        <f>IF(519&gt;$O$2,"",MATCH(519,$Q$3:$Q$402,1))</f>
        <v/>
      </c>
      <c r="J522">
        <f>IF(I522="","",IF(519=INDEX($Q$3:$Q$402,I522),"H","E"))</f>
        <v/>
      </c>
      <c r="K522">
        <f>IF(J522&lt;&gt;"E","",MATCH(S522,Transaksi!$M$2:$M$2001,0)+519-INDEX($Q$3:$Q$402,I522)-1)</f>
        <v/>
      </c>
      <c r="S522">
        <f>IF(I522="","",INDEX($O$3:$O$402,I522))</f>
        <v/>
      </c>
      <c r="T522">
        <f>IF(J522&lt;&gt;"H","",INDEX(Transaksi!$A$2:$A$2001,MATCH(S522,Transaksi!$M$2:$M$2001,0)))</f>
        <v/>
      </c>
    </row>
    <row r="523">
      <c r="A523" s="31">
        <f>IF(J523="E",IF(INDEX(Transaksi!$J$2:$J$2001,K523)&gt;0,"↑","↓"),"")</f>
        <v/>
      </c>
      <c r="B523" s="32">
        <f>IF(J523="H",CHOOSE(WEEKDAY(T523,2),"Isnin","Selasa","Rabu","Khamis","Jumaat","Sabtu","Ahad")&amp;", "&amp;DAY(T523)&amp;" "&amp;CHOOSE(MONTH(T523),"Jan","Feb","Mac","Apr","Mei","Jun","Jul","Ogo","Sep","Okt","Nov","Dis")&amp;" "&amp;YEAR(T523),IF(J523="E",IF(INDEX(Transaksi!$B$2:$B$2001,K523)="",INDEX(Transaksi!$C$2:$C$2001,K523)&amp;" · "&amp;INDEX(Transaksi!$D$2:$D$2001,K523),INDEX(Transaksi!$B$2:$B$2001,K523)),""))</f>
        <v/>
      </c>
      <c r="C523" s="32">
        <f>IF(J523="E",INDEX(Transaksi!$C$2:$C$2001,K523)&amp;"","")</f>
        <v/>
      </c>
      <c r="D523" s="32">
        <f>IF(J523="E",INDEX(Transaksi!$D$2:$D$2001,K523)&amp;"","")</f>
        <v/>
      </c>
      <c r="E523" s="33">
        <f>IF(J523="H",SUMIFS(Transaksi!$G$2:$G$2001,Transaksi!$M$2:$M$2001,"="&amp;S523)+SUMIFS(Transaksi!$H$2:$H$2001,Transaksi!$M$2:$M$2001,"="&amp;S523)+SUMIFS(Transaksi!$I$2:$I$2001,Transaksi!$M$2:$M$2001,"="&amp;S523),IF(J523="E",IF(INDEX(Transaksi!$G$2:$G$2001,K523)+INDEX(Transaksi!$H$2:$H$2001,K523)+INDEX(Transaksi!$I$2:$I$2001,K523)=0,"",INDEX(Transaksi!$G$2:$G$2001,K523)+INDEX(Transaksi!$H$2:$H$2001,K523)+INDEX(Transaksi!$I$2:$I$2001,K523)),""))</f>
        <v/>
      </c>
      <c r="F523" s="33">
        <f>IF(J523="H",SUMIFS(Transaksi!$J$2:$J$2001,Transaksi!$M$2:$M$2001,"="&amp;S523),IF(J523="E",IF(INDEX(Transaksi!$J$2:$J$2001,K523)=0,"",INDEX(Transaksi!$J$2:$J$2001,K523)),""))</f>
        <v/>
      </c>
      <c r="G523" s="33">
        <f>IF(J523="H",(SUMIFS(Transaksi!$G$2:$G$2001,Transaksi!$M$2:$M$2001,"&lt;="&amp;S523)+SUMIFS(Transaksi!$H$2:$H$2001,Transaksi!$M$2:$M$2001,"&lt;="&amp;S523)+SUMIFS(Transaksi!$I$2:$I$2001,Transaksi!$M$2:$M$2001,"&lt;="&amp;S523))-(SUMIFS(Transaksi!$J$2:$J$2001,Transaksi!$M$2:$M$2001,"&lt;="&amp;S523)),"")</f>
        <v/>
      </c>
      <c r="I523">
        <f>IF(520&gt;$O$2,"",MATCH(520,$Q$3:$Q$402,1))</f>
        <v/>
      </c>
      <c r="J523">
        <f>IF(I523="","",IF(520=INDEX($Q$3:$Q$402,I523),"H","E"))</f>
        <v/>
      </c>
      <c r="K523">
        <f>IF(J523&lt;&gt;"E","",MATCH(S523,Transaksi!$M$2:$M$2001,0)+520-INDEX($Q$3:$Q$402,I523)-1)</f>
        <v/>
      </c>
      <c r="S523">
        <f>IF(I523="","",INDEX($O$3:$O$402,I523))</f>
        <v/>
      </c>
      <c r="T523">
        <f>IF(J523&lt;&gt;"H","",INDEX(Transaksi!$A$2:$A$2001,MATCH(S523,Transaksi!$M$2:$M$2001,0)))</f>
        <v/>
      </c>
    </row>
    <row r="524">
      <c r="A524" s="31">
        <f>IF(J524="E",IF(INDEX(Transaksi!$J$2:$J$2001,K524)&gt;0,"↑","↓"),"")</f>
        <v/>
      </c>
      <c r="B524" s="32">
        <f>IF(J524="H",CHOOSE(WEEKDAY(T524,2),"Isnin","Selasa","Rabu","Khamis","Jumaat","Sabtu","Ahad")&amp;", "&amp;DAY(T524)&amp;" "&amp;CHOOSE(MONTH(T524),"Jan","Feb","Mac","Apr","Mei","Jun","Jul","Ogo","Sep","Okt","Nov","Dis")&amp;" "&amp;YEAR(T524),IF(J524="E",IF(INDEX(Transaksi!$B$2:$B$2001,K524)="",INDEX(Transaksi!$C$2:$C$2001,K524)&amp;" · "&amp;INDEX(Transaksi!$D$2:$D$2001,K524),INDEX(Transaksi!$B$2:$B$2001,K524)),""))</f>
        <v/>
      </c>
      <c r="C524" s="32">
        <f>IF(J524="E",INDEX(Transaksi!$C$2:$C$2001,K524)&amp;"","")</f>
        <v/>
      </c>
      <c r="D524" s="32">
        <f>IF(J524="E",INDEX(Transaksi!$D$2:$D$2001,K524)&amp;"","")</f>
        <v/>
      </c>
      <c r="E524" s="33">
        <f>IF(J524="H",SUMIFS(Transaksi!$G$2:$G$2001,Transaksi!$M$2:$M$2001,"="&amp;S524)+SUMIFS(Transaksi!$H$2:$H$2001,Transaksi!$M$2:$M$2001,"="&amp;S524)+SUMIFS(Transaksi!$I$2:$I$2001,Transaksi!$M$2:$M$2001,"="&amp;S524),IF(J524="E",IF(INDEX(Transaksi!$G$2:$G$2001,K524)+INDEX(Transaksi!$H$2:$H$2001,K524)+INDEX(Transaksi!$I$2:$I$2001,K524)=0,"",INDEX(Transaksi!$G$2:$G$2001,K524)+INDEX(Transaksi!$H$2:$H$2001,K524)+INDEX(Transaksi!$I$2:$I$2001,K524)),""))</f>
        <v/>
      </c>
      <c r="F524" s="33">
        <f>IF(J524="H",SUMIFS(Transaksi!$J$2:$J$2001,Transaksi!$M$2:$M$2001,"="&amp;S524),IF(J524="E",IF(INDEX(Transaksi!$J$2:$J$2001,K524)=0,"",INDEX(Transaksi!$J$2:$J$2001,K524)),""))</f>
        <v/>
      </c>
      <c r="G524" s="33">
        <f>IF(J524="H",(SUMIFS(Transaksi!$G$2:$G$2001,Transaksi!$M$2:$M$2001,"&lt;="&amp;S524)+SUMIFS(Transaksi!$H$2:$H$2001,Transaksi!$M$2:$M$2001,"&lt;="&amp;S524)+SUMIFS(Transaksi!$I$2:$I$2001,Transaksi!$M$2:$M$2001,"&lt;="&amp;S524))-(SUMIFS(Transaksi!$J$2:$J$2001,Transaksi!$M$2:$M$2001,"&lt;="&amp;S524)),"")</f>
        <v/>
      </c>
      <c r="I524">
        <f>IF(521&gt;$O$2,"",MATCH(521,$Q$3:$Q$402,1))</f>
        <v/>
      </c>
      <c r="J524">
        <f>IF(I524="","",IF(521=INDEX($Q$3:$Q$402,I524),"H","E"))</f>
        <v/>
      </c>
      <c r="K524">
        <f>IF(J524&lt;&gt;"E","",MATCH(S524,Transaksi!$M$2:$M$2001,0)+521-INDEX($Q$3:$Q$402,I524)-1)</f>
        <v/>
      </c>
      <c r="S524">
        <f>IF(I524="","",INDEX($O$3:$O$402,I524))</f>
        <v/>
      </c>
      <c r="T524">
        <f>IF(J524&lt;&gt;"H","",INDEX(Transaksi!$A$2:$A$2001,MATCH(S524,Transaksi!$M$2:$M$2001,0)))</f>
        <v/>
      </c>
    </row>
    <row r="525">
      <c r="A525" s="31">
        <f>IF(J525="E",IF(INDEX(Transaksi!$J$2:$J$2001,K525)&gt;0,"↑","↓"),"")</f>
        <v/>
      </c>
      <c r="B525" s="32">
        <f>IF(J525="H",CHOOSE(WEEKDAY(T525,2),"Isnin","Selasa","Rabu","Khamis","Jumaat","Sabtu","Ahad")&amp;", "&amp;DAY(T525)&amp;" "&amp;CHOOSE(MONTH(T525),"Jan","Feb","Mac","Apr","Mei","Jun","Jul","Ogo","Sep","Okt","Nov","Dis")&amp;" "&amp;YEAR(T525),IF(J525="E",IF(INDEX(Transaksi!$B$2:$B$2001,K525)="",INDEX(Transaksi!$C$2:$C$2001,K525)&amp;" · "&amp;INDEX(Transaksi!$D$2:$D$2001,K525),INDEX(Transaksi!$B$2:$B$2001,K525)),""))</f>
        <v/>
      </c>
      <c r="C525" s="32">
        <f>IF(J525="E",INDEX(Transaksi!$C$2:$C$2001,K525)&amp;"","")</f>
        <v/>
      </c>
      <c r="D525" s="32">
        <f>IF(J525="E",INDEX(Transaksi!$D$2:$D$2001,K525)&amp;"","")</f>
        <v/>
      </c>
      <c r="E525" s="33">
        <f>IF(J525="H",SUMIFS(Transaksi!$G$2:$G$2001,Transaksi!$M$2:$M$2001,"="&amp;S525)+SUMIFS(Transaksi!$H$2:$H$2001,Transaksi!$M$2:$M$2001,"="&amp;S525)+SUMIFS(Transaksi!$I$2:$I$2001,Transaksi!$M$2:$M$2001,"="&amp;S525),IF(J525="E",IF(INDEX(Transaksi!$G$2:$G$2001,K525)+INDEX(Transaksi!$H$2:$H$2001,K525)+INDEX(Transaksi!$I$2:$I$2001,K525)=0,"",INDEX(Transaksi!$G$2:$G$2001,K525)+INDEX(Transaksi!$H$2:$H$2001,K525)+INDEX(Transaksi!$I$2:$I$2001,K525)),""))</f>
        <v/>
      </c>
      <c r="F525" s="33">
        <f>IF(J525="H",SUMIFS(Transaksi!$J$2:$J$2001,Transaksi!$M$2:$M$2001,"="&amp;S525),IF(J525="E",IF(INDEX(Transaksi!$J$2:$J$2001,K525)=0,"",INDEX(Transaksi!$J$2:$J$2001,K525)),""))</f>
        <v/>
      </c>
      <c r="G525" s="33">
        <f>IF(J525="H",(SUMIFS(Transaksi!$G$2:$G$2001,Transaksi!$M$2:$M$2001,"&lt;="&amp;S525)+SUMIFS(Transaksi!$H$2:$H$2001,Transaksi!$M$2:$M$2001,"&lt;="&amp;S525)+SUMIFS(Transaksi!$I$2:$I$2001,Transaksi!$M$2:$M$2001,"&lt;="&amp;S525))-(SUMIFS(Transaksi!$J$2:$J$2001,Transaksi!$M$2:$M$2001,"&lt;="&amp;S525)),"")</f>
        <v/>
      </c>
      <c r="I525">
        <f>IF(522&gt;$O$2,"",MATCH(522,$Q$3:$Q$402,1))</f>
        <v/>
      </c>
      <c r="J525">
        <f>IF(I525="","",IF(522=INDEX($Q$3:$Q$402,I525),"H","E"))</f>
        <v/>
      </c>
      <c r="K525">
        <f>IF(J525&lt;&gt;"E","",MATCH(S525,Transaksi!$M$2:$M$2001,0)+522-INDEX($Q$3:$Q$402,I525)-1)</f>
        <v/>
      </c>
      <c r="S525">
        <f>IF(I525="","",INDEX($O$3:$O$402,I525))</f>
        <v/>
      </c>
      <c r="T525">
        <f>IF(J525&lt;&gt;"H","",INDEX(Transaksi!$A$2:$A$2001,MATCH(S525,Transaksi!$M$2:$M$2001,0)))</f>
        <v/>
      </c>
    </row>
    <row r="526">
      <c r="A526" s="31">
        <f>IF(J526="E",IF(INDEX(Transaksi!$J$2:$J$2001,K526)&gt;0,"↑","↓"),"")</f>
        <v/>
      </c>
      <c r="B526" s="32">
        <f>IF(J526="H",CHOOSE(WEEKDAY(T526,2),"Isnin","Selasa","Rabu","Khamis","Jumaat","Sabtu","Ahad")&amp;", "&amp;DAY(T526)&amp;" "&amp;CHOOSE(MONTH(T526),"Jan","Feb","Mac","Apr","Mei","Jun","Jul","Ogo","Sep","Okt","Nov","Dis")&amp;" "&amp;YEAR(T526),IF(J526="E",IF(INDEX(Transaksi!$B$2:$B$2001,K526)="",INDEX(Transaksi!$C$2:$C$2001,K526)&amp;" · "&amp;INDEX(Transaksi!$D$2:$D$2001,K526),INDEX(Transaksi!$B$2:$B$2001,K526)),""))</f>
        <v/>
      </c>
      <c r="C526" s="32">
        <f>IF(J526="E",INDEX(Transaksi!$C$2:$C$2001,K526)&amp;"","")</f>
        <v/>
      </c>
      <c r="D526" s="32">
        <f>IF(J526="E",INDEX(Transaksi!$D$2:$D$2001,K526)&amp;"","")</f>
        <v/>
      </c>
      <c r="E526" s="33">
        <f>IF(J526="H",SUMIFS(Transaksi!$G$2:$G$2001,Transaksi!$M$2:$M$2001,"="&amp;S526)+SUMIFS(Transaksi!$H$2:$H$2001,Transaksi!$M$2:$M$2001,"="&amp;S526)+SUMIFS(Transaksi!$I$2:$I$2001,Transaksi!$M$2:$M$2001,"="&amp;S526),IF(J526="E",IF(INDEX(Transaksi!$G$2:$G$2001,K526)+INDEX(Transaksi!$H$2:$H$2001,K526)+INDEX(Transaksi!$I$2:$I$2001,K526)=0,"",INDEX(Transaksi!$G$2:$G$2001,K526)+INDEX(Transaksi!$H$2:$H$2001,K526)+INDEX(Transaksi!$I$2:$I$2001,K526)),""))</f>
        <v/>
      </c>
      <c r="F526" s="33">
        <f>IF(J526="H",SUMIFS(Transaksi!$J$2:$J$2001,Transaksi!$M$2:$M$2001,"="&amp;S526),IF(J526="E",IF(INDEX(Transaksi!$J$2:$J$2001,K526)=0,"",INDEX(Transaksi!$J$2:$J$2001,K526)),""))</f>
        <v/>
      </c>
      <c r="G526" s="33">
        <f>IF(J526="H",(SUMIFS(Transaksi!$G$2:$G$2001,Transaksi!$M$2:$M$2001,"&lt;="&amp;S526)+SUMIFS(Transaksi!$H$2:$H$2001,Transaksi!$M$2:$M$2001,"&lt;="&amp;S526)+SUMIFS(Transaksi!$I$2:$I$2001,Transaksi!$M$2:$M$2001,"&lt;="&amp;S526))-(SUMIFS(Transaksi!$J$2:$J$2001,Transaksi!$M$2:$M$2001,"&lt;="&amp;S526)),"")</f>
        <v/>
      </c>
      <c r="I526">
        <f>IF(523&gt;$O$2,"",MATCH(523,$Q$3:$Q$402,1))</f>
        <v/>
      </c>
      <c r="J526">
        <f>IF(I526="","",IF(523=INDEX($Q$3:$Q$402,I526),"H","E"))</f>
        <v/>
      </c>
      <c r="K526">
        <f>IF(J526&lt;&gt;"E","",MATCH(S526,Transaksi!$M$2:$M$2001,0)+523-INDEX($Q$3:$Q$402,I526)-1)</f>
        <v/>
      </c>
      <c r="S526">
        <f>IF(I526="","",INDEX($O$3:$O$402,I526))</f>
        <v/>
      </c>
      <c r="T526">
        <f>IF(J526&lt;&gt;"H","",INDEX(Transaksi!$A$2:$A$2001,MATCH(S526,Transaksi!$M$2:$M$2001,0)))</f>
        <v/>
      </c>
    </row>
    <row r="527">
      <c r="A527" s="31">
        <f>IF(J527="E",IF(INDEX(Transaksi!$J$2:$J$2001,K527)&gt;0,"↑","↓"),"")</f>
        <v/>
      </c>
      <c r="B527" s="32">
        <f>IF(J527="H",CHOOSE(WEEKDAY(T527,2),"Isnin","Selasa","Rabu","Khamis","Jumaat","Sabtu","Ahad")&amp;", "&amp;DAY(T527)&amp;" "&amp;CHOOSE(MONTH(T527),"Jan","Feb","Mac","Apr","Mei","Jun","Jul","Ogo","Sep","Okt","Nov","Dis")&amp;" "&amp;YEAR(T527),IF(J527="E",IF(INDEX(Transaksi!$B$2:$B$2001,K527)="",INDEX(Transaksi!$C$2:$C$2001,K527)&amp;" · "&amp;INDEX(Transaksi!$D$2:$D$2001,K527),INDEX(Transaksi!$B$2:$B$2001,K527)),""))</f>
        <v/>
      </c>
      <c r="C527" s="32">
        <f>IF(J527="E",INDEX(Transaksi!$C$2:$C$2001,K527)&amp;"","")</f>
        <v/>
      </c>
      <c r="D527" s="32">
        <f>IF(J527="E",INDEX(Transaksi!$D$2:$D$2001,K527)&amp;"","")</f>
        <v/>
      </c>
      <c r="E527" s="33">
        <f>IF(J527="H",SUMIFS(Transaksi!$G$2:$G$2001,Transaksi!$M$2:$M$2001,"="&amp;S527)+SUMIFS(Transaksi!$H$2:$H$2001,Transaksi!$M$2:$M$2001,"="&amp;S527)+SUMIFS(Transaksi!$I$2:$I$2001,Transaksi!$M$2:$M$2001,"="&amp;S527),IF(J527="E",IF(INDEX(Transaksi!$G$2:$G$2001,K527)+INDEX(Transaksi!$H$2:$H$2001,K527)+INDEX(Transaksi!$I$2:$I$2001,K527)=0,"",INDEX(Transaksi!$G$2:$G$2001,K527)+INDEX(Transaksi!$H$2:$H$2001,K527)+INDEX(Transaksi!$I$2:$I$2001,K527)),""))</f>
        <v/>
      </c>
      <c r="F527" s="33">
        <f>IF(J527="H",SUMIFS(Transaksi!$J$2:$J$2001,Transaksi!$M$2:$M$2001,"="&amp;S527),IF(J527="E",IF(INDEX(Transaksi!$J$2:$J$2001,K527)=0,"",INDEX(Transaksi!$J$2:$J$2001,K527)),""))</f>
        <v/>
      </c>
      <c r="G527" s="33">
        <f>IF(J527="H",(SUMIFS(Transaksi!$G$2:$G$2001,Transaksi!$M$2:$M$2001,"&lt;="&amp;S527)+SUMIFS(Transaksi!$H$2:$H$2001,Transaksi!$M$2:$M$2001,"&lt;="&amp;S527)+SUMIFS(Transaksi!$I$2:$I$2001,Transaksi!$M$2:$M$2001,"&lt;="&amp;S527))-(SUMIFS(Transaksi!$J$2:$J$2001,Transaksi!$M$2:$M$2001,"&lt;="&amp;S527)),"")</f>
        <v/>
      </c>
      <c r="I527">
        <f>IF(524&gt;$O$2,"",MATCH(524,$Q$3:$Q$402,1))</f>
        <v/>
      </c>
      <c r="J527">
        <f>IF(I527="","",IF(524=INDEX($Q$3:$Q$402,I527),"H","E"))</f>
        <v/>
      </c>
      <c r="K527">
        <f>IF(J527&lt;&gt;"E","",MATCH(S527,Transaksi!$M$2:$M$2001,0)+524-INDEX($Q$3:$Q$402,I527)-1)</f>
        <v/>
      </c>
      <c r="S527">
        <f>IF(I527="","",INDEX($O$3:$O$402,I527))</f>
        <v/>
      </c>
      <c r="T527">
        <f>IF(J527&lt;&gt;"H","",INDEX(Transaksi!$A$2:$A$2001,MATCH(S527,Transaksi!$M$2:$M$2001,0)))</f>
        <v/>
      </c>
    </row>
    <row r="528">
      <c r="A528" s="31">
        <f>IF(J528="E",IF(INDEX(Transaksi!$J$2:$J$2001,K528)&gt;0,"↑","↓"),"")</f>
        <v/>
      </c>
      <c r="B528" s="32">
        <f>IF(J528="H",CHOOSE(WEEKDAY(T528,2),"Isnin","Selasa","Rabu","Khamis","Jumaat","Sabtu","Ahad")&amp;", "&amp;DAY(T528)&amp;" "&amp;CHOOSE(MONTH(T528),"Jan","Feb","Mac","Apr","Mei","Jun","Jul","Ogo","Sep","Okt","Nov","Dis")&amp;" "&amp;YEAR(T528),IF(J528="E",IF(INDEX(Transaksi!$B$2:$B$2001,K528)="",INDEX(Transaksi!$C$2:$C$2001,K528)&amp;" · "&amp;INDEX(Transaksi!$D$2:$D$2001,K528),INDEX(Transaksi!$B$2:$B$2001,K528)),""))</f>
        <v/>
      </c>
      <c r="C528" s="32">
        <f>IF(J528="E",INDEX(Transaksi!$C$2:$C$2001,K528)&amp;"","")</f>
        <v/>
      </c>
      <c r="D528" s="32">
        <f>IF(J528="E",INDEX(Transaksi!$D$2:$D$2001,K528)&amp;"","")</f>
        <v/>
      </c>
      <c r="E528" s="33">
        <f>IF(J528="H",SUMIFS(Transaksi!$G$2:$G$2001,Transaksi!$M$2:$M$2001,"="&amp;S528)+SUMIFS(Transaksi!$H$2:$H$2001,Transaksi!$M$2:$M$2001,"="&amp;S528)+SUMIFS(Transaksi!$I$2:$I$2001,Transaksi!$M$2:$M$2001,"="&amp;S528),IF(J528="E",IF(INDEX(Transaksi!$G$2:$G$2001,K528)+INDEX(Transaksi!$H$2:$H$2001,K528)+INDEX(Transaksi!$I$2:$I$2001,K528)=0,"",INDEX(Transaksi!$G$2:$G$2001,K528)+INDEX(Transaksi!$H$2:$H$2001,K528)+INDEX(Transaksi!$I$2:$I$2001,K528)),""))</f>
        <v/>
      </c>
      <c r="F528" s="33">
        <f>IF(J528="H",SUMIFS(Transaksi!$J$2:$J$2001,Transaksi!$M$2:$M$2001,"="&amp;S528),IF(J528="E",IF(INDEX(Transaksi!$J$2:$J$2001,K528)=0,"",INDEX(Transaksi!$J$2:$J$2001,K528)),""))</f>
        <v/>
      </c>
      <c r="G528" s="33">
        <f>IF(J528="H",(SUMIFS(Transaksi!$G$2:$G$2001,Transaksi!$M$2:$M$2001,"&lt;="&amp;S528)+SUMIFS(Transaksi!$H$2:$H$2001,Transaksi!$M$2:$M$2001,"&lt;="&amp;S528)+SUMIFS(Transaksi!$I$2:$I$2001,Transaksi!$M$2:$M$2001,"&lt;="&amp;S528))-(SUMIFS(Transaksi!$J$2:$J$2001,Transaksi!$M$2:$M$2001,"&lt;="&amp;S528)),"")</f>
        <v/>
      </c>
      <c r="I528">
        <f>IF(525&gt;$O$2,"",MATCH(525,$Q$3:$Q$402,1))</f>
        <v/>
      </c>
      <c r="J528">
        <f>IF(I528="","",IF(525=INDEX($Q$3:$Q$402,I528),"H","E"))</f>
        <v/>
      </c>
      <c r="K528">
        <f>IF(J528&lt;&gt;"E","",MATCH(S528,Transaksi!$M$2:$M$2001,0)+525-INDEX($Q$3:$Q$402,I528)-1)</f>
        <v/>
      </c>
      <c r="S528">
        <f>IF(I528="","",INDEX($O$3:$O$402,I528))</f>
        <v/>
      </c>
      <c r="T528">
        <f>IF(J528&lt;&gt;"H","",INDEX(Transaksi!$A$2:$A$2001,MATCH(S528,Transaksi!$M$2:$M$2001,0)))</f>
        <v/>
      </c>
    </row>
    <row r="529">
      <c r="A529" s="31">
        <f>IF(J529="E",IF(INDEX(Transaksi!$J$2:$J$2001,K529)&gt;0,"↑","↓"),"")</f>
        <v/>
      </c>
      <c r="B529" s="32">
        <f>IF(J529="H",CHOOSE(WEEKDAY(T529,2),"Isnin","Selasa","Rabu","Khamis","Jumaat","Sabtu","Ahad")&amp;", "&amp;DAY(T529)&amp;" "&amp;CHOOSE(MONTH(T529),"Jan","Feb","Mac","Apr","Mei","Jun","Jul","Ogo","Sep","Okt","Nov","Dis")&amp;" "&amp;YEAR(T529),IF(J529="E",IF(INDEX(Transaksi!$B$2:$B$2001,K529)="",INDEX(Transaksi!$C$2:$C$2001,K529)&amp;" · "&amp;INDEX(Transaksi!$D$2:$D$2001,K529),INDEX(Transaksi!$B$2:$B$2001,K529)),""))</f>
        <v/>
      </c>
      <c r="C529" s="32">
        <f>IF(J529="E",INDEX(Transaksi!$C$2:$C$2001,K529)&amp;"","")</f>
        <v/>
      </c>
      <c r="D529" s="32">
        <f>IF(J529="E",INDEX(Transaksi!$D$2:$D$2001,K529)&amp;"","")</f>
        <v/>
      </c>
      <c r="E529" s="33">
        <f>IF(J529="H",SUMIFS(Transaksi!$G$2:$G$2001,Transaksi!$M$2:$M$2001,"="&amp;S529)+SUMIFS(Transaksi!$H$2:$H$2001,Transaksi!$M$2:$M$2001,"="&amp;S529)+SUMIFS(Transaksi!$I$2:$I$2001,Transaksi!$M$2:$M$2001,"="&amp;S529),IF(J529="E",IF(INDEX(Transaksi!$G$2:$G$2001,K529)+INDEX(Transaksi!$H$2:$H$2001,K529)+INDEX(Transaksi!$I$2:$I$2001,K529)=0,"",INDEX(Transaksi!$G$2:$G$2001,K529)+INDEX(Transaksi!$H$2:$H$2001,K529)+INDEX(Transaksi!$I$2:$I$2001,K529)),""))</f>
        <v/>
      </c>
      <c r="F529" s="33">
        <f>IF(J529="H",SUMIFS(Transaksi!$J$2:$J$2001,Transaksi!$M$2:$M$2001,"="&amp;S529),IF(J529="E",IF(INDEX(Transaksi!$J$2:$J$2001,K529)=0,"",INDEX(Transaksi!$J$2:$J$2001,K529)),""))</f>
        <v/>
      </c>
      <c r="G529" s="33">
        <f>IF(J529="H",(SUMIFS(Transaksi!$G$2:$G$2001,Transaksi!$M$2:$M$2001,"&lt;="&amp;S529)+SUMIFS(Transaksi!$H$2:$H$2001,Transaksi!$M$2:$M$2001,"&lt;="&amp;S529)+SUMIFS(Transaksi!$I$2:$I$2001,Transaksi!$M$2:$M$2001,"&lt;="&amp;S529))-(SUMIFS(Transaksi!$J$2:$J$2001,Transaksi!$M$2:$M$2001,"&lt;="&amp;S529)),"")</f>
        <v/>
      </c>
      <c r="I529">
        <f>IF(526&gt;$O$2,"",MATCH(526,$Q$3:$Q$402,1))</f>
        <v/>
      </c>
      <c r="J529">
        <f>IF(I529="","",IF(526=INDEX($Q$3:$Q$402,I529),"H","E"))</f>
        <v/>
      </c>
      <c r="K529">
        <f>IF(J529&lt;&gt;"E","",MATCH(S529,Transaksi!$M$2:$M$2001,0)+526-INDEX($Q$3:$Q$402,I529)-1)</f>
        <v/>
      </c>
      <c r="S529">
        <f>IF(I529="","",INDEX($O$3:$O$402,I529))</f>
        <v/>
      </c>
      <c r="T529">
        <f>IF(J529&lt;&gt;"H","",INDEX(Transaksi!$A$2:$A$2001,MATCH(S529,Transaksi!$M$2:$M$2001,0)))</f>
        <v/>
      </c>
    </row>
    <row r="530">
      <c r="A530" s="31">
        <f>IF(J530="E",IF(INDEX(Transaksi!$J$2:$J$2001,K530)&gt;0,"↑","↓"),"")</f>
        <v/>
      </c>
      <c r="B530" s="32">
        <f>IF(J530="H",CHOOSE(WEEKDAY(T530,2),"Isnin","Selasa","Rabu","Khamis","Jumaat","Sabtu","Ahad")&amp;", "&amp;DAY(T530)&amp;" "&amp;CHOOSE(MONTH(T530),"Jan","Feb","Mac","Apr","Mei","Jun","Jul","Ogo","Sep","Okt","Nov","Dis")&amp;" "&amp;YEAR(T530),IF(J530="E",IF(INDEX(Transaksi!$B$2:$B$2001,K530)="",INDEX(Transaksi!$C$2:$C$2001,K530)&amp;" · "&amp;INDEX(Transaksi!$D$2:$D$2001,K530),INDEX(Transaksi!$B$2:$B$2001,K530)),""))</f>
        <v/>
      </c>
      <c r="C530" s="32">
        <f>IF(J530="E",INDEX(Transaksi!$C$2:$C$2001,K530)&amp;"","")</f>
        <v/>
      </c>
      <c r="D530" s="32">
        <f>IF(J530="E",INDEX(Transaksi!$D$2:$D$2001,K530)&amp;"","")</f>
        <v/>
      </c>
      <c r="E530" s="33">
        <f>IF(J530="H",SUMIFS(Transaksi!$G$2:$G$2001,Transaksi!$M$2:$M$2001,"="&amp;S530)+SUMIFS(Transaksi!$H$2:$H$2001,Transaksi!$M$2:$M$2001,"="&amp;S530)+SUMIFS(Transaksi!$I$2:$I$2001,Transaksi!$M$2:$M$2001,"="&amp;S530),IF(J530="E",IF(INDEX(Transaksi!$G$2:$G$2001,K530)+INDEX(Transaksi!$H$2:$H$2001,K530)+INDEX(Transaksi!$I$2:$I$2001,K530)=0,"",INDEX(Transaksi!$G$2:$G$2001,K530)+INDEX(Transaksi!$H$2:$H$2001,K530)+INDEX(Transaksi!$I$2:$I$2001,K530)),""))</f>
        <v/>
      </c>
      <c r="F530" s="33">
        <f>IF(J530="H",SUMIFS(Transaksi!$J$2:$J$2001,Transaksi!$M$2:$M$2001,"="&amp;S530),IF(J530="E",IF(INDEX(Transaksi!$J$2:$J$2001,K530)=0,"",INDEX(Transaksi!$J$2:$J$2001,K530)),""))</f>
        <v/>
      </c>
      <c r="G530" s="33">
        <f>IF(J530="H",(SUMIFS(Transaksi!$G$2:$G$2001,Transaksi!$M$2:$M$2001,"&lt;="&amp;S530)+SUMIFS(Transaksi!$H$2:$H$2001,Transaksi!$M$2:$M$2001,"&lt;="&amp;S530)+SUMIFS(Transaksi!$I$2:$I$2001,Transaksi!$M$2:$M$2001,"&lt;="&amp;S530))-(SUMIFS(Transaksi!$J$2:$J$2001,Transaksi!$M$2:$M$2001,"&lt;="&amp;S530)),"")</f>
        <v/>
      </c>
      <c r="I530">
        <f>IF(527&gt;$O$2,"",MATCH(527,$Q$3:$Q$402,1))</f>
        <v/>
      </c>
      <c r="J530">
        <f>IF(I530="","",IF(527=INDEX($Q$3:$Q$402,I530),"H","E"))</f>
        <v/>
      </c>
      <c r="K530">
        <f>IF(J530&lt;&gt;"E","",MATCH(S530,Transaksi!$M$2:$M$2001,0)+527-INDEX($Q$3:$Q$402,I530)-1)</f>
        <v/>
      </c>
      <c r="S530">
        <f>IF(I530="","",INDEX($O$3:$O$402,I530))</f>
        <v/>
      </c>
      <c r="T530">
        <f>IF(J530&lt;&gt;"H","",INDEX(Transaksi!$A$2:$A$2001,MATCH(S530,Transaksi!$M$2:$M$2001,0)))</f>
        <v/>
      </c>
    </row>
    <row r="531">
      <c r="A531" s="31">
        <f>IF(J531="E",IF(INDEX(Transaksi!$J$2:$J$2001,K531)&gt;0,"↑","↓"),"")</f>
        <v/>
      </c>
      <c r="B531" s="32">
        <f>IF(J531="H",CHOOSE(WEEKDAY(T531,2),"Isnin","Selasa","Rabu","Khamis","Jumaat","Sabtu","Ahad")&amp;", "&amp;DAY(T531)&amp;" "&amp;CHOOSE(MONTH(T531),"Jan","Feb","Mac","Apr","Mei","Jun","Jul","Ogo","Sep","Okt","Nov","Dis")&amp;" "&amp;YEAR(T531),IF(J531="E",IF(INDEX(Transaksi!$B$2:$B$2001,K531)="",INDEX(Transaksi!$C$2:$C$2001,K531)&amp;" · "&amp;INDEX(Transaksi!$D$2:$D$2001,K531),INDEX(Transaksi!$B$2:$B$2001,K531)),""))</f>
        <v/>
      </c>
      <c r="C531" s="32">
        <f>IF(J531="E",INDEX(Transaksi!$C$2:$C$2001,K531)&amp;"","")</f>
        <v/>
      </c>
      <c r="D531" s="32">
        <f>IF(J531="E",INDEX(Transaksi!$D$2:$D$2001,K531)&amp;"","")</f>
        <v/>
      </c>
      <c r="E531" s="33">
        <f>IF(J531="H",SUMIFS(Transaksi!$G$2:$G$2001,Transaksi!$M$2:$M$2001,"="&amp;S531)+SUMIFS(Transaksi!$H$2:$H$2001,Transaksi!$M$2:$M$2001,"="&amp;S531)+SUMIFS(Transaksi!$I$2:$I$2001,Transaksi!$M$2:$M$2001,"="&amp;S531),IF(J531="E",IF(INDEX(Transaksi!$G$2:$G$2001,K531)+INDEX(Transaksi!$H$2:$H$2001,K531)+INDEX(Transaksi!$I$2:$I$2001,K531)=0,"",INDEX(Transaksi!$G$2:$G$2001,K531)+INDEX(Transaksi!$H$2:$H$2001,K531)+INDEX(Transaksi!$I$2:$I$2001,K531)),""))</f>
        <v/>
      </c>
      <c r="F531" s="33">
        <f>IF(J531="H",SUMIFS(Transaksi!$J$2:$J$2001,Transaksi!$M$2:$M$2001,"="&amp;S531),IF(J531="E",IF(INDEX(Transaksi!$J$2:$J$2001,K531)=0,"",INDEX(Transaksi!$J$2:$J$2001,K531)),""))</f>
        <v/>
      </c>
      <c r="G531" s="33">
        <f>IF(J531="H",(SUMIFS(Transaksi!$G$2:$G$2001,Transaksi!$M$2:$M$2001,"&lt;="&amp;S531)+SUMIFS(Transaksi!$H$2:$H$2001,Transaksi!$M$2:$M$2001,"&lt;="&amp;S531)+SUMIFS(Transaksi!$I$2:$I$2001,Transaksi!$M$2:$M$2001,"&lt;="&amp;S531))-(SUMIFS(Transaksi!$J$2:$J$2001,Transaksi!$M$2:$M$2001,"&lt;="&amp;S531)),"")</f>
        <v/>
      </c>
      <c r="I531">
        <f>IF(528&gt;$O$2,"",MATCH(528,$Q$3:$Q$402,1))</f>
        <v/>
      </c>
      <c r="J531">
        <f>IF(I531="","",IF(528=INDEX($Q$3:$Q$402,I531),"H","E"))</f>
        <v/>
      </c>
      <c r="K531">
        <f>IF(J531&lt;&gt;"E","",MATCH(S531,Transaksi!$M$2:$M$2001,0)+528-INDEX($Q$3:$Q$402,I531)-1)</f>
        <v/>
      </c>
      <c r="S531">
        <f>IF(I531="","",INDEX($O$3:$O$402,I531))</f>
        <v/>
      </c>
      <c r="T531">
        <f>IF(J531&lt;&gt;"H","",INDEX(Transaksi!$A$2:$A$2001,MATCH(S531,Transaksi!$M$2:$M$2001,0)))</f>
        <v/>
      </c>
    </row>
    <row r="532">
      <c r="A532" s="31">
        <f>IF(J532="E",IF(INDEX(Transaksi!$J$2:$J$2001,K532)&gt;0,"↑","↓"),"")</f>
        <v/>
      </c>
      <c r="B532" s="32">
        <f>IF(J532="H",CHOOSE(WEEKDAY(T532,2),"Isnin","Selasa","Rabu","Khamis","Jumaat","Sabtu","Ahad")&amp;", "&amp;DAY(T532)&amp;" "&amp;CHOOSE(MONTH(T532),"Jan","Feb","Mac","Apr","Mei","Jun","Jul","Ogo","Sep","Okt","Nov","Dis")&amp;" "&amp;YEAR(T532),IF(J532="E",IF(INDEX(Transaksi!$B$2:$B$2001,K532)="",INDEX(Transaksi!$C$2:$C$2001,K532)&amp;" · "&amp;INDEX(Transaksi!$D$2:$D$2001,K532),INDEX(Transaksi!$B$2:$B$2001,K532)),""))</f>
        <v/>
      </c>
      <c r="C532" s="32">
        <f>IF(J532="E",INDEX(Transaksi!$C$2:$C$2001,K532)&amp;"","")</f>
        <v/>
      </c>
      <c r="D532" s="32">
        <f>IF(J532="E",INDEX(Transaksi!$D$2:$D$2001,K532)&amp;"","")</f>
        <v/>
      </c>
      <c r="E532" s="33">
        <f>IF(J532="H",SUMIFS(Transaksi!$G$2:$G$2001,Transaksi!$M$2:$M$2001,"="&amp;S532)+SUMIFS(Transaksi!$H$2:$H$2001,Transaksi!$M$2:$M$2001,"="&amp;S532)+SUMIFS(Transaksi!$I$2:$I$2001,Transaksi!$M$2:$M$2001,"="&amp;S532),IF(J532="E",IF(INDEX(Transaksi!$G$2:$G$2001,K532)+INDEX(Transaksi!$H$2:$H$2001,K532)+INDEX(Transaksi!$I$2:$I$2001,K532)=0,"",INDEX(Transaksi!$G$2:$G$2001,K532)+INDEX(Transaksi!$H$2:$H$2001,K532)+INDEX(Transaksi!$I$2:$I$2001,K532)),""))</f>
        <v/>
      </c>
      <c r="F532" s="33">
        <f>IF(J532="H",SUMIFS(Transaksi!$J$2:$J$2001,Transaksi!$M$2:$M$2001,"="&amp;S532),IF(J532="E",IF(INDEX(Transaksi!$J$2:$J$2001,K532)=0,"",INDEX(Transaksi!$J$2:$J$2001,K532)),""))</f>
        <v/>
      </c>
      <c r="G532" s="33">
        <f>IF(J532="H",(SUMIFS(Transaksi!$G$2:$G$2001,Transaksi!$M$2:$M$2001,"&lt;="&amp;S532)+SUMIFS(Transaksi!$H$2:$H$2001,Transaksi!$M$2:$M$2001,"&lt;="&amp;S532)+SUMIFS(Transaksi!$I$2:$I$2001,Transaksi!$M$2:$M$2001,"&lt;="&amp;S532))-(SUMIFS(Transaksi!$J$2:$J$2001,Transaksi!$M$2:$M$2001,"&lt;="&amp;S532)),"")</f>
        <v/>
      </c>
      <c r="I532">
        <f>IF(529&gt;$O$2,"",MATCH(529,$Q$3:$Q$402,1))</f>
        <v/>
      </c>
      <c r="J532">
        <f>IF(I532="","",IF(529=INDEX($Q$3:$Q$402,I532),"H","E"))</f>
        <v/>
      </c>
      <c r="K532">
        <f>IF(J532&lt;&gt;"E","",MATCH(S532,Transaksi!$M$2:$M$2001,0)+529-INDEX($Q$3:$Q$402,I532)-1)</f>
        <v/>
      </c>
      <c r="S532">
        <f>IF(I532="","",INDEX($O$3:$O$402,I532))</f>
        <v/>
      </c>
      <c r="T532">
        <f>IF(J532&lt;&gt;"H","",INDEX(Transaksi!$A$2:$A$2001,MATCH(S532,Transaksi!$M$2:$M$2001,0)))</f>
        <v/>
      </c>
    </row>
    <row r="533">
      <c r="A533" s="31">
        <f>IF(J533="E",IF(INDEX(Transaksi!$J$2:$J$2001,K533)&gt;0,"↑","↓"),"")</f>
        <v/>
      </c>
      <c r="B533" s="32">
        <f>IF(J533="H",CHOOSE(WEEKDAY(T533,2),"Isnin","Selasa","Rabu","Khamis","Jumaat","Sabtu","Ahad")&amp;", "&amp;DAY(T533)&amp;" "&amp;CHOOSE(MONTH(T533),"Jan","Feb","Mac","Apr","Mei","Jun","Jul","Ogo","Sep","Okt","Nov","Dis")&amp;" "&amp;YEAR(T533),IF(J533="E",IF(INDEX(Transaksi!$B$2:$B$2001,K533)="",INDEX(Transaksi!$C$2:$C$2001,K533)&amp;" · "&amp;INDEX(Transaksi!$D$2:$D$2001,K533),INDEX(Transaksi!$B$2:$B$2001,K533)),""))</f>
        <v/>
      </c>
      <c r="C533" s="32">
        <f>IF(J533="E",INDEX(Transaksi!$C$2:$C$2001,K533)&amp;"","")</f>
        <v/>
      </c>
      <c r="D533" s="32">
        <f>IF(J533="E",INDEX(Transaksi!$D$2:$D$2001,K533)&amp;"","")</f>
        <v/>
      </c>
      <c r="E533" s="33">
        <f>IF(J533="H",SUMIFS(Transaksi!$G$2:$G$2001,Transaksi!$M$2:$M$2001,"="&amp;S533)+SUMIFS(Transaksi!$H$2:$H$2001,Transaksi!$M$2:$M$2001,"="&amp;S533)+SUMIFS(Transaksi!$I$2:$I$2001,Transaksi!$M$2:$M$2001,"="&amp;S533),IF(J533="E",IF(INDEX(Transaksi!$G$2:$G$2001,K533)+INDEX(Transaksi!$H$2:$H$2001,K533)+INDEX(Transaksi!$I$2:$I$2001,K533)=0,"",INDEX(Transaksi!$G$2:$G$2001,K533)+INDEX(Transaksi!$H$2:$H$2001,K533)+INDEX(Transaksi!$I$2:$I$2001,K533)),""))</f>
        <v/>
      </c>
      <c r="F533" s="33">
        <f>IF(J533="H",SUMIFS(Transaksi!$J$2:$J$2001,Transaksi!$M$2:$M$2001,"="&amp;S533),IF(J533="E",IF(INDEX(Transaksi!$J$2:$J$2001,K533)=0,"",INDEX(Transaksi!$J$2:$J$2001,K533)),""))</f>
        <v/>
      </c>
      <c r="G533" s="33">
        <f>IF(J533="H",(SUMIFS(Transaksi!$G$2:$G$2001,Transaksi!$M$2:$M$2001,"&lt;="&amp;S533)+SUMIFS(Transaksi!$H$2:$H$2001,Transaksi!$M$2:$M$2001,"&lt;="&amp;S533)+SUMIFS(Transaksi!$I$2:$I$2001,Transaksi!$M$2:$M$2001,"&lt;="&amp;S533))-(SUMIFS(Transaksi!$J$2:$J$2001,Transaksi!$M$2:$M$2001,"&lt;="&amp;S533)),"")</f>
        <v/>
      </c>
      <c r="I533">
        <f>IF(530&gt;$O$2,"",MATCH(530,$Q$3:$Q$402,1))</f>
        <v/>
      </c>
      <c r="J533">
        <f>IF(I533="","",IF(530=INDEX($Q$3:$Q$402,I533),"H","E"))</f>
        <v/>
      </c>
      <c r="K533">
        <f>IF(J533&lt;&gt;"E","",MATCH(S533,Transaksi!$M$2:$M$2001,0)+530-INDEX($Q$3:$Q$402,I533)-1)</f>
        <v/>
      </c>
      <c r="S533">
        <f>IF(I533="","",INDEX($O$3:$O$402,I533))</f>
        <v/>
      </c>
      <c r="T533">
        <f>IF(J533&lt;&gt;"H","",INDEX(Transaksi!$A$2:$A$2001,MATCH(S533,Transaksi!$M$2:$M$2001,0)))</f>
        <v/>
      </c>
    </row>
    <row r="534">
      <c r="A534" s="31">
        <f>IF(J534="E",IF(INDEX(Transaksi!$J$2:$J$2001,K534)&gt;0,"↑","↓"),"")</f>
        <v/>
      </c>
      <c r="B534" s="32">
        <f>IF(J534="H",CHOOSE(WEEKDAY(T534,2),"Isnin","Selasa","Rabu","Khamis","Jumaat","Sabtu","Ahad")&amp;", "&amp;DAY(T534)&amp;" "&amp;CHOOSE(MONTH(T534),"Jan","Feb","Mac","Apr","Mei","Jun","Jul","Ogo","Sep","Okt","Nov","Dis")&amp;" "&amp;YEAR(T534),IF(J534="E",IF(INDEX(Transaksi!$B$2:$B$2001,K534)="",INDEX(Transaksi!$C$2:$C$2001,K534)&amp;" · "&amp;INDEX(Transaksi!$D$2:$D$2001,K534),INDEX(Transaksi!$B$2:$B$2001,K534)),""))</f>
        <v/>
      </c>
      <c r="C534" s="32">
        <f>IF(J534="E",INDEX(Transaksi!$C$2:$C$2001,K534)&amp;"","")</f>
        <v/>
      </c>
      <c r="D534" s="32">
        <f>IF(J534="E",INDEX(Transaksi!$D$2:$D$2001,K534)&amp;"","")</f>
        <v/>
      </c>
      <c r="E534" s="33">
        <f>IF(J534="H",SUMIFS(Transaksi!$G$2:$G$2001,Transaksi!$M$2:$M$2001,"="&amp;S534)+SUMIFS(Transaksi!$H$2:$H$2001,Transaksi!$M$2:$M$2001,"="&amp;S534)+SUMIFS(Transaksi!$I$2:$I$2001,Transaksi!$M$2:$M$2001,"="&amp;S534),IF(J534="E",IF(INDEX(Transaksi!$G$2:$G$2001,K534)+INDEX(Transaksi!$H$2:$H$2001,K534)+INDEX(Transaksi!$I$2:$I$2001,K534)=0,"",INDEX(Transaksi!$G$2:$G$2001,K534)+INDEX(Transaksi!$H$2:$H$2001,K534)+INDEX(Transaksi!$I$2:$I$2001,K534)),""))</f>
        <v/>
      </c>
      <c r="F534" s="33">
        <f>IF(J534="H",SUMIFS(Transaksi!$J$2:$J$2001,Transaksi!$M$2:$M$2001,"="&amp;S534),IF(J534="E",IF(INDEX(Transaksi!$J$2:$J$2001,K534)=0,"",INDEX(Transaksi!$J$2:$J$2001,K534)),""))</f>
        <v/>
      </c>
      <c r="G534" s="33">
        <f>IF(J534="H",(SUMIFS(Transaksi!$G$2:$G$2001,Transaksi!$M$2:$M$2001,"&lt;="&amp;S534)+SUMIFS(Transaksi!$H$2:$H$2001,Transaksi!$M$2:$M$2001,"&lt;="&amp;S534)+SUMIFS(Transaksi!$I$2:$I$2001,Transaksi!$M$2:$M$2001,"&lt;="&amp;S534))-(SUMIFS(Transaksi!$J$2:$J$2001,Transaksi!$M$2:$M$2001,"&lt;="&amp;S534)),"")</f>
        <v/>
      </c>
      <c r="I534">
        <f>IF(531&gt;$O$2,"",MATCH(531,$Q$3:$Q$402,1))</f>
        <v/>
      </c>
      <c r="J534">
        <f>IF(I534="","",IF(531=INDEX($Q$3:$Q$402,I534),"H","E"))</f>
        <v/>
      </c>
      <c r="K534">
        <f>IF(J534&lt;&gt;"E","",MATCH(S534,Transaksi!$M$2:$M$2001,0)+531-INDEX($Q$3:$Q$402,I534)-1)</f>
        <v/>
      </c>
      <c r="S534">
        <f>IF(I534="","",INDEX($O$3:$O$402,I534))</f>
        <v/>
      </c>
      <c r="T534">
        <f>IF(J534&lt;&gt;"H","",INDEX(Transaksi!$A$2:$A$2001,MATCH(S534,Transaksi!$M$2:$M$2001,0)))</f>
        <v/>
      </c>
    </row>
    <row r="535">
      <c r="A535" s="31">
        <f>IF(J535="E",IF(INDEX(Transaksi!$J$2:$J$2001,K535)&gt;0,"↑","↓"),"")</f>
        <v/>
      </c>
      <c r="B535" s="32">
        <f>IF(J535="H",CHOOSE(WEEKDAY(T535,2),"Isnin","Selasa","Rabu","Khamis","Jumaat","Sabtu","Ahad")&amp;", "&amp;DAY(T535)&amp;" "&amp;CHOOSE(MONTH(T535),"Jan","Feb","Mac","Apr","Mei","Jun","Jul","Ogo","Sep","Okt","Nov","Dis")&amp;" "&amp;YEAR(T535),IF(J535="E",IF(INDEX(Transaksi!$B$2:$B$2001,K535)="",INDEX(Transaksi!$C$2:$C$2001,K535)&amp;" · "&amp;INDEX(Transaksi!$D$2:$D$2001,K535),INDEX(Transaksi!$B$2:$B$2001,K535)),""))</f>
        <v/>
      </c>
      <c r="C535" s="32">
        <f>IF(J535="E",INDEX(Transaksi!$C$2:$C$2001,K535)&amp;"","")</f>
        <v/>
      </c>
      <c r="D535" s="32">
        <f>IF(J535="E",INDEX(Transaksi!$D$2:$D$2001,K535)&amp;"","")</f>
        <v/>
      </c>
      <c r="E535" s="33">
        <f>IF(J535="H",SUMIFS(Transaksi!$G$2:$G$2001,Transaksi!$M$2:$M$2001,"="&amp;S535)+SUMIFS(Transaksi!$H$2:$H$2001,Transaksi!$M$2:$M$2001,"="&amp;S535)+SUMIFS(Transaksi!$I$2:$I$2001,Transaksi!$M$2:$M$2001,"="&amp;S535),IF(J535="E",IF(INDEX(Transaksi!$G$2:$G$2001,K535)+INDEX(Transaksi!$H$2:$H$2001,K535)+INDEX(Transaksi!$I$2:$I$2001,K535)=0,"",INDEX(Transaksi!$G$2:$G$2001,K535)+INDEX(Transaksi!$H$2:$H$2001,K535)+INDEX(Transaksi!$I$2:$I$2001,K535)),""))</f>
        <v/>
      </c>
      <c r="F535" s="33">
        <f>IF(J535="H",SUMIFS(Transaksi!$J$2:$J$2001,Transaksi!$M$2:$M$2001,"="&amp;S535),IF(J535="E",IF(INDEX(Transaksi!$J$2:$J$2001,K535)=0,"",INDEX(Transaksi!$J$2:$J$2001,K535)),""))</f>
        <v/>
      </c>
      <c r="G535" s="33">
        <f>IF(J535="H",(SUMIFS(Transaksi!$G$2:$G$2001,Transaksi!$M$2:$M$2001,"&lt;="&amp;S535)+SUMIFS(Transaksi!$H$2:$H$2001,Transaksi!$M$2:$M$2001,"&lt;="&amp;S535)+SUMIFS(Transaksi!$I$2:$I$2001,Transaksi!$M$2:$M$2001,"&lt;="&amp;S535))-(SUMIFS(Transaksi!$J$2:$J$2001,Transaksi!$M$2:$M$2001,"&lt;="&amp;S535)),"")</f>
        <v/>
      </c>
      <c r="I535">
        <f>IF(532&gt;$O$2,"",MATCH(532,$Q$3:$Q$402,1))</f>
        <v/>
      </c>
      <c r="J535">
        <f>IF(I535="","",IF(532=INDEX($Q$3:$Q$402,I535),"H","E"))</f>
        <v/>
      </c>
      <c r="K535">
        <f>IF(J535&lt;&gt;"E","",MATCH(S535,Transaksi!$M$2:$M$2001,0)+532-INDEX($Q$3:$Q$402,I535)-1)</f>
        <v/>
      </c>
      <c r="S535">
        <f>IF(I535="","",INDEX($O$3:$O$402,I535))</f>
        <v/>
      </c>
      <c r="T535">
        <f>IF(J535&lt;&gt;"H","",INDEX(Transaksi!$A$2:$A$2001,MATCH(S535,Transaksi!$M$2:$M$2001,0)))</f>
        <v/>
      </c>
    </row>
    <row r="536">
      <c r="A536" s="31">
        <f>IF(J536="E",IF(INDEX(Transaksi!$J$2:$J$2001,K536)&gt;0,"↑","↓"),"")</f>
        <v/>
      </c>
      <c r="B536" s="32">
        <f>IF(J536="H",CHOOSE(WEEKDAY(T536,2),"Isnin","Selasa","Rabu","Khamis","Jumaat","Sabtu","Ahad")&amp;", "&amp;DAY(T536)&amp;" "&amp;CHOOSE(MONTH(T536),"Jan","Feb","Mac","Apr","Mei","Jun","Jul","Ogo","Sep","Okt","Nov","Dis")&amp;" "&amp;YEAR(T536),IF(J536="E",IF(INDEX(Transaksi!$B$2:$B$2001,K536)="",INDEX(Transaksi!$C$2:$C$2001,K536)&amp;" · "&amp;INDEX(Transaksi!$D$2:$D$2001,K536),INDEX(Transaksi!$B$2:$B$2001,K536)),""))</f>
        <v/>
      </c>
      <c r="C536" s="32">
        <f>IF(J536="E",INDEX(Transaksi!$C$2:$C$2001,K536)&amp;"","")</f>
        <v/>
      </c>
      <c r="D536" s="32">
        <f>IF(J536="E",INDEX(Transaksi!$D$2:$D$2001,K536)&amp;"","")</f>
        <v/>
      </c>
      <c r="E536" s="33">
        <f>IF(J536="H",SUMIFS(Transaksi!$G$2:$G$2001,Transaksi!$M$2:$M$2001,"="&amp;S536)+SUMIFS(Transaksi!$H$2:$H$2001,Transaksi!$M$2:$M$2001,"="&amp;S536)+SUMIFS(Transaksi!$I$2:$I$2001,Transaksi!$M$2:$M$2001,"="&amp;S536),IF(J536="E",IF(INDEX(Transaksi!$G$2:$G$2001,K536)+INDEX(Transaksi!$H$2:$H$2001,K536)+INDEX(Transaksi!$I$2:$I$2001,K536)=0,"",INDEX(Transaksi!$G$2:$G$2001,K536)+INDEX(Transaksi!$H$2:$H$2001,K536)+INDEX(Transaksi!$I$2:$I$2001,K536)),""))</f>
        <v/>
      </c>
      <c r="F536" s="33">
        <f>IF(J536="H",SUMIFS(Transaksi!$J$2:$J$2001,Transaksi!$M$2:$M$2001,"="&amp;S536),IF(J536="E",IF(INDEX(Transaksi!$J$2:$J$2001,K536)=0,"",INDEX(Transaksi!$J$2:$J$2001,K536)),""))</f>
        <v/>
      </c>
      <c r="G536" s="33">
        <f>IF(J536="H",(SUMIFS(Transaksi!$G$2:$G$2001,Transaksi!$M$2:$M$2001,"&lt;="&amp;S536)+SUMIFS(Transaksi!$H$2:$H$2001,Transaksi!$M$2:$M$2001,"&lt;="&amp;S536)+SUMIFS(Transaksi!$I$2:$I$2001,Transaksi!$M$2:$M$2001,"&lt;="&amp;S536))-(SUMIFS(Transaksi!$J$2:$J$2001,Transaksi!$M$2:$M$2001,"&lt;="&amp;S536)),"")</f>
        <v/>
      </c>
      <c r="I536">
        <f>IF(533&gt;$O$2,"",MATCH(533,$Q$3:$Q$402,1))</f>
        <v/>
      </c>
      <c r="J536">
        <f>IF(I536="","",IF(533=INDEX($Q$3:$Q$402,I536),"H","E"))</f>
        <v/>
      </c>
      <c r="K536">
        <f>IF(J536&lt;&gt;"E","",MATCH(S536,Transaksi!$M$2:$M$2001,0)+533-INDEX($Q$3:$Q$402,I536)-1)</f>
        <v/>
      </c>
      <c r="S536">
        <f>IF(I536="","",INDEX($O$3:$O$402,I536))</f>
        <v/>
      </c>
      <c r="T536">
        <f>IF(J536&lt;&gt;"H","",INDEX(Transaksi!$A$2:$A$2001,MATCH(S536,Transaksi!$M$2:$M$2001,0)))</f>
        <v/>
      </c>
    </row>
    <row r="537">
      <c r="A537" s="31">
        <f>IF(J537="E",IF(INDEX(Transaksi!$J$2:$J$2001,K537)&gt;0,"↑","↓"),"")</f>
        <v/>
      </c>
      <c r="B537" s="32">
        <f>IF(J537="H",CHOOSE(WEEKDAY(T537,2),"Isnin","Selasa","Rabu","Khamis","Jumaat","Sabtu","Ahad")&amp;", "&amp;DAY(T537)&amp;" "&amp;CHOOSE(MONTH(T537),"Jan","Feb","Mac","Apr","Mei","Jun","Jul","Ogo","Sep","Okt","Nov","Dis")&amp;" "&amp;YEAR(T537),IF(J537="E",IF(INDEX(Transaksi!$B$2:$B$2001,K537)="",INDEX(Transaksi!$C$2:$C$2001,K537)&amp;" · "&amp;INDEX(Transaksi!$D$2:$D$2001,K537),INDEX(Transaksi!$B$2:$B$2001,K537)),""))</f>
        <v/>
      </c>
      <c r="C537" s="32">
        <f>IF(J537="E",INDEX(Transaksi!$C$2:$C$2001,K537)&amp;"","")</f>
        <v/>
      </c>
      <c r="D537" s="32">
        <f>IF(J537="E",INDEX(Transaksi!$D$2:$D$2001,K537)&amp;"","")</f>
        <v/>
      </c>
      <c r="E537" s="33">
        <f>IF(J537="H",SUMIFS(Transaksi!$G$2:$G$2001,Transaksi!$M$2:$M$2001,"="&amp;S537)+SUMIFS(Transaksi!$H$2:$H$2001,Transaksi!$M$2:$M$2001,"="&amp;S537)+SUMIFS(Transaksi!$I$2:$I$2001,Transaksi!$M$2:$M$2001,"="&amp;S537),IF(J537="E",IF(INDEX(Transaksi!$G$2:$G$2001,K537)+INDEX(Transaksi!$H$2:$H$2001,K537)+INDEX(Transaksi!$I$2:$I$2001,K537)=0,"",INDEX(Transaksi!$G$2:$G$2001,K537)+INDEX(Transaksi!$H$2:$H$2001,K537)+INDEX(Transaksi!$I$2:$I$2001,K537)),""))</f>
        <v/>
      </c>
      <c r="F537" s="33">
        <f>IF(J537="H",SUMIFS(Transaksi!$J$2:$J$2001,Transaksi!$M$2:$M$2001,"="&amp;S537),IF(J537="E",IF(INDEX(Transaksi!$J$2:$J$2001,K537)=0,"",INDEX(Transaksi!$J$2:$J$2001,K537)),""))</f>
        <v/>
      </c>
      <c r="G537" s="33">
        <f>IF(J537="H",(SUMIFS(Transaksi!$G$2:$G$2001,Transaksi!$M$2:$M$2001,"&lt;="&amp;S537)+SUMIFS(Transaksi!$H$2:$H$2001,Transaksi!$M$2:$M$2001,"&lt;="&amp;S537)+SUMIFS(Transaksi!$I$2:$I$2001,Transaksi!$M$2:$M$2001,"&lt;="&amp;S537))-(SUMIFS(Transaksi!$J$2:$J$2001,Transaksi!$M$2:$M$2001,"&lt;="&amp;S537)),"")</f>
        <v/>
      </c>
      <c r="I537">
        <f>IF(534&gt;$O$2,"",MATCH(534,$Q$3:$Q$402,1))</f>
        <v/>
      </c>
      <c r="J537">
        <f>IF(I537="","",IF(534=INDEX($Q$3:$Q$402,I537),"H","E"))</f>
        <v/>
      </c>
      <c r="K537">
        <f>IF(J537&lt;&gt;"E","",MATCH(S537,Transaksi!$M$2:$M$2001,0)+534-INDEX($Q$3:$Q$402,I537)-1)</f>
        <v/>
      </c>
      <c r="S537">
        <f>IF(I537="","",INDEX($O$3:$O$402,I537))</f>
        <v/>
      </c>
      <c r="T537">
        <f>IF(J537&lt;&gt;"H","",INDEX(Transaksi!$A$2:$A$2001,MATCH(S537,Transaksi!$M$2:$M$2001,0)))</f>
        <v/>
      </c>
    </row>
    <row r="538">
      <c r="A538" s="31">
        <f>IF(J538="E",IF(INDEX(Transaksi!$J$2:$J$2001,K538)&gt;0,"↑","↓"),"")</f>
        <v/>
      </c>
      <c r="B538" s="32">
        <f>IF(J538="H",CHOOSE(WEEKDAY(T538,2),"Isnin","Selasa","Rabu","Khamis","Jumaat","Sabtu","Ahad")&amp;", "&amp;DAY(T538)&amp;" "&amp;CHOOSE(MONTH(T538),"Jan","Feb","Mac","Apr","Mei","Jun","Jul","Ogo","Sep","Okt","Nov","Dis")&amp;" "&amp;YEAR(T538),IF(J538="E",IF(INDEX(Transaksi!$B$2:$B$2001,K538)="",INDEX(Transaksi!$C$2:$C$2001,K538)&amp;" · "&amp;INDEX(Transaksi!$D$2:$D$2001,K538),INDEX(Transaksi!$B$2:$B$2001,K538)),""))</f>
        <v/>
      </c>
      <c r="C538" s="32">
        <f>IF(J538="E",INDEX(Transaksi!$C$2:$C$2001,K538)&amp;"","")</f>
        <v/>
      </c>
      <c r="D538" s="32">
        <f>IF(J538="E",INDEX(Transaksi!$D$2:$D$2001,K538)&amp;"","")</f>
        <v/>
      </c>
      <c r="E538" s="33">
        <f>IF(J538="H",SUMIFS(Transaksi!$G$2:$G$2001,Transaksi!$M$2:$M$2001,"="&amp;S538)+SUMIFS(Transaksi!$H$2:$H$2001,Transaksi!$M$2:$M$2001,"="&amp;S538)+SUMIFS(Transaksi!$I$2:$I$2001,Transaksi!$M$2:$M$2001,"="&amp;S538),IF(J538="E",IF(INDEX(Transaksi!$G$2:$G$2001,K538)+INDEX(Transaksi!$H$2:$H$2001,K538)+INDEX(Transaksi!$I$2:$I$2001,K538)=0,"",INDEX(Transaksi!$G$2:$G$2001,K538)+INDEX(Transaksi!$H$2:$H$2001,K538)+INDEX(Transaksi!$I$2:$I$2001,K538)),""))</f>
        <v/>
      </c>
      <c r="F538" s="33">
        <f>IF(J538="H",SUMIFS(Transaksi!$J$2:$J$2001,Transaksi!$M$2:$M$2001,"="&amp;S538),IF(J538="E",IF(INDEX(Transaksi!$J$2:$J$2001,K538)=0,"",INDEX(Transaksi!$J$2:$J$2001,K538)),""))</f>
        <v/>
      </c>
      <c r="G538" s="33">
        <f>IF(J538="H",(SUMIFS(Transaksi!$G$2:$G$2001,Transaksi!$M$2:$M$2001,"&lt;="&amp;S538)+SUMIFS(Transaksi!$H$2:$H$2001,Transaksi!$M$2:$M$2001,"&lt;="&amp;S538)+SUMIFS(Transaksi!$I$2:$I$2001,Transaksi!$M$2:$M$2001,"&lt;="&amp;S538))-(SUMIFS(Transaksi!$J$2:$J$2001,Transaksi!$M$2:$M$2001,"&lt;="&amp;S538)),"")</f>
        <v/>
      </c>
      <c r="I538">
        <f>IF(535&gt;$O$2,"",MATCH(535,$Q$3:$Q$402,1))</f>
        <v/>
      </c>
      <c r="J538">
        <f>IF(I538="","",IF(535=INDEX($Q$3:$Q$402,I538),"H","E"))</f>
        <v/>
      </c>
      <c r="K538">
        <f>IF(J538&lt;&gt;"E","",MATCH(S538,Transaksi!$M$2:$M$2001,0)+535-INDEX($Q$3:$Q$402,I538)-1)</f>
        <v/>
      </c>
      <c r="S538">
        <f>IF(I538="","",INDEX($O$3:$O$402,I538))</f>
        <v/>
      </c>
      <c r="T538">
        <f>IF(J538&lt;&gt;"H","",INDEX(Transaksi!$A$2:$A$2001,MATCH(S538,Transaksi!$M$2:$M$2001,0)))</f>
        <v/>
      </c>
    </row>
    <row r="539">
      <c r="A539" s="31">
        <f>IF(J539="E",IF(INDEX(Transaksi!$J$2:$J$2001,K539)&gt;0,"↑","↓"),"")</f>
        <v/>
      </c>
      <c r="B539" s="32">
        <f>IF(J539="H",CHOOSE(WEEKDAY(T539,2),"Isnin","Selasa","Rabu","Khamis","Jumaat","Sabtu","Ahad")&amp;", "&amp;DAY(T539)&amp;" "&amp;CHOOSE(MONTH(T539),"Jan","Feb","Mac","Apr","Mei","Jun","Jul","Ogo","Sep","Okt","Nov","Dis")&amp;" "&amp;YEAR(T539),IF(J539="E",IF(INDEX(Transaksi!$B$2:$B$2001,K539)="",INDEX(Transaksi!$C$2:$C$2001,K539)&amp;" · "&amp;INDEX(Transaksi!$D$2:$D$2001,K539),INDEX(Transaksi!$B$2:$B$2001,K539)),""))</f>
        <v/>
      </c>
      <c r="C539" s="32">
        <f>IF(J539="E",INDEX(Transaksi!$C$2:$C$2001,K539)&amp;"","")</f>
        <v/>
      </c>
      <c r="D539" s="32">
        <f>IF(J539="E",INDEX(Transaksi!$D$2:$D$2001,K539)&amp;"","")</f>
        <v/>
      </c>
      <c r="E539" s="33">
        <f>IF(J539="H",SUMIFS(Transaksi!$G$2:$G$2001,Transaksi!$M$2:$M$2001,"="&amp;S539)+SUMIFS(Transaksi!$H$2:$H$2001,Transaksi!$M$2:$M$2001,"="&amp;S539)+SUMIFS(Transaksi!$I$2:$I$2001,Transaksi!$M$2:$M$2001,"="&amp;S539),IF(J539="E",IF(INDEX(Transaksi!$G$2:$G$2001,K539)+INDEX(Transaksi!$H$2:$H$2001,K539)+INDEX(Transaksi!$I$2:$I$2001,K539)=0,"",INDEX(Transaksi!$G$2:$G$2001,K539)+INDEX(Transaksi!$H$2:$H$2001,K539)+INDEX(Transaksi!$I$2:$I$2001,K539)),""))</f>
        <v/>
      </c>
      <c r="F539" s="33">
        <f>IF(J539="H",SUMIFS(Transaksi!$J$2:$J$2001,Transaksi!$M$2:$M$2001,"="&amp;S539),IF(J539="E",IF(INDEX(Transaksi!$J$2:$J$2001,K539)=0,"",INDEX(Transaksi!$J$2:$J$2001,K539)),""))</f>
        <v/>
      </c>
      <c r="G539" s="33">
        <f>IF(J539="H",(SUMIFS(Transaksi!$G$2:$G$2001,Transaksi!$M$2:$M$2001,"&lt;="&amp;S539)+SUMIFS(Transaksi!$H$2:$H$2001,Transaksi!$M$2:$M$2001,"&lt;="&amp;S539)+SUMIFS(Transaksi!$I$2:$I$2001,Transaksi!$M$2:$M$2001,"&lt;="&amp;S539))-(SUMIFS(Transaksi!$J$2:$J$2001,Transaksi!$M$2:$M$2001,"&lt;="&amp;S539)),"")</f>
        <v/>
      </c>
      <c r="I539">
        <f>IF(536&gt;$O$2,"",MATCH(536,$Q$3:$Q$402,1))</f>
        <v/>
      </c>
      <c r="J539">
        <f>IF(I539="","",IF(536=INDEX($Q$3:$Q$402,I539),"H","E"))</f>
        <v/>
      </c>
      <c r="K539">
        <f>IF(J539&lt;&gt;"E","",MATCH(S539,Transaksi!$M$2:$M$2001,0)+536-INDEX($Q$3:$Q$402,I539)-1)</f>
        <v/>
      </c>
      <c r="S539">
        <f>IF(I539="","",INDEX($O$3:$O$402,I539))</f>
        <v/>
      </c>
      <c r="T539">
        <f>IF(J539&lt;&gt;"H","",INDEX(Transaksi!$A$2:$A$2001,MATCH(S539,Transaksi!$M$2:$M$2001,0)))</f>
        <v/>
      </c>
    </row>
    <row r="540">
      <c r="A540" s="31">
        <f>IF(J540="E",IF(INDEX(Transaksi!$J$2:$J$2001,K540)&gt;0,"↑","↓"),"")</f>
        <v/>
      </c>
      <c r="B540" s="32">
        <f>IF(J540="H",CHOOSE(WEEKDAY(T540,2),"Isnin","Selasa","Rabu","Khamis","Jumaat","Sabtu","Ahad")&amp;", "&amp;DAY(T540)&amp;" "&amp;CHOOSE(MONTH(T540),"Jan","Feb","Mac","Apr","Mei","Jun","Jul","Ogo","Sep","Okt","Nov","Dis")&amp;" "&amp;YEAR(T540),IF(J540="E",IF(INDEX(Transaksi!$B$2:$B$2001,K540)="",INDEX(Transaksi!$C$2:$C$2001,K540)&amp;" · "&amp;INDEX(Transaksi!$D$2:$D$2001,K540),INDEX(Transaksi!$B$2:$B$2001,K540)),""))</f>
        <v/>
      </c>
      <c r="C540" s="32">
        <f>IF(J540="E",INDEX(Transaksi!$C$2:$C$2001,K540)&amp;"","")</f>
        <v/>
      </c>
      <c r="D540" s="32">
        <f>IF(J540="E",INDEX(Transaksi!$D$2:$D$2001,K540)&amp;"","")</f>
        <v/>
      </c>
      <c r="E540" s="33">
        <f>IF(J540="H",SUMIFS(Transaksi!$G$2:$G$2001,Transaksi!$M$2:$M$2001,"="&amp;S540)+SUMIFS(Transaksi!$H$2:$H$2001,Transaksi!$M$2:$M$2001,"="&amp;S540)+SUMIFS(Transaksi!$I$2:$I$2001,Transaksi!$M$2:$M$2001,"="&amp;S540),IF(J540="E",IF(INDEX(Transaksi!$G$2:$G$2001,K540)+INDEX(Transaksi!$H$2:$H$2001,K540)+INDEX(Transaksi!$I$2:$I$2001,K540)=0,"",INDEX(Transaksi!$G$2:$G$2001,K540)+INDEX(Transaksi!$H$2:$H$2001,K540)+INDEX(Transaksi!$I$2:$I$2001,K540)),""))</f>
        <v/>
      </c>
      <c r="F540" s="33">
        <f>IF(J540="H",SUMIFS(Transaksi!$J$2:$J$2001,Transaksi!$M$2:$M$2001,"="&amp;S540),IF(J540="E",IF(INDEX(Transaksi!$J$2:$J$2001,K540)=0,"",INDEX(Transaksi!$J$2:$J$2001,K540)),""))</f>
        <v/>
      </c>
      <c r="G540" s="33">
        <f>IF(J540="H",(SUMIFS(Transaksi!$G$2:$G$2001,Transaksi!$M$2:$M$2001,"&lt;="&amp;S540)+SUMIFS(Transaksi!$H$2:$H$2001,Transaksi!$M$2:$M$2001,"&lt;="&amp;S540)+SUMIFS(Transaksi!$I$2:$I$2001,Transaksi!$M$2:$M$2001,"&lt;="&amp;S540))-(SUMIFS(Transaksi!$J$2:$J$2001,Transaksi!$M$2:$M$2001,"&lt;="&amp;S540)),"")</f>
        <v/>
      </c>
      <c r="I540">
        <f>IF(537&gt;$O$2,"",MATCH(537,$Q$3:$Q$402,1))</f>
        <v/>
      </c>
      <c r="J540">
        <f>IF(I540="","",IF(537=INDEX($Q$3:$Q$402,I540),"H","E"))</f>
        <v/>
      </c>
      <c r="K540">
        <f>IF(J540&lt;&gt;"E","",MATCH(S540,Transaksi!$M$2:$M$2001,0)+537-INDEX($Q$3:$Q$402,I540)-1)</f>
        <v/>
      </c>
      <c r="S540">
        <f>IF(I540="","",INDEX($O$3:$O$402,I540))</f>
        <v/>
      </c>
      <c r="T540">
        <f>IF(J540&lt;&gt;"H","",INDEX(Transaksi!$A$2:$A$2001,MATCH(S540,Transaksi!$M$2:$M$2001,0)))</f>
        <v/>
      </c>
    </row>
    <row r="541">
      <c r="A541" s="31">
        <f>IF(J541="E",IF(INDEX(Transaksi!$J$2:$J$2001,K541)&gt;0,"↑","↓"),"")</f>
        <v/>
      </c>
      <c r="B541" s="32">
        <f>IF(J541="H",CHOOSE(WEEKDAY(T541,2),"Isnin","Selasa","Rabu","Khamis","Jumaat","Sabtu","Ahad")&amp;", "&amp;DAY(T541)&amp;" "&amp;CHOOSE(MONTH(T541),"Jan","Feb","Mac","Apr","Mei","Jun","Jul","Ogo","Sep","Okt","Nov","Dis")&amp;" "&amp;YEAR(T541),IF(J541="E",IF(INDEX(Transaksi!$B$2:$B$2001,K541)="",INDEX(Transaksi!$C$2:$C$2001,K541)&amp;" · "&amp;INDEX(Transaksi!$D$2:$D$2001,K541),INDEX(Transaksi!$B$2:$B$2001,K541)),""))</f>
        <v/>
      </c>
      <c r="C541" s="32">
        <f>IF(J541="E",INDEX(Transaksi!$C$2:$C$2001,K541)&amp;"","")</f>
        <v/>
      </c>
      <c r="D541" s="32">
        <f>IF(J541="E",INDEX(Transaksi!$D$2:$D$2001,K541)&amp;"","")</f>
        <v/>
      </c>
      <c r="E541" s="33">
        <f>IF(J541="H",SUMIFS(Transaksi!$G$2:$G$2001,Transaksi!$M$2:$M$2001,"="&amp;S541)+SUMIFS(Transaksi!$H$2:$H$2001,Transaksi!$M$2:$M$2001,"="&amp;S541)+SUMIFS(Transaksi!$I$2:$I$2001,Transaksi!$M$2:$M$2001,"="&amp;S541),IF(J541="E",IF(INDEX(Transaksi!$G$2:$G$2001,K541)+INDEX(Transaksi!$H$2:$H$2001,K541)+INDEX(Transaksi!$I$2:$I$2001,K541)=0,"",INDEX(Transaksi!$G$2:$G$2001,K541)+INDEX(Transaksi!$H$2:$H$2001,K541)+INDEX(Transaksi!$I$2:$I$2001,K541)),""))</f>
        <v/>
      </c>
      <c r="F541" s="33">
        <f>IF(J541="H",SUMIFS(Transaksi!$J$2:$J$2001,Transaksi!$M$2:$M$2001,"="&amp;S541),IF(J541="E",IF(INDEX(Transaksi!$J$2:$J$2001,K541)=0,"",INDEX(Transaksi!$J$2:$J$2001,K541)),""))</f>
        <v/>
      </c>
      <c r="G541" s="33">
        <f>IF(J541="H",(SUMIFS(Transaksi!$G$2:$G$2001,Transaksi!$M$2:$M$2001,"&lt;="&amp;S541)+SUMIFS(Transaksi!$H$2:$H$2001,Transaksi!$M$2:$M$2001,"&lt;="&amp;S541)+SUMIFS(Transaksi!$I$2:$I$2001,Transaksi!$M$2:$M$2001,"&lt;="&amp;S541))-(SUMIFS(Transaksi!$J$2:$J$2001,Transaksi!$M$2:$M$2001,"&lt;="&amp;S541)),"")</f>
        <v/>
      </c>
      <c r="I541">
        <f>IF(538&gt;$O$2,"",MATCH(538,$Q$3:$Q$402,1))</f>
        <v/>
      </c>
      <c r="J541">
        <f>IF(I541="","",IF(538=INDEX($Q$3:$Q$402,I541),"H","E"))</f>
        <v/>
      </c>
      <c r="K541">
        <f>IF(J541&lt;&gt;"E","",MATCH(S541,Transaksi!$M$2:$M$2001,0)+538-INDEX($Q$3:$Q$402,I541)-1)</f>
        <v/>
      </c>
      <c r="S541">
        <f>IF(I541="","",INDEX($O$3:$O$402,I541))</f>
        <v/>
      </c>
      <c r="T541">
        <f>IF(J541&lt;&gt;"H","",INDEX(Transaksi!$A$2:$A$2001,MATCH(S541,Transaksi!$M$2:$M$2001,0)))</f>
        <v/>
      </c>
    </row>
    <row r="542">
      <c r="A542" s="31">
        <f>IF(J542="E",IF(INDEX(Transaksi!$J$2:$J$2001,K542)&gt;0,"↑","↓"),"")</f>
        <v/>
      </c>
      <c r="B542" s="32">
        <f>IF(J542="H",CHOOSE(WEEKDAY(T542,2),"Isnin","Selasa","Rabu","Khamis","Jumaat","Sabtu","Ahad")&amp;", "&amp;DAY(T542)&amp;" "&amp;CHOOSE(MONTH(T542),"Jan","Feb","Mac","Apr","Mei","Jun","Jul","Ogo","Sep","Okt","Nov","Dis")&amp;" "&amp;YEAR(T542),IF(J542="E",IF(INDEX(Transaksi!$B$2:$B$2001,K542)="",INDEX(Transaksi!$C$2:$C$2001,K542)&amp;" · "&amp;INDEX(Transaksi!$D$2:$D$2001,K542),INDEX(Transaksi!$B$2:$B$2001,K542)),""))</f>
        <v/>
      </c>
      <c r="C542" s="32">
        <f>IF(J542="E",INDEX(Transaksi!$C$2:$C$2001,K542)&amp;"","")</f>
        <v/>
      </c>
      <c r="D542" s="32">
        <f>IF(J542="E",INDEX(Transaksi!$D$2:$D$2001,K542)&amp;"","")</f>
        <v/>
      </c>
      <c r="E542" s="33">
        <f>IF(J542="H",SUMIFS(Transaksi!$G$2:$G$2001,Transaksi!$M$2:$M$2001,"="&amp;S542)+SUMIFS(Transaksi!$H$2:$H$2001,Transaksi!$M$2:$M$2001,"="&amp;S542)+SUMIFS(Transaksi!$I$2:$I$2001,Transaksi!$M$2:$M$2001,"="&amp;S542),IF(J542="E",IF(INDEX(Transaksi!$G$2:$G$2001,K542)+INDEX(Transaksi!$H$2:$H$2001,K542)+INDEX(Transaksi!$I$2:$I$2001,K542)=0,"",INDEX(Transaksi!$G$2:$G$2001,K542)+INDEX(Transaksi!$H$2:$H$2001,K542)+INDEX(Transaksi!$I$2:$I$2001,K542)),""))</f>
        <v/>
      </c>
      <c r="F542" s="33">
        <f>IF(J542="H",SUMIFS(Transaksi!$J$2:$J$2001,Transaksi!$M$2:$M$2001,"="&amp;S542),IF(J542="E",IF(INDEX(Transaksi!$J$2:$J$2001,K542)=0,"",INDEX(Transaksi!$J$2:$J$2001,K542)),""))</f>
        <v/>
      </c>
      <c r="G542" s="33">
        <f>IF(J542="H",(SUMIFS(Transaksi!$G$2:$G$2001,Transaksi!$M$2:$M$2001,"&lt;="&amp;S542)+SUMIFS(Transaksi!$H$2:$H$2001,Transaksi!$M$2:$M$2001,"&lt;="&amp;S542)+SUMIFS(Transaksi!$I$2:$I$2001,Transaksi!$M$2:$M$2001,"&lt;="&amp;S542))-(SUMIFS(Transaksi!$J$2:$J$2001,Transaksi!$M$2:$M$2001,"&lt;="&amp;S542)),"")</f>
        <v/>
      </c>
      <c r="I542">
        <f>IF(539&gt;$O$2,"",MATCH(539,$Q$3:$Q$402,1))</f>
        <v/>
      </c>
      <c r="J542">
        <f>IF(I542="","",IF(539=INDEX($Q$3:$Q$402,I542),"H","E"))</f>
        <v/>
      </c>
      <c r="K542">
        <f>IF(J542&lt;&gt;"E","",MATCH(S542,Transaksi!$M$2:$M$2001,0)+539-INDEX($Q$3:$Q$402,I542)-1)</f>
        <v/>
      </c>
      <c r="S542">
        <f>IF(I542="","",INDEX($O$3:$O$402,I542))</f>
        <v/>
      </c>
      <c r="T542">
        <f>IF(J542&lt;&gt;"H","",INDEX(Transaksi!$A$2:$A$2001,MATCH(S542,Transaksi!$M$2:$M$2001,0)))</f>
        <v/>
      </c>
    </row>
    <row r="543">
      <c r="A543" s="31">
        <f>IF(J543="E",IF(INDEX(Transaksi!$J$2:$J$2001,K543)&gt;0,"↑","↓"),"")</f>
        <v/>
      </c>
      <c r="B543" s="32">
        <f>IF(J543="H",CHOOSE(WEEKDAY(T543,2),"Isnin","Selasa","Rabu","Khamis","Jumaat","Sabtu","Ahad")&amp;", "&amp;DAY(T543)&amp;" "&amp;CHOOSE(MONTH(T543),"Jan","Feb","Mac","Apr","Mei","Jun","Jul","Ogo","Sep","Okt","Nov","Dis")&amp;" "&amp;YEAR(T543),IF(J543="E",IF(INDEX(Transaksi!$B$2:$B$2001,K543)="",INDEX(Transaksi!$C$2:$C$2001,K543)&amp;" · "&amp;INDEX(Transaksi!$D$2:$D$2001,K543),INDEX(Transaksi!$B$2:$B$2001,K543)),""))</f>
        <v/>
      </c>
      <c r="C543" s="32">
        <f>IF(J543="E",INDEX(Transaksi!$C$2:$C$2001,K543)&amp;"","")</f>
        <v/>
      </c>
      <c r="D543" s="32">
        <f>IF(J543="E",INDEX(Transaksi!$D$2:$D$2001,K543)&amp;"","")</f>
        <v/>
      </c>
      <c r="E543" s="33">
        <f>IF(J543="H",SUMIFS(Transaksi!$G$2:$G$2001,Transaksi!$M$2:$M$2001,"="&amp;S543)+SUMIFS(Transaksi!$H$2:$H$2001,Transaksi!$M$2:$M$2001,"="&amp;S543)+SUMIFS(Transaksi!$I$2:$I$2001,Transaksi!$M$2:$M$2001,"="&amp;S543),IF(J543="E",IF(INDEX(Transaksi!$G$2:$G$2001,K543)+INDEX(Transaksi!$H$2:$H$2001,K543)+INDEX(Transaksi!$I$2:$I$2001,K543)=0,"",INDEX(Transaksi!$G$2:$G$2001,K543)+INDEX(Transaksi!$H$2:$H$2001,K543)+INDEX(Transaksi!$I$2:$I$2001,K543)),""))</f>
        <v/>
      </c>
      <c r="F543" s="33">
        <f>IF(J543="H",SUMIFS(Transaksi!$J$2:$J$2001,Transaksi!$M$2:$M$2001,"="&amp;S543),IF(J543="E",IF(INDEX(Transaksi!$J$2:$J$2001,K543)=0,"",INDEX(Transaksi!$J$2:$J$2001,K543)),""))</f>
        <v/>
      </c>
      <c r="G543" s="33">
        <f>IF(J543="H",(SUMIFS(Transaksi!$G$2:$G$2001,Transaksi!$M$2:$M$2001,"&lt;="&amp;S543)+SUMIFS(Transaksi!$H$2:$H$2001,Transaksi!$M$2:$M$2001,"&lt;="&amp;S543)+SUMIFS(Transaksi!$I$2:$I$2001,Transaksi!$M$2:$M$2001,"&lt;="&amp;S543))-(SUMIFS(Transaksi!$J$2:$J$2001,Transaksi!$M$2:$M$2001,"&lt;="&amp;S543)),"")</f>
        <v/>
      </c>
      <c r="I543">
        <f>IF(540&gt;$O$2,"",MATCH(540,$Q$3:$Q$402,1))</f>
        <v/>
      </c>
      <c r="J543">
        <f>IF(I543="","",IF(540=INDEX($Q$3:$Q$402,I543),"H","E"))</f>
        <v/>
      </c>
      <c r="K543">
        <f>IF(J543&lt;&gt;"E","",MATCH(S543,Transaksi!$M$2:$M$2001,0)+540-INDEX($Q$3:$Q$402,I543)-1)</f>
        <v/>
      </c>
      <c r="S543">
        <f>IF(I543="","",INDEX($O$3:$O$402,I543))</f>
        <v/>
      </c>
      <c r="T543">
        <f>IF(J543&lt;&gt;"H","",INDEX(Transaksi!$A$2:$A$2001,MATCH(S543,Transaksi!$M$2:$M$2001,0)))</f>
        <v/>
      </c>
    </row>
    <row r="544">
      <c r="A544" s="31">
        <f>IF(J544="E",IF(INDEX(Transaksi!$J$2:$J$2001,K544)&gt;0,"↑","↓"),"")</f>
        <v/>
      </c>
      <c r="B544" s="32">
        <f>IF(J544="H",CHOOSE(WEEKDAY(T544,2),"Isnin","Selasa","Rabu","Khamis","Jumaat","Sabtu","Ahad")&amp;", "&amp;DAY(T544)&amp;" "&amp;CHOOSE(MONTH(T544),"Jan","Feb","Mac","Apr","Mei","Jun","Jul","Ogo","Sep","Okt","Nov","Dis")&amp;" "&amp;YEAR(T544),IF(J544="E",IF(INDEX(Transaksi!$B$2:$B$2001,K544)="",INDEX(Transaksi!$C$2:$C$2001,K544)&amp;" · "&amp;INDEX(Transaksi!$D$2:$D$2001,K544),INDEX(Transaksi!$B$2:$B$2001,K544)),""))</f>
        <v/>
      </c>
      <c r="C544" s="32">
        <f>IF(J544="E",INDEX(Transaksi!$C$2:$C$2001,K544)&amp;"","")</f>
        <v/>
      </c>
      <c r="D544" s="32">
        <f>IF(J544="E",INDEX(Transaksi!$D$2:$D$2001,K544)&amp;"","")</f>
        <v/>
      </c>
      <c r="E544" s="33">
        <f>IF(J544="H",SUMIFS(Transaksi!$G$2:$G$2001,Transaksi!$M$2:$M$2001,"="&amp;S544)+SUMIFS(Transaksi!$H$2:$H$2001,Transaksi!$M$2:$M$2001,"="&amp;S544)+SUMIFS(Transaksi!$I$2:$I$2001,Transaksi!$M$2:$M$2001,"="&amp;S544),IF(J544="E",IF(INDEX(Transaksi!$G$2:$G$2001,K544)+INDEX(Transaksi!$H$2:$H$2001,K544)+INDEX(Transaksi!$I$2:$I$2001,K544)=0,"",INDEX(Transaksi!$G$2:$G$2001,K544)+INDEX(Transaksi!$H$2:$H$2001,K544)+INDEX(Transaksi!$I$2:$I$2001,K544)),""))</f>
        <v/>
      </c>
      <c r="F544" s="33">
        <f>IF(J544="H",SUMIFS(Transaksi!$J$2:$J$2001,Transaksi!$M$2:$M$2001,"="&amp;S544),IF(J544="E",IF(INDEX(Transaksi!$J$2:$J$2001,K544)=0,"",INDEX(Transaksi!$J$2:$J$2001,K544)),""))</f>
        <v/>
      </c>
      <c r="G544" s="33">
        <f>IF(J544="H",(SUMIFS(Transaksi!$G$2:$G$2001,Transaksi!$M$2:$M$2001,"&lt;="&amp;S544)+SUMIFS(Transaksi!$H$2:$H$2001,Transaksi!$M$2:$M$2001,"&lt;="&amp;S544)+SUMIFS(Transaksi!$I$2:$I$2001,Transaksi!$M$2:$M$2001,"&lt;="&amp;S544))-(SUMIFS(Transaksi!$J$2:$J$2001,Transaksi!$M$2:$M$2001,"&lt;="&amp;S544)),"")</f>
        <v/>
      </c>
      <c r="I544">
        <f>IF(541&gt;$O$2,"",MATCH(541,$Q$3:$Q$402,1))</f>
        <v/>
      </c>
      <c r="J544">
        <f>IF(I544="","",IF(541=INDEX($Q$3:$Q$402,I544),"H","E"))</f>
        <v/>
      </c>
      <c r="K544">
        <f>IF(J544&lt;&gt;"E","",MATCH(S544,Transaksi!$M$2:$M$2001,0)+541-INDEX($Q$3:$Q$402,I544)-1)</f>
        <v/>
      </c>
      <c r="S544">
        <f>IF(I544="","",INDEX($O$3:$O$402,I544))</f>
        <v/>
      </c>
      <c r="T544">
        <f>IF(J544&lt;&gt;"H","",INDEX(Transaksi!$A$2:$A$2001,MATCH(S544,Transaksi!$M$2:$M$2001,0)))</f>
        <v/>
      </c>
    </row>
    <row r="545">
      <c r="A545" s="31">
        <f>IF(J545="E",IF(INDEX(Transaksi!$J$2:$J$2001,K545)&gt;0,"↑","↓"),"")</f>
        <v/>
      </c>
      <c r="B545" s="32">
        <f>IF(J545="H",CHOOSE(WEEKDAY(T545,2),"Isnin","Selasa","Rabu","Khamis","Jumaat","Sabtu","Ahad")&amp;", "&amp;DAY(T545)&amp;" "&amp;CHOOSE(MONTH(T545),"Jan","Feb","Mac","Apr","Mei","Jun","Jul","Ogo","Sep","Okt","Nov","Dis")&amp;" "&amp;YEAR(T545),IF(J545="E",IF(INDEX(Transaksi!$B$2:$B$2001,K545)="",INDEX(Transaksi!$C$2:$C$2001,K545)&amp;" · "&amp;INDEX(Transaksi!$D$2:$D$2001,K545),INDEX(Transaksi!$B$2:$B$2001,K545)),""))</f>
        <v/>
      </c>
      <c r="C545" s="32">
        <f>IF(J545="E",INDEX(Transaksi!$C$2:$C$2001,K545)&amp;"","")</f>
        <v/>
      </c>
      <c r="D545" s="32">
        <f>IF(J545="E",INDEX(Transaksi!$D$2:$D$2001,K545)&amp;"","")</f>
        <v/>
      </c>
      <c r="E545" s="33">
        <f>IF(J545="H",SUMIFS(Transaksi!$G$2:$G$2001,Transaksi!$M$2:$M$2001,"="&amp;S545)+SUMIFS(Transaksi!$H$2:$H$2001,Transaksi!$M$2:$M$2001,"="&amp;S545)+SUMIFS(Transaksi!$I$2:$I$2001,Transaksi!$M$2:$M$2001,"="&amp;S545),IF(J545="E",IF(INDEX(Transaksi!$G$2:$G$2001,K545)+INDEX(Transaksi!$H$2:$H$2001,K545)+INDEX(Transaksi!$I$2:$I$2001,K545)=0,"",INDEX(Transaksi!$G$2:$G$2001,K545)+INDEX(Transaksi!$H$2:$H$2001,K545)+INDEX(Transaksi!$I$2:$I$2001,K545)),""))</f>
        <v/>
      </c>
      <c r="F545" s="33">
        <f>IF(J545="H",SUMIFS(Transaksi!$J$2:$J$2001,Transaksi!$M$2:$M$2001,"="&amp;S545),IF(J545="E",IF(INDEX(Transaksi!$J$2:$J$2001,K545)=0,"",INDEX(Transaksi!$J$2:$J$2001,K545)),""))</f>
        <v/>
      </c>
      <c r="G545" s="33">
        <f>IF(J545="H",(SUMIFS(Transaksi!$G$2:$G$2001,Transaksi!$M$2:$M$2001,"&lt;="&amp;S545)+SUMIFS(Transaksi!$H$2:$H$2001,Transaksi!$M$2:$M$2001,"&lt;="&amp;S545)+SUMIFS(Transaksi!$I$2:$I$2001,Transaksi!$M$2:$M$2001,"&lt;="&amp;S545))-(SUMIFS(Transaksi!$J$2:$J$2001,Transaksi!$M$2:$M$2001,"&lt;="&amp;S545)),"")</f>
        <v/>
      </c>
      <c r="I545">
        <f>IF(542&gt;$O$2,"",MATCH(542,$Q$3:$Q$402,1))</f>
        <v/>
      </c>
      <c r="J545">
        <f>IF(I545="","",IF(542=INDEX($Q$3:$Q$402,I545),"H","E"))</f>
        <v/>
      </c>
      <c r="K545">
        <f>IF(J545&lt;&gt;"E","",MATCH(S545,Transaksi!$M$2:$M$2001,0)+542-INDEX($Q$3:$Q$402,I545)-1)</f>
        <v/>
      </c>
      <c r="S545">
        <f>IF(I545="","",INDEX($O$3:$O$402,I545))</f>
        <v/>
      </c>
      <c r="T545">
        <f>IF(J545&lt;&gt;"H","",INDEX(Transaksi!$A$2:$A$2001,MATCH(S545,Transaksi!$M$2:$M$2001,0)))</f>
        <v/>
      </c>
    </row>
    <row r="546">
      <c r="A546" s="31">
        <f>IF(J546="E",IF(INDEX(Transaksi!$J$2:$J$2001,K546)&gt;0,"↑","↓"),"")</f>
        <v/>
      </c>
      <c r="B546" s="32">
        <f>IF(J546="H",CHOOSE(WEEKDAY(T546,2),"Isnin","Selasa","Rabu","Khamis","Jumaat","Sabtu","Ahad")&amp;", "&amp;DAY(T546)&amp;" "&amp;CHOOSE(MONTH(T546),"Jan","Feb","Mac","Apr","Mei","Jun","Jul","Ogo","Sep","Okt","Nov","Dis")&amp;" "&amp;YEAR(T546),IF(J546="E",IF(INDEX(Transaksi!$B$2:$B$2001,K546)="",INDEX(Transaksi!$C$2:$C$2001,K546)&amp;" · "&amp;INDEX(Transaksi!$D$2:$D$2001,K546),INDEX(Transaksi!$B$2:$B$2001,K546)),""))</f>
        <v/>
      </c>
      <c r="C546" s="32">
        <f>IF(J546="E",INDEX(Transaksi!$C$2:$C$2001,K546)&amp;"","")</f>
        <v/>
      </c>
      <c r="D546" s="32">
        <f>IF(J546="E",INDEX(Transaksi!$D$2:$D$2001,K546)&amp;"","")</f>
        <v/>
      </c>
      <c r="E546" s="33">
        <f>IF(J546="H",SUMIFS(Transaksi!$G$2:$G$2001,Transaksi!$M$2:$M$2001,"="&amp;S546)+SUMIFS(Transaksi!$H$2:$H$2001,Transaksi!$M$2:$M$2001,"="&amp;S546)+SUMIFS(Transaksi!$I$2:$I$2001,Transaksi!$M$2:$M$2001,"="&amp;S546),IF(J546="E",IF(INDEX(Transaksi!$G$2:$G$2001,K546)+INDEX(Transaksi!$H$2:$H$2001,K546)+INDEX(Transaksi!$I$2:$I$2001,K546)=0,"",INDEX(Transaksi!$G$2:$G$2001,K546)+INDEX(Transaksi!$H$2:$H$2001,K546)+INDEX(Transaksi!$I$2:$I$2001,K546)),""))</f>
        <v/>
      </c>
      <c r="F546" s="33">
        <f>IF(J546="H",SUMIFS(Transaksi!$J$2:$J$2001,Transaksi!$M$2:$M$2001,"="&amp;S546),IF(J546="E",IF(INDEX(Transaksi!$J$2:$J$2001,K546)=0,"",INDEX(Transaksi!$J$2:$J$2001,K546)),""))</f>
        <v/>
      </c>
      <c r="G546" s="33">
        <f>IF(J546="H",(SUMIFS(Transaksi!$G$2:$G$2001,Transaksi!$M$2:$M$2001,"&lt;="&amp;S546)+SUMIFS(Transaksi!$H$2:$H$2001,Transaksi!$M$2:$M$2001,"&lt;="&amp;S546)+SUMIFS(Transaksi!$I$2:$I$2001,Transaksi!$M$2:$M$2001,"&lt;="&amp;S546))-(SUMIFS(Transaksi!$J$2:$J$2001,Transaksi!$M$2:$M$2001,"&lt;="&amp;S546)),"")</f>
        <v/>
      </c>
      <c r="I546">
        <f>IF(543&gt;$O$2,"",MATCH(543,$Q$3:$Q$402,1))</f>
        <v/>
      </c>
      <c r="J546">
        <f>IF(I546="","",IF(543=INDEX($Q$3:$Q$402,I546),"H","E"))</f>
        <v/>
      </c>
      <c r="K546">
        <f>IF(J546&lt;&gt;"E","",MATCH(S546,Transaksi!$M$2:$M$2001,0)+543-INDEX($Q$3:$Q$402,I546)-1)</f>
        <v/>
      </c>
      <c r="S546">
        <f>IF(I546="","",INDEX($O$3:$O$402,I546))</f>
        <v/>
      </c>
      <c r="T546">
        <f>IF(J546&lt;&gt;"H","",INDEX(Transaksi!$A$2:$A$2001,MATCH(S546,Transaksi!$M$2:$M$2001,0)))</f>
        <v/>
      </c>
    </row>
    <row r="547">
      <c r="A547" s="31">
        <f>IF(J547="E",IF(INDEX(Transaksi!$J$2:$J$2001,K547)&gt;0,"↑","↓"),"")</f>
        <v/>
      </c>
      <c r="B547" s="32">
        <f>IF(J547="H",CHOOSE(WEEKDAY(T547,2),"Isnin","Selasa","Rabu","Khamis","Jumaat","Sabtu","Ahad")&amp;", "&amp;DAY(T547)&amp;" "&amp;CHOOSE(MONTH(T547),"Jan","Feb","Mac","Apr","Mei","Jun","Jul","Ogo","Sep","Okt","Nov","Dis")&amp;" "&amp;YEAR(T547),IF(J547="E",IF(INDEX(Transaksi!$B$2:$B$2001,K547)="",INDEX(Transaksi!$C$2:$C$2001,K547)&amp;" · "&amp;INDEX(Transaksi!$D$2:$D$2001,K547),INDEX(Transaksi!$B$2:$B$2001,K547)),""))</f>
        <v/>
      </c>
      <c r="C547" s="32">
        <f>IF(J547="E",INDEX(Transaksi!$C$2:$C$2001,K547)&amp;"","")</f>
        <v/>
      </c>
      <c r="D547" s="32">
        <f>IF(J547="E",INDEX(Transaksi!$D$2:$D$2001,K547)&amp;"","")</f>
        <v/>
      </c>
      <c r="E547" s="33">
        <f>IF(J547="H",SUMIFS(Transaksi!$G$2:$G$2001,Transaksi!$M$2:$M$2001,"="&amp;S547)+SUMIFS(Transaksi!$H$2:$H$2001,Transaksi!$M$2:$M$2001,"="&amp;S547)+SUMIFS(Transaksi!$I$2:$I$2001,Transaksi!$M$2:$M$2001,"="&amp;S547),IF(J547="E",IF(INDEX(Transaksi!$G$2:$G$2001,K547)+INDEX(Transaksi!$H$2:$H$2001,K547)+INDEX(Transaksi!$I$2:$I$2001,K547)=0,"",INDEX(Transaksi!$G$2:$G$2001,K547)+INDEX(Transaksi!$H$2:$H$2001,K547)+INDEX(Transaksi!$I$2:$I$2001,K547)),""))</f>
        <v/>
      </c>
      <c r="F547" s="33">
        <f>IF(J547="H",SUMIFS(Transaksi!$J$2:$J$2001,Transaksi!$M$2:$M$2001,"="&amp;S547),IF(J547="E",IF(INDEX(Transaksi!$J$2:$J$2001,K547)=0,"",INDEX(Transaksi!$J$2:$J$2001,K547)),""))</f>
        <v/>
      </c>
      <c r="G547" s="33">
        <f>IF(J547="H",(SUMIFS(Transaksi!$G$2:$G$2001,Transaksi!$M$2:$M$2001,"&lt;="&amp;S547)+SUMIFS(Transaksi!$H$2:$H$2001,Transaksi!$M$2:$M$2001,"&lt;="&amp;S547)+SUMIFS(Transaksi!$I$2:$I$2001,Transaksi!$M$2:$M$2001,"&lt;="&amp;S547))-(SUMIFS(Transaksi!$J$2:$J$2001,Transaksi!$M$2:$M$2001,"&lt;="&amp;S547)),"")</f>
        <v/>
      </c>
      <c r="I547">
        <f>IF(544&gt;$O$2,"",MATCH(544,$Q$3:$Q$402,1))</f>
        <v/>
      </c>
      <c r="J547">
        <f>IF(I547="","",IF(544=INDEX($Q$3:$Q$402,I547),"H","E"))</f>
        <v/>
      </c>
      <c r="K547">
        <f>IF(J547&lt;&gt;"E","",MATCH(S547,Transaksi!$M$2:$M$2001,0)+544-INDEX($Q$3:$Q$402,I547)-1)</f>
        <v/>
      </c>
      <c r="S547">
        <f>IF(I547="","",INDEX($O$3:$O$402,I547))</f>
        <v/>
      </c>
      <c r="T547">
        <f>IF(J547&lt;&gt;"H","",INDEX(Transaksi!$A$2:$A$2001,MATCH(S547,Transaksi!$M$2:$M$2001,0)))</f>
        <v/>
      </c>
    </row>
    <row r="548">
      <c r="A548" s="31">
        <f>IF(J548="E",IF(INDEX(Transaksi!$J$2:$J$2001,K548)&gt;0,"↑","↓"),"")</f>
        <v/>
      </c>
      <c r="B548" s="32">
        <f>IF(J548="H",CHOOSE(WEEKDAY(T548,2),"Isnin","Selasa","Rabu","Khamis","Jumaat","Sabtu","Ahad")&amp;", "&amp;DAY(T548)&amp;" "&amp;CHOOSE(MONTH(T548),"Jan","Feb","Mac","Apr","Mei","Jun","Jul","Ogo","Sep","Okt","Nov","Dis")&amp;" "&amp;YEAR(T548),IF(J548="E",IF(INDEX(Transaksi!$B$2:$B$2001,K548)="",INDEX(Transaksi!$C$2:$C$2001,K548)&amp;" · "&amp;INDEX(Transaksi!$D$2:$D$2001,K548),INDEX(Transaksi!$B$2:$B$2001,K548)),""))</f>
        <v/>
      </c>
      <c r="C548" s="32">
        <f>IF(J548="E",INDEX(Transaksi!$C$2:$C$2001,K548)&amp;"","")</f>
        <v/>
      </c>
      <c r="D548" s="32">
        <f>IF(J548="E",INDEX(Transaksi!$D$2:$D$2001,K548)&amp;"","")</f>
        <v/>
      </c>
      <c r="E548" s="33">
        <f>IF(J548="H",SUMIFS(Transaksi!$G$2:$G$2001,Transaksi!$M$2:$M$2001,"="&amp;S548)+SUMIFS(Transaksi!$H$2:$H$2001,Transaksi!$M$2:$M$2001,"="&amp;S548)+SUMIFS(Transaksi!$I$2:$I$2001,Transaksi!$M$2:$M$2001,"="&amp;S548),IF(J548="E",IF(INDEX(Transaksi!$G$2:$G$2001,K548)+INDEX(Transaksi!$H$2:$H$2001,K548)+INDEX(Transaksi!$I$2:$I$2001,K548)=0,"",INDEX(Transaksi!$G$2:$G$2001,K548)+INDEX(Transaksi!$H$2:$H$2001,K548)+INDEX(Transaksi!$I$2:$I$2001,K548)),""))</f>
        <v/>
      </c>
      <c r="F548" s="33">
        <f>IF(J548="H",SUMIFS(Transaksi!$J$2:$J$2001,Transaksi!$M$2:$M$2001,"="&amp;S548),IF(J548="E",IF(INDEX(Transaksi!$J$2:$J$2001,K548)=0,"",INDEX(Transaksi!$J$2:$J$2001,K548)),""))</f>
        <v/>
      </c>
      <c r="G548" s="33">
        <f>IF(J548="H",(SUMIFS(Transaksi!$G$2:$G$2001,Transaksi!$M$2:$M$2001,"&lt;="&amp;S548)+SUMIFS(Transaksi!$H$2:$H$2001,Transaksi!$M$2:$M$2001,"&lt;="&amp;S548)+SUMIFS(Transaksi!$I$2:$I$2001,Transaksi!$M$2:$M$2001,"&lt;="&amp;S548))-(SUMIFS(Transaksi!$J$2:$J$2001,Transaksi!$M$2:$M$2001,"&lt;="&amp;S548)),"")</f>
        <v/>
      </c>
      <c r="I548">
        <f>IF(545&gt;$O$2,"",MATCH(545,$Q$3:$Q$402,1))</f>
        <v/>
      </c>
      <c r="J548">
        <f>IF(I548="","",IF(545=INDEX($Q$3:$Q$402,I548),"H","E"))</f>
        <v/>
      </c>
      <c r="K548">
        <f>IF(J548&lt;&gt;"E","",MATCH(S548,Transaksi!$M$2:$M$2001,0)+545-INDEX($Q$3:$Q$402,I548)-1)</f>
        <v/>
      </c>
      <c r="S548">
        <f>IF(I548="","",INDEX($O$3:$O$402,I548))</f>
        <v/>
      </c>
      <c r="T548">
        <f>IF(J548&lt;&gt;"H","",INDEX(Transaksi!$A$2:$A$2001,MATCH(S548,Transaksi!$M$2:$M$2001,0)))</f>
        <v/>
      </c>
    </row>
    <row r="549">
      <c r="A549" s="31">
        <f>IF(J549="E",IF(INDEX(Transaksi!$J$2:$J$2001,K549)&gt;0,"↑","↓"),"")</f>
        <v/>
      </c>
      <c r="B549" s="32">
        <f>IF(J549="H",CHOOSE(WEEKDAY(T549,2),"Isnin","Selasa","Rabu","Khamis","Jumaat","Sabtu","Ahad")&amp;", "&amp;DAY(T549)&amp;" "&amp;CHOOSE(MONTH(T549),"Jan","Feb","Mac","Apr","Mei","Jun","Jul","Ogo","Sep","Okt","Nov","Dis")&amp;" "&amp;YEAR(T549),IF(J549="E",IF(INDEX(Transaksi!$B$2:$B$2001,K549)="",INDEX(Transaksi!$C$2:$C$2001,K549)&amp;" · "&amp;INDEX(Transaksi!$D$2:$D$2001,K549),INDEX(Transaksi!$B$2:$B$2001,K549)),""))</f>
        <v/>
      </c>
      <c r="C549" s="32">
        <f>IF(J549="E",INDEX(Transaksi!$C$2:$C$2001,K549)&amp;"","")</f>
        <v/>
      </c>
      <c r="D549" s="32">
        <f>IF(J549="E",INDEX(Transaksi!$D$2:$D$2001,K549)&amp;"","")</f>
        <v/>
      </c>
      <c r="E549" s="33">
        <f>IF(J549="H",SUMIFS(Transaksi!$G$2:$G$2001,Transaksi!$M$2:$M$2001,"="&amp;S549)+SUMIFS(Transaksi!$H$2:$H$2001,Transaksi!$M$2:$M$2001,"="&amp;S549)+SUMIFS(Transaksi!$I$2:$I$2001,Transaksi!$M$2:$M$2001,"="&amp;S549),IF(J549="E",IF(INDEX(Transaksi!$G$2:$G$2001,K549)+INDEX(Transaksi!$H$2:$H$2001,K549)+INDEX(Transaksi!$I$2:$I$2001,K549)=0,"",INDEX(Transaksi!$G$2:$G$2001,K549)+INDEX(Transaksi!$H$2:$H$2001,K549)+INDEX(Transaksi!$I$2:$I$2001,K549)),""))</f>
        <v/>
      </c>
      <c r="F549" s="33">
        <f>IF(J549="H",SUMIFS(Transaksi!$J$2:$J$2001,Transaksi!$M$2:$M$2001,"="&amp;S549),IF(J549="E",IF(INDEX(Transaksi!$J$2:$J$2001,K549)=0,"",INDEX(Transaksi!$J$2:$J$2001,K549)),""))</f>
        <v/>
      </c>
      <c r="G549" s="33">
        <f>IF(J549="H",(SUMIFS(Transaksi!$G$2:$G$2001,Transaksi!$M$2:$M$2001,"&lt;="&amp;S549)+SUMIFS(Transaksi!$H$2:$H$2001,Transaksi!$M$2:$M$2001,"&lt;="&amp;S549)+SUMIFS(Transaksi!$I$2:$I$2001,Transaksi!$M$2:$M$2001,"&lt;="&amp;S549))-(SUMIFS(Transaksi!$J$2:$J$2001,Transaksi!$M$2:$M$2001,"&lt;="&amp;S549)),"")</f>
        <v/>
      </c>
      <c r="I549">
        <f>IF(546&gt;$O$2,"",MATCH(546,$Q$3:$Q$402,1))</f>
        <v/>
      </c>
      <c r="J549">
        <f>IF(I549="","",IF(546=INDEX($Q$3:$Q$402,I549),"H","E"))</f>
        <v/>
      </c>
      <c r="K549">
        <f>IF(J549&lt;&gt;"E","",MATCH(S549,Transaksi!$M$2:$M$2001,0)+546-INDEX($Q$3:$Q$402,I549)-1)</f>
        <v/>
      </c>
      <c r="S549">
        <f>IF(I549="","",INDEX($O$3:$O$402,I549))</f>
        <v/>
      </c>
      <c r="T549">
        <f>IF(J549&lt;&gt;"H","",INDEX(Transaksi!$A$2:$A$2001,MATCH(S549,Transaksi!$M$2:$M$2001,0)))</f>
        <v/>
      </c>
    </row>
    <row r="550">
      <c r="A550" s="31">
        <f>IF(J550="E",IF(INDEX(Transaksi!$J$2:$J$2001,K550)&gt;0,"↑","↓"),"")</f>
        <v/>
      </c>
      <c r="B550" s="32">
        <f>IF(J550="H",CHOOSE(WEEKDAY(T550,2),"Isnin","Selasa","Rabu","Khamis","Jumaat","Sabtu","Ahad")&amp;", "&amp;DAY(T550)&amp;" "&amp;CHOOSE(MONTH(T550),"Jan","Feb","Mac","Apr","Mei","Jun","Jul","Ogo","Sep","Okt","Nov","Dis")&amp;" "&amp;YEAR(T550),IF(J550="E",IF(INDEX(Transaksi!$B$2:$B$2001,K550)="",INDEX(Transaksi!$C$2:$C$2001,K550)&amp;" · "&amp;INDEX(Transaksi!$D$2:$D$2001,K550),INDEX(Transaksi!$B$2:$B$2001,K550)),""))</f>
        <v/>
      </c>
      <c r="C550" s="32">
        <f>IF(J550="E",INDEX(Transaksi!$C$2:$C$2001,K550)&amp;"","")</f>
        <v/>
      </c>
      <c r="D550" s="32">
        <f>IF(J550="E",INDEX(Transaksi!$D$2:$D$2001,K550)&amp;"","")</f>
        <v/>
      </c>
      <c r="E550" s="33">
        <f>IF(J550="H",SUMIFS(Transaksi!$G$2:$G$2001,Transaksi!$M$2:$M$2001,"="&amp;S550)+SUMIFS(Transaksi!$H$2:$H$2001,Transaksi!$M$2:$M$2001,"="&amp;S550)+SUMIFS(Transaksi!$I$2:$I$2001,Transaksi!$M$2:$M$2001,"="&amp;S550),IF(J550="E",IF(INDEX(Transaksi!$G$2:$G$2001,K550)+INDEX(Transaksi!$H$2:$H$2001,K550)+INDEX(Transaksi!$I$2:$I$2001,K550)=0,"",INDEX(Transaksi!$G$2:$G$2001,K550)+INDEX(Transaksi!$H$2:$H$2001,K550)+INDEX(Transaksi!$I$2:$I$2001,K550)),""))</f>
        <v/>
      </c>
      <c r="F550" s="33">
        <f>IF(J550="H",SUMIFS(Transaksi!$J$2:$J$2001,Transaksi!$M$2:$M$2001,"="&amp;S550),IF(J550="E",IF(INDEX(Transaksi!$J$2:$J$2001,K550)=0,"",INDEX(Transaksi!$J$2:$J$2001,K550)),""))</f>
        <v/>
      </c>
      <c r="G550" s="33">
        <f>IF(J550="H",(SUMIFS(Transaksi!$G$2:$G$2001,Transaksi!$M$2:$M$2001,"&lt;="&amp;S550)+SUMIFS(Transaksi!$H$2:$H$2001,Transaksi!$M$2:$M$2001,"&lt;="&amp;S550)+SUMIFS(Transaksi!$I$2:$I$2001,Transaksi!$M$2:$M$2001,"&lt;="&amp;S550))-(SUMIFS(Transaksi!$J$2:$J$2001,Transaksi!$M$2:$M$2001,"&lt;="&amp;S550)),"")</f>
        <v/>
      </c>
      <c r="I550">
        <f>IF(547&gt;$O$2,"",MATCH(547,$Q$3:$Q$402,1))</f>
        <v/>
      </c>
      <c r="J550">
        <f>IF(I550="","",IF(547=INDEX($Q$3:$Q$402,I550),"H","E"))</f>
        <v/>
      </c>
      <c r="K550">
        <f>IF(J550&lt;&gt;"E","",MATCH(S550,Transaksi!$M$2:$M$2001,0)+547-INDEX($Q$3:$Q$402,I550)-1)</f>
        <v/>
      </c>
      <c r="S550">
        <f>IF(I550="","",INDEX($O$3:$O$402,I550))</f>
        <v/>
      </c>
      <c r="T550">
        <f>IF(J550&lt;&gt;"H","",INDEX(Transaksi!$A$2:$A$2001,MATCH(S550,Transaksi!$M$2:$M$2001,0)))</f>
        <v/>
      </c>
    </row>
    <row r="551">
      <c r="A551" s="31">
        <f>IF(J551="E",IF(INDEX(Transaksi!$J$2:$J$2001,K551)&gt;0,"↑","↓"),"")</f>
        <v/>
      </c>
      <c r="B551" s="32">
        <f>IF(J551="H",CHOOSE(WEEKDAY(T551,2),"Isnin","Selasa","Rabu","Khamis","Jumaat","Sabtu","Ahad")&amp;", "&amp;DAY(T551)&amp;" "&amp;CHOOSE(MONTH(T551),"Jan","Feb","Mac","Apr","Mei","Jun","Jul","Ogo","Sep","Okt","Nov","Dis")&amp;" "&amp;YEAR(T551),IF(J551="E",IF(INDEX(Transaksi!$B$2:$B$2001,K551)="",INDEX(Transaksi!$C$2:$C$2001,K551)&amp;" · "&amp;INDEX(Transaksi!$D$2:$D$2001,K551),INDEX(Transaksi!$B$2:$B$2001,K551)),""))</f>
        <v/>
      </c>
      <c r="C551" s="32">
        <f>IF(J551="E",INDEX(Transaksi!$C$2:$C$2001,K551)&amp;"","")</f>
        <v/>
      </c>
      <c r="D551" s="32">
        <f>IF(J551="E",INDEX(Transaksi!$D$2:$D$2001,K551)&amp;"","")</f>
        <v/>
      </c>
      <c r="E551" s="33">
        <f>IF(J551="H",SUMIFS(Transaksi!$G$2:$G$2001,Transaksi!$M$2:$M$2001,"="&amp;S551)+SUMIFS(Transaksi!$H$2:$H$2001,Transaksi!$M$2:$M$2001,"="&amp;S551)+SUMIFS(Transaksi!$I$2:$I$2001,Transaksi!$M$2:$M$2001,"="&amp;S551),IF(J551="E",IF(INDEX(Transaksi!$G$2:$G$2001,K551)+INDEX(Transaksi!$H$2:$H$2001,K551)+INDEX(Transaksi!$I$2:$I$2001,K551)=0,"",INDEX(Transaksi!$G$2:$G$2001,K551)+INDEX(Transaksi!$H$2:$H$2001,K551)+INDEX(Transaksi!$I$2:$I$2001,K551)),""))</f>
        <v/>
      </c>
      <c r="F551" s="33">
        <f>IF(J551="H",SUMIFS(Transaksi!$J$2:$J$2001,Transaksi!$M$2:$M$2001,"="&amp;S551),IF(J551="E",IF(INDEX(Transaksi!$J$2:$J$2001,K551)=0,"",INDEX(Transaksi!$J$2:$J$2001,K551)),""))</f>
        <v/>
      </c>
      <c r="G551" s="33">
        <f>IF(J551="H",(SUMIFS(Transaksi!$G$2:$G$2001,Transaksi!$M$2:$M$2001,"&lt;="&amp;S551)+SUMIFS(Transaksi!$H$2:$H$2001,Transaksi!$M$2:$M$2001,"&lt;="&amp;S551)+SUMIFS(Transaksi!$I$2:$I$2001,Transaksi!$M$2:$M$2001,"&lt;="&amp;S551))-(SUMIFS(Transaksi!$J$2:$J$2001,Transaksi!$M$2:$M$2001,"&lt;="&amp;S551)),"")</f>
        <v/>
      </c>
      <c r="I551">
        <f>IF(548&gt;$O$2,"",MATCH(548,$Q$3:$Q$402,1))</f>
        <v/>
      </c>
      <c r="J551">
        <f>IF(I551="","",IF(548=INDEX($Q$3:$Q$402,I551),"H","E"))</f>
        <v/>
      </c>
      <c r="K551">
        <f>IF(J551&lt;&gt;"E","",MATCH(S551,Transaksi!$M$2:$M$2001,0)+548-INDEX($Q$3:$Q$402,I551)-1)</f>
        <v/>
      </c>
      <c r="S551">
        <f>IF(I551="","",INDEX($O$3:$O$402,I551))</f>
        <v/>
      </c>
      <c r="T551">
        <f>IF(J551&lt;&gt;"H","",INDEX(Transaksi!$A$2:$A$2001,MATCH(S551,Transaksi!$M$2:$M$2001,0)))</f>
        <v/>
      </c>
    </row>
    <row r="552">
      <c r="A552" s="31">
        <f>IF(J552="E",IF(INDEX(Transaksi!$J$2:$J$2001,K552)&gt;0,"↑","↓"),"")</f>
        <v/>
      </c>
      <c r="B552" s="32">
        <f>IF(J552="H",CHOOSE(WEEKDAY(T552,2),"Isnin","Selasa","Rabu","Khamis","Jumaat","Sabtu","Ahad")&amp;", "&amp;DAY(T552)&amp;" "&amp;CHOOSE(MONTH(T552),"Jan","Feb","Mac","Apr","Mei","Jun","Jul","Ogo","Sep","Okt","Nov","Dis")&amp;" "&amp;YEAR(T552),IF(J552="E",IF(INDEX(Transaksi!$B$2:$B$2001,K552)="",INDEX(Transaksi!$C$2:$C$2001,K552)&amp;" · "&amp;INDEX(Transaksi!$D$2:$D$2001,K552),INDEX(Transaksi!$B$2:$B$2001,K552)),""))</f>
        <v/>
      </c>
      <c r="C552" s="32">
        <f>IF(J552="E",INDEX(Transaksi!$C$2:$C$2001,K552)&amp;"","")</f>
        <v/>
      </c>
      <c r="D552" s="32">
        <f>IF(J552="E",INDEX(Transaksi!$D$2:$D$2001,K552)&amp;"","")</f>
        <v/>
      </c>
      <c r="E552" s="33">
        <f>IF(J552="H",SUMIFS(Transaksi!$G$2:$G$2001,Transaksi!$M$2:$M$2001,"="&amp;S552)+SUMIFS(Transaksi!$H$2:$H$2001,Transaksi!$M$2:$M$2001,"="&amp;S552)+SUMIFS(Transaksi!$I$2:$I$2001,Transaksi!$M$2:$M$2001,"="&amp;S552),IF(J552="E",IF(INDEX(Transaksi!$G$2:$G$2001,K552)+INDEX(Transaksi!$H$2:$H$2001,K552)+INDEX(Transaksi!$I$2:$I$2001,K552)=0,"",INDEX(Transaksi!$G$2:$G$2001,K552)+INDEX(Transaksi!$H$2:$H$2001,K552)+INDEX(Transaksi!$I$2:$I$2001,K552)),""))</f>
        <v/>
      </c>
      <c r="F552" s="33">
        <f>IF(J552="H",SUMIFS(Transaksi!$J$2:$J$2001,Transaksi!$M$2:$M$2001,"="&amp;S552),IF(J552="E",IF(INDEX(Transaksi!$J$2:$J$2001,K552)=0,"",INDEX(Transaksi!$J$2:$J$2001,K552)),""))</f>
        <v/>
      </c>
      <c r="G552" s="33">
        <f>IF(J552="H",(SUMIFS(Transaksi!$G$2:$G$2001,Transaksi!$M$2:$M$2001,"&lt;="&amp;S552)+SUMIFS(Transaksi!$H$2:$H$2001,Transaksi!$M$2:$M$2001,"&lt;="&amp;S552)+SUMIFS(Transaksi!$I$2:$I$2001,Transaksi!$M$2:$M$2001,"&lt;="&amp;S552))-(SUMIFS(Transaksi!$J$2:$J$2001,Transaksi!$M$2:$M$2001,"&lt;="&amp;S552)),"")</f>
        <v/>
      </c>
      <c r="I552">
        <f>IF(549&gt;$O$2,"",MATCH(549,$Q$3:$Q$402,1))</f>
        <v/>
      </c>
      <c r="J552">
        <f>IF(I552="","",IF(549=INDEX($Q$3:$Q$402,I552),"H","E"))</f>
        <v/>
      </c>
      <c r="K552">
        <f>IF(J552&lt;&gt;"E","",MATCH(S552,Transaksi!$M$2:$M$2001,0)+549-INDEX($Q$3:$Q$402,I552)-1)</f>
        <v/>
      </c>
      <c r="S552">
        <f>IF(I552="","",INDEX($O$3:$O$402,I552))</f>
        <v/>
      </c>
      <c r="T552">
        <f>IF(J552&lt;&gt;"H","",INDEX(Transaksi!$A$2:$A$2001,MATCH(S552,Transaksi!$M$2:$M$2001,0)))</f>
        <v/>
      </c>
    </row>
    <row r="553">
      <c r="A553" s="31">
        <f>IF(J553="E",IF(INDEX(Transaksi!$J$2:$J$2001,K553)&gt;0,"↑","↓"),"")</f>
        <v/>
      </c>
      <c r="B553" s="32">
        <f>IF(J553="H",CHOOSE(WEEKDAY(T553,2),"Isnin","Selasa","Rabu","Khamis","Jumaat","Sabtu","Ahad")&amp;", "&amp;DAY(T553)&amp;" "&amp;CHOOSE(MONTH(T553),"Jan","Feb","Mac","Apr","Mei","Jun","Jul","Ogo","Sep","Okt","Nov","Dis")&amp;" "&amp;YEAR(T553),IF(J553="E",IF(INDEX(Transaksi!$B$2:$B$2001,K553)="",INDEX(Transaksi!$C$2:$C$2001,K553)&amp;" · "&amp;INDEX(Transaksi!$D$2:$D$2001,K553),INDEX(Transaksi!$B$2:$B$2001,K553)),""))</f>
        <v/>
      </c>
      <c r="C553" s="32">
        <f>IF(J553="E",INDEX(Transaksi!$C$2:$C$2001,K553)&amp;"","")</f>
        <v/>
      </c>
      <c r="D553" s="32">
        <f>IF(J553="E",INDEX(Transaksi!$D$2:$D$2001,K553)&amp;"","")</f>
        <v/>
      </c>
      <c r="E553" s="33">
        <f>IF(J553="H",SUMIFS(Transaksi!$G$2:$G$2001,Transaksi!$M$2:$M$2001,"="&amp;S553)+SUMIFS(Transaksi!$H$2:$H$2001,Transaksi!$M$2:$M$2001,"="&amp;S553)+SUMIFS(Transaksi!$I$2:$I$2001,Transaksi!$M$2:$M$2001,"="&amp;S553),IF(J553="E",IF(INDEX(Transaksi!$G$2:$G$2001,K553)+INDEX(Transaksi!$H$2:$H$2001,K553)+INDEX(Transaksi!$I$2:$I$2001,K553)=0,"",INDEX(Transaksi!$G$2:$G$2001,K553)+INDEX(Transaksi!$H$2:$H$2001,K553)+INDEX(Transaksi!$I$2:$I$2001,K553)),""))</f>
        <v/>
      </c>
      <c r="F553" s="33">
        <f>IF(J553="H",SUMIFS(Transaksi!$J$2:$J$2001,Transaksi!$M$2:$M$2001,"="&amp;S553),IF(J553="E",IF(INDEX(Transaksi!$J$2:$J$2001,K553)=0,"",INDEX(Transaksi!$J$2:$J$2001,K553)),""))</f>
        <v/>
      </c>
      <c r="G553" s="33">
        <f>IF(J553="H",(SUMIFS(Transaksi!$G$2:$G$2001,Transaksi!$M$2:$M$2001,"&lt;="&amp;S553)+SUMIFS(Transaksi!$H$2:$H$2001,Transaksi!$M$2:$M$2001,"&lt;="&amp;S553)+SUMIFS(Transaksi!$I$2:$I$2001,Transaksi!$M$2:$M$2001,"&lt;="&amp;S553))-(SUMIFS(Transaksi!$J$2:$J$2001,Transaksi!$M$2:$M$2001,"&lt;="&amp;S553)),"")</f>
        <v/>
      </c>
      <c r="I553">
        <f>IF(550&gt;$O$2,"",MATCH(550,$Q$3:$Q$402,1))</f>
        <v/>
      </c>
      <c r="J553">
        <f>IF(I553="","",IF(550=INDEX($Q$3:$Q$402,I553),"H","E"))</f>
        <v/>
      </c>
      <c r="K553">
        <f>IF(J553&lt;&gt;"E","",MATCH(S553,Transaksi!$M$2:$M$2001,0)+550-INDEX($Q$3:$Q$402,I553)-1)</f>
        <v/>
      </c>
      <c r="S553">
        <f>IF(I553="","",INDEX($O$3:$O$402,I553))</f>
        <v/>
      </c>
      <c r="T553">
        <f>IF(J553&lt;&gt;"H","",INDEX(Transaksi!$A$2:$A$2001,MATCH(S553,Transaksi!$M$2:$M$2001,0)))</f>
        <v/>
      </c>
    </row>
    <row r="554">
      <c r="A554" s="31">
        <f>IF(J554="E",IF(INDEX(Transaksi!$J$2:$J$2001,K554)&gt;0,"↑","↓"),"")</f>
        <v/>
      </c>
      <c r="B554" s="32">
        <f>IF(J554="H",CHOOSE(WEEKDAY(T554,2),"Isnin","Selasa","Rabu","Khamis","Jumaat","Sabtu","Ahad")&amp;", "&amp;DAY(T554)&amp;" "&amp;CHOOSE(MONTH(T554),"Jan","Feb","Mac","Apr","Mei","Jun","Jul","Ogo","Sep","Okt","Nov","Dis")&amp;" "&amp;YEAR(T554),IF(J554="E",IF(INDEX(Transaksi!$B$2:$B$2001,K554)="",INDEX(Transaksi!$C$2:$C$2001,K554)&amp;" · "&amp;INDEX(Transaksi!$D$2:$D$2001,K554),INDEX(Transaksi!$B$2:$B$2001,K554)),""))</f>
        <v/>
      </c>
      <c r="C554" s="32">
        <f>IF(J554="E",INDEX(Transaksi!$C$2:$C$2001,K554)&amp;"","")</f>
        <v/>
      </c>
      <c r="D554" s="32">
        <f>IF(J554="E",INDEX(Transaksi!$D$2:$D$2001,K554)&amp;"","")</f>
        <v/>
      </c>
      <c r="E554" s="33">
        <f>IF(J554="H",SUMIFS(Transaksi!$G$2:$G$2001,Transaksi!$M$2:$M$2001,"="&amp;S554)+SUMIFS(Transaksi!$H$2:$H$2001,Transaksi!$M$2:$M$2001,"="&amp;S554)+SUMIFS(Transaksi!$I$2:$I$2001,Transaksi!$M$2:$M$2001,"="&amp;S554),IF(J554="E",IF(INDEX(Transaksi!$G$2:$G$2001,K554)+INDEX(Transaksi!$H$2:$H$2001,K554)+INDEX(Transaksi!$I$2:$I$2001,K554)=0,"",INDEX(Transaksi!$G$2:$G$2001,K554)+INDEX(Transaksi!$H$2:$H$2001,K554)+INDEX(Transaksi!$I$2:$I$2001,K554)),""))</f>
        <v/>
      </c>
      <c r="F554" s="33">
        <f>IF(J554="H",SUMIFS(Transaksi!$J$2:$J$2001,Transaksi!$M$2:$M$2001,"="&amp;S554),IF(J554="E",IF(INDEX(Transaksi!$J$2:$J$2001,K554)=0,"",INDEX(Transaksi!$J$2:$J$2001,K554)),""))</f>
        <v/>
      </c>
      <c r="G554" s="33">
        <f>IF(J554="H",(SUMIFS(Transaksi!$G$2:$G$2001,Transaksi!$M$2:$M$2001,"&lt;="&amp;S554)+SUMIFS(Transaksi!$H$2:$H$2001,Transaksi!$M$2:$M$2001,"&lt;="&amp;S554)+SUMIFS(Transaksi!$I$2:$I$2001,Transaksi!$M$2:$M$2001,"&lt;="&amp;S554))-(SUMIFS(Transaksi!$J$2:$J$2001,Transaksi!$M$2:$M$2001,"&lt;="&amp;S554)),"")</f>
        <v/>
      </c>
      <c r="I554">
        <f>IF(551&gt;$O$2,"",MATCH(551,$Q$3:$Q$402,1))</f>
        <v/>
      </c>
      <c r="J554">
        <f>IF(I554="","",IF(551=INDEX($Q$3:$Q$402,I554),"H","E"))</f>
        <v/>
      </c>
      <c r="K554">
        <f>IF(J554&lt;&gt;"E","",MATCH(S554,Transaksi!$M$2:$M$2001,0)+551-INDEX($Q$3:$Q$402,I554)-1)</f>
        <v/>
      </c>
      <c r="S554">
        <f>IF(I554="","",INDEX($O$3:$O$402,I554))</f>
        <v/>
      </c>
      <c r="T554">
        <f>IF(J554&lt;&gt;"H","",INDEX(Transaksi!$A$2:$A$2001,MATCH(S554,Transaksi!$M$2:$M$2001,0)))</f>
        <v/>
      </c>
    </row>
    <row r="555">
      <c r="A555" s="31">
        <f>IF(J555="E",IF(INDEX(Transaksi!$J$2:$J$2001,K555)&gt;0,"↑","↓"),"")</f>
        <v/>
      </c>
      <c r="B555" s="32">
        <f>IF(J555="H",CHOOSE(WEEKDAY(T555,2),"Isnin","Selasa","Rabu","Khamis","Jumaat","Sabtu","Ahad")&amp;", "&amp;DAY(T555)&amp;" "&amp;CHOOSE(MONTH(T555),"Jan","Feb","Mac","Apr","Mei","Jun","Jul","Ogo","Sep","Okt","Nov","Dis")&amp;" "&amp;YEAR(T555),IF(J555="E",IF(INDEX(Transaksi!$B$2:$B$2001,K555)="",INDEX(Transaksi!$C$2:$C$2001,K555)&amp;" · "&amp;INDEX(Transaksi!$D$2:$D$2001,K555),INDEX(Transaksi!$B$2:$B$2001,K555)),""))</f>
        <v/>
      </c>
      <c r="C555" s="32">
        <f>IF(J555="E",INDEX(Transaksi!$C$2:$C$2001,K555)&amp;"","")</f>
        <v/>
      </c>
      <c r="D555" s="32">
        <f>IF(J555="E",INDEX(Transaksi!$D$2:$D$2001,K555)&amp;"","")</f>
        <v/>
      </c>
      <c r="E555" s="33">
        <f>IF(J555="H",SUMIFS(Transaksi!$G$2:$G$2001,Transaksi!$M$2:$M$2001,"="&amp;S555)+SUMIFS(Transaksi!$H$2:$H$2001,Transaksi!$M$2:$M$2001,"="&amp;S555)+SUMIFS(Transaksi!$I$2:$I$2001,Transaksi!$M$2:$M$2001,"="&amp;S555),IF(J555="E",IF(INDEX(Transaksi!$G$2:$G$2001,K555)+INDEX(Transaksi!$H$2:$H$2001,K555)+INDEX(Transaksi!$I$2:$I$2001,K555)=0,"",INDEX(Transaksi!$G$2:$G$2001,K555)+INDEX(Transaksi!$H$2:$H$2001,K555)+INDEX(Transaksi!$I$2:$I$2001,K555)),""))</f>
        <v/>
      </c>
      <c r="F555" s="33">
        <f>IF(J555="H",SUMIFS(Transaksi!$J$2:$J$2001,Transaksi!$M$2:$M$2001,"="&amp;S555),IF(J555="E",IF(INDEX(Transaksi!$J$2:$J$2001,K555)=0,"",INDEX(Transaksi!$J$2:$J$2001,K555)),""))</f>
        <v/>
      </c>
      <c r="G555" s="33">
        <f>IF(J555="H",(SUMIFS(Transaksi!$G$2:$G$2001,Transaksi!$M$2:$M$2001,"&lt;="&amp;S555)+SUMIFS(Transaksi!$H$2:$H$2001,Transaksi!$M$2:$M$2001,"&lt;="&amp;S555)+SUMIFS(Transaksi!$I$2:$I$2001,Transaksi!$M$2:$M$2001,"&lt;="&amp;S555))-(SUMIFS(Transaksi!$J$2:$J$2001,Transaksi!$M$2:$M$2001,"&lt;="&amp;S555)),"")</f>
        <v/>
      </c>
      <c r="I555">
        <f>IF(552&gt;$O$2,"",MATCH(552,$Q$3:$Q$402,1))</f>
        <v/>
      </c>
      <c r="J555">
        <f>IF(I555="","",IF(552=INDEX($Q$3:$Q$402,I555),"H","E"))</f>
        <v/>
      </c>
      <c r="K555">
        <f>IF(J555&lt;&gt;"E","",MATCH(S555,Transaksi!$M$2:$M$2001,0)+552-INDEX($Q$3:$Q$402,I555)-1)</f>
        <v/>
      </c>
      <c r="S555">
        <f>IF(I555="","",INDEX($O$3:$O$402,I555))</f>
        <v/>
      </c>
      <c r="T555">
        <f>IF(J555&lt;&gt;"H","",INDEX(Transaksi!$A$2:$A$2001,MATCH(S555,Transaksi!$M$2:$M$2001,0)))</f>
        <v/>
      </c>
    </row>
    <row r="556">
      <c r="A556" s="31">
        <f>IF(J556="E",IF(INDEX(Transaksi!$J$2:$J$2001,K556)&gt;0,"↑","↓"),"")</f>
        <v/>
      </c>
      <c r="B556" s="32">
        <f>IF(J556="H",CHOOSE(WEEKDAY(T556,2),"Isnin","Selasa","Rabu","Khamis","Jumaat","Sabtu","Ahad")&amp;", "&amp;DAY(T556)&amp;" "&amp;CHOOSE(MONTH(T556),"Jan","Feb","Mac","Apr","Mei","Jun","Jul","Ogo","Sep","Okt","Nov","Dis")&amp;" "&amp;YEAR(T556),IF(J556="E",IF(INDEX(Transaksi!$B$2:$B$2001,K556)="",INDEX(Transaksi!$C$2:$C$2001,K556)&amp;" · "&amp;INDEX(Transaksi!$D$2:$D$2001,K556),INDEX(Transaksi!$B$2:$B$2001,K556)),""))</f>
        <v/>
      </c>
      <c r="C556" s="32">
        <f>IF(J556="E",INDEX(Transaksi!$C$2:$C$2001,K556)&amp;"","")</f>
        <v/>
      </c>
      <c r="D556" s="32">
        <f>IF(J556="E",INDEX(Transaksi!$D$2:$D$2001,K556)&amp;"","")</f>
        <v/>
      </c>
      <c r="E556" s="33">
        <f>IF(J556="H",SUMIFS(Transaksi!$G$2:$G$2001,Transaksi!$M$2:$M$2001,"="&amp;S556)+SUMIFS(Transaksi!$H$2:$H$2001,Transaksi!$M$2:$M$2001,"="&amp;S556)+SUMIFS(Transaksi!$I$2:$I$2001,Transaksi!$M$2:$M$2001,"="&amp;S556),IF(J556="E",IF(INDEX(Transaksi!$G$2:$G$2001,K556)+INDEX(Transaksi!$H$2:$H$2001,K556)+INDEX(Transaksi!$I$2:$I$2001,K556)=0,"",INDEX(Transaksi!$G$2:$G$2001,K556)+INDEX(Transaksi!$H$2:$H$2001,K556)+INDEX(Transaksi!$I$2:$I$2001,K556)),""))</f>
        <v/>
      </c>
      <c r="F556" s="33">
        <f>IF(J556="H",SUMIFS(Transaksi!$J$2:$J$2001,Transaksi!$M$2:$M$2001,"="&amp;S556),IF(J556="E",IF(INDEX(Transaksi!$J$2:$J$2001,K556)=0,"",INDEX(Transaksi!$J$2:$J$2001,K556)),""))</f>
        <v/>
      </c>
      <c r="G556" s="33">
        <f>IF(J556="H",(SUMIFS(Transaksi!$G$2:$G$2001,Transaksi!$M$2:$M$2001,"&lt;="&amp;S556)+SUMIFS(Transaksi!$H$2:$H$2001,Transaksi!$M$2:$M$2001,"&lt;="&amp;S556)+SUMIFS(Transaksi!$I$2:$I$2001,Transaksi!$M$2:$M$2001,"&lt;="&amp;S556))-(SUMIFS(Transaksi!$J$2:$J$2001,Transaksi!$M$2:$M$2001,"&lt;="&amp;S556)),"")</f>
        <v/>
      </c>
      <c r="I556">
        <f>IF(553&gt;$O$2,"",MATCH(553,$Q$3:$Q$402,1))</f>
        <v/>
      </c>
      <c r="J556">
        <f>IF(I556="","",IF(553=INDEX($Q$3:$Q$402,I556),"H","E"))</f>
        <v/>
      </c>
      <c r="K556">
        <f>IF(J556&lt;&gt;"E","",MATCH(S556,Transaksi!$M$2:$M$2001,0)+553-INDEX($Q$3:$Q$402,I556)-1)</f>
        <v/>
      </c>
      <c r="S556">
        <f>IF(I556="","",INDEX($O$3:$O$402,I556))</f>
        <v/>
      </c>
      <c r="T556">
        <f>IF(J556&lt;&gt;"H","",INDEX(Transaksi!$A$2:$A$2001,MATCH(S556,Transaksi!$M$2:$M$2001,0)))</f>
        <v/>
      </c>
    </row>
    <row r="557">
      <c r="A557" s="31">
        <f>IF(J557="E",IF(INDEX(Transaksi!$J$2:$J$2001,K557)&gt;0,"↑","↓"),"")</f>
        <v/>
      </c>
      <c r="B557" s="32">
        <f>IF(J557="H",CHOOSE(WEEKDAY(T557,2),"Isnin","Selasa","Rabu","Khamis","Jumaat","Sabtu","Ahad")&amp;", "&amp;DAY(T557)&amp;" "&amp;CHOOSE(MONTH(T557),"Jan","Feb","Mac","Apr","Mei","Jun","Jul","Ogo","Sep","Okt","Nov","Dis")&amp;" "&amp;YEAR(T557),IF(J557="E",IF(INDEX(Transaksi!$B$2:$B$2001,K557)="",INDEX(Transaksi!$C$2:$C$2001,K557)&amp;" · "&amp;INDEX(Transaksi!$D$2:$D$2001,K557),INDEX(Transaksi!$B$2:$B$2001,K557)),""))</f>
        <v/>
      </c>
      <c r="C557" s="32">
        <f>IF(J557="E",INDEX(Transaksi!$C$2:$C$2001,K557)&amp;"","")</f>
        <v/>
      </c>
      <c r="D557" s="32">
        <f>IF(J557="E",INDEX(Transaksi!$D$2:$D$2001,K557)&amp;"","")</f>
        <v/>
      </c>
      <c r="E557" s="33">
        <f>IF(J557="H",SUMIFS(Transaksi!$G$2:$G$2001,Transaksi!$M$2:$M$2001,"="&amp;S557)+SUMIFS(Transaksi!$H$2:$H$2001,Transaksi!$M$2:$M$2001,"="&amp;S557)+SUMIFS(Transaksi!$I$2:$I$2001,Transaksi!$M$2:$M$2001,"="&amp;S557),IF(J557="E",IF(INDEX(Transaksi!$G$2:$G$2001,K557)+INDEX(Transaksi!$H$2:$H$2001,K557)+INDEX(Transaksi!$I$2:$I$2001,K557)=0,"",INDEX(Transaksi!$G$2:$G$2001,K557)+INDEX(Transaksi!$H$2:$H$2001,K557)+INDEX(Transaksi!$I$2:$I$2001,K557)),""))</f>
        <v/>
      </c>
      <c r="F557" s="33">
        <f>IF(J557="H",SUMIFS(Transaksi!$J$2:$J$2001,Transaksi!$M$2:$M$2001,"="&amp;S557),IF(J557="E",IF(INDEX(Transaksi!$J$2:$J$2001,K557)=0,"",INDEX(Transaksi!$J$2:$J$2001,K557)),""))</f>
        <v/>
      </c>
      <c r="G557" s="33">
        <f>IF(J557="H",(SUMIFS(Transaksi!$G$2:$G$2001,Transaksi!$M$2:$M$2001,"&lt;="&amp;S557)+SUMIFS(Transaksi!$H$2:$H$2001,Transaksi!$M$2:$M$2001,"&lt;="&amp;S557)+SUMIFS(Transaksi!$I$2:$I$2001,Transaksi!$M$2:$M$2001,"&lt;="&amp;S557))-(SUMIFS(Transaksi!$J$2:$J$2001,Transaksi!$M$2:$M$2001,"&lt;="&amp;S557)),"")</f>
        <v/>
      </c>
      <c r="I557">
        <f>IF(554&gt;$O$2,"",MATCH(554,$Q$3:$Q$402,1))</f>
        <v/>
      </c>
      <c r="J557">
        <f>IF(I557="","",IF(554=INDEX($Q$3:$Q$402,I557),"H","E"))</f>
        <v/>
      </c>
      <c r="K557">
        <f>IF(J557&lt;&gt;"E","",MATCH(S557,Transaksi!$M$2:$M$2001,0)+554-INDEX($Q$3:$Q$402,I557)-1)</f>
        <v/>
      </c>
      <c r="S557">
        <f>IF(I557="","",INDEX($O$3:$O$402,I557))</f>
        <v/>
      </c>
      <c r="T557">
        <f>IF(J557&lt;&gt;"H","",INDEX(Transaksi!$A$2:$A$2001,MATCH(S557,Transaksi!$M$2:$M$2001,0)))</f>
        <v/>
      </c>
    </row>
    <row r="558">
      <c r="A558" s="31">
        <f>IF(J558="E",IF(INDEX(Transaksi!$J$2:$J$2001,K558)&gt;0,"↑","↓"),"")</f>
        <v/>
      </c>
      <c r="B558" s="32">
        <f>IF(J558="H",CHOOSE(WEEKDAY(T558,2),"Isnin","Selasa","Rabu","Khamis","Jumaat","Sabtu","Ahad")&amp;", "&amp;DAY(T558)&amp;" "&amp;CHOOSE(MONTH(T558),"Jan","Feb","Mac","Apr","Mei","Jun","Jul","Ogo","Sep","Okt","Nov","Dis")&amp;" "&amp;YEAR(T558),IF(J558="E",IF(INDEX(Transaksi!$B$2:$B$2001,K558)="",INDEX(Transaksi!$C$2:$C$2001,K558)&amp;" · "&amp;INDEX(Transaksi!$D$2:$D$2001,K558),INDEX(Transaksi!$B$2:$B$2001,K558)),""))</f>
        <v/>
      </c>
      <c r="C558" s="32">
        <f>IF(J558="E",INDEX(Transaksi!$C$2:$C$2001,K558)&amp;"","")</f>
        <v/>
      </c>
      <c r="D558" s="32">
        <f>IF(J558="E",INDEX(Transaksi!$D$2:$D$2001,K558)&amp;"","")</f>
        <v/>
      </c>
      <c r="E558" s="33">
        <f>IF(J558="H",SUMIFS(Transaksi!$G$2:$G$2001,Transaksi!$M$2:$M$2001,"="&amp;S558)+SUMIFS(Transaksi!$H$2:$H$2001,Transaksi!$M$2:$M$2001,"="&amp;S558)+SUMIFS(Transaksi!$I$2:$I$2001,Transaksi!$M$2:$M$2001,"="&amp;S558),IF(J558="E",IF(INDEX(Transaksi!$G$2:$G$2001,K558)+INDEX(Transaksi!$H$2:$H$2001,K558)+INDEX(Transaksi!$I$2:$I$2001,K558)=0,"",INDEX(Transaksi!$G$2:$G$2001,K558)+INDEX(Transaksi!$H$2:$H$2001,K558)+INDEX(Transaksi!$I$2:$I$2001,K558)),""))</f>
        <v/>
      </c>
      <c r="F558" s="33">
        <f>IF(J558="H",SUMIFS(Transaksi!$J$2:$J$2001,Transaksi!$M$2:$M$2001,"="&amp;S558),IF(J558="E",IF(INDEX(Transaksi!$J$2:$J$2001,K558)=0,"",INDEX(Transaksi!$J$2:$J$2001,K558)),""))</f>
        <v/>
      </c>
      <c r="G558" s="33">
        <f>IF(J558="H",(SUMIFS(Transaksi!$G$2:$G$2001,Transaksi!$M$2:$M$2001,"&lt;="&amp;S558)+SUMIFS(Transaksi!$H$2:$H$2001,Transaksi!$M$2:$M$2001,"&lt;="&amp;S558)+SUMIFS(Transaksi!$I$2:$I$2001,Transaksi!$M$2:$M$2001,"&lt;="&amp;S558))-(SUMIFS(Transaksi!$J$2:$J$2001,Transaksi!$M$2:$M$2001,"&lt;="&amp;S558)),"")</f>
        <v/>
      </c>
      <c r="I558">
        <f>IF(555&gt;$O$2,"",MATCH(555,$Q$3:$Q$402,1))</f>
        <v/>
      </c>
      <c r="J558">
        <f>IF(I558="","",IF(555=INDEX($Q$3:$Q$402,I558),"H","E"))</f>
        <v/>
      </c>
      <c r="K558">
        <f>IF(J558&lt;&gt;"E","",MATCH(S558,Transaksi!$M$2:$M$2001,0)+555-INDEX($Q$3:$Q$402,I558)-1)</f>
        <v/>
      </c>
      <c r="S558">
        <f>IF(I558="","",INDEX($O$3:$O$402,I558))</f>
        <v/>
      </c>
      <c r="T558">
        <f>IF(J558&lt;&gt;"H","",INDEX(Transaksi!$A$2:$A$2001,MATCH(S558,Transaksi!$M$2:$M$2001,0)))</f>
        <v/>
      </c>
    </row>
    <row r="559">
      <c r="A559" s="31">
        <f>IF(J559="E",IF(INDEX(Transaksi!$J$2:$J$2001,K559)&gt;0,"↑","↓"),"")</f>
        <v/>
      </c>
      <c r="B559" s="32">
        <f>IF(J559="H",CHOOSE(WEEKDAY(T559,2),"Isnin","Selasa","Rabu","Khamis","Jumaat","Sabtu","Ahad")&amp;", "&amp;DAY(T559)&amp;" "&amp;CHOOSE(MONTH(T559),"Jan","Feb","Mac","Apr","Mei","Jun","Jul","Ogo","Sep","Okt","Nov","Dis")&amp;" "&amp;YEAR(T559),IF(J559="E",IF(INDEX(Transaksi!$B$2:$B$2001,K559)="",INDEX(Transaksi!$C$2:$C$2001,K559)&amp;" · "&amp;INDEX(Transaksi!$D$2:$D$2001,K559),INDEX(Transaksi!$B$2:$B$2001,K559)),""))</f>
        <v/>
      </c>
      <c r="C559" s="32">
        <f>IF(J559="E",INDEX(Transaksi!$C$2:$C$2001,K559)&amp;"","")</f>
        <v/>
      </c>
      <c r="D559" s="32">
        <f>IF(J559="E",INDEX(Transaksi!$D$2:$D$2001,K559)&amp;"","")</f>
        <v/>
      </c>
      <c r="E559" s="33">
        <f>IF(J559="H",SUMIFS(Transaksi!$G$2:$G$2001,Transaksi!$M$2:$M$2001,"="&amp;S559)+SUMIFS(Transaksi!$H$2:$H$2001,Transaksi!$M$2:$M$2001,"="&amp;S559)+SUMIFS(Transaksi!$I$2:$I$2001,Transaksi!$M$2:$M$2001,"="&amp;S559),IF(J559="E",IF(INDEX(Transaksi!$G$2:$G$2001,K559)+INDEX(Transaksi!$H$2:$H$2001,K559)+INDEX(Transaksi!$I$2:$I$2001,K559)=0,"",INDEX(Transaksi!$G$2:$G$2001,K559)+INDEX(Transaksi!$H$2:$H$2001,K559)+INDEX(Transaksi!$I$2:$I$2001,K559)),""))</f>
        <v/>
      </c>
      <c r="F559" s="33">
        <f>IF(J559="H",SUMIFS(Transaksi!$J$2:$J$2001,Transaksi!$M$2:$M$2001,"="&amp;S559),IF(J559="E",IF(INDEX(Transaksi!$J$2:$J$2001,K559)=0,"",INDEX(Transaksi!$J$2:$J$2001,K559)),""))</f>
        <v/>
      </c>
      <c r="G559" s="33">
        <f>IF(J559="H",(SUMIFS(Transaksi!$G$2:$G$2001,Transaksi!$M$2:$M$2001,"&lt;="&amp;S559)+SUMIFS(Transaksi!$H$2:$H$2001,Transaksi!$M$2:$M$2001,"&lt;="&amp;S559)+SUMIFS(Transaksi!$I$2:$I$2001,Transaksi!$M$2:$M$2001,"&lt;="&amp;S559))-(SUMIFS(Transaksi!$J$2:$J$2001,Transaksi!$M$2:$M$2001,"&lt;="&amp;S559)),"")</f>
        <v/>
      </c>
      <c r="I559">
        <f>IF(556&gt;$O$2,"",MATCH(556,$Q$3:$Q$402,1))</f>
        <v/>
      </c>
      <c r="J559">
        <f>IF(I559="","",IF(556=INDEX($Q$3:$Q$402,I559),"H","E"))</f>
        <v/>
      </c>
      <c r="K559">
        <f>IF(J559&lt;&gt;"E","",MATCH(S559,Transaksi!$M$2:$M$2001,0)+556-INDEX($Q$3:$Q$402,I559)-1)</f>
        <v/>
      </c>
      <c r="S559">
        <f>IF(I559="","",INDEX($O$3:$O$402,I559))</f>
        <v/>
      </c>
      <c r="T559">
        <f>IF(J559&lt;&gt;"H","",INDEX(Transaksi!$A$2:$A$2001,MATCH(S559,Transaksi!$M$2:$M$2001,0)))</f>
        <v/>
      </c>
    </row>
    <row r="560">
      <c r="A560" s="31">
        <f>IF(J560="E",IF(INDEX(Transaksi!$J$2:$J$2001,K560)&gt;0,"↑","↓"),"")</f>
        <v/>
      </c>
      <c r="B560" s="32">
        <f>IF(J560="H",CHOOSE(WEEKDAY(T560,2),"Isnin","Selasa","Rabu","Khamis","Jumaat","Sabtu","Ahad")&amp;", "&amp;DAY(T560)&amp;" "&amp;CHOOSE(MONTH(T560),"Jan","Feb","Mac","Apr","Mei","Jun","Jul","Ogo","Sep","Okt","Nov","Dis")&amp;" "&amp;YEAR(T560),IF(J560="E",IF(INDEX(Transaksi!$B$2:$B$2001,K560)="",INDEX(Transaksi!$C$2:$C$2001,K560)&amp;" · "&amp;INDEX(Transaksi!$D$2:$D$2001,K560),INDEX(Transaksi!$B$2:$B$2001,K560)),""))</f>
        <v/>
      </c>
      <c r="C560" s="32">
        <f>IF(J560="E",INDEX(Transaksi!$C$2:$C$2001,K560)&amp;"","")</f>
        <v/>
      </c>
      <c r="D560" s="32">
        <f>IF(J560="E",INDEX(Transaksi!$D$2:$D$2001,K560)&amp;"","")</f>
        <v/>
      </c>
      <c r="E560" s="33">
        <f>IF(J560="H",SUMIFS(Transaksi!$G$2:$G$2001,Transaksi!$M$2:$M$2001,"="&amp;S560)+SUMIFS(Transaksi!$H$2:$H$2001,Transaksi!$M$2:$M$2001,"="&amp;S560)+SUMIFS(Transaksi!$I$2:$I$2001,Transaksi!$M$2:$M$2001,"="&amp;S560),IF(J560="E",IF(INDEX(Transaksi!$G$2:$G$2001,K560)+INDEX(Transaksi!$H$2:$H$2001,K560)+INDEX(Transaksi!$I$2:$I$2001,K560)=0,"",INDEX(Transaksi!$G$2:$G$2001,K560)+INDEX(Transaksi!$H$2:$H$2001,K560)+INDEX(Transaksi!$I$2:$I$2001,K560)),""))</f>
        <v/>
      </c>
      <c r="F560" s="33">
        <f>IF(J560="H",SUMIFS(Transaksi!$J$2:$J$2001,Transaksi!$M$2:$M$2001,"="&amp;S560),IF(J560="E",IF(INDEX(Transaksi!$J$2:$J$2001,K560)=0,"",INDEX(Transaksi!$J$2:$J$2001,K560)),""))</f>
        <v/>
      </c>
      <c r="G560" s="33">
        <f>IF(J560="H",(SUMIFS(Transaksi!$G$2:$G$2001,Transaksi!$M$2:$M$2001,"&lt;="&amp;S560)+SUMIFS(Transaksi!$H$2:$H$2001,Transaksi!$M$2:$M$2001,"&lt;="&amp;S560)+SUMIFS(Transaksi!$I$2:$I$2001,Transaksi!$M$2:$M$2001,"&lt;="&amp;S560))-(SUMIFS(Transaksi!$J$2:$J$2001,Transaksi!$M$2:$M$2001,"&lt;="&amp;S560)),"")</f>
        <v/>
      </c>
      <c r="I560">
        <f>IF(557&gt;$O$2,"",MATCH(557,$Q$3:$Q$402,1))</f>
        <v/>
      </c>
      <c r="J560">
        <f>IF(I560="","",IF(557=INDEX($Q$3:$Q$402,I560),"H","E"))</f>
        <v/>
      </c>
      <c r="K560">
        <f>IF(J560&lt;&gt;"E","",MATCH(S560,Transaksi!$M$2:$M$2001,0)+557-INDEX($Q$3:$Q$402,I560)-1)</f>
        <v/>
      </c>
      <c r="S560">
        <f>IF(I560="","",INDEX($O$3:$O$402,I560))</f>
        <v/>
      </c>
      <c r="T560">
        <f>IF(J560&lt;&gt;"H","",INDEX(Transaksi!$A$2:$A$2001,MATCH(S560,Transaksi!$M$2:$M$2001,0)))</f>
        <v/>
      </c>
    </row>
    <row r="561">
      <c r="A561" s="31">
        <f>IF(J561="E",IF(INDEX(Transaksi!$J$2:$J$2001,K561)&gt;0,"↑","↓"),"")</f>
        <v/>
      </c>
      <c r="B561" s="32">
        <f>IF(J561="H",CHOOSE(WEEKDAY(T561,2),"Isnin","Selasa","Rabu","Khamis","Jumaat","Sabtu","Ahad")&amp;", "&amp;DAY(T561)&amp;" "&amp;CHOOSE(MONTH(T561),"Jan","Feb","Mac","Apr","Mei","Jun","Jul","Ogo","Sep","Okt","Nov","Dis")&amp;" "&amp;YEAR(T561),IF(J561="E",IF(INDEX(Transaksi!$B$2:$B$2001,K561)="",INDEX(Transaksi!$C$2:$C$2001,K561)&amp;" · "&amp;INDEX(Transaksi!$D$2:$D$2001,K561),INDEX(Transaksi!$B$2:$B$2001,K561)),""))</f>
        <v/>
      </c>
      <c r="C561" s="32">
        <f>IF(J561="E",INDEX(Transaksi!$C$2:$C$2001,K561)&amp;"","")</f>
        <v/>
      </c>
      <c r="D561" s="32">
        <f>IF(J561="E",INDEX(Transaksi!$D$2:$D$2001,K561)&amp;"","")</f>
        <v/>
      </c>
      <c r="E561" s="33">
        <f>IF(J561="H",SUMIFS(Transaksi!$G$2:$G$2001,Transaksi!$M$2:$M$2001,"="&amp;S561)+SUMIFS(Transaksi!$H$2:$H$2001,Transaksi!$M$2:$M$2001,"="&amp;S561)+SUMIFS(Transaksi!$I$2:$I$2001,Transaksi!$M$2:$M$2001,"="&amp;S561),IF(J561="E",IF(INDEX(Transaksi!$G$2:$G$2001,K561)+INDEX(Transaksi!$H$2:$H$2001,K561)+INDEX(Transaksi!$I$2:$I$2001,K561)=0,"",INDEX(Transaksi!$G$2:$G$2001,K561)+INDEX(Transaksi!$H$2:$H$2001,K561)+INDEX(Transaksi!$I$2:$I$2001,K561)),""))</f>
        <v/>
      </c>
      <c r="F561" s="33">
        <f>IF(J561="H",SUMIFS(Transaksi!$J$2:$J$2001,Transaksi!$M$2:$M$2001,"="&amp;S561),IF(J561="E",IF(INDEX(Transaksi!$J$2:$J$2001,K561)=0,"",INDEX(Transaksi!$J$2:$J$2001,K561)),""))</f>
        <v/>
      </c>
      <c r="G561" s="33">
        <f>IF(J561="H",(SUMIFS(Transaksi!$G$2:$G$2001,Transaksi!$M$2:$M$2001,"&lt;="&amp;S561)+SUMIFS(Transaksi!$H$2:$H$2001,Transaksi!$M$2:$M$2001,"&lt;="&amp;S561)+SUMIFS(Transaksi!$I$2:$I$2001,Transaksi!$M$2:$M$2001,"&lt;="&amp;S561))-(SUMIFS(Transaksi!$J$2:$J$2001,Transaksi!$M$2:$M$2001,"&lt;="&amp;S561)),"")</f>
        <v/>
      </c>
      <c r="I561">
        <f>IF(558&gt;$O$2,"",MATCH(558,$Q$3:$Q$402,1))</f>
        <v/>
      </c>
      <c r="J561">
        <f>IF(I561="","",IF(558=INDEX($Q$3:$Q$402,I561),"H","E"))</f>
        <v/>
      </c>
      <c r="K561">
        <f>IF(J561&lt;&gt;"E","",MATCH(S561,Transaksi!$M$2:$M$2001,0)+558-INDEX($Q$3:$Q$402,I561)-1)</f>
        <v/>
      </c>
      <c r="S561">
        <f>IF(I561="","",INDEX($O$3:$O$402,I561))</f>
        <v/>
      </c>
      <c r="T561">
        <f>IF(J561&lt;&gt;"H","",INDEX(Transaksi!$A$2:$A$2001,MATCH(S561,Transaksi!$M$2:$M$2001,0)))</f>
        <v/>
      </c>
    </row>
    <row r="562">
      <c r="A562" s="31">
        <f>IF(J562="E",IF(INDEX(Transaksi!$J$2:$J$2001,K562)&gt;0,"↑","↓"),"")</f>
        <v/>
      </c>
      <c r="B562" s="32">
        <f>IF(J562="H",CHOOSE(WEEKDAY(T562,2),"Isnin","Selasa","Rabu","Khamis","Jumaat","Sabtu","Ahad")&amp;", "&amp;DAY(T562)&amp;" "&amp;CHOOSE(MONTH(T562),"Jan","Feb","Mac","Apr","Mei","Jun","Jul","Ogo","Sep","Okt","Nov","Dis")&amp;" "&amp;YEAR(T562),IF(J562="E",IF(INDEX(Transaksi!$B$2:$B$2001,K562)="",INDEX(Transaksi!$C$2:$C$2001,K562)&amp;" · "&amp;INDEX(Transaksi!$D$2:$D$2001,K562),INDEX(Transaksi!$B$2:$B$2001,K562)),""))</f>
        <v/>
      </c>
      <c r="C562" s="32">
        <f>IF(J562="E",INDEX(Transaksi!$C$2:$C$2001,K562)&amp;"","")</f>
        <v/>
      </c>
      <c r="D562" s="32">
        <f>IF(J562="E",INDEX(Transaksi!$D$2:$D$2001,K562)&amp;"","")</f>
        <v/>
      </c>
      <c r="E562" s="33">
        <f>IF(J562="H",SUMIFS(Transaksi!$G$2:$G$2001,Transaksi!$M$2:$M$2001,"="&amp;S562)+SUMIFS(Transaksi!$H$2:$H$2001,Transaksi!$M$2:$M$2001,"="&amp;S562)+SUMIFS(Transaksi!$I$2:$I$2001,Transaksi!$M$2:$M$2001,"="&amp;S562),IF(J562="E",IF(INDEX(Transaksi!$G$2:$G$2001,K562)+INDEX(Transaksi!$H$2:$H$2001,K562)+INDEX(Transaksi!$I$2:$I$2001,K562)=0,"",INDEX(Transaksi!$G$2:$G$2001,K562)+INDEX(Transaksi!$H$2:$H$2001,K562)+INDEX(Transaksi!$I$2:$I$2001,K562)),""))</f>
        <v/>
      </c>
      <c r="F562" s="33">
        <f>IF(J562="H",SUMIFS(Transaksi!$J$2:$J$2001,Transaksi!$M$2:$M$2001,"="&amp;S562),IF(J562="E",IF(INDEX(Transaksi!$J$2:$J$2001,K562)=0,"",INDEX(Transaksi!$J$2:$J$2001,K562)),""))</f>
        <v/>
      </c>
      <c r="G562" s="33">
        <f>IF(J562="H",(SUMIFS(Transaksi!$G$2:$G$2001,Transaksi!$M$2:$M$2001,"&lt;="&amp;S562)+SUMIFS(Transaksi!$H$2:$H$2001,Transaksi!$M$2:$M$2001,"&lt;="&amp;S562)+SUMIFS(Transaksi!$I$2:$I$2001,Transaksi!$M$2:$M$2001,"&lt;="&amp;S562))-(SUMIFS(Transaksi!$J$2:$J$2001,Transaksi!$M$2:$M$2001,"&lt;="&amp;S562)),"")</f>
        <v/>
      </c>
      <c r="I562">
        <f>IF(559&gt;$O$2,"",MATCH(559,$Q$3:$Q$402,1))</f>
        <v/>
      </c>
      <c r="J562">
        <f>IF(I562="","",IF(559=INDEX($Q$3:$Q$402,I562),"H","E"))</f>
        <v/>
      </c>
      <c r="K562">
        <f>IF(J562&lt;&gt;"E","",MATCH(S562,Transaksi!$M$2:$M$2001,0)+559-INDEX($Q$3:$Q$402,I562)-1)</f>
        <v/>
      </c>
      <c r="S562">
        <f>IF(I562="","",INDEX($O$3:$O$402,I562))</f>
        <v/>
      </c>
      <c r="T562">
        <f>IF(J562&lt;&gt;"H","",INDEX(Transaksi!$A$2:$A$2001,MATCH(S562,Transaksi!$M$2:$M$2001,0)))</f>
        <v/>
      </c>
    </row>
    <row r="563">
      <c r="A563" s="31">
        <f>IF(J563="E",IF(INDEX(Transaksi!$J$2:$J$2001,K563)&gt;0,"↑","↓"),"")</f>
        <v/>
      </c>
      <c r="B563" s="32">
        <f>IF(J563="H",CHOOSE(WEEKDAY(T563,2),"Isnin","Selasa","Rabu","Khamis","Jumaat","Sabtu","Ahad")&amp;", "&amp;DAY(T563)&amp;" "&amp;CHOOSE(MONTH(T563),"Jan","Feb","Mac","Apr","Mei","Jun","Jul","Ogo","Sep","Okt","Nov","Dis")&amp;" "&amp;YEAR(T563),IF(J563="E",IF(INDEX(Transaksi!$B$2:$B$2001,K563)="",INDEX(Transaksi!$C$2:$C$2001,K563)&amp;" · "&amp;INDEX(Transaksi!$D$2:$D$2001,K563),INDEX(Transaksi!$B$2:$B$2001,K563)),""))</f>
        <v/>
      </c>
      <c r="C563" s="32">
        <f>IF(J563="E",INDEX(Transaksi!$C$2:$C$2001,K563)&amp;"","")</f>
        <v/>
      </c>
      <c r="D563" s="32">
        <f>IF(J563="E",INDEX(Transaksi!$D$2:$D$2001,K563)&amp;"","")</f>
        <v/>
      </c>
      <c r="E563" s="33">
        <f>IF(J563="H",SUMIFS(Transaksi!$G$2:$G$2001,Transaksi!$M$2:$M$2001,"="&amp;S563)+SUMIFS(Transaksi!$H$2:$H$2001,Transaksi!$M$2:$M$2001,"="&amp;S563)+SUMIFS(Transaksi!$I$2:$I$2001,Transaksi!$M$2:$M$2001,"="&amp;S563),IF(J563="E",IF(INDEX(Transaksi!$G$2:$G$2001,K563)+INDEX(Transaksi!$H$2:$H$2001,K563)+INDEX(Transaksi!$I$2:$I$2001,K563)=0,"",INDEX(Transaksi!$G$2:$G$2001,K563)+INDEX(Transaksi!$H$2:$H$2001,K563)+INDEX(Transaksi!$I$2:$I$2001,K563)),""))</f>
        <v/>
      </c>
      <c r="F563" s="33">
        <f>IF(J563="H",SUMIFS(Transaksi!$J$2:$J$2001,Transaksi!$M$2:$M$2001,"="&amp;S563),IF(J563="E",IF(INDEX(Transaksi!$J$2:$J$2001,K563)=0,"",INDEX(Transaksi!$J$2:$J$2001,K563)),""))</f>
        <v/>
      </c>
      <c r="G563" s="33">
        <f>IF(J563="H",(SUMIFS(Transaksi!$G$2:$G$2001,Transaksi!$M$2:$M$2001,"&lt;="&amp;S563)+SUMIFS(Transaksi!$H$2:$H$2001,Transaksi!$M$2:$M$2001,"&lt;="&amp;S563)+SUMIFS(Transaksi!$I$2:$I$2001,Transaksi!$M$2:$M$2001,"&lt;="&amp;S563))-(SUMIFS(Transaksi!$J$2:$J$2001,Transaksi!$M$2:$M$2001,"&lt;="&amp;S563)),"")</f>
        <v/>
      </c>
      <c r="I563">
        <f>IF(560&gt;$O$2,"",MATCH(560,$Q$3:$Q$402,1))</f>
        <v/>
      </c>
      <c r="J563">
        <f>IF(I563="","",IF(560=INDEX($Q$3:$Q$402,I563),"H","E"))</f>
        <v/>
      </c>
      <c r="K563">
        <f>IF(J563&lt;&gt;"E","",MATCH(S563,Transaksi!$M$2:$M$2001,0)+560-INDEX($Q$3:$Q$402,I563)-1)</f>
        <v/>
      </c>
      <c r="S563">
        <f>IF(I563="","",INDEX($O$3:$O$402,I563))</f>
        <v/>
      </c>
      <c r="T563">
        <f>IF(J563&lt;&gt;"H","",INDEX(Transaksi!$A$2:$A$2001,MATCH(S563,Transaksi!$M$2:$M$2001,0)))</f>
        <v/>
      </c>
    </row>
    <row r="564">
      <c r="A564" s="31">
        <f>IF(J564="E",IF(INDEX(Transaksi!$J$2:$J$2001,K564)&gt;0,"↑","↓"),"")</f>
        <v/>
      </c>
      <c r="B564" s="32">
        <f>IF(J564="H",CHOOSE(WEEKDAY(T564,2),"Isnin","Selasa","Rabu","Khamis","Jumaat","Sabtu","Ahad")&amp;", "&amp;DAY(T564)&amp;" "&amp;CHOOSE(MONTH(T564),"Jan","Feb","Mac","Apr","Mei","Jun","Jul","Ogo","Sep","Okt","Nov","Dis")&amp;" "&amp;YEAR(T564),IF(J564="E",IF(INDEX(Transaksi!$B$2:$B$2001,K564)="",INDEX(Transaksi!$C$2:$C$2001,K564)&amp;" · "&amp;INDEX(Transaksi!$D$2:$D$2001,K564),INDEX(Transaksi!$B$2:$B$2001,K564)),""))</f>
        <v/>
      </c>
      <c r="C564" s="32">
        <f>IF(J564="E",INDEX(Transaksi!$C$2:$C$2001,K564)&amp;"","")</f>
        <v/>
      </c>
      <c r="D564" s="32">
        <f>IF(J564="E",INDEX(Transaksi!$D$2:$D$2001,K564)&amp;"","")</f>
        <v/>
      </c>
      <c r="E564" s="33">
        <f>IF(J564="H",SUMIFS(Transaksi!$G$2:$G$2001,Transaksi!$M$2:$M$2001,"="&amp;S564)+SUMIFS(Transaksi!$H$2:$H$2001,Transaksi!$M$2:$M$2001,"="&amp;S564)+SUMIFS(Transaksi!$I$2:$I$2001,Transaksi!$M$2:$M$2001,"="&amp;S564),IF(J564="E",IF(INDEX(Transaksi!$G$2:$G$2001,K564)+INDEX(Transaksi!$H$2:$H$2001,K564)+INDEX(Transaksi!$I$2:$I$2001,K564)=0,"",INDEX(Transaksi!$G$2:$G$2001,K564)+INDEX(Transaksi!$H$2:$H$2001,K564)+INDEX(Transaksi!$I$2:$I$2001,K564)),""))</f>
        <v/>
      </c>
      <c r="F564" s="33">
        <f>IF(J564="H",SUMIFS(Transaksi!$J$2:$J$2001,Transaksi!$M$2:$M$2001,"="&amp;S564),IF(J564="E",IF(INDEX(Transaksi!$J$2:$J$2001,K564)=0,"",INDEX(Transaksi!$J$2:$J$2001,K564)),""))</f>
        <v/>
      </c>
      <c r="G564" s="33">
        <f>IF(J564="H",(SUMIFS(Transaksi!$G$2:$G$2001,Transaksi!$M$2:$M$2001,"&lt;="&amp;S564)+SUMIFS(Transaksi!$H$2:$H$2001,Transaksi!$M$2:$M$2001,"&lt;="&amp;S564)+SUMIFS(Transaksi!$I$2:$I$2001,Transaksi!$M$2:$M$2001,"&lt;="&amp;S564))-(SUMIFS(Transaksi!$J$2:$J$2001,Transaksi!$M$2:$M$2001,"&lt;="&amp;S564)),"")</f>
        <v/>
      </c>
      <c r="I564">
        <f>IF(561&gt;$O$2,"",MATCH(561,$Q$3:$Q$402,1))</f>
        <v/>
      </c>
      <c r="J564">
        <f>IF(I564="","",IF(561=INDEX($Q$3:$Q$402,I564),"H","E"))</f>
        <v/>
      </c>
      <c r="K564">
        <f>IF(J564&lt;&gt;"E","",MATCH(S564,Transaksi!$M$2:$M$2001,0)+561-INDEX($Q$3:$Q$402,I564)-1)</f>
        <v/>
      </c>
      <c r="S564">
        <f>IF(I564="","",INDEX($O$3:$O$402,I564))</f>
        <v/>
      </c>
      <c r="T564">
        <f>IF(J564&lt;&gt;"H","",INDEX(Transaksi!$A$2:$A$2001,MATCH(S564,Transaksi!$M$2:$M$2001,0)))</f>
        <v/>
      </c>
    </row>
    <row r="565">
      <c r="A565" s="31">
        <f>IF(J565="E",IF(INDEX(Transaksi!$J$2:$J$2001,K565)&gt;0,"↑","↓"),"")</f>
        <v/>
      </c>
      <c r="B565" s="32">
        <f>IF(J565="H",CHOOSE(WEEKDAY(T565,2),"Isnin","Selasa","Rabu","Khamis","Jumaat","Sabtu","Ahad")&amp;", "&amp;DAY(T565)&amp;" "&amp;CHOOSE(MONTH(T565),"Jan","Feb","Mac","Apr","Mei","Jun","Jul","Ogo","Sep","Okt","Nov","Dis")&amp;" "&amp;YEAR(T565),IF(J565="E",IF(INDEX(Transaksi!$B$2:$B$2001,K565)="",INDEX(Transaksi!$C$2:$C$2001,K565)&amp;" · "&amp;INDEX(Transaksi!$D$2:$D$2001,K565),INDEX(Transaksi!$B$2:$B$2001,K565)),""))</f>
        <v/>
      </c>
      <c r="C565" s="32">
        <f>IF(J565="E",INDEX(Transaksi!$C$2:$C$2001,K565)&amp;"","")</f>
        <v/>
      </c>
      <c r="D565" s="32">
        <f>IF(J565="E",INDEX(Transaksi!$D$2:$D$2001,K565)&amp;"","")</f>
        <v/>
      </c>
      <c r="E565" s="33">
        <f>IF(J565="H",SUMIFS(Transaksi!$G$2:$G$2001,Transaksi!$M$2:$M$2001,"="&amp;S565)+SUMIFS(Transaksi!$H$2:$H$2001,Transaksi!$M$2:$M$2001,"="&amp;S565)+SUMIFS(Transaksi!$I$2:$I$2001,Transaksi!$M$2:$M$2001,"="&amp;S565),IF(J565="E",IF(INDEX(Transaksi!$G$2:$G$2001,K565)+INDEX(Transaksi!$H$2:$H$2001,K565)+INDEX(Transaksi!$I$2:$I$2001,K565)=0,"",INDEX(Transaksi!$G$2:$G$2001,K565)+INDEX(Transaksi!$H$2:$H$2001,K565)+INDEX(Transaksi!$I$2:$I$2001,K565)),""))</f>
        <v/>
      </c>
      <c r="F565" s="33">
        <f>IF(J565="H",SUMIFS(Transaksi!$J$2:$J$2001,Transaksi!$M$2:$M$2001,"="&amp;S565),IF(J565="E",IF(INDEX(Transaksi!$J$2:$J$2001,K565)=0,"",INDEX(Transaksi!$J$2:$J$2001,K565)),""))</f>
        <v/>
      </c>
      <c r="G565" s="33">
        <f>IF(J565="H",(SUMIFS(Transaksi!$G$2:$G$2001,Transaksi!$M$2:$M$2001,"&lt;="&amp;S565)+SUMIFS(Transaksi!$H$2:$H$2001,Transaksi!$M$2:$M$2001,"&lt;="&amp;S565)+SUMIFS(Transaksi!$I$2:$I$2001,Transaksi!$M$2:$M$2001,"&lt;="&amp;S565))-(SUMIFS(Transaksi!$J$2:$J$2001,Transaksi!$M$2:$M$2001,"&lt;="&amp;S565)),"")</f>
        <v/>
      </c>
      <c r="I565">
        <f>IF(562&gt;$O$2,"",MATCH(562,$Q$3:$Q$402,1))</f>
        <v/>
      </c>
      <c r="J565">
        <f>IF(I565="","",IF(562=INDEX($Q$3:$Q$402,I565),"H","E"))</f>
        <v/>
      </c>
      <c r="K565">
        <f>IF(J565&lt;&gt;"E","",MATCH(S565,Transaksi!$M$2:$M$2001,0)+562-INDEX($Q$3:$Q$402,I565)-1)</f>
        <v/>
      </c>
      <c r="S565">
        <f>IF(I565="","",INDEX($O$3:$O$402,I565))</f>
        <v/>
      </c>
      <c r="T565">
        <f>IF(J565&lt;&gt;"H","",INDEX(Transaksi!$A$2:$A$2001,MATCH(S565,Transaksi!$M$2:$M$2001,0)))</f>
        <v/>
      </c>
    </row>
    <row r="566">
      <c r="A566" s="31">
        <f>IF(J566="E",IF(INDEX(Transaksi!$J$2:$J$2001,K566)&gt;0,"↑","↓"),"")</f>
        <v/>
      </c>
      <c r="B566" s="32">
        <f>IF(J566="H",CHOOSE(WEEKDAY(T566,2),"Isnin","Selasa","Rabu","Khamis","Jumaat","Sabtu","Ahad")&amp;", "&amp;DAY(T566)&amp;" "&amp;CHOOSE(MONTH(T566),"Jan","Feb","Mac","Apr","Mei","Jun","Jul","Ogo","Sep","Okt","Nov","Dis")&amp;" "&amp;YEAR(T566),IF(J566="E",IF(INDEX(Transaksi!$B$2:$B$2001,K566)="",INDEX(Transaksi!$C$2:$C$2001,K566)&amp;" · "&amp;INDEX(Transaksi!$D$2:$D$2001,K566),INDEX(Transaksi!$B$2:$B$2001,K566)),""))</f>
        <v/>
      </c>
      <c r="C566" s="32">
        <f>IF(J566="E",INDEX(Transaksi!$C$2:$C$2001,K566)&amp;"","")</f>
        <v/>
      </c>
      <c r="D566" s="32">
        <f>IF(J566="E",INDEX(Transaksi!$D$2:$D$2001,K566)&amp;"","")</f>
        <v/>
      </c>
      <c r="E566" s="33">
        <f>IF(J566="H",SUMIFS(Transaksi!$G$2:$G$2001,Transaksi!$M$2:$M$2001,"="&amp;S566)+SUMIFS(Transaksi!$H$2:$H$2001,Transaksi!$M$2:$M$2001,"="&amp;S566)+SUMIFS(Transaksi!$I$2:$I$2001,Transaksi!$M$2:$M$2001,"="&amp;S566),IF(J566="E",IF(INDEX(Transaksi!$G$2:$G$2001,K566)+INDEX(Transaksi!$H$2:$H$2001,K566)+INDEX(Transaksi!$I$2:$I$2001,K566)=0,"",INDEX(Transaksi!$G$2:$G$2001,K566)+INDEX(Transaksi!$H$2:$H$2001,K566)+INDEX(Transaksi!$I$2:$I$2001,K566)),""))</f>
        <v/>
      </c>
      <c r="F566" s="33">
        <f>IF(J566="H",SUMIFS(Transaksi!$J$2:$J$2001,Transaksi!$M$2:$M$2001,"="&amp;S566),IF(J566="E",IF(INDEX(Transaksi!$J$2:$J$2001,K566)=0,"",INDEX(Transaksi!$J$2:$J$2001,K566)),""))</f>
        <v/>
      </c>
      <c r="G566" s="33">
        <f>IF(J566="H",(SUMIFS(Transaksi!$G$2:$G$2001,Transaksi!$M$2:$M$2001,"&lt;="&amp;S566)+SUMIFS(Transaksi!$H$2:$H$2001,Transaksi!$M$2:$M$2001,"&lt;="&amp;S566)+SUMIFS(Transaksi!$I$2:$I$2001,Transaksi!$M$2:$M$2001,"&lt;="&amp;S566))-(SUMIFS(Transaksi!$J$2:$J$2001,Transaksi!$M$2:$M$2001,"&lt;="&amp;S566)),"")</f>
        <v/>
      </c>
      <c r="I566">
        <f>IF(563&gt;$O$2,"",MATCH(563,$Q$3:$Q$402,1))</f>
        <v/>
      </c>
      <c r="J566">
        <f>IF(I566="","",IF(563=INDEX($Q$3:$Q$402,I566),"H","E"))</f>
        <v/>
      </c>
      <c r="K566">
        <f>IF(J566&lt;&gt;"E","",MATCH(S566,Transaksi!$M$2:$M$2001,0)+563-INDEX($Q$3:$Q$402,I566)-1)</f>
        <v/>
      </c>
      <c r="S566">
        <f>IF(I566="","",INDEX($O$3:$O$402,I566))</f>
        <v/>
      </c>
      <c r="T566">
        <f>IF(J566&lt;&gt;"H","",INDEX(Transaksi!$A$2:$A$2001,MATCH(S566,Transaksi!$M$2:$M$2001,0)))</f>
        <v/>
      </c>
    </row>
    <row r="567">
      <c r="A567" s="31">
        <f>IF(J567="E",IF(INDEX(Transaksi!$J$2:$J$2001,K567)&gt;0,"↑","↓"),"")</f>
        <v/>
      </c>
      <c r="B567" s="32">
        <f>IF(J567="H",CHOOSE(WEEKDAY(T567,2),"Isnin","Selasa","Rabu","Khamis","Jumaat","Sabtu","Ahad")&amp;", "&amp;DAY(T567)&amp;" "&amp;CHOOSE(MONTH(T567),"Jan","Feb","Mac","Apr","Mei","Jun","Jul","Ogo","Sep","Okt","Nov","Dis")&amp;" "&amp;YEAR(T567),IF(J567="E",IF(INDEX(Transaksi!$B$2:$B$2001,K567)="",INDEX(Transaksi!$C$2:$C$2001,K567)&amp;" · "&amp;INDEX(Transaksi!$D$2:$D$2001,K567),INDEX(Transaksi!$B$2:$B$2001,K567)),""))</f>
        <v/>
      </c>
      <c r="C567" s="32">
        <f>IF(J567="E",INDEX(Transaksi!$C$2:$C$2001,K567)&amp;"","")</f>
        <v/>
      </c>
      <c r="D567" s="32">
        <f>IF(J567="E",INDEX(Transaksi!$D$2:$D$2001,K567)&amp;"","")</f>
        <v/>
      </c>
      <c r="E567" s="33">
        <f>IF(J567="H",SUMIFS(Transaksi!$G$2:$G$2001,Transaksi!$M$2:$M$2001,"="&amp;S567)+SUMIFS(Transaksi!$H$2:$H$2001,Transaksi!$M$2:$M$2001,"="&amp;S567)+SUMIFS(Transaksi!$I$2:$I$2001,Transaksi!$M$2:$M$2001,"="&amp;S567),IF(J567="E",IF(INDEX(Transaksi!$G$2:$G$2001,K567)+INDEX(Transaksi!$H$2:$H$2001,K567)+INDEX(Transaksi!$I$2:$I$2001,K567)=0,"",INDEX(Transaksi!$G$2:$G$2001,K567)+INDEX(Transaksi!$H$2:$H$2001,K567)+INDEX(Transaksi!$I$2:$I$2001,K567)),""))</f>
        <v/>
      </c>
      <c r="F567" s="33">
        <f>IF(J567="H",SUMIFS(Transaksi!$J$2:$J$2001,Transaksi!$M$2:$M$2001,"="&amp;S567),IF(J567="E",IF(INDEX(Transaksi!$J$2:$J$2001,K567)=0,"",INDEX(Transaksi!$J$2:$J$2001,K567)),""))</f>
        <v/>
      </c>
      <c r="G567" s="33">
        <f>IF(J567="H",(SUMIFS(Transaksi!$G$2:$G$2001,Transaksi!$M$2:$M$2001,"&lt;="&amp;S567)+SUMIFS(Transaksi!$H$2:$H$2001,Transaksi!$M$2:$M$2001,"&lt;="&amp;S567)+SUMIFS(Transaksi!$I$2:$I$2001,Transaksi!$M$2:$M$2001,"&lt;="&amp;S567))-(SUMIFS(Transaksi!$J$2:$J$2001,Transaksi!$M$2:$M$2001,"&lt;="&amp;S567)),"")</f>
        <v/>
      </c>
      <c r="I567">
        <f>IF(564&gt;$O$2,"",MATCH(564,$Q$3:$Q$402,1))</f>
        <v/>
      </c>
      <c r="J567">
        <f>IF(I567="","",IF(564=INDEX($Q$3:$Q$402,I567),"H","E"))</f>
        <v/>
      </c>
      <c r="K567">
        <f>IF(J567&lt;&gt;"E","",MATCH(S567,Transaksi!$M$2:$M$2001,0)+564-INDEX($Q$3:$Q$402,I567)-1)</f>
        <v/>
      </c>
      <c r="S567">
        <f>IF(I567="","",INDEX($O$3:$O$402,I567))</f>
        <v/>
      </c>
      <c r="T567">
        <f>IF(J567&lt;&gt;"H","",INDEX(Transaksi!$A$2:$A$2001,MATCH(S567,Transaksi!$M$2:$M$2001,0)))</f>
        <v/>
      </c>
    </row>
    <row r="568">
      <c r="A568" s="31">
        <f>IF(J568="E",IF(INDEX(Transaksi!$J$2:$J$2001,K568)&gt;0,"↑","↓"),"")</f>
        <v/>
      </c>
      <c r="B568" s="32">
        <f>IF(J568="H",CHOOSE(WEEKDAY(T568,2),"Isnin","Selasa","Rabu","Khamis","Jumaat","Sabtu","Ahad")&amp;", "&amp;DAY(T568)&amp;" "&amp;CHOOSE(MONTH(T568),"Jan","Feb","Mac","Apr","Mei","Jun","Jul","Ogo","Sep","Okt","Nov","Dis")&amp;" "&amp;YEAR(T568),IF(J568="E",IF(INDEX(Transaksi!$B$2:$B$2001,K568)="",INDEX(Transaksi!$C$2:$C$2001,K568)&amp;" · "&amp;INDEX(Transaksi!$D$2:$D$2001,K568),INDEX(Transaksi!$B$2:$B$2001,K568)),""))</f>
        <v/>
      </c>
      <c r="C568" s="32">
        <f>IF(J568="E",INDEX(Transaksi!$C$2:$C$2001,K568)&amp;"","")</f>
        <v/>
      </c>
      <c r="D568" s="32">
        <f>IF(J568="E",INDEX(Transaksi!$D$2:$D$2001,K568)&amp;"","")</f>
        <v/>
      </c>
      <c r="E568" s="33">
        <f>IF(J568="H",SUMIFS(Transaksi!$G$2:$G$2001,Transaksi!$M$2:$M$2001,"="&amp;S568)+SUMIFS(Transaksi!$H$2:$H$2001,Transaksi!$M$2:$M$2001,"="&amp;S568)+SUMIFS(Transaksi!$I$2:$I$2001,Transaksi!$M$2:$M$2001,"="&amp;S568),IF(J568="E",IF(INDEX(Transaksi!$G$2:$G$2001,K568)+INDEX(Transaksi!$H$2:$H$2001,K568)+INDEX(Transaksi!$I$2:$I$2001,K568)=0,"",INDEX(Transaksi!$G$2:$G$2001,K568)+INDEX(Transaksi!$H$2:$H$2001,K568)+INDEX(Transaksi!$I$2:$I$2001,K568)),""))</f>
        <v/>
      </c>
      <c r="F568" s="33">
        <f>IF(J568="H",SUMIFS(Transaksi!$J$2:$J$2001,Transaksi!$M$2:$M$2001,"="&amp;S568),IF(J568="E",IF(INDEX(Transaksi!$J$2:$J$2001,K568)=0,"",INDEX(Transaksi!$J$2:$J$2001,K568)),""))</f>
        <v/>
      </c>
      <c r="G568" s="33">
        <f>IF(J568="H",(SUMIFS(Transaksi!$G$2:$G$2001,Transaksi!$M$2:$M$2001,"&lt;="&amp;S568)+SUMIFS(Transaksi!$H$2:$H$2001,Transaksi!$M$2:$M$2001,"&lt;="&amp;S568)+SUMIFS(Transaksi!$I$2:$I$2001,Transaksi!$M$2:$M$2001,"&lt;="&amp;S568))-(SUMIFS(Transaksi!$J$2:$J$2001,Transaksi!$M$2:$M$2001,"&lt;="&amp;S568)),"")</f>
        <v/>
      </c>
      <c r="I568">
        <f>IF(565&gt;$O$2,"",MATCH(565,$Q$3:$Q$402,1))</f>
        <v/>
      </c>
      <c r="J568">
        <f>IF(I568="","",IF(565=INDEX($Q$3:$Q$402,I568),"H","E"))</f>
        <v/>
      </c>
      <c r="K568">
        <f>IF(J568&lt;&gt;"E","",MATCH(S568,Transaksi!$M$2:$M$2001,0)+565-INDEX($Q$3:$Q$402,I568)-1)</f>
        <v/>
      </c>
      <c r="S568">
        <f>IF(I568="","",INDEX($O$3:$O$402,I568))</f>
        <v/>
      </c>
      <c r="T568">
        <f>IF(J568&lt;&gt;"H","",INDEX(Transaksi!$A$2:$A$2001,MATCH(S568,Transaksi!$M$2:$M$2001,0)))</f>
        <v/>
      </c>
    </row>
    <row r="569">
      <c r="A569" s="31">
        <f>IF(J569="E",IF(INDEX(Transaksi!$J$2:$J$2001,K569)&gt;0,"↑","↓"),"")</f>
        <v/>
      </c>
      <c r="B569" s="32">
        <f>IF(J569="H",CHOOSE(WEEKDAY(T569,2),"Isnin","Selasa","Rabu","Khamis","Jumaat","Sabtu","Ahad")&amp;", "&amp;DAY(T569)&amp;" "&amp;CHOOSE(MONTH(T569),"Jan","Feb","Mac","Apr","Mei","Jun","Jul","Ogo","Sep","Okt","Nov","Dis")&amp;" "&amp;YEAR(T569),IF(J569="E",IF(INDEX(Transaksi!$B$2:$B$2001,K569)="",INDEX(Transaksi!$C$2:$C$2001,K569)&amp;" · "&amp;INDEX(Transaksi!$D$2:$D$2001,K569),INDEX(Transaksi!$B$2:$B$2001,K569)),""))</f>
        <v/>
      </c>
      <c r="C569" s="32">
        <f>IF(J569="E",INDEX(Transaksi!$C$2:$C$2001,K569)&amp;"","")</f>
        <v/>
      </c>
      <c r="D569" s="32">
        <f>IF(J569="E",INDEX(Transaksi!$D$2:$D$2001,K569)&amp;"","")</f>
        <v/>
      </c>
      <c r="E569" s="33">
        <f>IF(J569="H",SUMIFS(Transaksi!$G$2:$G$2001,Transaksi!$M$2:$M$2001,"="&amp;S569)+SUMIFS(Transaksi!$H$2:$H$2001,Transaksi!$M$2:$M$2001,"="&amp;S569)+SUMIFS(Transaksi!$I$2:$I$2001,Transaksi!$M$2:$M$2001,"="&amp;S569),IF(J569="E",IF(INDEX(Transaksi!$G$2:$G$2001,K569)+INDEX(Transaksi!$H$2:$H$2001,K569)+INDEX(Transaksi!$I$2:$I$2001,K569)=0,"",INDEX(Transaksi!$G$2:$G$2001,K569)+INDEX(Transaksi!$H$2:$H$2001,K569)+INDEX(Transaksi!$I$2:$I$2001,K569)),""))</f>
        <v/>
      </c>
      <c r="F569" s="33">
        <f>IF(J569="H",SUMIFS(Transaksi!$J$2:$J$2001,Transaksi!$M$2:$M$2001,"="&amp;S569),IF(J569="E",IF(INDEX(Transaksi!$J$2:$J$2001,K569)=0,"",INDEX(Transaksi!$J$2:$J$2001,K569)),""))</f>
        <v/>
      </c>
      <c r="G569" s="33">
        <f>IF(J569="H",(SUMIFS(Transaksi!$G$2:$G$2001,Transaksi!$M$2:$M$2001,"&lt;="&amp;S569)+SUMIFS(Transaksi!$H$2:$H$2001,Transaksi!$M$2:$M$2001,"&lt;="&amp;S569)+SUMIFS(Transaksi!$I$2:$I$2001,Transaksi!$M$2:$M$2001,"&lt;="&amp;S569))-(SUMIFS(Transaksi!$J$2:$J$2001,Transaksi!$M$2:$M$2001,"&lt;="&amp;S569)),"")</f>
        <v/>
      </c>
      <c r="I569">
        <f>IF(566&gt;$O$2,"",MATCH(566,$Q$3:$Q$402,1))</f>
        <v/>
      </c>
      <c r="J569">
        <f>IF(I569="","",IF(566=INDEX($Q$3:$Q$402,I569),"H","E"))</f>
        <v/>
      </c>
      <c r="K569">
        <f>IF(J569&lt;&gt;"E","",MATCH(S569,Transaksi!$M$2:$M$2001,0)+566-INDEX($Q$3:$Q$402,I569)-1)</f>
        <v/>
      </c>
      <c r="S569">
        <f>IF(I569="","",INDEX($O$3:$O$402,I569))</f>
        <v/>
      </c>
      <c r="T569">
        <f>IF(J569&lt;&gt;"H","",INDEX(Transaksi!$A$2:$A$2001,MATCH(S569,Transaksi!$M$2:$M$2001,0)))</f>
        <v/>
      </c>
    </row>
    <row r="570">
      <c r="A570" s="31">
        <f>IF(J570="E",IF(INDEX(Transaksi!$J$2:$J$2001,K570)&gt;0,"↑","↓"),"")</f>
        <v/>
      </c>
      <c r="B570" s="32">
        <f>IF(J570="H",CHOOSE(WEEKDAY(T570,2),"Isnin","Selasa","Rabu","Khamis","Jumaat","Sabtu","Ahad")&amp;", "&amp;DAY(T570)&amp;" "&amp;CHOOSE(MONTH(T570),"Jan","Feb","Mac","Apr","Mei","Jun","Jul","Ogo","Sep","Okt","Nov","Dis")&amp;" "&amp;YEAR(T570),IF(J570="E",IF(INDEX(Transaksi!$B$2:$B$2001,K570)="",INDEX(Transaksi!$C$2:$C$2001,K570)&amp;" · "&amp;INDEX(Transaksi!$D$2:$D$2001,K570),INDEX(Transaksi!$B$2:$B$2001,K570)),""))</f>
        <v/>
      </c>
      <c r="C570" s="32">
        <f>IF(J570="E",INDEX(Transaksi!$C$2:$C$2001,K570)&amp;"","")</f>
        <v/>
      </c>
      <c r="D570" s="32">
        <f>IF(J570="E",INDEX(Transaksi!$D$2:$D$2001,K570)&amp;"","")</f>
        <v/>
      </c>
      <c r="E570" s="33">
        <f>IF(J570="H",SUMIFS(Transaksi!$G$2:$G$2001,Transaksi!$M$2:$M$2001,"="&amp;S570)+SUMIFS(Transaksi!$H$2:$H$2001,Transaksi!$M$2:$M$2001,"="&amp;S570)+SUMIFS(Transaksi!$I$2:$I$2001,Transaksi!$M$2:$M$2001,"="&amp;S570),IF(J570="E",IF(INDEX(Transaksi!$G$2:$G$2001,K570)+INDEX(Transaksi!$H$2:$H$2001,K570)+INDEX(Transaksi!$I$2:$I$2001,K570)=0,"",INDEX(Transaksi!$G$2:$G$2001,K570)+INDEX(Transaksi!$H$2:$H$2001,K570)+INDEX(Transaksi!$I$2:$I$2001,K570)),""))</f>
        <v/>
      </c>
      <c r="F570" s="33">
        <f>IF(J570="H",SUMIFS(Transaksi!$J$2:$J$2001,Transaksi!$M$2:$M$2001,"="&amp;S570),IF(J570="E",IF(INDEX(Transaksi!$J$2:$J$2001,K570)=0,"",INDEX(Transaksi!$J$2:$J$2001,K570)),""))</f>
        <v/>
      </c>
      <c r="G570" s="33">
        <f>IF(J570="H",(SUMIFS(Transaksi!$G$2:$G$2001,Transaksi!$M$2:$M$2001,"&lt;="&amp;S570)+SUMIFS(Transaksi!$H$2:$H$2001,Transaksi!$M$2:$M$2001,"&lt;="&amp;S570)+SUMIFS(Transaksi!$I$2:$I$2001,Transaksi!$M$2:$M$2001,"&lt;="&amp;S570))-(SUMIFS(Transaksi!$J$2:$J$2001,Transaksi!$M$2:$M$2001,"&lt;="&amp;S570)),"")</f>
        <v/>
      </c>
      <c r="I570">
        <f>IF(567&gt;$O$2,"",MATCH(567,$Q$3:$Q$402,1))</f>
        <v/>
      </c>
      <c r="J570">
        <f>IF(I570="","",IF(567=INDEX($Q$3:$Q$402,I570),"H","E"))</f>
        <v/>
      </c>
      <c r="K570">
        <f>IF(J570&lt;&gt;"E","",MATCH(S570,Transaksi!$M$2:$M$2001,0)+567-INDEX($Q$3:$Q$402,I570)-1)</f>
        <v/>
      </c>
      <c r="S570">
        <f>IF(I570="","",INDEX($O$3:$O$402,I570))</f>
        <v/>
      </c>
      <c r="T570">
        <f>IF(J570&lt;&gt;"H","",INDEX(Transaksi!$A$2:$A$2001,MATCH(S570,Transaksi!$M$2:$M$2001,0)))</f>
        <v/>
      </c>
    </row>
    <row r="571">
      <c r="A571" s="31">
        <f>IF(J571="E",IF(INDEX(Transaksi!$J$2:$J$2001,K571)&gt;0,"↑","↓"),"")</f>
        <v/>
      </c>
      <c r="B571" s="32">
        <f>IF(J571="H",CHOOSE(WEEKDAY(T571,2),"Isnin","Selasa","Rabu","Khamis","Jumaat","Sabtu","Ahad")&amp;", "&amp;DAY(T571)&amp;" "&amp;CHOOSE(MONTH(T571),"Jan","Feb","Mac","Apr","Mei","Jun","Jul","Ogo","Sep","Okt","Nov","Dis")&amp;" "&amp;YEAR(T571),IF(J571="E",IF(INDEX(Transaksi!$B$2:$B$2001,K571)="",INDEX(Transaksi!$C$2:$C$2001,K571)&amp;" · "&amp;INDEX(Transaksi!$D$2:$D$2001,K571),INDEX(Transaksi!$B$2:$B$2001,K571)),""))</f>
        <v/>
      </c>
      <c r="C571" s="32">
        <f>IF(J571="E",INDEX(Transaksi!$C$2:$C$2001,K571)&amp;"","")</f>
        <v/>
      </c>
      <c r="D571" s="32">
        <f>IF(J571="E",INDEX(Transaksi!$D$2:$D$2001,K571)&amp;"","")</f>
        <v/>
      </c>
      <c r="E571" s="33">
        <f>IF(J571="H",SUMIFS(Transaksi!$G$2:$G$2001,Transaksi!$M$2:$M$2001,"="&amp;S571)+SUMIFS(Transaksi!$H$2:$H$2001,Transaksi!$M$2:$M$2001,"="&amp;S571)+SUMIFS(Transaksi!$I$2:$I$2001,Transaksi!$M$2:$M$2001,"="&amp;S571),IF(J571="E",IF(INDEX(Transaksi!$G$2:$G$2001,K571)+INDEX(Transaksi!$H$2:$H$2001,K571)+INDEX(Transaksi!$I$2:$I$2001,K571)=0,"",INDEX(Transaksi!$G$2:$G$2001,K571)+INDEX(Transaksi!$H$2:$H$2001,K571)+INDEX(Transaksi!$I$2:$I$2001,K571)),""))</f>
        <v/>
      </c>
      <c r="F571" s="33">
        <f>IF(J571="H",SUMIFS(Transaksi!$J$2:$J$2001,Transaksi!$M$2:$M$2001,"="&amp;S571),IF(J571="E",IF(INDEX(Transaksi!$J$2:$J$2001,K571)=0,"",INDEX(Transaksi!$J$2:$J$2001,K571)),""))</f>
        <v/>
      </c>
      <c r="G571" s="33">
        <f>IF(J571="H",(SUMIFS(Transaksi!$G$2:$G$2001,Transaksi!$M$2:$M$2001,"&lt;="&amp;S571)+SUMIFS(Transaksi!$H$2:$H$2001,Transaksi!$M$2:$M$2001,"&lt;="&amp;S571)+SUMIFS(Transaksi!$I$2:$I$2001,Transaksi!$M$2:$M$2001,"&lt;="&amp;S571))-(SUMIFS(Transaksi!$J$2:$J$2001,Transaksi!$M$2:$M$2001,"&lt;="&amp;S571)),"")</f>
        <v/>
      </c>
      <c r="I571">
        <f>IF(568&gt;$O$2,"",MATCH(568,$Q$3:$Q$402,1))</f>
        <v/>
      </c>
      <c r="J571">
        <f>IF(I571="","",IF(568=INDEX($Q$3:$Q$402,I571),"H","E"))</f>
        <v/>
      </c>
      <c r="K571">
        <f>IF(J571&lt;&gt;"E","",MATCH(S571,Transaksi!$M$2:$M$2001,0)+568-INDEX($Q$3:$Q$402,I571)-1)</f>
        <v/>
      </c>
      <c r="S571">
        <f>IF(I571="","",INDEX($O$3:$O$402,I571))</f>
        <v/>
      </c>
      <c r="T571">
        <f>IF(J571&lt;&gt;"H","",INDEX(Transaksi!$A$2:$A$2001,MATCH(S571,Transaksi!$M$2:$M$2001,0)))</f>
        <v/>
      </c>
    </row>
    <row r="572">
      <c r="A572" s="31">
        <f>IF(J572="E",IF(INDEX(Transaksi!$J$2:$J$2001,K572)&gt;0,"↑","↓"),"")</f>
        <v/>
      </c>
      <c r="B572" s="32">
        <f>IF(J572="H",CHOOSE(WEEKDAY(T572,2),"Isnin","Selasa","Rabu","Khamis","Jumaat","Sabtu","Ahad")&amp;", "&amp;DAY(T572)&amp;" "&amp;CHOOSE(MONTH(T572),"Jan","Feb","Mac","Apr","Mei","Jun","Jul","Ogo","Sep","Okt","Nov","Dis")&amp;" "&amp;YEAR(T572),IF(J572="E",IF(INDEX(Transaksi!$B$2:$B$2001,K572)="",INDEX(Transaksi!$C$2:$C$2001,K572)&amp;" · "&amp;INDEX(Transaksi!$D$2:$D$2001,K572),INDEX(Transaksi!$B$2:$B$2001,K572)),""))</f>
        <v/>
      </c>
      <c r="C572" s="32">
        <f>IF(J572="E",INDEX(Transaksi!$C$2:$C$2001,K572)&amp;"","")</f>
        <v/>
      </c>
      <c r="D572" s="32">
        <f>IF(J572="E",INDEX(Transaksi!$D$2:$D$2001,K572)&amp;"","")</f>
        <v/>
      </c>
      <c r="E572" s="33">
        <f>IF(J572="H",SUMIFS(Transaksi!$G$2:$G$2001,Transaksi!$M$2:$M$2001,"="&amp;S572)+SUMIFS(Transaksi!$H$2:$H$2001,Transaksi!$M$2:$M$2001,"="&amp;S572)+SUMIFS(Transaksi!$I$2:$I$2001,Transaksi!$M$2:$M$2001,"="&amp;S572),IF(J572="E",IF(INDEX(Transaksi!$G$2:$G$2001,K572)+INDEX(Transaksi!$H$2:$H$2001,K572)+INDEX(Transaksi!$I$2:$I$2001,K572)=0,"",INDEX(Transaksi!$G$2:$G$2001,K572)+INDEX(Transaksi!$H$2:$H$2001,K572)+INDEX(Transaksi!$I$2:$I$2001,K572)),""))</f>
        <v/>
      </c>
      <c r="F572" s="33">
        <f>IF(J572="H",SUMIFS(Transaksi!$J$2:$J$2001,Transaksi!$M$2:$M$2001,"="&amp;S572),IF(J572="E",IF(INDEX(Transaksi!$J$2:$J$2001,K572)=0,"",INDEX(Transaksi!$J$2:$J$2001,K572)),""))</f>
        <v/>
      </c>
      <c r="G572" s="33">
        <f>IF(J572="H",(SUMIFS(Transaksi!$G$2:$G$2001,Transaksi!$M$2:$M$2001,"&lt;="&amp;S572)+SUMIFS(Transaksi!$H$2:$H$2001,Transaksi!$M$2:$M$2001,"&lt;="&amp;S572)+SUMIFS(Transaksi!$I$2:$I$2001,Transaksi!$M$2:$M$2001,"&lt;="&amp;S572))-(SUMIFS(Transaksi!$J$2:$J$2001,Transaksi!$M$2:$M$2001,"&lt;="&amp;S572)),"")</f>
        <v/>
      </c>
      <c r="I572">
        <f>IF(569&gt;$O$2,"",MATCH(569,$Q$3:$Q$402,1))</f>
        <v/>
      </c>
      <c r="J572">
        <f>IF(I572="","",IF(569=INDEX($Q$3:$Q$402,I572),"H","E"))</f>
        <v/>
      </c>
      <c r="K572">
        <f>IF(J572&lt;&gt;"E","",MATCH(S572,Transaksi!$M$2:$M$2001,0)+569-INDEX($Q$3:$Q$402,I572)-1)</f>
        <v/>
      </c>
      <c r="S572">
        <f>IF(I572="","",INDEX($O$3:$O$402,I572))</f>
        <v/>
      </c>
      <c r="T572">
        <f>IF(J572&lt;&gt;"H","",INDEX(Transaksi!$A$2:$A$2001,MATCH(S572,Transaksi!$M$2:$M$2001,0)))</f>
        <v/>
      </c>
    </row>
    <row r="573">
      <c r="A573" s="31">
        <f>IF(J573="E",IF(INDEX(Transaksi!$J$2:$J$2001,K573)&gt;0,"↑","↓"),"")</f>
        <v/>
      </c>
      <c r="B573" s="32">
        <f>IF(J573="H",CHOOSE(WEEKDAY(T573,2),"Isnin","Selasa","Rabu","Khamis","Jumaat","Sabtu","Ahad")&amp;", "&amp;DAY(T573)&amp;" "&amp;CHOOSE(MONTH(T573),"Jan","Feb","Mac","Apr","Mei","Jun","Jul","Ogo","Sep","Okt","Nov","Dis")&amp;" "&amp;YEAR(T573),IF(J573="E",IF(INDEX(Transaksi!$B$2:$B$2001,K573)="",INDEX(Transaksi!$C$2:$C$2001,K573)&amp;" · "&amp;INDEX(Transaksi!$D$2:$D$2001,K573),INDEX(Transaksi!$B$2:$B$2001,K573)),""))</f>
        <v/>
      </c>
      <c r="C573" s="32">
        <f>IF(J573="E",INDEX(Transaksi!$C$2:$C$2001,K573)&amp;"","")</f>
        <v/>
      </c>
      <c r="D573" s="32">
        <f>IF(J573="E",INDEX(Transaksi!$D$2:$D$2001,K573)&amp;"","")</f>
        <v/>
      </c>
      <c r="E573" s="33">
        <f>IF(J573="H",SUMIFS(Transaksi!$G$2:$G$2001,Transaksi!$M$2:$M$2001,"="&amp;S573)+SUMIFS(Transaksi!$H$2:$H$2001,Transaksi!$M$2:$M$2001,"="&amp;S573)+SUMIFS(Transaksi!$I$2:$I$2001,Transaksi!$M$2:$M$2001,"="&amp;S573),IF(J573="E",IF(INDEX(Transaksi!$G$2:$G$2001,K573)+INDEX(Transaksi!$H$2:$H$2001,K573)+INDEX(Transaksi!$I$2:$I$2001,K573)=0,"",INDEX(Transaksi!$G$2:$G$2001,K573)+INDEX(Transaksi!$H$2:$H$2001,K573)+INDEX(Transaksi!$I$2:$I$2001,K573)),""))</f>
        <v/>
      </c>
      <c r="F573" s="33">
        <f>IF(J573="H",SUMIFS(Transaksi!$J$2:$J$2001,Transaksi!$M$2:$M$2001,"="&amp;S573),IF(J573="E",IF(INDEX(Transaksi!$J$2:$J$2001,K573)=0,"",INDEX(Transaksi!$J$2:$J$2001,K573)),""))</f>
        <v/>
      </c>
      <c r="G573" s="33">
        <f>IF(J573="H",(SUMIFS(Transaksi!$G$2:$G$2001,Transaksi!$M$2:$M$2001,"&lt;="&amp;S573)+SUMIFS(Transaksi!$H$2:$H$2001,Transaksi!$M$2:$M$2001,"&lt;="&amp;S573)+SUMIFS(Transaksi!$I$2:$I$2001,Transaksi!$M$2:$M$2001,"&lt;="&amp;S573))-(SUMIFS(Transaksi!$J$2:$J$2001,Transaksi!$M$2:$M$2001,"&lt;="&amp;S573)),"")</f>
        <v/>
      </c>
      <c r="I573">
        <f>IF(570&gt;$O$2,"",MATCH(570,$Q$3:$Q$402,1))</f>
        <v/>
      </c>
      <c r="J573">
        <f>IF(I573="","",IF(570=INDEX($Q$3:$Q$402,I573),"H","E"))</f>
        <v/>
      </c>
      <c r="K573">
        <f>IF(J573&lt;&gt;"E","",MATCH(S573,Transaksi!$M$2:$M$2001,0)+570-INDEX($Q$3:$Q$402,I573)-1)</f>
        <v/>
      </c>
      <c r="S573">
        <f>IF(I573="","",INDEX($O$3:$O$402,I573))</f>
        <v/>
      </c>
      <c r="T573">
        <f>IF(J573&lt;&gt;"H","",INDEX(Transaksi!$A$2:$A$2001,MATCH(S573,Transaksi!$M$2:$M$2001,0)))</f>
        <v/>
      </c>
    </row>
    <row r="574">
      <c r="A574" s="31">
        <f>IF(J574="E",IF(INDEX(Transaksi!$J$2:$J$2001,K574)&gt;0,"↑","↓"),"")</f>
        <v/>
      </c>
      <c r="B574" s="32">
        <f>IF(J574="H",CHOOSE(WEEKDAY(T574,2),"Isnin","Selasa","Rabu","Khamis","Jumaat","Sabtu","Ahad")&amp;", "&amp;DAY(T574)&amp;" "&amp;CHOOSE(MONTH(T574),"Jan","Feb","Mac","Apr","Mei","Jun","Jul","Ogo","Sep","Okt","Nov","Dis")&amp;" "&amp;YEAR(T574),IF(J574="E",IF(INDEX(Transaksi!$B$2:$B$2001,K574)="",INDEX(Transaksi!$C$2:$C$2001,K574)&amp;" · "&amp;INDEX(Transaksi!$D$2:$D$2001,K574),INDEX(Transaksi!$B$2:$B$2001,K574)),""))</f>
        <v/>
      </c>
      <c r="C574" s="32">
        <f>IF(J574="E",INDEX(Transaksi!$C$2:$C$2001,K574)&amp;"","")</f>
        <v/>
      </c>
      <c r="D574" s="32">
        <f>IF(J574="E",INDEX(Transaksi!$D$2:$D$2001,K574)&amp;"","")</f>
        <v/>
      </c>
      <c r="E574" s="33">
        <f>IF(J574="H",SUMIFS(Transaksi!$G$2:$G$2001,Transaksi!$M$2:$M$2001,"="&amp;S574)+SUMIFS(Transaksi!$H$2:$H$2001,Transaksi!$M$2:$M$2001,"="&amp;S574)+SUMIFS(Transaksi!$I$2:$I$2001,Transaksi!$M$2:$M$2001,"="&amp;S574),IF(J574="E",IF(INDEX(Transaksi!$G$2:$G$2001,K574)+INDEX(Transaksi!$H$2:$H$2001,K574)+INDEX(Transaksi!$I$2:$I$2001,K574)=0,"",INDEX(Transaksi!$G$2:$G$2001,K574)+INDEX(Transaksi!$H$2:$H$2001,K574)+INDEX(Transaksi!$I$2:$I$2001,K574)),""))</f>
        <v/>
      </c>
      <c r="F574" s="33">
        <f>IF(J574="H",SUMIFS(Transaksi!$J$2:$J$2001,Transaksi!$M$2:$M$2001,"="&amp;S574),IF(J574="E",IF(INDEX(Transaksi!$J$2:$J$2001,K574)=0,"",INDEX(Transaksi!$J$2:$J$2001,K574)),""))</f>
        <v/>
      </c>
      <c r="G574" s="33">
        <f>IF(J574="H",(SUMIFS(Transaksi!$G$2:$G$2001,Transaksi!$M$2:$M$2001,"&lt;="&amp;S574)+SUMIFS(Transaksi!$H$2:$H$2001,Transaksi!$M$2:$M$2001,"&lt;="&amp;S574)+SUMIFS(Transaksi!$I$2:$I$2001,Transaksi!$M$2:$M$2001,"&lt;="&amp;S574))-(SUMIFS(Transaksi!$J$2:$J$2001,Transaksi!$M$2:$M$2001,"&lt;="&amp;S574)),"")</f>
        <v/>
      </c>
      <c r="I574">
        <f>IF(571&gt;$O$2,"",MATCH(571,$Q$3:$Q$402,1))</f>
        <v/>
      </c>
      <c r="J574">
        <f>IF(I574="","",IF(571=INDEX($Q$3:$Q$402,I574),"H","E"))</f>
        <v/>
      </c>
      <c r="K574">
        <f>IF(J574&lt;&gt;"E","",MATCH(S574,Transaksi!$M$2:$M$2001,0)+571-INDEX($Q$3:$Q$402,I574)-1)</f>
        <v/>
      </c>
      <c r="S574">
        <f>IF(I574="","",INDEX($O$3:$O$402,I574))</f>
        <v/>
      </c>
      <c r="T574">
        <f>IF(J574&lt;&gt;"H","",INDEX(Transaksi!$A$2:$A$2001,MATCH(S574,Transaksi!$M$2:$M$2001,0)))</f>
        <v/>
      </c>
    </row>
    <row r="575">
      <c r="A575" s="31">
        <f>IF(J575="E",IF(INDEX(Transaksi!$J$2:$J$2001,K575)&gt;0,"↑","↓"),"")</f>
        <v/>
      </c>
      <c r="B575" s="32">
        <f>IF(J575="H",CHOOSE(WEEKDAY(T575,2),"Isnin","Selasa","Rabu","Khamis","Jumaat","Sabtu","Ahad")&amp;", "&amp;DAY(T575)&amp;" "&amp;CHOOSE(MONTH(T575),"Jan","Feb","Mac","Apr","Mei","Jun","Jul","Ogo","Sep","Okt","Nov","Dis")&amp;" "&amp;YEAR(T575),IF(J575="E",IF(INDEX(Transaksi!$B$2:$B$2001,K575)="",INDEX(Transaksi!$C$2:$C$2001,K575)&amp;" · "&amp;INDEX(Transaksi!$D$2:$D$2001,K575),INDEX(Transaksi!$B$2:$B$2001,K575)),""))</f>
        <v/>
      </c>
      <c r="C575" s="32">
        <f>IF(J575="E",INDEX(Transaksi!$C$2:$C$2001,K575)&amp;"","")</f>
        <v/>
      </c>
      <c r="D575" s="32">
        <f>IF(J575="E",INDEX(Transaksi!$D$2:$D$2001,K575)&amp;"","")</f>
        <v/>
      </c>
      <c r="E575" s="33">
        <f>IF(J575="H",SUMIFS(Transaksi!$G$2:$G$2001,Transaksi!$M$2:$M$2001,"="&amp;S575)+SUMIFS(Transaksi!$H$2:$H$2001,Transaksi!$M$2:$M$2001,"="&amp;S575)+SUMIFS(Transaksi!$I$2:$I$2001,Transaksi!$M$2:$M$2001,"="&amp;S575),IF(J575="E",IF(INDEX(Transaksi!$G$2:$G$2001,K575)+INDEX(Transaksi!$H$2:$H$2001,K575)+INDEX(Transaksi!$I$2:$I$2001,K575)=0,"",INDEX(Transaksi!$G$2:$G$2001,K575)+INDEX(Transaksi!$H$2:$H$2001,K575)+INDEX(Transaksi!$I$2:$I$2001,K575)),""))</f>
        <v/>
      </c>
      <c r="F575" s="33">
        <f>IF(J575="H",SUMIFS(Transaksi!$J$2:$J$2001,Transaksi!$M$2:$M$2001,"="&amp;S575),IF(J575="E",IF(INDEX(Transaksi!$J$2:$J$2001,K575)=0,"",INDEX(Transaksi!$J$2:$J$2001,K575)),""))</f>
        <v/>
      </c>
      <c r="G575" s="33">
        <f>IF(J575="H",(SUMIFS(Transaksi!$G$2:$G$2001,Transaksi!$M$2:$M$2001,"&lt;="&amp;S575)+SUMIFS(Transaksi!$H$2:$H$2001,Transaksi!$M$2:$M$2001,"&lt;="&amp;S575)+SUMIFS(Transaksi!$I$2:$I$2001,Transaksi!$M$2:$M$2001,"&lt;="&amp;S575))-(SUMIFS(Transaksi!$J$2:$J$2001,Transaksi!$M$2:$M$2001,"&lt;="&amp;S575)),"")</f>
        <v/>
      </c>
      <c r="I575">
        <f>IF(572&gt;$O$2,"",MATCH(572,$Q$3:$Q$402,1))</f>
        <v/>
      </c>
      <c r="J575">
        <f>IF(I575="","",IF(572=INDEX($Q$3:$Q$402,I575),"H","E"))</f>
        <v/>
      </c>
      <c r="K575">
        <f>IF(J575&lt;&gt;"E","",MATCH(S575,Transaksi!$M$2:$M$2001,0)+572-INDEX($Q$3:$Q$402,I575)-1)</f>
        <v/>
      </c>
      <c r="S575">
        <f>IF(I575="","",INDEX($O$3:$O$402,I575))</f>
        <v/>
      </c>
      <c r="T575">
        <f>IF(J575&lt;&gt;"H","",INDEX(Transaksi!$A$2:$A$2001,MATCH(S575,Transaksi!$M$2:$M$2001,0)))</f>
        <v/>
      </c>
    </row>
    <row r="576">
      <c r="A576" s="31">
        <f>IF(J576="E",IF(INDEX(Transaksi!$J$2:$J$2001,K576)&gt;0,"↑","↓"),"")</f>
        <v/>
      </c>
      <c r="B576" s="32">
        <f>IF(J576="H",CHOOSE(WEEKDAY(T576,2),"Isnin","Selasa","Rabu","Khamis","Jumaat","Sabtu","Ahad")&amp;", "&amp;DAY(T576)&amp;" "&amp;CHOOSE(MONTH(T576),"Jan","Feb","Mac","Apr","Mei","Jun","Jul","Ogo","Sep","Okt","Nov","Dis")&amp;" "&amp;YEAR(T576),IF(J576="E",IF(INDEX(Transaksi!$B$2:$B$2001,K576)="",INDEX(Transaksi!$C$2:$C$2001,K576)&amp;" · "&amp;INDEX(Transaksi!$D$2:$D$2001,K576),INDEX(Transaksi!$B$2:$B$2001,K576)),""))</f>
        <v/>
      </c>
      <c r="C576" s="32">
        <f>IF(J576="E",INDEX(Transaksi!$C$2:$C$2001,K576)&amp;"","")</f>
        <v/>
      </c>
      <c r="D576" s="32">
        <f>IF(J576="E",INDEX(Transaksi!$D$2:$D$2001,K576)&amp;"","")</f>
        <v/>
      </c>
      <c r="E576" s="33">
        <f>IF(J576="H",SUMIFS(Transaksi!$G$2:$G$2001,Transaksi!$M$2:$M$2001,"="&amp;S576)+SUMIFS(Transaksi!$H$2:$H$2001,Transaksi!$M$2:$M$2001,"="&amp;S576)+SUMIFS(Transaksi!$I$2:$I$2001,Transaksi!$M$2:$M$2001,"="&amp;S576),IF(J576="E",IF(INDEX(Transaksi!$G$2:$G$2001,K576)+INDEX(Transaksi!$H$2:$H$2001,K576)+INDEX(Transaksi!$I$2:$I$2001,K576)=0,"",INDEX(Transaksi!$G$2:$G$2001,K576)+INDEX(Transaksi!$H$2:$H$2001,K576)+INDEX(Transaksi!$I$2:$I$2001,K576)),""))</f>
        <v/>
      </c>
      <c r="F576" s="33">
        <f>IF(J576="H",SUMIFS(Transaksi!$J$2:$J$2001,Transaksi!$M$2:$M$2001,"="&amp;S576),IF(J576="E",IF(INDEX(Transaksi!$J$2:$J$2001,K576)=0,"",INDEX(Transaksi!$J$2:$J$2001,K576)),""))</f>
        <v/>
      </c>
      <c r="G576" s="33">
        <f>IF(J576="H",(SUMIFS(Transaksi!$G$2:$G$2001,Transaksi!$M$2:$M$2001,"&lt;="&amp;S576)+SUMIFS(Transaksi!$H$2:$H$2001,Transaksi!$M$2:$M$2001,"&lt;="&amp;S576)+SUMIFS(Transaksi!$I$2:$I$2001,Transaksi!$M$2:$M$2001,"&lt;="&amp;S576))-(SUMIFS(Transaksi!$J$2:$J$2001,Transaksi!$M$2:$M$2001,"&lt;="&amp;S576)),"")</f>
        <v/>
      </c>
      <c r="I576">
        <f>IF(573&gt;$O$2,"",MATCH(573,$Q$3:$Q$402,1))</f>
        <v/>
      </c>
      <c r="J576">
        <f>IF(I576="","",IF(573=INDEX($Q$3:$Q$402,I576),"H","E"))</f>
        <v/>
      </c>
      <c r="K576">
        <f>IF(J576&lt;&gt;"E","",MATCH(S576,Transaksi!$M$2:$M$2001,0)+573-INDEX($Q$3:$Q$402,I576)-1)</f>
        <v/>
      </c>
      <c r="S576">
        <f>IF(I576="","",INDEX($O$3:$O$402,I576))</f>
        <v/>
      </c>
      <c r="T576">
        <f>IF(J576&lt;&gt;"H","",INDEX(Transaksi!$A$2:$A$2001,MATCH(S576,Transaksi!$M$2:$M$2001,0)))</f>
        <v/>
      </c>
    </row>
    <row r="577">
      <c r="A577" s="31">
        <f>IF(J577="E",IF(INDEX(Transaksi!$J$2:$J$2001,K577)&gt;0,"↑","↓"),"")</f>
        <v/>
      </c>
      <c r="B577" s="32">
        <f>IF(J577="H",CHOOSE(WEEKDAY(T577,2),"Isnin","Selasa","Rabu","Khamis","Jumaat","Sabtu","Ahad")&amp;", "&amp;DAY(T577)&amp;" "&amp;CHOOSE(MONTH(T577),"Jan","Feb","Mac","Apr","Mei","Jun","Jul","Ogo","Sep","Okt","Nov","Dis")&amp;" "&amp;YEAR(T577),IF(J577="E",IF(INDEX(Transaksi!$B$2:$B$2001,K577)="",INDEX(Transaksi!$C$2:$C$2001,K577)&amp;" · "&amp;INDEX(Transaksi!$D$2:$D$2001,K577),INDEX(Transaksi!$B$2:$B$2001,K577)),""))</f>
        <v/>
      </c>
      <c r="C577" s="32">
        <f>IF(J577="E",INDEX(Transaksi!$C$2:$C$2001,K577)&amp;"","")</f>
        <v/>
      </c>
      <c r="D577" s="32">
        <f>IF(J577="E",INDEX(Transaksi!$D$2:$D$2001,K577)&amp;"","")</f>
        <v/>
      </c>
      <c r="E577" s="33">
        <f>IF(J577="H",SUMIFS(Transaksi!$G$2:$G$2001,Transaksi!$M$2:$M$2001,"="&amp;S577)+SUMIFS(Transaksi!$H$2:$H$2001,Transaksi!$M$2:$M$2001,"="&amp;S577)+SUMIFS(Transaksi!$I$2:$I$2001,Transaksi!$M$2:$M$2001,"="&amp;S577),IF(J577="E",IF(INDEX(Transaksi!$G$2:$G$2001,K577)+INDEX(Transaksi!$H$2:$H$2001,K577)+INDEX(Transaksi!$I$2:$I$2001,K577)=0,"",INDEX(Transaksi!$G$2:$G$2001,K577)+INDEX(Transaksi!$H$2:$H$2001,K577)+INDEX(Transaksi!$I$2:$I$2001,K577)),""))</f>
        <v/>
      </c>
      <c r="F577" s="33">
        <f>IF(J577="H",SUMIFS(Transaksi!$J$2:$J$2001,Transaksi!$M$2:$M$2001,"="&amp;S577),IF(J577="E",IF(INDEX(Transaksi!$J$2:$J$2001,K577)=0,"",INDEX(Transaksi!$J$2:$J$2001,K577)),""))</f>
        <v/>
      </c>
      <c r="G577" s="33">
        <f>IF(J577="H",(SUMIFS(Transaksi!$G$2:$G$2001,Transaksi!$M$2:$M$2001,"&lt;="&amp;S577)+SUMIFS(Transaksi!$H$2:$H$2001,Transaksi!$M$2:$M$2001,"&lt;="&amp;S577)+SUMIFS(Transaksi!$I$2:$I$2001,Transaksi!$M$2:$M$2001,"&lt;="&amp;S577))-(SUMIFS(Transaksi!$J$2:$J$2001,Transaksi!$M$2:$M$2001,"&lt;="&amp;S577)),"")</f>
        <v/>
      </c>
      <c r="I577">
        <f>IF(574&gt;$O$2,"",MATCH(574,$Q$3:$Q$402,1))</f>
        <v/>
      </c>
      <c r="J577">
        <f>IF(I577="","",IF(574=INDEX($Q$3:$Q$402,I577),"H","E"))</f>
        <v/>
      </c>
      <c r="K577">
        <f>IF(J577&lt;&gt;"E","",MATCH(S577,Transaksi!$M$2:$M$2001,0)+574-INDEX($Q$3:$Q$402,I577)-1)</f>
        <v/>
      </c>
      <c r="S577">
        <f>IF(I577="","",INDEX($O$3:$O$402,I577))</f>
        <v/>
      </c>
      <c r="T577">
        <f>IF(J577&lt;&gt;"H","",INDEX(Transaksi!$A$2:$A$2001,MATCH(S577,Transaksi!$M$2:$M$2001,0)))</f>
        <v/>
      </c>
    </row>
    <row r="578">
      <c r="A578" s="31">
        <f>IF(J578="E",IF(INDEX(Transaksi!$J$2:$J$2001,K578)&gt;0,"↑","↓"),"")</f>
        <v/>
      </c>
      <c r="B578" s="32">
        <f>IF(J578="H",CHOOSE(WEEKDAY(T578,2),"Isnin","Selasa","Rabu","Khamis","Jumaat","Sabtu","Ahad")&amp;", "&amp;DAY(T578)&amp;" "&amp;CHOOSE(MONTH(T578),"Jan","Feb","Mac","Apr","Mei","Jun","Jul","Ogo","Sep","Okt","Nov","Dis")&amp;" "&amp;YEAR(T578),IF(J578="E",IF(INDEX(Transaksi!$B$2:$B$2001,K578)="",INDEX(Transaksi!$C$2:$C$2001,K578)&amp;" · "&amp;INDEX(Transaksi!$D$2:$D$2001,K578),INDEX(Transaksi!$B$2:$B$2001,K578)),""))</f>
        <v/>
      </c>
      <c r="C578" s="32">
        <f>IF(J578="E",INDEX(Transaksi!$C$2:$C$2001,K578)&amp;"","")</f>
        <v/>
      </c>
      <c r="D578" s="32">
        <f>IF(J578="E",INDEX(Transaksi!$D$2:$D$2001,K578)&amp;"","")</f>
        <v/>
      </c>
      <c r="E578" s="33">
        <f>IF(J578="H",SUMIFS(Transaksi!$G$2:$G$2001,Transaksi!$M$2:$M$2001,"="&amp;S578)+SUMIFS(Transaksi!$H$2:$H$2001,Transaksi!$M$2:$M$2001,"="&amp;S578)+SUMIFS(Transaksi!$I$2:$I$2001,Transaksi!$M$2:$M$2001,"="&amp;S578),IF(J578="E",IF(INDEX(Transaksi!$G$2:$G$2001,K578)+INDEX(Transaksi!$H$2:$H$2001,K578)+INDEX(Transaksi!$I$2:$I$2001,K578)=0,"",INDEX(Transaksi!$G$2:$G$2001,K578)+INDEX(Transaksi!$H$2:$H$2001,K578)+INDEX(Transaksi!$I$2:$I$2001,K578)),""))</f>
        <v/>
      </c>
      <c r="F578" s="33">
        <f>IF(J578="H",SUMIFS(Transaksi!$J$2:$J$2001,Transaksi!$M$2:$M$2001,"="&amp;S578),IF(J578="E",IF(INDEX(Transaksi!$J$2:$J$2001,K578)=0,"",INDEX(Transaksi!$J$2:$J$2001,K578)),""))</f>
        <v/>
      </c>
      <c r="G578" s="33">
        <f>IF(J578="H",(SUMIFS(Transaksi!$G$2:$G$2001,Transaksi!$M$2:$M$2001,"&lt;="&amp;S578)+SUMIFS(Transaksi!$H$2:$H$2001,Transaksi!$M$2:$M$2001,"&lt;="&amp;S578)+SUMIFS(Transaksi!$I$2:$I$2001,Transaksi!$M$2:$M$2001,"&lt;="&amp;S578))-(SUMIFS(Transaksi!$J$2:$J$2001,Transaksi!$M$2:$M$2001,"&lt;="&amp;S578)),"")</f>
        <v/>
      </c>
      <c r="I578">
        <f>IF(575&gt;$O$2,"",MATCH(575,$Q$3:$Q$402,1))</f>
        <v/>
      </c>
      <c r="J578">
        <f>IF(I578="","",IF(575=INDEX($Q$3:$Q$402,I578),"H","E"))</f>
        <v/>
      </c>
      <c r="K578">
        <f>IF(J578&lt;&gt;"E","",MATCH(S578,Transaksi!$M$2:$M$2001,0)+575-INDEX($Q$3:$Q$402,I578)-1)</f>
        <v/>
      </c>
      <c r="S578">
        <f>IF(I578="","",INDEX($O$3:$O$402,I578))</f>
        <v/>
      </c>
      <c r="T578">
        <f>IF(J578&lt;&gt;"H","",INDEX(Transaksi!$A$2:$A$2001,MATCH(S578,Transaksi!$M$2:$M$2001,0)))</f>
        <v/>
      </c>
    </row>
    <row r="579">
      <c r="A579" s="31">
        <f>IF(J579="E",IF(INDEX(Transaksi!$J$2:$J$2001,K579)&gt;0,"↑","↓"),"")</f>
        <v/>
      </c>
      <c r="B579" s="32">
        <f>IF(J579="H",CHOOSE(WEEKDAY(T579,2),"Isnin","Selasa","Rabu","Khamis","Jumaat","Sabtu","Ahad")&amp;", "&amp;DAY(T579)&amp;" "&amp;CHOOSE(MONTH(T579),"Jan","Feb","Mac","Apr","Mei","Jun","Jul","Ogo","Sep","Okt","Nov","Dis")&amp;" "&amp;YEAR(T579),IF(J579="E",IF(INDEX(Transaksi!$B$2:$B$2001,K579)="",INDEX(Transaksi!$C$2:$C$2001,K579)&amp;" · "&amp;INDEX(Transaksi!$D$2:$D$2001,K579),INDEX(Transaksi!$B$2:$B$2001,K579)),""))</f>
        <v/>
      </c>
      <c r="C579" s="32">
        <f>IF(J579="E",INDEX(Transaksi!$C$2:$C$2001,K579)&amp;"","")</f>
        <v/>
      </c>
      <c r="D579" s="32">
        <f>IF(J579="E",INDEX(Transaksi!$D$2:$D$2001,K579)&amp;"","")</f>
        <v/>
      </c>
      <c r="E579" s="33">
        <f>IF(J579="H",SUMIFS(Transaksi!$G$2:$G$2001,Transaksi!$M$2:$M$2001,"="&amp;S579)+SUMIFS(Transaksi!$H$2:$H$2001,Transaksi!$M$2:$M$2001,"="&amp;S579)+SUMIFS(Transaksi!$I$2:$I$2001,Transaksi!$M$2:$M$2001,"="&amp;S579),IF(J579="E",IF(INDEX(Transaksi!$G$2:$G$2001,K579)+INDEX(Transaksi!$H$2:$H$2001,K579)+INDEX(Transaksi!$I$2:$I$2001,K579)=0,"",INDEX(Transaksi!$G$2:$G$2001,K579)+INDEX(Transaksi!$H$2:$H$2001,K579)+INDEX(Transaksi!$I$2:$I$2001,K579)),""))</f>
        <v/>
      </c>
      <c r="F579" s="33">
        <f>IF(J579="H",SUMIFS(Transaksi!$J$2:$J$2001,Transaksi!$M$2:$M$2001,"="&amp;S579),IF(J579="E",IF(INDEX(Transaksi!$J$2:$J$2001,K579)=0,"",INDEX(Transaksi!$J$2:$J$2001,K579)),""))</f>
        <v/>
      </c>
      <c r="G579" s="33">
        <f>IF(J579="H",(SUMIFS(Transaksi!$G$2:$G$2001,Transaksi!$M$2:$M$2001,"&lt;="&amp;S579)+SUMIFS(Transaksi!$H$2:$H$2001,Transaksi!$M$2:$M$2001,"&lt;="&amp;S579)+SUMIFS(Transaksi!$I$2:$I$2001,Transaksi!$M$2:$M$2001,"&lt;="&amp;S579))-(SUMIFS(Transaksi!$J$2:$J$2001,Transaksi!$M$2:$M$2001,"&lt;="&amp;S579)),"")</f>
        <v/>
      </c>
      <c r="I579">
        <f>IF(576&gt;$O$2,"",MATCH(576,$Q$3:$Q$402,1))</f>
        <v/>
      </c>
      <c r="J579">
        <f>IF(I579="","",IF(576=INDEX($Q$3:$Q$402,I579),"H","E"))</f>
        <v/>
      </c>
      <c r="K579">
        <f>IF(J579&lt;&gt;"E","",MATCH(S579,Transaksi!$M$2:$M$2001,0)+576-INDEX($Q$3:$Q$402,I579)-1)</f>
        <v/>
      </c>
      <c r="S579">
        <f>IF(I579="","",INDEX($O$3:$O$402,I579))</f>
        <v/>
      </c>
      <c r="T579">
        <f>IF(J579&lt;&gt;"H","",INDEX(Transaksi!$A$2:$A$2001,MATCH(S579,Transaksi!$M$2:$M$2001,0)))</f>
        <v/>
      </c>
    </row>
    <row r="580">
      <c r="A580" s="31">
        <f>IF(J580="E",IF(INDEX(Transaksi!$J$2:$J$2001,K580)&gt;0,"↑","↓"),"")</f>
        <v/>
      </c>
      <c r="B580" s="32">
        <f>IF(J580="H",CHOOSE(WEEKDAY(T580,2),"Isnin","Selasa","Rabu","Khamis","Jumaat","Sabtu","Ahad")&amp;", "&amp;DAY(T580)&amp;" "&amp;CHOOSE(MONTH(T580),"Jan","Feb","Mac","Apr","Mei","Jun","Jul","Ogo","Sep","Okt","Nov","Dis")&amp;" "&amp;YEAR(T580),IF(J580="E",IF(INDEX(Transaksi!$B$2:$B$2001,K580)="",INDEX(Transaksi!$C$2:$C$2001,K580)&amp;" · "&amp;INDEX(Transaksi!$D$2:$D$2001,K580),INDEX(Transaksi!$B$2:$B$2001,K580)),""))</f>
        <v/>
      </c>
      <c r="C580" s="32">
        <f>IF(J580="E",INDEX(Transaksi!$C$2:$C$2001,K580)&amp;"","")</f>
        <v/>
      </c>
      <c r="D580" s="32">
        <f>IF(J580="E",INDEX(Transaksi!$D$2:$D$2001,K580)&amp;"","")</f>
        <v/>
      </c>
      <c r="E580" s="33">
        <f>IF(J580="H",SUMIFS(Transaksi!$G$2:$G$2001,Transaksi!$M$2:$M$2001,"="&amp;S580)+SUMIFS(Transaksi!$H$2:$H$2001,Transaksi!$M$2:$M$2001,"="&amp;S580)+SUMIFS(Transaksi!$I$2:$I$2001,Transaksi!$M$2:$M$2001,"="&amp;S580),IF(J580="E",IF(INDEX(Transaksi!$G$2:$G$2001,K580)+INDEX(Transaksi!$H$2:$H$2001,K580)+INDEX(Transaksi!$I$2:$I$2001,K580)=0,"",INDEX(Transaksi!$G$2:$G$2001,K580)+INDEX(Transaksi!$H$2:$H$2001,K580)+INDEX(Transaksi!$I$2:$I$2001,K580)),""))</f>
        <v/>
      </c>
      <c r="F580" s="33">
        <f>IF(J580="H",SUMIFS(Transaksi!$J$2:$J$2001,Transaksi!$M$2:$M$2001,"="&amp;S580),IF(J580="E",IF(INDEX(Transaksi!$J$2:$J$2001,K580)=0,"",INDEX(Transaksi!$J$2:$J$2001,K580)),""))</f>
        <v/>
      </c>
      <c r="G580" s="33">
        <f>IF(J580="H",(SUMIFS(Transaksi!$G$2:$G$2001,Transaksi!$M$2:$M$2001,"&lt;="&amp;S580)+SUMIFS(Transaksi!$H$2:$H$2001,Transaksi!$M$2:$M$2001,"&lt;="&amp;S580)+SUMIFS(Transaksi!$I$2:$I$2001,Transaksi!$M$2:$M$2001,"&lt;="&amp;S580))-(SUMIFS(Transaksi!$J$2:$J$2001,Transaksi!$M$2:$M$2001,"&lt;="&amp;S580)),"")</f>
        <v/>
      </c>
      <c r="I580">
        <f>IF(577&gt;$O$2,"",MATCH(577,$Q$3:$Q$402,1))</f>
        <v/>
      </c>
      <c r="J580">
        <f>IF(I580="","",IF(577=INDEX($Q$3:$Q$402,I580),"H","E"))</f>
        <v/>
      </c>
      <c r="K580">
        <f>IF(J580&lt;&gt;"E","",MATCH(S580,Transaksi!$M$2:$M$2001,0)+577-INDEX($Q$3:$Q$402,I580)-1)</f>
        <v/>
      </c>
      <c r="S580">
        <f>IF(I580="","",INDEX($O$3:$O$402,I580))</f>
        <v/>
      </c>
      <c r="T580">
        <f>IF(J580&lt;&gt;"H","",INDEX(Transaksi!$A$2:$A$2001,MATCH(S580,Transaksi!$M$2:$M$2001,0)))</f>
        <v/>
      </c>
    </row>
    <row r="581">
      <c r="A581" s="31">
        <f>IF(J581="E",IF(INDEX(Transaksi!$J$2:$J$2001,K581)&gt;0,"↑","↓"),"")</f>
        <v/>
      </c>
      <c r="B581" s="32">
        <f>IF(J581="H",CHOOSE(WEEKDAY(T581,2),"Isnin","Selasa","Rabu","Khamis","Jumaat","Sabtu","Ahad")&amp;", "&amp;DAY(T581)&amp;" "&amp;CHOOSE(MONTH(T581),"Jan","Feb","Mac","Apr","Mei","Jun","Jul","Ogo","Sep","Okt","Nov","Dis")&amp;" "&amp;YEAR(T581),IF(J581="E",IF(INDEX(Transaksi!$B$2:$B$2001,K581)="",INDEX(Transaksi!$C$2:$C$2001,K581)&amp;" · "&amp;INDEX(Transaksi!$D$2:$D$2001,K581),INDEX(Transaksi!$B$2:$B$2001,K581)),""))</f>
        <v/>
      </c>
      <c r="C581" s="32">
        <f>IF(J581="E",INDEX(Transaksi!$C$2:$C$2001,K581)&amp;"","")</f>
        <v/>
      </c>
      <c r="D581" s="32">
        <f>IF(J581="E",INDEX(Transaksi!$D$2:$D$2001,K581)&amp;"","")</f>
        <v/>
      </c>
      <c r="E581" s="33">
        <f>IF(J581="H",SUMIFS(Transaksi!$G$2:$G$2001,Transaksi!$M$2:$M$2001,"="&amp;S581)+SUMIFS(Transaksi!$H$2:$H$2001,Transaksi!$M$2:$M$2001,"="&amp;S581)+SUMIFS(Transaksi!$I$2:$I$2001,Transaksi!$M$2:$M$2001,"="&amp;S581),IF(J581="E",IF(INDEX(Transaksi!$G$2:$G$2001,K581)+INDEX(Transaksi!$H$2:$H$2001,K581)+INDEX(Transaksi!$I$2:$I$2001,K581)=0,"",INDEX(Transaksi!$G$2:$G$2001,K581)+INDEX(Transaksi!$H$2:$H$2001,K581)+INDEX(Transaksi!$I$2:$I$2001,K581)),""))</f>
        <v/>
      </c>
      <c r="F581" s="33">
        <f>IF(J581="H",SUMIFS(Transaksi!$J$2:$J$2001,Transaksi!$M$2:$M$2001,"="&amp;S581),IF(J581="E",IF(INDEX(Transaksi!$J$2:$J$2001,K581)=0,"",INDEX(Transaksi!$J$2:$J$2001,K581)),""))</f>
        <v/>
      </c>
      <c r="G581" s="33">
        <f>IF(J581="H",(SUMIFS(Transaksi!$G$2:$G$2001,Transaksi!$M$2:$M$2001,"&lt;="&amp;S581)+SUMIFS(Transaksi!$H$2:$H$2001,Transaksi!$M$2:$M$2001,"&lt;="&amp;S581)+SUMIFS(Transaksi!$I$2:$I$2001,Transaksi!$M$2:$M$2001,"&lt;="&amp;S581))-(SUMIFS(Transaksi!$J$2:$J$2001,Transaksi!$M$2:$M$2001,"&lt;="&amp;S581)),"")</f>
        <v/>
      </c>
      <c r="I581">
        <f>IF(578&gt;$O$2,"",MATCH(578,$Q$3:$Q$402,1))</f>
        <v/>
      </c>
      <c r="J581">
        <f>IF(I581="","",IF(578=INDEX($Q$3:$Q$402,I581),"H","E"))</f>
        <v/>
      </c>
      <c r="K581">
        <f>IF(J581&lt;&gt;"E","",MATCH(S581,Transaksi!$M$2:$M$2001,0)+578-INDEX($Q$3:$Q$402,I581)-1)</f>
        <v/>
      </c>
      <c r="S581">
        <f>IF(I581="","",INDEX($O$3:$O$402,I581))</f>
        <v/>
      </c>
      <c r="T581">
        <f>IF(J581&lt;&gt;"H","",INDEX(Transaksi!$A$2:$A$2001,MATCH(S581,Transaksi!$M$2:$M$2001,0)))</f>
        <v/>
      </c>
    </row>
    <row r="582">
      <c r="A582" s="31">
        <f>IF(J582="E",IF(INDEX(Transaksi!$J$2:$J$2001,K582)&gt;0,"↑","↓"),"")</f>
        <v/>
      </c>
      <c r="B582" s="32">
        <f>IF(J582="H",CHOOSE(WEEKDAY(T582,2),"Isnin","Selasa","Rabu","Khamis","Jumaat","Sabtu","Ahad")&amp;", "&amp;DAY(T582)&amp;" "&amp;CHOOSE(MONTH(T582),"Jan","Feb","Mac","Apr","Mei","Jun","Jul","Ogo","Sep","Okt","Nov","Dis")&amp;" "&amp;YEAR(T582),IF(J582="E",IF(INDEX(Transaksi!$B$2:$B$2001,K582)="",INDEX(Transaksi!$C$2:$C$2001,K582)&amp;" · "&amp;INDEX(Transaksi!$D$2:$D$2001,K582),INDEX(Transaksi!$B$2:$B$2001,K582)),""))</f>
        <v/>
      </c>
      <c r="C582" s="32">
        <f>IF(J582="E",INDEX(Transaksi!$C$2:$C$2001,K582)&amp;"","")</f>
        <v/>
      </c>
      <c r="D582" s="32">
        <f>IF(J582="E",INDEX(Transaksi!$D$2:$D$2001,K582)&amp;"","")</f>
        <v/>
      </c>
      <c r="E582" s="33">
        <f>IF(J582="H",SUMIFS(Transaksi!$G$2:$G$2001,Transaksi!$M$2:$M$2001,"="&amp;S582)+SUMIFS(Transaksi!$H$2:$H$2001,Transaksi!$M$2:$M$2001,"="&amp;S582)+SUMIFS(Transaksi!$I$2:$I$2001,Transaksi!$M$2:$M$2001,"="&amp;S582),IF(J582="E",IF(INDEX(Transaksi!$G$2:$G$2001,K582)+INDEX(Transaksi!$H$2:$H$2001,K582)+INDEX(Transaksi!$I$2:$I$2001,K582)=0,"",INDEX(Transaksi!$G$2:$G$2001,K582)+INDEX(Transaksi!$H$2:$H$2001,K582)+INDEX(Transaksi!$I$2:$I$2001,K582)),""))</f>
        <v/>
      </c>
      <c r="F582" s="33">
        <f>IF(J582="H",SUMIFS(Transaksi!$J$2:$J$2001,Transaksi!$M$2:$M$2001,"="&amp;S582),IF(J582="E",IF(INDEX(Transaksi!$J$2:$J$2001,K582)=0,"",INDEX(Transaksi!$J$2:$J$2001,K582)),""))</f>
        <v/>
      </c>
      <c r="G582" s="33">
        <f>IF(J582="H",(SUMIFS(Transaksi!$G$2:$G$2001,Transaksi!$M$2:$M$2001,"&lt;="&amp;S582)+SUMIFS(Transaksi!$H$2:$H$2001,Transaksi!$M$2:$M$2001,"&lt;="&amp;S582)+SUMIFS(Transaksi!$I$2:$I$2001,Transaksi!$M$2:$M$2001,"&lt;="&amp;S582))-(SUMIFS(Transaksi!$J$2:$J$2001,Transaksi!$M$2:$M$2001,"&lt;="&amp;S582)),"")</f>
        <v/>
      </c>
      <c r="I582">
        <f>IF(579&gt;$O$2,"",MATCH(579,$Q$3:$Q$402,1))</f>
        <v/>
      </c>
      <c r="J582">
        <f>IF(I582="","",IF(579=INDEX($Q$3:$Q$402,I582),"H","E"))</f>
        <v/>
      </c>
      <c r="K582">
        <f>IF(J582&lt;&gt;"E","",MATCH(S582,Transaksi!$M$2:$M$2001,0)+579-INDEX($Q$3:$Q$402,I582)-1)</f>
        <v/>
      </c>
      <c r="S582">
        <f>IF(I582="","",INDEX($O$3:$O$402,I582))</f>
        <v/>
      </c>
      <c r="T582">
        <f>IF(J582&lt;&gt;"H","",INDEX(Transaksi!$A$2:$A$2001,MATCH(S582,Transaksi!$M$2:$M$2001,0)))</f>
        <v/>
      </c>
    </row>
    <row r="583">
      <c r="A583" s="31">
        <f>IF(J583="E",IF(INDEX(Transaksi!$J$2:$J$2001,K583)&gt;0,"↑","↓"),"")</f>
        <v/>
      </c>
      <c r="B583" s="32">
        <f>IF(J583="H",CHOOSE(WEEKDAY(T583,2),"Isnin","Selasa","Rabu","Khamis","Jumaat","Sabtu","Ahad")&amp;", "&amp;DAY(T583)&amp;" "&amp;CHOOSE(MONTH(T583),"Jan","Feb","Mac","Apr","Mei","Jun","Jul","Ogo","Sep","Okt","Nov","Dis")&amp;" "&amp;YEAR(T583),IF(J583="E",IF(INDEX(Transaksi!$B$2:$B$2001,K583)="",INDEX(Transaksi!$C$2:$C$2001,K583)&amp;" · "&amp;INDEX(Transaksi!$D$2:$D$2001,K583),INDEX(Transaksi!$B$2:$B$2001,K583)),""))</f>
        <v/>
      </c>
      <c r="C583" s="32">
        <f>IF(J583="E",INDEX(Transaksi!$C$2:$C$2001,K583)&amp;"","")</f>
        <v/>
      </c>
      <c r="D583" s="32">
        <f>IF(J583="E",INDEX(Transaksi!$D$2:$D$2001,K583)&amp;"","")</f>
        <v/>
      </c>
      <c r="E583" s="33">
        <f>IF(J583="H",SUMIFS(Transaksi!$G$2:$G$2001,Transaksi!$M$2:$M$2001,"="&amp;S583)+SUMIFS(Transaksi!$H$2:$H$2001,Transaksi!$M$2:$M$2001,"="&amp;S583)+SUMIFS(Transaksi!$I$2:$I$2001,Transaksi!$M$2:$M$2001,"="&amp;S583),IF(J583="E",IF(INDEX(Transaksi!$G$2:$G$2001,K583)+INDEX(Transaksi!$H$2:$H$2001,K583)+INDEX(Transaksi!$I$2:$I$2001,K583)=0,"",INDEX(Transaksi!$G$2:$G$2001,K583)+INDEX(Transaksi!$H$2:$H$2001,K583)+INDEX(Transaksi!$I$2:$I$2001,K583)),""))</f>
        <v/>
      </c>
      <c r="F583" s="33">
        <f>IF(J583="H",SUMIFS(Transaksi!$J$2:$J$2001,Transaksi!$M$2:$M$2001,"="&amp;S583),IF(J583="E",IF(INDEX(Transaksi!$J$2:$J$2001,K583)=0,"",INDEX(Transaksi!$J$2:$J$2001,K583)),""))</f>
        <v/>
      </c>
      <c r="G583" s="33">
        <f>IF(J583="H",(SUMIFS(Transaksi!$G$2:$G$2001,Transaksi!$M$2:$M$2001,"&lt;="&amp;S583)+SUMIFS(Transaksi!$H$2:$H$2001,Transaksi!$M$2:$M$2001,"&lt;="&amp;S583)+SUMIFS(Transaksi!$I$2:$I$2001,Transaksi!$M$2:$M$2001,"&lt;="&amp;S583))-(SUMIFS(Transaksi!$J$2:$J$2001,Transaksi!$M$2:$M$2001,"&lt;="&amp;S583)),"")</f>
        <v/>
      </c>
      <c r="I583">
        <f>IF(580&gt;$O$2,"",MATCH(580,$Q$3:$Q$402,1))</f>
        <v/>
      </c>
      <c r="J583">
        <f>IF(I583="","",IF(580=INDEX($Q$3:$Q$402,I583),"H","E"))</f>
        <v/>
      </c>
      <c r="K583">
        <f>IF(J583&lt;&gt;"E","",MATCH(S583,Transaksi!$M$2:$M$2001,0)+580-INDEX($Q$3:$Q$402,I583)-1)</f>
        <v/>
      </c>
      <c r="S583">
        <f>IF(I583="","",INDEX($O$3:$O$402,I583))</f>
        <v/>
      </c>
      <c r="T583">
        <f>IF(J583&lt;&gt;"H","",INDEX(Transaksi!$A$2:$A$2001,MATCH(S583,Transaksi!$M$2:$M$2001,0)))</f>
        <v/>
      </c>
    </row>
    <row r="584">
      <c r="A584" s="31">
        <f>IF(J584="E",IF(INDEX(Transaksi!$J$2:$J$2001,K584)&gt;0,"↑","↓"),"")</f>
        <v/>
      </c>
      <c r="B584" s="32">
        <f>IF(J584="H",CHOOSE(WEEKDAY(T584,2),"Isnin","Selasa","Rabu","Khamis","Jumaat","Sabtu","Ahad")&amp;", "&amp;DAY(T584)&amp;" "&amp;CHOOSE(MONTH(T584),"Jan","Feb","Mac","Apr","Mei","Jun","Jul","Ogo","Sep","Okt","Nov","Dis")&amp;" "&amp;YEAR(T584),IF(J584="E",IF(INDEX(Transaksi!$B$2:$B$2001,K584)="",INDEX(Transaksi!$C$2:$C$2001,K584)&amp;" · "&amp;INDEX(Transaksi!$D$2:$D$2001,K584),INDEX(Transaksi!$B$2:$B$2001,K584)),""))</f>
        <v/>
      </c>
      <c r="C584" s="32">
        <f>IF(J584="E",INDEX(Transaksi!$C$2:$C$2001,K584)&amp;"","")</f>
        <v/>
      </c>
      <c r="D584" s="32">
        <f>IF(J584="E",INDEX(Transaksi!$D$2:$D$2001,K584)&amp;"","")</f>
        <v/>
      </c>
      <c r="E584" s="33">
        <f>IF(J584="H",SUMIFS(Transaksi!$G$2:$G$2001,Transaksi!$M$2:$M$2001,"="&amp;S584)+SUMIFS(Transaksi!$H$2:$H$2001,Transaksi!$M$2:$M$2001,"="&amp;S584)+SUMIFS(Transaksi!$I$2:$I$2001,Transaksi!$M$2:$M$2001,"="&amp;S584),IF(J584="E",IF(INDEX(Transaksi!$G$2:$G$2001,K584)+INDEX(Transaksi!$H$2:$H$2001,K584)+INDEX(Transaksi!$I$2:$I$2001,K584)=0,"",INDEX(Transaksi!$G$2:$G$2001,K584)+INDEX(Transaksi!$H$2:$H$2001,K584)+INDEX(Transaksi!$I$2:$I$2001,K584)),""))</f>
        <v/>
      </c>
      <c r="F584" s="33">
        <f>IF(J584="H",SUMIFS(Transaksi!$J$2:$J$2001,Transaksi!$M$2:$M$2001,"="&amp;S584),IF(J584="E",IF(INDEX(Transaksi!$J$2:$J$2001,K584)=0,"",INDEX(Transaksi!$J$2:$J$2001,K584)),""))</f>
        <v/>
      </c>
      <c r="G584" s="33">
        <f>IF(J584="H",(SUMIFS(Transaksi!$G$2:$G$2001,Transaksi!$M$2:$M$2001,"&lt;="&amp;S584)+SUMIFS(Transaksi!$H$2:$H$2001,Transaksi!$M$2:$M$2001,"&lt;="&amp;S584)+SUMIFS(Transaksi!$I$2:$I$2001,Transaksi!$M$2:$M$2001,"&lt;="&amp;S584))-(SUMIFS(Transaksi!$J$2:$J$2001,Transaksi!$M$2:$M$2001,"&lt;="&amp;S584)),"")</f>
        <v/>
      </c>
      <c r="I584">
        <f>IF(581&gt;$O$2,"",MATCH(581,$Q$3:$Q$402,1))</f>
        <v/>
      </c>
      <c r="J584">
        <f>IF(I584="","",IF(581=INDEX($Q$3:$Q$402,I584),"H","E"))</f>
        <v/>
      </c>
      <c r="K584">
        <f>IF(J584&lt;&gt;"E","",MATCH(S584,Transaksi!$M$2:$M$2001,0)+581-INDEX($Q$3:$Q$402,I584)-1)</f>
        <v/>
      </c>
      <c r="S584">
        <f>IF(I584="","",INDEX($O$3:$O$402,I584))</f>
        <v/>
      </c>
      <c r="T584">
        <f>IF(J584&lt;&gt;"H","",INDEX(Transaksi!$A$2:$A$2001,MATCH(S584,Transaksi!$M$2:$M$2001,0)))</f>
        <v/>
      </c>
    </row>
    <row r="585">
      <c r="A585" s="31">
        <f>IF(J585="E",IF(INDEX(Transaksi!$J$2:$J$2001,K585)&gt;0,"↑","↓"),"")</f>
        <v/>
      </c>
      <c r="B585" s="32">
        <f>IF(J585="H",CHOOSE(WEEKDAY(T585,2),"Isnin","Selasa","Rabu","Khamis","Jumaat","Sabtu","Ahad")&amp;", "&amp;DAY(T585)&amp;" "&amp;CHOOSE(MONTH(T585),"Jan","Feb","Mac","Apr","Mei","Jun","Jul","Ogo","Sep","Okt","Nov","Dis")&amp;" "&amp;YEAR(T585),IF(J585="E",IF(INDEX(Transaksi!$B$2:$B$2001,K585)="",INDEX(Transaksi!$C$2:$C$2001,K585)&amp;" · "&amp;INDEX(Transaksi!$D$2:$D$2001,K585),INDEX(Transaksi!$B$2:$B$2001,K585)),""))</f>
        <v/>
      </c>
      <c r="C585" s="32">
        <f>IF(J585="E",INDEX(Transaksi!$C$2:$C$2001,K585)&amp;"","")</f>
        <v/>
      </c>
      <c r="D585" s="32">
        <f>IF(J585="E",INDEX(Transaksi!$D$2:$D$2001,K585)&amp;"","")</f>
        <v/>
      </c>
      <c r="E585" s="33">
        <f>IF(J585="H",SUMIFS(Transaksi!$G$2:$G$2001,Transaksi!$M$2:$M$2001,"="&amp;S585)+SUMIFS(Transaksi!$H$2:$H$2001,Transaksi!$M$2:$M$2001,"="&amp;S585)+SUMIFS(Transaksi!$I$2:$I$2001,Transaksi!$M$2:$M$2001,"="&amp;S585),IF(J585="E",IF(INDEX(Transaksi!$G$2:$G$2001,K585)+INDEX(Transaksi!$H$2:$H$2001,K585)+INDEX(Transaksi!$I$2:$I$2001,K585)=0,"",INDEX(Transaksi!$G$2:$G$2001,K585)+INDEX(Transaksi!$H$2:$H$2001,K585)+INDEX(Transaksi!$I$2:$I$2001,K585)),""))</f>
        <v/>
      </c>
      <c r="F585" s="33">
        <f>IF(J585="H",SUMIFS(Transaksi!$J$2:$J$2001,Transaksi!$M$2:$M$2001,"="&amp;S585),IF(J585="E",IF(INDEX(Transaksi!$J$2:$J$2001,K585)=0,"",INDEX(Transaksi!$J$2:$J$2001,K585)),""))</f>
        <v/>
      </c>
      <c r="G585" s="33">
        <f>IF(J585="H",(SUMIFS(Transaksi!$G$2:$G$2001,Transaksi!$M$2:$M$2001,"&lt;="&amp;S585)+SUMIFS(Transaksi!$H$2:$H$2001,Transaksi!$M$2:$M$2001,"&lt;="&amp;S585)+SUMIFS(Transaksi!$I$2:$I$2001,Transaksi!$M$2:$M$2001,"&lt;="&amp;S585))-(SUMIFS(Transaksi!$J$2:$J$2001,Transaksi!$M$2:$M$2001,"&lt;="&amp;S585)),"")</f>
        <v/>
      </c>
      <c r="I585">
        <f>IF(582&gt;$O$2,"",MATCH(582,$Q$3:$Q$402,1))</f>
        <v/>
      </c>
      <c r="J585">
        <f>IF(I585="","",IF(582=INDEX($Q$3:$Q$402,I585),"H","E"))</f>
        <v/>
      </c>
      <c r="K585">
        <f>IF(J585&lt;&gt;"E","",MATCH(S585,Transaksi!$M$2:$M$2001,0)+582-INDEX($Q$3:$Q$402,I585)-1)</f>
        <v/>
      </c>
      <c r="S585">
        <f>IF(I585="","",INDEX($O$3:$O$402,I585))</f>
        <v/>
      </c>
      <c r="T585">
        <f>IF(J585&lt;&gt;"H","",INDEX(Transaksi!$A$2:$A$2001,MATCH(S585,Transaksi!$M$2:$M$2001,0)))</f>
        <v/>
      </c>
    </row>
    <row r="586">
      <c r="A586" s="31">
        <f>IF(J586="E",IF(INDEX(Transaksi!$J$2:$J$2001,K586)&gt;0,"↑","↓"),"")</f>
        <v/>
      </c>
      <c r="B586" s="32">
        <f>IF(J586="H",CHOOSE(WEEKDAY(T586,2),"Isnin","Selasa","Rabu","Khamis","Jumaat","Sabtu","Ahad")&amp;", "&amp;DAY(T586)&amp;" "&amp;CHOOSE(MONTH(T586),"Jan","Feb","Mac","Apr","Mei","Jun","Jul","Ogo","Sep","Okt","Nov","Dis")&amp;" "&amp;YEAR(T586),IF(J586="E",IF(INDEX(Transaksi!$B$2:$B$2001,K586)="",INDEX(Transaksi!$C$2:$C$2001,K586)&amp;" · "&amp;INDEX(Transaksi!$D$2:$D$2001,K586),INDEX(Transaksi!$B$2:$B$2001,K586)),""))</f>
        <v/>
      </c>
      <c r="C586" s="32">
        <f>IF(J586="E",INDEX(Transaksi!$C$2:$C$2001,K586)&amp;"","")</f>
        <v/>
      </c>
      <c r="D586" s="32">
        <f>IF(J586="E",INDEX(Transaksi!$D$2:$D$2001,K586)&amp;"","")</f>
        <v/>
      </c>
      <c r="E586" s="33">
        <f>IF(J586="H",SUMIFS(Transaksi!$G$2:$G$2001,Transaksi!$M$2:$M$2001,"="&amp;S586)+SUMIFS(Transaksi!$H$2:$H$2001,Transaksi!$M$2:$M$2001,"="&amp;S586)+SUMIFS(Transaksi!$I$2:$I$2001,Transaksi!$M$2:$M$2001,"="&amp;S586),IF(J586="E",IF(INDEX(Transaksi!$G$2:$G$2001,K586)+INDEX(Transaksi!$H$2:$H$2001,K586)+INDEX(Transaksi!$I$2:$I$2001,K586)=0,"",INDEX(Transaksi!$G$2:$G$2001,K586)+INDEX(Transaksi!$H$2:$H$2001,K586)+INDEX(Transaksi!$I$2:$I$2001,K586)),""))</f>
        <v/>
      </c>
      <c r="F586" s="33">
        <f>IF(J586="H",SUMIFS(Transaksi!$J$2:$J$2001,Transaksi!$M$2:$M$2001,"="&amp;S586),IF(J586="E",IF(INDEX(Transaksi!$J$2:$J$2001,K586)=0,"",INDEX(Transaksi!$J$2:$J$2001,K586)),""))</f>
        <v/>
      </c>
      <c r="G586" s="33">
        <f>IF(J586="H",(SUMIFS(Transaksi!$G$2:$G$2001,Transaksi!$M$2:$M$2001,"&lt;="&amp;S586)+SUMIFS(Transaksi!$H$2:$H$2001,Transaksi!$M$2:$M$2001,"&lt;="&amp;S586)+SUMIFS(Transaksi!$I$2:$I$2001,Transaksi!$M$2:$M$2001,"&lt;="&amp;S586))-(SUMIFS(Transaksi!$J$2:$J$2001,Transaksi!$M$2:$M$2001,"&lt;="&amp;S586)),"")</f>
        <v/>
      </c>
      <c r="I586">
        <f>IF(583&gt;$O$2,"",MATCH(583,$Q$3:$Q$402,1))</f>
        <v/>
      </c>
      <c r="J586">
        <f>IF(I586="","",IF(583=INDEX($Q$3:$Q$402,I586),"H","E"))</f>
        <v/>
      </c>
      <c r="K586">
        <f>IF(J586&lt;&gt;"E","",MATCH(S586,Transaksi!$M$2:$M$2001,0)+583-INDEX($Q$3:$Q$402,I586)-1)</f>
        <v/>
      </c>
      <c r="S586">
        <f>IF(I586="","",INDEX($O$3:$O$402,I586))</f>
        <v/>
      </c>
      <c r="T586">
        <f>IF(J586&lt;&gt;"H","",INDEX(Transaksi!$A$2:$A$2001,MATCH(S586,Transaksi!$M$2:$M$2001,0)))</f>
        <v/>
      </c>
    </row>
    <row r="587">
      <c r="A587" s="31">
        <f>IF(J587="E",IF(INDEX(Transaksi!$J$2:$J$2001,K587)&gt;0,"↑","↓"),"")</f>
        <v/>
      </c>
      <c r="B587" s="32">
        <f>IF(J587="H",CHOOSE(WEEKDAY(T587,2),"Isnin","Selasa","Rabu","Khamis","Jumaat","Sabtu","Ahad")&amp;", "&amp;DAY(T587)&amp;" "&amp;CHOOSE(MONTH(T587),"Jan","Feb","Mac","Apr","Mei","Jun","Jul","Ogo","Sep","Okt","Nov","Dis")&amp;" "&amp;YEAR(T587),IF(J587="E",IF(INDEX(Transaksi!$B$2:$B$2001,K587)="",INDEX(Transaksi!$C$2:$C$2001,K587)&amp;" · "&amp;INDEX(Transaksi!$D$2:$D$2001,K587),INDEX(Transaksi!$B$2:$B$2001,K587)),""))</f>
        <v/>
      </c>
      <c r="C587" s="32">
        <f>IF(J587="E",INDEX(Transaksi!$C$2:$C$2001,K587)&amp;"","")</f>
        <v/>
      </c>
      <c r="D587" s="32">
        <f>IF(J587="E",INDEX(Transaksi!$D$2:$D$2001,K587)&amp;"","")</f>
        <v/>
      </c>
      <c r="E587" s="33">
        <f>IF(J587="H",SUMIFS(Transaksi!$G$2:$G$2001,Transaksi!$M$2:$M$2001,"="&amp;S587)+SUMIFS(Transaksi!$H$2:$H$2001,Transaksi!$M$2:$M$2001,"="&amp;S587)+SUMIFS(Transaksi!$I$2:$I$2001,Transaksi!$M$2:$M$2001,"="&amp;S587),IF(J587="E",IF(INDEX(Transaksi!$G$2:$G$2001,K587)+INDEX(Transaksi!$H$2:$H$2001,K587)+INDEX(Transaksi!$I$2:$I$2001,K587)=0,"",INDEX(Transaksi!$G$2:$G$2001,K587)+INDEX(Transaksi!$H$2:$H$2001,K587)+INDEX(Transaksi!$I$2:$I$2001,K587)),""))</f>
        <v/>
      </c>
      <c r="F587" s="33">
        <f>IF(J587="H",SUMIFS(Transaksi!$J$2:$J$2001,Transaksi!$M$2:$M$2001,"="&amp;S587),IF(J587="E",IF(INDEX(Transaksi!$J$2:$J$2001,K587)=0,"",INDEX(Transaksi!$J$2:$J$2001,K587)),""))</f>
        <v/>
      </c>
      <c r="G587" s="33">
        <f>IF(J587="H",(SUMIFS(Transaksi!$G$2:$G$2001,Transaksi!$M$2:$M$2001,"&lt;="&amp;S587)+SUMIFS(Transaksi!$H$2:$H$2001,Transaksi!$M$2:$M$2001,"&lt;="&amp;S587)+SUMIFS(Transaksi!$I$2:$I$2001,Transaksi!$M$2:$M$2001,"&lt;="&amp;S587))-(SUMIFS(Transaksi!$J$2:$J$2001,Transaksi!$M$2:$M$2001,"&lt;="&amp;S587)),"")</f>
        <v/>
      </c>
      <c r="I587">
        <f>IF(584&gt;$O$2,"",MATCH(584,$Q$3:$Q$402,1))</f>
        <v/>
      </c>
      <c r="J587">
        <f>IF(I587="","",IF(584=INDEX($Q$3:$Q$402,I587),"H","E"))</f>
        <v/>
      </c>
      <c r="K587">
        <f>IF(J587&lt;&gt;"E","",MATCH(S587,Transaksi!$M$2:$M$2001,0)+584-INDEX($Q$3:$Q$402,I587)-1)</f>
        <v/>
      </c>
      <c r="S587">
        <f>IF(I587="","",INDEX($O$3:$O$402,I587))</f>
        <v/>
      </c>
      <c r="T587">
        <f>IF(J587&lt;&gt;"H","",INDEX(Transaksi!$A$2:$A$2001,MATCH(S587,Transaksi!$M$2:$M$2001,0)))</f>
        <v/>
      </c>
    </row>
    <row r="588">
      <c r="A588" s="31">
        <f>IF(J588="E",IF(INDEX(Transaksi!$J$2:$J$2001,K588)&gt;0,"↑","↓"),"")</f>
        <v/>
      </c>
      <c r="B588" s="32">
        <f>IF(J588="H",CHOOSE(WEEKDAY(T588,2),"Isnin","Selasa","Rabu","Khamis","Jumaat","Sabtu","Ahad")&amp;", "&amp;DAY(T588)&amp;" "&amp;CHOOSE(MONTH(T588),"Jan","Feb","Mac","Apr","Mei","Jun","Jul","Ogo","Sep","Okt","Nov","Dis")&amp;" "&amp;YEAR(T588),IF(J588="E",IF(INDEX(Transaksi!$B$2:$B$2001,K588)="",INDEX(Transaksi!$C$2:$C$2001,K588)&amp;" · "&amp;INDEX(Transaksi!$D$2:$D$2001,K588),INDEX(Transaksi!$B$2:$B$2001,K588)),""))</f>
        <v/>
      </c>
      <c r="C588" s="32">
        <f>IF(J588="E",INDEX(Transaksi!$C$2:$C$2001,K588)&amp;"","")</f>
        <v/>
      </c>
      <c r="D588" s="32">
        <f>IF(J588="E",INDEX(Transaksi!$D$2:$D$2001,K588)&amp;"","")</f>
        <v/>
      </c>
      <c r="E588" s="33">
        <f>IF(J588="H",SUMIFS(Transaksi!$G$2:$G$2001,Transaksi!$M$2:$M$2001,"="&amp;S588)+SUMIFS(Transaksi!$H$2:$H$2001,Transaksi!$M$2:$M$2001,"="&amp;S588)+SUMIFS(Transaksi!$I$2:$I$2001,Transaksi!$M$2:$M$2001,"="&amp;S588),IF(J588="E",IF(INDEX(Transaksi!$G$2:$G$2001,K588)+INDEX(Transaksi!$H$2:$H$2001,K588)+INDEX(Transaksi!$I$2:$I$2001,K588)=0,"",INDEX(Transaksi!$G$2:$G$2001,K588)+INDEX(Transaksi!$H$2:$H$2001,K588)+INDEX(Transaksi!$I$2:$I$2001,K588)),""))</f>
        <v/>
      </c>
      <c r="F588" s="33">
        <f>IF(J588="H",SUMIFS(Transaksi!$J$2:$J$2001,Transaksi!$M$2:$M$2001,"="&amp;S588),IF(J588="E",IF(INDEX(Transaksi!$J$2:$J$2001,K588)=0,"",INDEX(Transaksi!$J$2:$J$2001,K588)),""))</f>
        <v/>
      </c>
      <c r="G588" s="33">
        <f>IF(J588="H",(SUMIFS(Transaksi!$G$2:$G$2001,Transaksi!$M$2:$M$2001,"&lt;="&amp;S588)+SUMIFS(Transaksi!$H$2:$H$2001,Transaksi!$M$2:$M$2001,"&lt;="&amp;S588)+SUMIFS(Transaksi!$I$2:$I$2001,Transaksi!$M$2:$M$2001,"&lt;="&amp;S588))-(SUMIFS(Transaksi!$J$2:$J$2001,Transaksi!$M$2:$M$2001,"&lt;="&amp;S588)),"")</f>
        <v/>
      </c>
      <c r="I588">
        <f>IF(585&gt;$O$2,"",MATCH(585,$Q$3:$Q$402,1))</f>
        <v/>
      </c>
      <c r="J588">
        <f>IF(I588="","",IF(585=INDEX($Q$3:$Q$402,I588),"H","E"))</f>
        <v/>
      </c>
      <c r="K588">
        <f>IF(J588&lt;&gt;"E","",MATCH(S588,Transaksi!$M$2:$M$2001,0)+585-INDEX($Q$3:$Q$402,I588)-1)</f>
        <v/>
      </c>
      <c r="S588">
        <f>IF(I588="","",INDEX($O$3:$O$402,I588))</f>
        <v/>
      </c>
      <c r="T588">
        <f>IF(J588&lt;&gt;"H","",INDEX(Transaksi!$A$2:$A$2001,MATCH(S588,Transaksi!$M$2:$M$2001,0)))</f>
        <v/>
      </c>
    </row>
    <row r="589">
      <c r="A589" s="31">
        <f>IF(J589="E",IF(INDEX(Transaksi!$J$2:$J$2001,K589)&gt;0,"↑","↓"),"")</f>
        <v/>
      </c>
      <c r="B589" s="32">
        <f>IF(J589="H",CHOOSE(WEEKDAY(T589,2),"Isnin","Selasa","Rabu","Khamis","Jumaat","Sabtu","Ahad")&amp;", "&amp;DAY(T589)&amp;" "&amp;CHOOSE(MONTH(T589),"Jan","Feb","Mac","Apr","Mei","Jun","Jul","Ogo","Sep","Okt","Nov","Dis")&amp;" "&amp;YEAR(T589),IF(J589="E",IF(INDEX(Transaksi!$B$2:$B$2001,K589)="",INDEX(Transaksi!$C$2:$C$2001,K589)&amp;" · "&amp;INDEX(Transaksi!$D$2:$D$2001,K589),INDEX(Transaksi!$B$2:$B$2001,K589)),""))</f>
        <v/>
      </c>
      <c r="C589" s="32">
        <f>IF(J589="E",INDEX(Transaksi!$C$2:$C$2001,K589)&amp;"","")</f>
        <v/>
      </c>
      <c r="D589" s="32">
        <f>IF(J589="E",INDEX(Transaksi!$D$2:$D$2001,K589)&amp;"","")</f>
        <v/>
      </c>
      <c r="E589" s="33">
        <f>IF(J589="H",SUMIFS(Transaksi!$G$2:$G$2001,Transaksi!$M$2:$M$2001,"="&amp;S589)+SUMIFS(Transaksi!$H$2:$H$2001,Transaksi!$M$2:$M$2001,"="&amp;S589)+SUMIFS(Transaksi!$I$2:$I$2001,Transaksi!$M$2:$M$2001,"="&amp;S589),IF(J589="E",IF(INDEX(Transaksi!$G$2:$G$2001,K589)+INDEX(Transaksi!$H$2:$H$2001,K589)+INDEX(Transaksi!$I$2:$I$2001,K589)=0,"",INDEX(Transaksi!$G$2:$G$2001,K589)+INDEX(Transaksi!$H$2:$H$2001,K589)+INDEX(Transaksi!$I$2:$I$2001,K589)),""))</f>
        <v/>
      </c>
      <c r="F589" s="33">
        <f>IF(J589="H",SUMIFS(Transaksi!$J$2:$J$2001,Transaksi!$M$2:$M$2001,"="&amp;S589),IF(J589="E",IF(INDEX(Transaksi!$J$2:$J$2001,K589)=0,"",INDEX(Transaksi!$J$2:$J$2001,K589)),""))</f>
        <v/>
      </c>
      <c r="G589" s="33">
        <f>IF(J589="H",(SUMIFS(Transaksi!$G$2:$G$2001,Transaksi!$M$2:$M$2001,"&lt;="&amp;S589)+SUMIFS(Transaksi!$H$2:$H$2001,Transaksi!$M$2:$M$2001,"&lt;="&amp;S589)+SUMIFS(Transaksi!$I$2:$I$2001,Transaksi!$M$2:$M$2001,"&lt;="&amp;S589))-(SUMIFS(Transaksi!$J$2:$J$2001,Transaksi!$M$2:$M$2001,"&lt;="&amp;S589)),"")</f>
        <v/>
      </c>
      <c r="I589">
        <f>IF(586&gt;$O$2,"",MATCH(586,$Q$3:$Q$402,1))</f>
        <v/>
      </c>
      <c r="J589">
        <f>IF(I589="","",IF(586=INDEX($Q$3:$Q$402,I589),"H","E"))</f>
        <v/>
      </c>
      <c r="K589">
        <f>IF(J589&lt;&gt;"E","",MATCH(S589,Transaksi!$M$2:$M$2001,0)+586-INDEX($Q$3:$Q$402,I589)-1)</f>
        <v/>
      </c>
      <c r="S589">
        <f>IF(I589="","",INDEX($O$3:$O$402,I589))</f>
        <v/>
      </c>
      <c r="T589">
        <f>IF(J589&lt;&gt;"H","",INDEX(Transaksi!$A$2:$A$2001,MATCH(S589,Transaksi!$M$2:$M$2001,0)))</f>
        <v/>
      </c>
    </row>
    <row r="590">
      <c r="A590" s="31">
        <f>IF(J590="E",IF(INDEX(Transaksi!$J$2:$J$2001,K590)&gt;0,"↑","↓"),"")</f>
        <v/>
      </c>
      <c r="B590" s="32">
        <f>IF(J590="H",CHOOSE(WEEKDAY(T590,2),"Isnin","Selasa","Rabu","Khamis","Jumaat","Sabtu","Ahad")&amp;", "&amp;DAY(T590)&amp;" "&amp;CHOOSE(MONTH(T590),"Jan","Feb","Mac","Apr","Mei","Jun","Jul","Ogo","Sep","Okt","Nov","Dis")&amp;" "&amp;YEAR(T590),IF(J590="E",IF(INDEX(Transaksi!$B$2:$B$2001,K590)="",INDEX(Transaksi!$C$2:$C$2001,K590)&amp;" · "&amp;INDEX(Transaksi!$D$2:$D$2001,K590),INDEX(Transaksi!$B$2:$B$2001,K590)),""))</f>
        <v/>
      </c>
      <c r="C590" s="32">
        <f>IF(J590="E",INDEX(Transaksi!$C$2:$C$2001,K590)&amp;"","")</f>
        <v/>
      </c>
      <c r="D590" s="32">
        <f>IF(J590="E",INDEX(Transaksi!$D$2:$D$2001,K590)&amp;"","")</f>
        <v/>
      </c>
      <c r="E590" s="33">
        <f>IF(J590="H",SUMIFS(Transaksi!$G$2:$G$2001,Transaksi!$M$2:$M$2001,"="&amp;S590)+SUMIFS(Transaksi!$H$2:$H$2001,Transaksi!$M$2:$M$2001,"="&amp;S590)+SUMIFS(Transaksi!$I$2:$I$2001,Transaksi!$M$2:$M$2001,"="&amp;S590),IF(J590="E",IF(INDEX(Transaksi!$G$2:$G$2001,K590)+INDEX(Transaksi!$H$2:$H$2001,K590)+INDEX(Transaksi!$I$2:$I$2001,K590)=0,"",INDEX(Transaksi!$G$2:$G$2001,K590)+INDEX(Transaksi!$H$2:$H$2001,K590)+INDEX(Transaksi!$I$2:$I$2001,K590)),""))</f>
        <v/>
      </c>
      <c r="F590" s="33">
        <f>IF(J590="H",SUMIFS(Transaksi!$J$2:$J$2001,Transaksi!$M$2:$M$2001,"="&amp;S590),IF(J590="E",IF(INDEX(Transaksi!$J$2:$J$2001,K590)=0,"",INDEX(Transaksi!$J$2:$J$2001,K590)),""))</f>
        <v/>
      </c>
      <c r="G590" s="33">
        <f>IF(J590="H",(SUMIFS(Transaksi!$G$2:$G$2001,Transaksi!$M$2:$M$2001,"&lt;="&amp;S590)+SUMIFS(Transaksi!$H$2:$H$2001,Transaksi!$M$2:$M$2001,"&lt;="&amp;S590)+SUMIFS(Transaksi!$I$2:$I$2001,Transaksi!$M$2:$M$2001,"&lt;="&amp;S590))-(SUMIFS(Transaksi!$J$2:$J$2001,Transaksi!$M$2:$M$2001,"&lt;="&amp;S590)),"")</f>
        <v/>
      </c>
      <c r="I590">
        <f>IF(587&gt;$O$2,"",MATCH(587,$Q$3:$Q$402,1))</f>
        <v/>
      </c>
      <c r="J590">
        <f>IF(I590="","",IF(587=INDEX($Q$3:$Q$402,I590),"H","E"))</f>
        <v/>
      </c>
      <c r="K590">
        <f>IF(J590&lt;&gt;"E","",MATCH(S590,Transaksi!$M$2:$M$2001,0)+587-INDEX($Q$3:$Q$402,I590)-1)</f>
        <v/>
      </c>
      <c r="S590">
        <f>IF(I590="","",INDEX($O$3:$O$402,I590))</f>
        <v/>
      </c>
      <c r="T590">
        <f>IF(J590&lt;&gt;"H","",INDEX(Transaksi!$A$2:$A$2001,MATCH(S590,Transaksi!$M$2:$M$2001,0)))</f>
        <v/>
      </c>
    </row>
    <row r="591">
      <c r="A591" s="31">
        <f>IF(J591="E",IF(INDEX(Transaksi!$J$2:$J$2001,K591)&gt;0,"↑","↓"),"")</f>
        <v/>
      </c>
      <c r="B591" s="32">
        <f>IF(J591="H",CHOOSE(WEEKDAY(T591,2),"Isnin","Selasa","Rabu","Khamis","Jumaat","Sabtu","Ahad")&amp;", "&amp;DAY(T591)&amp;" "&amp;CHOOSE(MONTH(T591),"Jan","Feb","Mac","Apr","Mei","Jun","Jul","Ogo","Sep","Okt","Nov","Dis")&amp;" "&amp;YEAR(T591),IF(J591="E",IF(INDEX(Transaksi!$B$2:$B$2001,K591)="",INDEX(Transaksi!$C$2:$C$2001,K591)&amp;" · "&amp;INDEX(Transaksi!$D$2:$D$2001,K591),INDEX(Transaksi!$B$2:$B$2001,K591)),""))</f>
        <v/>
      </c>
      <c r="C591" s="32">
        <f>IF(J591="E",INDEX(Transaksi!$C$2:$C$2001,K591)&amp;"","")</f>
        <v/>
      </c>
      <c r="D591" s="32">
        <f>IF(J591="E",INDEX(Transaksi!$D$2:$D$2001,K591)&amp;"","")</f>
        <v/>
      </c>
      <c r="E591" s="33">
        <f>IF(J591="H",SUMIFS(Transaksi!$G$2:$G$2001,Transaksi!$M$2:$M$2001,"="&amp;S591)+SUMIFS(Transaksi!$H$2:$H$2001,Transaksi!$M$2:$M$2001,"="&amp;S591)+SUMIFS(Transaksi!$I$2:$I$2001,Transaksi!$M$2:$M$2001,"="&amp;S591),IF(J591="E",IF(INDEX(Transaksi!$G$2:$G$2001,K591)+INDEX(Transaksi!$H$2:$H$2001,K591)+INDEX(Transaksi!$I$2:$I$2001,K591)=0,"",INDEX(Transaksi!$G$2:$G$2001,K591)+INDEX(Transaksi!$H$2:$H$2001,K591)+INDEX(Transaksi!$I$2:$I$2001,K591)),""))</f>
        <v/>
      </c>
      <c r="F591" s="33">
        <f>IF(J591="H",SUMIFS(Transaksi!$J$2:$J$2001,Transaksi!$M$2:$M$2001,"="&amp;S591),IF(J591="E",IF(INDEX(Transaksi!$J$2:$J$2001,K591)=0,"",INDEX(Transaksi!$J$2:$J$2001,K591)),""))</f>
        <v/>
      </c>
      <c r="G591" s="33">
        <f>IF(J591="H",(SUMIFS(Transaksi!$G$2:$G$2001,Transaksi!$M$2:$M$2001,"&lt;="&amp;S591)+SUMIFS(Transaksi!$H$2:$H$2001,Transaksi!$M$2:$M$2001,"&lt;="&amp;S591)+SUMIFS(Transaksi!$I$2:$I$2001,Transaksi!$M$2:$M$2001,"&lt;="&amp;S591))-(SUMIFS(Transaksi!$J$2:$J$2001,Transaksi!$M$2:$M$2001,"&lt;="&amp;S591)),"")</f>
        <v/>
      </c>
      <c r="I591">
        <f>IF(588&gt;$O$2,"",MATCH(588,$Q$3:$Q$402,1))</f>
        <v/>
      </c>
      <c r="J591">
        <f>IF(I591="","",IF(588=INDEX($Q$3:$Q$402,I591),"H","E"))</f>
        <v/>
      </c>
      <c r="K591">
        <f>IF(J591&lt;&gt;"E","",MATCH(S591,Transaksi!$M$2:$M$2001,0)+588-INDEX($Q$3:$Q$402,I591)-1)</f>
        <v/>
      </c>
      <c r="S591">
        <f>IF(I591="","",INDEX($O$3:$O$402,I591))</f>
        <v/>
      </c>
      <c r="T591">
        <f>IF(J591&lt;&gt;"H","",INDEX(Transaksi!$A$2:$A$2001,MATCH(S591,Transaksi!$M$2:$M$2001,0)))</f>
        <v/>
      </c>
    </row>
    <row r="592">
      <c r="A592" s="31">
        <f>IF(J592="E",IF(INDEX(Transaksi!$J$2:$J$2001,K592)&gt;0,"↑","↓"),"")</f>
        <v/>
      </c>
      <c r="B592" s="32">
        <f>IF(J592="H",CHOOSE(WEEKDAY(T592,2),"Isnin","Selasa","Rabu","Khamis","Jumaat","Sabtu","Ahad")&amp;", "&amp;DAY(T592)&amp;" "&amp;CHOOSE(MONTH(T592),"Jan","Feb","Mac","Apr","Mei","Jun","Jul","Ogo","Sep","Okt","Nov","Dis")&amp;" "&amp;YEAR(T592),IF(J592="E",IF(INDEX(Transaksi!$B$2:$B$2001,K592)="",INDEX(Transaksi!$C$2:$C$2001,K592)&amp;" · "&amp;INDEX(Transaksi!$D$2:$D$2001,K592),INDEX(Transaksi!$B$2:$B$2001,K592)),""))</f>
        <v/>
      </c>
      <c r="C592" s="32">
        <f>IF(J592="E",INDEX(Transaksi!$C$2:$C$2001,K592)&amp;"","")</f>
        <v/>
      </c>
      <c r="D592" s="32">
        <f>IF(J592="E",INDEX(Transaksi!$D$2:$D$2001,K592)&amp;"","")</f>
        <v/>
      </c>
      <c r="E592" s="33">
        <f>IF(J592="H",SUMIFS(Transaksi!$G$2:$G$2001,Transaksi!$M$2:$M$2001,"="&amp;S592)+SUMIFS(Transaksi!$H$2:$H$2001,Transaksi!$M$2:$M$2001,"="&amp;S592)+SUMIFS(Transaksi!$I$2:$I$2001,Transaksi!$M$2:$M$2001,"="&amp;S592),IF(J592="E",IF(INDEX(Transaksi!$G$2:$G$2001,K592)+INDEX(Transaksi!$H$2:$H$2001,K592)+INDEX(Transaksi!$I$2:$I$2001,K592)=0,"",INDEX(Transaksi!$G$2:$G$2001,K592)+INDEX(Transaksi!$H$2:$H$2001,K592)+INDEX(Transaksi!$I$2:$I$2001,K592)),""))</f>
        <v/>
      </c>
      <c r="F592" s="33">
        <f>IF(J592="H",SUMIFS(Transaksi!$J$2:$J$2001,Transaksi!$M$2:$M$2001,"="&amp;S592),IF(J592="E",IF(INDEX(Transaksi!$J$2:$J$2001,K592)=0,"",INDEX(Transaksi!$J$2:$J$2001,K592)),""))</f>
        <v/>
      </c>
      <c r="G592" s="33">
        <f>IF(J592="H",(SUMIFS(Transaksi!$G$2:$G$2001,Transaksi!$M$2:$M$2001,"&lt;="&amp;S592)+SUMIFS(Transaksi!$H$2:$H$2001,Transaksi!$M$2:$M$2001,"&lt;="&amp;S592)+SUMIFS(Transaksi!$I$2:$I$2001,Transaksi!$M$2:$M$2001,"&lt;="&amp;S592))-(SUMIFS(Transaksi!$J$2:$J$2001,Transaksi!$M$2:$M$2001,"&lt;="&amp;S592)),"")</f>
        <v/>
      </c>
      <c r="I592">
        <f>IF(589&gt;$O$2,"",MATCH(589,$Q$3:$Q$402,1))</f>
        <v/>
      </c>
      <c r="J592">
        <f>IF(I592="","",IF(589=INDEX($Q$3:$Q$402,I592),"H","E"))</f>
        <v/>
      </c>
      <c r="K592">
        <f>IF(J592&lt;&gt;"E","",MATCH(S592,Transaksi!$M$2:$M$2001,0)+589-INDEX($Q$3:$Q$402,I592)-1)</f>
        <v/>
      </c>
      <c r="S592">
        <f>IF(I592="","",INDEX($O$3:$O$402,I592))</f>
        <v/>
      </c>
      <c r="T592">
        <f>IF(J592&lt;&gt;"H","",INDEX(Transaksi!$A$2:$A$2001,MATCH(S592,Transaksi!$M$2:$M$2001,0)))</f>
        <v/>
      </c>
    </row>
    <row r="593">
      <c r="A593" s="31">
        <f>IF(J593="E",IF(INDEX(Transaksi!$J$2:$J$2001,K593)&gt;0,"↑","↓"),"")</f>
        <v/>
      </c>
      <c r="B593" s="32">
        <f>IF(J593="H",CHOOSE(WEEKDAY(T593,2),"Isnin","Selasa","Rabu","Khamis","Jumaat","Sabtu","Ahad")&amp;", "&amp;DAY(T593)&amp;" "&amp;CHOOSE(MONTH(T593),"Jan","Feb","Mac","Apr","Mei","Jun","Jul","Ogo","Sep","Okt","Nov","Dis")&amp;" "&amp;YEAR(T593),IF(J593="E",IF(INDEX(Transaksi!$B$2:$B$2001,K593)="",INDEX(Transaksi!$C$2:$C$2001,K593)&amp;" · "&amp;INDEX(Transaksi!$D$2:$D$2001,K593),INDEX(Transaksi!$B$2:$B$2001,K593)),""))</f>
        <v/>
      </c>
      <c r="C593" s="32">
        <f>IF(J593="E",INDEX(Transaksi!$C$2:$C$2001,K593)&amp;"","")</f>
        <v/>
      </c>
      <c r="D593" s="32">
        <f>IF(J593="E",INDEX(Transaksi!$D$2:$D$2001,K593)&amp;"","")</f>
        <v/>
      </c>
      <c r="E593" s="33">
        <f>IF(J593="H",SUMIFS(Transaksi!$G$2:$G$2001,Transaksi!$M$2:$M$2001,"="&amp;S593)+SUMIFS(Transaksi!$H$2:$H$2001,Transaksi!$M$2:$M$2001,"="&amp;S593)+SUMIFS(Transaksi!$I$2:$I$2001,Transaksi!$M$2:$M$2001,"="&amp;S593),IF(J593="E",IF(INDEX(Transaksi!$G$2:$G$2001,K593)+INDEX(Transaksi!$H$2:$H$2001,K593)+INDEX(Transaksi!$I$2:$I$2001,K593)=0,"",INDEX(Transaksi!$G$2:$G$2001,K593)+INDEX(Transaksi!$H$2:$H$2001,K593)+INDEX(Transaksi!$I$2:$I$2001,K593)),""))</f>
        <v/>
      </c>
      <c r="F593" s="33">
        <f>IF(J593="H",SUMIFS(Transaksi!$J$2:$J$2001,Transaksi!$M$2:$M$2001,"="&amp;S593),IF(J593="E",IF(INDEX(Transaksi!$J$2:$J$2001,K593)=0,"",INDEX(Transaksi!$J$2:$J$2001,K593)),""))</f>
        <v/>
      </c>
      <c r="G593" s="33">
        <f>IF(J593="H",(SUMIFS(Transaksi!$G$2:$G$2001,Transaksi!$M$2:$M$2001,"&lt;="&amp;S593)+SUMIFS(Transaksi!$H$2:$H$2001,Transaksi!$M$2:$M$2001,"&lt;="&amp;S593)+SUMIFS(Transaksi!$I$2:$I$2001,Transaksi!$M$2:$M$2001,"&lt;="&amp;S593))-(SUMIFS(Transaksi!$J$2:$J$2001,Transaksi!$M$2:$M$2001,"&lt;="&amp;S593)),"")</f>
        <v/>
      </c>
      <c r="I593">
        <f>IF(590&gt;$O$2,"",MATCH(590,$Q$3:$Q$402,1))</f>
        <v/>
      </c>
      <c r="J593">
        <f>IF(I593="","",IF(590=INDEX($Q$3:$Q$402,I593),"H","E"))</f>
        <v/>
      </c>
      <c r="K593">
        <f>IF(J593&lt;&gt;"E","",MATCH(S593,Transaksi!$M$2:$M$2001,0)+590-INDEX($Q$3:$Q$402,I593)-1)</f>
        <v/>
      </c>
      <c r="S593">
        <f>IF(I593="","",INDEX($O$3:$O$402,I593))</f>
        <v/>
      </c>
      <c r="T593">
        <f>IF(J593&lt;&gt;"H","",INDEX(Transaksi!$A$2:$A$2001,MATCH(S593,Transaksi!$M$2:$M$2001,0)))</f>
        <v/>
      </c>
    </row>
    <row r="594">
      <c r="A594" s="31">
        <f>IF(J594="E",IF(INDEX(Transaksi!$J$2:$J$2001,K594)&gt;0,"↑","↓"),"")</f>
        <v/>
      </c>
      <c r="B594" s="32">
        <f>IF(J594="H",CHOOSE(WEEKDAY(T594,2),"Isnin","Selasa","Rabu","Khamis","Jumaat","Sabtu","Ahad")&amp;", "&amp;DAY(T594)&amp;" "&amp;CHOOSE(MONTH(T594),"Jan","Feb","Mac","Apr","Mei","Jun","Jul","Ogo","Sep","Okt","Nov","Dis")&amp;" "&amp;YEAR(T594),IF(J594="E",IF(INDEX(Transaksi!$B$2:$B$2001,K594)="",INDEX(Transaksi!$C$2:$C$2001,K594)&amp;" · "&amp;INDEX(Transaksi!$D$2:$D$2001,K594),INDEX(Transaksi!$B$2:$B$2001,K594)),""))</f>
        <v/>
      </c>
      <c r="C594" s="32">
        <f>IF(J594="E",INDEX(Transaksi!$C$2:$C$2001,K594)&amp;"","")</f>
        <v/>
      </c>
      <c r="D594" s="32">
        <f>IF(J594="E",INDEX(Transaksi!$D$2:$D$2001,K594)&amp;"","")</f>
        <v/>
      </c>
      <c r="E594" s="33">
        <f>IF(J594="H",SUMIFS(Transaksi!$G$2:$G$2001,Transaksi!$M$2:$M$2001,"="&amp;S594)+SUMIFS(Transaksi!$H$2:$H$2001,Transaksi!$M$2:$M$2001,"="&amp;S594)+SUMIFS(Transaksi!$I$2:$I$2001,Transaksi!$M$2:$M$2001,"="&amp;S594),IF(J594="E",IF(INDEX(Transaksi!$G$2:$G$2001,K594)+INDEX(Transaksi!$H$2:$H$2001,K594)+INDEX(Transaksi!$I$2:$I$2001,K594)=0,"",INDEX(Transaksi!$G$2:$G$2001,K594)+INDEX(Transaksi!$H$2:$H$2001,K594)+INDEX(Transaksi!$I$2:$I$2001,K594)),""))</f>
        <v/>
      </c>
      <c r="F594" s="33">
        <f>IF(J594="H",SUMIFS(Transaksi!$J$2:$J$2001,Transaksi!$M$2:$M$2001,"="&amp;S594),IF(J594="E",IF(INDEX(Transaksi!$J$2:$J$2001,K594)=0,"",INDEX(Transaksi!$J$2:$J$2001,K594)),""))</f>
        <v/>
      </c>
      <c r="G594" s="33">
        <f>IF(J594="H",(SUMIFS(Transaksi!$G$2:$G$2001,Transaksi!$M$2:$M$2001,"&lt;="&amp;S594)+SUMIFS(Transaksi!$H$2:$H$2001,Transaksi!$M$2:$M$2001,"&lt;="&amp;S594)+SUMIFS(Transaksi!$I$2:$I$2001,Transaksi!$M$2:$M$2001,"&lt;="&amp;S594))-(SUMIFS(Transaksi!$J$2:$J$2001,Transaksi!$M$2:$M$2001,"&lt;="&amp;S594)),"")</f>
        <v/>
      </c>
      <c r="I594">
        <f>IF(591&gt;$O$2,"",MATCH(591,$Q$3:$Q$402,1))</f>
        <v/>
      </c>
      <c r="J594">
        <f>IF(I594="","",IF(591=INDEX($Q$3:$Q$402,I594),"H","E"))</f>
        <v/>
      </c>
      <c r="K594">
        <f>IF(J594&lt;&gt;"E","",MATCH(S594,Transaksi!$M$2:$M$2001,0)+591-INDEX($Q$3:$Q$402,I594)-1)</f>
        <v/>
      </c>
      <c r="S594">
        <f>IF(I594="","",INDEX($O$3:$O$402,I594))</f>
        <v/>
      </c>
      <c r="T594">
        <f>IF(J594&lt;&gt;"H","",INDEX(Transaksi!$A$2:$A$2001,MATCH(S594,Transaksi!$M$2:$M$2001,0)))</f>
        <v/>
      </c>
    </row>
    <row r="595">
      <c r="A595" s="31">
        <f>IF(J595="E",IF(INDEX(Transaksi!$J$2:$J$2001,K595)&gt;0,"↑","↓"),"")</f>
        <v/>
      </c>
      <c r="B595" s="32">
        <f>IF(J595="H",CHOOSE(WEEKDAY(T595,2),"Isnin","Selasa","Rabu","Khamis","Jumaat","Sabtu","Ahad")&amp;", "&amp;DAY(T595)&amp;" "&amp;CHOOSE(MONTH(T595),"Jan","Feb","Mac","Apr","Mei","Jun","Jul","Ogo","Sep","Okt","Nov","Dis")&amp;" "&amp;YEAR(T595),IF(J595="E",IF(INDEX(Transaksi!$B$2:$B$2001,K595)="",INDEX(Transaksi!$C$2:$C$2001,K595)&amp;" · "&amp;INDEX(Transaksi!$D$2:$D$2001,K595),INDEX(Transaksi!$B$2:$B$2001,K595)),""))</f>
        <v/>
      </c>
      <c r="C595" s="32">
        <f>IF(J595="E",INDEX(Transaksi!$C$2:$C$2001,K595)&amp;"","")</f>
        <v/>
      </c>
      <c r="D595" s="32">
        <f>IF(J595="E",INDEX(Transaksi!$D$2:$D$2001,K595)&amp;"","")</f>
        <v/>
      </c>
      <c r="E595" s="33">
        <f>IF(J595="H",SUMIFS(Transaksi!$G$2:$G$2001,Transaksi!$M$2:$M$2001,"="&amp;S595)+SUMIFS(Transaksi!$H$2:$H$2001,Transaksi!$M$2:$M$2001,"="&amp;S595)+SUMIFS(Transaksi!$I$2:$I$2001,Transaksi!$M$2:$M$2001,"="&amp;S595),IF(J595="E",IF(INDEX(Transaksi!$G$2:$G$2001,K595)+INDEX(Transaksi!$H$2:$H$2001,K595)+INDEX(Transaksi!$I$2:$I$2001,K595)=0,"",INDEX(Transaksi!$G$2:$G$2001,K595)+INDEX(Transaksi!$H$2:$H$2001,K595)+INDEX(Transaksi!$I$2:$I$2001,K595)),""))</f>
        <v/>
      </c>
      <c r="F595" s="33">
        <f>IF(J595="H",SUMIFS(Transaksi!$J$2:$J$2001,Transaksi!$M$2:$M$2001,"="&amp;S595),IF(J595="E",IF(INDEX(Transaksi!$J$2:$J$2001,K595)=0,"",INDEX(Transaksi!$J$2:$J$2001,K595)),""))</f>
        <v/>
      </c>
      <c r="G595" s="33">
        <f>IF(J595="H",(SUMIFS(Transaksi!$G$2:$G$2001,Transaksi!$M$2:$M$2001,"&lt;="&amp;S595)+SUMIFS(Transaksi!$H$2:$H$2001,Transaksi!$M$2:$M$2001,"&lt;="&amp;S595)+SUMIFS(Transaksi!$I$2:$I$2001,Transaksi!$M$2:$M$2001,"&lt;="&amp;S595))-(SUMIFS(Transaksi!$J$2:$J$2001,Transaksi!$M$2:$M$2001,"&lt;="&amp;S595)),"")</f>
        <v/>
      </c>
      <c r="I595">
        <f>IF(592&gt;$O$2,"",MATCH(592,$Q$3:$Q$402,1))</f>
        <v/>
      </c>
      <c r="J595">
        <f>IF(I595="","",IF(592=INDEX($Q$3:$Q$402,I595),"H","E"))</f>
        <v/>
      </c>
      <c r="K595">
        <f>IF(J595&lt;&gt;"E","",MATCH(S595,Transaksi!$M$2:$M$2001,0)+592-INDEX($Q$3:$Q$402,I595)-1)</f>
        <v/>
      </c>
      <c r="S595">
        <f>IF(I595="","",INDEX($O$3:$O$402,I595))</f>
        <v/>
      </c>
      <c r="T595">
        <f>IF(J595&lt;&gt;"H","",INDEX(Transaksi!$A$2:$A$2001,MATCH(S595,Transaksi!$M$2:$M$2001,0)))</f>
        <v/>
      </c>
    </row>
    <row r="596">
      <c r="A596" s="31">
        <f>IF(J596="E",IF(INDEX(Transaksi!$J$2:$J$2001,K596)&gt;0,"↑","↓"),"")</f>
        <v/>
      </c>
      <c r="B596" s="32">
        <f>IF(J596="H",CHOOSE(WEEKDAY(T596,2),"Isnin","Selasa","Rabu","Khamis","Jumaat","Sabtu","Ahad")&amp;", "&amp;DAY(T596)&amp;" "&amp;CHOOSE(MONTH(T596),"Jan","Feb","Mac","Apr","Mei","Jun","Jul","Ogo","Sep","Okt","Nov","Dis")&amp;" "&amp;YEAR(T596),IF(J596="E",IF(INDEX(Transaksi!$B$2:$B$2001,K596)="",INDEX(Transaksi!$C$2:$C$2001,K596)&amp;" · "&amp;INDEX(Transaksi!$D$2:$D$2001,K596),INDEX(Transaksi!$B$2:$B$2001,K596)),""))</f>
        <v/>
      </c>
      <c r="C596" s="32">
        <f>IF(J596="E",INDEX(Transaksi!$C$2:$C$2001,K596)&amp;"","")</f>
        <v/>
      </c>
      <c r="D596" s="32">
        <f>IF(J596="E",INDEX(Transaksi!$D$2:$D$2001,K596)&amp;"","")</f>
        <v/>
      </c>
      <c r="E596" s="33">
        <f>IF(J596="H",SUMIFS(Transaksi!$G$2:$G$2001,Transaksi!$M$2:$M$2001,"="&amp;S596)+SUMIFS(Transaksi!$H$2:$H$2001,Transaksi!$M$2:$M$2001,"="&amp;S596)+SUMIFS(Transaksi!$I$2:$I$2001,Transaksi!$M$2:$M$2001,"="&amp;S596),IF(J596="E",IF(INDEX(Transaksi!$G$2:$G$2001,K596)+INDEX(Transaksi!$H$2:$H$2001,K596)+INDEX(Transaksi!$I$2:$I$2001,K596)=0,"",INDEX(Transaksi!$G$2:$G$2001,K596)+INDEX(Transaksi!$H$2:$H$2001,K596)+INDEX(Transaksi!$I$2:$I$2001,K596)),""))</f>
        <v/>
      </c>
      <c r="F596" s="33">
        <f>IF(J596="H",SUMIFS(Transaksi!$J$2:$J$2001,Transaksi!$M$2:$M$2001,"="&amp;S596),IF(J596="E",IF(INDEX(Transaksi!$J$2:$J$2001,K596)=0,"",INDEX(Transaksi!$J$2:$J$2001,K596)),""))</f>
        <v/>
      </c>
      <c r="G596" s="33">
        <f>IF(J596="H",(SUMIFS(Transaksi!$G$2:$G$2001,Transaksi!$M$2:$M$2001,"&lt;="&amp;S596)+SUMIFS(Transaksi!$H$2:$H$2001,Transaksi!$M$2:$M$2001,"&lt;="&amp;S596)+SUMIFS(Transaksi!$I$2:$I$2001,Transaksi!$M$2:$M$2001,"&lt;="&amp;S596))-(SUMIFS(Transaksi!$J$2:$J$2001,Transaksi!$M$2:$M$2001,"&lt;="&amp;S596)),"")</f>
        <v/>
      </c>
      <c r="I596">
        <f>IF(593&gt;$O$2,"",MATCH(593,$Q$3:$Q$402,1))</f>
        <v/>
      </c>
      <c r="J596">
        <f>IF(I596="","",IF(593=INDEX($Q$3:$Q$402,I596),"H","E"))</f>
        <v/>
      </c>
      <c r="K596">
        <f>IF(J596&lt;&gt;"E","",MATCH(S596,Transaksi!$M$2:$M$2001,0)+593-INDEX($Q$3:$Q$402,I596)-1)</f>
        <v/>
      </c>
      <c r="S596">
        <f>IF(I596="","",INDEX($O$3:$O$402,I596))</f>
        <v/>
      </c>
      <c r="T596">
        <f>IF(J596&lt;&gt;"H","",INDEX(Transaksi!$A$2:$A$2001,MATCH(S596,Transaksi!$M$2:$M$2001,0)))</f>
        <v/>
      </c>
    </row>
    <row r="597">
      <c r="A597" s="31">
        <f>IF(J597="E",IF(INDEX(Transaksi!$J$2:$J$2001,K597)&gt;0,"↑","↓"),"")</f>
        <v/>
      </c>
      <c r="B597" s="32">
        <f>IF(J597="H",CHOOSE(WEEKDAY(T597,2),"Isnin","Selasa","Rabu","Khamis","Jumaat","Sabtu","Ahad")&amp;", "&amp;DAY(T597)&amp;" "&amp;CHOOSE(MONTH(T597),"Jan","Feb","Mac","Apr","Mei","Jun","Jul","Ogo","Sep","Okt","Nov","Dis")&amp;" "&amp;YEAR(T597),IF(J597="E",IF(INDEX(Transaksi!$B$2:$B$2001,K597)="",INDEX(Transaksi!$C$2:$C$2001,K597)&amp;" · "&amp;INDEX(Transaksi!$D$2:$D$2001,K597),INDEX(Transaksi!$B$2:$B$2001,K597)),""))</f>
        <v/>
      </c>
      <c r="C597" s="32">
        <f>IF(J597="E",INDEX(Transaksi!$C$2:$C$2001,K597)&amp;"","")</f>
        <v/>
      </c>
      <c r="D597" s="32">
        <f>IF(J597="E",INDEX(Transaksi!$D$2:$D$2001,K597)&amp;"","")</f>
        <v/>
      </c>
      <c r="E597" s="33">
        <f>IF(J597="H",SUMIFS(Transaksi!$G$2:$G$2001,Transaksi!$M$2:$M$2001,"="&amp;S597)+SUMIFS(Transaksi!$H$2:$H$2001,Transaksi!$M$2:$M$2001,"="&amp;S597)+SUMIFS(Transaksi!$I$2:$I$2001,Transaksi!$M$2:$M$2001,"="&amp;S597),IF(J597="E",IF(INDEX(Transaksi!$G$2:$G$2001,K597)+INDEX(Transaksi!$H$2:$H$2001,K597)+INDEX(Transaksi!$I$2:$I$2001,K597)=0,"",INDEX(Transaksi!$G$2:$G$2001,K597)+INDEX(Transaksi!$H$2:$H$2001,K597)+INDEX(Transaksi!$I$2:$I$2001,K597)),""))</f>
        <v/>
      </c>
      <c r="F597" s="33">
        <f>IF(J597="H",SUMIFS(Transaksi!$J$2:$J$2001,Transaksi!$M$2:$M$2001,"="&amp;S597),IF(J597="E",IF(INDEX(Transaksi!$J$2:$J$2001,K597)=0,"",INDEX(Transaksi!$J$2:$J$2001,K597)),""))</f>
        <v/>
      </c>
      <c r="G597" s="33">
        <f>IF(J597="H",(SUMIFS(Transaksi!$G$2:$G$2001,Transaksi!$M$2:$M$2001,"&lt;="&amp;S597)+SUMIFS(Transaksi!$H$2:$H$2001,Transaksi!$M$2:$M$2001,"&lt;="&amp;S597)+SUMIFS(Transaksi!$I$2:$I$2001,Transaksi!$M$2:$M$2001,"&lt;="&amp;S597))-(SUMIFS(Transaksi!$J$2:$J$2001,Transaksi!$M$2:$M$2001,"&lt;="&amp;S597)),"")</f>
        <v/>
      </c>
      <c r="I597">
        <f>IF(594&gt;$O$2,"",MATCH(594,$Q$3:$Q$402,1))</f>
        <v/>
      </c>
      <c r="J597">
        <f>IF(I597="","",IF(594=INDEX($Q$3:$Q$402,I597),"H","E"))</f>
        <v/>
      </c>
      <c r="K597">
        <f>IF(J597&lt;&gt;"E","",MATCH(S597,Transaksi!$M$2:$M$2001,0)+594-INDEX($Q$3:$Q$402,I597)-1)</f>
        <v/>
      </c>
      <c r="S597">
        <f>IF(I597="","",INDEX($O$3:$O$402,I597))</f>
        <v/>
      </c>
      <c r="T597">
        <f>IF(J597&lt;&gt;"H","",INDEX(Transaksi!$A$2:$A$2001,MATCH(S597,Transaksi!$M$2:$M$2001,0)))</f>
        <v/>
      </c>
    </row>
    <row r="598">
      <c r="A598" s="31">
        <f>IF(J598="E",IF(INDEX(Transaksi!$J$2:$J$2001,K598)&gt;0,"↑","↓"),"")</f>
        <v/>
      </c>
      <c r="B598" s="32">
        <f>IF(J598="H",CHOOSE(WEEKDAY(T598,2),"Isnin","Selasa","Rabu","Khamis","Jumaat","Sabtu","Ahad")&amp;", "&amp;DAY(T598)&amp;" "&amp;CHOOSE(MONTH(T598),"Jan","Feb","Mac","Apr","Mei","Jun","Jul","Ogo","Sep","Okt","Nov","Dis")&amp;" "&amp;YEAR(T598),IF(J598="E",IF(INDEX(Transaksi!$B$2:$B$2001,K598)="",INDEX(Transaksi!$C$2:$C$2001,K598)&amp;" · "&amp;INDEX(Transaksi!$D$2:$D$2001,K598),INDEX(Transaksi!$B$2:$B$2001,K598)),""))</f>
        <v/>
      </c>
      <c r="C598" s="32">
        <f>IF(J598="E",INDEX(Transaksi!$C$2:$C$2001,K598)&amp;"","")</f>
        <v/>
      </c>
      <c r="D598" s="32">
        <f>IF(J598="E",INDEX(Transaksi!$D$2:$D$2001,K598)&amp;"","")</f>
        <v/>
      </c>
      <c r="E598" s="33">
        <f>IF(J598="H",SUMIFS(Transaksi!$G$2:$G$2001,Transaksi!$M$2:$M$2001,"="&amp;S598)+SUMIFS(Transaksi!$H$2:$H$2001,Transaksi!$M$2:$M$2001,"="&amp;S598)+SUMIFS(Transaksi!$I$2:$I$2001,Transaksi!$M$2:$M$2001,"="&amp;S598),IF(J598="E",IF(INDEX(Transaksi!$G$2:$G$2001,K598)+INDEX(Transaksi!$H$2:$H$2001,K598)+INDEX(Transaksi!$I$2:$I$2001,K598)=0,"",INDEX(Transaksi!$G$2:$G$2001,K598)+INDEX(Transaksi!$H$2:$H$2001,K598)+INDEX(Transaksi!$I$2:$I$2001,K598)),""))</f>
        <v/>
      </c>
      <c r="F598" s="33">
        <f>IF(J598="H",SUMIFS(Transaksi!$J$2:$J$2001,Transaksi!$M$2:$M$2001,"="&amp;S598),IF(J598="E",IF(INDEX(Transaksi!$J$2:$J$2001,K598)=0,"",INDEX(Transaksi!$J$2:$J$2001,K598)),""))</f>
        <v/>
      </c>
      <c r="G598" s="33">
        <f>IF(J598="H",(SUMIFS(Transaksi!$G$2:$G$2001,Transaksi!$M$2:$M$2001,"&lt;="&amp;S598)+SUMIFS(Transaksi!$H$2:$H$2001,Transaksi!$M$2:$M$2001,"&lt;="&amp;S598)+SUMIFS(Transaksi!$I$2:$I$2001,Transaksi!$M$2:$M$2001,"&lt;="&amp;S598))-(SUMIFS(Transaksi!$J$2:$J$2001,Transaksi!$M$2:$M$2001,"&lt;="&amp;S598)),"")</f>
        <v/>
      </c>
      <c r="I598">
        <f>IF(595&gt;$O$2,"",MATCH(595,$Q$3:$Q$402,1))</f>
        <v/>
      </c>
      <c r="J598">
        <f>IF(I598="","",IF(595=INDEX($Q$3:$Q$402,I598),"H","E"))</f>
        <v/>
      </c>
      <c r="K598">
        <f>IF(J598&lt;&gt;"E","",MATCH(S598,Transaksi!$M$2:$M$2001,0)+595-INDEX($Q$3:$Q$402,I598)-1)</f>
        <v/>
      </c>
      <c r="S598">
        <f>IF(I598="","",INDEX($O$3:$O$402,I598))</f>
        <v/>
      </c>
      <c r="T598">
        <f>IF(J598&lt;&gt;"H","",INDEX(Transaksi!$A$2:$A$2001,MATCH(S598,Transaksi!$M$2:$M$2001,0)))</f>
        <v/>
      </c>
    </row>
    <row r="599">
      <c r="A599" s="31">
        <f>IF(J599="E",IF(INDEX(Transaksi!$J$2:$J$2001,K599)&gt;0,"↑","↓"),"")</f>
        <v/>
      </c>
      <c r="B599" s="32">
        <f>IF(J599="H",CHOOSE(WEEKDAY(T599,2),"Isnin","Selasa","Rabu","Khamis","Jumaat","Sabtu","Ahad")&amp;", "&amp;DAY(T599)&amp;" "&amp;CHOOSE(MONTH(T599),"Jan","Feb","Mac","Apr","Mei","Jun","Jul","Ogo","Sep","Okt","Nov","Dis")&amp;" "&amp;YEAR(T599),IF(J599="E",IF(INDEX(Transaksi!$B$2:$B$2001,K599)="",INDEX(Transaksi!$C$2:$C$2001,K599)&amp;" · "&amp;INDEX(Transaksi!$D$2:$D$2001,K599),INDEX(Transaksi!$B$2:$B$2001,K599)),""))</f>
        <v/>
      </c>
      <c r="C599" s="32">
        <f>IF(J599="E",INDEX(Transaksi!$C$2:$C$2001,K599)&amp;"","")</f>
        <v/>
      </c>
      <c r="D599" s="32">
        <f>IF(J599="E",INDEX(Transaksi!$D$2:$D$2001,K599)&amp;"","")</f>
        <v/>
      </c>
      <c r="E599" s="33">
        <f>IF(J599="H",SUMIFS(Transaksi!$G$2:$G$2001,Transaksi!$M$2:$M$2001,"="&amp;S599)+SUMIFS(Transaksi!$H$2:$H$2001,Transaksi!$M$2:$M$2001,"="&amp;S599)+SUMIFS(Transaksi!$I$2:$I$2001,Transaksi!$M$2:$M$2001,"="&amp;S599),IF(J599="E",IF(INDEX(Transaksi!$G$2:$G$2001,K599)+INDEX(Transaksi!$H$2:$H$2001,K599)+INDEX(Transaksi!$I$2:$I$2001,K599)=0,"",INDEX(Transaksi!$G$2:$G$2001,K599)+INDEX(Transaksi!$H$2:$H$2001,K599)+INDEX(Transaksi!$I$2:$I$2001,K599)),""))</f>
        <v/>
      </c>
      <c r="F599" s="33">
        <f>IF(J599="H",SUMIFS(Transaksi!$J$2:$J$2001,Transaksi!$M$2:$M$2001,"="&amp;S599),IF(J599="E",IF(INDEX(Transaksi!$J$2:$J$2001,K599)=0,"",INDEX(Transaksi!$J$2:$J$2001,K599)),""))</f>
        <v/>
      </c>
      <c r="G599" s="33">
        <f>IF(J599="H",(SUMIFS(Transaksi!$G$2:$G$2001,Transaksi!$M$2:$M$2001,"&lt;="&amp;S599)+SUMIFS(Transaksi!$H$2:$H$2001,Transaksi!$M$2:$M$2001,"&lt;="&amp;S599)+SUMIFS(Transaksi!$I$2:$I$2001,Transaksi!$M$2:$M$2001,"&lt;="&amp;S599))-(SUMIFS(Transaksi!$J$2:$J$2001,Transaksi!$M$2:$M$2001,"&lt;="&amp;S599)),"")</f>
        <v/>
      </c>
      <c r="I599">
        <f>IF(596&gt;$O$2,"",MATCH(596,$Q$3:$Q$402,1))</f>
        <v/>
      </c>
      <c r="J599">
        <f>IF(I599="","",IF(596=INDEX($Q$3:$Q$402,I599),"H","E"))</f>
        <v/>
      </c>
      <c r="K599">
        <f>IF(J599&lt;&gt;"E","",MATCH(S599,Transaksi!$M$2:$M$2001,0)+596-INDEX($Q$3:$Q$402,I599)-1)</f>
        <v/>
      </c>
      <c r="S599">
        <f>IF(I599="","",INDEX($O$3:$O$402,I599))</f>
        <v/>
      </c>
      <c r="T599">
        <f>IF(J599&lt;&gt;"H","",INDEX(Transaksi!$A$2:$A$2001,MATCH(S599,Transaksi!$M$2:$M$2001,0)))</f>
        <v/>
      </c>
    </row>
    <row r="600">
      <c r="A600" s="31">
        <f>IF(J600="E",IF(INDEX(Transaksi!$J$2:$J$2001,K600)&gt;0,"↑","↓"),"")</f>
        <v/>
      </c>
      <c r="B600" s="32">
        <f>IF(J600="H",CHOOSE(WEEKDAY(T600,2),"Isnin","Selasa","Rabu","Khamis","Jumaat","Sabtu","Ahad")&amp;", "&amp;DAY(T600)&amp;" "&amp;CHOOSE(MONTH(T600),"Jan","Feb","Mac","Apr","Mei","Jun","Jul","Ogo","Sep","Okt","Nov","Dis")&amp;" "&amp;YEAR(T600),IF(J600="E",IF(INDEX(Transaksi!$B$2:$B$2001,K600)="",INDEX(Transaksi!$C$2:$C$2001,K600)&amp;" · "&amp;INDEX(Transaksi!$D$2:$D$2001,K600),INDEX(Transaksi!$B$2:$B$2001,K600)),""))</f>
        <v/>
      </c>
      <c r="C600" s="32">
        <f>IF(J600="E",INDEX(Transaksi!$C$2:$C$2001,K600)&amp;"","")</f>
        <v/>
      </c>
      <c r="D600" s="32">
        <f>IF(J600="E",INDEX(Transaksi!$D$2:$D$2001,K600)&amp;"","")</f>
        <v/>
      </c>
      <c r="E600" s="33">
        <f>IF(J600="H",SUMIFS(Transaksi!$G$2:$G$2001,Transaksi!$M$2:$M$2001,"="&amp;S600)+SUMIFS(Transaksi!$H$2:$H$2001,Transaksi!$M$2:$M$2001,"="&amp;S600)+SUMIFS(Transaksi!$I$2:$I$2001,Transaksi!$M$2:$M$2001,"="&amp;S600),IF(J600="E",IF(INDEX(Transaksi!$G$2:$G$2001,K600)+INDEX(Transaksi!$H$2:$H$2001,K600)+INDEX(Transaksi!$I$2:$I$2001,K600)=0,"",INDEX(Transaksi!$G$2:$G$2001,K600)+INDEX(Transaksi!$H$2:$H$2001,K600)+INDEX(Transaksi!$I$2:$I$2001,K600)),""))</f>
        <v/>
      </c>
      <c r="F600" s="33">
        <f>IF(J600="H",SUMIFS(Transaksi!$J$2:$J$2001,Transaksi!$M$2:$M$2001,"="&amp;S600),IF(J600="E",IF(INDEX(Transaksi!$J$2:$J$2001,K600)=0,"",INDEX(Transaksi!$J$2:$J$2001,K600)),""))</f>
        <v/>
      </c>
      <c r="G600" s="33">
        <f>IF(J600="H",(SUMIFS(Transaksi!$G$2:$G$2001,Transaksi!$M$2:$M$2001,"&lt;="&amp;S600)+SUMIFS(Transaksi!$H$2:$H$2001,Transaksi!$M$2:$M$2001,"&lt;="&amp;S600)+SUMIFS(Transaksi!$I$2:$I$2001,Transaksi!$M$2:$M$2001,"&lt;="&amp;S600))-(SUMIFS(Transaksi!$J$2:$J$2001,Transaksi!$M$2:$M$2001,"&lt;="&amp;S600)),"")</f>
        <v/>
      </c>
      <c r="I600">
        <f>IF(597&gt;$O$2,"",MATCH(597,$Q$3:$Q$402,1))</f>
        <v/>
      </c>
      <c r="J600">
        <f>IF(I600="","",IF(597=INDEX($Q$3:$Q$402,I600),"H","E"))</f>
        <v/>
      </c>
      <c r="K600">
        <f>IF(J600&lt;&gt;"E","",MATCH(S600,Transaksi!$M$2:$M$2001,0)+597-INDEX($Q$3:$Q$402,I600)-1)</f>
        <v/>
      </c>
      <c r="S600">
        <f>IF(I600="","",INDEX($O$3:$O$402,I600))</f>
        <v/>
      </c>
      <c r="T600">
        <f>IF(J600&lt;&gt;"H","",INDEX(Transaksi!$A$2:$A$2001,MATCH(S600,Transaksi!$M$2:$M$2001,0)))</f>
        <v/>
      </c>
    </row>
    <row r="601">
      <c r="A601" s="31">
        <f>IF(J601="E",IF(INDEX(Transaksi!$J$2:$J$2001,K601)&gt;0,"↑","↓"),"")</f>
        <v/>
      </c>
      <c r="B601" s="32">
        <f>IF(J601="H",CHOOSE(WEEKDAY(T601,2),"Isnin","Selasa","Rabu","Khamis","Jumaat","Sabtu","Ahad")&amp;", "&amp;DAY(T601)&amp;" "&amp;CHOOSE(MONTH(T601),"Jan","Feb","Mac","Apr","Mei","Jun","Jul","Ogo","Sep","Okt","Nov","Dis")&amp;" "&amp;YEAR(T601),IF(J601="E",IF(INDEX(Transaksi!$B$2:$B$2001,K601)="",INDEX(Transaksi!$C$2:$C$2001,K601)&amp;" · "&amp;INDEX(Transaksi!$D$2:$D$2001,K601),INDEX(Transaksi!$B$2:$B$2001,K601)),""))</f>
        <v/>
      </c>
      <c r="C601" s="32">
        <f>IF(J601="E",INDEX(Transaksi!$C$2:$C$2001,K601)&amp;"","")</f>
        <v/>
      </c>
      <c r="D601" s="32">
        <f>IF(J601="E",INDEX(Transaksi!$D$2:$D$2001,K601)&amp;"","")</f>
        <v/>
      </c>
      <c r="E601" s="33">
        <f>IF(J601="H",SUMIFS(Transaksi!$G$2:$G$2001,Transaksi!$M$2:$M$2001,"="&amp;S601)+SUMIFS(Transaksi!$H$2:$H$2001,Transaksi!$M$2:$M$2001,"="&amp;S601)+SUMIFS(Transaksi!$I$2:$I$2001,Transaksi!$M$2:$M$2001,"="&amp;S601),IF(J601="E",IF(INDEX(Transaksi!$G$2:$G$2001,K601)+INDEX(Transaksi!$H$2:$H$2001,K601)+INDEX(Transaksi!$I$2:$I$2001,K601)=0,"",INDEX(Transaksi!$G$2:$G$2001,K601)+INDEX(Transaksi!$H$2:$H$2001,K601)+INDEX(Transaksi!$I$2:$I$2001,K601)),""))</f>
        <v/>
      </c>
      <c r="F601" s="33">
        <f>IF(J601="H",SUMIFS(Transaksi!$J$2:$J$2001,Transaksi!$M$2:$M$2001,"="&amp;S601),IF(J601="E",IF(INDEX(Transaksi!$J$2:$J$2001,K601)=0,"",INDEX(Transaksi!$J$2:$J$2001,K601)),""))</f>
        <v/>
      </c>
      <c r="G601" s="33">
        <f>IF(J601="H",(SUMIFS(Transaksi!$G$2:$G$2001,Transaksi!$M$2:$M$2001,"&lt;="&amp;S601)+SUMIFS(Transaksi!$H$2:$H$2001,Transaksi!$M$2:$M$2001,"&lt;="&amp;S601)+SUMIFS(Transaksi!$I$2:$I$2001,Transaksi!$M$2:$M$2001,"&lt;="&amp;S601))-(SUMIFS(Transaksi!$J$2:$J$2001,Transaksi!$M$2:$M$2001,"&lt;="&amp;S601)),"")</f>
        <v/>
      </c>
      <c r="I601">
        <f>IF(598&gt;$O$2,"",MATCH(598,$Q$3:$Q$402,1))</f>
        <v/>
      </c>
      <c r="J601">
        <f>IF(I601="","",IF(598=INDEX($Q$3:$Q$402,I601),"H","E"))</f>
        <v/>
      </c>
      <c r="K601">
        <f>IF(J601&lt;&gt;"E","",MATCH(S601,Transaksi!$M$2:$M$2001,0)+598-INDEX($Q$3:$Q$402,I601)-1)</f>
        <v/>
      </c>
      <c r="S601">
        <f>IF(I601="","",INDEX($O$3:$O$402,I601))</f>
        <v/>
      </c>
      <c r="T601">
        <f>IF(J601&lt;&gt;"H","",INDEX(Transaksi!$A$2:$A$2001,MATCH(S601,Transaksi!$M$2:$M$2001,0)))</f>
        <v/>
      </c>
    </row>
    <row r="602">
      <c r="A602" s="31">
        <f>IF(J602="E",IF(INDEX(Transaksi!$J$2:$J$2001,K602)&gt;0,"↑","↓"),"")</f>
        <v/>
      </c>
      <c r="B602" s="32">
        <f>IF(J602="H",CHOOSE(WEEKDAY(T602,2),"Isnin","Selasa","Rabu","Khamis","Jumaat","Sabtu","Ahad")&amp;", "&amp;DAY(T602)&amp;" "&amp;CHOOSE(MONTH(T602),"Jan","Feb","Mac","Apr","Mei","Jun","Jul","Ogo","Sep","Okt","Nov","Dis")&amp;" "&amp;YEAR(T602),IF(J602="E",IF(INDEX(Transaksi!$B$2:$B$2001,K602)="",INDEX(Transaksi!$C$2:$C$2001,K602)&amp;" · "&amp;INDEX(Transaksi!$D$2:$D$2001,K602),INDEX(Transaksi!$B$2:$B$2001,K602)),""))</f>
        <v/>
      </c>
      <c r="C602" s="32">
        <f>IF(J602="E",INDEX(Transaksi!$C$2:$C$2001,K602)&amp;"","")</f>
        <v/>
      </c>
      <c r="D602" s="32">
        <f>IF(J602="E",INDEX(Transaksi!$D$2:$D$2001,K602)&amp;"","")</f>
        <v/>
      </c>
      <c r="E602" s="33">
        <f>IF(J602="H",SUMIFS(Transaksi!$G$2:$G$2001,Transaksi!$M$2:$M$2001,"="&amp;S602)+SUMIFS(Transaksi!$H$2:$H$2001,Transaksi!$M$2:$M$2001,"="&amp;S602)+SUMIFS(Transaksi!$I$2:$I$2001,Transaksi!$M$2:$M$2001,"="&amp;S602),IF(J602="E",IF(INDEX(Transaksi!$G$2:$G$2001,K602)+INDEX(Transaksi!$H$2:$H$2001,K602)+INDEX(Transaksi!$I$2:$I$2001,K602)=0,"",INDEX(Transaksi!$G$2:$G$2001,K602)+INDEX(Transaksi!$H$2:$H$2001,K602)+INDEX(Transaksi!$I$2:$I$2001,K602)),""))</f>
        <v/>
      </c>
      <c r="F602" s="33">
        <f>IF(J602="H",SUMIFS(Transaksi!$J$2:$J$2001,Transaksi!$M$2:$M$2001,"="&amp;S602),IF(J602="E",IF(INDEX(Transaksi!$J$2:$J$2001,K602)=0,"",INDEX(Transaksi!$J$2:$J$2001,K602)),""))</f>
        <v/>
      </c>
      <c r="G602" s="33">
        <f>IF(J602="H",(SUMIFS(Transaksi!$G$2:$G$2001,Transaksi!$M$2:$M$2001,"&lt;="&amp;S602)+SUMIFS(Transaksi!$H$2:$H$2001,Transaksi!$M$2:$M$2001,"&lt;="&amp;S602)+SUMIFS(Transaksi!$I$2:$I$2001,Transaksi!$M$2:$M$2001,"&lt;="&amp;S602))-(SUMIFS(Transaksi!$J$2:$J$2001,Transaksi!$M$2:$M$2001,"&lt;="&amp;S602)),"")</f>
        <v/>
      </c>
      <c r="I602">
        <f>IF(599&gt;$O$2,"",MATCH(599,$Q$3:$Q$402,1))</f>
        <v/>
      </c>
      <c r="J602">
        <f>IF(I602="","",IF(599=INDEX($Q$3:$Q$402,I602),"H","E"))</f>
        <v/>
      </c>
      <c r="K602">
        <f>IF(J602&lt;&gt;"E","",MATCH(S602,Transaksi!$M$2:$M$2001,0)+599-INDEX($Q$3:$Q$402,I602)-1)</f>
        <v/>
      </c>
      <c r="S602">
        <f>IF(I602="","",INDEX($O$3:$O$402,I602))</f>
        <v/>
      </c>
      <c r="T602">
        <f>IF(J602&lt;&gt;"H","",INDEX(Transaksi!$A$2:$A$2001,MATCH(S602,Transaksi!$M$2:$M$2001,0)))</f>
        <v/>
      </c>
    </row>
    <row r="603">
      <c r="A603" s="31">
        <f>IF(J603="E",IF(INDEX(Transaksi!$J$2:$J$2001,K603)&gt;0,"↑","↓"),"")</f>
        <v/>
      </c>
      <c r="B603" s="32">
        <f>IF(J603="H",CHOOSE(WEEKDAY(T603,2),"Isnin","Selasa","Rabu","Khamis","Jumaat","Sabtu","Ahad")&amp;", "&amp;DAY(T603)&amp;" "&amp;CHOOSE(MONTH(T603),"Jan","Feb","Mac","Apr","Mei","Jun","Jul","Ogo","Sep","Okt","Nov","Dis")&amp;" "&amp;YEAR(T603),IF(J603="E",IF(INDEX(Transaksi!$B$2:$B$2001,K603)="",INDEX(Transaksi!$C$2:$C$2001,K603)&amp;" · "&amp;INDEX(Transaksi!$D$2:$D$2001,K603),INDEX(Transaksi!$B$2:$B$2001,K603)),""))</f>
        <v/>
      </c>
      <c r="C603" s="32">
        <f>IF(J603="E",INDEX(Transaksi!$C$2:$C$2001,K603)&amp;"","")</f>
        <v/>
      </c>
      <c r="D603" s="32">
        <f>IF(J603="E",INDEX(Transaksi!$D$2:$D$2001,K603)&amp;"","")</f>
        <v/>
      </c>
      <c r="E603" s="33">
        <f>IF(J603="H",SUMIFS(Transaksi!$G$2:$G$2001,Transaksi!$M$2:$M$2001,"="&amp;S603)+SUMIFS(Transaksi!$H$2:$H$2001,Transaksi!$M$2:$M$2001,"="&amp;S603)+SUMIFS(Transaksi!$I$2:$I$2001,Transaksi!$M$2:$M$2001,"="&amp;S603),IF(J603="E",IF(INDEX(Transaksi!$G$2:$G$2001,K603)+INDEX(Transaksi!$H$2:$H$2001,K603)+INDEX(Transaksi!$I$2:$I$2001,K603)=0,"",INDEX(Transaksi!$G$2:$G$2001,K603)+INDEX(Transaksi!$H$2:$H$2001,K603)+INDEX(Transaksi!$I$2:$I$2001,K603)),""))</f>
        <v/>
      </c>
      <c r="F603" s="33">
        <f>IF(J603="H",SUMIFS(Transaksi!$J$2:$J$2001,Transaksi!$M$2:$M$2001,"="&amp;S603),IF(J603="E",IF(INDEX(Transaksi!$J$2:$J$2001,K603)=0,"",INDEX(Transaksi!$J$2:$J$2001,K603)),""))</f>
        <v/>
      </c>
      <c r="G603" s="33">
        <f>IF(J603="H",(SUMIFS(Transaksi!$G$2:$G$2001,Transaksi!$M$2:$M$2001,"&lt;="&amp;S603)+SUMIFS(Transaksi!$H$2:$H$2001,Transaksi!$M$2:$M$2001,"&lt;="&amp;S603)+SUMIFS(Transaksi!$I$2:$I$2001,Transaksi!$M$2:$M$2001,"&lt;="&amp;S603))-(SUMIFS(Transaksi!$J$2:$J$2001,Transaksi!$M$2:$M$2001,"&lt;="&amp;S603)),"")</f>
        <v/>
      </c>
      <c r="I603">
        <f>IF(600&gt;$O$2,"",MATCH(600,$Q$3:$Q$402,1))</f>
        <v/>
      </c>
      <c r="J603">
        <f>IF(I603="","",IF(600=INDEX($Q$3:$Q$402,I603),"H","E"))</f>
        <v/>
      </c>
      <c r="K603">
        <f>IF(J603&lt;&gt;"E","",MATCH(S603,Transaksi!$M$2:$M$2001,0)+600-INDEX($Q$3:$Q$402,I603)-1)</f>
        <v/>
      </c>
      <c r="S603">
        <f>IF(I603="","",INDEX($O$3:$O$402,I603))</f>
        <v/>
      </c>
      <c r="T603">
        <f>IF(J603&lt;&gt;"H","",INDEX(Transaksi!$A$2:$A$2001,MATCH(S603,Transaksi!$M$2:$M$2001,0)))</f>
        <v/>
      </c>
    </row>
    <row r="604">
      <c r="A604" s="31">
        <f>IF(J604="E",IF(INDEX(Transaksi!$J$2:$J$2001,K604)&gt;0,"↑","↓"),"")</f>
        <v/>
      </c>
      <c r="B604" s="32">
        <f>IF(J604="H",CHOOSE(WEEKDAY(T604,2),"Isnin","Selasa","Rabu","Khamis","Jumaat","Sabtu","Ahad")&amp;", "&amp;DAY(T604)&amp;" "&amp;CHOOSE(MONTH(T604),"Jan","Feb","Mac","Apr","Mei","Jun","Jul","Ogo","Sep","Okt","Nov","Dis")&amp;" "&amp;YEAR(T604),IF(J604="E",IF(INDEX(Transaksi!$B$2:$B$2001,K604)="",INDEX(Transaksi!$C$2:$C$2001,K604)&amp;" · "&amp;INDEX(Transaksi!$D$2:$D$2001,K604),INDEX(Transaksi!$B$2:$B$2001,K604)),""))</f>
        <v/>
      </c>
      <c r="C604" s="32">
        <f>IF(J604="E",INDEX(Transaksi!$C$2:$C$2001,K604)&amp;"","")</f>
        <v/>
      </c>
      <c r="D604" s="32">
        <f>IF(J604="E",INDEX(Transaksi!$D$2:$D$2001,K604)&amp;"","")</f>
        <v/>
      </c>
      <c r="E604" s="33">
        <f>IF(J604="H",SUMIFS(Transaksi!$G$2:$G$2001,Transaksi!$M$2:$M$2001,"="&amp;S604)+SUMIFS(Transaksi!$H$2:$H$2001,Transaksi!$M$2:$M$2001,"="&amp;S604)+SUMIFS(Transaksi!$I$2:$I$2001,Transaksi!$M$2:$M$2001,"="&amp;S604),IF(J604="E",IF(INDEX(Transaksi!$G$2:$G$2001,K604)+INDEX(Transaksi!$H$2:$H$2001,K604)+INDEX(Transaksi!$I$2:$I$2001,K604)=0,"",INDEX(Transaksi!$G$2:$G$2001,K604)+INDEX(Transaksi!$H$2:$H$2001,K604)+INDEX(Transaksi!$I$2:$I$2001,K604)),""))</f>
        <v/>
      </c>
      <c r="F604" s="33">
        <f>IF(J604="H",SUMIFS(Transaksi!$J$2:$J$2001,Transaksi!$M$2:$M$2001,"="&amp;S604),IF(J604="E",IF(INDEX(Transaksi!$J$2:$J$2001,K604)=0,"",INDEX(Transaksi!$J$2:$J$2001,K604)),""))</f>
        <v/>
      </c>
      <c r="G604" s="33">
        <f>IF(J604="H",(SUMIFS(Transaksi!$G$2:$G$2001,Transaksi!$M$2:$M$2001,"&lt;="&amp;S604)+SUMIFS(Transaksi!$H$2:$H$2001,Transaksi!$M$2:$M$2001,"&lt;="&amp;S604)+SUMIFS(Transaksi!$I$2:$I$2001,Transaksi!$M$2:$M$2001,"&lt;="&amp;S604))-(SUMIFS(Transaksi!$J$2:$J$2001,Transaksi!$M$2:$M$2001,"&lt;="&amp;S604)),"")</f>
        <v/>
      </c>
      <c r="I604">
        <f>IF(601&gt;$O$2,"",MATCH(601,$Q$3:$Q$402,1))</f>
        <v/>
      </c>
      <c r="J604">
        <f>IF(I604="","",IF(601=INDEX($Q$3:$Q$402,I604),"H","E"))</f>
        <v/>
      </c>
      <c r="K604">
        <f>IF(J604&lt;&gt;"E","",MATCH(S604,Transaksi!$M$2:$M$2001,0)+601-INDEX($Q$3:$Q$402,I604)-1)</f>
        <v/>
      </c>
      <c r="S604">
        <f>IF(I604="","",INDEX($O$3:$O$402,I604))</f>
        <v/>
      </c>
      <c r="T604">
        <f>IF(J604&lt;&gt;"H","",INDEX(Transaksi!$A$2:$A$2001,MATCH(S604,Transaksi!$M$2:$M$2001,0)))</f>
        <v/>
      </c>
    </row>
    <row r="605">
      <c r="A605" s="31">
        <f>IF(J605="E",IF(INDEX(Transaksi!$J$2:$J$2001,K605)&gt;0,"↑","↓"),"")</f>
        <v/>
      </c>
      <c r="B605" s="32">
        <f>IF(J605="H",CHOOSE(WEEKDAY(T605,2),"Isnin","Selasa","Rabu","Khamis","Jumaat","Sabtu","Ahad")&amp;", "&amp;DAY(T605)&amp;" "&amp;CHOOSE(MONTH(T605),"Jan","Feb","Mac","Apr","Mei","Jun","Jul","Ogo","Sep","Okt","Nov","Dis")&amp;" "&amp;YEAR(T605),IF(J605="E",IF(INDEX(Transaksi!$B$2:$B$2001,K605)="",INDEX(Transaksi!$C$2:$C$2001,K605)&amp;" · "&amp;INDEX(Transaksi!$D$2:$D$2001,K605),INDEX(Transaksi!$B$2:$B$2001,K605)),""))</f>
        <v/>
      </c>
      <c r="C605" s="32">
        <f>IF(J605="E",INDEX(Transaksi!$C$2:$C$2001,K605)&amp;"","")</f>
        <v/>
      </c>
      <c r="D605" s="32">
        <f>IF(J605="E",INDEX(Transaksi!$D$2:$D$2001,K605)&amp;"","")</f>
        <v/>
      </c>
      <c r="E605" s="33">
        <f>IF(J605="H",SUMIFS(Transaksi!$G$2:$G$2001,Transaksi!$M$2:$M$2001,"="&amp;S605)+SUMIFS(Transaksi!$H$2:$H$2001,Transaksi!$M$2:$M$2001,"="&amp;S605)+SUMIFS(Transaksi!$I$2:$I$2001,Transaksi!$M$2:$M$2001,"="&amp;S605),IF(J605="E",IF(INDEX(Transaksi!$G$2:$G$2001,K605)+INDEX(Transaksi!$H$2:$H$2001,K605)+INDEX(Transaksi!$I$2:$I$2001,K605)=0,"",INDEX(Transaksi!$G$2:$G$2001,K605)+INDEX(Transaksi!$H$2:$H$2001,K605)+INDEX(Transaksi!$I$2:$I$2001,K605)),""))</f>
        <v/>
      </c>
      <c r="F605" s="33">
        <f>IF(J605="H",SUMIFS(Transaksi!$J$2:$J$2001,Transaksi!$M$2:$M$2001,"="&amp;S605),IF(J605="E",IF(INDEX(Transaksi!$J$2:$J$2001,K605)=0,"",INDEX(Transaksi!$J$2:$J$2001,K605)),""))</f>
        <v/>
      </c>
      <c r="G605" s="33">
        <f>IF(J605="H",(SUMIFS(Transaksi!$G$2:$G$2001,Transaksi!$M$2:$M$2001,"&lt;="&amp;S605)+SUMIFS(Transaksi!$H$2:$H$2001,Transaksi!$M$2:$M$2001,"&lt;="&amp;S605)+SUMIFS(Transaksi!$I$2:$I$2001,Transaksi!$M$2:$M$2001,"&lt;="&amp;S605))-(SUMIFS(Transaksi!$J$2:$J$2001,Transaksi!$M$2:$M$2001,"&lt;="&amp;S605)),"")</f>
        <v/>
      </c>
      <c r="I605">
        <f>IF(602&gt;$O$2,"",MATCH(602,$Q$3:$Q$402,1))</f>
        <v/>
      </c>
      <c r="J605">
        <f>IF(I605="","",IF(602=INDEX($Q$3:$Q$402,I605),"H","E"))</f>
        <v/>
      </c>
      <c r="K605">
        <f>IF(J605&lt;&gt;"E","",MATCH(S605,Transaksi!$M$2:$M$2001,0)+602-INDEX($Q$3:$Q$402,I605)-1)</f>
        <v/>
      </c>
      <c r="S605">
        <f>IF(I605="","",INDEX($O$3:$O$402,I605))</f>
        <v/>
      </c>
      <c r="T605">
        <f>IF(J605&lt;&gt;"H","",INDEX(Transaksi!$A$2:$A$2001,MATCH(S605,Transaksi!$M$2:$M$2001,0)))</f>
        <v/>
      </c>
    </row>
    <row r="606">
      <c r="A606" s="31">
        <f>IF(J606="E",IF(INDEX(Transaksi!$J$2:$J$2001,K606)&gt;0,"↑","↓"),"")</f>
        <v/>
      </c>
      <c r="B606" s="32">
        <f>IF(J606="H",CHOOSE(WEEKDAY(T606,2),"Isnin","Selasa","Rabu","Khamis","Jumaat","Sabtu","Ahad")&amp;", "&amp;DAY(T606)&amp;" "&amp;CHOOSE(MONTH(T606),"Jan","Feb","Mac","Apr","Mei","Jun","Jul","Ogo","Sep","Okt","Nov","Dis")&amp;" "&amp;YEAR(T606),IF(J606="E",IF(INDEX(Transaksi!$B$2:$B$2001,K606)="",INDEX(Transaksi!$C$2:$C$2001,K606)&amp;" · "&amp;INDEX(Transaksi!$D$2:$D$2001,K606),INDEX(Transaksi!$B$2:$B$2001,K606)),""))</f>
        <v/>
      </c>
      <c r="C606" s="32">
        <f>IF(J606="E",INDEX(Transaksi!$C$2:$C$2001,K606)&amp;"","")</f>
        <v/>
      </c>
      <c r="D606" s="32">
        <f>IF(J606="E",INDEX(Transaksi!$D$2:$D$2001,K606)&amp;"","")</f>
        <v/>
      </c>
      <c r="E606" s="33">
        <f>IF(J606="H",SUMIFS(Transaksi!$G$2:$G$2001,Transaksi!$M$2:$M$2001,"="&amp;S606)+SUMIFS(Transaksi!$H$2:$H$2001,Transaksi!$M$2:$M$2001,"="&amp;S606)+SUMIFS(Transaksi!$I$2:$I$2001,Transaksi!$M$2:$M$2001,"="&amp;S606),IF(J606="E",IF(INDEX(Transaksi!$G$2:$G$2001,K606)+INDEX(Transaksi!$H$2:$H$2001,K606)+INDEX(Transaksi!$I$2:$I$2001,K606)=0,"",INDEX(Transaksi!$G$2:$G$2001,K606)+INDEX(Transaksi!$H$2:$H$2001,K606)+INDEX(Transaksi!$I$2:$I$2001,K606)),""))</f>
        <v/>
      </c>
      <c r="F606" s="33">
        <f>IF(J606="H",SUMIFS(Transaksi!$J$2:$J$2001,Transaksi!$M$2:$M$2001,"="&amp;S606),IF(J606="E",IF(INDEX(Transaksi!$J$2:$J$2001,K606)=0,"",INDEX(Transaksi!$J$2:$J$2001,K606)),""))</f>
        <v/>
      </c>
      <c r="G606" s="33">
        <f>IF(J606="H",(SUMIFS(Transaksi!$G$2:$G$2001,Transaksi!$M$2:$M$2001,"&lt;="&amp;S606)+SUMIFS(Transaksi!$H$2:$H$2001,Transaksi!$M$2:$M$2001,"&lt;="&amp;S606)+SUMIFS(Transaksi!$I$2:$I$2001,Transaksi!$M$2:$M$2001,"&lt;="&amp;S606))-(SUMIFS(Transaksi!$J$2:$J$2001,Transaksi!$M$2:$M$2001,"&lt;="&amp;S606)),"")</f>
        <v/>
      </c>
      <c r="I606">
        <f>IF(603&gt;$O$2,"",MATCH(603,$Q$3:$Q$402,1))</f>
        <v/>
      </c>
      <c r="J606">
        <f>IF(I606="","",IF(603=INDEX($Q$3:$Q$402,I606),"H","E"))</f>
        <v/>
      </c>
      <c r="K606">
        <f>IF(J606&lt;&gt;"E","",MATCH(S606,Transaksi!$M$2:$M$2001,0)+603-INDEX($Q$3:$Q$402,I606)-1)</f>
        <v/>
      </c>
      <c r="S606">
        <f>IF(I606="","",INDEX($O$3:$O$402,I606))</f>
        <v/>
      </c>
      <c r="T606">
        <f>IF(J606&lt;&gt;"H","",INDEX(Transaksi!$A$2:$A$2001,MATCH(S606,Transaksi!$M$2:$M$2001,0)))</f>
        <v/>
      </c>
    </row>
    <row r="607">
      <c r="A607" s="31">
        <f>IF(J607="E",IF(INDEX(Transaksi!$J$2:$J$2001,K607)&gt;0,"↑","↓"),"")</f>
        <v/>
      </c>
      <c r="B607" s="32">
        <f>IF(J607="H",CHOOSE(WEEKDAY(T607,2),"Isnin","Selasa","Rabu","Khamis","Jumaat","Sabtu","Ahad")&amp;", "&amp;DAY(T607)&amp;" "&amp;CHOOSE(MONTH(T607),"Jan","Feb","Mac","Apr","Mei","Jun","Jul","Ogo","Sep","Okt","Nov","Dis")&amp;" "&amp;YEAR(T607),IF(J607="E",IF(INDEX(Transaksi!$B$2:$B$2001,K607)="",INDEX(Transaksi!$C$2:$C$2001,K607)&amp;" · "&amp;INDEX(Transaksi!$D$2:$D$2001,K607),INDEX(Transaksi!$B$2:$B$2001,K607)),""))</f>
        <v/>
      </c>
      <c r="C607" s="32">
        <f>IF(J607="E",INDEX(Transaksi!$C$2:$C$2001,K607)&amp;"","")</f>
        <v/>
      </c>
      <c r="D607" s="32">
        <f>IF(J607="E",INDEX(Transaksi!$D$2:$D$2001,K607)&amp;"","")</f>
        <v/>
      </c>
      <c r="E607" s="33">
        <f>IF(J607="H",SUMIFS(Transaksi!$G$2:$G$2001,Transaksi!$M$2:$M$2001,"="&amp;S607)+SUMIFS(Transaksi!$H$2:$H$2001,Transaksi!$M$2:$M$2001,"="&amp;S607)+SUMIFS(Transaksi!$I$2:$I$2001,Transaksi!$M$2:$M$2001,"="&amp;S607),IF(J607="E",IF(INDEX(Transaksi!$G$2:$G$2001,K607)+INDEX(Transaksi!$H$2:$H$2001,K607)+INDEX(Transaksi!$I$2:$I$2001,K607)=0,"",INDEX(Transaksi!$G$2:$G$2001,K607)+INDEX(Transaksi!$H$2:$H$2001,K607)+INDEX(Transaksi!$I$2:$I$2001,K607)),""))</f>
        <v/>
      </c>
      <c r="F607" s="33">
        <f>IF(J607="H",SUMIFS(Transaksi!$J$2:$J$2001,Transaksi!$M$2:$M$2001,"="&amp;S607),IF(J607="E",IF(INDEX(Transaksi!$J$2:$J$2001,K607)=0,"",INDEX(Transaksi!$J$2:$J$2001,K607)),""))</f>
        <v/>
      </c>
      <c r="G607" s="33">
        <f>IF(J607="H",(SUMIFS(Transaksi!$G$2:$G$2001,Transaksi!$M$2:$M$2001,"&lt;="&amp;S607)+SUMIFS(Transaksi!$H$2:$H$2001,Transaksi!$M$2:$M$2001,"&lt;="&amp;S607)+SUMIFS(Transaksi!$I$2:$I$2001,Transaksi!$M$2:$M$2001,"&lt;="&amp;S607))-(SUMIFS(Transaksi!$J$2:$J$2001,Transaksi!$M$2:$M$2001,"&lt;="&amp;S607)),"")</f>
        <v/>
      </c>
      <c r="I607">
        <f>IF(604&gt;$O$2,"",MATCH(604,$Q$3:$Q$402,1))</f>
        <v/>
      </c>
      <c r="J607">
        <f>IF(I607="","",IF(604=INDEX($Q$3:$Q$402,I607),"H","E"))</f>
        <v/>
      </c>
      <c r="K607">
        <f>IF(J607&lt;&gt;"E","",MATCH(S607,Transaksi!$M$2:$M$2001,0)+604-INDEX($Q$3:$Q$402,I607)-1)</f>
        <v/>
      </c>
      <c r="S607">
        <f>IF(I607="","",INDEX($O$3:$O$402,I607))</f>
        <v/>
      </c>
      <c r="T607">
        <f>IF(J607&lt;&gt;"H","",INDEX(Transaksi!$A$2:$A$2001,MATCH(S607,Transaksi!$M$2:$M$2001,0)))</f>
        <v/>
      </c>
    </row>
    <row r="608">
      <c r="A608" s="31">
        <f>IF(J608="E",IF(INDEX(Transaksi!$J$2:$J$2001,K608)&gt;0,"↑","↓"),"")</f>
        <v/>
      </c>
      <c r="B608" s="32">
        <f>IF(J608="H",CHOOSE(WEEKDAY(T608,2),"Isnin","Selasa","Rabu","Khamis","Jumaat","Sabtu","Ahad")&amp;", "&amp;DAY(T608)&amp;" "&amp;CHOOSE(MONTH(T608),"Jan","Feb","Mac","Apr","Mei","Jun","Jul","Ogo","Sep","Okt","Nov","Dis")&amp;" "&amp;YEAR(T608),IF(J608="E",IF(INDEX(Transaksi!$B$2:$B$2001,K608)="",INDEX(Transaksi!$C$2:$C$2001,K608)&amp;" · "&amp;INDEX(Transaksi!$D$2:$D$2001,K608),INDEX(Transaksi!$B$2:$B$2001,K608)),""))</f>
        <v/>
      </c>
      <c r="C608" s="32">
        <f>IF(J608="E",INDEX(Transaksi!$C$2:$C$2001,K608)&amp;"","")</f>
        <v/>
      </c>
      <c r="D608" s="32">
        <f>IF(J608="E",INDEX(Transaksi!$D$2:$D$2001,K608)&amp;"","")</f>
        <v/>
      </c>
      <c r="E608" s="33">
        <f>IF(J608="H",SUMIFS(Transaksi!$G$2:$G$2001,Transaksi!$M$2:$M$2001,"="&amp;S608)+SUMIFS(Transaksi!$H$2:$H$2001,Transaksi!$M$2:$M$2001,"="&amp;S608)+SUMIFS(Transaksi!$I$2:$I$2001,Transaksi!$M$2:$M$2001,"="&amp;S608),IF(J608="E",IF(INDEX(Transaksi!$G$2:$G$2001,K608)+INDEX(Transaksi!$H$2:$H$2001,K608)+INDEX(Transaksi!$I$2:$I$2001,K608)=0,"",INDEX(Transaksi!$G$2:$G$2001,K608)+INDEX(Transaksi!$H$2:$H$2001,K608)+INDEX(Transaksi!$I$2:$I$2001,K608)),""))</f>
        <v/>
      </c>
      <c r="F608" s="33">
        <f>IF(J608="H",SUMIFS(Transaksi!$J$2:$J$2001,Transaksi!$M$2:$M$2001,"="&amp;S608),IF(J608="E",IF(INDEX(Transaksi!$J$2:$J$2001,K608)=0,"",INDEX(Transaksi!$J$2:$J$2001,K608)),""))</f>
        <v/>
      </c>
      <c r="G608" s="33">
        <f>IF(J608="H",(SUMIFS(Transaksi!$G$2:$G$2001,Transaksi!$M$2:$M$2001,"&lt;="&amp;S608)+SUMIFS(Transaksi!$H$2:$H$2001,Transaksi!$M$2:$M$2001,"&lt;="&amp;S608)+SUMIFS(Transaksi!$I$2:$I$2001,Transaksi!$M$2:$M$2001,"&lt;="&amp;S608))-(SUMIFS(Transaksi!$J$2:$J$2001,Transaksi!$M$2:$M$2001,"&lt;="&amp;S608)),"")</f>
        <v/>
      </c>
      <c r="I608">
        <f>IF(605&gt;$O$2,"",MATCH(605,$Q$3:$Q$402,1))</f>
        <v/>
      </c>
      <c r="J608">
        <f>IF(I608="","",IF(605=INDEX($Q$3:$Q$402,I608),"H","E"))</f>
        <v/>
      </c>
      <c r="K608">
        <f>IF(J608&lt;&gt;"E","",MATCH(S608,Transaksi!$M$2:$M$2001,0)+605-INDEX($Q$3:$Q$402,I608)-1)</f>
        <v/>
      </c>
      <c r="S608">
        <f>IF(I608="","",INDEX($O$3:$O$402,I608))</f>
        <v/>
      </c>
      <c r="T608">
        <f>IF(J608&lt;&gt;"H","",INDEX(Transaksi!$A$2:$A$2001,MATCH(S608,Transaksi!$M$2:$M$2001,0)))</f>
        <v/>
      </c>
    </row>
    <row r="609">
      <c r="A609" s="31">
        <f>IF(J609="E",IF(INDEX(Transaksi!$J$2:$J$2001,K609)&gt;0,"↑","↓"),"")</f>
        <v/>
      </c>
      <c r="B609" s="32">
        <f>IF(J609="H",CHOOSE(WEEKDAY(T609,2),"Isnin","Selasa","Rabu","Khamis","Jumaat","Sabtu","Ahad")&amp;", "&amp;DAY(T609)&amp;" "&amp;CHOOSE(MONTH(T609),"Jan","Feb","Mac","Apr","Mei","Jun","Jul","Ogo","Sep","Okt","Nov","Dis")&amp;" "&amp;YEAR(T609),IF(J609="E",IF(INDEX(Transaksi!$B$2:$B$2001,K609)="",INDEX(Transaksi!$C$2:$C$2001,K609)&amp;" · "&amp;INDEX(Transaksi!$D$2:$D$2001,K609),INDEX(Transaksi!$B$2:$B$2001,K609)),""))</f>
        <v/>
      </c>
      <c r="C609" s="32">
        <f>IF(J609="E",INDEX(Transaksi!$C$2:$C$2001,K609)&amp;"","")</f>
        <v/>
      </c>
      <c r="D609" s="32">
        <f>IF(J609="E",INDEX(Transaksi!$D$2:$D$2001,K609)&amp;"","")</f>
        <v/>
      </c>
      <c r="E609" s="33">
        <f>IF(J609="H",SUMIFS(Transaksi!$G$2:$G$2001,Transaksi!$M$2:$M$2001,"="&amp;S609)+SUMIFS(Transaksi!$H$2:$H$2001,Transaksi!$M$2:$M$2001,"="&amp;S609)+SUMIFS(Transaksi!$I$2:$I$2001,Transaksi!$M$2:$M$2001,"="&amp;S609),IF(J609="E",IF(INDEX(Transaksi!$G$2:$G$2001,K609)+INDEX(Transaksi!$H$2:$H$2001,K609)+INDEX(Transaksi!$I$2:$I$2001,K609)=0,"",INDEX(Transaksi!$G$2:$G$2001,K609)+INDEX(Transaksi!$H$2:$H$2001,K609)+INDEX(Transaksi!$I$2:$I$2001,K609)),""))</f>
        <v/>
      </c>
      <c r="F609" s="33">
        <f>IF(J609="H",SUMIFS(Transaksi!$J$2:$J$2001,Transaksi!$M$2:$M$2001,"="&amp;S609),IF(J609="E",IF(INDEX(Transaksi!$J$2:$J$2001,K609)=0,"",INDEX(Transaksi!$J$2:$J$2001,K609)),""))</f>
        <v/>
      </c>
      <c r="G609" s="33">
        <f>IF(J609="H",(SUMIFS(Transaksi!$G$2:$G$2001,Transaksi!$M$2:$M$2001,"&lt;="&amp;S609)+SUMIFS(Transaksi!$H$2:$H$2001,Transaksi!$M$2:$M$2001,"&lt;="&amp;S609)+SUMIFS(Transaksi!$I$2:$I$2001,Transaksi!$M$2:$M$2001,"&lt;="&amp;S609))-(SUMIFS(Transaksi!$J$2:$J$2001,Transaksi!$M$2:$M$2001,"&lt;="&amp;S609)),"")</f>
        <v/>
      </c>
      <c r="I609">
        <f>IF(606&gt;$O$2,"",MATCH(606,$Q$3:$Q$402,1))</f>
        <v/>
      </c>
      <c r="J609">
        <f>IF(I609="","",IF(606=INDEX($Q$3:$Q$402,I609),"H","E"))</f>
        <v/>
      </c>
      <c r="K609">
        <f>IF(J609&lt;&gt;"E","",MATCH(S609,Transaksi!$M$2:$M$2001,0)+606-INDEX($Q$3:$Q$402,I609)-1)</f>
        <v/>
      </c>
      <c r="S609">
        <f>IF(I609="","",INDEX($O$3:$O$402,I609))</f>
        <v/>
      </c>
      <c r="T609">
        <f>IF(J609&lt;&gt;"H","",INDEX(Transaksi!$A$2:$A$2001,MATCH(S609,Transaksi!$M$2:$M$2001,0)))</f>
        <v/>
      </c>
    </row>
    <row r="610">
      <c r="A610" s="31">
        <f>IF(J610="E",IF(INDEX(Transaksi!$J$2:$J$2001,K610)&gt;0,"↑","↓"),"")</f>
        <v/>
      </c>
      <c r="B610" s="32">
        <f>IF(J610="H",CHOOSE(WEEKDAY(T610,2),"Isnin","Selasa","Rabu","Khamis","Jumaat","Sabtu","Ahad")&amp;", "&amp;DAY(T610)&amp;" "&amp;CHOOSE(MONTH(T610),"Jan","Feb","Mac","Apr","Mei","Jun","Jul","Ogo","Sep","Okt","Nov","Dis")&amp;" "&amp;YEAR(T610),IF(J610="E",IF(INDEX(Transaksi!$B$2:$B$2001,K610)="",INDEX(Transaksi!$C$2:$C$2001,K610)&amp;" · "&amp;INDEX(Transaksi!$D$2:$D$2001,K610),INDEX(Transaksi!$B$2:$B$2001,K610)),""))</f>
        <v/>
      </c>
      <c r="C610" s="32">
        <f>IF(J610="E",INDEX(Transaksi!$C$2:$C$2001,K610)&amp;"","")</f>
        <v/>
      </c>
      <c r="D610" s="32">
        <f>IF(J610="E",INDEX(Transaksi!$D$2:$D$2001,K610)&amp;"","")</f>
        <v/>
      </c>
      <c r="E610" s="33">
        <f>IF(J610="H",SUMIFS(Transaksi!$G$2:$G$2001,Transaksi!$M$2:$M$2001,"="&amp;S610)+SUMIFS(Transaksi!$H$2:$H$2001,Transaksi!$M$2:$M$2001,"="&amp;S610)+SUMIFS(Transaksi!$I$2:$I$2001,Transaksi!$M$2:$M$2001,"="&amp;S610),IF(J610="E",IF(INDEX(Transaksi!$G$2:$G$2001,K610)+INDEX(Transaksi!$H$2:$H$2001,K610)+INDEX(Transaksi!$I$2:$I$2001,K610)=0,"",INDEX(Transaksi!$G$2:$G$2001,K610)+INDEX(Transaksi!$H$2:$H$2001,K610)+INDEX(Transaksi!$I$2:$I$2001,K610)),""))</f>
        <v/>
      </c>
      <c r="F610" s="33">
        <f>IF(J610="H",SUMIFS(Transaksi!$J$2:$J$2001,Transaksi!$M$2:$M$2001,"="&amp;S610),IF(J610="E",IF(INDEX(Transaksi!$J$2:$J$2001,K610)=0,"",INDEX(Transaksi!$J$2:$J$2001,K610)),""))</f>
        <v/>
      </c>
      <c r="G610" s="33">
        <f>IF(J610="H",(SUMIFS(Transaksi!$G$2:$G$2001,Transaksi!$M$2:$M$2001,"&lt;="&amp;S610)+SUMIFS(Transaksi!$H$2:$H$2001,Transaksi!$M$2:$M$2001,"&lt;="&amp;S610)+SUMIFS(Transaksi!$I$2:$I$2001,Transaksi!$M$2:$M$2001,"&lt;="&amp;S610))-(SUMIFS(Transaksi!$J$2:$J$2001,Transaksi!$M$2:$M$2001,"&lt;="&amp;S610)),"")</f>
        <v/>
      </c>
      <c r="I610">
        <f>IF(607&gt;$O$2,"",MATCH(607,$Q$3:$Q$402,1))</f>
        <v/>
      </c>
      <c r="J610">
        <f>IF(I610="","",IF(607=INDEX($Q$3:$Q$402,I610),"H","E"))</f>
        <v/>
      </c>
      <c r="K610">
        <f>IF(J610&lt;&gt;"E","",MATCH(S610,Transaksi!$M$2:$M$2001,0)+607-INDEX($Q$3:$Q$402,I610)-1)</f>
        <v/>
      </c>
      <c r="S610">
        <f>IF(I610="","",INDEX($O$3:$O$402,I610))</f>
        <v/>
      </c>
      <c r="T610">
        <f>IF(J610&lt;&gt;"H","",INDEX(Transaksi!$A$2:$A$2001,MATCH(S610,Transaksi!$M$2:$M$2001,0)))</f>
        <v/>
      </c>
    </row>
    <row r="611">
      <c r="A611" s="31">
        <f>IF(J611="E",IF(INDEX(Transaksi!$J$2:$J$2001,K611)&gt;0,"↑","↓"),"")</f>
        <v/>
      </c>
      <c r="B611" s="32">
        <f>IF(J611="H",CHOOSE(WEEKDAY(T611,2),"Isnin","Selasa","Rabu","Khamis","Jumaat","Sabtu","Ahad")&amp;", "&amp;DAY(T611)&amp;" "&amp;CHOOSE(MONTH(T611),"Jan","Feb","Mac","Apr","Mei","Jun","Jul","Ogo","Sep","Okt","Nov","Dis")&amp;" "&amp;YEAR(T611),IF(J611="E",IF(INDEX(Transaksi!$B$2:$B$2001,K611)="",INDEX(Transaksi!$C$2:$C$2001,K611)&amp;" · "&amp;INDEX(Transaksi!$D$2:$D$2001,K611),INDEX(Transaksi!$B$2:$B$2001,K611)),""))</f>
        <v/>
      </c>
      <c r="C611" s="32">
        <f>IF(J611="E",INDEX(Transaksi!$C$2:$C$2001,K611)&amp;"","")</f>
        <v/>
      </c>
      <c r="D611" s="32">
        <f>IF(J611="E",INDEX(Transaksi!$D$2:$D$2001,K611)&amp;"","")</f>
        <v/>
      </c>
      <c r="E611" s="33">
        <f>IF(J611="H",SUMIFS(Transaksi!$G$2:$G$2001,Transaksi!$M$2:$M$2001,"="&amp;S611)+SUMIFS(Transaksi!$H$2:$H$2001,Transaksi!$M$2:$M$2001,"="&amp;S611)+SUMIFS(Transaksi!$I$2:$I$2001,Transaksi!$M$2:$M$2001,"="&amp;S611),IF(J611="E",IF(INDEX(Transaksi!$G$2:$G$2001,K611)+INDEX(Transaksi!$H$2:$H$2001,K611)+INDEX(Transaksi!$I$2:$I$2001,K611)=0,"",INDEX(Transaksi!$G$2:$G$2001,K611)+INDEX(Transaksi!$H$2:$H$2001,K611)+INDEX(Transaksi!$I$2:$I$2001,K611)),""))</f>
        <v/>
      </c>
      <c r="F611" s="33">
        <f>IF(J611="H",SUMIFS(Transaksi!$J$2:$J$2001,Transaksi!$M$2:$M$2001,"="&amp;S611),IF(J611="E",IF(INDEX(Transaksi!$J$2:$J$2001,K611)=0,"",INDEX(Transaksi!$J$2:$J$2001,K611)),""))</f>
        <v/>
      </c>
      <c r="G611" s="33">
        <f>IF(J611="H",(SUMIFS(Transaksi!$G$2:$G$2001,Transaksi!$M$2:$M$2001,"&lt;="&amp;S611)+SUMIFS(Transaksi!$H$2:$H$2001,Transaksi!$M$2:$M$2001,"&lt;="&amp;S611)+SUMIFS(Transaksi!$I$2:$I$2001,Transaksi!$M$2:$M$2001,"&lt;="&amp;S611))-(SUMIFS(Transaksi!$J$2:$J$2001,Transaksi!$M$2:$M$2001,"&lt;="&amp;S611)),"")</f>
        <v/>
      </c>
      <c r="I611">
        <f>IF(608&gt;$O$2,"",MATCH(608,$Q$3:$Q$402,1))</f>
        <v/>
      </c>
      <c r="J611">
        <f>IF(I611="","",IF(608=INDEX($Q$3:$Q$402,I611),"H","E"))</f>
        <v/>
      </c>
      <c r="K611">
        <f>IF(J611&lt;&gt;"E","",MATCH(S611,Transaksi!$M$2:$M$2001,0)+608-INDEX($Q$3:$Q$402,I611)-1)</f>
        <v/>
      </c>
      <c r="S611">
        <f>IF(I611="","",INDEX($O$3:$O$402,I611))</f>
        <v/>
      </c>
      <c r="T611">
        <f>IF(J611&lt;&gt;"H","",INDEX(Transaksi!$A$2:$A$2001,MATCH(S611,Transaksi!$M$2:$M$2001,0)))</f>
        <v/>
      </c>
    </row>
    <row r="612">
      <c r="A612" s="31">
        <f>IF(J612="E",IF(INDEX(Transaksi!$J$2:$J$2001,K612)&gt;0,"↑","↓"),"")</f>
        <v/>
      </c>
      <c r="B612" s="32">
        <f>IF(J612="H",CHOOSE(WEEKDAY(T612,2),"Isnin","Selasa","Rabu","Khamis","Jumaat","Sabtu","Ahad")&amp;", "&amp;DAY(T612)&amp;" "&amp;CHOOSE(MONTH(T612),"Jan","Feb","Mac","Apr","Mei","Jun","Jul","Ogo","Sep","Okt","Nov","Dis")&amp;" "&amp;YEAR(T612),IF(J612="E",IF(INDEX(Transaksi!$B$2:$B$2001,K612)="",INDEX(Transaksi!$C$2:$C$2001,K612)&amp;" · "&amp;INDEX(Transaksi!$D$2:$D$2001,K612),INDEX(Transaksi!$B$2:$B$2001,K612)),""))</f>
        <v/>
      </c>
      <c r="C612" s="32">
        <f>IF(J612="E",INDEX(Transaksi!$C$2:$C$2001,K612)&amp;"","")</f>
        <v/>
      </c>
      <c r="D612" s="32">
        <f>IF(J612="E",INDEX(Transaksi!$D$2:$D$2001,K612)&amp;"","")</f>
        <v/>
      </c>
      <c r="E612" s="33">
        <f>IF(J612="H",SUMIFS(Transaksi!$G$2:$G$2001,Transaksi!$M$2:$M$2001,"="&amp;S612)+SUMIFS(Transaksi!$H$2:$H$2001,Transaksi!$M$2:$M$2001,"="&amp;S612)+SUMIFS(Transaksi!$I$2:$I$2001,Transaksi!$M$2:$M$2001,"="&amp;S612),IF(J612="E",IF(INDEX(Transaksi!$G$2:$G$2001,K612)+INDEX(Transaksi!$H$2:$H$2001,K612)+INDEX(Transaksi!$I$2:$I$2001,K612)=0,"",INDEX(Transaksi!$G$2:$G$2001,K612)+INDEX(Transaksi!$H$2:$H$2001,K612)+INDEX(Transaksi!$I$2:$I$2001,K612)),""))</f>
        <v/>
      </c>
      <c r="F612" s="33">
        <f>IF(J612="H",SUMIFS(Transaksi!$J$2:$J$2001,Transaksi!$M$2:$M$2001,"="&amp;S612),IF(J612="E",IF(INDEX(Transaksi!$J$2:$J$2001,K612)=0,"",INDEX(Transaksi!$J$2:$J$2001,K612)),""))</f>
        <v/>
      </c>
      <c r="G612" s="33">
        <f>IF(J612="H",(SUMIFS(Transaksi!$G$2:$G$2001,Transaksi!$M$2:$M$2001,"&lt;="&amp;S612)+SUMIFS(Transaksi!$H$2:$H$2001,Transaksi!$M$2:$M$2001,"&lt;="&amp;S612)+SUMIFS(Transaksi!$I$2:$I$2001,Transaksi!$M$2:$M$2001,"&lt;="&amp;S612))-(SUMIFS(Transaksi!$J$2:$J$2001,Transaksi!$M$2:$M$2001,"&lt;="&amp;S612)),"")</f>
        <v/>
      </c>
      <c r="I612">
        <f>IF(609&gt;$O$2,"",MATCH(609,$Q$3:$Q$402,1))</f>
        <v/>
      </c>
      <c r="J612">
        <f>IF(I612="","",IF(609=INDEX($Q$3:$Q$402,I612),"H","E"))</f>
        <v/>
      </c>
      <c r="K612">
        <f>IF(J612&lt;&gt;"E","",MATCH(S612,Transaksi!$M$2:$M$2001,0)+609-INDEX($Q$3:$Q$402,I612)-1)</f>
        <v/>
      </c>
      <c r="S612">
        <f>IF(I612="","",INDEX($O$3:$O$402,I612))</f>
        <v/>
      </c>
      <c r="T612">
        <f>IF(J612&lt;&gt;"H","",INDEX(Transaksi!$A$2:$A$2001,MATCH(S612,Transaksi!$M$2:$M$2001,0)))</f>
        <v/>
      </c>
    </row>
    <row r="613">
      <c r="A613" s="31">
        <f>IF(J613="E",IF(INDEX(Transaksi!$J$2:$J$2001,K613)&gt;0,"↑","↓"),"")</f>
        <v/>
      </c>
      <c r="B613" s="32">
        <f>IF(J613="H",CHOOSE(WEEKDAY(T613,2),"Isnin","Selasa","Rabu","Khamis","Jumaat","Sabtu","Ahad")&amp;", "&amp;DAY(T613)&amp;" "&amp;CHOOSE(MONTH(T613),"Jan","Feb","Mac","Apr","Mei","Jun","Jul","Ogo","Sep","Okt","Nov","Dis")&amp;" "&amp;YEAR(T613),IF(J613="E",IF(INDEX(Transaksi!$B$2:$B$2001,K613)="",INDEX(Transaksi!$C$2:$C$2001,K613)&amp;" · "&amp;INDEX(Transaksi!$D$2:$D$2001,K613),INDEX(Transaksi!$B$2:$B$2001,K613)),""))</f>
        <v/>
      </c>
      <c r="C613" s="32">
        <f>IF(J613="E",INDEX(Transaksi!$C$2:$C$2001,K613)&amp;"","")</f>
        <v/>
      </c>
      <c r="D613" s="32">
        <f>IF(J613="E",INDEX(Transaksi!$D$2:$D$2001,K613)&amp;"","")</f>
        <v/>
      </c>
      <c r="E613" s="33">
        <f>IF(J613="H",SUMIFS(Transaksi!$G$2:$G$2001,Transaksi!$M$2:$M$2001,"="&amp;S613)+SUMIFS(Transaksi!$H$2:$H$2001,Transaksi!$M$2:$M$2001,"="&amp;S613)+SUMIFS(Transaksi!$I$2:$I$2001,Transaksi!$M$2:$M$2001,"="&amp;S613),IF(J613="E",IF(INDEX(Transaksi!$G$2:$G$2001,K613)+INDEX(Transaksi!$H$2:$H$2001,K613)+INDEX(Transaksi!$I$2:$I$2001,K613)=0,"",INDEX(Transaksi!$G$2:$G$2001,K613)+INDEX(Transaksi!$H$2:$H$2001,K613)+INDEX(Transaksi!$I$2:$I$2001,K613)),""))</f>
        <v/>
      </c>
      <c r="F613" s="33">
        <f>IF(J613="H",SUMIFS(Transaksi!$J$2:$J$2001,Transaksi!$M$2:$M$2001,"="&amp;S613),IF(J613="E",IF(INDEX(Transaksi!$J$2:$J$2001,K613)=0,"",INDEX(Transaksi!$J$2:$J$2001,K613)),""))</f>
        <v/>
      </c>
      <c r="G613" s="33">
        <f>IF(J613="H",(SUMIFS(Transaksi!$G$2:$G$2001,Transaksi!$M$2:$M$2001,"&lt;="&amp;S613)+SUMIFS(Transaksi!$H$2:$H$2001,Transaksi!$M$2:$M$2001,"&lt;="&amp;S613)+SUMIFS(Transaksi!$I$2:$I$2001,Transaksi!$M$2:$M$2001,"&lt;="&amp;S613))-(SUMIFS(Transaksi!$J$2:$J$2001,Transaksi!$M$2:$M$2001,"&lt;="&amp;S613)),"")</f>
        <v/>
      </c>
      <c r="I613">
        <f>IF(610&gt;$O$2,"",MATCH(610,$Q$3:$Q$402,1))</f>
        <v/>
      </c>
      <c r="J613">
        <f>IF(I613="","",IF(610=INDEX($Q$3:$Q$402,I613),"H","E"))</f>
        <v/>
      </c>
      <c r="K613">
        <f>IF(J613&lt;&gt;"E","",MATCH(S613,Transaksi!$M$2:$M$2001,0)+610-INDEX($Q$3:$Q$402,I613)-1)</f>
        <v/>
      </c>
      <c r="S613">
        <f>IF(I613="","",INDEX($O$3:$O$402,I613))</f>
        <v/>
      </c>
      <c r="T613">
        <f>IF(J613&lt;&gt;"H","",INDEX(Transaksi!$A$2:$A$2001,MATCH(S613,Transaksi!$M$2:$M$2001,0)))</f>
        <v/>
      </c>
    </row>
    <row r="614">
      <c r="A614" s="31">
        <f>IF(J614="E",IF(INDEX(Transaksi!$J$2:$J$2001,K614)&gt;0,"↑","↓"),"")</f>
        <v/>
      </c>
      <c r="B614" s="32">
        <f>IF(J614="H",CHOOSE(WEEKDAY(T614,2),"Isnin","Selasa","Rabu","Khamis","Jumaat","Sabtu","Ahad")&amp;", "&amp;DAY(T614)&amp;" "&amp;CHOOSE(MONTH(T614),"Jan","Feb","Mac","Apr","Mei","Jun","Jul","Ogo","Sep","Okt","Nov","Dis")&amp;" "&amp;YEAR(T614),IF(J614="E",IF(INDEX(Transaksi!$B$2:$B$2001,K614)="",INDEX(Transaksi!$C$2:$C$2001,K614)&amp;" · "&amp;INDEX(Transaksi!$D$2:$D$2001,K614),INDEX(Transaksi!$B$2:$B$2001,K614)),""))</f>
        <v/>
      </c>
      <c r="C614" s="32">
        <f>IF(J614="E",INDEX(Transaksi!$C$2:$C$2001,K614)&amp;"","")</f>
        <v/>
      </c>
      <c r="D614" s="32">
        <f>IF(J614="E",INDEX(Transaksi!$D$2:$D$2001,K614)&amp;"","")</f>
        <v/>
      </c>
      <c r="E614" s="33">
        <f>IF(J614="H",SUMIFS(Transaksi!$G$2:$G$2001,Transaksi!$M$2:$M$2001,"="&amp;S614)+SUMIFS(Transaksi!$H$2:$H$2001,Transaksi!$M$2:$M$2001,"="&amp;S614)+SUMIFS(Transaksi!$I$2:$I$2001,Transaksi!$M$2:$M$2001,"="&amp;S614),IF(J614="E",IF(INDEX(Transaksi!$G$2:$G$2001,K614)+INDEX(Transaksi!$H$2:$H$2001,K614)+INDEX(Transaksi!$I$2:$I$2001,K614)=0,"",INDEX(Transaksi!$G$2:$G$2001,K614)+INDEX(Transaksi!$H$2:$H$2001,K614)+INDEX(Transaksi!$I$2:$I$2001,K614)),""))</f>
        <v/>
      </c>
      <c r="F614" s="33">
        <f>IF(J614="H",SUMIFS(Transaksi!$J$2:$J$2001,Transaksi!$M$2:$M$2001,"="&amp;S614),IF(J614="E",IF(INDEX(Transaksi!$J$2:$J$2001,K614)=0,"",INDEX(Transaksi!$J$2:$J$2001,K614)),""))</f>
        <v/>
      </c>
      <c r="G614" s="33">
        <f>IF(J614="H",(SUMIFS(Transaksi!$G$2:$G$2001,Transaksi!$M$2:$M$2001,"&lt;="&amp;S614)+SUMIFS(Transaksi!$H$2:$H$2001,Transaksi!$M$2:$M$2001,"&lt;="&amp;S614)+SUMIFS(Transaksi!$I$2:$I$2001,Transaksi!$M$2:$M$2001,"&lt;="&amp;S614))-(SUMIFS(Transaksi!$J$2:$J$2001,Transaksi!$M$2:$M$2001,"&lt;="&amp;S614)),"")</f>
        <v/>
      </c>
      <c r="I614">
        <f>IF(611&gt;$O$2,"",MATCH(611,$Q$3:$Q$402,1))</f>
        <v/>
      </c>
      <c r="J614">
        <f>IF(I614="","",IF(611=INDEX($Q$3:$Q$402,I614),"H","E"))</f>
        <v/>
      </c>
      <c r="K614">
        <f>IF(J614&lt;&gt;"E","",MATCH(S614,Transaksi!$M$2:$M$2001,0)+611-INDEX($Q$3:$Q$402,I614)-1)</f>
        <v/>
      </c>
      <c r="S614">
        <f>IF(I614="","",INDEX($O$3:$O$402,I614))</f>
        <v/>
      </c>
      <c r="T614">
        <f>IF(J614&lt;&gt;"H","",INDEX(Transaksi!$A$2:$A$2001,MATCH(S614,Transaksi!$M$2:$M$2001,0)))</f>
        <v/>
      </c>
    </row>
    <row r="615">
      <c r="A615" s="31">
        <f>IF(J615="E",IF(INDEX(Transaksi!$J$2:$J$2001,K615)&gt;0,"↑","↓"),"")</f>
        <v/>
      </c>
      <c r="B615" s="32">
        <f>IF(J615="H",CHOOSE(WEEKDAY(T615,2),"Isnin","Selasa","Rabu","Khamis","Jumaat","Sabtu","Ahad")&amp;", "&amp;DAY(T615)&amp;" "&amp;CHOOSE(MONTH(T615),"Jan","Feb","Mac","Apr","Mei","Jun","Jul","Ogo","Sep","Okt","Nov","Dis")&amp;" "&amp;YEAR(T615),IF(J615="E",IF(INDEX(Transaksi!$B$2:$B$2001,K615)="",INDEX(Transaksi!$C$2:$C$2001,K615)&amp;" · "&amp;INDEX(Transaksi!$D$2:$D$2001,K615),INDEX(Transaksi!$B$2:$B$2001,K615)),""))</f>
        <v/>
      </c>
      <c r="C615" s="32">
        <f>IF(J615="E",INDEX(Transaksi!$C$2:$C$2001,K615)&amp;"","")</f>
        <v/>
      </c>
      <c r="D615" s="32">
        <f>IF(J615="E",INDEX(Transaksi!$D$2:$D$2001,K615)&amp;"","")</f>
        <v/>
      </c>
      <c r="E615" s="33">
        <f>IF(J615="H",SUMIFS(Transaksi!$G$2:$G$2001,Transaksi!$M$2:$M$2001,"="&amp;S615)+SUMIFS(Transaksi!$H$2:$H$2001,Transaksi!$M$2:$M$2001,"="&amp;S615)+SUMIFS(Transaksi!$I$2:$I$2001,Transaksi!$M$2:$M$2001,"="&amp;S615),IF(J615="E",IF(INDEX(Transaksi!$G$2:$G$2001,K615)+INDEX(Transaksi!$H$2:$H$2001,K615)+INDEX(Transaksi!$I$2:$I$2001,K615)=0,"",INDEX(Transaksi!$G$2:$G$2001,K615)+INDEX(Transaksi!$H$2:$H$2001,K615)+INDEX(Transaksi!$I$2:$I$2001,K615)),""))</f>
        <v/>
      </c>
      <c r="F615" s="33">
        <f>IF(J615="H",SUMIFS(Transaksi!$J$2:$J$2001,Transaksi!$M$2:$M$2001,"="&amp;S615),IF(J615="E",IF(INDEX(Transaksi!$J$2:$J$2001,K615)=0,"",INDEX(Transaksi!$J$2:$J$2001,K615)),""))</f>
        <v/>
      </c>
      <c r="G615" s="33">
        <f>IF(J615="H",(SUMIFS(Transaksi!$G$2:$G$2001,Transaksi!$M$2:$M$2001,"&lt;="&amp;S615)+SUMIFS(Transaksi!$H$2:$H$2001,Transaksi!$M$2:$M$2001,"&lt;="&amp;S615)+SUMIFS(Transaksi!$I$2:$I$2001,Transaksi!$M$2:$M$2001,"&lt;="&amp;S615))-(SUMIFS(Transaksi!$J$2:$J$2001,Transaksi!$M$2:$M$2001,"&lt;="&amp;S615)),"")</f>
        <v/>
      </c>
      <c r="I615">
        <f>IF(612&gt;$O$2,"",MATCH(612,$Q$3:$Q$402,1))</f>
        <v/>
      </c>
      <c r="J615">
        <f>IF(I615="","",IF(612=INDEX($Q$3:$Q$402,I615),"H","E"))</f>
        <v/>
      </c>
      <c r="K615">
        <f>IF(J615&lt;&gt;"E","",MATCH(S615,Transaksi!$M$2:$M$2001,0)+612-INDEX($Q$3:$Q$402,I615)-1)</f>
        <v/>
      </c>
      <c r="S615">
        <f>IF(I615="","",INDEX($O$3:$O$402,I615))</f>
        <v/>
      </c>
      <c r="T615">
        <f>IF(J615&lt;&gt;"H","",INDEX(Transaksi!$A$2:$A$2001,MATCH(S615,Transaksi!$M$2:$M$2001,0)))</f>
        <v/>
      </c>
    </row>
    <row r="616">
      <c r="A616" s="31">
        <f>IF(J616="E",IF(INDEX(Transaksi!$J$2:$J$2001,K616)&gt;0,"↑","↓"),"")</f>
        <v/>
      </c>
      <c r="B616" s="32">
        <f>IF(J616="H",CHOOSE(WEEKDAY(T616,2),"Isnin","Selasa","Rabu","Khamis","Jumaat","Sabtu","Ahad")&amp;", "&amp;DAY(T616)&amp;" "&amp;CHOOSE(MONTH(T616),"Jan","Feb","Mac","Apr","Mei","Jun","Jul","Ogo","Sep","Okt","Nov","Dis")&amp;" "&amp;YEAR(T616),IF(J616="E",IF(INDEX(Transaksi!$B$2:$B$2001,K616)="",INDEX(Transaksi!$C$2:$C$2001,K616)&amp;" · "&amp;INDEX(Transaksi!$D$2:$D$2001,K616),INDEX(Transaksi!$B$2:$B$2001,K616)),""))</f>
        <v/>
      </c>
      <c r="C616" s="32">
        <f>IF(J616="E",INDEX(Transaksi!$C$2:$C$2001,K616)&amp;"","")</f>
        <v/>
      </c>
      <c r="D616" s="32">
        <f>IF(J616="E",INDEX(Transaksi!$D$2:$D$2001,K616)&amp;"","")</f>
        <v/>
      </c>
      <c r="E616" s="33">
        <f>IF(J616="H",SUMIFS(Transaksi!$G$2:$G$2001,Transaksi!$M$2:$M$2001,"="&amp;S616)+SUMIFS(Transaksi!$H$2:$H$2001,Transaksi!$M$2:$M$2001,"="&amp;S616)+SUMIFS(Transaksi!$I$2:$I$2001,Transaksi!$M$2:$M$2001,"="&amp;S616),IF(J616="E",IF(INDEX(Transaksi!$G$2:$G$2001,K616)+INDEX(Transaksi!$H$2:$H$2001,K616)+INDEX(Transaksi!$I$2:$I$2001,K616)=0,"",INDEX(Transaksi!$G$2:$G$2001,K616)+INDEX(Transaksi!$H$2:$H$2001,K616)+INDEX(Transaksi!$I$2:$I$2001,K616)),""))</f>
        <v/>
      </c>
      <c r="F616" s="33">
        <f>IF(J616="H",SUMIFS(Transaksi!$J$2:$J$2001,Transaksi!$M$2:$M$2001,"="&amp;S616),IF(J616="E",IF(INDEX(Transaksi!$J$2:$J$2001,K616)=0,"",INDEX(Transaksi!$J$2:$J$2001,K616)),""))</f>
        <v/>
      </c>
      <c r="G616" s="33">
        <f>IF(J616="H",(SUMIFS(Transaksi!$G$2:$G$2001,Transaksi!$M$2:$M$2001,"&lt;="&amp;S616)+SUMIFS(Transaksi!$H$2:$H$2001,Transaksi!$M$2:$M$2001,"&lt;="&amp;S616)+SUMIFS(Transaksi!$I$2:$I$2001,Transaksi!$M$2:$M$2001,"&lt;="&amp;S616))-(SUMIFS(Transaksi!$J$2:$J$2001,Transaksi!$M$2:$M$2001,"&lt;="&amp;S616)),"")</f>
        <v/>
      </c>
      <c r="I616">
        <f>IF(613&gt;$O$2,"",MATCH(613,$Q$3:$Q$402,1))</f>
        <v/>
      </c>
      <c r="J616">
        <f>IF(I616="","",IF(613=INDEX($Q$3:$Q$402,I616),"H","E"))</f>
        <v/>
      </c>
      <c r="K616">
        <f>IF(J616&lt;&gt;"E","",MATCH(S616,Transaksi!$M$2:$M$2001,0)+613-INDEX($Q$3:$Q$402,I616)-1)</f>
        <v/>
      </c>
      <c r="S616">
        <f>IF(I616="","",INDEX($O$3:$O$402,I616))</f>
        <v/>
      </c>
      <c r="T616">
        <f>IF(J616&lt;&gt;"H","",INDEX(Transaksi!$A$2:$A$2001,MATCH(S616,Transaksi!$M$2:$M$2001,0)))</f>
        <v/>
      </c>
    </row>
    <row r="617">
      <c r="A617" s="31">
        <f>IF(J617="E",IF(INDEX(Transaksi!$J$2:$J$2001,K617)&gt;0,"↑","↓"),"")</f>
        <v/>
      </c>
      <c r="B617" s="32">
        <f>IF(J617="H",CHOOSE(WEEKDAY(T617,2),"Isnin","Selasa","Rabu","Khamis","Jumaat","Sabtu","Ahad")&amp;", "&amp;DAY(T617)&amp;" "&amp;CHOOSE(MONTH(T617),"Jan","Feb","Mac","Apr","Mei","Jun","Jul","Ogo","Sep","Okt","Nov","Dis")&amp;" "&amp;YEAR(T617),IF(J617="E",IF(INDEX(Transaksi!$B$2:$B$2001,K617)="",INDEX(Transaksi!$C$2:$C$2001,K617)&amp;" · "&amp;INDEX(Transaksi!$D$2:$D$2001,K617),INDEX(Transaksi!$B$2:$B$2001,K617)),""))</f>
        <v/>
      </c>
      <c r="C617" s="32">
        <f>IF(J617="E",INDEX(Transaksi!$C$2:$C$2001,K617)&amp;"","")</f>
        <v/>
      </c>
      <c r="D617" s="32">
        <f>IF(J617="E",INDEX(Transaksi!$D$2:$D$2001,K617)&amp;"","")</f>
        <v/>
      </c>
      <c r="E617" s="33">
        <f>IF(J617="H",SUMIFS(Transaksi!$G$2:$G$2001,Transaksi!$M$2:$M$2001,"="&amp;S617)+SUMIFS(Transaksi!$H$2:$H$2001,Transaksi!$M$2:$M$2001,"="&amp;S617)+SUMIFS(Transaksi!$I$2:$I$2001,Transaksi!$M$2:$M$2001,"="&amp;S617),IF(J617="E",IF(INDEX(Transaksi!$G$2:$G$2001,K617)+INDEX(Transaksi!$H$2:$H$2001,K617)+INDEX(Transaksi!$I$2:$I$2001,K617)=0,"",INDEX(Transaksi!$G$2:$G$2001,K617)+INDEX(Transaksi!$H$2:$H$2001,K617)+INDEX(Transaksi!$I$2:$I$2001,K617)),""))</f>
        <v/>
      </c>
      <c r="F617" s="33">
        <f>IF(J617="H",SUMIFS(Transaksi!$J$2:$J$2001,Transaksi!$M$2:$M$2001,"="&amp;S617),IF(J617="E",IF(INDEX(Transaksi!$J$2:$J$2001,K617)=0,"",INDEX(Transaksi!$J$2:$J$2001,K617)),""))</f>
        <v/>
      </c>
      <c r="G617" s="33">
        <f>IF(J617="H",(SUMIFS(Transaksi!$G$2:$G$2001,Transaksi!$M$2:$M$2001,"&lt;="&amp;S617)+SUMIFS(Transaksi!$H$2:$H$2001,Transaksi!$M$2:$M$2001,"&lt;="&amp;S617)+SUMIFS(Transaksi!$I$2:$I$2001,Transaksi!$M$2:$M$2001,"&lt;="&amp;S617))-(SUMIFS(Transaksi!$J$2:$J$2001,Transaksi!$M$2:$M$2001,"&lt;="&amp;S617)),"")</f>
        <v/>
      </c>
      <c r="I617">
        <f>IF(614&gt;$O$2,"",MATCH(614,$Q$3:$Q$402,1))</f>
        <v/>
      </c>
      <c r="J617">
        <f>IF(I617="","",IF(614=INDEX($Q$3:$Q$402,I617),"H","E"))</f>
        <v/>
      </c>
      <c r="K617">
        <f>IF(J617&lt;&gt;"E","",MATCH(S617,Transaksi!$M$2:$M$2001,0)+614-INDEX($Q$3:$Q$402,I617)-1)</f>
        <v/>
      </c>
      <c r="S617">
        <f>IF(I617="","",INDEX($O$3:$O$402,I617))</f>
        <v/>
      </c>
      <c r="T617">
        <f>IF(J617&lt;&gt;"H","",INDEX(Transaksi!$A$2:$A$2001,MATCH(S617,Transaksi!$M$2:$M$2001,0)))</f>
        <v/>
      </c>
    </row>
    <row r="618">
      <c r="A618" s="31">
        <f>IF(J618="E",IF(INDEX(Transaksi!$J$2:$J$2001,K618)&gt;0,"↑","↓"),"")</f>
        <v/>
      </c>
      <c r="B618" s="32">
        <f>IF(J618="H",CHOOSE(WEEKDAY(T618,2),"Isnin","Selasa","Rabu","Khamis","Jumaat","Sabtu","Ahad")&amp;", "&amp;DAY(T618)&amp;" "&amp;CHOOSE(MONTH(T618),"Jan","Feb","Mac","Apr","Mei","Jun","Jul","Ogo","Sep","Okt","Nov","Dis")&amp;" "&amp;YEAR(T618),IF(J618="E",IF(INDEX(Transaksi!$B$2:$B$2001,K618)="",INDEX(Transaksi!$C$2:$C$2001,K618)&amp;" · "&amp;INDEX(Transaksi!$D$2:$D$2001,K618),INDEX(Transaksi!$B$2:$B$2001,K618)),""))</f>
        <v/>
      </c>
      <c r="C618" s="32">
        <f>IF(J618="E",INDEX(Transaksi!$C$2:$C$2001,K618)&amp;"","")</f>
        <v/>
      </c>
      <c r="D618" s="32">
        <f>IF(J618="E",INDEX(Transaksi!$D$2:$D$2001,K618)&amp;"","")</f>
        <v/>
      </c>
      <c r="E618" s="33">
        <f>IF(J618="H",SUMIFS(Transaksi!$G$2:$G$2001,Transaksi!$M$2:$M$2001,"="&amp;S618)+SUMIFS(Transaksi!$H$2:$H$2001,Transaksi!$M$2:$M$2001,"="&amp;S618)+SUMIFS(Transaksi!$I$2:$I$2001,Transaksi!$M$2:$M$2001,"="&amp;S618),IF(J618="E",IF(INDEX(Transaksi!$G$2:$G$2001,K618)+INDEX(Transaksi!$H$2:$H$2001,K618)+INDEX(Transaksi!$I$2:$I$2001,K618)=0,"",INDEX(Transaksi!$G$2:$G$2001,K618)+INDEX(Transaksi!$H$2:$H$2001,K618)+INDEX(Transaksi!$I$2:$I$2001,K618)),""))</f>
        <v/>
      </c>
      <c r="F618" s="33">
        <f>IF(J618="H",SUMIFS(Transaksi!$J$2:$J$2001,Transaksi!$M$2:$M$2001,"="&amp;S618),IF(J618="E",IF(INDEX(Transaksi!$J$2:$J$2001,K618)=0,"",INDEX(Transaksi!$J$2:$J$2001,K618)),""))</f>
        <v/>
      </c>
      <c r="G618" s="33">
        <f>IF(J618="H",(SUMIFS(Transaksi!$G$2:$G$2001,Transaksi!$M$2:$M$2001,"&lt;="&amp;S618)+SUMIFS(Transaksi!$H$2:$H$2001,Transaksi!$M$2:$M$2001,"&lt;="&amp;S618)+SUMIFS(Transaksi!$I$2:$I$2001,Transaksi!$M$2:$M$2001,"&lt;="&amp;S618))-(SUMIFS(Transaksi!$J$2:$J$2001,Transaksi!$M$2:$M$2001,"&lt;="&amp;S618)),"")</f>
        <v/>
      </c>
      <c r="I618">
        <f>IF(615&gt;$O$2,"",MATCH(615,$Q$3:$Q$402,1))</f>
        <v/>
      </c>
      <c r="J618">
        <f>IF(I618="","",IF(615=INDEX($Q$3:$Q$402,I618),"H","E"))</f>
        <v/>
      </c>
      <c r="K618">
        <f>IF(J618&lt;&gt;"E","",MATCH(S618,Transaksi!$M$2:$M$2001,0)+615-INDEX($Q$3:$Q$402,I618)-1)</f>
        <v/>
      </c>
      <c r="S618">
        <f>IF(I618="","",INDEX($O$3:$O$402,I618))</f>
        <v/>
      </c>
      <c r="T618">
        <f>IF(J618&lt;&gt;"H","",INDEX(Transaksi!$A$2:$A$2001,MATCH(S618,Transaksi!$M$2:$M$2001,0)))</f>
        <v/>
      </c>
    </row>
    <row r="619">
      <c r="A619" s="31">
        <f>IF(J619="E",IF(INDEX(Transaksi!$J$2:$J$2001,K619)&gt;0,"↑","↓"),"")</f>
        <v/>
      </c>
      <c r="B619" s="32">
        <f>IF(J619="H",CHOOSE(WEEKDAY(T619,2),"Isnin","Selasa","Rabu","Khamis","Jumaat","Sabtu","Ahad")&amp;", "&amp;DAY(T619)&amp;" "&amp;CHOOSE(MONTH(T619),"Jan","Feb","Mac","Apr","Mei","Jun","Jul","Ogo","Sep","Okt","Nov","Dis")&amp;" "&amp;YEAR(T619),IF(J619="E",IF(INDEX(Transaksi!$B$2:$B$2001,K619)="",INDEX(Transaksi!$C$2:$C$2001,K619)&amp;" · "&amp;INDEX(Transaksi!$D$2:$D$2001,K619),INDEX(Transaksi!$B$2:$B$2001,K619)),""))</f>
        <v/>
      </c>
      <c r="C619" s="32">
        <f>IF(J619="E",INDEX(Transaksi!$C$2:$C$2001,K619)&amp;"","")</f>
        <v/>
      </c>
      <c r="D619" s="32">
        <f>IF(J619="E",INDEX(Transaksi!$D$2:$D$2001,K619)&amp;"","")</f>
        <v/>
      </c>
      <c r="E619" s="33">
        <f>IF(J619="H",SUMIFS(Transaksi!$G$2:$G$2001,Transaksi!$M$2:$M$2001,"="&amp;S619)+SUMIFS(Transaksi!$H$2:$H$2001,Transaksi!$M$2:$M$2001,"="&amp;S619)+SUMIFS(Transaksi!$I$2:$I$2001,Transaksi!$M$2:$M$2001,"="&amp;S619),IF(J619="E",IF(INDEX(Transaksi!$G$2:$G$2001,K619)+INDEX(Transaksi!$H$2:$H$2001,K619)+INDEX(Transaksi!$I$2:$I$2001,K619)=0,"",INDEX(Transaksi!$G$2:$G$2001,K619)+INDEX(Transaksi!$H$2:$H$2001,K619)+INDEX(Transaksi!$I$2:$I$2001,K619)),""))</f>
        <v/>
      </c>
      <c r="F619" s="33">
        <f>IF(J619="H",SUMIFS(Transaksi!$J$2:$J$2001,Transaksi!$M$2:$M$2001,"="&amp;S619),IF(J619="E",IF(INDEX(Transaksi!$J$2:$J$2001,K619)=0,"",INDEX(Transaksi!$J$2:$J$2001,K619)),""))</f>
        <v/>
      </c>
      <c r="G619" s="33">
        <f>IF(J619="H",(SUMIFS(Transaksi!$G$2:$G$2001,Transaksi!$M$2:$M$2001,"&lt;="&amp;S619)+SUMIFS(Transaksi!$H$2:$H$2001,Transaksi!$M$2:$M$2001,"&lt;="&amp;S619)+SUMIFS(Transaksi!$I$2:$I$2001,Transaksi!$M$2:$M$2001,"&lt;="&amp;S619))-(SUMIFS(Transaksi!$J$2:$J$2001,Transaksi!$M$2:$M$2001,"&lt;="&amp;S619)),"")</f>
        <v/>
      </c>
      <c r="I619">
        <f>IF(616&gt;$O$2,"",MATCH(616,$Q$3:$Q$402,1))</f>
        <v/>
      </c>
      <c r="J619">
        <f>IF(I619="","",IF(616=INDEX($Q$3:$Q$402,I619),"H","E"))</f>
        <v/>
      </c>
      <c r="K619">
        <f>IF(J619&lt;&gt;"E","",MATCH(S619,Transaksi!$M$2:$M$2001,0)+616-INDEX($Q$3:$Q$402,I619)-1)</f>
        <v/>
      </c>
      <c r="S619">
        <f>IF(I619="","",INDEX($O$3:$O$402,I619))</f>
        <v/>
      </c>
      <c r="T619">
        <f>IF(J619&lt;&gt;"H","",INDEX(Transaksi!$A$2:$A$2001,MATCH(S619,Transaksi!$M$2:$M$2001,0)))</f>
        <v/>
      </c>
    </row>
    <row r="620">
      <c r="A620" s="31">
        <f>IF(J620="E",IF(INDEX(Transaksi!$J$2:$J$2001,K620)&gt;0,"↑","↓"),"")</f>
        <v/>
      </c>
      <c r="B620" s="32">
        <f>IF(J620="H",CHOOSE(WEEKDAY(T620,2),"Isnin","Selasa","Rabu","Khamis","Jumaat","Sabtu","Ahad")&amp;", "&amp;DAY(T620)&amp;" "&amp;CHOOSE(MONTH(T620),"Jan","Feb","Mac","Apr","Mei","Jun","Jul","Ogo","Sep","Okt","Nov","Dis")&amp;" "&amp;YEAR(T620),IF(J620="E",IF(INDEX(Transaksi!$B$2:$B$2001,K620)="",INDEX(Transaksi!$C$2:$C$2001,K620)&amp;" · "&amp;INDEX(Transaksi!$D$2:$D$2001,K620),INDEX(Transaksi!$B$2:$B$2001,K620)),""))</f>
        <v/>
      </c>
      <c r="C620" s="32">
        <f>IF(J620="E",INDEX(Transaksi!$C$2:$C$2001,K620)&amp;"","")</f>
        <v/>
      </c>
      <c r="D620" s="32">
        <f>IF(J620="E",INDEX(Transaksi!$D$2:$D$2001,K620)&amp;"","")</f>
        <v/>
      </c>
      <c r="E620" s="33">
        <f>IF(J620="H",SUMIFS(Transaksi!$G$2:$G$2001,Transaksi!$M$2:$M$2001,"="&amp;S620)+SUMIFS(Transaksi!$H$2:$H$2001,Transaksi!$M$2:$M$2001,"="&amp;S620)+SUMIFS(Transaksi!$I$2:$I$2001,Transaksi!$M$2:$M$2001,"="&amp;S620),IF(J620="E",IF(INDEX(Transaksi!$G$2:$G$2001,K620)+INDEX(Transaksi!$H$2:$H$2001,K620)+INDEX(Transaksi!$I$2:$I$2001,K620)=0,"",INDEX(Transaksi!$G$2:$G$2001,K620)+INDEX(Transaksi!$H$2:$H$2001,K620)+INDEX(Transaksi!$I$2:$I$2001,K620)),""))</f>
        <v/>
      </c>
      <c r="F620" s="33">
        <f>IF(J620="H",SUMIFS(Transaksi!$J$2:$J$2001,Transaksi!$M$2:$M$2001,"="&amp;S620),IF(J620="E",IF(INDEX(Transaksi!$J$2:$J$2001,K620)=0,"",INDEX(Transaksi!$J$2:$J$2001,K620)),""))</f>
        <v/>
      </c>
      <c r="G620" s="33">
        <f>IF(J620="H",(SUMIFS(Transaksi!$G$2:$G$2001,Transaksi!$M$2:$M$2001,"&lt;="&amp;S620)+SUMIFS(Transaksi!$H$2:$H$2001,Transaksi!$M$2:$M$2001,"&lt;="&amp;S620)+SUMIFS(Transaksi!$I$2:$I$2001,Transaksi!$M$2:$M$2001,"&lt;="&amp;S620))-(SUMIFS(Transaksi!$J$2:$J$2001,Transaksi!$M$2:$M$2001,"&lt;="&amp;S620)),"")</f>
        <v/>
      </c>
      <c r="I620">
        <f>IF(617&gt;$O$2,"",MATCH(617,$Q$3:$Q$402,1))</f>
        <v/>
      </c>
      <c r="J620">
        <f>IF(I620="","",IF(617=INDEX($Q$3:$Q$402,I620),"H","E"))</f>
        <v/>
      </c>
      <c r="K620">
        <f>IF(J620&lt;&gt;"E","",MATCH(S620,Transaksi!$M$2:$M$2001,0)+617-INDEX($Q$3:$Q$402,I620)-1)</f>
        <v/>
      </c>
      <c r="S620">
        <f>IF(I620="","",INDEX($O$3:$O$402,I620))</f>
        <v/>
      </c>
      <c r="T620">
        <f>IF(J620&lt;&gt;"H","",INDEX(Transaksi!$A$2:$A$2001,MATCH(S620,Transaksi!$M$2:$M$2001,0)))</f>
        <v/>
      </c>
    </row>
    <row r="621">
      <c r="A621" s="31">
        <f>IF(J621="E",IF(INDEX(Transaksi!$J$2:$J$2001,K621)&gt;0,"↑","↓"),"")</f>
        <v/>
      </c>
      <c r="B621" s="32">
        <f>IF(J621="H",CHOOSE(WEEKDAY(T621,2),"Isnin","Selasa","Rabu","Khamis","Jumaat","Sabtu","Ahad")&amp;", "&amp;DAY(T621)&amp;" "&amp;CHOOSE(MONTH(T621),"Jan","Feb","Mac","Apr","Mei","Jun","Jul","Ogo","Sep","Okt","Nov","Dis")&amp;" "&amp;YEAR(T621),IF(J621="E",IF(INDEX(Transaksi!$B$2:$B$2001,K621)="",INDEX(Transaksi!$C$2:$C$2001,K621)&amp;" · "&amp;INDEX(Transaksi!$D$2:$D$2001,K621),INDEX(Transaksi!$B$2:$B$2001,K621)),""))</f>
        <v/>
      </c>
      <c r="C621" s="32">
        <f>IF(J621="E",INDEX(Transaksi!$C$2:$C$2001,K621)&amp;"","")</f>
        <v/>
      </c>
      <c r="D621" s="32">
        <f>IF(J621="E",INDEX(Transaksi!$D$2:$D$2001,K621)&amp;"","")</f>
        <v/>
      </c>
      <c r="E621" s="33">
        <f>IF(J621="H",SUMIFS(Transaksi!$G$2:$G$2001,Transaksi!$M$2:$M$2001,"="&amp;S621)+SUMIFS(Transaksi!$H$2:$H$2001,Transaksi!$M$2:$M$2001,"="&amp;S621)+SUMIFS(Transaksi!$I$2:$I$2001,Transaksi!$M$2:$M$2001,"="&amp;S621),IF(J621="E",IF(INDEX(Transaksi!$G$2:$G$2001,K621)+INDEX(Transaksi!$H$2:$H$2001,K621)+INDEX(Transaksi!$I$2:$I$2001,K621)=0,"",INDEX(Transaksi!$G$2:$G$2001,K621)+INDEX(Transaksi!$H$2:$H$2001,K621)+INDEX(Transaksi!$I$2:$I$2001,K621)),""))</f>
        <v/>
      </c>
      <c r="F621" s="33">
        <f>IF(J621="H",SUMIFS(Transaksi!$J$2:$J$2001,Transaksi!$M$2:$M$2001,"="&amp;S621),IF(J621="E",IF(INDEX(Transaksi!$J$2:$J$2001,K621)=0,"",INDEX(Transaksi!$J$2:$J$2001,K621)),""))</f>
        <v/>
      </c>
      <c r="G621" s="33">
        <f>IF(J621="H",(SUMIFS(Transaksi!$G$2:$G$2001,Transaksi!$M$2:$M$2001,"&lt;="&amp;S621)+SUMIFS(Transaksi!$H$2:$H$2001,Transaksi!$M$2:$M$2001,"&lt;="&amp;S621)+SUMIFS(Transaksi!$I$2:$I$2001,Transaksi!$M$2:$M$2001,"&lt;="&amp;S621))-(SUMIFS(Transaksi!$J$2:$J$2001,Transaksi!$M$2:$M$2001,"&lt;="&amp;S621)),"")</f>
        <v/>
      </c>
      <c r="I621">
        <f>IF(618&gt;$O$2,"",MATCH(618,$Q$3:$Q$402,1))</f>
        <v/>
      </c>
      <c r="J621">
        <f>IF(I621="","",IF(618=INDEX($Q$3:$Q$402,I621),"H","E"))</f>
        <v/>
      </c>
      <c r="K621">
        <f>IF(J621&lt;&gt;"E","",MATCH(S621,Transaksi!$M$2:$M$2001,0)+618-INDEX($Q$3:$Q$402,I621)-1)</f>
        <v/>
      </c>
      <c r="S621">
        <f>IF(I621="","",INDEX($O$3:$O$402,I621))</f>
        <v/>
      </c>
      <c r="T621">
        <f>IF(J621&lt;&gt;"H","",INDEX(Transaksi!$A$2:$A$2001,MATCH(S621,Transaksi!$M$2:$M$2001,0)))</f>
        <v/>
      </c>
    </row>
    <row r="622">
      <c r="A622" s="31">
        <f>IF(J622="E",IF(INDEX(Transaksi!$J$2:$J$2001,K622)&gt;0,"↑","↓"),"")</f>
        <v/>
      </c>
      <c r="B622" s="32">
        <f>IF(J622="H",CHOOSE(WEEKDAY(T622,2),"Isnin","Selasa","Rabu","Khamis","Jumaat","Sabtu","Ahad")&amp;", "&amp;DAY(T622)&amp;" "&amp;CHOOSE(MONTH(T622),"Jan","Feb","Mac","Apr","Mei","Jun","Jul","Ogo","Sep","Okt","Nov","Dis")&amp;" "&amp;YEAR(T622),IF(J622="E",IF(INDEX(Transaksi!$B$2:$B$2001,K622)="",INDEX(Transaksi!$C$2:$C$2001,K622)&amp;" · "&amp;INDEX(Transaksi!$D$2:$D$2001,K622),INDEX(Transaksi!$B$2:$B$2001,K622)),""))</f>
        <v/>
      </c>
      <c r="C622" s="32">
        <f>IF(J622="E",INDEX(Transaksi!$C$2:$C$2001,K622)&amp;"","")</f>
        <v/>
      </c>
      <c r="D622" s="32">
        <f>IF(J622="E",INDEX(Transaksi!$D$2:$D$2001,K622)&amp;"","")</f>
        <v/>
      </c>
      <c r="E622" s="33">
        <f>IF(J622="H",SUMIFS(Transaksi!$G$2:$G$2001,Transaksi!$M$2:$M$2001,"="&amp;S622)+SUMIFS(Transaksi!$H$2:$H$2001,Transaksi!$M$2:$M$2001,"="&amp;S622)+SUMIFS(Transaksi!$I$2:$I$2001,Transaksi!$M$2:$M$2001,"="&amp;S622),IF(J622="E",IF(INDEX(Transaksi!$G$2:$G$2001,K622)+INDEX(Transaksi!$H$2:$H$2001,K622)+INDEX(Transaksi!$I$2:$I$2001,K622)=0,"",INDEX(Transaksi!$G$2:$G$2001,K622)+INDEX(Transaksi!$H$2:$H$2001,K622)+INDEX(Transaksi!$I$2:$I$2001,K622)),""))</f>
        <v/>
      </c>
      <c r="F622" s="33">
        <f>IF(J622="H",SUMIFS(Transaksi!$J$2:$J$2001,Transaksi!$M$2:$M$2001,"="&amp;S622),IF(J622="E",IF(INDEX(Transaksi!$J$2:$J$2001,K622)=0,"",INDEX(Transaksi!$J$2:$J$2001,K622)),""))</f>
        <v/>
      </c>
      <c r="G622" s="33">
        <f>IF(J622="H",(SUMIFS(Transaksi!$G$2:$G$2001,Transaksi!$M$2:$M$2001,"&lt;="&amp;S622)+SUMIFS(Transaksi!$H$2:$H$2001,Transaksi!$M$2:$M$2001,"&lt;="&amp;S622)+SUMIFS(Transaksi!$I$2:$I$2001,Transaksi!$M$2:$M$2001,"&lt;="&amp;S622))-(SUMIFS(Transaksi!$J$2:$J$2001,Transaksi!$M$2:$M$2001,"&lt;="&amp;S622)),"")</f>
        <v/>
      </c>
      <c r="I622">
        <f>IF(619&gt;$O$2,"",MATCH(619,$Q$3:$Q$402,1))</f>
        <v/>
      </c>
      <c r="J622">
        <f>IF(I622="","",IF(619=INDEX($Q$3:$Q$402,I622),"H","E"))</f>
        <v/>
      </c>
      <c r="K622">
        <f>IF(J622&lt;&gt;"E","",MATCH(S622,Transaksi!$M$2:$M$2001,0)+619-INDEX($Q$3:$Q$402,I622)-1)</f>
        <v/>
      </c>
      <c r="S622">
        <f>IF(I622="","",INDEX($O$3:$O$402,I622))</f>
        <v/>
      </c>
      <c r="T622">
        <f>IF(J622&lt;&gt;"H","",INDEX(Transaksi!$A$2:$A$2001,MATCH(S622,Transaksi!$M$2:$M$2001,0)))</f>
        <v/>
      </c>
    </row>
    <row r="623">
      <c r="A623" s="31">
        <f>IF(J623="E",IF(INDEX(Transaksi!$J$2:$J$2001,K623)&gt;0,"↑","↓"),"")</f>
        <v/>
      </c>
      <c r="B623" s="32">
        <f>IF(J623="H",CHOOSE(WEEKDAY(T623,2),"Isnin","Selasa","Rabu","Khamis","Jumaat","Sabtu","Ahad")&amp;", "&amp;DAY(T623)&amp;" "&amp;CHOOSE(MONTH(T623),"Jan","Feb","Mac","Apr","Mei","Jun","Jul","Ogo","Sep","Okt","Nov","Dis")&amp;" "&amp;YEAR(T623),IF(J623="E",IF(INDEX(Transaksi!$B$2:$B$2001,K623)="",INDEX(Transaksi!$C$2:$C$2001,K623)&amp;" · "&amp;INDEX(Transaksi!$D$2:$D$2001,K623),INDEX(Transaksi!$B$2:$B$2001,K623)),""))</f>
        <v/>
      </c>
      <c r="C623" s="32">
        <f>IF(J623="E",INDEX(Transaksi!$C$2:$C$2001,K623)&amp;"","")</f>
        <v/>
      </c>
      <c r="D623" s="32">
        <f>IF(J623="E",INDEX(Transaksi!$D$2:$D$2001,K623)&amp;"","")</f>
        <v/>
      </c>
      <c r="E623" s="33">
        <f>IF(J623="H",SUMIFS(Transaksi!$G$2:$G$2001,Transaksi!$M$2:$M$2001,"="&amp;S623)+SUMIFS(Transaksi!$H$2:$H$2001,Transaksi!$M$2:$M$2001,"="&amp;S623)+SUMIFS(Transaksi!$I$2:$I$2001,Transaksi!$M$2:$M$2001,"="&amp;S623),IF(J623="E",IF(INDEX(Transaksi!$G$2:$G$2001,K623)+INDEX(Transaksi!$H$2:$H$2001,K623)+INDEX(Transaksi!$I$2:$I$2001,K623)=0,"",INDEX(Transaksi!$G$2:$G$2001,K623)+INDEX(Transaksi!$H$2:$H$2001,K623)+INDEX(Transaksi!$I$2:$I$2001,K623)),""))</f>
        <v/>
      </c>
      <c r="F623" s="33">
        <f>IF(J623="H",SUMIFS(Transaksi!$J$2:$J$2001,Transaksi!$M$2:$M$2001,"="&amp;S623),IF(J623="E",IF(INDEX(Transaksi!$J$2:$J$2001,K623)=0,"",INDEX(Transaksi!$J$2:$J$2001,K623)),""))</f>
        <v/>
      </c>
      <c r="G623" s="33">
        <f>IF(J623="H",(SUMIFS(Transaksi!$G$2:$G$2001,Transaksi!$M$2:$M$2001,"&lt;="&amp;S623)+SUMIFS(Transaksi!$H$2:$H$2001,Transaksi!$M$2:$M$2001,"&lt;="&amp;S623)+SUMIFS(Transaksi!$I$2:$I$2001,Transaksi!$M$2:$M$2001,"&lt;="&amp;S623))-(SUMIFS(Transaksi!$J$2:$J$2001,Transaksi!$M$2:$M$2001,"&lt;="&amp;S623)),"")</f>
        <v/>
      </c>
      <c r="I623">
        <f>IF(620&gt;$O$2,"",MATCH(620,$Q$3:$Q$402,1))</f>
        <v/>
      </c>
      <c r="J623">
        <f>IF(I623="","",IF(620=INDEX($Q$3:$Q$402,I623),"H","E"))</f>
        <v/>
      </c>
      <c r="K623">
        <f>IF(J623&lt;&gt;"E","",MATCH(S623,Transaksi!$M$2:$M$2001,0)+620-INDEX($Q$3:$Q$402,I623)-1)</f>
        <v/>
      </c>
      <c r="S623">
        <f>IF(I623="","",INDEX($O$3:$O$402,I623))</f>
        <v/>
      </c>
      <c r="T623">
        <f>IF(J623&lt;&gt;"H","",INDEX(Transaksi!$A$2:$A$2001,MATCH(S623,Transaksi!$M$2:$M$2001,0)))</f>
        <v/>
      </c>
    </row>
    <row r="624">
      <c r="A624" s="31">
        <f>IF(J624="E",IF(INDEX(Transaksi!$J$2:$J$2001,K624)&gt;0,"↑","↓"),"")</f>
        <v/>
      </c>
      <c r="B624" s="32">
        <f>IF(J624="H",CHOOSE(WEEKDAY(T624,2),"Isnin","Selasa","Rabu","Khamis","Jumaat","Sabtu","Ahad")&amp;", "&amp;DAY(T624)&amp;" "&amp;CHOOSE(MONTH(T624),"Jan","Feb","Mac","Apr","Mei","Jun","Jul","Ogo","Sep","Okt","Nov","Dis")&amp;" "&amp;YEAR(T624),IF(J624="E",IF(INDEX(Transaksi!$B$2:$B$2001,K624)="",INDEX(Transaksi!$C$2:$C$2001,K624)&amp;" · "&amp;INDEX(Transaksi!$D$2:$D$2001,K624),INDEX(Transaksi!$B$2:$B$2001,K624)),""))</f>
        <v/>
      </c>
      <c r="C624" s="32">
        <f>IF(J624="E",INDEX(Transaksi!$C$2:$C$2001,K624)&amp;"","")</f>
        <v/>
      </c>
      <c r="D624" s="32">
        <f>IF(J624="E",INDEX(Transaksi!$D$2:$D$2001,K624)&amp;"","")</f>
        <v/>
      </c>
      <c r="E624" s="33">
        <f>IF(J624="H",SUMIFS(Transaksi!$G$2:$G$2001,Transaksi!$M$2:$M$2001,"="&amp;S624)+SUMIFS(Transaksi!$H$2:$H$2001,Transaksi!$M$2:$M$2001,"="&amp;S624)+SUMIFS(Transaksi!$I$2:$I$2001,Transaksi!$M$2:$M$2001,"="&amp;S624),IF(J624="E",IF(INDEX(Transaksi!$G$2:$G$2001,K624)+INDEX(Transaksi!$H$2:$H$2001,K624)+INDEX(Transaksi!$I$2:$I$2001,K624)=0,"",INDEX(Transaksi!$G$2:$G$2001,K624)+INDEX(Transaksi!$H$2:$H$2001,K624)+INDEX(Transaksi!$I$2:$I$2001,K624)),""))</f>
        <v/>
      </c>
      <c r="F624" s="33">
        <f>IF(J624="H",SUMIFS(Transaksi!$J$2:$J$2001,Transaksi!$M$2:$M$2001,"="&amp;S624),IF(J624="E",IF(INDEX(Transaksi!$J$2:$J$2001,K624)=0,"",INDEX(Transaksi!$J$2:$J$2001,K624)),""))</f>
        <v/>
      </c>
      <c r="G624" s="33">
        <f>IF(J624="H",(SUMIFS(Transaksi!$G$2:$G$2001,Transaksi!$M$2:$M$2001,"&lt;="&amp;S624)+SUMIFS(Transaksi!$H$2:$H$2001,Transaksi!$M$2:$M$2001,"&lt;="&amp;S624)+SUMIFS(Transaksi!$I$2:$I$2001,Transaksi!$M$2:$M$2001,"&lt;="&amp;S624))-(SUMIFS(Transaksi!$J$2:$J$2001,Transaksi!$M$2:$M$2001,"&lt;="&amp;S624)),"")</f>
        <v/>
      </c>
      <c r="I624">
        <f>IF(621&gt;$O$2,"",MATCH(621,$Q$3:$Q$402,1))</f>
        <v/>
      </c>
      <c r="J624">
        <f>IF(I624="","",IF(621=INDEX($Q$3:$Q$402,I624),"H","E"))</f>
        <v/>
      </c>
      <c r="K624">
        <f>IF(J624&lt;&gt;"E","",MATCH(S624,Transaksi!$M$2:$M$2001,0)+621-INDEX($Q$3:$Q$402,I624)-1)</f>
        <v/>
      </c>
      <c r="S624">
        <f>IF(I624="","",INDEX($O$3:$O$402,I624))</f>
        <v/>
      </c>
      <c r="T624">
        <f>IF(J624&lt;&gt;"H","",INDEX(Transaksi!$A$2:$A$2001,MATCH(S624,Transaksi!$M$2:$M$2001,0)))</f>
        <v/>
      </c>
    </row>
    <row r="625">
      <c r="A625" s="31">
        <f>IF(J625="E",IF(INDEX(Transaksi!$J$2:$J$2001,K625)&gt;0,"↑","↓"),"")</f>
        <v/>
      </c>
      <c r="B625" s="32">
        <f>IF(J625="H",CHOOSE(WEEKDAY(T625,2),"Isnin","Selasa","Rabu","Khamis","Jumaat","Sabtu","Ahad")&amp;", "&amp;DAY(T625)&amp;" "&amp;CHOOSE(MONTH(T625),"Jan","Feb","Mac","Apr","Mei","Jun","Jul","Ogo","Sep","Okt","Nov","Dis")&amp;" "&amp;YEAR(T625),IF(J625="E",IF(INDEX(Transaksi!$B$2:$B$2001,K625)="",INDEX(Transaksi!$C$2:$C$2001,K625)&amp;" · "&amp;INDEX(Transaksi!$D$2:$D$2001,K625),INDEX(Transaksi!$B$2:$B$2001,K625)),""))</f>
        <v/>
      </c>
      <c r="C625" s="32">
        <f>IF(J625="E",INDEX(Transaksi!$C$2:$C$2001,K625)&amp;"","")</f>
        <v/>
      </c>
      <c r="D625" s="32">
        <f>IF(J625="E",INDEX(Transaksi!$D$2:$D$2001,K625)&amp;"","")</f>
        <v/>
      </c>
      <c r="E625" s="33">
        <f>IF(J625="H",SUMIFS(Transaksi!$G$2:$G$2001,Transaksi!$M$2:$M$2001,"="&amp;S625)+SUMIFS(Transaksi!$H$2:$H$2001,Transaksi!$M$2:$M$2001,"="&amp;S625)+SUMIFS(Transaksi!$I$2:$I$2001,Transaksi!$M$2:$M$2001,"="&amp;S625),IF(J625="E",IF(INDEX(Transaksi!$G$2:$G$2001,K625)+INDEX(Transaksi!$H$2:$H$2001,K625)+INDEX(Transaksi!$I$2:$I$2001,K625)=0,"",INDEX(Transaksi!$G$2:$G$2001,K625)+INDEX(Transaksi!$H$2:$H$2001,K625)+INDEX(Transaksi!$I$2:$I$2001,K625)),""))</f>
        <v/>
      </c>
      <c r="F625" s="33">
        <f>IF(J625="H",SUMIFS(Transaksi!$J$2:$J$2001,Transaksi!$M$2:$M$2001,"="&amp;S625),IF(J625="E",IF(INDEX(Transaksi!$J$2:$J$2001,K625)=0,"",INDEX(Transaksi!$J$2:$J$2001,K625)),""))</f>
        <v/>
      </c>
      <c r="G625" s="33">
        <f>IF(J625="H",(SUMIFS(Transaksi!$G$2:$G$2001,Transaksi!$M$2:$M$2001,"&lt;="&amp;S625)+SUMIFS(Transaksi!$H$2:$H$2001,Transaksi!$M$2:$M$2001,"&lt;="&amp;S625)+SUMIFS(Transaksi!$I$2:$I$2001,Transaksi!$M$2:$M$2001,"&lt;="&amp;S625))-(SUMIFS(Transaksi!$J$2:$J$2001,Transaksi!$M$2:$M$2001,"&lt;="&amp;S625)),"")</f>
        <v/>
      </c>
      <c r="I625">
        <f>IF(622&gt;$O$2,"",MATCH(622,$Q$3:$Q$402,1))</f>
        <v/>
      </c>
      <c r="J625">
        <f>IF(I625="","",IF(622=INDEX($Q$3:$Q$402,I625),"H","E"))</f>
        <v/>
      </c>
      <c r="K625">
        <f>IF(J625&lt;&gt;"E","",MATCH(S625,Transaksi!$M$2:$M$2001,0)+622-INDEX($Q$3:$Q$402,I625)-1)</f>
        <v/>
      </c>
      <c r="S625">
        <f>IF(I625="","",INDEX($O$3:$O$402,I625))</f>
        <v/>
      </c>
      <c r="T625">
        <f>IF(J625&lt;&gt;"H","",INDEX(Transaksi!$A$2:$A$2001,MATCH(S625,Transaksi!$M$2:$M$2001,0)))</f>
        <v/>
      </c>
    </row>
    <row r="626">
      <c r="A626" s="31">
        <f>IF(J626="E",IF(INDEX(Transaksi!$J$2:$J$2001,K626)&gt;0,"↑","↓"),"")</f>
        <v/>
      </c>
      <c r="B626" s="32">
        <f>IF(J626="H",CHOOSE(WEEKDAY(T626,2),"Isnin","Selasa","Rabu","Khamis","Jumaat","Sabtu","Ahad")&amp;", "&amp;DAY(T626)&amp;" "&amp;CHOOSE(MONTH(T626),"Jan","Feb","Mac","Apr","Mei","Jun","Jul","Ogo","Sep","Okt","Nov","Dis")&amp;" "&amp;YEAR(T626),IF(J626="E",IF(INDEX(Transaksi!$B$2:$B$2001,K626)="",INDEX(Transaksi!$C$2:$C$2001,K626)&amp;" · "&amp;INDEX(Transaksi!$D$2:$D$2001,K626),INDEX(Transaksi!$B$2:$B$2001,K626)),""))</f>
        <v/>
      </c>
      <c r="C626" s="32">
        <f>IF(J626="E",INDEX(Transaksi!$C$2:$C$2001,K626)&amp;"","")</f>
        <v/>
      </c>
      <c r="D626" s="32">
        <f>IF(J626="E",INDEX(Transaksi!$D$2:$D$2001,K626)&amp;"","")</f>
        <v/>
      </c>
      <c r="E626" s="33">
        <f>IF(J626="H",SUMIFS(Transaksi!$G$2:$G$2001,Transaksi!$M$2:$M$2001,"="&amp;S626)+SUMIFS(Transaksi!$H$2:$H$2001,Transaksi!$M$2:$M$2001,"="&amp;S626)+SUMIFS(Transaksi!$I$2:$I$2001,Transaksi!$M$2:$M$2001,"="&amp;S626),IF(J626="E",IF(INDEX(Transaksi!$G$2:$G$2001,K626)+INDEX(Transaksi!$H$2:$H$2001,K626)+INDEX(Transaksi!$I$2:$I$2001,K626)=0,"",INDEX(Transaksi!$G$2:$G$2001,K626)+INDEX(Transaksi!$H$2:$H$2001,K626)+INDEX(Transaksi!$I$2:$I$2001,K626)),""))</f>
        <v/>
      </c>
      <c r="F626" s="33">
        <f>IF(J626="H",SUMIFS(Transaksi!$J$2:$J$2001,Transaksi!$M$2:$M$2001,"="&amp;S626),IF(J626="E",IF(INDEX(Transaksi!$J$2:$J$2001,K626)=0,"",INDEX(Transaksi!$J$2:$J$2001,K626)),""))</f>
        <v/>
      </c>
      <c r="G626" s="33">
        <f>IF(J626="H",(SUMIFS(Transaksi!$G$2:$G$2001,Transaksi!$M$2:$M$2001,"&lt;="&amp;S626)+SUMIFS(Transaksi!$H$2:$H$2001,Transaksi!$M$2:$M$2001,"&lt;="&amp;S626)+SUMIFS(Transaksi!$I$2:$I$2001,Transaksi!$M$2:$M$2001,"&lt;="&amp;S626))-(SUMIFS(Transaksi!$J$2:$J$2001,Transaksi!$M$2:$M$2001,"&lt;="&amp;S626)),"")</f>
        <v/>
      </c>
      <c r="I626">
        <f>IF(623&gt;$O$2,"",MATCH(623,$Q$3:$Q$402,1))</f>
        <v/>
      </c>
      <c r="J626">
        <f>IF(I626="","",IF(623=INDEX($Q$3:$Q$402,I626),"H","E"))</f>
        <v/>
      </c>
      <c r="K626">
        <f>IF(J626&lt;&gt;"E","",MATCH(S626,Transaksi!$M$2:$M$2001,0)+623-INDEX($Q$3:$Q$402,I626)-1)</f>
        <v/>
      </c>
      <c r="S626">
        <f>IF(I626="","",INDEX($O$3:$O$402,I626))</f>
        <v/>
      </c>
      <c r="T626">
        <f>IF(J626&lt;&gt;"H","",INDEX(Transaksi!$A$2:$A$2001,MATCH(S626,Transaksi!$M$2:$M$2001,0)))</f>
        <v/>
      </c>
    </row>
    <row r="627">
      <c r="A627" s="31">
        <f>IF(J627="E",IF(INDEX(Transaksi!$J$2:$J$2001,K627)&gt;0,"↑","↓"),"")</f>
        <v/>
      </c>
      <c r="B627" s="32">
        <f>IF(J627="H",CHOOSE(WEEKDAY(T627,2),"Isnin","Selasa","Rabu","Khamis","Jumaat","Sabtu","Ahad")&amp;", "&amp;DAY(T627)&amp;" "&amp;CHOOSE(MONTH(T627),"Jan","Feb","Mac","Apr","Mei","Jun","Jul","Ogo","Sep","Okt","Nov","Dis")&amp;" "&amp;YEAR(T627),IF(J627="E",IF(INDEX(Transaksi!$B$2:$B$2001,K627)="",INDEX(Transaksi!$C$2:$C$2001,K627)&amp;" · "&amp;INDEX(Transaksi!$D$2:$D$2001,K627),INDEX(Transaksi!$B$2:$B$2001,K627)),""))</f>
        <v/>
      </c>
      <c r="C627" s="32">
        <f>IF(J627="E",INDEX(Transaksi!$C$2:$C$2001,K627)&amp;"","")</f>
        <v/>
      </c>
      <c r="D627" s="32">
        <f>IF(J627="E",INDEX(Transaksi!$D$2:$D$2001,K627)&amp;"","")</f>
        <v/>
      </c>
      <c r="E627" s="33">
        <f>IF(J627="H",SUMIFS(Transaksi!$G$2:$G$2001,Transaksi!$M$2:$M$2001,"="&amp;S627)+SUMIFS(Transaksi!$H$2:$H$2001,Transaksi!$M$2:$M$2001,"="&amp;S627)+SUMIFS(Transaksi!$I$2:$I$2001,Transaksi!$M$2:$M$2001,"="&amp;S627),IF(J627="E",IF(INDEX(Transaksi!$G$2:$G$2001,K627)+INDEX(Transaksi!$H$2:$H$2001,K627)+INDEX(Transaksi!$I$2:$I$2001,K627)=0,"",INDEX(Transaksi!$G$2:$G$2001,K627)+INDEX(Transaksi!$H$2:$H$2001,K627)+INDEX(Transaksi!$I$2:$I$2001,K627)),""))</f>
        <v/>
      </c>
      <c r="F627" s="33">
        <f>IF(J627="H",SUMIFS(Transaksi!$J$2:$J$2001,Transaksi!$M$2:$M$2001,"="&amp;S627),IF(J627="E",IF(INDEX(Transaksi!$J$2:$J$2001,K627)=0,"",INDEX(Transaksi!$J$2:$J$2001,K627)),""))</f>
        <v/>
      </c>
      <c r="G627" s="33">
        <f>IF(J627="H",(SUMIFS(Transaksi!$G$2:$G$2001,Transaksi!$M$2:$M$2001,"&lt;="&amp;S627)+SUMIFS(Transaksi!$H$2:$H$2001,Transaksi!$M$2:$M$2001,"&lt;="&amp;S627)+SUMIFS(Transaksi!$I$2:$I$2001,Transaksi!$M$2:$M$2001,"&lt;="&amp;S627))-(SUMIFS(Transaksi!$J$2:$J$2001,Transaksi!$M$2:$M$2001,"&lt;="&amp;S627)),"")</f>
        <v/>
      </c>
      <c r="I627">
        <f>IF(624&gt;$O$2,"",MATCH(624,$Q$3:$Q$402,1))</f>
        <v/>
      </c>
      <c r="J627">
        <f>IF(I627="","",IF(624=INDEX($Q$3:$Q$402,I627),"H","E"))</f>
        <v/>
      </c>
      <c r="K627">
        <f>IF(J627&lt;&gt;"E","",MATCH(S627,Transaksi!$M$2:$M$2001,0)+624-INDEX($Q$3:$Q$402,I627)-1)</f>
        <v/>
      </c>
      <c r="S627">
        <f>IF(I627="","",INDEX($O$3:$O$402,I627))</f>
        <v/>
      </c>
      <c r="T627">
        <f>IF(J627&lt;&gt;"H","",INDEX(Transaksi!$A$2:$A$2001,MATCH(S627,Transaksi!$M$2:$M$2001,0)))</f>
        <v/>
      </c>
    </row>
    <row r="628">
      <c r="A628" s="31">
        <f>IF(J628="E",IF(INDEX(Transaksi!$J$2:$J$2001,K628)&gt;0,"↑","↓"),"")</f>
        <v/>
      </c>
      <c r="B628" s="32">
        <f>IF(J628="H",CHOOSE(WEEKDAY(T628,2),"Isnin","Selasa","Rabu","Khamis","Jumaat","Sabtu","Ahad")&amp;", "&amp;DAY(T628)&amp;" "&amp;CHOOSE(MONTH(T628),"Jan","Feb","Mac","Apr","Mei","Jun","Jul","Ogo","Sep","Okt","Nov","Dis")&amp;" "&amp;YEAR(T628),IF(J628="E",IF(INDEX(Transaksi!$B$2:$B$2001,K628)="",INDEX(Transaksi!$C$2:$C$2001,K628)&amp;" · "&amp;INDEX(Transaksi!$D$2:$D$2001,K628),INDEX(Transaksi!$B$2:$B$2001,K628)),""))</f>
        <v/>
      </c>
      <c r="C628" s="32">
        <f>IF(J628="E",INDEX(Transaksi!$C$2:$C$2001,K628)&amp;"","")</f>
        <v/>
      </c>
      <c r="D628" s="32">
        <f>IF(J628="E",INDEX(Transaksi!$D$2:$D$2001,K628)&amp;"","")</f>
        <v/>
      </c>
      <c r="E628" s="33">
        <f>IF(J628="H",SUMIFS(Transaksi!$G$2:$G$2001,Transaksi!$M$2:$M$2001,"="&amp;S628)+SUMIFS(Transaksi!$H$2:$H$2001,Transaksi!$M$2:$M$2001,"="&amp;S628)+SUMIFS(Transaksi!$I$2:$I$2001,Transaksi!$M$2:$M$2001,"="&amp;S628),IF(J628="E",IF(INDEX(Transaksi!$G$2:$G$2001,K628)+INDEX(Transaksi!$H$2:$H$2001,K628)+INDEX(Transaksi!$I$2:$I$2001,K628)=0,"",INDEX(Transaksi!$G$2:$G$2001,K628)+INDEX(Transaksi!$H$2:$H$2001,K628)+INDEX(Transaksi!$I$2:$I$2001,K628)),""))</f>
        <v/>
      </c>
      <c r="F628" s="33">
        <f>IF(J628="H",SUMIFS(Transaksi!$J$2:$J$2001,Transaksi!$M$2:$M$2001,"="&amp;S628),IF(J628="E",IF(INDEX(Transaksi!$J$2:$J$2001,K628)=0,"",INDEX(Transaksi!$J$2:$J$2001,K628)),""))</f>
        <v/>
      </c>
      <c r="G628" s="33">
        <f>IF(J628="H",(SUMIFS(Transaksi!$G$2:$G$2001,Transaksi!$M$2:$M$2001,"&lt;="&amp;S628)+SUMIFS(Transaksi!$H$2:$H$2001,Transaksi!$M$2:$M$2001,"&lt;="&amp;S628)+SUMIFS(Transaksi!$I$2:$I$2001,Transaksi!$M$2:$M$2001,"&lt;="&amp;S628))-(SUMIFS(Transaksi!$J$2:$J$2001,Transaksi!$M$2:$M$2001,"&lt;="&amp;S628)),"")</f>
        <v/>
      </c>
      <c r="I628">
        <f>IF(625&gt;$O$2,"",MATCH(625,$Q$3:$Q$402,1))</f>
        <v/>
      </c>
      <c r="J628">
        <f>IF(I628="","",IF(625=INDEX($Q$3:$Q$402,I628),"H","E"))</f>
        <v/>
      </c>
      <c r="K628">
        <f>IF(J628&lt;&gt;"E","",MATCH(S628,Transaksi!$M$2:$M$2001,0)+625-INDEX($Q$3:$Q$402,I628)-1)</f>
        <v/>
      </c>
      <c r="S628">
        <f>IF(I628="","",INDEX($O$3:$O$402,I628))</f>
        <v/>
      </c>
      <c r="T628">
        <f>IF(J628&lt;&gt;"H","",INDEX(Transaksi!$A$2:$A$2001,MATCH(S628,Transaksi!$M$2:$M$2001,0)))</f>
        <v/>
      </c>
    </row>
    <row r="629">
      <c r="A629" s="31">
        <f>IF(J629="E",IF(INDEX(Transaksi!$J$2:$J$2001,K629)&gt;0,"↑","↓"),"")</f>
        <v/>
      </c>
      <c r="B629" s="32">
        <f>IF(J629="H",CHOOSE(WEEKDAY(T629,2),"Isnin","Selasa","Rabu","Khamis","Jumaat","Sabtu","Ahad")&amp;", "&amp;DAY(T629)&amp;" "&amp;CHOOSE(MONTH(T629),"Jan","Feb","Mac","Apr","Mei","Jun","Jul","Ogo","Sep","Okt","Nov","Dis")&amp;" "&amp;YEAR(T629),IF(J629="E",IF(INDEX(Transaksi!$B$2:$B$2001,K629)="",INDEX(Transaksi!$C$2:$C$2001,K629)&amp;" · "&amp;INDEX(Transaksi!$D$2:$D$2001,K629),INDEX(Transaksi!$B$2:$B$2001,K629)),""))</f>
        <v/>
      </c>
      <c r="C629" s="32">
        <f>IF(J629="E",INDEX(Transaksi!$C$2:$C$2001,K629)&amp;"","")</f>
        <v/>
      </c>
      <c r="D629" s="32">
        <f>IF(J629="E",INDEX(Transaksi!$D$2:$D$2001,K629)&amp;"","")</f>
        <v/>
      </c>
      <c r="E629" s="33">
        <f>IF(J629="H",SUMIFS(Transaksi!$G$2:$G$2001,Transaksi!$M$2:$M$2001,"="&amp;S629)+SUMIFS(Transaksi!$H$2:$H$2001,Transaksi!$M$2:$M$2001,"="&amp;S629)+SUMIFS(Transaksi!$I$2:$I$2001,Transaksi!$M$2:$M$2001,"="&amp;S629),IF(J629="E",IF(INDEX(Transaksi!$G$2:$G$2001,K629)+INDEX(Transaksi!$H$2:$H$2001,K629)+INDEX(Transaksi!$I$2:$I$2001,K629)=0,"",INDEX(Transaksi!$G$2:$G$2001,K629)+INDEX(Transaksi!$H$2:$H$2001,K629)+INDEX(Transaksi!$I$2:$I$2001,K629)),""))</f>
        <v/>
      </c>
      <c r="F629" s="33">
        <f>IF(J629="H",SUMIFS(Transaksi!$J$2:$J$2001,Transaksi!$M$2:$M$2001,"="&amp;S629),IF(J629="E",IF(INDEX(Transaksi!$J$2:$J$2001,K629)=0,"",INDEX(Transaksi!$J$2:$J$2001,K629)),""))</f>
        <v/>
      </c>
      <c r="G629" s="33">
        <f>IF(J629="H",(SUMIFS(Transaksi!$G$2:$G$2001,Transaksi!$M$2:$M$2001,"&lt;="&amp;S629)+SUMIFS(Transaksi!$H$2:$H$2001,Transaksi!$M$2:$M$2001,"&lt;="&amp;S629)+SUMIFS(Transaksi!$I$2:$I$2001,Transaksi!$M$2:$M$2001,"&lt;="&amp;S629))-(SUMIFS(Transaksi!$J$2:$J$2001,Transaksi!$M$2:$M$2001,"&lt;="&amp;S629)),"")</f>
        <v/>
      </c>
      <c r="I629">
        <f>IF(626&gt;$O$2,"",MATCH(626,$Q$3:$Q$402,1))</f>
        <v/>
      </c>
      <c r="J629">
        <f>IF(I629="","",IF(626=INDEX($Q$3:$Q$402,I629),"H","E"))</f>
        <v/>
      </c>
      <c r="K629">
        <f>IF(J629&lt;&gt;"E","",MATCH(S629,Transaksi!$M$2:$M$2001,0)+626-INDEX($Q$3:$Q$402,I629)-1)</f>
        <v/>
      </c>
      <c r="S629">
        <f>IF(I629="","",INDEX($O$3:$O$402,I629))</f>
        <v/>
      </c>
      <c r="T629">
        <f>IF(J629&lt;&gt;"H","",INDEX(Transaksi!$A$2:$A$2001,MATCH(S629,Transaksi!$M$2:$M$2001,0)))</f>
        <v/>
      </c>
    </row>
    <row r="630">
      <c r="A630" s="31">
        <f>IF(J630="E",IF(INDEX(Transaksi!$J$2:$J$2001,K630)&gt;0,"↑","↓"),"")</f>
        <v/>
      </c>
      <c r="B630" s="32">
        <f>IF(J630="H",CHOOSE(WEEKDAY(T630,2),"Isnin","Selasa","Rabu","Khamis","Jumaat","Sabtu","Ahad")&amp;", "&amp;DAY(T630)&amp;" "&amp;CHOOSE(MONTH(T630),"Jan","Feb","Mac","Apr","Mei","Jun","Jul","Ogo","Sep","Okt","Nov","Dis")&amp;" "&amp;YEAR(T630),IF(J630="E",IF(INDEX(Transaksi!$B$2:$B$2001,K630)="",INDEX(Transaksi!$C$2:$C$2001,K630)&amp;" · "&amp;INDEX(Transaksi!$D$2:$D$2001,K630),INDEX(Transaksi!$B$2:$B$2001,K630)),""))</f>
        <v/>
      </c>
      <c r="C630" s="32">
        <f>IF(J630="E",INDEX(Transaksi!$C$2:$C$2001,K630)&amp;"","")</f>
        <v/>
      </c>
      <c r="D630" s="32">
        <f>IF(J630="E",INDEX(Transaksi!$D$2:$D$2001,K630)&amp;"","")</f>
        <v/>
      </c>
      <c r="E630" s="33">
        <f>IF(J630="H",SUMIFS(Transaksi!$G$2:$G$2001,Transaksi!$M$2:$M$2001,"="&amp;S630)+SUMIFS(Transaksi!$H$2:$H$2001,Transaksi!$M$2:$M$2001,"="&amp;S630)+SUMIFS(Transaksi!$I$2:$I$2001,Transaksi!$M$2:$M$2001,"="&amp;S630),IF(J630="E",IF(INDEX(Transaksi!$G$2:$G$2001,K630)+INDEX(Transaksi!$H$2:$H$2001,K630)+INDEX(Transaksi!$I$2:$I$2001,K630)=0,"",INDEX(Transaksi!$G$2:$G$2001,K630)+INDEX(Transaksi!$H$2:$H$2001,K630)+INDEX(Transaksi!$I$2:$I$2001,K630)),""))</f>
        <v/>
      </c>
      <c r="F630" s="33">
        <f>IF(J630="H",SUMIFS(Transaksi!$J$2:$J$2001,Transaksi!$M$2:$M$2001,"="&amp;S630),IF(J630="E",IF(INDEX(Transaksi!$J$2:$J$2001,K630)=0,"",INDEX(Transaksi!$J$2:$J$2001,K630)),""))</f>
        <v/>
      </c>
      <c r="G630" s="33">
        <f>IF(J630="H",(SUMIFS(Transaksi!$G$2:$G$2001,Transaksi!$M$2:$M$2001,"&lt;="&amp;S630)+SUMIFS(Transaksi!$H$2:$H$2001,Transaksi!$M$2:$M$2001,"&lt;="&amp;S630)+SUMIFS(Transaksi!$I$2:$I$2001,Transaksi!$M$2:$M$2001,"&lt;="&amp;S630))-(SUMIFS(Transaksi!$J$2:$J$2001,Transaksi!$M$2:$M$2001,"&lt;="&amp;S630)),"")</f>
        <v/>
      </c>
      <c r="I630">
        <f>IF(627&gt;$O$2,"",MATCH(627,$Q$3:$Q$402,1))</f>
        <v/>
      </c>
      <c r="J630">
        <f>IF(I630="","",IF(627=INDEX($Q$3:$Q$402,I630),"H","E"))</f>
        <v/>
      </c>
      <c r="K630">
        <f>IF(J630&lt;&gt;"E","",MATCH(S630,Transaksi!$M$2:$M$2001,0)+627-INDEX($Q$3:$Q$402,I630)-1)</f>
        <v/>
      </c>
      <c r="S630">
        <f>IF(I630="","",INDEX($O$3:$O$402,I630))</f>
        <v/>
      </c>
      <c r="T630">
        <f>IF(J630&lt;&gt;"H","",INDEX(Transaksi!$A$2:$A$2001,MATCH(S630,Transaksi!$M$2:$M$2001,0)))</f>
        <v/>
      </c>
    </row>
    <row r="631">
      <c r="A631" s="31">
        <f>IF(J631="E",IF(INDEX(Transaksi!$J$2:$J$2001,K631)&gt;0,"↑","↓"),"")</f>
        <v/>
      </c>
      <c r="B631" s="32">
        <f>IF(J631="H",CHOOSE(WEEKDAY(T631,2),"Isnin","Selasa","Rabu","Khamis","Jumaat","Sabtu","Ahad")&amp;", "&amp;DAY(T631)&amp;" "&amp;CHOOSE(MONTH(T631),"Jan","Feb","Mac","Apr","Mei","Jun","Jul","Ogo","Sep","Okt","Nov","Dis")&amp;" "&amp;YEAR(T631),IF(J631="E",IF(INDEX(Transaksi!$B$2:$B$2001,K631)="",INDEX(Transaksi!$C$2:$C$2001,K631)&amp;" · "&amp;INDEX(Transaksi!$D$2:$D$2001,K631),INDEX(Transaksi!$B$2:$B$2001,K631)),""))</f>
        <v/>
      </c>
      <c r="C631" s="32">
        <f>IF(J631="E",INDEX(Transaksi!$C$2:$C$2001,K631)&amp;"","")</f>
        <v/>
      </c>
      <c r="D631" s="32">
        <f>IF(J631="E",INDEX(Transaksi!$D$2:$D$2001,K631)&amp;"","")</f>
        <v/>
      </c>
      <c r="E631" s="33">
        <f>IF(J631="H",SUMIFS(Transaksi!$G$2:$G$2001,Transaksi!$M$2:$M$2001,"="&amp;S631)+SUMIFS(Transaksi!$H$2:$H$2001,Transaksi!$M$2:$M$2001,"="&amp;S631)+SUMIFS(Transaksi!$I$2:$I$2001,Transaksi!$M$2:$M$2001,"="&amp;S631),IF(J631="E",IF(INDEX(Transaksi!$G$2:$G$2001,K631)+INDEX(Transaksi!$H$2:$H$2001,K631)+INDEX(Transaksi!$I$2:$I$2001,K631)=0,"",INDEX(Transaksi!$G$2:$G$2001,K631)+INDEX(Transaksi!$H$2:$H$2001,K631)+INDEX(Transaksi!$I$2:$I$2001,K631)),""))</f>
        <v/>
      </c>
      <c r="F631" s="33">
        <f>IF(J631="H",SUMIFS(Transaksi!$J$2:$J$2001,Transaksi!$M$2:$M$2001,"="&amp;S631),IF(J631="E",IF(INDEX(Transaksi!$J$2:$J$2001,K631)=0,"",INDEX(Transaksi!$J$2:$J$2001,K631)),""))</f>
        <v/>
      </c>
      <c r="G631" s="33">
        <f>IF(J631="H",(SUMIFS(Transaksi!$G$2:$G$2001,Transaksi!$M$2:$M$2001,"&lt;="&amp;S631)+SUMIFS(Transaksi!$H$2:$H$2001,Transaksi!$M$2:$M$2001,"&lt;="&amp;S631)+SUMIFS(Transaksi!$I$2:$I$2001,Transaksi!$M$2:$M$2001,"&lt;="&amp;S631))-(SUMIFS(Transaksi!$J$2:$J$2001,Transaksi!$M$2:$M$2001,"&lt;="&amp;S631)),"")</f>
        <v/>
      </c>
      <c r="I631">
        <f>IF(628&gt;$O$2,"",MATCH(628,$Q$3:$Q$402,1))</f>
        <v/>
      </c>
      <c r="J631">
        <f>IF(I631="","",IF(628=INDEX($Q$3:$Q$402,I631),"H","E"))</f>
        <v/>
      </c>
      <c r="K631">
        <f>IF(J631&lt;&gt;"E","",MATCH(S631,Transaksi!$M$2:$M$2001,0)+628-INDEX($Q$3:$Q$402,I631)-1)</f>
        <v/>
      </c>
      <c r="S631">
        <f>IF(I631="","",INDEX($O$3:$O$402,I631))</f>
        <v/>
      </c>
      <c r="T631">
        <f>IF(J631&lt;&gt;"H","",INDEX(Transaksi!$A$2:$A$2001,MATCH(S631,Transaksi!$M$2:$M$2001,0)))</f>
        <v/>
      </c>
    </row>
    <row r="632">
      <c r="A632" s="31">
        <f>IF(J632="E",IF(INDEX(Transaksi!$J$2:$J$2001,K632)&gt;0,"↑","↓"),"")</f>
        <v/>
      </c>
      <c r="B632" s="32">
        <f>IF(J632="H",CHOOSE(WEEKDAY(T632,2),"Isnin","Selasa","Rabu","Khamis","Jumaat","Sabtu","Ahad")&amp;", "&amp;DAY(T632)&amp;" "&amp;CHOOSE(MONTH(T632),"Jan","Feb","Mac","Apr","Mei","Jun","Jul","Ogo","Sep","Okt","Nov","Dis")&amp;" "&amp;YEAR(T632),IF(J632="E",IF(INDEX(Transaksi!$B$2:$B$2001,K632)="",INDEX(Transaksi!$C$2:$C$2001,K632)&amp;" · "&amp;INDEX(Transaksi!$D$2:$D$2001,K632),INDEX(Transaksi!$B$2:$B$2001,K632)),""))</f>
        <v/>
      </c>
      <c r="C632" s="32">
        <f>IF(J632="E",INDEX(Transaksi!$C$2:$C$2001,K632)&amp;"","")</f>
        <v/>
      </c>
      <c r="D632" s="32">
        <f>IF(J632="E",INDEX(Transaksi!$D$2:$D$2001,K632)&amp;"","")</f>
        <v/>
      </c>
      <c r="E632" s="33">
        <f>IF(J632="H",SUMIFS(Transaksi!$G$2:$G$2001,Transaksi!$M$2:$M$2001,"="&amp;S632)+SUMIFS(Transaksi!$H$2:$H$2001,Transaksi!$M$2:$M$2001,"="&amp;S632)+SUMIFS(Transaksi!$I$2:$I$2001,Transaksi!$M$2:$M$2001,"="&amp;S632),IF(J632="E",IF(INDEX(Transaksi!$G$2:$G$2001,K632)+INDEX(Transaksi!$H$2:$H$2001,K632)+INDEX(Transaksi!$I$2:$I$2001,K632)=0,"",INDEX(Transaksi!$G$2:$G$2001,K632)+INDEX(Transaksi!$H$2:$H$2001,K632)+INDEX(Transaksi!$I$2:$I$2001,K632)),""))</f>
        <v/>
      </c>
      <c r="F632" s="33">
        <f>IF(J632="H",SUMIFS(Transaksi!$J$2:$J$2001,Transaksi!$M$2:$M$2001,"="&amp;S632),IF(J632="E",IF(INDEX(Transaksi!$J$2:$J$2001,K632)=0,"",INDEX(Transaksi!$J$2:$J$2001,K632)),""))</f>
        <v/>
      </c>
      <c r="G632" s="33">
        <f>IF(J632="H",(SUMIFS(Transaksi!$G$2:$G$2001,Transaksi!$M$2:$M$2001,"&lt;="&amp;S632)+SUMIFS(Transaksi!$H$2:$H$2001,Transaksi!$M$2:$M$2001,"&lt;="&amp;S632)+SUMIFS(Transaksi!$I$2:$I$2001,Transaksi!$M$2:$M$2001,"&lt;="&amp;S632))-(SUMIFS(Transaksi!$J$2:$J$2001,Transaksi!$M$2:$M$2001,"&lt;="&amp;S632)),"")</f>
        <v/>
      </c>
      <c r="I632">
        <f>IF(629&gt;$O$2,"",MATCH(629,$Q$3:$Q$402,1))</f>
        <v/>
      </c>
      <c r="J632">
        <f>IF(I632="","",IF(629=INDEX($Q$3:$Q$402,I632),"H","E"))</f>
        <v/>
      </c>
      <c r="K632">
        <f>IF(J632&lt;&gt;"E","",MATCH(S632,Transaksi!$M$2:$M$2001,0)+629-INDEX($Q$3:$Q$402,I632)-1)</f>
        <v/>
      </c>
      <c r="S632">
        <f>IF(I632="","",INDEX($O$3:$O$402,I632))</f>
        <v/>
      </c>
      <c r="T632">
        <f>IF(J632&lt;&gt;"H","",INDEX(Transaksi!$A$2:$A$2001,MATCH(S632,Transaksi!$M$2:$M$2001,0)))</f>
        <v/>
      </c>
    </row>
    <row r="633">
      <c r="A633" s="31">
        <f>IF(J633="E",IF(INDEX(Transaksi!$J$2:$J$2001,K633)&gt;0,"↑","↓"),"")</f>
        <v/>
      </c>
      <c r="B633" s="32">
        <f>IF(J633="H",CHOOSE(WEEKDAY(T633,2),"Isnin","Selasa","Rabu","Khamis","Jumaat","Sabtu","Ahad")&amp;", "&amp;DAY(T633)&amp;" "&amp;CHOOSE(MONTH(T633),"Jan","Feb","Mac","Apr","Mei","Jun","Jul","Ogo","Sep","Okt","Nov","Dis")&amp;" "&amp;YEAR(T633),IF(J633="E",IF(INDEX(Transaksi!$B$2:$B$2001,K633)="",INDEX(Transaksi!$C$2:$C$2001,K633)&amp;" · "&amp;INDEX(Transaksi!$D$2:$D$2001,K633),INDEX(Transaksi!$B$2:$B$2001,K633)),""))</f>
        <v/>
      </c>
      <c r="C633" s="32">
        <f>IF(J633="E",INDEX(Transaksi!$C$2:$C$2001,K633)&amp;"","")</f>
        <v/>
      </c>
      <c r="D633" s="32">
        <f>IF(J633="E",INDEX(Transaksi!$D$2:$D$2001,K633)&amp;"","")</f>
        <v/>
      </c>
      <c r="E633" s="33">
        <f>IF(J633="H",SUMIFS(Transaksi!$G$2:$G$2001,Transaksi!$M$2:$M$2001,"="&amp;S633)+SUMIFS(Transaksi!$H$2:$H$2001,Transaksi!$M$2:$M$2001,"="&amp;S633)+SUMIFS(Transaksi!$I$2:$I$2001,Transaksi!$M$2:$M$2001,"="&amp;S633),IF(J633="E",IF(INDEX(Transaksi!$G$2:$G$2001,K633)+INDEX(Transaksi!$H$2:$H$2001,K633)+INDEX(Transaksi!$I$2:$I$2001,K633)=0,"",INDEX(Transaksi!$G$2:$G$2001,K633)+INDEX(Transaksi!$H$2:$H$2001,K633)+INDEX(Transaksi!$I$2:$I$2001,K633)),""))</f>
        <v/>
      </c>
      <c r="F633" s="33">
        <f>IF(J633="H",SUMIFS(Transaksi!$J$2:$J$2001,Transaksi!$M$2:$M$2001,"="&amp;S633),IF(J633="E",IF(INDEX(Transaksi!$J$2:$J$2001,K633)=0,"",INDEX(Transaksi!$J$2:$J$2001,K633)),""))</f>
        <v/>
      </c>
      <c r="G633" s="33">
        <f>IF(J633="H",(SUMIFS(Transaksi!$G$2:$G$2001,Transaksi!$M$2:$M$2001,"&lt;="&amp;S633)+SUMIFS(Transaksi!$H$2:$H$2001,Transaksi!$M$2:$M$2001,"&lt;="&amp;S633)+SUMIFS(Transaksi!$I$2:$I$2001,Transaksi!$M$2:$M$2001,"&lt;="&amp;S633))-(SUMIFS(Transaksi!$J$2:$J$2001,Transaksi!$M$2:$M$2001,"&lt;="&amp;S633)),"")</f>
        <v/>
      </c>
      <c r="I633">
        <f>IF(630&gt;$O$2,"",MATCH(630,$Q$3:$Q$402,1))</f>
        <v/>
      </c>
      <c r="J633">
        <f>IF(I633="","",IF(630=INDEX($Q$3:$Q$402,I633),"H","E"))</f>
        <v/>
      </c>
      <c r="K633">
        <f>IF(J633&lt;&gt;"E","",MATCH(S633,Transaksi!$M$2:$M$2001,0)+630-INDEX($Q$3:$Q$402,I633)-1)</f>
        <v/>
      </c>
      <c r="S633">
        <f>IF(I633="","",INDEX($O$3:$O$402,I633))</f>
        <v/>
      </c>
      <c r="T633">
        <f>IF(J633&lt;&gt;"H","",INDEX(Transaksi!$A$2:$A$2001,MATCH(S633,Transaksi!$M$2:$M$2001,0)))</f>
        <v/>
      </c>
    </row>
    <row r="634">
      <c r="A634" s="31">
        <f>IF(J634="E",IF(INDEX(Transaksi!$J$2:$J$2001,K634)&gt;0,"↑","↓"),"")</f>
        <v/>
      </c>
      <c r="B634" s="32">
        <f>IF(J634="H",CHOOSE(WEEKDAY(T634,2),"Isnin","Selasa","Rabu","Khamis","Jumaat","Sabtu","Ahad")&amp;", "&amp;DAY(T634)&amp;" "&amp;CHOOSE(MONTH(T634),"Jan","Feb","Mac","Apr","Mei","Jun","Jul","Ogo","Sep","Okt","Nov","Dis")&amp;" "&amp;YEAR(T634),IF(J634="E",IF(INDEX(Transaksi!$B$2:$B$2001,K634)="",INDEX(Transaksi!$C$2:$C$2001,K634)&amp;" · "&amp;INDEX(Transaksi!$D$2:$D$2001,K634),INDEX(Transaksi!$B$2:$B$2001,K634)),""))</f>
        <v/>
      </c>
      <c r="C634" s="32">
        <f>IF(J634="E",INDEX(Transaksi!$C$2:$C$2001,K634)&amp;"","")</f>
        <v/>
      </c>
      <c r="D634" s="32">
        <f>IF(J634="E",INDEX(Transaksi!$D$2:$D$2001,K634)&amp;"","")</f>
        <v/>
      </c>
      <c r="E634" s="33">
        <f>IF(J634="H",SUMIFS(Transaksi!$G$2:$G$2001,Transaksi!$M$2:$M$2001,"="&amp;S634)+SUMIFS(Transaksi!$H$2:$H$2001,Transaksi!$M$2:$M$2001,"="&amp;S634)+SUMIFS(Transaksi!$I$2:$I$2001,Transaksi!$M$2:$M$2001,"="&amp;S634),IF(J634="E",IF(INDEX(Transaksi!$G$2:$G$2001,K634)+INDEX(Transaksi!$H$2:$H$2001,K634)+INDEX(Transaksi!$I$2:$I$2001,K634)=0,"",INDEX(Transaksi!$G$2:$G$2001,K634)+INDEX(Transaksi!$H$2:$H$2001,K634)+INDEX(Transaksi!$I$2:$I$2001,K634)),""))</f>
        <v/>
      </c>
      <c r="F634" s="33">
        <f>IF(J634="H",SUMIFS(Transaksi!$J$2:$J$2001,Transaksi!$M$2:$M$2001,"="&amp;S634),IF(J634="E",IF(INDEX(Transaksi!$J$2:$J$2001,K634)=0,"",INDEX(Transaksi!$J$2:$J$2001,K634)),""))</f>
        <v/>
      </c>
      <c r="G634" s="33">
        <f>IF(J634="H",(SUMIFS(Transaksi!$G$2:$G$2001,Transaksi!$M$2:$M$2001,"&lt;="&amp;S634)+SUMIFS(Transaksi!$H$2:$H$2001,Transaksi!$M$2:$M$2001,"&lt;="&amp;S634)+SUMIFS(Transaksi!$I$2:$I$2001,Transaksi!$M$2:$M$2001,"&lt;="&amp;S634))-(SUMIFS(Transaksi!$J$2:$J$2001,Transaksi!$M$2:$M$2001,"&lt;="&amp;S634)),"")</f>
        <v/>
      </c>
      <c r="I634">
        <f>IF(631&gt;$O$2,"",MATCH(631,$Q$3:$Q$402,1))</f>
        <v/>
      </c>
      <c r="J634">
        <f>IF(I634="","",IF(631=INDEX($Q$3:$Q$402,I634),"H","E"))</f>
        <v/>
      </c>
      <c r="K634">
        <f>IF(J634&lt;&gt;"E","",MATCH(S634,Transaksi!$M$2:$M$2001,0)+631-INDEX($Q$3:$Q$402,I634)-1)</f>
        <v/>
      </c>
      <c r="S634">
        <f>IF(I634="","",INDEX($O$3:$O$402,I634))</f>
        <v/>
      </c>
      <c r="T634">
        <f>IF(J634&lt;&gt;"H","",INDEX(Transaksi!$A$2:$A$2001,MATCH(S634,Transaksi!$M$2:$M$2001,0)))</f>
        <v/>
      </c>
    </row>
    <row r="635">
      <c r="A635" s="31">
        <f>IF(J635="E",IF(INDEX(Transaksi!$J$2:$J$2001,K635)&gt;0,"↑","↓"),"")</f>
        <v/>
      </c>
      <c r="B635" s="32">
        <f>IF(J635="H",CHOOSE(WEEKDAY(T635,2),"Isnin","Selasa","Rabu","Khamis","Jumaat","Sabtu","Ahad")&amp;", "&amp;DAY(T635)&amp;" "&amp;CHOOSE(MONTH(T635),"Jan","Feb","Mac","Apr","Mei","Jun","Jul","Ogo","Sep","Okt","Nov","Dis")&amp;" "&amp;YEAR(T635),IF(J635="E",IF(INDEX(Transaksi!$B$2:$B$2001,K635)="",INDEX(Transaksi!$C$2:$C$2001,K635)&amp;" · "&amp;INDEX(Transaksi!$D$2:$D$2001,K635),INDEX(Transaksi!$B$2:$B$2001,K635)),""))</f>
        <v/>
      </c>
      <c r="C635" s="32">
        <f>IF(J635="E",INDEX(Transaksi!$C$2:$C$2001,K635)&amp;"","")</f>
        <v/>
      </c>
      <c r="D635" s="32">
        <f>IF(J635="E",INDEX(Transaksi!$D$2:$D$2001,K635)&amp;"","")</f>
        <v/>
      </c>
      <c r="E635" s="33">
        <f>IF(J635="H",SUMIFS(Transaksi!$G$2:$G$2001,Transaksi!$M$2:$M$2001,"="&amp;S635)+SUMIFS(Transaksi!$H$2:$H$2001,Transaksi!$M$2:$M$2001,"="&amp;S635)+SUMIFS(Transaksi!$I$2:$I$2001,Transaksi!$M$2:$M$2001,"="&amp;S635),IF(J635="E",IF(INDEX(Transaksi!$G$2:$G$2001,K635)+INDEX(Transaksi!$H$2:$H$2001,K635)+INDEX(Transaksi!$I$2:$I$2001,K635)=0,"",INDEX(Transaksi!$G$2:$G$2001,K635)+INDEX(Transaksi!$H$2:$H$2001,K635)+INDEX(Transaksi!$I$2:$I$2001,K635)),""))</f>
        <v/>
      </c>
      <c r="F635" s="33">
        <f>IF(J635="H",SUMIFS(Transaksi!$J$2:$J$2001,Transaksi!$M$2:$M$2001,"="&amp;S635),IF(J635="E",IF(INDEX(Transaksi!$J$2:$J$2001,K635)=0,"",INDEX(Transaksi!$J$2:$J$2001,K635)),""))</f>
        <v/>
      </c>
      <c r="G635" s="33">
        <f>IF(J635="H",(SUMIFS(Transaksi!$G$2:$G$2001,Transaksi!$M$2:$M$2001,"&lt;="&amp;S635)+SUMIFS(Transaksi!$H$2:$H$2001,Transaksi!$M$2:$M$2001,"&lt;="&amp;S635)+SUMIFS(Transaksi!$I$2:$I$2001,Transaksi!$M$2:$M$2001,"&lt;="&amp;S635))-(SUMIFS(Transaksi!$J$2:$J$2001,Transaksi!$M$2:$M$2001,"&lt;="&amp;S635)),"")</f>
        <v/>
      </c>
      <c r="I635">
        <f>IF(632&gt;$O$2,"",MATCH(632,$Q$3:$Q$402,1))</f>
        <v/>
      </c>
      <c r="J635">
        <f>IF(I635="","",IF(632=INDEX($Q$3:$Q$402,I635),"H","E"))</f>
        <v/>
      </c>
      <c r="K635">
        <f>IF(J635&lt;&gt;"E","",MATCH(S635,Transaksi!$M$2:$M$2001,0)+632-INDEX($Q$3:$Q$402,I635)-1)</f>
        <v/>
      </c>
      <c r="S635">
        <f>IF(I635="","",INDEX($O$3:$O$402,I635))</f>
        <v/>
      </c>
      <c r="T635">
        <f>IF(J635&lt;&gt;"H","",INDEX(Transaksi!$A$2:$A$2001,MATCH(S635,Transaksi!$M$2:$M$2001,0)))</f>
        <v/>
      </c>
    </row>
    <row r="636">
      <c r="A636" s="31">
        <f>IF(J636="E",IF(INDEX(Transaksi!$J$2:$J$2001,K636)&gt;0,"↑","↓"),"")</f>
        <v/>
      </c>
      <c r="B636" s="32">
        <f>IF(J636="H",CHOOSE(WEEKDAY(T636,2),"Isnin","Selasa","Rabu","Khamis","Jumaat","Sabtu","Ahad")&amp;", "&amp;DAY(T636)&amp;" "&amp;CHOOSE(MONTH(T636),"Jan","Feb","Mac","Apr","Mei","Jun","Jul","Ogo","Sep","Okt","Nov","Dis")&amp;" "&amp;YEAR(T636),IF(J636="E",IF(INDEX(Transaksi!$B$2:$B$2001,K636)="",INDEX(Transaksi!$C$2:$C$2001,K636)&amp;" · "&amp;INDEX(Transaksi!$D$2:$D$2001,K636),INDEX(Transaksi!$B$2:$B$2001,K636)),""))</f>
        <v/>
      </c>
      <c r="C636" s="32">
        <f>IF(J636="E",INDEX(Transaksi!$C$2:$C$2001,K636)&amp;"","")</f>
        <v/>
      </c>
      <c r="D636" s="32">
        <f>IF(J636="E",INDEX(Transaksi!$D$2:$D$2001,K636)&amp;"","")</f>
        <v/>
      </c>
      <c r="E636" s="33">
        <f>IF(J636="H",SUMIFS(Transaksi!$G$2:$G$2001,Transaksi!$M$2:$M$2001,"="&amp;S636)+SUMIFS(Transaksi!$H$2:$H$2001,Transaksi!$M$2:$M$2001,"="&amp;S636)+SUMIFS(Transaksi!$I$2:$I$2001,Transaksi!$M$2:$M$2001,"="&amp;S636),IF(J636="E",IF(INDEX(Transaksi!$G$2:$G$2001,K636)+INDEX(Transaksi!$H$2:$H$2001,K636)+INDEX(Transaksi!$I$2:$I$2001,K636)=0,"",INDEX(Transaksi!$G$2:$G$2001,K636)+INDEX(Transaksi!$H$2:$H$2001,K636)+INDEX(Transaksi!$I$2:$I$2001,K636)),""))</f>
        <v/>
      </c>
      <c r="F636" s="33">
        <f>IF(J636="H",SUMIFS(Transaksi!$J$2:$J$2001,Transaksi!$M$2:$M$2001,"="&amp;S636),IF(J636="E",IF(INDEX(Transaksi!$J$2:$J$2001,K636)=0,"",INDEX(Transaksi!$J$2:$J$2001,K636)),""))</f>
        <v/>
      </c>
      <c r="G636" s="33">
        <f>IF(J636="H",(SUMIFS(Transaksi!$G$2:$G$2001,Transaksi!$M$2:$M$2001,"&lt;="&amp;S636)+SUMIFS(Transaksi!$H$2:$H$2001,Transaksi!$M$2:$M$2001,"&lt;="&amp;S636)+SUMIFS(Transaksi!$I$2:$I$2001,Transaksi!$M$2:$M$2001,"&lt;="&amp;S636))-(SUMIFS(Transaksi!$J$2:$J$2001,Transaksi!$M$2:$M$2001,"&lt;="&amp;S636)),"")</f>
        <v/>
      </c>
      <c r="I636">
        <f>IF(633&gt;$O$2,"",MATCH(633,$Q$3:$Q$402,1))</f>
        <v/>
      </c>
      <c r="J636">
        <f>IF(I636="","",IF(633=INDEX($Q$3:$Q$402,I636),"H","E"))</f>
        <v/>
      </c>
      <c r="K636">
        <f>IF(J636&lt;&gt;"E","",MATCH(S636,Transaksi!$M$2:$M$2001,0)+633-INDEX($Q$3:$Q$402,I636)-1)</f>
        <v/>
      </c>
      <c r="S636">
        <f>IF(I636="","",INDEX($O$3:$O$402,I636))</f>
        <v/>
      </c>
      <c r="T636">
        <f>IF(J636&lt;&gt;"H","",INDEX(Transaksi!$A$2:$A$2001,MATCH(S636,Transaksi!$M$2:$M$2001,0)))</f>
        <v/>
      </c>
    </row>
    <row r="637">
      <c r="A637" s="31">
        <f>IF(J637="E",IF(INDEX(Transaksi!$J$2:$J$2001,K637)&gt;0,"↑","↓"),"")</f>
        <v/>
      </c>
      <c r="B637" s="32">
        <f>IF(J637="H",CHOOSE(WEEKDAY(T637,2),"Isnin","Selasa","Rabu","Khamis","Jumaat","Sabtu","Ahad")&amp;", "&amp;DAY(T637)&amp;" "&amp;CHOOSE(MONTH(T637),"Jan","Feb","Mac","Apr","Mei","Jun","Jul","Ogo","Sep","Okt","Nov","Dis")&amp;" "&amp;YEAR(T637),IF(J637="E",IF(INDEX(Transaksi!$B$2:$B$2001,K637)="",INDEX(Transaksi!$C$2:$C$2001,K637)&amp;" · "&amp;INDEX(Transaksi!$D$2:$D$2001,K637),INDEX(Transaksi!$B$2:$B$2001,K637)),""))</f>
        <v/>
      </c>
      <c r="C637" s="32">
        <f>IF(J637="E",INDEX(Transaksi!$C$2:$C$2001,K637)&amp;"","")</f>
        <v/>
      </c>
      <c r="D637" s="32">
        <f>IF(J637="E",INDEX(Transaksi!$D$2:$D$2001,K637)&amp;"","")</f>
        <v/>
      </c>
      <c r="E637" s="33">
        <f>IF(J637="H",SUMIFS(Transaksi!$G$2:$G$2001,Transaksi!$M$2:$M$2001,"="&amp;S637)+SUMIFS(Transaksi!$H$2:$H$2001,Transaksi!$M$2:$M$2001,"="&amp;S637)+SUMIFS(Transaksi!$I$2:$I$2001,Transaksi!$M$2:$M$2001,"="&amp;S637),IF(J637="E",IF(INDEX(Transaksi!$G$2:$G$2001,K637)+INDEX(Transaksi!$H$2:$H$2001,K637)+INDEX(Transaksi!$I$2:$I$2001,K637)=0,"",INDEX(Transaksi!$G$2:$G$2001,K637)+INDEX(Transaksi!$H$2:$H$2001,K637)+INDEX(Transaksi!$I$2:$I$2001,K637)),""))</f>
        <v/>
      </c>
      <c r="F637" s="33">
        <f>IF(J637="H",SUMIFS(Transaksi!$J$2:$J$2001,Transaksi!$M$2:$M$2001,"="&amp;S637),IF(J637="E",IF(INDEX(Transaksi!$J$2:$J$2001,K637)=0,"",INDEX(Transaksi!$J$2:$J$2001,K637)),""))</f>
        <v/>
      </c>
      <c r="G637" s="33">
        <f>IF(J637="H",(SUMIFS(Transaksi!$G$2:$G$2001,Transaksi!$M$2:$M$2001,"&lt;="&amp;S637)+SUMIFS(Transaksi!$H$2:$H$2001,Transaksi!$M$2:$M$2001,"&lt;="&amp;S637)+SUMIFS(Transaksi!$I$2:$I$2001,Transaksi!$M$2:$M$2001,"&lt;="&amp;S637))-(SUMIFS(Transaksi!$J$2:$J$2001,Transaksi!$M$2:$M$2001,"&lt;="&amp;S637)),"")</f>
        <v/>
      </c>
      <c r="I637">
        <f>IF(634&gt;$O$2,"",MATCH(634,$Q$3:$Q$402,1))</f>
        <v/>
      </c>
      <c r="J637">
        <f>IF(I637="","",IF(634=INDEX($Q$3:$Q$402,I637),"H","E"))</f>
        <v/>
      </c>
      <c r="K637">
        <f>IF(J637&lt;&gt;"E","",MATCH(S637,Transaksi!$M$2:$M$2001,0)+634-INDEX($Q$3:$Q$402,I637)-1)</f>
        <v/>
      </c>
      <c r="S637">
        <f>IF(I637="","",INDEX($O$3:$O$402,I637))</f>
        <v/>
      </c>
      <c r="T637">
        <f>IF(J637&lt;&gt;"H","",INDEX(Transaksi!$A$2:$A$2001,MATCH(S637,Transaksi!$M$2:$M$2001,0)))</f>
        <v/>
      </c>
    </row>
    <row r="638">
      <c r="A638" s="31">
        <f>IF(J638="E",IF(INDEX(Transaksi!$J$2:$J$2001,K638)&gt;0,"↑","↓"),"")</f>
        <v/>
      </c>
      <c r="B638" s="32">
        <f>IF(J638="H",CHOOSE(WEEKDAY(T638,2),"Isnin","Selasa","Rabu","Khamis","Jumaat","Sabtu","Ahad")&amp;", "&amp;DAY(T638)&amp;" "&amp;CHOOSE(MONTH(T638),"Jan","Feb","Mac","Apr","Mei","Jun","Jul","Ogo","Sep","Okt","Nov","Dis")&amp;" "&amp;YEAR(T638),IF(J638="E",IF(INDEX(Transaksi!$B$2:$B$2001,K638)="",INDEX(Transaksi!$C$2:$C$2001,K638)&amp;" · "&amp;INDEX(Transaksi!$D$2:$D$2001,K638),INDEX(Transaksi!$B$2:$B$2001,K638)),""))</f>
        <v/>
      </c>
      <c r="C638" s="32">
        <f>IF(J638="E",INDEX(Transaksi!$C$2:$C$2001,K638)&amp;"","")</f>
        <v/>
      </c>
      <c r="D638" s="32">
        <f>IF(J638="E",INDEX(Transaksi!$D$2:$D$2001,K638)&amp;"","")</f>
        <v/>
      </c>
      <c r="E638" s="33">
        <f>IF(J638="H",SUMIFS(Transaksi!$G$2:$G$2001,Transaksi!$M$2:$M$2001,"="&amp;S638)+SUMIFS(Transaksi!$H$2:$H$2001,Transaksi!$M$2:$M$2001,"="&amp;S638)+SUMIFS(Transaksi!$I$2:$I$2001,Transaksi!$M$2:$M$2001,"="&amp;S638),IF(J638="E",IF(INDEX(Transaksi!$G$2:$G$2001,K638)+INDEX(Transaksi!$H$2:$H$2001,K638)+INDEX(Transaksi!$I$2:$I$2001,K638)=0,"",INDEX(Transaksi!$G$2:$G$2001,K638)+INDEX(Transaksi!$H$2:$H$2001,K638)+INDEX(Transaksi!$I$2:$I$2001,K638)),""))</f>
        <v/>
      </c>
      <c r="F638" s="33">
        <f>IF(J638="H",SUMIFS(Transaksi!$J$2:$J$2001,Transaksi!$M$2:$M$2001,"="&amp;S638),IF(J638="E",IF(INDEX(Transaksi!$J$2:$J$2001,K638)=0,"",INDEX(Transaksi!$J$2:$J$2001,K638)),""))</f>
        <v/>
      </c>
      <c r="G638" s="33">
        <f>IF(J638="H",(SUMIFS(Transaksi!$G$2:$G$2001,Transaksi!$M$2:$M$2001,"&lt;="&amp;S638)+SUMIFS(Transaksi!$H$2:$H$2001,Transaksi!$M$2:$M$2001,"&lt;="&amp;S638)+SUMIFS(Transaksi!$I$2:$I$2001,Transaksi!$M$2:$M$2001,"&lt;="&amp;S638))-(SUMIFS(Transaksi!$J$2:$J$2001,Transaksi!$M$2:$M$2001,"&lt;="&amp;S638)),"")</f>
        <v/>
      </c>
      <c r="I638">
        <f>IF(635&gt;$O$2,"",MATCH(635,$Q$3:$Q$402,1))</f>
        <v/>
      </c>
      <c r="J638">
        <f>IF(I638="","",IF(635=INDEX($Q$3:$Q$402,I638),"H","E"))</f>
        <v/>
      </c>
      <c r="K638">
        <f>IF(J638&lt;&gt;"E","",MATCH(S638,Transaksi!$M$2:$M$2001,0)+635-INDEX($Q$3:$Q$402,I638)-1)</f>
        <v/>
      </c>
      <c r="S638">
        <f>IF(I638="","",INDEX($O$3:$O$402,I638))</f>
        <v/>
      </c>
      <c r="T638">
        <f>IF(J638&lt;&gt;"H","",INDEX(Transaksi!$A$2:$A$2001,MATCH(S638,Transaksi!$M$2:$M$2001,0)))</f>
        <v/>
      </c>
    </row>
    <row r="639">
      <c r="A639" s="31">
        <f>IF(J639="E",IF(INDEX(Transaksi!$J$2:$J$2001,K639)&gt;0,"↑","↓"),"")</f>
        <v/>
      </c>
      <c r="B639" s="32">
        <f>IF(J639="H",CHOOSE(WEEKDAY(T639,2),"Isnin","Selasa","Rabu","Khamis","Jumaat","Sabtu","Ahad")&amp;", "&amp;DAY(T639)&amp;" "&amp;CHOOSE(MONTH(T639),"Jan","Feb","Mac","Apr","Mei","Jun","Jul","Ogo","Sep","Okt","Nov","Dis")&amp;" "&amp;YEAR(T639),IF(J639="E",IF(INDEX(Transaksi!$B$2:$B$2001,K639)="",INDEX(Transaksi!$C$2:$C$2001,K639)&amp;" · "&amp;INDEX(Transaksi!$D$2:$D$2001,K639),INDEX(Transaksi!$B$2:$B$2001,K639)),""))</f>
        <v/>
      </c>
      <c r="C639" s="32">
        <f>IF(J639="E",INDEX(Transaksi!$C$2:$C$2001,K639)&amp;"","")</f>
        <v/>
      </c>
      <c r="D639" s="32">
        <f>IF(J639="E",INDEX(Transaksi!$D$2:$D$2001,K639)&amp;"","")</f>
        <v/>
      </c>
      <c r="E639" s="33">
        <f>IF(J639="H",SUMIFS(Transaksi!$G$2:$G$2001,Transaksi!$M$2:$M$2001,"="&amp;S639)+SUMIFS(Transaksi!$H$2:$H$2001,Transaksi!$M$2:$M$2001,"="&amp;S639)+SUMIFS(Transaksi!$I$2:$I$2001,Transaksi!$M$2:$M$2001,"="&amp;S639),IF(J639="E",IF(INDEX(Transaksi!$G$2:$G$2001,K639)+INDEX(Transaksi!$H$2:$H$2001,K639)+INDEX(Transaksi!$I$2:$I$2001,K639)=0,"",INDEX(Transaksi!$G$2:$G$2001,K639)+INDEX(Transaksi!$H$2:$H$2001,K639)+INDEX(Transaksi!$I$2:$I$2001,K639)),""))</f>
        <v/>
      </c>
      <c r="F639" s="33">
        <f>IF(J639="H",SUMIFS(Transaksi!$J$2:$J$2001,Transaksi!$M$2:$M$2001,"="&amp;S639),IF(J639="E",IF(INDEX(Transaksi!$J$2:$J$2001,K639)=0,"",INDEX(Transaksi!$J$2:$J$2001,K639)),""))</f>
        <v/>
      </c>
      <c r="G639" s="33">
        <f>IF(J639="H",(SUMIFS(Transaksi!$G$2:$G$2001,Transaksi!$M$2:$M$2001,"&lt;="&amp;S639)+SUMIFS(Transaksi!$H$2:$H$2001,Transaksi!$M$2:$M$2001,"&lt;="&amp;S639)+SUMIFS(Transaksi!$I$2:$I$2001,Transaksi!$M$2:$M$2001,"&lt;="&amp;S639))-(SUMIFS(Transaksi!$J$2:$J$2001,Transaksi!$M$2:$M$2001,"&lt;="&amp;S639)),"")</f>
        <v/>
      </c>
      <c r="I639">
        <f>IF(636&gt;$O$2,"",MATCH(636,$Q$3:$Q$402,1))</f>
        <v/>
      </c>
      <c r="J639">
        <f>IF(I639="","",IF(636=INDEX($Q$3:$Q$402,I639),"H","E"))</f>
        <v/>
      </c>
      <c r="K639">
        <f>IF(J639&lt;&gt;"E","",MATCH(S639,Transaksi!$M$2:$M$2001,0)+636-INDEX($Q$3:$Q$402,I639)-1)</f>
        <v/>
      </c>
      <c r="S639">
        <f>IF(I639="","",INDEX($O$3:$O$402,I639))</f>
        <v/>
      </c>
      <c r="T639">
        <f>IF(J639&lt;&gt;"H","",INDEX(Transaksi!$A$2:$A$2001,MATCH(S639,Transaksi!$M$2:$M$2001,0)))</f>
        <v/>
      </c>
    </row>
    <row r="640">
      <c r="A640" s="31">
        <f>IF(J640="E",IF(INDEX(Transaksi!$J$2:$J$2001,K640)&gt;0,"↑","↓"),"")</f>
        <v/>
      </c>
      <c r="B640" s="32">
        <f>IF(J640="H",CHOOSE(WEEKDAY(T640,2),"Isnin","Selasa","Rabu","Khamis","Jumaat","Sabtu","Ahad")&amp;", "&amp;DAY(T640)&amp;" "&amp;CHOOSE(MONTH(T640),"Jan","Feb","Mac","Apr","Mei","Jun","Jul","Ogo","Sep","Okt","Nov","Dis")&amp;" "&amp;YEAR(T640),IF(J640="E",IF(INDEX(Transaksi!$B$2:$B$2001,K640)="",INDEX(Transaksi!$C$2:$C$2001,K640)&amp;" · "&amp;INDEX(Transaksi!$D$2:$D$2001,K640),INDEX(Transaksi!$B$2:$B$2001,K640)),""))</f>
        <v/>
      </c>
      <c r="C640" s="32">
        <f>IF(J640="E",INDEX(Transaksi!$C$2:$C$2001,K640)&amp;"","")</f>
        <v/>
      </c>
      <c r="D640" s="32">
        <f>IF(J640="E",INDEX(Transaksi!$D$2:$D$2001,K640)&amp;"","")</f>
        <v/>
      </c>
      <c r="E640" s="33">
        <f>IF(J640="H",SUMIFS(Transaksi!$G$2:$G$2001,Transaksi!$M$2:$M$2001,"="&amp;S640)+SUMIFS(Transaksi!$H$2:$H$2001,Transaksi!$M$2:$M$2001,"="&amp;S640)+SUMIFS(Transaksi!$I$2:$I$2001,Transaksi!$M$2:$M$2001,"="&amp;S640),IF(J640="E",IF(INDEX(Transaksi!$G$2:$G$2001,K640)+INDEX(Transaksi!$H$2:$H$2001,K640)+INDEX(Transaksi!$I$2:$I$2001,K640)=0,"",INDEX(Transaksi!$G$2:$G$2001,K640)+INDEX(Transaksi!$H$2:$H$2001,K640)+INDEX(Transaksi!$I$2:$I$2001,K640)),""))</f>
        <v/>
      </c>
      <c r="F640" s="33">
        <f>IF(J640="H",SUMIFS(Transaksi!$J$2:$J$2001,Transaksi!$M$2:$M$2001,"="&amp;S640),IF(J640="E",IF(INDEX(Transaksi!$J$2:$J$2001,K640)=0,"",INDEX(Transaksi!$J$2:$J$2001,K640)),""))</f>
        <v/>
      </c>
      <c r="G640" s="33">
        <f>IF(J640="H",(SUMIFS(Transaksi!$G$2:$G$2001,Transaksi!$M$2:$M$2001,"&lt;="&amp;S640)+SUMIFS(Transaksi!$H$2:$H$2001,Transaksi!$M$2:$M$2001,"&lt;="&amp;S640)+SUMIFS(Transaksi!$I$2:$I$2001,Transaksi!$M$2:$M$2001,"&lt;="&amp;S640))-(SUMIFS(Transaksi!$J$2:$J$2001,Transaksi!$M$2:$M$2001,"&lt;="&amp;S640)),"")</f>
        <v/>
      </c>
      <c r="I640">
        <f>IF(637&gt;$O$2,"",MATCH(637,$Q$3:$Q$402,1))</f>
        <v/>
      </c>
      <c r="J640">
        <f>IF(I640="","",IF(637=INDEX($Q$3:$Q$402,I640),"H","E"))</f>
        <v/>
      </c>
      <c r="K640">
        <f>IF(J640&lt;&gt;"E","",MATCH(S640,Transaksi!$M$2:$M$2001,0)+637-INDEX($Q$3:$Q$402,I640)-1)</f>
        <v/>
      </c>
      <c r="S640">
        <f>IF(I640="","",INDEX($O$3:$O$402,I640))</f>
        <v/>
      </c>
      <c r="T640">
        <f>IF(J640&lt;&gt;"H","",INDEX(Transaksi!$A$2:$A$2001,MATCH(S640,Transaksi!$M$2:$M$2001,0)))</f>
        <v/>
      </c>
    </row>
    <row r="641">
      <c r="A641" s="31">
        <f>IF(J641="E",IF(INDEX(Transaksi!$J$2:$J$2001,K641)&gt;0,"↑","↓"),"")</f>
        <v/>
      </c>
      <c r="B641" s="32">
        <f>IF(J641="H",CHOOSE(WEEKDAY(T641,2),"Isnin","Selasa","Rabu","Khamis","Jumaat","Sabtu","Ahad")&amp;", "&amp;DAY(T641)&amp;" "&amp;CHOOSE(MONTH(T641),"Jan","Feb","Mac","Apr","Mei","Jun","Jul","Ogo","Sep","Okt","Nov","Dis")&amp;" "&amp;YEAR(T641),IF(J641="E",IF(INDEX(Transaksi!$B$2:$B$2001,K641)="",INDEX(Transaksi!$C$2:$C$2001,K641)&amp;" · "&amp;INDEX(Transaksi!$D$2:$D$2001,K641),INDEX(Transaksi!$B$2:$B$2001,K641)),""))</f>
        <v/>
      </c>
      <c r="C641" s="32">
        <f>IF(J641="E",INDEX(Transaksi!$C$2:$C$2001,K641)&amp;"","")</f>
        <v/>
      </c>
      <c r="D641" s="32">
        <f>IF(J641="E",INDEX(Transaksi!$D$2:$D$2001,K641)&amp;"","")</f>
        <v/>
      </c>
      <c r="E641" s="33">
        <f>IF(J641="H",SUMIFS(Transaksi!$G$2:$G$2001,Transaksi!$M$2:$M$2001,"="&amp;S641)+SUMIFS(Transaksi!$H$2:$H$2001,Transaksi!$M$2:$M$2001,"="&amp;S641)+SUMIFS(Transaksi!$I$2:$I$2001,Transaksi!$M$2:$M$2001,"="&amp;S641),IF(J641="E",IF(INDEX(Transaksi!$G$2:$G$2001,K641)+INDEX(Transaksi!$H$2:$H$2001,K641)+INDEX(Transaksi!$I$2:$I$2001,K641)=0,"",INDEX(Transaksi!$G$2:$G$2001,K641)+INDEX(Transaksi!$H$2:$H$2001,K641)+INDEX(Transaksi!$I$2:$I$2001,K641)),""))</f>
        <v/>
      </c>
      <c r="F641" s="33">
        <f>IF(J641="H",SUMIFS(Transaksi!$J$2:$J$2001,Transaksi!$M$2:$M$2001,"="&amp;S641),IF(J641="E",IF(INDEX(Transaksi!$J$2:$J$2001,K641)=0,"",INDEX(Transaksi!$J$2:$J$2001,K641)),""))</f>
        <v/>
      </c>
      <c r="G641" s="33">
        <f>IF(J641="H",(SUMIFS(Transaksi!$G$2:$G$2001,Transaksi!$M$2:$M$2001,"&lt;="&amp;S641)+SUMIFS(Transaksi!$H$2:$H$2001,Transaksi!$M$2:$M$2001,"&lt;="&amp;S641)+SUMIFS(Transaksi!$I$2:$I$2001,Transaksi!$M$2:$M$2001,"&lt;="&amp;S641))-(SUMIFS(Transaksi!$J$2:$J$2001,Transaksi!$M$2:$M$2001,"&lt;="&amp;S641)),"")</f>
        <v/>
      </c>
      <c r="I641">
        <f>IF(638&gt;$O$2,"",MATCH(638,$Q$3:$Q$402,1))</f>
        <v/>
      </c>
      <c r="J641">
        <f>IF(I641="","",IF(638=INDEX($Q$3:$Q$402,I641),"H","E"))</f>
        <v/>
      </c>
      <c r="K641">
        <f>IF(J641&lt;&gt;"E","",MATCH(S641,Transaksi!$M$2:$M$2001,0)+638-INDEX($Q$3:$Q$402,I641)-1)</f>
        <v/>
      </c>
      <c r="S641">
        <f>IF(I641="","",INDEX($O$3:$O$402,I641))</f>
        <v/>
      </c>
      <c r="T641">
        <f>IF(J641&lt;&gt;"H","",INDEX(Transaksi!$A$2:$A$2001,MATCH(S641,Transaksi!$M$2:$M$2001,0)))</f>
        <v/>
      </c>
    </row>
    <row r="642">
      <c r="A642" s="31">
        <f>IF(J642="E",IF(INDEX(Transaksi!$J$2:$J$2001,K642)&gt;0,"↑","↓"),"")</f>
        <v/>
      </c>
      <c r="B642" s="32">
        <f>IF(J642="H",CHOOSE(WEEKDAY(T642,2),"Isnin","Selasa","Rabu","Khamis","Jumaat","Sabtu","Ahad")&amp;", "&amp;DAY(T642)&amp;" "&amp;CHOOSE(MONTH(T642),"Jan","Feb","Mac","Apr","Mei","Jun","Jul","Ogo","Sep","Okt","Nov","Dis")&amp;" "&amp;YEAR(T642),IF(J642="E",IF(INDEX(Transaksi!$B$2:$B$2001,K642)="",INDEX(Transaksi!$C$2:$C$2001,K642)&amp;" · "&amp;INDEX(Transaksi!$D$2:$D$2001,K642),INDEX(Transaksi!$B$2:$B$2001,K642)),""))</f>
        <v/>
      </c>
      <c r="C642" s="32">
        <f>IF(J642="E",INDEX(Transaksi!$C$2:$C$2001,K642)&amp;"","")</f>
        <v/>
      </c>
      <c r="D642" s="32">
        <f>IF(J642="E",INDEX(Transaksi!$D$2:$D$2001,K642)&amp;"","")</f>
        <v/>
      </c>
      <c r="E642" s="33">
        <f>IF(J642="H",SUMIFS(Transaksi!$G$2:$G$2001,Transaksi!$M$2:$M$2001,"="&amp;S642)+SUMIFS(Transaksi!$H$2:$H$2001,Transaksi!$M$2:$M$2001,"="&amp;S642)+SUMIFS(Transaksi!$I$2:$I$2001,Transaksi!$M$2:$M$2001,"="&amp;S642),IF(J642="E",IF(INDEX(Transaksi!$G$2:$G$2001,K642)+INDEX(Transaksi!$H$2:$H$2001,K642)+INDEX(Transaksi!$I$2:$I$2001,K642)=0,"",INDEX(Transaksi!$G$2:$G$2001,K642)+INDEX(Transaksi!$H$2:$H$2001,K642)+INDEX(Transaksi!$I$2:$I$2001,K642)),""))</f>
        <v/>
      </c>
      <c r="F642" s="33">
        <f>IF(J642="H",SUMIFS(Transaksi!$J$2:$J$2001,Transaksi!$M$2:$M$2001,"="&amp;S642),IF(J642="E",IF(INDEX(Transaksi!$J$2:$J$2001,K642)=0,"",INDEX(Transaksi!$J$2:$J$2001,K642)),""))</f>
        <v/>
      </c>
      <c r="G642" s="33">
        <f>IF(J642="H",(SUMIFS(Transaksi!$G$2:$G$2001,Transaksi!$M$2:$M$2001,"&lt;="&amp;S642)+SUMIFS(Transaksi!$H$2:$H$2001,Transaksi!$M$2:$M$2001,"&lt;="&amp;S642)+SUMIFS(Transaksi!$I$2:$I$2001,Transaksi!$M$2:$M$2001,"&lt;="&amp;S642))-(SUMIFS(Transaksi!$J$2:$J$2001,Transaksi!$M$2:$M$2001,"&lt;="&amp;S642)),"")</f>
        <v/>
      </c>
      <c r="I642">
        <f>IF(639&gt;$O$2,"",MATCH(639,$Q$3:$Q$402,1))</f>
        <v/>
      </c>
      <c r="J642">
        <f>IF(I642="","",IF(639=INDEX($Q$3:$Q$402,I642),"H","E"))</f>
        <v/>
      </c>
      <c r="K642">
        <f>IF(J642&lt;&gt;"E","",MATCH(S642,Transaksi!$M$2:$M$2001,0)+639-INDEX($Q$3:$Q$402,I642)-1)</f>
        <v/>
      </c>
      <c r="S642">
        <f>IF(I642="","",INDEX($O$3:$O$402,I642))</f>
        <v/>
      </c>
      <c r="T642">
        <f>IF(J642&lt;&gt;"H","",INDEX(Transaksi!$A$2:$A$2001,MATCH(S642,Transaksi!$M$2:$M$2001,0)))</f>
        <v/>
      </c>
    </row>
    <row r="643">
      <c r="A643" s="31">
        <f>IF(J643="E",IF(INDEX(Transaksi!$J$2:$J$2001,K643)&gt;0,"↑","↓"),"")</f>
        <v/>
      </c>
      <c r="B643" s="32">
        <f>IF(J643="H",CHOOSE(WEEKDAY(T643,2),"Isnin","Selasa","Rabu","Khamis","Jumaat","Sabtu","Ahad")&amp;", "&amp;DAY(T643)&amp;" "&amp;CHOOSE(MONTH(T643),"Jan","Feb","Mac","Apr","Mei","Jun","Jul","Ogo","Sep","Okt","Nov","Dis")&amp;" "&amp;YEAR(T643),IF(J643="E",IF(INDEX(Transaksi!$B$2:$B$2001,K643)="",INDEX(Transaksi!$C$2:$C$2001,K643)&amp;" · "&amp;INDEX(Transaksi!$D$2:$D$2001,K643),INDEX(Transaksi!$B$2:$B$2001,K643)),""))</f>
        <v/>
      </c>
      <c r="C643" s="32">
        <f>IF(J643="E",INDEX(Transaksi!$C$2:$C$2001,K643)&amp;"","")</f>
        <v/>
      </c>
      <c r="D643" s="32">
        <f>IF(J643="E",INDEX(Transaksi!$D$2:$D$2001,K643)&amp;"","")</f>
        <v/>
      </c>
      <c r="E643" s="33">
        <f>IF(J643="H",SUMIFS(Transaksi!$G$2:$G$2001,Transaksi!$M$2:$M$2001,"="&amp;S643)+SUMIFS(Transaksi!$H$2:$H$2001,Transaksi!$M$2:$M$2001,"="&amp;S643)+SUMIFS(Transaksi!$I$2:$I$2001,Transaksi!$M$2:$M$2001,"="&amp;S643),IF(J643="E",IF(INDEX(Transaksi!$G$2:$G$2001,K643)+INDEX(Transaksi!$H$2:$H$2001,K643)+INDEX(Transaksi!$I$2:$I$2001,K643)=0,"",INDEX(Transaksi!$G$2:$G$2001,K643)+INDEX(Transaksi!$H$2:$H$2001,K643)+INDEX(Transaksi!$I$2:$I$2001,K643)),""))</f>
        <v/>
      </c>
      <c r="F643" s="33">
        <f>IF(J643="H",SUMIFS(Transaksi!$J$2:$J$2001,Transaksi!$M$2:$M$2001,"="&amp;S643),IF(J643="E",IF(INDEX(Transaksi!$J$2:$J$2001,K643)=0,"",INDEX(Transaksi!$J$2:$J$2001,K643)),""))</f>
        <v/>
      </c>
      <c r="G643" s="33">
        <f>IF(J643="H",(SUMIFS(Transaksi!$G$2:$G$2001,Transaksi!$M$2:$M$2001,"&lt;="&amp;S643)+SUMIFS(Transaksi!$H$2:$H$2001,Transaksi!$M$2:$M$2001,"&lt;="&amp;S643)+SUMIFS(Transaksi!$I$2:$I$2001,Transaksi!$M$2:$M$2001,"&lt;="&amp;S643))-(SUMIFS(Transaksi!$J$2:$J$2001,Transaksi!$M$2:$M$2001,"&lt;="&amp;S643)),"")</f>
        <v/>
      </c>
      <c r="I643">
        <f>IF(640&gt;$O$2,"",MATCH(640,$Q$3:$Q$402,1))</f>
        <v/>
      </c>
      <c r="J643">
        <f>IF(I643="","",IF(640=INDEX($Q$3:$Q$402,I643),"H","E"))</f>
        <v/>
      </c>
      <c r="K643">
        <f>IF(J643&lt;&gt;"E","",MATCH(S643,Transaksi!$M$2:$M$2001,0)+640-INDEX($Q$3:$Q$402,I643)-1)</f>
        <v/>
      </c>
      <c r="S643">
        <f>IF(I643="","",INDEX($O$3:$O$402,I643))</f>
        <v/>
      </c>
      <c r="T643">
        <f>IF(J643&lt;&gt;"H","",INDEX(Transaksi!$A$2:$A$2001,MATCH(S643,Transaksi!$M$2:$M$2001,0)))</f>
        <v/>
      </c>
    </row>
    <row r="644">
      <c r="A644" s="31">
        <f>IF(J644="E",IF(INDEX(Transaksi!$J$2:$J$2001,K644)&gt;0,"↑","↓"),"")</f>
        <v/>
      </c>
      <c r="B644" s="32">
        <f>IF(J644="H",CHOOSE(WEEKDAY(T644,2),"Isnin","Selasa","Rabu","Khamis","Jumaat","Sabtu","Ahad")&amp;", "&amp;DAY(T644)&amp;" "&amp;CHOOSE(MONTH(T644),"Jan","Feb","Mac","Apr","Mei","Jun","Jul","Ogo","Sep","Okt","Nov","Dis")&amp;" "&amp;YEAR(T644),IF(J644="E",IF(INDEX(Transaksi!$B$2:$B$2001,K644)="",INDEX(Transaksi!$C$2:$C$2001,K644)&amp;" · "&amp;INDEX(Transaksi!$D$2:$D$2001,K644),INDEX(Transaksi!$B$2:$B$2001,K644)),""))</f>
        <v/>
      </c>
      <c r="C644" s="32">
        <f>IF(J644="E",INDEX(Transaksi!$C$2:$C$2001,K644)&amp;"","")</f>
        <v/>
      </c>
      <c r="D644" s="32">
        <f>IF(J644="E",INDEX(Transaksi!$D$2:$D$2001,K644)&amp;"","")</f>
        <v/>
      </c>
      <c r="E644" s="33">
        <f>IF(J644="H",SUMIFS(Transaksi!$G$2:$G$2001,Transaksi!$M$2:$M$2001,"="&amp;S644)+SUMIFS(Transaksi!$H$2:$H$2001,Transaksi!$M$2:$M$2001,"="&amp;S644)+SUMIFS(Transaksi!$I$2:$I$2001,Transaksi!$M$2:$M$2001,"="&amp;S644),IF(J644="E",IF(INDEX(Transaksi!$G$2:$G$2001,K644)+INDEX(Transaksi!$H$2:$H$2001,K644)+INDEX(Transaksi!$I$2:$I$2001,K644)=0,"",INDEX(Transaksi!$G$2:$G$2001,K644)+INDEX(Transaksi!$H$2:$H$2001,K644)+INDEX(Transaksi!$I$2:$I$2001,K644)),""))</f>
        <v/>
      </c>
      <c r="F644" s="33">
        <f>IF(J644="H",SUMIFS(Transaksi!$J$2:$J$2001,Transaksi!$M$2:$M$2001,"="&amp;S644),IF(J644="E",IF(INDEX(Transaksi!$J$2:$J$2001,K644)=0,"",INDEX(Transaksi!$J$2:$J$2001,K644)),""))</f>
        <v/>
      </c>
      <c r="G644" s="33">
        <f>IF(J644="H",(SUMIFS(Transaksi!$G$2:$G$2001,Transaksi!$M$2:$M$2001,"&lt;="&amp;S644)+SUMIFS(Transaksi!$H$2:$H$2001,Transaksi!$M$2:$M$2001,"&lt;="&amp;S644)+SUMIFS(Transaksi!$I$2:$I$2001,Transaksi!$M$2:$M$2001,"&lt;="&amp;S644))-(SUMIFS(Transaksi!$J$2:$J$2001,Transaksi!$M$2:$M$2001,"&lt;="&amp;S644)),"")</f>
        <v/>
      </c>
      <c r="I644">
        <f>IF(641&gt;$O$2,"",MATCH(641,$Q$3:$Q$402,1))</f>
        <v/>
      </c>
      <c r="J644">
        <f>IF(I644="","",IF(641=INDEX($Q$3:$Q$402,I644),"H","E"))</f>
        <v/>
      </c>
      <c r="K644">
        <f>IF(J644&lt;&gt;"E","",MATCH(S644,Transaksi!$M$2:$M$2001,0)+641-INDEX($Q$3:$Q$402,I644)-1)</f>
        <v/>
      </c>
      <c r="S644">
        <f>IF(I644="","",INDEX($O$3:$O$402,I644))</f>
        <v/>
      </c>
      <c r="T644">
        <f>IF(J644&lt;&gt;"H","",INDEX(Transaksi!$A$2:$A$2001,MATCH(S644,Transaksi!$M$2:$M$2001,0)))</f>
        <v/>
      </c>
    </row>
    <row r="645">
      <c r="A645" s="31">
        <f>IF(J645="E",IF(INDEX(Transaksi!$J$2:$J$2001,K645)&gt;0,"↑","↓"),"")</f>
        <v/>
      </c>
      <c r="B645" s="32">
        <f>IF(J645="H",CHOOSE(WEEKDAY(T645,2),"Isnin","Selasa","Rabu","Khamis","Jumaat","Sabtu","Ahad")&amp;", "&amp;DAY(T645)&amp;" "&amp;CHOOSE(MONTH(T645),"Jan","Feb","Mac","Apr","Mei","Jun","Jul","Ogo","Sep","Okt","Nov","Dis")&amp;" "&amp;YEAR(T645),IF(J645="E",IF(INDEX(Transaksi!$B$2:$B$2001,K645)="",INDEX(Transaksi!$C$2:$C$2001,K645)&amp;" · "&amp;INDEX(Transaksi!$D$2:$D$2001,K645),INDEX(Transaksi!$B$2:$B$2001,K645)),""))</f>
        <v/>
      </c>
      <c r="C645" s="32">
        <f>IF(J645="E",INDEX(Transaksi!$C$2:$C$2001,K645)&amp;"","")</f>
        <v/>
      </c>
      <c r="D645" s="32">
        <f>IF(J645="E",INDEX(Transaksi!$D$2:$D$2001,K645)&amp;"","")</f>
        <v/>
      </c>
      <c r="E645" s="33">
        <f>IF(J645="H",SUMIFS(Transaksi!$G$2:$G$2001,Transaksi!$M$2:$M$2001,"="&amp;S645)+SUMIFS(Transaksi!$H$2:$H$2001,Transaksi!$M$2:$M$2001,"="&amp;S645)+SUMIFS(Transaksi!$I$2:$I$2001,Transaksi!$M$2:$M$2001,"="&amp;S645),IF(J645="E",IF(INDEX(Transaksi!$G$2:$G$2001,K645)+INDEX(Transaksi!$H$2:$H$2001,K645)+INDEX(Transaksi!$I$2:$I$2001,K645)=0,"",INDEX(Transaksi!$G$2:$G$2001,K645)+INDEX(Transaksi!$H$2:$H$2001,K645)+INDEX(Transaksi!$I$2:$I$2001,K645)),""))</f>
        <v/>
      </c>
      <c r="F645" s="33">
        <f>IF(J645="H",SUMIFS(Transaksi!$J$2:$J$2001,Transaksi!$M$2:$M$2001,"="&amp;S645),IF(J645="E",IF(INDEX(Transaksi!$J$2:$J$2001,K645)=0,"",INDEX(Transaksi!$J$2:$J$2001,K645)),""))</f>
        <v/>
      </c>
      <c r="G645" s="33">
        <f>IF(J645="H",(SUMIFS(Transaksi!$G$2:$G$2001,Transaksi!$M$2:$M$2001,"&lt;="&amp;S645)+SUMIFS(Transaksi!$H$2:$H$2001,Transaksi!$M$2:$M$2001,"&lt;="&amp;S645)+SUMIFS(Transaksi!$I$2:$I$2001,Transaksi!$M$2:$M$2001,"&lt;="&amp;S645))-(SUMIFS(Transaksi!$J$2:$J$2001,Transaksi!$M$2:$M$2001,"&lt;="&amp;S645)),"")</f>
        <v/>
      </c>
      <c r="I645">
        <f>IF(642&gt;$O$2,"",MATCH(642,$Q$3:$Q$402,1))</f>
        <v/>
      </c>
      <c r="J645">
        <f>IF(I645="","",IF(642=INDEX($Q$3:$Q$402,I645),"H","E"))</f>
        <v/>
      </c>
      <c r="K645">
        <f>IF(J645&lt;&gt;"E","",MATCH(S645,Transaksi!$M$2:$M$2001,0)+642-INDEX($Q$3:$Q$402,I645)-1)</f>
        <v/>
      </c>
      <c r="S645">
        <f>IF(I645="","",INDEX($O$3:$O$402,I645))</f>
        <v/>
      </c>
      <c r="T645">
        <f>IF(J645&lt;&gt;"H","",INDEX(Transaksi!$A$2:$A$2001,MATCH(S645,Transaksi!$M$2:$M$2001,0)))</f>
        <v/>
      </c>
    </row>
    <row r="646">
      <c r="A646" s="31">
        <f>IF(J646="E",IF(INDEX(Transaksi!$J$2:$J$2001,K646)&gt;0,"↑","↓"),"")</f>
        <v/>
      </c>
      <c r="B646" s="32">
        <f>IF(J646="H",CHOOSE(WEEKDAY(T646,2),"Isnin","Selasa","Rabu","Khamis","Jumaat","Sabtu","Ahad")&amp;", "&amp;DAY(T646)&amp;" "&amp;CHOOSE(MONTH(T646),"Jan","Feb","Mac","Apr","Mei","Jun","Jul","Ogo","Sep","Okt","Nov","Dis")&amp;" "&amp;YEAR(T646),IF(J646="E",IF(INDEX(Transaksi!$B$2:$B$2001,K646)="",INDEX(Transaksi!$C$2:$C$2001,K646)&amp;" · "&amp;INDEX(Transaksi!$D$2:$D$2001,K646),INDEX(Transaksi!$B$2:$B$2001,K646)),""))</f>
        <v/>
      </c>
      <c r="C646" s="32">
        <f>IF(J646="E",INDEX(Transaksi!$C$2:$C$2001,K646)&amp;"","")</f>
        <v/>
      </c>
      <c r="D646" s="32">
        <f>IF(J646="E",INDEX(Transaksi!$D$2:$D$2001,K646)&amp;"","")</f>
        <v/>
      </c>
      <c r="E646" s="33">
        <f>IF(J646="H",SUMIFS(Transaksi!$G$2:$G$2001,Transaksi!$M$2:$M$2001,"="&amp;S646)+SUMIFS(Transaksi!$H$2:$H$2001,Transaksi!$M$2:$M$2001,"="&amp;S646)+SUMIFS(Transaksi!$I$2:$I$2001,Transaksi!$M$2:$M$2001,"="&amp;S646),IF(J646="E",IF(INDEX(Transaksi!$G$2:$G$2001,K646)+INDEX(Transaksi!$H$2:$H$2001,K646)+INDEX(Transaksi!$I$2:$I$2001,K646)=0,"",INDEX(Transaksi!$G$2:$G$2001,K646)+INDEX(Transaksi!$H$2:$H$2001,K646)+INDEX(Transaksi!$I$2:$I$2001,K646)),""))</f>
        <v/>
      </c>
      <c r="F646" s="33">
        <f>IF(J646="H",SUMIFS(Transaksi!$J$2:$J$2001,Transaksi!$M$2:$M$2001,"="&amp;S646),IF(J646="E",IF(INDEX(Transaksi!$J$2:$J$2001,K646)=0,"",INDEX(Transaksi!$J$2:$J$2001,K646)),""))</f>
        <v/>
      </c>
      <c r="G646" s="33">
        <f>IF(J646="H",(SUMIFS(Transaksi!$G$2:$G$2001,Transaksi!$M$2:$M$2001,"&lt;="&amp;S646)+SUMIFS(Transaksi!$H$2:$H$2001,Transaksi!$M$2:$M$2001,"&lt;="&amp;S646)+SUMIFS(Transaksi!$I$2:$I$2001,Transaksi!$M$2:$M$2001,"&lt;="&amp;S646))-(SUMIFS(Transaksi!$J$2:$J$2001,Transaksi!$M$2:$M$2001,"&lt;="&amp;S646)),"")</f>
        <v/>
      </c>
      <c r="I646">
        <f>IF(643&gt;$O$2,"",MATCH(643,$Q$3:$Q$402,1))</f>
        <v/>
      </c>
      <c r="J646">
        <f>IF(I646="","",IF(643=INDEX($Q$3:$Q$402,I646),"H","E"))</f>
        <v/>
      </c>
      <c r="K646">
        <f>IF(J646&lt;&gt;"E","",MATCH(S646,Transaksi!$M$2:$M$2001,0)+643-INDEX($Q$3:$Q$402,I646)-1)</f>
        <v/>
      </c>
      <c r="S646">
        <f>IF(I646="","",INDEX($O$3:$O$402,I646))</f>
        <v/>
      </c>
      <c r="T646">
        <f>IF(J646&lt;&gt;"H","",INDEX(Transaksi!$A$2:$A$2001,MATCH(S646,Transaksi!$M$2:$M$2001,0)))</f>
        <v/>
      </c>
    </row>
    <row r="647">
      <c r="A647" s="31">
        <f>IF(J647="E",IF(INDEX(Transaksi!$J$2:$J$2001,K647)&gt;0,"↑","↓"),"")</f>
        <v/>
      </c>
      <c r="B647" s="32">
        <f>IF(J647="H",CHOOSE(WEEKDAY(T647,2),"Isnin","Selasa","Rabu","Khamis","Jumaat","Sabtu","Ahad")&amp;", "&amp;DAY(T647)&amp;" "&amp;CHOOSE(MONTH(T647),"Jan","Feb","Mac","Apr","Mei","Jun","Jul","Ogo","Sep","Okt","Nov","Dis")&amp;" "&amp;YEAR(T647),IF(J647="E",IF(INDEX(Transaksi!$B$2:$B$2001,K647)="",INDEX(Transaksi!$C$2:$C$2001,K647)&amp;" · "&amp;INDEX(Transaksi!$D$2:$D$2001,K647),INDEX(Transaksi!$B$2:$B$2001,K647)),""))</f>
        <v/>
      </c>
      <c r="C647" s="32">
        <f>IF(J647="E",INDEX(Transaksi!$C$2:$C$2001,K647)&amp;"","")</f>
        <v/>
      </c>
      <c r="D647" s="32">
        <f>IF(J647="E",INDEX(Transaksi!$D$2:$D$2001,K647)&amp;"","")</f>
        <v/>
      </c>
      <c r="E647" s="33">
        <f>IF(J647="H",SUMIFS(Transaksi!$G$2:$G$2001,Transaksi!$M$2:$M$2001,"="&amp;S647)+SUMIFS(Transaksi!$H$2:$H$2001,Transaksi!$M$2:$M$2001,"="&amp;S647)+SUMIFS(Transaksi!$I$2:$I$2001,Transaksi!$M$2:$M$2001,"="&amp;S647),IF(J647="E",IF(INDEX(Transaksi!$G$2:$G$2001,K647)+INDEX(Transaksi!$H$2:$H$2001,K647)+INDEX(Transaksi!$I$2:$I$2001,K647)=0,"",INDEX(Transaksi!$G$2:$G$2001,K647)+INDEX(Transaksi!$H$2:$H$2001,K647)+INDEX(Transaksi!$I$2:$I$2001,K647)),""))</f>
        <v/>
      </c>
      <c r="F647" s="33">
        <f>IF(J647="H",SUMIFS(Transaksi!$J$2:$J$2001,Transaksi!$M$2:$M$2001,"="&amp;S647),IF(J647="E",IF(INDEX(Transaksi!$J$2:$J$2001,K647)=0,"",INDEX(Transaksi!$J$2:$J$2001,K647)),""))</f>
        <v/>
      </c>
      <c r="G647" s="33">
        <f>IF(J647="H",(SUMIFS(Transaksi!$G$2:$G$2001,Transaksi!$M$2:$M$2001,"&lt;="&amp;S647)+SUMIFS(Transaksi!$H$2:$H$2001,Transaksi!$M$2:$M$2001,"&lt;="&amp;S647)+SUMIFS(Transaksi!$I$2:$I$2001,Transaksi!$M$2:$M$2001,"&lt;="&amp;S647))-(SUMIFS(Transaksi!$J$2:$J$2001,Transaksi!$M$2:$M$2001,"&lt;="&amp;S647)),"")</f>
        <v/>
      </c>
      <c r="I647">
        <f>IF(644&gt;$O$2,"",MATCH(644,$Q$3:$Q$402,1))</f>
        <v/>
      </c>
      <c r="J647">
        <f>IF(I647="","",IF(644=INDEX($Q$3:$Q$402,I647),"H","E"))</f>
        <v/>
      </c>
      <c r="K647">
        <f>IF(J647&lt;&gt;"E","",MATCH(S647,Transaksi!$M$2:$M$2001,0)+644-INDEX($Q$3:$Q$402,I647)-1)</f>
        <v/>
      </c>
      <c r="S647">
        <f>IF(I647="","",INDEX($O$3:$O$402,I647))</f>
        <v/>
      </c>
      <c r="T647">
        <f>IF(J647&lt;&gt;"H","",INDEX(Transaksi!$A$2:$A$2001,MATCH(S647,Transaksi!$M$2:$M$2001,0)))</f>
        <v/>
      </c>
    </row>
    <row r="648">
      <c r="A648" s="31">
        <f>IF(J648="E",IF(INDEX(Transaksi!$J$2:$J$2001,K648)&gt;0,"↑","↓"),"")</f>
        <v/>
      </c>
      <c r="B648" s="32">
        <f>IF(J648="H",CHOOSE(WEEKDAY(T648,2),"Isnin","Selasa","Rabu","Khamis","Jumaat","Sabtu","Ahad")&amp;", "&amp;DAY(T648)&amp;" "&amp;CHOOSE(MONTH(T648),"Jan","Feb","Mac","Apr","Mei","Jun","Jul","Ogo","Sep","Okt","Nov","Dis")&amp;" "&amp;YEAR(T648),IF(J648="E",IF(INDEX(Transaksi!$B$2:$B$2001,K648)="",INDEX(Transaksi!$C$2:$C$2001,K648)&amp;" · "&amp;INDEX(Transaksi!$D$2:$D$2001,K648),INDEX(Transaksi!$B$2:$B$2001,K648)),""))</f>
        <v/>
      </c>
      <c r="C648" s="32">
        <f>IF(J648="E",INDEX(Transaksi!$C$2:$C$2001,K648)&amp;"","")</f>
        <v/>
      </c>
      <c r="D648" s="32">
        <f>IF(J648="E",INDEX(Transaksi!$D$2:$D$2001,K648)&amp;"","")</f>
        <v/>
      </c>
      <c r="E648" s="33">
        <f>IF(J648="H",SUMIFS(Transaksi!$G$2:$G$2001,Transaksi!$M$2:$M$2001,"="&amp;S648)+SUMIFS(Transaksi!$H$2:$H$2001,Transaksi!$M$2:$M$2001,"="&amp;S648)+SUMIFS(Transaksi!$I$2:$I$2001,Transaksi!$M$2:$M$2001,"="&amp;S648),IF(J648="E",IF(INDEX(Transaksi!$G$2:$G$2001,K648)+INDEX(Transaksi!$H$2:$H$2001,K648)+INDEX(Transaksi!$I$2:$I$2001,K648)=0,"",INDEX(Transaksi!$G$2:$G$2001,K648)+INDEX(Transaksi!$H$2:$H$2001,K648)+INDEX(Transaksi!$I$2:$I$2001,K648)),""))</f>
        <v/>
      </c>
      <c r="F648" s="33">
        <f>IF(J648="H",SUMIFS(Transaksi!$J$2:$J$2001,Transaksi!$M$2:$M$2001,"="&amp;S648),IF(J648="E",IF(INDEX(Transaksi!$J$2:$J$2001,K648)=0,"",INDEX(Transaksi!$J$2:$J$2001,K648)),""))</f>
        <v/>
      </c>
      <c r="G648" s="33">
        <f>IF(J648="H",(SUMIFS(Transaksi!$G$2:$G$2001,Transaksi!$M$2:$M$2001,"&lt;="&amp;S648)+SUMIFS(Transaksi!$H$2:$H$2001,Transaksi!$M$2:$M$2001,"&lt;="&amp;S648)+SUMIFS(Transaksi!$I$2:$I$2001,Transaksi!$M$2:$M$2001,"&lt;="&amp;S648))-(SUMIFS(Transaksi!$J$2:$J$2001,Transaksi!$M$2:$M$2001,"&lt;="&amp;S648)),"")</f>
        <v/>
      </c>
      <c r="I648">
        <f>IF(645&gt;$O$2,"",MATCH(645,$Q$3:$Q$402,1))</f>
        <v/>
      </c>
      <c r="J648">
        <f>IF(I648="","",IF(645=INDEX($Q$3:$Q$402,I648),"H","E"))</f>
        <v/>
      </c>
      <c r="K648">
        <f>IF(J648&lt;&gt;"E","",MATCH(S648,Transaksi!$M$2:$M$2001,0)+645-INDEX($Q$3:$Q$402,I648)-1)</f>
        <v/>
      </c>
      <c r="S648">
        <f>IF(I648="","",INDEX($O$3:$O$402,I648))</f>
        <v/>
      </c>
      <c r="T648">
        <f>IF(J648&lt;&gt;"H","",INDEX(Transaksi!$A$2:$A$2001,MATCH(S648,Transaksi!$M$2:$M$2001,0)))</f>
        <v/>
      </c>
    </row>
    <row r="649">
      <c r="A649" s="31">
        <f>IF(J649="E",IF(INDEX(Transaksi!$J$2:$J$2001,K649)&gt;0,"↑","↓"),"")</f>
        <v/>
      </c>
      <c r="B649" s="32">
        <f>IF(J649="H",CHOOSE(WEEKDAY(T649,2),"Isnin","Selasa","Rabu","Khamis","Jumaat","Sabtu","Ahad")&amp;", "&amp;DAY(T649)&amp;" "&amp;CHOOSE(MONTH(T649),"Jan","Feb","Mac","Apr","Mei","Jun","Jul","Ogo","Sep","Okt","Nov","Dis")&amp;" "&amp;YEAR(T649),IF(J649="E",IF(INDEX(Transaksi!$B$2:$B$2001,K649)="",INDEX(Transaksi!$C$2:$C$2001,K649)&amp;" · "&amp;INDEX(Transaksi!$D$2:$D$2001,K649),INDEX(Transaksi!$B$2:$B$2001,K649)),""))</f>
        <v/>
      </c>
      <c r="C649" s="32">
        <f>IF(J649="E",INDEX(Transaksi!$C$2:$C$2001,K649)&amp;"","")</f>
        <v/>
      </c>
      <c r="D649" s="32">
        <f>IF(J649="E",INDEX(Transaksi!$D$2:$D$2001,K649)&amp;"","")</f>
        <v/>
      </c>
      <c r="E649" s="33">
        <f>IF(J649="H",SUMIFS(Transaksi!$G$2:$G$2001,Transaksi!$M$2:$M$2001,"="&amp;S649)+SUMIFS(Transaksi!$H$2:$H$2001,Transaksi!$M$2:$M$2001,"="&amp;S649)+SUMIFS(Transaksi!$I$2:$I$2001,Transaksi!$M$2:$M$2001,"="&amp;S649),IF(J649="E",IF(INDEX(Transaksi!$G$2:$G$2001,K649)+INDEX(Transaksi!$H$2:$H$2001,K649)+INDEX(Transaksi!$I$2:$I$2001,K649)=0,"",INDEX(Transaksi!$G$2:$G$2001,K649)+INDEX(Transaksi!$H$2:$H$2001,K649)+INDEX(Transaksi!$I$2:$I$2001,K649)),""))</f>
        <v/>
      </c>
      <c r="F649" s="33">
        <f>IF(J649="H",SUMIFS(Transaksi!$J$2:$J$2001,Transaksi!$M$2:$M$2001,"="&amp;S649),IF(J649="E",IF(INDEX(Transaksi!$J$2:$J$2001,K649)=0,"",INDEX(Transaksi!$J$2:$J$2001,K649)),""))</f>
        <v/>
      </c>
      <c r="G649" s="33">
        <f>IF(J649="H",(SUMIFS(Transaksi!$G$2:$G$2001,Transaksi!$M$2:$M$2001,"&lt;="&amp;S649)+SUMIFS(Transaksi!$H$2:$H$2001,Transaksi!$M$2:$M$2001,"&lt;="&amp;S649)+SUMIFS(Transaksi!$I$2:$I$2001,Transaksi!$M$2:$M$2001,"&lt;="&amp;S649))-(SUMIFS(Transaksi!$J$2:$J$2001,Transaksi!$M$2:$M$2001,"&lt;="&amp;S649)),"")</f>
        <v/>
      </c>
      <c r="I649">
        <f>IF(646&gt;$O$2,"",MATCH(646,$Q$3:$Q$402,1))</f>
        <v/>
      </c>
      <c r="J649">
        <f>IF(I649="","",IF(646=INDEX($Q$3:$Q$402,I649),"H","E"))</f>
        <v/>
      </c>
      <c r="K649">
        <f>IF(J649&lt;&gt;"E","",MATCH(S649,Transaksi!$M$2:$M$2001,0)+646-INDEX($Q$3:$Q$402,I649)-1)</f>
        <v/>
      </c>
      <c r="S649">
        <f>IF(I649="","",INDEX($O$3:$O$402,I649))</f>
        <v/>
      </c>
      <c r="T649">
        <f>IF(J649&lt;&gt;"H","",INDEX(Transaksi!$A$2:$A$2001,MATCH(S649,Transaksi!$M$2:$M$2001,0)))</f>
        <v/>
      </c>
    </row>
    <row r="650">
      <c r="A650" s="31">
        <f>IF(J650="E",IF(INDEX(Transaksi!$J$2:$J$2001,K650)&gt;0,"↑","↓"),"")</f>
        <v/>
      </c>
      <c r="B650" s="32">
        <f>IF(J650="H",CHOOSE(WEEKDAY(T650,2),"Isnin","Selasa","Rabu","Khamis","Jumaat","Sabtu","Ahad")&amp;", "&amp;DAY(T650)&amp;" "&amp;CHOOSE(MONTH(T650),"Jan","Feb","Mac","Apr","Mei","Jun","Jul","Ogo","Sep","Okt","Nov","Dis")&amp;" "&amp;YEAR(T650),IF(J650="E",IF(INDEX(Transaksi!$B$2:$B$2001,K650)="",INDEX(Transaksi!$C$2:$C$2001,K650)&amp;" · "&amp;INDEX(Transaksi!$D$2:$D$2001,K650),INDEX(Transaksi!$B$2:$B$2001,K650)),""))</f>
        <v/>
      </c>
      <c r="C650" s="32">
        <f>IF(J650="E",INDEX(Transaksi!$C$2:$C$2001,K650)&amp;"","")</f>
        <v/>
      </c>
      <c r="D650" s="32">
        <f>IF(J650="E",INDEX(Transaksi!$D$2:$D$2001,K650)&amp;"","")</f>
        <v/>
      </c>
      <c r="E650" s="33">
        <f>IF(J650="H",SUMIFS(Transaksi!$G$2:$G$2001,Transaksi!$M$2:$M$2001,"="&amp;S650)+SUMIFS(Transaksi!$H$2:$H$2001,Transaksi!$M$2:$M$2001,"="&amp;S650)+SUMIFS(Transaksi!$I$2:$I$2001,Transaksi!$M$2:$M$2001,"="&amp;S650),IF(J650="E",IF(INDEX(Transaksi!$G$2:$G$2001,K650)+INDEX(Transaksi!$H$2:$H$2001,K650)+INDEX(Transaksi!$I$2:$I$2001,K650)=0,"",INDEX(Transaksi!$G$2:$G$2001,K650)+INDEX(Transaksi!$H$2:$H$2001,K650)+INDEX(Transaksi!$I$2:$I$2001,K650)),""))</f>
        <v/>
      </c>
      <c r="F650" s="33">
        <f>IF(J650="H",SUMIFS(Transaksi!$J$2:$J$2001,Transaksi!$M$2:$M$2001,"="&amp;S650),IF(J650="E",IF(INDEX(Transaksi!$J$2:$J$2001,K650)=0,"",INDEX(Transaksi!$J$2:$J$2001,K650)),""))</f>
        <v/>
      </c>
      <c r="G650" s="33">
        <f>IF(J650="H",(SUMIFS(Transaksi!$G$2:$G$2001,Transaksi!$M$2:$M$2001,"&lt;="&amp;S650)+SUMIFS(Transaksi!$H$2:$H$2001,Transaksi!$M$2:$M$2001,"&lt;="&amp;S650)+SUMIFS(Transaksi!$I$2:$I$2001,Transaksi!$M$2:$M$2001,"&lt;="&amp;S650))-(SUMIFS(Transaksi!$J$2:$J$2001,Transaksi!$M$2:$M$2001,"&lt;="&amp;S650)),"")</f>
        <v/>
      </c>
      <c r="I650">
        <f>IF(647&gt;$O$2,"",MATCH(647,$Q$3:$Q$402,1))</f>
        <v/>
      </c>
      <c r="J650">
        <f>IF(I650="","",IF(647=INDEX($Q$3:$Q$402,I650),"H","E"))</f>
        <v/>
      </c>
      <c r="K650">
        <f>IF(J650&lt;&gt;"E","",MATCH(S650,Transaksi!$M$2:$M$2001,0)+647-INDEX($Q$3:$Q$402,I650)-1)</f>
        <v/>
      </c>
      <c r="S650">
        <f>IF(I650="","",INDEX($O$3:$O$402,I650))</f>
        <v/>
      </c>
      <c r="T650">
        <f>IF(J650&lt;&gt;"H","",INDEX(Transaksi!$A$2:$A$2001,MATCH(S650,Transaksi!$M$2:$M$2001,0)))</f>
        <v/>
      </c>
    </row>
    <row r="651">
      <c r="A651" s="31">
        <f>IF(J651="E",IF(INDEX(Transaksi!$J$2:$J$2001,K651)&gt;0,"↑","↓"),"")</f>
        <v/>
      </c>
      <c r="B651" s="32">
        <f>IF(J651="H",CHOOSE(WEEKDAY(T651,2),"Isnin","Selasa","Rabu","Khamis","Jumaat","Sabtu","Ahad")&amp;", "&amp;DAY(T651)&amp;" "&amp;CHOOSE(MONTH(T651),"Jan","Feb","Mac","Apr","Mei","Jun","Jul","Ogo","Sep","Okt","Nov","Dis")&amp;" "&amp;YEAR(T651),IF(J651="E",IF(INDEX(Transaksi!$B$2:$B$2001,K651)="",INDEX(Transaksi!$C$2:$C$2001,K651)&amp;" · "&amp;INDEX(Transaksi!$D$2:$D$2001,K651),INDEX(Transaksi!$B$2:$B$2001,K651)),""))</f>
        <v/>
      </c>
      <c r="C651" s="32">
        <f>IF(J651="E",INDEX(Transaksi!$C$2:$C$2001,K651)&amp;"","")</f>
        <v/>
      </c>
      <c r="D651" s="32">
        <f>IF(J651="E",INDEX(Transaksi!$D$2:$D$2001,K651)&amp;"","")</f>
        <v/>
      </c>
      <c r="E651" s="33">
        <f>IF(J651="H",SUMIFS(Transaksi!$G$2:$G$2001,Transaksi!$M$2:$M$2001,"="&amp;S651)+SUMIFS(Transaksi!$H$2:$H$2001,Transaksi!$M$2:$M$2001,"="&amp;S651)+SUMIFS(Transaksi!$I$2:$I$2001,Transaksi!$M$2:$M$2001,"="&amp;S651),IF(J651="E",IF(INDEX(Transaksi!$G$2:$G$2001,K651)+INDEX(Transaksi!$H$2:$H$2001,K651)+INDEX(Transaksi!$I$2:$I$2001,K651)=0,"",INDEX(Transaksi!$G$2:$G$2001,K651)+INDEX(Transaksi!$H$2:$H$2001,K651)+INDEX(Transaksi!$I$2:$I$2001,K651)),""))</f>
        <v/>
      </c>
      <c r="F651" s="33">
        <f>IF(J651="H",SUMIFS(Transaksi!$J$2:$J$2001,Transaksi!$M$2:$M$2001,"="&amp;S651),IF(J651="E",IF(INDEX(Transaksi!$J$2:$J$2001,K651)=0,"",INDEX(Transaksi!$J$2:$J$2001,K651)),""))</f>
        <v/>
      </c>
      <c r="G651" s="33">
        <f>IF(J651="H",(SUMIFS(Transaksi!$G$2:$G$2001,Transaksi!$M$2:$M$2001,"&lt;="&amp;S651)+SUMIFS(Transaksi!$H$2:$H$2001,Transaksi!$M$2:$M$2001,"&lt;="&amp;S651)+SUMIFS(Transaksi!$I$2:$I$2001,Transaksi!$M$2:$M$2001,"&lt;="&amp;S651))-(SUMIFS(Transaksi!$J$2:$J$2001,Transaksi!$M$2:$M$2001,"&lt;="&amp;S651)),"")</f>
        <v/>
      </c>
      <c r="I651">
        <f>IF(648&gt;$O$2,"",MATCH(648,$Q$3:$Q$402,1))</f>
        <v/>
      </c>
      <c r="J651">
        <f>IF(I651="","",IF(648=INDEX($Q$3:$Q$402,I651),"H","E"))</f>
        <v/>
      </c>
      <c r="K651">
        <f>IF(J651&lt;&gt;"E","",MATCH(S651,Transaksi!$M$2:$M$2001,0)+648-INDEX($Q$3:$Q$402,I651)-1)</f>
        <v/>
      </c>
      <c r="S651">
        <f>IF(I651="","",INDEX($O$3:$O$402,I651))</f>
        <v/>
      </c>
      <c r="T651">
        <f>IF(J651&lt;&gt;"H","",INDEX(Transaksi!$A$2:$A$2001,MATCH(S651,Transaksi!$M$2:$M$2001,0)))</f>
        <v/>
      </c>
    </row>
    <row r="652">
      <c r="A652" s="31">
        <f>IF(J652="E",IF(INDEX(Transaksi!$J$2:$J$2001,K652)&gt;0,"↑","↓"),"")</f>
        <v/>
      </c>
      <c r="B652" s="32">
        <f>IF(J652="H",CHOOSE(WEEKDAY(T652,2),"Isnin","Selasa","Rabu","Khamis","Jumaat","Sabtu","Ahad")&amp;", "&amp;DAY(T652)&amp;" "&amp;CHOOSE(MONTH(T652),"Jan","Feb","Mac","Apr","Mei","Jun","Jul","Ogo","Sep","Okt","Nov","Dis")&amp;" "&amp;YEAR(T652),IF(J652="E",IF(INDEX(Transaksi!$B$2:$B$2001,K652)="",INDEX(Transaksi!$C$2:$C$2001,K652)&amp;" · "&amp;INDEX(Transaksi!$D$2:$D$2001,K652),INDEX(Transaksi!$B$2:$B$2001,K652)),""))</f>
        <v/>
      </c>
      <c r="C652" s="32">
        <f>IF(J652="E",INDEX(Transaksi!$C$2:$C$2001,K652)&amp;"","")</f>
        <v/>
      </c>
      <c r="D652" s="32">
        <f>IF(J652="E",INDEX(Transaksi!$D$2:$D$2001,K652)&amp;"","")</f>
        <v/>
      </c>
      <c r="E652" s="33">
        <f>IF(J652="H",SUMIFS(Transaksi!$G$2:$G$2001,Transaksi!$M$2:$M$2001,"="&amp;S652)+SUMIFS(Transaksi!$H$2:$H$2001,Transaksi!$M$2:$M$2001,"="&amp;S652)+SUMIFS(Transaksi!$I$2:$I$2001,Transaksi!$M$2:$M$2001,"="&amp;S652),IF(J652="E",IF(INDEX(Transaksi!$G$2:$G$2001,K652)+INDEX(Transaksi!$H$2:$H$2001,K652)+INDEX(Transaksi!$I$2:$I$2001,K652)=0,"",INDEX(Transaksi!$G$2:$G$2001,K652)+INDEX(Transaksi!$H$2:$H$2001,K652)+INDEX(Transaksi!$I$2:$I$2001,K652)),""))</f>
        <v/>
      </c>
      <c r="F652" s="33">
        <f>IF(J652="H",SUMIFS(Transaksi!$J$2:$J$2001,Transaksi!$M$2:$M$2001,"="&amp;S652),IF(J652="E",IF(INDEX(Transaksi!$J$2:$J$2001,K652)=0,"",INDEX(Transaksi!$J$2:$J$2001,K652)),""))</f>
        <v/>
      </c>
      <c r="G652" s="33">
        <f>IF(J652="H",(SUMIFS(Transaksi!$G$2:$G$2001,Transaksi!$M$2:$M$2001,"&lt;="&amp;S652)+SUMIFS(Transaksi!$H$2:$H$2001,Transaksi!$M$2:$M$2001,"&lt;="&amp;S652)+SUMIFS(Transaksi!$I$2:$I$2001,Transaksi!$M$2:$M$2001,"&lt;="&amp;S652))-(SUMIFS(Transaksi!$J$2:$J$2001,Transaksi!$M$2:$M$2001,"&lt;="&amp;S652)),"")</f>
        <v/>
      </c>
      <c r="I652">
        <f>IF(649&gt;$O$2,"",MATCH(649,$Q$3:$Q$402,1))</f>
        <v/>
      </c>
      <c r="J652">
        <f>IF(I652="","",IF(649=INDEX($Q$3:$Q$402,I652),"H","E"))</f>
        <v/>
      </c>
      <c r="K652">
        <f>IF(J652&lt;&gt;"E","",MATCH(S652,Transaksi!$M$2:$M$2001,0)+649-INDEX($Q$3:$Q$402,I652)-1)</f>
        <v/>
      </c>
      <c r="S652">
        <f>IF(I652="","",INDEX($O$3:$O$402,I652))</f>
        <v/>
      </c>
      <c r="T652">
        <f>IF(J652&lt;&gt;"H","",INDEX(Transaksi!$A$2:$A$2001,MATCH(S652,Transaksi!$M$2:$M$2001,0)))</f>
        <v/>
      </c>
    </row>
    <row r="653">
      <c r="A653" s="31">
        <f>IF(J653="E",IF(INDEX(Transaksi!$J$2:$J$2001,K653)&gt;0,"↑","↓"),"")</f>
        <v/>
      </c>
      <c r="B653" s="32">
        <f>IF(J653="H",CHOOSE(WEEKDAY(T653,2),"Isnin","Selasa","Rabu","Khamis","Jumaat","Sabtu","Ahad")&amp;", "&amp;DAY(T653)&amp;" "&amp;CHOOSE(MONTH(T653),"Jan","Feb","Mac","Apr","Mei","Jun","Jul","Ogo","Sep","Okt","Nov","Dis")&amp;" "&amp;YEAR(T653),IF(J653="E",IF(INDEX(Transaksi!$B$2:$B$2001,K653)="",INDEX(Transaksi!$C$2:$C$2001,K653)&amp;" · "&amp;INDEX(Transaksi!$D$2:$D$2001,K653),INDEX(Transaksi!$B$2:$B$2001,K653)),""))</f>
        <v/>
      </c>
      <c r="C653" s="32">
        <f>IF(J653="E",INDEX(Transaksi!$C$2:$C$2001,K653)&amp;"","")</f>
        <v/>
      </c>
      <c r="D653" s="32">
        <f>IF(J653="E",INDEX(Transaksi!$D$2:$D$2001,K653)&amp;"","")</f>
        <v/>
      </c>
      <c r="E653" s="33">
        <f>IF(J653="H",SUMIFS(Transaksi!$G$2:$G$2001,Transaksi!$M$2:$M$2001,"="&amp;S653)+SUMIFS(Transaksi!$H$2:$H$2001,Transaksi!$M$2:$M$2001,"="&amp;S653)+SUMIFS(Transaksi!$I$2:$I$2001,Transaksi!$M$2:$M$2001,"="&amp;S653),IF(J653="E",IF(INDEX(Transaksi!$G$2:$G$2001,K653)+INDEX(Transaksi!$H$2:$H$2001,K653)+INDEX(Transaksi!$I$2:$I$2001,K653)=0,"",INDEX(Transaksi!$G$2:$G$2001,K653)+INDEX(Transaksi!$H$2:$H$2001,K653)+INDEX(Transaksi!$I$2:$I$2001,K653)),""))</f>
        <v/>
      </c>
      <c r="F653" s="33">
        <f>IF(J653="H",SUMIFS(Transaksi!$J$2:$J$2001,Transaksi!$M$2:$M$2001,"="&amp;S653),IF(J653="E",IF(INDEX(Transaksi!$J$2:$J$2001,K653)=0,"",INDEX(Transaksi!$J$2:$J$2001,K653)),""))</f>
        <v/>
      </c>
      <c r="G653" s="33">
        <f>IF(J653="H",(SUMIFS(Transaksi!$G$2:$G$2001,Transaksi!$M$2:$M$2001,"&lt;="&amp;S653)+SUMIFS(Transaksi!$H$2:$H$2001,Transaksi!$M$2:$M$2001,"&lt;="&amp;S653)+SUMIFS(Transaksi!$I$2:$I$2001,Transaksi!$M$2:$M$2001,"&lt;="&amp;S653))-(SUMIFS(Transaksi!$J$2:$J$2001,Transaksi!$M$2:$M$2001,"&lt;="&amp;S653)),"")</f>
        <v/>
      </c>
      <c r="I653">
        <f>IF(650&gt;$O$2,"",MATCH(650,$Q$3:$Q$402,1))</f>
        <v/>
      </c>
      <c r="J653">
        <f>IF(I653="","",IF(650=INDEX($Q$3:$Q$402,I653),"H","E"))</f>
        <v/>
      </c>
      <c r="K653">
        <f>IF(J653&lt;&gt;"E","",MATCH(S653,Transaksi!$M$2:$M$2001,0)+650-INDEX($Q$3:$Q$402,I653)-1)</f>
        <v/>
      </c>
      <c r="S653">
        <f>IF(I653="","",INDEX($O$3:$O$402,I653))</f>
        <v/>
      </c>
      <c r="T653">
        <f>IF(J653&lt;&gt;"H","",INDEX(Transaksi!$A$2:$A$2001,MATCH(S653,Transaksi!$M$2:$M$2001,0)))</f>
        <v/>
      </c>
    </row>
    <row r="654">
      <c r="A654" s="31">
        <f>IF(J654="E",IF(INDEX(Transaksi!$J$2:$J$2001,K654)&gt;0,"↑","↓"),"")</f>
        <v/>
      </c>
      <c r="B654" s="32">
        <f>IF(J654="H",CHOOSE(WEEKDAY(T654,2),"Isnin","Selasa","Rabu","Khamis","Jumaat","Sabtu","Ahad")&amp;", "&amp;DAY(T654)&amp;" "&amp;CHOOSE(MONTH(T654),"Jan","Feb","Mac","Apr","Mei","Jun","Jul","Ogo","Sep","Okt","Nov","Dis")&amp;" "&amp;YEAR(T654),IF(J654="E",IF(INDEX(Transaksi!$B$2:$B$2001,K654)="",INDEX(Transaksi!$C$2:$C$2001,K654)&amp;" · "&amp;INDEX(Transaksi!$D$2:$D$2001,K654),INDEX(Transaksi!$B$2:$B$2001,K654)),""))</f>
        <v/>
      </c>
      <c r="C654" s="32">
        <f>IF(J654="E",INDEX(Transaksi!$C$2:$C$2001,K654)&amp;"","")</f>
        <v/>
      </c>
      <c r="D654" s="32">
        <f>IF(J654="E",INDEX(Transaksi!$D$2:$D$2001,K654)&amp;"","")</f>
        <v/>
      </c>
      <c r="E654" s="33">
        <f>IF(J654="H",SUMIFS(Transaksi!$G$2:$G$2001,Transaksi!$M$2:$M$2001,"="&amp;S654)+SUMIFS(Transaksi!$H$2:$H$2001,Transaksi!$M$2:$M$2001,"="&amp;S654)+SUMIFS(Transaksi!$I$2:$I$2001,Transaksi!$M$2:$M$2001,"="&amp;S654),IF(J654="E",IF(INDEX(Transaksi!$G$2:$G$2001,K654)+INDEX(Transaksi!$H$2:$H$2001,K654)+INDEX(Transaksi!$I$2:$I$2001,K654)=0,"",INDEX(Transaksi!$G$2:$G$2001,K654)+INDEX(Transaksi!$H$2:$H$2001,K654)+INDEX(Transaksi!$I$2:$I$2001,K654)),""))</f>
        <v/>
      </c>
      <c r="F654" s="33">
        <f>IF(J654="H",SUMIFS(Transaksi!$J$2:$J$2001,Transaksi!$M$2:$M$2001,"="&amp;S654),IF(J654="E",IF(INDEX(Transaksi!$J$2:$J$2001,K654)=0,"",INDEX(Transaksi!$J$2:$J$2001,K654)),""))</f>
        <v/>
      </c>
      <c r="G654" s="33">
        <f>IF(J654="H",(SUMIFS(Transaksi!$G$2:$G$2001,Transaksi!$M$2:$M$2001,"&lt;="&amp;S654)+SUMIFS(Transaksi!$H$2:$H$2001,Transaksi!$M$2:$M$2001,"&lt;="&amp;S654)+SUMIFS(Transaksi!$I$2:$I$2001,Transaksi!$M$2:$M$2001,"&lt;="&amp;S654))-(SUMIFS(Transaksi!$J$2:$J$2001,Transaksi!$M$2:$M$2001,"&lt;="&amp;S654)),"")</f>
        <v/>
      </c>
      <c r="I654">
        <f>IF(651&gt;$O$2,"",MATCH(651,$Q$3:$Q$402,1))</f>
        <v/>
      </c>
      <c r="J654">
        <f>IF(I654="","",IF(651=INDEX($Q$3:$Q$402,I654),"H","E"))</f>
        <v/>
      </c>
      <c r="K654">
        <f>IF(J654&lt;&gt;"E","",MATCH(S654,Transaksi!$M$2:$M$2001,0)+651-INDEX($Q$3:$Q$402,I654)-1)</f>
        <v/>
      </c>
      <c r="S654">
        <f>IF(I654="","",INDEX($O$3:$O$402,I654))</f>
        <v/>
      </c>
      <c r="T654">
        <f>IF(J654&lt;&gt;"H","",INDEX(Transaksi!$A$2:$A$2001,MATCH(S654,Transaksi!$M$2:$M$2001,0)))</f>
        <v/>
      </c>
    </row>
    <row r="655">
      <c r="A655" s="31">
        <f>IF(J655="E",IF(INDEX(Transaksi!$J$2:$J$2001,K655)&gt;0,"↑","↓"),"")</f>
        <v/>
      </c>
      <c r="B655" s="32">
        <f>IF(J655="H",CHOOSE(WEEKDAY(T655,2),"Isnin","Selasa","Rabu","Khamis","Jumaat","Sabtu","Ahad")&amp;", "&amp;DAY(T655)&amp;" "&amp;CHOOSE(MONTH(T655),"Jan","Feb","Mac","Apr","Mei","Jun","Jul","Ogo","Sep","Okt","Nov","Dis")&amp;" "&amp;YEAR(T655),IF(J655="E",IF(INDEX(Transaksi!$B$2:$B$2001,K655)="",INDEX(Transaksi!$C$2:$C$2001,K655)&amp;" · "&amp;INDEX(Transaksi!$D$2:$D$2001,K655),INDEX(Transaksi!$B$2:$B$2001,K655)),""))</f>
        <v/>
      </c>
      <c r="C655" s="32">
        <f>IF(J655="E",INDEX(Transaksi!$C$2:$C$2001,K655)&amp;"","")</f>
        <v/>
      </c>
      <c r="D655" s="32">
        <f>IF(J655="E",INDEX(Transaksi!$D$2:$D$2001,K655)&amp;"","")</f>
        <v/>
      </c>
      <c r="E655" s="33">
        <f>IF(J655="H",SUMIFS(Transaksi!$G$2:$G$2001,Transaksi!$M$2:$M$2001,"="&amp;S655)+SUMIFS(Transaksi!$H$2:$H$2001,Transaksi!$M$2:$M$2001,"="&amp;S655)+SUMIFS(Transaksi!$I$2:$I$2001,Transaksi!$M$2:$M$2001,"="&amp;S655),IF(J655="E",IF(INDEX(Transaksi!$G$2:$G$2001,K655)+INDEX(Transaksi!$H$2:$H$2001,K655)+INDEX(Transaksi!$I$2:$I$2001,K655)=0,"",INDEX(Transaksi!$G$2:$G$2001,K655)+INDEX(Transaksi!$H$2:$H$2001,K655)+INDEX(Transaksi!$I$2:$I$2001,K655)),""))</f>
        <v/>
      </c>
      <c r="F655" s="33">
        <f>IF(J655="H",SUMIFS(Transaksi!$J$2:$J$2001,Transaksi!$M$2:$M$2001,"="&amp;S655),IF(J655="E",IF(INDEX(Transaksi!$J$2:$J$2001,K655)=0,"",INDEX(Transaksi!$J$2:$J$2001,K655)),""))</f>
        <v/>
      </c>
      <c r="G655" s="33">
        <f>IF(J655="H",(SUMIFS(Transaksi!$G$2:$G$2001,Transaksi!$M$2:$M$2001,"&lt;="&amp;S655)+SUMIFS(Transaksi!$H$2:$H$2001,Transaksi!$M$2:$M$2001,"&lt;="&amp;S655)+SUMIFS(Transaksi!$I$2:$I$2001,Transaksi!$M$2:$M$2001,"&lt;="&amp;S655))-(SUMIFS(Transaksi!$J$2:$J$2001,Transaksi!$M$2:$M$2001,"&lt;="&amp;S655)),"")</f>
        <v/>
      </c>
      <c r="I655">
        <f>IF(652&gt;$O$2,"",MATCH(652,$Q$3:$Q$402,1))</f>
        <v/>
      </c>
      <c r="J655">
        <f>IF(I655="","",IF(652=INDEX($Q$3:$Q$402,I655),"H","E"))</f>
        <v/>
      </c>
      <c r="K655">
        <f>IF(J655&lt;&gt;"E","",MATCH(S655,Transaksi!$M$2:$M$2001,0)+652-INDEX($Q$3:$Q$402,I655)-1)</f>
        <v/>
      </c>
      <c r="S655">
        <f>IF(I655="","",INDEX($O$3:$O$402,I655))</f>
        <v/>
      </c>
      <c r="T655">
        <f>IF(J655&lt;&gt;"H","",INDEX(Transaksi!$A$2:$A$2001,MATCH(S655,Transaksi!$M$2:$M$2001,0)))</f>
        <v/>
      </c>
    </row>
    <row r="656">
      <c r="A656" s="31">
        <f>IF(J656="E",IF(INDEX(Transaksi!$J$2:$J$2001,K656)&gt;0,"↑","↓"),"")</f>
        <v/>
      </c>
      <c r="B656" s="32">
        <f>IF(J656="H",CHOOSE(WEEKDAY(T656,2),"Isnin","Selasa","Rabu","Khamis","Jumaat","Sabtu","Ahad")&amp;", "&amp;DAY(T656)&amp;" "&amp;CHOOSE(MONTH(T656),"Jan","Feb","Mac","Apr","Mei","Jun","Jul","Ogo","Sep","Okt","Nov","Dis")&amp;" "&amp;YEAR(T656),IF(J656="E",IF(INDEX(Transaksi!$B$2:$B$2001,K656)="",INDEX(Transaksi!$C$2:$C$2001,K656)&amp;" · "&amp;INDEX(Transaksi!$D$2:$D$2001,K656),INDEX(Transaksi!$B$2:$B$2001,K656)),""))</f>
        <v/>
      </c>
      <c r="C656" s="32">
        <f>IF(J656="E",INDEX(Transaksi!$C$2:$C$2001,K656)&amp;"","")</f>
        <v/>
      </c>
      <c r="D656" s="32">
        <f>IF(J656="E",INDEX(Transaksi!$D$2:$D$2001,K656)&amp;"","")</f>
        <v/>
      </c>
      <c r="E656" s="33">
        <f>IF(J656="H",SUMIFS(Transaksi!$G$2:$G$2001,Transaksi!$M$2:$M$2001,"="&amp;S656)+SUMIFS(Transaksi!$H$2:$H$2001,Transaksi!$M$2:$M$2001,"="&amp;S656)+SUMIFS(Transaksi!$I$2:$I$2001,Transaksi!$M$2:$M$2001,"="&amp;S656),IF(J656="E",IF(INDEX(Transaksi!$G$2:$G$2001,K656)+INDEX(Transaksi!$H$2:$H$2001,K656)+INDEX(Transaksi!$I$2:$I$2001,K656)=0,"",INDEX(Transaksi!$G$2:$G$2001,K656)+INDEX(Transaksi!$H$2:$H$2001,K656)+INDEX(Transaksi!$I$2:$I$2001,K656)),""))</f>
        <v/>
      </c>
      <c r="F656" s="33">
        <f>IF(J656="H",SUMIFS(Transaksi!$J$2:$J$2001,Transaksi!$M$2:$M$2001,"="&amp;S656),IF(J656="E",IF(INDEX(Transaksi!$J$2:$J$2001,K656)=0,"",INDEX(Transaksi!$J$2:$J$2001,K656)),""))</f>
        <v/>
      </c>
      <c r="G656" s="33">
        <f>IF(J656="H",(SUMIFS(Transaksi!$G$2:$G$2001,Transaksi!$M$2:$M$2001,"&lt;="&amp;S656)+SUMIFS(Transaksi!$H$2:$H$2001,Transaksi!$M$2:$M$2001,"&lt;="&amp;S656)+SUMIFS(Transaksi!$I$2:$I$2001,Transaksi!$M$2:$M$2001,"&lt;="&amp;S656))-(SUMIFS(Transaksi!$J$2:$J$2001,Transaksi!$M$2:$M$2001,"&lt;="&amp;S656)),"")</f>
        <v/>
      </c>
      <c r="I656">
        <f>IF(653&gt;$O$2,"",MATCH(653,$Q$3:$Q$402,1))</f>
        <v/>
      </c>
      <c r="J656">
        <f>IF(I656="","",IF(653=INDEX($Q$3:$Q$402,I656),"H","E"))</f>
        <v/>
      </c>
      <c r="K656">
        <f>IF(J656&lt;&gt;"E","",MATCH(S656,Transaksi!$M$2:$M$2001,0)+653-INDEX($Q$3:$Q$402,I656)-1)</f>
        <v/>
      </c>
      <c r="S656">
        <f>IF(I656="","",INDEX($O$3:$O$402,I656))</f>
        <v/>
      </c>
      <c r="T656">
        <f>IF(J656&lt;&gt;"H","",INDEX(Transaksi!$A$2:$A$2001,MATCH(S656,Transaksi!$M$2:$M$2001,0)))</f>
        <v/>
      </c>
    </row>
    <row r="657">
      <c r="A657" s="31">
        <f>IF(J657="E",IF(INDEX(Transaksi!$J$2:$J$2001,K657)&gt;0,"↑","↓"),"")</f>
        <v/>
      </c>
      <c r="B657" s="32">
        <f>IF(J657="H",CHOOSE(WEEKDAY(T657,2),"Isnin","Selasa","Rabu","Khamis","Jumaat","Sabtu","Ahad")&amp;", "&amp;DAY(T657)&amp;" "&amp;CHOOSE(MONTH(T657),"Jan","Feb","Mac","Apr","Mei","Jun","Jul","Ogo","Sep","Okt","Nov","Dis")&amp;" "&amp;YEAR(T657),IF(J657="E",IF(INDEX(Transaksi!$B$2:$B$2001,K657)="",INDEX(Transaksi!$C$2:$C$2001,K657)&amp;" · "&amp;INDEX(Transaksi!$D$2:$D$2001,K657),INDEX(Transaksi!$B$2:$B$2001,K657)),""))</f>
        <v/>
      </c>
      <c r="C657" s="32">
        <f>IF(J657="E",INDEX(Transaksi!$C$2:$C$2001,K657)&amp;"","")</f>
        <v/>
      </c>
      <c r="D657" s="32">
        <f>IF(J657="E",INDEX(Transaksi!$D$2:$D$2001,K657)&amp;"","")</f>
        <v/>
      </c>
      <c r="E657" s="33">
        <f>IF(J657="H",SUMIFS(Transaksi!$G$2:$G$2001,Transaksi!$M$2:$M$2001,"="&amp;S657)+SUMIFS(Transaksi!$H$2:$H$2001,Transaksi!$M$2:$M$2001,"="&amp;S657)+SUMIFS(Transaksi!$I$2:$I$2001,Transaksi!$M$2:$M$2001,"="&amp;S657),IF(J657="E",IF(INDEX(Transaksi!$G$2:$G$2001,K657)+INDEX(Transaksi!$H$2:$H$2001,K657)+INDEX(Transaksi!$I$2:$I$2001,K657)=0,"",INDEX(Transaksi!$G$2:$G$2001,K657)+INDEX(Transaksi!$H$2:$H$2001,K657)+INDEX(Transaksi!$I$2:$I$2001,K657)),""))</f>
        <v/>
      </c>
      <c r="F657" s="33">
        <f>IF(J657="H",SUMIFS(Transaksi!$J$2:$J$2001,Transaksi!$M$2:$M$2001,"="&amp;S657),IF(J657="E",IF(INDEX(Transaksi!$J$2:$J$2001,K657)=0,"",INDEX(Transaksi!$J$2:$J$2001,K657)),""))</f>
        <v/>
      </c>
      <c r="G657" s="33">
        <f>IF(J657="H",(SUMIFS(Transaksi!$G$2:$G$2001,Transaksi!$M$2:$M$2001,"&lt;="&amp;S657)+SUMIFS(Transaksi!$H$2:$H$2001,Transaksi!$M$2:$M$2001,"&lt;="&amp;S657)+SUMIFS(Transaksi!$I$2:$I$2001,Transaksi!$M$2:$M$2001,"&lt;="&amp;S657))-(SUMIFS(Transaksi!$J$2:$J$2001,Transaksi!$M$2:$M$2001,"&lt;="&amp;S657)),"")</f>
        <v/>
      </c>
      <c r="I657">
        <f>IF(654&gt;$O$2,"",MATCH(654,$Q$3:$Q$402,1))</f>
        <v/>
      </c>
      <c r="J657">
        <f>IF(I657="","",IF(654=INDEX($Q$3:$Q$402,I657),"H","E"))</f>
        <v/>
      </c>
      <c r="K657">
        <f>IF(J657&lt;&gt;"E","",MATCH(S657,Transaksi!$M$2:$M$2001,0)+654-INDEX($Q$3:$Q$402,I657)-1)</f>
        <v/>
      </c>
      <c r="S657">
        <f>IF(I657="","",INDEX($O$3:$O$402,I657))</f>
        <v/>
      </c>
      <c r="T657">
        <f>IF(J657&lt;&gt;"H","",INDEX(Transaksi!$A$2:$A$2001,MATCH(S657,Transaksi!$M$2:$M$2001,0)))</f>
        <v/>
      </c>
    </row>
    <row r="658">
      <c r="A658" s="31">
        <f>IF(J658="E",IF(INDEX(Transaksi!$J$2:$J$2001,K658)&gt;0,"↑","↓"),"")</f>
        <v/>
      </c>
      <c r="B658" s="32">
        <f>IF(J658="H",CHOOSE(WEEKDAY(T658,2),"Isnin","Selasa","Rabu","Khamis","Jumaat","Sabtu","Ahad")&amp;", "&amp;DAY(T658)&amp;" "&amp;CHOOSE(MONTH(T658),"Jan","Feb","Mac","Apr","Mei","Jun","Jul","Ogo","Sep","Okt","Nov","Dis")&amp;" "&amp;YEAR(T658),IF(J658="E",IF(INDEX(Transaksi!$B$2:$B$2001,K658)="",INDEX(Transaksi!$C$2:$C$2001,K658)&amp;" · "&amp;INDEX(Transaksi!$D$2:$D$2001,K658),INDEX(Transaksi!$B$2:$B$2001,K658)),""))</f>
        <v/>
      </c>
      <c r="C658" s="32">
        <f>IF(J658="E",INDEX(Transaksi!$C$2:$C$2001,K658)&amp;"","")</f>
        <v/>
      </c>
      <c r="D658" s="32">
        <f>IF(J658="E",INDEX(Transaksi!$D$2:$D$2001,K658)&amp;"","")</f>
        <v/>
      </c>
      <c r="E658" s="33">
        <f>IF(J658="H",SUMIFS(Transaksi!$G$2:$G$2001,Transaksi!$M$2:$M$2001,"="&amp;S658)+SUMIFS(Transaksi!$H$2:$H$2001,Transaksi!$M$2:$M$2001,"="&amp;S658)+SUMIFS(Transaksi!$I$2:$I$2001,Transaksi!$M$2:$M$2001,"="&amp;S658),IF(J658="E",IF(INDEX(Transaksi!$G$2:$G$2001,K658)+INDEX(Transaksi!$H$2:$H$2001,K658)+INDEX(Transaksi!$I$2:$I$2001,K658)=0,"",INDEX(Transaksi!$G$2:$G$2001,K658)+INDEX(Transaksi!$H$2:$H$2001,K658)+INDEX(Transaksi!$I$2:$I$2001,K658)),""))</f>
        <v/>
      </c>
      <c r="F658" s="33">
        <f>IF(J658="H",SUMIFS(Transaksi!$J$2:$J$2001,Transaksi!$M$2:$M$2001,"="&amp;S658),IF(J658="E",IF(INDEX(Transaksi!$J$2:$J$2001,K658)=0,"",INDEX(Transaksi!$J$2:$J$2001,K658)),""))</f>
        <v/>
      </c>
      <c r="G658" s="33">
        <f>IF(J658="H",(SUMIFS(Transaksi!$G$2:$G$2001,Transaksi!$M$2:$M$2001,"&lt;="&amp;S658)+SUMIFS(Transaksi!$H$2:$H$2001,Transaksi!$M$2:$M$2001,"&lt;="&amp;S658)+SUMIFS(Transaksi!$I$2:$I$2001,Transaksi!$M$2:$M$2001,"&lt;="&amp;S658))-(SUMIFS(Transaksi!$J$2:$J$2001,Transaksi!$M$2:$M$2001,"&lt;="&amp;S658)),"")</f>
        <v/>
      </c>
      <c r="I658">
        <f>IF(655&gt;$O$2,"",MATCH(655,$Q$3:$Q$402,1))</f>
        <v/>
      </c>
      <c r="J658">
        <f>IF(I658="","",IF(655=INDEX($Q$3:$Q$402,I658),"H","E"))</f>
        <v/>
      </c>
      <c r="K658">
        <f>IF(J658&lt;&gt;"E","",MATCH(S658,Transaksi!$M$2:$M$2001,0)+655-INDEX($Q$3:$Q$402,I658)-1)</f>
        <v/>
      </c>
      <c r="S658">
        <f>IF(I658="","",INDEX($O$3:$O$402,I658))</f>
        <v/>
      </c>
      <c r="T658">
        <f>IF(J658&lt;&gt;"H","",INDEX(Transaksi!$A$2:$A$2001,MATCH(S658,Transaksi!$M$2:$M$2001,0)))</f>
        <v/>
      </c>
    </row>
    <row r="659">
      <c r="A659" s="31">
        <f>IF(J659="E",IF(INDEX(Transaksi!$J$2:$J$2001,K659)&gt;0,"↑","↓"),"")</f>
        <v/>
      </c>
      <c r="B659" s="32">
        <f>IF(J659="H",CHOOSE(WEEKDAY(T659,2),"Isnin","Selasa","Rabu","Khamis","Jumaat","Sabtu","Ahad")&amp;", "&amp;DAY(T659)&amp;" "&amp;CHOOSE(MONTH(T659),"Jan","Feb","Mac","Apr","Mei","Jun","Jul","Ogo","Sep","Okt","Nov","Dis")&amp;" "&amp;YEAR(T659),IF(J659="E",IF(INDEX(Transaksi!$B$2:$B$2001,K659)="",INDEX(Transaksi!$C$2:$C$2001,K659)&amp;" · "&amp;INDEX(Transaksi!$D$2:$D$2001,K659),INDEX(Transaksi!$B$2:$B$2001,K659)),""))</f>
        <v/>
      </c>
      <c r="C659" s="32">
        <f>IF(J659="E",INDEX(Transaksi!$C$2:$C$2001,K659)&amp;"","")</f>
        <v/>
      </c>
      <c r="D659" s="32">
        <f>IF(J659="E",INDEX(Transaksi!$D$2:$D$2001,K659)&amp;"","")</f>
        <v/>
      </c>
      <c r="E659" s="33">
        <f>IF(J659="H",SUMIFS(Transaksi!$G$2:$G$2001,Transaksi!$M$2:$M$2001,"="&amp;S659)+SUMIFS(Transaksi!$H$2:$H$2001,Transaksi!$M$2:$M$2001,"="&amp;S659)+SUMIFS(Transaksi!$I$2:$I$2001,Transaksi!$M$2:$M$2001,"="&amp;S659),IF(J659="E",IF(INDEX(Transaksi!$G$2:$G$2001,K659)+INDEX(Transaksi!$H$2:$H$2001,K659)+INDEX(Transaksi!$I$2:$I$2001,K659)=0,"",INDEX(Transaksi!$G$2:$G$2001,K659)+INDEX(Transaksi!$H$2:$H$2001,K659)+INDEX(Transaksi!$I$2:$I$2001,K659)),""))</f>
        <v/>
      </c>
      <c r="F659" s="33">
        <f>IF(J659="H",SUMIFS(Transaksi!$J$2:$J$2001,Transaksi!$M$2:$M$2001,"="&amp;S659),IF(J659="E",IF(INDEX(Transaksi!$J$2:$J$2001,K659)=0,"",INDEX(Transaksi!$J$2:$J$2001,K659)),""))</f>
        <v/>
      </c>
      <c r="G659" s="33">
        <f>IF(J659="H",(SUMIFS(Transaksi!$G$2:$G$2001,Transaksi!$M$2:$M$2001,"&lt;="&amp;S659)+SUMIFS(Transaksi!$H$2:$H$2001,Transaksi!$M$2:$M$2001,"&lt;="&amp;S659)+SUMIFS(Transaksi!$I$2:$I$2001,Transaksi!$M$2:$M$2001,"&lt;="&amp;S659))-(SUMIFS(Transaksi!$J$2:$J$2001,Transaksi!$M$2:$M$2001,"&lt;="&amp;S659)),"")</f>
        <v/>
      </c>
      <c r="I659">
        <f>IF(656&gt;$O$2,"",MATCH(656,$Q$3:$Q$402,1))</f>
        <v/>
      </c>
      <c r="J659">
        <f>IF(I659="","",IF(656=INDEX($Q$3:$Q$402,I659),"H","E"))</f>
        <v/>
      </c>
      <c r="K659">
        <f>IF(J659&lt;&gt;"E","",MATCH(S659,Transaksi!$M$2:$M$2001,0)+656-INDEX($Q$3:$Q$402,I659)-1)</f>
        <v/>
      </c>
      <c r="S659">
        <f>IF(I659="","",INDEX($O$3:$O$402,I659))</f>
        <v/>
      </c>
      <c r="T659">
        <f>IF(J659&lt;&gt;"H","",INDEX(Transaksi!$A$2:$A$2001,MATCH(S659,Transaksi!$M$2:$M$2001,0)))</f>
        <v/>
      </c>
    </row>
    <row r="660">
      <c r="A660" s="31">
        <f>IF(J660="E",IF(INDEX(Transaksi!$J$2:$J$2001,K660)&gt;0,"↑","↓"),"")</f>
        <v/>
      </c>
      <c r="B660" s="32">
        <f>IF(J660="H",CHOOSE(WEEKDAY(T660,2),"Isnin","Selasa","Rabu","Khamis","Jumaat","Sabtu","Ahad")&amp;", "&amp;DAY(T660)&amp;" "&amp;CHOOSE(MONTH(T660),"Jan","Feb","Mac","Apr","Mei","Jun","Jul","Ogo","Sep","Okt","Nov","Dis")&amp;" "&amp;YEAR(T660),IF(J660="E",IF(INDEX(Transaksi!$B$2:$B$2001,K660)="",INDEX(Transaksi!$C$2:$C$2001,K660)&amp;" · "&amp;INDEX(Transaksi!$D$2:$D$2001,K660),INDEX(Transaksi!$B$2:$B$2001,K660)),""))</f>
        <v/>
      </c>
      <c r="C660" s="32">
        <f>IF(J660="E",INDEX(Transaksi!$C$2:$C$2001,K660)&amp;"","")</f>
        <v/>
      </c>
      <c r="D660" s="32">
        <f>IF(J660="E",INDEX(Transaksi!$D$2:$D$2001,K660)&amp;"","")</f>
        <v/>
      </c>
      <c r="E660" s="33">
        <f>IF(J660="H",SUMIFS(Transaksi!$G$2:$G$2001,Transaksi!$M$2:$M$2001,"="&amp;S660)+SUMIFS(Transaksi!$H$2:$H$2001,Transaksi!$M$2:$M$2001,"="&amp;S660)+SUMIFS(Transaksi!$I$2:$I$2001,Transaksi!$M$2:$M$2001,"="&amp;S660),IF(J660="E",IF(INDEX(Transaksi!$G$2:$G$2001,K660)+INDEX(Transaksi!$H$2:$H$2001,K660)+INDEX(Transaksi!$I$2:$I$2001,K660)=0,"",INDEX(Transaksi!$G$2:$G$2001,K660)+INDEX(Transaksi!$H$2:$H$2001,K660)+INDEX(Transaksi!$I$2:$I$2001,K660)),""))</f>
        <v/>
      </c>
      <c r="F660" s="33">
        <f>IF(J660="H",SUMIFS(Transaksi!$J$2:$J$2001,Transaksi!$M$2:$M$2001,"="&amp;S660),IF(J660="E",IF(INDEX(Transaksi!$J$2:$J$2001,K660)=0,"",INDEX(Transaksi!$J$2:$J$2001,K660)),""))</f>
        <v/>
      </c>
      <c r="G660" s="33">
        <f>IF(J660="H",(SUMIFS(Transaksi!$G$2:$G$2001,Transaksi!$M$2:$M$2001,"&lt;="&amp;S660)+SUMIFS(Transaksi!$H$2:$H$2001,Transaksi!$M$2:$M$2001,"&lt;="&amp;S660)+SUMIFS(Transaksi!$I$2:$I$2001,Transaksi!$M$2:$M$2001,"&lt;="&amp;S660))-(SUMIFS(Transaksi!$J$2:$J$2001,Transaksi!$M$2:$M$2001,"&lt;="&amp;S660)),"")</f>
        <v/>
      </c>
      <c r="I660">
        <f>IF(657&gt;$O$2,"",MATCH(657,$Q$3:$Q$402,1))</f>
        <v/>
      </c>
      <c r="J660">
        <f>IF(I660="","",IF(657=INDEX($Q$3:$Q$402,I660),"H","E"))</f>
        <v/>
      </c>
      <c r="K660">
        <f>IF(J660&lt;&gt;"E","",MATCH(S660,Transaksi!$M$2:$M$2001,0)+657-INDEX($Q$3:$Q$402,I660)-1)</f>
        <v/>
      </c>
      <c r="S660">
        <f>IF(I660="","",INDEX($O$3:$O$402,I660))</f>
        <v/>
      </c>
      <c r="T660">
        <f>IF(J660&lt;&gt;"H","",INDEX(Transaksi!$A$2:$A$2001,MATCH(S660,Transaksi!$M$2:$M$2001,0)))</f>
        <v/>
      </c>
    </row>
    <row r="661">
      <c r="A661" s="31">
        <f>IF(J661="E",IF(INDEX(Transaksi!$J$2:$J$2001,K661)&gt;0,"↑","↓"),"")</f>
        <v/>
      </c>
      <c r="B661" s="32">
        <f>IF(J661="H",CHOOSE(WEEKDAY(T661,2),"Isnin","Selasa","Rabu","Khamis","Jumaat","Sabtu","Ahad")&amp;", "&amp;DAY(T661)&amp;" "&amp;CHOOSE(MONTH(T661),"Jan","Feb","Mac","Apr","Mei","Jun","Jul","Ogo","Sep","Okt","Nov","Dis")&amp;" "&amp;YEAR(T661),IF(J661="E",IF(INDEX(Transaksi!$B$2:$B$2001,K661)="",INDEX(Transaksi!$C$2:$C$2001,K661)&amp;" · "&amp;INDEX(Transaksi!$D$2:$D$2001,K661),INDEX(Transaksi!$B$2:$B$2001,K661)),""))</f>
        <v/>
      </c>
      <c r="C661" s="32">
        <f>IF(J661="E",INDEX(Transaksi!$C$2:$C$2001,K661)&amp;"","")</f>
        <v/>
      </c>
      <c r="D661" s="32">
        <f>IF(J661="E",INDEX(Transaksi!$D$2:$D$2001,K661)&amp;"","")</f>
        <v/>
      </c>
      <c r="E661" s="33">
        <f>IF(J661="H",SUMIFS(Transaksi!$G$2:$G$2001,Transaksi!$M$2:$M$2001,"="&amp;S661)+SUMIFS(Transaksi!$H$2:$H$2001,Transaksi!$M$2:$M$2001,"="&amp;S661)+SUMIFS(Transaksi!$I$2:$I$2001,Transaksi!$M$2:$M$2001,"="&amp;S661),IF(J661="E",IF(INDEX(Transaksi!$G$2:$G$2001,K661)+INDEX(Transaksi!$H$2:$H$2001,K661)+INDEX(Transaksi!$I$2:$I$2001,K661)=0,"",INDEX(Transaksi!$G$2:$G$2001,K661)+INDEX(Transaksi!$H$2:$H$2001,K661)+INDEX(Transaksi!$I$2:$I$2001,K661)),""))</f>
        <v/>
      </c>
      <c r="F661" s="33">
        <f>IF(J661="H",SUMIFS(Transaksi!$J$2:$J$2001,Transaksi!$M$2:$M$2001,"="&amp;S661),IF(J661="E",IF(INDEX(Transaksi!$J$2:$J$2001,K661)=0,"",INDEX(Transaksi!$J$2:$J$2001,K661)),""))</f>
        <v/>
      </c>
      <c r="G661" s="33">
        <f>IF(J661="H",(SUMIFS(Transaksi!$G$2:$G$2001,Transaksi!$M$2:$M$2001,"&lt;="&amp;S661)+SUMIFS(Transaksi!$H$2:$H$2001,Transaksi!$M$2:$M$2001,"&lt;="&amp;S661)+SUMIFS(Transaksi!$I$2:$I$2001,Transaksi!$M$2:$M$2001,"&lt;="&amp;S661))-(SUMIFS(Transaksi!$J$2:$J$2001,Transaksi!$M$2:$M$2001,"&lt;="&amp;S661)),"")</f>
        <v/>
      </c>
      <c r="I661">
        <f>IF(658&gt;$O$2,"",MATCH(658,$Q$3:$Q$402,1))</f>
        <v/>
      </c>
      <c r="J661">
        <f>IF(I661="","",IF(658=INDEX($Q$3:$Q$402,I661),"H","E"))</f>
        <v/>
      </c>
      <c r="K661">
        <f>IF(J661&lt;&gt;"E","",MATCH(S661,Transaksi!$M$2:$M$2001,0)+658-INDEX($Q$3:$Q$402,I661)-1)</f>
        <v/>
      </c>
      <c r="S661">
        <f>IF(I661="","",INDEX($O$3:$O$402,I661))</f>
        <v/>
      </c>
      <c r="T661">
        <f>IF(J661&lt;&gt;"H","",INDEX(Transaksi!$A$2:$A$2001,MATCH(S661,Transaksi!$M$2:$M$2001,0)))</f>
        <v/>
      </c>
    </row>
    <row r="662">
      <c r="A662" s="31">
        <f>IF(J662="E",IF(INDEX(Transaksi!$J$2:$J$2001,K662)&gt;0,"↑","↓"),"")</f>
        <v/>
      </c>
      <c r="B662" s="32">
        <f>IF(J662="H",CHOOSE(WEEKDAY(T662,2),"Isnin","Selasa","Rabu","Khamis","Jumaat","Sabtu","Ahad")&amp;", "&amp;DAY(T662)&amp;" "&amp;CHOOSE(MONTH(T662),"Jan","Feb","Mac","Apr","Mei","Jun","Jul","Ogo","Sep","Okt","Nov","Dis")&amp;" "&amp;YEAR(T662),IF(J662="E",IF(INDEX(Transaksi!$B$2:$B$2001,K662)="",INDEX(Transaksi!$C$2:$C$2001,K662)&amp;" · "&amp;INDEX(Transaksi!$D$2:$D$2001,K662),INDEX(Transaksi!$B$2:$B$2001,K662)),""))</f>
        <v/>
      </c>
      <c r="C662" s="32">
        <f>IF(J662="E",INDEX(Transaksi!$C$2:$C$2001,K662)&amp;"","")</f>
        <v/>
      </c>
      <c r="D662" s="32">
        <f>IF(J662="E",INDEX(Transaksi!$D$2:$D$2001,K662)&amp;"","")</f>
        <v/>
      </c>
      <c r="E662" s="33">
        <f>IF(J662="H",SUMIFS(Transaksi!$G$2:$G$2001,Transaksi!$M$2:$M$2001,"="&amp;S662)+SUMIFS(Transaksi!$H$2:$H$2001,Transaksi!$M$2:$M$2001,"="&amp;S662)+SUMIFS(Transaksi!$I$2:$I$2001,Transaksi!$M$2:$M$2001,"="&amp;S662),IF(J662="E",IF(INDEX(Transaksi!$G$2:$G$2001,K662)+INDEX(Transaksi!$H$2:$H$2001,K662)+INDEX(Transaksi!$I$2:$I$2001,K662)=0,"",INDEX(Transaksi!$G$2:$G$2001,K662)+INDEX(Transaksi!$H$2:$H$2001,K662)+INDEX(Transaksi!$I$2:$I$2001,K662)),""))</f>
        <v/>
      </c>
      <c r="F662" s="33">
        <f>IF(J662="H",SUMIFS(Transaksi!$J$2:$J$2001,Transaksi!$M$2:$M$2001,"="&amp;S662),IF(J662="E",IF(INDEX(Transaksi!$J$2:$J$2001,K662)=0,"",INDEX(Transaksi!$J$2:$J$2001,K662)),""))</f>
        <v/>
      </c>
      <c r="G662" s="33">
        <f>IF(J662="H",(SUMIFS(Transaksi!$G$2:$G$2001,Transaksi!$M$2:$M$2001,"&lt;="&amp;S662)+SUMIFS(Transaksi!$H$2:$H$2001,Transaksi!$M$2:$M$2001,"&lt;="&amp;S662)+SUMIFS(Transaksi!$I$2:$I$2001,Transaksi!$M$2:$M$2001,"&lt;="&amp;S662))-(SUMIFS(Transaksi!$J$2:$J$2001,Transaksi!$M$2:$M$2001,"&lt;="&amp;S662)),"")</f>
        <v/>
      </c>
      <c r="I662">
        <f>IF(659&gt;$O$2,"",MATCH(659,$Q$3:$Q$402,1))</f>
        <v/>
      </c>
      <c r="J662">
        <f>IF(I662="","",IF(659=INDEX($Q$3:$Q$402,I662),"H","E"))</f>
        <v/>
      </c>
      <c r="K662">
        <f>IF(J662&lt;&gt;"E","",MATCH(S662,Transaksi!$M$2:$M$2001,0)+659-INDEX($Q$3:$Q$402,I662)-1)</f>
        <v/>
      </c>
      <c r="S662">
        <f>IF(I662="","",INDEX($O$3:$O$402,I662))</f>
        <v/>
      </c>
      <c r="T662">
        <f>IF(J662&lt;&gt;"H","",INDEX(Transaksi!$A$2:$A$2001,MATCH(S662,Transaksi!$M$2:$M$2001,0)))</f>
        <v/>
      </c>
    </row>
    <row r="663">
      <c r="A663" s="31">
        <f>IF(J663="E",IF(INDEX(Transaksi!$J$2:$J$2001,K663)&gt;0,"↑","↓"),"")</f>
        <v/>
      </c>
      <c r="B663" s="32">
        <f>IF(J663="H",CHOOSE(WEEKDAY(T663,2),"Isnin","Selasa","Rabu","Khamis","Jumaat","Sabtu","Ahad")&amp;", "&amp;DAY(T663)&amp;" "&amp;CHOOSE(MONTH(T663),"Jan","Feb","Mac","Apr","Mei","Jun","Jul","Ogo","Sep","Okt","Nov","Dis")&amp;" "&amp;YEAR(T663),IF(J663="E",IF(INDEX(Transaksi!$B$2:$B$2001,K663)="",INDEX(Transaksi!$C$2:$C$2001,K663)&amp;" · "&amp;INDEX(Transaksi!$D$2:$D$2001,K663),INDEX(Transaksi!$B$2:$B$2001,K663)),""))</f>
        <v/>
      </c>
      <c r="C663" s="32">
        <f>IF(J663="E",INDEX(Transaksi!$C$2:$C$2001,K663)&amp;"","")</f>
        <v/>
      </c>
      <c r="D663" s="32">
        <f>IF(J663="E",INDEX(Transaksi!$D$2:$D$2001,K663)&amp;"","")</f>
        <v/>
      </c>
      <c r="E663" s="33">
        <f>IF(J663="H",SUMIFS(Transaksi!$G$2:$G$2001,Transaksi!$M$2:$M$2001,"="&amp;S663)+SUMIFS(Transaksi!$H$2:$H$2001,Transaksi!$M$2:$M$2001,"="&amp;S663)+SUMIFS(Transaksi!$I$2:$I$2001,Transaksi!$M$2:$M$2001,"="&amp;S663),IF(J663="E",IF(INDEX(Transaksi!$G$2:$G$2001,K663)+INDEX(Transaksi!$H$2:$H$2001,K663)+INDEX(Transaksi!$I$2:$I$2001,K663)=0,"",INDEX(Transaksi!$G$2:$G$2001,K663)+INDEX(Transaksi!$H$2:$H$2001,K663)+INDEX(Transaksi!$I$2:$I$2001,K663)),""))</f>
        <v/>
      </c>
      <c r="F663" s="33">
        <f>IF(J663="H",SUMIFS(Transaksi!$J$2:$J$2001,Transaksi!$M$2:$M$2001,"="&amp;S663),IF(J663="E",IF(INDEX(Transaksi!$J$2:$J$2001,K663)=0,"",INDEX(Transaksi!$J$2:$J$2001,K663)),""))</f>
        <v/>
      </c>
      <c r="G663" s="33">
        <f>IF(J663="H",(SUMIFS(Transaksi!$G$2:$G$2001,Transaksi!$M$2:$M$2001,"&lt;="&amp;S663)+SUMIFS(Transaksi!$H$2:$H$2001,Transaksi!$M$2:$M$2001,"&lt;="&amp;S663)+SUMIFS(Transaksi!$I$2:$I$2001,Transaksi!$M$2:$M$2001,"&lt;="&amp;S663))-(SUMIFS(Transaksi!$J$2:$J$2001,Transaksi!$M$2:$M$2001,"&lt;="&amp;S663)),"")</f>
        <v/>
      </c>
      <c r="I663">
        <f>IF(660&gt;$O$2,"",MATCH(660,$Q$3:$Q$402,1))</f>
        <v/>
      </c>
      <c r="J663">
        <f>IF(I663="","",IF(660=INDEX($Q$3:$Q$402,I663),"H","E"))</f>
        <v/>
      </c>
      <c r="K663">
        <f>IF(J663&lt;&gt;"E","",MATCH(S663,Transaksi!$M$2:$M$2001,0)+660-INDEX($Q$3:$Q$402,I663)-1)</f>
        <v/>
      </c>
      <c r="S663">
        <f>IF(I663="","",INDEX($O$3:$O$402,I663))</f>
        <v/>
      </c>
      <c r="T663">
        <f>IF(J663&lt;&gt;"H","",INDEX(Transaksi!$A$2:$A$2001,MATCH(S663,Transaksi!$M$2:$M$2001,0)))</f>
        <v/>
      </c>
    </row>
    <row r="664">
      <c r="A664" s="31">
        <f>IF(J664="E",IF(INDEX(Transaksi!$J$2:$J$2001,K664)&gt;0,"↑","↓"),"")</f>
        <v/>
      </c>
      <c r="B664" s="32">
        <f>IF(J664="H",CHOOSE(WEEKDAY(T664,2),"Isnin","Selasa","Rabu","Khamis","Jumaat","Sabtu","Ahad")&amp;", "&amp;DAY(T664)&amp;" "&amp;CHOOSE(MONTH(T664),"Jan","Feb","Mac","Apr","Mei","Jun","Jul","Ogo","Sep","Okt","Nov","Dis")&amp;" "&amp;YEAR(T664),IF(J664="E",IF(INDEX(Transaksi!$B$2:$B$2001,K664)="",INDEX(Transaksi!$C$2:$C$2001,K664)&amp;" · "&amp;INDEX(Transaksi!$D$2:$D$2001,K664),INDEX(Transaksi!$B$2:$B$2001,K664)),""))</f>
        <v/>
      </c>
      <c r="C664" s="32">
        <f>IF(J664="E",INDEX(Transaksi!$C$2:$C$2001,K664)&amp;"","")</f>
        <v/>
      </c>
      <c r="D664" s="32">
        <f>IF(J664="E",INDEX(Transaksi!$D$2:$D$2001,K664)&amp;"","")</f>
        <v/>
      </c>
      <c r="E664" s="33">
        <f>IF(J664="H",SUMIFS(Transaksi!$G$2:$G$2001,Transaksi!$M$2:$M$2001,"="&amp;S664)+SUMIFS(Transaksi!$H$2:$H$2001,Transaksi!$M$2:$M$2001,"="&amp;S664)+SUMIFS(Transaksi!$I$2:$I$2001,Transaksi!$M$2:$M$2001,"="&amp;S664),IF(J664="E",IF(INDEX(Transaksi!$G$2:$G$2001,K664)+INDEX(Transaksi!$H$2:$H$2001,K664)+INDEX(Transaksi!$I$2:$I$2001,K664)=0,"",INDEX(Transaksi!$G$2:$G$2001,K664)+INDEX(Transaksi!$H$2:$H$2001,K664)+INDEX(Transaksi!$I$2:$I$2001,K664)),""))</f>
        <v/>
      </c>
      <c r="F664" s="33">
        <f>IF(J664="H",SUMIFS(Transaksi!$J$2:$J$2001,Transaksi!$M$2:$M$2001,"="&amp;S664),IF(J664="E",IF(INDEX(Transaksi!$J$2:$J$2001,K664)=0,"",INDEX(Transaksi!$J$2:$J$2001,K664)),""))</f>
        <v/>
      </c>
      <c r="G664" s="33">
        <f>IF(J664="H",(SUMIFS(Transaksi!$G$2:$G$2001,Transaksi!$M$2:$M$2001,"&lt;="&amp;S664)+SUMIFS(Transaksi!$H$2:$H$2001,Transaksi!$M$2:$M$2001,"&lt;="&amp;S664)+SUMIFS(Transaksi!$I$2:$I$2001,Transaksi!$M$2:$M$2001,"&lt;="&amp;S664))-(SUMIFS(Transaksi!$J$2:$J$2001,Transaksi!$M$2:$M$2001,"&lt;="&amp;S664)),"")</f>
        <v/>
      </c>
      <c r="I664">
        <f>IF(661&gt;$O$2,"",MATCH(661,$Q$3:$Q$402,1))</f>
        <v/>
      </c>
      <c r="J664">
        <f>IF(I664="","",IF(661=INDEX($Q$3:$Q$402,I664),"H","E"))</f>
        <v/>
      </c>
      <c r="K664">
        <f>IF(J664&lt;&gt;"E","",MATCH(S664,Transaksi!$M$2:$M$2001,0)+661-INDEX($Q$3:$Q$402,I664)-1)</f>
        <v/>
      </c>
      <c r="S664">
        <f>IF(I664="","",INDEX($O$3:$O$402,I664))</f>
        <v/>
      </c>
      <c r="T664">
        <f>IF(J664&lt;&gt;"H","",INDEX(Transaksi!$A$2:$A$2001,MATCH(S664,Transaksi!$M$2:$M$2001,0)))</f>
        <v/>
      </c>
    </row>
    <row r="665">
      <c r="A665" s="31">
        <f>IF(J665="E",IF(INDEX(Transaksi!$J$2:$J$2001,K665)&gt;0,"↑","↓"),"")</f>
        <v/>
      </c>
      <c r="B665" s="32">
        <f>IF(J665="H",CHOOSE(WEEKDAY(T665,2),"Isnin","Selasa","Rabu","Khamis","Jumaat","Sabtu","Ahad")&amp;", "&amp;DAY(T665)&amp;" "&amp;CHOOSE(MONTH(T665),"Jan","Feb","Mac","Apr","Mei","Jun","Jul","Ogo","Sep","Okt","Nov","Dis")&amp;" "&amp;YEAR(T665),IF(J665="E",IF(INDEX(Transaksi!$B$2:$B$2001,K665)="",INDEX(Transaksi!$C$2:$C$2001,K665)&amp;" · "&amp;INDEX(Transaksi!$D$2:$D$2001,K665),INDEX(Transaksi!$B$2:$B$2001,K665)),""))</f>
        <v/>
      </c>
      <c r="C665" s="32">
        <f>IF(J665="E",INDEX(Transaksi!$C$2:$C$2001,K665)&amp;"","")</f>
        <v/>
      </c>
      <c r="D665" s="32">
        <f>IF(J665="E",INDEX(Transaksi!$D$2:$D$2001,K665)&amp;"","")</f>
        <v/>
      </c>
      <c r="E665" s="33">
        <f>IF(J665="H",SUMIFS(Transaksi!$G$2:$G$2001,Transaksi!$M$2:$M$2001,"="&amp;S665)+SUMIFS(Transaksi!$H$2:$H$2001,Transaksi!$M$2:$M$2001,"="&amp;S665)+SUMIFS(Transaksi!$I$2:$I$2001,Transaksi!$M$2:$M$2001,"="&amp;S665),IF(J665="E",IF(INDEX(Transaksi!$G$2:$G$2001,K665)+INDEX(Transaksi!$H$2:$H$2001,K665)+INDEX(Transaksi!$I$2:$I$2001,K665)=0,"",INDEX(Transaksi!$G$2:$G$2001,K665)+INDEX(Transaksi!$H$2:$H$2001,K665)+INDEX(Transaksi!$I$2:$I$2001,K665)),""))</f>
        <v/>
      </c>
      <c r="F665" s="33">
        <f>IF(J665="H",SUMIFS(Transaksi!$J$2:$J$2001,Transaksi!$M$2:$M$2001,"="&amp;S665),IF(J665="E",IF(INDEX(Transaksi!$J$2:$J$2001,K665)=0,"",INDEX(Transaksi!$J$2:$J$2001,K665)),""))</f>
        <v/>
      </c>
      <c r="G665" s="33">
        <f>IF(J665="H",(SUMIFS(Transaksi!$G$2:$G$2001,Transaksi!$M$2:$M$2001,"&lt;="&amp;S665)+SUMIFS(Transaksi!$H$2:$H$2001,Transaksi!$M$2:$M$2001,"&lt;="&amp;S665)+SUMIFS(Transaksi!$I$2:$I$2001,Transaksi!$M$2:$M$2001,"&lt;="&amp;S665))-(SUMIFS(Transaksi!$J$2:$J$2001,Transaksi!$M$2:$M$2001,"&lt;="&amp;S665)),"")</f>
        <v/>
      </c>
      <c r="I665">
        <f>IF(662&gt;$O$2,"",MATCH(662,$Q$3:$Q$402,1))</f>
        <v/>
      </c>
      <c r="J665">
        <f>IF(I665="","",IF(662=INDEX($Q$3:$Q$402,I665),"H","E"))</f>
        <v/>
      </c>
      <c r="K665">
        <f>IF(J665&lt;&gt;"E","",MATCH(S665,Transaksi!$M$2:$M$2001,0)+662-INDEX($Q$3:$Q$402,I665)-1)</f>
        <v/>
      </c>
      <c r="S665">
        <f>IF(I665="","",INDEX($O$3:$O$402,I665))</f>
        <v/>
      </c>
      <c r="T665">
        <f>IF(J665&lt;&gt;"H","",INDEX(Transaksi!$A$2:$A$2001,MATCH(S665,Transaksi!$M$2:$M$2001,0)))</f>
        <v/>
      </c>
    </row>
    <row r="666">
      <c r="A666" s="31">
        <f>IF(J666="E",IF(INDEX(Transaksi!$J$2:$J$2001,K666)&gt;0,"↑","↓"),"")</f>
        <v/>
      </c>
      <c r="B666" s="32">
        <f>IF(J666="H",CHOOSE(WEEKDAY(T666,2),"Isnin","Selasa","Rabu","Khamis","Jumaat","Sabtu","Ahad")&amp;", "&amp;DAY(T666)&amp;" "&amp;CHOOSE(MONTH(T666),"Jan","Feb","Mac","Apr","Mei","Jun","Jul","Ogo","Sep","Okt","Nov","Dis")&amp;" "&amp;YEAR(T666),IF(J666="E",IF(INDEX(Transaksi!$B$2:$B$2001,K666)="",INDEX(Transaksi!$C$2:$C$2001,K666)&amp;" · "&amp;INDEX(Transaksi!$D$2:$D$2001,K666),INDEX(Transaksi!$B$2:$B$2001,K666)),""))</f>
        <v/>
      </c>
      <c r="C666" s="32">
        <f>IF(J666="E",INDEX(Transaksi!$C$2:$C$2001,K666)&amp;"","")</f>
        <v/>
      </c>
      <c r="D666" s="32">
        <f>IF(J666="E",INDEX(Transaksi!$D$2:$D$2001,K666)&amp;"","")</f>
        <v/>
      </c>
      <c r="E666" s="33">
        <f>IF(J666="H",SUMIFS(Transaksi!$G$2:$G$2001,Transaksi!$M$2:$M$2001,"="&amp;S666)+SUMIFS(Transaksi!$H$2:$H$2001,Transaksi!$M$2:$M$2001,"="&amp;S666)+SUMIFS(Transaksi!$I$2:$I$2001,Transaksi!$M$2:$M$2001,"="&amp;S666),IF(J666="E",IF(INDEX(Transaksi!$G$2:$G$2001,K666)+INDEX(Transaksi!$H$2:$H$2001,K666)+INDEX(Transaksi!$I$2:$I$2001,K666)=0,"",INDEX(Transaksi!$G$2:$G$2001,K666)+INDEX(Transaksi!$H$2:$H$2001,K666)+INDEX(Transaksi!$I$2:$I$2001,K666)),""))</f>
        <v/>
      </c>
      <c r="F666" s="33">
        <f>IF(J666="H",SUMIFS(Transaksi!$J$2:$J$2001,Transaksi!$M$2:$M$2001,"="&amp;S666),IF(J666="E",IF(INDEX(Transaksi!$J$2:$J$2001,K666)=0,"",INDEX(Transaksi!$J$2:$J$2001,K666)),""))</f>
        <v/>
      </c>
      <c r="G666" s="33">
        <f>IF(J666="H",(SUMIFS(Transaksi!$G$2:$G$2001,Transaksi!$M$2:$M$2001,"&lt;="&amp;S666)+SUMIFS(Transaksi!$H$2:$H$2001,Transaksi!$M$2:$M$2001,"&lt;="&amp;S666)+SUMIFS(Transaksi!$I$2:$I$2001,Transaksi!$M$2:$M$2001,"&lt;="&amp;S666))-(SUMIFS(Transaksi!$J$2:$J$2001,Transaksi!$M$2:$M$2001,"&lt;="&amp;S666)),"")</f>
        <v/>
      </c>
      <c r="I666">
        <f>IF(663&gt;$O$2,"",MATCH(663,$Q$3:$Q$402,1))</f>
        <v/>
      </c>
      <c r="J666">
        <f>IF(I666="","",IF(663=INDEX($Q$3:$Q$402,I666),"H","E"))</f>
        <v/>
      </c>
      <c r="K666">
        <f>IF(J666&lt;&gt;"E","",MATCH(S666,Transaksi!$M$2:$M$2001,0)+663-INDEX($Q$3:$Q$402,I666)-1)</f>
        <v/>
      </c>
      <c r="S666">
        <f>IF(I666="","",INDEX($O$3:$O$402,I666))</f>
        <v/>
      </c>
      <c r="T666">
        <f>IF(J666&lt;&gt;"H","",INDEX(Transaksi!$A$2:$A$2001,MATCH(S666,Transaksi!$M$2:$M$2001,0)))</f>
        <v/>
      </c>
    </row>
    <row r="667">
      <c r="A667" s="31">
        <f>IF(J667="E",IF(INDEX(Transaksi!$J$2:$J$2001,K667)&gt;0,"↑","↓"),"")</f>
        <v/>
      </c>
      <c r="B667" s="32">
        <f>IF(J667="H",CHOOSE(WEEKDAY(T667,2),"Isnin","Selasa","Rabu","Khamis","Jumaat","Sabtu","Ahad")&amp;", "&amp;DAY(T667)&amp;" "&amp;CHOOSE(MONTH(T667),"Jan","Feb","Mac","Apr","Mei","Jun","Jul","Ogo","Sep","Okt","Nov","Dis")&amp;" "&amp;YEAR(T667),IF(J667="E",IF(INDEX(Transaksi!$B$2:$B$2001,K667)="",INDEX(Transaksi!$C$2:$C$2001,K667)&amp;" · "&amp;INDEX(Transaksi!$D$2:$D$2001,K667),INDEX(Transaksi!$B$2:$B$2001,K667)),""))</f>
        <v/>
      </c>
      <c r="C667" s="32">
        <f>IF(J667="E",INDEX(Transaksi!$C$2:$C$2001,K667)&amp;"","")</f>
        <v/>
      </c>
      <c r="D667" s="32">
        <f>IF(J667="E",INDEX(Transaksi!$D$2:$D$2001,K667)&amp;"","")</f>
        <v/>
      </c>
      <c r="E667" s="33">
        <f>IF(J667="H",SUMIFS(Transaksi!$G$2:$G$2001,Transaksi!$M$2:$M$2001,"="&amp;S667)+SUMIFS(Transaksi!$H$2:$H$2001,Transaksi!$M$2:$M$2001,"="&amp;S667)+SUMIFS(Transaksi!$I$2:$I$2001,Transaksi!$M$2:$M$2001,"="&amp;S667),IF(J667="E",IF(INDEX(Transaksi!$G$2:$G$2001,K667)+INDEX(Transaksi!$H$2:$H$2001,K667)+INDEX(Transaksi!$I$2:$I$2001,K667)=0,"",INDEX(Transaksi!$G$2:$G$2001,K667)+INDEX(Transaksi!$H$2:$H$2001,K667)+INDEX(Transaksi!$I$2:$I$2001,K667)),""))</f>
        <v/>
      </c>
      <c r="F667" s="33">
        <f>IF(J667="H",SUMIFS(Transaksi!$J$2:$J$2001,Transaksi!$M$2:$M$2001,"="&amp;S667),IF(J667="E",IF(INDEX(Transaksi!$J$2:$J$2001,K667)=0,"",INDEX(Transaksi!$J$2:$J$2001,K667)),""))</f>
        <v/>
      </c>
      <c r="G667" s="33">
        <f>IF(J667="H",(SUMIFS(Transaksi!$G$2:$G$2001,Transaksi!$M$2:$M$2001,"&lt;="&amp;S667)+SUMIFS(Transaksi!$H$2:$H$2001,Transaksi!$M$2:$M$2001,"&lt;="&amp;S667)+SUMIFS(Transaksi!$I$2:$I$2001,Transaksi!$M$2:$M$2001,"&lt;="&amp;S667))-(SUMIFS(Transaksi!$J$2:$J$2001,Transaksi!$M$2:$M$2001,"&lt;="&amp;S667)),"")</f>
        <v/>
      </c>
      <c r="I667">
        <f>IF(664&gt;$O$2,"",MATCH(664,$Q$3:$Q$402,1))</f>
        <v/>
      </c>
      <c r="J667">
        <f>IF(I667="","",IF(664=INDEX($Q$3:$Q$402,I667),"H","E"))</f>
        <v/>
      </c>
      <c r="K667">
        <f>IF(J667&lt;&gt;"E","",MATCH(S667,Transaksi!$M$2:$M$2001,0)+664-INDEX($Q$3:$Q$402,I667)-1)</f>
        <v/>
      </c>
      <c r="S667">
        <f>IF(I667="","",INDEX($O$3:$O$402,I667))</f>
        <v/>
      </c>
      <c r="T667">
        <f>IF(J667&lt;&gt;"H","",INDEX(Transaksi!$A$2:$A$2001,MATCH(S667,Transaksi!$M$2:$M$2001,0)))</f>
        <v/>
      </c>
    </row>
    <row r="668">
      <c r="A668" s="31">
        <f>IF(J668="E",IF(INDEX(Transaksi!$J$2:$J$2001,K668)&gt;0,"↑","↓"),"")</f>
        <v/>
      </c>
      <c r="B668" s="32">
        <f>IF(J668="H",CHOOSE(WEEKDAY(T668,2),"Isnin","Selasa","Rabu","Khamis","Jumaat","Sabtu","Ahad")&amp;", "&amp;DAY(T668)&amp;" "&amp;CHOOSE(MONTH(T668),"Jan","Feb","Mac","Apr","Mei","Jun","Jul","Ogo","Sep","Okt","Nov","Dis")&amp;" "&amp;YEAR(T668),IF(J668="E",IF(INDEX(Transaksi!$B$2:$B$2001,K668)="",INDEX(Transaksi!$C$2:$C$2001,K668)&amp;" · "&amp;INDEX(Transaksi!$D$2:$D$2001,K668),INDEX(Transaksi!$B$2:$B$2001,K668)),""))</f>
        <v/>
      </c>
      <c r="C668" s="32">
        <f>IF(J668="E",INDEX(Transaksi!$C$2:$C$2001,K668)&amp;"","")</f>
        <v/>
      </c>
      <c r="D668" s="32">
        <f>IF(J668="E",INDEX(Transaksi!$D$2:$D$2001,K668)&amp;"","")</f>
        <v/>
      </c>
      <c r="E668" s="33">
        <f>IF(J668="H",SUMIFS(Transaksi!$G$2:$G$2001,Transaksi!$M$2:$M$2001,"="&amp;S668)+SUMIFS(Transaksi!$H$2:$H$2001,Transaksi!$M$2:$M$2001,"="&amp;S668)+SUMIFS(Transaksi!$I$2:$I$2001,Transaksi!$M$2:$M$2001,"="&amp;S668),IF(J668="E",IF(INDEX(Transaksi!$G$2:$G$2001,K668)+INDEX(Transaksi!$H$2:$H$2001,K668)+INDEX(Transaksi!$I$2:$I$2001,K668)=0,"",INDEX(Transaksi!$G$2:$G$2001,K668)+INDEX(Transaksi!$H$2:$H$2001,K668)+INDEX(Transaksi!$I$2:$I$2001,K668)),""))</f>
        <v/>
      </c>
      <c r="F668" s="33">
        <f>IF(J668="H",SUMIFS(Transaksi!$J$2:$J$2001,Transaksi!$M$2:$M$2001,"="&amp;S668),IF(J668="E",IF(INDEX(Transaksi!$J$2:$J$2001,K668)=0,"",INDEX(Transaksi!$J$2:$J$2001,K668)),""))</f>
        <v/>
      </c>
      <c r="G668" s="33">
        <f>IF(J668="H",(SUMIFS(Transaksi!$G$2:$G$2001,Transaksi!$M$2:$M$2001,"&lt;="&amp;S668)+SUMIFS(Transaksi!$H$2:$H$2001,Transaksi!$M$2:$M$2001,"&lt;="&amp;S668)+SUMIFS(Transaksi!$I$2:$I$2001,Transaksi!$M$2:$M$2001,"&lt;="&amp;S668))-(SUMIFS(Transaksi!$J$2:$J$2001,Transaksi!$M$2:$M$2001,"&lt;="&amp;S668)),"")</f>
        <v/>
      </c>
      <c r="I668">
        <f>IF(665&gt;$O$2,"",MATCH(665,$Q$3:$Q$402,1))</f>
        <v/>
      </c>
      <c r="J668">
        <f>IF(I668="","",IF(665=INDEX($Q$3:$Q$402,I668),"H","E"))</f>
        <v/>
      </c>
      <c r="K668">
        <f>IF(J668&lt;&gt;"E","",MATCH(S668,Transaksi!$M$2:$M$2001,0)+665-INDEX($Q$3:$Q$402,I668)-1)</f>
        <v/>
      </c>
      <c r="S668">
        <f>IF(I668="","",INDEX($O$3:$O$402,I668))</f>
        <v/>
      </c>
      <c r="T668">
        <f>IF(J668&lt;&gt;"H","",INDEX(Transaksi!$A$2:$A$2001,MATCH(S668,Transaksi!$M$2:$M$2001,0)))</f>
        <v/>
      </c>
    </row>
    <row r="669">
      <c r="A669" s="31">
        <f>IF(J669="E",IF(INDEX(Transaksi!$J$2:$J$2001,K669)&gt;0,"↑","↓"),"")</f>
        <v/>
      </c>
      <c r="B669" s="32">
        <f>IF(J669="H",CHOOSE(WEEKDAY(T669,2),"Isnin","Selasa","Rabu","Khamis","Jumaat","Sabtu","Ahad")&amp;", "&amp;DAY(T669)&amp;" "&amp;CHOOSE(MONTH(T669),"Jan","Feb","Mac","Apr","Mei","Jun","Jul","Ogo","Sep","Okt","Nov","Dis")&amp;" "&amp;YEAR(T669),IF(J669="E",IF(INDEX(Transaksi!$B$2:$B$2001,K669)="",INDEX(Transaksi!$C$2:$C$2001,K669)&amp;" · "&amp;INDEX(Transaksi!$D$2:$D$2001,K669),INDEX(Transaksi!$B$2:$B$2001,K669)),""))</f>
        <v/>
      </c>
      <c r="C669" s="32">
        <f>IF(J669="E",INDEX(Transaksi!$C$2:$C$2001,K669)&amp;"","")</f>
        <v/>
      </c>
      <c r="D669" s="32">
        <f>IF(J669="E",INDEX(Transaksi!$D$2:$D$2001,K669)&amp;"","")</f>
        <v/>
      </c>
      <c r="E669" s="33">
        <f>IF(J669="H",SUMIFS(Transaksi!$G$2:$G$2001,Transaksi!$M$2:$M$2001,"="&amp;S669)+SUMIFS(Transaksi!$H$2:$H$2001,Transaksi!$M$2:$M$2001,"="&amp;S669)+SUMIFS(Transaksi!$I$2:$I$2001,Transaksi!$M$2:$M$2001,"="&amp;S669),IF(J669="E",IF(INDEX(Transaksi!$G$2:$G$2001,K669)+INDEX(Transaksi!$H$2:$H$2001,K669)+INDEX(Transaksi!$I$2:$I$2001,K669)=0,"",INDEX(Transaksi!$G$2:$G$2001,K669)+INDEX(Transaksi!$H$2:$H$2001,K669)+INDEX(Transaksi!$I$2:$I$2001,K669)),""))</f>
        <v/>
      </c>
      <c r="F669" s="33">
        <f>IF(J669="H",SUMIFS(Transaksi!$J$2:$J$2001,Transaksi!$M$2:$M$2001,"="&amp;S669),IF(J669="E",IF(INDEX(Transaksi!$J$2:$J$2001,K669)=0,"",INDEX(Transaksi!$J$2:$J$2001,K669)),""))</f>
        <v/>
      </c>
      <c r="G669" s="33">
        <f>IF(J669="H",(SUMIFS(Transaksi!$G$2:$G$2001,Transaksi!$M$2:$M$2001,"&lt;="&amp;S669)+SUMIFS(Transaksi!$H$2:$H$2001,Transaksi!$M$2:$M$2001,"&lt;="&amp;S669)+SUMIFS(Transaksi!$I$2:$I$2001,Transaksi!$M$2:$M$2001,"&lt;="&amp;S669))-(SUMIFS(Transaksi!$J$2:$J$2001,Transaksi!$M$2:$M$2001,"&lt;="&amp;S669)),"")</f>
        <v/>
      </c>
      <c r="I669">
        <f>IF(666&gt;$O$2,"",MATCH(666,$Q$3:$Q$402,1))</f>
        <v/>
      </c>
      <c r="J669">
        <f>IF(I669="","",IF(666=INDEX($Q$3:$Q$402,I669),"H","E"))</f>
        <v/>
      </c>
      <c r="K669">
        <f>IF(J669&lt;&gt;"E","",MATCH(S669,Transaksi!$M$2:$M$2001,0)+666-INDEX($Q$3:$Q$402,I669)-1)</f>
        <v/>
      </c>
      <c r="S669">
        <f>IF(I669="","",INDEX($O$3:$O$402,I669))</f>
        <v/>
      </c>
      <c r="T669">
        <f>IF(J669&lt;&gt;"H","",INDEX(Transaksi!$A$2:$A$2001,MATCH(S669,Transaksi!$M$2:$M$2001,0)))</f>
        <v/>
      </c>
    </row>
    <row r="670">
      <c r="A670" s="31">
        <f>IF(J670="E",IF(INDEX(Transaksi!$J$2:$J$2001,K670)&gt;0,"↑","↓"),"")</f>
        <v/>
      </c>
      <c r="B670" s="32">
        <f>IF(J670="H",CHOOSE(WEEKDAY(T670,2),"Isnin","Selasa","Rabu","Khamis","Jumaat","Sabtu","Ahad")&amp;", "&amp;DAY(T670)&amp;" "&amp;CHOOSE(MONTH(T670),"Jan","Feb","Mac","Apr","Mei","Jun","Jul","Ogo","Sep","Okt","Nov","Dis")&amp;" "&amp;YEAR(T670),IF(J670="E",IF(INDEX(Transaksi!$B$2:$B$2001,K670)="",INDEX(Transaksi!$C$2:$C$2001,K670)&amp;" · "&amp;INDEX(Transaksi!$D$2:$D$2001,K670),INDEX(Transaksi!$B$2:$B$2001,K670)),""))</f>
        <v/>
      </c>
      <c r="C670" s="32">
        <f>IF(J670="E",INDEX(Transaksi!$C$2:$C$2001,K670)&amp;"","")</f>
        <v/>
      </c>
      <c r="D670" s="32">
        <f>IF(J670="E",INDEX(Transaksi!$D$2:$D$2001,K670)&amp;"","")</f>
        <v/>
      </c>
      <c r="E670" s="33">
        <f>IF(J670="H",SUMIFS(Transaksi!$G$2:$G$2001,Transaksi!$M$2:$M$2001,"="&amp;S670)+SUMIFS(Transaksi!$H$2:$H$2001,Transaksi!$M$2:$M$2001,"="&amp;S670)+SUMIFS(Transaksi!$I$2:$I$2001,Transaksi!$M$2:$M$2001,"="&amp;S670),IF(J670="E",IF(INDEX(Transaksi!$G$2:$G$2001,K670)+INDEX(Transaksi!$H$2:$H$2001,K670)+INDEX(Transaksi!$I$2:$I$2001,K670)=0,"",INDEX(Transaksi!$G$2:$G$2001,K670)+INDEX(Transaksi!$H$2:$H$2001,K670)+INDEX(Transaksi!$I$2:$I$2001,K670)),""))</f>
        <v/>
      </c>
      <c r="F670" s="33">
        <f>IF(J670="H",SUMIFS(Transaksi!$J$2:$J$2001,Transaksi!$M$2:$M$2001,"="&amp;S670),IF(J670="E",IF(INDEX(Transaksi!$J$2:$J$2001,K670)=0,"",INDEX(Transaksi!$J$2:$J$2001,K670)),""))</f>
        <v/>
      </c>
      <c r="G670" s="33">
        <f>IF(J670="H",(SUMIFS(Transaksi!$G$2:$G$2001,Transaksi!$M$2:$M$2001,"&lt;="&amp;S670)+SUMIFS(Transaksi!$H$2:$H$2001,Transaksi!$M$2:$M$2001,"&lt;="&amp;S670)+SUMIFS(Transaksi!$I$2:$I$2001,Transaksi!$M$2:$M$2001,"&lt;="&amp;S670))-(SUMIFS(Transaksi!$J$2:$J$2001,Transaksi!$M$2:$M$2001,"&lt;="&amp;S670)),"")</f>
        <v/>
      </c>
      <c r="I670">
        <f>IF(667&gt;$O$2,"",MATCH(667,$Q$3:$Q$402,1))</f>
        <v/>
      </c>
      <c r="J670">
        <f>IF(I670="","",IF(667=INDEX($Q$3:$Q$402,I670),"H","E"))</f>
        <v/>
      </c>
      <c r="K670">
        <f>IF(J670&lt;&gt;"E","",MATCH(S670,Transaksi!$M$2:$M$2001,0)+667-INDEX($Q$3:$Q$402,I670)-1)</f>
        <v/>
      </c>
      <c r="S670">
        <f>IF(I670="","",INDEX($O$3:$O$402,I670))</f>
        <v/>
      </c>
      <c r="T670">
        <f>IF(J670&lt;&gt;"H","",INDEX(Transaksi!$A$2:$A$2001,MATCH(S670,Transaksi!$M$2:$M$2001,0)))</f>
        <v/>
      </c>
    </row>
    <row r="671">
      <c r="A671" s="31">
        <f>IF(J671="E",IF(INDEX(Transaksi!$J$2:$J$2001,K671)&gt;0,"↑","↓"),"")</f>
        <v/>
      </c>
      <c r="B671" s="32">
        <f>IF(J671="H",CHOOSE(WEEKDAY(T671,2),"Isnin","Selasa","Rabu","Khamis","Jumaat","Sabtu","Ahad")&amp;", "&amp;DAY(T671)&amp;" "&amp;CHOOSE(MONTH(T671),"Jan","Feb","Mac","Apr","Mei","Jun","Jul","Ogo","Sep","Okt","Nov","Dis")&amp;" "&amp;YEAR(T671),IF(J671="E",IF(INDEX(Transaksi!$B$2:$B$2001,K671)="",INDEX(Transaksi!$C$2:$C$2001,K671)&amp;" · "&amp;INDEX(Transaksi!$D$2:$D$2001,K671),INDEX(Transaksi!$B$2:$B$2001,K671)),""))</f>
        <v/>
      </c>
      <c r="C671" s="32">
        <f>IF(J671="E",INDEX(Transaksi!$C$2:$C$2001,K671)&amp;"","")</f>
        <v/>
      </c>
      <c r="D671" s="32">
        <f>IF(J671="E",INDEX(Transaksi!$D$2:$D$2001,K671)&amp;"","")</f>
        <v/>
      </c>
      <c r="E671" s="33">
        <f>IF(J671="H",SUMIFS(Transaksi!$G$2:$G$2001,Transaksi!$M$2:$M$2001,"="&amp;S671)+SUMIFS(Transaksi!$H$2:$H$2001,Transaksi!$M$2:$M$2001,"="&amp;S671)+SUMIFS(Transaksi!$I$2:$I$2001,Transaksi!$M$2:$M$2001,"="&amp;S671),IF(J671="E",IF(INDEX(Transaksi!$G$2:$G$2001,K671)+INDEX(Transaksi!$H$2:$H$2001,K671)+INDEX(Transaksi!$I$2:$I$2001,K671)=0,"",INDEX(Transaksi!$G$2:$G$2001,K671)+INDEX(Transaksi!$H$2:$H$2001,K671)+INDEX(Transaksi!$I$2:$I$2001,K671)),""))</f>
        <v/>
      </c>
      <c r="F671" s="33">
        <f>IF(J671="H",SUMIFS(Transaksi!$J$2:$J$2001,Transaksi!$M$2:$M$2001,"="&amp;S671),IF(J671="E",IF(INDEX(Transaksi!$J$2:$J$2001,K671)=0,"",INDEX(Transaksi!$J$2:$J$2001,K671)),""))</f>
        <v/>
      </c>
      <c r="G671" s="33">
        <f>IF(J671="H",(SUMIFS(Transaksi!$G$2:$G$2001,Transaksi!$M$2:$M$2001,"&lt;="&amp;S671)+SUMIFS(Transaksi!$H$2:$H$2001,Transaksi!$M$2:$M$2001,"&lt;="&amp;S671)+SUMIFS(Transaksi!$I$2:$I$2001,Transaksi!$M$2:$M$2001,"&lt;="&amp;S671))-(SUMIFS(Transaksi!$J$2:$J$2001,Transaksi!$M$2:$M$2001,"&lt;="&amp;S671)),"")</f>
        <v/>
      </c>
      <c r="I671">
        <f>IF(668&gt;$O$2,"",MATCH(668,$Q$3:$Q$402,1))</f>
        <v/>
      </c>
      <c r="J671">
        <f>IF(I671="","",IF(668=INDEX($Q$3:$Q$402,I671),"H","E"))</f>
        <v/>
      </c>
      <c r="K671">
        <f>IF(J671&lt;&gt;"E","",MATCH(S671,Transaksi!$M$2:$M$2001,0)+668-INDEX($Q$3:$Q$402,I671)-1)</f>
        <v/>
      </c>
      <c r="S671">
        <f>IF(I671="","",INDEX($O$3:$O$402,I671))</f>
        <v/>
      </c>
      <c r="T671">
        <f>IF(J671&lt;&gt;"H","",INDEX(Transaksi!$A$2:$A$2001,MATCH(S671,Transaksi!$M$2:$M$2001,0)))</f>
        <v/>
      </c>
    </row>
    <row r="672">
      <c r="A672" s="31">
        <f>IF(J672="E",IF(INDEX(Transaksi!$J$2:$J$2001,K672)&gt;0,"↑","↓"),"")</f>
        <v/>
      </c>
      <c r="B672" s="32">
        <f>IF(J672="H",CHOOSE(WEEKDAY(T672,2),"Isnin","Selasa","Rabu","Khamis","Jumaat","Sabtu","Ahad")&amp;", "&amp;DAY(T672)&amp;" "&amp;CHOOSE(MONTH(T672),"Jan","Feb","Mac","Apr","Mei","Jun","Jul","Ogo","Sep","Okt","Nov","Dis")&amp;" "&amp;YEAR(T672),IF(J672="E",IF(INDEX(Transaksi!$B$2:$B$2001,K672)="",INDEX(Transaksi!$C$2:$C$2001,K672)&amp;" · "&amp;INDEX(Transaksi!$D$2:$D$2001,K672),INDEX(Transaksi!$B$2:$B$2001,K672)),""))</f>
        <v/>
      </c>
      <c r="C672" s="32">
        <f>IF(J672="E",INDEX(Transaksi!$C$2:$C$2001,K672)&amp;"","")</f>
        <v/>
      </c>
      <c r="D672" s="32">
        <f>IF(J672="E",INDEX(Transaksi!$D$2:$D$2001,K672)&amp;"","")</f>
        <v/>
      </c>
      <c r="E672" s="33">
        <f>IF(J672="H",SUMIFS(Transaksi!$G$2:$G$2001,Transaksi!$M$2:$M$2001,"="&amp;S672)+SUMIFS(Transaksi!$H$2:$H$2001,Transaksi!$M$2:$M$2001,"="&amp;S672)+SUMIFS(Transaksi!$I$2:$I$2001,Transaksi!$M$2:$M$2001,"="&amp;S672),IF(J672="E",IF(INDEX(Transaksi!$G$2:$G$2001,K672)+INDEX(Transaksi!$H$2:$H$2001,K672)+INDEX(Transaksi!$I$2:$I$2001,K672)=0,"",INDEX(Transaksi!$G$2:$G$2001,K672)+INDEX(Transaksi!$H$2:$H$2001,K672)+INDEX(Transaksi!$I$2:$I$2001,K672)),""))</f>
        <v/>
      </c>
      <c r="F672" s="33">
        <f>IF(J672="H",SUMIFS(Transaksi!$J$2:$J$2001,Transaksi!$M$2:$M$2001,"="&amp;S672),IF(J672="E",IF(INDEX(Transaksi!$J$2:$J$2001,K672)=0,"",INDEX(Transaksi!$J$2:$J$2001,K672)),""))</f>
        <v/>
      </c>
      <c r="G672" s="33">
        <f>IF(J672="H",(SUMIFS(Transaksi!$G$2:$G$2001,Transaksi!$M$2:$M$2001,"&lt;="&amp;S672)+SUMIFS(Transaksi!$H$2:$H$2001,Transaksi!$M$2:$M$2001,"&lt;="&amp;S672)+SUMIFS(Transaksi!$I$2:$I$2001,Transaksi!$M$2:$M$2001,"&lt;="&amp;S672))-(SUMIFS(Transaksi!$J$2:$J$2001,Transaksi!$M$2:$M$2001,"&lt;="&amp;S672)),"")</f>
        <v/>
      </c>
      <c r="I672">
        <f>IF(669&gt;$O$2,"",MATCH(669,$Q$3:$Q$402,1))</f>
        <v/>
      </c>
      <c r="J672">
        <f>IF(I672="","",IF(669=INDEX($Q$3:$Q$402,I672),"H","E"))</f>
        <v/>
      </c>
      <c r="K672">
        <f>IF(J672&lt;&gt;"E","",MATCH(S672,Transaksi!$M$2:$M$2001,0)+669-INDEX($Q$3:$Q$402,I672)-1)</f>
        <v/>
      </c>
      <c r="S672">
        <f>IF(I672="","",INDEX($O$3:$O$402,I672))</f>
        <v/>
      </c>
      <c r="T672">
        <f>IF(J672&lt;&gt;"H","",INDEX(Transaksi!$A$2:$A$2001,MATCH(S672,Transaksi!$M$2:$M$2001,0)))</f>
        <v/>
      </c>
    </row>
    <row r="673">
      <c r="A673" s="31">
        <f>IF(J673="E",IF(INDEX(Transaksi!$J$2:$J$2001,K673)&gt;0,"↑","↓"),"")</f>
        <v/>
      </c>
      <c r="B673" s="32">
        <f>IF(J673="H",CHOOSE(WEEKDAY(T673,2),"Isnin","Selasa","Rabu","Khamis","Jumaat","Sabtu","Ahad")&amp;", "&amp;DAY(T673)&amp;" "&amp;CHOOSE(MONTH(T673),"Jan","Feb","Mac","Apr","Mei","Jun","Jul","Ogo","Sep","Okt","Nov","Dis")&amp;" "&amp;YEAR(T673),IF(J673="E",IF(INDEX(Transaksi!$B$2:$B$2001,K673)="",INDEX(Transaksi!$C$2:$C$2001,K673)&amp;" · "&amp;INDEX(Transaksi!$D$2:$D$2001,K673),INDEX(Transaksi!$B$2:$B$2001,K673)),""))</f>
        <v/>
      </c>
      <c r="C673" s="32">
        <f>IF(J673="E",INDEX(Transaksi!$C$2:$C$2001,K673)&amp;"","")</f>
        <v/>
      </c>
      <c r="D673" s="32">
        <f>IF(J673="E",INDEX(Transaksi!$D$2:$D$2001,K673)&amp;"","")</f>
        <v/>
      </c>
      <c r="E673" s="33">
        <f>IF(J673="H",SUMIFS(Transaksi!$G$2:$G$2001,Transaksi!$M$2:$M$2001,"="&amp;S673)+SUMIFS(Transaksi!$H$2:$H$2001,Transaksi!$M$2:$M$2001,"="&amp;S673)+SUMIFS(Transaksi!$I$2:$I$2001,Transaksi!$M$2:$M$2001,"="&amp;S673),IF(J673="E",IF(INDEX(Transaksi!$G$2:$G$2001,K673)+INDEX(Transaksi!$H$2:$H$2001,K673)+INDEX(Transaksi!$I$2:$I$2001,K673)=0,"",INDEX(Transaksi!$G$2:$G$2001,K673)+INDEX(Transaksi!$H$2:$H$2001,K673)+INDEX(Transaksi!$I$2:$I$2001,K673)),""))</f>
        <v/>
      </c>
      <c r="F673" s="33">
        <f>IF(J673="H",SUMIFS(Transaksi!$J$2:$J$2001,Transaksi!$M$2:$M$2001,"="&amp;S673),IF(J673="E",IF(INDEX(Transaksi!$J$2:$J$2001,K673)=0,"",INDEX(Transaksi!$J$2:$J$2001,K673)),""))</f>
        <v/>
      </c>
      <c r="G673" s="33">
        <f>IF(J673="H",(SUMIFS(Transaksi!$G$2:$G$2001,Transaksi!$M$2:$M$2001,"&lt;="&amp;S673)+SUMIFS(Transaksi!$H$2:$H$2001,Transaksi!$M$2:$M$2001,"&lt;="&amp;S673)+SUMIFS(Transaksi!$I$2:$I$2001,Transaksi!$M$2:$M$2001,"&lt;="&amp;S673))-(SUMIFS(Transaksi!$J$2:$J$2001,Transaksi!$M$2:$M$2001,"&lt;="&amp;S673)),"")</f>
        <v/>
      </c>
      <c r="I673">
        <f>IF(670&gt;$O$2,"",MATCH(670,$Q$3:$Q$402,1))</f>
        <v/>
      </c>
      <c r="J673">
        <f>IF(I673="","",IF(670=INDEX($Q$3:$Q$402,I673),"H","E"))</f>
        <v/>
      </c>
      <c r="K673">
        <f>IF(J673&lt;&gt;"E","",MATCH(S673,Transaksi!$M$2:$M$2001,0)+670-INDEX($Q$3:$Q$402,I673)-1)</f>
        <v/>
      </c>
      <c r="S673">
        <f>IF(I673="","",INDEX($O$3:$O$402,I673))</f>
        <v/>
      </c>
      <c r="T673">
        <f>IF(J673&lt;&gt;"H","",INDEX(Transaksi!$A$2:$A$2001,MATCH(S673,Transaksi!$M$2:$M$2001,0)))</f>
        <v/>
      </c>
    </row>
    <row r="674">
      <c r="A674" s="31">
        <f>IF(J674="E",IF(INDEX(Transaksi!$J$2:$J$2001,K674)&gt;0,"↑","↓"),"")</f>
        <v/>
      </c>
      <c r="B674" s="32">
        <f>IF(J674="H",CHOOSE(WEEKDAY(T674,2),"Isnin","Selasa","Rabu","Khamis","Jumaat","Sabtu","Ahad")&amp;", "&amp;DAY(T674)&amp;" "&amp;CHOOSE(MONTH(T674),"Jan","Feb","Mac","Apr","Mei","Jun","Jul","Ogo","Sep","Okt","Nov","Dis")&amp;" "&amp;YEAR(T674),IF(J674="E",IF(INDEX(Transaksi!$B$2:$B$2001,K674)="",INDEX(Transaksi!$C$2:$C$2001,K674)&amp;" · "&amp;INDEX(Transaksi!$D$2:$D$2001,K674),INDEX(Transaksi!$B$2:$B$2001,K674)),""))</f>
        <v/>
      </c>
      <c r="C674" s="32">
        <f>IF(J674="E",INDEX(Transaksi!$C$2:$C$2001,K674)&amp;"","")</f>
        <v/>
      </c>
      <c r="D674" s="32">
        <f>IF(J674="E",INDEX(Transaksi!$D$2:$D$2001,K674)&amp;"","")</f>
        <v/>
      </c>
      <c r="E674" s="33">
        <f>IF(J674="H",SUMIFS(Transaksi!$G$2:$G$2001,Transaksi!$M$2:$M$2001,"="&amp;S674)+SUMIFS(Transaksi!$H$2:$H$2001,Transaksi!$M$2:$M$2001,"="&amp;S674)+SUMIFS(Transaksi!$I$2:$I$2001,Transaksi!$M$2:$M$2001,"="&amp;S674),IF(J674="E",IF(INDEX(Transaksi!$G$2:$G$2001,K674)+INDEX(Transaksi!$H$2:$H$2001,K674)+INDEX(Transaksi!$I$2:$I$2001,K674)=0,"",INDEX(Transaksi!$G$2:$G$2001,K674)+INDEX(Transaksi!$H$2:$H$2001,K674)+INDEX(Transaksi!$I$2:$I$2001,K674)),""))</f>
        <v/>
      </c>
      <c r="F674" s="33">
        <f>IF(J674="H",SUMIFS(Transaksi!$J$2:$J$2001,Transaksi!$M$2:$M$2001,"="&amp;S674),IF(J674="E",IF(INDEX(Transaksi!$J$2:$J$2001,K674)=0,"",INDEX(Transaksi!$J$2:$J$2001,K674)),""))</f>
        <v/>
      </c>
      <c r="G674" s="33">
        <f>IF(J674="H",(SUMIFS(Transaksi!$G$2:$G$2001,Transaksi!$M$2:$M$2001,"&lt;="&amp;S674)+SUMIFS(Transaksi!$H$2:$H$2001,Transaksi!$M$2:$M$2001,"&lt;="&amp;S674)+SUMIFS(Transaksi!$I$2:$I$2001,Transaksi!$M$2:$M$2001,"&lt;="&amp;S674))-(SUMIFS(Transaksi!$J$2:$J$2001,Transaksi!$M$2:$M$2001,"&lt;="&amp;S674)),"")</f>
        <v/>
      </c>
      <c r="I674">
        <f>IF(671&gt;$O$2,"",MATCH(671,$Q$3:$Q$402,1))</f>
        <v/>
      </c>
      <c r="J674">
        <f>IF(I674="","",IF(671=INDEX($Q$3:$Q$402,I674),"H","E"))</f>
        <v/>
      </c>
      <c r="K674">
        <f>IF(J674&lt;&gt;"E","",MATCH(S674,Transaksi!$M$2:$M$2001,0)+671-INDEX($Q$3:$Q$402,I674)-1)</f>
        <v/>
      </c>
      <c r="S674">
        <f>IF(I674="","",INDEX($O$3:$O$402,I674))</f>
        <v/>
      </c>
      <c r="T674">
        <f>IF(J674&lt;&gt;"H","",INDEX(Transaksi!$A$2:$A$2001,MATCH(S674,Transaksi!$M$2:$M$2001,0)))</f>
        <v/>
      </c>
    </row>
    <row r="675">
      <c r="A675" s="31">
        <f>IF(J675="E",IF(INDEX(Transaksi!$J$2:$J$2001,K675)&gt;0,"↑","↓"),"")</f>
        <v/>
      </c>
      <c r="B675" s="32">
        <f>IF(J675="H",CHOOSE(WEEKDAY(T675,2),"Isnin","Selasa","Rabu","Khamis","Jumaat","Sabtu","Ahad")&amp;", "&amp;DAY(T675)&amp;" "&amp;CHOOSE(MONTH(T675),"Jan","Feb","Mac","Apr","Mei","Jun","Jul","Ogo","Sep","Okt","Nov","Dis")&amp;" "&amp;YEAR(T675),IF(J675="E",IF(INDEX(Transaksi!$B$2:$B$2001,K675)="",INDEX(Transaksi!$C$2:$C$2001,K675)&amp;" · "&amp;INDEX(Transaksi!$D$2:$D$2001,K675),INDEX(Transaksi!$B$2:$B$2001,K675)),""))</f>
        <v/>
      </c>
      <c r="C675" s="32">
        <f>IF(J675="E",INDEX(Transaksi!$C$2:$C$2001,K675)&amp;"","")</f>
        <v/>
      </c>
      <c r="D675" s="32">
        <f>IF(J675="E",INDEX(Transaksi!$D$2:$D$2001,K675)&amp;"","")</f>
        <v/>
      </c>
      <c r="E675" s="33">
        <f>IF(J675="H",SUMIFS(Transaksi!$G$2:$G$2001,Transaksi!$M$2:$M$2001,"="&amp;S675)+SUMIFS(Transaksi!$H$2:$H$2001,Transaksi!$M$2:$M$2001,"="&amp;S675)+SUMIFS(Transaksi!$I$2:$I$2001,Transaksi!$M$2:$M$2001,"="&amp;S675),IF(J675="E",IF(INDEX(Transaksi!$G$2:$G$2001,K675)+INDEX(Transaksi!$H$2:$H$2001,K675)+INDEX(Transaksi!$I$2:$I$2001,K675)=0,"",INDEX(Transaksi!$G$2:$G$2001,K675)+INDEX(Transaksi!$H$2:$H$2001,K675)+INDEX(Transaksi!$I$2:$I$2001,K675)),""))</f>
        <v/>
      </c>
      <c r="F675" s="33">
        <f>IF(J675="H",SUMIFS(Transaksi!$J$2:$J$2001,Transaksi!$M$2:$M$2001,"="&amp;S675),IF(J675="E",IF(INDEX(Transaksi!$J$2:$J$2001,K675)=0,"",INDEX(Transaksi!$J$2:$J$2001,K675)),""))</f>
        <v/>
      </c>
      <c r="G675" s="33">
        <f>IF(J675="H",(SUMIFS(Transaksi!$G$2:$G$2001,Transaksi!$M$2:$M$2001,"&lt;="&amp;S675)+SUMIFS(Transaksi!$H$2:$H$2001,Transaksi!$M$2:$M$2001,"&lt;="&amp;S675)+SUMIFS(Transaksi!$I$2:$I$2001,Transaksi!$M$2:$M$2001,"&lt;="&amp;S675))-(SUMIFS(Transaksi!$J$2:$J$2001,Transaksi!$M$2:$M$2001,"&lt;="&amp;S675)),"")</f>
        <v/>
      </c>
      <c r="I675">
        <f>IF(672&gt;$O$2,"",MATCH(672,$Q$3:$Q$402,1))</f>
        <v/>
      </c>
      <c r="J675">
        <f>IF(I675="","",IF(672=INDEX($Q$3:$Q$402,I675),"H","E"))</f>
        <v/>
      </c>
      <c r="K675">
        <f>IF(J675&lt;&gt;"E","",MATCH(S675,Transaksi!$M$2:$M$2001,0)+672-INDEX($Q$3:$Q$402,I675)-1)</f>
        <v/>
      </c>
      <c r="S675">
        <f>IF(I675="","",INDEX($O$3:$O$402,I675))</f>
        <v/>
      </c>
      <c r="T675">
        <f>IF(J675&lt;&gt;"H","",INDEX(Transaksi!$A$2:$A$2001,MATCH(S675,Transaksi!$M$2:$M$2001,0)))</f>
        <v/>
      </c>
    </row>
    <row r="676">
      <c r="A676" s="31">
        <f>IF(J676="E",IF(INDEX(Transaksi!$J$2:$J$2001,K676)&gt;0,"↑","↓"),"")</f>
        <v/>
      </c>
      <c r="B676" s="32">
        <f>IF(J676="H",CHOOSE(WEEKDAY(T676,2),"Isnin","Selasa","Rabu","Khamis","Jumaat","Sabtu","Ahad")&amp;", "&amp;DAY(T676)&amp;" "&amp;CHOOSE(MONTH(T676),"Jan","Feb","Mac","Apr","Mei","Jun","Jul","Ogo","Sep","Okt","Nov","Dis")&amp;" "&amp;YEAR(T676),IF(J676="E",IF(INDEX(Transaksi!$B$2:$B$2001,K676)="",INDEX(Transaksi!$C$2:$C$2001,K676)&amp;" · "&amp;INDEX(Transaksi!$D$2:$D$2001,K676),INDEX(Transaksi!$B$2:$B$2001,K676)),""))</f>
        <v/>
      </c>
      <c r="C676" s="32">
        <f>IF(J676="E",INDEX(Transaksi!$C$2:$C$2001,K676)&amp;"","")</f>
        <v/>
      </c>
      <c r="D676" s="32">
        <f>IF(J676="E",INDEX(Transaksi!$D$2:$D$2001,K676)&amp;"","")</f>
        <v/>
      </c>
      <c r="E676" s="33">
        <f>IF(J676="H",SUMIFS(Transaksi!$G$2:$G$2001,Transaksi!$M$2:$M$2001,"="&amp;S676)+SUMIFS(Transaksi!$H$2:$H$2001,Transaksi!$M$2:$M$2001,"="&amp;S676)+SUMIFS(Transaksi!$I$2:$I$2001,Transaksi!$M$2:$M$2001,"="&amp;S676),IF(J676="E",IF(INDEX(Transaksi!$G$2:$G$2001,K676)+INDEX(Transaksi!$H$2:$H$2001,K676)+INDEX(Transaksi!$I$2:$I$2001,K676)=0,"",INDEX(Transaksi!$G$2:$G$2001,K676)+INDEX(Transaksi!$H$2:$H$2001,K676)+INDEX(Transaksi!$I$2:$I$2001,K676)),""))</f>
        <v/>
      </c>
      <c r="F676" s="33">
        <f>IF(J676="H",SUMIFS(Transaksi!$J$2:$J$2001,Transaksi!$M$2:$M$2001,"="&amp;S676),IF(J676="E",IF(INDEX(Transaksi!$J$2:$J$2001,K676)=0,"",INDEX(Transaksi!$J$2:$J$2001,K676)),""))</f>
        <v/>
      </c>
      <c r="G676" s="33">
        <f>IF(J676="H",(SUMIFS(Transaksi!$G$2:$G$2001,Transaksi!$M$2:$M$2001,"&lt;="&amp;S676)+SUMIFS(Transaksi!$H$2:$H$2001,Transaksi!$M$2:$M$2001,"&lt;="&amp;S676)+SUMIFS(Transaksi!$I$2:$I$2001,Transaksi!$M$2:$M$2001,"&lt;="&amp;S676))-(SUMIFS(Transaksi!$J$2:$J$2001,Transaksi!$M$2:$M$2001,"&lt;="&amp;S676)),"")</f>
        <v/>
      </c>
      <c r="I676">
        <f>IF(673&gt;$O$2,"",MATCH(673,$Q$3:$Q$402,1))</f>
        <v/>
      </c>
      <c r="J676">
        <f>IF(I676="","",IF(673=INDEX($Q$3:$Q$402,I676),"H","E"))</f>
        <v/>
      </c>
      <c r="K676">
        <f>IF(J676&lt;&gt;"E","",MATCH(S676,Transaksi!$M$2:$M$2001,0)+673-INDEX($Q$3:$Q$402,I676)-1)</f>
        <v/>
      </c>
      <c r="S676">
        <f>IF(I676="","",INDEX($O$3:$O$402,I676))</f>
        <v/>
      </c>
      <c r="T676">
        <f>IF(J676&lt;&gt;"H","",INDEX(Transaksi!$A$2:$A$2001,MATCH(S676,Transaksi!$M$2:$M$2001,0)))</f>
        <v/>
      </c>
    </row>
    <row r="677">
      <c r="A677" s="31">
        <f>IF(J677="E",IF(INDEX(Transaksi!$J$2:$J$2001,K677)&gt;0,"↑","↓"),"")</f>
        <v/>
      </c>
      <c r="B677" s="32">
        <f>IF(J677="H",CHOOSE(WEEKDAY(T677,2),"Isnin","Selasa","Rabu","Khamis","Jumaat","Sabtu","Ahad")&amp;", "&amp;DAY(T677)&amp;" "&amp;CHOOSE(MONTH(T677),"Jan","Feb","Mac","Apr","Mei","Jun","Jul","Ogo","Sep","Okt","Nov","Dis")&amp;" "&amp;YEAR(T677),IF(J677="E",IF(INDEX(Transaksi!$B$2:$B$2001,K677)="",INDEX(Transaksi!$C$2:$C$2001,K677)&amp;" · "&amp;INDEX(Transaksi!$D$2:$D$2001,K677),INDEX(Transaksi!$B$2:$B$2001,K677)),""))</f>
        <v/>
      </c>
      <c r="C677" s="32">
        <f>IF(J677="E",INDEX(Transaksi!$C$2:$C$2001,K677)&amp;"","")</f>
        <v/>
      </c>
      <c r="D677" s="32">
        <f>IF(J677="E",INDEX(Transaksi!$D$2:$D$2001,K677)&amp;"","")</f>
        <v/>
      </c>
      <c r="E677" s="33">
        <f>IF(J677="H",SUMIFS(Transaksi!$G$2:$G$2001,Transaksi!$M$2:$M$2001,"="&amp;S677)+SUMIFS(Transaksi!$H$2:$H$2001,Transaksi!$M$2:$M$2001,"="&amp;S677)+SUMIFS(Transaksi!$I$2:$I$2001,Transaksi!$M$2:$M$2001,"="&amp;S677),IF(J677="E",IF(INDEX(Transaksi!$G$2:$G$2001,K677)+INDEX(Transaksi!$H$2:$H$2001,K677)+INDEX(Transaksi!$I$2:$I$2001,K677)=0,"",INDEX(Transaksi!$G$2:$G$2001,K677)+INDEX(Transaksi!$H$2:$H$2001,K677)+INDEX(Transaksi!$I$2:$I$2001,K677)),""))</f>
        <v/>
      </c>
      <c r="F677" s="33">
        <f>IF(J677="H",SUMIFS(Transaksi!$J$2:$J$2001,Transaksi!$M$2:$M$2001,"="&amp;S677),IF(J677="E",IF(INDEX(Transaksi!$J$2:$J$2001,K677)=0,"",INDEX(Transaksi!$J$2:$J$2001,K677)),""))</f>
        <v/>
      </c>
      <c r="G677" s="33">
        <f>IF(J677="H",(SUMIFS(Transaksi!$G$2:$G$2001,Transaksi!$M$2:$M$2001,"&lt;="&amp;S677)+SUMIFS(Transaksi!$H$2:$H$2001,Transaksi!$M$2:$M$2001,"&lt;="&amp;S677)+SUMIFS(Transaksi!$I$2:$I$2001,Transaksi!$M$2:$M$2001,"&lt;="&amp;S677))-(SUMIFS(Transaksi!$J$2:$J$2001,Transaksi!$M$2:$M$2001,"&lt;="&amp;S677)),"")</f>
        <v/>
      </c>
      <c r="I677">
        <f>IF(674&gt;$O$2,"",MATCH(674,$Q$3:$Q$402,1))</f>
        <v/>
      </c>
      <c r="J677">
        <f>IF(I677="","",IF(674=INDEX($Q$3:$Q$402,I677),"H","E"))</f>
        <v/>
      </c>
      <c r="K677">
        <f>IF(J677&lt;&gt;"E","",MATCH(S677,Transaksi!$M$2:$M$2001,0)+674-INDEX($Q$3:$Q$402,I677)-1)</f>
        <v/>
      </c>
      <c r="S677">
        <f>IF(I677="","",INDEX($O$3:$O$402,I677))</f>
        <v/>
      </c>
      <c r="T677">
        <f>IF(J677&lt;&gt;"H","",INDEX(Transaksi!$A$2:$A$2001,MATCH(S677,Transaksi!$M$2:$M$2001,0)))</f>
        <v/>
      </c>
    </row>
    <row r="678">
      <c r="A678" s="31">
        <f>IF(J678="E",IF(INDEX(Transaksi!$J$2:$J$2001,K678)&gt;0,"↑","↓"),"")</f>
        <v/>
      </c>
      <c r="B678" s="32">
        <f>IF(J678="H",CHOOSE(WEEKDAY(T678,2),"Isnin","Selasa","Rabu","Khamis","Jumaat","Sabtu","Ahad")&amp;", "&amp;DAY(T678)&amp;" "&amp;CHOOSE(MONTH(T678),"Jan","Feb","Mac","Apr","Mei","Jun","Jul","Ogo","Sep","Okt","Nov","Dis")&amp;" "&amp;YEAR(T678),IF(J678="E",IF(INDEX(Transaksi!$B$2:$B$2001,K678)="",INDEX(Transaksi!$C$2:$C$2001,K678)&amp;" · "&amp;INDEX(Transaksi!$D$2:$D$2001,K678),INDEX(Transaksi!$B$2:$B$2001,K678)),""))</f>
        <v/>
      </c>
      <c r="C678" s="32">
        <f>IF(J678="E",INDEX(Transaksi!$C$2:$C$2001,K678)&amp;"","")</f>
        <v/>
      </c>
      <c r="D678" s="32">
        <f>IF(J678="E",INDEX(Transaksi!$D$2:$D$2001,K678)&amp;"","")</f>
        <v/>
      </c>
      <c r="E678" s="33">
        <f>IF(J678="H",SUMIFS(Transaksi!$G$2:$G$2001,Transaksi!$M$2:$M$2001,"="&amp;S678)+SUMIFS(Transaksi!$H$2:$H$2001,Transaksi!$M$2:$M$2001,"="&amp;S678)+SUMIFS(Transaksi!$I$2:$I$2001,Transaksi!$M$2:$M$2001,"="&amp;S678),IF(J678="E",IF(INDEX(Transaksi!$G$2:$G$2001,K678)+INDEX(Transaksi!$H$2:$H$2001,K678)+INDEX(Transaksi!$I$2:$I$2001,K678)=0,"",INDEX(Transaksi!$G$2:$G$2001,K678)+INDEX(Transaksi!$H$2:$H$2001,K678)+INDEX(Transaksi!$I$2:$I$2001,K678)),""))</f>
        <v/>
      </c>
      <c r="F678" s="33">
        <f>IF(J678="H",SUMIFS(Transaksi!$J$2:$J$2001,Transaksi!$M$2:$M$2001,"="&amp;S678),IF(J678="E",IF(INDEX(Transaksi!$J$2:$J$2001,K678)=0,"",INDEX(Transaksi!$J$2:$J$2001,K678)),""))</f>
        <v/>
      </c>
      <c r="G678" s="33">
        <f>IF(J678="H",(SUMIFS(Transaksi!$G$2:$G$2001,Transaksi!$M$2:$M$2001,"&lt;="&amp;S678)+SUMIFS(Transaksi!$H$2:$H$2001,Transaksi!$M$2:$M$2001,"&lt;="&amp;S678)+SUMIFS(Transaksi!$I$2:$I$2001,Transaksi!$M$2:$M$2001,"&lt;="&amp;S678))-(SUMIFS(Transaksi!$J$2:$J$2001,Transaksi!$M$2:$M$2001,"&lt;="&amp;S678)),"")</f>
        <v/>
      </c>
      <c r="I678">
        <f>IF(675&gt;$O$2,"",MATCH(675,$Q$3:$Q$402,1))</f>
        <v/>
      </c>
      <c r="J678">
        <f>IF(I678="","",IF(675=INDEX($Q$3:$Q$402,I678),"H","E"))</f>
        <v/>
      </c>
      <c r="K678">
        <f>IF(J678&lt;&gt;"E","",MATCH(S678,Transaksi!$M$2:$M$2001,0)+675-INDEX($Q$3:$Q$402,I678)-1)</f>
        <v/>
      </c>
      <c r="S678">
        <f>IF(I678="","",INDEX($O$3:$O$402,I678))</f>
        <v/>
      </c>
      <c r="T678">
        <f>IF(J678&lt;&gt;"H","",INDEX(Transaksi!$A$2:$A$2001,MATCH(S678,Transaksi!$M$2:$M$2001,0)))</f>
        <v/>
      </c>
    </row>
    <row r="679">
      <c r="A679" s="31">
        <f>IF(J679="E",IF(INDEX(Transaksi!$J$2:$J$2001,K679)&gt;0,"↑","↓"),"")</f>
        <v/>
      </c>
      <c r="B679" s="32">
        <f>IF(J679="H",CHOOSE(WEEKDAY(T679,2),"Isnin","Selasa","Rabu","Khamis","Jumaat","Sabtu","Ahad")&amp;", "&amp;DAY(T679)&amp;" "&amp;CHOOSE(MONTH(T679),"Jan","Feb","Mac","Apr","Mei","Jun","Jul","Ogo","Sep","Okt","Nov","Dis")&amp;" "&amp;YEAR(T679),IF(J679="E",IF(INDEX(Transaksi!$B$2:$B$2001,K679)="",INDEX(Transaksi!$C$2:$C$2001,K679)&amp;" · "&amp;INDEX(Transaksi!$D$2:$D$2001,K679),INDEX(Transaksi!$B$2:$B$2001,K679)),""))</f>
        <v/>
      </c>
      <c r="C679" s="32">
        <f>IF(J679="E",INDEX(Transaksi!$C$2:$C$2001,K679)&amp;"","")</f>
        <v/>
      </c>
      <c r="D679" s="32">
        <f>IF(J679="E",INDEX(Transaksi!$D$2:$D$2001,K679)&amp;"","")</f>
        <v/>
      </c>
      <c r="E679" s="33">
        <f>IF(J679="H",SUMIFS(Transaksi!$G$2:$G$2001,Transaksi!$M$2:$M$2001,"="&amp;S679)+SUMIFS(Transaksi!$H$2:$H$2001,Transaksi!$M$2:$M$2001,"="&amp;S679)+SUMIFS(Transaksi!$I$2:$I$2001,Transaksi!$M$2:$M$2001,"="&amp;S679),IF(J679="E",IF(INDEX(Transaksi!$G$2:$G$2001,K679)+INDEX(Transaksi!$H$2:$H$2001,K679)+INDEX(Transaksi!$I$2:$I$2001,K679)=0,"",INDEX(Transaksi!$G$2:$G$2001,K679)+INDEX(Transaksi!$H$2:$H$2001,K679)+INDEX(Transaksi!$I$2:$I$2001,K679)),""))</f>
        <v/>
      </c>
      <c r="F679" s="33">
        <f>IF(J679="H",SUMIFS(Transaksi!$J$2:$J$2001,Transaksi!$M$2:$M$2001,"="&amp;S679),IF(J679="E",IF(INDEX(Transaksi!$J$2:$J$2001,K679)=0,"",INDEX(Transaksi!$J$2:$J$2001,K679)),""))</f>
        <v/>
      </c>
      <c r="G679" s="33">
        <f>IF(J679="H",(SUMIFS(Transaksi!$G$2:$G$2001,Transaksi!$M$2:$M$2001,"&lt;="&amp;S679)+SUMIFS(Transaksi!$H$2:$H$2001,Transaksi!$M$2:$M$2001,"&lt;="&amp;S679)+SUMIFS(Transaksi!$I$2:$I$2001,Transaksi!$M$2:$M$2001,"&lt;="&amp;S679))-(SUMIFS(Transaksi!$J$2:$J$2001,Transaksi!$M$2:$M$2001,"&lt;="&amp;S679)),"")</f>
        <v/>
      </c>
      <c r="I679">
        <f>IF(676&gt;$O$2,"",MATCH(676,$Q$3:$Q$402,1))</f>
        <v/>
      </c>
      <c r="J679">
        <f>IF(I679="","",IF(676=INDEX($Q$3:$Q$402,I679),"H","E"))</f>
        <v/>
      </c>
      <c r="K679">
        <f>IF(J679&lt;&gt;"E","",MATCH(S679,Transaksi!$M$2:$M$2001,0)+676-INDEX($Q$3:$Q$402,I679)-1)</f>
        <v/>
      </c>
      <c r="S679">
        <f>IF(I679="","",INDEX($O$3:$O$402,I679))</f>
        <v/>
      </c>
      <c r="T679">
        <f>IF(J679&lt;&gt;"H","",INDEX(Transaksi!$A$2:$A$2001,MATCH(S679,Transaksi!$M$2:$M$2001,0)))</f>
        <v/>
      </c>
    </row>
    <row r="680">
      <c r="A680" s="31">
        <f>IF(J680="E",IF(INDEX(Transaksi!$J$2:$J$2001,K680)&gt;0,"↑","↓"),"")</f>
        <v/>
      </c>
      <c r="B680" s="32">
        <f>IF(J680="H",CHOOSE(WEEKDAY(T680,2),"Isnin","Selasa","Rabu","Khamis","Jumaat","Sabtu","Ahad")&amp;", "&amp;DAY(T680)&amp;" "&amp;CHOOSE(MONTH(T680),"Jan","Feb","Mac","Apr","Mei","Jun","Jul","Ogo","Sep","Okt","Nov","Dis")&amp;" "&amp;YEAR(T680),IF(J680="E",IF(INDEX(Transaksi!$B$2:$B$2001,K680)="",INDEX(Transaksi!$C$2:$C$2001,K680)&amp;" · "&amp;INDEX(Transaksi!$D$2:$D$2001,K680),INDEX(Transaksi!$B$2:$B$2001,K680)),""))</f>
        <v/>
      </c>
      <c r="C680" s="32">
        <f>IF(J680="E",INDEX(Transaksi!$C$2:$C$2001,K680)&amp;"","")</f>
        <v/>
      </c>
      <c r="D680" s="32">
        <f>IF(J680="E",INDEX(Transaksi!$D$2:$D$2001,K680)&amp;"","")</f>
        <v/>
      </c>
      <c r="E680" s="33">
        <f>IF(J680="H",SUMIFS(Transaksi!$G$2:$G$2001,Transaksi!$M$2:$M$2001,"="&amp;S680)+SUMIFS(Transaksi!$H$2:$H$2001,Transaksi!$M$2:$M$2001,"="&amp;S680)+SUMIFS(Transaksi!$I$2:$I$2001,Transaksi!$M$2:$M$2001,"="&amp;S680),IF(J680="E",IF(INDEX(Transaksi!$G$2:$G$2001,K680)+INDEX(Transaksi!$H$2:$H$2001,K680)+INDEX(Transaksi!$I$2:$I$2001,K680)=0,"",INDEX(Transaksi!$G$2:$G$2001,K680)+INDEX(Transaksi!$H$2:$H$2001,K680)+INDEX(Transaksi!$I$2:$I$2001,K680)),""))</f>
        <v/>
      </c>
      <c r="F680" s="33">
        <f>IF(J680="H",SUMIFS(Transaksi!$J$2:$J$2001,Transaksi!$M$2:$M$2001,"="&amp;S680),IF(J680="E",IF(INDEX(Transaksi!$J$2:$J$2001,K680)=0,"",INDEX(Transaksi!$J$2:$J$2001,K680)),""))</f>
        <v/>
      </c>
      <c r="G680" s="33">
        <f>IF(J680="H",(SUMIFS(Transaksi!$G$2:$G$2001,Transaksi!$M$2:$M$2001,"&lt;="&amp;S680)+SUMIFS(Transaksi!$H$2:$H$2001,Transaksi!$M$2:$M$2001,"&lt;="&amp;S680)+SUMIFS(Transaksi!$I$2:$I$2001,Transaksi!$M$2:$M$2001,"&lt;="&amp;S680))-(SUMIFS(Transaksi!$J$2:$J$2001,Transaksi!$M$2:$M$2001,"&lt;="&amp;S680)),"")</f>
        <v/>
      </c>
      <c r="I680">
        <f>IF(677&gt;$O$2,"",MATCH(677,$Q$3:$Q$402,1))</f>
        <v/>
      </c>
      <c r="J680">
        <f>IF(I680="","",IF(677=INDEX($Q$3:$Q$402,I680),"H","E"))</f>
        <v/>
      </c>
      <c r="K680">
        <f>IF(J680&lt;&gt;"E","",MATCH(S680,Transaksi!$M$2:$M$2001,0)+677-INDEX($Q$3:$Q$402,I680)-1)</f>
        <v/>
      </c>
      <c r="S680">
        <f>IF(I680="","",INDEX($O$3:$O$402,I680))</f>
        <v/>
      </c>
      <c r="T680">
        <f>IF(J680&lt;&gt;"H","",INDEX(Transaksi!$A$2:$A$2001,MATCH(S680,Transaksi!$M$2:$M$2001,0)))</f>
        <v/>
      </c>
    </row>
    <row r="681">
      <c r="A681" s="31">
        <f>IF(J681="E",IF(INDEX(Transaksi!$J$2:$J$2001,K681)&gt;0,"↑","↓"),"")</f>
        <v/>
      </c>
      <c r="B681" s="32">
        <f>IF(J681="H",CHOOSE(WEEKDAY(T681,2),"Isnin","Selasa","Rabu","Khamis","Jumaat","Sabtu","Ahad")&amp;", "&amp;DAY(T681)&amp;" "&amp;CHOOSE(MONTH(T681),"Jan","Feb","Mac","Apr","Mei","Jun","Jul","Ogo","Sep","Okt","Nov","Dis")&amp;" "&amp;YEAR(T681),IF(J681="E",IF(INDEX(Transaksi!$B$2:$B$2001,K681)="",INDEX(Transaksi!$C$2:$C$2001,K681)&amp;" · "&amp;INDEX(Transaksi!$D$2:$D$2001,K681),INDEX(Transaksi!$B$2:$B$2001,K681)),""))</f>
        <v/>
      </c>
      <c r="C681" s="32">
        <f>IF(J681="E",INDEX(Transaksi!$C$2:$C$2001,K681)&amp;"","")</f>
        <v/>
      </c>
      <c r="D681" s="32">
        <f>IF(J681="E",INDEX(Transaksi!$D$2:$D$2001,K681)&amp;"","")</f>
        <v/>
      </c>
      <c r="E681" s="33">
        <f>IF(J681="H",SUMIFS(Transaksi!$G$2:$G$2001,Transaksi!$M$2:$M$2001,"="&amp;S681)+SUMIFS(Transaksi!$H$2:$H$2001,Transaksi!$M$2:$M$2001,"="&amp;S681)+SUMIFS(Transaksi!$I$2:$I$2001,Transaksi!$M$2:$M$2001,"="&amp;S681),IF(J681="E",IF(INDEX(Transaksi!$G$2:$G$2001,K681)+INDEX(Transaksi!$H$2:$H$2001,K681)+INDEX(Transaksi!$I$2:$I$2001,K681)=0,"",INDEX(Transaksi!$G$2:$G$2001,K681)+INDEX(Transaksi!$H$2:$H$2001,K681)+INDEX(Transaksi!$I$2:$I$2001,K681)),""))</f>
        <v/>
      </c>
      <c r="F681" s="33">
        <f>IF(J681="H",SUMIFS(Transaksi!$J$2:$J$2001,Transaksi!$M$2:$M$2001,"="&amp;S681),IF(J681="E",IF(INDEX(Transaksi!$J$2:$J$2001,K681)=0,"",INDEX(Transaksi!$J$2:$J$2001,K681)),""))</f>
        <v/>
      </c>
      <c r="G681" s="33">
        <f>IF(J681="H",(SUMIFS(Transaksi!$G$2:$G$2001,Transaksi!$M$2:$M$2001,"&lt;="&amp;S681)+SUMIFS(Transaksi!$H$2:$H$2001,Transaksi!$M$2:$M$2001,"&lt;="&amp;S681)+SUMIFS(Transaksi!$I$2:$I$2001,Transaksi!$M$2:$M$2001,"&lt;="&amp;S681))-(SUMIFS(Transaksi!$J$2:$J$2001,Transaksi!$M$2:$M$2001,"&lt;="&amp;S681)),"")</f>
        <v/>
      </c>
      <c r="I681">
        <f>IF(678&gt;$O$2,"",MATCH(678,$Q$3:$Q$402,1))</f>
        <v/>
      </c>
      <c r="J681">
        <f>IF(I681="","",IF(678=INDEX($Q$3:$Q$402,I681),"H","E"))</f>
        <v/>
      </c>
      <c r="K681">
        <f>IF(J681&lt;&gt;"E","",MATCH(S681,Transaksi!$M$2:$M$2001,0)+678-INDEX($Q$3:$Q$402,I681)-1)</f>
        <v/>
      </c>
      <c r="S681">
        <f>IF(I681="","",INDEX($O$3:$O$402,I681))</f>
        <v/>
      </c>
      <c r="T681">
        <f>IF(J681&lt;&gt;"H","",INDEX(Transaksi!$A$2:$A$2001,MATCH(S681,Transaksi!$M$2:$M$2001,0)))</f>
        <v/>
      </c>
    </row>
    <row r="682">
      <c r="A682" s="31">
        <f>IF(J682="E",IF(INDEX(Transaksi!$J$2:$J$2001,K682)&gt;0,"↑","↓"),"")</f>
        <v/>
      </c>
      <c r="B682" s="32">
        <f>IF(J682="H",CHOOSE(WEEKDAY(T682,2),"Isnin","Selasa","Rabu","Khamis","Jumaat","Sabtu","Ahad")&amp;", "&amp;DAY(T682)&amp;" "&amp;CHOOSE(MONTH(T682),"Jan","Feb","Mac","Apr","Mei","Jun","Jul","Ogo","Sep","Okt","Nov","Dis")&amp;" "&amp;YEAR(T682),IF(J682="E",IF(INDEX(Transaksi!$B$2:$B$2001,K682)="",INDEX(Transaksi!$C$2:$C$2001,K682)&amp;" · "&amp;INDEX(Transaksi!$D$2:$D$2001,K682),INDEX(Transaksi!$B$2:$B$2001,K682)),""))</f>
        <v/>
      </c>
      <c r="C682" s="32">
        <f>IF(J682="E",INDEX(Transaksi!$C$2:$C$2001,K682)&amp;"","")</f>
        <v/>
      </c>
      <c r="D682" s="32">
        <f>IF(J682="E",INDEX(Transaksi!$D$2:$D$2001,K682)&amp;"","")</f>
        <v/>
      </c>
      <c r="E682" s="33">
        <f>IF(J682="H",SUMIFS(Transaksi!$G$2:$G$2001,Transaksi!$M$2:$M$2001,"="&amp;S682)+SUMIFS(Transaksi!$H$2:$H$2001,Transaksi!$M$2:$M$2001,"="&amp;S682)+SUMIFS(Transaksi!$I$2:$I$2001,Transaksi!$M$2:$M$2001,"="&amp;S682),IF(J682="E",IF(INDEX(Transaksi!$G$2:$G$2001,K682)+INDEX(Transaksi!$H$2:$H$2001,K682)+INDEX(Transaksi!$I$2:$I$2001,K682)=0,"",INDEX(Transaksi!$G$2:$G$2001,K682)+INDEX(Transaksi!$H$2:$H$2001,K682)+INDEX(Transaksi!$I$2:$I$2001,K682)),""))</f>
        <v/>
      </c>
      <c r="F682" s="33">
        <f>IF(J682="H",SUMIFS(Transaksi!$J$2:$J$2001,Transaksi!$M$2:$M$2001,"="&amp;S682),IF(J682="E",IF(INDEX(Transaksi!$J$2:$J$2001,K682)=0,"",INDEX(Transaksi!$J$2:$J$2001,K682)),""))</f>
        <v/>
      </c>
      <c r="G682" s="33">
        <f>IF(J682="H",(SUMIFS(Transaksi!$G$2:$G$2001,Transaksi!$M$2:$M$2001,"&lt;="&amp;S682)+SUMIFS(Transaksi!$H$2:$H$2001,Transaksi!$M$2:$M$2001,"&lt;="&amp;S682)+SUMIFS(Transaksi!$I$2:$I$2001,Transaksi!$M$2:$M$2001,"&lt;="&amp;S682))-(SUMIFS(Transaksi!$J$2:$J$2001,Transaksi!$M$2:$M$2001,"&lt;="&amp;S682)),"")</f>
        <v/>
      </c>
      <c r="I682">
        <f>IF(679&gt;$O$2,"",MATCH(679,$Q$3:$Q$402,1))</f>
        <v/>
      </c>
      <c r="J682">
        <f>IF(I682="","",IF(679=INDEX($Q$3:$Q$402,I682),"H","E"))</f>
        <v/>
      </c>
      <c r="K682">
        <f>IF(J682&lt;&gt;"E","",MATCH(S682,Transaksi!$M$2:$M$2001,0)+679-INDEX($Q$3:$Q$402,I682)-1)</f>
        <v/>
      </c>
      <c r="S682">
        <f>IF(I682="","",INDEX($O$3:$O$402,I682))</f>
        <v/>
      </c>
      <c r="T682">
        <f>IF(J682&lt;&gt;"H","",INDEX(Transaksi!$A$2:$A$2001,MATCH(S682,Transaksi!$M$2:$M$2001,0)))</f>
        <v/>
      </c>
    </row>
    <row r="683">
      <c r="A683" s="31">
        <f>IF(J683="E",IF(INDEX(Transaksi!$J$2:$J$2001,K683)&gt;0,"↑","↓"),"")</f>
        <v/>
      </c>
      <c r="B683" s="32">
        <f>IF(J683="H",CHOOSE(WEEKDAY(T683,2),"Isnin","Selasa","Rabu","Khamis","Jumaat","Sabtu","Ahad")&amp;", "&amp;DAY(T683)&amp;" "&amp;CHOOSE(MONTH(T683),"Jan","Feb","Mac","Apr","Mei","Jun","Jul","Ogo","Sep","Okt","Nov","Dis")&amp;" "&amp;YEAR(T683),IF(J683="E",IF(INDEX(Transaksi!$B$2:$B$2001,K683)="",INDEX(Transaksi!$C$2:$C$2001,K683)&amp;" · "&amp;INDEX(Transaksi!$D$2:$D$2001,K683),INDEX(Transaksi!$B$2:$B$2001,K683)),""))</f>
        <v/>
      </c>
      <c r="C683" s="32">
        <f>IF(J683="E",INDEX(Transaksi!$C$2:$C$2001,K683)&amp;"","")</f>
        <v/>
      </c>
      <c r="D683" s="32">
        <f>IF(J683="E",INDEX(Transaksi!$D$2:$D$2001,K683)&amp;"","")</f>
        <v/>
      </c>
      <c r="E683" s="33">
        <f>IF(J683="H",SUMIFS(Transaksi!$G$2:$G$2001,Transaksi!$M$2:$M$2001,"="&amp;S683)+SUMIFS(Transaksi!$H$2:$H$2001,Transaksi!$M$2:$M$2001,"="&amp;S683)+SUMIFS(Transaksi!$I$2:$I$2001,Transaksi!$M$2:$M$2001,"="&amp;S683),IF(J683="E",IF(INDEX(Transaksi!$G$2:$G$2001,K683)+INDEX(Transaksi!$H$2:$H$2001,K683)+INDEX(Transaksi!$I$2:$I$2001,K683)=0,"",INDEX(Transaksi!$G$2:$G$2001,K683)+INDEX(Transaksi!$H$2:$H$2001,K683)+INDEX(Transaksi!$I$2:$I$2001,K683)),""))</f>
        <v/>
      </c>
      <c r="F683" s="33">
        <f>IF(J683="H",SUMIFS(Transaksi!$J$2:$J$2001,Transaksi!$M$2:$M$2001,"="&amp;S683),IF(J683="E",IF(INDEX(Transaksi!$J$2:$J$2001,K683)=0,"",INDEX(Transaksi!$J$2:$J$2001,K683)),""))</f>
        <v/>
      </c>
      <c r="G683" s="33">
        <f>IF(J683="H",(SUMIFS(Transaksi!$G$2:$G$2001,Transaksi!$M$2:$M$2001,"&lt;="&amp;S683)+SUMIFS(Transaksi!$H$2:$H$2001,Transaksi!$M$2:$M$2001,"&lt;="&amp;S683)+SUMIFS(Transaksi!$I$2:$I$2001,Transaksi!$M$2:$M$2001,"&lt;="&amp;S683))-(SUMIFS(Transaksi!$J$2:$J$2001,Transaksi!$M$2:$M$2001,"&lt;="&amp;S683)),"")</f>
        <v/>
      </c>
      <c r="I683">
        <f>IF(680&gt;$O$2,"",MATCH(680,$Q$3:$Q$402,1))</f>
        <v/>
      </c>
      <c r="J683">
        <f>IF(I683="","",IF(680=INDEX($Q$3:$Q$402,I683),"H","E"))</f>
        <v/>
      </c>
      <c r="K683">
        <f>IF(J683&lt;&gt;"E","",MATCH(S683,Transaksi!$M$2:$M$2001,0)+680-INDEX($Q$3:$Q$402,I683)-1)</f>
        <v/>
      </c>
      <c r="S683">
        <f>IF(I683="","",INDEX($O$3:$O$402,I683))</f>
        <v/>
      </c>
      <c r="T683">
        <f>IF(J683&lt;&gt;"H","",INDEX(Transaksi!$A$2:$A$2001,MATCH(S683,Transaksi!$M$2:$M$2001,0)))</f>
        <v/>
      </c>
    </row>
    <row r="684">
      <c r="A684" s="31">
        <f>IF(J684="E",IF(INDEX(Transaksi!$J$2:$J$2001,K684)&gt;0,"↑","↓"),"")</f>
        <v/>
      </c>
      <c r="B684" s="32">
        <f>IF(J684="H",CHOOSE(WEEKDAY(T684,2),"Isnin","Selasa","Rabu","Khamis","Jumaat","Sabtu","Ahad")&amp;", "&amp;DAY(T684)&amp;" "&amp;CHOOSE(MONTH(T684),"Jan","Feb","Mac","Apr","Mei","Jun","Jul","Ogo","Sep","Okt","Nov","Dis")&amp;" "&amp;YEAR(T684),IF(J684="E",IF(INDEX(Transaksi!$B$2:$B$2001,K684)="",INDEX(Transaksi!$C$2:$C$2001,K684)&amp;" · "&amp;INDEX(Transaksi!$D$2:$D$2001,K684),INDEX(Transaksi!$B$2:$B$2001,K684)),""))</f>
        <v/>
      </c>
      <c r="C684" s="32">
        <f>IF(J684="E",INDEX(Transaksi!$C$2:$C$2001,K684)&amp;"","")</f>
        <v/>
      </c>
      <c r="D684" s="32">
        <f>IF(J684="E",INDEX(Transaksi!$D$2:$D$2001,K684)&amp;"","")</f>
        <v/>
      </c>
      <c r="E684" s="33">
        <f>IF(J684="H",SUMIFS(Transaksi!$G$2:$G$2001,Transaksi!$M$2:$M$2001,"="&amp;S684)+SUMIFS(Transaksi!$H$2:$H$2001,Transaksi!$M$2:$M$2001,"="&amp;S684)+SUMIFS(Transaksi!$I$2:$I$2001,Transaksi!$M$2:$M$2001,"="&amp;S684),IF(J684="E",IF(INDEX(Transaksi!$G$2:$G$2001,K684)+INDEX(Transaksi!$H$2:$H$2001,K684)+INDEX(Transaksi!$I$2:$I$2001,K684)=0,"",INDEX(Transaksi!$G$2:$G$2001,K684)+INDEX(Transaksi!$H$2:$H$2001,K684)+INDEX(Transaksi!$I$2:$I$2001,K684)),""))</f>
        <v/>
      </c>
      <c r="F684" s="33">
        <f>IF(J684="H",SUMIFS(Transaksi!$J$2:$J$2001,Transaksi!$M$2:$M$2001,"="&amp;S684),IF(J684="E",IF(INDEX(Transaksi!$J$2:$J$2001,K684)=0,"",INDEX(Transaksi!$J$2:$J$2001,K684)),""))</f>
        <v/>
      </c>
      <c r="G684" s="33">
        <f>IF(J684="H",(SUMIFS(Transaksi!$G$2:$G$2001,Transaksi!$M$2:$M$2001,"&lt;="&amp;S684)+SUMIFS(Transaksi!$H$2:$H$2001,Transaksi!$M$2:$M$2001,"&lt;="&amp;S684)+SUMIFS(Transaksi!$I$2:$I$2001,Transaksi!$M$2:$M$2001,"&lt;="&amp;S684))-(SUMIFS(Transaksi!$J$2:$J$2001,Transaksi!$M$2:$M$2001,"&lt;="&amp;S684)),"")</f>
        <v/>
      </c>
      <c r="I684">
        <f>IF(681&gt;$O$2,"",MATCH(681,$Q$3:$Q$402,1))</f>
        <v/>
      </c>
      <c r="J684">
        <f>IF(I684="","",IF(681=INDEX($Q$3:$Q$402,I684),"H","E"))</f>
        <v/>
      </c>
      <c r="K684">
        <f>IF(J684&lt;&gt;"E","",MATCH(S684,Transaksi!$M$2:$M$2001,0)+681-INDEX($Q$3:$Q$402,I684)-1)</f>
        <v/>
      </c>
      <c r="S684">
        <f>IF(I684="","",INDEX($O$3:$O$402,I684))</f>
        <v/>
      </c>
      <c r="T684">
        <f>IF(J684&lt;&gt;"H","",INDEX(Transaksi!$A$2:$A$2001,MATCH(S684,Transaksi!$M$2:$M$2001,0)))</f>
        <v/>
      </c>
    </row>
    <row r="685">
      <c r="A685" s="31">
        <f>IF(J685="E",IF(INDEX(Transaksi!$J$2:$J$2001,K685)&gt;0,"↑","↓"),"")</f>
        <v/>
      </c>
      <c r="B685" s="32">
        <f>IF(J685="H",CHOOSE(WEEKDAY(T685,2),"Isnin","Selasa","Rabu","Khamis","Jumaat","Sabtu","Ahad")&amp;", "&amp;DAY(T685)&amp;" "&amp;CHOOSE(MONTH(T685),"Jan","Feb","Mac","Apr","Mei","Jun","Jul","Ogo","Sep","Okt","Nov","Dis")&amp;" "&amp;YEAR(T685),IF(J685="E",IF(INDEX(Transaksi!$B$2:$B$2001,K685)="",INDEX(Transaksi!$C$2:$C$2001,K685)&amp;" · "&amp;INDEX(Transaksi!$D$2:$D$2001,K685),INDEX(Transaksi!$B$2:$B$2001,K685)),""))</f>
        <v/>
      </c>
      <c r="C685" s="32">
        <f>IF(J685="E",INDEX(Transaksi!$C$2:$C$2001,K685)&amp;"","")</f>
        <v/>
      </c>
      <c r="D685" s="32">
        <f>IF(J685="E",INDEX(Transaksi!$D$2:$D$2001,K685)&amp;"","")</f>
        <v/>
      </c>
      <c r="E685" s="33">
        <f>IF(J685="H",SUMIFS(Transaksi!$G$2:$G$2001,Transaksi!$M$2:$M$2001,"="&amp;S685)+SUMIFS(Transaksi!$H$2:$H$2001,Transaksi!$M$2:$M$2001,"="&amp;S685)+SUMIFS(Transaksi!$I$2:$I$2001,Transaksi!$M$2:$M$2001,"="&amp;S685),IF(J685="E",IF(INDEX(Transaksi!$G$2:$G$2001,K685)+INDEX(Transaksi!$H$2:$H$2001,K685)+INDEX(Transaksi!$I$2:$I$2001,K685)=0,"",INDEX(Transaksi!$G$2:$G$2001,K685)+INDEX(Transaksi!$H$2:$H$2001,K685)+INDEX(Transaksi!$I$2:$I$2001,K685)),""))</f>
        <v/>
      </c>
      <c r="F685" s="33">
        <f>IF(J685="H",SUMIFS(Transaksi!$J$2:$J$2001,Transaksi!$M$2:$M$2001,"="&amp;S685),IF(J685="E",IF(INDEX(Transaksi!$J$2:$J$2001,K685)=0,"",INDEX(Transaksi!$J$2:$J$2001,K685)),""))</f>
        <v/>
      </c>
      <c r="G685" s="33">
        <f>IF(J685="H",(SUMIFS(Transaksi!$G$2:$G$2001,Transaksi!$M$2:$M$2001,"&lt;="&amp;S685)+SUMIFS(Transaksi!$H$2:$H$2001,Transaksi!$M$2:$M$2001,"&lt;="&amp;S685)+SUMIFS(Transaksi!$I$2:$I$2001,Transaksi!$M$2:$M$2001,"&lt;="&amp;S685))-(SUMIFS(Transaksi!$J$2:$J$2001,Transaksi!$M$2:$M$2001,"&lt;="&amp;S685)),"")</f>
        <v/>
      </c>
      <c r="I685">
        <f>IF(682&gt;$O$2,"",MATCH(682,$Q$3:$Q$402,1))</f>
        <v/>
      </c>
      <c r="J685">
        <f>IF(I685="","",IF(682=INDEX($Q$3:$Q$402,I685),"H","E"))</f>
        <v/>
      </c>
      <c r="K685">
        <f>IF(J685&lt;&gt;"E","",MATCH(S685,Transaksi!$M$2:$M$2001,0)+682-INDEX($Q$3:$Q$402,I685)-1)</f>
        <v/>
      </c>
      <c r="S685">
        <f>IF(I685="","",INDEX($O$3:$O$402,I685))</f>
        <v/>
      </c>
      <c r="T685">
        <f>IF(J685&lt;&gt;"H","",INDEX(Transaksi!$A$2:$A$2001,MATCH(S685,Transaksi!$M$2:$M$2001,0)))</f>
        <v/>
      </c>
    </row>
    <row r="686">
      <c r="A686" s="31">
        <f>IF(J686="E",IF(INDEX(Transaksi!$J$2:$J$2001,K686)&gt;0,"↑","↓"),"")</f>
        <v/>
      </c>
      <c r="B686" s="32">
        <f>IF(J686="H",CHOOSE(WEEKDAY(T686,2),"Isnin","Selasa","Rabu","Khamis","Jumaat","Sabtu","Ahad")&amp;", "&amp;DAY(T686)&amp;" "&amp;CHOOSE(MONTH(T686),"Jan","Feb","Mac","Apr","Mei","Jun","Jul","Ogo","Sep","Okt","Nov","Dis")&amp;" "&amp;YEAR(T686),IF(J686="E",IF(INDEX(Transaksi!$B$2:$B$2001,K686)="",INDEX(Transaksi!$C$2:$C$2001,K686)&amp;" · "&amp;INDEX(Transaksi!$D$2:$D$2001,K686),INDEX(Transaksi!$B$2:$B$2001,K686)),""))</f>
        <v/>
      </c>
      <c r="C686" s="32">
        <f>IF(J686="E",INDEX(Transaksi!$C$2:$C$2001,K686)&amp;"","")</f>
        <v/>
      </c>
      <c r="D686" s="32">
        <f>IF(J686="E",INDEX(Transaksi!$D$2:$D$2001,K686)&amp;"","")</f>
        <v/>
      </c>
      <c r="E686" s="33">
        <f>IF(J686="H",SUMIFS(Transaksi!$G$2:$G$2001,Transaksi!$M$2:$M$2001,"="&amp;S686)+SUMIFS(Transaksi!$H$2:$H$2001,Transaksi!$M$2:$M$2001,"="&amp;S686)+SUMIFS(Transaksi!$I$2:$I$2001,Transaksi!$M$2:$M$2001,"="&amp;S686),IF(J686="E",IF(INDEX(Transaksi!$G$2:$G$2001,K686)+INDEX(Transaksi!$H$2:$H$2001,K686)+INDEX(Transaksi!$I$2:$I$2001,K686)=0,"",INDEX(Transaksi!$G$2:$G$2001,K686)+INDEX(Transaksi!$H$2:$H$2001,K686)+INDEX(Transaksi!$I$2:$I$2001,K686)),""))</f>
        <v/>
      </c>
      <c r="F686" s="33">
        <f>IF(J686="H",SUMIFS(Transaksi!$J$2:$J$2001,Transaksi!$M$2:$M$2001,"="&amp;S686),IF(J686="E",IF(INDEX(Transaksi!$J$2:$J$2001,K686)=0,"",INDEX(Transaksi!$J$2:$J$2001,K686)),""))</f>
        <v/>
      </c>
      <c r="G686" s="33">
        <f>IF(J686="H",(SUMIFS(Transaksi!$G$2:$G$2001,Transaksi!$M$2:$M$2001,"&lt;="&amp;S686)+SUMIFS(Transaksi!$H$2:$H$2001,Transaksi!$M$2:$M$2001,"&lt;="&amp;S686)+SUMIFS(Transaksi!$I$2:$I$2001,Transaksi!$M$2:$M$2001,"&lt;="&amp;S686))-(SUMIFS(Transaksi!$J$2:$J$2001,Transaksi!$M$2:$M$2001,"&lt;="&amp;S686)),"")</f>
        <v/>
      </c>
      <c r="I686">
        <f>IF(683&gt;$O$2,"",MATCH(683,$Q$3:$Q$402,1))</f>
        <v/>
      </c>
      <c r="J686">
        <f>IF(I686="","",IF(683=INDEX($Q$3:$Q$402,I686),"H","E"))</f>
        <v/>
      </c>
      <c r="K686">
        <f>IF(J686&lt;&gt;"E","",MATCH(S686,Transaksi!$M$2:$M$2001,0)+683-INDEX($Q$3:$Q$402,I686)-1)</f>
        <v/>
      </c>
      <c r="S686">
        <f>IF(I686="","",INDEX($O$3:$O$402,I686))</f>
        <v/>
      </c>
      <c r="T686">
        <f>IF(J686&lt;&gt;"H","",INDEX(Transaksi!$A$2:$A$2001,MATCH(S686,Transaksi!$M$2:$M$2001,0)))</f>
        <v/>
      </c>
    </row>
    <row r="687">
      <c r="A687" s="31">
        <f>IF(J687="E",IF(INDEX(Transaksi!$J$2:$J$2001,K687)&gt;0,"↑","↓"),"")</f>
        <v/>
      </c>
      <c r="B687" s="32">
        <f>IF(J687="H",CHOOSE(WEEKDAY(T687,2),"Isnin","Selasa","Rabu","Khamis","Jumaat","Sabtu","Ahad")&amp;", "&amp;DAY(T687)&amp;" "&amp;CHOOSE(MONTH(T687),"Jan","Feb","Mac","Apr","Mei","Jun","Jul","Ogo","Sep","Okt","Nov","Dis")&amp;" "&amp;YEAR(T687),IF(J687="E",IF(INDEX(Transaksi!$B$2:$B$2001,K687)="",INDEX(Transaksi!$C$2:$C$2001,K687)&amp;" · "&amp;INDEX(Transaksi!$D$2:$D$2001,K687),INDEX(Transaksi!$B$2:$B$2001,K687)),""))</f>
        <v/>
      </c>
      <c r="C687" s="32">
        <f>IF(J687="E",INDEX(Transaksi!$C$2:$C$2001,K687)&amp;"","")</f>
        <v/>
      </c>
      <c r="D687" s="32">
        <f>IF(J687="E",INDEX(Transaksi!$D$2:$D$2001,K687)&amp;"","")</f>
        <v/>
      </c>
      <c r="E687" s="33">
        <f>IF(J687="H",SUMIFS(Transaksi!$G$2:$G$2001,Transaksi!$M$2:$M$2001,"="&amp;S687)+SUMIFS(Transaksi!$H$2:$H$2001,Transaksi!$M$2:$M$2001,"="&amp;S687)+SUMIFS(Transaksi!$I$2:$I$2001,Transaksi!$M$2:$M$2001,"="&amp;S687),IF(J687="E",IF(INDEX(Transaksi!$G$2:$G$2001,K687)+INDEX(Transaksi!$H$2:$H$2001,K687)+INDEX(Transaksi!$I$2:$I$2001,K687)=0,"",INDEX(Transaksi!$G$2:$G$2001,K687)+INDEX(Transaksi!$H$2:$H$2001,K687)+INDEX(Transaksi!$I$2:$I$2001,K687)),""))</f>
        <v/>
      </c>
      <c r="F687" s="33">
        <f>IF(J687="H",SUMIFS(Transaksi!$J$2:$J$2001,Transaksi!$M$2:$M$2001,"="&amp;S687),IF(J687="E",IF(INDEX(Transaksi!$J$2:$J$2001,K687)=0,"",INDEX(Transaksi!$J$2:$J$2001,K687)),""))</f>
        <v/>
      </c>
      <c r="G687" s="33">
        <f>IF(J687="H",(SUMIFS(Transaksi!$G$2:$G$2001,Transaksi!$M$2:$M$2001,"&lt;="&amp;S687)+SUMIFS(Transaksi!$H$2:$H$2001,Transaksi!$M$2:$M$2001,"&lt;="&amp;S687)+SUMIFS(Transaksi!$I$2:$I$2001,Transaksi!$M$2:$M$2001,"&lt;="&amp;S687))-(SUMIFS(Transaksi!$J$2:$J$2001,Transaksi!$M$2:$M$2001,"&lt;="&amp;S687)),"")</f>
        <v/>
      </c>
      <c r="I687">
        <f>IF(684&gt;$O$2,"",MATCH(684,$Q$3:$Q$402,1))</f>
        <v/>
      </c>
      <c r="J687">
        <f>IF(I687="","",IF(684=INDEX($Q$3:$Q$402,I687),"H","E"))</f>
        <v/>
      </c>
      <c r="K687">
        <f>IF(J687&lt;&gt;"E","",MATCH(S687,Transaksi!$M$2:$M$2001,0)+684-INDEX($Q$3:$Q$402,I687)-1)</f>
        <v/>
      </c>
      <c r="S687">
        <f>IF(I687="","",INDEX($O$3:$O$402,I687))</f>
        <v/>
      </c>
      <c r="T687">
        <f>IF(J687&lt;&gt;"H","",INDEX(Transaksi!$A$2:$A$2001,MATCH(S687,Transaksi!$M$2:$M$2001,0)))</f>
        <v/>
      </c>
    </row>
    <row r="688">
      <c r="A688" s="31">
        <f>IF(J688="E",IF(INDEX(Transaksi!$J$2:$J$2001,K688)&gt;0,"↑","↓"),"")</f>
        <v/>
      </c>
      <c r="B688" s="32">
        <f>IF(J688="H",CHOOSE(WEEKDAY(T688,2),"Isnin","Selasa","Rabu","Khamis","Jumaat","Sabtu","Ahad")&amp;", "&amp;DAY(T688)&amp;" "&amp;CHOOSE(MONTH(T688),"Jan","Feb","Mac","Apr","Mei","Jun","Jul","Ogo","Sep","Okt","Nov","Dis")&amp;" "&amp;YEAR(T688),IF(J688="E",IF(INDEX(Transaksi!$B$2:$B$2001,K688)="",INDEX(Transaksi!$C$2:$C$2001,K688)&amp;" · "&amp;INDEX(Transaksi!$D$2:$D$2001,K688),INDEX(Transaksi!$B$2:$B$2001,K688)),""))</f>
        <v/>
      </c>
      <c r="C688" s="32">
        <f>IF(J688="E",INDEX(Transaksi!$C$2:$C$2001,K688)&amp;"","")</f>
        <v/>
      </c>
      <c r="D688" s="32">
        <f>IF(J688="E",INDEX(Transaksi!$D$2:$D$2001,K688)&amp;"","")</f>
        <v/>
      </c>
      <c r="E688" s="33">
        <f>IF(J688="H",SUMIFS(Transaksi!$G$2:$G$2001,Transaksi!$M$2:$M$2001,"="&amp;S688)+SUMIFS(Transaksi!$H$2:$H$2001,Transaksi!$M$2:$M$2001,"="&amp;S688)+SUMIFS(Transaksi!$I$2:$I$2001,Transaksi!$M$2:$M$2001,"="&amp;S688),IF(J688="E",IF(INDEX(Transaksi!$G$2:$G$2001,K688)+INDEX(Transaksi!$H$2:$H$2001,K688)+INDEX(Transaksi!$I$2:$I$2001,K688)=0,"",INDEX(Transaksi!$G$2:$G$2001,K688)+INDEX(Transaksi!$H$2:$H$2001,K688)+INDEX(Transaksi!$I$2:$I$2001,K688)),""))</f>
        <v/>
      </c>
      <c r="F688" s="33">
        <f>IF(J688="H",SUMIFS(Transaksi!$J$2:$J$2001,Transaksi!$M$2:$M$2001,"="&amp;S688),IF(J688="E",IF(INDEX(Transaksi!$J$2:$J$2001,K688)=0,"",INDEX(Transaksi!$J$2:$J$2001,K688)),""))</f>
        <v/>
      </c>
      <c r="G688" s="33">
        <f>IF(J688="H",(SUMIFS(Transaksi!$G$2:$G$2001,Transaksi!$M$2:$M$2001,"&lt;="&amp;S688)+SUMIFS(Transaksi!$H$2:$H$2001,Transaksi!$M$2:$M$2001,"&lt;="&amp;S688)+SUMIFS(Transaksi!$I$2:$I$2001,Transaksi!$M$2:$M$2001,"&lt;="&amp;S688))-(SUMIFS(Transaksi!$J$2:$J$2001,Transaksi!$M$2:$M$2001,"&lt;="&amp;S688)),"")</f>
        <v/>
      </c>
      <c r="I688">
        <f>IF(685&gt;$O$2,"",MATCH(685,$Q$3:$Q$402,1))</f>
        <v/>
      </c>
      <c r="J688">
        <f>IF(I688="","",IF(685=INDEX($Q$3:$Q$402,I688),"H","E"))</f>
        <v/>
      </c>
      <c r="K688">
        <f>IF(J688&lt;&gt;"E","",MATCH(S688,Transaksi!$M$2:$M$2001,0)+685-INDEX($Q$3:$Q$402,I688)-1)</f>
        <v/>
      </c>
      <c r="S688">
        <f>IF(I688="","",INDEX($O$3:$O$402,I688))</f>
        <v/>
      </c>
      <c r="T688">
        <f>IF(J688&lt;&gt;"H","",INDEX(Transaksi!$A$2:$A$2001,MATCH(S688,Transaksi!$M$2:$M$2001,0)))</f>
        <v/>
      </c>
    </row>
    <row r="689">
      <c r="A689" s="31">
        <f>IF(J689="E",IF(INDEX(Transaksi!$J$2:$J$2001,K689)&gt;0,"↑","↓"),"")</f>
        <v/>
      </c>
      <c r="B689" s="32">
        <f>IF(J689="H",CHOOSE(WEEKDAY(T689,2),"Isnin","Selasa","Rabu","Khamis","Jumaat","Sabtu","Ahad")&amp;", "&amp;DAY(T689)&amp;" "&amp;CHOOSE(MONTH(T689),"Jan","Feb","Mac","Apr","Mei","Jun","Jul","Ogo","Sep","Okt","Nov","Dis")&amp;" "&amp;YEAR(T689),IF(J689="E",IF(INDEX(Transaksi!$B$2:$B$2001,K689)="",INDEX(Transaksi!$C$2:$C$2001,K689)&amp;" · "&amp;INDEX(Transaksi!$D$2:$D$2001,K689),INDEX(Transaksi!$B$2:$B$2001,K689)),""))</f>
        <v/>
      </c>
      <c r="C689" s="32">
        <f>IF(J689="E",INDEX(Transaksi!$C$2:$C$2001,K689)&amp;"","")</f>
        <v/>
      </c>
      <c r="D689" s="32">
        <f>IF(J689="E",INDEX(Transaksi!$D$2:$D$2001,K689)&amp;"","")</f>
        <v/>
      </c>
      <c r="E689" s="33">
        <f>IF(J689="H",SUMIFS(Transaksi!$G$2:$G$2001,Transaksi!$M$2:$M$2001,"="&amp;S689)+SUMIFS(Transaksi!$H$2:$H$2001,Transaksi!$M$2:$M$2001,"="&amp;S689)+SUMIFS(Transaksi!$I$2:$I$2001,Transaksi!$M$2:$M$2001,"="&amp;S689),IF(J689="E",IF(INDEX(Transaksi!$G$2:$G$2001,K689)+INDEX(Transaksi!$H$2:$H$2001,K689)+INDEX(Transaksi!$I$2:$I$2001,K689)=0,"",INDEX(Transaksi!$G$2:$G$2001,K689)+INDEX(Transaksi!$H$2:$H$2001,K689)+INDEX(Transaksi!$I$2:$I$2001,K689)),""))</f>
        <v/>
      </c>
      <c r="F689" s="33">
        <f>IF(J689="H",SUMIFS(Transaksi!$J$2:$J$2001,Transaksi!$M$2:$M$2001,"="&amp;S689),IF(J689="E",IF(INDEX(Transaksi!$J$2:$J$2001,K689)=0,"",INDEX(Transaksi!$J$2:$J$2001,K689)),""))</f>
        <v/>
      </c>
      <c r="G689" s="33">
        <f>IF(J689="H",(SUMIFS(Transaksi!$G$2:$G$2001,Transaksi!$M$2:$M$2001,"&lt;="&amp;S689)+SUMIFS(Transaksi!$H$2:$H$2001,Transaksi!$M$2:$M$2001,"&lt;="&amp;S689)+SUMIFS(Transaksi!$I$2:$I$2001,Transaksi!$M$2:$M$2001,"&lt;="&amp;S689))-(SUMIFS(Transaksi!$J$2:$J$2001,Transaksi!$M$2:$M$2001,"&lt;="&amp;S689)),"")</f>
        <v/>
      </c>
      <c r="I689">
        <f>IF(686&gt;$O$2,"",MATCH(686,$Q$3:$Q$402,1))</f>
        <v/>
      </c>
      <c r="J689">
        <f>IF(I689="","",IF(686=INDEX($Q$3:$Q$402,I689),"H","E"))</f>
        <v/>
      </c>
      <c r="K689">
        <f>IF(J689&lt;&gt;"E","",MATCH(S689,Transaksi!$M$2:$M$2001,0)+686-INDEX($Q$3:$Q$402,I689)-1)</f>
        <v/>
      </c>
      <c r="S689">
        <f>IF(I689="","",INDEX($O$3:$O$402,I689))</f>
        <v/>
      </c>
      <c r="T689">
        <f>IF(J689&lt;&gt;"H","",INDEX(Transaksi!$A$2:$A$2001,MATCH(S689,Transaksi!$M$2:$M$2001,0)))</f>
        <v/>
      </c>
    </row>
    <row r="690">
      <c r="A690" s="31">
        <f>IF(J690="E",IF(INDEX(Transaksi!$J$2:$J$2001,K690)&gt;0,"↑","↓"),"")</f>
        <v/>
      </c>
      <c r="B690" s="32">
        <f>IF(J690="H",CHOOSE(WEEKDAY(T690,2),"Isnin","Selasa","Rabu","Khamis","Jumaat","Sabtu","Ahad")&amp;", "&amp;DAY(T690)&amp;" "&amp;CHOOSE(MONTH(T690),"Jan","Feb","Mac","Apr","Mei","Jun","Jul","Ogo","Sep","Okt","Nov","Dis")&amp;" "&amp;YEAR(T690),IF(J690="E",IF(INDEX(Transaksi!$B$2:$B$2001,K690)="",INDEX(Transaksi!$C$2:$C$2001,K690)&amp;" · "&amp;INDEX(Transaksi!$D$2:$D$2001,K690),INDEX(Transaksi!$B$2:$B$2001,K690)),""))</f>
        <v/>
      </c>
      <c r="C690" s="32">
        <f>IF(J690="E",INDEX(Transaksi!$C$2:$C$2001,K690)&amp;"","")</f>
        <v/>
      </c>
      <c r="D690" s="32">
        <f>IF(J690="E",INDEX(Transaksi!$D$2:$D$2001,K690)&amp;"","")</f>
        <v/>
      </c>
      <c r="E690" s="33">
        <f>IF(J690="H",SUMIFS(Transaksi!$G$2:$G$2001,Transaksi!$M$2:$M$2001,"="&amp;S690)+SUMIFS(Transaksi!$H$2:$H$2001,Transaksi!$M$2:$M$2001,"="&amp;S690)+SUMIFS(Transaksi!$I$2:$I$2001,Transaksi!$M$2:$M$2001,"="&amp;S690),IF(J690="E",IF(INDEX(Transaksi!$G$2:$G$2001,K690)+INDEX(Transaksi!$H$2:$H$2001,K690)+INDEX(Transaksi!$I$2:$I$2001,K690)=0,"",INDEX(Transaksi!$G$2:$G$2001,K690)+INDEX(Transaksi!$H$2:$H$2001,K690)+INDEX(Transaksi!$I$2:$I$2001,K690)),""))</f>
        <v/>
      </c>
      <c r="F690" s="33">
        <f>IF(J690="H",SUMIFS(Transaksi!$J$2:$J$2001,Transaksi!$M$2:$M$2001,"="&amp;S690),IF(J690="E",IF(INDEX(Transaksi!$J$2:$J$2001,K690)=0,"",INDEX(Transaksi!$J$2:$J$2001,K690)),""))</f>
        <v/>
      </c>
      <c r="G690" s="33">
        <f>IF(J690="H",(SUMIFS(Transaksi!$G$2:$G$2001,Transaksi!$M$2:$M$2001,"&lt;="&amp;S690)+SUMIFS(Transaksi!$H$2:$H$2001,Transaksi!$M$2:$M$2001,"&lt;="&amp;S690)+SUMIFS(Transaksi!$I$2:$I$2001,Transaksi!$M$2:$M$2001,"&lt;="&amp;S690))-(SUMIFS(Transaksi!$J$2:$J$2001,Transaksi!$M$2:$M$2001,"&lt;="&amp;S690)),"")</f>
        <v/>
      </c>
      <c r="I690">
        <f>IF(687&gt;$O$2,"",MATCH(687,$Q$3:$Q$402,1))</f>
        <v/>
      </c>
      <c r="J690">
        <f>IF(I690="","",IF(687=INDEX($Q$3:$Q$402,I690),"H","E"))</f>
        <v/>
      </c>
      <c r="K690">
        <f>IF(J690&lt;&gt;"E","",MATCH(S690,Transaksi!$M$2:$M$2001,0)+687-INDEX($Q$3:$Q$402,I690)-1)</f>
        <v/>
      </c>
      <c r="S690">
        <f>IF(I690="","",INDEX($O$3:$O$402,I690))</f>
        <v/>
      </c>
      <c r="T690">
        <f>IF(J690&lt;&gt;"H","",INDEX(Transaksi!$A$2:$A$2001,MATCH(S690,Transaksi!$M$2:$M$2001,0)))</f>
        <v/>
      </c>
    </row>
    <row r="691">
      <c r="A691" s="31">
        <f>IF(J691="E",IF(INDEX(Transaksi!$J$2:$J$2001,K691)&gt;0,"↑","↓"),"")</f>
        <v/>
      </c>
      <c r="B691" s="32">
        <f>IF(J691="H",CHOOSE(WEEKDAY(T691,2),"Isnin","Selasa","Rabu","Khamis","Jumaat","Sabtu","Ahad")&amp;", "&amp;DAY(T691)&amp;" "&amp;CHOOSE(MONTH(T691),"Jan","Feb","Mac","Apr","Mei","Jun","Jul","Ogo","Sep","Okt","Nov","Dis")&amp;" "&amp;YEAR(T691),IF(J691="E",IF(INDEX(Transaksi!$B$2:$B$2001,K691)="",INDEX(Transaksi!$C$2:$C$2001,K691)&amp;" · "&amp;INDEX(Transaksi!$D$2:$D$2001,K691),INDEX(Transaksi!$B$2:$B$2001,K691)),""))</f>
        <v/>
      </c>
      <c r="C691" s="32">
        <f>IF(J691="E",INDEX(Transaksi!$C$2:$C$2001,K691)&amp;"","")</f>
        <v/>
      </c>
      <c r="D691" s="32">
        <f>IF(J691="E",INDEX(Transaksi!$D$2:$D$2001,K691)&amp;"","")</f>
        <v/>
      </c>
      <c r="E691" s="33">
        <f>IF(J691="H",SUMIFS(Transaksi!$G$2:$G$2001,Transaksi!$M$2:$M$2001,"="&amp;S691)+SUMIFS(Transaksi!$H$2:$H$2001,Transaksi!$M$2:$M$2001,"="&amp;S691)+SUMIFS(Transaksi!$I$2:$I$2001,Transaksi!$M$2:$M$2001,"="&amp;S691),IF(J691="E",IF(INDEX(Transaksi!$G$2:$G$2001,K691)+INDEX(Transaksi!$H$2:$H$2001,K691)+INDEX(Transaksi!$I$2:$I$2001,K691)=0,"",INDEX(Transaksi!$G$2:$G$2001,K691)+INDEX(Transaksi!$H$2:$H$2001,K691)+INDEX(Transaksi!$I$2:$I$2001,K691)),""))</f>
        <v/>
      </c>
      <c r="F691" s="33">
        <f>IF(J691="H",SUMIFS(Transaksi!$J$2:$J$2001,Transaksi!$M$2:$M$2001,"="&amp;S691),IF(J691="E",IF(INDEX(Transaksi!$J$2:$J$2001,K691)=0,"",INDEX(Transaksi!$J$2:$J$2001,K691)),""))</f>
        <v/>
      </c>
      <c r="G691" s="33">
        <f>IF(J691="H",(SUMIFS(Transaksi!$G$2:$G$2001,Transaksi!$M$2:$M$2001,"&lt;="&amp;S691)+SUMIFS(Transaksi!$H$2:$H$2001,Transaksi!$M$2:$M$2001,"&lt;="&amp;S691)+SUMIFS(Transaksi!$I$2:$I$2001,Transaksi!$M$2:$M$2001,"&lt;="&amp;S691))-(SUMIFS(Transaksi!$J$2:$J$2001,Transaksi!$M$2:$M$2001,"&lt;="&amp;S691)),"")</f>
        <v/>
      </c>
      <c r="I691">
        <f>IF(688&gt;$O$2,"",MATCH(688,$Q$3:$Q$402,1))</f>
        <v/>
      </c>
      <c r="J691">
        <f>IF(I691="","",IF(688=INDEX($Q$3:$Q$402,I691),"H","E"))</f>
        <v/>
      </c>
      <c r="K691">
        <f>IF(J691&lt;&gt;"E","",MATCH(S691,Transaksi!$M$2:$M$2001,0)+688-INDEX($Q$3:$Q$402,I691)-1)</f>
        <v/>
      </c>
      <c r="S691">
        <f>IF(I691="","",INDEX($O$3:$O$402,I691))</f>
        <v/>
      </c>
      <c r="T691">
        <f>IF(J691&lt;&gt;"H","",INDEX(Transaksi!$A$2:$A$2001,MATCH(S691,Transaksi!$M$2:$M$2001,0)))</f>
        <v/>
      </c>
    </row>
    <row r="692">
      <c r="A692" s="31">
        <f>IF(J692="E",IF(INDEX(Transaksi!$J$2:$J$2001,K692)&gt;0,"↑","↓"),"")</f>
        <v/>
      </c>
      <c r="B692" s="32">
        <f>IF(J692="H",CHOOSE(WEEKDAY(T692,2),"Isnin","Selasa","Rabu","Khamis","Jumaat","Sabtu","Ahad")&amp;", "&amp;DAY(T692)&amp;" "&amp;CHOOSE(MONTH(T692),"Jan","Feb","Mac","Apr","Mei","Jun","Jul","Ogo","Sep","Okt","Nov","Dis")&amp;" "&amp;YEAR(T692),IF(J692="E",IF(INDEX(Transaksi!$B$2:$B$2001,K692)="",INDEX(Transaksi!$C$2:$C$2001,K692)&amp;" · "&amp;INDEX(Transaksi!$D$2:$D$2001,K692),INDEX(Transaksi!$B$2:$B$2001,K692)),""))</f>
        <v/>
      </c>
      <c r="C692" s="32">
        <f>IF(J692="E",INDEX(Transaksi!$C$2:$C$2001,K692)&amp;"","")</f>
        <v/>
      </c>
      <c r="D692" s="32">
        <f>IF(J692="E",INDEX(Transaksi!$D$2:$D$2001,K692)&amp;"","")</f>
        <v/>
      </c>
      <c r="E692" s="33">
        <f>IF(J692="H",SUMIFS(Transaksi!$G$2:$G$2001,Transaksi!$M$2:$M$2001,"="&amp;S692)+SUMIFS(Transaksi!$H$2:$H$2001,Transaksi!$M$2:$M$2001,"="&amp;S692)+SUMIFS(Transaksi!$I$2:$I$2001,Transaksi!$M$2:$M$2001,"="&amp;S692),IF(J692="E",IF(INDEX(Transaksi!$G$2:$G$2001,K692)+INDEX(Transaksi!$H$2:$H$2001,K692)+INDEX(Transaksi!$I$2:$I$2001,K692)=0,"",INDEX(Transaksi!$G$2:$G$2001,K692)+INDEX(Transaksi!$H$2:$H$2001,K692)+INDEX(Transaksi!$I$2:$I$2001,K692)),""))</f>
        <v/>
      </c>
      <c r="F692" s="33">
        <f>IF(J692="H",SUMIFS(Transaksi!$J$2:$J$2001,Transaksi!$M$2:$M$2001,"="&amp;S692),IF(J692="E",IF(INDEX(Transaksi!$J$2:$J$2001,K692)=0,"",INDEX(Transaksi!$J$2:$J$2001,K692)),""))</f>
        <v/>
      </c>
      <c r="G692" s="33">
        <f>IF(J692="H",(SUMIFS(Transaksi!$G$2:$G$2001,Transaksi!$M$2:$M$2001,"&lt;="&amp;S692)+SUMIFS(Transaksi!$H$2:$H$2001,Transaksi!$M$2:$M$2001,"&lt;="&amp;S692)+SUMIFS(Transaksi!$I$2:$I$2001,Transaksi!$M$2:$M$2001,"&lt;="&amp;S692))-(SUMIFS(Transaksi!$J$2:$J$2001,Transaksi!$M$2:$M$2001,"&lt;="&amp;S692)),"")</f>
        <v/>
      </c>
      <c r="I692">
        <f>IF(689&gt;$O$2,"",MATCH(689,$Q$3:$Q$402,1))</f>
        <v/>
      </c>
      <c r="J692">
        <f>IF(I692="","",IF(689=INDEX($Q$3:$Q$402,I692),"H","E"))</f>
        <v/>
      </c>
      <c r="K692">
        <f>IF(J692&lt;&gt;"E","",MATCH(S692,Transaksi!$M$2:$M$2001,0)+689-INDEX($Q$3:$Q$402,I692)-1)</f>
        <v/>
      </c>
      <c r="S692">
        <f>IF(I692="","",INDEX($O$3:$O$402,I692))</f>
        <v/>
      </c>
      <c r="T692">
        <f>IF(J692&lt;&gt;"H","",INDEX(Transaksi!$A$2:$A$2001,MATCH(S692,Transaksi!$M$2:$M$2001,0)))</f>
        <v/>
      </c>
    </row>
    <row r="693">
      <c r="A693" s="31">
        <f>IF(J693="E",IF(INDEX(Transaksi!$J$2:$J$2001,K693)&gt;0,"↑","↓"),"")</f>
        <v/>
      </c>
      <c r="B693" s="32">
        <f>IF(J693="H",CHOOSE(WEEKDAY(T693,2),"Isnin","Selasa","Rabu","Khamis","Jumaat","Sabtu","Ahad")&amp;", "&amp;DAY(T693)&amp;" "&amp;CHOOSE(MONTH(T693),"Jan","Feb","Mac","Apr","Mei","Jun","Jul","Ogo","Sep","Okt","Nov","Dis")&amp;" "&amp;YEAR(T693),IF(J693="E",IF(INDEX(Transaksi!$B$2:$B$2001,K693)="",INDEX(Transaksi!$C$2:$C$2001,K693)&amp;" · "&amp;INDEX(Transaksi!$D$2:$D$2001,K693),INDEX(Transaksi!$B$2:$B$2001,K693)),""))</f>
        <v/>
      </c>
      <c r="C693" s="32">
        <f>IF(J693="E",INDEX(Transaksi!$C$2:$C$2001,K693)&amp;"","")</f>
        <v/>
      </c>
      <c r="D693" s="32">
        <f>IF(J693="E",INDEX(Transaksi!$D$2:$D$2001,K693)&amp;"","")</f>
        <v/>
      </c>
      <c r="E693" s="33">
        <f>IF(J693="H",SUMIFS(Transaksi!$G$2:$G$2001,Transaksi!$M$2:$M$2001,"="&amp;S693)+SUMIFS(Transaksi!$H$2:$H$2001,Transaksi!$M$2:$M$2001,"="&amp;S693)+SUMIFS(Transaksi!$I$2:$I$2001,Transaksi!$M$2:$M$2001,"="&amp;S693),IF(J693="E",IF(INDEX(Transaksi!$G$2:$G$2001,K693)+INDEX(Transaksi!$H$2:$H$2001,K693)+INDEX(Transaksi!$I$2:$I$2001,K693)=0,"",INDEX(Transaksi!$G$2:$G$2001,K693)+INDEX(Transaksi!$H$2:$H$2001,K693)+INDEX(Transaksi!$I$2:$I$2001,K693)),""))</f>
        <v/>
      </c>
      <c r="F693" s="33">
        <f>IF(J693="H",SUMIFS(Transaksi!$J$2:$J$2001,Transaksi!$M$2:$M$2001,"="&amp;S693),IF(J693="E",IF(INDEX(Transaksi!$J$2:$J$2001,K693)=0,"",INDEX(Transaksi!$J$2:$J$2001,K693)),""))</f>
        <v/>
      </c>
      <c r="G693" s="33">
        <f>IF(J693="H",(SUMIFS(Transaksi!$G$2:$G$2001,Transaksi!$M$2:$M$2001,"&lt;="&amp;S693)+SUMIFS(Transaksi!$H$2:$H$2001,Transaksi!$M$2:$M$2001,"&lt;="&amp;S693)+SUMIFS(Transaksi!$I$2:$I$2001,Transaksi!$M$2:$M$2001,"&lt;="&amp;S693))-(SUMIFS(Transaksi!$J$2:$J$2001,Transaksi!$M$2:$M$2001,"&lt;="&amp;S693)),"")</f>
        <v/>
      </c>
      <c r="I693">
        <f>IF(690&gt;$O$2,"",MATCH(690,$Q$3:$Q$402,1))</f>
        <v/>
      </c>
      <c r="J693">
        <f>IF(I693="","",IF(690=INDEX($Q$3:$Q$402,I693),"H","E"))</f>
        <v/>
      </c>
      <c r="K693">
        <f>IF(J693&lt;&gt;"E","",MATCH(S693,Transaksi!$M$2:$M$2001,0)+690-INDEX($Q$3:$Q$402,I693)-1)</f>
        <v/>
      </c>
      <c r="S693">
        <f>IF(I693="","",INDEX($O$3:$O$402,I693))</f>
        <v/>
      </c>
      <c r="T693">
        <f>IF(J693&lt;&gt;"H","",INDEX(Transaksi!$A$2:$A$2001,MATCH(S693,Transaksi!$M$2:$M$2001,0)))</f>
        <v/>
      </c>
    </row>
    <row r="694">
      <c r="A694" s="31">
        <f>IF(J694="E",IF(INDEX(Transaksi!$J$2:$J$2001,K694)&gt;0,"↑","↓"),"")</f>
        <v/>
      </c>
      <c r="B694" s="32">
        <f>IF(J694="H",CHOOSE(WEEKDAY(T694,2),"Isnin","Selasa","Rabu","Khamis","Jumaat","Sabtu","Ahad")&amp;", "&amp;DAY(T694)&amp;" "&amp;CHOOSE(MONTH(T694),"Jan","Feb","Mac","Apr","Mei","Jun","Jul","Ogo","Sep","Okt","Nov","Dis")&amp;" "&amp;YEAR(T694),IF(J694="E",IF(INDEX(Transaksi!$B$2:$B$2001,K694)="",INDEX(Transaksi!$C$2:$C$2001,K694)&amp;" · "&amp;INDEX(Transaksi!$D$2:$D$2001,K694),INDEX(Transaksi!$B$2:$B$2001,K694)),""))</f>
        <v/>
      </c>
      <c r="C694" s="32">
        <f>IF(J694="E",INDEX(Transaksi!$C$2:$C$2001,K694)&amp;"","")</f>
        <v/>
      </c>
      <c r="D694" s="32">
        <f>IF(J694="E",INDEX(Transaksi!$D$2:$D$2001,K694)&amp;"","")</f>
        <v/>
      </c>
      <c r="E694" s="33">
        <f>IF(J694="H",SUMIFS(Transaksi!$G$2:$G$2001,Transaksi!$M$2:$M$2001,"="&amp;S694)+SUMIFS(Transaksi!$H$2:$H$2001,Transaksi!$M$2:$M$2001,"="&amp;S694)+SUMIFS(Transaksi!$I$2:$I$2001,Transaksi!$M$2:$M$2001,"="&amp;S694),IF(J694="E",IF(INDEX(Transaksi!$G$2:$G$2001,K694)+INDEX(Transaksi!$H$2:$H$2001,K694)+INDEX(Transaksi!$I$2:$I$2001,K694)=0,"",INDEX(Transaksi!$G$2:$G$2001,K694)+INDEX(Transaksi!$H$2:$H$2001,K694)+INDEX(Transaksi!$I$2:$I$2001,K694)),""))</f>
        <v/>
      </c>
      <c r="F694" s="33">
        <f>IF(J694="H",SUMIFS(Transaksi!$J$2:$J$2001,Transaksi!$M$2:$M$2001,"="&amp;S694),IF(J694="E",IF(INDEX(Transaksi!$J$2:$J$2001,K694)=0,"",INDEX(Transaksi!$J$2:$J$2001,K694)),""))</f>
        <v/>
      </c>
      <c r="G694" s="33">
        <f>IF(J694="H",(SUMIFS(Transaksi!$G$2:$G$2001,Transaksi!$M$2:$M$2001,"&lt;="&amp;S694)+SUMIFS(Transaksi!$H$2:$H$2001,Transaksi!$M$2:$M$2001,"&lt;="&amp;S694)+SUMIFS(Transaksi!$I$2:$I$2001,Transaksi!$M$2:$M$2001,"&lt;="&amp;S694))-(SUMIFS(Transaksi!$J$2:$J$2001,Transaksi!$M$2:$M$2001,"&lt;="&amp;S694)),"")</f>
        <v/>
      </c>
      <c r="I694">
        <f>IF(691&gt;$O$2,"",MATCH(691,$Q$3:$Q$402,1))</f>
        <v/>
      </c>
      <c r="J694">
        <f>IF(I694="","",IF(691=INDEX($Q$3:$Q$402,I694),"H","E"))</f>
        <v/>
      </c>
      <c r="K694">
        <f>IF(J694&lt;&gt;"E","",MATCH(S694,Transaksi!$M$2:$M$2001,0)+691-INDEX($Q$3:$Q$402,I694)-1)</f>
        <v/>
      </c>
      <c r="S694">
        <f>IF(I694="","",INDEX($O$3:$O$402,I694))</f>
        <v/>
      </c>
      <c r="T694">
        <f>IF(J694&lt;&gt;"H","",INDEX(Transaksi!$A$2:$A$2001,MATCH(S694,Transaksi!$M$2:$M$2001,0)))</f>
        <v/>
      </c>
    </row>
    <row r="695">
      <c r="A695" s="31">
        <f>IF(J695="E",IF(INDEX(Transaksi!$J$2:$J$2001,K695)&gt;0,"↑","↓"),"")</f>
        <v/>
      </c>
      <c r="B695" s="32">
        <f>IF(J695="H",CHOOSE(WEEKDAY(T695,2),"Isnin","Selasa","Rabu","Khamis","Jumaat","Sabtu","Ahad")&amp;", "&amp;DAY(T695)&amp;" "&amp;CHOOSE(MONTH(T695),"Jan","Feb","Mac","Apr","Mei","Jun","Jul","Ogo","Sep","Okt","Nov","Dis")&amp;" "&amp;YEAR(T695),IF(J695="E",IF(INDEX(Transaksi!$B$2:$B$2001,K695)="",INDEX(Transaksi!$C$2:$C$2001,K695)&amp;" · "&amp;INDEX(Transaksi!$D$2:$D$2001,K695),INDEX(Transaksi!$B$2:$B$2001,K695)),""))</f>
        <v/>
      </c>
      <c r="C695" s="32">
        <f>IF(J695="E",INDEX(Transaksi!$C$2:$C$2001,K695)&amp;"","")</f>
        <v/>
      </c>
      <c r="D695" s="32">
        <f>IF(J695="E",INDEX(Transaksi!$D$2:$D$2001,K695)&amp;"","")</f>
        <v/>
      </c>
      <c r="E695" s="33">
        <f>IF(J695="H",SUMIFS(Transaksi!$G$2:$G$2001,Transaksi!$M$2:$M$2001,"="&amp;S695)+SUMIFS(Transaksi!$H$2:$H$2001,Transaksi!$M$2:$M$2001,"="&amp;S695)+SUMIFS(Transaksi!$I$2:$I$2001,Transaksi!$M$2:$M$2001,"="&amp;S695),IF(J695="E",IF(INDEX(Transaksi!$G$2:$G$2001,K695)+INDEX(Transaksi!$H$2:$H$2001,K695)+INDEX(Transaksi!$I$2:$I$2001,K695)=0,"",INDEX(Transaksi!$G$2:$G$2001,K695)+INDEX(Transaksi!$H$2:$H$2001,K695)+INDEX(Transaksi!$I$2:$I$2001,K695)),""))</f>
        <v/>
      </c>
      <c r="F695" s="33">
        <f>IF(J695="H",SUMIFS(Transaksi!$J$2:$J$2001,Transaksi!$M$2:$M$2001,"="&amp;S695),IF(J695="E",IF(INDEX(Transaksi!$J$2:$J$2001,K695)=0,"",INDEX(Transaksi!$J$2:$J$2001,K695)),""))</f>
        <v/>
      </c>
      <c r="G695" s="33">
        <f>IF(J695="H",(SUMIFS(Transaksi!$G$2:$G$2001,Transaksi!$M$2:$M$2001,"&lt;="&amp;S695)+SUMIFS(Transaksi!$H$2:$H$2001,Transaksi!$M$2:$M$2001,"&lt;="&amp;S695)+SUMIFS(Transaksi!$I$2:$I$2001,Transaksi!$M$2:$M$2001,"&lt;="&amp;S695))-(SUMIFS(Transaksi!$J$2:$J$2001,Transaksi!$M$2:$M$2001,"&lt;="&amp;S695)),"")</f>
        <v/>
      </c>
      <c r="I695">
        <f>IF(692&gt;$O$2,"",MATCH(692,$Q$3:$Q$402,1))</f>
        <v/>
      </c>
      <c r="J695">
        <f>IF(I695="","",IF(692=INDEX($Q$3:$Q$402,I695),"H","E"))</f>
        <v/>
      </c>
      <c r="K695">
        <f>IF(J695&lt;&gt;"E","",MATCH(S695,Transaksi!$M$2:$M$2001,0)+692-INDEX($Q$3:$Q$402,I695)-1)</f>
        <v/>
      </c>
      <c r="S695">
        <f>IF(I695="","",INDEX($O$3:$O$402,I695))</f>
        <v/>
      </c>
      <c r="T695">
        <f>IF(J695&lt;&gt;"H","",INDEX(Transaksi!$A$2:$A$2001,MATCH(S695,Transaksi!$M$2:$M$2001,0)))</f>
        <v/>
      </c>
    </row>
    <row r="696">
      <c r="A696" s="31">
        <f>IF(J696="E",IF(INDEX(Transaksi!$J$2:$J$2001,K696)&gt;0,"↑","↓"),"")</f>
        <v/>
      </c>
      <c r="B696" s="32">
        <f>IF(J696="H",CHOOSE(WEEKDAY(T696,2),"Isnin","Selasa","Rabu","Khamis","Jumaat","Sabtu","Ahad")&amp;", "&amp;DAY(T696)&amp;" "&amp;CHOOSE(MONTH(T696),"Jan","Feb","Mac","Apr","Mei","Jun","Jul","Ogo","Sep","Okt","Nov","Dis")&amp;" "&amp;YEAR(T696),IF(J696="E",IF(INDEX(Transaksi!$B$2:$B$2001,K696)="",INDEX(Transaksi!$C$2:$C$2001,K696)&amp;" · "&amp;INDEX(Transaksi!$D$2:$D$2001,K696),INDEX(Transaksi!$B$2:$B$2001,K696)),""))</f>
        <v/>
      </c>
      <c r="C696" s="32">
        <f>IF(J696="E",INDEX(Transaksi!$C$2:$C$2001,K696)&amp;"","")</f>
        <v/>
      </c>
      <c r="D696" s="32">
        <f>IF(J696="E",INDEX(Transaksi!$D$2:$D$2001,K696)&amp;"","")</f>
        <v/>
      </c>
      <c r="E696" s="33">
        <f>IF(J696="H",SUMIFS(Transaksi!$G$2:$G$2001,Transaksi!$M$2:$M$2001,"="&amp;S696)+SUMIFS(Transaksi!$H$2:$H$2001,Transaksi!$M$2:$M$2001,"="&amp;S696)+SUMIFS(Transaksi!$I$2:$I$2001,Transaksi!$M$2:$M$2001,"="&amp;S696),IF(J696="E",IF(INDEX(Transaksi!$G$2:$G$2001,K696)+INDEX(Transaksi!$H$2:$H$2001,K696)+INDEX(Transaksi!$I$2:$I$2001,K696)=0,"",INDEX(Transaksi!$G$2:$G$2001,K696)+INDEX(Transaksi!$H$2:$H$2001,K696)+INDEX(Transaksi!$I$2:$I$2001,K696)),""))</f>
        <v/>
      </c>
      <c r="F696" s="33">
        <f>IF(J696="H",SUMIFS(Transaksi!$J$2:$J$2001,Transaksi!$M$2:$M$2001,"="&amp;S696),IF(J696="E",IF(INDEX(Transaksi!$J$2:$J$2001,K696)=0,"",INDEX(Transaksi!$J$2:$J$2001,K696)),""))</f>
        <v/>
      </c>
      <c r="G696" s="33">
        <f>IF(J696="H",(SUMIFS(Transaksi!$G$2:$G$2001,Transaksi!$M$2:$M$2001,"&lt;="&amp;S696)+SUMIFS(Transaksi!$H$2:$H$2001,Transaksi!$M$2:$M$2001,"&lt;="&amp;S696)+SUMIFS(Transaksi!$I$2:$I$2001,Transaksi!$M$2:$M$2001,"&lt;="&amp;S696))-(SUMIFS(Transaksi!$J$2:$J$2001,Transaksi!$M$2:$M$2001,"&lt;="&amp;S696)),"")</f>
        <v/>
      </c>
      <c r="I696">
        <f>IF(693&gt;$O$2,"",MATCH(693,$Q$3:$Q$402,1))</f>
        <v/>
      </c>
      <c r="J696">
        <f>IF(I696="","",IF(693=INDEX($Q$3:$Q$402,I696),"H","E"))</f>
        <v/>
      </c>
      <c r="K696">
        <f>IF(J696&lt;&gt;"E","",MATCH(S696,Transaksi!$M$2:$M$2001,0)+693-INDEX($Q$3:$Q$402,I696)-1)</f>
        <v/>
      </c>
      <c r="S696">
        <f>IF(I696="","",INDEX($O$3:$O$402,I696))</f>
        <v/>
      </c>
      <c r="T696">
        <f>IF(J696&lt;&gt;"H","",INDEX(Transaksi!$A$2:$A$2001,MATCH(S696,Transaksi!$M$2:$M$2001,0)))</f>
        <v/>
      </c>
    </row>
    <row r="697">
      <c r="A697" s="31">
        <f>IF(J697="E",IF(INDEX(Transaksi!$J$2:$J$2001,K697)&gt;0,"↑","↓"),"")</f>
        <v/>
      </c>
      <c r="B697" s="32">
        <f>IF(J697="H",CHOOSE(WEEKDAY(T697,2),"Isnin","Selasa","Rabu","Khamis","Jumaat","Sabtu","Ahad")&amp;", "&amp;DAY(T697)&amp;" "&amp;CHOOSE(MONTH(T697),"Jan","Feb","Mac","Apr","Mei","Jun","Jul","Ogo","Sep","Okt","Nov","Dis")&amp;" "&amp;YEAR(T697),IF(J697="E",IF(INDEX(Transaksi!$B$2:$B$2001,K697)="",INDEX(Transaksi!$C$2:$C$2001,K697)&amp;" · "&amp;INDEX(Transaksi!$D$2:$D$2001,K697),INDEX(Transaksi!$B$2:$B$2001,K697)),""))</f>
        <v/>
      </c>
      <c r="C697" s="32">
        <f>IF(J697="E",INDEX(Transaksi!$C$2:$C$2001,K697)&amp;"","")</f>
        <v/>
      </c>
      <c r="D697" s="32">
        <f>IF(J697="E",INDEX(Transaksi!$D$2:$D$2001,K697)&amp;"","")</f>
        <v/>
      </c>
      <c r="E697" s="33">
        <f>IF(J697="H",SUMIFS(Transaksi!$G$2:$G$2001,Transaksi!$M$2:$M$2001,"="&amp;S697)+SUMIFS(Transaksi!$H$2:$H$2001,Transaksi!$M$2:$M$2001,"="&amp;S697)+SUMIFS(Transaksi!$I$2:$I$2001,Transaksi!$M$2:$M$2001,"="&amp;S697),IF(J697="E",IF(INDEX(Transaksi!$G$2:$G$2001,K697)+INDEX(Transaksi!$H$2:$H$2001,K697)+INDEX(Transaksi!$I$2:$I$2001,K697)=0,"",INDEX(Transaksi!$G$2:$G$2001,K697)+INDEX(Transaksi!$H$2:$H$2001,K697)+INDEX(Transaksi!$I$2:$I$2001,K697)),""))</f>
        <v/>
      </c>
      <c r="F697" s="33">
        <f>IF(J697="H",SUMIFS(Transaksi!$J$2:$J$2001,Transaksi!$M$2:$M$2001,"="&amp;S697),IF(J697="E",IF(INDEX(Transaksi!$J$2:$J$2001,K697)=0,"",INDEX(Transaksi!$J$2:$J$2001,K697)),""))</f>
        <v/>
      </c>
      <c r="G697" s="33">
        <f>IF(J697="H",(SUMIFS(Transaksi!$G$2:$G$2001,Transaksi!$M$2:$M$2001,"&lt;="&amp;S697)+SUMIFS(Transaksi!$H$2:$H$2001,Transaksi!$M$2:$M$2001,"&lt;="&amp;S697)+SUMIFS(Transaksi!$I$2:$I$2001,Transaksi!$M$2:$M$2001,"&lt;="&amp;S697))-(SUMIFS(Transaksi!$J$2:$J$2001,Transaksi!$M$2:$M$2001,"&lt;="&amp;S697)),"")</f>
        <v/>
      </c>
      <c r="I697">
        <f>IF(694&gt;$O$2,"",MATCH(694,$Q$3:$Q$402,1))</f>
        <v/>
      </c>
      <c r="J697">
        <f>IF(I697="","",IF(694=INDEX($Q$3:$Q$402,I697),"H","E"))</f>
        <v/>
      </c>
      <c r="K697">
        <f>IF(J697&lt;&gt;"E","",MATCH(S697,Transaksi!$M$2:$M$2001,0)+694-INDEX($Q$3:$Q$402,I697)-1)</f>
        <v/>
      </c>
      <c r="S697">
        <f>IF(I697="","",INDEX($O$3:$O$402,I697))</f>
        <v/>
      </c>
      <c r="T697">
        <f>IF(J697&lt;&gt;"H","",INDEX(Transaksi!$A$2:$A$2001,MATCH(S697,Transaksi!$M$2:$M$2001,0)))</f>
        <v/>
      </c>
    </row>
    <row r="698">
      <c r="A698" s="31">
        <f>IF(J698="E",IF(INDEX(Transaksi!$J$2:$J$2001,K698)&gt;0,"↑","↓"),"")</f>
        <v/>
      </c>
      <c r="B698" s="32">
        <f>IF(J698="H",CHOOSE(WEEKDAY(T698,2),"Isnin","Selasa","Rabu","Khamis","Jumaat","Sabtu","Ahad")&amp;", "&amp;DAY(T698)&amp;" "&amp;CHOOSE(MONTH(T698),"Jan","Feb","Mac","Apr","Mei","Jun","Jul","Ogo","Sep","Okt","Nov","Dis")&amp;" "&amp;YEAR(T698),IF(J698="E",IF(INDEX(Transaksi!$B$2:$B$2001,K698)="",INDEX(Transaksi!$C$2:$C$2001,K698)&amp;" · "&amp;INDEX(Transaksi!$D$2:$D$2001,K698),INDEX(Transaksi!$B$2:$B$2001,K698)),""))</f>
        <v/>
      </c>
      <c r="C698" s="32">
        <f>IF(J698="E",INDEX(Transaksi!$C$2:$C$2001,K698)&amp;"","")</f>
        <v/>
      </c>
      <c r="D698" s="32">
        <f>IF(J698="E",INDEX(Transaksi!$D$2:$D$2001,K698)&amp;"","")</f>
        <v/>
      </c>
      <c r="E698" s="33">
        <f>IF(J698="H",SUMIFS(Transaksi!$G$2:$G$2001,Transaksi!$M$2:$M$2001,"="&amp;S698)+SUMIFS(Transaksi!$H$2:$H$2001,Transaksi!$M$2:$M$2001,"="&amp;S698)+SUMIFS(Transaksi!$I$2:$I$2001,Transaksi!$M$2:$M$2001,"="&amp;S698),IF(J698="E",IF(INDEX(Transaksi!$G$2:$G$2001,K698)+INDEX(Transaksi!$H$2:$H$2001,K698)+INDEX(Transaksi!$I$2:$I$2001,K698)=0,"",INDEX(Transaksi!$G$2:$G$2001,K698)+INDEX(Transaksi!$H$2:$H$2001,K698)+INDEX(Transaksi!$I$2:$I$2001,K698)),""))</f>
        <v/>
      </c>
      <c r="F698" s="33">
        <f>IF(J698="H",SUMIFS(Transaksi!$J$2:$J$2001,Transaksi!$M$2:$M$2001,"="&amp;S698),IF(J698="E",IF(INDEX(Transaksi!$J$2:$J$2001,K698)=0,"",INDEX(Transaksi!$J$2:$J$2001,K698)),""))</f>
        <v/>
      </c>
      <c r="G698" s="33">
        <f>IF(J698="H",(SUMIFS(Transaksi!$G$2:$G$2001,Transaksi!$M$2:$M$2001,"&lt;="&amp;S698)+SUMIFS(Transaksi!$H$2:$H$2001,Transaksi!$M$2:$M$2001,"&lt;="&amp;S698)+SUMIFS(Transaksi!$I$2:$I$2001,Transaksi!$M$2:$M$2001,"&lt;="&amp;S698))-(SUMIFS(Transaksi!$J$2:$J$2001,Transaksi!$M$2:$M$2001,"&lt;="&amp;S698)),"")</f>
        <v/>
      </c>
      <c r="I698">
        <f>IF(695&gt;$O$2,"",MATCH(695,$Q$3:$Q$402,1))</f>
        <v/>
      </c>
      <c r="J698">
        <f>IF(I698="","",IF(695=INDEX($Q$3:$Q$402,I698),"H","E"))</f>
        <v/>
      </c>
      <c r="K698">
        <f>IF(J698&lt;&gt;"E","",MATCH(S698,Transaksi!$M$2:$M$2001,0)+695-INDEX($Q$3:$Q$402,I698)-1)</f>
        <v/>
      </c>
      <c r="S698">
        <f>IF(I698="","",INDEX($O$3:$O$402,I698))</f>
        <v/>
      </c>
      <c r="T698">
        <f>IF(J698&lt;&gt;"H","",INDEX(Transaksi!$A$2:$A$2001,MATCH(S698,Transaksi!$M$2:$M$2001,0)))</f>
        <v/>
      </c>
    </row>
    <row r="699">
      <c r="A699" s="31">
        <f>IF(J699="E",IF(INDEX(Transaksi!$J$2:$J$2001,K699)&gt;0,"↑","↓"),"")</f>
        <v/>
      </c>
      <c r="B699" s="32">
        <f>IF(J699="H",CHOOSE(WEEKDAY(T699,2),"Isnin","Selasa","Rabu","Khamis","Jumaat","Sabtu","Ahad")&amp;", "&amp;DAY(T699)&amp;" "&amp;CHOOSE(MONTH(T699),"Jan","Feb","Mac","Apr","Mei","Jun","Jul","Ogo","Sep","Okt","Nov","Dis")&amp;" "&amp;YEAR(T699),IF(J699="E",IF(INDEX(Transaksi!$B$2:$B$2001,K699)="",INDEX(Transaksi!$C$2:$C$2001,K699)&amp;" · "&amp;INDEX(Transaksi!$D$2:$D$2001,K699),INDEX(Transaksi!$B$2:$B$2001,K699)),""))</f>
        <v/>
      </c>
      <c r="C699" s="32">
        <f>IF(J699="E",INDEX(Transaksi!$C$2:$C$2001,K699)&amp;"","")</f>
        <v/>
      </c>
      <c r="D699" s="32">
        <f>IF(J699="E",INDEX(Transaksi!$D$2:$D$2001,K699)&amp;"","")</f>
        <v/>
      </c>
      <c r="E699" s="33">
        <f>IF(J699="H",SUMIFS(Transaksi!$G$2:$G$2001,Transaksi!$M$2:$M$2001,"="&amp;S699)+SUMIFS(Transaksi!$H$2:$H$2001,Transaksi!$M$2:$M$2001,"="&amp;S699)+SUMIFS(Transaksi!$I$2:$I$2001,Transaksi!$M$2:$M$2001,"="&amp;S699),IF(J699="E",IF(INDEX(Transaksi!$G$2:$G$2001,K699)+INDEX(Transaksi!$H$2:$H$2001,K699)+INDEX(Transaksi!$I$2:$I$2001,K699)=0,"",INDEX(Transaksi!$G$2:$G$2001,K699)+INDEX(Transaksi!$H$2:$H$2001,K699)+INDEX(Transaksi!$I$2:$I$2001,K699)),""))</f>
        <v/>
      </c>
      <c r="F699" s="33">
        <f>IF(J699="H",SUMIFS(Transaksi!$J$2:$J$2001,Transaksi!$M$2:$M$2001,"="&amp;S699),IF(J699="E",IF(INDEX(Transaksi!$J$2:$J$2001,K699)=0,"",INDEX(Transaksi!$J$2:$J$2001,K699)),""))</f>
        <v/>
      </c>
      <c r="G699" s="33">
        <f>IF(J699="H",(SUMIFS(Transaksi!$G$2:$G$2001,Transaksi!$M$2:$M$2001,"&lt;="&amp;S699)+SUMIFS(Transaksi!$H$2:$H$2001,Transaksi!$M$2:$M$2001,"&lt;="&amp;S699)+SUMIFS(Transaksi!$I$2:$I$2001,Transaksi!$M$2:$M$2001,"&lt;="&amp;S699))-(SUMIFS(Transaksi!$J$2:$J$2001,Transaksi!$M$2:$M$2001,"&lt;="&amp;S699)),"")</f>
        <v/>
      </c>
      <c r="I699">
        <f>IF(696&gt;$O$2,"",MATCH(696,$Q$3:$Q$402,1))</f>
        <v/>
      </c>
      <c r="J699">
        <f>IF(I699="","",IF(696=INDEX($Q$3:$Q$402,I699),"H","E"))</f>
        <v/>
      </c>
      <c r="K699">
        <f>IF(J699&lt;&gt;"E","",MATCH(S699,Transaksi!$M$2:$M$2001,0)+696-INDEX($Q$3:$Q$402,I699)-1)</f>
        <v/>
      </c>
      <c r="S699">
        <f>IF(I699="","",INDEX($O$3:$O$402,I699))</f>
        <v/>
      </c>
      <c r="T699">
        <f>IF(J699&lt;&gt;"H","",INDEX(Transaksi!$A$2:$A$2001,MATCH(S699,Transaksi!$M$2:$M$2001,0)))</f>
        <v/>
      </c>
    </row>
    <row r="700">
      <c r="A700" s="31">
        <f>IF(J700="E",IF(INDEX(Transaksi!$J$2:$J$2001,K700)&gt;0,"↑","↓"),"")</f>
        <v/>
      </c>
      <c r="B700" s="32">
        <f>IF(J700="H",CHOOSE(WEEKDAY(T700,2),"Isnin","Selasa","Rabu","Khamis","Jumaat","Sabtu","Ahad")&amp;", "&amp;DAY(T700)&amp;" "&amp;CHOOSE(MONTH(T700),"Jan","Feb","Mac","Apr","Mei","Jun","Jul","Ogo","Sep","Okt","Nov","Dis")&amp;" "&amp;YEAR(T700),IF(J700="E",IF(INDEX(Transaksi!$B$2:$B$2001,K700)="",INDEX(Transaksi!$C$2:$C$2001,K700)&amp;" · "&amp;INDEX(Transaksi!$D$2:$D$2001,K700),INDEX(Transaksi!$B$2:$B$2001,K700)),""))</f>
        <v/>
      </c>
      <c r="C700" s="32">
        <f>IF(J700="E",INDEX(Transaksi!$C$2:$C$2001,K700)&amp;"","")</f>
        <v/>
      </c>
      <c r="D700" s="32">
        <f>IF(J700="E",INDEX(Transaksi!$D$2:$D$2001,K700)&amp;"","")</f>
        <v/>
      </c>
      <c r="E700" s="33">
        <f>IF(J700="H",SUMIFS(Transaksi!$G$2:$G$2001,Transaksi!$M$2:$M$2001,"="&amp;S700)+SUMIFS(Transaksi!$H$2:$H$2001,Transaksi!$M$2:$M$2001,"="&amp;S700)+SUMIFS(Transaksi!$I$2:$I$2001,Transaksi!$M$2:$M$2001,"="&amp;S700),IF(J700="E",IF(INDEX(Transaksi!$G$2:$G$2001,K700)+INDEX(Transaksi!$H$2:$H$2001,K700)+INDEX(Transaksi!$I$2:$I$2001,K700)=0,"",INDEX(Transaksi!$G$2:$G$2001,K700)+INDEX(Transaksi!$H$2:$H$2001,K700)+INDEX(Transaksi!$I$2:$I$2001,K700)),""))</f>
        <v/>
      </c>
      <c r="F700" s="33">
        <f>IF(J700="H",SUMIFS(Transaksi!$J$2:$J$2001,Transaksi!$M$2:$M$2001,"="&amp;S700),IF(J700="E",IF(INDEX(Transaksi!$J$2:$J$2001,K700)=0,"",INDEX(Transaksi!$J$2:$J$2001,K700)),""))</f>
        <v/>
      </c>
      <c r="G700" s="33">
        <f>IF(J700="H",(SUMIFS(Transaksi!$G$2:$G$2001,Transaksi!$M$2:$M$2001,"&lt;="&amp;S700)+SUMIFS(Transaksi!$H$2:$H$2001,Transaksi!$M$2:$M$2001,"&lt;="&amp;S700)+SUMIFS(Transaksi!$I$2:$I$2001,Transaksi!$M$2:$M$2001,"&lt;="&amp;S700))-(SUMIFS(Transaksi!$J$2:$J$2001,Transaksi!$M$2:$M$2001,"&lt;="&amp;S700)),"")</f>
        <v/>
      </c>
      <c r="I700">
        <f>IF(697&gt;$O$2,"",MATCH(697,$Q$3:$Q$402,1))</f>
        <v/>
      </c>
      <c r="J700">
        <f>IF(I700="","",IF(697=INDEX($Q$3:$Q$402,I700),"H","E"))</f>
        <v/>
      </c>
      <c r="K700">
        <f>IF(J700&lt;&gt;"E","",MATCH(S700,Transaksi!$M$2:$M$2001,0)+697-INDEX($Q$3:$Q$402,I700)-1)</f>
        <v/>
      </c>
      <c r="S700">
        <f>IF(I700="","",INDEX($O$3:$O$402,I700))</f>
        <v/>
      </c>
      <c r="T700">
        <f>IF(J700&lt;&gt;"H","",INDEX(Transaksi!$A$2:$A$2001,MATCH(S700,Transaksi!$M$2:$M$2001,0)))</f>
        <v/>
      </c>
    </row>
    <row r="701">
      <c r="A701" s="31">
        <f>IF(J701="E",IF(INDEX(Transaksi!$J$2:$J$2001,K701)&gt;0,"↑","↓"),"")</f>
        <v/>
      </c>
      <c r="B701" s="32">
        <f>IF(J701="H",CHOOSE(WEEKDAY(T701,2),"Isnin","Selasa","Rabu","Khamis","Jumaat","Sabtu","Ahad")&amp;", "&amp;DAY(T701)&amp;" "&amp;CHOOSE(MONTH(T701),"Jan","Feb","Mac","Apr","Mei","Jun","Jul","Ogo","Sep","Okt","Nov","Dis")&amp;" "&amp;YEAR(T701),IF(J701="E",IF(INDEX(Transaksi!$B$2:$B$2001,K701)="",INDEX(Transaksi!$C$2:$C$2001,K701)&amp;" · "&amp;INDEX(Transaksi!$D$2:$D$2001,K701),INDEX(Transaksi!$B$2:$B$2001,K701)),""))</f>
        <v/>
      </c>
      <c r="C701" s="32">
        <f>IF(J701="E",INDEX(Transaksi!$C$2:$C$2001,K701)&amp;"","")</f>
        <v/>
      </c>
      <c r="D701" s="32">
        <f>IF(J701="E",INDEX(Transaksi!$D$2:$D$2001,K701)&amp;"","")</f>
        <v/>
      </c>
      <c r="E701" s="33">
        <f>IF(J701="H",SUMIFS(Transaksi!$G$2:$G$2001,Transaksi!$M$2:$M$2001,"="&amp;S701)+SUMIFS(Transaksi!$H$2:$H$2001,Transaksi!$M$2:$M$2001,"="&amp;S701)+SUMIFS(Transaksi!$I$2:$I$2001,Transaksi!$M$2:$M$2001,"="&amp;S701),IF(J701="E",IF(INDEX(Transaksi!$G$2:$G$2001,K701)+INDEX(Transaksi!$H$2:$H$2001,K701)+INDEX(Transaksi!$I$2:$I$2001,K701)=0,"",INDEX(Transaksi!$G$2:$G$2001,K701)+INDEX(Transaksi!$H$2:$H$2001,K701)+INDEX(Transaksi!$I$2:$I$2001,K701)),""))</f>
        <v/>
      </c>
      <c r="F701" s="33">
        <f>IF(J701="H",SUMIFS(Transaksi!$J$2:$J$2001,Transaksi!$M$2:$M$2001,"="&amp;S701),IF(J701="E",IF(INDEX(Transaksi!$J$2:$J$2001,K701)=0,"",INDEX(Transaksi!$J$2:$J$2001,K701)),""))</f>
        <v/>
      </c>
      <c r="G701" s="33">
        <f>IF(J701="H",(SUMIFS(Transaksi!$G$2:$G$2001,Transaksi!$M$2:$M$2001,"&lt;="&amp;S701)+SUMIFS(Transaksi!$H$2:$H$2001,Transaksi!$M$2:$M$2001,"&lt;="&amp;S701)+SUMIFS(Transaksi!$I$2:$I$2001,Transaksi!$M$2:$M$2001,"&lt;="&amp;S701))-(SUMIFS(Transaksi!$J$2:$J$2001,Transaksi!$M$2:$M$2001,"&lt;="&amp;S701)),"")</f>
        <v/>
      </c>
      <c r="I701">
        <f>IF(698&gt;$O$2,"",MATCH(698,$Q$3:$Q$402,1))</f>
        <v/>
      </c>
      <c r="J701">
        <f>IF(I701="","",IF(698=INDEX($Q$3:$Q$402,I701),"H","E"))</f>
        <v/>
      </c>
      <c r="K701">
        <f>IF(J701&lt;&gt;"E","",MATCH(S701,Transaksi!$M$2:$M$2001,0)+698-INDEX($Q$3:$Q$402,I701)-1)</f>
        <v/>
      </c>
      <c r="S701">
        <f>IF(I701="","",INDEX($O$3:$O$402,I701))</f>
        <v/>
      </c>
      <c r="T701">
        <f>IF(J701&lt;&gt;"H","",INDEX(Transaksi!$A$2:$A$2001,MATCH(S701,Transaksi!$M$2:$M$2001,0)))</f>
        <v/>
      </c>
    </row>
    <row r="702">
      <c r="A702" s="31">
        <f>IF(J702="E",IF(INDEX(Transaksi!$J$2:$J$2001,K702)&gt;0,"↑","↓"),"")</f>
        <v/>
      </c>
      <c r="B702" s="32">
        <f>IF(J702="H",CHOOSE(WEEKDAY(T702,2),"Isnin","Selasa","Rabu","Khamis","Jumaat","Sabtu","Ahad")&amp;", "&amp;DAY(T702)&amp;" "&amp;CHOOSE(MONTH(T702),"Jan","Feb","Mac","Apr","Mei","Jun","Jul","Ogo","Sep","Okt","Nov","Dis")&amp;" "&amp;YEAR(T702),IF(J702="E",IF(INDEX(Transaksi!$B$2:$B$2001,K702)="",INDEX(Transaksi!$C$2:$C$2001,K702)&amp;" · "&amp;INDEX(Transaksi!$D$2:$D$2001,K702),INDEX(Transaksi!$B$2:$B$2001,K702)),""))</f>
        <v/>
      </c>
      <c r="C702" s="32">
        <f>IF(J702="E",INDEX(Transaksi!$C$2:$C$2001,K702)&amp;"","")</f>
        <v/>
      </c>
      <c r="D702" s="32">
        <f>IF(J702="E",INDEX(Transaksi!$D$2:$D$2001,K702)&amp;"","")</f>
        <v/>
      </c>
      <c r="E702" s="33">
        <f>IF(J702="H",SUMIFS(Transaksi!$G$2:$G$2001,Transaksi!$M$2:$M$2001,"="&amp;S702)+SUMIFS(Transaksi!$H$2:$H$2001,Transaksi!$M$2:$M$2001,"="&amp;S702)+SUMIFS(Transaksi!$I$2:$I$2001,Transaksi!$M$2:$M$2001,"="&amp;S702),IF(J702="E",IF(INDEX(Transaksi!$G$2:$G$2001,K702)+INDEX(Transaksi!$H$2:$H$2001,K702)+INDEX(Transaksi!$I$2:$I$2001,K702)=0,"",INDEX(Transaksi!$G$2:$G$2001,K702)+INDEX(Transaksi!$H$2:$H$2001,K702)+INDEX(Transaksi!$I$2:$I$2001,K702)),""))</f>
        <v/>
      </c>
      <c r="F702" s="33">
        <f>IF(J702="H",SUMIFS(Transaksi!$J$2:$J$2001,Transaksi!$M$2:$M$2001,"="&amp;S702),IF(J702="E",IF(INDEX(Transaksi!$J$2:$J$2001,K702)=0,"",INDEX(Transaksi!$J$2:$J$2001,K702)),""))</f>
        <v/>
      </c>
      <c r="G702" s="33">
        <f>IF(J702="H",(SUMIFS(Transaksi!$G$2:$G$2001,Transaksi!$M$2:$M$2001,"&lt;="&amp;S702)+SUMIFS(Transaksi!$H$2:$H$2001,Transaksi!$M$2:$M$2001,"&lt;="&amp;S702)+SUMIFS(Transaksi!$I$2:$I$2001,Transaksi!$M$2:$M$2001,"&lt;="&amp;S702))-(SUMIFS(Transaksi!$J$2:$J$2001,Transaksi!$M$2:$M$2001,"&lt;="&amp;S702)),"")</f>
        <v/>
      </c>
      <c r="I702">
        <f>IF(699&gt;$O$2,"",MATCH(699,$Q$3:$Q$402,1))</f>
        <v/>
      </c>
      <c r="J702">
        <f>IF(I702="","",IF(699=INDEX($Q$3:$Q$402,I702),"H","E"))</f>
        <v/>
      </c>
      <c r="K702">
        <f>IF(J702&lt;&gt;"E","",MATCH(S702,Transaksi!$M$2:$M$2001,0)+699-INDEX($Q$3:$Q$402,I702)-1)</f>
        <v/>
      </c>
      <c r="S702">
        <f>IF(I702="","",INDEX($O$3:$O$402,I702))</f>
        <v/>
      </c>
      <c r="T702">
        <f>IF(J702&lt;&gt;"H","",INDEX(Transaksi!$A$2:$A$2001,MATCH(S702,Transaksi!$M$2:$M$2001,0)))</f>
        <v/>
      </c>
    </row>
    <row r="703">
      <c r="A703" s="31">
        <f>IF(J703="E",IF(INDEX(Transaksi!$J$2:$J$2001,K703)&gt;0,"↑","↓"),"")</f>
        <v/>
      </c>
      <c r="B703" s="32">
        <f>IF(J703="H",CHOOSE(WEEKDAY(T703,2),"Isnin","Selasa","Rabu","Khamis","Jumaat","Sabtu","Ahad")&amp;", "&amp;DAY(T703)&amp;" "&amp;CHOOSE(MONTH(T703),"Jan","Feb","Mac","Apr","Mei","Jun","Jul","Ogo","Sep","Okt","Nov","Dis")&amp;" "&amp;YEAR(T703),IF(J703="E",IF(INDEX(Transaksi!$B$2:$B$2001,K703)="",INDEX(Transaksi!$C$2:$C$2001,K703)&amp;" · "&amp;INDEX(Transaksi!$D$2:$D$2001,K703),INDEX(Transaksi!$B$2:$B$2001,K703)),""))</f>
        <v/>
      </c>
      <c r="C703" s="32">
        <f>IF(J703="E",INDEX(Transaksi!$C$2:$C$2001,K703)&amp;"","")</f>
        <v/>
      </c>
      <c r="D703" s="32">
        <f>IF(J703="E",INDEX(Transaksi!$D$2:$D$2001,K703)&amp;"","")</f>
        <v/>
      </c>
      <c r="E703" s="33">
        <f>IF(J703="H",SUMIFS(Transaksi!$G$2:$G$2001,Transaksi!$M$2:$M$2001,"="&amp;S703)+SUMIFS(Transaksi!$H$2:$H$2001,Transaksi!$M$2:$M$2001,"="&amp;S703)+SUMIFS(Transaksi!$I$2:$I$2001,Transaksi!$M$2:$M$2001,"="&amp;S703),IF(J703="E",IF(INDEX(Transaksi!$G$2:$G$2001,K703)+INDEX(Transaksi!$H$2:$H$2001,K703)+INDEX(Transaksi!$I$2:$I$2001,K703)=0,"",INDEX(Transaksi!$G$2:$G$2001,K703)+INDEX(Transaksi!$H$2:$H$2001,K703)+INDEX(Transaksi!$I$2:$I$2001,K703)),""))</f>
        <v/>
      </c>
      <c r="F703" s="33">
        <f>IF(J703="H",SUMIFS(Transaksi!$J$2:$J$2001,Transaksi!$M$2:$M$2001,"="&amp;S703),IF(J703="E",IF(INDEX(Transaksi!$J$2:$J$2001,K703)=0,"",INDEX(Transaksi!$J$2:$J$2001,K703)),""))</f>
        <v/>
      </c>
      <c r="G703" s="33">
        <f>IF(J703="H",(SUMIFS(Transaksi!$G$2:$G$2001,Transaksi!$M$2:$M$2001,"&lt;="&amp;S703)+SUMIFS(Transaksi!$H$2:$H$2001,Transaksi!$M$2:$M$2001,"&lt;="&amp;S703)+SUMIFS(Transaksi!$I$2:$I$2001,Transaksi!$M$2:$M$2001,"&lt;="&amp;S703))-(SUMIFS(Transaksi!$J$2:$J$2001,Transaksi!$M$2:$M$2001,"&lt;="&amp;S703)),"")</f>
        <v/>
      </c>
      <c r="I703">
        <f>IF(700&gt;$O$2,"",MATCH(700,$Q$3:$Q$402,1))</f>
        <v/>
      </c>
      <c r="J703">
        <f>IF(I703="","",IF(700=INDEX($Q$3:$Q$402,I703),"H","E"))</f>
        <v/>
      </c>
      <c r="K703">
        <f>IF(J703&lt;&gt;"E","",MATCH(S703,Transaksi!$M$2:$M$2001,0)+700-INDEX($Q$3:$Q$402,I703)-1)</f>
        <v/>
      </c>
      <c r="S703">
        <f>IF(I703="","",INDEX($O$3:$O$402,I703))</f>
        <v/>
      </c>
      <c r="T703">
        <f>IF(J703&lt;&gt;"H","",INDEX(Transaksi!$A$2:$A$2001,MATCH(S703,Transaksi!$M$2:$M$2001,0)))</f>
        <v/>
      </c>
    </row>
    <row r="704">
      <c r="A704" s="31">
        <f>IF(J704="E",IF(INDEX(Transaksi!$J$2:$J$2001,K704)&gt;0,"↑","↓"),"")</f>
        <v/>
      </c>
      <c r="B704" s="32">
        <f>IF(J704="H",CHOOSE(WEEKDAY(T704,2),"Isnin","Selasa","Rabu","Khamis","Jumaat","Sabtu","Ahad")&amp;", "&amp;DAY(T704)&amp;" "&amp;CHOOSE(MONTH(T704),"Jan","Feb","Mac","Apr","Mei","Jun","Jul","Ogo","Sep","Okt","Nov","Dis")&amp;" "&amp;YEAR(T704),IF(J704="E",IF(INDEX(Transaksi!$B$2:$B$2001,K704)="",INDEX(Transaksi!$C$2:$C$2001,K704)&amp;" · "&amp;INDEX(Transaksi!$D$2:$D$2001,K704),INDEX(Transaksi!$B$2:$B$2001,K704)),""))</f>
        <v/>
      </c>
      <c r="C704" s="32">
        <f>IF(J704="E",INDEX(Transaksi!$C$2:$C$2001,K704)&amp;"","")</f>
        <v/>
      </c>
      <c r="D704" s="32">
        <f>IF(J704="E",INDEX(Transaksi!$D$2:$D$2001,K704)&amp;"","")</f>
        <v/>
      </c>
      <c r="E704" s="33">
        <f>IF(J704="H",SUMIFS(Transaksi!$G$2:$G$2001,Transaksi!$M$2:$M$2001,"="&amp;S704)+SUMIFS(Transaksi!$H$2:$H$2001,Transaksi!$M$2:$M$2001,"="&amp;S704)+SUMIFS(Transaksi!$I$2:$I$2001,Transaksi!$M$2:$M$2001,"="&amp;S704),IF(J704="E",IF(INDEX(Transaksi!$G$2:$G$2001,K704)+INDEX(Transaksi!$H$2:$H$2001,K704)+INDEX(Transaksi!$I$2:$I$2001,K704)=0,"",INDEX(Transaksi!$G$2:$G$2001,K704)+INDEX(Transaksi!$H$2:$H$2001,K704)+INDEX(Transaksi!$I$2:$I$2001,K704)),""))</f>
        <v/>
      </c>
      <c r="F704" s="33">
        <f>IF(J704="H",SUMIFS(Transaksi!$J$2:$J$2001,Transaksi!$M$2:$M$2001,"="&amp;S704),IF(J704="E",IF(INDEX(Transaksi!$J$2:$J$2001,K704)=0,"",INDEX(Transaksi!$J$2:$J$2001,K704)),""))</f>
        <v/>
      </c>
      <c r="G704" s="33">
        <f>IF(J704="H",(SUMIFS(Transaksi!$G$2:$G$2001,Transaksi!$M$2:$M$2001,"&lt;="&amp;S704)+SUMIFS(Transaksi!$H$2:$H$2001,Transaksi!$M$2:$M$2001,"&lt;="&amp;S704)+SUMIFS(Transaksi!$I$2:$I$2001,Transaksi!$M$2:$M$2001,"&lt;="&amp;S704))-(SUMIFS(Transaksi!$J$2:$J$2001,Transaksi!$M$2:$M$2001,"&lt;="&amp;S704)),"")</f>
        <v/>
      </c>
      <c r="I704">
        <f>IF(701&gt;$O$2,"",MATCH(701,$Q$3:$Q$402,1))</f>
        <v/>
      </c>
      <c r="J704">
        <f>IF(I704="","",IF(701=INDEX($Q$3:$Q$402,I704),"H","E"))</f>
        <v/>
      </c>
      <c r="K704">
        <f>IF(J704&lt;&gt;"E","",MATCH(S704,Transaksi!$M$2:$M$2001,0)+701-INDEX($Q$3:$Q$402,I704)-1)</f>
        <v/>
      </c>
      <c r="S704">
        <f>IF(I704="","",INDEX($O$3:$O$402,I704))</f>
        <v/>
      </c>
      <c r="T704">
        <f>IF(J704&lt;&gt;"H","",INDEX(Transaksi!$A$2:$A$2001,MATCH(S704,Transaksi!$M$2:$M$2001,0)))</f>
        <v/>
      </c>
    </row>
    <row r="705">
      <c r="A705" s="31">
        <f>IF(J705="E",IF(INDEX(Transaksi!$J$2:$J$2001,K705)&gt;0,"↑","↓"),"")</f>
        <v/>
      </c>
      <c r="B705" s="32">
        <f>IF(J705="H",CHOOSE(WEEKDAY(T705,2),"Isnin","Selasa","Rabu","Khamis","Jumaat","Sabtu","Ahad")&amp;", "&amp;DAY(T705)&amp;" "&amp;CHOOSE(MONTH(T705),"Jan","Feb","Mac","Apr","Mei","Jun","Jul","Ogo","Sep","Okt","Nov","Dis")&amp;" "&amp;YEAR(T705),IF(J705="E",IF(INDEX(Transaksi!$B$2:$B$2001,K705)="",INDEX(Transaksi!$C$2:$C$2001,K705)&amp;" · "&amp;INDEX(Transaksi!$D$2:$D$2001,K705),INDEX(Transaksi!$B$2:$B$2001,K705)),""))</f>
        <v/>
      </c>
      <c r="C705" s="32">
        <f>IF(J705="E",INDEX(Transaksi!$C$2:$C$2001,K705)&amp;"","")</f>
        <v/>
      </c>
      <c r="D705" s="32">
        <f>IF(J705="E",INDEX(Transaksi!$D$2:$D$2001,K705)&amp;"","")</f>
        <v/>
      </c>
      <c r="E705" s="33">
        <f>IF(J705="H",SUMIFS(Transaksi!$G$2:$G$2001,Transaksi!$M$2:$M$2001,"="&amp;S705)+SUMIFS(Transaksi!$H$2:$H$2001,Transaksi!$M$2:$M$2001,"="&amp;S705)+SUMIFS(Transaksi!$I$2:$I$2001,Transaksi!$M$2:$M$2001,"="&amp;S705),IF(J705="E",IF(INDEX(Transaksi!$G$2:$G$2001,K705)+INDEX(Transaksi!$H$2:$H$2001,K705)+INDEX(Transaksi!$I$2:$I$2001,K705)=0,"",INDEX(Transaksi!$G$2:$G$2001,K705)+INDEX(Transaksi!$H$2:$H$2001,K705)+INDEX(Transaksi!$I$2:$I$2001,K705)),""))</f>
        <v/>
      </c>
      <c r="F705" s="33">
        <f>IF(J705="H",SUMIFS(Transaksi!$J$2:$J$2001,Transaksi!$M$2:$M$2001,"="&amp;S705),IF(J705="E",IF(INDEX(Transaksi!$J$2:$J$2001,K705)=0,"",INDEX(Transaksi!$J$2:$J$2001,K705)),""))</f>
        <v/>
      </c>
      <c r="G705" s="33">
        <f>IF(J705="H",(SUMIFS(Transaksi!$G$2:$G$2001,Transaksi!$M$2:$M$2001,"&lt;="&amp;S705)+SUMIFS(Transaksi!$H$2:$H$2001,Transaksi!$M$2:$M$2001,"&lt;="&amp;S705)+SUMIFS(Transaksi!$I$2:$I$2001,Transaksi!$M$2:$M$2001,"&lt;="&amp;S705))-(SUMIFS(Transaksi!$J$2:$J$2001,Transaksi!$M$2:$M$2001,"&lt;="&amp;S705)),"")</f>
        <v/>
      </c>
      <c r="I705">
        <f>IF(702&gt;$O$2,"",MATCH(702,$Q$3:$Q$402,1))</f>
        <v/>
      </c>
      <c r="J705">
        <f>IF(I705="","",IF(702=INDEX($Q$3:$Q$402,I705),"H","E"))</f>
        <v/>
      </c>
      <c r="K705">
        <f>IF(J705&lt;&gt;"E","",MATCH(S705,Transaksi!$M$2:$M$2001,0)+702-INDEX($Q$3:$Q$402,I705)-1)</f>
        <v/>
      </c>
      <c r="S705">
        <f>IF(I705="","",INDEX($O$3:$O$402,I705))</f>
        <v/>
      </c>
      <c r="T705">
        <f>IF(J705&lt;&gt;"H","",INDEX(Transaksi!$A$2:$A$2001,MATCH(S705,Transaksi!$M$2:$M$2001,0)))</f>
        <v/>
      </c>
    </row>
    <row r="706">
      <c r="A706" s="31">
        <f>IF(J706="E",IF(INDEX(Transaksi!$J$2:$J$2001,K706)&gt;0,"↑","↓"),"")</f>
        <v/>
      </c>
      <c r="B706" s="32">
        <f>IF(J706="H",CHOOSE(WEEKDAY(T706,2),"Isnin","Selasa","Rabu","Khamis","Jumaat","Sabtu","Ahad")&amp;", "&amp;DAY(T706)&amp;" "&amp;CHOOSE(MONTH(T706),"Jan","Feb","Mac","Apr","Mei","Jun","Jul","Ogo","Sep","Okt","Nov","Dis")&amp;" "&amp;YEAR(T706),IF(J706="E",IF(INDEX(Transaksi!$B$2:$B$2001,K706)="",INDEX(Transaksi!$C$2:$C$2001,K706)&amp;" · "&amp;INDEX(Transaksi!$D$2:$D$2001,K706),INDEX(Transaksi!$B$2:$B$2001,K706)),""))</f>
        <v/>
      </c>
      <c r="C706" s="32">
        <f>IF(J706="E",INDEX(Transaksi!$C$2:$C$2001,K706)&amp;"","")</f>
        <v/>
      </c>
      <c r="D706" s="32">
        <f>IF(J706="E",INDEX(Transaksi!$D$2:$D$2001,K706)&amp;"","")</f>
        <v/>
      </c>
      <c r="E706" s="33">
        <f>IF(J706="H",SUMIFS(Transaksi!$G$2:$G$2001,Transaksi!$M$2:$M$2001,"="&amp;S706)+SUMIFS(Transaksi!$H$2:$H$2001,Transaksi!$M$2:$M$2001,"="&amp;S706)+SUMIFS(Transaksi!$I$2:$I$2001,Transaksi!$M$2:$M$2001,"="&amp;S706),IF(J706="E",IF(INDEX(Transaksi!$G$2:$G$2001,K706)+INDEX(Transaksi!$H$2:$H$2001,K706)+INDEX(Transaksi!$I$2:$I$2001,K706)=0,"",INDEX(Transaksi!$G$2:$G$2001,K706)+INDEX(Transaksi!$H$2:$H$2001,K706)+INDEX(Transaksi!$I$2:$I$2001,K706)),""))</f>
        <v/>
      </c>
      <c r="F706" s="33">
        <f>IF(J706="H",SUMIFS(Transaksi!$J$2:$J$2001,Transaksi!$M$2:$M$2001,"="&amp;S706),IF(J706="E",IF(INDEX(Transaksi!$J$2:$J$2001,K706)=0,"",INDEX(Transaksi!$J$2:$J$2001,K706)),""))</f>
        <v/>
      </c>
      <c r="G706" s="33">
        <f>IF(J706="H",(SUMIFS(Transaksi!$G$2:$G$2001,Transaksi!$M$2:$M$2001,"&lt;="&amp;S706)+SUMIFS(Transaksi!$H$2:$H$2001,Transaksi!$M$2:$M$2001,"&lt;="&amp;S706)+SUMIFS(Transaksi!$I$2:$I$2001,Transaksi!$M$2:$M$2001,"&lt;="&amp;S706))-(SUMIFS(Transaksi!$J$2:$J$2001,Transaksi!$M$2:$M$2001,"&lt;="&amp;S706)),"")</f>
        <v/>
      </c>
      <c r="I706">
        <f>IF(703&gt;$O$2,"",MATCH(703,$Q$3:$Q$402,1))</f>
        <v/>
      </c>
      <c r="J706">
        <f>IF(I706="","",IF(703=INDEX($Q$3:$Q$402,I706),"H","E"))</f>
        <v/>
      </c>
      <c r="K706">
        <f>IF(J706&lt;&gt;"E","",MATCH(S706,Transaksi!$M$2:$M$2001,0)+703-INDEX($Q$3:$Q$402,I706)-1)</f>
        <v/>
      </c>
      <c r="S706">
        <f>IF(I706="","",INDEX($O$3:$O$402,I706))</f>
        <v/>
      </c>
      <c r="T706">
        <f>IF(J706&lt;&gt;"H","",INDEX(Transaksi!$A$2:$A$2001,MATCH(S706,Transaksi!$M$2:$M$2001,0)))</f>
        <v/>
      </c>
    </row>
    <row r="707">
      <c r="A707" s="31">
        <f>IF(J707="E",IF(INDEX(Transaksi!$J$2:$J$2001,K707)&gt;0,"↑","↓"),"")</f>
        <v/>
      </c>
      <c r="B707" s="32">
        <f>IF(J707="H",CHOOSE(WEEKDAY(T707,2),"Isnin","Selasa","Rabu","Khamis","Jumaat","Sabtu","Ahad")&amp;", "&amp;DAY(T707)&amp;" "&amp;CHOOSE(MONTH(T707),"Jan","Feb","Mac","Apr","Mei","Jun","Jul","Ogo","Sep","Okt","Nov","Dis")&amp;" "&amp;YEAR(T707),IF(J707="E",IF(INDEX(Transaksi!$B$2:$B$2001,K707)="",INDEX(Transaksi!$C$2:$C$2001,K707)&amp;" · "&amp;INDEX(Transaksi!$D$2:$D$2001,K707),INDEX(Transaksi!$B$2:$B$2001,K707)),""))</f>
        <v/>
      </c>
      <c r="C707" s="32">
        <f>IF(J707="E",INDEX(Transaksi!$C$2:$C$2001,K707)&amp;"","")</f>
        <v/>
      </c>
      <c r="D707" s="32">
        <f>IF(J707="E",INDEX(Transaksi!$D$2:$D$2001,K707)&amp;"","")</f>
        <v/>
      </c>
      <c r="E707" s="33">
        <f>IF(J707="H",SUMIFS(Transaksi!$G$2:$G$2001,Transaksi!$M$2:$M$2001,"="&amp;S707)+SUMIFS(Transaksi!$H$2:$H$2001,Transaksi!$M$2:$M$2001,"="&amp;S707)+SUMIFS(Transaksi!$I$2:$I$2001,Transaksi!$M$2:$M$2001,"="&amp;S707),IF(J707="E",IF(INDEX(Transaksi!$G$2:$G$2001,K707)+INDEX(Transaksi!$H$2:$H$2001,K707)+INDEX(Transaksi!$I$2:$I$2001,K707)=0,"",INDEX(Transaksi!$G$2:$G$2001,K707)+INDEX(Transaksi!$H$2:$H$2001,K707)+INDEX(Transaksi!$I$2:$I$2001,K707)),""))</f>
        <v/>
      </c>
      <c r="F707" s="33">
        <f>IF(J707="H",SUMIFS(Transaksi!$J$2:$J$2001,Transaksi!$M$2:$M$2001,"="&amp;S707),IF(J707="E",IF(INDEX(Transaksi!$J$2:$J$2001,K707)=0,"",INDEX(Transaksi!$J$2:$J$2001,K707)),""))</f>
        <v/>
      </c>
      <c r="G707" s="33">
        <f>IF(J707="H",(SUMIFS(Transaksi!$G$2:$G$2001,Transaksi!$M$2:$M$2001,"&lt;="&amp;S707)+SUMIFS(Transaksi!$H$2:$H$2001,Transaksi!$M$2:$M$2001,"&lt;="&amp;S707)+SUMIFS(Transaksi!$I$2:$I$2001,Transaksi!$M$2:$M$2001,"&lt;="&amp;S707))-(SUMIFS(Transaksi!$J$2:$J$2001,Transaksi!$M$2:$M$2001,"&lt;="&amp;S707)),"")</f>
        <v/>
      </c>
      <c r="I707">
        <f>IF(704&gt;$O$2,"",MATCH(704,$Q$3:$Q$402,1))</f>
        <v/>
      </c>
      <c r="J707">
        <f>IF(I707="","",IF(704=INDEX($Q$3:$Q$402,I707),"H","E"))</f>
        <v/>
      </c>
      <c r="K707">
        <f>IF(J707&lt;&gt;"E","",MATCH(S707,Transaksi!$M$2:$M$2001,0)+704-INDEX($Q$3:$Q$402,I707)-1)</f>
        <v/>
      </c>
      <c r="S707">
        <f>IF(I707="","",INDEX($O$3:$O$402,I707))</f>
        <v/>
      </c>
      <c r="T707">
        <f>IF(J707&lt;&gt;"H","",INDEX(Transaksi!$A$2:$A$2001,MATCH(S707,Transaksi!$M$2:$M$2001,0)))</f>
        <v/>
      </c>
    </row>
    <row r="708">
      <c r="A708" s="31">
        <f>IF(J708="E",IF(INDEX(Transaksi!$J$2:$J$2001,K708)&gt;0,"↑","↓"),"")</f>
        <v/>
      </c>
      <c r="B708" s="32">
        <f>IF(J708="H",CHOOSE(WEEKDAY(T708,2),"Isnin","Selasa","Rabu","Khamis","Jumaat","Sabtu","Ahad")&amp;", "&amp;DAY(T708)&amp;" "&amp;CHOOSE(MONTH(T708),"Jan","Feb","Mac","Apr","Mei","Jun","Jul","Ogo","Sep","Okt","Nov","Dis")&amp;" "&amp;YEAR(T708),IF(J708="E",IF(INDEX(Transaksi!$B$2:$B$2001,K708)="",INDEX(Transaksi!$C$2:$C$2001,K708)&amp;" · "&amp;INDEX(Transaksi!$D$2:$D$2001,K708),INDEX(Transaksi!$B$2:$B$2001,K708)),""))</f>
        <v/>
      </c>
      <c r="C708" s="32">
        <f>IF(J708="E",INDEX(Transaksi!$C$2:$C$2001,K708)&amp;"","")</f>
        <v/>
      </c>
      <c r="D708" s="32">
        <f>IF(J708="E",INDEX(Transaksi!$D$2:$D$2001,K708)&amp;"","")</f>
        <v/>
      </c>
      <c r="E708" s="33">
        <f>IF(J708="H",SUMIFS(Transaksi!$G$2:$G$2001,Transaksi!$M$2:$M$2001,"="&amp;S708)+SUMIFS(Transaksi!$H$2:$H$2001,Transaksi!$M$2:$M$2001,"="&amp;S708)+SUMIFS(Transaksi!$I$2:$I$2001,Transaksi!$M$2:$M$2001,"="&amp;S708),IF(J708="E",IF(INDEX(Transaksi!$G$2:$G$2001,K708)+INDEX(Transaksi!$H$2:$H$2001,K708)+INDEX(Transaksi!$I$2:$I$2001,K708)=0,"",INDEX(Transaksi!$G$2:$G$2001,K708)+INDEX(Transaksi!$H$2:$H$2001,K708)+INDEX(Transaksi!$I$2:$I$2001,K708)),""))</f>
        <v/>
      </c>
      <c r="F708" s="33">
        <f>IF(J708="H",SUMIFS(Transaksi!$J$2:$J$2001,Transaksi!$M$2:$M$2001,"="&amp;S708),IF(J708="E",IF(INDEX(Transaksi!$J$2:$J$2001,K708)=0,"",INDEX(Transaksi!$J$2:$J$2001,K708)),""))</f>
        <v/>
      </c>
      <c r="G708" s="33">
        <f>IF(J708="H",(SUMIFS(Transaksi!$G$2:$G$2001,Transaksi!$M$2:$M$2001,"&lt;="&amp;S708)+SUMIFS(Transaksi!$H$2:$H$2001,Transaksi!$M$2:$M$2001,"&lt;="&amp;S708)+SUMIFS(Transaksi!$I$2:$I$2001,Transaksi!$M$2:$M$2001,"&lt;="&amp;S708))-(SUMIFS(Transaksi!$J$2:$J$2001,Transaksi!$M$2:$M$2001,"&lt;="&amp;S708)),"")</f>
        <v/>
      </c>
      <c r="I708">
        <f>IF(705&gt;$O$2,"",MATCH(705,$Q$3:$Q$402,1))</f>
        <v/>
      </c>
      <c r="J708">
        <f>IF(I708="","",IF(705=INDEX($Q$3:$Q$402,I708),"H","E"))</f>
        <v/>
      </c>
      <c r="K708">
        <f>IF(J708&lt;&gt;"E","",MATCH(S708,Transaksi!$M$2:$M$2001,0)+705-INDEX($Q$3:$Q$402,I708)-1)</f>
        <v/>
      </c>
      <c r="S708">
        <f>IF(I708="","",INDEX($O$3:$O$402,I708))</f>
        <v/>
      </c>
      <c r="T708">
        <f>IF(J708&lt;&gt;"H","",INDEX(Transaksi!$A$2:$A$2001,MATCH(S708,Transaksi!$M$2:$M$2001,0)))</f>
        <v/>
      </c>
    </row>
    <row r="709">
      <c r="A709" s="31">
        <f>IF(J709="E",IF(INDEX(Transaksi!$J$2:$J$2001,K709)&gt;0,"↑","↓"),"")</f>
        <v/>
      </c>
      <c r="B709" s="32">
        <f>IF(J709="H",CHOOSE(WEEKDAY(T709,2),"Isnin","Selasa","Rabu","Khamis","Jumaat","Sabtu","Ahad")&amp;", "&amp;DAY(T709)&amp;" "&amp;CHOOSE(MONTH(T709),"Jan","Feb","Mac","Apr","Mei","Jun","Jul","Ogo","Sep","Okt","Nov","Dis")&amp;" "&amp;YEAR(T709),IF(J709="E",IF(INDEX(Transaksi!$B$2:$B$2001,K709)="",INDEX(Transaksi!$C$2:$C$2001,K709)&amp;" · "&amp;INDEX(Transaksi!$D$2:$D$2001,K709),INDEX(Transaksi!$B$2:$B$2001,K709)),""))</f>
        <v/>
      </c>
      <c r="C709" s="32">
        <f>IF(J709="E",INDEX(Transaksi!$C$2:$C$2001,K709)&amp;"","")</f>
        <v/>
      </c>
      <c r="D709" s="32">
        <f>IF(J709="E",INDEX(Transaksi!$D$2:$D$2001,K709)&amp;"","")</f>
        <v/>
      </c>
      <c r="E709" s="33">
        <f>IF(J709="H",SUMIFS(Transaksi!$G$2:$G$2001,Transaksi!$M$2:$M$2001,"="&amp;S709)+SUMIFS(Transaksi!$H$2:$H$2001,Transaksi!$M$2:$M$2001,"="&amp;S709)+SUMIFS(Transaksi!$I$2:$I$2001,Transaksi!$M$2:$M$2001,"="&amp;S709),IF(J709="E",IF(INDEX(Transaksi!$G$2:$G$2001,K709)+INDEX(Transaksi!$H$2:$H$2001,K709)+INDEX(Transaksi!$I$2:$I$2001,K709)=0,"",INDEX(Transaksi!$G$2:$G$2001,K709)+INDEX(Transaksi!$H$2:$H$2001,K709)+INDEX(Transaksi!$I$2:$I$2001,K709)),""))</f>
        <v/>
      </c>
      <c r="F709" s="33">
        <f>IF(J709="H",SUMIFS(Transaksi!$J$2:$J$2001,Transaksi!$M$2:$M$2001,"="&amp;S709),IF(J709="E",IF(INDEX(Transaksi!$J$2:$J$2001,K709)=0,"",INDEX(Transaksi!$J$2:$J$2001,K709)),""))</f>
        <v/>
      </c>
      <c r="G709" s="33">
        <f>IF(J709="H",(SUMIFS(Transaksi!$G$2:$G$2001,Transaksi!$M$2:$M$2001,"&lt;="&amp;S709)+SUMIFS(Transaksi!$H$2:$H$2001,Transaksi!$M$2:$M$2001,"&lt;="&amp;S709)+SUMIFS(Transaksi!$I$2:$I$2001,Transaksi!$M$2:$M$2001,"&lt;="&amp;S709))-(SUMIFS(Transaksi!$J$2:$J$2001,Transaksi!$M$2:$M$2001,"&lt;="&amp;S709)),"")</f>
        <v/>
      </c>
      <c r="I709">
        <f>IF(706&gt;$O$2,"",MATCH(706,$Q$3:$Q$402,1))</f>
        <v/>
      </c>
      <c r="J709">
        <f>IF(I709="","",IF(706=INDEX($Q$3:$Q$402,I709),"H","E"))</f>
        <v/>
      </c>
      <c r="K709">
        <f>IF(J709&lt;&gt;"E","",MATCH(S709,Transaksi!$M$2:$M$2001,0)+706-INDEX($Q$3:$Q$402,I709)-1)</f>
        <v/>
      </c>
      <c r="S709">
        <f>IF(I709="","",INDEX($O$3:$O$402,I709))</f>
        <v/>
      </c>
      <c r="T709">
        <f>IF(J709&lt;&gt;"H","",INDEX(Transaksi!$A$2:$A$2001,MATCH(S709,Transaksi!$M$2:$M$2001,0)))</f>
        <v/>
      </c>
    </row>
    <row r="710">
      <c r="A710" s="31">
        <f>IF(J710="E",IF(INDEX(Transaksi!$J$2:$J$2001,K710)&gt;0,"↑","↓"),"")</f>
        <v/>
      </c>
      <c r="B710" s="32">
        <f>IF(J710="H",CHOOSE(WEEKDAY(T710,2),"Isnin","Selasa","Rabu","Khamis","Jumaat","Sabtu","Ahad")&amp;", "&amp;DAY(T710)&amp;" "&amp;CHOOSE(MONTH(T710),"Jan","Feb","Mac","Apr","Mei","Jun","Jul","Ogo","Sep","Okt","Nov","Dis")&amp;" "&amp;YEAR(T710),IF(J710="E",IF(INDEX(Transaksi!$B$2:$B$2001,K710)="",INDEX(Transaksi!$C$2:$C$2001,K710)&amp;" · "&amp;INDEX(Transaksi!$D$2:$D$2001,K710),INDEX(Transaksi!$B$2:$B$2001,K710)),""))</f>
        <v/>
      </c>
      <c r="C710" s="32">
        <f>IF(J710="E",INDEX(Transaksi!$C$2:$C$2001,K710)&amp;"","")</f>
        <v/>
      </c>
      <c r="D710" s="32">
        <f>IF(J710="E",INDEX(Transaksi!$D$2:$D$2001,K710)&amp;"","")</f>
        <v/>
      </c>
      <c r="E710" s="33">
        <f>IF(J710="H",SUMIFS(Transaksi!$G$2:$G$2001,Transaksi!$M$2:$M$2001,"="&amp;S710)+SUMIFS(Transaksi!$H$2:$H$2001,Transaksi!$M$2:$M$2001,"="&amp;S710)+SUMIFS(Transaksi!$I$2:$I$2001,Transaksi!$M$2:$M$2001,"="&amp;S710),IF(J710="E",IF(INDEX(Transaksi!$G$2:$G$2001,K710)+INDEX(Transaksi!$H$2:$H$2001,K710)+INDEX(Transaksi!$I$2:$I$2001,K710)=0,"",INDEX(Transaksi!$G$2:$G$2001,K710)+INDEX(Transaksi!$H$2:$H$2001,K710)+INDEX(Transaksi!$I$2:$I$2001,K710)),""))</f>
        <v/>
      </c>
      <c r="F710" s="33">
        <f>IF(J710="H",SUMIFS(Transaksi!$J$2:$J$2001,Transaksi!$M$2:$M$2001,"="&amp;S710),IF(J710="E",IF(INDEX(Transaksi!$J$2:$J$2001,K710)=0,"",INDEX(Transaksi!$J$2:$J$2001,K710)),""))</f>
        <v/>
      </c>
      <c r="G710" s="33">
        <f>IF(J710="H",(SUMIFS(Transaksi!$G$2:$G$2001,Transaksi!$M$2:$M$2001,"&lt;="&amp;S710)+SUMIFS(Transaksi!$H$2:$H$2001,Transaksi!$M$2:$M$2001,"&lt;="&amp;S710)+SUMIFS(Transaksi!$I$2:$I$2001,Transaksi!$M$2:$M$2001,"&lt;="&amp;S710))-(SUMIFS(Transaksi!$J$2:$J$2001,Transaksi!$M$2:$M$2001,"&lt;="&amp;S710)),"")</f>
        <v/>
      </c>
      <c r="I710">
        <f>IF(707&gt;$O$2,"",MATCH(707,$Q$3:$Q$402,1))</f>
        <v/>
      </c>
      <c r="J710">
        <f>IF(I710="","",IF(707=INDEX($Q$3:$Q$402,I710),"H","E"))</f>
        <v/>
      </c>
      <c r="K710">
        <f>IF(J710&lt;&gt;"E","",MATCH(S710,Transaksi!$M$2:$M$2001,0)+707-INDEX($Q$3:$Q$402,I710)-1)</f>
        <v/>
      </c>
      <c r="S710">
        <f>IF(I710="","",INDEX($O$3:$O$402,I710))</f>
        <v/>
      </c>
      <c r="T710">
        <f>IF(J710&lt;&gt;"H","",INDEX(Transaksi!$A$2:$A$2001,MATCH(S710,Transaksi!$M$2:$M$2001,0)))</f>
        <v/>
      </c>
    </row>
    <row r="711">
      <c r="A711" s="31">
        <f>IF(J711="E",IF(INDEX(Transaksi!$J$2:$J$2001,K711)&gt;0,"↑","↓"),"")</f>
        <v/>
      </c>
      <c r="B711" s="32">
        <f>IF(J711="H",CHOOSE(WEEKDAY(T711,2),"Isnin","Selasa","Rabu","Khamis","Jumaat","Sabtu","Ahad")&amp;", "&amp;DAY(T711)&amp;" "&amp;CHOOSE(MONTH(T711),"Jan","Feb","Mac","Apr","Mei","Jun","Jul","Ogo","Sep","Okt","Nov","Dis")&amp;" "&amp;YEAR(T711),IF(J711="E",IF(INDEX(Transaksi!$B$2:$B$2001,K711)="",INDEX(Transaksi!$C$2:$C$2001,K711)&amp;" · "&amp;INDEX(Transaksi!$D$2:$D$2001,K711),INDEX(Transaksi!$B$2:$B$2001,K711)),""))</f>
        <v/>
      </c>
      <c r="C711" s="32">
        <f>IF(J711="E",INDEX(Transaksi!$C$2:$C$2001,K711)&amp;"","")</f>
        <v/>
      </c>
      <c r="D711" s="32">
        <f>IF(J711="E",INDEX(Transaksi!$D$2:$D$2001,K711)&amp;"","")</f>
        <v/>
      </c>
      <c r="E711" s="33">
        <f>IF(J711="H",SUMIFS(Transaksi!$G$2:$G$2001,Transaksi!$M$2:$M$2001,"="&amp;S711)+SUMIFS(Transaksi!$H$2:$H$2001,Transaksi!$M$2:$M$2001,"="&amp;S711)+SUMIFS(Transaksi!$I$2:$I$2001,Transaksi!$M$2:$M$2001,"="&amp;S711),IF(J711="E",IF(INDEX(Transaksi!$G$2:$G$2001,K711)+INDEX(Transaksi!$H$2:$H$2001,K711)+INDEX(Transaksi!$I$2:$I$2001,K711)=0,"",INDEX(Transaksi!$G$2:$G$2001,K711)+INDEX(Transaksi!$H$2:$H$2001,K711)+INDEX(Transaksi!$I$2:$I$2001,K711)),""))</f>
        <v/>
      </c>
      <c r="F711" s="33">
        <f>IF(J711="H",SUMIFS(Transaksi!$J$2:$J$2001,Transaksi!$M$2:$M$2001,"="&amp;S711),IF(J711="E",IF(INDEX(Transaksi!$J$2:$J$2001,K711)=0,"",INDEX(Transaksi!$J$2:$J$2001,K711)),""))</f>
        <v/>
      </c>
      <c r="G711" s="33">
        <f>IF(J711="H",(SUMIFS(Transaksi!$G$2:$G$2001,Transaksi!$M$2:$M$2001,"&lt;="&amp;S711)+SUMIFS(Transaksi!$H$2:$H$2001,Transaksi!$M$2:$M$2001,"&lt;="&amp;S711)+SUMIFS(Transaksi!$I$2:$I$2001,Transaksi!$M$2:$M$2001,"&lt;="&amp;S711))-(SUMIFS(Transaksi!$J$2:$J$2001,Transaksi!$M$2:$M$2001,"&lt;="&amp;S711)),"")</f>
        <v/>
      </c>
      <c r="I711">
        <f>IF(708&gt;$O$2,"",MATCH(708,$Q$3:$Q$402,1))</f>
        <v/>
      </c>
      <c r="J711">
        <f>IF(I711="","",IF(708=INDEX($Q$3:$Q$402,I711),"H","E"))</f>
        <v/>
      </c>
      <c r="K711">
        <f>IF(J711&lt;&gt;"E","",MATCH(S711,Transaksi!$M$2:$M$2001,0)+708-INDEX($Q$3:$Q$402,I711)-1)</f>
        <v/>
      </c>
      <c r="S711">
        <f>IF(I711="","",INDEX($O$3:$O$402,I711))</f>
        <v/>
      </c>
      <c r="T711">
        <f>IF(J711&lt;&gt;"H","",INDEX(Transaksi!$A$2:$A$2001,MATCH(S711,Transaksi!$M$2:$M$2001,0)))</f>
        <v/>
      </c>
    </row>
    <row r="712">
      <c r="A712" s="31">
        <f>IF(J712="E",IF(INDEX(Transaksi!$J$2:$J$2001,K712)&gt;0,"↑","↓"),"")</f>
        <v/>
      </c>
      <c r="B712" s="32">
        <f>IF(J712="H",CHOOSE(WEEKDAY(T712,2),"Isnin","Selasa","Rabu","Khamis","Jumaat","Sabtu","Ahad")&amp;", "&amp;DAY(T712)&amp;" "&amp;CHOOSE(MONTH(T712),"Jan","Feb","Mac","Apr","Mei","Jun","Jul","Ogo","Sep","Okt","Nov","Dis")&amp;" "&amp;YEAR(T712),IF(J712="E",IF(INDEX(Transaksi!$B$2:$B$2001,K712)="",INDEX(Transaksi!$C$2:$C$2001,K712)&amp;" · "&amp;INDEX(Transaksi!$D$2:$D$2001,K712),INDEX(Transaksi!$B$2:$B$2001,K712)),""))</f>
        <v/>
      </c>
      <c r="C712" s="32">
        <f>IF(J712="E",INDEX(Transaksi!$C$2:$C$2001,K712)&amp;"","")</f>
        <v/>
      </c>
      <c r="D712" s="32">
        <f>IF(J712="E",INDEX(Transaksi!$D$2:$D$2001,K712)&amp;"","")</f>
        <v/>
      </c>
      <c r="E712" s="33">
        <f>IF(J712="H",SUMIFS(Transaksi!$G$2:$G$2001,Transaksi!$M$2:$M$2001,"="&amp;S712)+SUMIFS(Transaksi!$H$2:$H$2001,Transaksi!$M$2:$M$2001,"="&amp;S712)+SUMIFS(Transaksi!$I$2:$I$2001,Transaksi!$M$2:$M$2001,"="&amp;S712),IF(J712="E",IF(INDEX(Transaksi!$G$2:$G$2001,K712)+INDEX(Transaksi!$H$2:$H$2001,K712)+INDEX(Transaksi!$I$2:$I$2001,K712)=0,"",INDEX(Transaksi!$G$2:$G$2001,K712)+INDEX(Transaksi!$H$2:$H$2001,K712)+INDEX(Transaksi!$I$2:$I$2001,K712)),""))</f>
        <v/>
      </c>
      <c r="F712" s="33">
        <f>IF(J712="H",SUMIFS(Transaksi!$J$2:$J$2001,Transaksi!$M$2:$M$2001,"="&amp;S712),IF(J712="E",IF(INDEX(Transaksi!$J$2:$J$2001,K712)=0,"",INDEX(Transaksi!$J$2:$J$2001,K712)),""))</f>
        <v/>
      </c>
      <c r="G712" s="33">
        <f>IF(J712="H",(SUMIFS(Transaksi!$G$2:$G$2001,Transaksi!$M$2:$M$2001,"&lt;="&amp;S712)+SUMIFS(Transaksi!$H$2:$H$2001,Transaksi!$M$2:$M$2001,"&lt;="&amp;S712)+SUMIFS(Transaksi!$I$2:$I$2001,Transaksi!$M$2:$M$2001,"&lt;="&amp;S712))-(SUMIFS(Transaksi!$J$2:$J$2001,Transaksi!$M$2:$M$2001,"&lt;="&amp;S712)),"")</f>
        <v/>
      </c>
      <c r="I712">
        <f>IF(709&gt;$O$2,"",MATCH(709,$Q$3:$Q$402,1))</f>
        <v/>
      </c>
      <c r="J712">
        <f>IF(I712="","",IF(709=INDEX($Q$3:$Q$402,I712),"H","E"))</f>
        <v/>
      </c>
      <c r="K712">
        <f>IF(J712&lt;&gt;"E","",MATCH(S712,Transaksi!$M$2:$M$2001,0)+709-INDEX($Q$3:$Q$402,I712)-1)</f>
        <v/>
      </c>
      <c r="S712">
        <f>IF(I712="","",INDEX($O$3:$O$402,I712))</f>
        <v/>
      </c>
      <c r="T712">
        <f>IF(J712&lt;&gt;"H","",INDEX(Transaksi!$A$2:$A$2001,MATCH(S712,Transaksi!$M$2:$M$2001,0)))</f>
        <v/>
      </c>
    </row>
    <row r="713">
      <c r="A713" s="31">
        <f>IF(J713="E",IF(INDEX(Transaksi!$J$2:$J$2001,K713)&gt;0,"↑","↓"),"")</f>
        <v/>
      </c>
      <c r="B713" s="32">
        <f>IF(J713="H",CHOOSE(WEEKDAY(T713,2),"Isnin","Selasa","Rabu","Khamis","Jumaat","Sabtu","Ahad")&amp;", "&amp;DAY(T713)&amp;" "&amp;CHOOSE(MONTH(T713),"Jan","Feb","Mac","Apr","Mei","Jun","Jul","Ogo","Sep","Okt","Nov","Dis")&amp;" "&amp;YEAR(T713),IF(J713="E",IF(INDEX(Transaksi!$B$2:$B$2001,K713)="",INDEX(Transaksi!$C$2:$C$2001,K713)&amp;" · "&amp;INDEX(Transaksi!$D$2:$D$2001,K713),INDEX(Transaksi!$B$2:$B$2001,K713)),""))</f>
        <v/>
      </c>
      <c r="C713" s="32">
        <f>IF(J713="E",INDEX(Transaksi!$C$2:$C$2001,K713)&amp;"","")</f>
        <v/>
      </c>
      <c r="D713" s="32">
        <f>IF(J713="E",INDEX(Transaksi!$D$2:$D$2001,K713)&amp;"","")</f>
        <v/>
      </c>
      <c r="E713" s="33">
        <f>IF(J713="H",SUMIFS(Transaksi!$G$2:$G$2001,Transaksi!$M$2:$M$2001,"="&amp;S713)+SUMIFS(Transaksi!$H$2:$H$2001,Transaksi!$M$2:$M$2001,"="&amp;S713)+SUMIFS(Transaksi!$I$2:$I$2001,Transaksi!$M$2:$M$2001,"="&amp;S713),IF(J713="E",IF(INDEX(Transaksi!$G$2:$G$2001,K713)+INDEX(Transaksi!$H$2:$H$2001,K713)+INDEX(Transaksi!$I$2:$I$2001,K713)=0,"",INDEX(Transaksi!$G$2:$G$2001,K713)+INDEX(Transaksi!$H$2:$H$2001,K713)+INDEX(Transaksi!$I$2:$I$2001,K713)),""))</f>
        <v/>
      </c>
      <c r="F713" s="33">
        <f>IF(J713="H",SUMIFS(Transaksi!$J$2:$J$2001,Transaksi!$M$2:$M$2001,"="&amp;S713),IF(J713="E",IF(INDEX(Transaksi!$J$2:$J$2001,K713)=0,"",INDEX(Transaksi!$J$2:$J$2001,K713)),""))</f>
        <v/>
      </c>
      <c r="G713" s="33">
        <f>IF(J713="H",(SUMIFS(Transaksi!$G$2:$G$2001,Transaksi!$M$2:$M$2001,"&lt;="&amp;S713)+SUMIFS(Transaksi!$H$2:$H$2001,Transaksi!$M$2:$M$2001,"&lt;="&amp;S713)+SUMIFS(Transaksi!$I$2:$I$2001,Transaksi!$M$2:$M$2001,"&lt;="&amp;S713))-(SUMIFS(Transaksi!$J$2:$J$2001,Transaksi!$M$2:$M$2001,"&lt;="&amp;S713)),"")</f>
        <v/>
      </c>
      <c r="I713">
        <f>IF(710&gt;$O$2,"",MATCH(710,$Q$3:$Q$402,1))</f>
        <v/>
      </c>
      <c r="J713">
        <f>IF(I713="","",IF(710=INDEX($Q$3:$Q$402,I713),"H","E"))</f>
        <v/>
      </c>
      <c r="K713">
        <f>IF(J713&lt;&gt;"E","",MATCH(S713,Transaksi!$M$2:$M$2001,0)+710-INDEX($Q$3:$Q$402,I713)-1)</f>
        <v/>
      </c>
      <c r="S713">
        <f>IF(I713="","",INDEX($O$3:$O$402,I713))</f>
        <v/>
      </c>
      <c r="T713">
        <f>IF(J713&lt;&gt;"H","",INDEX(Transaksi!$A$2:$A$2001,MATCH(S713,Transaksi!$M$2:$M$2001,0)))</f>
        <v/>
      </c>
    </row>
    <row r="714">
      <c r="A714" s="31">
        <f>IF(J714="E",IF(INDEX(Transaksi!$J$2:$J$2001,K714)&gt;0,"↑","↓"),"")</f>
        <v/>
      </c>
      <c r="B714" s="32">
        <f>IF(J714="H",CHOOSE(WEEKDAY(T714,2),"Isnin","Selasa","Rabu","Khamis","Jumaat","Sabtu","Ahad")&amp;", "&amp;DAY(T714)&amp;" "&amp;CHOOSE(MONTH(T714),"Jan","Feb","Mac","Apr","Mei","Jun","Jul","Ogo","Sep","Okt","Nov","Dis")&amp;" "&amp;YEAR(T714),IF(J714="E",IF(INDEX(Transaksi!$B$2:$B$2001,K714)="",INDEX(Transaksi!$C$2:$C$2001,K714)&amp;" · "&amp;INDEX(Transaksi!$D$2:$D$2001,K714),INDEX(Transaksi!$B$2:$B$2001,K714)),""))</f>
        <v/>
      </c>
      <c r="C714" s="32">
        <f>IF(J714="E",INDEX(Transaksi!$C$2:$C$2001,K714)&amp;"","")</f>
        <v/>
      </c>
      <c r="D714" s="32">
        <f>IF(J714="E",INDEX(Transaksi!$D$2:$D$2001,K714)&amp;"","")</f>
        <v/>
      </c>
      <c r="E714" s="33">
        <f>IF(J714="H",SUMIFS(Transaksi!$G$2:$G$2001,Transaksi!$M$2:$M$2001,"="&amp;S714)+SUMIFS(Transaksi!$H$2:$H$2001,Transaksi!$M$2:$M$2001,"="&amp;S714)+SUMIFS(Transaksi!$I$2:$I$2001,Transaksi!$M$2:$M$2001,"="&amp;S714),IF(J714="E",IF(INDEX(Transaksi!$G$2:$G$2001,K714)+INDEX(Transaksi!$H$2:$H$2001,K714)+INDEX(Transaksi!$I$2:$I$2001,K714)=0,"",INDEX(Transaksi!$G$2:$G$2001,K714)+INDEX(Transaksi!$H$2:$H$2001,K714)+INDEX(Transaksi!$I$2:$I$2001,K714)),""))</f>
        <v/>
      </c>
      <c r="F714" s="33">
        <f>IF(J714="H",SUMIFS(Transaksi!$J$2:$J$2001,Transaksi!$M$2:$M$2001,"="&amp;S714),IF(J714="E",IF(INDEX(Transaksi!$J$2:$J$2001,K714)=0,"",INDEX(Transaksi!$J$2:$J$2001,K714)),""))</f>
        <v/>
      </c>
      <c r="G714" s="33">
        <f>IF(J714="H",(SUMIFS(Transaksi!$G$2:$G$2001,Transaksi!$M$2:$M$2001,"&lt;="&amp;S714)+SUMIFS(Transaksi!$H$2:$H$2001,Transaksi!$M$2:$M$2001,"&lt;="&amp;S714)+SUMIFS(Transaksi!$I$2:$I$2001,Transaksi!$M$2:$M$2001,"&lt;="&amp;S714))-(SUMIFS(Transaksi!$J$2:$J$2001,Transaksi!$M$2:$M$2001,"&lt;="&amp;S714)),"")</f>
        <v/>
      </c>
      <c r="I714">
        <f>IF(711&gt;$O$2,"",MATCH(711,$Q$3:$Q$402,1))</f>
        <v/>
      </c>
      <c r="J714">
        <f>IF(I714="","",IF(711=INDEX($Q$3:$Q$402,I714),"H","E"))</f>
        <v/>
      </c>
      <c r="K714">
        <f>IF(J714&lt;&gt;"E","",MATCH(S714,Transaksi!$M$2:$M$2001,0)+711-INDEX($Q$3:$Q$402,I714)-1)</f>
        <v/>
      </c>
      <c r="S714">
        <f>IF(I714="","",INDEX($O$3:$O$402,I714))</f>
        <v/>
      </c>
      <c r="T714">
        <f>IF(J714&lt;&gt;"H","",INDEX(Transaksi!$A$2:$A$2001,MATCH(S714,Transaksi!$M$2:$M$2001,0)))</f>
        <v/>
      </c>
    </row>
    <row r="715">
      <c r="A715" s="31">
        <f>IF(J715="E",IF(INDEX(Transaksi!$J$2:$J$2001,K715)&gt;0,"↑","↓"),"")</f>
        <v/>
      </c>
      <c r="B715" s="32">
        <f>IF(J715="H",CHOOSE(WEEKDAY(T715,2),"Isnin","Selasa","Rabu","Khamis","Jumaat","Sabtu","Ahad")&amp;", "&amp;DAY(T715)&amp;" "&amp;CHOOSE(MONTH(T715),"Jan","Feb","Mac","Apr","Mei","Jun","Jul","Ogo","Sep","Okt","Nov","Dis")&amp;" "&amp;YEAR(T715),IF(J715="E",IF(INDEX(Transaksi!$B$2:$B$2001,K715)="",INDEX(Transaksi!$C$2:$C$2001,K715)&amp;" · "&amp;INDEX(Transaksi!$D$2:$D$2001,K715),INDEX(Transaksi!$B$2:$B$2001,K715)),""))</f>
        <v/>
      </c>
      <c r="C715" s="32">
        <f>IF(J715="E",INDEX(Transaksi!$C$2:$C$2001,K715)&amp;"","")</f>
        <v/>
      </c>
      <c r="D715" s="32">
        <f>IF(J715="E",INDEX(Transaksi!$D$2:$D$2001,K715)&amp;"","")</f>
        <v/>
      </c>
      <c r="E715" s="33">
        <f>IF(J715="H",SUMIFS(Transaksi!$G$2:$G$2001,Transaksi!$M$2:$M$2001,"="&amp;S715)+SUMIFS(Transaksi!$H$2:$H$2001,Transaksi!$M$2:$M$2001,"="&amp;S715)+SUMIFS(Transaksi!$I$2:$I$2001,Transaksi!$M$2:$M$2001,"="&amp;S715),IF(J715="E",IF(INDEX(Transaksi!$G$2:$G$2001,K715)+INDEX(Transaksi!$H$2:$H$2001,K715)+INDEX(Transaksi!$I$2:$I$2001,K715)=0,"",INDEX(Transaksi!$G$2:$G$2001,K715)+INDEX(Transaksi!$H$2:$H$2001,K715)+INDEX(Transaksi!$I$2:$I$2001,K715)),""))</f>
        <v/>
      </c>
      <c r="F715" s="33">
        <f>IF(J715="H",SUMIFS(Transaksi!$J$2:$J$2001,Transaksi!$M$2:$M$2001,"="&amp;S715),IF(J715="E",IF(INDEX(Transaksi!$J$2:$J$2001,K715)=0,"",INDEX(Transaksi!$J$2:$J$2001,K715)),""))</f>
        <v/>
      </c>
      <c r="G715" s="33">
        <f>IF(J715="H",(SUMIFS(Transaksi!$G$2:$G$2001,Transaksi!$M$2:$M$2001,"&lt;="&amp;S715)+SUMIFS(Transaksi!$H$2:$H$2001,Transaksi!$M$2:$M$2001,"&lt;="&amp;S715)+SUMIFS(Transaksi!$I$2:$I$2001,Transaksi!$M$2:$M$2001,"&lt;="&amp;S715))-(SUMIFS(Transaksi!$J$2:$J$2001,Transaksi!$M$2:$M$2001,"&lt;="&amp;S715)),"")</f>
        <v/>
      </c>
      <c r="I715">
        <f>IF(712&gt;$O$2,"",MATCH(712,$Q$3:$Q$402,1))</f>
        <v/>
      </c>
      <c r="J715">
        <f>IF(I715="","",IF(712=INDEX($Q$3:$Q$402,I715),"H","E"))</f>
        <v/>
      </c>
      <c r="K715">
        <f>IF(J715&lt;&gt;"E","",MATCH(S715,Transaksi!$M$2:$M$2001,0)+712-INDEX($Q$3:$Q$402,I715)-1)</f>
        <v/>
      </c>
      <c r="S715">
        <f>IF(I715="","",INDEX($O$3:$O$402,I715))</f>
        <v/>
      </c>
      <c r="T715">
        <f>IF(J715&lt;&gt;"H","",INDEX(Transaksi!$A$2:$A$2001,MATCH(S715,Transaksi!$M$2:$M$2001,0)))</f>
        <v/>
      </c>
    </row>
    <row r="716">
      <c r="A716" s="31">
        <f>IF(J716="E",IF(INDEX(Transaksi!$J$2:$J$2001,K716)&gt;0,"↑","↓"),"")</f>
        <v/>
      </c>
      <c r="B716" s="32">
        <f>IF(J716="H",CHOOSE(WEEKDAY(T716,2),"Isnin","Selasa","Rabu","Khamis","Jumaat","Sabtu","Ahad")&amp;", "&amp;DAY(T716)&amp;" "&amp;CHOOSE(MONTH(T716),"Jan","Feb","Mac","Apr","Mei","Jun","Jul","Ogo","Sep","Okt","Nov","Dis")&amp;" "&amp;YEAR(T716),IF(J716="E",IF(INDEX(Transaksi!$B$2:$B$2001,K716)="",INDEX(Transaksi!$C$2:$C$2001,K716)&amp;" · "&amp;INDEX(Transaksi!$D$2:$D$2001,K716),INDEX(Transaksi!$B$2:$B$2001,K716)),""))</f>
        <v/>
      </c>
      <c r="C716" s="32">
        <f>IF(J716="E",INDEX(Transaksi!$C$2:$C$2001,K716)&amp;"","")</f>
        <v/>
      </c>
      <c r="D716" s="32">
        <f>IF(J716="E",INDEX(Transaksi!$D$2:$D$2001,K716)&amp;"","")</f>
        <v/>
      </c>
      <c r="E716" s="33">
        <f>IF(J716="H",SUMIFS(Transaksi!$G$2:$G$2001,Transaksi!$M$2:$M$2001,"="&amp;S716)+SUMIFS(Transaksi!$H$2:$H$2001,Transaksi!$M$2:$M$2001,"="&amp;S716)+SUMIFS(Transaksi!$I$2:$I$2001,Transaksi!$M$2:$M$2001,"="&amp;S716),IF(J716="E",IF(INDEX(Transaksi!$G$2:$G$2001,K716)+INDEX(Transaksi!$H$2:$H$2001,K716)+INDEX(Transaksi!$I$2:$I$2001,K716)=0,"",INDEX(Transaksi!$G$2:$G$2001,K716)+INDEX(Transaksi!$H$2:$H$2001,K716)+INDEX(Transaksi!$I$2:$I$2001,K716)),""))</f>
        <v/>
      </c>
      <c r="F716" s="33">
        <f>IF(J716="H",SUMIFS(Transaksi!$J$2:$J$2001,Transaksi!$M$2:$M$2001,"="&amp;S716),IF(J716="E",IF(INDEX(Transaksi!$J$2:$J$2001,K716)=0,"",INDEX(Transaksi!$J$2:$J$2001,K716)),""))</f>
        <v/>
      </c>
      <c r="G716" s="33">
        <f>IF(J716="H",(SUMIFS(Transaksi!$G$2:$G$2001,Transaksi!$M$2:$M$2001,"&lt;="&amp;S716)+SUMIFS(Transaksi!$H$2:$H$2001,Transaksi!$M$2:$M$2001,"&lt;="&amp;S716)+SUMIFS(Transaksi!$I$2:$I$2001,Transaksi!$M$2:$M$2001,"&lt;="&amp;S716))-(SUMIFS(Transaksi!$J$2:$J$2001,Transaksi!$M$2:$M$2001,"&lt;="&amp;S716)),"")</f>
        <v/>
      </c>
      <c r="I716">
        <f>IF(713&gt;$O$2,"",MATCH(713,$Q$3:$Q$402,1))</f>
        <v/>
      </c>
      <c r="J716">
        <f>IF(I716="","",IF(713=INDEX($Q$3:$Q$402,I716),"H","E"))</f>
        <v/>
      </c>
      <c r="K716">
        <f>IF(J716&lt;&gt;"E","",MATCH(S716,Transaksi!$M$2:$M$2001,0)+713-INDEX($Q$3:$Q$402,I716)-1)</f>
        <v/>
      </c>
      <c r="S716">
        <f>IF(I716="","",INDEX($O$3:$O$402,I716))</f>
        <v/>
      </c>
      <c r="T716">
        <f>IF(J716&lt;&gt;"H","",INDEX(Transaksi!$A$2:$A$2001,MATCH(S716,Transaksi!$M$2:$M$2001,0)))</f>
        <v/>
      </c>
    </row>
    <row r="717">
      <c r="A717" s="31">
        <f>IF(J717="E",IF(INDEX(Transaksi!$J$2:$J$2001,K717)&gt;0,"↑","↓"),"")</f>
        <v/>
      </c>
      <c r="B717" s="32">
        <f>IF(J717="H",CHOOSE(WEEKDAY(T717,2),"Isnin","Selasa","Rabu","Khamis","Jumaat","Sabtu","Ahad")&amp;", "&amp;DAY(T717)&amp;" "&amp;CHOOSE(MONTH(T717),"Jan","Feb","Mac","Apr","Mei","Jun","Jul","Ogo","Sep","Okt","Nov","Dis")&amp;" "&amp;YEAR(T717),IF(J717="E",IF(INDEX(Transaksi!$B$2:$B$2001,K717)="",INDEX(Transaksi!$C$2:$C$2001,K717)&amp;" · "&amp;INDEX(Transaksi!$D$2:$D$2001,K717),INDEX(Transaksi!$B$2:$B$2001,K717)),""))</f>
        <v/>
      </c>
      <c r="C717" s="32">
        <f>IF(J717="E",INDEX(Transaksi!$C$2:$C$2001,K717)&amp;"","")</f>
        <v/>
      </c>
      <c r="D717" s="32">
        <f>IF(J717="E",INDEX(Transaksi!$D$2:$D$2001,K717)&amp;"","")</f>
        <v/>
      </c>
      <c r="E717" s="33">
        <f>IF(J717="H",SUMIFS(Transaksi!$G$2:$G$2001,Transaksi!$M$2:$M$2001,"="&amp;S717)+SUMIFS(Transaksi!$H$2:$H$2001,Transaksi!$M$2:$M$2001,"="&amp;S717)+SUMIFS(Transaksi!$I$2:$I$2001,Transaksi!$M$2:$M$2001,"="&amp;S717),IF(J717="E",IF(INDEX(Transaksi!$G$2:$G$2001,K717)+INDEX(Transaksi!$H$2:$H$2001,K717)+INDEX(Transaksi!$I$2:$I$2001,K717)=0,"",INDEX(Transaksi!$G$2:$G$2001,K717)+INDEX(Transaksi!$H$2:$H$2001,K717)+INDEX(Transaksi!$I$2:$I$2001,K717)),""))</f>
        <v/>
      </c>
      <c r="F717" s="33">
        <f>IF(J717="H",SUMIFS(Transaksi!$J$2:$J$2001,Transaksi!$M$2:$M$2001,"="&amp;S717),IF(J717="E",IF(INDEX(Transaksi!$J$2:$J$2001,K717)=0,"",INDEX(Transaksi!$J$2:$J$2001,K717)),""))</f>
        <v/>
      </c>
      <c r="G717" s="33">
        <f>IF(J717="H",(SUMIFS(Transaksi!$G$2:$G$2001,Transaksi!$M$2:$M$2001,"&lt;="&amp;S717)+SUMIFS(Transaksi!$H$2:$H$2001,Transaksi!$M$2:$M$2001,"&lt;="&amp;S717)+SUMIFS(Transaksi!$I$2:$I$2001,Transaksi!$M$2:$M$2001,"&lt;="&amp;S717))-(SUMIFS(Transaksi!$J$2:$J$2001,Transaksi!$M$2:$M$2001,"&lt;="&amp;S717)),"")</f>
        <v/>
      </c>
      <c r="I717">
        <f>IF(714&gt;$O$2,"",MATCH(714,$Q$3:$Q$402,1))</f>
        <v/>
      </c>
      <c r="J717">
        <f>IF(I717="","",IF(714=INDEX($Q$3:$Q$402,I717),"H","E"))</f>
        <v/>
      </c>
      <c r="K717">
        <f>IF(J717&lt;&gt;"E","",MATCH(S717,Transaksi!$M$2:$M$2001,0)+714-INDEX($Q$3:$Q$402,I717)-1)</f>
        <v/>
      </c>
      <c r="S717">
        <f>IF(I717="","",INDEX($O$3:$O$402,I717))</f>
        <v/>
      </c>
      <c r="T717">
        <f>IF(J717&lt;&gt;"H","",INDEX(Transaksi!$A$2:$A$2001,MATCH(S717,Transaksi!$M$2:$M$2001,0)))</f>
        <v/>
      </c>
    </row>
    <row r="718">
      <c r="A718" s="31">
        <f>IF(J718="E",IF(INDEX(Transaksi!$J$2:$J$2001,K718)&gt;0,"↑","↓"),"")</f>
        <v/>
      </c>
      <c r="B718" s="32">
        <f>IF(J718="H",CHOOSE(WEEKDAY(T718,2),"Isnin","Selasa","Rabu","Khamis","Jumaat","Sabtu","Ahad")&amp;", "&amp;DAY(T718)&amp;" "&amp;CHOOSE(MONTH(T718),"Jan","Feb","Mac","Apr","Mei","Jun","Jul","Ogo","Sep","Okt","Nov","Dis")&amp;" "&amp;YEAR(T718),IF(J718="E",IF(INDEX(Transaksi!$B$2:$B$2001,K718)="",INDEX(Transaksi!$C$2:$C$2001,K718)&amp;" · "&amp;INDEX(Transaksi!$D$2:$D$2001,K718),INDEX(Transaksi!$B$2:$B$2001,K718)),""))</f>
        <v/>
      </c>
      <c r="C718" s="32">
        <f>IF(J718="E",INDEX(Transaksi!$C$2:$C$2001,K718)&amp;"","")</f>
        <v/>
      </c>
      <c r="D718" s="32">
        <f>IF(J718="E",INDEX(Transaksi!$D$2:$D$2001,K718)&amp;"","")</f>
        <v/>
      </c>
      <c r="E718" s="33">
        <f>IF(J718="H",SUMIFS(Transaksi!$G$2:$G$2001,Transaksi!$M$2:$M$2001,"="&amp;S718)+SUMIFS(Transaksi!$H$2:$H$2001,Transaksi!$M$2:$M$2001,"="&amp;S718)+SUMIFS(Transaksi!$I$2:$I$2001,Transaksi!$M$2:$M$2001,"="&amp;S718),IF(J718="E",IF(INDEX(Transaksi!$G$2:$G$2001,K718)+INDEX(Transaksi!$H$2:$H$2001,K718)+INDEX(Transaksi!$I$2:$I$2001,K718)=0,"",INDEX(Transaksi!$G$2:$G$2001,K718)+INDEX(Transaksi!$H$2:$H$2001,K718)+INDEX(Transaksi!$I$2:$I$2001,K718)),""))</f>
        <v/>
      </c>
      <c r="F718" s="33">
        <f>IF(J718="H",SUMIFS(Transaksi!$J$2:$J$2001,Transaksi!$M$2:$M$2001,"="&amp;S718),IF(J718="E",IF(INDEX(Transaksi!$J$2:$J$2001,K718)=0,"",INDEX(Transaksi!$J$2:$J$2001,K718)),""))</f>
        <v/>
      </c>
      <c r="G718" s="33">
        <f>IF(J718="H",(SUMIFS(Transaksi!$G$2:$G$2001,Transaksi!$M$2:$M$2001,"&lt;="&amp;S718)+SUMIFS(Transaksi!$H$2:$H$2001,Transaksi!$M$2:$M$2001,"&lt;="&amp;S718)+SUMIFS(Transaksi!$I$2:$I$2001,Transaksi!$M$2:$M$2001,"&lt;="&amp;S718))-(SUMIFS(Transaksi!$J$2:$J$2001,Transaksi!$M$2:$M$2001,"&lt;="&amp;S718)),"")</f>
        <v/>
      </c>
      <c r="I718">
        <f>IF(715&gt;$O$2,"",MATCH(715,$Q$3:$Q$402,1))</f>
        <v/>
      </c>
      <c r="J718">
        <f>IF(I718="","",IF(715=INDEX($Q$3:$Q$402,I718),"H","E"))</f>
        <v/>
      </c>
      <c r="K718">
        <f>IF(J718&lt;&gt;"E","",MATCH(S718,Transaksi!$M$2:$M$2001,0)+715-INDEX($Q$3:$Q$402,I718)-1)</f>
        <v/>
      </c>
      <c r="S718">
        <f>IF(I718="","",INDEX($O$3:$O$402,I718))</f>
        <v/>
      </c>
      <c r="T718">
        <f>IF(J718&lt;&gt;"H","",INDEX(Transaksi!$A$2:$A$2001,MATCH(S718,Transaksi!$M$2:$M$2001,0)))</f>
        <v/>
      </c>
    </row>
    <row r="719">
      <c r="A719" s="31">
        <f>IF(J719="E",IF(INDEX(Transaksi!$J$2:$J$2001,K719)&gt;0,"↑","↓"),"")</f>
        <v/>
      </c>
      <c r="B719" s="32">
        <f>IF(J719="H",CHOOSE(WEEKDAY(T719,2),"Isnin","Selasa","Rabu","Khamis","Jumaat","Sabtu","Ahad")&amp;", "&amp;DAY(T719)&amp;" "&amp;CHOOSE(MONTH(T719),"Jan","Feb","Mac","Apr","Mei","Jun","Jul","Ogo","Sep","Okt","Nov","Dis")&amp;" "&amp;YEAR(T719),IF(J719="E",IF(INDEX(Transaksi!$B$2:$B$2001,K719)="",INDEX(Transaksi!$C$2:$C$2001,K719)&amp;" · "&amp;INDEX(Transaksi!$D$2:$D$2001,K719),INDEX(Transaksi!$B$2:$B$2001,K719)),""))</f>
        <v/>
      </c>
      <c r="C719" s="32">
        <f>IF(J719="E",INDEX(Transaksi!$C$2:$C$2001,K719)&amp;"","")</f>
        <v/>
      </c>
      <c r="D719" s="32">
        <f>IF(J719="E",INDEX(Transaksi!$D$2:$D$2001,K719)&amp;"","")</f>
        <v/>
      </c>
      <c r="E719" s="33">
        <f>IF(J719="H",SUMIFS(Transaksi!$G$2:$G$2001,Transaksi!$M$2:$M$2001,"="&amp;S719)+SUMIFS(Transaksi!$H$2:$H$2001,Transaksi!$M$2:$M$2001,"="&amp;S719)+SUMIFS(Transaksi!$I$2:$I$2001,Transaksi!$M$2:$M$2001,"="&amp;S719),IF(J719="E",IF(INDEX(Transaksi!$G$2:$G$2001,K719)+INDEX(Transaksi!$H$2:$H$2001,K719)+INDEX(Transaksi!$I$2:$I$2001,K719)=0,"",INDEX(Transaksi!$G$2:$G$2001,K719)+INDEX(Transaksi!$H$2:$H$2001,K719)+INDEX(Transaksi!$I$2:$I$2001,K719)),""))</f>
        <v/>
      </c>
      <c r="F719" s="33">
        <f>IF(J719="H",SUMIFS(Transaksi!$J$2:$J$2001,Transaksi!$M$2:$M$2001,"="&amp;S719),IF(J719="E",IF(INDEX(Transaksi!$J$2:$J$2001,K719)=0,"",INDEX(Transaksi!$J$2:$J$2001,K719)),""))</f>
        <v/>
      </c>
      <c r="G719" s="33">
        <f>IF(J719="H",(SUMIFS(Transaksi!$G$2:$G$2001,Transaksi!$M$2:$M$2001,"&lt;="&amp;S719)+SUMIFS(Transaksi!$H$2:$H$2001,Transaksi!$M$2:$M$2001,"&lt;="&amp;S719)+SUMIFS(Transaksi!$I$2:$I$2001,Transaksi!$M$2:$M$2001,"&lt;="&amp;S719))-(SUMIFS(Transaksi!$J$2:$J$2001,Transaksi!$M$2:$M$2001,"&lt;="&amp;S719)),"")</f>
        <v/>
      </c>
      <c r="I719">
        <f>IF(716&gt;$O$2,"",MATCH(716,$Q$3:$Q$402,1))</f>
        <v/>
      </c>
      <c r="J719">
        <f>IF(I719="","",IF(716=INDEX($Q$3:$Q$402,I719),"H","E"))</f>
        <v/>
      </c>
      <c r="K719">
        <f>IF(J719&lt;&gt;"E","",MATCH(S719,Transaksi!$M$2:$M$2001,0)+716-INDEX($Q$3:$Q$402,I719)-1)</f>
        <v/>
      </c>
      <c r="S719">
        <f>IF(I719="","",INDEX($O$3:$O$402,I719))</f>
        <v/>
      </c>
      <c r="T719">
        <f>IF(J719&lt;&gt;"H","",INDEX(Transaksi!$A$2:$A$2001,MATCH(S719,Transaksi!$M$2:$M$2001,0)))</f>
        <v/>
      </c>
    </row>
    <row r="720">
      <c r="A720" s="31">
        <f>IF(J720="E",IF(INDEX(Transaksi!$J$2:$J$2001,K720)&gt;0,"↑","↓"),"")</f>
        <v/>
      </c>
      <c r="B720" s="32">
        <f>IF(J720="H",CHOOSE(WEEKDAY(T720,2),"Isnin","Selasa","Rabu","Khamis","Jumaat","Sabtu","Ahad")&amp;", "&amp;DAY(T720)&amp;" "&amp;CHOOSE(MONTH(T720),"Jan","Feb","Mac","Apr","Mei","Jun","Jul","Ogo","Sep","Okt","Nov","Dis")&amp;" "&amp;YEAR(T720),IF(J720="E",IF(INDEX(Transaksi!$B$2:$B$2001,K720)="",INDEX(Transaksi!$C$2:$C$2001,K720)&amp;" · "&amp;INDEX(Transaksi!$D$2:$D$2001,K720),INDEX(Transaksi!$B$2:$B$2001,K720)),""))</f>
        <v/>
      </c>
      <c r="C720" s="32">
        <f>IF(J720="E",INDEX(Transaksi!$C$2:$C$2001,K720)&amp;"","")</f>
        <v/>
      </c>
      <c r="D720" s="32">
        <f>IF(J720="E",INDEX(Transaksi!$D$2:$D$2001,K720)&amp;"","")</f>
        <v/>
      </c>
      <c r="E720" s="33">
        <f>IF(J720="H",SUMIFS(Transaksi!$G$2:$G$2001,Transaksi!$M$2:$M$2001,"="&amp;S720)+SUMIFS(Transaksi!$H$2:$H$2001,Transaksi!$M$2:$M$2001,"="&amp;S720)+SUMIFS(Transaksi!$I$2:$I$2001,Transaksi!$M$2:$M$2001,"="&amp;S720),IF(J720="E",IF(INDEX(Transaksi!$G$2:$G$2001,K720)+INDEX(Transaksi!$H$2:$H$2001,K720)+INDEX(Transaksi!$I$2:$I$2001,K720)=0,"",INDEX(Transaksi!$G$2:$G$2001,K720)+INDEX(Transaksi!$H$2:$H$2001,K720)+INDEX(Transaksi!$I$2:$I$2001,K720)),""))</f>
        <v/>
      </c>
      <c r="F720" s="33">
        <f>IF(J720="H",SUMIFS(Transaksi!$J$2:$J$2001,Transaksi!$M$2:$M$2001,"="&amp;S720),IF(J720="E",IF(INDEX(Transaksi!$J$2:$J$2001,K720)=0,"",INDEX(Transaksi!$J$2:$J$2001,K720)),""))</f>
        <v/>
      </c>
      <c r="G720" s="33">
        <f>IF(J720="H",(SUMIFS(Transaksi!$G$2:$G$2001,Transaksi!$M$2:$M$2001,"&lt;="&amp;S720)+SUMIFS(Transaksi!$H$2:$H$2001,Transaksi!$M$2:$M$2001,"&lt;="&amp;S720)+SUMIFS(Transaksi!$I$2:$I$2001,Transaksi!$M$2:$M$2001,"&lt;="&amp;S720))-(SUMIFS(Transaksi!$J$2:$J$2001,Transaksi!$M$2:$M$2001,"&lt;="&amp;S720)),"")</f>
        <v/>
      </c>
      <c r="I720">
        <f>IF(717&gt;$O$2,"",MATCH(717,$Q$3:$Q$402,1))</f>
        <v/>
      </c>
      <c r="J720">
        <f>IF(I720="","",IF(717=INDEX($Q$3:$Q$402,I720),"H","E"))</f>
        <v/>
      </c>
      <c r="K720">
        <f>IF(J720&lt;&gt;"E","",MATCH(S720,Transaksi!$M$2:$M$2001,0)+717-INDEX($Q$3:$Q$402,I720)-1)</f>
        <v/>
      </c>
      <c r="S720">
        <f>IF(I720="","",INDEX($O$3:$O$402,I720))</f>
        <v/>
      </c>
      <c r="T720">
        <f>IF(J720&lt;&gt;"H","",INDEX(Transaksi!$A$2:$A$2001,MATCH(S720,Transaksi!$M$2:$M$2001,0)))</f>
        <v/>
      </c>
    </row>
    <row r="721">
      <c r="A721" s="31">
        <f>IF(J721="E",IF(INDEX(Transaksi!$J$2:$J$2001,K721)&gt;0,"↑","↓"),"")</f>
        <v/>
      </c>
      <c r="B721" s="32">
        <f>IF(J721="H",CHOOSE(WEEKDAY(T721,2),"Isnin","Selasa","Rabu","Khamis","Jumaat","Sabtu","Ahad")&amp;", "&amp;DAY(T721)&amp;" "&amp;CHOOSE(MONTH(T721),"Jan","Feb","Mac","Apr","Mei","Jun","Jul","Ogo","Sep","Okt","Nov","Dis")&amp;" "&amp;YEAR(T721),IF(J721="E",IF(INDEX(Transaksi!$B$2:$B$2001,K721)="",INDEX(Transaksi!$C$2:$C$2001,K721)&amp;" · "&amp;INDEX(Transaksi!$D$2:$D$2001,K721),INDEX(Transaksi!$B$2:$B$2001,K721)),""))</f>
        <v/>
      </c>
      <c r="C721" s="32">
        <f>IF(J721="E",INDEX(Transaksi!$C$2:$C$2001,K721)&amp;"","")</f>
        <v/>
      </c>
      <c r="D721" s="32">
        <f>IF(J721="E",INDEX(Transaksi!$D$2:$D$2001,K721)&amp;"","")</f>
        <v/>
      </c>
      <c r="E721" s="33">
        <f>IF(J721="H",SUMIFS(Transaksi!$G$2:$G$2001,Transaksi!$M$2:$M$2001,"="&amp;S721)+SUMIFS(Transaksi!$H$2:$H$2001,Transaksi!$M$2:$M$2001,"="&amp;S721)+SUMIFS(Transaksi!$I$2:$I$2001,Transaksi!$M$2:$M$2001,"="&amp;S721),IF(J721="E",IF(INDEX(Transaksi!$G$2:$G$2001,K721)+INDEX(Transaksi!$H$2:$H$2001,K721)+INDEX(Transaksi!$I$2:$I$2001,K721)=0,"",INDEX(Transaksi!$G$2:$G$2001,K721)+INDEX(Transaksi!$H$2:$H$2001,K721)+INDEX(Transaksi!$I$2:$I$2001,K721)),""))</f>
        <v/>
      </c>
      <c r="F721" s="33">
        <f>IF(J721="H",SUMIFS(Transaksi!$J$2:$J$2001,Transaksi!$M$2:$M$2001,"="&amp;S721),IF(J721="E",IF(INDEX(Transaksi!$J$2:$J$2001,K721)=0,"",INDEX(Transaksi!$J$2:$J$2001,K721)),""))</f>
        <v/>
      </c>
      <c r="G721" s="33">
        <f>IF(J721="H",(SUMIFS(Transaksi!$G$2:$G$2001,Transaksi!$M$2:$M$2001,"&lt;="&amp;S721)+SUMIFS(Transaksi!$H$2:$H$2001,Transaksi!$M$2:$M$2001,"&lt;="&amp;S721)+SUMIFS(Transaksi!$I$2:$I$2001,Transaksi!$M$2:$M$2001,"&lt;="&amp;S721))-(SUMIFS(Transaksi!$J$2:$J$2001,Transaksi!$M$2:$M$2001,"&lt;="&amp;S721)),"")</f>
        <v/>
      </c>
      <c r="I721">
        <f>IF(718&gt;$O$2,"",MATCH(718,$Q$3:$Q$402,1))</f>
        <v/>
      </c>
      <c r="J721">
        <f>IF(I721="","",IF(718=INDEX($Q$3:$Q$402,I721),"H","E"))</f>
        <v/>
      </c>
      <c r="K721">
        <f>IF(J721&lt;&gt;"E","",MATCH(S721,Transaksi!$M$2:$M$2001,0)+718-INDEX($Q$3:$Q$402,I721)-1)</f>
        <v/>
      </c>
      <c r="S721">
        <f>IF(I721="","",INDEX($O$3:$O$402,I721))</f>
        <v/>
      </c>
      <c r="T721">
        <f>IF(J721&lt;&gt;"H","",INDEX(Transaksi!$A$2:$A$2001,MATCH(S721,Transaksi!$M$2:$M$2001,0)))</f>
        <v/>
      </c>
    </row>
    <row r="722">
      <c r="A722" s="31">
        <f>IF(J722="E",IF(INDEX(Transaksi!$J$2:$J$2001,K722)&gt;0,"↑","↓"),"")</f>
        <v/>
      </c>
      <c r="B722" s="32">
        <f>IF(J722="H",CHOOSE(WEEKDAY(T722,2),"Isnin","Selasa","Rabu","Khamis","Jumaat","Sabtu","Ahad")&amp;", "&amp;DAY(T722)&amp;" "&amp;CHOOSE(MONTH(T722),"Jan","Feb","Mac","Apr","Mei","Jun","Jul","Ogo","Sep","Okt","Nov","Dis")&amp;" "&amp;YEAR(T722),IF(J722="E",IF(INDEX(Transaksi!$B$2:$B$2001,K722)="",INDEX(Transaksi!$C$2:$C$2001,K722)&amp;" · "&amp;INDEX(Transaksi!$D$2:$D$2001,K722),INDEX(Transaksi!$B$2:$B$2001,K722)),""))</f>
        <v/>
      </c>
      <c r="C722" s="32">
        <f>IF(J722="E",INDEX(Transaksi!$C$2:$C$2001,K722)&amp;"","")</f>
        <v/>
      </c>
      <c r="D722" s="32">
        <f>IF(J722="E",INDEX(Transaksi!$D$2:$D$2001,K722)&amp;"","")</f>
        <v/>
      </c>
      <c r="E722" s="33">
        <f>IF(J722="H",SUMIFS(Transaksi!$G$2:$G$2001,Transaksi!$M$2:$M$2001,"="&amp;S722)+SUMIFS(Transaksi!$H$2:$H$2001,Transaksi!$M$2:$M$2001,"="&amp;S722)+SUMIFS(Transaksi!$I$2:$I$2001,Transaksi!$M$2:$M$2001,"="&amp;S722),IF(J722="E",IF(INDEX(Transaksi!$G$2:$G$2001,K722)+INDEX(Transaksi!$H$2:$H$2001,K722)+INDEX(Transaksi!$I$2:$I$2001,K722)=0,"",INDEX(Transaksi!$G$2:$G$2001,K722)+INDEX(Transaksi!$H$2:$H$2001,K722)+INDEX(Transaksi!$I$2:$I$2001,K722)),""))</f>
        <v/>
      </c>
      <c r="F722" s="33">
        <f>IF(J722="H",SUMIFS(Transaksi!$J$2:$J$2001,Transaksi!$M$2:$M$2001,"="&amp;S722),IF(J722="E",IF(INDEX(Transaksi!$J$2:$J$2001,K722)=0,"",INDEX(Transaksi!$J$2:$J$2001,K722)),""))</f>
        <v/>
      </c>
      <c r="G722" s="33">
        <f>IF(J722="H",(SUMIFS(Transaksi!$G$2:$G$2001,Transaksi!$M$2:$M$2001,"&lt;="&amp;S722)+SUMIFS(Transaksi!$H$2:$H$2001,Transaksi!$M$2:$M$2001,"&lt;="&amp;S722)+SUMIFS(Transaksi!$I$2:$I$2001,Transaksi!$M$2:$M$2001,"&lt;="&amp;S722))-(SUMIFS(Transaksi!$J$2:$J$2001,Transaksi!$M$2:$M$2001,"&lt;="&amp;S722)),"")</f>
        <v/>
      </c>
      <c r="I722">
        <f>IF(719&gt;$O$2,"",MATCH(719,$Q$3:$Q$402,1))</f>
        <v/>
      </c>
      <c r="J722">
        <f>IF(I722="","",IF(719=INDEX($Q$3:$Q$402,I722),"H","E"))</f>
        <v/>
      </c>
      <c r="K722">
        <f>IF(J722&lt;&gt;"E","",MATCH(S722,Transaksi!$M$2:$M$2001,0)+719-INDEX($Q$3:$Q$402,I722)-1)</f>
        <v/>
      </c>
      <c r="S722">
        <f>IF(I722="","",INDEX($O$3:$O$402,I722))</f>
        <v/>
      </c>
      <c r="T722">
        <f>IF(J722&lt;&gt;"H","",INDEX(Transaksi!$A$2:$A$2001,MATCH(S722,Transaksi!$M$2:$M$2001,0)))</f>
        <v/>
      </c>
    </row>
    <row r="723">
      <c r="A723" s="31">
        <f>IF(J723="E",IF(INDEX(Transaksi!$J$2:$J$2001,K723)&gt;0,"↑","↓"),"")</f>
        <v/>
      </c>
      <c r="B723" s="32">
        <f>IF(J723="H",CHOOSE(WEEKDAY(T723,2),"Isnin","Selasa","Rabu","Khamis","Jumaat","Sabtu","Ahad")&amp;", "&amp;DAY(T723)&amp;" "&amp;CHOOSE(MONTH(T723),"Jan","Feb","Mac","Apr","Mei","Jun","Jul","Ogo","Sep","Okt","Nov","Dis")&amp;" "&amp;YEAR(T723),IF(J723="E",IF(INDEX(Transaksi!$B$2:$B$2001,K723)="",INDEX(Transaksi!$C$2:$C$2001,K723)&amp;" · "&amp;INDEX(Transaksi!$D$2:$D$2001,K723),INDEX(Transaksi!$B$2:$B$2001,K723)),""))</f>
        <v/>
      </c>
      <c r="C723" s="32">
        <f>IF(J723="E",INDEX(Transaksi!$C$2:$C$2001,K723)&amp;"","")</f>
        <v/>
      </c>
      <c r="D723" s="32">
        <f>IF(J723="E",INDEX(Transaksi!$D$2:$D$2001,K723)&amp;"","")</f>
        <v/>
      </c>
      <c r="E723" s="33">
        <f>IF(J723="H",SUMIFS(Transaksi!$G$2:$G$2001,Transaksi!$M$2:$M$2001,"="&amp;S723)+SUMIFS(Transaksi!$H$2:$H$2001,Transaksi!$M$2:$M$2001,"="&amp;S723)+SUMIFS(Transaksi!$I$2:$I$2001,Transaksi!$M$2:$M$2001,"="&amp;S723),IF(J723="E",IF(INDEX(Transaksi!$G$2:$G$2001,K723)+INDEX(Transaksi!$H$2:$H$2001,K723)+INDEX(Transaksi!$I$2:$I$2001,K723)=0,"",INDEX(Transaksi!$G$2:$G$2001,K723)+INDEX(Transaksi!$H$2:$H$2001,K723)+INDEX(Transaksi!$I$2:$I$2001,K723)),""))</f>
        <v/>
      </c>
      <c r="F723" s="33">
        <f>IF(J723="H",SUMIFS(Transaksi!$J$2:$J$2001,Transaksi!$M$2:$M$2001,"="&amp;S723),IF(J723="E",IF(INDEX(Transaksi!$J$2:$J$2001,K723)=0,"",INDEX(Transaksi!$J$2:$J$2001,K723)),""))</f>
        <v/>
      </c>
      <c r="G723" s="33">
        <f>IF(J723="H",(SUMIFS(Transaksi!$G$2:$G$2001,Transaksi!$M$2:$M$2001,"&lt;="&amp;S723)+SUMIFS(Transaksi!$H$2:$H$2001,Transaksi!$M$2:$M$2001,"&lt;="&amp;S723)+SUMIFS(Transaksi!$I$2:$I$2001,Transaksi!$M$2:$M$2001,"&lt;="&amp;S723))-(SUMIFS(Transaksi!$J$2:$J$2001,Transaksi!$M$2:$M$2001,"&lt;="&amp;S723)),"")</f>
        <v/>
      </c>
      <c r="I723">
        <f>IF(720&gt;$O$2,"",MATCH(720,$Q$3:$Q$402,1))</f>
        <v/>
      </c>
      <c r="J723">
        <f>IF(I723="","",IF(720=INDEX($Q$3:$Q$402,I723),"H","E"))</f>
        <v/>
      </c>
      <c r="K723">
        <f>IF(J723&lt;&gt;"E","",MATCH(S723,Transaksi!$M$2:$M$2001,0)+720-INDEX($Q$3:$Q$402,I723)-1)</f>
        <v/>
      </c>
      <c r="S723">
        <f>IF(I723="","",INDEX($O$3:$O$402,I723))</f>
        <v/>
      </c>
      <c r="T723">
        <f>IF(J723&lt;&gt;"H","",INDEX(Transaksi!$A$2:$A$2001,MATCH(S723,Transaksi!$M$2:$M$2001,0)))</f>
        <v/>
      </c>
    </row>
    <row r="724">
      <c r="A724" s="31">
        <f>IF(J724="E",IF(INDEX(Transaksi!$J$2:$J$2001,K724)&gt;0,"↑","↓"),"")</f>
        <v/>
      </c>
      <c r="B724" s="32">
        <f>IF(J724="H",CHOOSE(WEEKDAY(T724,2),"Isnin","Selasa","Rabu","Khamis","Jumaat","Sabtu","Ahad")&amp;", "&amp;DAY(T724)&amp;" "&amp;CHOOSE(MONTH(T724),"Jan","Feb","Mac","Apr","Mei","Jun","Jul","Ogo","Sep","Okt","Nov","Dis")&amp;" "&amp;YEAR(T724),IF(J724="E",IF(INDEX(Transaksi!$B$2:$B$2001,K724)="",INDEX(Transaksi!$C$2:$C$2001,K724)&amp;" · "&amp;INDEX(Transaksi!$D$2:$D$2001,K724),INDEX(Transaksi!$B$2:$B$2001,K724)),""))</f>
        <v/>
      </c>
      <c r="C724" s="32">
        <f>IF(J724="E",INDEX(Transaksi!$C$2:$C$2001,K724)&amp;"","")</f>
        <v/>
      </c>
      <c r="D724" s="32">
        <f>IF(J724="E",INDEX(Transaksi!$D$2:$D$2001,K724)&amp;"","")</f>
        <v/>
      </c>
      <c r="E724" s="33">
        <f>IF(J724="H",SUMIFS(Transaksi!$G$2:$G$2001,Transaksi!$M$2:$M$2001,"="&amp;S724)+SUMIFS(Transaksi!$H$2:$H$2001,Transaksi!$M$2:$M$2001,"="&amp;S724)+SUMIFS(Transaksi!$I$2:$I$2001,Transaksi!$M$2:$M$2001,"="&amp;S724),IF(J724="E",IF(INDEX(Transaksi!$G$2:$G$2001,K724)+INDEX(Transaksi!$H$2:$H$2001,K724)+INDEX(Transaksi!$I$2:$I$2001,K724)=0,"",INDEX(Transaksi!$G$2:$G$2001,K724)+INDEX(Transaksi!$H$2:$H$2001,K724)+INDEX(Transaksi!$I$2:$I$2001,K724)),""))</f>
        <v/>
      </c>
      <c r="F724" s="33">
        <f>IF(J724="H",SUMIFS(Transaksi!$J$2:$J$2001,Transaksi!$M$2:$M$2001,"="&amp;S724),IF(J724="E",IF(INDEX(Transaksi!$J$2:$J$2001,K724)=0,"",INDEX(Transaksi!$J$2:$J$2001,K724)),""))</f>
        <v/>
      </c>
      <c r="G724" s="33">
        <f>IF(J724="H",(SUMIFS(Transaksi!$G$2:$G$2001,Transaksi!$M$2:$M$2001,"&lt;="&amp;S724)+SUMIFS(Transaksi!$H$2:$H$2001,Transaksi!$M$2:$M$2001,"&lt;="&amp;S724)+SUMIFS(Transaksi!$I$2:$I$2001,Transaksi!$M$2:$M$2001,"&lt;="&amp;S724))-(SUMIFS(Transaksi!$J$2:$J$2001,Transaksi!$M$2:$M$2001,"&lt;="&amp;S724)),"")</f>
        <v/>
      </c>
      <c r="I724">
        <f>IF(721&gt;$O$2,"",MATCH(721,$Q$3:$Q$402,1))</f>
        <v/>
      </c>
      <c r="J724">
        <f>IF(I724="","",IF(721=INDEX($Q$3:$Q$402,I724),"H","E"))</f>
        <v/>
      </c>
      <c r="K724">
        <f>IF(J724&lt;&gt;"E","",MATCH(S724,Transaksi!$M$2:$M$2001,0)+721-INDEX($Q$3:$Q$402,I724)-1)</f>
        <v/>
      </c>
      <c r="S724">
        <f>IF(I724="","",INDEX($O$3:$O$402,I724))</f>
        <v/>
      </c>
      <c r="T724">
        <f>IF(J724&lt;&gt;"H","",INDEX(Transaksi!$A$2:$A$2001,MATCH(S724,Transaksi!$M$2:$M$2001,0)))</f>
        <v/>
      </c>
    </row>
    <row r="725">
      <c r="A725" s="31">
        <f>IF(J725="E",IF(INDEX(Transaksi!$J$2:$J$2001,K725)&gt;0,"↑","↓"),"")</f>
        <v/>
      </c>
      <c r="B725" s="32">
        <f>IF(J725="H",CHOOSE(WEEKDAY(T725,2),"Isnin","Selasa","Rabu","Khamis","Jumaat","Sabtu","Ahad")&amp;", "&amp;DAY(T725)&amp;" "&amp;CHOOSE(MONTH(T725),"Jan","Feb","Mac","Apr","Mei","Jun","Jul","Ogo","Sep","Okt","Nov","Dis")&amp;" "&amp;YEAR(T725),IF(J725="E",IF(INDEX(Transaksi!$B$2:$B$2001,K725)="",INDEX(Transaksi!$C$2:$C$2001,K725)&amp;" · "&amp;INDEX(Transaksi!$D$2:$D$2001,K725),INDEX(Transaksi!$B$2:$B$2001,K725)),""))</f>
        <v/>
      </c>
      <c r="C725" s="32">
        <f>IF(J725="E",INDEX(Transaksi!$C$2:$C$2001,K725)&amp;"","")</f>
        <v/>
      </c>
      <c r="D725" s="32">
        <f>IF(J725="E",INDEX(Transaksi!$D$2:$D$2001,K725)&amp;"","")</f>
        <v/>
      </c>
      <c r="E725" s="33">
        <f>IF(J725="H",SUMIFS(Transaksi!$G$2:$G$2001,Transaksi!$M$2:$M$2001,"="&amp;S725)+SUMIFS(Transaksi!$H$2:$H$2001,Transaksi!$M$2:$M$2001,"="&amp;S725)+SUMIFS(Transaksi!$I$2:$I$2001,Transaksi!$M$2:$M$2001,"="&amp;S725),IF(J725="E",IF(INDEX(Transaksi!$G$2:$G$2001,K725)+INDEX(Transaksi!$H$2:$H$2001,K725)+INDEX(Transaksi!$I$2:$I$2001,K725)=0,"",INDEX(Transaksi!$G$2:$G$2001,K725)+INDEX(Transaksi!$H$2:$H$2001,K725)+INDEX(Transaksi!$I$2:$I$2001,K725)),""))</f>
        <v/>
      </c>
      <c r="F725" s="33">
        <f>IF(J725="H",SUMIFS(Transaksi!$J$2:$J$2001,Transaksi!$M$2:$M$2001,"="&amp;S725),IF(J725="E",IF(INDEX(Transaksi!$J$2:$J$2001,K725)=0,"",INDEX(Transaksi!$J$2:$J$2001,K725)),""))</f>
        <v/>
      </c>
      <c r="G725" s="33">
        <f>IF(J725="H",(SUMIFS(Transaksi!$G$2:$G$2001,Transaksi!$M$2:$M$2001,"&lt;="&amp;S725)+SUMIFS(Transaksi!$H$2:$H$2001,Transaksi!$M$2:$M$2001,"&lt;="&amp;S725)+SUMIFS(Transaksi!$I$2:$I$2001,Transaksi!$M$2:$M$2001,"&lt;="&amp;S725))-(SUMIFS(Transaksi!$J$2:$J$2001,Transaksi!$M$2:$M$2001,"&lt;="&amp;S725)),"")</f>
        <v/>
      </c>
      <c r="I725">
        <f>IF(722&gt;$O$2,"",MATCH(722,$Q$3:$Q$402,1))</f>
        <v/>
      </c>
      <c r="J725">
        <f>IF(I725="","",IF(722=INDEX($Q$3:$Q$402,I725),"H","E"))</f>
        <v/>
      </c>
      <c r="K725">
        <f>IF(J725&lt;&gt;"E","",MATCH(S725,Transaksi!$M$2:$M$2001,0)+722-INDEX($Q$3:$Q$402,I725)-1)</f>
        <v/>
      </c>
      <c r="S725">
        <f>IF(I725="","",INDEX($O$3:$O$402,I725))</f>
        <v/>
      </c>
      <c r="T725">
        <f>IF(J725&lt;&gt;"H","",INDEX(Transaksi!$A$2:$A$2001,MATCH(S725,Transaksi!$M$2:$M$2001,0)))</f>
        <v/>
      </c>
    </row>
    <row r="726">
      <c r="A726" s="31">
        <f>IF(J726="E",IF(INDEX(Transaksi!$J$2:$J$2001,K726)&gt;0,"↑","↓"),"")</f>
        <v/>
      </c>
      <c r="B726" s="32">
        <f>IF(J726="H",CHOOSE(WEEKDAY(T726,2),"Isnin","Selasa","Rabu","Khamis","Jumaat","Sabtu","Ahad")&amp;", "&amp;DAY(T726)&amp;" "&amp;CHOOSE(MONTH(T726),"Jan","Feb","Mac","Apr","Mei","Jun","Jul","Ogo","Sep","Okt","Nov","Dis")&amp;" "&amp;YEAR(T726),IF(J726="E",IF(INDEX(Transaksi!$B$2:$B$2001,K726)="",INDEX(Transaksi!$C$2:$C$2001,K726)&amp;" · "&amp;INDEX(Transaksi!$D$2:$D$2001,K726),INDEX(Transaksi!$B$2:$B$2001,K726)),""))</f>
        <v/>
      </c>
      <c r="C726" s="32">
        <f>IF(J726="E",INDEX(Transaksi!$C$2:$C$2001,K726)&amp;"","")</f>
        <v/>
      </c>
      <c r="D726" s="32">
        <f>IF(J726="E",INDEX(Transaksi!$D$2:$D$2001,K726)&amp;"","")</f>
        <v/>
      </c>
      <c r="E726" s="33">
        <f>IF(J726="H",SUMIFS(Transaksi!$G$2:$G$2001,Transaksi!$M$2:$M$2001,"="&amp;S726)+SUMIFS(Transaksi!$H$2:$H$2001,Transaksi!$M$2:$M$2001,"="&amp;S726)+SUMIFS(Transaksi!$I$2:$I$2001,Transaksi!$M$2:$M$2001,"="&amp;S726),IF(J726="E",IF(INDEX(Transaksi!$G$2:$G$2001,K726)+INDEX(Transaksi!$H$2:$H$2001,K726)+INDEX(Transaksi!$I$2:$I$2001,K726)=0,"",INDEX(Transaksi!$G$2:$G$2001,K726)+INDEX(Transaksi!$H$2:$H$2001,K726)+INDEX(Transaksi!$I$2:$I$2001,K726)),""))</f>
        <v/>
      </c>
      <c r="F726" s="33">
        <f>IF(J726="H",SUMIFS(Transaksi!$J$2:$J$2001,Transaksi!$M$2:$M$2001,"="&amp;S726),IF(J726="E",IF(INDEX(Transaksi!$J$2:$J$2001,K726)=0,"",INDEX(Transaksi!$J$2:$J$2001,K726)),""))</f>
        <v/>
      </c>
      <c r="G726" s="33">
        <f>IF(J726="H",(SUMIFS(Transaksi!$G$2:$G$2001,Transaksi!$M$2:$M$2001,"&lt;="&amp;S726)+SUMIFS(Transaksi!$H$2:$H$2001,Transaksi!$M$2:$M$2001,"&lt;="&amp;S726)+SUMIFS(Transaksi!$I$2:$I$2001,Transaksi!$M$2:$M$2001,"&lt;="&amp;S726))-(SUMIFS(Transaksi!$J$2:$J$2001,Transaksi!$M$2:$M$2001,"&lt;="&amp;S726)),"")</f>
        <v/>
      </c>
      <c r="I726">
        <f>IF(723&gt;$O$2,"",MATCH(723,$Q$3:$Q$402,1))</f>
        <v/>
      </c>
      <c r="J726">
        <f>IF(I726="","",IF(723=INDEX($Q$3:$Q$402,I726),"H","E"))</f>
        <v/>
      </c>
      <c r="K726">
        <f>IF(J726&lt;&gt;"E","",MATCH(S726,Transaksi!$M$2:$M$2001,0)+723-INDEX($Q$3:$Q$402,I726)-1)</f>
        <v/>
      </c>
      <c r="S726">
        <f>IF(I726="","",INDEX($O$3:$O$402,I726))</f>
        <v/>
      </c>
      <c r="T726">
        <f>IF(J726&lt;&gt;"H","",INDEX(Transaksi!$A$2:$A$2001,MATCH(S726,Transaksi!$M$2:$M$2001,0)))</f>
        <v/>
      </c>
    </row>
    <row r="727">
      <c r="A727" s="31">
        <f>IF(J727="E",IF(INDEX(Transaksi!$J$2:$J$2001,K727)&gt;0,"↑","↓"),"")</f>
        <v/>
      </c>
      <c r="B727" s="32">
        <f>IF(J727="H",CHOOSE(WEEKDAY(T727,2),"Isnin","Selasa","Rabu","Khamis","Jumaat","Sabtu","Ahad")&amp;", "&amp;DAY(T727)&amp;" "&amp;CHOOSE(MONTH(T727),"Jan","Feb","Mac","Apr","Mei","Jun","Jul","Ogo","Sep","Okt","Nov","Dis")&amp;" "&amp;YEAR(T727),IF(J727="E",IF(INDEX(Transaksi!$B$2:$B$2001,K727)="",INDEX(Transaksi!$C$2:$C$2001,K727)&amp;" · "&amp;INDEX(Transaksi!$D$2:$D$2001,K727),INDEX(Transaksi!$B$2:$B$2001,K727)),""))</f>
        <v/>
      </c>
      <c r="C727" s="32">
        <f>IF(J727="E",INDEX(Transaksi!$C$2:$C$2001,K727)&amp;"","")</f>
        <v/>
      </c>
      <c r="D727" s="32">
        <f>IF(J727="E",INDEX(Transaksi!$D$2:$D$2001,K727)&amp;"","")</f>
        <v/>
      </c>
      <c r="E727" s="33">
        <f>IF(J727="H",SUMIFS(Transaksi!$G$2:$G$2001,Transaksi!$M$2:$M$2001,"="&amp;S727)+SUMIFS(Transaksi!$H$2:$H$2001,Transaksi!$M$2:$M$2001,"="&amp;S727)+SUMIFS(Transaksi!$I$2:$I$2001,Transaksi!$M$2:$M$2001,"="&amp;S727),IF(J727="E",IF(INDEX(Transaksi!$G$2:$G$2001,K727)+INDEX(Transaksi!$H$2:$H$2001,K727)+INDEX(Transaksi!$I$2:$I$2001,K727)=0,"",INDEX(Transaksi!$G$2:$G$2001,K727)+INDEX(Transaksi!$H$2:$H$2001,K727)+INDEX(Transaksi!$I$2:$I$2001,K727)),""))</f>
        <v/>
      </c>
      <c r="F727" s="33">
        <f>IF(J727="H",SUMIFS(Transaksi!$J$2:$J$2001,Transaksi!$M$2:$M$2001,"="&amp;S727),IF(J727="E",IF(INDEX(Transaksi!$J$2:$J$2001,K727)=0,"",INDEX(Transaksi!$J$2:$J$2001,K727)),""))</f>
        <v/>
      </c>
      <c r="G727" s="33">
        <f>IF(J727="H",(SUMIFS(Transaksi!$G$2:$G$2001,Transaksi!$M$2:$M$2001,"&lt;="&amp;S727)+SUMIFS(Transaksi!$H$2:$H$2001,Transaksi!$M$2:$M$2001,"&lt;="&amp;S727)+SUMIFS(Transaksi!$I$2:$I$2001,Transaksi!$M$2:$M$2001,"&lt;="&amp;S727))-(SUMIFS(Transaksi!$J$2:$J$2001,Transaksi!$M$2:$M$2001,"&lt;="&amp;S727)),"")</f>
        <v/>
      </c>
      <c r="I727">
        <f>IF(724&gt;$O$2,"",MATCH(724,$Q$3:$Q$402,1))</f>
        <v/>
      </c>
      <c r="J727">
        <f>IF(I727="","",IF(724=INDEX($Q$3:$Q$402,I727),"H","E"))</f>
        <v/>
      </c>
      <c r="K727">
        <f>IF(J727&lt;&gt;"E","",MATCH(S727,Transaksi!$M$2:$M$2001,0)+724-INDEX($Q$3:$Q$402,I727)-1)</f>
        <v/>
      </c>
      <c r="S727">
        <f>IF(I727="","",INDEX($O$3:$O$402,I727))</f>
        <v/>
      </c>
      <c r="T727">
        <f>IF(J727&lt;&gt;"H","",INDEX(Transaksi!$A$2:$A$2001,MATCH(S727,Transaksi!$M$2:$M$2001,0)))</f>
        <v/>
      </c>
    </row>
    <row r="728">
      <c r="A728" s="31">
        <f>IF(J728="E",IF(INDEX(Transaksi!$J$2:$J$2001,K728)&gt;0,"↑","↓"),"")</f>
        <v/>
      </c>
      <c r="B728" s="32">
        <f>IF(J728="H",CHOOSE(WEEKDAY(T728,2),"Isnin","Selasa","Rabu","Khamis","Jumaat","Sabtu","Ahad")&amp;", "&amp;DAY(T728)&amp;" "&amp;CHOOSE(MONTH(T728),"Jan","Feb","Mac","Apr","Mei","Jun","Jul","Ogo","Sep","Okt","Nov","Dis")&amp;" "&amp;YEAR(T728),IF(J728="E",IF(INDEX(Transaksi!$B$2:$B$2001,K728)="",INDEX(Transaksi!$C$2:$C$2001,K728)&amp;" · "&amp;INDEX(Transaksi!$D$2:$D$2001,K728),INDEX(Transaksi!$B$2:$B$2001,K728)),""))</f>
        <v/>
      </c>
      <c r="C728" s="32">
        <f>IF(J728="E",INDEX(Transaksi!$C$2:$C$2001,K728)&amp;"","")</f>
        <v/>
      </c>
      <c r="D728" s="32">
        <f>IF(J728="E",INDEX(Transaksi!$D$2:$D$2001,K728)&amp;"","")</f>
        <v/>
      </c>
      <c r="E728" s="33">
        <f>IF(J728="H",SUMIFS(Transaksi!$G$2:$G$2001,Transaksi!$M$2:$M$2001,"="&amp;S728)+SUMIFS(Transaksi!$H$2:$H$2001,Transaksi!$M$2:$M$2001,"="&amp;S728)+SUMIFS(Transaksi!$I$2:$I$2001,Transaksi!$M$2:$M$2001,"="&amp;S728),IF(J728="E",IF(INDEX(Transaksi!$G$2:$G$2001,K728)+INDEX(Transaksi!$H$2:$H$2001,K728)+INDEX(Transaksi!$I$2:$I$2001,K728)=0,"",INDEX(Transaksi!$G$2:$G$2001,K728)+INDEX(Transaksi!$H$2:$H$2001,K728)+INDEX(Transaksi!$I$2:$I$2001,K728)),""))</f>
        <v/>
      </c>
      <c r="F728" s="33">
        <f>IF(J728="H",SUMIFS(Transaksi!$J$2:$J$2001,Transaksi!$M$2:$M$2001,"="&amp;S728),IF(J728="E",IF(INDEX(Transaksi!$J$2:$J$2001,K728)=0,"",INDEX(Transaksi!$J$2:$J$2001,K728)),""))</f>
        <v/>
      </c>
      <c r="G728" s="33">
        <f>IF(J728="H",(SUMIFS(Transaksi!$G$2:$G$2001,Transaksi!$M$2:$M$2001,"&lt;="&amp;S728)+SUMIFS(Transaksi!$H$2:$H$2001,Transaksi!$M$2:$M$2001,"&lt;="&amp;S728)+SUMIFS(Transaksi!$I$2:$I$2001,Transaksi!$M$2:$M$2001,"&lt;="&amp;S728))-(SUMIFS(Transaksi!$J$2:$J$2001,Transaksi!$M$2:$M$2001,"&lt;="&amp;S728)),"")</f>
        <v/>
      </c>
      <c r="I728">
        <f>IF(725&gt;$O$2,"",MATCH(725,$Q$3:$Q$402,1))</f>
        <v/>
      </c>
      <c r="J728">
        <f>IF(I728="","",IF(725=INDEX($Q$3:$Q$402,I728),"H","E"))</f>
        <v/>
      </c>
      <c r="K728">
        <f>IF(J728&lt;&gt;"E","",MATCH(S728,Transaksi!$M$2:$M$2001,0)+725-INDEX($Q$3:$Q$402,I728)-1)</f>
        <v/>
      </c>
      <c r="S728">
        <f>IF(I728="","",INDEX($O$3:$O$402,I728))</f>
        <v/>
      </c>
      <c r="T728">
        <f>IF(J728&lt;&gt;"H","",INDEX(Transaksi!$A$2:$A$2001,MATCH(S728,Transaksi!$M$2:$M$2001,0)))</f>
        <v/>
      </c>
    </row>
    <row r="729">
      <c r="A729" s="31">
        <f>IF(J729="E",IF(INDEX(Transaksi!$J$2:$J$2001,K729)&gt;0,"↑","↓"),"")</f>
        <v/>
      </c>
      <c r="B729" s="32">
        <f>IF(J729="H",CHOOSE(WEEKDAY(T729,2),"Isnin","Selasa","Rabu","Khamis","Jumaat","Sabtu","Ahad")&amp;", "&amp;DAY(T729)&amp;" "&amp;CHOOSE(MONTH(T729),"Jan","Feb","Mac","Apr","Mei","Jun","Jul","Ogo","Sep","Okt","Nov","Dis")&amp;" "&amp;YEAR(T729),IF(J729="E",IF(INDEX(Transaksi!$B$2:$B$2001,K729)="",INDEX(Transaksi!$C$2:$C$2001,K729)&amp;" · "&amp;INDEX(Transaksi!$D$2:$D$2001,K729),INDEX(Transaksi!$B$2:$B$2001,K729)),""))</f>
        <v/>
      </c>
      <c r="C729" s="32">
        <f>IF(J729="E",INDEX(Transaksi!$C$2:$C$2001,K729)&amp;"","")</f>
        <v/>
      </c>
      <c r="D729" s="32">
        <f>IF(J729="E",INDEX(Transaksi!$D$2:$D$2001,K729)&amp;"","")</f>
        <v/>
      </c>
      <c r="E729" s="33">
        <f>IF(J729="H",SUMIFS(Transaksi!$G$2:$G$2001,Transaksi!$M$2:$M$2001,"="&amp;S729)+SUMIFS(Transaksi!$H$2:$H$2001,Transaksi!$M$2:$M$2001,"="&amp;S729)+SUMIFS(Transaksi!$I$2:$I$2001,Transaksi!$M$2:$M$2001,"="&amp;S729),IF(J729="E",IF(INDEX(Transaksi!$G$2:$G$2001,K729)+INDEX(Transaksi!$H$2:$H$2001,K729)+INDEX(Transaksi!$I$2:$I$2001,K729)=0,"",INDEX(Transaksi!$G$2:$G$2001,K729)+INDEX(Transaksi!$H$2:$H$2001,K729)+INDEX(Transaksi!$I$2:$I$2001,K729)),""))</f>
        <v/>
      </c>
      <c r="F729" s="33">
        <f>IF(J729="H",SUMIFS(Transaksi!$J$2:$J$2001,Transaksi!$M$2:$M$2001,"="&amp;S729),IF(J729="E",IF(INDEX(Transaksi!$J$2:$J$2001,K729)=0,"",INDEX(Transaksi!$J$2:$J$2001,K729)),""))</f>
        <v/>
      </c>
      <c r="G729" s="33">
        <f>IF(J729="H",(SUMIFS(Transaksi!$G$2:$G$2001,Transaksi!$M$2:$M$2001,"&lt;="&amp;S729)+SUMIFS(Transaksi!$H$2:$H$2001,Transaksi!$M$2:$M$2001,"&lt;="&amp;S729)+SUMIFS(Transaksi!$I$2:$I$2001,Transaksi!$M$2:$M$2001,"&lt;="&amp;S729))-(SUMIFS(Transaksi!$J$2:$J$2001,Transaksi!$M$2:$M$2001,"&lt;="&amp;S729)),"")</f>
        <v/>
      </c>
      <c r="I729">
        <f>IF(726&gt;$O$2,"",MATCH(726,$Q$3:$Q$402,1))</f>
        <v/>
      </c>
      <c r="J729">
        <f>IF(I729="","",IF(726=INDEX($Q$3:$Q$402,I729),"H","E"))</f>
        <v/>
      </c>
      <c r="K729">
        <f>IF(J729&lt;&gt;"E","",MATCH(S729,Transaksi!$M$2:$M$2001,0)+726-INDEX($Q$3:$Q$402,I729)-1)</f>
        <v/>
      </c>
      <c r="S729">
        <f>IF(I729="","",INDEX($O$3:$O$402,I729))</f>
        <v/>
      </c>
      <c r="T729">
        <f>IF(J729&lt;&gt;"H","",INDEX(Transaksi!$A$2:$A$2001,MATCH(S729,Transaksi!$M$2:$M$2001,0)))</f>
        <v/>
      </c>
    </row>
    <row r="730">
      <c r="A730" s="31">
        <f>IF(J730="E",IF(INDEX(Transaksi!$J$2:$J$2001,K730)&gt;0,"↑","↓"),"")</f>
        <v/>
      </c>
      <c r="B730" s="32">
        <f>IF(J730="H",CHOOSE(WEEKDAY(T730,2),"Isnin","Selasa","Rabu","Khamis","Jumaat","Sabtu","Ahad")&amp;", "&amp;DAY(T730)&amp;" "&amp;CHOOSE(MONTH(T730),"Jan","Feb","Mac","Apr","Mei","Jun","Jul","Ogo","Sep","Okt","Nov","Dis")&amp;" "&amp;YEAR(T730),IF(J730="E",IF(INDEX(Transaksi!$B$2:$B$2001,K730)="",INDEX(Transaksi!$C$2:$C$2001,K730)&amp;" · "&amp;INDEX(Transaksi!$D$2:$D$2001,K730),INDEX(Transaksi!$B$2:$B$2001,K730)),""))</f>
        <v/>
      </c>
      <c r="C730" s="32">
        <f>IF(J730="E",INDEX(Transaksi!$C$2:$C$2001,K730)&amp;"","")</f>
        <v/>
      </c>
      <c r="D730" s="32">
        <f>IF(J730="E",INDEX(Transaksi!$D$2:$D$2001,K730)&amp;"","")</f>
        <v/>
      </c>
      <c r="E730" s="33">
        <f>IF(J730="H",SUMIFS(Transaksi!$G$2:$G$2001,Transaksi!$M$2:$M$2001,"="&amp;S730)+SUMIFS(Transaksi!$H$2:$H$2001,Transaksi!$M$2:$M$2001,"="&amp;S730)+SUMIFS(Transaksi!$I$2:$I$2001,Transaksi!$M$2:$M$2001,"="&amp;S730),IF(J730="E",IF(INDEX(Transaksi!$G$2:$G$2001,K730)+INDEX(Transaksi!$H$2:$H$2001,K730)+INDEX(Transaksi!$I$2:$I$2001,K730)=0,"",INDEX(Transaksi!$G$2:$G$2001,K730)+INDEX(Transaksi!$H$2:$H$2001,K730)+INDEX(Transaksi!$I$2:$I$2001,K730)),""))</f>
        <v/>
      </c>
      <c r="F730" s="33">
        <f>IF(J730="H",SUMIFS(Transaksi!$J$2:$J$2001,Transaksi!$M$2:$M$2001,"="&amp;S730),IF(J730="E",IF(INDEX(Transaksi!$J$2:$J$2001,K730)=0,"",INDEX(Transaksi!$J$2:$J$2001,K730)),""))</f>
        <v/>
      </c>
      <c r="G730" s="33">
        <f>IF(J730="H",(SUMIFS(Transaksi!$G$2:$G$2001,Transaksi!$M$2:$M$2001,"&lt;="&amp;S730)+SUMIFS(Transaksi!$H$2:$H$2001,Transaksi!$M$2:$M$2001,"&lt;="&amp;S730)+SUMIFS(Transaksi!$I$2:$I$2001,Transaksi!$M$2:$M$2001,"&lt;="&amp;S730))-(SUMIFS(Transaksi!$J$2:$J$2001,Transaksi!$M$2:$M$2001,"&lt;="&amp;S730)),"")</f>
        <v/>
      </c>
      <c r="I730">
        <f>IF(727&gt;$O$2,"",MATCH(727,$Q$3:$Q$402,1))</f>
        <v/>
      </c>
      <c r="J730">
        <f>IF(I730="","",IF(727=INDEX($Q$3:$Q$402,I730),"H","E"))</f>
        <v/>
      </c>
      <c r="K730">
        <f>IF(J730&lt;&gt;"E","",MATCH(S730,Transaksi!$M$2:$M$2001,0)+727-INDEX($Q$3:$Q$402,I730)-1)</f>
        <v/>
      </c>
      <c r="S730">
        <f>IF(I730="","",INDEX($O$3:$O$402,I730))</f>
        <v/>
      </c>
      <c r="T730">
        <f>IF(J730&lt;&gt;"H","",INDEX(Transaksi!$A$2:$A$2001,MATCH(S730,Transaksi!$M$2:$M$2001,0)))</f>
        <v/>
      </c>
    </row>
    <row r="731">
      <c r="A731" s="31">
        <f>IF(J731="E",IF(INDEX(Transaksi!$J$2:$J$2001,K731)&gt;0,"↑","↓"),"")</f>
        <v/>
      </c>
      <c r="B731" s="32">
        <f>IF(J731="H",CHOOSE(WEEKDAY(T731,2),"Isnin","Selasa","Rabu","Khamis","Jumaat","Sabtu","Ahad")&amp;", "&amp;DAY(T731)&amp;" "&amp;CHOOSE(MONTH(T731),"Jan","Feb","Mac","Apr","Mei","Jun","Jul","Ogo","Sep","Okt","Nov","Dis")&amp;" "&amp;YEAR(T731),IF(J731="E",IF(INDEX(Transaksi!$B$2:$B$2001,K731)="",INDEX(Transaksi!$C$2:$C$2001,K731)&amp;" · "&amp;INDEX(Transaksi!$D$2:$D$2001,K731),INDEX(Transaksi!$B$2:$B$2001,K731)),""))</f>
        <v/>
      </c>
      <c r="C731" s="32">
        <f>IF(J731="E",INDEX(Transaksi!$C$2:$C$2001,K731)&amp;"","")</f>
        <v/>
      </c>
      <c r="D731" s="32">
        <f>IF(J731="E",INDEX(Transaksi!$D$2:$D$2001,K731)&amp;"","")</f>
        <v/>
      </c>
      <c r="E731" s="33">
        <f>IF(J731="H",SUMIFS(Transaksi!$G$2:$G$2001,Transaksi!$M$2:$M$2001,"="&amp;S731)+SUMIFS(Transaksi!$H$2:$H$2001,Transaksi!$M$2:$M$2001,"="&amp;S731)+SUMIFS(Transaksi!$I$2:$I$2001,Transaksi!$M$2:$M$2001,"="&amp;S731),IF(J731="E",IF(INDEX(Transaksi!$G$2:$G$2001,K731)+INDEX(Transaksi!$H$2:$H$2001,K731)+INDEX(Transaksi!$I$2:$I$2001,K731)=0,"",INDEX(Transaksi!$G$2:$G$2001,K731)+INDEX(Transaksi!$H$2:$H$2001,K731)+INDEX(Transaksi!$I$2:$I$2001,K731)),""))</f>
        <v/>
      </c>
      <c r="F731" s="33">
        <f>IF(J731="H",SUMIFS(Transaksi!$J$2:$J$2001,Transaksi!$M$2:$M$2001,"="&amp;S731),IF(J731="E",IF(INDEX(Transaksi!$J$2:$J$2001,K731)=0,"",INDEX(Transaksi!$J$2:$J$2001,K731)),""))</f>
        <v/>
      </c>
      <c r="G731" s="33">
        <f>IF(J731="H",(SUMIFS(Transaksi!$G$2:$G$2001,Transaksi!$M$2:$M$2001,"&lt;="&amp;S731)+SUMIFS(Transaksi!$H$2:$H$2001,Transaksi!$M$2:$M$2001,"&lt;="&amp;S731)+SUMIFS(Transaksi!$I$2:$I$2001,Transaksi!$M$2:$M$2001,"&lt;="&amp;S731))-(SUMIFS(Transaksi!$J$2:$J$2001,Transaksi!$M$2:$M$2001,"&lt;="&amp;S731)),"")</f>
        <v/>
      </c>
      <c r="I731">
        <f>IF(728&gt;$O$2,"",MATCH(728,$Q$3:$Q$402,1))</f>
        <v/>
      </c>
      <c r="J731">
        <f>IF(I731="","",IF(728=INDEX($Q$3:$Q$402,I731),"H","E"))</f>
        <v/>
      </c>
      <c r="K731">
        <f>IF(J731&lt;&gt;"E","",MATCH(S731,Transaksi!$M$2:$M$2001,0)+728-INDEX($Q$3:$Q$402,I731)-1)</f>
        <v/>
      </c>
      <c r="S731">
        <f>IF(I731="","",INDEX($O$3:$O$402,I731))</f>
        <v/>
      </c>
      <c r="T731">
        <f>IF(J731&lt;&gt;"H","",INDEX(Transaksi!$A$2:$A$2001,MATCH(S731,Transaksi!$M$2:$M$2001,0)))</f>
        <v/>
      </c>
    </row>
    <row r="732">
      <c r="A732" s="31">
        <f>IF(J732="E",IF(INDEX(Transaksi!$J$2:$J$2001,K732)&gt;0,"↑","↓"),"")</f>
        <v/>
      </c>
      <c r="B732" s="32">
        <f>IF(J732="H",CHOOSE(WEEKDAY(T732,2),"Isnin","Selasa","Rabu","Khamis","Jumaat","Sabtu","Ahad")&amp;", "&amp;DAY(T732)&amp;" "&amp;CHOOSE(MONTH(T732),"Jan","Feb","Mac","Apr","Mei","Jun","Jul","Ogo","Sep","Okt","Nov","Dis")&amp;" "&amp;YEAR(T732),IF(J732="E",IF(INDEX(Transaksi!$B$2:$B$2001,K732)="",INDEX(Transaksi!$C$2:$C$2001,K732)&amp;" · "&amp;INDEX(Transaksi!$D$2:$D$2001,K732),INDEX(Transaksi!$B$2:$B$2001,K732)),""))</f>
        <v/>
      </c>
      <c r="C732" s="32">
        <f>IF(J732="E",INDEX(Transaksi!$C$2:$C$2001,K732)&amp;"","")</f>
        <v/>
      </c>
      <c r="D732" s="32">
        <f>IF(J732="E",INDEX(Transaksi!$D$2:$D$2001,K732)&amp;"","")</f>
        <v/>
      </c>
      <c r="E732" s="33">
        <f>IF(J732="H",SUMIFS(Transaksi!$G$2:$G$2001,Transaksi!$M$2:$M$2001,"="&amp;S732)+SUMIFS(Transaksi!$H$2:$H$2001,Transaksi!$M$2:$M$2001,"="&amp;S732)+SUMIFS(Transaksi!$I$2:$I$2001,Transaksi!$M$2:$M$2001,"="&amp;S732),IF(J732="E",IF(INDEX(Transaksi!$G$2:$G$2001,K732)+INDEX(Transaksi!$H$2:$H$2001,K732)+INDEX(Transaksi!$I$2:$I$2001,K732)=0,"",INDEX(Transaksi!$G$2:$G$2001,K732)+INDEX(Transaksi!$H$2:$H$2001,K732)+INDEX(Transaksi!$I$2:$I$2001,K732)),""))</f>
        <v/>
      </c>
      <c r="F732" s="33">
        <f>IF(J732="H",SUMIFS(Transaksi!$J$2:$J$2001,Transaksi!$M$2:$M$2001,"="&amp;S732),IF(J732="E",IF(INDEX(Transaksi!$J$2:$J$2001,K732)=0,"",INDEX(Transaksi!$J$2:$J$2001,K732)),""))</f>
        <v/>
      </c>
      <c r="G732" s="33">
        <f>IF(J732="H",(SUMIFS(Transaksi!$G$2:$G$2001,Transaksi!$M$2:$M$2001,"&lt;="&amp;S732)+SUMIFS(Transaksi!$H$2:$H$2001,Transaksi!$M$2:$M$2001,"&lt;="&amp;S732)+SUMIFS(Transaksi!$I$2:$I$2001,Transaksi!$M$2:$M$2001,"&lt;="&amp;S732))-(SUMIFS(Transaksi!$J$2:$J$2001,Transaksi!$M$2:$M$2001,"&lt;="&amp;S732)),"")</f>
        <v/>
      </c>
      <c r="I732">
        <f>IF(729&gt;$O$2,"",MATCH(729,$Q$3:$Q$402,1))</f>
        <v/>
      </c>
      <c r="J732">
        <f>IF(I732="","",IF(729=INDEX($Q$3:$Q$402,I732),"H","E"))</f>
        <v/>
      </c>
      <c r="K732">
        <f>IF(J732&lt;&gt;"E","",MATCH(S732,Transaksi!$M$2:$M$2001,0)+729-INDEX($Q$3:$Q$402,I732)-1)</f>
        <v/>
      </c>
      <c r="S732">
        <f>IF(I732="","",INDEX($O$3:$O$402,I732))</f>
        <v/>
      </c>
      <c r="T732">
        <f>IF(J732&lt;&gt;"H","",INDEX(Transaksi!$A$2:$A$2001,MATCH(S732,Transaksi!$M$2:$M$2001,0)))</f>
        <v/>
      </c>
    </row>
    <row r="733">
      <c r="A733" s="31">
        <f>IF(J733="E",IF(INDEX(Transaksi!$J$2:$J$2001,K733)&gt;0,"↑","↓"),"")</f>
        <v/>
      </c>
      <c r="B733" s="32">
        <f>IF(J733="H",CHOOSE(WEEKDAY(T733,2),"Isnin","Selasa","Rabu","Khamis","Jumaat","Sabtu","Ahad")&amp;", "&amp;DAY(T733)&amp;" "&amp;CHOOSE(MONTH(T733),"Jan","Feb","Mac","Apr","Mei","Jun","Jul","Ogo","Sep","Okt","Nov","Dis")&amp;" "&amp;YEAR(T733),IF(J733="E",IF(INDEX(Transaksi!$B$2:$B$2001,K733)="",INDEX(Transaksi!$C$2:$C$2001,K733)&amp;" · "&amp;INDEX(Transaksi!$D$2:$D$2001,K733),INDEX(Transaksi!$B$2:$B$2001,K733)),""))</f>
        <v/>
      </c>
      <c r="C733" s="32">
        <f>IF(J733="E",INDEX(Transaksi!$C$2:$C$2001,K733)&amp;"","")</f>
        <v/>
      </c>
      <c r="D733" s="32">
        <f>IF(J733="E",INDEX(Transaksi!$D$2:$D$2001,K733)&amp;"","")</f>
        <v/>
      </c>
      <c r="E733" s="33">
        <f>IF(J733="H",SUMIFS(Transaksi!$G$2:$G$2001,Transaksi!$M$2:$M$2001,"="&amp;S733)+SUMIFS(Transaksi!$H$2:$H$2001,Transaksi!$M$2:$M$2001,"="&amp;S733)+SUMIFS(Transaksi!$I$2:$I$2001,Transaksi!$M$2:$M$2001,"="&amp;S733),IF(J733="E",IF(INDEX(Transaksi!$G$2:$G$2001,K733)+INDEX(Transaksi!$H$2:$H$2001,K733)+INDEX(Transaksi!$I$2:$I$2001,K733)=0,"",INDEX(Transaksi!$G$2:$G$2001,K733)+INDEX(Transaksi!$H$2:$H$2001,K733)+INDEX(Transaksi!$I$2:$I$2001,K733)),""))</f>
        <v/>
      </c>
      <c r="F733" s="33">
        <f>IF(J733="H",SUMIFS(Transaksi!$J$2:$J$2001,Transaksi!$M$2:$M$2001,"="&amp;S733),IF(J733="E",IF(INDEX(Transaksi!$J$2:$J$2001,K733)=0,"",INDEX(Transaksi!$J$2:$J$2001,K733)),""))</f>
        <v/>
      </c>
      <c r="G733" s="33">
        <f>IF(J733="H",(SUMIFS(Transaksi!$G$2:$G$2001,Transaksi!$M$2:$M$2001,"&lt;="&amp;S733)+SUMIFS(Transaksi!$H$2:$H$2001,Transaksi!$M$2:$M$2001,"&lt;="&amp;S733)+SUMIFS(Transaksi!$I$2:$I$2001,Transaksi!$M$2:$M$2001,"&lt;="&amp;S733))-(SUMIFS(Transaksi!$J$2:$J$2001,Transaksi!$M$2:$M$2001,"&lt;="&amp;S733)),"")</f>
        <v/>
      </c>
      <c r="I733">
        <f>IF(730&gt;$O$2,"",MATCH(730,$Q$3:$Q$402,1))</f>
        <v/>
      </c>
      <c r="J733">
        <f>IF(I733="","",IF(730=INDEX($Q$3:$Q$402,I733),"H","E"))</f>
        <v/>
      </c>
      <c r="K733">
        <f>IF(J733&lt;&gt;"E","",MATCH(S733,Transaksi!$M$2:$M$2001,0)+730-INDEX($Q$3:$Q$402,I733)-1)</f>
        <v/>
      </c>
      <c r="S733">
        <f>IF(I733="","",INDEX($O$3:$O$402,I733))</f>
        <v/>
      </c>
      <c r="T733">
        <f>IF(J733&lt;&gt;"H","",INDEX(Transaksi!$A$2:$A$2001,MATCH(S733,Transaksi!$M$2:$M$2001,0)))</f>
        <v/>
      </c>
    </row>
    <row r="734">
      <c r="A734" s="31">
        <f>IF(J734="E",IF(INDEX(Transaksi!$J$2:$J$2001,K734)&gt;0,"↑","↓"),"")</f>
        <v/>
      </c>
      <c r="B734" s="32">
        <f>IF(J734="H",CHOOSE(WEEKDAY(T734,2),"Isnin","Selasa","Rabu","Khamis","Jumaat","Sabtu","Ahad")&amp;", "&amp;DAY(T734)&amp;" "&amp;CHOOSE(MONTH(T734),"Jan","Feb","Mac","Apr","Mei","Jun","Jul","Ogo","Sep","Okt","Nov","Dis")&amp;" "&amp;YEAR(T734),IF(J734="E",IF(INDEX(Transaksi!$B$2:$B$2001,K734)="",INDEX(Transaksi!$C$2:$C$2001,K734)&amp;" · "&amp;INDEX(Transaksi!$D$2:$D$2001,K734),INDEX(Transaksi!$B$2:$B$2001,K734)),""))</f>
        <v/>
      </c>
      <c r="C734" s="32">
        <f>IF(J734="E",INDEX(Transaksi!$C$2:$C$2001,K734)&amp;"","")</f>
        <v/>
      </c>
      <c r="D734" s="32">
        <f>IF(J734="E",INDEX(Transaksi!$D$2:$D$2001,K734)&amp;"","")</f>
        <v/>
      </c>
      <c r="E734" s="33">
        <f>IF(J734="H",SUMIFS(Transaksi!$G$2:$G$2001,Transaksi!$M$2:$M$2001,"="&amp;S734)+SUMIFS(Transaksi!$H$2:$H$2001,Transaksi!$M$2:$M$2001,"="&amp;S734)+SUMIFS(Transaksi!$I$2:$I$2001,Transaksi!$M$2:$M$2001,"="&amp;S734),IF(J734="E",IF(INDEX(Transaksi!$G$2:$G$2001,K734)+INDEX(Transaksi!$H$2:$H$2001,K734)+INDEX(Transaksi!$I$2:$I$2001,K734)=0,"",INDEX(Transaksi!$G$2:$G$2001,K734)+INDEX(Transaksi!$H$2:$H$2001,K734)+INDEX(Transaksi!$I$2:$I$2001,K734)),""))</f>
        <v/>
      </c>
      <c r="F734" s="33">
        <f>IF(J734="H",SUMIFS(Transaksi!$J$2:$J$2001,Transaksi!$M$2:$M$2001,"="&amp;S734),IF(J734="E",IF(INDEX(Transaksi!$J$2:$J$2001,K734)=0,"",INDEX(Transaksi!$J$2:$J$2001,K734)),""))</f>
        <v/>
      </c>
      <c r="G734" s="33">
        <f>IF(J734="H",(SUMIFS(Transaksi!$G$2:$G$2001,Transaksi!$M$2:$M$2001,"&lt;="&amp;S734)+SUMIFS(Transaksi!$H$2:$H$2001,Transaksi!$M$2:$M$2001,"&lt;="&amp;S734)+SUMIFS(Transaksi!$I$2:$I$2001,Transaksi!$M$2:$M$2001,"&lt;="&amp;S734))-(SUMIFS(Transaksi!$J$2:$J$2001,Transaksi!$M$2:$M$2001,"&lt;="&amp;S734)),"")</f>
        <v/>
      </c>
      <c r="I734">
        <f>IF(731&gt;$O$2,"",MATCH(731,$Q$3:$Q$402,1))</f>
        <v/>
      </c>
      <c r="J734">
        <f>IF(I734="","",IF(731=INDEX($Q$3:$Q$402,I734),"H","E"))</f>
        <v/>
      </c>
      <c r="K734">
        <f>IF(J734&lt;&gt;"E","",MATCH(S734,Transaksi!$M$2:$M$2001,0)+731-INDEX($Q$3:$Q$402,I734)-1)</f>
        <v/>
      </c>
      <c r="S734">
        <f>IF(I734="","",INDEX($O$3:$O$402,I734))</f>
        <v/>
      </c>
      <c r="T734">
        <f>IF(J734&lt;&gt;"H","",INDEX(Transaksi!$A$2:$A$2001,MATCH(S734,Transaksi!$M$2:$M$2001,0)))</f>
        <v/>
      </c>
    </row>
    <row r="735">
      <c r="A735" s="31">
        <f>IF(J735="E",IF(INDEX(Transaksi!$J$2:$J$2001,K735)&gt;0,"↑","↓"),"")</f>
        <v/>
      </c>
      <c r="B735" s="32">
        <f>IF(J735="H",CHOOSE(WEEKDAY(T735,2),"Isnin","Selasa","Rabu","Khamis","Jumaat","Sabtu","Ahad")&amp;", "&amp;DAY(T735)&amp;" "&amp;CHOOSE(MONTH(T735),"Jan","Feb","Mac","Apr","Mei","Jun","Jul","Ogo","Sep","Okt","Nov","Dis")&amp;" "&amp;YEAR(T735),IF(J735="E",IF(INDEX(Transaksi!$B$2:$B$2001,K735)="",INDEX(Transaksi!$C$2:$C$2001,K735)&amp;" · "&amp;INDEX(Transaksi!$D$2:$D$2001,K735),INDEX(Transaksi!$B$2:$B$2001,K735)),""))</f>
        <v/>
      </c>
      <c r="C735" s="32">
        <f>IF(J735="E",INDEX(Transaksi!$C$2:$C$2001,K735)&amp;"","")</f>
        <v/>
      </c>
      <c r="D735" s="32">
        <f>IF(J735="E",INDEX(Transaksi!$D$2:$D$2001,K735)&amp;"","")</f>
        <v/>
      </c>
      <c r="E735" s="33">
        <f>IF(J735="H",SUMIFS(Transaksi!$G$2:$G$2001,Transaksi!$M$2:$M$2001,"="&amp;S735)+SUMIFS(Transaksi!$H$2:$H$2001,Transaksi!$M$2:$M$2001,"="&amp;S735)+SUMIFS(Transaksi!$I$2:$I$2001,Transaksi!$M$2:$M$2001,"="&amp;S735),IF(J735="E",IF(INDEX(Transaksi!$G$2:$G$2001,K735)+INDEX(Transaksi!$H$2:$H$2001,K735)+INDEX(Transaksi!$I$2:$I$2001,K735)=0,"",INDEX(Transaksi!$G$2:$G$2001,K735)+INDEX(Transaksi!$H$2:$H$2001,K735)+INDEX(Transaksi!$I$2:$I$2001,K735)),""))</f>
        <v/>
      </c>
      <c r="F735" s="33">
        <f>IF(J735="H",SUMIFS(Transaksi!$J$2:$J$2001,Transaksi!$M$2:$M$2001,"="&amp;S735),IF(J735="E",IF(INDEX(Transaksi!$J$2:$J$2001,K735)=0,"",INDEX(Transaksi!$J$2:$J$2001,K735)),""))</f>
        <v/>
      </c>
      <c r="G735" s="33">
        <f>IF(J735="H",(SUMIFS(Transaksi!$G$2:$G$2001,Transaksi!$M$2:$M$2001,"&lt;="&amp;S735)+SUMIFS(Transaksi!$H$2:$H$2001,Transaksi!$M$2:$M$2001,"&lt;="&amp;S735)+SUMIFS(Transaksi!$I$2:$I$2001,Transaksi!$M$2:$M$2001,"&lt;="&amp;S735))-(SUMIFS(Transaksi!$J$2:$J$2001,Transaksi!$M$2:$M$2001,"&lt;="&amp;S735)),"")</f>
        <v/>
      </c>
      <c r="I735">
        <f>IF(732&gt;$O$2,"",MATCH(732,$Q$3:$Q$402,1))</f>
        <v/>
      </c>
      <c r="J735">
        <f>IF(I735="","",IF(732=INDEX($Q$3:$Q$402,I735),"H","E"))</f>
        <v/>
      </c>
      <c r="K735">
        <f>IF(J735&lt;&gt;"E","",MATCH(S735,Transaksi!$M$2:$M$2001,0)+732-INDEX($Q$3:$Q$402,I735)-1)</f>
        <v/>
      </c>
      <c r="S735">
        <f>IF(I735="","",INDEX($O$3:$O$402,I735))</f>
        <v/>
      </c>
      <c r="T735">
        <f>IF(J735&lt;&gt;"H","",INDEX(Transaksi!$A$2:$A$2001,MATCH(S735,Transaksi!$M$2:$M$2001,0)))</f>
        <v/>
      </c>
    </row>
    <row r="736">
      <c r="A736" s="31">
        <f>IF(J736="E",IF(INDEX(Transaksi!$J$2:$J$2001,K736)&gt;0,"↑","↓"),"")</f>
        <v/>
      </c>
      <c r="B736" s="32">
        <f>IF(J736="H",CHOOSE(WEEKDAY(T736,2),"Isnin","Selasa","Rabu","Khamis","Jumaat","Sabtu","Ahad")&amp;", "&amp;DAY(T736)&amp;" "&amp;CHOOSE(MONTH(T736),"Jan","Feb","Mac","Apr","Mei","Jun","Jul","Ogo","Sep","Okt","Nov","Dis")&amp;" "&amp;YEAR(T736),IF(J736="E",IF(INDEX(Transaksi!$B$2:$B$2001,K736)="",INDEX(Transaksi!$C$2:$C$2001,K736)&amp;" · "&amp;INDEX(Transaksi!$D$2:$D$2001,K736),INDEX(Transaksi!$B$2:$B$2001,K736)),""))</f>
        <v/>
      </c>
      <c r="C736" s="32">
        <f>IF(J736="E",INDEX(Transaksi!$C$2:$C$2001,K736)&amp;"","")</f>
        <v/>
      </c>
      <c r="D736" s="32">
        <f>IF(J736="E",INDEX(Transaksi!$D$2:$D$2001,K736)&amp;"","")</f>
        <v/>
      </c>
      <c r="E736" s="33">
        <f>IF(J736="H",SUMIFS(Transaksi!$G$2:$G$2001,Transaksi!$M$2:$M$2001,"="&amp;S736)+SUMIFS(Transaksi!$H$2:$H$2001,Transaksi!$M$2:$M$2001,"="&amp;S736)+SUMIFS(Transaksi!$I$2:$I$2001,Transaksi!$M$2:$M$2001,"="&amp;S736),IF(J736="E",IF(INDEX(Transaksi!$G$2:$G$2001,K736)+INDEX(Transaksi!$H$2:$H$2001,K736)+INDEX(Transaksi!$I$2:$I$2001,K736)=0,"",INDEX(Transaksi!$G$2:$G$2001,K736)+INDEX(Transaksi!$H$2:$H$2001,K736)+INDEX(Transaksi!$I$2:$I$2001,K736)),""))</f>
        <v/>
      </c>
      <c r="F736" s="33">
        <f>IF(J736="H",SUMIFS(Transaksi!$J$2:$J$2001,Transaksi!$M$2:$M$2001,"="&amp;S736),IF(J736="E",IF(INDEX(Transaksi!$J$2:$J$2001,K736)=0,"",INDEX(Transaksi!$J$2:$J$2001,K736)),""))</f>
        <v/>
      </c>
      <c r="G736" s="33">
        <f>IF(J736="H",(SUMIFS(Transaksi!$G$2:$G$2001,Transaksi!$M$2:$M$2001,"&lt;="&amp;S736)+SUMIFS(Transaksi!$H$2:$H$2001,Transaksi!$M$2:$M$2001,"&lt;="&amp;S736)+SUMIFS(Transaksi!$I$2:$I$2001,Transaksi!$M$2:$M$2001,"&lt;="&amp;S736))-(SUMIFS(Transaksi!$J$2:$J$2001,Transaksi!$M$2:$M$2001,"&lt;="&amp;S736)),"")</f>
        <v/>
      </c>
      <c r="I736">
        <f>IF(733&gt;$O$2,"",MATCH(733,$Q$3:$Q$402,1))</f>
        <v/>
      </c>
      <c r="J736">
        <f>IF(I736="","",IF(733=INDEX($Q$3:$Q$402,I736),"H","E"))</f>
        <v/>
      </c>
      <c r="K736">
        <f>IF(J736&lt;&gt;"E","",MATCH(S736,Transaksi!$M$2:$M$2001,0)+733-INDEX($Q$3:$Q$402,I736)-1)</f>
        <v/>
      </c>
      <c r="S736">
        <f>IF(I736="","",INDEX($O$3:$O$402,I736))</f>
        <v/>
      </c>
      <c r="T736">
        <f>IF(J736&lt;&gt;"H","",INDEX(Transaksi!$A$2:$A$2001,MATCH(S736,Transaksi!$M$2:$M$2001,0)))</f>
        <v/>
      </c>
    </row>
    <row r="737">
      <c r="A737" s="31">
        <f>IF(J737="E",IF(INDEX(Transaksi!$J$2:$J$2001,K737)&gt;0,"↑","↓"),"")</f>
        <v/>
      </c>
      <c r="B737" s="32">
        <f>IF(J737="H",CHOOSE(WEEKDAY(T737,2),"Isnin","Selasa","Rabu","Khamis","Jumaat","Sabtu","Ahad")&amp;", "&amp;DAY(T737)&amp;" "&amp;CHOOSE(MONTH(T737),"Jan","Feb","Mac","Apr","Mei","Jun","Jul","Ogo","Sep","Okt","Nov","Dis")&amp;" "&amp;YEAR(T737),IF(J737="E",IF(INDEX(Transaksi!$B$2:$B$2001,K737)="",INDEX(Transaksi!$C$2:$C$2001,K737)&amp;" · "&amp;INDEX(Transaksi!$D$2:$D$2001,K737),INDEX(Transaksi!$B$2:$B$2001,K737)),""))</f>
        <v/>
      </c>
      <c r="C737" s="32">
        <f>IF(J737="E",INDEX(Transaksi!$C$2:$C$2001,K737)&amp;"","")</f>
        <v/>
      </c>
      <c r="D737" s="32">
        <f>IF(J737="E",INDEX(Transaksi!$D$2:$D$2001,K737)&amp;"","")</f>
        <v/>
      </c>
      <c r="E737" s="33">
        <f>IF(J737="H",SUMIFS(Transaksi!$G$2:$G$2001,Transaksi!$M$2:$M$2001,"="&amp;S737)+SUMIFS(Transaksi!$H$2:$H$2001,Transaksi!$M$2:$M$2001,"="&amp;S737)+SUMIFS(Transaksi!$I$2:$I$2001,Transaksi!$M$2:$M$2001,"="&amp;S737),IF(J737="E",IF(INDEX(Transaksi!$G$2:$G$2001,K737)+INDEX(Transaksi!$H$2:$H$2001,K737)+INDEX(Transaksi!$I$2:$I$2001,K737)=0,"",INDEX(Transaksi!$G$2:$G$2001,K737)+INDEX(Transaksi!$H$2:$H$2001,K737)+INDEX(Transaksi!$I$2:$I$2001,K737)),""))</f>
        <v/>
      </c>
      <c r="F737" s="33">
        <f>IF(J737="H",SUMIFS(Transaksi!$J$2:$J$2001,Transaksi!$M$2:$M$2001,"="&amp;S737),IF(J737="E",IF(INDEX(Transaksi!$J$2:$J$2001,K737)=0,"",INDEX(Transaksi!$J$2:$J$2001,K737)),""))</f>
        <v/>
      </c>
      <c r="G737" s="33">
        <f>IF(J737="H",(SUMIFS(Transaksi!$G$2:$G$2001,Transaksi!$M$2:$M$2001,"&lt;="&amp;S737)+SUMIFS(Transaksi!$H$2:$H$2001,Transaksi!$M$2:$M$2001,"&lt;="&amp;S737)+SUMIFS(Transaksi!$I$2:$I$2001,Transaksi!$M$2:$M$2001,"&lt;="&amp;S737))-(SUMIFS(Transaksi!$J$2:$J$2001,Transaksi!$M$2:$M$2001,"&lt;="&amp;S737)),"")</f>
        <v/>
      </c>
      <c r="I737">
        <f>IF(734&gt;$O$2,"",MATCH(734,$Q$3:$Q$402,1))</f>
        <v/>
      </c>
      <c r="J737">
        <f>IF(I737="","",IF(734=INDEX($Q$3:$Q$402,I737),"H","E"))</f>
        <v/>
      </c>
      <c r="K737">
        <f>IF(J737&lt;&gt;"E","",MATCH(S737,Transaksi!$M$2:$M$2001,0)+734-INDEX($Q$3:$Q$402,I737)-1)</f>
        <v/>
      </c>
      <c r="S737">
        <f>IF(I737="","",INDEX($O$3:$O$402,I737))</f>
        <v/>
      </c>
      <c r="T737">
        <f>IF(J737&lt;&gt;"H","",INDEX(Transaksi!$A$2:$A$2001,MATCH(S737,Transaksi!$M$2:$M$2001,0)))</f>
        <v/>
      </c>
    </row>
    <row r="738">
      <c r="A738" s="31">
        <f>IF(J738="E",IF(INDEX(Transaksi!$J$2:$J$2001,K738)&gt;0,"↑","↓"),"")</f>
        <v/>
      </c>
      <c r="B738" s="32">
        <f>IF(J738="H",CHOOSE(WEEKDAY(T738,2),"Isnin","Selasa","Rabu","Khamis","Jumaat","Sabtu","Ahad")&amp;", "&amp;DAY(T738)&amp;" "&amp;CHOOSE(MONTH(T738),"Jan","Feb","Mac","Apr","Mei","Jun","Jul","Ogo","Sep","Okt","Nov","Dis")&amp;" "&amp;YEAR(T738),IF(J738="E",IF(INDEX(Transaksi!$B$2:$B$2001,K738)="",INDEX(Transaksi!$C$2:$C$2001,K738)&amp;" · "&amp;INDEX(Transaksi!$D$2:$D$2001,K738),INDEX(Transaksi!$B$2:$B$2001,K738)),""))</f>
        <v/>
      </c>
      <c r="C738" s="32">
        <f>IF(J738="E",INDEX(Transaksi!$C$2:$C$2001,K738)&amp;"","")</f>
        <v/>
      </c>
      <c r="D738" s="32">
        <f>IF(J738="E",INDEX(Transaksi!$D$2:$D$2001,K738)&amp;"","")</f>
        <v/>
      </c>
      <c r="E738" s="33">
        <f>IF(J738="H",SUMIFS(Transaksi!$G$2:$G$2001,Transaksi!$M$2:$M$2001,"="&amp;S738)+SUMIFS(Transaksi!$H$2:$H$2001,Transaksi!$M$2:$M$2001,"="&amp;S738)+SUMIFS(Transaksi!$I$2:$I$2001,Transaksi!$M$2:$M$2001,"="&amp;S738),IF(J738="E",IF(INDEX(Transaksi!$G$2:$G$2001,K738)+INDEX(Transaksi!$H$2:$H$2001,K738)+INDEX(Transaksi!$I$2:$I$2001,K738)=0,"",INDEX(Transaksi!$G$2:$G$2001,K738)+INDEX(Transaksi!$H$2:$H$2001,K738)+INDEX(Transaksi!$I$2:$I$2001,K738)),""))</f>
        <v/>
      </c>
      <c r="F738" s="33">
        <f>IF(J738="H",SUMIFS(Transaksi!$J$2:$J$2001,Transaksi!$M$2:$M$2001,"="&amp;S738),IF(J738="E",IF(INDEX(Transaksi!$J$2:$J$2001,K738)=0,"",INDEX(Transaksi!$J$2:$J$2001,K738)),""))</f>
        <v/>
      </c>
      <c r="G738" s="33">
        <f>IF(J738="H",(SUMIFS(Transaksi!$G$2:$G$2001,Transaksi!$M$2:$M$2001,"&lt;="&amp;S738)+SUMIFS(Transaksi!$H$2:$H$2001,Transaksi!$M$2:$M$2001,"&lt;="&amp;S738)+SUMIFS(Transaksi!$I$2:$I$2001,Transaksi!$M$2:$M$2001,"&lt;="&amp;S738))-(SUMIFS(Transaksi!$J$2:$J$2001,Transaksi!$M$2:$M$2001,"&lt;="&amp;S738)),"")</f>
        <v/>
      </c>
      <c r="I738">
        <f>IF(735&gt;$O$2,"",MATCH(735,$Q$3:$Q$402,1))</f>
        <v/>
      </c>
      <c r="J738">
        <f>IF(I738="","",IF(735=INDEX($Q$3:$Q$402,I738),"H","E"))</f>
        <v/>
      </c>
      <c r="K738">
        <f>IF(J738&lt;&gt;"E","",MATCH(S738,Transaksi!$M$2:$M$2001,0)+735-INDEX($Q$3:$Q$402,I738)-1)</f>
        <v/>
      </c>
      <c r="S738">
        <f>IF(I738="","",INDEX($O$3:$O$402,I738))</f>
        <v/>
      </c>
      <c r="T738">
        <f>IF(J738&lt;&gt;"H","",INDEX(Transaksi!$A$2:$A$2001,MATCH(S738,Transaksi!$M$2:$M$2001,0)))</f>
        <v/>
      </c>
    </row>
    <row r="739">
      <c r="A739" s="31">
        <f>IF(J739="E",IF(INDEX(Transaksi!$J$2:$J$2001,K739)&gt;0,"↑","↓"),"")</f>
        <v/>
      </c>
      <c r="B739" s="32">
        <f>IF(J739="H",CHOOSE(WEEKDAY(T739,2),"Isnin","Selasa","Rabu","Khamis","Jumaat","Sabtu","Ahad")&amp;", "&amp;DAY(T739)&amp;" "&amp;CHOOSE(MONTH(T739),"Jan","Feb","Mac","Apr","Mei","Jun","Jul","Ogo","Sep","Okt","Nov","Dis")&amp;" "&amp;YEAR(T739),IF(J739="E",IF(INDEX(Transaksi!$B$2:$B$2001,K739)="",INDEX(Transaksi!$C$2:$C$2001,K739)&amp;" · "&amp;INDEX(Transaksi!$D$2:$D$2001,K739),INDEX(Transaksi!$B$2:$B$2001,K739)),""))</f>
        <v/>
      </c>
      <c r="C739" s="32">
        <f>IF(J739="E",INDEX(Transaksi!$C$2:$C$2001,K739)&amp;"","")</f>
        <v/>
      </c>
      <c r="D739" s="32">
        <f>IF(J739="E",INDEX(Transaksi!$D$2:$D$2001,K739)&amp;"","")</f>
        <v/>
      </c>
      <c r="E739" s="33">
        <f>IF(J739="H",SUMIFS(Transaksi!$G$2:$G$2001,Transaksi!$M$2:$M$2001,"="&amp;S739)+SUMIFS(Transaksi!$H$2:$H$2001,Transaksi!$M$2:$M$2001,"="&amp;S739)+SUMIFS(Transaksi!$I$2:$I$2001,Transaksi!$M$2:$M$2001,"="&amp;S739),IF(J739="E",IF(INDEX(Transaksi!$G$2:$G$2001,K739)+INDEX(Transaksi!$H$2:$H$2001,K739)+INDEX(Transaksi!$I$2:$I$2001,K739)=0,"",INDEX(Transaksi!$G$2:$G$2001,K739)+INDEX(Transaksi!$H$2:$H$2001,K739)+INDEX(Transaksi!$I$2:$I$2001,K739)),""))</f>
        <v/>
      </c>
      <c r="F739" s="33">
        <f>IF(J739="H",SUMIFS(Transaksi!$J$2:$J$2001,Transaksi!$M$2:$M$2001,"="&amp;S739),IF(J739="E",IF(INDEX(Transaksi!$J$2:$J$2001,K739)=0,"",INDEX(Transaksi!$J$2:$J$2001,K739)),""))</f>
        <v/>
      </c>
      <c r="G739" s="33">
        <f>IF(J739="H",(SUMIFS(Transaksi!$G$2:$G$2001,Transaksi!$M$2:$M$2001,"&lt;="&amp;S739)+SUMIFS(Transaksi!$H$2:$H$2001,Transaksi!$M$2:$M$2001,"&lt;="&amp;S739)+SUMIFS(Transaksi!$I$2:$I$2001,Transaksi!$M$2:$M$2001,"&lt;="&amp;S739))-(SUMIFS(Transaksi!$J$2:$J$2001,Transaksi!$M$2:$M$2001,"&lt;="&amp;S739)),"")</f>
        <v/>
      </c>
      <c r="I739">
        <f>IF(736&gt;$O$2,"",MATCH(736,$Q$3:$Q$402,1))</f>
        <v/>
      </c>
      <c r="J739">
        <f>IF(I739="","",IF(736=INDEX($Q$3:$Q$402,I739),"H","E"))</f>
        <v/>
      </c>
      <c r="K739">
        <f>IF(J739&lt;&gt;"E","",MATCH(S739,Transaksi!$M$2:$M$2001,0)+736-INDEX($Q$3:$Q$402,I739)-1)</f>
        <v/>
      </c>
      <c r="S739">
        <f>IF(I739="","",INDEX($O$3:$O$402,I739))</f>
        <v/>
      </c>
      <c r="T739">
        <f>IF(J739&lt;&gt;"H","",INDEX(Transaksi!$A$2:$A$2001,MATCH(S739,Transaksi!$M$2:$M$2001,0)))</f>
        <v/>
      </c>
    </row>
    <row r="740">
      <c r="A740" s="31">
        <f>IF(J740="E",IF(INDEX(Transaksi!$J$2:$J$2001,K740)&gt;0,"↑","↓"),"")</f>
        <v/>
      </c>
      <c r="B740" s="32">
        <f>IF(J740="H",CHOOSE(WEEKDAY(T740,2),"Isnin","Selasa","Rabu","Khamis","Jumaat","Sabtu","Ahad")&amp;", "&amp;DAY(T740)&amp;" "&amp;CHOOSE(MONTH(T740),"Jan","Feb","Mac","Apr","Mei","Jun","Jul","Ogo","Sep","Okt","Nov","Dis")&amp;" "&amp;YEAR(T740),IF(J740="E",IF(INDEX(Transaksi!$B$2:$B$2001,K740)="",INDEX(Transaksi!$C$2:$C$2001,K740)&amp;" · "&amp;INDEX(Transaksi!$D$2:$D$2001,K740),INDEX(Transaksi!$B$2:$B$2001,K740)),""))</f>
        <v/>
      </c>
      <c r="C740" s="32">
        <f>IF(J740="E",INDEX(Transaksi!$C$2:$C$2001,K740)&amp;"","")</f>
        <v/>
      </c>
      <c r="D740" s="32">
        <f>IF(J740="E",INDEX(Transaksi!$D$2:$D$2001,K740)&amp;"","")</f>
        <v/>
      </c>
      <c r="E740" s="33">
        <f>IF(J740="H",SUMIFS(Transaksi!$G$2:$G$2001,Transaksi!$M$2:$M$2001,"="&amp;S740)+SUMIFS(Transaksi!$H$2:$H$2001,Transaksi!$M$2:$M$2001,"="&amp;S740)+SUMIFS(Transaksi!$I$2:$I$2001,Transaksi!$M$2:$M$2001,"="&amp;S740),IF(J740="E",IF(INDEX(Transaksi!$G$2:$G$2001,K740)+INDEX(Transaksi!$H$2:$H$2001,K740)+INDEX(Transaksi!$I$2:$I$2001,K740)=0,"",INDEX(Transaksi!$G$2:$G$2001,K740)+INDEX(Transaksi!$H$2:$H$2001,K740)+INDEX(Transaksi!$I$2:$I$2001,K740)),""))</f>
        <v/>
      </c>
      <c r="F740" s="33">
        <f>IF(J740="H",SUMIFS(Transaksi!$J$2:$J$2001,Transaksi!$M$2:$M$2001,"="&amp;S740),IF(J740="E",IF(INDEX(Transaksi!$J$2:$J$2001,K740)=0,"",INDEX(Transaksi!$J$2:$J$2001,K740)),""))</f>
        <v/>
      </c>
      <c r="G740" s="33">
        <f>IF(J740="H",(SUMIFS(Transaksi!$G$2:$G$2001,Transaksi!$M$2:$M$2001,"&lt;="&amp;S740)+SUMIFS(Transaksi!$H$2:$H$2001,Transaksi!$M$2:$M$2001,"&lt;="&amp;S740)+SUMIFS(Transaksi!$I$2:$I$2001,Transaksi!$M$2:$M$2001,"&lt;="&amp;S740))-(SUMIFS(Transaksi!$J$2:$J$2001,Transaksi!$M$2:$M$2001,"&lt;="&amp;S740)),"")</f>
        <v/>
      </c>
      <c r="I740">
        <f>IF(737&gt;$O$2,"",MATCH(737,$Q$3:$Q$402,1))</f>
        <v/>
      </c>
      <c r="J740">
        <f>IF(I740="","",IF(737=INDEX($Q$3:$Q$402,I740),"H","E"))</f>
        <v/>
      </c>
      <c r="K740">
        <f>IF(J740&lt;&gt;"E","",MATCH(S740,Transaksi!$M$2:$M$2001,0)+737-INDEX($Q$3:$Q$402,I740)-1)</f>
        <v/>
      </c>
      <c r="S740">
        <f>IF(I740="","",INDEX($O$3:$O$402,I740))</f>
        <v/>
      </c>
      <c r="T740">
        <f>IF(J740&lt;&gt;"H","",INDEX(Transaksi!$A$2:$A$2001,MATCH(S740,Transaksi!$M$2:$M$2001,0)))</f>
        <v/>
      </c>
    </row>
    <row r="741">
      <c r="A741" s="31">
        <f>IF(J741="E",IF(INDEX(Transaksi!$J$2:$J$2001,K741)&gt;0,"↑","↓"),"")</f>
        <v/>
      </c>
      <c r="B741" s="32">
        <f>IF(J741="H",CHOOSE(WEEKDAY(T741,2),"Isnin","Selasa","Rabu","Khamis","Jumaat","Sabtu","Ahad")&amp;", "&amp;DAY(T741)&amp;" "&amp;CHOOSE(MONTH(T741),"Jan","Feb","Mac","Apr","Mei","Jun","Jul","Ogo","Sep","Okt","Nov","Dis")&amp;" "&amp;YEAR(T741),IF(J741="E",IF(INDEX(Transaksi!$B$2:$B$2001,K741)="",INDEX(Transaksi!$C$2:$C$2001,K741)&amp;" · "&amp;INDEX(Transaksi!$D$2:$D$2001,K741),INDEX(Transaksi!$B$2:$B$2001,K741)),""))</f>
        <v/>
      </c>
      <c r="C741" s="32">
        <f>IF(J741="E",INDEX(Transaksi!$C$2:$C$2001,K741)&amp;"","")</f>
        <v/>
      </c>
      <c r="D741" s="32">
        <f>IF(J741="E",INDEX(Transaksi!$D$2:$D$2001,K741)&amp;"","")</f>
        <v/>
      </c>
      <c r="E741" s="33">
        <f>IF(J741="H",SUMIFS(Transaksi!$G$2:$G$2001,Transaksi!$M$2:$M$2001,"="&amp;S741)+SUMIFS(Transaksi!$H$2:$H$2001,Transaksi!$M$2:$M$2001,"="&amp;S741)+SUMIFS(Transaksi!$I$2:$I$2001,Transaksi!$M$2:$M$2001,"="&amp;S741),IF(J741="E",IF(INDEX(Transaksi!$G$2:$G$2001,K741)+INDEX(Transaksi!$H$2:$H$2001,K741)+INDEX(Transaksi!$I$2:$I$2001,K741)=0,"",INDEX(Transaksi!$G$2:$G$2001,K741)+INDEX(Transaksi!$H$2:$H$2001,K741)+INDEX(Transaksi!$I$2:$I$2001,K741)),""))</f>
        <v/>
      </c>
      <c r="F741" s="33">
        <f>IF(J741="H",SUMIFS(Transaksi!$J$2:$J$2001,Transaksi!$M$2:$M$2001,"="&amp;S741),IF(J741="E",IF(INDEX(Transaksi!$J$2:$J$2001,K741)=0,"",INDEX(Transaksi!$J$2:$J$2001,K741)),""))</f>
        <v/>
      </c>
      <c r="G741" s="33">
        <f>IF(J741="H",(SUMIFS(Transaksi!$G$2:$G$2001,Transaksi!$M$2:$M$2001,"&lt;="&amp;S741)+SUMIFS(Transaksi!$H$2:$H$2001,Transaksi!$M$2:$M$2001,"&lt;="&amp;S741)+SUMIFS(Transaksi!$I$2:$I$2001,Transaksi!$M$2:$M$2001,"&lt;="&amp;S741))-(SUMIFS(Transaksi!$J$2:$J$2001,Transaksi!$M$2:$M$2001,"&lt;="&amp;S741)),"")</f>
        <v/>
      </c>
      <c r="I741">
        <f>IF(738&gt;$O$2,"",MATCH(738,$Q$3:$Q$402,1))</f>
        <v/>
      </c>
      <c r="J741">
        <f>IF(I741="","",IF(738=INDEX($Q$3:$Q$402,I741),"H","E"))</f>
        <v/>
      </c>
      <c r="K741">
        <f>IF(J741&lt;&gt;"E","",MATCH(S741,Transaksi!$M$2:$M$2001,0)+738-INDEX($Q$3:$Q$402,I741)-1)</f>
        <v/>
      </c>
      <c r="S741">
        <f>IF(I741="","",INDEX($O$3:$O$402,I741))</f>
        <v/>
      </c>
      <c r="T741">
        <f>IF(J741&lt;&gt;"H","",INDEX(Transaksi!$A$2:$A$2001,MATCH(S741,Transaksi!$M$2:$M$2001,0)))</f>
        <v/>
      </c>
    </row>
    <row r="742">
      <c r="A742" s="31">
        <f>IF(J742="E",IF(INDEX(Transaksi!$J$2:$J$2001,K742)&gt;0,"↑","↓"),"")</f>
        <v/>
      </c>
      <c r="B742" s="32">
        <f>IF(J742="H",CHOOSE(WEEKDAY(T742,2),"Isnin","Selasa","Rabu","Khamis","Jumaat","Sabtu","Ahad")&amp;", "&amp;DAY(T742)&amp;" "&amp;CHOOSE(MONTH(T742),"Jan","Feb","Mac","Apr","Mei","Jun","Jul","Ogo","Sep","Okt","Nov","Dis")&amp;" "&amp;YEAR(T742),IF(J742="E",IF(INDEX(Transaksi!$B$2:$B$2001,K742)="",INDEX(Transaksi!$C$2:$C$2001,K742)&amp;" · "&amp;INDEX(Transaksi!$D$2:$D$2001,K742),INDEX(Transaksi!$B$2:$B$2001,K742)),""))</f>
        <v/>
      </c>
      <c r="C742" s="32">
        <f>IF(J742="E",INDEX(Transaksi!$C$2:$C$2001,K742)&amp;"","")</f>
        <v/>
      </c>
      <c r="D742" s="32">
        <f>IF(J742="E",INDEX(Transaksi!$D$2:$D$2001,K742)&amp;"","")</f>
        <v/>
      </c>
      <c r="E742" s="33">
        <f>IF(J742="H",SUMIFS(Transaksi!$G$2:$G$2001,Transaksi!$M$2:$M$2001,"="&amp;S742)+SUMIFS(Transaksi!$H$2:$H$2001,Transaksi!$M$2:$M$2001,"="&amp;S742)+SUMIFS(Transaksi!$I$2:$I$2001,Transaksi!$M$2:$M$2001,"="&amp;S742),IF(J742="E",IF(INDEX(Transaksi!$G$2:$G$2001,K742)+INDEX(Transaksi!$H$2:$H$2001,K742)+INDEX(Transaksi!$I$2:$I$2001,K742)=0,"",INDEX(Transaksi!$G$2:$G$2001,K742)+INDEX(Transaksi!$H$2:$H$2001,K742)+INDEX(Transaksi!$I$2:$I$2001,K742)),""))</f>
        <v/>
      </c>
      <c r="F742" s="33">
        <f>IF(J742="H",SUMIFS(Transaksi!$J$2:$J$2001,Transaksi!$M$2:$M$2001,"="&amp;S742),IF(J742="E",IF(INDEX(Transaksi!$J$2:$J$2001,K742)=0,"",INDEX(Transaksi!$J$2:$J$2001,K742)),""))</f>
        <v/>
      </c>
      <c r="G742" s="33">
        <f>IF(J742="H",(SUMIFS(Transaksi!$G$2:$G$2001,Transaksi!$M$2:$M$2001,"&lt;="&amp;S742)+SUMIFS(Transaksi!$H$2:$H$2001,Transaksi!$M$2:$M$2001,"&lt;="&amp;S742)+SUMIFS(Transaksi!$I$2:$I$2001,Transaksi!$M$2:$M$2001,"&lt;="&amp;S742))-(SUMIFS(Transaksi!$J$2:$J$2001,Transaksi!$M$2:$M$2001,"&lt;="&amp;S742)),"")</f>
        <v/>
      </c>
      <c r="I742">
        <f>IF(739&gt;$O$2,"",MATCH(739,$Q$3:$Q$402,1))</f>
        <v/>
      </c>
      <c r="J742">
        <f>IF(I742="","",IF(739=INDEX($Q$3:$Q$402,I742),"H","E"))</f>
        <v/>
      </c>
      <c r="K742">
        <f>IF(J742&lt;&gt;"E","",MATCH(S742,Transaksi!$M$2:$M$2001,0)+739-INDEX($Q$3:$Q$402,I742)-1)</f>
        <v/>
      </c>
      <c r="S742">
        <f>IF(I742="","",INDEX($O$3:$O$402,I742))</f>
        <v/>
      </c>
      <c r="T742">
        <f>IF(J742&lt;&gt;"H","",INDEX(Transaksi!$A$2:$A$2001,MATCH(S742,Transaksi!$M$2:$M$2001,0)))</f>
        <v/>
      </c>
    </row>
    <row r="743">
      <c r="A743" s="31">
        <f>IF(J743="E",IF(INDEX(Transaksi!$J$2:$J$2001,K743)&gt;0,"↑","↓"),"")</f>
        <v/>
      </c>
      <c r="B743" s="32">
        <f>IF(J743="H",CHOOSE(WEEKDAY(T743,2),"Isnin","Selasa","Rabu","Khamis","Jumaat","Sabtu","Ahad")&amp;", "&amp;DAY(T743)&amp;" "&amp;CHOOSE(MONTH(T743),"Jan","Feb","Mac","Apr","Mei","Jun","Jul","Ogo","Sep","Okt","Nov","Dis")&amp;" "&amp;YEAR(T743),IF(J743="E",IF(INDEX(Transaksi!$B$2:$B$2001,K743)="",INDEX(Transaksi!$C$2:$C$2001,K743)&amp;" · "&amp;INDEX(Transaksi!$D$2:$D$2001,K743),INDEX(Transaksi!$B$2:$B$2001,K743)),""))</f>
        <v/>
      </c>
      <c r="C743" s="32">
        <f>IF(J743="E",INDEX(Transaksi!$C$2:$C$2001,K743)&amp;"","")</f>
        <v/>
      </c>
      <c r="D743" s="32">
        <f>IF(J743="E",INDEX(Transaksi!$D$2:$D$2001,K743)&amp;"","")</f>
        <v/>
      </c>
      <c r="E743" s="33">
        <f>IF(J743="H",SUMIFS(Transaksi!$G$2:$G$2001,Transaksi!$M$2:$M$2001,"="&amp;S743)+SUMIFS(Transaksi!$H$2:$H$2001,Transaksi!$M$2:$M$2001,"="&amp;S743)+SUMIFS(Transaksi!$I$2:$I$2001,Transaksi!$M$2:$M$2001,"="&amp;S743),IF(J743="E",IF(INDEX(Transaksi!$G$2:$G$2001,K743)+INDEX(Transaksi!$H$2:$H$2001,K743)+INDEX(Transaksi!$I$2:$I$2001,K743)=0,"",INDEX(Transaksi!$G$2:$G$2001,K743)+INDEX(Transaksi!$H$2:$H$2001,K743)+INDEX(Transaksi!$I$2:$I$2001,K743)),""))</f>
        <v/>
      </c>
      <c r="F743" s="33">
        <f>IF(J743="H",SUMIFS(Transaksi!$J$2:$J$2001,Transaksi!$M$2:$M$2001,"="&amp;S743),IF(J743="E",IF(INDEX(Transaksi!$J$2:$J$2001,K743)=0,"",INDEX(Transaksi!$J$2:$J$2001,K743)),""))</f>
        <v/>
      </c>
      <c r="G743" s="33">
        <f>IF(J743="H",(SUMIFS(Transaksi!$G$2:$G$2001,Transaksi!$M$2:$M$2001,"&lt;="&amp;S743)+SUMIFS(Transaksi!$H$2:$H$2001,Transaksi!$M$2:$M$2001,"&lt;="&amp;S743)+SUMIFS(Transaksi!$I$2:$I$2001,Transaksi!$M$2:$M$2001,"&lt;="&amp;S743))-(SUMIFS(Transaksi!$J$2:$J$2001,Transaksi!$M$2:$M$2001,"&lt;="&amp;S743)),"")</f>
        <v/>
      </c>
      <c r="I743">
        <f>IF(740&gt;$O$2,"",MATCH(740,$Q$3:$Q$402,1))</f>
        <v/>
      </c>
      <c r="J743">
        <f>IF(I743="","",IF(740=INDEX($Q$3:$Q$402,I743),"H","E"))</f>
        <v/>
      </c>
      <c r="K743">
        <f>IF(J743&lt;&gt;"E","",MATCH(S743,Transaksi!$M$2:$M$2001,0)+740-INDEX($Q$3:$Q$402,I743)-1)</f>
        <v/>
      </c>
      <c r="S743">
        <f>IF(I743="","",INDEX($O$3:$O$402,I743))</f>
        <v/>
      </c>
      <c r="T743">
        <f>IF(J743&lt;&gt;"H","",INDEX(Transaksi!$A$2:$A$2001,MATCH(S743,Transaksi!$M$2:$M$2001,0)))</f>
        <v/>
      </c>
    </row>
    <row r="744">
      <c r="A744" s="31">
        <f>IF(J744="E",IF(INDEX(Transaksi!$J$2:$J$2001,K744)&gt;0,"↑","↓"),"")</f>
        <v/>
      </c>
      <c r="B744" s="32">
        <f>IF(J744="H",CHOOSE(WEEKDAY(T744,2),"Isnin","Selasa","Rabu","Khamis","Jumaat","Sabtu","Ahad")&amp;", "&amp;DAY(T744)&amp;" "&amp;CHOOSE(MONTH(T744),"Jan","Feb","Mac","Apr","Mei","Jun","Jul","Ogo","Sep","Okt","Nov","Dis")&amp;" "&amp;YEAR(T744),IF(J744="E",IF(INDEX(Transaksi!$B$2:$B$2001,K744)="",INDEX(Transaksi!$C$2:$C$2001,K744)&amp;" · "&amp;INDEX(Transaksi!$D$2:$D$2001,K744),INDEX(Transaksi!$B$2:$B$2001,K744)),""))</f>
        <v/>
      </c>
      <c r="C744" s="32">
        <f>IF(J744="E",INDEX(Transaksi!$C$2:$C$2001,K744)&amp;"","")</f>
        <v/>
      </c>
      <c r="D744" s="32">
        <f>IF(J744="E",INDEX(Transaksi!$D$2:$D$2001,K744)&amp;"","")</f>
        <v/>
      </c>
      <c r="E744" s="33">
        <f>IF(J744="H",SUMIFS(Transaksi!$G$2:$G$2001,Transaksi!$M$2:$M$2001,"="&amp;S744)+SUMIFS(Transaksi!$H$2:$H$2001,Transaksi!$M$2:$M$2001,"="&amp;S744)+SUMIFS(Transaksi!$I$2:$I$2001,Transaksi!$M$2:$M$2001,"="&amp;S744),IF(J744="E",IF(INDEX(Transaksi!$G$2:$G$2001,K744)+INDEX(Transaksi!$H$2:$H$2001,K744)+INDEX(Transaksi!$I$2:$I$2001,K744)=0,"",INDEX(Transaksi!$G$2:$G$2001,K744)+INDEX(Transaksi!$H$2:$H$2001,K744)+INDEX(Transaksi!$I$2:$I$2001,K744)),""))</f>
        <v/>
      </c>
      <c r="F744" s="33">
        <f>IF(J744="H",SUMIFS(Transaksi!$J$2:$J$2001,Transaksi!$M$2:$M$2001,"="&amp;S744),IF(J744="E",IF(INDEX(Transaksi!$J$2:$J$2001,K744)=0,"",INDEX(Transaksi!$J$2:$J$2001,K744)),""))</f>
        <v/>
      </c>
      <c r="G744" s="33">
        <f>IF(J744="H",(SUMIFS(Transaksi!$G$2:$G$2001,Transaksi!$M$2:$M$2001,"&lt;="&amp;S744)+SUMIFS(Transaksi!$H$2:$H$2001,Transaksi!$M$2:$M$2001,"&lt;="&amp;S744)+SUMIFS(Transaksi!$I$2:$I$2001,Transaksi!$M$2:$M$2001,"&lt;="&amp;S744))-(SUMIFS(Transaksi!$J$2:$J$2001,Transaksi!$M$2:$M$2001,"&lt;="&amp;S744)),"")</f>
        <v/>
      </c>
      <c r="I744">
        <f>IF(741&gt;$O$2,"",MATCH(741,$Q$3:$Q$402,1))</f>
        <v/>
      </c>
      <c r="J744">
        <f>IF(I744="","",IF(741=INDEX($Q$3:$Q$402,I744),"H","E"))</f>
        <v/>
      </c>
      <c r="K744">
        <f>IF(J744&lt;&gt;"E","",MATCH(S744,Transaksi!$M$2:$M$2001,0)+741-INDEX($Q$3:$Q$402,I744)-1)</f>
        <v/>
      </c>
      <c r="S744">
        <f>IF(I744="","",INDEX($O$3:$O$402,I744))</f>
        <v/>
      </c>
      <c r="T744">
        <f>IF(J744&lt;&gt;"H","",INDEX(Transaksi!$A$2:$A$2001,MATCH(S744,Transaksi!$M$2:$M$2001,0)))</f>
        <v/>
      </c>
    </row>
    <row r="745">
      <c r="A745" s="31">
        <f>IF(J745="E",IF(INDEX(Transaksi!$J$2:$J$2001,K745)&gt;0,"↑","↓"),"")</f>
        <v/>
      </c>
      <c r="B745" s="32">
        <f>IF(J745="H",CHOOSE(WEEKDAY(T745,2),"Isnin","Selasa","Rabu","Khamis","Jumaat","Sabtu","Ahad")&amp;", "&amp;DAY(T745)&amp;" "&amp;CHOOSE(MONTH(T745),"Jan","Feb","Mac","Apr","Mei","Jun","Jul","Ogo","Sep","Okt","Nov","Dis")&amp;" "&amp;YEAR(T745),IF(J745="E",IF(INDEX(Transaksi!$B$2:$B$2001,K745)="",INDEX(Transaksi!$C$2:$C$2001,K745)&amp;" · "&amp;INDEX(Transaksi!$D$2:$D$2001,K745),INDEX(Transaksi!$B$2:$B$2001,K745)),""))</f>
        <v/>
      </c>
      <c r="C745" s="32">
        <f>IF(J745="E",INDEX(Transaksi!$C$2:$C$2001,K745)&amp;"","")</f>
        <v/>
      </c>
      <c r="D745" s="32">
        <f>IF(J745="E",INDEX(Transaksi!$D$2:$D$2001,K745)&amp;"","")</f>
        <v/>
      </c>
      <c r="E745" s="33">
        <f>IF(J745="H",SUMIFS(Transaksi!$G$2:$G$2001,Transaksi!$M$2:$M$2001,"="&amp;S745)+SUMIFS(Transaksi!$H$2:$H$2001,Transaksi!$M$2:$M$2001,"="&amp;S745)+SUMIFS(Transaksi!$I$2:$I$2001,Transaksi!$M$2:$M$2001,"="&amp;S745),IF(J745="E",IF(INDEX(Transaksi!$G$2:$G$2001,K745)+INDEX(Transaksi!$H$2:$H$2001,K745)+INDEX(Transaksi!$I$2:$I$2001,K745)=0,"",INDEX(Transaksi!$G$2:$G$2001,K745)+INDEX(Transaksi!$H$2:$H$2001,K745)+INDEX(Transaksi!$I$2:$I$2001,K745)),""))</f>
        <v/>
      </c>
      <c r="F745" s="33">
        <f>IF(J745="H",SUMIFS(Transaksi!$J$2:$J$2001,Transaksi!$M$2:$M$2001,"="&amp;S745),IF(J745="E",IF(INDEX(Transaksi!$J$2:$J$2001,K745)=0,"",INDEX(Transaksi!$J$2:$J$2001,K745)),""))</f>
        <v/>
      </c>
      <c r="G745" s="33">
        <f>IF(J745="H",(SUMIFS(Transaksi!$G$2:$G$2001,Transaksi!$M$2:$M$2001,"&lt;="&amp;S745)+SUMIFS(Transaksi!$H$2:$H$2001,Transaksi!$M$2:$M$2001,"&lt;="&amp;S745)+SUMIFS(Transaksi!$I$2:$I$2001,Transaksi!$M$2:$M$2001,"&lt;="&amp;S745))-(SUMIFS(Transaksi!$J$2:$J$2001,Transaksi!$M$2:$M$2001,"&lt;="&amp;S745)),"")</f>
        <v/>
      </c>
      <c r="I745">
        <f>IF(742&gt;$O$2,"",MATCH(742,$Q$3:$Q$402,1))</f>
        <v/>
      </c>
      <c r="J745">
        <f>IF(I745="","",IF(742=INDEX($Q$3:$Q$402,I745),"H","E"))</f>
        <v/>
      </c>
      <c r="K745">
        <f>IF(J745&lt;&gt;"E","",MATCH(S745,Transaksi!$M$2:$M$2001,0)+742-INDEX($Q$3:$Q$402,I745)-1)</f>
        <v/>
      </c>
      <c r="S745">
        <f>IF(I745="","",INDEX($O$3:$O$402,I745))</f>
        <v/>
      </c>
      <c r="T745">
        <f>IF(J745&lt;&gt;"H","",INDEX(Transaksi!$A$2:$A$2001,MATCH(S745,Transaksi!$M$2:$M$2001,0)))</f>
        <v/>
      </c>
    </row>
    <row r="746">
      <c r="A746" s="31">
        <f>IF(J746="E",IF(INDEX(Transaksi!$J$2:$J$2001,K746)&gt;0,"↑","↓"),"")</f>
        <v/>
      </c>
      <c r="B746" s="32">
        <f>IF(J746="H",CHOOSE(WEEKDAY(T746,2),"Isnin","Selasa","Rabu","Khamis","Jumaat","Sabtu","Ahad")&amp;", "&amp;DAY(T746)&amp;" "&amp;CHOOSE(MONTH(T746),"Jan","Feb","Mac","Apr","Mei","Jun","Jul","Ogo","Sep","Okt","Nov","Dis")&amp;" "&amp;YEAR(T746),IF(J746="E",IF(INDEX(Transaksi!$B$2:$B$2001,K746)="",INDEX(Transaksi!$C$2:$C$2001,K746)&amp;" · "&amp;INDEX(Transaksi!$D$2:$D$2001,K746),INDEX(Transaksi!$B$2:$B$2001,K746)),""))</f>
        <v/>
      </c>
      <c r="C746" s="32">
        <f>IF(J746="E",INDEX(Transaksi!$C$2:$C$2001,K746)&amp;"","")</f>
        <v/>
      </c>
      <c r="D746" s="32">
        <f>IF(J746="E",INDEX(Transaksi!$D$2:$D$2001,K746)&amp;"","")</f>
        <v/>
      </c>
      <c r="E746" s="33">
        <f>IF(J746="H",SUMIFS(Transaksi!$G$2:$G$2001,Transaksi!$M$2:$M$2001,"="&amp;S746)+SUMIFS(Transaksi!$H$2:$H$2001,Transaksi!$M$2:$M$2001,"="&amp;S746)+SUMIFS(Transaksi!$I$2:$I$2001,Transaksi!$M$2:$M$2001,"="&amp;S746),IF(J746="E",IF(INDEX(Transaksi!$G$2:$G$2001,K746)+INDEX(Transaksi!$H$2:$H$2001,K746)+INDEX(Transaksi!$I$2:$I$2001,K746)=0,"",INDEX(Transaksi!$G$2:$G$2001,K746)+INDEX(Transaksi!$H$2:$H$2001,K746)+INDEX(Transaksi!$I$2:$I$2001,K746)),""))</f>
        <v/>
      </c>
      <c r="F746" s="33">
        <f>IF(J746="H",SUMIFS(Transaksi!$J$2:$J$2001,Transaksi!$M$2:$M$2001,"="&amp;S746),IF(J746="E",IF(INDEX(Transaksi!$J$2:$J$2001,K746)=0,"",INDEX(Transaksi!$J$2:$J$2001,K746)),""))</f>
        <v/>
      </c>
      <c r="G746" s="33">
        <f>IF(J746="H",(SUMIFS(Transaksi!$G$2:$G$2001,Transaksi!$M$2:$M$2001,"&lt;="&amp;S746)+SUMIFS(Transaksi!$H$2:$H$2001,Transaksi!$M$2:$M$2001,"&lt;="&amp;S746)+SUMIFS(Transaksi!$I$2:$I$2001,Transaksi!$M$2:$M$2001,"&lt;="&amp;S746))-(SUMIFS(Transaksi!$J$2:$J$2001,Transaksi!$M$2:$M$2001,"&lt;="&amp;S746)),"")</f>
        <v/>
      </c>
      <c r="I746">
        <f>IF(743&gt;$O$2,"",MATCH(743,$Q$3:$Q$402,1))</f>
        <v/>
      </c>
      <c r="J746">
        <f>IF(I746="","",IF(743=INDEX($Q$3:$Q$402,I746),"H","E"))</f>
        <v/>
      </c>
      <c r="K746">
        <f>IF(J746&lt;&gt;"E","",MATCH(S746,Transaksi!$M$2:$M$2001,0)+743-INDEX($Q$3:$Q$402,I746)-1)</f>
        <v/>
      </c>
      <c r="S746">
        <f>IF(I746="","",INDEX($O$3:$O$402,I746))</f>
        <v/>
      </c>
      <c r="T746">
        <f>IF(J746&lt;&gt;"H","",INDEX(Transaksi!$A$2:$A$2001,MATCH(S746,Transaksi!$M$2:$M$2001,0)))</f>
        <v/>
      </c>
    </row>
    <row r="747">
      <c r="A747" s="31">
        <f>IF(J747="E",IF(INDEX(Transaksi!$J$2:$J$2001,K747)&gt;0,"↑","↓"),"")</f>
        <v/>
      </c>
      <c r="B747" s="32">
        <f>IF(J747="H",CHOOSE(WEEKDAY(T747,2),"Isnin","Selasa","Rabu","Khamis","Jumaat","Sabtu","Ahad")&amp;", "&amp;DAY(T747)&amp;" "&amp;CHOOSE(MONTH(T747),"Jan","Feb","Mac","Apr","Mei","Jun","Jul","Ogo","Sep","Okt","Nov","Dis")&amp;" "&amp;YEAR(T747),IF(J747="E",IF(INDEX(Transaksi!$B$2:$B$2001,K747)="",INDEX(Transaksi!$C$2:$C$2001,K747)&amp;" · "&amp;INDEX(Transaksi!$D$2:$D$2001,K747),INDEX(Transaksi!$B$2:$B$2001,K747)),""))</f>
        <v/>
      </c>
      <c r="C747" s="32">
        <f>IF(J747="E",INDEX(Transaksi!$C$2:$C$2001,K747)&amp;"","")</f>
        <v/>
      </c>
      <c r="D747" s="32">
        <f>IF(J747="E",INDEX(Transaksi!$D$2:$D$2001,K747)&amp;"","")</f>
        <v/>
      </c>
      <c r="E747" s="33">
        <f>IF(J747="H",SUMIFS(Transaksi!$G$2:$G$2001,Transaksi!$M$2:$M$2001,"="&amp;S747)+SUMIFS(Transaksi!$H$2:$H$2001,Transaksi!$M$2:$M$2001,"="&amp;S747)+SUMIFS(Transaksi!$I$2:$I$2001,Transaksi!$M$2:$M$2001,"="&amp;S747),IF(J747="E",IF(INDEX(Transaksi!$G$2:$G$2001,K747)+INDEX(Transaksi!$H$2:$H$2001,K747)+INDEX(Transaksi!$I$2:$I$2001,K747)=0,"",INDEX(Transaksi!$G$2:$G$2001,K747)+INDEX(Transaksi!$H$2:$H$2001,K747)+INDEX(Transaksi!$I$2:$I$2001,K747)),""))</f>
        <v/>
      </c>
      <c r="F747" s="33">
        <f>IF(J747="H",SUMIFS(Transaksi!$J$2:$J$2001,Transaksi!$M$2:$M$2001,"="&amp;S747),IF(J747="E",IF(INDEX(Transaksi!$J$2:$J$2001,K747)=0,"",INDEX(Transaksi!$J$2:$J$2001,K747)),""))</f>
        <v/>
      </c>
      <c r="G747" s="33">
        <f>IF(J747="H",(SUMIFS(Transaksi!$G$2:$G$2001,Transaksi!$M$2:$M$2001,"&lt;="&amp;S747)+SUMIFS(Transaksi!$H$2:$H$2001,Transaksi!$M$2:$M$2001,"&lt;="&amp;S747)+SUMIFS(Transaksi!$I$2:$I$2001,Transaksi!$M$2:$M$2001,"&lt;="&amp;S747))-(SUMIFS(Transaksi!$J$2:$J$2001,Transaksi!$M$2:$M$2001,"&lt;="&amp;S747)),"")</f>
        <v/>
      </c>
      <c r="I747">
        <f>IF(744&gt;$O$2,"",MATCH(744,$Q$3:$Q$402,1))</f>
        <v/>
      </c>
      <c r="J747">
        <f>IF(I747="","",IF(744=INDEX($Q$3:$Q$402,I747),"H","E"))</f>
        <v/>
      </c>
      <c r="K747">
        <f>IF(J747&lt;&gt;"E","",MATCH(S747,Transaksi!$M$2:$M$2001,0)+744-INDEX($Q$3:$Q$402,I747)-1)</f>
        <v/>
      </c>
      <c r="S747">
        <f>IF(I747="","",INDEX($O$3:$O$402,I747))</f>
        <v/>
      </c>
      <c r="T747">
        <f>IF(J747&lt;&gt;"H","",INDEX(Transaksi!$A$2:$A$2001,MATCH(S747,Transaksi!$M$2:$M$2001,0)))</f>
        <v/>
      </c>
    </row>
    <row r="748">
      <c r="A748" s="31">
        <f>IF(J748="E",IF(INDEX(Transaksi!$J$2:$J$2001,K748)&gt;0,"↑","↓"),"")</f>
        <v/>
      </c>
      <c r="B748" s="32">
        <f>IF(J748="H",CHOOSE(WEEKDAY(T748,2),"Isnin","Selasa","Rabu","Khamis","Jumaat","Sabtu","Ahad")&amp;", "&amp;DAY(T748)&amp;" "&amp;CHOOSE(MONTH(T748),"Jan","Feb","Mac","Apr","Mei","Jun","Jul","Ogo","Sep","Okt","Nov","Dis")&amp;" "&amp;YEAR(T748),IF(J748="E",IF(INDEX(Transaksi!$B$2:$B$2001,K748)="",INDEX(Transaksi!$C$2:$C$2001,K748)&amp;" · "&amp;INDEX(Transaksi!$D$2:$D$2001,K748),INDEX(Transaksi!$B$2:$B$2001,K748)),""))</f>
        <v/>
      </c>
      <c r="C748" s="32">
        <f>IF(J748="E",INDEX(Transaksi!$C$2:$C$2001,K748)&amp;"","")</f>
        <v/>
      </c>
      <c r="D748" s="32">
        <f>IF(J748="E",INDEX(Transaksi!$D$2:$D$2001,K748)&amp;"","")</f>
        <v/>
      </c>
      <c r="E748" s="33">
        <f>IF(J748="H",SUMIFS(Transaksi!$G$2:$G$2001,Transaksi!$M$2:$M$2001,"="&amp;S748)+SUMIFS(Transaksi!$H$2:$H$2001,Transaksi!$M$2:$M$2001,"="&amp;S748)+SUMIFS(Transaksi!$I$2:$I$2001,Transaksi!$M$2:$M$2001,"="&amp;S748),IF(J748="E",IF(INDEX(Transaksi!$G$2:$G$2001,K748)+INDEX(Transaksi!$H$2:$H$2001,K748)+INDEX(Transaksi!$I$2:$I$2001,K748)=0,"",INDEX(Transaksi!$G$2:$G$2001,K748)+INDEX(Transaksi!$H$2:$H$2001,K748)+INDEX(Transaksi!$I$2:$I$2001,K748)),""))</f>
        <v/>
      </c>
      <c r="F748" s="33">
        <f>IF(J748="H",SUMIFS(Transaksi!$J$2:$J$2001,Transaksi!$M$2:$M$2001,"="&amp;S748),IF(J748="E",IF(INDEX(Transaksi!$J$2:$J$2001,K748)=0,"",INDEX(Transaksi!$J$2:$J$2001,K748)),""))</f>
        <v/>
      </c>
      <c r="G748" s="33">
        <f>IF(J748="H",(SUMIFS(Transaksi!$G$2:$G$2001,Transaksi!$M$2:$M$2001,"&lt;="&amp;S748)+SUMIFS(Transaksi!$H$2:$H$2001,Transaksi!$M$2:$M$2001,"&lt;="&amp;S748)+SUMIFS(Transaksi!$I$2:$I$2001,Transaksi!$M$2:$M$2001,"&lt;="&amp;S748))-(SUMIFS(Transaksi!$J$2:$J$2001,Transaksi!$M$2:$M$2001,"&lt;="&amp;S748)),"")</f>
        <v/>
      </c>
      <c r="I748">
        <f>IF(745&gt;$O$2,"",MATCH(745,$Q$3:$Q$402,1))</f>
        <v/>
      </c>
      <c r="J748">
        <f>IF(I748="","",IF(745=INDEX($Q$3:$Q$402,I748),"H","E"))</f>
        <v/>
      </c>
      <c r="K748">
        <f>IF(J748&lt;&gt;"E","",MATCH(S748,Transaksi!$M$2:$M$2001,0)+745-INDEX($Q$3:$Q$402,I748)-1)</f>
        <v/>
      </c>
      <c r="S748">
        <f>IF(I748="","",INDEX($O$3:$O$402,I748))</f>
        <v/>
      </c>
      <c r="T748">
        <f>IF(J748&lt;&gt;"H","",INDEX(Transaksi!$A$2:$A$2001,MATCH(S748,Transaksi!$M$2:$M$2001,0)))</f>
        <v/>
      </c>
    </row>
    <row r="749">
      <c r="A749" s="31">
        <f>IF(J749="E",IF(INDEX(Transaksi!$J$2:$J$2001,K749)&gt;0,"↑","↓"),"")</f>
        <v/>
      </c>
      <c r="B749" s="32">
        <f>IF(J749="H",CHOOSE(WEEKDAY(T749,2),"Isnin","Selasa","Rabu","Khamis","Jumaat","Sabtu","Ahad")&amp;", "&amp;DAY(T749)&amp;" "&amp;CHOOSE(MONTH(T749),"Jan","Feb","Mac","Apr","Mei","Jun","Jul","Ogo","Sep","Okt","Nov","Dis")&amp;" "&amp;YEAR(T749),IF(J749="E",IF(INDEX(Transaksi!$B$2:$B$2001,K749)="",INDEX(Transaksi!$C$2:$C$2001,K749)&amp;" · "&amp;INDEX(Transaksi!$D$2:$D$2001,K749),INDEX(Transaksi!$B$2:$B$2001,K749)),""))</f>
        <v/>
      </c>
      <c r="C749" s="32">
        <f>IF(J749="E",INDEX(Transaksi!$C$2:$C$2001,K749)&amp;"","")</f>
        <v/>
      </c>
      <c r="D749" s="32">
        <f>IF(J749="E",INDEX(Transaksi!$D$2:$D$2001,K749)&amp;"","")</f>
        <v/>
      </c>
      <c r="E749" s="33">
        <f>IF(J749="H",SUMIFS(Transaksi!$G$2:$G$2001,Transaksi!$M$2:$M$2001,"="&amp;S749)+SUMIFS(Transaksi!$H$2:$H$2001,Transaksi!$M$2:$M$2001,"="&amp;S749)+SUMIFS(Transaksi!$I$2:$I$2001,Transaksi!$M$2:$M$2001,"="&amp;S749),IF(J749="E",IF(INDEX(Transaksi!$G$2:$G$2001,K749)+INDEX(Transaksi!$H$2:$H$2001,K749)+INDEX(Transaksi!$I$2:$I$2001,K749)=0,"",INDEX(Transaksi!$G$2:$G$2001,K749)+INDEX(Transaksi!$H$2:$H$2001,K749)+INDEX(Transaksi!$I$2:$I$2001,K749)),""))</f>
        <v/>
      </c>
      <c r="F749" s="33">
        <f>IF(J749="H",SUMIFS(Transaksi!$J$2:$J$2001,Transaksi!$M$2:$M$2001,"="&amp;S749),IF(J749="E",IF(INDEX(Transaksi!$J$2:$J$2001,K749)=0,"",INDEX(Transaksi!$J$2:$J$2001,K749)),""))</f>
        <v/>
      </c>
      <c r="G749" s="33">
        <f>IF(J749="H",(SUMIFS(Transaksi!$G$2:$G$2001,Transaksi!$M$2:$M$2001,"&lt;="&amp;S749)+SUMIFS(Transaksi!$H$2:$H$2001,Transaksi!$M$2:$M$2001,"&lt;="&amp;S749)+SUMIFS(Transaksi!$I$2:$I$2001,Transaksi!$M$2:$M$2001,"&lt;="&amp;S749))-(SUMIFS(Transaksi!$J$2:$J$2001,Transaksi!$M$2:$M$2001,"&lt;="&amp;S749)),"")</f>
        <v/>
      </c>
      <c r="I749">
        <f>IF(746&gt;$O$2,"",MATCH(746,$Q$3:$Q$402,1))</f>
        <v/>
      </c>
      <c r="J749">
        <f>IF(I749="","",IF(746=INDEX($Q$3:$Q$402,I749),"H","E"))</f>
        <v/>
      </c>
      <c r="K749">
        <f>IF(J749&lt;&gt;"E","",MATCH(S749,Transaksi!$M$2:$M$2001,0)+746-INDEX($Q$3:$Q$402,I749)-1)</f>
        <v/>
      </c>
      <c r="S749">
        <f>IF(I749="","",INDEX($O$3:$O$402,I749))</f>
        <v/>
      </c>
      <c r="T749">
        <f>IF(J749&lt;&gt;"H","",INDEX(Transaksi!$A$2:$A$2001,MATCH(S749,Transaksi!$M$2:$M$2001,0)))</f>
        <v/>
      </c>
    </row>
    <row r="750">
      <c r="A750" s="31">
        <f>IF(J750="E",IF(INDEX(Transaksi!$J$2:$J$2001,K750)&gt;0,"↑","↓"),"")</f>
        <v/>
      </c>
      <c r="B750" s="32">
        <f>IF(J750="H",CHOOSE(WEEKDAY(T750,2),"Isnin","Selasa","Rabu","Khamis","Jumaat","Sabtu","Ahad")&amp;", "&amp;DAY(T750)&amp;" "&amp;CHOOSE(MONTH(T750),"Jan","Feb","Mac","Apr","Mei","Jun","Jul","Ogo","Sep","Okt","Nov","Dis")&amp;" "&amp;YEAR(T750),IF(J750="E",IF(INDEX(Transaksi!$B$2:$B$2001,K750)="",INDEX(Transaksi!$C$2:$C$2001,K750)&amp;" · "&amp;INDEX(Transaksi!$D$2:$D$2001,K750),INDEX(Transaksi!$B$2:$B$2001,K750)),""))</f>
        <v/>
      </c>
      <c r="C750" s="32">
        <f>IF(J750="E",INDEX(Transaksi!$C$2:$C$2001,K750)&amp;"","")</f>
        <v/>
      </c>
      <c r="D750" s="32">
        <f>IF(J750="E",INDEX(Transaksi!$D$2:$D$2001,K750)&amp;"","")</f>
        <v/>
      </c>
      <c r="E750" s="33">
        <f>IF(J750="H",SUMIFS(Transaksi!$G$2:$G$2001,Transaksi!$M$2:$M$2001,"="&amp;S750)+SUMIFS(Transaksi!$H$2:$H$2001,Transaksi!$M$2:$M$2001,"="&amp;S750)+SUMIFS(Transaksi!$I$2:$I$2001,Transaksi!$M$2:$M$2001,"="&amp;S750),IF(J750="E",IF(INDEX(Transaksi!$G$2:$G$2001,K750)+INDEX(Transaksi!$H$2:$H$2001,K750)+INDEX(Transaksi!$I$2:$I$2001,K750)=0,"",INDEX(Transaksi!$G$2:$G$2001,K750)+INDEX(Transaksi!$H$2:$H$2001,K750)+INDEX(Transaksi!$I$2:$I$2001,K750)),""))</f>
        <v/>
      </c>
      <c r="F750" s="33">
        <f>IF(J750="H",SUMIFS(Transaksi!$J$2:$J$2001,Transaksi!$M$2:$M$2001,"="&amp;S750),IF(J750="E",IF(INDEX(Transaksi!$J$2:$J$2001,K750)=0,"",INDEX(Transaksi!$J$2:$J$2001,K750)),""))</f>
        <v/>
      </c>
      <c r="G750" s="33">
        <f>IF(J750="H",(SUMIFS(Transaksi!$G$2:$G$2001,Transaksi!$M$2:$M$2001,"&lt;="&amp;S750)+SUMIFS(Transaksi!$H$2:$H$2001,Transaksi!$M$2:$M$2001,"&lt;="&amp;S750)+SUMIFS(Transaksi!$I$2:$I$2001,Transaksi!$M$2:$M$2001,"&lt;="&amp;S750))-(SUMIFS(Transaksi!$J$2:$J$2001,Transaksi!$M$2:$M$2001,"&lt;="&amp;S750)),"")</f>
        <v/>
      </c>
      <c r="I750">
        <f>IF(747&gt;$O$2,"",MATCH(747,$Q$3:$Q$402,1))</f>
        <v/>
      </c>
      <c r="J750">
        <f>IF(I750="","",IF(747=INDEX($Q$3:$Q$402,I750),"H","E"))</f>
        <v/>
      </c>
      <c r="K750">
        <f>IF(J750&lt;&gt;"E","",MATCH(S750,Transaksi!$M$2:$M$2001,0)+747-INDEX($Q$3:$Q$402,I750)-1)</f>
        <v/>
      </c>
      <c r="S750">
        <f>IF(I750="","",INDEX($O$3:$O$402,I750))</f>
        <v/>
      </c>
      <c r="T750">
        <f>IF(J750&lt;&gt;"H","",INDEX(Transaksi!$A$2:$A$2001,MATCH(S750,Transaksi!$M$2:$M$2001,0)))</f>
        <v/>
      </c>
    </row>
    <row r="751">
      <c r="A751" s="31">
        <f>IF(J751="E",IF(INDEX(Transaksi!$J$2:$J$2001,K751)&gt;0,"↑","↓"),"")</f>
        <v/>
      </c>
      <c r="B751" s="32">
        <f>IF(J751="H",CHOOSE(WEEKDAY(T751,2),"Isnin","Selasa","Rabu","Khamis","Jumaat","Sabtu","Ahad")&amp;", "&amp;DAY(T751)&amp;" "&amp;CHOOSE(MONTH(T751),"Jan","Feb","Mac","Apr","Mei","Jun","Jul","Ogo","Sep","Okt","Nov","Dis")&amp;" "&amp;YEAR(T751),IF(J751="E",IF(INDEX(Transaksi!$B$2:$B$2001,K751)="",INDEX(Transaksi!$C$2:$C$2001,K751)&amp;" · "&amp;INDEX(Transaksi!$D$2:$D$2001,K751),INDEX(Transaksi!$B$2:$B$2001,K751)),""))</f>
        <v/>
      </c>
      <c r="C751" s="32">
        <f>IF(J751="E",INDEX(Transaksi!$C$2:$C$2001,K751)&amp;"","")</f>
        <v/>
      </c>
      <c r="D751" s="32">
        <f>IF(J751="E",INDEX(Transaksi!$D$2:$D$2001,K751)&amp;"","")</f>
        <v/>
      </c>
      <c r="E751" s="33">
        <f>IF(J751="H",SUMIFS(Transaksi!$G$2:$G$2001,Transaksi!$M$2:$M$2001,"="&amp;S751)+SUMIFS(Transaksi!$H$2:$H$2001,Transaksi!$M$2:$M$2001,"="&amp;S751)+SUMIFS(Transaksi!$I$2:$I$2001,Transaksi!$M$2:$M$2001,"="&amp;S751),IF(J751="E",IF(INDEX(Transaksi!$G$2:$G$2001,K751)+INDEX(Transaksi!$H$2:$H$2001,K751)+INDEX(Transaksi!$I$2:$I$2001,K751)=0,"",INDEX(Transaksi!$G$2:$G$2001,K751)+INDEX(Transaksi!$H$2:$H$2001,K751)+INDEX(Transaksi!$I$2:$I$2001,K751)),""))</f>
        <v/>
      </c>
      <c r="F751" s="33">
        <f>IF(J751="H",SUMIFS(Transaksi!$J$2:$J$2001,Transaksi!$M$2:$M$2001,"="&amp;S751),IF(J751="E",IF(INDEX(Transaksi!$J$2:$J$2001,K751)=0,"",INDEX(Transaksi!$J$2:$J$2001,K751)),""))</f>
        <v/>
      </c>
      <c r="G751" s="33">
        <f>IF(J751="H",(SUMIFS(Transaksi!$G$2:$G$2001,Transaksi!$M$2:$M$2001,"&lt;="&amp;S751)+SUMIFS(Transaksi!$H$2:$H$2001,Transaksi!$M$2:$M$2001,"&lt;="&amp;S751)+SUMIFS(Transaksi!$I$2:$I$2001,Transaksi!$M$2:$M$2001,"&lt;="&amp;S751))-(SUMIFS(Transaksi!$J$2:$J$2001,Transaksi!$M$2:$M$2001,"&lt;="&amp;S751)),"")</f>
        <v/>
      </c>
      <c r="I751">
        <f>IF(748&gt;$O$2,"",MATCH(748,$Q$3:$Q$402,1))</f>
        <v/>
      </c>
      <c r="J751">
        <f>IF(I751="","",IF(748=INDEX($Q$3:$Q$402,I751),"H","E"))</f>
        <v/>
      </c>
      <c r="K751">
        <f>IF(J751&lt;&gt;"E","",MATCH(S751,Transaksi!$M$2:$M$2001,0)+748-INDEX($Q$3:$Q$402,I751)-1)</f>
        <v/>
      </c>
      <c r="S751">
        <f>IF(I751="","",INDEX($O$3:$O$402,I751))</f>
        <v/>
      </c>
      <c r="T751">
        <f>IF(J751&lt;&gt;"H","",INDEX(Transaksi!$A$2:$A$2001,MATCH(S751,Transaksi!$M$2:$M$2001,0)))</f>
        <v/>
      </c>
    </row>
    <row r="752">
      <c r="A752" s="31">
        <f>IF(J752="E",IF(INDEX(Transaksi!$J$2:$J$2001,K752)&gt;0,"↑","↓"),"")</f>
        <v/>
      </c>
      <c r="B752" s="32">
        <f>IF(J752="H",CHOOSE(WEEKDAY(T752,2),"Isnin","Selasa","Rabu","Khamis","Jumaat","Sabtu","Ahad")&amp;", "&amp;DAY(T752)&amp;" "&amp;CHOOSE(MONTH(T752),"Jan","Feb","Mac","Apr","Mei","Jun","Jul","Ogo","Sep","Okt","Nov","Dis")&amp;" "&amp;YEAR(T752),IF(J752="E",IF(INDEX(Transaksi!$B$2:$B$2001,K752)="",INDEX(Transaksi!$C$2:$C$2001,K752)&amp;" · "&amp;INDEX(Transaksi!$D$2:$D$2001,K752),INDEX(Transaksi!$B$2:$B$2001,K752)),""))</f>
        <v/>
      </c>
      <c r="C752" s="32">
        <f>IF(J752="E",INDEX(Transaksi!$C$2:$C$2001,K752)&amp;"","")</f>
        <v/>
      </c>
      <c r="D752" s="32">
        <f>IF(J752="E",INDEX(Transaksi!$D$2:$D$2001,K752)&amp;"","")</f>
        <v/>
      </c>
      <c r="E752" s="33">
        <f>IF(J752="H",SUMIFS(Transaksi!$G$2:$G$2001,Transaksi!$M$2:$M$2001,"="&amp;S752)+SUMIFS(Transaksi!$H$2:$H$2001,Transaksi!$M$2:$M$2001,"="&amp;S752)+SUMIFS(Transaksi!$I$2:$I$2001,Transaksi!$M$2:$M$2001,"="&amp;S752),IF(J752="E",IF(INDEX(Transaksi!$G$2:$G$2001,K752)+INDEX(Transaksi!$H$2:$H$2001,K752)+INDEX(Transaksi!$I$2:$I$2001,K752)=0,"",INDEX(Transaksi!$G$2:$G$2001,K752)+INDEX(Transaksi!$H$2:$H$2001,K752)+INDEX(Transaksi!$I$2:$I$2001,K752)),""))</f>
        <v/>
      </c>
      <c r="F752" s="33">
        <f>IF(J752="H",SUMIFS(Transaksi!$J$2:$J$2001,Transaksi!$M$2:$M$2001,"="&amp;S752),IF(J752="E",IF(INDEX(Transaksi!$J$2:$J$2001,K752)=0,"",INDEX(Transaksi!$J$2:$J$2001,K752)),""))</f>
        <v/>
      </c>
      <c r="G752" s="33">
        <f>IF(J752="H",(SUMIFS(Transaksi!$G$2:$G$2001,Transaksi!$M$2:$M$2001,"&lt;="&amp;S752)+SUMIFS(Transaksi!$H$2:$H$2001,Transaksi!$M$2:$M$2001,"&lt;="&amp;S752)+SUMIFS(Transaksi!$I$2:$I$2001,Transaksi!$M$2:$M$2001,"&lt;="&amp;S752))-(SUMIFS(Transaksi!$J$2:$J$2001,Transaksi!$M$2:$M$2001,"&lt;="&amp;S752)),"")</f>
        <v/>
      </c>
      <c r="I752">
        <f>IF(749&gt;$O$2,"",MATCH(749,$Q$3:$Q$402,1))</f>
        <v/>
      </c>
      <c r="J752">
        <f>IF(I752="","",IF(749=INDEX($Q$3:$Q$402,I752),"H","E"))</f>
        <v/>
      </c>
      <c r="K752">
        <f>IF(J752&lt;&gt;"E","",MATCH(S752,Transaksi!$M$2:$M$2001,0)+749-INDEX($Q$3:$Q$402,I752)-1)</f>
        <v/>
      </c>
      <c r="S752">
        <f>IF(I752="","",INDEX($O$3:$O$402,I752))</f>
        <v/>
      </c>
      <c r="T752">
        <f>IF(J752&lt;&gt;"H","",INDEX(Transaksi!$A$2:$A$2001,MATCH(S752,Transaksi!$M$2:$M$2001,0)))</f>
        <v/>
      </c>
    </row>
    <row r="753">
      <c r="A753" s="31">
        <f>IF(J753="E",IF(INDEX(Transaksi!$J$2:$J$2001,K753)&gt;0,"↑","↓"),"")</f>
        <v/>
      </c>
      <c r="B753" s="32">
        <f>IF(J753="H",CHOOSE(WEEKDAY(T753,2),"Isnin","Selasa","Rabu","Khamis","Jumaat","Sabtu","Ahad")&amp;", "&amp;DAY(T753)&amp;" "&amp;CHOOSE(MONTH(T753),"Jan","Feb","Mac","Apr","Mei","Jun","Jul","Ogo","Sep","Okt","Nov","Dis")&amp;" "&amp;YEAR(T753),IF(J753="E",IF(INDEX(Transaksi!$B$2:$B$2001,K753)="",INDEX(Transaksi!$C$2:$C$2001,K753)&amp;" · "&amp;INDEX(Transaksi!$D$2:$D$2001,K753),INDEX(Transaksi!$B$2:$B$2001,K753)),""))</f>
        <v/>
      </c>
      <c r="C753" s="32">
        <f>IF(J753="E",INDEX(Transaksi!$C$2:$C$2001,K753)&amp;"","")</f>
        <v/>
      </c>
      <c r="D753" s="32">
        <f>IF(J753="E",INDEX(Transaksi!$D$2:$D$2001,K753)&amp;"","")</f>
        <v/>
      </c>
      <c r="E753" s="33">
        <f>IF(J753="H",SUMIFS(Transaksi!$G$2:$G$2001,Transaksi!$M$2:$M$2001,"="&amp;S753)+SUMIFS(Transaksi!$H$2:$H$2001,Transaksi!$M$2:$M$2001,"="&amp;S753)+SUMIFS(Transaksi!$I$2:$I$2001,Transaksi!$M$2:$M$2001,"="&amp;S753),IF(J753="E",IF(INDEX(Transaksi!$G$2:$G$2001,K753)+INDEX(Transaksi!$H$2:$H$2001,K753)+INDEX(Transaksi!$I$2:$I$2001,K753)=0,"",INDEX(Transaksi!$G$2:$G$2001,K753)+INDEX(Transaksi!$H$2:$H$2001,K753)+INDEX(Transaksi!$I$2:$I$2001,K753)),""))</f>
        <v/>
      </c>
      <c r="F753" s="33">
        <f>IF(J753="H",SUMIFS(Transaksi!$J$2:$J$2001,Transaksi!$M$2:$M$2001,"="&amp;S753),IF(J753="E",IF(INDEX(Transaksi!$J$2:$J$2001,K753)=0,"",INDEX(Transaksi!$J$2:$J$2001,K753)),""))</f>
        <v/>
      </c>
      <c r="G753" s="33">
        <f>IF(J753="H",(SUMIFS(Transaksi!$G$2:$G$2001,Transaksi!$M$2:$M$2001,"&lt;="&amp;S753)+SUMIFS(Transaksi!$H$2:$H$2001,Transaksi!$M$2:$M$2001,"&lt;="&amp;S753)+SUMIFS(Transaksi!$I$2:$I$2001,Transaksi!$M$2:$M$2001,"&lt;="&amp;S753))-(SUMIFS(Transaksi!$J$2:$J$2001,Transaksi!$M$2:$M$2001,"&lt;="&amp;S753)),"")</f>
        <v/>
      </c>
      <c r="I753">
        <f>IF(750&gt;$O$2,"",MATCH(750,$Q$3:$Q$402,1))</f>
        <v/>
      </c>
      <c r="J753">
        <f>IF(I753="","",IF(750=INDEX($Q$3:$Q$402,I753),"H","E"))</f>
        <v/>
      </c>
      <c r="K753">
        <f>IF(J753&lt;&gt;"E","",MATCH(S753,Transaksi!$M$2:$M$2001,0)+750-INDEX($Q$3:$Q$402,I753)-1)</f>
        <v/>
      </c>
      <c r="S753">
        <f>IF(I753="","",INDEX($O$3:$O$402,I753))</f>
        <v/>
      </c>
      <c r="T753">
        <f>IF(J753&lt;&gt;"H","",INDEX(Transaksi!$A$2:$A$2001,MATCH(S753,Transaksi!$M$2:$M$2001,0)))</f>
        <v/>
      </c>
    </row>
    <row r="754">
      <c r="A754" s="31">
        <f>IF(J754="E",IF(INDEX(Transaksi!$J$2:$J$2001,K754)&gt;0,"↑","↓"),"")</f>
        <v/>
      </c>
      <c r="B754" s="32">
        <f>IF(J754="H",CHOOSE(WEEKDAY(T754,2),"Isnin","Selasa","Rabu","Khamis","Jumaat","Sabtu","Ahad")&amp;", "&amp;DAY(T754)&amp;" "&amp;CHOOSE(MONTH(T754),"Jan","Feb","Mac","Apr","Mei","Jun","Jul","Ogo","Sep","Okt","Nov","Dis")&amp;" "&amp;YEAR(T754),IF(J754="E",IF(INDEX(Transaksi!$B$2:$B$2001,K754)="",INDEX(Transaksi!$C$2:$C$2001,K754)&amp;" · "&amp;INDEX(Transaksi!$D$2:$D$2001,K754),INDEX(Transaksi!$B$2:$B$2001,K754)),""))</f>
        <v/>
      </c>
      <c r="C754" s="32">
        <f>IF(J754="E",INDEX(Transaksi!$C$2:$C$2001,K754)&amp;"","")</f>
        <v/>
      </c>
      <c r="D754" s="32">
        <f>IF(J754="E",INDEX(Transaksi!$D$2:$D$2001,K754)&amp;"","")</f>
        <v/>
      </c>
      <c r="E754" s="33">
        <f>IF(J754="H",SUMIFS(Transaksi!$G$2:$G$2001,Transaksi!$M$2:$M$2001,"="&amp;S754)+SUMIFS(Transaksi!$H$2:$H$2001,Transaksi!$M$2:$M$2001,"="&amp;S754)+SUMIFS(Transaksi!$I$2:$I$2001,Transaksi!$M$2:$M$2001,"="&amp;S754),IF(J754="E",IF(INDEX(Transaksi!$G$2:$G$2001,K754)+INDEX(Transaksi!$H$2:$H$2001,K754)+INDEX(Transaksi!$I$2:$I$2001,K754)=0,"",INDEX(Transaksi!$G$2:$G$2001,K754)+INDEX(Transaksi!$H$2:$H$2001,K754)+INDEX(Transaksi!$I$2:$I$2001,K754)),""))</f>
        <v/>
      </c>
      <c r="F754" s="33">
        <f>IF(J754="H",SUMIFS(Transaksi!$J$2:$J$2001,Transaksi!$M$2:$M$2001,"="&amp;S754),IF(J754="E",IF(INDEX(Transaksi!$J$2:$J$2001,K754)=0,"",INDEX(Transaksi!$J$2:$J$2001,K754)),""))</f>
        <v/>
      </c>
      <c r="G754" s="33">
        <f>IF(J754="H",(SUMIFS(Transaksi!$G$2:$G$2001,Transaksi!$M$2:$M$2001,"&lt;="&amp;S754)+SUMIFS(Transaksi!$H$2:$H$2001,Transaksi!$M$2:$M$2001,"&lt;="&amp;S754)+SUMIFS(Transaksi!$I$2:$I$2001,Transaksi!$M$2:$M$2001,"&lt;="&amp;S754))-(SUMIFS(Transaksi!$J$2:$J$2001,Transaksi!$M$2:$M$2001,"&lt;="&amp;S754)),"")</f>
        <v/>
      </c>
      <c r="I754">
        <f>IF(751&gt;$O$2,"",MATCH(751,$Q$3:$Q$402,1))</f>
        <v/>
      </c>
      <c r="J754">
        <f>IF(I754="","",IF(751=INDEX($Q$3:$Q$402,I754),"H","E"))</f>
        <v/>
      </c>
      <c r="K754">
        <f>IF(J754&lt;&gt;"E","",MATCH(S754,Transaksi!$M$2:$M$2001,0)+751-INDEX($Q$3:$Q$402,I754)-1)</f>
        <v/>
      </c>
      <c r="S754">
        <f>IF(I754="","",INDEX($O$3:$O$402,I754))</f>
        <v/>
      </c>
      <c r="T754">
        <f>IF(J754&lt;&gt;"H","",INDEX(Transaksi!$A$2:$A$2001,MATCH(S754,Transaksi!$M$2:$M$2001,0)))</f>
        <v/>
      </c>
    </row>
    <row r="755">
      <c r="A755" s="31">
        <f>IF(J755="E",IF(INDEX(Transaksi!$J$2:$J$2001,K755)&gt;0,"↑","↓"),"")</f>
        <v/>
      </c>
      <c r="B755" s="32">
        <f>IF(J755="H",CHOOSE(WEEKDAY(T755,2),"Isnin","Selasa","Rabu","Khamis","Jumaat","Sabtu","Ahad")&amp;", "&amp;DAY(T755)&amp;" "&amp;CHOOSE(MONTH(T755),"Jan","Feb","Mac","Apr","Mei","Jun","Jul","Ogo","Sep","Okt","Nov","Dis")&amp;" "&amp;YEAR(T755),IF(J755="E",IF(INDEX(Transaksi!$B$2:$B$2001,K755)="",INDEX(Transaksi!$C$2:$C$2001,K755)&amp;" · "&amp;INDEX(Transaksi!$D$2:$D$2001,K755),INDEX(Transaksi!$B$2:$B$2001,K755)),""))</f>
        <v/>
      </c>
      <c r="C755" s="32">
        <f>IF(J755="E",INDEX(Transaksi!$C$2:$C$2001,K755)&amp;"","")</f>
        <v/>
      </c>
      <c r="D755" s="32">
        <f>IF(J755="E",INDEX(Transaksi!$D$2:$D$2001,K755)&amp;"","")</f>
        <v/>
      </c>
      <c r="E755" s="33">
        <f>IF(J755="H",SUMIFS(Transaksi!$G$2:$G$2001,Transaksi!$M$2:$M$2001,"="&amp;S755)+SUMIFS(Transaksi!$H$2:$H$2001,Transaksi!$M$2:$M$2001,"="&amp;S755)+SUMIFS(Transaksi!$I$2:$I$2001,Transaksi!$M$2:$M$2001,"="&amp;S755),IF(J755="E",IF(INDEX(Transaksi!$G$2:$G$2001,K755)+INDEX(Transaksi!$H$2:$H$2001,K755)+INDEX(Transaksi!$I$2:$I$2001,K755)=0,"",INDEX(Transaksi!$G$2:$G$2001,K755)+INDEX(Transaksi!$H$2:$H$2001,K755)+INDEX(Transaksi!$I$2:$I$2001,K755)),""))</f>
        <v/>
      </c>
      <c r="F755" s="33">
        <f>IF(J755="H",SUMIFS(Transaksi!$J$2:$J$2001,Transaksi!$M$2:$M$2001,"="&amp;S755),IF(J755="E",IF(INDEX(Transaksi!$J$2:$J$2001,K755)=0,"",INDEX(Transaksi!$J$2:$J$2001,K755)),""))</f>
        <v/>
      </c>
      <c r="G755" s="33">
        <f>IF(J755="H",(SUMIFS(Transaksi!$G$2:$G$2001,Transaksi!$M$2:$M$2001,"&lt;="&amp;S755)+SUMIFS(Transaksi!$H$2:$H$2001,Transaksi!$M$2:$M$2001,"&lt;="&amp;S755)+SUMIFS(Transaksi!$I$2:$I$2001,Transaksi!$M$2:$M$2001,"&lt;="&amp;S755))-(SUMIFS(Transaksi!$J$2:$J$2001,Transaksi!$M$2:$M$2001,"&lt;="&amp;S755)),"")</f>
        <v/>
      </c>
      <c r="I755">
        <f>IF(752&gt;$O$2,"",MATCH(752,$Q$3:$Q$402,1))</f>
        <v/>
      </c>
      <c r="J755">
        <f>IF(I755="","",IF(752=INDEX($Q$3:$Q$402,I755),"H","E"))</f>
        <v/>
      </c>
      <c r="K755">
        <f>IF(J755&lt;&gt;"E","",MATCH(S755,Transaksi!$M$2:$M$2001,0)+752-INDEX($Q$3:$Q$402,I755)-1)</f>
        <v/>
      </c>
      <c r="S755">
        <f>IF(I755="","",INDEX($O$3:$O$402,I755))</f>
        <v/>
      </c>
      <c r="T755">
        <f>IF(J755&lt;&gt;"H","",INDEX(Transaksi!$A$2:$A$2001,MATCH(S755,Transaksi!$M$2:$M$2001,0)))</f>
        <v/>
      </c>
    </row>
    <row r="756">
      <c r="A756" s="31">
        <f>IF(J756="E",IF(INDEX(Transaksi!$J$2:$J$2001,K756)&gt;0,"↑","↓"),"")</f>
        <v/>
      </c>
      <c r="B756" s="32">
        <f>IF(J756="H",CHOOSE(WEEKDAY(T756,2),"Isnin","Selasa","Rabu","Khamis","Jumaat","Sabtu","Ahad")&amp;", "&amp;DAY(T756)&amp;" "&amp;CHOOSE(MONTH(T756),"Jan","Feb","Mac","Apr","Mei","Jun","Jul","Ogo","Sep","Okt","Nov","Dis")&amp;" "&amp;YEAR(T756),IF(J756="E",IF(INDEX(Transaksi!$B$2:$B$2001,K756)="",INDEX(Transaksi!$C$2:$C$2001,K756)&amp;" · "&amp;INDEX(Transaksi!$D$2:$D$2001,K756),INDEX(Transaksi!$B$2:$B$2001,K756)),""))</f>
        <v/>
      </c>
      <c r="C756" s="32">
        <f>IF(J756="E",INDEX(Transaksi!$C$2:$C$2001,K756)&amp;"","")</f>
        <v/>
      </c>
      <c r="D756" s="32">
        <f>IF(J756="E",INDEX(Transaksi!$D$2:$D$2001,K756)&amp;"","")</f>
        <v/>
      </c>
      <c r="E756" s="33">
        <f>IF(J756="H",SUMIFS(Transaksi!$G$2:$G$2001,Transaksi!$M$2:$M$2001,"="&amp;S756)+SUMIFS(Transaksi!$H$2:$H$2001,Transaksi!$M$2:$M$2001,"="&amp;S756)+SUMIFS(Transaksi!$I$2:$I$2001,Transaksi!$M$2:$M$2001,"="&amp;S756),IF(J756="E",IF(INDEX(Transaksi!$G$2:$G$2001,K756)+INDEX(Transaksi!$H$2:$H$2001,K756)+INDEX(Transaksi!$I$2:$I$2001,K756)=0,"",INDEX(Transaksi!$G$2:$G$2001,K756)+INDEX(Transaksi!$H$2:$H$2001,K756)+INDEX(Transaksi!$I$2:$I$2001,K756)),""))</f>
        <v/>
      </c>
      <c r="F756" s="33">
        <f>IF(J756="H",SUMIFS(Transaksi!$J$2:$J$2001,Transaksi!$M$2:$M$2001,"="&amp;S756),IF(J756="E",IF(INDEX(Transaksi!$J$2:$J$2001,K756)=0,"",INDEX(Transaksi!$J$2:$J$2001,K756)),""))</f>
        <v/>
      </c>
      <c r="G756" s="33">
        <f>IF(J756="H",(SUMIFS(Transaksi!$G$2:$G$2001,Transaksi!$M$2:$M$2001,"&lt;="&amp;S756)+SUMIFS(Transaksi!$H$2:$H$2001,Transaksi!$M$2:$M$2001,"&lt;="&amp;S756)+SUMIFS(Transaksi!$I$2:$I$2001,Transaksi!$M$2:$M$2001,"&lt;="&amp;S756))-(SUMIFS(Transaksi!$J$2:$J$2001,Transaksi!$M$2:$M$2001,"&lt;="&amp;S756)),"")</f>
        <v/>
      </c>
      <c r="I756">
        <f>IF(753&gt;$O$2,"",MATCH(753,$Q$3:$Q$402,1))</f>
        <v/>
      </c>
      <c r="J756">
        <f>IF(I756="","",IF(753=INDEX($Q$3:$Q$402,I756),"H","E"))</f>
        <v/>
      </c>
      <c r="K756">
        <f>IF(J756&lt;&gt;"E","",MATCH(S756,Transaksi!$M$2:$M$2001,0)+753-INDEX($Q$3:$Q$402,I756)-1)</f>
        <v/>
      </c>
      <c r="S756">
        <f>IF(I756="","",INDEX($O$3:$O$402,I756))</f>
        <v/>
      </c>
      <c r="T756">
        <f>IF(J756&lt;&gt;"H","",INDEX(Transaksi!$A$2:$A$2001,MATCH(S756,Transaksi!$M$2:$M$2001,0)))</f>
        <v/>
      </c>
    </row>
    <row r="757">
      <c r="A757" s="31">
        <f>IF(J757="E",IF(INDEX(Transaksi!$J$2:$J$2001,K757)&gt;0,"↑","↓"),"")</f>
        <v/>
      </c>
      <c r="B757" s="32">
        <f>IF(J757="H",CHOOSE(WEEKDAY(T757,2),"Isnin","Selasa","Rabu","Khamis","Jumaat","Sabtu","Ahad")&amp;", "&amp;DAY(T757)&amp;" "&amp;CHOOSE(MONTH(T757),"Jan","Feb","Mac","Apr","Mei","Jun","Jul","Ogo","Sep","Okt","Nov","Dis")&amp;" "&amp;YEAR(T757),IF(J757="E",IF(INDEX(Transaksi!$B$2:$B$2001,K757)="",INDEX(Transaksi!$C$2:$C$2001,K757)&amp;" · "&amp;INDEX(Transaksi!$D$2:$D$2001,K757),INDEX(Transaksi!$B$2:$B$2001,K757)),""))</f>
        <v/>
      </c>
      <c r="C757" s="32">
        <f>IF(J757="E",INDEX(Transaksi!$C$2:$C$2001,K757)&amp;"","")</f>
        <v/>
      </c>
      <c r="D757" s="32">
        <f>IF(J757="E",INDEX(Transaksi!$D$2:$D$2001,K757)&amp;"","")</f>
        <v/>
      </c>
      <c r="E757" s="33">
        <f>IF(J757="H",SUMIFS(Transaksi!$G$2:$G$2001,Transaksi!$M$2:$M$2001,"="&amp;S757)+SUMIFS(Transaksi!$H$2:$H$2001,Transaksi!$M$2:$M$2001,"="&amp;S757)+SUMIFS(Transaksi!$I$2:$I$2001,Transaksi!$M$2:$M$2001,"="&amp;S757),IF(J757="E",IF(INDEX(Transaksi!$G$2:$G$2001,K757)+INDEX(Transaksi!$H$2:$H$2001,K757)+INDEX(Transaksi!$I$2:$I$2001,K757)=0,"",INDEX(Transaksi!$G$2:$G$2001,K757)+INDEX(Transaksi!$H$2:$H$2001,K757)+INDEX(Transaksi!$I$2:$I$2001,K757)),""))</f>
        <v/>
      </c>
      <c r="F757" s="33">
        <f>IF(J757="H",SUMIFS(Transaksi!$J$2:$J$2001,Transaksi!$M$2:$M$2001,"="&amp;S757),IF(J757="E",IF(INDEX(Transaksi!$J$2:$J$2001,K757)=0,"",INDEX(Transaksi!$J$2:$J$2001,K757)),""))</f>
        <v/>
      </c>
      <c r="G757" s="33">
        <f>IF(J757="H",(SUMIFS(Transaksi!$G$2:$G$2001,Transaksi!$M$2:$M$2001,"&lt;="&amp;S757)+SUMIFS(Transaksi!$H$2:$H$2001,Transaksi!$M$2:$M$2001,"&lt;="&amp;S757)+SUMIFS(Transaksi!$I$2:$I$2001,Transaksi!$M$2:$M$2001,"&lt;="&amp;S757))-(SUMIFS(Transaksi!$J$2:$J$2001,Transaksi!$M$2:$M$2001,"&lt;="&amp;S757)),"")</f>
        <v/>
      </c>
      <c r="I757">
        <f>IF(754&gt;$O$2,"",MATCH(754,$Q$3:$Q$402,1))</f>
        <v/>
      </c>
      <c r="J757">
        <f>IF(I757="","",IF(754=INDEX($Q$3:$Q$402,I757),"H","E"))</f>
        <v/>
      </c>
      <c r="K757">
        <f>IF(J757&lt;&gt;"E","",MATCH(S757,Transaksi!$M$2:$M$2001,0)+754-INDEX($Q$3:$Q$402,I757)-1)</f>
        <v/>
      </c>
      <c r="S757">
        <f>IF(I757="","",INDEX($O$3:$O$402,I757))</f>
        <v/>
      </c>
      <c r="T757">
        <f>IF(J757&lt;&gt;"H","",INDEX(Transaksi!$A$2:$A$2001,MATCH(S757,Transaksi!$M$2:$M$2001,0)))</f>
        <v/>
      </c>
    </row>
    <row r="758">
      <c r="A758" s="31">
        <f>IF(J758="E",IF(INDEX(Transaksi!$J$2:$J$2001,K758)&gt;0,"↑","↓"),"")</f>
        <v/>
      </c>
      <c r="B758" s="32">
        <f>IF(J758="H",CHOOSE(WEEKDAY(T758,2),"Isnin","Selasa","Rabu","Khamis","Jumaat","Sabtu","Ahad")&amp;", "&amp;DAY(T758)&amp;" "&amp;CHOOSE(MONTH(T758),"Jan","Feb","Mac","Apr","Mei","Jun","Jul","Ogo","Sep","Okt","Nov","Dis")&amp;" "&amp;YEAR(T758),IF(J758="E",IF(INDEX(Transaksi!$B$2:$B$2001,K758)="",INDEX(Transaksi!$C$2:$C$2001,K758)&amp;" · "&amp;INDEX(Transaksi!$D$2:$D$2001,K758),INDEX(Transaksi!$B$2:$B$2001,K758)),""))</f>
        <v/>
      </c>
      <c r="C758" s="32">
        <f>IF(J758="E",INDEX(Transaksi!$C$2:$C$2001,K758)&amp;"","")</f>
        <v/>
      </c>
      <c r="D758" s="32">
        <f>IF(J758="E",INDEX(Transaksi!$D$2:$D$2001,K758)&amp;"","")</f>
        <v/>
      </c>
      <c r="E758" s="33">
        <f>IF(J758="H",SUMIFS(Transaksi!$G$2:$G$2001,Transaksi!$M$2:$M$2001,"="&amp;S758)+SUMIFS(Transaksi!$H$2:$H$2001,Transaksi!$M$2:$M$2001,"="&amp;S758)+SUMIFS(Transaksi!$I$2:$I$2001,Transaksi!$M$2:$M$2001,"="&amp;S758),IF(J758="E",IF(INDEX(Transaksi!$G$2:$G$2001,K758)+INDEX(Transaksi!$H$2:$H$2001,K758)+INDEX(Transaksi!$I$2:$I$2001,K758)=0,"",INDEX(Transaksi!$G$2:$G$2001,K758)+INDEX(Transaksi!$H$2:$H$2001,K758)+INDEX(Transaksi!$I$2:$I$2001,K758)),""))</f>
        <v/>
      </c>
      <c r="F758" s="33">
        <f>IF(J758="H",SUMIFS(Transaksi!$J$2:$J$2001,Transaksi!$M$2:$M$2001,"="&amp;S758),IF(J758="E",IF(INDEX(Transaksi!$J$2:$J$2001,K758)=0,"",INDEX(Transaksi!$J$2:$J$2001,K758)),""))</f>
        <v/>
      </c>
      <c r="G758" s="33">
        <f>IF(J758="H",(SUMIFS(Transaksi!$G$2:$G$2001,Transaksi!$M$2:$M$2001,"&lt;="&amp;S758)+SUMIFS(Transaksi!$H$2:$H$2001,Transaksi!$M$2:$M$2001,"&lt;="&amp;S758)+SUMIFS(Transaksi!$I$2:$I$2001,Transaksi!$M$2:$M$2001,"&lt;="&amp;S758))-(SUMIFS(Transaksi!$J$2:$J$2001,Transaksi!$M$2:$M$2001,"&lt;="&amp;S758)),"")</f>
        <v/>
      </c>
      <c r="I758">
        <f>IF(755&gt;$O$2,"",MATCH(755,$Q$3:$Q$402,1))</f>
        <v/>
      </c>
      <c r="J758">
        <f>IF(I758="","",IF(755=INDEX($Q$3:$Q$402,I758),"H","E"))</f>
        <v/>
      </c>
      <c r="K758">
        <f>IF(J758&lt;&gt;"E","",MATCH(S758,Transaksi!$M$2:$M$2001,0)+755-INDEX($Q$3:$Q$402,I758)-1)</f>
        <v/>
      </c>
      <c r="S758">
        <f>IF(I758="","",INDEX($O$3:$O$402,I758))</f>
        <v/>
      </c>
      <c r="T758">
        <f>IF(J758&lt;&gt;"H","",INDEX(Transaksi!$A$2:$A$2001,MATCH(S758,Transaksi!$M$2:$M$2001,0)))</f>
        <v/>
      </c>
    </row>
    <row r="759">
      <c r="A759" s="31">
        <f>IF(J759="E",IF(INDEX(Transaksi!$J$2:$J$2001,K759)&gt;0,"↑","↓"),"")</f>
        <v/>
      </c>
      <c r="B759" s="32">
        <f>IF(J759="H",CHOOSE(WEEKDAY(T759,2),"Isnin","Selasa","Rabu","Khamis","Jumaat","Sabtu","Ahad")&amp;", "&amp;DAY(T759)&amp;" "&amp;CHOOSE(MONTH(T759),"Jan","Feb","Mac","Apr","Mei","Jun","Jul","Ogo","Sep","Okt","Nov","Dis")&amp;" "&amp;YEAR(T759),IF(J759="E",IF(INDEX(Transaksi!$B$2:$B$2001,K759)="",INDEX(Transaksi!$C$2:$C$2001,K759)&amp;" · "&amp;INDEX(Transaksi!$D$2:$D$2001,K759),INDEX(Transaksi!$B$2:$B$2001,K759)),""))</f>
        <v/>
      </c>
      <c r="C759" s="32">
        <f>IF(J759="E",INDEX(Transaksi!$C$2:$C$2001,K759)&amp;"","")</f>
        <v/>
      </c>
      <c r="D759" s="32">
        <f>IF(J759="E",INDEX(Transaksi!$D$2:$D$2001,K759)&amp;"","")</f>
        <v/>
      </c>
      <c r="E759" s="33">
        <f>IF(J759="H",SUMIFS(Transaksi!$G$2:$G$2001,Transaksi!$M$2:$M$2001,"="&amp;S759)+SUMIFS(Transaksi!$H$2:$H$2001,Transaksi!$M$2:$M$2001,"="&amp;S759)+SUMIFS(Transaksi!$I$2:$I$2001,Transaksi!$M$2:$M$2001,"="&amp;S759),IF(J759="E",IF(INDEX(Transaksi!$G$2:$G$2001,K759)+INDEX(Transaksi!$H$2:$H$2001,K759)+INDEX(Transaksi!$I$2:$I$2001,K759)=0,"",INDEX(Transaksi!$G$2:$G$2001,K759)+INDEX(Transaksi!$H$2:$H$2001,K759)+INDEX(Transaksi!$I$2:$I$2001,K759)),""))</f>
        <v/>
      </c>
      <c r="F759" s="33">
        <f>IF(J759="H",SUMIFS(Transaksi!$J$2:$J$2001,Transaksi!$M$2:$M$2001,"="&amp;S759),IF(J759="E",IF(INDEX(Transaksi!$J$2:$J$2001,K759)=0,"",INDEX(Transaksi!$J$2:$J$2001,K759)),""))</f>
        <v/>
      </c>
      <c r="G759" s="33">
        <f>IF(J759="H",(SUMIFS(Transaksi!$G$2:$G$2001,Transaksi!$M$2:$M$2001,"&lt;="&amp;S759)+SUMIFS(Transaksi!$H$2:$H$2001,Transaksi!$M$2:$M$2001,"&lt;="&amp;S759)+SUMIFS(Transaksi!$I$2:$I$2001,Transaksi!$M$2:$M$2001,"&lt;="&amp;S759))-(SUMIFS(Transaksi!$J$2:$J$2001,Transaksi!$M$2:$M$2001,"&lt;="&amp;S759)),"")</f>
        <v/>
      </c>
      <c r="I759">
        <f>IF(756&gt;$O$2,"",MATCH(756,$Q$3:$Q$402,1))</f>
        <v/>
      </c>
      <c r="J759">
        <f>IF(I759="","",IF(756=INDEX($Q$3:$Q$402,I759),"H","E"))</f>
        <v/>
      </c>
      <c r="K759">
        <f>IF(J759&lt;&gt;"E","",MATCH(S759,Transaksi!$M$2:$M$2001,0)+756-INDEX($Q$3:$Q$402,I759)-1)</f>
        <v/>
      </c>
      <c r="S759">
        <f>IF(I759="","",INDEX($O$3:$O$402,I759))</f>
        <v/>
      </c>
      <c r="T759">
        <f>IF(J759&lt;&gt;"H","",INDEX(Transaksi!$A$2:$A$2001,MATCH(S759,Transaksi!$M$2:$M$2001,0)))</f>
        <v/>
      </c>
    </row>
    <row r="760">
      <c r="A760" s="31">
        <f>IF(J760="E",IF(INDEX(Transaksi!$J$2:$J$2001,K760)&gt;0,"↑","↓"),"")</f>
        <v/>
      </c>
      <c r="B760" s="32">
        <f>IF(J760="H",CHOOSE(WEEKDAY(T760,2),"Isnin","Selasa","Rabu","Khamis","Jumaat","Sabtu","Ahad")&amp;", "&amp;DAY(T760)&amp;" "&amp;CHOOSE(MONTH(T760),"Jan","Feb","Mac","Apr","Mei","Jun","Jul","Ogo","Sep","Okt","Nov","Dis")&amp;" "&amp;YEAR(T760),IF(J760="E",IF(INDEX(Transaksi!$B$2:$B$2001,K760)="",INDEX(Transaksi!$C$2:$C$2001,K760)&amp;" · "&amp;INDEX(Transaksi!$D$2:$D$2001,K760),INDEX(Transaksi!$B$2:$B$2001,K760)),""))</f>
        <v/>
      </c>
      <c r="C760" s="32">
        <f>IF(J760="E",INDEX(Transaksi!$C$2:$C$2001,K760)&amp;"","")</f>
        <v/>
      </c>
      <c r="D760" s="32">
        <f>IF(J760="E",INDEX(Transaksi!$D$2:$D$2001,K760)&amp;"","")</f>
        <v/>
      </c>
      <c r="E760" s="33">
        <f>IF(J760="H",SUMIFS(Transaksi!$G$2:$G$2001,Transaksi!$M$2:$M$2001,"="&amp;S760)+SUMIFS(Transaksi!$H$2:$H$2001,Transaksi!$M$2:$M$2001,"="&amp;S760)+SUMIFS(Transaksi!$I$2:$I$2001,Transaksi!$M$2:$M$2001,"="&amp;S760),IF(J760="E",IF(INDEX(Transaksi!$G$2:$G$2001,K760)+INDEX(Transaksi!$H$2:$H$2001,K760)+INDEX(Transaksi!$I$2:$I$2001,K760)=0,"",INDEX(Transaksi!$G$2:$G$2001,K760)+INDEX(Transaksi!$H$2:$H$2001,K760)+INDEX(Transaksi!$I$2:$I$2001,K760)),""))</f>
        <v/>
      </c>
      <c r="F760" s="33">
        <f>IF(J760="H",SUMIFS(Transaksi!$J$2:$J$2001,Transaksi!$M$2:$M$2001,"="&amp;S760),IF(J760="E",IF(INDEX(Transaksi!$J$2:$J$2001,K760)=0,"",INDEX(Transaksi!$J$2:$J$2001,K760)),""))</f>
        <v/>
      </c>
      <c r="G760" s="33">
        <f>IF(J760="H",(SUMIFS(Transaksi!$G$2:$G$2001,Transaksi!$M$2:$M$2001,"&lt;="&amp;S760)+SUMIFS(Transaksi!$H$2:$H$2001,Transaksi!$M$2:$M$2001,"&lt;="&amp;S760)+SUMIFS(Transaksi!$I$2:$I$2001,Transaksi!$M$2:$M$2001,"&lt;="&amp;S760))-(SUMIFS(Transaksi!$J$2:$J$2001,Transaksi!$M$2:$M$2001,"&lt;="&amp;S760)),"")</f>
        <v/>
      </c>
      <c r="I760">
        <f>IF(757&gt;$O$2,"",MATCH(757,$Q$3:$Q$402,1))</f>
        <v/>
      </c>
      <c r="J760">
        <f>IF(I760="","",IF(757=INDEX($Q$3:$Q$402,I760),"H","E"))</f>
        <v/>
      </c>
      <c r="K760">
        <f>IF(J760&lt;&gt;"E","",MATCH(S760,Transaksi!$M$2:$M$2001,0)+757-INDEX($Q$3:$Q$402,I760)-1)</f>
        <v/>
      </c>
      <c r="S760">
        <f>IF(I760="","",INDEX($O$3:$O$402,I760))</f>
        <v/>
      </c>
      <c r="T760">
        <f>IF(J760&lt;&gt;"H","",INDEX(Transaksi!$A$2:$A$2001,MATCH(S760,Transaksi!$M$2:$M$2001,0)))</f>
        <v/>
      </c>
    </row>
    <row r="761">
      <c r="A761" s="31">
        <f>IF(J761="E",IF(INDEX(Transaksi!$J$2:$J$2001,K761)&gt;0,"↑","↓"),"")</f>
        <v/>
      </c>
      <c r="B761" s="32">
        <f>IF(J761="H",CHOOSE(WEEKDAY(T761,2),"Isnin","Selasa","Rabu","Khamis","Jumaat","Sabtu","Ahad")&amp;", "&amp;DAY(T761)&amp;" "&amp;CHOOSE(MONTH(T761),"Jan","Feb","Mac","Apr","Mei","Jun","Jul","Ogo","Sep","Okt","Nov","Dis")&amp;" "&amp;YEAR(T761),IF(J761="E",IF(INDEX(Transaksi!$B$2:$B$2001,K761)="",INDEX(Transaksi!$C$2:$C$2001,K761)&amp;" · "&amp;INDEX(Transaksi!$D$2:$D$2001,K761),INDEX(Transaksi!$B$2:$B$2001,K761)),""))</f>
        <v/>
      </c>
      <c r="C761" s="32">
        <f>IF(J761="E",INDEX(Transaksi!$C$2:$C$2001,K761)&amp;"","")</f>
        <v/>
      </c>
      <c r="D761" s="32">
        <f>IF(J761="E",INDEX(Transaksi!$D$2:$D$2001,K761)&amp;"","")</f>
        <v/>
      </c>
      <c r="E761" s="33">
        <f>IF(J761="H",SUMIFS(Transaksi!$G$2:$G$2001,Transaksi!$M$2:$M$2001,"="&amp;S761)+SUMIFS(Transaksi!$H$2:$H$2001,Transaksi!$M$2:$M$2001,"="&amp;S761)+SUMIFS(Transaksi!$I$2:$I$2001,Transaksi!$M$2:$M$2001,"="&amp;S761),IF(J761="E",IF(INDEX(Transaksi!$G$2:$G$2001,K761)+INDEX(Transaksi!$H$2:$H$2001,K761)+INDEX(Transaksi!$I$2:$I$2001,K761)=0,"",INDEX(Transaksi!$G$2:$G$2001,K761)+INDEX(Transaksi!$H$2:$H$2001,K761)+INDEX(Transaksi!$I$2:$I$2001,K761)),""))</f>
        <v/>
      </c>
      <c r="F761" s="33">
        <f>IF(J761="H",SUMIFS(Transaksi!$J$2:$J$2001,Transaksi!$M$2:$M$2001,"="&amp;S761),IF(J761="E",IF(INDEX(Transaksi!$J$2:$J$2001,K761)=0,"",INDEX(Transaksi!$J$2:$J$2001,K761)),""))</f>
        <v/>
      </c>
      <c r="G761" s="33">
        <f>IF(J761="H",(SUMIFS(Transaksi!$G$2:$G$2001,Transaksi!$M$2:$M$2001,"&lt;="&amp;S761)+SUMIFS(Transaksi!$H$2:$H$2001,Transaksi!$M$2:$M$2001,"&lt;="&amp;S761)+SUMIFS(Transaksi!$I$2:$I$2001,Transaksi!$M$2:$M$2001,"&lt;="&amp;S761))-(SUMIFS(Transaksi!$J$2:$J$2001,Transaksi!$M$2:$M$2001,"&lt;="&amp;S761)),"")</f>
        <v/>
      </c>
      <c r="I761">
        <f>IF(758&gt;$O$2,"",MATCH(758,$Q$3:$Q$402,1))</f>
        <v/>
      </c>
      <c r="J761">
        <f>IF(I761="","",IF(758=INDEX($Q$3:$Q$402,I761),"H","E"))</f>
        <v/>
      </c>
      <c r="K761">
        <f>IF(J761&lt;&gt;"E","",MATCH(S761,Transaksi!$M$2:$M$2001,0)+758-INDEX($Q$3:$Q$402,I761)-1)</f>
        <v/>
      </c>
      <c r="S761">
        <f>IF(I761="","",INDEX($O$3:$O$402,I761))</f>
        <v/>
      </c>
      <c r="T761">
        <f>IF(J761&lt;&gt;"H","",INDEX(Transaksi!$A$2:$A$2001,MATCH(S761,Transaksi!$M$2:$M$2001,0)))</f>
        <v/>
      </c>
    </row>
    <row r="762">
      <c r="A762" s="31">
        <f>IF(J762="E",IF(INDEX(Transaksi!$J$2:$J$2001,K762)&gt;0,"↑","↓"),"")</f>
        <v/>
      </c>
      <c r="B762" s="32">
        <f>IF(J762="H",CHOOSE(WEEKDAY(T762,2),"Isnin","Selasa","Rabu","Khamis","Jumaat","Sabtu","Ahad")&amp;", "&amp;DAY(T762)&amp;" "&amp;CHOOSE(MONTH(T762),"Jan","Feb","Mac","Apr","Mei","Jun","Jul","Ogo","Sep","Okt","Nov","Dis")&amp;" "&amp;YEAR(T762),IF(J762="E",IF(INDEX(Transaksi!$B$2:$B$2001,K762)="",INDEX(Transaksi!$C$2:$C$2001,K762)&amp;" · "&amp;INDEX(Transaksi!$D$2:$D$2001,K762),INDEX(Transaksi!$B$2:$B$2001,K762)),""))</f>
        <v/>
      </c>
      <c r="C762" s="32">
        <f>IF(J762="E",INDEX(Transaksi!$C$2:$C$2001,K762)&amp;"","")</f>
        <v/>
      </c>
      <c r="D762" s="32">
        <f>IF(J762="E",INDEX(Transaksi!$D$2:$D$2001,K762)&amp;"","")</f>
        <v/>
      </c>
      <c r="E762" s="33">
        <f>IF(J762="H",SUMIFS(Transaksi!$G$2:$G$2001,Transaksi!$M$2:$M$2001,"="&amp;S762)+SUMIFS(Transaksi!$H$2:$H$2001,Transaksi!$M$2:$M$2001,"="&amp;S762)+SUMIFS(Transaksi!$I$2:$I$2001,Transaksi!$M$2:$M$2001,"="&amp;S762),IF(J762="E",IF(INDEX(Transaksi!$G$2:$G$2001,K762)+INDEX(Transaksi!$H$2:$H$2001,K762)+INDEX(Transaksi!$I$2:$I$2001,K762)=0,"",INDEX(Transaksi!$G$2:$G$2001,K762)+INDEX(Transaksi!$H$2:$H$2001,K762)+INDEX(Transaksi!$I$2:$I$2001,K762)),""))</f>
        <v/>
      </c>
      <c r="F762" s="33">
        <f>IF(J762="H",SUMIFS(Transaksi!$J$2:$J$2001,Transaksi!$M$2:$M$2001,"="&amp;S762),IF(J762="E",IF(INDEX(Transaksi!$J$2:$J$2001,K762)=0,"",INDEX(Transaksi!$J$2:$J$2001,K762)),""))</f>
        <v/>
      </c>
      <c r="G762" s="33">
        <f>IF(J762="H",(SUMIFS(Transaksi!$G$2:$G$2001,Transaksi!$M$2:$M$2001,"&lt;="&amp;S762)+SUMIFS(Transaksi!$H$2:$H$2001,Transaksi!$M$2:$M$2001,"&lt;="&amp;S762)+SUMIFS(Transaksi!$I$2:$I$2001,Transaksi!$M$2:$M$2001,"&lt;="&amp;S762))-(SUMIFS(Transaksi!$J$2:$J$2001,Transaksi!$M$2:$M$2001,"&lt;="&amp;S762)),"")</f>
        <v/>
      </c>
      <c r="I762">
        <f>IF(759&gt;$O$2,"",MATCH(759,$Q$3:$Q$402,1))</f>
        <v/>
      </c>
      <c r="J762">
        <f>IF(I762="","",IF(759=INDEX($Q$3:$Q$402,I762),"H","E"))</f>
        <v/>
      </c>
      <c r="K762">
        <f>IF(J762&lt;&gt;"E","",MATCH(S762,Transaksi!$M$2:$M$2001,0)+759-INDEX($Q$3:$Q$402,I762)-1)</f>
        <v/>
      </c>
      <c r="S762">
        <f>IF(I762="","",INDEX($O$3:$O$402,I762))</f>
        <v/>
      </c>
      <c r="T762">
        <f>IF(J762&lt;&gt;"H","",INDEX(Transaksi!$A$2:$A$2001,MATCH(S762,Transaksi!$M$2:$M$2001,0)))</f>
        <v/>
      </c>
    </row>
    <row r="763">
      <c r="A763" s="31">
        <f>IF(J763="E",IF(INDEX(Transaksi!$J$2:$J$2001,K763)&gt;0,"↑","↓"),"")</f>
        <v/>
      </c>
      <c r="B763" s="32">
        <f>IF(J763="H",CHOOSE(WEEKDAY(T763,2),"Isnin","Selasa","Rabu","Khamis","Jumaat","Sabtu","Ahad")&amp;", "&amp;DAY(T763)&amp;" "&amp;CHOOSE(MONTH(T763),"Jan","Feb","Mac","Apr","Mei","Jun","Jul","Ogo","Sep","Okt","Nov","Dis")&amp;" "&amp;YEAR(T763),IF(J763="E",IF(INDEX(Transaksi!$B$2:$B$2001,K763)="",INDEX(Transaksi!$C$2:$C$2001,K763)&amp;" · "&amp;INDEX(Transaksi!$D$2:$D$2001,K763),INDEX(Transaksi!$B$2:$B$2001,K763)),""))</f>
        <v/>
      </c>
      <c r="C763" s="32">
        <f>IF(J763="E",INDEX(Transaksi!$C$2:$C$2001,K763)&amp;"","")</f>
        <v/>
      </c>
      <c r="D763" s="32">
        <f>IF(J763="E",INDEX(Transaksi!$D$2:$D$2001,K763)&amp;"","")</f>
        <v/>
      </c>
      <c r="E763" s="33">
        <f>IF(J763="H",SUMIFS(Transaksi!$G$2:$G$2001,Transaksi!$M$2:$M$2001,"="&amp;S763)+SUMIFS(Transaksi!$H$2:$H$2001,Transaksi!$M$2:$M$2001,"="&amp;S763)+SUMIFS(Transaksi!$I$2:$I$2001,Transaksi!$M$2:$M$2001,"="&amp;S763),IF(J763="E",IF(INDEX(Transaksi!$G$2:$G$2001,K763)+INDEX(Transaksi!$H$2:$H$2001,K763)+INDEX(Transaksi!$I$2:$I$2001,K763)=0,"",INDEX(Transaksi!$G$2:$G$2001,K763)+INDEX(Transaksi!$H$2:$H$2001,K763)+INDEX(Transaksi!$I$2:$I$2001,K763)),""))</f>
        <v/>
      </c>
      <c r="F763" s="33">
        <f>IF(J763="H",SUMIFS(Transaksi!$J$2:$J$2001,Transaksi!$M$2:$M$2001,"="&amp;S763),IF(J763="E",IF(INDEX(Transaksi!$J$2:$J$2001,K763)=0,"",INDEX(Transaksi!$J$2:$J$2001,K763)),""))</f>
        <v/>
      </c>
      <c r="G763" s="33">
        <f>IF(J763="H",(SUMIFS(Transaksi!$G$2:$G$2001,Transaksi!$M$2:$M$2001,"&lt;="&amp;S763)+SUMIFS(Transaksi!$H$2:$H$2001,Transaksi!$M$2:$M$2001,"&lt;="&amp;S763)+SUMIFS(Transaksi!$I$2:$I$2001,Transaksi!$M$2:$M$2001,"&lt;="&amp;S763))-(SUMIFS(Transaksi!$J$2:$J$2001,Transaksi!$M$2:$M$2001,"&lt;="&amp;S763)),"")</f>
        <v/>
      </c>
      <c r="I763">
        <f>IF(760&gt;$O$2,"",MATCH(760,$Q$3:$Q$402,1))</f>
        <v/>
      </c>
      <c r="J763">
        <f>IF(I763="","",IF(760=INDEX($Q$3:$Q$402,I763),"H","E"))</f>
        <v/>
      </c>
      <c r="K763">
        <f>IF(J763&lt;&gt;"E","",MATCH(S763,Transaksi!$M$2:$M$2001,0)+760-INDEX($Q$3:$Q$402,I763)-1)</f>
        <v/>
      </c>
      <c r="S763">
        <f>IF(I763="","",INDEX($O$3:$O$402,I763))</f>
        <v/>
      </c>
      <c r="T763">
        <f>IF(J763&lt;&gt;"H","",INDEX(Transaksi!$A$2:$A$2001,MATCH(S763,Transaksi!$M$2:$M$2001,0)))</f>
        <v/>
      </c>
    </row>
    <row r="764">
      <c r="A764" s="31">
        <f>IF(J764="E",IF(INDEX(Transaksi!$J$2:$J$2001,K764)&gt;0,"↑","↓"),"")</f>
        <v/>
      </c>
      <c r="B764" s="32">
        <f>IF(J764="H",CHOOSE(WEEKDAY(T764,2),"Isnin","Selasa","Rabu","Khamis","Jumaat","Sabtu","Ahad")&amp;", "&amp;DAY(T764)&amp;" "&amp;CHOOSE(MONTH(T764),"Jan","Feb","Mac","Apr","Mei","Jun","Jul","Ogo","Sep","Okt","Nov","Dis")&amp;" "&amp;YEAR(T764),IF(J764="E",IF(INDEX(Transaksi!$B$2:$B$2001,K764)="",INDEX(Transaksi!$C$2:$C$2001,K764)&amp;" · "&amp;INDEX(Transaksi!$D$2:$D$2001,K764),INDEX(Transaksi!$B$2:$B$2001,K764)),""))</f>
        <v/>
      </c>
      <c r="C764" s="32">
        <f>IF(J764="E",INDEX(Transaksi!$C$2:$C$2001,K764)&amp;"","")</f>
        <v/>
      </c>
      <c r="D764" s="32">
        <f>IF(J764="E",INDEX(Transaksi!$D$2:$D$2001,K764)&amp;"","")</f>
        <v/>
      </c>
      <c r="E764" s="33">
        <f>IF(J764="H",SUMIFS(Transaksi!$G$2:$G$2001,Transaksi!$M$2:$M$2001,"="&amp;S764)+SUMIFS(Transaksi!$H$2:$H$2001,Transaksi!$M$2:$M$2001,"="&amp;S764)+SUMIFS(Transaksi!$I$2:$I$2001,Transaksi!$M$2:$M$2001,"="&amp;S764),IF(J764="E",IF(INDEX(Transaksi!$G$2:$G$2001,K764)+INDEX(Transaksi!$H$2:$H$2001,K764)+INDEX(Transaksi!$I$2:$I$2001,K764)=0,"",INDEX(Transaksi!$G$2:$G$2001,K764)+INDEX(Transaksi!$H$2:$H$2001,K764)+INDEX(Transaksi!$I$2:$I$2001,K764)),""))</f>
        <v/>
      </c>
      <c r="F764" s="33">
        <f>IF(J764="H",SUMIFS(Transaksi!$J$2:$J$2001,Transaksi!$M$2:$M$2001,"="&amp;S764),IF(J764="E",IF(INDEX(Transaksi!$J$2:$J$2001,K764)=0,"",INDEX(Transaksi!$J$2:$J$2001,K764)),""))</f>
        <v/>
      </c>
      <c r="G764" s="33">
        <f>IF(J764="H",(SUMIFS(Transaksi!$G$2:$G$2001,Transaksi!$M$2:$M$2001,"&lt;="&amp;S764)+SUMIFS(Transaksi!$H$2:$H$2001,Transaksi!$M$2:$M$2001,"&lt;="&amp;S764)+SUMIFS(Transaksi!$I$2:$I$2001,Transaksi!$M$2:$M$2001,"&lt;="&amp;S764))-(SUMIFS(Transaksi!$J$2:$J$2001,Transaksi!$M$2:$M$2001,"&lt;="&amp;S764)),"")</f>
        <v/>
      </c>
      <c r="I764">
        <f>IF(761&gt;$O$2,"",MATCH(761,$Q$3:$Q$402,1))</f>
        <v/>
      </c>
      <c r="J764">
        <f>IF(I764="","",IF(761=INDEX($Q$3:$Q$402,I764),"H","E"))</f>
        <v/>
      </c>
      <c r="K764">
        <f>IF(J764&lt;&gt;"E","",MATCH(S764,Transaksi!$M$2:$M$2001,0)+761-INDEX($Q$3:$Q$402,I764)-1)</f>
        <v/>
      </c>
      <c r="S764">
        <f>IF(I764="","",INDEX($O$3:$O$402,I764))</f>
        <v/>
      </c>
      <c r="T764">
        <f>IF(J764&lt;&gt;"H","",INDEX(Transaksi!$A$2:$A$2001,MATCH(S764,Transaksi!$M$2:$M$2001,0)))</f>
        <v/>
      </c>
    </row>
    <row r="765">
      <c r="A765" s="31">
        <f>IF(J765="E",IF(INDEX(Transaksi!$J$2:$J$2001,K765)&gt;0,"↑","↓"),"")</f>
        <v/>
      </c>
      <c r="B765" s="32">
        <f>IF(J765="H",CHOOSE(WEEKDAY(T765,2),"Isnin","Selasa","Rabu","Khamis","Jumaat","Sabtu","Ahad")&amp;", "&amp;DAY(T765)&amp;" "&amp;CHOOSE(MONTH(T765),"Jan","Feb","Mac","Apr","Mei","Jun","Jul","Ogo","Sep","Okt","Nov","Dis")&amp;" "&amp;YEAR(T765),IF(J765="E",IF(INDEX(Transaksi!$B$2:$B$2001,K765)="",INDEX(Transaksi!$C$2:$C$2001,K765)&amp;" · "&amp;INDEX(Transaksi!$D$2:$D$2001,K765),INDEX(Transaksi!$B$2:$B$2001,K765)),""))</f>
        <v/>
      </c>
      <c r="C765" s="32">
        <f>IF(J765="E",INDEX(Transaksi!$C$2:$C$2001,K765)&amp;"","")</f>
        <v/>
      </c>
      <c r="D765" s="32">
        <f>IF(J765="E",INDEX(Transaksi!$D$2:$D$2001,K765)&amp;"","")</f>
        <v/>
      </c>
      <c r="E765" s="33">
        <f>IF(J765="H",SUMIFS(Transaksi!$G$2:$G$2001,Transaksi!$M$2:$M$2001,"="&amp;S765)+SUMIFS(Transaksi!$H$2:$H$2001,Transaksi!$M$2:$M$2001,"="&amp;S765)+SUMIFS(Transaksi!$I$2:$I$2001,Transaksi!$M$2:$M$2001,"="&amp;S765),IF(J765="E",IF(INDEX(Transaksi!$G$2:$G$2001,K765)+INDEX(Transaksi!$H$2:$H$2001,K765)+INDEX(Transaksi!$I$2:$I$2001,K765)=0,"",INDEX(Transaksi!$G$2:$G$2001,K765)+INDEX(Transaksi!$H$2:$H$2001,K765)+INDEX(Transaksi!$I$2:$I$2001,K765)),""))</f>
        <v/>
      </c>
      <c r="F765" s="33">
        <f>IF(J765="H",SUMIFS(Transaksi!$J$2:$J$2001,Transaksi!$M$2:$M$2001,"="&amp;S765),IF(J765="E",IF(INDEX(Transaksi!$J$2:$J$2001,K765)=0,"",INDEX(Transaksi!$J$2:$J$2001,K765)),""))</f>
        <v/>
      </c>
      <c r="G765" s="33">
        <f>IF(J765="H",(SUMIFS(Transaksi!$G$2:$G$2001,Transaksi!$M$2:$M$2001,"&lt;="&amp;S765)+SUMIFS(Transaksi!$H$2:$H$2001,Transaksi!$M$2:$M$2001,"&lt;="&amp;S765)+SUMIFS(Transaksi!$I$2:$I$2001,Transaksi!$M$2:$M$2001,"&lt;="&amp;S765))-(SUMIFS(Transaksi!$J$2:$J$2001,Transaksi!$M$2:$M$2001,"&lt;="&amp;S765)),"")</f>
        <v/>
      </c>
      <c r="I765">
        <f>IF(762&gt;$O$2,"",MATCH(762,$Q$3:$Q$402,1))</f>
        <v/>
      </c>
      <c r="J765">
        <f>IF(I765="","",IF(762=INDEX($Q$3:$Q$402,I765),"H","E"))</f>
        <v/>
      </c>
      <c r="K765">
        <f>IF(J765&lt;&gt;"E","",MATCH(S765,Transaksi!$M$2:$M$2001,0)+762-INDEX($Q$3:$Q$402,I765)-1)</f>
        <v/>
      </c>
      <c r="S765">
        <f>IF(I765="","",INDEX($O$3:$O$402,I765))</f>
        <v/>
      </c>
      <c r="T765">
        <f>IF(J765&lt;&gt;"H","",INDEX(Transaksi!$A$2:$A$2001,MATCH(S765,Transaksi!$M$2:$M$2001,0)))</f>
        <v/>
      </c>
    </row>
    <row r="766">
      <c r="A766" s="31">
        <f>IF(J766="E",IF(INDEX(Transaksi!$J$2:$J$2001,K766)&gt;0,"↑","↓"),"")</f>
        <v/>
      </c>
      <c r="B766" s="32">
        <f>IF(J766="H",CHOOSE(WEEKDAY(T766,2),"Isnin","Selasa","Rabu","Khamis","Jumaat","Sabtu","Ahad")&amp;", "&amp;DAY(T766)&amp;" "&amp;CHOOSE(MONTH(T766),"Jan","Feb","Mac","Apr","Mei","Jun","Jul","Ogo","Sep","Okt","Nov","Dis")&amp;" "&amp;YEAR(T766),IF(J766="E",IF(INDEX(Transaksi!$B$2:$B$2001,K766)="",INDEX(Transaksi!$C$2:$C$2001,K766)&amp;" · "&amp;INDEX(Transaksi!$D$2:$D$2001,K766),INDEX(Transaksi!$B$2:$B$2001,K766)),""))</f>
        <v/>
      </c>
      <c r="C766" s="32">
        <f>IF(J766="E",INDEX(Transaksi!$C$2:$C$2001,K766)&amp;"","")</f>
        <v/>
      </c>
      <c r="D766" s="32">
        <f>IF(J766="E",INDEX(Transaksi!$D$2:$D$2001,K766)&amp;"","")</f>
        <v/>
      </c>
      <c r="E766" s="33">
        <f>IF(J766="H",SUMIFS(Transaksi!$G$2:$G$2001,Transaksi!$M$2:$M$2001,"="&amp;S766)+SUMIFS(Transaksi!$H$2:$H$2001,Transaksi!$M$2:$M$2001,"="&amp;S766)+SUMIFS(Transaksi!$I$2:$I$2001,Transaksi!$M$2:$M$2001,"="&amp;S766),IF(J766="E",IF(INDEX(Transaksi!$G$2:$G$2001,K766)+INDEX(Transaksi!$H$2:$H$2001,K766)+INDEX(Transaksi!$I$2:$I$2001,K766)=0,"",INDEX(Transaksi!$G$2:$G$2001,K766)+INDEX(Transaksi!$H$2:$H$2001,K766)+INDEX(Transaksi!$I$2:$I$2001,K766)),""))</f>
        <v/>
      </c>
      <c r="F766" s="33">
        <f>IF(J766="H",SUMIFS(Transaksi!$J$2:$J$2001,Transaksi!$M$2:$M$2001,"="&amp;S766),IF(J766="E",IF(INDEX(Transaksi!$J$2:$J$2001,K766)=0,"",INDEX(Transaksi!$J$2:$J$2001,K766)),""))</f>
        <v/>
      </c>
      <c r="G766" s="33">
        <f>IF(J766="H",(SUMIFS(Transaksi!$G$2:$G$2001,Transaksi!$M$2:$M$2001,"&lt;="&amp;S766)+SUMIFS(Transaksi!$H$2:$H$2001,Transaksi!$M$2:$M$2001,"&lt;="&amp;S766)+SUMIFS(Transaksi!$I$2:$I$2001,Transaksi!$M$2:$M$2001,"&lt;="&amp;S766))-(SUMIFS(Transaksi!$J$2:$J$2001,Transaksi!$M$2:$M$2001,"&lt;="&amp;S766)),"")</f>
        <v/>
      </c>
      <c r="I766">
        <f>IF(763&gt;$O$2,"",MATCH(763,$Q$3:$Q$402,1))</f>
        <v/>
      </c>
      <c r="J766">
        <f>IF(I766="","",IF(763=INDEX($Q$3:$Q$402,I766),"H","E"))</f>
        <v/>
      </c>
      <c r="K766">
        <f>IF(J766&lt;&gt;"E","",MATCH(S766,Transaksi!$M$2:$M$2001,0)+763-INDEX($Q$3:$Q$402,I766)-1)</f>
        <v/>
      </c>
      <c r="S766">
        <f>IF(I766="","",INDEX($O$3:$O$402,I766))</f>
        <v/>
      </c>
      <c r="T766">
        <f>IF(J766&lt;&gt;"H","",INDEX(Transaksi!$A$2:$A$2001,MATCH(S766,Transaksi!$M$2:$M$2001,0)))</f>
        <v/>
      </c>
    </row>
    <row r="767">
      <c r="A767" s="31">
        <f>IF(J767="E",IF(INDEX(Transaksi!$J$2:$J$2001,K767)&gt;0,"↑","↓"),"")</f>
        <v/>
      </c>
      <c r="B767" s="32">
        <f>IF(J767="H",CHOOSE(WEEKDAY(T767,2),"Isnin","Selasa","Rabu","Khamis","Jumaat","Sabtu","Ahad")&amp;", "&amp;DAY(T767)&amp;" "&amp;CHOOSE(MONTH(T767),"Jan","Feb","Mac","Apr","Mei","Jun","Jul","Ogo","Sep","Okt","Nov","Dis")&amp;" "&amp;YEAR(T767),IF(J767="E",IF(INDEX(Transaksi!$B$2:$B$2001,K767)="",INDEX(Transaksi!$C$2:$C$2001,K767)&amp;" · "&amp;INDEX(Transaksi!$D$2:$D$2001,K767),INDEX(Transaksi!$B$2:$B$2001,K767)),""))</f>
        <v/>
      </c>
      <c r="C767" s="32">
        <f>IF(J767="E",INDEX(Transaksi!$C$2:$C$2001,K767)&amp;"","")</f>
        <v/>
      </c>
      <c r="D767" s="32">
        <f>IF(J767="E",INDEX(Transaksi!$D$2:$D$2001,K767)&amp;"","")</f>
        <v/>
      </c>
      <c r="E767" s="33">
        <f>IF(J767="H",SUMIFS(Transaksi!$G$2:$G$2001,Transaksi!$M$2:$M$2001,"="&amp;S767)+SUMIFS(Transaksi!$H$2:$H$2001,Transaksi!$M$2:$M$2001,"="&amp;S767)+SUMIFS(Transaksi!$I$2:$I$2001,Transaksi!$M$2:$M$2001,"="&amp;S767),IF(J767="E",IF(INDEX(Transaksi!$G$2:$G$2001,K767)+INDEX(Transaksi!$H$2:$H$2001,K767)+INDEX(Transaksi!$I$2:$I$2001,K767)=0,"",INDEX(Transaksi!$G$2:$G$2001,K767)+INDEX(Transaksi!$H$2:$H$2001,K767)+INDEX(Transaksi!$I$2:$I$2001,K767)),""))</f>
        <v/>
      </c>
      <c r="F767" s="33">
        <f>IF(J767="H",SUMIFS(Transaksi!$J$2:$J$2001,Transaksi!$M$2:$M$2001,"="&amp;S767),IF(J767="E",IF(INDEX(Transaksi!$J$2:$J$2001,K767)=0,"",INDEX(Transaksi!$J$2:$J$2001,K767)),""))</f>
        <v/>
      </c>
      <c r="G767" s="33">
        <f>IF(J767="H",(SUMIFS(Transaksi!$G$2:$G$2001,Transaksi!$M$2:$M$2001,"&lt;="&amp;S767)+SUMIFS(Transaksi!$H$2:$H$2001,Transaksi!$M$2:$M$2001,"&lt;="&amp;S767)+SUMIFS(Transaksi!$I$2:$I$2001,Transaksi!$M$2:$M$2001,"&lt;="&amp;S767))-(SUMIFS(Transaksi!$J$2:$J$2001,Transaksi!$M$2:$M$2001,"&lt;="&amp;S767)),"")</f>
        <v/>
      </c>
      <c r="I767">
        <f>IF(764&gt;$O$2,"",MATCH(764,$Q$3:$Q$402,1))</f>
        <v/>
      </c>
      <c r="J767">
        <f>IF(I767="","",IF(764=INDEX($Q$3:$Q$402,I767),"H","E"))</f>
        <v/>
      </c>
      <c r="K767">
        <f>IF(J767&lt;&gt;"E","",MATCH(S767,Transaksi!$M$2:$M$2001,0)+764-INDEX($Q$3:$Q$402,I767)-1)</f>
        <v/>
      </c>
      <c r="S767">
        <f>IF(I767="","",INDEX($O$3:$O$402,I767))</f>
        <v/>
      </c>
      <c r="T767">
        <f>IF(J767&lt;&gt;"H","",INDEX(Transaksi!$A$2:$A$2001,MATCH(S767,Transaksi!$M$2:$M$2001,0)))</f>
        <v/>
      </c>
    </row>
    <row r="768">
      <c r="A768" s="31">
        <f>IF(J768="E",IF(INDEX(Transaksi!$J$2:$J$2001,K768)&gt;0,"↑","↓"),"")</f>
        <v/>
      </c>
      <c r="B768" s="32">
        <f>IF(J768="H",CHOOSE(WEEKDAY(T768,2),"Isnin","Selasa","Rabu","Khamis","Jumaat","Sabtu","Ahad")&amp;", "&amp;DAY(T768)&amp;" "&amp;CHOOSE(MONTH(T768),"Jan","Feb","Mac","Apr","Mei","Jun","Jul","Ogo","Sep","Okt","Nov","Dis")&amp;" "&amp;YEAR(T768),IF(J768="E",IF(INDEX(Transaksi!$B$2:$B$2001,K768)="",INDEX(Transaksi!$C$2:$C$2001,K768)&amp;" · "&amp;INDEX(Transaksi!$D$2:$D$2001,K768),INDEX(Transaksi!$B$2:$B$2001,K768)),""))</f>
        <v/>
      </c>
      <c r="C768" s="32">
        <f>IF(J768="E",INDEX(Transaksi!$C$2:$C$2001,K768)&amp;"","")</f>
        <v/>
      </c>
      <c r="D768" s="32">
        <f>IF(J768="E",INDEX(Transaksi!$D$2:$D$2001,K768)&amp;"","")</f>
        <v/>
      </c>
      <c r="E768" s="33">
        <f>IF(J768="H",SUMIFS(Transaksi!$G$2:$G$2001,Transaksi!$M$2:$M$2001,"="&amp;S768)+SUMIFS(Transaksi!$H$2:$H$2001,Transaksi!$M$2:$M$2001,"="&amp;S768)+SUMIFS(Transaksi!$I$2:$I$2001,Transaksi!$M$2:$M$2001,"="&amp;S768),IF(J768="E",IF(INDEX(Transaksi!$G$2:$G$2001,K768)+INDEX(Transaksi!$H$2:$H$2001,K768)+INDEX(Transaksi!$I$2:$I$2001,K768)=0,"",INDEX(Transaksi!$G$2:$G$2001,K768)+INDEX(Transaksi!$H$2:$H$2001,K768)+INDEX(Transaksi!$I$2:$I$2001,K768)),""))</f>
        <v/>
      </c>
      <c r="F768" s="33">
        <f>IF(J768="H",SUMIFS(Transaksi!$J$2:$J$2001,Transaksi!$M$2:$M$2001,"="&amp;S768),IF(J768="E",IF(INDEX(Transaksi!$J$2:$J$2001,K768)=0,"",INDEX(Transaksi!$J$2:$J$2001,K768)),""))</f>
        <v/>
      </c>
      <c r="G768" s="33">
        <f>IF(J768="H",(SUMIFS(Transaksi!$G$2:$G$2001,Transaksi!$M$2:$M$2001,"&lt;="&amp;S768)+SUMIFS(Transaksi!$H$2:$H$2001,Transaksi!$M$2:$M$2001,"&lt;="&amp;S768)+SUMIFS(Transaksi!$I$2:$I$2001,Transaksi!$M$2:$M$2001,"&lt;="&amp;S768))-(SUMIFS(Transaksi!$J$2:$J$2001,Transaksi!$M$2:$M$2001,"&lt;="&amp;S768)),"")</f>
        <v/>
      </c>
      <c r="I768">
        <f>IF(765&gt;$O$2,"",MATCH(765,$Q$3:$Q$402,1))</f>
        <v/>
      </c>
      <c r="J768">
        <f>IF(I768="","",IF(765=INDEX($Q$3:$Q$402,I768),"H","E"))</f>
        <v/>
      </c>
      <c r="K768">
        <f>IF(J768&lt;&gt;"E","",MATCH(S768,Transaksi!$M$2:$M$2001,0)+765-INDEX($Q$3:$Q$402,I768)-1)</f>
        <v/>
      </c>
      <c r="S768">
        <f>IF(I768="","",INDEX($O$3:$O$402,I768))</f>
        <v/>
      </c>
      <c r="T768">
        <f>IF(J768&lt;&gt;"H","",INDEX(Transaksi!$A$2:$A$2001,MATCH(S768,Transaksi!$M$2:$M$2001,0)))</f>
        <v/>
      </c>
    </row>
    <row r="769">
      <c r="A769" s="31">
        <f>IF(J769="E",IF(INDEX(Transaksi!$J$2:$J$2001,K769)&gt;0,"↑","↓"),"")</f>
        <v/>
      </c>
      <c r="B769" s="32">
        <f>IF(J769="H",CHOOSE(WEEKDAY(T769,2),"Isnin","Selasa","Rabu","Khamis","Jumaat","Sabtu","Ahad")&amp;", "&amp;DAY(T769)&amp;" "&amp;CHOOSE(MONTH(T769),"Jan","Feb","Mac","Apr","Mei","Jun","Jul","Ogo","Sep","Okt","Nov","Dis")&amp;" "&amp;YEAR(T769),IF(J769="E",IF(INDEX(Transaksi!$B$2:$B$2001,K769)="",INDEX(Transaksi!$C$2:$C$2001,K769)&amp;" · "&amp;INDEX(Transaksi!$D$2:$D$2001,K769),INDEX(Transaksi!$B$2:$B$2001,K769)),""))</f>
        <v/>
      </c>
      <c r="C769" s="32">
        <f>IF(J769="E",INDEX(Transaksi!$C$2:$C$2001,K769)&amp;"","")</f>
        <v/>
      </c>
      <c r="D769" s="32">
        <f>IF(J769="E",INDEX(Transaksi!$D$2:$D$2001,K769)&amp;"","")</f>
        <v/>
      </c>
      <c r="E769" s="33">
        <f>IF(J769="H",SUMIFS(Transaksi!$G$2:$G$2001,Transaksi!$M$2:$M$2001,"="&amp;S769)+SUMIFS(Transaksi!$H$2:$H$2001,Transaksi!$M$2:$M$2001,"="&amp;S769)+SUMIFS(Transaksi!$I$2:$I$2001,Transaksi!$M$2:$M$2001,"="&amp;S769),IF(J769="E",IF(INDEX(Transaksi!$G$2:$G$2001,K769)+INDEX(Transaksi!$H$2:$H$2001,K769)+INDEX(Transaksi!$I$2:$I$2001,K769)=0,"",INDEX(Transaksi!$G$2:$G$2001,K769)+INDEX(Transaksi!$H$2:$H$2001,K769)+INDEX(Transaksi!$I$2:$I$2001,K769)),""))</f>
        <v/>
      </c>
      <c r="F769" s="33">
        <f>IF(J769="H",SUMIFS(Transaksi!$J$2:$J$2001,Transaksi!$M$2:$M$2001,"="&amp;S769),IF(J769="E",IF(INDEX(Transaksi!$J$2:$J$2001,K769)=0,"",INDEX(Transaksi!$J$2:$J$2001,K769)),""))</f>
        <v/>
      </c>
      <c r="G769" s="33">
        <f>IF(J769="H",(SUMIFS(Transaksi!$G$2:$G$2001,Transaksi!$M$2:$M$2001,"&lt;="&amp;S769)+SUMIFS(Transaksi!$H$2:$H$2001,Transaksi!$M$2:$M$2001,"&lt;="&amp;S769)+SUMIFS(Transaksi!$I$2:$I$2001,Transaksi!$M$2:$M$2001,"&lt;="&amp;S769))-(SUMIFS(Transaksi!$J$2:$J$2001,Transaksi!$M$2:$M$2001,"&lt;="&amp;S769)),"")</f>
        <v/>
      </c>
      <c r="I769">
        <f>IF(766&gt;$O$2,"",MATCH(766,$Q$3:$Q$402,1))</f>
        <v/>
      </c>
      <c r="J769">
        <f>IF(I769="","",IF(766=INDEX($Q$3:$Q$402,I769),"H","E"))</f>
        <v/>
      </c>
      <c r="K769">
        <f>IF(J769&lt;&gt;"E","",MATCH(S769,Transaksi!$M$2:$M$2001,0)+766-INDEX($Q$3:$Q$402,I769)-1)</f>
        <v/>
      </c>
      <c r="S769">
        <f>IF(I769="","",INDEX($O$3:$O$402,I769))</f>
        <v/>
      </c>
      <c r="T769">
        <f>IF(J769&lt;&gt;"H","",INDEX(Transaksi!$A$2:$A$2001,MATCH(S769,Transaksi!$M$2:$M$2001,0)))</f>
        <v/>
      </c>
    </row>
    <row r="770">
      <c r="A770" s="31">
        <f>IF(J770="E",IF(INDEX(Transaksi!$J$2:$J$2001,K770)&gt;0,"↑","↓"),"")</f>
        <v/>
      </c>
      <c r="B770" s="32">
        <f>IF(J770="H",CHOOSE(WEEKDAY(T770,2),"Isnin","Selasa","Rabu","Khamis","Jumaat","Sabtu","Ahad")&amp;", "&amp;DAY(T770)&amp;" "&amp;CHOOSE(MONTH(T770),"Jan","Feb","Mac","Apr","Mei","Jun","Jul","Ogo","Sep","Okt","Nov","Dis")&amp;" "&amp;YEAR(T770),IF(J770="E",IF(INDEX(Transaksi!$B$2:$B$2001,K770)="",INDEX(Transaksi!$C$2:$C$2001,K770)&amp;" · "&amp;INDEX(Transaksi!$D$2:$D$2001,K770),INDEX(Transaksi!$B$2:$B$2001,K770)),""))</f>
        <v/>
      </c>
      <c r="C770" s="32">
        <f>IF(J770="E",INDEX(Transaksi!$C$2:$C$2001,K770)&amp;"","")</f>
        <v/>
      </c>
      <c r="D770" s="32">
        <f>IF(J770="E",INDEX(Transaksi!$D$2:$D$2001,K770)&amp;"","")</f>
        <v/>
      </c>
      <c r="E770" s="33">
        <f>IF(J770="H",SUMIFS(Transaksi!$G$2:$G$2001,Transaksi!$M$2:$M$2001,"="&amp;S770)+SUMIFS(Transaksi!$H$2:$H$2001,Transaksi!$M$2:$M$2001,"="&amp;S770)+SUMIFS(Transaksi!$I$2:$I$2001,Transaksi!$M$2:$M$2001,"="&amp;S770),IF(J770="E",IF(INDEX(Transaksi!$G$2:$G$2001,K770)+INDEX(Transaksi!$H$2:$H$2001,K770)+INDEX(Transaksi!$I$2:$I$2001,K770)=0,"",INDEX(Transaksi!$G$2:$G$2001,K770)+INDEX(Transaksi!$H$2:$H$2001,K770)+INDEX(Transaksi!$I$2:$I$2001,K770)),""))</f>
        <v/>
      </c>
      <c r="F770" s="33">
        <f>IF(J770="H",SUMIFS(Transaksi!$J$2:$J$2001,Transaksi!$M$2:$M$2001,"="&amp;S770),IF(J770="E",IF(INDEX(Transaksi!$J$2:$J$2001,K770)=0,"",INDEX(Transaksi!$J$2:$J$2001,K770)),""))</f>
        <v/>
      </c>
      <c r="G770" s="33">
        <f>IF(J770="H",(SUMIFS(Transaksi!$G$2:$G$2001,Transaksi!$M$2:$M$2001,"&lt;="&amp;S770)+SUMIFS(Transaksi!$H$2:$H$2001,Transaksi!$M$2:$M$2001,"&lt;="&amp;S770)+SUMIFS(Transaksi!$I$2:$I$2001,Transaksi!$M$2:$M$2001,"&lt;="&amp;S770))-(SUMIFS(Transaksi!$J$2:$J$2001,Transaksi!$M$2:$M$2001,"&lt;="&amp;S770)),"")</f>
        <v/>
      </c>
      <c r="I770">
        <f>IF(767&gt;$O$2,"",MATCH(767,$Q$3:$Q$402,1))</f>
        <v/>
      </c>
      <c r="J770">
        <f>IF(I770="","",IF(767=INDEX($Q$3:$Q$402,I770),"H","E"))</f>
        <v/>
      </c>
      <c r="K770">
        <f>IF(J770&lt;&gt;"E","",MATCH(S770,Transaksi!$M$2:$M$2001,0)+767-INDEX($Q$3:$Q$402,I770)-1)</f>
        <v/>
      </c>
      <c r="S770">
        <f>IF(I770="","",INDEX($O$3:$O$402,I770))</f>
        <v/>
      </c>
      <c r="T770">
        <f>IF(J770&lt;&gt;"H","",INDEX(Transaksi!$A$2:$A$2001,MATCH(S770,Transaksi!$M$2:$M$2001,0)))</f>
        <v/>
      </c>
    </row>
    <row r="771">
      <c r="A771" s="31">
        <f>IF(J771="E",IF(INDEX(Transaksi!$J$2:$J$2001,K771)&gt;0,"↑","↓"),"")</f>
        <v/>
      </c>
      <c r="B771" s="32">
        <f>IF(J771="H",CHOOSE(WEEKDAY(T771,2),"Isnin","Selasa","Rabu","Khamis","Jumaat","Sabtu","Ahad")&amp;", "&amp;DAY(T771)&amp;" "&amp;CHOOSE(MONTH(T771),"Jan","Feb","Mac","Apr","Mei","Jun","Jul","Ogo","Sep","Okt","Nov","Dis")&amp;" "&amp;YEAR(T771),IF(J771="E",IF(INDEX(Transaksi!$B$2:$B$2001,K771)="",INDEX(Transaksi!$C$2:$C$2001,K771)&amp;" · "&amp;INDEX(Transaksi!$D$2:$D$2001,K771),INDEX(Transaksi!$B$2:$B$2001,K771)),""))</f>
        <v/>
      </c>
      <c r="C771" s="32">
        <f>IF(J771="E",INDEX(Transaksi!$C$2:$C$2001,K771)&amp;"","")</f>
        <v/>
      </c>
      <c r="D771" s="32">
        <f>IF(J771="E",INDEX(Transaksi!$D$2:$D$2001,K771)&amp;"","")</f>
        <v/>
      </c>
      <c r="E771" s="33">
        <f>IF(J771="H",SUMIFS(Transaksi!$G$2:$G$2001,Transaksi!$M$2:$M$2001,"="&amp;S771)+SUMIFS(Transaksi!$H$2:$H$2001,Transaksi!$M$2:$M$2001,"="&amp;S771)+SUMIFS(Transaksi!$I$2:$I$2001,Transaksi!$M$2:$M$2001,"="&amp;S771),IF(J771="E",IF(INDEX(Transaksi!$G$2:$G$2001,K771)+INDEX(Transaksi!$H$2:$H$2001,K771)+INDEX(Transaksi!$I$2:$I$2001,K771)=0,"",INDEX(Transaksi!$G$2:$G$2001,K771)+INDEX(Transaksi!$H$2:$H$2001,K771)+INDEX(Transaksi!$I$2:$I$2001,K771)),""))</f>
        <v/>
      </c>
      <c r="F771" s="33">
        <f>IF(J771="H",SUMIFS(Transaksi!$J$2:$J$2001,Transaksi!$M$2:$M$2001,"="&amp;S771),IF(J771="E",IF(INDEX(Transaksi!$J$2:$J$2001,K771)=0,"",INDEX(Transaksi!$J$2:$J$2001,K771)),""))</f>
        <v/>
      </c>
      <c r="G771" s="33">
        <f>IF(J771="H",(SUMIFS(Transaksi!$G$2:$G$2001,Transaksi!$M$2:$M$2001,"&lt;="&amp;S771)+SUMIFS(Transaksi!$H$2:$H$2001,Transaksi!$M$2:$M$2001,"&lt;="&amp;S771)+SUMIFS(Transaksi!$I$2:$I$2001,Transaksi!$M$2:$M$2001,"&lt;="&amp;S771))-(SUMIFS(Transaksi!$J$2:$J$2001,Transaksi!$M$2:$M$2001,"&lt;="&amp;S771)),"")</f>
        <v/>
      </c>
      <c r="I771">
        <f>IF(768&gt;$O$2,"",MATCH(768,$Q$3:$Q$402,1))</f>
        <v/>
      </c>
      <c r="J771">
        <f>IF(I771="","",IF(768=INDEX($Q$3:$Q$402,I771),"H","E"))</f>
        <v/>
      </c>
      <c r="K771">
        <f>IF(J771&lt;&gt;"E","",MATCH(S771,Transaksi!$M$2:$M$2001,0)+768-INDEX($Q$3:$Q$402,I771)-1)</f>
        <v/>
      </c>
      <c r="S771">
        <f>IF(I771="","",INDEX($O$3:$O$402,I771))</f>
        <v/>
      </c>
      <c r="T771">
        <f>IF(J771&lt;&gt;"H","",INDEX(Transaksi!$A$2:$A$2001,MATCH(S771,Transaksi!$M$2:$M$2001,0)))</f>
        <v/>
      </c>
    </row>
    <row r="772">
      <c r="A772" s="31">
        <f>IF(J772="E",IF(INDEX(Transaksi!$J$2:$J$2001,K772)&gt;0,"↑","↓"),"")</f>
        <v/>
      </c>
      <c r="B772" s="32">
        <f>IF(J772="H",CHOOSE(WEEKDAY(T772,2),"Isnin","Selasa","Rabu","Khamis","Jumaat","Sabtu","Ahad")&amp;", "&amp;DAY(T772)&amp;" "&amp;CHOOSE(MONTH(T772),"Jan","Feb","Mac","Apr","Mei","Jun","Jul","Ogo","Sep","Okt","Nov","Dis")&amp;" "&amp;YEAR(T772),IF(J772="E",IF(INDEX(Transaksi!$B$2:$B$2001,K772)="",INDEX(Transaksi!$C$2:$C$2001,K772)&amp;" · "&amp;INDEX(Transaksi!$D$2:$D$2001,K772),INDEX(Transaksi!$B$2:$B$2001,K772)),""))</f>
        <v/>
      </c>
      <c r="C772" s="32">
        <f>IF(J772="E",INDEX(Transaksi!$C$2:$C$2001,K772)&amp;"","")</f>
        <v/>
      </c>
      <c r="D772" s="32">
        <f>IF(J772="E",INDEX(Transaksi!$D$2:$D$2001,K772)&amp;"","")</f>
        <v/>
      </c>
      <c r="E772" s="33">
        <f>IF(J772="H",SUMIFS(Transaksi!$G$2:$G$2001,Transaksi!$M$2:$M$2001,"="&amp;S772)+SUMIFS(Transaksi!$H$2:$H$2001,Transaksi!$M$2:$M$2001,"="&amp;S772)+SUMIFS(Transaksi!$I$2:$I$2001,Transaksi!$M$2:$M$2001,"="&amp;S772),IF(J772="E",IF(INDEX(Transaksi!$G$2:$G$2001,K772)+INDEX(Transaksi!$H$2:$H$2001,K772)+INDEX(Transaksi!$I$2:$I$2001,K772)=0,"",INDEX(Transaksi!$G$2:$G$2001,K772)+INDEX(Transaksi!$H$2:$H$2001,K772)+INDEX(Transaksi!$I$2:$I$2001,K772)),""))</f>
        <v/>
      </c>
      <c r="F772" s="33">
        <f>IF(J772="H",SUMIFS(Transaksi!$J$2:$J$2001,Transaksi!$M$2:$M$2001,"="&amp;S772),IF(J772="E",IF(INDEX(Transaksi!$J$2:$J$2001,K772)=0,"",INDEX(Transaksi!$J$2:$J$2001,K772)),""))</f>
        <v/>
      </c>
      <c r="G772" s="33">
        <f>IF(J772="H",(SUMIFS(Transaksi!$G$2:$G$2001,Transaksi!$M$2:$M$2001,"&lt;="&amp;S772)+SUMIFS(Transaksi!$H$2:$H$2001,Transaksi!$M$2:$M$2001,"&lt;="&amp;S772)+SUMIFS(Transaksi!$I$2:$I$2001,Transaksi!$M$2:$M$2001,"&lt;="&amp;S772))-(SUMIFS(Transaksi!$J$2:$J$2001,Transaksi!$M$2:$M$2001,"&lt;="&amp;S772)),"")</f>
        <v/>
      </c>
      <c r="I772">
        <f>IF(769&gt;$O$2,"",MATCH(769,$Q$3:$Q$402,1))</f>
        <v/>
      </c>
      <c r="J772">
        <f>IF(I772="","",IF(769=INDEX($Q$3:$Q$402,I772),"H","E"))</f>
        <v/>
      </c>
      <c r="K772">
        <f>IF(J772&lt;&gt;"E","",MATCH(S772,Transaksi!$M$2:$M$2001,0)+769-INDEX($Q$3:$Q$402,I772)-1)</f>
        <v/>
      </c>
      <c r="S772">
        <f>IF(I772="","",INDEX($O$3:$O$402,I772))</f>
        <v/>
      </c>
      <c r="T772">
        <f>IF(J772&lt;&gt;"H","",INDEX(Transaksi!$A$2:$A$2001,MATCH(S772,Transaksi!$M$2:$M$2001,0)))</f>
        <v/>
      </c>
    </row>
    <row r="773">
      <c r="A773" s="31">
        <f>IF(J773="E",IF(INDEX(Transaksi!$J$2:$J$2001,K773)&gt;0,"↑","↓"),"")</f>
        <v/>
      </c>
      <c r="B773" s="32">
        <f>IF(J773="H",CHOOSE(WEEKDAY(T773,2),"Isnin","Selasa","Rabu","Khamis","Jumaat","Sabtu","Ahad")&amp;", "&amp;DAY(T773)&amp;" "&amp;CHOOSE(MONTH(T773),"Jan","Feb","Mac","Apr","Mei","Jun","Jul","Ogo","Sep","Okt","Nov","Dis")&amp;" "&amp;YEAR(T773),IF(J773="E",IF(INDEX(Transaksi!$B$2:$B$2001,K773)="",INDEX(Transaksi!$C$2:$C$2001,K773)&amp;" · "&amp;INDEX(Transaksi!$D$2:$D$2001,K773),INDEX(Transaksi!$B$2:$B$2001,K773)),""))</f>
        <v/>
      </c>
      <c r="C773" s="32">
        <f>IF(J773="E",INDEX(Transaksi!$C$2:$C$2001,K773)&amp;"","")</f>
        <v/>
      </c>
      <c r="D773" s="32">
        <f>IF(J773="E",INDEX(Transaksi!$D$2:$D$2001,K773)&amp;"","")</f>
        <v/>
      </c>
      <c r="E773" s="33">
        <f>IF(J773="H",SUMIFS(Transaksi!$G$2:$G$2001,Transaksi!$M$2:$M$2001,"="&amp;S773)+SUMIFS(Transaksi!$H$2:$H$2001,Transaksi!$M$2:$M$2001,"="&amp;S773)+SUMIFS(Transaksi!$I$2:$I$2001,Transaksi!$M$2:$M$2001,"="&amp;S773),IF(J773="E",IF(INDEX(Transaksi!$G$2:$G$2001,K773)+INDEX(Transaksi!$H$2:$H$2001,K773)+INDEX(Transaksi!$I$2:$I$2001,K773)=0,"",INDEX(Transaksi!$G$2:$G$2001,K773)+INDEX(Transaksi!$H$2:$H$2001,K773)+INDEX(Transaksi!$I$2:$I$2001,K773)),""))</f>
        <v/>
      </c>
      <c r="F773" s="33">
        <f>IF(J773="H",SUMIFS(Transaksi!$J$2:$J$2001,Transaksi!$M$2:$M$2001,"="&amp;S773),IF(J773="E",IF(INDEX(Transaksi!$J$2:$J$2001,K773)=0,"",INDEX(Transaksi!$J$2:$J$2001,K773)),""))</f>
        <v/>
      </c>
      <c r="G773" s="33">
        <f>IF(J773="H",(SUMIFS(Transaksi!$G$2:$G$2001,Transaksi!$M$2:$M$2001,"&lt;="&amp;S773)+SUMIFS(Transaksi!$H$2:$H$2001,Transaksi!$M$2:$M$2001,"&lt;="&amp;S773)+SUMIFS(Transaksi!$I$2:$I$2001,Transaksi!$M$2:$M$2001,"&lt;="&amp;S773))-(SUMIFS(Transaksi!$J$2:$J$2001,Transaksi!$M$2:$M$2001,"&lt;="&amp;S773)),"")</f>
        <v/>
      </c>
      <c r="I773">
        <f>IF(770&gt;$O$2,"",MATCH(770,$Q$3:$Q$402,1))</f>
        <v/>
      </c>
      <c r="J773">
        <f>IF(I773="","",IF(770=INDEX($Q$3:$Q$402,I773),"H","E"))</f>
        <v/>
      </c>
      <c r="K773">
        <f>IF(J773&lt;&gt;"E","",MATCH(S773,Transaksi!$M$2:$M$2001,0)+770-INDEX($Q$3:$Q$402,I773)-1)</f>
        <v/>
      </c>
      <c r="S773">
        <f>IF(I773="","",INDEX($O$3:$O$402,I773))</f>
        <v/>
      </c>
      <c r="T773">
        <f>IF(J773&lt;&gt;"H","",INDEX(Transaksi!$A$2:$A$2001,MATCH(S773,Transaksi!$M$2:$M$2001,0)))</f>
        <v/>
      </c>
    </row>
    <row r="774">
      <c r="A774" s="31">
        <f>IF(J774="E",IF(INDEX(Transaksi!$J$2:$J$2001,K774)&gt;0,"↑","↓"),"")</f>
        <v/>
      </c>
      <c r="B774" s="32">
        <f>IF(J774="H",CHOOSE(WEEKDAY(T774,2),"Isnin","Selasa","Rabu","Khamis","Jumaat","Sabtu","Ahad")&amp;", "&amp;DAY(T774)&amp;" "&amp;CHOOSE(MONTH(T774),"Jan","Feb","Mac","Apr","Mei","Jun","Jul","Ogo","Sep","Okt","Nov","Dis")&amp;" "&amp;YEAR(T774),IF(J774="E",IF(INDEX(Transaksi!$B$2:$B$2001,K774)="",INDEX(Transaksi!$C$2:$C$2001,K774)&amp;" · "&amp;INDEX(Transaksi!$D$2:$D$2001,K774),INDEX(Transaksi!$B$2:$B$2001,K774)),""))</f>
        <v/>
      </c>
      <c r="C774" s="32">
        <f>IF(J774="E",INDEX(Transaksi!$C$2:$C$2001,K774)&amp;"","")</f>
        <v/>
      </c>
      <c r="D774" s="32">
        <f>IF(J774="E",INDEX(Transaksi!$D$2:$D$2001,K774)&amp;"","")</f>
        <v/>
      </c>
      <c r="E774" s="33">
        <f>IF(J774="H",SUMIFS(Transaksi!$G$2:$G$2001,Transaksi!$M$2:$M$2001,"="&amp;S774)+SUMIFS(Transaksi!$H$2:$H$2001,Transaksi!$M$2:$M$2001,"="&amp;S774)+SUMIFS(Transaksi!$I$2:$I$2001,Transaksi!$M$2:$M$2001,"="&amp;S774),IF(J774="E",IF(INDEX(Transaksi!$G$2:$G$2001,K774)+INDEX(Transaksi!$H$2:$H$2001,K774)+INDEX(Transaksi!$I$2:$I$2001,K774)=0,"",INDEX(Transaksi!$G$2:$G$2001,K774)+INDEX(Transaksi!$H$2:$H$2001,K774)+INDEX(Transaksi!$I$2:$I$2001,K774)),""))</f>
        <v/>
      </c>
      <c r="F774" s="33">
        <f>IF(J774="H",SUMIFS(Transaksi!$J$2:$J$2001,Transaksi!$M$2:$M$2001,"="&amp;S774),IF(J774="E",IF(INDEX(Transaksi!$J$2:$J$2001,K774)=0,"",INDEX(Transaksi!$J$2:$J$2001,K774)),""))</f>
        <v/>
      </c>
      <c r="G774" s="33">
        <f>IF(J774="H",(SUMIFS(Transaksi!$G$2:$G$2001,Transaksi!$M$2:$M$2001,"&lt;="&amp;S774)+SUMIFS(Transaksi!$H$2:$H$2001,Transaksi!$M$2:$M$2001,"&lt;="&amp;S774)+SUMIFS(Transaksi!$I$2:$I$2001,Transaksi!$M$2:$M$2001,"&lt;="&amp;S774))-(SUMIFS(Transaksi!$J$2:$J$2001,Transaksi!$M$2:$M$2001,"&lt;="&amp;S774)),"")</f>
        <v/>
      </c>
      <c r="I774">
        <f>IF(771&gt;$O$2,"",MATCH(771,$Q$3:$Q$402,1))</f>
        <v/>
      </c>
      <c r="J774">
        <f>IF(I774="","",IF(771=INDEX($Q$3:$Q$402,I774),"H","E"))</f>
        <v/>
      </c>
      <c r="K774">
        <f>IF(J774&lt;&gt;"E","",MATCH(S774,Transaksi!$M$2:$M$2001,0)+771-INDEX($Q$3:$Q$402,I774)-1)</f>
        <v/>
      </c>
      <c r="S774">
        <f>IF(I774="","",INDEX($O$3:$O$402,I774))</f>
        <v/>
      </c>
      <c r="T774">
        <f>IF(J774&lt;&gt;"H","",INDEX(Transaksi!$A$2:$A$2001,MATCH(S774,Transaksi!$M$2:$M$2001,0)))</f>
        <v/>
      </c>
    </row>
    <row r="775">
      <c r="A775" s="31">
        <f>IF(J775="E",IF(INDEX(Transaksi!$J$2:$J$2001,K775)&gt;0,"↑","↓"),"")</f>
        <v/>
      </c>
      <c r="B775" s="32">
        <f>IF(J775="H",CHOOSE(WEEKDAY(T775,2),"Isnin","Selasa","Rabu","Khamis","Jumaat","Sabtu","Ahad")&amp;", "&amp;DAY(T775)&amp;" "&amp;CHOOSE(MONTH(T775),"Jan","Feb","Mac","Apr","Mei","Jun","Jul","Ogo","Sep","Okt","Nov","Dis")&amp;" "&amp;YEAR(T775),IF(J775="E",IF(INDEX(Transaksi!$B$2:$B$2001,K775)="",INDEX(Transaksi!$C$2:$C$2001,K775)&amp;" · "&amp;INDEX(Transaksi!$D$2:$D$2001,K775),INDEX(Transaksi!$B$2:$B$2001,K775)),""))</f>
        <v/>
      </c>
      <c r="C775" s="32">
        <f>IF(J775="E",INDEX(Transaksi!$C$2:$C$2001,K775)&amp;"","")</f>
        <v/>
      </c>
      <c r="D775" s="32">
        <f>IF(J775="E",INDEX(Transaksi!$D$2:$D$2001,K775)&amp;"","")</f>
        <v/>
      </c>
      <c r="E775" s="33">
        <f>IF(J775="H",SUMIFS(Transaksi!$G$2:$G$2001,Transaksi!$M$2:$M$2001,"="&amp;S775)+SUMIFS(Transaksi!$H$2:$H$2001,Transaksi!$M$2:$M$2001,"="&amp;S775)+SUMIFS(Transaksi!$I$2:$I$2001,Transaksi!$M$2:$M$2001,"="&amp;S775),IF(J775="E",IF(INDEX(Transaksi!$G$2:$G$2001,K775)+INDEX(Transaksi!$H$2:$H$2001,K775)+INDEX(Transaksi!$I$2:$I$2001,K775)=0,"",INDEX(Transaksi!$G$2:$G$2001,K775)+INDEX(Transaksi!$H$2:$H$2001,K775)+INDEX(Transaksi!$I$2:$I$2001,K775)),""))</f>
        <v/>
      </c>
      <c r="F775" s="33">
        <f>IF(J775="H",SUMIFS(Transaksi!$J$2:$J$2001,Transaksi!$M$2:$M$2001,"="&amp;S775),IF(J775="E",IF(INDEX(Transaksi!$J$2:$J$2001,K775)=0,"",INDEX(Transaksi!$J$2:$J$2001,K775)),""))</f>
        <v/>
      </c>
      <c r="G775" s="33">
        <f>IF(J775="H",(SUMIFS(Transaksi!$G$2:$G$2001,Transaksi!$M$2:$M$2001,"&lt;="&amp;S775)+SUMIFS(Transaksi!$H$2:$H$2001,Transaksi!$M$2:$M$2001,"&lt;="&amp;S775)+SUMIFS(Transaksi!$I$2:$I$2001,Transaksi!$M$2:$M$2001,"&lt;="&amp;S775))-(SUMIFS(Transaksi!$J$2:$J$2001,Transaksi!$M$2:$M$2001,"&lt;="&amp;S775)),"")</f>
        <v/>
      </c>
      <c r="I775">
        <f>IF(772&gt;$O$2,"",MATCH(772,$Q$3:$Q$402,1))</f>
        <v/>
      </c>
      <c r="J775">
        <f>IF(I775="","",IF(772=INDEX($Q$3:$Q$402,I775),"H","E"))</f>
        <v/>
      </c>
      <c r="K775">
        <f>IF(J775&lt;&gt;"E","",MATCH(S775,Transaksi!$M$2:$M$2001,0)+772-INDEX($Q$3:$Q$402,I775)-1)</f>
        <v/>
      </c>
      <c r="S775">
        <f>IF(I775="","",INDEX($O$3:$O$402,I775))</f>
        <v/>
      </c>
      <c r="T775">
        <f>IF(J775&lt;&gt;"H","",INDEX(Transaksi!$A$2:$A$2001,MATCH(S775,Transaksi!$M$2:$M$2001,0)))</f>
        <v/>
      </c>
    </row>
    <row r="776">
      <c r="A776" s="31">
        <f>IF(J776="E",IF(INDEX(Transaksi!$J$2:$J$2001,K776)&gt;0,"↑","↓"),"")</f>
        <v/>
      </c>
      <c r="B776" s="32">
        <f>IF(J776="H",CHOOSE(WEEKDAY(T776,2),"Isnin","Selasa","Rabu","Khamis","Jumaat","Sabtu","Ahad")&amp;", "&amp;DAY(T776)&amp;" "&amp;CHOOSE(MONTH(T776),"Jan","Feb","Mac","Apr","Mei","Jun","Jul","Ogo","Sep","Okt","Nov","Dis")&amp;" "&amp;YEAR(T776),IF(J776="E",IF(INDEX(Transaksi!$B$2:$B$2001,K776)="",INDEX(Transaksi!$C$2:$C$2001,K776)&amp;" · "&amp;INDEX(Transaksi!$D$2:$D$2001,K776),INDEX(Transaksi!$B$2:$B$2001,K776)),""))</f>
        <v/>
      </c>
      <c r="C776" s="32">
        <f>IF(J776="E",INDEX(Transaksi!$C$2:$C$2001,K776)&amp;"","")</f>
        <v/>
      </c>
      <c r="D776" s="32">
        <f>IF(J776="E",INDEX(Transaksi!$D$2:$D$2001,K776)&amp;"","")</f>
        <v/>
      </c>
      <c r="E776" s="33">
        <f>IF(J776="H",SUMIFS(Transaksi!$G$2:$G$2001,Transaksi!$M$2:$M$2001,"="&amp;S776)+SUMIFS(Transaksi!$H$2:$H$2001,Transaksi!$M$2:$M$2001,"="&amp;S776)+SUMIFS(Transaksi!$I$2:$I$2001,Transaksi!$M$2:$M$2001,"="&amp;S776),IF(J776="E",IF(INDEX(Transaksi!$G$2:$G$2001,K776)+INDEX(Transaksi!$H$2:$H$2001,K776)+INDEX(Transaksi!$I$2:$I$2001,K776)=0,"",INDEX(Transaksi!$G$2:$G$2001,K776)+INDEX(Transaksi!$H$2:$H$2001,K776)+INDEX(Transaksi!$I$2:$I$2001,K776)),""))</f>
        <v/>
      </c>
      <c r="F776" s="33">
        <f>IF(J776="H",SUMIFS(Transaksi!$J$2:$J$2001,Transaksi!$M$2:$M$2001,"="&amp;S776),IF(J776="E",IF(INDEX(Transaksi!$J$2:$J$2001,K776)=0,"",INDEX(Transaksi!$J$2:$J$2001,K776)),""))</f>
        <v/>
      </c>
      <c r="G776" s="33">
        <f>IF(J776="H",(SUMIFS(Transaksi!$G$2:$G$2001,Transaksi!$M$2:$M$2001,"&lt;="&amp;S776)+SUMIFS(Transaksi!$H$2:$H$2001,Transaksi!$M$2:$M$2001,"&lt;="&amp;S776)+SUMIFS(Transaksi!$I$2:$I$2001,Transaksi!$M$2:$M$2001,"&lt;="&amp;S776))-(SUMIFS(Transaksi!$J$2:$J$2001,Transaksi!$M$2:$M$2001,"&lt;="&amp;S776)),"")</f>
        <v/>
      </c>
      <c r="I776">
        <f>IF(773&gt;$O$2,"",MATCH(773,$Q$3:$Q$402,1))</f>
        <v/>
      </c>
      <c r="J776">
        <f>IF(I776="","",IF(773=INDEX($Q$3:$Q$402,I776),"H","E"))</f>
        <v/>
      </c>
      <c r="K776">
        <f>IF(J776&lt;&gt;"E","",MATCH(S776,Transaksi!$M$2:$M$2001,0)+773-INDEX($Q$3:$Q$402,I776)-1)</f>
        <v/>
      </c>
      <c r="S776">
        <f>IF(I776="","",INDEX($O$3:$O$402,I776))</f>
        <v/>
      </c>
      <c r="T776">
        <f>IF(J776&lt;&gt;"H","",INDEX(Transaksi!$A$2:$A$2001,MATCH(S776,Transaksi!$M$2:$M$2001,0)))</f>
        <v/>
      </c>
    </row>
    <row r="777">
      <c r="A777" s="31">
        <f>IF(J777="E",IF(INDEX(Transaksi!$J$2:$J$2001,K777)&gt;0,"↑","↓"),"")</f>
        <v/>
      </c>
      <c r="B777" s="32">
        <f>IF(J777="H",CHOOSE(WEEKDAY(T777,2),"Isnin","Selasa","Rabu","Khamis","Jumaat","Sabtu","Ahad")&amp;", "&amp;DAY(T777)&amp;" "&amp;CHOOSE(MONTH(T777),"Jan","Feb","Mac","Apr","Mei","Jun","Jul","Ogo","Sep","Okt","Nov","Dis")&amp;" "&amp;YEAR(T777),IF(J777="E",IF(INDEX(Transaksi!$B$2:$B$2001,K777)="",INDEX(Transaksi!$C$2:$C$2001,K777)&amp;" · "&amp;INDEX(Transaksi!$D$2:$D$2001,K777),INDEX(Transaksi!$B$2:$B$2001,K777)),""))</f>
        <v/>
      </c>
      <c r="C777" s="32">
        <f>IF(J777="E",INDEX(Transaksi!$C$2:$C$2001,K777)&amp;"","")</f>
        <v/>
      </c>
      <c r="D777" s="32">
        <f>IF(J777="E",INDEX(Transaksi!$D$2:$D$2001,K777)&amp;"","")</f>
        <v/>
      </c>
      <c r="E777" s="33">
        <f>IF(J777="H",SUMIFS(Transaksi!$G$2:$G$2001,Transaksi!$M$2:$M$2001,"="&amp;S777)+SUMIFS(Transaksi!$H$2:$H$2001,Transaksi!$M$2:$M$2001,"="&amp;S777)+SUMIFS(Transaksi!$I$2:$I$2001,Transaksi!$M$2:$M$2001,"="&amp;S777),IF(J777="E",IF(INDEX(Transaksi!$G$2:$G$2001,K777)+INDEX(Transaksi!$H$2:$H$2001,K777)+INDEX(Transaksi!$I$2:$I$2001,K777)=0,"",INDEX(Transaksi!$G$2:$G$2001,K777)+INDEX(Transaksi!$H$2:$H$2001,K777)+INDEX(Transaksi!$I$2:$I$2001,K777)),""))</f>
        <v/>
      </c>
      <c r="F777" s="33">
        <f>IF(J777="H",SUMIFS(Transaksi!$J$2:$J$2001,Transaksi!$M$2:$M$2001,"="&amp;S777),IF(J777="E",IF(INDEX(Transaksi!$J$2:$J$2001,K777)=0,"",INDEX(Transaksi!$J$2:$J$2001,K777)),""))</f>
        <v/>
      </c>
      <c r="G777" s="33">
        <f>IF(J777="H",(SUMIFS(Transaksi!$G$2:$G$2001,Transaksi!$M$2:$M$2001,"&lt;="&amp;S777)+SUMIFS(Transaksi!$H$2:$H$2001,Transaksi!$M$2:$M$2001,"&lt;="&amp;S777)+SUMIFS(Transaksi!$I$2:$I$2001,Transaksi!$M$2:$M$2001,"&lt;="&amp;S777))-(SUMIFS(Transaksi!$J$2:$J$2001,Transaksi!$M$2:$M$2001,"&lt;="&amp;S777)),"")</f>
        <v/>
      </c>
      <c r="I777">
        <f>IF(774&gt;$O$2,"",MATCH(774,$Q$3:$Q$402,1))</f>
        <v/>
      </c>
      <c r="J777">
        <f>IF(I777="","",IF(774=INDEX($Q$3:$Q$402,I777),"H","E"))</f>
        <v/>
      </c>
      <c r="K777">
        <f>IF(J777&lt;&gt;"E","",MATCH(S777,Transaksi!$M$2:$M$2001,0)+774-INDEX($Q$3:$Q$402,I777)-1)</f>
        <v/>
      </c>
      <c r="S777">
        <f>IF(I777="","",INDEX($O$3:$O$402,I777))</f>
        <v/>
      </c>
      <c r="T777">
        <f>IF(J777&lt;&gt;"H","",INDEX(Transaksi!$A$2:$A$2001,MATCH(S777,Transaksi!$M$2:$M$2001,0)))</f>
        <v/>
      </c>
    </row>
    <row r="778">
      <c r="A778" s="31">
        <f>IF(J778="E",IF(INDEX(Transaksi!$J$2:$J$2001,K778)&gt;0,"↑","↓"),"")</f>
        <v/>
      </c>
      <c r="B778" s="32">
        <f>IF(J778="H",CHOOSE(WEEKDAY(T778,2),"Isnin","Selasa","Rabu","Khamis","Jumaat","Sabtu","Ahad")&amp;", "&amp;DAY(T778)&amp;" "&amp;CHOOSE(MONTH(T778),"Jan","Feb","Mac","Apr","Mei","Jun","Jul","Ogo","Sep","Okt","Nov","Dis")&amp;" "&amp;YEAR(T778),IF(J778="E",IF(INDEX(Transaksi!$B$2:$B$2001,K778)="",INDEX(Transaksi!$C$2:$C$2001,K778)&amp;" · "&amp;INDEX(Transaksi!$D$2:$D$2001,K778),INDEX(Transaksi!$B$2:$B$2001,K778)),""))</f>
        <v/>
      </c>
      <c r="C778" s="32">
        <f>IF(J778="E",INDEX(Transaksi!$C$2:$C$2001,K778)&amp;"","")</f>
        <v/>
      </c>
      <c r="D778" s="32">
        <f>IF(J778="E",INDEX(Transaksi!$D$2:$D$2001,K778)&amp;"","")</f>
        <v/>
      </c>
      <c r="E778" s="33">
        <f>IF(J778="H",SUMIFS(Transaksi!$G$2:$G$2001,Transaksi!$M$2:$M$2001,"="&amp;S778)+SUMIFS(Transaksi!$H$2:$H$2001,Transaksi!$M$2:$M$2001,"="&amp;S778)+SUMIFS(Transaksi!$I$2:$I$2001,Transaksi!$M$2:$M$2001,"="&amp;S778),IF(J778="E",IF(INDEX(Transaksi!$G$2:$G$2001,K778)+INDEX(Transaksi!$H$2:$H$2001,K778)+INDEX(Transaksi!$I$2:$I$2001,K778)=0,"",INDEX(Transaksi!$G$2:$G$2001,K778)+INDEX(Transaksi!$H$2:$H$2001,K778)+INDEX(Transaksi!$I$2:$I$2001,K778)),""))</f>
        <v/>
      </c>
      <c r="F778" s="33">
        <f>IF(J778="H",SUMIFS(Transaksi!$J$2:$J$2001,Transaksi!$M$2:$M$2001,"="&amp;S778),IF(J778="E",IF(INDEX(Transaksi!$J$2:$J$2001,K778)=0,"",INDEX(Transaksi!$J$2:$J$2001,K778)),""))</f>
        <v/>
      </c>
      <c r="G778" s="33">
        <f>IF(J778="H",(SUMIFS(Transaksi!$G$2:$G$2001,Transaksi!$M$2:$M$2001,"&lt;="&amp;S778)+SUMIFS(Transaksi!$H$2:$H$2001,Transaksi!$M$2:$M$2001,"&lt;="&amp;S778)+SUMIFS(Transaksi!$I$2:$I$2001,Transaksi!$M$2:$M$2001,"&lt;="&amp;S778))-(SUMIFS(Transaksi!$J$2:$J$2001,Transaksi!$M$2:$M$2001,"&lt;="&amp;S778)),"")</f>
        <v/>
      </c>
      <c r="I778">
        <f>IF(775&gt;$O$2,"",MATCH(775,$Q$3:$Q$402,1))</f>
        <v/>
      </c>
      <c r="J778">
        <f>IF(I778="","",IF(775=INDEX($Q$3:$Q$402,I778),"H","E"))</f>
        <v/>
      </c>
      <c r="K778">
        <f>IF(J778&lt;&gt;"E","",MATCH(S778,Transaksi!$M$2:$M$2001,0)+775-INDEX($Q$3:$Q$402,I778)-1)</f>
        <v/>
      </c>
      <c r="S778">
        <f>IF(I778="","",INDEX($O$3:$O$402,I778))</f>
        <v/>
      </c>
      <c r="T778">
        <f>IF(J778&lt;&gt;"H","",INDEX(Transaksi!$A$2:$A$2001,MATCH(S778,Transaksi!$M$2:$M$2001,0)))</f>
        <v/>
      </c>
    </row>
    <row r="779">
      <c r="A779" s="31">
        <f>IF(J779="E",IF(INDEX(Transaksi!$J$2:$J$2001,K779)&gt;0,"↑","↓"),"")</f>
        <v/>
      </c>
      <c r="B779" s="32">
        <f>IF(J779="H",CHOOSE(WEEKDAY(T779,2),"Isnin","Selasa","Rabu","Khamis","Jumaat","Sabtu","Ahad")&amp;", "&amp;DAY(T779)&amp;" "&amp;CHOOSE(MONTH(T779),"Jan","Feb","Mac","Apr","Mei","Jun","Jul","Ogo","Sep","Okt","Nov","Dis")&amp;" "&amp;YEAR(T779),IF(J779="E",IF(INDEX(Transaksi!$B$2:$B$2001,K779)="",INDEX(Transaksi!$C$2:$C$2001,K779)&amp;" · "&amp;INDEX(Transaksi!$D$2:$D$2001,K779),INDEX(Transaksi!$B$2:$B$2001,K779)),""))</f>
        <v/>
      </c>
      <c r="C779" s="32">
        <f>IF(J779="E",INDEX(Transaksi!$C$2:$C$2001,K779)&amp;"","")</f>
        <v/>
      </c>
      <c r="D779" s="32">
        <f>IF(J779="E",INDEX(Transaksi!$D$2:$D$2001,K779)&amp;"","")</f>
        <v/>
      </c>
      <c r="E779" s="33">
        <f>IF(J779="H",SUMIFS(Transaksi!$G$2:$G$2001,Transaksi!$M$2:$M$2001,"="&amp;S779)+SUMIFS(Transaksi!$H$2:$H$2001,Transaksi!$M$2:$M$2001,"="&amp;S779)+SUMIFS(Transaksi!$I$2:$I$2001,Transaksi!$M$2:$M$2001,"="&amp;S779),IF(J779="E",IF(INDEX(Transaksi!$G$2:$G$2001,K779)+INDEX(Transaksi!$H$2:$H$2001,K779)+INDEX(Transaksi!$I$2:$I$2001,K779)=0,"",INDEX(Transaksi!$G$2:$G$2001,K779)+INDEX(Transaksi!$H$2:$H$2001,K779)+INDEX(Transaksi!$I$2:$I$2001,K779)),""))</f>
        <v/>
      </c>
      <c r="F779" s="33">
        <f>IF(J779="H",SUMIFS(Transaksi!$J$2:$J$2001,Transaksi!$M$2:$M$2001,"="&amp;S779),IF(J779="E",IF(INDEX(Transaksi!$J$2:$J$2001,K779)=0,"",INDEX(Transaksi!$J$2:$J$2001,K779)),""))</f>
        <v/>
      </c>
      <c r="G779" s="33">
        <f>IF(J779="H",(SUMIFS(Transaksi!$G$2:$G$2001,Transaksi!$M$2:$M$2001,"&lt;="&amp;S779)+SUMIFS(Transaksi!$H$2:$H$2001,Transaksi!$M$2:$M$2001,"&lt;="&amp;S779)+SUMIFS(Transaksi!$I$2:$I$2001,Transaksi!$M$2:$M$2001,"&lt;="&amp;S779))-(SUMIFS(Transaksi!$J$2:$J$2001,Transaksi!$M$2:$M$2001,"&lt;="&amp;S779)),"")</f>
        <v/>
      </c>
      <c r="I779">
        <f>IF(776&gt;$O$2,"",MATCH(776,$Q$3:$Q$402,1))</f>
        <v/>
      </c>
      <c r="J779">
        <f>IF(I779="","",IF(776=INDEX($Q$3:$Q$402,I779),"H","E"))</f>
        <v/>
      </c>
      <c r="K779">
        <f>IF(J779&lt;&gt;"E","",MATCH(S779,Transaksi!$M$2:$M$2001,0)+776-INDEX($Q$3:$Q$402,I779)-1)</f>
        <v/>
      </c>
      <c r="S779">
        <f>IF(I779="","",INDEX($O$3:$O$402,I779))</f>
        <v/>
      </c>
      <c r="T779">
        <f>IF(J779&lt;&gt;"H","",INDEX(Transaksi!$A$2:$A$2001,MATCH(S779,Transaksi!$M$2:$M$2001,0)))</f>
        <v/>
      </c>
    </row>
    <row r="780">
      <c r="A780" s="31">
        <f>IF(J780="E",IF(INDEX(Transaksi!$J$2:$J$2001,K780)&gt;0,"↑","↓"),"")</f>
        <v/>
      </c>
      <c r="B780" s="32">
        <f>IF(J780="H",CHOOSE(WEEKDAY(T780,2),"Isnin","Selasa","Rabu","Khamis","Jumaat","Sabtu","Ahad")&amp;", "&amp;DAY(T780)&amp;" "&amp;CHOOSE(MONTH(T780),"Jan","Feb","Mac","Apr","Mei","Jun","Jul","Ogo","Sep","Okt","Nov","Dis")&amp;" "&amp;YEAR(T780),IF(J780="E",IF(INDEX(Transaksi!$B$2:$B$2001,K780)="",INDEX(Transaksi!$C$2:$C$2001,K780)&amp;" · "&amp;INDEX(Transaksi!$D$2:$D$2001,K780),INDEX(Transaksi!$B$2:$B$2001,K780)),""))</f>
        <v/>
      </c>
      <c r="C780" s="32">
        <f>IF(J780="E",INDEX(Transaksi!$C$2:$C$2001,K780)&amp;"","")</f>
        <v/>
      </c>
      <c r="D780" s="32">
        <f>IF(J780="E",INDEX(Transaksi!$D$2:$D$2001,K780)&amp;"","")</f>
        <v/>
      </c>
      <c r="E780" s="33">
        <f>IF(J780="H",SUMIFS(Transaksi!$G$2:$G$2001,Transaksi!$M$2:$M$2001,"="&amp;S780)+SUMIFS(Transaksi!$H$2:$H$2001,Transaksi!$M$2:$M$2001,"="&amp;S780)+SUMIFS(Transaksi!$I$2:$I$2001,Transaksi!$M$2:$M$2001,"="&amp;S780),IF(J780="E",IF(INDEX(Transaksi!$G$2:$G$2001,K780)+INDEX(Transaksi!$H$2:$H$2001,K780)+INDEX(Transaksi!$I$2:$I$2001,K780)=0,"",INDEX(Transaksi!$G$2:$G$2001,K780)+INDEX(Transaksi!$H$2:$H$2001,K780)+INDEX(Transaksi!$I$2:$I$2001,K780)),""))</f>
        <v/>
      </c>
      <c r="F780" s="33">
        <f>IF(J780="H",SUMIFS(Transaksi!$J$2:$J$2001,Transaksi!$M$2:$M$2001,"="&amp;S780),IF(J780="E",IF(INDEX(Transaksi!$J$2:$J$2001,K780)=0,"",INDEX(Transaksi!$J$2:$J$2001,K780)),""))</f>
        <v/>
      </c>
      <c r="G780" s="33">
        <f>IF(J780="H",(SUMIFS(Transaksi!$G$2:$G$2001,Transaksi!$M$2:$M$2001,"&lt;="&amp;S780)+SUMIFS(Transaksi!$H$2:$H$2001,Transaksi!$M$2:$M$2001,"&lt;="&amp;S780)+SUMIFS(Transaksi!$I$2:$I$2001,Transaksi!$M$2:$M$2001,"&lt;="&amp;S780))-(SUMIFS(Transaksi!$J$2:$J$2001,Transaksi!$M$2:$M$2001,"&lt;="&amp;S780)),"")</f>
        <v/>
      </c>
      <c r="I780">
        <f>IF(777&gt;$O$2,"",MATCH(777,$Q$3:$Q$402,1))</f>
        <v/>
      </c>
      <c r="J780">
        <f>IF(I780="","",IF(777=INDEX($Q$3:$Q$402,I780),"H","E"))</f>
        <v/>
      </c>
      <c r="K780">
        <f>IF(J780&lt;&gt;"E","",MATCH(S780,Transaksi!$M$2:$M$2001,0)+777-INDEX($Q$3:$Q$402,I780)-1)</f>
        <v/>
      </c>
      <c r="S780">
        <f>IF(I780="","",INDEX($O$3:$O$402,I780))</f>
        <v/>
      </c>
      <c r="T780">
        <f>IF(J780&lt;&gt;"H","",INDEX(Transaksi!$A$2:$A$2001,MATCH(S780,Transaksi!$M$2:$M$2001,0)))</f>
        <v/>
      </c>
    </row>
    <row r="781">
      <c r="A781" s="31">
        <f>IF(J781="E",IF(INDEX(Transaksi!$J$2:$J$2001,K781)&gt;0,"↑","↓"),"")</f>
        <v/>
      </c>
      <c r="B781" s="32">
        <f>IF(J781="H",CHOOSE(WEEKDAY(T781,2),"Isnin","Selasa","Rabu","Khamis","Jumaat","Sabtu","Ahad")&amp;", "&amp;DAY(T781)&amp;" "&amp;CHOOSE(MONTH(T781),"Jan","Feb","Mac","Apr","Mei","Jun","Jul","Ogo","Sep","Okt","Nov","Dis")&amp;" "&amp;YEAR(T781),IF(J781="E",IF(INDEX(Transaksi!$B$2:$B$2001,K781)="",INDEX(Transaksi!$C$2:$C$2001,K781)&amp;" · "&amp;INDEX(Transaksi!$D$2:$D$2001,K781),INDEX(Transaksi!$B$2:$B$2001,K781)),""))</f>
        <v/>
      </c>
      <c r="C781" s="32">
        <f>IF(J781="E",INDEX(Transaksi!$C$2:$C$2001,K781)&amp;"","")</f>
        <v/>
      </c>
      <c r="D781" s="32">
        <f>IF(J781="E",INDEX(Transaksi!$D$2:$D$2001,K781)&amp;"","")</f>
        <v/>
      </c>
      <c r="E781" s="33">
        <f>IF(J781="H",SUMIFS(Transaksi!$G$2:$G$2001,Transaksi!$M$2:$M$2001,"="&amp;S781)+SUMIFS(Transaksi!$H$2:$H$2001,Transaksi!$M$2:$M$2001,"="&amp;S781)+SUMIFS(Transaksi!$I$2:$I$2001,Transaksi!$M$2:$M$2001,"="&amp;S781),IF(J781="E",IF(INDEX(Transaksi!$G$2:$G$2001,K781)+INDEX(Transaksi!$H$2:$H$2001,K781)+INDEX(Transaksi!$I$2:$I$2001,K781)=0,"",INDEX(Transaksi!$G$2:$G$2001,K781)+INDEX(Transaksi!$H$2:$H$2001,K781)+INDEX(Transaksi!$I$2:$I$2001,K781)),""))</f>
        <v/>
      </c>
      <c r="F781" s="33">
        <f>IF(J781="H",SUMIFS(Transaksi!$J$2:$J$2001,Transaksi!$M$2:$M$2001,"="&amp;S781),IF(J781="E",IF(INDEX(Transaksi!$J$2:$J$2001,K781)=0,"",INDEX(Transaksi!$J$2:$J$2001,K781)),""))</f>
        <v/>
      </c>
      <c r="G781" s="33">
        <f>IF(J781="H",(SUMIFS(Transaksi!$G$2:$G$2001,Transaksi!$M$2:$M$2001,"&lt;="&amp;S781)+SUMIFS(Transaksi!$H$2:$H$2001,Transaksi!$M$2:$M$2001,"&lt;="&amp;S781)+SUMIFS(Transaksi!$I$2:$I$2001,Transaksi!$M$2:$M$2001,"&lt;="&amp;S781))-(SUMIFS(Transaksi!$J$2:$J$2001,Transaksi!$M$2:$M$2001,"&lt;="&amp;S781)),"")</f>
        <v/>
      </c>
      <c r="I781">
        <f>IF(778&gt;$O$2,"",MATCH(778,$Q$3:$Q$402,1))</f>
        <v/>
      </c>
      <c r="J781">
        <f>IF(I781="","",IF(778=INDEX($Q$3:$Q$402,I781),"H","E"))</f>
        <v/>
      </c>
      <c r="K781">
        <f>IF(J781&lt;&gt;"E","",MATCH(S781,Transaksi!$M$2:$M$2001,0)+778-INDEX($Q$3:$Q$402,I781)-1)</f>
        <v/>
      </c>
      <c r="S781">
        <f>IF(I781="","",INDEX($O$3:$O$402,I781))</f>
        <v/>
      </c>
      <c r="T781">
        <f>IF(J781&lt;&gt;"H","",INDEX(Transaksi!$A$2:$A$2001,MATCH(S781,Transaksi!$M$2:$M$2001,0)))</f>
        <v/>
      </c>
    </row>
    <row r="782">
      <c r="A782" s="31">
        <f>IF(J782="E",IF(INDEX(Transaksi!$J$2:$J$2001,K782)&gt;0,"↑","↓"),"")</f>
        <v/>
      </c>
      <c r="B782" s="32">
        <f>IF(J782="H",CHOOSE(WEEKDAY(T782,2),"Isnin","Selasa","Rabu","Khamis","Jumaat","Sabtu","Ahad")&amp;", "&amp;DAY(T782)&amp;" "&amp;CHOOSE(MONTH(T782),"Jan","Feb","Mac","Apr","Mei","Jun","Jul","Ogo","Sep","Okt","Nov","Dis")&amp;" "&amp;YEAR(T782),IF(J782="E",IF(INDEX(Transaksi!$B$2:$B$2001,K782)="",INDEX(Transaksi!$C$2:$C$2001,K782)&amp;" · "&amp;INDEX(Transaksi!$D$2:$D$2001,K782),INDEX(Transaksi!$B$2:$B$2001,K782)),""))</f>
        <v/>
      </c>
      <c r="C782" s="32">
        <f>IF(J782="E",INDEX(Transaksi!$C$2:$C$2001,K782)&amp;"","")</f>
        <v/>
      </c>
      <c r="D782" s="32">
        <f>IF(J782="E",INDEX(Transaksi!$D$2:$D$2001,K782)&amp;"","")</f>
        <v/>
      </c>
      <c r="E782" s="33">
        <f>IF(J782="H",SUMIFS(Transaksi!$G$2:$G$2001,Transaksi!$M$2:$M$2001,"="&amp;S782)+SUMIFS(Transaksi!$H$2:$H$2001,Transaksi!$M$2:$M$2001,"="&amp;S782)+SUMIFS(Transaksi!$I$2:$I$2001,Transaksi!$M$2:$M$2001,"="&amp;S782),IF(J782="E",IF(INDEX(Transaksi!$G$2:$G$2001,K782)+INDEX(Transaksi!$H$2:$H$2001,K782)+INDEX(Transaksi!$I$2:$I$2001,K782)=0,"",INDEX(Transaksi!$G$2:$G$2001,K782)+INDEX(Transaksi!$H$2:$H$2001,K782)+INDEX(Transaksi!$I$2:$I$2001,K782)),""))</f>
        <v/>
      </c>
      <c r="F782" s="33">
        <f>IF(J782="H",SUMIFS(Transaksi!$J$2:$J$2001,Transaksi!$M$2:$M$2001,"="&amp;S782),IF(J782="E",IF(INDEX(Transaksi!$J$2:$J$2001,K782)=0,"",INDEX(Transaksi!$J$2:$J$2001,K782)),""))</f>
        <v/>
      </c>
      <c r="G782" s="33">
        <f>IF(J782="H",(SUMIFS(Transaksi!$G$2:$G$2001,Transaksi!$M$2:$M$2001,"&lt;="&amp;S782)+SUMIFS(Transaksi!$H$2:$H$2001,Transaksi!$M$2:$M$2001,"&lt;="&amp;S782)+SUMIFS(Transaksi!$I$2:$I$2001,Transaksi!$M$2:$M$2001,"&lt;="&amp;S782))-(SUMIFS(Transaksi!$J$2:$J$2001,Transaksi!$M$2:$M$2001,"&lt;="&amp;S782)),"")</f>
        <v/>
      </c>
      <c r="I782">
        <f>IF(779&gt;$O$2,"",MATCH(779,$Q$3:$Q$402,1))</f>
        <v/>
      </c>
      <c r="J782">
        <f>IF(I782="","",IF(779=INDEX($Q$3:$Q$402,I782),"H","E"))</f>
        <v/>
      </c>
      <c r="K782">
        <f>IF(J782&lt;&gt;"E","",MATCH(S782,Transaksi!$M$2:$M$2001,0)+779-INDEX($Q$3:$Q$402,I782)-1)</f>
        <v/>
      </c>
      <c r="S782">
        <f>IF(I782="","",INDEX($O$3:$O$402,I782))</f>
        <v/>
      </c>
      <c r="T782">
        <f>IF(J782&lt;&gt;"H","",INDEX(Transaksi!$A$2:$A$2001,MATCH(S782,Transaksi!$M$2:$M$2001,0)))</f>
        <v/>
      </c>
    </row>
    <row r="783">
      <c r="A783" s="31">
        <f>IF(J783="E",IF(INDEX(Transaksi!$J$2:$J$2001,K783)&gt;0,"↑","↓"),"")</f>
        <v/>
      </c>
      <c r="B783" s="32">
        <f>IF(J783="H",CHOOSE(WEEKDAY(T783,2),"Isnin","Selasa","Rabu","Khamis","Jumaat","Sabtu","Ahad")&amp;", "&amp;DAY(T783)&amp;" "&amp;CHOOSE(MONTH(T783),"Jan","Feb","Mac","Apr","Mei","Jun","Jul","Ogo","Sep","Okt","Nov","Dis")&amp;" "&amp;YEAR(T783),IF(J783="E",IF(INDEX(Transaksi!$B$2:$B$2001,K783)="",INDEX(Transaksi!$C$2:$C$2001,K783)&amp;" · "&amp;INDEX(Transaksi!$D$2:$D$2001,K783),INDEX(Transaksi!$B$2:$B$2001,K783)),""))</f>
        <v/>
      </c>
      <c r="C783" s="32">
        <f>IF(J783="E",INDEX(Transaksi!$C$2:$C$2001,K783)&amp;"","")</f>
        <v/>
      </c>
      <c r="D783" s="32">
        <f>IF(J783="E",INDEX(Transaksi!$D$2:$D$2001,K783)&amp;"","")</f>
        <v/>
      </c>
      <c r="E783" s="33">
        <f>IF(J783="H",SUMIFS(Transaksi!$G$2:$G$2001,Transaksi!$M$2:$M$2001,"="&amp;S783)+SUMIFS(Transaksi!$H$2:$H$2001,Transaksi!$M$2:$M$2001,"="&amp;S783)+SUMIFS(Transaksi!$I$2:$I$2001,Transaksi!$M$2:$M$2001,"="&amp;S783),IF(J783="E",IF(INDEX(Transaksi!$G$2:$G$2001,K783)+INDEX(Transaksi!$H$2:$H$2001,K783)+INDEX(Transaksi!$I$2:$I$2001,K783)=0,"",INDEX(Transaksi!$G$2:$G$2001,K783)+INDEX(Transaksi!$H$2:$H$2001,K783)+INDEX(Transaksi!$I$2:$I$2001,K783)),""))</f>
        <v/>
      </c>
      <c r="F783" s="33">
        <f>IF(J783="H",SUMIFS(Transaksi!$J$2:$J$2001,Transaksi!$M$2:$M$2001,"="&amp;S783),IF(J783="E",IF(INDEX(Transaksi!$J$2:$J$2001,K783)=0,"",INDEX(Transaksi!$J$2:$J$2001,K783)),""))</f>
        <v/>
      </c>
      <c r="G783" s="33">
        <f>IF(J783="H",(SUMIFS(Transaksi!$G$2:$G$2001,Transaksi!$M$2:$M$2001,"&lt;="&amp;S783)+SUMIFS(Transaksi!$H$2:$H$2001,Transaksi!$M$2:$M$2001,"&lt;="&amp;S783)+SUMIFS(Transaksi!$I$2:$I$2001,Transaksi!$M$2:$M$2001,"&lt;="&amp;S783))-(SUMIFS(Transaksi!$J$2:$J$2001,Transaksi!$M$2:$M$2001,"&lt;="&amp;S783)),"")</f>
        <v/>
      </c>
      <c r="I783">
        <f>IF(780&gt;$O$2,"",MATCH(780,$Q$3:$Q$402,1))</f>
        <v/>
      </c>
      <c r="J783">
        <f>IF(I783="","",IF(780=INDEX($Q$3:$Q$402,I783),"H","E"))</f>
        <v/>
      </c>
      <c r="K783">
        <f>IF(J783&lt;&gt;"E","",MATCH(S783,Transaksi!$M$2:$M$2001,0)+780-INDEX($Q$3:$Q$402,I783)-1)</f>
        <v/>
      </c>
      <c r="S783">
        <f>IF(I783="","",INDEX($O$3:$O$402,I783))</f>
        <v/>
      </c>
      <c r="T783">
        <f>IF(J783&lt;&gt;"H","",INDEX(Transaksi!$A$2:$A$2001,MATCH(S783,Transaksi!$M$2:$M$2001,0)))</f>
        <v/>
      </c>
    </row>
    <row r="784">
      <c r="A784" s="31">
        <f>IF(J784="E",IF(INDEX(Transaksi!$J$2:$J$2001,K784)&gt;0,"↑","↓"),"")</f>
        <v/>
      </c>
      <c r="B784" s="32">
        <f>IF(J784="H",CHOOSE(WEEKDAY(T784,2),"Isnin","Selasa","Rabu","Khamis","Jumaat","Sabtu","Ahad")&amp;", "&amp;DAY(T784)&amp;" "&amp;CHOOSE(MONTH(T784),"Jan","Feb","Mac","Apr","Mei","Jun","Jul","Ogo","Sep","Okt","Nov","Dis")&amp;" "&amp;YEAR(T784),IF(J784="E",IF(INDEX(Transaksi!$B$2:$B$2001,K784)="",INDEX(Transaksi!$C$2:$C$2001,K784)&amp;" · "&amp;INDEX(Transaksi!$D$2:$D$2001,K784),INDEX(Transaksi!$B$2:$B$2001,K784)),""))</f>
        <v/>
      </c>
      <c r="C784" s="32">
        <f>IF(J784="E",INDEX(Transaksi!$C$2:$C$2001,K784)&amp;"","")</f>
        <v/>
      </c>
      <c r="D784" s="32">
        <f>IF(J784="E",INDEX(Transaksi!$D$2:$D$2001,K784)&amp;"","")</f>
        <v/>
      </c>
      <c r="E784" s="33">
        <f>IF(J784="H",SUMIFS(Transaksi!$G$2:$G$2001,Transaksi!$M$2:$M$2001,"="&amp;S784)+SUMIFS(Transaksi!$H$2:$H$2001,Transaksi!$M$2:$M$2001,"="&amp;S784)+SUMIFS(Transaksi!$I$2:$I$2001,Transaksi!$M$2:$M$2001,"="&amp;S784),IF(J784="E",IF(INDEX(Transaksi!$G$2:$G$2001,K784)+INDEX(Transaksi!$H$2:$H$2001,K784)+INDEX(Transaksi!$I$2:$I$2001,K784)=0,"",INDEX(Transaksi!$G$2:$G$2001,K784)+INDEX(Transaksi!$H$2:$H$2001,K784)+INDEX(Transaksi!$I$2:$I$2001,K784)),""))</f>
        <v/>
      </c>
      <c r="F784" s="33">
        <f>IF(J784="H",SUMIFS(Transaksi!$J$2:$J$2001,Transaksi!$M$2:$M$2001,"="&amp;S784),IF(J784="E",IF(INDEX(Transaksi!$J$2:$J$2001,K784)=0,"",INDEX(Transaksi!$J$2:$J$2001,K784)),""))</f>
        <v/>
      </c>
      <c r="G784" s="33">
        <f>IF(J784="H",(SUMIFS(Transaksi!$G$2:$G$2001,Transaksi!$M$2:$M$2001,"&lt;="&amp;S784)+SUMIFS(Transaksi!$H$2:$H$2001,Transaksi!$M$2:$M$2001,"&lt;="&amp;S784)+SUMIFS(Transaksi!$I$2:$I$2001,Transaksi!$M$2:$M$2001,"&lt;="&amp;S784))-(SUMIFS(Transaksi!$J$2:$J$2001,Transaksi!$M$2:$M$2001,"&lt;="&amp;S784)),"")</f>
        <v/>
      </c>
      <c r="I784">
        <f>IF(781&gt;$O$2,"",MATCH(781,$Q$3:$Q$402,1))</f>
        <v/>
      </c>
      <c r="J784">
        <f>IF(I784="","",IF(781=INDEX($Q$3:$Q$402,I784),"H","E"))</f>
        <v/>
      </c>
      <c r="K784">
        <f>IF(J784&lt;&gt;"E","",MATCH(S784,Transaksi!$M$2:$M$2001,0)+781-INDEX($Q$3:$Q$402,I784)-1)</f>
        <v/>
      </c>
      <c r="S784">
        <f>IF(I784="","",INDEX($O$3:$O$402,I784))</f>
        <v/>
      </c>
      <c r="T784">
        <f>IF(J784&lt;&gt;"H","",INDEX(Transaksi!$A$2:$A$2001,MATCH(S784,Transaksi!$M$2:$M$2001,0)))</f>
        <v/>
      </c>
    </row>
    <row r="785">
      <c r="A785" s="31">
        <f>IF(J785="E",IF(INDEX(Transaksi!$J$2:$J$2001,K785)&gt;0,"↑","↓"),"")</f>
        <v/>
      </c>
      <c r="B785" s="32">
        <f>IF(J785="H",CHOOSE(WEEKDAY(T785,2),"Isnin","Selasa","Rabu","Khamis","Jumaat","Sabtu","Ahad")&amp;", "&amp;DAY(T785)&amp;" "&amp;CHOOSE(MONTH(T785),"Jan","Feb","Mac","Apr","Mei","Jun","Jul","Ogo","Sep","Okt","Nov","Dis")&amp;" "&amp;YEAR(T785),IF(J785="E",IF(INDEX(Transaksi!$B$2:$B$2001,K785)="",INDEX(Transaksi!$C$2:$C$2001,K785)&amp;" · "&amp;INDEX(Transaksi!$D$2:$D$2001,K785),INDEX(Transaksi!$B$2:$B$2001,K785)),""))</f>
        <v/>
      </c>
      <c r="C785" s="32">
        <f>IF(J785="E",INDEX(Transaksi!$C$2:$C$2001,K785)&amp;"","")</f>
        <v/>
      </c>
      <c r="D785" s="32">
        <f>IF(J785="E",INDEX(Transaksi!$D$2:$D$2001,K785)&amp;"","")</f>
        <v/>
      </c>
      <c r="E785" s="33">
        <f>IF(J785="H",SUMIFS(Transaksi!$G$2:$G$2001,Transaksi!$M$2:$M$2001,"="&amp;S785)+SUMIFS(Transaksi!$H$2:$H$2001,Transaksi!$M$2:$M$2001,"="&amp;S785)+SUMIFS(Transaksi!$I$2:$I$2001,Transaksi!$M$2:$M$2001,"="&amp;S785),IF(J785="E",IF(INDEX(Transaksi!$G$2:$G$2001,K785)+INDEX(Transaksi!$H$2:$H$2001,K785)+INDEX(Transaksi!$I$2:$I$2001,K785)=0,"",INDEX(Transaksi!$G$2:$G$2001,K785)+INDEX(Transaksi!$H$2:$H$2001,K785)+INDEX(Transaksi!$I$2:$I$2001,K785)),""))</f>
        <v/>
      </c>
      <c r="F785" s="33">
        <f>IF(J785="H",SUMIFS(Transaksi!$J$2:$J$2001,Transaksi!$M$2:$M$2001,"="&amp;S785),IF(J785="E",IF(INDEX(Transaksi!$J$2:$J$2001,K785)=0,"",INDEX(Transaksi!$J$2:$J$2001,K785)),""))</f>
        <v/>
      </c>
      <c r="G785" s="33">
        <f>IF(J785="H",(SUMIFS(Transaksi!$G$2:$G$2001,Transaksi!$M$2:$M$2001,"&lt;="&amp;S785)+SUMIFS(Transaksi!$H$2:$H$2001,Transaksi!$M$2:$M$2001,"&lt;="&amp;S785)+SUMIFS(Transaksi!$I$2:$I$2001,Transaksi!$M$2:$M$2001,"&lt;="&amp;S785))-(SUMIFS(Transaksi!$J$2:$J$2001,Transaksi!$M$2:$M$2001,"&lt;="&amp;S785)),"")</f>
        <v/>
      </c>
      <c r="I785">
        <f>IF(782&gt;$O$2,"",MATCH(782,$Q$3:$Q$402,1))</f>
        <v/>
      </c>
      <c r="J785">
        <f>IF(I785="","",IF(782=INDEX($Q$3:$Q$402,I785),"H","E"))</f>
        <v/>
      </c>
      <c r="K785">
        <f>IF(J785&lt;&gt;"E","",MATCH(S785,Transaksi!$M$2:$M$2001,0)+782-INDEX($Q$3:$Q$402,I785)-1)</f>
        <v/>
      </c>
      <c r="S785">
        <f>IF(I785="","",INDEX($O$3:$O$402,I785))</f>
        <v/>
      </c>
      <c r="T785">
        <f>IF(J785&lt;&gt;"H","",INDEX(Transaksi!$A$2:$A$2001,MATCH(S785,Transaksi!$M$2:$M$2001,0)))</f>
        <v/>
      </c>
    </row>
    <row r="786">
      <c r="A786" s="31">
        <f>IF(J786="E",IF(INDEX(Transaksi!$J$2:$J$2001,K786)&gt;0,"↑","↓"),"")</f>
        <v/>
      </c>
      <c r="B786" s="32">
        <f>IF(J786="H",CHOOSE(WEEKDAY(T786,2),"Isnin","Selasa","Rabu","Khamis","Jumaat","Sabtu","Ahad")&amp;", "&amp;DAY(T786)&amp;" "&amp;CHOOSE(MONTH(T786),"Jan","Feb","Mac","Apr","Mei","Jun","Jul","Ogo","Sep","Okt","Nov","Dis")&amp;" "&amp;YEAR(T786),IF(J786="E",IF(INDEX(Transaksi!$B$2:$B$2001,K786)="",INDEX(Transaksi!$C$2:$C$2001,K786)&amp;" · "&amp;INDEX(Transaksi!$D$2:$D$2001,K786),INDEX(Transaksi!$B$2:$B$2001,K786)),""))</f>
        <v/>
      </c>
      <c r="C786" s="32">
        <f>IF(J786="E",INDEX(Transaksi!$C$2:$C$2001,K786)&amp;"","")</f>
        <v/>
      </c>
      <c r="D786" s="32">
        <f>IF(J786="E",INDEX(Transaksi!$D$2:$D$2001,K786)&amp;"","")</f>
        <v/>
      </c>
      <c r="E786" s="33">
        <f>IF(J786="H",SUMIFS(Transaksi!$G$2:$G$2001,Transaksi!$M$2:$M$2001,"="&amp;S786)+SUMIFS(Transaksi!$H$2:$H$2001,Transaksi!$M$2:$M$2001,"="&amp;S786)+SUMIFS(Transaksi!$I$2:$I$2001,Transaksi!$M$2:$M$2001,"="&amp;S786),IF(J786="E",IF(INDEX(Transaksi!$G$2:$G$2001,K786)+INDEX(Transaksi!$H$2:$H$2001,K786)+INDEX(Transaksi!$I$2:$I$2001,K786)=0,"",INDEX(Transaksi!$G$2:$G$2001,K786)+INDEX(Transaksi!$H$2:$H$2001,K786)+INDEX(Transaksi!$I$2:$I$2001,K786)),""))</f>
        <v/>
      </c>
      <c r="F786" s="33">
        <f>IF(J786="H",SUMIFS(Transaksi!$J$2:$J$2001,Transaksi!$M$2:$M$2001,"="&amp;S786),IF(J786="E",IF(INDEX(Transaksi!$J$2:$J$2001,K786)=0,"",INDEX(Transaksi!$J$2:$J$2001,K786)),""))</f>
        <v/>
      </c>
      <c r="G786" s="33">
        <f>IF(J786="H",(SUMIFS(Transaksi!$G$2:$G$2001,Transaksi!$M$2:$M$2001,"&lt;="&amp;S786)+SUMIFS(Transaksi!$H$2:$H$2001,Transaksi!$M$2:$M$2001,"&lt;="&amp;S786)+SUMIFS(Transaksi!$I$2:$I$2001,Transaksi!$M$2:$M$2001,"&lt;="&amp;S786))-(SUMIFS(Transaksi!$J$2:$J$2001,Transaksi!$M$2:$M$2001,"&lt;="&amp;S786)),"")</f>
        <v/>
      </c>
      <c r="I786">
        <f>IF(783&gt;$O$2,"",MATCH(783,$Q$3:$Q$402,1))</f>
        <v/>
      </c>
      <c r="J786">
        <f>IF(I786="","",IF(783=INDEX($Q$3:$Q$402,I786),"H","E"))</f>
        <v/>
      </c>
      <c r="K786">
        <f>IF(J786&lt;&gt;"E","",MATCH(S786,Transaksi!$M$2:$M$2001,0)+783-INDEX($Q$3:$Q$402,I786)-1)</f>
        <v/>
      </c>
      <c r="S786">
        <f>IF(I786="","",INDEX($O$3:$O$402,I786))</f>
        <v/>
      </c>
      <c r="T786">
        <f>IF(J786&lt;&gt;"H","",INDEX(Transaksi!$A$2:$A$2001,MATCH(S786,Transaksi!$M$2:$M$2001,0)))</f>
        <v/>
      </c>
    </row>
    <row r="787">
      <c r="A787" s="31">
        <f>IF(J787="E",IF(INDEX(Transaksi!$J$2:$J$2001,K787)&gt;0,"↑","↓"),"")</f>
        <v/>
      </c>
      <c r="B787" s="32">
        <f>IF(J787="H",CHOOSE(WEEKDAY(T787,2),"Isnin","Selasa","Rabu","Khamis","Jumaat","Sabtu","Ahad")&amp;", "&amp;DAY(T787)&amp;" "&amp;CHOOSE(MONTH(T787),"Jan","Feb","Mac","Apr","Mei","Jun","Jul","Ogo","Sep","Okt","Nov","Dis")&amp;" "&amp;YEAR(T787),IF(J787="E",IF(INDEX(Transaksi!$B$2:$B$2001,K787)="",INDEX(Transaksi!$C$2:$C$2001,K787)&amp;" · "&amp;INDEX(Transaksi!$D$2:$D$2001,K787),INDEX(Transaksi!$B$2:$B$2001,K787)),""))</f>
        <v/>
      </c>
      <c r="C787" s="32">
        <f>IF(J787="E",INDEX(Transaksi!$C$2:$C$2001,K787)&amp;"","")</f>
        <v/>
      </c>
      <c r="D787" s="32">
        <f>IF(J787="E",INDEX(Transaksi!$D$2:$D$2001,K787)&amp;"","")</f>
        <v/>
      </c>
      <c r="E787" s="33">
        <f>IF(J787="H",SUMIFS(Transaksi!$G$2:$G$2001,Transaksi!$M$2:$M$2001,"="&amp;S787)+SUMIFS(Transaksi!$H$2:$H$2001,Transaksi!$M$2:$M$2001,"="&amp;S787)+SUMIFS(Transaksi!$I$2:$I$2001,Transaksi!$M$2:$M$2001,"="&amp;S787),IF(J787="E",IF(INDEX(Transaksi!$G$2:$G$2001,K787)+INDEX(Transaksi!$H$2:$H$2001,K787)+INDEX(Transaksi!$I$2:$I$2001,K787)=0,"",INDEX(Transaksi!$G$2:$G$2001,K787)+INDEX(Transaksi!$H$2:$H$2001,K787)+INDEX(Transaksi!$I$2:$I$2001,K787)),""))</f>
        <v/>
      </c>
      <c r="F787" s="33">
        <f>IF(J787="H",SUMIFS(Transaksi!$J$2:$J$2001,Transaksi!$M$2:$M$2001,"="&amp;S787),IF(J787="E",IF(INDEX(Transaksi!$J$2:$J$2001,K787)=0,"",INDEX(Transaksi!$J$2:$J$2001,K787)),""))</f>
        <v/>
      </c>
      <c r="G787" s="33">
        <f>IF(J787="H",(SUMIFS(Transaksi!$G$2:$G$2001,Transaksi!$M$2:$M$2001,"&lt;="&amp;S787)+SUMIFS(Transaksi!$H$2:$H$2001,Transaksi!$M$2:$M$2001,"&lt;="&amp;S787)+SUMIFS(Transaksi!$I$2:$I$2001,Transaksi!$M$2:$M$2001,"&lt;="&amp;S787))-(SUMIFS(Transaksi!$J$2:$J$2001,Transaksi!$M$2:$M$2001,"&lt;="&amp;S787)),"")</f>
        <v/>
      </c>
      <c r="I787">
        <f>IF(784&gt;$O$2,"",MATCH(784,$Q$3:$Q$402,1))</f>
        <v/>
      </c>
      <c r="J787">
        <f>IF(I787="","",IF(784=INDEX($Q$3:$Q$402,I787),"H","E"))</f>
        <v/>
      </c>
      <c r="K787">
        <f>IF(J787&lt;&gt;"E","",MATCH(S787,Transaksi!$M$2:$M$2001,0)+784-INDEX($Q$3:$Q$402,I787)-1)</f>
        <v/>
      </c>
      <c r="S787">
        <f>IF(I787="","",INDEX($O$3:$O$402,I787))</f>
        <v/>
      </c>
      <c r="T787">
        <f>IF(J787&lt;&gt;"H","",INDEX(Transaksi!$A$2:$A$2001,MATCH(S787,Transaksi!$M$2:$M$2001,0)))</f>
        <v/>
      </c>
    </row>
    <row r="788">
      <c r="A788" s="31">
        <f>IF(J788="E",IF(INDEX(Transaksi!$J$2:$J$2001,K788)&gt;0,"↑","↓"),"")</f>
        <v/>
      </c>
      <c r="B788" s="32">
        <f>IF(J788="H",CHOOSE(WEEKDAY(T788,2),"Isnin","Selasa","Rabu","Khamis","Jumaat","Sabtu","Ahad")&amp;", "&amp;DAY(T788)&amp;" "&amp;CHOOSE(MONTH(T788),"Jan","Feb","Mac","Apr","Mei","Jun","Jul","Ogo","Sep","Okt","Nov","Dis")&amp;" "&amp;YEAR(T788),IF(J788="E",IF(INDEX(Transaksi!$B$2:$B$2001,K788)="",INDEX(Transaksi!$C$2:$C$2001,K788)&amp;" · "&amp;INDEX(Transaksi!$D$2:$D$2001,K788),INDEX(Transaksi!$B$2:$B$2001,K788)),""))</f>
        <v/>
      </c>
      <c r="C788" s="32">
        <f>IF(J788="E",INDEX(Transaksi!$C$2:$C$2001,K788)&amp;"","")</f>
        <v/>
      </c>
      <c r="D788" s="32">
        <f>IF(J788="E",INDEX(Transaksi!$D$2:$D$2001,K788)&amp;"","")</f>
        <v/>
      </c>
      <c r="E788" s="33">
        <f>IF(J788="H",SUMIFS(Transaksi!$G$2:$G$2001,Transaksi!$M$2:$M$2001,"="&amp;S788)+SUMIFS(Transaksi!$H$2:$H$2001,Transaksi!$M$2:$M$2001,"="&amp;S788)+SUMIFS(Transaksi!$I$2:$I$2001,Transaksi!$M$2:$M$2001,"="&amp;S788),IF(J788="E",IF(INDEX(Transaksi!$G$2:$G$2001,K788)+INDEX(Transaksi!$H$2:$H$2001,K788)+INDEX(Transaksi!$I$2:$I$2001,K788)=0,"",INDEX(Transaksi!$G$2:$G$2001,K788)+INDEX(Transaksi!$H$2:$H$2001,K788)+INDEX(Transaksi!$I$2:$I$2001,K788)),""))</f>
        <v/>
      </c>
      <c r="F788" s="33">
        <f>IF(J788="H",SUMIFS(Transaksi!$J$2:$J$2001,Transaksi!$M$2:$M$2001,"="&amp;S788),IF(J788="E",IF(INDEX(Transaksi!$J$2:$J$2001,K788)=0,"",INDEX(Transaksi!$J$2:$J$2001,K788)),""))</f>
        <v/>
      </c>
      <c r="G788" s="33">
        <f>IF(J788="H",(SUMIFS(Transaksi!$G$2:$G$2001,Transaksi!$M$2:$M$2001,"&lt;="&amp;S788)+SUMIFS(Transaksi!$H$2:$H$2001,Transaksi!$M$2:$M$2001,"&lt;="&amp;S788)+SUMIFS(Transaksi!$I$2:$I$2001,Transaksi!$M$2:$M$2001,"&lt;="&amp;S788))-(SUMIFS(Transaksi!$J$2:$J$2001,Transaksi!$M$2:$M$2001,"&lt;="&amp;S788)),"")</f>
        <v/>
      </c>
      <c r="I788">
        <f>IF(785&gt;$O$2,"",MATCH(785,$Q$3:$Q$402,1))</f>
        <v/>
      </c>
      <c r="J788">
        <f>IF(I788="","",IF(785=INDEX($Q$3:$Q$402,I788),"H","E"))</f>
        <v/>
      </c>
      <c r="K788">
        <f>IF(J788&lt;&gt;"E","",MATCH(S788,Transaksi!$M$2:$M$2001,0)+785-INDEX($Q$3:$Q$402,I788)-1)</f>
        <v/>
      </c>
      <c r="S788">
        <f>IF(I788="","",INDEX($O$3:$O$402,I788))</f>
        <v/>
      </c>
      <c r="T788">
        <f>IF(J788&lt;&gt;"H","",INDEX(Transaksi!$A$2:$A$2001,MATCH(S788,Transaksi!$M$2:$M$2001,0)))</f>
        <v/>
      </c>
    </row>
    <row r="789">
      <c r="A789" s="31">
        <f>IF(J789="E",IF(INDEX(Transaksi!$J$2:$J$2001,K789)&gt;0,"↑","↓"),"")</f>
        <v/>
      </c>
      <c r="B789" s="32">
        <f>IF(J789="H",CHOOSE(WEEKDAY(T789,2),"Isnin","Selasa","Rabu","Khamis","Jumaat","Sabtu","Ahad")&amp;", "&amp;DAY(T789)&amp;" "&amp;CHOOSE(MONTH(T789),"Jan","Feb","Mac","Apr","Mei","Jun","Jul","Ogo","Sep","Okt","Nov","Dis")&amp;" "&amp;YEAR(T789),IF(J789="E",IF(INDEX(Transaksi!$B$2:$B$2001,K789)="",INDEX(Transaksi!$C$2:$C$2001,K789)&amp;" · "&amp;INDEX(Transaksi!$D$2:$D$2001,K789),INDEX(Transaksi!$B$2:$B$2001,K789)),""))</f>
        <v/>
      </c>
      <c r="C789" s="32">
        <f>IF(J789="E",INDEX(Transaksi!$C$2:$C$2001,K789)&amp;"","")</f>
        <v/>
      </c>
      <c r="D789" s="32">
        <f>IF(J789="E",INDEX(Transaksi!$D$2:$D$2001,K789)&amp;"","")</f>
        <v/>
      </c>
      <c r="E789" s="33">
        <f>IF(J789="H",SUMIFS(Transaksi!$G$2:$G$2001,Transaksi!$M$2:$M$2001,"="&amp;S789)+SUMIFS(Transaksi!$H$2:$H$2001,Transaksi!$M$2:$M$2001,"="&amp;S789)+SUMIFS(Transaksi!$I$2:$I$2001,Transaksi!$M$2:$M$2001,"="&amp;S789),IF(J789="E",IF(INDEX(Transaksi!$G$2:$G$2001,K789)+INDEX(Transaksi!$H$2:$H$2001,K789)+INDEX(Transaksi!$I$2:$I$2001,K789)=0,"",INDEX(Transaksi!$G$2:$G$2001,K789)+INDEX(Transaksi!$H$2:$H$2001,K789)+INDEX(Transaksi!$I$2:$I$2001,K789)),""))</f>
        <v/>
      </c>
      <c r="F789" s="33">
        <f>IF(J789="H",SUMIFS(Transaksi!$J$2:$J$2001,Transaksi!$M$2:$M$2001,"="&amp;S789),IF(J789="E",IF(INDEX(Transaksi!$J$2:$J$2001,K789)=0,"",INDEX(Transaksi!$J$2:$J$2001,K789)),""))</f>
        <v/>
      </c>
      <c r="G789" s="33">
        <f>IF(J789="H",(SUMIFS(Transaksi!$G$2:$G$2001,Transaksi!$M$2:$M$2001,"&lt;="&amp;S789)+SUMIFS(Transaksi!$H$2:$H$2001,Transaksi!$M$2:$M$2001,"&lt;="&amp;S789)+SUMIFS(Transaksi!$I$2:$I$2001,Transaksi!$M$2:$M$2001,"&lt;="&amp;S789))-(SUMIFS(Transaksi!$J$2:$J$2001,Transaksi!$M$2:$M$2001,"&lt;="&amp;S789)),"")</f>
        <v/>
      </c>
      <c r="I789">
        <f>IF(786&gt;$O$2,"",MATCH(786,$Q$3:$Q$402,1))</f>
        <v/>
      </c>
      <c r="J789">
        <f>IF(I789="","",IF(786=INDEX($Q$3:$Q$402,I789),"H","E"))</f>
        <v/>
      </c>
      <c r="K789">
        <f>IF(J789&lt;&gt;"E","",MATCH(S789,Transaksi!$M$2:$M$2001,0)+786-INDEX($Q$3:$Q$402,I789)-1)</f>
        <v/>
      </c>
      <c r="S789">
        <f>IF(I789="","",INDEX($O$3:$O$402,I789))</f>
        <v/>
      </c>
      <c r="T789">
        <f>IF(J789&lt;&gt;"H","",INDEX(Transaksi!$A$2:$A$2001,MATCH(S789,Transaksi!$M$2:$M$2001,0)))</f>
        <v/>
      </c>
    </row>
    <row r="790">
      <c r="A790" s="31">
        <f>IF(J790="E",IF(INDEX(Transaksi!$J$2:$J$2001,K790)&gt;0,"↑","↓"),"")</f>
        <v/>
      </c>
      <c r="B790" s="32">
        <f>IF(J790="H",CHOOSE(WEEKDAY(T790,2),"Isnin","Selasa","Rabu","Khamis","Jumaat","Sabtu","Ahad")&amp;", "&amp;DAY(T790)&amp;" "&amp;CHOOSE(MONTH(T790),"Jan","Feb","Mac","Apr","Mei","Jun","Jul","Ogo","Sep","Okt","Nov","Dis")&amp;" "&amp;YEAR(T790),IF(J790="E",IF(INDEX(Transaksi!$B$2:$B$2001,K790)="",INDEX(Transaksi!$C$2:$C$2001,K790)&amp;" · "&amp;INDEX(Transaksi!$D$2:$D$2001,K790),INDEX(Transaksi!$B$2:$B$2001,K790)),""))</f>
        <v/>
      </c>
      <c r="C790" s="32">
        <f>IF(J790="E",INDEX(Transaksi!$C$2:$C$2001,K790)&amp;"","")</f>
        <v/>
      </c>
      <c r="D790" s="32">
        <f>IF(J790="E",INDEX(Transaksi!$D$2:$D$2001,K790)&amp;"","")</f>
        <v/>
      </c>
      <c r="E790" s="33">
        <f>IF(J790="H",SUMIFS(Transaksi!$G$2:$G$2001,Transaksi!$M$2:$M$2001,"="&amp;S790)+SUMIFS(Transaksi!$H$2:$H$2001,Transaksi!$M$2:$M$2001,"="&amp;S790)+SUMIFS(Transaksi!$I$2:$I$2001,Transaksi!$M$2:$M$2001,"="&amp;S790),IF(J790="E",IF(INDEX(Transaksi!$G$2:$G$2001,K790)+INDEX(Transaksi!$H$2:$H$2001,K790)+INDEX(Transaksi!$I$2:$I$2001,K790)=0,"",INDEX(Transaksi!$G$2:$G$2001,K790)+INDEX(Transaksi!$H$2:$H$2001,K790)+INDEX(Transaksi!$I$2:$I$2001,K790)),""))</f>
        <v/>
      </c>
      <c r="F790" s="33">
        <f>IF(J790="H",SUMIFS(Transaksi!$J$2:$J$2001,Transaksi!$M$2:$M$2001,"="&amp;S790),IF(J790="E",IF(INDEX(Transaksi!$J$2:$J$2001,K790)=0,"",INDEX(Transaksi!$J$2:$J$2001,K790)),""))</f>
        <v/>
      </c>
      <c r="G790" s="33">
        <f>IF(J790="H",(SUMIFS(Transaksi!$G$2:$G$2001,Transaksi!$M$2:$M$2001,"&lt;="&amp;S790)+SUMIFS(Transaksi!$H$2:$H$2001,Transaksi!$M$2:$M$2001,"&lt;="&amp;S790)+SUMIFS(Transaksi!$I$2:$I$2001,Transaksi!$M$2:$M$2001,"&lt;="&amp;S790))-(SUMIFS(Transaksi!$J$2:$J$2001,Transaksi!$M$2:$M$2001,"&lt;="&amp;S790)),"")</f>
        <v/>
      </c>
      <c r="I790">
        <f>IF(787&gt;$O$2,"",MATCH(787,$Q$3:$Q$402,1))</f>
        <v/>
      </c>
      <c r="J790">
        <f>IF(I790="","",IF(787=INDEX($Q$3:$Q$402,I790),"H","E"))</f>
        <v/>
      </c>
      <c r="K790">
        <f>IF(J790&lt;&gt;"E","",MATCH(S790,Transaksi!$M$2:$M$2001,0)+787-INDEX($Q$3:$Q$402,I790)-1)</f>
        <v/>
      </c>
      <c r="S790">
        <f>IF(I790="","",INDEX($O$3:$O$402,I790))</f>
        <v/>
      </c>
      <c r="T790">
        <f>IF(J790&lt;&gt;"H","",INDEX(Transaksi!$A$2:$A$2001,MATCH(S790,Transaksi!$M$2:$M$2001,0)))</f>
        <v/>
      </c>
    </row>
    <row r="791">
      <c r="A791" s="31">
        <f>IF(J791="E",IF(INDEX(Transaksi!$J$2:$J$2001,K791)&gt;0,"↑","↓"),"")</f>
        <v/>
      </c>
      <c r="B791" s="32">
        <f>IF(J791="H",CHOOSE(WEEKDAY(T791,2),"Isnin","Selasa","Rabu","Khamis","Jumaat","Sabtu","Ahad")&amp;", "&amp;DAY(T791)&amp;" "&amp;CHOOSE(MONTH(T791),"Jan","Feb","Mac","Apr","Mei","Jun","Jul","Ogo","Sep","Okt","Nov","Dis")&amp;" "&amp;YEAR(T791),IF(J791="E",IF(INDEX(Transaksi!$B$2:$B$2001,K791)="",INDEX(Transaksi!$C$2:$C$2001,K791)&amp;" · "&amp;INDEX(Transaksi!$D$2:$D$2001,K791),INDEX(Transaksi!$B$2:$B$2001,K791)),""))</f>
        <v/>
      </c>
      <c r="C791" s="32">
        <f>IF(J791="E",INDEX(Transaksi!$C$2:$C$2001,K791)&amp;"","")</f>
        <v/>
      </c>
      <c r="D791" s="32">
        <f>IF(J791="E",INDEX(Transaksi!$D$2:$D$2001,K791)&amp;"","")</f>
        <v/>
      </c>
      <c r="E791" s="33">
        <f>IF(J791="H",SUMIFS(Transaksi!$G$2:$G$2001,Transaksi!$M$2:$M$2001,"="&amp;S791)+SUMIFS(Transaksi!$H$2:$H$2001,Transaksi!$M$2:$M$2001,"="&amp;S791)+SUMIFS(Transaksi!$I$2:$I$2001,Transaksi!$M$2:$M$2001,"="&amp;S791),IF(J791="E",IF(INDEX(Transaksi!$G$2:$G$2001,K791)+INDEX(Transaksi!$H$2:$H$2001,K791)+INDEX(Transaksi!$I$2:$I$2001,K791)=0,"",INDEX(Transaksi!$G$2:$G$2001,K791)+INDEX(Transaksi!$H$2:$H$2001,K791)+INDEX(Transaksi!$I$2:$I$2001,K791)),""))</f>
        <v/>
      </c>
      <c r="F791" s="33">
        <f>IF(J791="H",SUMIFS(Transaksi!$J$2:$J$2001,Transaksi!$M$2:$M$2001,"="&amp;S791),IF(J791="E",IF(INDEX(Transaksi!$J$2:$J$2001,K791)=0,"",INDEX(Transaksi!$J$2:$J$2001,K791)),""))</f>
        <v/>
      </c>
      <c r="G791" s="33">
        <f>IF(J791="H",(SUMIFS(Transaksi!$G$2:$G$2001,Transaksi!$M$2:$M$2001,"&lt;="&amp;S791)+SUMIFS(Transaksi!$H$2:$H$2001,Transaksi!$M$2:$M$2001,"&lt;="&amp;S791)+SUMIFS(Transaksi!$I$2:$I$2001,Transaksi!$M$2:$M$2001,"&lt;="&amp;S791))-(SUMIFS(Transaksi!$J$2:$J$2001,Transaksi!$M$2:$M$2001,"&lt;="&amp;S791)),"")</f>
        <v/>
      </c>
      <c r="I791">
        <f>IF(788&gt;$O$2,"",MATCH(788,$Q$3:$Q$402,1))</f>
        <v/>
      </c>
      <c r="J791">
        <f>IF(I791="","",IF(788=INDEX($Q$3:$Q$402,I791),"H","E"))</f>
        <v/>
      </c>
      <c r="K791">
        <f>IF(J791&lt;&gt;"E","",MATCH(S791,Transaksi!$M$2:$M$2001,0)+788-INDEX($Q$3:$Q$402,I791)-1)</f>
        <v/>
      </c>
      <c r="S791">
        <f>IF(I791="","",INDEX($O$3:$O$402,I791))</f>
        <v/>
      </c>
      <c r="T791">
        <f>IF(J791&lt;&gt;"H","",INDEX(Transaksi!$A$2:$A$2001,MATCH(S791,Transaksi!$M$2:$M$2001,0)))</f>
        <v/>
      </c>
    </row>
    <row r="792">
      <c r="A792" s="31">
        <f>IF(J792="E",IF(INDEX(Transaksi!$J$2:$J$2001,K792)&gt;0,"↑","↓"),"")</f>
        <v/>
      </c>
      <c r="B792" s="32">
        <f>IF(J792="H",CHOOSE(WEEKDAY(T792,2),"Isnin","Selasa","Rabu","Khamis","Jumaat","Sabtu","Ahad")&amp;", "&amp;DAY(T792)&amp;" "&amp;CHOOSE(MONTH(T792),"Jan","Feb","Mac","Apr","Mei","Jun","Jul","Ogo","Sep","Okt","Nov","Dis")&amp;" "&amp;YEAR(T792),IF(J792="E",IF(INDEX(Transaksi!$B$2:$B$2001,K792)="",INDEX(Transaksi!$C$2:$C$2001,K792)&amp;" · "&amp;INDEX(Transaksi!$D$2:$D$2001,K792),INDEX(Transaksi!$B$2:$B$2001,K792)),""))</f>
        <v/>
      </c>
      <c r="C792" s="32">
        <f>IF(J792="E",INDEX(Transaksi!$C$2:$C$2001,K792)&amp;"","")</f>
        <v/>
      </c>
      <c r="D792" s="32">
        <f>IF(J792="E",INDEX(Transaksi!$D$2:$D$2001,K792)&amp;"","")</f>
        <v/>
      </c>
      <c r="E792" s="33">
        <f>IF(J792="H",SUMIFS(Transaksi!$G$2:$G$2001,Transaksi!$M$2:$M$2001,"="&amp;S792)+SUMIFS(Transaksi!$H$2:$H$2001,Transaksi!$M$2:$M$2001,"="&amp;S792)+SUMIFS(Transaksi!$I$2:$I$2001,Transaksi!$M$2:$M$2001,"="&amp;S792),IF(J792="E",IF(INDEX(Transaksi!$G$2:$G$2001,K792)+INDEX(Transaksi!$H$2:$H$2001,K792)+INDEX(Transaksi!$I$2:$I$2001,K792)=0,"",INDEX(Transaksi!$G$2:$G$2001,K792)+INDEX(Transaksi!$H$2:$H$2001,K792)+INDEX(Transaksi!$I$2:$I$2001,K792)),""))</f>
        <v/>
      </c>
      <c r="F792" s="33">
        <f>IF(J792="H",SUMIFS(Transaksi!$J$2:$J$2001,Transaksi!$M$2:$M$2001,"="&amp;S792),IF(J792="E",IF(INDEX(Transaksi!$J$2:$J$2001,K792)=0,"",INDEX(Transaksi!$J$2:$J$2001,K792)),""))</f>
        <v/>
      </c>
      <c r="G792" s="33">
        <f>IF(J792="H",(SUMIFS(Transaksi!$G$2:$G$2001,Transaksi!$M$2:$M$2001,"&lt;="&amp;S792)+SUMIFS(Transaksi!$H$2:$H$2001,Transaksi!$M$2:$M$2001,"&lt;="&amp;S792)+SUMIFS(Transaksi!$I$2:$I$2001,Transaksi!$M$2:$M$2001,"&lt;="&amp;S792))-(SUMIFS(Transaksi!$J$2:$J$2001,Transaksi!$M$2:$M$2001,"&lt;="&amp;S792)),"")</f>
        <v/>
      </c>
      <c r="I792">
        <f>IF(789&gt;$O$2,"",MATCH(789,$Q$3:$Q$402,1))</f>
        <v/>
      </c>
      <c r="J792">
        <f>IF(I792="","",IF(789=INDEX($Q$3:$Q$402,I792),"H","E"))</f>
        <v/>
      </c>
      <c r="K792">
        <f>IF(J792&lt;&gt;"E","",MATCH(S792,Transaksi!$M$2:$M$2001,0)+789-INDEX($Q$3:$Q$402,I792)-1)</f>
        <v/>
      </c>
      <c r="S792">
        <f>IF(I792="","",INDEX($O$3:$O$402,I792))</f>
        <v/>
      </c>
      <c r="T792">
        <f>IF(J792&lt;&gt;"H","",INDEX(Transaksi!$A$2:$A$2001,MATCH(S792,Transaksi!$M$2:$M$2001,0)))</f>
        <v/>
      </c>
    </row>
    <row r="793">
      <c r="A793" s="31">
        <f>IF(J793="E",IF(INDEX(Transaksi!$J$2:$J$2001,K793)&gt;0,"↑","↓"),"")</f>
        <v/>
      </c>
      <c r="B793" s="32">
        <f>IF(J793="H",CHOOSE(WEEKDAY(T793,2),"Isnin","Selasa","Rabu","Khamis","Jumaat","Sabtu","Ahad")&amp;", "&amp;DAY(T793)&amp;" "&amp;CHOOSE(MONTH(T793),"Jan","Feb","Mac","Apr","Mei","Jun","Jul","Ogo","Sep","Okt","Nov","Dis")&amp;" "&amp;YEAR(T793),IF(J793="E",IF(INDEX(Transaksi!$B$2:$B$2001,K793)="",INDEX(Transaksi!$C$2:$C$2001,K793)&amp;" · "&amp;INDEX(Transaksi!$D$2:$D$2001,K793),INDEX(Transaksi!$B$2:$B$2001,K793)),""))</f>
        <v/>
      </c>
      <c r="C793" s="32">
        <f>IF(J793="E",INDEX(Transaksi!$C$2:$C$2001,K793)&amp;"","")</f>
        <v/>
      </c>
      <c r="D793" s="32">
        <f>IF(J793="E",INDEX(Transaksi!$D$2:$D$2001,K793)&amp;"","")</f>
        <v/>
      </c>
      <c r="E793" s="33">
        <f>IF(J793="H",SUMIFS(Transaksi!$G$2:$G$2001,Transaksi!$M$2:$M$2001,"="&amp;S793)+SUMIFS(Transaksi!$H$2:$H$2001,Transaksi!$M$2:$M$2001,"="&amp;S793)+SUMIFS(Transaksi!$I$2:$I$2001,Transaksi!$M$2:$M$2001,"="&amp;S793),IF(J793="E",IF(INDEX(Transaksi!$G$2:$G$2001,K793)+INDEX(Transaksi!$H$2:$H$2001,K793)+INDEX(Transaksi!$I$2:$I$2001,K793)=0,"",INDEX(Transaksi!$G$2:$G$2001,K793)+INDEX(Transaksi!$H$2:$H$2001,K793)+INDEX(Transaksi!$I$2:$I$2001,K793)),""))</f>
        <v/>
      </c>
      <c r="F793" s="33">
        <f>IF(J793="H",SUMIFS(Transaksi!$J$2:$J$2001,Transaksi!$M$2:$M$2001,"="&amp;S793),IF(J793="E",IF(INDEX(Transaksi!$J$2:$J$2001,K793)=0,"",INDEX(Transaksi!$J$2:$J$2001,K793)),""))</f>
        <v/>
      </c>
      <c r="G793" s="33">
        <f>IF(J793="H",(SUMIFS(Transaksi!$G$2:$G$2001,Transaksi!$M$2:$M$2001,"&lt;="&amp;S793)+SUMIFS(Transaksi!$H$2:$H$2001,Transaksi!$M$2:$M$2001,"&lt;="&amp;S793)+SUMIFS(Transaksi!$I$2:$I$2001,Transaksi!$M$2:$M$2001,"&lt;="&amp;S793))-(SUMIFS(Transaksi!$J$2:$J$2001,Transaksi!$M$2:$M$2001,"&lt;="&amp;S793)),"")</f>
        <v/>
      </c>
      <c r="I793">
        <f>IF(790&gt;$O$2,"",MATCH(790,$Q$3:$Q$402,1))</f>
        <v/>
      </c>
      <c r="J793">
        <f>IF(I793="","",IF(790=INDEX($Q$3:$Q$402,I793),"H","E"))</f>
        <v/>
      </c>
      <c r="K793">
        <f>IF(J793&lt;&gt;"E","",MATCH(S793,Transaksi!$M$2:$M$2001,0)+790-INDEX($Q$3:$Q$402,I793)-1)</f>
        <v/>
      </c>
      <c r="S793">
        <f>IF(I793="","",INDEX($O$3:$O$402,I793))</f>
        <v/>
      </c>
      <c r="T793">
        <f>IF(J793&lt;&gt;"H","",INDEX(Transaksi!$A$2:$A$2001,MATCH(S793,Transaksi!$M$2:$M$2001,0)))</f>
        <v/>
      </c>
    </row>
    <row r="794">
      <c r="A794" s="31">
        <f>IF(J794="E",IF(INDEX(Transaksi!$J$2:$J$2001,K794)&gt;0,"↑","↓"),"")</f>
        <v/>
      </c>
      <c r="B794" s="32">
        <f>IF(J794="H",CHOOSE(WEEKDAY(T794,2),"Isnin","Selasa","Rabu","Khamis","Jumaat","Sabtu","Ahad")&amp;", "&amp;DAY(T794)&amp;" "&amp;CHOOSE(MONTH(T794),"Jan","Feb","Mac","Apr","Mei","Jun","Jul","Ogo","Sep","Okt","Nov","Dis")&amp;" "&amp;YEAR(T794),IF(J794="E",IF(INDEX(Transaksi!$B$2:$B$2001,K794)="",INDEX(Transaksi!$C$2:$C$2001,K794)&amp;" · "&amp;INDEX(Transaksi!$D$2:$D$2001,K794),INDEX(Transaksi!$B$2:$B$2001,K794)),""))</f>
        <v/>
      </c>
      <c r="C794" s="32">
        <f>IF(J794="E",INDEX(Transaksi!$C$2:$C$2001,K794)&amp;"","")</f>
        <v/>
      </c>
      <c r="D794" s="32">
        <f>IF(J794="E",INDEX(Transaksi!$D$2:$D$2001,K794)&amp;"","")</f>
        <v/>
      </c>
      <c r="E794" s="33">
        <f>IF(J794="H",SUMIFS(Transaksi!$G$2:$G$2001,Transaksi!$M$2:$M$2001,"="&amp;S794)+SUMIFS(Transaksi!$H$2:$H$2001,Transaksi!$M$2:$M$2001,"="&amp;S794)+SUMIFS(Transaksi!$I$2:$I$2001,Transaksi!$M$2:$M$2001,"="&amp;S794),IF(J794="E",IF(INDEX(Transaksi!$G$2:$G$2001,K794)+INDEX(Transaksi!$H$2:$H$2001,K794)+INDEX(Transaksi!$I$2:$I$2001,K794)=0,"",INDEX(Transaksi!$G$2:$G$2001,K794)+INDEX(Transaksi!$H$2:$H$2001,K794)+INDEX(Transaksi!$I$2:$I$2001,K794)),""))</f>
        <v/>
      </c>
      <c r="F794" s="33">
        <f>IF(J794="H",SUMIFS(Transaksi!$J$2:$J$2001,Transaksi!$M$2:$M$2001,"="&amp;S794),IF(J794="E",IF(INDEX(Transaksi!$J$2:$J$2001,K794)=0,"",INDEX(Transaksi!$J$2:$J$2001,K794)),""))</f>
        <v/>
      </c>
      <c r="G794" s="33">
        <f>IF(J794="H",(SUMIFS(Transaksi!$G$2:$G$2001,Transaksi!$M$2:$M$2001,"&lt;="&amp;S794)+SUMIFS(Transaksi!$H$2:$H$2001,Transaksi!$M$2:$M$2001,"&lt;="&amp;S794)+SUMIFS(Transaksi!$I$2:$I$2001,Transaksi!$M$2:$M$2001,"&lt;="&amp;S794))-(SUMIFS(Transaksi!$J$2:$J$2001,Transaksi!$M$2:$M$2001,"&lt;="&amp;S794)),"")</f>
        <v/>
      </c>
      <c r="I794">
        <f>IF(791&gt;$O$2,"",MATCH(791,$Q$3:$Q$402,1))</f>
        <v/>
      </c>
      <c r="J794">
        <f>IF(I794="","",IF(791=INDEX($Q$3:$Q$402,I794),"H","E"))</f>
        <v/>
      </c>
      <c r="K794">
        <f>IF(J794&lt;&gt;"E","",MATCH(S794,Transaksi!$M$2:$M$2001,0)+791-INDEX($Q$3:$Q$402,I794)-1)</f>
        <v/>
      </c>
      <c r="S794">
        <f>IF(I794="","",INDEX($O$3:$O$402,I794))</f>
        <v/>
      </c>
      <c r="T794">
        <f>IF(J794&lt;&gt;"H","",INDEX(Transaksi!$A$2:$A$2001,MATCH(S794,Transaksi!$M$2:$M$2001,0)))</f>
        <v/>
      </c>
    </row>
    <row r="795">
      <c r="A795" s="31">
        <f>IF(J795="E",IF(INDEX(Transaksi!$J$2:$J$2001,K795)&gt;0,"↑","↓"),"")</f>
        <v/>
      </c>
      <c r="B795" s="32">
        <f>IF(J795="H",CHOOSE(WEEKDAY(T795,2),"Isnin","Selasa","Rabu","Khamis","Jumaat","Sabtu","Ahad")&amp;", "&amp;DAY(T795)&amp;" "&amp;CHOOSE(MONTH(T795),"Jan","Feb","Mac","Apr","Mei","Jun","Jul","Ogo","Sep","Okt","Nov","Dis")&amp;" "&amp;YEAR(T795),IF(J795="E",IF(INDEX(Transaksi!$B$2:$B$2001,K795)="",INDEX(Transaksi!$C$2:$C$2001,K795)&amp;" · "&amp;INDEX(Transaksi!$D$2:$D$2001,K795),INDEX(Transaksi!$B$2:$B$2001,K795)),""))</f>
        <v/>
      </c>
      <c r="C795" s="32">
        <f>IF(J795="E",INDEX(Transaksi!$C$2:$C$2001,K795)&amp;"","")</f>
        <v/>
      </c>
      <c r="D795" s="32">
        <f>IF(J795="E",INDEX(Transaksi!$D$2:$D$2001,K795)&amp;"","")</f>
        <v/>
      </c>
      <c r="E795" s="33">
        <f>IF(J795="H",SUMIFS(Transaksi!$G$2:$G$2001,Transaksi!$M$2:$M$2001,"="&amp;S795)+SUMIFS(Transaksi!$H$2:$H$2001,Transaksi!$M$2:$M$2001,"="&amp;S795)+SUMIFS(Transaksi!$I$2:$I$2001,Transaksi!$M$2:$M$2001,"="&amp;S795),IF(J795="E",IF(INDEX(Transaksi!$G$2:$G$2001,K795)+INDEX(Transaksi!$H$2:$H$2001,K795)+INDEX(Transaksi!$I$2:$I$2001,K795)=0,"",INDEX(Transaksi!$G$2:$G$2001,K795)+INDEX(Transaksi!$H$2:$H$2001,K795)+INDEX(Transaksi!$I$2:$I$2001,K795)),""))</f>
        <v/>
      </c>
      <c r="F795" s="33">
        <f>IF(J795="H",SUMIFS(Transaksi!$J$2:$J$2001,Transaksi!$M$2:$M$2001,"="&amp;S795),IF(J795="E",IF(INDEX(Transaksi!$J$2:$J$2001,K795)=0,"",INDEX(Transaksi!$J$2:$J$2001,K795)),""))</f>
        <v/>
      </c>
      <c r="G795" s="33">
        <f>IF(J795="H",(SUMIFS(Transaksi!$G$2:$G$2001,Transaksi!$M$2:$M$2001,"&lt;="&amp;S795)+SUMIFS(Transaksi!$H$2:$H$2001,Transaksi!$M$2:$M$2001,"&lt;="&amp;S795)+SUMIFS(Transaksi!$I$2:$I$2001,Transaksi!$M$2:$M$2001,"&lt;="&amp;S795))-(SUMIFS(Transaksi!$J$2:$J$2001,Transaksi!$M$2:$M$2001,"&lt;="&amp;S795)),"")</f>
        <v/>
      </c>
      <c r="I795">
        <f>IF(792&gt;$O$2,"",MATCH(792,$Q$3:$Q$402,1))</f>
        <v/>
      </c>
      <c r="J795">
        <f>IF(I795="","",IF(792=INDEX($Q$3:$Q$402,I795),"H","E"))</f>
        <v/>
      </c>
      <c r="K795">
        <f>IF(J795&lt;&gt;"E","",MATCH(S795,Transaksi!$M$2:$M$2001,0)+792-INDEX($Q$3:$Q$402,I795)-1)</f>
        <v/>
      </c>
      <c r="S795">
        <f>IF(I795="","",INDEX($O$3:$O$402,I795))</f>
        <v/>
      </c>
      <c r="T795">
        <f>IF(J795&lt;&gt;"H","",INDEX(Transaksi!$A$2:$A$2001,MATCH(S795,Transaksi!$M$2:$M$2001,0)))</f>
        <v/>
      </c>
    </row>
    <row r="796">
      <c r="A796" s="31">
        <f>IF(J796="E",IF(INDEX(Transaksi!$J$2:$J$2001,K796)&gt;0,"↑","↓"),"")</f>
        <v/>
      </c>
      <c r="B796" s="32">
        <f>IF(J796="H",CHOOSE(WEEKDAY(T796,2),"Isnin","Selasa","Rabu","Khamis","Jumaat","Sabtu","Ahad")&amp;", "&amp;DAY(T796)&amp;" "&amp;CHOOSE(MONTH(T796),"Jan","Feb","Mac","Apr","Mei","Jun","Jul","Ogo","Sep","Okt","Nov","Dis")&amp;" "&amp;YEAR(T796),IF(J796="E",IF(INDEX(Transaksi!$B$2:$B$2001,K796)="",INDEX(Transaksi!$C$2:$C$2001,K796)&amp;" · "&amp;INDEX(Transaksi!$D$2:$D$2001,K796),INDEX(Transaksi!$B$2:$B$2001,K796)),""))</f>
        <v/>
      </c>
      <c r="C796" s="32">
        <f>IF(J796="E",INDEX(Transaksi!$C$2:$C$2001,K796)&amp;"","")</f>
        <v/>
      </c>
      <c r="D796" s="32">
        <f>IF(J796="E",INDEX(Transaksi!$D$2:$D$2001,K796)&amp;"","")</f>
        <v/>
      </c>
      <c r="E796" s="33">
        <f>IF(J796="H",SUMIFS(Transaksi!$G$2:$G$2001,Transaksi!$M$2:$M$2001,"="&amp;S796)+SUMIFS(Transaksi!$H$2:$H$2001,Transaksi!$M$2:$M$2001,"="&amp;S796)+SUMIFS(Transaksi!$I$2:$I$2001,Transaksi!$M$2:$M$2001,"="&amp;S796),IF(J796="E",IF(INDEX(Transaksi!$G$2:$G$2001,K796)+INDEX(Transaksi!$H$2:$H$2001,K796)+INDEX(Transaksi!$I$2:$I$2001,K796)=0,"",INDEX(Transaksi!$G$2:$G$2001,K796)+INDEX(Transaksi!$H$2:$H$2001,K796)+INDEX(Transaksi!$I$2:$I$2001,K796)),""))</f>
        <v/>
      </c>
      <c r="F796" s="33">
        <f>IF(J796="H",SUMIFS(Transaksi!$J$2:$J$2001,Transaksi!$M$2:$M$2001,"="&amp;S796),IF(J796="E",IF(INDEX(Transaksi!$J$2:$J$2001,K796)=0,"",INDEX(Transaksi!$J$2:$J$2001,K796)),""))</f>
        <v/>
      </c>
      <c r="G796" s="33">
        <f>IF(J796="H",(SUMIFS(Transaksi!$G$2:$G$2001,Transaksi!$M$2:$M$2001,"&lt;="&amp;S796)+SUMIFS(Transaksi!$H$2:$H$2001,Transaksi!$M$2:$M$2001,"&lt;="&amp;S796)+SUMIFS(Transaksi!$I$2:$I$2001,Transaksi!$M$2:$M$2001,"&lt;="&amp;S796))-(SUMIFS(Transaksi!$J$2:$J$2001,Transaksi!$M$2:$M$2001,"&lt;="&amp;S796)),"")</f>
        <v/>
      </c>
      <c r="I796">
        <f>IF(793&gt;$O$2,"",MATCH(793,$Q$3:$Q$402,1))</f>
        <v/>
      </c>
      <c r="J796">
        <f>IF(I796="","",IF(793=INDEX($Q$3:$Q$402,I796),"H","E"))</f>
        <v/>
      </c>
      <c r="K796">
        <f>IF(J796&lt;&gt;"E","",MATCH(S796,Transaksi!$M$2:$M$2001,0)+793-INDEX($Q$3:$Q$402,I796)-1)</f>
        <v/>
      </c>
      <c r="S796">
        <f>IF(I796="","",INDEX($O$3:$O$402,I796))</f>
        <v/>
      </c>
      <c r="T796">
        <f>IF(J796&lt;&gt;"H","",INDEX(Transaksi!$A$2:$A$2001,MATCH(S796,Transaksi!$M$2:$M$2001,0)))</f>
        <v/>
      </c>
    </row>
    <row r="797">
      <c r="A797" s="31">
        <f>IF(J797="E",IF(INDEX(Transaksi!$J$2:$J$2001,K797)&gt;0,"↑","↓"),"")</f>
        <v/>
      </c>
      <c r="B797" s="32">
        <f>IF(J797="H",CHOOSE(WEEKDAY(T797,2),"Isnin","Selasa","Rabu","Khamis","Jumaat","Sabtu","Ahad")&amp;", "&amp;DAY(T797)&amp;" "&amp;CHOOSE(MONTH(T797),"Jan","Feb","Mac","Apr","Mei","Jun","Jul","Ogo","Sep","Okt","Nov","Dis")&amp;" "&amp;YEAR(T797),IF(J797="E",IF(INDEX(Transaksi!$B$2:$B$2001,K797)="",INDEX(Transaksi!$C$2:$C$2001,K797)&amp;" · "&amp;INDEX(Transaksi!$D$2:$D$2001,K797),INDEX(Transaksi!$B$2:$B$2001,K797)),""))</f>
        <v/>
      </c>
      <c r="C797" s="32">
        <f>IF(J797="E",INDEX(Transaksi!$C$2:$C$2001,K797)&amp;"","")</f>
        <v/>
      </c>
      <c r="D797" s="32">
        <f>IF(J797="E",INDEX(Transaksi!$D$2:$D$2001,K797)&amp;"","")</f>
        <v/>
      </c>
      <c r="E797" s="33">
        <f>IF(J797="H",SUMIFS(Transaksi!$G$2:$G$2001,Transaksi!$M$2:$M$2001,"="&amp;S797)+SUMIFS(Transaksi!$H$2:$H$2001,Transaksi!$M$2:$M$2001,"="&amp;S797)+SUMIFS(Transaksi!$I$2:$I$2001,Transaksi!$M$2:$M$2001,"="&amp;S797),IF(J797="E",IF(INDEX(Transaksi!$G$2:$G$2001,K797)+INDEX(Transaksi!$H$2:$H$2001,K797)+INDEX(Transaksi!$I$2:$I$2001,K797)=0,"",INDEX(Transaksi!$G$2:$G$2001,K797)+INDEX(Transaksi!$H$2:$H$2001,K797)+INDEX(Transaksi!$I$2:$I$2001,K797)),""))</f>
        <v/>
      </c>
      <c r="F797" s="33">
        <f>IF(J797="H",SUMIFS(Transaksi!$J$2:$J$2001,Transaksi!$M$2:$M$2001,"="&amp;S797),IF(J797="E",IF(INDEX(Transaksi!$J$2:$J$2001,K797)=0,"",INDEX(Transaksi!$J$2:$J$2001,K797)),""))</f>
        <v/>
      </c>
      <c r="G797" s="33">
        <f>IF(J797="H",(SUMIFS(Transaksi!$G$2:$G$2001,Transaksi!$M$2:$M$2001,"&lt;="&amp;S797)+SUMIFS(Transaksi!$H$2:$H$2001,Transaksi!$M$2:$M$2001,"&lt;="&amp;S797)+SUMIFS(Transaksi!$I$2:$I$2001,Transaksi!$M$2:$M$2001,"&lt;="&amp;S797))-(SUMIFS(Transaksi!$J$2:$J$2001,Transaksi!$M$2:$M$2001,"&lt;="&amp;S797)),"")</f>
        <v/>
      </c>
      <c r="I797">
        <f>IF(794&gt;$O$2,"",MATCH(794,$Q$3:$Q$402,1))</f>
        <v/>
      </c>
      <c r="J797">
        <f>IF(I797="","",IF(794=INDEX($Q$3:$Q$402,I797),"H","E"))</f>
        <v/>
      </c>
      <c r="K797">
        <f>IF(J797&lt;&gt;"E","",MATCH(S797,Transaksi!$M$2:$M$2001,0)+794-INDEX($Q$3:$Q$402,I797)-1)</f>
        <v/>
      </c>
      <c r="S797">
        <f>IF(I797="","",INDEX($O$3:$O$402,I797))</f>
        <v/>
      </c>
      <c r="T797">
        <f>IF(J797&lt;&gt;"H","",INDEX(Transaksi!$A$2:$A$2001,MATCH(S797,Transaksi!$M$2:$M$2001,0)))</f>
        <v/>
      </c>
    </row>
    <row r="798">
      <c r="A798" s="31">
        <f>IF(J798="E",IF(INDEX(Transaksi!$J$2:$J$2001,K798)&gt;0,"↑","↓"),"")</f>
        <v/>
      </c>
      <c r="B798" s="32">
        <f>IF(J798="H",CHOOSE(WEEKDAY(T798,2),"Isnin","Selasa","Rabu","Khamis","Jumaat","Sabtu","Ahad")&amp;", "&amp;DAY(T798)&amp;" "&amp;CHOOSE(MONTH(T798),"Jan","Feb","Mac","Apr","Mei","Jun","Jul","Ogo","Sep","Okt","Nov","Dis")&amp;" "&amp;YEAR(T798),IF(J798="E",IF(INDEX(Transaksi!$B$2:$B$2001,K798)="",INDEX(Transaksi!$C$2:$C$2001,K798)&amp;" · "&amp;INDEX(Transaksi!$D$2:$D$2001,K798),INDEX(Transaksi!$B$2:$B$2001,K798)),""))</f>
        <v/>
      </c>
      <c r="C798" s="32">
        <f>IF(J798="E",INDEX(Transaksi!$C$2:$C$2001,K798)&amp;"","")</f>
        <v/>
      </c>
      <c r="D798" s="32">
        <f>IF(J798="E",INDEX(Transaksi!$D$2:$D$2001,K798)&amp;"","")</f>
        <v/>
      </c>
      <c r="E798" s="33">
        <f>IF(J798="H",SUMIFS(Transaksi!$G$2:$G$2001,Transaksi!$M$2:$M$2001,"="&amp;S798)+SUMIFS(Transaksi!$H$2:$H$2001,Transaksi!$M$2:$M$2001,"="&amp;S798)+SUMIFS(Transaksi!$I$2:$I$2001,Transaksi!$M$2:$M$2001,"="&amp;S798),IF(J798="E",IF(INDEX(Transaksi!$G$2:$G$2001,K798)+INDEX(Transaksi!$H$2:$H$2001,K798)+INDEX(Transaksi!$I$2:$I$2001,K798)=0,"",INDEX(Transaksi!$G$2:$G$2001,K798)+INDEX(Transaksi!$H$2:$H$2001,K798)+INDEX(Transaksi!$I$2:$I$2001,K798)),""))</f>
        <v/>
      </c>
      <c r="F798" s="33">
        <f>IF(J798="H",SUMIFS(Transaksi!$J$2:$J$2001,Transaksi!$M$2:$M$2001,"="&amp;S798),IF(J798="E",IF(INDEX(Transaksi!$J$2:$J$2001,K798)=0,"",INDEX(Transaksi!$J$2:$J$2001,K798)),""))</f>
        <v/>
      </c>
      <c r="G798" s="33">
        <f>IF(J798="H",(SUMIFS(Transaksi!$G$2:$G$2001,Transaksi!$M$2:$M$2001,"&lt;="&amp;S798)+SUMIFS(Transaksi!$H$2:$H$2001,Transaksi!$M$2:$M$2001,"&lt;="&amp;S798)+SUMIFS(Transaksi!$I$2:$I$2001,Transaksi!$M$2:$M$2001,"&lt;="&amp;S798))-(SUMIFS(Transaksi!$J$2:$J$2001,Transaksi!$M$2:$M$2001,"&lt;="&amp;S798)),"")</f>
        <v/>
      </c>
      <c r="I798">
        <f>IF(795&gt;$O$2,"",MATCH(795,$Q$3:$Q$402,1))</f>
        <v/>
      </c>
      <c r="J798">
        <f>IF(I798="","",IF(795=INDEX($Q$3:$Q$402,I798),"H","E"))</f>
        <v/>
      </c>
      <c r="K798">
        <f>IF(J798&lt;&gt;"E","",MATCH(S798,Transaksi!$M$2:$M$2001,0)+795-INDEX($Q$3:$Q$402,I798)-1)</f>
        <v/>
      </c>
      <c r="S798">
        <f>IF(I798="","",INDEX($O$3:$O$402,I798))</f>
        <v/>
      </c>
      <c r="T798">
        <f>IF(J798&lt;&gt;"H","",INDEX(Transaksi!$A$2:$A$2001,MATCH(S798,Transaksi!$M$2:$M$2001,0)))</f>
        <v/>
      </c>
    </row>
    <row r="799">
      <c r="A799" s="31">
        <f>IF(J799="E",IF(INDEX(Transaksi!$J$2:$J$2001,K799)&gt;0,"↑","↓"),"")</f>
        <v/>
      </c>
      <c r="B799" s="32">
        <f>IF(J799="H",CHOOSE(WEEKDAY(T799,2),"Isnin","Selasa","Rabu","Khamis","Jumaat","Sabtu","Ahad")&amp;", "&amp;DAY(T799)&amp;" "&amp;CHOOSE(MONTH(T799),"Jan","Feb","Mac","Apr","Mei","Jun","Jul","Ogo","Sep","Okt","Nov","Dis")&amp;" "&amp;YEAR(T799),IF(J799="E",IF(INDEX(Transaksi!$B$2:$B$2001,K799)="",INDEX(Transaksi!$C$2:$C$2001,K799)&amp;" · "&amp;INDEX(Transaksi!$D$2:$D$2001,K799),INDEX(Transaksi!$B$2:$B$2001,K799)),""))</f>
        <v/>
      </c>
      <c r="C799" s="32">
        <f>IF(J799="E",INDEX(Transaksi!$C$2:$C$2001,K799)&amp;"","")</f>
        <v/>
      </c>
      <c r="D799" s="32">
        <f>IF(J799="E",INDEX(Transaksi!$D$2:$D$2001,K799)&amp;"","")</f>
        <v/>
      </c>
      <c r="E799" s="33">
        <f>IF(J799="H",SUMIFS(Transaksi!$G$2:$G$2001,Transaksi!$M$2:$M$2001,"="&amp;S799)+SUMIFS(Transaksi!$H$2:$H$2001,Transaksi!$M$2:$M$2001,"="&amp;S799)+SUMIFS(Transaksi!$I$2:$I$2001,Transaksi!$M$2:$M$2001,"="&amp;S799),IF(J799="E",IF(INDEX(Transaksi!$G$2:$G$2001,K799)+INDEX(Transaksi!$H$2:$H$2001,K799)+INDEX(Transaksi!$I$2:$I$2001,K799)=0,"",INDEX(Transaksi!$G$2:$G$2001,K799)+INDEX(Transaksi!$H$2:$H$2001,K799)+INDEX(Transaksi!$I$2:$I$2001,K799)),""))</f>
        <v/>
      </c>
      <c r="F799" s="33">
        <f>IF(J799="H",SUMIFS(Transaksi!$J$2:$J$2001,Transaksi!$M$2:$M$2001,"="&amp;S799),IF(J799="E",IF(INDEX(Transaksi!$J$2:$J$2001,K799)=0,"",INDEX(Transaksi!$J$2:$J$2001,K799)),""))</f>
        <v/>
      </c>
      <c r="G799" s="33">
        <f>IF(J799="H",(SUMIFS(Transaksi!$G$2:$G$2001,Transaksi!$M$2:$M$2001,"&lt;="&amp;S799)+SUMIFS(Transaksi!$H$2:$H$2001,Transaksi!$M$2:$M$2001,"&lt;="&amp;S799)+SUMIFS(Transaksi!$I$2:$I$2001,Transaksi!$M$2:$M$2001,"&lt;="&amp;S799))-(SUMIFS(Transaksi!$J$2:$J$2001,Transaksi!$M$2:$M$2001,"&lt;="&amp;S799)),"")</f>
        <v/>
      </c>
      <c r="I799">
        <f>IF(796&gt;$O$2,"",MATCH(796,$Q$3:$Q$402,1))</f>
        <v/>
      </c>
      <c r="J799">
        <f>IF(I799="","",IF(796=INDEX($Q$3:$Q$402,I799),"H","E"))</f>
        <v/>
      </c>
      <c r="K799">
        <f>IF(J799&lt;&gt;"E","",MATCH(S799,Transaksi!$M$2:$M$2001,0)+796-INDEX($Q$3:$Q$402,I799)-1)</f>
        <v/>
      </c>
      <c r="S799">
        <f>IF(I799="","",INDEX($O$3:$O$402,I799))</f>
        <v/>
      </c>
      <c r="T799">
        <f>IF(J799&lt;&gt;"H","",INDEX(Transaksi!$A$2:$A$2001,MATCH(S799,Transaksi!$M$2:$M$2001,0)))</f>
        <v/>
      </c>
    </row>
    <row r="800">
      <c r="A800" s="31">
        <f>IF(J800="E",IF(INDEX(Transaksi!$J$2:$J$2001,K800)&gt;0,"↑","↓"),"")</f>
        <v/>
      </c>
      <c r="B800" s="32">
        <f>IF(J800="H",CHOOSE(WEEKDAY(T800,2),"Isnin","Selasa","Rabu","Khamis","Jumaat","Sabtu","Ahad")&amp;", "&amp;DAY(T800)&amp;" "&amp;CHOOSE(MONTH(T800),"Jan","Feb","Mac","Apr","Mei","Jun","Jul","Ogo","Sep","Okt","Nov","Dis")&amp;" "&amp;YEAR(T800),IF(J800="E",IF(INDEX(Transaksi!$B$2:$B$2001,K800)="",INDEX(Transaksi!$C$2:$C$2001,K800)&amp;" · "&amp;INDEX(Transaksi!$D$2:$D$2001,K800),INDEX(Transaksi!$B$2:$B$2001,K800)),""))</f>
        <v/>
      </c>
      <c r="C800" s="32">
        <f>IF(J800="E",INDEX(Transaksi!$C$2:$C$2001,K800)&amp;"","")</f>
        <v/>
      </c>
      <c r="D800" s="32">
        <f>IF(J800="E",INDEX(Transaksi!$D$2:$D$2001,K800)&amp;"","")</f>
        <v/>
      </c>
      <c r="E800" s="33">
        <f>IF(J800="H",SUMIFS(Transaksi!$G$2:$G$2001,Transaksi!$M$2:$M$2001,"="&amp;S800)+SUMIFS(Transaksi!$H$2:$H$2001,Transaksi!$M$2:$M$2001,"="&amp;S800)+SUMIFS(Transaksi!$I$2:$I$2001,Transaksi!$M$2:$M$2001,"="&amp;S800),IF(J800="E",IF(INDEX(Transaksi!$G$2:$G$2001,K800)+INDEX(Transaksi!$H$2:$H$2001,K800)+INDEX(Transaksi!$I$2:$I$2001,K800)=0,"",INDEX(Transaksi!$G$2:$G$2001,K800)+INDEX(Transaksi!$H$2:$H$2001,K800)+INDEX(Transaksi!$I$2:$I$2001,K800)),""))</f>
        <v/>
      </c>
      <c r="F800" s="33">
        <f>IF(J800="H",SUMIFS(Transaksi!$J$2:$J$2001,Transaksi!$M$2:$M$2001,"="&amp;S800),IF(J800="E",IF(INDEX(Transaksi!$J$2:$J$2001,K800)=0,"",INDEX(Transaksi!$J$2:$J$2001,K800)),""))</f>
        <v/>
      </c>
      <c r="G800" s="33">
        <f>IF(J800="H",(SUMIFS(Transaksi!$G$2:$G$2001,Transaksi!$M$2:$M$2001,"&lt;="&amp;S800)+SUMIFS(Transaksi!$H$2:$H$2001,Transaksi!$M$2:$M$2001,"&lt;="&amp;S800)+SUMIFS(Transaksi!$I$2:$I$2001,Transaksi!$M$2:$M$2001,"&lt;="&amp;S800))-(SUMIFS(Transaksi!$J$2:$J$2001,Transaksi!$M$2:$M$2001,"&lt;="&amp;S800)),"")</f>
        <v/>
      </c>
      <c r="I800">
        <f>IF(797&gt;$O$2,"",MATCH(797,$Q$3:$Q$402,1))</f>
        <v/>
      </c>
      <c r="J800">
        <f>IF(I800="","",IF(797=INDEX($Q$3:$Q$402,I800),"H","E"))</f>
        <v/>
      </c>
      <c r="K800">
        <f>IF(J800&lt;&gt;"E","",MATCH(S800,Transaksi!$M$2:$M$2001,0)+797-INDEX($Q$3:$Q$402,I800)-1)</f>
        <v/>
      </c>
      <c r="S800">
        <f>IF(I800="","",INDEX($O$3:$O$402,I800))</f>
        <v/>
      </c>
      <c r="T800">
        <f>IF(J800&lt;&gt;"H","",INDEX(Transaksi!$A$2:$A$2001,MATCH(S800,Transaksi!$M$2:$M$2001,0)))</f>
        <v/>
      </c>
    </row>
    <row r="801">
      <c r="A801" s="31">
        <f>IF(J801="E",IF(INDEX(Transaksi!$J$2:$J$2001,K801)&gt;0,"↑","↓"),"")</f>
        <v/>
      </c>
      <c r="B801" s="32">
        <f>IF(J801="H",CHOOSE(WEEKDAY(T801,2),"Isnin","Selasa","Rabu","Khamis","Jumaat","Sabtu","Ahad")&amp;", "&amp;DAY(T801)&amp;" "&amp;CHOOSE(MONTH(T801),"Jan","Feb","Mac","Apr","Mei","Jun","Jul","Ogo","Sep","Okt","Nov","Dis")&amp;" "&amp;YEAR(T801),IF(J801="E",IF(INDEX(Transaksi!$B$2:$B$2001,K801)="",INDEX(Transaksi!$C$2:$C$2001,K801)&amp;" · "&amp;INDEX(Transaksi!$D$2:$D$2001,K801),INDEX(Transaksi!$B$2:$B$2001,K801)),""))</f>
        <v/>
      </c>
      <c r="C801" s="32">
        <f>IF(J801="E",INDEX(Transaksi!$C$2:$C$2001,K801)&amp;"","")</f>
        <v/>
      </c>
      <c r="D801" s="32">
        <f>IF(J801="E",INDEX(Transaksi!$D$2:$D$2001,K801)&amp;"","")</f>
        <v/>
      </c>
      <c r="E801" s="33">
        <f>IF(J801="H",SUMIFS(Transaksi!$G$2:$G$2001,Transaksi!$M$2:$M$2001,"="&amp;S801)+SUMIFS(Transaksi!$H$2:$H$2001,Transaksi!$M$2:$M$2001,"="&amp;S801)+SUMIFS(Transaksi!$I$2:$I$2001,Transaksi!$M$2:$M$2001,"="&amp;S801),IF(J801="E",IF(INDEX(Transaksi!$G$2:$G$2001,K801)+INDEX(Transaksi!$H$2:$H$2001,K801)+INDEX(Transaksi!$I$2:$I$2001,K801)=0,"",INDEX(Transaksi!$G$2:$G$2001,K801)+INDEX(Transaksi!$H$2:$H$2001,K801)+INDEX(Transaksi!$I$2:$I$2001,K801)),""))</f>
        <v/>
      </c>
      <c r="F801" s="33">
        <f>IF(J801="H",SUMIFS(Transaksi!$J$2:$J$2001,Transaksi!$M$2:$M$2001,"="&amp;S801),IF(J801="E",IF(INDEX(Transaksi!$J$2:$J$2001,K801)=0,"",INDEX(Transaksi!$J$2:$J$2001,K801)),""))</f>
        <v/>
      </c>
      <c r="G801" s="33">
        <f>IF(J801="H",(SUMIFS(Transaksi!$G$2:$G$2001,Transaksi!$M$2:$M$2001,"&lt;="&amp;S801)+SUMIFS(Transaksi!$H$2:$H$2001,Transaksi!$M$2:$M$2001,"&lt;="&amp;S801)+SUMIFS(Transaksi!$I$2:$I$2001,Transaksi!$M$2:$M$2001,"&lt;="&amp;S801))-(SUMIFS(Transaksi!$J$2:$J$2001,Transaksi!$M$2:$M$2001,"&lt;="&amp;S801)),"")</f>
        <v/>
      </c>
      <c r="I801">
        <f>IF(798&gt;$O$2,"",MATCH(798,$Q$3:$Q$402,1))</f>
        <v/>
      </c>
      <c r="J801">
        <f>IF(I801="","",IF(798=INDEX($Q$3:$Q$402,I801),"H","E"))</f>
        <v/>
      </c>
      <c r="K801">
        <f>IF(J801&lt;&gt;"E","",MATCH(S801,Transaksi!$M$2:$M$2001,0)+798-INDEX($Q$3:$Q$402,I801)-1)</f>
        <v/>
      </c>
      <c r="S801">
        <f>IF(I801="","",INDEX($O$3:$O$402,I801))</f>
        <v/>
      </c>
      <c r="T801">
        <f>IF(J801&lt;&gt;"H","",INDEX(Transaksi!$A$2:$A$2001,MATCH(S801,Transaksi!$M$2:$M$2001,0)))</f>
        <v/>
      </c>
    </row>
    <row r="802">
      <c r="A802" s="31">
        <f>IF(J802="E",IF(INDEX(Transaksi!$J$2:$J$2001,K802)&gt;0,"↑","↓"),"")</f>
        <v/>
      </c>
      <c r="B802" s="32">
        <f>IF(J802="H",CHOOSE(WEEKDAY(T802,2),"Isnin","Selasa","Rabu","Khamis","Jumaat","Sabtu","Ahad")&amp;", "&amp;DAY(T802)&amp;" "&amp;CHOOSE(MONTH(T802),"Jan","Feb","Mac","Apr","Mei","Jun","Jul","Ogo","Sep","Okt","Nov","Dis")&amp;" "&amp;YEAR(T802),IF(J802="E",IF(INDEX(Transaksi!$B$2:$B$2001,K802)="",INDEX(Transaksi!$C$2:$C$2001,K802)&amp;" · "&amp;INDEX(Transaksi!$D$2:$D$2001,K802),INDEX(Transaksi!$B$2:$B$2001,K802)),""))</f>
        <v/>
      </c>
      <c r="C802" s="32">
        <f>IF(J802="E",INDEX(Transaksi!$C$2:$C$2001,K802)&amp;"","")</f>
        <v/>
      </c>
      <c r="D802" s="32">
        <f>IF(J802="E",INDEX(Transaksi!$D$2:$D$2001,K802)&amp;"","")</f>
        <v/>
      </c>
      <c r="E802" s="33">
        <f>IF(J802="H",SUMIFS(Transaksi!$G$2:$G$2001,Transaksi!$M$2:$M$2001,"="&amp;S802)+SUMIFS(Transaksi!$H$2:$H$2001,Transaksi!$M$2:$M$2001,"="&amp;S802)+SUMIFS(Transaksi!$I$2:$I$2001,Transaksi!$M$2:$M$2001,"="&amp;S802),IF(J802="E",IF(INDEX(Transaksi!$G$2:$G$2001,K802)+INDEX(Transaksi!$H$2:$H$2001,K802)+INDEX(Transaksi!$I$2:$I$2001,K802)=0,"",INDEX(Transaksi!$G$2:$G$2001,K802)+INDEX(Transaksi!$H$2:$H$2001,K802)+INDEX(Transaksi!$I$2:$I$2001,K802)),""))</f>
        <v/>
      </c>
      <c r="F802" s="33">
        <f>IF(J802="H",SUMIFS(Transaksi!$J$2:$J$2001,Transaksi!$M$2:$M$2001,"="&amp;S802),IF(J802="E",IF(INDEX(Transaksi!$J$2:$J$2001,K802)=0,"",INDEX(Transaksi!$J$2:$J$2001,K802)),""))</f>
        <v/>
      </c>
      <c r="G802" s="33">
        <f>IF(J802="H",(SUMIFS(Transaksi!$G$2:$G$2001,Transaksi!$M$2:$M$2001,"&lt;="&amp;S802)+SUMIFS(Transaksi!$H$2:$H$2001,Transaksi!$M$2:$M$2001,"&lt;="&amp;S802)+SUMIFS(Transaksi!$I$2:$I$2001,Transaksi!$M$2:$M$2001,"&lt;="&amp;S802))-(SUMIFS(Transaksi!$J$2:$J$2001,Transaksi!$M$2:$M$2001,"&lt;="&amp;S802)),"")</f>
        <v/>
      </c>
      <c r="I802">
        <f>IF(799&gt;$O$2,"",MATCH(799,$Q$3:$Q$402,1))</f>
        <v/>
      </c>
      <c r="J802">
        <f>IF(I802="","",IF(799=INDEX($Q$3:$Q$402,I802),"H","E"))</f>
        <v/>
      </c>
      <c r="K802">
        <f>IF(J802&lt;&gt;"E","",MATCH(S802,Transaksi!$M$2:$M$2001,0)+799-INDEX($Q$3:$Q$402,I802)-1)</f>
        <v/>
      </c>
      <c r="S802">
        <f>IF(I802="","",INDEX($O$3:$O$402,I802))</f>
        <v/>
      </c>
      <c r="T802">
        <f>IF(J802&lt;&gt;"H","",INDEX(Transaksi!$A$2:$A$2001,MATCH(S802,Transaksi!$M$2:$M$2001,0)))</f>
        <v/>
      </c>
    </row>
    <row r="803">
      <c r="A803" s="31">
        <f>IF(J803="E",IF(INDEX(Transaksi!$J$2:$J$2001,K803)&gt;0,"↑","↓"),"")</f>
        <v/>
      </c>
      <c r="B803" s="32">
        <f>IF(J803="H",CHOOSE(WEEKDAY(T803,2),"Isnin","Selasa","Rabu","Khamis","Jumaat","Sabtu","Ahad")&amp;", "&amp;DAY(T803)&amp;" "&amp;CHOOSE(MONTH(T803),"Jan","Feb","Mac","Apr","Mei","Jun","Jul","Ogo","Sep","Okt","Nov","Dis")&amp;" "&amp;YEAR(T803),IF(J803="E",IF(INDEX(Transaksi!$B$2:$B$2001,K803)="",INDEX(Transaksi!$C$2:$C$2001,K803)&amp;" · "&amp;INDEX(Transaksi!$D$2:$D$2001,K803),INDEX(Transaksi!$B$2:$B$2001,K803)),""))</f>
        <v/>
      </c>
      <c r="C803" s="32">
        <f>IF(J803="E",INDEX(Transaksi!$C$2:$C$2001,K803)&amp;"","")</f>
        <v/>
      </c>
      <c r="D803" s="32">
        <f>IF(J803="E",INDEX(Transaksi!$D$2:$D$2001,K803)&amp;"","")</f>
        <v/>
      </c>
      <c r="E803" s="33">
        <f>IF(J803="H",SUMIFS(Transaksi!$G$2:$G$2001,Transaksi!$M$2:$M$2001,"="&amp;S803)+SUMIFS(Transaksi!$H$2:$H$2001,Transaksi!$M$2:$M$2001,"="&amp;S803)+SUMIFS(Transaksi!$I$2:$I$2001,Transaksi!$M$2:$M$2001,"="&amp;S803),IF(J803="E",IF(INDEX(Transaksi!$G$2:$G$2001,K803)+INDEX(Transaksi!$H$2:$H$2001,K803)+INDEX(Transaksi!$I$2:$I$2001,K803)=0,"",INDEX(Transaksi!$G$2:$G$2001,K803)+INDEX(Transaksi!$H$2:$H$2001,K803)+INDEX(Transaksi!$I$2:$I$2001,K803)),""))</f>
        <v/>
      </c>
      <c r="F803" s="33">
        <f>IF(J803="H",SUMIFS(Transaksi!$J$2:$J$2001,Transaksi!$M$2:$M$2001,"="&amp;S803),IF(J803="E",IF(INDEX(Transaksi!$J$2:$J$2001,K803)=0,"",INDEX(Transaksi!$J$2:$J$2001,K803)),""))</f>
        <v/>
      </c>
      <c r="G803" s="33">
        <f>IF(J803="H",(SUMIFS(Transaksi!$G$2:$G$2001,Transaksi!$M$2:$M$2001,"&lt;="&amp;S803)+SUMIFS(Transaksi!$H$2:$H$2001,Transaksi!$M$2:$M$2001,"&lt;="&amp;S803)+SUMIFS(Transaksi!$I$2:$I$2001,Transaksi!$M$2:$M$2001,"&lt;="&amp;S803))-(SUMIFS(Transaksi!$J$2:$J$2001,Transaksi!$M$2:$M$2001,"&lt;="&amp;S803)),"")</f>
        <v/>
      </c>
      <c r="I803">
        <f>IF(800&gt;$O$2,"",MATCH(800,$Q$3:$Q$402,1))</f>
        <v/>
      </c>
      <c r="J803">
        <f>IF(I803="","",IF(800=INDEX($Q$3:$Q$402,I803),"H","E"))</f>
        <v/>
      </c>
      <c r="K803">
        <f>IF(J803&lt;&gt;"E","",MATCH(S803,Transaksi!$M$2:$M$2001,0)+800-INDEX($Q$3:$Q$402,I803)-1)</f>
        <v/>
      </c>
      <c r="S803">
        <f>IF(I803="","",INDEX($O$3:$O$402,I803))</f>
        <v/>
      </c>
      <c r="T803">
        <f>IF(J803&lt;&gt;"H","",INDEX(Transaksi!$A$2:$A$2001,MATCH(S803,Transaksi!$M$2:$M$2001,0)))</f>
        <v/>
      </c>
    </row>
    <row r="804">
      <c r="A804" s="31">
        <f>IF(J804="E",IF(INDEX(Transaksi!$J$2:$J$2001,K804)&gt;0,"↑","↓"),"")</f>
        <v/>
      </c>
      <c r="B804" s="32">
        <f>IF(J804="H",CHOOSE(WEEKDAY(T804,2),"Isnin","Selasa","Rabu","Khamis","Jumaat","Sabtu","Ahad")&amp;", "&amp;DAY(T804)&amp;" "&amp;CHOOSE(MONTH(T804),"Jan","Feb","Mac","Apr","Mei","Jun","Jul","Ogo","Sep","Okt","Nov","Dis")&amp;" "&amp;YEAR(T804),IF(J804="E",IF(INDEX(Transaksi!$B$2:$B$2001,K804)="",INDEX(Transaksi!$C$2:$C$2001,K804)&amp;" · "&amp;INDEX(Transaksi!$D$2:$D$2001,K804),INDEX(Transaksi!$B$2:$B$2001,K804)),""))</f>
        <v/>
      </c>
      <c r="C804" s="32">
        <f>IF(J804="E",INDEX(Transaksi!$C$2:$C$2001,K804)&amp;"","")</f>
        <v/>
      </c>
      <c r="D804" s="32">
        <f>IF(J804="E",INDEX(Transaksi!$D$2:$D$2001,K804)&amp;"","")</f>
        <v/>
      </c>
      <c r="E804" s="33">
        <f>IF(J804="H",SUMIFS(Transaksi!$G$2:$G$2001,Transaksi!$M$2:$M$2001,"="&amp;S804)+SUMIFS(Transaksi!$H$2:$H$2001,Transaksi!$M$2:$M$2001,"="&amp;S804)+SUMIFS(Transaksi!$I$2:$I$2001,Transaksi!$M$2:$M$2001,"="&amp;S804),IF(J804="E",IF(INDEX(Transaksi!$G$2:$G$2001,K804)+INDEX(Transaksi!$H$2:$H$2001,K804)+INDEX(Transaksi!$I$2:$I$2001,K804)=0,"",INDEX(Transaksi!$G$2:$G$2001,K804)+INDEX(Transaksi!$H$2:$H$2001,K804)+INDEX(Transaksi!$I$2:$I$2001,K804)),""))</f>
        <v/>
      </c>
      <c r="F804" s="33">
        <f>IF(J804="H",SUMIFS(Transaksi!$J$2:$J$2001,Transaksi!$M$2:$M$2001,"="&amp;S804),IF(J804="E",IF(INDEX(Transaksi!$J$2:$J$2001,K804)=0,"",INDEX(Transaksi!$J$2:$J$2001,K804)),""))</f>
        <v/>
      </c>
      <c r="G804" s="33">
        <f>IF(J804="H",(SUMIFS(Transaksi!$G$2:$G$2001,Transaksi!$M$2:$M$2001,"&lt;="&amp;S804)+SUMIFS(Transaksi!$H$2:$H$2001,Transaksi!$M$2:$M$2001,"&lt;="&amp;S804)+SUMIFS(Transaksi!$I$2:$I$2001,Transaksi!$M$2:$M$2001,"&lt;="&amp;S804))-(SUMIFS(Transaksi!$J$2:$J$2001,Transaksi!$M$2:$M$2001,"&lt;="&amp;S804)),"")</f>
        <v/>
      </c>
      <c r="I804">
        <f>IF(801&gt;$O$2,"",MATCH(801,$Q$3:$Q$402,1))</f>
        <v/>
      </c>
      <c r="J804">
        <f>IF(I804="","",IF(801=INDEX($Q$3:$Q$402,I804),"H","E"))</f>
        <v/>
      </c>
      <c r="K804">
        <f>IF(J804&lt;&gt;"E","",MATCH(S804,Transaksi!$M$2:$M$2001,0)+801-INDEX($Q$3:$Q$402,I804)-1)</f>
        <v/>
      </c>
      <c r="S804">
        <f>IF(I804="","",INDEX($O$3:$O$402,I804))</f>
        <v/>
      </c>
      <c r="T804">
        <f>IF(J804&lt;&gt;"H","",INDEX(Transaksi!$A$2:$A$2001,MATCH(S804,Transaksi!$M$2:$M$2001,0)))</f>
        <v/>
      </c>
    </row>
    <row r="805">
      <c r="A805" s="31">
        <f>IF(J805="E",IF(INDEX(Transaksi!$J$2:$J$2001,K805)&gt;0,"↑","↓"),"")</f>
        <v/>
      </c>
      <c r="B805" s="32">
        <f>IF(J805="H",CHOOSE(WEEKDAY(T805,2),"Isnin","Selasa","Rabu","Khamis","Jumaat","Sabtu","Ahad")&amp;", "&amp;DAY(T805)&amp;" "&amp;CHOOSE(MONTH(T805),"Jan","Feb","Mac","Apr","Mei","Jun","Jul","Ogo","Sep","Okt","Nov","Dis")&amp;" "&amp;YEAR(T805),IF(J805="E",IF(INDEX(Transaksi!$B$2:$B$2001,K805)="",INDEX(Transaksi!$C$2:$C$2001,K805)&amp;" · "&amp;INDEX(Transaksi!$D$2:$D$2001,K805),INDEX(Transaksi!$B$2:$B$2001,K805)),""))</f>
        <v/>
      </c>
      <c r="C805" s="32">
        <f>IF(J805="E",INDEX(Transaksi!$C$2:$C$2001,K805)&amp;"","")</f>
        <v/>
      </c>
      <c r="D805" s="32">
        <f>IF(J805="E",INDEX(Transaksi!$D$2:$D$2001,K805)&amp;"","")</f>
        <v/>
      </c>
      <c r="E805" s="33">
        <f>IF(J805="H",SUMIFS(Transaksi!$G$2:$G$2001,Transaksi!$M$2:$M$2001,"="&amp;S805)+SUMIFS(Transaksi!$H$2:$H$2001,Transaksi!$M$2:$M$2001,"="&amp;S805)+SUMIFS(Transaksi!$I$2:$I$2001,Transaksi!$M$2:$M$2001,"="&amp;S805),IF(J805="E",IF(INDEX(Transaksi!$G$2:$G$2001,K805)+INDEX(Transaksi!$H$2:$H$2001,K805)+INDEX(Transaksi!$I$2:$I$2001,K805)=0,"",INDEX(Transaksi!$G$2:$G$2001,K805)+INDEX(Transaksi!$H$2:$H$2001,K805)+INDEX(Transaksi!$I$2:$I$2001,K805)),""))</f>
        <v/>
      </c>
      <c r="F805" s="33">
        <f>IF(J805="H",SUMIFS(Transaksi!$J$2:$J$2001,Transaksi!$M$2:$M$2001,"="&amp;S805),IF(J805="E",IF(INDEX(Transaksi!$J$2:$J$2001,K805)=0,"",INDEX(Transaksi!$J$2:$J$2001,K805)),""))</f>
        <v/>
      </c>
      <c r="G805" s="33">
        <f>IF(J805="H",(SUMIFS(Transaksi!$G$2:$G$2001,Transaksi!$M$2:$M$2001,"&lt;="&amp;S805)+SUMIFS(Transaksi!$H$2:$H$2001,Transaksi!$M$2:$M$2001,"&lt;="&amp;S805)+SUMIFS(Transaksi!$I$2:$I$2001,Transaksi!$M$2:$M$2001,"&lt;="&amp;S805))-(SUMIFS(Transaksi!$J$2:$J$2001,Transaksi!$M$2:$M$2001,"&lt;="&amp;S805)),"")</f>
        <v/>
      </c>
      <c r="I805">
        <f>IF(802&gt;$O$2,"",MATCH(802,$Q$3:$Q$402,1))</f>
        <v/>
      </c>
      <c r="J805">
        <f>IF(I805="","",IF(802=INDEX($Q$3:$Q$402,I805),"H","E"))</f>
        <v/>
      </c>
      <c r="K805">
        <f>IF(J805&lt;&gt;"E","",MATCH(S805,Transaksi!$M$2:$M$2001,0)+802-INDEX($Q$3:$Q$402,I805)-1)</f>
        <v/>
      </c>
      <c r="S805">
        <f>IF(I805="","",INDEX($O$3:$O$402,I805))</f>
        <v/>
      </c>
      <c r="T805">
        <f>IF(J805&lt;&gt;"H","",INDEX(Transaksi!$A$2:$A$2001,MATCH(S805,Transaksi!$M$2:$M$2001,0)))</f>
        <v/>
      </c>
    </row>
    <row r="806">
      <c r="A806" s="31">
        <f>IF(J806="E",IF(INDEX(Transaksi!$J$2:$J$2001,K806)&gt;0,"↑","↓"),"")</f>
        <v/>
      </c>
      <c r="B806" s="32">
        <f>IF(J806="H",CHOOSE(WEEKDAY(T806,2),"Isnin","Selasa","Rabu","Khamis","Jumaat","Sabtu","Ahad")&amp;", "&amp;DAY(T806)&amp;" "&amp;CHOOSE(MONTH(T806),"Jan","Feb","Mac","Apr","Mei","Jun","Jul","Ogo","Sep","Okt","Nov","Dis")&amp;" "&amp;YEAR(T806),IF(J806="E",IF(INDEX(Transaksi!$B$2:$B$2001,K806)="",INDEX(Transaksi!$C$2:$C$2001,K806)&amp;" · "&amp;INDEX(Transaksi!$D$2:$D$2001,K806),INDEX(Transaksi!$B$2:$B$2001,K806)),""))</f>
        <v/>
      </c>
      <c r="C806" s="32">
        <f>IF(J806="E",INDEX(Transaksi!$C$2:$C$2001,K806)&amp;"","")</f>
        <v/>
      </c>
      <c r="D806" s="32">
        <f>IF(J806="E",INDEX(Transaksi!$D$2:$D$2001,K806)&amp;"","")</f>
        <v/>
      </c>
      <c r="E806" s="33">
        <f>IF(J806="H",SUMIFS(Transaksi!$G$2:$G$2001,Transaksi!$M$2:$M$2001,"="&amp;S806)+SUMIFS(Transaksi!$H$2:$H$2001,Transaksi!$M$2:$M$2001,"="&amp;S806)+SUMIFS(Transaksi!$I$2:$I$2001,Transaksi!$M$2:$M$2001,"="&amp;S806),IF(J806="E",IF(INDEX(Transaksi!$G$2:$G$2001,K806)+INDEX(Transaksi!$H$2:$H$2001,K806)+INDEX(Transaksi!$I$2:$I$2001,K806)=0,"",INDEX(Transaksi!$G$2:$G$2001,K806)+INDEX(Transaksi!$H$2:$H$2001,K806)+INDEX(Transaksi!$I$2:$I$2001,K806)),""))</f>
        <v/>
      </c>
      <c r="F806" s="33">
        <f>IF(J806="H",SUMIFS(Transaksi!$J$2:$J$2001,Transaksi!$M$2:$M$2001,"="&amp;S806),IF(J806="E",IF(INDEX(Transaksi!$J$2:$J$2001,K806)=0,"",INDEX(Transaksi!$J$2:$J$2001,K806)),""))</f>
        <v/>
      </c>
      <c r="G806" s="33">
        <f>IF(J806="H",(SUMIFS(Transaksi!$G$2:$G$2001,Transaksi!$M$2:$M$2001,"&lt;="&amp;S806)+SUMIFS(Transaksi!$H$2:$H$2001,Transaksi!$M$2:$M$2001,"&lt;="&amp;S806)+SUMIFS(Transaksi!$I$2:$I$2001,Transaksi!$M$2:$M$2001,"&lt;="&amp;S806))-(SUMIFS(Transaksi!$J$2:$J$2001,Transaksi!$M$2:$M$2001,"&lt;="&amp;S806)),"")</f>
        <v/>
      </c>
      <c r="I806">
        <f>IF(803&gt;$O$2,"",MATCH(803,$Q$3:$Q$402,1))</f>
        <v/>
      </c>
      <c r="J806">
        <f>IF(I806="","",IF(803=INDEX($Q$3:$Q$402,I806),"H","E"))</f>
        <v/>
      </c>
      <c r="K806">
        <f>IF(J806&lt;&gt;"E","",MATCH(S806,Transaksi!$M$2:$M$2001,0)+803-INDEX($Q$3:$Q$402,I806)-1)</f>
        <v/>
      </c>
      <c r="S806">
        <f>IF(I806="","",INDEX($O$3:$O$402,I806))</f>
        <v/>
      </c>
      <c r="T806">
        <f>IF(J806&lt;&gt;"H","",INDEX(Transaksi!$A$2:$A$2001,MATCH(S806,Transaksi!$M$2:$M$2001,0)))</f>
        <v/>
      </c>
    </row>
    <row r="807">
      <c r="A807" s="31">
        <f>IF(J807="E",IF(INDEX(Transaksi!$J$2:$J$2001,K807)&gt;0,"↑","↓"),"")</f>
        <v/>
      </c>
      <c r="B807" s="32">
        <f>IF(J807="H",CHOOSE(WEEKDAY(T807,2),"Isnin","Selasa","Rabu","Khamis","Jumaat","Sabtu","Ahad")&amp;", "&amp;DAY(T807)&amp;" "&amp;CHOOSE(MONTH(T807),"Jan","Feb","Mac","Apr","Mei","Jun","Jul","Ogo","Sep","Okt","Nov","Dis")&amp;" "&amp;YEAR(T807),IF(J807="E",IF(INDEX(Transaksi!$B$2:$B$2001,K807)="",INDEX(Transaksi!$C$2:$C$2001,K807)&amp;" · "&amp;INDEX(Transaksi!$D$2:$D$2001,K807),INDEX(Transaksi!$B$2:$B$2001,K807)),""))</f>
        <v/>
      </c>
      <c r="C807" s="32">
        <f>IF(J807="E",INDEX(Transaksi!$C$2:$C$2001,K807)&amp;"","")</f>
        <v/>
      </c>
      <c r="D807" s="32">
        <f>IF(J807="E",INDEX(Transaksi!$D$2:$D$2001,K807)&amp;"","")</f>
        <v/>
      </c>
      <c r="E807" s="33">
        <f>IF(J807="H",SUMIFS(Transaksi!$G$2:$G$2001,Transaksi!$M$2:$M$2001,"="&amp;S807)+SUMIFS(Transaksi!$H$2:$H$2001,Transaksi!$M$2:$M$2001,"="&amp;S807)+SUMIFS(Transaksi!$I$2:$I$2001,Transaksi!$M$2:$M$2001,"="&amp;S807),IF(J807="E",IF(INDEX(Transaksi!$G$2:$G$2001,K807)+INDEX(Transaksi!$H$2:$H$2001,K807)+INDEX(Transaksi!$I$2:$I$2001,K807)=0,"",INDEX(Transaksi!$G$2:$G$2001,K807)+INDEX(Transaksi!$H$2:$H$2001,K807)+INDEX(Transaksi!$I$2:$I$2001,K807)),""))</f>
        <v/>
      </c>
      <c r="F807" s="33">
        <f>IF(J807="H",SUMIFS(Transaksi!$J$2:$J$2001,Transaksi!$M$2:$M$2001,"="&amp;S807),IF(J807="E",IF(INDEX(Transaksi!$J$2:$J$2001,K807)=0,"",INDEX(Transaksi!$J$2:$J$2001,K807)),""))</f>
        <v/>
      </c>
      <c r="G807" s="33">
        <f>IF(J807="H",(SUMIFS(Transaksi!$G$2:$G$2001,Transaksi!$M$2:$M$2001,"&lt;="&amp;S807)+SUMIFS(Transaksi!$H$2:$H$2001,Transaksi!$M$2:$M$2001,"&lt;="&amp;S807)+SUMIFS(Transaksi!$I$2:$I$2001,Transaksi!$M$2:$M$2001,"&lt;="&amp;S807))-(SUMIFS(Transaksi!$J$2:$J$2001,Transaksi!$M$2:$M$2001,"&lt;="&amp;S807)),"")</f>
        <v/>
      </c>
      <c r="I807">
        <f>IF(804&gt;$O$2,"",MATCH(804,$Q$3:$Q$402,1))</f>
        <v/>
      </c>
      <c r="J807">
        <f>IF(I807="","",IF(804=INDEX($Q$3:$Q$402,I807),"H","E"))</f>
        <v/>
      </c>
      <c r="K807">
        <f>IF(J807&lt;&gt;"E","",MATCH(S807,Transaksi!$M$2:$M$2001,0)+804-INDEX($Q$3:$Q$402,I807)-1)</f>
        <v/>
      </c>
      <c r="S807">
        <f>IF(I807="","",INDEX($O$3:$O$402,I807))</f>
        <v/>
      </c>
      <c r="T807">
        <f>IF(J807&lt;&gt;"H","",INDEX(Transaksi!$A$2:$A$2001,MATCH(S807,Transaksi!$M$2:$M$2001,0)))</f>
        <v/>
      </c>
    </row>
    <row r="808">
      <c r="A808" s="31">
        <f>IF(J808="E",IF(INDEX(Transaksi!$J$2:$J$2001,K808)&gt;0,"↑","↓"),"")</f>
        <v/>
      </c>
      <c r="B808" s="32">
        <f>IF(J808="H",CHOOSE(WEEKDAY(T808,2),"Isnin","Selasa","Rabu","Khamis","Jumaat","Sabtu","Ahad")&amp;", "&amp;DAY(T808)&amp;" "&amp;CHOOSE(MONTH(T808),"Jan","Feb","Mac","Apr","Mei","Jun","Jul","Ogo","Sep","Okt","Nov","Dis")&amp;" "&amp;YEAR(T808),IF(J808="E",IF(INDEX(Transaksi!$B$2:$B$2001,K808)="",INDEX(Transaksi!$C$2:$C$2001,K808)&amp;" · "&amp;INDEX(Transaksi!$D$2:$D$2001,K808),INDEX(Transaksi!$B$2:$B$2001,K808)),""))</f>
        <v/>
      </c>
      <c r="C808" s="32">
        <f>IF(J808="E",INDEX(Transaksi!$C$2:$C$2001,K808)&amp;"","")</f>
        <v/>
      </c>
      <c r="D808" s="32">
        <f>IF(J808="E",INDEX(Transaksi!$D$2:$D$2001,K808)&amp;"","")</f>
        <v/>
      </c>
      <c r="E808" s="33">
        <f>IF(J808="H",SUMIFS(Transaksi!$G$2:$G$2001,Transaksi!$M$2:$M$2001,"="&amp;S808)+SUMIFS(Transaksi!$H$2:$H$2001,Transaksi!$M$2:$M$2001,"="&amp;S808)+SUMIFS(Transaksi!$I$2:$I$2001,Transaksi!$M$2:$M$2001,"="&amp;S808),IF(J808="E",IF(INDEX(Transaksi!$G$2:$G$2001,K808)+INDEX(Transaksi!$H$2:$H$2001,K808)+INDEX(Transaksi!$I$2:$I$2001,K808)=0,"",INDEX(Transaksi!$G$2:$G$2001,K808)+INDEX(Transaksi!$H$2:$H$2001,K808)+INDEX(Transaksi!$I$2:$I$2001,K808)),""))</f>
        <v/>
      </c>
      <c r="F808" s="33">
        <f>IF(J808="H",SUMIFS(Transaksi!$J$2:$J$2001,Transaksi!$M$2:$M$2001,"="&amp;S808),IF(J808="E",IF(INDEX(Transaksi!$J$2:$J$2001,K808)=0,"",INDEX(Transaksi!$J$2:$J$2001,K808)),""))</f>
        <v/>
      </c>
      <c r="G808" s="33">
        <f>IF(J808="H",(SUMIFS(Transaksi!$G$2:$G$2001,Transaksi!$M$2:$M$2001,"&lt;="&amp;S808)+SUMIFS(Transaksi!$H$2:$H$2001,Transaksi!$M$2:$M$2001,"&lt;="&amp;S808)+SUMIFS(Transaksi!$I$2:$I$2001,Transaksi!$M$2:$M$2001,"&lt;="&amp;S808))-(SUMIFS(Transaksi!$J$2:$J$2001,Transaksi!$M$2:$M$2001,"&lt;="&amp;S808)),"")</f>
        <v/>
      </c>
      <c r="I808">
        <f>IF(805&gt;$O$2,"",MATCH(805,$Q$3:$Q$402,1))</f>
        <v/>
      </c>
      <c r="J808">
        <f>IF(I808="","",IF(805=INDEX($Q$3:$Q$402,I808),"H","E"))</f>
        <v/>
      </c>
      <c r="K808">
        <f>IF(J808&lt;&gt;"E","",MATCH(S808,Transaksi!$M$2:$M$2001,0)+805-INDEX($Q$3:$Q$402,I808)-1)</f>
        <v/>
      </c>
      <c r="S808">
        <f>IF(I808="","",INDEX($O$3:$O$402,I808))</f>
        <v/>
      </c>
      <c r="T808">
        <f>IF(J808&lt;&gt;"H","",INDEX(Transaksi!$A$2:$A$2001,MATCH(S808,Transaksi!$M$2:$M$2001,0)))</f>
        <v/>
      </c>
    </row>
    <row r="809">
      <c r="A809" s="31">
        <f>IF(J809="E",IF(INDEX(Transaksi!$J$2:$J$2001,K809)&gt;0,"↑","↓"),"")</f>
        <v/>
      </c>
      <c r="B809" s="32">
        <f>IF(J809="H",CHOOSE(WEEKDAY(T809,2),"Isnin","Selasa","Rabu","Khamis","Jumaat","Sabtu","Ahad")&amp;", "&amp;DAY(T809)&amp;" "&amp;CHOOSE(MONTH(T809),"Jan","Feb","Mac","Apr","Mei","Jun","Jul","Ogo","Sep","Okt","Nov","Dis")&amp;" "&amp;YEAR(T809),IF(J809="E",IF(INDEX(Transaksi!$B$2:$B$2001,K809)="",INDEX(Transaksi!$C$2:$C$2001,K809)&amp;" · "&amp;INDEX(Transaksi!$D$2:$D$2001,K809),INDEX(Transaksi!$B$2:$B$2001,K809)),""))</f>
        <v/>
      </c>
      <c r="C809" s="32">
        <f>IF(J809="E",INDEX(Transaksi!$C$2:$C$2001,K809)&amp;"","")</f>
        <v/>
      </c>
      <c r="D809" s="32">
        <f>IF(J809="E",INDEX(Transaksi!$D$2:$D$2001,K809)&amp;"","")</f>
        <v/>
      </c>
      <c r="E809" s="33">
        <f>IF(J809="H",SUMIFS(Transaksi!$G$2:$G$2001,Transaksi!$M$2:$M$2001,"="&amp;S809)+SUMIFS(Transaksi!$H$2:$H$2001,Transaksi!$M$2:$M$2001,"="&amp;S809)+SUMIFS(Transaksi!$I$2:$I$2001,Transaksi!$M$2:$M$2001,"="&amp;S809),IF(J809="E",IF(INDEX(Transaksi!$G$2:$G$2001,K809)+INDEX(Transaksi!$H$2:$H$2001,K809)+INDEX(Transaksi!$I$2:$I$2001,K809)=0,"",INDEX(Transaksi!$G$2:$G$2001,K809)+INDEX(Transaksi!$H$2:$H$2001,K809)+INDEX(Transaksi!$I$2:$I$2001,K809)),""))</f>
        <v/>
      </c>
      <c r="F809" s="33">
        <f>IF(J809="H",SUMIFS(Transaksi!$J$2:$J$2001,Transaksi!$M$2:$M$2001,"="&amp;S809),IF(J809="E",IF(INDEX(Transaksi!$J$2:$J$2001,K809)=0,"",INDEX(Transaksi!$J$2:$J$2001,K809)),""))</f>
        <v/>
      </c>
      <c r="G809" s="33">
        <f>IF(J809="H",(SUMIFS(Transaksi!$G$2:$G$2001,Transaksi!$M$2:$M$2001,"&lt;="&amp;S809)+SUMIFS(Transaksi!$H$2:$H$2001,Transaksi!$M$2:$M$2001,"&lt;="&amp;S809)+SUMIFS(Transaksi!$I$2:$I$2001,Transaksi!$M$2:$M$2001,"&lt;="&amp;S809))-(SUMIFS(Transaksi!$J$2:$J$2001,Transaksi!$M$2:$M$2001,"&lt;="&amp;S809)),"")</f>
        <v/>
      </c>
      <c r="I809">
        <f>IF(806&gt;$O$2,"",MATCH(806,$Q$3:$Q$402,1))</f>
        <v/>
      </c>
      <c r="J809">
        <f>IF(I809="","",IF(806=INDEX($Q$3:$Q$402,I809),"H","E"))</f>
        <v/>
      </c>
      <c r="K809">
        <f>IF(J809&lt;&gt;"E","",MATCH(S809,Transaksi!$M$2:$M$2001,0)+806-INDEX($Q$3:$Q$402,I809)-1)</f>
        <v/>
      </c>
      <c r="S809">
        <f>IF(I809="","",INDEX($O$3:$O$402,I809))</f>
        <v/>
      </c>
      <c r="T809">
        <f>IF(J809&lt;&gt;"H","",INDEX(Transaksi!$A$2:$A$2001,MATCH(S809,Transaksi!$M$2:$M$2001,0)))</f>
        <v/>
      </c>
    </row>
    <row r="810">
      <c r="A810" s="31">
        <f>IF(J810="E",IF(INDEX(Transaksi!$J$2:$J$2001,K810)&gt;0,"↑","↓"),"")</f>
        <v/>
      </c>
      <c r="B810" s="32">
        <f>IF(J810="H",CHOOSE(WEEKDAY(T810,2),"Isnin","Selasa","Rabu","Khamis","Jumaat","Sabtu","Ahad")&amp;", "&amp;DAY(T810)&amp;" "&amp;CHOOSE(MONTH(T810),"Jan","Feb","Mac","Apr","Mei","Jun","Jul","Ogo","Sep","Okt","Nov","Dis")&amp;" "&amp;YEAR(T810),IF(J810="E",IF(INDEX(Transaksi!$B$2:$B$2001,K810)="",INDEX(Transaksi!$C$2:$C$2001,K810)&amp;" · "&amp;INDEX(Transaksi!$D$2:$D$2001,K810),INDEX(Transaksi!$B$2:$B$2001,K810)),""))</f>
        <v/>
      </c>
      <c r="C810" s="32">
        <f>IF(J810="E",INDEX(Transaksi!$C$2:$C$2001,K810)&amp;"","")</f>
        <v/>
      </c>
      <c r="D810" s="32">
        <f>IF(J810="E",INDEX(Transaksi!$D$2:$D$2001,K810)&amp;"","")</f>
        <v/>
      </c>
      <c r="E810" s="33">
        <f>IF(J810="H",SUMIFS(Transaksi!$G$2:$G$2001,Transaksi!$M$2:$M$2001,"="&amp;S810)+SUMIFS(Transaksi!$H$2:$H$2001,Transaksi!$M$2:$M$2001,"="&amp;S810)+SUMIFS(Transaksi!$I$2:$I$2001,Transaksi!$M$2:$M$2001,"="&amp;S810),IF(J810="E",IF(INDEX(Transaksi!$G$2:$G$2001,K810)+INDEX(Transaksi!$H$2:$H$2001,K810)+INDEX(Transaksi!$I$2:$I$2001,K810)=0,"",INDEX(Transaksi!$G$2:$G$2001,K810)+INDEX(Transaksi!$H$2:$H$2001,K810)+INDEX(Transaksi!$I$2:$I$2001,K810)),""))</f>
        <v/>
      </c>
      <c r="F810" s="33">
        <f>IF(J810="H",SUMIFS(Transaksi!$J$2:$J$2001,Transaksi!$M$2:$M$2001,"="&amp;S810),IF(J810="E",IF(INDEX(Transaksi!$J$2:$J$2001,K810)=0,"",INDEX(Transaksi!$J$2:$J$2001,K810)),""))</f>
        <v/>
      </c>
      <c r="G810" s="33">
        <f>IF(J810="H",(SUMIFS(Transaksi!$G$2:$G$2001,Transaksi!$M$2:$M$2001,"&lt;="&amp;S810)+SUMIFS(Transaksi!$H$2:$H$2001,Transaksi!$M$2:$M$2001,"&lt;="&amp;S810)+SUMIFS(Transaksi!$I$2:$I$2001,Transaksi!$M$2:$M$2001,"&lt;="&amp;S810))-(SUMIFS(Transaksi!$J$2:$J$2001,Transaksi!$M$2:$M$2001,"&lt;="&amp;S810)),"")</f>
        <v/>
      </c>
      <c r="I810">
        <f>IF(807&gt;$O$2,"",MATCH(807,$Q$3:$Q$402,1))</f>
        <v/>
      </c>
      <c r="J810">
        <f>IF(I810="","",IF(807=INDEX($Q$3:$Q$402,I810),"H","E"))</f>
        <v/>
      </c>
      <c r="K810">
        <f>IF(J810&lt;&gt;"E","",MATCH(S810,Transaksi!$M$2:$M$2001,0)+807-INDEX($Q$3:$Q$402,I810)-1)</f>
        <v/>
      </c>
      <c r="S810">
        <f>IF(I810="","",INDEX($O$3:$O$402,I810))</f>
        <v/>
      </c>
      <c r="T810">
        <f>IF(J810&lt;&gt;"H","",INDEX(Transaksi!$A$2:$A$2001,MATCH(S810,Transaksi!$M$2:$M$2001,0)))</f>
        <v/>
      </c>
    </row>
    <row r="811">
      <c r="A811" s="31">
        <f>IF(J811="E",IF(INDEX(Transaksi!$J$2:$J$2001,K811)&gt;0,"↑","↓"),"")</f>
        <v/>
      </c>
      <c r="B811" s="32">
        <f>IF(J811="H",CHOOSE(WEEKDAY(T811,2),"Isnin","Selasa","Rabu","Khamis","Jumaat","Sabtu","Ahad")&amp;", "&amp;DAY(T811)&amp;" "&amp;CHOOSE(MONTH(T811),"Jan","Feb","Mac","Apr","Mei","Jun","Jul","Ogo","Sep","Okt","Nov","Dis")&amp;" "&amp;YEAR(T811),IF(J811="E",IF(INDEX(Transaksi!$B$2:$B$2001,K811)="",INDEX(Transaksi!$C$2:$C$2001,K811)&amp;" · "&amp;INDEX(Transaksi!$D$2:$D$2001,K811),INDEX(Transaksi!$B$2:$B$2001,K811)),""))</f>
        <v/>
      </c>
      <c r="C811" s="32">
        <f>IF(J811="E",INDEX(Transaksi!$C$2:$C$2001,K811)&amp;"","")</f>
        <v/>
      </c>
      <c r="D811" s="32">
        <f>IF(J811="E",INDEX(Transaksi!$D$2:$D$2001,K811)&amp;"","")</f>
        <v/>
      </c>
      <c r="E811" s="33">
        <f>IF(J811="H",SUMIFS(Transaksi!$G$2:$G$2001,Transaksi!$M$2:$M$2001,"="&amp;S811)+SUMIFS(Transaksi!$H$2:$H$2001,Transaksi!$M$2:$M$2001,"="&amp;S811)+SUMIFS(Transaksi!$I$2:$I$2001,Transaksi!$M$2:$M$2001,"="&amp;S811),IF(J811="E",IF(INDEX(Transaksi!$G$2:$G$2001,K811)+INDEX(Transaksi!$H$2:$H$2001,K811)+INDEX(Transaksi!$I$2:$I$2001,K811)=0,"",INDEX(Transaksi!$G$2:$G$2001,K811)+INDEX(Transaksi!$H$2:$H$2001,K811)+INDEX(Transaksi!$I$2:$I$2001,K811)),""))</f>
        <v/>
      </c>
      <c r="F811" s="33">
        <f>IF(J811="H",SUMIFS(Transaksi!$J$2:$J$2001,Transaksi!$M$2:$M$2001,"="&amp;S811),IF(J811="E",IF(INDEX(Transaksi!$J$2:$J$2001,K811)=0,"",INDEX(Transaksi!$J$2:$J$2001,K811)),""))</f>
        <v/>
      </c>
      <c r="G811" s="33">
        <f>IF(J811="H",(SUMIFS(Transaksi!$G$2:$G$2001,Transaksi!$M$2:$M$2001,"&lt;="&amp;S811)+SUMIFS(Transaksi!$H$2:$H$2001,Transaksi!$M$2:$M$2001,"&lt;="&amp;S811)+SUMIFS(Transaksi!$I$2:$I$2001,Transaksi!$M$2:$M$2001,"&lt;="&amp;S811))-(SUMIFS(Transaksi!$J$2:$J$2001,Transaksi!$M$2:$M$2001,"&lt;="&amp;S811)),"")</f>
        <v/>
      </c>
      <c r="I811">
        <f>IF(808&gt;$O$2,"",MATCH(808,$Q$3:$Q$402,1))</f>
        <v/>
      </c>
      <c r="J811">
        <f>IF(I811="","",IF(808=INDEX($Q$3:$Q$402,I811),"H","E"))</f>
        <v/>
      </c>
      <c r="K811">
        <f>IF(J811&lt;&gt;"E","",MATCH(S811,Transaksi!$M$2:$M$2001,0)+808-INDEX($Q$3:$Q$402,I811)-1)</f>
        <v/>
      </c>
      <c r="S811">
        <f>IF(I811="","",INDEX($O$3:$O$402,I811))</f>
        <v/>
      </c>
      <c r="T811">
        <f>IF(J811&lt;&gt;"H","",INDEX(Transaksi!$A$2:$A$2001,MATCH(S811,Transaksi!$M$2:$M$2001,0)))</f>
        <v/>
      </c>
    </row>
    <row r="812">
      <c r="A812" s="31">
        <f>IF(J812="E",IF(INDEX(Transaksi!$J$2:$J$2001,K812)&gt;0,"↑","↓"),"")</f>
        <v/>
      </c>
      <c r="B812" s="32">
        <f>IF(J812="H",CHOOSE(WEEKDAY(T812,2),"Isnin","Selasa","Rabu","Khamis","Jumaat","Sabtu","Ahad")&amp;", "&amp;DAY(T812)&amp;" "&amp;CHOOSE(MONTH(T812),"Jan","Feb","Mac","Apr","Mei","Jun","Jul","Ogo","Sep","Okt","Nov","Dis")&amp;" "&amp;YEAR(T812),IF(J812="E",IF(INDEX(Transaksi!$B$2:$B$2001,K812)="",INDEX(Transaksi!$C$2:$C$2001,K812)&amp;" · "&amp;INDEX(Transaksi!$D$2:$D$2001,K812),INDEX(Transaksi!$B$2:$B$2001,K812)),""))</f>
        <v/>
      </c>
      <c r="C812" s="32">
        <f>IF(J812="E",INDEX(Transaksi!$C$2:$C$2001,K812)&amp;"","")</f>
        <v/>
      </c>
      <c r="D812" s="32">
        <f>IF(J812="E",INDEX(Transaksi!$D$2:$D$2001,K812)&amp;"","")</f>
        <v/>
      </c>
      <c r="E812" s="33">
        <f>IF(J812="H",SUMIFS(Transaksi!$G$2:$G$2001,Transaksi!$M$2:$M$2001,"="&amp;S812)+SUMIFS(Transaksi!$H$2:$H$2001,Transaksi!$M$2:$M$2001,"="&amp;S812)+SUMIFS(Transaksi!$I$2:$I$2001,Transaksi!$M$2:$M$2001,"="&amp;S812),IF(J812="E",IF(INDEX(Transaksi!$G$2:$G$2001,K812)+INDEX(Transaksi!$H$2:$H$2001,K812)+INDEX(Transaksi!$I$2:$I$2001,K812)=0,"",INDEX(Transaksi!$G$2:$G$2001,K812)+INDEX(Transaksi!$H$2:$H$2001,K812)+INDEX(Transaksi!$I$2:$I$2001,K812)),""))</f>
        <v/>
      </c>
      <c r="F812" s="33">
        <f>IF(J812="H",SUMIFS(Transaksi!$J$2:$J$2001,Transaksi!$M$2:$M$2001,"="&amp;S812),IF(J812="E",IF(INDEX(Transaksi!$J$2:$J$2001,K812)=0,"",INDEX(Transaksi!$J$2:$J$2001,K812)),""))</f>
        <v/>
      </c>
      <c r="G812" s="33">
        <f>IF(J812="H",(SUMIFS(Transaksi!$G$2:$G$2001,Transaksi!$M$2:$M$2001,"&lt;="&amp;S812)+SUMIFS(Transaksi!$H$2:$H$2001,Transaksi!$M$2:$M$2001,"&lt;="&amp;S812)+SUMIFS(Transaksi!$I$2:$I$2001,Transaksi!$M$2:$M$2001,"&lt;="&amp;S812))-(SUMIFS(Transaksi!$J$2:$J$2001,Transaksi!$M$2:$M$2001,"&lt;="&amp;S812)),"")</f>
        <v/>
      </c>
      <c r="I812">
        <f>IF(809&gt;$O$2,"",MATCH(809,$Q$3:$Q$402,1))</f>
        <v/>
      </c>
      <c r="J812">
        <f>IF(I812="","",IF(809=INDEX($Q$3:$Q$402,I812),"H","E"))</f>
        <v/>
      </c>
      <c r="K812">
        <f>IF(J812&lt;&gt;"E","",MATCH(S812,Transaksi!$M$2:$M$2001,0)+809-INDEX($Q$3:$Q$402,I812)-1)</f>
        <v/>
      </c>
      <c r="S812">
        <f>IF(I812="","",INDEX($O$3:$O$402,I812))</f>
        <v/>
      </c>
      <c r="T812">
        <f>IF(J812&lt;&gt;"H","",INDEX(Transaksi!$A$2:$A$2001,MATCH(S812,Transaksi!$M$2:$M$2001,0)))</f>
        <v/>
      </c>
    </row>
    <row r="813">
      <c r="A813" s="31">
        <f>IF(J813="E",IF(INDEX(Transaksi!$J$2:$J$2001,K813)&gt;0,"↑","↓"),"")</f>
        <v/>
      </c>
      <c r="B813" s="32">
        <f>IF(J813="H",CHOOSE(WEEKDAY(T813,2),"Isnin","Selasa","Rabu","Khamis","Jumaat","Sabtu","Ahad")&amp;", "&amp;DAY(T813)&amp;" "&amp;CHOOSE(MONTH(T813),"Jan","Feb","Mac","Apr","Mei","Jun","Jul","Ogo","Sep","Okt","Nov","Dis")&amp;" "&amp;YEAR(T813),IF(J813="E",IF(INDEX(Transaksi!$B$2:$B$2001,K813)="",INDEX(Transaksi!$C$2:$C$2001,K813)&amp;" · "&amp;INDEX(Transaksi!$D$2:$D$2001,K813),INDEX(Transaksi!$B$2:$B$2001,K813)),""))</f>
        <v/>
      </c>
      <c r="C813" s="32">
        <f>IF(J813="E",INDEX(Transaksi!$C$2:$C$2001,K813)&amp;"","")</f>
        <v/>
      </c>
      <c r="D813" s="32">
        <f>IF(J813="E",INDEX(Transaksi!$D$2:$D$2001,K813)&amp;"","")</f>
        <v/>
      </c>
      <c r="E813" s="33">
        <f>IF(J813="H",SUMIFS(Transaksi!$G$2:$G$2001,Transaksi!$M$2:$M$2001,"="&amp;S813)+SUMIFS(Transaksi!$H$2:$H$2001,Transaksi!$M$2:$M$2001,"="&amp;S813)+SUMIFS(Transaksi!$I$2:$I$2001,Transaksi!$M$2:$M$2001,"="&amp;S813),IF(J813="E",IF(INDEX(Transaksi!$G$2:$G$2001,K813)+INDEX(Transaksi!$H$2:$H$2001,K813)+INDEX(Transaksi!$I$2:$I$2001,K813)=0,"",INDEX(Transaksi!$G$2:$G$2001,K813)+INDEX(Transaksi!$H$2:$H$2001,K813)+INDEX(Transaksi!$I$2:$I$2001,K813)),""))</f>
        <v/>
      </c>
      <c r="F813" s="33">
        <f>IF(J813="H",SUMIFS(Transaksi!$J$2:$J$2001,Transaksi!$M$2:$M$2001,"="&amp;S813),IF(J813="E",IF(INDEX(Transaksi!$J$2:$J$2001,K813)=0,"",INDEX(Transaksi!$J$2:$J$2001,K813)),""))</f>
        <v/>
      </c>
      <c r="G813" s="33">
        <f>IF(J813="H",(SUMIFS(Transaksi!$G$2:$G$2001,Transaksi!$M$2:$M$2001,"&lt;="&amp;S813)+SUMIFS(Transaksi!$H$2:$H$2001,Transaksi!$M$2:$M$2001,"&lt;="&amp;S813)+SUMIFS(Transaksi!$I$2:$I$2001,Transaksi!$M$2:$M$2001,"&lt;="&amp;S813))-(SUMIFS(Transaksi!$J$2:$J$2001,Transaksi!$M$2:$M$2001,"&lt;="&amp;S813)),"")</f>
        <v/>
      </c>
      <c r="I813">
        <f>IF(810&gt;$O$2,"",MATCH(810,$Q$3:$Q$402,1))</f>
        <v/>
      </c>
      <c r="J813">
        <f>IF(I813="","",IF(810=INDEX($Q$3:$Q$402,I813),"H","E"))</f>
        <v/>
      </c>
      <c r="K813">
        <f>IF(J813&lt;&gt;"E","",MATCH(S813,Transaksi!$M$2:$M$2001,0)+810-INDEX($Q$3:$Q$402,I813)-1)</f>
        <v/>
      </c>
      <c r="S813">
        <f>IF(I813="","",INDEX($O$3:$O$402,I813))</f>
        <v/>
      </c>
      <c r="T813">
        <f>IF(J813&lt;&gt;"H","",INDEX(Transaksi!$A$2:$A$2001,MATCH(S813,Transaksi!$M$2:$M$2001,0)))</f>
        <v/>
      </c>
    </row>
    <row r="814">
      <c r="A814" s="31">
        <f>IF(J814="E",IF(INDEX(Transaksi!$J$2:$J$2001,K814)&gt;0,"↑","↓"),"")</f>
        <v/>
      </c>
      <c r="B814" s="32">
        <f>IF(J814="H",CHOOSE(WEEKDAY(T814,2),"Isnin","Selasa","Rabu","Khamis","Jumaat","Sabtu","Ahad")&amp;", "&amp;DAY(T814)&amp;" "&amp;CHOOSE(MONTH(T814),"Jan","Feb","Mac","Apr","Mei","Jun","Jul","Ogo","Sep","Okt","Nov","Dis")&amp;" "&amp;YEAR(T814),IF(J814="E",IF(INDEX(Transaksi!$B$2:$B$2001,K814)="",INDEX(Transaksi!$C$2:$C$2001,K814)&amp;" · "&amp;INDEX(Transaksi!$D$2:$D$2001,K814),INDEX(Transaksi!$B$2:$B$2001,K814)),""))</f>
        <v/>
      </c>
      <c r="C814" s="32">
        <f>IF(J814="E",INDEX(Transaksi!$C$2:$C$2001,K814)&amp;"","")</f>
        <v/>
      </c>
      <c r="D814" s="32">
        <f>IF(J814="E",INDEX(Transaksi!$D$2:$D$2001,K814)&amp;"","")</f>
        <v/>
      </c>
      <c r="E814" s="33">
        <f>IF(J814="H",SUMIFS(Transaksi!$G$2:$G$2001,Transaksi!$M$2:$M$2001,"="&amp;S814)+SUMIFS(Transaksi!$H$2:$H$2001,Transaksi!$M$2:$M$2001,"="&amp;S814)+SUMIFS(Transaksi!$I$2:$I$2001,Transaksi!$M$2:$M$2001,"="&amp;S814),IF(J814="E",IF(INDEX(Transaksi!$G$2:$G$2001,K814)+INDEX(Transaksi!$H$2:$H$2001,K814)+INDEX(Transaksi!$I$2:$I$2001,K814)=0,"",INDEX(Transaksi!$G$2:$G$2001,K814)+INDEX(Transaksi!$H$2:$H$2001,K814)+INDEX(Transaksi!$I$2:$I$2001,K814)),""))</f>
        <v/>
      </c>
      <c r="F814" s="33">
        <f>IF(J814="H",SUMIFS(Transaksi!$J$2:$J$2001,Transaksi!$M$2:$M$2001,"="&amp;S814),IF(J814="E",IF(INDEX(Transaksi!$J$2:$J$2001,K814)=0,"",INDEX(Transaksi!$J$2:$J$2001,K814)),""))</f>
        <v/>
      </c>
      <c r="G814" s="33">
        <f>IF(J814="H",(SUMIFS(Transaksi!$G$2:$G$2001,Transaksi!$M$2:$M$2001,"&lt;="&amp;S814)+SUMIFS(Transaksi!$H$2:$H$2001,Transaksi!$M$2:$M$2001,"&lt;="&amp;S814)+SUMIFS(Transaksi!$I$2:$I$2001,Transaksi!$M$2:$M$2001,"&lt;="&amp;S814))-(SUMIFS(Transaksi!$J$2:$J$2001,Transaksi!$M$2:$M$2001,"&lt;="&amp;S814)),"")</f>
        <v/>
      </c>
      <c r="I814">
        <f>IF(811&gt;$O$2,"",MATCH(811,$Q$3:$Q$402,1))</f>
        <v/>
      </c>
      <c r="J814">
        <f>IF(I814="","",IF(811=INDEX($Q$3:$Q$402,I814),"H","E"))</f>
        <v/>
      </c>
      <c r="K814">
        <f>IF(J814&lt;&gt;"E","",MATCH(S814,Transaksi!$M$2:$M$2001,0)+811-INDEX($Q$3:$Q$402,I814)-1)</f>
        <v/>
      </c>
      <c r="S814">
        <f>IF(I814="","",INDEX($O$3:$O$402,I814))</f>
        <v/>
      </c>
      <c r="T814">
        <f>IF(J814&lt;&gt;"H","",INDEX(Transaksi!$A$2:$A$2001,MATCH(S814,Transaksi!$M$2:$M$2001,0)))</f>
        <v/>
      </c>
    </row>
    <row r="815">
      <c r="A815" s="31">
        <f>IF(J815="E",IF(INDEX(Transaksi!$J$2:$J$2001,K815)&gt;0,"↑","↓"),"")</f>
        <v/>
      </c>
      <c r="B815" s="32">
        <f>IF(J815="H",CHOOSE(WEEKDAY(T815,2),"Isnin","Selasa","Rabu","Khamis","Jumaat","Sabtu","Ahad")&amp;", "&amp;DAY(T815)&amp;" "&amp;CHOOSE(MONTH(T815),"Jan","Feb","Mac","Apr","Mei","Jun","Jul","Ogo","Sep","Okt","Nov","Dis")&amp;" "&amp;YEAR(T815),IF(J815="E",IF(INDEX(Transaksi!$B$2:$B$2001,K815)="",INDEX(Transaksi!$C$2:$C$2001,K815)&amp;" · "&amp;INDEX(Transaksi!$D$2:$D$2001,K815),INDEX(Transaksi!$B$2:$B$2001,K815)),""))</f>
        <v/>
      </c>
      <c r="C815" s="32">
        <f>IF(J815="E",INDEX(Transaksi!$C$2:$C$2001,K815)&amp;"","")</f>
        <v/>
      </c>
      <c r="D815" s="32">
        <f>IF(J815="E",INDEX(Transaksi!$D$2:$D$2001,K815)&amp;"","")</f>
        <v/>
      </c>
      <c r="E815" s="33">
        <f>IF(J815="H",SUMIFS(Transaksi!$G$2:$G$2001,Transaksi!$M$2:$M$2001,"="&amp;S815)+SUMIFS(Transaksi!$H$2:$H$2001,Transaksi!$M$2:$M$2001,"="&amp;S815)+SUMIFS(Transaksi!$I$2:$I$2001,Transaksi!$M$2:$M$2001,"="&amp;S815),IF(J815="E",IF(INDEX(Transaksi!$G$2:$G$2001,K815)+INDEX(Transaksi!$H$2:$H$2001,K815)+INDEX(Transaksi!$I$2:$I$2001,K815)=0,"",INDEX(Transaksi!$G$2:$G$2001,K815)+INDEX(Transaksi!$H$2:$H$2001,K815)+INDEX(Transaksi!$I$2:$I$2001,K815)),""))</f>
        <v/>
      </c>
      <c r="F815" s="33">
        <f>IF(J815="H",SUMIFS(Transaksi!$J$2:$J$2001,Transaksi!$M$2:$M$2001,"="&amp;S815),IF(J815="E",IF(INDEX(Transaksi!$J$2:$J$2001,K815)=0,"",INDEX(Transaksi!$J$2:$J$2001,K815)),""))</f>
        <v/>
      </c>
      <c r="G815" s="33">
        <f>IF(J815="H",(SUMIFS(Transaksi!$G$2:$G$2001,Transaksi!$M$2:$M$2001,"&lt;="&amp;S815)+SUMIFS(Transaksi!$H$2:$H$2001,Transaksi!$M$2:$M$2001,"&lt;="&amp;S815)+SUMIFS(Transaksi!$I$2:$I$2001,Transaksi!$M$2:$M$2001,"&lt;="&amp;S815))-(SUMIFS(Transaksi!$J$2:$J$2001,Transaksi!$M$2:$M$2001,"&lt;="&amp;S815)),"")</f>
        <v/>
      </c>
      <c r="I815">
        <f>IF(812&gt;$O$2,"",MATCH(812,$Q$3:$Q$402,1))</f>
        <v/>
      </c>
      <c r="J815">
        <f>IF(I815="","",IF(812=INDEX($Q$3:$Q$402,I815),"H","E"))</f>
        <v/>
      </c>
      <c r="K815">
        <f>IF(J815&lt;&gt;"E","",MATCH(S815,Transaksi!$M$2:$M$2001,0)+812-INDEX($Q$3:$Q$402,I815)-1)</f>
        <v/>
      </c>
      <c r="S815">
        <f>IF(I815="","",INDEX($O$3:$O$402,I815))</f>
        <v/>
      </c>
      <c r="T815">
        <f>IF(J815&lt;&gt;"H","",INDEX(Transaksi!$A$2:$A$2001,MATCH(S815,Transaksi!$M$2:$M$2001,0)))</f>
        <v/>
      </c>
    </row>
    <row r="816">
      <c r="A816" s="31">
        <f>IF(J816="E",IF(INDEX(Transaksi!$J$2:$J$2001,K816)&gt;0,"↑","↓"),"")</f>
        <v/>
      </c>
      <c r="B816" s="32">
        <f>IF(J816="H",CHOOSE(WEEKDAY(T816,2),"Isnin","Selasa","Rabu","Khamis","Jumaat","Sabtu","Ahad")&amp;", "&amp;DAY(T816)&amp;" "&amp;CHOOSE(MONTH(T816),"Jan","Feb","Mac","Apr","Mei","Jun","Jul","Ogo","Sep","Okt","Nov","Dis")&amp;" "&amp;YEAR(T816),IF(J816="E",IF(INDEX(Transaksi!$B$2:$B$2001,K816)="",INDEX(Transaksi!$C$2:$C$2001,K816)&amp;" · "&amp;INDEX(Transaksi!$D$2:$D$2001,K816),INDEX(Transaksi!$B$2:$B$2001,K816)),""))</f>
        <v/>
      </c>
      <c r="C816" s="32">
        <f>IF(J816="E",INDEX(Transaksi!$C$2:$C$2001,K816)&amp;"","")</f>
        <v/>
      </c>
      <c r="D816" s="32">
        <f>IF(J816="E",INDEX(Transaksi!$D$2:$D$2001,K816)&amp;"","")</f>
        <v/>
      </c>
      <c r="E816" s="33">
        <f>IF(J816="H",SUMIFS(Transaksi!$G$2:$G$2001,Transaksi!$M$2:$M$2001,"="&amp;S816)+SUMIFS(Transaksi!$H$2:$H$2001,Transaksi!$M$2:$M$2001,"="&amp;S816)+SUMIFS(Transaksi!$I$2:$I$2001,Transaksi!$M$2:$M$2001,"="&amp;S816),IF(J816="E",IF(INDEX(Transaksi!$G$2:$G$2001,K816)+INDEX(Transaksi!$H$2:$H$2001,K816)+INDEX(Transaksi!$I$2:$I$2001,K816)=0,"",INDEX(Transaksi!$G$2:$G$2001,K816)+INDEX(Transaksi!$H$2:$H$2001,K816)+INDEX(Transaksi!$I$2:$I$2001,K816)),""))</f>
        <v/>
      </c>
      <c r="F816" s="33">
        <f>IF(J816="H",SUMIFS(Transaksi!$J$2:$J$2001,Transaksi!$M$2:$M$2001,"="&amp;S816),IF(J816="E",IF(INDEX(Transaksi!$J$2:$J$2001,K816)=0,"",INDEX(Transaksi!$J$2:$J$2001,K816)),""))</f>
        <v/>
      </c>
      <c r="G816" s="33">
        <f>IF(J816="H",(SUMIFS(Transaksi!$G$2:$G$2001,Transaksi!$M$2:$M$2001,"&lt;="&amp;S816)+SUMIFS(Transaksi!$H$2:$H$2001,Transaksi!$M$2:$M$2001,"&lt;="&amp;S816)+SUMIFS(Transaksi!$I$2:$I$2001,Transaksi!$M$2:$M$2001,"&lt;="&amp;S816))-(SUMIFS(Transaksi!$J$2:$J$2001,Transaksi!$M$2:$M$2001,"&lt;="&amp;S816)),"")</f>
        <v/>
      </c>
      <c r="I816">
        <f>IF(813&gt;$O$2,"",MATCH(813,$Q$3:$Q$402,1))</f>
        <v/>
      </c>
      <c r="J816">
        <f>IF(I816="","",IF(813=INDEX($Q$3:$Q$402,I816),"H","E"))</f>
        <v/>
      </c>
      <c r="K816">
        <f>IF(J816&lt;&gt;"E","",MATCH(S816,Transaksi!$M$2:$M$2001,0)+813-INDEX($Q$3:$Q$402,I816)-1)</f>
        <v/>
      </c>
      <c r="S816">
        <f>IF(I816="","",INDEX($O$3:$O$402,I816))</f>
        <v/>
      </c>
      <c r="T816">
        <f>IF(J816&lt;&gt;"H","",INDEX(Transaksi!$A$2:$A$2001,MATCH(S816,Transaksi!$M$2:$M$2001,0)))</f>
        <v/>
      </c>
    </row>
    <row r="817">
      <c r="A817" s="31">
        <f>IF(J817="E",IF(INDEX(Transaksi!$J$2:$J$2001,K817)&gt;0,"↑","↓"),"")</f>
        <v/>
      </c>
      <c r="B817" s="32">
        <f>IF(J817="H",CHOOSE(WEEKDAY(T817,2),"Isnin","Selasa","Rabu","Khamis","Jumaat","Sabtu","Ahad")&amp;", "&amp;DAY(T817)&amp;" "&amp;CHOOSE(MONTH(T817),"Jan","Feb","Mac","Apr","Mei","Jun","Jul","Ogo","Sep","Okt","Nov","Dis")&amp;" "&amp;YEAR(T817),IF(J817="E",IF(INDEX(Transaksi!$B$2:$B$2001,K817)="",INDEX(Transaksi!$C$2:$C$2001,K817)&amp;" · "&amp;INDEX(Transaksi!$D$2:$D$2001,K817),INDEX(Transaksi!$B$2:$B$2001,K817)),""))</f>
        <v/>
      </c>
      <c r="C817" s="32">
        <f>IF(J817="E",INDEX(Transaksi!$C$2:$C$2001,K817)&amp;"","")</f>
        <v/>
      </c>
      <c r="D817" s="32">
        <f>IF(J817="E",INDEX(Transaksi!$D$2:$D$2001,K817)&amp;"","")</f>
        <v/>
      </c>
      <c r="E817" s="33">
        <f>IF(J817="H",SUMIFS(Transaksi!$G$2:$G$2001,Transaksi!$M$2:$M$2001,"="&amp;S817)+SUMIFS(Transaksi!$H$2:$H$2001,Transaksi!$M$2:$M$2001,"="&amp;S817)+SUMIFS(Transaksi!$I$2:$I$2001,Transaksi!$M$2:$M$2001,"="&amp;S817),IF(J817="E",IF(INDEX(Transaksi!$G$2:$G$2001,K817)+INDEX(Transaksi!$H$2:$H$2001,K817)+INDEX(Transaksi!$I$2:$I$2001,K817)=0,"",INDEX(Transaksi!$G$2:$G$2001,K817)+INDEX(Transaksi!$H$2:$H$2001,K817)+INDEX(Transaksi!$I$2:$I$2001,K817)),""))</f>
        <v/>
      </c>
      <c r="F817" s="33">
        <f>IF(J817="H",SUMIFS(Transaksi!$J$2:$J$2001,Transaksi!$M$2:$M$2001,"="&amp;S817),IF(J817="E",IF(INDEX(Transaksi!$J$2:$J$2001,K817)=0,"",INDEX(Transaksi!$J$2:$J$2001,K817)),""))</f>
        <v/>
      </c>
      <c r="G817" s="33">
        <f>IF(J817="H",(SUMIFS(Transaksi!$G$2:$G$2001,Transaksi!$M$2:$M$2001,"&lt;="&amp;S817)+SUMIFS(Transaksi!$H$2:$H$2001,Transaksi!$M$2:$M$2001,"&lt;="&amp;S817)+SUMIFS(Transaksi!$I$2:$I$2001,Transaksi!$M$2:$M$2001,"&lt;="&amp;S817))-(SUMIFS(Transaksi!$J$2:$J$2001,Transaksi!$M$2:$M$2001,"&lt;="&amp;S817)),"")</f>
        <v/>
      </c>
      <c r="I817">
        <f>IF(814&gt;$O$2,"",MATCH(814,$Q$3:$Q$402,1))</f>
        <v/>
      </c>
      <c r="J817">
        <f>IF(I817="","",IF(814=INDEX($Q$3:$Q$402,I817),"H","E"))</f>
        <v/>
      </c>
      <c r="K817">
        <f>IF(J817&lt;&gt;"E","",MATCH(S817,Transaksi!$M$2:$M$2001,0)+814-INDEX($Q$3:$Q$402,I817)-1)</f>
        <v/>
      </c>
      <c r="S817">
        <f>IF(I817="","",INDEX($O$3:$O$402,I817))</f>
        <v/>
      </c>
      <c r="T817">
        <f>IF(J817&lt;&gt;"H","",INDEX(Transaksi!$A$2:$A$2001,MATCH(S817,Transaksi!$M$2:$M$2001,0)))</f>
        <v/>
      </c>
    </row>
    <row r="818">
      <c r="A818" s="31">
        <f>IF(J818="E",IF(INDEX(Transaksi!$J$2:$J$2001,K818)&gt;0,"↑","↓"),"")</f>
        <v/>
      </c>
      <c r="B818" s="32">
        <f>IF(J818="H",CHOOSE(WEEKDAY(T818,2),"Isnin","Selasa","Rabu","Khamis","Jumaat","Sabtu","Ahad")&amp;", "&amp;DAY(T818)&amp;" "&amp;CHOOSE(MONTH(T818),"Jan","Feb","Mac","Apr","Mei","Jun","Jul","Ogo","Sep","Okt","Nov","Dis")&amp;" "&amp;YEAR(T818),IF(J818="E",IF(INDEX(Transaksi!$B$2:$B$2001,K818)="",INDEX(Transaksi!$C$2:$C$2001,K818)&amp;" · "&amp;INDEX(Transaksi!$D$2:$D$2001,K818),INDEX(Transaksi!$B$2:$B$2001,K818)),""))</f>
        <v/>
      </c>
      <c r="C818" s="32">
        <f>IF(J818="E",INDEX(Transaksi!$C$2:$C$2001,K818)&amp;"","")</f>
        <v/>
      </c>
      <c r="D818" s="32">
        <f>IF(J818="E",INDEX(Transaksi!$D$2:$D$2001,K818)&amp;"","")</f>
        <v/>
      </c>
      <c r="E818" s="33">
        <f>IF(J818="H",SUMIFS(Transaksi!$G$2:$G$2001,Transaksi!$M$2:$M$2001,"="&amp;S818)+SUMIFS(Transaksi!$H$2:$H$2001,Transaksi!$M$2:$M$2001,"="&amp;S818)+SUMIFS(Transaksi!$I$2:$I$2001,Transaksi!$M$2:$M$2001,"="&amp;S818),IF(J818="E",IF(INDEX(Transaksi!$G$2:$G$2001,K818)+INDEX(Transaksi!$H$2:$H$2001,K818)+INDEX(Transaksi!$I$2:$I$2001,K818)=0,"",INDEX(Transaksi!$G$2:$G$2001,K818)+INDEX(Transaksi!$H$2:$H$2001,K818)+INDEX(Transaksi!$I$2:$I$2001,K818)),""))</f>
        <v/>
      </c>
      <c r="F818" s="33">
        <f>IF(J818="H",SUMIFS(Transaksi!$J$2:$J$2001,Transaksi!$M$2:$M$2001,"="&amp;S818),IF(J818="E",IF(INDEX(Transaksi!$J$2:$J$2001,K818)=0,"",INDEX(Transaksi!$J$2:$J$2001,K818)),""))</f>
        <v/>
      </c>
      <c r="G818" s="33">
        <f>IF(J818="H",(SUMIFS(Transaksi!$G$2:$G$2001,Transaksi!$M$2:$M$2001,"&lt;="&amp;S818)+SUMIFS(Transaksi!$H$2:$H$2001,Transaksi!$M$2:$M$2001,"&lt;="&amp;S818)+SUMIFS(Transaksi!$I$2:$I$2001,Transaksi!$M$2:$M$2001,"&lt;="&amp;S818))-(SUMIFS(Transaksi!$J$2:$J$2001,Transaksi!$M$2:$M$2001,"&lt;="&amp;S818)),"")</f>
        <v/>
      </c>
      <c r="I818">
        <f>IF(815&gt;$O$2,"",MATCH(815,$Q$3:$Q$402,1))</f>
        <v/>
      </c>
      <c r="J818">
        <f>IF(I818="","",IF(815=INDEX($Q$3:$Q$402,I818),"H","E"))</f>
        <v/>
      </c>
      <c r="K818">
        <f>IF(J818&lt;&gt;"E","",MATCH(S818,Transaksi!$M$2:$M$2001,0)+815-INDEX($Q$3:$Q$402,I818)-1)</f>
        <v/>
      </c>
      <c r="S818">
        <f>IF(I818="","",INDEX($O$3:$O$402,I818))</f>
        <v/>
      </c>
      <c r="T818">
        <f>IF(J818&lt;&gt;"H","",INDEX(Transaksi!$A$2:$A$2001,MATCH(S818,Transaksi!$M$2:$M$2001,0)))</f>
        <v/>
      </c>
    </row>
    <row r="819">
      <c r="A819" s="31">
        <f>IF(J819="E",IF(INDEX(Transaksi!$J$2:$J$2001,K819)&gt;0,"↑","↓"),"")</f>
        <v/>
      </c>
      <c r="B819" s="32">
        <f>IF(J819="H",CHOOSE(WEEKDAY(T819,2),"Isnin","Selasa","Rabu","Khamis","Jumaat","Sabtu","Ahad")&amp;", "&amp;DAY(T819)&amp;" "&amp;CHOOSE(MONTH(T819),"Jan","Feb","Mac","Apr","Mei","Jun","Jul","Ogo","Sep","Okt","Nov","Dis")&amp;" "&amp;YEAR(T819),IF(J819="E",IF(INDEX(Transaksi!$B$2:$B$2001,K819)="",INDEX(Transaksi!$C$2:$C$2001,K819)&amp;" · "&amp;INDEX(Transaksi!$D$2:$D$2001,K819),INDEX(Transaksi!$B$2:$B$2001,K819)),""))</f>
        <v/>
      </c>
      <c r="C819" s="32">
        <f>IF(J819="E",INDEX(Transaksi!$C$2:$C$2001,K819)&amp;"","")</f>
        <v/>
      </c>
      <c r="D819" s="32">
        <f>IF(J819="E",INDEX(Transaksi!$D$2:$D$2001,K819)&amp;"","")</f>
        <v/>
      </c>
      <c r="E819" s="33">
        <f>IF(J819="H",SUMIFS(Transaksi!$G$2:$G$2001,Transaksi!$M$2:$M$2001,"="&amp;S819)+SUMIFS(Transaksi!$H$2:$H$2001,Transaksi!$M$2:$M$2001,"="&amp;S819)+SUMIFS(Transaksi!$I$2:$I$2001,Transaksi!$M$2:$M$2001,"="&amp;S819),IF(J819="E",IF(INDEX(Transaksi!$G$2:$G$2001,K819)+INDEX(Transaksi!$H$2:$H$2001,K819)+INDEX(Transaksi!$I$2:$I$2001,K819)=0,"",INDEX(Transaksi!$G$2:$G$2001,K819)+INDEX(Transaksi!$H$2:$H$2001,K819)+INDEX(Transaksi!$I$2:$I$2001,K819)),""))</f>
        <v/>
      </c>
      <c r="F819" s="33">
        <f>IF(J819="H",SUMIFS(Transaksi!$J$2:$J$2001,Transaksi!$M$2:$M$2001,"="&amp;S819),IF(J819="E",IF(INDEX(Transaksi!$J$2:$J$2001,K819)=0,"",INDEX(Transaksi!$J$2:$J$2001,K819)),""))</f>
        <v/>
      </c>
      <c r="G819" s="33">
        <f>IF(J819="H",(SUMIFS(Transaksi!$G$2:$G$2001,Transaksi!$M$2:$M$2001,"&lt;="&amp;S819)+SUMIFS(Transaksi!$H$2:$H$2001,Transaksi!$M$2:$M$2001,"&lt;="&amp;S819)+SUMIFS(Transaksi!$I$2:$I$2001,Transaksi!$M$2:$M$2001,"&lt;="&amp;S819))-(SUMIFS(Transaksi!$J$2:$J$2001,Transaksi!$M$2:$M$2001,"&lt;="&amp;S819)),"")</f>
        <v/>
      </c>
      <c r="I819">
        <f>IF(816&gt;$O$2,"",MATCH(816,$Q$3:$Q$402,1))</f>
        <v/>
      </c>
      <c r="J819">
        <f>IF(I819="","",IF(816=INDEX($Q$3:$Q$402,I819),"H","E"))</f>
        <v/>
      </c>
      <c r="K819">
        <f>IF(J819&lt;&gt;"E","",MATCH(S819,Transaksi!$M$2:$M$2001,0)+816-INDEX($Q$3:$Q$402,I819)-1)</f>
        <v/>
      </c>
      <c r="S819">
        <f>IF(I819="","",INDEX($O$3:$O$402,I819))</f>
        <v/>
      </c>
      <c r="T819">
        <f>IF(J819&lt;&gt;"H","",INDEX(Transaksi!$A$2:$A$2001,MATCH(S819,Transaksi!$M$2:$M$2001,0)))</f>
        <v/>
      </c>
    </row>
    <row r="820">
      <c r="A820" s="31">
        <f>IF(J820="E",IF(INDEX(Transaksi!$J$2:$J$2001,K820)&gt;0,"↑","↓"),"")</f>
        <v/>
      </c>
      <c r="B820" s="32">
        <f>IF(J820="H",CHOOSE(WEEKDAY(T820,2),"Isnin","Selasa","Rabu","Khamis","Jumaat","Sabtu","Ahad")&amp;", "&amp;DAY(T820)&amp;" "&amp;CHOOSE(MONTH(T820),"Jan","Feb","Mac","Apr","Mei","Jun","Jul","Ogo","Sep","Okt","Nov","Dis")&amp;" "&amp;YEAR(T820),IF(J820="E",IF(INDEX(Transaksi!$B$2:$B$2001,K820)="",INDEX(Transaksi!$C$2:$C$2001,K820)&amp;" · "&amp;INDEX(Transaksi!$D$2:$D$2001,K820),INDEX(Transaksi!$B$2:$B$2001,K820)),""))</f>
        <v/>
      </c>
      <c r="C820" s="32">
        <f>IF(J820="E",INDEX(Transaksi!$C$2:$C$2001,K820)&amp;"","")</f>
        <v/>
      </c>
      <c r="D820" s="32">
        <f>IF(J820="E",INDEX(Transaksi!$D$2:$D$2001,K820)&amp;"","")</f>
        <v/>
      </c>
      <c r="E820" s="33">
        <f>IF(J820="H",SUMIFS(Transaksi!$G$2:$G$2001,Transaksi!$M$2:$M$2001,"="&amp;S820)+SUMIFS(Transaksi!$H$2:$H$2001,Transaksi!$M$2:$M$2001,"="&amp;S820)+SUMIFS(Transaksi!$I$2:$I$2001,Transaksi!$M$2:$M$2001,"="&amp;S820),IF(J820="E",IF(INDEX(Transaksi!$G$2:$G$2001,K820)+INDEX(Transaksi!$H$2:$H$2001,K820)+INDEX(Transaksi!$I$2:$I$2001,K820)=0,"",INDEX(Transaksi!$G$2:$G$2001,K820)+INDEX(Transaksi!$H$2:$H$2001,K820)+INDEX(Transaksi!$I$2:$I$2001,K820)),""))</f>
        <v/>
      </c>
      <c r="F820" s="33">
        <f>IF(J820="H",SUMIFS(Transaksi!$J$2:$J$2001,Transaksi!$M$2:$M$2001,"="&amp;S820),IF(J820="E",IF(INDEX(Transaksi!$J$2:$J$2001,K820)=0,"",INDEX(Transaksi!$J$2:$J$2001,K820)),""))</f>
        <v/>
      </c>
      <c r="G820" s="33">
        <f>IF(J820="H",(SUMIFS(Transaksi!$G$2:$G$2001,Transaksi!$M$2:$M$2001,"&lt;="&amp;S820)+SUMIFS(Transaksi!$H$2:$H$2001,Transaksi!$M$2:$M$2001,"&lt;="&amp;S820)+SUMIFS(Transaksi!$I$2:$I$2001,Transaksi!$M$2:$M$2001,"&lt;="&amp;S820))-(SUMIFS(Transaksi!$J$2:$J$2001,Transaksi!$M$2:$M$2001,"&lt;="&amp;S820)),"")</f>
        <v/>
      </c>
      <c r="I820">
        <f>IF(817&gt;$O$2,"",MATCH(817,$Q$3:$Q$402,1))</f>
        <v/>
      </c>
      <c r="J820">
        <f>IF(I820="","",IF(817=INDEX($Q$3:$Q$402,I820),"H","E"))</f>
        <v/>
      </c>
      <c r="K820">
        <f>IF(J820&lt;&gt;"E","",MATCH(S820,Transaksi!$M$2:$M$2001,0)+817-INDEX($Q$3:$Q$402,I820)-1)</f>
        <v/>
      </c>
      <c r="S820">
        <f>IF(I820="","",INDEX($O$3:$O$402,I820))</f>
        <v/>
      </c>
      <c r="T820">
        <f>IF(J820&lt;&gt;"H","",INDEX(Transaksi!$A$2:$A$2001,MATCH(S820,Transaksi!$M$2:$M$2001,0)))</f>
        <v/>
      </c>
    </row>
    <row r="821">
      <c r="A821" s="31">
        <f>IF(J821="E",IF(INDEX(Transaksi!$J$2:$J$2001,K821)&gt;0,"↑","↓"),"")</f>
        <v/>
      </c>
      <c r="B821" s="32">
        <f>IF(J821="H",CHOOSE(WEEKDAY(T821,2),"Isnin","Selasa","Rabu","Khamis","Jumaat","Sabtu","Ahad")&amp;", "&amp;DAY(T821)&amp;" "&amp;CHOOSE(MONTH(T821),"Jan","Feb","Mac","Apr","Mei","Jun","Jul","Ogo","Sep","Okt","Nov","Dis")&amp;" "&amp;YEAR(T821),IF(J821="E",IF(INDEX(Transaksi!$B$2:$B$2001,K821)="",INDEX(Transaksi!$C$2:$C$2001,K821)&amp;" · "&amp;INDEX(Transaksi!$D$2:$D$2001,K821),INDEX(Transaksi!$B$2:$B$2001,K821)),""))</f>
        <v/>
      </c>
      <c r="C821" s="32">
        <f>IF(J821="E",INDEX(Transaksi!$C$2:$C$2001,K821)&amp;"","")</f>
        <v/>
      </c>
      <c r="D821" s="32">
        <f>IF(J821="E",INDEX(Transaksi!$D$2:$D$2001,K821)&amp;"","")</f>
        <v/>
      </c>
      <c r="E821" s="33">
        <f>IF(J821="H",SUMIFS(Transaksi!$G$2:$G$2001,Transaksi!$M$2:$M$2001,"="&amp;S821)+SUMIFS(Transaksi!$H$2:$H$2001,Transaksi!$M$2:$M$2001,"="&amp;S821)+SUMIFS(Transaksi!$I$2:$I$2001,Transaksi!$M$2:$M$2001,"="&amp;S821),IF(J821="E",IF(INDEX(Transaksi!$G$2:$G$2001,K821)+INDEX(Transaksi!$H$2:$H$2001,K821)+INDEX(Transaksi!$I$2:$I$2001,K821)=0,"",INDEX(Transaksi!$G$2:$G$2001,K821)+INDEX(Transaksi!$H$2:$H$2001,K821)+INDEX(Transaksi!$I$2:$I$2001,K821)),""))</f>
        <v/>
      </c>
      <c r="F821" s="33">
        <f>IF(J821="H",SUMIFS(Transaksi!$J$2:$J$2001,Transaksi!$M$2:$M$2001,"="&amp;S821),IF(J821="E",IF(INDEX(Transaksi!$J$2:$J$2001,K821)=0,"",INDEX(Transaksi!$J$2:$J$2001,K821)),""))</f>
        <v/>
      </c>
      <c r="G821" s="33">
        <f>IF(J821="H",(SUMIFS(Transaksi!$G$2:$G$2001,Transaksi!$M$2:$M$2001,"&lt;="&amp;S821)+SUMIFS(Transaksi!$H$2:$H$2001,Transaksi!$M$2:$M$2001,"&lt;="&amp;S821)+SUMIFS(Transaksi!$I$2:$I$2001,Transaksi!$M$2:$M$2001,"&lt;="&amp;S821))-(SUMIFS(Transaksi!$J$2:$J$2001,Transaksi!$M$2:$M$2001,"&lt;="&amp;S821)),"")</f>
        <v/>
      </c>
      <c r="I821">
        <f>IF(818&gt;$O$2,"",MATCH(818,$Q$3:$Q$402,1))</f>
        <v/>
      </c>
      <c r="J821">
        <f>IF(I821="","",IF(818=INDEX($Q$3:$Q$402,I821),"H","E"))</f>
        <v/>
      </c>
      <c r="K821">
        <f>IF(J821&lt;&gt;"E","",MATCH(S821,Transaksi!$M$2:$M$2001,0)+818-INDEX($Q$3:$Q$402,I821)-1)</f>
        <v/>
      </c>
      <c r="S821">
        <f>IF(I821="","",INDEX($O$3:$O$402,I821))</f>
        <v/>
      </c>
      <c r="T821">
        <f>IF(J821&lt;&gt;"H","",INDEX(Transaksi!$A$2:$A$2001,MATCH(S821,Transaksi!$M$2:$M$2001,0)))</f>
        <v/>
      </c>
    </row>
    <row r="822">
      <c r="A822" s="31">
        <f>IF(J822="E",IF(INDEX(Transaksi!$J$2:$J$2001,K822)&gt;0,"↑","↓"),"")</f>
        <v/>
      </c>
      <c r="B822" s="32">
        <f>IF(J822="H",CHOOSE(WEEKDAY(T822,2),"Isnin","Selasa","Rabu","Khamis","Jumaat","Sabtu","Ahad")&amp;", "&amp;DAY(T822)&amp;" "&amp;CHOOSE(MONTH(T822),"Jan","Feb","Mac","Apr","Mei","Jun","Jul","Ogo","Sep","Okt","Nov","Dis")&amp;" "&amp;YEAR(T822),IF(J822="E",IF(INDEX(Transaksi!$B$2:$B$2001,K822)="",INDEX(Transaksi!$C$2:$C$2001,K822)&amp;" · "&amp;INDEX(Transaksi!$D$2:$D$2001,K822),INDEX(Transaksi!$B$2:$B$2001,K822)),""))</f>
        <v/>
      </c>
      <c r="C822" s="32">
        <f>IF(J822="E",INDEX(Transaksi!$C$2:$C$2001,K822)&amp;"","")</f>
        <v/>
      </c>
      <c r="D822" s="32">
        <f>IF(J822="E",INDEX(Transaksi!$D$2:$D$2001,K822)&amp;"","")</f>
        <v/>
      </c>
      <c r="E822" s="33">
        <f>IF(J822="H",SUMIFS(Transaksi!$G$2:$G$2001,Transaksi!$M$2:$M$2001,"="&amp;S822)+SUMIFS(Transaksi!$H$2:$H$2001,Transaksi!$M$2:$M$2001,"="&amp;S822)+SUMIFS(Transaksi!$I$2:$I$2001,Transaksi!$M$2:$M$2001,"="&amp;S822),IF(J822="E",IF(INDEX(Transaksi!$G$2:$G$2001,K822)+INDEX(Transaksi!$H$2:$H$2001,K822)+INDEX(Transaksi!$I$2:$I$2001,K822)=0,"",INDEX(Transaksi!$G$2:$G$2001,K822)+INDEX(Transaksi!$H$2:$H$2001,K822)+INDEX(Transaksi!$I$2:$I$2001,K822)),""))</f>
        <v/>
      </c>
      <c r="F822" s="33">
        <f>IF(J822="H",SUMIFS(Transaksi!$J$2:$J$2001,Transaksi!$M$2:$M$2001,"="&amp;S822),IF(J822="E",IF(INDEX(Transaksi!$J$2:$J$2001,K822)=0,"",INDEX(Transaksi!$J$2:$J$2001,K822)),""))</f>
        <v/>
      </c>
      <c r="G822" s="33">
        <f>IF(J822="H",(SUMIFS(Transaksi!$G$2:$G$2001,Transaksi!$M$2:$M$2001,"&lt;="&amp;S822)+SUMIFS(Transaksi!$H$2:$H$2001,Transaksi!$M$2:$M$2001,"&lt;="&amp;S822)+SUMIFS(Transaksi!$I$2:$I$2001,Transaksi!$M$2:$M$2001,"&lt;="&amp;S822))-(SUMIFS(Transaksi!$J$2:$J$2001,Transaksi!$M$2:$M$2001,"&lt;="&amp;S822)),"")</f>
        <v/>
      </c>
      <c r="I822">
        <f>IF(819&gt;$O$2,"",MATCH(819,$Q$3:$Q$402,1))</f>
        <v/>
      </c>
      <c r="J822">
        <f>IF(I822="","",IF(819=INDEX($Q$3:$Q$402,I822),"H","E"))</f>
        <v/>
      </c>
      <c r="K822">
        <f>IF(J822&lt;&gt;"E","",MATCH(S822,Transaksi!$M$2:$M$2001,0)+819-INDEX($Q$3:$Q$402,I822)-1)</f>
        <v/>
      </c>
      <c r="S822">
        <f>IF(I822="","",INDEX($O$3:$O$402,I822))</f>
        <v/>
      </c>
      <c r="T822">
        <f>IF(J822&lt;&gt;"H","",INDEX(Transaksi!$A$2:$A$2001,MATCH(S822,Transaksi!$M$2:$M$2001,0)))</f>
        <v/>
      </c>
    </row>
    <row r="823">
      <c r="A823" s="31">
        <f>IF(J823="E",IF(INDEX(Transaksi!$J$2:$J$2001,K823)&gt;0,"↑","↓"),"")</f>
        <v/>
      </c>
      <c r="B823" s="32">
        <f>IF(J823="H",CHOOSE(WEEKDAY(T823,2),"Isnin","Selasa","Rabu","Khamis","Jumaat","Sabtu","Ahad")&amp;", "&amp;DAY(T823)&amp;" "&amp;CHOOSE(MONTH(T823),"Jan","Feb","Mac","Apr","Mei","Jun","Jul","Ogo","Sep","Okt","Nov","Dis")&amp;" "&amp;YEAR(T823),IF(J823="E",IF(INDEX(Transaksi!$B$2:$B$2001,K823)="",INDEX(Transaksi!$C$2:$C$2001,K823)&amp;" · "&amp;INDEX(Transaksi!$D$2:$D$2001,K823),INDEX(Transaksi!$B$2:$B$2001,K823)),""))</f>
        <v/>
      </c>
      <c r="C823" s="32">
        <f>IF(J823="E",INDEX(Transaksi!$C$2:$C$2001,K823)&amp;"","")</f>
        <v/>
      </c>
      <c r="D823" s="32">
        <f>IF(J823="E",INDEX(Transaksi!$D$2:$D$2001,K823)&amp;"","")</f>
        <v/>
      </c>
      <c r="E823" s="33">
        <f>IF(J823="H",SUMIFS(Transaksi!$G$2:$G$2001,Transaksi!$M$2:$M$2001,"="&amp;S823)+SUMIFS(Transaksi!$H$2:$H$2001,Transaksi!$M$2:$M$2001,"="&amp;S823)+SUMIFS(Transaksi!$I$2:$I$2001,Transaksi!$M$2:$M$2001,"="&amp;S823),IF(J823="E",IF(INDEX(Transaksi!$G$2:$G$2001,K823)+INDEX(Transaksi!$H$2:$H$2001,K823)+INDEX(Transaksi!$I$2:$I$2001,K823)=0,"",INDEX(Transaksi!$G$2:$G$2001,K823)+INDEX(Transaksi!$H$2:$H$2001,K823)+INDEX(Transaksi!$I$2:$I$2001,K823)),""))</f>
        <v/>
      </c>
      <c r="F823" s="33">
        <f>IF(J823="H",SUMIFS(Transaksi!$J$2:$J$2001,Transaksi!$M$2:$M$2001,"="&amp;S823),IF(J823="E",IF(INDEX(Transaksi!$J$2:$J$2001,K823)=0,"",INDEX(Transaksi!$J$2:$J$2001,K823)),""))</f>
        <v/>
      </c>
      <c r="G823" s="33">
        <f>IF(J823="H",(SUMIFS(Transaksi!$G$2:$G$2001,Transaksi!$M$2:$M$2001,"&lt;="&amp;S823)+SUMIFS(Transaksi!$H$2:$H$2001,Transaksi!$M$2:$M$2001,"&lt;="&amp;S823)+SUMIFS(Transaksi!$I$2:$I$2001,Transaksi!$M$2:$M$2001,"&lt;="&amp;S823))-(SUMIFS(Transaksi!$J$2:$J$2001,Transaksi!$M$2:$M$2001,"&lt;="&amp;S823)),"")</f>
        <v/>
      </c>
      <c r="I823">
        <f>IF(820&gt;$O$2,"",MATCH(820,$Q$3:$Q$402,1))</f>
        <v/>
      </c>
      <c r="J823">
        <f>IF(I823="","",IF(820=INDEX($Q$3:$Q$402,I823),"H","E"))</f>
        <v/>
      </c>
      <c r="K823">
        <f>IF(J823&lt;&gt;"E","",MATCH(S823,Transaksi!$M$2:$M$2001,0)+820-INDEX($Q$3:$Q$402,I823)-1)</f>
        <v/>
      </c>
      <c r="S823">
        <f>IF(I823="","",INDEX($O$3:$O$402,I823))</f>
        <v/>
      </c>
      <c r="T823">
        <f>IF(J823&lt;&gt;"H","",INDEX(Transaksi!$A$2:$A$2001,MATCH(S823,Transaksi!$M$2:$M$2001,0)))</f>
        <v/>
      </c>
    </row>
    <row r="824">
      <c r="A824" s="31">
        <f>IF(J824="E",IF(INDEX(Transaksi!$J$2:$J$2001,K824)&gt;0,"↑","↓"),"")</f>
        <v/>
      </c>
      <c r="B824" s="32">
        <f>IF(J824="H",CHOOSE(WEEKDAY(T824,2),"Isnin","Selasa","Rabu","Khamis","Jumaat","Sabtu","Ahad")&amp;", "&amp;DAY(T824)&amp;" "&amp;CHOOSE(MONTH(T824),"Jan","Feb","Mac","Apr","Mei","Jun","Jul","Ogo","Sep","Okt","Nov","Dis")&amp;" "&amp;YEAR(T824),IF(J824="E",IF(INDEX(Transaksi!$B$2:$B$2001,K824)="",INDEX(Transaksi!$C$2:$C$2001,K824)&amp;" · "&amp;INDEX(Transaksi!$D$2:$D$2001,K824),INDEX(Transaksi!$B$2:$B$2001,K824)),""))</f>
        <v/>
      </c>
      <c r="C824" s="32">
        <f>IF(J824="E",INDEX(Transaksi!$C$2:$C$2001,K824)&amp;"","")</f>
        <v/>
      </c>
      <c r="D824" s="32">
        <f>IF(J824="E",INDEX(Transaksi!$D$2:$D$2001,K824)&amp;"","")</f>
        <v/>
      </c>
      <c r="E824" s="33">
        <f>IF(J824="H",SUMIFS(Transaksi!$G$2:$G$2001,Transaksi!$M$2:$M$2001,"="&amp;S824)+SUMIFS(Transaksi!$H$2:$H$2001,Transaksi!$M$2:$M$2001,"="&amp;S824)+SUMIFS(Transaksi!$I$2:$I$2001,Transaksi!$M$2:$M$2001,"="&amp;S824),IF(J824="E",IF(INDEX(Transaksi!$G$2:$G$2001,K824)+INDEX(Transaksi!$H$2:$H$2001,K824)+INDEX(Transaksi!$I$2:$I$2001,K824)=0,"",INDEX(Transaksi!$G$2:$G$2001,K824)+INDEX(Transaksi!$H$2:$H$2001,K824)+INDEX(Transaksi!$I$2:$I$2001,K824)),""))</f>
        <v/>
      </c>
      <c r="F824" s="33">
        <f>IF(J824="H",SUMIFS(Transaksi!$J$2:$J$2001,Transaksi!$M$2:$M$2001,"="&amp;S824),IF(J824="E",IF(INDEX(Transaksi!$J$2:$J$2001,K824)=0,"",INDEX(Transaksi!$J$2:$J$2001,K824)),""))</f>
        <v/>
      </c>
      <c r="G824" s="33">
        <f>IF(J824="H",(SUMIFS(Transaksi!$G$2:$G$2001,Transaksi!$M$2:$M$2001,"&lt;="&amp;S824)+SUMIFS(Transaksi!$H$2:$H$2001,Transaksi!$M$2:$M$2001,"&lt;="&amp;S824)+SUMIFS(Transaksi!$I$2:$I$2001,Transaksi!$M$2:$M$2001,"&lt;="&amp;S824))-(SUMIFS(Transaksi!$J$2:$J$2001,Transaksi!$M$2:$M$2001,"&lt;="&amp;S824)),"")</f>
        <v/>
      </c>
      <c r="I824">
        <f>IF(821&gt;$O$2,"",MATCH(821,$Q$3:$Q$402,1))</f>
        <v/>
      </c>
      <c r="J824">
        <f>IF(I824="","",IF(821=INDEX($Q$3:$Q$402,I824),"H","E"))</f>
        <v/>
      </c>
      <c r="K824">
        <f>IF(J824&lt;&gt;"E","",MATCH(S824,Transaksi!$M$2:$M$2001,0)+821-INDEX($Q$3:$Q$402,I824)-1)</f>
        <v/>
      </c>
      <c r="S824">
        <f>IF(I824="","",INDEX($O$3:$O$402,I824))</f>
        <v/>
      </c>
      <c r="T824">
        <f>IF(J824&lt;&gt;"H","",INDEX(Transaksi!$A$2:$A$2001,MATCH(S824,Transaksi!$M$2:$M$2001,0)))</f>
        <v/>
      </c>
    </row>
    <row r="825">
      <c r="A825" s="31">
        <f>IF(J825="E",IF(INDEX(Transaksi!$J$2:$J$2001,K825)&gt;0,"↑","↓"),"")</f>
        <v/>
      </c>
      <c r="B825" s="32">
        <f>IF(J825="H",CHOOSE(WEEKDAY(T825,2),"Isnin","Selasa","Rabu","Khamis","Jumaat","Sabtu","Ahad")&amp;", "&amp;DAY(T825)&amp;" "&amp;CHOOSE(MONTH(T825),"Jan","Feb","Mac","Apr","Mei","Jun","Jul","Ogo","Sep","Okt","Nov","Dis")&amp;" "&amp;YEAR(T825),IF(J825="E",IF(INDEX(Transaksi!$B$2:$B$2001,K825)="",INDEX(Transaksi!$C$2:$C$2001,K825)&amp;" · "&amp;INDEX(Transaksi!$D$2:$D$2001,K825),INDEX(Transaksi!$B$2:$B$2001,K825)),""))</f>
        <v/>
      </c>
      <c r="C825" s="32">
        <f>IF(J825="E",INDEX(Transaksi!$C$2:$C$2001,K825)&amp;"","")</f>
        <v/>
      </c>
      <c r="D825" s="32">
        <f>IF(J825="E",INDEX(Transaksi!$D$2:$D$2001,K825)&amp;"","")</f>
        <v/>
      </c>
      <c r="E825" s="33">
        <f>IF(J825="H",SUMIFS(Transaksi!$G$2:$G$2001,Transaksi!$M$2:$M$2001,"="&amp;S825)+SUMIFS(Transaksi!$H$2:$H$2001,Transaksi!$M$2:$M$2001,"="&amp;S825)+SUMIFS(Transaksi!$I$2:$I$2001,Transaksi!$M$2:$M$2001,"="&amp;S825),IF(J825="E",IF(INDEX(Transaksi!$G$2:$G$2001,K825)+INDEX(Transaksi!$H$2:$H$2001,K825)+INDEX(Transaksi!$I$2:$I$2001,K825)=0,"",INDEX(Transaksi!$G$2:$G$2001,K825)+INDEX(Transaksi!$H$2:$H$2001,K825)+INDEX(Transaksi!$I$2:$I$2001,K825)),""))</f>
        <v/>
      </c>
      <c r="F825" s="33">
        <f>IF(J825="H",SUMIFS(Transaksi!$J$2:$J$2001,Transaksi!$M$2:$M$2001,"="&amp;S825),IF(J825="E",IF(INDEX(Transaksi!$J$2:$J$2001,K825)=0,"",INDEX(Transaksi!$J$2:$J$2001,K825)),""))</f>
        <v/>
      </c>
      <c r="G825" s="33">
        <f>IF(J825="H",(SUMIFS(Transaksi!$G$2:$G$2001,Transaksi!$M$2:$M$2001,"&lt;="&amp;S825)+SUMIFS(Transaksi!$H$2:$H$2001,Transaksi!$M$2:$M$2001,"&lt;="&amp;S825)+SUMIFS(Transaksi!$I$2:$I$2001,Transaksi!$M$2:$M$2001,"&lt;="&amp;S825))-(SUMIFS(Transaksi!$J$2:$J$2001,Transaksi!$M$2:$M$2001,"&lt;="&amp;S825)),"")</f>
        <v/>
      </c>
      <c r="I825">
        <f>IF(822&gt;$O$2,"",MATCH(822,$Q$3:$Q$402,1))</f>
        <v/>
      </c>
      <c r="J825">
        <f>IF(I825="","",IF(822=INDEX($Q$3:$Q$402,I825),"H","E"))</f>
        <v/>
      </c>
      <c r="K825">
        <f>IF(J825&lt;&gt;"E","",MATCH(S825,Transaksi!$M$2:$M$2001,0)+822-INDEX($Q$3:$Q$402,I825)-1)</f>
        <v/>
      </c>
      <c r="S825">
        <f>IF(I825="","",INDEX($O$3:$O$402,I825))</f>
        <v/>
      </c>
      <c r="T825">
        <f>IF(J825&lt;&gt;"H","",INDEX(Transaksi!$A$2:$A$2001,MATCH(S825,Transaksi!$M$2:$M$2001,0)))</f>
        <v/>
      </c>
    </row>
    <row r="826">
      <c r="A826" s="31">
        <f>IF(J826="E",IF(INDEX(Transaksi!$J$2:$J$2001,K826)&gt;0,"↑","↓"),"")</f>
        <v/>
      </c>
      <c r="B826" s="32">
        <f>IF(J826="H",CHOOSE(WEEKDAY(T826,2),"Isnin","Selasa","Rabu","Khamis","Jumaat","Sabtu","Ahad")&amp;", "&amp;DAY(T826)&amp;" "&amp;CHOOSE(MONTH(T826),"Jan","Feb","Mac","Apr","Mei","Jun","Jul","Ogo","Sep","Okt","Nov","Dis")&amp;" "&amp;YEAR(T826),IF(J826="E",IF(INDEX(Transaksi!$B$2:$B$2001,K826)="",INDEX(Transaksi!$C$2:$C$2001,K826)&amp;" · "&amp;INDEX(Transaksi!$D$2:$D$2001,K826),INDEX(Transaksi!$B$2:$B$2001,K826)),""))</f>
        <v/>
      </c>
      <c r="C826" s="32">
        <f>IF(J826="E",INDEX(Transaksi!$C$2:$C$2001,K826)&amp;"","")</f>
        <v/>
      </c>
      <c r="D826" s="32">
        <f>IF(J826="E",INDEX(Transaksi!$D$2:$D$2001,K826)&amp;"","")</f>
        <v/>
      </c>
      <c r="E826" s="33">
        <f>IF(J826="H",SUMIFS(Transaksi!$G$2:$G$2001,Transaksi!$M$2:$M$2001,"="&amp;S826)+SUMIFS(Transaksi!$H$2:$H$2001,Transaksi!$M$2:$M$2001,"="&amp;S826)+SUMIFS(Transaksi!$I$2:$I$2001,Transaksi!$M$2:$M$2001,"="&amp;S826),IF(J826="E",IF(INDEX(Transaksi!$G$2:$G$2001,K826)+INDEX(Transaksi!$H$2:$H$2001,K826)+INDEX(Transaksi!$I$2:$I$2001,K826)=0,"",INDEX(Transaksi!$G$2:$G$2001,K826)+INDEX(Transaksi!$H$2:$H$2001,K826)+INDEX(Transaksi!$I$2:$I$2001,K826)),""))</f>
        <v/>
      </c>
      <c r="F826" s="33">
        <f>IF(J826="H",SUMIFS(Transaksi!$J$2:$J$2001,Transaksi!$M$2:$M$2001,"="&amp;S826),IF(J826="E",IF(INDEX(Transaksi!$J$2:$J$2001,K826)=0,"",INDEX(Transaksi!$J$2:$J$2001,K826)),""))</f>
        <v/>
      </c>
      <c r="G826" s="33">
        <f>IF(J826="H",(SUMIFS(Transaksi!$G$2:$G$2001,Transaksi!$M$2:$M$2001,"&lt;="&amp;S826)+SUMIFS(Transaksi!$H$2:$H$2001,Transaksi!$M$2:$M$2001,"&lt;="&amp;S826)+SUMIFS(Transaksi!$I$2:$I$2001,Transaksi!$M$2:$M$2001,"&lt;="&amp;S826))-(SUMIFS(Transaksi!$J$2:$J$2001,Transaksi!$M$2:$M$2001,"&lt;="&amp;S826)),"")</f>
        <v/>
      </c>
      <c r="I826">
        <f>IF(823&gt;$O$2,"",MATCH(823,$Q$3:$Q$402,1))</f>
        <v/>
      </c>
      <c r="J826">
        <f>IF(I826="","",IF(823=INDEX($Q$3:$Q$402,I826),"H","E"))</f>
        <v/>
      </c>
      <c r="K826">
        <f>IF(J826&lt;&gt;"E","",MATCH(S826,Transaksi!$M$2:$M$2001,0)+823-INDEX($Q$3:$Q$402,I826)-1)</f>
        <v/>
      </c>
      <c r="S826">
        <f>IF(I826="","",INDEX($O$3:$O$402,I826))</f>
        <v/>
      </c>
      <c r="T826">
        <f>IF(J826&lt;&gt;"H","",INDEX(Transaksi!$A$2:$A$2001,MATCH(S826,Transaksi!$M$2:$M$2001,0)))</f>
        <v/>
      </c>
    </row>
    <row r="827">
      <c r="A827" s="31">
        <f>IF(J827="E",IF(INDEX(Transaksi!$J$2:$J$2001,K827)&gt;0,"↑","↓"),"")</f>
        <v/>
      </c>
      <c r="B827" s="32">
        <f>IF(J827="H",CHOOSE(WEEKDAY(T827,2),"Isnin","Selasa","Rabu","Khamis","Jumaat","Sabtu","Ahad")&amp;", "&amp;DAY(T827)&amp;" "&amp;CHOOSE(MONTH(T827),"Jan","Feb","Mac","Apr","Mei","Jun","Jul","Ogo","Sep","Okt","Nov","Dis")&amp;" "&amp;YEAR(T827),IF(J827="E",IF(INDEX(Transaksi!$B$2:$B$2001,K827)="",INDEX(Transaksi!$C$2:$C$2001,K827)&amp;" · "&amp;INDEX(Transaksi!$D$2:$D$2001,K827),INDEX(Transaksi!$B$2:$B$2001,K827)),""))</f>
        <v/>
      </c>
      <c r="C827" s="32">
        <f>IF(J827="E",INDEX(Transaksi!$C$2:$C$2001,K827)&amp;"","")</f>
        <v/>
      </c>
      <c r="D827" s="32">
        <f>IF(J827="E",INDEX(Transaksi!$D$2:$D$2001,K827)&amp;"","")</f>
        <v/>
      </c>
      <c r="E827" s="33">
        <f>IF(J827="H",SUMIFS(Transaksi!$G$2:$G$2001,Transaksi!$M$2:$M$2001,"="&amp;S827)+SUMIFS(Transaksi!$H$2:$H$2001,Transaksi!$M$2:$M$2001,"="&amp;S827)+SUMIFS(Transaksi!$I$2:$I$2001,Transaksi!$M$2:$M$2001,"="&amp;S827),IF(J827="E",IF(INDEX(Transaksi!$G$2:$G$2001,K827)+INDEX(Transaksi!$H$2:$H$2001,K827)+INDEX(Transaksi!$I$2:$I$2001,K827)=0,"",INDEX(Transaksi!$G$2:$G$2001,K827)+INDEX(Transaksi!$H$2:$H$2001,K827)+INDEX(Transaksi!$I$2:$I$2001,K827)),""))</f>
        <v/>
      </c>
      <c r="F827" s="33">
        <f>IF(J827="H",SUMIFS(Transaksi!$J$2:$J$2001,Transaksi!$M$2:$M$2001,"="&amp;S827),IF(J827="E",IF(INDEX(Transaksi!$J$2:$J$2001,K827)=0,"",INDEX(Transaksi!$J$2:$J$2001,K827)),""))</f>
        <v/>
      </c>
      <c r="G827" s="33">
        <f>IF(J827="H",(SUMIFS(Transaksi!$G$2:$G$2001,Transaksi!$M$2:$M$2001,"&lt;="&amp;S827)+SUMIFS(Transaksi!$H$2:$H$2001,Transaksi!$M$2:$M$2001,"&lt;="&amp;S827)+SUMIFS(Transaksi!$I$2:$I$2001,Transaksi!$M$2:$M$2001,"&lt;="&amp;S827))-(SUMIFS(Transaksi!$J$2:$J$2001,Transaksi!$M$2:$M$2001,"&lt;="&amp;S827)),"")</f>
        <v/>
      </c>
      <c r="I827">
        <f>IF(824&gt;$O$2,"",MATCH(824,$Q$3:$Q$402,1))</f>
        <v/>
      </c>
      <c r="J827">
        <f>IF(I827="","",IF(824=INDEX($Q$3:$Q$402,I827),"H","E"))</f>
        <v/>
      </c>
      <c r="K827">
        <f>IF(J827&lt;&gt;"E","",MATCH(S827,Transaksi!$M$2:$M$2001,0)+824-INDEX($Q$3:$Q$402,I827)-1)</f>
        <v/>
      </c>
      <c r="S827">
        <f>IF(I827="","",INDEX($O$3:$O$402,I827))</f>
        <v/>
      </c>
      <c r="T827">
        <f>IF(J827&lt;&gt;"H","",INDEX(Transaksi!$A$2:$A$2001,MATCH(S827,Transaksi!$M$2:$M$2001,0)))</f>
        <v/>
      </c>
    </row>
    <row r="828">
      <c r="A828" s="31">
        <f>IF(J828="E",IF(INDEX(Transaksi!$J$2:$J$2001,K828)&gt;0,"↑","↓"),"")</f>
        <v/>
      </c>
      <c r="B828" s="32">
        <f>IF(J828="H",CHOOSE(WEEKDAY(T828,2),"Isnin","Selasa","Rabu","Khamis","Jumaat","Sabtu","Ahad")&amp;", "&amp;DAY(T828)&amp;" "&amp;CHOOSE(MONTH(T828),"Jan","Feb","Mac","Apr","Mei","Jun","Jul","Ogo","Sep","Okt","Nov","Dis")&amp;" "&amp;YEAR(T828),IF(J828="E",IF(INDEX(Transaksi!$B$2:$B$2001,K828)="",INDEX(Transaksi!$C$2:$C$2001,K828)&amp;" · "&amp;INDEX(Transaksi!$D$2:$D$2001,K828),INDEX(Transaksi!$B$2:$B$2001,K828)),""))</f>
        <v/>
      </c>
      <c r="C828" s="32">
        <f>IF(J828="E",INDEX(Transaksi!$C$2:$C$2001,K828)&amp;"","")</f>
        <v/>
      </c>
      <c r="D828" s="32">
        <f>IF(J828="E",INDEX(Transaksi!$D$2:$D$2001,K828)&amp;"","")</f>
        <v/>
      </c>
      <c r="E828" s="33">
        <f>IF(J828="H",SUMIFS(Transaksi!$G$2:$G$2001,Transaksi!$M$2:$M$2001,"="&amp;S828)+SUMIFS(Transaksi!$H$2:$H$2001,Transaksi!$M$2:$M$2001,"="&amp;S828)+SUMIFS(Transaksi!$I$2:$I$2001,Transaksi!$M$2:$M$2001,"="&amp;S828),IF(J828="E",IF(INDEX(Transaksi!$G$2:$G$2001,K828)+INDEX(Transaksi!$H$2:$H$2001,K828)+INDEX(Transaksi!$I$2:$I$2001,K828)=0,"",INDEX(Transaksi!$G$2:$G$2001,K828)+INDEX(Transaksi!$H$2:$H$2001,K828)+INDEX(Transaksi!$I$2:$I$2001,K828)),""))</f>
        <v/>
      </c>
      <c r="F828" s="33">
        <f>IF(J828="H",SUMIFS(Transaksi!$J$2:$J$2001,Transaksi!$M$2:$M$2001,"="&amp;S828),IF(J828="E",IF(INDEX(Transaksi!$J$2:$J$2001,K828)=0,"",INDEX(Transaksi!$J$2:$J$2001,K828)),""))</f>
        <v/>
      </c>
      <c r="G828" s="33">
        <f>IF(J828="H",(SUMIFS(Transaksi!$G$2:$G$2001,Transaksi!$M$2:$M$2001,"&lt;="&amp;S828)+SUMIFS(Transaksi!$H$2:$H$2001,Transaksi!$M$2:$M$2001,"&lt;="&amp;S828)+SUMIFS(Transaksi!$I$2:$I$2001,Transaksi!$M$2:$M$2001,"&lt;="&amp;S828))-(SUMIFS(Transaksi!$J$2:$J$2001,Transaksi!$M$2:$M$2001,"&lt;="&amp;S828)),"")</f>
        <v/>
      </c>
      <c r="I828">
        <f>IF(825&gt;$O$2,"",MATCH(825,$Q$3:$Q$402,1))</f>
        <v/>
      </c>
      <c r="J828">
        <f>IF(I828="","",IF(825=INDEX($Q$3:$Q$402,I828),"H","E"))</f>
        <v/>
      </c>
      <c r="K828">
        <f>IF(J828&lt;&gt;"E","",MATCH(S828,Transaksi!$M$2:$M$2001,0)+825-INDEX($Q$3:$Q$402,I828)-1)</f>
        <v/>
      </c>
      <c r="S828">
        <f>IF(I828="","",INDEX($O$3:$O$402,I828))</f>
        <v/>
      </c>
      <c r="T828">
        <f>IF(J828&lt;&gt;"H","",INDEX(Transaksi!$A$2:$A$2001,MATCH(S828,Transaksi!$M$2:$M$2001,0)))</f>
        <v/>
      </c>
    </row>
    <row r="829">
      <c r="A829" s="31">
        <f>IF(J829="E",IF(INDEX(Transaksi!$J$2:$J$2001,K829)&gt;0,"↑","↓"),"")</f>
        <v/>
      </c>
      <c r="B829" s="32">
        <f>IF(J829="H",CHOOSE(WEEKDAY(T829,2),"Isnin","Selasa","Rabu","Khamis","Jumaat","Sabtu","Ahad")&amp;", "&amp;DAY(T829)&amp;" "&amp;CHOOSE(MONTH(T829),"Jan","Feb","Mac","Apr","Mei","Jun","Jul","Ogo","Sep","Okt","Nov","Dis")&amp;" "&amp;YEAR(T829),IF(J829="E",IF(INDEX(Transaksi!$B$2:$B$2001,K829)="",INDEX(Transaksi!$C$2:$C$2001,K829)&amp;" · "&amp;INDEX(Transaksi!$D$2:$D$2001,K829),INDEX(Transaksi!$B$2:$B$2001,K829)),""))</f>
        <v/>
      </c>
      <c r="C829" s="32">
        <f>IF(J829="E",INDEX(Transaksi!$C$2:$C$2001,K829)&amp;"","")</f>
        <v/>
      </c>
      <c r="D829" s="32">
        <f>IF(J829="E",INDEX(Transaksi!$D$2:$D$2001,K829)&amp;"","")</f>
        <v/>
      </c>
      <c r="E829" s="33">
        <f>IF(J829="H",SUMIFS(Transaksi!$G$2:$G$2001,Transaksi!$M$2:$M$2001,"="&amp;S829)+SUMIFS(Transaksi!$H$2:$H$2001,Transaksi!$M$2:$M$2001,"="&amp;S829)+SUMIFS(Transaksi!$I$2:$I$2001,Transaksi!$M$2:$M$2001,"="&amp;S829),IF(J829="E",IF(INDEX(Transaksi!$G$2:$G$2001,K829)+INDEX(Transaksi!$H$2:$H$2001,K829)+INDEX(Transaksi!$I$2:$I$2001,K829)=0,"",INDEX(Transaksi!$G$2:$G$2001,K829)+INDEX(Transaksi!$H$2:$H$2001,K829)+INDEX(Transaksi!$I$2:$I$2001,K829)),""))</f>
        <v/>
      </c>
      <c r="F829" s="33">
        <f>IF(J829="H",SUMIFS(Transaksi!$J$2:$J$2001,Transaksi!$M$2:$M$2001,"="&amp;S829),IF(J829="E",IF(INDEX(Transaksi!$J$2:$J$2001,K829)=0,"",INDEX(Transaksi!$J$2:$J$2001,K829)),""))</f>
        <v/>
      </c>
      <c r="G829" s="33">
        <f>IF(J829="H",(SUMIFS(Transaksi!$G$2:$G$2001,Transaksi!$M$2:$M$2001,"&lt;="&amp;S829)+SUMIFS(Transaksi!$H$2:$H$2001,Transaksi!$M$2:$M$2001,"&lt;="&amp;S829)+SUMIFS(Transaksi!$I$2:$I$2001,Transaksi!$M$2:$M$2001,"&lt;="&amp;S829))-(SUMIFS(Transaksi!$J$2:$J$2001,Transaksi!$M$2:$M$2001,"&lt;="&amp;S829)),"")</f>
        <v/>
      </c>
      <c r="I829">
        <f>IF(826&gt;$O$2,"",MATCH(826,$Q$3:$Q$402,1))</f>
        <v/>
      </c>
      <c r="J829">
        <f>IF(I829="","",IF(826=INDEX($Q$3:$Q$402,I829),"H","E"))</f>
        <v/>
      </c>
      <c r="K829">
        <f>IF(J829&lt;&gt;"E","",MATCH(S829,Transaksi!$M$2:$M$2001,0)+826-INDEX($Q$3:$Q$402,I829)-1)</f>
        <v/>
      </c>
      <c r="S829">
        <f>IF(I829="","",INDEX($O$3:$O$402,I829))</f>
        <v/>
      </c>
      <c r="T829">
        <f>IF(J829&lt;&gt;"H","",INDEX(Transaksi!$A$2:$A$2001,MATCH(S829,Transaksi!$M$2:$M$2001,0)))</f>
        <v/>
      </c>
    </row>
    <row r="830">
      <c r="A830" s="31">
        <f>IF(J830="E",IF(INDEX(Transaksi!$J$2:$J$2001,K830)&gt;0,"↑","↓"),"")</f>
        <v/>
      </c>
      <c r="B830" s="32">
        <f>IF(J830="H",CHOOSE(WEEKDAY(T830,2),"Isnin","Selasa","Rabu","Khamis","Jumaat","Sabtu","Ahad")&amp;", "&amp;DAY(T830)&amp;" "&amp;CHOOSE(MONTH(T830),"Jan","Feb","Mac","Apr","Mei","Jun","Jul","Ogo","Sep","Okt","Nov","Dis")&amp;" "&amp;YEAR(T830),IF(J830="E",IF(INDEX(Transaksi!$B$2:$B$2001,K830)="",INDEX(Transaksi!$C$2:$C$2001,K830)&amp;" · "&amp;INDEX(Transaksi!$D$2:$D$2001,K830),INDEX(Transaksi!$B$2:$B$2001,K830)),""))</f>
        <v/>
      </c>
      <c r="C830" s="32">
        <f>IF(J830="E",INDEX(Transaksi!$C$2:$C$2001,K830)&amp;"","")</f>
        <v/>
      </c>
      <c r="D830" s="32">
        <f>IF(J830="E",INDEX(Transaksi!$D$2:$D$2001,K830)&amp;"","")</f>
        <v/>
      </c>
      <c r="E830" s="33">
        <f>IF(J830="H",SUMIFS(Transaksi!$G$2:$G$2001,Transaksi!$M$2:$M$2001,"="&amp;S830)+SUMIFS(Transaksi!$H$2:$H$2001,Transaksi!$M$2:$M$2001,"="&amp;S830)+SUMIFS(Transaksi!$I$2:$I$2001,Transaksi!$M$2:$M$2001,"="&amp;S830),IF(J830="E",IF(INDEX(Transaksi!$G$2:$G$2001,K830)+INDEX(Transaksi!$H$2:$H$2001,K830)+INDEX(Transaksi!$I$2:$I$2001,K830)=0,"",INDEX(Transaksi!$G$2:$G$2001,K830)+INDEX(Transaksi!$H$2:$H$2001,K830)+INDEX(Transaksi!$I$2:$I$2001,K830)),""))</f>
        <v/>
      </c>
      <c r="F830" s="33">
        <f>IF(J830="H",SUMIFS(Transaksi!$J$2:$J$2001,Transaksi!$M$2:$M$2001,"="&amp;S830),IF(J830="E",IF(INDEX(Transaksi!$J$2:$J$2001,K830)=0,"",INDEX(Transaksi!$J$2:$J$2001,K830)),""))</f>
        <v/>
      </c>
      <c r="G830" s="33">
        <f>IF(J830="H",(SUMIFS(Transaksi!$G$2:$G$2001,Transaksi!$M$2:$M$2001,"&lt;="&amp;S830)+SUMIFS(Transaksi!$H$2:$H$2001,Transaksi!$M$2:$M$2001,"&lt;="&amp;S830)+SUMIFS(Transaksi!$I$2:$I$2001,Transaksi!$M$2:$M$2001,"&lt;="&amp;S830))-(SUMIFS(Transaksi!$J$2:$J$2001,Transaksi!$M$2:$M$2001,"&lt;="&amp;S830)),"")</f>
        <v/>
      </c>
      <c r="I830">
        <f>IF(827&gt;$O$2,"",MATCH(827,$Q$3:$Q$402,1))</f>
        <v/>
      </c>
      <c r="J830">
        <f>IF(I830="","",IF(827=INDEX($Q$3:$Q$402,I830),"H","E"))</f>
        <v/>
      </c>
      <c r="K830">
        <f>IF(J830&lt;&gt;"E","",MATCH(S830,Transaksi!$M$2:$M$2001,0)+827-INDEX($Q$3:$Q$402,I830)-1)</f>
        <v/>
      </c>
      <c r="S830">
        <f>IF(I830="","",INDEX($O$3:$O$402,I830))</f>
        <v/>
      </c>
      <c r="T830">
        <f>IF(J830&lt;&gt;"H","",INDEX(Transaksi!$A$2:$A$2001,MATCH(S830,Transaksi!$M$2:$M$2001,0)))</f>
        <v/>
      </c>
    </row>
    <row r="831">
      <c r="A831" s="31">
        <f>IF(J831="E",IF(INDEX(Transaksi!$J$2:$J$2001,K831)&gt;0,"↑","↓"),"")</f>
        <v/>
      </c>
      <c r="B831" s="32">
        <f>IF(J831="H",CHOOSE(WEEKDAY(T831,2),"Isnin","Selasa","Rabu","Khamis","Jumaat","Sabtu","Ahad")&amp;", "&amp;DAY(T831)&amp;" "&amp;CHOOSE(MONTH(T831),"Jan","Feb","Mac","Apr","Mei","Jun","Jul","Ogo","Sep","Okt","Nov","Dis")&amp;" "&amp;YEAR(T831),IF(J831="E",IF(INDEX(Transaksi!$B$2:$B$2001,K831)="",INDEX(Transaksi!$C$2:$C$2001,K831)&amp;" · "&amp;INDEX(Transaksi!$D$2:$D$2001,K831),INDEX(Transaksi!$B$2:$B$2001,K831)),""))</f>
        <v/>
      </c>
      <c r="C831" s="32">
        <f>IF(J831="E",INDEX(Transaksi!$C$2:$C$2001,K831)&amp;"","")</f>
        <v/>
      </c>
      <c r="D831" s="32">
        <f>IF(J831="E",INDEX(Transaksi!$D$2:$D$2001,K831)&amp;"","")</f>
        <v/>
      </c>
      <c r="E831" s="33">
        <f>IF(J831="H",SUMIFS(Transaksi!$G$2:$G$2001,Transaksi!$M$2:$M$2001,"="&amp;S831)+SUMIFS(Transaksi!$H$2:$H$2001,Transaksi!$M$2:$M$2001,"="&amp;S831)+SUMIFS(Transaksi!$I$2:$I$2001,Transaksi!$M$2:$M$2001,"="&amp;S831),IF(J831="E",IF(INDEX(Transaksi!$G$2:$G$2001,K831)+INDEX(Transaksi!$H$2:$H$2001,K831)+INDEX(Transaksi!$I$2:$I$2001,K831)=0,"",INDEX(Transaksi!$G$2:$G$2001,K831)+INDEX(Transaksi!$H$2:$H$2001,K831)+INDEX(Transaksi!$I$2:$I$2001,K831)),""))</f>
        <v/>
      </c>
      <c r="F831" s="33">
        <f>IF(J831="H",SUMIFS(Transaksi!$J$2:$J$2001,Transaksi!$M$2:$M$2001,"="&amp;S831),IF(J831="E",IF(INDEX(Transaksi!$J$2:$J$2001,K831)=0,"",INDEX(Transaksi!$J$2:$J$2001,K831)),""))</f>
        <v/>
      </c>
      <c r="G831" s="33">
        <f>IF(J831="H",(SUMIFS(Transaksi!$G$2:$G$2001,Transaksi!$M$2:$M$2001,"&lt;="&amp;S831)+SUMIFS(Transaksi!$H$2:$H$2001,Transaksi!$M$2:$M$2001,"&lt;="&amp;S831)+SUMIFS(Transaksi!$I$2:$I$2001,Transaksi!$M$2:$M$2001,"&lt;="&amp;S831))-(SUMIFS(Transaksi!$J$2:$J$2001,Transaksi!$M$2:$M$2001,"&lt;="&amp;S831)),"")</f>
        <v/>
      </c>
      <c r="I831">
        <f>IF(828&gt;$O$2,"",MATCH(828,$Q$3:$Q$402,1))</f>
        <v/>
      </c>
      <c r="J831">
        <f>IF(I831="","",IF(828=INDEX($Q$3:$Q$402,I831),"H","E"))</f>
        <v/>
      </c>
      <c r="K831">
        <f>IF(J831&lt;&gt;"E","",MATCH(S831,Transaksi!$M$2:$M$2001,0)+828-INDEX($Q$3:$Q$402,I831)-1)</f>
        <v/>
      </c>
      <c r="S831">
        <f>IF(I831="","",INDEX($O$3:$O$402,I831))</f>
        <v/>
      </c>
      <c r="T831">
        <f>IF(J831&lt;&gt;"H","",INDEX(Transaksi!$A$2:$A$2001,MATCH(S831,Transaksi!$M$2:$M$2001,0)))</f>
        <v/>
      </c>
    </row>
    <row r="832">
      <c r="A832" s="31">
        <f>IF(J832="E",IF(INDEX(Transaksi!$J$2:$J$2001,K832)&gt;0,"↑","↓"),"")</f>
        <v/>
      </c>
      <c r="B832" s="32">
        <f>IF(J832="H",CHOOSE(WEEKDAY(T832,2),"Isnin","Selasa","Rabu","Khamis","Jumaat","Sabtu","Ahad")&amp;", "&amp;DAY(T832)&amp;" "&amp;CHOOSE(MONTH(T832),"Jan","Feb","Mac","Apr","Mei","Jun","Jul","Ogo","Sep","Okt","Nov","Dis")&amp;" "&amp;YEAR(T832),IF(J832="E",IF(INDEX(Transaksi!$B$2:$B$2001,K832)="",INDEX(Transaksi!$C$2:$C$2001,K832)&amp;" · "&amp;INDEX(Transaksi!$D$2:$D$2001,K832),INDEX(Transaksi!$B$2:$B$2001,K832)),""))</f>
        <v/>
      </c>
      <c r="C832" s="32">
        <f>IF(J832="E",INDEX(Transaksi!$C$2:$C$2001,K832)&amp;"","")</f>
        <v/>
      </c>
      <c r="D832" s="32">
        <f>IF(J832="E",INDEX(Transaksi!$D$2:$D$2001,K832)&amp;"","")</f>
        <v/>
      </c>
      <c r="E832" s="33">
        <f>IF(J832="H",SUMIFS(Transaksi!$G$2:$G$2001,Transaksi!$M$2:$M$2001,"="&amp;S832)+SUMIFS(Transaksi!$H$2:$H$2001,Transaksi!$M$2:$M$2001,"="&amp;S832)+SUMIFS(Transaksi!$I$2:$I$2001,Transaksi!$M$2:$M$2001,"="&amp;S832),IF(J832="E",IF(INDEX(Transaksi!$G$2:$G$2001,K832)+INDEX(Transaksi!$H$2:$H$2001,K832)+INDEX(Transaksi!$I$2:$I$2001,K832)=0,"",INDEX(Transaksi!$G$2:$G$2001,K832)+INDEX(Transaksi!$H$2:$H$2001,K832)+INDEX(Transaksi!$I$2:$I$2001,K832)),""))</f>
        <v/>
      </c>
      <c r="F832" s="33">
        <f>IF(J832="H",SUMIFS(Transaksi!$J$2:$J$2001,Transaksi!$M$2:$M$2001,"="&amp;S832),IF(J832="E",IF(INDEX(Transaksi!$J$2:$J$2001,K832)=0,"",INDEX(Transaksi!$J$2:$J$2001,K832)),""))</f>
        <v/>
      </c>
      <c r="G832" s="33">
        <f>IF(J832="H",(SUMIFS(Transaksi!$G$2:$G$2001,Transaksi!$M$2:$M$2001,"&lt;="&amp;S832)+SUMIFS(Transaksi!$H$2:$H$2001,Transaksi!$M$2:$M$2001,"&lt;="&amp;S832)+SUMIFS(Transaksi!$I$2:$I$2001,Transaksi!$M$2:$M$2001,"&lt;="&amp;S832))-(SUMIFS(Transaksi!$J$2:$J$2001,Transaksi!$M$2:$M$2001,"&lt;="&amp;S832)),"")</f>
        <v/>
      </c>
      <c r="I832">
        <f>IF(829&gt;$O$2,"",MATCH(829,$Q$3:$Q$402,1))</f>
        <v/>
      </c>
      <c r="J832">
        <f>IF(I832="","",IF(829=INDEX($Q$3:$Q$402,I832),"H","E"))</f>
        <v/>
      </c>
      <c r="K832">
        <f>IF(J832&lt;&gt;"E","",MATCH(S832,Transaksi!$M$2:$M$2001,0)+829-INDEX($Q$3:$Q$402,I832)-1)</f>
        <v/>
      </c>
      <c r="S832">
        <f>IF(I832="","",INDEX($O$3:$O$402,I832))</f>
        <v/>
      </c>
      <c r="T832">
        <f>IF(J832&lt;&gt;"H","",INDEX(Transaksi!$A$2:$A$2001,MATCH(S832,Transaksi!$M$2:$M$2001,0)))</f>
        <v/>
      </c>
    </row>
    <row r="833">
      <c r="A833" s="31">
        <f>IF(J833="E",IF(INDEX(Transaksi!$J$2:$J$2001,K833)&gt;0,"↑","↓"),"")</f>
        <v/>
      </c>
      <c r="B833" s="32">
        <f>IF(J833="H",CHOOSE(WEEKDAY(T833,2),"Isnin","Selasa","Rabu","Khamis","Jumaat","Sabtu","Ahad")&amp;", "&amp;DAY(T833)&amp;" "&amp;CHOOSE(MONTH(T833),"Jan","Feb","Mac","Apr","Mei","Jun","Jul","Ogo","Sep","Okt","Nov","Dis")&amp;" "&amp;YEAR(T833),IF(J833="E",IF(INDEX(Transaksi!$B$2:$B$2001,K833)="",INDEX(Transaksi!$C$2:$C$2001,K833)&amp;" · "&amp;INDEX(Transaksi!$D$2:$D$2001,K833),INDEX(Transaksi!$B$2:$B$2001,K833)),""))</f>
        <v/>
      </c>
      <c r="C833" s="32">
        <f>IF(J833="E",INDEX(Transaksi!$C$2:$C$2001,K833)&amp;"","")</f>
        <v/>
      </c>
      <c r="D833" s="32">
        <f>IF(J833="E",INDEX(Transaksi!$D$2:$D$2001,K833)&amp;"","")</f>
        <v/>
      </c>
      <c r="E833" s="33">
        <f>IF(J833="H",SUMIFS(Transaksi!$G$2:$G$2001,Transaksi!$M$2:$M$2001,"="&amp;S833)+SUMIFS(Transaksi!$H$2:$H$2001,Transaksi!$M$2:$M$2001,"="&amp;S833)+SUMIFS(Transaksi!$I$2:$I$2001,Transaksi!$M$2:$M$2001,"="&amp;S833),IF(J833="E",IF(INDEX(Transaksi!$G$2:$G$2001,K833)+INDEX(Transaksi!$H$2:$H$2001,K833)+INDEX(Transaksi!$I$2:$I$2001,K833)=0,"",INDEX(Transaksi!$G$2:$G$2001,K833)+INDEX(Transaksi!$H$2:$H$2001,K833)+INDEX(Transaksi!$I$2:$I$2001,K833)),""))</f>
        <v/>
      </c>
      <c r="F833" s="33">
        <f>IF(J833="H",SUMIFS(Transaksi!$J$2:$J$2001,Transaksi!$M$2:$M$2001,"="&amp;S833),IF(J833="E",IF(INDEX(Transaksi!$J$2:$J$2001,K833)=0,"",INDEX(Transaksi!$J$2:$J$2001,K833)),""))</f>
        <v/>
      </c>
      <c r="G833" s="33">
        <f>IF(J833="H",(SUMIFS(Transaksi!$G$2:$G$2001,Transaksi!$M$2:$M$2001,"&lt;="&amp;S833)+SUMIFS(Transaksi!$H$2:$H$2001,Transaksi!$M$2:$M$2001,"&lt;="&amp;S833)+SUMIFS(Transaksi!$I$2:$I$2001,Transaksi!$M$2:$M$2001,"&lt;="&amp;S833))-(SUMIFS(Transaksi!$J$2:$J$2001,Transaksi!$M$2:$M$2001,"&lt;="&amp;S833)),"")</f>
        <v/>
      </c>
      <c r="I833">
        <f>IF(830&gt;$O$2,"",MATCH(830,$Q$3:$Q$402,1))</f>
        <v/>
      </c>
      <c r="J833">
        <f>IF(I833="","",IF(830=INDEX($Q$3:$Q$402,I833),"H","E"))</f>
        <v/>
      </c>
      <c r="K833">
        <f>IF(J833&lt;&gt;"E","",MATCH(S833,Transaksi!$M$2:$M$2001,0)+830-INDEX($Q$3:$Q$402,I833)-1)</f>
        <v/>
      </c>
      <c r="S833">
        <f>IF(I833="","",INDEX($O$3:$O$402,I833))</f>
        <v/>
      </c>
      <c r="T833">
        <f>IF(J833&lt;&gt;"H","",INDEX(Transaksi!$A$2:$A$2001,MATCH(S833,Transaksi!$M$2:$M$2001,0)))</f>
        <v/>
      </c>
    </row>
    <row r="834">
      <c r="A834" s="31">
        <f>IF(J834="E",IF(INDEX(Transaksi!$J$2:$J$2001,K834)&gt;0,"↑","↓"),"")</f>
        <v/>
      </c>
      <c r="B834" s="32">
        <f>IF(J834="H",CHOOSE(WEEKDAY(T834,2),"Isnin","Selasa","Rabu","Khamis","Jumaat","Sabtu","Ahad")&amp;", "&amp;DAY(T834)&amp;" "&amp;CHOOSE(MONTH(T834),"Jan","Feb","Mac","Apr","Mei","Jun","Jul","Ogo","Sep","Okt","Nov","Dis")&amp;" "&amp;YEAR(T834),IF(J834="E",IF(INDEX(Transaksi!$B$2:$B$2001,K834)="",INDEX(Transaksi!$C$2:$C$2001,K834)&amp;" · "&amp;INDEX(Transaksi!$D$2:$D$2001,K834),INDEX(Transaksi!$B$2:$B$2001,K834)),""))</f>
        <v/>
      </c>
      <c r="C834" s="32">
        <f>IF(J834="E",INDEX(Transaksi!$C$2:$C$2001,K834)&amp;"","")</f>
        <v/>
      </c>
      <c r="D834" s="32">
        <f>IF(J834="E",INDEX(Transaksi!$D$2:$D$2001,K834)&amp;"","")</f>
        <v/>
      </c>
      <c r="E834" s="33">
        <f>IF(J834="H",SUMIFS(Transaksi!$G$2:$G$2001,Transaksi!$M$2:$M$2001,"="&amp;S834)+SUMIFS(Transaksi!$H$2:$H$2001,Transaksi!$M$2:$M$2001,"="&amp;S834)+SUMIFS(Transaksi!$I$2:$I$2001,Transaksi!$M$2:$M$2001,"="&amp;S834),IF(J834="E",IF(INDEX(Transaksi!$G$2:$G$2001,K834)+INDEX(Transaksi!$H$2:$H$2001,K834)+INDEX(Transaksi!$I$2:$I$2001,K834)=0,"",INDEX(Transaksi!$G$2:$G$2001,K834)+INDEX(Transaksi!$H$2:$H$2001,K834)+INDEX(Transaksi!$I$2:$I$2001,K834)),""))</f>
        <v/>
      </c>
      <c r="F834" s="33">
        <f>IF(J834="H",SUMIFS(Transaksi!$J$2:$J$2001,Transaksi!$M$2:$M$2001,"="&amp;S834),IF(J834="E",IF(INDEX(Transaksi!$J$2:$J$2001,K834)=0,"",INDEX(Transaksi!$J$2:$J$2001,K834)),""))</f>
        <v/>
      </c>
      <c r="G834" s="33">
        <f>IF(J834="H",(SUMIFS(Transaksi!$G$2:$G$2001,Transaksi!$M$2:$M$2001,"&lt;="&amp;S834)+SUMIFS(Transaksi!$H$2:$H$2001,Transaksi!$M$2:$M$2001,"&lt;="&amp;S834)+SUMIFS(Transaksi!$I$2:$I$2001,Transaksi!$M$2:$M$2001,"&lt;="&amp;S834))-(SUMIFS(Transaksi!$J$2:$J$2001,Transaksi!$M$2:$M$2001,"&lt;="&amp;S834)),"")</f>
        <v/>
      </c>
      <c r="I834">
        <f>IF(831&gt;$O$2,"",MATCH(831,$Q$3:$Q$402,1))</f>
        <v/>
      </c>
      <c r="J834">
        <f>IF(I834="","",IF(831=INDEX($Q$3:$Q$402,I834),"H","E"))</f>
        <v/>
      </c>
      <c r="K834">
        <f>IF(J834&lt;&gt;"E","",MATCH(S834,Transaksi!$M$2:$M$2001,0)+831-INDEX($Q$3:$Q$402,I834)-1)</f>
        <v/>
      </c>
      <c r="S834">
        <f>IF(I834="","",INDEX($O$3:$O$402,I834))</f>
        <v/>
      </c>
      <c r="T834">
        <f>IF(J834&lt;&gt;"H","",INDEX(Transaksi!$A$2:$A$2001,MATCH(S834,Transaksi!$M$2:$M$2001,0)))</f>
        <v/>
      </c>
    </row>
    <row r="835">
      <c r="A835" s="31">
        <f>IF(J835="E",IF(INDEX(Transaksi!$J$2:$J$2001,K835)&gt;0,"↑","↓"),"")</f>
        <v/>
      </c>
      <c r="B835" s="32">
        <f>IF(J835="H",CHOOSE(WEEKDAY(T835,2),"Isnin","Selasa","Rabu","Khamis","Jumaat","Sabtu","Ahad")&amp;", "&amp;DAY(T835)&amp;" "&amp;CHOOSE(MONTH(T835),"Jan","Feb","Mac","Apr","Mei","Jun","Jul","Ogo","Sep","Okt","Nov","Dis")&amp;" "&amp;YEAR(T835),IF(J835="E",IF(INDEX(Transaksi!$B$2:$B$2001,K835)="",INDEX(Transaksi!$C$2:$C$2001,K835)&amp;" · "&amp;INDEX(Transaksi!$D$2:$D$2001,K835),INDEX(Transaksi!$B$2:$B$2001,K835)),""))</f>
        <v/>
      </c>
      <c r="C835" s="32">
        <f>IF(J835="E",INDEX(Transaksi!$C$2:$C$2001,K835)&amp;"","")</f>
        <v/>
      </c>
      <c r="D835" s="32">
        <f>IF(J835="E",INDEX(Transaksi!$D$2:$D$2001,K835)&amp;"","")</f>
        <v/>
      </c>
      <c r="E835" s="33">
        <f>IF(J835="H",SUMIFS(Transaksi!$G$2:$G$2001,Transaksi!$M$2:$M$2001,"="&amp;S835)+SUMIFS(Transaksi!$H$2:$H$2001,Transaksi!$M$2:$M$2001,"="&amp;S835)+SUMIFS(Transaksi!$I$2:$I$2001,Transaksi!$M$2:$M$2001,"="&amp;S835),IF(J835="E",IF(INDEX(Transaksi!$G$2:$G$2001,K835)+INDEX(Transaksi!$H$2:$H$2001,K835)+INDEX(Transaksi!$I$2:$I$2001,K835)=0,"",INDEX(Transaksi!$G$2:$G$2001,K835)+INDEX(Transaksi!$H$2:$H$2001,K835)+INDEX(Transaksi!$I$2:$I$2001,K835)),""))</f>
        <v/>
      </c>
      <c r="F835" s="33">
        <f>IF(J835="H",SUMIFS(Transaksi!$J$2:$J$2001,Transaksi!$M$2:$M$2001,"="&amp;S835),IF(J835="E",IF(INDEX(Transaksi!$J$2:$J$2001,K835)=0,"",INDEX(Transaksi!$J$2:$J$2001,K835)),""))</f>
        <v/>
      </c>
      <c r="G835" s="33">
        <f>IF(J835="H",(SUMIFS(Transaksi!$G$2:$G$2001,Transaksi!$M$2:$M$2001,"&lt;="&amp;S835)+SUMIFS(Transaksi!$H$2:$H$2001,Transaksi!$M$2:$M$2001,"&lt;="&amp;S835)+SUMIFS(Transaksi!$I$2:$I$2001,Transaksi!$M$2:$M$2001,"&lt;="&amp;S835))-(SUMIFS(Transaksi!$J$2:$J$2001,Transaksi!$M$2:$M$2001,"&lt;="&amp;S835)),"")</f>
        <v/>
      </c>
      <c r="I835">
        <f>IF(832&gt;$O$2,"",MATCH(832,$Q$3:$Q$402,1))</f>
        <v/>
      </c>
      <c r="J835">
        <f>IF(I835="","",IF(832=INDEX($Q$3:$Q$402,I835),"H","E"))</f>
        <v/>
      </c>
      <c r="K835">
        <f>IF(J835&lt;&gt;"E","",MATCH(S835,Transaksi!$M$2:$M$2001,0)+832-INDEX($Q$3:$Q$402,I835)-1)</f>
        <v/>
      </c>
      <c r="S835">
        <f>IF(I835="","",INDEX($O$3:$O$402,I835))</f>
        <v/>
      </c>
      <c r="T835">
        <f>IF(J835&lt;&gt;"H","",INDEX(Transaksi!$A$2:$A$2001,MATCH(S835,Transaksi!$M$2:$M$2001,0)))</f>
        <v/>
      </c>
    </row>
    <row r="836">
      <c r="A836" s="31">
        <f>IF(J836="E",IF(INDEX(Transaksi!$J$2:$J$2001,K836)&gt;0,"↑","↓"),"")</f>
        <v/>
      </c>
      <c r="B836" s="32">
        <f>IF(J836="H",CHOOSE(WEEKDAY(T836,2),"Isnin","Selasa","Rabu","Khamis","Jumaat","Sabtu","Ahad")&amp;", "&amp;DAY(T836)&amp;" "&amp;CHOOSE(MONTH(T836),"Jan","Feb","Mac","Apr","Mei","Jun","Jul","Ogo","Sep","Okt","Nov","Dis")&amp;" "&amp;YEAR(T836),IF(J836="E",IF(INDEX(Transaksi!$B$2:$B$2001,K836)="",INDEX(Transaksi!$C$2:$C$2001,K836)&amp;" · "&amp;INDEX(Transaksi!$D$2:$D$2001,K836),INDEX(Transaksi!$B$2:$B$2001,K836)),""))</f>
        <v/>
      </c>
      <c r="C836" s="32">
        <f>IF(J836="E",INDEX(Transaksi!$C$2:$C$2001,K836)&amp;"","")</f>
        <v/>
      </c>
      <c r="D836" s="32">
        <f>IF(J836="E",INDEX(Transaksi!$D$2:$D$2001,K836)&amp;"","")</f>
        <v/>
      </c>
      <c r="E836" s="33">
        <f>IF(J836="H",SUMIFS(Transaksi!$G$2:$G$2001,Transaksi!$M$2:$M$2001,"="&amp;S836)+SUMIFS(Transaksi!$H$2:$H$2001,Transaksi!$M$2:$M$2001,"="&amp;S836)+SUMIFS(Transaksi!$I$2:$I$2001,Transaksi!$M$2:$M$2001,"="&amp;S836),IF(J836="E",IF(INDEX(Transaksi!$G$2:$G$2001,K836)+INDEX(Transaksi!$H$2:$H$2001,K836)+INDEX(Transaksi!$I$2:$I$2001,K836)=0,"",INDEX(Transaksi!$G$2:$G$2001,K836)+INDEX(Transaksi!$H$2:$H$2001,K836)+INDEX(Transaksi!$I$2:$I$2001,K836)),""))</f>
        <v/>
      </c>
      <c r="F836" s="33">
        <f>IF(J836="H",SUMIFS(Transaksi!$J$2:$J$2001,Transaksi!$M$2:$M$2001,"="&amp;S836),IF(J836="E",IF(INDEX(Transaksi!$J$2:$J$2001,K836)=0,"",INDEX(Transaksi!$J$2:$J$2001,K836)),""))</f>
        <v/>
      </c>
      <c r="G836" s="33">
        <f>IF(J836="H",(SUMIFS(Transaksi!$G$2:$G$2001,Transaksi!$M$2:$M$2001,"&lt;="&amp;S836)+SUMIFS(Transaksi!$H$2:$H$2001,Transaksi!$M$2:$M$2001,"&lt;="&amp;S836)+SUMIFS(Transaksi!$I$2:$I$2001,Transaksi!$M$2:$M$2001,"&lt;="&amp;S836))-(SUMIFS(Transaksi!$J$2:$J$2001,Transaksi!$M$2:$M$2001,"&lt;="&amp;S836)),"")</f>
        <v/>
      </c>
      <c r="I836">
        <f>IF(833&gt;$O$2,"",MATCH(833,$Q$3:$Q$402,1))</f>
        <v/>
      </c>
      <c r="J836">
        <f>IF(I836="","",IF(833=INDEX($Q$3:$Q$402,I836),"H","E"))</f>
        <v/>
      </c>
      <c r="K836">
        <f>IF(J836&lt;&gt;"E","",MATCH(S836,Transaksi!$M$2:$M$2001,0)+833-INDEX($Q$3:$Q$402,I836)-1)</f>
        <v/>
      </c>
      <c r="S836">
        <f>IF(I836="","",INDEX($O$3:$O$402,I836))</f>
        <v/>
      </c>
      <c r="T836">
        <f>IF(J836&lt;&gt;"H","",INDEX(Transaksi!$A$2:$A$2001,MATCH(S836,Transaksi!$M$2:$M$2001,0)))</f>
        <v/>
      </c>
    </row>
    <row r="837">
      <c r="A837" s="31">
        <f>IF(J837="E",IF(INDEX(Transaksi!$J$2:$J$2001,K837)&gt;0,"↑","↓"),"")</f>
        <v/>
      </c>
      <c r="B837" s="32">
        <f>IF(J837="H",CHOOSE(WEEKDAY(T837,2),"Isnin","Selasa","Rabu","Khamis","Jumaat","Sabtu","Ahad")&amp;", "&amp;DAY(T837)&amp;" "&amp;CHOOSE(MONTH(T837),"Jan","Feb","Mac","Apr","Mei","Jun","Jul","Ogo","Sep","Okt","Nov","Dis")&amp;" "&amp;YEAR(T837),IF(J837="E",IF(INDEX(Transaksi!$B$2:$B$2001,K837)="",INDEX(Transaksi!$C$2:$C$2001,K837)&amp;" · "&amp;INDEX(Transaksi!$D$2:$D$2001,K837),INDEX(Transaksi!$B$2:$B$2001,K837)),""))</f>
        <v/>
      </c>
      <c r="C837" s="32">
        <f>IF(J837="E",INDEX(Transaksi!$C$2:$C$2001,K837)&amp;"","")</f>
        <v/>
      </c>
      <c r="D837" s="32">
        <f>IF(J837="E",INDEX(Transaksi!$D$2:$D$2001,K837)&amp;"","")</f>
        <v/>
      </c>
      <c r="E837" s="33">
        <f>IF(J837="H",SUMIFS(Transaksi!$G$2:$G$2001,Transaksi!$M$2:$M$2001,"="&amp;S837)+SUMIFS(Transaksi!$H$2:$H$2001,Transaksi!$M$2:$M$2001,"="&amp;S837)+SUMIFS(Transaksi!$I$2:$I$2001,Transaksi!$M$2:$M$2001,"="&amp;S837),IF(J837="E",IF(INDEX(Transaksi!$G$2:$G$2001,K837)+INDEX(Transaksi!$H$2:$H$2001,K837)+INDEX(Transaksi!$I$2:$I$2001,K837)=0,"",INDEX(Transaksi!$G$2:$G$2001,K837)+INDEX(Transaksi!$H$2:$H$2001,K837)+INDEX(Transaksi!$I$2:$I$2001,K837)),""))</f>
        <v/>
      </c>
      <c r="F837" s="33">
        <f>IF(J837="H",SUMIFS(Transaksi!$J$2:$J$2001,Transaksi!$M$2:$M$2001,"="&amp;S837),IF(J837="E",IF(INDEX(Transaksi!$J$2:$J$2001,K837)=0,"",INDEX(Transaksi!$J$2:$J$2001,K837)),""))</f>
        <v/>
      </c>
      <c r="G837" s="33">
        <f>IF(J837="H",(SUMIFS(Transaksi!$G$2:$G$2001,Transaksi!$M$2:$M$2001,"&lt;="&amp;S837)+SUMIFS(Transaksi!$H$2:$H$2001,Transaksi!$M$2:$M$2001,"&lt;="&amp;S837)+SUMIFS(Transaksi!$I$2:$I$2001,Transaksi!$M$2:$M$2001,"&lt;="&amp;S837))-(SUMIFS(Transaksi!$J$2:$J$2001,Transaksi!$M$2:$M$2001,"&lt;="&amp;S837)),"")</f>
        <v/>
      </c>
      <c r="I837">
        <f>IF(834&gt;$O$2,"",MATCH(834,$Q$3:$Q$402,1))</f>
        <v/>
      </c>
      <c r="J837">
        <f>IF(I837="","",IF(834=INDEX($Q$3:$Q$402,I837),"H","E"))</f>
        <v/>
      </c>
      <c r="K837">
        <f>IF(J837&lt;&gt;"E","",MATCH(S837,Transaksi!$M$2:$M$2001,0)+834-INDEX($Q$3:$Q$402,I837)-1)</f>
        <v/>
      </c>
      <c r="S837">
        <f>IF(I837="","",INDEX($O$3:$O$402,I837))</f>
        <v/>
      </c>
      <c r="T837">
        <f>IF(J837&lt;&gt;"H","",INDEX(Transaksi!$A$2:$A$2001,MATCH(S837,Transaksi!$M$2:$M$2001,0)))</f>
        <v/>
      </c>
    </row>
    <row r="838">
      <c r="A838" s="31">
        <f>IF(J838="E",IF(INDEX(Transaksi!$J$2:$J$2001,K838)&gt;0,"↑","↓"),"")</f>
        <v/>
      </c>
      <c r="B838" s="32">
        <f>IF(J838="H",CHOOSE(WEEKDAY(T838,2),"Isnin","Selasa","Rabu","Khamis","Jumaat","Sabtu","Ahad")&amp;", "&amp;DAY(T838)&amp;" "&amp;CHOOSE(MONTH(T838),"Jan","Feb","Mac","Apr","Mei","Jun","Jul","Ogo","Sep","Okt","Nov","Dis")&amp;" "&amp;YEAR(T838),IF(J838="E",IF(INDEX(Transaksi!$B$2:$B$2001,K838)="",INDEX(Transaksi!$C$2:$C$2001,K838)&amp;" · "&amp;INDEX(Transaksi!$D$2:$D$2001,K838),INDEX(Transaksi!$B$2:$B$2001,K838)),""))</f>
        <v/>
      </c>
      <c r="C838" s="32">
        <f>IF(J838="E",INDEX(Transaksi!$C$2:$C$2001,K838)&amp;"","")</f>
        <v/>
      </c>
      <c r="D838" s="32">
        <f>IF(J838="E",INDEX(Transaksi!$D$2:$D$2001,K838)&amp;"","")</f>
        <v/>
      </c>
      <c r="E838" s="33">
        <f>IF(J838="H",SUMIFS(Transaksi!$G$2:$G$2001,Transaksi!$M$2:$M$2001,"="&amp;S838)+SUMIFS(Transaksi!$H$2:$H$2001,Transaksi!$M$2:$M$2001,"="&amp;S838)+SUMIFS(Transaksi!$I$2:$I$2001,Transaksi!$M$2:$M$2001,"="&amp;S838),IF(J838="E",IF(INDEX(Transaksi!$G$2:$G$2001,K838)+INDEX(Transaksi!$H$2:$H$2001,K838)+INDEX(Transaksi!$I$2:$I$2001,K838)=0,"",INDEX(Transaksi!$G$2:$G$2001,K838)+INDEX(Transaksi!$H$2:$H$2001,K838)+INDEX(Transaksi!$I$2:$I$2001,K838)),""))</f>
        <v/>
      </c>
      <c r="F838" s="33">
        <f>IF(J838="H",SUMIFS(Transaksi!$J$2:$J$2001,Transaksi!$M$2:$M$2001,"="&amp;S838),IF(J838="E",IF(INDEX(Transaksi!$J$2:$J$2001,K838)=0,"",INDEX(Transaksi!$J$2:$J$2001,K838)),""))</f>
        <v/>
      </c>
      <c r="G838" s="33">
        <f>IF(J838="H",(SUMIFS(Transaksi!$G$2:$G$2001,Transaksi!$M$2:$M$2001,"&lt;="&amp;S838)+SUMIFS(Transaksi!$H$2:$H$2001,Transaksi!$M$2:$M$2001,"&lt;="&amp;S838)+SUMIFS(Transaksi!$I$2:$I$2001,Transaksi!$M$2:$M$2001,"&lt;="&amp;S838))-(SUMIFS(Transaksi!$J$2:$J$2001,Transaksi!$M$2:$M$2001,"&lt;="&amp;S838)),"")</f>
        <v/>
      </c>
      <c r="I838">
        <f>IF(835&gt;$O$2,"",MATCH(835,$Q$3:$Q$402,1))</f>
        <v/>
      </c>
      <c r="J838">
        <f>IF(I838="","",IF(835=INDEX($Q$3:$Q$402,I838),"H","E"))</f>
        <v/>
      </c>
      <c r="K838">
        <f>IF(J838&lt;&gt;"E","",MATCH(S838,Transaksi!$M$2:$M$2001,0)+835-INDEX($Q$3:$Q$402,I838)-1)</f>
        <v/>
      </c>
      <c r="S838">
        <f>IF(I838="","",INDEX($O$3:$O$402,I838))</f>
        <v/>
      </c>
      <c r="T838">
        <f>IF(J838&lt;&gt;"H","",INDEX(Transaksi!$A$2:$A$2001,MATCH(S838,Transaksi!$M$2:$M$2001,0)))</f>
        <v/>
      </c>
    </row>
    <row r="839">
      <c r="A839" s="31">
        <f>IF(J839="E",IF(INDEX(Transaksi!$J$2:$J$2001,K839)&gt;0,"↑","↓"),"")</f>
        <v/>
      </c>
      <c r="B839" s="32">
        <f>IF(J839="H",CHOOSE(WEEKDAY(T839,2),"Isnin","Selasa","Rabu","Khamis","Jumaat","Sabtu","Ahad")&amp;", "&amp;DAY(T839)&amp;" "&amp;CHOOSE(MONTH(T839),"Jan","Feb","Mac","Apr","Mei","Jun","Jul","Ogo","Sep","Okt","Nov","Dis")&amp;" "&amp;YEAR(T839),IF(J839="E",IF(INDEX(Transaksi!$B$2:$B$2001,K839)="",INDEX(Transaksi!$C$2:$C$2001,K839)&amp;" · "&amp;INDEX(Transaksi!$D$2:$D$2001,K839),INDEX(Transaksi!$B$2:$B$2001,K839)),""))</f>
        <v/>
      </c>
      <c r="C839" s="32">
        <f>IF(J839="E",INDEX(Transaksi!$C$2:$C$2001,K839)&amp;"","")</f>
        <v/>
      </c>
      <c r="D839" s="32">
        <f>IF(J839="E",INDEX(Transaksi!$D$2:$D$2001,K839)&amp;"","")</f>
        <v/>
      </c>
      <c r="E839" s="33">
        <f>IF(J839="H",SUMIFS(Transaksi!$G$2:$G$2001,Transaksi!$M$2:$M$2001,"="&amp;S839)+SUMIFS(Transaksi!$H$2:$H$2001,Transaksi!$M$2:$M$2001,"="&amp;S839)+SUMIFS(Transaksi!$I$2:$I$2001,Transaksi!$M$2:$M$2001,"="&amp;S839),IF(J839="E",IF(INDEX(Transaksi!$G$2:$G$2001,K839)+INDEX(Transaksi!$H$2:$H$2001,K839)+INDEX(Transaksi!$I$2:$I$2001,K839)=0,"",INDEX(Transaksi!$G$2:$G$2001,K839)+INDEX(Transaksi!$H$2:$H$2001,K839)+INDEX(Transaksi!$I$2:$I$2001,K839)),""))</f>
        <v/>
      </c>
      <c r="F839" s="33">
        <f>IF(J839="H",SUMIFS(Transaksi!$J$2:$J$2001,Transaksi!$M$2:$M$2001,"="&amp;S839),IF(J839="E",IF(INDEX(Transaksi!$J$2:$J$2001,K839)=0,"",INDEX(Transaksi!$J$2:$J$2001,K839)),""))</f>
        <v/>
      </c>
      <c r="G839" s="33">
        <f>IF(J839="H",(SUMIFS(Transaksi!$G$2:$G$2001,Transaksi!$M$2:$M$2001,"&lt;="&amp;S839)+SUMIFS(Transaksi!$H$2:$H$2001,Transaksi!$M$2:$M$2001,"&lt;="&amp;S839)+SUMIFS(Transaksi!$I$2:$I$2001,Transaksi!$M$2:$M$2001,"&lt;="&amp;S839))-(SUMIFS(Transaksi!$J$2:$J$2001,Transaksi!$M$2:$M$2001,"&lt;="&amp;S839)),"")</f>
        <v/>
      </c>
      <c r="I839">
        <f>IF(836&gt;$O$2,"",MATCH(836,$Q$3:$Q$402,1))</f>
        <v/>
      </c>
      <c r="J839">
        <f>IF(I839="","",IF(836=INDEX($Q$3:$Q$402,I839),"H","E"))</f>
        <v/>
      </c>
      <c r="K839">
        <f>IF(J839&lt;&gt;"E","",MATCH(S839,Transaksi!$M$2:$M$2001,0)+836-INDEX($Q$3:$Q$402,I839)-1)</f>
        <v/>
      </c>
      <c r="S839">
        <f>IF(I839="","",INDEX($O$3:$O$402,I839))</f>
        <v/>
      </c>
      <c r="T839">
        <f>IF(J839&lt;&gt;"H","",INDEX(Transaksi!$A$2:$A$2001,MATCH(S839,Transaksi!$M$2:$M$2001,0)))</f>
        <v/>
      </c>
    </row>
    <row r="840">
      <c r="A840" s="31">
        <f>IF(J840="E",IF(INDEX(Transaksi!$J$2:$J$2001,K840)&gt;0,"↑","↓"),"")</f>
        <v/>
      </c>
      <c r="B840" s="32">
        <f>IF(J840="H",CHOOSE(WEEKDAY(T840,2),"Isnin","Selasa","Rabu","Khamis","Jumaat","Sabtu","Ahad")&amp;", "&amp;DAY(T840)&amp;" "&amp;CHOOSE(MONTH(T840),"Jan","Feb","Mac","Apr","Mei","Jun","Jul","Ogo","Sep","Okt","Nov","Dis")&amp;" "&amp;YEAR(T840),IF(J840="E",IF(INDEX(Transaksi!$B$2:$B$2001,K840)="",INDEX(Transaksi!$C$2:$C$2001,K840)&amp;" · "&amp;INDEX(Transaksi!$D$2:$D$2001,K840),INDEX(Transaksi!$B$2:$B$2001,K840)),""))</f>
        <v/>
      </c>
      <c r="C840" s="32">
        <f>IF(J840="E",INDEX(Transaksi!$C$2:$C$2001,K840)&amp;"","")</f>
        <v/>
      </c>
      <c r="D840" s="32">
        <f>IF(J840="E",INDEX(Transaksi!$D$2:$D$2001,K840)&amp;"","")</f>
        <v/>
      </c>
      <c r="E840" s="33">
        <f>IF(J840="H",SUMIFS(Transaksi!$G$2:$G$2001,Transaksi!$M$2:$M$2001,"="&amp;S840)+SUMIFS(Transaksi!$H$2:$H$2001,Transaksi!$M$2:$M$2001,"="&amp;S840)+SUMIFS(Transaksi!$I$2:$I$2001,Transaksi!$M$2:$M$2001,"="&amp;S840),IF(J840="E",IF(INDEX(Transaksi!$G$2:$G$2001,K840)+INDEX(Transaksi!$H$2:$H$2001,K840)+INDEX(Transaksi!$I$2:$I$2001,K840)=0,"",INDEX(Transaksi!$G$2:$G$2001,K840)+INDEX(Transaksi!$H$2:$H$2001,K840)+INDEX(Transaksi!$I$2:$I$2001,K840)),""))</f>
        <v/>
      </c>
      <c r="F840" s="33">
        <f>IF(J840="H",SUMIFS(Transaksi!$J$2:$J$2001,Transaksi!$M$2:$M$2001,"="&amp;S840),IF(J840="E",IF(INDEX(Transaksi!$J$2:$J$2001,K840)=0,"",INDEX(Transaksi!$J$2:$J$2001,K840)),""))</f>
        <v/>
      </c>
      <c r="G840" s="33">
        <f>IF(J840="H",(SUMIFS(Transaksi!$G$2:$G$2001,Transaksi!$M$2:$M$2001,"&lt;="&amp;S840)+SUMIFS(Transaksi!$H$2:$H$2001,Transaksi!$M$2:$M$2001,"&lt;="&amp;S840)+SUMIFS(Transaksi!$I$2:$I$2001,Transaksi!$M$2:$M$2001,"&lt;="&amp;S840))-(SUMIFS(Transaksi!$J$2:$J$2001,Transaksi!$M$2:$M$2001,"&lt;="&amp;S840)),"")</f>
        <v/>
      </c>
      <c r="I840">
        <f>IF(837&gt;$O$2,"",MATCH(837,$Q$3:$Q$402,1))</f>
        <v/>
      </c>
      <c r="J840">
        <f>IF(I840="","",IF(837=INDEX($Q$3:$Q$402,I840),"H","E"))</f>
        <v/>
      </c>
      <c r="K840">
        <f>IF(J840&lt;&gt;"E","",MATCH(S840,Transaksi!$M$2:$M$2001,0)+837-INDEX($Q$3:$Q$402,I840)-1)</f>
        <v/>
      </c>
      <c r="S840">
        <f>IF(I840="","",INDEX($O$3:$O$402,I840))</f>
        <v/>
      </c>
      <c r="T840">
        <f>IF(J840&lt;&gt;"H","",INDEX(Transaksi!$A$2:$A$2001,MATCH(S840,Transaksi!$M$2:$M$2001,0)))</f>
        <v/>
      </c>
    </row>
    <row r="841">
      <c r="A841" s="31">
        <f>IF(J841="E",IF(INDEX(Transaksi!$J$2:$J$2001,K841)&gt;0,"↑","↓"),"")</f>
        <v/>
      </c>
      <c r="B841" s="32">
        <f>IF(J841="H",CHOOSE(WEEKDAY(T841,2),"Isnin","Selasa","Rabu","Khamis","Jumaat","Sabtu","Ahad")&amp;", "&amp;DAY(T841)&amp;" "&amp;CHOOSE(MONTH(T841),"Jan","Feb","Mac","Apr","Mei","Jun","Jul","Ogo","Sep","Okt","Nov","Dis")&amp;" "&amp;YEAR(T841),IF(J841="E",IF(INDEX(Transaksi!$B$2:$B$2001,K841)="",INDEX(Transaksi!$C$2:$C$2001,K841)&amp;" · "&amp;INDEX(Transaksi!$D$2:$D$2001,K841),INDEX(Transaksi!$B$2:$B$2001,K841)),""))</f>
        <v/>
      </c>
      <c r="C841" s="32">
        <f>IF(J841="E",INDEX(Transaksi!$C$2:$C$2001,K841)&amp;"","")</f>
        <v/>
      </c>
      <c r="D841" s="32">
        <f>IF(J841="E",INDEX(Transaksi!$D$2:$D$2001,K841)&amp;"","")</f>
        <v/>
      </c>
      <c r="E841" s="33">
        <f>IF(J841="H",SUMIFS(Transaksi!$G$2:$G$2001,Transaksi!$M$2:$M$2001,"="&amp;S841)+SUMIFS(Transaksi!$H$2:$H$2001,Transaksi!$M$2:$M$2001,"="&amp;S841)+SUMIFS(Transaksi!$I$2:$I$2001,Transaksi!$M$2:$M$2001,"="&amp;S841),IF(J841="E",IF(INDEX(Transaksi!$G$2:$G$2001,K841)+INDEX(Transaksi!$H$2:$H$2001,K841)+INDEX(Transaksi!$I$2:$I$2001,K841)=0,"",INDEX(Transaksi!$G$2:$G$2001,K841)+INDEX(Transaksi!$H$2:$H$2001,K841)+INDEX(Transaksi!$I$2:$I$2001,K841)),""))</f>
        <v/>
      </c>
      <c r="F841" s="33">
        <f>IF(J841="H",SUMIFS(Transaksi!$J$2:$J$2001,Transaksi!$M$2:$M$2001,"="&amp;S841),IF(J841="E",IF(INDEX(Transaksi!$J$2:$J$2001,K841)=0,"",INDEX(Transaksi!$J$2:$J$2001,K841)),""))</f>
        <v/>
      </c>
      <c r="G841" s="33">
        <f>IF(J841="H",(SUMIFS(Transaksi!$G$2:$G$2001,Transaksi!$M$2:$M$2001,"&lt;="&amp;S841)+SUMIFS(Transaksi!$H$2:$H$2001,Transaksi!$M$2:$M$2001,"&lt;="&amp;S841)+SUMIFS(Transaksi!$I$2:$I$2001,Transaksi!$M$2:$M$2001,"&lt;="&amp;S841))-(SUMIFS(Transaksi!$J$2:$J$2001,Transaksi!$M$2:$M$2001,"&lt;="&amp;S841)),"")</f>
        <v/>
      </c>
      <c r="I841">
        <f>IF(838&gt;$O$2,"",MATCH(838,$Q$3:$Q$402,1))</f>
        <v/>
      </c>
      <c r="J841">
        <f>IF(I841="","",IF(838=INDEX($Q$3:$Q$402,I841),"H","E"))</f>
        <v/>
      </c>
      <c r="K841">
        <f>IF(J841&lt;&gt;"E","",MATCH(S841,Transaksi!$M$2:$M$2001,0)+838-INDEX($Q$3:$Q$402,I841)-1)</f>
        <v/>
      </c>
      <c r="S841">
        <f>IF(I841="","",INDEX($O$3:$O$402,I841))</f>
        <v/>
      </c>
      <c r="T841">
        <f>IF(J841&lt;&gt;"H","",INDEX(Transaksi!$A$2:$A$2001,MATCH(S841,Transaksi!$M$2:$M$2001,0)))</f>
        <v/>
      </c>
    </row>
    <row r="842">
      <c r="A842" s="31">
        <f>IF(J842="E",IF(INDEX(Transaksi!$J$2:$J$2001,K842)&gt;0,"↑","↓"),"")</f>
        <v/>
      </c>
      <c r="B842" s="32">
        <f>IF(J842="H",CHOOSE(WEEKDAY(T842,2),"Isnin","Selasa","Rabu","Khamis","Jumaat","Sabtu","Ahad")&amp;", "&amp;DAY(T842)&amp;" "&amp;CHOOSE(MONTH(T842),"Jan","Feb","Mac","Apr","Mei","Jun","Jul","Ogo","Sep","Okt","Nov","Dis")&amp;" "&amp;YEAR(T842),IF(J842="E",IF(INDEX(Transaksi!$B$2:$B$2001,K842)="",INDEX(Transaksi!$C$2:$C$2001,K842)&amp;" · "&amp;INDEX(Transaksi!$D$2:$D$2001,K842),INDEX(Transaksi!$B$2:$B$2001,K842)),""))</f>
        <v/>
      </c>
      <c r="C842" s="32">
        <f>IF(J842="E",INDEX(Transaksi!$C$2:$C$2001,K842)&amp;"","")</f>
        <v/>
      </c>
      <c r="D842" s="32">
        <f>IF(J842="E",INDEX(Transaksi!$D$2:$D$2001,K842)&amp;"","")</f>
        <v/>
      </c>
      <c r="E842" s="33">
        <f>IF(J842="H",SUMIFS(Transaksi!$G$2:$G$2001,Transaksi!$M$2:$M$2001,"="&amp;S842)+SUMIFS(Transaksi!$H$2:$H$2001,Transaksi!$M$2:$M$2001,"="&amp;S842)+SUMIFS(Transaksi!$I$2:$I$2001,Transaksi!$M$2:$M$2001,"="&amp;S842),IF(J842="E",IF(INDEX(Transaksi!$G$2:$G$2001,K842)+INDEX(Transaksi!$H$2:$H$2001,K842)+INDEX(Transaksi!$I$2:$I$2001,K842)=0,"",INDEX(Transaksi!$G$2:$G$2001,K842)+INDEX(Transaksi!$H$2:$H$2001,K842)+INDEX(Transaksi!$I$2:$I$2001,K842)),""))</f>
        <v/>
      </c>
      <c r="F842" s="33">
        <f>IF(J842="H",SUMIFS(Transaksi!$J$2:$J$2001,Transaksi!$M$2:$M$2001,"="&amp;S842),IF(J842="E",IF(INDEX(Transaksi!$J$2:$J$2001,K842)=0,"",INDEX(Transaksi!$J$2:$J$2001,K842)),""))</f>
        <v/>
      </c>
      <c r="G842" s="33">
        <f>IF(J842="H",(SUMIFS(Transaksi!$G$2:$G$2001,Transaksi!$M$2:$M$2001,"&lt;="&amp;S842)+SUMIFS(Transaksi!$H$2:$H$2001,Transaksi!$M$2:$M$2001,"&lt;="&amp;S842)+SUMIFS(Transaksi!$I$2:$I$2001,Transaksi!$M$2:$M$2001,"&lt;="&amp;S842))-(SUMIFS(Transaksi!$J$2:$J$2001,Transaksi!$M$2:$M$2001,"&lt;="&amp;S842)),"")</f>
        <v/>
      </c>
      <c r="I842">
        <f>IF(839&gt;$O$2,"",MATCH(839,$Q$3:$Q$402,1))</f>
        <v/>
      </c>
      <c r="J842">
        <f>IF(I842="","",IF(839=INDEX($Q$3:$Q$402,I842),"H","E"))</f>
        <v/>
      </c>
      <c r="K842">
        <f>IF(J842&lt;&gt;"E","",MATCH(S842,Transaksi!$M$2:$M$2001,0)+839-INDEX($Q$3:$Q$402,I842)-1)</f>
        <v/>
      </c>
      <c r="S842">
        <f>IF(I842="","",INDEX($O$3:$O$402,I842))</f>
        <v/>
      </c>
      <c r="T842">
        <f>IF(J842&lt;&gt;"H","",INDEX(Transaksi!$A$2:$A$2001,MATCH(S842,Transaksi!$M$2:$M$2001,0)))</f>
        <v/>
      </c>
    </row>
    <row r="843">
      <c r="A843" s="31">
        <f>IF(J843="E",IF(INDEX(Transaksi!$J$2:$J$2001,K843)&gt;0,"↑","↓"),"")</f>
        <v/>
      </c>
      <c r="B843" s="32">
        <f>IF(J843="H",CHOOSE(WEEKDAY(T843,2),"Isnin","Selasa","Rabu","Khamis","Jumaat","Sabtu","Ahad")&amp;", "&amp;DAY(T843)&amp;" "&amp;CHOOSE(MONTH(T843),"Jan","Feb","Mac","Apr","Mei","Jun","Jul","Ogo","Sep","Okt","Nov","Dis")&amp;" "&amp;YEAR(T843),IF(J843="E",IF(INDEX(Transaksi!$B$2:$B$2001,K843)="",INDEX(Transaksi!$C$2:$C$2001,K843)&amp;" · "&amp;INDEX(Transaksi!$D$2:$D$2001,K843),INDEX(Transaksi!$B$2:$B$2001,K843)),""))</f>
        <v/>
      </c>
      <c r="C843" s="32">
        <f>IF(J843="E",INDEX(Transaksi!$C$2:$C$2001,K843)&amp;"","")</f>
        <v/>
      </c>
      <c r="D843" s="32">
        <f>IF(J843="E",INDEX(Transaksi!$D$2:$D$2001,K843)&amp;"","")</f>
        <v/>
      </c>
      <c r="E843" s="33">
        <f>IF(J843="H",SUMIFS(Transaksi!$G$2:$G$2001,Transaksi!$M$2:$M$2001,"="&amp;S843)+SUMIFS(Transaksi!$H$2:$H$2001,Transaksi!$M$2:$M$2001,"="&amp;S843)+SUMIFS(Transaksi!$I$2:$I$2001,Transaksi!$M$2:$M$2001,"="&amp;S843),IF(J843="E",IF(INDEX(Transaksi!$G$2:$G$2001,K843)+INDEX(Transaksi!$H$2:$H$2001,K843)+INDEX(Transaksi!$I$2:$I$2001,K843)=0,"",INDEX(Transaksi!$G$2:$G$2001,K843)+INDEX(Transaksi!$H$2:$H$2001,K843)+INDEX(Transaksi!$I$2:$I$2001,K843)),""))</f>
        <v/>
      </c>
      <c r="F843" s="33">
        <f>IF(J843="H",SUMIFS(Transaksi!$J$2:$J$2001,Transaksi!$M$2:$M$2001,"="&amp;S843),IF(J843="E",IF(INDEX(Transaksi!$J$2:$J$2001,K843)=0,"",INDEX(Transaksi!$J$2:$J$2001,K843)),""))</f>
        <v/>
      </c>
      <c r="G843" s="33">
        <f>IF(J843="H",(SUMIFS(Transaksi!$G$2:$G$2001,Transaksi!$M$2:$M$2001,"&lt;="&amp;S843)+SUMIFS(Transaksi!$H$2:$H$2001,Transaksi!$M$2:$M$2001,"&lt;="&amp;S843)+SUMIFS(Transaksi!$I$2:$I$2001,Transaksi!$M$2:$M$2001,"&lt;="&amp;S843))-(SUMIFS(Transaksi!$J$2:$J$2001,Transaksi!$M$2:$M$2001,"&lt;="&amp;S843)),"")</f>
        <v/>
      </c>
      <c r="I843">
        <f>IF(840&gt;$O$2,"",MATCH(840,$Q$3:$Q$402,1))</f>
        <v/>
      </c>
      <c r="J843">
        <f>IF(I843="","",IF(840=INDEX($Q$3:$Q$402,I843),"H","E"))</f>
        <v/>
      </c>
      <c r="K843">
        <f>IF(J843&lt;&gt;"E","",MATCH(S843,Transaksi!$M$2:$M$2001,0)+840-INDEX($Q$3:$Q$402,I843)-1)</f>
        <v/>
      </c>
      <c r="S843">
        <f>IF(I843="","",INDEX($O$3:$O$402,I843))</f>
        <v/>
      </c>
      <c r="T843">
        <f>IF(J843&lt;&gt;"H","",INDEX(Transaksi!$A$2:$A$2001,MATCH(S843,Transaksi!$M$2:$M$2001,0)))</f>
        <v/>
      </c>
    </row>
    <row r="844">
      <c r="A844" s="31">
        <f>IF(J844="E",IF(INDEX(Transaksi!$J$2:$J$2001,K844)&gt;0,"↑","↓"),"")</f>
        <v/>
      </c>
      <c r="B844" s="32">
        <f>IF(J844="H",CHOOSE(WEEKDAY(T844,2),"Isnin","Selasa","Rabu","Khamis","Jumaat","Sabtu","Ahad")&amp;", "&amp;DAY(T844)&amp;" "&amp;CHOOSE(MONTH(T844),"Jan","Feb","Mac","Apr","Mei","Jun","Jul","Ogo","Sep","Okt","Nov","Dis")&amp;" "&amp;YEAR(T844),IF(J844="E",IF(INDEX(Transaksi!$B$2:$B$2001,K844)="",INDEX(Transaksi!$C$2:$C$2001,K844)&amp;" · "&amp;INDEX(Transaksi!$D$2:$D$2001,K844),INDEX(Transaksi!$B$2:$B$2001,K844)),""))</f>
        <v/>
      </c>
      <c r="C844" s="32">
        <f>IF(J844="E",INDEX(Transaksi!$C$2:$C$2001,K844)&amp;"","")</f>
        <v/>
      </c>
      <c r="D844" s="32">
        <f>IF(J844="E",INDEX(Transaksi!$D$2:$D$2001,K844)&amp;"","")</f>
        <v/>
      </c>
      <c r="E844" s="33">
        <f>IF(J844="H",SUMIFS(Transaksi!$G$2:$G$2001,Transaksi!$M$2:$M$2001,"="&amp;S844)+SUMIFS(Transaksi!$H$2:$H$2001,Transaksi!$M$2:$M$2001,"="&amp;S844)+SUMIFS(Transaksi!$I$2:$I$2001,Transaksi!$M$2:$M$2001,"="&amp;S844),IF(J844="E",IF(INDEX(Transaksi!$G$2:$G$2001,K844)+INDEX(Transaksi!$H$2:$H$2001,K844)+INDEX(Transaksi!$I$2:$I$2001,K844)=0,"",INDEX(Transaksi!$G$2:$G$2001,K844)+INDEX(Transaksi!$H$2:$H$2001,K844)+INDEX(Transaksi!$I$2:$I$2001,K844)),""))</f>
        <v/>
      </c>
      <c r="F844" s="33">
        <f>IF(J844="H",SUMIFS(Transaksi!$J$2:$J$2001,Transaksi!$M$2:$M$2001,"="&amp;S844),IF(J844="E",IF(INDEX(Transaksi!$J$2:$J$2001,K844)=0,"",INDEX(Transaksi!$J$2:$J$2001,K844)),""))</f>
        <v/>
      </c>
      <c r="G844" s="33">
        <f>IF(J844="H",(SUMIFS(Transaksi!$G$2:$G$2001,Transaksi!$M$2:$M$2001,"&lt;="&amp;S844)+SUMIFS(Transaksi!$H$2:$H$2001,Transaksi!$M$2:$M$2001,"&lt;="&amp;S844)+SUMIFS(Transaksi!$I$2:$I$2001,Transaksi!$M$2:$M$2001,"&lt;="&amp;S844))-(SUMIFS(Transaksi!$J$2:$J$2001,Transaksi!$M$2:$M$2001,"&lt;="&amp;S844)),"")</f>
        <v/>
      </c>
      <c r="I844">
        <f>IF(841&gt;$O$2,"",MATCH(841,$Q$3:$Q$402,1))</f>
        <v/>
      </c>
      <c r="J844">
        <f>IF(I844="","",IF(841=INDEX($Q$3:$Q$402,I844),"H","E"))</f>
        <v/>
      </c>
      <c r="K844">
        <f>IF(J844&lt;&gt;"E","",MATCH(S844,Transaksi!$M$2:$M$2001,0)+841-INDEX($Q$3:$Q$402,I844)-1)</f>
        <v/>
      </c>
      <c r="S844">
        <f>IF(I844="","",INDEX($O$3:$O$402,I844))</f>
        <v/>
      </c>
      <c r="T844">
        <f>IF(J844&lt;&gt;"H","",INDEX(Transaksi!$A$2:$A$2001,MATCH(S844,Transaksi!$M$2:$M$2001,0)))</f>
        <v/>
      </c>
    </row>
    <row r="845">
      <c r="A845" s="31">
        <f>IF(J845="E",IF(INDEX(Transaksi!$J$2:$J$2001,K845)&gt;0,"↑","↓"),"")</f>
        <v/>
      </c>
      <c r="B845" s="32">
        <f>IF(J845="H",CHOOSE(WEEKDAY(T845,2),"Isnin","Selasa","Rabu","Khamis","Jumaat","Sabtu","Ahad")&amp;", "&amp;DAY(T845)&amp;" "&amp;CHOOSE(MONTH(T845),"Jan","Feb","Mac","Apr","Mei","Jun","Jul","Ogo","Sep","Okt","Nov","Dis")&amp;" "&amp;YEAR(T845),IF(J845="E",IF(INDEX(Transaksi!$B$2:$B$2001,K845)="",INDEX(Transaksi!$C$2:$C$2001,K845)&amp;" · "&amp;INDEX(Transaksi!$D$2:$D$2001,K845),INDEX(Transaksi!$B$2:$B$2001,K845)),""))</f>
        <v/>
      </c>
      <c r="C845" s="32">
        <f>IF(J845="E",INDEX(Transaksi!$C$2:$C$2001,K845)&amp;"","")</f>
        <v/>
      </c>
      <c r="D845" s="32">
        <f>IF(J845="E",INDEX(Transaksi!$D$2:$D$2001,K845)&amp;"","")</f>
        <v/>
      </c>
      <c r="E845" s="33">
        <f>IF(J845="H",SUMIFS(Transaksi!$G$2:$G$2001,Transaksi!$M$2:$M$2001,"="&amp;S845)+SUMIFS(Transaksi!$H$2:$H$2001,Transaksi!$M$2:$M$2001,"="&amp;S845)+SUMIFS(Transaksi!$I$2:$I$2001,Transaksi!$M$2:$M$2001,"="&amp;S845),IF(J845="E",IF(INDEX(Transaksi!$G$2:$G$2001,K845)+INDEX(Transaksi!$H$2:$H$2001,K845)+INDEX(Transaksi!$I$2:$I$2001,K845)=0,"",INDEX(Transaksi!$G$2:$G$2001,K845)+INDEX(Transaksi!$H$2:$H$2001,K845)+INDEX(Transaksi!$I$2:$I$2001,K845)),""))</f>
        <v/>
      </c>
      <c r="F845" s="33">
        <f>IF(J845="H",SUMIFS(Transaksi!$J$2:$J$2001,Transaksi!$M$2:$M$2001,"="&amp;S845),IF(J845="E",IF(INDEX(Transaksi!$J$2:$J$2001,K845)=0,"",INDEX(Transaksi!$J$2:$J$2001,K845)),""))</f>
        <v/>
      </c>
      <c r="G845" s="33">
        <f>IF(J845="H",(SUMIFS(Transaksi!$G$2:$G$2001,Transaksi!$M$2:$M$2001,"&lt;="&amp;S845)+SUMIFS(Transaksi!$H$2:$H$2001,Transaksi!$M$2:$M$2001,"&lt;="&amp;S845)+SUMIFS(Transaksi!$I$2:$I$2001,Transaksi!$M$2:$M$2001,"&lt;="&amp;S845))-(SUMIFS(Transaksi!$J$2:$J$2001,Transaksi!$M$2:$M$2001,"&lt;="&amp;S845)),"")</f>
        <v/>
      </c>
      <c r="I845">
        <f>IF(842&gt;$O$2,"",MATCH(842,$Q$3:$Q$402,1))</f>
        <v/>
      </c>
      <c r="J845">
        <f>IF(I845="","",IF(842=INDEX($Q$3:$Q$402,I845),"H","E"))</f>
        <v/>
      </c>
      <c r="K845">
        <f>IF(J845&lt;&gt;"E","",MATCH(S845,Transaksi!$M$2:$M$2001,0)+842-INDEX($Q$3:$Q$402,I845)-1)</f>
        <v/>
      </c>
      <c r="S845">
        <f>IF(I845="","",INDEX($O$3:$O$402,I845))</f>
        <v/>
      </c>
      <c r="T845">
        <f>IF(J845&lt;&gt;"H","",INDEX(Transaksi!$A$2:$A$2001,MATCH(S845,Transaksi!$M$2:$M$2001,0)))</f>
        <v/>
      </c>
    </row>
    <row r="846">
      <c r="A846" s="31">
        <f>IF(J846="E",IF(INDEX(Transaksi!$J$2:$J$2001,K846)&gt;0,"↑","↓"),"")</f>
        <v/>
      </c>
      <c r="B846" s="32">
        <f>IF(J846="H",CHOOSE(WEEKDAY(T846,2),"Isnin","Selasa","Rabu","Khamis","Jumaat","Sabtu","Ahad")&amp;", "&amp;DAY(T846)&amp;" "&amp;CHOOSE(MONTH(T846),"Jan","Feb","Mac","Apr","Mei","Jun","Jul","Ogo","Sep","Okt","Nov","Dis")&amp;" "&amp;YEAR(T846),IF(J846="E",IF(INDEX(Transaksi!$B$2:$B$2001,K846)="",INDEX(Transaksi!$C$2:$C$2001,K846)&amp;" · "&amp;INDEX(Transaksi!$D$2:$D$2001,K846),INDEX(Transaksi!$B$2:$B$2001,K846)),""))</f>
        <v/>
      </c>
      <c r="C846" s="32">
        <f>IF(J846="E",INDEX(Transaksi!$C$2:$C$2001,K846)&amp;"","")</f>
        <v/>
      </c>
      <c r="D846" s="32">
        <f>IF(J846="E",INDEX(Transaksi!$D$2:$D$2001,K846)&amp;"","")</f>
        <v/>
      </c>
      <c r="E846" s="33">
        <f>IF(J846="H",SUMIFS(Transaksi!$G$2:$G$2001,Transaksi!$M$2:$M$2001,"="&amp;S846)+SUMIFS(Transaksi!$H$2:$H$2001,Transaksi!$M$2:$M$2001,"="&amp;S846)+SUMIFS(Transaksi!$I$2:$I$2001,Transaksi!$M$2:$M$2001,"="&amp;S846),IF(J846="E",IF(INDEX(Transaksi!$G$2:$G$2001,K846)+INDEX(Transaksi!$H$2:$H$2001,K846)+INDEX(Transaksi!$I$2:$I$2001,K846)=0,"",INDEX(Transaksi!$G$2:$G$2001,K846)+INDEX(Transaksi!$H$2:$H$2001,K846)+INDEX(Transaksi!$I$2:$I$2001,K846)),""))</f>
        <v/>
      </c>
      <c r="F846" s="33">
        <f>IF(J846="H",SUMIFS(Transaksi!$J$2:$J$2001,Transaksi!$M$2:$M$2001,"="&amp;S846),IF(J846="E",IF(INDEX(Transaksi!$J$2:$J$2001,K846)=0,"",INDEX(Transaksi!$J$2:$J$2001,K846)),""))</f>
        <v/>
      </c>
      <c r="G846" s="33">
        <f>IF(J846="H",(SUMIFS(Transaksi!$G$2:$G$2001,Transaksi!$M$2:$M$2001,"&lt;="&amp;S846)+SUMIFS(Transaksi!$H$2:$H$2001,Transaksi!$M$2:$M$2001,"&lt;="&amp;S846)+SUMIFS(Transaksi!$I$2:$I$2001,Transaksi!$M$2:$M$2001,"&lt;="&amp;S846))-(SUMIFS(Transaksi!$J$2:$J$2001,Transaksi!$M$2:$M$2001,"&lt;="&amp;S846)),"")</f>
        <v/>
      </c>
      <c r="I846">
        <f>IF(843&gt;$O$2,"",MATCH(843,$Q$3:$Q$402,1))</f>
        <v/>
      </c>
      <c r="J846">
        <f>IF(I846="","",IF(843=INDEX($Q$3:$Q$402,I846),"H","E"))</f>
        <v/>
      </c>
      <c r="K846">
        <f>IF(J846&lt;&gt;"E","",MATCH(S846,Transaksi!$M$2:$M$2001,0)+843-INDEX($Q$3:$Q$402,I846)-1)</f>
        <v/>
      </c>
      <c r="S846">
        <f>IF(I846="","",INDEX($O$3:$O$402,I846))</f>
        <v/>
      </c>
      <c r="T846">
        <f>IF(J846&lt;&gt;"H","",INDEX(Transaksi!$A$2:$A$2001,MATCH(S846,Transaksi!$M$2:$M$2001,0)))</f>
        <v/>
      </c>
    </row>
    <row r="847">
      <c r="A847" s="31">
        <f>IF(J847="E",IF(INDEX(Transaksi!$J$2:$J$2001,K847)&gt;0,"↑","↓"),"")</f>
        <v/>
      </c>
      <c r="B847" s="32">
        <f>IF(J847="H",CHOOSE(WEEKDAY(T847,2),"Isnin","Selasa","Rabu","Khamis","Jumaat","Sabtu","Ahad")&amp;", "&amp;DAY(T847)&amp;" "&amp;CHOOSE(MONTH(T847),"Jan","Feb","Mac","Apr","Mei","Jun","Jul","Ogo","Sep","Okt","Nov","Dis")&amp;" "&amp;YEAR(T847),IF(J847="E",IF(INDEX(Transaksi!$B$2:$B$2001,K847)="",INDEX(Transaksi!$C$2:$C$2001,K847)&amp;" · "&amp;INDEX(Transaksi!$D$2:$D$2001,K847),INDEX(Transaksi!$B$2:$B$2001,K847)),""))</f>
        <v/>
      </c>
      <c r="C847" s="32">
        <f>IF(J847="E",INDEX(Transaksi!$C$2:$C$2001,K847)&amp;"","")</f>
        <v/>
      </c>
      <c r="D847" s="32">
        <f>IF(J847="E",INDEX(Transaksi!$D$2:$D$2001,K847)&amp;"","")</f>
        <v/>
      </c>
      <c r="E847" s="33">
        <f>IF(J847="H",SUMIFS(Transaksi!$G$2:$G$2001,Transaksi!$M$2:$M$2001,"="&amp;S847)+SUMIFS(Transaksi!$H$2:$H$2001,Transaksi!$M$2:$M$2001,"="&amp;S847)+SUMIFS(Transaksi!$I$2:$I$2001,Transaksi!$M$2:$M$2001,"="&amp;S847),IF(J847="E",IF(INDEX(Transaksi!$G$2:$G$2001,K847)+INDEX(Transaksi!$H$2:$H$2001,K847)+INDEX(Transaksi!$I$2:$I$2001,K847)=0,"",INDEX(Transaksi!$G$2:$G$2001,K847)+INDEX(Transaksi!$H$2:$H$2001,K847)+INDEX(Transaksi!$I$2:$I$2001,K847)),""))</f>
        <v/>
      </c>
      <c r="F847" s="33">
        <f>IF(J847="H",SUMIFS(Transaksi!$J$2:$J$2001,Transaksi!$M$2:$M$2001,"="&amp;S847),IF(J847="E",IF(INDEX(Transaksi!$J$2:$J$2001,K847)=0,"",INDEX(Transaksi!$J$2:$J$2001,K847)),""))</f>
        <v/>
      </c>
      <c r="G847" s="33">
        <f>IF(J847="H",(SUMIFS(Transaksi!$G$2:$G$2001,Transaksi!$M$2:$M$2001,"&lt;="&amp;S847)+SUMIFS(Transaksi!$H$2:$H$2001,Transaksi!$M$2:$M$2001,"&lt;="&amp;S847)+SUMIFS(Transaksi!$I$2:$I$2001,Transaksi!$M$2:$M$2001,"&lt;="&amp;S847))-(SUMIFS(Transaksi!$J$2:$J$2001,Transaksi!$M$2:$M$2001,"&lt;="&amp;S847)),"")</f>
        <v/>
      </c>
      <c r="I847">
        <f>IF(844&gt;$O$2,"",MATCH(844,$Q$3:$Q$402,1))</f>
        <v/>
      </c>
      <c r="J847">
        <f>IF(I847="","",IF(844=INDEX($Q$3:$Q$402,I847),"H","E"))</f>
        <v/>
      </c>
      <c r="K847">
        <f>IF(J847&lt;&gt;"E","",MATCH(S847,Transaksi!$M$2:$M$2001,0)+844-INDEX($Q$3:$Q$402,I847)-1)</f>
        <v/>
      </c>
      <c r="S847">
        <f>IF(I847="","",INDEX($O$3:$O$402,I847))</f>
        <v/>
      </c>
      <c r="T847">
        <f>IF(J847&lt;&gt;"H","",INDEX(Transaksi!$A$2:$A$2001,MATCH(S847,Transaksi!$M$2:$M$2001,0)))</f>
        <v/>
      </c>
    </row>
    <row r="848">
      <c r="A848" s="31">
        <f>IF(J848="E",IF(INDEX(Transaksi!$J$2:$J$2001,K848)&gt;0,"↑","↓"),"")</f>
        <v/>
      </c>
      <c r="B848" s="32">
        <f>IF(J848="H",CHOOSE(WEEKDAY(T848,2),"Isnin","Selasa","Rabu","Khamis","Jumaat","Sabtu","Ahad")&amp;", "&amp;DAY(T848)&amp;" "&amp;CHOOSE(MONTH(T848),"Jan","Feb","Mac","Apr","Mei","Jun","Jul","Ogo","Sep","Okt","Nov","Dis")&amp;" "&amp;YEAR(T848),IF(J848="E",IF(INDEX(Transaksi!$B$2:$B$2001,K848)="",INDEX(Transaksi!$C$2:$C$2001,K848)&amp;" · "&amp;INDEX(Transaksi!$D$2:$D$2001,K848),INDEX(Transaksi!$B$2:$B$2001,K848)),""))</f>
        <v/>
      </c>
      <c r="C848" s="32">
        <f>IF(J848="E",INDEX(Transaksi!$C$2:$C$2001,K848)&amp;"","")</f>
        <v/>
      </c>
      <c r="D848" s="32">
        <f>IF(J848="E",INDEX(Transaksi!$D$2:$D$2001,K848)&amp;"","")</f>
        <v/>
      </c>
      <c r="E848" s="33">
        <f>IF(J848="H",SUMIFS(Transaksi!$G$2:$G$2001,Transaksi!$M$2:$M$2001,"="&amp;S848)+SUMIFS(Transaksi!$H$2:$H$2001,Transaksi!$M$2:$M$2001,"="&amp;S848)+SUMIFS(Transaksi!$I$2:$I$2001,Transaksi!$M$2:$M$2001,"="&amp;S848),IF(J848="E",IF(INDEX(Transaksi!$G$2:$G$2001,K848)+INDEX(Transaksi!$H$2:$H$2001,K848)+INDEX(Transaksi!$I$2:$I$2001,K848)=0,"",INDEX(Transaksi!$G$2:$G$2001,K848)+INDEX(Transaksi!$H$2:$H$2001,K848)+INDEX(Transaksi!$I$2:$I$2001,K848)),""))</f>
        <v/>
      </c>
      <c r="F848" s="33">
        <f>IF(J848="H",SUMIFS(Transaksi!$J$2:$J$2001,Transaksi!$M$2:$M$2001,"="&amp;S848),IF(J848="E",IF(INDEX(Transaksi!$J$2:$J$2001,K848)=0,"",INDEX(Transaksi!$J$2:$J$2001,K848)),""))</f>
        <v/>
      </c>
      <c r="G848" s="33">
        <f>IF(J848="H",(SUMIFS(Transaksi!$G$2:$G$2001,Transaksi!$M$2:$M$2001,"&lt;="&amp;S848)+SUMIFS(Transaksi!$H$2:$H$2001,Transaksi!$M$2:$M$2001,"&lt;="&amp;S848)+SUMIFS(Transaksi!$I$2:$I$2001,Transaksi!$M$2:$M$2001,"&lt;="&amp;S848))-(SUMIFS(Transaksi!$J$2:$J$2001,Transaksi!$M$2:$M$2001,"&lt;="&amp;S848)),"")</f>
        <v/>
      </c>
      <c r="I848">
        <f>IF(845&gt;$O$2,"",MATCH(845,$Q$3:$Q$402,1))</f>
        <v/>
      </c>
      <c r="J848">
        <f>IF(I848="","",IF(845=INDEX($Q$3:$Q$402,I848),"H","E"))</f>
        <v/>
      </c>
      <c r="K848">
        <f>IF(J848&lt;&gt;"E","",MATCH(S848,Transaksi!$M$2:$M$2001,0)+845-INDEX($Q$3:$Q$402,I848)-1)</f>
        <v/>
      </c>
      <c r="S848">
        <f>IF(I848="","",INDEX($O$3:$O$402,I848))</f>
        <v/>
      </c>
      <c r="T848">
        <f>IF(J848&lt;&gt;"H","",INDEX(Transaksi!$A$2:$A$2001,MATCH(S848,Transaksi!$M$2:$M$2001,0)))</f>
        <v/>
      </c>
    </row>
    <row r="849">
      <c r="A849" s="31">
        <f>IF(J849="E",IF(INDEX(Transaksi!$J$2:$J$2001,K849)&gt;0,"↑","↓"),"")</f>
        <v/>
      </c>
      <c r="B849" s="32">
        <f>IF(J849="H",CHOOSE(WEEKDAY(T849,2),"Isnin","Selasa","Rabu","Khamis","Jumaat","Sabtu","Ahad")&amp;", "&amp;DAY(T849)&amp;" "&amp;CHOOSE(MONTH(T849),"Jan","Feb","Mac","Apr","Mei","Jun","Jul","Ogo","Sep","Okt","Nov","Dis")&amp;" "&amp;YEAR(T849),IF(J849="E",IF(INDEX(Transaksi!$B$2:$B$2001,K849)="",INDEX(Transaksi!$C$2:$C$2001,K849)&amp;" · "&amp;INDEX(Transaksi!$D$2:$D$2001,K849),INDEX(Transaksi!$B$2:$B$2001,K849)),""))</f>
        <v/>
      </c>
      <c r="C849" s="32">
        <f>IF(J849="E",INDEX(Transaksi!$C$2:$C$2001,K849)&amp;"","")</f>
        <v/>
      </c>
      <c r="D849" s="32">
        <f>IF(J849="E",INDEX(Transaksi!$D$2:$D$2001,K849)&amp;"","")</f>
        <v/>
      </c>
      <c r="E849" s="33">
        <f>IF(J849="H",SUMIFS(Transaksi!$G$2:$G$2001,Transaksi!$M$2:$M$2001,"="&amp;S849)+SUMIFS(Transaksi!$H$2:$H$2001,Transaksi!$M$2:$M$2001,"="&amp;S849)+SUMIFS(Transaksi!$I$2:$I$2001,Transaksi!$M$2:$M$2001,"="&amp;S849),IF(J849="E",IF(INDEX(Transaksi!$G$2:$G$2001,K849)+INDEX(Transaksi!$H$2:$H$2001,K849)+INDEX(Transaksi!$I$2:$I$2001,K849)=0,"",INDEX(Transaksi!$G$2:$G$2001,K849)+INDEX(Transaksi!$H$2:$H$2001,K849)+INDEX(Transaksi!$I$2:$I$2001,K849)),""))</f>
        <v/>
      </c>
      <c r="F849" s="33">
        <f>IF(J849="H",SUMIFS(Transaksi!$J$2:$J$2001,Transaksi!$M$2:$M$2001,"="&amp;S849),IF(J849="E",IF(INDEX(Transaksi!$J$2:$J$2001,K849)=0,"",INDEX(Transaksi!$J$2:$J$2001,K849)),""))</f>
        <v/>
      </c>
      <c r="G849" s="33">
        <f>IF(J849="H",(SUMIFS(Transaksi!$G$2:$G$2001,Transaksi!$M$2:$M$2001,"&lt;="&amp;S849)+SUMIFS(Transaksi!$H$2:$H$2001,Transaksi!$M$2:$M$2001,"&lt;="&amp;S849)+SUMIFS(Transaksi!$I$2:$I$2001,Transaksi!$M$2:$M$2001,"&lt;="&amp;S849))-(SUMIFS(Transaksi!$J$2:$J$2001,Transaksi!$M$2:$M$2001,"&lt;="&amp;S849)),"")</f>
        <v/>
      </c>
      <c r="I849">
        <f>IF(846&gt;$O$2,"",MATCH(846,$Q$3:$Q$402,1))</f>
        <v/>
      </c>
      <c r="J849">
        <f>IF(I849="","",IF(846=INDEX($Q$3:$Q$402,I849),"H","E"))</f>
        <v/>
      </c>
      <c r="K849">
        <f>IF(J849&lt;&gt;"E","",MATCH(S849,Transaksi!$M$2:$M$2001,0)+846-INDEX($Q$3:$Q$402,I849)-1)</f>
        <v/>
      </c>
      <c r="S849">
        <f>IF(I849="","",INDEX($O$3:$O$402,I849))</f>
        <v/>
      </c>
      <c r="T849">
        <f>IF(J849&lt;&gt;"H","",INDEX(Transaksi!$A$2:$A$2001,MATCH(S849,Transaksi!$M$2:$M$2001,0)))</f>
        <v/>
      </c>
    </row>
    <row r="850">
      <c r="A850" s="31">
        <f>IF(J850="E",IF(INDEX(Transaksi!$J$2:$J$2001,K850)&gt;0,"↑","↓"),"")</f>
        <v/>
      </c>
      <c r="B850" s="32">
        <f>IF(J850="H",CHOOSE(WEEKDAY(T850,2),"Isnin","Selasa","Rabu","Khamis","Jumaat","Sabtu","Ahad")&amp;", "&amp;DAY(T850)&amp;" "&amp;CHOOSE(MONTH(T850),"Jan","Feb","Mac","Apr","Mei","Jun","Jul","Ogo","Sep","Okt","Nov","Dis")&amp;" "&amp;YEAR(T850),IF(J850="E",IF(INDEX(Transaksi!$B$2:$B$2001,K850)="",INDEX(Transaksi!$C$2:$C$2001,K850)&amp;" · "&amp;INDEX(Transaksi!$D$2:$D$2001,K850),INDEX(Transaksi!$B$2:$B$2001,K850)),""))</f>
        <v/>
      </c>
      <c r="C850" s="32">
        <f>IF(J850="E",INDEX(Transaksi!$C$2:$C$2001,K850)&amp;"","")</f>
        <v/>
      </c>
      <c r="D850" s="32">
        <f>IF(J850="E",INDEX(Transaksi!$D$2:$D$2001,K850)&amp;"","")</f>
        <v/>
      </c>
      <c r="E850" s="33">
        <f>IF(J850="H",SUMIFS(Transaksi!$G$2:$G$2001,Transaksi!$M$2:$M$2001,"="&amp;S850)+SUMIFS(Transaksi!$H$2:$H$2001,Transaksi!$M$2:$M$2001,"="&amp;S850)+SUMIFS(Transaksi!$I$2:$I$2001,Transaksi!$M$2:$M$2001,"="&amp;S850),IF(J850="E",IF(INDEX(Transaksi!$G$2:$G$2001,K850)+INDEX(Transaksi!$H$2:$H$2001,K850)+INDEX(Transaksi!$I$2:$I$2001,K850)=0,"",INDEX(Transaksi!$G$2:$G$2001,K850)+INDEX(Transaksi!$H$2:$H$2001,K850)+INDEX(Transaksi!$I$2:$I$2001,K850)),""))</f>
        <v/>
      </c>
      <c r="F850" s="33">
        <f>IF(J850="H",SUMIFS(Transaksi!$J$2:$J$2001,Transaksi!$M$2:$M$2001,"="&amp;S850),IF(J850="E",IF(INDEX(Transaksi!$J$2:$J$2001,K850)=0,"",INDEX(Transaksi!$J$2:$J$2001,K850)),""))</f>
        <v/>
      </c>
      <c r="G850" s="33">
        <f>IF(J850="H",(SUMIFS(Transaksi!$G$2:$G$2001,Transaksi!$M$2:$M$2001,"&lt;="&amp;S850)+SUMIFS(Transaksi!$H$2:$H$2001,Transaksi!$M$2:$M$2001,"&lt;="&amp;S850)+SUMIFS(Transaksi!$I$2:$I$2001,Transaksi!$M$2:$M$2001,"&lt;="&amp;S850))-(SUMIFS(Transaksi!$J$2:$J$2001,Transaksi!$M$2:$M$2001,"&lt;="&amp;S850)),"")</f>
        <v/>
      </c>
      <c r="I850">
        <f>IF(847&gt;$O$2,"",MATCH(847,$Q$3:$Q$402,1))</f>
        <v/>
      </c>
      <c r="J850">
        <f>IF(I850="","",IF(847=INDEX($Q$3:$Q$402,I850),"H","E"))</f>
        <v/>
      </c>
      <c r="K850">
        <f>IF(J850&lt;&gt;"E","",MATCH(S850,Transaksi!$M$2:$M$2001,0)+847-INDEX($Q$3:$Q$402,I850)-1)</f>
        <v/>
      </c>
      <c r="S850">
        <f>IF(I850="","",INDEX($O$3:$O$402,I850))</f>
        <v/>
      </c>
      <c r="T850">
        <f>IF(J850&lt;&gt;"H","",INDEX(Transaksi!$A$2:$A$2001,MATCH(S850,Transaksi!$M$2:$M$2001,0)))</f>
        <v/>
      </c>
    </row>
    <row r="851">
      <c r="A851" s="31">
        <f>IF(J851="E",IF(INDEX(Transaksi!$J$2:$J$2001,K851)&gt;0,"↑","↓"),"")</f>
        <v/>
      </c>
      <c r="B851" s="32">
        <f>IF(J851="H",CHOOSE(WEEKDAY(T851,2),"Isnin","Selasa","Rabu","Khamis","Jumaat","Sabtu","Ahad")&amp;", "&amp;DAY(T851)&amp;" "&amp;CHOOSE(MONTH(T851),"Jan","Feb","Mac","Apr","Mei","Jun","Jul","Ogo","Sep","Okt","Nov","Dis")&amp;" "&amp;YEAR(T851),IF(J851="E",IF(INDEX(Transaksi!$B$2:$B$2001,K851)="",INDEX(Transaksi!$C$2:$C$2001,K851)&amp;" · "&amp;INDEX(Transaksi!$D$2:$D$2001,K851),INDEX(Transaksi!$B$2:$B$2001,K851)),""))</f>
        <v/>
      </c>
      <c r="C851" s="32">
        <f>IF(J851="E",INDEX(Transaksi!$C$2:$C$2001,K851)&amp;"","")</f>
        <v/>
      </c>
      <c r="D851" s="32">
        <f>IF(J851="E",INDEX(Transaksi!$D$2:$D$2001,K851)&amp;"","")</f>
        <v/>
      </c>
      <c r="E851" s="33">
        <f>IF(J851="H",SUMIFS(Transaksi!$G$2:$G$2001,Transaksi!$M$2:$M$2001,"="&amp;S851)+SUMIFS(Transaksi!$H$2:$H$2001,Transaksi!$M$2:$M$2001,"="&amp;S851)+SUMIFS(Transaksi!$I$2:$I$2001,Transaksi!$M$2:$M$2001,"="&amp;S851),IF(J851="E",IF(INDEX(Transaksi!$G$2:$G$2001,K851)+INDEX(Transaksi!$H$2:$H$2001,K851)+INDEX(Transaksi!$I$2:$I$2001,K851)=0,"",INDEX(Transaksi!$G$2:$G$2001,K851)+INDEX(Transaksi!$H$2:$H$2001,K851)+INDEX(Transaksi!$I$2:$I$2001,K851)),""))</f>
        <v/>
      </c>
      <c r="F851" s="33">
        <f>IF(J851="H",SUMIFS(Transaksi!$J$2:$J$2001,Transaksi!$M$2:$M$2001,"="&amp;S851),IF(J851="E",IF(INDEX(Transaksi!$J$2:$J$2001,K851)=0,"",INDEX(Transaksi!$J$2:$J$2001,K851)),""))</f>
        <v/>
      </c>
      <c r="G851" s="33">
        <f>IF(J851="H",(SUMIFS(Transaksi!$G$2:$G$2001,Transaksi!$M$2:$M$2001,"&lt;="&amp;S851)+SUMIFS(Transaksi!$H$2:$H$2001,Transaksi!$M$2:$M$2001,"&lt;="&amp;S851)+SUMIFS(Transaksi!$I$2:$I$2001,Transaksi!$M$2:$M$2001,"&lt;="&amp;S851))-(SUMIFS(Transaksi!$J$2:$J$2001,Transaksi!$M$2:$M$2001,"&lt;="&amp;S851)),"")</f>
        <v/>
      </c>
      <c r="I851">
        <f>IF(848&gt;$O$2,"",MATCH(848,$Q$3:$Q$402,1))</f>
        <v/>
      </c>
      <c r="J851">
        <f>IF(I851="","",IF(848=INDEX($Q$3:$Q$402,I851),"H","E"))</f>
        <v/>
      </c>
      <c r="K851">
        <f>IF(J851&lt;&gt;"E","",MATCH(S851,Transaksi!$M$2:$M$2001,0)+848-INDEX($Q$3:$Q$402,I851)-1)</f>
        <v/>
      </c>
      <c r="S851">
        <f>IF(I851="","",INDEX($O$3:$O$402,I851))</f>
        <v/>
      </c>
      <c r="T851">
        <f>IF(J851&lt;&gt;"H","",INDEX(Transaksi!$A$2:$A$2001,MATCH(S851,Transaksi!$M$2:$M$2001,0)))</f>
        <v/>
      </c>
    </row>
    <row r="852">
      <c r="A852" s="31">
        <f>IF(J852="E",IF(INDEX(Transaksi!$J$2:$J$2001,K852)&gt;0,"↑","↓"),"")</f>
        <v/>
      </c>
      <c r="B852" s="32">
        <f>IF(J852="H",CHOOSE(WEEKDAY(T852,2),"Isnin","Selasa","Rabu","Khamis","Jumaat","Sabtu","Ahad")&amp;", "&amp;DAY(T852)&amp;" "&amp;CHOOSE(MONTH(T852),"Jan","Feb","Mac","Apr","Mei","Jun","Jul","Ogo","Sep","Okt","Nov","Dis")&amp;" "&amp;YEAR(T852),IF(J852="E",IF(INDEX(Transaksi!$B$2:$B$2001,K852)="",INDEX(Transaksi!$C$2:$C$2001,K852)&amp;" · "&amp;INDEX(Transaksi!$D$2:$D$2001,K852),INDEX(Transaksi!$B$2:$B$2001,K852)),""))</f>
        <v/>
      </c>
      <c r="C852" s="32">
        <f>IF(J852="E",INDEX(Transaksi!$C$2:$C$2001,K852)&amp;"","")</f>
        <v/>
      </c>
      <c r="D852" s="32">
        <f>IF(J852="E",INDEX(Transaksi!$D$2:$D$2001,K852)&amp;"","")</f>
        <v/>
      </c>
      <c r="E852" s="33">
        <f>IF(J852="H",SUMIFS(Transaksi!$G$2:$G$2001,Transaksi!$M$2:$M$2001,"="&amp;S852)+SUMIFS(Transaksi!$H$2:$H$2001,Transaksi!$M$2:$M$2001,"="&amp;S852)+SUMIFS(Transaksi!$I$2:$I$2001,Transaksi!$M$2:$M$2001,"="&amp;S852),IF(J852="E",IF(INDEX(Transaksi!$G$2:$G$2001,K852)+INDEX(Transaksi!$H$2:$H$2001,K852)+INDEX(Transaksi!$I$2:$I$2001,K852)=0,"",INDEX(Transaksi!$G$2:$G$2001,K852)+INDEX(Transaksi!$H$2:$H$2001,K852)+INDEX(Transaksi!$I$2:$I$2001,K852)),""))</f>
        <v/>
      </c>
      <c r="F852" s="33">
        <f>IF(J852="H",SUMIFS(Transaksi!$J$2:$J$2001,Transaksi!$M$2:$M$2001,"="&amp;S852),IF(J852="E",IF(INDEX(Transaksi!$J$2:$J$2001,K852)=0,"",INDEX(Transaksi!$J$2:$J$2001,K852)),""))</f>
        <v/>
      </c>
      <c r="G852" s="33">
        <f>IF(J852="H",(SUMIFS(Transaksi!$G$2:$G$2001,Transaksi!$M$2:$M$2001,"&lt;="&amp;S852)+SUMIFS(Transaksi!$H$2:$H$2001,Transaksi!$M$2:$M$2001,"&lt;="&amp;S852)+SUMIFS(Transaksi!$I$2:$I$2001,Transaksi!$M$2:$M$2001,"&lt;="&amp;S852))-(SUMIFS(Transaksi!$J$2:$J$2001,Transaksi!$M$2:$M$2001,"&lt;="&amp;S852)),"")</f>
        <v/>
      </c>
      <c r="I852">
        <f>IF(849&gt;$O$2,"",MATCH(849,$Q$3:$Q$402,1))</f>
        <v/>
      </c>
      <c r="J852">
        <f>IF(I852="","",IF(849=INDEX($Q$3:$Q$402,I852),"H","E"))</f>
        <v/>
      </c>
      <c r="K852">
        <f>IF(J852&lt;&gt;"E","",MATCH(S852,Transaksi!$M$2:$M$2001,0)+849-INDEX($Q$3:$Q$402,I852)-1)</f>
        <v/>
      </c>
      <c r="S852">
        <f>IF(I852="","",INDEX($O$3:$O$402,I852))</f>
        <v/>
      </c>
      <c r="T852">
        <f>IF(J852&lt;&gt;"H","",INDEX(Transaksi!$A$2:$A$2001,MATCH(S852,Transaksi!$M$2:$M$2001,0)))</f>
        <v/>
      </c>
    </row>
    <row r="853">
      <c r="A853" s="31">
        <f>IF(J853="E",IF(INDEX(Transaksi!$J$2:$J$2001,K853)&gt;0,"↑","↓"),"")</f>
        <v/>
      </c>
      <c r="B853" s="32">
        <f>IF(J853="H",CHOOSE(WEEKDAY(T853,2),"Isnin","Selasa","Rabu","Khamis","Jumaat","Sabtu","Ahad")&amp;", "&amp;DAY(T853)&amp;" "&amp;CHOOSE(MONTH(T853),"Jan","Feb","Mac","Apr","Mei","Jun","Jul","Ogo","Sep","Okt","Nov","Dis")&amp;" "&amp;YEAR(T853),IF(J853="E",IF(INDEX(Transaksi!$B$2:$B$2001,K853)="",INDEX(Transaksi!$C$2:$C$2001,K853)&amp;" · "&amp;INDEX(Transaksi!$D$2:$D$2001,K853),INDEX(Transaksi!$B$2:$B$2001,K853)),""))</f>
        <v/>
      </c>
      <c r="C853" s="32">
        <f>IF(J853="E",INDEX(Transaksi!$C$2:$C$2001,K853)&amp;"","")</f>
        <v/>
      </c>
      <c r="D853" s="32">
        <f>IF(J853="E",INDEX(Transaksi!$D$2:$D$2001,K853)&amp;"","")</f>
        <v/>
      </c>
      <c r="E853" s="33">
        <f>IF(J853="H",SUMIFS(Transaksi!$G$2:$G$2001,Transaksi!$M$2:$M$2001,"="&amp;S853)+SUMIFS(Transaksi!$H$2:$H$2001,Transaksi!$M$2:$M$2001,"="&amp;S853)+SUMIFS(Transaksi!$I$2:$I$2001,Transaksi!$M$2:$M$2001,"="&amp;S853),IF(J853="E",IF(INDEX(Transaksi!$G$2:$G$2001,K853)+INDEX(Transaksi!$H$2:$H$2001,K853)+INDEX(Transaksi!$I$2:$I$2001,K853)=0,"",INDEX(Transaksi!$G$2:$G$2001,K853)+INDEX(Transaksi!$H$2:$H$2001,K853)+INDEX(Transaksi!$I$2:$I$2001,K853)),""))</f>
        <v/>
      </c>
      <c r="F853" s="33">
        <f>IF(J853="H",SUMIFS(Transaksi!$J$2:$J$2001,Transaksi!$M$2:$M$2001,"="&amp;S853),IF(J853="E",IF(INDEX(Transaksi!$J$2:$J$2001,K853)=0,"",INDEX(Transaksi!$J$2:$J$2001,K853)),""))</f>
        <v/>
      </c>
      <c r="G853" s="33">
        <f>IF(J853="H",(SUMIFS(Transaksi!$G$2:$G$2001,Transaksi!$M$2:$M$2001,"&lt;="&amp;S853)+SUMIFS(Transaksi!$H$2:$H$2001,Transaksi!$M$2:$M$2001,"&lt;="&amp;S853)+SUMIFS(Transaksi!$I$2:$I$2001,Transaksi!$M$2:$M$2001,"&lt;="&amp;S853))-(SUMIFS(Transaksi!$J$2:$J$2001,Transaksi!$M$2:$M$2001,"&lt;="&amp;S853)),"")</f>
        <v/>
      </c>
      <c r="I853">
        <f>IF(850&gt;$O$2,"",MATCH(850,$Q$3:$Q$402,1))</f>
        <v/>
      </c>
      <c r="J853">
        <f>IF(I853="","",IF(850=INDEX($Q$3:$Q$402,I853),"H","E"))</f>
        <v/>
      </c>
      <c r="K853">
        <f>IF(J853&lt;&gt;"E","",MATCH(S853,Transaksi!$M$2:$M$2001,0)+850-INDEX($Q$3:$Q$402,I853)-1)</f>
        <v/>
      </c>
      <c r="S853">
        <f>IF(I853="","",INDEX($O$3:$O$402,I853))</f>
        <v/>
      </c>
      <c r="T853">
        <f>IF(J853&lt;&gt;"H","",INDEX(Transaksi!$A$2:$A$2001,MATCH(S853,Transaksi!$M$2:$M$2001,0)))</f>
        <v/>
      </c>
    </row>
    <row r="854">
      <c r="A854" s="31">
        <f>IF(J854="E",IF(INDEX(Transaksi!$J$2:$J$2001,K854)&gt;0,"↑","↓"),"")</f>
        <v/>
      </c>
      <c r="B854" s="32">
        <f>IF(J854="H",CHOOSE(WEEKDAY(T854,2),"Isnin","Selasa","Rabu","Khamis","Jumaat","Sabtu","Ahad")&amp;", "&amp;DAY(T854)&amp;" "&amp;CHOOSE(MONTH(T854),"Jan","Feb","Mac","Apr","Mei","Jun","Jul","Ogo","Sep","Okt","Nov","Dis")&amp;" "&amp;YEAR(T854),IF(J854="E",IF(INDEX(Transaksi!$B$2:$B$2001,K854)="",INDEX(Transaksi!$C$2:$C$2001,K854)&amp;" · "&amp;INDEX(Transaksi!$D$2:$D$2001,K854),INDEX(Transaksi!$B$2:$B$2001,K854)),""))</f>
        <v/>
      </c>
      <c r="C854" s="32">
        <f>IF(J854="E",INDEX(Transaksi!$C$2:$C$2001,K854)&amp;"","")</f>
        <v/>
      </c>
      <c r="D854" s="32">
        <f>IF(J854="E",INDEX(Transaksi!$D$2:$D$2001,K854)&amp;"","")</f>
        <v/>
      </c>
      <c r="E854" s="33">
        <f>IF(J854="H",SUMIFS(Transaksi!$G$2:$G$2001,Transaksi!$M$2:$M$2001,"="&amp;S854)+SUMIFS(Transaksi!$H$2:$H$2001,Transaksi!$M$2:$M$2001,"="&amp;S854)+SUMIFS(Transaksi!$I$2:$I$2001,Transaksi!$M$2:$M$2001,"="&amp;S854),IF(J854="E",IF(INDEX(Transaksi!$G$2:$G$2001,K854)+INDEX(Transaksi!$H$2:$H$2001,K854)+INDEX(Transaksi!$I$2:$I$2001,K854)=0,"",INDEX(Transaksi!$G$2:$G$2001,K854)+INDEX(Transaksi!$H$2:$H$2001,K854)+INDEX(Transaksi!$I$2:$I$2001,K854)),""))</f>
        <v/>
      </c>
      <c r="F854" s="33">
        <f>IF(J854="H",SUMIFS(Transaksi!$J$2:$J$2001,Transaksi!$M$2:$M$2001,"="&amp;S854),IF(J854="E",IF(INDEX(Transaksi!$J$2:$J$2001,K854)=0,"",INDEX(Transaksi!$J$2:$J$2001,K854)),""))</f>
        <v/>
      </c>
      <c r="G854" s="33">
        <f>IF(J854="H",(SUMIFS(Transaksi!$G$2:$G$2001,Transaksi!$M$2:$M$2001,"&lt;="&amp;S854)+SUMIFS(Transaksi!$H$2:$H$2001,Transaksi!$M$2:$M$2001,"&lt;="&amp;S854)+SUMIFS(Transaksi!$I$2:$I$2001,Transaksi!$M$2:$M$2001,"&lt;="&amp;S854))-(SUMIFS(Transaksi!$J$2:$J$2001,Transaksi!$M$2:$M$2001,"&lt;="&amp;S854)),"")</f>
        <v/>
      </c>
      <c r="I854">
        <f>IF(851&gt;$O$2,"",MATCH(851,$Q$3:$Q$402,1))</f>
        <v/>
      </c>
      <c r="J854">
        <f>IF(I854="","",IF(851=INDEX($Q$3:$Q$402,I854),"H","E"))</f>
        <v/>
      </c>
      <c r="K854">
        <f>IF(J854&lt;&gt;"E","",MATCH(S854,Transaksi!$M$2:$M$2001,0)+851-INDEX($Q$3:$Q$402,I854)-1)</f>
        <v/>
      </c>
      <c r="S854">
        <f>IF(I854="","",INDEX($O$3:$O$402,I854))</f>
        <v/>
      </c>
      <c r="T854">
        <f>IF(J854&lt;&gt;"H","",INDEX(Transaksi!$A$2:$A$2001,MATCH(S854,Transaksi!$M$2:$M$2001,0)))</f>
        <v/>
      </c>
    </row>
    <row r="855">
      <c r="A855" s="31">
        <f>IF(J855="E",IF(INDEX(Transaksi!$J$2:$J$2001,K855)&gt;0,"↑","↓"),"")</f>
        <v/>
      </c>
      <c r="B855" s="32">
        <f>IF(J855="H",CHOOSE(WEEKDAY(T855,2),"Isnin","Selasa","Rabu","Khamis","Jumaat","Sabtu","Ahad")&amp;", "&amp;DAY(T855)&amp;" "&amp;CHOOSE(MONTH(T855),"Jan","Feb","Mac","Apr","Mei","Jun","Jul","Ogo","Sep","Okt","Nov","Dis")&amp;" "&amp;YEAR(T855),IF(J855="E",IF(INDEX(Transaksi!$B$2:$B$2001,K855)="",INDEX(Transaksi!$C$2:$C$2001,K855)&amp;" · "&amp;INDEX(Transaksi!$D$2:$D$2001,K855),INDEX(Transaksi!$B$2:$B$2001,K855)),""))</f>
        <v/>
      </c>
      <c r="C855" s="32">
        <f>IF(J855="E",INDEX(Transaksi!$C$2:$C$2001,K855)&amp;"","")</f>
        <v/>
      </c>
      <c r="D855" s="32">
        <f>IF(J855="E",INDEX(Transaksi!$D$2:$D$2001,K855)&amp;"","")</f>
        <v/>
      </c>
      <c r="E855" s="33">
        <f>IF(J855="H",SUMIFS(Transaksi!$G$2:$G$2001,Transaksi!$M$2:$M$2001,"="&amp;S855)+SUMIFS(Transaksi!$H$2:$H$2001,Transaksi!$M$2:$M$2001,"="&amp;S855)+SUMIFS(Transaksi!$I$2:$I$2001,Transaksi!$M$2:$M$2001,"="&amp;S855),IF(J855="E",IF(INDEX(Transaksi!$G$2:$G$2001,K855)+INDEX(Transaksi!$H$2:$H$2001,K855)+INDEX(Transaksi!$I$2:$I$2001,K855)=0,"",INDEX(Transaksi!$G$2:$G$2001,K855)+INDEX(Transaksi!$H$2:$H$2001,K855)+INDEX(Transaksi!$I$2:$I$2001,K855)),""))</f>
        <v/>
      </c>
      <c r="F855" s="33">
        <f>IF(J855="H",SUMIFS(Transaksi!$J$2:$J$2001,Transaksi!$M$2:$M$2001,"="&amp;S855),IF(J855="E",IF(INDEX(Transaksi!$J$2:$J$2001,K855)=0,"",INDEX(Transaksi!$J$2:$J$2001,K855)),""))</f>
        <v/>
      </c>
      <c r="G855" s="33">
        <f>IF(J855="H",(SUMIFS(Transaksi!$G$2:$G$2001,Transaksi!$M$2:$M$2001,"&lt;="&amp;S855)+SUMIFS(Transaksi!$H$2:$H$2001,Transaksi!$M$2:$M$2001,"&lt;="&amp;S855)+SUMIFS(Transaksi!$I$2:$I$2001,Transaksi!$M$2:$M$2001,"&lt;="&amp;S855))-(SUMIFS(Transaksi!$J$2:$J$2001,Transaksi!$M$2:$M$2001,"&lt;="&amp;S855)),"")</f>
        <v/>
      </c>
      <c r="I855">
        <f>IF(852&gt;$O$2,"",MATCH(852,$Q$3:$Q$402,1))</f>
        <v/>
      </c>
      <c r="J855">
        <f>IF(I855="","",IF(852=INDEX($Q$3:$Q$402,I855),"H","E"))</f>
        <v/>
      </c>
      <c r="K855">
        <f>IF(J855&lt;&gt;"E","",MATCH(S855,Transaksi!$M$2:$M$2001,0)+852-INDEX($Q$3:$Q$402,I855)-1)</f>
        <v/>
      </c>
      <c r="S855">
        <f>IF(I855="","",INDEX($O$3:$O$402,I855))</f>
        <v/>
      </c>
      <c r="T855">
        <f>IF(J855&lt;&gt;"H","",INDEX(Transaksi!$A$2:$A$2001,MATCH(S855,Transaksi!$M$2:$M$2001,0)))</f>
        <v/>
      </c>
    </row>
    <row r="856">
      <c r="A856" s="31">
        <f>IF(J856="E",IF(INDEX(Transaksi!$J$2:$J$2001,K856)&gt;0,"↑","↓"),"")</f>
        <v/>
      </c>
      <c r="B856" s="32">
        <f>IF(J856="H",CHOOSE(WEEKDAY(T856,2),"Isnin","Selasa","Rabu","Khamis","Jumaat","Sabtu","Ahad")&amp;", "&amp;DAY(T856)&amp;" "&amp;CHOOSE(MONTH(T856),"Jan","Feb","Mac","Apr","Mei","Jun","Jul","Ogo","Sep","Okt","Nov","Dis")&amp;" "&amp;YEAR(T856),IF(J856="E",IF(INDEX(Transaksi!$B$2:$B$2001,K856)="",INDEX(Transaksi!$C$2:$C$2001,K856)&amp;" · "&amp;INDEX(Transaksi!$D$2:$D$2001,K856),INDEX(Transaksi!$B$2:$B$2001,K856)),""))</f>
        <v/>
      </c>
      <c r="C856" s="32">
        <f>IF(J856="E",INDEX(Transaksi!$C$2:$C$2001,K856)&amp;"","")</f>
        <v/>
      </c>
      <c r="D856" s="32">
        <f>IF(J856="E",INDEX(Transaksi!$D$2:$D$2001,K856)&amp;"","")</f>
        <v/>
      </c>
      <c r="E856" s="33">
        <f>IF(J856="H",SUMIFS(Transaksi!$G$2:$G$2001,Transaksi!$M$2:$M$2001,"="&amp;S856)+SUMIFS(Transaksi!$H$2:$H$2001,Transaksi!$M$2:$M$2001,"="&amp;S856)+SUMIFS(Transaksi!$I$2:$I$2001,Transaksi!$M$2:$M$2001,"="&amp;S856),IF(J856="E",IF(INDEX(Transaksi!$G$2:$G$2001,K856)+INDEX(Transaksi!$H$2:$H$2001,K856)+INDEX(Transaksi!$I$2:$I$2001,K856)=0,"",INDEX(Transaksi!$G$2:$G$2001,K856)+INDEX(Transaksi!$H$2:$H$2001,K856)+INDEX(Transaksi!$I$2:$I$2001,K856)),""))</f>
        <v/>
      </c>
      <c r="F856" s="33">
        <f>IF(J856="H",SUMIFS(Transaksi!$J$2:$J$2001,Transaksi!$M$2:$M$2001,"="&amp;S856),IF(J856="E",IF(INDEX(Transaksi!$J$2:$J$2001,K856)=0,"",INDEX(Transaksi!$J$2:$J$2001,K856)),""))</f>
        <v/>
      </c>
      <c r="G856" s="33">
        <f>IF(J856="H",(SUMIFS(Transaksi!$G$2:$G$2001,Transaksi!$M$2:$M$2001,"&lt;="&amp;S856)+SUMIFS(Transaksi!$H$2:$H$2001,Transaksi!$M$2:$M$2001,"&lt;="&amp;S856)+SUMIFS(Transaksi!$I$2:$I$2001,Transaksi!$M$2:$M$2001,"&lt;="&amp;S856))-(SUMIFS(Transaksi!$J$2:$J$2001,Transaksi!$M$2:$M$2001,"&lt;="&amp;S856)),"")</f>
        <v/>
      </c>
      <c r="I856">
        <f>IF(853&gt;$O$2,"",MATCH(853,$Q$3:$Q$402,1))</f>
        <v/>
      </c>
      <c r="J856">
        <f>IF(I856="","",IF(853=INDEX($Q$3:$Q$402,I856),"H","E"))</f>
        <v/>
      </c>
      <c r="K856">
        <f>IF(J856&lt;&gt;"E","",MATCH(S856,Transaksi!$M$2:$M$2001,0)+853-INDEX($Q$3:$Q$402,I856)-1)</f>
        <v/>
      </c>
      <c r="S856">
        <f>IF(I856="","",INDEX($O$3:$O$402,I856))</f>
        <v/>
      </c>
      <c r="T856">
        <f>IF(J856&lt;&gt;"H","",INDEX(Transaksi!$A$2:$A$2001,MATCH(S856,Transaksi!$M$2:$M$2001,0)))</f>
        <v/>
      </c>
    </row>
    <row r="857">
      <c r="A857" s="31">
        <f>IF(J857="E",IF(INDEX(Transaksi!$J$2:$J$2001,K857)&gt;0,"↑","↓"),"")</f>
        <v/>
      </c>
      <c r="B857" s="32">
        <f>IF(J857="H",CHOOSE(WEEKDAY(T857,2),"Isnin","Selasa","Rabu","Khamis","Jumaat","Sabtu","Ahad")&amp;", "&amp;DAY(T857)&amp;" "&amp;CHOOSE(MONTH(T857),"Jan","Feb","Mac","Apr","Mei","Jun","Jul","Ogo","Sep","Okt","Nov","Dis")&amp;" "&amp;YEAR(T857),IF(J857="E",IF(INDEX(Transaksi!$B$2:$B$2001,K857)="",INDEX(Transaksi!$C$2:$C$2001,K857)&amp;" · "&amp;INDEX(Transaksi!$D$2:$D$2001,K857),INDEX(Transaksi!$B$2:$B$2001,K857)),""))</f>
        <v/>
      </c>
      <c r="C857" s="32">
        <f>IF(J857="E",INDEX(Transaksi!$C$2:$C$2001,K857)&amp;"","")</f>
        <v/>
      </c>
      <c r="D857" s="32">
        <f>IF(J857="E",INDEX(Transaksi!$D$2:$D$2001,K857)&amp;"","")</f>
        <v/>
      </c>
      <c r="E857" s="33">
        <f>IF(J857="H",SUMIFS(Transaksi!$G$2:$G$2001,Transaksi!$M$2:$M$2001,"="&amp;S857)+SUMIFS(Transaksi!$H$2:$H$2001,Transaksi!$M$2:$M$2001,"="&amp;S857)+SUMIFS(Transaksi!$I$2:$I$2001,Transaksi!$M$2:$M$2001,"="&amp;S857),IF(J857="E",IF(INDEX(Transaksi!$G$2:$G$2001,K857)+INDEX(Transaksi!$H$2:$H$2001,K857)+INDEX(Transaksi!$I$2:$I$2001,K857)=0,"",INDEX(Transaksi!$G$2:$G$2001,K857)+INDEX(Transaksi!$H$2:$H$2001,K857)+INDEX(Transaksi!$I$2:$I$2001,K857)),""))</f>
        <v/>
      </c>
      <c r="F857" s="33">
        <f>IF(J857="H",SUMIFS(Transaksi!$J$2:$J$2001,Transaksi!$M$2:$M$2001,"="&amp;S857),IF(J857="E",IF(INDEX(Transaksi!$J$2:$J$2001,K857)=0,"",INDEX(Transaksi!$J$2:$J$2001,K857)),""))</f>
        <v/>
      </c>
      <c r="G857" s="33">
        <f>IF(J857="H",(SUMIFS(Transaksi!$G$2:$G$2001,Transaksi!$M$2:$M$2001,"&lt;="&amp;S857)+SUMIFS(Transaksi!$H$2:$H$2001,Transaksi!$M$2:$M$2001,"&lt;="&amp;S857)+SUMIFS(Transaksi!$I$2:$I$2001,Transaksi!$M$2:$M$2001,"&lt;="&amp;S857))-(SUMIFS(Transaksi!$J$2:$J$2001,Transaksi!$M$2:$M$2001,"&lt;="&amp;S857)),"")</f>
        <v/>
      </c>
      <c r="I857">
        <f>IF(854&gt;$O$2,"",MATCH(854,$Q$3:$Q$402,1))</f>
        <v/>
      </c>
      <c r="J857">
        <f>IF(I857="","",IF(854=INDEX($Q$3:$Q$402,I857),"H","E"))</f>
        <v/>
      </c>
      <c r="K857">
        <f>IF(J857&lt;&gt;"E","",MATCH(S857,Transaksi!$M$2:$M$2001,0)+854-INDEX($Q$3:$Q$402,I857)-1)</f>
        <v/>
      </c>
      <c r="S857">
        <f>IF(I857="","",INDEX($O$3:$O$402,I857))</f>
        <v/>
      </c>
      <c r="T857">
        <f>IF(J857&lt;&gt;"H","",INDEX(Transaksi!$A$2:$A$2001,MATCH(S857,Transaksi!$M$2:$M$2001,0)))</f>
        <v/>
      </c>
    </row>
    <row r="858">
      <c r="A858" s="31">
        <f>IF(J858="E",IF(INDEX(Transaksi!$J$2:$J$2001,K858)&gt;0,"↑","↓"),"")</f>
        <v/>
      </c>
      <c r="B858" s="32">
        <f>IF(J858="H",CHOOSE(WEEKDAY(T858,2),"Isnin","Selasa","Rabu","Khamis","Jumaat","Sabtu","Ahad")&amp;", "&amp;DAY(T858)&amp;" "&amp;CHOOSE(MONTH(T858),"Jan","Feb","Mac","Apr","Mei","Jun","Jul","Ogo","Sep","Okt","Nov","Dis")&amp;" "&amp;YEAR(T858),IF(J858="E",IF(INDEX(Transaksi!$B$2:$B$2001,K858)="",INDEX(Transaksi!$C$2:$C$2001,K858)&amp;" · "&amp;INDEX(Transaksi!$D$2:$D$2001,K858),INDEX(Transaksi!$B$2:$B$2001,K858)),""))</f>
        <v/>
      </c>
      <c r="C858" s="32">
        <f>IF(J858="E",INDEX(Transaksi!$C$2:$C$2001,K858)&amp;"","")</f>
        <v/>
      </c>
      <c r="D858" s="32">
        <f>IF(J858="E",INDEX(Transaksi!$D$2:$D$2001,K858)&amp;"","")</f>
        <v/>
      </c>
      <c r="E858" s="33">
        <f>IF(J858="H",SUMIFS(Transaksi!$G$2:$G$2001,Transaksi!$M$2:$M$2001,"="&amp;S858)+SUMIFS(Transaksi!$H$2:$H$2001,Transaksi!$M$2:$M$2001,"="&amp;S858)+SUMIFS(Transaksi!$I$2:$I$2001,Transaksi!$M$2:$M$2001,"="&amp;S858),IF(J858="E",IF(INDEX(Transaksi!$G$2:$G$2001,K858)+INDEX(Transaksi!$H$2:$H$2001,K858)+INDEX(Transaksi!$I$2:$I$2001,K858)=0,"",INDEX(Transaksi!$G$2:$G$2001,K858)+INDEX(Transaksi!$H$2:$H$2001,K858)+INDEX(Transaksi!$I$2:$I$2001,K858)),""))</f>
        <v/>
      </c>
      <c r="F858" s="33">
        <f>IF(J858="H",SUMIFS(Transaksi!$J$2:$J$2001,Transaksi!$M$2:$M$2001,"="&amp;S858),IF(J858="E",IF(INDEX(Transaksi!$J$2:$J$2001,K858)=0,"",INDEX(Transaksi!$J$2:$J$2001,K858)),""))</f>
        <v/>
      </c>
      <c r="G858" s="33">
        <f>IF(J858="H",(SUMIFS(Transaksi!$G$2:$G$2001,Transaksi!$M$2:$M$2001,"&lt;="&amp;S858)+SUMIFS(Transaksi!$H$2:$H$2001,Transaksi!$M$2:$M$2001,"&lt;="&amp;S858)+SUMIFS(Transaksi!$I$2:$I$2001,Transaksi!$M$2:$M$2001,"&lt;="&amp;S858))-(SUMIFS(Transaksi!$J$2:$J$2001,Transaksi!$M$2:$M$2001,"&lt;="&amp;S858)),"")</f>
        <v/>
      </c>
      <c r="I858">
        <f>IF(855&gt;$O$2,"",MATCH(855,$Q$3:$Q$402,1))</f>
        <v/>
      </c>
      <c r="J858">
        <f>IF(I858="","",IF(855=INDEX($Q$3:$Q$402,I858),"H","E"))</f>
        <v/>
      </c>
      <c r="K858">
        <f>IF(J858&lt;&gt;"E","",MATCH(S858,Transaksi!$M$2:$M$2001,0)+855-INDEX($Q$3:$Q$402,I858)-1)</f>
        <v/>
      </c>
      <c r="S858">
        <f>IF(I858="","",INDEX($O$3:$O$402,I858))</f>
        <v/>
      </c>
      <c r="T858">
        <f>IF(J858&lt;&gt;"H","",INDEX(Transaksi!$A$2:$A$2001,MATCH(S858,Transaksi!$M$2:$M$2001,0)))</f>
        <v/>
      </c>
    </row>
    <row r="859">
      <c r="A859" s="31">
        <f>IF(J859="E",IF(INDEX(Transaksi!$J$2:$J$2001,K859)&gt;0,"↑","↓"),"")</f>
        <v/>
      </c>
      <c r="B859" s="32">
        <f>IF(J859="H",CHOOSE(WEEKDAY(T859,2),"Isnin","Selasa","Rabu","Khamis","Jumaat","Sabtu","Ahad")&amp;", "&amp;DAY(T859)&amp;" "&amp;CHOOSE(MONTH(T859),"Jan","Feb","Mac","Apr","Mei","Jun","Jul","Ogo","Sep","Okt","Nov","Dis")&amp;" "&amp;YEAR(T859),IF(J859="E",IF(INDEX(Transaksi!$B$2:$B$2001,K859)="",INDEX(Transaksi!$C$2:$C$2001,K859)&amp;" · "&amp;INDEX(Transaksi!$D$2:$D$2001,K859),INDEX(Transaksi!$B$2:$B$2001,K859)),""))</f>
        <v/>
      </c>
      <c r="C859" s="32">
        <f>IF(J859="E",INDEX(Transaksi!$C$2:$C$2001,K859)&amp;"","")</f>
        <v/>
      </c>
      <c r="D859" s="32">
        <f>IF(J859="E",INDEX(Transaksi!$D$2:$D$2001,K859)&amp;"","")</f>
        <v/>
      </c>
      <c r="E859" s="33">
        <f>IF(J859="H",SUMIFS(Transaksi!$G$2:$G$2001,Transaksi!$M$2:$M$2001,"="&amp;S859)+SUMIFS(Transaksi!$H$2:$H$2001,Transaksi!$M$2:$M$2001,"="&amp;S859)+SUMIFS(Transaksi!$I$2:$I$2001,Transaksi!$M$2:$M$2001,"="&amp;S859),IF(J859="E",IF(INDEX(Transaksi!$G$2:$G$2001,K859)+INDEX(Transaksi!$H$2:$H$2001,K859)+INDEX(Transaksi!$I$2:$I$2001,K859)=0,"",INDEX(Transaksi!$G$2:$G$2001,K859)+INDEX(Transaksi!$H$2:$H$2001,K859)+INDEX(Transaksi!$I$2:$I$2001,K859)),""))</f>
        <v/>
      </c>
      <c r="F859" s="33">
        <f>IF(J859="H",SUMIFS(Transaksi!$J$2:$J$2001,Transaksi!$M$2:$M$2001,"="&amp;S859),IF(J859="E",IF(INDEX(Transaksi!$J$2:$J$2001,K859)=0,"",INDEX(Transaksi!$J$2:$J$2001,K859)),""))</f>
        <v/>
      </c>
      <c r="G859" s="33">
        <f>IF(J859="H",(SUMIFS(Transaksi!$G$2:$G$2001,Transaksi!$M$2:$M$2001,"&lt;="&amp;S859)+SUMIFS(Transaksi!$H$2:$H$2001,Transaksi!$M$2:$M$2001,"&lt;="&amp;S859)+SUMIFS(Transaksi!$I$2:$I$2001,Transaksi!$M$2:$M$2001,"&lt;="&amp;S859))-(SUMIFS(Transaksi!$J$2:$J$2001,Transaksi!$M$2:$M$2001,"&lt;="&amp;S859)),"")</f>
        <v/>
      </c>
      <c r="I859">
        <f>IF(856&gt;$O$2,"",MATCH(856,$Q$3:$Q$402,1))</f>
        <v/>
      </c>
      <c r="J859">
        <f>IF(I859="","",IF(856=INDEX($Q$3:$Q$402,I859),"H","E"))</f>
        <v/>
      </c>
      <c r="K859">
        <f>IF(J859&lt;&gt;"E","",MATCH(S859,Transaksi!$M$2:$M$2001,0)+856-INDEX($Q$3:$Q$402,I859)-1)</f>
        <v/>
      </c>
      <c r="S859">
        <f>IF(I859="","",INDEX($O$3:$O$402,I859))</f>
        <v/>
      </c>
      <c r="T859">
        <f>IF(J859&lt;&gt;"H","",INDEX(Transaksi!$A$2:$A$2001,MATCH(S859,Transaksi!$M$2:$M$2001,0)))</f>
        <v/>
      </c>
    </row>
    <row r="860">
      <c r="A860" s="31">
        <f>IF(J860="E",IF(INDEX(Transaksi!$J$2:$J$2001,K860)&gt;0,"↑","↓"),"")</f>
        <v/>
      </c>
      <c r="B860" s="32">
        <f>IF(J860="H",CHOOSE(WEEKDAY(T860,2),"Isnin","Selasa","Rabu","Khamis","Jumaat","Sabtu","Ahad")&amp;", "&amp;DAY(T860)&amp;" "&amp;CHOOSE(MONTH(T860),"Jan","Feb","Mac","Apr","Mei","Jun","Jul","Ogo","Sep","Okt","Nov","Dis")&amp;" "&amp;YEAR(T860),IF(J860="E",IF(INDEX(Transaksi!$B$2:$B$2001,K860)="",INDEX(Transaksi!$C$2:$C$2001,K860)&amp;" · "&amp;INDEX(Transaksi!$D$2:$D$2001,K860),INDEX(Transaksi!$B$2:$B$2001,K860)),""))</f>
        <v/>
      </c>
      <c r="C860" s="32">
        <f>IF(J860="E",INDEX(Transaksi!$C$2:$C$2001,K860)&amp;"","")</f>
        <v/>
      </c>
      <c r="D860" s="32">
        <f>IF(J860="E",INDEX(Transaksi!$D$2:$D$2001,K860)&amp;"","")</f>
        <v/>
      </c>
      <c r="E860" s="33">
        <f>IF(J860="H",SUMIFS(Transaksi!$G$2:$G$2001,Transaksi!$M$2:$M$2001,"="&amp;S860)+SUMIFS(Transaksi!$H$2:$H$2001,Transaksi!$M$2:$M$2001,"="&amp;S860)+SUMIFS(Transaksi!$I$2:$I$2001,Transaksi!$M$2:$M$2001,"="&amp;S860),IF(J860="E",IF(INDEX(Transaksi!$G$2:$G$2001,K860)+INDEX(Transaksi!$H$2:$H$2001,K860)+INDEX(Transaksi!$I$2:$I$2001,K860)=0,"",INDEX(Transaksi!$G$2:$G$2001,K860)+INDEX(Transaksi!$H$2:$H$2001,K860)+INDEX(Transaksi!$I$2:$I$2001,K860)),""))</f>
        <v/>
      </c>
      <c r="F860" s="33">
        <f>IF(J860="H",SUMIFS(Transaksi!$J$2:$J$2001,Transaksi!$M$2:$M$2001,"="&amp;S860),IF(J860="E",IF(INDEX(Transaksi!$J$2:$J$2001,K860)=0,"",INDEX(Transaksi!$J$2:$J$2001,K860)),""))</f>
        <v/>
      </c>
      <c r="G860" s="33">
        <f>IF(J860="H",(SUMIFS(Transaksi!$G$2:$G$2001,Transaksi!$M$2:$M$2001,"&lt;="&amp;S860)+SUMIFS(Transaksi!$H$2:$H$2001,Transaksi!$M$2:$M$2001,"&lt;="&amp;S860)+SUMIFS(Transaksi!$I$2:$I$2001,Transaksi!$M$2:$M$2001,"&lt;="&amp;S860))-(SUMIFS(Transaksi!$J$2:$J$2001,Transaksi!$M$2:$M$2001,"&lt;="&amp;S860)),"")</f>
        <v/>
      </c>
      <c r="I860">
        <f>IF(857&gt;$O$2,"",MATCH(857,$Q$3:$Q$402,1))</f>
        <v/>
      </c>
      <c r="J860">
        <f>IF(I860="","",IF(857=INDEX($Q$3:$Q$402,I860),"H","E"))</f>
        <v/>
      </c>
      <c r="K860">
        <f>IF(J860&lt;&gt;"E","",MATCH(S860,Transaksi!$M$2:$M$2001,0)+857-INDEX($Q$3:$Q$402,I860)-1)</f>
        <v/>
      </c>
      <c r="S860">
        <f>IF(I860="","",INDEX($O$3:$O$402,I860))</f>
        <v/>
      </c>
      <c r="T860">
        <f>IF(J860&lt;&gt;"H","",INDEX(Transaksi!$A$2:$A$2001,MATCH(S860,Transaksi!$M$2:$M$2001,0)))</f>
        <v/>
      </c>
    </row>
    <row r="861">
      <c r="A861" s="31">
        <f>IF(J861="E",IF(INDEX(Transaksi!$J$2:$J$2001,K861)&gt;0,"↑","↓"),"")</f>
        <v/>
      </c>
      <c r="B861" s="32">
        <f>IF(J861="H",CHOOSE(WEEKDAY(T861,2),"Isnin","Selasa","Rabu","Khamis","Jumaat","Sabtu","Ahad")&amp;", "&amp;DAY(T861)&amp;" "&amp;CHOOSE(MONTH(T861),"Jan","Feb","Mac","Apr","Mei","Jun","Jul","Ogo","Sep","Okt","Nov","Dis")&amp;" "&amp;YEAR(T861),IF(J861="E",IF(INDEX(Transaksi!$B$2:$B$2001,K861)="",INDEX(Transaksi!$C$2:$C$2001,K861)&amp;" · "&amp;INDEX(Transaksi!$D$2:$D$2001,K861),INDEX(Transaksi!$B$2:$B$2001,K861)),""))</f>
        <v/>
      </c>
      <c r="C861" s="32">
        <f>IF(J861="E",INDEX(Transaksi!$C$2:$C$2001,K861)&amp;"","")</f>
        <v/>
      </c>
      <c r="D861" s="32">
        <f>IF(J861="E",INDEX(Transaksi!$D$2:$D$2001,K861)&amp;"","")</f>
        <v/>
      </c>
      <c r="E861" s="33">
        <f>IF(J861="H",SUMIFS(Transaksi!$G$2:$G$2001,Transaksi!$M$2:$M$2001,"="&amp;S861)+SUMIFS(Transaksi!$H$2:$H$2001,Transaksi!$M$2:$M$2001,"="&amp;S861)+SUMIFS(Transaksi!$I$2:$I$2001,Transaksi!$M$2:$M$2001,"="&amp;S861),IF(J861="E",IF(INDEX(Transaksi!$G$2:$G$2001,K861)+INDEX(Transaksi!$H$2:$H$2001,K861)+INDEX(Transaksi!$I$2:$I$2001,K861)=0,"",INDEX(Transaksi!$G$2:$G$2001,K861)+INDEX(Transaksi!$H$2:$H$2001,K861)+INDEX(Transaksi!$I$2:$I$2001,K861)),""))</f>
        <v/>
      </c>
      <c r="F861" s="33">
        <f>IF(J861="H",SUMIFS(Transaksi!$J$2:$J$2001,Transaksi!$M$2:$M$2001,"="&amp;S861),IF(J861="E",IF(INDEX(Transaksi!$J$2:$J$2001,K861)=0,"",INDEX(Transaksi!$J$2:$J$2001,K861)),""))</f>
        <v/>
      </c>
      <c r="G861" s="33">
        <f>IF(J861="H",(SUMIFS(Transaksi!$G$2:$G$2001,Transaksi!$M$2:$M$2001,"&lt;="&amp;S861)+SUMIFS(Transaksi!$H$2:$H$2001,Transaksi!$M$2:$M$2001,"&lt;="&amp;S861)+SUMIFS(Transaksi!$I$2:$I$2001,Transaksi!$M$2:$M$2001,"&lt;="&amp;S861))-(SUMIFS(Transaksi!$J$2:$J$2001,Transaksi!$M$2:$M$2001,"&lt;="&amp;S861)),"")</f>
        <v/>
      </c>
      <c r="I861">
        <f>IF(858&gt;$O$2,"",MATCH(858,$Q$3:$Q$402,1))</f>
        <v/>
      </c>
      <c r="J861">
        <f>IF(I861="","",IF(858=INDEX($Q$3:$Q$402,I861),"H","E"))</f>
        <v/>
      </c>
      <c r="K861">
        <f>IF(J861&lt;&gt;"E","",MATCH(S861,Transaksi!$M$2:$M$2001,0)+858-INDEX($Q$3:$Q$402,I861)-1)</f>
        <v/>
      </c>
      <c r="S861">
        <f>IF(I861="","",INDEX($O$3:$O$402,I861))</f>
        <v/>
      </c>
      <c r="T861">
        <f>IF(J861&lt;&gt;"H","",INDEX(Transaksi!$A$2:$A$2001,MATCH(S861,Transaksi!$M$2:$M$2001,0)))</f>
        <v/>
      </c>
    </row>
    <row r="862">
      <c r="A862" s="31">
        <f>IF(J862="E",IF(INDEX(Transaksi!$J$2:$J$2001,K862)&gt;0,"↑","↓"),"")</f>
        <v/>
      </c>
      <c r="B862" s="32">
        <f>IF(J862="H",CHOOSE(WEEKDAY(T862,2),"Isnin","Selasa","Rabu","Khamis","Jumaat","Sabtu","Ahad")&amp;", "&amp;DAY(T862)&amp;" "&amp;CHOOSE(MONTH(T862),"Jan","Feb","Mac","Apr","Mei","Jun","Jul","Ogo","Sep","Okt","Nov","Dis")&amp;" "&amp;YEAR(T862),IF(J862="E",IF(INDEX(Transaksi!$B$2:$B$2001,K862)="",INDEX(Transaksi!$C$2:$C$2001,K862)&amp;" · "&amp;INDEX(Transaksi!$D$2:$D$2001,K862),INDEX(Transaksi!$B$2:$B$2001,K862)),""))</f>
        <v/>
      </c>
      <c r="C862" s="32">
        <f>IF(J862="E",INDEX(Transaksi!$C$2:$C$2001,K862)&amp;"","")</f>
        <v/>
      </c>
      <c r="D862" s="32">
        <f>IF(J862="E",INDEX(Transaksi!$D$2:$D$2001,K862)&amp;"","")</f>
        <v/>
      </c>
      <c r="E862" s="33">
        <f>IF(J862="H",SUMIFS(Transaksi!$G$2:$G$2001,Transaksi!$M$2:$M$2001,"="&amp;S862)+SUMIFS(Transaksi!$H$2:$H$2001,Transaksi!$M$2:$M$2001,"="&amp;S862)+SUMIFS(Transaksi!$I$2:$I$2001,Transaksi!$M$2:$M$2001,"="&amp;S862),IF(J862="E",IF(INDEX(Transaksi!$G$2:$G$2001,K862)+INDEX(Transaksi!$H$2:$H$2001,K862)+INDEX(Transaksi!$I$2:$I$2001,K862)=0,"",INDEX(Transaksi!$G$2:$G$2001,K862)+INDEX(Transaksi!$H$2:$H$2001,K862)+INDEX(Transaksi!$I$2:$I$2001,K862)),""))</f>
        <v/>
      </c>
      <c r="F862" s="33">
        <f>IF(J862="H",SUMIFS(Transaksi!$J$2:$J$2001,Transaksi!$M$2:$M$2001,"="&amp;S862),IF(J862="E",IF(INDEX(Transaksi!$J$2:$J$2001,K862)=0,"",INDEX(Transaksi!$J$2:$J$2001,K862)),""))</f>
        <v/>
      </c>
      <c r="G862" s="33">
        <f>IF(J862="H",(SUMIFS(Transaksi!$G$2:$G$2001,Transaksi!$M$2:$M$2001,"&lt;="&amp;S862)+SUMIFS(Transaksi!$H$2:$H$2001,Transaksi!$M$2:$M$2001,"&lt;="&amp;S862)+SUMIFS(Transaksi!$I$2:$I$2001,Transaksi!$M$2:$M$2001,"&lt;="&amp;S862))-(SUMIFS(Transaksi!$J$2:$J$2001,Transaksi!$M$2:$M$2001,"&lt;="&amp;S862)),"")</f>
        <v/>
      </c>
      <c r="I862">
        <f>IF(859&gt;$O$2,"",MATCH(859,$Q$3:$Q$402,1))</f>
        <v/>
      </c>
      <c r="J862">
        <f>IF(I862="","",IF(859=INDEX($Q$3:$Q$402,I862),"H","E"))</f>
        <v/>
      </c>
      <c r="K862">
        <f>IF(J862&lt;&gt;"E","",MATCH(S862,Transaksi!$M$2:$M$2001,0)+859-INDEX($Q$3:$Q$402,I862)-1)</f>
        <v/>
      </c>
      <c r="S862">
        <f>IF(I862="","",INDEX($O$3:$O$402,I862))</f>
        <v/>
      </c>
      <c r="T862">
        <f>IF(J862&lt;&gt;"H","",INDEX(Transaksi!$A$2:$A$2001,MATCH(S862,Transaksi!$M$2:$M$2001,0)))</f>
        <v/>
      </c>
    </row>
    <row r="863">
      <c r="A863" s="31">
        <f>IF(J863="E",IF(INDEX(Transaksi!$J$2:$J$2001,K863)&gt;0,"↑","↓"),"")</f>
        <v/>
      </c>
      <c r="B863" s="32">
        <f>IF(J863="H",CHOOSE(WEEKDAY(T863,2),"Isnin","Selasa","Rabu","Khamis","Jumaat","Sabtu","Ahad")&amp;", "&amp;DAY(T863)&amp;" "&amp;CHOOSE(MONTH(T863),"Jan","Feb","Mac","Apr","Mei","Jun","Jul","Ogo","Sep","Okt","Nov","Dis")&amp;" "&amp;YEAR(T863),IF(J863="E",IF(INDEX(Transaksi!$B$2:$B$2001,K863)="",INDEX(Transaksi!$C$2:$C$2001,K863)&amp;" · "&amp;INDEX(Transaksi!$D$2:$D$2001,K863),INDEX(Transaksi!$B$2:$B$2001,K863)),""))</f>
        <v/>
      </c>
      <c r="C863" s="32">
        <f>IF(J863="E",INDEX(Transaksi!$C$2:$C$2001,K863)&amp;"","")</f>
        <v/>
      </c>
      <c r="D863" s="32">
        <f>IF(J863="E",INDEX(Transaksi!$D$2:$D$2001,K863)&amp;"","")</f>
        <v/>
      </c>
      <c r="E863" s="33">
        <f>IF(J863="H",SUMIFS(Transaksi!$G$2:$G$2001,Transaksi!$M$2:$M$2001,"="&amp;S863)+SUMIFS(Transaksi!$H$2:$H$2001,Transaksi!$M$2:$M$2001,"="&amp;S863)+SUMIFS(Transaksi!$I$2:$I$2001,Transaksi!$M$2:$M$2001,"="&amp;S863),IF(J863="E",IF(INDEX(Transaksi!$G$2:$G$2001,K863)+INDEX(Transaksi!$H$2:$H$2001,K863)+INDEX(Transaksi!$I$2:$I$2001,K863)=0,"",INDEX(Transaksi!$G$2:$G$2001,K863)+INDEX(Transaksi!$H$2:$H$2001,K863)+INDEX(Transaksi!$I$2:$I$2001,K863)),""))</f>
        <v/>
      </c>
      <c r="F863" s="33">
        <f>IF(J863="H",SUMIFS(Transaksi!$J$2:$J$2001,Transaksi!$M$2:$M$2001,"="&amp;S863),IF(J863="E",IF(INDEX(Transaksi!$J$2:$J$2001,K863)=0,"",INDEX(Transaksi!$J$2:$J$2001,K863)),""))</f>
        <v/>
      </c>
      <c r="G863" s="33">
        <f>IF(J863="H",(SUMIFS(Transaksi!$G$2:$G$2001,Transaksi!$M$2:$M$2001,"&lt;="&amp;S863)+SUMIFS(Transaksi!$H$2:$H$2001,Transaksi!$M$2:$M$2001,"&lt;="&amp;S863)+SUMIFS(Transaksi!$I$2:$I$2001,Transaksi!$M$2:$M$2001,"&lt;="&amp;S863))-(SUMIFS(Transaksi!$J$2:$J$2001,Transaksi!$M$2:$M$2001,"&lt;="&amp;S863)),"")</f>
        <v/>
      </c>
      <c r="I863">
        <f>IF(860&gt;$O$2,"",MATCH(860,$Q$3:$Q$402,1))</f>
        <v/>
      </c>
      <c r="J863">
        <f>IF(I863="","",IF(860=INDEX($Q$3:$Q$402,I863),"H","E"))</f>
        <v/>
      </c>
      <c r="K863">
        <f>IF(J863&lt;&gt;"E","",MATCH(S863,Transaksi!$M$2:$M$2001,0)+860-INDEX($Q$3:$Q$402,I863)-1)</f>
        <v/>
      </c>
      <c r="S863">
        <f>IF(I863="","",INDEX($O$3:$O$402,I863))</f>
        <v/>
      </c>
      <c r="T863">
        <f>IF(J863&lt;&gt;"H","",INDEX(Transaksi!$A$2:$A$2001,MATCH(S863,Transaksi!$M$2:$M$2001,0)))</f>
        <v/>
      </c>
    </row>
    <row r="864">
      <c r="A864" s="31">
        <f>IF(J864="E",IF(INDEX(Transaksi!$J$2:$J$2001,K864)&gt;0,"↑","↓"),"")</f>
        <v/>
      </c>
      <c r="B864" s="32">
        <f>IF(J864="H",CHOOSE(WEEKDAY(T864,2),"Isnin","Selasa","Rabu","Khamis","Jumaat","Sabtu","Ahad")&amp;", "&amp;DAY(T864)&amp;" "&amp;CHOOSE(MONTH(T864),"Jan","Feb","Mac","Apr","Mei","Jun","Jul","Ogo","Sep","Okt","Nov","Dis")&amp;" "&amp;YEAR(T864),IF(J864="E",IF(INDEX(Transaksi!$B$2:$B$2001,K864)="",INDEX(Transaksi!$C$2:$C$2001,K864)&amp;" · "&amp;INDEX(Transaksi!$D$2:$D$2001,K864),INDEX(Transaksi!$B$2:$B$2001,K864)),""))</f>
        <v/>
      </c>
      <c r="C864" s="32">
        <f>IF(J864="E",INDEX(Transaksi!$C$2:$C$2001,K864)&amp;"","")</f>
        <v/>
      </c>
      <c r="D864" s="32">
        <f>IF(J864="E",INDEX(Transaksi!$D$2:$D$2001,K864)&amp;"","")</f>
        <v/>
      </c>
      <c r="E864" s="33">
        <f>IF(J864="H",SUMIFS(Transaksi!$G$2:$G$2001,Transaksi!$M$2:$M$2001,"="&amp;S864)+SUMIFS(Transaksi!$H$2:$H$2001,Transaksi!$M$2:$M$2001,"="&amp;S864)+SUMIFS(Transaksi!$I$2:$I$2001,Transaksi!$M$2:$M$2001,"="&amp;S864),IF(J864="E",IF(INDEX(Transaksi!$G$2:$G$2001,K864)+INDEX(Transaksi!$H$2:$H$2001,K864)+INDEX(Transaksi!$I$2:$I$2001,K864)=0,"",INDEX(Transaksi!$G$2:$G$2001,K864)+INDEX(Transaksi!$H$2:$H$2001,K864)+INDEX(Transaksi!$I$2:$I$2001,K864)),""))</f>
        <v/>
      </c>
      <c r="F864" s="33">
        <f>IF(J864="H",SUMIFS(Transaksi!$J$2:$J$2001,Transaksi!$M$2:$M$2001,"="&amp;S864),IF(J864="E",IF(INDEX(Transaksi!$J$2:$J$2001,K864)=0,"",INDEX(Transaksi!$J$2:$J$2001,K864)),""))</f>
        <v/>
      </c>
      <c r="G864" s="33">
        <f>IF(J864="H",(SUMIFS(Transaksi!$G$2:$G$2001,Transaksi!$M$2:$M$2001,"&lt;="&amp;S864)+SUMIFS(Transaksi!$H$2:$H$2001,Transaksi!$M$2:$M$2001,"&lt;="&amp;S864)+SUMIFS(Transaksi!$I$2:$I$2001,Transaksi!$M$2:$M$2001,"&lt;="&amp;S864))-(SUMIFS(Transaksi!$J$2:$J$2001,Transaksi!$M$2:$M$2001,"&lt;="&amp;S864)),"")</f>
        <v/>
      </c>
      <c r="I864">
        <f>IF(861&gt;$O$2,"",MATCH(861,$Q$3:$Q$402,1))</f>
        <v/>
      </c>
      <c r="J864">
        <f>IF(I864="","",IF(861=INDEX($Q$3:$Q$402,I864),"H","E"))</f>
        <v/>
      </c>
      <c r="K864">
        <f>IF(J864&lt;&gt;"E","",MATCH(S864,Transaksi!$M$2:$M$2001,0)+861-INDEX($Q$3:$Q$402,I864)-1)</f>
        <v/>
      </c>
      <c r="S864">
        <f>IF(I864="","",INDEX($O$3:$O$402,I864))</f>
        <v/>
      </c>
      <c r="T864">
        <f>IF(J864&lt;&gt;"H","",INDEX(Transaksi!$A$2:$A$2001,MATCH(S864,Transaksi!$M$2:$M$2001,0)))</f>
        <v/>
      </c>
    </row>
    <row r="865">
      <c r="A865" s="31">
        <f>IF(J865="E",IF(INDEX(Transaksi!$J$2:$J$2001,K865)&gt;0,"↑","↓"),"")</f>
        <v/>
      </c>
      <c r="B865" s="32">
        <f>IF(J865="H",CHOOSE(WEEKDAY(T865,2),"Isnin","Selasa","Rabu","Khamis","Jumaat","Sabtu","Ahad")&amp;", "&amp;DAY(T865)&amp;" "&amp;CHOOSE(MONTH(T865),"Jan","Feb","Mac","Apr","Mei","Jun","Jul","Ogo","Sep","Okt","Nov","Dis")&amp;" "&amp;YEAR(T865),IF(J865="E",IF(INDEX(Transaksi!$B$2:$B$2001,K865)="",INDEX(Transaksi!$C$2:$C$2001,K865)&amp;" · "&amp;INDEX(Transaksi!$D$2:$D$2001,K865),INDEX(Transaksi!$B$2:$B$2001,K865)),""))</f>
        <v/>
      </c>
      <c r="C865" s="32">
        <f>IF(J865="E",INDEX(Transaksi!$C$2:$C$2001,K865)&amp;"","")</f>
        <v/>
      </c>
      <c r="D865" s="32">
        <f>IF(J865="E",INDEX(Transaksi!$D$2:$D$2001,K865)&amp;"","")</f>
        <v/>
      </c>
      <c r="E865" s="33">
        <f>IF(J865="H",SUMIFS(Transaksi!$G$2:$G$2001,Transaksi!$M$2:$M$2001,"="&amp;S865)+SUMIFS(Transaksi!$H$2:$H$2001,Transaksi!$M$2:$M$2001,"="&amp;S865)+SUMIFS(Transaksi!$I$2:$I$2001,Transaksi!$M$2:$M$2001,"="&amp;S865),IF(J865="E",IF(INDEX(Transaksi!$G$2:$G$2001,K865)+INDEX(Transaksi!$H$2:$H$2001,K865)+INDEX(Transaksi!$I$2:$I$2001,K865)=0,"",INDEX(Transaksi!$G$2:$G$2001,K865)+INDEX(Transaksi!$H$2:$H$2001,K865)+INDEX(Transaksi!$I$2:$I$2001,K865)),""))</f>
        <v/>
      </c>
      <c r="F865" s="33">
        <f>IF(J865="H",SUMIFS(Transaksi!$J$2:$J$2001,Transaksi!$M$2:$M$2001,"="&amp;S865),IF(J865="E",IF(INDEX(Transaksi!$J$2:$J$2001,K865)=0,"",INDEX(Transaksi!$J$2:$J$2001,K865)),""))</f>
        <v/>
      </c>
      <c r="G865" s="33">
        <f>IF(J865="H",(SUMIFS(Transaksi!$G$2:$G$2001,Transaksi!$M$2:$M$2001,"&lt;="&amp;S865)+SUMIFS(Transaksi!$H$2:$H$2001,Transaksi!$M$2:$M$2001,"&lt;="&amp;S865)+SUMIFS(Transaksi!$I$2:$I$2001,Transaksi!$M$2:$M$2001,"&lt;="&amp;S865))-(SUMIFS(Transaksi!$J$2:$J$2001,Transaksi!$M$2:$M$2001,"&lt;="&amp;S865)),"")</f>
        <v/>
      </c>
      <c r="I865">
        <f>IF(862&gt;$O$2,"",MATCH(862,$Q$3:$Q$402,1))</f>
        <v/>
      </c>
      <c r="J865">
        <f>IF(I865="","",IF(862=INDEX($Q$3:$Q$402,I865),"H","E"))</f>
        <v/>
      </c>
      <c r="K865">
        <f>IF(J865&lt;&gt;"E","",MATCH(S865,Transaksi!$M$2:$M$2001,0)+862-INDEX($Q$3:$Q$402,I865)-1)</f>
        <v/>
      </c>
      <c r="S865">
        <f>IF(I865="","",INDEX($O$3:$O$402,I865))</f>
        <v/>
      </c>
      <c r="T865">
        <f>IF(J865&lt;&gt;"H","",INDEX(Transaksi!$A$2:$A$2001,MATCH(S865,Transaksi!$M$2:$M$2001,0)))</f>
        <v/>
      </c>
    </row>
    <row r="866">
      <c r="A866" s="31">
        <f>IF(J866="E",IF(INDEX(Transaksi!$J$2:$J$2001,K866)&gt;0,"↑","↓"),"")</f>
        <v/>
      </c>
      <c r="B866" s="32">
        <f>IF(J866="H",CHOOSE(WEEKDAY(T866,2),"Isnin","Selasa","Rabu","Khamis","Jumaat","Sabtu","Ahad")&amp;", "&amp;DAY(T866)&amp;" "&amp;CHOOSE(MONTH(T866),"Jan","Feb","Mac","Apr","Mei","Jun","Jul","Ogo","Sep","Okt","Nov","Dis")&amp;" "&amp;YEAR(T866),IF(J866="E",IF(INDEX(Transaksi!$B$2:$B$2001,K866)="",INDEX(Transaksi!$C$2:$C$2001,K866)&amp;" · "&amp;INDEX(Transaksi!$D$2:$D$2001,K866),INDEX(Transaksi!$B$2:$B$2001,K866)),""))</f>
        <v/>
      </c>
      <c r="C866" s="32">
        <f>IF(J866="E",INDEX(Transaksi!$C$2:$C$2001,K866)&amp;"","")</f>
        <v/>
      </c>
      <c r="D866" s="32">
        <f>IF(J866="E",INDEX(Transaksi!$D$2:$D$2001,K866)&amp;"","")</f>
        <v/>
      </c>
      <c r="E866" s="33">
        <f>IF(J866="H",SUMIFS(Transaksi!$G$2:$G$2001,Transaksi!$M$2:$M$2001,"="&amp;S866)+SUMIFS(Transaksi!$H$2:$H$2001,Transaksi!$M$2:$M$2001,"="&amp;S866)+SUMIFS(Transaksi!$I$2:$I$2001,Transaksi!$M$2:$M$2001,"="&amp;S866),IF(J866="E",IF(INDEX(Transaksi!$G$2:$G$2001,K866)+INDEX(Transaksi!$H$2:$H$2001,K866)+INDEX(Transaksi!$I$2:$I$2001,K866)=0,"",INDEX(Transaksi!$G$2:$G$2001,K866)+INDEX(Transaksi!$H$2:$H$2001,K866)+INDEX(Transaksi!$I$2:$I$2001,K866)),""))</f>
        <v/>
      </c>
      <c r="F866" s="33">
        <f>IF(J866="H",SUMIFS(Transaksi!$J$2:$J$2001,Transaksi!$M$2:$M$2001,"="&amp;S866),IF(J866="E",IF(INDEX(Transaksi!$J$2:$J$2001,K866)=0,"",INDEX(Transaksi!$J$2:$J$2001,K866)),""))</f>
        <v/>
      </c>
      <c r="G866" s="33">
        <f>IF(J866="H",(SUMIFS(Transaksi!$G$2:$G$2001,Transaksi!$M$2:$M$2001,"&lt;="&amp;S866)+SUMIFS(Transaksi!$H$2:$H$2001,Transaksi!$M$2:$M$2001,"&lt;="&amp;S866)+SUMIFS(Transaksi!$I$2:$I$2001,Transaksi!$M$2:$M$2001,"&lt;="&amp;S866))-(SUMIFS(Transaksi!$J$2:$J$2001,Transaksi!$M$2:$M$2001,"&lt;="&amp;S866)),"")</f>
        <v/>
      </c>
      <c r="I866">
        <f>IF(863&gt;$O$2,"",MATCH(863,$Q$3:$Q$402,1))</f>
        <v/>
      </c>
      <c r="J866">
        <f>IF(I866="","",IF(863=INDEX($Q$3:$Q$402,I866),"H","E"))</f>
        <v/>
      </c>
      <c r="K866">
        <f>IF(J866&lt;&gt;"E","",MATCH(S866,Transaksi!$M$2:$M$2001,0)+863-INDEX($Q$3:$Q$402,I866)-1)</f>
        <v/>
      </c>
      <c r="S866">
        <f>IF(I866="","",INDEX($O$3:$O$402,I866))</f>
        <v/>
      </c>
      <c r="T866">
        <f>IF(J866&lt;&gt;"H","",INDEX(Transaksi!$A$2:$A$2001,MATCH(S866,Transaksi!$M$2:$M$2001,0)))</f>
        <v/>
      </c>
    </row>
    <row r="867">
      <c r="A867" s="31">
        <f>IF(J867="E",IF(INDEX(Transaksi!$J$2:$J$2001,K867)&gt;0,"↑","↓"),"")</f>
        <v/>
      </c>
      <c r="B867" s="32">
        <f>IF(J867="H",CHOOSE(WEEKDAY(T867,2),"Isnin","Selasa","Rabu","Khamis","Jumaat","Sabtu","Ahad")&amp;", "&amp;DAY(T867)&amp;" "&amp;CHOOSE(MONTH(T867),"Jan","Feb","Mac","Apr","Mei","Jun","Jul","Ogo","Sep","Okt","Nov","Dis")&amp;" "&amp;YEAR(T867),IF(J867="E",IF(INDEX(Transaksi!$B$2:$B$2001,K867)="",INDEX(Transaksi!$C$2:$C$2001,K867)&amp;" · "&amp;INDEX(Transaksi!$D$2:$D$2001,K867),INDEX(Transaksi!$B$2:$B$2001,K867)),""))</f>
        <v/>
      </c>
      <c r="C867" s="32">
        <f>IF(J867="E",INDEX(Transaksi!$C$2:$C$2001,K867)&amp;"","")</f>
        <v/>
      </c>
      <c r="D867" s="32">
        <f>IF(J867="E",INDEX(Transaksi!$D$2:$D$2001,K867)&amp;"","")</f>
        <v/>
      </c>
      <c r="E867" s="33">
        <f>IF(J867="H",SUMIFS(Transaksi!$G$2:$G$2001,Transaksi!$M$2:$M$2001,"="&amp;S867)+SUMIFS(Transaksi!$H$2:$H$2001,Transaksi!$M$2:$M$2001,"="&amp;S867)+SUMIFS(Transaksi!$I$2:$I$2001,Transaksi!$M$2:$M$2001,"="&amp;S867),IF(J867="E",IF(INDEX(Transaksi!$G$2:$G$2001,K867)+INDEX(Transaksi!$H$2:$H$2001,K867)+INDEX(Transaksi!$I$2:$I$2001,K867)=0,"",INDEX(Transaksi!$G$2:$G$2001,K867)+INDEX(Transaksi!$H$2:$H$2001,K867)+INDEX(Transaksi!$I$2:$I$2001,K867)),""))</f>
        <v/>
      </c>
      <c r="F867" s="33">
        <f>IF(J867="H",SUMIFS(Transaksi!$J$2:$J$2001,Transaksi!$M$2:$M$2001,"="&amp;S867),IF(J867="E",IF(INDEX(Transaksi!$J$2:$J$2001,K867)=0,"",INDEX(Transaksi!$J$2:$J$2001,K867)),""))</f>
        <v/>
      </c>
      <c r="G867" s="33">
        <f>IF(J867="H",(SUMIFS(Transaksi!$G$2:$G$2001,Transaksi!$M$2:$M$2001,"&lt;="&amp;S867)+SUMIFS(Transaksi!$H$2:$H$2001,Transaksi!$M$2:$M$2001,"&lt;="&amp;S867)+SUMIFS(Transaksi!$I$2:$I$2001,Transaksi!$M$2:$M$2001,"&lt;="&amp;S867))-(SUMIFS(Transaksi!$J$2:$J$2001,Transaksi!$M$2:$M$2001,"&lt;="&amp;S867)),"")</f>
        <v/>
      </c>
      <c r="I867">
        <f>IF(864&gt;$O$2,"",MATCH(864,$Q$3:$Q$402,1))</f>
        <v/>
      </c>
      <c r="J867">
        <f>IF(I867="","",IF(864=INDEX($Q$3:$Q$402,I867),"H","E"))</f>
        <v/>
      </c>
      <c r="K867">
        <f>IF(J867&lt;&gt;"E","",MATCH(S867,Transaksi!$M$2:$M$2001,0)+864-INDEX($Q$3:$Q$402,I867)-1)</f>
        <v/>
      </c>
      <c r="S867">
        <f>IF(I867="","",INDEX($O$3:$O$402,I867))</f>
        <v/>
      </c>
      <c r="T867">
        <f>IF(J867&lt;&gt;"H","",INDEX(Transaksi!$A$2:$A$2001,MATCH(S867,Transaksi!$M$2:$M$2001,0)))</f>
        <v/>
      </c>
    </row>
    <row r="868">
      <c r="A868" s="31">
        <f>IF(J868="E",IF(INDEX(Transaksi!$J$2:$J$2001,K868)&gt;0,"↑","↓"),"")</f>
        <v/>
      </c>
      <c r="B868" s="32">
        <f>IF(J868="H",CHOOSE(WEEKDAY(T868,2),"Isnin","Selasa","Rabu","Khamis","Jumaat","Sabtu","Ahad")&amp;", "&amp;DAY(T868)&amp;" "&amp;CHOOSE(MONTH(T868),"Jan","Feb","Mac","Apr","Mei","Jun","Jul","Ogo","Sep","Okt","Nov","Dis")&amp;" "&amp;YEAR(T868),IF(J868="E",IF(INDEX(Transaksi!$B$2:$B$2001,K868)="",INDEX(Transaksi!$C$2:$C$2001,K868)&amp;" · "&amp;INDEX(Transaksi!$D$2:$D$2001,K868),INDEX(Transaksi!$B$2:$B$2001,K868)),""))</f>
        <v/>
      </c>
      <c r="C868" s="32">
        <f>IF(J868="E",INDEX(Transaksi!$C$2:$C$2001,K868)&amp;"","")</f>
        <v/>
      </c>
      <c r="D868" s="32">
        <f>IF(J868="E",INDEX(Transaksi!$D$2:$D$2001,K868)&amp;"","")</f>
        <v/>
      </c>
      <c r="E868" s="33">
        <f>IF(J868="H",SUMIFS(Transaksi!$G$2:$G$2001,Transaksi!$M$2:$M$2001,"="&amp;S868)+SUMIFS(Transaksi!$H$2:$H$2001,Transaksi!$M$2:$M$2001,"="&amp;S868)+SUMIFS(Transaksi!$I$2:$I$2001,Transaksi!$M$2:$M$2001,"="&amp;S868),IF(J868="E",IF(INDEX(Transaksi!$G$2:$G$2001,K868)+INDEX(Transaksi!$H$2:$H$2001,K868)+INDEX(Transaksi!$I$2:$I$2001,K868)=0,"",INDEX(Transaksi!$G$2:$G$2001,K868)+INDEX(Transaksi!$H$2:$H$2001,K868)+INDEX(Transaksi!$I$2:$I$2001,K868)),""))</f>
        <v/>
      </c>
      <c r="F868" s="33">
        <f>IF(J868="H",SUMIFS(Transaksi!$J$2:$J$2001,Transaksi!$M$2:$M$2001,"="&amp;S868),IF(J868="E",IF(INDEX(Transaksi!$J$2:$J$2001,K868)=0,"",INDEX(Transaksi!$J$2:$J$2001,K868)),""))</f>
        <v/>
      </c>
      <c r="G868" s="33">
        <f>IF(J868="H",(SUMIFS(Transaksi!$G$2:$G$2001,Transaksi!$M$2:$M$2001,"&lt;="&amp;S868)+SUMIFS(Transaksi!$H$2:$H$2001,Transaksi!$M$2:$M$2001,"&lt;="&amp;S868)+SUMIFS(Transaksi!$I$2:$I$2001,Transaksi!$M$2:$M$2001,"&lt;="&amp;S868))-(SUMIFS(Transaksi!$J$2:$J$2001,Transaksi!$M$2:$M$2001,"&lt;="&amp;S868)),"")</f>
        <v/>
      </c>
      <c r="I868">
        <f>IF(865&gt;$O$2,"",MATCH(865,$Q$3:$Q$402,1))</f>
        <v/>
      </c>
      <c r="J868">
        <f>IF(I868="","",IF(865=INDEX($Q$3:$Q$402,I868),"H","E"))</f>
        <v/>
      </c>
      <c r="K868">
        <f>IF(J868&lt;&gt;"E","",MATCH(S868,Transaksi!$M$2:$M$2001,0)+865-INDEX($Q$3:$Q$402,I868)-1)</f>
        <v/>
      </c>
      <c r="S868">
        <f>IF(I868="","",INDEX($O$3:$O$402,I868))</f>
        <v/>
      </c>
      <c r="T868">
        <f>IF(J868&lt;&gt;"H","",INDEX(Transaksi!$A$2:$A$2001,MATCH(S868,Transaksi!$M$2:$M$2001,0)))</f>
        <v/>
      </c>
    </row>
    <row r="869">
      <c r="A869" s="31">
        <f>IF(J869="E",IF(INDEX(Transaksi!$J$2:$J$2001,K869)&gt;0,"↑","↓"),"")</f>
        <v/>
      </c>
      <c r="B869" s="32">
        <f>IF(J869="H",CHOOSE(WEEKDAY(T869,2),"Isnin","Selasa","Rabu","Khamis","Jumaat","Sabtu","Ahad")&amp;", "&amp;DAY(T869)&amp;" "&amp;CHOOSE(MONTH(T869),"Jan","Feb","Mac","Apr","Mei","Jun","Jul","Ogo","Sep","Okt","Nov","Dis")&amp;" "&amp;YEAR(T869),IF(J869="E",IF(INDEX(Transaksi!$B$2:$B$2001,K869)="",INDEX(Transaksi!$C$2:$C$2001,K869)&amp;" · "&amp;INDEX(Transaksi!$D$2:$D$2001,K869),INDEX(Transaksi!$B$2:$B$2001,K869)),""))</f>
        <v/>
      </c>
      <c r="C869" s="32">
        <f>IF(J869="E",INDEX(Transaksi!$C$2:$C$2001,K869)&amp;"","")</f>
        <v/>
      </c>
      <c r="D869" s="32">
        <f>IF(J869="E",INDEX(Transaksi!$D$2:$D$2001,K869)&amp;"","")</f>
        <v/>
      </c>
      <c r="E869" s="33">
        <f>IF(J869="H",SUMIFS(Transaksi!$G$2:$G$2001,Transaksi!$M$2:$M$2001,"="&amp;S869)+SUMIFS(Transaksi!$H$2:$H$2001,Transaksi!$M$2:$M$2001,"="&amp;S869)+SUMIFS(Transaksi!$I$2:$I$2001,Transaksi!$M$2:$M$2001,"="&amp;S869),IF(J869="E",IF(INDEX(Transaksi!$G$2:$G$2001,K869)+INDEX(Transaksi!$H$2:$H$2001,K869)+INDEX(Transaksi!$I$2:$I$2001,K869)=0,"",INDEX(Transaksi!$G$2:$G$2001,K869)+INDEX(Transaksi!$H$2:$H$2001,K869)+INDEX(Transaksi!$I$2:$I$2001,K869)),""))</f>
        <v/>
      </c>
      <c r="F869" s="33">
        <f>IF(J869="H",SUMIFS(Transaksi!$J$2:$J$2001,Transaksi!$M$2:$M$2001,"="&amp;S869),IF(J869="E",IF(INDEX(Transaksi!$J$2:$J$2001,K869)=0,"",INDEX(Transaksi!$J$2:$J$2001,K869)),""))</f>
        <v/>
      </c>
      <c r="G869" s="33">
        <f>IF(J869="H",(SUMIFS(Transaksi!$G$2:$G$2001,Transaksi!$M$2:$M$2001,"&lt;="&amp;S869)+SUMIFS(Transaksi!$H$2:$H$2001,Transaksi!$M$2:$M$2001,"&lt;="&amp;S869)+SUMIFS(Transaksi!$I$2:$I$2001,Transaksi!$M$2:$M$2001,"&lt;="&amp;S869))-(SUMIFS(Transaksi!$J$2:$J$2001,Transaksi!$M$2:$M$2001,"&lt;="&amp;S869)),"")</f>
        <v/>
      </c>
      <c r="I869">
        <f>IF(866&gt;$O$2,"",MATCH(866,$Q$3:$Q$402,1))</f>
        <v/>
      </c>
      <c r="J869">
        <f>IF(I869="","",IF(866=INDEX($Q$3:$Q$402,I869),"H","E"))</f>
        <v/>
      </c>
      <c r="K869">
        <f>IF(J869&lt;&gt;"E","",MATCH(S869,Transaksi!$M$2:$M$2001,0)+866-INDEX($Q$3:$Q$402,I869)-1)</f>
        <v/>
      </c>
      <c r="S869">
        <f>IF(I869="","",INDEX($O$3:$O$402,I869))</f>
        <v/>
      </c>
      <c r="T869">
        <f>IF(J869&lt;&gt;"H","",INDEX(Transaksi!$A$2:$A$2001,MATCH(S869,Transaksi!$M$2:$M$2001,0)))</f>
        <v/>
      </c>
    </row>
    <row r="870">
      <c r="A870" s="31">
        <f>IF(J870="E",IF(INDEX(Transaksi!$J$2:$J$2001,K870)&gt;0,"↑","↓"),"")</f>
        <v/>
      </c>
      <c r="B870" s="32">
        <f>IF(J870="H",CHOOSE(WEEKDAY(T870,2),"Isnin","Selasa","Rabu","Khamis","Jumaat","Sabtu","Ahad")&amp;", "&amp;DAY(T870)&amp;" "&amp;CHOOSE(MONTH(T870),"Jan","Feb","Mac","Apr","Mei","Jun","Jul","Ogo","Sep","Okt","Nov","Dis")&amp;" "&amp;YEAR(T870),IF(J870="E",IF(INDEX(Transaksi!$B$2:$B$2001,K870)="",INDEX(Transaksi!$C$2:$C$2001,K870)&amp;" · "&amp;INDEX(Transaksi!$D$2:$D$2001,K870),INDEX(Transaksi!$B$2:$B$2001,K870)),""))</f>
        <v/>
      </c>
      <c r="C870" s="32">
        <f>IF(J870="E",INDEX(Transaksi!$C$2:$C$2001,K870)&amp;"","")</f>
        <v/>
      </c>
      <c r="D870" s="32">
        <f>IF(J870="E",INDEX(Transaksi!$D$2:$D$2001,K870)&amp;"","")</f>
        <v/>
      </c>
      <c r="E870" s="33">
        <f>IF(J870="H",SUMIFS(Transaksi!$G$2:$G$2001,Transaksi!$M$2:$M$2001,"="&amp;S870)+SUMIFS(Transaksi!$H$2:$H$2001,Transaksi!$M$2:$M$2001,"="&amp;S870)+SUMIFS(Transaksi!$I$2:$I$2001,Transaksi!$M$2:$M$2001,"="&amp;S870),IF(J870="E",IF(INDEX(Transaksi!$G$2:$G$2001,K870)+INDEX(Transaksi!$H$2:$H$2001,K870)+INDEX(Transaksi!$I$2:$I$2001,K870)=0,"",INDEX(Transaksi!$G$2:$G$2001,K870)+INDEX(Transaksi!$H$2:$H$2001,K870)+INDEX(Transaksi!$I$2:$I$2001,K870)),""))</f>
        <v/>
      </c>
      <c r="F870" s="33">
        <f>IF(J870="H",SUMIFS(Transaksi!$J$2:$J$2001,Transaksi!$M$2:$M$2001,"="&amp;S870),IF(J870="E",IF(INDEX(Transaksi!$J$2:$J$2001,K870)=0,"",INDEX(Transaksi!$J$2:$J$2001,K870)),""))</f>
        <v/>
      </c>
      <c r="G870" s="33">
        <f>IF(J870="H",(SUMIFS(Transaksi!$G$2:$G$2001,Transaksi!$M$2:$M$2001,"&lt;="&amp;S870)+SUMIFS(Transaksi!$H$2:$H$2001,Transaksi!$M$2:$M$2001,"&lt;="&amp;S870)+SUMIFS(Transaksi!$I$2:$I$2001,Transaksi!$M$2:$M$2001,"&lt;="&amp;S870))-(SUMIFS(Transaksi!$J$2:$J$2001,Transaksi!$M$2:$M$2001,"&lt;="&amp;S870)),"")</f>
        <v/>
      </c>
      <c r="I870">
        <f>IF(867&gt;$O$2,"",MATCH(867,$Q$3:$Q$402,1))</f>
        <v/>
      </c>
      <c r="J870">
        <f>IF(I870="","",IF(867=INDEX($Q$3:$Q$402,I870),"H","E"))</f>
        <v/>
      </c>
      <c r="K870">
        <f>IF(J870&lt;&gt;"E","",MATCH(S870,Transaksi!$M$2:$M$2001,0)+867-INDEX($Q$3:$Q$402,I870)-1)</f>
        <v/>
      </c>
      <c r="S870">
        <f>IF(I870="","",INDEX($O$3:$O$402,I870))</f>
        <v/>
      </c>
      <c r="T870">
        <f>IF(J870&lt;&gt;"H","",INDEX(Transaksi!$A$2:$A$2001,MATCH(S870,Transaksi!$M$2:$M$2001,0)))</f>
        <v/>
      </c>
    </row>
    <row r="871">
      <c r="A871" s="31">
        <f>IF(J871="E",IF(INDEX(Transaksi!$J$2:$J$2001,K871)&gt;0,"↑","↓"),"")</f>
        <v/>
      </c>
      <c r="B871" s="32">
        <f>IF(J871="H",CHOOSE(WEEKDAY(T871,2),"Isnin","Selasa","Rabu","Khamis","Jumaat","Sabtu","Ahad")&amp;", "&amp;DAY(T871)&amp;" "&amp;CHOOSE(MONTH(T871),"Jan","Feb","Mac","Apr","Mei","Jun","Jul","Ogo","Sep","Okt","Nov","Dis")&amp;" "&amp;YEAR(T871),IF(J871="E",IF(INDEX(Transaksi!$B$2:$B$2001,K871)="",INDEX(Transaksi!$C$2:$C$2001,K871)&amp;" · "&amp;INDEX(Transaksi!$D$2:$D$2001,K871),INDEX(Transaksi!$B$2:$B$2001,K871)),""))</f>
        <v/>
      </c>
      <c r="C871" s="32">
        <f>IF(J871="E",INDEX(Transaksi!$C$2:$C$2001,K871)&amp;"","")</f>
        <v/>
      </c>
      <c r="D871" s="32">
        <f>IF(J871="E",INDEX(Transaksi!$D$2:$D$2001,K871)&amp;"","")</f>
        <v/>
      </c>
      <c r="E871" s="33">
        <f>IF(J871="H",SUMIFS(Transaksi!$G$2:$G$2001,Transaksi!$M$2:$M$2001,"="&amp;S871)+SUMIFS(Transaksi!$H$2:$H$2001,Transaksi!$M$2:$M$2001,"="&amp;S871)+SUMIFS(Transaksi!$I$2:$I$2001,Transaksi!$M$2:$M$2001,"="&amp;S871),IF(J871="E",IF(INDEX(Transaksi!$G$2:$G$2001,K871)+INDEX(Transaksi!$H$2:$H$2001,K871)+INDEX(Transaksi!$I$2:$I$2001,K871)=0,"",INDEX(Transaksi!$G$2:$G$2001,K871)+INDEX(Transaksi!$H$2:$H$2001,K871)+INDEX(Transaksi!$I$2:$I$2001,K871)),""))</f>
        <v/>
      </c>
      <c r="F871" s="33">
        <f>IF(J871="H",SUMIFS(Transaksi!$J$2:$J$2001,Transaksi!$M$2:$M$2001,"="&amp;S871),IF(J871="E",IF(INDEX(Transaksi!$J$2:$J$2001,K871)=0,"",INDEX(Transaksi!$J$2:$J$2001,K871)),""))</f>
        <v/>
      </c>
      <c r="G871" s="33">
        <f>IF(J871="H",(SUMIFS(Transaksi!$G$2:$G$2001,Transaksi!$M$2:$M$2001,"&lt;="&amp;S871)+SUMIFS(Transaksi!$H$2:$H$2001,Transaksi!$M$2:$M$2001,"&lt;="&amp;S871)+SUMIFS(Transaksi!$I$2:$I$2001,Transaksi!$M$2:$M$2001,"&lt;="&amp;S871))-(SUMIFS(Transaksi!$J$2:$J$2001,Transaksi!$M$2:$M$2001,"&lt;="&amp;S871)),"")</f>
        <v/>
      </c>
      <c r="I871">
        <f>IF(868&gt;$O$2,"",MATCH(868,$Q$3:$Q$402,1))</f>
        <v/>
      </c>
      <c r="J871">
        <f>IF(I871="","",IF(868=INDEX($Q$3:$Q$402,I871),"H","E"))</f>
        <v/>
      </c>
      <c r="K871">
        <f>IF(J871&lt;&gt;"E","",MATCH(S871,Transaksi!$M$2:$M$2001,0)+868-INDEX($Q$3:$Q$402,I871)-1)</f>
        <v/>
      </c>
      <c r="S871">
        <f>IF(I871="","",INDEX($O$3:$O$402,I871))</f>
        <v/>
      </c>
      <c r="T871">
        <f>IF(J871&lt;&gt;"H","",INDEX(Transaksi!$A$2:$A$2001,MATCH(S871,Transaksi!$M$2:$M$2001,0)))</f>
        <v/>
      </c>
    </row>
    <row r="872">
      <c r="A872" s="31">
        <f>IF(J872="E",IF(INDEX(Transaksi!$J$2:$J$2001,K872)&gt;0,"↑","↓"),"")</f>
        <v/>
      </c>
      <c r="B872" s="32">
        <f>IF(J872="H",CHOOSE(WEEKDAY(T872,2),"Isnin","Selasa","Rabu","Khamis","Jumaat","Sabtu","Ahad")&amp;", "&amp;DAY(T872)&amp;" "&amp;CHOOSE(MONTH(T872),"Jan","Feb","Mac","Apr","Mei","Jun","Jul","Ogo","Sep","Okt","Nov","Dis")&amp;" "&amp;YEAR(T872),IF(J872="E",IF(INDEX(Transaksi!$B$2:$B$2001,K872)="",INDEX(Transaksi!$C$2:$C$2001,K872)&amp;" · "&amp;INDEX(Transaksi!$D$2:$D$2001,K872),INDEX(Transaksi!$B$2:$B$2001,K872)),""))</f>
        <v/>
      </c>
      <c r="C872" s="32">
        <f>IF(J872="E",INDEX(Transaksi!$C$2:$C$2001,K872)&amp;"","")</f>
        <v/>
      </c>
      <c r="D872" s="32">
        <f>IF(J872="E",INDEX(Transaksi!$D$2:$D$2001,K872)&amp;"","")</f>
        <v/>
      </c>
      <c r="E872" s="33">
        <f>IF(J872="H",SUMIFS(Transaksi!$G$2:$G$2001,Transaksi!$M$2:$M$2001,"="&amp;S872)+SUMIFS(Transaksi!$H$2:$H$2001,Transaksi!$M$2:$M$2001,"="&amp;S872)+SUMIFS(Transaksi!$I$2:$I$2001,Transaksi!$M$2:$M$2001,"="&amp;S872),IF(J872="E",IF(INDEX(Transaksi!$G$2:$G$2001,K872)+INDEX(Transaksi!$H$2:$H$2001,K872)+INDEX(Transaksi!$I$2:$I$2001,K872)=0,"",INDEX(Transaksi!$G$2:$G$2001,K872)+INDEX(Transaksi!$H$2:$H$2001,K872)+INDEX(Transaksi!$I$2:$I$2001,K872)),""))</f>
        <v/>
      </c>
      <c r="F872" s="33">
        <f>IF(J872="H",SUMIFS(Transaksi!$J$2:$J$2001,Transaksi!$M$2:$M$2001,"="&amp;S872),IF(J872="E",IF(INDEX(Transaksi!$J$2:$J$2001,K872)=0,"",INDEX(Transaksi!$J$2:$J$2001,K872)),""))</f>
        <v/>
      </c>
      <c r="G872" s="33">
        <f>IF(J872="H",(SUMIFS(Transaksi!$G$2:$G$2001,Transaksi!$M$2:$M$2001,"&lt;="&amp;S872)+SUMIFS(Transaksi!$H$2:$H$2001,Transaksi!$M$2:$M$2001,"&lt;="&amp;S872)+SUMIFS(Transaksi!$I$2:$I$2001,Transaksi!$M$2:$M$2001,"&lt;="&amp;S872))-(SUMIFS(Transaksi!$J$2:$J$2001,Transaksi!$M$2:$M$2001,"&lt;="&amp;S872)),"")</f>
        <v/>
      </c>
      <c r="I872">
        <f>IF(869&gt;$O$2,"",MATCH(869,$Q$3:$Q$402,1))</f>
        <v/>
      </c>
      <c r="J872">
        <f>IF(I872="","",IF(869=INDEX($Q$3:$Q$402,I872),"H","E"))</f>
        <v/>
      </c>
      <c r="K872">
        <f>IF(J872&lt;&gt;"E","",MATCH(S872,Transaksi!$M$2:$M$2001,0)+869-INDEX($Q$3:$Q$402,I872)-1)</f>
        <v/>
      </c>
      <c r="S872">
        <f>IF(I872="","",INDEX($O$3:$O$402,I872))</f>
        <v/>
      </c>
      <c r="T872">
        <f>IF(J872&lt;&gt;"H","",INDEX(Transaksi!$A$2:$A$2001,MATCH(S872,Transaksi!$M$2:$M$2001,0)))</f>
        <v/>
      </c>
    </row>
    <row r="873">
      <c r="A873" s="31">
        <f>IF(J873="E",IF(INDEX(Transaksi!$J$2:$J$2001,K873)&gt;0,"↑","↓"),"")</f>
        <v/>
      </c>
      <c r="B873" s="32">
        <f>IF(J873="H",CHOOSE(WEEKDAY(T873,2),"Isnin","Selasa","Rabu","Khamis","Jumaat","Sabtu","Ahad")&amp;", "&amp;DAY(T873)&amp;" "&amp;CHOOSE(MONTH(T873),"Jan","Feb","Mac","Apr","Mei","Jun","Jul","Ogo","Sep","Okt","Nov","Dis")&amp;" "&amp;YEAR(T873),IF(J873="E",IF(INDEX(Transaksi!$B$2:$B$2001,K873)="",INDEX(Transaksi!$C$2:$C$2001,K873)&amp;" · "&amp;INDEX(Transaksi!$D$2:$D$2001,K873),INDEX(Transaksi!$B$2:$B$2001,K873)),""))</f>
        <v/>
      </c>
      <c r="C873" s="32">
        <f>IF(J873="E",INDEX(Transaksi!$C$2:$C$2001,K873)&amp;"","")</f>
        <v/>
      </c>
      <c r="D873" s="32">
        <f>IF(J873="E",INDEX(Transaksi!$D$2:$D$2001,K873)&amp;"","")</f>
        <v/>
      </c>
      <c r="E873" s="33">
        <f>IF(J873="H",SUMIFS(Transaksi!$G$2:$G$2001,Transaksi!$M$2:$M$2001,"="&amp;S873)+SUMIFS(Transaksi!$H$2:$H$2001,Transaksi!$M$2:$M$2001,"="&amp;S873)+SUMIFS(Transaksi!$I$2:$I$2001,Transaksi!$M$2:$M$2001,"="&amp;S873),IF(J873="E",IF(INDEX(Transaksi!$G$2:$G$2001,K873)+INDEX(Transaksi!$H$2:$H$2001,K873)+INDEX(Transaksi!$I$2:$I$2001,K873)=0,"",INDEX(Transaksi!$G$2:$G$2001,K873)+INDEX(Transaksi!$H$2:$H$2001,K873)+INDEX(Transaksi!$I$2:$I$2001,K873)),""))</f>
        <v/>
      </c>
      <c r="F873" s="33">
        <f>IF(J873="H",SUMIFS(Transaksi!$J$2:$J$2001,Transaksi!$M$2:$M$2001,"="&amp;S873),IF(J873="E",IF(INDEX(Transaksi!$J$2:$J$2001,K873)=0,"",INDEX(Transaksi!$J$2:$J$2001,K873)),""))</f>
        <v/>
      </c>
      <c r="G873" s="33">
        <f>IF(J873="H",(SUMIFS(Transaksi!$G$2:$G$2001,Transaksi!$M$2:$M$2001,"&lt;="&amp;S873)+SUMIFS(Transaksi!$H$2:$H$2001,Transaksi!$M$2:$M$2001,"&lt;="&amp;S873)+SUMIFS(Transaksi!$I$2:$I$2001,Transaksi!$M$2:$M$2001,"&lt;="&amp;S873))-(SUMIFS(Transaksi!$J$2:$J$2001,Transaksi!$M$2:$M$2001,"&lt;="&amp;S873)),"")</f>
        <v/>
      </c>
      <c r="I873">
        <f>IF(870&gt;$O$2,"",MATCH(870,$Q$3:$Q$402,1))</f>
        <v/>
      </c>
      <c r="J873">
        <f>IF(I873="","",IF(870=INDEX($Q$3:$Q$402,I873),"H","E"))</f>
        <v/>
      </c>
      <c r="K873">
        <f>IF(J873&lt;&gt;"E","",MATCH(S873,Transaksi!$M$2:$M$2001,0)+870-INDEX($Q$3:$Q$402,I873)-1)</f>
        <v/>
      </c>
      <c r="S873">
        <f>IF(I873="","",INDEX($O$3:$O$402,I873))</f>
        <v/>
      </c>
      <c r="T873">
        <f>IF(J873&lt;&gt;"H","",INDEX(Transaksi!$A$2:$A$2001,MATCH(S873,Transaksi!$M$2:$M$2001,0)))</f>
        <v/>
      </c>
    </row>
    <row r="874">
      <c r="A874" s="31">
        <f>IF(J874="E",IF(INDEX(Transaksi!$J$2:$J$2001,K874)&gt;0,"↑","↓"),"")</f>
        <v/>
      </c>
      <c r="B874" s="32">
        <f>IF(J874="H",CHOOSE(WEEKDAY(T874,2),"Isnin","Selasa","Rabu","Khamis","Jumaat","Sabtu","Ahad")&amp;", "&amp;DAY(T874)&amp;" "&amp;CHOOSE(MONTH(T874),"Jan","Feb","Mac","Apr","Mei","Jun","Jul","Ogo","Sep","Okt","Nov","Dis")&amp;" "&amp;YEAR(T874),IF(J874="E",IF(INDEX(Transaksi!$B$2:$B$2001,K874)="",INDEX(Transaksi!$C$2:$C$2001,K874)&amp;" · "&amp;INDEX(Transaksi!$D$2:$D$2001,K874),INDEX(Transaksi!$B$2:$B$2001,K874)),""))</f>
        <v/>
      </c>
      <c r="C874" s="32">
        <f>IF(J874="E",INDEX(Transaksi!$C$2:$C$2001,K874)&amp;"","")</f>
        <v/>
      </c>
      <c r="D874" s="32">
        <f>IF(J874="E",INDEX(Transaksi!$D$2:$D$2001,K874)&amp;"","")</f>
        <v/>
      </c>
      <c r="E874" s="33">
        <f>IF(J874="H",SUMIFS(Transaksi!$G$2:$G$2001,Transaksi!$M$2:$M$2001,"="&amp;S874)+SUMIFS(Transaksi!$H$2:$H$2001,Transaksi!$M$2:$M$2001,"="&amp;S874)+SUMIFS(Transaksi!$I$2:$I$2001,Transaksi!$M$2:$M$2001,"="&amp;S874),IF(J874="E",IF(INDEX(Transaksi!$G$2:$G$2001,K874)+INDEX(Transaksi!$H$2:$H$2001,K874)+INDEX(Transaksi!$I$2:$I$2001,K874)=0,"",INDEX(Transaksi!$G$2:$G$2001,K874)+INDEX(Transaksi!$H$2:$H$2001,K874)+INDEX(Transaksi!$I$2:$I$2001,K874)),""))</f>
        <v/>
      </c>
      <c r="F874" s="33">
        <f>IF(J874="H",SUMIFS(Transaksi!$J$2:$J$2001,Transaksi!$M$2:$M$2001,"="&amp;S874),IF(J874="E",IF(INDEX(Transaksi!$J$2:$J$2001,K874)=0,"",INDEX(Transaksi!$J$2:$J$2001,K874)),""))</f>
        <v/>
      </c>
      <c r="G874" s="33">
        <f>IF(J874="H",(SUMIFS(Transaksi!$G$2:$G$2001,Transaksi!$M$2:$M$2001,"&lt;="&amp;S874)+SUMIFS(Transaksi!$H$2:$H$2001,Transaksi!$M$2:$M$2001,"&lt;="&amp;S874)+SUMIFS(Transaksi!$I$2:$I$2001,Transaksi!$M$2:$M$2001,"&lt;="&amp;S874))-(SUMIFS(Transaksi!$J$2:$J$2001,Transaksi!$M$2:$M$2001,"&lt;="&amp;S874)),"")</f>
        <v/>
      </c>
      <c r="I874">
        <f>IF(871&gt;$O$2,"",MATCH(871,$Q$3:$Q$402,1))</f>
        <v/>
      </c>
      <c r="J874">
        <f>IF(I874="","",IF(871=INDEX($Q$3:$Q$402,I874),"H","E"))</f>
        <v/>
      </c>
      <c r="K874">
        <f>IF(J874&lt;&gt;"E","",MATCH(S874,Transaksi!$M$2:$M$2001,0)+871-INDEX($Q$3:$Q$402,I874)-1)</f>
        <v/>
      </c>
      <c r="S874">
        <f>IF(I874="","",INDEX($O$3:$O$402,I874))</f>
        <v/>
      </c>
      <c r="T874">
        <f>IF(J874&lt;&gt;"H","",INDEX(Transaksi!$A$2:$A$2001,MATCH(S874,Transaksi!$M$2:$M$2001,0)))</f>
        <v/>
      </c>
    </row>
    <row r="875">
      <c r="A875" s="31">
        <f>IF(J875="E",IF(INDEX(Transaksi!$J$2:$J$2001,K875)&gt;0,"↑","↓"),"")</f>
        <v/>
      </c>
      <c r="B875" s="32">
        <f>IF(J875="H",CHOOSE(WEEKDAY(T875,2),"Isnin","Selasa","Rabu","Khamis","Jumaat","Sabtu","Ahad")&amp;", "&amp;DAY(T875)&amp;" "&amp;CHOOSE(MONTH(T875),"Jan","Feb","Mac","Apr","Mei","Jun","Jul","Ogo","Sep","Okt","Nov","Dis")&amp;" "&amp;YEAR(T875),IF(J875="E",IF(INDEX(Transaksi!$B$2:$B$2001,K875)="",INDEX(Transaksi!$C$2:$C$2001,K875)&amp;" · "&amp;INDEX(Transaksi!$D$2:$D$2001,K875),INDEX(Transaksi!$B$2:$B$2001,K875)),""))</f>
        <v/>
      </c>
      <c r="C875" s="32">
        <f>IF(J875="E",INDEX(Transaksi!$C$2:$C$2001,K875)&amp;"","")</f>
        <v/>
      </c>
      <c r="D875" s="32">
        <f>IF(J875="E",INDEX(Transaksi!$D$2:$D$2001,K875)&amp;"","")</f>
        <v/>
      </c>
      <c r="E875" s="33">
        <f>IF(J875="H",SUMIFS(Transaksi!$G$2:$G$2001,Transaksi!$M$2:$M$2001,"="&amp;S875)+SUMIFS(Transaksi!$H$2:$H$2001,Transaksi!$M$2:$M$2001,"="&amp;S875)+SUMIFS(Transaksi!$I$2:$I$2001,Transaksi!$M$2:$M$2001,"="&amp;S875),IF(J875="E",IF(INDEX(Transaksi!$G$2:$G$2001,K875)+INDEX(Transaksi!$H$2:$H$2001,K875)+INDEX(Transaksi!$I$2:$I$2001,K875)=0,"",INDEX(Transaksi!$G$2:$G$2001,K875)+INDEX(Transaksi!$H$2:$H$2001,K875)+INDEX(Transaksi!$I$2:$I$2001,K875)),""))</f>
        <v/>
      </c>
      <c r="F875" s="33">
        <f>IF(J875="H",SUMIFS(Transaksi!$J$2:$J$2001,Transaksi!$M$2:$M$2001,"="&amp;S875),IF(J875="E",IF(INDEX(Transaksi!$J$2:$J$2001,K875)=0,"",INDEX(Transaksi!$J$2:$J$2001,K875)),""))</f>
        <v/>
      </c>
      <c r="G875" s="33">
        <f>IF(J875="H",(SUMIFS(Transaksi!$G$2:$G$2001,Transaksi!$M$2:$M$2001,"&lt;="&amp;S875)+SUMIFS(Transaksi!$H$2:$H$2001,Transaksi!$M$2:$M$2001,"&lt;="&amp;S875)+SUMIFS(Transaksi!$I$2:$I$2001,Transaksi!$M$2:$M$2001,"&lt;="&amp;S875))-(SUMIFS(Transaksi!$J$2:$J$2001,Transaksi!$M$2:$M$2001,"&lt;="&amp;S875)),"")</f>
        <v/>
      </c>
      <c r="I875">
        <f>IF(872&gt;$O$2,"",MATCH(872,$Q$3:$Q$402,1))</f>
        <v/>
      </c>
      <c r="J875">
        <f>IF(I875="","",IF(872=INDEX($Q$3:$Q$402,I875),"H","E"))</f>
        <v/>
      </c>
      <c r="K875">
        <f>IF(J875&lt;&gt;"E","",MATCH(S875,Transaksi!$M$2:$M$2001,0)+872-INDEX($Q$3:$Q$402,I875)-1)</f>
        <v/>
      </c>
      <c r="S875">
        <f>IF(I875="","",INDEX($O$3:$O$402,I875))</f>
        <v/>
      </c>
      <c r="T875">
        <f>IF(J875&lt;&gt;"H","",INDEX(Transaksi!$A$2:$A$2001,MATCH(S875,Transaksi!$M$2:$M$2001,0)))</f>
        <v/>
      </c>
    </row>
    <row r="876">
      <c r="A876" s="31">
        <f>IF(J876="E",IF(INDEX(Transaksi!$J$2:$J$2001,K876)&gt;0,"↑","↓"),"")</f>
        <v/>
      </c>
      <c r="B876" s="32">
        <f>IF(J876="H",CHOOSE(WEEKDAY(T876,2),"Isnin","Selasa","Rabu","Khamis","Jumaat","Sabtu","Ahad")&amp;", "&amp;DAY(T876)&amp;" "&amp;CHOOSE(MONTH(T876),"Jan","Feb","Mac","Apr","Mei","Jun","Jul","Ogo","Sep","Okt","Nov","Dis")&amp;" "&amp;YEAR(T876),IF(J876="E",IF(INDEX(Transaksi!$B$2:$B$2001,K876)="",INDEX(Transaksi!$C$2:$C$2001,K876)&amp;" · "&amp;INDEX(Transaksi!$D$2:$D$2001,K876),INDEX(Transaksi!$B$2:$B$2001,K876)),""))</f>
        <v/>
      </c>
      <c r="C876" s="32">
        <f>IF(J876="E",INDEX(Transaksi!$C$2:$C$2001,K876)&amp;"","")</f>
        <v/>
      </c>
      <c r="D876" s="32">
        <f>IF(J876="E",INDEX(Transaksi!$D$2:$D$2001,K876)&amp;"","")</f>
        <v/>
      </c>
      <c r="E876" s="33">
        <f>IF(J876="H",SUMIFS(Transaksi!$G$2:$G$2001,Transaksi!$M$2:$M$2001,"="&amp;S876)+SUMIFS(Transaksi!$H$2:$H$2001,Transaksi!$M$2:$M$2001,"="&amp;S876)+SUMIFS(Transaksi!$I$2:$I$2001,Transaksi!$M$2:$M$2001,"="&amp;S876),IF(J876="E",IF(INDEX(Transaksi!$G$2:$G$2001,K876)+INDEX(Transaksi!$H$2:$H$2001,K876)+INDEX(Transaksi!$I$2:$I$2001,K876)=0,"",INDEX(Transaksi!$G$2:$G$2001,K876)+INDEX(Transaksi!$H$2:$H$2001,K876)+INDEX(Transaksi!$I$2:$I$2001,K876)),""))</f>
        <v/>
      </c>
      <c r="F876" s="33">
        <f>IF(J876="H",SUMIFS(Transaksi!$J$2:$J$2001,Transaksi!$M$2:$M$2001,"="&amp;S876),IF(J876="E",IF(INDEX(Transaksi!$J$2:$J$2001,K876)=0,"",INDEX(Transaksi!$J$2:$J$2001,K876)),""))</f>
        <v/>
      </c>
      <c r="G876" s="33">
        <f>IF(J876="H",(SUMIFS(Transaksi!$G$2:$G$2001,Transaksi!$M$2:$M$2001,"&lt;="&amp;S876)+SUMIFS(Transaksi!$H$2:$H$2001,Transaksi!$M$2:$M$2001,"&lt;="&amp;S876)+SUMIFS(Transaksi!$I$2:$I$2001,Transaksi!$M$2:$M$2001,"&lt;="&amp;S876))-(SUMIFS(Transaksi!$J$2:$J$2001,Transaksi!$M$2:$M$2001,"&lt;="&amp;S876)),"")</f>
        <v/>
      </c>
      <c r="I876">
        <f>IF(873&gt;$O$2,"",MATCH(873,$Q$3:$Q$402,1))</f>
        <v/>
      </c>
      <c r="J876">
        <f>IF(I876="","",IF(873=INDEX($Q$3:$Q$402,I876),"H","E"))</f>
        <v/>
      </c>
      <c r="K876">
        <f>IF(J876&lt;&gt;"E","",MATCH(S876,Transaksi!$M$2:$M$2001,0)+873-INDEX($Q$3:$Q$402,I876)-1)</f>
        <v/>
      </c>
      <c r="S876">
        <f>IF(I876="","",INDEX($O$3:$O$402,I876))</f>
        <v/>
      </c>
      <c r="T876">
        <f>IF(J876&lt;&gt;"H","",INDEX(Transaksi!$A$2:$A$2001,MATCH(S876,Transaksi!$M$2:$M$2001,0)))</f>
        <v/>
      </c>
    </row>
    <row r="877">
      <c r="A877" s="31">
        <f>IF(J877="E",IF(INDEX(Transaksi!$J$2:$J$2001,K877)&gt;0,"↑","↓"),"")</f>
        <v/>
      </c>
      <c r="B877" s="32">
        <f>IF(J877="H",CHOOSE(WEEKDAY(T877,2),"Isnin","Selasa","Rabu","Khamis","Jumaat","Sabtu","Ahad")&amp;", "&amp;DAY(T877)&amp;" "&amp;CHOOSE(MONTH(T877),"Jan","Feb","Mac","Apr","Mei","Jun","Jul","Ogo","Sep","Okt","Nov","Dis")&amp;" "&amp;YEAR(T877),IF(J877="E",IF(INDEX(Transaksi!$B$2:$B$2001,K877)="",INDEX(Transaksi!$C$2:$C$2001,K877)&amp;" · "&amp;INDEX(Transaksi!$D$2:$D$2001,K877),INDEX(Transaksi!$B$2:$B$2001,K877)),""))</f>
        <v/>
      </c>
      <c r="C877" s="32">
        <f>IF(J877="E",INDEX(Transaksi!$C$2:$C$2001,K877)&amp;"","")</f>
        <v/>
      </c>
      <c r="D877" s="32">
        <f>IF(J877="E",INDEX(Transaksi!$D$2:$D$2001,K877)&amp;"","")</f>
        <v/>
      </c>
      <c r="E877" s="33">
        <f>IF(J877="H",SUMIFS(Transaksi!$G$2:$G$2001,Transaksi!$M$2:$M$2001,"="&amp;S877)+SUMIFS(Transaksi!$H$2:$H$2001,Transaksi!$M$2:$M$2001,"="&amp;S877)+SUMIFS(Transaksi!$I$2:$I$2001,Transaksi!$M$2:$M$2001,"="&amp;S877),IF(J877="E",IF(INDEX(Transaksi!$G$2:$G$2001,K877)+INDEX(Transaksi!$H$2:$H$2001,K877)+INDEX(Transaksi!$I$2:$I$2001,K877)=0,"",INDEX(Transaksi!$G$2:$G$2001,K877)+INDEX(Transaksi!$H$2:$H$2001,K877)+INDEX(Transaksi!$I$2:$I$2001,K877)),""))</f>
        <v/>
      </c>
      <c r="F877" s="33">
        <f>IF(J877="H",SUMIFS(Transaksi!$J$2:$J$2001,Transaksi!$M$2:$M$2001,"="&amp;S877),IF(J877="E",IF(INDEX(Transaksi!$J$2:$J$2001,K877)=0,"",INDEX(Transaksi!$J$2:$J$2001,K877)),""))</f>
        <v/>
      </c>
      <c r="G877" s="33">
        <f>IF(J877="H",(SUMIFS(Transaksi!$G$2:$G$2001,Transaksi!$M$2:$M$2001,"&lt;="&amp;S877)+SUMIFS(Transaksi!$H$2:$H$2001,Transaksi!$M$2:$M$2001,"&lt;="&amp;S877)+SUMIFS(Transaksi!$I$2:$I$2001,Transaksi!$M$2:$M$2001,"&lt;="&amp;S877))-(SUMIFS(Transaksi!$J$2:$J$2001,Transaksi!$M$2:$M$2001,"&lt;="&amp;S877)),"")</f>
        <v/>
      </c>
      <c r="I877">
        <f>IF(874&gt;$O$2,"",MATCH(874,$Q$3:$Q$402,1))</f>
        <v/>
      </c>
      <c r="J877">
        <f>IF(I877="","",IF(874=INDEX($Q$3:$Q$402,I877),"H","E"))</f>
        <v/>
      </c>
      <c r="K877">
        <f>IF(J877&lt;&gt;"E","",MATCH(S877,Transaksi!$M$2:$M$2001,0)+874-INDEX($Q$3:$Q$402,I877)-1)</f>
        <v/>
      </c>
      <c r="S877">
        <f>IF(I877="","",INDEX($O$3:$O$402,I877))</f>
        <v/>
      </c>
      <c r="T877">
        <f>IF(J877&lt;&gt;"H","",INDEX(Transaksi!$A$2:$A$2001,MATCH(S877,Transaksi!$M$2:$M$2001,0)))</f>
        <v/>
      </c>
    </row>
    <row r="878">
      <c r="A878" s="31">
        <f>IF(J878="E",IF(INDEX(Transaksi!$J$2:$J$2001,K878)&gt;0,"↑","↓"),"")</f>
        <v/>
      </c>
      <c r="B878" s="32">
        <f>IF(J878="H",CHOOSE(WEEKDAY(T878,2),"Isnin","Selasa","Rabu","Khamis","Jumaat","Sabtu","Ahad")&amp;", "&amp;DAY(T878)&amp;" "&amp;CHOOSE(MONTH(T878),"Jan","Feb","Mac","Apr","Mei","Jun","Jul","Ogo","Sep","Okt","Nov","Dis")&amp;" "&amp;YEAR(T878),IF(J878="E",IF(INDEX(Transaksi!$B$2:$B$2001,K878)="",INDEX(Transaksi!$C$2:$C$2001,K878)&amp;" · "&amp;INDEX(Transaksi!$D$2:$D$2001,K878),INDEX(Transaksi!$B$2:$B$2001,K878)),""))</f>
        <v/>
      </c>
      <c r="C878" s="32">
        <f>IF(J878="E",INDEX(Transaksi!$C$2:$C$2001,K878)&amp;"","")</f>
        <v/>
      </c>
      <c r="D878" s="32">
        <f>IF(J878="E",INDEX(Transaksi!$D$2:$D$2001,K878)&amp;"","")</f>
        <v/>
      </c>
      <c r="E878" s="33">
        <f>IF(J878="H",SUMIFS(Transaksi!$G$2:$G$2001,Transaksi!$M$2:$M$2001,"="&amp;S878)+SUMIFS(Transaksi!$H$2:$H$2001,Transaksi!$M$2:$M$2001,"="&amp;S878)+SUMIFS(Transaksi!$I$2:$I$2001,Transaksi!$M$2:$M$2001,"="&amp;S878),IF(J878="E",IF(INDEX(Transaksi!$G$2:$G$2001,K878)+INDEX(Transaksi!$H$2:$H$2001,K878)+INDEX(Transaksi!$I$2:$I$2001,K878)=0,"",INDEX(Transaksi!$G$2:$G$2001,K878)+INDEX(Transaksi!$H$2:$H$2001,K878)+INDEX(Transaksi!$I$2:$I$2001,K878)),""))</f>
        <v/>
      </c>
      <c r="F878" s="33">
        <f>IF(J878="H",SUMIFS(Transaksi!$J$2:$J$2001,Transaksi!$M$2:$M$2001,"="&amp;S878),IF(J878="E",IF(INDEX(Transaksi!$J$2:$J$2001,K878)=0,"",INDEX(Transaksi!$J$2:$J$2001,K878)),""))</f>
        <v/>
      </c>
      <c r="G878" s="33">
        <f>IF(J878="H",(SUMIFS(Transaksi!$G$2:$G$2001,Transaksi!$M$2:$M$2001,"&lt;="&amp;S878)+SUMIFS(Transaksi!$H$2:$H$2001,Transaksi!$M$2:$M$2001,"&lt;="&amp;S878)+SUMIFS(Transaksi!$I$2:$I$2001,Transaksi!$M$2:$M$2001,"&lt;="&amp;S878))-(SUMIFS(Transaksi!$J$2:$J$2001,Transaksi!$M$2:$M$2001,"&lt;="&amp;S878)),"")</f>
        <v/>
      </c>
      <c r="I878">
        <f>IF(875&gt;$O$2,"",MATCH(875,$Q$3:$Q$402,1))</f>
        <v/>
      </c>
      <c r="J878">
        <f>IF(I878="","",IF(875=INDEX($Q$3:$Q$402,I878),"H","E"))</f>
        <v/>
      </c>
      <c r="K878">
        <f>IF(J878&lt;&gt;"E","",MATCH(S878,Transaksi!$M$2:$M$2001,0)+875-INDEX($Q$3:$Q$402,I878)-1)</f>
        <v/>
      </c>
      <c r="S878">
        <f>IF(I878="","",INDEX($O$3:$O$402,I878))</f>
        <v/>
      </c>
      <c r="T878">
        <f>IF(J878&lt;&gt;"H","",INDEX(Transaksi!$A$2:$A$2001,MATCH(S878,Transaksi!$M$2:$M$2001,0)))</f>
        <v/>
      </c>
    </row>
    <row r="879">
      <c r="A879" s="31">
        <f>IF(J879="E",IF(INDEX(Transaksi!$J$2:$J$2001,K879)&gt;0,"↑","↓"),"")</f>
        <v/>
      </c>
      <c r="B879" s="32">
        <f>IF(J879="H",CHOOSE(WEEKDAY(T879,2),"Isnin","Selasa","Rabu","Khamis","Jumaat","Sabtu","Ahad")&amp;", "&amp;DAY(T879)&amp;" "&amp;CHOOSE(MONTH(T879),"Jan","Feb","Mac","Apr","Mei","Jun","Jul","Ogo","Sep","Okt","Nov","Dis")&amp;" "&amp;YEAR(T879),IF(J879="E",IF(INDEX(Transaksi!$B$2:$B$2001,K879)="",INDEX(Transaksi!$C$2:$C$2001,K879)&amp;" · "&amp;INDEX(Transaksi!$D$2:$D$2001,K879),INDEX(Transaksi!$B$2:$B$2001,K879)),""))</f>
        <v/>
      </c>
      <c r="C879" s="32">
        <f>IF(J879="E",INDEX(Transaksi!$C$2:$C$2001,K879)&amp;"","")</f>
        <v/>
      </c>
      <c r="D879" s="32">
        <f>IF(J879="E",INDEX(Transaksi!$D$2:$D$2001,K879)&amp;"","")</f>
        <v/>
      </c>
      <c r="E879" s="33">
        <f>IF(J879="H",SUMIFS(Transaksi!$G$2:$G$2001,Transaksi!$M$2:$M$2001,"="&amp;S879)+SUMIFS(Transaksi!$H$2:$H$2001,Transaksi!$M$2:$M$2001,"="&amp;S879)+SUMIFS(Transaksi!$I$2:$I$2001,Transaksi!$M$2:$M$2001,"="&amp;S879),IF(J879="E",IF(INDEX(Transaksi!$G$2:$G$2001,K879)+INDEX(Transaksi!$H$2:$H$2001,K879)+INDEX(Transaksi!$I$2:$I$2001,K879)=0,"",INDEX(Transaksi!$G$2:$G$2001,K879)+INDEX(Transaksi!$H$2:$H$2001,K879)+INDEX(Transaksi!$I$2:$I$2001,K879)),""))</f>
        <v/>
      </c>
      <c r="F879" s="33">
        <f>IF(J879="H",SUMIFS(Transaksi!$J$2:$J$2001,Transaksi!$M$2:$M$2001,"="&amp;S879),IF(J879="E",IF(INDEX(Transaksi!$J$2:$J$2001,K879)=0,"",INDEX(Transaksi!$J$2:$J$2001,K879)),""))</f>
        <v/>
      </c>
      <c r="G879" s="33">
        <f>IF(J879="H",(SUMIFS(Transaksi!$G$2:$G$2001,Transaksi!$M$2:$M$2001,"&lt;="&amp;S879)+SUMIFS(Transaksi!$H$2:$H$2001,Transaksi!$M$2:$M$2001,"&lt;="&amp;S879)+SUMIFS(Transaksi!$I$2:$I$2001,Transaksi!$M$2:$M$2001,"&lt;="&amp;S879))-(SUMIFS(Transaksi!$J$2:$J$2001,Transaksi!$M$2:$M$2001,"&lt;="&amp;S879)),"")</f>
        <v/>
      </c>
      <c r="I879">
        <f>IF(876&gt;$O$2,"",MATCH(876,$Q$3:$Q$402,1))</f>
        <v/>
      </c>
      <c r="J879">
        <f>IF(I879="","",IF(876=INDEX($Q$3:$Q$402,I879),"H","E"))</f>
        <v/>
      </c>
      <c r="K879">
        <f>IF(J879&lt;&gt;"E","",MATCH(S879,Transaksi!$M$2:$M$2001,0)+876-INDEX($Q$3:$Q$402,I879)-1)</f>
        <v/>
      </c>
      <c r="S879">
        <f>IF(I879="","",INDEX($O$3:$O$402,I879))</f>
        <v/>
      </c>
      <c r="T879">
        <f>IF(J879&lt;&gt;"H","",INDEX(Transaksi!$A$2:$A$2001,MATCH(S879,Transaksi!$M$2:$M$2001,0)))</f>
        <v/>
      </c>
    </row>
    <row r="880">
      <c r="A880" s="31">
        <f>IF(J880="E",IF(INDEX(Transaksi!$J$2:$J$2001,K880)&gt;0,"↑","↓"),"")</f>
        <v/>
      </c>
      <c r="B880" s="32">
        <f>IF(J880="H",CHOOSE(WEEKDAY(T880,2),"Isnin","Selasa","Rabu","Khamis","Jumaat","Sabtu","Ahad")&amp;", "&amp;DAY(T880)&amp;" "&amp;CHOOSE(MONTH(T880),"Jan","Feb","Mac","Apr","Mei","Jun","Jul","Ogo","Sep","Okt","Nov","Dis")&amp;" "&amp;YEAR(T880),IF(J880="E",IF(INDEX(Transaksi!$B$2:$B$2001,K880)="",INDEX(Transaksi!$C$2:$C$2001,K880)&amp;" · "&amp;INDEX(Transaksi!$D$2:$D$2001,K880),INDEX(Transaksi!$B$2:$B$2001,K880)),""))</f>
        <v/>
      </c>
      <c r="C880" s="32">
        <f>IF(J880="E",INDEX(Transaksi!$C$2:$C$2001,K880)&amp;"","")</f>
        <v/>
      </c>
      <c r="D880" s="32">
        <f>IF(J880="E",INDEX(Transaksi!$D$2:$D$2001,K880)&amp;"","")</f>
        <v/>
      </c>
      <c r="E880" s="33">
        <f>IF(J880="H",SUMIFS(Transaksi!$G$2:$G$2001,Transaksi!$M$2:$M$2001,"="&amp;S880)+SUMIFS(Transaksi!$H$2:$H$2001,Transaksi!$M$2:$M$2001,"="&amp;S880)+SUMIFS(Transaksi!$I$2:$I$2001,Transaksi!$M$2:$M$2001,"="&amp;S880),IF(J880="E",IF(INDEX(Transaksi!$G$2:$G$2001,K880)+INDEX(Transaksi!$H$2:$H$2001,K880)+INDEX(Transaksi!$I$2:$I$2001,K880)=0,"",INDEX(Transaksi!$G$2:$G$2001,K880)+INDEX(Transaksi!$H$2:$H$2001,K880)+INDEX(Transaksi!$I$2:$I$2001,K880)),""))</f>
        <v/>
      </c>
      <c r="F880" s="33">
        <f>IF(J880="H",SUMIFS(Transaksi!$J$2:$J$2001,Transaksi!$M$2:$M$2001,"="&amp;S880),IF(J880="E",IF(INDEX(Transaksi!$J$2:$J$2001,K880)=0,"",INDEX(Transaksi!$J$2:$J$2001,K880)),""))</f>
        <v/>
      </c>
      <c r="G880" s="33">
        <f>IF(J880="H",(SUMIFS(Transaksi!$G$2:$G$2001,Transaksi!$M$2:$M$2001,"&lt;="&amp;S880)+SUMIFS(Transaksi!$H$2:$H$2001,Transaksi!$M$2:$M$2001,"&lt;="&amp;S880)+SUMIFS(Transaksi!$I$2:$I$2001,Transaksi!$M$2:$M$2001,"&lt;="&amp;S880))-(SUMIFS(Transaksi!$J$2:$J$2001,Transaksi!$M$2:$M$2001,"&lt;="&amp;S880)),"")</f>
        <v/>
      </c>
      <c r="I880">
        <f>IF(877&gt;$O$2,"",MATCH(877,$Q$3:$Q$402,1))</f>
        <v/>
      </c>
      <c r="J880">
        <f>IF(I880="","",IF(877=INDEX($Q$3:$Q$402,I880),"H","E"))</f>
        <v/>
      </c>
      <c r="K880">
        <f>IF(J880&lt;&gt;"E","",MATCH(S880,Transaksi!$M$2:$M$2001,0)+877-INDEX($Q$3:$Q$402,I880)-1)</f>
        <v/>
      </c>
      <c r="S880">
        <f>IF(I880="","",INDEX($O$3:$O$402,I880))</f>
        <v/>
      </c>
      <c r="T880">
        <f>IF(J880&lt;&gt;"H","",INDEX(Transaksi!$A$2:$A$2001,MATCH(S880,Transaksi!$M$2:$M$2001,0)))</f>
        <v/>
      </c>
    </row>
    <row r="881">
      <c r="A881" s="31">
        <f>IF(J881="E",IF(INDEX(Transaksi!$J$2:$J$2001,K881)&gt;0,"↑","↓"),"")</f>
        <v/>
      </c>
      <c r="B881" s="32">
        <f>IF(J881="H",CHOOSE(WEEKDAY(T881,2),"Isnin","Selasa","Rabu","Khamis","Jumaat","Sabtu","Ahad")&amp;", "&amp;DAY(T881)&amp;" "&amp;CHOOSE(MONTH(T881),"Jan","Feb","Mac","Apr","Mei","Jun","Jul","Ogo","Sep","Okt","Nov","Dis")&amp;" "&amp;YEAR(T881),IF(J881="E",IF(INDEX(Transaksi!$B$2:$B$2001,K881)="",INDEX(Transaksi!$C$2:$C$2001,K881)&amp;" · "&amp;INDEX(Transaksi!$D$2:$D$2001,K881),INDEX(Transaksi!$B$2:$B$2001,K881)),""))</f>
        <v/>
      </c>
      <c r="C881" s="32">
        <f>IF(J881="E",INDEX(Transaksi!$C$2:$C$2001,K881)&amp;"","")</f>
        <v/>
      </c>
      <c r="D881" s="32">
        <f>IF(J881="E",INDEX(Transaksi!$D$2:$D$2001,K881)&amp;"","")</f>
        <v/>
      </c>
      <c r="E881" s="33">
        <f>IF(J881="H",SUMIFS(Transaksi!$G$2:$G$2001,Transaksi!$M$2:$M$2001,"="&amp;S881)+SUMIFS(Transaksi!$H$2:$H$2001,Transaksi!$M$2:$M$2001,"="&amp;S881)+SUMIFS(Transaksi!$I$2:$I$2001,Transaksi!$M$2:$M$2001,"="&amp;S881),IF(J881="E",IF(INDEX(Transaksi!$G$2:$G$2001,K881)+INDEX(Transaksi!$H$2:$H$2001,K881)+INDEX(Transaksi!$I$2:$I$2001,K881)=0,"",INDEX(Transaksi!$G$2:$G$2001,K881)+INDEX(Transaksi!$H$2:$H$2001,K881)+INDEX(Transaksi!$I$2:$I$2001,K881)),""))</f>
        <v/>
      </c>
      <c r="F881" s="33">
        <f>IF(J881="H",SUMIFS(Transaksi!$J$2:$J$2001,Transaksi!$M$2:$M$2001,"="&amp;S881),IF(J881="E",IF(INDEX(Transaksi!$J$2:$J$2001,K881)=0,"",INDEX(Transaksi!$J$2:$J$2001,K881)),""))</f>
        <v/>
      </c>
      <c r="G881" s="33">
        <f>IF(J881="H",(SUMIFS(Transaksi!$G$2:$G$2001,Transaksi!$M$2:$M$2001,"&lt;="&amp;S881)+SUMIFS(Transaksi!$H$2:$H$2001,Transaksi!$M$2:$M$2001,"&lt;="&amp;S881)+SUMIFS(Transaksi!$I$2:$I$2001,Transaksi!$M$2:$M$2001,"&lt;="&amp;S881))-(SUMIFS(Transaksi!$J$2:$J$2001,Transaksi!$M$2:$M$2001,"&lt;="&amp;S881)),"")</f>
        <v/>
      </c>
      <c r="I881">
        <f>IF(878&gt;$O$2,"",MATCH(878,$Q$3:$Q$402,1))</f>
        <v/>
      </c>
      <c r="J881">
        <f>IF(I881="","",IF(878=INDEX($Q$3:$Q$402,I881),"H","E"))</f>
        <v/>
      </c>
      <c r="K881">
        <f>IF(J881&lt;&gt;"E","",MATCH(S881,Transaksi!$M$2:$M$2001,0)+878-INDEX($Q$3:$Q$402,I881)-1)</f>
        <v/>
      </c>
      <c r="S881">
        <f>IF(I881="","",INDEX($O$3:$O$402,I881))</f>
        <v/>
      </c>
      <c r="T881">
        <f>IF(J881&lt;&gt;"H","",INDEX(Transaksi!$A$2:$A$2001,MATCH(S881,Transaksi!$M$2:$M$2001,0)))</f>
        <v/>
      </c>
    </row>
    <row r="882">
      <c r="A882" s="31">
        <f>IF(J882="E",IF(INDEX(Transaksi!$J$2:$J$2001,K882)&gt;0,"↑","↓"),"")</f>
        <v/>
      </c>
      <c r="B882" s="32">
        <f>IF(J882="H",CHOOSE(WEEKDAY(T882,2),"Isnin","Selasa","Rabu","Khamis","Jumaat","Sabtu","Ahad")&amp;", "&amp;DAY(T882)&amp;" "&amp;CHOOSE(MONTH(T882),"Jan","Feb","Mac","Apr","Mei","Jun","Jul","Ogo","Sep","Okt","Nov","Dis")&amp;" "&amp;YEAR(T882),IF(J882="E",IF(INDEX(Transaksi!$B$2:$B$2001,K882)="",INDEX(Transaksi!$C$2:$C$2001,K882)&amp;" · "&amp;INDEX(Transaksi!$D$2:$D$2001,K882),INDEX(Transaksi!$B$2:$B$2001,K882)),""))</f>
        <v/>
      </c>
      <c r="C882" s="32">
        <f>IF(J882="E",INDEX(Transaksi!$C$2:$C$2001,K882)&amp;"","")</f>
        <v/>
      </c>
      <c r="D882" s="32">
        <f>IF(J882="E",INDEX(Transaksi!$D$2:$D$2001,K882)&amp;"","")</f>
        <v/>
      </c>
      <c r="E882" s="33">
        <f>IF(J882="H",SUMIFS(Transaksi!$G$2:$G$2001,Transaksi!$M$2:$M$2001,"="&amp;S882)+SUMIFS(Transaksi!$H$2:$H$2001,Transaksi!$M$2:$M$2001,"="&amp;S882)+SUMIFS(Transaksi!$I$2:$I$2001,Transaksi!$M$2:$M$2001,"="&amp;S882),IF(J882="E",IF(INDEX(Transaksi!$G$2:$G$2001,K882)+INDEX(Transaksi!$H$2:$H$2001,K882)+INDEX(Transaksi!$I$2:$I$2001,K882)=0,"",INDEX(Transaksi!$G$2:$G$2001,K882)+INDEX(Transaksi!$H$2:$H$2001,K882)+INDEX(Transaksi!$I$2:$I$2001,K882)),""))</f>
        <v/>
      </c>
      <c r="F882" s="33">
        <f>IF(J882="H",SUMIFS(Transaksi!$J$2:$J$2001,Transaksi!$M$2:$M$2001,"="&amp;S882),IF(J882="E",IF(INDEX(Transaksi!$J$2:$J$2001,K882)=0,"",INDEX(Transaksi!$J$2:$J$2001,K882)),""))</f>
        <v/>
      </c>
      <c r="G882" s="33">
        <f>IF(J882="H",(SUMIFS(Transaksi!$G$2:$G$2001,Transaksi!$M$2:$M$2001,"&lt;="&amp;S882)+SUMIFS(Transaksi!$H$2:$H$2001,Transaksi!$M$2:$M$2001,"&lt;="&amp;S882)+SUMIFS(Transaksi!$I$2:$I$2001,Transaksi!$M$2:$M$2001,"&lt;="&amp;S882))-(SUMIFS(Transaksi!$J$2:$J$2001,Transaksi!$M$2:$M$2001,"&lt;="&amp;S882)),"")</f>
        <v/>
      </c>
      <c r="I882">
        <f>IF(879&gt;$O$2,"",MATCH(879,$Q$3:$Q$402,1))</f>
        <v/>
      </c>
      <c r="J882">
        <f>IF(I882="","",IF(879=INDEX($Q$3:$Q$402,I882),"H","E"))</f>
        <v/>
      </c>
      <c r="K882">
        <f>IF(J882&lt;&gt;"E","",MATCH(S882,Transaksi!$M$2:$M$2001,0)+879-INDEX($Q$3:$Q$402,I882)-1)</f>
        <v/>
      </c>
      <c r="S882">
        <f>IF(I882="","",INDEX($O$3:$O$402,I882))</f>
        <v/>
      </c>
      <c r="T882">
        <f>IF(J882&lt;&gt;"H","",INDEX(Transaksi!$A$2:$A$2001,MATCH(S882,Transaksi!$M$2:$M$2001,0)))</f>
        <v/>
      </c>
    </row>
    <row r="883">
      <c r="A883" s="31">
        <f>IF(J883="E",IF(INDEX(Transaksi!$J$2:$J$2001,K883)&gt;0,"↑","↓"),"")</f>
        <v/>
      </c>
      <c r="B883" s="32">
        <f>IF(J883="H",CHOOSE(WEEKDAY(T883,2),"Isnin","Selasa","Rabu","Khamis","Jumaat","Sabtu","Ahad")&amp;", "&amp;DAY(T883)&amp;" "&amp;CHOOSE(MONTH(T883),"Jan","Feb","Mac","Apr","Mei","Jun","Jul","Ogo","Sep","Okt","Nov","Dis")&amp;" "&amp;YEAR(T883),IF(J883="E",IF(INDEX(Transaksi!$B$2:$B$2001,K883)="",INDEX(Transaksi!$C$2:$C$2001,K883)&amp;" · "&amp;INDEX(Transaksi!$D$2:$D$2001,K883),INDEX(Transaksi!$B$2:$B$2001,K883)),""))</f>
        <v/>
      </c>
      <c r="C883" s="32">
        <f>IF(J883="E",INDEX(Transaksi!$C$2:$C$2001,K883)&amp;"","")</f>
        <v/>
      </c>
      <c r="D883" s="32">
        <f>IF(J883="E",INDEX(Transaksi!$D$2:$D$2001,K883)&amp;"","")</f>
        <v/>
      </c>
      <c r="E883" s="33">
        <f>IF(J883="H",SUMIFS(Transaksi!$G$2:$G$2001,Transaksi!$M$2:$M$2001,"="&amp;S883)+SUMIFS(Transaksi!$H$2:$H$2001,Transaksi!$M$2:$M$2001,"="&amp;S883)+SUMIFS(Transaksi!$I$2:$I$2001,Transaksi!$M$2:$M$2001,"="&amp;S883),IF(J883="E",IF(INDEX(Transaksi!$G$2:$G$2001,K883)+INDEX(Transaksi!$H$2:$H$2001,K883)+INDEX(Transaksi!$I$2:$I$2001,K883)=0,"",INDEX(Transaksi!$G$2:$G$2001,K883)+INDEX(Transaksi!$H$2:$H$2001,K883)+INDEX(Transaksi!$I$2:$I$2001,K883)),""))</f>
        <v/>
      </c>
      <c r="F883" s="33">
        <f>IF(J883="H",SUMIFS(Transaksi!$J$2:$J$2001,Transaksi!$M$2:$M$2001,"="&amp;S883),IF(J883="E",IF(INDEX(Transaksi!$J$2:$J$2001,K883)=0,"",INDEX(Transaksi!$J$2:$J$2001,K883)),""))</f>
        <v/>
      </c>
      <c r="G883" s="33">
        <f>IF(J883="H",(SUMIFS(Transaksi!$G$2:$G$2001,Transaksi!$M$2:$M$2001,"&lt;="&amp;S883)+SUMIFS(Transaksi!$H$2:$H$2001,Transaksi!$M$2:$M$2001,"&lt;="&amp;S883)+SUMIFS(Transaksi!$I$2:$I$2001,Transaksi!$M$2:$M$2001,"&lt;="&amp;S883))-(SUMIFS(Transaksi!$J$2:$J$2001,Transaksi!$M$2:$M$2001,"&lt;="&amp;S883)),"")</f>
        <v/>
      </c>
      <c r="I883">
        <f>IF(880&gt;$O$2,"",MATCH(880,$Q$3:$Q$402,1))</f>
        <v/>
      </c>
      <c r="J883">
        <f>IF(I883="","",IF(880=INDEX($Q$3:$Q$402,I883),"H","E"))</f>
        <v/>
      </c>
      <c r="K883">
        <f>IF(J883&lt;&gt;"E","",MATCH(S883,Transaksi!$M$2:$M$2001,0)+880-INDEX($Q$3:$Q$402,I883)-1)</f>
        <v/>
      </c>
      <c r="S883">
        <f>IF(I883="","",INDEX($O$3:$O$402,I883))</f>
        <v/>
      </c>
      <c r="T883">
        <f>IF(J883&lt;&gt;"H","",INDEX(Transaksi!$A$2:$A$2001,MATCH(S883,Transaksi!$M$2:$M$2001,0)))</f>
        <v/>
      </c>
    </row>
    <row r="884">
      <c r="A884" s="31">
        <f>IF(J884="E",IF(INDEX(Transaksi!$J$2:$J$2001,K884)&gt;0,"↑","↓"),"")</f>
        <v/>
      </c>
      <c r="B884" s="32">
        <f>IF(J884="H",CHOOSE(WEEKDAY(T884,2),"Isnin","Selasa","Rabu","Khamis","Jumaat","Sabtu","Ahad")&amp;", "&amp;DAY(T884)&amp;" "&amp;CHOOSE(MONTH(T884),"Jan","Feb","Mac","Apr","Mei","Jun","Jul","Ogo","Sep","Okt","Nov","Dis")&amp;" "&amp;YEAR(T884),IF(J884="E",IF(INDEX(Transaksi!$B$2:$B$2001,K884)="",INDEX(Transaksi!$C$2:$C$2001,K884)&amp;" · "&amp;INDEX(Transaksi!$D$2:$D$2001,K884),INDEX(Transaksi!$B$2:$B$2001,K884)),""))</f>
        <v/>
      </c>
      <c r="C884" s="32">
        <f>IF(J884="E",INDEX(Transaksi!$C$2:$C$2001,K884)&amp;"","")</f>
        <v/>
      </c>
      <c r="D884" s="32">
        <f>IF(J884="E",INDEX(Transaksi!$D$2:$D$2001,K884)&amp;"","")</f>
        <v/>
      </c>
      <c r="E884" s="33">
        <f>IF(J884="H",SUMIFS(Transaksi!$G$2:$G$2001,Transaksi!$M$2:$M$2001,"="&amp;S884)+SUMIFS(Transaksi!$H$2:$H$2001,Transaksi!$M$2:$M$2001,"="&amp;S884)+SUMIFS(Transaksi!$I$2:$I$2001,Transaksi!$M$2:$M$2001,"="&amp;S884),IF(J884="E",IF(INDEX(Transaksi!$G$2:$G$2001,K884)+INDEX(Transaksi!$H$2:$H$2001,K884)+INDEX(Transaksi!$I$2:$I$2001,K884)=0,"",INDEX(Transaksi!$G$2:$G$2001,K884)+INDEX(Transaksi!$H$2:$H$2001,K884)+INDEX(Transaksi!$I$2:$I$2001,K884)),""))</f>
        <v/>
      </c>
      <c r="F884" s="33">
        <f>IF(J884="H",SUMIFS(Transaksi!$J$2:$J$2001,Transaksi!$M$2:$M$2001,"="&amp;S884),IF(J884="E",IF(INDEX(Transaksi!$J$2:$J$2001,K884)=0,"",INDEX(Transaksi!$J$2:$J$2001,K884)),""))</f>
        <v/>
      </c>
      <c r="G884" s="33">
        <f>IF(J884="H",(SUMIFS(Transaksi!$G$2:$G$2001,Transaksi!$M$2:$M$2001,"&lt;="&amp;S884)+SUMIFS(Transaksi!$H$2:$H$2001,Transaksi!$M$2:$M$2001,"&lt;="&amp;S884)+SUMIFS(Transaksi!$I$2:$I$2001,Transaksi!$M$2:$M$2001,"&lt;="&amp;S884))-(SUMIFS(Transaksi!$J$2:$J$2001,Transaksi!$M$2:$M$2001,"&lt;="&amp;S884)),"")</f>
        <v/>
      </c>
      <c r="I884">
        <f>IF(881&gt;$O$2,"",MATCH(881,$Q$3:$Q$402,1))</f>
        <v/>
      </c>
      <c r="J884">
        <f>IF(I884="","",IF(881=INDEX($Q$3:$Q$402,I884),"H","E"))</f>
        <v/>
      </c>
      <c r="K884">
        <f>IF(J884&lt;&gt;"E","",MATCH(S884,Transaksi!$M$2:$M$2001,0)+881-INDEX($Q$3:$Q$402,I884)-1)</f>
        <v/>
      </c>
      <c r="S884">
        <f>IF(I884="","",INDEX($O$3:$O$402,I884))</f>
        <v/>
      </c>
      <c r="T884">
        <f>IF(J884&lt;&gt;"H","",INDEX(Transaksi!$A$2:$A$2001,MATCH(S884,Transaksi!$M$2:$M$2001,0)))</f>
        <v/>
      </c>
    </row>
    <row r="885">
      <c r="A885" s="31">
        <f>IF(J885="E",IF(INDEX(Transaksi!$J$2:$J$2001,K885)&gt;0,"↑","↓"),"")</f>
        <v/>
      </c>
      <c r="B885" s="32">
        <f>IF(J885="H",CHOOSE(WEEKDAY(T885,2),"Isnin","Selasa","Rabu","Khamis","Jumaat","Sabtu","Ahad")&amp;", "&amp;DAY(T885)&amp;" "&amp;CHOOSE(MONTH(T885),"Jan","Feb","Mac","Apr","Mei","Jun","Jul","Ogo","Sep","Okt","Nov","Dis")&amp;" "&amp;YEAR(T885),IF(J885="E",IF(INDEX(Transaksi!$B$2:$B$2001,K885)="",INDEX(Transaksi!$C$2:$C$2001,K885)&amp;" · "&amp;INDEX(Transaksi!$D$2:$D$2001,K885),INDEX(Transaksi!$B$2:$B$2001,K885)),""))</f>
        <v/>
      </c>
      <c r="C885" s="32">
        <f>IF(J885="E",INDEX(Transaksi!$C$2:$C$2001,K885)&amp;"","")</f>
        <v/>
      </c>
      <c r="D885" s="32">
        <f>IF(J885="E",INDEX(Transaksi!$D$2:$D$2001,K885)&amp;"","")</f>
        <v/>
      </c>
      <c r="E885" s="33">
        <f>IF(J885="H",SUMIFS(Transaksi!$G$2:$G$2001,Transaksi!$M$2:$M$2001,"="&amp;S885)+SUMIFS(Transaksi!$H$2:$H$2001,Transaksi!$M$2:$M$2001,"="&amp;S885)+SUMIFS(Transaksi!$I$2:$I$2001,Transaksi!$M$2:$M$2001,"="&amp;S885),IF(J885="E",IF(INDEX(Transaksi!$G$2:$G$2001,K885)+INDEX(Transaksi!$H$2:$H$2001,K885)+INDEX(Transaksi!$I$2:$I$2001,K885)=0,"",INDEX(Transaksi!$G$2:$G$2001,K885)+INDEX(Transaksi!$H$2:$H$2001,K885)+INDEX(Transaksi!$I$2:$I$2001,K885)),""))</f>
        <v/>
      </c>
      <c r="F885" s="33">
        <f>IF(J885="H",SUMIFS(Transaksi!$J$2:$J$2001,Transaksi!$M$2:$M$2001,"="&amp;S885),IF(J885="E",IF(INDEX(Transaksi!$J$2:$J$2001,K885)=0,"",INDEX(Transaksi!$J$2:$J$2001,K885)),""))</f>
        <v/>
      </c>
      <c r="G885" s="33">
        <f>IF(J885="H",(SUMIFS(Transaksi!$G$2:$G$2001,Transaksi!$M$2:$M$2001,"&lt;="&amp;S885)+SUMIFS(Transaksi!$H$2:$H$2001,Transaksi!$M$2:$M$2001,"&lt;="&amp;S885)+SUMIFS(Transaksi!$I$2:$I$2001,Transaksi!$M$2:$M$2001,"&lt;="&amp;S885))-(SUMIFS(Transaksi!$J$2:$J$2001,Transaksi!$M$2:$M$2001,"&lt;="&amp;S885)),"")</f>
        <v/>
      </c>
      <c r="I885">
        <f>IF(882&gt;$O$2,"",MATCH(882,$Q$3:$Q$402,1))</f>
        <v/>
      </c>
      <c r="J885">
        <f>IF(I885="","",IF(882=INDEX($Q$3:$Q$402,I885),"H","E"))</f>
        <v/>
      </c>
      <c r="K885">
        <f>IF(J885&lt;&gt;"E","",MATCH(S885,Transaksi!$M$2:$M$2001,0)+882-INDEX($Q$3:$Q$402,I885)-1)</f>
        <v/>
      </c>
      <c r="S885">
        <f>IF(I885="","",INDEX($O$3:$O$402,I885))</f>
        <v/>
      </c>
      <c r="T885">
        <f>IF(J885&lt;&gt;"H","",INDEX(Transaksi!$A$2:$A$2001,MATCH(S885,Transaksi!$M$2:$M$2001,0)))</f>
        <v/>
      </c>
    </row>
    <row r="886">
      <c r="A886" s="31">
        <f>IF(J886="E",IF(INDEX(Transaksi!$J$2:$J$2001,K886)&gt;0,"↑","↓"),"")</f>
        <v/>
      </c>
      <c r="B886" s="32">
        <f>IF(J886="H",CHOOSE(WEEKDAY(T886,2),"Isnin","Selasa","Rabu","Khamis","Jumaat","Sabtu","Ahad")&amp;", "&amp;DAY(T886)&amp;" "&amp;CHOOSE(MONTH(T886),"Jan","Feb","Mac","Apr","Mei","Jun","Jul","Ogo","Sep","Okt","Nov","Dis")&amp;" "&amp;YEAR(T886),IF(J886="E",IF(INDEX(Transaksi!$B$2:$B$2001,K886)="",INDEX(Transaksi!$C$2:$C$2001,K886)&amp;" · "&amp;INDEX(Transaksi!$D$2:$D$2001,K886),INDEX(Transaksi!$B$2:$B$2001,K886)),""))</f>
        <v/>
      </c>
      <c r="C886" s="32">
        <f>IF(J886="E",INDEX(Transaksi!$C$2:$C$2001,K886)&amp;"","")</f>
        <v/>
      </c>
      <c r="D886" s="32">
        <f>IF(J886="E",INDEX(Transaksi!$D$2:$D$2001,K886)&amp;"","")</f>
        <v/>
      </c>
      <c r="E886" s="33">
        <f>IF(J886="H",SUMIFS(Transaksi!$G$2:$G$2001,Transaksi!$M$2:$M$2001,"="&amp;S886)+SUMIFS(Transaksi!$H$2:$H$2001,Transaksi!$M$2:$M$2001,"="&amp;S886)+SUMIFS(Transaksi!$I$2:$I$2001,Transaksi!$M$2:$M$2001,"="&amp;S886),IF(J886="E",IF(INDEX(Transaksi!$G$2:$G$2001,K886)+INDEX(Transaksi!$H$2:$H$2001,K886)+INDEX(Transaksi!$I$2:$I$2001,K886)=0,"",INDEX(Transaksi!$G$2:$G$2001,K886)+INDEX(Transaksi!$H$2:$H$2001,K886)+INDEX(Transaksi!$I$2:$I$2001,K886)),""))</f>
        <v/>
      </c>
      <c r="F886" s="33">
        <f>IF(J886="H",SUMIFS(Transaksi!$J$2:$J$2001,Transaksi!$M$2:$M$2001,"="&amp;S886),IF(J886="E",IF(INDEX(Transaksi!$J$2:$J$2001,K886)=0,"",INDEX(Transaksi!$J$2:$J$2001,K886)),""))</f>
        <v/>
      </c>
      <c r="G886" s="33">
        <f>IF(J886="H",(SUMIFS(Transaksi!$G$2:$G$2001,Transaksi!$M$2:$M$2001,"&lt;="&amp;S886)+SUMIFS(Transaksi!$H$2:$H$2001,Transaksi!$M$2:$M$2001,"&lt;="&amp;S886)+SUMIFS(Transaksi!$I$2:$I$2001,Transaksi!$M$2:$M$2001,"&lt;="&amp;S886))-(SUMIFS(Transaksi!$J$2:$J$2001,Transaksi!$M$2:$M$2001,"&lt;="&amp;S886)),"")</f>
        <v/>
      </c>
      <c r="I886">
        <f>IF(883&gt;$O$2,"",MATCH(883,$Q$3:$Q$402,1))</f>
        <v/>
      </c>
      <c r="J886">
        <f>IF(I886="","",IF(883=INDEX($Q$3:$Q$402,I886),"H","E"))</f>
        <v/>
      </c>
      <c r="K886">
        <f>IF(J886&lt;&gt;"E","",MATCH(S886,Transaksi!$M$2:$M$2001,0)+883-INDEX($Q$3:$Q$402,I886)-1)</f>
        <v/>
      </c>
      <c r="S886">
        <f>IF(I886="","",INDEX($O$3:$O$402,I886))</f>
        <v/>
      </c>
      <c r="T886">
        <f>IF(J886&lt;&gt;"H","",INDEX(Transaksi!$A$2:$A$2001,MATCH(S886,Transaksi!$M$2:$M$2001,0)))</f>
        <v/>
      </c>
    </row>
    <row r="887">
      <c r="A887" s="31">
        <f>IF(J887="E",IF(INDEX(Transaksi!$J$2:$J$2001,K887)&gt;0,"↑","↓"),"")</f>
        <v/>
      </c>
      <c r="B887" s="32">
        <f>IF(J887="H",CHOOSE(WEEKDAY(T887,2),"Isnin","Selasa","Rabu","Khamis","Jumaat","Sabtu","Ahad")&amp;", "&amp;DAY(T887)&amp;" "&amp;CHOOSE(MONTH(T887),"Jan","Feb","Mac","Apr","Mei","Jun","Jul","Ogo","Sep","Okt","Nov","Dis")&amp;" "&amp;YEAR(T887),IF(J887="E",IF(INDEX(Transaksi!$B$2:$B$2001,K887)="",INDEX(Transaksi!$C$2:$C$2001,K887)&amp;" · "&amp;INDEX(Transaksi!$D$2:$D$2001,K887),INDEX(Transaksi!$B$2:$B$2001,K887)),""))</f>
        <v/>
      </c>
      <c r="C887" s="32">
        <f>IF(J887="E",INDEX(Transaksi!$C$2:$C$2001,K887)&amp;"","")</f>
        <v/>
      </c>
      <c r="D887" s="32">
        <f>IF(J887="E",INDEX(Transaksi!$D$2:$D$2001,K887)&amp;"","")</f>
        <v/>
      </c>
      <c r="E887" s="33">
        <f>IF(J887="H",SUMIFS(Transaksi!$G$2:$G$2001,Transaksi!$M$2:$M$2001,"="&amp;S887)+SUMIFS(Transaksi!$H$2:$H$2001,Transaksi!$M$2:$M$2001,"="&amp;S887)+SUMIFS(Transaksi!$I$2:$I$2001,Transaksi!$M$2:$M$2001,"="&amp;S887),IF(J887="E",IF(INDEX(Transaksi!$G$2:$G$2001,K887)+INDEX(Transaksi!$H$2:$H$2001,K887)+INDEX(Transaksi!$I$2:$I$2001,K887)=0,"",INDEX(Transaksi!$G$2:$G$2001,K887)+INDEX(Transaksi!$H$2:$H$2001,K887)+INDEX(Transaksi!$I$2:$I$2001,K887)),""))</f>
        <v/>
      </c>
      <c r="F887" s="33">
        <f>IF(J887="H",SUMIFS(Transaksi!$J$2:$J$2001,Transaksi!$M$2:$M$2001,"="&amp;S887),IF(J887="E",IF(INDEX(Transaksi!$J$2:$J$2001,K887)=0,"",INDEX(Transaksi!$J$2:$J$2001,K887)),""))</f>
        <v/>
      </c>
      <c r="G887" s="33">
        <f>IF(J887="H",(SUMIFS(Transaksi!$G$2:$G$2001,Transaksi!$M$2:$M$2001,"&lt;="&amp;S887)+SUMIFS(Transaksi!$H$2:$H$2001,Transaksi!$M$2:$M$2001,"&lt;="&amp;S887)+SUMIFS(Transaksi!$I$2:$I$2001,Transaksi!$M$2:$M$2001,"&lt;="&amp;S887))-(SUMIFS(Transaksi!$J$2:$J$2001,Transaksi!$M$2:$M$2001,"&lt;="&amp;S887)),"")</f>
        <v/>
      </c>
      <c r="I887">
        <f>IF(884&gt;$O$2,"",MATCH(884,$Q$3:$Q$402,1))</f>
        <v/>
      </c>
      <c r="J887">
        <f>IF(I887="","",IF(884=INDEX($Q$3:$Q$402,I887),"H","E"))</f>
        <v/>
      </c>
      <c r="K887">
        <f>IF(J887&lt;&gt;"E","",MATCH(S887,Transaksi!$M$2:$M$2001,0)+884-INDEX($Q$3:$Q$402,I887)-1)</f>
        <v/>
      </c>
      <c r="S887">
        <f>IF(I887="","",INDEX($O$3:$O$402,I887))</f>
        <v/>
      </c>
      <c r="T887">
        <f>IF(J887&lt;&gt;"H","",INDEX(Transaksi!$A$2:$A$2001,MATCH(S887,Transaksi!$M$2:$M$2001,0)))</f>
        <v/>
      </c>
    </row>
    <row r="888">
      <c r="A888" s="31">
        <f>IF(J888="E",IF(INDEX(Transaksi!$J$2:$J$2001,K888)&gt;0,"↑","↓"),"")</f>
        <v/>
      </c>
      <c r="B888" s="32">
        <f>IF(J888="H",CHOOSE(WEEKDAY(T888,2),"Isnin","Selasa","Rabu","Khamis","Jumaat","Sabtu","Ahad")&amp;", "&amp;DAY(T888)&amp;" "&amp;CHOOSE(MONTH(T888),"Jan","Feb","Mac","Apr","Mei","Jun","Jul","Ogo","Sep","Okt","Nov","Dis")&amp;" "&amp;YEAR(T888),IF(J888="E",IF(INDEX(Transaksi!$B$2:$B$2001,K888)="",INDEX(Transaksi!$C$2:$C$2001,K888)&amp;" · "&amp;INDEX(Transaksi!$D$2:$D$2001,K888),INDEX(Transaksi!$B$2:$B$2001,K888)),""))</f>
        <v/>
      </c>
      <c r="C888" s="32">
        <f>IF(J888="E",INDEX(Transaksi!$C$2:$C$2001,K888)&amp;"","")</f>
        <v/>
      </c>
      <c r="D888" s="32">
        <f>IF(J888="E",INDEX(Transaksi!$D$2:$D$2001,K888)&amp;"","")</f>
        <v/>
      </c>
      <c r="E888" s="33">
        <f>IF(J888="H",SUMIFS(Transaksi!$G$2:$G$2001,Transaksi!$M$2:$M$2001,"="&amp;S888)+SUMIFS(Transaksi!$H$2:$H$2001,Transaksi!$M$2:$M$2001,"="&amp;S888)+SUMIFS(Transaksi!$I$2:$I$2001,Transaksi!$M$2:$M$2001,"="&amp;S888),IF(J888="E",IF(INDEX(Transaksi!$G$2:$G$2001,K888)+INDEX(Transaksi!$H$2:$H$2001,K888)+INDEX(Transaksi!$I$2:$I$2001,K888)=0,"",INDEX(Transaksi!$G$2:$G$2001,K888)+INDEX(Transaksi!$H$2:$H$2001,K888)+INDEX(Transaksi!$I$2:$I$2001,K888)),""))</f>
        <v/>
      </c>
      <c r="F888" s="33">
        <f>IF(J888="H",SUMIFS(Transaksi!$J$2:$J$2001,Transaksi!$M$2:$M$2001,"="&amp;S888),IF(J888="E",IF(INDEX(Transaksi!$J$2:$J$2001,K888)=0,"",INDEX(Transaksi!$J$2:$J$2001,K888)),""))</f>
        <v/>
      </c>
      <c r="G888" s="33">
        <f>IF(J888="H",(SUMIFS(Transaksi!$G$2:$G$2001,Transaksi!$M$2:$M$2001,"&lt;="&amp;S888)+SUMIFS(Transaksi!$H$2:$H$2001,Transaksi!$M$2:$M$2001,"&lt;="&amp;S888)+SUMIFS(Transaksi!$I$2:$I$2001,Transaksi!$M$2:$M$2001,"&lt;="&amp;S888))-(SUMIFS(Transaksi!$J$2:$J$2001,Transaksi!$M$2:$M$2001,"&lt;="&amp;S888)),"")</f>
        <v/>
      </c>
      <c r="I888">
        <f>IF(885&gt;$O$2,"",MATCH(885,$Q$3:$Q$402,1))</f>
        <v/>
      </c>
      <c r="J888">
        <f>IF(I888="","",IF(885=INDEX($Q$3:$Q$402,I888),"H","E"))</f>
        <v/>
      </c>
      <c r="K888">
        <f>IF(J888&lt;&gt;"E","",MATCH(S888,Transaksi!$M$2:$M$2001,0)+885-INDEX($Q$3:$Q$402,I888)-1)</f>
        <v/>
      </c>
      <c r="S888">
        <f>IF(I888="","",INDEX($O$3:$O$402,I888))</f>
        <v/>
      </c>
      <c r="T888">
        <f>IF(J888&lt;&gt;"H","",INDEX(Transaksi!$A$2:$A$2001,MATCH(S888,Transaksi!$M$2:$M$2001,0)))</f>
        <v/>
      </c>
    </row>
    <row r="889">
      <c r="A889" s="31">
        <f>IF(J889="E",IF(INDEX(Transaksi!$J$2:$J$2001,K889)&gt;0,"↑","↓"),"")</f>
        <v/>
      </c>
      <c r="B889" s="32">
        <f>IF(J889="H",CHOOSE(WEEKDAY(T889,2),"Isnin","Selasa","Rabu","Khamis","Jumaat","Sabtu","Ahad")&amp;", "&amp;DAY(T889)&amp;" "&amp;CHOOSE(MONTH(T889),"Jan","Feb","Mac","Apr","Mei","Jun","Jul","Ogo","Sep","Okt","Nov","Dis")&amp;" "&amp;YEAR(T889),IF(J889="E",IF(INDEX(Transaksi!$B$2:$B$2001,K889)="",INDEX(Transaksi!$C$2:$C$2001,K889)&amp;" · "&amp;INDEX(Transaksi!$D$2:$D$2001,K889),INDEX(Transaksi!$B$2:$B$2001,K889)),""))</f>
        <v/>
      </c>
      <c r="C889" s="32">
        <f>IF(J889="E",INDEX(Transaksi!$C$2:$C$2001,K889)&amp;"","")</f>
        <v/>
      </c>
      <c r="D889" s="32">
        <f>IF(J889="E",INDEX(Transaksi!$D$2:$D$2001,K889)&amp;"","")</f>
        <v/>
      </c>
      <c r="E889" s="33">
        <f>IF(J889="H",SUMIFS(Transaksi!$G$2:$G$2001,Transaksi!$M$2:$M$2001,"="&amp;S889)+SUMIFS(Transaksi!$H$2:$H$2001,Transaksi!$M$2:$M$2001,"="&amp;S889)+SUMIFS(Transaksi!$I$2:$I$2001,Transaksi!$M$2:$M$2001,"="&amp;S889),IF(J889="E",IF(INDEX(Transaksi!$G$2:$G$2001,K889)+INDEX(Transaksi!$H$2:$H$2001,K889)+INDEX(Transaksi!$I$2:$I$2001,K889)=0,"",INDEX(Transaksi!$G$2:$G$2001,K889)+INDEX(Transaksi!$H$2:$H$2001,K889)+INDEX(Transaksi!$I$2:$I$2001,K889)),""))</f>
        <v/>
      </c>
      <c r="F889" s="33">
        <f>IF(J889="H",SUMIFS(Transaksi!$J$2:$J$2001,Transaksi!$M$2:$M$2001,"="&amp;S889),IF(J889="E",IF(INDEX(Transaksi!$J$2:$J$2001,K889)=0,"",INDEX(Transaksi!$J$2:$J$2001,K889)),""))</f>
        <v/>
      </c>
      <c r="G889" s="33">
        <f>IF(J889="H",(SUMIFS(Transaksi!$G$2:$G$2001,Transaksi!$M$2:$M$2001,"&lt;="&amp;S889)+SUMIFS(Transaksi!$H$2:$H$2001,Transaksi!$M$2:$M$2001,"&lt;="&amp;S889)+SUMIFS(Transaksi!$I$2:$I$2001,Transaksi!$M$2:$M$2001,"&lt;="&amp;S889))-(SUMIFS(Transaksi!$J$2:$J$2001,Transaksi!$M$2:$M$2001,"&lt;="&amp;S889)),"")</f>
        <v/>
      </c>
      <c r="I889">
        <f>IF(886&gt;$O$2,"",MATCH(886,$Q$3:$Q$402,1))</f>
        <v/>
      </c>
      <c r="J889">
        <f>IF(I889="","",IF(886=INDEX($Q$3:$Q$402,I889),"H","E"))</f>
        <v/>
      </c>
      <c r="K889">
        <f>IF(J889&lt;&gt;"E","",MATCH(S889,Transaksi!$M$2:$M$2001,0)+886-INDEX($Q$3:$Q$402,I889)-1)</f>
        <v/>
      </c>
      <c r="S889">
        <f>IF(I889="","",INDEX($O$3:$O$402,I889))</f>
        <v/>
      </c>
      <c r="T889">
        <f>IF(J889&lt;&gt;"H","",INDEX(Transaksi!$A$2:$A$2001,MATCH(S889,Transaksi!$M$2:$M$2001,0)))</f>
        <v/>
      </c>
    </row>
    <row r="890">
      <c r="A890" s="31">
        <f>IF(J890="E",IF(INDEX(Transaksi!$J$2:$J$2001,K890)&gt;0,"↑","↓"),"")</f>
        <v/>
      </c>
      <c r="B890" s="32">
        <f>IF(J890="H",CHOOSE(WEEKDAY(T890,2),"Isnin","Selasa","Rabu","Khamis","Jumaat","Sabtu","Ahad")&amp;", "&amp;DAY(T890)&amp;" "&amp;CHOOSE(MONTH(T890),"Jan","Feb","Mac","Apr","Mei","Jun","Jul","Ogo","Sep","Okt","Nov","Dis")&amp;" "&amp;YEAR(T890),IF(J890="E",IF(INDEX(Transaksi!$B$2:$B$2001,K890)="",INDEX(Transaksi!$C$2:$C$2001,K890)&amp;" · "&amp;INDEX(Transaksi!$D$2:$D$2001,K890),INDEX(Transaksi!$B$2:$B$2001,K890)),""))</f>
        <v/>
      </c>
      <c r="C890" s="32">
        <f>IF(J890="E",INDEX(Transaksi!$C$2:$C$2001,K890)&amp;"","")</f>
        <v/>
      </c>
      <c r="D890" s="32">
        <f>IF(J890="E",INDEX(Transaksi!$D$2:$D$2001,K890)&amp;"","")</f>
        <v/>
      </c>
      <c r="E890" s="33">
        <f>IF(J890="H",SUMIFS(Transaksi!$G$2:$G$2001,Transaksi!$M$2:$M$2001,"="&amp;S890)+SUMIFS(Transaksi!$H$2:$H$2001,Transaksi!$M$2:$M$2001,"="&amp;S890)+SUMIFS(Transaksi!$I$2:$I$2001,Transaksi!$M$2:$M$2001,"="&amp;S890),IF(J890="E",IF(INDEX(Transaksi!$G$2:$G$2001,K890)+INDEX(Transaksi!$H$2:$H$2001,K890)+INDEX(Transaksi!$I$2:$I$2001,K890)=0,"",INDEX(Transaksi!$G$2:$G$2001,K890)+INDEX(Transaksi!$H$2:$H$2001,K890)+INDEX(Transaksi!$I$2:$I$2001,K890)),""))</f>
        <v/>
      </c>
      <c r="F890" s="33">
        <f>IF(J890="H",SUMIFS(Transaksi!$J$2:$J$2001,Transaksi!$M$2:$M$2001,"="&amp;S890),IF(J890="E",IF(INDEX(Transaksi!$J$2:$J$2001,K890)=0,"",INDEX(Transaksi!$J$2:$J$2001,K890)),""))</f>
        <v/>
      </c>
      <c r="G890" s="33">
        <f>IF(J890="H",(SUMIFS(Transaksi!$G$2:$G$2001,Transaksi!$M$2:$M$2001,"&lt;="&amp;S890)+SUMIFS(Transaksi!$H$2:$H$2001,Transaksi!$M$2:$M$2001,"&lt;="&amp;S890)+SUMIFS(Transaksi!$I$2:$I$2001,Transaksi!$M$2:$M$2001,"&lt;="&amp;S890))-(SUMIFS(Transaksi!$J$2:$J$2001,Transaksi!$M$2:$M$2001,"&lt;="&amp;S890)),"")</f>
        <v/>
      </c>
      <c r="I890">
        <f>IF(887&gt;$O$2,"",MATCH(887,$Q$3:$Q$402,1))</f>
        <v/>
      </c>
      <c r="J890">
        <f>IF(I890="","",IF(887=INDEX($Q$3:$Q$402,I890),"H","E"))</f>
        <v/>
      </c>
      <c r="K890">
        <f>IF(J890&lt;&gt;"E","",MATCH(S890,Transaksi!$M$2:$M$2001,0)+887-INDEX($Q$3:$Q$402,I890)-1)</f>
        <v/>
      </c>
      <c r="S890">
        <f>IF(I890="","",INDEX($O$3:$O$402,I890))</f>
        <v/>
      </c>
      <c r="T890">
        <f>IF(J890&lt;&gt;"H","",INDEX(Transaksi!$A$2:$A$2001,MATCH(S890,Transaksi!$M$2:$M$2001,0)))</f>
        <v/>
      </c>
    </row>
    <row r="891">
      <c r="A891" s="31">
        <f>IF(J891="E",IF(INDEX(Transaksi!$J$2:$J$2001,K891)&gt;0,"↑","↓"),"")</f>
        <v/>
      </c>
      <c r="B891" s="32">
        <f>IF(J891="H",CHOOSE(WEEKDAY(T891,2),"Isnin","Selasa","Rabu","Khamis","Jumaat","Sabtu","Ahad")&amp;", "&amp;DAY(T891)&amp;" "&amp;CHOOSE(MONTH(T891),"Jan","Feb","Mac","Apr","Mei","Jun","Jul","Ogo","Sep","Okt","Nov","Dis")&amp;" "&amp;YEAR(T891),IF(J891="E",IF(INDEX(Transaksi!$B$2:$B$2001,K891)="",INDEX(Transaksi!$C$2:$C$2001,K891)&amp;" · "&amp;INDEX(Transaksi!$D$2:$D$2001,K891),INDEX(Transaksi!$B$2:$B$2001,K891)),""))</f>
        <v/>
      </c>
      <c r="C891" s="32">
        <f>IF(J891="E",INDEX(Transaksi!$C$2:$C$2001,K891)&amp;"","")</f>
        <v/>
      </c>
      <c r="D891" s="32">
        <f>IF(J891="E",INDEX(Transaksi!$D$2:$D$2001,K891)&amp;"","")</f>
        <v/>
      </c>
      <c r="E891" s="33">
        <f>IF(J891="H",SUMIFS(Transaksi!$G$2:$G$2001,Transaksi!$M$2:$M$2001,"="&amp;S891)+SUMIFS(Transaksi!$H$2:$H$2001,Transaksi!$M$2:$M$2001,"="&amp;S891)+SUMIFS(Transaksi!$I$2:$I$2001,Transaksi!$M$2:$M$2001,"="&amp;S891),IF(J891="E",IF(INDEX(Transaksi!$G$2:$G$2001,K891)+INDEX(Transaksi!$H$2:$H$2001,K891)+INDEX(Transaksi!$I$2:$I$2001,K891)=0,"",INDEX(Transaksi!$G$2:$G$2001,K891)+INDEX(Transaksi!$H$2:$H$2001,K891)+INDEX(Transaksi!$I$2:$I$2001,K891)),""))</f>
        <v/>
      </c>
      <c r="F891" s="33">
        <f>IF(J891="H",SUMIFS(Transaksi!$J$2:$J$2001,Transaksi!$M$2:$M$2001,"="&amp;S891),IF(J891="E",IF(INDEX(Transaksi!$J$2:$J$2001,K891)=0,"",INDEX(Transaksi!$J$2:$J$2001,K891)),""))</f>
        <v/>
      </c>
      <c r="G891" s="33">
        <f>IF(J891="H",(SUMIFS(Transaksi!$G$2:$G$2001,Transaksi!$M$2:$M$2001,"&lt;="&amp;S891)+SUMIFS(Transaksi!$H$2:$H$2001,Transaksi!$M$2:$M$2001,"&lt;="&amp;S891)+SUMIFS(Transaksi!$I$2:$I$2001,Transaksi!$M$2:$M$2001,"&lt;="&amp;S891))-(SUMIFS(Transaksi!$J$2:$J$2001,Transaksi!$M$2:$M$2001,"&lt;="&amp;S891)),"")</f>
        <v/>
      </c>
      <c r="I891">
        <f>IF(888&gt;$O$2,"",MATCH(888,$Q$3:$Q$402,1))</f>
        <v/>
      </c>
      <c r="J891">
        <f>IF(I891="","",IF(888=INDEX($Q$3:$Q$402,I891),"H","E"))</f>
        <v/>
      </c>
      <c r="K891">
        <f>IF(J891&lt;&gt;"E","",MATCH(S891,Transaksi!$M$2:$M$2001,0)+888-INDEX($Q$3:$Q$402,I891)-1)</f>
        <v/>
      </c>
      <c r="S891">
        <f>IF(I891="","",INDEX($O$3:$O$402,I891))</f>
        <v/>
      </c>
      <c r="T891">
        <f>IF(J891&lt;&gt;"H","",INDEX(Transaksi!$A$2:$A$2001,MATCH(S891,Transaksi!$M$2:$M$2001,0)))</f>
        <v/>
      </c>
    </row>
    <row r="892">
      <c r="A892" s="31">
        <f>IF(J892="E",IF(INDEX(Transaksi!$J$2:$J$2001,K892)&gt;0,"↑","↓"),"")</f>
        <v/>
      </c>
      <c r="B892" s="32">
        <f>IF(J892="H",CHOOSE(WEEKDAY(T892,2),"Isnin","Selasa","Rabu","Khamis","Jumaat","Sabtu","Ahad")&amp;", "&amp;DAY(T892)&amp;" "&amp;CHOOSE(MONTH(T892),"Jan","Feb","Mac","Apr","Mei","Jun","Jul","Ogo","Sep","Okt","Nov","Dis")&amp;" "&amp;YEAR(T892),IF(J892="E",IF(INDEX(Transaksi!$B$2:$B$2001,K892)="",INDEX(Transaksi!$C$2:$C$2001,K892)&amp;" · "&amp;INDEX(Transaksi!$D$2:$D$2001,K892),INDEX(Transaksi!$B$2:$B$2001,K892)),""))</f>
        <v/>
      </c>
      <c r="C892" s="32">
        <f>IF(J892="E",INDEX(Transaksi!$C$2:$C$2001,K892)&amp;"","")</f>
        <v/>
      </c>
      <c r="D892" s="32">
        <f>IF(J892="E",INDEX(Transaksi!$D$2:$D$2001,K892)&amp;"","")</f>
        <v/>
      </c>
      <c r="E892" s="33">
        <f>IF(J892="H",SUMIFS(Transaksi!$G$2:$G$2001,Transaksi!$M$2:$M$2001,"="&amp;S892)+SUMIFS(Transaksi!$H$2:$H$2001,Transaksi!$M$2:$M$2001,"="&amp;S892)+SUMIFS(Transaksi!$I$2:$I$2001,Transaksi!$M$2:$M$2001,"="&amp;S892),IF(J892="E",IF(INDEX(Transaksi!$G$2:$G$2001,K892)+INDEX(Transaksi!$H$2:$H$2001,K892)+INDEX(Transaksi!$I$2:$I$2001,K892)=0,"",INDEX(Transaksi!$G$2:$G$2001,K892)+INDEX(Transaksi!$H$2:$H$2001,K892)+INDEX(Transaksi!$I$2:$I$2001,K892)),""))</f>
        <v/>
      </c>
      <c r="F892" s="33">
        <f>IF(J892="H",SUMIFS(Transaksi!$J$2:$J$2001,Transaksi!$M$2:$M$2001,"="&amp;S892),IF(J892="E",IF(INDEX(Transaksi!$J$2:$J$2001,K892)=0,"",INDEX(Transaksi!$J$2:$J$2001,K892)),""))</f>
        <v/>
      </c>
      <c r="G892" s="33">
        <f>IF(J892="H",(SUMIFS(Transaksi!$G$2:$G$2001,Transaksi!$M$2:$M$2001,"&lt;="&amp;S892)+SUMIFS(Transaksi!$H$2:$H$2001,Transaksi!$M$2:$M$2001,"&lt;="&amp;S892)+SUMIFS(Transaksi!$I$2:$I$2001,Transaksi!$M$2:$M$2001,"&lt;="&amp;S892))-(SUMIFS(Transaksi!$J$2:$J$2001,Transaksi!$M$2:$M$2001,"&lt;="&amp;S892)),"")</f>
        <v/>
      </c>
      <c r="I892">
        <f>IF(889&gt;$O$2,"",MATCH(889,$Q$3:$Q$402,1))</f>
        <v/>
      </c>
      <c r="J892">
        <f>IF(I892="","",IF(889=INDEX($Q$3:$Q$402,I892),"H","E"))</f>
        <v/>
      </c>
      <c r="K892">
        <f>IF(J892&lt;&gt;"E","",MATCH(S892,Transaksi!$M$2:$M$2001,0)+889-INDEX($Q$3:$Q$402,I892)-1)</f>
        <v/>
      </c>
      <c r="S892">
        <f>IF(I892="","",INDEX($O$3:$O$402,I892))</f>
        <v/>
      </c>
      <c r="T892">
        <f>IF(J892&lt;&gt;"H","",INDEX(Transaksi!$A$2:$A$2001,MATCH(S892,Transaksi!$M$2:$M$2001,0)))</f>
        <v/>
      </c>
    </row>
    <row r="893">
      <c r="A893" s="31">
        <f>IF(J893="E",IF(INDEX(Transaksi!$J$2:$J$2001,K893)&gt;0,"↑","↓"),"")</f>
        <v/>
      </c>
      <c r="B893" s="32">
        <f>IF(J893="H",CHOOSE(WEEKDAY(T893,2),"Isnin","Selasa","Rabu","Khamis","Jumaat","Sabtu","Ahad")&amp;", "&amp;DAY(T893)&amp;" "&amp;CHOOSE(MONTH(T893),"Jan","Feb","Mac","Apr","Mei","Jun","Jul","Ogo","Sep","Okt","Nov","Dis")&amp;" "&amp;YEAR(T893),IF(J893="E",IF(INDEX(Transaksi!$B$2:$B$2001,K893)="",INDEX(Transaksi!$C$2:$C$2001,K893)&amp;" · "&amp;INDEX(Transaksi!$D$2:$D$2001,K893),INDEX(Transaksi!$B$2:$B$2001,K893)),""))</f>
        <v/>
      </c>
      <c r="C893" s="32">
        <f>IF(J893="E",INDEX(Transaksi!$C$2:$C$2001,K893)&amp;"","")</f>
        <v/>
      </c>
      <c r="D893" s="32">
        <f>IF(J893="E",INDEX(Transaksi!$D$2:$D$2001,K893)&amp;"","")</f>
        <v/>
      </c>
      <c r="E893" s="33">
        <f>IF(J893="H",SUMIFS(Transaksi!$G$2:$G$2001,Transaksi!$M$2:$M$2001,"="&amp;S893)+SUMIFS(Transaksi!$H$2:$H$2001,Transaksi!$M$2:$M$2001,"="&amp;S893)+SUMIFS(Transaksi!$I$2:$I$2001,Transaksi!$M$2:$M$2001,"="&amp;S893),IF(J893="E",IF(INDEX(Transaksi!$G$2:$G$2001,K893)+INDEX(Transaksi!$H$2:$H$2001,K893)+INDEX(Transaksi!$I$2:$I$2001,K893)=0,"",INDEX(Transaksi!$G$2:$G$2001,K893)+INDEX(Transaksi!$H$2:$H$2001,K893)+INDEX(Transaksi!$I$2:$I$2001,K893)),""))</f>
        <v/>
      </c>
      <c r="F893" s="33">
        <f>IF(J893="H",SUMIFS(Transaksi!$J$2:$J$2001,Transaksi!$M$2:$M$2001,"="&amp;S893),IF(J893="E",IF(INDEX(Transaksi!$J$2:$J$2001,K893)=0,"",INDEX(Transaksi!$J$2:$J$2001,K893)),""))</f>
        <v/>
      </c>
      <c r="G893" s="33">
        <f>IF(J893="H",(SUMIFS(Transaksi!$G$2:$G$2001,Transaksi!$M$2:$M$2001,"&lt;="&amp;S893)+SUMIFS(Transaksi!$H$2:$H$2001,Transaksi!$M$2:$M$2001,"&lt;="&amp;S893)+SUMIFS(Transaksi!$I$2:$I$2001,Transaksi!$M$2:$M$2001,"&lt;="&amp;S893))-(SUMIFS(Transaksi!$J$2:$J$2001,Transaksi!$M$2:$M$2001,"&lt;="&amp;S893)),"")</f>
        <v/>
      </c>
      <c r="I893">
        <f>IF(890&gt;$O$2,"",MATCH(890,$Q$3:$Q$402,1))</f>
        <v/>
      </c>
      <c r="J893">
        <f>IF(I893="","",IF(890=INDEX($Q$3:$Q$402,I893),"H","E"))</f>
        <v/>
      </c>
      <c r="K893">
        <f>IF(J893&lt;&gt;"E","",MATCH(S893,Transaksi!$M$2:$M$2001,0)+890-INDEX($Q$3:$Q$402,I893)-1)</f>
        <v/>
      </c>
      <c r="S893">
        <f>IF(I893="","",INDEX($O$3:$O$402,I893))</f>
        <v/>
      </c>
      <c r="T893">
        <f>IF(J893&lt;&gt;"H","",INDEX(Transaksi!$A$2:$A$2001,MATCH(S893,Transaksi!$M$2:$M$2001,0)))</f>
        <v/>
      </c>
    </row>
    <row r="894">
      <c r="A894" s="31">
        <f>IF(J894="E",IF(INDEX(Transaksi!$J$2:$J$2001,K894)&gt;0,"↑","↓"),"")</f>
        <v/>
      </c>
      <c r="B894" s="32">
        <f>IF(J894="H",CHOOSE(WEEKDAY(T894,2),"Isnin","Selasa","Rabu","Khamis","Jumaat","Sabtu","Ahad")&amp;", "&amp;DAY(T894)&amp;" "&amp;CHOOSE(MONTH(T894),"Jan","Feb","Mac","Apr","Mei","Jun","Jul","Ogo","Sep","Okt","Nov","Dis")&amp;" "&amp;YEAR(T894),IF(J894="E",IF(INDEX(Transaksi!$B$2:$B$2001,K894)="",INDEX(Transaksi!$C$2:$C$2001,K894)&amp;" · "&amp;INDEX(Transaksi!$D$2:$D$2001,K894),INDEX(Transaksi!$B$2:$B$2001,K894)),""))</f>
        <v/>
      </c>
      <c r="C894" s="32">
        <f>IF(J894="E",INDEX(Transaksi!$C$2:$C$2001,K894)&amp;"","")</f>
        <v/>
      </c>
      <c r="D894" s="32">
        <f>IF(J894="E",INDEX(Transaksi!$D$2:$D$2001,K894)&amp;"","")</f>
        <v/>
      </c>
      <c r="E894" s="33">
        <f>IF(J894="H",SUMIFS(Transaksi!$G$2:$G$2001,Transaksi!$M$2:$M$2001,"="&amp;S894)+SUMIFS(Transaksi!$H$2:$H$2001,Transaksi!$M$2:$M$2001,"="&amp;S894)+SUMIFS(Transaksi!$I$2:$I$2001,Transaksi!$M$2:$M$2001,"="&amp;S894),IF(J894="E",IF(INDEX(Transaksi!$G$2:$G$2001,K894)+INDEX(Transaksi!$H$2:$H$2001,K894)+INDEX(Transaksi!$I$2:$I$2001,K894)=0,"",INDEX(Transaksi!$G$2:$G$2001,K894)+INDEX(Transaksi!$H$2:$H$2001,K894)+INDEX(Transaksi!$I$2:$I$2001,K894)),""))</f>
        <v/>
      </c>
      <c r="F894" s="33">
        <f>IF(J894="H",SUMIFS(Transaksi!$J$2:$J$2001,Transaksi!$M$2:$M$2001,"="&amp;S894),IF(J894="E",IF(INDEX(Transaksi!$J$2:$J$2001,K894)=0,"",INDEX(Transaksi!$J$2:$J$2001,K894)),""))</f>
        <v/>
      </c>
      <c r="G894" s="33">
        <f>IF(J894="H",(SUMIFS(Transaksi!$G$2:$G$2001,Transaksi!$M$2:$M$2001,"&lt;="&amp;S894)+SUMIFS(Transaksi!$H$2:$H$2001,Transaksi!$M$2:$M$2001,"&lt;="&amp;S894)+SUMIFS(Transaksi!$I$2:$I$2001,Transaksi!$M$2:$M$2001,"&lt;="&amp;S894))-(SUMIFS(Transaksi!$J$2:$J$2001,Transaksi!$M$2:$M$2001,"&lt;="&amp;S894)),"")</f>
        <v/>
      </c>
      <c r="I894">
        <f>IF(891&gt;$O$2,"",MATCH(891,$Q$3:$Q$402,1))</f>
        <v/>
      </c>
      <c r="J894">
        <f>IF(I894="","",IF(891=INDEX($Q$3:$Q$402,I894),"H","E"))</f>
        <v/>
      </c>
      <c r="K894">
        <f>IF(J894&lt;&gt;"E","",MATCH(S894,Transaksi!$M$2:$M$2001,0)+891-INDEX($Q$3:$Q$402,I894)-1)</f>
        <v/>
      </c>
      <c r="S894">
        <f>IF(I894="","",INDEX($O$3:$O$402,I894))</f>
        <v/>
      </c>
      <c r="T894">
        <f>IF(J894&lt;&gt;"H","",INDEX(Transaksi!$A$2:$A$2001,MATCH(S894,Transaksi!$M$2:$M$2001,0)))</f>
        <v/>
      </c>
    </row>
    <row r="895">
      <c r="A895" s="31">
        <f>IF(J895="E",IF(INDEX(Transaksi!$J$2:$J$2001,K895)&gt;0,"↑","↓"),"")</f>
        <v/>
      </c>
      <c r="B895" s="32">
        <f>IF(J895="H",CHOOSE(WEEKDAY(T895,2),"Isnin","Selasa","Rabu","Khamis","Jumaat","Sabtu","Ahad")&amp;", "&amp;DAY(T895)&amp;" "&amp;CHOOSE(MONTH(T895),"Jan","Feb","Mac","Apr","Mei","Jun","Jul","Ogo","Sep","Okt","Nov","Dis")&amp;" "&amp;YEAR(T895),IF(J895="E",IF(INDEX(Transaksi!$B$2:$B$2001,K895)="",INDEX(Transaksi!$C$2:$C$2001,K895)&amp;" · "&amp;INDEX(Transaksi!$D$2:$D$2001,K895),INDEX(Transaksi!$B$2:$B$2001,K895)),""))</f>
        <v/>
      </c>
      <c r="C895" s="32">
        <f>IF(J895="E",INDEX(Transaksi!$C$2:$C$2001,K895)&amp;"","")</f>
        <v/>
      </c>
      <c r="D895" s="32">
        <f>IF(J895="E",INDEX(Transaksi!$D$2:$D$2001,K895)&amp;"","")</f>
        <v/>
      </c>
      <c r="E895" s="33">
        <f>IF(J895="H",SUMIFS(Transaksi!$G$2:$G$2001,Transaksi!$M$2:$M$2001,"="&amp;S895)+SUMIFS(Transaksi!$H$2:$H$2001,Transaksi!$M$2:$M$2001,"="&amp;S895)+SUMIFS(Transaksi!$I$2:$I$2001,Transaksi!$M$2:$M$2001,"="&amp;S895),IF(J895="E",IF(INDEX(Transaksi!$G$2:$G$2001,K895)+INDEX(Transaksi!$H$2:$H$2001,K895)+INDEX(Transaksi!$I$2:$I$2001,K895)=0,"",INDEX(Transaksi!$G$2:$G$2001,K895)+INDEX(Transaksi!$H$2:$H$2001,K895)+INDEX(Transaksi!$I$2:$I$2001,K895)),""))</f>
        <v/>
      </c>
      <c r="F895" s="33">
        <f>IF(J895="H",SUMIFS(Transaksi!$J$2:$J$2001,Transaksi!$M$2:$M$2001,"="&amp;S895),IF(J895="E",IF(INDEX(Transaksi!$J$2:$J$2001,K895)=0,"",INDEX(Transaksi!$J$2:$J$2001,K895)),""))</f>
        <v/>
      </c>
      <c r="G895" s="33">
        <f>IF(J895="H",(SUMIFS(Transaksi!$G$2:$G$2001,Transaksi!$M$2:$M$2001,"&lt;="&amp;S895)+SUMIFS(Transaksi!$H$2:$H$2001,Transaksi!$M$2:$M$2001,"&lt;="&amp;S895)+SUMIFS(Transaksi!$I$2:$I$2001,Transaksi!$M$2:$M$2001,"&lt;="&amp;S895))-(SUMIFS(Transaksi!$J$2:$J$2001,Transaksi!$M$2:$M$2001,"&lt;="&amp;S895)),"")</f>
        <v/>
      </c>
      <c r="I895">
        <f>IF(892&gt;$O$2,"",MATCH(892,$Q$3:$Q$402,1))</f>
        <v/>
      </c>
      <c r="J895">
        <f>IF(I895="","",IF(892=INDEX($Q$3:$Q$402,I895),"H","E"))</f>
        <v/>
      </c>
      <c r="K895">
        <f>IF(J895&lt;&gt;"E","",MATCH(S895,Transaksi!$M$2:$M$2001,0)+892-INDEX($Q$3:$Q$402,I895)-1)</f>
        <v/>
      </c>
      <c r="S895">
        <f>IF(I895="","",INDEX($O$3:$O$402,I895))</f>
        <v/>
      </c>
      <c r="T895">
        <f>IF(J895&lt;&gt;"H","",INDEX(Transaksi!$A$2:$A$2001,MATCH(S895,Transaksi!$M$2:$M$2001,0)))</f>
        <v/>
      </c>
    </row>
    <row r="896">
      <c r="A896" s="31">
        <f>IF(J896="E",IF(INDEX(Transaksi!$J$2:$J$2001,K896)&gt;0,"↑","↓"),"")</f>
        <v/>
      </c>
      <c r="B896" s="32">
        <f>IF(J896="H",CHOOSE(WEEKDAY(T896,2),"Isnin","Selasa","Rabu","Khamis","Jumaat","Sabtu","Ahad")&amp;", "&amp;DAY(T896)&amp;" "&amp;CHOOSE(MONTH(T896),"Jan","Feb","Mac","Apr","Mei","Jun","Jul","Ogo","Sep","Okt","Nov","Dis")&amp;" "&amp;YEAR(T896),IF(J896="E",IF(INDEX(Transaksi!$B$2:$B$2001,K896)="",INDEX(Transaksi!$C$2:$C$2001,K896)&amp;" · "&amp;INDEX(Transaksi!$D$2:$D$2001,K896),INDEX(Transaksi!$B$2:$B$2001,K896)),""))</f>
        <v/>
      </c>
      <c r="C896" s="32">
        <f>IF(J896="E",INDEX(Transaksi!$C$2:$C$2001,K896)&amp;"","")</f>
        <v/>
      </c>
      <c r="D896" s="32">
        <f>IF(J896="E",INDEX(Transaksi!$D$2:$D$2001,K896)&amp;"","")</f>
        <v/>
      </c>
      <c r="E896" s="33">
        <f>IF(J896="H",SUMIFS(Transaksi!$G$2:$G$2001,Transaksi!$M$2:$M$2001,"="&amp;S896)+SUMIFS(Transaksi!$H$2:$H$2001,Transaksi!$M$2:$M$2001,"="&amp;S896)+SUMIFS(Transaksi!$I$2:$I$2001,Transaksi!$M$2:$M$2001,"="&amp;S896),IF(J896="E",IF(INDEX(Transaksi!$G$2:$G$2001,K896)+INDEX(Transaksi!$H$2:$H$2001,K896)+INDEX(Transaksi!$I$2:$I$2001,K896)=0,"",INDEX(Transaksi!$G$2:$G$2001,K896)+INDEX(Transaksi!$H$2:$H$2001,K896)+INDEX(Transaksi!$I$2:$I$2001,K896)),""))</f>
        <v/>
      </c>
      <c r="F896" s="33">
        <f>IF(J896="H",SUMIFS(Transaksi!$J$2:$J$2001,Transaksi!$M$2:$M$2001,"="&amp;S896),IF(J896="E",IF(INDEX(Transaksi!$J$2:$J$2001,K896)=0,"",INDEX(Transaksi!$J$2:$J$2001,K896)),""))</f>
        <v/>
      </c>
      <c r="G896" s="33">
        <f>IF(J896="H",(SUMIFS(Transaksi!$G$2:$G$2001,Transaksi!$M$2:$M$2001,"&lt;="&amp;S896)+SUMIFS(Transaksi!$H$2:$H$2001,Transaksi!$M$2:$M$2001,"&lt;="&amp;S896)+SUMIFS(Transaksi!$I$2:$I$2001,Transaksi!$M$2:$M$2001,"&lt;="&amp;S896))-(SUMIFS(Transaksi!$J$2:$J$2001,Transaksi!$M$2:$M$2001,"&lt;="&amp;S896)),"")</f>
        <v/>
      </c>
      <c r="I896">
        <f>IF(893&gt;$O$2,"",MATCH(893,$Q$3:$Q$402,1))</f>
        <v/>
      </c>
      <c r="J896">
        <f>IF(I896="","",IF(893=INDEX($Q$3:$Q$402,I896),"H","E"))</f>
        <v/>
      </c>
      <c r="K896">
        <f>IF(J896&lt;&gt;"E","",MATCH(S896,Transaksi!$M$2:$M$2001,0)+893-INDEX($Q$3:$Q$402,I896)-1)</f>
        <v/>
      </c>
      <c r="S896">
        <f>IF(I896="","",INDEX($O$3:$O$402,I896))</f>
        <v/>
      </c>
      <c r="T896">
        <f>IF(J896&lt;&gt;"H","",INDEX(Transaksi!$A$2:$A$2001,MATCH(S896,Transaksi!$M$2:$M$2001,0)))</f>
        <v/>
      </c>
    </row>
    <row r="897">
      <c r="A897" s="31">
        <f>IF(J897="E",IF(INDEX(Transaksi!$J$2:$J$2001,K897)&gt;0,"↑","↓"),"")</f>
        <v/>
      </c>
      <c r="B897" s="32">
        <f>IF(J897="H",CHOOSE(WEEKDAY(T897,2),"Isnin","Selasa","Rabu","Khamis","Jumaat","Sabtu","Ahad")&amp;", "&amp;DAY(T897)&amp;" "&amp;CHOOSE(MONTH(T897),"Jan","Feb","Mac","Apr","Mei","Jun","Jul","Ogo","Sep","Okt","Nov","Dis")&amp;" "&amp;YEAR(T897),IF(J897="E",IF(INDEX(Transaksi!$B$2:$B$2001,K897)="",INDEX(Transaksi!$C$2:$C$2001,K897)&amp;" · "&amp;INDEX(Transaksi!$D$2:$D$2001,K897),INDEX(Transaksi!$B$2:$B$2001,K897)),""))</f>
        <v/>
      </c>
      <c r="C897" s="32">
        <f>IF(J897="E",INDEX(Transaksi!$C$2:$C$2001,K897)&amp;"","")</f>
        <v/>
      </c>
      <c r="D897" s="32">
        <f>IF(J897="E",INDEX(Transaksi!$D$2:$D$2001,K897)&amp;"","")</f>
        <v/>
      </c>
      <c r="E897" s="33">
        <f>IF(J897="H",SUMIFS(Transaksi!$G$2:$G$2001,Transaksi!$M$2:$M$2001,"="&amp;S897)+SUMIFS(Transaksi!$H$2:$H$2001,Transaksi!$M$2:$M$2001,"="&amp;S897)+SUMIFS(Transaksi!$I$2:$I$2001,Transaksi!$M$2:$M$2001,"="&amp;S897),IF(J897="E",IF(INDEX(Transaksi!$G$2:$G$2001,K897)+INDEX(Transaksi!$H$2:$H$2001,K897)+INDEX(Transaksi!$I$2:$I$2001,K897)=0,"",INDEX(Transaksi!$G$2:$G$2001,K897)+INDEX(Transaksi!$H$2:$H$2001,K897)+INDEX(Transaksi!$I$2:$I$2001,K897)),""))</f>
        <v/>
      </c>
      <c r="F897" s="33">
        <f>IF(J897="H",SUMIFS(Transaksi!$J$2:$J$2001,Transaksi!$M$2:$M$2001,"="&amp;S897),IF(J897="E",IF(INDEX(Transaksi!$J$2:$J$2001,K897)=0,"",INDEX(Transaksi!$J$2:$J$2001,K897)),""))</f>
        <v/>
      </c>
      <c r="G897" s="33">
        <f>IF(J897="H",(SUMIFS(Transaksi!$G$2:$G$2001,Transaksi!$M$2:$M$2001,"&lt;="&amp;S897)+SUMIFS(Transaksi!$H$2:$H$2001,Transaksi!$M$2:$M$2001,"&lt;="&amp;S897)+SUMIFS(Transaksi!$I$2:$I$2001,Transaksi!$M$2:$M$2001,"&lt;="&amp;S897))-(SUMIFS(Transaksi!$J$2:$J$2001,Transaksi!$M$2:$M$2001,"&lt;="&amp;S897)),"")</f>
        <v/>
      </c>
      <c r="I897">
        <f>IF(894&gt;$O$2,"",MATCH(894,$Q$3:$Q$402,1))</f>
        <v/>
      </c>
      <c r="J897">
        <f>IF(I897="","",IF(894=INDEX($Q$3:$Q$402,I897),"H","E"))</f>
        <v/>
      </c>
      <c r="K897">
        <f>IF(J897&lt;&gt;"E","",MATCH(S897,Transaksi!$M$2:$M$2001,0)+894-INDEX($Q$3:$Q$402,I897)-1)</f>
        <v/>
      </c>
      <c r="S897">
        <f>IF(I897="","",INDEX($O$3:$O$402,I897))</f>
        <v/>
      </c>
      <c r="T897">
        <f>IF(J897&lt;&gt;"H","",INDEX(Transaksi!$A$2:$A$2001,MATCH(S897,Transaksi!$M$2:$M$2001,0)))</f>
        <v/>
      </c>
    </row>
    <row r="898">
      <c r="A898" s="31">
        <f>IF(J898="E",IF(INDEX(Transaksi!$J$2:$J$2001,K898)&gt;0,"↑","↓"),"")</f>
        <v/>
      </c>
      <c r="B898" s="32">
        <f>IF(J898="H",CHOOSE(WEEKDAY(T898,2),"Isnin","Selasa","Rabu","Khamis","Jumaat","Sabtu","Ahad")&amp;", "&amp;DAY(T898)&amp;" "&amp;CHOOSE(MONTH(T898),"Jan","Feb","Mac","Apr","Mei","Jun","Jul","Ogo","Sep","Okt","Nov","Dis")&amp;" "&amp;YEAR(T898),IF(J898="E",IF(INDEX(Transaksi!$B$2:$B$2001,K898)="",INDEX(Transaksi!$C$2:$C$2001,K898)&amp;" · "&amp;INDEX(Transaksi!$D$2:$D$2001,K898),INDEX(Transaksi!$B$2:$B$2001,K898)),""))</f>
        <v/>
      </c>
      <c r="C898" s="32">
        <f>IF(J898="E",INDEX(Transaksi!$C$2:$C$2001,K898)&amp;"","")</f>
        <v/>
      </c>
      <c r="D898" s="32">
        <f>IF(J898="E",INDEX(Transaksi!$D$2:$D$2001,K898)&amp;"","")</f>
        <v/>
      </c>
      <c r="E898" s="33">
        <f>IF(J898="H",SUMIFS(Transaksi!$G$2:$G$2001,Transaksi!$M$2:$M$2001,"="&amp;S898)+SUMIFS(Transaksi!$H$2:$H$2001,Transaksi!$M$2:$M$2001,"="&amp;S898)+SUMIFS(Transaksi!$I$2:$I$2001,Transaksi!$M$2:$M$2001,"="&amp;S898),IF(J898="E",IF(INDEX(Transaksi!$G$2:$G$2001,K898)+INDEX(Transaksi!$H$2:$H$2001,K898)+INDEX(Transaksi!$I$2:$I$2001,K898)=0,"",INDEX(Transaksi!$G$2:$G$2001,K898)+INDEX(Transaksi!$H$2:$H$2001,K898)+INDEX(Transaksi!$I$2:$I$2001,K898)),""))</f>
        <v/>
      </c>
      <c r="F898" s="33">
        <f>IF(J898="H",SUMIFS(Transaksi!$J$2:$J$2001,Transaksi!$M$2:$M$2001,"="&amp;S898),IF(J898="E",IF(INDEX(Transaksi!$J$2:$J$2001,K898)=0,"",INDEX(Transaksi!$J$2:$J$2001,K898)),""))</f>
        <v/>
      </c>
      <c r="G898" s="33">
        <f>IF(J898="H",(SUMIFS(Transaksi!$G$2:$G$2001,Transaksi!$M$2:$M$2001,"&lt;="&amp;S898)+SUMIFS(Transaksi!$H$2:$H$2001,Transaksi!$M$2:$M$2001,"&lt;="&amp;S898)+SUMIFS(Transaksi!$I$2:$I$2001,Transaksi!$M$2:$M$2001,"&lt;="&amp;S898))-(SUMIFS(Transaksi!$J$2:$J$2001,Transaksi!$M$2:$M$2001,"&lt;="&amp;S898)),"")</f>
        <v/>
      </c>
      <c r="I898">
        <f>IF(895&gt;$O$2,"",MATCH(895,$Q$3:$Q$402,1))</f>
        <v/>
      </c>
      <c r="J898">
        <f>IF(I898="","",IF(895=INDEX($Q$3:$Q$402,I898),"H","E"))</f>
        <v/>
      </c>
      <c r="K898">
        <f>IF(J898&lt;&gt;"E","",MATCH(S898,Transaksi!$M$2:$M$2001,0)+895-INDEX($Q$3:$Q$402,I898)-1)</f>
        <v/>
      </c>
      <c r="S898">
        <f>IF(I898="","",INDEX($O$3:$O$402,I898))</f>
        <v/>
      </c>
      <c r="T898">
        <f>IF(J898&lt;&gt;"H","",INDEX(Transaksi!$A$2:$A$2001,MATCH(S898,Transaksi!$M$2:$M$2001,0)))</f>
        <v/>
      </c>
    </row>
    <row r="899">
      <c r="A899" s="31">
        <f>IF(J899="E",IF(INDEX(Transaksi!$J$2:$J$2001,K899)&gt;0,"↑","↓"),"")</f>
        <v/>
      </c>
      <c r="B899" s="32">
        <f>IF(J899="H",CHOOSE(WEEKDAY(T899,2),"Isnin","Selasa","Rabu","Khamis","Jumaat","Sabtu","Ahad")&amp;", "&amp;DAY(T899)&amp;" "&amp;CHOOSE(MONTH(T899),"Jan","Feb","Mac","Apr","Mei","Jun","Jul","Ogo","Sep","Okt","Nov","Dis")&amp;" "&amp;YEAR(T899),IF(J899="E",IF(INDEX(Transaksi!$B$2:$B$2001,K899)="",INDEX(Transaksi!$C$2:$C$2001,K899)&amp;" · "&amp;INDEX(Transaksi!$D$2:$D$2001,K899),INDEX(Transaksi!$B$2:$B$2001,K899)),""))</f>
        <v/>
      </c>
      <c r="C899" s="32">
        <f>IF(J899="E",INDEX(Transaksi!$C$2:$C$2001,K899)&amp;"","")</f>
        <v/>
      </c>
      <c r="D899" s="32">
        <f>IF(J899="E",INDEX(Transaksi!$D$2:$D$2001,K899)&amp;"","")</f>
        <v/>
      </c>
      <c r="E899" s="33">
        <f>IF(J899="H",SUMIFS(Transaksi!$G$2:$G$2001,Transaksi!$M$2:$M$2001,"="&amp;S899)+SUMIFS(Transaksi!$H$2:$H$2001,Transaksi!$M$2:$M$2001,"="&amp;S899)+SUMIFS(Transaksi!$I$2:$I$2001,Transaksi!$M$2:$M$2001,"="&amp;S899),IF(J899="E",IF(INDEX(Transaksi!$G$2:$G$2001,K899)+INDEX(Transaksi!$H$2:$H$2001,K899)+INDEX(Transaksi!$I$2:$I$2001,K899)=0,"",INDEX(Transaksi!$G$2:$G$2001,K899)+INDEX(Transaksi!$H$2:$H$2001,K899)+INDEX(Transaksi!$I$2:$I$2001,K899)),""))</f>
        <v/>
      </c>
      <c r="F899" s="33">
        <f>IF(J899="H",SUMIFS(Transaksi!$J$2:$J$2001,Transaksi!$M$2:$M$2001,"="&amp;S899),IF(J899="E",IF(INDEX(Transaksi!$J$2:$J$2001,K899)=0,"",INDEX(Transaksi!$J$2:$J$2001,K899)),""))</f>
        <v/>
      </c>
      <c r="G899" s="33">
        <f>IF(J899="H",(SUMIFS(Transaksi!$G$2:$G$2001,Transaksi!$M$2:$M$2001,"&lt;="&amp;S899)+SUMIFS(Transaksi!$H$2:$H$2001,Transaksi!$M$2:$M$2001,"&lt;="&amp;S899)+SUMIFS(Transaksi!$I$2:$I$2001,Transaksi!$M$2:$M$2001,"&lt;="&amp;S899))-(SUMIFS(Transaksi!$J$2:$J$2001,Transaksi!$M$2:$M$2001,"&lt;="&amp;S899)),"")</f>
        <v/>
      </c>
      <c r="I899">
        <f>IF(896&gt;$O$2,"",MATCH(896,$Q$3:$Q$402,1))</f>
        <v/>
      </c>
      <c r="J899">
        <f>IF(I899="","",IF(896=INDEX($Q$3:$Q$402,I899),"H","E"))</f>
        <v/>
      </c>
      <c r="K899">
        <f>IF(J899&lt;&gt;"E","",MATCH(S899,Transaksi!$M$2:$M$2001,0)+896-INDEX($Q$3:$Q$402,I899)-1)</f>
        <v/>
      </c>
      <c r="S899">
        <f>IF(I899="","",INDEX($O$3:$O$402,I899))</f>
        <v/>
      </c>
      <c r="T899">
        <f>IF(J899&lt;&gt;"H","",INDEX(Transaksi!$A$2:$A$2001,MATCH(S899,Transaksi!$M$2:$M$2001,0)))</f>
        <v/>
      </c>
    </row>
    <row r="900">
      <c r="A900" s="31">
        <f>IF(J900="E",IF(INDEX(Transaksi!$J$2:$J$2001,K900)&gt;0,"↑","↓"),"")</f>
        <v/>
      </c>
      <c r="B900" s="32">
        <f>IF(J900="H",CHOOSE(WEEKDAY(T900,2),"Isnin","Selasa","Rabu","Khamis","Jumaat","Sabtu","Ahad")&amp;", "&amp;DAY(T900)&amp;" "&amp;CHOOSE(MONTH(T900),"Jan","Feb","Mac","Apr","Mei","Jun","Jul","Ogo","Sep","Okt","Nov","Dis")&amp;" "&amp;YEAR(T900),IF(J900="E",IF(INDEX(Transaksi!$B$2:$B$2001,K900)="",INDEX(Transaksi!$C$2:$C$2001,K900)&amp;" · "&amp;INDEX(Transaksi!$D$2:$D$2001,K900),INDEX(Transaksi!$B$2:$B$2001,K900)),""))</f>
        <v/>
      </c>
      <c r="C900" s="32">
        <f>IF(J900="E",INDEX(Transaksi!$C$2:$C$2001,K900)&amp;"","")</f>
        <v/>
      </c>
      <c r="D900" s="32">
        <f>IF(J900="E",INDEX(Transaksi!$D$2:$D$2001,K900)&amp;"","")</f>
        <v/>
      </c>
      <c r="E900" s="33">
        <f>IF(J900="H",SUMIFS(Transaksi!$G$2:$G$2001,Transaksi!$M$2:$M$2001,"="&amp;S900)+SUMIFS(Transaksi!$H$2:$H$2001,Transaksi!$M$2:$M$2001,"="&amp;S900)+SUMIFS(Transaksi!$I$2:$I$2001,Transaksi!$M$2:$M$2001,"="&amp;S900),IF(J900="E",IF(INDEX(Transaksi!$G$2:$G$2001,K900)+INDEX(Transaksi!$H$2:$H$2001,K900)+INDEX(Transaksi!$I$2:$I$2001,K900)=0,"",INDEX(Transaksi!$G$2:$G$2001,K900)+INDEX(Transaksi!$H$2:$H$2001,K900)+INDEX(Transaksi!$I$2:$I$2001,K900)),""))</f>
        <v/>
      </c>
      <c r="F900" s="33">
        <f>IF(J900="H",SUMIFS(Transaksi!$J$2:$J$2001,Transaksi!$M$2:$M$2001,"="&amp;S900),IF(J900="E",IF(INDEX(Transaksi!$J$2:$J$2001,K900)=0,"",INDEX(Transaksi!$J$2:$J$2001,K900)),""))</f>
        <v/>
      </c>
      <c r="G900" s="33">
        <f>IF(J900="H",(SUMIFS(Transaksi!$G$2:$G$2001,Transaksi!$M$2:$M$2001,"&lt;="&amp;S900)+SUMIFS(Transaksi!$H$2:$H$2001,Transaksi!$M$2:$M$2001,"&lt;="&amp;S900)+SUMIFS(Transaksi!$I$2:$I$2001,Transaksi!$M$2:$M$2001,"&lt;="&amp;S900))-(SUMIFS(Transaksi!$J$2:$J$2001,Transaksi!$M$2:$M$2001,"&lt;="&amp;S900)),"")</f>
        <v/>
      </c>
      <c r="I900">
        <f>IF(897&gt;$O$2,"",MATCH(897,$Q$3:$Q$402,1))</f>
        <v/>
      </c>
      <c r="J900">
        <f>IF(I900="","",IF(897=INDEX($Q$3:$Q$402,I900),"H","E"))</f>
        <v/>
      </c>
      <c r="K900">
        <f>IF(J900&lt;&gt;"E","",MATCH(S900,Transaksi!$M$2:$M$2001,0)+897-INDEX($Q$3:$Q$402,I900)-1)</f>
        <v/>
      </c>
      <c r="S900">
        <f>IF(I900="","",INDEX($O$3:$O$402,I900))</f>
        <v/>
      </c>
      <c r="T900">
        <f>IF(J900&lt;&gt;"H","",INDEX(Transaksi!$A$2:$A$2001,MATCH(S900,Transaksi!$M$2:$M$2001,0)))</f>
        <v/>
      </c>
    </row>
    <row r="901">
      <c r="A901" s="31">
        <f>IF(J901="E",IF(INDEX(Transaksi!$J$2:$J$2001,K901)&gt;0,"↑","↓"),"")</f>
        <v/>
      </c>
      <c r="B901" s="32">
        <f>IF(J901="H",CHOOSE(WEEKDAY(T901,2),"Isnin","Selasa","Rabu","Khamis","Jumaat","Sabtu","Ahad")&amp;", "&amp;DAY(T901)&amp;" "&amp;CHOOSE(MONTH(T901),"Jan","Feb","Mac","Apr","Mei","Jun","Jul","Ogo","Sep","Okt","Nov","Dis")&amp;" "&amp;YEAR(T901),IF(J901="E",IF(INDEX(Transaksi!$B$2:$B$2001,K901)="",INDEX(Transaksi!$C$2:$C$2001,K901)&amp;" · "&amp;INDEX(Transaksi!$D$2:$D$2001,K901),INDEX(Transaksi!$B$2:$B$2001,K901)),""))</f>
        <v/>
      </c>
      <c r="C901" s="32">
        <f>IF(J901="E",INDEX(Transaksi!$C$2:$C$2001,K901)&amp;"","")</f>
        <v/>
      </c>
      <c r="D901" s="32">
        <f>IF(J901="E",INDEX(Transaksi!$D$2:$D$2001,K901)&amp;"","")</f>
        <v/>
      </c>
      <c r="E901" s="33">
        <f>IF(J901="H",SUMIFS(Transaksi!$G$2:$G$2001,Transaksi!$M$2:$M$2001,"="&amp;S901)+SUMIFS(Transaksi!$H$2:$H$2001,Transaksi!$M$2:$M$2001,"="&amp;S901)+SUMIFS(Transaksi!$I$2:$I$2001,Transaksi!$M$2:$M$2001,"="&amp;S901),IF(J901="E",IF(INDEX(Transaksi!$G$2:$G$2001,K901)+INDEX(Transaksi!$H$2:$H$2001,K901)+INDEX(Transaksi!$I$2:$I$2001,K901)=0,"",INDEX(Transaksi!$G$2:$G$2001,K901)+INDEX(Transaksi!$H$2:$H$2001,K901)+INDEX(Transaksi!$I$2:$I$2001,K901)),""))</f>
        <v/>
      </c>
      <c r="F901" s="33">
        <f>IF(J901="H",SUMIFS(Transaksi!$J$2:$J$2001,Transaksi!$M$2:$M$2001,"="&amp;S901),IF(J901="E",IF(INDEX(Transaksi!$J$2:$J$2001,K901)=0,"",INDEX(Transaksi!$J$2:$J$2001,K901)),""))</f>
        <v/>
      </c>
      <c r="G901" s="33">
        <f>IF(J901="H",(SUMIFS(Transaksi!$G$2:$G$2001,Transaksi!$M$2:$M$2001,"&lt;="&amp;S901)+SUMIFS(Transaksi!$H$2:$H$2001,Transaksi!$M$2:$M$2001,"&lt;="&amp;S901)+SUMIFS(Transaksi!$I$2:$I$2001,Transaksi!$M$2:$M$2001,"&lt;="&amp;S901))-(SUMIFS(Transaksi!$J$2:$J$2001,Transaksi!$M$2:$M$2001,"&lt;="&amp;S901)),"")</f>
        <v/>
      </c>
      <c r="I901">
        <f>IF(898&gt;$O$2,"",MATCH(898,$Q$3:$Q$402,1))</f>
        <v/>
      </c>
      <c r="J901">
        <f>IF(I901="","",IF(898=INDEX($Q$3:$Q$402,I901),"H","E"))</f>
        <v/>
      </c>
      <c r="K901">
        <f>IF(J901&lt;&gt;"E","",MATCH(S901,Transaksi!$M$2:$M$2001,0)+898-INDEX($Q$3:$Q$402,I901)-1)</f>
        <v/>
      </c>
      <c r="S901">
        <f>IF(I901="","",INDEX($O$3:$O$402,I901))</f>
        <v/>
      </c>
      <c r="T901">
        <f>IF(J901&lt;&gt;"H","",INDEX(Transaksi!$A$2:$A$2001,MATCH(S901,Transaksi!$M$2:$M$2001,0)))</f>
        <v/>
      </c>
    </row>
    <row r="902">
      <c r="A902" s="31">
        <f>IF(J902="E",IF(INDEX(Transaksi!$J$2:$J$2001,K902)&gt;0,"↑","↓"),"")</f>
        <v/>
      </c>
      <c r="B902" s="32">
        <f>IF(J902="H",CHOOSE(WEEKDAY(T902,2),"Isnin","Selasa","Rabu","Khamis","Jumaat","Sabtu","Ahad")&amp;", "&amp;DAY(T902)&amp;" "&amp;CHOOSE(MONTH(T902),"Jan","Feb","Mac","Apr","Mei","Jun","Jul","Ogo","Sep","Okt","Nov","Dis")&amp;" "&amp;YEAR(T902),IF(J902="E",IF(INDEX(Transaksi!$B$2:$B$2001,K902)="",INDEX(Transaksi!$C$2:$C$2001,K902)&amp;" · "&amp;INDEX(Transaksi!$D$2:$D$2001,K902),INDEX(Transaksi!$B$2:$B$2001,K902)),""))</f>
        <v/>
      </c>
      <c r="C902" s="32">
        <f>IF(J902="E",INDEX(Transaksi!$C$2:$C$2001,K902)&amp;"","")</f>
        <v/>
      </c>
      <c r="D902" s="32">
        <f>IF(J902="E",INDEX(Transaksi!$D$2:$D$2001,K902)&amp;"","")</f>
        <v/>
      </c>
      <c r="E902" s="33">
        <f>IF(J902="H",SUMIFS(Transaksi!$G$2:$G$2001,Transaksi!$M$2:$M$2001,"="&amp;S902)+SUMIFS(Transaksi!$H$2:$H$2001,Transaksi!$M$2:$M$2001,"="&amp;S902)+SUMIFS(Transaksi!$I$2:$I$2001,Transaksi!$M$2:$M$2001,"="&amp;S902),IF(J902="E",IF(INDEX(Transaksi!$G$2:$G$2001,K902)+INDEX(Transaksi!$H$2:$H$2001,K902)+INDEX(Transaksi!$I$2:$I$2001,K902)=0,"",INDEX(Transaksi!$G$2:$G$2001,K902)+INDEX(Transaksi!$H$2:$H$2001,K902)+INDEX(Transaksi!$I$2:$I$2001,K902)),""))</f>
        <v/>
      </c>
      <c r="F902" s="33">
        <f>IF(J902="H",SUMIFS(Transaksi!$J$2:$J$2001,Transaksi!$M$2:$M$2001,"="&amp;S902),IF(J902="E",IF(INDEX(Transaksi!$J$2:$J$2001,K902)=0,"",INDEX(Transaksi!$J$2:$J$2001,K902)),""))</f>
        <v/>
      </c>
      <c r="G902" s="33">
        <f>IF(J902="H",(SUMIFS(Transaksi!$G$2:$G$2001,Transaksi!$M$2:$M$2001,"&lt;="&amp;S902)+SUMIFS(Transaksi!$H$2:$H$2001,Transaksi!$M$2:$M$2001,"&lt;="&amp;S902)+SUMIFS(Transaksi!$I$2:$I$2001,Transaksi!$M$2:$M$2001,"&lt;="&amp;S902))-(SUMIFS(Transaksi!$J$2:$J$2001,Transaksi!$M$2:$M$2001,"&lt;="&amp;S902)),"")</f>
        <v/>
      </c>
      <c r="I902">
        <f>IF(899&gt;$O$2,"",MATCH(899,$Q$3:$Q$402,1))</f>
        <v/>
      </c>
      <c r="J902">
        <f>IF(I902="","",IF(899=INDEX($Q$3:$Q$402,I902),"H","E"))</f>
        <v/>
      </c>
      <c r="K902">
        <f>IF(J902&lt;&gt;"E","",MATCH(S902,Transaksi!$M$2:$M$2001,0)+899-INDEX($Q$3:$Q$402,I902)-1)</f>
        <v/>
      </c>
      <c r="S902">
        <f>IF(I902="","",INDEX($O$3:$O$402,I902))</f>
        <v/>
      </c>
      <c r="T902">
        <f>IF(J902&lt;&gt;"H","",INDEX(Transaksi!$A$2:$A$2001,MATCH(S902,Transaksi!$M$2:$M$2001,0)))</f>
        <v/>
      </c>
    </row>
    <row r="903">
      <c r="A903" s="31">
        <f>IF(J903="E",IF(INDEX(Transaksi!$J$2:$J$2001,K903)&gt;0,"↑","↓"),"")</f>
        <v/>
      </c>
      <c r="B903" s="32">
        <f>IF(J903="H",CHOOSE(WEEKDAY(T903,2),"Isnin","Selasa","Rabu","Khamis","Jumaat","Sabtu","Ahad")&amp;", "&amp;DAY(T903)&amp;" "&amp;CHOOSE(MONTH(T903),"Jan","Feb","Mac","Apr","Mei","Jun","Jul","Ogo","Sep","Okt","Nov","Dis")&amp;" "&amp;YEAR(T903),IF(J903="E",IF(INDEX(Transaksi!$B$2:$B$2001,K903)="",INDEX(Transaksi!$C$2:$C$2001,K903)&amp;" · "&amp;INDEX(Transaksi!$D$2:$D$2001,K903),INDEX(Transaksi!$B$2:$B$2001,K903)),""))</f>
        <v/>
      </c>
      <c r="C903" s="32">
        <f>IF(J903="E",INDEX(Transaksi!$C$2:$C$2001,K903)&amp;"","")</f>
        <v/>
      </c>
      <c r="D903" s="32">
        <f>IF(J903="E",INDEX(Transaksi!$D$2:$D$2001,K903)&amp;"","")</f>
        <v/>
      </c>
      <c r="E903" s="33">
        <f>IF(J903="H",SUMIFS(Transaksi!$G$2:$G$2001,Transaksi!$M$2:$M$2001,"="&amp;S903)+SUMIFS(Transaksi!$H$2:$H$2001,Transaksi!$M$2:$M$2001,"="&amp;S903)+SUMIFS(Transaksi!$I$2:$I$2001,Transaksi!$M$2:$M$2001,"="&amp;S903),IF(J903="E",IF(INDEX(Transaksi!$G$2:$G$2001,K903)+INDEX(Transaksi!$H$2:$H$2001,K903)+INDEX(Transaksi!$I$2:$I$2001,K903)=0,"",INDEX(Transaksi!$G$2:$G$2001,K903)+INDEX(Transaksi!$H$2:$H$2001,K903)+INDEX(Transaksi!$I$2:$I$2001,K903)),""))</f>
        <v/>
      </c>
      <c r="F903" s="33">
        <f>IF(J903="H",SUMIFS(Transaksi!$J$2:$J$2001,Transaksi!$M$2:$M$2001,"="&amp;S903),IF(J903="E",IF(INDEX(Transaksi!$J$2:$J$2001,K903)=0,"",INDEX(Transaksi!$J$2:$J$2001,K903)),""))</f>
        <v/>
      </c>
      <c r="G903" s="33">
        <f>IF(J903="H",(SUMIFS(Transaksi!$G$2:$G$2001,Transaksi!$M$2:$M$2001,"&lt;="&amp;S903)+SUMIFS(Transaksi!$H$2:$H$2001,Transaksi!$M$2:$M$2001,"&lt;="&amp;S903)+SUMIFS(Transaksi!$I$2:$I$2001,Transaksi!$M$2:$M$2001,"&lt;="&amp;S903))-(SUMIFS(Transaksi!$J$2:$J$2001,Transaksi!$M$2:$M$2001,"&lt;="&amp;S903)),"")</f>
        <v/>
      </c>
      <c r="I903">
        <f>IF(900&gt;$O$2,"",MATCH(900,$Q$3:$Q$402,1))</f>
        <v/>
      </c>
      <c r="J903">
        <f>IF(I903="","",IF(900=INDEX($Q$3:$Q$402,I903),"H","E"))</f>
        <v/>
      </c>
      <c r="K903">
        <f>IF(J903&lt;&gt;"E","",MATCH(S903,Transaksi!$M$2:$M$2001,0)+900-INDEX($Q$3:$Q$402,I903)-1)</f>
        <v/>
      </c>
      <c r="S903">
        <f>IF(I903="","",INDEX($O$3:$O$402,I903))</f>
        <v/>
      </c>
      <c r="T903">
        <f>IF(J903&lt;&gt;"H","",INDEX(Transaksi!$A$2:$A$2001,MATCH(S903,Transaksi!$M$2:$M$2001,0)))</f>
        <v/>
      </c>
    </row>
    <row r="904">
      <c r="A904" s="31">
        <f>IF(J904="E",IF(INDEX(Transaksi!$J$2:$J$2001,K904)&gt;0,"↑","↓"),"")</f>
        <v/>
      </c>
      <c r="B904" s="32">
        <f>IF(J904="H",CHOOSE(WEEKDAY(T904,2),"Isnin","Selasa","Rabu","Khamis","Jumaat","Sabtu","Ahad")&amp;", "&amp;DAY(T904)&amp;" "&amp;CHOOSE(MONTH(T904),"Jan","Feb","Mac","Apr","Mei","Jun","Jul","Ogo","Sep","Okt","Nov","Dis")&amp;" "&amp;YEAR(T904),IF(J904="E",IF(INDEX(Transaksi!$B$2:$B$2001,K904)="",INDEX(Transaksi!$C$2:$C$2001,K904)&amp;" · "&amp;INDEX(Transaksi!$D$2:$D$2001,K904),INDEX(Transaksi!$B$2:$B$2001,K904)),""))</f>
        <v/>
      </c>
      <c r="C904" s="32">
        <f>IF(J904="E",INDEX(Transaksi!$C$2:$C$2001,K904)&amp;"","")</f>
        <v/>
      </c>
      <c r="D904" s="32">
        <f>IF(J904="E",INDEX(Transaksi!$D$2:$D$2001,K904)&amp;"","")</f>
        <v/>
      </c>
      <c r="E904" s="33">
        <f>IF(J904="H",SUMIFS(Transaksi!$G$2:$G$2001,Transaksi!$M$2:$M$2001,"="&amp;S904)+SUMIFS(Transaksi!$H$2:$H$2001,Transaksi!$M$2:$M$2001,"="&amp;S904)+SUMIFS(Transaksi!$I$2:$I$2001,Transaksi!$M$2:$M$2001,"="&amp;S904),IF(J904="E",IF(INDEX(Transaksi!$G$2:$G$2001,K904)+INDEX(Transaksi!$H$2:$H$2001,K904)+INDEX(Transaksi!$I$2:$I$2001,K904)=0,"",INDEX(Transaksi!$G$2:$G$2001,K904)+INDEX(Transaksi!$H$2:$H$2001,K904)+INDEX(Transaksi!$I$2:$I$2001,K904)),""))</f>
        <v/>
      </c>
      <c r="F904" s="33">
        <f>IF(J904="H",SUMIFS(Transaksi!$J$2:$J$2001,Transaksi!$M$2:$M$2001,"="&amp;S904),IF(J904="E",IF(INDEX(Transaksi!$J$2:$J$2001,K904)=0,"",INDEX(Transaksi!$J$2:$J$2001,K904)),""))</f>
        <v/>
      </c>
      <c r="G904" s="33">
        <f>IF(J904="H",(SUMIFS(Transaksi!$G$2:$G$2001,Transaksi!$M$2:$M$2001,"&lt;="&amp;S904)+SUMIFS(Transaksi!$H$2:$H$2001,Transaksi!$M$2:$M$2001,"&lt;="&amp;S904)+SUMIFS(Transaksi!$I$2:$I$2001,Transaksi!$M$2:$M$2001,"&lt;="&amp;S904))-(SUMIFS(Transaksi!$J$2:$J$2001,Transaksi!$M$2:$M$2001,"&lt;="&amp;S904)),"")</f>
        <v/>
      </c>
      <c r="I904">
        <f>IF(901&gt;$O$2,"",MATCH(901,$Q$3:$Q$402,1))</f>
        <v/>
      </c>
      <c r="J904">
        <f>IF(I904="","",IF(901=INDEX($Q$3:$Q$402,I904),"H","E"))</f>
        <v/>
      </c>
      <c r="K904">
        <f>IF(J904&lt;&gt;"E","",MATCH(S904,Transaksi!$M$2:$M$2001,0)+901-INDEX($Q$3:$Q$402,I904)-1)</f>
        <v/>
      </c>
      <c r="S904">
        <f>IF(I904="","",INDEX($O$3:$O$402,I904))</f>
        <v/>
      </c>
      <c r="T904">
        <f>IF(J904&lt;&gt;"H","",INDEX(Transaksi!$A$2:$A$2001,MATCH(S904,Transaksi!$M$2:$M$2001,0)))</f>
        <v/>
      </c>
    </row>
    <row r="905">
      <c r="A905" s="31">
        <f>IF(J905="E",IF(INDEX(Transaksi!$J$2:$J$2001,K905)&gt;0,"↑","↓"),"")</f>
        <v/>
      </c>
      <c r="B905" s="32">
        <f>IF(J905="H",CHOOSE(WEEKDAY(T905,2),"Isnin","Selasa","Rabu","Khamis","Jumaat","Sabtu","Ahad")&amp;", "&amp;DAY(T905)&amp;" "&amp;CHOOSE(MONTH(T905),"Jan","Feb","Mac","Apr","Mei","Jun","Jul","Ogo","Sep","Okt","Nov","Dis")&amp;" "&amp;YEAR(T905),IF(J905="E",IF(INDEX(Transaksi!$B$2:$B$2001,K905)="",INDEX(Transaksi!$C$2:$C$2001,K905)&amp;" · "&amp;INDEX(Transaksi!$D$2:$D$2001,K905),INDEX(Transaksi!$B$2:$B$2001,K905)),""))</f>
        <v/>
      </c>
      <c r="C905" s="32">
        <f>IF(J905="E",INDEX(Transaksi!$C$2:$C$2001,K905)&amp;"","")</f>
        <v/>
      </c>
      <c r="D905" s="32">
        <f>IF(J905="E",INDEX(Transaksi!$D$2:$D$2001,K905)&amp;"","")</f>
        <v/>
      </c>
      <c r="E905" s="33">
        <f>IF(J905="H",SUMIFS(Transaksi!$G$2:$G$2001,Transaksi!$M$2:$M$2001,"="&amp;S905)+SUMIFS(Transaksi!$H$2:$H$2001,Transaksi!$M$2:$M$2001,"="&amp;S905)+SUMIFS(Transaksi!$I$2:$I$2001,Transaksi!$M$2:$M$2001,"="&amp;S905),IF(J905="E",IF(INDEX(Transaksi!$G$2:$G$2001,K905)+INDEX(Transaksi!$H$2:$H$2001,K905)+INDEX(Transaksi!$I$2:$I$2001,K905)=0,"",INDEX(Transaksi!$G$2:$G$2001,K905)+INDEX(Transaksi!$H$2:$H$2001,K905)+INDEX(Transaksi!$I$2:$I$2001,K905)),""))</f>
        <v/>
      </c>
      <c r="F905" s="33">
        <f>IF(J905="H",SUMIFS(Transaksi!$J$2:$J$2001,Transaksi!$M$2:$M$2001,"="&amp;S905),IF(J905="E",IF(INDEX(Transaksi!$J$2:$J$2001,K905)=0,"",INDEX(Transaksi!$J$2:$J$2001,K905)),""))</f>
        <v/>
      </c>
      <c r="G905" s="33">
        <f>IF(J905="H",(SUMIFS(Transaksi!$G$2:$G$2001,Transaksi!$M$2:$M$2001,"&lt;="&amp;S905)+SUMIFS(Transaksi!$H$2:$H$2001,Transaksi!$M$2:$M$2001,"&lt;="&amp;S905)+SUMIFS(Transaksi!$I$2:$I$2001,Transaksi!$M$2:$M$2001,"&lt;="&amp;S905))-(SUMIFS(Transaksi!$J$2:$J$2001,Transaksi!$M$2:$M$2001,"&lt;="&amp;S905)),"")</f>
        <v/>
      </c>
      <c r="I905">
        <f>IF(902&gt;$O$2,"",MATCH(902,$Q$3:$Q$402,1))</f>
        <v/>
      </c>
      <c r="J905">
        <f>IF(I905="","",IF(902=INDEX($Q$3:$Q$402,I905),"H","E"))</f>
        <v/>
      </c>
      <c r="K905">
        <f>IF(J905&lt;&gt;"E","",MATCH(S905,Transaksi!$M$2:$M$2001,0)+902-INDEX($Q$3:$Q$402,I905)-1)</f>
        <v/>
      </c>
      <c r="S905">
        <f>IF(I905="","",INDEX($O$3:$O$402,I905))</f>
        <v/>
      </c>
      <c r="T905">
        <f>IF(J905&lt;&gt;"H","",INDEX(Transaksi!$A$2:$A$2001,MATCH(S905,Transaksi!$M$2:$M$2001,0)))</f>
        <v/>
      </c>
    </row>
    <row r="906">
      <c r="A906" s="31">
        <f>IF(J906="E",IF(INDEX(Transaksi!$J$2:$J$2001,K906)&gt;0,"↑","↓"),"")</f>
        <v/>
      </c>
      <c r="B906" s="32">
        <f>IF(J906="H",CHOOSE(WEEKDAY(T906,2),"Isnin","Selasa","Rabu","Khamis","Jumaat","Sabtu","Ahad")&amp;", "&amp;DAY(T906)&amp;" "&amp;CHOOSE(MONTH(T906),"Jan","Feb","Mac","Apr","Mei","Jun","Jul","Ogo","Sep","Okt","Nov","Dis")&amp;" "&amp;YEAR(T906),IF(J906="E",IF(INDEX(Transaksi!$B$2:$B$2001,K906)="",INDEX(Transaksi!$C$2:$C$2001,K906)&amp;" · "&amp;INDEX(Transaksi!$D$2:$D$2001,K906),INDEX(Transaksi!$B$2:$B$2001,K906)),""))</f>
        <v/>
      </c>
      <c r="C906" s="32">
        <f>IF(J906="E",INDEX(Transaksi!$C$2:$C$2001,K906)&amp;"","")</f>
        <v/>
      </c>
      <c r="D906" s="32">
        <f>IF(J906="E",INDEX(Transaksi!$D$2:$D$2001,K906)&amp;"","")</f>
        <v/>
      </c>
      <c r="E906" s="33">
        <f>IF(J906="H",SUMIFS(Transaksi!$G$2:$G$2001,Transaksi!$M$2:$M$2001,"="&amp;S906)+SUMIFS(Transaksi!$H$2:$H$2001,Transaksi!$M$2:$M$2001,"="&amp;S906)+SUMIFS(Transaksi!$I$2:$I$2001,Transaksi!$M$2:$M$2001,"="&amp;S906),IF(J906="E",IF(INDEX(Transaksi!$G$2:$G$2001,K906)+INDEX(Transaksi!$H$2:$H$2001,K906)+INDEX(Transaksi!$I$2:$I$2001,K906)=0,"",INDEX(Transaksi!$G$2:$G$2001,K906)+INDEX(Transaksi!$H$2:$H$2001,K906)+INDEX(Transaksi!$I$2:$I$2001,K906)),""))</f>
        <v/>
      </c>
      <c r="F906" s="33">
        <f>IF(J906="H",SUMIFS(Transaksi!$J$2:$J$2001,Transaksi!$M$2:$M$2001,"="&amp;S906),IF(J906="E",IF(INDEX(Transaksi!$J$2:$J$2001,K906)=0,"",INDEX(Transaksi!$J$2:$J$2001,K906)),""))</f>
        <v/>
      </c>
      <c r="G906" s="33">
        <f>IF(J906="H",(SUMIFS(Transaksi!$G$2:$G$2001,Transaksi!$M$2:$M$2001,"&lt;="&amp;S906)+SUMIFS(Transaksi!$H$2:$H$2001,Transaksi!$M$2:$M$2001,"&lt;="&amp;S906)+SUMIFS(Transaksi!$I$2:$I$2001,Transaksi!$M$2:$M$2001,"&lt;="&amp;S906))-(SUMIFS(Transaksi!$J$2:$J$2001,Transaksi!$M$2:$M$2001,"&lt;="&amp;S906)),"")</f>
        <v/>
      </c>
      <c r="I906">
        <f>IF(903&gt;$O$2,"",MATCH(903,$Q$3:$Q$402,1))</f>
        <v/>
      </c>
      <c r="J906">
        <f>IF(I906="","",IF(903=INDEX($Q$3:$Q$402,I906),"H","E"))</f>
        <v/>
      </c>
      <c r="K906">
        <f>IF(J906&lt;&gt;"E","",MATCH(S906,Transaksi!$M$2:$M$2001,0)+903-INDEX($Q$3:$Q$402,I906)-1)</f>
        <v/>
      </c>
      <c r="S906">
        <f>IF(I906="","",INDEX($O$3:$O$402,I906))</f>
        <v/>
      </c>
      <c r="T906">
        <f>IF(J906&lt;&gt;"H","",INDEX(Transaksi!$A$2:$A$2001,MATCH(S906,Transaksi!$M$2:$M$2001,0)))</f>
        <v/>
      </c>
    </row>
    <row r="907">
      <c r="A907" s="31">
        <f>IF(J907="E",IF(INDEX(Transaksi!$J$2:$J$2001,K907)&gt;0,"↑","↓"),"")</f>
        <v/>
      </c>
      <c r="B907" s="32">
        <f>IF(J907="H",CHOOSE(WEEKDAY(T907,2),"Isnin","Selasa","Rabu","Khamis","Jumaat","Sabtu","Ahad")&amp;", "&amp;DAY(T907)&amp;" "&amp;CHOOSE(MONTH(T907),"Jan","Feb","Mac","Apr","Mei","Jun","Jul","Ogo","Sep","Okt","Nov","Dis")&amp;" "&amp;YEAR(T907),IF(J907="E",IF(INDEX(Transaksi!$B$2:$B$2001,K907)="",INDEX(Transaksi!$C$2:$C$2001,K907)&amp;" · "&amp;INDEX(Transaksi!$D$2:$D$2001,K907),INDEX(Transaksi!$B$2:$B$2001,K907)),""))</f>
        <v/>
      </c>
      <c r="C907" s="32">
        <f>IF(J907="E",INDEX(Transaksi!$C$2:$C$2001,K907)&amp;"","")</f>
        <v/>
      </c>
      <c r="D907" s="32">
        <f>IF(J907="E",INDEX(Transaksi!$D$2:$D$2001,K907)&amp;"","")</f>
        <v/>
      </c>
      <c r="E907" s="33">
        <f>IF(J907="H",SUMIFS(Transaksi!$G$2:$G$2001,Transaksi!$M$2:$M$2001,"="&amp;S907)+SUMIFS(Transaksi!$H$2:$H$2001,Transaksi!$M$2:$M$2001,"="&amp;S907)+SUMIFS(Transaksi!$I$2:$I$2001,Transaksi!$M$2:$M$2001,"="&amp;S907),IF(J907="E",IF(INDEX(Transaksi!$G$2:$G$2001,K907)+INDEX(Transaksi!$H$2:$H$2001,K907)+INDEX(Transaksi!$I$2:$I$2001,K907)=0,"",INDEX(Transaksi!$G$2:$G$2001,K907)+INDEX(Transaksi!$H$2:$H$2001,K907)+INDEX(Transaksi!$I$2:$I$2001,K907)),""))</f>
        <v/>
      </c>
      <c r="F907" s="33">
        <f>IF(J907="H",SUMIFS(Transaksi!$J$2:$J$2001,Transaksi!$M$2:$M$2001,"="&amp;S907),IF(J907="E",IF(INDEX(Transaksi!$J$2:$J$2001,K907)=0,"",INDEX(Transaksi!$J$2:$J$2001,K907)),""))</f>
        <v/>
      </c>
      <c r="G907" s="33">
        <f>IF(J907="H",(SUMIFS(Transaksi!$G$2:$G$2001,Transaksi!$M$2:$M$2001,"&lt;="&amp;S907)+SUMIFS(Transaksi!$H$2:$H$2001,Transaksi!$M$2:$M$2001,"&lt;="&amp;S907)+SUMIFS(Transaksi!$I$2:$I$2001,Transaksi!$M$2:$M$2001,"&lt;="&amp;S907))-(SUMIFS(Transaksi!$J$2:$J$2001,Transaksi!$M$2:$M$2001,"&lt;="&amp;S907)),"")</f>
        <v/>
      </c>
      <c r="I907">
        <f>IF(904&gt;$O$2,"",MATCH(904,$Q$3:$Q$402,1))</f>
        <v/>
      </c>
      <c r="J907">
        <f>IF(I907="","",IF(904=INDEX($Q$3:$Q$402,I907),"H","E"))</f>
        <v/>
      </c>
      <c r="K907">
        <f>IF(J907&lt;&gt;"E","",MATCH(S907,Transaksi!$M$2:$M$2001,0)+904-INDEX($Q$3:$Q$402,I907)-1)</f>
        <v/>
      </c>
      <c r="S907">
        <f>IF(I907="","",INDEX($O$3:$O$402,I907))</f>
        <v/>
      </c>
      <c r="T907">
        <f>IF(J907&lt;&gt;"H","",INDEX(Transaksi!$A$2:$A$2001,MATCH(S907,Transaksi!$M$2:$M$2001,0)))</f>
        <v/>
      </c>
    </row>
    <row r="908">
      <c r="A908" s="31">
        <f>IF(J908="E",IF(INDEX(Transaksi!$J$2:$J$2001,K908)&gt;0,"↑","↓"),"")</f>
        <v/>
      </c>
      <c r="B908" s="32">
        <f>IF(J908="H",CHOOSE(WEEKDAY(T908,2),"Isnin","Selasa","Rabu","Khamis","Jumaat","Sabtu","Ahad")&amp;", "&amp;DAY(T908)&amp;" "&amp;CHOOSE(MONTH(T908),"Jan","Feb","Mac","Apr","Mei","Jun","Jul","Ogo","Sep","Okt","Nov","Dis")&amp;" "&amp;YEAR(T908),IF(J908="E",IF(INDEX(Transaksi!$B$2:$B$2001,K908)="",INDEX(Transaksi!$C$2:$C$2001,K908)&amp;" · "&amp;INDEX(Transaksi!$D$2:$D$2001,K908),INDEX(Transaksi!$B$2:$B$2001,K908)),""))</f>
        <v/>
      </c>
      <c r="C908" s="32">
        <f>IF(J908="E",INDEX(Transaksi!$C$2:$C$2001,K908)&amp;"","")</f>
        <v/>
      </c>
      <c r="D908" s="32">
        <f>IF(J908="E",INDEX(Transaksi!$D$2:$D$2001,K908)&amp;"","")</f>
        <v/>
      </c>
      <c r="E908" s="33">
        <f>IF(J908="H",SUMIFS(Transaksi!$G$2:$G$2001,Transaksi!$M$2:$M$2001,"="&amp;S908)+SUMIFS(Transaksi!$H$2:$H$2001,Transaksi!$M$2:$M$2001,"="&amp;S908)+SUMIFS(Transaksi!$I$2:$I$2001,Transaksi!$M$2:$M$2001,"="&amp;S908),IF(J908="E",IF(INDEX(Transaksi!$G$2:$G$2001,K908)+INDEX(Transaksi!$H$2:$H$2001,K908)+INDEX(Transaksi!$I$2:$I$2001,K908)=0,"",INDEX(Transaksi!$G$2:$G$2001,K908)+INDEX(Transaksi!$H$2:$H$2001,K908)+INDEX(Transaksi!$I$2:$I$2001,K908)),""))</f>
        <v/>
      </c>
      <c r="F908" s="33">
        <f>IF(J908="H",SUMIFS(Transaksi!$J$2:$J$2001,Transaksi!$M$2:$M$2001,"="&amp;S908),IF(J908="E",IF(INDEX(Transaksi!$J$2:$J$2001,K908)=0,"",INDEX(Transaksi!$J$2:$J$2001,K908)),""))</f>
        <v/>
      </c>
      <c r="G908" s="33">
        <f>IF(J908="H",(SUMIFS(Transaksi!$G$2:$G$2001,Transaksi!$M$2:$M$2001,"&lt;="&amp;S908)+SUMIFS(Transaksi!$H$2:$H$2001,Transaksi!$M$2:$M$2001,"&lt;="&amp;S908)+SUMIFS(Transaksi!$I$2:$I$2001,Transaksi!$M$2:$M$2001,"&lt;="&amp;S908))-(SUMIFS(Transaksi!$J$2:$J$2001,Transaksi!$M$2:$M$2001,"&lt;="&amp;S908)),"")</f>
        <v/>
      </c>
      <c r="I908">
        <f>IF(905&gt;$O$2,"",MATCH(905,$Q$3:$Q$402,1))</f>
        <v/>
      </c>
      <c r="J908">
        <f>IF(I908="","",IF(905=INDEX($Q$3:$Q$402,I908),"H","E"))</f>
        <v/>
      </c>
      <c r="K908">
        <f>IF(J908&lt;&gt;"E","",MATCH(S908,Transaksi!$M$2:$M$2001,0)+905-INDEX($Q$3:$Q$402,I908)-1)</f>
        <v/>
      </c>
      <c r="S908">
        <f>IF(I908="","",INDEX($O$3:$O$402,I908))</f>
        <v/>
      </c>
      <c r="T908">
        <f>IF(J908&lt;&gt;"H","",INDEX(Transaksi!$A$2:$A$2001,MATCH(S908,Transaksi!$M$2:$M$2001,0)))</f>
        <v/>
      </c>
    </row>
    <row r="909">
      <c r="A909" s="31">
        <f>IF(J909="E",IF(INDEX(Transaksi!$J$2:$J$2001,K909)&gt;0,"↑","↓"),"")</f>
        <v/>
      </c>
      <c r="B909" s="32">
        <f>IF(J909="H",CHOOSE(WEEKDAY(T909,2),"Isnin","Selasa","Rabu","Khamis","Jumaat","Sabtu","Ahad")&amp;", "&amp;DAY(T909)&amp;" "&amp;CHOOSE(MONTH(T909),"Jan","Feb","Mac","Apr","Mei","Jun","Jul","Ogo","Sep","Okt","Nov","Dis")&amp;" "&amp;YEAR(T909),IF(J909="E",IF(INDEX(Transaksi!$B$2:$B$2001,K909)="",INDEX(Transaksi!$C$2:$C$2001,K909)&amp;" · "&amp;INDEX(Transaksi!$D$2:$D$2001,K909),INDEX(Transaksi!$B$2:$B$2001,K909)),""))</f>
        <v/>
      </c>
      <c r="C909" s="32">
        <f>IF(J909="E",INDEX(Transaksi!$C$2:$C$2001,K909)&amp;"","")</f>
        <v/>
      </c>
      <c r="D909" s="32">
        <f>IF(J909="E",INDEX(Transaksi!$D$2:$D$2001,K909)&amp;"","")</f>
        <v/>
      </c>
      <c r="E909" s="33">
        <f>IF(J909="H",SUMIFS(Transaksi!$G$2:$G$2001,Transaksi!$M$2:$M$2001,"="&amp;S909)+SUMIFS(Transaksi!$H$2:$H$2001,Transaksi!$M$2:$M$2001,"="&amp;S909)+SUMIFS(Transaksi!$I$2:$I$2001,Transaksi!$M$2:$M$2001,"="&amp;S909),IF(J909="E",IF(INDEX(Transaksi!$G$2:$G$2001,K909)+INDEX(Transaksi!$H$2:$H$2001,K909)+INDEX(Transaksi!$I$2:$I$2001,K909)=0,"",INDEX(Transaksi!$G$2:$G$2001,K909)+INDEX(Transaksi!$H$2:$H$2001,K909)+INDEX(Transaksi!$I$2:$I$2001,K909)),""))</f>
        <v/>
      </c>
      <c r="F909" s="33">
        <f>IF(J909="H",SUMIFS(Transaksi!$J$2:$J$2001,Transaksi!$M$2:$M$2001,"="&amp;S909),IF(J909="E",IF(INDEX(Transaksi!$J$2:$J$2001,K909)=0,"",INDEX(Transaksi!$J$2:$J$2001,K909)),""))</f>
        <v/>
      </c>
      <c r="G909" s="33">
        <f>IF(J909="H",(SUMIFS(Transaksi!$G$2:$G$2001,Transaksi!$M$2:$M$2001,"&lt;="&amp;S909)+SUMIFS(Transaksi!$H$2:$H$2001,Transaksi!$M$2:$M$2001,"&lt;="&amp;S909)+SUMIFS(Transaksi!$I$2:$I$2001,Transaksi!$M$2:$M$2001,"&lt;="&amp;S909))-(SUMIFS(Transaksi!$J$2:$J$2001,Transaksi!$M$2:$M$2001,"&lt;="&amp;S909)),"")</f>
        <v/>
      </c>
      <c r="I909">
        <f>IF(906&gt;$O$2,"",MATCH(906,$Q$3:$Q$402,1))</f>
        <v/>
      </c>
      <c r="J909">
        <f>IF(I909="","",IF(906=INDEX($Q$3:$Q$402,I909),"H","E"))</f>
        <v/>
      </c>
      <c r="K909">
        <f>IF(J909&lt;&gt;"E","",MATCH(S909,Transaksi!$M$2:$M$2001,0)+906-INDEX($Q$3:$Q$402,I909)-1)</f>
        <v/>
      </c>
      <c r="S909">
        <f>IF(I909="","",INDEX($O$3:$O$402,I909))</f>
        <v/>
      </c>
      <c r="T909">
        <f>IF(J909&lt;&gt;"H","",INDEX(Transaksi!$A$2:$A$2001,MATCH(S909,Transaksi!$M$2:$M$2001,0)))</f>
        <v/>
      </c>
    </row>
    <row r="910">
      <c r="A910" s="31">
        <f>IF(J910="E",IF(INDEX(Transaksi!$J$2:$J$2001,K910)&gt;0,"↑","↓"),"")</f>
        <v/>
      </c>
      <c r="B910" s="32">
        <f>IF(J910="H",CHOOSE(WEEKDAY(T910,2),"Isnin","Selasa","Rabu","Khamis","Jumaat","Sabtu","Ahad")&amp;", "&amp;DAY(T910)&amp;" "&amp;CHOOSE(MONTH(T910),"Jan","Feb","Mac","Apr","Mei","Jun","Jul","Ogo","Sep","Okt","Nov","Dis")&amp;" "&amp;YEAR(T910),IF(J910="E",IF(INDEX(Transaksi!$B$2:$B$2001,K910)="",INDEX(Transaksi!$C$2:$C$2001,K910)&amp;" · "&amp;INDEX(Transaksi!$D$2:$D$2001,K910),INDEX(Transaksi!$B$2:$B$2001,K910)),""))</f>
        <v/>
      </c>
      <c r="C910" s="32">
        <f>IF(J910="E",INDEX(Transaksi!$C$2:$C$2001,K910)&amp;"","")</f>
        <v/>
      </c>
      <c r="D910" s="32">
        <f>IF(J910="E",INDEX(Transaksi!$D$2:$D$2001,K910)&amp;"","")</f>
        <v/>
      </c>
      <c r="E910" s="33">
        <f>IF(J910="H",SUMIFS(Transaksi!$G$2:$G$2001,Transaksi!$M$2:$M$2001,"="&amp;S910)+SUMIFS(Transaksi!$H$2:$H$2001,Transaksi!$M$2:$M$2001,"="&amp;S910)+SUMIFS(Transaksi!$I$2:$I$2001,Transaksi!$M$2:$M$2001,"="&amp;S910),IF(J910="E",IF(INDEX(Transaksi!$G$2:$G$2001,K910)+INDEX(Transaksi!$H$2:$H$2001,K910)+INDEX(Transaksi!$I$2:$I$2001,K910)=0,"",INDEX(Transaksi!$G$2:$G$2001,K910)+INDEX(Transaksi!$H$2:$H$2001,K910)+INDEX(Transaksi!$I$2:$I$2001,K910)),""))</f>
        <v/>
      </c>
      <c r="F910" s="33">
        <f>IF(J910="H",SUMIFS(Transaksi!$J$2:$J$2001,Transaksi!$M$2:$M$2001,"="&amp;S910),IF(J910="E",IF(INDEX(Transaksi!$J$2:$J$2001,K910)=0,"",INDEX(Transaksi!$J$2:$J$2001,K910)),""))</f>
        <v/>
      </c>
      <c r="G910" s="33">
        <f>IF(J910="H",(SUMIFS(Transaksi!$G$2:$G$2001,Transaksi!$M$2:$M$2001,"&lt;="&amp;S910)+SUMIFS(Transaksi!$H$2:$H$2001,Transaksi!$M$2:$M$2001,"&lt;="&amp;S910)+SUMIFS(Transaksi!$I$2:$I$2001,Transaksi!$M$2:$M$2001,"&lt;="&amp;S910))-(SUMIFS(Transaksi!$J$2:$J$2001,Transaksi!$M$2:$M$2001,"&lt;="&amp;S910)),"")</f>
        <v/>
      </c>
      <c r="I910">
        <f>IF(907&gt;$O$2,"",MATCH(907,$Q$3:$Q$402,1))</f>
        <v/>
      </c>
      <c r="J910">
        <f>IF(I910="","",IF(907=INDEX($Q$3:$Q$402,I910),"H","E"))</f>
        <v/>
      </c>
      <c r="K910">
        <f>IF(J910&lt;&gt;"E","",MATCH(S910,Transaksi!$M$2:$M$2001,0)+907-INDEX($Q$3:$Q$402,I910)-1)</f>
        <v/>
      </c>
      <c r="S910">
        <f>IF(I910="","",INDEX($O$3:$O$402,I910))</f>
        <v/>
      </c>
      <c r="T910">
        <f>IF(J910&lt;&gt;"H","",INDEX(Transaksi!$A$2:$A$2001,MATCH(S910,Transaksi!$M$2:$M$2001,0)))</f>
        <v/>
      </c>
    </row>
    <row r="911">
      <c r="A911" s="31">
        <f>IF(J911="E",IF(INDEX(Transaksi!$J$2:$J$2001,K911)&gt;0,"↑","↓"),"")</f>
        <v/>
      </c>
      <c r="B911" s="32">
        <f>IF(J911="H",CHOOSE(WEEKDAY(T911,2),"Isnin","Selasa","Rabu","Khamis","Jumaat","Sabtu","Ahad")&amp;", "&amp;DAY(T911)&amp;" "&amp;CHOOSE(MONTH(T911),"Jan","Feb","Mac","Apr","Mei","Jun","Jul","Ogo","Sep","Okt","Nov","Dis")&amp;" "&amp;YEAR(T911),IF(J911="E",IF(INDEX(Transaksi!$B$2:$B$2001,K911)="",INDEX(Transaksi!$C$2:$C$2001,K911)&amp;" · "&amp;INDEX(Transaksi!$D$2:$D$2001,K911),INDEX(Transaksi!$B$2:$B$2001,K911)),""))</f>
        <v/>
      </c>
      <c r="C911" s="32">
        <f>IF(J911="E",INDEX(Transaksi!$C$2:$C$2001,K911)&amp;"","")</f>
        <v/>
      </c>
      <c r="D911" s="32">
        <f>IF(J911="E",INDEX(Transaksi!$D$2:$D$2001,K911)&amp;"","")</f>
        <v/>
      </c>
      <c r="E911" s="33">
        <f>IF(J911="H",SUMIFS(Transaksi!$G$2:$G$2001,Transaksi!$M$2:$M$2001,"="&amp;S911)+SUMIFS(Transaksi!$H$2:$H$2001,Transaksi!$M$2:$M$2001,"="&amp;S911)+SUMIFS(Transaksi!$I$2:$I$2001,Transaksi!$M$2:$M$2001,"="&amp;S911),IF(J911="E",IF(INDEX(Transaksi!$G$2:$G$2001,K911)+INDEX(Transaksi!$H$2:$H$2001,K911)+INDEX(Transaksi!$I$2:$I$2001,K911)=0,"",INDEX(Transaksi!$G$2:$G$2001,K911)+INDEX(Transaksi!$H$2:$H$2001,K911)+INDEX(Transaksi!$I$2:$I$2001,K911)),""))</f>
        <v/>
      </c>
      <c r="F911" s="33">
        <f>IF(J911="H",SUMIFS(Transaksi!$J$2:$J$2001,Transaksi!$M$2:$M$2001,"="&amp;S911),IF(J911="E",IF(INDEX(Transaksi!$J$2:$J$2001,K911)=0,"",INDEX(Transaksi!$J$2:$J$2001,K911)),""))</f>
        <v/>
      </c>
      <c r="G911" s="33">
        <f>IF(J911="H",(SUMIFS(Transaksi!$G$2:$G$2001,Transaksi!$M$2:$M$2001,"&lt;="&amp;S911)+SUMIFS(Transaksi!$H$2:$H$2001,Transaksi!$M$2:$M$2001,"&lt;="&amp;S911)+SUMIFS(Transaksi!$I$2:$I$2001,Transaksi!$M$2:$M$2001,"&lt;="&amp;S911))-(SUMIFS(Transaksi!$J$2:$J$2001,Transaksi!$M$2:$M$2001,"&lt;="&amp;S911)),"")</f>
        <v/>
      </c>
      <c r="I911">
        <f>IF(908&gt;$O$2,"",MATCH(908,$Q$3:$Q$402,1))</f>
        <v/>
      </c>
      <c r="J911">
        <f>IF(I911="","",IF(908=INDEX($Q$3:$Q$402,I911),"H","E"))</f>
        <v/>
      </c>
      <c r="K911">
        <f>IF(J911&lt;&gt;"E","",MATCH(S911,Transaksi!$M$2:$M$2001,0)+908-INDEX($Q$3:$Q$402,I911)-1)</f>
        <v/>
      </c>
      <c r="S911">
        <f>IF(I911="","",INDEX($O$3:$O$402,I911))</f>
        <v/>
      </c>
      <c r="T911">
        <f>IF(J911&lt;&gt;"H","",INDEX(Transaksi!$A$2:$A$2001,MATCH(S911,Transaksi!$M$2:$M$2001,0)))</f>
        <v/>
      </c>
    </row>
    <row r="912">
      <c r="A912" s="31">
        <f>IF(J912="E",IF(INDEX(Transaksi!$J$2:$J$2001,K912)&gt;0,"↑","↓"),"")</f>
        <v/>
      </c>
      <c r="B912" s="32">
        <f>IF(J912="H",CHOOSE(WEEKDAY(T912,2),"Isnin","Selasa","Rabu","Khamis","Jumaat","Sabtu","Ahad")&amp;", "&amp;DAY(T912)&amp;" "&amp;CHOOSE(MONTH(T912),"Jan","Feb","Mac","Apr","Mei","Jun","Jul","Ogo","Sep","Okt","Nov","Dis")&amp;" "&amp;YEAR(T912),IF(J912="E",IF(INDEX(Transaksi!$B$2:$B$2001,K912)="",INDEX(Transaksi!$C$2:$C$2001,K912)&amp;" · "&amp;INDEX(Transaksi!$D$2:$D$2001,K912),INDEX(Transaksi!$B$2:$B$2001,K912)),""))</f>
        <v/>
      </c>
      <c r="C912" s="32">
        <f>IF(J912="E",INDEX(Transaksi!$C$2:$C$2001,K912)&amp;"","")</f>
        <v/>
      </c>
      <c r="D912" s="32">
        <f>IF(J912="E",INDEX(Transaksi!$D$2:$D$2001,K912)&amp;"","")</f>
        <v/>
      </c>
      <c r="E912" s="33">
        <f>IF(J912="H",SUMIFS(Transaksi!$G$2:$G$2001,Transaksi!$M$2:$M$2001,"="&amp;S912)+SUMIFS(Transaksi!$H$2:$H$2001,Transaksi!$M$2:$M$2001,"="&amp;S912)+SUMIFS(Transaksi!$I$2:$I$2001,Transaksi!$M$2:$M$2001,"="&amp;S912),IF(J912="E",IF(INDEX(Transaksi!$G$2:$G$2001,K912)+INDEX(Transaksi!$H$2:$H$2001,K912)+INDEX(Transaksi!$I$2:$I$2001,K912)=0,"",INDEX(Transaksi!$G$2:$G$2001,K912)+INDEX(Transaksi!$H$2:$H$2001,K912)+INDEX(Transaksi!$I$2:$I$2001,K912)),""))</f>
        <v/>
      </c>
      <c r="F912" s="33">
        <f>IF(J912="H",SUMIFS(Transaksi!$J$2:$J$2001,Transaksi!$M$2:$M$2001,"="&amp;S912),IF(J912="E",IF(INDEX(Transaksi!$J$2:$J$2001,K912)=0,"",INDEX(Transaksi!$J$2:$J$2001,K912)),""))</f>
        <v/>
      </c>
      <c r="G912" s="33">
        <f>IF(J912="H",(SUMIFS(Transaksi!$G$2:$G$2001,Transaksi!$M$2:$M$2001,"&lt;="&amp;S912)+SUMIFS(Transaksi!$H$2:$H$2001,Transaksi!$M$2:$M$2001,"&lt;="&amp;S912)+SUMIFS(Transaksi!$I$2:$I$2001,Transaksi!$M$2:$M$2001,"&lt;="&amp;S912))-(SUMIFS(Transaksi!$J$2:$J$2001,Transaksi!$M$2:$M$2001,"&lt;="&amp;S912)),"")</f>
        <v/>
      </c>
      <c r="I912">
        <f>IF(909&gt;$O$2,"",MATCH(909,$Q$3:$Q$402,1))</f>
        <v/>
      </c>
      <c r="J912">
        <f>IF(I912="","",IF(909=INDEX($Q$3:$Q$402,I912),"H","E"))</f>
        <v/>
      </c>
      <c r="K912">
        <f>IF(J912&lt;&gt;"E","",MATCH(S912,Transaksi!$M$2:$M$2001,0)+909-INDEX($Q$3:$Q$402,I912)-1)</f>
        <v/>
      </c>
      <c r="S912">
        <f>IF(I912="","",INDEX($O$3:$O$402,I912))</f>
        <v/>
      </c>
      <c r="T912">
        <f>IF(J912&lt;&gt;"H","",INDEX(Transaksi!$A$2:$A$2001,MATCH(S912,Transaksi!$M$2:$M$2001,0)))</f>
        <v/>
      </c>
    </row>
    <row r="913">
      <c r="A913" s="31">
        <f>IF(J913="E",IF(INDEX(Transaksi!$J$2:$J$2001,K913)&gt;0,"↑","↓"),"")</f>
        <v/>
      </c>
      <c r="B913" s="32">
        <f>IF(J913="H",CHOOSE(WEEKDAY(T913,2),"Isnin","Selasa","Rabu","Khamis","Jumaat","Sabtu","Ahad")&amp;", "&amp;DAY(T913)&amp;" "&amp;CHOOSE(MONTH(T913),"Jan","Feb","Mac","Apr","Mei","Jun","Jul","Ogo","Sep","Okt","Nov","Dis")&amp;" "&amp;YEAR(T913),IF(J913="E",IF(INDEX(Transaksi!$B$2:$B$2001,K913)="",INDEX(Transaksi!$C$2:$C$2001,K913)&amp;" · "&amp;INDEX(Transaksi!$D$2:$D$2001,K913),INDEX(Transaksi!$B$2:$B$2001,K913)),""))</f>
        <v/>
      </c>
      <c r="C913" s="32">
        <f>IF(J913="E",INDEX(Transaksi!$C$2:$C$2001,K913)&amp;"","")</f>
        <v/>
      </c>
      <c r="D913" s="32">
        <f>IF(J913="E",INDEX(Transaksi!$D$2:$D$2001,K913)&amp;"","")</f>
        <v/>
      </c>
      <c r="E913" s="33">
        <f>IF(J913="H",SUMIFS(Transaksi!$G$2:$G$2001,Transaksi!$M$2:$M$2001,"="&amp;S913)+SUMIFS(Transaksi!$H$2:$H$2001,Transaksi!$M$2:$M$2001,"="&amp;S913)+SUMIFS(Transaksi!$I$2:$I$2001,Transaksi!$M$2:$M$2001,"="&amp;S913),IF(J913="E",IF(INDEX(Transaksi!$G$2:$G$2001,K913)+INDEX(Transaksi!$H$2:$H$2001,K913)+INDEX(Transaksi!$I$2:$I$2001,K913)=0,"",INDEX(Transaksi!$G$2:$G$2001,K913)+INDEX(Transaksi!$H$2:$H$2001,K913)+INDEX(Transaksi!$I$2:$I$2001,K913)),""))</f>
        <v/>
      </c>
      <c r="F913" s="33">
        <f>IF(J913="H",SUMIFS(Transaksi!$J$2:$J$2001,Transaksi!$M$2:$M$2001,"="&amp;S913),IF(J913="E",IF(INDEX(Transaksi!$J$2:$J$2001,K913)=0,"",INDEX(Transaksi!$J$2:$J$2001,K913)),""))</f>
        <v/>
      </c>
      <c r="G913" s="33">
        <f>IF(J913="H",(SUMIFS(Transaksi!$G$2:$G$2001,Transaksi!$M$2:$M$2001,"&lt;="&amp;S913)+SUMIFS(Transaksi!$H$2:$H$2001,Transaksi!$M$2:$M$2001,"&lt;="&amp;S913)+SUMIFS(Transaksi!$I$2:$I$2001,Transaksi!$M$2:$M$2001,"&lt;="&amp;S913))-(SUMIFS(Transaksi!$J$2:$J$2001,Transaksi!$M$2:$M$2001,"&lt;="&amp;S913)),"")</f>
        <v/>
      </c>
      <c r="I913">
        <f>IF(910&gt;$O$2,"",MATCH(910,$Q$3:$Q$402,1))</f>
        <v/>
      </c>
      <c r="J913">
        <f>IF(I913="","",IF(910=INDEX($Q$3:$Q$402,I913),"H","E"))</f>
        <v/>
      </c>
      <c r="K913">
        <f>IF(J913&lt;&gt;"E","",MATCH(S913,Transaksi!$M$2:$M$2001,0)+910-INDEX($Q$3:$Q$402,I913)-1)</f>
        <v/>
      </c>
      <c r="S913">
        <f>IF(I913="","",INDEX($O$3:$O$402,I913))</f>
        <v/>
      </c>
      <c r="T913">
        <f>IF(J913&lt;&gt;"H","",INDEX(Transaksi!$A$2:$A$2001,MATCH(S913,Transaksi!$M$2:$M$2001,0)))</f>
        <v/>
      </c>
    </row>
    <row r="914">
      <c r="A914" s="31">
        <f>IF(J914="E",IF(INDEX(Transaksi!$J$2:$J$2001,K914)&gt;0,"↑","↓"),"")</f>
        <v/>
      </c>
      <c r="B914" s="32">
        <f>IF(J914="H",CHOOSE(WEEKDAY(T914,2),"Isnin","Selasa","Rabu","Khamis","Jumaat","Sabtu","Ahad")&amp;", "&amp;DAY(T914)&amp;" "&amp;CHOOSE(MONTH(T914),"Jan","Feb","Mac","Apr","Mei","Jun","Jul","Ogo","Sep","Okt","Nov","Dis")&amp;" "&amp;YEAR(T914),IF(J914="E",IF(INDEX(Transaksi!$B$2:$B$2001,K914)="",INDEX(Transaksi!$C$2:$C$2001,K914)&amp;" · "&amp;INDEX(Transaksi!$D$2:$D$2001,K914),INDEX(Transaksi!$B$2:$B$2001,K914)),""))</f>
        <v/>
      </c>
      <c r="C914" s="32">
        <f>IF(J914="E",INDEX(Transaksi!$C$2:$C$2001,K914)&amp;"","")</f>
        <v/>
      </c>
      <c r="D914" s="32">
        <f>IF(J914="E",INDEX(Transaksi!$D$2:$D$2001,K914)&amp;"","")</f>
        <v/>
      </c>
      <c r="E914" s="33">
        <f>IF(J914="H",SUMIFS(Transaksi!$G$2:$G$2001,Transaksi!$M$2:$M$2001,"="&amp;S914)+SUMIFS(Transaksi!$H$2:$H$2001,Transaksi!$M$2:$M$2001,"="&amp;S914)+SUMIFS(Transaksi!$I$2:$I$2001,Transaksi!$M$2:$M$2001,"="&amp;S914),IF(J914="E",IF(INDEX(Transaksi!$G$2:$G$2001,K914)+INDEX(Transaksi!$H$2:$H$2001,K914)+INDEX(Transaksi!$I$2:$I$2001,K914)=0,"",INDEX(Transaksi!$G$2:$G$2001,K914)+INDEX(Transaksi!$H$2:$H$2001,K914)+INDEX(Transaksi!$I$2:$I$2001,K914)),""))</f>
        <v/>
      </c>
      <c r="F914" s="33">
        <f>IF(J914="H",SUMIFS(Transaksi!$J$2:$J$2001,Transaksi!$M$2:$M$2001,"="&amp;S914),IF(J914="E",IF(INDEX(Transaksi!$J$2:$J$2001,K914)=0,"",INDEX(Transaksi!$J$2:$J$2001,K914)),""))</f>
        <v/>
      </c>
      <c r="G914" s="33">
        <f>IF(J914="H",(SUMIFS(Transaksi!$G$2:$G$2001,Transaksi!$M$2:$M$2001,"&lt;="&amp;S914)+SUMIFS(Transaksi!$H$2:$H$2001,Transaksi!$M$2:$M$2001,"&lt;="&amp;S914)+SUMIFS(Transaksi!$I$2:$I$2001,Transaksi!$M$2:$M$2001,"&lt;="&amp;S914))-(SUMIFS(Transaksi!$J$2:$J$2001,Transaksi!$M$2:$M$2001,"&lt;="&amp;S914)),"")</f>
        <v/>
      </c>
      <c r="I914">
        <f>IF(911&gt;$O$2,"",MATCH(911,$Q$3:$Q$402,1))</f>
        <v/>
      </c>
      <c r="J914">
        <f>IF(I914="","",IF(911=INDEX($Q$3:$Q$402,I914),"H","E"))</f>
        <v/>
      </c>
      <c r="K914">
        <f>IF(J914&lt;&gt;"E","",MATCH(S914,Transaksi!$M$2:$M$2001,0)+911-INDEX($Q$3:$Q$402,I914)-1)</f>
        <v/>
      </c>
      <c r="S914">
        <f>IF(I914="","",INDEX($O$3:$O$402,I914))</f>
        <v/>
      </c>
      <c r="T914">
        <f>IF(J914&lt;&gt;"H","",INDEX(Transaksi!$A$2:$A$2001,MATCH(S914,Transaksi!$M$2:$M$2001,0)))</f>
        <v/>
      </c>
    </row>
    <row r="915">
      <c r="A915" s="31">
        <f>IF(J915="E",IF(INDEX(Transaksi!$J$2:$J$2001,K915)&gt;0,"↑","↓"),"")</f>
        <v/>
      </c>
      <c r="B915" s="32">
        <f>IF(J915="H",CHOOSE(WEEKDAY(T915,2),"Isnin","Selasa","Rabu","Khamis","Jumaat","Sabtu","Ahad")&amp;", "&amp;DAY(T915)&amp;" "&amp;CHOOSE(MONTH(T915),"Jan","Feb","Mac","Apr","Mei","Jun","Jul","Ogo","Sep","Okt","Nov","Dis")&amp;" "&amp;YEAR(T915),IF(J915="E",IF(INDEX(Transaksi!$B$2:$B$2001,K915)="",INDEX(Transaksi!$C$2:$C$2001,K915)&amp;" · "&amp;INDEX(Transaksi!$D$2:$D$2001,K915),INDEX(Transaksi!$B$2:$B$2001,K915)),""))</f>
        <v/>
      </c>
      <c r="C915" s="32">
        <f>IF(J915="E",INDEX(Transaksi!$C$2:$C$2001,K915)&amp;"","")</f>
        <v/>
      </c>
      <c r="D915" s="32">
        <f>IF(J915="E",INDEX(Transaksi!$D$2:$D$2001,K915)&amp;"","")</f>
        <v/>
      </c>
      <c r="E915" s="33">
        <f>IF(J915="H",SUMIFS(Transaksi!$G$2:$G$2001,Transaksi!$M$2:$M$2001,"="&amp;S915)+SUMIFS(Transaksi!$H$2:$H$2001,Transaksi!$M$2:$M$2001,"="&amp;S915)+SUMIFS(Transaksi!$I$2:$I$2001,Transaksi!$M$2:$M$2001,"="&amp;S915),IF(J915="E",IF(INDEX(Transaksi!$G$2:$G$2001,K915)+INDEX(Transaksi!$H$2:$H$2001,K915)+INDEX(Transaksi!$I$2:$I$2001,K915)=0,"",INDEX(Transaksi!$G$2:$G$2001,K915)+INDEX(Transaksi!$H$2:$H$2001,K915)+INDEX(Transaksi!$I$2:$I$2001,K915)),""))</f>
        <v/>
      </c>
      <c r="F915" s="33">
        <f>IF(J915="H",SUMIFS(Transaksi!$J$2:$J$2001,Transaksi!$M$2:$M$2001,"="&amp;S915),IF(J915="E",IF(INDEX(Transaksi!$J$2:$J$2001,K915)=0,"",INDEX(Transaksi!$J$2:$J$2001,K915)),""))</f>
        <v/>
      </c>
      <c r="G915" s="33">
        <f>IF(J915="H",(SUMIFS(Transaksi!$G$2:$G$2001,Transaksi!$M$2:$M$2001,"&lt;="&amp;S915)+SUMIFS(Transaksi!$H$2:$H$2001,Transaksi!$M$2:$M$2001,"&lt;="&amp;S915)+SUMIFS(Transaksi!$I$2:$I$2001,Transaksi!$M$2:$M$2001,"&lt;="&amp;S915))-(SUMIFS(Transaksi!$J$2:$J$2001,Transaksi!$M$2:$M$2001,"&lt;="&amp;S915)),"")</f>
        <v/>
      </c>
      <c r="I915">
        <f>IF(912&gt;$O$2,"",MATCH(912,$Q$3:$Q$402,1))</f>
        <v/>
      </c>
      <c r="J915">
        <f>IF(I915="","",IF(912=INDEX($Q$3:$Q$402,I915),"H","E"))</f>
        <v/>
      </c>
      <c r="K915">
        <f>IF(J915&lt;&gt;"E","",MATCH(S915,Transaksi!$M$2:$M$2001,0)+912-INDEX($Q$3:$Q$402,I915)-1)</f>
        <v/>
      </c>
      <c r="S915">
        <f>IF(I915="","",INDEX($O$3:$O$402,I915))</f>
        <v/>
      </c>
      <c r="T915">
        <f>IF(J915&lt;&gt;"H","",INDEX(Transaksi!$A$2:$A$2001,MATCH(S915,Transaksi!$M$2:$M$2001,0)))</f>
        <v/>
      </c>
    </row>
    <row r="916">
      <c r="A916" s="31">
        <f>IF(J916="E",IF(INDEX(Transaksi!$J$2:$J$2001,K916)&gt;0,"↑","↓"),"")</f>
        <v/>
      </c>
      <c r="B916" s="32">
        <f>IF(J916="H",CHOOSE(WEEKDAY(T916,2),"Isnin","Selasa","Rabu","Khamis","Jumaat","Sabtu","Ahad")&amp;", "&amp;DAY(T916)&amp;" "&amp;CHOOSE(MONTH(T916),"Jan","Feb","Mac","Apr","Mei","Jun","Jul","Ogo","Sep","Okt","Nov","Dis")&amp;" "&amp;YEAR(T916),IF(J916="E",IF(INDEX(Transaksi!$B$2:$B$2001,K916)="",INDEX(Transaksi!$C$2:$C$2001,K916)&amp;" · "&amp;INDEX(Transaksi!$D$2:$D$2001,K916),INDEX(Transaksi!$B$2:$B$2001,K916)),""))</f>
        <v/>
      </c>
      <c r="C916" s="32">
        <f>IF(J916="E",INDEX(Transaksi!$C$2:$C$2001,K916)&amp;"","")</f>
        <v/>
      </c>
      <c r="D916" s="32">
        <f>IF(J916="E",INDEX(Transaksi!$D$2:$D$2001,K916)&amp;"","")</f>
        <v/>
      </c>
      <c r="E916" s="33">
        <f>IF(J916="H",SUMIFS(Transaksi!$G$2:$G$2001,Transaksi!$M$2:$M$2001,"="&amp;S916)+SUMIFS(Transaksi!$H$2:$H$2001,Transaksi!$M$2:$M$2001,"="&amp;S916)+SUMIFS(Transaksi!$I$2:$I$2001,Transaksi!$M$2:$M$2001,"="&amp;S916),IF(J916="E",IF(INDEX(Transaksi!$G$2:$G$2001,K916)+INDEX(Transaksi!$H$2:$H$2001,K916)+INDEX(Transaksi!$I$2:$I$2001,K916)=0,"",INDEX(Transaksi!$G$2:$G$2001,K916)+INDEX(Transaksi!$H$2:$H$2001,K916)+INDEX(Transaksi!$I$2:$I$2001,K916)),""))</f>
        <v/>
      </c>
      <c r="F916" s="33">
        <f>IF(J916="H",SUMIFS(Transaksi!$J$2:$J$2001,Transaksi!$M$2:$M$2001,"="&amp;S916),IF(J916="E",IF(INDEX(Transaksi!$J$2:$J$2001,K916)=0,"",INDEX(Transaksi!$J$2:$J$2001,K916)),""))</f>
        <v/>
      </c>
      <c r="G916" s="33">
        <f>IF(J916="H",(SUMIFS(Transaksi!$G$2:$G$2001,Transaksi!$M$2:$M$2001,"&lt;="&amp;S916)+SUMIFS(Transaksi!$H$2:$H$2001,Transaksi!$M$2:$M$2001,"&lt;="&amp;S916)+SUMIFS(Transaksi!$I$2:$I$2001,Transaksi!$M$2:$M$2001,"&lt;="&amp;S916))-(SUMIFS(Transaksi!$J$2:$J$2001,Transaksi!$M$2:$M$2001,"&lt;="&amp;S916)),"")</f>
        <v/>
      </c>
      <c r="I916">
        <f>IF(913&gt;$O$2,"",MATCH(913,$Q$3:$Q$402,1))</f>
        <v/>
      </c>
      <c r="J916">
        <f>IF(I916="","",IF(913=INDEX($Q$3:$Q$402,I916),"H","E"))</f>
        <v/>
      </c>
      <c r="K916">
        <f>IF(J916&lt;&gt;"E","",MATCH(S916,Transaksi!$M$2:$M$2001,0)+913-INDEX($Q$3:$Q$402,I916)-1)</f>
        <v/>
      </c>
      <c r="S916">
        <f>IF(I916="","",INDEX($O$3:$O$402,I916))</f>
        <v/>
      </c>
      <c r="T916">
        <f>IF(J916&lt;&gt;"H","",INDEX(Transaksi!$A$2:$A$2001,MATCH(S916,Transaksi!$M$2:$M$2001,0)))</f>
        <v/>
      </c>
    </row>
    <row r="917">
      <c r="A917" s="31">
        <f>IF(J917="E",IF(INDEX(Transaksi!$J$2:$J$2001,K917)&gt;0,"↑","↓"),"")</f>
        <v/>
      </c>
      <c r="B917" s="32">
        <f>IF(J917="H",CHOOSE(WEEKDAY(T917,2),"Isnin","Selasa","Rabu","Khamis","Jumaat","Sabtu","Ahad")&amp;", "&amp;DAY(T917)&amp;" "&amp;CHOOSE(MONTH(T917),"Jan","Feb","Mac","Apr","Mei","Jun","Jul","Ogo","Sep","Okt","Nov","Dis")&amp;" "&amp;YEAR(T917),IF(J917="E",IF(INDEX(Transaksi!$B$2:$B$2001,K917)="",INDEX(Transaksi!$C$2:$C$2001,K917)&amp;" · "&amp;INDEX(Transaksi!$D$2:$D$2001,K917),INDEX(Transaksi!$B$2:$B$2001,K917)),""))</f>
        <v/>
      </c>
      <c r="C917" s="32">
        <f>IF(J917="E",INDEX(Transaksi!$C$2:$C$2001,K917)&amp;"","")</f>
        <v/>
      </c>
      <c r="D917" s="32">
        <f>IF(J917="E",INDEX(Transaksi!$D$2:$D$2001,K917)&amp;"","")</f>
        <v/>
      </c>
      <c r="E917" s="33">
        <f>IF(J917="H",SUMIFS(Transaksi!$G$2:$G$2001,Transaksi!$M$2:$M$2001,"="&amp;S917)+SUMIFS(Transaksi!$H$2:$H$2001,Transaksi!$M$2:$M$2001,"="&amp;S917)+SUMIFS(Transaksi!$I$2:$I$2001,Transaksi!$M$2:$M$2001,"="&amp;S917),IF(J917="E",IF(INDEX(Transaksi!$G$2:$G$2001,K917)+INDEX(Transaksi!$H$2:$H$2001,K917)+INDEX(Transaksi!$I$2:$I$2001,K917)=0,"",INDEX(Transaksi!$G$2:$G$2001,K917)+INDEX(Transaksi!$H$2:$H$2001,K917)+INDEX(Transaksi!$I$2:$I$2001,K917)),""))</f>
        <v/>
      </c>
      <c r="F917" s="33">
        <f>IF(J917="H",SUMIFS(Transaksi!$J$2:$J$2001,Transaksi!$M$2:$M$2001,"="&amp;S917),IF(J917="E",IF(INDEX(Transaksi!$J$2:$J$2001,K917)=0,"",INDEX(Transaksi!$J$2:$J$2001,K917)),""))</f>
        <v/>
      </c>
      <c r="G917" s="33">
        <f>IF(J917="H",(SUMIFS(Transaksi!$G$2:$G$2001,Transaksi!$M$2:$M$2001,"&lt;="&amp;S917)+SUMIFS(Transaksi!$H$2:$H$2001,Transaksi!$M$2:$M$2001,"&lt;="&amp;S917)+SUMIFS(Transaksi!$I$2:$I$2001,Transaksi!$M$2:$M$2001,"&lt;="&amp;S917))-(SUMIFS(Transaksi!$J$2:$J$2001,Transaksi!$M$2:$M$2001,"&lt;="&amp;S917)),"")</f>
        <v/>
      </c>
      <c r="I917">
        <f>IF(914&gt;$O$2,"",MATCH(914,$Q$3:$Q$402,1))</f>
        <v/>
      </c>
      <c r="J917">
        <f>IF(I917="","",IF(914=INDEX($Q$3:$Q$402,I917),"H","E"))</f>
        <v/>
      </c>
      <c r="K917">
        <f>IF(J917&lt;&gt;"E","",MATCH(S917,Transaksi!$M$2:$M$2001,0)+914-INDEX($Q$3:$Q$402,I917)-1)</f>
        <v/>
      </c>
      <c r="S917">
        <f>IF(I917="","",INDEX($O$3:$O$402,I917))</f>
        <v/>
      </c>
      <c r="T917">
        <f>IF(J917&lt;&gt;"H","",INDEX(Transaksi!$A$2:$A$2001,MATCH(S917,Transaksi!$M$2:$M$2001,0)))</f>
        <v/>
      </c>
    </row>
    <row r="918">
      <c r="A918" s="31">
        <f>IF(J918="E",IF(INDEX(Transaksi!$J$2:$J$2001,K918)&gt;0,"↑","↓"),"")</f>
        <v/>
      </c>
      <c r="B918" s="32">
        <f>IF(J918="H",CHOOSE(WEEKDAY(T918,2),"Isnin","Selasa","Rabu","Khamis","Jumaat","Sabtu","Ahad")&amp;", "&amp;DAY(T918)&amp;" "&amp;CHOOSE(MONTH(T918),"Jan","Feb","Mac","Apr","Mei","Jun","Jul","Ogo","Sep","Okt","Nov","Dis")&amp;" "&amp;YEAR(T918),IF(J918="E",IF(INDEX(Transaksi!$B$2:$B$2001,K918)="",INDEX(Transaksi!$C$2:$C$2001,K918)&amp;" · "&amp;INDEX(Transaksi!$D$2:$D$2001,K918),INDEX(Transaksi!$B$2:$B$2001,K918)),""))</f>
        <v/>
      </c>
      <c r="C918" s="32">
        <f>IF(J918="E",INDEX(Transaksi!$C$2:$C$2001,K918)&amp;"","")</f>
        <v/>
      </c>
      <c r="D918" s="32">
        <f>IF(J918="E",INDEX(Transaksi!$D$2:$D$2001,K918)&amp;"","")</f>
        <v/>
      </c>
      <c r="E918" s="33">
        <f>IF(J918="H",SUMIFS(Transaksi!$G$2:$G$2001,Transaksi!$M$2:$M$2001,"="&amp;S918)+SUMIFS(Transaksi!$H$2:$H$2001,Transaksi!$M$2:$M$2001,"="&amp;S918)+SUMIFS(Transaksi!$I$2:$I$2001,Transaksi!$M$2:$M$2001,"="&amp;S918),IF(J918="E",IF(INDEX(Transaksi!$G$2:$G$2001,K918)+INDEX(Transaksi!$H$2:$H$2001,K918)+INDEX(Transaksi!$I$2:$I$2001,K918)=0,"",INDEX(Transaksi!$G$2:$G$2001,K918)+INDEX(Transaksi!$H$2:$H$2001,K918)+INDEX(Transaksi!$I$2:$I$2001,K918)),""))</f>
        <v/>
      </c>
      <c r="F918" s="33">
        <f>IF(J918="H",SUMIFS(Transaksi!$J$2:$J$2001,Transaksi!$M$2:$M$2001,"="&amp;S918),IF(J918="E",IF(INDEX(Transaksi!$J$2:$J$2001,K918)=0,"",INDEX(Transaksi!$J$2:$J$2001,K918)),""))</f>
        <v/>
      </c>
      <c r="G918" s="33">
        <f>IF(J918="H",(SUMIFS(Transaksi!$G$2:$G$2001,Transaksi!$M$2:$M$2001,"&lt;="&amp;S918)+SUMIFS(Transaksi!$H$2:$H$2001,Transaksi!$M$2:$M$2001,"&lt;="&amp;S918)+SUMIFS(Transaksi!$I$2:$I$2001,Transaksi!$M$2:$M$2001,"&lt;="&amp;S918))-(SUMIFS(Transaksi!$J$2:$J$2001,Transaksi!$M$2:$M$2001,"&lt;="&amp;S918)),"")</f>
        <v/>
      </c>
      <c r="I918">
        <f>IF(915&gt;$O$2,"",MATCH(915,$Q$3:$Q$402,1))</f>
        <v/>
      </c>
      <c r="J918">
        <f>IF(I918="","",IF(915=INDEX($Q$3:$Q$402,I918),"H","E"))</f>
        <v/>
      </c>
      <c r="K918">
        <f>IF(J918&lt;&gt;"E","",MATCH(S918,Transaksi!$M$2:$M$2001,0)+915-INDEX($Q$3:$Q$402,I918)-1)</f>
        <v/>
      </c>
      <c r="S918">
        <f>IF(I918="","",INDEX($O$3:$O$402,I918))</f>
        <v/>
      </c>
      <c r="T918">
        <f>IF(J918&lt;&gt;"H","",INDEX(Transaksi!$A$2:$A$2001,MATCH(S918,Transaksi!$M$2:$M$2001,0)))</f>
        <v/>
      </c>
    </row>
    <row r="919">
      <c r="A919" s="31">
        <f>IF(J919="E",IF(INDEX(Transaksi!$J$2:$J$2001,K919)&gt;0,"↑","↓"),"")</f>
        <v/>
      </c>
      <c r="B919" s="32">
        <f>IF(J919="H",CHOOSE(WEEKDAY(T919,2),"Isnin","Selasa","Rabu","Khamis","Jumaat","Sabtu","Ahad")&amp;", "&amp;DAY(T919)&amp;" "&amp;CHOOSE(MONTH(T919),"Jan","Feb","Mac","Apr","Mei","Jun","Jul","Ogo","Sep","Okt","Nov","Dis")&amp;" "&amp;YEAR(T919),IF(J919="E",IF(INDEX(Transaksi!$B$2:$B$2001,K919)="",INDEX(Transaksi!$C$2:$C$2001,K919)&amp;" · "&amp;INDEX(Transaksi!$D$2:$D$2001,K919),INDEX(Transaksi!$B$2:$B$2001,K919)),""))</f>
        <v/>
      </c>
      <c r="C919" s="32">
        <f>IF(J919="E",INDEX(Transaksi!$C$2:$C$2001,K919)&amp;"","")</f>
        <v/>
      </c>
      <c r="D919" s="32">
        <f>IF(J919="E",INDEX(Transaksi!$D$2:$D$2001,K919)&amp;"","")</f>
        <v/>
      </c>
      <c r="E919" s="33">
        <f>IF(J919="H",SUMIFS(Transaksi!$G$2:$G$2001,Transaksi!$M$2:$M$2001,"="&amp;S919)+SUMIFS(Transaksi!$H$2:$H$2001,Transaksi!$M$2:$M$2001,"="&amp;S919)+SUMIFS(Transaksi!$I$2:$I$2001,Transaksi!$M$2:$M$2001,"="&amp;S919),IF(J919="E",IF(INDEX(Transaksi!$G$2:$G$2001,K919)+INDEX(Transaksi!$H$2:$H$2001,K919)+INDEX(Transaksi!$I$2:$I$2001,K919)=0,"",INDEX(Transaksi!$G$2:$G$2001,K919)+INDEX(Transaksi!$H$2:$H$2001,K919)+INDEX(Transaksi!$I$2:$I$2001,K919)),""))</f>
        <v/>
      </c>
      <c r="F919" s="33">
        <f>IF(J919="H",SUMIFS(Transaksi!$J$2:$J$2001,Transaksi!$M$2:$M$2001,"="&amp;S919),IF(J919="E",IF(INDEX(Transaksi!$J$2:$J$2001,K919)=0,"",INDEX(Transaksi!$J$2:$J$2001,K919)),""))</f>
        <v/>
      </c>
      <c r="G919" s="33">
        <f>IF(J919="H",(SUMIFS(Transaksi!$G$2:$G$2001,Transaksi!$M$2:$M$2001,"&lt;="&amp;S919)+SUMIFS(Transaksi!$H$2:$H$2001,Transaksi!$M$2:$M$2001,"&lt;="&amp;S919)+SUMIFS(Transaksi!$I$2:$I$2001,Transaksi!$M$2:$M$2001,"&lt;="&amp;S919))-(SUMIFS(Transaksi!$J$2:$J$2001,Transaksi!$M$2:$M$2001,"&lt;="&amp;S919)),"")</f>
        <v/>
      </c>
      <c r="I919">
        <f>IF(916&gt;$O$2,"",MATCH(916,$Q$3:$Q$402,1))</f>
        <v/>
      </c>
      <c r="J919">
        <f>IF(I919="","",IF(916=INDEX($Q$3:$Q$402,I919),"H","E"))</f>
        <v/>
      </c>
      <c r="K919">
        <f>IF(J919&lt;&gt;"E","",MATCH(S919,Transaksi!$M$2:$M$2001,0)+916-INDEX($Q$3:$Q$402,I919)-1)</f>
        <v/>
      </c>
      <c r="S919">
        <f>IF(I919="","",INDEX($O$3:$O$402,I919))</f>
        <v/>
      </c>
      <c r="T919">
        <f>IF(J919&lt;&gt;"H","",INDEX(Transaksi!$A$2:$A$2001,MATCH(S919,Transaksi!$M$2:$M$2001,0)))</f>
        <v/>
      </c>
    </row>
    <row r="920">
      <c r="A920" s="31">
        <f>IF(J920="E",IF(INDEX(Transaksi!$J$2:$J$2001,K920)&gt;0,"↑","↓"),"")</f>
        <v/>
      </c>
      <c r="B920" s="32">
        <f>IF(J920="H",CHOOSE(WEEKDAY(T920,2),"Isnin","Selasa","Rabu","Khamis","Jumaat","Sabtu","Ahad")&amp;", "&amp;DAY(T920)&amp;" "&amp;CHOOSE(MONTH(T920),"Jan","Feb","Mac","Apr","Mei","Jun","Jul","Ogo","Sep","Okt","Nov","Dis")&amp;" "&amp;YEAR(T920),IF(J920="E",IF(INDEX(Transaksi!$B$2:$B$2001,K920)="",INDEX(Transaksi!$C$2:$C$2001,K920)&amp;" · "&amp;INDEX(Transaksi!$D$2:$D$2001,K920),INDEX(Transaksi!$B$2:$B$2001,K920)),""))</f>
        <v/>
      </c>
      <c r="C920" s="32">
        <f>IF(J920="E",INDEX(Transaksi!$C$2:$C$2001,K920)&amp;"","")</f>
        <v/>
      </c>
      <c r="D920" s="32">
        <f>IF(J920="E",INDEX(Transaksi!$D$2:$D$2001,K920)&amp;"","")</f>
        <v/>
      </c>
      <c r="E920" s="33">
        <f>IF(J920="H",SUMIFS(Transaksi!$G$2:$G$2001,Transaksi!$M$2:$M$2001,"="&amp;S920)+SUMIFS(Transaksi!$H$2:$H$2001,Transaksi!$M$2:$M$2001,"="&amp;S920)+SUMIFS(Transaksi!$I$2:$I$2001,Transaksi!$M$2:$M$2001,"="&amp;S920),IF(J920="E",IF(INDEX(Transaksi!$G$2:$G$2001,K920)+INDEX(Transaksi!$H$2:$H$2001,K920)+INDEX(Transaksi!$I$2:$I$2001,K920)=0,"",INDEX(Transaksi!$G$2:$G$2001,K920)+INDEX(Transaksi!$H$2:$H$2001,K920)+INDEX(Transaksi!$I$2:$I$2001,K920)),""))</f>
        <v/>
      </c>
      <c r="F920" s="33">
        <f>IF(J920="H",SUMIFS(Transaksi!$J$2:$J$2001,Transaksi!$M$2:$M$2001,"="&amp;S920),IF(J920="E",IF(INDEX(Transaksi!$J$2:$J$2001,K920)=0,"",INDEX(Transaksi!$J$2:$J$2001,K920)),""))</f>
        <v/>
      </c>
      <c r="G920" s="33">
        <f>IF(J920="H",(SUMIFS(Transaksi!$G$2:$G$2001,Transaksi!$M$2:$M$2001,"&lt;="&amp;S920)+SUMIFS(Transaksi!$H$2:$H$2001,Transaksi!$M$2:$M$2001,"&lt;="&amp;S920)+SUMIFS(Transaksi!$I$2:$I$2001,Transaksi!$M$2:$M$2001,"&lt;="&amp;S920))-(SUMIFS(Transaksi!$J$2:$J$2001,Transaksi!$M$2:$M$2001,"&lt;="&amp;S920)),"")</f>
        <v/>
      </c>
      <c r="I920">
        <f>IF(917&gt;$O$2,"",MATCH(917,$Q$3:$Q$402,1))</f>
        <v/>
      </c>
      <c r="J920">
        <f>IF(I920="","",IF(917=INDEX($Q$3:$Q$402,I920),"H","E"))</f>
        <v/>
      </c>
      <c r="K920">
        <f>IF(J920&lt;&gt;"E","",MATCH(S920,Transaksi!$M$2:$M$2001,0)+917-INDEX($Q$3:$Q$402,I920)-1)</f>
        <v/>
      </c>
      <c r="S920">
        <f>IF(I920="","",INDEX($O$3:$O$402,I920))</f>
        <v/>
      </c>
      <c r="T920">
        <f>IF(J920&lt;&gt;"H","",INDEX(Transaksi!$A$2:$A$2001,MATCH(S920,Transaksi!$M$2:$M$2001,0)))</f>
        <v/>
      </c>
    </row>
    <row r="921">
      <c r="A921" s="31">
        <f>IF(J921="E",IF(INDEX(Transaksi!$J$2:$J$2001,K921)&gt;0,"↑","↓"),"")</f>
        <v/>
      </c>
      <c r="B921" s="32">
        <f>IF(J921="H",CHOOSE(WEEKDAY(T921,2),"Isnin","Selasa","Rabu","Khamis","Jumaat","Sabtu","Ahad")&amp;", "&amp;DAY(T921)&amp;" "&amp;CHOOSE(MONTH(T921),"Jan","Feb","Mac","Apr","Mei","Jun","Jul","Ogo","Sep","Okt","Nov","Dis")&amp;" "&amp;YEAR(T921),IF(J921="E",IF(INDEX(Transaksi!$B$2:$B$2001,K921)="",INDEX(Transaksi!$C$2:$C$2001,K921)&amp;" · "&amp;INDEX(Transaksi!$D$2:$D$2001,K921),INDEX(Transaksi!$B$2:$B$2001,K921)),""))</f>
        <v/>
      </c>
      <c r="C921" s="32">
        <f>IF(J921="E",INDEX(Transaksi!$C$2:$C$2001,K921)&amp;"","")</f>
        <v/>
      </c>
      <c r="D921" s="32">
        <f>IF(J921="E",INDEX(Transaksi!$D$2:$D$2001,K921)&amp;"","")</f>
        <v/>
      </c>
      <c r="E921" s="33">
        <f>IF(J921="H",SUMIFS(Transaksi!$G$2:$G$2001,Transaksi!$M$2:$M$2001,"="&amp;S921)+SUMIFS(Transaksi!$H$2:$H$2001,Transaksi!$M$2:$M$2001,"="&amp;S921)+SUMIFS(Transaksi!$I$2:$I$2001,Transaksi!$M$2:$M$2001,"="&amp;S921),IF(J921="E",IF(INDEX(Transaksi!$G$2:$G$2001,K921)+INDEX(Transaksi!$H$2:$H$2001,K921)+INDEX(Transaksi!$I$2:$I$2001,K921)=0,"",INDEX(Transaksi!$G$2:$G$2001,K921)+INDEX(Transaksi!$H$2:$H$2001,K921)+INDEX(Transaksi!$I$2:$I$2001,K921)),""))</f>
        <v/>
      </c>
      <c r="F921" s="33">
        <f>IF(J921="H",SUMIFS(Transaksi!$J$2:$J$2001,Transaksi!$M$2:$M$2001,"="&amp;S921),IF(J921="E",IF(INDEX(Transaksi!$J$2:$J$2001,K921)=0,"",INDEX(Transaksi!$J$2:$J$2001,K921)),""))</f>
        <v/>
      </c>
      <c r="G921" s="33">
        <f>IF(J921="H",(SUMIFS(Transaksi!$G$2:$G$2001,Transaksi!$M$2:$M$2001,"&lt;="&amp;S921)+SUMIFS(Transaksi!$H$2:$H$2001,Transaksi!$M$2:$M$2001,"&lt;="&amp;S921)+SUMIFS(Transaksi!$I$2:$I$2001,Transaksi!$M$2:$M$2001,"&lt;="&amp;S921))-(SUMIFS(Transaksi!$J$2:$J$2001,Transaksi!$M$2:$M$2001,"&lt;="&amp;S921)),"")</f>
        <v/>
      </c>
      <c r="I921">
        <f>IF(918&gt;$O$2,"",MATCH(918,$Q$3:$Q$402,1))</f>
        <v/>
      </c>
      <c r="J921">
        <f>IF(I921="","",IF(918=INDEX($Q$3:$Q$402,I921),"H","E"))</f>
        <v/>
      </c>
      <c r="K921">
        <f>IF(J921&lt;&gt;"E","",MATCH(S921,Transaksi!$M$2:$M$2001,0)+918-INDEX($Q$3:$Q$402,I921)-1)</f>
        <v/>
      </c>
      <c r="S921">
        <f>IF(I921="","",INDEX($O$3:$O$402,I921))</f>
        <v/>
      </c>
      <c r="T921">
        <f>IF(J921&lt;&gt;"H","",INDEX(Transaksi!$A$2:$A$2001,MATCH(S921,Transaksi!$M$2:$M$2001,0)))</f>
        <v/>
      </c>
    </row>
    <row r="922">
      <c r="A922" s="31">
        <f>IF(J922="E",IF(INDEX(Transaksi!$J$2:$J$2001,K922)&gt;0,"↑","↓"),"")</f>
        <v/>
      </c>
      <c r="B922" s="32">
        <f>IF(J922="H",CHOOSE(WEEKDAY(T922,2),"Isnin","Selasa","Rabu","Khamis","Jumaat","Sabtu","Ahad")&amp;", "&amp;DAY(T922)&amp;" "&amp;CHOOSE(MONTH(T922),"Jan","Feb","Mac","Apr","Mei","Jun","Jul","Ogo","Sep","Okt","Nov","Dis")&amp;" "&amp;YEAR(T922),IF(J922="E",IF(INDEX(Transaksi!$B$2:$B$2001,K922)="",INDEX(Transaksi!$C$2:$C$2001,K922)&amp;" · "&amp;INDEX(Transaksi!$D$2:$D$2001,K922),INDEX(Transaksi!$B$2:$B$2001,K922)),""))</f>
        <v/>
      </c>
      <c r="C922" s="32">
        <f>IF(J922="E",INDEX(Transaksi!$C$2:$C$2001,K922)&amp;"","")</f>
        <v/>
      </c>
      <c r="D922" s="32">
        <f>IF(J922="E",INDEX(Transaksi!$D$2:$D$2001,K922)&amp;"","")</f>
        <v/>
      </c>
      <c r="E922" s="33">
        <f>IF(J922="H",SUMIFS(Transaksi!$G$2:$G$2001,Transaksi!$M$2:$M$2001,"="&amp;S922)+SUMIFS(Transaksi!$H$2:$H$2001,Transaksi!$M$2:$M$2001,"="&amp;S922)+SUMIFS(Transaksi!$I$2:$I$2001,Transaksi!$M$2:$M$2001,"="&amp;S922),IF(J922="E",IF(INDEX(Transaksi!$G$2:$G$2001,K922)+INDEX(Transaksi!$H$2:$H$2001,K922)+INDEX(Transaksi!$I$2:$I$2001,K922)=0,"",INDEX(Transaksi!$G$2:$G$2001,K922)+INDEX(Transaksi!$H$2:$H$2001,K922)+INDEX(Transaksi!$I$2:$I$2001,K922)),""))</f>
        <v/>
      </c>
      <c r="F922" s="33">
        <f>IF(J922="H",SUMIFS(Transaksi!$J$2:$J$2001,Transaksi!$M$2:$M$2001,"="&amp;S922),IF(J922="E",IF(INDEX(Transaksi!$J$2:$J$2001,K922)=0,"",INDEX(Transaksi!$J$2:$J$2001,K922)),""))</f>
        <v/>
      </c>
      <c r="G922" s="33">
        <f>IF(J922="H",(SUMIFS(Transaksi!$G$2:$G$2001,Transaksi!$M$2:$M$2001,"&lt;="&amp;S922)+SUMIFS(Transaksi!$H$2:$H$2001,Transaksi!$M$2:$M$2001,"&lt;="&amp;S922)+SUMIFS(Transaksi!$I$2:$I$2001,Transaksi!$M$2:$M$2001,"&lt;="&amp;S922))-(SUMIFS(Transaksi!$J$2:$J$2001,Transaksi!$M$2:$M$2001,"&lt;="&amp;S922)),"")</f>
        <v/>
      </c>
      <c r="I922">
        <f>IF(919&gt;$O$2,"",MATCH(919,$Q$3:$Q$402,1))</f>
        <v/>
      </c>
      <c r="J922">
        <f>IF(I922="","",IF(919=INDEX($Q$3:$Q$402,I922),"H","E"))</f>
        <v/>
      </c>
      <c r="K922">
        <f>IF(J922&lt;&gt;"E","",MATCH(S922,Transaksi!$M$2:$M$2001,0)+919-INDEX($Q$3:$Q$402,I922)-1)</f>
        <v/>
      </c>
      <c r="S922">
        <f>IF(I922="","",INDEX($O$3:$O$402,I922))</f>
        <v/>
      </c>
      <c r="T922">
        <f>IF(J922&lt;&gt;"H","",INDEX(Transaksi!$A$2:$A$2001,MATCH(S922,Transaksi!$M$2:$M$2001,0)))</f>
        <v/>
      </c>
    </row>
    <row r="923">
      <c r="A923" s="31">
        <f>IF(J923="E",IF(INDEX(Transaksi!$J$2:$J$2001,K923)&gt;0,"↑","↓"),"")</f>
        <v/>
      </c>
      <c r="B923" s="32">
        <f>IF(J923="H",CHOOSE(WEEKDAY(T923,2),"Isnin","Selasa","Rabu","Khamis","Jumaat","Sabtu","Ahad")&amp;", "&amp;DAY(T923)&amp;" "&amp;CHOOSE(MONTH(T923),"Jan","Feb","Mac","Apr","Mei","Jun","Jul","Ogo","Sep","Okt","Nov","Dis")&amp;" "&amp;YEAR(T923),IF(J923="E",IF(INDEX(Transaksi!$B$2:$B$2001,K923)="",INDEX(Transaksi!$C$2:$C$2001,K923)&amp;" · "&amp;INDEX(Transaksi!$D$2:$D$2001,K923),INDEX(Transaksi!$B$2:$B$2001,K923)),""))</f>
        <v/>
      </c>
      <c r="C923" s="32">
        <f>IF(J923="E",INDEX(Transaksi!$C$2:$C$2001,K923)&amp;"","")</f>
        <v/>
      </c>
      <c r="D923" s="32">
        <f>IF(J923="E",INDEX(Transaksi!$D$2:$D$2001,K923)&amp;"","")</f>
        <v/>
      </c>
      <c r="E923" s="33">
        <f>IF(J923="H",SUMIFS(Transaksi!$G$2:$G$2001,Transaksi!$M$2:$M$2001,"="&amp;S923)+SUMIFS(Transaksi!$H$2:$H$2001,Transaksi!$M$2:$M$2001,"="&amp;S923)+SUMIFS(Transaksi!$I$2:$I$2001,Transaksi!$M$2:$M$2001,"="&amp;S923),IF(J923="E",IF(INDEX(Transaksi!$G$2:$G$2001,K923)+INDEX(Transaksi!$H$2:$H$2001,K923)+INDEX(Transaksi!$I$2:$I$2001,K923)=0,"",INDEX(Transaksi!$G$2:$G$2001,K923)+INDEX(Transaksi!$H$2:$H$2001,K923)+INDEX(Transaksi!$I$2:$I$2001,K923)),""))</f>
        <v/>
      </c>
      <c r="F923" s="33">
        <f>IF(J923="H",SUMIFS(Transaksi!$J$2:$J$2001,Transaksi!$M$2:$M$2001,"="&amp;S923),IF(J923="E",IF(INDEX(Transaksi!$J$2:$J$2001,K923)=0,"",INDEX(Transaksi!$J$2:$J$2001,K923)),""))</f>
        <v/>
      </c>
      <c r="G923" s="33">
        <f>IF(J923="H",(SUMIFS(Transaksi!$G$2:$G$2001,Transaksi!$M$2:$M$2001,"&lt;="&amp;S923)+SUMIFS(Transaksi!$H$2:$H$2001,Transaksi!$M$2:$M$2001,"&lt;="&amp;S923)+SUMIFS(Transaksi!$I$2:$I$2001,Transaksi!$M$2:$M$2001,"&lt;="&amp;S923))-(SUMIFS(Transaksi!$J$2:$J$2001,Transaksi!$M$2:$M$2001,"&lt;="&amp;S923)),"")</f>
        <v/>
      </c>
      <c r="I923">
        <f>IF(920&gt;$O$2,"",MATCH(920,$Q$3:$Q$402,1))</f>
        <v/>
      </c>
      <c r="J923">
        <f>IF(I923="","",IF(920=INDEX($Q$3:$Q$402,I923),"H","E"))</f>
        <v/>
      </c>
      <c r="K923">
        <f>IF(J923&lt;&gt;"E","",MATCH(S923,Transaksi!$M$2:$M$2001,0)+920-INDEX($Q$3:$Q$402,I923)-1)</f>
        <v/>
      </c>
      <c r="S923">
        <f>IF(I923="","",INDEX($O$3:$O$402,I923))</f>
        <v/>
      </c>
      <c r="T923">
        <f>IF(J923&lt;&gt;"H","",INDEX(Transaksi!$A$2:$A$2001,MATCH(S923,Transaksi!$M$2:$M$2001,0)))</f>
        <v/>
      </c>
    </row>
    <row r="924">
      <c r="A924" s="31">
        <f>IF(J924="E",IF(INDEX(Transaksi!$J$2:$J$2001,K924)&gt;0,"↑","↓"),"")</f>
        <v/>
      </c>
      <c r="B924" s="32">
        <f>IF(J924="H",CHOOSE(WEEKDAY(T924,2),"Isnin","Selasa","Rabu","Khamis","Jumaat","Sabtu","Ahad")&amp;", "&amp;DAY(T924)&amp;" "&amp;CHOOSE(MONTH(T924),"Jan","Feb","Mac","Apr","Mei","Jun","Jul","Ogo","Sep","Okt","Nov","Dis")&amp;" "&amp;YEAR(T924),IF(J924="E",IF(INDEX(Transaksi!$B$2:$B$2001,K924)="",INDEX(Transaksi!$C$2:$C$2001,K924)&amp;" · "&amp;INDEX(Transaksi!$D$2:$D$2001,K924),INDEX(Transaksi!$B$2:$B$2001,K924)),""))</f>
        <v/>
      </c>
      <c r="C924" s="32">
        <f>IF(J924="E",INDEX(Transaksi!$C$2:$C$2001,K924)&amp;"","")</f>
        <v/>
      </c>
      <c r="D924" s="32">
        <f>IF(J924="E",INDEX(Transaksi!$D$2:$D$2001,K924)&amp;"","")</f>
        <v/>
      </c>
      <c r="E924" s="33">
        <f>IF(J924="H",SUMIFS(Transaksi!$G$2:$G$2001,Transaksi!$M$2:$M$2001,"="&amp;S924)+SUMIFS(Transaksi!$H$2:$H$2001,Transaksi!$M$2:$M$2001,"="&amp;S924)+SUMIFS(Transaksi!$I$2:$I$2001,Transaksi!$M$2:$M$2001,"="&amp;S924),IF(J924="E",IF(INDEX(Transaksi!$G$2:$G$2001,K924)+INDEX(Transaksi!$H$2:$H$2001,K924)+INDEX(Transaksi!$I$2:$I$2001,K924)=0,"",INDEX(Transaksi!$G$2:$G$2001,K924)+INDEX(Transaksi!$H$2:$H$2001,K924)+INDEX(Transaksi!$I$2:$I$2001,K924)),""))</f>
        <v/>
      </c>
      <c r="F924" s="33">
        <f>IF(J924="H",SUMIFS(Transaksi!$J$2:$J$2001,Transaksi!$M$2:$M$2001,"="&amp;S924),IF(J924="E",IF(INDEX(Transaksi!$J$2:$J$2001,K924)=0,"",INDEX(Transaksi!$J$2:$J$2001,K924)),""))</f>
        <v/>
      </c>
      <c r="G924" s="33">
        <f>IF(J924="H",(SUMIFS(Transaksi!$G$2:$G$2001,Transaksi!$M$2:$M$2001,"&lt;="&amp;S924)+SUMIFS(Transaksi!$H$2:$H$2001,Transaksi!$M$2:$M$2001,"&lt;="&amp;S924)+SUMIFS(Transaksi!$I$2:$I$2001,Transaksi!$M$2:$M$2001,"&lt;="&amp;S924))-(SUMIFS(Transaksi!$J$2:$J$2001,Transaksi!$M$2:$M$2001,"&lt;="&amp;S924)),"")</f>
        <v/>
      </c>
      <c r="I924">
        <f>IF(921&gt;$O$2,"",MATCH(921,$Q$3:$Q$402,1))</f>
        <v/>
      </c>
      <c r="J924">
        <f>IF(I924="","",IF(921=INDEX($Q$3:$Q$402,I924),"H","E"))</f>
        <v/>
      </c>
      <c r="K924">
        <f>IF(J924&lt;&gt;"E","",MATCH(S924,Transaksi!$M$2:$M$2001,0)+921-INDEX($Q$3:$Q$402,I924)-1)</f>
        <v/>
      </c>
      <c r="S924">
        <f>IF(I924="","",INDEX($O$3:$O$402,I924))</f>
        <v/>
      </c>
      <c r="T924">
        <f>IF(J924&lt;&gt;"H","",INDEX(Transaksi!$A$2:$A$2001,MATCH(S924,Transaksi!$M$2:$M$2001,0)))</f>
        <v/>
      </c>
    </row>
    <row r="925">
      <c r="A925" s="31">
        <f>IF(J925="E",IF(INDEX(Transaksi!$J$2:$J$2001,K925)&gt;0,"↑","↓"),"")</f>
        <v/>
      </c>
      <c r="B925" s="32">
        <f>IF(J925="H",CHOOSE(WEEKDAY(T925,2),"Isnin","Selasa","Rabu","Khamis","Jumaat","Sabtu","Ahad")&amp;", "&amp;DAY(T925)&amp;" "&amp;CHOOSE(MONTH(T925),"Jan","Feb","Mac","Apr","Mei","Jun","Jul","Ogo","Sep","Okt","Nov","Dis")&amp;" "&amp;YEAR(T925),IF(J925="E",IF(INDEX(Transaksi!$B$2:$B$2001,K925)="",INDEX(Transaksi!$C$2:$C$2001,K925)&amp;" · "&amp;INDEX(Transaksi!$D$2:$D$2001,K925),INDEX(Transaksi!$B$2:$B$2001,K925)),""))</f>
        <v/>
      </c>
      <c r="C925" s="32">
        <f>IF(J925="E",INDEX(Transaksi!$C$2:$C$2001,K925)&amp;"","")</f>
        <v/>
      </c>
      <c r="D925" s="32">
        <f>IF(J925="E",INDEX(Transaksi!$D$2:$D$2001,K925)&amp;"","")</f>
        <v/>
      </c>
      <c r="E925" s="33">
        <f>IF(J925="H",SUMIFS(Transaksi!$G$2:$G$2001,Transaksi!$M$2:$M$2001,"="&amp;S925)+SUMIFS(Transaksi!$H$2:$H$2001,Transaksi!$M$2:$M$2001,"="&amp;S925)+SUMIFS(Transaksi!$I$2:$I$2001,Transaksi!$M$2:$M$2001,"="&amp;S925),IF(J925="E",IF(INDEX(Transaksi!$G$2:$G$2001,K925)+INDEX(Transaksi!$H$2:$H$2001,K925)+INDEX(Transaksi!$I$2:$I$2001,K925)=0,"",INDEX(Transaksi!$G$2:$G$2001,K925)+INDEX(Transaksi!$H$2:$H$2001,K925)+INDEX(Transaksi!$I$2:$I$2001,K925)),""))</f>
        <v/>
      </c>
      <c r="F925" s="33">
        <f>IF(J925="H",SUMIFS(Transaksi!$J$2:$J$2001,Transaksi!$M$2:$M$2001,"="&amp;S925),IF(J925="E",IF(INDEX(Transaksi!$J$2:$J$2001,K925)=0,"",INDEX(Transaksi!$J$2:$J$2001,K925)),""))</f>
        <v/>
      </c>
      <c r="G925" s="33">
        <f>IF(J925="H",(SUMIFS(Transaksi!$G$2:$G$2001,Transaksi!$M$2:$M$2001,"&lt;="&amp;S925)+SUMIFS(Transaksi!$H$2:$H$2001,Transaksi!$M$2:$M$2001,"&lt;="&amp;S925)+SUMIFS(Transaksi!$I$2:$I$2001,Transaksi!$M$2:$M$2001,"&lt;="&amp;S925))-(SUMIFS(Transaksi!$J$2:$J$2001,Transaksi!$M$2:$M$2001,"&lt;="&amp;S925)),"")</f>
        <v/>
      </c>
      <c r="I925">
        <f>IF(922&gt;$O$2,"",MATCH(922,$Q$3:$Q$402,1))</f>
        <v/>
      </c>
      <c r="J925">
        <f>IF(I925="","",IF(922=INDEX($Q$3:$Q$402,I925),"H","E"))</f>
        <v/>
      </c>
      <c r="K925">
        <f>IF(J925&lt;&gt;"E","",MATCH(S925,Transaksi!$M$2:$M$2001,0)+922-INDEX($Q$3:$Q$402,I925)-1)</f>
        <v/>
      </c>
      <c r="S925">
        <f>IF(I925="","",INDEX($O$3:$O$402,I925))</f>
        <v/>
      </c>
      <c r="T925">
        <f>IF(J925&lt;&gt;"H","",INDEX(Transaksi!$A$2:$A$2001,MATCH(S925,Transaksi!$M$2:$M$2001,0)))</f>
        <v/>
      </c>
    </row>
    <row r="926">
      <c r="A926" s="31">
        <f>IF(J926="E",IF(INDEX(Transaksi!$J$2:$J$2001,K926)&gt;0,"↑","↓"),"")</f>
        <v/>
      </c>
      <c r="B926" s="32">
        <f>IF(J926="H",CHOOSE(WEEKDAY(T926,2),"Isnin","Selasa","Rabu","Khamis","Jumaat","Sabtu","Ahad")&amp;", "&amp;DAY(T926)&amp;" "&amp;CHOOSE(MONTH(T926),"Jan","Feb","Mac","Apr","Mei","Jun","Jul","Ogo","Sep","Okt","Nov","Dis")&amp;" "&amp;YEAR(T926),IF(J926="E",IF(INDEX(Transaksi!$B$2:$B$2001,K926)="",INDEX(Transaksi!$C$2:$C$2001,K926)&amp;" · "&amp;INDEX(Transaksi!$D$2:$D$2001,K926),INDEX(Transaksi!$B$2:$B$2001,K926)),""))</f>
        <v/>
      </c>
      <c r="C926" s="32">
        <f>IF(J926="E",INDEX(Transaksi!$C$2:$C$2001,K926)&amp;"","")</f>
        <v/>
      </c>
      <c r="D926" s="32">
        <f>IF(J926="E",INDEX(Transaksi!$D$2:$D$2001,K926)&amp;"","")</f>
        <v/>
      </c>
      <c r="E926" s="33">
        <f>IF(J926="H",SUMIFS(Transaksi!$G$2:$G$2001,Transaksi!$M$2:$M$2001,"="&amp;S926)+SUMIFS(Transaksi!$H$2:$H$2001,Transaksi!$M$2:$M$2001,"="&amp;S926)+SUMIFS(Transaksi!$I$2:$I$2001,Transaksi!$M$2:$M$2001,"="&amp;S926),IF(J926="E",IF(INDEX(Transaksi!$G$2:$G$2001,K926)+INDEX(Transaksi!$H$2:$H$2001,K926)+INDEX(Transaksi!$I$2:$I$2001,K926)=0,"",INDEX(Transaksi!$G$2:$G$2001,K926)+INDEX(Transaksi!$H$2:$H$2001,K926)+INDEX(Transaksi!$I$2:$I$2001,K926)),""))</f>
        <v/>
      </c>
      <c r="F926" s="33">
        <f>IF(J926="H",SUMIFS(Transaksi!$J$2:$J$2001,Transaksi!$M$2:$M$2001,"="&amp;S926),IF(J926="E",IF(INDEX(Transaksi!$J$2:$J$2001,K926)=0,"",INDEX(Transaksi!$J$2:$J$2001,K926)),""))</f>
        <v/>
      </c>
      <c r="G926" s="33">
        <f>IF(J926="H",(SUMIFS(Transaksi!$G$2:$G$2001,Transaksi!$M$2:$M$2001,"&lt;="&amp;S926)+SUMIFS(Transaksi!$H$2:$H$2001,Transaksi!$M$2:$M$2001,"&lt;="&amp;S926)+SUMIFS(Transaksi!$I$2:$I$2001,Transaksi!$M$2:$M$2001,"&lt;="&amp;S926))-(SUMIFS(Transaksi!$J$2:$J$2001,Transaksi!$M$2:$M$2001,"&lt;="&amp;S926)),"")</f>
        <v/>
      </c>
      <c r="I926">
        <f>IF(923&gt;$O$2,"",MATCH(923,$Q$3:$Q$402,1))</f>
        <v/>
      </c>
      <c r="J926">
        <f>IF(I926="","",IF(923=INDEX($Q$3:$Q$402,I926),"H","E"))</f>
        <v/>
      </c>
      <c r="K926">
        <f>IF(J926&lt;&gt;"E","",MATCH(S926,Transaksi!$M$2:$M$2001,0)+923-INDEX($Q$3:$Q$402,I926)-1)</f>
        <v/>
      </c>
      <c r="S926">
        <f>IF(I926="","",INDEX($O$3:$O$402,I926))</f>
        <v/>
      </c>
      <c r="T926">
        <f>IF(J926&lt;&gt;"H","",INDEX(Transaksi!$A$2:$A$2001,MATCH(S926,Transaksi!$M$2:$M$2001,0)))</f>
        <v/>
      </c>
    </row>
    <row r="927">
      <c r="A927" s="31">
        <f>IF(J927="E",IF(INDEX(Transaksi!$J$2:$J$2001,K927)&gt;0,"↑","↓"),"")</f>
        <v/>
      </c>
      <c r="B927" s="32">
        <f>IF(J927="H",CHOOSE(WEEKDAY(T927,2),"Isnin","Selasa","Rabu","Khamis","Jumaat","Sabtu","Ahad")&amp;", "&amp;DAY(T927)&amp;" "&amp;CHOOSE(MONTH(T927),"Jan","Feb","Mac","Apr","Mei","Jun","Jul","Ogo","Sep","Okt","Nov","Dis")&amp;" "&amp;YEAR(T927),IF(J927="E",IF(INDEX(Transaksi!$B$2:$B$2001,K927)="",INDEX(Transaksi!$C$2:$C$2001,K927)&amp;" · "&amp;INDEX(Transaksi!$D$2:$D$2001,K927),INDEX(Transaksi!$B$2:$B$2001,K927)),""))</f>
        <v/>
      </c>
      <c r="C927" s="32">
        <f>IF(J927="E",INDEX(Transaksi!$C$2:$C$2001,K927)&amp;"","")</f>
        <v/>
      </c>
      <c r="D927" s="32">
        <f>IF(J927="E",INDEX(Transaksi!$D$2:$D$2001,K927)&amp;"","")</f>
        <v/>
      </c>
      <c r="E927" s="33">
        <f>IF(J927="H",SUMIFS(Transaksi!$G$2:$G$2001,Transaksi!$M$2:$M$2001,"="&amp;S927)+SUMIFS(Transaksi!$H$2:$H$2001,Transaksi!$M$2:$M$2001,"="&amp;S927)+SUMIFS(Transaksi!$I$2:$I$2001,Transaksi!$M$2:$M$2001,"="&amp;S927),IF(J927="E",IF(INDEX(Transaksi!$G$2:$G$2001,K927)+INDEX(Transaksi!$H$2:$H$2001,K927)+INDEX(Transaksi!$I$2:$I$2001,K927)=0,"",INDEX(Transaksi!$G$2:$G$2001,K927)+INDEX(Transaksi!$H$2:$H$2001,K927)+INDEX(Transaksi!$I$2:$I$2001,K927)),""))</f>
        <v/>
      </c>
      <c r="F927" s="33">
        <f>IF(J927="H",SUMIFS(Transaksi!$J$2:$J$2001,Transaksi!$M$2:$M$2001,"="&amp;S927),IF(J927="E",IF(INDEX(Transaksi!$J$2:$J$2001,K927)=0,"",INDEX(Transaksi!$J$2:$J$2001,K927)),""))</f>
        <v/>
      </c>
      <c r="G927" s="33">
        <f>IF(J927="H",(SUMIFS(Transaksi!$G$2:$G$2001,Transaksi!$M$2:$M$2001,"&lt;="&amp;S927)+SUMIFS(Transaksi!$H$2:$H$2001,Transaksi!$M$2:$M$2001,"&lt;="&amp;S927)+SUMIFS(Transaksi!$I$2:$I$2001,Transaksi!$M$2:$M$2001,"&lt;="&amp;S927))-(SUMIFS(Transaksi!$J$2:$J$2001,Transaksi!$M$2:$M$2001,"&lt;="&amp;S927)),"")</f>
        <v/>
      </c>
      <c r="I927">
        <f>IF(924&gt;$O$2,"",MATCH(924,$Q$3:$Q$402,1))</f>
        <v/>
      </c>
      <c r="J927">
        <f>IF(I927="","",IF(924=INDEX($Q$3:$Q$402,I927),"H","E"))</f>
        <v/>
      </c>
      <c r="K927">
        <f>IF(J927&lt;&gt;"E","",MATCH(S927,Transaksi!$M$2:$M$2001,0)+924-INDEX($Q$3:$Q$402,I927)-1)</f>
        <v/>
      </c>
      <c r="S927">
        <f>IF(I927="","",INDEX($O$3:$O$402,I927))</f>
        <v/>
      </c>
      <c r="T927">
        <f>IF(J927&lt;&gt;"H","",INDEX(Transaksi!$A$2:$A$2001,MATCH(S927,Transaksi!$M$2:$M$2001,0)))</f>
        <v/>
      </c>
    </row>
    <row r="928">
      <c r="A928" s="31">
        <f>IF(J928="E",IF(INDEX(Transaksi!$J$2:$J$2001,K928)&gt;0,"↑","↓"),"")</f>
        <v/>
      </c>
      <c r="B928" s="32">
        <f>IF(J928="H",CHOOSE(WEEKDAY(T928,2),"Isnin","Selasa","Rabu","Khamis","Jumaat","Sabtu","Ahad")&amp;", "&amp;DAY(T928)&amp;" "&amp;CHOOSE(MONTH(T928),"Jan","Feb","Mac","Apr","Mei","Jun","Jul","Ogo","Sep","Okt","Nov","Dis")&amp;" "&amp;YEAR(T928),IF(J928="E",IF(INDEX(Transaksi!$B$2:$B$2001,K928)="",INDEX(Transaksi!$C$2:$C$2001,K928)&amp;" · "&amp;INDEX(Transaksi!$D$2:$D$2001,K928),INDEX(Transaksi!$B$2:$B$2001,K928)),""))</f>
        <v/>
      </c>
      <c r="C928" s="32">
        <f>IF(J928="E",INDEX(Transaksi!$C$2:$C$2001,K928)&amp;"","")</f>
        <v/>
      </c>
      <c r="D928" s="32">
        <f>IF(J928="E",INDEX(Transaksi!$D$2:$D$2001,K928)&amp;"","")</f>
        <v/>
      </c>
      <c r="E928" s="33">
        <f>IF(J928="H",SUMIFS(Transaksi!$G$2:$G$2001,Transaksi!$M$2:$M$2001,"="&amp;S928)+SUMIFS(Transaksi!$H$2:$H$2001,Transaksi!$M$2:$M$2001,"="&amp;S928)+SUMIFS(Transaksi!$I$2:$I$2001,Transaksi!$M$2:$M$2001,"="&amp;S928),IF(J928="E",IF(INDEX(Transaksi!$G$2:$G$2001,K928)+INDEX(Transaksi!$H$2:$H$2001,K928)+INDEX(Transaksi!$I$2:$I$2001,K928)=0,"",INDEX(Transaksi!$G$2:$G$2001,K928)+INDEX(Transaksi!$H$2:$H$2001,K928)+INDEX(Transaksi!$I$2:$I$2001,K928)),""))</f>
        <v/>
      </c>
      <c r="F928" s="33">
        <f>IF(J928="H",SUMIFS(Transaksi!$J$2:$J$2001,Transaksi!$M$2:$M$2001,"="&amp;S928),IF(J928="E",IF(INDEX(Transaksi!$J$2:$J$2001,K928)=0,"",INDEX(Transaksi!$J$2:$J$2001,K928)),""))</f>
        <v/>
      </c>
      <c r="G928" s="33">
        <f>IF(J928="H",(SUMIFS(Transaksi!$G$2:$G$2001,Transaksi!$M$2:$M$2001,"&lt;="&amp;S928)+SUMIFS(Transaksi!$H$2:$H$2001,Transaksi!$M$2:$M$2001,"&lt;="&amp;S928)+SUMIFS(Transaksi!$I$2:$I$2001,Transaksi!$M$2:$M$2001,"&lt;="&amp;S928))-(SUMIFS(Transaksi!$J$2:$J$2001,Transaksi!$M$2:$M$2001,"&lt;="&amp;S928)),"")</f>
        <v/>
      </c>
      <c r="I928">
        <f>IF(925&gt;$O$2,"",MATCH(925,$Q$3:$Q$402,1))</f>
        <v/>
      </c>
      <c r="J928">
        <f>IF(I928="","",IF(925=INDEX($Q$3:$Q$402,I928),"H","E"))</f>
        <v/>
      </c>
      <c r="K928">
        <f>IF(J928&lt;&gt;"E","",MATCH(S928,Transaksi!$M$2:$M$2001,0)+925-INDEX($Q$3:$Q$402,I928)-1)</f>
        <v/>
      </c>
      <c r="S928">
        <f>IF(I928="","",INDEX($O$3:$O$402,I928))</f>
        <v/>
      </c>
      <c r="T928">
        <f>IF(J928&lt;&gt;"H","",INDEX(Transaksi!$A$2:$A$2001,MATCH(S928,Transaksi!$M$2:$M$2001,0)))</f>
        <v/>
      </c>
    </row>
    <row r="929">
      <c r="A929" s="31">
        <f>IF(J929="E",IF(INDEX(Transaksi!$J$2:$J$2001,K929)&gt;0,"↑","↓"),"")</f>
        <v/>
      </c>
      <c r="B929" s="32">
        <f>IF(J929="H",CHOOSE(WEEKDAY(T929,2),"Isnin","Selasa","Rabu","Khamis","Jumaat","Sabtu","Ahad")&amp;", "&amp;DAY(T929)&amp;" "&amp;CHOOSE(MONTH(T929),"Jan","Feb","Mac","Apr","Mei","Jun","Jul","Ogo","Sep","Okt","Nov","Dis")&amp;" "&amp;YEAR(T929),IF(J929="E",IF(INDEX(Transaksi!$B$2:$B$2001,K929)="",INDEX(Transaksi!$C$2:$C$2001,K929)&amp;" · "&amp;INDEX(Transaksi!$D$2:$D$2001,K929),INDEX(Transaksi!$B$2:$B$2001,K929)),""))</f>
        <v/>
      </c>
      <c r="C929" s="32">
        <f>IF(J929="E",INDEX(Transaksi!$C$2:$C$2001,K929)&amp;"","")</f>
        <v/>
      </c>
      <c r="D929" s="32">
        <f>IF(J929="E",INDEX(Transaksi!$D$2:$D$2001,K929)&amp;"","")</f>
        <v/>
      </c>
      <c r="E929" s="33">
        <f>IF(J929="H",SUMIFS(Transaksi!$G$2:$G$2001,Transaksi!$M$2:$M$2001,"="&amp;S929)+SUMIFS(Transaksi!$H$2:$H$2001,Transaksi!$M$2:$M$2001,"="&amp;S929)+SUMIFS(Transaksi!$I$2:$I$2001,Transaksi!$M$2:$M$2001,"="&amp;S929),IF(J929="E",IF(INDEX(Transaksi!$G$2:$G$2001,K929)+INDEX(Transaksi!$H$2:$H$2001,K929)+INDEX(Transaksi!$I$2:$I$2001,K929)=0,"",INDEX(Transaksi!$G$2:$G$2001,K929)+INDEX(Transaksi!$H$2:$H$2001,K929)+INDEX(Transaksi!$I$2:$I$2001,K929)),""))</f>
        <v/>
      </c>
      <c r="F929" s="33">
        <f>IF(J929="H",SUMIFS(Transaksi!$J$2:$J$2001,Transaksi!$M$2:$M$2001,"="&amp;S929),IF(J929="E",IF(INDEX(Transaksi!$J$2:$J$2001,K929)=0,"",INDEX(Transaksi!$J$2:$J$2001,K929)),""))</f>
        <v/>
      </c>
      <c r="G929" s="33">
        <f>IF(J929="H",(SUMIFS(Transaksi!$G$2:$G$2001,Transaksi!$M$2:$M$2001,"&lt;="&amp;S929)+SUMIFS(Transaksi!$H$2:$H$2001,Transaksi!$M$2:$M$2001,"&lt;="&amp;S929)+SUMIFS(Transaksi!$I$2:$I$2001,Transaksi!$M$2:$M$2001,"&lt;="&amp;S929))-(SUMIFS(Transaksi!$J$2:$J$2001,Transaksi!$M$2:$M$2001,"&lt;="&amp;S929)),"")</f>
        <v/>
      </c>
      <c r="I929">
        <f>IF(926&gt;$O$2,"",MATCH(926,$Q$3:$Q$402,1))</f>
        <v/>
      </c>
      <c r="J929">
        <f>IF(I929="","",IF(926=INDEX($Q$3:$Q$402,I929),"H","E"))</f>
        <v/>
      </c>
      <c r="K929">
        <f>IF(J929&lt;&gt;"E","",MATCH(S929,Transaksi!$M$2:$M$2001,0)+926-INDEX($Q$3:$Q$402,I929)-1)</f>
        <v/>
      </c>
      <c r="S929">
        <f>IF(I929="","",INDEX($O$3:$O$402,I929))</f>
        <v/>
      </c>
      <c r="T929">
        <f>IF(J929&lt;&gt;"H","",INDEX(Transaksi!$A$2:$A$2001,MATCH(S929,Transaksi!$M$2:$M$2001,0)))</f>
        <v/>
      </c>
    </row>
    <row r="930">
      <c r="A930" s="31">
        <f>IF(J930="E",IF(INDEX(Transaksi!$J$2:$J$2001,K930)&gt;0,"↑","↓"),"")</f>
        <v/>
      </c>
      <c r="B930" s="32">
        <f>IF(J930="H",CHOOSE(WEEKDAY(T930,2),"Isnin","Selasa","Rabu","Khamis","Jumaat","Sabtu","Ahad")&amp;", "&amp;DAY(T930)&amp;" "&amp;CHOOSE(MONTH(T930),"Jan","Feb","Mac","Apr","Mei","Jun","Jul","Ogo","Sep","Okt","Nov","Dis")&amp;" "&amp;YEAR(T930),IF(J930="E",IF(INDEX(Transaksi!$B$2:$B$2001,K930)="",INDEX(Transaksi!$C$2:$C$2001,K930)&amp;" · "&amp;INDEX(Transaksi!$D$2:$D$2001,K930),INDEX(Transaksi!$B$2:$B$2001,K930)),""))</f>
        <v/>
      </c>
      <c r="C930" s="32">
        <f>IF(J930="E",INDEX(Transaksi!$C$2:$C$2001,K930)&amp;"","")</f>
        <v/>
      </c>
      <c r="D930" s="32">
        <f>IF(J930="E",INDEX(Transaksi!$D$2:$D$2001,K930)&amp;"","")</f>
        <v/>
      </c>
      <c r="E930" s="33">
        <f>IF(J930="H",SUMIFS(Transaksi!$G$2:$G$2001,Transaksi!$M$2:$M$2001,"="&amp;S930)+SUMIFS(Transaksi!$H$2:$H$2001,Transaksi!$M$2:$M$2001,"="&amp;S930)+SUMIFS(Transaksi!$I$2:$I$2001,Transaksi!$M$2:$M$2001,"="&amp;S930),IF(J930="E",IF(INDEX(Transaksi!$G$2:$G$2001,K930)+INDEX(Transaksi!$H$2:$H$2001,K930)+INDEX(Transaksi!$I$2:$I$2001,K930)=0,"",INDEX(Transaksi!$G$2:$G$2001,K930)+INDEX(Transaksi!$H$2:$H$2001,K930)+INDEX(Transaksi!$I$2:$I$2001,K930)),""))</f>
        <v/>
      </c>
      <c r="F930" s="33">
        <f>IF(J930="H",SUMIFS(Transaksi!$J$2:$J$2001,Transaksi!$M$2:$M$2001,"="&amp;S930),IF(J930="E",IF(INDEX(Transaksi!$J$2:$J$2001,K930)=0,"",INDEX(Transaksi!$J$2:$J$2001,K930)),""))</f>
        <v/>
      </c>
      <c r="G930" s="33">
        <f>IF(J930="H",(SUMIFS(Transaksi!$G$2:$G$2001,Transaksi!$M$2:$M$2001,"&lt;="&amp;S930)+SUMIFS(Transaksi!$H$2:$H$2001,Transaksi!$M$2:$M$2001,"&lt;="&amp;S930)+SUMIFS(Transaksi!$I$2:$I$2001,Transaksi!$M$2:$M$2001,"&lt;="&amp;S930))-(SUMIFS(Transaksi!$J$2:$J$2001,Transaksi!$M$2:$M$2001,"&lt;="&amp;S930)),"")</f>
        <v/>
      </c>
      <c r="I930">
        <f>IF(927&gt;$O$2,"",MATCH(927,$Q$3:$Q$402,1))</f>
        <v/>
      </c>
      <c r="J930">
        <f>IF(I930="","",IF(927=INDEX($Q$3:$Q$402,I930),"H","E"))</f>
        <v/>
      </c>
      <c r="K930">
        <f>IF(J930&lt;&gt;"E","",MATCH(S930,Transaksi!$M$2:$M$2001,0)+927-INDEX($Q$3:$Q$402,I930)-1)</f>
        <v/>
      </c>
      <c r="S930">
        <f>IF(I930="","",INDEX($O$3:$O$402,I930))</f>
        <v/>
      </c>
      <c r="T930">
        <f>IF(J930&lt;&gt;"H","",INDEX(Transaksi!$A$2:$A$2001,MATCH(S930,Transaksi!$M$2:$M$2001,0)))</f>
        <v/>
      </c>
    </row>
    <row r="931">
      <c r="A931" s="31">
        <f>IF(J931="E",IF(INDEX(Transaksi!$J$2:$J$2001,K931)&gt;0,"↑","↓"),"")</f>
        <v/>
      </c>
      <c r="B931" s="32">
        <f>IF(J931="H",CHOOSE(WEEKDAY(T931,2),"Isnin","Selasa","Rabu","Khamis","Jumaat","Sabtu","Ahad")&amp;", "&amp;DAY(T931)&amp;" "&amp;CHOOSE(MONTH(T931),"Jan","Feb","Mac","Apr","Mei","Jun","Jul","Ogo","Sep","Okt","Nov","Dis")&amp;" "&amp;YEAR(T931),IF(J931="E",IF(INDEX(Transaksi!$B$2:$B$2001,K931)="",INDEX(Transaksi!$C$2:$C$2001,K931)&amp;" · "&amp;INDEX(Transaksi!$D$2:$D$2001,K931),INDEX(Transaksi!$B$2:$B$2001,K931)),""))</f>
        <v/>
      </c>
      <c r="C931" s="32">
        <f>IF(J931="E",INDEX(Transaksi!$C$2:$C$2001,K931)&amp;"","")</f>
        <v/>
      </c>
      <c r="D931" s="32">
        <f>IF(J931="E",INDEX(Transaksi!$D$2:$D$2001,K931)&amp;"","")</f>
        <v/>
      </c>
      <c r="E931" s="33">
        <f>IF(J931="H",SUMIFS(Transaksi!$G$2:$G$2001,Transaksi!$M$2:$M$2001,"="&amp;S931)+SUMIFS(Transaksi!$H$2:$H$2001,Transaksi!$M$2:$M$2001,"="&amp;S931)+SUMIFS(Transaksi!$I$2:$I$2001,Transaksi!$M$2:$M$2001,"="&amp;S931),IF(J931="E",IF(INDEX(Transaksi!$G$2:$G$2001,K931)+INDEX(Transaksi!$H$2:$H$2001,K931)+INDEX(Transaksi!$I$2:$I$2001,K931)=0,"",INDEX(Transaksi!$G$2:$G$2001,K931)+INDEX(Transaksi!$H$2:$H$2001,K931)+INDEX(Transaksi!$I$2:$I$2001,K931)),""))</f>
        <v/>
      </c>
      <c r="F931" s="33">
        <f>IF(J931="H",SUMIFS(Transaksi!$J$2:$J$2001,Transaksi!$M$2:$M$2001,"="&amp;S931),IF(J931="E",IF(INDEX(Transaksi!$J$2:$J$2001,K931)=0,"",INDEX(Transaksi!$J$2:$J$2001,K931)),""))</f>
        <v/>
      </c>
      <c r="G931" s="33">
        <f>IF(J931="H",(SUMIFS(Transaksi!$G$2:$G$2001,Transaksi!$M$2:$M$2001,"&lt;="&amp;S931)+SUMIFS(Transaksi!$H$2:$H$2001,Transaksi!$M$2:$M$2001,"&lt;="&amp;S931)+SUMIFS(Transaksi!$I$2:$I$2001,Transaksi!$M$2:$M$2001,"&lt;="&amp;S931))-(SUMIFS(Transaksi!$J$2:$J$2001,Transaksi!$M$2:$M$2001,"&lt;="&amp;S931)),"")</f>
        <v/>
      </c>
      <c r="I931">
        <f>IF(928&gt;$O$2,"",MATCH(928,$Q$3:$Q$402,1))</f>
        <v/>
      </c>
      <c r="J931">
        <f>IF(I931="","",IF(928=INDEX($Q$3:$Q$402,I931),"H","E"))</f>
        <v/>
      </c>
      <c r="K931">
        <f>IF(J931&lt;&gt;"E","",MATCH(S931,Transaksi!$M$2:$M$2001,0)+928-INDEX($Q$3:$Q$402,I931)-1)</f>
        <v/>
      </c>
      <c r="S931">
        <f>IF(I931="","",INDEX($O$3:$O$402,I931))</f>
        <v/>
      </c>
      <c r="T931">
        <f>IF(J931&lt;&gt;"H","",INDEX(Transaksi!$A$2:$A$2001,MATCH(S931,Transaksi!$M$2:$M$2001,0)))</f>
        <v/>
      </c>
    </row>
    <row r="932">
      <c r="A932" s="31">
        <f>IF(J932="E",IF(INDEX(Transaksi!$J$2:$J$2001,K932)&gt;0,"↑","↓"),"")</f>
        <v/>
      </c>
      <c r="B932" s="32">
        <f>IF(J932="H",CHOOSE(WEEKDAY(T932,2),"Isnin","Selasa","Rabu","Khamis","Jumaat","Sabtu","Ahad")&amp;", "&amp;DAY(T932)&amp;" "&amp;CHOOSE(MONTH(T932),"Jan","Feb","Mac","Apr","Mei","Jun","Jul","Ogo","Sep","Okt","Nov","Dis")&amp;" "&amp;YEAR(T932),IF(J932="E",IF(INDEX(Transaksi!$B$2:$B$2001,K932)="",INDEX(Transaksi!$C$2:$C$2001,K932)&amp;" · "&amp;INDEX(Transaksi!$D$2:$D$2001,K932),INDEX(Transaksi!$B$2:$B$2001,K932)),""))</f>
        <v/>
      </c>
      <c r="C932" s="32">
        <f>IF(J932="E",INDEX(Transaksi!$C$2:$C$2001,K932)&amp;"","")</f>
        <v/>
      </c>
      <c r="D932" s="32">
        <f>IF(J932="E",INDEX(Transaksi!$D$2:$D$2001,K932)&amp;"","")</f>
        <v/>
      </c>
      <c r="E932" s="33">
        <f>IF(J932="H",SUMIFS(Transaksi!$G$2:$G$2001,Transaksi!$M$2:$M$2001,"="&amp;S932)+SUMIFS(Transaksi!$H$2:$H$2001,Transaksi!$M$2:$M$2001,"="&amp;S932)+SUMIFS(Transaksi!$I$2:$I$2001,Transaksi!$M$2:$M$2001,"="&amp;S932),IF(J932="E",IF(INDEX(Transaksi!$G$2:$G$2001,K932)+INDEX(Transaksi!$H$2:$H$2001,K932)+INDEX(Transaksi!$I$2:$I$2001,K932)=0,"",INDEX(Transaksi!$G$2:$G$2001,K932)+INDEX(Transaksi!$H$2:$H$2001,K932)+INDEX(Transaksi!$I$2:$I$2001,K932)),""))</f>
        <v/>
      </c>
      <c r="F932" s="33">
        <f>IF(J932="H",SUMIFS(Transaksi!$J$2:$J$2001,Transaksi!$M$2:$M$2001,"="&amp;S932),IF(J932="E",IF(INDEX(Transaksi!$J$2:$J$2001,K932)=0,"",INDEX(Transaksi!$J$2:$J$2001,K932)),""))</f>
        <v/>
      </c>
      <c r="G932" s="33">
        <f>IF(J932="H",(SUMIFS(Transaksi!$G$2:$G$2001,Transaksi!$M$2:$M$2001,"&lt;="&amp;S932)+SUMIFS(Transaksi!$H$2:$H$2001,Transaksi!$M$2:$M$2001,"&lt;="&amp;S932)+SUMIFS(Transaksi!$I$2:$I$2001,Transaksi!$M$2:$M$2001,"&lt;="&amp;S932))-(SUMIFS(Transaksi!$J$2:$J$2001,Transaksi!$M$2:$M$2001,"&lt;="&amp;S932)),"")</f>
        <v/>
      </c>
      <c r="I932">
        <f>IF(929&gt;$O$2,"",MATCH(929,$Q$3:$Q$402,1))</f>
        <v/>
      </c>
      <c r="J932">
        <f>IF(I932="","",IF(929=INDEX($Q$3:$Q$402,I932),"H","E"))</f>
        <v/>
      </c>
      <c r="K932">
        <f>IF(J932&lt;&gt;"E","",MATCH(S932,Transaksi!$M$2:$M$2001,0)+929-INDEX($Q$3:$Q$402,I932)-1)</f>
        <v/>
      </c>
      <c r="S932">
        <f>IF(I932="","",INDEX($O$3:$O$402,I932))</f>
        <v/>
      </c>
      <c r="T932">
        <f>IF(J932&lt;&gt;"H","",INDEX(Transaksi!$A$2:$A$2001,MATCH(S932,Transaksi!$M$2:$M$2001,0)))</f>
        <v/>
      </c>
    </row>
    <row r="933">
      <c r="A933" s="31">
        <f>IF(J933="E",IF(INDEX(Transaksi!$J$2:$J$2001,K933)&gt;0,"↑","↓"),"")</f>
        <v/>
      </c>
      <c r="B933" s="32">
        <f>IF(J933="H",CHOOSE(WEEKDAY(T933,2),"Isnin","Selasa","Rabu","Khamis","Jumaat","Sabtu","Ahad")&amp;", "&amp;DAY(T933)&amp;" "&amp;CHOOSE(MONTH(T933),"Jan","Feb","Mac","Apr","Mei","Jun","Jul","Ogo","Sep","Okt","Nov","Dis")&amp;" "&amp;YEAR(T933),IF(J933="E",IF(INDEX(Transaksi!$B$2:$B$2001,K933)="",INDEX(Transaksi!$C$2:$C$2001,K933)&amp;" · "&amp;INDEX(Transaksi!$D$2:$D$2001,K933),INDEX(Transaksi!$B$2:$B$2001,K933)),""))</f>
        <v/>
      </c>
      <c r="C933" s="32">
        <f>IF(J933="E",INDEX(Transaksi!$C$2:$C$2001,K933)&amp;"","")</f>
        <v/>
      </c>
      <c r="D933" s="32">
        <f>IF(J933="E",INDEX(Transaksi!$D$2:$D$2001,K933)&amp;"","")</f>
        <v/>
      </c>
      <c r="E933" s="33">
        <f>IF(J933="H",SUMIFS(Transaksi!$G$2:$G$2001,Transaksi!$M$2:$M$2001,"="&amp;S933)+SUMIFS(Transaksi!$H$2:$H$2001,Transaksi!$M$2:$M$2001,"="&amp;S933)+SUMIFS(Transaksi!$I$2:$I$2001,Transaksi!$M$2:$M$2001,"="&amp;S933),IF(J933="E",IF(INDEX(Transaksi!$G$2:$G$2001,K933)+INDEX(Transaksi!$H$2:$H$2001,K933)+INDEX(Transaksi!$I$2:$I$2001,K933)=0,"",INDEX(Transaksi!$G$2:$G$2001,K933)+INDEX(Transaksi!$H$2:$H$2001,K933)+INDEX(Transaksi!$I$2:$I$2001,K933)),""))</f>
        <v/>
      </c>
      <c r="F933" s="33">
        <f>IF(J933="H",SUMIFS(Transaksi!$J$2:$J$2001,Transaksi!$M$2:$M$2001,"="&amp;S933),IF(J933="E",IF(INDEX(Transaksi!$J$2:$J$2001,K933)=0,"",INDEX(Transaksi!$J$2:$J$2001,K933)),""))</f>
        <v/>
      </c>
      <c r="G933" s="33">
        <f>IF(J933="H",(SUMIFS(Transaksi!$G$2:$G$2001,Transaksi!$M$2:$M$2001,"&lt;="&amp;S933)+SUMIFS(Transaksi!$H$2:$H$2001,Transaksi!$M$2:$M$2001,"&lt;="&amp;S933)+SUMIFS(Transaksi!$I$2:$I$2001,Transaksi!$M$2:$M$2001,"&lt;="&amp;S933))-(SUMIFS(Transaksi!$J$2:$J$2001,Transaksi!$M$2:$M$2001,"&lt;="&amp;S933)),"")</f>
        <v/>
      </c>
      <c r="I933">
        <f>IF(930&gt;$O$2,"",MATCH(930,$Q$3:$Q$402,1))</f>
        <v/>
      </c>
      <c r="J933">
        <f>IF(I933="","",IF(930=INDEX($Q$3:$Q$402,I933),"H","E"))</f>
        <v/>
      </c>
      <c r="K933">
        <f>IF(J933&lt;&gt;"E","",MATCH(S933,Transaksi!$M$2:$M$2001,0)+930-INDEX($Q$3:$Q$402,I933)-1)</f>
        <v/>
      </c>
      <c r="S933">
        <f>IF(I933="","",INDEX($O$3:$O$402,I933))</f>
        <v/>
      </c>
      <c r="T933">
        <f>IF(J933&lt;&gt;"H","",INDEX(Transaksi!$A$2:$A$2001,MATCH(S933,Transaksi!$M$2:$M$2001,0)))</f>
        <v/>
      </c>
    </row>
    <row r="934">
      <c r="A934" s="31">
        <f>IF(J934="E",IF(INDEX(Transaksi!$J$2:$J$2001,K934)&gt;0,"↑","↓"),"")</f>
        <v/>
      </c>
      <c r="B934" s="32">
        <f>IF(J934="H",CHOOSE(WEEKDAY(T934,2),"Isnin","Selasa","Rabu","Khamis","Jumaat","Sabtu","Ahad")&amp;", "&amp;DAY(T934)&amp;" "&amp;CHOOSE(MONTH(T934),"Jan","Feb","Mac","Apr","Mei","Jun","Jul","Ogo","Sep","Okt","Nov","Dis")&amp;" "&amp;YEAR(T934),IF(J934="E",IF(INDEX(Transaksi!$B$2:$B$2001,K934)="",INDEX(Transaksi!$C$2:$C$2001,K934)&amp;" · "&amp;INDEX(Transaksi!$D$2:$D$2001,K934),INDEX(Transaksi!$B$2:$B$2001,K934)),""))</f>
        <v/>
      </c>
      <c r="C934" s="32">
        <f>IF(J934="E",INDEX(Transaksi!$C$2:$C$2001,K934)&amp;"","")</f>
        <v/>
      </c>
      <c r="D934" s="32">
        <f>IF(J934="E",INDEX(Transaksi!$D$2:$D$2001,K934)&amp;"","")</f>
        <v/>
      </c>
      <c r="E934" s="33">
        <f>IF(J934="H",SUMIFS(Transaksi!$G$2:$G$2001,Transaksi!$M$2:$M$2001,"="&amp;S934)+SUMIFS(Transaksi!$H$2:$H$2001,Transaksi!$M$2:$M$2001,"="&amp;S934)+SUMIFS(Transaksi!$I$2:$I$2001,Transaksi!$M$2:$M$2001,"="&amp;S934),IF(J934="E",IF(INDEX(Transaksi!$G$2:$G$2001,K934)+INDEX(Transaksi!$H$2:$H$2001,K934)+INDEX(Transaksi!$I$2:$I$2001,K934)=0,"",INDEX(Transaksi!$G$2:$G$2001,K934)+INDEX(Transaksi!$H$2:$H$2001,K934)+INDEX(Transaksi!$I$2:$I$2001,K934)),""))</f>
        <v/>
      </c>
      <c r="F934" s="33">
        <f>IF(J934="H",SUMIFS(Transaksi!$J$2:$J$2001,Transaksi!$M$2:$M$2001,"="&amp;S934),IF(J934="E",IF(INDEX(Transaksi!$J$2:$J$2001,K934)=0,"",INDEX(Transaksi!$J$2:$J$2001,K934)),""))</f>
        <v/>
      </c>
      <c r="G934" s="33">
        <f>IF(J934="H",(SUMIFS(Transaksi!$G$2:$G$2001,Transaksi!$M$2:$M$2001,"&lt;="&amp;S934)+SUMIFS(Transaksi!$H$2:$H$2001,Transaksi!$M$2:$M$2001,"&lt;="&amp;S934)+SUMIFS(Transaksi!$I$2:$I$2001,Transaksi!$M$2:$M$2001,"&lt;="&amp;S934))-(SUMIFS(Transaksi!$J$2:$J$2001,Transaksi!$M$2:$M$2001,"&lt;="&amp;S934)),"")</f>
        <v/>
      </c>
      <c r="I934">
        <f>IF(931&gt;$O$2,"",MATCH(931,$Q$3:$Q$402,1))</f>
        <v/>
      </c>
      <c r="J934">
        <f>IF(I934="","",IF(931=INDEX($Q$3:$Q$402,I934),"H","E"))</f>
        <v/>
      </c>
      <c r="K934">
        <f>IF(J934&lt;&gt;"E","",MATCH(S934,Transaksi!$M$2:$M$2001,0)+931-INDEX($Q$3:$Q$402,I934)-1)</f>
        <v/>
      </c>
      <c r="S934">
        <f>IF(I934="","",INDEX($O$3:$O$402,I934))</f>
        <v/>
      </c>
      <c r="T934">
        <f>IF(J934&lt;&gt;"H","",INDEX(Transaksi!$A$2:$A$2001,MATCH(S934,Transaksi!$M$2:$M$2001,0)))</f>
        <v/>
      </c>
    </row>
    <row r="935">
      <c r="A935" s="31">
        <f>IF(J935="E",IF(INDEX(Transaksi!$J$2:$J$2001,K935)&gt;0,"↑","↓"),"")</f>
        <v/>
      </c>
      <c r="B935" s="32">
        <f>IF(J935="H",CHOOSE(WEEKDAY(T935,2),"Isnin","Selasa","Rabu","Khamis","Jumaat","Sabtu","Ahad")&amp;", "&amp;DAY(T935)&amp;" "&amp;CHOOSE(MONTH(T935),"Jan","Feb","Mac","Apr","Mei","Jun","Jul","Ogo","Sep","Okt","Nov","Dis")&amp;" "&amp;YEAR(T935),IF(J935="E",IF(INDEX(Transaksi!$B$2:$B$2001,K935)="",INDEX(Transaksi!$C$2:$C$2001,K935)&amp;" · "&amp;INDEX(Transaksi!$D$2:$D$2001,K935),INDEX(Transaksi!$B$2:$B$2001,K935)),""))</f>
        <v/>
      </c>
      <c r="C935" s="32">
        <f>IF(J935="E",INDEX(Transaksi!$C$2:$C$2001,K935)&amp;"","")</f>
        <v/>
      </c>
      <c r="D935" s="32">
        <f>IF(J935="E",INDEX(Transaksi!$D$2:$D$2001,K935)&amp;"","")</f>
        <v/>
      </c>
      <c r="E935" s="33">
        <f>IF(J935="H",SUMIFS(Transaksi!$G$2:$G$2001,Transaksi!$M$2:$M$2001,"="&amp;S935)+SUMIFS(Transaksi!$H$2:$H$2001,Transaksi!$M$2:$M$2001,"="&amp;S935)+SUMIFS(Transaksi!$I$2:$I$2001,Transaksi!$M$2:$M$2001,"="&amp;S935),IF(J935="E",IF(INDEX(Transaksi!$G$2:$G$2001,K935)+INDEX(Transaksi!$H$2:$H$2001,K935)+INDEX(Transaksi!$I$2:$I$2001,K935)=0,"",INDEX(Transaksi!$G$2:$G$2001,K935)+INDEX(Transaksi!$H$2:$H$2001,K935)+INDEX(Transaksi!$I$2:$I$2001,K935)),""))</f>
        <v/>
      </c>
      <c r="F935" s="33">
        <f>IF(J935="H",SUMIFS(Transaksi!$J$2:$J$2001,Transaksi!$M$2:$M$2001,"="&amp;S935),IF(J935="E",IF(INDEX(Transaksi!$J$2:$J$2001,K935)=0,"",INDEX(Transaksi!$J$2:$J$2001,K935)),""))</f>
        <v/>
      </c>
      <c r="G935" s="33">
        <f>IF(J935="H",(SUMIFS(Transaksi!$G$2:$G$2001,Transaksi!$M$2:$M$2001,"&lt;="&amp;S935)+SUMIFS(Transaksi!$H$2:$H$2001,Transaksi!$M$2:$M$2001,"&lt;="&amp;S935)+SUMIFS(Transaksi!$I$2:$I$2001,Transaksi!$M$2:$M$2001,"&lt;="&amp;S935))-(SUMIFS(Transaksi!$J$2:$J$2001,Transaksi!$M$2:$M$2001,"&lt;="&amp;S935)),"")</f>
        <v/>
      </c>
      <c r="I935">
        <f>IF(932&gt;$O$2,"",MATCH(932,$Q$3:$Q$402,1))</f>
        <v/>
      </c>
      <c r="J935">
        <f>IF(I935="","",IF(932=INDEX($Q$3:$Q$402,I935),"H","E"))</f>
        <v/>
      </c>
      <c r="K935">
        <f>IF(J935&lt;&gt;"E","",MATCH(S935,Transaksi!$M$2:$M$2001,0)+932-INDEX($Q$3:$Q$402,I935)-1)</f>
        <v/>
      </c>
      <c r="S935">
        <f>IF(I935="","",INDEX($O$3:$O$402,I935))</f>
        <v/>
      </c>
      <c r="T935">
        <f>IF(J935&lt;&gt;"H","",INDEX(Transaksi!$A$2:$A$2001,MATCH(S935,Transaksi!$M$2:$M$2001,0)))</f>
        <v/>
      </c>
    </row>
    <row r="936">
      <c r="A936" s="31">
        <f>IF(J936="E",IF(INDEX(Transaksi!$J$2:$J$2001,K936)&gt;0,"↑","↓"),"")</f>
        <v/>
      </c>
      <c r="B936" s="32">
        <f>IF(J936="H",CHOOSE(WEEKDAY(T936,2),"Isnin","Selasa","Rabu","Khamis","Jumaat","Sabtu","Ahad")&amp;", "&amp;DAY(T936)&amp;" "&amp;CHOOSE(MONTH(T936),"Jan","Feb","Mac","Apr","Mei","Jun","Jul","Ogo","Sep","Okt","Nov","Dis")&amp;" "&amp;YEAR(T936),IF(J936="E",IF(INDEX(Transaksi!$B$2:$B$2001,K936)="",INDEX(Transaksi!$C$2:$C$2001,K936)&amp;" · "&amp;INDEX(Transaksi!$D$2:$D$2001,K936),INDEX(Transaksi!$B$2:$B$2001,K936)),""))</f>
        <v/>
      </c>
      <c r="C936" s="32">
        <f>IF(J936="E",INDEX(Transaksi!$C$2:$C$2001,K936)&amp;"","")</f>
        <v/>
      </c>
      <c r="D936" s="32">
        <f>IF(J936="E",INDEX(Transaksi!$D$2:$D$2001,K936)&amp;"","")</f>
        <v/>
      </c>
      <c r="E936" s="33">
        <f>IF(J936="H",SUMIFS(Transaksi!$G$2:$G$2001,Transaksi!$M$2:$M$2001,"="&amp;S936)+SUMIFS(Transaksi!$H$2:$H$2001,Transaksi!$M$2:$M$2001,"="&amp;S936)+SUMIFS(Transaksi!$I$2:$I$2001,Transaksi!$M$2:$M$2001,"="&amp;S936),IF(J936="E",IF(INDEX(Transaksi!$G$2:$G$2001,K936)+INDEX(Transaksi!$H$2:$H$2001,K936)+INDEX(Transaksi!$I$2:$I$2001,K936)=0,"",INDEX(Transaksi!$G$2:$G$2001,K936)+INDEX(Transaksi!$H$2:$H$2001,K936)+INDEX(Transaksi!$I$2:$I$2001,K936)),""))</f>
        <v/>
      </c>
      <c r="F936" s="33">
        <f>IF(J936="H",SUMIFS(Transaksi!$J$2:$J$2001,Transaksi!$M$2:$M$2001,"="&amp;S936),IF(J936="E",IF(INDEX(Transaksi!$J$2:$J$2001,K936)=0,"",INDEX(Transaksi!$J$2:$J$2001,K936)),""))</f>
        <v/>
      </c>
      <c r="G936" s="33">
        <f>IF(J936="H",(SUMIFS(Transaksi!$G$2:$G$2001,Transaksi!$M$2:$M$2001,"&lt;="&amp;S936)+SUMIFS(Transaksi!$H$2:$H$2001,Transaksi!$M$2:$M$2001,"&lt;="&amp;S936)+SUMIFS(Transaksi!$I$2:$I$2001,Transaksi!$M$2:$M$2001,"&lt;="&amp;S936))-(SUMIFS(Transaksi!$J$2:$J$2001,Transaksi!$M$2:$M$2001,"&lt;="&amp;S936)),"")</f>
        <v/>
      </c>
      <c r="I936">
        <f>IF(933&gt;$O$2,"",MATCH(933,$Q$3:$Q$402,1))</f>
        <v/>
      </c>
      <c r="J936">
        <f>IF(I936="","",IF(933=INDEX($Q$3:$Q$402,I936),"H","E"))</f>
        <v/>
      </c>
      <c r="K936">
        <f>IF(J936&lt;&gt;"E","",MATCH(S936,Transaksi!$M$2:$M$2001,0)+933-INDEX($Q$3:$Q$402,I936)-1)</f>
        <v/>
      </c>
      <c r="S936">
        <f>IF(I936="","",INDEX($O$3:$O$402,I936))</f>
        <v/>
      </c>
      <c r="T936">
        <f>IF(J936&lt;&gt;"H","",INDEX(Transaksi!$A$2:$A$2001,MATCH(S936,Transaksi!$M$2:$M$2001,0)))</f>
        <v/>
      </c>
    </row>
    <row r="937">
      <c r="A937" s="31">
        <f>IF(J937="E",IF(INDEX(Transaksi!$J$2:$J$2001,K937)&gt;0,"↑","↓"),"")</f>
        <v/>
      </c>
      <c r="B937" s="32">
        <f>IF(J937="H",CHOOSE(WEEKDAY(T937,2),"Isnin","Selasa","Rabu","Khamis","Jumaat","Sabtu","Ahad")&amp;", "&amp;DAY(T937)&amp;" "&amp;CHOOSE(MONTH(T937),"Jan","Feb","Mac","Apr","Mei","Jun","Jul","Ogo","Sep","Okt","Nov","Dis")&amp;" "&amp;YEAR(T937),IF(J937="E",IF(INDEX(Transaksi!$B$2:$B$2001,K937)="",INDEX(Transaksi!$C$2:$C$2001,K937)&amp;" · "&amp;INDEX(Transaksi!$D$2:$D$2001,K937),INDEX(Transaksi!$B$2:$B$2001,K937)),""))</f>
        <v/>
      </c>
      <c r="C937" s="32">
        <f>IF(J937="E",INDEX(Transaksi!$C$2:$C$2001,K937)&amp;"","")</f>
        <v/>
      </c>
      <c r="D937" s="32">
        <f>IF(J937="E",INDEX(Transaksi!$D$2:$D$2001,K937)&amp;"","")</f>
        <v/>
      </c>
      <c r="E937" s="33">
        <f>IF(J937="H",SUMIFS(Transaksi!$G$2:$G$2001,Transaksi!$M$2:$M$2001,"="&amp;S937)+SUMIFS(Transaksi!$H$2:$H$2001,Transaksi!$M$2:$M$2001,"="&amp;S937)+SUMIFS(Transaksi!$I$2:$I$2001,Transaksi!$M$2:$M$2001,"="&amp;S937),IF(J937="E",IF(INDEX(Transaksi!$G$2:$G$2001,K937)+INDEX(Transaksi!$H$2:$H$2001,K937)+INDEX(Transaksi!$I$2:$I$2001,K937)=0,"",INDEX(Transaksi!$G$2:$G$2001,K937)+INDEX(Transaksi!$H$2:$H$2001,K937)+INDEX(Transaksi!$I$2:$I$2001,K937)),""))</f>
        <v/>
      </c>
      <c r="F937" s="33">
        <f>IF(J937="H",SUMIFS(Transaksi!$J$2:$J$2001,Transaksi!$M$2:$M$2001,"="&amp;S937),IF(J937="E",IF(INDEX(Transaksi!$J$2:$J$2001,K937)=0,"",INDEX(Transaksi!$J$2:$J$2001,K937)),""))</f>
        <v/>
      </c>
      <c r="G937" s="33">
        <f>IF(J937="H",(SUMIFS(Transaksi!$G$2:$G$2001,Transaksi!$M$2:$M$2001,"&lt;="&amp;S937)+SUMIFS(Transaksi!$H$2:$H$2001,Transaksi!$M$2:$M$2001,"&lt;="&amp;S937)+SUMIFS(Transaksi!$I$2:$I$2001,Transaksi!$M$2:$M$2001,"&lt;="&amp;S937))-(SUMIFS(Transaksi!$J$2:$J$2001,Transaksi!$M$2:$M$2001,"&lt;="&amp;S937)),"")</f>
        <v/>
      </c>
      <c r="I937">
        <f>IF(934&gt;$O$2,"",MATCH(934,$Q$3:$Q$402,1))</f>
        <v/>
      </c>
      <c r="J937">
        <f>IF(I937="","",IF(934=INDEX($Q$3:$Q$402,I937),"H","E"))</f>
        <v/>
      </c>
      <c r="K937">
        <f>IF(J937&lt;&gt;"E","",MATCH(S937,Transaksi!$M$2:$M$2001,0)+934-INDEX($Q$3:$Q$402,I937)-1)</f>
        <v/>
      </c>
      <c r="S937">
        <f>IF(I937="","",INDEX($O$3:$O$402,I937))</f>
        <v/>
      </c>
      <c r="T937">
        <f>IF(J937&lt;&gt;"H","",INDEX(Transaksi!$A$2:$A$2001,MATCH(S937,Transaksi!$M$2:$M$2001,0)))</f>
        <v/>
      </c>
    </row>
    <row r="938">
      <c r="A938" s="31">
        <f>IF(J938="E",IF(INDEX(Transaksi!$J$2:$J$2001,K938)&gt;0,"↑","↓"),"")</f>
        <v/>
      </c>
      <c r="B938" s="32">
        <f>IF(J938="H",CHOOSE(WEEKDAY(T938,2),"Isnin","Selasa","Rabu","Khamis","Jumaat","Sabtu","Ahad")&amp;", "&amp;DAY(T938)&amp;" "&amp;CHOOSE(MONTH(T938),"Jan","Feb","Mac","Apr","Mei","Jun","Jul","Ogo","Sep","Okt","Nov","Dis")&amp;" "&amp;YEAR(T938),IF(J938="E",IF(INDEX(Transaksi!$B$2:$B$2001,K938)="",INDEX(Transaksi!$C$2:$C$2001,K938)&amp;" · "&amp;INDEX(Transaksi!$D$2:$D$2001,K938),INDEX(Transaksi!$B$2:$B$2001,K938)),""))</f>
        <v/>
      </c>
      <c r="C938" s="32">
        <f>IF(J938="E",INDEX(Transaksi!$C$2:$C$2001,K938)&amp;"","")</f>
        <v/>
      </c>
      <c r="D938" s="32">
        <f>IF(J938="E",INDEX(Transaksi!$D$2:$D$2001,K938)&amp;"","")</f>
        <v/>
      </c>
      <c r="E938" s="33">
        <f>IF(J938="H",SUMIFS(Transaksi!$G$2:$G$2001,Transaksi!$M$2:$M$2001,"="&amp;S938)+SUMIFS(Transaksi!$H$2:$H$2001,Transaksi!$M$2:$M$2001,"="&amp;S938)+SUMIFS(Transaksi!$I$2:$I$2001,Transaksi!$M$2:$M$2001,"="&amp;S938),IF(J938="E",IF(INDEX(Transaksi!$G$2:$G$2001,K938)+INDEX(Transaksi!$H$2:$H$2001,K938)+INDEX(Transaksi!$I$2:$I$2001,K938)=0,"",INDEX(Transaksi!$G$2:$G$2001,K938)+INDEX(Transaksi!$H$2:$H$2001,K938)+INDEX(Transaksi!$I$2:$I$2001,K938)),""))</f>
        <v/>
      </c>
      <c r="F938" s="33">
        <f>IF(J938="H",SUMIFS(Transaksi!$J$2:$J$2001,Transaksi!$M$2:$M$2001,"="&amp;S938),IF(J938="E",IF(INDEX(Transaksi!$J$2:$J$2001,K938)=0,"",INDEX(Transaksi!$J$2:$J$2001,K938)),""))</f>
        <v/>
      </c>
      <c r="G938" s="33">
        <f>IF(J938="H",(SUMIFS(Transaksi!$G$2:$G$2001,Transaksi!$M$2:$M$2001,"&lt;="&amp;S938)+SUMIFS(Transaksi!$H$2:$H$2001,Transaksi!$M$2:$M$2001,"&lt;="&amp;S938)+SUMIFS(Transaksi!$I$2:$I$2001,Transaksi!$M$2:$M$2001,"&lt;="&amp;S938))-(SUMIFS(Transaksi!$J$2:$J$2001,Transaksi!$M$2:$M$2001,"&lt;="&amp;S938)),"")</f>
        <v/>
      </c>
      <c r="I938">
        <f>IF(935&gt;$O$2,"",MATCH(935,$Q$3:$Q$402,1))</f>
        <v/>
      </c>
      <c r="J938">
        <f>IF(I938="","",IF(935=INDEX($Q$3:$Q$402,I938),"H","E"))</f>
        <v/>
      </c>
      <c r="K938">
        <f>IF(J938&lt;&gt;"E","",MATCH(S938,Transaksi!$M$2:$M$2001,0)+935-INDEX($Q$3:$Q$402,I938)-1)</f>
        <v/>
      </c>
      <c r="S938">
        <f>IF(I938="","",INDEX($O$3:$O$402,I938))</f>
        <v/>
      </c>
      <c r="T938">
        <f>IF(J938&lt;&gt;"H","",INDEX(Transaksi!$A$2:$A$2001,MATCH(S938,Transaksi!$M$2:$M$2001,0)))</f>
        <v/>
      </c>
    </row>
    <row r="939">
      <c r="A939" s="31">
        <f>IF(J939="E",IF(INDEX(Transaksi!$J$2:$J$2001,K939)&gt;0,"↑","↓"),"")</f>
        <v/>
      </c>
      <c r="B939" s="32">
        <f>IF(J939="H",CHOOSE(WEEKDAY(T939,2),"Isnin","Selasa","Rabu","Khamis","Jumaat","Sabtu","Ahad")&amp;", "&amp;DAY(T939)&amp;" "&amp;CHOOSE(MONTH(T939),"Jan","Feb","Mac","Apr","Mei","Jun","Jul","Ogo","Sep","Okt","Nov","Dis")&amp;" "&amp;YEAR(T939),IF(J939="E",IF(INDEX(Transaksi!$B$2:$B$2001,K939)="",INDEX(Transaksi!$C$2:$C$2001,K939)&amp;" · "&amp;INDEX(Transaksi!$D$2:$D$2001,K939),INDEX(Transaksi!$B$2:$B$2001,K939)),""))</f>
        <v/>
      </c>
      <c r="C939" s="32">
        <f>IF(J939="E",INDEX(Transaksi!$C$2:$C$2001,K939)&amp;"","")</f>
        <v/>
      </c>
      <c r="D939" s="32">
        <f>IF(J939="E",INDEX(Transaksi!$D$2:$D$2001,K939)&amp;"","")</f>
        <v/>
      </c>
      <c r="E939" s="33">
        <f>IF(J939="H",SUMIFS(Transaksi!$G$2:$G$2001,Transaksi!$M$2:$M$2001,"="&amp;S939)+SUMIFS(Transaksi!$H$2:$H$2001,Transaksi!$M$2:$M$2001,"="&amp;S939)+SUMIFS(Transaksi!$I$2:$I$2001,Transaksi!$M$2:$M$2001,"="&amp;S939),IF(J939="E",IF(INDEX(Transaksi!$G$2:$G$2001,K939)+INDEX(Transaksi!$H$2:$H$2001,K939)+INDEX(Transaksi!$I$2:$I$2001,K939)=0,"",INDEX(Transaksi!$G$2:$G$2001,K939)+INDEX(Transaksi!$H$2:$H$2001,K939)+INDEX(Transaksi!$I$2:$I$2001,K939)),""))</f>
        <v/>
      </c>
      <c r="F939" s="33">
        <f>IF(J939="H",SUMIFS(Transaksi!$J$2:$J$2001,Transaksi!$M$2:$M$2001,"="&amp;S939),IF(J939="E",IF(INDEX(Transaksi!$J$2:$J$2001,K939)=0,"",INDEX(Transaksi!$J$2:$J$2001,K939)),""))</f>
        <v/>
      </c>
      <c r="G939" s="33">
        <f>IF(J939="H",(SUMIFS(Transaksi!$G$2:$G$2001,Transaksi!$M$2:$M$2001,"&lt;="&amp;S939)+SUMIFS(Transaksi!$H$2:$H$2001,Transaksi!$M$2:$M$2001,"&lt;="&amp;S939)+SUMIFS(Transaksi!$I$2:$I$2001,Transaksi!$M$2:$M$2001,"&lt;="&amp;S939))-(SUMIFS(Transaksi!$J$2:$J$2001,Transaksi!$M$2:$M$2001,"&lt;="&amp;S939)),"")</f>
        <v/>
      </c>
      <c r="I939">
        <f>IF(936&gt;$O$2,"",MATCH(936,$Q$3:$Q$402,1))</f>
        <v/>
      </c>
      <c r="J939">
        <f>IF(I939="","",IF(936=INDEX($Q$3:$Q$402,I939),"H","E"))</f>
        <v/>
      </c>
      <c r="K939">
        <f>IF(J939&lt;&gt;"E","",MATCH(S939,Transaksi!$M$2:$M$2001,0)+936-INDEX($Q$3:$Q$402,I939)-1)</f>
        <v/>
      </c>
      <c r="S939">
        <f>IF(I939="","",INDEX($O$3:$O$402,I939))</f>
        <v/>
      </c>
      <c r="T939">
        <f>IF(J939&lt;&gt;"H","",INDEX(Transaksi!$A$2:$A$2001,MATCH(S939,Transaksi!$M$2:$M$2001,0)))</f>
        <v/>
      </c>
    </row>
    <row r="940">
      <c r="A940" s="31">
        <f>IF(J940="E",IF(INDEX(Transaksi!$J$2:$J$2001,K940)&gt;0,"↑","↓"),"")</f>
        <v/>
      </c>
      <c r="B940" s="32">
        <f>IF(J940="H",CHOOSE(WEEKDAY(T940,2),"Isnin","Selasa","Rabu","Khamis","Jumaat","Sabtu","Ahad")&amp;", "&amp;DAY(T940)&amp;" "&amp;CHOOSE(MONTH(T940),"Jan","Feb","Mac","Apr","Mei","Jun","Jul","Ogo","Sep","Okt","Nov","Dis")&amp;" "&amp;YEAR(T940),IF(J940="E",IF(INDEX(Transaksi!$B$2:$B$2001,K940)="",INDEX(Transaksi!$C$2:$C$2001,K940)&amp;" · "&amp;INDEX(Transaksi!$D$2:$D$2001,K940),INDEX(Transaksi!$B$2:$B$2001,K940)),""))</f>
        <v/>
      </c>
      <c r="C940" s="32">
        <f>IF(J940="E",INDEX(Transaksi!$C$2:$C$2001,K940)&amp;"","")</f>
        <v/>
      </c>
      <c r="D940" s="32">
        <f>IF(J940="E",INDEX(Transaksi!$D$2:$D$2001,K940)&amp;"","")</f>
        <v/>
      </c>
      <c r="E940" s="33">
        <f>IF(J940="H",SUMIFS(Transaksi!$G$2:$G$2001,Transaksi!$M$2:$M$2001,"="&amp;S940)+SUMIFS(Transaksi!$H$2:$H$2001,Transaksi!$M$2:$M$2001,"="&amp;S940)+SUMIFS(Transaksi!$I$2:$I$2001,Transaksi!$M$2:$M$2001,"="&amp;S940),IF(J940="E",IF(INDEX(Transaksi!$G$2:$G$2001,K940)+INDEX(Transaksi!$H$2:$H$2001,K940)+INDEX(Transaksi!$I$2:$I$2001,K940)=0,"",INDEX(Transaksi!$G$2:$G$2001,K940)+INDEX(Transaksi!$H$2:$H$2001,K940)+INDEX(Transaksi!$I$2:$I$2001,K940)),""))</f>
        <v/>
      </c>
      <c r="F940" s="33">
        <f>IF(J940="H",SUMIFS(Transaksi!$J$2:$J$2001,Transaksi!$M$2:$M$2001,"="&amp;S940),IF(J940="E",IF(INDEX(Transaksi!$J$2:$J$2001,K940)=0,"",INDEX(Transaksi!$J$2:$J$2001,K940)),""))</f>
        <v/>
      </c>
      <c r="G940" s="33">
        <f>IF(J940="H",(SUMIFS(Transaksi!$G$2:$G$2001,Transaksi!$M$2:$M$2001,"&lt;="&amp;S940)+SUMIFS(Transaksi!$H$2:$H$2001,Transaksi!$M$2:$M$2001,"&lt;="&amp;S940)+SUMIFS(Transaksi!$I$2:$I$2001,Transaksi!$M$2:$M$2001,"&lt;="&amp;S940))-(SUMIFS(Transaksi!$J$2:$J$2001,Transaksi!$M$2:$M$2001,"&lt;="&amp;S940)),"")</f>
        <v/>
      </c>
      <c r="I940">
        <f>IF(937&gt;$O$2,"",MATCH(937,$Q$3:$Q$402,1))</f>
        <v/>
      </c>
      <c r="J940">
        <f>IF(I940="","",IF(937=INDEX($Q$3:$Q$402,I940),"H","E"))</f>
        <v/>
      </c>
      <c r="K940">
        <f>IF(J940&lt;&gt;"E","",MATCH(S940,Transaksi!$M$2:$M$2001,0)+937-INDEX($Q$3:$Q$402,I940)-1)</f>
        <v/>
      </c>
      <c r="S940">
        <f>IF(I940="","",INDEX($O$3:$O$402,I940))</f>
        <v/>
      </c>
      <c r="T940">
        <f>IF(J940&lt;&gt;"H","",INDEX(Transaksi!$A$2:$A$2001,MATCH(S940,Transaksi!$M$2:$M$2001,0)))</f>
        <v/>
      </c>
    </row>
    <row r="941">
      <c r="A941" s="31">
        <f>IF(J941="E",IF(INDEX(Transaksi!$J$2:$J$2001,K941)&gt;0,"↑","↓"),"")</f>
        <v/>
      </c>
      <c r="B941" s="32">
        <f>IF(J941="H",CHOOSE(WEEKDAY(T941,2),"Isnin","Selasa","Rabu","Khamis","Jumaat","Sabtu","Ahad")&amp;", "&amp;DAY(T941)&amp;" "&amp;CHOOSE(MONTH(T941),"Jan","Feb","Mac","Apr","Mei","Jun","Jul","Ogo","Sep","Okt","Nov","Dis")&amp;" "&amp;YEAR(T941),IF(J941="E",IF(INDEX(Transaksi!$B$2:$B$2001,K941)="",INDEX(Transaksi!$C$2:$C$2001,K941)&amp;" · "&amp;INDEX(Transaksi!$D$2:$D$2001,K941),INDEX(Transaksi!$B$2:$B$2001,K941)),""))</f>
        <v/>
      </c>
      <c r="C941" s="32">
        <f>IF(J941="E",INDEX(Transaksi!$C$2:$C$2001,K941)&amp;"","")</f>
        <v/>
      </c>
      <c r="D941" s="32">
        <f>IF(J941="E",INDEX(Transaksi!$D$2:$D$2001,K941)&amp;"","")</f>
        <v/>
      </c>
      <c r="E941" s="33">
        <f>IF(J941="H",SUMIFS(Transaksi!$G$2:$G$2001,Transaksi!$M$2:$M$2001,"="&amp;S941)+SUMIFS(Transaksi!$H$2:$H$2001,Transaksi!$M$2:$M$2001,"="&amp;S941)+SUMIFS(Transaksi!$I$2:$I$2001,Transaksi!$M$2:$M$2001,"="&amp;S941),IF(J941="E",IF(INDEX(Transaksi!$G$2:$G$2001,K941)+INDEX(Transaksi!$H$2:$H$2001,K941)+INDEX(Transaksi!$I$2:$I$2001,K941)=0,"",INDEX(Transaksi!$G$2:$G$2001,K941)+INDEX(Transaksi!$H$2:$H$2001,K941)+INDEX(Transaksi!$I$2:$I$2001,K941)),""))</f>
        <v/>
      </c>
      <c r="F941" s="33">
        <f>IF(J941="H",SUMIFS(Transaksi!$J$2:$J$2001,Transaksi!$M$2:$M$2001,"="&amp;S941),IF(J941="E",IF(INDEX(Transaksi!$J$2:$J$2001,K941)=0,"",INDEX(Transaksi!$J$2:$J$2001,K941)),""))</f>
        <v/>
      </c>
      <c r="G941" s="33">
        <f>IF(J941="H",(SUMIFS(Transaksi!$G$2:$G$2001,Transaksi!$M$2:$M$2001,"&lt;="&amp;S941)+SUMIFS(Transaksi!$H$2:$H$2001,Transaksi!$M$2:$M$2001,"&lt;="&amp;S941)+SUMIFS(Transaksi!$I$2:$I$2001,Transaksi!$M$2:$M$2001,"&lt;="&amp;S941))-(SUMIFS(Transaksi!$J$2:$J$2001,Transaksi!$M$2:$M$2001,"&lt;="&amp;S941)),"")</f>
        <v/>
      </c>
      <c r="I941">
        <f>IF(938&gt;$O$2,"",MATCH(938,$Q$3:$Q$402,1))</f>
        <v/>
      </c>
      <c r="J941">
        <f>IF(I941="","",IF(938=INDEX($Q$3:$Q$402,I941),"H","E"))</f>
        <v/>
      </c>
      <c r="K941">
        <f>IF(J941&lt;&gt;"E","",MATCH(S941,Transaksi!$M$2:$M$2001,0)+938-INDEX($Q$3:$Q$402,I941)-1)</f>
        <v/>
      </c>
      <c r="S941">
        <f>IF(I941="","",INDEX($O$3:$O$402,I941))</f>
        <v/>
      </c>
      <c r="T941">
        <f>IF(J941&lt;&gt;"H","",INDEX(Transaksi!$A$2:$A$2001,MATCH(S941,Transaksi!$M$2:$M$2001,0)))</f>
        <v/>
      </c>
    </row>
    <row r="942">
      <c r="A942" s="31">
        <f>IF(J942="E",IF(INDEX(Transaksi!$J$2:$J$2001,K942)&gt;0,"↑","↓"),"")</f>
        <v/>
      </c>
      <c r="B942" s="32">
        <f>IF(J942="H",CHOOSE(WEEKDAY(T942,2),"Isnin","Selasa","Rabu","Khamis","Jumaat","Sabtu","Ahad")&amp;", "&amp;DAY(T942)&amp;" "&amp;CHOOSE(MONTH(T942),"Jan","Feb","Mac","Apr","Mei","Jun","Jul","Ogo","Sep","Okt","Nov","Dis")&amp;" "&amp;YEAR(T942),IF(J942="E",IF(INDEX(Transaksi!$B$2:$B$2001,K942)="",INDEX(Transaksi!$C$2:$C$2001,K942)&amp;" · "&amp;INDEX(Transaksi!$D$2:$D$2001,K942),INDEX(Transaksi!$B$2:$B$2001,K942)),""))</f>
        <v/>
      </c>
      <c r="C942" s="32">
        <f>IF(J942="E",INDEX(Transaksi!$C$2:$C$2001,K942)&amp;"","")</f>
        <v/>
      </c>
      <c r="D942" s="32">
        <f>IF(J942="E",INDEX(Transaksi!$D$2:$D$2001,K942)&amp;"","")</f>
        <v/>
      </c>
      <c r="E942" s="33">
        <f>IF(J942="H",SUMIFS(Transaksi!$G$2:$G$2001,Transaksi!$M$2:$M$2001,"="&amp;S942)+SUMIFS(Transaksi!$H$2:$H$2001,Transaksi!$M$2:$M$2001,"="&amp;S942)+SUMIFS(Transaksi!$I$2:$I$2001,Transaksi!$M$2:$M$2001,"="&amp;S942),IF(J942="E",IF(INDEX(Transaksi!$G$2:$G$2001,K942)+INDEX(Transaksi!$H$2:$H$2001,K942)+INDEX(Transaksi!$I$2:$I$2001,K942)=0,"",INDEX(Transaksi!$G$2:$G$2001,K942)+INDEX(Transaksi!$H$2:$H$2001,K942)+INDEX(Transaksi!$I$2:$I$2001,K942)),""))</f>
        <v/>
      </c>
      <c r="F942" s="33">
        <f>IF(J942="H",SUMIFS(Transaksi!$J$2:$J$2001,Transaksi!$M$2:$M$2001,"="&amp;S942),IF(J942="E",IF(INDEX(Transaksi!$J$2:$J$2001,K942)=0,"",INDEX(Transaksi!$J$2:$J$2001,K942)),""))</f>
        <v/>
      </c>
      <c r="G942" s="33">
        <f>IF(J942="H",(SUMIFS(Transaksi!$G$2:$G$2001,Transaksi!$M$2:$M$2001,"&lt;="&amp;S942)+SUMIFS(Transaksi!$H$2:$H$2001,Transaksi!$M$2:$M$2001,"&lt;="&amp;S942)+SUMIFS(Transaksi!$I$2:$I$2001,Transaksi!$M$2:$M$2001,"&lt;="&amp;S942))-(SUMIFS(Transaksi!$J$2:$J$2001,Transaksi!$M$2:$M$2001,"&lt;="&amp;S942)),"")</f>
        <v/>
      </c>
      <c r="I942">
        <f>IF(939&gt;$O$2,"",MATCH(939,$Q$3:$Q$402,1))</f>
        <v/>
      </c>
      <c r="J942">
        <f>IF(I942="","",IF(939=INDEX($Q$3:$Q$402,I942),"H","E"))</f>
        <v/>
      </c>
      <c r="K942">
        <f>IF(J942&lt;&gt;"E","",MATCH(S942,Transaksi!$M$2:$M$2001,0)+939-INDEX($Q$3:$Q$402,I942)-1)</f>
        <v/>
      </c>
      <c r="S942">
        <f>IF(I942="","",INDEX($O$3:$O$402,I942))</f>
        <v/>
      </c>
      <c r="T942">
        <f>IF(J942&lt;&gt;"H","",INDEX(Transaksi!$A$2:$A$2001,MATCH(S942,Transaksi!$M$2:$M$2001,0)))</f>
        <v/>
      </c>
    </row>
    <row r="943">
      <c r="A943" s="31">
        <f>IF(J943="E",IF(INDEX(Transaksi!$J$2:$J$2001,K943)&gt;0,"↑","↓"),"")</f>
        <v/>
      </c>
      <c r="B943" s="32">
        <f>IF(J943="H",CHOOSE(WEEKDAY(T943,2),"Isnin","Selasa","Rabu","Khamis","Jumaat","Sabtu","Ahad")&amp;", "&amp;DAY(T943)&amp;" "&amp;CHOOSE(MONTH(T943),"Jan","Feb","Mac","Apr","Mei","Jun","Jul","Ogo","Sep","Okt","Nov","Dis")&amp;" "&amp;YEAR(T943),IF(J943="E",IF(INDEX(Transaksi!$B$2:$B$2001,K943)="",INDEX(Transaksi!$C$2:$C$2001,K943)&amp;" · "&amp;INDEX(Transaksi!$D$2:$D$2001,K943),INDEX(Transaksi!$B$2:$B$2001,K943)),""))</f>
        <v/>
      </c>
      <c r="C943" s="32">
        <f>IF(J943="E",INDEX(Transaksi!$C$2:$C$2001,K943)&amp;"","")</f>
        <v/>
      </c>
      <c r="D943" s="32">
        <f>IF(J943="E",INDEX(Transaksi!$D$2:$D$2001,K943)&amp;"","")</f>
        <v/>
      </c>
      <c r="E943" s="33">
        <f>IF(J943="H",SUMIFS(Transaksi!$G$2:$G$2001,Transaksi!$M$2:$M$2001,"="&amp;S943)+SUMIFS(Transaksi!$H$2:$H$2001,Transaksi!$M$2:$M$2001,"="&amp;S943)+SUMIFS(Transaksi!$I$2:$I$2001,Transaksi!$M$2:$M$2001,"="&amp;S943),IF(J943="E",IF(INDEX(Transaksi!$G$2:$G$2001,K943)+INDEX(Transaksi!$H$2:$H$2001,K943)+INDEX(Transaksi!$I$2:$I$2001,K943)=0,"",INDEX(Transaksi!$G$2:$G$2001,K943)+INDEX(Transaksi!$H$2:$H$2001,K943)+INDEX(Transaksi!$I$2:$I$2001,K943)),""))</f>
        <v/>
      </c>
      <c r="F943" s="33">
        <f>IF(J943="H",SUMIFS(Transaksi!$J$2:$J$2001,Transaksi!$M$2:$M$2001,"="&amp;S943),IF(J943="E",IF(INDEX(Transaksi!$J$2:$J$2001,K943)=0,"",INDEX(Transaksi!$J$2:$J$2001,K943)),""))</f>
        <v/>
      </c>
      <c r="G943" s="33">
        <f>IF(J943="H",(SUMIFS(Transaksi!$G$2:$G$2001,Transaksi!$M$2:$M$2001,"&lt;="&amp;S943)+SUMIFS(Transaksi!$H$2:$H$2001,Transaksi!$M$2:$M$2001,"&lt;="&amp;S943)+SUMIFS(Transaksi!$I$2:$I$2001,Transaksi!$M$2:$M$2001,"&lt;="&amp;S943))-(SUMIFS(Transaksi!$J$2:$J$2001,Transaksi!$M$2:$M$2001,"&lt;="&amp;S943)),"")</f>
        <v/>
      </c>
      <c r="I943">
        <f>IF(940&gt;$O$2,"",MATCH(940,$Q$3:$Q$402,1))</f>
        <v/>
      </c>
      <c r="J943">
        <f>IF(I943="","",IF(940=INDEX($Q$3:$Q$402,I943),"H","E"))</f>
        <v/>
      </c>
      <c r="K943">
        <f>IF(J943&lt;&gt;"E","",MATCH(S943,Transaksi!$M$2:$M$2001,0)+940-INDEX($Q$3:$Q$402,I943)-1)</f>
        <v/>
      </c>
      <c r="S943">
        <f>IF(I943="","",INDEX($O$3:$O$402,I943))</f>
        <v/>
      </c>
      <c r="T943">
        <f>IF(J943&lt;&gt;"H","",INDEX(Transaksi!$A$2:$A$2001,MATCH(S943,Transaksi!$M$2:$M$2001,0)))</f>
        <v/>
      </c>
    </row>
    <row r="944">
      <c r="A944" s="31">
        <f>IF(J944="E",IF(INDEX(Transaksi!$J$2:$J$2001,K944)&gt;0,"↑","↓"),"")</f>
        <v/>
      </c>
      <c r="B944" s="32">
        <f>IF(J944="H",CHOOSE(WEEKDAY(T944,2),"Isnin","Selasa","Rabu","Khamis","Jumaat","Sabtu","Ahad")&amp;", "&amp;DAY(T944)&amp;" "&amp;CHOOSE(MONTH(T944),"Jan","Feb","Mac","Apr","Mei","Jun","Jul","Ogo","Sep","Okt","Nov","Dis")&amp;" "&amp;YEAR(T944),IF(J944="E",IF(INDEX(Transaksi!$B$2:$B$2001,K944)="",INDEX(Transaksi!$C$2:$C$2001,K944)&amp;" · "&amp;INDEX(Transaksi!$D$2:$D$2001,K944),INDEX(Transaksi!$B$2:$B$2001,K944)),""))</f>
        <v/>
      </c>
      <c r="C944" s="32">
        <f>IF(J944="E",INDEX(Transaksi!$C$2:$C$2001,K944)&amp;"","")</f>
        <v/>
      </c>
      <c r="D944" s="32">
        <f>IF(J944="E",INDEX(Transaksi!$D$2:$D$2001,K944)&amp;"","")</f>
        <v/>
      </c>
      <c r="E944" s="33">
        <f>IF(J944="H",SUMIFS(Transaksi!$G$2:$G$2001,Transaksi!$M$2:$M$2001,"="&amp;S944)+SUMIFS(Transaksi!$H$2:$H$2001,Transaksi!$M$2:$M$2001,"="&amp;S944)+SUMIFS(Transaksi!$I$2:$I$2001,Transaksi!$M$2:$M$2001,"="&amp;S944),IF(J944="E",IF(INDEX(Transaksi!$G$2:$G$2001,K944)+INDEX(Transaksi!$H$2:$H$2001,K944)+INDEX(Transaksi!$I$2:$I$2001,K944)=0,"",INDEX(Transaksi!$G$2:$G$2001,K944)+INDEX(Transaksi!$H$2:$H$2001,K944)+INDEX(Transaksi!$I$2:$I$2001,K944)),""))</f>
        <v/>
      </c>
      <c r="F944" s="33">
        <f>IF(J944="H",SUMIFS(Transaksi!$J$2:$J$2001,Transaksi!$M$2:$M$2001,"="&amp;S944),IF(J944="E",IF(INDEX(Transaksi!$J$2:$J$2001,K944)=0,"",INDEX(Transaksi!$J$2:$J$2001,K944)),""))</f>
        <v/>
      </c>
      <c r="G944" s="33">
        <f>IF(J944="H",(SUMIFS(Transaksi!$G$2:$G$2001,Transaksi!$M$2:$M$2001,"&lt;="&amp;S944)+SUMIFS(Transaksi!$H$2:$H$2001,Transaksi!$M$2:$M$2001,"&lt;="&amp;S944)+SUMIFS(Transaksi!$I$2:$I$2001,Transaksi!$M$2:$M$2001,"&lt;="&amp;S944))-(SUMIFS(Transaksi!$J$2:$J$2001,Transaksi!$M$2:$M$2001,"&lt;="&amp;S944)),"")</f>
        <v/>
      </c>
      <c r="I944">
        <f>IF(941&gt;$O$2,"",MATCH(941,$Q$3:$Q$402,1))</f>
        <v/>
      </c>
      <c r="J944">
        <f>IF(I944="","",IF(941=INDEX($Q$3:$Q$402,I944),"H","E"))</f>
        <v/>
      </c>
      <c r="K944">
        <f>IF(J944&lt;&gt;"E","",MATCH(S944,Transaksi!$M$2:$M$2001,0)+941-INDEX($Q$3:$Q$402,I944)-1)</f>
        <v/>
      </c>
      <c r="S944">
        <f>IF(I944="","",INDEX($O$3:$O$402,I944))</f>
        <v/>
      </c>
      <c r="T944">
        <f>IF(J944&lt;&gt;"H","",INDEX(Transaksi!$A$2:$A$2001,MATCH(S944,Transaksi!$M$2:$M$2001,0)))</f>
        <v/>
      </c>
    </row>
    <row r="945">
      <c r="A945" s="31">
        <f>IF(J945="E",IF(INDEX(Transaksi!$J$2:$J$2001,K945)&gt;0,"↑","↓"),"")</f>
        <v/>
      </c>
      <c r="B945" s="32">
        <f>IF(J945="H",CHOOSE(WEEKDAY(T945,2),"Isnin","Selasa","Rabu","Khamis","Jumaat","Sabtu","Ahad")&amp;", "&amp;DAY(T945)&amp;" "&amp;CHOOSE(MONTH(T945),"Jan","Feb","Mac","Apr","Mei","Jun","Jul","Ogo","Sep","Okt","Nov","Dis")&amp;" "&amp;YEAR(T945),IF(J945="E",IF(INDEX(Transaksi!$B$2:$B$2001,K945)="",INDEX(Transaksi!$C$2:$C$2001,K945)&amp;" · "&amp;INDEX(Transaksi!$D$2:$D$2001,K945),INDEX(Transaksi!$B$2:$B$2001,K945)),""))</f>
        <v/>
      </c>
      <c r="C945" s="32">
        <f>IF(J945="E",INDEX(Transaksi!$C$2:$C$2001,K945)&amp;"","")</f>
        <v/>
      </c>
      <c r="D945" s="32">
        <f>IF(J945="E",INDEX(Transaksi!$D$2:$D$2001,K945)&amp;"","")</f>
        <v/>
      </c>
      <c r="E945" s="33">
        <f>IF(J945="H",SUMIFS(Transaksi!$G$2:$G$2001,Transaksi!$M$2:$M$2001,"="&amp;S945)+SUMIFS(Transaksi!$H$2:$H$2001,Transaksi!$M$2:$M$2001,"="&amp;S945)+SUMIFS(Transaksi!$I$2:$I$2001,Transaksi!$M$2:$M$2001,"="&amp;S945),IF(J945="E",IF(INDEX(Transaksi!$G$2:$G$2001,K945)+INDEX(Transaksi!$H$2:$H$2001,K945)+INDEX(Transaksi!$I$2:$I$2001,K945)=0,"",INDEX(Transaksi!$G$2:$G$2001,K945)+INDEX(Transaksi!$H$2:$H$2001,K945)+INDEX(Transaksi!$I$2:$I$2001,K945)),""))</f>
        <v/>
      </c>
      <c r="F945" s="33">
        <f>IF(J945="H",SUMIFS(Transaksi!$J$2:$J$2001,Transaksi!$M$2:$M$2001,"="&amp;S945),IF(J945="E",IF(INDEX(Transaksi!$J$2:$J$2001,K945)=0,"",INDEX(Transaksi!$J$2:$J$2001,K945)),""))</f>
        <v/>
      </c>
      <c r="G945" s="33">
        <f>IF(J945="H",(SUMIFS(Transaksi!$G$2:$G$2001,Transaksi!$M$2:$M$2001,"&lt;="&amp;S945)+SUMIFS(Transaksi!$H$2:$H$2001,Transaksi!$M$2:$M$2001,"&lt;="&amp;S945)+SUMIFS(Transaksi!$I$2:$I$2001,Transaksi!$M$2:$M$2001,"&lt;="&amp;S945))-(SUMIFS(Transaksi!$J$2:$J$2001,Transaksi!$M$2:$M$2001,"&lt;="&amp;S945)),"")</f>
        <v/>
      </c>
      <c r="I945">
        <f>IF(942&gt;$O$2,"",MATCH(942,$Q$3:$Q$402,1))</f>
        <v/>
      </c>
      <c r="J945">
        <f>IF(I945="","",IF(942=INDEX($Q$3:$Q$402,I945),"H","E"))</f>
        <v/>
      </c>
      <c r="K945">
        <f>IF(J945&lt;&gt;"E","",MATCH(S945,Transaksi!$M$2:$M$2001,0)+942-INDEX($Q$3:$Q$402,I945)-1)</f>
        <v/>
      </c>
      <c r="S945">
        <f>IF(I945="","",INDEX($O$3:$O$402,I945))</f>
        <v/>
      </c>
      <c r="T945">
        <f>IF(J945&lt;&gt;"H","",INDEX(Transaksi!$A$2:$A$2001,MATCH(S945,Transaksi!$M$2:$M$2001,0)))</f>
        <v/>
      </c>
    </row>
    <row r="946">
      <c r="A946" s="31">
        <f>IF(J946="E",IF(INDEX(Transaksi!$J$2:$J$2001,K946)&gt;0,"↑","↓"),"")</f>
        <v/>
      </c>
      <c r="B946" s="32">
        <f>IF(J946="H",CHOOSE(WEEKDAY(T946,2),"Isnin","Selasa","Rabu","Khamis","Jumaat","Sabtu","Ahad")&amp;", "&amp;DAY(T946)&amp;" "&amp;CHOOSE(MONTH(T946),"Jan","Feb","Mac","Apr","Mei","Jun","Jul","Ogo","Sep","Okt","Nov","Dis")&amp;" "&amp;YEAR(T946),IF(J946="E",IF(INDEX(Transaksi!$B$2:$B$2001,K946)="",INDEX(Transaksi!$C$2:$C$2001,K946)&amp;" · "&amp;INDEX(Transaksi!$D$2:$D$2001,K946),INDEX(Transaksi!$B$2:$B$2001,K946)),""))</f>
        <v/>
      </c>
      <c r="C946" s="32">
        <f>IF(J946="E",INDEX(Transaksi!$C$2:$C$2001,K946)&amp;"","")</f>
        <v/>
      </c>
      <c r="D946" s="32">
        <f>IF(J946="E",INDEX(Transaksi!$D$2:$D$2001,K946)&amp;"","")</f>
        <v/>
      </c>
      <c r="E946" s="33">
        <f>IF(J946="H",SUMIFS(Transaksi!$G$2:$G$2001,Transaksi!$M$2:$M$2001,"="&amp;S946)+SUMIFS(Transaksi!$H$2:$H$2001,Transaksi!$M$2:$M$2001,"="&amp;S946)+SUMIFS(Transaksi!$I$2:$I$2001,Transaksi!$M$2:$M$2001,"="&amp;S946),IF(J946="E",IF(INDEX(Transaksi!$G$2:$G$2001,K946)+INDEX(Transaksi!$H$2:$H$2001,K946)+INDEX(Transaksi!$I$2:$I$2001,K946)=0,"",INDEX(Transaksi!$G$2:$G$2001,K946)+INDEX(Transaksi!$H$2:$H$2001,K946)+INDEX(Transaksi!$I$2:$I$2001,K946)),""))</f>
        <v/>
      </c>
      <c r="F946" s="33">
        <f>IF(J946="H",SUMIFS(Transaksi!$J$2:$J$2001,Transaksi!$M$2:$M$2001,"="&amp;S946),IF(J946="E",IF(INDEX(Transaksi!$J$2:$J$2001,K946)=0,"",INDEX(Transaksi!$J$2:$J$2001,K946)),""))</f>
        <v/>
      </c>
      <c r="G946" s="33">
        <f>IF(J946="H",(SUMIFS(Transaksi!$G$2:$G$2001,Transaksi!$M$2:$M$2001,"&lt;="&amp;S946)+SUMIFS(Transaksi!$H$2:$H$2001,Transaksi!$M$2:$M$2001,"&lt;="&amp;S946)+SUMIFS(Transaksi!$I$2:$I$2001,Transaksi!$M$2:$M$2001,"&lt;="&amp;S946))-(SUMIFS(Transaksi!$J$2:$J$2001,Transaksi!$M$2:$M$2001,"&lt;="&amp;S946)),"")</f>
        <v/>
      </c>
      <c r="I946">
        <f>IF(943&gt;$O$2,"",MATCH(943,$Q$3:$Q$402,1))</f>
        <v/>
      </c>
      <c r="J946">
        <f>IF(I946="","",IF(943=INDEX($Q$3:$Q$402,I946),"H","E"))</f>
        <v/>
      </c>
      <c r="K946">
        <f>IF(J946&lt;&gt;"E","",MATCH(S946,Transaksi!$M$2:$M$2001,0)+943-INDEX($Q$3:$Q$402,I946)-1)</f>
        <v/>
      </c>
      <c r="S946">
        <f>IF(I946="","",INDEX($O$3:$O$402,I946))</f>
        <v/>
      </c>
      <c r="T946">
        <f>IF(J946&lt;&gt;"H","",INDEX(Transaksi!$A$2:$A$2001,MATCH(S946,Transaksi!$M$2:$M$2001,0)))</f>
        <v/>
      </c>
    </row>
    <row r="947">
      <c r="A947" s="31">
        <f>IF(J947="E",IF(INDEX(Transaksi!$J$2:$J$2001,K947)&gt;0,"↑","↓"),"")</f>
        <v/>
      </c>
      <c r="B947" s="32">
        <f>IF(J947="H",CHOOSE(WEEKDAY(T947,2),"Isnin","Selasa","Rabu","Khamis","Jumaat","Sabtu","Ahad")&amp;", "&amp;DAY(T947)&amp;" "&amp;CHOOSE(MONTH(T947),"Jan","Feb","Mac","Apr","Mei","Jun","Jul","Ogo","Sep","Okt","Nov","Dis")&amp;" "&amp;YEAR(T947),IF(J947="E",IF(INDEX(Transaksi!$B$2:$B$2001,K947)="",INDEX(Transaksi!$C$2:$C$2001,K947)&amp;" · "&amp;INDEX(Transaksi!$D$2:$D$2001,K947),INDEX(Transaksi!$B$2:$B$2001,K947)),""))</f>
        <v/>
      </c>
      <c r="C947" s="32">
        <f>IF(J947="E",INDEX(Transaksi!$C$2:$C$2001,K947)&amp;"","")</f>
        <v/>
      </c>
      <c r="D947" s="32">
        <f>IF(J947="E",INDEX(Transaksi!$D$2:$D$2001,K947)&amp;"","")</f>
        <v/>
      </c>
      <c r="E947" s="33">
        <f>IF(J947="H",SUMIFS(Transaksi!$G$2:$G$2001,Transaksi!$M$2:$M$2001,"="&amp;S947)+SUMIFS(Transaksi!$H$2:$H$2001,Transaksi!$M$2:$M$2001,"="&amp;S947)+SUMIFS(Transaksi!$I$2:$I$2001,Transaksi!$M$2:$M$2001,"="&amp;S947),IF(J947="E",IF(INDEX(Transaksi!$G$2:$G$2001,K947)+INDEX(Transaksi!$H$2:$H$2001,K947)+INDEX(Transaksi!$I$2:$I$2001,K947)=0,"",INDEX(Transaksi!$G$2:$G$2001,K947)+INDEX(Transaksi!$H$2:$H$2001,K947)+INDEX(Transaksi!$I$2:$I$2001,K947)),""))</f>
        <v/>
      </c>
      <c r="F947" s="33">
        <f>IF(J947="H",SUMIFS(Transaksi!$J$2:$J$2001,Transaksi!$M$2:$M$2001,"="&amp;S947),IF(J947="E",IF(INDEX(Transaksi!$J$2:$J$2001,K947)=0,"",INDEX(Transaksi!$J$2:$J$2001,K947)),""))</f>
        <v/>
      </c>
      <c r="G947" s="33">
        <f>IF(J947="H",(SUMIFS(Transaksi!$G$2:$G$2001,Transaksi!$M$2:$M$2001,"&lt;="&amp;S947)+SUMIFS(Transaksi!$H$2:$H$2001,Transaksi!$M$2:$M$2001,"&lt;="&amp;S947)+SUMIFS(Transaksi!$I$2:$I$2001,Transaksi!$M$2:$M$2001,"&lt;="&amp;S947))-(SUMIFS(Transaksi!$J$2:$J$2001,Transaksi!$M$2:$M$2001,"&lt;="&amp;S947)),"")</f>
        <v/>
      </c>
      <c r="I947">
        <f>IF(944&gt;$O$2,"",MATCH(944,$Q$3:$Q$402,1))</f>
        <v/>
      </c>
      <c r="J947">
        <f>IF(I947="","",IF(944=INDEX($Q$3:$Q$402,I947),"H","E"))</f>
        <v/>
      </c>
      <c r="K947">
        <f>IF(J947&lt;&gt;"E","",MATCH(S947,Transaksi!$M$2:$M$2001,0)+944-INDEX($Q$3:$Q$402,I947)-1)</f>
        <v/>
      </c>
      <c r="S947">
        <f>IF(I947="","",INDEX($O$3:$O$402,I947))</f>
        <v/>
      </c>
      <c r="T947">
        <f>IF(J947&lt;&gt;"H","",INDEX(Transaksi!$A$2:$A$2001,MATCH(S947,Transaksi!$M$2:$M$2001,0)))</f>
        <v/>
      </c>
    </row>
    <row r="948">
      <c r="A948" s="31">
        <f>IF(J948="E",IF(INDEX(Transaksi!$J$2:$J$2001,K948)&gt;0,"↑","↓"),"")</f>
        <v/>
      </c>
      <c r="B948" s="32">
        <f>IF(J948="H",CHOOSE(WEEKDAY(T948,2),"Isnin","Selasa","Rabu","Khamis","Jumaat","Sabtu","Ahad")&amp;", "&amp;DAY(T948)&amp;" "&amp;CHOOSE(MONTH(T948),"Jan","Feb","Mac","Apr","Mei","Jun","Jul","Ogo","Sep","Okt","Nov","Dis")&amp;" "&amp;YEAR(T948),IF(J948="E",IF(INDEX(Transaksi!$B$2:$B$2001,K948)="",INDEX(Transaksi!$C$2:$C$2001,K948)&amp;" · "&amp;INDEX(Transaksi!$D$2:$D$2001,K948),INDEX(Transaksi!$B$2:$B$2001,K948)),""))</f>
        <v/>
      </c>
      <c r="C948" s="32">
        <f>IF(J948="E",INDEX(Transaksi!$C$2:$C$2001,K948)&amp;"","")</f>
        <v/>
      </c>
      <c r="D948" s="32">
        <f>IF(J948="E",INDEX(Transaksi!$D$2:$D$2001,K948)&amp;"","")</f>
        <v/>
      </c>
      <c r="E948" s="33">
        <f>IF(J948="H",SUMIFS(Transaksi!$G$2:$G$2001,Transaksi!$M$2:$M$2001,"="&amp;S948)+SUMIFS(Transaksi!$H$2:$H$2001,Transaksi!$M$2:$M$2001,"="&amp;S948)+SUMIFS(Transaksi!$I$2:$I$2001,Transaksi!$M$2:$M$2001,"="&amp;S948),IF(J948="E",IF(INDEX(Transaksi!$G$2:$G$2001,K948)+INDEX(Transaksi!$H$2:$H$2001,K948)+INDEX(Transaksi!$I$2:$I$2001,K948)=0,"",INDEX(Transaksi!$G$2:$G$2001,K948)+INDEX(Transaksi!$H$2:$H$2001,K948)+INDEX(Transaksi!$I$2:$I$2001,K948)),""))</f>
        <v/>
      </c>
      <c r="F948" s="33">
        <f>IF(J948="H",SUMIFS(Transaksi!$J$2:$J$2001,Transaksi!$M$2:$M$2001,"="&amp;S948),IF(J948="E",IF(INDEX(Transaksi!$J$2:$J$2001,K948)=0,"",INDEX(Transaksi!$J$2:$J$2001,K948)),""))</f>
        <v/>
      </c>
      <c r="G948" s="33">
        <f>IF(J948="H",(SUMIFS(Transaksi!$G$2:$G$2001,Transaksi!$M$2:$M$2001,"&lt;="&amp;S948)+SUMIFS(Transaksi!$H$2:$H$2001,Transaksi!$M$2:$M$2001,"&lt;="&amp;S948)+SUMIFS(Transaksi!$I$2:$I$2001,Transaksi!$M$2:$M$2001,"&lt;="&amp;S948))-(SUMIFS(Transaksi!$J$2:$J$2001,Transaksi!$M$2:$M$2001,"&lt;="&amp;S948)),"")</f>
        <v/>
      </c>
      <c r="I948">
        <f>IF(945&gt;$O$2,"",MATCH(945,$Q$3:$Q$402,1))</f>
        <v/>
      </c>
      <c r="J948">
        <f>IF(I948="","",IF(945=INDEX($Q$3:$Q$402,I948),"H","E"))</f>
        <v/>
      </c>
      <c r="K948">
        <f>IF(J948&lt;&gt;"E","",MATCH(S948,Transaksi!$M$2:$M$2001,0)+945-INDEX($Q$3:$Q$402,I948)-1)</f>
        <v/>
      </c>
      <c r="S948">
        <f>IF(I948="","",INDEX($O$3:$O$402,I948))</f>
        <v/>
      </c>
      <c r="T948">
        <f>IF(J948&lt;&gt;"H","",INDEX(Transaksi!$A$2:$A$2001,MATCH(S948,Transaksi!$M$2:$M$2001,0)))</f>
        <v/>
      </c>
    </row>
    <row r="949">
      <c r="A949" s="31">
        <f>IF(J949="E",IF(INDEX(Transaksi!$J$2:$J$2001,K949)&gt;0,"↑","↓"),"")</f>
        <v/>
      </c>
      <c r="B949" s="32">
        <f>IF(J949="H",CHOOSE(WEEKDAY(T949,2),"Isnin","Selasa","Rabu","Khamis","Jumaat","Sabtu","Ahad")&amp;", "&amp;DAY(T949)&amp;" "&amp;CHOOSE(MONTH(T949),"Jan","Feb","Mac","Apr","Mei","Jun","Jul","Ogo","Sep","Okt","Nov","Dis")&amp;" "&amp;YEAR(T949),IF(J949="E",IF(INDEX(Transaksi!$B$2:$B$2001,K949)="",INDEX(Transaksi!$C$2:$C$2001,K949)&amp;" · "&amp;INDEX(Transaksi!$D$2:$D$2001,K949),INDEX(Transaksi!$B$2:$B$2001,K949)),""))</f>
        <v/>
      </c>
      <c r="C949" s="32">
        <f>IF(J949="E",INDEX(Transaksi!$C$2:$C$2001,K949)&amp;"","")</f>
        <v/>
      </c>
      <c r="D949" s="32">
        <f>IF(J949="E",INDEX(Transaksi!$D$2:$D$2001,K949)&amp;"","")</f>
        <v/>
      </c>
      <c r="E949" s="33">
        <f>IF(J949="H",SUMIFS(Transaksi!$G$2:$G$2001,Transaksi!$M$2:$M$2001,"="&amp;S949)+SUMIFS(Transaksi!$H$2:$H$2001,Transaksi!$M$2:$M$2001,"="&amp;S949)+SUMIFS(Transaksi!$I$2:$I$2001,Transaksi!$M$2:$M$2001,"="&amp;S949),IF(J949="E",IF(INDEX(Transaksi!$G$2:$G$2001,K949)+INDEX(Transaksi!$H$2:$H$2001,K949)+INDEX(Transaksi!$I$2:$I$2001,K949)=0,"",INDEX(Transaksi!$G$2:$G$2001,K949)+INDEX(Transaksi!$H$2:$H$2001,K949)+INDEX(Transaksi!$I$2:$I$2001,K949)),""))</f>
        <v/>
      </c>
      <c r="F949" s="33">
        <f>IF(J949="H",SUMIFS(Transaksi!$J$2:$J$2001,Transaksi!$M$2:$M$2001,"="&amp;S949),IF(J949="E",IF(INDEX(Transaksi!$J$2:$J$2001,K949)=0,"",INDEX(Transaksi!$J$2:$J$2001,K949)),""))</f>
        <v/>
      </c>
      <c r="G949" s="33">
        <f>IF(J949="H",(SUMIFS(Transaksi!$G$2:$G$2001,Transaksi!$M$2:$M$2001,"&lt;="&amp;S949)+SUMIFS(Transaksi!$H$2:$H$2001,Transaksi!$M$2:$M$2001,"&lt;="&amp;S949)+SUMIFS(Transaksi!$I$2:$I$2001,Transaksi!$M$2:$M$2001,"&lt;="&amp;S949))-(SUMIFS(Transaksi!$J$2:$J$2001,Transaksi!$M$2:$M$2001,"&lt;="&amp;S949)),"")</f>
        <v/>
      </c>
      <c r="I949">
        <f>IF(946&gt;$O$2,"",MATCH(946,$Q$3:$Q$402,1))</f>
        <v/>
      </c>
      <c r="J949">
        <f>IF(I949="","",IF(946=INDEX($Q$3:$Q$402,I949),"H","E"))</f>
        <v/>
      </c>
      <c r="K949">
        <f>IF(J949&lt;&gt;"E","",MATCH(S949,Transaksi!$M$2:$M$2001,0)+946-INDEX($Q$3:$Q$402,I949)-1)</f>
        <v/>
      </c>
      <c r="S949">
        <f>IF(I949="","",INDEX($O$3:$O$402,I949))</f>
        <v/>
      </c>
      <c r="T949">
        <f>IF(J949&lt;&gt;"H","",INDEX(Transaksi!$A$2:$A$2001,MATCH(S949,Transaksi!$M$2:$M$2001,0)))</f>
        <v/>
      </c>
    </row>
    <row r="950">
      <c r="A950" s="31">
        <f>IF(J950="E",IF(INDEX(Transaksi!$J$2:$J$2001,K950)&gt;0,"↑","↓"),"")</f>
        <v/>
      </c>
      <c r="B950" s="32">
        <f>IF(J950="H",CHOOSE(WEEKDAY(T950,2),"Isnin","Selasa","Rabu","Khamis","Jumaat","Sabtu","Ahad")&amp;", "&amp;DAY(T950)&amp;" "&amp;CHOOSE(MONTH(T950),"Jan","Feb","Mac","Apr","Mei","Jun","Jul","Ogo","Sep","Okt","Nov","Dis")&amp;" "&amp;YEAR(T950),IF(J950="E",IF(INDEX(Transaksi!$B$2:$B$2001,K950)="",INDEX(Transaksi!$C$2:$C$2001,K950)&amp;" · "&amp;INDEX(Transaksi!$D$2:$D$2001,K950),INDEX(Transaksi!$B$2:$B$2001,K950)),""))</f>
        <v/>
      </c>
      <c r="C950" s="32">
        <f>IF(J950="E",INDEX(Transaksi!$C$2:$C$2001,K950)&amp;"","")</f>
        <v/>
      </c>
      <c r="D950" s="32">
        <f>IF(J950="E",INDEX(Transaksi!$D$2:$D$2001,K950)&amp;"","")</f>
        <v/>
      </c>
      <c r="E950" s="33">
        <f>IF(J950="H",SUMIFS(Transaksi!$G$2:$G$2001,Transaksi!$M$2:$M$2001,"="&amp;S950)+SUMIFS(Transaksi!$H$2:$H$2001,Transaksi!$M$2:$M$2001,"="&amp;S950)+SUMIFS(Transaksi!$I$2:$I$2001,Transaksi!$M$2:$M$2001,"="&amp;S950),IF(J950="E",IF(INDEX(Transaksi!$G$2:$G$2001,K950)+INDEX(Transaksi!$H$2:$H$2001,K950)+INDEX(Transaksi!$I$2:$I$2001,K950)=0,"",INDEX(Transaksi!$G$2:$G$2001,K950)+INDEX(Transaksi!$H$2:$H$2001,K950)+INDEX(Transaksi!$I$2:$I$2001,K950)),""))</f>
        <v/>
      </c>
      <c r="F950" s="33">
        <f>IF(J950="H",SUMIFS(Transaksi!$J$2:$J$2001,Transaksi!$M$2:$M$2001,"="&amp;S950),IF(J950="E",IF(INDEX(Transaksi!$J$2:$J$2001,K950)=0,"",INDEX(Transaksi!$J$2:$J$2001,K950)),""))</f>
        <v/>
      </c>
      <c r="G950" s="33">
        <f>IF(J950="H",(SUMIFS(Transaksi!$G$2:$G$2001,Transaksi!$M$2:$M$2001,"&lt;="&amp;S950)+SUMIFS(Transaksi!$H$2:$H$2001,Transaksi!$M$2:$M$2001,"&lt;="&amp;S950)+SUMIFS(Transaksi!$I$2:$I$2001,Transaksi!$M$2:$M$2001,"&lt;="&amp;S950))-(SUMIFS(Transaksi!$J$2:$J$2001,Transaksi!$M$2:$M$2001,"&lt;="&amp;S950)),"")</f>
        <v/>
      </c>
      <c r="I950">
        <f>IF(947&gt;$O$2,"",MATCH(947,$Q$3:$Q$402,1))</f>
        <v/>
      </c>
      <c r="J950">
        <f>IF(I950="","",IF(947=INDEX($Q$3:$Q$402,I950),"H","E"))</f>
        <v/>
      </c>
      <c r="K950">
        <f>IF(J950&lt;&gt;"E","",MATCH(S950,Transaksi!$M$2:$M$2001,0)+947-INDEX($Q$3:$Q$402,I950)-1)</f>
        <v/>
      </c>
      <c r="S950">
        <f>IF(I950="","",INDEX($O$3:$O$402,I950))</f>
        <v/>
      </c>
      <c r="T950">
        <f>IF(J950&lt;&gt;"H","",INDEX(Transaksi!$A$2:$A$2001,MATCH(S950,Transaksi!$M$2:$M$2001,0)))</f>
        <v/>
      </c>
    </row>
    <row r="951">
      <c r="A951" s="31">
        <f>IF(J951="E",IF(INDEX(Transaksi!$J$2:$J$2001,K951)&gt;0,"↑","↓"),"")</f>
        <v/>
      </c>
      <c r="B951" s="32">
        <f>IF(J951="H",CHOOSE(WEEKDAY(T951,2),"Isnin","Selasa","Rabu","Khamis","Jumaat","Sabtu","Ahad")&amp;", "&amp;DAY(T951)&amp;" "&amp;CHOOSE(MONTH(T951),"Jan","Feb","Mac","Apr","Mei","Jun","Jul","Ogo","Sep","Okt","Nov","Dis")&amp;" "&amp;YEAR(T951),IF(J951="E",IF(INDEX(Transaksi!$B$2:$B$2001,K951)="",INDEX(Transaksi!$C$2:$C$2001,K951)&amp;" · "&amp;INDEX(Transaksi!$D$2:$D$2001,K951),INDEX(Transaksi!$B$2:$B$2001,K951)),""))</f>
        <v/>
      </c>
      <c r="C951" s="32">
        <f>IF(J951="E",INDEX(Transaksi!$C$2:$C$2001,K951)&amp;"","")</f>
        <v/>
      </c>
      <c r="D951" s="32">
        <f>IF(J951="E",INDEX(Transaksi!$D$2:$D$2001,K951)&amp;"","")</f>
        <v/>
      </c>
      <c r="E951" s="33">
        <f>IF(J951="H",SUMIFS(Transaksi!$G$2:$G$2001,Transaksi!$M$2:$M$2001,"="&amp;S951)+SUMIFS(Transaksi!$H$2:$H$2001,Transaksi!$M$2:$M$2001,"="&amp;S951)+SUMIFS(Transaksi!$I$2:$I$2001,Transaksi!$M$2:$M$2001,"="&amp;S951),IF(J951="E",IF(INDEX(Transaksi!$G$2:$G$2001,K951)+INDEX(Transaksi!$H$2:$H$2001,K951)+INDEX(Transaksi!$I$2:$I$2001,K951)=0,"",INDEX(Transaksi!$G$2:$G$2001,K951)+INDEX(Transaksi!$H$2:$H$2001,K951)+INDEX(Transaksi!$I$2:$I$2001,K951)),""))</f>
        <v/>
      </c>
      <c r="F951" s="33">
        <f>IF(J951="H",SUMIFS(Transaksi!$J$2:$J$2001,Transaksi!$M$2:$M$2001,"="&amp;S951),IF(J951="E",IF(INDEX(Transaksi!$J$2:$J$2001,K951)=0,"",INDEX(Transaksi!$J$2:$J$2001,K951)),""))</f>
        <v/>
      </c>
      <c r="G951" s="33">
        <f>IF(J951="H",(SUMIFS(Transaksi!$G$2:$G$2001,Transaksi!$M$2:$M$2001,"&lt;="&amp;S951)+SUMIFS(Transaksi!$H$2:$H$2001,Transaksi!$M$2:$M$2001,"&lt;="&amp;S951)+SUMIFS(Transaksi!$I$2:$I$2001,Transaksi!$M$2:$M$2001,"&lt;="&amp;S951))-(SUMIFS(Transaksi!$J$2:$J$2001,Transaksi!$M$2:$M$2001,"&lt;="&amp;S951)),"")</f>
        <v/>
      </c>
      <c r="I951">
        <f>IF(948&gt;$O$2,"",MATCH(948,$Q$3:$Q$402,1))</f>
        <v/>
      </c>
      <c r="J951">
        <f>IF(I951="","",IF(948=INDEX($Q$3:$Q$402,I951),"H","E"))</f>
        <v/>
      </c>
      <c r="K951">
        <f>IF(J951&lt;&gt;"E","",MATCH(S951,Transaksi!$M$2:$M$2001,0)+948-INDEX($Q$3:$Q$402,I951)-1)</f>
        <v/>
      </c>
      <c r="S951">
        <f>IF(I951="","",INDEX($O$3:$O$402,I951))</f>
        <v/>
      </c>
      <c r="T951">
        <f>IF(J951&lt;&gt;"H","",INDEX(Transaksi!$A$2:$A$2001,MATCH(S951,Transaksi!$M$2:$M$2001,0)))</f>
        <v/>
      </c>
    </row>
    <row r="952">
      <c r="A952" s="31">
        <f>IF(J952="E",IF(INDEX(Transaksi!$J$2:$J$2001,K952)&gt;0,"↑","↓"),"")</f>
        <v/>
      </c>
      <c r="B952" s="32">
        <f>IF(J952="H",CHOOSE(WEEKDAY(T952,2),"Isnin","Selasa","Rabu","Khamis","Jumaat","Sabtu","Ahad")&amp;", "&amp;DAY(T952)&amp;" "&amp;CHOOSE(MONTH(T952),"Jan","Feb","Mac","Apr","Mei","Jun","Jul","Ogo","Sep","Okt","Nov","Dis")&amp;" "&amp;YEAR(T952),IF(J952="E",IF(INDEX(Transaksi!$B$2:$B$2001,K952)="",INDEX(Transaksi!$C$2:$C$2001,K952)&amp;" · "&amp;INDEX(Transaksi!$D$2:$D$2001,K952),INDEX(Transaksi!$B$2:$B$2001,K952)),""))</f>
        <v/>
      </c>
      <c r="C952" s="32">
        <f>IF(J952="E",INDEX(Transaksi!$C$2:$C$2001,K952)&amp;"","")</f>
        <v/>
      </c>
      <c r="D952" s="32">
        <f>IF(J952="E",INDEX(Transaksi!$D$2:$D$2001,K952)&amp;"","")</f>
        <v/>
      </c>
      <c r="E952" s="33">
        <f>IF(J952="H",SUMIFS(Transaksi!$G$2:$G$2001,Transaksi!$M$2:$M$2001,"="&amp;S952)+SUMIFS(Transaksi!$H$2:$H$2001,Transaksi!$M$2:$M$2001,"="&amp;S952)+SUMIFS(Transaksi!$I$2:$I$2001,Transaksi!$M$2:$M$2001,"="&amp;S952),IF(J952="E",IF(INDEX(Transaksi!$G$2:$G$2001,K952)+INDEX(Transaksi!$H$2:$H$2001,K952)+INDEX(Transaksi!$I$2:$I$2001,K952)=0,"",INDEX(Transaksi!$G$2:$G$2001,K952)+INDEX(Transaksi!$H$2:$H$2001,K952)+INDEX(Transaksi!$I$2:$I$2001,K952)),""))</f>
        <v/>
      </c>
      <c r="F952" s="33">
        <f>IF(J952="H",SUMIFS(Transaksi!$J$2:$J$2001,Transaksi!$M$2:$M$2001,"="&amp;S952),IF(J952="E",IF(INDEX(Transaksi!$J$2:$J$2001,K952)=0,"",INDEX(Transaksi!$J$2:$J$2001,K952)),""))</f>
        <v/>
      </c>
      <c r="G952" s="33">
        <f>IF(J952="H",(SUMIFS(Transaksi!$G$2:$G$2001,Transaksi!$M$2:$M$2001,"&lt;="&amp;S952)+SUMIFS(Transaksi!$H$2:$H$2001,Transaksi!$M$2:$M$2001,"&lt;="&amp;S952)+SUMIFS(Transaksi!$I$2:$I$2001,Transaksi!$M$2:$M$2001,"&lt;="&amp;S952))-(SUMIFS(Transaksi!$J$2:$J$2001,Transaksi!$M$2:$M$2001,"&lt;="&amp;S952)),"")</f>
        <v/>
      </c>
      <c r="I952">
        <f>IF(949&gt;$O$2,"",MATCH(949,$Q$3:$Q$402,1))</f>
        <v/>
      </c>
      <c r="J952">
        <f>IF(I952="","",IF(949=INDEX($Q$3:$Q$402,I952),"H","E"))</f>
        <v/>
      </c>
      <c r="K952">
        <f>IF(J952&lt;&gt;"E","",MATCH(S952,Transaksi!$M$2:$M$2001,0)+949-INDEX($Q$3:$Q$402,I952)-1)</f>
        <v/>
      </c>
      <c r="S952">
        <f>IF(I952="","",INDEX($O$3:$O$402,I952))</f>
        <v/>
      </c>
      <c r="T952">
        <f>IF(J952&lt;&gt;"H","",INDEX(Transaksi!$A$2:$A$2001,MATCH(S952,Transaksi!$M$2:$M$2001,0)))</f>
        <v/>
      </c>
    </row>
    <row r="953">
      <c r="A953" s="31">
        <f>IF(J953="E",IF(INDEX(Transaksi!$J$2:$J$2001,K953)&gt;0,"↑","↓"),"")</f>
        <v/>
      </c>
      <c r="B953" s="32">
        <f>IF(J953="H",CHOOSE(WEEKDAY(T953,2),"Isnin","Selasa","Rabu","Khamis","Jumaat","Sabtu","Ahad")&amp;", "&amp;DAY(T953)&amp;" "&amp;CHOOSE(MONTH(T953),"Jan","Feb","Mac","Apr","Mei","Jun","Jul","Ogo","Sep","Okt","Nov","Dis")&amp;" "&amp;YEAR(T953),IF(J953="E",IF(INDEX(Transaksi!$B$2:$B$2001,K953)="",INDEX(Transaksi!$C$2:$C$2001,K953)&amp;" · "&amp;INDEX(Transaksi!$D$2:$D$2001,K953),INDEX(Transaksi!$B$2:$B$2001,K953)),""))</f>
        <v/>
      </c>
      <c r="C953" s="32">
        <f>IF(J953="E",INDEX(Transaksi!$C$2:$C$2001,K953)&amp;"","")</f>
        <v/>
      </c>
      <c r="D953" s="32">
        <f>IF(J953="E",INDEX(Transaksi!$D$2:$D$2001,K953)&amp;"","")</f>
        <v/>
      </c>
      <c r="E953" s="33">
        <f>IF(J953="H",SUMIFS(Transaksi!$G$2:$G$2001,Transaksi!$M$2:$M$2001,"="&amp;S953)+SUMIFS(Transaksi!$H$2:$H$2001,Transaksi!$M$2:$M$2001,"="&amp;S953)+SUMIFS(Transaksi!$I$2:$I$2001,Transaksi!$M$2:$M$2001,"="&amp;S953),IF(J953="E",IF(INDEX(Transaksi!$G$2:$G$2001,K953)+INDEX(Transaksi!$H$2:$H$2001,K953)+INDEX(Transaksi!$I$2:$I$2001,K953)=0,"",INDEX(Transaksi!$G$2:$G$2001,K953)+INDEX(Transaksi!$H$2:$H$2001,K953)+INDEX(Transaksi!$I$2:$I$2001,K953)),""))</f>
        <v/>
      </c>
      <c r="F953" s="33">
        <f>IF(J953="H",SUMIFS(Transaksi!$J$2:$J$2001,Transaksi!$M$2:$M$2001,"="&amp;S953),IF(J953="E",IF(INDEX(Transaksi!$J$2:$J$2001,K953)=0,"",INDEX(Transaksi!$J$2:$J$2001,K953)),""))</f>
        <v/>
      </c>
      <c r="G953" s="33">
        <f>IF(J953="H",(SUMIFS(Transaksi!$G$2:$G$2001,Transaksi!$M$2:$M$2001,"&lt;="&amp;S953)+SUMIFS(Transaksi!$H$2:$H$2001,Transaksi!$M$2:$M$2001,"&lt;="&amp;S953)+SUMIFS(Transaksi!$I$2:$I$2001,Transaksi!$M$2:$M$2001,"&lt;="&amp;S953))-(SUMIFS(Transaksi!$J$2:$J$2001,Transaksi!$M$2:$M$2001,"&lt;="&amp;S953)),"")</f>
        <v/>
      </c>
      <c r="I953">
        <f>IF(950&gt;$O$2,"",MATCH(950,$Q$3:$Q$402,1))</f>
        <v/>
      </c>
      <c r="J953">
        <f>IF(I953="","",IF(950=INDEX($Q$3:$Q$402,I953),"H","E"))</f>
        <v/>
      </c>
      <c r="K953">
        <f>IF(J953&lt;&gt;"E","",MATCH(S953,Transaksi!$M$2:$M$2001,0)+950-INDEX($Q$3:$Q$402,I953)-1)</f>
        <v/>
      </c>
      <c r="S953">
        <f>IF(I953="","",INDEX($O$3:$O$402,I953))</f>
        <v/>
      </c>
      <c r="T953">
        <f>IF(J953&lt;&gt;"H","",INDEX(Transaksi!$A$2:$A$2001,MATCH(S953,Transaksi!$M$2:$M$2001,0)))</f>
        <v/>
      </c>
    </row>
    <row r="954">
      <c r="A954" s="31">
        <f>IF(J954="E",IF(INDEX(Transaksi!$J$2:$J$2001,K954)&gt;0,"↑","↓"),"")</f>
        <v/>
      </c>
      <c r="B954" s="32">
        <f>IF(J954="H",CHOOSE(WEEKDAY(T954,2),"Isnin","Selasa","Rabu","Khamis","Jumaat","Sabtu","Ahad")&amp;", "&amp;DAY(T954)&amp;" "&amp;CHOOSE(MONTH(T954),"Jan","Feb","Mac","Apr","Mei","Jun","Jul","Ogo","Sep","Okt","Nov","Dis")&amp;" "&amp;YEAR(T954),IF(J954="E",IF(INDEX(Transaksi!$B$2:$B$2001,K954)="",INDEX(Transaksi!$C$2:$C$2001,K954)&amp;" · "&amp;INDEX(Transaksi!$D$2:$D$2001,K954),INDEX(Transaksi!$B$2:$B$2001,K954)),""))</f>
        <v/>
      </c>
      <c r="C954" s="32">
        <f>IF(J954="E",INDEX(Transaksi!$C$2:$C$2001,K954)&amp;"","")</f>
        <v/>
      </c>
      <c r="D954" s="32">
        <f>IF(J954="E",INDEX(Transaksi!$D$2:$D$2001,K954)&amp;"","")</f>
        <v/>
      </c>
      <c r="E954" s="33">
        <f>IF(J954="H",SUMIFS(Transaksi!$G$2:$G$2001,Transaksi!$M$2:$M$2001,"="&amp;S954)+SUMIFS(Transaksi!$H$2:$H$2001,Transaksi!$M$2:$M$2001,"="&amp;S954)+SUMIFS(Transaksi!$I$2:$I$2001,Transaksi!$M$2:$M$2001,"="&amp;S954),IF(J954="E",IF(INDEX(Transaksi!$G$2:$G$2001,K954)+INDEX(Transaksi!$H$2:$H$2001,K954)+INDEX(Transaksi!$I$2:$I$2001,K954)=0,"",INDEX(Transaksi!$G$2:$G$2001,K954)+INDEX(Transaksi!$H$2:$H$2001,K954)+INDEX(Transaksi!$I$2:$I$2001,K954)),""))</f>
        <v/>
      </c>
      <c r="F954" s="33">
        <f>IF(J954="H",SUMIFS(Transaksi!$J$2:$J$2001,Transaksi!$M$2:$M$2001,"="&amp;S954),IF(J954="E",IF(INDEX(Transaksi!$J$2:$J$2001,K954)=0,"",INDEX(Transaksi!$J$2:$J$2001,K954)),""))</f>
        <v/>
      </c>
      <c r="G954" s="33">
        <f>IF(J954="H",(SUMIFS(Transaksi!$G$2:$G$2001,Transaksi!$M$2:$M$2001,"&lt;="&amp;S954)+SUMIFS(Transaksi!$H$2:$H$2001,Transaksi!$M$2:$M$2001,"&lt;="&amp;S954)+SUMIFS(Transaksi!$I$2:$I$2001,Transaksi!$M$2:$M$2001,"&lt;="&amp;S954))-(SUMIFS(Transaksi!$J$2:$J$2001,Transaksi!$M$2:$M$2001,"&lt;="&amp;S954)),"")</f>
        <v/>
      </c>
      <c r="I954">
        <f>IF(951&gt;$O$2,"",MATCH(951,$Q$3:$Q$402,1))</f>
        <v/>
      </c>
      <c r="J954">
        <f>IF(I954="","",IF(951=INDEX($Q$3:$Q$402,I954),"H","E"))</f>
        <v/>
      </c>
      <c r="K954">
        <f>IF(J954&lt;&gt;"E","",MATCH(S954,Transaksi!$M$2:$M$2001,0)+951-INDEX($Q$3:$Q$402,I954)-1)</f>
        <v/>
      </c>
      <c r="S954">
        <f>IF(I954="","",INDEX($O$3:$O$402,I954))</f>
        <v/>
      </c>
      <c r="T954">
        <f>IF(J954&lt;&gt;"H","",INDEX(Transaksi!$A$2:$A$2001,MATCH(S954,Transaksi!$M$2:$M$2001,0)))</f>
        <v/>
      </c>
    </row>
    <row r="955">
      <c r="A955" s="31">
        <f>IF(J955="E",IF(INDEX(Transaksi!$J$2:$J$2001,K955)&gt;0,"↑","↓"),"")</f>
        <v/>
      </c>
      <c r="B955" s="32">
        <f>IF(J955="H",CHOOSE(WEEKDAY(T955,2),"Isnin","Selasa","Rabu","Khamis","Jumaat","Sabtu","Ahad")&amp;", "&amp;DAY(T955)&amp;" "&amp;CHOOSE(MONTH(T955),"Jan","Feb","Mac","Apr","Mei","Jun","Jul","Ogo","Sep","Okt","Nov","Dis")&amp;" "&amp;YEAR(T955),IF(J955="E",IF(INDEX(Transaksi!$B$2:$B$2001,K955)="",INDEX(Transaksi!$C$2:$C$2001,K955)&amp;" · "&amp;INDEX(Transaksi!$D$2:$D$2001,K955),INDEX(Transaksi!$B$2:$B$2001,K955)),""))</f>
        <v/>
      </c>
      <c r="C955" s="32">
        <f>IF(J955="E",INDEX(Transaksi!$C$2:$C$2001,K955)&amp;"","")</f>
        <v/>
      </c>
      <c r="D955" s="32">
        <f>IF(J955="E",INDEX(Transaksi!$D$2:$D$2001,K955)&amp;"","")</f>
        <v/>
      </c>
      <c r="E955" s="33">
        <f>IF(J955="H",SUMIFS(Transaksi!$G$2:$G$2001,Transaksi!$M$2:$M$2001,"="&amp;S955)+SUMIFS(Transaksi!$H$2:$H$2001,Transaksi!$M$2:$M$2001,"="&amp;S955)+SUMIFS(Transaksi!$I$2:$I$2001,Transaksi!$M$2:$M$2001,"="&amp;S955),IF(J955="E",IF(INDEX(Transaksi!$G$2:$G$2001,K955)+INDEX(Transaksi!$H$2:$H$2001,K955)+INDEX(Transaksi!$I$2:$I$2001,K955)=0,"",INDEX(Transaksi!$G$2:$G$2001,K955)+INDEX(Transaksi!$H$2:$H$2001,K955)+INDEX(Transaksi!$I$2:$I$2001,K955)),""))</f>
        <v/>
      </c>
      <c r="F955" s="33">
        <f>IF(J955="H",SUMIFS(Transaksi!$J$2:$J$2001,Transaksi!$M$2:$M$2001,"="&amp;S955),IF(J955="E",IF(INDEX(Transaksi!$J$2:$J$2001,K955)=0,"",INDEX(Transaksi!$J$2:$J$2001,K955)),""))</f>
        <v/>
      </c>
      <c r="G955" s="33">
        <f>IF(J955="H",(SUMIFS(Transaksi!$G$2:$G$2001,Transaksi!$M$2:$M$2001,"&lt;="&amp;S955)+SUMIFS(Transaksi!$H$2:$H$2001,Transaksi!$M$2:$M$2001,"&lt;="&amp;S955)+SUMIFS(Transaksi!$I$2:$I$2001,Transaksi!$M$2:$M$2001,"&lt;="&amp;S955))-(SUMIFS(Transaksi!$J$2:$J$2001,Transaksi!$M$2:$M$2001,"&lt;="&amp;S955)),"")</f>
        <v/>
      </c>
      <c r="I955">
        <f>IF(952&gt;$O$2,"",MATCH(952,$Q$3:$Q$402,1))</f>
        <v/>
      </c>
      <c r="J955">
        <f>IF(I955="","",IF(952=INDEX($Q$3:$Q$402,I955),"H","E"))</f>
        <v/>
      </c>
      <c r="K955">
        <f>IF(J955&lt;&gt;"E","",MATCH(S955,Transaksi!$M$2:$M$2001,0)+952-INDEX($Q$3:$Q$402,I955)-1)</f>
        <v/>
      </c>
      <c r="S955">
        <f>IF(I955="","",INDEX($O$3:$O$402,I955))</f>
        <v/>
      </c>
      <c r="T955">
        <f>IF(J955&lt;&gt;"H","",INDEX(Transaksi!$A$2:$A$2001,MATCH(S955,Transaksi!$M$2:$M$2001,0)))</f>
        <v/>
      </c>
    </row>
    <row r="956">
      <c r="A956" s="31">
        <f>IF(J956="E",IF(INDEX(Transaksi!$J$2:$J$2001,K956)&gt;0,"↑","↓"),"")</f>
        <v/>
      </c>
      <c r="B956" s="32">
        <f>IF(J956="H",CHOOSE(WEEKDAY(T956,2),"Isnin","Selasa","Rabu","Khamis","Jumaat","Sabtu","Ahad")&amp;", "&amp;DAY(T956)&amp;" "&amp;CHOOSE(MONTH(T956),"Jan","Feb","Mac","Apr","Mei","Jun","Jul","Ogo","Sep","Okt","Nov","Dis")&amp;" "&amp;YEAR(T956),IF(J956="E",IF(INDEX(Transaksi!$B$2:$B$2001,K956)="",INDEX(Transaksi!$C$2:$C$2001,K956)&amp;" · "&amp;INDEX(Transaksi!$D$2:$D$2001,K956),INDEX(Transaksi!$B$2:$B$2001,K956)),""))</f>
        <v/>
      </c>
      <c r="C956" s="32">
        <f>IF(J956="E",INDEX(Transaksi!$C$2:$C$2001,K956)&amp;"","")</f>
        <v/>
      </c>
      <c r="D956" s="32">
        <f>IF(J956="E",INDEX(Transaksi!$D$2:$D$2001,K956)&amp;"","")</f>
        <v/>
      </c>
      <c r="E956" s="33">
        <f>IF(J956="H",SUMIFS(Transaksi!$G$2:$G$2001,Transaksi!$M$2:$M$2001,"="&amp;S956)+SUMIFS(Transaksi!$H$2:$H$2001,Transaksi!$M$2:$M$2001,"="&amp;S956)+SUMIFS(Transaksi!$I$2:$I$2001,Transaksi!$M$2:$M$2001,"="&amp;S956),IF(J956="E",IF(INDEX(Transaksi!$G$2:$G$2001,K956)+INDEX(Transaksi!$H$2:$H$2001,K956)+INDEX(Transaksi!$I$2:$I$2001,K956)=0,"",INDEX(Transaksi!$G$2:$G$2001,K956)+INDEX(Transaksi!$H$2:$H$2001,K956)+INDEX(Transaksi!$I$2:$I$2001,K956)),""))</f>
        <v/>
      </c>
      <c r="F956" s="33">
        <f>IF(J956="H",SUMIFS(Transaksi!$J$2:$J$2001,Transaksi!$M$2:$M$2001,"="&amp;S956),IF(J956="E",IF(INDEX(Transaksi!$J$2:$J$2001,K956)=0,"",INDEX(Transaksi!$J$2:$J$2001,K956)),""))</f>
        <v/>
      </c>
      <c r="G956" s="33">
        <f>IF(J956="H",(SUMIFS(Transaksi!$G$2:$G$2001,Transaksi!$M$2:$M$2001,"&lt;="&amp;S956)+SUMIFS(Transaksi!$H$2:$H$2001,Transaksi!$M$2:$M$2001,"&lt;="&amp;S956)+SUMIFS(Transaksi!$I$2:$I$2001,Transaksi!$M$2:$M$2001,"&lt;="&amp;S956))-(SUMIFS(Transaksi!$J$2:$J$2001,Transaksi!$M$2:$M$2001,"&lt;="&amp;S956)),"")</f>
        <v/>
      </c>
      <c r="I956">
        <f>IF(953&gt;$O$2,"",MATCH(953,$Q$3:$Q$402,1))</f>
        <v/>
      </c>
      <c r="J956">
        <f>IF(I956="","",IF(953=INDEX($Q$3:$Q$402,I956),"H","E"))</f>
        <v/>
      </c>
      <c r="K956">
        <f>IF(J956&lt;&gt;"E","",MATCH(S956,Transaksi!$M$2:$M$2001,0)+953-INDEX($Q$3:$Q$402,I956)-1)</f>
        <v/>
      </c>
      <c r="S956">
        <f>IF(I956="","",INDEX($O$3:$O$402,I956))</f>
        <v/>
      </c>
      <c r="T956">
        <f>IF(J956&lt;&gt;"H","",INDEX(Transaksi!$A$2:$A$2001,MATCH(S956,Transaksi!$M$2:$M$2001,0)))</f>
        <v/>
      </c>
    </row>
    <row r="957">
      <c r="A957" s="31">
        <f>IF(J957="E",IF(INDEX(Transaksi!$J$2:$J$2001,K957)&gt;0,"↑","↓"),"")</f>
        <v/>
      </c>
      <c r="B957" s="32">
        <f>IF(J957="H",CHOOSE(WEEKDAY(T957,2),"Isnin","Selasa","Rabu","Khamis","Jumaat","Sabtu","Ahad")&amp;", "&amp;DAY(T957)&amp;" "&amp;CHOOSE(MONTH(T957),"Jan","Feb","Mac","Apr","Mei","Jun","Jul","Ogo","Sep","Okt","Nov","Dis")&amp;" "&amp;YEAR(T957),IF(J957="E",IF(INDEX(Transaksi!$B$2:$B$2001,K957)="",INDEX(Transaksi!$C$2:$C$2001,K957)&amp;" · "&amp;INDEX(Transaksi!$D$2:$D$2001,K957),INDEX(Transaksi!$B$2:$B$2001,K957)),""))</f>
        <v/>
      </c>
      <c r="C957" s="32">
        <f>IF(J957="E",INDEX(Transaksi!$C$2:$C$2001,K957)&amp;"","")</f>
        <v/>
      </c>
      <c r="D957" s="32">
        <f>IF(J957="E",INDEX(Transaksi!$D$2:$D$2001,K957)&amp;"","")</f>
        <v/>
      </c>
      <c r="E957" s="33">
        <f>IF(J957="H",SUMIFS(Transaksi!$G$2:$G$2001,Transaksi!$M$2:$M$2001,"="&amp;S957)+SUMIFS(Transaksi!$H$2:$H$2001,Transaksi!$M$2:$M$2001,"="&amp;S957)+SUMIFS(Transaksi!$I$2:$I$2001,Transaksi!$M$2:$M$2001,"="&amp;S957),IF(J957="E",IF(INDEX(Transaksi!$G$2:$G$2001,K957)+INDEX(Transaksi!$H$2:$H$2001,K957)+INDEX(Transaksi!$I$2:$I$2001,K957)=0,"",INDEX(Transaksi!$G$2:$G$2001,K957)+INDEX(Transaksi!$H$2:$H$2001,K957)+INDEX(Transaksi!$I$2:$I$2001,K957)),""))</f>
        <v/>
      </c>
      <c r="F957" s="33">
        <f>IF(J957="H",SUMIFS(Transaksi!$J$2:$J$2001,Transaksi!$M$2:$M$2001,"="&amp;S957),IF(J957="E",IF(INDEX(Transaksi!$J$2:$J$2001,K957)=0,"",INDEX(Transaksi!$J$2:$J$2001,K957)),""))</f>
        <v/>
      </c>
      <c r="G957" s="33">
        <f>IF(J957="H",(SUMIFS(Transaksi!$G$2:$G$2001,Transaksi!$M$2:$M$2001,"&lt;="&amp;S957)+SUMIFS(Transaksi!$H$2:$H$2001,Transaksi!$M$2:$M$2001,"&lt;="&amp;S957)+SUMIFS(Transaksi!$I$2:$I$2001,Transaksi!$M$2:$M$2001,"&lt;="&amp;S957))-(SUMIFS(Transaksi!$J$2:$J$2001,Transaksi!$M$2:$M$2001,"&lt;="&amp;S957)),"")</f>
        <v/>
      </c>
      <c r="I957">
        <f>IF(954&gt;$O$2,"",MATCH(954,$Q$3:$Q$402,1))</f>
        <v/>
      </c>
      <c r="J957">
        <f>IF(I957="","",IF(954=INDEX($Q$3:$Q$402,I957),"H","E"))</f>
        <v/>
      </c>
      <c r="K957">
        <f>IF(J957&lt;&gt;"E","",MATCH(S957,Transaksi!$M$2:$M$2001,0)+954-INDEX($Q$3:$Q$402,I957)-1)</f>
        <v/>
      </c>
      <c r="S957">
        <f>IF(I957="","",INDEX($O$3:$O$402,I957))</f>
        <v/>
      </c>
      <c r="T957">
        <f>IF(J957&lt;&gt;"H","",INDEX(Transaksi!$A$2:$A$2001,MATCH(S957,Transaksi!$M$2:$M$2001,0)))</f>
        <v/>
      </c>
    </row>
    <row r="958">
      <c r="A958" s="31">
        <f>IF(J958="E",IF(INDEX(Transaksi!$J$2:$J$2001,K958)&gt;0,"↑","↓"),"")</f>
        <v/>
      </c>
      <c r="B958" s="32">
        <f>IF(J958="H",CHOOSE(WEEKDAY(T958,2),"Isnin","Selasa","Rabu","Khamis","Jumaat","Sabtu","Ahad")&amp;", "&amp;DAY(T958)&amp;" "&amp;CHOOSE(MONTH(T958),"Jan","Feb","Mac","Apr","Mei","Jun","Jul","Ogo","Sep","Okt","Nov","Dis")&amp;" "&amp;YEAR(T958),IF(J958="E",IF(INDEX(Transaksi!$B$2:$B$2001,K958)="",INDEX(Transaksi!$C$2:$C$2001,K958)&amp;" · "&amp;INDEX(Transaksi!$D$2:$D$2001,K958),INDEX(Transaksi!$B$2:$B$2001,K958)),""))</f>
        <v/>
      </c>
      <c r="C958" s="32">
        <f>IF(J958="E",INDEX(Transaksi!$C$2:$C$2001,K958)&amp;"","")</f>
        <v/>
      </c>
      <c r="D958" s="32">
        <f>IF(J958="E",INDEX(Transaksi!$D$2:$D$2001,K958)&amp;"","")</f>
        <v/>
      </c>
      <c r="E958" s="33">
        <f>IF(J958="H",SUMIFS(Transaksi!$G$2:$G$2001,Transaksi!$M$2:$M$2001,"="&amp;S958)+SUMIFS(Transaksi!$H$2:$H$2001,Transaksi!$M$2:$M$2001,"="&amp;S958)+SUMIFS(Transaksi!$I$2:$I$2001,Transaksi!$M$2:$M$2001,"="&amp;S958),IF(J958="E",IF(INDEX(Transaksi!$G$2:$G$2001,K958)+INDEX(Transaksi!$H$2:$H$2001,K958)+INDEX(Transaksi!$I$2:$I$2001,K958)=0,"",INDEX(Transaksi!$G$2:$G$2001,K958)+INDEX(Transaksi!$H$2:$H$2001,K958)+INDEX(Transaksi!$I$2:$I$2001,K958)),""))</f>
        <v/>
      </c>
      <c r="F958" s="33">
        <f>IF(J958="H",SUMIFS(Transaksi!$J$2:$J$2001,Transaksi!$M$2:$M$2001,"="&amp;S958),IF(J958="E",IF(INDEX(Transaksi!$J$2:$J$2001,K958)=0,"",INDEX(Transaksi!$J$2:$J$2001,K958)),""))</f>
        <v/>
      </c>
      <c r="G958" s="33">
        <f>IF(J958="H",(SUMIFS(Transaksi!$G$2:$G$2001,Transaksi!$M$2:$M$2001,"&lt;="&amp;S958)+SUMIFS(Transaksi!$H$2:$H$2001,Transaksi!$M$2:$M$2001,"&lt;="&amp;S958)+SUMIFS(Transaksi!$I$2:$I$2001,Transaksi!$M$2:$M$2001,"&lt;="&amp;S958))-(SUMIFS(Transaksi!$J$2:$J$2001,Transaksi!$M$2:$M$2001,"&lt;="&amp;S958)),"")</f>
        <v/>
      </c>
      <c r="I958">
        <f>IF(955&gt;$O$2,"",MATCH(955,$Q$3:$Q$402,1))</f>
        <v/>
      </c>
      <c r="J958">
        <f>IF(I958="","",IF(955=INDEX($Q$3:$Q$402,I958),"H","E"))</f>
        <v/>
      </c>
      <c r="K958">
        <f>IF(J958&lt;&gt;"E","",MATCH(S958,Transaksi!$M$2:$M$2001,0)+955-INDEX($Q$3:$Q$402,I958)-1)</f>
        <v/>
      </c>
      <c r="S958">
        <f>IF(I958="","",INDEX($O$3:$O$402,I958))</f>
        <v/>
      </c>
      <c r="T958">
        <f>IF(J958&lt;&gt;"H","",INDEX(Transaksi!$A$2:$A$2001,MATCH(S958,Transaksi!$M$2:$M$2001,0)))</f>
        <v/>
      </c>
    </row>
    <row r="959">
      <c r="A959" s="31">
        <f>IF(J959="E",IF(INDEX(Transaksi!$J$2:$J$2001,K959)&gt;0,"↑","↓"),"")</f>
        <v/>
      </c>
      <c r="B959" s="32">
        <f>IF(J959="H",CHOOSE(WEEKDAY(T959,2),"Isnin","Selasa","Rabu","Khamis","Jumaat","Sabtu","Ahad")&amp;", "&amp;DAY(T959)&amp;" "&amp;CHOOSE(MONTH(T959),"Jan","Feb","Mac","Apr","Mei","Jun","Jul","Ogo","Sep","Okt","Nov","Dis")&amp;" "&amp;YEAR(T959),IF(J959="E",IF(INDEX(Transaksi!$B$2:$B$2001,K959)="",INDEX(Transaksi!$C$2:$C$2001,K959)&amp;" · "&amp;INDEX(Transaksi!$D$2:$D$2001,K959),INDEX(Transaksi!$B$2:$B$2001,K959)),""))</f>
        <v/>
      </c>
      <c r="C959" s="32">
        <f>IF(J959="E",INDEX(Transaksi!$C$2:$C$2001,K959)&amp;"","")</f>
        <v/>
      </c>
      <c r="D959" s="32">
        <f>IF(J959="E",INDEX(Transaksi!$D$2:$D$2001,K959)&amp;"","")</f>
        <v/>
      </c>
      <c r="E959" s="33">
        <f>IF(J959="H",SUMIFS(Transaksi!$G$2:$G$2001,Transaksi!$M$2:$M$2001,"="&amp;S959)+SUMIFS(Transaksi!$H$2:$H$2001,Transaksi!$M$2:$M$2001,"="&amp;S959)+SUMIFS(Transaksi!$I$2:$I$2001,Transaksi!$M$2:$M$2001,"="&amp;S959),IF(J959="E",IF(INDEX(Transaksi!$G$2:$G$2001,K959)+INDEX(Transaksi!$H$2:$H$2001,K959)+INDEX(Transaksi!$I$2:$I$2001,K959)=0,"",INDEX(Transaksi!$G$2:$G$2001,K959)+INDEX(Transaksi!$H$2:$H$2001,K959)+INDEX(Transaksi!$I$2:$I$2001,K959)),""))</f>
        <v/>
      </c>
      <c r="F959" s="33">
        <f>IF(J959="H",SUMIFS(Transaksi!$J$2:$J$2001,Transaksi!$M$2:$M$2001,"="&amp;S959),IF(J959="E",IF(INDEX(Transaksi!$J$2:$J$2001,K959)=0,"",INDEX(Transaksi!$J$2:$J$2001,K959)),""))</f>
        <v/>
      </c>
      <c r="G959" s="33">
        <f>IF(J959="H",(SUMIFS(Transaksi!$G$2:$G$2001,Transaksi!$M$2:$M$2001,"&lt;="&amp;S959)+SUMIFS(Transaksi!$H$2:$H$2001,Transaksi!$M$2:$M$2001,"&lt;="&amp;S959)+SUMIFS(Transaksi!$I$2:$I$2001,Transaksi!$M$2:$M$2001,"&lt;="&amp;S959))-(SUMIFS(Transaksi!$J$2:$J$2001,Transaksi!$M$2:$M$2001,"&lt;="&amp;S959)),"")</f>
        <v/>
      </c>
      <c r="I959">
        <f>IF(956&gt;$O$2,"",MATCH(956,$Q$3:$Q$402,1))</f>
        <v/>
      </c>
      <c r="J959">
        <f>IF(I959="","",IF(956=INDEX($Q$3:$Q$402,I959),"H","E"))</f>
        <v/>
      </c>
      <c r="K959">
        <f>IF(J959&lt;&gt;"E","",MATCH(S959,Transaksi!$M$2:$M$2001,0)+956-INDEX($Q$3:$Q$402,I959)-1)</f>
        <v/>
      </c>
      <c r="S959">
        <f>IF(I959="","",INDEX($O$3:$O$402,I959))</f>
        <v/>
      </c>
      <c r="T959">
        <f>IF(J959&lt;&gt;"H","",INDEX(Transaksi!$A$2:$A$2001,MATCH(S959,Transaksi!$M$2:$M$2001,0)))</f>
        <v/>
      </c>
    </row>
    <row r="960">
      <c r="A960" s="31">
        <f>IF(J960="E",IF(INDEX(Transaksi!$J$2:$J$2001,K960)&gt;0,"↑","↓"),"")</f>
        <v/>
      </c>
      <c r="B960" s="32">
        <f>IF(J960="H",CHOOSE(WEEKDAY(T960,2),"Isnin","Selasa","Rabu","Khamis","Jumaat","Sabtu","Ahad")&amp;", "&amp;DAY(T960)&amp;" "&amp;CHOOSE(MONTH(T960),"Jan","Feb","Mac","Apr","Mei","Jun","Jul","Ogo","Sep","Okt","Nov","Dis")&amp;" "&amp;YEAR(T960),IF(J960="E",IF(INDEX(Transaksi!$B$2:$B$2001,K960)="",INDEX(Transaksi!$C$2:$C$2001,K960)&amp;" · "&amp;INDEX(Transaksi!$D$2:$D$2001,K960),INDEX(Transaksi!$B$2:$B$2001,K960)),""))</f>
        <v/>
      </c>
      <c r="C960" s="32">
        <f>IF(J960="E",INDEX(Transaksi!$C$2:$C$2001,K960)&amp;"","")</f>
        <v/>
      </c>
      <c r="D960" s="32">
        <f>IF(J960="E",INDEX(Transaksi!$D$2:$D$2001,K960)&amp;"","")</f>
        <v/>
      </c>
      <c r="E960" s="33">
        <f>IF(J960="H",SUMIFS(Transaksi!$G$2:$G$2001,Transaksi!$M$2:$M$2001,"="&amp;S960)+SUMIFS(Transaksi!$H$2:$H$2001,Transaksi!$M$2:$M$2001,"="&amp;S960)+SUMIFS(Transaksi!$I$2:$I$2001,Transaksi!$M$2:$M$2001,"="&amp;S960),IF(J960="E",IF(INDEX(Transaksi!$G$2:$G$2001,K960)+INDEX(Transaksi!$H$2:$H$2001,K960)+INDEX(Transaksi!$I$2:$I$2001,K960)=0,"",INDEX(Transaksi!$G$2:$G$2001,K960)+INDEX(Transaksi!$H$2:$H$2001,K960)+INDEX(Transaksi!$I$2:$I$2001,K960)),""))</f>
        <v/>
      </c>
      <c r="F960" s="33">
        <f>IF(J960="H",SUMIFS(Transaksi!$J$2:$J$2001,Transaksi!$M$2:$M$2001,"="&amp;S960),IF(J960="E",IF(INDEX(Transaksi!$J$2:$J$2001,K960)=0,"",INDEX(Transaksi!$J$2:$J$2001,K960)),""))</f>
        <v/>
      </c>
      <c r="G960" s="33">
        <f>IF(J960="H",(SUMIFS(Transaksi!$G$2:$G$2001,Transaksi!$M$2:$M$2001,"&lt;="&amp;S960)+SUMIFS(Transaksi!$H$2:$H$2001,Transaksi!$M$2:$M$2001,"&lt;="&amp;S960)+SUMIFS(Transaksi!$I$2:$I$2001,Transaksi!$M$2:$M$2001,"&lt;="&amp;S960))-(SUMIFS(Transaksi!$J$2:$J$2001,Transaksi!$M$2:$M$2001,"&lt;="&amp;S960)),"")</f>
        <v/>
      </c>
      <c r="I960">
        <f>IF(957&gt;$O$2,"",MATCH(957,$Q$3:$Q$402,1))</f>
        <v/>
      </c>
      <c r="J960">
        <f>IF(I960="","",IF(957=INDEX($Q$3:$Q$402,I960),"H","E"))</f>
        <v/>
      </c>
      <c r="K960">
        <f>IF(J960&lt;&gt;"E","",MATCH(S960,Transaksi!$M$2:$M$2001,0)+957-INDEX($Q$3:$Q$402,I960)-1)</f>
        <v/>
      </c>
      <c r="S960">
        <f>IF(I960="","",INDEX($O$3:$O$402,I960))</f>
        <v/>
      </c>
      <c r="T960">
        <f>IF(J960&lt;&gt;"H","",INDEX(Transaksi!$A$2:$A$2001,MATCH(S960,Transaksi!$M$2:$M$2001,0)))</f>
        <v/>
      </c>
    </row>
    <row r="961">
      <c r="A961" s="31">
        <f>IF(J961="E",IF(INDEX(Transaksi!$J$2:$J$2001,K961)&gt;0,"↑","↓"),"")</f>
        <v/>
      </c>
      <c r="B961" s="32">
        <f>IF(J961="H",CHOOSE(WEEKDAY(T961,2),"Isnin","Selasa","Rabu","Khamis","Jumaat","Sabtu","Ahad")&amp;", "&amp;DAY(T961)&amp;" "&amp;CHOOSE(MONTH(T961),"Jan","Feb","Mac","Apr","Mei","Jun","Jul","Ogo","Sep","Okt","Nov","Dis")&amp;" "&amp;YEAR(T961),IF(J961="E",IF(INDEX(Transaksi!$B$2:$B$2001,K961)="",INDEX(Transaksi!$C$2:$C$2001,K961)&amp;" · "&amp;INDEX(Transaksi!$D$2:$D$2001,K961),INDEX(Transaksi!$B$2:$B$2001,K961)),""))</f>
        <v/>
      </c>
      <c r="C961" s="32">
        <f>IF(J961="E",INDEX(Transaksi!$C$2:$C$2001,K961)&amp;"","")</f>
        <v/>
      </c>
      <c r="D961" s="32">
        <f>IF(J961="E",INDEX(Transaksi!$D$2:$D$2001,K961)&amp;"","")</f>
        <v/>
      </c>
      <c r="E961" s="33">
        <f>IF(J961="H",SUMIFS(Transaksi!$G$2:$G$2001,Transaksi!$M$2:$M$2001,"="&amp;S961)+SUMIFS(Transaksi!$H$2:$H$2001,Transaksi!$M$2:$M$2001,"="&amp;S961)+SUMIFS(Transaksi!$I$2:$I$2001,Transaksi!$M$2:$M$2001,"="&amp;S961),IF(J961="E",IF(INDEX(Transaksi!$G$2:$G$2001,K961)+INDEX(Transaksi!$H$2:$H$2001,K961)+INDEX(Transaksi!$I$2:$I$2001,K961)=0,"",INDEX(Transaksi!$G$2:$G$2001,K961)+INDEX(Transaksi!$H$2:$H$2001,K961)+INDEX(Transaksi!$I$2:$I$2001,K961)),""))</f>
        <v/>
      </c>
      <c r="F961" s="33">
        <f>IF(J961="H",SUMIFS(Transaksi!$J$2:$J$2001,Transaksi!$M$2:$M$2001,"="&amp;S961),IF(J961="E",IF(INDEX(Transaksi!$J$2:$J$2001,K961)=0,"",INDEX(Transaksi!$J$2:$J$2001,K961)),""))</f>
        <v/>
      </c>
      <c r="G961" s="33">
        <f>IF(J961="H",(SUMIFS(Transaksi!$G$2:$G$2001,Transaksi!$M$2:$M$2001,"&lt;="&amp;S961)+SUMIFS(Transaksi!$H$2:$H$2001,Transaksi!$M$2:$M$2001,"&lt;="&amp;S961)+SUMIFS(Transaksi!$I$2:$I$2001,Transaksi!$M$2:$M$2001,"&lt;="&amp;S961))-(SUMIFS(Transaksi!$J$2:$J$2001,Transaksi!$M$2:$M$2001,"&lt;="&amp;S961)),"")</f>
        <v/>
      </c>
      <c r="I961">
        <f>IF(958&gt;$O$2,"",MATCH(958,$Q$3:$Q$402,1))</f>
        <v/>
      </c>
      <c r="J961">
        <f>IF(I961="","",IF(958=INDEX($Q$3:$Q$402,I961),"H","E"))</f>
        <v/>
      </c>
      <c r="K961">
        <f>IF(J961&lt;&gt;"E","",MATCH(S961,Transaksi!$M$2:$M$2001,0)+958-INDEX($Q$3:$Q$402,I961)-1)</f>
        <v/>
      </c>
      <c r="S961">
        <f>IF(I961="","",INDEX($O$3:$O$402,I961))</f>
        <v/>
      </c>
      <c r="T961">
        <f>IF(J961&lt;&gt;"H","",INDEX(Transaksi!$A$2:$A$2001,MATCH(S961,Transaksi!$M$2:$M$2001,0)))</f>
        <v/>
      </c>
    </row>
    <row r="962">
      <c r="A962" s="31">
        <f>IF(J962="E",IF(INDEX(Transaksi!$J$2:$J$2001,K962)&gt;0,"↑","↓"),"")</f>
        <v/>
      </c>
      <c r="B962" s="32">
        <f>IF(J962="H",CHOOSE(WEEKDAY(T962,2),"Isnin","Selasa","Rabu","Khamis","Jumaat","Sabtu","Ahad")&amp;", "&amp;DAY(T962)&amp;" "&amp;CHOOSE(MONTH(T962),"Jan","Feb","Mac","Apr","Mei","Jun","Jul","Ogo","Sep","Okt","Nov","Dis")&amp;" "&amp;YEAR(T962),IF(J962="E",IF(INDEX(Transaksi!$B$2:$B$2001,K962)="",INDEX(Transaksi!$C$2:$C$2001,K962)&amp;" · "&amp;INDEX(Transaksi!$D$2:$D$2001,K962),INDEX(Transaksi!$B$2:$B$2001,K962)),""))</f>
        <v/>
      </c>
      <c r="C962" s="32">
        <f>IF(J962="E",INDEX(Transaksi!$C$2:$C$2001,K962)&amp;"","")</f>
        <v/>
      </c>
      <c r="D962" s="32">
        <f>IF(J962="E",INDEX(Transaksi!$D$2:$D$2001,K962)&amp;"","")</f>
        <v/>
      </c>
      <c r="E962" s="33">
        <f>IF(J962="H",SUMIFS(Transaksi!$G$2:$G$2001,Transaksi!$M$2:$M$2001,"="&amp;S962)+SUMIFS(Transaksi!$H$2:$H$2001,Transaksi!$M$2:$M$2001,"="&amp;S962)+SUMIFS(Transaksi!$I$2:$I$2001,Transaksi!$M$2:$M$2001,"="&amp;S962),IF(J962="E",IF(INDEX(Transaksi!$G$2:$G$2001,K962)+INDEX(Transaksi!$H$2:$H$2001,K962)+INDEX(Transaksi!$I$2:$I$2001,K962)=0,"",INDEX(Transaksi!$G$2:$G$2001,K962)+INDEX(Transaksi!$H$2:$H$2001,K962)+INDEX(Transaksi!$I$2:$I$2001,K962)),""))</f>
        <v/>
      </c>
      <c r="F962" s="33">
        <f>IF(J962="H",SUMIFS(Transaksi!$J$2:$J$2001,Transaksi!$M$2:$M$2001,"="&amp;S962),IF(J962="E",IF(INDEX(Transaksi!$J$2:$J$2001,K962)=0,"",INDEX(Transaksi!$J$2:$J$2001,K962)),""))</f>
        <v/>
      </c>
      <c r="G962" s="33">
        <f>IF(J962="H",(SUMIFS(Transaksi!$G$2:$G$2001,Transaksi!$M$2:$M$2001,"&lt;="&amp;S962)+SUMIFS(Transaksi!$H$2:$H$2001,Transaksi!$M$2:$M$2001,"&lt;="&amp;S962)+SUMIFS(Transaksi!$I$2:$I$2001,Transaksi!$M$2:$M$2001,"&lt;="&amp;S962))-(SUMIFS(Transaksi!$J$2:$J$2001,Transaksi!$M$2:$M$2001,"&lt;="&amp;S962)),"")</f>
        <v/>
      </c>
      <c r="I962">
        <f>IF(959&gt;$O$2,"",MATCH(959,$Q$3:$Q$402,1))</f>
        <v/>
      </c>
      <c r="J962">
        <f>IF(I962="","",IF(959=INDEX($Q$3:$Q$402,I962),"H","E"))</f>
        <v/>
      </c>
      <c r="K962">
        <f>IF(J962&lt;&gt;"E","",MATCH(S962,Transaksi!$M$2:$M$2001,0)+959-INDEX($Q$3:$Q$402,I962)-1)</f>
        <v/>
      </c>
      <c r="S962">
        <f>IF(I962="","",INDEX($O$3:$O$402,I962))</f>
        <v/>
      </c>
      <c r="T962">
        <f>IF(J962&lt;&gt;"H","",INDEX(Transaksi!$A$2:$A$2001,MATCH(S962,Transaksi!$M$2:$M$2001,0)))</f>
        <v/>
      </c>
    </row>
    <row r="963">
      <c r="A963" s="31">
        <f>IF(J963="E",IF(INDEX(Transaksi!$J$2:$J$2001,K963)&gt;0,"↑","↓"),"")</f>
        <v/>
      </c>
      <c r="B963" s="32">
        <f>IF(J963="H",CHOOSE(WEEKDAY(T963,2),"Isnin","Selasa","Rabu","Khamis","Jumaat","Sabtu","Ahad")&amp;", "&amp;DAY(T963)&amp;" "&amp;CHOOSE(MONTH(T963),"Jan","Feb","Mac","Apr","Mei","Jun","Jul","Ogo","Sep","Okt","Nov","Dis")&amp;" "&amp;YEAR(T963),IF(J963="E",IF(INDEX(Transaksi!$B$2:$B$2001,K963)="",INDEX(Transaksi!$C$2:$C$2001,K963)&amp;" · "&amp;INDEX(Transaksi!$D$2:$D$2001,K963),INDEX(Transaksi!$B$2:$B$2001,K963)),""))</f>
        <v/>
      </c>
      <c r="C963" s="32">
        <f>IF(J963="E",INDEX(Transaksi!$C$2:$C$2001,K963)&amp;"","")</f>
        <v/>
      </c>
      <c r="D963" s="32">
        <f>IF(J963="E",INDEX(Transaksi!$D$2:$D$2001,K963)&amp;"","")</f>
        <v/>
      </c>
      <c r="E963" s="33">
        <f>IF(J963="H",SUMIFS(Transaksi!$G$2:$G$2001,Transaksi!$M$2:$M$2001,"="&amp;S963)+SUMIFS(Transaksi!$H$2:$H$2001,Transaksi!$M$2:$M$2001,"="&amp;S963)+SUMIFS(Transaksi!$I$2:$I$2001,Transaksi!$M$2:$M$2001,"="&amp;S963),IF(J963="E",IF(INDEX(Transaksi!$G$2:$G$2001,K963)+INDEX(Transaksi!$H$2:$H$2001,K963)+INDEX(Transaksi!$I$2:$I$2001,K963)=0,"",INDEX(Transaksi!$G$2:$G$2001,K963)+INDEX(Transaksi!$H$2:$H$2001,K963)+INDEX(Transaksi!$I$2:$I$2001,K963)),""))</f>
        <v/>
      </c>
      <c r="F963" s="33">
        <f>IF(J963="H",SUMIFS(Transaksi!$J$2:$J$2001,Transaksi!$M$2:$M$2001,"="&amp;S963),IF(J963="E",IF(INDEX(Transaksi!$J$2:$J$2001,K963)=0,"",INDEX(Transaksi!$J$2:$J$2001,K963)),""))</f>
        <v/>
      </c>
      <c r="G963" s="33">
        <f>IF(J963="H",(SUMIFS(Transaksi!$G$2:$G$2001,Transaksi!$M$2:$M$2001,"&lt;="&amp;S963)+SUMIFS(Transaksi!$H$2:$H$2001,Transaksi!$M$2:$M$2001,"&lt;="&amp;S963)+SUMIFS(Transaksi!$I$2:$I$2001,Transaksi!$M$2:$M$2001,"&lt;="&amp;S963))-(SUMIFS(Transaksi!$J$2:$J$2001,Transaksi!$M$2:$M$2001,"&lt;="&amp;S963)),"")</f>
        <v/>
      </c>
      <c r="I963">
        <f>IF(960&gt;$O$2,"",MATCH(960,$Q$3:$Q$402,1))</f>
        <v/>
      </c>
      <c r="J963">
        <f>IF(I963="","",IF(960=INDEX($Q$3:$Q$402,I963),"H","E"))</f>
        <v/>
      </c>
      <c r="K963">
        <f>IF(J963&lt;&gt;"E","",MATCH(S963,Transaksi!$M$2:$M$2001,0)+960-INDEX($Q$3:$Q$402,I963)-1)</f>
        <v/>
      </c>
      <c r="S963">
        <f>IF(I963="","",INDEX($O$3:$O$402,I963))</f>
        <v/>
      </c>
      <c r="T963">
        <f>IF(J963&lt;&gt;"H","",INDEX(Transaksi!$A$2:$A$2001,MATCH(S963,Transaksi!$M$2:$M$2001,0)))</f>
        <v/>
      </c>
    </row>
    <row r="964">
      <c r="A964" s="31">
        <f>IF(J964="E",IF(INDEX(Transaksi!$J$2:$J$2001,K964)&gt;0,"↑","↓"),"")</f>
        <v/>
      </c>
      <c r="B964" s="32">
        <f>IF(J964="H",CHOOSE(WEEKDAY(T964,2),"Isnin","Selasa","Rabu","Khamis","Jumaat","Sabtu","Ahad")&amp;", "&amp;DAY(T964)&amp;" "&amp;CHOOSE(MONTH(T964),"Jan","Feb","Mac","Apr","Mei","Jun","Jul","Ogo","Sep","Okt","Nov","Dis")&amp;" "&amp;YEAR(T964),IF(J964="E",IF(INDEX(Transaksi!$B$2:$B$2001,K964)="",INDEX(Transaksi!$C$2:$C$2001,K964)&amp;" · "&amp;INDEX(Transaksi!$D$2:$D$2001,K964),INDEX(Transaksi!$B$2:$B$2001,K964)),""))</f>
        <v/>
      </c>
      <c r="C964" s="32">
        <f>IF(J964="E",INDEX(Transaksi!$C$2:$C$2001,K964)&amp;"","")</f>
        <v/>
      </c>
      <c r="D964" s="32">
        <f>IF(J964="E",INDEX(Transaksi!$D$2:$D$2001,K964)&amp;"","")</f>
        <v/>
      </c>
      <c r="E964" s="33">
        <f>IF(J964="H",SUMIFS(Transaksi!$G$2:$G$2001,Transaksi!$M$2:$M$2001,"="&amp;S964)+SUMIFS(Transaksi!$H$2:$H$2001,Transaksi!$M$2:$M$2001,"="&amp;S964)+SUMIFS(Transaksi!$I$2:$I$2001,Transaksi!$M$2:$M$2001,"="&amp;S964),IF(J964="E",IF(INDEX(Transaksi!$G$2:$G$2001,K964)+INDEX(Transaksi!$H$2:$H$2001,K964)+INDEX(Transaksi!$I$2:$I$2001,K964)=0,"",INDEX(Transaksi!$G$2:$G$2001,K964)+INDEX(Transaksi!$H$2:$H$2001,K964)+INDEX(Transaksi!$I$2:$I$2001,K964)),""))</f>
        <v/>
      </c>
      <c r="F964" s="33">
        <f>IF(J964="H",SUMIFS(Transaksi!$J$2:$J$2001,Transaksi!$M$2:$M$2001,"="&amp;S964),IF(J964="E",IF(INDEX(Transaksi!$J$2:$J$2001,K964)=0,"",INDEX(Transaksi!$J$2:$J$2001,K964)),""))</f>
        <v/>
      </c>
      <c r="G964" s="33">
        <f>IF(J964="H",(SUMIFS(Transaksi!$G$2:$G$2001,Transaksi!$M$2:$M$2001,"&lt;="&amp;S964)+SUMIFS(Transaksi!$H$2:$H$2001,Transaksi!$M$2:$M$2001,"&lt;="&amp;S964)+SUMIFS(Transaksi!$I$2:$I$2001,Transaksi!$M$2:$M$2001,"&lt;="&amp;S964))-(SUMIFS(Transaksi!$J$2:$J$2001,Transaksi!$M$2:$M$2001,"&lt;="&amp;S964)),"")</f>
        <v/>
      </c>
      <c r="I964">
        <f>IF(961&gt;$O$2,"",MATCH(961,$Q$3:$Q$402,1))</f>
        <v/>
      </c>
      <c r="J964">
        <f>IF(I964="","",IF(961=INDEX($Q$3:$Q$402,I964),"H","E"))</f>
        <v/>
      </c>
      <c r="K964">
        <f>IF(J964&lt;&gt;"E","",MATCH(S964,Transaksi!$M$2:$M$2001,0)+961-INDEX($Q$3:$Q$402,I964)-1)</f>
        <v/>
      </c>
      <c r="S964">
        <f>IF(I964="","",INDEX($O$3:$O$402,I964))</f>
        <v/>
      </c>
      <c r="T964">
        <f>IF(J964&lt;&gt;"H","",INDEX(Transaksi!$A$2:$A$2001,MATCH(S964,Transaksi!$M$2:$M$2001,0)))</f>
        <v/>
      </c>
    </row>
    <row r="965">
      <c r="A965" s="31">
        <f>IF(J965="E",IF(INDEX(Transaksi!$J$2:$J$2001,K965)&gt;0,"↑","↓"),"")</f>
        <v/>
      </c>
      <c r="B965" s="32">
        <f>IF(J965="H",CHOOSE(WEEKDAY(T965,2),"Isnin","Selasa","Rabu","Khamis","Jumaat","Sabtu","Ahad")&amp;", "&amp;DAY(T965)&amp;" "&amp;CHOOSE(MONTH(T965),"Jan","Feb","Mac","Apr","Mei","Jun","Jul","Ogo","Sep","Okt","Nov","Dis")&amp;" "&amp;YEAR(T965),IF(J965="E",IF(INDEX(Transaksi!$B$2:$B$2001,K965)="",INDEX(Transaksi!$C$2:$C$2001,K965)&amp;" · "&amp;INDEX(Transaksi!$D$2:$D$2001,K965),INDEX(Transaksi!$B$2:$B$2001,K965)),""))</f>
        <v/>
      </c>
      <c r="C965" s="32">
        <f>IF(J965="E",INDEX(Transaksi!$C$2:$C$2001,K965)&amp;"","")</f>
        <v/>
      </c>
      <c r="D965" s="32">
        <f>IF(J965="E",INDEX(Transaksi!$D$2:$D$2001,K965)&amp;"","")</f>
        <v/>
      </c>
      <c r="E965" s="33">
        <f>IF(J965="H",SUMIFS(Transaksi!$G$2:$G$2001,Transaksi!$M$2:$M$2001,"="&amp;S965)+SUMIFS(Transaksi!$H$2:$H$2001,Transaksi!$M$2:$M$2001,"="&amp;S965)+SUMIFS(Transaksi!$I$2:$I$2001,Transaksi!$M$2:$M$2001,"="&amp;S965),IF(J965="E",IF(INDEX(Transaksi!$G$2:$G$2001,K965)+INDEX(Transaksi!$H$2:$H$2001,K965)+INDEX(Transaksi!$I$2:$I$2001,K965)=0,"",INDEX(Transaksi!$G$2:$G$2001,K965)+INDEX(Transaksi!$H$2:$H$2001,K965)+INDEX(Transaksi!$I$2:$I$2001,K965)),""))</f>
        <v/>
      </c>
      <c r="F965" s="33">
        <f>IF(J965="H",SUMIFS(Transaksi!$J$2:$J$2001,Transaksi!$M$2:$M$2001,"="&amp;S965),IF(J965="E",IF(INDEX(Transaksi!$J$2:$J$2001,K965)=0,"",INDEX(Transaksi!$J$2:$J$2001,K965)),""))</f>
        <v/>
      </c>
      <c r="G965" s="33">
        <f>IF(J965="H",(SUMIFS(Transaksi!$G$2:$G$2001,Transaksi!$M$2:$M$2001,"&lt;="&amp;S965)+SUMIFS(Transaksi!$H$2:$H$2001,Transaksi!$M$2:$M$2001,"&lt;="&amp;S965)+SUMIFS(Transaksi!$I$2:$I$2001,Transaksi!$M$2:$M$2001,"&lt;="&amp;S965))-(SUMIFS(Transaksi!$J$2:$J$2001,Transaksi!$M$2:$M$2001,"&lt;="&amp;S965)),"")</f>
        <v/>
      </c>
      <c r="I965">
        <f>IF(962&gt;$O$2,"",MATCH(962,$Q$3:$Q$402,1))</f>
        <v/>
      </c>
      <c r="J965">
        <f>IF(I965="","",IF(962=INDEX($Q$3:$Q$402,I965),"H","E"))</f>
        <v/>
      </c>
      <c r="K965">
        <f>IF(J965&lt;&gt;"E","",MATCH(S965,Transaksi!$M$2:$M$2001,0)+962-INDEX($Q$3:$Q$402,I965)-1)</f>
        <v/>
      </c>
      <c r="S965">
        <f>IF(I965="","",INDEX($O$3:$O$402,I965))</f>
        <v/>
      </c>
      <c r="T965">
        <f>IF(J965&lt;&gt;"H","",INDEX(Transaksi!$A$2:$A$2001,MATCH(S965,Transaksi!$M$2:$M$2001,0)))</f>
        <v/>
      </c>
    </row>
    <row r="966">
      <c r="A966" s="31">
        <f>IF(J966="E",IF(INDEX(Transaksi!$J$2:$J$2001,K966)&gt;0,"↑","↓"),"")</f>
        <v/>
      </c>
      <c r="B966" s="32">
        <f>IF(J966="H",CHOOSE(WEEKDAY(T966,2),"Isnin","Selasa","Rabu","Khamis","Jumaat","Sabtu","Ahad")&amp;", "&amp;DAY(T966)&amp;" "&amp;CHOOSE(MONTH(T966),"Jan","Feb","Mac","Apr","Mei","Jun","Jul","Ogo","Sep","Okt","Nov","Dis")&amp;" "&amp;YEAR(T966),IF(J966="E",IF(INDEX(Transaksi!$B$2:$B$2001,K966)="",INDEX(Transaksi!$C$2:$C$2001,K966)&amp;" · "&amp;INDEX(Transaksi!$D$2:$D$2001,K966),INDEX(Transaksi!$B$2:$B$2001,K966)),""))</f>
        <v/>
      </c>
      <c r="C966" s="32">
        <f>IF(J966="E",INDEX(Transaksi!$C$2:$C$2001,K966)&amp;"","")</f>
        <v/>
      </c>
      <c r="D966" s="32">
        <f>IF(J966="E",INDEX(Transaksi!$D$2:$D$2001,K966)&amp;"","")</f>
        <v/>
      </c>
      <c r="E966" s="33">
        <f>IF(J966="H",SUMIFS(Transaksi!$G$2:$G$2001,Transaksi!$M$2:$M$2001,"="&amp;S966)+SUMIFS(Transaksi!$H$2:$H$2001,Transaksi!$M$2:$M$2001,"="&amp;S966)+SUMIFS(Transaksi!$I$2:$I$2001,Transaksi!$M$2:$M$2001,"="&amp;S966),IF(J966="E",IF(INDEX(Transaksi!$G$2:$G$2001,K966)+INDEX(Transaksi!$H$2:$H$2001,K966)+INDEX(Transaksi!$I$2:$I$2001,K966)=0,"",INDEX(Transaksi!$G$2:$G$2001,K966)+INDEX(Transaksi!$H$2:$H$2001,K966)+INDEX(Transaksi!$I$2:$I$2001,K966)),""))</f>
        <v/>
      </c>
      <c r="F966" s="33">
        <f>IF(J966="H",SUMIFS(Transaksi!$J$2:$J$2001,Transaksi!$M$2:$M$2001,"="&amp;S966),IF(J966="E",IF(INDEX(Transaksi!$J$2:$J$2001,K966)=0,"",INDEX(Transaksi!$J$2:$J$2001,K966)),""))</f>
        <v/>
      </c>
      <c r="G966" s="33">
        <f>IF(J966="H",(SUMIFS(Transaksi!$G$2:$G$2001,Transaksi!$M$2:$M$2001,"&lt;="&amp;S966)+SUMIFS(Transaksi!$H$2:$H$2001,Transaksi!$M$2:$M$2001,"&lt;="&amp;S966)+SUMIFS(Transaksi!$I$2:$I$2001,Transaksi!$M$2:$M$2001,"&lt;="&amp;S966))-(SUMIFS(Transaksi!$J$2:$J$2001,Transaksi!$M$2:$M$2001,"&lt;="&amp;S966)),"")</f>
        <v/>
      </c>
      <c r="I966">
        <f>IF(963&gt;$O$2,"",MATCH(963,$Q$3:$Q$402,1))</f>
        <v/>
      </c>
      <c r="J966">
        <f>IF(I966="","",IF(963=INDEX($Q$3:$Q$402,I966),"H","E"))</f>
        <v/>
      </c>
      <c r="K966">
        <f>IF(J966&lt;&gt;"E","",MATCH(S966,Transaksi!$M$2:$M$2001,0)+963-INDEX($Q$3:$Q$402,I966)-1)</f>
        <v/>
      </c>
      <c r="S966">
        <f>IF(I966="","",INDEX($O$3:$O$402,I966))</f>
        <v/>
      </c>
      <c r="T966">
        <f>IF(J966&lt;&gt;"H","",INDEX(Transaksi!$A$2:$A$2001,MATCH(S966,Transaksi!$M$2:$M$2001,0)))</f>
        <v/>
      </c>
    </row>
    <row r="967">
      <c r="A967" s="31">
        <f>IF(J967="E",IF(INDEX(Transaksi!$J$2:$J$2001,K967)&gt;0,"↑","↓"),"")</f>
        <v/>
      </c>
      <c r="B967" s="32">
        <f>IF(J967="H",CHOOSE(WEEKDAY(T967,2),"Isnin","Selasa","Rabu","Khamis","Jumaat","Sabtu","Ahad")&amp;", "&amp;DAY(T967)&amp;" "&amp;CHOOSE(MONTH(T967),"Jan","Feb","Mac","Apr","Mei","Jun","Jul","Ogo","Sep","Okt","Nov","Dis")&amp;" "&amp;YEAR(T967),IF(J967="E",IF(INDEX(Transaksi!$B$2:$B$2001,K967)="",INDEX(Transaksi!$C$2:$C$2001,K967)&amp;" · "&amp;INDEX(Transaksi!$D$2:$D$2001,K967),INDEX(Transaksi!$B$2:$B$2001,K967)),""))</f>
        <v/>
      </c>
      <c r="C967" s="32">
        <f>IF(J967="E",INDEX(Transaksi!$C$2:$C$2001,K967)&amp;"","")</f>
        <v/>
      </c>
      <c r="D967" s="32">
        <f>IF(J967="E",INDEX(Transaksi!$D$2:$D$2001,K967)&amp;"","")</f>
        <v/>
      </c>
      <c r="E967" s="33">
        <f>IF(J967="H",SUMIFS(Transaksi!$G$2:$G$2001,Transaksi!$M$2:$M$2001,"="&amp;S967)+SUMIFS(Transaksi!$H$2:$H$2001,Transaksi!$M$2:$M$2001,"="&amp;S967)+SUMIFS(Transaksi!$I$2:$I$2001,Transaksi!$M$2:$M$2001,"="&amp;S967),IF(J967="E",IF(INDEX(Transaksi!$G$2:$G$2001,K967)+INDEX(Transaksi!$H$2:$H$2001,K967)+INDEX(Transaksi!$I$2:$I$2001,K967)=0,"",INDEX(Transaksi!$G$2:$G$2001,K967)+INDEX(Transaksi!$H$2:$H$2001,K967)+INDEX(Transaksi!$I$2:$I$2001,K967)),""))</f>
        <v/>
      </c>
      <c r="F967" s="33">
        <f>IF(J967="H",SUMIFS(Transaksi!$J$2:$J$2001,Transaksi!$M$2:$M$2001,"="&amp;S967),IF(J967="E",IF(INDEX(Transaksi!$J$2:$J$2001,K967)=0,"",INDEX(Transaksi!$J$2:$J$2001,K967)),""))</f>
        <v/>
      </c>
      <c r="G967" s="33">
        <f>IF(J967="H",(SUMIFS(Transaksi!$G$2:$G$2001,Transaksi!$M$2:$M$2001,"&lt;="&amp;S967)+SUMIFS(Transaksi!$H$2:$H$2001,Transaksi!$M$2:$M$2001,"&lt;="&amp;S967)+SUMIFS(Transaksi!$I$2:$I$2001,Transaksi!$M$2:$M$2001,"&lt;="&amp;S967))-(SUMIFS(Transaksi!$J$2:$J$2001,Transaksi!$M$2:$M$2001,"&lt;="&amp;S967)),"")</f>
        <v/>
      </c>
      <c r="I967">
        <f>IF(964&gt;$O$2,"",MATCH(964,$Q$3:$Q$402,1))</f>
        <v/>
      </c>
      <c r="J967">
        <f>IF(I967="","",IF(964=INDEX($Q$3:$Q$402,I967),"H","E"))</f>
        <v/>
      </c>
      <c r="K967">
        <f>IF(J967&lt;&gt;"E","",MATCH(S967,Transaksi!$M$2:$M$2001,0)+964-INDEX($Q$3:$Q$402,I967)-1)</f>
        <v/>
      </c>
      <c r="S967">
        <f>IF(I967="","",INDEX($O$3:$O$402,I967))</f>
        <v/>
      </c>
      <c r="T967">
        <f>IF(J967&lt;&gt;"H","",INDEX(Transaksi!$A$2:$A$2001,MATCH(S967,Transaksi!$M$2:$M$2001,0)))</f>
        <v/>
      </c>
    </row>
    <row r="968">
      <c r="A968" s="31">
        <f>IF(J968="E",IF(INDEX(Transaksi!$J$2:$J$2001,K968)&gt;0,"↑","↓"),"")</f>
        <v/>
      </c>
      <c r="B968" s="32">
        <f>IF(J968="H",CHOOSE(WEEKDAY(T968,2),"Isnin","Selasa","Rabu","Khamis","Jumaat","Sabtu","Ahad")&amp;", "&amp;DAY(T968)&amp;" "&amp;CHOOSE(MONTH(T968),"Jan","Feb","Mac","Apr","Mei","Jun","Jul","Ogo","Sep","Okt","Nov","Dis")&amp;" "&amp;YEAR(T968),IF(J968="E",IF(INDEX(Transaksi!$B$2:$B$2001,K968)="",INDEX(Transaksi!$C$2:$C$2001,K968)&amp;" · "&amp;INDEX(Transaksi!$D$2:$D$2001,K968),INDEX(Transaksi!$B$2:$B$2001,K968)),""))</f>
        <v/>
      </c>
      <c r="C968" s="32">
        <f>IF(J968="E",INDEX(Transaksi!$C$2:$C$2001,K968)&amp;"","")</f>
        <v/>
      </c>
      <c r="D968" s="32">
        <f>IF(J968="E",INDEX(Transaksi!$D$2:$D$2001,K968)&amp;"","")</f>
        <v/>
      </c>
      <c r="E968" s="33">
        <f>IF(J968="H",SUMIFS(Transaksi!$G$2:$G$2001,Transaksi!$M$2:$M$2001,"="&amp;S968)+SUMIFS(Transaksi!$H$2:$H$2001,Transaksi!$M$2:$M$2001,"="&amp;S968)+SUMIFS(Transaksi!$I$2:$I$2001,Transaksi!$M$2:$M$2001,"="&amp;S968),IF(J968="E",IF(INDEX(Transaksi!$G$2:$G$2001,K968)+INDEX(Transaksi!$H$2:$H$2001,K968)+INDEX(Transaksi!$I$2:$I$2001,K968)=0,"",INDEX(Transaksi!$G$2:$G$2001,K968)+INDEX(Transaksi!$H$2:$H$2001,K968)+INDEX(Transaksi!$I$2:$I$2001,K968)),""))</f>
        <v/>
      </c>
      <c r="F968" s="33">
        <f>IF(J968="H",SUMIFS(Transaksi!$J$2:$J$2001,Transaksi!$M$2:$M$2001,"="&amp;S968),IF(J968="E",IF(INDEX(Transaksi!$J$2:$J$2001,K968)=0,"",INDEX(Transaksi!$J$2:$J$2001,K968)),""))</f>
        <v/>
      </c>
      <c r="G968" s="33">
        <f>IF(J968="H",(SUMIFS(Transaksi!$G$2:$G$2001,Transaksi!$M$2:$M$2001,"&lt;="&amp;S968)+SUMIFS(Transaksi!$H$2:$H$2001,Transaksi!$M$2:$M$2001,"&lt;="&amp;S968)+SUMIFS(Transaksi!$I$2:$I$2001,Transaksi!$M$2:$M$2001,"&lt;="&amp;S968))-(SUMIFS(Transaksi!$J$2:$J$2001,Transaksi!$M$2:$M$2001,"&lt;="&amp;S968)),"")</f>
        <v/>
      </c>
      <c r="I968">
        <f>IF(965&gt;$O$2,"",MATCH(965,$Q$3:$Q$402,1))</f>
        <v/>
      </c>
      <c r="J968">
        <f>IF(I968="","",IF(965=INDEX($Q$3:$Q$402,I968),"H","E"))</f>
        <v/>
      </c>
      <c r="K968">
        <f>IF(J968&lt;&gt;"E","",MATCH(S968,Transaksi!$M$2:$M$2001,0)+965-INDEX($Q$3:$Q$402,I968)-1)</f>
        <v/>
      </c>
      <c r="S968">
        <f>IF(I968="","",INDEX($O$3:$O$402,I968))</f>
        <v/>
      </c>
      <c r="T968">
        <f>IF(J968&lt;&gt;"H","",INDEX(Transaksi!$A$2:$A$2001,MATCH(S968,Transaksi!$M$2:$M$2001,0)))</f>
        <v/>
      </c>
    </row>
    <row r="969">
      <c r="A969" s="31">
        <f>IF(J969="E",IF(INDEX(Transaksi!$J$2:$J$2001,K969)&gt;0,"↑","↓"),"")</f>
        <v/>
      </c>
      <c r="B969" s="32">
        <f>IF(J969="H",CHOOSE(WEEKDAY(T969,2),"Isnin","Selasa","Rabu","Khamis","Jumaat","Sabtu","Ahad")&amp;", "&amp;DAY(T969)&amp;" "&amp;CHOOSE(MONTH(T969),"Jan","Feb","Mac","Apr","Mei","Jun","Jul","Ogo","Sep","Okt","Nov","Dis")&amp;" "&amp;YEAR(T969),IF(J969="E",IF(INDEX(Transaksi!$B$2:$B$2001,K969)="",INDEX(Transaksi!$C$2:$C$2001,K969)&amp;" · "&amp;INDEX(Transaksi!$D$2:$D$2001,K969),INDEX(Transaksi!$B$2:$B$2001,K969)),""))</f>
        <v/>
      </c>
      <c r="C969" s="32">
        <f>IF(J969="E",INDEX(Transaksi!$C$2:$C$2001,K969)&amp;"","")</f>
        <v/>
      </c>
      <c r="D969" s="32">
        <f>IF(J969="E",INDEX(Transaksi!$D$2:$D$2001,K969)&amp;"","")</f>
        <v/>
      </c>
      <c r="E969" s="33">
        <f>IF(J969="H",SUMIFS(Transaksi!$G$2:$G$2001,Transaksi!$M$2:$M$2001,"="&amp;S969)+SUMIFS(Transaksi!$H$2:$H$2001,Transaksi!$M$2:$M$2001,"="&amp;S969)+SUMIFS(Transaksi!$I$2:$I$2001,Transaksi!$M$2:$M$2001,"="&amp;S969),IF(J969="E",IF(INDEX(Transaksi!$G$2:$G$2001,K969)+INDEX(Transaksi!$H$2:$H$2001,K969)+INDEX(Transaksi!$I$2:$I$2001,K969)=0,"",INDEX(Transaksi!$G$2:$G$2001,K969)+INDEX(Transaksi!$H$2:$H$2001,K969)+INDEX(Transaksi!$I$2:$I$2001,K969)),""))</f>
        <v/>
      </c>
      <c r="F969" s="33">
        <f>IF(J969="H",SUMIFS(Transaksi!$J$2:$J$2001,Transaksi!$M$2:$M$2001,"="&amp;S969),IF(J969="E",IF(INDEX(Transaksi!$J$2:$J$2001,K969)=0,"",INDEX(Transaksi!$J$2:$J$2001,K969)),""))</f>
        <v/>
      </c>
      <c r="G969" s="33">
        <f>IF(J969="H",(SUMIFS(Transaksi!$G$2:$G$2001,Transaksi!$M$2:$M$2001,"&lt;="&amp;S969)+SUMIFS(Transaksi!$H$2:$H$2001,Transaksi!$M$2:$M$2001,"&lt;="&amp;S969)+SUMIFS(Transaksi!$I$2:$I$2001,Transaksi!$M$2:$M$2001,"&lt;="&amp;S969))-(SUMIFS(Transaksi!$J$2:$J$2001,Transaksi!$M$2:$M$2001,"&lt;="&amp;S969)),"")</f>
        <v/>
      </c>
      <c r="I969">
        <f>IF(966&gt;$O$2,"",MATCH(966,$Q$3:$Q$402,1))</f>
        <v/>
      </c>
      <c r="J969">
        <f>IF(I969="","",IF(966=INDEX($Q$3:$Q$402,I969),"H","E"))</f>
        <v/>
      </c>
      <c r="K969">
        <f>IF(J969&lt;&gt;"E","",MATCH(S969,Transaksi!$M$2:$M$2001,0)+966-INDEX($Q$3:$Q$402,I969)-1)</f>
        <v/>
      </c>
      <c r="S969">
        <f>IF(I969="","",INDEX($O$3:$O$402,I969))</f>
        <v/>
      </c>
      <c r="T969">
        <f>IF(J969&lt;&gt;"H","",INDEX(Transaksi!$A$2:$A$2001,MATCH(S969,Transaksi!$M$2:$M$2001,0)))</f>
        <v/>
      </c>
    </row>
    <row r="970">
      <c r="A970" s="31">
        <f>IF(J970="E",IF(INDEX(Transaksi!$J$2:$J$2001,K970)&gt;0,"↑","↓"),"")</f>
        <v/>
      </c>
      <c r="B970" s="32">
        <f>IF(J970="H",CHOOSE(WEEKDAY(T970,2),"Isnin","Selasa","Rabu","Khamis","Jumaat","Sabtu","Ahad")&amp;", "&amp;DAY(T970)&amp;" "&amp;CHOOSE(MONTH(T970),"Jan","Feb","Mac","Apr","Mei","Jun","Jul","Ogo","Sep","Okt","Nov","Dis")&amp;" "&amp;YEAR(T970),IF(J970="E",IF(INDEX(Transaksi!$B$2:$B$2001,K970)="",INDEX(Transaksi!$C$2:$C$2001,K970)&amp;" · "&amp;INDEX(Transaksi!$D$2:$D$2001,K970),INDEX(Transaksi!$B$2:$B$2001,K970)),""))</f>
        <v/>
      </c>
      <c r="C970" s="32">
        <f>IF(J970="E",INDEX(Transaksi!$C$2:$C$2001,K970)&amp;"","")</f>
        <v/>
      </c>
      <c r="D970" s="32">
        <f>IF(J970="E",INDEX(Transaksi!$D$2:$D$2001,K970)&amp;"","")</f>
        <v/>
      </c>
      <c r="E970" s="33">
        <f>IF(J970="H",SUMIFS(Transaksi!$G$2:$G$2001,Transaksi!$M$2:$M$2001,"="&amp;S970)+SUMIFS(Transaksi!$H$2:$H$2001,Transaksi!$M$2:$M$2001,"="&amp;S970)+SUMIFS(Transaksi!$I$2:$I$2001,Transaksi!$M$2:$M$2001,"="&amp;S970),IF(J970="E",IF(INDEX(Transaksi!$G$2:$G$2001,K970)+INDEX(Transaksi!$H$2:$H$2001,K970)+INDEX(Transaksi!$I$2:$I$2001,K970)=0,"",INDEX(Transaksi!$G$2:$G$2001,K970)+INDEX(Transaksi!$H$2:$H$2001,K970)+INDEX(Transaksi!$I$2:$I$2001,K970)),""))</f>
        <v/>
      </c>
      <c r="F970" s="33">
        <f>IF(J970="H",SUMIFS(Transaksi!$J$2:$J$2001,Transaksi!$M$2:$M$2001,"="&amp;S970),IF(J970="E",IF(INDEX(Transaksi!$J$2:$J$2001,K970)=0,"",INDEX(Transaksi!$J$2:$J$2001,K970)),""))</f>
        <v/>
      </c>
      <c r="G970" s="33">
        <f>IF(J970="H",(SUMIFS(Transaksi!$G$2:$G$2001,Transaksi!$M$2:$M$2001,"&lt;="&amp;S970)+SUMIFS(Transaksi!$H$2:$H$2001,Transaksi!$M$2:$M$2001,"&lt;="&amp;S970)+SUMIFS(Transaksi!$I$2:$I$2001,Transaksi!$M$2:$M$2001,"&lt;="&amp;S970))-(SUMIFS(Transaksi!$J$2:$J$2001,Transaksi!$M$2:$M$2001,"&lt;="&amp;S970)),"")</f>
        <v/>
      </c>
      <c r="I970">
        <f>IF(967&gt;$O$2,"",MATCH(967,$Q$3:$Q$402,1))</f>
        <v/>
      </c>
      <c r="J970">
        <f>IF(I970="","",IF(967=INDEX($Q$3:$Q$402,I970),"H","E"))</f>
        <v/>
      </c>
      <c r="K970">
        <f>IF(J970&lt;&gt;"E","",MATCH(S970,Transaksi!$M$2:$M$2001,0)+967-INDEX($Q$3:$Q$402,I970)-1)</f>
        <v/>
      </c>
      <c r="S970">
        <f>IF(I970="","",INDEX($O$3:$O$402,I970))</f>
        <v/>
      </c>
      <c r="T970">
        <f>IF(J970&lt;&gt;"H","",INDEX(Transaksi!$A$2:$A$2001,MATCH(S970,Transaksi!$M$2:$M$2001,0)))</f>
        <v/>
      </c>
    </row>
    <row r="971">
      <c r="A971" s="31">
        <f>IF(J971="E",IF(INDEX(Transaksi!$J$2:$J$2001,K971)&gt;0,"↑","↓"),"")</f>
        <v/>
      </c>
      <c r="B971" s="32">
        <f>IF(J971="H",CHOOSE(WEEKDAY(T971,2),"Isnin","Selasa","Rabu","Khamis","Jumaat","Sabtu","Ahad")&amp;", "&amp;DAY(T971)&amp;" "&amp;CHOOSE(MONTH(T971),"Jan","Feb","Mac","Apr","Mei","Jun","Jul","Ogo","Sep","Okt","Nov","Dis")&amp;" "&amp;YEAR(T971),IF(J971="E",IF(INDEX(Transaksi!$B$2:$B$2001,K971)="",INDEX(Transaksi!$C$2:$C$2001,K971)&amp;" · "&amp;INDEX(Transaksi!$D$2:$D$2001,K971),INDEX(Transaksi!$B$2:$B$2001,K971)),""))</f>
        <v/>
      </c>
      <c r="C971" s="32">
        <f>IF(J971="E",INDEX(Transaksi!$C$2:$C$2001,K971)&amp;"","")</f>
        <v/>
      </c>
      <c r="D971" s="32">
        <f>IF(J971="E",INDEX(Transaksi!$D$2:$D$2001,K971)&amp;"","")</f>
        <v/>
      </c>
      <c r="E971" s="33">
        <f>IF(J971="H",SUMIFS(Transaksi!$G$2:$G$2001,Transaksi!$M$2:$M$2001,"="&amp;S971)+SUMIFS(Transaksi!$H$2:$H$2001,Transaksi!$M$2:$M$2001,"="&amp;S971)+SUMIFS(Transaksi!$I$2:$I$2001,Transaksi!$M$2:$M$2001,"="&amp;S971),IF(J971="E",IF(INDEX(Transaksi!$G$2:$G$2001,K971)+INDEX(Transaksi!$H$2:$H$2001,K971)+INDEX(Transaksi!$I$2:$I$2001,K971)=0,"",INDEX(Transaksi!$G$2:$G$2001,K971)+INDEX(Transaksi!$H$2:$H$2001,K971)+INDEX(Transaksi!$I$2:$I$2001,K971)),""))</f>
        <v/>
      </c>
      <c r="F971" s="33">
        <f>IF(J971="H",SUMIFS(Transaksi!$J$2:$J$2001,Transaksi!$M$2:$M$2001,"="&amp;S971),IF(J971="E",IF(INDEX(Transaksi!$J$2:$J$2001,K971)=0,"",INDEX(Transaksi!$J$2:$J$2001,K971)),""))</f>
        <v/>
      </c>
      <c r="G971" s="33">
        <f>IF(J971="H",(SUMIFS(Transaksi!$G$2:$G$2001,Transaksi!$M$2:$M$2001,"&lt;="&amp;S971)+SUMIFS(Transaksi!$H$2:$H$2001,Transaksi!$M$2:$M$2001,"&lt;="&amp;S971)+SUMIFS(Transaksi!$I$2:$I$2001,Transaksi!$M$2:$M$2001,"&lt;="&amp;S971))-(SUMIFS(Transaksi!$J$2:$J$2001,Transaksi!$M$2:$M$2001,"&lt;="&amp;S971)),"")</f>
        <v/>
      </c>
      <c r="I971">
        <f>IF(968&gt;$O$2,"",MATCH(968,$Q$3:$Q$402,1))</f>
        <v/>
      </c>
      <c r="J971">
        <f>IF(I971="","",IF(968=INDEX($Q$3:$Q$402,I971),"H","E"))</f>
        <v/>
      </c>
      <c r="K971">
        <f>IF(J971&lt;&gt;"E","",MATCH(S971,Transaksi!$M$2:$M$2001,0)+968-INDEX($Q$3:$Q$402,I971)-1)</f>
        <v/>
      </c>
      <c r="S971">
        <f>IF(I971="","",INDEX($O$3:$O$402,I971))</f>
        <v/>
      </c>
      <c r="T971">
        <f>IF(J971&lt;&gt;"H","",INDEX(Transaksi!$A$2:$A$2001,MATCH(S971,Transaksi!$M$2:$M$2001,0)))</f>
        <v/>
      </c>
    </row>
    <row r="972">
      <c r="A972" s="31">
        <f>IF(J972="E",IF(INDEX(Transaksi!$J$2:$J$2001,K972)&gt;0,"↑","↓"),"")</f>
        <v/>
      </c>
      <c r="B972" s="32">
        <f>IF(J972="H",CHOOSE(WEEKDAY(T972,2),"Isnin","Selasa","Rabu","Khamis","Jumaat","Sabtu","Ahad")&amp;", "&amp;DAY(T972)&amp;" "&amp;CHOOSE(MONTH(T972),"Jan","Feb","Mac","Apr","Mei","Jun","Jul","Ogo","Sep","Okt","Nov","Dis")&amp;" "&amp;YEAR(T972),IF(J972="E",IF(INDEX(Transaksi!$B$2:$B$2001,K972)="",INDEX(Transaksi!$C$2:$C$2001,K972)&amp;" · "&amp;INDEX(Transaksi!$D$2:$D$2001,K972),INDEX(Transaksi!$B$2:$B$2001,K972)),""))</f>
        <v/>
      </c>
      <c r="C972" s="32">
        <f>IF(J972="E",INDEX(Transaksi!$C$2:$C$2001,K972)&amp;"","")</f>
        <v/>
      </c>
      <c r="D972" s="32">
        <f>IF(J972="E",INDEX(Transaksi!$D$2:$D$2001,K972)&amp;"","")</f>
        <v/>
      </c>
      <c r="E972" s="33">
        <f>IF(J972="H",SUMIFS(Transaksi!$G$2:$G$2001,Transaksi!$M$2:$M$2001,"="&amp;S972)+SUMIFS(Transaksi!$H$2:$H$2001,Transaksi!$M$2:$M$2001,"="&amp;S972)+SUMIFS(Transaksi!$I$2:$I$2001,Transaksi!$M$2:$M$2001,"="&amp;S972),IF(J972="E",IF(INDEX(Transaksi!$G$2:$G$2001,K972)+INDEX(Transaksi!$H$2:$H$2001,K972)+INDEX(Transaksi!$I$2:$I$2001,K972)=0,"",INDEX(Transaksi!$G$2:$G$2001,K972)+INDEX(Transaksi!$H$2:$H$2001,K972)+INDEX(Transaksi!$I$2:$I$2001,K972)),""))</f>
        <v/>
      </c>
      <c r="F972" s="33">
        <f>IF(J972="H",SUMIFS(Transaksi!$J$2:$J$2001,Transaksi!$M$2:$M$2001,"="&amp;S972),IF(J972="E",IF(INDEX(Transaksi!$J$2:$J$2001,K972)=0,"",INDEX(Transaksi!$J$2:$J$2001,K972)),""))</f>
        <v/>
      </c>
      <c r="G972" s="33">
        <f>IF(J972="H",(SUMIFS(Transaksi!$G$2:$G$2001,Transaksi!$M$2:$M$2001,"&lt;="&amp;S972)+SUMIFS(Transaksi!$H$2:$H$2001,Transaksi!$M$2:$M$2001,"&lt;="&amp;S972)+SUMIFS(Transaksi!$I$2:$I$2001,Transaksi!$M$2:$M$2001,"&lt;="&amp;S972))-(SUMIFS(Transaksi!$J$2:$J$2001,Transaksi!$M$2:$M$2001,"&lt;="&amp;S972)),"")</f>
        <v/>
      </c>
      <c r="I972">
        <f>IF(969&gt;$O$2,"",MATCH(969,$Q$3:$Q$402,1))</f>
        <v/>
      </c>
      <c r="J972">
        <f>IF(I972="","",IF(969=INDEX($Q$3:$Q$402,I972),"H","E"))</f>
        <v/>
      </c>
      <c r="K972">
        <f>IF(J972&lt;&gt;"E","",MATCH(S972,Transaksi!$M$2:$M$2001,0)+969-INDEX($Q$3:$Q$402,I972)-1)</f>
        <v/>
      </c>
      <c r="S972">
        <f>IF(I972="","",INDEX($O$3:$O$402,I972))</f>
        <v/>
      </c>
      <c r="T972">
        <f>IF(J972&lt;&gt;"H","",INDEX(Transaksi!$A$2:$A$2001,MATCH(S972,Transaksi!$M$2:$M$2001,0)))</f>
        <v/>
      </c>
    </row>
    <row r="973">
      <c r="A973" s="31">
        <f>IF(J973="E",IF(INDEX(Transaksi!$J$2:$J$2001,K973)&gt;0,"↑","↓"),"")</f>
        <v/>
      </c>
      <c r="B973" s="32">
        <f>IF(J973="H",CHOOSE(WEEKDAY(T973,2),"Isnin","Selasa","Rabu","Khamis","Jumaat","Sabtu","Ahad")&amp;", "&amp;DAY(T973)&amp;" "&amp;CHOOSE(MONTH(T973),"Jan","Feb","Mac","Apr","Mei","Jun","Jul","Ogo","Sep","Okt","Nov","Dis")&amp;" "&amp;YEAR(T973),IF(J973="E",IF(INDEX(Transaksi!$B$2:$B$2001,K973)="",INDEX(Transaksi!$C$2:$C$2001,K973)&amp;" · "&amp;INDEX(Transaksi!$D$2:$D$2001,K973),INDEX(Transaksi!$B$2:$B$2001,K973)),""))</f>
        <v/>
      </c>
      <c r="C973" s="32">
        <f>IF(J973="E",INDEX(Transaksi!$C$2:$C$2001,K973)&amp;"","")</f>
        <v/>
      </c>
      <c r="D973" s="32">
        <f>IF(J973="E",INDEX(Transaksi!$D$2:$D$2001,K973)&amp;"","")</f>
        <v/>
      </c>
      <c r="E973" s="33">
        <f>IF(J973="H",SUMIFS(Transaksi!$G$2:$G$2001,Transaksi!$M$2:$M$2001,"="&amp;S973)+SUMIFS(Transaksi!$H$2:$H$2001,Transaksi!$M$2:$M$2001,"="&amp;S973)+SUMIFS(Transaksi!$I$2:$I$2001,Transaksi!$M$2:$M$2001,"="&amp;S973),IF(J973="E",IF(INDEX(Transaksi!$G$2:$G$2001,K973)+INDEX(Transaksi!$H$2:$H$2001,K973)+INDEX(Transaksi!$I$2:$I$2001,K973)=0,"",INDEX(Transaksi!$G$2:$G$2001,K973)+INDEX(Transaksi!$H$2:$H$2001,K973)+INDEX(Transaksi!$I$2:$I$2001,K973)),""))</f>
        <v/>
      </c>
      <c r="F973" s="33">
        <f>IF(J973="H",SUMIFS(Transaksi!$J$2:$J$2001,Transaksi!$M$2:$M$2001,"="&amp;S973),IF(J973="E",IF(INDEX(Transaksi!$J$2:$J$2001,K973)=0,"",INDEX(Transaksi!$J$2:$J$2001,K973)),""))</f>
        <v/>
      </c>
      <c r="G973" s="33">
        <f>IF(J973="H",(SUMIFS(Transaksi!$G$2:$G$2001,Transaksi!$M$2:$M$2001,"&lt;="&amp;S973)+SUMIFS(Transaksi!$H$2:$H$2001,Transaksi!$M$2:$M$2001,"&lt;="&amp;S973)+SUMIFS(Transaksi!$I$2:$I$2001,Transaksi!$M$2:$M$2001,"&lt;="&amp;S973))-(SUMIFS(Transaksi!$J$2:$J$2001,Transaksi!$M$2:$M$2001,"&lt;="&amp;S973)),"")</f>
        <v/>
      </c>
      <c r="I973">
        <f>IF(970&gt;$O$2,"",MATCH(970,$Q$3:$Q$402,1))</f>
        <v/>
      </c>
      <c r="J973">
        <f>IF(I973="","",IF(970=INDEX($Q$3:$Q$402,I973),"H","E"))</f>
        <v/>
      </c>
      <c r="K973">
        <f>IF(J973&lt;&gt;"E","",MATCH(S973,Transaksi!$M$2:$M$2001,0)+970-INDEX($Q$3:$Q$402,I973)-1)</f>
        <v/>
      </c>
      <c r="S973">
        <f>IF(I973="","",INDEX($O$3:$O$402,I973))</f>
        <v/>
      </c>
      <c r="T973">
        <f>IF(J973&lt;&gt;"H","",INDEX(Transaksi!$A$2:$A$2001,MATCH(S973,Transaksi!$M$2:$M$2001,0)))</f>
        <v/>
      </c>
    </row>
    <row r="974">
      <c r="A974" s="31">
        <f>IF(J974="E",IF(INDEX(Transaksi!$J$2:$J$2001,K974)&gt;0,"↑","↓"),"")</f>
        <v/>
      </c>
      <c r="B974" s="32">
        <f>IF(J974="H",CHOOSE(WEEKDAY(T974,2),"Isnin","Selasa","Rabu","Khamis","Jumaat","Sabtu","Ahad")&amp;", "&amp;DAY(T974)&amp;" "&amp;CHOOSE(MONTH(T974),"Jan","Feb","Mac","Apr","Mei","Jun","Jul","Ogo","Sep","Okt","Nov","Dis")&amp;" "&amp;YEAR(T974),IF(J974="E",IF(INDEX(Transaksi!$B$2:$B$2001,K974)="",INDEX(Transaksi!$C$2:$C$2001,K974)&amp;" · "&amp;INDEX(Transaksi!$D$2:$D$2001,K974),INDEX(Transaksi!$B$2:$B$2001,K974)),""))</f>
        <v/>
      </c>
      <c r="C974" s="32">
        <f>IF(J974="E",INDEX(Transaksi!$C$2:$C$2001,K974)&amp;"","")</f>
        <v/>
      </c>
      <c r="D974" s="32">
        <f>IF(J974="E",INDEX(Transaksi!$D$2:$D$2001,K974)&amp;"","")</f>
        <v/>
      </c>
      <c r="E974" s="33">
        <f>IF(J974="H",SUMIFS(Transaksi!$G$2:$G$2001,Transaksi!$M$2:$M$2001,"="&amp;S974)+SUMIFS(Transaksi!$H$2:$H$2001,Transaksi!$M$2:$M$2001,"="&amp;S974)+SUMIFS(Transaksi!$I$2:$I$2001,Transaksi!$M$2:$M$2001,"="&amp;S974),IF(J974="E",IF(INDEX(Transaksi!$G$2:$G$2001,K974)+INDEX(Transaksi!$H$2:$H$2001,K974)+INDEX(Transaksi!$I$2:$I$2001,K974)=0,"",INDEX(Transaksi!$G$2:$G$2001,K974)+INDEX(Transaksi!$H$2:$H$2001,K974)+INDEX(Transaksi!$I$2:$I$2001,K974)),""))</f>
        <v/>
      </c>
      <c r="F974" s="33">
        <f>IF(J974="H",SUMIFS(Transaksi!$J$2:$J$2001,Transaksi!$M$2:$M$2001,"="&amp;S974),IF(J974="E",IF(INDEX(Transaksi!$J$2:$J$2001,K974)=0,"",INDEX(Transaksi!$J$2:$J$2001,K974)),""))</f>
        <v/>
      </c>
      <c r="G974" s="33">
        <f>IF(J974="H",(SUMIFS(Transaksi!$G$2:$G$2001,Transaksi!$M$2:$M$2001,"&lt;="&amp;S974)+SUMIFS(Transaksi!$H$2:$H$2001,Transaksi!$M$2:$M$2001,"&lt;="&amp;S974)+SUMIFS(Transaksi!$I$2:$I$2001,Transaksi!$M$2:$M$2001,"&lt;="&amp;S974))-(SUMIFS(Transaksi!$J$2:$J$2001,Transaksi!$M$2:$M$2001,"&lt;="&amp;S974)),"")</f>
        <v/>
      </c>
      <c r="I974">
        <f>IF(971&gt;$O$2,"",MATCH(971,$Q$3:$Q$402,1))</f>
        <v/>
      </c>
      <c r="J974">
        <f>IF(I974="","",IF(971=INDEX($Q$3:$Q$402,I974),"H","E"))</f>
        <v/>
      </c>
      <c r="K974">
        <f>IF(J974&lt;&gt;"E","",MATCH(S974,Transaksi!$M$2:$M$2001,0)+971-INDEX($Q$3:$Q$402,I974)-1)</f>
        <v/>
      </c>
      <c r="S974">
        <f>IF(I974="","",INDEX($O$3:$O$402,I974))</f>
        <v/>
      </c>
      <c r="T974">
        <f>IF(J974&lt;&gt;"H","",INDEX(Transaksi!$A$2:$A$2001,MATCH(S974,Transaksi!$M$2:$M$2001,0)))</f>
        <v/>
      </c>
    </row>
    <row r="975">
      <c r="A975" s="31">
        <f>IF(J975="E",IF(INDEX(Transaksi!$J$2:$J$2001,K975)&gt;0,"↑","↓"),"")</f>
        <v/>
      </c>
      <c r="B975" s="32">
        <f>IF(J975="H",CHOOSE(WEEKDAY(T975,2),"Isnin","Selasa","Rabu","Khamis","Jumaat","Sabtu","Ahad")&amp;", "&amp;DAY(T975)&amp;" "&amp;CHOOSE(MONTH(T975),"Jan","Feb","Mac","Apr","Mei","Jun","Jul","Ogo","Sep","Okt","Nov","Dis")&amp;" "&amp;YEAR(T975),IF(J975="E",IF(INDEX(Transaksi!$B$2:$B$2001,K975)="",INDEX(Transaksi!$C$2:$C$2001,K975)&amp;" · "&amp;INDEX(Transaksi!$D$2:$D$2001,K975),INDEX(Transaksi!$B$2:$B$2001,K975)),""))</f>
        <v/>
      </c>
      <c r="C975" s="32">
        <f>IF(J975="E",INDEX(Transaksi!$C$2:$C$2001,K975)&amp;"","")</f>
        <v/>
      </c>
      <c r="D975" s="32">
        <f>IF(J975="E",INDEX(Transaksi!$D$2:$D$2001,K975)&amp;"","")</f>
        <v/>
      </c>
      <c r="E975" s="33">
        <f>IF(J975="H",SUMIFS(Transaksi!$G$2:$G$2001,Transaksi!$M$2:$M$2001,"="&amp;S975)+SUMIFS(Transaksi!$H$2:$H$2001,Transaksi!$M$2:$M$2001,"="&amp;S975)+SUMIFS(Transaksi!$I$2:$I$2001,Transaksi!$M$2:$M$2001,"="&amp;S975),IF(J975="E",IF(INDEX(Transaksi!$G$2:$G$2001,K975)+INDEX(Transaksi!$H$2:$H$2001,K975)+INDEX(Transaksi!$I$2:$I$2001,K975)=0,"",INDEX(Transaksi!$G$2:$G$2001,K975)+INDEX(Transaksi!$H$2:$H$2001,K975)+INDEX(Transaksi!$I$2:$I$2001,K975)),""))</f>
        <v/>
      </c>
      <c r="F975" s="33">
        <f>IF(J975="H",SUMIFS(Transaksi!$J$2:$J$2001,Transaksi!$M$2:$M$2001,"="&amp;S975),IF(J975="E",IF(INDEX(Transaksi!$J$2:$J$2001,K975)=0,"",INDEX(Transaksi!$J$2:$J$2001,K975)),""))</f>
        <v/>
      </c>
      <c r="G975" s="33">
        <f>IF(J975="H",(SUMIFS(Transaksi!$G$2:$G$2001,Transaksi!$M$2:$M$2001,"&lt;="&amp;S975)+SUMIFS(Transaksi!$H$2:$H$2001,Transaksi!$M$2:$M$2001,"&lt;="&amp;S975)+SUMIFS(Transaksi!$I$2:$I$2001,Transaksi!$M$2:$M$2001,"&lt;="&amp;S975))-(SUMIFS(Transaksi!$J$2:$J$2001,Transaksi!$M$2:$M$2001,"&lt;="&amp;S975)),"")</f>
        <v/>
      </c>
      <c r="I975">
        <f>IF(972&gt;$O$2,"",MATCH(972,$Q$3:$Q$402,1))</f>
        <v/>
      </c>
      <c r="J975">
        <f>IF(I975="","",IF(972=INDEX($Q$3:$Q$402,I975),"H","E"))</f>
        <v/>
      </c>
      <c r="K975">
        <f>IF(J975&lt;&gt;"E","",MATCH(S975,Transaksi!$M$2:$M$2001,0)+972-INDEX($Q$3:$Q$402,I975)-1)</f>
        <v/>
      </c>
      <c r="S975">
        <f>IF(I975="","",INDEX($O$3:$O$402,I975))</f>
        <v/>
      </c>
      <c r="T975">
        <f>IF(J975&lt;&gt;"H","",INDEX(Transaksi!$A$2:$A$2001,MATCH(S975,Transaksi!$M$2:$M$2001,0)))</f>
        <v/>
      </c>
    </row>
    <row r="976">
      <c r="A976" s="31">
        <f>IF(J976="E",IF(INDEX(Transaksi!$J$2:$J$2001,K976)&gt;0,"↑","↓"),"")</f>
        <v/>
      </c>
      <c r="B976" s="32">
        <f>IF(J976="H",CHOOSE(WEEKDAY(T976,2),"Isnin","Selasa","Rabu","Khamis","Jumaat","Sabtu","Ahad")&amp;", "&amp;DAY(T976)&amp;" "&amp;CHOOSE(MONTH(T976),"Jan","Feb","Mac","Apr","Mei","Jun","Jul","Ogo","Sep","Okt","Nov","Dis")&amp;" "&amp;YEAR(T976),IF(J976="E",IF(INDEX(Transaksi!$B$2:$B$2001,K976)="",INDEX(Transaksi!$C$2:$C$2001,K976)&amp;" · "&amp;INDEX(Transaksi!$D$2:$D$2001,K976),INDEX(Transaksi!$B$2:$B$2001,K976)),""))</f>
        <v/>
      </c>
      <c r="C976" s="32">
        <f>IF(J976="E",INDEX(Transaksi!$C$2:$C$2001,K976)&amp;"","")</f>
        <v/>
      </c>
      <c r="D976" s="32">
        <f>IF(J976="E",INDEX(Transaksi!$D$2:$D$2001,K976)&amp;"","")</f>
        <v/>
      </c>
      <c r="E976" s="33">
        <f>IF(J976="H",SUMIFS(Transaksi!$G$2:$G$2001,Transaksi!$M$2:$M$2001,"="&amp;S976)+SUMIFS(Transaksi!$H$2:$H$2001,Transaksi!$M$2:$M$2001,"="&amp;S976)+SUMIFS(Transaksi!$I$2:$I$2001,Transaksi!$M$2:$M$2001,"="&amp;S976),IF(J976="E",IF(INDEX(Transaksi!$G$2:$G$2001,K976)+INDEX(Transaksi!$H$2:$H$2001,K976)+INDEX(Transaksi!$I$2:$I$2001,K976)=0,"",INDEX(Transaksi!$G$2:$G$2001,K976)+INDEX(Transaksi!$H$2:$H$2001,K976)+INDEX(Transaksi!$I$2:$I$2001,K976)),""))</f>
        <v/>
      </c>
      <c r="F976" s="33">
        <f>IF(J976="H",SUMIFS(Transaksi!$J$2:$J$2001,Transaksi!$M$2:$M$2001,"="&amp;S976),IF(J976="E",IF(INDEX(Transaksi!$J$2:$J$2001,K976)=0,"",INDEX(Transaksi!$J$2:$J$2001,K976)),""))</f>
        <v/>
      </c>
      <c r="G976" s="33">
        <f>IF(J976="H",(SUMIFS(Transaksi!$G$2:$G$2001,Transaksi!$M$2:$M$2001,"&lt;="&amp;S976)+SUMIFS(Transaksi!$H$2:$H$2001,Transaksi!$M$2:$M$2001,"&lt;="&amp;S976)+SUMIFS(Transaksi!$I$2:$I$2001,Transaksi!$M$2:$M$2001,"&lt;="&amp;S976))-(SUMIFS(Transaksi!$J$2:$J$2001,Transaksi!$M$2:$M$2001,"&lt;="&amp;S976)),"")</f>
        <v/>
      </c>
      <c r="I976">
        <f>IF(973&gt;$O$2,"",MATCH(973,$Q$3:$Q$402,1))</f>
        <v/>
      </c>
      <c r="J976">
        <f>IF(I976="","",IF(973=INDEX($Q$3:$Q$402,I976),"H","E"))</f>
        <v/>
      </c>
      <c r="K976">
        <f>IF(J976&lt;&gt;"E","",MATCH(S976,Transaksi!$M$2:$M$2001,0)+973-INDEX($Q$3:$Q$402,I976)-1)</f>
        <v/>
      </c>
      <c r="S976">
        <f>IF(I976="","",INDEX($O$3:$O$402,I976))</f>
        <v/>
      </c>
      <c r="T976">
        <f>IF(J976&lt;&gt;"H","",INDEX(Transaksi!$A$2:$A$2001,MATCH(S976,Transaksi!$M$2:$M$2001,0)))</f>
        <v/>
      </c>
    </row>
    <row r="977">
      <c r="A977" s="31">
        <f>IF(J977="E",IF(INDEX(Transaksi!$J$2:$J$2001,K977)&gt;0,"↑","↓"),"")</f>
        <v/>
      </c>
      <c r="B977" s="32">
        <f>IF(J977="H",CHOOSE(WEEKDAY(T977,2),"Isnin","Selasa","Rabu","Khamis","Jumaat","Sabtu","Ahad")&amp;", "&amp;DAY(T977)&amp;" "&amp;CHOOSE(MONTH(T977),"Jan","Feb","Mac","Apr","Mei","Jun","Jul","Ogo","Sep","Okt","Nov","Dis")&amp;" "&amp;YEAR(T977),IF(J977="E",IF(INDEX(Transaksi!$B$2:$B$2001,K977)="",INDEX(Transaksi!$C$2:$C$2001,K977)&amp;" · "&amp;INDEX(Transaksi!$D$2:$D$2001,K977),INDEX(Transaksi!$B$2:$B$2001,K977)),""))</f>
        <v/>
      </c>
      <c r="C977" s="32">
        <f>IF(J977="E",INDEX(Transaksi!$C$2:$C$2001,K977)&amp;"","")</f>
        <v/>
      </c>
      <c r="D977" s="32">
        <f>IF(J977="E",INDEX(Transaksi!$D$2:$D$2001,K977)&amp;"","")</f>
        <v/>
      </c>
      <c r="E977" s="33">
        <f>IF(J977="H",SUMIFS(Transaksi!$G$2:$G$2001,Transaksi!$M$2:$M$2001,"="&amp;S977)+SUMIFS(Transaksi!$H$2:$H$2001,Transaksi!$M$2:$M$2001,"="&amp;S977)+SUMIFS(Transaksi!$I$2:$I$2001,Transaksi!$M$2:$M$2001,"="&amp;S977),IF(J977="E",IF(INDEX(Transaksi!$G$2:$G$2001,K977)+INDEX(Transaksi!$H$2:$H$2001,K977)+INDEX(Transaksi!$I$2:$I$2001,K977)=0,"",INDEX(Transaksi!$G$2:$G$2001,K977)+INDEX(Transaksi!$H$2:$H$2001,K977)+INDEX(Transaksi!$I$2:$I$2001,K977)),""))</f>
        <v/>
      </c>
      <c r="F977" s="33">
        <f>IF(J977="H",SUMIFS(Transaksi!$J$2:$J$2001,Transaksi!$M$2:$M$2001,"="&amp;S977),IF(J977="E",IF(INDEX(Transaksi!$J$2:$J$2001,K977)=0,"",INDEX(Transaksi!$J$2:$J$2001,K977)),""))</f>
        <v/>
      </c>
      <c r="G977" s="33">
        <f>IF(J977="H",(SUMIFS(Transaksi!$G$2:$G$2001,Transaksi!$M$2:$M$2001,"&lt;="&amp;S977)+SUMIFS(Transaksi!$H$2:$H$2001,Transaksi!$M$2:$M$2001,"&lt;="&amp;S977)+SUMIFS(Transaksi!$I$2:$I$2001,Transaksi!$M$2:$M$2001,"&lt;="&amp;S977))-(SUMIFS(Transaksi!$J$2:$J$2001,Transaksi!$M$2:$M$2001,"&lt;="&amp;S977)),"")</f>
        <v/>
      </c>
      <c r="I977">
        <f>IF(974&gt;$O$2,"",MATCH(974,$Q$3:$Q$402,1))</f>
        <v/>
      </c>
      <c r="J977">
        <f>IF(I977="","",IF(974=INDEX($Q$3:$Q$402,I977),"H","E"))</f>
        <v/>
      </c>
      <c r="K977">
        <f>IF(J977&lt;&gt;"E","",MATCH(S977,Transaksi!$M$2:$M$2001,0)+974-INDEX($Q$3:$Q$402,I977)-1)</f>
        <v/>
      </c>
      <c r="S977">
        <f>IF(I977="","",INDEX($O$3:$O$402,I977))</f>
        <v/>
      </c>
      <c r="T977">
        <f>IF(J977&lt;&gt;"H","",INDEX(Transaksi!$A$2:$A$2001,MATCH(S977,Transaksi!$M$2:$M$2001,0)))</f>
        <v/>
      </c>
    </row>
    <row r="978">
      <c r="A978" s="31">
        <f>IF(J978="E",IF(INDEX(Transaksi!$J$2:$J$2001,K978)&gt;0,"↑","↓"),"")</f>
        <v/>
      </c>
      <c r="B978" s="32">
        <f>IF(J978="H",CHOOSE(WEEKDAY(T978,2),"Isnin","Selasa","Rabu","Khamis","Jumaat","Sabtu","Ahad")&amp;", "&amp;DAY(T978)&amp;" "&amp;CHOOSE(MONTH(T978),"Jan","Feb","Mac","Apr","Mei","Jun","Jul","Ogo","Sep","Okt","Nov","Dis")&amp;" "&amp;YEAR(T978),IF(J978="E",IF(INDEX(Transaksi!$B$2:$B$2001,K978)="",INDEX(Transaksi!$C$2:$C$2001,K978)&amp;" · "&amp;INDEX(Transaksi!$D$2:$D$2001,K978),INDEX(Transaksi!$B$2:$B$2001,K978)),""))</f>
        <v/>
      </c>
      <c r="C978" s="32">
        <f>IF(J978="E",INDEX(Transaksi!$C$2:$C$2001,K978)&amp;"","")</f>
        <v/>
      </c>
      <c r="D978" s="32">
        <f>IF(J978="E",INDEX(Transaksi!$D$2:$D$2001,K978)&amp;"","")</f>
        <v/>
      </c>
      <c r="E978" s="33">
        <f>IF(J978="H",SUMIFS(Transaksi!$G$2:$G$2001,Transaksi!$M$2:$M$2001,"="&amp;S978)+SUMIFS(Transaksi!$H$2:$H$2001,Transaksi!$M$2:$M$2001,"="&amp;S978)+SUMIFS(Transaksi!$I$2:$I$2001,Transaksi!$M$2:$M$2001,"="&amp;S978),IF(J978="E",IF(INDEX(Transaksi!$G$2:$G$2001,K978)+INDEX(Transaksi!$H$2:$H$2001,K978)+INDEX(Transaksi!$I$2:$I$2001,K978)=0,"",INDEX(Transaksi!$G$2:$G$2001,K978)+INDEX(Transaksi!$H$2:$H$2001,K978)+INDEX(Transaksi!$I$2:$I$2001,K978)),""))</f>
        <v/>
      </c>
      <c r="F978" s="33">
        <f>IF(J978="H",SUMIFS(Transaksi!$J$2:$J$2001,Transaksi!$M$2:$M$2001,"="&amp;S978),IF(J978="E",IF(INDEX(Transaksi!$J$2:$J$2001,K978)=0,"",INDEX(Transaksi!$J$2:$J$2001,K978)),""))</f>
        <v/>
      </c>
      <c r="G978" s="33">
        <f>IF(J978="H",(SUMIFS(Transaksi!$G$2:$G$2001,Transaksi!$M$2:$M$2001,"&lt;="&amp;S978)+SUMIFS(Transaksi!$H$2:$H$2001,Transaksi!$M$2:$M$2001,"&lt;="&amp;S978)+SUMIFS(Transaksi!$I$2:$I$2001,Transaksi!$M$2:$M$2001,"&lt;="&amp;S978))-(SUMIFS(Transaksi!$J$2:$J$2001,Transaksi!$M$2:$M$2001,"&lt;="&amp;S978)),"")</f>
        <v/>
      </c>
      <c r="I978">
        <f>IF(975&gt;$O$2,"",MATCH(975,$Q$3:$Q$402,1))</f>
        <v/>
      </c>
      <c r="J978">
        <f>IF(I978="","",IF(975=INDEX($Q$3:$Q$402,I978),"H","E"))</f>
        <v/>
      </c>
      <c r="K978">
        <f>IF(J978&lt;&gt;"E","",MATCH(S978,Transaksi!$M$2:$M$2001,0)+975-INDEX($Q$3:$Q$402,I978)-1)</f>
        <v/>
      </c>
      <c r="S978">
        <f>IF(I978="","",INDEX($O$3:$O$402,I978))</f>
        <v/>
      </c>
      <c r="T978">
        <f>IF(J978&lt;&gt;"H","",INDEX(Transaksi!$A$2:$A$2001,MATCH(S978,Transaksi!$M$2:$M$2001,0)))</f>
        <v/>
      </c>
    </row>
    <row r="979">
      <c r="A979" s="31">
        <f>IF(J979="E",IF(INDEX(Transaksi!$J$2:$J$2001,K979)&gt;0,"↑","↓"),"")</f>
        <v/>
      </c>
      <c r="B979" s="32">
        <f>IF(J979="H",CHOOSE(WEEKDAY(T979,2),"Isnin","Selasa","Rabu","Khamis","Jumaat","Sabtu","Ahad")&amp;", "&amp;DAY(T979)&amp;" "&amp;CHOOSE(MONTH(T979),"Jan","Feb","Mac","Apr","Mei","Jun","Jul","Ogo","Sep","Okt","Nov","Dis")&amp;" "&amp;YEAR(T979),IF(J979="E",IF(INDEX(Transaksi!$B$2:$B$2001,K979)="",INDEX(Transaksi!$C$2:$C$2001,K979)&amp;" · "&amp;INDEX(Transaksi!$D$2:$D$2001,K979),INDEX(Transaksi!$B$2:$B$2001,K979)),""))</f>
        <v/>
      </c>
      <c r="C979" s="32">
        <f>IF(J979="E",INDEX(Transaksi!$C$2:$C$2001,K979)&amp;"","")</f>
        <v/>
      </c>
      <c r="D979" s="32">
        <f>IF(J979="E",INDEX(Transaksi!$D$2:$D$2001,K979)&amp;"","")</f>
        <v/>
      </c>
      <c r="E979" s="33">
        <f>IF(J979="H",SUMIFS(Transaksi!$G$2:$G$2001,Transaksi!$M$2:$M$2001,"="&amp;S979)+SUMIFS(Transaksi!$H$2:$H$2001,Transaksi!$M$2:$M$2001,"="&amp;S979)+SUMIFS(Transaksi!$I$2:$I$2001,Transaksi!$M$2:$M$2001,"="&amp;S979),IF(J979="E",IF(INDEX(Transaksi!$G$2:$G$2001,K979)+INDEX(Transaksi!$H$2:$H$2001,K979)+INDEX(Transaksi!$I$2:$I$2001,K979)=0,"",INDEX(Transaksi!$G$2:$G$2001,K979)+INDEX(Transaksi!$H$2:$H$2001,K979)+INDEX(Transaksi!$I$2:$I$2001,K979)),""))</f>
        <v/>
      </c>
      <c r="F979" s="33">
        <f>IF(J979="H",SUMIFS(Transaksi!$J$2:$J$2001,Transaksi!$M$2:$M$2001,"="&amp;S979),IF(J979="E",IF(INDEX(Transaksi!$J$2:$J$2001,K979)=0,"",INDEX(Transaksi!$J$2:$J$2001,K979)),""))</f>
        <v/>
      </c>
      <c r="G979" s="33">
        <f>IF(J979="H",(SUMIFS(Transaksi!$G$2:$G$2001,Transaksi!$M$2:$M$2001,"&lt;="&amp;S979)+SUMIFS(Transaksi!$H$2:$H$2001,Transaksi!$M$2:$M$2001,"&lt;="&amp;S979)+SUMIFS(Transaksi!$I$2:$I$2001,Transaksi!$M$2:$M$2001,"&lt;="&amp;S979))-(SUMIFS(Transaksi!$J$2:$J$2001,Transaksi!$M$2:$M$2001,"&lt;="&amp;S979)),"")</f>
        <v/>
      </c>
      <c r="I979">
        <f>IF(976&gt;$O$2,"",MATCH(976,$Q$3:$Q$402,1))</f>
        <v/>
      </c>
      <c r="J979">
        <f>IF(I979="","",IF(976=INDEX($Q$3:$Q$402,I979),"H","E"))</f>
        <v/>
      </c>
      <c r="K979">
        <f>IF(J979&lt;&gt;"E","",MATCH(S979,Transaksi!$M$2:$M$2001,0)+976-INDEX($Q$3:$Q$402,I979)-1)</f>
        <v/>
      </c>
      <c r="S979">
        <f>IF(I979="","",INDEX($O$3:$O$402,I979))</f>
        <v/>
      </c>
      <c r="T979">
        <f>IF(J979&lt;&gt;"H","",INDEX(Transaksi!$A$2:$A$2001,MATCH(S979,Transaksi!$M$2:$M$2001,0)))</f>
        <v/>
      </c>
    </row>
    <row r="980">
      <c r="A980" s="31">
        <f>IF(J980="E",IF(INDEX(Transaksi!$J$2:$J$2001,K980)&gt;0,"↑","↓"),"")</f>
        <v/>
      </c>
      <c r="B980" s="32">
        <f>IF(J980="H",CHOOSE(WEEKDAY(T980,2),"Isnin","Selasa","Rabu","Khamis","Jumaat","Sabtu","Ahad")&amp;", "&amp;DAY(T980)&amp;" "&amp;CHOOSE(MONTH(T980),"Jan","Feb","Mac","Apr","Mei","Jun","Jul","Ogo","Sep","Okt","Nov","Dis")&amp;" "&amp;YEAR(T980),IF(J980="E",IF(INDEX(Transaksi!$B$2:$B$2001,K980)="",INDEX(Transaksi!$C$2:$C$2001,K980)&amp;" · "&amp;INDEX(Transaksi!$D$2:$D$2001,K980),INDEX(Transaksi!$B$2:$B$2001,K980)),""))</f>
        <v/>
      </c>
      <c r="C980" s="32">
        <f>IF(J980="E",INDEX(Transaksi!$C$2:$C$2001,K980)&amp;"","")</f>
        <v/>
      </c>
      <c r="D980" s="32">
        <f>IF(J980="E",INDEX(Transaksi!$D$2:$D$2001,K980)&amp;"","")</f>
        <v/>
      </c>
      <c r="E980" s="33">
        <f>IF(J980="H",SUMIFS(Transaksi!$G$2:$G$2001,Transaksi!$M$2:$M$2001,"="&amp;S980)+SUMIFS(Transaksi!$H$2:$H$2001,Transaksi!$M$2:$M$2001,"="&amp;S980)+SUMIFS(Transaksi!$I$2:$I$2001,Transaksi!$M$2:$M$2001,"="&amp;S980),IF(J980="E",IF(INDEX(Transaksi!$G$2:$G$2001,K980)+INDEX(Transaksi!$H$2:$H$2001,K980)+INDEX(Transaksi!$I$2:$I$2001,K980)=0,"",INDEX(Transaksi!$G$2:$G$2001,K980)+INDEX(Transaksi!$H$2:$H$2001,K980)+INDEX(Transaksi!$I$2:$I$2001,K980)),""))</f>
        <v/>
      </c>
      <c r="F980" s="33">
        <f>IF(J980="H",SUMIFS(Transaksi!$J$2:$J$2001,Transaksi!$M$2:$M$2001,"="&amp;S980),IF(J980="E",IF(INDEX(Transaksi!$J$2:$J$2001,K980)=0,"",INDEX(Transaksi!$J$2:$J$2001,K980)),""))</f>
        <v/>
      </c>
      <c r="G980" s="33">
        <f>IF(J980="H",(SUMIFS(Transaksi!$G$2:$G$2001,Transaksi!$M$2:$M$2001,"&lt;="&amp;S980)+SUMIFS(Transaksi!$H$2:$H$2001,Transaksi!$M$2:$M$2001,"&lt;="&amp;S980)+SUMIFS(Transaksi!$I$2:$I$2001,Transaksi!$M$2:$M$2001,"&lt;="&amp;S980))-(SUMIFS(Transaksi!$J$2:$J$2001,Transaksi!$M$2:$M$2001,"&lt;="&amp;S980)),"")</f>
        <v/>
      </c>
      <c r="I980">
        <f>IF(977&gt;$O$2,"",MATCH(977,$Q$3:$Q$402,1))</f>
        <v/>
      </c>
      <c r="J980">
        <f>IF(I980="","",IF(977=INDEX($Q$3:$Q$402,I980),"H","E"))</f>
        <v/>
      </c>
      <c r="K980">
        <f>IF(J980&lt;&gt;"E","",MATCH(S980,Transaksi!$M$2:$M$2001,0)+977-INDEX($Q$3:$Q$402,I980)-1)</f>
        <v/>
      </c>
      <c r="S980">
        <f>IF(I980="","",INDEX($O$3:$O$402,I980))</f>
        <v/>
      </c>
      <c r="T980">
        <f>IF(J980&lt;&gt;"H","",INDEX(Transaksi!$A$2:$A$2001,MATCH(S980,Transaksi!$M$2:$M$2001,0)))</f>
        <v/>
      </c>
    </row>
    <row r="981">
      <c r="A981" s="31">
        <f>IF(J981="E",IF(INDEX(Transaksi!$J$2:$J$2001,K981)&gt;0,"↑","↓"),"")</f>
        <v/>
      </c>
      <c r="B981" s="32">
        <f>IF(J981="H",CHOOSE(WEEKDAY(T981,2),"Isnin","Selasa","Rabu","Khamis","Jumaat","Sabtu","Ahad")&amp;", "&amp;DAY(T981)&amp;" "&amp;CHOOSE(MONTH(T981),"Jan","Feb","Mac","Apr","Mei","Jun","Jul","Ogo","Sep","Okt","Nov","Dis")&amp;" "&amp;YEAR(T981),IF(J981="E",IF(INDEX(Transaksi!$B$2:$B$2001,K981)="",INDEX(Transaksi!$C$2:$C$2001,K981)&amp;" · "&amp;INDEX(Transaksi!$D$2:$D$2001,K981),INDEX(Transaksi!$B$2:$B$2001,K981)),""))</f>
        <v/>
      </c>
      <c r="C981" s="32">
        <f>IF(J981="E",INDEX(Transaksi!$C$2:$C$2001,K981)&amp;"","")</f>
        <v/>
      </c>
      <c r="D981" s="32">
        <f>IF(J981="E",INDEX(Transaksi!$D$2:$D$2001,K981)&amp;"","")</f>
        <v/>
      </c>
      <c r="E981" s="33">
        <f>IF(J981="H",SUMIFS(Transaksi!$G$2:$G$2001,Transaksi!$M$2:$M$2001,"="&amp;S981)+SUMIFS(Transaksi!$H$2:$H$2001,Transaksi!$M$2:$M$2001,"="&amp;S981)+SUMIFS(Transaksi!$I$2:$I$2001,Transaksi!$M$2:$M$2001,"="&amp;S981),IF(J981="E",IF(INDEX(Transaksi!$G$2:$G$2001,K981)+INDEX(Transaksi!$H$2:$H$2001,K981)+INDEX(Transaksi!$I$2:$I$2001,K981)=0,"",INDEX(Transaksi!$G$2:$G$2001,K981)+INDEX(Transaksi!$H$2:$H$2001,K981)+INDEX(Transaksi!$I$2:$I$2001,K981)),""))</f>
        <v/>
      </c>
      <c r="F981" s="33">
        <f>IF(J981="H",SUMIFS(Transaksi!$J$2:$J$2001,Transaksi!$M$2:$M$2001,"="&amp;S981),IF(J981="E",IF(INDEX(Transaksi!$J$2:$J$2001,K981)=0,"",INDEX(Transaksi!$J$2:$J$2001,K981)),""))</f>
        <v/>
      </c>
      <c r="G981" s="33">
        <f>IF(J981="H",(SUMIFS(Transaksi!$G$2:$G$2001,Transaksi!$M$2:$M$2001,"&lt;="&amp;S981)+SUMIFS(Transaksi!$H$2:$H$2001,Transaksi!$M$2:$M$2001,"&lt;="&amp;S981)+SUMIFS(Transaksi!$I$2:$I$2001,Transaksi!$M$2:$M$2001,"&lt;="&amp;S981))-(SUMIFS(Transaksi!$J$2:$J$2001,Transaksi!$M$2:$M$2001,"&lt;="&amp;S981)),"")</f>
        <v/>
      </c>
      <c r="I981">
        <f>IF(978&gt;$O$2,"",MATCH(978,$Q$3:$Q$402,1))</f>
        <v/>
      </c>
      <c r="J981">
        <f>IF(I981="","",IF(978=INDEX($Q$3:$Q$402,I981),"H","E"))</f>
        <v/>
      </c>
      <c r="K981">
        <f>IF(J981&lt;&gt;"E","",MATCH(S981,Transaksi!$M$2:$M$2001,0)+978-INDEX($Q$3:$Q$402,I981)-1)</f>
        <v/>
      </c>
      <c r="S981">
        <f>IF(I981="","",INDEX($O$3:$O$402,I981))</f>
        <v/>
      </c>
      <c r="T981">
        <f>IF(J981&lt;&gt;"H","",INDEX(Transaksi!$A$2:$A$2001,MATCH(S981,Transaksi!$M$2:$M$2001,0)))</f>
        <v/>
      </c>
    </row>
    <row r="982">
      <c r="A982" s="31">
        <f>IF(J982="E",IF(INDEX(Transaksi!$J$2:$J$2001,K982)&gt;0,"↑","↓"),"")</f>
        <v/>
      </c>
      <c r="B982" s="32">
        <f>IF(J982="H",CHOOSE(WEEKDAY(T982,2),"Isnin","Selasa","Rabu","Khamis","Jumaat","Sabtu","Ahad")&amp;", "&amp;DAY(T982)&amp;" "&amp;CHOOSE(MONTH(T982),"Jan","Feb","Mac","Apr","Mei","Jun","Jul","Ogo","Sep","Okt","Nov","Dis")&amp;" "&amp;YEAR(T982),IF(J982="E",IF(INDEX(Transaksi!$B$2:$B$2001,K982)="",INDEX(Transaksi!$C$2:$C$2001,K982)&amp;" · "&amp;INDEX(Transaksi!$D$2:$D$2001,K982),INDEX(Transaksi!$B$2:$B$2001,K982)),""))</f>
        <v/>
      </c>
      <c r="C982" s="32">
        <f>IF(J982="E",INDEX(Transaksi!$C$2:$C$2001,K982)&amp;"","")</f>
        <v/>
      </c>
      <c r="D982" s="32">
        <f>IF(J982="E",INDEX(Transaksi!$D$2:$D$2001,K982)&amp;"","")</f>
        <v/>
      </c>
      <c r="E982" s="33">
        <f>IF(J982="H",SUMIFS(Transaksi!$G$2:$G$2001,Transaksi!$M$2:$M$2001,"="&amp;S982)+SUMIFS(Transaksi!$H$2:$H$2001,Transaksi!$M$2:$M$2001,"="&amp;S982)+SUMIFS(Transaksi!$I$2:$I$2001,Transaksi!$M$2:$M$2001,"="&amp;S982),IF(J982="E",IF(INDEX(Transaksi!$G$2:$G$2001,K982)+INDEX(Transaksi!$H$2:$H$2001,K982)+INDEX(Transaksi!$I$2:$I$2001,K982)=0,"",INDEX(Transaksi!$G$2:$G$2001,K982)+INDEX(Transaksi!$H$2:$H$2001,K982)+INDEX(Transaksi!$I$2:$I$2001,K982)),""))</f>
        <v/>
      </c>
      <c r="F982" s="33">
        <f>IF(J982="H",SUMIFS(Transaksi!$J$2:$J$2001,Transaksi!$M$2:$M$2001,"="&amp;S982),IF(J982="E",IF(INDEX(Transaksi!$J$2:$J$2001,K982)=0,"",INDEX(Transaksi!$J$2:$J$2001,K982)),""))</f>
        <v/>
      </c>
      <c r="G982" s="33">
        <f>IF(J982="H",(SUMIFS(Transaksi!$G$2:$G$2001,Transaksi!$M$2:$M$2001,"&lt;="&amp;S982)+SUMIFS(Transaksi!$H$2:$H$2001,Transaksi!$M$2:$M$2001,"&lt;="&amp;S982)+SUMIFS(Transaksi!$I$2:$I$2001,Transaksi!$M$2:$M$2001,"&lt;="&amp;S982))-(SUMIFS(Transaksi!$J$2:$J$2001,Transaksi!$M$2:$M$2001,"&lt;="&amp;S982)),"")</f>
        <v/>
      </c>
      <c r="I982">
        <f>IF(979&gt;$O$2,"",MATCH(979,$Q$3:$Q$402,1))</f>
        <v/>
      </c>
      <c r="J982">
        <f>IF(I982="","",IF(979=INDEX($Q$3:$Q$402,I982),"H","E"))</f>
        <v/>
      </c>
      <c r="K982">
        <f>IF(J982&lt;&gt;"E","",MATCH(S982,Transaksi!$M$2:$M$2001,0)+979-INDEX($Q$3:$Q$402,I982)-1)</f>
        <v/>
      </c>
      <c r="S982">
        <f>IF(I982="","",INDEX($O$3:$O$402,I982))</f>
        <v/>
      </c>
      <c r="T982">
        <f>IF(J982&lt;&gt;"H","",INDEX(Transaksi!$A$2:$A$2001,MATCH(S982,Transaksi!$M$2:$M$2001,0)))</f>
        <v/>
      </c>
    </row>
    <row r="983">
      <c r="A983" s="31">
        <f>IF(J983="E",IF(INDEX(Transaksi!$J$2:$J$2001,K983)&gt;0,"↑","↓"),"")</f>
        <v/>
      </c>
      <c r="B983" s="32">
        <f>IF(J983="H",CHOOSE(WEEKDAY(T983,2),"Isnin","Selasa","Rabu","Khamis","Jumaat","Sabtu","Ahad")&amp;", "&amp;DAY(T983)&amp;" "&amp;CHOOSE(MONTH(T983),"Jan","Feb","Mac","Apr","Mei","Jun","Jul","Ogo","Sep","Okt","Nov","Dis")&amp;" "&amp;YEAR(T983),IF(J983="E",IF(INDEX(Transaksi!$B$2:$B$2001,K983)="",INDEX(Transaksi!$C$2:$C$2001,K983)&amp;" · "&amp;INDEX(Transaksi!$D$2:$D$2001,K983),INDEX(Transaksi!$B$2:$B$2001,K983)),""))</f>
        <v/>
      </c>
      <c r="C983" s="32">
        <f>IF(J983="E",INDEX(Transaksi!$C$2:$C$2001,K983)&amp;"","")</f>
        <v/>
      </c>
      <c r="D983" s="32">
        <f>IF(J983="E",INDEX(Transaksi!$D$2:$D$2001,K983)&amp;"","")</f>
        <v/>
      </c>
      <c r="E983" s="33">
        <f>IF(J983="H",SUMIFS(Transaksi!$G$2:$G$2001,Transaksi!$M$2:$M$2001,"="&amp;S983)+SUMIFS(Transaksi!$H$2:$H$2001,Transaksi!$M$2:$M$2001,"="&amp;S983)+SUMIFS(Transaksi!$I$2:$I$2001,Transaksi!$M$2:$M$2001,"="&amp;S983),IF(J983="E",IF(INDEX(Transaksi!$G$2:$G$2001,K983)+INDEX(Transaksi!$H$2:$H$2001,K983)+INDEX(Transaksi!$I$2:$I$2001,K983)=0,"",INDEX(Transaksi!$G$2:$G$2001,K983)+INDEX(Transaksi!$H$2:$H$2001,K983)+INDEX(Transaksi!$I$2:$I$2001,K983)),""))</f>
        <v/>
      </c>
      <c r="F983" s="33">
        <f>IF(J983="H",SUMIFS(Transaksi!$J$2:$J$2001,Transaksi!$M$2:$M$2001,"="&amp;S983),IF(J983="E",IF(INDEX(Transaksi!$J$2:$J$2001,K983)=0,"",INDEX(Transaksi!$J$2:$J$2001,K983)),""))</f>
        <v/>
      </c>
      <c r="G983" s="33">
        <f>IF(J983="H",(SUMIFS(Transaksi!$G$2:$G$2001,Transaksi!$M$2:$M$2001,"&lt;="&amp;S983)+SUMIFS(Transaksi!$H$2:$H$2001,Transaksi!$M$2:$M$2001,"&lt;="&amp;S983)+SUMIFS(Transaksi!$I$2:$I$2001,Transaksi!$M$2:$M$2001,"&lt;="&amp;S983))-(SUMIFS(Transaksi!$J$2:$J$2001,Transaksi!$M$2:$M$2001,"&lt;="&amp;S983)),"")</f>
        <v/>
      </c>
      <c r="I983">
        <f>IF(980&gt;$O$2,"",MATCH(980,$Q$3:$Q$402,1))</f>
        <v/>
      </c>
      <c r="J983">
        <f>IF(I983="","",IF(980=INDEX($Q$3:$Q$402,I983),"H","E"))</f>
        <v/>
      </c>
      <c r="K983">
        <f>IF(J983&lt;&gt;"E","",MATCH(S983,Transaksi!$M$2:$M$2001,0)+980-INDEX($Q$3:$Q$402,I983)-1)</f>
        <v/>
      </c>
      <c r="S983">
        <f>IF(I983="","",INDEX($O$3:$O$402,I983))</f>
        <v/>
      </c>
      <c r="T983">
        <f>IF(J983&lt;&gt;"H","",INDEX(Transaksi!$A$2:$A$2001,MATCH(S983,Transaksi!$M$2:$M$2001,0)))</f>
        <v/>
      </c>
    </row>
    <row r="984">
      <c r="A984" s="31">
        <f>IF(J984="E",IF(INDEX(Transaksi!$J$2:$J$2001,K984)&gt;0,"↑","↓"),"")</f>
        <v/>
      </c>
      <c r="B984" s="32">
        <f>IF(J984="H",CHOOSE(WEEKDAY(T984,2),"Isnin","Selasa","Rabu","Khamis","Jumaat","Sabtu","Ahad")&amp;", "&amp;DAY(T984)&amp;" "&amp;CHOOSE(MONTH(T984),"Jan","Feb","Mac","Apr","Mei","Jun","Jul","Ogo","Sep","Okt","Nov","Dis")&amp;" "&amp;YEAR(T984),IF(J984="E",IF(INDEX(Transaksi!$B$2:$B$2001,K984)="",INDEX(Transaksi!$C$2:$C$2001,K984)&amp;" · "&amp;INDEX(Transaksi!$D$2:$D$2001,K984),INDEX(Transaksi!$B$2:$B$2001,K984)),""))</f>
        <v/>
      </c>
      <c r="C984" s="32">
        <f>IF(J984="E",INDEX(Transaksi!$C$2:$C$2001,K984)&amp;"","")</f>
        <v/>
      </c>
      <c r="D984" s="32">
        <f>IF(J984="E",INDEX(Transaksi!$D$2:$D$2001,K984)&amp;"","")</f>
        <v/>
      </c>
      <c r="E984" s="33">
        <f>IF(J984="H",SUMIFS(Transaksi!$G$2:$G$2001,Transaksi!$M$2:$M$2001,"="&amp;S984)+SUMIFS(Transaksi!$H$2:$H$2001,Transaksi!$M$2:$M$2001,"="&amp;S984)+SUMIFS(Transaksi!$I$2:$I$2001,Transaksi!$M$2:$M$2001,"="&amp;S984),IF(J984="E",IF(INDEX(Transaksi!$G$2:$G$2001,K984)+INDEX(Transaksi!$H$2:$H$2001,K984)+INDEX(Transaksi!$I$2:$I$2001,K984)=0,"",INDEX(Transaksi!$G$2:$G$2001,K984)+INDEX(Transaksi!$H$2:$H$2001,K984)+INDEX(Transaksi!$I$2:$I$2001,K984)),""))</f>
        <v/>
      </c>
      <c r="F984" s="33">
        <f>IF(J984="H",SUMIFS(Transaksi!$J$2:$J$2001,Transaksi!$M$2:$M$2001,"="&amp;S984),IF(J984="E",IF(INDEX(Transaksi!$J$2:$J$2001,K984)=0,"",INDEX(Transaksi!$J$2:$J$2001,K984)),""))</f>
        <v/>
      </c>
      <c r="G984" s="33">
        <f>IF(J984="H",(SUMIFS(Transaksi!$G$2:$G$2001,Transaksi!$M$2:$M$2001,"&lt;="&amp;S984)+SUMIFS(Transaksi!$H$2:$H$2001,Transaksi!$M$2:$M$2001,"&lt;="&amp;S984)+SUMIFS(Transaksi!$I$2:$I$2001,Transaksi!$M$2:$M$2001,"&lt;="&amp;S984))-(SUMIFS(Transaksi!$J$2:$J$2001,Transaksi!$M$2:$M$2001,"&lt;="&amp;S984)),"")</f>
        <v/>
      </c>
      <c r="I984">
        <f>IF(981&gt;$O$2,"",MATCH(981,$Q$3:$Q$402,1))</f>
        <v/>
      </c>
      <c r="J984">
        <f>IF(I984="","",IF(981=INDEX($Q$3:$Q$402,I984),"H","E"))</f>
        <v/>
      </c>
      <c r="K984">
        <f>IF(J984&lt;&gt;"E","",MATCH(S984,Transaksi!$M$2:$M$2001,0)+981-INDEX($Q$3:$Q$402,I984)-1)</f>
        <v/>
      </c>
      <c r="S984">
        <f>IF(I984="","",INDEX($O$3:$O$402,I984))</f>
        <v/>
      </c>
      <c r="T984">
        <f>IF(J984&lt;&gt;"H","",INDEX(Transaksi!$A$2:$A$2001,MATCH(S984,Transaksi!$M$2:$M$2001,0)))</f>
        <v/>
      </c>
    </row>
    <row r="985">
      <c r="A985" s="31">
        <f>IF(J985="E",IF(INDEX(Transaksi!$J$2:$J$2001,K985)&gt;0,"↑","↓"),"")</f>
        <v/>
      </c>
      <c r="B985" s="32">
        <f>IF(J985="H",CHOOSE(WEEKDAY(T985,2),"Isnin","Selasa","Rabu","Khamis","Jumaat","Sabtu","Ahad")&amp;", "&amp;DAY(T985)&amp;" "&amp;CHOOSE(MONTH(T985),"Jan","Feb","Mac","Apr","Mei","Jun","Jul","Ogo","Sep","Okt","Nov","Dis")&amp;" "&amp;YEAR(T985),IF(J985="E",IF(INDEX(Transaksi!$B$2:$B$2001,K985)="",INDEX(Transaksi!$C$2:$C$2001,K985)&amp;" · "&amp;INDEX(Transaksi!$D$2:$D$2001,K985),INDEX(Transaksi!$B$2:$B$2001,K985)),""))</f>
        <v/>
      </c>
      <c r="C985" s="32">
        <f>IF(J985="E",INDEX(Transaksi!$C$2:$C$2001,K985)&amp;"","")</f>
        <v/>
      </c>
      <c r="D985" s="32">
        <f>IF(J985="E",INDEX(Transaksi!$D$2:$D$2001,K985)&amp;"","")</f>
        <v/>
      </c>
      <c r="E985" s="33">
        <f>IF(J985="H",SUMIFS(Transaksi!$G$2:$G$2001,Transaksi!$M$2:$M$2001,"="&amp;S985)+SUMIFS(Transaksi!$H$2:$H$2001,Transaksi!$M$2:$M$2001,"="&amp;S985)+SUMIFS(Transaksi!$I$2:$I$2001,Transaksi!$M$2:$M$2001,"="&amp;S985),IF(J985="E",IF(INDEX(Transaksi!$G$2:$G$2001,K985)+INDEX(Transaksi!$H$2:$H$2001,K985)+INDEX(Transaksi!$I$2:$I$2001,K985)=0,"",INDEX(Transaksi!$G$2:$G$2001,K985)+INDEX(Transaksi!$H$2:$H$2001,K985)+INDEX(Transaksi!$I$2:$I$2001,K985)),""))</f>
        <v/>
      </c>
      <c r="F985" s="33">
        <f>IF(J985="H",SUMIFS(Transaksi!$J$2:$J$2001,Transaksi!$M$2:$M$2001,"="&amp;S985),IF(J985="E",IF(INDEX(Transaksi!$J$2:$J$2001,K985)=0,"",INDEX(Transaksi!$J$2:$J$2001,K985)),""))</f>
        <v/>
      </c>
      <c r="G985" s="33">
        <f>IF(J985="H",(SUMIFS(Transaksi!$G$2:$G$2001,Transaksi!$M$2:$M$2001,"&lt;="&amp;S985)+SUMIFS(Transaksi!$H$2:$H$2001,Transaksi!$M$2:$M$2001,"&lt;="&amp;S985)+SUMIFS(Transaksi!$I$2:$I$2001,Transaksi!$M$2:$M$2001,"&lt;="&amp;S985))-(SUMIFS(Transaksi!$J$2:$J$2001,Transaksi!$M$2:$M$2001,"&lt;="&amp;S985)),"")</f>
        <v/>
      </c>
      <c r="I985">
        <f>IF(982&gt;$O$2,"",MATCH(982,$Q$3:$Q$402,1))</f>
        <v/>
      </c>
      <c r="J985">
        <f>IF(I985="","",IF(982=INDEX($Q$3:$Q$402,I985),"H","E"))</f>
        <v/>
      </c>
      <c r="K985">
        <f>IF(J985&lt;&gt;"E","",MATCH(S985,Transaksi!$M$2:$M$2001,0)+982-INDEX($Q$3:$Q$402,I985)-1)</f>
        <v/>
      </c>
      <c r="S985">
        <f>IF(I985="","",INDEX($O$3:$O$402,I985))</f>
        <v/>
      </c>
      <c r="T985">
        <f>IF(J985&lt;&gt;"H","",INDEX(Transaksi!$A$2:$A$2001,MATCH(S985,Transaksi!$M$2:$M$2001,0)))</f>
        <v/>
      </c>
    </row>
    <row r="986">
      <c r="A986" s="31">
        <f>IF(J986="E",IF(INDEX(Transaksi!$J$2:$J$2001,K986)&gt;0,"↑","↓"),"")</f>
        <v/>
      </c>
      <c r="B986" s="32">
        <f>IF(J986="H",CHOOSE(WEEKDAY(T986,2),"Isnin","Selasa","Rabu","Khamis","Jumaat","Sabtu","Ahad")&amp;", "&amp;DAY(T986)&amp;" "&amp;CHOOSE(MONTH(T986),"Jan","Feb","Mac","Apr","Mei","Jun","Jul","Ogo","Sep","Okt","Nov","Dis")&amp;" "&amp;YEAR(T986),IF(J986="E",IF(INDEX(Transaksi!$B$2:$B$2001,K986)="",INDEX(Transaksi!$C$2:$C$2001,K986)&amp;" · "&amp;INDEX(Transaksi!$D$2:$D$2001,K986),INDEX(Transaksi!$B$2:$B$2001,K986)),""))</f>
        <v/>
      </c>
      <c r="C986" s="32">
        <f>IF(J986="E",INDEX(Transaksi!$C$2:$C$2001,K986)&amp;"","")</f>
        <v/>
      </c>
      <c r="D986" s="32">
        <f>IF(J986="E",INDEX(Transaksi!$D$2:$D$2001,K986)&amp;"","")</f>
        <v/>
      </c>
      <c r="E986" s="33">
        <f>IF(J986="H",SUMIFS(Transaksi!$G$2:$G$2001,Transaksi!$M$2:$M$2001,"="&amp;S986)+SUMIFS(Transaksi!$H$2:$H$2001,Transaksi!$M$2:$M$2001,"="&amp;S986)+SUMIFS(Transaksi!$I$2:$I$2001,Transaksi!$M$2:$M$2001,"="&amp;S986),IF(J986="E",IF(INDEX(Transaksi!$G$2:$G$2001,K986)+INDEX(Transaksi!$H$2:$H$2001,K986)+INDEX(Transaksi!$I$2:$I$2001,K986)=0,"",INDEX(Transaksi!$G$2:$G$2001,K986)+INDEX(Transaksi!$H$2:$H$2001,K986)+INDEX(Transaksi!$I$2:$I$2001,K986)),""))</f>
        <v/>
      </c>
      <c r="F986" s="33">
        <f>IF(J986="H",SUMIFS(Transaksi!$J$2:$J$2001,Transaksi!$M$2:$M$2001,"="&amp;S986),IF(J986="E",IF(INDEX(Transaksi!$J$2:$J$2001,K986)=0,"",INDEX(Transaksi!$J$2:$J$2001,K986)),""))</f>
        <v/>
      </c>
      <c r="G986" s="33">
        <f>IF(J986="H",(SUMIFS(Transaksi!$G$2:$G$2001,Transaksi!$M$2:$M$2001,"&lt;="&amp;S986)+SUMIFS(Transaksi!$H$2:$H$2001,Transaksi!$M$2:$M$2001,"&lt;="&amp;S986)+SUMIFS(Transaksi!$I$2:$I$2001,Transaksi!$M$2:$M$2001,"&lt;="&amp;S986))-(SUMIFS(Transaksi!$J$2:$J$2001,Transaksi!$M$2:$M$2001,"&lt;="&amp;S986)),"")</f>
        <v/>
      </c>
      <c r="I986">
        <f>IF(983&gt;$O$2,"",MATCH(983,$Q$3:$Q$402,1))</f>
        <v/>
      </c>
      <c r="J986">
        <f>IF(I986="","",IF(983=INDEX($Q$3:$Q$402,I986),"H","E"))</f>
        <v/>
      </c>
      <c r="K986">
        <f>IF(J986&lt;&gt;"E","",MATCH(S986,Transaksi!$M$2:$M$2001,0)+983-INDEX($Q$3:$Q$402,I986)-1)</f>
        <v/>
      </c>
      <c r="S986">
        <f>IF(I986="","",INDEX($O$3:$O$402,I986))</f>
        <v/>
      </c>
      <c r="T986">
        <f>IF(J986&lt;&gt;"H","",INDEX(Transaksi!$A$2:$A$2001,MATCH(S986,Transaksi!$M$2:$M$2001,0)))</f>
        <v/>
      </c>
    </row>
    <row r="987">
      <c r="A987" s="31">
        <f>IF(J987="E",IF(INDEX(Transaksi!$J$2:$J$2001,K987)&gt;0,"↑","↓"),"")</f>
        <v/>
      </c>
      <c r="B987" s="32">
        <f>IF(J987="H",CHOOSE(WEEKDAY(T987,2),"Isnin","Selasa","Rabu","Khamis","Jumaat","Sabtu","Ahad")&amp;", "&amp;DAY(T987)&amp;" "&amp;CHOOSE(MONTH(T987),"Jan","Feb","Mac","Apr","Mei","Jun","Jul","Ogo","Sep","Okt","Nov","Dis")&amp;" "&amp;YEAR(T987),IF(J987="E",IF(INDEX(Transaksi!$B$2:$B$2001,K987)="",INDEX(Transaksi!$C$2:$C$2001,K987)&amp;" · "&amp;INDEX(Transaksi!$D$2:$D$2001,K987),INDEX(Transaksi!$B$2:$B$2001,K987)),""))</f>
        <v/>
      </c>
      <c r="C987" s="32">
        <f>IF(J987="E",INDEX(Transaksi!$C$2:$C$2001,K987)&amp;"","")</f>
        <v/>
      </c>
      <c r="D987" s="32">
        <f>IF(J987="E",INDEX(Transaksi!$D$2:$D$2001,K987)&amp;"","")</f>
        <v/>
      </c>
      <c r="E987" s="33">
        <f>IF(J987="H",SUMIFS(Transaksi!$G$2:$G$2001,Transaksi!$M$2:$M$2001,"="&amp;S987)+SUMIFS(Transaksi!$H$2:$H$2001,Transaksi!$M$2:$M$2001,"="&amp;S987)+SUMIFS(Transaksi!$I$2:$I$2001,Transaksi!$M$2:$M$2001,"="&amp;S987),IF(J987="E",IF(INDEX(Transaksi!$G$2:$G$2001,K987)+INDEX(Transaksi!$H$2:$H$2001,K987)+INDEX(Transaksi!$I$2:$I$2001,K987)=0,"",INDEX(Transaksi!$G$2:$G$2001,K987)+INDEX(Transaksi!$H$2:$H$2001,K987)+INDEX(Transaksi!$I$2:$I$2001,K987)),""))</f>
        <v/>
      </c>
      <c r="F987" s="33">
        <f>IF(J987="H",SUMIFS(Transaksi!$J$2:$J$2001,Transaksi!$M$2:$M$2001,"="&amp;S987),IF(J987="E",IF(INDEX(Transaksi!$J$2:$J$2001,K987)=0,"",INDEX(Transaksi!$J$2:$J$2001,K987)),""))</f>
        <v/>
      </c>
      <c r="G987" s="33">
        <f>IF(J987="H",(SUMIFS(Transaksi!$G$2:$G$2001,Transaksi!$M$2:$M$2001,"&lt;="&amp;S987)+SUMIFS(Transaksi!$H$2:$H$2001,Transaksi!$M$2:$M$2001,"&lt;="&amp;S987)+SUMIFS(Transaksi!$I$2:$I$2001,Transaksi!$M$2:$M$2001,"&lt;="&amp;S987))-(SUMIFS(Transaksi!$J$2:$J$2001,Transaksi!$M$2:$M$2001,"&lt;="&amp;S987)),"")</f>
        <v/>
      </c>
      <c r="I987">
        <f>IF(984&gt;$O$2,"",MATCH(984,$Q$3:$Q$402,1))</f>
        <v/>
      </c>
      <c r="J987">
        <f>IF(I987="","",IF(984=INDEX($Q$3:$Q$402,I987),"H","E"))</f>
        <v/>
      </c>
      <c r="K987">
        <f>IF(J987&lt;&gt;"E","",MATCH(S987,Transaksi!$M$2:$M$2001,0)+984-INDEX($Q$3:$Q$402,I987)-1)</f>
        <v/>
      </c>
      <c r="S987">
        <f>IF(I987="","",INDEX($O$3:$O$402,I987))</f>
        <v/>
      </c>
      <c r="T987">
        <f>IF(J987&lt;&gt;"H","",INDEX(Transaksi!$A$2:$A$2001,MATCH(S987,Transaksi!$M$2:$M$2001,0)))</f>
        <v/>
      </c>
    </row>
    <row r="988">
      <c r="A988" s="31">
        <f>IF(J988="E",IF(INDEX(Transaksi!$J$2:$J$2001,K988)&gt;0,"↑","↓"),"")</f>
        <v/>
      </c>
      <c r="B988" s="32">
        <f>IF(J988="H",CHOOSE(WEEKDAY(T988,2),"Isnin","Selasa","Rabu","Khamis","Jumaat","Sabtu","Ahad")&amp;", "&amp;DAY(T988)&amp;" "&amp;CHOOSE(MONTH(T988),"Jan","Feb","Mac","Apr","Mei","Jun","Jul","Ogo","Sep","Okt","Nov","Dis")&amp;" "&amp;YEAR(T988),IF(J988="E",IF(INDEX(Transaksi!$B$2:$B$2001,K988)="",INDEX(Transaksi!$C$2:$C$2001,K988)&amp;" · "&amp;INDEX(Transaksi!$D$2:$D$2001,K988),INDEX(Transaksi!$B$2:$B$2001,K988)),""))</f>
        <v/>
      </c>
      <c r="C988" s="32">
        <f>IF(J988="E",INDEX(Transaksi!$C$2:$C$2001,K988)&amp;"","")</f>
        <v/>
      </c>
      <c r="D988" s="32">
        <f>IF(J988="E",INDEX(Transaksi!$D$2:$D$2001,K988)&amp;"","")</f>
        <v/>
      </c>
      <c r="E988" s="33">
        <f>IF(J988="H",SUMIFS(Transaksi!$G$2:$G$2001,Transaksi!$M$2:$M$2001,"="&amp;S988)+SUMIFS(Transaksi!$H$2:$H$2001,Transaksi!$M$2:$M$2001,"="&amp;S988)+SUMIFS(Transaksi!$I$2:$I$2001,Transaksi!$M$2:$M$2001,"="&amp;S988),IF(J988="E",IF(INDEX(Transaksi!$G$2:$G$2001,K988)+INDEX(Transaksi!$H$2:$H$2001,K988)+INDEX(Transaksi!$I$2:$I$2001,K988)=0,"",INDEX(Transaksi!$G$2:$G$2001,K988)+INDEX(Transaksi!$H$2:$H$2001,K988)+INDEX(Transaksi!$I$2:$I$2001,K988)),""))</f>
        <v/>
      </c>
      <c r="F988" s="33">
        <f>IF(J988="H",SUMIFS(Transaksi!$J$2:$J$2001,Transaksi!$M$2:$M$2001,"="&amp;S988),IF(J988="E",IF(INDEX(Transaksi!$J$2:$J$2001,K988)=0,"",INDEX(Transaksi!$J$2:$J$2001,K988)),""))</f>
        <v/>
      </c>
      <c r="G988" s="33">
        <f>IF(J988="H",(SUMIFS(Transaksi!$G$2:$G$2001,Transaksi!$M$2:$M$2001,"&lt;="&amp;S988)+SUMIFS(Transaksi!$H$2:$H$2001,Transaksi!$M$2:$M$2001,"&lt;="&amp;S988)+SUMIFS(Transaksi!$I$2:$I$2001,Transaksi!$M$2:$M$2001,"&lt;="&amp;S988))-(SUMIFS(Transaksi!$J$2:$J$2001,Transaksi!$M$2:$M$2001,"&lt;="&amp;S988)),"")</f>
        <v/>
      </c>
      <c r="I988">
        <f>IF(985&gt;$O$2,"",MATCH(985,$Q$3:$Q$402,1))</f>
        <v/>
      </c>
      <c r="J988">
        <f>IF(I988="","",IF(985=INDEX($Q$3:$Q$402,I988),"H","E"))</f>
        <v/>
      </c>
      <c r="K988">
        <f>IF(J988&lt;&gt;"E","",MATCH(S988,Transaksi!$M$2:$M$2001,0)+985-INDEX($Q$3:$Q$402,I988)-1)</f>
        <v/>
      </c>
      <c r="S988">
        <f>IF(I988="","",INDEX($O$3:$O$402,I988))</f>
        <v/>
      </c>
      <c r="T988">
        <f>IF(J988&lt;&gt;"H","",INDEX(Transaksi!$A$2:$A$2001,MATCH(S988,Transaksi!$M$2:$M$2001,0)))</f>
        <v/>
      </c>
    </row>
    <row r="989">
      <c r="A989" s="31">
        <f>IF(J989="E",IF(INDEX(Transaksi!$J$2:$J$2001,K989)&gt;0,"↑","↓"),"")</f>
        <v/>
      </c>
      <c r="B989" s="32">
        <f>IF(J989="H",CHOOSE(WEEKDAY(T989,2),"Isnin","Selasa","Rabu","Khamis","Jumaat","Sabtu","Ahad")&amp;", "&amp;DAY(T989)&amp;" "&amp;CHOOSE(MONTH(T989),"Jan","Feb","Mac","Apr","Mei","Jun","Jul","Ogo","Sep","Okt","Nov","Dis")&amp;" "&amp;YEAR(T989),IF(J989="E",IF(INDEX(Transaksi!$B$2:$B$2001,K989)="",INDEX(Transaksi!$C$2:$C$2001,K989)&amp;" · "&amp;INDEX(Transaksi!$D$2:$D$2001,K989),INDEX(Transaksi!$B$2:$B$2001,K989)),""))</f>
        <v/>
      </c>
      <c r="C989" s="32">
        <f>IF(J989="E",INDEX(Transaksi!$C$2:$C$2001,K989)&amp;"","")</f>
        <v/>
      </c>
      <c r="D989" s="32">
        <f>IF(J989="E",INDEX(Transaksi!$D$2:$D$2001,K989)&amp;"","")</f>
        <v/>
      </c>
      <c r="E989" s="33">
        <f>IF(J989="H",SUMIFS(Transaksi!$G$2:$G$2001,Transaksi!$M$2:$M$2001,"="&amp;S989)+SUMIFS(Transaksi!$H$2:$H$2001,Transaksi!$M$2:$M$2001,"="&amp;S989)+SUMIFS(Transaksi!$I$2:$I$2001,Transaksi!$M$2:$M$2001,"="&amp;S989),IF(J989="E",IF(INDEX(Transaksi!$G$2:$G$2001,K989)+INDEX(Transaksi!$H$2:$H$2001,K989)+INDEX(Transaksi!$I$2:$I$2001,K989)=0,"",INDEX(Transaksi!$G$2:$G$2001,K989)+INDEX(Transaksi!$H$2:$H$2001,K989)+INDEX(Transaksi!$I$2:$I$2001,K989)),""))</f>
        <v/>
      </c>
      <c r="F989" s="33">
        <f>IF(J989="H",SUMIFS(Transaksi!$J$2:$J$2001,Transaksi!$M$2:$M$2001,"="&amp;S989),IF(J989="E",IF(INDEX(Transaksi!$J$2:$J$2001,K989)=0,"",INDEX(Transaksi!$J$2:$J$2001,K989)),""))</f>
        <v/>
      </c>
      <c r="G989" s="33">
        <f>IF(J989="H",(SUMIFS(Transaksi!$G$2:$G$2001,Transaksi!$M$2:$M$2001,"&lt;="&amp;S989)+SUMIFS(Transaksi!$H$2:$H$2001,Transaksi!$M$2:$M$2001,"&lt;="&amp;S989)+SUMIFS(Transaksi!$I$2:$I$2001,Transaksi!$M$2:$M$2001,"&lt;="&amp;S989))-(SUMIFS(Transaksi!$J$2:$J$2001,Transaksi!$M$2:$M$2001,"&lt;="&amp;S989)),"")</f>
        <v/>
      </c>
      <c r="I989">
        <f>IF(986&gt;$O$2,"",MATCH(986,$Q$3:$Q$402,1))</f>
        <v/>
      </c>
      <c r="J989">
        <f>IF(I989="","",IF(986=INDEX($Q$3:$Q$402,I989),"H","E"))</f>
        <v/>
      </c>
      <c r="K989">
        <f>IF(J989&lt;&gt;"E","",MATCH(S989,Transaksi!$M$2:$M$2001,0)+986-INDEX($Q$3:$Q$402,I989)-1)</f>
        <v/>
      </c>
      <c r="S989">
        <f>IF(I989="","",INDEX($O$3:$O$402,I989))</f>
        <v/>
      </c>
      <c r="T989">
        <f>IF(J989&lt;&gt;"H","",INDEX(Transaksi!$A$2:$A$2001,MATCH(S989,Transaksi!$M$2:$M$2001,0)))</f>
        <v/>
      </c>
    </row>
    <row r="990">
      <c r="A990" s="31">
        <f>IF(J990="E",IF(INDEX(Transaksi!$J$2:$J$2001,K990)&gt;0,"↑","↓"),"")</f>
        <v/>
      </c>
      <c r="B990" s="32">
        <f>IF(J990="H",CHOOSE(WEEKDAY(T990,2),"Isnin","Selasa","Rabu","Khamis","Jumaat","Sabtu","Ahad")&amp;", "&amp;DAY(T990)&amp;" "&amp;CHOOSE(MONTH(T990),"Jan","Feb","Mac","Apr","Mei","Jun","Jul","Ogo","Sep","Okt","Nov","Dis")&amp;" "&amp;YEAR(T990),IF(J990="E",IF(INDEX(Transaksi!$B$2:$B$2001,K990)="",INDEX(Transaksi!$C$2:$C$2001,K990)&amp;" · "&amp;INDEX(Transaksi!$D$2:$D$2001,K990),INDEX(Transaksi!$B$2:$B$2001,K990)),""))</f>
        <v/>
      </c>
      <c r="C990" s="32">
        <f>IF(J990="E",INDEX(Transaksi!$C$2:$C$2001,K990)&amp;"","")</f>
        <v/>
      </c>
      <c r="D990" s="32">
        <f>IF(J990="E",INDEX(Transaksi!$D$2:$D$2001,K990)&amp;"","")</f>
        <v/>
      </c>
      <c r="E990" s="33">
        <f>IF(J990="H",SUMIFS(Transaksi!$G$2:$G$2001,Transaksi!$M$2:$M$2001,"="&amp;S990)+SUMIFS(Transaksi!$H$2:$H$2001,Transaksi!$M$2:$M$2001,"="&amp;S990)+SUMIFS(Transaksi!$I$2:$I$2001,Transaksi!$M$2:$M$2001,"="&amp;S990),IF(J990="E",IF(INDEX(Transaksi!$G$2:$G$2001,K990)+INDEX(Transaksi!$H$2:$H$2001,K990)+INDEX(Transaksi!$I$2:$I$2001,K990)=0,"",INDEX(Transaksi!$G$2:$G$2001,K990)+INDEX(Transaksi!$H$2:$H$2001,K990)+INDEX(Transaksi!$I$2:$I$2001,K990)),""))</f>
        <v/>
      </c>
      <c r="F990" s="33">
        <f>IF(J990="H",SUMIFS(Transaksi!$J$2:$J$2001,Transaksi!$M$2:$M$2001,"="&amp;S990),IF(J990="E",IF(INDEX(Transaksi!$J$2:$J$2001,K990)=0,"",INDEX(Transaksi!$J$2:$J$2001,K990)),""))</f>
        <v/>
      </c>
      <c r="G990" s="33">
        <f>IF(J990="H",(SUMIFS(Transaksi!$G$2:$G$2001,Transaksi!$M$2:$M$2001,"&lt;="&amp;S990)+SUMIFS(Transaksi!$H$2:$H$2001,Transaksi!$M$2:$M$2001,"&lt;="&amp;S990)+SUMIFS(Transaksi!$I$2:$I$2001,Transaksi!$M$2:$M$2001,"&lt;="&amp;S990))-(SUMIFS(Transaksi!$J$2:$J$2001,Transaksi!$M$2:$M$2001,"&lt;="&amp;S990)),"")</f>
        <v/>
      </c>
      <c r="I990">
        <f>IF(987&gt;$O$2,"",MATCH(987,$Q$3:$Q$402,1))</f>
        <v/>
      </c>
      <c r="J990">
        <f>IF(I990="","",IF(987=INDEX($Q$3:$Q$402,I990),"H","E"))</f>
        <v/>
      </c>
      <c r="K990">
        <f>IF(J990&lt;&gt;"E","",MATCH(S990,Transaksi!$M$2:$M$2001,0)+987-INDEX($Q$3:$Q$402,I990)-1)</f>
        <v/>
      </c>
      <c r="S990">
        <f>IF(I990="","",INDEX($O$3:$O$402,I990))</f>
        <v/>
      </c>
      <c r="T990">
        <f>IF(J990&lt;&gt;"H","",INDEX(Transaksi!$A$2:$A$2001,MATCH(S990,Transaksi!$M$2:$M$2001,0)))</f>
        <v/>
      </c>
    </row>
    <row r="991">
      <c r="A991" s="31">
        <f>IF(J991="E",IF(INDEX(Transaksi!$J$2:$J$2001,K991)&gt;0,"↑","↓"),"")</f>
        <v/>
      </c>
      <c r="B991" s="32">
        <f>IF(J991="H",CHOOSE(WEEKDAY(T991,2),"Isnin","Selasa","Rabu","Khamis","Jumaat","Sabtu","Ahad")&amp;", "&amp;DAY(T991)&amp;" "&amp;CHOOSE(MONTH(T991),"Jan","Feb","Mac","Apr","Mei","Jun","Jul","Ogo","Sep","Okt","Nov","Dis")&amp;" "&amp;YEAR(T991),IF(J991="E",IF(INDEX(Transaksi!$B$2:$B$2001,K991)="",INDEX(Transaksi!$C$2:$C$2001,K991)&amp;" · "&amp;INDEX(Transaksi!$D$2:$D$2001,K991),INDEX(Transaksi!$B$2:$B$2001,K991)),""))</f>
        <v/>
      </c>
      <c r="C991" s="32">
        <f>IF(J991="E",INDEX(Transaksi!$C$2:$C$2001,K991)&amp;"","")</f>
        <v/>
      </c>
      <c r="D991" s="32">
        <f>IF(J991="E",INDEX(Transaksi!$D$2:$D$2001,K991)&amp;"","")</f>
        <v/>
      </c>
      <c r="E991" s="33">
        <f>IF(J991="H",SUMIFS(Transaksi!$G$2:$G$2001,Transaksi!$M$2:$M$2001,"="&amp;S991)+SUMIFS(Transaksi!$H$2:$H$2001,Transaksi!$M$2:$M$2001,"="&amp;S991)+SUMIFS(Transaksi!$I$2:$I$2001,Transaksi!$M$2:$M$2001,"="&amp;S991),IF(J991="E",IF(INDEX(Transaksi!$G$2:$G$2001,K991)+INDEX(Transaksi!$H$2:$H$2001,K991)+INDEX(Transaksi!$I$2:$I$2001,K991)=0,"",INDEX(Transaksi!$G$2:$G$2001,K991)+INDEX(Transaksi!$H$2:$H$2001,K991)+INDEX(Transaksi!$I$2:$I$2001,K991)),""))</f>
        <v/>
      </c>
      <c r="F991" s="33">
        <f>IF(J991="H",SUMIFS(Transaksi!$J$2:$J$2001,Transaksi!$M$2:$M$2001,"="&amp;S991),IF(J991="E",IF(INDEX(Transaksi!$J$2:$J$2001,K991)=0,"",INDEX(Transaksi!$J$2:$J$2001,K991)),""))</f>
        <v/>
      </c>
      <c r="G991" s="33">
        <f>IF(J991="H",(SUMIFS(Transaksi!$G$2:$G$2001,Transaksi!$M$2:$M$2001,"&lt;="&amp;S991)+SUMIFS(Transaksi!$H$2:$H$2001,Transaksi!$M$2:$M$2001,"&lt;="&amp;S991)+SUMIFS(Transaksi!$I$2:$I$2001,Transaksi!$M$2:$M$2001,"&lt;="&amp;S991))-(SUMIFS(Transaksi!$J$2:$J$2001,Transaksi!$M$2:$M$2001,"&lt;="&amp;S991)),"")</f>
        <v/>
      </c>
      <c r="I991">
        <f>IF(988&gt;$O$2,"",MATCH(988,$Q$3:$Q$402,1))</f>
        <v/>
      </c>
      <c r="J991">
        <f>IF(I991="","",IF(988=INDEX($Q$3:$Q$402,I991),"H","E"))</f>
        <v/>
      </c>
      <c r="K991">
        <f>IF(J991&lt;&gt;"E","",MATCH(S991,Transaksi!$M$2:$M$2001,0)+988-INDEX($Q$3:$Q$402,I991)-1)</f>
        <v/>
      </c>
      <c r="S991">
        <f>IF(I991="","",INDEX($O$3:$O$402,I991))</f>
        <v/>
      </c>
      <c r="T991">
        <f>IF(J991&lt;&gt;"H","",INDEX(Transaksi!$A$2:$A$2001,MATCH(S991,Transaksi!$M$2:$M$2001,0)))</f>
        <v/>
      </c>
    </row>
    <row r="992">
      <c r="A992" s="31">
        <f>IF(J992="E",IF(INDEX(Transaksi!$J$2:$J$2001,K992)&gt;0,"↑","↓"),"")</f>
        <v/>
      </c>
      <c r="B992" s="32">
        <f>IF(J992="H",CHOOSE(WEEKDAY(T992,2),"Isnin","Selasa","Rabu","Khamis","Jumaat","Sabtu","Ahad")&amp;", "&amp;DAY(T992)&amp;" "&amp;CHOOSE(MONTH(T992),"Jan","Feb","Mac","Apr","Mei","Jun","Jul","Ogo","Sep","Okt","Nov","Dis")&amp;" "&amp;YEAR(T992),IF(J992="E",IF(INDEX(Transaksi!$B$2:$B$2001,K992)="",INDEX(Transaksi!$C$2:$C$2001,K992)&amp;" · "&amp;INDEX(Transaksi!$D$2:$D$2001,K992),INDEX(Transaksi!$B$2:$B$2001,K992)),""))</f>
        <v/>
      </c>
      <c r="C992" s="32">
        <f>IF(J992="E",INDEX(Transaksi!$C$2:$C$2001,K992)&amp;"","")</f>
        <v/>
      </c>
      <c r="D992" s="32">
        <f>IF(J992="E",INDEX(Transaksi!$D$2:$D$2001,K992)&amp;"","")</f>
        <v/>
      </c>
      <c r="E992" s="33">
        <f>IF(J992="H",SUMIFS(Transaksi!$G$2:$G$2001,Transaksi!$M$2:$M$2001,"="&amp;S992)+SUMIFS(Transaksi!$H$2:$H$2001,Transaksi!$M$2:$M$2001,"="&amp;S992)+SUMIFS(Transaksi!$I$2:$I$2001,Transaksi!$M$2:$M$2001,"="&amp;S992),IF(J992="E",IF(INDEX(Transaksi!$G$2:$G$2001,K992)+INDEX(Transaksi!$H$2:$H$2001,K992)+INDEX(Transaksi!$I$2:$I$2001,K992)=0,"",INDEX(Transaksi!$G$2:$G$2001,K992)+INDEX(Transaksi!$H$2:$H$2001,K992)+INDEX(Transaksi!$I$2:$I$2001,K992)),""))</f>
        <v/>
      </c>
      <c r="F992" s="33">
        <f>IF(J992="H",SUMIFS(Transaksi!$J$2:$J$2001,Transaksi!$M$2:$M$2001,"="&amp;S992),IF(J992="E",IF(INDEX(Transaksi!$J$2:$J$2001,K992)=0,"",INDEX(Transaksi!$J$2:$J$2001,K992)),""))</f>
        <v/>
      </c>
      <c r="G992" s="33">
        <f>IF(J992="H",(SUMIFS(Transaksi!$G$2:$G$2001,Transaksi!$M$2:$M$2001,"&lt;="&amp;S992)+SUMIFS(Transaksi!$H$2:$H$2001,Transaksi!$M$2:$M$2001,"&lt;="&amp;S992)+SUMIFS(Transaksi!$I$2:$I$2001,Transaksi!$M$2:$M$2001,"&lt;="&amp;S992))-(SUMIFS(Transaksi!$J$2:$J$2001,Transaksi!$M$2:$M$2001,"&lt;="&amp;S992)),"")</f>
        <v/>
      </c>
      <c r="I992">
        <f>IF(989&gt;$O$2,"",MATCH(989,$Q$3:$Q$402,1))</f>
        <v/>
      </c>
      <c r="J992">
        <f>IF(I992="","",IF(989=INDEX($Q$3:$Q$402,I992),"H","E"))</f>
        <v/>
      </c>
      <c r="K992">
        <f>IF(J992&lt;&gt;"E","",MATCH(S992,Transaksi!$M$2:$M$2001,0)+989-INDEX($Q$3:$Q$402,I992)-1)</f>
        <v/>
      </c>
      <c r="S992">
        <f>IF(I992="","",INDEX($O$3:$O$402,I992))</f>
        <v/>
      </c>
      <c r="T992">
        <f>IF(J992&lt;&gt;"H","",INDEX(Transaksi!$A$2:$A$2001,MATCH(S992,Transaksi!$M$2:$M$2001,0)))</f>
        <v/>
      </c>
    </row>
    <row r="993">
      <c r="A993" s="31">
        <f>IF(J993="E",IF(INDEX(Transaksi!$J$2:$J$2001,K993)&gt;0,"↑","↓"),"")</f>
        <v/>
      </c>
      <c r="B993" s="32">
        <f>IF(J993="H",CHOOSE(WEEKDAY(T993,2),"Isnin","Selasa","Rabu","Khamis","Jumaat","Sabtu","Ahad")&amp;", "&amp;DAY(T993)&amp;" "&amp;CHOOSE(MONTH(T993),"Jan","Feb","Mac","Apr","Mei","Jun","Jul","Ogo","Sep","Okt","Nov","Dis")&amp;" "&amp;YEAR(T993),IF(J993="E",IF(INDEX(Transaksi!$B$2:$B$2001,K993)="",INDEX(Transaksi!$C$2:$C$2001,K993)&amp;" · "&amp;INDEX(Transaksi!$D$2:$D$2001,K993),INDEX(Transaksi!$B$2:$B$2001,K993)),""))</f>
        <v/>
      </c>
      <c r="C993" s="32">
        <f>IF(J993="E",INDEX(Transaksi!$C$2:$C$2001,K993)&amp;"","")</f>
        <v/>
      </c>
      <c r="D993" s="32">
        <f>IF(J993="E",INDEX(Transaksi!$D$2:$D$2001,K993)&amp;"","")</f>
        <v/>
      </c>
      <c r="E993" s="33">
        <f>IF(J993="H",SUMIFS(Transaksi!$G$2:$G$2001,Transaksi!$M$2:$M$2001,"="&amp;S993)+SUMIFS(Transaksi!$H$2:$H$2001,Transaksi!$M$2:$M$2001,"="&amp;S993)+SUMIFS(Transaksi!$I$2:$I$2001,Transaksi!$M$2:$M$2001,"="&amp;S993),IF(J993="E",IF(INDEX(Transaksi!$G$2:$G$2001,K993)+INDEX(Transaksi!$H$2:$H$2001,K993)+INDEX(Transaksi!$I$2:$I$2001,K993)=0,"",INDEX(Transaksi!$G$2:$G$2001,K993)+INDEX(Transaksi!$H$2:$H$2001,K993)+INDEX(Transaksi!$I$2:$I$2001,K993)),""))</f>
        <v/>
      </c>
      <c r="F993" s="33">
        <f>IF(J993="H",SUMIFS(Transaksi!$J$2:$J$2001,Transaksi!$M$2:$M$2001,"="&amp;S993),IF(J993="E",IF(INDEX(Transaksi!$J$2:$J$2001,K993)=0,"",INDEX(Transaksi!$J$2:$J$2001,K993)),""))</f>
        <v/>
      </c>
      <c r="G993" s="33">
        <f>IF(J993="H",(SUMIFS(Transaksi!$G$2:$G$2001,Transaksi!$M$2:$M$2001,"&lt;="&amp;S993)+SUMIFS(Transaksi!$H$2:$H$2001,Transaksi!$M$2:$M$2001,"&lt;="&amp;S993)+SUMIFS(Transaksi!$I$2:$I$2001,Transaksi!$M$2:$M$2001,"&lt;="&amp;S993))-(SUMIFS(Transaksi!$J$2:$J$2001,Transaksi!$M$2:$M$2001,"&lt;="&amp;S993)),"")</f>
        <v/>
      </c>
      <c r="I993">
        <f>IF(990&gt;$O$2,"",MATCH(990,$Q$3:$Q$402,1))</f>
        <v/>
      </c>
      <c r="J993">
        <f>IF(I993="","",IF(990=INDEX($Q$3:$Q$402,I993),"H","E"))</f>
        <v/>
      </c>
      <c r="K993">
        <f>IF(J993&lt;&gt;"E","",MATCH(S993,Transaksi!$M$2:$M$2001,0)+990-INDEX($Q$3:$Q$402,I993)-1)</f>
        <v/>
      </c>
      <c r="S993">
        <f>IF(I993="","",INDEX($O$3:$O$402,I993))</f>
        <v/>
      </c>
      <c r="T993">
        <f>IF(J993&lt;&gt;"H","",INDEX(Transaksi!$A$2:$A$2001,MATCH(S993,Transaksi!$M$2:$M$2001,0)))</f>
        <v/>
      </c>
    </row>
    <row r="994">
      <c r="A994" s="31">
        <f>IF(J994="E",IF(INDEX(Transaksi!$J$2:$J$2001,K994)&gt;0,"↑","↓"),"")</f>
        <v/>
      </c>
      <c r="B994" s="32">
        <f>IF(J994="H",CHOOSE(WEEKDAY(T994,2),"Isnin","Selasa","Rabu","Khamis","Jumaat","Sabtu","Ahad")&amp;", "&amp;DAY(T994)&amp;" "&amp;CHOOSE(MONTH(T994),"Jan","Feb","Mac","Apr","Mei","Jun","Jul","Ogo","Sep","Okt","Nov","Dis")&amp;" "&amp;YEAR(T994),IF(J994="E",IF(INDEX(Transaksi!$B$2:$B$2001,K994)="",INDEX(Transaksi!$C$2:$C$2001,K994)&amp;" · "&amp;INDEX(Transaksi!$D$2:$D$2001,K994),INDEX(Transaksi!$B$2:$B$2001,K994)),""))</f>
        <v/>
      </c>
      <c r="C994" s="32">
        <f>IF(J994="E",INDEX(Transaksi!$C$2:$C$2001,K994)&amp;"","")</f>
        <v/>
      </c>
      <c r="D994" s="32">
        <f>IF(J994="E",INDEX(Transaksi!$D$2:$D$2001,K994)&amp;"","")</f>
        <v/>
      </c>
      <c r="E994" s="33">
        <f>IF(J994="H",SUMIFS(Transaksi!$G$2:$G$2001,Transaksi!$M$2:$M$2001,"="&amp;S994)+SUMIFS(Transaksi!$H$2:$H$2001,Transaksi!$M$2:$M$2001,"="&amp;S994)+SUMIFS(Transaksi!$I$2:$I$2001,Transaksi!$M$2:$M$2001,"="&amp;S994),IF(J994="E",IF(INDEX(Transaksi!$G$2:$G$2001,K994)+INDEX(Transaksi!$H$2:$H$2001,K994)+INDEX(Transaksi!$I$2:$I$2001,K994)=0,"",INDEX(Transaksi!$G$2:$G$2001,K994)+INDEX(Transaksi!$H$2:$H$2001,K994)+INDEX(Transaksi!$I$2:$I$2001,K994)),""))</f>
        <v/>
      </c>
      <c r="F994" s="33">
        <f>IF(J994="H",SUMIFS(Transaksi!$J$2:$J$2001,Transaksi!$M$2:$M$2001,"="&amp;S994),IF(J994="E",IF(INDEX(Transaksi!$J$2:$J$2001,K994)=0,"",INDEX(Transaksi!$J$2:$J$2001,K994)),""))</f>
        <v/>
      </c>
      <c r="G994" s="33">
        <f>IF(J994="H",(SUMIFS(Transaksi!$G$2:$G$2001,Transaksi!$M$2:$M$2001,"&lt;="&amp;S994)+SUMIFS(Transaksi!$H$2:$H$2001,Transaksi!$M$2:$M$2001,"&lt;="&amp;S994)+SUMIFS(Transaksi!$I$2:$I$2001,Transaksi!$M$2:$M$2001,"&lt;="&amp;S994))-(SUMIFS(Transaksi!$J$2:$J$2001,Transaksi!$M$2:$M$2001,"&lt;="&amp;S994)),"")</f>
        <v/>
      </c>
      <c r="I994">
        <f>IF(991&gt;$O$2,"",MATCH(991,$Q$3:$Q$402,1))</f>
        <v/>
      </c>
      <c r="J994">
        <f>IF(I994="","",IF(991=INDEX($Q$3:$Q$402,I994),"H","E"))</f>
        <v/>
      </c>
      <c r="K994">
        <f>IF(J994&lt;&gt;"E","",MATCH(S994,Transaksi!$M$2:$M$2001,0)+991-INDEX($Q$3:$Q$402,I994)-1)</f>
        <v/>
      </c>
      <c r="S994">
        <f>IF(I994="","",INDEX($O$3:$O$402,I994))</f>
        <v/>
      </c>
      <c r="T994">
        <f>IF(J994&lt;&gt;"H","",INDEX(Transaksi!$A$2:$A$2001,MATCH(S994,Transaksi!$M$2:$M$2001,0)))</f>
        <v/>
      </c>
    </row>
    <row r="995">
      <c r="A995" s="31">
        <f>IF(J995="E",IF(INDEX(Transaksi!$J$2:$J$2001,K995)&gt;0,"↑","↓"),"")</f>
        <v/>
      </c>
      <c r="B995" s="32">
        <f>IF(J995="H",CHOOSE(WEEKDAY(T995,2),"Isnin","Selasa","Rabu","Khamis","Jumaat","Sabtu","Ahad")&amp;", "&amp;DAY(T995)&amp;" "&amp;CHOOSE(MONTH(T995),"Jan","Feb","Mac","Apr","Mei","Jun","Jul","Ogo","Sep","Okt","Nov","Dis")&amp;" "&amp;YEAR(T995),IF(J995="E",IF(INDEX(Transaksi!$B$2:$B$2001,K995)="",INDEX(Transaksi!$C$2:$C$2001,K995)&amp;" · "&amp;INDEX(Transaksi!$D$2:$D$2001,K995),INDEX(Transaksi!$B$2:$B$2001,K995)),""))</f>
        <v/>
      </c>
      <c r="C995" s="32">
        <f>IF(J995="E",INDEX(Transaksi!$C$2:$C$2001,K995)&amp;"","")</f>
        <v/>
      </c>
      <c r="D995" s="32">
        <f>IF(J995="E",INDEX(Transaksi!$D$2:$D$2001,K995)&amp;"","")</f>
        <v/>
      </c>
      <c r="E995" s="33">
        <f>IF(J995="H",SUMIFS(Transaksi!$G$2:$G$2001,Transaksi!$M$2:$M$2001,"="&amp;S995)+SUMIFS(Transaksi!$H$2:$H$2001,Transaksi!$M$2:$M$2001,"="&amp;S995)+SUMIFS(Transaksi!$I$2:$I$2001,Transaksi!$M$2:$M$2001,"="&amp;S995),IF(J995="E",IF(INDEX(Transaksi!$G$2:$G$2001,K995)+INDEX(Transaksi!$H$2:$H$2001,K995)+INDEX(Transaksi!$I$2:$I$2001,K995)=0,"",INDEX(Transaksi!$G$2:$G$2001,K995)+INDEX(Transaksi!$H$2:$H$2001,K995)+INDEX(Transaksi!$I$2:$I$2001,K995)),""))</f>
        <v/>
      </c>
      <c r="F995" s="33">
        <f>IF(J995="H",SUMIFS(Transaksi!$J$2:$J$2001,Transaksi!$M$2:$M$2001,"="&amp;S995),IF(J995="E",IF(INDEX(Transaksi!$J$2:$J$2001,K995)=0,"",INDEX(Transaksi!$J$2:$J$2001,K995)),""))</f>
        <v/>
      </c>
      <c r="G995" s="33">
        <f>IF(J995="H",(SUMIFS(Transaksi!$G$2:$G$2001,Transaksi!$M$2:$M$2001,"&lt;="&amp;S995)+SUMIFS(Transaksi!$H$2:$H$2001,Transaksi!$M$2:$M$2001,"&lt;="&amp;S995)+SUMIFS(Transaksi!$I$2:$I$2001,Transaksi!$M$2:$M$2001,"&lt;="&amp;S995))-(SUMIFS(Transaksi!$J$2:$J$2001,Transaksi!$M$2:$M$2001,"&lt;="&amp;S995)),"")</f>
        <v/>
      </c>
      <c r="I995">
        <f>IF(992&gt;$O$2,"",MATCH(992,$Q$3:$Q$402,1))</f>
        <v/>
      </c>
      <c r="J995">
        <f>IF(I995="","",IF(992=INDEX($Q$3:$Q$402,I995),"H","E"))</f>
        <v/>
      </c>
      <c r="K995">
        <f>IF(J995&lt;&gt;"E","",MATCH(S995,Transaksi!$M$2:$M$2001,0)+992-INDEX($Q$3:$Q$402,I995)-1)</f>
        <v/>
      </c>
      <c r="S995">
        <f>IF(I995="","",INDEX($O$3:$O$402,I995))</f>
        <v/>
      </c>
      <c r="T995">
        <f>IF(J995&lt;&gt;"H","",INDEX(Transaksi!$A$2:$A$2001,MATCH(S995,Transaksi!$M$2:$M$2001,0)))</f>
        <v/>
      </c>
    </row>
    <row r="996">
      <c r="A996" s="31">
        <f>IF(J996="E",IF(INDEX(Transaksi!$J$2:$J$2001,K996)&gt;0,"↑","↓"),"")</f>
        <v/>
      </c>
      <c r="B996" s="32">
        <f>IF(J996="H",CHOOSE(WEEKDAY(T996,2),"Isnin","Selasa","Rabu","Khamis","Jumaat","Sabtu","Ahad")&amp;", "&amp;DAY(T996)&amp;" "&amp;CHOOSE(MONTH(T996),"Jan","Feb","Mac","Apr","Mei","Jun","Jul","Ogo","Sep","Okt","Nov","Dis")&amp;" "&amp;YEAR(T996),IF(J996="E",IF(INDEX(Transaksi!$B$2:$B$2001,K996)="",INDEX(Transaksi!$C$2:$C$2001,K996)&amp;" · "&amp;INDEX(Transaksi!$D$2:$D$2001,K996),INDEX(Transaksi!$B$2:$B$2001,K996)),""))</f>
        <v/>
      </c>
      <c r="C996" s="32">
        <f>IF(J996="E",INDEX(Transaksi!$C$2:$C$2001,K996)&amp;"","")</f>
        <v/>
      </c>
      <c r="D996" s="32">
        <f>IF(J996="E",INDEX(Transaksi!$D$2:$D$2001,K996)&amp;"","")</f>
        <v/>
      </c>
      <c r="E996" s="33">
        <f>IF(J996="H",SUMIFS(Transaksi!$G$2:$G$2001,Transaksi!$M$2:$M$2001,"="&amp;S996)+SUMIFS(Transaksi!$H$2:$H$2001,Transaksi!$M$2:$M$2001,"="&amp;S996)+SUMIFS(Transaksi!$I$2:$I$2001,Transaksi!$M$2:$M$2001,"="&amp;S996),IF(J996="E",IF(INDEX(Transaksi!$G$2:$G$2001,K996)+INDEX(Transaksi!$H$2:$H$2001,K996)+INDEX(Transaksi!$I$2:$I$2001,K996)=0,"",INDEX(Transaksi!$G$2:$G$2001,K996)+INDEX(Transaksi!$H$2:$H$2001,K996)+INDEX(Transaksi!$I$2:$I$2001,K996)),""))</f>
        <v/>
      </c>
      <c r="F996" s="33">
        <f>IF(J996="H",SUMIFS(Transaksi!$J$2:$J$2001,Transaksi!$M$2:$M$2001,"="&amp;S996),IF(J996="E",IF(INDEX(Transaksi!$J$2:$J$2001,K996)=0,"",INDEX(Transaksi!$J$2:$J$2001,K996)),""))</f>
        <v/>
      </c>
      <c r="G996" s="33">
        <f>IF(J996="H",(SUMIFS(Transaksi!$G$2:$G$2001,Transaksi!$M$2:$M$2001,"&lt;="&amp;S996)+SUMIFS(Transaksi!$H$2:$H$2001,Transaksi!$M$2:$M$2001,"&lt;="&amp;S996)+SUMIFS(Transaksi!$I$2:$I$2001,Transaksi!$M$2:$M$2001,"&lt;="&amp;S996))-(SUMIFS(Transaksi!$J$2:$J$2001,Transaksi!$M$2:$M$2001,"&lt;="&amp;S996)),"")</f>
        <v/>
      </c>
      <c r="I996">
        <f>IF(993&gt;$O$2,"",MATCH(993,$Q$3:$Q$402,1))</f>
        <v/>
      </c>
      <c r="J996">
        <f>IF(I996="","",IF(993=INDEX($Q$3:$Q$402,I996),"H","E"))</f>
        <v/>
      </c>
      <c r="K996">
        <f>IF(J996&lt;&gt;"E","",MATCH(S996,Transaksi!$M$2:$M$2001,0)+993-INDEX($Q$3:$Q$402,I996)-1)</f>
        <v/>
      </c>
      <c r="S996">
        <f>IF(I996="","",INDEX($O$3:$O$402,I996))</f>
        <v/>
      </c>
      <c r="T996">
        <f>IF(J996&lt;&gt;"H","",INDEX(Transaksi!$A$2:$A$2001,MATCH(S996,Transaksi!$M$2:$M$2001,0)))</f>
        <v/>
      </c>
    </row>
    <row r="997">
      <c r="A997" s="31">
        <f>IF(J997="E",IF(INDEX(Transaksi!$J$2:$J$2001,K997)&gt;0,"↑","↓"),"")</f>
        <v/>
      </c>
      <c r="B997" s="32">
        <f>IF(J997="H",CHOOSE(WEEKDAY(T997,2),"Isnin","Selasa","Rabu","Khamis","Jumaat","Sabtu","Ahad")&amp;", "&amp;DAY(T997)&amp;" "&amp;CHOOSE(MONTH(T997),"Jan","Feb","Mac","Apr","Mei","Jun","Jul","Ogo","Sep","Okt","Nov","Dis")&amp;" "&amp;YEAR(T997),IF(J997="E",IF(INDEX(Transaksi!$B$2:$B$2001,K997)="",INDEX(Transaksi!$C$2:$C$2001,K997)&amp;" · "&amp;INDEX(Transaksi!$D$2:$D$2001,K997),INDEX(Transaksi!$B$2:$B$2001,K997)),""))</f>
        <v/>
      </c>
      <c r="C997" s="32">
        <f>IF(J997="E",INDEX(Transaksi!$C$2:$C$2001,K997)&amp;"","")</f>
        <v/>
      </c>
      <c r="D997" s="32">
        <f>IF(J997="E",INDEX(Transaksi!$D$2:$D$2001,K997)&amp;"","")</f>
        <v/>
      </c>
      <c r="E997" s="33">
        <f>IF(J997="H",SUMIFS(Transaksi!$G$2:$G$2001,Transaksi!$M$2:$M$2001,"="&amp;S997)+SUMIFS(Transaksi!$H$2:$H$2001,Transaksi!$M$2:$M$2001,"="&amp;S997)+SUMIFS(Transaksi!$I$2:$I$2001,Transaksi!$M$2:$M$2001,"="&amp;S997),IF(J997="E",IF(INDEX(Transaksi!$G$2:$G$2001,K997)+INDEX(Transaksi!$H$2:$H$2001,K997)+INDEX(Transaksi!$I$2:$I$2001,K997)=0,"",INDEX(Transaksi!$G$2:$G$2001,K997)+INDEX(Transaksi!$H$2:$H$2001,K997)+INDEX(Transaksi!$I$2:$I$2001,K997)),""))</f>
        <v/>
      </c>
      <c r="F997" s="33">
        <f>IF(J997="H",SUMIFS(Transaksi!$J$2:$J$2001,Transaksi!$M$2:$M$2001,"="&amp;S997),IF(J997="E",IF(INDEX(Transaksi!$J$2:$J$2001,K997)=0,"",INDEX(Transaksi!$J$2:$J$2001,K997)),""))</f>
        <v/>
      </c>
      <c r="G997" s="33">
        <f>IF(J997="H",(SUMIFS(Transaksi!$G$2:$G$2001,Transaksi!$M$2:$M$2001,"&lt;="&amp;S997)+SUMIFS(Transaksi!$H$2:$H$2001,Transaksi!$M$2:$M$2001,"&lt;="&amp;S997)+SUMIFS(Transaksi!$I$2:$I$2001,Transaksi!$M$2:$M$2001,"&lt;="&amp;S997))-(SUMIFS(Transaksi!$J$2:$J$2001,Transaksi!$M$2:$M$2001,"&lt;="&amp;S997)),"")</f>
        <v/>
      </c>
      <c r="I997">
        <f>IF(994&gt;$O$2,"",MATCH(994,$Q$3:$Q$402,1))</f>
        <v/>
      </c>
      <c r="J997">
        <f>IF(I997="","",IF(994=INDEX($Q$3:$Q$402,I997),"H","E"))</f>
        <v/>
      </c>
      <c r="K997">
        <f>IF(J997&lt;&gt;"E","",MATCH(S997,Transaksi!$M$2:$M$2001,0)+994-INDEX($Q$3:$Q$402,I997)-1)</f>
        <v/>
      </c>
      <c r="S997">
        <f>IF(I997="","",INDEX($O$3:$O$402,I997))</f>
        <v/>
      </c>
      <c r="T997">
        <f>IF(J997&lt;&gt;"H","",INDEX(Transaksi!$A$2:$A$2001,MATCH(S997,Transaksi!$M$2:$M$2001,0)))</f>
        <v/>
      </c>
    </row>
    <row r="998">
      <c r="A998" s="31">
        <f>IF(J998="E",IF(INDEX(Transaksi!$J$2:$J$2001,K998)&gt;0,"↑","↓"),"")</f>
        <v/>
      </c>
      <c r="B998" s="32">
        <f>IF(J998="H",CHOOSE(WEEKDAY(T998,2),"Isnin","Selasa","Rabu","Khamis","Jumaat","Sabtu","Ahad")&amp;", "&amp;DAY(T998)&amp;" "&amp;CHOOSE(MONTH(T998),"Jan","Feb","Mac","Apr","Mei","Jun","Jul","Ogo","Sep","Okt","Nov","Dis")&amp;" "&amp;YEAR(T998),IF(J998="E",IF(INDEX(Transaksi!$B$2:$B$2001,K998)="",INDEX(Transaksi!$C$2:$C$2001,K998)&amp;" · "&amp;INDEX(Transaksi!$D$2:$D$2001,K998),INDEX(Transaksi!$B$2:$B$2001,K998)),""))</f>
        <v/>
      </c>
      <c r="C998" s="32">
        <f>IF(J998="E",INDEX(Transaksi!$C$2:$C$2001,K998)&amp;"","")</f>
        <v/>
      </c>
      <c r="D998" s="32">
        <f>IF(J998="E",INDEX(Transaksi!$D$2:$D$2001,K998)&amp;"","")</f>
        <v/>
      </c>
      <c r="E998" s="33">
        <f>IF(J998="H",SUMIFS(Transaksi!$G$2:$G$2001,Transaksi!$M$2:$M$2001,"="&amp;S998)+SUMIFS(Transaksi!$H$2:$H$2001,Transaksi!$M$2:$M$2001,"="&amp;S998)+SUMIFS(Transaksi!$I$2:$I$2001,Transaksi!$M$2:$M$2001,"="&amp;S998),IF(J998="E",IF(INDEX(Transaksi!$G$2:$G$2001,K998)+INDEX(Transaksi!$H$2:$H$2001,K998)+INDEX(Transaksi!$I$2:$I$2001,K998)=0,"",INDEX(Transaksi!$G$2:$G$2001,K998)+INDEX(Transaksi!$H$2:$H$2001,K998)+INDEX(Transaksi!$I$2:$I$2001,K998)),""))</f>
        <v/>
      </c>
      <c r="F998" s="33">
        <f>IF(J998="H",SUMIFS(Transaksi!$J$2:$J$2001,Transaksi!$M$2:$M$2001,"="&amp;S998),IF(J998="E",IF(INDEX(Transaksi!$J$2:$J$2001,K998)=0,"",INDEX(Transaksi!$J$2:$J$2001,K998)),""))</f>
        <v/>
      </c>
      <c r="G998" s="33">
        <f>IF(J998="H",(SUMIFS(Transaksi!$G$2:$G$2001,Transaksi!$M$2:$M$2001,"&lt;="&amp;S998)+SUMIFS(Transaksi!$H$2:$H$2001,Transaksi!$M$2:$M$2001,"&lt;="&amp;S998)+SUMIFS(Transaksi!$I$2:$I$2001,Transaksi!$M$2:$M$2001,"&lt;="&amp;S998))-(SUMIFS(Transaksi!$J$2:$J$2001,Transaksi!$M$2:$M$2001,"&lt;="&amp;S998)),"")</f>
        <v/>
      </c>
      <c r="I998">
        <f>IF(995&gt;$O$2,"",MATCH(995,$Q$3:$Q$402,1))</f>
        <v/>
      </c>
      <c r="J998">
        <f>IF(I998="","",IF(995=INDEX($Q$3:$Q$402,I998),"H","E"))</f>
        <v/>
      </c>
      <c r="K998">
        <f>IF(J998&lt;&gt;"E","",MATCH(S998,Transaksi!$M$2:$M$2001,0)+995-INDEX($Q$3:$Q$402,I998)-1)</f>
        <v/>
      </c>
      <c r="S998">
        <f>IF(I998="","",INDEX($O$3:$O$402,I998))</f>
        <v/>
      </c>
      <c r="T998">
        <f>IF(J998&lt;&gt;"H","",INDEX(Transaksi!$A$2:$A$2001,MATCH(S998,Transaksi!$M$2:$M$2001,0)))</f>
        <v/>
      </c>
    </row>
    <row r="999">
      <c r="A999" s="31">
        <f>IF(J999="E",IF(INDEX(Transaksi!$J$2:$J$2001,K999)&gt;0,"↑","↓"),"")</f>
        <v/>
      </c>
      <c r="B999" s="32">
        <f>IF(J999="H",CHOOSE(WEEKDAY(T999,2),"Isnin","Selasa","Rabu","Khamis","Jumaat","Sabtu","Ahad")&amp;", "&amp;DAY(T999)&amp;" "&amp;CHOOSE(MONTH(T999),"Jan","Feb","Mac","Apr","Mei","Jun","Jul","Ogo","Sep","Okt","Nov","Dis")&amp;" "&amp;YEAR(T999),IF(J999="E",IF(INDEX(Transaksi!$B$2:$B$2001,K999)="",INDEX(Transaksi!$C$2:$C$2001,K999)&amp;" · "&amp;INDEX(Transaksi!$D$2:$D$2001,K999),INDEX(Transaksi!$B$2:$B$2001,K999)),""))</f>
        <v/>
      </c>
      <c r="C999" s="32">
        <f>IF(J999="E",INDEX(Transaksi!$C$2:$C$2001,K999)&amp;"","")</f>
        <v/>
      </c>
      <c r="D999" s="32">
        <f>IF(J999="E",INDEX(Transaksi!$D$2:$D$2001,K999)&amp;"","")</f>
        <v/>
      </c>
      <c r="E999" s="33">
        <f>IF(J999="H",SUMIFS(Transaksi!$G$2:$G$2001,Transaksi!$M$2:$M$2001,"="&amp;S999)+SUMIFS(Transaksi!$H$2:$H$2001,Transaksi!$M$2:$M$2001,"="&amp;S999)+SUMIFS(Transaksi!$I$2:$I$2001,Transaksi!$M$2:$M$2001,"="&amp;S999),IF(J999="E",IF(INDEX(Transaksi!$G$2:$G$2001,K999)+INDEX(Transaksi!$H$2:$H$2001,K999)+INDEX(Transaksi!$I$2:$I$2001,K999)=0,"",INDEX(Transaksi!$G$2:$G$2001,K999)+INDEX(Transaksi!$H$2:$H$2001,K999)+INDEX(Transaksi!$I$2:$I$2001,K999)),""))</f>
        <v/>
      </c>
      <c r="F999" s="33">
        <f>IF(J999="H",SUMIFS(Transaksi!$J$2:$J$2001,Transaksi!$M$2:$M$2001,"="&amp;S999),IF(J999="E",IF(INDEX(Transaksi!$J$2:$J$2001,K999)=0,"",INDEX(Transaksi!$J$2:$J$2001,K999)),""))</f>
        <v/>
      </c>
      <c r="G999" s="33">
        <f>IF(J999="H",(SUMIFS(Transaksi!$G$2:$G$2001,Transaksi!$M$2:$M$2001,"&lt;="&amp;S999)+SUMIFS(Transaksi!$H$2:$H$2001,Transaksi!$M$2:$M$2001,"&lt;="&amp;S999)+SUMIFS(Transaksi!$I$2:$I$2001,Transaksi!$M$2:$M$2001,"&lt;="&amp;S999))-(SUMIFS(Transaksi!$J$2:$J$2001,Transaksi!$M$2:$M$2001,"&lt;="&amp;S999)),"")</f>
        <v/>
      </c>
      <c r="I999">
        <f>IF(996&gt;$O$2,"",MATCH(996,$Q$3:$Q$402,1))</f>
        <v/>
      </c>
      <c r="J999">
        <f>IF(I999="","",IF(996=INDEX($Q$3:$Q$402,I999),"H","E"))</f>
        <v/>
      </c>
      <c r="K999">
        <f>IF(J999&lt;&gt;"E","",MATCH(S999,Transaksi!$M$2:$M$2001,0)+996-INDEX($Q$3:$Q$402,I999)-1)</f>
        <v/>
      </c>
      <c r="S999">
        <f>IF(I999="","",INDEX($O$3:$O$402,I999))</f>
        <v/>
      </c>
      <c r="T999">
        <f>IF(J999&lt;&gt;"H","",INDEX(Transaksi!$A$2:$A$2001,MATCH(S999,Transaksi!$M$2:$M$2001,0)))</f>
        <v/>
      </c>
    </row>
    <row r="1000">
      <c r="A1000" s="31">
        <f>IF(J1000="E",IF(INDEX(Transaksi!$J$2:$J$2001,K1000)&gt;0,"↑","↓"),"")</f>
        <v/>
      </c>
      <c r="B1000" s="32">
        <f>IF(J1000="H",CHOOSE(WEEKDAY(T1000,2),"Isnin","Selasa","Rabu","Khamis","Jumaat","Sabtu","Ahad")&amp;", "&amp;DAY(T1000)&amp;" "&amp;CHOOSE(MONTH(T1000),"Jan","Feb","Mac","Apr","Mei","Jun","Jul","Ogo","Sep","Okt","Nov","Dis")&amp;" "&amp;YEAR(T1000),IF(J1000="E",IF(INDEX(Transaksi!$B$2:$B$2001,K1000)="",INDEX(Transaksi!$C$2:$C$2001,K1000)&amp;" · "&amp;INDEX(Transaksi!$D$2:$D$2001,K1000),INDEX(Transaksi!$B$2:$B$2001,K1000)),""))</f>
        <v/>
      </c>
      <c r="C1000" s="32">
        <f>IF(J1000="E",INDEX(Transaksi!$C$2:$C$2001,K1000)&amp;"","")</f>
        <v/>
      </c>
      <c r="D1000" s="32">
        <f>IF(J1000="E",INDEX(Transaksi!$D$2:$D$2001,K1000)&amp;"","")</f>
        <v/>
      </c>
      <c r="E1000" s="33">
        <f>IF(J1000="H",SUMIFS(Transaksi!$G$2:$G$2001,Transaksi!$M$2:$M$2001,"="&amp;S1000)+SUMIFS(Transaksi!$H$2:$H$2001,Transaksi!$M$2:$M$2001,"="&amp;S1000)+SUMIFS(Transaksi!$I$2:$I$2001,Transaksi!$M$2:$M$2001,"="&amp;S1000),IF(J1000="E",IF(INDEX(Transaksi!$G$2:$G$2001,K1000)+INDEX(Transaksi!$H$2:$H$2001,K1000)+INDEX(Transaksi!$I$2:$I$2001,K1000)=0,"",INDEX(Transaksi!$G$2:$G$2001,K1000)+INDEX(Transaksi!$H$2:$H$2001,K1000)+INDEX(Transaksi!$I$2:$I$2001,K1000)),""))</f>
        <v/>
      </c>
      <c r="F1000" s="33">
        <f>IF(J1000="H",SUMIFS(Transaksi!$J$2:$J$2001,Transaksi!$M$2:$M$2001,"="&amp;S1000),IF(J1000="E",IF(INDEX(Transaksi!$J$2:$J$2001,K1000)=0,"",INDEX(Transaksi!$J$2:$J$2001,K1000)),""))</f>
        <v/>
      </c>
      <c r="G1000" s="33">
        <f>IF(J1000="H",(SUMIFS(Transaksi!$G$2:$G$2001,Transaksi!$M$2:$M$2001,"&lt;="&amp;S1000)+SUMIFS(Transaksi!$H$2:$H$2001,Transaksi!$M$2:$M$2001,"&lt;="&amp;S1000)+SUMIFS(Transaksi!$I$2:$I$2001,Transaksi!$M$2:$M$2001,"&lt;="&amp;S1000))-(SUMIFS(Transaksi!$J$2:$J$2001,Transaksi!$M$2:$M$2001,"&lt;="&amp;S1000)),"")</f>
        <v/>
      </c>
      <c r="I1000">
        <f>IF(997&gt;$O$2,"",MATCH(997,$Q$3:$Q$402,1))</f>
        <v/>
      </c>
      <c r="J1000">
        <f>IF(I1000="","",IF(997=INDEX($Q$3:$Q$402,I1000),"H","E"))</f>
        <v/>
      </c>
      <c r="K1000">
        <f>IF(J1000&lt;&gt;"E","",MATCH(S1000,Transaksi!$M$2:$M$2001,0)+997-INDEX($Q$3:$Q$402,I1000)-1)</f>
        <v/>
      </c>
      <c r="S1000">
        <f>IF(I1000="","",INDEX($O$3:$O$402,I1000))</f>
        <v/>
      </c>
      <c r="T1000">
        <f>IF(J1000&lt;&gt;"H","",INDEX(Transaksi!$A$2:$A$2001,MATCH(S1000,Transaksi!$M$2:$M$2001,0)))</f>
        <v/>
      </c>
    </row>
    <row r="1001">
      <c r="A1001" s="31">
        <f>IF(J1001="E",IF(INDEX(Transaksi!$J$2:$J$2001,K1001)&gt;0,"↑","↓"),"")</f>
        <v/>
      </c>
      <c r="B1001" s="32">
        <f>IF(J1001="H",CHOOSE(WEEKDAY(T1001,2),"Isnin","Selasa","Rabu","Khamis","Jumaat","Sabtu","Ahad")&amp;", "&amp;DAY(T1001)&amp;" "&amp;CHOOSE(MONTH(T1001),"Jan","Feb","Mac","Apr","Mei","Jun","Jul","Ogo","Sep","Okt","Nov","Dis")&amp;" "&amp;YEAR(T1001),IF(J1001="E",IF(INDEX(Transaksi!$B$2:$B$2001,K1001)="",INDEX(Transaksi!$C$2:$C$2001,K1001)&amp;" · "&amp;INDEX(Transaksi!$D$2:$D$2001,K1001),INDEX(Transaksi!$B$2:$B$2001,K1001)),""))</f>
        <v/>
      </c>
      <c r="C1001" s="32">
        <f>IF(J1001="E",INDEX(Transaksi!$C$2:$C$2001,K1001)&amp;"","")</f>
        <v/>
      </c>
      <c r="D1001" s="32">
        <f>IF(J1001="E",INDEX(Transaksi!$D$2:$D$2001,K1001)&amp;"","")</f>
        <v/>
      </c>
      <c r="E1001" s="33">
        <f>IF(J1001="H",SUMIFS(Transaksi!$G$2:$G$2001,Transaksi!$M$2:$M$2001,"="&amp;S1001)+SUMIFS(Transaksi!$H$2:$H$2001,Transaksi!$M$2:$M$2001,"="&amp;S1001)+SUMIFS(Transaksi!$I$2:$I$2001,Transaksi!$M$2:$M$2001,"="&amp;S1001),IF(J1001="E",IF(INDEX(Transaksi!$G$2:$G$2001,K1001)+INDEX(Transaksi!$H$2:$H$2001,K1001)+INDEX(Transaksi!$I$2:$I$2001,K1001)=0,"",INDEX(Transaksi!$G$2:$G$2001,K1001)+INDEX(Transaksi!$H$2:$H$2001,K1001)+INDEX(Transaksi!$I$2:$I$2001,K1001)),""))</f>
        <v/>
      </c>
      <c r="F1001" s="33">
        <f>IF(J1001="H",SUMIFS(Transaksi!$J$2:$J$2001,Transaksi!$M$2:$M$2001,"="&amp;S1001),IF(J1001="E",IF(INDEX(Transaksi!$J$2:$J$2001,K1001)=0,"",INDEX(Transaksi!$J$2:$J$2001,K1001)),""))</f>
        <v/>
      </c>
      <c r="G1001" s="33">
        <f>IF(J1001="H",(SUMIFS(Transaksi!$G$2:$G$2001,Transaksi!$M$2:$M$2001,"&lt;="&amp;S1001)+SUMIFS(Transaksi!$H$2:$H$2001,Transaksi!$M$2:$M$2001,"&lt;="&amp;S1001)+SUMIFS(Transaksi!$I$2:$I$2001,Transaksi!$M$2:$M$2001,"&lt;="&amp;S1001))-(SUMIFS(Transaksi!$J$2:$J$2001,Transaksi!$M$2:$M$2001,"&lt;="&amp;S1001)),"")</f>
        <v/>
      </c>
      <c r="I1001">
        <f>IF(998&gt;$O$2,"",MATCH(998,$Q$3:$Q$402,1))</f>
        <v/>
      </c>
      <c r="J1001">
        <f>IF(I1001="","",IF(998=INDEX($Q$3:$Q$402,I1001),"H","E"))</f>
        <v/>
      </c>
      <c r="K1001">
        <f>IF(J1001&lt;&gt;"E","",MATCH(S1001,Transaksi!$M$2:$M$2001,0)+998-INDEX($Q$3:$Q$402,I1001)-1)</f>
        <v/>
      </c>
      <c r="S1001">
        <f>IF(I1001="","",INDEX($O$3:$O$402,I1001))</f>
        <v/>
      </c>
      <c r="T1001">
        <f>IF(J1001&lt;&gt;"H","",INDEX(Transaksi!$A$2:$A$2001,MATCH(S1001,Transaksi!$M$2:$M$2001,0)))</f>
        <v/>
      </c>
    </row>
    <row r="1002">
      <c r="A1002" s="31">
        <f>IF(J1002="E",IF(INDEX(Transaksi!$J$2:$J$2001,K1002)&gt;0,"↑","↓"),"")</f>
        <v/>
      </c>
      <c r="B1002" s="32">
        <f>IF(J1002="H",CHOOSE(WEEKDAY(T1002,2),"Isnin","Selasa","Rabu","Khamis","Jumaat","Sabtu","Ahad")&amp;", "&amp;DAY(T1002)&amp;" "&amp;CHOOSE(MONTH(T1002),"Jan","Feb","Mac","Apr","Mei","Jun","Jul","Ogo","Sep","Okt","Nov","Dis")&amp;" "&amp;YEAR(T1002),IF(J1002="E",IF(INDEX(Transaksi!$B$2:$B$2001,K1002)="",INDEX(Transaksi!$C$2:$C$2001,K1002)&amp;" · "&amp;INDEX(Transaksi!$D$2:$D$2001,K1002),INDEX(Transaksi!$B$2:$B$2001,K1002)),""))</f>
        <v/>
      </c>
      <c r="C1002" s="32">
        <f>IF(J1002="E",INDEX(Transaksi!$C$2:$C$2001,K1002)&amp;"","")</f>
        <v/>
      </c>
      <c r="D1002" s="32">
        <f>IF(J1002="E",INDEX(Transaksi!$D$2:$D$2001,K1002)&amp;"","")</f>
        <v/>
      </c>
      <c r="E1002" s="33">
        <f>IF(J1002="H",SUMIFS(Transaksi!$G$2:$G$2001,Transaksi!$M$2:$M$2001,"="&amp;S1002)+SUMIFS(Transaksi!$H$2:$H$2001,Transaksi!$M$2:$M$2001,"="&amp;S1002)+SUMIFS(Transaksi!$I$2:$I$2001,Transaksi!$M$2:$M$2001,"="&amp;S1002),IF(J1002="E",IF(INDEX(Transaksi!$G$2:$G$2001,K1002)+INDEX(Transaksi!$H$2:$H$2001,K1002)+INDEX(Transaksi!$I$2:$I$2001,K1002)=0,"",INDEX(Transaksi!$G$2:$G$2001,K1002)+INDEX(Transaksi!$H$2:$H$2001,K1002)+INDEX(Transaksi!$I$2:$I$2001,K1002)),""))</f>
        <v/>
      </c>
      <c r="F1002" s="33">
        <f>IF(J1002="H",SUMIFS(Transaksi!$J$2:$J$2001,Transaksi!$M$2:$M$2001,"="&amp;S1002),IF(J1002="E",IF(INDEX(Transaksi!$J$2:$J$2001,K1002)=0,"",INDEX(Transaksi!$J$2:$J$2001,K1002)),""))</f>
        <v/>
      </c>
      <c r="G1002" s="33">
        <f>IF(J1002="H",(SUMIFS(Transaksi!$G$2:$G$2001,Transaksi!$M$2:$M$2001,"&lt;="&amp;S1002)+SUMIFS(Transaksi!$H$2:$H$2001,Transaksi!$M$2:$M$2001,"&lt;="&amp;S1002)+SUMIFS(Transaksi!$I$2:$I$2001,Transaksi!$M$2:$M$2001,"&lt;="&amp;S1002))-(SUMIFS(Transaksi!$J$2:$J$2001,Transaksi!$M$2:$M$2001,"&lt;="&amp;S1002)),"")</f>
        <v/>
      </c>
      <c r="I1002">
        <f>IF(999&gt;$O$2,"",MATCH(999,$Q$3:$Q$402,1))</f>
        <v/>
      </c>
      <c r="J1002">
        <f>IF(I1002="","",IF(999=INDEX($Q$3:$Q$402,I1002),"H","E"))</f>
        <v/>
      </c>
      <c r="K1002">
        <f>IF(J1002&lt;&gt;"E","",MATCH(S1002,Transaksi!$M$2:$M$2001,0)+999-INDEX($Q$3:$Q$402,I1002)-1)</f>
        <v/>
      </c>
      <c r="S1002">
        <f>IF(I1002="","",INDEX($O$3:$O$402,I1002))</f>
        <v/>
      </c>
      <c r="T1002">
        <f>IF(J1002&lt;&gt;"H","",INDEX(Transaksi!$A$2:$A$2001,MATCH(S1002,Transaksi!$M$2:$M$2001,0)))</f>
        <v/>
      </c>
    </row>
    <row r="1003">
      <c r="A1003" s="31">
        <f>IF(J1003="E",IF(INDEX(Transaksi!$J$2:$J$2001,K1003)&gt;0,"↑","↓"),"")</f>
        <v/>
      </c>
      <c r="B1003" s="32">
        <f>IF(J1003="H",CHOOSE(WEEKDAY(T1003,2),"Isnin","Selasa","Rabu","Khamis","Jumaat","Sabtu","Ahad")&amp;", "&amp;DAY(T1003)&amp;" "&amp;CHOOSE(MONTH(T1003),"Jan","Feb","Mac","Apr","Mei","Jun","Jul","Ogo","Sep","Okt","Nov","Dis")&amp;" "&amp;YEAR(T1003),IF(J1003="E",IF(INDEX(Transaksi!$B$2:$B$2001,K1003)="",INDEX(Transaksi!$C$2:$C$2001,K1003)&amp;" · "&amp;INDEX(Transaksi!$D$2:$D$2001,K1003),INDEX(Transaksi!$B$2:$B$2001,K1003)),""))</f>
        <v/>
      </c>
      <c r="C1003" s="32">
        <f>IF(J1003="E",INDEX(Transaksi!$C$2:$C$2001,K1003)&amp;"","")</f>
        <v/>
      </c>
      <c r="D1003" s="32">
        <f>IF(J1003="E",INDEX(Transaksi!$D$2:$D$2001,K1003)&amp;"","")</f>
        <v/>
      </c>
      <c r="E1003" s="33">
        <f>IF(J1003="H",SUMIFS(Transaksi!$G$2:$G$2001,Transaksi!$M$2:$M$2001,"="&amp;S1003)+SUMIFS(Transaksi!$H$2:$H$2001,Transaksi!$M$2:$M$2001,"="&amp;S1003)+SUMIFS(Transaksi!$I$2:$I$2001,Transaksi!$M$2:$M$2001,"="&amp;S1003),IF(J1003="E",IF(INDEX(Transaksi!$G$2:$G$2001,K1003)+INDEX(Transaksi!$H$2:$H$2001,K1003)+INDEX(Transaksi!$I$2:$I$2001,K1003)=0,"",INDEX(Transaksi!$G$2:$G$2001,K1003)+INDEX(Transaksi!$H$2:$H$2001,K1003)+INDEX(Transaksi!$I$2:$I$2001,K1003)),""))</f>
        <v/>
      </c>
      <c r="F1003" s="33">
        <f>IF(J1003="H",SUMIFS(Transaksi!$J$2:$J$2001,Transaksi!$M$2:$M$2001,"="&amp;S1003),IF(J1003="E",IF(INDEX(Transaksi!$J$2:$J$2001,K1003)=0,"",INDEX(Transaksi!$J$2:$J$2001,K1003)),""))</f>
        <v/>
      </c>
      <c r="G1003" s="33">
        <f>IF(J1003="H",(SUMIFS(Transaksi!$G$2:$G$2001,Transaksi!$M$2:$M$2001,"&lt;="&amp;S1003)+SUMIFS(Transaksi!$H$2:$H$2001,Transaksi!$M$2:$M$2001,"&lt;="&amp;S1003)+SUMIFS(Transaksi!$I$2:$I$2001,Transaksi!$M$2:$M$2001,"&lt;="&amp;S1003))-(SUMIFS(Transaksi!$J$2:$J$2001,Transaksi!$M$2:$M$2001,"&lt;="&amp;S1003)),"")</f>
        <v/>
      </c>
      <c r="I1003">
        <f>IF(1000&gt;$O$2,"",MATCH(1000,$Q$3:$Q$402,1))</f>
        <v/>
      </c>
      <c r="J1003">
        <f>IF(I1003="","",IF(1000=INDEX($Q$3:$Q$402,I1003),"H","E"))</f>
        <v/>
      </c>
      <c r="K1003">
        <f>IF(J1003&lt;&gt;"E","",MATCH(S1003,Transaksi!$M$2:$M$2001,0)+1000-INDEX($Q$3:$Q$402,I1003)-1)</f>
        <v/>
      </c>
      <c r="S1003">
        <f>IF(I1003="","",INDEX($O$3:$O$402,I1003))</f>
        <v/>
      </c>
      <c r="T1003">
        <f>IF(J1003&lt;&gt;"H","",INDEX(Transaksi!$A$2:$A$2001,MATCH(S1003,Transaksi!$M$2:$M$2001,0)))</f>
        <v/>
      </c>
    </row>
    <row r="1004">
      <c r="A1004" s="31">
        <f>IF(J1004="E",IF(INDEX(Transaksi!$J$2:$J$2001,K1004)&gt;0,"↑","↓"),"")</f>
        <v/>
      </c>
      <c r="B1004" s="32">
        <f>IF(J1004="H",CHOOSE(WEEKDAY(T1004,2),"Isnin","Selasa","Rabu","Khamis","Jumaat","Sabtu","Ahad")&amp;", "&amp;DAY(T1004)&amp;" "&amp;CHOOSE(MONTH(T1004),"Jan","Feb","Mac","Apr","Mei","Jun","Jul","Ogo","Sep","Okt","Nov","Dis")&amp;" "&amp;YEAR(T1004),IF(J1004="E",IF(INDEX(Transaksi!$B$2:$B$2001,K1004)="",INDEX(Transaksi!$C$2:$C$2001,K1004)&amp;" · "&amp;INDEX(Transaksi!$D$2:$D$2001,K1004),INDEX(Transaksi!$B$2:$B$2001,K1004)),""))</f>
        <v/>
      </c>
      <c r="C1004" s="32">
        <f>IF(J1004="E",INDEX(Transaksi!$C$2:$C$2001,K1004)&amp;"","")</f>
        <v/>
      </c>
      <c r="D1004" s="32">
        <f>IF(J1004="E",INDEX(Transaksi!$D$2:$D$2001,K1004)&amp;"","")</f>
        <v/>
      </c>
      <c r="E1004" s="33">
        <f>IF(J1004="H",SUMIFS(Transaksi!$G$2:$G$2001,Transaksi!$M$2:$M$2001,"="&amp;S1004)+SUMIFS(Transaksi!$H$2:$H$2001,Transaksi!$M$2:$M$2001,"="&amp;S1004)+SUMIFS(Transaksi!$I$2:$I$2001,Transaksi!$M$2:$M$2001,"="&amp;S1004),IF(J1004="E",IF(INDEX(Transaksi!$G$2:$G$2001,K1004)+INDEX(Transaksi!$H$2:$H$2001,K1004)+INDEX(Transaksi!$I$2:$I$2001,K1004)=0,"",INDEX(Transaksi!$G$2:$G$2001,K1004)+INDEX(Transaksi!$H$2:$H$2001,K1004)+INDEX(Transaksi!$I$2:$I$2001,K1004)),""))</f>
        <v/>
      </c>
      <c r="F1004" s="33">
        <f>IF(J1004="H",SUMIFS(Transaksi!$J$2:$J$2001,Transaksi!$M$2:$M$2001,"="&amp;S1004),IF(J1004="E",IF(INDEX(Transaksi!$J$2:$J$2001,K1004)=0,"",INDEX(Transaksi!$J$2:$J$2001,K1004)),""))</f>
        <v/>
      </c>
      <c r="G1004" s="33">
        <f>IF(J1004="H",(SUMIFS(Transaksi!$G$2:$G$2001,Transaksi!$M$2:$M$2001,"&lt;="&amp;S1004)+SUMIFS(Transaksi!$H$2:$H$2001,Transaksi!$M$2:$M$2001,"&lt;="&amp;S1004)+SUMIFS(Transaksi!$I$2:$I$2001,Transaksi!$M$2:$M$2001,"&lt;="&amp;S1004))-(SUMIFS(Transaksi!$J$2:$J$2001,Transaksi!$M$2:$M$2001,"&lt;="&amp;S1004)),"")</f>
        <v/>
      </c>
      <c r="I1004">
        <f>IF(1001&gt;$O$2,"",MATCH(1001,$Q$3:$Q$402,1))</f>
        <v/>
      </c>
      <c r="J1004">
        <f>IF(I1004="","",IF(1001=INDEX($Q$3:$Q$402,I1004),"H","E"))</f>
        <v/>
      </c>
      <c r="K1004">
        <f>IF(J1004&lt;&gt;"E","",MATCH(S1004,Transaksi!$M$2:$M$2001,0)+1001-INDEX($Q$3:$Q$402,I1004)-1)</f>
        <v/>
      </c>
      <c r="S1004">
        <f>IF(I1004="","",INDEX($O$3:$O$402,I1004))</f>
        <v/>
      </c>
      <c r="T1004">
        <f>IF(J1004&lt;&gt;"H","",INDEX(Transaksi!$A$2:$A$2001,MATCH(S1004,Transaksi!$M$2:$M$2001,0)))</f>
        <v/>
      </c>
    </row>
    <row r="1005">
      <c r="A1005" s="31">
        <f>IF(J1005="E",IF(INDEX(Transaksi!$J$2:$J$2001,K1005)&gt;0,"↑","↓"),"")</f>
        <v/>
      </c>
      <c r="B1005" s="32">
        <f>IF(J1005="H",CHOOSE(WEEKDAY(T1005,2),"Isnin","Selasa","Rabu","Khamis","Jumaat","Sabtu","Ahad")&amp;", "&amp;DAY(T1005)&amp;" "&amp;CHOOSE(MONTH(T1005),"Jan","Feb","Mac","Apr","Mei","Jun","Jul","Ogo","Sep","Okt","Nov","Dis")&amp;" "&amp;YEAR(T1005),IF(J1005="E",IF(INDEX(Transaksi!$B$2:$B$2001,K1005)="",INDEX(Transaksi!$C$2:$C$2001,K1005)&amp;" · "&amp;INDEX(Transaksi!$D$2:$D$2001,K1005),INDEX(Transaksi!$B$2:$B$2001,K1005)),""))</f>
        <v/>
      </c>
      <c r="C1005" s="32">
        <f>IF(J1005="E",INDEX(Transaksi!$C$2:$C$2001,K1005)&amp;"","")</f>
        <v/>
      </c>
      <c r="D1005" s="32">
        <f>IF(J1005="E",INDEX(Transaksi!$D$2:$D$2001,K1005)&amp;"","")</f>
        <v/>
      </c>
      <c r="E1005" s="33">
        <f>IF(J1005="H",SUMIFS(Transaksi!$G$2:$G$2001,Transaksi!$M$2:$M$2001,"="&amp;S1005)+SUMIFS(Transaksi!$H$2:$H$2001,Transaksi!$M$2:$M$2001,"="&amp;S1005)+SUMIFS(Transaksi!$I$2:$I$2001,Transaksi!$M$2:$M$2001,"="&amp;S1005),IF(J1005="E",IF(INDEX(Transaksi!$G$2:$G$2001,K1005)+INDEX(Transaksi!$H$2:$H$2001,K1005)+INDEX(Transaksi!$I$2:$I$2001,K1005)=0,"",INDEX(Transaksi!$G$2:$G$2001,K1005)+INDEX(Transaksi!$H$2:$H$2001,K1005)+INDEX(Transaksi!$I$2:$I$2001,K1005)),""))</f>
        <v/>
      </c>
      <c r="F1005" s="33">
        <f>IF(J1005="H",SUMIFS(Transaksi!$J$2:$J$2001,Transaksi!$M$2:$M$2001,"="&amp;S1005),IF(J1005="E",IF(INDEX(Transaksi!$J$2:$J$2001,K1005)=0,"",INDEX(Transaksi!$J$2:$J$2001,K1005)),""))</f>
        <v/>
      </c>
      <c r="G1005" s="33">
        <f>IF(J1005="H",(SUMIFS(Transaksi!$G$2:$G$2001,Transaksi!$M$2:$M$2001,"&lt;="&amp;S1005)+SUMIFS(Transaksi!$H$2:$H$2001,Transaksi!$M$2:$M$2001,"&lt;="&amp;S1005)+SUMIFS(Transaksi!$I$2:$I$2001,Transaksi!$M$2:$M$2001,"&lt;="&amp;S1005))-(SUMIFS(Transaksi!$J$2:$J$2001,Transaksi!$M$2:$M$2001,"&lt;="&amp;S1005)),"")</f>
        <v/>
      </c>
      <c r="I1005">
        <f>IF(1002&gt;$O$2,"",MATCH(1002,$Q$3:$Q$402,1))</f>
        <v/>
      </c>
      <c r="J1005">
        <f>IF(I1005="","",IF(1002=INDEX($Q$3:$Q$402,I1005),"H","E"))</f>
        <v/>
      </c>
      <c r="K1005">
        <f>IF(J1005&lt;&gt;"E","",MATCH(S1005,Transaksi!$M$2:$M$2001,0)+1002-INDEX($Q$3:$Q$402,I1005)-1)</f>
        <v/>
      </c>
      <c r="S1005">
        <f>IF(I1005="","",INDEX($O$3:$O$402,I1005))</f>
        <v/>
      </c>
      <c r="T1005">
        <f>IF(J1005&lt;&gt;"H","",INDEX(Transaksi!$A$2:$A$2001,MATCH(S1005,Transaksi!$M$2:$M$2001,0)))</f>
        <v/>
      </c>
    </row>
    <row r="1006">
      <c r="A1006" s="31">
        <f>IF(J1006="E",IF(INDEX(Transaksi!$J$2:$J$2001,K1006)&gt;0,"↑","↓"),"")</f>
        <v/>
      </c>
      <c r="B1006" s="32">
        <f>IF(J1006="H",CHOOSE(WEEKDAY(T1006,2),"Isnin","Selasa","Rabu","Khamis","Jumaat","Sabtu","Ahad")&amp;", "&amp;DAY(T1006)&amp;" "&amp;CHOOSE(MONTH(T1006),"Jan","Feb","Mac","Apr","Mei","Jun","Jul","Ogo","Sep","Okt","Nov","Dis")&amp;" "&amp;YEAR(T1006),IF(J1006="E",IF(INDEX(Transaksi!$B$2:$B$2001,K1006)="",INDEX(Transaksi!$C$2:$C$2001,K1006)&amp;" · "&amp;INDEX(Transaksi!$D$2:$D$2001,K1006),INDEX(Transaksi!$B$2:$B$2001,K1006)),""))</f>
        <v/>
      </c>
      <c r="C1006" s="32">
        <f>IF(J1006="E",INDEX(Transaksi!$C$2:$C$2001,K1006)&amp;"","")</f>
        <v/>
      </c>
      <c r="D1006" s="32">
        <f>IF(J1006="E",INDEX(Transaksi!$D$2:$D$2001,K1006)&amp;"","")</f>
        <v/>
      </c>
      <c r="E1006" s="33">
        <f>IF(J1006="H",SUMIFS(Transaksi!$G$2:$G$2001,Transaksi!$M$2:$M$2001,"="&amp;S1006)+SUMIFS(Transaksi!$H$2:$H$2001,Transaksi!$M$2:$M$2001,"="&amp;S1006)+SUMIFS(Transaksi!$I$2:$I$2001,Transaksi!$M$2:$M$2001,"="&amp;S1006),IF(J1006="E",IF(INDEX(Transaksi!$G$2:$G$2001,K1006)+INDEX(Transaksi!$H$2:$H$2001,K1006)+INDEX(Transaksi!$I$2:$I$2001,K1006)=0,"",INDEX(Transaksi!$G$2:$G$2001,K1006)+INDEX(Transaksi!$H$2:$H$2001,K1006)+INDEX(Transaksi!$I$2:$I$2001,K1006)),""))</f>
        <v/>
      </c>
      <c r="F1006" s="33">
        <f>IF(J1006="H",SUMIFS(Transaksi!$J$2:$J$2001,Transaksi!$M$2:$M$2001,"="&amp;S1006),IF(J1006="E",IF(INDEX(Transaksi!$J$2:$J$2001,K1006)=0,"",INDEX(Transaksi!$J$2:$J$2001,K1006)),""))</f>
        <v/>
      </c>
      <c r="G1006" s="33">
        <f>IF(J1006="H",(SUMIFS(Transaksi!$G$2:$G$2001,Transaksi!$M$2:$M$2001,"&lt;="&amp;S1006)+SUMIFS(Transaksi!$H$2:$H$2001,Transaksi!$M$2:$M$2001,"&lt;="&amp;S1006)+SUMIFS(Transaksi!$I$2:$I$2001,Transaksi!$M$2:$M$2001,"&lt;="&amp;S1006))-(SUMIFS(Transaksi!$J$2:$J$2001,Transaksi!$M$2:$M$2001,"&lt;="&amp;S1006)),"")</f>
        <v/>
      </c>
      <c r="I1006">
        <f>IF(1003&gt;$O$2,"",MATCH(1003,$Q$3:$Q$402,1))</f>
        <v/>
      </c>
      <c r="J1006">
        <f>IF(I1006="","",IF(1003=INDEX($Q$3:$Q$402,I1006),"H","E"))</f>
        <v/>
      </c>
      <c r="K1006">
        <f>IF(J1006&lt;&gt;"E","",MATCH(S1006,Transaksi!$M$2:$M$2001,0)+1003-INDEX($Q$3:$Q$402,I1006)-1)</f>
        <v/>
      </c>
      <c r="S1006">
        <f>IF(I1006="","",INDEX($O$3:$O$402,I1006))</f>
        <v/>
      </c>
      <c r="T1006">
        <f>IF(J1006&lt;&gt;"H","",INDEX(Transaksi!$A$2:$A$2001,MATCH(S1006,Transaksi!$M$2:$M$2001,0)))</f>
        <v/>
      </c>
    </row>
    <row r="1007">
      <c r="A1007" s="31">
        <f>IF(J1007="E",IF(INDEX(Transaksi!$J$2:$J$2001,K1007)&gt;0,"↑","↓"),"")</f>
        <v/>
      </c>
      <c r="B1007" s="32">
        <f>IF(J1007="H",CHOOSE(WEEKDAY(T1007,2),"Isnin","Selasa","Rabu","Khamis","Jumaat","Sabtu","Ahad")&amp;", "&amp;DAY(T1007)&amp;" "&amp;CHOOSE(MONTH(T1007),"Jan","Feb","Mac","Apr","Mei","Jun","Jul","Ogo","Sep","Okt","Nov","Dis")&amp;" "&amp;YEAR(T1007),IF(J1007="E",IF(INDEX(Transaksi!$B$2:$B$2001,K1007)="",INDEX(Transaksi!$C$2:$C$2001,K1007)&amp;" · "&amp;INDEX(Transaksi!$D$2:$D$2001,K1007),INDEX(Transaksi!$B$2:$B$2001,K1007)),""))</f>
        <v/>
      </c>
      <c r="C1007" s="32">
        <f>IF(J1007="E",INDEX(Transaksi!$C$2:$C$2001,K1007)&amp;"","")</f>
        <v/>
      </c>
      <c r="D1007" s="32">
        <f>IF(J1007="E",INDEX(Transaksi!$D$2:$D$2001,K1007)&amp;"","")</f>
        <v/>
      </c>
      <c r="E1007" s="33">
        <f>IF(J1007="H",SUMIFS(Transaksi!$G$2:$G$2001,Transaksi!$M$2:$M$2001,"="&amp;S1007)+SUMIFS(Transaksi!$H$2:$H$2001,Transaksi!$M$2:$M$2001,"="&amp;S1007)+SUMIFS(Transaksi!$I$2:$I$2001,Transaksi!$M$2:$M$2001,"="&amp;S1007),IF(J1007="E",IF(INDEX(Transaksi!$G$2:$G$2001,K1007)+INDEX(Transaksi!$H$2:$H$2001,K1007)+INDEX(Transaksi!$I$2:$I$2001,K1007)=0,"",INDEX(Transaksi!$G$2:$G$2001,K1007)+INDEX(Transaksi!$H$2:$H$2001,K1007)+INDEX(Transaksi!$I$2:$I$2001,K1007)),""))</f>
        <v/>
      </c>
      <c r="F1007" s="33">
        <f>IF(J1007="H",SUMIFS(Transaksi!$J$2:$J$2001,Transaksi!$M$2:$M$2001,"="&amp;S1007),IF(J1007="E",IF(INDEX(Transaksi!$J$2:$J$2001,K1007)=0,"",INDEX(Transaksi!$J$2:$J$2001,K1007)),""))</f>
        <v/>
      </c>
      <c r="G1007" s="33">
        <f>IF(J1007="H",(SUMIFS(Transaksi!$G$2:$G$2001,Transaksi!$M$2:$M$2001,"&lt;="&amp;S1007)+SUMIFS(Transaksi!$H$2:$H$2001,Transaksi!$M$2:$M$2001,"&lt;="&amp;S1007)+SUMIFS(Transaksi!$I$2:$I$2001,Transaksi!$M$2:$M$2001,"&lt;="&amp;S1007))-(SUMIFS(Transaksi!$J$2:$J$2001,Transaksi!$M$2:$M$2001,"&lt;="&amp;S1007)),"")</f>
        <v/>
      </c>
      <c r="I1007">
        <f>IF(1004&gt;$O$2,"",MATCH(1004,$Q$3:$Q$402,1))</f>
        <v/>
      </c>
      <c r="J1007">
        <f>IF(I1007="","",IF(1004=INDEX($Q$3:$Q$402,I1007),"H","E"))</f>
        <v/>
      </c>
      <c r="K1007">
        <f>IF(J1007&lt;&gt;"E","",MATCH(S1007,Transaksi!$M$2:$M$2001,0)+1004-INDEX($Q$3:$Q$402,I1007)-1)</f>
        <v/>
      </c>
      <c r="S1007">
        <f>IF(I1007="","",INDEX($O$3:$O$402,I1007))</f>
        <v/>
      </c>
      <c r="T1007">
        <f>IF(J1007&lt;&gt;"H","",INDEX(Transaksi!$A$2:$A$2001,MATCH(S1007,Transaksi!$M$2:$M$2001,0)))</f>
        <v/>
      </c>
    </row>
    <row r="1008">
      <c r="A1008" s="31">
        <f>IF(J1008="E",IF(INDEX(Transaksi!$J$2:$J$2001,K1008)&gt;0,"↑","↓"),"")</f>
        <v/>
      </c>
      <c r="B1008" s="32">
        <f>IF(J1008="H",CHOOSE(WEEKDAY(T1008,2),"Isnin","Selasa","Rabu","Khamis","Jumaat","Sabtu","Ahad")&amp;", "&amp;DAY(T1008)&amp;" "&amp;CHOOSE(MONTH(T1008),"Jan","Feb","Mac","Apr","Mei","Jun","Jul","Ogo","Sep","Okt","Nov","Dis")&amp;" "&amp;YEAR(T1008),IF(J1008="E",IF(INDEX(Transaksi!$B$2:$B$2001,K1008)="",INDEX(Transaksi!$C$2:$C$2001,K1008)&amp;" · "&amp;INDEX(Transaksi!$D$2:$D$2001,K1008),INDEX(Transaksi!$B$2:$B$2001,K1008)),""))</f>
        <v/>
      </c>
      <c r="C1008" s="32">
        <f>IF(J1008="E",INDEX(Transaksi!$C$2:$C$2001,K1008)&amp;"","")</f>
        <v/>
      </c>
      <c r="D1008" s="32">
        <f>IF(J1008="E",INDEX(Transaksi!$D$2:$D$2001,K1008)&amp;"","")</f>
        <v/>
      </c>
      <c r="E1008" s="33">
        <f>IF(J1008="H",SUMIFS(Transaksi!$G$2:$G$2001,Transaksi!$M$2:$M$2001,"="&amp;S1008)+SUMIFS(Transaksi!$H$2:$H$2001,Transaksi!$M$2:$M$2001,"="&amp;S1008)+SUMIFS(Transaksi!$I$2:$I$2001,Transaksi!$M$2:$M$2001,"="&amp;S1008),IF(J1008="E",IF(INDEX(Transaksi!$G$2:$G$2001,K1008)+INDEX(Transaksi!$H$2:$H$2001,K1008)+INDEX(Transaksi!$I$2:$I$2001,K1008)=0,"",INDEX(Transaksi!$G$2:$G$2001,K1008)+INDEX(Transaksi!$H$2:$H$2001,K1008)+INDEX(Transaksi!$I$2:$I$2001,K1008)),""))</f>
        <v/>
      </c>
      <c r="F1008" s="33">
        <f>IF(J1008="H",SUMIFS(Transaksi!$J$2:$J$2001,Transaksi!$M$2:$M$2001,"="&amp;S1008),IF(J1008="E",IF(INDEX(Transaksi!$J$2:$J$2001,K1008)=0,"",INDEX(Transaksi!$J$2:$J$2001,K1008)),""))</f>
        <v/>
      </c>
      <c r="G1008" s="33">
        <f>IF(J1008="H",(SUMIFS(Transaksi!$G$2:$G$2001,Transaksi!$M$2:$M$2001,"&lt;="&amp;S1008)+SUMIFS(Transaksi!$H$2:$H$2001,Transaksi!$M$2:$M$2001,"&lt;="&amp;S1008)+SUMIFS(Transaksi!$I$2:$I$2001,Transaksi!$M$2:$M$2001,"&lt;="&amp;S1008))-(SUMIFS(Transaksi!$J$2:$J$2001,Transaksi!$M$2:$M$2001,"&lt;="&amp;S1008)),"")</f>
        <v/>
      </c>
      <c r="I1008">
        <f>IF(1005&gt;$O$2,"",MATCH(1005,$Q$3:$Q$402,1))</f>
        <v/>
      </c>
      <c r="J1008">
        <f>IF(I1008="","",IF(1005=INDEX($Q$3:$Q$402,I1008),"H","E"))</f>
        <v/>
      </c>
      <c r="K1008">
        <f>IF(J1008&lt;&gt;"E","",MATCH(S1008,Transaksi!$M$2:$M$2001,0)+1005-INDEX($Q$3:$Q$402,I1008)-1)</f>
        <v/>
      </c>
      <c r="S1008">
        <f>IF(I1008="","",INDEX($O$3:$O$402,I1008))</f>
        <v/>
      </c>
      <c r="T1008">
        <f>IF(J1008&lt;&gt;"H","",INDEX(Transaksi!$A$2:$A$2001,MATCH(S1008,Transaksi!$M$2:$M$2001,0)))</f>
        <v/>
      </c>
    </row>
    <row r="1009">
      <c r="A1009" s="31">
        <f>IF(J1009="E",IF(INDEX(Transaksi!$J$2:$J$2001,K1009)&gt;0,"↑","↓"),"")</f>
        <v/>
      </c>
      <c r="B1009" s="32">
        <f>IF(J1009="H",CHOOSE(WEEKDAY(T1009,2),"Isnin","Selasa","Rabu","Khamis","Jumaat","Sabtu","Ahad")&amp;", "&amp;DAY(T1009)&amp;" "&amp;CHOOSE(MONTH(T1009),"Jan","Feb","Mac","Apr","Mei","Jun","Jul","Ogo","Sep","Okt","Nov","Dis")&amp;" "&amp;YEAR(T1009),IF(J1009="E",IF(INDEX(Transaksi!$B$2:$B$2001,K1009)="",INDEX(Transaksi!$C$2:$C$2001,K1009)&amp;" · "&amp;INDEX(Transaksi!$D$2:$D$2001,K1009),INDEX(Transaksi!$B$2:$B$2001,K1009)),""))</f>
        <v/>
      </c>
      <c r="C1009" s="32">
        <f>IF(J1009="E",INDEX(Transaksi!$C$2:$C$2001,K1009)&amp;"","")</f>
        <v/>
      </c>
      <c r="D1009" s="32">
        <f>IF(J1009="E",INDEX(Transaksi!$D$2:$D$2001,K1009)&amp;"","")</f>
        <v/>
      </c>
      <c r="E1009" s="33">
        <f>IF(J1009="H",SUMIFS(Transaksi!$G$2:$G$2001,Transaksi!$M$2:$M$2001,"="&amp;S1009)+SUMIFS(Transaksi!$H$2:$H$2001,Transaksi!$M$2:$M$2001,"="&amp;S1009)+SUMIFS(Transaksi!$I$2:$I$2001,Transaksi!$M$2:$M$2001,"="&amp;S1009),IF(J1009="E",IF(INDEX(Transaksi!$G$2:$G$2001,K1009)+INDEX(Transaksi!$H$2:$H$2001,K1009)+INDEX(Transaksi!$I$2:$I$2001,K1009)=0,"",INDEX(Transaksi!$G$2:$G$2001,K1009)+INDEX(Transaksi!$H$2:$H$2001,K1009)+INDEX(Transaksi!$I$2:$I$2001,K1009)),""))</f>
        <v/>
      </c>
      <c r="F1009" s="33">
        <f>IF(J1009="H",SUMIFS(Transaksi!$J$2:$J$2001,Transaksi!$M$2:$M$2001,"="&amp;S1009),IF(J1009="E",IF(INDEX(Transaksi!$J$2:$J$2001,K1009)=0,"",INDEX(Transaksi!$J$2:$J$2001,K1009)),""))</f>
        <v/>
      </c>
      <c r="G1009" s="33">
        <f>IF(J1009="H",(SUMIFS(Transaksi!$G$2:$G$2001,Transaksi!$M$2:$M$2001,"&lt;="&amp;S1009)+SUMIFS(Transaksi!$H$2:$H$2001,Transaksi!$M$2:$M$2001,"&lt;="&amp;S1009)+SUMIFS(Transaksi!$I$2:$I$2001,Transaksi!$M$2:$M$2001,"&lt;="&amp;S1009))-(SUMIFS(Transaksi!$J$2:$J$2001,Transaksi!$M$2:$M$2001,"&lt;="&amp;S1009)),"")</f>
        <v/>
      </c>
      <c r="I1009">
        <f>IF(1006&gt;$O$2,"",MATCH(1006,$Q$3:$Q$402,1))</f>
        <v/>
      </c>
      <c r="J1009">
        <f>IF(I1009="","",IF(1006=INDEX($Q$3:$Q$402,I1009),"H","E"))</f>
        <v/>
      </c>
      <c r="K1009">
        <f>IF(J1009&lt;&gt;"E","",MATCH(S1009,Transaksi!$M$2:$M$2001,0)+1006-INDEX($Q$3:$Q$402,I1009)-1)</f>
        <v/>
      </c>
      <c r="S1009">
        <f>IF(I1009="","",INDEX($O$3:$O$402,I1009))</f>
        <v/>
      </c>
      <c r="T1009">
        <f>IF(J1009&lt;&gt;"H","",INDEX(Transaksi!$A$2:$A$2001,MATCH(S1009,Transaksi!$M$2:$M$2001,0)))</f>
        <v/>
      </c>
    </row>
    <row r="1010">
      <c r="A1010" s="31">
        <f>IF(J1010="E",IF(INDEX(Transaksi!$J$2:$J$2001,K1010)&gt;0,"↑","↓"),"")</f>
        <v/>
      </c>
      <c r="B1010" s="32">
        <f>IF(J1010="H",CHOOSE(WEEKDAY(T1010,2),"Isnin","Selasa","Rabu","Khamis","Jumaat","Sabtu","Ahad")&amp;", "&amp;DAY(T1010)&amp;" "&amp;CHOOSE(MONTH(T1010),"Jan","Feb","Mac","Apr","Mei","Jun","Jul","Ogo","Sep","Okt","Nov","Dis")&amp;" "&amp;YEAR(T1010),IF(J1010="E",IF(INDEX(Transaksi!$B$2:$B$2001,K1010)="",INDEX(Transaksi!$C$2:$C$2001,K1010)&amp;" · "&amp;INDEX(Transaksi!$D$2:$D$2001,K1010),INDEX(Transaksi!$B$2:$B$2001,K1010)),""))</f>
        <v/>
      </c>
      <c r="C1010" s="32">
        <f>IF(J1010="E",INDEX(Transaksi!$C$2:$C$2001,K1010)&amp;"","")</f>
        <v/>
      </c>
      <c r="D1010" s="32">
        <f>IF(J1010="E",INDEX(Transaksi!$D$2:$D$2001,K1010)&amp;"","")</f>
        <v/>
      </c>
      <c r="E1010" s="33">
        <f>IF(J1010="H",SUMIFS(Transaksi!$G$2:$G$2001,Transaksi!$M$2:$M$2001,"="&amp;S1010)+SUMIFS(Transaksi!$H$2:$H$2001,Transaksi!$M$2:$M$2001,"="&amp;S1010)+SUMIFS(Transaksi!$I$2:$I$2001,Transaksi!$M$2:$M$2001,"="&amp;S1010),IF(J1010="E",IF(INDEX(Transaksi!$G$2:$G$2001,K1010)+INDEX(Transaksi!$H$2:$H$2001,K1010)+INDEX(Transaksi!$I$2:$I$2001,K1010)=0,"",INDEX(Transaksi!$G$2:$G$2001,K1010)+INDEX(Transaksi!$H$2:$H$2001,K1010)+INDEX(Transaksi!$I$2:$I$2001,K1010)),""))</f>
        <v/>
      </c>
      <c r="F1010" s="33">
        <f>IF(J1010="H",SUMIFS(Transaksi!$J$2:$J$2001,Transaksi!$M$2:$M$2001,"="&amp;S1010),IF(J1010="E",IF(INDEX(Transaksi!$J$2:$J$2001,K1010)=0,"",INDEX(Transaksi!$J$2:$J$2001,K1010)),""))</f>
        <v/>
      </c>
      <c r="G1010" s="33">
        <f>IF(J1010="H",(SUMIFS(Transaksi!$G$2:$G$2001,Transaksi!$M$2:$M$2001,"&lt;="&amp;S1010)+SUMIFS(Transaksi!$H$2:$H$2001,Transaksi!$M$2:$M$2001,"&lt;="&amp;S1010)+SUMIFS(Transaksi!$I$2:$I$2001,Transaksi!$M$2:$M$2001,"&lt;="&amp;S1010))-(SUMIFS(Transaksi!$J$2:$J$2001,Transaksi!$M$2:$M$2001,"&lt;="&amp;S1010)),"")</f>
        <v/>
      </c>
      <c r="I1010">
        <f>IF(1007&gt;$O$2,"",MATCH(1007,$Q$3:$Q$402,1))</f>
        <v/>
      </c>
      <c r="J1010">
        <f>IF(I1010="","",IF(1007=INDEX($Q$3:$Q$402,I1010),"H","E"))</f>
        <v/>
      </c>
      <c r="K1010">
        <f>IF(J1010&lt;&gt;"E","",MATCH(S1010,Transaksi!$M$2:$M$2001,0)+1007-INDEX($Q$3:$Q$402,I1010)-1)</f>
        <v/>
      </c>
      <c r="S1010">
        <f>IF(I1010="","",INDEX($O$3:$O$402,I1010))</f>
        <v/>
      </c>
      <c r="T1010">
        <f>IF(J1010&lt;&gt;"H","",INDEX(Transaksi!$A$2:$A$2001,MATCH(S1010,Transaksi!$M$2:$M$2001,0)))</f>
        <v/>
      </c>
    </row>
    <row r="1011">
      <c r="A1011" s="31">
        <f>IF(J1011="E",IF(INDEX(Transaksi!$J$2:$J$2001,K1011)&gt;0,"↑","↓"),"")</f>
        <v/>
      </c>
      <c r="B1011" s="32">
        <f>IF(J1011="H",CHOOSE(WEEKDAY(T1011,2),"Isnin","Selasa","Rabu","Khamis","Jumaat","Sabtu","Ahad")&amp;", "&amp;DAY(T1011)&amp;" "&amp;CHOOSE(MONTH(T1011),"Jan","Feb","Mac","Apr","Mei","Jun","Jul","Ogo","Sep","Okt","Nov","Dis")&amp;" "&amp;YEAR(T1011),IF(J1011="E",IF(INDEX(Transaksi!$B$2:$B$2001,K1011)="",INDEX(Transaksi!$C$2:$C$2001,K1011)&amp;" · "&amp;INDEX(Transaksi!$D$2:$D$2001,K1011),INDEX(Transaksi!$B$2:$B$2001,K1011)),""))</f>
        <v/>
      </c>
      <c r="C1011" s="32">
        <f>IF(J1011="E",INDEX(Transaksi!$C$2:$C$2001,K1011)&amp;"","")</f>
        <v/>
      </c>
      <c r="D1011" s="32">
        <f>IF(J1011="E",INDEX(Transaksi!$D$2:$D$2001,K1011)&amp;"","")</f>
        <v/>
      </c>
      <c r="E1011" s="33">
        <f>IF(J1011="H",SUMIFS(Transaksi!$G$2:$G$2001,Transaksi!$M$2:$M$2001,"="&amp;S1011)+SUMIFS(Transaksi!$H$2:$H$2001,Transaksi!$M$2:$M$2001,"="&amp;S1011)+SUMIFS(Transaksi!$I$2:$I$2001,Transaksi!$M$2:$M$2001,"="&amp;S1011),IF(J1011="E",IF(INDEX(Transaksi!$G$2:$G$2001,K1011)+INDEX(Transaksi!$H$2:$H$2001,K1011)+INDEX(Transaksi!$I$2:$I$2001,K1011)=0,"",INDEX(Transaksi!$G$2:$G$2001,K1011)+INDEX(Transaksi!$H$2:$H$2001,K1011)+INDEX(Transaksi!$I$2:$I$2001,K1011)),""))</f>
        <v/>
      </c>
      <c r="F1011" s="33">
        <f>IF(J1011="H",SUMIFS(Transaksi!$J$2:$J$2001,Transaksi!$M$2:$M$2001,"="&amp;S1011),IF(J1011="E",IF(INDEX(Transaksi!$J$2:$J$2001,K1011)=0,"",INDEX(Transaksi!$J$2:$J$2001,K1011)),""))</f>
        <v/>
      </c>
      <c r="G1011" s="33">
        <f>IF(J1011="H",(SUMIFS(Transaksi!$G$2:$G$2001,Transaksi!$M$2:$M$2001,"&lt;="&amp;S1011)+SUMIFS(Transaksi!$H$2:$H$2001,Transaksi!$M$2:$M$2001,"&lt;="&amp;S1011)+SUMIFS(Transaksi!$I$2:$I$2001,Transaksi!$M$2:$M$2001,"&lt;="&amp;S1011))-(SUMIFS(Transaksi!$J$2:$J$2001,Transaksi!$M$2:$M$2001,"&lt;="&amp;S1011)),"")</f>
        <v/>
      </c>
      <c r="I1011">
        <f>IF(1008&gt;$O$2,"",MATCH(1008,$Q$3:$Q$402,1))</f>
        <v/>
      </c>
      <c r="J1011">
        <f>IF(I1011="","",IF(1008=INDEX($Q$3:$Q$402,I1011),"H","E"))</f>
        <v/>
      </c>
      <c r="K1011">
        <f>IF(J1011&lt;&gt;"E","",MATCH(S1011,Transaksi!$M$2:$M$2001,0)+1008-INDEX($Q$3:$Q$402,I1011)-1)</f>
        <v/>
      </c>
      <c r="S1011">
        <f>IF(I1011="","",INDEX($O$3:$O$402,I1011))</f>
        <v/>
      </c>
      <c r="T1011">
        <f>IF(J1011&lt;&gt;"H","",INDEX(Transaksi!$A$2:$A$2001,MATCH(S1011,Transaksi!$M$2:$M$2001,0)))</f>
        <v/>
      </c>
    </row>
    <row r="1012">
      <c r="A1012" s="31">
        <f>IF(J1012="E",IF(INDEX(Transaksi!$J$2:$J$2001,K1012)&gt;0,"↑","↓"),"")</f>
        <v/>
      </c>
      <c r="B1012" s="32">
        <f>IF(J1012="H",CHOOSE(WEEKDAY(T1012,2),"Isnin","Selasa","Rabu","Khamis","Jumaat","Sabtu","Ahad")&amp;", "&amp;DAY(T1012)&amp;" "&amp;CHOOSE(MONTH(T1012),"Jan","Feb","Mac","Apr","Mei","Jun","Jul","Ogo","Sep","Okt","Nov","Dis")&amp;" "&amp;YEAR(T1012),IF(J1012="E",IF(INDEX(Transaksi!$B$2:$B$2001,K1012)="",INDEX(Transaksi!$C$2:$C$2001,K1012)&amp;" · "&amp;INDEX(Transaksi!$D$2:$D$2001,K1012),INDEX(Transaksi!$B$2:$B$2001,K1012)),""))</f>
        <v/>
      </c>
      <c r="C1012" s="32">
        <f>IF(J1012="E",INDEX(Transaksi!$C$2:$C$2001,K1012)&amp;"","")</f>
        <v/>
      </c>
      <c r="D1012" s="32">
        <f>IF(J1012="E",INDEX(Transaksi!$D$2:$D$2001,K1012)&amp;"","")</f>
        <v/>
      </c>
      <c r="E1012" s="33">
        <f>IF(J1012="H",SUMIFS(Transaksi!$G$2:$G$2001,Transaksi!$M$2:$M$2001,"="&amp;S1012)+SUMIFS(Transaksi!$H$2:$H$2001,Transaksi!$M$2:$M$2001,"="&amp;S1012)+SUMIFS(Transaksi!$I$2:$I$2001,Transaksi!$M$2:$M$2001,"="&amp;S1012),IF(J1012="E",IF(INDEX(Transaksi!$G$2:$G$2001,K1012)+INDEX(Transaksi!$H$2:$H$2001,K1012)+INDEX(Transaksi!$I$2:$I$2001,K1012)=0,"",INDEX(Transaksi!$G$2:$G$2001,K1012)+INDEX(Transaksi!$H$2:$H$2001,K1012)+INDEX(Transaksi!$I$2:$I$2001,K1012)),""))</f>
        <v/>
      </c>
      <c r="F1012" s="33">
        <f>IF(J1012="H",SUMIFS(Transaksi!$J$2:$J$2001,Transaksi!$M$2:$M$2001,"="&amp;S1012),IF(J1012="E",IF(INDEX(Transaksi!$J$2:$J$2001,K1012)=0,"",INDEX(Transaksi!$J$2:$J$2001,K1012)),""))</f>
        <v/>
      </c>
      <c r="G1012" s="33">
        <f>IF(J1012="H",(SUMIFS(Transaksi!$G$2:$G$2001,Transaksi!$M$2:$M$2001,"&lt;="&amp;S1012)+SUMIFS(Transaksi!$H$2:$H$2001,Transaksi!$M$2:$M$2001,"&lt;="&amp;S1012)+SUMIFS(Transaksi!$I$2:$I$2001,Transaksi!$M$2:$M$2001,"&lt;="&amp;S1012))-(SUMIFS(Transaksi!$J$2:$J$2001,Transaksi!$M$2:$M$2001,"&lt;="&amp;S1012)),"")</f>
        <v/>
      </c>
      <c r="I1012">
        <f>IF(1009&gt;$O$2,"",MATCH(1009,$Q$3:$Q$402,1))</f>
        <v/>
      </c>
      <c r="J1012">
        <f>IF(I1012="","",IF(1009=INDEX($Q$3:$Q$402,I1012),"H","E"))</f>
        <v/>
      </c>
      <c r="K1012">
        <f>IF(J1012&lt;&gt;"E","",MATCH(S1012,Transaksi!$M$2:$M$2001,0)+1009-INDEX($Q$3:$Q$402,I1012)-1)</f>
        <v/>
      </c>
      <c r="S1012">
        <f>IF(I1012="","",INDEX($O$3:$O$402,I1012))</f>
        <v/>
      </c>
      <c r="T1012">
        <f>IF(J1012&lt;&gt;"H","",INDEX(Transaksi!$A$2:$A$2001,MATCH(S1012,Transaksi!$M$2:$M$2001,0)))</f>
        <v/>
      </c>
    </row>
    <row r="1013">
      <c r="A1013" s="31">
        <f>IF(J1013="E",IF(INDEX(Transaksi!$J$2:$J$2001,K1013)&gt;0,"↑","↓"),"")</f>
        <v/>
      </c>
      <c r="B1013" s="32">
        <f>IF(J1013="H",CHOOSE(WEEKDAY(T1013,2),"Isnin","Selasa","Rabu","Khamis","Jumaat","Sabtu","Ahad")&amp;", "&amp;DAY(T1013)&amp;" "&amp;CHOOSE(MONTH(T1013),"Jan","Feb","Mac","Apr","Mei","Jun","Jul","Ogo","Sep","Okt","Nov","Dis")&amp;" "&amp;YEAR(T1013),IF(J1013="E",IF(INDEX(Transaksi!$B$2:$B$2001,K1013)="",INDEX(Transaksi!$C$2:$C$2001,K1013)&amp;" · "&amp;INDEX(Transaksi!$D$2:$D$2001,K1013),INDEX(Transaksi!$B$2:$B$2001,K1013)),""))</f>
        <v/>
      </c>
      <c r="C1013" s="32">
        <f>IF(J1013="E",INDEX(Transaksi!$C$2:$C$2001,K1013)&amp;"","")</f>
        <v/>
      </c>
      <c r="D1013" s="32">
        <f>IF(J1013="E",INDEX(Transaksi!$D$2:$D$2001,K1013)&amp;"","")</f>
        <v/>
      </c>
      <c r="E1013" s="33">
        <f>IF(J1013="H",SUMIFS(Transaksi!$G$2:$G$2001,Transaksi!$M$2:$M$2001,"="&amp;S1013)+SUMIFS(Transaksi!$H$2:$H$2001,Transaksi!$M$2:$M$2001,"="&amp;S1013)+SUMIFS(Transaksi!$I$2:$I$2001,Transaksi!$M$2:$M$2001,"="&amp;S1013),IF(J1013="E",IF(INDEX(Transaksi!$G$2:$G$2001,K1013)+INDEX(Transaksi!$H$2:$H$2001,K1013)+INDEX(Transaksi!$I$2:$I$2001,K1013)=0,"",INDEX(Transaksi!$G$2:$G$2001,K1013)+INDEX(Transaksi!$H$2:$H$2001,K1013)+INDEX(Transaksi!$I$2:$I$2001,K1013)),""))</f>
        <v/>
      </c>
      <c r="F1013" s="33">
        <f>IF(J1013="H",SUMIFS(Transaksi!$J$2:$J$2001,Transaksi!$M$2:$M$2001,"="&amp;S1013),IF(J1013="E",IF(INDEX(Transaksi!$J$2:$J$2001,K1013)=0,"",INDEX(Transaksi!$J$2:$J$2001,K1013)),""))</f>
        <v/>
      </c>
      <c r="G1013" s="33">
        <f>IF(J1013="H",(SUMIFS(Transaksi!$G$2:$G$2001,Transaksi!$M$2:$M$2001,"&lt;="&amp;S1013)+SUMIFS(Transaksi!$H$2:$H$2001,Transaksi!$M$2:$M$2001,"&lt;="&amp;S1013)+SUMIFS(Transaksi!$I$2:$I$2001,Transaksi!$M$2:$M$2001,"&lt;="&amp;S1013))-(SUMIFS(Transaksi!$J$2:$J$2001,Transaksi!$M$2:$M$2001,"&lt;="&amp;S1013)),"")</f>
        <v/>
      </c>
      <c r="I1013">
        <f>IF(1010&gt;$O$2,"",MATCH(1010,$Q$3:$Q$402,1))</f>
        <v/>
      </c>
      <c r="J1013">
        <f>IF(I1013="","",IF(1010=INDEX($Q$3:$Q$402,I1013),"H","E"))</f>
        <v/>
      </c>
      <c r="K1013">
        <f>IF(J1013&lt;&gt;"E","",MATCH(S1013,Transaksi!$M$2:$M$2001,0)+1010-INDEX($Q$3:$Q$402,I1013)-1)</f>
        <v/>
      </c>
      <c r="S1013">
        <f>IF(I1013="","",INDEX($O$3:$O$402,I1013))</f>
        <v/>
      </c>
      <c r="T1013">
        <f>IF(J1013&lt;&gt;"H","",INDEX(Transaksi!$A$2:$A$2001,MATCH(S1013,Transaksi!$M$2:$M$2001,0)))</f>
        <v/>
      </c>
    </row>
    <row r="1014">
      <c r="A1014" s="31">
        <f>IF(J1014="E",IF(INDEX(Transaksi!$J$2:$J$2001,K1014)&gt;0,"↑","↓"),"")</f>
        <v/>
      </c>
      <c r="B1014" s="32">
        <f>IF(J1014="H",CHOOSE(WEEKDAY(T1014,2),"Isnin","Selasa","Rabu","Khamis","Jumaat","Sabtu","Ahad")&amp;", "&amp;DAY(T1014)&amp;" "&amp;CHOOSE(MONTH(T1014),"Jan","Feb","Mac","Apr","Mei","Jun","Jul","Ogo","Sep","Okt","Nov","Dis")&amp;" "&amp;YEAR(T1014),IF(J1014="E",IF(INDEX(Transaksi!$B$2:$B$2001,K1014)="",INDEX(Transaksi!$C$2:$C$2001,K1014)&amp;" · "&amp;INDEX(Transaksi!$D$2:$D$2001,K1014),INDEX(Transaksi!$B$2:$B$2001,K1014)),""))</f>
        <v/>
      </c>
      <c r="C1014" s="32">
        <f>IF(J1014="E",INDEX(Transaksi!$C$2:$C$2001,K1014)&amp;"","")</f>
        <v/>
      </c>
      <c r="D1014" s="32">
        <f>IF(J1014="E",INDEX(Transaksi!$D$2:$D$2001,K1014)&amp;"","")</f>
        <v/>
      </c>
      <c r="E1014" s="33">
        <f>IF(J1014="H",SUMIFS(Transaksi!$G$2:$G$2001,Transaksi!$M$2:$M$2001,"="&amp;S1014)+SUMIFS(Transaksi!$H$2:$H$2001,Transaksi!$M$2:$M$2001,"="&amp;S1014)+SUMIFS(Transaksi!$I$2:$I$2001,Transaksi!$M$2:$M$2001,"="&amp;S1014),IF(J1014="E",IF(INDEX(Transaksi!$G$2:$G$2001,K1014)+INDEX(Transaksi!$H$2:$H$2001,K1014)+INDEX(Transaksi!$I$2:$I$2001,K1014)=0,"",INDEX(Transaksi!$G$2:$G$2001,K1014)+INDEX(Transaksi!$H$2:$H$2001,K1014)+INDEX(Transaksi!$I$2:$I$2001,K1014)),""))</f>
        <v/>
      </c>
      <c r="F1014" s="33">
        <f>IF(J1014="H",SUMIFS(Transaksi!$J$2:$J$2001,Transaksi!$M$2:$M$2001,"="&amp;S1014),IF(J1014="E",IF(INDEX(Transaksi!$J$2:$J$2001,K1014)=0,"",INDEX(Transaksi!$J$2:$J$2001,K1014)),""))</f>
        <v/>
      </c>
      <c r="G1014" s="33">
        <f>IF(J1014="H",(SUMIFS(Transaksi!$G$2:$G$2001,Transaksi!$M$2:$M$2001,"&lt;="&amp;S1014)+SUMIFS(Transaksi!$H$2:$H$2001,Transaksi!$M$2:$M$2001,"&lt;="&amp;S1014)+SUMIFS(Transaksi!$I$2:$I$2001,Transaksi!$M$2:$M$2001,"&lt;="&amp;S1014))-(SUMIFS(Transaksi!$J$2:$J$2001,Transaksi!$M$2:$M$2001,"&lt;="&amp;S1014)),"")</f>
        <v/>
      </c>
      <c r="I1014">
        <f>IF(1011&gt;$O$2,"",MATCH(1011,$Q$3:$Q$402,1))</f>
        <v/>
      </c>
      <c r="J1014">
        <f>IF(I1014="","",IF(1011=INDEX($Q$3:$Q$402,I1014),"H","E"))</f>
        <v/>
      </c>
      <c r="K1014">
        <f>IF(J1014&lt;&gt;"E","",MATCH(S1014,Transaksi!$M$2:$M$2001,0)+1011-INDEX($Q$3:$Q$402,I1014)-1)</f>
        <v/>
      </c>
      <c r="S1014">
        <f>IF(I1014="","",INDEX($O$3:$O$402,I1014))</f>
        <v/>
      </c>
      <c r="T1014">
        <f>IF(J1014&lt;&gt;"H","",INDEX(Transaksi!$A$2:$A$2001,MATCH(S1014,Transaksi!$M$2:$M$2001,0)))</f>
        <v/>
      </c>
    </row>
    <row r="1015">
      <c r="A1015" s="31">
        <f>IF(J1015="E",IF(INDEX(Transaksi!$J$2:$J$2001,K1015)&gt;0,"↑","↓"),"")</f>
        <v/>
      </c>
      <c r="B1015" s="32">
        <f>IF(J1015="H",CHOOSE(WEEKDAY(T1015,2),"Isnin","Selasa","Rabu","Khamis","Jumaat","Sabtu","Ahad")&amp;", "&amp;DAY(T1015)&amp;" "&amp;CHOOSE(MONTH(T1015),"Jan","Feb","Mac","Apr","Mei","Jun","Jul","Ogo","Sep","Okt","Nov","Dis")&amp;" "&amp;YEAR(T1015),IF(J1015="E",IF(INDEX(Transaksi!$B$2:$B$2001,K1015)="",INDEX(Transaksi!$C$2:$C$2001,K1015)&amp;" · "&amp;INDEX(Transaksi!$D$2:$D$2001,K1015),INDEX(Transaksi!$B$2:$B$2001,K1015)),""))</f>
        <v/>
      </c>
      <c r="C1015" s="32">
        <f>IF(J1015="E",INDEX(Transaksi!$C$2:$C$2001,K1015)&amp;"","")</f>
        <v/>
      </c>
      <c r="D1015" s="32">
        <f>IF(J1015="E",INDEX(Transaksi!$D$2:$D$2001,K1015)&amp;"","")</f>
        <v/>
      </c>
      <c r="E1015" s="33">
        <f>IF(J1015="H",SUMIFS(Transaksi!$G$2:$G$2001,Transaksi!$M$2:$M$2001,"="&amp;S1015)+SUMIFS(Transaksi!$H$2:$H$2001,Transaksi!$M$2:$M$2001,"="&amp;S1015)+SUMIFS(Transaksi!$I$2:$I$2001,Transaksi!$M$2:$M$2001,"="&amp;S1015),IF(J1015="E",IF(INDEX(Transaksi!$G$2:$G$2001,K1015)+INDEX(Transaksi!$H$2:$H$2001,K1015)+INDEX(Transaksi!$I$2:$I$2001,K1015)=0,"",INDEX(Transaksi!$G$2:$G$2001,K1015)+INDEX(Transaksi!$H$2:$H$2001,K1015)+INDEX(Transaksi!$I$2:$I$2001,K1015)),""))</f>
        <v/>
      </c>
      <c r="F1015" s="33">
        <f>IF(J1015="H",SUMIFS(Transaksi!$J$2:$J$2001,Transaksi!$M$2:$M$2001,"="&amp;S1015),IF(J1015="E",IF(INDEX(Transaksi!$J$2:$J$2001,K1015)=0,"",INDEX(Transaksi!$J$2:$J$2001,K1015)),""))</f>
        <v/>
      </c>
      <c r="G1015" s="33">
        <f>IF(J1015="H",(SUMIFS(Transaksi!$G$2:$G$2001,Transaksi!$M$2:$M$2001,"&lt;="&amp;S1015)+SUMIFS(Transaksi!$H$2:$H$2001,Transaksi!$M$2:$M$2001,"&lt;="&amp;S1015)+SUMIFS(Transaksi!$I$2:$I$2001,Transaksi!$M$2:$M$2001,"&lt;="&amp;S1015))-(SUMIFS(Transaksi!$J$2:$J$2001,Transaksi!$M$2:$M$2001,"&lt;="&amp;S1015)),"")</f>
        <v/>
      </c>
      <c r="I1015">
        <f>IF(1012&gt;$O$2,"",MATCH(1012,$Q$3:$Q$402,1))</f>
        <v/>
      </c>
      <c r="J1015">
        <f>IF(I1015="","",IF(1012=INDEX($Q$3:$Q$402,I1015),"H","E"))</f>
        <v/>
      </c>
      <c r="K1015">
        <f>IF(J1015&lt;&gt;"E","",MATCH(S1015,Transaksi!$M$2:$M$2001,0)+1012-INDEX($Q$3:$Q$402,I1015)-1)</f>
        <v/>
      </c>
      <c r="S1015">
        <f>IF(I1015="","",INDEX($O$3:$O$402,I1015))</f>
        <v/>
      </c>
      <c r="T1015">
        <f>IF(J1015&lt;&gt;"H","",INDEX(Transaksi!$A$2:$A$2001,MATCH(S1015,Transaksi!$M$2:$M$2001,0)))</f>
        <v/>
      </c>
    </row>
    <row r="1016">
      <c r="A1016" s="31">
        <f>IF(J1016="E",IF(INDEX(Transaksi!$J$2:$J$2001,K1016)&gt;0,"↑","↓"),"")</f>
        <v/>
      </c>
      <c r="B1016" s="32">
        <f>IF(J1016="H",CHOOSE(WEEKDAY(T1016,2),"Isnin","Selasa","Rabu","Khamis","Jumaat","Sabtu","Ahad")&amp;", "&amp;DAY(T1016)&amp;" "&amp;CHOOSE(MONTH(T1016),"Jan","Feb","Mac","Apr","Mei","Jun","Jul","Ogo","Sep","Okt","Nov","Dis")&amp;" "&amp;YEAR(T1016),IF(J1016="E",IF(INDEX(Transaksi!$B$2:$B$2001,K1016)="",INDEX(Transaksi!$C$2:$C$2001,K1016)&amp;" · "&amp;INDEX(Transaksi!$D$2:$D$2001,K1016),INDEX(Transaksi!$B$2:$B$2001,K1016)),""))</f>
        <v/>
      </c>
      <c r="C1016" s="32">
        <f>IF(J1016="E",INDEX(Transaksi!$C$2:$C$2001,K1016)&amp;"","")</f>
        <v/>
      </c>
      <c r="D1016" s="32">
        <f>IF(J1016="E",INDEX(Transaksi!$D$2:$D$2001,K1016)&amp;"","")</f>
        <v/>
      </c>
      <c r="E1016" s="33">
        <f>IF(J1016="H",SUMIFS(Transaksi!$G$2:$G$2001,Transaksi!$M$2:$M$2001,"="&amp;S1016)+SUMIFS(Transaksi!$H$2:$H$2001,Transaksi!$M$2:$M$2001,"="&amp;S1016)+SUMIFS(Transaksi!$I$2:$I$2001,Transaksi!$M$2:$M$2001,"="&amp;S1016),IF(J1016="E",IF(INDEX(Transaksi!$G$2:$G$2001,K1016)+INDEX(Transaksi!$H$2:$H$2001,K1016)+INDEX(Transaksi!$I$2:$I$2001,K1016)=0,"",INDEX(Transaksi!$G$2:$G$2001,K1016)+INDEX(Transaksi!$H$2:$H$2001,K1016)+INDEX(Transaksi!$I$2:$I$2001,K1016)),""))</f>
        <v/>
      </c>
      <c r="F1016" s="33">
        <f>IF(J1016="H",SUMIFS(Transaksi!$J$2:$J$2001,Transaksi!$M$2:$M$2001,"="&amp;S1016),IF(J1016="E",IF(INDEX(Transaksi!$J$2:$J$2001,K1016)=0,"",INDEX(Transaksi!$J$2:$J$2001,K1016)),""))</f>
        <v/>
      </c>
      <c r="G1016" s="33">
        <f>IF(J1016="H",(SUMIFS(Transaksi!$G$2:$G$2001,Transaksi!$M$2:$M$2001,"&lt;="&amp;S1016)+SUMIFS(Transaksi!$H$2:$H$2001,Transaksi!$M$2:$M$2001,"&lt;="&amp;S1016)+SUMIFS(Transaksi!$I$2:$I$2001,Transaksi!$M$2:$M$2001,"&lt;="&amp;S1016))-(SUMIFS(Transaksi!$J$2:$J$2001,Transaksi!$M$2:$M$2001,"&lt;="&amp;S1016)),"")</f>
        <v/>
      </c>
      <c r="I1016">
        <f>IF(1013&gt;$O$2,"",MATCH(1013,$Q$3:$Q$402,1))</f>
        <v/>
      </c>
      <c r="J1016">
        <f>IF(I1016="","",IF(1013=INDEX($Q$3:$Q$402,I1016),"H","E"))</f>
        <v/>
      </c>
      <c r="K1016">
        <f>IF(J1016&lt;&gt;"E","",MATCH(S1016,Transaksi!$M$2:$M$2001,0)+1013-INDEX($Q$3:$Q$402,I1016)-1)</f>
        <v/>
      </c>
      <c r="S1016">
        <f>IF(I1016="","",INDEX($O$3:$O$402,I1016))</f>
        <v/>
      </c>
      <c r="T1016">
        <f>IF(J1016&lt;&gt;"H","",INDEX(Transaksi!$A$2:$A$2001,MATCH(S1016,Transaksi!$M$2:$M$2001,0)))</f>
        <v/>
      </c>
    </row>
    <row r="1017">
      <c r="A1017" s="31">
        <f>IF(J1017="E",IF(INDEX(Transaksi!$J$2:$J$2001,K1017)&gt;0,"↑","↓"),"")</f>
        <v/>
      </c>
      <c r="B1017" s="32">
        <f>IF(J1017="H",CHOOSE(WEEKDAY(T1017,2),"Isnin","Selasa","Rabu","Khamis","Jumaat","Sabtu","Ahad")&amp;", "&amp;DAY(T1017)&amp;" "&amp;CHOOSE(MONTH(T1017),"Jan","Feb","Mac","Apr","Mei","Jun","Jul","Ogo","Sep","Okt","Nov","Dis")&amp;" "&amp;YEAR(T1017),IF(J1017="E",IF(INDEX(Transaksi!$B$2:$B$2001,K1017)="",INDEX(Transaksi!$C$2:$C$2001,K1017)&amp;" · "&amp;INDEX(Transaksi!$D$2:$D$2001,K1017),INDEX(Transaksi!$B$2:$B$2001,K1017)),""))</f>
        <v/>
      </c>
      <c r="C1017" s="32">
        <f>IF(J1017="E",INDEX(Transaksi!$C$2:$C$2001,K1017)&amp;"","")</f>
        <v/>
      </c>
      <c r="D1017" s="32">
        <f>IF(J1017="E",INDEX(Transaksi!$D$2:$D$2001,K1017)&amp;"","")</f>
        <v/>
      </c>
      <c r="E1017" s="33">
        <f>IF(J1017="H",SUMIFS(Transaksi!$G$2:$G$2001,Transaksi!$M$2:$M$2001,"="&amp;S1017)+SUMIFS(Transaksi!$H$2:$H$2001,Transaksi!$M$2:$M$2001,"="&amp;S1017)+SUMIFS(Transaksi!$I$2:$I$2001,Transaksi!$M$2:$M$2001,"="&amp;S1017),IF(J1017="E",IF(INDEX(Transaksi!$G$2:$G$2001,K1017)+INDEX(Transaksi!$H$2:$H$2001,K1017)+INDEX(Transaksi!$I$2:$I$2001,K1017)=0,"",INDEX(Transaksi!$G$2:$G$2001,K1017)+INDEX(Transaksi!$H$2:$H$2001,K1017)+INDEX(Transaksi!$I$2:$I$2001,K1017)),""))</f>
        <v/>
      </c>
      <c r="F1017" s="33">
        <f>IF(J1017="H",SUMIFS(Transaksi!$J$2:$J$2001,Transaksi!$M$2:$M$2001,"="&amp;S1017),IF(J1017="E",IF(INDEX(Transaksi!$J$2:$J$2001,K1017)=0,"",INDEX(Transaksi!$J$2:$J$2001,K1017)),""))</f>
        <v/>
      </c>
      <c r="G1017" s="33">
        <f>IF(J1017="H",(SUMIFS(Transaksi!$G$2:$G$2001,Transaksi!$M$2:$M$2001,"&lt;="&amp;S1017)+SUMIFS(Transaksi!$H$2:$H$2001,Transaksi!$M$2:$M$2001,"&lt;="&amp;S1017)+SUMIFS(Transaksi!$I$2:$I$2001,Transaksi!$M$2:$M$2001,"&lt;="&amp;S1017))-(SUMIFS(Transaksi!$J$2:$J$2001,Transaksi!$M$2:$M$2001,"&lt;="&amp;S1017)),"")</f>
        <v/>
      </c>
      <c r="I1017">
        <f>IF(1014&gt;$O$2,"",MATCH(1014,$Q$3:$Q$402,1))</f>
        <v/>
      </c>
      <c r="J1017">
        <f>IF(I1017="","",IF(1014=INDEX($Q$3:$Q$402,I1017),"H","E"))</f>
        <v/>
      </c>
      <c r="K1017">
        <f>IF(J1017&lt;&gt;"E","",MATCH(S1017,Transaksi!$M$2:$M$2001,0)+1014-INDEX($Q$3:$Q$402,I1017)-1)</f>
        <v/>
      </c>
      <c r="S1017">
        <f>IF(I1017="","",INDEX($O$3:$O$402,I1017))</f>
        <v/>
      </c>
      <c r="T1017">
        <f>IF(J1017&lt;&gt;"H","",INDEX(Transaksi!$A$2:$A$2001,MATCH(S1017,Transaksi!$M$2:$M$2001,0)))</f>
        <v/>
      </c>
    </row>
    <row r="1018">
      <c r="A1018" s="31">
        <f>IF(J1018="E",IF(INDEX(Transaksi!$J$2:$J$2001,K1018)&gt;0,"↑","↓"),"")</f>
        <v/>
      </c>
      <c r="B1018" s="32">
        <f>IF(J1018="H",CHOOSE(WEEKDAY(T1018,2),"Isnin","Selasa","Rabu","Khamis","Jumaat","Sabtu","Ahad")&amp;", "&amp;DAY(T1018)&amp;" "&amp;CHOOSE(MONTH(T1018),"Jan","Feb","Mac","Apr","Mei","Jun","Jul","Ogo","Sep","Okt","Nov","Dis")&amp;" "&amp;YEAR(T1018),IF(J1018="E",IF(INDEX(Transaksi!$B$2:$B$2001,K1018)="",INDEX(Transaksi!$C$2:$C$2001,K1018)&amp;" · "&amp;INDEX(Transaksi!$D$2:$D$2001,K1018),INDEX(Transaksi!$B$2:$B$2001,K1018)),""))</f>
        <v/>
      </c>
      <c r="C1018" s="32">
        <f>IF(J1018="E",INDEX(Transaksi!$C$2:$C$2001,K1018)&amp;"","")</f>
        <v/>
      </c>
      <c r="D1018" s="32">
        <f>IF(J1018="E",INDEX(Transaksi!$D$2:$D$2001,K1018)&amp;"","")</f>
        <v/>
      </c>
      <c r="E1018" s="33">
        <f>IF(J1018="H",SUMIFS(Transaksi!$G$2:$G$2001,Transaksi!$M$2:$M$2001,"="&amp;S1018)+SUMIFS(Transaksi!$H$2:$H$2001,Transaksi!$M$2:$M$2001,"="&amp;S1018)+SUMIFS(Transaksi!$I$2:$I$2001,Transaksi!$M$2:$M$2001,"="&amp;S1018),IF(J1018="E",IF(INDEX(Transaksi!$G$2:$G$2001,K1018)+INDEX(Transaksi!$H$2:$H$2001,K1018)+INDEX(Transaksi!$I$2:$I$2001,K1018)=0,"",INDEX(Transaksi!$G$2:$G$2001,K1018)+INDEX(Transaksi!$H$2:$H$2001,K1018)+INDEX(Transaksi!$I$2:$I$2001,K1018)),""))</f>
        <v/>
      </c>
      <c r="F1018" s="33">
        <f>IF(J1018="H",SUMIFS(Transaksi!$J$2:$J$2001,Transaksi!$M$2:$M$2001,"="&amp;S1018),IF(J1018="E",IF(INDEX(Transaksi!$J$2:$J$2001,K1018)=0,"",INDEX(Transaksi!$J$2:$J$2001,K1018)),""))</f>
        <v/>
      </c>
      <c r="G1018" s="33">
        <f>IF(J1018="H",(SUMIFS(Transaksi!$G$2:$G$2001,Transaksi!$M$2:$M$2001,"&lt;="&amp;S1018)+SUMIFS(Transaksi!$H$2:$H$2001,Transaksi!$M$2:$M$2001,"&lt;="&amp;S1018)+SUMIFS(Transaksi!$I$2:$I$2001,Transaksi!$M$2:$M$2001,"&lt;="&amp;S1018))-(SUMIFS(Transaksi!$J$2:$J$2001,Transaksi!$M$2:$M$2001,"&lt;="&amp;S1018)),"")</f>
        <v/>
      </c>
      <c r="I1018">
        <f>IF(1015&gt;$O$2,"",MATCH(1015,$Q$3:$Q$402,1))</f>
        <v/>
      </c>
      <c r="J1018">
        <f>IF(I1018="","",IF(1015=INDEX($Q$3:$Q$402,I1018),"H","E"))</f>
        <v/>
      </c>
      <c r="K1018">
        <f>IF(J1018&lt;&gt;"E","",MATCH(S1018,Transaksi!$M$2:$M$2001,0)+1015-INDEX($Q$3:$Q$402,I1018)-1)</f>
        <v/>
      </c>
      <c r="S1018">
        <f>IF(I1018="","",INDEX($O$3:$O$402,I1018))</f>
        <v/>
      </c>
      <c r="T1018">
        <f>IF(J1018&lt;&gt;"H","",INDEX(Transaksi!$A$2:$A$2001,MATCH(S1018,Transaksi!$M$2:$M$2001,0)))</f>
        <v/>
      </c>
    </row>
    <row r="1019">
      <c r="A1019" s="31">
        <f>IF(J1019="E",IF(INDEX(Transaksi!$J$2:$J$2001,K1019)&gt;0,"↑","↓"),"")</f>
        <v/>
      </c>
      <c r="B1019" s="32">
        <f>IF(J1019="H",CHOOSE(WEEKDAY(T1019,2),"Isnin","Selasa","Rabu","Khamis","Jumaat","Sabtu","Ahad")&amp;", "&amp;DAY(T1019)&amp;" "&amp;CHOOSE(MONTH(T1019),"Jan","Feb","Mac","Apr","Mei","Jun","Jul","Ogo","Sep","Okt","Nov","Dis")&amp;" "&amp;YEAR(T1019),IF(J1019="E",IF(INDEX(Transaksi!$B$2:$B$2001,K1019)="",INDEX(Transaksi!$C$2:$C$2001,K1019)&amp;" · "&amp;INDEX(Transaksi!$D$2:$D$2001,K1019),INDEX(Transaksi!$B$2:$B$2001,K1019)),""))</f>
        <v/>
      </c>
      <c r="C1019" s="32">
        <f>IF(J1019="E",INDEX(Transaksi!$C$2:$C$2001,K1019)&amp;"","")</f>
        <v/>
      </c>
      <c r="D1019" s="32">
        <f>IF(J1019="E",INDEX(Transaksi!$D$2:$D$2001,K1019)&amp;"","")</f>
        <v/>
      </c>
      <c r="E1019" s="33">
        <f>IF(J1019="H",SUMIFS(Transaksi!$G$2:$G$2001,Transaksi!$M$2:$M$2001,"="&amp;S1019)+SUMIFS(Transaksi!$H$2:$H$2001,Transaksi!$M$2:$M$2001,"="&amp;S1019)+SUMIFS(Transaksi!$I$2:$I$2001,Transaksi!$M$2:$M$2001,"="&amp;S1019),IF(J1019="E",IF(INDEX(Transaksi!$G$2:$G$2001,K1019)+INDEX(Transaksi!$H$2:$H$2001,K1019)+INDEX(Transaksi!$I$2:$I$2001,K1019)=0,"",INDEX(Transaksi!$G$2:$G$2001,K1019)+INDEX(Transaksi!$H$2:$H$2001,K1019)+INDEX(Transaksi!$I$2:$I$2001,K1019)),""))</f>
        <v/>
      </c>
      <c r="F1019" s="33">
        <f>IF(J1019="H",SUMIFS(Transaksi!$J$2:$J$2001,Transaksi!$M$2:$M$2001,"="&amp;S1019),IF(J1019="E",IF(INDEX(Transaksi!$J$2:$J$2001,K1019)=0,"",INDEX(Transaksi!$J$2:$J$2001,K1019)),""))</f>
        <v/>
      </c>
      <c r="G1019" s="33">
        <f>IF(J1019="H",(SUMIFS(Transaksi!$G$2:$G$2001,Transaksi!$M$2:$M$2001,"&lt;="&amp;S1019)+SUMIFS(Transaksi!$H$2:$H$2001,Transaksi!$M$2:$M$2001,"&lt;="&amp;S1019)+SUMIFS(Transaksi!$I$2:$I$2001,Transaksi!$M$2:$M$2001,"&lt;="&amp;S1019))-(SUMIFS(Transaksi!$J$2:$J$2001,Transaksi!$M$2:$M$2001,"&lt;="&amp;S1019)),"")</f>
        <v/>
      </c>
      <c r="I1019">
        <f>IF(1016&gt;$O$2,"",MATCH(1016,$Q$3:$Q$402,1))</f>
        <v/>
      </c>
      <c r="J1019">
        <f>IF(I1019="","",IF(1016=INDEX($Q$3:$Q$402,I1019),"H","E"))</f>
        <v/>
      </c>
      <c r="K1019">
        <f>IF(J1019&lt;&gt;"E","",MATCH(S1019,Transaksi!$M$2:$M$2001,0)+1016-INDEX($Q$3:$Q$402,I1019)-1)</f>
        <v/>
      </c>
      <c r="S1019">
        <f>IF(I1019="","",INDEX($O$3:$O$402,I1019))</f>
        <v/>
      </c>
      <c r="T1019">
        <f>IF(J1019&lt;&gt;"H","",INDEX(Transaksi!$A$2:$A$2001,MATCH(S1019,Transaksi!$M$2:$M$2001,0)))</f>
        <v/>
      </c>
    </row>
    <row r="1020">
      <c r="A1020" s="31">
        <f>IF(J1020="E",IF(INDEX(Transaksi!$J$2:$J$2001,K1020)&gt;0,"↑","↓"),"")</f>
        <v/>
      </c>
      <c r="B1020" s="32">
        <f>IF(J1020="H",CHOOSE(WEEKDAY(T1020,2),"Isnin","Selasa","Rabu","Khamis","Jumaat","Sabtu","Ahad")&amp;", "&amp;DAY(T1020)&amp;" "&amp;CHOOSE(MONTH(T1020),"Jan","Feb","Mac","Apr","Mei","Jun","Jul","Ogo","Sep","Okt","Nov","Dis")&amp;" "&amp;YEAR(T1020),IF(J1020="E",IF(INDEX(Transaksi!$B$2:$B$2001,K1020)="",INDEX(Transaksi!$C$2:$C$2001,K1020)&amp;" · "&amp;INDEX(Transaksi!$D$2:$D$2001,K1020),INDEX(Transaksi!$B$2:$B$2001,K1020)),""))</f>
        <v/>
      </c>
      <c r="C1020" s="32">
        <f>IF(J1020="E",INDEX(Transaksi!$C$2:$C$2001,K1020)&amp;"","")</f>
        <v/>
      </c>
      <c r="D1020" s="32">
        <f>IF(J1020="E",INDEX(Transaksi!$D$2:$D$2001,K1020)&amp;"","")</f>
        <v/>
      </c>
      <c r="E1020" s="33">
        <f>IF(J1020="H",SUMIFS(Transaksi!$G$2:$G$2001,Transaksi!$M$2:$M$2001,"="&amp;S1020)+SUMIFS(Transaksi!$H$2:$H$2001,Transaksi!$M$2:$M$2001,"="&amp;S1020)+SUMIFS(Transaksi!$I$2:$I$2001,Transaksi!$M$2:$M$2001,"="&amp;S1020),IF(J1020="E",IF(INDEX(Transaksi!$G$2:$G$2001,K1020)+INDEX(Transaksi!$H$2:$H$2001,K1020)+INDEX(Transaksi!$I$2:$I$2001,K1020)=0,"",INDEX(Transaksi!$G$2:$G$2001,K1020)+INDEX(Transaksi!$H$2:$H$2001,K1020)+INDEX(Transaksi!$I$2:$I$2001,K1020)),""))</f>
        <v/>
      </c>
      <c r="F1020" s="33">
        <f>IF(J1020="H",SUMIFS(Transaksi!$J$2:$J$2001,Transaksi!$M$2:$M$2001,"="&amp;S1020),IF(J1020="E",IF(INDEX(Transaksi!$J$2:$J$2001,K1020)=0,"",INDEX(Transaksi!$J$2:$J$2001,K1020)),""))</f>
        <v/>
      </c>
      <c r="G1020" s="33">
        <f>IF(J1020="H",(SUMIFS(Transaksi!$G$2:$G$2001,Transaksi!$M$2:$M$2001,"&lt;="&amp;S1020)+SUMIFS(Transaksi!$H$2:$H$2001,Transaksi!$M$2:$M$2001,"&lt;="&amp;S1020)+SUMIFS(Transaksi!$I$2:$I$2001,Transaksi!$M$2:$M$2001,"&lt;="&amp;S1020))-(SUMIFS(Transaksi!$J$2:$J$2001,Transaksi!$M$2:$M$2001,"&lt;="&amp;S1020)),"")</f>
        <v/>
      </c>
      <c r="I1020">
        <f>IF(1017&gt;$O$2,"",MATCH(1017,$Q$3:$Q$402,1))</f>
        <v/>
      </c>
      <c r="J1020">
        <f>IF(I1020="","",IF(1017=INDEX($Q$3:$Q$402,I1020),"H","E"))</f>
        <v/>
      </c>
      <c r="K1020">
        <f>IF(J1020&lt;&gt;"E","",MATCH(S1020,Transaksi!$M$2:$M$2001,0)+1017-INDEX($Q$3:$Q$402,I1020)-1)</f>
        <v/>
      </c>
      <c r="S1020">
        <f>IF(I1020="","",INDEX($O$3:$O$402,I1020))</f>
        <v/>
      </c>
      <c r="T1020">
        <f>IF(J1020&lt;&gt;"H","",INDEX(Transaksi!$A$2:$A$2001,MATCH(S1020,Transaksi!$M$2:$M$2001,0)))</f>
        <v/>
      </c>
    </row>
    <row r="1021">
      <c r="A1021" s="31">
        <f>IF(J1021="E",IF(INDEX(Transaksi!$J$2:$J$2001,K1021)&gt;0,"↑","↓"),"")</f>
        <v/>
      </c>
      <c r="B1021" s="32">
        <f>IF(J1021="H",CHOOSE(WEEKDAY(T1021,2),"Isnin","Selasa","Rabu","Khamis","Jumaat","Sabtu","Ahad")&amp;", "&amp;DAY(T1021)&amp;" "&amp;CHOOSE(MONTH(T1021),"Jan","Feb","Mac","Apr","Mei","Jun","Jul","Ogo","Sep","Okt","Nov","Dis")&amp;" "&amp;YEAR(T1021),IF(J1021="E",IF(INDEX(Transaksi!$B$2:$B$2001,K1021)="",INDEX(Transaksi!$C$2:$C$2001,K1021)&amp;" · "&amp;INDEX(Transaksi!$D$2:$D$2001,K1021),INDEX(Transaksi!$B$2:$B$2001,K1021)),""))</f>
        <v/>
      </c>
      <c r="C1021" s="32">
        <f>IF(J1021="E",INDEX(Transaksi!$C$2:$C$2001,K1021)&amp;"","")</f>
        <v/>
      </c>
      <c r="D1021" s="32">
        <f>IF(J1021="E",INDEX(Transaksi!$D$2:$D$2001,K1021)&amp;"","")</f>
        <v/>
      </c>
      <c r="E1021" s="33">
        <f>IF(J1021="H",SUMIFS(Transaksi!$G$2:$G$2001,Transaksi!$M$2:$M$2001,"="&amp;S1021)+SUMIFS(Transaksi!$H$2:$H$2001,Transaksi!$M$2:$M$2001,"="&amp;S1021)+SUMIFS(Transaksi!$I$2:$I$2001,Transaksi!$M$2:$M$2001,"="&amp;S1021),IF(J1021="E",IF(INDEX(Transaksi!$G$2:$G$2001,K1021)+INDEX(Transaksi!$H$2:$H$2001,K1021)+INDEX(Transaksi!$I$2:$I$2001,K1021)=0,"",INDEX(Transaksi!$G$2:$G$2001,K1021)+INDEX(Transaksi!$H$2:$H$2001,K1021)+INDEX(Transaksi!$I$2:$I$2001,K1021)),""))</f>
        <v/>
      </c>
      <c r="F1021" s="33">
        <f>IF(J1021="H",SUMIFS(Transaksi!$J$2:$J$2001,Transaksi!$M$2:$M$2001,"="&amp;S1021),IF(J1021="E",IF(INDEX(Transaksi!$J$2:$J$2001,K1021)=0,"",INDEX(Transaksi!$J$2:$J$2001,K1021)),""))</f>
        <v/>
      </c>
      <c r="G1021" s="33">
        <f>IF(J1021="H",(SUMIFS(Transaksi!$G$2:$G$2001,Transaksi!$M$2:$M$2001,"&lt;="&amp;S1021)+SUMIFS(Transaksi!$H$2:$H$2001,Transaksi!$M$2:$M$2001,"&lt;="&amp;S1021)+SUMIFS(Transaksi!$I$2:$I$2001,Transaksi!$M$2:$M$2001,"&lt;="&amp;S1021))-(SUMIFS(Transaksi!$J$2:$J$2001,Transaksi!$M$2:$M$2001,"&lt;="&amp;S1021)),"")</f>
        <v/>
      </c>
      <c r="I1021">
        <f>IF(1018&gt;$O$2,"",MATCH(1018,$Q$3:$Q$402,1))</f>
        <v/>
      </c>
      <c r="J1021">
        <f>IF(I1021="","",IF(1018=INDEX($Q$3:$Q$402,I1021),"H","E"))</f>
        <v/>
      </c>
      <c r="K1021">
        <f>IF(J1021&lt;&gt;"E","",MATCH(S1021,Transaksi!$M$2:$M$2001,0)+1018-INDEX($Q$3:$Q$402,I1021)-1)</f>
        <v/>
      </c>
      <c r="S1021">
        <f>IF(I1021="","",INDEX($O$3:$O$402,I1021))</f>
        <v/>
      </c>
      <c r="T1021">
        <f>IF(J1021&lt;&gt;"H","",INDEX(Transaksi!$A$2:$A$2001,MATCH(S1021,Transaksi!$M$2:$M$2001,0)))</f>
        <v/>
      </c>
    </row>
    <row r="1022">
      <c r="A1022" s="31">
        <f>IF(J1022="E",IF(INDEX(Transaksi!$J$2:$J$2001,K1022)&gt;0,"↑","↓"),"")</f>
        <v/>
      </c>
      <c r="B1022" s="32">
        <f>IF(J1022="H",CHOOSE(WEEKDAY(T1022,2),"Isnin","Selasa","Rabu","Khamis","Jumaat","Sabtu","Ahad")&amp;", "&amp;DAY(T1022)&amp;" "&amp;CHOOSE(MONTH(T1022),"Jan","Feb","Mac","Apr","Mei","Jun","Jul","Ogo","Sep","Okt","Nov","Dis")&amp;" "&amp;YEAR(T1022),IF(J1022="E",IF(INDEX(Transaksi!$B$2:$B$2001,K1022)="",INDEX(Transaksi!$C$2:$C$2001,K1022)&amp;" · "&amp;INDEX(Transaksi!$D$2:$D$2001,K1022),INDEX(Transaksi!$B$2:$B$2001,K1022)),""))</f>
        <v/>
      </c>
      <c r="C1022" s="32">
        <f>IF(J1022="E",INDEX(Transaksi!$C$2:$C$2001,K1022)&amp;"","")</f>
        <v/>
      </c>
      <c r="D1022" s="32">
        <f>IF(J1022="E",INDEX(Transaksi!$D$2:$D$2001,K1022)&amp;"","")</f>
        <v/>
      </c>
      <c r="E1022" s="33">
        <f>IF(J1022="H",SUMIFS(Transaksi!$G$2:$G$2001,Transaksi!$M$2:$M$2001,"="&amp;S1022)+SUMIFS(Transaksi!$H$2:$H$2001,Transaksi!$M$2:$M$2001,"="&amp;S1022)+SUMIFS(Transaksi!$I$2:$I$2001,Transaksi!$M$2:$M$2001,"="&amp;S1022),IF(J1022="E",IF(INDEX(Transaksi!$G$2:$G$2001,K1022)+INDEX(Transaksi!$H$2:$H$2001,K1022)+INDEX(Transaksi!$I$2:$I$2001,K1022)=0,"",INDEX(Transaksi!$G$2:$G$2001,K1022)+INDEX(Transaksi!$H$2:$H$2001,K1022)+INDEX(Transaksi!$I$2:$I$2001,K1022)),""))</f>
        <v/>
      </c>
      <c r="F1022" s="33">
        <f>IF(J1022="H",SUMIFS(Transaksi!$J$2:$J$2001,Transaksi!$M$2:$M$2001,"="&amp;S1022),IF(J1022="E",IF(INDEX(Transaksi!$J$2:$J$2001,K1022)=0,"",INDEX(Transaksi!$J$2:$J$2001,K1022)),""))</f>
        <v/>
      </c>
      <c r="G1022" s="33">
        <f>IF(J1022="H",(SUMIFS(Transaksi!$G$2:$G$2001,Transaksi!$M$2:$M$2001,"&lt;="&amp;S1022)+SUMIFS(Transaksi!$H$2:$H$2001,Transaksi!$M$2:$M$2001,"&lt;="&amp;S1022)+SUMIFS(Transaksi!$I$2:$I$2001,Transaksi!$M$2:$M$2001,"&lt;="&amp;S1022))-(SUMIFS(Transaksi!$J$2:$J$2001,Transaksi!$M$2:$M$2001,"&lt;="&amp;S1022)),"")</f>
        <v/>
      </c>
      <c r="I1022">
        <f>IF(1019&gt;$O$2,"",MATCH(1019,$Q$3:$Q$402,1))</f>
        <v/>
      </c>
      <c r="J1022">
        <f>IF(I1022="","",IF(1019=INDEX($Q$3:$Q$402,I1022),"H","E"))</f>
        <v/>
      </c>
      <c r="K1022">
        <f>IF(J1022&lt;&gt;"E","",MATCH(S1022,Transaksi!$M$2:$M$2001,0)+1019-INDEX($Q$3:$Q$402,I1022)-1)</f>
        <v/>
      </c>
      <c r="S1022">
        <f>IF(I1022="","",INDEX($O$3:$O$402,I1022))</f>
        <v/>
      </c>
      <c r="T1022">
        <f>IF(J1022&lt;&gt;"H","",INDEX(Transaksi!$A$2:$A$2001,MATCH(S1022,Transaksi!$M$2:$M$2001,0)))</f>
        <v/>
      </c>
    </row>
    <row r="1023">
      <c r="A1023" s="31">
        <f>IF(J1023="E",IF(INDEX(Transaksi!$J$2:$J$2001,K1023)&gt;0,"↑","↓"),"")</f>
        <v/>
      </c>
      <c r="B1023" s="32">
        <f>IF(J1023="H",CHOOSE(WEEKDAY(T1023,2),"Isnin","Selasa","Rabu","Khamis","Jumaat","Sabtu","Ahad")&amp;", "&amp;DAY(T1023)&amp;" "&amp;CHOOSE(MONTH(T1023),"Jan","Feb","Mac","Apr","Mei","Jun","Jul","Ogo","Sep","Okt","Nov","Dis")&amp;" "&amp;YEAR(T1023),IF(J1023="E",IF(INDEX(Transaksi!$B$2:$B$2001,K1023)="",INDEX(Transaksi!$C$2:$C$2001,K1023)&amp;" · "&amp;INDEX(Transaksi!$D$2:$D$2001,K1023),INDEX(Transaksi!$B$2:$B$2001,K1023)),""))</f>
        <v/>
      </c>
      <c r="C1023" s="32">
        <f>IF(J1023="E",INDEX(Transaksi!$C$2:$C$2001,K1023)&amp;"","")</f>
        <v/>
      </c>
      <c r="D1023" s="32">
        <f>IF(J1023="E",INDEX(Transaksi!$D$2:$D$2001,K1023)&amp;"","")</f>
        <v/>
      </c>
      <c r="E1023" s="33">
        <f>IF(J1023="H",SUMIFS(Transaksi!$G$2:$G$2001,Transaksi!$M$2:$M$2001,"="&amp;S1023)+SUMIFS(Transaksi!$H$2:$H$2001,Transaksi!$M$2:$M$2001,"="&amp;S1023)+SUMIFS(Transaksi!$I$2:$I$2001,Transaksi!$M$2:$M$2001,"="&amp;S1023),IF(J1023="E",IF(INDEX(Transaksi!$G$2:$G$2001,K1023)+INDEX(Transaksi!$H$2:$H$2001,K1023)+INDEX(Transaksi!$I$2:$I$2001,K1023)=0,"",INDEX(Transaksi!$G$2:$G$2001,K1023)+INDEX(Transaksi!$H$2:$H$2001,K1023)+INDEX(Transaksi!$I$2:$I$2001,K1023)),""))</f>
        <v/>
      </c>
      <c r="F1023" s="33">
        <f>IF(J1023="H",SUMIFS(Transaksi!$J$2:$J$2001,Transaksi!$M$2:$M$2001,"="&amp;S1023),IF(J1023="E",IF(INDEX(Transaksi!$J$2:$J$2001,K1023)=0,"",INDEX(Transaksi!$J$2:$J$2001,K1023)),""))</f>
        <v/>
      </c>
      <c r="G1023" s="33">
        <f>IF(J1023="H",(SUMIFS(Transaksi!$G$2:$G$2001,Transaksi!$M$2:$M$2001,"&lt;="&amp;S1023)+SUMIFS(Transaksi!$H$2:$H$2001,Transaksi!$M$2:$M$2001,"&lt;="&amp;S1023)+SUMIFS(Transaksi!$I$2:$I$2001,Transaksi!$M$2:$M$2001,"&lt;="&amp;S1023))-(SUMIFS(Transaksi!$J$2:$J$2001,Transaksi!$M$2:$M$2001,"&lt;="&amp;S1023)),"")</f>
        <v/>
      </c>
      <c r="I1023">
        <f>IF(1020&gt;$O$2,"",MATCH(1020,$Q$3:$Q$402,1))</f>
        <v/>
      </c>
      <c r="J1023">
        <f>IF(I1023="","",IF(1020=INDEX($Q$3:$Q$402,I1023),"H","E"))</f>
        <v/>
      </c>
      <c r="K1023">
        <f>IF(J1023&lt;&gt;"E","",MATCH(S1023,Transaksi!$M$2:$M$2001,0)+1020-INDEX($Q$3:$Q$402,I1023)-1)</f>
        <v/>
      </c>
      <c r="S1023">
        <f>IF(I1023="","",INDEX($O$3:$O$402,I1023))</f>
        <v/>
      </c>
      <c r="T1023">
        <f>IF(J1023&lt;&gt;"H","",INDEX(Transaksi!$A$2:$A$2001,MATCH(S1023,Transaksi!$M$2:$M$2001,0)))</f>
        <v/>
      </c>
    </row>
    <row r="1024">
      <c r="A1024" s="31">
        <f>IF(J1024="E",IF(INDEX(Transaksi!$J$2:$J$2001,K1024)&gt;0,"↑","↓"),"")</f>
        <v/>
      </c>
      <c r="B1024" s="32">
        <f>IF(J1024="H",CHOOSE(WEEKDAY(T1024,2),"Isnin","Selasa","Rabu","Khamis","Jumaat","Sabtu","Ahad")&amp;", "&amp;DAY(T1024)&amp;" "&amp;CHOOSE(MONTH(T1024),"Jan","Feb","Mac","Apr","Mei","Jun","Jul","Ogo","Sep","Okt","Nov","Dis")&amp;" "&amp;YEAR(T1024),IF(J1024="E",IF(INDEX(Transaksi!$B$2:$B$2001,K1024)="",INDEX(Transaksi!$C$2:$C$2001,K1024)&amp;" · "&amp;INDEX(Transaksi!$D$2:$D$2001,K1024),INDEX(Transaksi!$B$2:$B$2001,K1024)),""))</f>
        <v/>
      </c>
      <c r="C1024" s="32">
        <f>IF(J1024="E",INDEX(Transaksi!$C$2:$C$2001,K1024)&amp;"","")</f>
        <v/>
      </c>
      <c r="D1024" s="32">
        <f>IF(J1024="E",INDEX(Transaksi!$D$2:$D$2001,K1024)&amp;"","")</f>
        <v/>
      </c>
      <c r="E1024" s="33">
        <f>IF(J1024="H",SUMIFS(Transaksi!$G$2:$G$2001,Transaksi!$M$2:$M$2001,"="&amp;S1024)+SUMIFS(Transaksi!$H$2:$H$2001,Transaksi!$M$2:$M$2001,"="&amp;S1024)+SUMIFS(Transaksi!$I$2:$I$2001,Transaksi!$M$2:$M$2001,"="&amp;S1024),IF(J1024="E",IF(INDEX(Transaksi!$G$2:$G$2001,K1024)+INDEX(Transaksi!$H$2:$H$2001,K1024)+INDEX(Transaksi!$I$2:$I$2001,K1024)=0,"",INDEX(Transaksi!$G$2:$G$2001,K1024)+INDEX(Transaksi!$H$2:$H$2001,K1024)+INDEX(Transaksi!$I$2:$I$2001,K1024)),""))</f>
        <v/>
      </c>
      <c r="F1024" s="33">
        <f>IF(J1024="H",SUMIFS(Transaksi!$J$2:$J$2001,Transaksi!$M$2:$M$2001,"="&amp;S1024),IF(J1024="E",IF(INDEX(Transaksi!$J$2:$J$2001,K1024)=0,"",INDEX(Transaksi!$J$2:$J$2001,K1024)),""))</f>
        <v/>
      </c>
      <c r="G1024" s="33">
        <f>IF(J1024="H",(SUMIFS(Transaksi!$G$2:$G$2001,Transaksi!$M$2:$M$2001,"&lt;="&amp;S1024)+SUMIFS(Transaksi!$H$2:$H$2001,Transaksi!$M$2:$M$2001,"&lt;="&amp;S1024)+SUMIFS(Transaksi!$I$2:$I$2001,Transaksi!$M$2:$M$2001,"&lt;="&amp;S1024))-(SUMIFS(Transaksi!$J$2:$J$2001,Transaksi!$M$2:$M$2001,"&lt;="&amp;S1024)),"")</f>
        <v/>
      </c>
      <c r="I1024">
        <f>IF(1021&gt;$O$2,"",MATCH(1021,$Q$3:$Q$402,1))</f>
        <v/>
      </c>
      <c r="J1024">
        <f>IF(I1024="","",IF(1021=INDEX($Q$3:$Q$402,I1024),"H","E"))</f>
        <v/>
      </c>
      <c r="K1024">
        <f>IF(J1024&lt;&gt;"E","",MATCH(S1024,Transaksi!$M$2:$M$2001,0)+1021-INDEX($Q$3:$Q$402,I1024)-1)</f>
        <v/>
      </c>
      <c r="S1024">
        <f>IF(I1024="","",INDEX($O$3:$O$402,I1024))</f>
        <v/>
      </c>
      <c r="T1024">
        <f>IF(J1024&lt;&gt;"H","",INDEX(Transaksi!$A$2:$A$2001,MATCH(S1024,Transaksi!$M$2:$M$2001,0)))</f>
        <v/>
      </c>
    </row>
    <row r="1025">
      <c r="A1025" s="31">
        <f>IF(J1025="E",IF(INDEX(Transaksi!$J$2:$J$2001,K1025)&gt;0,"↑","↓"),"")</f>
        <v/>
      </c>
      <c r="B1025" s="32">
        <f>IF(J1025="H",CHOOSE(WEEKDAY(T1025,2),"Isnin","Selasa","Rabu","Khamis","Jumaat","Sabtu","Ahad")&amp;", "&amp;DAY(T1025)&amp;" "&amp;CHOOSE(MONTH(T1025),"Jan","Feb","Mac","Apr","Mei","Jun","Jul","Ogo","Sep","Okt","Nov","Dis")&amp;" "&amp;YEAR(T1025),IF(J1025="E",IF(INDEX(Transaksi!$B$2:$B$2001,K1025)="",INDEX(Transaksi!$C$2:$C$2001,K1025)&amp;" · "&amp;INDEX(Transaksi!$D$2:$D$2001,K1025),INDEX(Transaksi!$B$2:$B$2001,K1025)),""))</f>
        <v/>
      </c>
      <c r="C1025" s="32">
        <f>IF(J1025="E",INDEX(Transaksi!$C$2:$C$2001,K1025)&amp;"","")</f>
        <v/>
      </c>
      <c r="D1025" s="32">
        <f>IF(J1025="E",INDEX(Transaksi!$D$2:$D$2001,K1025)&amp;"","")</f>
        <v/>
      </c>
      <c r="E1025" s="33">
        <f>IF(J1025="H",SUMIFS(Transaksi!$G$2:$G$2001,Transaksi!$M$2:$M$2001,"="&amp;S1025)+SUMIFS(Transaksi!$H$2:$H$2001,Transaksi!$M$2:$M$2001,"="&amp;S1025)+SUMIFS(Transaksi!$I$2:$I$2001,Transaksi!$M$2:$M$2001,"="&amp;S1025),IF(J1025="E",IF(INDEX(Transaksi!$G$2:$G$2001,K1025)+INDEX(Transaksi!$H$2:$H$2001,K1025)+INDEX(Transaksi!$I$2:$I$2001,K1025)=0,"",INDEX(Transaksi!$G$2:$G$2001,K1025)+INDEX(Transaksi!$H$2:$H$2001,K1025)+INDEX(Transaksi!$I$2:$I$2001,K1025)),""))</f>
        <v/>
      </c>
      <c r="F1025" s="33">
        <f>IF(J1025="H",SUMIFS(Transaksi!$J$2:$J$2001,Transaksi!$M$2:$M$2001,"="&amp;S1025),IF(J1025="E",IF(INDEX(Transaksi!$J$2:$J$2001,K1025)=0,"",INDEX(Transaksi!$J$2:$J$2001,K1025)),""))</f>
        <v/>
      </c>
      <c r="G1025" s="33">
        <f>IF(J1025="H",(SUMIFS(Transaksi!$G$2:$G$2001,Transaksi!$M$2:$M$2001,"&lt;="&amp;S1025)+SUMIFS(Transaksi!$H$2:$H$2001,Transaksi!$M$2:$M$2001,"&lt;="&amp;S1025)+SUMIFS(Transaksi!$I$2:$I$2001,Transaksi!$M$2:$M$2001,"&lt;="&amp;S1025))-(SUMIFS(Transaksi!$J$2:$J$2001,Transaksi!$M$2:$M$2001,"&lt;="&amp;S1025)),"")</f>
        <v/>
      </c>
      <c r="I1025">
        <f>IF(1022&gt;$O$2,"",MATCH(1022,$Q$3:$Q$402,1))</f>
        <v/>
      </c>
      <c r="J1025">
        <f>IF(I1025="","",IF(1022=INDEX($Q$3:$Q$402,I1025),"H","E"))</f>
        <v/>
      </c>
      <c r="K1025">
        <f>IF(J1025&lt;&gt;"E","",MATCH(S1025,Transaksi!$M$2:$M$2001,0)+1022-INDEX($Q$3:$Q$402,I1025)-1)</f>
        <v/>
      </c>
      <c r="S1025">
        <f>IF(I1025="","",INDEX($O$3:$O$402,I1025))</f>
        <v/>
      </c>
      <c r="T1025">
        <f>IF(J1025&lt;&gt;"H","",INDEX(Transaksi!$A$2:$A$2001,MATCH(S1025,Transaksi!$M$2:$M$2001,0)))</f>
        <v/>
      </c>
    </row>
    <row r="1026">
      <c r="A1026" s="31">
        <f>IF(J1026="E",IF(INDEX(Transaksi!$J$2:$J$2001,K1026)&gt;0,"↑","↓"),"")</f>
        <v/>
      </c>
      <c r="B1026" s="32">
        <f>IF(J1026="H",CHOOSE(WEEKDAY(T1026,2),"Isnin","Selasa","Rabu","Khamis","Jumaat","Sabtu","Ahad")&amp;", "&amp;DAY(T1026)&amp;" "&amp;CHOOSE(MONTH(T1026),"Jan","Feb","Mac","Apr","Mei","Jun","Jul","Ogo","Sep","Okt","Nov","Dis")&amp;" "&amp;YEAR(T1026),IF(J1026="E",IF(INDEX(Transaksi!$B$2:$B$2001,K1026)="",INDEX(Transaksi!$C$2:$C$2001,K1026)&amp;" · "&amp;INDEX(Transaksi!$D$2:$D$2001,K1026),INDEX(Transaksi!$B$2:$B$2001,K1026)),""))</f>
        <v/>
      </c>
      <c r="C1026" s="32">
        <f>IF(J1026="E",INDEX(Transaksi!$C$2:$C$2001,K1026)&amp;"","")</f>
        <v/>
      </c>
      <c r="D1026" s="32">
        <f>IF(J1026="E",INDEX(Transaksi!$D$2:$D$2001,K1026)&amp;"","")</f>
        <v/>
      </c>
      <c r="E1026" s="33">
        <f>IF(J1026="H",SUMIFS(Transaksi!$G$2:$G$2001,Transaksi!$M$2:$M$2001,"="&amp;S1026)+SUMIFS(Transaksi!$H$2:$H$2001,Transaksi!$M$2:$M$2001,"="&amp;S1026)+SUMIFS(Transaksi!$I$2:$I$2001,Transaksi!$M$2:$M$2001,"="&amp;S1026),IF(J1026="E",IF(INDEX(Transaksi!$G$2:$G$2001,K1026)+INDEX(Transaksi!$H$2:$H$2001,K1026)+INDEX(Transaksi!$I$2:$I$2001,K1026)=0,"",INDEX(Transaksi!$G$2:$G$2001,K1026)+INDEX(Transaksi!$H$2:$H$2001,K1026)+INDEX(Transaksi!$I$2:$I$2001,K1026)),""))</f>
        <v/>
      </c>
      <c r="F1026" s="33">
        <f>IF(J1026="H",SUMIFS(Transaksi!$J$2:$J$2001,Transaksi!$M$2:$M$2001,"="&amp;S1026),IF(J1026="E",IF(INDEX(Transaksi!$J$2:$J$2001,K1026)=0,"",INDEX(Transaksi!$J$2:$J$2001,K1026)),""))</f>
        <v/>
      </c>
      <c r="G1026" s="33">
        <f>IF(J1026="H",(SUMIFS(Transaksi!$G$2:$G$2001,Transaksi!$M$2:$M$2001,"&lt;="&amp;S1026)+SUMIFS(Transaksi!$H$2:$H$2001,Transaksi!$M$2:$M$2001,"&lt;="&amp;S1026)+SUMIFS(Transaksi!$I$2:$I$2001,Transaksi!$M$2:$M$2001,"&lt;="&amp;S1026))-(SUMIFS(Transaksi!$J$2:$J$2001,Transaksi!$M$2:$M$2001,"&lt;="&amp;S1026)),"")</f>
        <v/>
      </c>
      <c r="I1026">
        <f>IF(1023&gt;$O$2,"",MATCH(1023,$Q$3:$Q$402,1))</f>
        <v/>
      </c>
      <c r="J1026">
        <f>IF(I1026="","",IF(1023=INDEX($Q$3:$Q$402,I1026),"H","E"))</f>
        <v/>
      </c>
      <c r="K1026">
        <f>IF(J1026&lt;&gt;"E","",MATCH(S1026,Transaksi!$M$2:$M$2001,0)+1023-INDEX($Q$3:$Q$402,I1026)-1)</f>
        <v/>
      </c>
      <c r="S1026">
        <f>IF(I1026="","",INDEX($O$3:$O$402,I1026))</f>
        <v/>
      </c>
      <c r="T1026">
        <f>IF(J1026&lt;&gt;"H","",INDEX(Transaksi!$A$2:$A$2001,MATCH(S1026,Transaksi!$M$2:$M$2001,0)))</f>
        <v/>
      </c>
    </row>
    <row r="1027">
      <c r="A1027" s="31">
        <f>IF(J1027="E",IF(INDEX(Transaksi!$J$2:$J$2001,K1027)&gt;0,"↑","↓"),"")</f>
        <v/>
      </c>
      <c r="B1027" s="32">
        <f>IF(J1027="H",CHOOSE(WEEKDAY(T1027,2),"Isnin","Selasa","Rabu","Khamis","Jumaat","Sabtu","Ahad")&amp;", "&amp;DAY(T1027)&amp;" "&amp;CHOOSE(MONTH(T1027),"Jan","Feb","Mac","Apr","Mei","Jun","Jul","Ogo","Sep","Okt","Nov","Dis")&amp;" "&amp;YEAR(T1027),IF(J1027="E",IF(INDEX(Transaksi!$B$2:$B$2001,K1027)="",INDEX(Transaksi!$C$2:$C$2001,K1027)&amp;" · "&amp;INDEX(Transaksi!$D$2:$D$2001,K1027),INDEX(Transaksi!$B$2:$B$2001,K1027)),""))</f>
        <v/>
      </c>
      <c r="C1027" s="32">
        <f>IF(J1027="E",INDEX(Transaksi!$C$2:$C$2001,K1027)&amp;"","")</f>
        <v/>
      </c>
      <c r="D1027" s="32">
        <f>IF(J1027="E",INDEX(Transaksi!$D$2:$D$2001,K1027)&amp;"","")</f>
        <v/>
      </c>
      <c r="E1027" s="33">
        <f>IF(J1027="H",SUMIFS(Transaksi!$G$2:$G$2001,Transaksi!$M$2:$M$2001,"="&amp;S1027)+SUMIFS(Transaksi!$H$2:$H$2001,Transaksi!$M$2:$M$2001,"="&amp;S1027)+SUMIFS(Transaksi!$I$2:$I$2001,Transaksi!$M$2:$M$2001,"="&amp;S1027),IF(J1027="E",IF(INDEX(Transaksi!$G$2:$G$2001,K1027)+INDEX(Transaksi!$H$2:$H$2001,K1027)+INDEX(Transaksi!$I$2:$I$2001,K1027)=0,"",INDEX(Transaksi!$G$2:$G$2001,K1027)+INDEX(Transaksi!$H$2:$H$2001,K1027)+INDEX(Transaksi!$I$2:$I$2001,K1027)),""))</f>
        <v/>
      </c>
      <c r="F1027" s="33">
        <f>IF(J1027="H",SUMIFS(Transaksi!$J$2:$J$2001,Transaksi!$M$2:$M$2001,"="&amp;S1027),IF(J1027="E",IF(INDEX(Transaksi!$J$2:$J$2001,K1027)=0,"",INDEX(Transaksi!$J$2:$J$2001,K1027)),""))</f>
        <v/>
      </c>
      <c r="G1027" s="33">
        <f>IF(J1027="H",(SUMIFS(Transaksi!$G$2:$G$2001,Transaksi!$M$2:$M$2001,"&lt;="&amp;S1027)+SUMIFS(Transaksi!$H$2:$H$2001,Transaksi!$M$2:$M$2001,"&lt;="&amp;S1027)+SUMIFS(Transaksi!$I$2:$I$2001,Transaksi!$M$2:$M$2001,"&lt;="&amp;S1027))-(SUMIFS(Transaksi!$J$2:$J$2001,Transaksi!$M$2:$M$2001,"&lt;="&amp;S1027)),"")</f>
        <v/>
      </c>
      <c r="I1027">
        <f>IF(1024&gt;$O$2,"",MATCH(1024,$Q$3:$Q$402,1))</f>
        <v/>
      </c>
      <c r="J1027">
        <f>IF(I1027="","",IF(1024=INDEX($Q$3:$Q$402,I1027),"H","E"))</f>
        <v/>
      </c>
      <c r="K1027">
        <f>IF(J1027&lt;&gt;"E","",MATCH(S1027,Transaksi!$M$2:$M$2001,0)+1024-INDEX($Q$3:$Q$402,I1027)-1)</f>
        <v/>
      </c>
      <c r="S1027">
        <f>IF(I1027="","",INDEX($O$3:$O$402,I1027))</f>
        <v/>
      </c>
      <c r="T1027">
        <f>IF(J1027&lt;&gt;"H","",INDEX(Transaksi!$A$2:$A$2001,MATCH(S1027,Transaksi!$M$2:$M$2001,0)))</f>
        <v/>
      </c>
    </row>
    <row r="1028">
      <c r="A1028" s="31">
        <f>IF(J1028="E",IF(INDEX(Transaksi!$J$2:$J$2001,K1028)&gt;0,"↑","↓"),"")</f>
        <v/>
      </c>
      <c r="B1028" s="32">
        <f>IF(J1028="H",CHOOSE(WEEKDAY(T1028,2),"Isnin","Selasa","Rabu","Khamis","Jumaat","Sabtu","Ahad")&amp;", "&amp;DAY(T1028)&amp;" "&amp;CHOOSE(MONTH(T1028),"Jan","Feb","Mac","Apr","Mei","Jun","Jul","Ogo","Sep","Okt","Nov","Dis")&amp;" "&amp;YEAR(T1028),IF(J1028="E",IF(INDEX(Transaksi!$B$2:$B$2001,K1028)="",INDEX(Transaksi!$C$2:$C$2001,K1028)&amp;" · "&amp;INDEX(Transaksi!$D$2:$D$2001,K1028),INDEX(Transaksi!$B$2:$B$2001,K1028)),""))</f>
        <v/>
      </c>
      <c r="C1028" s="32">
        <f>IF(J1028="E",INDEX(Transaksi!$C$2:$C$2001,K1028)&amp;"","")</f>
        <v/>
      </c>
      <c r="D1028" s="32">
        <f>IF(J1028="E",INDEX(Transaksi!$D$2:$D$2001,K1028)&amp;"","")</f>
        <v/>
      </c>
      <c r="E1028" s="33">
        <f>IF(J1028="H",SUMIFS(Transaksi!$G$2:$G$2001,Transaksi!$M$2:$M$2001,"="&amp;S1028)+SUMIFS(Transaksi!$H$2:$H$2001,Transaksi!$M$2:$M$2001,"="&amp;S1028)+SUMIFS(Transaksi!$I$2:$I$2001,Transaksi!$M$2:$M$2001,"="&amp;S1028),IF(J1028="E",IF(INDEX(Transaksi!$G$2:$G$2001,K1028)+INDEX(Transaksi!$H$2:$H$2001,K1028)+INDEX(Transaksi!$I$2:$I$2001,K1028)=0,"",INDEX(Transaksi!$G$2:$G$2001,K1028)+INDEX(Transaksi!$H$2:$H$2001,K1028)+INDEX(Transaksi!$I$2:$I$2001,K1028)),""))</f>
        <v/>
      </c>
      <c r="F1028" s="33">
        <f>IF(J1028="H",SUMIFS(Transaksi!$J$2:$J$2001,Transaksi!$M$2:$M$2001,"="&amp;S1028),IF(J1028="E",IF(INDEX(Transaksi!$J$2:$J$2001,K1028)=0,"",INDEX(Transaksi!$J$2:$J$2001,K1028)),""))</f>
        <v/>
      </c>
      <c r="G1028" s="33">
        <f>IF(J1028="H",(SUMIFS(Transaksi!$G$2:$G$2001,Transaksi!$M$2:$M$2001,"&lt;="&amp;S1028)+SUMIFS(Transaksi!$H$2:$H$2001,Transaksi!$M$2:$M$2001,"&lt;="&amp;S1028)+SUMIFS(Transaksi!$I$2:$I$2001,Transaksi!$M$2:$M$2001,"&lt;="&amp;S1028))-(SUMIFS(Transaksi!$J$2:$J$2001,Transaksi!$M$2:$M$2001,"&lt;="&amp;S1028)),"")</f>
        <v/>
      </c>
      <c r="I1028">
        <f>IF(1025&gt;$O$2,"",MATCH(1025,$Q$3:$Q$402,1))</f>
        <v/>
      </c>
      <c r="J1028">
        <f>IF(I1028="","",IF(1025=INDEX($Q$3:$Q$402,I1028),"H","E"))</f>
        <v/>
      </c>
      <c r="K1028">
        <f>IF(J1028&lt;&gt;"E","",MATCH(S1028,Transaksi!$M$2:$M$2001,0)+1025-INDEX($Q$3:$Q$402,I1028)-1)</f>
        <v/>
      </c>
      <c r="S1028">
        <f>IF(I1028="","",INDEX($O$3:$O$402,I1028))</f>
        <v/>
      </c>
      <c r="T1028">
        <f>IF(J1028&lt;&gt;"H","",INDEX(Transaksi!$A$2:$A$2001,MATCH(S1028,Transaksi!$M$2:$M$2001,0)))</f>
        <v/>
      </c>
    </row>
    <row r="1029">
      <c r="A1029" s="31">
        <f>IF(J1029="E",IF(INDEX(Transaksi!$J$2:$J$2001,K1029)&gt;0,"↑","↓"),"")</f>
        <v/>
      </c>
      <c r="B1029" s="32">
        <f>IF(J1029="H",CHOOSE(WEEKDAY(T1029,2),"Isnin","Selasa","Rabu","Khamis","Jumaat","Sabtu","Ahad")&amp;", "&amp;DAY(T1029)&amp;" "&amp;CHOOSE(MONTH(T1029),"Jan","Feb","Mac","Apr","Mei","Jun","Jul","Ogo","Sep","Okt","Nov","Dis")&amp;" "&amp;YEAR(T1029),IF(J1029="E",IF(INDEX(Transaksi!$B$2:$B$2001,K1029)="",INDEX(Transaksi!$C$2:$C$2001,K1029)&amp;" · "&amp;INDEX(Transaksi!$D$2:$D$2001,K1029),INDEX(Transaksi!$B$2:$B$2001,K1029)),""))</f>
        <v/>
      </c>
      <c r="C1029" s="32">
        <f>IF(J1029="E",INDEX(Transaksi!$C$2:$C$2001,K1029)&amp;"","")</f>
        <v/>
      </c>
      <c r="D1029" s="32">
        <f>IF(J1029="E",INDEX(Transaksi!$D$2:$D$2001,K1029)&amp;"","")</f>
        <v/>
      </c>
      <c r="E1029" s="33">
        <f>IF(J1029="H",SUMIFS(Transaksi!$G$2:$G$2001,Transaksi!$M$2:$M$2001,"="&amp;S1029)+SUMIFS(Transaksi!$H$2:$H$2001,Transaksi!$M$2:$M$2001,"="&amp;S1029)+SUMIFS(Transaksi!$I$2:$I$2001,Transaksi!$M$2:$M$2001,"="&amp;S1029),IF(J1029="E",IF(INDEX(Transaksi!$G$2:$G$2001,K1029)+INDEX(Transaksi!$H$2:$H$2001,K1029)+INDEX(Transaksi!$I$2:$I$2001,K1029)=0,"",INDEX(Transaksi!$G$2:$G$2001,K1029)+INDEX(Transaksi!$H$2:$H$2001,K1029)+INDEX(Transaksi!$I$2:$I$2001,K1029)),""))</f>
        <v/>
      </c>
      <c r="F1029" s="33">
        <f>IF(J1029="H",SUMIFS(Transaksi!$J$2:$J$2001,Transaksi!$M$2:$M$2001,"="&amp;S1029),IF(J1029="E",IF(INDEX(Transaksi!$J$2:$J$2001,K1029)=0,"",INDEX(Transaksi!$J$2:$J$2001,K1029)),""))</f>
        <v/>
      </c>
      <c r="G1029" s="33">
        <f>IF(J1029="H",(SUMIFS(Transaksi!$G$2:$G$2001,Transaksi!$M$2:$M$2001,"&lt;="&amp;S1029)+SUMIFS(Transaksi!$H$2:$H$2001,Transaksi!$M$2:$M$2001,"&lt;="&amp;S1029)+SUMIFS(Transaksi!$I$2:$I$2001,Transaksi!$M$2:$M$2001,"&lt;="&amp;S1029))-(SUMIFS(Transaksi!$J$2:$J$2001,Transaksi!$M$2:$M$2001,"&lt;="&amp;S1029)),"")</f>
        <v/>
      </c>
      <c r="I1029">
        <f>IF(1026&gt;$O$2,"",MATCH(1026,$Q$3:$Q$402,1))</f>
        <v/>
      </c>
      <c r="J1029">
        <f>IF(I1029="","",IF(1026=INDEX($Q$3:$Q$402,I1029),"H","E"))</f>
        <v/>
      </c>
      <c r="K1029">
        <f>IF(J1029&lt;&gt;"E","",MATCH(S1029,Transaksi!$M$2:$M$2001,0)+1026-INDEX($Q$3:$Q$402,I1029)-1)</f>
        <v/>
      </c>
      <c r="S1029">
        <f>IF(I1029="","",INDEX($O$3:$O$402,I1029))</f>
        <v/>
      </c>
      <c r="T1029">
        <f>IF(J1029&lt;&gt;"H","",INDEX(Transaksi!$A$2:$A$2001,MATCH(S1029,Transaksi!$M$2:$M$2001,0)))</f>
        <v/>
      </c>
    </row>
    <row r="1030">
      <c r="A1030" s="31">
        <f>IF(J1030="E",IF(INDEX(Transaksi!$J$2:$J$2001,K1030)&gt;0,"↑","↓"),"")</f>
        <v/>
      </c>
      <c r="B1030" s="32">
        <f>IF(J1030="H",CHOOSE(WEEKDAY(T1030,2),"Isnin","Selasa","Rabu","Khamis","Jumaat","Sabtu","Ahad")&amp;", "&amp;DAY(T1030)&amp;" "&amp;CHOOSE(MONTH(T1030),"Jan","Feb","Mac","Apr","Mei","Jun","Jul","Ogo","Sep","Okt","Nov","Dis")&amp;" "&amp;YEAR(T1030),IF(J1030="E",IF(INDEX(Transaksi!$B$2:$B$2001,K1030)="",INDEX(Transaksi!$C$2:$C$2001,K1030)&amp;" · "&amp;INDEX(Transaksi!$D$2:$D$2001,K1030),INDEX(Transaksi!$B$2:$B$2001,K1030)),""))</f>
        <v/>
      </c>
      <c r="C1030" s="32">
        <f>IF(J1030="E",INDEX(Transaksi!$C$2:$C$2001,K1030)&amp;"","")</f>
        <v/>
      </c>
      <c r="D1030" s="32">
        <f>IF(J1030="E",INDEX(Transaksi!$D$2:$D$2001,K1030)&amp;"","")</f>
        <v/>
      </c>
      <c r="E1030" s="33">
        <f>IF(J1030="H",SUMIFS(Transaksi!$G$2:$G$2001,Transaksi!$M$2:$M$2001,"="&amp;S1030)+SUMIFS(Transaksi!$H$2:$H$2001,Transaksi!$M$2:$M$2001,"="&amp;S1030)+SUMIFS(Transaksi!$I$2:$I$2001,Transaksi!$M$2:$M$2001,"="&amp;S1030),IF(J1030="E",IF(INDEX(Transaksi!$G$2:$G$2001,K1030)+INDEX(Transaksi!$H$2:$H$2001,K1030)+INDEX(Transaksi!$I$2:$I$2001,K1030)=0,"",INDEX(Transaksi!$G$2:$G$2001,K1030)+INDEX(Transaksi!$H$2:$H$2001,K1030)+INDEX(Transaksi!$I$2:$I$2001,K1030)),""))</f>
        <v/>
      </c>
      <c r="F1030" s="33">
        <f>IF(J1030="H",SUMIFS(Transaksi!$J$2:$J$2001,Transaksi!$M$2:$M$2001,"="&amp;S1030),IF(J1030="E",IF(INDEX(Transaksi!$J$2:$J$2001,K1030)=0,"",INDEX(Transaksi!$J$2:$J$2001,K1030)),""))</f>
        <v/>
      </c>
      <c r="G1030" s="33">
        <f>IF(J1030="H",(SUMIFS(Transaksi!$G$2:$G$2001,Transaksi!$M$2:$M$2001,"&lt;="&amp;S1030)+SUMIFS(Transaksi!$H$2:$H$2001,Transaksi!$M$2:$M$2001,"&lt;="&amp;S1030)+SUMIFS(Transaksi!$I$2:$I$2001,Transaksi!$M$2:$M$2001,"&lt;="&amp;S1030))-(SUMIFS(Transaksi!$J$2:$J$2001,Transaksi!$M$2:$M$2001,"&lt;="&amp;S1030)),"")</f>
        <v/>
      </c>
      <c r="I1030">
        <f>IF(1027&gt;$O$2,"",MATCH(1027,$Q$3:$Q$402,1))</f>
        <v/>
      </c>
      <c r="J1030">
        <f>IF(I1030="","",IF(1027=INDEX($Q$3:$Q$402,I1030),"H","E"))</f>
        <v/>
      </c>
      <c r="K1030">
        <f>IF(J1030&lt;&gt;"E","",MATCH(S1030,Transaksi!$M$2:$M$2001,0)+1027-INDEX($Q$3:$Q$402,I1030)-1)</f>
        <v/>
      </c>
      <c r="S1030">
        <f>IF(I1030="","",INDEX($O$3:$O$402,I1030))</f>
        <v/>
      </c>
      <c r="T1030">
        <f>IF(J1030&lt;&gt;"H","",INDEX(Transaksi!$A$2:$A$2001,MATCH(S1030,Transaksi!$M$2:$M$2001,0)))</f>
        <v/>
      </c>
    </row>
    <row r="1031">
      <c r="A1031" s="31">
        <f>IF(J1031="E",IF(INDEX(Transaksi!$J$2:$J$2001,K1031)&gt;0,"↑","↓"),"")</f>
        <v/>
      </c>
      <c r="B1031" s="32">
        <f>IF(J1031="H",CHOOSE(WEEKDAY(T1031,2),"Isnin","Selasa","Rabu","Khamis","Jumaat","Sabtu","Ahad")&amp;", "&amp;DAY(T1031)&amp;" "&amp;CHOOSE(MONTH(T1031),"Jan","Feb","Mac","Apr","Mei","Jun","Jul","Ogo","Sep","Okt","Nov","Dis")&amp;" "&amp;YEAR(T1031),IF(J1031="E",IF(INDEX(Transaksi!$B$2:$B$2001,K1031)="",INDEX(Transaksi!$C$2:$C$2001,K1031)&amp;" · "&amp;INDEX(Transaksi!$D$2:$D$2001,K1031),INDEX(Transaksi!$B$2:$B$2001,K1031)),""))</f>
        <v/>
      </c>
      <c r="C1031" s="32">
        <f>IF(J1031="E",INDEX(Transaksi!$C$2:$C$2001,K1031)&amp;"","")</f>
        <v/>
      </c>
      <c r="D1031" s="32">
        <f>IF(J1031="E",INDEX(Transaksi!$D$2:$D$2001,K1031)&amp;"","")</f>
        <v/>
      </c>
      <c r="E1031" s="33">
        <f>IF(J1031="H",SUMIFS(Transaksi!$G$2:$G$2001,Transaksi!$M$2:$M$2001,"="&amp;S1031)+SUMIFS(Transaksi!$H$2:$H$2001,Transaksi!$M$2:$M$2001,"="&amp;S1031)+SUMIFS(Transaksi!$I$2:$I$2001,Transaksi!$M$2:$M$2001,"="&amp;S1031),IF(J1031="E",IF(INDEX(Transaksi!$G$2:$G$2001,K1031)+INDEX(Transaksi!$H$2:$H$2001,K1031)+INDEX(Transaksi!$I$2:$I$2001,K1031)=0,"",INDEX(Transaksi!$G$2:$G$2001,K1031)+INDEX(Transaksi!$H$2:$H$2001,K1031)+INDEX(Transaksi!$I$2:$I$2001,K1031)),""))</f>
        <v/>
      </c>
      <c r="F1031" s="33">
        <f>IF(J1031="H",SUMIFS(Transaksi!$J$2:$J$2001,Transaksi!$M$2:$M$2001,"="&amp;S1031),IF(J1031="E",IF(INDEX(Transaksi!$J$2:$J$2001,K1031)=0,"",INDEX(Transaksi!$J$2:$J$2001,K1031)),""))</f>
        <v/>
      </c>
      <c r="G1031" s="33">
        <f>IF(J1031="H",(SUMIFS(Transaksi!$G$2:$G$2001,Transaksi!$M$2:$M$2001,"&lt;="&amp;S1031)+SUMIFS(Transaksi!$H$2:$H$2001,Transaksi!$M$2:$M$2001,"&lt;="&amp;S1031)+SUMIFS(Transaksi!$I$2:$I$2001,Transaksi!$M$2:$M$2001,"&lt;="&amp;S1031))-(SUMIFS(Transaksi!$J$2:$J$2001,Transaksi!$M$2:$M$2001,"&lt;="&amp;S1031)),"")</f>
        <v/>
      </c>
      <c r="I1031">
        <f>IF(1028&gt;$O$2,"",MATCH(1028,$Q$3:$Q$402,1))</f>
        <v/>
      </c>
      <c r="J1031">
        <f>IF(I1031="","",IF(1028=INDEX($Q$3:$Q$402,I1031),"H","E"))</f>
        <v/>
      </c>
      <c r="K1031">
        <f>IF(J1031&lt;&gt;"E","",MATCH(S1031,Transaksi!$M$2:$M$2001,0)+1028-INDEX($Q$3:$Q$402,I1031)-1)</f>
        <v/>
      </c>
      <c r="S1031">
        <f>IF(I1031="","",INDEX($O$3:$O$402,I1031))</f>
        <v/>
      </c>
      <c r="T1031">
        <f>IF(J1031&lt;&gt;"H","",INDEX(Transaksi!$A$2:$A$2001,MATCH(S1031,Transaksi!$M$2:$M$2001,0)))</f>
        <v/>
      </c>
    </row>
    <row r="1032">
      <c r="A1032" s="31">
        <f>IF(J1032="E",IF(INDEX(Transaksi!$J$2:$J$2001,K1032)&gt;0,"↑","↓"),"")</f>
        <v/>
      </c>
      <c r="B1032" s="32">
        <f>IF(J1032="H",CHOOSE(WEEKDAY(T1032,2),"Isnin","Selasa","Rabu","Khamis","Jumaat","Sabtu","Ahad")&amp;", "&amp;DAY(T1032)&amp;" "&amp;CHOOSE(MONTH(T1032),"Jan","Feb","Mac","Apr","Mei","Jun","Jul","Ogo","Sep","Okt","Nov","Dis")&amp;" "&amp;YEAR(T1032),IF(J1032="E",IF(INDEX(Transaksi!$B$2:$B$2001,K1032)="",INDEX(Transaksi!$C$2:$C$2001,K1032)&amp;" · "&amp;INDEX(Transaksi!$D$2:$D$2001,K1032),INDEX(Transaksi!$B$2:$B$2001,K1032)),""))</f>
        <v/>
      </c>
      <c r="C1032" s="32">
        <f>IF(J1032="E",INDEX(Transaksi!$C$2:$C$2001,K1032)&amp;"","")</f>
        <v/>
      </c>
      <c r="D1032" s="32">
        <f>IF(J1032="E",INDEX(Transaksi!$D$2:$D$2001,K1032)&amp;"","")</f>
        <v/>
      </c>
      <c r="E1032" s="33">
        <f>IF(J1032="H",SUMIFS(Transaksi!$G$2:$G$2001,Transaksi!$M$2:$M$2001,"="&amp;S1032)+SUMIFS(Transaksi!$H$2:$H$2001,Transaksi!$M$2:$M$2001,"="&amp;S1032)+SUMIFS(Transaksi!$I$2:$I$2001,Transaksi!$M$2:$M$2001,"="&amp;S1032),IF(J1032="E",IF(INDEX(Transaksi!$G$2:$G$2001,K1032)+INDEX(Transaksi!$H$2:$H$2001,K1032)+INDEX(Transaksi!$I$2:$I$2001,K1032)=0,"",INDEX(Transaksi!$G$2:$G$2001,K1032)+INDEX(Transaksi!$H$2:$H$2001,K1032)+INDEX(Transaksi!$I$2:$I$2001,K1032)),""))</f>
        <v/>
      </c>
      <c r="F1032" s="33">
        <f>IF(J1032="H",SUMIFS(Transaksi!$J$2:$J$2001,Transaksi!$M$2:$M$2001,"="&amp;S1032),IF(J1032="E",IF(INDEX(Transaksi!$J$2:$J$2001,K1032)=0,"",INDEX(Transaksi!$J$2:$J$2001,K1032)),""))</f>
        <v/>
      </c>
      <c r="G1032" s="33">
        <f>IF(J1032="H",(SUMIFS(Transaksi!$G$2:$G$2001,Transaksi!$M$2:$M$2001,"&lt;="&amp;S1032)+SUMIFS(Transaksi!$H$2:$H$2001,Transaksi!$M$2:$M$2001,"&lt;="&amp;S1032)+SUMIFS(Transaksi!$I$2:$I$2001,Transaksi!$M$2:$M$2001,"&lt;="&amp;S1032))-(SUMIFS(Transaksi!$J$2:$J$2001,Transaksi!$M$2:$M$2001,"&lt;="&amp;S1032)),"")</f>
        <v/>
      </c>
      <c r="I1032">
        <f>IF(1029&gt;$O$2,"",MATCH(1029,$Q$3:$Q$402,1))</f>
        <v/>
      </c>
      <c r="J1032">
        <f>IF(I1032="","",IF(1029=INDEX($Q$3:$Q$402,I1032),"H","E"))</f>
        <v/>
      </c>
      <c r="K1032">
        <f>IF(J1032&lt;&gt;"E","",MATCH(S1032,Transaksi!$M$2:$M$2001,0)+1029-INDEX($Q$3:$Q$402,I1032)-1)</f>
        <v/>
      </c>
      <c r="S1032">
        <f>IF(I1032="","",INDEX($O$3:$O$402,I1032))</f>
        <v/>
      </c>
      <c r="T1032">
        <f>IF(J1032&lt;&gt;"H","",INDEX(Transaksi!$A$2:$A$2001,MATCH(S1032,Transaksi!$M$2:$M$2001,0)))</f>
        <v/>
      </c>
    </row>
    <row r="1033">
      <c r="A1033" s="31">
        <f>IF(J1033="E",IF(INDEX(Transaksi!$J$2:$J$2001,K1033)&gt;0,"↑","↓"),"")</f>
        <v/>
      </c>
      <c r="B1033" s="32">
        <f>IF(J1033="H",CHOOSE(WEEKDAY(T1033,2),"Isnin","Selasa","Rabu","Khamis","Jumaat","Sabtu","Ahad")&amp;", "&amp;DAY(T1033)&amp;" "&amp;CHOOSE(MONTH(T1033),"Jan","Feb","Mac","Apr","Mei","Jun","Jul","Ogo","Sep","Okt","Nov","Dis")&amp;" "&amp;YEAR(T1033),IF(J1033="E",IF(INDEX(Transaksi!$B$2:$B$2001,K1033)="",INDEX(Transaksi!$C$2:$C$2001,K1033)&amp;" · "&amp;INDEX(Transaksi!$D$2:$D$2001,K1033),INDEX(Transaksi!$B$2:$B$2001,K1033)),""))</f>
        <v/>
      </c>
      <c r="C1033" s="32">
        <f>IF(J1033="E",INDEX(Transaksi!$C$2:$C$2001,K1033)&amp;"","")</f>
        <v/>
      </c>
      <c r="D1033" s="32">
        <f>IF(J1033="E",INDEX(Transaksi!$D$2:$D$2001,K1033)&amp;"","")</f>
        <v/>
      </c>
      <c r="E1033" s="33">
        <f>IF(J1033="H",SUMIFS(Transaksi!$G$2:$G$2001,Transaksi!$M$2:$M$2001,"="&amp;S1033)+SUMIFS(Transaksi!$H$2:$H$2001,Transaksi!$M$2:$M$2001,"="&amp;S1033)+SUMIFS(Transaksi!$I$2:$I$2001,Transaksi!$M$2:$M$2001,"="&amp;S1033),IF(J1033="E",IF(INDEX(Transaksi!$G$2:$G$2001,K1033)+INDEX(Transaksi!$H$2:$H$2001,K1033)+INDEX(Transaksi!$I$2:$I$2001,K1033)=0,"",INDEX(Transaksi!$G$2:$G$2001,K1033)+INDEX(Transaksi!$H$2:$H$2001,K1033)+INDEX(Transaksi!$I$2:$I$2001,K1033)),""))</f>
        <v/>
      </c>
      <c r="F1033" s="33">
        <f>IF(J1033="H",SUMIFS(Transaksi!$J$2:$J$2001,Transaksi!$M$2:$M$2001,"="&amp;S1033),IF(J1033="E",IF(INDEX(Transaksi!$J$2:$J$2001,K1033)=0,"",INDEX(Transaksi!$J$2:$J$2001,K1033)),""))</f>
        <v/>
      </c>
      <c r="G1033" s="33">
        <f>IF(J1033="H",(SUMIFS(Transaksi!$G$2:$G$2001,Transaksi!$M$2:$M$2001,"&lt;="&amp;S1033)+SUMIFS(Transaksi!$H$2:$H$2001,Transaksi!$M$2:$M$2001,"&lt;="&amp;S1033)+SUMIFS(Transaksi!$I$2:$I$2001,Transaksi!$M$2:$M$2001,"&lt;="&amp;S1033))-(SUMIFS(Transaksi!$J$2:$J$2001,Transaksi!$M$2:$M$2001,"&lt;="&amp;S1033)),"")</f>
        <v/>
      </c>
      <c r="I1033">
        <f>IF(1030&gt;$O$2,"",MATCH(1030,$Q$3:$Q$402,1))</f>
        <v/>
      </c>
      <c r="J1033">
        <f>IF(I1033="","",IF(1030=INDEX($Q$3:$Q$402,I1033),"H","E"))</f>
        <v/>
      </c>
      <c r="K1033">
        <f>IF(J1033&lt;&gt;"E","",MATCH(S1033,Transaksi!$M$2:$M$2001,0)+1030-INDEX($Q$3:$Q$402,I1033)-1)</f>
        <v/>
      </c>
      <c r="S1033">
        <f>IF(I1033="","",INDEX($O$3:$O$402,I1033))</f>
        <v/>
      </c>
      <c r="T1033">
        <f>IF(J1033&lt;&gt;"H","",INDEX(Transaksi!$A$2:$A$2001,MATCH(S1033,Transaksi!$M$2:$M$2001,0)))</f>
        <v/>
      </c>
    </row>
    <row r="1034">
      <c r="A1034" s="31">
        <f>IF(J1034="E",IF(INDEX(Transaksi!$J$2:$J$2001,K1034)&gt;0,"↑","↓"),"")</f>
        <v/>
      </c>
      <c r="B1034" s="32">
        <f>IF(J1034="H",CHOOSE(WEEKDAY(T1034,2),"Isnin","Selasa","Rabu","Khamis","Jumaat","Sabtu","Ahad")&amp;", "&amp;DAY(T1034)&amp;" "&amp;CHOOSE(MONTH(T1034),"Jan","Feb","Mac","Apr","Mei","Jun","Jul","Ogo","Sep","Okt","Nov","Dis")&amp;" "&amp;YEAR(T1034),IF(J1034="E",IF(INDEX(Transaksi!$B$2:$B$2001,K1034)="",INDEX(Transaksi!$C$2:$C$2001,K1034)&amp;" · "&amp;INDEX(Transaksi!$D$2:$D$2001,K1034),INDEX(Transaksi!$B$2:$B$2001,K1034)),""))</f>
        <v/>
      </c>
      <c r="C1034" s="32">
        <f>IF(J1034="E",INDEX(Transaksi!$C$2:$C$2001,K1034)&amp;"","")</f>
        <v/>
      </c>
      <c r="D1034" s="32">
        <f>IF(J1034="E",INDEX(Transaksi!$D$2:$D$2001,K1034)&amp;"","")</f>
        <v/>
      </c>
      <c r="E1034" s="33">
        <f>IF(J1034="H",SUMIFS(Transaksi!$G$2:$G$2001,Transaksi!$M$2:$M$2001,"="&amp;S1034)+SUMIFS(Transaksi!$H$2:$H$2001,Transaksi!$M$2:$M$2001,"="&amp;S1034)+SUMIFS(Transaksi!$I$2:$I$2001,Transaksi!$M$2:$M$2001,"="&amp;S1034),IF(J1034="E",IF(INDEX(Transaksi!$G$2:$G$2001,K1034)+INDEX(Transaksi!$H$2:$H$2001,K1034)+INDEX(Transaksi!$I$2:$I$2001,K1034)=0,"",INDEX(Transaksi!$G$2:$G$2001,K1034)+INDEX(Transaksi!$H$2:$H$2001,K1034)+INDEX(Transaksi!$I$2:$I$2001,K1034)),""))</f>
        <v/>
      </c>
      <c r="F1034" s="33">
        <f>IF(J1034="H",SUMIFS(Transaksi!$J$2:$J$2001,Transaksi!$M$2:$M$2001,"="&amp;S1034),IF(J1034="E",IF(INDEX(Transaksi!$J$2:$J$2001,K1034)=0,"",INDEX(Transaksi!$J$2:$J$2001,K1034)),""))</f>
        <v/>
      </c>
      <c r="G1034" s="33">
        <f>IF(J1034="H",(SUMIFS(Transaksi!$G$2:$G$2001,Transaksi!$M$2:$M$2001,"&lt;="&amp;S1034)+SUMIFS(Transaksi!$H$2:$H$2001,Transaksi!$M$2:$M$2001,"&lt;="&amp;S1034)+SUMIFS(Transaksi!$I$2:$I$2001,Transaksi!$M$2:$M$2001,"&lt;="&amp;S1034))-(SUMIFS(Transaksi!$J$2:$J$2001,Transaksi!$M$2:$M$2001,"&lt;="&amp;S1034)),"")</f>
        <v/>
      </c>
      <c r="I1034">
        <f>IF(1031&gt;$O$2,"",MATCH(1031,$Q$3:$Q$402,1))</f>
        <v/>
      </c>
      <c r="J1034">
        <f>IF(I1034="","",IF(1031=INDEX($Q$3:$Q$402,I1034),"H","E"))</f>
        <v/>
      </c>
      <c r="K1034">
        <f>IF(J1034&lt;&gt;"E","",MATCH(S1034,Transaksi!$M$2:$M$2001,0)+1031-INDEX($Q$3:$Q$402,I1034)-1)</f>
        <v/>
      </c>
      <c r="S1034">
        <f>IF(I1034="","",INDEX($O$3:$O$402,I1034))</f>
        <v/>
      </c>
      <c r="T1034">
        <f>IF(J1034&lt;&gt;"H","",INDEX(Transaksi!$A$2:$A$2001,MATCH(S1034,Transaksi!$M$2:$M$2001,0)))</f>
        <v/>
      </c>
    </row>
    <row r="1035">
      <c r="A1035" s="31">
        <f>IF(J1035="E",IF(INDEX(Transaksi!$J$2:$J$2001,K1035)&gt;0,"↑","↓"),"")</f>
        <v/>
      </c>
      <c r="B1035" s="32">
        <f>IF(J1035="H",CHOOSE(WEEKDAY(T1035,2),"Isnin","Selasa","Rabu","Khamis","Jumaat","Sabtu","Ahad")&amp;", "&amp;DAY(T1035)&amp;" "&amp;CHOOSE(MONTH(T1035),"Jan","Feb","Mac","Apr","Mei","Jun","Jul","Ogo","Sep","Okt","Nov","Dis")&amp;" "&amp;YEAR(T1035),IF(J1035="E",IF(INDEX(Transaksi!$B$2:$B$2001,K1035)="",INDEX(Transaksi!$C$2:$C$2001,K1035)&amp;" · "&amp;INDEX(Transaksi!$D$2:$D$2001,K1035),INDEX(Transaksi!$B$2:$B$2001,K1035)),""))</f>
        <v/>
      </c>
      <c r="C1035" s="32">
        <f>IF(J1035="E",INDEX(Transaksi!$C$2:$C$2001,K1035)&amp;"","")</f>
        <v/>
      </c>
      <c r="D1035" s="32">
        <f>IF(J1035="E",INDEX(Transaksi!$D$2:$D$2001,K1035)&amp;"","")</f>
        <v/>
      </c>
      <c r="E1035" s="33">
        <f>IF(J1035="H",SUMIFS(Transaksi!$G$2:$G$2001,Transaksi!$M$2:$M$2001,"="&amp;S1035)+SUMIFS(Transaksi!$H$2:$H$2001,Transaksi!$M$2:$M$2001,"="&amp;S1035)+SUMIFS(Transaksi!$I$2:$I$2001,Transaksi!$M$2:$M$2001,"="&amp;S1035),IF(J1035="E",IF(INDEX(Transaksi!$G$2:$G$2001,K1035)+INDEX(Transaksi!$H$2:$H$2001,K1035)+INDEX(Transaksi!$I$2:$I$2001,K1035)=0,"",INDEX(Transaksi!$G$2:$G$2001,K1035)+INDEX(Transaksi!$H$2:$H$2001,K1035)+INDEX(Transaksi!$I$2:$I$2001,K1035)),""))</f>
        <v/>
      </c>
      <c r="F1035" s="33">
        <f>IF(J1035="H",SUMIFS(Transaksi!$J$2:$J$2001,Transaksi!$M$2:$M$2001,"="&amp;S1035),IF(J1035="E",IF(INDEX(Transaksi!$J$2:$J$2001,K1035)=0,"",INDEX(Transaksi!$J$2:$J$2001,K1035)),""))</f>
        <v/>
      </c>
      <c r="G1035" s="33">
        <f>IF(J1035="H",(SUMIFS(Transaksi!$G$2:$G$2001,Transaksi!$M$2:$M$2001,"&lt;="&amp;S1035)+SUMIFS(Transaksi!$H$2:$H$2001,Transaksi!$M$2:$M$2001,"&lt;="&amp;S1035)+SUMIFS(Transaksi!$I$2:$I$2001,Transaksi!$M$2:$M$2001,"&lt;="&amp;S1035))-(SUMIFS(Transaksi!$J$2:$J$2001,Transaksi!$M$2:$M$2001,"&lt;="&amp;S1035)),"")</f>
        <v/>
      </c>
      <c r="I1035">
        <f>IF(1032&gt;$O$2,"",MATCH(1032,$Q$3:$Q$402,1))</f>
        <v/>
      </c>
      <c r="J1035">
        <f>IF(I1035="","",IF(1032=INDEX($Q$3:$Q$402,I1035),"H","E"))</f>
        <v/>
      </c>
      <c r="K1035">
        <f>IF(J1035&lt;&gt;"E","",MATCH(S1035,Transaksi!$M$2:$M$2001,0)+1032-INDEX($Q$3:$Q$402,I1035)-1)</f>
        <v/>
      </c>
      <c r="S1035">
        <f>IF(I1035="","",INDEX($O$3:$O$402,I1035))</f>
        <v/>
      </c>
      <c r="T1035">
        <f>IF(J1035&lt;&gt;"H","",INDEX(Transaksi!$A$2:$A$2001,MATCH(S1035,Transaksi!$M$2:$M$2001,0)))</f>
        <v/>
      </c>
    </row>
    <row r="1036">
      <c r="A1036" s="31">
        <f>IF(J1036="E",IF(INDEX(Transaksi!$J$2:$J$2001,K1036)&gt;0,"↑","↓"),"")</f>
        <v/>
      </c>
      <c r="B1036" s="32">
        <f>IF(J1036="H",CHOOSE(WEEKDAY(T1036,2),"Isnin","Selasa","Rabu","Khamis","Jumaat","Sabtu","Ahad")&amp;", "&amp;DAY(T1036)&amp;" "&amp;CHOOSE(MONTH(T1036),"Jan","Feb","Mac","Apr","Mei","Jun","Jul","Ogo","Sep","Okt","Nov","Dis")&amp;" "&amp;YEAR(T1036),IF(J1036="E",IF(INDEX(Transaksi!$B$2:$B$2001,K1036)="",INDEX(Transaksi!$C$2:$C$2001,K1036)&amp;" · "&amp;INDEX(Transaksi!$D$2:$D$2001,K1036),INDEX(Transaksi!$B$2:$B$2001,K1036)),""))</f>
        <v/>
      </c>
      <c r="C1036" s="32">
        <f>IF(J1036="E",INDEX(Transaksi!$C$2:$C$2001,K1036)&amp;"","")</f>
        <v/>
      </c>
      <c r="D1036" s="32">
        <f>IF(J1036="E",INDEX(Transaksi!$D$2:$D$2001,K1036)&amp;"","")</f>
        <v/>
      </c>
      <c r="E1036" s="33">
        <f>IF(J1036="H",SUMIFS(Transaksi!$G$2:$G$2001,Transaksi!$M$2:$M$2001,"="&amp;S1036)+SUMIFS(Transaksi!$H$2:$H$2001,Transaksi!$M$2:$M$2001,"="&amp;S1036)+SUMIFS(Transaksi!$I$2:$I$2001,Transaksi!$M$2:$M$2001,"="&amp;S1036),IF(J1036="E",IF(INDEX(Transaksi!$G$2:$G$2001,K1036)+INDEX(Transaksi!$H$2:$H$2001,K1036)+INDEX(Transaksi!$I$2:$I$2001,K1036)=0,"",INDEX(Transaksi!$G$2:$G$2001,K1036)+INDEX(Transaksi!$H$2:$H$2001,K1036)+INDEX(Transaksi!$I$2:$I$2001,K1036)),""))</f>
        <v/>
      </c>
      <c r="F1036" s="33">
        <f>IF(J1036="H",SUMIFS(Transaksi!$J$2:$J$2001,Transaksi!$M$2:$M$2001,"="&amp;S1036),IF(J1036="E",IF(INDEX(Transaksi!$J$2:$J$2001,K1036)=0,"",INDEX(Transaksi!$J$2:$J$2001,K1036)),""))</f>
        <v/>
      </c>
      <c r="G1036" s="33">
        <f>IF(J1036="H",(SUMIFS(Transaksi!$G$2:$G$2001,Transaksi!$M$2:$M$2001,"&lt;="&amp;S1036)+SUMIFS(Transaksi!$H$2:$H$2001,Transaksi!$M$2:$M$2001,"&lt;="&amp;S1036)+SUMIFS(Transaksi!$I$2:$I$2001,Transaksi!$M$2:$M$2001,"&lt;="&amp;S1036))-(SUMIFS(Transaksi!$J$2:$J$2001,Transaksi!$M$2:$M$2001,"&lt;="&amp;S1036)),"")</f>
        <v/>
      </c>
      <c r="I1036">
        <f>IF(1033&gt;$O$2,"",MATCH(1033,$Q$3:$Q$402,1))</f>
        <v/>
      </c>
      <c r="J1036">
        <f>IF(I1036="","",IF(1033=INDEX($Q$3:$Q$402,I1036),"H","E"))</f>
        <v/>
      </c>
      <c r="K1036">
        <f>IF(J1036&lt;&gt;"E","",MATCH(S1036,Transaksi!$M$2:$M$2001,0)+1033-INDEX($Q$3:$Q$402,I1036)-1)</f>
        <v/>
      </c>
      <c r="S1036">
        <f>IF(I1036="","",INDEX($O$3:$O$402,I1036))</f>
        <v/>
      </c>
      <c r="T1036">
        <f>IF(J1036&lt;&gt;"H","",INDEX(Transaksi!$A$2:$A$2001,MATCH(S1036,Transaksi!$M$2:$M$2001,0)))</f>
        <v/>
      </c>
    </row>
    <row r="1037">
      <c r="A1037" s="31">
        <f>IF(J1037="E",IF(INDEX(Transaksi!$J$2:$J$2001,K1037)&gt;0,"↑","↓"),"")</f>
        <v/>
      </c>
      <c r="B1037" s="32">
        <f>IF(J1037="H",CHOOSE(WEEKDAY(T1037,2),"Isnin","Selasa","Rabu","Khamis","Jumaat","Sabtu","Ahad")&amp;", "&amp;DAY(T1037)&amp;" "&amp;CHOOSE(MONTH(T1037),"Jan","Feb","Mac","Apr","Mei","Jun","Jul","Ogo","Sep","Okt","Nov","Dis")&amp;" "&amp;YEAR(T1037),IF(J1037="E",IF(INDEX(Transaksi!$B$2:$B$2001,K1037)="",INDEX(Transaksi!$C$2:$C$2001,K1037)&amp;" · "&amp;INDEX(Transaksi!$D$2:$D$2001,K1037),INDEX(Transaksi!$B$2:$B$2001,K1037)),""))</f>
        <v/>
      </c>
      <c r="C1037" s="32">
        <f>IF(J1037="E",INDEX(Transaksi!$C$2:$C$2001,K1037)&amp;"","")</f>
        <v/>
      </c>
      <c r="D1037" s="32">
        <f>IF(J1037="E",INDEX(Transaksi!$D$2:$D$2001,K1037)&amp;"","")</f>
        <v/>
      </c>
      <c r="E1037" s="33">
        <f>IF(J1037="H",SUMIFS(Transaksi!$G$2:$G$2001,Transaksi!$M$2:$M$2001,"="&amp;S1037)+SUMIFS(Transaksi!$H$2:$H$2001,Transaksi!$M$2:$M$2001,"="&amp;S1037)+SUMIFS(Transaksi!$I$2:$I$2001,Transaksi!$M$2:$M$2001,"="&amp;S1037),IF(J1037="E",IF(INDEX(Transaksi!$G$2:$G$2001,K1037)+INDEX(Transaksi!$H$2:$H$2001,K1037)+INDEX(Transaksi!$I$2:$I$2001,K1037)=0,"",INDEX(Transaksi!$G$2:$G$2001,K1037)+INDEX(Transaksi!$H$2:$H$2001,K1037)+INDEX(Transaksi!$I$2:$I$2001,K1037)),""))</f>
        <v/>
      </c>
      <c r="F1037" s="33">
        <f>IF(J1037="H",SUMIFS(Transaksi!$J$2:$J$2001,Transaksi!$M$2:$M$2001,"="&amp;S1037),IF(J1037="E",IF(INDEX(Transaksi!$J$2:$J$2001,K1037)=0,"",INDEX(Transaksi!$J$2:$J$2001,K1037)),""))</f>
        <v/>
      </c>
      <c r="G1037" s="33">
        <f>IF(J1037="H",(SUMIFS(Transaksi!$G$2:$G$2001,Transaksi!$M$2:$M$2001,"&lt;="&amp;S1037)+SUMIFS(Transaksi!$H$2:$H$2001,Transaksi!$M$2:$M$2001,"&lt;="&amp;S1037)+SUMIFS(Transaksi!$I$2:$I$2001,Transaksi!$M$2:$M$2001,"&lt;="&amp;S1037))-(SUMIFS(Transaksi!$J$2:$J$2001,Transaksi!$M$2:$M$2001,"&lt;="&amp;S1037)),"")</f>
        <v/>
      </c>
      <c r="I1037">
        <f>IF(1034&gt;$O$2,"",MATCH(1034,$Q$3:$Q$402,1))</f>
        <v/>
      </c>
      <c r="J1037">
        <f>IF(I1037="","",IF(1034=INDEX($Q$3:$Q$402,I1037),"H","E"))</f>
        <v/>
      </c>
      <c r="K1037">
        <f>IF(J1037&lt;&gt;"E","",MATCH(S1037,Transaksi!$M$2:$M$2001,0)+1034-INDEX($Q$3:$Q$402,I1037)-1)</f>
        <v/>
      </c>
      <c r="S1037">
        <f>IF(I1037="","",INDEX($O$3:$O$402,I1037))</f>
        <v/>
      </c>
      <c r="T1037">
        <f>IF(J1037&lt;&gt;"H","",INDEX(Transaksi!$A$2:$A$2001,MATCH(S1037,Transaksi!$M$2:$M$2001,0)))</f>
        <v/>
      </c>
    </row>
    <row r="1038">
      <c r="A1038" s="31">
        <f>IF(J1038="E",IF(INDEX(Transaksi!$J$2:$J$2001,K1038)&gt;0,"↑","↓"),"")</f>
        <v/>
      </c>
      <c r="B1038" s="32">
        <f>IF(J1038="H",CHOOSE(WEEKDAY(T1038,2),"Isnin","Selasa","Rabu","Khamis","Jumaat","Sabtu","Ahad")&amp;", "&amp;DAY(T1038)&amp;" "&amp;CHOOSE(MONTH(T1038),"Jan","Feb","Mac","Apr","Mei","Jun","Jul","Ogo","Sep","Okt","Nov","Dis")&amp;" "&amp;YEAR(T1038),IF(J1038="E",IF(INDEX(Transaksi!$B$2:$B$2001,K1038)="",INDEX(Transaksi!$C$2:$C$2001,K1038)&amp;" · "&amp;INDEX(Transaksi!$D$2:$D$2001,K1038),INDEX(Transaksi!$B$2:$B$2001,K1038)),""))</f>
        <v/>
      </c>
      <c r="C1038" s="32">
        <f>IF(J1038="E",INDEX(Transaksi!$C$2:$C$2001,K1038)&amp;"","")</f>
        <v/>
      </c>
      <c r="D1038" s="32">
        <f>IF(J1038="E",INDEX(Transaksi!$D$2:$D$2001,K1038)&amp;"","")</f>
        <v/>
      </c>
      <c r="E1038" s="33">
        <f>IF(J1038="H",SUMIFS(Transaksi!$G$2:$G$2001,Transaksi!$M$2:$M$2001,"="&amp;S1038)+SUMIFS(Transaksi!$H$2:$H$2001,Transaksi!$M$2:$M$2001,"="&amp;S1038)+SUMIFS(Transaksi!$I$2:$I$2001,Transaksi!$M$2:$M$2001,"="&amp;S1038),IF(J1038="E",IF(INDEX(Transaksi!$G$2:$G$2001,K1038)+INDEX(Transaksi!$H$2:$H$2001,K1038)+INDEX(Transaksi!$I$2:$I$2001,K1038)=0,"",INDEX(Transaksi!$G$2:$G$2001,K1038)+INDEX(Transaksi!$H$2:$H$2001,K1038)+INDEX(Transaksi!$I$2:$I$2001,K1038)),""))</f>
        <v/>
      </c>
      <c r="F1038" s="33">
        <f>IF(J1038="H",SUMIFS(Transaksi!$J$2:$J$2001,Transaksi!$M$2:$M$2001,"="&amp;S1038),IF(J1038="E",IF(INDEX(Transaksi!$J$2:$J$2001,K1038)=0,"",INDEX(Transaksi!$J$2:$J$2001,K1038)),""))</f>
        <v/>
      </c>
      <c r="G1038" s="33">
        <f>IF(J1038="H",(SUMIFS(Transaksi!$G$2:$G$2001,Transaksi!$M$2:$M$2001,"&lt;="&amp;S1038)+SUMIFS(Transaksi!$H$2:$H$2001,Transaksi!$M$2:$M$2001,"&lt;="&amp;S1038)+SUMIFS(Transaksi!$I$2:$I$2001,Transaksi!$M$2:$M$2001,"&lt;="&amp;S1038))-(SUMIFS(Transaksi!$J$2:$J$2001,Transaksi!$M$2:$M$2001,"&lt;="&amp;S1038)),"")</f>
        <v/>
      </c>
      <c r="I1038">
        <f>IF(1035&gt;$O$2,"",MATCH(1035,$Q$3:$Q$402,1))</f>
        <v/>
      </c>
      <c r="J1038">
        <f>IF(I1038="","",IF(1035=INDEX($Q$3:$Q$402,I1038),"H","E"))</f>
        <v/>
      </c>
      <c r="K1038">
        <f>IF(J1038&lt;&gt;"E","",MATCH(S1038,Transaksi!$M$2:$M$2001,0)+1035-INDEX($Q$3:$Q$402,I1038)-1)</f>
        <v/>
      </c>
      <c r="S1038">
        <f>IF(I1038="","",INDEX($O$3:$O$402,I1038))</f>
        <v/>
      </c>
      <c r="T1038">
        <f>IF(J1038&lt;&gt;"H","",INDEX(Transaksi!$A$2:$A$2001,MATCH(S1038,Transaksi!$M$2:$M$2001,0)))</f>
        <v/>
      </c>
    </row>
    <row r="1039">
      <c r="A1039" s="31">
        <f>IF(J1039="E",IF(INDEX(Transaksi!$J$2:$J$2001,K1039)&gt;0,"↑","↓"),"")</f>
        <v/>
      </c>
      <c r="B1039" s="32">
        <f>IF(J1039="H",CHOOSE(WEEKDAY(T1039,2),"Isnin","Selasa","Rabu","Khamis","Jumaat","Sabtu","Ahad")&amp;", "&amp;DAY(T1039)&amp;" "&amp;CHOOSE(MONTH(T1039),"Jan","Feb","Mac","Apr","Mei","Jun","Jul","Ogo","Sep","Okt","Nov","Dis")&amp;" "&amp;YEAR(T1039),IF(J1039="E",IF(INDEX(Transaksi!$B$2:$B$2001,K1039)="",INDEX(Transaksi!$C$2:$C$2001,K1039)&amp;" · "&amp;INDEX(Transaksi!$D$2:$D$2001,K1039),INDEX(Transaksi!$B$2:$B$2001,K1039)),""))</f>
        <v/>
      </c>
      <c r="C1039" s="32">
        <f>IF(J1039="E",INDEX(Transaksi!$C$2:$C$2001,K1039)&amp;"","")</f>
        <v/>
      </c>
      <c r="D1039" s="32">
        <f>IF(J1039="E",INDEX(Transaksi!$D$2:$D$2001,K1039)&amp;"","")</f>
        <v/>
      </c>
      <c r="E1039" s="33">
        <f>IF(J1039="H",SUMIFS(Transaksi!$G$2:$G$2001,Transaksi!$M$2:$M$2001,"="&amp;S1039)+SUMIFS(Transaksi!$H$2:$H$2001,Transaksi!$M$2:$M$2001,"="&amp;S1039)+SUMIFS(Transaksi!$I$2:$I$2001,Transaksi!$M$2:$M$2001,"="&amp;S1039),IF(J1039="E",IF(INDEX(Transaksi!$G$2:$G$2001,K1039)+INDEX(Transaksi!$H$2:$H$2001,K1039)+INDEX(Transaksi!$I$2:$I$2001,K1039)=0,"",INDEX(Transaksi!$G$2:$G$2001,K1039)+INDEX(Transaksi!$H$2:$H$2001,K1039)+INDEX(Transaksi!$I$2:$I$2001,K1039)),""))</f>
        <v/>
      </c>
      <c r="F1039" s="33">
        <f>IF(J1039="H",SUMIFS(Transaksi!$J$2:$J$2001,Transaksi!$M$2:$M$2001,"="&amp;S1039),IF(J1039="E",IF(INDEX(Transaksi!$J$2:$J$2001,K1039)=0,"",INDEX(Transaksi!$J$2:$J$2001,K1039)),""))</f>
        <v/>
      </c>
      <c r="G1039" s="33">
        <f>IF(J1039="H",(SUMIFS(Transaksi!$G$2:$G$2001,Transaksi!$M$2:$M$2001,"&lt;="&amp;S1039)+SUMIFS(Transaksi!$H$2:$H$2001,Transaksi!$M$2:$M$2001,"&lt;="&amp;S1039)+SUMIFS(Transaksi!$I$2:$I$2001,Transaksi!$M$2:$M$2001,"&lt;="&amp;S1039))-(SUMIFS(Transaksi!$J$2:$J$2001,Transaksi!$M$2:$M$2001,"&lt;="&amp;S1039)),"")</f>
        <v/>
      </c>
      <c r="I1039">
        <f>IF(1036&gt;$O$2,"",MATCH(1036,$Q$3:$Q$402,1))</f>
        <v/>
      </c>
      <c r="J1039">
        <f>IF(I1039="","",IF(1036=INDEX($Q$3:$Q$402,I1039),"H","E"))</f>
        <v/>
      </c>
      <c r="K1039">
        <f>IF(J1039&lt;&gt;"E","",MATCH(S1039,Transaksi!$M$2:$M$2001,0)+1036-INDEX($Q$3:$Q$402,I1039)-1)</f>
        <v/>
      </c>
      <c r="S1039">
        <f>IF(I1039="","",INDEX($O$3:$O$402,I1039))</f>
        <v/>
      </c>
      <c r="T1039">
        <f>IF(J1039&lt;&gt;"H","",INDEX(Transaksi!$A$2:$A$2001,MATCH(S1039,Transaksi!$M$2:$M$2001,0)))</f>
        <v/>
      </c>
    </row>
    <row r="1040">
      <c r="A1040" s="31">
        <f>IF(J1040="E",IF(INDEX(Transaksi!$J$2:$J$2001,K1040)&gt;0,"↑","↓"),"")</f>
        <v/>
      </c>
      <c r="B1040" s="32">
        <f>IF(J1040="H",CHOOSE(WEEKDAY(T1040,2),"Isnin","Selasa","Rabu","Khamis","Jumaat","Sabtu","Ahad")&amp;", "&amp;DAY(T1040)&amp;" "&amp;CHOOSE(MONTH(T1040),"Jan","Feb","Mac","Apr","Mei","Jun","Jul","Ogo","Sep","Okt","Nov","Dis")&amp;" "&amp;YEAR(T1040),IF(J1040="E",IF(INDEX(Transaksi!$B$2:$B$2001,K1040)="",INDEX(Transaksi!$C$2:$C$2001,K1040)&amp;" · "&amp;INDEX(Transaksi!$D$2:$D$2001,K1040),INDEX(Transaksi!$B$2:$B$2001,K1040)),""))</f>
        <v/>
      </c>
      <c r="C1040" s="32">
        <f>IF(J1040="E",INDEX(Transaksi!$C$2:$C$2001,K1040)&amp;"","")</f>
        <v/>
      </c>
      <c r="D1040" s="32">
        <f>IF(J1040="E",INDEX(Transaksi!$D$2:$D$2001,K1040)&amp;"","")</f>
        <v/>
      </c>
      <c r="E1040" s="33">
        <f>IF(J1040="H",SUMIFS(Transaksi!$G$2:$G$2001,Transaksi!$M$2:$M$2001,"="&amp;S1040)+SUMIFS(Transaksi!$H$2:$H$2001,Transaksi!$M$2:$M$2001,"="&amp;S1040)+SUMIFS(Transaksi!$I$2:$I$2001,Transaksi!$M$2:$M$2001,"="&amp;S1040),IF(J1040="E",IF(INDEX(Transaksi!$G$2:$G$2001,K1040)+INDEX(Transaksi!$H$2:$H$2001,K1040)+INDEX(Transaksi!$I$2:$I$2001,K1040)=0,"",INDEX(Transaksi!$G$2:$G$2001,K1040)+INDEX(Transaksi!$H$2:$H$2001,K1040)+INDEX(Transaksi!$I$2:$I$2001,K1040)),""))</f>
        <v/>
      </c>
      <c r="F1040" s="33">
        <f>IF(J1040="H",SUMIFS(Transaksi!$J$2:$J$2001,Transaksi!$M$2:$M$2001,"="&amp;S1040),IF(J1040="E",IF(INDEX(Transaksi!$J$2:$J$2001,K1040)=0,"",INDEX(Transaksi!$J$2:$J$2001,K1040)),""))</f>
        <v/>
      </c>
      <c r="G1040" s="33">
        <f>IF(J1040="H",(SUMIFS(Transaksi!$G$2:$G$2001,Transaksi!$M$2:$M$2001,"&lt;="&amp;S1040)+SUMIFS(Transaksi!$H$2:$H$2001,Transaksi!$M$2:$M$2001,"&lt;="&amp;S1040)+SUMIFS(Transaksi!$I$2:$I$2001,Transaksi!$M$2:$M$2001,"&lt;="&amp;S1040))-(SUMIFS(Transaksi!$J$2:$J$2001,Transaksi!$M$2:$M$2001,"&lt;="&amp;S1040)),"")</f>
        <v/>
      </c>
      <c r="I1040">
        <f>IF(1037&gt;$O$2,"",MATCH(1037,$Q$3:$Q$402,1))</f>
        <v/>
      </c>
      <c r="J1040">
        <f>IF(I1040="","",IF(1037=INDEX($Q$3:$Q$402,I1040),"H","E"))</f>
        <v/>
      </c>
      <c r="K1040">
        <f>IF(J1040&lt;&gt;"E","",MATCH(S1040,Transaksi!$M$2:$M$2001,0)+1037-INDEX($Q$3:$Q$402,I1040)-1)</f>
        <v/>
      </c>
      <c r="S1040">
        <f>IF(I1040="","",INDEX($O$3:$O$402,I1040))</f>
        <v/>
      </c>
      <c r="T1040">
        <f>IF(J1040&lt;&gt;"H","",INDEX(Transaksi!$A$2:$A$2001,MATCH(S1040,Transaksi!$M$2:$M$2001,0)))</f>
        <v/>
      </c>
    </row>
    <row r="1041">
      <c r="A1041" s="31">
        <f>IF(J1041="E",IF(INDEX(Transaksi!$J$2:$J$2001,K1041)&gt;0,"↑","↓"),"")</f>
        <v/>
      </c>
      <c r="B1041" s="32">
        <f>IF(J1041="H",CHOOSE(WEEKDAY(T1041,2),"Isnin","Selasa","Rabu","Khamis","Jumaat","Sabtu","Ahad")&amp;", "&amp;DAY(T1041)&amp;" "&amp;CHOOSE(MONTH(T1041),"Jan","Feb","Mac","Apr","Mei","Jun","Jul","Ogo","Sep","Okt","Nov","Dis")&amp;" "&amp;YEAR(T1041),IF(J1041="E",IF(INDEX(Transaksi!$B$2:$B$2001,K1041)="",INDEX(Transaksi!$C$2:$C$2001,K1041)&amp;" · "&amp;INDEX(Transaksi!$D$2:$D$2001,K1041),INDEX(Transaksi!$B$2:$B$2001,K1041)),""))</f>
        <v/>
      </c>
      <c r="C1041" s="32">
        <f>IF(J1041="E",INDEX(Transaksi!$C$2:$C$2001,K1041)&amp;"","")</f>
        <v/>
      </c>
      <c r="D1041" s="32">
        <f>IF(J1041="E",INDEX(Transaksi!$D$2:$D$2001,K1041)&amp;"","")</f>
        <v/>
      </c>
      <c r="E1041" s="33">
        <f>IF(J1041="H",SUMIFS(Transaksi!$G$2:$G$2001,Transaksi!$M$2:$M$2001,"="&amp;S1041)+SUMIFS(Transaksi!$H$2:$H$2001,Transaksi!$M$2:$M$2001,"="&amp;S1041)+SUMIFS(Transaksi!$I$2:$I$2001,Transaksi!$M$2:$M$2001,"="&amp;S1041),IF(J1041="E",IF(INDEX(Transaksi!$G$2:$G$2001,K1041)+INDEX(Transaksi!$H$2:$H$2001,K1041)+INDEX(Transaksi!$I$2:$I$2001,K1041)=0,"",INDEX(Transaksi!$G$2:$G$2001,K1041)+INDEX(Transaksi!$H$2:$H$2001,K1041)+INDEX(Transaksi!$I$2:$I$2001,K1041)),""))</f>
        <v/>
      </c>
      <c r="F1041" s="33">
        <f>IF(J1041="H",SUMIFS(Transaksi!$J$2:$J$2001,Transaksi!$M$2:$M$2001,"="&amp;S1041),IF(J1041="E",IF(INDEX(Transaksi!$J$2:$J$2001,K1041)=0,"",INDEX(Transaksi!$J$2:$J$2001,K1041)),""))</f>
        <v/>
      </c>
      <c r="G1041" s="33">
        <f>IF(J1041="H",(SUMIFS(Transaksi!$G$2:$G$2001,Transaksi!$M$2:$M$2001,"&lt;="&amp;S1041)+SUMIFS(Transaksi!$H$2:$H$2001,Transaksi!$M$2:$M$2001,"&lt;="&amp;S1041)+SUMIFS(Transaksi!$I$2:$I$2001,Transaksi!$M$2:$M$2001,"&lt;="&amp;S1041))-(SUMIFS(Transaksi!$J$2:$J$2001,Transaksi!$M$2:$M$2001,"&lt;="&amp;S1041)),"")</f>
        <v/>
      </c>
      <c r="I1041">
        <f>IF(1038&gt;$O$2,"",MATCH(1038,$Q$3:$Q$402,1))</f>
        <v/>
      </c>
      <c r="J1041">
        <f>IF(I1041="","",IF(1038=INDEX($Q$3:$Q$402,I1041),"H","E"))</f>
        <v/>
      </c>
      <c r="K1041">
        <f>IF(J1041&lt;&gt;"E","",MATCH(S1041,Transaksi!$M$2:$M$2001,0)+1038-INDEX($Q$3:$Q$402,I1041)-1)</f>
        <v/>
      </c>
      <c r="S1041">
        <f>IF(I1041="","",INDEX($O$3:$O$402,I1041))</f>
        <v/>
      </c>
      <c r="T1041">
        <f>IF(J1041&lt;&gt;"H","",INDEX(Transaksi!$A$2:$A$2001,MATCH(S1041,Transaksi!$M$2:$M$2001,0)))</f>
        <v/>
      </c>
    </row>
    <row r="1042">
      <c r="A1042" s="31">
        <f>IF(J1042="E",IF(INDEX(Transaksi!$J$2:$J$2001,K1042)&gt;0,"↑","↓"),"")</f>
        <v/>
      </c>
      <c r="B1042" s="32">
        <f>IF(J1042="H",CHOOSE(WEEKDAY(T1042,2),"Isnin","Selasa","Rabu","Khamis","Jumaat","Sabtu","Ahad")&amp;", "&amp;DAY(T1042)&amp;" "&amp;CHOOSE(MONTH(T1042),"Jan","Feb","Mac","Apr","Mei","Jun","Jul","Ogo","Sep","Okt","Nov","Dis")&amp;" "&amp;YEAR(T1042),IF(J1042="E",IF(INDEX(Transaksi!$B$2:$B$2001,K1042)="",INDEX(Transaksi!$C$2:$C$2001,K1042)&amp;" · "&amp;INDEX(Transaksi!$D$2:$D$2001,K1042),INDEX(Transaksi!$B$2:$B$2001,K1042)),""))</f>
        <v/>
      </c>
      <c r="C1042" s="32">
        <f>IF(J1042="E",INDEX(Transaksi!$C$2:$C$2001,K1042)&amp;"","")</f>
        <v/>
      </c>
      <c r="D1042" s="32">
        <f>IF(J1042="E",INDEX(Transaksi!$D$2:$D$2001,K1042)&amp;"","")</f>
        <v/>
      </c>
      <c r="E1042" s="33">
        <f>IF(J1042="H",SUMIFS(Transaksi!$G$2:$G$2001,Transaksi!$M$2:$M$2001,"="&amp;S1042)+SUMIFS(Transaksi!$H$2:$H$2001,Transaksi!$M$2:$M$2001,"="&amp;S1042)+SUMIFS(Transaksi!$I$2:$I$2001,Transaksi!$M$2:$M$2001,"="&amp;S1042),IF(J1042="E",IF(INDEX(Transaksi!$G$2:$G$2001,K1042)+INDEX(Transaksi!$H$2:$H$2001,K1042)+INDEX(Transaksi!$I$2:$I$2001,K1042)=0,"",INDEX(Transaksi!$G$2:$G$2001,K1042)+INDEX(Transaksi!$H$2:$H$2001,K1042)+INDEX(Transaksi!$I$2:$I$2001,K1042)),""))</f>
        <v/>
      </c>
      <c r="F1042" s="33">
        <f>IF(J1042="H",SUMIFS(Transaksi!$J$2:$J$2001,Transaksi!$M$2:$M$2001,"="&amp;S1042),IF(J1042="E",IF(INDEX(Transaksi!$J$2:$J$2001,K1042)=0,"",INDEX(Transaksi!$J$2:$J$2001,K1042)),""))</f>
        <v/>
      </c>
      <c r="G1042" s="33">
        <f>IF(J1042="H",(SUMIFS(Transaksi!$G$2:$G$2001,Transaksi!$M$2:$M$2001,"&lt;="&amp;S1042)+SUMIFS(Transaksi!$H$2:$H$2001,Transaksi!$M$2:$M$2001,"&lt;="&amp;S1042)+SUMIFS(Transaksi!$I$2:$I$2001,Transaksi!$M$2:$M$2001,"&lt;="&amp;S1042))-(SUMIFS(Transaksi!$J$2:$J$2001,Transaksi!$M$2:$M$2001,"&lt;="&amp;S1042)),"")</f>
        <v/>
      </c>
      <c r="I1042">
        <f>IF(1039&gt;$O$2,"",MATCH(1039,$Q$3:$Q$402,1))</f>
        <v/>
      </c>
      <c r="J1042">
        <f>IF(I1042="","",IF(1039=INDEX($Q$3:$Q$402,I1042),"H","E"))</f>
        <v/>
      </c>
      <c r="K1042">
        <f>IF(J1042&lt;&gt;"E","",MATCH(S1042,Transaksi!$M$2:$M$2001,0)+1039-INDEX($Q$3:$Q$402,I1042)-1)</f>
        <v/>
      </c>
      <c r="S1042">
        <f>IF(I1042="","",INDEX($O$3:$O$402,I1042))</f>
        <v/>
      </c>
      <c r="T1042">
        <f>IF(J1042&lt;&gt;"H","",INDEX(Transaksi!$A$2:$A$2001,MATCH(S1042,Transaksi!$M$2:$M$2001,0)))</f>
        <v/>
      </c>
    </row>
    <row r="1043">
      <c r="A1043" s="31">
        <f>IF(J1043="E",IF(INDEX(Transaksi!$J$2:$J$2001,K1043)&gt;0,"↑","↓"),"")</f>
        <v/>
      </c>
      <c r="B1043" s="32">
        <f>IF(J1043="H",CHOOSE(WEEKDAY(T1043,2),"Isnin","Selasa","Rabu","Khamis","Jumaat","Sabtu","Ahad")&amp;", "&amp;DAY(T1043)&amp;" "&amp;CHOOSE(MONTH(T1043),"Jan","Feb","Mac","Apr","Mei","Jun","Jul","Ogo","Sep","Okt","Nov","Dis")&amp;" "&amp;YEAR(T1043),IF(J1043="E",IF(INDEX(Transaksi!$B$2:$B$2001,K1043)="",INDEX(Transaksi!$C$2:$C$2001,K1043)&amp;" · "&amp;INDEX(Transaksi!$D$2:$D$2001,K1043),INDEX(Transaksi!$B$2:$B$2001,K1043)),""))</f>
        <v/>
      </c>
      <c r="C1043" s="32">
        <f>IF(J1043="E",INDEX(Transaksi!$C$2:$C$2001,K1043)&amp;"","")</f>
        <v/>
      </c>
      <c r="D1043" s="32">
        <f>IF(J1043="E",INDEX(Transaksi!$D$2:$D$2001,K1043)&amp;"","")</f>
        <v/>
      </c>
      <c r="E1043" s="33">
        <f>IF(J1043="H",SUMIFS(Transaksi!$G$2:$G$2001,Transaksi!$M$2:$M$2001,"="&amp;S1043)+SUMIFS(Transaksi!$H$2:$H$2001,Transaksi!$M$2:$M$2001,"="&amp;S1043)+SUMIFS(Transaksi!$I$2:$I$2001,Transaksi!$M$2:$M$2001,"="&amp;S1043),IF(J1043="E",IF(INDEX(Transaksi!$G$2:$G$2001,K1043)+INDEX(Transaksi!$H$2:$H$2001,K1043)+INDEX(Transaksi!$I$2:$I$2001,K1043)=0,"",INDEX(Transaksi!$G$2:$G$2001,K1043)+INDEX(Transaksi!$H$2:$H$2001,K1043)+INDEX(Transaksi!$I$2:$I$2001,K1043)),""))</f>
        <v/>
      </c>
      <c r="F1043" s="33">
        <f>IF(J1043="H",SUMIFS(Transaksi!$J$2:$J$2001,Transaksi!$M$2:$M$2001,"="&amp;S1043),IF(J1043="E",IF(INDEX(Transaksi!$J$2:$J$2001,K1043)=0,"",INDEX(Transaksi!$J$2:$J$2001,K1043)),""))</f>
        <v/>
      </c>
      <c r="G1043" s="33">
        <f>IF(J1043="H",(SUMIFS(Transaksi!$G$2:$G$2001,Transaksi!$M$2:$M$2001,"&lt;="&amp;S1043)+SUMIFS(Transaksi!$H$2:$H$2001,Transaksi!$M$2:$M$2001,"&lt;="&amp;S1043)+SUMIFS(Transaksi!$I$2:$I$2001,Transaksi!$M$2:$M$2001,"&lt;="&amp;S1043))-(SUMIFS(Transaksi!$J$2:$J$2001,Transaksi!$M$2:$M$2001,"&lt;="&amp;S1043)),"")</f>
        <v/>
      </c>
      <c r="I1043">
        <f>IF(1040&gt;$O$2,"",MATCH(1040,$Q$3:$Q$402,1))</f>
        <v/>
      </c>
      <c r="J1043">
        <f>IF(I1043="","",IF(1040=INDEX($Q$3:$Q$402,I1043),"H","E"))</f>
        <v/>
      </c>
      <c r="K1043">
        <f>IF(J1043&lt;&gt;"E","",MATCH(S1043,Transaksi!$M$2:$M$2001,0)+1040-INDEX($Q$3:$Q$402,I1043)-1)</f>
        <v/>
      </c>
      <c r="S1043">
        <f>IF(I1043="","",INDEX($O$3:$O$402,I1043))</f>
        <v/>
      </c>
      <c r="T1043">
        <f>IF(J1043&lt;&gt;"H","",INDEX(Transaksi!$A$2:$A$2001,MATCH(S1043,Transaksi!$M$2:$M$2001,0)))</f>
        <v/>
      </c>
    </row>
    <row r="1044">
      <c r="A1044" s="31">
        <f>IF(J1044="E",IF(INDEX(Transaksi!$J$2:$J$2001,K1044)&gt;0,"↑","↓"),"")</f>
        <v/>
      </c>
      <c r="B1044" s="32">
        <f>IF(J1044="H",CHOOSE(WEEKDAY(T1044,2),"Isnin","Selasa","Rabu","Khamis","Jumaat","Sabtu","Ahad")&amp;", "&amp;DAY(T1044)&amp;" "&amp;CHOOSE(MONTH(T1044),"Jan","Feb","Mac","Apr","Mei","Jun","Jul","Ogo","Sep","Okt","Nov","Dis")&amp;" "&amp;YEAR(T1044),IF(J1044="E",IF(INDEX(Transaksi!$B$2:$B$2001,K1044)="",INDEX(Transaksi!$C$2:$C$2001,K1044)&amp;" · "&amp;INDEX(Transaksi!$D$2:$D$2001,K1044),INDEX(Transaksi!$B$2:$B$2001,K1044)),""))</f>
        <v/>
      </c>
      <c r="C1044" s="32">
        <f>IF(J1044="E",INDEX(Transaksi!$C$2:$C$2001,K1044)&amp;"","")</f>
        <v/>
      </c>
      <c r="D1044" s="32">
        <f>IF(J1044="E",INDEX(Transaksi!$D$2:$D$2001,K1044)&amp;"","")</f>
        <v/>
      </c>
      <c r="E1044" s="33">
        <f>IF(J1044="H",SUMIFS(Transaksi!$G$2:$G$2001,Transaksi!$M$2:$M$2001,"="&amp;S1044)+SUMIFS(Transaksi!$H$2:$H$2001,Transaksi!$M$2:$M$2001,"="&amp;S1044)+SUMIFS(Transaksi!$I$2:$I$2001,Transaksi!$M$2:$M$2001,"="&amp;S1044),IF(J1044="E",IF(INDEX(Transaksi!$G$2:$G$2001,K1044)+INDEX(Transaksi!$H$2:$H$2001,K1044)+INDEX(Transaksi!$I$2:$I$2001,K1044)=0,"",INDEX(Transaksi!$G$2:$G$2001,K1044)+INDEX(Transaksi!$H$2:$H$2001,K1044)+INDEX(Transaksi!$I$2:$I$2001,K1044)),""))</f>
        <v/>
      </c>
      <c r="F1044" s="33">
        <f>IF(J1044="H",SUMIFS(Transaksi!$J$2:$J$2001,Transaksi!$M$2:$M$2001,"="&amp;S1044),IF(J1044="E",IF(INDEX(Transaksi!$J$2:$J$2001,K1044)=0,"",INDEX(Transaksi!$J$2:$J$2001,K1044)),""))</f>
        <v/>
      </c>
      <c r="G1044" s="33">
        <f>IF(J1044="H",(SUMIFS(Transaksi!$G$2:$G$2001,Transaksi!$M$2:$M$2001,"&lt;="&amp;S1044)+SUMIFS(Transaksi!$H$2:$H$2001,Transaksi!$M$2:$M$2001,"&lt;="&amp;S1044)+SUMIFS(Transaksi!$I$2:$I$2001,Transaksi!$M$2:$M$2001,"&lt;="&amp;S1044))-(SUMIFS(Transaksi!$J$2:$J$2001,Transaksi!$M$2:$M$2001,"&lt;="&amp;S1044)),"")</f>
        <v/>
      </c>
      <c r="I1044">
        <f>IF(1041&gt;$O$2,"",MATCH(1041,$Q$3:$Q$402,1))</f>
        <v/>
      </c>
      <c r="J1044">
        <f>IF(I1044="","",IF(1041=INDEX($Q$3:$Q$402,I1044),"H","E"))</f>
        <v/>
      </c>
      <c r="K1044">
        <f>IF(J1044&lt;&gt;"E","",MATCH(S1044,Transaksi!$M$2:$M$2001,0)+1041-INDEX($Q$3:$Q$402,I1044)-1)</f>
        <v/>
      </c>
      <c r="S1044">
        <f>IF(I1044="","",INDEX($O$3:$O$402,I1044))</f>
        <v/>
      </c>
      <c r="T1044">
        <f>IF(J1044&lt;&gt;"H","",INDEX(Transaksi!$A$2:$A$2001,MATCH(S1044,Transaksi!$M$2:$M$2001,0)))</f>
        <v/>
      </c>
    </row>
    <row r="1045">
      <c r="A1045" s="31">
        <f>IF(J1045="E",IF(INDEX(Transaksi!$J$2:$J$2001,K1045)&gt;0,"↑","↓"),"")</f>
        <v/>
      </c>
      <c r="B1045" s="32">
        <f>IF(J1045="H",CHOOSE(WEEKDAY(T1045,2),"Isnin","Selasa","Rabu","Khamis","Jumaat","Sabtu","Ahad")&amp;", "&amp;DAY(T1045)&amp;" "&amp;CHOOSE(MONTH(T1045),"Jan","Feb","Mac","Apr","Mei","Jun","Jul","Ogo","Sep","Okt","Nov","Dis")&amp;" "&amp;YEAR(T1045),IF(J1045="E",IF(INDEX(Transaksi!$B$2:$B$2001,K1045)="",INDEX(Transaksi!$C$2:$C$2001,K1045)&amp;" · "&amp;INDEX(Transaksi!$D$2:$D$2001,K1045),INDEX(Transaksi!$B$2:$B$2001,K1045)),""))</f>
        <v/>
      </c>
      <c r="C1045" s="32">
        <f>IF(J1045="E",INDEX(Transaksi!$C$2:$C$2001,K1045)&amp;"","")</f>
        <v/>
      </c>
      <c r="D1045" s="32">
        <f>IF(J1045="E",INDEX(Transaksi!$D$2:$D$2001,K1045)&amp;"","")</f>
        <v/>
      </c>
      <c r="E1045" s="33">
        <f>IF(J1045="H",SUMIFS(Transaksi!$G$2:$G$2001,Transaksi!$M$2:$M$2001,"="&amp;S1045)+SUMIFS(Transaksi!$H$2:$H$2001,Transaksi!$M$2:$M$2001,"="&amp;S1045)+SUMIFS(Transaksi!$I$2:$I$2001,Transaksi!$M$2:$M$2001,"="&amp;S1045),IF(J1045="E",IF(INDEX(Transaksi!$G$2:$G$2001,K1045)+INDEX(Transaksi!$H$2:$H$2001,K1045)+INDEX(Transaksi!$I$2:$I$2001,K1045)=0,"",INDEX(Transaksi!$G$2:$G$2001,K1045)+INDEX(Transaksi!$H$2:$H$2001,K1045)+INDEX(Transaksi!$I$2:$I$2001,K1045)),""))</f>
        <v/>
      </c>
      <c r="F1045" s="33">
        <f>IF(J1045="H",SUMIFS(Transaksi!$J$2:$J$2001,Transaksi!$M$2:$M$2001,"="&amp;S1045),IF(J1045="E",IF(INDEX(Transaksi!$J$2:$J$2001,K1045)=0,"",INDEX(Transaksi!$J$2:$J$2001,K1045)),""))</f>
        <v/>
      </c>
      <c r="G1045" s="33">
        <f>IF(J1045="H",(SUMIFS(Transaksi!$G$2:$G$2001,Transaksi!$M$2:$M$2001,"&lt;="&amp;S1045)+SUMIFS(Transaksi!$H$2:$H$2001,Transaksi!$M$2:$M$2001,"&lt;="&amp;S1045)+SUMIFS(Transaksi!$I$2:$I$2001,Transaksi!$M$2:$M$2001,"&lt;="&amp;S1045))-(SUMIFS(Transaksi!$J$2:$J$2001,Transaksi!$M$2:$M$2001,"&lt;="&amp;S1045)),"")</f>
        <v/>
      </c>
      <c r="I1045">
        <f>IF(1042&gt;$O$2,"",MATCH(1042,$Q$3:$Q$402,1))</f>
        <v/>
      </c>
      <c r="J1045">
        <f>IF(I1045="","",IF(1042=INDEX($Q$3:$Q$402,I1045),"H","E"))</f>
        <v/>
      </c>
      <c r="K1045">
        <f>IF(J1045&lt;&gt;"E","",MATCH(S1045,Transaksi!$M$2:$M$2001,0)+1042-INDEX($Q$3:$Q$402,I1045)-1)</f>
        <v/>
      </c>
      <c r="S1045">
        <f>IF(I1045="","",INDEX($O$3:$O$402,I1045))</f>
        <v/>
      </c>
      <c r="T1045">
        <f>IF(J1045&lt;&gt;"H","",INDEX(Transaksi!$A$2:$A$2001,MATCH(S1045,Transaksi!$M$2:$M$2001,0)))</f>
        <v/>
      </c>
    </row>
    <row r="1046">
      <c r="A1046" s="31">
        <f>IF(J1046="E",IF(INDEX(Transaksi!$J$2:$J$2001,K1046)&gt;0,"↑","↓"),"")</f>
        <v/>
      </c>
      <c r="B1046" s="32">
        <f>IF(J1046="H",CHOOSE(WEEKDAY(T1046,2),"Isnin","Selasa","Rabu","Khamis","Jumaat","Sabtu","Ahad")&amp;", "&amp;DAY(T1046)&amp;" "&amp;CHOOSE(MONTH(T1046),"Jan","Feb","Mac","Apr","Mei","Jun","Jul","Ogo","Sep","Okt","Nov","Dis")&amp;" "&amp;YEAR(T1046),IF(J1046="E",IF(INDEX(Transaksi!$B$2:$B$2001,K1046)="",INDEX(Transaksi!$C$2:$C$2001,K1046)&amp;" · "&amp;INDEX(Transaksi!$D$2:$D$2001,K1046),INDEX(Transaksi!$B$2:$B$2001,K1046)),""))</f>
        <v/>
      </c>
      <c r="C1046" s="32">
        <f>IF(J1046="E",INDEX(Transaksi!$C$2:$C$2001,K1046)&amp;"","")</f>
        <v/>
      </c>
      <c r="D1046" s="32">
        <f>IF(J1046="E",INDEX(Transaksi!$D$2:$D$2001,K1046)&amp;"","")</f>
        <v/>
      </c>
      <c r="E1046" s="33">
        <f>IF(J1046="H",SUMIFS(Transaksi!$G$2:$G$2001,Transaksi!$M$2:$M$2001,"="&amp;S1046)+SUMIFS(Transaksi!$H$2:$H$2001,Transaksi!$M$2:$M$2001,"="&amp;S1046)+SUMIFS(Transaksi!$I$2:$I$2001,Transaksi!$M$2:$M$2001,"="&amp;S1046),IF(J1046="E",IF(INDEX(Transaksi!$G$2:$G$2001,K1046)+INDEX(Transaksi!$H$2:$H$2001,K1046)+INDEX(Transaksi!$I$2:$I$2001,K1046)=0,"",INDEX(Transaksi!$G$2:$G$2001,K1046)+INDEX(Transaksi!$H$2:$H$2001,K1046)+INDEX(Transaksi!$I$2:$I$2001,K1046)),""))</f>
        <v/>
      </c>
      <c r="F1046" s="33">
        <f>IF(J1046="H",SUMIFS(Transaksi!$J$2:$J$2001,Transaksi!$M$2:$M$2001,"="&amp;S1046),IF(J1046="E",IF(INDEX(Transaksi!$J$2:$J$2001,K1046)=0,"",INDEX(Transaksi!$J$2:$J$2001,K1046)),""))</f>
        <v/>
      </c>
      <c r="G1046" s="33">
        <f>IF(J1046="H",(SUMIFS(Transaksi!$G$2:$G$2001,Transaksi!$M$2:$M$2001,"&lt;="&amp;S1046)+SUMIFS(Transaksi!$H$2:$H$2001,Transaksi!$M$2:$M$2001,"&lt;="&amp;S1046)+SUMIFS(Transaksi!$I$2:$I$2001,Transaksi!$M$2:$M$2001,"&lt;="&amp;S1046))-(SUMIFS(Transaksi!$J$2:$J$2001,Transaksi!$M$2:$M$2001,"&lt;="&amp;S1046)),"")</f>
        <v/>
      </c>
      <c r="I1046">
        <f>IF(1043&gt;$O$2,"",MATCH(1043,$Q$3:$Q$402,1))</f>
        <v/>
      </c>
      <c r="J1046">
        <f>IF(I1046="","",IF(1043=INDEX($Q$3:$Q$402,I1046),"H","E"))</f>
        <v/>
      </c>
      <c r="K1046">
        <f>IF(J1046&lt;&gt;"E","",MATCH(S1046,Transaksi!$M$2:$M$2001,0)+1043-INDEX($Q$3:$Q$402,I1046)-1)</f>
        <v/>
      </c>
      <c r="S1046">
        <f>IF(I1046="","",INDEX($O$3:$O$402,I1046))</f>
        <v/>
      </c>
      <c r="T1046">
        <f>IF(J1046&lt;&gt;"H","",INDEX(Transaksi!$A$2:$A$2001,MATCH(S1046,Transaksi!$M$2:$M$2001,0)))</f>
        <v/>
      </c>
    </row>
    <row r="1047">
      <c r="A1047" s="31">
        <f>IF(J1047="E",IF(INDEX(Transaksi!$J$2:$J$2001,K1047)&gt;0,"↑","↓"),"")</f>
        <v/>
      </c>
      <c r="B1047" s="32">
        <f>IF(J1047="H",CHOOSE(WEEKDAY(T1047,2),"Isnin","Selasa","Rabu","Khamis","Jumaat","Sabtu","Ahad")&amp;", "&amp;DAY(T1047)&amp;" "&amp;CHOOSE(MONTH(T1047),"Jan","Feb","Mac","Apr","Mei","Jun","Jul","Ogo","Sep","Okt","Nov","Dis")&amp;" "&amp;YEAR(T1047),IF(J1047="E",IF(INDEX(Transaksi!$B$2:$B$2001,K1047)="",INDEX(Transaksi!$C$2:$C$2001,K1047)&amp;" · "&amp;INDEX(Transaksi!$D$2:$D$2001,K1047),INDEX(Transaksi!$B$2:$B$2001,K1047)),""))</f>
        <v/>
      </c>
      <c r="C1047" s="32">
        <f>IF(J1047="E",INDEX(Transaksi!$C$2:$C$2001,K1047)&amp;"","")</f>
        <v/>
      </c>
      <c r="D1047" s="32">
        <f>IF(J1047="E",INDEX(Transaksi!$D$2:$D$2001,K1047)&amp;"","")</f>
        <v/>
      </c>
      <c r="E1047" s="33">
        <f>IF(J1047="H",SUMIFS(Transaksi!$G$2:$G$2001,Transaksi!$M$2:$M$2001,"="&amp;S1047)+SUMIFS(Transaksi!$H$2:$H$2001,Transaksi!$M$2:$M$2001,"="&amp;S1047)+SUMIFS(Transaksi!$I$2:$I$2001,Transaksi!$M$2:$M$2001,"="&amp;S1047),IF(J1047="E",IF(INDEX(Transaksi!$G$2:$G$2001,K1047)+INDEX(Transaksi!$H$2:$H$2001,K1047)+INDEX(Transaksi!$I$2:$I$2001,K1047)=0,"",INDEX(Transaksi!$G$2:$G$2001,K1047)+INDEX(Transaksi!$H$2:$H$2001,K1047)+INDEX(Transaksi!$I$2:$I$2001,K1047)),""))</f>
        <v/>
      </c>
      <c r="F1047" s="33">
        <f>IF(J1047="H",SUMIFS(Transaksi!$J$2:$J$2001,Transaksi!$M$2:$M$2001,"="&amp;S1047),IF(J1047="E",IF(INDEX(Transaksi!$J$2:$J$2001,K1047)=0,"",INDEX(Transaksi!$J$2:$J$2001,K1047)),""))</f>
        <v/>
      </c>
      <c r="G1047" s="33">
        <f>IF(J1047="H",(SUMIFS(Transaksi!$G$2:$G$2001,Transaksi!$M$2:$M$2001,"&lt;="&amp;S1047)+SUMIFS(Transaksi!$H$2:$H$2001,Transaksi!$M$2:$M$2001,"&lt;="&amp;S1047)+SUMIFS(Transaksi!$I$2:$I$2001,Transaksi!$M$2:$M$2001,"&lt;="&amp;S1047))-(SUMIFS(Transaksi!$J$2:$J$2001,Transaksi!$M$2:$M$2001,"&lt;="&amp;S1047)),"")</f>
        <v/>
      </c>
      <c r="I1047">
        <f>IF(1044&gt;$O$2,"",MATCH(1044,$Q$3:$Q$402,1))</f>
        <v/>
      </c>
      <c r="J1047">
        <f>IF(I1047="","",IF(1044=INDEX($Q$3:$Q$402,I1047),"H","E"))</f>
        <v/>
      </c>
      <c r="K1047">
        <f>IF(J1047&lt;&gt;"E","",MATCH(S1047,Transaksi!$M$2:$M$2001,0)+1044-INDEX($Q$3:$Q$402,I1047)-1)</f>
        <v/>
      </c>
      <c r="S1047">
        <f>IF(I1047="","",INDEX($O$3:$O$402,I1047))</f>
        <v/>
      </c>
      <c r="T1047">
        <f>IF(J1047&lt;&gt;"H","",INDEX(Transaksi!$A$2:$A$2001,MATCH(S1047,Transaksi!$M$2:$M$2001,0)))</f>
        <v/>
      </c>
    </row>
    <row r="1048">
      <c r="A1048" s="31">
        <f>IF(J1048="E",IF(INDEX(Transaksi!$J$2:$J$2001,K1048)&gt;0,"↑","↓"),"")</f>
        <v/>
      </c>
      <c r="B1048" s="32">
        <f>IF(J1048="H",CHOOSE(WEEKDAY(T1048,2),"Isnin","Selasa","Rabu","Khamis","Jumaat","Sabtu","Ahad")&amp;", "&amp;DAY(T1048)&amp;" "&amp;CHOOSE(MONTH(T1048),"Jan","Feb","Mac","Apr","Mei","Jun","Jul","Ogo","Sep","Okt","Nov","Dis")&amp;" "&amp;YEAR(T1048),IF(J1048="E",IF(INDEX(Transaksi!$B$2:$B$2001,K1048)="",INDEX(Transaksi!$C$2:$C$2001,K1048)&amp;" · "&amp;INDEX(Transaksi!$D$2:$D$2001,K1048),INDEX(Transaksi!$B$2:$B$2001,K1048)),""))</f>
        <v/>
      </c>
      <c r="C1048" s="32">
        <f>IF(J1048="E",INDEX(Transaksi!$C$2:$C$2001,K1048)&amp;"","")</f>
        <v/>
      </c>
      <c r="D1048" s="32">
        <f>IF(J1048="E",INDEX(Transaksi!$D$2:$D$2001,K1048)&amp;"","")</f>
        <v/>
      </c>
      <c r="E1048" s="33">
        <f>IF(J1048="H",SUMIFS(Transaksi!$G$2:$G$2001,Transaksi!$M$2:$M$2001,"="&amp;S1048)+SUMIFS(Transaksi!$H$2:$H$2001,Transaksi!$M$2:$M$2001,"="&amp;S1048)+SUMIFS(Transaksi!$I$2:$I$2001,Transaksi!$M$2:$M$2001,"="&amp;S1048),IF(J1048="E",IF(INDEX(Transaksi!$G$2:$G$2001,K1048)+INDEX(Transaksi!$H$2:$H$2001,K1048)+INDEX(Transaksi!$I$2:$I$2001,K1048)=0,"",INDEX(Transaksi!$G$2:$G$2001,K1048)+INDEX(Transaksi!$H$2:$H$2001,K1048)+INDEX(Transaksi!$I$2:$I$2001,K1048)),""))</f>
        <v/>
      </c>
      <c r="F1048" s="33">
        <f>IF(J1048="H",SUMIFS(Transaksi!$J$2:$J$2001,Transaksi!$M$2:$M$2001,"="&amp;S1048),IF(J1048="E",IF(INDEX(Transaksi!$J$2:$J$2001,K1048)=0,"",INDEX(Transaksi!$J$2:$J$2001,K1048)),""))</f>
        <v/>
      </c>
      <c r="G1048" s="33">
        <f>IF(J1048="H",(SUMIFS(Transaksi!$G$2:$G$2001,Transaksi!$M$2:$M$2001,"&lt;="&amp;S1048)+SUMIFS(Transaksi!$H$2:$H$2001,Transaksi!$M$2:$M$2001,"&lt;="&amp;S1048)+SUMIFS(Transaksi!$I$2:$I$2001,Transaksi!$M$2:$M$2001,"&lt;="&amp;S1048))-(SUMIFS(Transaksi!$J$2:$J$2001,Transaksi!$M$2:$M$2001,"&lt;="&amp;S1048)),"")</f>
        <v/>
      </c>
      <c r="I1048">
        <f>IF(1045&gt;$O$2,"",MATCH(1045,$Q$3:$Q$402,1))</f>
        <v/>
      </c>
      <c r="J1048">
        <f>IF(I1048="","",IF(1045=INDEX($Q$3:$Q$402,I1048),"H","E"))</f>
        <v/>
      </c>
      <c r="K1048">
        <f>IF(J1048&lt;&gt;"E","",MATCH(S1048,Transaksi!$M$2:$M$2001,0)+1045-INDEX($Q$3:$Q$402,I1048)-1)</f>
        <v/>
      </c>
      <c r="S1048">
        <f>IF(I1048="","",INDEX($O$3:$O$402,I1048))</f>
        <v/>
      </c>
      <c r="T1048">
        <f>IF(J1048&lt;&gt;"H","",INDEX(Transaksi!$A$2:$A$2001,MATCH(S1048,Transaksi!$M$2:$M$2001,0)))</f>
        <v/>
      </c>
    </row>
    <row r="1049">
      <c r="A1049" s="31">
        <f>IF(J1049="E",IF(INDEX(Transaksi!$J$2:$J$2001,K1049)&gt;0,"↑","↓"),"")</f>
        <v/>
      </c>
      <c r="B1049" s="32">
        <f>IF(J1049="H",CHOOSE(WEEKDAY(T1049,2),"Isnin","Selasa","Rabu","Khamis","Jumaat","Sabtu","Ahad")&amp;", "&amp;DAY(T1049)&amp;" "&amp;CHOOSE(MONTH(T1049),"Jan","Feb","Mac","Apr","Mei","Jun","Jul","Ogo","Sep","Okt","Nov","Dis")&amp;" "&amp;YEAR(T1049),IF(J1049="E",IF(INDEX(Transaksi!$B$2:$B$2001,K1049)="",INDEX(Transaksi!$C$2:$C$2001,K1049)&amp;" · "&amp;INDEX(Transaksi!$D$2:$D$2001,K1049),INDEX(Transaksi!$B$2:$B$2001,K1049)),""))</f>
        <v/>
      </c>
      <c r="C1049" s="32">
        <f>IF(J1049="E",INDEX(Transaksi!$C$2:$C$2001,K1049)&amp;"","")</f>
        <v/>
      </c>
      <c r="D1049" s="32">
        <f>IF(J1049="E",INDEX(Transaksi!$D$2:$D$2001,K1049)&amp;"","")</f>
        <v/>
      </c>
      <c r="E1049" s="33">
        <f>IF(J1049="H",SUMIFS(Transaksi!$G$2:$G$2001,Transaksi!$M$2:$M$2001,"="&amp;S1049)+SUMIFS(Transaksi!$H$2:$H$2001,Transaksi!$M$2:$M$2001,"="&amp;S1049)+SUMIFS(Transaksi!$I$2:$I$2001,Transaksi!$M$2:$M$2001,"="&amp;S1049),IF(J1049="E",IF(INDEX(Transaksi!$G$2:$G$2001,K1049)+INDEX(Transaksi!$H$2:$H$2001,K1049)+INDEX(Transaksi!$I$2:$I$2001,K1049)=0,"",INDEX(Transaksi!$G$2:$G$2001,K1049)+INDEX(Transaksi!$H$2:$H$2001,K1049)+INDEX(Transaksi!$I$2:$I$2001,K1049)),""))</f>
        <v/>
      </c>
      <c r="F1049" s="33">
        <f>IF(J1049="H",SUMIFS(Transaksi!$J$2:$J$2001,Transaksi!$M$2:$M$2001,"="&amp;S1049),IF(J1049="E",IF(INDEX(Transaksi!$J$2:$J$2001,K1049)=0,"",INDEX(Transaksi!$J$2:$J$2001,K1049)),""))</f>
        <v/>
      </c>
      <c r="G1049" s="33">
        <f>IF(J1049="H",(SUMIFS(Transaksi!$G$2:$G$2001,Transaksi!$M$2:$M$2001,"&lt;="&amp;S1049)+SUMIFS(Transaksi!$H$2:$H$2001,Transaksi!$M$2:$M$2001,"&lt;="&amp;S1049)+SUMIFS(Transaksi!$I$2:$I$2001,Transaksi!$M$2:$M$2001,"&lt;="&amp;S1049))-(SUMIFS(Transaksi!$J$2:$J$2001,Transaksi!$M$2:$M$2001,"&lt;="&amp;S1049)),"")</f>
        <v/>
      </c>
      <c r="I1049">
        <f>IF(1046&gt;$O$2,"",MATCH(1046,$Q$3:$Q$402,1))</f>
        <v/>
      </c>
      <c r="J1049">
        <f>IF(I1049="","",IF(1046=INDEX($Q$3:$Q$402,I1049),"H","E"))</f>
        <v/>
      </c>
      <c r="K1049">
        <f>IF(J1049&lt;&gt;"E","",MATCH(S1049,Transaksi!$M$2:$M$2001,0)+1046-INDEX($Q$3:$Q$402,I1049)-1)</f>
        <v/>
      </c>
      <c r="S1049">
        <f>IF(I1049="","",INDEX($O$3:$O$402,I1049))</f>
        <v/>
      </c>
      <c r="T1049">
        <f>IF(J1049&lt;&gt;"H","",INDEX(Transaksi!$A$2:$A$2001,MATCH(S1049,Transaksi!$M$2:$M$2001,0)))</f>
        <v/>
      </c>
    </row>
    <row r="1050">
      <c r="A1050" s="31">
        <f>IF(J1050="E",IF(INDEX(Transaksi!$J$2:$J$2001,K1050)&gt;0,"↑","↓"),"")</f>
        <v/>
      </c>
      <c r="B1050" s="32">
        <f>IF(J1050="H",CHOOSE(WEEKDAY(T1050,2),"Isnin","Selasa","Rabu","Khamis","Jumaat","Sabtu","Ahad")&amp;", "&amp;DAY(T1050)&amp;" "&amp;CHOOSE(MONTH(T1050),"Jan","Feb","Mac","Apr","Mei","Jun","Jul","Ogo","Sep","Okt","Nov","Dis")&amp;" "&amp;YEAR(T1050),IF(J1050="E",IF(INDEX(Transaksi!$B$2:$B$2001,K1050)="",INDEX(Transaksi!$C$2:$C$2001,K1050)&amp;" · "&amp;INDEX(Transaksi!$D$2:$D$2001,K1050),INDEX(Transaksi!$B$2:$B$2001,K1050)),""))</f>
        <v/>
      </c>
      <c r="C1050" s="32">
        <f>IF(J1050="E",INDEX(Transaksi!$C$2:$C$2001,K1050)&amp;"","")</f>
        <v/>
      </c>
      <c r="D1050" s="32">
        <f>IF(J1050="E",INDEX(Transaksi!$D$2:$D$2001,K1050)&amp;"","")</f>
        <v/>
      </c>
      <c r="E1050" s="33">
        <f>IF(J1050="H",SUMIFS(Transaksi!$G$2:$G$2001,Transaksi!$M$2:$M$2001,"="&amp;S1050)+SUMIFS(Transaksi!$H$2:$H$2001,Transaksi!$M$2:$M$2001,"="&amp;S1050)+SUMIFS(Transaksi!$I$2:$I$2001,Transaksi!$M$2:$M$2001,"="&amp;S1050),IF(J1050="E",IF(INDEX(Transaksi!$G$2:$G$2001,K1050)+INDEX(Transaksi!$H$2:$H$2001,K1050)+INDEX(Transaksi!$I$2:$I$2001,K1050)=0,"",INDEX(Transaksi!$G$2:$G$2001,K1050)+INDEX(Transaksi!$H$2:$H$2001,K1050)+INDEX(Transaksi!$I$2:$I$2001,K1050)),""))</f>
        <v/>
      </c>
      <c r="F1050" s="33">
        <f>IF(J1050="H",SUMIFS(Transaksi!$J$2:$J$2001,Transaksi!$M$2:$M$2001,"="&amp;S1050),IF(J1050="E",IF(INDEX(Transaksi!$J$2:$J$2001,K1050)=0,"",INDEX(Transaksi!$J$2:$J$2001,K1050)),""))</f>
        <v/>
      </c>
      <c r="G1050" s="33">
        <f>IF(J1050="H",(SUMIFS(Transaksi!$G$2:$G$2001,Transaksi!$M$2:$M$2001,"&lt;="&amp;S1050)+SUMIFS(Transaksi!$H$2:$H$2001,Transaksi!$M$2:$M$2001,"&lt;="&amp;S1050)+SUMIFS(Transaksi!$I$2:$I$2001,Transaksi!$M$2:$M$2001,"&lt;="&amp;S1050))-(SUMIFS(Transaksi!$J$2:$J$2001,Transaksi!$M$2:$M$2001,"&lt;="&amp;S1050)),"")</f>
        <v/>
      </c>
      <c r="I1050">
        <f>IF(1047&gt;$O$2,"",MATCH(1047,$Q$3:$Q$402,1))</f>
        <v/>
      </c>
      <c r="J1050">
        <f>IF(I1050="","",IF(1047=INDEX($Q$3:$Q$402,I1050),"H","E"))</f>
        <v/>
      </c>
      <c r="K1050">
        <f>IF(J1050&lt;&gt;"E","",MATCH(S1050,Transaksi!$M$2:$M$2001,0)+1047-INDEX($Q$3:$Q$402,I1050)-1)</f>
        <v/>
      </c>
      <c r="S1050">
        <f>IF(I1050="","",INDEX($O$3:$O$402,I1050))</f>
        <v/>
      </c>
      <c r="T1050">
        <f>IF(J1050&lt;&gt;"H","",INDEX(Transaksi!$A$2:$A$2001,MATCH(S1050,Transaksi!$M$2:$M$2001,0)))</f>
        <v/>
      </c>
    </row>
    <row r="1051">
      <c r="A1051" s="31">
        <f>IF(J1051="E",IF(INDEX(Transaksi!$J$2:$J$2001,K1051)&gt;0,"↑","↓"),"")</f>
        <v/>
      </c>
      <c r="B1051" s="32">
        <f>IF(J1051="H",CHOOSE(WEEKDAY(T1051,2),"Isnin","Selasa","Rabu","Khamis","Jumaat","Sabtu","Ahad")&amp;", "&amp;DAY(T1051)&amp;" "&amp;CHOOSE(MONTH(T1051),"Jan","Feb","Mac","Apr","Mei","Jun","Jul","Ogo","Sep","Okt","Nov","Dis")&amp;" "&amp;YEAR(T1051),IF(J1051="E",IF(INDEX(Transaksi!$B$2:$B$2001,K1051)="",INDEX(Transaksi!$C$2:$C$2001,K1051)&amp;" · "&amp;INDEX(Transaksi!$D$2:$D$2001,K1051),INDEX(Transaksi!$B$2:$B$2001,K1051)),""))</f>
        <v/>
      </c>
      <c r="C1051" s="32">
        <f>IF(J1051="E",INDEX(Transaksi!$C$2:$C$2001,K1051)&amp;"","")</f>
        <v/>
      </c>
      <c r="D1051" s="32">
        <f>IF(J1051="E",INDEX(Transaksi!$D$2:$D$2001,K1051)&amp;"","")</f>
        <v/>
      </c>
      <c r="E1051" s="33">
        <f>IF(J1051="H",SUMIFS(Transaksi!$G$2:$G$2001,Transaksi!$M$2:$M$2001,"="&amp;S1051)+SUMIFS(Transaksi!$H$2:$H$2001,Transaksi!$M$2:$M$2001,"="&amp;S1051)+SUMIFS(Transaksi!$I$2:$I$2001,Transaksi!$M$2:$M$2001,"="&amp;S1051),IF(J1051="E",IF(INDEX(Transaksi!$G$2:$G$2001,K1051)+INDEX(Transaksi!$H$2:$H$2001,K1051)+INDEX(Transaksi!$I$2:$I$2001,K1051)=0,"",INDEX(Transaksi!$G$2:$G$2001,K1051)+INDEX(Transaksi!$H$2:$H$2001,K1051)+INDEX(Transaksi!$I$2:$I$2001,K1051)),""))</f>
        <v/>
      </c>
      <c r="F1051" s="33">
        <f>IF(J1051="H",SUMIFS(Transaksi!$J$2:$J$2001,Transaksi!$M$2:$M$2001,"="&amp;S1051),IF(J1051="E",IF(INDEX(Transaksi!$J$2:$J$2001,K1051)=0,"",INDEX(Transaksi!$J$2:$J$2001,K1051)),""))</f>
        <v/>
      </c>
      <c r="G1051" s="33">
        <f>IF(J1051="H",(SUMIFS(Transaksi!$G$2:$G$2001,Transaksi!$M$2:$M$2001,"&lt;="&amp;S1051)+SUMIFS(Transaksi!$H$2:$H$2001,Transaksi!$M$2:$M$2001,"&lt;="&amp;S1051)+SUMIFS(Transaksi!$I$2:$I$2001,Transaksi!$M$2:$M$2001,"&lt;="&amp;S1051))-(SUMIFS(Transaksi!$J$2:$J$2001,Transaksi!$M$2:$M$2001,"&lt;="&amp;S1051)),"")</f>
        <v/>
      </c>
      <c r="I1051">
        <f>IF(1048&gt;$O$2,"",MATCH(1048,$Q$3:$Q$402,1))</f>
        <v/>
      </c>
      <c r="J1051">
        <f>IF(I1051="","",IF(1048=INDEX($Q$3:$Q$402,I1051),"H","E"))</f>
        <v/>
      </c>
      <c r="K1051">
        <f>IF(J1051&lt;&gt;"E","",MATCH(S1051,Transaksi!$M$2:$M$2001,0)+1048-INDEX($Q$3:$Q$402,I1051)-1)</f>
        <v/>
      </c>
      <c r="S1051">
        <f>IF(I1051="","",INDEX($O$3:$O$402,I1051))</f>
        <v/>
      </c>
      <c r="T1051">
        <f>IF(J1051&lt;&gt;"H","",INDEX(Transaksi!$A$2:$A$2001,MATCH(S1051,Transaksi!$M$2:$M$2001,0)))</f>
        <v/>
      </c>
    </row>
    <row r="1052">
      <c r="A1052" s="31">
        <f>IF(J1052="E",IF(INDEX(Transaksi!$J$2:$J$2001,K1052)&gt;0,"↑","↓"),"")</f>
        <v/>
      </c>
      <c r="B1052" s="32">
        <f>IF(J1052="H",CHOOSE(WEEKDAY(T1052,2),"Isnin","Selasa","Rabu","Khamis","Jumaat","Sabtu","Ahad")&amp;", "&amp;DAY(T1052)&amp;" "&amp;CHOOSE(MONTH(T1052),"Jan","Feb","Mac","Apr","Mei","Jun","Jul","Ogo","Sep","Okt","Nov","Dis")&amp;" "&amp;YEAR(T1052),IF(J1052="E",IF(INDEX(Transaksi!$B$2:$B$2001,K1052)="",INDEX(Transaksi!$C$2:$C$2001,K1052)&amp;" · "&amp;INDEX(Transaksi!$D$2:$D$2001,K1052),INDEX(Transaksi!$B$2:$B$2001,K1052)),""))</f>
        <v/>
      </c>
      <c r="C1052" s="32">
        <f>IF(J1052="E",INDEX(Transaksi!$C$2:$C$2001,K1052)&amp;"","")</f>
        <v/>
      </c>
      <c r="D1052" s="32">
        <f>IF(J1052="E",INDEX(Transaksi!$D$2:$D$2001,K1052)&amp;"","")</f>
        <v/>
      </c>
      <c r="E1052" s="33">
        <f>IF(J1052="H",SUMIFS(Transaksi!$G$2:$G$2001,Transaksi!$M$2:$M$2001,"="&amp;S1052)+SUMIFS(Transaksi!$H$2:$H$2001,Transaksi!$M$2:$M$2001,"="&amp;S1052)+SUMIFS(Transaksi!$I$2:$I$2001,Transaksi!$M$2:$M$2001,"="&amp;S1052),IF(J1052="E",IF(INDEX(Transaksi!$G$2:$G$2001,K1052)+INDEX(Transaksi!$H$2:$H$2001,K1052)+INDEX(Transaksi!$I$2:$I$2001,K1052)=0,"",INDEX(Transaksi!$G$2:$G$2001,K1052)+INDEX(Transaksi!$H$2:$H$2001,K1052)+INDEX(Transaksi!$I$2:$I$2001,K1052)),""))</f>
        <v/>
      </c>
      <c r="F1052" s="33">
        <f>IF(J1052="H",SUMIFS(Transaksi!$J$2:$J$2001,Transaksi!$M$2:$M$2001,"="&amp;S1052),IF(J1052="E",IF(INDEX(Transaksi!$J$2:$J$2001,K1052)=0,"",INDEX(Transaksi!$J$2:$J$2001,K1052)),""))</f>
        <v/>
      </c>
      <c r="G1052" s="33">
        <f>IF(J1052="H",(SUMIFS(Transaksi!$G$2:$G$2001,Transaksi!$M$2:$M$2001,"&lt;="&amp;S1052)+SUMIFS(Transaksi!$H$2:$H$2001,Transaksi!$M$2:$M$2001,"&lt;="&amp;S1052)+SUMIFS(Transaksi!$I$2:$I$2001,Transaksi!$M$2:$M$2001,"&lt;="&amp;S1052))-(SUMIFS(Transaksi!$J$2:$J$2001,Transaksi!$M$2:$M$2001,"&lt;="&amp;S1052)),"")</f>
        <v/>
      </c>
      <c r="I1052">
        <f>IF(1049&gt;$O$2,"",MATCH(1049,$Q$3:$Q$402,1))</f>
        <v/>
      </c>
      <c r="J1052">
        <f>IF(I1052="","",IF(1049=INDEX($Q$3:$Q$402,I1052),"H","E"))</f>
        <v/>
      </c>
      <c r="K1052">
        <f>IF(J1052&lt;&gt;"E","",MATCH(S1052,Transaksi!$M$2:$M$2001,0)+1049-INDEX($Q$3:$Q$402,I1052)-1)</f>
        <v/>
      </c>
      <c r="S1052">
        <f>IF(I1052="","",INDEX($O$3:$O$402,I1052))</f>
        <v/>
      </c>
      <c r="T1052">
        <f>IF(J1052&lt;&gt;"H","",INDEX(Transaksi!$A$2:$A$2001,MATCH(S1052,Transaksi!$M$2:$M$2001,0)))</f>
        <v/>
      </c>
    </row>
    <row r="1053">
      <c r="A1053" s="31">
        <f>IF(J1053="E",IF(INDEX(Transaksi!$J$2:$J$2001,K1053)&gt;0,"↑","↓"),"")</f>
        <v/>
      </c>
      <c r="B1053" s="32">
        <f>IF(J1053="H",CHOOSE(WEEKDAY(T1053,2),"Isnin","Selasa","Rabu","Khamis","Jumaat","Sabtu","Ahad")&amp;", "&amp;DAY(T1053)&amp;" "&amp;CHOOSE(MONTH(T1053),"Jan","Feb","Mac","Apr","Mei","Jun","Jul","Ogo","Sep","Okt","Nov","Dis")&amp;" "&amp;YEAR(T1053),IF(J1053="E",IF(INDEX(Transaksi!$B$2:$B$2001,K1053)="",INDEX(Transaksi!$C$2:$C$2001,K1053)&amp;" · "&amp;INDEX(Transaksi!$D$2:$D$2001,K1053),INDEX(Transaksi!$B$2:$B$2001,K1053)),""))</f>
        <v/>
      </c>
      <c r="C1053" s="32">
        <f>IF(J1053="E",INDEX(Transaksi!$C$2:$C$2001,K1053)&amp;"","")</f>
        <v/>
      </c>
      <c r="D1053" s="32">
        <f>IF(J1053="E",INDEX(Transaksi!$D$2:$D$2001,K1053)&amp;"","")</f>
        <v/>
      </c>
      <c r="E1053" s="33">
        <f>IF(J1053="H",SUMIFS(Transaksi!$G$2:$G$2001,Transaksi!$M$2:$M$2001,"="&amp;S1053)+SUMIFS(Transaksi!$H$2:$H$2001,Transaksi!$M$2:$M$2001,"="&amp;S1053)+SUMIFS(Transaksi!$I$2:$I$2001,Transaksi!$M$2:$M$2001,"="&amp;S1053),IF(J1053="E",IF(INDEX(Transaksi!$G$2:$G$2001,K1053)+INDEX(Transaksi!$H$2:$H$2001,K1053)+INDEX(Transaksi!$I$2:$I$2001,K1053)=0,"",INDEX(Transaksi!$G$2:$G$2001,K1053)+INDEX(Transaksi!$H$2:$H$2001,K1053)+INDEX(Transaksi!$I$2:$I$2001,K1053)),""))</f>
        <v/>
      </c>
      <c r="F1053" s="33">
        <f>IF(J1053="H",SUMIFS(Transaksi!$J$2:$J$2001,Transaksi!$M$2:$M$2001,"="&amp;S1053),IF(J1053="E",IF(INDEX(Transaksi!$J$2:$J$2001,K1053)=0,"",INDEX(Transaksi!$J$2:$J$2001,K1053)),""))</f>
        <v/>
      </c>
      <c r="G1053" s="33">
        <f>IF(J1053="H",(SUMIFS(Transaksi!$G$2:$G$2001,Transaksi!$M$2:$M$2001,"&lt;="&amp;S1053)+SUMIFS(Transaksi!$H$2:$H$2001,Transaksi!$M$2:$M$2001,"&lt;="&amp;S1053)+SUMIFS(Transaksi!$I$2:$I$2001,Transaksi!$M$2:$M$2001,"&lt;="&amp;S1053))-(SUMIFS(Transaksi!$J$2:$J$2001,Transaksi!$M$2:$M$2001,"&lt;="&amp;S1053)),"")</f>
        <v/>
      </c>
      <c r="I1053">
        <f>IF(1050&gt;$O$2,"",MATCH(1050,$Q$3:$Q$402,1))</f>
        <v/>
      </c>
      <c r="J1053">
        <f>IF(I1053="","",IF(1050=INDEX($Q$3:$Q$402,I1053),"H","E"))</f>
        <v/>
      </c>
      <c r="K1053">
        <f>IF(J1053&lt;&gt;"E","",MATCH(S1053,Transaksi!$M$2:$M$2001,0)+1050-INDEX($Q$3:$Q$402,I1053)-1)</f>
        <v/>
      </c>
      <c r="S1053">
        <f>IF(I1053="","",INDEX($O$3:$O$402,I1053))</f>
        <v/>
      </c>
      <c r="T1053">
        <f>IF(J1053&lt;&gt;"H","",INDEX(Transaksi!$A$2:$A$2001,MATCH(S1053,Transaksi!$M$2:$M$2001,0)))</f>
        <v/>
      </c>
    </row>
    <row r="1054">
      <c r="A1054" s="31">
        <f>IF(J1054="E",IF(INDEX(Transaksi!$J$2:$J$2001,K1054)&gt;0,"↑","↓"),"")</f>
        <v/>
      </c>
      <c r="B1054" s="32">
        <f>IF(J1054="H",CHOOSE(WEEKDAY(T1054,2),"Isnin","Selasa","Rabu","Khamis","Jumaat","Sabtu","Ahad")&amp;", "&amp;DAY(T1054)&amp;" "&amp;CHOOSE(MONTH(T1054),"Jan","Feb","Mac","Apr","Mei","Jun","Jul","Ogo","Sep","Okt","Nov","Dis")&amp;" "&amp;YEAR(T1054),IF(J1054="E",IF(INDEX(Transaksi!$B$2:$B$2001,K1054)="",INDEX(Transaksi!$C$2:$C$2001,K1054)&amp;" · "&amp;INDEX(Transaksi!$D$2:$D$2001,K1054),INDEX(Transaksi!$B$2:$B$2001,K1054)),""))</f>
        <v/>
      </c>
      <c r="C1054" s="32">
        <f>IF(J1054="E",INDEX(Transaksi!$C$2:$C$2001,K1054)&amp;"","")</f>
        <v/>
      </c>
      <c r="D1054" s="32">
        <f>IF(J1054="E",INDEX(Transaksi!$D$2:$D$2001,K1054)&amp;"","")</f>
        <v/>
      </c>
      <c r="E1054" s="33">
        <f>IF(J1054="H",SUMIFS(Transaksi!$G$2:$G$2001,Transaksi!$M$2:$M$2001,"="&amp;S1054)+SUMIFS(Transaksi!$H$2:$H$2001,Transaksi!$M$2:$M$2001,"="&amp;S1054)+SUMIFS(Transaksi!$I$2:$I$2001,Transaksi!$M$2:$M$2001,"="&amp;S1054),IF(J1054="E",IF(INDEX(Transaksi!$G$2:$G$2001,K1054)+INDEX(Transaksi!$H$2:$H$2001,K1054)+INDEX(Transaksi!$I$2:$I$2001,K1054)=0,"",INDEX(Transaksi!$G$2:$G$2001,K1054)+INDEX(Transaksi!$H$2:$H$2001,K1054)+INDEX(Transaksi!$I$2:$I$2001,K1054)),""))</f>
        <v/>
      </c>
      <c r="F1054" s="33">
        <f>IF(J1054="H",SUMIFS(Transaksi!$J$2:$J$2001,Transaksi!$M$2:$M$2001,"="&amp;S1054),IF(J1054="E",IF(INDEX(Transaksi!$J$2:$J$2001,K1054)=0,"",INDEX(Transaksi!$J$2:$J$2001,K1054)),""))</f>
        <v/>
      </c>
      <c r="G1054" s="33">
        <f>IF(J1054="H",(SUMIFS(Transaksi!$G$2:$G$2001,Transaksi!$M$2:$M$2001,"&lt;="&amp;S1054)+SUMIFS(Transaksi!$H$2:$H$2001,Transaksi!$M$2:$M$2001,"&lt;="&amp;S1054)+SUMIFS(Transaksi!$I$2:$I$2001,Transaksi!$M$2:$M$2001,"&lt;="&amp;S1054))-(SUMIFS(Transaksi!$J$2:$J$2001,Transaksi!$M$2:$M$2001,"&lt;="&amp;S1054)),"")</f>
        <v/>
      </c>
      <c r="I1054">
        <f>IF(1051&gt;$O$2,"",MATCH(1051,$Q$3:$Q$402,1))</f>
        <v/>
      </c>
      <c r="J1054">
        <f>IF(I1054="","",IF(1051=INDEX($Q$3:$Q$402,I1054),"H","E"))</f>
        <v/>
      </c>
      <c r="K1054">
        <f>IF(J1054&lt;&gt;"E","",MATCH(S1054,Transaksi!$M$2:$M$2001,0)+1051-INDEX($Q$3:$Q$402,I1054)-1)</f>
        <v/>
      </c>
      <c r="S1054">
        <f>IF(I1054="","",INDEX($O$3:$O$402,I1054))</f>
        <v/>
      </c>
      <c r="T1054">
        <f>IF(J1054&lt;&gt;"H","",INDEX(Transaksi!$A$2:$A$2001,MATCH(S1054,Transaksi!$M$2:$M$2001,0)))</f>
        <v/>
      </c>
    </row>
    <row r="1055">
      <c r="A1055" s="31">
        <f>IF(J1055="E",IF(INDEX(Transaksi!$J$2:$J$2001,K1055)&gt;0,"↑","↓"),"")</f>
        <v/>
      </c>
      <c r="B1055" s="32">
        <f>IF(J1055="H",CHOOSE(WEEKDAY(T1055,2),"Isnin","Selasa","Rabu","Khamis","Jumaat","Sabtu","Ahad")&amp;", "&amp;DAY(T1055)&amp;" "&amp;CHOOSE(MONTH(T1055),"Jan","Feb","Mac","Apr","Mei","Jun","Jul","Ogo","Sep","Okt","Nov","Dis")&amp;" "&amp;YEAR(T1055),IF(J1055="E",IF(INDEX(Transaksi!$B$2:$B$2001,K1055)="",INDEX(Transaksi!$C$2:$C$2001,K1055)&amp;" · "&amp;INDEX(Transaksi!$D$2:$D$2001,K1055),INDEX(Transaksi!$B$2:$B$2001,K1055)),""))</f>
        <v/>
      </c>
      <c r="C1055" s="32">
        <f>IF(J1055="E",INDEX(Transaksi!$C$2:$C$2001,K1055)&amp;"","")</f>
        <v/>
      </c>
      <c r="D1055" s="32">
        <f>IF(J1055="E",INDEX(Transaksi!$D$2:$D$2001,K1055)&amp;"","")</f>
        <v/>
      </c>
      <c r="E1055" s="33">
        <f>IF(J1055="H",SUMIFS(Transaksi!$G$2:$G$2001,Transaksi!$M$2:$M$2001,"="&amp;S1055)+SUMIFS(Transaksi!$H$2:$H$2001,Transaksi!$M$2:$M$2001,"="&amp;S1055)+SUMIFS(Transaksi!$I$2:$I$2001,Transaksi!$M$2:$M$2001,"="&amp;S1055),IF(J1055="E",IF(INDEX(Transaksi!$G$2:$G$2001,K1055)+INDEX(Transaksi!$H$2:$H$2001,K1055)+INDEX(Transaksi!$I$2:$I$2001,K1055)=0,"",INDEX(Transaksi!$G$2:$G$2001,K1055)+INDEX(Transaksi!$H$2:$H$2001,K1055)+INDEX(Transaksi!$I$2:$I$2001,K1055)),""))</f>
        <v/>
      </c>
      <c r="F1055" s="33">
        <f>IF(J1055="H",SUMIFS(Transaksi!$J$2:$J$2001,Transaksi!$M$2:$M$2001,"="&amp;S1055),IF(J1055="E",IF(INDEX(Transaksi!$J$2:$J$2001,K1055)=0,"",INDEX(Transaksi!$J$2:$J$2001,K1055)),""))</f>
        <v/>
      </c>
      <c r="G1055" s="33">
        <f>IF(J1055="H",(SUMIFS(Transaksi!$G$2:$G$2001,Transaksi!$M$2:$M$2001,"&lt;="&amp;S1055)+SUMIFS(Transaksi!$H$2:$H$2001,Transaksi!$M$2:$M$2001,"&lt;="&amp;S1055)+SUMIFS(Transaksi!$I$2:$I$2001,Transaksi!$M$2:$M$2001,"&lt;="&amp;S1055))-(SUMIFS(Transaksi!$J$2:$J$2001,Transaksi!$M$2:$M$2001,"&lt;="&amp;S1055)),"")</f>
        <v/>
      </c>
      <c r="I1055">
        <f>IF(1052&gt;$O$2,"",MATCH(1052,$Q$3:$Q$402,1))</f>
        <v/>
      </c>
      <c r="J1055">
        <f>IF(I1055="","",IF(1052=INDEX($Q$3:$Q$402,I1055),"H","E"))</f>
        <v/>
      </c>
      <c r="K1055">
        <f>IF(J1055&lt;&gt;"E","",MATCH(S1055,Transaksi!$M$2:$M$2001,0)+1052-INDEX($Q$3:$Q$402,I1055)-1)</f>
        <v/>
      </c>
      <c r="S1055">
        <f>IF(I1055="","",INDEX($O$3:$O$402,I1055))</f>
        <v/>
      </c>
      <c r="T1055">
        <f>IF(J1055&lt;&gt;"H","",INDEX(Transaksi!$A$2:$A$2001,MATCH(S1055,Transaksi!$M$2:$M$2001,0)))</f>
        <v/>
      </c>
    </row>
    <row r="1056">
      <c r="A1056" s="31">
        <f>IF(J1056="E",IF(INDEX(Transaksi!$J$2:$J$2001,K1056)&gt;0,"↑","↓"),"")</f>
        <v/>
      </c>
      <c r="B1056" s="32">
        <f>IF(J1056="H",CHOOSE(WEEKDAY(T1056,2),"Isnin","Selasa","Rabu","Khamis","Jumaat","Sabtu","Ahad")&amp;", "&amp;DAY(T1056)&amp;" "&amp;CHOOSE(MONTH(T1056),"Jan","Feb","Mac","Apr","Mei","Jun","Jul","Ogo","Sep","Okt","Nov","Dis")&amp;" "&amp;YEAR(T1056),IF(J1056="E",IF(INDEX(Transaksi!$B$2:$B$2001,K1056)="",INDEX(Transaksi!$C$2:$C$2001,K1056)&amp;" · "&amp;INDEX(Transaksi!$D$2:$D$2001,K1056),INDEX(Transaksi!$B$2:$B$2001,K1056)),""))</f>
        <v/>
      </c>
      <c r="C1056" s="32">
        <f>IF(J1056="E",INDEX(Transaksi!$C$2:$C$2001,K1056)&amp;"","")</f>
        <v/>
      </c>
      <c r="D1056" s="32">
        <f>IF(J1056="E",INDEX(Transaksi!$D$2:$D$2001,K1056)&amp;"","")</f>
        <v/>
      </c>
      <c r="E1056" s="33">
        <f>IF(J1056="H",SUMIFS(Transaksi!$G$2:$G$2001,Transaksi!$M$2:$M$2001,"="&amp;S1056)+SUMIFS(Transaksi!$H$2:$H$2001,Transaksi!$M$2:$M$2001,"="&amp;S1056)+SUMIFS(Transaksi!$I$2:$I$2001,Transaksi!$M$2:$M$2001,"="&amp;S1056),IF(J1056="E",IF(INDEX(Transaksi!$G$2:$G$2001,K1056)+INDEX(Transaksi!$H$2:$H$2001,K1056)+INDEX(Transaksi!$I$2:$I$2001,K1056)=0,"",INDEX(Transaksi!$G$2:$G$2001,K1056)+INDEX(Transaksi!$H$2:$H$2001,K1056)+INDEX(Transaksi!$I$2:$I$2001,K1056)),""))</f>
        <v/>
      </c>
      <c r="F1056" s="33">
        <f>IF(J1056="H",SUMIFS(Transaksi!$J$2:$J$2001,Transaksi!$M$2:$M$2001,"="&amp;S1056),IF(J1056="E",IF(INDEX(Transaksi!$J$2:$J$2001,K1056)=0,"",INDEX(Transaksi!$J$2:$J$2001,K1056)),""))</f>
        <v/>
      </c>
      <c r="G1056" s="33">
        <f>IF(J1056="H",(SUMIFS(Transaksi!$G$2:$G$2001,Transaksi!$M$2:$M$2001,"&lt;="&amp;S1056)+SUMIFS(Transaksi!$H$2:$H$2001,Transaksi!$M$2:$M$2001,"&lt;="&amp;S1056)+SUMIFS(Transaksi!$I$2:$I$2001,Transaksi!$M$2:$M$2001,"&lt;="&amp;S1056))-(SUMIFS(Transaksi!$J$2:$J$2001,Transaksi!$M$2:$M$2001,"&lt;="&amp;S1056)),"")</f>
        <v/>
      </c>
      <c r="I1056">
        <f>IF(1053&gt;$O$2,"",MATCH(1053,$Q$3:$Q$402,1))</f>
        <v/>
      </c>
      <c r="J1056">
        <f>IF(I1056="","",IF(1053=INDEX($Q$3:$Q$402,I1056),"H","E"))</f>
        <v/>
      </c>
      <c r="K1056">
        <f>IF(J1056&lt;&gt;"E","",MATCH(S1056,Transaksi!$M$2:$M$2001,0)+1053-INDEX($Q$3:$Q$402,I1056)-1)</f>
        <v/>
      </c>
      <c r="S1056">
        <f>IF(I1056="","",INDEX($O$3:$O$402,I1056))</f>
        <v/>
      </c>
      <c r="T1056">
        <f>IF(J1056&lt;&gt;"H","",INDEX(Transaksi!$A$2:$A$2001,MATCH(S1056,Transaksi!$M$2:$M$2001,0)))</f>
        <v/>
      </c>
    </row>
    <row r="1057">
      <c r="A1057" s="31">
        <f>IF(J1057="E",IF(INDEX(Transaksi!$J$2:$J$2001,K1057)&gt;0,"↑","↓"),"")</f>
        <v/>
      </c>
      <c r="B1057" s="32">
        <f>IF(J1057="H",CHOOSE(WEEKDAY(T1057,2),"Isnin","Selasa","Rabu","Khamis","Jumaat","Sabtu","Ahad")&amp;", "&amp;DAY(T1057)&amp;" "&amp;CHOOSE(MONTH(T1057),"Jan","Feb","Mac","Apr","Mei","Jun","Jul","Ogo","Sep","Okt","Nov","Dis")&amp;" "&amp;YEAR(T1057),IF(J1057="E",IF(INDEX(Transaksi!$B$2:$B$2001,K1057)="",INDEX(Transaksi!$C$2:$C$2001,K1057)&amp;" · "&amp;INDEX(Transaksi!$D$2:$D$2001,K1057),INDEX(Transaksi!$B$2:$B$2001,K1057)),""))</f>
        <v/>
      </c>
      <c r="C1057" s="32">
        <f>IF(J1057="E",INDEX(Transaksi!$C$2:$C$2001,K1057)&amp;"","")</f>
        <v/>
      </c>
      <c r="D1057" s="32">
        <f>IF(J1057="E",INDEX(Transaksi!$D$2:$D$2001,K1057)&amp;"","")</f>
        <v/>
      </c>
      <c r="E1057" s="33">
        <f>IF(J1057="H",SUMIFS(Transaksi!$G$2:$G$2001,Transaksi!$M$2:$M$2001,"="&amp;S1057)+SUMIFS(Transaksi!$H$2:$H$2001,Transaksi!$M$2:$M$2001,"="&amp;S1057)+SUMIFS(Transaksi!$I$2:$I$2001,Transaksi!$M$2:$M$2001,"="&amp;S1057),IF(J1057="E",IF(INDEX(Transaksi!$G$2:$G$2001,K1057)+INDEX(Transaksi!$H$2:$H$2001,K1057)+INDEX(Transaksi!$I$2:$I$2001,K1057)=0,"",INDEX(Transaksi!$G$2:$G$2001,K1057)+INDEX(Transaksi!$H$2:$H$2001,K1057)+INDEX(Transaksi!$I$2:$I$2001,K1057)),""))</f>
        <v/>
      </c>
      <c r="F1057" s="33">
        <f>IF(J1057="H",SUMIFS(Transaksi!$J$2:$J$2001,Transaksi!$M$2:$M$2001,"="&amp;S1057),IF(J1057="E",IF(INDEX(Transaksi!$J$2:$J$2001,K1057)=0,"",INDEX(Transaksi!$J$2:$J$2001,K1057)),""))</f>
        <v/>
      </c>
      <c r="G1057" s="33">
        <f>IF(J1057="H",(SUMIFS(Transaksi!$G$2:$G$2001,Transaksi!$M$2:$M$2001,"&lt;="&amp;S1057)+SUMIFS(Transaksi!$H$2:$H$2001,Transaksi!$M$2:$M$2001,"&lt;="&amp;S1057)+SUMIFS(Transaksi!$I$2:$I$2001,Transaksi!$M$2:$M$2001,"&lt;="&amp;S1057))-(SUMIFS(Transaksi!$J$2:$J$2001,Transaksi!$M$2:$M$2001,"&lt;="&amp;S1057)),"")</f>
        <v/>
      </c>
      <c r="I1057">
        <f>IF(1054&gt;$O$2,"",MATCH(1054,$Q$3:$Q$402,1))</f>
        <v/>
      </c>
      <c r="J1057">
        <f>IF(I1057="","",IF(1054=INDEX($Q$3:$Q$402,I1057),"H","E"))</f>
        <v/>
      </c>
      <c r="K1057">
        <f>IF(J1057&lt;&gt;"E","",MATCH(S1057,Transaksi!$M$2:$M$2001,0)+1054-INDEX($Q$3:$Q$402,I1057)-1)</f>
        <v/>
      </c>
      <c r="S1057">
        <f>IF(I1057="","",INDEX($O$3:$O$402,I1057))</f>
        <v/>
      </c>
      <c r="T1057">
        <f>IF(J1057&lt;&gt;"H","",INDEX(Transaksi!$A$2:$A$2001,MATCH(S1057,Transaksi!$M$2:$M$2001,0)))</f>
        <v/>
      </c>
    </row>
    <row r="1058">
      <c r="A1058" s="31">
        <f>IF(J1058="E",IF(INDEX(Transaksi!$J$2:$J$2001,K1058)&gt;0,"↑","↓"),"")</f>
        <v/>
      </c>
      <c r="B1058" s="32">
        <f>IF(J1058="H",CHOOSE(WEEKDAY(T1058,2),"Isnin","Selasa","Rabu","Khamis","Jumaat","Sabtu","Ahad")&amp;", "&amp;DAY(T1058)&amp;" "&amp;CHOOSE(MONTH(T1058),"Jan","Feb","Mac","Apr","Mei","Jun","Jul","Ogo","Sep","Okt","Nov","Dis")&amp;" "&amp;YEAR(T1058),IF(J1058="E",IF(INDEX(Transaksi!$B$2:$B$2001,K1058)="",INDEX(Transaksi!$C$2:$C$2001,K1058)&amp;" · "&amp;INDEX(Transaksi!$D$2:$D$2001,K1058),INDEX(Transaksi!$B$2:$B$2001,K1058)),""))</f>
        <v/>
      </c>
      <c r="C1058" s="32">
        <f>IF(J1058="E",INDEX(Transaksi!$C$2:$C$2001,K1058)&amp;"","")</f>
        <v/>
      </c>
      <c r="D1058" s="32">
        <f>IF(J1058="E",INDEX(Transaksi!$D$2:$D$2001,K1058)&amp;"","")</f>
        <v/>
      </c>
      <c r="E1058" s="33">
        <f>IF(J1058="H",SUMIFS(Transaksi!$G$2:$G$2001,Transaksi!$M$2:$M$2001,"="&amp;S1058)+SUMIFS(Transaksi!$H$2:$H$2001,Transaksi!$M$2:$M$2001,"="&amp;S1058)+SUMIFS(Transaksi!$I$2:$I$2001,Transaksi!$M$2:$M$2001,"="&amp;S1058),IF(J1058="E",IF(INDEX(Transaksi!$G$2:$G$2001,K1058)+INDEX(Transaksi!$H$2:$H$2001,K1058)+INDEX(Transaksi!$I$2:$I$2001,K1058)=0,"",INDEX(Transaksi!$G$2:$G$2001,K1058)+INDEX(Transaksi!$H$2:$H$2001,K1058)+INDEX(Transaksi!$I$2:$I$2001,K1058)),""))</f>
        <v/>
      </c>
      <c r="F1058" s="33">
        <f>IF(J1058="H",SUMIFS(Transaksi!$J$2:$J$2001,Transaksi!$M$2:$M$2001,"="&amp;S1058),IF(J1058="E",IF(INDEX(Transaksi!$J$2:$J$2001,K1058)=0,"",INDEX(Transaksi!$J$2:$J$2001,K1058)),""))</f>
        <v/>
      </c>
      <c r="G1058" s="33">
        <f>IF(J1058="H",(SUMIFS(Transaksi!$G$2:$G$2001,Transaksi!$M$2:$M$2001,"&lt;="&amp;S1058)+SUMIFS(Transaksi!$H$2:$H$2001,Transaksi!$M$2:$M$2001,"&lt;="&amp;S1058)+SUMIFS(Transaksi!$I$2:$I$2001,Transaksi!$M$2:$M$2001,"&lt;="&amp;S1058))-(SUMIFS(Transaksi!$J$2:$J$2001,Transaksi!$M$2:$M$2001,"&lt;="&amp;S1058)),"")</f>
        <v/>
      </c>
      <c r="I1058">
        <f>IF(1055&gt;$O$2,"",MATCH(1055,$Q$3:$Q$402,1))</f>
        <v/>
      </c>
      <c r="J1058">
        <f>IF(I1058="","",IF(1055=INDEX($Q$3:$Q$402,I1058),"H","E"))</f>
        <v/>
      </c>
      <c r="K1058">
        <f>IF(J1058&lt;&gt;"E","",MATCH(S1058,Transaksi!$M$2:$M$2001,0)+1055-INDEX($Q$3:$Q$402,I1058)-1)</f>
        <v/>
      </c>
      <c r="S1058">
        <f>IF(I1058="","",INDEX($O$3:$O$402,I1058))</f>
        <v/>
      </c>
      <c r="T1058">
        <f>IF(J1058&lt;&gt;"H","",INDEX(Transaksi!$A$2:$A$2001,MATCH(S1058,Transaksi!$M$2:$M$2001,0)))</f>
        <v/>
      </c>
    </row>
    <row r="1059">
      <c r="A1059" s="31">
        <f>IF(J1059="E",IF(INDEX(Transaksi!$J$2:$J$2001,K1059)&gt;0,"↑","↓"),"")</f>
        <v/>
      </c>
      <c r="B1059" s="32">
        <f>IF(J1059="H",CHOOSE(WEEKDAY(T1059,2),"Isnin","Selasa","Rabu","Khamis","Jumaat","Sabtu","Ahad")&amp;", "&amp;DAY(T1059)&amp;" "&amp;CHOOSE(MONTH(T1059),"Jan","Feb","Mac","Apr","Mei","Jun","Jul","Ogo","Sep","Okt","Nov","Dis")&amp;" "&amp;YEAR(T1059),IF(J1059="E",IF(INDEX(Transaksi!$B$2:$B$2001,K1059)="",INDEX(Transaksi!$C$2:$C$2001,K1059)&amp;" · "&amp;INDEX(Transaksi!$D$2:$D$2001,K1059),INDEX(Transaksi!$B$2:$B$2001,K1059)),""))</f>
        <v/>
      </c>
      <c r="C1059" s="32">
        <f>IF(J1059="E",INDEX(Transaksi!$C$2:$C$2001,K1059)&amp;"","")</f>
        <v/>
      </c>
      <c r="D1059" s="32">
        <f>IF(J1059="E",INDEX(Transaksi!$D$2:$D$2001,K1059)&amp;"","")</f>
        <v/>
      </c>
      <c r="E1059" s="33">
        <f>IF(J1059="H",SUMIFS(Transaksi!$G$2:$G$2001,Transaksi!$M$2:$M$2001,"="&amp;S1059)+SUMIFS(Transaksi!$H$2:$H$2001,Transaksi!$M$2:$M$2001,"="&amp;S1059)+SUMIFS(Transaksi!$I$2:$I$2001,Transaksi!$M$2:$M$2001,"="&amp;S1059),IF(J1059="E",IF(INDEX(Transaksi!$G$2:$G$2001,K1059)+INDEX(Transaksi!$H$2:$H$2001,K1059)+INDEX(Transaksi!$I$2:$I$2001,K1059)=0,"",INDEX(Transaksi!$G$2:$G$2001,K1059)+INDEX(Transaksi!$H$2:$H$2001,K1059)+INDEX(Transaksi!$I$2:$I$2001,K1059)),""))</f>
        <v/>
      </c>
      <c r="F1059" s="33">
        <f>IF(J1059="H",SUMIFS(Transaksi!$J$2:$J$2001,Transaksi!$M$2:$M$2001,"="&amp;S1059),IF(J1059="E",IF(INDEX(Transaksi!$J$2:$J$2001,K1059)=0,"",INDEX(Transaksi!$J$2:$J$2001,K1059)),""))</f>
        <v/>
      </c>
      <c r="G1059" s="33">
        <f>IF(J1059="H",(SUMIFS(Transaksi!$G$2:$G$2001,Transaksi!$M$2:$M$2001,"&lt;="&amp;S1059)+SUMIFS(Transaksi!$H$2:$H$2001,Transaksi!$M$2:$M$2001,"&lt;="&amp;S1059)+SUMIFS(Transaksi!$I$2:$I$2001,Transaksi!$M$2:$M$2001,"&lt;="&amp;S1059))-(SUMIFS(Transaksi!$J$2:$J$2001,Transaksi!$M$2:$M$2001,"&lt;="&amp;S1059)),"")</f>
        <v/>
      </c>
      <c r="I1059">
        <f>IF(1056&gt;$O$2,"",MATCH(1056,$Q$3:$Q$402,1))</f>
        <v/>
      </c>
      <c r="J1059">
        <f>IF(I1059="","",IF(1056=INDEX($Q$3:$Q$402,I1059),"H","E"))</f>
        <v/>
      </c>
      <c r="K1059">
        <f>IF(J1059&lt;&gt;"E","",MATCH(S1059,Transaksi!$M$2:$M$2001,0)+1056-INDEX($Q$3:$Q$402,I1059)-1)</f>
        <v/>
      </c>
      <c r="S1059">
        <f>IF(I1059="","",INDEX($O$3:$O$402,I1059))</f>
        <v/>
      </c>
      <c r="T1059">
        <f>IF(J1059&lt;&gt;"H","",INDEX(Transaksi!$A$2:$A$2001,MATCH(S1059,Transaksi!$M$2:$M$2001,0)))</f>
        <v/>
      </c>
    </row>
    <row r="1060">
      <c r="A1060" s="31">
        <f>IF(J1060="E",IF(INDEX(Transaksi!$J$2:$J$2001,K1060)&gt;0,"↑","↓"),"")</f>
        <v/>
      </c>
      <c r="B1060" s="32">
        <f>IF(J1060="H",CHOOSE(WEEKDAY(T1060,2),"Isnin","Selasa","Rabu","Khamis","Jumaat","Sabtu","Ahad")&amp;", "&amp;DAY(T1060)&amp;" "&amp;CHOOSE(MONTH(T1060),"Jan","Feb","Mac","Apr","Mei","Jun","Jul","Ogo","Sep","Okt","Nov","Dis")&amp;" "&amp;YEAR(T1060),IF(J1060="E",IF(INDEX(Transaksi!$B$2:$B$2001,K1060)="",INDEX(Transaksi!$C$2:$C$2001,K1060)&amp;" · "&amp;INDEX(Transaksi!$D$2:$D$2001,K1060),INDEX(Transaksi!$B$2:$B$2001,K1060)),""))</f>
        <v/>
      </c>
      <c r="C1060" s="32">
        <f>IF(J1060="E",INDEX(Transaksi!$C$2:$C$2001,K1060)&amp;"","")</f>
        <v/>
      </c>
      <c r="D1060" s="32">
        <f>IF(J1060="E",INDEX(Transaksi!$D$2:$D$2001,K1060)&amp;"","")</f>
        <v/>
      </c>
      <c r="E1060" s="33">
        <f>IF(J1060="H",SUMIFS(Transaksi!$G$2:$G$2001,Transaksi!$M$2:$M$2001,"="&amp;S1060)+SUMIFS(Transaksi!$H$2:$H$2001,Transaksi!$M$2:$M$2001,"="&amp;S1060)+SUMIFS(Transaksi!$I$2:$I$2001,Transaksi!$M$2:$M$2001,"="&amp;S1060),IF(J1060="E",IF(INDEX(Transaksi!$G$2:$G$2001,K1060)+INDEX(Transaksi!$H$2:$H$2001,K1060)+INDEX(Transaksi!$I$2:$I$2001,K1060)=0,"",INDEX(Transaksi!$G$2:$G$2001,K1060)+INDEX(Transaksi!$H$2:$H$2001,K1060)+INDEX(Transaksi!$I$2:$I$2001,K1060)),""))</f>
        <v/>
      </c>
      <c r="F1060" s="33">
        <f>IF(J1060="H",SUMIFS(Transaksi!$J$2:$J$2001,Transaksi!$M$2:$M$2001,"="&amp;S1060),IF(J1060="E",IF(INDEX(Transaksi!$J$2:$J$2001,K1060)=0,"",INDEX(Transaksi!$J$2:$J$2001,K1060)),""))</f>
        <v/>
      </c>
      <c r="G1060" s="33">
        <f>IF(J1060="H",(SUMIFS(Transaksi!$G$2:$G$2001,Transaksi!$M$2:$M$2001,"&lt;="&amp;S1060)+SUMIFS(Transaksi!$H$2:$H$2001,Transaksi!$M$2:$M$2001,"&lt;="&amp;S1060)+SUMIFS(Transaksi!$I$2:$I$2001,Transaksi!$M$2:$M$2001,"&lt;="&amp;S1060))-(SUMIFS(Transaksi!$J$2:$J$2001,Transaksi!$M$2:$M$2001,"&lt;="&amp;S1060)),"")</f>
        <v/>
      </c>
      <c r="I1060">
        <f>IF(1057&gt;$O$2,"",MATCH(1057,$Q$3:$Q$402,1))</f>
        <v/>
      </c>
      <c r="J1060">
        <f>IF(I1060="","",IF(1057=INDEX($Q$3:$Q$402,I1060),"H","E"))</f>
        <v/>
      </c>
      <c r="K1060">
        <f>IF(J1060&lt;&gt;"E","",MATCH(S1060,Transaksi!$M$2:$M$2001,0)+1057-INDEX($Q$3:$Q$402,I1060)-1)</f>
        <v/>
      </c>
      <c r="S1060">
        <f>IF(I1060="","",INDEX($O$3:$O$402,I1060))</f>
        <v/>
      </c>
      <c r="T1060">
        <f>IF(J1060&lt;&gt;"H","",INDEX(Transaksi!$A$2:$A$2001,MATCH(S1060,Transaksi!$M$2:$M$2001,0)))</f>
        <v/>
      </c>
    </row>
    <row r="1061">
      <c r="A1061" s="31">
        <f>IF(J1061="E",IF(INDEX(Transaksi!$J$2:$J$2001,K1061)&gt;0,"↑","↓"),"")</f>
        <v/>
      </c>
      <c r="B1061" s="32">
        <f>IF(J1061="H",CHOOSE(WEEKDAY(T1061,2),"Isnin","Selasa","Rabu","Khamis","Jumaat","Sabtu","Ahad")&amp;", "&amp;DAY(T1061)&amp;" "&amp;CHOOSE(MONTH(T1061),"Jan","Feb","Mac","Apr","Mei","Jun","Jul","Ogo","Sep","Okt","Nov","Dis")&amp;" "&amp;YEAR(T1061),IF(J1061="E",IF(INDEX(Transaksi!$B$2:$B$2001,K1061)="",INDEX(Transaksi!$C$2:$C$2001,K1061)&amp;" · "&amp;INDEX(Transaksi!$D$2:$D$2001,K1061),INDEX(Transaksi!$B$2:$B$2001,K1061)),""))</f>
        <v/>
      </c>
      <c r="C1061" s="32">
        <f>IF(J1061="E",INDEX(Transaksi!$C$2:$C$2001,K1061)&amp;"","")</f>
        <v/>
      </c>
      <c r="D1061" s="32">
        <f>IF(J1061="E",INDEX(Transaksi!$D$2:$D$2001,K1061)&amp;"","")</f>
        <v/>
      </c>
      <c r="E1061" s="33">
        <f>IF(J1061="H",SUMIFS(Transaksi!$G$2:$G$2001,Transaksi!$M$2:$M$2001,"="&amp;S1061)+SUMIFS(Transaksi!$H$2:$H$2001,Transaksi!$M$2:$M$2001,"="&amp;S1061)+SUMIFS(Transaksi!$I$2:$I$2001,Transaksi!$M$2:$M$2001,"="&amp;S1061),IF(J1061="E",IF(INDEX(Transaksi!$G$2:$G$2001,K1061)+INDEX(Transaksi!$H$2:$H$2001,K1061)+INDEX(Transaksi!$I$2:$I$2001,K1061)=0,"",INDEX(Transaksi!$G$2:$G$2001,K1061)+INDEX(Transaksi!$H$2:$H$2001,K1061)+INDEX(Transaksi!$I$2:$I$2001,K1061)),""))</f>
        <v/>
      </c>
      <c r="F1061" s="33">
        <f>IF(J1061="H",SUMIFS(Transaksi!$J$2:$J$2001,Transaksi!$M$2:$M$2001,"="&amp;S1061),IF(J1061="E",IF(INDEX(Transaksi!$J$2:$J$2001,K1061)=0,"",INDEX(Transaksi!$J$2:$J$2001,K1061)),""))</f>
        <v/>
      </c>
      <c r="G1061" s="33">
        <f>IF(J1061="H",(SUMIFS(Transaksi!$G$2:$G$2001,Transaksi!$M$2:$M$2001,"&lt;="&amp;S1061)+SUMIFS(Transaksi!$H$2:$H$2001,Transaksi!$M$2:$M$2001,"&lt;="&amp;S1061)+SUMIFS(Transaksi!$I$2:$I$2001,Transaksi!$M$2:$M$2001,"&lt;="&amp;S1061))-(SUMIFS(Transaksi!$J$2:$J$2001,Transaksi!$M$2:$M$2001,"&lt;="&amp;S1061)),"")</f>
        <v/>
      </c>
      <c r="I1061">
        <f>IF(1058&gt;$O$2,"",MATCH(1058,$Q$3:$Q$402,1))</f>
        <v/>
      </c>
      <c r="J1061">
        <f>IF(I1061="","",IF(1058=INDEX($Q$3:$Q$402,I1061),"H","E"))</f>
        <v/>
      </c>
      <c r="K1061">
        <f>IF(J1061&lt;&gt;"E","",MATCH(S1061,Transaksi!$M$2:$M$2001,0)+1058-INDEX($Q$3:$Q$402,I1061)-1)</f>
        <v/>
      </c>
      <c r="S1061">
        <f>IF(I1061="","",INDEX($O$3:$O$402,I1061))</f>
        <v/>
      </c>
      <c r="T1061">
        <f>IF(J1061&lt;&gt;"H","",INDEX(Transaksi!$A$2:$A$2001,MATCH(S1061,Transaksi!$M$2:$M$2001,0)))</f>
        <v/>
      </c>
    </row>
    <row r="1062">
      <c r="A1062" s="31">
        <f>IF(J1062="E",IF(INDEX(Transaksi!$J$2:$J$2001,K1062)&gt;0,"↑","↓"),"")</f>
        <v/>
      </c>
      <c r="B1062" s="32">
        <f>IF(J1062="H",CHOOSE(WEEKDAY(T1062,2),"Isnin","Selasa","Rabu","Khamis","Jumaat","Sabtu","Ahad")&amp;", "&amp;DAY(T1062)&amp;" "&amp;CHOOSE(MONTH(T1062),"Jan","Feb","Mac","Apr","Mei","Jun","Jul","Ogo","Sep","Okt","Nov","Dis")&amp;" "&amp;YEAR(T1062),IF(J1062="E",IF(INDEX(Transaksi!$B$2:$B$2001,K1062)="",INDEX(Transaksi!$C$2:$C$2001,K1062)&amp;" · "&amp;INDEX(Transaksi!$D$2:$D$2001,K1062),INDEX(Transaksi!$B$2:$B$2001,K1062)),""))</f>
        <v/>
      </c>
      <c r="C1062" s="32">
        <f>IF(J1062="E",INDEX(Transaksi!$C$2:$C$2001,K1062)&amp;"","")</f>
        <v/>
      </c>
      <c r="D1062" s="32">
        <f>IF(J1062="E",INDEX(Transaksi!$D$2:$D$2001,K1062)&amp;"","")</f>
        <v/>
      </c>
      <c r="E1062" s="33">
        <f>IF(J1062="H",SUMIFS(Transaksi!$G$2:$G$2001,Transaksi!$M$2:$M$2001,"="&amp;S1062)+SUMIFS(Transaksi!$H$2:$H$2001,Transaksi!$M$2:$M$2001,"="&amp;S1062)+SUMIFS(Transaksi!$I$2:$I$2001,Transaksi!$M$2:$M$2001,"="&amp;S1062),IF(J1062="E",IF(INDEX(Transaksi!$G$2:$G$2001,K1062)+INDEX(Transaksi!$H$2:$H$2001,K1062)+INDEX(Transaksi!$I$2:$I$2001,K1062)=0,"",INDEX(Transaksi!$G$2:$G$2001,K1062)+INDEX(Transaksi!$H$2:$H$2001,K1062)+INDEX(Transaksi!$I$2:$I$2001,K1062)),""))</f>
        <v/>
      </c>
      <c r="F1062" s="33">
        <f>IF(J1062="H",SUMIFS(Transaksi!$J$2:$J$2001,Transaksi!$M$2:$M$2001,"="&amp;S1062),IF(J1062="E",IF(INDEX(Transaksi!$J$2:$J$2001,K1062)=0,"",INDEX(Transaksi!$J$2:$J$2001,K1062)),""))</f>
        <v/>
      </c>
      <c r="G1062" s="33">
        <f>IF(J1062="H",(SUMIFS(Transaksi!$G$2:$G$2001,Transaksi!$M$2:$M$2001,"&lt;="&amp;S1062)+SUMIFS(Transaksi!$H$2:$H$2001,Transaksi!$M$2:$M$2001,"&lt;="&amp;S1062)+SUMIFS(Transaksi!$I$2:$I$2001,Transaksi!$M$2:$M$2001,"&lt;="&amp;S1062))-(SUMIFS(Transaksi!$J$2:$J$2001,Transaksi!$M$2:$M$2001,"&lt;="&amp;S1062)),"")</f>
        <v/>
      </c>
      <c r="I1062">
        <f>IF(1059&gt;$O$2,"",MATCH(1059,$Q$3:$Q$402,1))</f>
        <v/>
      </c>
      <c r="J1062">
        <f>IF(I1062="","",IF(1059=INDEX($Q$3:$Q$402,I1062),"H","E"))</f>
        <v/>
      </c>
      <c r="K1062">
        <f>IF(J1062&lt;&gt;"E","",MATCH(S1062,Transaksi!$M$2:$M$2001,0)+1059-INDEX($Q$3:$Q$402,I1062)-1)</f>
        <v/>
      </c>
      <c r="S1062">
        <f>IF(I1062="","",INDEX($O$3:$O$402,I1062))</f>
        <v/>
      </c>
      <c r="T1062">
        <f>IF(J1062&lt;&gt;"H","",INDEX(Transaksi!$A$2:$A$2001,MATCH(S1062,Transaksi!$M$2:$M$2001,0)))</f>
        <v/>
      </c>
    </row>
    <row r="1063">
      <c r="A1063" s="31">
        <f>IF(J1063="E",IF(INDEX(Transaksi!$J$2:$J$2001,K1063)&gt;0,"↑","↓"),"")</f>
        <v/>
      </c>
      <c r="B1063" s="32">
        <f>IF(J1063="H",CHOOSE(WEEKDAY(T1063,2),"Isnin","Selasa","Rabu","Khamis","Jumaat","Sabtu","Ahad")&amp;", "&amp;DAY(T1063)&amp;" "&amp;CHOOSE(MONTH(T1063),"Jan","Feb","Mac","Apr","Mei","Jun","Jul","Ogo","Sep","Okt","Nov","Dis")&amp;" "&amp;YEAR(T1063),IF(J1063="E",IF(INDEX(Transaksi!$B$2:$B$2001,K1063)="",INDEX(Transaksi!$C$2:$C$2001,K1063)&amp;" · "&amp;INDEX(Transaksi!$D$2:$D$2001,K1063),INDEX(Transaksi!$B$2:$B$2001,K1063)),""))</f>
        <v/>
      </c>
      <c r="C1063" s="32">
        <f>IF(J1063="E",INDEX(Transaksi!$C$2:$C$2001,K1063)&amp;"","")</f>
        <v/>
      </c>
      <c r="D1063" s="32">
        <f>IF(J1063="E",INDEX(Transaksi!$D$2:$D$2001,K1063)&amp;"","")</f>
        <v/>
      </c>
      <c r="E1063" s="33">
        <f>IF(J1063="H",SUMIFS(Transaksi!$G$2:$G$2001,Transaksi!$M$2:$M$2001,"="&amp;S1063)+SUMIFS(Transaksi!$H$2:$H$2001,Transaksi!$M$2:$M$2001,"="&amp;S1063)+SUMIFS(Transaksi!$I$2:$I$2001,Transaksi!$M$2:$M$2001,"="&amp;S1063),IF(J1063="E",IF(INDEX(Transaksi!$G$2:$G$2001,K1063)+INDEX(Transaksi!$H$2:$H$2001,K1063)+INDEX(Transaksi!$I$2:$I$2001,K1063)=0,"",INDEX(Transaksi!$G$2:$G$2001,K1063)+INDEX(Transaksi!$H$2:$H$2001,K1063)+INDEX(Transaksi!$I$2:$I$2001,K1063)),""))</f>
        <v/>
      </c>
      <c r="F1063" s="33">
        <f>IF(J1063="H",SUMIFS(Transaksi!$J$2:$J$2001,Transaksi!$M$2:$M$2001,"="&amp;S1063),IF(J1063="E",IF(INDEX(Transaksi!$J$2:$J$2001,K1063)=0,"",INDEX(Transaksi!$J$2:$J$2001,K1063)),""))</f>
        <v/>
      </c>
      <c r="G1063" s="33">
        <f>IF(J1063="H",(SUMIFS(Transaksi!$G$2:$G$2001,Transaksi!$M$2:$M$2001,"&lt;="&amp;S1063)+SUMIFS(Transaksi!$H$2:$H$2001,Transaksi!$M$2:$M$2001,"&lt;="&amp;S1063)+SUMIFS(Transaksi!$I$2:$I$2001,Transaksi!$M$2:$M$2001,"&lt;="&amp;S1063))-(SUMIFS(Transaksi!$J$2:$J$2001,Transaksi!$M$2:$M$2001,"&lt;="&amp;S1063)),"")</f>
        <v/>
      </c>
      <c r="I1063">
        <f>IF(1060&gt;$O$2,"",MATCH(1060,$Q$3:$Q$402,1))</f>
        <v/>
      </c>
      <c r="J1063">
        <f>IF(I1063="","",IF(1060=INDEX($Q$3:$Q$402,I1063),"H","E"))</f>
        <v/>
      </c>
      <c r="K1063">
        <f>IF(J1063&lt;&gt;"E","",MATCH(S1063,Transaksi!$M$2:$M$2001,0)+1060-INDEX($Q$3:$Q$402,I1063)-1)</f>
        <v/>
      </c>
      <c r="S1063">
        <f>IF(I1063="","",INDEX($O$3:$O$402,I1063))</f>
        <v/>
      </c>
      <c r="T1063">
        <f>IF(J1063&lt;&gt;"H","",INDEX(Transaksi!$A$2:$A$2001,MATCH(S1063,Transaksi!$M$2:$M$2001,0)))</f>
        <v/>
      </c>
    </row>
    <row r="1064">
      <c r="A1064" s="31">
        <f>IF(J1064="E",IF(INDEX(Transaksi!$J$2:$J$2001,K1064)&gt;0,"↑","↓"),"")</f>
        <v/>
      </c>
      <c r="B1064" s="32">
        <f>IF(J1064="H",CHOOSE(WEEKDAY(T1064,2),"Isnin","Selasa","Rabu","Khamis","Jumaat","Sabtu","Ahad")&amp;", "&amp;DAY(T1064)&amp;" "&amp;CHOOSE(MONTH(T1064),"Jan","Feb","Mac","Apr","Mei","Jun","Jul","Ogo","Sep","Okt","Nov","Dis")&amp;" "&amp;YEAR(T1064),IF(J1064="E",IF(INDEX(Transaksi!$B$2:$B$2001,K1064)="",INDEX(Transaksi!$C$2:$C$2001,K1064)&amp;" · "&amp;INDEX(Transaksi!$D$2:$D$2001,K1064),INDEX(Transaksi!$B$2:$B$2001,K1064)),""))</f>
        <v/>
      </c>
      <c r="C1064" s="32">
        <f>IF(J1064="E",INDEX(Transaksi!$C$2:$C$2001,K1064)&amp;"","")</f>
        <v/>
      </c>
      <c r="D1064" s="32">
        <f>IF(J1064="E",INDEX(Transaksi!$D$2:$D$2001,K1064)&amp;"","")</f>
        <v/>
      </c>
      <c r="E1064" s="33">
        <f>IF(J1064="H",SUMIFS(Transaksi!$G$2:$G$2001,Transaksi!$M$2:$M$2001,"="&amp;S1064)+SUMIFS(Transaksi!$H$2:$H$2001,Transaksi!$M$2:$M$2001,"="&amp;S1064)+SUMIFS(Transaksi!$I$2:$I$2001,Transaksi!$M$2:$M$2001,"="&amp;S1064),IF(J1064="E",IF(INDEX(Transaksi!$G$2:$G$2001,K1064)+INDEX(Transaksi!$H$2:$H$2001,K1064)+INDEX(Transaksi!$I$2:$I$2001,K1064)=0,"",INDEX(Transaksi!$G$2:$G$2001,K1064)+INDEX(Transaksi!$H$2:$H$2001,K1064)+INDEX(Transaksi!$I$2:$I$2001,K1064)),""))</f>
        <v/>
      </c>
      <c r="F1064" s="33">
        <f>IF(J1064="H",SUMIFS(Transaksi!$J$2:$J$2001,Transaksi!$M$2:$M$2001,"="&amp;S1064),IF(J1064="E",IF(INDEX(Transaksi!$J$2:$J$2001,K1064)=0,"",INDEX(Transaksi!$J$2:$J$2001,K1064)),""))</f>
        <v/>
      </c>
      <c r="G1064" s="33">
        <f>IF(J1064="H",(SUMIFS(Transaksi!$G$2:$G$2001,Transaksi!$M$2:$M$2001,"&lt;="&amp;S1064)+SUMIFS(Transaksi!$H$2:$H$2001,Transaksi!$M$2:$M$2001,"&lt;="&amp;S1064)+SUMIFS(Transaksi!$I$2:$I$2001,Transaksi!$M$2:$M$2001,"&lt;="&amp;S1064))-(SUMIFS(Transaksi!$J$2:$J$2001,Transaksi!$M$2:$M$2001,"&lt;="&amp;S1064)),"")</f>
        <v/>
      </c>
      <c r="I1064">
        <f>IF(1061&gt;$O$2,"",MATCH(1061,$Q$3:$Q$402,1))</f>
        <v/>
      </c>
      <c r="J1064">
        <f>IF(I1064="","",IF(1061=INDEX($Q$3:$Q$402,I1064),"H","E"))</f>
        <v/>
      </c>
      <c r="K1064">
        <f>IF(J1064&lt;&gt;"E","",MATCH(S1064,Transaksi!$M$2:$M$2001,0)+1061-INDEX($Q$3:$Q$402,I1064)-1)</f>
        <v/>
      </c>
      <c r="S1064">
        <f>IF(I1064="","",INDEX($O$3:$O$402,I1064))</f>
        <v/>
      </c>
      <c r="T1064">
        <f>IF(J1064&lt;&gt;"H","",INDEX(Transaksi!$A$2:$A$2001,MATCH(S1064,Transaksi!$M$2:$M$2001,0)))</f>
        <v/>
      </c>
    </row>
    <row r="1065">
      <c r="A1065" s="31">
        <f>IF(J1065="E",IF(INDEX(Transaksi!$J$2:$J$2001,K1065)&gt;0,"↑","↓"),"")</f>
        <v/>
      </c>
      <c r="B1065" s="32">
        <f>IF(J1065="H",CHOOSE(WEEKDAY(T1065,2),"Isnin","Selasa","Rabu","Khamis","Jumaat","Sabtu","Ahad")&amp;", "&amp;DAY(T1065)&amp;" "&amp;CHOOSE(MONTH(T1065),"Jan","Feb","Mac","Apr","Mei","Jun","Jul","Ogo","Sep","Okt","Nov","Dis")&amp;" "&amp;YEAR(T1065),IF(J1065="E",IF(INDEX(Transaksi!$B$2:$B$2001,K1065)="",INDEX(Transaksi!$C$2:$C$2001,K1065)&amp;" · "&amp;INDEX(Transaksi!$D$2:$D$2001,K1065),INDEX(Transaksi!$B$2:$B$2001,K1065)),""))</f>
        <v/>
      </c>
      <c r="C1065" s="32">
        <f>IF(J1065="E",INDEX(Transaksi!$C$2:$C$2001,K1065)&amp;"","")</f>
        <v/>
      </c>
      <c r="D1065" s="32">
        <f>IF(J1065="E",INDEX(Transaksi!$D$2:$D$2001,K1065)&amp;"","")</f>
        <v/>
      </c>
      <c r="E1065" s="33">
        <f>IF(J1065="H",SUMIFS(Transaksi!$G$2:$G$2001,Transaksi!$M$2:$M$2001,"="&amp;S1065)+SUMIFS(Transaksi!$H$2:$H$2001,Transaksi!$M$2:$M$2001,"="&amp;S1065)+SUMIFS(Transaksi!$I$2:$I$2001,Transaksi!$M$2:$M$2001,"="&amp;S1065),IF(J1065="E",IF(INDEX(Transaksi!$G$2:$G$2001,K1065)+INDEX(Transaksi!$H$2:$H$2001,K1065)+INDEX(Transaksi!$I$2:$I$2001,K1065)=0,"",INDEX(Transaksi!$G$2:$G$2001,K1065)+INDEX(Transaksi!$H$2:$H$2001,K1065)+INDEX(Transaksi!$I$2:$I$2001,K1065)),""))</f>
        <v/>
      </c>
      <c r="F1065" s="33">
        <f>IF(J1065="H",SUMIFS(Transaksi!$J$2:$J$2001,Transaksi!$M$2:$M$2001,"="&amp;S1065),IF(J1065="E",IF(INDEX(Transaksi!$J$2:$J$2001,K1065)=0,"",INDEX(Transaksi!$J$2:$J$2001,K1065)),""))</f>
        <v/>
      </c>
      <c r="G1065" s="33">
        <f>IF(J1065="H",(SUMIFS(Transaksi!$G$2:$G$2001,Transaksi!$M$2:$M$2001,"&lt;="&amp;S1065)+SUMIFS(Transaksi!$H$2:$H$2001,Transaksi!$M$2:$M$2001,"&lt;="&amp;S1065)+SUMIFS(Transaksi!$I$2:$I$2001,Transaksi!$M$2:$M$2001,"&lt;="&amp;S1065))-(SUMIFS(Transaksi!$J$2:$J$2001,Transaksi!$M$2:$M$2001,"&lt;="&amp;S1065)),"")</f>
        <v/>
      </c>
      <c r="I1065">
        <f>IF(1062&gt;$O$2,"",MATCH(1062,$Q$3:$Q$402,1))</f>
        <v/>
      </c>
      <c r="J1065">
        <f>IF(I1065="","",IF(1062=INDEX($Q$3:$Q$402,I1065),"H","E"))</f>
        <v/>
      </c>
      <c r="K1065">
        <f>IF(J1065&lt;&gt;"E","",MATCH(S1065,Transaksi!$M$2:$M$2001,0)+1062-INDEX($Q$3:$Q$402,I1065)-1)</f>
        <v/>
      </c>
      <c r="S1065">
        <f>IF(I1065="","",INDEX($O$3:$O$402,I1065))</f>
        <v/>
      </c>
      <c r="T1065">
        <f>IF(J1065&lt;&gt;"H","",INDEX(Transaksi!$A$2:$A$2001,MATCH(S1065,Transaksi!$M$2:$M$2001,0)))</f>
        <v/>
      </c>
    </row>
    <row r="1066">
      <c r="A1066" s="31">
        <f>IF(J1066="E",IF(INDEX(Transaksi!$J$2:$J$2001,K1066)&gt;0,"↑","↓"),"")</f>
        <v/>
      </c>
      <c r="B1066" s="32">
        <f>IF(J1066="H",CHOOSE(WEEKDAY(T1066,2),"Isnin","Selasa","Rabu","Khamis","Jumaat","Sabtu","Ahad")&amp;", "&amp;DAY(T1066)&amp;" "&amp;CHOOSE(MONTH(T1066),"Jan","Feb","Mac","Apr","Mei","Jun","Jul","Ogo","Sep","Okt","Nov","Dis")&amp;" "&amp;YEAR(T1066),IF(J1066="E",IF(INDEX(Transaksi!$B$2:$B$2001,K1066)="",INDEX(Transaksi!$C$2:$C$2001,K1066)&amp;" · "&amp;INDEX(Transaksi!$D$2:$D$2001,K1066),INDEX(Transaksi!$B$2:$B$2001,K1066)),""))</f>
        <v/>
      </c>
      <c r="C1066" s="32">
        <f>IF(J1066="E",INDEX(Transaksi!$C$2:$C$2001,K1066)&amp;"","")</f>
        <v/>
      </c>
      <c r="D1066" s="32">
        <f>IF(J1066="E",INDEX(Transaksi!$D$2:$D$2001,K1066)&amp;"","")</f>
        <v/>
      </c>
      <c r="E1066" s="33">
        <f>IF(J1066="H",SUMIFS(Transaksi!$G$2:$G$2001,Transaksi!$M$2:$M$2001,"="&amp;S1066)+SUMIFS(Transaksi!$H$2:$H$2001,Transaksi!$M$2:$M$2001,"="&amp;S1066)+SUMIFS(Transaksi!$I$2:$I$2001,Transaksi!$M$2:$M$2001,"="&amp;S1066),IF(J1066="E",IF(INDEX(Transaksi!$G$2:$G$2001,K1066)+INDEX(Transaksi!$H$2:$H$2001,K1066)+INDEX(Transaksi!$I$2:$I$2001,K1066)=0,"",INDEX(Transaksi!$G$2:$G$2001,K1066)+INDEX(Transaksi!$H$2:$H$2001,K1066)+INDEX(Transaksi!$I$2:$I$2001,K1066)),""))</f>
        <v/>
      </c>
      <c r="F1066" s="33">
        <f>IF(J1066="H",SUMIFS(Transaksi!$J$2:$J$2001,Transaksi!$M$2:$M$2001,"="&amp;S1066),IF(J1066="E",IF(INDEX(Transaksi!$J$2:$J$2001,K1066)=0,"",INDEX(Transaksi!$J$2:$J$2001,K1066)),""))</f>
        <v/>
      </c>
      <c r="G1066" s="33">
        <f>IF(J1066="H",(SUMIFS(Transaksi!$G$2:$G$2001,Transaksi!$M$2:$M$2001,"&lt;="&amp;S1066)+SUMIFS(Transaksi!$H$2:$H$2001,Transaksi!$M$2:$M$2001,"&lt;="&amp;S1066)+SUMIFS(Transaksi!$I$2:$I$2001,Transaksi!$M$2:$M$2001,"&lt;="&amp;S1066))-(SUMIFS(Transaksi!$J$2:$J$2001,Transaksi!$M$2:$M$2001,"&lt;="&amp;S1066)),"")</f>
        <v/>
      </c>
      <c r="I1066">
        <f>IF(1063&gt;$O$2,"",MATCH(1063,$Q$3:$Q$402,1))</f>
        <v/>
      </c>
      <c r="J1066">
        <f>IF(I1066="","",IF(1063=INDEX($Q$3:$Q$402,I1066),"H","E"))</f>
        <v/>
      </c>
      <c r="K1066">
        <f>IF(J1066&lt;&gt;"E","",MATCH(S1066,Transaksi!$M$2:$M$2001,0)+1063-INDEX($Q$3:$Q$402,I1066)-1)</f>
        <v/>
      </c>
      <c r="S1066">
        <f>IF(I1066="","",INDEX($O$3:$O$402,I1066))</f>
        <v/>
      </c>
      <c r="T1066">
        <f>IF(J1066&lt;&gt;"H","",INDEX(Transaksi!$A$2:$A$2001,MATCH(S1066,Transaksi!$M$2:$M$2001,0)))</f>
        <v/>
      </c>
    </row>
    <row r="1067">
      <c r="A1067" s="31">
        <f>IF(J1067="E",IF(INDEX(Transaksi!$J$2:$J$2001,K1067)&gt;0,"↑","↓"),"")</f>
        <v/>
      </c>
      <c r="B1067" s="32">
        <f>IF(J1067="H",CHOOSE(WEEKDAY(T1067,2),"Isnin","Selasa","Rabu","Khamis","Jumaat","Sabtu","Ahad")&amp;", "&amp;DAY(T1067)&amp;" "&amp;CHOOSE(MONTH(T1067),"Jan","Feb","Mac","Apr","Mei","Jun","Jul","Ogo","Sep","Okt","Nov","Dis")&amp;" "&amp;YEAR(T1067),IF(J1067="E",IF(INDEX(Transaksi!$B$2:$B$2001,K1067)="",INDEX(Transaksi!$C$2:$C$2001,K1067)&amp;" · "&amp;INDEX(Transaksi!$D$2:$D$2001,K1067),INDEX(Transaksi!$B$2:$B$2001,K1067)),""))</f>
        <v/>
      </c>
      <c r="C1067" s="32">
        <f>IF(J1067="E",INDEX(Transaksi!$C$2:$C$2001,K1067)&amp;"","")</f>
        <v/>
      </c>
      <c r="D1067" s="32">
        <f>IF(J1067="E",INDEX(Transaksi!$D$2:$D$2001,K1067)&amp;"","")</f>
        <v/>
      </c>
      <c r="E1067" s="33">
        <f>IF(J1067="H",SUMIFS(Transaksi!$G$2:$G$2001,Transaksi!$M$2:$M$2001,"="&amp;S1067)+SUMIFS(Transaksi!$H$2:$H$2001,Transaksi!$M$2:$M$2001,"="&amp;S1067)+SUMIFS(Transaksi!$I$2:$I$2001,Transaksi!$M$2:$M$2001,"="&amp;S1067),IF(J1067="E",IF(INDEX(Transaksi!$G$2:$G$2001,K1067)+INDEX(Transaksi!$H$2:$H$2001,K1067)+INDEX(Transaksi!$I$2:$I$2001,K1067)=0,"",INDEX(Transaksi!$G$2:$G$2001,K1067)+INDEX(Transaksi!$H$2:$H$2001,K1067)+INDEX(Transaksi!$I$2:$I$2001,K1067)),""))</f>
        <v/>
      </c>
      <c r="F1067" s="33">
        <f>IF(J1067="H",SUMIFS(Transaksi!$J$2:$J$2001,Transaksi!$M$2:$M$2001,"="&amp;S1067),IF(J1067="E",IF(INDEX(Transaksi!$J$2:$J$2001,K1067)=0,"",INDEX(Transaksi!$J$2:$J$2001,K1067)),""))</f>
        <v/>
      </c>
      <c r="G1067" s="33">
        <f>IF(J1067="H",(SUMIFS(Transaksi!$G$2:$G$2001,Transaksi!$M$2:$M$2001,"&lt;="&amp;S1067)+SUMIFS(Transaksi!$H$2:$H$2001,Transaksi!$M$2:$M$2001,"&lt;="&amp;S1067)+SUMIFS(Transaksi!$I$2:$I$2001,Transaksi!$M$2:$M$2001,"&lt;="&amp;S1067))-(SUMIFS(Transaksi!$J$2:$J$2001,Transaksi!$M$2:$M$2001,"&lt;="&amp;S1067)),"")</f>
        <v/>
      </c>
      <c r="I1067">
        <f>IF(1064&gt;$O$2,"",MATCH(1064,$Q$3:$Q$402,1))</f>
        <v/>
      </c>
      <c r="J1067">
        <f>IF(I1067="","",IF(1064=INDEX($Q$3:$Q$402,I1067),"H","E"))</f>
        <v/>
      </c>
      <c r="K1067">
        <f>IF(J1067&lt;&gt;"E","",MATCH(S1067,Transaksi!$M$2:$M$2001,0)+1064-INDEX($Q$3:$Q$402,I1067)-1)</f>
        <v/>
      </c>
      <c r="S1067">
        <f>IF(I1067="","",INDEX($O$3:$O$402,I1067))</f>
        <v/>
      </c>
      <c r="T1067">
        <f>IF(J1067&lt;&gt;"H","",INDEX(Transaksi!$A$2:$A$2001,MATCH(S1067,Transaksi!$M$2:$M$2001,0)))</f>
        <v/>
      </c>
    </row>
    <row r="1068">
      <c r="A1068" s="31">
        <f>IF(J1068="E",IF(INDEX(Transaksi!$J$2:$J$2001,K1068)&gt;0,"↑","↓"),"")</f>
        <v/>
      </c>
      <c r="B1068" s="32">
        <f>IF(J1068="H",CHOOSE(WEEKDAY(T1068,2),"Isnin","Selasa","Rabu","Khamis","Jumaat","Sabtu","Ahad")&amp;", "&amp;DAY(T1068)&amp;" "&amp;CHOOSE(MONTH(T1068),"Jan","Feb","Mac","Apr","Mei","Jun","Jul","Ogo","Sep","Okt","Nov","Dis")&amp;" "&amp;YEAR(T1068),IF(J1068="E",IF(INDEX(Transaksi!$B$2:$B$2001,K1068)="",INDEX(Transaksi!$C$2:$C$2001,K1068)&amp;" · "&amp;INDEX(Transaksi!$D$2:$D$2001,K1068),INDEX(Transaksi!$B$2:$B$2001,K1068)),""))</f>
        <v/>
      </c>
      <c r="C1068" s="32">
        <f>IF(J1068="E",INDEX(Transaksi!$C$2:$C$2001,K1068)&amp;"","")</f>
        <v/>
      </c>
      <c r="D1068" s="32">
        <f>IF(J1068="E",INDEX(Transaksi!$D$2:$D$2001,K1068)&amp;"","")</f>
        <v/>
      </c>
      <c r="E1068" s="33">
        <f>IF(J1068="H",SUMIFS(Transaksi!$G$2:$G$2001,Transaksi!$M$2:$M$2001,"="&amp;S1068)+SUMIFS(Transaksi!$H$2:$H$2001,Transaksi!$M$2:$M$2001,"="&amp;S1068)+SUMIFS(Transaksi!$I$2:$I$2001,Transaksi!$M$2:$M$2001,"="&amp;S1068),IF(J1068="E",IF(INDEX(Transaksi!$G$2:$G$2001,K1068)+INDEX(Transaksi!$H$2:$H$2001,K1068)+INDEX(Transaksi!$I$2:$I$2001,K1068)=0,"",INDEX(Transaksi!$G$2:$G$2001,K1068)+INDEX(Transaksi!$H$2:$H$2001,K1068)+INDEX(Transaksi!$I$2:$I$2001,K1068)),""))</f>
        <v/>
      </c>
      <c r="F1068" s="33">
        <f>IF(J1068="H",SUMIFS(Transaksi!$J$2:$J$2001,Transaksi!$M$2:$M$2001,"="&amp;S1068),IF(J1068="E",IF(INDEX(Transaksi!$J$2:$J$2001,K1068)=0,"",INDEX(Transaksi!$J$2:$J$2001,K1068)),""))</f>
        <v/>
      </c>
      <c r="G1068" s="33">
        <f>IF(J1068="H",(SUMIFS(Transaksi!$G$2:$G$2001,Transaksi!$M$2:$M$2001,"&lt;="&amp;S1068)+SUMIFS(Transaksi!$H$2:$H$2001,Transaksi!$M$2:$M$2001,"&lt;="&amp;S1068)+SUMIFS(Transaksi!$I$2:$I$2001,Transaksi!$M$2:$M$2001,"&lt;="&amp;S1068))-(SUMIFS(Transaksi!$J$2:$J$2001,Transaksi!$M$2:$M$2001,"&lt;="&amp;S1068)),"")</f>
        <v/>
      </c>
      <c r="I1068">
        <f>IF(1065&gt;$O$2,"",MATCH(1065,$Q$3:$Q$402,1))</f>
        <v/>
      </c>
      <c r="J1068">
        <f>IF(I1068="","",IF(1065=INDEX($Q$3:$Q$402,I1068),"H","E"))</f>
        <v/>
      </c>
      <c r="K1068">
        <f>IF(J1068&lt;&gt;"E","",MATCH(S1068,Transaksi!$M$2:$M$2001,0)+1065-INDEX($Q$3:$Q$402,I1068)-1)</f>
        <v/>
      </c>
      <c r="S1068">
        <f>IF(I1068="","",INDEX($O$3:$O$402,I1068))</f>
        <v/>
      </c>
      <c r="T1068">
        <f>IF(J1068&lt;&gt;"H","",INDEX(Transaksi!$A$2:$A$2001,MATCH(S1068,Transaksi!$M$2:$M$2001,0)))</f>
        <v/>
      </c>
    </row>
    <row r="1069">
      <c r="A1069" s="31">
        <f>IF(J1069="E",IF(INDEX(Transaksi!$J$2:$J$2001,K1069)&gt;0,"↑","↓"),"")</f>
        <v/>
      </c>
      <c r="B1069" s="32">
        <f>IF(J1069="H",CHOOSE(WEEKDAY(T1069,2),"Isnin","Selasa","Rabu","Khamis","Jumaat","Sabtu","Ahad")&amp;", "&amp;DAY(T1069)&amp;" "&amp;CHOOSE(MONTH(T1069),"Jan","Feb","Mac","Apr","Mei","Jun","Jul","Ogo","Sep","Okt","Nov","Dis")&amp;" "&amp;YEAR(T1069),IF(J1069="E",IF(INDEX(Transaksi!$B$2:$B$2001,K1069)="",INDEX(Transaksi!$C$2:$C$2001,K1069)&amp;" · "&amp;INDEX(Transaksi!$D$2:$D$2001,K1069),INDEX(Transaksi!$B$2:$B$2001,K1069)),""))</f>
        <v/>
      </c>
      <c r="C1069" s="32">
        <f>IF(J1069="E",INDEX(Transaksi!$C$2:$C$2001,K1069)&amp;"","")</f>
        <v/>
      </c>
      <c r="D1069" s="32">
        <f>IF(J1069="E",INDEX(Transaksi!$D$2:$D$2001,K1069)&amp;"","")</f>
        <v/>
      </c>
      <c r="E1069" s="33">
        <f>IF(J1069="H",SUMIFS(Transaksi!$G$2:$G$2001,Transaksi!$M$2:$M$2001,"="&amp;S1069)+SUMIFS(Transaksi!$H$2:$H$2001,Transaksi!$M$2:$M$2001,"="&amp;S1069)+SUMIFS(Transaksi!$I$2:$I$2001,Transaksi!$M$2:$M$2001,"="&amp;S1069),IF(J1069="E",IF(INDEX(Transaksi!$G$2:$G$2001,K1069)+INDEX(Transaksi!$H$2:$H$2001,K1069)+INDEX(Transaksi!$I$2:$I$2001,K1069)=0,"",INDEX(Transaksi!$G$2:$G$2001,K1069)+INDEX(Transaksi!$H$2:$H$2001,K1069)+INDEX(Transaksi!$I$2:$I$2001,K1069)),""))</f>
        <v/>
      </c>
      <c r="F1069" s="33">
        <f>IF(J1069="H",SUMIFS(Transaksi!$J$2:$J$2001,Transaksi!$M$2:$M$2001,"="&amp;S1069),IF(J1069="E",IF(INDEX(Transaksi!$J$2:$J$2001,K1069)=0,"",INDEX(Transaksi!$J$2:$J$2001,K1069)),""))</f>
        <v/>
      </c>
      <c r="G1069" s="33">
        <f>IF(J1069="H",(SUMIFS(Transaksi!$G$2:$G$2001,Transaksi!$M$2:$M$2001,"&lt;="&amp;S1069)+SUMIFS(Transaksi!$H$2:$H$2001,Transaksi!$M$2:$M$2001,"&lt;="&amp;S1069)+SUMIFS(Transaksi!$I$2:$I$2001,Transaksi!$M$2:$M$2001,"&lt;="&amp;S1069))-(SUMIFS(Transaksi!$J$2:$J$2001,Transaksi!$M$2:$M$2001,"&lt;="&amp;S1069)),"")</f>
        <v/>
      </c>
      <c r="I1069">
        <f>IF(1066&gt;$O$2,"",MATCH(1066,$Q$3:$Q$402,1))</f>
        <v/>
      </c>
      <c r="J1069">
        <f>IF(I1069="","",IF(1066=INDEX($Q$3:$Q$402,I1069),"H","E"))</f>
        <v/>
      </c>
      <c r="K1069">
        <f>IF(J1069&lt;&gt;"E","",MATCH(S1069,Transaksi!$M$2:$M$2001,0)+1066-INDEX($Q$3:$Q$402,I1069)-1)</f>
        <v/>
      </c>
      <c r="S1069">
        <f>IF(I1069="","",INDEX($O$3:$O$402,I1069))</f>
        <v/>
      </c>
      <c r="T1069">
        <f>IF(J1069&lt;&gt;"H","",INDEX(Transaksi!$A$2:$A$2001,MATCH(S1069,Transaksi!$M$2:$M$2001,0)))</f>
        <v/>
      </c>
    </row>
    <row r="1070">
      <c r="A1070" s="31">
        <f>IF(J1070="E",IF(INDEX(Transaksi!$J$2:$J$2001,K1070)&gt;0,"↑","↓"),"")</f>
        <v/>
      </c>
      <c r="B1070" s="32">
        <f>IF(J1070="H",CHOOSE(WEEKDAY(T1070,2),"Isnin","Selasa","Rabu","Khamis","Jumaat","Sabtu","Ahad")&amp;", "&amp;DAY(T1070)&amp;" "&amp;CHOOSE(MONTH(T1070),"Jan","Feb","Mac","Apr","Mei","Jun","Jul","Ogo","Sep","Okt","Nov","Dis")&amp;" "&amp;YEAR(T1070),IF(J1070="E",IF(INDEX(Transaksi!$B$2:$B$2001,K1070)="",INDEX(Transaksi!$C$2:$C$2001,K1070)&amp;" · "&amp;INDEX(Transaksi!$D$2:$D$2001,K1070),INDEX(Transaksi!$B$2:$B$2001,K1070)),""))</f>
        <v/>
      </c>
      <c r="C1070" s="32">
        <f>IF(J1070="E",INDEX(Transaksi!$C$2:$C$2001,K1070)&amp;"","")</f>
        <v/>
      </c>
      <c r="D1070" s="32">
        <f>IF(J1070="E",INDEX(Transaksi!$D$2:$D$2001,K1070)&amp;"","")</f>
        <v/>
      </c>
      <c r="E1070" s="33">
        <f>IF(J1070="H",SUMIFS(Transaksi!$G$2:$G$2001,Transaksi!$M$2:$M$2001,"="&amp;S1070)+SUMIFS(Transaksi!$H$2:$H$2001,Transaksi!$M$2:$M$2001,"="&amp;S1070)+SUMIFS(Transaksi!$I$2:$I$2001,Transaksi!$M$2:$M$2001,"="&amp;S1070),IF(J1070="E",IF(INDEX(Transaksi!$G$2:$G$2001,K1070)+INDEX(Transaksi!$H$2:$H$2001,K1070)+INDEX(Transaksi!$I$2:$I$2001,K1070)=0,"",INDEX(Transaksi!$G$2:$G$2001,K1070)+INDEX(Transaksi!$H$2:$H$2001,K1070)+INDEX(Transaksi!$I$2:$I$2001,K1070)),""))</f>
        <v/>
      </c>
      <c r="F1070" s="33">
        <f>IF(J1070="H",SUMIFS(Transaksi!$J$2:$J$2001,Transaksi!$M$2:$M$2001,"="&amp;S1070),IF(J1070="E",IF(INDEX(Transaksi!$J$2:$J$2001,K1070)=0,"",INDEX(Transaksi!$J$2:$J$2001,K1070)),""))</f>
        <v/>
      </c>
      <c r="G1070" s="33">
        <f>IF(J1070="H",(SUMIFS(Transaksi!$G$2:$G$2001,Transaksi!$M$2:$M$2001,"&lt;="&amp;S1070)+SUMIFS(Transaksi!$H$2:$H$2001,Transaksi!$M$2:$M$2001,"&lt;="&amp;S1070)+SUMIFS(Transaksi!$I$2:$I$2001,Transaksi!$M$2:$M$2001,"&lt;="&amp;S1070))-(SUMIFS(Transaksi!$J$2:$J$2001,Transaksi!$M$2:$M$2001,"&lt;="&amp;S1070)),"")</f>
        <v/>
      </c>
      <c r="I1070">
        <f>IF(1067&gt;$O$2,"",MATCH(1067,$Q$3:$Q$402,1))</f>
        <v/>
      </c>
      <c r="J1070">
        <f>IF(I1070="","",IF(1067=INDEX($Q$3:$Q$402,I1070),"H","E"))</f>
        <v/>
      </c>
      <c r="K1070">
        <f>IF(J1070&lt;&gt;"E","",MATCH(S1070,Transaksi!$M$2:$M$2001,0)+1067-INDEX($Q$3:$Q$402,I1070)-1)</f>
        <v/>
      </c>
      <c r="S1070">
        <f>IF(I1070="","",INDEX($O$3:$O$402,I1070))</f>
        <v/>
      </c>
      <c r="T1070">
        <f>IF(J1070&lt;&gt;"H","",INDEX(Transaksi!$A$2:$A$2001,MATCH(S1070,Transaksi!$M$2:$M$2001,0)))</f>
        <v/>
      </c>
    </row>
    <row r="1071">
      <c r="A1071" s="31">
        <f>IF(J1071="E",IF(INDEX(Transaksi!$J$2:$J$2001,K1071)&gt;0,"↑","↓"),"")</f>
        <v/>
      </c>
      <c r="B1071" s="32">
        <f>IF(J1071="H",CHOOSE(WEEKDAY(T1071,2),"Isnin","Selasa","Rabu","Khamis","Jumaat","Sabtu","Ahad")&amp;", "&amp;DAY(T1071)&amp;" "&amp;CHOOSE(MONTH(T1071),"Jan","Feb","Mac","Apr","Mei","Jun","Jul","Ogo","Sep","Okt","Nov","Dis")&amp;" "&amp;YEAR(T1071),IF(J1071="E",IF(INDEX(Transaksi!$B$2:$B$2001,K1071)="",INDEX(Transaksi!$C$2:$C$2001,K1071)&amp;" · "&amp;INDEX(Transaksi!$D$2:$D$2001,K1071),INDEX(Transaksi!$B$2:$B$2001,K1071)),""))</f>
        <v/>
      </c>
      <c r="C1071" s="32">
        <f>IF(J1071="E",INDEX(Transaksi!$C$2:$C$2001,K1071)&amp;"","")</f>
        <v/>
      </c>
      <c r="D1071" s="32">
        <f>IF(J1071="E",INDEX(Transaksi!$D$2:$D$2001,K1071)&amp;"","")</f>
        <v/>
      </c>
      <c r="E1071" s="33">
        <f>IF(J1071="H",SUMIFS(Transaksi!$G$2:$G$2001,Transaksi!$M$2:$M$2001,"="&amp;S1071)+SUMIFS(Transaksi!$H$2:$H$2001,Transaksi!$M$2:$M$2001,"="&amp;S1071)+SUMIFS(Transaksi!$I$2:$I$2001,Transaksi!$M$2:$M$2001,"="&amp;S1071),IF(J1071="E",IF(INDEX(Transaksi!$G$2:$G$2001,K1071)+INDEX(Transaksi!$H$2:$H$2001,K1071)+INDEX(Transaksi!$I$2:$I$2001,K1071)=0,"",INDEX(Transaksi!$G$2:$G$2001,K1071)+INDEX(Transaksi!$H$2:$H$2001,K1071)+INDEX(Transaksi!$I$2:$I$2001,K1071)),""))</f>
        <v/>
      </c>
      <c r="F1071" s="33">
        <f>IF(J1071="H",SUMIFS(Transaksi!$J$2:$J$2001,Transaksi!$M$2:$M$2001,"="&amp;S1071),IF(J1071="E",IF(INDEX(Transaksi!$J$2:$J$2001,K1071)=0,"",INDEX(Transaksi!$J$2:$J$2001,K1071)),""))</f>
        <v/>
      </c>
      <c r="G1071" s="33">
        <f>IF(J1071="H",(SUMIFS(Transaksi!$G$2:$G$2001,Transaksi!$M$2:$M$2001,"&lt;="&amp;S1071)+SUMIFS(Transaksi!$H$2:$H$2001,Transaksi!$M$2:$M$2001,"&lt;="&amp;S1071)+SUMIFS(Transaksi!$I$2:$I$2001,Transaksi!$M$2:$M$2001,"&lt;="&amp;S1071))-(SUMIFS(Transaksi!$J$2:$J$2001,Transaksi!$M$2:$M$2001,"&lt;="&amp;S1071)),"")</f>
        <v/>
      </c>
      <c r="I1071">
        <f>IF(1068&gt;$O$2,"",MATCH(1068,$Q$3:$Q$402,1))</f>
        <v/>
      </c>
      <c r="J1071">
        <f>IF(I1071="","",IF(1068=INDEX($Q$3:$Q$402,I1071),"H","E"))</f>
        <v/>
      </c>
      <c r="K1071">
        <f>IF(J1071&lt;&gt;"E","",MATCH(S1071,Transaksi!$M$2:$M$2001,0)+1068-INDEX($Q$3:$Q$402,I1071)-1)</f>
        <v/>
      </c>
      <c r="S1071">
        <f>IF(I1071="","",INDEX($O$3:$O$402,I1071))</f>
        <v/>
      </c>
      <c r="T1071">
        <f>IF(J1071&lt;&gt;"H","",INDEX(Transaksi!$A$2:$A$2001,MATCH(S1071,Transaksi!$M$2:$M$2001,0)))</f>
        <v/>
      </c>
    </row>
    <row r="1072">
      <c r="A1072" s="31">
        <f>IF(J1072="E",IF(INDEX(Transaksi!$J$2:$J$2001,K1072)&gt;0,"↑","↓"),"")</f>
        <v/>
      </c>
      <c r="B1072" s="32">
        <f>IF(J1072="H",CHOOSE(WEEKDAY(T1072,2),"Isnin","Selasa","Rabu","Khamis","Jumaat","Sabtu","Ahad")&amp;", "&amp;DAY(T1072)&amp;" "&amp;CHOOSE(MONTH(T1072),"Jan","Feb","Mac","Apr","Mei","Jun","Jul","Ogo","Sep","Okt","Nov","Dis")&amp;" "&amp;YEAR(T1072),IF(J1072="E",IF(INDEX(Transaksi!$B$2:$B$2001,K1072)="",INDEX(Transaksi!$C$2:$C$2001,K1072)&amp;" · "&amp;INDEX(Transaksi!$D$2:$D$2001,K1072),INDEX(Transaksi!$B$2:$B$2001,K1072)),""))</f>
        <v/>
      </c>
      <c r="C1072" s="32">
        <f>IF(J1072="E",INDEX(Transaksi!$C$2:$C$2001,K1072)&amp;"","")</f>
        <v/>
      </c>
      <c r="D1072" s="32">
        <f>IF(J1072="E",INDEX(Transaksi!$D$2:$D$2001,K1072)&amp;"","")</f>
        <v/>
      </c>
      <c r="E1072" s="33">
        <f>IF(J1072="H",SUMIFS(Transaksi!$G$2:$G$2001,Transaksi!$M$2:$M$2001,"="&amp;S1072)+SUMIFS(Transaksi!$H$2:$H$2001,Transaksi!$M$2:$M$2001,"="&amp;S1072)+SUMIFS(Transaksi!$I$2:$I$2001,Transaksi!$M$2:$M$2001,"="&amp;S1072),IF(J1072="E",IF(INDEX(Transaksi!$G$2:$G$2001,K1072)+INDEX(Transaksi!$H$2:$H$2001,K1072)+INDEX(Transaksi!$I$2:$I$2001,K1072)=0,"",INDEX(Transaksi!$G$2:$G$2001,K1072)+INDEX(Transaksi!$H$2:$H$2001,K1072)+INDEX(Transaksi!$I$2:$I$2001,K1072)),""))</f>
        <v/>
      </c>
      <c r="F1072" s="33">
        <f>IF(J1072="H",SUMIFS(Transaksi!$J$2:$J$2001,Transaksi!$M$2:$M$2001,"="&amp;S1072),IF(J1072="E",IF(INDEX(Transaksi!$J$2:$J$2001,K1072)=0,"",INDEX(Transaksi!$J$2:$J$2001,K1072)),""))</f>
        <v/>
      </c>
      <c r="G1072" s="33">
        <f>IF(J1072="H",(SUMIFS(Transaksi!$G$2:$G$2001,Transaksi!$M$2:$M$2001,"&lt;="&amp;S1072)+SUMIFS(Transaksi!$H$2:$H$2001,Transaksi!$M$2:$M$2001,"&lt;="&amp;S1072)+SUMIFS(Transaksi!$I$2:$I$2001,Transaksi!$M$2:$M$2001,"&lt;="&amp;S1072))-(SUMIFS(Transaksi!$J$2:$J$2001,Transaksi!$M$2:$M$2001,"&lt;="&amp;S1072)),"")</f>
        <v/>
      </c>
      <c r="I1072">
        <f>IF(1069&gt;$O$2,"",MATCH(1069,$Q$3:$Q$402,1))</f>
        <v/>
      </c>
      <c r="J1072">
        <f>IF(I1072="","",IF(1069=INDEX($Q$3:$Q$402,I1072),"H","E"))</f>
        <v/>
      </c>
      <c r="K1072">
        <f>IF(J1072&lt;&gt;"E","",MATCH(S1072,Transaksi!$M$2:$M$2001,0)+1069-INDEX($Q$3:$Q$402,I1072)-1)</f>
        <v/>
      </c>
      <c r="S1072">
        <f>IF(I1072="","",INDEX($O$3:$O$402,I1072))</f>
        <v/>
      </c>
      <c r="T1072">
        <f>IF(J1072&lt;&gt;"H","",INDEX(Transaksi!$A$2:$A$2001,MATCH(S1072,Transaksi!$M$2:$M$2001,0)))</f>
        <v/>
      </c>
    </row>
    <row r="1073">
      <c r="A1073" s="31">
        <f>IF(J1073="E",IF(INDEX(Transaksi!$J$2:$J$2001,K1073)&gt;0,"↑","↓"),"")</f>
        <v/>
      </c>
      <c r="B1073" s="32">
        <f>IF(J1073="H",CHOOSE(WEEKDAY(T1073,2),"Isnin","Selasa","Rabu","Khamis","Jumaat","Sabtu","Ahad")&amp;", "&amp;DAY(T1073)&amp;" "&amp;CHOOSE(MONTH(T1073),"Jan","Feb","Mac","Apr","Mei","Jun","Jul","Ogo","Sep","Okt","Nov","Dis")&amp;" "&amp;YEAR(T1073),IF(J1073="E",IF(INDEX(Transaksi!$B$2:$B$2001,K1073)="",INDEX(Transaksi!$C$2:$C$2001,K1073)&amp;" · "&amp;INDEX(Transaksi!$D$2:$D$2001,K1073),INDEX(Transaksi!$B$2:$B$2001,K1073)),""))</f>
        <v/>
      </c>
      <c r="C1073" s="32">
        <f>IF(J1073="E",INDEX(Transaksi!$C$2:$C$2001,K1073)&amp;"","")</f>
        <v/>
      </c>
      <c r="D1073" s="32">
        <f>IF(J1073="E",INDEX(Transaksi!$D$2:$D$2001,K1073)&amp;"","")</f>
        <v/>
      </c>
      <c r="E1073" s="33">
        <f>IF(J1073="H",SUMIFS(Transaksi!$G$2:$G$2001,Transaksi!$M$2:$M$2001,"="&amp;S1073)+SUMIFS(Transaksi!$H$2:$H$2001,Transaksi!$M$2:$M$2001,"="&amp;S1073)+SUMIFS(Transaksi!$I$2:$I$2001,Transaksi!$M$2:$M$2001,"="&amp;S1073),IF(J1073="E",IF(INDEX(Transaksi!$G$2:$G$2001,K1073)+INDEX(Transaksi!$H$2:$H$2001,K1073)+INDEX(Transaksi!$I$2:$I$2001,K1073)=0,"",INDEX(Transaksi!$G$2:$G$2001,K1073)+INDEX(Transaksi!$H$2:$H$2001,K1073)+INDEX(Transaksi!$I$2:$I$2001,K1073)),""))</f>
        <v/>
      </c>
      <c r="F1073" s="33">
        <f>IF(J1073="H",SUMIFS(Transaksi!$J$2:$J$2001,Transaksi!$M$2:$M$2001,"="&amp;S1073),IF(J1073="E",IF(INDEX(Transaksi!$J$2:$J$2001,K1073)=0,"",INDEX(Transaksi!$J$2:$J$2001,K1073)),""))</f>
        <v/>
      </c>
      <c r="G1073" s="33">
        <f>IF(J1073="H",(SUMIFS(Transaksi!$G$2:$G$2001,Transaksi!$M$2:$M$2001,"&lt;="&amp;S1073)+SUMIFS(Transaksi!$H$2:$H$2001,Transaksi!$M$2:$M$2001,"&lt;="&amp;S1073)+SUMIFS(Transaksi!$I$2:$I$2001,Transaksi!$M$2:$M$2001,"&lt;="&amp;S1073))-(SUMIFS(Transaksi!$J$2:$J$2001,Transaksi!$M$2:$M$2001,"&lt;="&amp;S1073)),"")</f>
        <v/>
      </c>
      <c r="I1073">
        <f>IF(1070&gt;$O$2,"",MATCH(1070,$Q$3:$Q$402,1))</f>
        <v/>
      </c>
      <c r="J1073">
        <f>IF(I1073="","",IF(1070=INDEX($Q$3:$Q$402,I1073),"H","E"))</f>
        <v/>
      </c>
      <c r="K1073">
        <f>IF(J1073&lt;&gt;"E","",MATCH(S1073,Transaksi!$M$2:$M$2001,0)+1070-INDEX($Q$3:$Q$402,I1073)-1)</f>
        <v/>
      </c>
      <c r="S1073">
        <f>IF(I1073="","",INDEX($O$3:$O$402,I1073))</f>
        <v/>
      </c>
      <c r="T1073">
        <f>IF(J1073&lt;&gt;"H","",INDEX(Transaksi!$A$2:$A$2001,MATCH(S1073,Transaksi!$M$2:$M$2001,0)))</f>
        <v/>
      </c>
    </row>
    <row r="1074">
      <c r="A1074" s="31">
        <f>IF(J1074="E",IF(INDEX(Transaksi!$J$2:$J$2001,K1074)&gt;0,"↑","↓"),"")</f>
        <v/>
      </c>
      <c r="B1074" s="32">
        <f>IF(J1074="H",CHOOSE(WEEKDAY(T1074,2),"Isnin","Selasa","Rabu","Khamis","Jumaat","Sabtu","Ahad")&amp;", "&amp;DAY(T1074)&amp;" "&amp;CHOOSE(MONTH(T1074),"Jan","Feb","Mac","Apr","Mei","Jun","Jul","Ogo","Sep","Okt","Nov","Dis")&amp;" "&amp;YEAR(T1074),IF(J1074="E",IF(INDEX(Transaksi!$B$2:$B$2001,K1074)="",INDEX(Transaksi!$C$2:$C$2001,K1074)&amp;" · "&amp;INDEX(Transaksi!$D$2:$D$2001,K1074),INDEX(Transaksi!$B$2:$B$2001,K1074)),""))</f>
        <v/>
      </c>
      <c r="C1074" s="32">
        <f>IF(J1074="E",INDEX(Transaksi!$C$2:$C$2001,K1074)&amp;"","")</f>
        <v/>
      </c>
      <c r="D1074" s="32">
        <f>IF(J1074="E",INDEX(Transaksi!$D$2:$D$2001,K1074)&amp;"","")</f>
        <v/>
      </c>
      <c r="E1074" s="33">
        <f>IF(J1074="H",SUMIFS(Transaksi!$G$2:$G$2001,Transaksi!$M$2:$M$2001,"="&amp;S1074)+SUMIFS(Transaksi!$H$2:$H$2001,Transaksi!$M$2:$M$2001,"="&amp;S1074)+SUMIFS(Transaksi!$I$2:$I$2001,Transaksi!$M$2:$M$2001,"="&amp;S1074),IF(J1074="E",IF(INDEX(Transaksi!$G$2:$G$2001,K1074)+INDEX(Transaksi!$H$2:$H$2001,K1074)+INDEX(Transaksi!$I$2:$I$2001,K1074)=0,"",INDEX(Transaksi!$G$2:$G$2001,K1074)+INDEX(Transaksi!$H$2:$H$2001,K1074)+INDEX(Transaksi!$I$2:$I$2001,K1074)),""))</f>
        <v/>
      </c>
      <c r="F1074" s="33">
        <f>IF(J1074="H",SUMIFS(Transaksi!$J$2:$J$2001,Transaksi!$M$2:$M$2001,"="&amp;S1074),IF(J1074="E",IF(INDEX(Transaksi!$J$2:$J$2001,K1074)=0,"",INDEX(Transaksi!$J$2:$J$2001,K1074)),""))</f>
        <v/>
      </c>
      <c r="G1074" s="33">
        <f>IF(J1074="H",(SUMIFS(Transaksi!$G$2:$G$2001,Transaksi!$M$2:$M$2001,"&lt;="&amp;S1074)+SUMIFS(Transaksi!$H$2:$H$2001,Transaksi!$M$2:$M$2001,"&lt;="&amp;S1074)+SUMIFS(Transaksi!$I$2:$I$2001,Transaksi!$M$2:$M$2001,"&lt;="&amp;S1074))-(SUMIFS(Transaksi!$J$2:$J$2001,Transaksi!$M$2:$M$2001,"&lt;="&amp;S1074)),"")</f>
        <v/>
      </c>
      <c r="I1074">
        <f>IF(1071&gt;$O$2,"",MATCH(1071,$Q$3:$Q$402,1))</f>
        <v/>
      </c>
      <c r="J1074">
        <f>IF(I1074="","",IF(1071=INDEX($Q$3:$Q$402,I1074),"H","E"))</f>
        <v/>
      </c>
      <c r="K1074">
        <f>IF(J1074&lt;&gt;"E","",MATCH(S1074,Transaksi!$M$2:$M$2001,0)+1071-INDEX($Q$3:$Q$402,I1074)-1)</f>
        <v/>
      </c>
      <c r="S1074">
        <f>IF(I1074="","",INDEX($O$3:$O$402,I1074))</f>
        <v/>
      </c>
      <c r="T1074">
        <f>IF(J1074&lt;&gt;"H","",INDEX(Transaksi!$A$2:$A$2001,MATCH(S1074,Transaksi!$M$2:$M$2001,0)))</f>
        <v/>
      </c>
    </row>
    <row r="1075">
      <c r="A1075" s="31">
        <f>IF(J1075="E",IF(INDEX(Transaksi!$J$2:$J$2001,K1075)&gt;0,"↑","↓"),"")</f>
        <v/>
      </c>
      <c r="B1075" s="32">
        <f>IF(J1075="H",CHOOSE(WEEKDAY(T1075,2),"Isnin","Selasa","Rabu","Khamis","Jumaat","Sabtu","Ahad")&amp;", "&amp;DAY(T1075)&amp;" "&amp;CHOOSE(MONTH(T1075),"Jan","Feb","Mac","Apr","Mei","Jun","Jul","Ogo","Sep","Okt","Nov","Dis")&amp;" "&amp;YEAR(T1075),IF(J1075="E",IF(INDEX(Transaksi!$B$2:$B$2001,K1075)="",INDEX(Transaksi!$C$2:$C$2001,K1075)&amp;" · "&amp;INDEX(Transaksi!$D$2:$D$2001,K1075),INDEX(Transaksi!$B$2:$B$2001,K1075)),""))</f>
        <v/>
      </c>
      <c r="C1075" s="32">
        <f>IF(J1075="E",INDEX(Transaksi!$C$2:$C$2001,K1075)&amp;"","")</f>
        <v/>
      </c>
      <c r="D1075" s="32">
        <f>IF(J1075="E",INDEX(Transaksi!$D$2:$D$2001,K1075)&amp;"","")</f>
        <v/>
      </c>
      <c r="E1075" s="33">
        <f>IF(J1075="H",SUMIFS(Transaksi!$G$2:$G$2001,Transaksi!$M$2:$M$2001,"="&amp;S1075)+SUMIFS(Transaksi!$H$2:$H$2001,Transaksi!$M$2:$M$2001,"="&amp;S1075)+SUMIFS(Transaksi!$I$2:$I$2001,Transaksi!$M$2:$M$2001,"="&amp;S1075),IF(J1075="E",IF(INDEX(Transaksi!$G$2:$G$2001,K1075)+INDEX(Transaksi!$H$2:$H$2001,K1075)+INDEX(Transaksi!$I$2:$I$2001,K1075)=0,"",INDEX(Transaksi!$G$2:$G$2001,K1075)+INDEX(Transaksi!$H$2:$H$2001,K1075)+INDEX(Transaksi!$I$2:$I$2001,K1075)),""))</f>
        <v/>
      </c>
      <c r="F1075" s="33">
        <f>IF(J1075="H",SUMIFS(Transaksi!$J$2:$J$2001,Transaksi!$M$2:$M$2001,"="&amp;S1075),IF(J1075="E",IF(INDEX(Transaksi!$J$2:$J$2001,K1075)=0,"",INDEX(Transaksi!$J$2:$J$2001,K1075)),""))</f>
        <v/>
      </c>
      <c r="G1075" s="33">
        <f>IF(J1075="H",(SUMIFS(Transaksi!$G$2:$G$2001,Transaksi!$M$2:$M$2001,"&lt;="&amp;S1075)+SUMIFS(Transaksi!$H$2:$H$2001,Transaksi!$M$2:$M$2001,"&lt;="&amp;S1075)+SUMIFS(Transaksi!$I$2:$I$2001,Transaksi!$M$2:$M$2001,"&lt;="&amp;S1075))-(SUMIFS(Transaksi!$J$2:$J$2001,Transaksi!$M$2:$M$2001,"&lt;="&amp;S1075)),"")</f>
        <v/>
      </c>
      <c r="I1075">
        <f>IF(1072&gt;$O$2,"",MATCH(1072,$Q$3:$Q$402,1))</f>
        <v/>
      </c>
      <c r="J1075">
        <f>IF(I1075="","",IF(1072=INDEX($Q$3:$Q$402,I1075),"H","E"))</f>
        <v/>
      </c>
      <c r="K1075">
        <f>IF(J1075&lt;&gt;"E","",MATCH(S1075,Transaksi!$M$2:$M$2001,0)+1072-INDEX($Q$3:$Q$402,I1075)-1)</f>
        <v/>
      </c>
      <c r="S1075">
        <f>IF(I1075="","",INDEX($O$3:$O$402,I1075))</f>
        <v/>
      </c>
      <c r="T1075">
        <f>IF(J1075&lt;&gt;"H","",INDEX(Transaksi!$A$2:$A$2001,MATCH(S1075,Transaksi!$M$2:$M$2001,0)))</f>
        <v/>
      </c>
    </row>
    <row r="1076">
      <c r="A1076" s="31">
        <f>IF(J1076="E",IF(INDEX(Transaksi!$J$2:$J$2001,K1076)&gt;0,"↑","↓"),"")</f>
        <v/>
      </c>
      <c r="B1076" s="32">
        <f>IF(J1076="H",CHOOSE(WEEKDAY(T1076,2),"Isnin","Selasa","Rabu","Khamis","Jumaat","Sabtu","Ahad")&amp;", "&amp;DAY(T1076)&amp;" "&amp;CHOOSE(MONTH(T1076),"Jan","Feb","Mac","Apr","Mei","Jun","Jul","Ogo","Sep","Okt","Nov","Dis")&amp;" "&amp;YEAR(T1076),IF(J1076="E",IF(INDEX(Transaksi!$B$2:$B$2001,K1076)="",INDEX(Transaksi!$C$2:$C$2001,K1076)&amp;" · "&amp;INDEX(Transaksi!$D$2:$D$2001,K1076),INDEX(Transaksi!$B$2:$B$2001,K1076)),""))</f>
        <v/>
      </c>
      <c r="C1076" s="32">
        <f>IF(J1076="E",INDEX(Transaksi!$C$2:$C$2001,K1076)&amp;"","")</f>
        <v/>
      </c>
      <c r="D1076" s="32">
        <f>IF(J1076="E",INDEX(Transaksi!$D$2:$D$2001,K1076)&amp;"","")</f>
        <v/>
      </c>
      <c r="E1076" s="33">
        <f>IF(J1076="H",SUMIFS(Transaksi!$G$2:$G$2001,Transaksi!$M$2:$M$2001,"="&amp;S1076)+SUMIFS(Transaksi!$H$2:$H$2001,Transaksi!$M$2:$M$2001,"="&amp;S1076)+SUMIFS(Transaksi!$I$2:$I$2001,Transaksi!$M$2:$M$2001,"="&amp;S1076),IF(J1076="E",IF(INDEX(Transaksi!$G$2:$G$2001,K1076)+INDEX(Transaksi!$H$2:$H$2001,K1076)+INDEX(Transaksi!$I$2:$I$2001,K1076)=0,"",INDEX(Transaksi!$G$2:$G$2001,K1076)+INDEX(Transaksi!$H$2:$H$2001,K1076)+INDEX(Transaksi!$I$2:$I$2001,K1076)),""))</f>
        <v/>
      </c>
      <c r="F1076" s="33">
        <f>IF(J1076="H",SUMIFS(Transaksi!$J$2:$J$2001,Transaksi!$M$2:$M$2001,"="&amp;S1076),IF(J1076="E",IF(INDEX(Transaksi!$J$2:$J$2001,K1076)=0,"",INDEX(Transaksi!$J$2:$J$2001,K1076)),""))</f>
        <v/>
      </c>
      <c r="G1076" s="33">
        <f>IF(J1076="H",(SUMIFS(Transaksi!$G$2:$G$2001,Transaksi!$M$2:$M$2001,"&lt;="&amp;S1076)+SUMIFS(Transaksi!$H$2:$H$2001,Transaksi!$M$2:$M$2001,"&lt;="&amp;S1076)+SUMIFS(Transaksi!$I$2:$I$2001,Transaksi!$M$2:$M$2001,"&lt;="&amp;S1076))-(SUMIFS(Transaksi!$J$2:$J$2001,Transaksi!$M$2:$M$2001,"&lt;="&amp;S1076)),"")</f>
        <v/>
      </c>
      <c r="I1076">
        <f>IF(1073&gt;$O$2,"",MATCH(1073,$Q$3:$Q$402,1))</f>
        <v/>
      </c>
      <c r="J1076">
        <f>IF(I1076="","",IF(1073=INDEX($Q$3:$Q$402,I1076),"H","E"))</f>
        <v/>
      </c>
      <c r="K1076">
        <f>IF(J1076&lt;&gt;"E","",MATCH(S1076,Transaksi!$M$2:$M$2001,0)+1073-INDEX($Q$3:$Q$402,I1076)-1)</f>
        <v/>
      </c>
      <c r="S1076">
        <f>IF(I1076="","",INDEX($O$3:$O$402,I1076))</f>
        <v/>
      </c>
      <c r="T1076">
        <f>IF(J1076&lt;&gt;"H","",INDEX(Transaksi!$A$2:$A$2001,MATCH(S1076,Transaksi!$M$2:$M$2001,0)))</f>
        <v/>
      </c>
    </row>
    <row r="1077">
      <c r="A1077" s="31">
        <f>IF(J1077="E",IF(INDEX(Transaksi!$J$2:$J$2001,K1077)&gt;0,"↑","↓"),"")</f>
        <v/>
      </c>
      <c r="B1077" s="32">
        <f>IF(J1077="H",CHOOSE(WEEKDAY(T1077,2),"Isnin","Selasa","Rabu","Khamis","Jumaat","Sabtu","Ahad")&amp;", "&amp;DAY(T1077)&amp;" "&amp;CHOOSE(MONTH(T1077),"Jan","Feb","Mac","Apr","Mei","Jun","Jul","Ogo","Sep","Okt","Nov","Dis")&amp;" "&amp;YEAR(T1077),IF(J1077="E",IF(INDEX(Transaksi!$B$2:$B$2001,K1077)="",INDEX(Transaksi!$C$2:$C$2001,K1077)&amp;" · "&amp;INDEX(Transaksi!$D$2:$D$2001,K1077),INDEX(Transaksi!$B$2:$B$2001,K1077)),""))</f>
        <v/>
      </c>
      <c r="C1077" s="32">
        <f>IF(J1077="E",INDEX(Transaksi!$C$2:$C$2001,K1077)&amp;"","")</f>
        <v/>
      </c>
      <c r="D1077" s="32">
        <f>IF(J1077="E",INDEX(Transaksi!$D$2:$D$2001,K1077)&amp;"","")</f>
        <v/>
      </c>
      <c r="E1077" s="33">
        <f>IF(J1077="H",SUMIFS(Transaksi!$G$2:$G$2001,Transaksi!$M$2:$M$2001,"="&amp;S1077)+SUMIFS(Transaksi!$H$2:$H$2001,Transaksi!$M$2:$M$2001,"="&amp;S1077)+SUMIFS(Transaksi!$I$2:$I$2001,Transaksi!$M$2:$M$2001,"="&amp;S1077),IF(J1077="E",IF(INDEX(Transaksi!$G$2:$G$2001,K1077)+INDEX(Transaksi!$H$2:$H$2001,K1077)+INDEX(Transaksi!$I$2:$I$2001,K1077)=0,"",INDEX(Transaksi!$G$2:$G$2001,K1077)+INDEX(Transaksi!$H$2:$H$2001,K1077)+INDEX(Transaksi!$I$2:$I$2001,K1077)),""))</f>
        <v/>
      </c>
      <c r="F1077" s="33">
        <f>IF(J1077="H",SUMIFS(Transaksi!$J$2:$J$2001,Transaksi!$M$2:$M$2001,"="&amp;S1077),IF(J1077="E",IF(INDEX(Transaksi!$J$2:$J$2001,K1077)=0,"",INDEX(Transaksi!$J$2:$J$2001,K1077)),""))</f>
        <v/>
      </c>
      <c r="G1077" s="33">
        <f>IF(J1077="H",(SUMIFS(Transaksi!$G$2:$G$2001,Transaksi!$M$2:$M$2001,"&lt;="&amp;S1077)+SUMIFS(Transaksi!$H$2:$H$2001,Transaksi!$M$2:$M$2001,"&lt;="&amp;S1077)+SUMIFS(Transaksi!$I$2:$I$2001,Transaksi!$M$2:$M$2001,"&lt;="&amp;S1077))-(SUMIFS(Transaksi!$J$2:$J$2001,Transaksi!$M$2:$M$2001,"&lt;="&amp;S1077)),"")</f>
        <v/>
      </c>
      <c r="I1077">
        <f>IF(1074&gt;$O$2,"",MATCH(1074,$Q$3:$Q$402,1))</f>
        <v/>
      </c>
      <c r="J1077">
        <f>IF(I1077="","",IF(1074=INDEX($Q$3:$Q$402,I1077),"H","E"))</f>
        <v/>
      </c>
      <c r="K1077">
        <f>IF(J1077&lt;&gt;"E","",MATCH(S1077,Transaksi!$M$2:$M$2001,0)+1074-INDEX($Q$3:$Q$402,I1077)-1)</f>
        <v/>
      </c>
      <c r="S1077">
        <f>IF(I1077="","",INDEX($O$3:$O$402,I1077))</f>
        <v/>
      </c>
      <c r="T1077">
        <f>IF(J1077&lt;&gt;"H","",INDEX(Transaksi!$A$2:$A$2001,MATCH(S1077,Transaksi!$M$2:$M$2001,0)))</f>
        <v/>
      </c>
    </row>
    <row r="1078">
      <c r="A1078" s="31">
        <f>IF(J1078="E",IF(INDEX(Transaksi!$J$2:$J$2001,K1078)&gt;0,"↑","↓"),"")</f>
        <v/>
      </c>
      <c r="B1078" s="32">
        <f>IF(J1078="H",CHOOSE(WEEKDAY(T1078,2),"Isnin","Selasa","Rabu","Khamis","Jumaat","Sabtu","Ahad")&amp;", "&amp;DAY(T1078)&amp;" "&amp;CHOOSE(MONTH(T1078),"Jan","Feb","Mac","Apr","Mei","Jun","Jul","Ogo","Sep","Okt","Nov","Dis")&amp;" "&amp;YEAR(T1078),IF(J1078="E",IF(INDEX(Transaksi!$B$2:$B$2001,K1078)="",INDEX(Transaksi!$C$2:$C$2001,K1078)&amp;" · "&amp;INDEX(Transaksi!$D$2:$D$2001,K1078),INDEX(Transaksi!$B$2:$B$2001,K1078)),""))</f>
        <v/>
      </c>
      <c r="C1078" s="32">
        <f>IF(J1078="E",INDEX(Transaksi!$C$2:$C$2001,K1078)&amp;"","")</f>
        <v/>
      </c>
      <c r="D1078" s="32">
        <f>IF(J1078="E",INDEX(Transaksi!$D$2:$D$2001,K1078)&amp;"","")</f>
        <v/>
      </c>
      <c r="E1078" s="33">
        <f>IF(J1078="H",SUMIFS(Transaksi!$G$2:$G$2001,Transaksi!$M$2:$M$2001,"="&amp;S1078)+SUMIFS(Transaksi!$H$2:$H$2001,Transaksi!$M$2:$M$2001,"="&amp;S1078)+SUMIFS(Transaksi!$I$2:$I$2001,Transaksi!$M$2:$M$2001,"="&amp;S1078),IF(J1078="E",IF(INDEX(Transaksi!$G$2:$G$2001,K1078)+INDEX(Transaksi!$H$2:$H$2001,K1078)+INDEX(Transaksi!$I$2:$I$2001,K1078)=0,"",INDEX(Transaksi!$G$2:$G$2001,K1078)+INDEX(Transaksi!$H$2:$H$2001,K1078)+INDEX(Transaksi!$I$2:$I$2001,K1078)),""))</f>
        <v/>
      </c>
      <c r="F1078" s="33">
        <f>IF(J1078="H",SUMIFS(Transaksi!$J$2:$J$2001,Transaksi!$M$2:$M$2001,"="&amp;S1078),IF(J1078="E",IF(INDEX(Transaksi!$J$2:$J$2001,K1078)=0,"",INDEX(Transaksi!$J$2:$J$2001,K1078)),""))</f>
        <v/>
      </c>
      <c r="G1078" s="33">
        <f>IF(J1078="H",(SUMIFS(Transaksi!$G$2:$G$2001,Transaksi!$M$2:$M$2001,"&lt;="&amp;S1078)+SUMIFS(Transaksi!$H$2:$H$2001,Transaksi!$M$2:$M$2001,"&lt;="&amp;S1078)+SUMIFS(Transaksi!$I$2:$I$2001,Transaksi!$M$2:$M$2001,"&lt;="&amp;S1078))-(SUMIFS(Transaksi!$J$2:$J$2001,Transaksi!$M$2:$M$2001,"&lt;="&amp;S1078)),"")</f>
        <v/>
      </c>
      <c r="I1078">
        <f>IF(1075&gt;$O$2,"",MATCH(1075,$Q$3:$Q$402,1))</f>
        <v/>
      </c>
      <c r="J1078">
        <f>IF(I1078="","",IF(1075=INDEX($Q$3:$Q$402,I1078),"H","E"))</f>
        <v/>
      </c>
      <c r="K1078">
        <f>IF(J1078&lt;&gt;"E","",MATCH(S1078,Transaksi!$M$2:$M$2001,0)+1075-INDEX($Q$3:$Q$402,I1078)-1)</f>
        <v/>
      </c>
      <c r="S1078">
        <f>IF(I1078="","",INDEX($O$3:$O$402,I1078))</f>
        <v/>
      </c>
      <c r="T1078">
        <f>IF(J1078&lt;&gt;"H","",INDEX(Transaksi!$A$2:$A$2001,MATCH(S1078,Transaksi!$M$2:$M$2001,0)))</f>
        <v/>
      </c>
    </row>
    <row r="1079">
      <c r="A1079" s="31">
        <f>IF(J1079="E",IF(INDEX(Transaksi!$J$2:$J$2001,K1079)&gt;0,"↑","↓"),"")</f>
        <v/>
      </c>
      <c r="B1079" s="32">
        <f>IF(J1079="H",CHOOSE(WEEKDAY(T1079,2),"Isnin","Selasa","Rabu","Khamis","Jumaat","Sabtu","Ahad")&amp;", "&amp;DAY(T1079)&amp;" "&amp;CHOOSE(MONTH(T1079),"Jan","Feb","Mac","Apr","Mei","Jun","Jul","Ogo","Sep","Okt","Nov","Dis")&amp;" "&amp;YEAR(T1079),IF(J1079="E",IF(INDEX(Transaksi!$B$2:$B$2001,K1079)="",INDEX(Transaksi!$C$2:$C$2001,K1079)&amp;" · "&amp;INDEX(Transaksi!$D$2:$D$2001,K1079),INDEX(Transaksi!$B$2:$B$2001,K1079)),""))</f>
        <v/>
      </c>
      <c r="C1079" s="32">
        <f>IF(J1079="E",INDEX(Transaksi!$C$2:$C$2001,K1079)&amp;"","")</f>
        <v/>
      </c>
      <c r="D1079" s="32">
        <f>IF(J1079="E",INDEX(Transaksi!$D$2:$D$2001,K1079)&amp;"","")</f>
        <v/>
      </c>
      <c r="E1079" s="33">
        <f>IF(J1079="H",SUMIFS(Transaksi!$G$2:$G$2001,Transaksi!$M$2:$M$2001,"="&amp;S1079)+SUMIFS(Transaksi!$H$2:$H$2001,Transaksi!$M$2:$M$2001,"="&amp;S1079)+SUMIFS(Transaksi!$I$2:$I$2001,Transaksi!$M$2:$M$2001,"="&amp;S1079),IF(J1079="E",IF(INDEX(Transaksi!$G$2:$G$2001,K1079)+INDEX(Transaksi!$H$2:$H$2001,K1079)+INDEX(Transaksi!$I$2:$I$2001,K1079)=0,"",INDEX(Transaksi!$G$2:$G$2001,K1079)+INDEX(Transaksi!$H$2:$H$2001,K1079)+INDEX(Transaksi!$I$2:$I$2001,K1079)),""))</f>
        <v/>
      </c>
      <c r="F1079" s="33">
        <f>IF(J1079="H",SUMIFS(Transaksi!$J$2:$J$2001,Transaksi!$M$2:$M$2001,"="&amp;S1079),IF(J1079="E",IF(INDEX(Transaksi!$J$2:$J$2001,K1079)=0,"",INDEX(Transaksi!$J$2:$J$2001,K1079)),""))</f>
        <v/>
      </c>
      <c r="G1079" s="33">
        <f>IF(J1079="H",(SUMIFS(Transaksi!$G$2:$G$2001,Transaksi!$M$2:$M$2001,"&lt;="&amp;S1079)+SUMIFS(Transaksi!$H$2:$H$2001,Transaksi!$M$2:$M$2001,"&lt;="&amp;S1079)+SUMIFS(Transaksi!$I$2:$I$2001,Transaksi!$M$2:$M$2001,"&lt;="&amp;S1079))-(SUMIFS(Transaksi!$J$2:$J$2001,Transaksi!$M$2:$M$2001,"&lt;="&amp;S1079)),"")</f>
        <v/>
      </c>
      <c r="I1079">
        <f>IF(1076&gt;$O$2,"",MATCH(1076,$Q$3:$Q$402,1))</f>
        <v/>
      </c>
      <c r="J1079">
        <f>IF(I1079="","",IF(1076=INDEX($Q$3:$Q$402,I1079),"H","E"))</f>
        <v/>
      </c>
      <c r="K1079">
        <f>IF(J1079&lt;&gt;"E","",MATCH(S1079,Transaksi!$M$2:$M$2001,0)+1076-INDEX($Q$3:$Q$402,I1079)-1)</f>
        <v/>
      </c>
      <c r="S1079">
        <f>IF(I1079="","",INDEX($O$3:$O$402,I1079))</f>
        <v/>
      </c>
      <c r="T1079">
        <f>IF(J1079&lt;&gt;"H","",INDEX(Transaksi!$A$2:$A$2001,MATCH(S1079,Transaksi!$M$2:$M$2001,0)))</f>
        <v/>
      </c>
    </row>
    <row r="1080">
      <c r="A1080" s="31">
        <f>IF(J1080="E",IF(INDEX(Transaksi!$J$2:$J$2001,K1080)&gt;0,"↑","↓"),"")</f>
        <v/>
      </c>
      <c r="B1080" s="32">
        <f>IF(J1080="H",CHOOSE(WEEKDAY(T1080,2),"Isnin","Selasa","Rabu","Khamis","Jumaat","Sabtu","Ahad")&amp;", "&amp;DAY(T1080)&amp;" "&amp;CHOOSE(MONTH(T1080),"Jan","Feb","Mac","Apr","Mei","Jun","Jul","Ogo","Sep","Okt","Nov","Dis")&amp;" "&amp;YEAR(T1080),IF(J1080="E",IF(INDEX(Transaksi!$B$2:$B$2001,K1080)="",INDEX(Transaksi!$C$2:$C$2001,K1080)&amp;" · "&amp;INDEX(Transaksi!$D$2:$D$2001,K1080),INDEX(Transaksi!$B$2:$B$2001,K1080)),""))</f>
        <v/>
      </c>
      <c r="C1080" s="32">
        <f>IF(J1080="E",INDEX(Transaksi!$C$2:$C$2001,K1080)&amp;"","")</f>
        <v/>
      </c>
      <c r="D1080" s="32">
        <f>IF(J1080="E",INDEX(Transaksi!$D$2:$D$2001,K1080)&amp;"","")</f>
        <v/>
      </c>
      <c r="E1080" s="33">
        <f>IF(J1080="H",SUMIFS(Transaksi!$G$2:$G$2001,Transaksi!$M$2:$M$2001,"="&amp;S1080)+SUMIFS(Transaksi!$H$2:$H$2001,Transaksi!$M$2:$M$2001,"="&amp;S1080)+SUMIFS(Transaksi!$I$2:$I$2001,Transaksi!$M$2:$M$2001,"="&amp;S1080),IF(J1080="E",IF(INDEX(Transaksi!$G$2:$G$2001,K1080)+INDEX(Transaksi!$H$2:$H$2001,K1080)+INDEX(Transaksi!$I$2:$I$2001,K1080)=0,"",INDEX(Transaksi!$G$2:$G$2001,K1080)+INDEX(Transaksi!$H$2:$H$2001,K1080)+INDEX(Transaksi!$I$2:$I$2001,K1080)),""))</f>
        <v/>
      </c>
      <c r="F1080" s="33">
        <f>IF(J1080="H",SUMIFS(Transaksi!$J$2:$J$2001,Transaksi!$M$2:$M$2001,"="&amp;S1080),IF(J1080="E",IF(INDEX(Transaksi!$J$2:$J$2001,K1080)=0,"",INDEX(Transaksi!$J$2:$J$2001,K1080)),""))</f>
        <v/>
      </c>
      <c r="G1080" s="33">
        <f>IF(J1080="H",(SUMIFS(Transaksi!$G$2:$G$2001,Transaksi!$M$2:$M$2001,"&lt;="&amp;S1080)+SUMIFS(Transaksi!$H$2:$H$2001,Transaksi!$M$2:$M$2001,"&lt;="&amp;S1080)+SUMIFS(Transaksi!$I$2:$I$2001,Transaksi!$M$2:$M$2001,"&lt;="&amp;S1080))-(SUMIFS(Transaksi!$J$2:$J$2001,Transaksi!$M$2:$M$2001,"&lt;="&amp;S1080)),"")</f>
        <v/>
      </c>
      <c r="I1080">
        <f>IF(1077&gt;$O$2,"",MATCH(1077,$Q$3:$Q$402,1))</f>
        <v/>
      </c>
      <c r="J1080">
        <f>IF(I1080="","",IF(1077=INDEX($Q$3:$Q$402,I1080),"H","E"))</f>
        <v/>
      </c>
      <c r="K1080">
        <f>IF(J1080&lt;&gt;"E","",MATCH(S1080,Transaksi!$M$2:$M$2001,0)+1077-INDEX($Q$3:$Q$402,I1080)-1)</f>
        <v/>
      </c>
      <c r="S1080">
        <f>IF(I1080="","",INDEX($O$3:$O$402,I1080))</f>
        <v/>
      </c>
      <c r="T1080">
        <f>IF(J1080&lt;&gt;"H","",INDEX(Transaksi!$A$2:$A$2001,MATCH(S1080,Transaksi!$M$2:$M$2001,0)))</f>
        <v/>
      </c>
    </row>
    <row r="1081">
      <c r="A1081" s="31">
        <f>IF(J1081="E",IF(INDEX(Transaksi!$J$2:$J$2001,K1081)&gt;0,"↑","↓"),"")</f>
        <v/>
      </c>
      <c r="B1081" s="32">
        <f>IF(J1081="H",CHOOSE(WEEKDAY(T1081,2),"Isnin","Selasa","Rabu","Khamis","Jumaat","Sabtu","Ahad")&amp;", "&amp;DAY(T1081)&amp;" "&amp;CHOOSE(MONTH(T1081),"Jan","Feb","Mac","Apr","Mei","Jun","Jul","Ogo","Sep","Okt","Nov","Dis")&amp;" "&amp;YEAR(T1081),IF(J1081="E",IF(INDEX(Transaksi!$B$2:$B$2001,K1081)="",INDEX(Transaksi!$C$2:$C$2001,K1081)&amp;" · "&amp;INDEX(Transaksi!$D$2:$D$2001,K1081),INDEX(Transaksi!$B$2:$B$2001,K1081)),""))</f>
        <v/>
      </c>
      <c r="C1081" s="32">
        <f>IF(J1081="E",INDEX(Transaksi!$C$2:$C$2001,K1081)&amp;"","")</f>
        <v/>
      </c>
      <c r="D1081" s="32">
        <f>IF(J1081="E",INDEX(Transaksi!$D$2:$D$2001,K1081)&amp;"","")</f>
        <v/>
      </c>
      <c r="E1081" s="33">
        <f>IF(J1081="H",SUMIFS(Transaksi!$G$2:$G$2001,Transaksi!$M$2:$M$2001,"="&amp;S1081)+SUMIFS(Transaksi!$H$2:$H$2001,Transaksi!$M$2:$M$2001,"="&amp;S1081)+SUMIFS(Transaksi!$I$2:$I$2001,Transaksi!$M$2:$M$2001,"="&amp;S1081),IF(J1081="E",IF(INDEX(Transaksi!$G$2:$G$2001,K1081)+INDEX(Transaksi!$H$2:$H$2001,K1081)+INDEX(Transaksi!$I$2:$I$2001,K1081)=0,"",INDEX(Transaksi!$G$2:$G$2001,K1081)+INDEX(Transaksi!$H$2:$H$2001,K1081)+INDEX(Transaksi!$I$2:$I$2001,K1081)),""))</f>
        <v/>
      </c>
      <c r="F1081" s="33">
        <f>IF(J1081="H",SUMIFS(Transaksi!$J$2:$J$2001,Transaksi!$M$2:$M$2001,"="&amp;S1081),IF(J1081="E",IF(INDEX(Transaksi!$J$2:$J$2001,K1081)=0,"",INDEX(Transaksi!$J$2:$J$2001,K1081)),""))</f>
        <v/>
      </c>
      <c r="G1081" s="33">
        <f>IF(J1081="H",(SUMIFS(Transaksi!$G$2:$G$2001,Transaksi!$M$2:$M$2001,"&lt;="&amp;S1081)+SUMIFS(Transaksi!$H$2:$H$2001,Transaksi!$M$2:$M$2001,"&lt;="&amp;S1081)+SUMIFS(Transaksi!$I$2:$I$2001,Transaksi!$M$2:$M$2001,"&lt;="&amp;S1081))-(SUMIFS(Transaksi!$J$2:$J$2001,Transaksi!$M$2:$M$2001,"&lt;="&amp;S1081)),"")</f>
        <v/>
      </c>
      <c r="I1081">
        <f>IF(1078&gt;$O$2,"",MATCH(1078,$Q$3:$Q$402,1))</f>
        <v/>
      </c>
      <c r="J1081">
        <f>IF(I1081="","",IF(1078=INDEX($Q$3:$Q$402,I1081),"H","E"))</f>
        <v/>
      </c>
      <c r="K1081">
        <f>IF(J1081&lt;&gt;"E","",MATCH(S1081,Transaksi!$M$2:$M$2001,0)+1078-INDEX($Q$3:$Q$402,I1081)-1)</f>
        <v/>
      </c>
      <c r="S1081">
        <f>IF(I1081="","",INDEX($O$3:$O$402,I1081))</f>
        <v/>
      </c>
      <c r="T1081">
        <f>IF(J1081&lt;&gt;"H","",INDEX(Transaksi!$A$2:$A$2001,MATCH(S1081,Transaksi!$M$2:$M$2001,0)))</f>
        <v/>
      </c>
    </row>
    <row r="1082">
      <c r="A1082" s="31">
        <f>IF(J1082="E",IF(INDEX(Transaksi!$J$2:$J$2001,K1082)&gt;0,"↑","↓"),"")</f>
        <v/>
      </c>
      <c r="B1082" s="32">
        <f>IF(J1082="H",CHOOSE(WEEKDAY(T1082,2),"Isnin","Selasa","Rabu","Khamis","Jumaat","Sabtu","Ahad")&amp;", "&amp;DAY(T1082)&amp;" "&amp;CHOOSE(MONTH(T1082),"Jan","Feb","Mac","Apr","Mei","Jun","Jul","Ogo","Sep","Okt","Nov","Dis")&amp;" "&amp;YEAR(T1082),IF(J1082="E",IF(INDEX(Transaksi!$B$2:$B$2001,K1082)="",INDEX(Transaksi!$C$2:$C$2001,K1082)&amp;" · "&amp;INDEX(Transaksi!$D$2:$D$2001,K1082),INDEX(Transaksi!$B$2:$B$2001,K1082)),""))</f>
        <v/>
      </c>
      <c r="C1082" s="32">
        <f>IF(J1082="E",INDEX(Transaksi!$C$2:$C$2001,K1082)&amp;"","")</f>
        <v/>
      </c>
      <c r="D1082" s="32">
        <f>IF(J1082="E",INDEX(Transaksi!$D$2:$D$2001,K1082)&amp;"","")</f>
        <v/>
      </c>
      <c r="E1082" s="33">
        <f>IF(J1082="H",SUMIFS(Transaksi!$G$2:$G$2001,Transaksi!$M$2:$M$2001,"="&amp;S1082)+SUMIFS(Transaksi!$H$2:$H$2001,Transaksi!$M$2:$M$2001,"="&amp;S1082)+SUMIFS(Transaksi!$I$2:$I$2001,Transaksi!$M$2:$M$2001,"="&amp;S1082),IF(J1082="E",IF(INDEX(Transaksi!$G$2:$G$2001,K1082)+INDEX(Transaksi!$H$2:$H$2001,K1082)+INDEX(Transaksi!$I$2:$I$2001,K1082)=0,"",INDEX(Transaksi!$G$2:$G$2001,K1082)+INDEX(Transaksi!$H$2:$H$2001,K1082)+INDEX(Transaksi!$I$2:$I$2001,K1082)),""))</f>
        <v/>
      </c>
      <c r="F1082" s="33">
        <f>IF(J1082="H",SUMIFS(Transaksi!$J$2:$J$2001,Transaksi!$M$2:$M$2001,"="&amp;S1082),IF(J1082="E",IF(INDEX(Transaksi!$J$2:$J$2001,K1082)=0,"",INDEX(Transaksi!$J$2:$J$2001,K1082)),""))</f>
        <v/>
      </c>
      <c r="G1082" s="33">
        <f>IF(J1082="H",(SUMIFS(Transaksi!$G$2:$G$2001,Transaksi!$M$2:$M$2001,"&lt;="&amp;S1082)+SUMIFS(Transaksi!$H$2:$H$2001,Transaksi!$M$2:$M$2001,"&lt;="&amp;S1082)+SUMIFS(Transaksi!$I$2:$I$2001,Transaksi!$M$2:$M$2001,"&lt;="&amp;S1082))-(SUMIFS(Transaksi!$J$2:$J$2001,Transaksi!$M$2:$M$2001,"&lt;="&amp;S1082)),"")</f>
        <v/>
      </c>
      <c r="I1082">
        <f>IF(1079&gt;$O$2,"",MATCH(1079,$Q$3:$Q$402,1))</f>
        <v/>
      </c>
      <c r="J1082">
        <f>IF(I1082="","",IF(1079=INDEX($Q$3:$Q$402,I1082),"H","E"))</f>
        <v/>
      </c>
      <c r="K1082">
        <f>IF(J1082&lt;&gt;"E","",MATCH(S1082,Transaksi!$M$2:$M$2001,0)+1079-INDEX($Q$3:$Q$402,I1082)-1)</f>
        <v/>
      </c>
      <c r="S1082">
        <f>IF(I1082="","",INDEX($O$3:$O$402,I1082))</f>
        <v/>
      </c>
      <c r="T1082">
        <f>IF(J1082&lt;&gt;"H","",INDEX(Transaksi!$A$2:$A$2001,MATCH(S1082,Transaksi!$M$2:$M$2001,0)))</f>
        <v/>
      </c>
    </row>
    <row r="1083">
      <c r="A1083" s="31">
        <f>IF(J1083="E",IF(INDEX(Transaksi!$J$2:$J$2001,K1083)&gt;0,"↑","↓"),"")</f>
        <v/>
      </c>
      <c r="B1083" s="32">
        <f>IF(J1083="H",CHOOSE(WEEKDAY(T1083,2),"Isnin","Selasa","Rabu","Khamis","Jumaat","Sabtu","Ahad")&amp;", "&amp;DAY(T1083)&amp;" "&amp;CHOOSE(MONTH(T1083),"Jan","Feb","Mac","Apr","Mei","Jun","Jul","Ogo","Sep","Okt","Nov","Dis")&amp;" "&amp;YEAR(T1083),IF(J1083="E",IF(INDEX(Transaksi!$B$2:$B$2001,K1083)="",INDEX(Transaksi!$C$2:$C$2001,K1083)&amp;" · "&amp;INDEX(Transaksi!$D$2:$D$2001,K1083),INDEX(Transaksi!$B$2:$B$2001,K1083)),""))</f>
        <v/>
      </c>
      <c r="C1083" s="32">
        <f>IF(J1083="E",INDEX(Transaksi!$C$2:$C$2001,K1083)&amp;"","")</f>
        <v/>
      </c>
      <c r="D1083" s="32">
        <f>IF(J1083="E",INDEX(Transaksi!$D$2:$D$2001,K1083)&amp;"","")</f>
        <v/>
      </c>
      <c r="E1083" s="33">
        <f>IF(J1083="H",SUMIFS(Transaksi!$G$2:$G$2001,Transaksi!$M$2:$M$2001,"="&amp;S1083)+SUMIFS(Transaksi!$H$2:$H$2001,Transaksi!$M$2:$M$2001,"="&amp;S1083)+SUMIFS(Transaksi!$I$2:$I$2001,Transaksi!$M$2:$M$2001,"="&amp;S1083),IF(J1083="E",IF(INDEX(Transaksi!$G$2:$G$2001,K1083)+INDEX(Transaksi!$H$2:$H$2001,K1083)+INDEX(Transaksi!$I$2:$I$2001,K1083)=0,"",INDEX(Transaksi!$G$2:$G$2001,K1083)+INDEX(Transaksi!$H$2:$H$2001,K1083)+INDEX(Transaksi!$I$2:$I$2001,K1083)),""))</f>
        <v/>
      </c>
      <c r="F1083" s="33">
        <f>IF(J1083="H",SUMIFS(Transaksi!$J$2:$J$2001,Transaksi!$M$2:$M$2001,"="&amp;S1083),IF(J1083="E",IF(INDEX(Transaksi!$J$2:$J$2001,K1083)=0,"",INDEX(Transaksi!$J$2:$J$2001,K1083)),""))</f>
        <v/>
      </c>
      <c r="G1083" s="33">
        <f>IF(J1083="H",(SUMIFS(Transaksi!$G$2:$G$2001,Transaksi!$M$2:$M$2001,"&lt;="&amp;S1083)+SUMIFS(Transaksi!$H$2:$H$2001,Transaksi!$M$2:$M$2001,"&lt;="&amp;S1083)+SUMIFS(Transaksi!$I$2:$I$2001,Transaksi!$M$2:$M$2001,"&lt;="&amp;S1083))-(SUMIFS(Transaksi!$J$2:$J$2001,Transaksi!$M$2:$M$2001,"&lt;="&amp;S1083)),"")</f>
        <v/>
      </c>
      <c r="I1083">
        <f>IF(1080&gt;$O$2,"",MATCH(1080,$Q$3:$Q$402,1))</f>
        <v/>
      </c>
      <c r="J1083">
        <f>IF(I1083="","",IF(1080=INDEX($Q$3:$Q$402,I1083),"H","E"))</f>
        <v/>
      </c>
      <c r="K1083">
        <f>IF(J1083&lt;&gt;"E","",MATCH(S1083,Transaksi!$M$2:$M$2001,0)+1080-INDEX($Q$3:$Q$402,I1083)-1)</f>
        <v/>
      </c>
      <c r="S1083">
        <f>IF(I1083="","",INDEX($O$3:$O$402,I1083))</f>
        <v/>
      </c>
      <c r="T1083">
        <f>IF(J1083&lt;&gt;"H","",INDEX(Transaksi!$A$2:$A$2001,MATCH(S1083,Transaksi!$M$2:$M$2001,0)))</f>
        <v/>
      </c>
    </row>
    <row r="1084">
      <c r="A1084" s="31">
        <f>IF(J1084="E",IF(INDEX(Transaksi!$J$2:$J$2001,K1084)&gt;0,"↑","↓"),"")</f>
        <v/>
      </c>
      <c r="B1084" s="32">
        <f>IF(J1084="H",CHOOSE(WEEKDAY(T1084,2),"Isnin","Selasa","Rabu","Khamis","Jumaat","Sabtu","Ahad")&amp;", "&amp;DAY(T1084)&amp;" "&amp;CHOOSE(MONTH(T1084),"Jan","Feb","Mac","Apr","Mei","Jun","Jul","Ogo","Sep","Okt","Nov","Dis")&amp;" "&amp;YEAR(T1084),IF(J1084="E",IF(INDEX(Transaksi!$B$2:$B$2001,K1084)="",INDEX(Transaksi!$C$2:$C$2001,K1084)&amp;" · "&amp;INDEX(Transaksi!$D$2:$D$2001,K1084),INDEX(Transaksi!$B$2:$B$2001,K1084)),""))</f>
        <v/>
      </c>
      <c r="C1084" s="32">
        <f>IF(J1084="E",INDEX(Transaksi!$C$2:$C$2001,K1084)&amp;"","")</f>
        <v/>
      </c>
      <c r="D1084" s="32">
        <f>IF(J1084="E",INDEX(Transaksi!$D$2:$D$2001,K1084)&amp;"","")</f>
        <v/>
      </c>
      <c r="E1084" s="33">
        <f>IF(J1084="H",SUMIFS(Transaksi!$G$2:$G$2001,Transaksi!$M$2:$M$2001,"="&amp;S1084)+SUMIFS(Transaksi!$H$2:$H$2001,Transaksi!$M$2:$M$2001,"="&amp;S1084)+SUMIFS(Transaksi!$I$2:$I$2001,Transaksi!$M$2:$M$2001,"="&amp;S1084),IF(J1084="E",IF(INDEX(Transaksi!$G$2:$G$2001,K1084)+INDEX(Transaksi!$H$2:$H$2001,K1084)+INDEX(Transaksi!$I$2:$I$2001,K1084)=0,"",INDEX(Transaksi!$G$2:$G$2001,K1084)+INDEX(Transaksi!$H$2:$H$2001,K1084)+INDEX(Transaksi!$I$2:$I$2001,K1084)),""))</f>
        <v/>
      </c>
      <c r="F1084" s="33">
        <f>IF(J1084="H",SUMIFS(Transaksi!$J$2:$J$2001,Transaksi!$M$2:$M$2001,"="&amp;S1084),IF(J1084="E",IF(INDEX(Transaksi!$J$2:$J$2001,K1084)=0,"",INDEX(Transaksi!$J$2:$J$2001,K1084)),""))</f>
        <v/>
      </c>
      <c r="G1084" s="33">
        <f>IF(J1084="H",(SUMIFS(Transaksi!$G$2:$G$2001,Transaksi!$M$2:$M$2001,"&lt;="&amp;S1084)+SUMIFS(Transaksi!$H$2:$H$2001,Transaksi!$M$2:$M$2001,"&lt;="&amp;S1084)+SUMIFS(Transaksi!$I$2:$I$2001,Transaksi!$M$2:$M$2001,"&lt;="&amp;S1084))-(SUMIFS(Transaksi!$J$2:$J$2001,Transaksi!$M$2:$M$2001,"&lt;="&amp;S1084)),"")</f>
        <v/>
      </c>
      <c r="I1084">
        <f>IF(1081&gt;$O$2,"",MATCH(1081,$Q$3:$Q$402,1))</f>
        <v/>
      </c>
      <c r="J1084">
        <f>IF(I1084="","",IF(1081=INDEX($Q$3:$Q$402,I1084),"H","E"))</f>
        <v/>
      </c>
      <c r="K1084">
        <f>IF(J1084&lt;&gt;"E","",MATCH(S1084,Transaksi!$M$2:$M$2001,0)+1081-INDEX($Q$3:$Q$402,I1084)-1)</f>
        <v/>
      </c>
      <c r="S1084">
        <f>IF(I1084="","",INDEX($O$3:$O$402,I1084))</f>
        <v/>
      </c>
      <c r="T1084">
        <f>IF(J1084&lt;&gt;"H","",INDEX(Transaksi!$A$2:$A$2001,MATCH(S1084,Transaksi!$M$2:$M$2001,0)))</f>
        <v/>
      </c>
    </row>
    <row r="1085">
      <c r="A1085" s="31">
        <f>IF(J1085="E",IF(INDEX(Transaksi!$J$2:$J$2001,K1085)&gt;0,"↑","↓"),"")</f>
        <v/>
      </c>
      <c r="B1085" s="32">
        <f>IF(J1085="H",CHOOSE(WEEKDAY(T1085,2),"Isnin","Selasa","Rabu","Khamis","Jumaat","Sabtu","Ahad")&amp;", "&amp;DAY(T1085)&amp;" "&amp;CHOOSE(MONTH(T1085),"Jan","Feb","Mac","Apr","Mei","Jun","Jul","Ogo","Sep","Okt","Nov","Dis")&amp;" "&amp;YEAR(T1085),IF(J1085="E",IF(INDEX(Transaksi!$B$2:$B$2001,K1085)="",INDEX(Transaksi!$C$2:$C$2001,K1085)&amp;" · "&amp;INDEX(Transaksi!$D$2:$D$2001,K1085),INDEX(Transaksi!$B$2:$B$2001,K1085)),""))</f>
        <v/>
      </c>
      <c r="C1085" s="32">
        <f>IF(J1085="E",INDEX(Transaksi!$C$2:$C$2001,K1085)&amp;"","")</f>
        <v/>
      </c>
      <c r="D1085" s="32">
        <f>IF(J1085="E",INDEX(Transaksi!$D$2:$D$2001,K1085)&amp;"","")</f>
        <v/>
      </c>
      <c r="E1085" s="33">
        <f>IF(J1085="H",SUMIFS(Transaksi!$G$2:$G$2001,Transaksi!$M$2:$M$2001,"="&amp;S1085)+SUMIFS(Transaksi!$H$2:$H$2001,Transaksi!$M$2:$M$2001,"="&amp;S1085)+SUMIFS(Transaksi!$I$2:$I$2001,Transaksi!$M$2:$M$2001,"="&amp;S1085),IF(J1085="E",IF(INDEX(Transaksi!$G$2:$G$2001,K1085)+INDEX(Transaksi!$H$2:$H$2001,K1085)+INDEX(Transaksi!$I$2:$I$2001,K1085)=0,"",INDEX(Transaksi!$G$2:$G$2001,K1085)+INDEX(Transaksi!$H$2:$H$2001,K1085)+INDEX(Transaksi!$I$2:$I$2001,K1085)),""))</f>
        <v/>
      </c>
      <c r="F1085" s="33">
        <f>IF(J1085="H",SUMIFS(Transaksi!$J$2:$J$2001,Transaksi!$M$2:$M$2001,"="&amp;S1085),IF(J1085="E",IF(INDEX(Transaksi!$J$2:$J$2001,K1085)=0,"",INDEX(Transaksi!$J$2:$J$2001,K1085)),""))</f>
        <v/>
      </c>
      <c r="G1085" s="33">
        <f>IF(J1085="H",(SUMIFS(Transaksi!$G$2:$G$2001,Transaksi!$M$2:$M$2001,"&lt;="&amp;S1085)+SUMIFS(Transaksi!$H$2:$H$2001,Transaksi!$M$2:$M$2001,"&lt;="&amp;S1085)+SUMIFS(Transaksi!$I$2:$I$2001,Transaksi!$M$2:$M$2001,"&lt;="&amp;S1085))-(SUMIFS(Transaksi!$J$2:$J$2001,Transaksi!$M$2:$M$2001,"&lt;="&amp;S1085)),"")</f>
        <v/>
      </c>
      <c r="I1085">
        <f>IF(1082&gt;$O$2,"",MATCH(1082,$Q$3:$Q$402,1))</f>
        <v/>
      </c>
      <c r="J1085">
        <f>IF(I1085="","",IF(1082=INDEX($Q$3:$Q$402,I1085),"H","E"))</f>
        <v/>
      </c>
      <c r="K1085">
        <f>IF(J1085&lt;&gt;"E","",MATCH(S1085,Transaksi!$M$2:$M$2001,0)+1082-INDEX($Q$3:$Q$402,I1085)-1)</f>
        <v/>
      </c>
      <c r="S1085">
        <f>IF(I1085="","",INDEX($O$3:$O$402,I1085))</f>
        <v/>
      </c>
      <c r="T1085">
        <f>IF(J1085&lt;&gt;"H","",INDEX(Transaksi!$A$2:$A$2001,MATCH(S1085,Transaksi!$M$2:$M$2001,0)))</f>
        <v/>
      </c>
    </row>
    <row r="1086">
      <c r="A1086" s="31">
        <f>IF(J1086="E",IF(INDEX(Transaksi!$J$2:$J$2001,K1086)&gt;0,"↑","↓"),"")</f>
        <v/>
      </c>
      <c r="B1086" s="32">
        <f>IF(J1086="H",CHOOSE(WEEKDAY(T1086,2),"Isnin","Selasa","Rabu","Khamis","Jumaat","Sabtu","Ahad")&amp;", "&amp;DAY(T1086)&amp;" "&amp;CHOOSE(MONTH(T1086),"Jan","Feb","Mac","Apr","Mei","Jun","Jul","Ogo","Sep","Okt","Nov","Dis")&amp;" "&amp;YEAR(T1086),IF(J1086="E",IF(INDEX(Transaksi!$B$2:$B$2001,K1086)="",INDEX(Transaksi!$C$2:$C$2001,K1086)&amp;" · "&amp;INDEX(Transaksi!$D$2:$D$2001,K1086),INDEX(Transaksi!$B$2:$B$2001,K1086)),""))</f>
        <v/>
      </c>
      <c r="C1086" s="32">
        <f>IF(J1086="E",INDEX(Transaksi!$C$2:$C$2001,K1086)&amp;"","")</f>
        <v/>
      </c>
      <c r="D1086" s="32">
        <f>IF(J1086="E",INDEX(Transaksi!$D$2:$D$2001,K1086)&amp;"","")</f>
        <v/>
      </c>
      <c r="E1086" s="33">
        <f>IF(J1086="H",SUMIFS(Transaksi!$G$2:$G$2001,Transaksi!$M$2:$M$2001,"="&amp;S1086)+SUMIFS(Transaksi!$H$2:$H$2001,Transaksi!$M$2:$M$2001,"="&amp;S1086)+SUMIFS(Transaksi!$I$2:$I$2001,Transaksi!$M$2:$M$2001,"="&amp;S1086),IF(J1086="E",IF(INDEX(Transaksi!$G$2:$G$2001,K1086)+INDEX(Transaksi!$H$2:$H$2001,K1086)+INDEX(Transaksi!$I$2:$I$2001,K1086)=0,"",INDEX(Transaksi!$G$2:$G$2001,K1086)+INDEX(Transaksi!$H$2:$H$2001,K1086)+INDEX(Transaksi!$I$2:$I$2001,K1086)),""))</f>
        <v/>
      </c>
      <c r="F1086" s="33">
        <f>IF(J1086="H",SUMIFS(Transaksi!$J$2:$J$2001,Transaksi!$M$2:$M$2001,"="&amp;S1086),IF(J1086="E",IF(INDEX(Transaksi!$J$2:$J$2001,K1086)=0,"",INDEX(Transaksi!$J$2:$J$2001,K1086)),""))</f>
        <v/>
      </c>
      <c r="G1086" s="33">
        <f>IF(J1086="H",(SUMIFS(Transaksi!$G$2:$G$2001,Transaksi!$M$2:$M$2001,"&lt;="&amp;S1086)+SUMIFS(Transaksi!$H$2:$H$2001,Transaksi!$M$2:$M$2001,"&lt;="&amp;S1086)+SUMIFS(Transaksi!$I$2:$I$2001,Transaksi!$M$2:$M$2001,"&lt;="&amp;S1086))-(SUMIFS(Transaksi!$J$2:$J$2001,Transaksi!$M$2:$M$2001,"&lt;="&amp;S1086)),"")</f>
        <v/>
      </c>
      <c r="I1086">
        <f>IF(1083&gt;$O$2,"",MATCH(1083,$Q$3:$Q$402,1))</f>
        <v/>
      </c>
      <c r="J1086">
        <f>IF(I1086="","",IF(1083=INDEX($Q$3:$Q$402,I1086),"H","E"))</f>
        <v/>
      </c>
      <c r="K1086">
        <f>IF(J1086&lt;&gt;"E","",MATCH(S1086,Transaksi!$M$2:$M$2001,0)+1083-INDEX($Q$3:$Q$402,I1086)-1)</f>
        <v/>
      </c>
      <c r="S1086">
        <f>IF(I1086="","",INDEX($O$3:$O$402,I1086))</f>
        <v/>
      </c>
      <c r="T1086">
        <f>IF(J1086&lt;&gt;"H","",INDEX(Transaksi!$A$2:$A$2001,MATCH(S1086,Transaksi!$M$2:$M$2001,0)))</f>
        <v/>
      </c>
    </row>
    <row r="1087">
      <c r="A1087" s="31">
        <f>IF(J1087="E",IF(INDEX(Transaksi!$J$2:$J$2001,K1087)&gt;0,"↑","↓"),"")</f>
        <v/>
      </c>
      <c r="B1087" s="32">
        <f>IF(J1087="H",CHOOSE(WEEKDAY(T1087,2),"Isnin","Selasa","Rabu","Khamis","Jumaat","Sabtu","Ahad")&amp;", "&amp;DAY(T1087)&amp;" "&amp;CHOOSE(MONTH(T1087),"Jan","Feb","Mac","Apr","Mei","Jun","Jul","Ogo","Sep","Okt","Nov","Dis")&amp;" "&amp;YEAR(T1087),IF(J1087="E",IF(INDEX(Transaksi!$B$2:$B$2001,K1087)="",INDEX(Transaksi!$C$2:$C$2001,K1087)&amp;" · "&amp;INDEX(Transaksi!$D$2:$D$2001,K1087),INDEX(Transaksi!$B$2:$B$2001,K1087)),""))</f>
        <v/>
      </c>
      <c r="C1087" s="32">
        <f>IF(J1087="E",INDEX(Transaksi!$C$2:$C$2001,K1087)&amp;"","")</f>
        <v/>
      </c>
      <c r="D1087" s="32">
        <f>IF(J1087="E",INDEX(Transaksi!$D$2:$D$2001,K1087)&amp;"","")</f>
        <v/>
      </c>
      <c r="E1087" s="33">
        <f>IF(J1087="H",SUMIFS(Transaksi!$G$2:$G$2001,Transaksi!$M$2:$M$2001,"="&amp;S1087)+SUMIFS(Transaksi!$H$2:$H$2001,Transaksi!$M$2:$M$2001,"="&amp;S1087)+SUMIFS(Transaksi!$I$2:$I$2001,Transaksi!$M$2:$M$2001,"="&amp;S1087),IF(J1087="E",IF(INDEX(Transaksi!$G$2:$G$2001,K1087)+INDEX(Transaksi!$H$2:$H$2001,K1087)+INDEX(Transaksi!$I$2:$I$2001,K1087)=0,"",INDEX(Transaksi!$G$2:$G$2001,K1087)+INDEX(Transaksi!$H$2:$H$2001,K1087)+INDEX(Transaksi!$I$2:$I$2001,K1087)),""))</f>
        <v/>
      </c>
      <c r="F1087" s="33">
        <f>IF(J1087="H",SUMIFS(Transaksi!$J$2:$J$2001,Transaksi!$M$2:$M$2001,"="&amp;S1087),IF(J1087="E",IF(INDEX(Transaksi!$J$2:$J$2001,K1087)=0,"",INDEX(Transaksi!$J$2:$J$2001,K1087)),""))</f>
        <v/>
      </c>
      <c r="G1087" s="33">
        <f>IF(J1087="H",(SUMIFS(Transaksi!$G$2:$G$2001,Transaksi!$M$2:$M$2001,"&lt;="&amp;S1087)+SUMIFS(Transaksi!$H$2:$H$2001,Transaksi!$M$2:$M$2001,"&lt;="&amp;S1087)+SUMIFS(Transaksi!$I$2:$I$2001,Transaksi!$M$2:$M$2001,"&lt;="&amp;S1087))-(SUMIFS(Transaksi!$J$2:$J$2001,Transaksi!$M$2:$M$2001,"&lt;="&amp;S1087)),"")</f>
        <v/>
      </c>
      <c r="I1087">
        <f>IF(1084&gt;$O$2,"",MATCH(1084,$Q$3:$Q$402,1))</f>
        <v/>
      </c>
      <c r="J1087">
        <f>IF(I1087="","",IF(1084=INDEX($Q$3:$Q$402,I1087),"H","E"))</f>
        <v/>
      </c>
      <c r="K1087">
        <f>IF(J1087&lt;&gt;"E","",MATCH(S1087,Transaksi!$M$2:$M$2001,0)+1084-INDEX($Q$3:$Q$402,I1087)-1)</f>
        <v/>
      </c>
      <c r="S1087">
        <f>IF(I1087="","",INDEX($O$3:$O$402,I1087))</f>
        <v/>
      </c>
      <c r="T1087">
        <f>IF(J1087&lt;&gt;"H","",INDEX(Transaksi!$A$2:$A$2001,MATCH(S1087,Transaksi!$M$2:$M$2001,0)))</f>
        <v/>
      </c>
    </row>
    <row r="1088">
      <c r="A1088" s="31">
        <f>IF(J1088="E",IF(INDEX(Transaksi!$J$2:$J$2001,K1088)&gt;0,"↑","↓"),"")</f>
        <v/>
      </c>
      <c r="B1088" s="32">
        <f>IF(J1088="H",CHOOSE(WEEKDAY(T1088,2),"Isnin","Selasa","Rabu","Khamis","Jumaat","Sabtu","Ahad")&amp;", "&amp;DAY(T1088)&amp;" "&amp;CHOOSE(MONTH(T1088),"Jan","Feb","Mac","Apr","Mei","Jun","Jul","Ogo","Sep","Okt","Nov","Dis")&amp;" "&amp;YEAR(T1088),IF(J1088="E",IF(INDEX(Transaksi!$B$2:$B$2001,K1088)="",INDEX(Transaksi!$C$2:$C$2001,K1088)&amp;" · "&amp;INDEX(Transaksi!$D$2:$D$2001,K1088),INDEX(Transaksi!$B$2:$B$2001,K1088)),""))</f>
        <v/>
      </c>
      <c r="C1088" s="32">
        <f>IF(J1088="E",INDEX(Transaksi!$C$2:$C$2001,K1088)&amp;"","")</f>
        <v/>
      </c>
      <c r="D1088" s="32">
        <f>IF(J1088="E",INDEX(Transaksi!$D$2:$D$2001,K1088)&amp;"","")</f>
        <v/>
      </c>
      <c r="E1088" s="33">
        <f>IF(J1088="H",SUMIFS(Transaksi!$G$2:$G$2001,Transaksi!$M$2:$M$2001,"="&amp;S1088)+SUMIFS(Transaksi!$H$2:$H$2001,Transaksi!$M$2:$M$2001,"="&amp;S1088)+SUMIFS(Transaksi!$I$2:$I$2001,Transaksi!$M$2:$M$2001,"="&amp;S1088),IF(J1088="E",IF(INDEX(Transaksi!$G$2:$G$2001,K1088)+INDEX(Transaksi!$H$2:$H$2001,K1088)+INDEX(Transaksi!$I$2:$I$2001,K1088)=0,"",INDEX(Transaksi!$G$2:$G$2001,K1088)+INDEX(Transaksi!$H$2:$H$2001,K1088)+INDEX(Transaksi!$I$2:$I$2001,K1088)),""))</f>
        <v/>
      </c>
      <c r="F1088" s="33">
        <f>IF(J1088="H",SUMIFS(Transaksi!$J$2:$J$2001,Transaksi!$M$2:$M$2001,"="&amp;S1088),IF(J1088="E",IF(INDEX(Transaksi!$J$2:$J$2001,K1088)=0,"",INDEX(Transaksi!$J$2:$J$2001,K1088)),""))</f>
        <v/>
      </c>
      <c r="G1088" s="33">
        <f>IF(J1088="H",(SUMIFS(Transaksi!$G$2:$G$2001,Transaksi!$M$2:$M$2001,"&lt;="&amp;S1088)+SUMIFS(Transaksi!$H$2:$H$2001,Transaksi!$M$2:$M$2001,"&lt;="&amp;S1088)+SUMIFS(Transaksi!$I$2:$I$2001,Transaksi!$M$2:$M$2001,"&lt;="&amp;S1088))-(SUMIFS(Transaksi!$J$2:$J$2001,Transaksi!$M$2:$M$2001,"&lt;="&amp;S1088)),"")</f>
        <v/>
      </c>
      <c r="I1088">
        <f>IF(1085&gt;$O$2,"",MATCH(1085,$Q$3:$Q$402,1))</f>
        <v/>
      </c>
      <c r="J1088">
        <f>IF(I1088="","",IF(1085=INDEX($Q$3:$Q$402,I1088),"H","E"))</f>
        <v/>
      </c>
      <c r="K1088">
        <f>IF(J1088&lt;&gt;"E","",MATCH(S1088,Transaksi!$M$2:$M$2001,0)+1085-INDEX($Q$3:$Q$402,I1088)-1)</f>
        <v/>
      </c>
      <c r="S1088">
        <f>IF(I1088="","",INDEX($O$3:$O$402,I1088))</f>
        <v/>
      </c>
      <c r="T1088">
        <f>IF(J1088&lt;&gt;"H","",INDEX(Transaksi!$A$2:$A$2001,MATCH(S1088,Transaksi!$M$2:$M$2001,0)))</f>
        <v/>
      </c>
    </row>
    <row r="1089">
      <c r="A1089" s="31">
        <f>IF(J1089="E",IF(INDEX(Transaksi!$J$2:$J$2001,K1089)&gt;0,"↑","↓"),"")</f>
        <v/>
      </c>
      <c r="B1089" s="32">
        <f>IF(J1089="H",CHOOSE(WEEKDAY(T1089,2),"Isnin","Selasa","Rabu","Khamis","Jumaat","Sabtu","Ahad")&amp;", "&amp;DAY(T1089)&amp;" "&amp;CHOOSE(MONTH(T1089),"Jan","Feb","Mac","Apr","Mei","Jun","Jul","Ogo","Sep","Okt","Nov","Dis")&amp;" "&amp;YEAR(T1089),IF(J1089="E",IF(INDEX(Transaksi!$B$2:$B$2001,K1089)="",INDEX(Transaksi!$C$2:$C$2001,K1089)&amp;" · "&amp;INDEX(Transaksi!$D$2:$D$2001,K1089),INDEX(Transaksi!$B$2:$B$2001,K1089)),""))</f>
        <v/>
      </c>
      <c r="C1089" s="32">
        <f>IF(J1089="E",INDEX(Transaksi!$C$2:$C$2001,K1089)&amp;"","")</f>
        <v/>
      </c>
      <c r="D1089" s="32">
        <f>IF(J1089="E",INDEX(Transaksi!$D$2:$D$2001,K1089)&amp;"","")</f>
        <v/>
      </c>
      <c r="E1089" s="33">
        <f>IF(J1089="H",SUMIFS(Transaksi!$G$2:$G$2001,Transaksi!$M$2:$M$2001,"="&amp;S1089)+SUMIFS(Transaksi!$H$2:$H$2001,Transaksi!$M$2:$M$2001,"="&amp;S1089)+SUMIFS(Transaksi!$I$2:$I$2001,Transaksi!$M$2:$M$2001,"="&amp;S1089),IF(J1089="E",IF(INDEX(Transaksi!$G$2:$G$2001,K1089)+INDEX(Transaksi!$H$2:$H$2001,K1089)+INDEX(Transaksi!$I$2:$I$2001,K1089)=0,"",INDEX(Transaksi!$G$2:$G$2001,K1089)+INDEX(Transaksi!$H$2:$H$2001,K1089)+INDEX(Transaksi!$I$2:$I$2001,K1089)),""))</f>
        <v/>
      </c>
      <c r="F1089" s="33">
        <f>IF(J1089="H",SUMIFS(Transaksi!$J$2:$J$2001,Transaksi!$M$2:$M$2001,"="&amp;S1089),IF(J1089="E",IF(INDEX(Transaksi!$J$2:$J$2001,K1089)=0,"",INDEX(Transaksi!$J$2:$J$2001,K1089)),""))</f>
        <v/>
      </c>
      <c r="G1089" s="33">
        <f>IF(J1089="H",(SUMIFS(Transaksi!$G$2:$G$2001,Transaksi!$M$2:$M$2001,"&lt;="&amp;S1089)+SUMIFS(Transaksi!$H$2:$H$2001,Transaksi!$M$2:$M$2001,"&lt;="&amp;S1089)+SUMIFS(Transaksi!$I$2:$I$2001,Transaksi!$M$2:$M$2001,"&lt;="&amp;S1089))-(SUMIFS(Transaksi!$J$2:$J$2001,Transaksi!$M$2:$M$2001,"&lt;="&amp;S1089)),"")</f>
        <v/>
      </c>
      <c r="I1089">
        <f>IF(1086&gt;$O$2,"",MATCH(1086,$Q$3:$Q$402,1))</f>
        <v/>
      </c>
      <c r="J1089">
        <f>IF(I1089="","",IF(1086=INDEX($Q$3:$Q$402,I1089),"H","E"))</f>
        <v/>
      </c>
      <c r="K1089">
        <f>IF(J1089&lt;&gt;"E","",MATCH(S1089,Transaksi!$M$2:$M$2001,0)+1086-INDEX($Q$3:$Q$402,I1089)-1)</f>
        <v/>
      </c>
      <c r="S1089">
        <f>IF(I1089="","",INDEX($O$3:$O$402,I1089))</f>
        <v/>
      </c>
      <c r="T1089">
        <f>IF(J1089&lt;&gt;"H","",INDEX(Transaksi!$A$2:$A$2001,MATCH(S1089,Transaksi!$M$2:$M$2001,0)))</f>
        <v/>
      </c>
    </row>
    <row r="1090">
      <c r="A1090" s="31">
        <f>IF(J1090="E",IF(INDEX(Transaksi!$J$2:$J$2001,K1090)&gt;0,"↑","↓"),"")</f>
        <v/>
      </c>
      <c r="B1090" s="32">
        <f>IF(J1090="H",CHOOSE(WEEKDAY(T1090,2),"Isnin","Selasa","Rabu","Khamis","Jumaat","Sabtu","Ahad")&amp;", "&amp;DAY(T1090)&amp;" "&amp;CHOOSE(MONTH(T1090),"Jan","Feb","Mac","Apr","Mei","Jun","Jul","Ogo","Sep","Okt","Nov","Dis")&amp;" "&amp;YEAR(T1090),IF(J1090="E",IF(INDEX(Transaksi!$B$2:$B$2001,K1090)="",INDEX(Transaksi!$C$2:$C$2001,K1090)&amp;" · "&amp;INDEX(Transaksi!$D$2:$D$2001,K1090),INDEX(Transaksi!$B$2:$B$2001,K1090)),""))</f>
        <v/>
      </c>
      <c r="C1090" s="32">
        <f>IF(J1090="E",INDEX(Transaksi!$C$2:$C$2001,K1090)&amp;"","")</f>
        <v/>
      </c>
      <c r="D1090" s="32">
        <f>IF(J1090="E",INDEX(Transaksi!$D$2:$D$2001,K1090)&amp;"","")</f>
        <v/>
      </c>
      <c r="E1090" s="33">
        <f>IF(J1090="H",SUMIFS(Transaksi!$G$2:$G$2001,Transaksi!$M$2:$M$2001,"="&amp;S1090)+SUMIFS(Transaksi!$H$2:$H$2001,Transaksi!$M$2:$M$2001,"="&amp;S1090)+SUMIFS(Transaksi!$I$2:$I$2001,Transaksi!$M$2:$M$2001,"="&amp;S1090),IF(J1090="E",IF(INDEX(Transaksi!$G$2:$G$2001,K1090)+INDEX(Transaksi!$H$2:$H$2001,K1090)+INDEX(Transaksi!$I$2:$I$2001,K1090)=0,"",INDEX(Transaksi!$G$2:$G$2001,K1090)+INDEX(Transaksi!$H$2:$H$2001,K1090)+INDEX(Transaksi!$I$2:$I$2001,K1090)),""))</f>
        <v/>
      </c>
      <c r="F1090" s="33">
        <f>IF(J1090="H",SUMIFS(Transaksi!$J$2:$J$2001,Transaksi!$M$2:$M$2001,"="&amp;S1090),IF(J1090="E",IF(INDEX(Transaksi!$J$2:$J$2001,K1090)=0,"",INDEX(Transaksi!$J$2:$J$2001,K1090)),""))</f>
        <v/>
      </c>
      <c r="G1090" s="33">
        <f>IF(J1090="H",(SUMIFS(Transaksi!$G$2:$G$2001,Transaksi!$M$2:$M$2001,"&lt;="&amp;S1090)+SUMIFS(Transaksi!$H$2:$H$2001,Transaksi!$M$2:$M$2001,"&lt;="&amp;S1090)+SUMIFS(Transaksi!$I$2:$I$2001,Transaksi!$M$2:$M$2001,"&lt;="&amp;S1090))-(SUMIFS(Transaksi!$J$2:$J$2001,Transaksi!$M$2:$M$2001,"&lt;="&amp;S1090)),"")</f>
        <v/>
      </c>
      <c r="I1090">
        <f>IF(1087&gt;$O$2,"",MATCH(1087,$Q$3:$Q$402,1))</f>
        <v/>
      </c>
      <c r="J1090">
        <f>IF(I1090="","",IF(1087=INDEX($Q$3:$Q$402,I1090),"H","E"))</f>
        <v/>
      </c>
      <c r="K1090">
        <f>IF(J1090&lt;&gt;"E","",MATCH(S1090,Transaksi!$M$2:$M$2001,0)+1087-INDEX($Q$3:$Q$402,I1090)-1)</f>
        <v/>
      </c>
      <c r="S1090">
        <f>IF(I1090="","",INDEX($O$3:$O$402,I1090))</f>
        <v/>
      </c>
      <c r="T1090">
        <f>IF(J1090&lt;&gt;"H","",INDEX(Transaksi!$A$2:$A$2001,MATCH(S1090,Transaksi!$M$2:$M$2001,0)))</f>
        <v/>
      </c>
    </row>
    <row r="1091">
      <c r="A1091" s="31">
        <f>IF(J1091="E",IF(INDEX(Transaksi!$J$2:$J$2001,K1091)&gt;0,"↑","↓"),"")</f>
        <v/>
      </c>
      <c r="B1091" s="32">
        <f>IF(J1091="H",CHOOSE(WEEKDAY(T1091,2),"Isnin","Selasa","Rabu","Khamis","Jumaat","Sabtu","Ahad")&amp;", "&amp;DAY(T1091)&amp;" "&amp;CHOOSE(MONTH(T1091),"Jan","Feb","Mac","Apr","Mei","Jun","Jul","Ogo","Sep","Okt","Nov","Dis")&amp;" "&amp;YEAR(T1091),IF(J1091="E",IF(INDEX(Transaksi!$B$2:$B$2001,K1091)="",INDEX(Transaksi!$C$2:$C$2001,K1091)&amp;" · "&amp;INDEX(Transaksi!$D$2:$D$2001,K1091),INDEX(Transaksi!$B$2:$B$2001,K1091)),""))</f>
        <v/>
      </c>
      <c r="C1091" s="32">
        <f>IF(J1091="E",INDEX(Transaksi!$C$2:$C$2001,K1091)&amp;"","")</f>
        <v/>
      </c>
      <c r="D1091" s="32">
        <f>IF(J1091="E",INDEX(Transaksi!$D$2:$D$2001,K1091)&amp;"","")</f>
        <v/>
      </c>
      <c r="E1091" s="33">
        <f>IF(J1091="H",SUMIFS(Transaksi!$G$2:$G$2001,Transaksi!$M$2:$M$2001,"="&amp;S1091)+SUMIFS(Transaksi!$H$2:$H$2001,Transaksi!$M$2:$M$2001,"="&amp;S1091)+SUMIFS(Transaksi!$I$2:$I$2001,Transaksi!$M$2:$M$2001,"="&amp;S1091),IF(J1091="E",IF(INDEX(Transaksi!$G$2:$G$2001,K1091)+INDEX(Transaksi!$H$2:$H$2001,K1091)+INDEX(Transaksi!$I$2:$I$2001,K1091)=0,"",INDEX(Transaksi!$G$2:$G$2001,K1091)+INDEX(Transaksi!$H$2:$H$2001,K1091)+INDEX(Transaksi!$I$2:$I$2001,K1091)),""))</f>
        <v/>
      </c>
      <c r="F1091" s="33">
        <f>IF(J1091="H",SUMIFS(Transaksi!$J$2:$J$2001,Transaksi!$M$2:$M$2001,"="&amp;S1091),IF(J1091="E",IF(INDEX(Transaksi!$J$2:$J$2001,K1091)=0,"",INDEX(Transaksi!$J$2:$J$2001,K1091)),""))</f>
        <v/>
      </c>
      <c r="G1091" s="33">
        <f>IF(J1091="H",(SUMIFS(Transaksi!$G$2:$G$2001,Transaksi!$M$2:$M$2001,"&lt;="&amp;S1091)+SUMIFS(Transaksi!$H$2:$H$2001,Transaksi!$M$2:$M$2001,"&lt;="&amp;S1091)+SUMIFS(Transaksi!$I$2:$I$2001,Transaksi!$M$2:$M$2001,"&lt;="&amp;S1091))-(SUMIFS(Transaksi!$J$2:$J$2001,Transaksi!$M$2:$M$2001,"&lt;="&amp;S1091)),"")</f>
        <v/>
      </c>
      <c r="I1091">
        <f>IF(1088&gt;$O$2,"",MATCH(1088,$Q$3:$Q$402,1))</f>
        <v/>
      </c>
      <c r="J1091">
        <f>IF(I1091="","",IF(1088=INDEX($Q$3:$Q$402,I1091),"H","E"))</f>
        <v/>
      </c>
      <c r="K1091">
        <f>IF(J1091&lt;&gt;"E","",MATCH(S1091,Transaksi!$M$2:$M$2001,0)+1088-INDEX($Q$3:$Q$402,I1091)-1)</f>
        <v/>
      </c>
      <c r="S1091">
        <f>IF(I1091="","",INDEX($O$3:$O$402,I1091))</f>
        <v/>
      </c>
      <c r="T1091">
        <f>IF(J1091&lt;&gt;"H","",INDEX(Transaksi!$A$2:$A$2001,MATCH(S1091,Transaksi!$M$2:$M$2001,0)))</f>
        <v/>
      </c>
    </row>
    <row r="1092">
      <c r="A1092" s="31">
        <f>IF(J1092="E",IF(INDEX(Transaksi!$J$2:$J$2001,K1092)&gt;0,"↑","↓"),"")</f>
        <v/>
      </c>
      <c r="B1092" s="32">
        <f>IF(J1092="H",CHOOSE(WEEKDAY(T1092,2),"Isnin","Selasa","Rabu","Khamis","Jumaat","Sabtu","Ahad")&amp;", "&amp;DAY(T1092)&amp;" "&amp;CHOOSE(MONTH(T1092),"Jan","Feb","Mac","Apr","Mei","Jun","Jul","Ogo","Sep","Okt","Nov","Dis")&amp;" "&amp;YEAR(T1092),IF(J1092="E",IF(INDEX(Transaksi!$B$2:$B$2001,K1092)="",INDEX(Transaksi!$C$2:$C$2001,K1092)&amp;" · "&amp;INDEX(Transaksi!$D$2:$D$2001,K1092),INDEX(Transaksi!$B$2:$B$2001,K1092)),""))</f>
        <v/>
      </c>
      <c r="C1092" s="32">
        <f>IF(J1092="E",INDEX(Transaksi!$C$2:$C$2001,K1092)&amp;"","")</f>
        <v/>
      </c>
      <c r="D1092" s="32">
        <f>IF(J1092="E",INDEX(Transaksi!$D$2:$D$2001,K1092)&amp;"","")</f>
        <v/>
      </c>
      <c r="E1092" s="33">
        <f>IF(J1092="H",SUMIFS(Transaksi!$G$2:$G$2001,Transaksi!$M$2:$M$2001,"="&amp;S1092)+SUMIFS(Transaksi!$H$2:$H$2001,Transaksi!$M$2:$M$2001,"="&amp;S1092)+SUMIFS(Transaksi!$I$2:$I$2001,Transaksi!$M$2:$M$2001,"="&amp;S1092),IF(J1092="E",IF(INDEX(Transaksi!$G$2:$G$2001,K1092)+INDEX(Transaksi!$H$2:$H$2001,K1092)+INDEX(Transaksi!$I$2:$I$2001,K1092)=0,"",INDEX(Transaksi!$G$2:$G$2001,K1092)+INDEX(Transaksi!$H$2:$H$2001,K1092)+INDEX(Transaksi!$I$2:$I$2001,K1092)),""))</f>
        <v/>
      </c>
      <c r="F1092" s="33">
        <f>IF(J1092="H",SUMIFS(Transaksi!$J$2:$J$2001,Transaksi!$M$2:$M$2001,"="&amp;S1092),IF(J1092="E",IF(INDEX(Transaksi!$J$2:$J$2001,K1092)=0,"",INDEX(Transaksi!$J$2:$J$2001,K1092)),""))</f>
        <v/>
      </c>
      <c r="G1092" s="33">
        <f>IF(J1092="H",(SUMIFS(Transaksi!$G$2:$G$2001,Transaksi!$M$2:$M$2001,"&lt;="&amp;S1092)+SUMIFS(Transaksi!$H$2:$H$2001,Transaksi!$M$2:$M$2001,"&lt;="&amp;S1092)+SUMIFS(Transaksi!$I$2:$I$2001,Transaksi!$M$2:$M$2001,"&lt;="&amp;S1092))-(SUMIFS(Transaksi!$J$2:$J$2001,Transaksi!$M$2:$M$2001,"&lt;="&amp;S1092)),"")</f>
        <v/>
      </c>
      <c r="I1092">
        <f>IF(1089&gt;$O$2,"",MATCH(1089,$Q$3:$Q$402,1))</f>
        <v/>
      </c>
      <c r="J1092">
        <f>IF(I1092="","",IF(1089=INDEX($Q$3:$Q$402,I1092),"H","E"))</f>
        <v/>
      </c>
      <c r="K1092">
        <f>IF(J1092&lt;&gt;"E","",MATCH(S1092,Transaksi!$M$2:$M$2001,0)+1089-INDEX($Q$3:$Q$402,I1092)-1)</f>
        <v/>
      </c>
      <c r="S1092">
        <f>IF(I1092="","",INDEX($O$3:$O$402,I1092))</f>
        <v/>
      </c>
      <c r="T1092">
        <f>IF(J1092&lt;&gt;"H","",INDEX(Transaksi!$A$2:$A$2001,MATCH(S1092,Transaksi!$M$2:$M$2001,0)))</f>
        <v/>
      </c>
    </row>
    <row r="1093">
      <c r="A1093" s="31">
        <f>IF(J1093="E",IF(INDEX(Transaksi!$J$2:$J$2001,K1093)&gt;0,"↑","↓"),"")</f>
        <v/>
      </c>
      <c r="B1093" s="32">
        <f>IF(J1093="H",CHOOSE(WEEKDAY(T1093,2),"Isnin","Selasa","Rabu","Khamis","Jumaat","Sabtu","Ahad")&amp;", "&amp;DAY(T1093)&amp;" "&amp;CHOOSE(MONTH(T1093),"Jan","Feb","Mac","Apr","Mei","Jun","Jul","Ogo","Sep","Okt","Nov","Dis")&amp;" "&amp;YEAR(T1093),IF(J1093="E",IF(INDEX(Transaksi!$B$2:$B$2001,K1093)="",INDEX(Transaksi!$C$2:$C$2001,K1093)&amp;" · "&amp;INDEX(Transaksi!$D$2:$D$2001,K1093),INDEX(Transaksi!$B$2:$B$2001,K1093)),""))</f>
        <v/>
      </c>
      <c r="C1093" s="32">
        <f>IF(J1093="E",INDEX(Transaksi!$C$2:$C$2001,K1093)&amp;"","")</f>
        <v/>
      </c>
      <c r="D1093" s="32">
        <f>IF(J1093="E",INDEX(Transaksi!$D$2:$D$2001,K1093)&amp;"","")</f>
        <v/>
      </c>
      <c r="E1093" s="33">
        <f>IF(J1093="H",SUMIFS(Transaksi!$G$2:$G$2001,Transaksi!$M$2:$M$2001,"="&amp;S1093)+SUMIFS(Transaksi!$H$2:$H$2001,Transaksi!$M$2:$M$2001,"="&amp;S1093)+SUMIFS(Transaksi!$I$2:$I$2001,Transaksi!$M$2:$M$2001,"="&amp;S1093),IF(J1093="E",IF(INDEX(Transaksi!$G$2:$G$2001,K1093)+INDEX(Transaksi!$H$2:$H$2001,K1093)+INDEX(Transaksi!$I$2:$I$2001,K1093)=0,"",INDEX(Transaksi!$G$2:$G$2001,K1093)+INDEX(Transaksi!$H$2:$H$2001,K1093)+INDEX(Transaksi!$I$2:$I$2001,K1093)),""))</f>
        <v/>
      </c>
      <c r="F1093" s="33">
        <f>IF(J1093="H",SUMIFS(Transaksi!$J$2:$J$2001,Transaksi!$M$2:$M$2001,"="&amp;S1093),IF(J1093="E",IF(INDEX(Transaksi!$J$2:$J$2001,K1093)=0,"",INDEX(Transaksi!$J$2:$J$2001,K1093)),""))</f>
        <v/>
      </c>
      <c r="G1093" s="33">
        <f>IF(J1093="H",(SUMIFS(Transaksi!$G$2:$G$2001,Transaksi!$M$2:$M$2001,"&lt;="&amp;S1093)+SUMIFS(Transaksi!$H$2:$H$2001,Transaksi!$M$2:$M$2001,"&lt;="&amp;S1093)+SUMIFS(Transaksi!$I$2:$I$2001,Transaksi!$M$2:$M$2001,"&lt;="&amp;S1093))-(SUMIFS(Transaksi!$J$2:$J$2001,Transaksi!$M$2:$M$2001,"&lt;="&amp;S1093)),"")</f>
        <v/>
      </c>
      <c r="I1093">
        <f>IF(1090&gt;$O$2,"",MATCH(1090,$Q$3:$Q$402,1))</f>
        <v/>
      </c>
      <c r="J1093">
        <f>IF(I1093="","",IF(1090=INDEX($Q$3:$Q$402,I1093),"H","E"))</f>
        <v/>
      </c>
      <c r="K1093">
        <f>IF(J1093&lt;&gt;"E","",MATCH(S1093,Transaksi!$M$2:$M$2001,0)+1090-INDEX($Q$3:$Q$402,I1093)-1)</f>
        <v/>
      </c>
      <c r="S1093">
        <f>IF(I1093="","",INDEX($O$3:$O$402,I1093))</f>
        <v/>
      </c>
      <c r="T1093">
        <f>IF(J1093&lt;&gt;"H","",INDEX(Transaksi!$A$2:$A$2001,MATCH(S1093,Transaksi!$M$2:$M$2001,0)))</f>
        <v/>
      </c>
    </row>
    <row r="1094">
      <c r="A1094" s="31">
        <f>IF(J1094="E",IF(INDEX(Transaksi!$J$2:$J$2001,K1094)&gt;0,"↑","↓"),"")</f>
        <v/>
      </c>
      <c r="B1094" s="32">
        <f>IF(J1094="H",CHOOSE(WEEKDAY(T1094,2),"Isnin","Selasa","Rabu","Khamis","Jumaat","Sabtu","Ahad")&amp;", "&amp;DAY(T1094)&amp;" "&amp;CHOOSE(MONTH(T1094),"Jan","Feb","Mac","Apr","Mei","Jun","Jul","Ogo","Sep","Okt","Nov","Dis")&amp;" "&amp;YEAR(T1094),IF(J1094="E",IF(INDEX(Transaksi!$B$2:$B$2001,K1094)="",INDEX(Transaksi!$C$2:$C$2001,K1094)&amp;" · "&amp;INDEX(Transaksi!$D$2:$D$2001,K1094),INDEX(Transaksi!$B$2:$B$2001,K1094)),""))</f>
        <v/>
      </c>
      <c r="C1094" s="32">
        <f>IF(J1094="E",INDEX(Transaksi!$C$2:$C$2001,K1094)&amp;"","")</f>
        <v/>
      </c>
      <c r="D1094" s="32">
        <f>IF(J1094="E",INDEX(Transaksi!$D$2:$D$2001,K1094)&amp;"","")</f>
        <v/>
      </c>
      <c r="E1094" s="33">
        <f>IF(J1094="H",SUMIFS(Transaksi!$G$2:$G$2001,Transaksi!$M$2:$M$2001,"="&amp;S1094)+SUMIFS(Transaksi!$H$2:$H$2001,Transaksi!$M$2:$M$2001,"="&amp;S1094)+SUMIFS(Transaksi!$I$2:$I$2001,Transaksi!$M$2:$M$2001,"="&amp;S1094),IF(J1094="E",IF(INDEX(Transaksi!$G$2:$G$2001,K1094)+INDEX(Transaksi!$H$2:$H$2001,K1094)+INDEX(Transaksi!$I$2:$I$2001,K1094)=0,"",INDEX(Transaksi!$G$2:$G$2001,K1094)+INDEX(Transaksi!$H$2:$H$2001,K1094)+INDEX(Transaksi!$I$2:$I$2001,K1094)),""))</f>
        <v/>
      </c>
      <c r="F1094" s="33">
        <f>IF(J1094="H",SUMIFS(Transaksi!$J$2:$J$2001,Transaksi!$M$2:$M$2001,"="&amp;S1094),IF(J1094="E",IF(INDEX(Transaksi!$J$2:$J$2001,K1094)=0,"",INDEX(Transaksi!$J$2:$J$2001,K1094)),""))</f>
        <v/>
      </c>
      <c r="G1094" s="33">
        <f>IF(J1094="H",(SUMIFS(Transaksi!$G$2:$G$2001,Transaksi!$M$2:$M$2001,"&lt;="&amp;S1094)+SUMIFS(Transaksi!$H$2:$H$2001,Transaksi!$M$2:$M$2001,"&lt;="&amp;S1094)+SUMIFS(Transaksi!$I$2:$I$2001,Transaksi!$M$2:$M$2001,"&lt;="&amp;S1094))-(SUMIFS(Transaksi!$J$2:$J$2001,Transaksi!$M$2:$M$2001,"&lt;="&amp;S1094)),"")</f>
        <v/>
      </c>
      <c r="I1094">
        <f>IF(1091&gt;$O$2,"",MATCH(1091,$Q$3:$Q$402,1))</f>
        <v/>
      </c>
      <c r="J1094">
        <f>IF(I1094="","",IF(1091=INDEX($Q$3:$Q$402,I1094),"H","E"))</f>
        <v/>
      </c>
      <c r="K1094">
        <f>IF(J1094&lt;&gt;"E","",MATCH(S1094,Transaksi!$M$2:$M$2001,0)+1091-INDEX($Q$3:$Q$402,I1094)-1)</f>
        <v/>
      </c>
      <c r="S1094">
        <f>IF(I1094="","",INDEX($O$3:$O$402,I1094))</f>
        <v/>
      </c>
      <c r="T1094">
        <f>IF(J1094&lt;&gt;"H","",INDEX(Transaksi!$A$2:$A$2001,MATCH(S1094,Transaksi!$M$2:$M$2001,0)))</f>
        <v/>
      </c>
    </row>
    <row r="1095">
      <c r="A1095" s="31">
        <f>IF(J1095="E",IF(INDEX(Transaksi!$J$2:$J$2001,K1095)&gt;0,"↑","↓"),"")</f>
        <v/>
      </c>
      <c r="B1095" s="32">
        <f>IF(J1095="H",CHOOSE(WEEKDAY(T1095,2),"Isnin","Selasa","Rabu","Khamis","Jumaat","Sabtu","Ahad")&amp;", "&amp;DAY(T1095)&amp;" "&amp;CHOOSE(MONTH(T1095),"Jan","Feb","Mac","Apr","Mei","Jun","Jul","Ogo","Sep","Okt","Nov","Dis")&amp;" "&amp;YEAR(T1095),IF(J1095="E",IF(INDEX(Transaksi!$B$2:$B$2001,K1095)="",INDEX(Transaksi!$C$2:$C$2001,K1095)&amp;" · "&amp;INDEX(Transaksi!$D$2:$D$2001,K1095),INDEX(Transaksi!$B$2:$B$2001,K1095)),""))</f>
        <v/>
      </c>
      <c r="C1095" s="32">
        <f>IF(J1095="E",INDEX(Transaksi!$C$2:$C$2001,K1095)&amp;"","")</f>
        <v/>
      </c>
      <c r="D1095" s="32">
        <f>IF(J1095="E",INDEX(Transaksi!$D$2:$D$2001,K1095)&amp;"","")</f>
        <v/>
      </c>
      <c r="E1095" s="33">
        <f>IF(J1095="H",SUMIFS(Transaksi!$G$2:$G$2001,Transaksi!$M$2:$M$2001,"="&amp;S1095)+SUMIFS(Transaksi!$H$2:$H$2001,Transaksi!$M$2:$M$2001,"="&amp;S1095)+SUMIFS(Transaksi!$I$2:$I$2001,Transaksi!$M$2:$M$2001,"="&amp;S1095),IF(J1095="E",IF(INDEX(Transaksi!$G$2:$G$2001,K1095)+INDEX(Transaksi!$H$2:$H$2001,K1095)+INDEX(Transaksi!$I$2:$I$2001,K1095)=0,"",INDEX(Transaksi!$G$2:$G$2001,K1095)+INDEX(Transaksi!$H$2:$H$2001,K1095)+INDEX(Transaksi!$I$2:$I$2001,K1095)),""))</f>
        <v/>
      </c>
      <c r="F1095" s="33">
        <f>IF(J1095="H",SUMIFS(Transaksi!$J$2:$J$2001,Transaksi!$M$2:$M$2001,"="&amp;S1095),IF(J1095="E",IF(INDEX(Transaksi!$J$2:$J$2001,K1095)=0,"",INDEX(Transaksi!$J$2:$J$2001,K1095)),""))</f>
        <v/>
      </c>
      <c r="G1095" s="33">
        <f>IF(J1095="H",(SUMIFS(Transaksi!$G$2:$G$2001,Transaksi!$M$2:$M$2001,"&lt;="&amp;S1095)+SUMIFS(Transaksi!$H$2:$H$2001,Transaksi!$M$2:$M$2001,"&lt;="&amp;S1095)+SUMIFS(Transaksi!$I$2:$I$2001,Transaksi!$M$2:$M$2001,"&lt;="&amp;S1095))-(SUMIFS(Transaksi!$J$2:$J$2001,Transaksi!$M$2:$M$2001,"&lt;="&amp;S1095)),"")</f>
        <v/>
      </c>
      <c r="I1095">
        <f>IF(1092&gt;$O$2,"",MATCH(1092,$Q$3:$Q$402,1))</f>
        <v/>
      </c>
      <c r="J1095">
        <f>IF(I1095="","",IF(1092=INDEX($Q$3:$Q$402,I1095),"H","E"))</f>
        <v/>
      </c>
      <c r="K1095">
        <f>IF(J1095&lt;&gt;"E","",MATCH(S1095,Transaksi!$M$2:$M$2001,0)+1092-INDEX($Q$3:$Q$402,I1095)-1)</f>
        <v/>
      </c>
      <c r="S1095">
        <f>IF(I1095="","",INDEX($O$3:$O$402,I1095))</f>
        <v/>
      </c>
      <c r="T1095">
        <f>IF(J1095&lt;&gt;"H","",INDEX(Transaksi!$A$2:$A$2001,MATCH(S1095,Transaksi!$M$2:$M$2001,0)))</f>
        <v/>
      </c>
    </row>
    <row r="1096">
      <c r="A1096" s="31">
        <f>IF(J1096="E",IF(INDEX(Transaksi!$J$2:$J$2001,K1096)&gt;0,"↑","↓"),"")</f>
        <v/>
      </c>
      <c r="B1096" s="32">
        <f>IF(J1096="H",CHOOSE(WEEKDAY(T1096,2),"Isnin","Selasa","Rabu","Khamis","Jumaat","Sabtu","Ahad")&amp;", "&amp;DAY(T1096)&amp;" "&amp;CHOOSE(MONTH(T1096),"Jan","Feb","Mac","Apr","Mei","Jun","Jul","Ogo","Sep","Okt","Nov","Dis")&amp;" "&amp;YEAR(T1096),IF(J1096="E",IF(INDEX(Transaksi!$B$2:$B$2001,K1096)="",INDEX(Transaksi!$C$2:$C$2001,K1096)&amp;" · "&amp;INDEX(Transaksi!$D$2:$D$2001,K1096),INDEX(Transaksi!$B$2:$B$2001,K1096)),""))</f>
        <v/>
      </c>
      <c r="C1096" s="32">
        <f>IF(J1096="E",INDEX(Transaksi!$C$2:$C$2001,K1096)&amp;"","")</f>
        <v/>
      </c>
      <c r="D1096" s="32">
        <f>IF(J1096="E",INDEX(Transaksi!$D$2:$D$2001,K1096)&amp;"","")</f>
        <v/>
      </c>
      <c r="E1096" s="33">
        <f>IF(J1096="H",SUMIFS(Transaksi!$G$2:$G$2001,Transaksi!$M$2:$M$2001,"="&amp;S1096)+SUMIFS(Transaksi!$H$2:$H$2001,Transaksi!$M$2:$M$2001,"="&amp;S1096)+SUMIFS(Transaksi!$I$2:$I$2001,Transaksi!$M$2:$M$2001,"="&amp;S1096),IF(J1096="E",IF(INDEX(Transaksi!$G$2:$G$2001,K1096)+INDEX(Transaksi!$H$2:$H$2001,K1096)+INDEX(Transaksi!$I$2:$I$2001,K1096)=0,"",INDEX(Transaksi!$G$2:$G$2001,K1096)+INDEX(Transaksi!$H$2:$H$2001,K1096)+INDEX(Transaksi!$I$2:$I$2001,K1096)),""))</f>
        <v/>
      </c>
      <c r="F1096" s="33">
        <f>IF(J1096="H",SUMIFS(Transaksi!$J$2:$J$2001,Transaksi!$M$2:$M$2001,"="&amp;S1096),IF(J1096="E",IF(INDEX(Transaksi!$J$2:$J$2001,K1096)=0,"",INDEX(Transaksi!$J$2:$J$2001,K1096)),""))</f>
        <v/>
      </c>
      <c r="G1096" s="33">
        <f>IF(J1096="H",(SUMIFS(Transaksi!$G$2:$G$2001,Transaksi!$M$2:$M$2001,"&lt;="&amp;S1096)+SUMIFS(Transaksi!$H$2:$H$2001,Transaksi!$M$2:$M$2001,"&lt;="&amp;S1096)+SUMIFS(Transaksi!$I$2:$I$2001,Transaksi!$M$2:$M$2001,"&lt;="&amp;S1096))-(SUMIFS(Transaksi!$J$2:$J$2001,Transaksi!$M$2:$M$2001,"&lt;="&amp;S1096)),"")</f>
        <v/>
      </c>
      <c r="I1096">
        <f>IF(1093&gt;$O$2,"",MATCH(1093,$Q$3:$Q$402,1))</f>
        <v/>
      </c>
      <c r="J1096">
        <f>IF(I1096="","",IF(1093=INDEX($Q$3:$Q$402,I1096),"H","E"))</f>
        <v/>
      </c>
      <c r="K1096">
        <f>IF(J1096&lt;&gt;"E","",MATCH(S1096,Transaksi!$M$2:$M$2001,0)+1093-INDEX($Q$3:$Q$402,I1096)-1)</f>
        <v/>
      </c>
      <c r="S1096">
        <f>IF(I1096="","",INDEX($O$3:$O$402,I1096))</f>
        <v/>
      </c>
      <c r="T1096">
        <f>IF(J1096&lt;&gt;"H","",INDEX(Transaksi!$A$2:$A$2001,MATCH(S1096,Transaksi!$M$2:$M$2001,0)))</f>
        <v/>
      </c>
    </row>
    <row r="1097">
      <c r="A1097" s="31">
        <f>IF(J1097="E",IF(INDEX(Transaksi!$J$2:$J$2001,K1097)&gt;0,"↑","↓"),"")</f>
        <v/>
      </c>
      <c r="B1097" s="32">
        <f>IF(J1097="H",CHOOSE(WEEKDAY(T1097,2),"Isnin","Selasa","Rabu","Khamis","Jumaat","Sabtu","Ahad")&amp;", "&amp;DAY(T1097)&amp;" "&amp;CHOOSE(MONTH(T1097),"Jan","Feb","Mac","Apr","Mei","Jun","Jul","Ogo","Sep","Okt","Nov","Dis")&amp;" "&amp;YEAR(T1097),IF(J1097="E",IF(INDEX(Transaksi!$B$2:$B$2001,K1097)="",INDEX(Transaksi!$C$2:$C$2001,K1097)&amp;" · "&amp;INDEX(Transaksi!$D$2:$D$2001,K1097),INDEX(Transaksi!$B$2:$B$2001,K1097)),""))</f>
        <v/>
      </c>
      <c r="C1097" s="32">
        <f>IF(J1097="E",INDEX(Transaksi!$C$2:$C$2001,K1097)&amp;"","")</f>
        <v/>
      </c>
      <c r="D1097" s="32">
        <f>IF(J1097="E",INDEX(Transaksi!$D$2:$D$2001,K1097)&amp;"","")</f>
        <v/>
      </c>
      <c r="E1097" s="33">
        <f>IF(J1097="H",SUMIFS(Transaksi!$G$2:$G$2001,Transaksi!$M$2:$M$2001,"="&amp;S1097)+SUMIFS(Transaksi!$H$2:$H$2001,Transaksi!$M$2:$M$2001,"="&amp;S1097)+SUMIFS(Transaksi!$I$2:$I$2001,Transaksi!$M$2:$M$2001,"="&amp;S1097),IF(J1097="E",IF(INDEX(Transaksi!$G$2:$G$2001,K1097)+INDEX(Transaksi!$H$2:$H$2001,K1097)+INDEX(Transaksi!$I$2:$I$2001,K1097)=0,"",INDEX(Transaksi!$G$2:$G$2001,K1097)+INDEX(Transaksi!$H$2:$H$2001,K1097)+INDEX(Transaksi!$I$2:$I$2001,K1097)),""))</f>
        <v/>
      </c>
      <c r="F1097" s="33">
        <f>IF(J1097="H",SUMIFS(Transaksi!$J$2:$J$2001,Transaksi!$M$2:$M$2001,"="&amp;S1097),IF(J1097="E",IF(INDEX(Transaksi!$J$2:$J$2001,K1097)=0,"",INDEX(Transaksi!$J$2:$J$2001,K1097)),""))</f>
        <v/>
      </c>
      <c r="G1097" s="33">
        <f>IF(J1097="H",(SUMIFS(Transaksi!$G$2:$G$2001,Transaksi!$M$2:$M$2001,"&lt;="&amp;S1097)+SUMIFS(Transaksi!$H$2:$H$2001,Transaksi!$M$2:$M$2001,"&lt;="&amp;S1097)+SUMIFS(Transaksi!$I$2:$I$2001,Transaksi!$M$2:$M$2001,"&lt;="&amp;S1097))-(SUMIFS(Transaksi!$J$2:$J$2001,Transaksi!$M$2:$M$2001,"&lt;="&amp;S1097)),"")</f>
        <v/>
      </c>
      <c r="I1097">
        <f>IF(1094&gt;$O$2,"",MATCH(1094,$Q$3:$Q$402,1))</f>
        <v/>
      </c>
      <c r="J1097">
        <f>IF(I1097="","",IF(1094=INDEX($Q$3:$Q$402,I1097),"H","E"))</f>
        <v/>
      </c>
      <c r="K1097">
        <f>IF(J1097&lt;&gt;"E","",MATCH(S1097,Transaksi!$M$2:$M$2001,0)+1094-INDEX($Q$3:$Q$402,I1097)-1)</f>
        <v/>
      </c>
      <c r="S1097">
        <f>IF(I1097="","",INDEX($O$3:$O$402,I1097))</f>
        <v/>
      </c>
      <c r="T1097">
        <f>IF(J1097&lt;&gt;"H","",INDEX(Transaksi!$A$2:$A$2001,MATCH(S1097,Transaksi!$M$2:$M$2001,0)))</f>
        <v/>
      </c>
    </row>
    <row r="1098">
      <c r="A1098" s="31">
        <f>IF(J1098="E",IF(INDEX(Transaksi!$J$2:$J$2001,K1098)&gt;0,"↑","↓"),"")</f>
        <v/>
      </c>
      <c r="B1098" s="32">
        <f>IF(J1098="H",CHOOSE(WEEKDAY(T1098,2),"Isnin","Selasa","Rabu","Khamis","Jumaat","Sabtu","Ahad")&amp;", "&amp;DAY(T1098)&amp;" "&amp;CHOOSE(MONTH(T1098),"Jan","Feb","Mac","Apr","Mei","Jun","Jul","Ogo","Sep","Okt","Nov","Dis")&amp;" "&amp;YEAR(T1098),IF(J1098="E",IF(INDEX(Transaksi!$B$2:$B$2001,K1098)="",INDEX(Transaksi!$C$2:$C$2001,K1098)&amp;" · "&amp;INDEX(Transaksi!$D$2:$D$2001,K1098),INDEX(Transaksi!$B$2:$B$2001,K1098)),""))</f>
        <v/>
      </c>
      <c r="C1098" s="32">
        <f>IF(J1098="E",INDEX(Transaksi!$C$2:$C$2001,K1098)&amp;"","")</f>
        <v/>
      </c>
      <c r="D1098" s="32">
        <f>IF(J1098="E",INDEX(Transaksi!$D$2:$D$2001,K1098)&amp;"","")</f>
        <v/>
      </c>
      <c r="E1098" s="33">
        <f>IF(J1098="H",SUMIFS(Transaksi!$G$2:$G$2001,Transaksi!$M$2:$M$2001,"="&amp;S1098)+SUMIFS(Transaksi!$H$2:$H$2001,Transaksi!$M$2:$M$2001,"="&amp;S1098)+SUMIFS(Transaksi!$I$2:$I$2001,Transaksi!$M$2:$M$2001,"="&amp;S1098),IF(J1098="E",IF(INDEX(Transaksi!$G$2:$G$2001,K1098)+INDEX(Transaksi!$H$2:$H$2001,K1098)+INDEX(Transaksi!$I$2:$I$2001,K1098)=0,"",INDEX(Transaksi!$G$2:$G$2001,K1098)+INDEX(Transaksi!$H$2:$H$2001,K1098)+INDEX(Transaksi!$I$2:$I$2001,K1098)),""))</f>
        <v/>
      </c>
      <c r="F1098" s="33">
        <f>IF(J1098="H",SUMIFS(Transaksi!$J$2:$J$2001,Transaksi!$M$2:$M$2001,"="&amp;S1098),IF(J1098="E",IF(INDEX(Transaksi!$J$2:$J$2001,K1098)=0,"",INDEX(Transaksi!$J$2:$J$2001,K1098)),""))</f>
        <v/>
      </c>
      <c r="G1098" s="33">
        <f>IF(J1098="H",(SUMIFS(Transaksi!$G$2:$G$2001,Transaksi!$M$2:$M$2001,"&lt;="&amp;S1098)+SUMIFS(Transaksi!$H$2:$H$2001,Transaksi!$M$2:$M$2001,"&lt;="&amp;S1098)+SUMIFS(Transaksi!$I$2:$I$2001,Transaksi!$M$2:$M$2001,"&lt;="&amp;S1098))-(SUMIFS(Transaksi!$J$2:$J$2001,Transaksi!$M$2:$M$2001,"&lt;="&amp;S1098)),"")</f>
        <v/>
      </c>
      <c r="I1098">
        <f>IF(1095&gt;$O$2,"",MATCH(1095,$Q$3:$Q$402,1))</f>
        <v/>
      </c>
      <c r="J1098">
        <f>IF(I1098="","",IF(1095=INDEX($Q$3:$Q$402,I1098),"H","E"))</f>
        <v/>
      </c>
      <c r="K1098">
        <f>IF(J1098&lt;&gt;"E","",MATCH(S1098,Transaksi!$M$2:$M$2001,0)+1095-INDEX($Q$3:$Q$402,I1098)-1)</f>
        <v/>
      </c>
      <c r="S1098">
        <f>IF(I1098="","",INDEX($O$3:$O$402,I1098))</f>
        <v/>
      </c>
      <c r="T1098">
        <f>IF(J1098&lt;&gt;"H","",INDEX(Transaksi!$A$2:$A$2001,MATCH(S1098,Transaksi!$M$2:$M$2001,0)))</f>
        <v/>
      </c>
    </row>
    <row r="1099">
      <c r="A1099" s="31">
        <f>IF(J1099="E",IF(INDEX(Transaksi!$J$2:$J$2001,K1099)&gt;0,"↑","↓"),"")</f>
        <v/>
      </c>
      <c r="B1099" s="32">
        <f>IF(J1099="H",CHOOSE(WEEKDAY(T1099,2),"Isnin","Selasa","Rabu","Khamis","Jumaat","Sabtu","Ahad")&amp;", "&amp;DAY(T1099)&amp;" "&amp;CHOOSE(MONTH(T1099),"Jan","Feb","Mac","Apr","Mei","Jun","Jul","Ogo","Sep","Okt","Nov","Dis")&amp;" "&amp;YEAR(T1099),IF(J1099="E",IF(INDEX(Transaksi!$B$2:$B$2001,K1099)="",INDEX(Transaksi!$C$2:$C$2001,K1099)&amp;" · "&amp;INDEX(Transaksi!$D$2:$D$2001,K1099),INDEX(Transaksi!$B$2:$B$2001,K1099)),""))</f>
        <v/>
      </c>
      <c r="C1099" s="32">
        <f>IF(J1099="E",INDEX(Transaksi!$C$2:$C$2001,K1099)&amp;"","")</f>
        <v/>
      </c>
      <c r="D1099" s="32">
        <f>IF(J1099="E",INDEX(Transaksi!$D$2:$D$2001,K1099)&amp;"","")</f>
        <v/>
      </c>
      <c r="E1099" s="33">
        <f>IF(J1099="H",SUMIFS(Transaksi!$G$2:$G$2001,Transaksi!$M$2:$M$2001,"="&amp;S1099)+SUMIFS(Transaksi!$H$2:$H$2001,Transaksi!$M$2:$M$2001,"="&amp;S1099)+SUMIFS(Transaksi!$I$2:$I$2001,Transaksi!$M$2:$M$2001,"="&amp;S1099),IF(J1099="E",IF(INDEX(Transaksi!$G$2:$G$2001,K1099)+INDEX(Transaksi!$H$2:$H$2001,K1099)+INDEX(Transaksi!$I$2:$I$2001,K1099)=0,"",INDEX(Transaksi!$G$2:$G$2001,K1099)+INDEX(Transaksi!$H$2:$H$2001,K1099)+INDEX(Transaksi!$I$2:$I$2001,K1099)),""))</f>
        <v/>
      </c>
      <c r="F1099" s="33">
        <f>IF(J1099="H",SUMIFS(Transaksi!$J$2:$J$2001,Transaksi!$M$2:$M$2001,"="&amp;S1099),IF(J1099="E",IF(INDEX(Transaksi!$J$2:$J$2001,K1099)=0,"",INDEX(Transaksi!$J$2:$J$2001,K1099)),""))</f>
        <v/>
      </c>
      <c r="G1099" s="33">
        <f>IF(J1099="H",(SUMIFS(Transaksi!$G$2:$G$2001,Transaksi!$M$2:$M$2001,"&lt;="&amp;S1099)+SUMIFS(Transaksi!$H$2:$H$2001,Transaksi!$M$2:$M$2001,"&lt;="&amp;S1099)+SUMIFS(Transaksi!$I$2:$I$2001,Transaksi!$M$2:$M$2001,"&lt;="&amp;S1099))-(SUMIFS(Transaksi!$J$2:$J$2001,Transaksi!$M$2:$M$2001,"&lt;="&amp;S1099)),"")</f>
        <v/>
      </c>
      <c r="I1099">
        <f>IF(1096&gt;$O$2,"",MATCH(1096,$Q$3:$Q$402,1))</f>
        <v/>
      </c>
      <c r="J1099">
        <f>IF(I1099="","",IF(1096=INDEX($Q$3:$Q$402,I1099),"H","E"))</f>
        <v/>
      </c>
      <c r="K1099">
        <f>IF(J1099&lt;&gt;"E","",MATCH(S1099,Transaksi!$M$2:$M$2001,0)+1096-INDEX($Q$3:$Q$402,I1099)-1)</f>
        <v/>
      </c>
      <c r="S1099">
        <f>IF(I1099="","",INDEX($O$3:$O$402,I1099))</f>
        <v/>
      </c>
      <c r="T1099">
        <f>IF(J1099&lt;&gt;"H","",INDEX(Transaksi!$A$2:$A$2001,MATCH(S1099,Transaksi!$M$2:$M$2001,0)))</f>
        <v/>
      </c>
    </row>
    <row r="1100">
      <c r="A1100" s="31">
        <f>IF(J1100="E",IF(INDEX(Transaksi!$J$2:$J$2001,K1100)&gt;0,"↑","↓"),"")</f>
        <v/>
      </c>
      <c r="B1100" s="32">
        <f>IF(J1100="H",CHOOSE(WEEKDAY(T1100,2),"Isnin","Selasa","Rabu","Khamis","Jumaat","Sabtu","Ahad")&amp;", "&amp;DAY(T1100)&amp;" "&amp;CHOOSE(MONTH(T1100),"Jan","Feb","Mac","Apr","Mei","Jun","Jul","Ogo","Sep","Okt","Nov","Dis")&amp;" "&amp;YEAR(T1100),IF(J1100="E",IF(INDEX(Transaksi!$B$2:$B$2001,K1100)="",INDEX(Transaksi!$C$2:$C$2001,K1100)&amp;" · "&amp;INDEX(Transaksi!$D$2:$D$2001,K1100),INDEX(Transaksi!$B$2:$B$2001,K1100)),""))</f>
        <v/>
      </c>
      <c r="C1100" s="32">
        <f>IF(J1100="E",INDEX(Transaksi!$C$2:$C$2001,K1100)&amp;"","")</f>
        <v/>
      </c>
      <c r="D1100" s="32">
        <f>IF(J1100="E",INDEX(Transaksi!$D$2:$D$2001,K1100)&amp;"","")</f>
        <v/>
      </c>
      <c r="E1100" s="33">
        <f>IF(J1100="H",SUMIFS(Transaksi!$G$2:$G$2001,Transaksi!$M$2:$M$2001,"="&amp;S1100)+SUMIFS(Transaksi!$H$2:$H$2001,Transaksi!$M$2:$M$2001,"="&amp;S1100)+SUMIFS(Transaksi!$I$2:$I$2001,Transaksi!$M$2:$M$2001,"="&amp;S1100),IF(J1100="E",IF(INDEX(Transaksi!$G$2:$G$2001,K1100)+INDEX(Transaksi!$H$2:$H$2001,K1100)+INDEX(Transaksi!$I$2:$I$2001,K1100)=0,"",INDEX(Transaksi!$G$2:$G$2001,K1100)+INDEX(Transaksi!$H$2:$H$2001,K1100)+INDEX(Transaksi!$I$2:$I$2001,K1100)),""))</f>
        <v/>
      </c>
      <c r="F1100" s="33">
        <f>IF(J1100="H",SUMIFS(Transaksi!$J$2:$J$2001,Transaksi!$M$2:$M$2001,"="&amp;S1100),IF(J1100="E",IF(INDEX(Transaksi!$J$2:$J$2001,K1100)=0,"",INDEX(Transaksi!$J$2:$J$2001,K1100)),""))</f>
        <v/>
      </c>
      <c r="G1100" s="33">
        <f>IF(J1100="H",(SUMIFS(Transaksi!$G$2:$G$2001,Transaksi!$M$2:$M$2001,"&lt;="&amp;S1100)+SUMIFS(Transaksi!$H$2:$H$2001,Transaksi!$M$2:$M$2001,"&lt;="&amp;S1100)+SUMIFS(Transaksi!$I$2:$I$2001,Transaksi!$M$2:$M$2001,"&lt;="&amp;S1100))-(SUMIFS(Transaksi!$J$2:$J$2001,Transaksi!$M$2:$M$2001,"&lt;="&amp;S1100)),"")</f>
        <v/>
      </c>
      <c r="I1100">
        <f>IF(1097&gt;$O$2,"",MATCH(1097,$Q$3:$Q$402,1))</f>
        <v/>
      </c>
      <c r="J1100">
        <f>IF(I1100="","",IF(1097=INDEX($Q$3:$Q$402,I1100),"H","E"))</f>
        <v/>
      </c>
      <c r="K1100">
        <f>IF(J1100&lt;&gt;"E","",MATCH(S1100,Transaksi!$M$2:$M$2001,0)+1097-INDEX($Q$3:$Q$402,I1100)-1)</f>
        <v/>
      </c>
      <c r="S1100">
        <f>IF(I1100="","",INDEX($O$3:$O$402,I1100))</f>
        <v/>
      </c>
      <c r="T1100">
        <f>IF(J1100&lt;&gt;"H","",INDEX(Transaksi!$A$2:$A$2001,MATCH(S1100,Transaksi!$M$2:$M$2001,0)))</f>
        <v/>
      </c>
    </row>
    <row r="1101">
      <c r="A1101" s="31">
        <f>IF(J1101="E",IF(INDEX(Transaksi!$J$2:$J$2001,K1101)&gt;0,"↑","↓"),"")</f>
        <v/>
      </c>
      <c r="B1101" s="32">
        <f>IF(J1101="H",CHOOSE(WEEKDAY(T1101,2),"Isnin","Selasa","Rabu","Khamis","Jumaat","Sabtu","Ahad")&amp;", "&amp;DAY(T1101)&amp;" "&amp;CHOOSE(MONTH(T1101),"Jan","Feb","Mac","Apr","Mei","Jun","Jul","Ogo","Sep","Okt","Nov","Dis")&amp;" "&amp;YEAR(T1101),IF(J1101="E",IF(INDEX(Transaksi!$B$2:$B$2001,K1101)="",INDEX(Transaksi!$C$2:$C$2001,K1101)&amp;" · "&amp;INDEX(Transaksi!$D$2:$D$2001,K1101),INDEX(Transaksi!$B$2:$B$2001,K1101)),""))</f>
        <v/>
      </c>
      <c r="C1101" s="32">
        <f>IF(J1101="E",INDEX(Transaksi!$C$2:$C$2001,K1101)&amp;"","")</f>
        <v/>
      </c>
      <c r="D1101" s="32">
        <f>IF(J1101="E",INDEX(Transaksi!$D$2:$D$2001,K1101)&amp;"","")</f>
        <v/>
      </c>
      <c r="E1101" s="33">
        <f>IF(J1101="H",SUMIFS(Transaksi!$G$2:$G$2001,Transaksi!$M$2:$M$2001,"="&amp;S1101)+SUMIFS(Transaksi!$H$2:$H$2001,Transaksi!$M$2:$M$2001,"="&amp;S1101)+SUMIFS(Transaksi!$I$2:$I$2001,Transaksi!$M$2:$M$2001,"="&amp;S1101),IF(J1101="E",IF(INDEX(Transaksi!$G$2:$G$2001,K1101)+INDEX(Transaksi!$H$2:$H$2001,K1101)+INDEX(Transaksi!$I$2:$I$2001,K1101)=0,"",INDEX(Transaksi!$G$2:$G$2001,K1101)+INDEX(Transaksi!$H$2:$H$2001,K1101)+INDEX(Transaksi!$I$2:$I$2001,K1101)),""))</f>
        <v/>
      </c>
      <c r="F1101" s="33">
        <f>IF(J1101="H",SUMIFS(Transaksi!$J$2:$J$2001,Transaksi!$M$2:$M$2001,"="&amp;S1101),IF(J1101="E",IF(INDEX(Transaksi!$J$2:$J$2001,K1101)=0,"",INDEX(Transaksi!$J$2:$J$2001,K1101)),""))</f>
        <v/>
      </c>
      <c r="G1101" s="33">
        <f>IF(J1101="H",(SUMIFS(Transaksi!$G$2:$G$2001,Transaksi!$M$2:$M$2001,"&lt;="&amp;S1101)+SUMIFS(Transaksi!$H$2:$H$2001,Transaksi!$M$2:$M$2001,"&lt;="&amp;S1101)+SUMIFS(Transaksi!$I$2:$I$2001,Transaksi!$M$2:$M$2001,"&lt;="&amp;S1101))-(SUMIFS(Transaksi!$J$2:$J$2001,Transaksi!$M$2:$M$2001,"&lt;="&amp;S1101)),"")</f>
        <v/>
      </c>
      <c r="I1101">
        <f>IF(1098&gt;$O$2,"",MATCH(1098,$Q$3:$Q$402,1))</f>
        <v/>
      </c>
      <c r="J1101">
        <f>IF(I1101="","",IF(1098=INDEX($Q$3:$Q$402,I1101),"H","E"))</f>
        <v/>
      </c>
      <c r="K1101">
        <f>IF(J1101&lt;&gt;"E","",MATCH(S1101,Transaksi!$M$2:$M$2001,0)+1098-INDEX($Q$3:$Q$402,I1101)-1)</f>
        <v/>
      </c>
      <c r="S1101">
        <f>IF(I1101="","",INDEX($O$3:$O$402,I1101))</f>
        <v/>
      </c>
      <c r="T1101">
        <f>IF(J1101&lt;&gt;"H","",INDEX(Transaksi!$A$2:$A$2001,MATCH(S1101,Transaksi!$M$2:$M$2001,0)))</f>
        <v/>
      </c>
    </row>
    <row r="1102">
      <c r="A1102" s="31">
        <f>IF(J1102="E",IF(INDEX(Transaksi!$J$2:$J$2001,K1102)&gt;0,"↑","↓"),"")</f>
        <v/>
      </c>
      <c r="B1102" s="32">
        <f>IF(J1102="H",CHOOSE(WEEKDAY(T1102,2),"Isnin","Selasa","Rabu","Khamis","Jumaat","Sabtu","Ahad")&amp;", "&amp;DAY(T1102)&amp;" "&amp;CHOOSE(MONTH(T1102),"Jan","Feb","Mac","Apr","Mei","Jun","Jul","Ogo","Sep","Okt","Nov","Dis")&amp;" "&amp;YEAR(T1102),IF(J1102="E",IF(INDEX(Transaksi!$B$2:$B$2001,K1102)="",INDEX(Transaksi!$C$2:$C$2001,K1102)&amp;" · "&amp;INDEX(Transaksi!$D$2:$D$2001,K1102),INDEX(Transaksi!$B$2:$B$2001,K1102)),""))</f>
        <v/>
      </c>
      <c r="C1102" s="32">
        <f>IF(J1102="E",INDEX(Transaksi!$C$2:$C$2001,K1102)&amp;"","")</f>
        <v/>
      </c>
      <c r="D1102" s="32">
        <f>IF(J1102="E",INDEX(Transaksi!$D$2:$D$2001,K1102)&amp;"","")</f>
        <v/>
      </c>
      <c r="E1102" s="33">
        <f>IF(J1102="H",SUMIFS(Transaksi!$G$2:$G$2001,Transaksi!$M$2:$M$2001,"="&amp;S1102)+SUMIFS(Transaksi!$H$2:$H$2001,Transaksi!$M$2:$M$2001,"="&amp;S1102)+SUMIFS(Transaksi!$I$2:$I$2001,Transaksi!$M$2:$M$2001,"="&amp;S1102),IF(J1102="E",IF(INDEX(Transaksi!$G$2:$G$2001,K1102)+INDEX(Transaksi!$H$2:$H$2001,K1102)+INDEX(Transaksi!$I$2:$I$2001,K1102)=0,"",INDEX(Transaksi!$G$2:$G$2001,K1102)+INDEX(Transaksi!$H$2:$H$2001,K1102)+INDEX(Transaksi!$I$2:$I$2001,K1102)),""))</f>
        <v/>
      </c>
      <c r="F1102" s="33">
        <f>IF(J1102="H",SUMIFS(Transaksi!$J$2:$J$2001,Transaksi!$M$2:$M$2001,"="&amp;S1102),IF(J1102="E",IF(INDEX(Transaksi!$J$2:$J$2001,K1102)=0,"",INDEX(Transaksi!$J$2:$J$2001,K1102)),""))</f>
        <v/>
      </c>
      <c r="G1102" s="33">
        <f>IF(J1102="H",(SUMIFS(Transaksi!$G$2:$G$2001,Transaksi!$M$2:$M$2001,"&lt;="&amp;S1102)+SUMIFS(Transaksi!$H$2:$H$2001,Transaksi!$M$2:$M$2001,"&lt;="&amp;S1102)+SUMIFS(Transaksi!$I$2:$I$2001,Transaksi!$M$2:$M$2001,"&lt;="&amp;S1102))-(SUMIFS(Transaksi!$J$2:$J$2001,Transaksi!$M$2:$M$2001,"&lt;="&amp;S1102)),"")</f>
        <v/>
      </c>
      <c r="I1102">
        <f>IF(1099&gt;$O$2,"",MATCH(1099,$Q$3:$Q$402,1))</f>
        <v/>
      </c>
      <c r="J1102">
        <f>IF(I1102="","",IF(1099=INDEX($Q$3:$Q$402,I1102),"H","E"))</f>
        <v/>
      </c>
      <c r="K1102">
        <f>IF(J1102&lt;&gt;"E","",MATCH(S1102,Transaksi!$M$2:$M$2001,0)+1099-INDEX($Q$3:$Q$402,I1102)-1)</f>
        <v/>
      </c>
      <c r="S1102">
        <f>IF(I1102="","",INDEX($O$3:$O$402,I1102))</f>
        <v/>
      </c>
      <c r="T1102">
        <f>IF(J1102&lt;&gt;"H","",INDEX(Transaksi!$A$2:$A$2001,MATCH(S1102,Transaksi!$M$2:$M$2001,0)))</f>
        <v/>
      </c>
    </row>
    <row r="1103">
      <c r="A1103" s="31">
        <f>IF(J1103="E",IF(INDEX(Transaksi!$J$2:$J$2001,K1103)&gt;0,"↑","↓"),"")</f>
        <v/>
      </c>
      <c r="B1103" s="32">
        <f>IF(J1103="H",CHOOSE(WEEKDAY(T1103,2),"Isnin","Selasa","Rabu","Khamis","Jumaat","Sabtu","Ahad")&amp;", "&amp;DAY(T1103)&amp;" "&amp;CHOOSE(MONTH(T1103),"Jan","Feb","Mac","Apr","Mei","Jun","Jul","Ogo","Sep","Okt","Nov","Dis")&amp;" "&amp;YEAR(T1103),IF(J1103="E",IF(INDEX(Transaksi!$B$2:$B$2001,K1103)="",INDEX(Transaksi!$C$2:$C$2001,K1103)&amp;" · "&amp;INDEX(Transaksi!$D$2:$D$2001,K1103),INDEX(Transaksi!$B$2:$B$2001,K1103)),""))</f>
        <v/>
      </c>
      <c r="C1103" s="32">
        <f>IF(J1103="E",INDEX(Transaksi!$C$2:$C$2001,K1103)&amp;"","")</f>
        <v/>
      </c>
      <c r="D1103" s="32">
        <f>IF(J1103="E",INDEX(Transaksi!$D$2:$D$2001,K1103)&amp;"","")</f>
        <v/>
      </c>
      <c r="E1103" s="33">
        <f>IF(J1103="H",SUMIFS(Transaksi!$G$2:$G$2001,Transaksi!$M$2:$M$2001,"="&amp;S1103)+SUMIFS(Transaksi!$H$2:$H$2001,Transaksi!$M$2:$M$2001,"="&amp;S1103)+SUMIFS(Transaksi!$I$2:$I$2001,Transaksi!$M$2:$M$2001,"="&amp;S1103),IF(J1103="E",IF(INDEX(Transaksi!$G$2:$G$2001,K1103)+INDEX(Transaksi!$H$2:$H$2001,K1103)+INDEX(Transaksi!$I$2:$I$2001,K1103)=0,"",INDEX(Transaksi!$G$2:$G$2001,K1103)+INDEX(Transaksi!$H$2:$H$2001,K1103)+INDEX(Transaksi!$I$2:$I$2001,K1103)),""))</f>
        <v/>
      </c>
      <c r="F1103" s="33">
        <f>IF(J1103="H",SUMIFS(Transaksi!$J$2:$J$2001,Transaksi!$M$2:$M$2001,"="&amp;S1103),IF(J1103="E",IF(INDEX(Transaksi!$J$2:$J$2001,K1103)=0,"",INDEX(Transaksi!$J$2:$J$2001,K1103)),""))</f>
        <v/>
      </c>
      <c r="G1103" s="33">
        <f>IF(J1103="H",(SUMIFS(Transaksi!$G$2:$G$2001,Transaksi!$M$2:$M$2001,"&lt;="&amp;S1103)+SUMIFS(Transaksi!$H$2:$H$2001,Transaksi!$M$2:$M$2001,"&lt;="&amp;S1103)+SUMIFS(Transaksi!$I$2:$I$2001,Transaksi!$M$2:$M$2001,"&lt;="&amp;S1103))-(SUMIFS(Transaksi!$J$2:$J$2001,Transaksi!$M$2:$M$2001,"&lt;="&amp;S1103)),"")</f>
        <v/>
      </c>
      <c r="I1103">
        <f>IF(1100&gt;$O$2,"",MATCH(1100,$Q$3:$Q$402,1))</f>
        <v/>
      </c>
      <c r="J1103">
        <f>IF(I1103="","",IF(1100=INDEX($Q$3:$Q$402,I1103),"H","E"))</f>
        <v/>
      </c>
      <c r="K1103">
        <f>IF(J1103&lt;&gt;"E","",MATCH(S1103,Transaksi!$M$2:$M$2001,0)+1100-INDEX($Q$3:$Q$402,I1103)-1)</f>
        <v/>
      </c>
      <c r="S1103">
        <f>IF(I1103="","",INDEX($O$3:$O$402,I1103))</f>
        <v/>
      </c>
      <c r="T1103">
        <f>IF(J1103&lt;&gt;"H","",INDEX(Transaksi!$A$2:$A$2001,MATCH(S1103,Transaksi!$M$2:$M$2001,0)))</f>
        <v/>
      </c>
    </row>
    <row r="1104">
      <c r="A1104" s="31">
        <f>IF(J1104="E",IF(INDEX(Transaksi!$J$2:$J$2001,K1104)&gt;0,"↑","↓"),"")</f>
        <v/>
      </c>
      <c r="B1104" s="32">
        <f>IF(J1104="H",CHOOSE(WEEKDAY(T1104,2),"Isnin","Selasa","Rabu","Khamis","Jumaat","Sabtu","Ahad")&amp;", "&amp;DAY(T1104)&amp;" "&amp;CHOOSE(MONTH(T1104),"Jan","Feb","Mac","Apr","Mei","Jun","Jul","Ogo","Sep","Okt","Nov","Dis")&amp;" "&amp;YEAR(T1104),IF(J1104="E",IF(INDEX(Transaksi!$B$2:$B$2001,K1104)="",INDEX(Transaksi!$C$2:$C$2001,K1104)&amp;" · "&amp;INDEX(Transaksi!$D$2:$D$2001,K1104),INDEX(Transaksi!$B$2:$B$2001,K1104)),""))</f>
        <v/>
      </c>
      <c r="C1104" s="32">
        <f>IF(J1104="E",INDEX(Transaksi!$C$2:$C$2001,K1104)&amp;"","")</f>
        <v/>
      </c>
      <c r="D1104" s="32">
        <f>IF(J1104="E",INDEX(Transaksi!$D$2:$D$2001,K1104)&amp;"","")</f>
        <v/>
      </c>
      <c r="E1104" s="33">
        <f>IF(J1104="H",SUMIFS(Transaksi!$G$2:$G$2001,Transaksi!$M$2:$M$2001,"="&amp;S1104)+SUMIFS(Transaksi!$H$2:$H$2001,Transaksi!$M$2:$M$2001,"="&amp;S1104)+SUMIFS(Transaksi!$I$2:$I$2001,Transaksi!$M$2:$M$2001,"="&amp;S1104),IF(J1104="E",IF(INDEX(Transaksi!$G$2:$G$2001,K1104)+INDEX(Transaksi!$H$2:$H$2001,K1104)+INDEX(Transaksi!$I$2:$I$2001,K1104)=0,"",INDEX(Transaksi!$G$2:$G$2001,K1104)+INDEX(Transaksi!$H$2:$H$2001,K1104)+INDEX(Transaksi!$I$2:$I$2001,K1104)),""))</f>
        <v/>
      </c>
      <c r="F1104" s="33">
        <f>IF(J1104="H",SUMIFS(Transaksi!$J$2:$J$2001,Transaksi!$M$2:$M$2001,"="&amp;S1104),IF(J1104="E",IF(INDEX(Transaksi!$J$2:$J$2001,K1104)=0,"",INDEX(Transaksi!$J$2:$J$2001,K1104)),""))</f>
        <v/>
      </c>
      <c r="G1104" s="33">
        <f>IF(J1104="H",(SUMIFS(Transaksi!$G$2:$G$2001,Transaksi!$M$2:$M$2001,"&lt;="&amp;S1104)+SUMIFS(Transaksi!$H$2:$H$2001,Transaksi!$M$2:$M$2001,"&lt;="&amp;S1104)+SUMIFS(Transaksi!$I$2:$I$2001,Transaksi!$M$2:$M$2001,"&lt;="&amp;S1104))-(SUMIFS(Transaksi!$J$2:$J$2001,Transaksi!$M$2:$M$2001,"&lt;="&amp;S1104)),"")</f>
        <v/>
      </c>
      <c r="I1104">
        <f>IF(1101&gt;$O$2,"",MATCH(1101,$Q$3:$Q$402,1))</f>
        <v/>
      </c>
      <c r="J1104">
        <f>IF(I1104="","",IF(1101=INDEX($Q$3:$Q$402,I1104),"H","E"))</f>
        <v/>
      </c>
      <c r="K1104">
        <f>IF(J1104&lt;&gt;"E","",MATCH(S1104,Transaksi!$M$2:$M$2001,0)+1101-INDEX($Q$3:$Q$402,I1104)-1)</f>
        <v/>
      </c>
      <c r="S1104">
        <f>IF(I1104="","",INDEX($O$3:$O$402,I1104))</f>
        <v/>
      </c>
      <c r="T1104">
        <f>IF(J1104&lt;&gt;"H","",INDEX(Transaksi!$A$2:$A$2001,MATCH(S1104,Transaksi!$M$2:$M$2001,0)))</f>
        <v/>
      </c>
    </row>
    <row r="1105">
      <c r="A1105" s="31">
        <f>IF(J1105="E",IF(INDEX(Transaksi!$J$2:$J$2001,K1105)&gt;0,"↑","↓"),"")</f>
        <v/>
      </c>
      <c r="B1105" s="32">
        <f>IF(J1105="H",CHOOSE(WEEKDAY(T1105,2),"Isnin","Selasa","Rabu","Khamis","Jumaat","Sabtu","Ahad")&amp;", "&amp;DAY(T1105)&amp;" "&amp;CHOOSE(MONTH(T1105),"Jan","Feb","Mac","Apr","Mei","Jun","Jul","Ogo","Sep","Okt","Nov","Dis")&amp;" "&amp;YEAR(T1105),IF(J1105="E",IF(INDEX(Transaksi!$B$2:$B$2001,K1105)="",INDEX(Transaksi!$C$2:$C$2001,K1105)&amp;" · "&amp;INDEX(Transaksi!$D$2:$D$2001,K1105),INDEX(Transaksi!$B$2:$B$2001,K1105)),""))</f>
        <v/>
      </c>
      <c r="C1105" s="32">
        <f>IF(J1105="E",INDEX(Transaksi!$C$2:$C$2001,K1105)&amp;"","")</f>
        <v/>
      </c>
      <c r="D1105" s="32">
        <f>IF(J1105="E",INDEX(Transaksi!$D$2:$D$2001,K1105)&amp;"","")</f>
        <v/>
      </c>
      <c r="E1105" s="33">
        <f>IF(J1105="H",SUMIFS(Transaksi!$G$2:$G$2001,Transaksi!$M$2:$M$2001,"="&amp;S1105)+SUMIFS(Transaksi!$H$2:$H$2001,Transaksi!$M$2:$M$2001,"="&amp;S1105)+SUMIFS(Transaksi!$I$2:$I$2001,Transaksi!$M$2:$M$2001,"="&amp;S1105),IF(J1105="E",IF(INDEX(Transaksi!$G$2:$G$2001,K1105)+INDEX(Transaksi!$H$2:$H$2001,K1105)+INDEX(Transaksi!$I$2:$I$2001,K1105)=0,"",INDEX(Transaksi!$G$2:$G$2001,K1105)+INDEX(Transaksi!$H$2:$H$2001,K1105)+INDEX(Transaksi!$I$2:$I$2001,K1105)),""))</f>
        <v/>
      </c>
      <c r="F1105" s="33">
        <f>IF(J1105="H",SUMIFS(Transaksi!$J$2:$J$2001,Transaksi!$M$2:$M$2001,"="&amp;S1105),IF(J1105="E",IF(INDEX(Transaksi!$J$2:$J$2001,K1105)=0,"",INDEX(Transaksi!$J$2:$J$2001,K1105)),""))</f>
        <v/>
      </c>
      <c r="G1105" s="33">
        <f>IF(J1105="H",(SUMIFS(Transaksi!$G$2:$G$2001,Transaksi!$M$2:$M$2001,"&lt;="&amp;S1105)+SUMIFS(Transaksi!$H$2:$H$2001,Transaksi!$M$2:$M$2001,"&lt;="&amp;S1105)+SUMIFS(Transaksi!$I$2:$I$2001,Transaksi!$M$2:$M$2001,"&lt;="&amp;S1105))-(SUMIFS(Transaksi!$J$2:$J$2001,Transaksi!$M$2:$M$2001,"&lt;="&amp;S1105)),"")</f>
        <v/>
      </c>
      <c r="I1105">
        <f>IF(1102&gt;$O$2,"",MATCH(1102,$Q$3:$Q$402,1))</f>
        <v/>
      </c>
      <c r="J1105">
        <f>IF(I1105="","",IF(1102=INDEX($Q$3:$Q$402,I1105),"H","E"))</f>
        <v/>
      </c>
      <c r="K1105">
        <f>IF(J1105&lt;&gt;"E","",MATCH(S1105,Transaksi!$M$2:$M$2001,0)+1102-INDEX($Q$3:$Q$402,I1105)-1)</f>
        <v/>
      </c>
      <c r="S1105">
        <f>IF(I1105="","",INDEX($O$3:$O$402,I1105))</f>
        <v/>
      </c>
      <c r="T1105">
        <f>IF(J1105&lt;&gt;"H","",INDEX(Transaksi!$A$2:$A$2001,MATCH(S1105,Transaksi!$M$2:$M$2001,0)))</f>
        <v/>
      </c>
    </row>
    <row r="1106">
      <c r="A1106" s="31">
        <f>IF(J1106="E",IF(INDEX(Transaksi!$J$2:$J$2001,K1106)&gt;0,"↑","↓"),"")</f>
        <v/>
      </c>
      <c r="B1106" s="32">
        <f>IF(J1106="H",CHOOSE(WEEKDAY(T1106,2),"Isnin","Selasa","Rabu","Khamis","Jumaat","Sabtu","Ahad")&amp;", "&amp;DAY(T1106)&amp;" "&amp;CHOOSE(MONTH(T1106),"Jan","Feb","Mac","Apr","Mei","Jun","Jul","Ogo","Sep","Okt","Nov","Dis")&amp;" "&amp;YEAR(T1106),IF(J1106="E",IF(INDEX(Transaksi!$B$2:$B$2001,K1106)="",INDEX(Transaksi!$C$2:$C$2001,K1106)&amp;" · "&amp;INDEX(Transaksi!$D$2:$D$2001,K1106),INDEX(Transaksi!$B$2:$B$2001,K1106)),""))</f>
        <v/>
      </c>
      <c r="C1106" s="32">
        <f>IF(J1106="E",INDEX(Transaksi!$C$2:$C$2001,K1106)&amp;"","")</f>
        <v/>
      </c>
      <c r="D1106" s="32">
        <f>IF(J1106="E",INDEX(Transaksi!$D$2:$D$2001,K1106)&amp;"","")</f>
        <v/>
      </c>
      <c r="E1106" s="33">
        <f>IF(J1106="H",SUMIFS(Transaksi!$G$2:$G$2001,Transaksi!$M$2:$M$2001,"="&amp;S1106)+SUMIFS(Transaksi!$H$2:$H$2001,Transaksi!$M$2:$M$2001,"="&amp;S1106)+SUMIFS(Transaksi!$I$2:$I$2001,Transaksi!$M$2:$M$2001,"="&amp;S1106),IF(J1106="E",IF(INDEX(Transaksi!$G$2:$G$2001,K1106)+INDEX(Transaksi!$H$2:$H$2001,K1106)+INDEX(Transaksi!$I$2:$I$2001,K1106)=0,"",INDEX(Transaksi!$G$2:$G$2001,K1106)+INDEX(Transaksi!$H$2:$H$2001,K1106)+INDEX(Transaksi!$I$2:$I$2001,K1106)),""))</f>
        <v/>
      </c>
      <c r="F1106" s="33">
        <f>IF(J1106="H",SUMIFS(Transaksi!$J$2:$J$2001,Transaksi!$M$2:$M$2001,"="&amp;S1106),IF(J1106="E",IF(INDEX(Transaksi!$J$2:$J$2001,K1106)=0,"",INDEX(Transaksi!$J$2:$J$2001,K1106)),""))</f>
        <v/>
      </c>
      <c r="G1106" s="33">
        <f>IF(J1106="H",(SUMIFS(Transaksi!$G$2:$G$2001,Transaksi!$M$2:$M$2001,"&lt;="&amp;S1106)+SUMIFS(Transaksi!$H$2:$H$2001,Transaksi!$M$2:$M$2001,"&lt;="&amp;S1106)+SUMIFS(Transaksi!$I$2:$I$2001,Transaksi!$M$2:$M$2001,"&lt;="&amp;S1106))-(SUMIFS(Transaksi!$J$2:$J$2001,Transaksi!$M$2:$M$2001,"&lt;="&amp;S1106)),"")</f>
        <v/>
      </c>
      <c r="I1106">
        <f>IF(1103&gt;$O$2,"",MATCH(1103,$Q$3:$Q$402,1))</f>
        <v/>
      </c>
      <c r="J1106">
        <f>IF(I1106="","",IF(1103=INDEX($Q$3:$Q$402,I1106),"H","E"))</f>
        <v/>
      </c>
      <c r="K1106">
        <f>IF(J1106&lt;&gt;"E","",MATCH(S1106,Transaksi!$M$2:$M$2001,0)+1103-INDEX($Q$3:$Q$402,I1106)-1)</f>
        <v/>
      </c>
      <c r="S1106">
        <f>IF(I1106="","",INDEX($O$3:$O$402,I1106))</f>
        <v/>
      </c>
      <c r="T1106">
        <f>IF(J1106&lt;&gt;"H","",INDEX(Transaksi!$A$2:$A$2001,MATCH(S1106,Transaksi!$M$2:$M$2001,0)))</f>
        <v/>
      </c>
    </row>
    <row r="1107">
      <c r="A1107" s="31">
        <f>IF(J1107="E",IF(INDEX(Transaksi!$J$2:$J$2001,K1107)&gt;0,"↑","↓"),"")</f>
        <v/>
      </c>
      <c r="B1107" s="32">
        <f>IF(J1107="H",CHOOSE(WEEKDAY(T1107,2),"Isnin","Selasa","Rabu","Khamis","Jumaat","Sabtu","Ahad")&amp;", "&amp;DAY(T1107)&amp;" "&amp;CHOOSE(MONTH(T1107),"Jan","Feb","Mac","Apr","Mei","Jun","Jul","Ogo","Sep","Okt","Nov","Dis")&amp;" "&amp;YEAR(T1107),IF(J1107="E",IF(INDEX(Transaksi!$B$2:$B$2001,K1107)="",INDEX(Transaksi!$C$2:$C$2001,K1107)&amp;" · "&amp;INDEX(Transaksi!$D$2:$D$2001,K1107),INDEX(Transaksi!$B$2:$B$2001,K1107)),""))</f>
        <v/>
      </c>
      <c r="C1107" s="32">
        <f>IF(J1107="E",INDEX(Transaksi!$C$2:$C$2001,K1107)&amp;"","")</f>
        <v/>
      </c>
      <c r="D1107" s="32">
        <f>IF(J1107="E",INDEX(Transaksi!$D$2:$D$2001,K1107)&amp;"","")</f>
        <v/>
      </c>
      <c r="E1107" s="33">
        <f>IF(J1107="H",SUMIFS(Transaksi!$G$2:$G$2001,Transaksi!$M$2:$M$2001,"="&amp;S1107)+SUMIFS(Transaksi!$H$2:$H$2001,Transaksi!$M$2:$M$2001,"="&amp;S1107)+SUMIFS(Transaksi!$I$2:$I$2001,Transaksi!$M$2:$M$2001,"="&amp;S1107),IF(J1107="E",IF(INDEX(Transaksi!$G$2:$G$2001,K1107)+INDEX(Transaksi!$H$2:$H$2001,K1107)+INDEX(Transaksi!$I$2:$I$2001,K1107)=0,"",INDEX(Transaksi!$G$2:$G$2001,K1107)+INDEX(Transaksi!$H$2:$H$2001,K1107)+INDEX(Transaksi!$I$2:$I$2001,K1107)),""))</f>
        <v/>
      </c>
      <c r="F1107" s="33">
        <f>IF(J1107="H",SUMIFS(Transaksi!$J$2:$J$2001,Transaksi!$M$2:$M$2001,"="&amp;S1107),IF(J1107="E",IF(INDEX(Transaksi!$J$2:$J$2001,K1107)=0,"",INDEX(Transaksi!$J$2:$J$2001,K1107)),""))</f>
        <v/>
      </c>
      <c r="G1107" s="33">
        <f>IF(J1107="H",(SUMIFS(Transaksi!$G$2:$G$2001,Transaksi!$M$2:$M$2001,"&lt;="&amp;S1107)+SUMIFS(Transaksi!$H$2:$H$2001,Transaksi!$M$2:$M$2001,"&lt;="&amp;S1107)+SUMIFS(Transaksi!$I$2:$I$2001,Transaksi!$M$2:$M$2001,"&lt;="&amp;S1107))-(SUMIFS(Transaksi!$J$2:$J$2001,Transaksi!$M$2:$M$2001,"&lt;="&amp;S1107)),"")</f>
        <v/>
      </c>
      <c r="I1107">
        <f>IF(1104&gt;$O$2,"",MATCH(1104,$Q$3:$Q$402,1))</f>
        <v/>
      </c>
      <c r="J1107">
        <f>IF(I1107="","",IF(1104=INDEX($Q$3:$Q$402,I1107),"H","E"))</f>
        <v/>
      </c>
      <c r="K1107">
        <f>IF(J1107&lt;&gt;"E","",MATCH(S1107,Transaksi!$M$2:$M$2001,0)+1104-INDEX($Q$3:$Q$402,I1107)-1)</f>
        <v/>
      </c>
      <c r="S1107">
        <f>IF(I1107="","",INDEX($O$3:$O$402,I1107))</f>
        <v/>
      </c>
      <c r="T1107">
        <f>IF(J1107&lt;&gt;"H","",INDEX(Transaksi!$A$2:$A$2001,MATCH(S1107,Transaksi!$M$2:$M$2001,0)))</f>
        <v/>
      </c>
    </row>
    <row r="1108">
      <c r="A1108" s="31">
        <f>IF(J1108="E",IF(INDEX(Transaksi!$J$2:$J$2001,K1108)&gt;0,"↑","↓"),"")</f>
        <v/>
      </c>
      <c r="B1108" s="32">
        <f>IF(J1108="H",CHOOSE(WEEKDAY(T1108,2),"Isnin","Selasa","Rabu","Khamis","Jumaat","Sabtu","Ahad")&amp;", "&amp;DAY(T1108)&amp;" "&amp;CHOOSE(MONTH(T1108),"Jan","Feb","Mac","Apr","Mei","Jun","Jul","Ogo","Sep","Okt","Nov","Dis")&amp;" "&amp;YEAR(T1108),IF(J1108="E",IF(INDEX(Transaksi!$B$2:$B$2001,K1108)="",INDEX(Transaksi!$C$2:$C$2001,K1108)&amp;" · "&amp;INDEX(Transaksi!$D$2:$D$2001,K1108),INDEX(Transaksi!$B$2:$B$2001,K1108)),""))</f>
        <v/>
      </c>
      <c r="C1108" s="32">
        <f>IF(J1108="E",INDEX(Transaksi!$C$2:$C$2001,K1108)&amp;"","")</f>
        <v/>
      </c>
      <c r="D1108" s="32">
        <f>IF(J1108="E",INDEX(Transaksi!$D$2:$D$2001,K1108)&amp;"","")</f>
        <v/>
      </c>
      <c r="E1108" s="33">
        <f>IF(J1108="H",SUMIFS(Transaksi!$G$2:$G$2001,Transaksi!$M$2:$M$2001,"="&amp;S1108)+SUMIFS(Transaksi!$H$2:$H$2001,Transaksi!$M$2:$M$2001,"="&amp;S1108)+SUMIFS(Transaksi!$I$2:$I$2001,Transaksi!$M$2:$M$2001,"="&amp;S1108),IF(J1108="E",IF(INDEX(Transaksi!$G$2:$G$2001,K1108)+INDEX(Transaksi!$H$2:$H$2001,K1108)+INDEX(Transaksi!$I$2:$I$2001,K1108)=0,"",INDEX(Transaksi!$G$2:$G$2001,K1108)+INDEX(Transaksi!$H$2:$H$2001,K1108)+INDEX(Transaksi!$I$2:$I$2001,K1108)),""))</f>
        <v/>
      </c>
      <c r="F1108" s="33">
        <f>IF(J1108="H",SUMIFS(Transaksi!$J$2:$J$2001,Transaksi!$M$2:$M$2001,"="&amp;S1108),IF(J1108="E",IF(INDEX(Transaksi!$J$2:$J$2001,K1108)=0,"",INDEX(Transaksi!$J$2:$J$2001,K1108)),""))</f>
        <v/>
      </c>
      <c r="G1108" s="33">
        <f>IF(J1108="H",(SUMIFS(Transaksi!$G$2:$G$2001,Transaksi!$M$2:$M$2001,"&lt;="&amp;S1108)+SUMIFS(Transaksi!$H$2:$H$2001,Transaksi!$M$2:$M$2001,"&lt;="&amp;S1108)+SUMIFS(Transaksi!$I$2:$I$2001,Transaksi!$M$2:$M$2001,"&lt;="&amp;S1108))-(SUMIFS(Transaksi!$J$2:$J$2001,Transaksi!$M$2:$M$2001,"&lt;="&amp;S1108)),"")</f>
        <v/>
      </c>
      <c r="I1108">
        <f>IF(1105&gt;$O$2,"",MATCH(1105,$Q$3:$Q$402,1))</f>
        <v/>
      </c>
      <c r="J1108">
        <f>IF(I1108="","",IF(1105=INDEX($Q$3:$Q$402,I1108),"H","E"))</f>
        <v/>
      </c>
      <c r="K1108">
        <f>IF(J1108&lt;&gt;"E","",MATCH(S1108,Transaksi!$M$2:$M$2001,0)+1105-INDEX($Q$3:$Q$402,I1108)-1)</f>
        <v/>
      </c>
      <c r="S1108">
        <f>IF(I1108="","",INDEX($O$3:$O$402,I1108))</f>
        <v/>
      </c>
      <c r="T1108">
        <f>IF(J1108&lt;&gt;"H","",INDEX(Transaksi!$A$2:$A$2001,MATCH(S1108,Transaksi!$M$2:$M$2001,0)))</f>
        <v/>
      </c>
    </row>
    <row r="1109">
      <c r="A1109" s="31">
        <f>IF(J1109="E",IF(INDEX(Transaksi!$J$2:$J$2001,K1109)&gt;0,"↑","↓"),"")</f>
        <v/>
      </c>
      <c r="B1109" s="32">
        <f>IF(J1109="H",CHOOSE(WEEKDAY(T1109,2),"Isnin","Selasa","Rabu","Khamis","Jumaat","Sabtu","Ahad")&amp;", "&amp;DAY(T1109)&amp;" "&amp;CHOOSE(MONTH(T1109),"Jan","Feb","Mac","Apr","Mei","Jun","Jul","Ogo","Sep","Okt","Nov","Dis")&amp;" "&amp;YEAR(T1109),IF(J1109="E",IF(INDEX(Transaksi!$B$2:$B$2001,K1109)="",INDEX(Transaksi!$C$2:$C$2001,K1109)&amp;" · "&amp;INDEX(Transaksi!$D$2:$D$2001,K1109),INDEX(Transaksi!$B$2:$B$2001,K1109)),""))</f>
        <v/>
      </c>
      <c r="C1109" s="32">
        <f>IF(J1109="E",INDEX(Transaksi!$C$2:$C$2001,K1109)&amp;"","")</f>
        <v/>
      </c>
      <c r="D1109" s="32">
        <f>IF(J1109="E",INDEX(Transaksi!$D$2:$D$2001,K1109)&amp;"","")</f>
        <v/>
      </c>
      <c r="E1109" s="33">
        <f>IF(J1109="H",SUMIFS(Transaksi!$G$2:$G$2001,Transaksi!$M$2:$M$2001,"="&amp;S1109)+SUMIFS(Transaksi!$H$2:$H$2001,Transaksi!$M$2:$M$2001,"="&amp;S1109)+SUMIFS(Transaksi!$I$2:$I$2001,Transaksi!$M$2:$M$2001,"="&amp;S1109),IF(J1109="E",IF(INDEX(Transaksi!$G$2:$G$2001,K1109)+INDEX(Transaksi!$H$2:$H$2001,K1109)+INDEX(Transaksi!$I$2:$I$2001,K1109)=0,"",INDEX(Transaksi!$G$2:$G$2001,K1109)+INDEX(Transaksi!$H$2:$H$2001,K1109)+INDEX(Transaksi!$I$2:$I$2001,K1109)),""))</f>
        <v/>
      </c>
      <c r="F1109" s="33">
        <f>IF(J1109="H",SUMIFS(Transaksi!$J$2:$J$2001,Transaksi!$M$2:$M$2001,"="&amp;S1109),IF(J1109="E",IF(INDEX(Transaksi!$J$2:$J$2001,K1109)=0,"",INDEX(Transaksi!$J$2:$J$2001,K1109)),""))</f>
        <v/>
      </c>
      <c r="G1109" s="33">
        <f>IF(J1109="H",(SUMIFS(Transaksi!$G$2:$G$2001,Transaksi!$M$2:$M$2001,"&lt;="&amp;S1109)+SUMIFS(Transaksi!$H$2:$H$2001,Transaksi!$M$2:$M$2001,"&lt;="&amp;S1109)+SUMIFS(Transaksi!$I$2:$I$2001,Transaksi!$M$2:$M$2001,"&lt;="&amp;S1109))-(SUMIFS(Transaksi!$J$2:$J$2001,Transaksi!$M$2:$M$2001,"&lt;="&amp;S1109)),"")</f>
        <v/>
      </c>
      <c r="I1109">
        <f>IF(1106&gt;$O$2,"",MATCH(1106,$Q$3:$Q$402,1))</f>
        <v/>
      </c>
      <c r="J1109">
        <f>IF(I1109="","",IF(1106=INDEX($Q$3:$Q$402,I1109),"H","E"))</f>
        <v/>
      </c>
      <c r="K1109">
        <f>IF(J1109&lt;&gt;"E","",MATCH(S1109,Transaksi!$M$2:$M$2001,0)+1106-INDEX($Q$3:$Q$402,I1109)-1)</f>
        <v/>
      </c>
      <c r="S1109">
        <f>IF(I1109="","",INDEX($O$3:$O$402,I1109))</f>
        <v/>
      </c>
      <c r="T1109">
        <f>IF(J1109&lt;&gt;"H","",INDEX(Transaksi!$A$2:$A$2001,MATCH(S1109,Transaksi!$M$2:$M$2001,0)))</f>
        <v/>
      </c>
    </row>
    <row r="1110">
      <c r="A1110" s="31">
        <f>IF(J1110="E",IF(INDEX(Transaksi!$J$2:$J$2001,K1110)&gt;0,"↑","↓"),"")</f>
        <v/>
      </c>
      <c r="B1110" s="32">
        <f>IF(J1110="H",CHOOSE(WEEKDAY(T1110,2),"Isnin","Selasa","Rabu","Khamis","Jumaat","Sabtu","Ahad")&amp;", "&amp;DAY(T1110)&amp;" "&amp;CHOOSE(MONTH(T1110),"Jan","Feb","Mac","Apr","Mei","Jun","Jul","Ogo","Sep","Okt","Nov","Dis")&amp;" "&amp;YEAR(T1110),IF(J1110="E",IF(INDEX(Transaksi!$B$2:$B$2001,K1110)="",INDEX(Transaksi!$C$2:$C$2001,K1110)&amp;" · "&amp;INDEX(Transaksi!$D$2:$D$2001,K1110),INDEX(Transaksi!$B$2:$B$2001,K1110)),""))</f>
        <v/>
      </c>
      <c r="C1110" s="32">
        <f>IF(J1110="E",INDEX(Transaksi!$C$2:$C$2001,K1110)&amp;"","")</f>
        <v/>
      </c>
      <c r="D1110" s="32">
        <f>IF(J1110="E",INDEX(Transaksi!$D$2:$D$2001,K1110)&amp;"","")</f>
        <v/>
      </c>
      <c r="E1110" s="33">
        <f>IF(J1110="H",SUMIFS(Transaksi!$G$2:$G$2001,Transaksi!$M$2:$M$2001,"="&amp;S1110)+SUMIFS(Transaksi!$H$2:$H$2001,Transaksi!$M$2:$M$2001,"="&amp;S1110)+SUMIFS(Transaksi!$I$2:$I$2001,Transaksi!$M$2:$M$2001,"="&amp;S1110),IF(J1110="E",IF(INDEX(Transaksi!$G$2:$G$2001,K1110)+INDEX(Transaksi!$H$2:$H$2001,K1110)+INDEX(Transaksi!$I$2:$I$2001,K1110)=0,"",INDEX(Transaksi!$G$2:$G$2001,K1110)+INDEX(Transaksi!$H$2:$H$2001,K1110)+INDEX(Transaksi!$I$2:$I$2001,K1110)),""))</f>
        <v/>
      </c>
      <c r="F1110" s="33">
        <f>IF(J1110="H",SUMIFS(Transaksi!$J$2:$J$2001,Transaksi!$M$2:$M$2001,"="&amp;S1110),IF(J1110="E",IF(INDEX(Transaksi!$J$2:$J$2001,K1110)=0,"",INDEX(Transaksi!$J$2:$J$2001,K1110)),""))</f>
        <v/>
      </c>
      <c r="G1110" s="33">
        <f>IF(J1110="H",(SUMIFS(Transaksi!$G$2:$G$2001,Transaksi!$M$2:$M$2001,"&lt;="&amp;S1110)+SUMIFS(Transaksi!$H$2:$H$2001,Transaksi!$M$2:$M$2001,"&lt;="&amp;S1110)+SUMIFS(Transaksi!$I$2:$I$2001,Transaksi!$M$2:$M$2001,"&lt;="&amp;S1110))-(SUMIFS(Transaksi!$J$2:$J$2001,Transaksi!$M$2:$M$2001,"&lt;="&amp;S1110)),"")</f>
        <v/>
      </c>
      <c r="I1110">
        <f>IF(1107&gt;$O$2,"",MATCH(1107,$Q$3:$Q$402,1))</f>
        <v/>
      </c>
      <c r="J1110">
        <f>IF(I1110="","",IF(1107=INDEX($Q$3:$Q$402,I1110),"H","E"))</f>
        <v/>
      </c>
      <c r="K1110">
        <f>IF(J1110&lt;&gt;"E","",MATCH(S1110,Transaksi!$M$2:$M$2001,0)+1107-INDEX($Q$3:$Q$402,I1110)-1)</f>
        <v/>
      </c>
      <c r="S1110">
        <f>IF(I1110="","",INDEX($O$3:$O$402,I1110))</f>
        <v/>
      </c>
      <c r="T1110">
        <f>IF(J1110&lt;&gt;"H","",INDEX(Transaksi!$A$2:$A$2001,MATCH(S1110,Transaksi!$M$2:$M$2001,0)))</f>
        <v/>
      </c>
    </row>
    <row r="1111">
      <c r="A1111" s="31">
        <f>IF(J1111="E",IF(INDEX(Transaksi!$J$2:$J$2001,K1111)&gt;0,"↑","↓"),"")</f>
        <v/>
      </c>
      <c r="B1111" s="32">
        <f>IF(J1111="H",CHOOSE(WEEKDAY(T1111,2),"Isnin","Selasa","Rabu","Khamis","Jumaat","Sabtu","Ahad")&amp;", "&amp;DAY(T1111)&amp;" "&amp;CHOOSE(MONTH(T1111),"Jan","Feb","Mac","Apr","Mei","Jun","Jul","Ogo","Sep","Okt","Nov","Dis")&amp;" "&amp;YEAR(T1111),IF(J1111="E",IF(INDEX(Transaksi!$B$2:$B$2001,K1111)="",INDEX(Transaksi!$C$2:$C$2001,K1111)&amp;" · "&amp;INDEX(Transaksi!$D$2:$D$2001,K1111),INDEX(Transaksi!$B$2:$B$2001,K1111)),""))</f>
        <v/>
      </c>
      <c r="C1111" s="32">
        <f>IF(J1111="E",INDEX(Transaksi!$C$2:$C$2001,K1111)&amp;"","")</f>
        <v/>
      </c>
      <c r="D1111" s="32">
        <f>IF(J1111="E",INDEX(Transaksi!$D$2:$D$2001,K1111)&amp;"","")</f>
        <v/>
      </c>
      <c r="E1111" s="33">
        <f>IF(J1111="H",SUMIFS(Transaksi!$G$2:$G$2001,Transaksi!$M$2:$M$2001,"="&amp;S1111)+SUMIFS(Transaksi!$H$2:$H$2001,Transaksi!$M$2:$M$2001,"="&amp;S1111)+SUMIFS(Transaksi!$I$2:$I$2001,Transaksi!$M$2:$M$2001,"="&amp;S1111),IF(J1111="E",IF(INDEX(Transaksi!$G$2:$G$2001,K1111)+INDEX(Transaksi!$H$2:$H$2001,K1111)+INDEX(Transaksi!$I$2:$I$2001,K1111)=0,"",INDEX(Transaksi!$G$2:$G$2001,K1111)+INDEX(Transaksi!$H$2:$H$2001,K1111)+INDEX(Transaksi!$I$2:$I$2001,K1111)),""))</f>
        <v/>
      </c>
      <c r="F1111" s="33">
        <f>IF(J1111="H",SUMIFS(Transaksi!$J$2:$J$2001,Transaksi!$M$2:$M$2001,"="&amp;S1111),IF(J1111="E",IF(INDEX(Transaksi!$J$2:$J$2001,K1111)=0,"",INDEX(Transaksi!$J$2:$J$2001,K1111)),""))</f>
        <v/>
      </c>
      <c r="G1111" s="33">
        <f>IF(J1111="H",(SUMIFS(Transaksi!$G$2:$G$2001,Transaksi!$M$2:$M$2001,"&lt;="&amp;S1111)+SUMIFS(Transaksi!$H$2:$H$2001,Transaksi!$M$2:$M$2001,"&lt;="&amp;S1111)+SUMIFS(Transaksi!$I$2:$I$2001,Transaksi!$M$2:$M$2001,"&lt;="&amp;S1111))-(SUMIFS(Transaksi!$J$2:$J$2001,Transaksi!$M$2:$M$2001,"&lt;="&amp;S1111)),"")</f>
        <v/>
      </c>
      <c r="I1111">
        <f>IF(1108&gt;$O$2,"",MATCH(1108,$Q$3:$Q$402,1))</f>
        <v/>
      </c>
      <c r="J1111">
        <f>IF(I1111="","",IF(1108=INDEX($Q$3:$Q$402,I1111),"H","E"))</f>
        <v/>
      </c>
      <c r="K1111">
        <f>IF(J1111&lt;&gt;"E","",MATCH(S1111,Transaksi!$M$2:$M$2001,0)+1108-INDEX($Q$3:$Q$402,I1111)-1)</f>
        <v/>
      </c>
      <c r="S1111">
        <f>IF(I1111="","",INDEX($O$3:$O$402,I1111))</f>
        <v/>
      </c>
      <c r="T1111">
        <f>IF(J1111&lt;&gt;"H","",INDEX(Transaksi!$A$2:$A$2001,MATCH(S1111,Transaksi!$M$2:$M$2001,0)))</f>
        <v/>
      </c>
    </row>
    <row r="1112">
      <c r="A1112" s="31">
        <f>IF(J1112="E",IF(INDEX(Transaksi!$J$2:$J$2001,K1112)&gt;0,"↑","↓"),"")</f>
        <v/>
      </c>
      <c r="B1112" s="32">
        <f>IF(J1112="H",CHOOSE(WEEKDAY(T1112,2),"Isnin","Selasa","Rabu","Khamis","Jumaat","Sabtu","Ahad")&amp;", "&amp;DAY(T1112)&amp;" "&amp;CHOOSE(MONTH(T1112),"Jan","Feb","Mac","Apr","Mei","Jun","Jul","Ogo","Sep","Okt","Nov","Dis")&amp;" "&amp;YEAR(T1112),IF(J1112="E",IF(INDEX(Transaksi!$B$2:$B$2001,K1112)="",INDEX(Transaksi!$C$2:$C$2001,K1112)&amp;" · "&amp;INDEX(Transaksi!$D$2:$D$2001,K1112),INDEX(Transaksi!$B$2:$B$2001,K1112)),""))</f>
        <v/>
      </c>
      <c r="C1112" s="32">
        <f>IF(J1112="E",INDEX(Transaksi!$C$2:$C$2001,K1112)&amp;"","")</f>
        <v/>
      </c>
      <c r="D1112" s="32">
        <f>IF(J1112="E",INDEX(Transaksi!$D$2:$D$2001,K1112)&amp;"","")</f>
        <v/>
      </c>
      <c r="E1112" s="33">
        <f>IF(J1112="H",SUMIFS(Transaksi!$G$2:$G$2001,Transaksi!$M$2:$M$2001,"="&amp;S1112)+SUMIFS(Transaksi!$H$2:$H$2001,Transaksi!$M$2:$M$2001,"="&amp;S1112)+SUMIFS(Transaksi!$I$2:$I$2001,Transaksi!$M$2:$M$2001,"="&amp;S1112),IF(J1112="E",IF(INDEX(Transaksi!$G$2:$G$2001,K1112)+INDEX(Transaksi!$H$2:$H$2001,K1112)+INDEX(Transaksi!$I$2:$I$2001,K1112)=0,"",INDEX(Transaksi!$G$2:$G$2001,K1112)+INDEX(Transaksi!$H$2:$H$2001,K1112)+INDEX(Transaksi!$I$2:$I$2001,K1112)),""))</f>
        <v/>
      </c>
      <c r="F1112" s="33">
        <f>IF(J1112="H",SUMIFS(Transaksi!$J$2:$J$2001,Transaksi!$M$2:$M$2001,"="&amp;S1112),IF(J1112="E",IF(INDEX(Transaksi!$J$2:$J$2001,K1112)=0,"",INDEX(Transaksi!$J$2:$J$2001,K1112)),""))</f>
        <v/>
      </c>
      <c r="G1112" s="33">
        <f>IF(J1112="H",(SUMIFS(Transaksi!$G$2:$G$2001,Transaksi!$M$2:$M$2001,"&lt;="&amp;S1112)+SUMIFS(Transaksi!$H$2:$H$2001,Transaksi!$M$2:$M$2001,"&lt;="&amp;S1112)+SUMIFS(Transaksi!$I$2:$I$2001,Transaksi!$M$2:$M$2001,"&lt;="&amp;S1112))-(SUMIFS(Transaksi!$J$2:$J$2001,Transaksi!$M$2:$M$2001,"&lt;="&amp;S1112)),"")</f>
        <v/>
      </c>
      <c r="I1112">
        <f>IF(1109&gt;$O$2,"",MATCH(1109,$Q$3:$Q$402,1))</f>
        <v/>
      </c>
      <c r="J1112">
        <f>IF(I1112="","",IF(1109=INDEX($Q$3:$Q$402,I1112),"H","E"))</f>
        <v/>
      </c>
      <c r="K1112">
        <f>IF(J1112&lt;&gt;"E","",MATCH(S1112,Transaksi!$M$2:$M$2001,0)+1109-INDEX($Q$3:$Q$402,I1112)-1)</f>
        <v/>
      </c>
      <c r="S1112">
        <f>IF(I1112="","",INDEX($O$3:$O$402,I1112))</f>
        <v/>
      </c>
      <c r="T1112">
        <f>IF(J1112&lt;&gt;"H","",INDEX(Transaksi!$A$2:$A$2001,MATCH(S1112,Transaksi!$M$2:$M$2001,0)))</f>
        <v/>
      </c>
    </row>
    <row r="1113">
      <c r="A1113" s="31">
        <f>IF(J1113="E",IF(INDEX(Transaksi!$J$2:$J$2001,K1113)&gt;0,"↑","↓"),"")</f>
        <v/>
      </c>
      <c r="B1113" s="32">
        <f>IF(J1113="H",CHOOSE(WEEKDAY(T1113,2),"Isnin","Selasa","Rabu","Khamis","Jumaat","Sabtu","Ahad")&amp;", "&amp;DAY(T1113)&amp;" "&amp;CHOOSE(MONTH(T1113),"Jan","Feb","Mac","Apr","Mei","Jun","Jul","Ogo","Sep","Okt","Nov","Dis")&amp;" "&amp;YEAR(T1113),IF(J1113="E",IF(INDEX(Transaksi!$B$2:$B$2001,K1113)="",INDEX(Transaksi!$C$2:$C$2001,K1113)&amp;" · "&amp;INDEX(Transaksi!$D$2:$D$2001,K1113),INDEX(Transaksi!$B$2:$B$2001,K1113)),""))</f>
        <v/>
      </c>
      <c r="C1113" s="32">
        <f>IF(J1113="E",INDEX(Transaksi!$C$2:$C$2001,K1113)&amp;"","")</f>
        <v/>
      </c>
      <c r="D1113" s="32">
        <f>IF(J1113="E",INDEX(Transaksi!$D$2:$D$2001,K1113)&amp;"","")</f>
        <v/>
      </c>
      <c r="E1113" s="33">
        <f>IF(J1113="H",SUMIFS(Transaksi!$G$2:$G$2001,Transaksi!$M$2:$M$2001,"="&amp;S1113)+SUMIFS(Transaksi!$H$2:$H$2001,Transaksi!$M$2:$M$2001,"="&amp;S1113)+SUMIFS(Transaksi!$I$2:$I$2001,Transaksi!$M$2:$M$2001,"="&amp;S1113),IF(J1113="E",IF(INDEX(Transaksi!$G$2:$G$2001,K1113)+INDEX(Transaksi!$H$2:$H$2001,K1113)+INDEX(Transaksi!$I$2:$I$2001,K1113)=0,"",INDEX(Transaksi!$G$2:$G$2001,K1113)+INDEX(Transaksi!$H$2:$H$2001,K1113)+INDEX(Transaksi!$I$2:$I$2001,K1113)),""))</f>
        <v/>
      </c>
      <c r="F1113" s="33">
        <f>IF(J1113="H",SUMIFS(Transaksi!$J$2:$J$2001,Transaksi!$M$2:$M$2001,"="&amp;S1113),IF(J1113="E",IF(INDEX(Transaksi!$J$2:$J$2001,K1113)=0,"",INDEX(Transaksi!$J$2:$J$2001,K1113)),""))</f>
        <v/>
      </c>
      <c r="G1113" s="33">
        <f>IF(J1113="H",(SUMIFS(Transaksi!$G$2:$G$2001,Transaksi!$M$2:$M$2001,"&lt;="&amp;S1113)+SUMIFS(Transaksi!$H$2:$H$2001,Transaksi!$M$2:$M$2001,"&lt;="&amp;S1113)+SUMIFS(Transaksi!$I$2:$I$2001,Transaksi!$M$2:$M$2001,"&lt;="&amp;S1113))-(SUMIFS(Transaksi!$J$2:$J$2001,Transaksi!$M$2:$M$2001,"&lt;="&amp;S1113)),"")</f>
        <v/>
      </c>
      <c r="I1113">
        <f>IF(1110&gt;$O$2,"",MATCH(1110,$Q$3:$Q$402,1))</f>
        <v/>
      </c>
      <c r="J1113">
        <f>IF(I1113="","",IF(1110=INDEX($Q$3:$Q$402,I1113),"H","E"))</f>
        <v/>
      </c>
      <c r="K1113">
        <f>IF(J1113&lt;&gt;"E","",MATCH(S1113,Transaksi!$M$2:$M$2001,0)+1110-INDEX($Q$3:$Q$402,I1113)-1)</f>
        <v/>
      </c>
      <c r="S1113">
        <f>IF(I1113="","",INDEX($O$3:$O$402,I1113))</f>
        <v/>
      </c>
      <c r="T1113">
        <f>IF(J1113&lt;&gt;"H","",INDEX(Transaksi!$A$2:$A$2001,MATCH(S1113,Transaksi!$M$2:$M$2001,0)))</f>
        <v/>
      </c>
    </row>
    <row r="1114">
      <c r="A1114" s="31">
        <f>IF(J1114="E",IF(INDEX(Transaksi!$J$2:$J$2001,K1114)&gt;0,"↑","↓"),"")</f>
        <v/>
      </c>
      <c r="B1114" s="32">
        <f>IF(J1114="H",CHOOSE(WEEKDAY(T1114,2),"Isnin","Selasa","Rabu","Khamis","Jumaat","Sabtu","Ahad")&amp;", "&amp;DAY(T1114)&amp;" "&amp;CHOOSE(MONTH(T1114),"Jan","Feb","Mac","Apr","Mei","Jun","Jul","Ogo","Sep","Okt","Nov","Dis")&amp;" "&amp;YEAR(T1114),IF(J1114="E",IF(INDEX(Transaksi!$B$2:$B$2001,K1114)="",INDEX(Transaksi!$C$2:$C$2001,K1114)&amp;" · "&amp;INDEX(Transaksi!$D$2:$D$2001,K1114),INDEX(Transaksi!$B$2:$B$2001,K1114)),""))</f>
        <v/>
      </c>
      <c r="C1114" s="32">
        <f>IF(J1114="E",INDEX(Transaksi!$C$2:$C$2001,K1114)&amp;"","")</f>
        <v/>
      </c>
      <c r="D1114" s="32">
        <f>IF(J1114="E",INDEX(Transaksi!$D$2:$D$2001,K1114)&amp;"","")</f>
        <v/>
      </c>
      <c r="E1114" s="33">
        <f>IF(J1114="H",SUMIFS(Transaksi!$G$2:$G$2001,Transaksi!$M$2:$M$2001,"="&amp;S1114)+SUMIFS(Transaksi!$H$2:$H$2001,Transaksi!$M$2:$M$2001,"="&amp;S1114)+SUMIFS(Transaksi!$I$2:$I$2001,Transaksi!$M$2:$M$2001,"="&amp;S1114),IF(J1114="E",IF(INDEX(Transaksi!$G$2:$G$2001,K1114)+INDEX(Transaksi!$H$2:$H$2001,K1114)+INDEX(Transaksi!$I$2:$I$2001,K1114)=0,"",INDEX(Transaksi!$G$2:$G$2001,K1114)+INDEX(Transaksi!$H$2:$H$2001,K1114)+INDEX(Transaksi!$I$2:$I$2001,K1114)),""))</f>
        <v/>
      </c>
      <c r="F1114" s="33">
        <f>IF(J1114="H",SUMIFS(Transaksi!$J$2:$J$2001,Transaksi!$M$2:$M$2001,"="&amp;S1114),IF(J1114="E",IF(INDEX(Transaksi!$J$2:$J$2001,K1114)=0,"",INDEX(Transaksi!$J$2:$J$2001,K1114)),""))</f>
        <v/>
      </c>
      <c r="G1114" s="33">
        <f>IF(J1114="H",(SUMIFS(Transaksi!$G$2:$G$2001,Transaksi!$M$2:$M$2001,"&lt;="&amp;S1114)+SUMIFS(Transaksi!$H$2:$H$2001,Transaksi!$M$2:$M$2001,"&lt;="&amp;S1114)+SUMIFS(Transaksi!$I$2:$I$2001,Transaksi!$M$2:$M$2001,"&lt;="&amp;S1114))-(SUMIFS(Transaksi!$J$2:$J$2001,Transaksi!$M$2:$M$2001,"&lt;="&amp;S1114)),"")</f>
        <v/>
      </c>
      <c r="I1114">
        <f>IF(1111&gt;$O$2,"",MATCH(1111,$Q$3:$Q$402,1))</f>
        <v/>
      </c>
      <c r="J1114">
        <f>IF(I1114="","",IF(1111=INDEX($Q$3:$Q$402,I1114),"H","E"))</f>
        <v/>
      </c>
      <c r="K1114">
        <f>IF(J1114&lt;&gt;"E","",MATCH(S1114,Transaksi!$M$2:$M$2001,0)+1111-INDEX($Q$3:$Q$402,I1114)-1)</f>
        <v/>
      </c>
      <c r="S1114">
        <f>IF(I1114="","",INDEX($O$3:$O$402,I1114))</f>
        <v/>
      </c>
      <c r="T1114">
        <f>IF(J1114&lt;&gt;"H","",INDEX(Transaksi!$A$2:$A$2001,MATCH(S1114,Transaksi!$M$2:$M$2001,0)))</f>
        <v/>
      </c>
    </row>
    <row r="1115">
      <c r="A1115" s="31">
        <f>IF(J1115="E",IF(INDEX(Transaksi!$J$2:$J$2001,K1115)&gt;0,"↑","↓"),"")</f>
        <v/>
      </c>
      <c r="B1115" s="32">
        <f>IF(J1115="H",CHOOSE(WEEKDAY(T1115,2),"Isnin","Selasa","Rabu","Khamis","Jumaat","Sabtu","Ahad")&amp;", "&amp;DAY(T1115)&amp;" "&amp;CHOOSE(MONTH(T1115),"Jan","Feb","Mac","Apr","Mei","Jun","Jul","Ogo","Sep","Okt","Nov","Dis")&amp;" "&amp;YEAR(T1115),IF(J1115="E",IF(INDEX(Transaksi!$B$2:$B$2001,K1115)="",INDEX(Transaksi!$C$2:$C$2001,K1115)&amp;" · "&amp;INDEX(Transaksi!$D$2:$D$2001,K1115),INDEX(Transaksi!$B$2:$B$2001,K1115)),""))</f>
        <v/>
      </c>
      <c r="C1115" s="32">
        <f>IF(J1115="E",INDEX(Transaksi!$C$2:$C$2001,K1115)&amp;"","")</f>
        <v/>
      </c>
      <c r="D1115" s="32">
        <f>IF(J1115="E",INDEX(Transaksi!$D$2:$D$2001,K1115)&amp;"","")</f>
        <v/>
      </c>
      <c r="E1115" s="33">
        <f>IF(J1115="H",SUMIFS(Transaksi!$G$2:$G$2001,Transaksi!$M$2:$M$2001,"="&amp;S1115)+SUMIFS(Transaksi!$H$2:$H$2001,Transaksi!$M$2:$M$2001,"="&amp;S1115)+SUMIFS(Transaksi!$I$2:$I$2001,Transaksi!$M$2:$M$2001,"="&amp;S1115),IF(J1115="E",IF(INDEX(Transaksi!$G$2:$G$2001,K1115)+INDEX(Transaksi!$H$2:$H$2001,K1115)+INDEX(Transaksi!$I$2:$I$2001,K1115)=0,"",INDEX(Transaksi!$G$2:$G$2001,K1115)+INDEX(Transaksi!$H$2:$H$2001,K1115)+INDEX(Transaksi!$I$2:$I$2001,K1115)),""))</f>
        <v/>
      </c>
      <c r="F1115" s="33">
        <f>IF(J1115="H",SUMIFS(Transaksi!$J$2:$J$2001,Transaksi!$M$2:$M$2001,"="&amp;S1115),IF(J1115="E",IF(INDEX(Transaksi!$J$2:$J$2001,K1115)=0,"",INDEX(Transaksi!$J$2:$J$2001,K1115)),""))</f>
        <v/>
      </c>
      <c r="G1115" s="33">
        <f>IF(J1115="H",(SUMIFS(Transaksi!$G$2:$G$2001,Transaksi!$M$2:$M$2001,"&lt;="&amp;S1115)+SUMIFS(Transaksi!$H$2:$H$2001,Transaksi!$M$2:$M$2001,"&lt;="&amp;S1115)+SUMIFS(Transaksi!$I$2:$I$2001,Transaksi!$M$2:$M$2001,"&lt;="&amp;S1115))-(SUMIFS(Transaksi!$J$2:$J$2001,Transaksi!$M$2:$M$2001,"&lt;="&amp;S1115)),"")</f>
        <v/>
      </c>
      <c r="I1115">
        <f>IF(1112&gt;$O$2,"",MATCH(1112,$Q$3:$Q$402,1))</f>
        <v/>
      </c>
      <c r="J1115">
        <f>IF(I1115="","",IF(1112=INDEX($Q$3:$Q$402,I1115),"H","E"))</f>
        <v/>
      </c>
      <c r="K1115">
        <f>IF(J1115&lt;&gt;"E","",MATCH(S1115,Transaksi!$M$2:$M$2001,0)+1112-INDEX($Q$3:$Q$402,I1115)-1)</f>
        <v/>
      </c>
      <c r="S1115">
        <f>IF(I1115="","",INDEX($O$3:$O$402,I1115))</f>
        <v/>
      </c>
      <c r="T1115">
        <f>IF(J1115&lt;&gt;"H","",INDEX(Transaksi!$A$2:$A$2001,MATCH(S1115,Transaksi!$M$2:$M$2001,0)))</f>
        <v/>
      </c>
    </row>
    <row r="1116">
      <c r="A1116" s="31">
        <f>IF(J1116="E",IF(INDEX(Transaksi!$J$2:$J$2001,K1116)&gt;0,"↑","↓"),"")</f>
        <v/>
      </c>
      <c r="B1116" s="32">
        <f>IF(J1116="H",CHOOSE(WEEKDAY(T1116,2),"Isnin","Selasa","Rabu","Khamis","Jumaat","Sabtu","Ahad")&amp;", "&amp;DAY(T1116)&amp;" "&amp;CHOOSE(MONTH(T1116),"Jan","Feb","Mac","Apr","Mei","Jun","Jul","Ogo","Sep","Okt","Nov","Dis")&amp;" "&amp;YEAR(T1116),IF(J1116="E",IF(INDEX(Transaksi!$B$2:$B$2001,K1116)="",INDEX(Transaksi!$C$2:$C$2001,K1116)&amp;" · "&amp;INDEX(Transaksi!$D$2:$D$2001,K1116),INDEX(Transaksi!$B$2:$B$2001,K1116)),""))</f>
        <v/>
      </c>
      <c r="C1116" s="32">
        <f>IF(J1116="E",INDEX(Transaksi!$C$2:$C$2001,K1116)&amp;"","")</f>
        <v/>
      </c>
      <c r="D1116" s="32">
        <f>IF(J1116="E",INDEX(Transaksi!$D$2:$D$2001,K1116)&amp;"","")</f>
        <v/>
      </c>
      <c r="E1116" s="33">
        <f>IF(J1116="H",SUMIFS(Transaksi!$G$2:$G$2001,Transaksi!$M$2:$M$2001,"="&amp;S1116)+SUMIFS(Transaksi!$H$2:$H$2001,Transaksi!$M$2:$M$2001,"="&amp;S1116)+SUMIFS(Transaksi!$I$2:$I$2001,Transaksi!$M$2:$M$2001,"="&amp;S1116),IF(J1116="E",IF(INDEX(Transaksi!$G$2:$G$2001,K1116)+INDEX(Transaksi!$H$2:$H$2001,K1116)+INDEX(Transaksi!$I$2:$I$2001,K1116)=0,"",INDEX(Transaksi!$G$2:$G$2001,K1116)+INDEX(Transaksi!$H$2:$H$2001,K1116)+INDEX(Transaksi!$I$2:$I$2001,K1116)),""))</f>
        <v/>
      </c>
      <c r="F1116" s="33">
        <f>IF(J1116="H",SUMIFS(Transaksi!$J$2:$J$2001,Transaksi!$M$2:$M$2001,"="&amp;S1116),IF(J1116="E",IF(INDEX(Transaksi!$J$2:$J$2001,K1116)=0,"",INDEX(Transaksi!$J$2:$J$2001,K1116)),""))</f>
        <v/>
      </c>
      <c r="G1116" s="33">
        <f>IF(J1116="H",(SUMIFS(Transaksi!$G$2:$G$2001,Transaksi!$M$2:$M$2001,"&lt;="&amp;S1116)+SUMIFS(Transaksi!$H$2:$H$2001,Transaksi!$M$2:$M$2001,"&lt;="&amp;S1116)+SUMIFS(Transaksi!$I$2:$I$2001,Transaksi!$M$2:$M$2001,"&lt;="&amp;S1116))-(SUMIFS(Transaksi!$J$2:$J$2001,Transaksi!$M$2:$M$2001,"&lt;="&amp;S1116)),"")</f>
        <v/>
      </c>
      <c r="I1116">
        <f>IF(1113&gt;$O$2,"",MATCH(1113,$Q$3:$Q$402,1))</f>
        <v/>
      </c>
      <c r="J1116">
        <f>IF(I1116="","",IF(1113=INDEX($Q$3:$Q$402,I1116),"H","E"))</f>
        <v/>
      </c>
      <c r="K1116">
        <f>IF(J1116&lt;&gt;"E","",MATCH(S1116,Transaksi!$M$2:$M$2001,0)+1113-INDEX($Q$3:$Q$402,I1116)-1)</f>
        <v/>
      </c>
      <c r="S1116">
        <f>IF(I1116="","",INDEX($O$3:$O$402,I1116))</f>
        <v/>
      </c>
      <c r="T1116">
        <f>IF(J1116&lt;&gt;"H","",INDEX(Transaksi!$A$2:$A$2001,MATCH(S1116,Transaksi!$M$2:$M$2001,0)))</f>
        <v/>
      </c>
    </row>
    <row r="1117">
      <c r="A1117" s="31">
        <f>IF(J1117="E",IF(INDEX(Transaksi!$J$2:$J$2001,K1117)&gt;0,"↑","↓"),"")</f>
        <v/>
      </c>
      <c r="B1117" s="32">
        <f>IF(J1117="H",CHOOSE(WEEKDAY(T1117,2),"Isnin","Selasa","Rabu","Khamis","Jumaat","Sabtu","Ahad")&amp;", "&amp;DAY(T1117)&amp;" "&amp;CHOOSE(MONTH(T1117),"Jan","Feb","Mac","Apr","Mei","Jun","Jul","Ogo","Sep","Okt","Nov","Dis")&amp;" "&amp;YEAR(T1117),IF(J1117="E",IF(INDEX(Transaksi!$B$2:$B$2001,K1117)="",INDEX(Transaksi!$C$2:$C$2001,K1117)&amp;" · "&amp;INDEX(Transaksi!$D$2:$D$2001,K1117),INDEX(Transaksi!$B$2:$B$2001,K1117)),""))</f>
        <v/>
      </c>
      <c r="C1117" s="32">
        <f>IF(J1117="E",INDEX(Transaksi!$C$2:$C$2001,K1117)&amp;"","")</f>
        <v/>
      </c>
      <c r="D1117" s="32">
        <f>IF(J1117="E",INDEX(Transaksi!$D$2:$D$2001,K1117)&amp;"","")</f>
        <v/>
      </c>
      <c r="E1117" s="33">
        <f>IF(J1117="H",SUMIFS(Transaksi!$G$2:$G$2001,Transaksi!$M$2:$M$2001,"="&amp;S1117)+SUMIFS(Transaksi!$H$2:$H$2001,Transaksi!$M$2:$M$2001,"="&amp;S1117)+SUMIFS(Transaksi!$I$2:$I$2001,Transaksi!$M$2:$M$2001,"="&amp;S1117),IF(J1117="E",IF(INDEX(Transaksi!$G$2:$G$2001,K1117)+INDEX(Transaksi!$H$2:$H$2001,K1117)+INDEX(Transaksi!$I$2:$I$2001,K1117)=0,"",INDEX(Transaksi!$G$2:$G$2001,K1117)+INDEX(Transaksi!$H$2:$H$2001,K1117)+INDEX(Transaksi!$I$2:$I$2001,K1117)),""))</f>
        <v/>
      </c>
      <c r="F1117" s="33">
        <f>IF(J1117="H",SUMIFS(Transaksi!$J$2:$J$2001,Transaksi!$M$2:$M$2001,"="&amp;S1117),IF(J1117="E",IF(INDEX(Transaksi!$J$2:$J$2001,K1117)=0,"",INDEX(Transaksi!$J$2:$J$2001,K1117)),""))</f>
        <v/>
      </c>
      <c r="G1117" s="33">
        <f>IF(J1117="H",(SUMIFS(Transaksi!$G$2:$G$2001,Transaksi!$M$2:$M$2001,"&lt;="&amp;S1117)+SUMIFS(Transaksi!$H$2:$H$2001,Transaksi!$M$2:$M$2001,"&lt;="&amp;S1117)+SUMIFS(Transaksi!$I$2:$I$2001,Transaksi!$M$2:$M$2001,"&lt;="&amp;S1117))-(SUMIFS(Transaksi!$J$2:$J$2001,Transaksi!$M$2:$M$2001,"&lt;="&amp;S1117)),"")</f>
        <v/>
      </c>
      <c r="I1117">
        <f>IF(1114&gt;$O$2,"",MATCH(1114,$Q$3:$Q$402,1))</f>
        <v/>
      </c>
      <c r="J1117">
        <f>IF(I1117="","",IF(1114=INDEX($Q$3:$Q$402,I1117),"H","E"))</f>
        <v/>
      </c>
      <c r="K1117">
        <f>IF(J1117&lt;&gt;"E","",MATCH(S1117,Transaksi!$M$2:$M$2001,0)+1114-INDEX($Q$3:$Q$402,I1117)-1)</f>
        <v/>
      </c>
      <c r="S1117">
        <f>IF(I1117="","",INDEX($O$3:$O$402,I1117))</f>
        <v/>
      </c>
      <c r="T1117">
        <f>IF(J1117&lt;&gt;"H","",INDEX(Transaksi!$A$2:$A$2001,MATCH(S1117,Transaksi!$M$2:$M$2001,0)))</f>
        <v/>
      </c>
    </row>
    <row r="1118">
      <c r="A1118" s="31">
        <f>IF(J1118="E",IF(INDEX(Transaksi!$J$2:$J$2001,K1118)&gt;0,"↑","↓"),"")</f>
        <v/>
      </c>
      <c r="B1118" s="32">
        <f>IF(J1118="H",CHOOSE(WEEKDAY(T1118,2),"Isnin","Selasa","Rabu","Khamis","Jumaat","Sabtu","Ahad")&amp;", "&amp;DAY(T1118)&amp;" "&amp;CHOOSE(MONTH(T1118),"Jan","Feb","Mac","Apr","Mei","Jun","Jul","Ogo","Sep","Okt","Nov","Dis")&amp;" "&amp;YEAR(T1118),IF(J1118="E",IF(INDEX(Transaksi!$B$2:$B$2001,K1118)="",INDEX(Transaksi!$C$2:$C$2001,K1118)&amp;" · "&amp;INDEX(Transaksi!$D$2:$D$2001,K1118),INDEX(Transaksi!$B$2:$B$2001,K1118)),""))</f>
        <v/>
      </c>
      <c r="C1118" s="32">
        <f>IF(J1118="E",INDEX(Transaksi!$C$2:$C$2001,K1118)&amp;"","")</f>
        <v/>
      </c>
      <c r="D1118" s="32">
        <f>IF(J1118="E",INDEX(Transaksi!$D$2:$D$2001,K1118)&amp;"","")</f>
        <v/>
      </c>
      <c r="E1118" s="33">
        <f>IF(J1118="H",SUMIFS(Transaksi!$G$2:$G$2001,Transaksi!$M$2:$M$2001,"="&amp;S1118)+SUMIFS(Transaksi!$H$2:$H$2001,Transaksi!$M$2:$M$2001,"="&amp;S1118)+SUMIFS(Transaksi!$I$2:$I$2001,Transaksi!$M$2:$M$2001,"="&amp;S1118),IF(J1118="E",IF(INDEX(Transaksi!$G$2:$G$2001,K1118)+INDEX(Transaksi!$H$2:$H$2001,K1118)+INDEX(Transaksi!$I$2:$I$2001,K1118)=0,"",INDEX(Transaksi!$G$2:$G$2001,K1118)+INDEX(Transaksi!$H$2:$H$2001,K1118)+INDEX(Transaksi!$I$2:$I$2001,K1118)),""))</f>
        <v/>
      </c>
      <c r="F1118" s="33">
        <f>IF(J1118="H",SUMIFS(Transaksi!$J$2:$J$2001,Transaksi!$M$2:$M$2001,"="&amp;S1118),IF(J1118="E",IF(INDEX(Transaksi!$J$2:$J$2001,K1118)=0,"",INDEX(Transaksi!$J$2:$J$2001,K1118)),""))</f>
        <v/>
      </c>
      <c r="G1118" s="33">
        <f>IF(J1118="H",(SUMIFS(Transaksi!$G$2:$G$2001,Transaksi!$M$2:$M$2001,"&lt;="&amp;S1118)+SUMIFS(Transaksi!$H$2:$H$2001,Transaksi!$M$2:$M$2001,"&lt;="&amp;S1118)+SUMIFS(Transaksi!$I$2:$I$2001,Transaksi!$M$2:$M$2001,"&lt;="&amp;S1118))-(SUMIFS(Transaksi!$J$2:$J$2001,Transaksi!$M$2:$M$2001,"&lt;="&amp;S1118)),"")</f>
        <v/>
      </c>
      <c r="I1118">
        <f>IF(1115&gt;$O$2,"",MATCH(1115,$Q$3:$Q$402,1))</f>
        <v/>
      </c>
      <c r="J1118">
        <f>IF(I1118="","",IF(1115=INDEX($Q$3:$Q$402,I1118),"H","E"))</f>
        <v/>
      </c>
      <c r="K1118">
        <f>IF(J1118&lt;&gt;"E","",MATCH(S1118,Transaksi!$M$2:$M$2001,0)+1115-INDEX($Q$3:$Q$402,I1118)-1)</f>
        <v/>
      </c>
      <c r="S1118">
        <f>IF(I1118="","",INDEX($O$3:$O$402,I1118))</f>
        <v/>
      </c>
      <c r="T1118">
        <f>IF(J1118&lt;&gt;"H","",INDEX(Transaksi!$A$2:$A$2001,MATCH(S1118,Transaksi!$M$2:$M$2001,0)))</f>
        <v/>
      </c>
    </row>
    <row r="1119">
      <c r="A1119" s="31">
        <f>IF(J1119="E",IF(INDEX(Transaksi!$J$2:$J$2001,K1119)&gt;0,"↑","↓"),"")</f>
        <v/>
      </c>
      <c r="B1119" s="32">
        <f>IF(J1119="H",CHOOSE(WEEKDAY(T1119,2),"Isnin","Selasa","Rabu","Khamis","Jumaat","Sabtu","Ahad")&amp;", "&amp;DAY(T1119)&amp;" "&amp;CHOOSE(MONTH(T1119),"Jan","Feb","Mac","Apr","Mei","Jun","Jul","Ogo","Sep","Okt","Nov","Dis")&amp;" "&amp;YEAR(T1119),IF(J1119="E",IF(INDEX(Transaksi!$B$2:$B$2001,K1119)="",INDEX(Transaksi!$C$2:$C$2001,K1119)&amp;" · "&amp;INDEX(Transaksi!$D$2:$D$2001,K1119),INDEX(Transaksi!$B$2:$B$2001,K1119)),""))</f>
        <v/>
      </c>
      <c r="C1119" s="32">
        <f>IF(J1119="E",INDEX(Transaksi!$C$2:$C$2001,K1119)&amp;"","")</f>
        <v/>
      </c>
      <c r="D1119" s="32">
        <f>IF(J1119="E",INDEX(Transaksi!$D$2:$D$2001,K1119)&amp;"","")</f>
        <v/>
      </c>
      <c r="E1119" s="33">
        <f>IF(J1119="H",SUMIFS(Transaksi!$G$2:$G$2001,Transaksi!$M$2:$M$2001,"="&amp;S1119)+SUMIFS(Transaksi!$H$2:$H$2001,Transaksi!$M$2:$M$2001,"="&amp;S1119)+SUMIFS(Transaksi!$I$2:$I$2001,Transaksi!$M$2:$M$2001,"="&amp;S1119),IF(J1119="E",IF(INDEX(Transaksi!$G$2:$G$2001,K1119)+INDEX(Transaksi!$H$2:$H$2001,K1119)+INDEX(Transaksi!$I$2:$I$2001,K1119)=0,"",INDEX(Transaksi!$G$2:$G$2001,K1119)+INDEX(Transaksi!$H$2:$H$2001,K1119)+INDEX(Transaksi!$I$2:$I$2001,K1119)),""))</f>
        <v/>
      </c>
      <c r="F1119" s="33">
        <f>IF(J1119="H",SUMIFS(Transaksi!$J$2:$J$2001,Transaksi!$M$2:$M$2001,"="&amp;S1119),IF(J1119="E",IF(INDEX(Transaksi!$J$2:$J$2001,K1119)=0,"",INDEX(Transaksi!$J$2:$J$2001,K1119)),""))</f>
        <v/>
      </c>
      <c r="G1119" s="33">
        <f>IF(J1119="H",(SUMIFS(Transaksi!$G$2:$G$2001,Transaksi!$M$2:$M$2001,"&lt;="&amp;S1119)+SUMIFS(Transaksi!$H$2:$H$2001,Transaksi!$M$2:$M$2001,"&lt;="&amp;S1119)+SUMIFS(Transaksi!$I$2:$I$2001,Transaksi!$M$2:$M$2001,"&lt;="&amp;S1119))-(SUMIFS(Transaksi!$J$2:$J$2001,Transaksi!$M$2:$M$2001,"&lt;="&amp;S1119)),"")</f>
        <v/>
      </c>
      <c r="I1119">
        <f>IF(1116&gt;$O$2,"",MATCH(1116,$Q$3:$Q$402,1))</f>
        <v/>
      </c>
      <c r="J1119">
        <f>IF(I1119="","",IF(1116=INDEX($Q$3:$Q$402,I1119),"H","E"))</f>
        <v/>
      </c>
      <c r="K1119">
        <f>IF(J1119&lt;&gt;"E","",MATCH(S1119,Transaksi!$M$2:$M$2001,0)+1116-INDEX($Q$3:$Q$402,I1119)-1)</f>
        <v/>
      </c>
      <c r="S1119">
        <f>IF(I1119="","",INDEX($O$3:$O$402,I1119))</f>
        <v/>
      </c>
      <c r="T1119">
        <f>IF(J1119&lt;&gt;"H","",INDEX(Transaksi!$A$2:$A$2001,MATCH(S1119,Transaksi!$M$2:$M$2001,0)))</f>
        <v/>
      </c>
    </row>
    <row r="1120">
      <c r="A1120" s="31">
        <f>IF(J1120="E",IF(INDEX(Transaksi!$J$2:$J$2001,K1120)&gt;0,"↑","↓"),"")</f>
        <v/>
      </c>
      <c r="B1120" s="32">
        <f>IF(J1120="H",CHOOSE(WEEKDAY(T1120,2),"Isnin","Selasa","Rabu","Khamis","Jumaat","Sabtu","Ahad")&amp;", "&amp;DAY(T1120)&amp;" "&amp;CHOOSE(MONTH(T1120),"Jan","Feb","Mac","Apr","Mei","Jun","Jul","Ogo","Sep","Okt","Nov","Dis")&amp;" "&amp;YEAR(T1120),IF(J1120="E",IF(INDEX(Transaksi!$B$2:$B$2001,K1120)="",INDEX(Transaksi!$C$2:$C$2001,K1120)&amp;" · "&amp;INDEX(Transaksi!$D$2:$D$2001,K1120),INDEX(Transaksi!$B$2:$B$2001,K1120)),""))</f>
        <v/>
      </c>
      <c r="C1120" s="32">
        <f>IF(J1120="E",INDEX(Transaksi!$C$2:$C$2001,K1120)&amp;"","")</f>
        <v/>
      </c>
      <c r="D1120" s="32">
        <f>IF(J1120="E",INDEX(Transaksi!$D$2:$D$2001,K1120)&amp;"","")</f>
        <v/>
      </c>
      <c r="E1120" s="33">
        <f>IF(J1120="H",SUMIFS(Transaksi!$G$2:$G$2001,Transaksi!$M$2:$M$2001,"="&amp;S1120)+SUMIFS(Transaksi!$H$2:$H$2001,Transaksi!$M$2:$M$2001,"="&amp;S1120)+SUMIFS(Transaksi!$I$2:$I$2001,Transaksi!$M$2:$M$2001,"="&amp;S1120),IF(J1120="E",IF(INDEX(Transaksi!$G$2:$G$2001,K1120)+INDEX(Transaksi!$H$2:$H$2001,K1120)+INDEX(Transaksi!$I$2:$I$2001,K1120)=0,"",INDEX(Transaksi!$G$2:$G$2001,K1120)+INDEX(Transaksi!$H$2:$H$2001,K1120)+INDEX(Transaksi!$I$2:$I$2001,K1120)),""))</f>
        <v/>
      </c>
      <c r="F1120" s="33">
        <f>IF(J1120="H",SUMIFS(Transaksi!$J$2:$J$2001,Transaksi!$M$2:$M$2001,"="&amp;S1120),IF(J1120="E",IF(INDEX(Transaksi!$J$2:$J$2001,K1120)=0,"",INDEX(Transaksi!$J$2:$J$2001,K1120)),""))</f>
        <v/>
      </c>
      <c r="G1120" s="33">
        <f>IF(J1120="H",(SUMIFS(Transaksi!$G$2:$G$2001,Transaksi!$M$2:$M$2001,"&lt;="&amp;S1120)+SUMIFS(Transaksi!$H$2:$H$2001,Transaksi!$M$2:$M$2001,"&lt;="&amp;S1120)+SUMIFS(Transaksi!$I$2:$I$2001,Transaksi!$M$2:$M$2001,"&lt;="&amp;S1120))-(SUMIFS(Transaksi!$J$2:$J$2001,Transaksi!$M$2:$M$2001,"&lt;="&amp;S1120)),"")</f>
        <v/>
      </c>
      <c r="I1120">
        <f>IF(1117&gt;$O$2,"",MATCH(1117,$Q$3:$Q$402,1))</f>
        <v/>
      </c>
      <c r="J1120">
        <f>IF(I1120="","",IF(1117=INDEX($Q$3:$Q$402,I1120),"H","E"))</f>
        <v/>
      </c>
      <c r="K1120">
        <f>IF(J1120&lt;&gt;"E","",MATCH(S1120,Transaksi!$M$2:$M$2001,0)+1117-INDEX($Q$3:$Q$402,I1120)-1)</f>
        <v/>
      </c>
      <c r="S1120">
        <f>IF(I1120="","",INDEX($O$3:$O$402,I1120))</f>
        <v/>
      </c>
      <c r="T1120">
        <f>IF(J1120&lt;&gt;"H","",INDEX(Transaksi!$A$2:$A$2001,MATCH(S1120,Transaksi!$M$2:$M$2001,0)))</f>
        <v/>
      </c>
    </row>
    <row r="1121">
      <c r="A1121" s="31">
        <f>IF(J1121="E",IF(INDEX(Transaksi!$J$2:$J$2001,K1121)&gt;0,"↑","↓"),"")</f>
        <v/>
      </c>
      <c r="B1121" s="32">
        <f>IF(J1121="H",CHOOSE(WEEKDAY(T1121,2),"Isnin","Selasa","Rabu","Khamis","Jumaat","Sabtu","Ahad")&amp;", "&amp;DAY(T1121)&amp;" "&amp;CHOOSE(MONTH(T1121),"Jan","Feb","Mac","Apr","Mei","Jun","Jul","Ogo","Sep","Okt","Nov","Dis")&amp;" "&amp;YEAR(T1121),IF(J1121="E",IF(INDEX(Transaksi!$B$2:$B$2001,K1121)="",INDEX(Transaksi!$C$2:$C$2001,K1121)&amp;" · "&amp;INDEX(Transaksi!$D$2:$D$2001,K1121),INDEX(Transaksi!$B$2:$B$2001,K1121)),""))</f>
        <v/>
      </c>
      <c r="C1121" s="32">
        <f>IF(J1121="E",INDEX(Transaksi!$C$2:$C$2001,K1121)&amp;"","")</f>
        <v/>
      </c>
      <c r="D1121" s="32">
        <f>IF(J1121="E",INDEX(Transaksi!$D$2:$D$2001,K1121)&amp;"","")</f>
        <v/>
      </c>
      <c r="E1121" s="33">
        <f>IF(J1121="H",SUMIFS(Transaksi!$G$2:$G$2001,Transaksi!$M$2:$M$2001,"="&amp;S1121)+SUMIFS(Transaksi!$H$2:$H$2001,Transaksi!$M$2:$M$2001,"="&amp;S1121)+SUMIFS(Transaksi!$I$2:$I$2001,Transaksi!$M$2:$M$2001,"="&amp;S1121),IF(J1121="E",IF(INDEX(Transaksi!$G$2:$G$2001,K1121)+INDEX(Transaksi!$H$2:$H$2001,K1121)+INDEX(Transaksi!$I$2:$I$2001,K1121)=0,"",INDEX(Transaksi!$G$2:$G$2001,K1121)+INDEX(Transaksi!$H$2:$H$2001,K1121)+INDEX(Transaksi!$I$2:$I$2001,K1121)),""))</f>
        <v/>
      </c>
      <c r="F1121" s="33">
        <f>IF(J1121="H",SUMIFS(Transaksi!$J$2:$J$2001,Transaksi!$M$2:$M$2001,"="&amp;S1121),IF(J1121="E",IF(INDEX(Transaksi!$J$2:$J$2001,K1121)=0,"",INDEX(Transaksi!$J$2:$J$2001,K1121)),""))</f>
        <v/>
      </c>
      <c r="G1121" s="33">
        <f>IF(J1121="H",(SUMIFS(Transaksi!$G$2:$G$2001,Transaksi!$M$2:$M$2001,"&lt;="&amp;S1121)+SUMIFS(Transaksi!$H$2:$H$2001,Transaksi!$M$2:$M$2001,"&lt;="&amp;S1121)+SUMIFS(Transaksi!$I$2:$I$2001,Transaksi!$M$2:$M$2001,"&lt;="&amp;S1121))-(SUMIFS(Transaksi!$J$2:$J$2001,Transaksi!$M$2:$M$2001,"&lt;="&amp;S1121)),"")</f>
        <v/>
      </c>
      <c r="I1121">
        <f>IF(1118&gt;$O$2,"",MATCH(1118,$Q$3:$Q$402,1))</f>
        <v/>
      </c>
      <c r="J1121">
        <f>IF(I1121="","",IF(1118=INDEX($Q$3:$Q$402,I1121),"H","E"))</f>
        <v/>
      </c>
      <c r="K1121">
        <f>IF(J1121&lt;&gt;"E","",MATCH(S1121,Transaksi!$M$2:$M$2001,0)+1118-INDEX($Q$3:$Q$402,I1121)-1)</f>
        <v/>
      </c>
      <c r="S1121">
        <f>IF(I1121="","",INDEX($O$3:$O$402,I1121))</f>
        <v/>
      </c>
      <c r="T1121">
        <f>IF(J1121&lt;&gt;"H","",INDEX(Transaksi!$A$2:$A$2001,MATCH(S1121,Transaksi!$M$2:$M$2001,0)))</f>
        <v/>
      </c>
    </row>
    <row r="1122">
      <c r="A1122" s="31">
        <f>IF(J1122="E",IF(INDEX(Transaksi!$J$2:$J$2001,K1122)&gt;0,"↑","↓"),"")</f>
        <v/>
      </c>
      <c r="B1122" s="32">
        <f>IF(J1122="H",CHOOSE(WEEKDAY(T1122,2),"Isnin","Selasa","Rabu","Khamis","Jumaat","Sabtu","Ahad")&amp;", "&amp;DAY(T1122)&amp;" "&amp;CHOOSE(MONTH(T1122),"Jan","Feb","Mac","Apr","Mei","Jun","Jul","Ogo","Sep","Okt","Nov","Dis")&amp;" "&amp;YEAR(T1122),IF(J1122="E",IF(INDEX(Transaksi!$B$2:$B$2001,K1122)="",INDEX(Transaksi!$C$2:$C$2001,K1122)&amp;" · "&amp;INDEX(Transaksi!$D$2:$D$2001,K1122),INDEX(Transaksi!$B$2:$B$2001,K1122)),""))</f>
        <v/>
      </c>
      <c r="C1122" s="32">
        <f>IF(J1122="E",INDEX(Transaksi!$C$2:$C$2001,K1122)&amp;"","")</f>
        <v/>
      </c>
      <c r="D1122" s="32">
        <f>IF(J1122="E",INDEX(Transaksi!$D$2:$D$2001,K1122)&amp;"","")</f>
        <v/>
      </c>
      <c r="E1122" s="33">
        <f>IF(J1122="H",SUMIFS(Transaksi!$G$2:$G$2001,Transaksi!$M$2:$M$2001,"="&amp;S1122)+SUMIFS(Transaksi!$H$2:$H$2001,Transaksi!$M$2:$M$2001,"="&amp;S1122)+SUMIFS(Transaksi!$I$2:$I$2001,Transaksi!$M$2:$M$2001,"="&amp;S1122),IF(J1122="E",IF(INDEX(Transaksi!$G$2:$G$2001,K1122)+INDEX(Transaksi!$H$2:$H$2001,K1122)+INDEX(Transaksi!$I$2:$I$2001,K1122)=0,"",INDEX(Transaksi!$G$2:$G$2001,K1122)+INDEX(Transaksi!$H$2:$H$2001,K1122)+INDEX(Transaksi!$I$2:$I$2001,K1122)),""))</f>
        <v/>
      </c>
      <c r="F1122" s="33">
        <f>IF(J1122="H",SUMIFS(Transaksi!$J$2:$J$2001,Transaksi!$M$2:$M$2001,"="&amp;S1122),IF(J1122="E",IF(INDEX(Transaksi!$J$2:$J$2001,K1122)=0,"",INDEX(Transaksi!$J$2:$J$2001,K1122)),""))</f>
        <v/>
      </c>
      <c r="G1122" s="33">
        <f>IF(J1122="H",(SUMIFS(Transaksi!$G$2:$G$2001,Transaksi!$M$2:$M$2001,"&lt;="&amp;S1122)+SUMIFS(Transaksi!$H$2:$H$2001,Transaksi!$M$2:$M$2001,"&lt;="&amp;S1122)+SUMIFS(Transaksi!$I$2:$I$2001,Transaksi!$M$2:$M$2001,"&lt;="&amp;S1122))-(SUMIFS(Transaksi!$J$2:$J$2001,Transaksi!$M$2:$M$2001,"&lt;="&amp;S1122)),"")</f>
        <v/>
      </c>
      <c r="I1122">
        <f>IF(1119&gt;$O$2,"",MATCH(1119,$Q$3:$Q$402,1))</f>
        <v/>
      </c>
      <c r="J1122">
        <f>IF(I1122="","",IF(1119=INDEX($Q$3:$Q$402,I1122),"H","E"))</f>
        <v/>
      </c>
      <c r="K1122">
        <f>IF(J1122&lt;&gt;"E","",MATCH(S1122,Transaksi!$M$2:$M$2001,0)+1119-INDEX($Q$3:$Q$402,I1122)-1)</f>
        <v/>
      </c>
      <c r="S1122">
        <f>IF(I1122="","",INDEX($O$3:$O$402,I1122))</f>
        <v/>
      </c>
      <c r="T1122">
        <f>IF(J1122&lt;&gt;"H","",INDEX(Transaksi!$A$2:$A$2001,MATCH(S1122,Transaksi!$M$2:$M$2001,0)))</f>
        <v/>
      </c>
    </row>
    <row r="1123">
      <c r="A1123" s="31">
        <f>IF(J1123="E",IF(INDEX(Transaksi!$J$2:$J$2001,K1123)&gt;0,"↑","↓"),"")</f>
        <v/>
      </c>
      <c r="B1123" s="32">
        <f>IF(J1123="H",CHOOSE(WEEKDAY(T1123,2),"Isnin","Selasa","Rabu","Khamis","Jumaat","Sabtu","Ahad")&amp;", "&amp;DAY(T1123)&amp;" "&amp;CHOOSE(MONTH(T1123),"Jan","Feb","Mac","Apr","Mei","Jun","Jul","Ogo","Sep","Okt","Nov","Dis")&amp;" "&amp;YEAR(T1123),IF(J1123="E",IF(INDEX(Transaksi!$B$2:$B$2001,K1123)="",INDEX(Transaksi!$C$2:$C$2001,K1123)&amp;" · "&amp;INDEX(Transaksi!$D$2:$D$2001,K1123),INDEX(Transaksi!$B$2:$B$2001,K1123)),""))</f>
        <v/>
      </c>
      <c r="C1123" s="32">
        <f>IF(J1123="E",INDEX(Transaksi!$C$2:$C$2001,K1123)&amp;"","")</f>
        <v/>
      </c>
      <c r="D1123" s="32">
        <f>IF(J1123="E",INDEX(Transaksi!$D$2:$D$2001,K1123)&amp;"","")</f>
        <v/>
      </c>
      <c r="E1123" s="33">
        <f>IF(J1123="H",SUMIFS(Transaksi!$G$2:$G$2001,Transaksi!$M$2:$M$2001,"="&amp;S1123)+SUMIFS(Transaksi!$H$2:$H$2001,Transaksi!$M$2:$M$2001,"="&amp;S1123)+SUMIFS(Transaksi!$I$2:$I$2001,Transaksi!$M$2:$M$2001,"="&amp;S1123),IF(J1123="E",IF(INDEX(Transaksi!$G$2:$G$2001,K1123)+INDEX(Transaksi!$H$2:$H$2001,K1123)+INDEX(Transaksi!$I$2:$I$2001,K1123)=0,"",INDEX(Transaksi!$G$2:$G$2001,K1123)+INDEX(Transaksi!$H$2:$H$2001,K1123)+INDEX(Transaksi!$I$2:$I$2001,K1123)),""))</f>
        <v/>
      </c>
      <c r="F1123" s="33">
        <f>IF(J1123="H",SUMIFS(Transaksi!$J$2:$J$2001,Transaksi!$M$2:$M$2001,"="&amp;S1123),IF(J1123="E",IF(INDEX(Transaksi!$J$2:$J$2001,K1123)=0,"",INDEX(Transaksi!$J$2:$J$2001,K1123)),""))</f>
        <v/>
      </c>
      <c r="G1123" s="33">
        <f>IF(J1123="H",(SUMIFS(Transaksi!$G$2:$G$2001,Transaksi!$M$2:$M$2001,"&lt;="&amp;S1123)+SUMIFS(Transaksi!$H$2:$H$2001,Transaksi!$M$2:$M$2001,"&lt;="&amp;S1123)+SUMIFS(Transaksi!$I$2:$I$2001,Transaksi!$M$2:$M$2001,"&lt;="&amp;S1123))-(SUMIFS(Transaksi!$J$2:$J$2001,Transaksi!$M$2:$M$2001,"&lt;="&amp;S1123)),"")</f>
        <v/>
      </c>
      <c r="I1123">
        <f>IF(1120&gt;$O$2,"",MATCH(1120,$Q$3:$Q$402,1))</f>
        <v/>
      </c>
      <c r="J1123">
        <f>IF(I1123="","",IF(1120=INDEX($Q$3:$Q$402,I1123),"H","E"))</f>
        <v/>
      </c>
      <c r="K1123">
        <f>IF(J1123&lt;&gt;"E","",MATCH(S1123,Transaksi!$M$2:$M$2001,0)+1120-INDEX($Q$3:$Q$402,I1123)-1)</f>
        <v/>
      </c>
      <c r="S1123">
        <f>IF(I1123="","",INDEX($O$3:$O$402,I1123))</f>
        <v/>
      </c>
      <c r="T1123">
        <f>IF(J1123&lt;&gt;"H","",INDEX(Transaksi!$A$2:$A$2001,MATCH(S1123,Transaksi!$M$2:$M$2001,0)))</f>
        <v/>
      </c>
    </row>
    <row r="1124">
      <c r="A1124" s="31">
        <f>IF(J1124="E",IF(INDEX(Transaksi!$J$2:$J$2001,K1124)&gt;0,"↑","↓"),"")</f>
        <v/>
      </c>
      <c r="B1124" s="32">
        <f>IF(J1124="H",CHOOSE(WEEKDAY(T1124,2),"Isnin","Selasa","Rabu","Khamis","Jumaat","Sabtu","Ahad")&amp;", "&amp;DAY(T1124)&amp;" "&amp;CHOOSE(MONTH(T1124),"Jan","Feb","Mac","Apr","Mei","Jun","Jul","Ogo","Sep","Okt","Nov","Dis")&amp;" "&amp;YEAR(T1124),IF(J1124="E",IF(INDEX(Transaksi!$B$2:$B$2001,K1124)="",INDEX(Transaksi!$C$2:$C$2001,K1124)&amp;" · "&amp;INDEX(Transaksi!$D$2:$D$2001,K1124),INDEX(Transaksi!$B$2:$B$2001,K1124)),""))</f>
        <v/>
      </c>
      <c r="C1124" s="32">
        <f>IF(J1124="E",INDEX(Transaksi!$C$2:$C$2001,K1124)&amp;"","")</f>
        <v/>
      </c>
      <c r="D1124" s="32">
        <f>IF(J1124="E",INDEX(Transaksi!$D$2:$D$2001,K1124)&amp;"","")</f>
        <v/>
      </c>
      <c r="E1124" s="33">
        <f>IF(J1124="H",SUMIFS(Transaksi!$G$2:$G$2001,Transaksi!$M$2:$M$2001,"="&amp;S1124)+SUMIFS(Transaksi!$H$2:$H$2001,Transaksi!$M$2:$M$2001,"="&amp;S1124)+SUMIFS(Transaksi!$I$2:$I$2001,Transaksi!$M$2:$M$2001,"="&amp;S1124),IF(J1124="E",IF(INDEX(Transaksi!$G$2:$G$2001,K1124)+INDEX(Transaksi!$H$2:$H$2001,K1124)+INDEX(Transaksi!$I$2:$I$2001,K1124)=0,"",INDEX(Transaksi!$G$2:$G$2001,K1124)+INDEX(Transaksi!$H$2:$H$2001,K1124)+INDEX(Transaksi!$I$2:$I$2001,K1124)),""))</f>
        <v/>
      </c>
      <c r="F1124" s="33">
        <f>IF(J1124="H",SUMIFS(Transaksi!$J$2:$J$2001,Transaksi!$M$2:$M$2001,"="&amp;S1124),IF(J1124="E",IF(INDEX(Transaksi!$J$2:$J$2001,K1124)=0,"",INDEX(Transaksi!$J$2:$J$2001,K1124)),""))</f>
        <v/>
      </c>
      <c r="G1124" s="33">
        <f>IF(J1124="H",(SUMIFS(Transaksi!$G$2:$G$2001,Transaksi!$M$2:$M$2001,"&lt;="&amp;S1124)+SUMIFS(Transaksi!$H$2:$H$2001,Transaksi!$M$2:$M$2001,"&lt;="&amp;S1124)+SUMIFS(Transaksi!$I$2:$I$2001,Transaksi!$M$2:$M$2001,"&lt;="&amp;S1124))-(SUMIFS(Transaksi!$J$2:$J$2001,Transaksi!$M$2:$M$2001,"&lt;="&amp;S1124)),"")</f>
        <v/>
      </c>
      <c r="I1124">
        <f>IF(1121&gt;$O$2,"",MATCH(1121,$Q$3:$Q$402,1))</f>
        <v/>
      </c>
      <c r="J1124">
        <f>IF(I1124="","",IF(1121=INDEX($Q$3:$Q$402,I1124),"H","E"))</f>
        <v/>
      </c>
      <c r="K1124">
        <f>IF(J1124&lt;&gt;"E","",MATCH(S1124,Transaksi!$M$2:$M$2001,0)+1121-INDEX($Q$3:$Q$402,I1124)-1)</f>
        <v/>
      </c>
      <c r="S1124">
        <f>IF(I1124="","",INDEX($O$3:$O$402,I1124))</f>
        <v/>
      </c>
      <c r="T1124">
        <f>IF(J1124&lt;&gt;"H","",INDEX(Transaksi!$A$2:$A$2001,MATCH(S1124,Transaksi!$M$2:$M$2001,0)))</f>
        <v/>
      </c>
    </row>
    <row r="1125">
      <c r="A1125" s="31">
        <f>IF(J1125="E",IF(INDEX(Transaksi!$J$2:$J$2001,K1125)&gt;0,"↑","↓"),"")</f>
        <v/>
      </c>
      <c r="B1125" s="32">
        <f>IF(J1125="H",CHOOSE(WEEKDAY(T1125,2),"Isnin","Selasa","Rabu","Khamis","Jumaat","Sabtu","Ahad")&amp;", "&amp;DAY(T1125)&amp;" "&amp;CHOOSE(MONTH(T1125),"Jan","Feb","Mac","Apr","Mei","Jun","Jul","Ogo","Sep","Okt","Nov","Dis")&amp;" "&amp;YEAR(T1125),IF(J1125="E",IF(INDEX(Transaksi!$B$2:$B$2001,K1125)="",INDEX(Transaksi!$C$2:$C$2001,K1125)&amp;" · "&amp;INDEX(Transaksi!$D$2:$D$2001,K1125),INDEX(Transaksi!$B$2:$B$2001,K1125)),""))</f>
        <v/>
      </c>
      <c r="C1125" s="32">
        <f>IF(J1125="E",INDEX(Transaksi!$C$2:$C$2001,K1125)&amp;"","")</f>
        <v/>
      </c>
      <c r="D1125" s="32">
        <f>IF(J1125="E",INDEX(Transaksi!$D$2:$D$2001,K1125)&amp;"","")</f>
        <v/>
      </c>
      <c r="E1125" s="33">
        <f>IF(J1125="H",SUMIFS(Transaksi!$G$2:$G$2001,Transaksi!$M$2:$M$2001,"="&amp;S1125)+SUMIFS(Transaksi!$H$2:$H$2001,Transaksi!$M$2:$M$2001,"="&amp;S1125)+SUMIFS(Transaksi!$I$2:$I$2001,Transaksi!$M$2:$M$2001,"="&amp;S1125),IF(J1125="E",IF(INDEX(Transaksi!$G$2:$G$2001,K1125)+INDEX(Transaksi!$H$2:$H$2001,K1125)+INDEX(Transaksi!$I$2:$I$2001,K1125)=0,"",INDEX(Transaksi!$G$2:$G$2001,K1125)+INDEX(Transaksi!$H$2:$H$2001,K1125)+INDEX(Transaksi!$I$2:$I$2001,K1125)),""))</f>
        <v/>
      </c>
      <c r="F1125" s="33">
        <f>IF(J1125="H",SUMIFS(Transaksi!$J$2:$J$2001,Transaksi!$M$2:$M$2001,"="&amp;S1125),IF(J1125="E",IF(INDEX(Transaksi!$J$2:$J$2001,K1125)=0,"",INDEX(Transaksi!$J$2:$J$2001,K1125)),""))</f>
        <v/>
      </c>
      <c r="G1125" s="33">
        <f>IF(J1125="H",(SUMIFS(Transaksi!$G$2:$G$2001,Transaksi!$M$2:$M$2001,"&lt;="&amp;S1125)+SUMIFS(Transaksi!$H$2:$H$2001,Transaksi!$M$2:$M$2001,"&lt;="&amp;S1125)+SUMIFS(Transaksi!$I$2:$I$2001,Transaksi!$M$2:$M$2001,"&lt;="&amp;S1125))-(SUMIFS(Transaksi!$J$2:$J$2001,Transaksi!$M$2:$M$2001,"&lt;="&amp;S1125)),"")</f>
        <v/>
      </c>
      <c r="I1125">
        <f>IF(1122&gt;$O$2,"",MATCH(1122,$Q$3:$Q$402,1))</f>
        <v/>
      </c>
      <c r="J1125">
        <f>IF(I1125="","",IF(1122=INDEX($Q$3:$Q$402,I1125),"H","E"))</f>
        <v/>
      </c>
      <c r="K1125">
        <f>IF(J1125&lt;&gt;"E","",MATCH(S1125,Transaksi!$M$2:$M$2001,0)+1122-INDEX($Q$3:$Q$402,I1125)-1)</f>
        <v/>
      </c>
      <c r="S1125">
        <f>IF(I1125="","",INDEX($O$3:$O$402,I1125))</f>
        <v/>
      </c>
      <c r="T1125">
        <f>IF(J1125&lt;&gt;"H","",INDEX(Transaksi!$A$2:$A$2001,MATCH(S1125,Transaksi!$M$2:$M$2001,0)))</f>
        <v/>
      </c>
    </row>
    <row r="1126">
      <c r="A1126" s="31">
        <f>IF(J1126="E",IF(INDEX(Transaksi!$J$2:$J$2001,K1126)&gt;0,"↑","↓"),"")</f>
        <v/>
      </c>
      <c r="B1126" s="32">
        <f>IF(J1126="H",CHOOSE(WEEKDAY(T1126,2),"Isnin","Selasa","Rabu","Khamis","Jumaat","Sabtu","Ahad")&amp;", "&amp;DAY(T1126)&amp;" "&amp;CHOOSE(MONTH(T1126),"Jan","Feb","Mac","Apr","Mei","Jun","Jul","Ogo","Sep","Okt","Nov","Dis")&amp;" "&amp;YEAR(T1126),IF(J1126="E",IF(INDEX(Transaksi!$B$2:$B$2001,K1126)="",INDEX(Transaksi!$C$2:$C$2001,K1126)&amp;" · "&amp;INDEX(Transaksi!$D$2:$D$2001,K1126),INDEX(Transaksi!$B$2:$B$2001,K1126)),""))</f>
        <v/>
      </c>
      <c r="C1126" s="32">
        <f>IF(J1126="E",INDEX(Transaksi!$C$2:$C$2001,K1126)&amp;"","")</f>
        <v/>
      </c>
      <c r="D1126" s="32">
        <f>IF(J1126="E",INDEX(Transaksi!$D$2:$D$2001,K1126)&amp;"","")</f>
        <v/>
      </c>
      <c r="E1126" s="33">
        <f>IF(J1126="H",SUMIFS(Transaksi!$G$2:$G$2001,Transaksi!$M$2:$M$2001,"="&amp;S1126)+SUMIFS(Transaksi!$H$2:$H$2001,Transaksi!$M$2:$M$2001,"="&amp;S1126)+SUMIFS(Transaksi!$I$2:$I$2001,Transaksi!$M$2:$M$2001,"="&amp;S1126),IF(J1126="E",IF(INDEX(Transaksi!$G$2:$G$2001,K1126)+INDEX(Transaksi!$H$2:$H$2001,K1126)+INDEX(Transaksi!$I$2:$I$2001,K1126)=0,"",INDEX(Transaksi!$G$2:$G$2001,K1126)+INDEX(Transaksi!$H$2:$H$2001,K1126)+INDEX(Transaksi!$I$2:$I$2001,K1126)),""))</f>
        <v/>
      </c>
      <c r="F1126" s="33">
        <f>IF(J1126="H",SUMIFS(Transaksi!$J$2:$J$2001,Transaksi!$M$2:$M$2001,"="&amp;S1126),IF(J1126="E",IF(INDEX(Transaksi!$J$2:$J$2001,K1126)=0,"",INDEX(Transaksi!$J$2:$J$2001,K1126)),""))</f>
        <v/>
      </c>
      <c r="G1126" s="33">
        <f>IF(J1126="H",(SUMIFS(Transaksi!$G$2:$G$2001,Transaksi!$M$2:$M$2001,"&lt;="&amp;S1126)+SUMIFS(Transaksi!$H$2:$H$2001,Transaksi!$M$2:$M$2001,"&lt;="&amp;S1126)+SUMIFS(Transaksi!$I$2:$I$2001,Transaksi!$M$2:$M$2001,"&lt;="&amp;S1126))-(SUMIFS(Transaksi!$J$2:$J$2001,Transaksi!$M$2:$M$2001,"&lt;="&amp;S1126)),"")</f>
        <v/>
      </c>
      <c r="I1126">
        <f>IF(1123&gt;$O$2,"",MATCH(1123,$Q$3:$Q$402,1))</f>
        <v/>
      </c>
      <c r="J1126">
        <f>IF(I1126="","",IF(1123=INDEX($Q$3:$Q$402,I1126),"H","E"))</f>
        <v/>
      </c>
      <c r="K1126">
        <f>IF(J1126&lt;&gt;"E","",MATCH(S1126,Transaksi!$M$2:$M$2001,0)+1123-INDEX($Q$3:$Q$402,I1126)-1)</f>
        <v/>
      </c>
      <c r="S1126">
        <f>IF(I1126="","",INDEX($O$3:$O$402,I1126))</f>
        <v/>
      </c>
      <c r="T1126">
        <f>IF(J1126&lt;&gt;"H","",INDEX(Transaksi!$A$2:$A$2001,MATCH(S1126,Transaksi!$M$2:$M$2001,0)))</f>
        <v/>
      </c>
    </row>
    <row r="1127">
      <c r="A1127" s="31">
        <f>IF(J1127="E",IF(INDEX(Transaksi!$J$2:$J$2001,K1127)&gt;0,"↑","↓"),"")</f>
        <v/>
      </c>
      <c r="B1127" s="32">
        <f>IF(J1127="H",CHOOSE(WEEKDAY(T1127,2),"Isnin","Selasa","Rabu","Khamis","Jumaat","Sabtu","Ahad")&amp;", "&amp;DAY(T1127)&amp;" "&amp;CHOOSE(MONTH(T1127),"Jan","Feb","Mac","Apr","Mei","Jun","Jul","Ogo","Sep","Okt","Nov","Dis")&amp;" "&amp;YEAR(T1127),IF(J1127="E",IF(INDEX(Transaksi!$B$2:$B$2001,K1127)="",INDEX(Transaksi!$C$2:$C$2001,K1127)&amp;" · "&amp;INDEX(Transaksi!$D$2:$D$2001,K1127),INDEX(Transaksi!$B$2:$B$2001,K1127)),""))</f>
        <v/>
      </c>
      <c r="C1127" s="32">
        <f>IF(J1127="E",INDEX(Transaksi!$C$2:$C$2001,K1127)&amp;"","")</f>
        <v/>
      </c>
      <c r="D1127" s="32">
        <f>IF(J1127="E",INDEX(Transaksi!$D$2:$D$2001,K1127)&amp;"","")</f>
        <v/>
      </c>
      <c r="E1127" s="33">
        <f>IF(J1127="H",SUMIFS(Transaksi!$G$2:$G$2001,Transaksi!$M$2:$M$2001,"="&amp;S1127)+SUMIFS(Transaksi!$H$2:$H$2001,Transaksi!$M$2:$M$2001,"="&amp;S1127)+SUMIFS(Transaksi!$I$2:$I$2001,Transaksi!$M$2:$M$2001,"="&amp;S1127),IF(J1127="E",IF(INDEX(Transaksi!$G$2:$G$2001,K1127)+INDEX(Transaksi!$H$2:$H$2001,K1127)+INDEX(Transaksi!$I$2:$I$2001,K1127)=0,"",INDEX(Transaksi!$G$2:$G$2001,K1127)+INDEX(Transaksi!$H$2:$H$2001,K1127)+INDEX(Transaksi!$I$2:$I$2001,K1127)),""))</f>
        <v/>
      </c>
      <c r="F1127" s="33">
        <f>IF(J1127="H",SUMIFS(Transaksi!$J$2:$J$2001,Transaksi!$M$2:$M$2001,"="&amp;S1127),IF(J1127="E",IF(INDEX(Transaksi!$J$2:$J$2001,K1127)=0,"",INDEX(Transaksi!$J$2:$J$2001,K1127)),""))</f>
        <v/>
      </c>
      <c r="G1127" s="33">
        <f>IF(J1127="H",(SUMIFS(Transaksi!$G$2:$G$2001,Transaksi!$M$2:$M$2001,"&lt;="&amp;S1127)+SUMIFS(Transaksi!$H$2:$H$2001,Transaksi!$M$2:$M$2001,"&lt;="&amp;S1127)+SUMIFS(Transaksi!$I$2:$I$2001,Transaksi!$M$2:$M$2001,"&lt;="&amp;S1127))-(SUMIFS(Transaksi!$J$2:$J$2001,Transaksi!$M$2:$M$2001,"&lt;="&amp;S1127)),"")</f>
        <v/>
      </c>
      <c r="I1127">
        <f>IF(1124&gt;$O$2,"",MATCH(1124,$Q$3:$Q$402,1))</f>
        <v/>
      </c>
      <c r="J1127">
        <f>IF(I1127="","",IF(1124=INDEX($Q$3:$Q$402,I1127),"H","E"))</f>
        <v/>
      </c>
      <c r="K1127">
        <f>IF(J1127&lt;&gt;"E","",MATCH(S1127,Transaksi!$M$2:$M$2001,0)+1124-INDEX($Q$3:$Q$402,I1127)-1)</f>
        <v/>
      </c>
      <c r="S1127">
        <f>IF(I1127="","",INDEX($O$3:$O$402,I1127))</f>
        <v/>
      </c>
      <c r="T1127">
        <f>IF(J1127&lt;&gt;"H","",INDEX(Transaksi!$A$2:$A$2001,MATCH(S1127,Transaksi!$M$2:$M$2001,0)))</f>
        <v/>
      </c>
    </row>
    <row r="1128">
      <c r="A1128" s="31">
        <f>IF(J1128="E",IF(INDEX(Transaksi!$J$2:$J$2001,K1128)&gt;0,"↑","↓"),"")</f>
        <v/>
      </c>
      <c r="B1128" s="32">
        <f>IF(J1128="H",CHOOSE(WEEKDAY(T1128,2),"Isnin","Selasa","Rabu","Khamis","Jumaat","Sabtu","Ahad")&amp;", "&amp;DAY(T1128)&amp;" "&amp;CHOOSE(MONTH(T1128),"Jan","Feb","Mac","Apr","Mei","Jun","Jul","Ogo","Sep","Okt","Nov","Dis")&amp;" "&amp;YEAR(T1128),IF(J1128="E",IF(INDEX(Transaksi!$B$2:$B$2001,K1128)="",INDEX(Transaksi!$C$2:$C$2001,K1128)&amp;" · "&amp;INDEX(Transaksi!$D$2:$D$2001,K1128),INDEX(Transaksi!$B$2:$B$2001,K1128)),""))</f>
        <v/>
      </c>
      <c r="C1128" s="32">
        <f>IF(J1128="E",INDEX(Transaksi!$C$2:$C$2001,K1128)&amp;"","")</f>
        <v/>
      </c>
      <c r="D1128" s="32">
        <f>IF(J1128="E",INDEX(Transaksi!$D$2:$D$2001,K1128)&amp;"","")</f>
        <v/>
      </c>
      <c r="E1128" s="33">
        <f>IF(J1128="H",SUMIFS(Transaksi!$G$2:$G$2001,Transaksi!$M$2:$M$2001,"="&amp;S1128)+SUMIFS(Transaksi!$H$2:$H$2001,Transaksi!$M$2:$M$2001,"="&amp;S1128)+SUMIFS(Transaksi!$I$2:$I$2001,Transaksi!$M$2:$M$2001,"="&amp;S1128),IF(J1128="E",IF(INDEX(Transaksi!$G$2:$G$2001,K1128)+INDEX(Transaksi!$H$2:$H$2001,K1128)+INDEX(Transaksi!$I$2:$I$2001,K1128)=0,"",INDEX(Transaksi!$G$2:$G$2001,K1128)+INDEX(Transaksi!$H$2:$H$2001,K1128)+INDEX(Transaksi!$I$2:$I$2001,K1128)),""))</f>
        <v/>
      </c>
      <c r="F1128" s="33">
        <f>IF(J1128="H",SUMIFS(Transaksi!$J$2:$J$2001,Transaksi!$M$2:$M$2001,"="&amp;S1128),IF(J1128="E",IF(INDEX(Transaksi!$J$2:$J$2001,K1128)=0,"",INDEX(Transaksi!$J$2:$J$2001,K1128)),""))</f>
        <v/>
      </c>
      <c r="G1128" s="33">
        <f>IF(J1128="H",(SUMIFS(Transaksi!$G$2:$G$2001,Transaksi!$M$2:$M$2001,"&lt;="&amp;S1128)+SUMIFS(Transaksi!$H$2:$H$2001,Transaksi!$M$2:$M$2001,"&lt;="&amp;S1128)+SUMIFS(Transaksi!$I$2:$I$2001,Transaksi!$M$2:$M$2001,"&lt;="&amp;S1128))-(SUMIFS(Transaksi!$J$2:$J$2001,Transaksi!$M$2:$M$2001,"&lt;="&amp;S1128)),"")</f>
        <v/>
      </c>
      <c r="I1128">
        <f>IF(1125&gt;$O$2,"",MATCH(1125,$Q$3:$Q$402,1))</f>
        <v/>
      </c>
      <c r="J1128">
        <f>IF(I1128="","",IF(1125=INDEX($Q$3:$Q$402,I1128),"H","E"))</f>
        <v/>
      </c>
      <c r="K1128">
        <f>IF(J1128&lt;&gt;"E","",MATCH(S1128,Transaksi!$M$2:$M$2001,0)+1125-INDEX($Q$3:$Q$402,I1128)-1)</f>
        <v/>
      </c>
      <c r="S1128">
        <f>IF(I1128="","",INDEX($O$3:$O$402,I1128))</f>
        <v/>
      </c>
      <c r="T1128">
        <f>IF(J1128&lt;&gt;"H","",INDEX(Transaksi!$A$2:$A$2001,MATCH(S1128,Transaksi!$M$2:$M$2001,0)))</f>
        <v/>
      </c>
    </row>
    <row r="1129">
      <c r="A1129" s="31">
        <f>IF(J1129="E",IF(INDEX(Transaksi!$J$2:$J$2001,K1129)&gt;0,"↑","↓"),"")</f>
        <v/>
      </c>
      <c r="B1129" s="32">
        <f>IF(J1129="H",CHOOSE(WEEKDAY(T1129,2),"Isnin","Selasa","Rabu","Khamis","Jumaat","Sabtu","Ahad")&amp;", "&amp;DAY(T1129)&amp;" "&amp;CHOOSE(MONTH(T1129),"Jan","Feb","Mac","Apr","Mei","Jun","Jul","Ogo","Sep","Okt","Nov","Dis")&amp;" "&amp;YEAR(T1129),IF(J1129="E",IF(INDEX(Transaksi!$B$2:$B$2001,K1129)="",INDEX(Transaksi!$C$2:$C$2001,K1129)&amp;" · "&amp;INDEX(Transaksi!$D$2:$D$2001,K1129),INDEX(Transaksi!$B$2:$B$2001,K1129)),""))</f>
        <v/>
      </c>
      <c r="C1129" s="32">
        <f>IF(J1129="E",INDEX(Transaksi!$C$2:$C$2001,K1129)&amp;"","")</f>
        <v/>
      </c>
      <c r="D1129" s="32">
        <f>IF(J1129="E",INDEX(Transaksi!$D$2:$D$2001,K1129)&amp;"","")</f>
        <v/>
      </c>
      <c r="E1129" s="33">
        <f>IF(J1129="H",SUMIFS(Transaksi!$G$2:$G$2001,Transaksi!$M$2:$M$2001,"="&amp;S1129)+SUMIFS(Transaksi!$H$2:$H$2001,Transaksi!$M$2:$M$2001,"="&amp;S1129)+SUMIFS(Transaksi!$I$2:$I$2001,Transaksi!$M$2:$M$2001,"="&amp;S1129),IF(J1129="E",IF(INDEX(Transaksi!$G$2:$G$2001,K1129)+INDEX(Transaksi!$H$2:$H$2001,K1129)+INDEX(Transaksi!$I$2:$I$2001,K1129)=0,"",INDEX(Transaksi!$G$2:$G$2001,K1129)+INDEX(Transaksi!$H$2:$H$2001,K1129)+INDEX(Transaksi!$I$2:$I$2001,K1129)),""))</f>
        <v/>
      </c>
      <c r="F1129" s="33">
        <f>IF(J1129="H",SUMIFS(Transaksi!$J$2:$J$2001,Transaksi!$M$2:$M$2001,"="&amp;S1129),IF(J1129="E",IF(INDEX(Transaksi!$J$2:$J$2001,K1129)=0,"",INDEX(Transaksi!$J$2:$J$2001,K1129)),""))</f>
        <v/>
      </c>
      <c r="G1129" s="33">
        <f>IF(J1129="H",(SUMIFS(Transaksi!$G$2:$G$2001,Transaksi!$M$2:$M$2001,"&lt;="&amp;S1129)+SUMIFS(Transaksi!$H$2:$H$2001,Transaksi!$M$2:$M$2001,"&lt;="&amp;S1129)+SUMIFS(Transaksi!$I$2:$I$2001,Transaksi!$M$2:$M$2001,"&lt;="&amp;S1129))-(SUMIFS(Transaksi!$J$2:$J$2001,Transaksi!$M$2:$M$2001,"&lt;="&amp;S1129)),"")</f>
        <v/>
      </c>
      <c r="I1129">
        <f>IF(1126&gt;$O$2,"",MATCH(1126,$Q$3:$Q$402,1))</f>
        <v/>
      </c>
      <c r="J1129">
        <f>IF(I1129="","",IF(1126=INDEX($Q$3:$Q$402,I1129),"H","E"))</f>
        <v/>
      </c>
      <c r="K1129">
        <f>IF(J1129&lt;&gt;"E","",MATCH(S1129,Transaksi!$M$2:$M$2001,0)+1126-INDEX($Q$3:$Q$402,I1129)-1)</f>
        <v/>
      </c>
      <c r="S1129">
        <f>IF(I1129="","",INDEX($O$3:$O$402,I1129))</f>
        <v/>
      </c>
      <c r="T1129">
        <f>IF(J1129&lt;&gt;"H","",INDEX(Transaksi!$A$2:$A$2001,MATCH(S1129,Transaksi!$M$2:$M$2001,0)))</f>
        <v/>
      </c>
    </row>
    <row r="1130">
      <c r="A1130" s="31">
        <f>IF(J1130="E",IF(INDEX(Transaksi!$J$2:$J$2001,K1130)&gt;0,"↑","↓"),"")</f>
        <v/>
      </c>
      <c r="B1130" s="32">
        <f>IF(J1130="H",CHOOSE(WEEKDAY(T1130,2),"Isnin","Selasa","Rabu","Khamis","Jumaat","Sabtu","Ahad")&amp;", "&amp;DAY(T1130)&amp;" "&amp;CHOOSE(MONTH(T1130),"Jan","Feb","Mac","Apr","Mei","Jun","Jul","Ogo","Sep","Okt","Nov","Dis")&amp;" "&amp;YEAR(T1130),IF(J1130="E",IF(INDEX(Transaksi!$B$2:$B$2001,K1130)="",INDEX(Transaksi!$C$2:$C$2001,K1130)&amp;" · "&amp;INDEX(Transaksi!$D$2:$D$2001,K1130),INDEX(Transaksi!$B$2:$B$2001,K1130)),""))</f>
        <v/>
      </c>
      <c r="C1130" s="32">
        <f>IF(J1130="E",INDEX(Transaksi!$C$2:$C$2001,K1130)&amp;"","")</f>
        <v/>
      </c>
      <c r="D1130" s="32">
        <f>IF(J1130="E",INDEX(Transaksi!$D$2:$D$2001,K1130)&amp;"","")</f>
        <v/>
      </c>
      <c r="E1130" s="33">
        <f>IF(J1130="H",SUMIFS(Transaksi!$G$2:$G$2001,Transaksi!$M$2:$M$2001,"="&amp;S1130)+SUMIFS(Transaksi!$H$2:$H$2001,Transaksi!$M$2:$M$2001,"="&amp;S1130)+SUMIFS(Transaksi!$I$2:$I$2001,Transaksi!$M$2:$M$2001,"="&amp;S1130),IF(J1130="E",IF(INDEX(Transaksi!$G$2:$G$2001,K1130)+INDEX(Transaksi!$H$2:$H$2001,K1130)+INDEX(Transaksi!$I$2:$I$2001,K1130)=0,"",INDEX(Transaksi!$G$2:$G$2001,K1130)+INDEX(Transaksi!$H$2:$H$2001,K1130)+INDEX(Transaksi!$I$2:$I$2001,K1130)),""))</f>
        <v/>
      </c>
      <c r="F1130" s="33">
        <f>IF(J1130="H",SUMIFS(Transaksi!$J$2:$J$2001,Transaksi!$M$2:$M$2001,"="&amp;S1130),IF(J1130="E",IF(INDEX(Transaksi!$J$2:$J$2001,K1130)=0,"",INDEX(Transaksi!$J$2:$J$2001,K1130)),""))</f>
        <v/>
      </c>
      <c r="G1130" s="33">
        <f>IF(J1130="H",(SUMIFS(Transaksi!$G$2:$G$2001,Transaksi!$M$2:$M$2001,"&lt;="&amp;S1130)+SUMIFS(Transaksi!$H$2:$H$2001,Transaksi!$M$2:$M$2001,"&lt;="&amp;S1130)+SUMIFS(Transaksi!$I$2:$I$2001,Transaksi!$M$2:$M$2001,"&lt;="&amp;S1130))-(SUMIFS(Transaksi!$J$2:$J$2001,Transaksi!$M$2:$M$2001,"&lt;="&amp;S1130)),"")</f>
        <v/>
      </c>
      <c r="I1130">
        <f>IF(1127&gt;$O$2,"",MATCH(1127,$Q$3:$Q$402,1))</f>
        <v/>
      </c>
      <c r="J1130">
        <f>IF(I1130="","",IF(1127=INDEX($Q$3:$Q$402,I1130),"H","E"))</f>
        <v/>
      </c>
      <c r="K1130">
        <f>IF(J1130&lt;&gt;"E","",MATCH(S1130,Transaksi!$M$2:$M$2001,0)+1127-INDEX($Q$3:$Q$402,I1130)-1)</f>
        <v/>
      </c>
      <c r="S1130">
        <f>IF(I1130="","",INDEX($O$3:$O$402,I1130))</f>
        <v/>
      </c>
      <c r="T1130">
        <f>IF(J1130&lt;&gt;"H","",INDEX(Transaksi!$A$2:$A$2001,MATCH(S1130,Transaksi!$M$2:$M$2001,0)))</f>
        <v/>
      </c>
    </row>
    <row r="1131">
      <c r="A1131" s="31">
        <f>IF(J1131="E",IF(INDEX(Transaksi!$J$2:$J$2001,K1131)&gt;0,"↑","↓"),"")</f>
        <v/>
      </c>
      <c r="B1131" s="32">
        <f>IF(J1131="H",CHOOSE(WEEKDAY(T1131,2),"Isnin","Selasa","Rabu","Khamis","Jumaat","Sabtu","Ahad")&amp;", "&amp;DAY(T1131)&amp;" "&amp;CHOOSE(MONTH(T1131),"Jan","Feb","Mac","Apr","Mei","Jun","Jul","Ogo","Sep","Okt","Nov","Dis")&amp;" "&amp;YEAR(T1131),IF(J1131="E",IF(INDEX(Transaksi!$B$2:$B$2001,K1131)="",INDEX(Transaksi!$C$2:$C$2001,K1131)&amp;" · "&amp;INDEX(Transaksi!$D$2:$D$2001,K1131),INDEX(Transaksi!$B$2:$B$2001,K1131)),""))</f>
        <v/>
      </c>
      <c r="C1131" s="32">
        <f>IF(J1131="E",INDEX(Transaksi!$C$2:$C$2001,K1131)&amp;"","")</f>
        <v/>
      </c>
      <c r="D1131" s="32">
        <f>IF(J1131="E",INDEX(Transaksi!$D$2:$D$2001,K1131)&amp;"","")</f>
        <v/>
      </c>
      <c r="E1131" s="33">
        <f>IF(J1131="H",SUMIFS(Transaksi!$G$2:$G$2001,Transaksi!$M$2:$M$2001,"="&amp;S1131)+SUMIFS(Transaksi!$H$2:$H$2001,Transaksi!$M$2:$M$2001,"="&amp;S1131)+SUMIFS(Transaksi!$I$2:$I$2001,Transaksi!$M$2:$M$2001,"="&amp;S1131),IF(J1131="E",IF(INDEX(Transaksi!$G$2:$G$2001,K1131)+INDEX(Transaksi!$H$2:$H$2001,K1131)+INDEX(Transaksi!$I$2:$I$2001,K1131)=0,"",INDEX(Transaksi!$G$2:$G$2001,K1131)+INDEX(Transaksi!$H$2:$H$2001,K1131)+INDEX(Transaksi!$I$2:$I$2001,K1131)),""))</f>
        <v/>
      </c>
      <c r="F1131" s="33">
        <f>IF(J1131="H",SUMIFS(Transaksi!$J$2:$J$2001,Transaksi!$M$2:$M$2001,"="&amp;S1131),IF(J1131="E",IF(INDEX(Transaksi!$J$2:$J$2001,K1131)=0,"",INDEX(Transaksi!$J$2:$J$2001,K1131)),""))</f>
        <v/>
      </c>
      <c r="G1131" s="33">
        <f>IF(J1131="H",(SUMIFS(Transaksi!$G$2:$G$2001,Transaksi!$M$2:$M$2001,"&lt;="&amp;S1131)+SUMIFS(Transaksi!$H$2:$H$2001,Transaksi!$M$2:$M$2001,"&lt;="&amp;S1131)+SUMIFS(Transaksi!$I$2:$I$2001,Transaksi!$M$2:$M$2001,"&lt;="&amp;S1131))-(SUMIFS(Transaksi!$J$2:$J$2001,Transaksi!$M$2:$M$2001,"&lt;="&amp;S1131)),"")</f>
        <v/>
      </c>
      <c r="I1131">
        <f>IF(1128&gt;$O$2,"",MATCH(1128,$Q$3:$Q$402,1))</f>
        <v/>
      </c>
      <c r="J1131">
        <f>IF(I1131="","",IF(1128=INDEX($Q$3:$Q$402,I1131),"H","E"))</f>
        <v/>
      </c>
      <c r="K1131">
        <f>IF(J1131&lt;&gt;"E","",MATCH(S1131,Transaksi!$M$2:$M$2001,0)+1128-INDEX($Q$3:$Q$402,I1131)-1)</f>
        <v/>
      </c>
      <c r="S1131">
        <f>IF(I1131="","",INDEX($O$3:$O$402,I1131))</f>
        <v/>
      </c>
      <c r="T1131">
        <f>IF(J1131&lt;&gt;"H","",INDEX(Transaksi!$A$2:$A$2001,MATCH(S1131,Transaksi!$M$2:$M$2001,0)))</f>
        <v/>
      </c>
    </row>
    <row r="1132">
      <c r="A1132" s="31">
        <f>IF(J1132="E",IF(INDEX(Transaksi!$J$2:$J$2001,K1132)&gt;0,"↑","↓"),"")</f>
        <v/>
      </c>
      <c r="B1132" s="32">
        <f>IF(J1132="H",CHOOSE(WEEKDAY(T1132,2),"Isnin","Selasa","Rabu","Khamis","Jumaat","Sabtu","Ahad")&amp;", "&amp;DAY(T1132)&amp;" "&amp;CHOOSE(MONTH(T1132),"Jan","Feb","Mac","Apr","Mei","Jun","Jul","Ogo","Sep","Okt","Nov","Dis")&amp;" "&amp;YEAR(T1132),IF(J1132="E",IF(INDEX(Transaksi!$B$2:$B$2001,K1132)="",INDEX(Transaksi!$C$2:$C$2001,K1132)&amp;" · "&amp;INDEX(Transaksi!$D$2:$D$2001,K1132),INDEX(Transaksi!$B$2:$B$2001,K1132)),""))</f>
        <v/>
      </c>
      <c r="C1132" s="32">
        <f>IF(J1132="E",INDEX(Transaksi!$C$2:$C$2001,K1132)&amp;"","")</f>
        <v/>
      </c>
      <c r="D1132" s="32">
        <f>IF(J1132="E",INDEX(Transaksi!$D$2:$D$2001,K1132)&amp;"","")</f>
        <v/>
      </c>
      <c r="E1132" s="33">
        <f>IF(J1132="H",SUMIFS(Transaksi!$G$2:$G$2001,Transaksi!$M$2:$M$2001,"="&amp;S1132)+SUMIFS(Transaksi!$H$2:$H$2001,Transaksi!$M$2:$M$2001,"="&amp;S1132)+SUMIFS(Transaksi!$I$2:$I$2001,Transaksi!$M$2:$M$2001,"="&amp;S1132),IF(J1132="E",IF(INDEX(Transaksi!$G$2:$G$2001,K1132)+INDEX(Transaksi!$H$2:$H$2001,K1132)+INDEX(Transaksi!$I$2:$I$2001,K1132)=0,"",INDEX(Transaksi!$G$2:$G$2001,K1132)+INDEX(Transaksi!$H$2:$H$2001,K1132)+INDEX(Transaksi!$I$2:$I$2001,K1132)),""))</f>
        <v/>
      </c>
      <c r="F1132" s="33">
        <f>IF(J1132="H",SUMIFS(Transaksi!$J$2:$J$2001,Transaksi!$M$2:$M$2001,"="&amp;S1132),IF(J1132="E",IF(INDEX(Transaksi!$J$2:$J$2001,K1132)=0,"",INDEX(Transaksi!$J$2:$J$2001,K1132)),""))</f>
        <v/>
      </c>
      <c r="G1132" s="33">
        <f>IF(J1132="H",(SUMIFS(Transaksi!$G$2:$G$2001,Transaksi!$M$2:$M$2001,"&lt;="&amp;S1132)+SUMIFS(Transaksi!$H$2:$H$2001,Transaksi!$M$2:$M$2001,"&lt;="&amp;S1132)+SUMIFS(Transaksi!$I$2:$I$2001,Transaksi!$M$2:$M$2001,"&lt;="&amp;S1132))-(SUMIFS(Transaksi!$J$2:$J$2001,Transaksi!$M$2:$M$2001,"&lt;="&amp;S1132)),"")</f>
        <v/>
      </c>
      <c r="I1132">
        <f>IF(1129&gt;$O$2,"",MATCH(1129,$Q$3:$Q$402,1))</f>
        <v/>
      </c>
      <c r="J1132">
        <f>IF(I1132="","",IF(1129=INDEX($Q$3:$Q$402,I1132),"H","E"))</f>
        <v/>
      </c>
      <c r="K1132">
        <f>IF(J1132&lt;&gt;"E","",MATCH(S1132,Transaksi!$M$2:$M$2001,0)+1129-INDEX($Q$3:$Q$402,I1132)-1)</f>
        <v/>
      </c>
      <c r="S1132">
        <f>IF(I1132="","",INDEX($O$3:$O$402,I1132))</f>
        <v/>
      </c>
      <c r="T1132">
        <f>IF(J1132&lt;&gt;"H","",INDEX(Transaksi!$A$2:$A$2001,MATCH(S1132,Transaksi!$M$2:$M$2001,0)))</f>
        <v/>
      </c>
    </row>
    <row r="1133">
      <c r="A1133" s="31">
        <f>IF(J1133="E",IF(INDEX(Transaksi!$J$2:$J$2001,K1133)&gt;0,"↑","↓"),"")</f>
        <v/>
      </c>
      <c r="B1133" s="32">
        <f>IF(J1133="H",CHOOSE(WEEKDAY(T1133,2),"Isnin","Selasa","Rabu","Khamis","Jumaat","Sabtu","Ahad")&amp;", "&amp;DAY(T1133)&amp;" "&amp;CHOOSE(MONTH(T1133),"Jan","Feb","Mac","Apr","Mei","Jun","Jul","Ogo","Sep","Okt","Nov","Dis")&amp;" "&amp;YEAR(T1133),IF(J1133="E",IF(INDEX(Transaksi!$B$2:$B$2001,K1133)="",INDEX(Transaksi!$C$2:$C$2001,K1133)&amp;" · "&amp;INDEX(Transaksi!$D$2:$D$2001,K1133),INDEX(Transaksi!$B$2:$B$2001,K1133)),""))</f>
        <v/>
      </c>
      <c r="C1133" s="32">
        <f>IF(J1133="E",INDEX(Transaksi!$C$2:$C$2001,K1133)&amp;"","")</f>
        <v/>
      </c>
      <c r="D1133" s="32">
        <f>IF(J1133="E",INDEX(Transaksi!$D$2:$D$2001,K1133)&amp;"","")</f>
        <v/>
      </c>
      <c r="E1133" s="33">
        <f>IF(J1133="H",SUMIFS(Transaksi!$G$2:$G$2001,Transaksi!$M$2:$M$2001,"="&amp;S1133)+SUMIFS(Transaksi!$H$2:$H$2001,Transaksi!$M$2:$M$2001,"="&amp;S1133)+SUMIFS(Transaksi!$I$2:$I$2001,Transaksi!$M$2:$M$2001,"="&amp;S1133),IF(J1133="E",IF(INDEX(Transaksi!$G$2:$G$2001,K1133)+INDEX(Transaksi!$H$2:$H$2001,K1133)+INDEX(Transaksi!$I$2:$I$2001,K1133)=0,"",INDEX(Transaksi!$G$2:$G$2001,K1133)+INDEX(Transaksi!$H$2:$H$2001,K1133)+INDEX(Transaksi!$I$2:$I$2001,K1133)),""))</f>
        <v/>
      </c>
      <c r="F1133" s="33">
        <f>IF(J1133="H",SUMIFS(Transaksi!$J$2:$J$2001,Transaksi!$M$2:$M$2001,"="&amp;S1133),IF(J1133="E",IF(INDEX(Transaksi!$J$2:$J$2001,K1133)=0,"",INDEX(Transaksi!$J$2:$J$2001,K1133)),""))</f>
        <v/>
      </c>
      <c r="G1133" s="33">
        <f>IF(J1133="H",(SUMIFS(Transaksi!$G$2:$G$2001,Transaksi!$M$2:$M$2001,"&lt;="&amp;S1133)+SUMIFS(Transaksi!$H$2:$H$2001,Transaksi!$M$2:$M$2001,"&lt;="&amp;S1133)+SUMIFS(Transaksi!$I$2:$I$2001,Transaksi!$M$2:$M$2001,"&lt;="&amp;S1133))-(SUMIFS(Transaksi!$J$2:$J$2001,Transaksi!$M$2:$M$2001,"&lt;="&amp;S1133)),"")</f>
        <v/>
      </c>
      <c r="I1133">
        <f>IF(1130&gt;$O$2,"",MATCH(1130,$Q$3:$Q$402,1))</f>
        <v/>
      </c>
      <c r="J1133">
        <f>IF(I1133="","",IF(1130=INDEX($Q$3:$Q$402,I1133),"H","E"))</f>
        <v/>
      </c>
      <c r="K1133">
        <f>IF(J1133&lt;&gt;"E","",MATCH(S1133,Transaksi!$M$2:$M$2001,0)+1130-INDEX($Q$3:$Q$402,I1133)-1)</f>
        <v/>
      </c>
      <c r="S1133">
        <f>IF(I1133="","",INDEX($O$3:$O$402,I1133))</f>
        <v/>
      </c>
      <c r="T1133">
        <f>IF(J1133&lt;&gt;"H","",INDEX(Transaksi!$A$2:$A$2001,MATCH(S1133,Transaksi!$M$2:$M$2001,0)))</f>
        <v/>
      </c>
    </row>
    <row r="1134">
      <c r="A1134" s="31">
        <f>IF(J1134="E",IF(INDEX(Transaksi!$J$2:$J$2001,K1134)&gt;0,"↑","↓"),"")</f>
        <v/>
      </c>
      <c r="B1134" s="32">
        <f>IF(J1134="H",CHOOSE(WEEKDAY(T1134,2),"Isnin","Selasa","Rabu","Khamis","Jumaat","Sabtu","Ahad")&amp;", "&amp;DAY(T1134)&amp;" "&amp;CHOOSE(MONTH(T1134),"Jan","Feb","Mac","Apr","Mei","Jun","Jul","Ogo","Sep","Okt","Nov","Dis")&amp;" "&amp;YEAR(T1134),IF(J1134="E",IF(INDEX(Transaksi!$B$2:$B$2001,K1134)="",INDEX(Transaksi!$C$2:$C$2001,K1134)&amp;" · "&amp;INDEX(Transaksi!$D$2:$D$2001,K1134),INDEX(Transaksi!$B$2:$B$2001,K1134)),""))</f>
        <v/>
      </c>
      <c r="C1134" s="32">
        <f>IF(J1134="E",INDEX(Transaksi!$C$2:$C$2001,K1134)&amp;"","")</f>
        <v/>
      </c>
      <c r="D1134" s="32">
        <f>IF(J1134="E",INDEX(Transaksi!$D$2:$D$2001,K1134)&amp;"","")</f>
        <v/>
      </c>
      <c r="E1134" s="33">
        <f>IF(J1134="H",SUMIFS(Transaksi!$G$2:$G$2001,Transaksi!$M$2:$M$2001,"="&amp;S1134)+SUMIFS(Transaksi!$H$2:$H$2001,Transaksi!$M$2:$M$2001,"="&amp;S1134)+SUMIFS(Transaksi!$I$2:$I$2001,Transaksi!$M$2:$M$2001,"="&amp;S1134),IF(J1134="E",IF(INDEX(Transaksi!$G$2:$G$2001,K1134)+INDEX(Transaksi!$H$2:$H$2001,K1134)+INDEX(Transaksi!$I$2:$I$2001,K1134)=0,"",INDEX(Transaksi!$G$2:$G$2001,K1134)+INDEX(Transaksi!$H$2:$H$2001,K1134)+INDEX(Transaksi!$I$2:$I$2001,K1134)),""))</f>
        <v/>
      </c>
      <c r="F1134" s="33">
        <f>IF(J1134="H",SUMIFS(Transaksi!$J$2:$J$2001,Transaksi!$M$2:$M$2001,"="&amp;S1134),IF(J1134="E",IF(INDEX(Transaksi!$J$2:$J$2001,K1134)=0,"",INDEX(Transaksi!$J$2:$J$2001,K1134)),""))</f>
        <v/>
      </c>
      <c r="G1134" s="33">
        <f>IF(J1134="H",(SUMIFS(Transaksi!$G$2:$G$2001,Transaksi!$M$2:$M$2001,"&lt;="&amp;S1134)+SUMIFS(Transaksi!$H$2:$H$2001,Transaksi!$M$2:$M$2001,"&lt;="&amp;S1134)+SUMIFS(Transaksi!$I$2:$I$2001,Transaksi!$M$2:$M$2001,"&lt;="&amp;S1134))-(SUMIFS(Transaksi!$J$2:$J$2001,Transaksi!$M$2:$M$2001,"&lt;="&amp;S1134)),"")</f>
        <v/>
      </c>
      <c r="I1134">
        <f>IF(1131&gt;$O$2,"",MATCH(1131,$Q$3:$Q$402,1))</f>
        <v/>
      </c>
      <c r="J1134">
        <f>IF(I1134="","",IF(1131=INDEX($Q$3:$Q$402,I1134),"H","E"))</f>
        <v/>
      </c>
      <c r="K1134">
        <f>IF(J1134&lt;&gt;"E","",MATCH(S1134,Transaksi!$M$2:$M$2001,0)+1131-INDEX($Q$3:$Q$402,I1134)-1)</f>
        <v/>
      </c>
      <c r="S1134">
        <f>IF(I1134="","",INDEX($O$3:$O$402,I1134))</f>
        <v/>
      </c>
      <c r="T1134">
        <f>IF(J1134&lt;&gt;"H","",INDEX(Transaksi!$A$2:$A$2001,MATCH(S1134,Transaksi!$M$2:$M$2001,0)))</f>
        <v/>
      </c>
    </row>
    <row r="1135">
      <c r="A1135" s="31">
        <f>IF(J1135="E",IF(INDEX(Transaksi!$J$2:$J$2001,K1135)&gt;0,"↑","↓"),"")</f>
        <v/>
      </c>
      <c r="B1135" s="32">
        <f>IF(J1135="H",CHOOSE(WEEKDAY(T1135,2),"Isnin","Selasa","Rabu","Khamis","Jumaat","Sabtu","Ahad")&amp;", "&amp;DAY(T1135)&amp;" "&amp;CHOOSE(MONTH(T1135),"Jan","Feb","Mac","Apr","Mei","Jun","Jul","Ogo","Sep","Okt","Nov","Dis")&amp;" "&amp;YEAR(T1135),IF(J1135="E",IF(INDEX(Transaksi!$B$2:$B$2001,K1135)="",INDEX(Transaksi!$C$2:$C$2001,K1135)&amp;" · "&amp;INDEX(Transaksi!$D$2:$D$2001,K1135),INDEX(Transaksi!$B$2:$B$2001,K1135)),""))</f>
        <v/>
      </c>
      <c r="C1135" s="32">
        <f>IF(J1135="E",INDEX(Transaksi!$C$2:$C$2001,K1135)&amp;"","")</f>
        <v/>
      </c>
      <c r="D1135" s="32">
        <f>IF(J1135="E",INDEX(Transaksi!$D$2:$D$2001,K1135)&amp;"","")</f>
        <v/>
      </c>
      <c r="E1135" s="33">
        <f>IF(J1135="H",SUMIFS(Transaksi!$G$2:$G$2001,Transaksi!$M$2:$M$2001,"="&amp;S1135)+SUMIFS(Transaksi!$H$2:$H$2001,Transaksi!$M$2:$M$2001,"="&amp;S1135)+SUMIFS(Transaksi!$I$2:$I$2001,Transaksi!$M$2:$M$2001,"="&amp;S1135),IF(J1135="E",IF(INDEX(Transaksi!$G$2:$G$2001,K1135)+INDEX(Transaksi!$H$2:$H$2001,K1135)+INDEX(Transaksi!$I$2:$I$2001,K1135)=0,"",INDEX(Transaksi!$G$2:$G$2001,K1135)+INDEX(Transaksi!$H$2:$H$2001,K1135)+INDEX(Transaksi!$I$2:$I$2001,K1135)),""))</f>
        <v/>
      </c>
      <c r="F1135" s="33">
        <f>IF(J1135="H",SUMIFS(Transaksi!$J$2:$J$2001,Transaksi!$M$2:$M$2001,"="&amp;S1135),IF(J1135="E",IF(INDEX(Transaksi!$J$2:$J$2001,K1135)=0,"",INDEX(Transaksi!$J$2:$J$2001,K1135)),""))</f>
        <v/>
      </c>
      <c r="G1135" s="33">
        <f>IF(J1135="H",(SUMIFS(Transaksi!$G$2:$G$2001,Transaksi!$M$2:$M$2001,"&lt;="&amp;S1135)+SUMIFS(Transaksi!$H$2:$H$2001,Transaksi!$M$2:$M$2001,"&lt;="&amp;S1135)+SUMIFS(Transaksi!$I$2:$I$2001,Transaksi!$M$2:$M$2001,"&lt;="&amp;S1135))-(SUMIFS(Transaksi!$J$2:$J$2001,Transaksi!$M$2:$M$2001,"&lt;="&amp;S1135)),"")</f>
        <v/>
      </c>
      <c r="I1135">
        <f>IF(1132&gt;$O$2,"",MATCH(1132,$Q$3:$Q$402,1))</f>
        <v/>
      </c>
      <c r="J1135">
        <f>IF(I1135="","",IF(1132=INDEX($Q$3:$Q$402,I1135),"H","E"))</f>
        <v/>
      </c>
      <c r="K1135">
        <f>IF(J1135&lt;&gt;"E","",MATCH(S1135,Transaksi!$M$2:$M$2001,0)+1132-INDEX($Q$3:$Q$402,I1135)-1)</f>
        <v/>
      </c>
      <c r="S1135">
        <f>IF(I1135="","",INDEX($O$3:$O$402,I1135))</f>
        <v/>
      </c>
      <c r="T1135">
        <f>IF(J1135&lt;&gt;"H","",INDEX(Transaksi!$A$2:$A$2001,MATCH(S1135,Transaksi!$M$2:$M$2001,0)))</f>
        <v/>
      </c>
    </row>
    <row r="1136">
      <c r="A1136" s="31">
        <f>IF(J1136="E",IF(INDEX(Transaksi!$J$2:$J$2001,K1136)&gt;0,"↑","↓"),"")</f>
        <v/>
      </c>
      <c r="B1136" s="32">
        <f>IF(J1136="H",CHOOSE(WEEKDAY(T1136,2),"Isnin","Selasa","Rabu","Khamis","Jumaat","Sabtu","Ahad")&amp;", "&amp;DAY(T1136)&amp;" "&amp;CHOOSE(MONTH(T1136),"Jan","Feb","Mac","Apr","Mei","Jun","Jul","Ogo","Sep","Okt","Nov","Dis")&amp;" "&amp;YEAR(T1136),IF(J1136="E",IF(INDEX(Transaksi!$B$2:$B$2001,K1136)="",INDEX(Transaksi!$C$2:$C$2001,K1136)&amp;" · "&amp;INDEX(Transaksi!$D$2:$D$2001,K1136),INDEX(Transaksi!$B$2:$B$2001,K1136)),""))</f>
        <v/>
      </c>
      <c r="C1136" s="32">
        <f>IF(J1136="E",INDEX(Transaksi!$C$2:$C$2001,K1136)&amp;"","")</f>
        <v/>
      </c>
      <c r="D1136" s="32">
        <f>IF(J1136="E",INDEX(Transaksi!$D$2:$D$2001,K1136)&amp;"","")</f>
        <v/>
      </c>
      <c r="E1136" s="33">
        <f>IF(J1136="H",SUMIFS(Transaksi!$G$2:$G$2001,Transaksi!$M$2:$M$2001,"="&amp;S1136)+SUMIFS(Transaksi!$H$2:$H$2001,Transaksi!$M$2:$M$2001,"="&amp;S1136)+SUMIFS(Transaksi!$I$2:$I$2001,Transaksi!$M$2:$M$2001,"="&amp;S1136),IF(J1136="E",IF(INDEX(Transaksi!$G$2:$G$2001,K1136)+INDEX(Transaksi!$H$2:$H$2001,K1136)+INDEX(Transaksi!$I$2:$I$2001,K1136)=0,"",INDEX(Transaksi!$G$2:$G$2001,K1136)+INDEX(Transaksi!$H$2:$H$2001,K1136)+INDEX(Transaksi!$I$2:$I$2001,K1136)),""))</f>
        <v/>
      </c>
      <c r="F1136" s="33">
        <f>IF(J1136="H",SUMIFS(Transaksi!$J$2:$J$2001,Transaksi!$M$2:$M$2001,"="&amp;S1136),IF(J1136="E",IF(INDEX(Transaksi!$J$2:$J$2001,K1136)=0,"",INDEX(Transaksi!$J$2:$J$2001,K1136)),""))</f>
        <v/>
      </c>
      <c r="G1136" s="33">
        <f>IF(J1136="H",(SUMIFS(Transaksi!$G$2:$G$2001,Transaksi!$M$2:$M$2001,"&lt;="&amp;S1136)+SUMIFS(Transaksi!$H$2:$H$2001,Transaksi!$M$2:$M$2001,"&lt;="&amp;S1136)+SUMIFS(Transaksi!$I$2:$I$2001,Transaksi!$M$2:$M$2001,"&lt;="&amp;S1136))-(SUMIFS(Transaksi!$J$2:$J$2001,Transaksi!$M$2:$M$2001,"&lt;="&amp;S1136)),"")</f>
        <v/>
      </c>
      <c r="I1136">
        <f>IF(1133&gt;$O$2,"",MATCH(1133,$Q$3:$Q$402,1))</f>
        <v/>
      </c>
      <c r="J1136">
        <f>IF(I1136="","",IF(1133=INDEX($Q$3:$Q$402,I1136),"H","E"))</f>
        <v/>
      </c>
      <c r="K1136">
        <f>IF(J1136&lt;&gt;"E","",MATCH(S1136,Transaksi!$M$2:$M$2001,0)+1133-INDEX($Q$3:$Q$402,I1136)-1)</f>
        <v/>
      </c>
      <c r="S1136">
        <f>IF(I1136="","",INDEX($O$3:$O$402,I1136))</f>
        <v/>
      </c>
      <c r="T1136">
        <f>IF(J1136&lt;&gt;"H","",INDEX(Transaksi!$A$2:$A$2001,MATCH(S1136,Transaksi!$M$2:$M$2001,0)))</f>
        <v/>
      </c>
    </row>
    <row r="1137">
      <c r="A1137" s="31">
        <f>IF(J1137="E",IF(INDEX(Transaksi!$J$2:$J$2001,K1137)&gt;0,"↑","↓"),"")</f>
        <v/>
      </c>
      <c r="B1137" s="32">
        <f>IF(J1137="H",CHOOSE(WEEKDAY(T1137,2),"Isnin","Selasa","Rabu","Khamis","Jumaat","Sabtu","Ahad")&amp;", "&amp;DAY(T1137)&amp;" "&amp;CHOOSE(MONTH(T1137),"Jan","Feb","Mac","Apr","Mei","Jun","Jul","Ogo","Sep","Okt","Nov","Dis")&amp;" "&amp;YEAR(T1137),IF(J1137="E",IF(INDEX(Transaksi!$B$2:$B$2001,K1137)="",INDEX(Transaksi!$C$2:$C$2001,K1137)&amp;" · "&amp;INDEX(Transaksi!$D$2:$D$2001,K1137),INDEX(Transaksi!$B$2:$B$2001,K1137)),""))</f>
        <v/>
      </c>
      <c r="C1137" s="32">
        <f>IF(J1137="E",INDEX(Transaksi!$C$2:$C$2001,K1137)&amp;"","")</f>
        <v/>
      </c>
      <c r="D1137" s="32">
        <f>IF(J1137="E",INDEX(Transaksi!$D$2:$D$2001,K1137)&amp;"","")</f>
        <v/>
      </c>
      <c r="E1137" s="33">
        <f>IF(J1137="H",SUMIFS(Transaksi!$G$2:$G$2001,Transaksi!$M$2:$M$2001,"="&amp;S1137)+SUMIFS(Transaksi!$H$2:$H$2001,Transaksi!$M$2:$M$2001,"="&amp;S1137)+SUMIFS(Transaksi!$I$2:$I$2001,Transaksi!$M$2:$M$2001,"="&amp;S1137),IF(J1137="E",IF(INDEX(Transaksi!$G$2:$G$2001,K1137)+INDEX(Transaksi!$H$2:$H$2001,K1137)+INDEX(Transaksi!$I$2:$I$2001,K1137)=0,"",INDEX(Transaksi!$G$2:$G$2001,K1137)+INDEX(Transaksi!$H$2:$H$2001,K1137)+INDEX(Transaksi!$I$2:$I$2001,K1137)),""))</f>
        <v/>
      </c>
      <c r="F1137" s="33">
        <f>IF(J1137="H",SUMIFS(Transaksi!$J$2:$J$2001,Transaksi!$M$2:$M$2001,"="&amp;S1137),IF(J1137="E",IF(INDEX(Transaksi!$J$2:$J$2001,K1137)=0,"",INDEX(Transaksi!$J$2:$J$2001,K1137)),""))</f>
        <v/>
      </c>
      <c r="G1137" s="33">
        <f>IF(J1137="H",(SUMIFS(Transaksi!$G$2:$G$2001,Transaksi!$M$2:$M$2001,"&lt;="&amp;S1137)+SUMIFS(Transaksi!$H$2:$H$2001,Transaksi!$M$2:$M$2001,"&lt;="&amp;S1137)+SUMIFS(Transaksi!$I$2:$I$2001,Transaksi!$M$2:$M$2001,"&lt;="&amp;S1137))-(SUMIFS(Transaksi!$J$2:$J$2001,Transaksi!$M$2:$M$2001,"&lt;="&amp;S1137)),"")</f>
        <v/>
      </c>
      <c r="I1137">
        <f>IF(1134&gt;$O$2,"",MATCH(1134,$Q$3:$Q$402,1))</f>
        <v/>
      </c>
      <c r="J1137">
        <f>IF(I1137="","",IF(1134=INDEX($Q$3:$Q$402,I1137),"H","E"))</f>
        <v/>
      </c>
      <c r="K1137">
        <f>IF(J1137&lt;&gt;"E","",MATCH(S1137,Transaksi!$M$2:$M$2001,0)+1134-INDEX($Q$3:$Q$402,I1137)-1)</f>
        <v/>
      </c>
      <c r="S1137">
        <f>IF(I1137="","",INDEX($O$3:$O$402,I1137))</f>
        <v/>
      </c>
      <c r="T1137">
        <f>IF(J1137&lt;&gt;"H","",INDEX(Transaksi!$A$2:$A$2001,MATCH(S1137,Transaksi!$M$2:$M$2001,0)))</f>
        <v/>
      </c>
    </row>
    <row r="1138">
      <c r="A1138" s="31">
        <f>IF(J1138="E",IF(INDEX(Transaksi!$J$2:$J$2001,K1138)&gt;0,"↑","↓"),"")</f>
        <v/>
      </c>
      <c r="B1138" s="32">
        <f>IF(J1138="H",CHOOSE(WEEKDAY(T1138,2),"Isnin","Selasa","Rabu","Khamis","Jumaat","Sabtu","Ahad")&amp;", "&amp;DAY(T1138)&amp;" "&amp;CHOOSE(MONTH(T1138),"Jan","Feb","Mac","Apr","Mei","Jun","Jul","Ogo","Sep","Okt","Nov","Dis")&amp;" "&amp;YEAR(T1138),IF(J1138="E",IF(INDEX(Transaksi!$B$2:$B$2001,K1138)="",INDEX(Transaksi!$C$2:$C$2001,K1138)&amp;" · "&amp;INDEX(Transaksi!$D$2:$D$2001,K1138),INDEX(Transaksi!$B$2:$B$2001,K1138)),""))</f>
        <v/>
      </c>
      <c r="C1138" s="32">
        <f>IF(J1138="E",INDEX(Transaksi!$C$2:$C$2001,K1138)&amp;"","")</f>
        <v/>
      </c>
      <c r="D1138" s="32">
        <f>IF(J1138="E",INDEX(Transaksi!$D$2:$D$2001,K1138)&amp;"","")</f>
        <v/>
      </c>
      <c r="E1138" s="33">
        <f>IF(J1138="H",SUMIFS(Transaksi!$G$2:$G$2001,Transaksi!$M$2:$M$2001,"="&amp;S1138)+SUMIFS(Transaksi!$H$2:$H$2001,Transaksi!$M$2:$M$2001,"="&amp;S1138)+SUMIFS(Transaksi!$I$2:$I$2001,Transaksi!$M$2:$M$2001,"="&amp;S1138),IF(J1138="E",IF(INDEX(Transaksi!$G$2:$G$2001,K1138)+INDEX(Transaksi!$H$2:$H$2001,K1138)+INDEX(Transaksi!$I$2:$I$2001,K1138)=0,"",INDEX(Transaksi!$G$2:$G$2001,K1138)+INDEX(Transaksi!$H$2:$H$2001,K1138)+INDEX(Transaksi!$I$2:$I$2001,K1138)),""))</f>
        <v/>
      </c>
      <c r="F1138" s="33">
        <f>IF(J1138="H",SUMIFS(Transaksi!$J$2:$J$2001,Transaksi!$M$2:$M$2001,"="&amp;S1138),IF(J1138="E",IF(INDEX(Transaksi!$J$2:$J$2001,K1138)=0,"",INDEX(Transaksi!$J$2:$J$2001,K1138)),""))</f>
        <v/>
      </c>
      <c r="G1138" s="33">
        <f>IF(J1138="H",(SUMIFS(Transaksi!$G$2:$G$2001,Transaksi!$M$2:$M$2001,"&lt;="&amp;S1138)+SUMIFS(Transaksi!$H$2:$H$2001,Transaksi!$M$2:$M$2001,"&lt;="&amp;S1138)+SUMIFS(Transaksi!$I$2:$I$2001,Transaksi!$M$2:$M$2001,"&lt;="&amp;S1138))-(SUMIFS(Transaksi!$J$2:$J$2001,Transaksi!$M$2:$M$2001,"&lt;="&amp;S1138)),"")</f>
        <v/>
      </c>
      <c r="I1138">
        <f>IF(1135&gt;$O$2,"",MATCH(1135,$Q$3:$Q$402,1))</f>
        <v/>
      </c>
      <c r="J1138">
        <f>IF(I1138="","",IF(1135=INDEX($Q$3:$Q$402,I1138),"H","E"))</f>
        <v/>
      </c>
      <c r="K1138">
        <f>IF(J1138&lt;&gt;"E","",MATCH(S1138,Transaksi!$M$2:$M$2001,0)+1135-INDEX($Q$3:$Q$402,I1138)-1)</f>
        <v/>
      </c>
      <c r="S1138">
        <f>IF(I1138="","",INDEX($O$3:$O$402,I1138))</f>
        <v/>
      </c>
      <c r="T1138">
        <f>IF(J1138&lt;&gt;"H","",INDEX(Transaksi!$A$2:$A$2001,MATCH(S1138,Transaksi!$M$2:$M$2001,0)))</f>
        <v/>
      </c>
    </row>
    <row r="1139">
      <c r="A1139" s="31">
        <f>IF(J1139="E",IF(INDEX(Transaksi!$J$2:$J$2001,K1139)&gt;0,"↑","↓"),"")</f>
        <v/>
      </c>
      <c r="B1139" s="32">
        <f>IF(J1139="H",CHOOSE(WEEKDAY(T1139,2),"Isnin","Selasa","Rabu","Khamis","Jumaat","Sabtu","Ahad")&amp;", "&amp;DAY(T1139)&amp;" "&amp;CHOOSE(MONTH(T1139),"Jan","Feb","Mac","Apr","Mei","Jun","Jul","Ogo","Sep","Okt","Nov","Dis")&amp;" "&amp;YEAR(T1139),IF(J1139="E",IF(INDEX(Transaksi!$B$2:$B$2001,K1139)="",INDEX(Transaksi!$C$2:$C$2001,K1139)&amp;" · "&amp;INDEX(Transaksi!$D$2:$D$2001,K1139),INDEX(Transaksi!$B$2:$B$2001,K1139)),""))</f>
        <v/>
      </c>
      <c r="C1139" s="32">
        <f>IF(J1139="E",INDEX(Transaksi!$C$2:$C$2001,K1139)&amp;"","")</f>
        <v/>
      </c>
      <c r="D1139" s="32">
        <f>IF(J1139="E",INDEX(Transaksi!$D$2:$D$2001,K1139)&amp;"","")</f>
        <v/>
      </c>
      <c r="E1139" s="33">
        <f>IF(J1139="H",SUMIFS(Transaksi!$G$2:$G$2001,Transaksi!$M$2:$M$2001,"="&amp;S1139)+SUMIFS(Transaksi!$H$2:$H$2001,Transaksi!$M$2:$M$2001,"="&amp;S1139)+SUMIFS(Transaksi!$I$2:$I$2001,Transaksi!$M$2:$M$2001,"="&amp;S1139),IF(J1139="E",IF(INDEX(Transaksi!$G$2:$G$2001,K1139)+INDEX(Transaksi!$H$2:$H$2001,K1139)+INDEX(Transaksi!$I$2:$I$2001,K1139)=0,"",INDEX(Transaksi!$G$2:$G$2001,K1139)+INDEX(Transaksi!$H$2:$H$2001,K1139)+INDEX(Transaksi!$I$2:$I$2001,K1139)),""))</f>
        <v/>
      </c>
      <c r="F1139" s="33">
        <f>IF(J1139="H",SUMIFS(Transaksi!$J$2:$J$2001,Transaksi!$M$2:$M$2001,"="&amp;S1139),IF(J1139="E",IF(INDEX(Transaksi!$J$2:$J$2001,K1139)=0,"",INDEX(Transaksi!$J$2:$J$2001,K1139)),""))</f>
        <v/>
      </c>
      <c r="G1139" s="33">
        <f>IF(J1139="H",(SUMIFS(Transaksi!$G$2:$G$2001,Transaksi!$M$2:$M$2001,"&lt;="&amp;S1139)+SUMIFS(Transaksi!$H$2:$H$2001,Transaksi!$M$2:$M$2001,"&lt;="&amp;S1139)+SUMIFS(Transaksi!$I$2:$I$2001,Transaksi!$M$2:$M$2001,"&lt;="&amp;S1139))-(SUMIFS(Transaksi!$J$2:$J$2001,Transaksi!$M$2:$M$2001,"&lt;="&amp;S1139)),"")</f>
        <v/>
      </c>
      <c r="I1139">
        <f>IF(1136&gt;$O$2,"",MATCH(1136,$Q$3:$Q$402,1))</f>
        <v/>
      </c>
      <c r="J1139">
        <f>IF(I1139="","",IF(1136=INDEX($Q$3:$Q$402,I1139),"H","E"))</f>
        <v/>
      </c>
      <c r="K1139">
        <f>IF(J1139&lt;&gt;"E","",MATCH(S1139,Transaksi!$M$2:$M$2001,0)+1136-INDEX($Q$3:$Q$402,I1139)-1)</f>
        <v/>
      </c>
      <c r="S1139">
        <f>IF(I1139="","",INDEX($O$3:$O$402,I1139))</f>
        <v/>
      </c>
      <c r="T1139">
        <f>IF(J1139&lt;&gt;"H","",INDEX(Transaksi!$A$2:$A$2001,MATCH(S1139,Transaksi!$M$2:$M$2001,0)))</f>
        <v/>
      </c>
    </row>
    <row r="1140">
      <c r="A1140" s="31">
        <f>IF(J1140="E",IF(INDEX(Transaksi!$J$2:$J$2001,K1140)&gt;0,"↑","↓"),"")</f>
        <v/>
      </c>
      <c r="B1140" s="32">
        <f>IF(J1140="H",CHOOSE(WEEKDAY(T1140,2),"Isnin","Selasa","Rabu","Khamis","Jumaat","Sabtu","Ahad")&amp;", "&amp;DAY(T1140)&amp;" "&amp;CHOOSE(MONTH(T1140),"Jan","Feb","Mac","Apr","Mei","Jun","Jul","Ogo","Sep","Okt","Nov","Dis")&amp;" "&amp;YEAR(T1140),IF(J1140="E",IF(INDEX(Transaksi!$B$2:$B$2001,K1140)="",INDEX(Transaksi!$C$2:$C$2001,K1140)&amp;" · "&amp;INDEX(Transaksi!$D$2:$D$2001,K1140),INDEX(Transaksi!$B$2:$B$2001,K1140)),""))</f>
        <v/>
      </c>
      <c r="C1140" s="32">
        <f>IF(J1140="E",INDEX(Transaksi!$C$2:$C$2001,K1140)&amp;"","")</f>
        <v/>
      </c>
      <c r="D1140" s="32">
        <f>IF(J1140="E",INDEX(Transaksi!$D$2:$D$2001,K1140)&amp;"","")</f>
        <v/>
      </c>
      <c r="E1140" s="33">
        <f>IF(J1140="H",SUMIFS(Transaksi!$G$2:$G$2001,Transaksi!$M$2:$M$2001,"="&amp;S1140)+SUMIFS(Transaksi!$H$2:$H$2001,Transaksi!$M$2:$M$2001,"="&amp;S1140)+SUMIFS(Transaksi!$I$2:$I$2001,Transaksi!$M$2:$M$2001,"="&amp;S1140),IF(J1140="E",IF(INDEX(Transaksi!$G$2:$G$2001,K1140)+INDEX(Transaksi!$H$2:$H$2001,K1140)+INDEX(Transaksi!$I$2:$I$2001,K1140)=0,"",INDEX(Transaksi!$G$2:$G$2001,K1140)+INDEX(Transaksi!$H$2:$H$2001,K1140)+INDEX(Transaksi!$I$2:$I$2001,K1140)),""))</f>
        <v/>
      </c>
      <c r="F1140" s="33">
        <f>IF(J1140="H",SUMIFS(Transaksi!$J$2:$J$2001,Transaksi!$M$2:$M$2001,"="&amp;S1140),IF(J1140="E",IF(INDEX(Transaksi!$J$2:$J$2001,K1140)=0,"",INDEX(Transaksi!$J$2:$J$2001,K1140)),""))</f>
        <v/>
      </c>
      <c r="G1140" s="33">
        <f>IF(J1140="H",(SUMIFS(Transaksi!$G$2:$G$2001,Transaksi!$M$2:$M$2001,"&lt;="&amp;S1140)+SUMIFS(Transaksi!$H$2:$H$2001,Transaksi!$M$2:$M$2001,"&lt;="&amp;S1140)+SUMIFS(Transaksi!$I$2:$I$2001,Transaksi!$M$2:$M$2001,"&lt;="&amp;S1140))-(SUMIFS(Transaksi!$J$2:$J$2001,Transaksi!$M$2:$M$2001,"&lt;="&amp;S1140)),"")</f>
        <v/>
      </c>
      <c r="I1140">
        <f>IF(1137&gt;$O$2,"",MATCH(1137,$Q$3:$Q$402,1))</f>
        <v/>
      </c>
      <c r="J1140">
        <f>IF(I1140="","",IF(1137=INDEX($Q$3:$Q$402,I1140),"H","E"))</f>
        <v/>
      </c>
      <c r="K1140">
        <f>IF(J1140&lt;&gt;"E","",MATCH(S1140,Transaksi!$M$2:$M$2001,0)+1137-INDEX($Q$3:$Q$402,I1140)-1)</f>
        <v/>
      </c>
      <c r="S1140">
        <f>IF(I1140="","",INDEX($O$3:$O$402,I1140))</f>
        <v/>
      </c>
      <c r="T1140">
        <f>IF(J1140&lt;&gt;"H","",INDEX(Transaksi!$A$2:$A$2001,MATCH(S1140,Transaksi!$M$2:$M$2001,0)))</f>
        <v/>
      </c>
    </row>
    <row r="1141">
      <c r="A1141" s="31">
        <f>IF(J1141="E",IF(INDEX(Transaksi!$J$2:$J$2001,K1141)&gt;0,"↑","↓"),"")</f>
        <v/>
      </c>
      <c r="B1141" s="32">
        <f>IF(J1141="H",CHOOSE(WEEKDAY(T1141,2),"Isnin","Selasa","Rabu","Khamis","Jumaat","Sabtu","Ahad")&amp;", "&amp;DAY(T1141)&amp;" "&amp;CHOOSE(MONTH(T1141),"Jan","Feb","Mac","Apr","Mei","Jun","Jul","Ogo","Sep","Okt","Nov","Dis")&amp;" "&amp;YEAR(T1141),IF(J1141="E",IF(INDEX(Transaksi!$B$2:$B$2001,K1141)="",INDEX(Transaksi!$C$2:$C$2001,K1141)&amp;" · "&amp;INDEX(Transaksi!$D$2:$D$2001,K1141),INDEX(Transaksi!$B$2:$B$2001,K1141)),""))</f>
        <v/>
      </c>
      <c r="C1141" s="32">
        <f>IF(J1141="E",INDEX(Transaksi!$C$2:$C$2001,K1141)&amp;"","")</f>
        <v/>
      </c>
      <c r="D1141" s="32">
        <f>IF(J1141="E",INDEX(Transaksi!$D$2:$D$2001,K1141)&amp;"","")</f>
        <v/>
      </c>
      <c r="E1141" s="33">
        <f>IF(J1141="H",SUMIFS(Transaksi!$G$2:$G$2001,Transaksi!$M$2:$M$2001,"="&amp;S1141)+SUMIFS(Transaksi!$H$2:$H$2001,Transaksi!$M$2:$M$2001,"="&amp;S1141)+SUMIFS(Transaksi!$I$2:$I$2001,Transaksi!$M$2:$M$2001,"="&amp;S1141),IF(J1141="E",IF(INDEX(Transaksi!$G$2:$G$2001,K1141)+INDEX(Transaksi!$H$2:$H$2001,K1141)+INDEX(Transaksi!$I$2:$I$2001,K1141)=0,"",INDEX(Transaksi!$G$2:$G$2001,K1141)+INDEX(Transaksi!$H$2:$H$2001,K1141)+INDEX(Transaksi!$I$2:$I$2001,K1141)),""))</f>
        <v/>
      </c>
      <c r="F1141" s="33">
        <f>IF(J1141="H",SUMIFS(Transaksi!$J$2:$J$2001,Transaksi!$M$2:$M$2001,"="&amp;S1141),IF(J1141="E",IF(INDEX(Transaksi!$J$2:$J$2001,K1141)=0,"",INDEX(Transaksi!$J$2:$J$2001,K1141)),""))</f>
        <v/>
      </c>
      <c r="G1141" s="33">
        <f>IF(J1141="H",(SUMIFS(Transaksi!$G$2:$G$2001,Transaksi!$M$2:$M$2001,"&lt;="&amp;S1141)+SUMIFS(Transaksi!$H$2:$H$2001,Transaksi!$M$2:$M$2001,"&lt;="&amp;S1141)+SUMIFS(Transaksi!$I$2:$I$2001,Transaksi!$M$2:$M$2001,"&lt;="&amp;S1141))-(SUMIFS(Transaksi!$J$2:$J$2001,Transaksi!$M$2:$M$2001,"&lt;="&amp;S1141)),"")</f>
        <v/>
      </c>
      <c r="I1141">
        <f>IF(1138&gt;$O$2,"",MATCH(1138,$Q$3:$Q$402,1))</f>
        <v/>
      </c>
      <c r="J1141">
        <f>IF(I1141="","",IF(1138=INDEX($Q$3:$Q$402,I1141),"H","E"))</f>
        <v/>
      </c>
      <c r="K1141">
        <f>IF(J1141&lt;&gt;"E","",MATCH(S1141,Transaksi!$M$2:$M$2001,0)+1138-INDEX($Q$3:$Q$402,I1141)-1)</f>
        <v/>
      </c>
      <c r="S1141">
        <f>IF(I1141="","",INDEX($O$3:$O$402,I1141))</f>
        <v/>
      </c>
      <c r="T1141">
        <f>IF(J1141&lt;&gt;"H","",INDEX(Transaksi!$A$2:$A$2001,MATCH(S1141,Transaksi!$M$2:$M$2001,0)))</f>
        <v/>
      </c>
    </row>
    <row r="1142">
      <c r="A1142" s="31">
        <f>IF(J1142="E",IF(INDEX(Transaksi!$J$2:$J$2001,K1142)&gt;0,"↑","↓"),"")</f>
        <v/>
      </c>
      <c r="B1142" s="32">
        <f>IF(J1142="H",CHOOSE(WEEKDAY(T1142,2),"Isnin","Selasa","Rabu","Khamis","Jumaat","Sabtu","Ahad")&amp;", "&amp;DAY(T1142)&amp;" "&amp;CHOOSE(MONTH(T1142),"Jan","Feb","Mac","Apr","Mei","Jun","Jul","Ogo","Sep","Okt","Nov","Dis")&amp;" "&amp;YEAR(T1142),IF(J1142="E",IF(INDEX(Transaksi!$B$2:$B$2001,K1142)="",INDEX(Transaksi!$C$2:$C$2001,K1142)&amp;" · "&amp;INDEX(Transaksi!$D$2:$D$2001,K1142),INDEX(Transaksi!$B$2:$B$2001,K1142)),""))</f>
        <v/>
      </c>
      <c r="C1142" s="32">
        <f>IF(J1142="E",INDEX(Transaksi!$C$2:$C$2001,K1142)&amp;"","")</f>
        <v/>
      </c>
      <c r="D1142" s="32">
        <f>IF(J1142="E",INDEX(Transaksi!$D$2:$D$2001,K1142)&amp;"","")</f>
        <v/>
      </c>
      <c r="E1142" s="33">
        <f>IF(J1142="H",SUMIFS(Transaksi!$G$2:$G$2001,Transaksi!$M$2:$M$2001,"="&amp;S1142)+SUMIFS(Transaksi!$H$2:$H$2001,Transaksi!$M$2:$M$2001,"="&amp;S1142)+SUMIFS(Transaksi!$I$2:$I$2001,Transaksi!$M$2:$M$2001,"="&amp;S1142),IF(J1142="E",IF(INDEX(Transaksi!$G$2:$G$2001,K1142)+INDEX(Transaksi!$H$2:$H$2001,K1142)+INDEX(Transaksi!$I$2:$I$2001,K1142)=0,"",INDEX(Transaksi!$G$2:$G$2001,K1142)+INDEX(Transaksi!$H$2:$H$2001,K1142)+INDEX(Transaksi!$I$2:$I$2001,K1142)),""))</f>
        <v/>
      </c>
      <c r="F1142" s="33">
        <f>IF(J1142="H",SUMIFS(Transaksi!$J$2:$J$2001,Transaksi!$M$2:$M$2001,"="&amp;S1142),IF(J1142="E",IF(INDEX(Transaksi!$J$2:$J$2001,K1142)=0,"",INDEX(Transaksi!$J$2:$J$2001,K1142)),""))</f>
        <v/>
      </c>
      <c r="G1142" s="33">
        <f>IF(J1142="H",(SUMIFS(Transaksi!$G$2:$G$2001,Transaksi!$M$2:$M$2001,"&lt;="&amp;S1142)+SUMIFS(Transaksi!$H$2:$H$2001,Transaksi!$M$2:$M$2001,"&lt;="&amp;S1142)+SUMIFS(Transaksi!$I$2:$I$2001,Transaksi!$M$2:$M$2001,"&lt;="&amp;S1142))-(SUMIFS(Transaksi!$J$2:$J$2001,Transaksi!$M$2:$M$2001,"&lt;="&amp;S1142)),"")</f>
        <v/>
      </c>
      <c r="I1142">
        <f>IF(1139&gt;$O$2,"",MATCH(1139,$Q$3:$Q$402,1))</f>
        <v/>
      </c>
      <c r="J1142">
        <f>IF(I1142="","",IF(1139=INDEX($Q$3:$Q$402,I1142),"H","E"))</f>
        <v/>
      </c>
      <c r="K1142">
        <f>IF(J1142&lt;&gt;"E","",MATCH(S1142,Transaksi!$M$2:$M$2001,0)+1139-INDEX($Q$3:$Q$402,I1142)-1)</f>
        <v/>
      </c>
      <c r="S1142">
        <f>IF(I1142="","",INDEX($O$3:$O$402,I1142))</f>
        <v/>
      </c>
      <c r="T1142">
        <f>IF(J1142&lt;&gt;"H","",INDEX(Transaksi!$A$2:$A$2001,MATCH(S1142,Transaksi!$M$2:$M$2001,0)))</f>
        <v/>
      </c>
    </row>
    <row r="1143">
      <c r="A1143" s="31">
        <f>IF(J1143="E",IF(INDEX(Transaksi!$J$2:$J$2001,K1143)&gt;0,"↑","↓"),"")</f>
        <v/>
      </c>
      <c r="B1143" s="32">
        <f>IF(J1143="H",CHOOSE(WEEKDAY(T1143,2),"Isnin","Selasa","Rabu","Khamis","Jumaat","Sabtu","Ahad")&amp;", "&amp;DAY(T1143)&amp;" "&amp;CHOOSE(MONTH(T1143),"Jan","Feb","Mac","Apr","Mei","Jun","Jul","Ogo","Sep","Okt","Nov","Dis")&amp;" "&amp;YEAR(T1143),IF(J1143="E",IF(INDEX(Transaksi!$B$2:$B$2001,K1143)="",INDEX(Transaksi!$C$2:$C$2001,K1143)&amp;" · "&amp;INDEX(Transaksi!$D$2:$D$2001,K1143),INDEX(Transaksi!$B$2:$B$2001,K1143)),""))</f>
        <v/>
      </c>
      <c r="C1143" s="32">
        <f>IF(J1143="E",INDEX(Transaksi!$C$2:$C$2001,K1143)&amp;"","")</f>
        <v/>
      </c>
      <c r="D1143" s="32">
        <f>IF(J1143="E",INDEX(Transaksi!$D$2:$D$2001,K1143)&amp;"","")</f>
        <v/>
      </c>
      <c r="E1143" s="33">
        <f>IF(J1143="H",SUMIFS(Transaksi!$G$2:$G$2001,Transaksi!$M$2:$M$2001,"="&amp;S1143)+SUMIFS(Transaksi!$H$2:$H$2001,Transaksi!$M$2:$M$2001,"="&amp;S1143)+SUMIFS(Transaksi!$I$2:$I$2001,Transaksi!$M$2:$M$2001,"="&amp;S1143),IF(J1143="E",IF(INDEX(Transaksi!$G$2:$G$2001,K1143)+INDEX(Transaksi!$H$2:$H$2001,K1143)+INDEX(Transaksi!$I$2:$I$2001,K1143)=0,"",INDEX(Transaksi!$G$2:$G$2001,K1143)+INDEX(Transaksi!$H$2:$H$2001,K1143)+INDEX(Transaksi!$I$2:$I$2001,K1143)),""))</f>
        <v/>
      </c>
      <c r="F1143" s="33">
        <f>IF(J1143="H",SUMIFS(Transaksi!$J$2:$J$2001,Transaksi!$M$2:$M$2001,"="&amp;S1143),IF(J1143="E",IF(INDEX(Transaksi!$J$2:$J$2001,K1143)=0,"",INDEX(Transaksi!$J$2:$J$2001,K1143)),""))</f>
        <v/>
      </c>
      <c r="G1143" s="33">
        <f>IF(J1143="H",(SUMIFS(Transaksi!$G$2:$G$2001,Transaksi!$M$2:$M$2001,"&lt;="&amp;S1143)+SUMIFS(Transaksi!$H$2:$H$2001,Transaksi!$M$2:$M$2001,"&lt;="&amp;S1143)+SUMIFS(Transaksi!$I$2:$I$2001,Transaksi!$M$2:$M$2001,"&lt;="&amp;S1143))-(SUMIFS(Transaksi!$J$2:$J$2001,Transaksi!$M$2:$M$2001,"&lt;="&amp;S1143)),"")</f>
        <v/>
      </c>
      <c r="I1143">
        <f>IF(1140&gt;$O$2,"",MATCH(1140,$Q$3:$Q$402,1))</f>
        <v/>
      </c>
      <c r="J1143">
        <f>IF(I1143="","",IF(1140=INDEX($Q$3:$Q$402,I1143),"H","E"))</f>
        <v/>
      </c>
      <c r="K1143">
        <f>IF(J1143&lt;&gt;"E","",MATCH(S1143,Transaksi!$M$2:$M$2001,0)+1140-INDEX($Q$3:$Q$402,I1143)-1)</f>
        <v/>
      </c>
      <c r="S1143">
        <f>IF(I1143="","",INDEX($O$3:$O$402,I1143))</f>
        <v/>
      </c>
      <c r="T1143">
        <f>IF(J1143&lt;&gt;"H","",INDEX(Transaksi!$A$2:$A$2001,MATCH(S1143,Transaksi!$M$2:$M$2001,0)))</f>
        <v/>
      </c>
    </row>
    <row r="1144">
      <c r="A1144" s="31">
        <f>IF(J1144="E",IF(INDEX(Transaksi!$J$2:$J$2001,K1144)&gt;0,"↑","↓"),"")</f>
        <v/>
      </c>
      <c r="B1144" s="32">
        <f>IF(J1144="H",CHOOSE(WEEKDAY(T1144,2),"Isnin","Selasa","Rabu","Khamis","Jumaat","Sabtu","Ahad")&amp;", "&amp;DAY(T1144)&amp;" "&amp;CHOOSE(MONTH(T1144),"Jan","Feb","Mac","Apr","Mei","Jun","Jul","Ogo","Sep","Okt","Nov","Dis")&amp;" "&amp;YEAR(T1144),IF(J1144="E",IF(INDEX(Transaksi!$B$2:$B$2001,K1144)="",INDEX(Transaksi!$C$2:$C$2001,K1144)&amp;" · "&amp;INDEX(Transaksi!$D$2:$D$2001,K1144),INDEX(Transaksi!$B$2:$B$2001,K1144)),""))</f>
        <v/>
      </c>
      <c r="C1144" s="32">
        <f>IF(J1144="E",INDEX(Transaksi!$C$2:$C$2001,K1144)&amp;"","")</f>
        <v/>
      </c>
      <c r="D1144" s="32">
        <f>IF(J1144="E",INDEX(Transaksi!$D$2:$D$2001,K1144)&amp;"","")</f>
        <v/>
      </c>
      <c r="E1144" s="33">
        <f>IF(J1144="H",SUMIFS(Transaksi!$G$2:$G$2001,Transaksi!$M$2:$M$2001,"="&amp;S1144)+SUMIFS(Transaksi!$H$2:$H$2001,Transaksi!$M$2:$M$2001,"="&amp;S1144)+SUMIFS(Transaksi!$I$2:$I$2001,Transaksi!$M$2:$M$2001,"="&amp;S1144),IF(J1144="E",IF(INDEX(Transaksi!$G$2:$G$2001,K1144)+INDEX(Transaksi!$H$2:$H$2001,K1144)+INDEX(Transaksi!$I$2:$I$2001,K1144)=0,"",INDEX(Transaksi!$G$2:$G$2001,K1144)+INDEX(Transaksi!$H$2:$H$2001,K1144)+INDEX(Transaksi!$I$2:$I$2001,K1144)),""))</f>
        <v/>
      </c>
      <c r="F1144" s="33">
        <f>IF(J1144="H",SUMIFS(Transaksi!$J$2:$J$2001,Transaksi!$M$2:$M$2001,"="&amp;S1144),IF(J1144="E",IF(INDEX(Transaksi!$J$2:$J$2001,K1144)=0,"",INDEX(Transaksi!$J$2:$J$2001,K1144)),""))</f>
        <v/>
      </c>
      <c r="G1144" s="33">
        <f>IF(J1144="H",(SUMIFS(Transaksi!$G$2:$G$2001,Transaksi!$M$2:$M$2001,"&lt;="&amp;S1144)+SUMIFS(Transaksi!$H$2:$H$2001,Transaksi!$M$2:$M$2001,"&lt;="&amp;S1144)+SUMIFS(Transaksi!$I$2:$I$2001,Transaksi!$M$2:$M$2001,"&lt;="&amp;S1144))-(SUMIFS(Transaksi!$J$2:$J$2001,Transaksi!$M$2:$M$2001,"&lt;="&amp;S1144)),"")</f>
        <v/>
      </c>
      <c r="I1144">
        <f>IF(1141&gt;$O$2,"",MATCH(1141,$Q$3:$Q$402,1))</f>
        <v/>
      </c>
      <c r="J1144">
        <f>IF(I1144="","",IF(1141=INDEX($Q$3:$Q$402,I1144),"H","E"))</f>
        <v/>
      </c>
      <c r="K1144">
        <f>IF(J1144&lt;&gt;"E","",MATCH(S1144,Transaksi!$M$2:$M$2001,0)+1141-INDEX($Q$3:$Q$402,I1144)-1)</f>
        <v/>
      </c>
      <c r="S1144">
        <f>IF(I1144="","",INDEX($O$3:$O$402,I1144))</f>
        <v/>
      </c>
      <c r="T1144">
        <f>IF(J1144&lt;&gt;"H","",INDEX(Transaksi!$A$2:$A$2001,MATCH(S1144,Transaksi!$M$2:$M$2001,0)))</f>
        <v/>
      </c>
    </row>
    <row r="1145">
      <c r="A1145" s="31">
        <f>IF(J1145="E",IF(INDEX(Transaksi!$J$2:$J$2001,K1145)&gt;0,"↑","↓"),"")</f>
        <v/>
      </c>
      <c r="B1145" s="32">
        <f>IF(J1145="H",CHOOSE(WEEKDAY(T1145,2),"Isnin","Selasa","Rabu","Khamis","Jumaat","Sabtu","Ahad")&amp;", "&amp;DAY(T1145)&amp;" "&amp;CHOOSE(MONTH(T1145),"Jan","Feb","Mac","Apr","Mei","Jun","Jul","Ogo","Sep","Okt","Nov","Dis")&amp;" "&amp;YEAR(T1145),IF(J1145="E",IF(INDEX(Transaksi!$B$2:$B$2001,K1145)="",INDEX(Transaksi!$C$2:$C$2001,K1145)&amp;" · "&amp;INDEX(Transaksi!$D$2:$D$2001,K1145),INDEX(Transaksi!$B$2:$B$2001,K1145)),""))</f>
        <v/>
      </c>
      <c r="C1145" s="32">
        <f>IF(J1145="E",INDEX(Transaksi!$C$2:$C$2001,K1145)&amp;"","")</f>
        <v/>
      </c>
      <c r="D1145" s="32">
        <f>IF(J1145="E",INDEX(Transaksi!$D$2:$D$2001,K1145)&amp;"","")</f>
        <v/>
      </c>
      <c r="E1145" s="33">
        <f>IF(J1145="H",SUMIFS(Transaksi!$G$2:$G$2001,Transaksi!$M$2:$M$2001,"="&amp;S1145)+SUMIFS(Transaksi!$H$2:$H$2001,Transaksi!$M$2:$M$2001,"="&amp;S1145)+SUMIFS(Transaksi!$I$2:$I$2001,Transaksi!$M$2:$M$2001,"="&amp;S1145),IF(J1145="E",IF(INDEX(Transaksi!$G$2:$G$2001,K1145)+INDEX(Transaksi!$H$2:$H$2001,K1145)+INDEX(Transaksi!$I$2:$I$2001,K1145)=0,"",INDEX(Transaksi!$G$2:$G$2001,K1145)+INDEX(Transaksi!$H$2:$H$2001,K1145)+INDEX(Transaksi!$I$2:$I$2001,K1145)),""))</f>
        <v/>
      </c>
      <c r="F1145" s="33">
        <f>IF(J1145="H",SUMIFS(Transaksi!$J$2:$J$2001,Transaksi!$M$2:$M$2001,"="&amp;S1145),IF(J1145="E",IF(INDEX(Transaksi!$J$2:$J$2001,K1145)=0,"",INDEX(Transaksi!$J$2:$J$2001,K1145)),""))</f>
        <v/>
      </c>
      <c r="G1145" s="33">
        <f>IF(J1145="H",(SUMIFS(Transaksi!$G$2:$G$2001,Transaksi!$M$2:$M$2001,"&lt;="&amp;S1145)+SUMIFS(Transaksi!$H$2:$H$2001,Transaksi!$M$2:$M$2001,"&lt;="&amp;S1145)+SUMIFS(Transaksi!$I$2:$I$2001,Transaksi!$M$2:$M$2001,"&lt;="&amp;S1145))-(SUMIFS(Transaksi!$J$2:$J$2001,Transaksi!$M$2:$M$2001,"&lt;="&amp;S1145)),"")</f>
        <v/>
      </c>
      <c r="I1145">
        <f>IF(1142&gt;$O$2,"",MATCH(1142,$Q$3:$Q$402,1))</f>
        <v/>
      </c>
      <c r="J1145">
        <f>IF(I1145="","",IF(1142=INDEX($Q$3:$Q$402,I1145),"H","E"))</f>
        <v/>
      </c>
      <c r="K1145">
        <f>IF(J1145&lt;&gt;"E","",MATCH(S1145,Transaksi!$M$2:$M$2001,0)+1142-INDEX($Q$3:$Q$402,I1145)-1)</f>
        <v/>
      </c>
      <c r="S1145">
        <f>IF(I1145="","",INDEX($O$3:$O$402,I1145))</f>
        <v/>
      </c>
      <c r="T1145">
        <f>IF(J1145&lt;&gt;"H","",INDEX(Transaksi!$A$2:$A$2001,MATCH(S1145,Transaksi!$M$2:$M$2001,0)))</f>
        <v/>
      </c>
    </row>
    <row r="1146">
      <c r="A1146" s="31">
        <f>IF(J1146="E",IF(INDEX(Transaksi!$J$2:$J$2001,K1146)&gt;0,"↑","↓"),"")</f>
        <v/>
      </c>
      <c r="B1146" s="32">
        <f>IF(J1146="H",CHOOSE(WEEKDAY(T1146,2),"Isnin","Selasa","Rabu","Khamis","Jumaat","Sabtu","Ahad")&amp;", "&amp;DAY(T1146)&amp;" "&amp;CHOOSE(MONTH(T1146),"Jan","Feb","Mac","Apr","Mei","Jun","Jul","Ogo","Sep","Okt","Nov","Dis")&amp;" "&amp;YEAR(T1146),IF(J1146="E",IF(INDEX(Transaksi!$B$2:$B$2001,K1146)="",INDEX(Transaksi!$C$2:$C$2001,K1146)&amp;" · "&amp;INDEX(Transaksi!$D$2:$D$2001,K1146),INDEX(Transaksi!$B$2:$B$2001,K1146)),""))</f>
        <v/>
      </c>
      <c r="C1146" s="32">
        <f>IF(J1146="E",INDEX(Transaksi!$C$2:$C$2001,K1146)&amp;"","")</f>
        <v/>
      </c>
      <c r="D1146" s="32">
        <f>IF(J1146="E",INDEX(Transaksi!$D$2:$D$2001,K1146)&amp;"","")</f>
        <v/>
      </c>
      <c r="E1146" s="33">
        <f>IF(J1146="H",SUMIFS(Transaksi!$G$2:$G$2001,Transaksi!$M$2:$M$2001,"="&amp;S1146)+SUMIFS(Transaksi!$H$2:$H$2001,Transaksi!$M$2:$M$2001,"="&amp;S1146)+SUMIFS(Transaksi!$I$2:$I$2001,Transaksi!$M$2:$M$2001,"="&amp;S1146),IF(J1146="E",IF(INDEX(Transaksi!$G$2:$G$2001,K1146)+INDEX(Transaksi!$H$2:$H$2001,K1146)+INDEX(Transaksi!$I$2:$I$2001,K1146)=0,"",INDEX(Transaksi!$G$2:$G$2001,K1146)+INDEX(Transaksi!$H$2:$H$2001,K1146)+INDEX(Transaksi!$I$2:$I$2001,K1146)),""))</f>
        <v/>
      </c>
      <c r="F1146" s="33">
        <f>IF(J1146="H",SUMIFS(Transaksi!$J$2:$J$2001,Transaksi!$M$2:$M$2001,"="&amp;S1146),IF(J1146="E",IF(INDEX(Transaksi!$J$2:$J$2001,K1146)=0,"",INDEX(Transaksi!$J$2:$J$2001,K1146)),""))</f>
        <v/>
      </c>
      <c r="G1146" s="33">
        <f>IF(J1146="H",(SUMIFS(Transaksi!$G$2:$G$2001,Transaksi!$M$2:$M$2001,"&lt;="&amp;S1146)+SUMIFS(Transaksi!$H$2:$H$2001,Transaksi!$M$2:$M$2001,"&lt;="&amp;S1146)+SUMIFS(Transaksi!$I$2:$I$2001,Transaksi!$M$2:$M$2001,"&lt;="&amp;S1146))-(SUMIFS(Transaksi!$J$2:$J$2001,Transaksi!$M$2:$M$2001,"&lt;="&amp;S1146)),"")</f>
        <v/>
      </c>
      <c r="I1146">
        <f>IF(1143&gt;$O$2,"",MATCH(1143,$Q$3:$Q$402,1))</f>
        <v/>
      </c>
      <c r="J1146">
        <f>IF(I1146="","",IF(1143=INDEX($Q$3:$Q$402,I1146),"H","E"))</f>
        <v/>
      </c>
      <c r="K1146">
        <f>IF(J1146&lt;&gt;"E","",MATCH(S1146,Transaksi!$M$2:$M$2001,0)+1143-INDEX($Q$3:$Q$402,I1146)-1)</f>
        <v/>
      </c>
      <c r="S1146">
        <f>IF(I1146="","",INDEX($O$3:$O$402,I1146))</f>
        <v/>
      </c>
      <c r="T1146">
        <f>IF(J1146&lt;&gt;"H","",INDEX(Transaksi!$A$2:$A$2001,MATCH(S1146,Transaksi!$M$2:$M$2001,0)))</f>
        <v/>
      </c>
    </row>
    <row r="1147">
      <c r="A1147" s="31">
        <f>IF(J1147="E",IF(INDEX(Transaksi!$J$2:$J$2001,K1147)&gt;0,"↑","↓"),"")</f>
        <v/>
      </c>
      <c r="B1147" s="32">
        <f>IF(J1147="H",CHOOSE(WEEKDAY(T1147,2),"Isnin","Selasa","Rabu","Khamis","Jumaat","Sabtu","Ahad")&amp;", "&amp;DAY(T1147)&amp;" "&amp;CHOOSE(MONTH(T1147),"Jan","Feb","Mac","Apr","Mei","Jun","Jul","Ogo","Sep","Okt","Nov","Dis")&amp;" "&amp;YEAR(T1147),IF(J1147="E",IF(INDEX(Transaksi!$B$2:$B$2001,K1147)="",INDEX(Transaksi!$C$2:$C$2001,K1147)&amp;" · "&amp;INDEX(Transaksi!$D$2:$D$2001,K1147),INDEX(Transaksi!$B$2:$B$2001,K1147)),""))</f>
        <v/>
      </c>
      <c r="C1147" s="32">
        <f>IF(J1147="E",INDEX(Transaksi!$C$2:$C$2001,K1147)&amp;"","")</f>
        <v/>
      </c>
      <c r="D1147" s="32">
        <f>IF(J1147="E",INDEX(Transaksi!$D$2:$D$2001,K1147)&amp;"","")</f>
        <v/>
      </c>
      <c r="E1147" s="33">
        <f>IF(J1147="H",SUMIFS(Transaksi!$G$2:$G$2001,Transaksi!$M$2:$M$2001,"="&amp;S1147)+SUMIFS(Transaksi!$H$2:$H$2001,Transaksi!$M$2:$M$2001,"="&amp;S1147)+SUMIFS(Transaksi!$I$2:$I$2001,Transaksi!$M$2:$M$2001,"="&amp;S1147),IF(J1147="E",IF(INDEX(Transaksi!$G$2:$G$2001,K1147)+INDEX(Transaksi!$H$2:$H$2001,K1147)+INDEX(Transaksi!$I$2:$I$2001,K1147)=0,"",INDEX(Transaksi!$G$2:$G$2001,K1147)+INDEX(Transaksi!$H$2:$H$2001,K1147)+INDEX(Transaksi!$I$2:$I$2001,K1147)),""))</f>
        <v/>
      </c>
      <c r="F1147" s="33">
        <f>IF(J1147="H",SUMIFS(Transaksi!$J$2:$J$2001,Transaksi!$M$2:$M$2001,"="&amp;S1147),IF(J1147="E",IF(INDEX(Transaksi!$J$2:$J$2001,K1147)=0,"",INDEX(Transaksi!$J$2:$J$2001,K1147)),""))</f>
        <v/>
      </c>
      <c r="G1147" s="33">
        <f>IF(J1147="H",(SUMIFS(Transaksi!$G$2:$G$2001,Transaksi!$M$2:$M$2001,"&lt;="&amp;S1147)+SUMIFS(Transaksi!$H$2:$H$2001,Transaksi!$M$2:$M$2001,"&lt;="&amp;S1147)+SUMIFS(Transaksi!$I$2:$I$2001,Transaksi!$M$2:$M$2001,"&lt;="&amp;S1147))-(SUMIFS(Transaksi!$J$2:$J$2001,Transaksi!$M$2:$M$2001,"&lt;="&amp;S1147)),"")</f>
        <v/>
      </c>
      <c r="I1147">
        <f>IF(1144&gt;$O$2,"",MATCH(1144,$Q$3:$Q$402,1))</f>
        <v/>
      </c>
      <c r="J1147">
        <f>IF(I1147="","",IF(1144=INDEX($Q$3:$Q$402,I1147),"H","E"))</f>
        <v/>
      </c>
      <c r="K1147">
        <f>IF(J1147&lt;&gt;"E","",MATCH(S1147,Transaksi!$M$2:$M$2001,0)+1144-INDEX($Q$3:$Q$402,I1147)-1)</f>
        <v/>
      </c>
      <c r="S1147">
        <f>IF(I1147="","",INDEX($O$3:$O$402,I1147))</f>
        <v/>
      </c>
      <c r="T1147">
        <f>IF(J1147&lt;&gt;"H","",INDEX(Transaksi!$A$2:$A$2001,MATCH(S1147,Transaksi!$M$2:$M$2001,0)))</f>
        <v/>
      </c>
    </row>
    <row r="1148">
      <c r="A1148" s="31">
        <f>IF(J1148="E",IF(INDEX(Transaksi!$J$2:$J$2001,K1148)&gt;0,"↑","↓"),"")</f>
        <v/>
      </c>
      <c r="B1148" s="32">
        <f>IF(J1148="H",CHOOSE(WEEKDAY(T1148,2),"Isnin","Selasa","Rabu","Khamis","Jumaat","Sabtu","Ahad")&amp;", "&amp;DAY(T1148)&amp;" "&amp;CHOOSE(MONTH(T1148),"Jan","Feb","Mac","Apr","Mei","Jun","Jul","Ogo","Sep","Okt","Nov","Dis")&amp;" "&amp;YEAR(T1148),IF(J1148="E",IF(INDEX(Transaksi!$B$2:$B$2001,K1148)="",INDEX(Transaksi!$C$2:$C$2001,K1148)&amp;" · "&amp;INDEX(Transaksi!$D$2:$D$2001,K1148),INDEX(Transaksi!$B$2:$B$2001,K1148)),""))</f>
        <v/>
      </c>
      <c r="C1148" s="32">
        <f>IF(J1148="E",INDEX(Transaksi!$C$2:$C$2001,K1148)&amp;"","")</f>
        <v/>
      </c>
      <c r="D1148" s="32">
        <f>IF(J1148="E",INDEX(Transaksi!$D$2:$D$2001,K1148)&amp;"","")</f>
        <v/>
      </c>
      <c r="E1148" s="33">
        <f>IF(J1148="H",SUMIFS(Transaksi!$G$2:$G$2001,Transaksi!$M$2:$M$2001,"="&amp;S1148)+SUMIFS(Transaksi!$H$2:$H$2001,Transaksi!$M$2:$M$2001,"="&amp;S1148)+SUMIFS(Transaksi!$I$2:$I$2001,Transaksi!$M$2:$M$2001,"="&amp;S1148),IF(J1148="E",IF(INDEX(Transaksi!$G$2:$G$2001,K1148)+INDEX(Transaksi!$H$2:$H$2001,K1148)+INDEX(Transaksi!$I$2:$I$2001,K1148)=0,"",INDEX(Transaksi!$G$2:$G$2001,K1148)+INDEX(Transaksi!$H$2:$H$2001,K1148)+INDEX(Transaksi!$I$2:$I$2001,K1148)),""))</f>
        <v/>
      </c>
      <c r="F1148" s="33">
        <f>IF(J1148="H",SUMIFS(Transaksi!$J$2:$J$2001,Transaksi!$M$2:$M$2001,"="&amp;S1148),IF(J1148="E",IF(INDEX(Transaksi!$J$2:$J$2001,K1148)=0,"",INDEX(Transaksi!$J$2:$J$2001,K1148)),""))</f>
        <v/>
      </c>
      <c r="G1148" s="33">
        <f>IF(J1148="H",(SUMIFS(Transaksi!$G$2:$G$2001,Transaksi!$M$2:$M$2001,"&lt;="&amp;S1148)+SUMIFS(Transaksi!$H$2:$H$2001,Transaksi!$M$2:$M$2001,"&lt;="&amp;S1148)+SUMIFS(Transaksi!$I$2:$I$2001,Transaksi!$M$2:$M$2001,"&lt;="&amp;S1148))-(SUMIFS(Transaksi!$J$2:$J$2001,Transaksi!$M$2:$M$2001,"&lt;="&amp;S1148)),"")</f>
        <v/>
      </c>
      <c r="I1148">
        <f>IF(1145&gt;$O$2,"",MATCH(1145,$Q$3:$Q$402,1))</f>
        <v/>
      </c>
      <c r="J1148">
        <f>IF(I1148="","",IF(1145=INDEX($Q$3:$Q$402,I1148),"H","E"))</f>
        <v/>
      </c>
      <c r="K1148">
        <f>IF(J1148&lt;&gt;"E","",MATCH(S1148,Transaksi!$M$2:$M$2001,0)+1145-INDEX($Q$3:$Q$402,I1148)-1)</f>
        <v/>
      </c>
      <c r="S1148">
        <f>IF(I1148="","",INDEX($O$3:$O$402,I1148))</f>
        <v/>
      </c>
      <c r="T1148">
        <f>IF(J1148&lt;&gt;"H","",INDEX(Transaksi!$A$2:$A$2001,MATCH(S1148,Transaksi!$M$2:$M$2001,0)))</f>
        <v/>
      </c>
    </row>
    <row r="1149">
      <c r="A1149" s="31">
        <f>IF(J1149="E",IF(INDEX(Transaksi!$J$2:$J$2001,K1149)&gt;0,"↑","↓"),"")</f>
        <v/>
      </c>
      <c r="B1149" s="32">
        <f>IF(J1149="H",CHOOSE(WEEKDAY(T1149,2),"Isnin","Selasa","Rabu","Khamis","Jumaat","Sabtu","Ahad")&amp;", "&amp;DAY(T1149)&amp;" "&amp;CHOOSE(MONTH(T1149),"Jan","Feb","Mac","Apr","Mei","Jun","Jul","Ogo","Sep","Okt","Nov","Dis")&amp;" "&amp;YEAR(T1149),IF(J1149="E",IF(INDEX(Transaksi!$B$2:$B$2001,K1149)="",INDEX(Transaksi!$C$2:$C$2001,K1149)&amp;" · "&amp;INDEX(Transaksi!$D$2:$D$2001,K1149),INDEX(Transaksi!$B$2:$B$2001,K1149)),""))</f>
        <v/>
      </c>
      <c r="C1149" s="32">
        <f>IF(J1149="E",INDEX(Transaksi!$C$2:$C$2001,K1149)&amp;"","")</f>
        <v/>
      </c>
      <c r="D1149" s="32">
        <f>IF(J1149="E",INDEX(Transaksi!$D$2:$D$2001,K1149)&amp;"","")</f>
        <v/>
      </c>
      <c r="E1149" s="33">
        <f>IF(J1149="H",SUMIFS(Transaksi!$G$2:$G$2001,Transaksi!$M$2:$M$2001,"="&amp;S1149)+SUMIFS(Transaksi!$H$2:$H$2001,Transaksi!$M$2:$M$2001,"="&amp;S1149)+SUMIFS(Transaksi!$I$2:$I$2001,Transaksi!$M$2:$M$2001,"="&amp;S1149),IF(J1149="E",IF(INDEX(Transaksi!$G$2:$G$2001,K1149)+INDEX(Transaksi!$H$2:$H$2001,K1149)+INDEX(Transaksi!$I$2:$I$2001,K1149)=0,"",INDEX(Transaksi!$G$2:$G$2001,K1149)+INDEX(Transaksi!$H$2:$H$2001,K1149)+INDEX(Transaksi!$I$2:$I$2001,K1149)),""))</f>
        <v/>
      </c>
      <c r="F1149" s="33">
        <f>IF(J1149="H",SUMIFS(Transaksi!$J$2:$J$2001,Transaksi!$M$2:$M$2001,"="&amp;S1149),IF(J1149="E",IF(INDEX(Transaksi!$J$2:$J$2001,K1149)=0,"",INDEX(Transaksi!$J$2:$J$2001,K1149)),""))</f>
        <v/>
      </c>
      <c r="G1149" s="33">
        <f>IF(J1149="H",(SUMIFS(Transaksi!$G$2:$G$2001,Transaksi!$M$2:$M$2001,"&lt;="&amp;S1149)+SUMIFS(Transaksi!$H$2:$H$2001,Transaksi!$M$2:$M$2001,"&lt;="&amp;S1149)+SUMIFS(Transaksi!$I$2:$I$2001,Transaksi!$M$2:$M$2001,"&lt;="&amp;S1149))-(SUMIFS(Transaksi!$J$2:$J$2001,Transaksi!$M$2:$M$2001,"&lt;="&amp;S1149)),"")</f>
        <v/>
      </c>
      <c r="I1149">
        <f>IF(1146&gt;$O$2,"",MATCH(1146,$Q$3:$Q$402,1))</f>
        <v/>
      </c>
      <c r="J1149">
        <f>IF(I1149="","",IF(1146=INDEX($Q$3:$Q$402,I1149),"H","E"))</f>
        <v/>
      </c>
      <c r="K1149">
        <f>IF(J1149&lt;&gt;"E","",MATCH(S1149,Transaksi!$M$2:$M$2001,0)+1146-INDEX($Q$3:$Q$402,I1149)-1)</f>
        <v/>
      </c>
      <c r="S1149">
        <f>IF(I1149="","",INDEX($O$3:$O$402,I1149))</f>
        <v/>
      </c>
      <c r="T1149">
        <f>IF(J1149&lt;&gt;"H","",INDEX(Transaksi!$A$2:$A$2001,MATCH(S1149,Transaksi!$M$2:$M$2001,0)))</f>
        <v/>
      </c>
    </row>
    <row r="1150">
      <c r="A1150" s="31">
        <f>IF(J1150="E",IF(INDEX(Transaksi!$J$2:$J$2001,K1150)&gt;0,"↑","↓"),"")</f>
        <v/>
      </c>
      <c r="B1150" s="32">
        <f>IF(J1150="H",CHOOSE(WEEKDAY(T1150,2),"Isnin","Selasa","Rabu","Khamis","Jumaat","Sabtu","Ahad")&amp;", "&amp;DAY(T1150)&amp;" "&amp;CHOOSE(MONTH(T1150),"Jan","Feb","Mac","Apr","Mei","Jun","Jul","Ogo","Sep","Okt","Nov","Dis")&amp;" "&amp;YEAR(T1150),IF(J1150="E",IF(INDEX(Transaksi!$B$2:$B$2001,K1150)="",INDEX(Transaksi!$C$2:$C$2001,K1150)&amp;" · "&amp;INDEX(Transaksi!$D$2:$D$2001,K1150),INDEX(Transaksi!$B$2:$B$2001,K1150)),""))</f>
        <v/>
      </c>
      <c r="C1150" s="32">
        <f>IF(J1150="E",INDEX(Transaksi!$C$2:$C$2001,K1150)&amp;"","")</f>
        <v/>
      </c>
      <c r="D1150" s="32">
        <f>IF(J1150="E",INDEX(Transaksi!$D$2:$D$2001,K1150)&amp;"","")</f>
        <v/>
      </c>
      <c r="E1150" s="33">
        <f>IF(J1150="H",SUMIFS(Transaksi!$G$2:$G$2001,Transaksi!$M$2:$M$2001,"="&amp;S1150)+SUMIFS(Transaksi!$H$2:$H$2001,Transaksi!$M$2:$M$2001,"="&amp;S1150)+SUMIFS(Transaksi!$I$2:$I$2001,Transaksi!$M$2:$M$2001,"="&amp;S1150),IF(J1150="E",IF(INDEX(Transaksi!$G$2:$G$2001,K1150)+INDEX(Transaksi!$H$2:$H$2001,K1150)+INDEX(Transaksi!$I$2:$I$2001,K1150)=0,"",INDEX(Transaksi!$G$2:$G$2001,K1150)+INDEX(Transaksi!$H$2:$H$2001,K1150)+INDEX(Transaksi!$I$2:$I$2001,K1150)),""))</f>
        <v/>
      </c>
      <c r="F1150" s="33">
        <f>IF(J1150="H",SUMIFS(Transaksi!$J$2:$J$2001,Transaksi!$M$2:$M$2001,"="&amp;S1150),IF(J1150="E",IF(INDEX(Transaksi!$J$2:$J$2001,K1150)=0,"",INDEX(Transaksi!$J$2:$J$2001,K1150)),""))</f>
        <v/>
      </c>
      <c r="G1150" s="33">
        <f>IF(J1150="H",(SUMIFS(Transaksi!$G$2:$G$2001,Transaksi!$M$2:$M$2001,"&lt;="&amp;S1150)+SUMIFS(Transaksi!$H$2:$H$2001,Transaksi!$M$2:$M$2001,"&lt;="&amp;S1150)+SUMIFS(Transaksi!$I$2:$I$2001,Transaksi!$M$2:$M$2001,"&lt;="&amp;S1150))-(SUMIFS(Transaksi!$J$2:$J$2001,Transaksi!$M$2:$M$2001,"&lt;="&amp;S1150)),"")</f>
        <v/>
      </c>
      <c r="I1150">
        <f>IF(1147&gt;$O$2,"",MATCH(1147,$Q$3:$Q$402,1))</f>
        <v/>
      </c>
      <c r="J1150">
        <f>IF(I1150="","",IF(1147=INDEX($Q$3:$Q$402,I1150),"H","E"))</f>
        <v/>
      </c>
      <c r="K1150">
        <f>IF(J1150&lt;&gt;"E","",MATCH(S1150,Transaksi!$M$2:$M$2001,0)+1147-INDEX($Q$3:$Q$402,I1150)-1)</f>
        <v/>
      </c>
      <c r="S1150">
        <f>IF(I1150="","",INDEX($O$3:$O$402,I1150))</f>
        <v/>
      </c>
      <c r="T1150">
        <f>IF(J1150&lt;&gt;"H","",INDEX(Transaksi!$A$2:$A$2001,MATCH(S1150,Transaksi!$M$2:$M$2001,0)))</f>
        <v/>
      </c>
    </row>
    <row r="1151">
      <c r="A1151" s="31">
        <f>IF(J1151="E",IF(INDEX(Transaksi!$J$2:$J$2001,K1151)&gt;0,"↑","↓"),"")</f>
        <v/>
      </c>
      <c r="B1151" s="32">
        <f>IF(J1151="H",CHOOSE(WEEKDAY(T1151,2),"Isnin","Selasa","Rabu","Khamis","Jumaat","Sabtu","Ahad")&amp;", "&amp;DAY(T1151)&amp;" "&amp;CHOOSE(MONTH(T1151),"Jan","Feb","Mac","Apr","Mei","Jun","Jul","Ogo","Sep","Okt","Nov","Dis")&amp;" "&amp;YEAR(T1151),IF(J1151="E",IF(INDEX(Transaksi!$B$2:$B$2001,K1151)="",INDEX(Transaksi!$C$2:$C$2001,K1151)&amp;" · "&amp;INDEX(Transaksi!$D$2:$D$2001,K1151),INDEX(Transaksi!$B$2:$B$2001,K1151)),""))</f>
        <v/>
      </c>
      <c r="C1151" s="32">
        <f>IF(J1151="E",INDEX(Transaksi!$C$2:$C$2001,K1151)&amp;"","")</f>
        <v/>
      </c>
      <c r="D1151" s="32">
        <f>IF(J1151="E",INDEX(Transaksi!$D$2:$D$2001,K1151)&amp;"","")</f>
        <v/>
      </c>
      <c r="E1151" s="33">
        <f>IF(J1151="H",SUMIFS(Transaksi!$G$2:$G$2001,Transaksi!$M$2:$M$2001,"="&amp;S1151)+SUMIFS(Transaksi!$H$2:$H$2001,Transaksi!$M$2:$M$2001,"="&amp;S1151)+SUMIFS(Transaksi!$I$2:$I$2001,Transaksi!$M$2:$M$2001,"="&amp;S1151),IF(J1151="E",IF(INDEX(Transaksi!$G$2:$G$2001,K1151)+INDEX(Transaksi!$H$2:$H$2001,K1151)+INDEX(Transaksi!$I$2:$I$2001,K1151)=0,"",INDEX(Transaksi!$G$2:$G$2001,K1151)+INDEX(Transaksi!$H$2:$H$2001,K1151)+INDEX(Transaksi!$I$2:$I$2001,K1151)),""))</f>
        <v/>
      </c>
      <c r="F1151" s="33">
        <f>IF(J1151="H",SUMIFS(Transaksi!$J$2:$J$2001,Transaksi!$M$2:$M$2001,"="&amp;S1151),IF(J1151="E",IF(INDEX(Transaksi!$J$2:$J$2001,K1151)=0,"",INDEX(Transaksi!$J$2:$J$2001,K1151)),""))</f>
        <v/>
      </c>
      <c r="G1151" s="33">
        <f>IF(J1151="H",(SUMIFS(Transaksi!$G$2:$G$2001,Transaksi!$M$2:$M$2001,"&lt;="&amp;S1151)+SUMIFS(Transaksi!$H$2:$H$2001,Transaksi!$M$2:$M$2001,"&lt;="&amp;S1151)+SUMIFS(Transaksi!$I$2:$I$2001,Transaksi!$M$2:$M$2001,"&lt;="&amp;S1151))-(SUMIFS(Transaksi!$J$2:$J$2001,Transaksi!$M$2:$M$2001,"&lt;="&amp;S1151)),"")</f>
        <v/>
      </c>
      <c r="I1151">
        <f>IF(1148&gt;$O$2,"",MATCH(1148,$Q$3:$Q$402,1))</f>
        <v/>
      </c>
      <c r="J1151">
        <f>IF(I1151="","",IF(1148=INDEX($Q$3:$Q$402,I1151),"H","E"))</f>
        <v/>
      </c>
      <c r="K1151">
        <f>IF(J1151&lt;&gt;"E","",MATCH(S1151,Transaksi!$M$2:$M$2001,0)+1148-INDEX($Q$3:$Q$402,I1151)-1)</f>
        <v/>
      </c>
      <c r="S1151">
        <f>IF(I1151="","",INDEX($O$3:$O$402,I1151))</f>
        <v/>
      </c>
      <c r="T1151">
        <f>IF(J1151&lt;&gt;"H","",INDEX(Transaksi!$A$2:$A$2001,MATCH(S1151,Transaksi!$M$2:$M$2001,0)))</f>
        <v/>
      </c>
    </row>
    <row r="1152">
      <c r="A1152" s="31">
        <f>IF(J1152="E",IF(INDEX(Transaksi!$J$2:$J$2001,K1152)&gt;0,"↑","↓"),"")</f>
        <v/>
      </c>
      <c r="B1152" s="32">
        <f>IF(J1152="H",CHOOSE(WEEKDAY(T1152,2),"Isnin","Selasa","Rabu","Khamis","Jumaat","Sabtu","Ahad")&amp;", "&amp;DAY(T1152)&amp;" "&amp;CHOOSE(MONTH(T1152),"Jan","Feb","Mac","Apr","Mei","Jun","Jul","Ogo","Sep","Okt","Nov","Dis")&amp;" "&amp;YEAR(T1152),IF(J1152="E",IF(INDEX(Transaksi!$B$2:$B$2001,K1152)="",INDEX(Transaksi!$C$2:$C$2001,K1152)&amp;" · "&amp;INDEX(Transaksi!$D$2:$D$2001,K1152),INDEX(Transaksi!$B$2:$B$2001,K1152)),""))</f>
        <v/>
      </c>
      <c r="C1152" s="32">
        <f>IF(J1152="E",INDEX(Transaksi!$C$2:$C$2001,K1152)&amp;"","")</f>
        <v/>
      </c>
      <c r="D1152" s="32">
        <f>IF(J1152="E",INDEX(Transaksi!$D$2:$D$2001,K1152)&amp;"","")</f>
        <v/>
      </c>
      <c r="E1152" s="33">
        <f>IF(J1152="H",SUMIFS(Transaksi!$G$2:$G$2001,Transaksi!$M$2:$M$2001,"="&amp;S1152)+SUMIFS(Transaksi!$H$2:$H$2001,Transaksi!$M$2:$M$2001,"="&amp;S1152)+SUMIFS(Transaksi!$I$2:$I$2001,Transaksi!$M$2:$M$2001,"="&amp;S1152),IF(J1152="E",IF(INDEX(Transaksi!$G$2:$G$2001,K1152)+INDEX(Transaksi!$H$2:$H$2001,K1152)+INDEX(Transaksi!$I$2:$I$2001,K1152)=0,"",INDEX(Transaksi!$G$2:$G$2001,K1152)+INDEX(Transaksi!$H$2:$H$2001,K1152)+INDEX(Transaksi!$I$2:$I$2001,K1152)),""))</f>
        <v/>
      </c>
      <c r="F1152" s="33">
        <f>IF(J1152="H",SUMIFS(Transaksi!$J$2:$J$2001,Transaksi!$M$2:$M$2001,"="&amp;S1152),IF(J1152="E",IF(INDEX(Transaksi!$J$2:$J$2001,K1152)=0,"",INDEX(Transaksi!$J$2:$J$2001,K1152)),""))</f>
        <v/>
      </c>
      <c r="G1152" s="33">
        <f>IF(J1152="H",(SUMIFS(Transaksi!$G$2:$G$2001,Transaksi!$M$2:$M$2001,"&lt;="&amp;S1152)+SUMIFS(Transaksi!$H$2:$H$2001,Transaksi!$M$2:$M$2001,"&lt;="&amp;S1152)+SUMIFS(Transaksi!$I$2:$I$2001,Transaksi!$M$2:$M$2001,"&lt;="&amp;S1152))-(SUMIFS(Transaksi!$J$2:$J$2001,Transaksi!$M$2:$M$2001,"&lt;="&amp;S1152)),"")</f>
        <v/>
      </c>
      <c r="I1152">
        <f>IF(1149&gt;$O$2,"",MATCH(1149,$Q$3:$Q$402,1))</f>
        <v/>
      </c>
      <c r="J1152">
        <f>IF(I1152="","",IF(1149=INDEX($Q$3:$Q$402,I1152),"H","E"))</f>
        <v/>
      </c>
      <c r="K1152">
        <f>IF(J1152&lt;&gt;"E","",MATCH(S1152,Transaksi!$M$2:$M$2001,0)+1149-INDEX($Q$3:$Q$402,I1152)-1)</f>
        <v/>
      </c>
      <c r="S1152">
        <f>IF(I1152="","",INDEX($O$3:$O$402,I1152))</f>
        <v/>
      </c>
      <c r="T1152">
        <f>IF(J1152&lt;&gt;"H","",INDEX(Transaksi!$A$2:$A$2001,MATCH(S1152,Transaksi!$M$2:$M$2001,0)))</f>
        <v/>
      </c>
    </row>
    <row r="1153">
      <c r="A1153" s="31">
        <f>IF(J1153="E",IF(INDEX(Transaksi!$J$2:$J$2001,K1153)&gt;0,"↑","↓"),"")</f>
        <v/>
      </c>
      <c r="B1153" s="32">
        <f>IF(J1153="H",CHOOSE(WEEKDAY(T1153,2),"Isnin","Selasa","Rabu","Khamis","Jumaat","Sabtu","Ahad")&amp;", "&amp;DAY(T1153)&amp;" "&amp;CHOOSE(MONTH(T1153),"Jan","Feb","Mac","Apr","Mei","Jun","Jul","Ogo","Sep","Okt","Nov","Dis")&amp;" "&amp;YEAR(T1153),IF(J1153="E",IF(INDEX(Transaksi!$B$2:$B$2001,K1153)="",INDEX(Transaksi!$C$2:$C$2001,K1153)&amp;" · "&amp;INDEX(Transaksi!$D$2:$D$2001,K1153),INDEX(Transaksi!$B$2:$B$2001,K1153)),""))</f>
        <v/>
      </c>
      <c r="C1153" s="32">
        <f>IF(J1153="E",INDEX(Transaksi!$C$2:$C$2001,K1153)&amp;"","")</f>
        <v/>
      </c>
      <c r="D1153" s="32">
        <f>IF(J1153="E",INDEX(Transaksi!$D$2:$D$2001,K1153)&amp;"","")</f>
        <v/>
      </c>
      <c r="E1153" s="33">
        <f>IF(J1153="H",SUMIFS(Transaksi!$G$2:$G$2001,Transaksi!$M$2:$M$2001,"="&amp;S1153)+SUMIFS(Transaksi!$H$2:$H$2001,Transaksi!$M$2:$M$2001,"="&amp;S1153)+SUMIFS(Transaksi!$I$2:$I$2001,Transaksi!$M$2:$M$2001,"="&amp;S1153),IF(J1153="E",IF(INDEX(Transaksi!$G$2:$G$2001,K1153)+INDEX(Transaksi!$H$2:$H$2001,K1153)+INDEX(Transaksi!$I$2:$I$2001,K1153)=0,"",INDEX(Transaksi!$G$2:$G$2001,K1153)+INDEX(Transaksi!$H$2:$H$2001,K1153)+INDEX(Transaksi!$I$2:$I$2001,K1153)),""))</f>
        <v/>
      </c>
      <c r="F1153" s="33">
        <f>IF(J1153="H",SUMIFS(Transaksi!$J$2:$J$2001,Transaksi!$M$2:$M$2001,"="&amp;S1153),IF(J1153="E",IF(INDEX(Transaksi!$J$2:$J$2001,K1153)=0,"",INDEX(Transaksi!$J$2:$J$2001,K1153)),""))</f>
        <v/>
      </c>
      <c r="G1153" s="33">
        <f>IF(J1153="H",(SUMIFS(Transaksi!$G$2:$G$2001,Transaksi!$M$2:$M$2001,"&lt;="&amp;S1153)+SUMIFS(Transaksi!$H$2:$H$2001,Transaksi!$M$2:$M$2001,"&lt;="&amp;S1153)+SUMIFS(Transaksi!$I$2:$I$2001,Transaksi!$M$2:$M$2001,"&lt;="&amp;S1153))-(SUMIFS(Transaksi!$J$2:$J$2001,Transaksi!$M$2:$M$2001,"&lt;="&amp;S1153)),"")</f>
        <v/>
      </c>
      <c r="I1153">
        <f>IF(1150&gt;$O$2,"",MATCH(1150,$Q$3:$Q$402,1))</f>
        <v/>
      </c>
      <c r="J1153">
        <f>IF(I1153="","",IF(1150=INDEX($Q$3:$Q$402,I1153),"H","E"))</f>
        <v/>
      </c>
      <c r="K1153">
        <f>IF(J1153&lt;&gt;"E","",MATCH(S1153,Transaksi!$M$2:$M$2001,0)+1150-INDEX($Q$3:$Q$402,I1153)-1)</f>
        <v/>
      </c>
      <c r="S1153">
        <f>IF(I1153="","",INDEX($O$3:$O$402,I1153))</f>
        <v/>
      </c>
      <c r="T1153">
        <f>IF(J1153&lt;&gt;"H","",INDEX(Transaksi!$A$2:$A$2001,MATCH(S1153,Transaksi!$M$2:$M$2001,0)))</f>
        <v/>
      </c>
    </row>
    <row r="1154">
      <c r="A1154" s="31">
        <f>IF(J1154="E",IF(INDEX(Transaksi!$J$2:$J$2001,K1154)&gt;0,"↑","↓"),"")</f>
        <v/>
      </c>
      <c r="B1154" s="32">
        <f>IF(J1154="H",CHOOSE(WEEKDAY(T1154,2),"Isnin","Selasa","Rabu","Khamis","Jumaat","Sabtu","Ahad")&amp;", "&amp;DAY(T1154)&amp;" "&amp;CHOOSE(MONTH(T1154),"Jan","Feb","Mac","Apr","Mei","Jun","Jul","Ogo","Sep","Okt","Nov","Dis")&amp;" "&amp;YEAR(T1154),IF(J1154="E",IF(INDEX(Transaksi!$B$2:$B$2001,K1154)="",INDEX(Transaksi!$C$2:$C$2001,K1154)&amp;" · "&amp;INDEX(Transaksi!$D$2:$D$2001,K1154),INDEX(Transaksi!$B$2:$B$2001,K1154)),""))</f>
        <v/>
      </c>
      <c r="C1154" s="32">
        <f>IF(J1154="E",INDEX(Transaksi!$C$2:$C$2001,K1154)&amp;"","")</f>
        <v/>
      </c>
      <c r="D1154" s="32">
        <f>IF(J1154="E",INDEX(Transaksi!$D$2:$D$2001,K1154)&amp;"","")</f>
        <v/>
      </c>
      <c r="E1154" s="33">
        <f>IF(J1154="H",SUMIFS(Transaksi!$G$2:$G$2001,Transaksi!$M$2:$M$2001,"="&amp;S1154)+SUMIFS(Transaksi!$H$2:$H$2001,Transaksi!$M$2:$M$2001,"="&amp;S1154)+SUMIFS(Transaksi!$I$2:$I$2001,Transaksi!$M$2:$M$2001,"="&amp;S1154),IF(J1154="E",IF(INDEX(Transaksi!$G$2:$G$2001,K1154)+INDEX(Transaksi!$H$2:$H$2001,K1154)+INDEX(Transaksi!$I$2:$I$2001,K1154)=0,"",INDEX(Transaksi!$G$2:$G$2001,K1154)+INDEX(Transaksi!$H$2:$H$2001,K1154)+INDEX(Transaksi!$I$2:$I$2001,K1154)),""))</f>
        <v/>
      </c>
      <c r="F1154" s="33">
        <f>IF(J1154="H",SUMIFS(Transaksi!$J$2:$J$2001,Transaksi!$M$2:$M$2001,"="&amp;S1154),IF(J1154="E",IF(INDEX(Transaksi!$J$2:$J$2001,K1154)=0,"",INDEX(Transaksi!$J$2:$J$2001,K1154)),""))</f>
        <v/>
      </c>
      <c r="G1154" s="33">
        <f>IF(J1154="H",(SUMIFS(Transaksi!$G$2:$G$2001,Transaksi!$M$2:$M$2001,"&lt;="&amp;S1154)+SUMIFS(Transaksi!$H$2:$H$2001,Transaksi!$M$2:$M$2001,"&lt;="&amp;S1154)+SUMIFS(Transaksi!$I$2:$I$2001,Transaksi!$M$2:$M$2001,"&lt;="&amp;S1154))-(SUMIFS(Transaksi!$J$2:$J$2001,Transaksi!$M$2:$M$2001,"&lt;="&amp;S1154)),"")</f>
        <v/>
      </c>
      <c r="I1154">
        <f>IF(1151&gt;$O$2,"",MATCH(1151,$Q$3:$Q$402,1))</f>
        <v/>
      </c>
      <c r="J1154">
        <f>IF(I1154="","",IF(1151=INDEX($Q$3:$Q$402,I1154),"H","E"))</f>
        <v/>
      </c>
      <c r="K1154">
        <f>IF(J1154&lt;&gt;"E","",MATCH(S1154,Transaksi!$M$2:$M$2001,0)+1151-INDEX($Q$3:$Q$402,I1154)-1)</f>
        <v/>
      </c>
      <c r="S1154">
        <f>IF(I1154="","",INDEX($O$3:$O$402,I1154))</f>
        <v/>
      </c>
      <c r="T1154">
        <f>IF(J1154&lt;&gt;"H","",INDEX(Transaksi!$A$2:$A$2001,MATCH(S1154,Transaksi!$M$2:$M$2001,0)))</f>
        <v/>
      </c>
    </row>
    <row r="1155">
      <c r="A1155" s="31">
        <f>IF(J1155="E",IF(INDEX(Transaksi!$J$2:$J$2001,K1155)&gt;0,"↑","↓"),"")</f>
        <v/>
      </c>
      <c r="B1155" s="32">
        <f>IF(J1155="H",CHOOSE(WEEKDAY(T1155,2),"Isnin","Selasa","Rabu","Khamis","Jumaat","Sabtu","Ahad")&amp;", "&amp;DAY(T1155)&amp;" "&amp;CHOOSE(MONTH(T1155),"Jan","Feb","Mac","Apr","Mei","Jun","Jul","Ogo","Sep","Okt","Nov","Dis")&amp;" "&amp;YEAR(T1155),IF(J1155="E",IF(INDEX(Transaksi!$B$2:$B$2001,K1155)="",INDEX(Transaksi!$C$2:$C$2001,K1155)&amp;" · "&amp;INDEX(Transaksi!$D$2:$D$2001,K1155),INDEX(Transaksi!$B$2:$B$2001,K1155)),""))</f>
        <v/>
      </c>
      <c r="C1155" s="32">
        <f>IF(J1155="E",INDEX(Transaksi!$C$2:$C$2001,K1155)&amp;"","")</f>
        <v/>
      </c>
      <c r="D1155" s="32">
        <f>IF(J1155="E",INDEX(Transaksi!$D$2:$D$2001,K1155)&amp;"","")</f>
        <v/>
      </c>
      <c r="E1155" s="33">
        <f>IF(J1155="H",SUMIFS(Transaksi!$G$2:$G$2001,Transaksi!$M$2:$M$2001,"="&amp;S1155)+SUMIFS(Transaksi!$H$2:$H$2001,Transaksi!$M$2:$M$2001,"="&amp;S1155)+SUMIFS(Transaksi!$I$2:$I$2001,Transaksi!$M$2:$M$2001,"="&amp;S1155),IF(J1155="E",IF(INDEX(Transaksi!$G$2:$G$2001,K1155)+INDEX(Transaksi!$H$2:$H$2001,K1155)+INDEX(Transaksi!$I$2:$I$2001,K1155)=0,"",INDEX(Transaksi!$G$2:$G$2001,K1155)+INDEX(Transaksi!$H$2:$H$2001,K1155)+INDEX(Transaksi!$I$2:$I$2001,K1155)),""))</f>
        <v/>
      </c>
      <c r="F1155" s="33">
        <f>IF(J1155="H",SUMIFS(Transaksi!$J$2:$J$2001,Transaksi!$M$2:$M$2001,"="&amp;S1155),IF(J1155="E",IF(INDEX(Transaksi!$J$2:$J$2001,K1155)=0,"",INDEX(Transaksi!$J$2:$J$2001,K1155)),""))</f>
        <v/>
      </c>
      <c r="G1155" s="33">
        <f>IF(J1155="H",(SUMIFS(Transaksi!$G$2:$G$2001,Transaksi!$M$2:$M$2001,"&lt;="&amp;S1155)+SUMIFS(Transaksi!$H$2:$H$2001,Transaksi!$M$2:$M$2001,"&lt;="&amp;S1155)+SUMIFS(Transaksi!$I$2:$I$2001,Transaksi!$M$2:$M$2001,"&lt;="&amp;S1155))-(SUMIFS(Transaksi!$J$2:$J$2001,Transaksi!$M$2:$M$2001,"&lt;="&amp;S1155)),"")</f>
        <v/>
      </c>
      <c r="I1155">
        <f>IF(1152&gt;$O$2,"",MATCH(1152,$Q$3:$Q$402,1))</f>
        <v/>
      </c>
      <c r="J1155">
        <f>IF(I1155="","",IF(1152=INDEX($Q$3:$Q$402,I1155),"H","E"))</f>
        <v/>
      </c>
      <c r="K1155">
        <f>IF(J1155&lt;&gt;"E","",MATCH(S1155,Transaksi!$M$2:$M$2001,0)+1152-INDEX($Q$3:$Q$402,I1155)-1)</f>
        <v/>
      </c>
      <c r="S1155">
        <f>IF(I1155="","",INDEX($O$3:$O$402,I1155))</f>
        <v/>
      </c>
      <c r="T1155">
        <f>IF(J1155&lt;&gt;"H","",INDEX(Transaksi!$A$2:$A$2001,MATCH(S1155,Transaksi!$M$2:$M$2001,0)))</f>
        <v/>
      </c>
    </row>
    <row r="1156">
      <c r="A1156" s="31">
        <f>IF(J1156="E",IF(INDEX(Transaksi!$J$2:$J$2001,K1156)&gt;0,"↑","↓"),"")</f>
        <v/>
      </c>
      <c r="B1156" s="32">
        <f>IF(J1156="H",CHOOSE(WEEKDAY(T1156,2),"Isnin","Selasa","Rabu","Khamis","Jumaat","Sabtu","Ahad")&amp;", "&amp;DAY(T1156)&amp;" "&amp;CHOOSE(MONTH(T1156),"Jan","Feb","Mac","Apr","Mei","Jun","Jul","Ogo","Sep","Okt","Nov","Dis")&amp;" "&amp;YEAR(T1156),IF(J1156="E",IF(INDEX(Transaksi!$B$2:$B$2001,K1156)="",INDEX(Transaksi!$C$2:$C$2001,K1156)&amp;" · "&amp;INDEX(Transaksi!$D$2:$D$2001,K1156),INDEX(Transaksi!$B$2:$B$2001,K1156)),""))</f>
        <v/>
      </c>
      <c r="C1156" s="32">
        <f>IF(J1156="E",INDEX(Transaksi!$C$2:$C$2001,K1156)&amp;"","")</f>
        <v/>
      </c>
      <c r="D1156" s="32">
        <f>IF(J1156="E",INDEX(Transaksi!$D$2:$D$2001,K1156)&amp;"","")</f>
        <v/>
      </c>
      <c r="E1156" s="33">
        <f>IF(J1156="H",SUMIFS(Transaksi!$G$2:$G$2001,Transaksi!$M$2:$M$2001,"="&amp;S1156)+SUMIFS(Transaksi!$H$2:$H$2001,Transaksi!$M$2:$M$2001,"="&amp;S1156)+SUMIFS(Transaksi!$I$2:$I$2001,Transaksi!$M$2:$M$2001,"="&amp;S1156),IF(J1156="E",IF(INDEX(Transaksi!$G$2:$G$2001,K1156)+INDEX(Transaksi!$H$2:$H$2001,K1156)+INDEX(Transaksi!$I$2:$I$2001,K1156)=0,"",INDEX(Transaksi!$G$2:$G$2001,K1156)+INDEX(Transaksi!$H$2:$H$2001,K1156)+INDEX(Transaksi!$I$2:$I$2001,K1156)),""))</f>
        <v/>
      </c>
      <c r="F1156" s="33">
        <f>IF(J1156="H",SUMIFS(Transaksi!$J$2:$J$2001,Transaksi!$M$2:$M$2001,"="&amp;S1156),IF(J1156="E",IF(INDEX(Transaksi!$J$2:$J$2001,K1156)=0,"",INDEX(Transaksi!$J$2:$J$2001,K1156)),""))</f>
        <v/>
      </c>
      <c r="G1156" s="33">
        <f>IF(J1156="H",(SUMIFS(Transaksi!$G$2:$G$2001,Transaksi!$M$2:$M$2001,"&lt;="&amp;S1156)+SUMIFS(Transaksi!$H$2:$H$2001,Transaksi!$M$2:$M$2001,"&lt;="&amp;S1156)+SUMIFS(Transaksi!$I$2:$I$2001,Transaksi!$M$2:$M$2001,"&lt;="&amp;S1156))-(SUMIFS(Transaksi!$J$2:$J$2001,Transaksi!$M$2:$M$2001,"&lt;="&amp;S1156)),"")</f>
        <v/>
      </c>
      <c r="I1156">
        <f>IF(1153&gt;$O$2,"",MATCH(1153,$Q$3:$Q$402,1))</f>
        <v/>
      </c>
      <c r="J1156">
        <f>IF(I1156="","",IF(1153=INDEX($Q$3:$Q$402,I1156),"H","E"))</f>
        <v/>
      </c>
      <c r="K1156">
        <f>IF(J1156&lt;&gt;"E","",MATCH(S1156,Transaksi!$M$2:$M$2001,0)+1153-INDEX($Q$3:$Q$402,I1156)-1)</f>
        <v/>
      </c>
      <c r="S1156">
        <f>IF(I1156="","",INDEX($O$3:$O$402,I1156))</f>
        <v/>
      </c>
      <c r="T1156">
        <f>IF(J1156&lt;&gt;"H","",INDEX(Transaksi!$A$2:$A$2001,MATCH(S1156,Transaksi!$M$2:$M$2001,0)))</f>
        <v/>
      </c>
    </row>
    <row r="1157">
      <c r="A1157" s="31">
        <f>IF(J1157="E",IF(INDEX(Transaksi!$J$2:$J$2001,K1157)&gt;0,"↑","↓"),"")</f>
        <v/>
      </c>
      <c r="B1157" s="32">
        <f>IF(J1157="H",CHOOSE(WEEKDAY(T1157,2),"Isnin","Selasa","Rabu","Khamis","Jumaat","Sabtu","Ahad")&amp;", "&amp;DAY(T1157)&amp;" "&amp;CHOOSE(MONTH(T1157),"Jan","Feb","Mac","Apr","Mei","Jun","Jul","Ogo","Sep","Okt","Nov","Dis")&amp;" "&amp;YEAR(T1157),IF(J1157="E",IF(INDEX(Transaksi!$B$2:$B$2001,K1157)="",INDEX(Transaksi!$C$2:$C$2001,K1157)&amp;" · "&amp;INDEX(Transaksi!$D$2:$D$2001,K1157),INDEX(Transaksi!$B$2:$B$2001,K1157)),""))</f>
        <v/>
      </c>
      <c r="C1157" s="32">
        <f>IF(J1157="E",INDEX(Transaksi!$C$2:$C$2001,K1157)&amp;"","")</f>
        <v/>
      </c>
      <c r="D1157" s="32">
        <f>IF(J1157="E",INDEX(Transaksi!$D$2:$D$2001,K1157)&amp;"","")</f>
        <v/>
      </c>
      <c r="E1157" s="33">
        <f>IF(J1157="H",SUMIFS(Transaksi!$G$2:$G$2001,Transaksi!$M$2:$M$2001,"="&amp;S1157)+SUMIFS(Transaksi!$H$2:$H$2001,Transaksi!$M$2:$M$2001,"="&amp;S1157)+SUMIFS(Transaksi!$I$2:$I$2001,Transaksi!$M$2:$M$2001,"="&amp;S1157),IF(J1157="E",IF(INDEX(Transaksi!$G$2:$G$2001,K1157)+INDEX(Transaksi!$H$2:$H$2001,K1157)+INDEX(Transaksi!$I$2:$I$2001,K1157)=0,"",INDEX(Transaksi!$G$2:$G$2001,K1157)+INDEX(Transaksi!$H$2:$H$2001,K1157)+INDEX(Transaksi!$I$2:$I$2001,K1157)),""))</f>
        <v/>
      </c>
      <c r="F1157" s="33">
        <f>IF(J1157="H",SUMIFS(Transaksi!$J$2:$J$2001,Transaksi!$M$2:$M$2001,"="&amp;S1157),IF(J1157="E",IF(INDEX(Transaksi!$J$2:$J$2001,K1157)=0,"",INDEX(Transaksi!$J$2:$J$2001,K1157)),""))</f>
        <v/>
      </c>
      <c r="G1157" s="33">
        <f>IF(J1157="H",(SUMIFS(Transaksi!$G$2:$G$2001,Transaksi!$M$2:$M$2001,"&lt;="&amp;S1157)+SUMIFS(Transaksi!$H$2:$H$2001,Transaksi!$M$2:$M$2001,"&lt;="&amp;S1157)+SUMIFS(Transaksi!$I$2:$I$2001,Transaksi!$M$2:$M$2001,"&lt;="&amp;S1157))-(SUMIFS(Transaksi!$J$2:$J$2001,Transaksi!$M$2:$M$2001,"&lt;="&amp;S1157)),"")</f>
        <v/>
      </c>
      <c r="I1157">
        <f>IF(1154&gt;$O$2,"",MATCH(1154,$Q$3:$Q$402,1))</f>
        <v/>
      </c>
      <c r="J1157">
        <f>IF(I1157="","",IF(1154=INDEX($Q$3:$Q$402,I1157),"H","E"))</f>
        <v/>
      </c>
      <c r="K1157">
        <f>IF(J1157&lt;&gt;"E","",MATCH(S1157,Transaksi!$M$2:$M$2001,0)+1154-INDEX($Q$3:$Q$402,I1157)-1)</f>
        <v/>
      </c>
      <c r="S1157">
        <f>IF(I1157="","",INDEX($O$3:$O$402,I1157))</f>
        <v/>
      </c>
      <c r="T1157">
        <f>IF(J1157&lt;&gt;"H","",INDEX(Transaksi!$A$2:$A$2001,MATCH(S1157,Transaksi!$M$2:$M$2001,0)))</f>
        <v/>
      </c>
    </row>
    <row r="1158">
      <c r="A1158" s="31">
        <f>IF(J1158="E",IF(INDEX(Transaksi!$J$2:$J$2001,K1158)&gt;0,"↑","↓"),"")</f>
        <v/>
      </c>
      <c r="B1158" s="32">
        <f>IF(J1158="H",CHOOSE(WEEKDAY(T1158,2),"Isnin","Selasa","Rabu","Khamis","Jumaat","Sabtu","Ahad")&amp;", "&amp;DAY(T1158)&amp;" "&amp;CHOOSE(MONTH(T1158),"Jan","Feb","Mac","Apr","Mei","Jun","Jul","Ogo","Sep","Okt","Nov","Dis")&amp;" "&amp;YEAR(T1158),IF(J1158="E",IF(INDEX(Transaksi!$B$2:$B$2001,K1158)="",INDEX(Transaksi!$C$2:$C$2001,K1158)&amp;" · "&amp;INDEX(Transaksi!$D$2:$D$2001,K1158),INDEX(Transaksi!$B$2:$B$2001,K1158)),""))</f>
        <v/>
      </c>
      <c r="C1158" s="32">
        <f>IF(J1158="E",INDEX(Transaksi!$C$2:$C$2001,K1158)&amp;"","")</f>
        <v/>
      </c>
      <c r="D1158" s="32">
        <f>IF(J1158="E",INDEX(Transaksi!$D$2:$D$2001,K1158)&amp;"","")</f>
        <v/>
      </c>
      <c r="E1158" s="33">
        <f>IF(J1158="H",SUMIFS(Transaksi!$G$2:$G$2001,Transaksi!$M$2:$M$2001,"="&amp;S1158)+SUMIFS(Transaksi!$H$2:$H$2001,Transaksi!$M$2:$M$2001,"="&amp;S1158)+SUMIFS(Transaksi!$I$2:$I$2001,Transaksi!$M$2:$M$2001,"="&amp;S1158),IF(J1158="E",IF(INDEX(Transaksi!$G$2:$G$2001,K1158)+INDEX(Transaksi!$H$2:$H$2001,K1158)+INDEX(Transaksi!$I$2:$I$2001,K1158)=0,"",INDEX(Transaksi!$G$2:$G$2001,K1158)+INDEX(Transaksi!$H$2:$H$2001,K1158)+INDEX(Transaksi!$I$2:$I$2001,K1158)),""))</f>
        <v/>
      </c>
      <c r="F1158" s="33">
        <f>IF(J1158="H",SUMIFS(Transaksi!$J$2:$J$2001,Transaksi!$M$2:$M$2001,"="&amp;S1158),IF(J1158="E",IF(INDEX(Transaksi!$J$2:$J$2001,K1158)=0,"",INDEX(Transaksi!$J$2:$J$2001,K1158)),""))</f>
        <v/>
      </c>
      <c r="G1158" s="33">
        <f>IF(J1158="H",(SUMIFS(Transaksi!$G$2:$G$2001,Transaksi!$M$2:$M$2001,"&lt;="&amp;S1158)+SUMIFS(Transaksi!$H$2:$H$2001,Transaksi!$M$2:$M$2001,"&lt;="&amp;S1158)+SUMIFS(Transaksi!$I$2:$I$2001,Transaksi!$M$2:$M$2001,"&lt;="&amp;S1158))-(SUMIFS(Transaksi!$J$2:$J$2001,Transaksi!$M$2:$M$2001,"&lt;="&amp;S1158)),"")</f>
        <v/>
      </c>
      <c r="I1158">
        <f>IF(1155&gt;$O$2,"",MATCH(1155,$Q$3:$Q$402,1))</f>
        <v/>
      </c>
      <c r="J1158">
        <f>IF(I1158="","",IF(1155=INDEX($Q$3:$Q$402,I1158),"H","E"))</f>
        <v/>
      </c>
      <c r="K1158">
        <f>IF(J1158&lt;&gt;"E","",MATCH(S1158,Transaksi!$M$2:$M$2001,0)+1155-INDEX($Q$3:$Q$402,I1158)-1)</f>
        <v/>
      </c>
      <c r="S1158">
        <f>IF(I1158="","",INDEX($O$3:$O$402,I1158))</f>
        <v/>
      </c>
      <c r="T1158">
        <f>IF(J1158&lt;&gt;"H","",INDEX(Transaksi!$A$2:$A$2001,MATCH(S1158,Transaksi!$M$2:$M$2001,0)))</f>
        <v/>
      </c>
    </row>
    <row r="1159">
      <c r="A1159" s="31">
        <f>IF(J1159="E",IF(INDEX(Transaksi!$J$2:$J$2001,K1159)&gt;0,"↑","↓"),"")</f>
        <v/>
      </c>
      <c r="B1159" s="32">
        <f>IF(J1159="H",CHOOSE(WEEKDAY(T1159,2),"Isnin","Selasa","Rabu","Khamis","Jumaat","Sabtu","Ahad")&amp;", "&amp;DAY(T1159)&amp;" "&amp;CHOOSE(MONTH(T1159),"Jan","Feb","Mac","Apr","Mei","Jun","Jul","Ogo","Sep","Okt","Nov","Dis")&amp;" "&amp;YEAR(T1159),IF(J1159="E",IF(INDEX(Transaksi!$B$2:$B$2001,K1159)="",INDEX(Transaksi!$C$2:$C$2001,K1159)&amp;" · "&amp;INDEX(Transaksi!$D$2:$D$2001,K1159),INDEX(Transaksi!$B$2:$B$2001,K1159)),""))</f>
        <v/>
      </c>
      <c r="C1159" s="32">
        <f>IF(J1159="E",INDEX(Transaksi!$C$2:$C$2001,K1159)&amp;"","")</f>
        <v/>
      </c>
      <c r="D1159" s="32">
        <f>IF(J1159="E",INDEX(Transaksi!$D$2:$D$2001,K1159)&amp;"","")</f>
        <v/>
      </c>
      <c r="E1159" s="33">
        <f>IF(J1159="H",SUMIFS(Transaksi!$G$2:$G$2001,Transaksi!$M$2:$M$2001,"="&amp;S1159)+SUMIFS(Transaksi!$H$2:$H$2001,Transaksi!$M$2:$M$2001,"="&amp;S1159)+SUMIFS(Transaksi!$I$2:$I$2001,Transaksi!$M$2:$M$2001,"="&amp;S1159),IF(J1159="E",IF(INDEX(Transaksi!$G$2:$G$2001,K1159)+INDEX(Transaksi!$H$2:$H$2001,K1159)+INDEX(Transaksi!$I$2:$I$2001,K1159)=0,"",INDEX(Transaksi!$G$2:$G$2001,K1159)+INDEX(Transaksi!$H$2:$H$2001,K1159)+INDEX(Transaksi!$I$2:$I$2001,K1159)),""))</f>
        <v/>
      </c>
      <c r="F1159" s="33">
        <f>IF(J1159="H",SUMIFS(Transaksi!$J$2:$J$2001,Transaksi!$M$2:$M$2001,"="&amp;S1159),IF(J1159="E",IF(INDEX(Transaksi!$J$2:$J$2001,K1159)=0,"",INDEX(Transaksi!$J$2:$J$2001,K1159)),""))</f>
        <v/>
      </c>
      <c r="G1159" s="33">
        <f>IF(J1159="H",(SUMIFS(Transaksi!$G$2:$G$2001,Transaksi!$M$2:$M$2001,"&lt;="&amp;S1159)+SUMIFS(Transaksi!$H$2:$H$2001,Transaksi!$M$2:$M$2001,"&lt;="&amp;S1159)+SUMIFS(Transaksi!$I$2:$I$2001,Transaksi!$M$2:$M$2001,"&lt;="&amp;S1159))-(SUMIFS(Transaksi!$J$2:$J$2001,Transaksi!$M$2:$M$2001,"&lt;="&amp;S1159)),"")</f>
        <v/>
      </c>
      <c r="I1159">
        <f>IF(1156&gt;$O$2,"",MATCH(1156,$Q$3:$Q$402,1))</f>
        <v/>
      </c>
      <c r="J1159">
        <f>IF(I1159="","",IF(1156=INDEX($Q$3:$Q$402,I1159),"H","E"))</f>
        <v/>
      </c>
      <c r="K1159">
        <f>IF(J1159&lt;&gt;"E","",MATCH(S1159,Transaksi!$M$2:$M$2001,0)+1156-INDEX($Q$3:$Q$402,I1159)-1)</f>
        <v/>
      </c>
      <c r="S1159">
        <f>IF(I1159="","",INDEX($O$3:$O$402,I1159))</f>
        <v/>
      </c>
      <c r="T1159">
        <f>IF(J1159&lt;&gt;"H","",INDEX(Transaksi!$A$2:$A$2001,MATCH(S1159,Transaksi!$M$2:$M$2001,0)))</f>
        <v/>
      </c>
    </row>
    <row r="1160">
      <c r="A1160" s="31">
        <f>IF(J1160="E",IF(INDEX(Transaksi!$J$2:$J$2001,K1160)&gt;0,"↑","↓"),"")</f>
        <v/>
      </c>
      <c r="B1160" s="32">
        <f>IF(J1160="H",CHOOSE(WEEKDAY(T1160,2),"Isnin","Selasa","Rabu","Khamis","Jumaat","Sabtu","Ahad")&amp;", "&amp;DAY(T1160)&amp;" "&amp;CHOOSE(MONTH(T1160),"Jan","Feb","Mac","Apr","Mei","Jun","Jul","Ogo","Sep","Okt","Nov","Dis")&amp;" "&amp;YEAR(T1160),IF(J1160="E",IF(INDEX(Transaksi!$B$2:$B$2001,K1160)="",INDEX(Transaksi!$C$2:$C$2001,K1160)&amp;" · "&amp;INDEX(Transaksi!$D$2:$D$2001,K1160),INDEX(Transaksi!$B$2:$B$2001,K1160)),""))</f>
        <v/>
      </c>
      <c r="C1160" s="32">
        <f>IF(J1160="E",INDEX(Transaksi!$C$2:$C$2001,K1160)&amp;"","")</f>
        <v/>
      </c>
      <c r="D1160" s="32">
        <f>IF(J1160="E",INDEX(Transaksi!$D$2:$D$2001,K1160)&amp;"","")</f>
        <v/>
      </c>
      <c r="E1160" s="33">
        <f>IF(J1160="H",SUMIFS(Transaksi!$G$2:$G$2001,Transaksi!$M$2:$M$2001,"="&amp;S1160)+SUMIFS(Transaksi!$H$2:$H$2001,Transaksi!$M$2:$M$2001,"="&amp;S1160)+SUMIFS(Transaksi!$I$2:$I$2001,Transaksi!$M$2:$M$2001,"="&amp;S1160),IF(J1160="E",IF(INDEX(Transaksi!$G$2:$G$2001,K1160)+INDEX(Transaksi!$H$2:$H$2001,K1160)+INDEX(Transaksi!$I$2:$I$2001,K1160)=0,"",INDEX(Transaksi!$G$2:$G$2001,K1160)+INDEX(Transaksi!$H$2:$H$2001,K1160)+INDEX(Transaksi!$I$2:$I$2001,K1160)),""))</f>
        <v/>
      </c>
      <c r="F1160" s="33">
        <f>IF(J1160="H",SUMIFS(Transaksi!$J$2:$J$2001,Transaksi!$M$2:$M$2001,"="&amp;S1160),IF(J1160="E",IF(INDEX(Transaksi!$J$2:$J$2001,K1160)=0,"",INDEX(Transaksi!$J$2:$J$2001,K1160)),""))</f>
        <v/>
      </c>
      <c r="G1160" s="33">
        <f>IF(J1160="H",(SUMIFS(Transaksi!$G$2:$G$2001,Transaksi!$M$2:$M$2001,"&lt;="&amp;S1160)+SUMIFS(Transaksi!$H$2:$H$2001,Transaksi!$M$2:$M$2001,"&lt;="&amp;S1160)+SUMIFS(Transaksi!$I$2:$I$2001,Transaksi!$M$2:$M$2001,"&lt;="&amp;S1160))-(SUMIFS(Transaksi!$J$2:$J$2001,Transaksi!$M$2:$M$2001,"&lt;="&amp;S1160)),"")</f>
        <v/>
      </c>
      <c r="I1160">
        <f>IF(1157&gt;$O$2,"",MATCH(1157,$Q$3:$Q$402,1))</f>
        <v/>
      </c>
      <c r="J1160">
        <f>IF(I1160="","",IF(1157=INDEX($Q$3:$Q$402,I1160),"H","E"))</f>
        <v/>
      </c>
      <c r="K1160">
        <f>IF(J1160&lt;&gt;"E","",MATCH(S1160,Transaksi!$M$2:$M$2001,0)+1157-INDEX($Q$3:$Q$402,I1160)-1)</f>
        <v/>
      </c>
      <c r="S1160">
        <f>IF(I1160="","",INDEX($O$3:$O$402,I1160))</f>
        <v/>
      </c>
      <c r="T1160">
        <f>IF(J1160&lt;&gt;"H","",INDEX(Transaksi!$A$2:$A$2001,MATCH(S1160,Transaksi!$M$2:$M$2001,0)))</f>
        <v/>
      </c>
    </row>
    <row r="1161">
      <c r="A1161" s="31">
        <f>IF(J1161="E",IF(INDEX(Transaksi!$J$2:$J$2001,K1161)&gt;0,"↑","↓"),"")</f>
        <v/>
      </c>
      <c r="B1161" s="32">
        <f>IF(J1161="H",CHOOSE(WEEKDAY(T1161,2),"Isnin","Selasa","Rabu","Khamis","Jumaat","Sabtu","Ahad")&amp;", "&amp;DAY(T1161)&amp;" "&amp;CHOOSE(MONTH(T1161),"Jan","Feb","Mac","Apr","Mei","Jun","Jul","Ogo","Sep","Okt","Nov","Dis")&amp;" "&amp;YEAR(T1161),IF(J1161="E",IF(INDEX(Transaksi!$B$2:$B$2001,K1161)="",INDEX(Transaksi!$C$2:$C$2001,K1161)&amp;" · "&amp;INDEX(Transaksi!$D$2:$D$2001,K1161),INDEX(Transaksi!$B$2:$B$2001,K1161)),""))</f>
        <v/>
      </c>
      <c r="C1161" s="32">
        <f>IF(J1161="E",INDEX(Transaksi!$C$2:$C$2001,K1161)&amp;"","")</f>
        <v/>
      </c>
      <c r="D1161" s="32">
        <f>IF(J1161="E",INDEX(Transaksi!$D$2:$D$2001,K1161)&amp;"","")</f>
        <v/>
      </c>
      <c r="E1161" s="33">
        <f>IF(J1161="H",SUMIFS(Transaksi!$G$2:$G$2001,Transaksi!$M$2:$M$2001,"="&amp;S1161)+SUMIFS(Transaksi!$H$2:$H$2001,Transaksi!$M$2:$M$2001,"="&amp;S1161)+SUMIFS(Transaksi!$I$2:$I$2001,Transaksi!$M$2:$M$2001,"="&amp;S1161),IF(J1161="E",IF(INDEX(Transaksi!$G$2:$G$2001,K1161)+INDEX(Transaksi!$H$2:$H$2001,K1161)+INDEX(Transaksi!$I$2:$I$2001,K1161)=0,"",INDEX(Transaksi!$G$2:$G$2001,K1161)+INDEX(Transaksi!$H$2:$H$2001,K1161)+INDEX(Transaksi!$I$2:$I$2001,K1161)),""))</f>
        <v/>
      </c>
      <c r="F1161" s="33">
        <f>IF(J1161="H",SUMIFS(Transaksi!$J$2:$J$2001,Transaksi!$M$2:$M$2001,"="&amp;S1161),IF(J1161="E",IF(INDEX(Transaksi!$J$2:$J$2001,K1161)=0,"",INDEX(Transaksi!$J$2:$J$2001,K1161)),""))</f>
        <v/>
      </c>
      <c r="G1161" s="33">
        <f>IF(J1161="H",(SUMIFS(Transaksi!$G$2:$G$2001,Transaksi!$M$2:$M$2001,"&lt;="&amp;S1161)+SUMIFS(Transaksi!$H$2:$H$2001,Transaksi!$M$2:$M$2001,"&lt;="&amp;S1161)+SUMIFS(Transaksi!$I$2:$I$2001,Transaksi!$M$2:$M$2001,"&lt;="&amp;S1161))-(SUMIFS(Transaksi!$J$2:$J$2001,Transaksi!$M$2:$M$2001,"&lt;="&amp;S1161)),"")</f>
        <v/>
      </c>
      <c r="I1161">
        <f>IF(1158&gt;$O$2,"",MATCH(1158,$Q$3:$Q$402,1))</f>
        <v/>
      </c>
      <c r="J1161">
        <f>IF(I1161="","",IF(1158=INDEX($Q$3:$Q$402,I1161),"H","E"))</f>
        <v/>
      </c>
      <c r="K1161">
        <f>IF(J1161&lt;&gt;"E","",MATCH(S1161,Transaksi!$M$2:$M$2001,0)+1158-INDEX($Q$3:$Q$402,I1161)-1)</f>
        <v/>
      </c>
      <c r="S1161">
        <f>IF(I1161="","",INDEX($O$3:$O$402,I1161))</f>
        <v/>
      </c>
      <c r="T1161">
        <f>IF(J1161&lt;&gt;"H","",INDEX(Transaksi!$A$2:$A$2001,MATCH(S1161,Transaksi!$M$2:$M$2001,0)))</f>
        <v/>
      </c>
    </row>
    <row r="1162">
      <c r="A1162" s="31">
        <f>IF(J1162="E",IF(INDEX(Transaksi!$J$2:$J$2001,K1162)&gt;0,"↑","↓"),"")</f>
        <v/>
      </c>
      <c r="B1162" s="32">
        <f>IF(J1162="H",CHOOSE(WEEKDAY(T1162,2),"Isnin","Selasa","Rabu","Khamis","Jumaat","Sabtu","Ahad")&amp;", "&amp;DAY(T1162)&amp;" "&amp;CHOOSE(MONTH(T1162),"Jan","Feb","Mac","Apr","Mei","Jun","Jul","Ogo","Sep","Okt","Nov","Dis")&amp;" "&amp;YEAR(T1162),IF(J1162="E",IF(INDEX(Transaksi!$B$2:$B$2001,K1162)="",INDEX(Transaksi!$C$2:$C$2001,K1162)&amp;" · "&amp;INDEX(Transaksi!$D$2:$D$2001,K1162),INDEX(Transaksi!$B$2:$B$2001,K1162)),""))</f>
        <v/>
      </c>
      <c r="C1162" s="32">
        <f>IF(J1162="E",INDEX(Transaksi!$C$2:$C$2001,K1162)&amp;"","")</f>
        <v/>
      </c>
      <c r="D1162" s="32">
        <f>IF(J1162="E",INDEX(Transaksi!$D$2:$D$2001,K1162)&amp;"","")</f>
        <v/>
      </c>
      <c r="E1162" s="33">
        <f>IF(J1162="H",SUMIFS(Transaksi!$G$2:$G$2001,Transaksi!$M$2:$M$2001,"="&amp;S1162)+SUMIFS(Transaksi!$H$2:$H$2001,Transaksi!$M$2:$M$2001,"="&amp;S1162)+SUMIFS(Transaksi!$I$2:$I$2001,Transaksi!$M$2:$M$2001,"="&amp;S1162),IF(J1162="E",IF(INDEX(Transaksi!$G$2:$G$2001,K1162)+INDEX(Transaksi!$H$2:$H$2001,K1162)+INDEX(Transaksi!$I$2:$I$2001,K1162)=0,"",INDEX(Transaksi!$G$2:$G$2001,K1162)+INDEX(Transaksi!$H$2:$H$2001,K1162)+INDEX(Transaksi!$I$2:$I$2001,K1162)),""))</f>
        <v/>
      </c>
      <c r="F1162" s="33">
        <f>IF(J1162="H",SUMIFS(Transaksi!$J$2:$J$2001,Transaksi!$M$2:$M$2001,"="&amp;S1162),IF(J1162="E",IF(INDEX(Transaksi!$J$2:$J$2001,K1162)=0,"",INDEX(Transaksi!$J$2:$J$2001,K1162)),""))</f>
        <v/>
      </c>
      <c r="G1162" s="33">
        <f>IF(J1162="H",(SUMIFS(Transaksi!$G$2:$G$2001,Transaksi!$M$2:$M$2001,"&lt;="&amp;S1162)+SUMIFS(Transaksi!$H$2:$H$2001,Transaksi!$M$2:$M$2001,"&lt;="&amp;S1162)+SUMIFS(Transaksi!$I$2:$I$2001,Transaksi!$M$2:$M$2001,"&lt;="&amp;S1162))-(SUMIFS(Transaksi!$J$2:$J$2001,Transaksi!$M$2:$M$2001,"&lt;="&amp;S1162)),"")</f>
        <v/>
      </c>
      <c r="I1162">
        <f>IF(1159&gt;$O$2,"",MATCH(1159,$Q$3:$Q$402,1))</f>
        <v/>
      </c>
      <c r="J1162">
        <f>IF(I1162="","",IF(1159=INDEX($Q$3:$Q$402,I1162),"H","E"))</f>
        <v/>
      </c>
      <c r="K1162">
        <f>IF(J1162&lt;&gt;"E","",MATCH(S1162,Transaksi!$M$2:$M$2001,0)+1159-INDEX($Q$3:$Q$402,I1162)-1)</f>
        <v/>
      </c>
      <c r="S1162">
        <f>IF(I1162="","",INDEX($O$3:$O$402,I1162))</f>
        <v/>
      </c>
      <c r="T1162">
        <f>IF(J1162&lt;&gt;"H","",INDEX(Transaksi!$A$2:$A$2001,MATCH(S1162,Transaksi!$M$2:$M$2001,0)))</f>
        <v/>
      </c>
    </row>
    <row r="1163">
      <c r="A1163" s="31">
        <f>IF(J1163="E",IF(INDEX(Transaksi!$J$2:$J$2001,K1163)&gt;0,"↑","↓"),"")</f>
        <v/>
      </c>
      <c r="B1163" s="32">
        <f>IF(J1163="H",CHOOSE(WEEKDAY(T1163,2),"Isnin","Selasa","Rabu","Khamis","Jumaat","Sabtu","Ahad")&amp;", "&amp;DAY(T1163)&amp;" "&amp;CHOOSE(MONTH(T1163),"Jan","Feb","Mac","Apr","Mei","Jun","Jul","Ogo","Sep","Okt","Nov","Dis")&amp;" "&amp;YEAR(T1163),IF(J1163="E",IF(INDEX(Transaksi!$B$2:$B$2001,K1163)="",INDEX(Transaksi!$C$2:$C$2001,K1163)&amp;" · "&amp;INDEX(Transaksi!$D$2:$D$2001,K1163),INDEX(Transaksi!$B$2:$B$2001,K1163)),""))</f>
        <v/>
      </c>
      <c r="C1163" s="32">
        <f>IF(J1163="E",INDEX(Transaksi!$C$2:$C$2001,K1163)&amp;"","")</f>
        <v/>
      </c>
      <c r="D1163" s="32">
        <f>IF(J1163="E",INDEX(Transaksi!$D$2:$D$2001,K1163)&amp;"","")</f>
        <v/>
      </c>
      <c r="E1163" s="33">
        <f>IF(J1163="H",SUMIFS(Transaksi!$G$2:$G$2001,Transaksi!$M$2:$M$2001,"="&amp;S1163)+SUMIFS(Transaksi!$H$2:$H$2001,Transaksi!$M$2:$M$2001,"="&amp;S1163)+SUMIFS(Transaksi!$I$2:$I$2001,Transaksi!$M$2:$M$2001,"="&amp;S1163),IF(J1163="E",IF(INDEX(Transaksi!$G$2:$G$2001,K1163)+INDEX(Transaksi!$H$2:$H$2001,K1163)+INDEX(Transaksi!$I$2:$I$2001,K1163)=0,"",INDEX(Transaksi!$G$2:$G$2001,K1163)+INDEX(Transaksi!$H$2:$H$2001,K1163)+INDEX(Transaksi!$I$2:$I$2001,K1163)),""))</f>
        <v/>
      </c>
      <c r="F1163" s="33">
        <f>IF(J1163="H",SUMIFS(Transaksi!$J$2:$J$2001,Transaksi!$M$2:$M$2001,"="&amp;S1163),IF(J1163="E",IF(INDEX(Transaksi!$J$2:$J$2001,K1163)=0,"",INDEX(Transaksi!$J$2:$J$2001,K1163)),""))</f>
        <v/>
      </c>
      <c r="G1163" s="33">
        <f>IF(J1163="H",(SUMIFS(Transaksi!$G$2:$G$2001,Transaksi!$M$2:$M$2001,"&lt;="&amp;S1163)+SUMIFS(Transaksi!$H$2:$H$2001,Transaksi!$M$2:$M$2001,"&lt;="&amp;S1163)+SUMIFS(Transaksi!$I$2:$I$2001,Transaksi!$M$2:$M$2001,"&lt;="&amp;S1163))-(SUMIFS(Transaksi!$J$2:$J$2001,Transaksi!$M$2:$M$2001,"&lt;="&amp;S1163)),"")</f>
        <v/>
      </c>
      <c r="I1163">
        <f>IF(1160&gt;$O$2,"",MATCH(1160,$Q$3:$Q$402,1))</f>
        <v/>
      </c>
      <c r="J1163">
        <f>IF(I1163="","",IF(1160=INDEX($Q$3:$Q$402,I1163),"H","E"))</f>
        <v/>
      </c>
      <c r="K1163">
        <f>IF(J1163&lt;&gt;"E","",MATCH(S1163,Transaksi!$M$2:$M$2001,0)+1160-INDEX($Q$3:$Q$402,I1163)-1)</f>
        <v/>
      </c>
      <c r="S1163">
        <f>IF(I1163="","",INDEX($O$3:$O$402,I1163))</f>
        <v/>
      </c>
      <c r="T1163">
        <f>IF(J1163&lt;&gt;"H","",INDEX(Transaksi!$A$2:$A$2001,MATCH(S1163,Transaksi!$M$2:$M$2001,0)))</f>
        <v/>
      </c>
    </row>
    <row r="1164">
      <c r="A1164" s="31">
        <f>IF(J1164="E",IF(INDEX(Transaksi!$J$2:$J$2001,K1164)&gt;0,"↑","↓"),"")</f>
        <v/>
      </c>
      <c r="B1164" s="32">
        <f>IF(J1164="H",CHOOSE(WEEKDAY(T1164,2),"Isnin","Selasa","Rabu","Khamis","Jumaat","Sabtu","Ahad")&amp;", "&amp;DAY(T1164)&amp;" "&amp;CHOOSE(MONTH(T1164),"Jan","Feb","Mac","Apr","Mei","Jun","Jul","Ogo","Sep","Okt","Nov","Dis")&amp;" "&amp;YEAR(T1164),IF(J1164="E",IF(INDEX(Transaksi!$B$2:$B$2001,K1164)="",INDEX(Transaksi!$C$2:$C$2001,K1164)&amp;" · "&amp;INDEX(Transaksi!$D$2:$D$2001,K1164),INDEX(Transaksi!$B$2:$B$2001,K1164)),""))</f>
        <v/>
      </c>
      <c r="C1164" s="32">
        <f>IF(J1164="E",INDEX(Transaksi!$C$2:$C$2001,K1164)&amp;"","")</f>
        <v/>
      </c>
      <c r="D1164" s="32">
        <f>IF(J1164="E",INDEX(Transaksi!$D$2:$D$2001,K1164)&amp;"","")</f>
        <v/>
      </c>
      <c r="E1164" s="33">
        <f>IF(J1164="H",SUMIFS(Transaksi!$G$2:$G$2001,Transaksi!$M$2:$M$2001,"="&amp;S1164)+SUMIFS(Transaksi!$H$2:$H$2001,Transaksi!$M$2:$M$2001,"="&amp;S1164)+SUMIFS(Transaksi!$I$2:$I$2001,Transaksi!$M$2:$M$2001,"="&amp;S1164),IF(J1164="E",IF(INDEX(Transaksi!$G$2:$G$2001,K1164)+INDEX(Transaksi!$H$2:$H$2001,K1164)+INDEX(Transaksi!$I$2:$I$2001,K1164)=0,"",INDEX(Transaksi!$G$2:$G$2001,K1164)+INDEX(Transaksi!$H$2:$H$2001,K1164)+INDEX(Transaksi!$I$2:$I$2001,K1164)),""))</f>
        <v/>
      </c>
      <c r="F1164" s="33">
        <f>IF(J1164="H",SUMIFS(Transaksi!$J$2:$J$2001,Transaksi!$M$2:$M$2001,"="&amp;S1164),IF(J1164="E",IF(INDEX(Transaksi!$J$2:$J$2001,K1164)=0,"",INDEX(Transaksi!$J$2:$J$2001,K1164)),""))</f>
        <v/>
      </c>
      <c r="G1164" s="33">
        <f>IF(J1164="H",(SUMIFS(Transaksi!$G$2:$G$2001,Transaksi!$M$2:$M$2001,"&lt;="&amp;S1164)+SUMIFS(Transaksi!$H$2:$H$2001,Transaksi!$M$2:$M$2001,"&lt;="&amp;S1164)+SUMIFS(Transaksi!$I$2:$I$2001,Transaksi!$M$2:$M$2001,"&lt;="&amp;S1164))-(SUMIFS(Transaksi!$J$2:$J$2001,Transaksi!$M$2:$M$2001,"&lt;="&amp;S1164)),"")</f>
        <v/>
      </c>
      <c r="I1164">
        <f>IF(1161&gt;$O$2,"",MATCH(1161,$Q$3:$Q$402,1))</f>
        <v/>
      </c>
      <c r="J1164">
        <f>IF(I1164="","",IF(1161=INDEX($Q$3:$Q$402,I1164),"H","E"))</f>
        <v/>
      </c>
      <c r="K1164">
        <f>IF(J1164&lt;&gt;"E","",MATCH(S1164,Transaksi!$M$2:$M$2001,0)+1161-INDEX($Q$3:$Q$402,I1164)-1)</f>
        <v/>
      </c>
      <c r="S1164">
        <f>IF(I1164="","",INDEX($O$3:$O$402,I1164))</f>
        <v/>
      </c>
      <c r="T1164">
        <f>IF(J1164&lt;&gt;"H","",INDEX(Transaksi!$A$2:$A$2001,MATCH(S1164,Transaksi!$M$2:$M$2001,0)))</f>
        <v/>
      </c>
    </row>
    <row r="1165">
      <c r="A1165" s="31">
        <f>IF(J1165="E",IF(INDEX(Transaksi!$J$2:$J$2001,K1165)&gt;0,"↑","↓"),"")</f>
        <v/>
      </c>
      <c r="B1165" s="32">
        <f>IF(J1165="H",CHOOSE(WEEKDAY(T1165,2),"Isnin","Selasa","Rabu","Khamis","Jumaat","Sabtu","Ahad")&amp;", "&amp;DAY(T1165)&amp;" "&amp;CHOOSE(MONTH(T1165),"Jan","Feb","Mac","Apr","Mei","Jun","Jul","Ogo","Sep","Okt","Nov","Dis")&amp;" "&amp;YEAR(T1165),IF(J1165="E",IF(INDEX(Transaksi!$B$2:$B$2001,K1165)="",INDEX(Transaksi!$C$2:$C$2001,K1165)&amp;" · "&amp;INDEX(Transaksi!$D$2:$D$2001,K1165),INDEX(Transaksi!$B$2:$B$2001,K1165)),""))</f>
        <v/>
      </c>
      <c r="C1165" s="32">
        <f>IF(J1165="E",INDEX(Transaksi!$C$2:$C$2001,K1165)&amp;"","")</f>
        <v/>
      </c>
      <c r="D1165" s="32">
        <f>IF(J1165="E",INDEX(Transaksi!$D$2:$D$2001,K1165)&amp;"","")</f>
        <v/>
      </c>
      <c r="E1165" s="33">
        <f>IF(J1165="H",SUMIFS(Transaksi!$G$2:$G$2001,Transaksi!$M$2:$M$2001,"="&amp;S1165)+SUMIFS(Transaksi!$H$2:$H$2001,Transaksi!$M$2:$M$2001,"="&amp;S1165)+SUMIFS(Transaksi!$I$2:$I$2001,Transaksi!$M$2:$M$2001,"="&amp;S1165),IF(J1165="E",IF(INDEX(Transaksi!$G$2:$G$2001,K1165)+INDEX(Transaksi!$H$2:$H$2001,K1165)+INDEX(Transaksi!$I$2:$I$2001,K1165)=0,"",INDEX(Transaksi!$G$2:$G$2001,K1165)+INDEX(Transaksi!$H$2:$H$2001,K1165)+INDEX(Transaksi!$I$2:$I$2001,K1165)),""))</f>
        <v/>
      </c>
      <c r="F1165" s="33">
        <f>IF(J1165="H",SUMIFS(Transaksi!$J$2:$J$2001,Transaksi!$M$2:$M$2001,"="&amp;S1165),IF(J1165="E",IF(INDEX(Transaksi!$J$2:$J$2001,K1165)=0,"",INDEX(Transaksi!$J$2:$J$2001,K1165)),""))</f>
        <v/>
      </c>
      <c r="G1165" s="33">
        <f>IF(J1165="H",(SUMIFS(Transaksi!$G$2:$G$2001,Transaksi!$M$2:$M$2001,"&lt;="&amp;S1165)+SUMIFS(Transaksi!$H$2:$H$2001,Transaksi!$M$2:$M$2001,"&lt;="&amp;S1165)+SUMIFS(Transaksi!$I$2:$I$2001,Transaksi!$M$2:$M$2001,"&lt;="&amp;S1165))-(SUMIFS(Transaksi!$J$2:$J$2001,Transaksi!$M$2:$M$2001,"&lt;="&amp;S1165)),"")</f>
        <v/>
      </c>
      <c r="I1165">
        <f>IF(1162&gt;$O$2,"",MATCH(1162,$Q$3:$Q$402,1))</f>
        <v/>
      </c>
      <c r="J1165">
        <f>IF(I1165="","",IF(1162=INDEX($Q$3:$Q$402,I1165),"H","E"))</f>
        <v/>
      </c>
      <c r="K1165">
        <f>IF(J1165&lt;&gt;"E","",MATCH(S1165,Transaksi!$M$2:$M$2001,0)+1162-INDEX($Q$3:$Q$402,I1165)-1)</f>
        <v/>
      </c>
      <c r="S1165">
        <f>IF(I1165="","",INDEX($O$3:$O$402,I1165))</f>
        <v/>
      </c>
      <c r="T1165">
        <f>IF(J1165&lt;&gt;"H","",INDEX(Transaksi!$A$2:$A$2001,MATCH(S1165,Transaksi!$M$2:$M$2001,0)))</f>
        <v/>
      </c>
    </row>
    <row r="1166">
      <c r="A1166" s="31">
        <f>IF(J1166="E",IF(INDEX(Transaksi!$J$2:$J$2001,K1166)&gt;0,"↑","↓"),"")</f>
        <v/>
      </c>
      <c r="B1166" s="32">
        <f>IF(J1166="H",CHOOSE(WEEKDAY(T1166,2),"Isnin","Selasa","Rabu","Khamis","Jumaat","Sabtu","Ahad")&amp;", "&amp;DAY(T1166)&amp;" "&amp;CHOOSE(MONTH(T1166),"Jan","Feb","Mac","Apr","Mei","Jun","Jul","Ogo","Sep","Okt","Nov","Dis")&amp;" "&amp;YEAR(T1166),IF(J1166="E",IF(INDEX(Transaksi!$B$2:$B$2001,K1166)="",INDEX(Transaksi!$C$2:$C$2001,K1166)&amp;" · "&amp;INDEX(Transaksi!$D$2:$D$2001,K1166),INDEX(Transaksi!$B$2:$B$2001,K1166)),""))</f>
        <v/>
      </c>
      <c r="C1166" s="32">
        <f>IF(J1166="E",INDEX(Transaksi!$C$2:$C$2001,K1166)&amp;"","")</f>
        <v/>
      </c>
      <c r="D1166" s="32">
        <f>IF(J1166="E",INDEX(Transaksi!$D$2:$D$2001,K1166)&amp;"","")</f>
        <v/>
      </c>
      <c r="E1166" s="33">
        <f>IF(J1166="H",SUMIFS(Transaksi!$G$2:$G$2001,Transaksi!$M$2:$M$2001,"="&amp;S1166)+SUMIFS(Transaksi!$H$2:$H$2001,Transaksi!$M$2:$M$2001,"="&amp;S1166)+SUMIFS(Transaksi!$I$2:$I$2001,Transaksi!$M$2:$M$2001,"="&amp;S1166),IF(J1166="E",IF(INDEX(Transaksi!$G$2:$G$2001,K1166)+INDEX(Transaksi!$H$2:$H$2001,K1166)+INDEX(Transaksi!$I$2:$I$2001,K1166)=0,"",INDEX(Transaksi!$G$2:$G$2001,K1166)+INDEX(Transaksi!$H$2:$H$2001,K1166)+INDEX(Transaksi!$I$2:$I$2001,K1166)),""))</f>
        <v/>
      </c>
      <c r="F1166" s="33">
        <f>IF(J1166="H",SUMIFS(Transaksi!$J$2:$J$2001,Transaksi!$M$2:$M$2001,"="&amp;S1166),IF(J1166="E",IF(INDEX(Transaksi!$J$2:$J$2001,K1166)=0,"",INDEX(Transaksi!$J$2:$J$2001,K1166)),""))</f>
        <v/>
      </c>
      <c r="G1166" s="33">
        <f>IF(J1166="H",(SUMIFS(Transaksi!$G$2:$G$2001,Transaksi!$M$2:$M$2001,"&lt;="&amp;S1166)+SUMIFS(Transaksi!$H$2:$H$2001,Transaksi!$M$2:$M$2001,"&lt;="&amp;S1166)+SUMIFS(Transaksi!$I$2:$I$2001,Transaksi!$M$2:$M$2001,"&lt;="&amp;S1166))-(SUMIFS(Transaksi!$J$2:$J$2001,Transaksi!$M$2:$M$2001,"&lt;="&amp;S1166)),"")</f>
        <v/>
      </c>
      <c r="I1166">
        <f>IF(1163&gt;$O$2,"",MATCH(1163,$Q$3:$Q$402,1))</f>
        <v/>
      </c>
      <c r="J1166">
        <f>IF(I1166="","",IF(1163=INDEX($Q$3:$Q$402,I1166),"H","E"))</f>
        <v/>
      </c>
      <c r="K1166">
        <f>IF(J1166&lt;&gt;"E","",MATCH(S1166,Transaksi!$M$2:$M$2001,0)+1163-INDEX($Q$3:$Q$402,I1166)-1)</f>
        <v/>
      </c>
      <c r="S1166">
        <f>IF(I1166="","",INDEX($O$3:$O$402,I1166))</f>
        <v/>
      </c>
      <c r="T1166">
        <f>IF(J1166&lt;&gt;"H","",INDEX(Transaksi!$A$2:$A$2001,MATCH(S1166,Transaksi!$M$2:$M$2001,0)))</f>
        <v/>
      </c>
    </row>
    <row r="1167">
      <c r="A1167" s="31">
        <f>IF(J1167="E",IF(INDEX(Transaksi!$J$2:$J$2001,K1167)&gt;0,"↑","↓"),"")</f>
        <v/>
      </c>
      <c r="B1167" s="32">
        <f>IF(J1167="H",CHOOSE(WEEKDAY(T1167,2),"Isnin","Selasa","Rabu","Khamis","Jumaat","Sabtu","Ahad")&amp;", "&amp;DAY(T1167)&amp;" "&amp;CHOOSE(MONTH(T1167),"Jan","Feb","Mac","Apr","Mei","Jun","Jul","Ogo","Sep","Okt","Nov","Dis")&amp;" "&amp;YEAR(T1167),IF(J1167="E",IF(INDEX(Transaksi!$B$2:$B$2001,K1167)="",INDEX(Transaksi!$C$2:$C$2001,K1167)&amp;" · "&amp;INDEX(Transaksi!$D$2:$D$2001,K1167),INDEX(Transaksi!$B$2:$B$2001,K1167)),""))</f>
        <v/>
      </c>
      <c r="C1167" s="32">
        <f>IF(J1167="E",INDEX(Transaksi!$C$2:$C$2001,K1167)&amp;"","")</f>
        <v/>
      </c>
      <c r="D1167" s="32">
        <f>IF(J1167="E",INDEX(Transaksi!$D$2:$D$2001,K1167)&amp;"","")</f>
        <v/>
      </c>
      <c r="E1167" s="33">
        <f>IF(J1167="H",SUMIFS(Transaksi!$G$2:$G$2001,Transaksi!$M$2:$M$2001,"="&amp;S1167)+SUMIFS(Transaksi!$H$2:$H$2001,Transaksi!$M$2:$M$2001,"="&amp;S1167)+SUMIFS(Transaksi!$I$2:$I$2001,Transaksi!$M$2:$M$2001,"="&amp;S1167),IF(J1167="E",IF(INDEX(Transaksi!$G$2:$G$2001,K1167)+INDEX(Transaksi!$H$2:$H$2001,K1167)+INDEX(Transaksi!$I$2:$I$2001,K1167)=0,"",INDEX(Transaksi!$G$2:$G$2001,K1167)+INDEX(Transaksi!$H$2:$H$2001,K1167)+INDEX(Transaksi!$I$2:$I$2001,K1167)),""))</f>
        <v/>
      </c>
      <c r="F1167" s="33">
        <f>IF(J1167="H",SUMIFS(Transaksi!$J$2:$J$2001,Transaksi!$M$2:$M$2001,"="&amp;S1167),IF(J1167="E",IF(INDEX(Transaksi!$J$2:$J$2001,K1167)=0,"",INDEX(Transaksi!$J$2:$J$2001,K1167)),""))</f>
        <v/>
      </c>
      <c r="G1167" s="33">
        <f>IF(J1167="H",(SUMIFS(Transaksi!$G$2:$G$2001,Transaksi!$M$2:$M$2001,"&lt;="&amp;S1167)+SUMIFS(Transaksi!$H$2:$H$2001,Transaksi!$M$2:$M$2001,"&lt;="&amp;S1167)+SUMIFS(Transaksi!$I$2:$I$2001,Transaksi!$M$2:$M$2001,"&lt;="&amp;S1167))-(SUMIFS(Transaksi!$J$2:$J$2001,Transaksi!$M$2:$M$2001,"&lt;="&amp;S1167)),"")</f>
        <v/>
      </c>
      <c r="I1167">
        <f>IF(1164&gt;$O$2,"",MATCH(1164,$Q$3:$Q$402,1))</f>
        <v/>
      </c>
      <c r="J1167">
        <f>IF(I1167="","",IF(1164=INDEX($Q$3:$Q$402,I1167),"H","E"))</f>
        <v/>
      </c>
      <c r="K1167">
        <f>IF(J1167&lt;&gt;"E","",MATCH(S1167,Transaksi!$M$2:$M$2001,0)+1164-INDEX($Q$3:$Q$402,I1167)-1)</f>
        <v/>
      </c>
      <c r="S1167">
        <f>IF(I1167="","",INDEX($O$3:$O$402,I1167))</f>
        <v/>
      </c>
      <c r="T1167">
        <f>IF(J1167&lt;&gt;"H","",INDEX(Transaksi!$A$2:$A$2001,MATCH(S1167,Transaksi!$M$2:$M$2001,0)))</f>
        <v/>
      </c>
    </row>
    <row r="1168">
      <c r="A1168" s="31">
        <f>IF(J1168="E",IF(INDEX(Transaksi!$J$2:$J$2001,K1168)&gt;0,"↑","↓"),"")</f>
        <v/>
      </c>
      <c r="B1168" s="32">
        <f>IF(J1168="H",CHOOSE(WEEKDAY(T1168,2),"Isnin","Selasa","Rabu","Khamis","Jumaat","Sabtu","Ahad")&amp;", "&amp;DAY(T1168)&amp;" "&amp;CHOOSE(MONTH(T1168),"Jan","Feb","Mac","Apr","Mei","Jun","Jul","Ogo","Sep","Okt","Nov","Dis")&amp;" "&amp;YEAR(T1168),IF(J1168="E",IF(INDEX(Transaksi!$B$2:$B$2001,K1168)="",INDEX(Transaksi!$C$2:$C$2001,K1168)&amp;" · "&amp;INDEX(Transaksi!$D$2:$D$2001,K1168),INDEX(Transaksi!$B$2:$B$2001,K1168)),""))</f>
        <v/>
      </c>
      <c r="C1168" s="32">
        <f>IF(J1168="E",INDEX(Transaksi!$C$2:$C$2001,K1168)&amp;"","")</f>
        <v/>
      </c>
      <c r="D1168" s="32">
        <f>IF(J1168="E",INDEX(Transaksi!$D$2:$D$2001,K1168)&amp;"","")</f>
        <v/>
      </c>
      <c r="E1168" s="33">
        <f>IF(J1168="H",SUMIFS(Transaksi!$G$2:$G$2001,Transaksi!$M$2:$M$2001,"="&amp;S1168)+SUMIFS(Transaksi!$H$2:$H$2001,Transaksi!$M$2:$M$2001,"="&amp;S1168)+SUMIFS(Transaksi!$I$2:$I$2001,Transaksi!$M$2:$M$2001,"="&amp;S1168),IF(J1168="E",IF(INDEX(Transaksi!$G$2:$G$2001,K1168)+INDEX(Transaksi!$H$2:$H$2001,K1168)+INDEX(Transaksi!$I$2:$I$2001,K1168)=0,"",INDEX(Transaksi!$G$2:$G$2001,K1168)+INDEX(Transaksi!$H$2:$H$2001,K1168)+INDEX(Transaksi!$I$2:$I$2001,K1168)),""))</f>
        <v/>
      </c>
      <c r="F1168" s="33">
        <f>IF(J1168="H",SUMIFS(Transaksi!$J$2:$J$2001,Transaksi!$M$2:$M$2001,"="&amp;S1168),IF(J1168="E",IF(INDEX(Transaksi!$J$2:$J$2001,K1168)=0,"",INDEX(Transaksi!$J$2:$J$2001,K1168)),""))</f>
        <v/>
      </c>
      <c r="G1168" s="33">
        <f>IF(J1168="H",(SUMIFS(Transaksi!$G$2:$G$2001,Transaksi!$M$2:$M$2001,"&lt;="&amp;S1168)+SUMIFS(Transaksi!$H$2:$H$2001,Transaksi!$M$2:$M$2001,"&lt;="&amp;S1168)+SUMIFS(Transaksi!$I$2:$I$2001,Transaksi!$M$2:$M$2001,"&lt;="&amp;S1168))-(SUMIFS(Transaksi!$J$2:$J$2001,Transaksi!$M$2:$M$2001,"&lt;="&amp;S1168)),"")</f>
        <v/>
      </c>
      <c r="I1168">
        <f>IF(1165&gt;$O$2,"",MATCH(1165,$Q$3:$Q$402,1))</f>
        <v/>
      </c>
      <c r="J1168">
        <f>IF(I1168="","",IF(1165=INDEX($Q$3:$Q$402,I1168),"H","E"))</f>
        <v/>
      </c>
      <c r="K1168">
        <f>IF(J1168&lt;&gt;"E","",MATCH(S1168,Transaksi!$M$2:$M$2001,0)+1165-INDEX($Q$3:$Q$402,I1168)-1)</f>
        <v/>
      </c>
      <c r="S1168">
        <f>IF(I1168="","",INDEX($O$3:$O$402,I1168))</f>
        <v/>
      </c>
      <c r="T1168">
        <f>IF(J1168&lt;&gt;"H","",INDEX(Transaksi!$A$2:$A$2001,MATCH(S1168,Transaksi!$M$2:$M$2001,0)))</f>
        <v/>
      </c>
    </row>
    <row r="1169">
      <c r="A1169" s="31">
        <f>IF(J1169="E",IF(INDEX(Transaksi!$J$2:$J$2001,K1169)&gt;0,"↑","↓"),"")</f>
        <v/>
      </c>
      <c r="B1169" s="32">
        <f>IF(J1169="H",CHOOSE(WEEKDAY(T1169,2),"Isnin","Selasa","Rabu","Khamis","Jumaat","Sabtu","Ahad")&amp;", "&amp;DAY(T1169)&amp;" "&amp;CHOOSE(MONTH(T1169),"Jan","Feb","Mac","Apr","Mei","Jun","Jul","Ogo","Sep","Okt","Nov","Dis")&amp;" "&amp;YEAR(T1169),IF(J1169="E",IF(INDEX(Transaksi!$B$2:$B$2001,K1169)="",INDEX(Transaksi!$C$2:$C$2001,K1169)&amp;" · "&amp;INDEX(Transaksi!$D$2:$D$2001,K1169),INDEX(Transaksi!$B$2:$B$2001,K1169)),""))</f>
        <v/>
      </c>
      <c r="C1169" s="32">
        <f>IF(J1169="E",INDEX(Transaksi!$C$2:$C$2001,K1169)&amp;"","")</f>
        <v/>
      </c>
      <c r="D1169" s="32">
        <f>IF(J1169="E",INDEX(Transaksi!$D$2:$D$2001,K1169)&amp;"","")</f>
        <v/>
      </c>
      <c r="E1169" s="33">
        <f>IF(J1169="H",SUMIFS(Transaksi!$G$2:$G$2001,Transaksi!$M$2:$M$2001,"="&amp;S1169)+SUMIFS(Transaksi!$H$2:$H$2001,Transaksi!$M$2:$M$2001,"="&amp;S1169)+SUMIFS(Transaksi!$I$2:$I$2001,Transaksi!$M$2:$M$2001,"="&amp;S1169),IF(J1169="E",IF(INDEX(Transaksi!$G$2:$G$2001,K1169)+INDEX(Transaksi!$H$2:$H$2001,K1169)+INDEX(Transaksi!$I$2:$I$2001,K1169)=0,"",INDEX(Transaksi!$G$2:$G$2001,K1169)+INDEX(Transaksi!$H$2:$H$2001,K1169)+INDEX(Transaksi!$I$2:$I$2001,K1169)),""))</f>
        <v/>
      </c>
      <c r="F1169" s="33">
        <f>IF(J1169="H",SUMIFS(Transaksi!$J$2:$J$2001,Transaksi!$M$2:$M$2001,"="&amp;S1169),IF(J1169="E",IF(INDEX(Transaksi!$J$2:$J$2001,K1169)=0,"",INDEX(Transaksi!$J$2:$J$2001,K1169)),""))</f>
        <v/>
      </c>
      <c r="G1169" s="33">
        <f>IF(J1169="H",(SUMIFS(Transaksi!$G$2:$G$2001,Transaksi!$M$2:$M$2001,"&lt;="&amp;S1169)+SUMIFS(Transaksi!$H$2:$H$2001,Transaksi!$M$2:$M$2001,"&lt;="&amp;S1169)+SUMIFS(Transaksi!$I$2:$I$2001,Transaksi!$M$2:$M$2001,"&lt;="&amp;S1169))-(SUMIFS(Transaksi!$J$2:$J$2001,Transaksi!$M$2:$M$2001,"&lt;="&amp;S1169)),"")</f>
        <v/>
      </c>
      <c r="I1169">
        <f>IF(1166&gt;$O$2,"",MATCH(1166,$Q$3:$Q$402,1))</f>
        <v/>
      </c>
      <c r="J1169">
        <f>IF(I1169="","",IF(1166=INDEX($Q$3:$Q$402,I1169),"H","E"))</f>
        <v/>
      </c>
      <c r="K1169">
        <f>IF(J1169&lt;&gt;"E","",MATCH(S1169,Transaksi!$M$2:$M$2001,0)+1166-INDEX($Q$3:$Q$402,I1169)-1)</f>
        <v/>
      </c>
      <c r="S1169">
        <f>IF(I1169="","",INDEX($O$3:$O$402,I1169))</f>
        <v/>
      </c>
      <c r="T1169">
        <f>IF(J1169&lt;&gt;"H","",INDEX(Transaksi!$A$2:$A$2001,MATCH(S1169,Transaksi!$M$2:$M$2001,0)))</f>
        <v/>
      </c>
    </row>
    <row r="1170">
      <c r="A1170" s="31">
        <f>IF(J1170="E",IF(INDEX(Transaksi!$J$2:$J$2001,K1170)&gt;0,"↑","↓"),"")</f>
        <v/>
      </c>
      <c r="B1170" s="32">
        <f>IF(J1170="H",CHOOSE(WEEKDAY(T1170,2),"Isnin","Selasa","Rabu","Khamis","Jumaat","Sabtu","Ahad")&amp;", "&amp;DAY(T1170)&amp;" "&amp;CHOOSE(MONTH(T1170),"Jan","Feb","Mac","Apr","Mei","Jun","Jul","Ogo","Sep","Okt","Nov","Dis")&amp;" "&amp;YEAR(T1170),IF(J1170="E",IF(INDEX(Transaksi!$B$2:$B$2001,K1170)="",INDEX(Transaksi!$C$2:$C$2001,K1170)&amp;" · "&amp;INDEX(Transaksi!$D$2:$D$2001,K1170),INDEX(Transaksi!$B$2:$B$2001,K1170)),""))</f>
        <v/>
      </c>
      <c r="C1170" s="32">
        <f>IF(J1170="E",INDEX(Transaksi!$C$2:$C$2001,K1170)&amp;"","")</f>
        <v/>
      </c>
      <c r="D1170" s="32">
        <f>IF(J1170="E",INDEX(Transaksi!$D$2:$D$2001,K1170)&amp;"","")</f>
        <v/>
      </c>
      <c r="E1170" s="33">
        <f>IF(J1170="H",SUMIFS(Transaksi!$G$2:$G$2001,Transaksi!$M$2:$M$2001,"="&amp;S1170)+SUMIFS(Transaksi!$H$2:$H$2001,Transaksi!$M$2:$M$2001,"="&amp;S1170)+SUMIFS(Transaksi!$I$2:$I$2001,Transaksi!$M$2:$M$2001,"="&amp;S1170),IF(J1170="E",IF(INDEX(Transaksi!$G$2:$G$2001,K1170)+INDEX(Transaksi!$H$2:$H$2001,K1170)+INDEX(Transaksi!$I$2:$I$2001,K1170)=0,"",INDEX(Transaksi!$G$2:$G$2001,K1170)+INDEX(Transaksi!$H$2:$H$2001,K1170)+INDEX(Transaksi!$I$2:$I$2001,K1170)),""))</f>
        <v/>
      </c>
      <c r="F1170" s="33">
        <f>IF(J1170="H",SUMIFS(Transaksi!$J$2:$J$2001,Transaksi!$M$2:$M$2001,"="&amp;S1170),IF(J1170="E",IF(INDEX(Transaksi!$J$2:$J$2001,K1170)=0,"",INDEX(Transaksi!$J$2:$J$2001,K1170)),""))</f>
        <v/>
      </c>
      <c r="G1170" s="33">
        <f>IF(J1170="H",(SUMIFS(Transaksi!$G$2:$G$2001,Transaksi!$M$2:$M$2001,"&lt;="&amp;S1170)+SUMIFS(Transaksi!$H$2:$H$2001,Transaksi!$M$2:$M$2001,"&lt;="&amp;S1170)+SUMIFS(Transaksi!$I$2:$I$2001,Transaksi!$M$2:$M$2001,"&lt;="&amp;S1170))-(SUMIFS(Transaksi!$J$2:$J$2001,Transaksi!$M$2:$M$2001,"&lt;="&amp;S1170)),"")</f>
        <v/>
      </c>
      <c r="I1170">
        <f>IF(1167&gt;$O$2,"",MATCH(1167,$Q$3:$Q$402,1))</f>
        <v/>
      </c>
      <c r="J1170">
        <f>IF(I1170="","",IF(1167=INDEX($Q$3:$Q$402,I1170),"H","E"))</f>
        <v/>
      </c>
      <c r="K1170">
        <f>IF(J1170&lt;&gt;"E","",MATCH(S1170,Transaksi!$M$2:$M$2001,0)+1167-INDEX($Q$3:$Q$402,I1170)-1)</f>
        <v/>
      </c>
      <c r="S1170">
        <f>IF(I1170="","",INDEX($O$3:$O$402,I1170))</f>
        <v/>
      </c>
      <c r="T1170">
        <f>IF(J1170&lt;&gt;"H","",INDEX(Transaksi!$A$2:$A$2001,MATCH(S1170,Transaksi!$M$2:$M$2001,0)))</f>
        <v/>
      </c>
    </row>
    <row r="1171">
      <c r="A1171" s="31">
        <f>IF(J1171="E",IF(INDEX(Transaksi!$J$2:$J$2001,K1171)&gt;0,"↑","↓"),"")</f>
        <v/>
      </c>
      <c r="B1171" s="32">
        <f>IF(J1171="H",CHOOSE(WEEKDAY(T1171,2),"Isnin","Selasa","Rabu","Khamis","Jumaat","Sabtu","Ahad")&amp;", "&amp;DAY(T1171)&amp;" "&amp;CHOOSE(MONTH(T1171),"Jan","Feb","Mac","Apr","Mei","Jun","Jul","Ogo","Sep","Okt","Nov","Dis")&amp;" "&amp;YEAR(T1171),IF(J1171="E",IF(INDEX(Transaksi!$B$2:$B$2001,K1171)="",INDEX(Transaksi!$C$2:$C$2001,K1171)&amp;" · "&amp;INDEX(Transaksi!$D$2:$D$2001,K1171),INDEX(Transaksi!$B$2:$B$2001,K1171)),""))</f>
        <v/>
      </c>
      <c r="C1171" s="32">
        <f>IF(J1171="E",INDEX(Transaksi!$C$2:$C$2001,K1171)&amp;"","")</f>
        <v/>
      </c>
      <c r="D1171" s="32">
        <f>IF(J1171="E",INDEX(Transaksi!$D$2:$D$2001,K1171)&amp;"","")</f>
        <v/>
      </c>
      <c r="E1171" s="33">
        <f>IF(J1171="H",SUMIFS(Transaksi!$G$2:$G$2001,Transaksi!$M$2:$M$2001,"="&amp;S1171)+SUMIFS(Transaksi!$H$2:$H$2001,Transaksi!$M$2:$M$2001,"="&amp;S1171)+SUMIFS(Transaksi!$I$2:$I$2001,Transaksi!$M$2:$M$2001,"="&amp;S1171),IF(J1171="E",IF(INDEX(Transaksi!$G$2:$G$2001,K1171)+INDEX(Transaksi!$H$2:$H$2001,K1171)+INDEX(Transaksi!$I$2:$I$2001,K1171)=0,"",INDEX(Transaksi!$G$2:$G$2001,K1171)+INDEX(Transaksi!$H$2:$H$2001,K1171)+INDEX(Transaksi!$I$2:$I$2001,K1171)),""))</f>
        <v/>
      </c>
      <c r="F1171" s="33">
        <f>IF(J1171="H",SUMIFS(Transaksi!$J$2:$J$2001,Transaksi!$M$2:$M$2001,"="&amp;S1171),IF(J1171="E",IF(INDEX(Transaksi!$J$2:$J$2001,K1171)=0,"",INDEX(Transaksi!$J$2:$J$2001,K1171)),""))</f>
        <v/>
      </c>
      <c r="G1171" s="33">
        <f>IF(J1171="H",(SUMIFS(Transaksi!$G$2:$G$2001,Transaksi!$M$2:$M$2001,"&lt;="&amp;S1171)+SUMIFS(Transaksi!$H$2:$H$2001,Transaksi!$M$2:$M$2001,"&lt;="&amp;S1171)+SUMIFS(Transaksi!$I$2:$I$2001,Transaksi!$M$2:$M$2001,"&lt;="&amp;S1171))-(SUMIFS(Transaksi!$J$2:$J$2001,Transaksi!$M$2:$M$2001,"&lt;="&amp;S1171)),"")</f>
        <v/>
      </c>
      <c r="I1171">
        <f>IF(1168&gt;$O$2,"",MATCH(1168,$Q$3:$Q$402,1))</f>
        <v/>
      </c>
      <c r="J1171">
        <f>IF(I1171="","",IF(1168=INDEX($Q$3:$Q$402,I1171),"H","E"))</f>
        <v/>
      </c>
      <c r="K1171">
        <f>IF(J1171&lt;&gt;"E","",MATCH(S1171,Transaksi!$M$2:$M$2001,0)+1168-INDEX($Q$3:$Q$402,I1171)-1)</f>
        <v/>
      </c>
      <c r="S1171">
        <f>IF(I1171="","",INDEX($O$3:$O$402,I1171))</f>
        <v/>
      </c>
      <c r="T1171">
        <f>IF(J1171&lt;&gt;"H","",INDEX(Transaksi!$A$2:$A$2001,MATCH(S1171,Transaksi!$M$2:$M$2001,0)))</f>
        <v/>
      </c>
    </row>
    <row r="1172">
      <c r="A1172" s="31">
        <f>IF(J1172="E",IF(INDEX(Transaksi!$J$2:$J$2001,K1172)&gt;0,"↑","↓"),"")</f>
        <v/>
      </c>
      <c r="B1172" s="32">
        <f>IF(J1172="H",CHOOSE(WEEKDAY(T1172,2),"Isnin","Selasa","Rabu","Khamis","Jumaat","Sabtu","Ahad")&amp;", "&amp;DAY(T1172)&amp;" "&amp;CHOOSE(MONTH(T1172),"Jan","Feb","Mac","Apr","Mei","Jun","Jul","Ogo","Sep","Okt","Nov","Dis")&amp;" "&amp;YEAR(T1172),IF(J1172="E",IF(INDEX(Transaksi!$B$2:$B$2001,K1172)="",INDEX(Transaksi!$C$2:$C$2001,K1172)&amp;" · "&amp;INDEX(Transaksi!$D$2:$D$2001,K1172),INDEX(Transaksi!$B$2:$B$2001,K1172)),""))</f>
        <v/>
      </c>
      <c r="C1172" s="32">
        <f>IF(J1172="E",INDEX(Transaksi!$C$2:$C$2001,K1172)&amp;"","")</f>
        <v/>
      </c>
      <c r="D1172" s="32">
        <f>IF(J1172="E",INDEX(Transaksi!$D$2:$D$2001,K1172)&amp;"","")</f>
        <v/>
      </c>
      <c r="E1172" s="33">
        <f>IF(J1172="H",SUMIFS(Transaksi!$G$2:$G$2001,Transaksi!$M$2:$M$2001,"="&amp;S1172)+SUMIFS(Transaksi!$H$2:$H$2001,Transaksi!$M$2:$M$2001,"="&amp;S1172)+SUMIFS(Transaksi!$I$2:$I$2001,Transaksi!$M$2:$M$2001,"="&amp;S1172),IF(J1172="E",IF(INDEX(Transaksi!$G$2:$G$2001,K1172)+INDEX(Transaksi!$H$2:$H$2001,K1172)+INDEX(Transaksi!$I$2:$I$2001,K1172)=0,"",INDEX(Transaksi!$G$2:$G$2001,K1172)+INDEX(Transaksi!$H$2:$H$2001,K1172)+INDEX(Transaksi!$I$2:$I$2001,K1172)),""))</f>
        <v/>
      </c>
      <c r="F1172" s="33">
        <f>IF(J1172="H",SUMIFS(Transaksi!$J$2:$J$2001,Transaksi!$M$2:$M$2001,"="&amp;S1172),IF(J1172="E",IF(INDEX(Transaksi!$J$2:$J$2001,K1172)=0,"",INDEX(Transaksi!$J$2:$J$2001,K1172)),""))</f>
        <v/>
      </c>
      <c r="G1172" s="33">
        <f>IF(J1172="H",(SUMIFS(Transaksi!$G$2:$G$2001,Transaksi!$M$2:$M$2001,"&lt;="&amp;S1172)+SUMIFS(Transaksi!$H$2:$H$2001,Transaksi!$M$2:$M$2001,"&lt;="&amp;S1172)+SUMIFS(Transaksi!$I$2:$I$2001,Transaksi!$M$2:$M$2001,"&lt;="&amp;S1172))-(SUMIFS(Transaksi!$J$2:$J$2001,Transaksi!$M$2:$M$2001,"&lt;="&amp;S1172)),"")</f>
        <v/>
      </c>
      <c r="I1172">
        <f>IF(1169&gt;$O$2,"",MATCH(1169,$Q$3:$Q$402,1))</f>
        <v/>
      </c>
      <c r="J1172">
        <f>IF(I1172="","",IF(1169=INDEX($Q$3:$Q$402,I1172),"H","E"))</f>
        <v/>
      </c>
      <c r="K1172">
        <f>IF(J1172&lt;&gt;"E","",MATCH(S1172,Transaksi!$M$2:$M$2001,0)+1169-INDEX($Q$3:$Q$402,I1172)-1)</f>
        <v/>
      </c>
      <c r="S1172">
        <f>IF(I1172="","",INDEX($O$3:$O$402,I1172))</f>
        <v/>
      </c>
      <c r="T1172">
        <f>IF(J1172&lt;&gt;"H","",INDEX(Transaksi!$A$2:$A$2001,MATCH(S1172,Transaksi!$M$2:$M$2001,0)))</f>
        <v/>
      </c>
    </row>
    <row r="1173">
      <c r="A1173" s="31">
        <f>IF(J1173="E",IF(INDEX(Transaksi!$J$2:$J$2001,K1173)&gt;0,"↑","↓"),"")</f>
        <v/>
      </c>
      <c r="B1173" s="32">
        <f>IF(J1173="H",CHOOSE(WEEKDAY(T1173,2),"Isnin","Selasa","Rabu","Khamis","Jumaat","Sabtu","Ahad")&amp;", "&amp;DAY(T1173)&amp;" "&amp;CHOOSE(MONTH(T1173),"Jan","Feb","Mac","Apr","Mei","Jun","Jul","Ogo","Sep","Okt","Nov","Dis")&amp;" "&amp;YEAR(T1173),IF(J1173="E",IF(INDEX(Transaksi!$B$2:$B$2001,K1173)="",INDEX(Transaksi!$C$2:$C$2001,K1173)&amp;" · "&amp;INDEX(Transaksi!$D$2:$D$2001,K1173),INDEX(Transaksi!$B$2:$B$2001,K1173)),""))</f>
        <v/>
      </c>
      <c r="C1173" s="32">
        <f>IF(J1173="E",INDEX(Transaksi!$C$2:$C$2001,K1173)&amp;"","")</f>
        <v/>
      </c>
      <c r="D1173" s="32">
        <f>IF(J1173="E",INDEX(Transaksi!$D$2:$D$2001,K1173)&amp;"","")</f>
        <v/>
      </c>
      <c r="E1173" s="33">
        <f>IF(J1173="H",SUMIFS(Transaksi!$G$2:$G$2001,Transaksi!$M$2:$M$2001,"="&amp;S1173)+SUMIFS(Transaksi!$H$2:$H$2001,Transaksi!$M$2:$M$2001,"="&amp;S1173)+SUMIFS(Transaksi!$I$2:$I$2001,Transaksi!$M$2:$M$2001,"="&amp;S1173),IF(J1173="E",IF(INDEX(Transaksi!$G$2:$G$2001,K1173)+INDEX(Transaksi!$H$2:$H$2001,K1173)+INDEX(Transaksi!$I$2:$I$2001,K1173)=0,"",INDEX(Transaksi!$G$2:$G$2001,K1173)+INDEX(Transaksi!$H$2:$H$2001,K1173)+INDEX(Transaksi!$I$2:$I$2001,K1173)),""))</f>
        <v/>
      </c>
      <c r="F1173" s="33">
        <f>IF(J1173="H",SUMIFS(Transaksi!$J$2:$J$2001,Transaksi!$M$2:$M$2001,"="&amp;S1173),IF(J1173="E",IF(INDEX(Transaksi!$J$2:$J$2001,K1173)=0,"",INDEX(Transaksi!$J$2:$J$2001,K1173)),""))</f>
        <v/>
      </c>
      <c r="G1173" s="33">
        <f>IF(J1173="H",(SUMIFS(Transaksi!$G$2:$G$2001,Transaksi!$M$2:$M$2001,"&lt;="&amp;S1173)+SUMIFS(Transaksi!$H$2:$H$2001,Transaksi!$M$2:$M$2001,"&lt;="&amp;S1173)+SUMIFS(Transaksi!$I$2:$I$2001,Transaksi!$M$2:$M$2001,"&lt;="&amp;S1173))-(SUMIFS(Transaksi!$J$2:$J$2001,Transaksi!$M$2:$M$2001,"&lt;="&amp;S1173)),"")</f>
        <v/>
      </c>
      <c r="I1173">
        <f>IF(1170&gt;$O$2,"",MATCH(1170,$Q$3:$Q$402,1))</f>
        <v/>
      </c>
      <c r="J1173">
        <f>IF(I1173="","",IF(1170=INDEX($Q$3:$Q$402,I1173),"H","E"))</f>
        <v/>
      </c>
      <c r="K1173">
        <f>IF(J1173&lt;&gt;"E","",MATCH(S1173,Transaksi!$M$2:$M$2001,0)+1170-INDEX($Q$3:$Q$402,I1173)-1)</f>
        <v/>
      </c>
      <c r="S1173">
        <f>IF(I1173="","",INDEX($O$3:$O$402,I1173))</f>
        <v/>
      </c>
      <c r="T1173">
        <f>IF(J1173&lt;&gt;"H","",INDEX(Transaksi!$A$2:$A$2001,MATCH(S1173,Transaksi!$M$2:$M$2001,0)))</f>
        <v/>
      </c>
    </row>
    <row r="1174">
      <c r="A1174" s="31">
        <f>IF(J1174="E",IF(INDEX(Transaksi!$J$2:$J$2001,K1174)&gt;0,"↑","↓"),"")</f>
        <v/>
      </c>
      <c r="B1174" s="32">
        <f>IF(J1174="H",CHOOSE(WEEKDAY(T1174,2),"Isnin","Selasa","Rabu","Khamis","Jumaat","Sabtu","Ahad")&amp;", "&amp;DAY(T1174)&amp;" "&amp;CHOOSE(MONTH(T1174),"Jan","Feb","Mac","Apr","Mei","Jun","Jul","Ogo","Sep","Okt","Nov","Dis")&amp;" "&amp;YEAR(T1174),IF(J1174="E",IF(INDEX(Transaksi!$B$2:$B$2001,K1174)="",INDEX(Transaksi!$C$2:$C$2001,K1174)&amp;" · "&amp;INDEX(Transaksi!$D$2:$D$2001,K1174),INDEX(Transaksi!$B$2:$B$2001,K1174)),""))</f>
        <v/>
      </c>
      <c r="C1174" s="32">
        <f>IF(J1174="E",INDEX(Transaksi!$C$2:$C$2001,K1174)&amp;"","")</f>
        <v/>
      </c>
      <c r="D1174" s="32">
        <f>IF(J1174="E",INDEX(Transaksi!$D$2:$D$2001,K1174)&amp;"","")</f>
        <v/>
      </c>
      <c r="E1174" s="33">
        <f>IF(J1174="H",SUMIFS(Transaksi!$G$2:$G$2001,Transaksi!$M$2:$M$2001,"="&amp;S1174)+SUMIFS(Transaksi!$H$2:$H$2001,Transaksi!$M$2:$M$2001,"="&amp;S1174)+SUMIFS(Transaksi!$I$2:$I$2001,Transaksi!$M$2:$M$2001,"="&amp;S1174),IF(J1174="E",IF(INDEX(Transaksi!$G$2:$G$2001,K1174)+INDEX(Transaksi!$H$2:$H$2001,K1174)+INDEX(Transaksi!$I$2:$I$2001,K1174)=0,"",INDEX(Transaksi!$G$2:$G$2001,K1174)+INDEX(Transaksi!$H$2:$H$2001,K1174)+INDEX(Transaksi!$I$2:$I$2001,K1174)),""))</f>
        <v/>
      </c>
      <c r="F1174" s="33">
        <f>IF(J1174="H",SUMIFS(Transaksi!$J$2:$J$2001,Transaksi!$M$2:$M$2001,"="&amp;S1174),IF(J1174="E",IF(INDEX(Transaksi!$J$2:$J$2001,K1174)=0,"",INDEX(Transaksi!$J$2:$J$2001,K1174)),""))</f>
        <v/>
      </c>
      <c r="G1174" s="33">
        <f>IF(J1174="H",(SUMIFS(Transaksi!$G$2:$G$2001,Transaksi!$M$2:$M$2001,"&lt;="&amp;S1174)+SUMIFS(Transaksi!$H$2:$H$2001,Transaksi!$M$2:$M$2001,"&lt;="&amp;S1174)+SUMIFS(Transaksi!$I$2:$I$2001,Transaksi!$M$2:$M$2001,"&lt;="&amp;S1174))-(SUMIFS(Transaksi!$J$2:$J$2001,Transaksi!$M$2:$M$2001,"&lt;="&amp;S1174)),"")</f>
        <v/>
      </c>
      <c r="I1174">
        <f>IF(1171&gt;$O$2,"",MATCH(1171,$Q$3:$Q$402,1))</f>
        <v/>
      </c>
      <c r="J1174">
        <f>IF(I1174="","",IF(1171=INDEX($Q$3:$Q$402,I1174),"H","E"))</f>
        <v/>
      </c>
      <c r="K1174">
        <f>IF(J1174&lt;&gt;"E","",MATCH(S1174,Transaksi!$M$2:$M$2001,0)+1171-INDEX($Q$3:$Q$402,I1174)-1)</f>
        <v/>
      </c>
      <c r="S1174">
        <f>IF(I1174="","",INDEX($O$3:$O$402,I1174))</f>
        <v/>
      </c>
      <c r="T1174">
        <f>IF(J1174&lt;&gt;"H","",INDEX(Transaksi!$A$2:$A$2001,MATCH(S1174,Transaksi!$M$2:$M$2001,0)))</f>
        <v/>
      </c>
    </row>
    <row r="1175">
      <c r="A1175" s="31">
        <f>IF(J1175="E",IF(INDEX(Transaksi!$J$2:$J$2001,K1175)&gt;0,"↑","↓"),"")</f>
        <v/>
      </c>
      <c r="B1175" s="32">
        <f>IF(J1175="H",CHOOSE(WEEKDAY(T1175,2),"Isnin","Selasa","Rabu","Khamis","Jumaat","Sabtu","Ahad")&amp;", "&amp;DAY(T1175)&amp;" "&amp;CHOOSE(MONTH(T1175),"Jan","Feb","Mac","Apr","Mei","Jun","Jul","Ogo","Sep","Okt","Nov","Dis")&amp;" "&amp;YEAR(T1175),IF(J1175="E",IF(INDEX(Transaksi!$B$2:$B$2001,K1175)="",INDEX(Transaksi!$C$2:$C$2001,K1175)&amp;" · "&amp;INDEX(Transaksi!$D$2:$D$2001,K1175),INDEX(Transaksi!$B$2:$B$2001,K1175)),""))</f>
        <v/>
      </c>
      <c r="C1175" s="32">
        <f>IF(J1175="E",INDEX(Transaksi!$C$2:$C$2001,K1175)&amp;"","")</f>
        <v/>
      </c>
      <c r="D1175" s="32">
        <f>IF(J1175="E",INDEX(Transaksi!$D$2:$D$2001,K1175)&amp;"","")</f>
        <v/>
      </c>
      <c r="E1175" s="33">
        <f>IF(J1175="H",SUMIFS(Transaksi!$G$2:$G$2001,Transaksi!$M$2:$M$2001,"="&amp;S1175)+SUMIFS(Transaksi!$H$2:$H$2001,Transaksi!$M$2:$M$2001,"="&amp;S1175)+SUMIFS(Transaksi!$I$2:$I$2001,Transaksi!$M$2:$M$2001,"="&amp;S1175),IF(J1175="E",IF(INDEX(Transaksi!$G$2:$G$2001,K1175)+INDEX(Transaksi!$H$2:$H$2001,K1175)+INDEX(Transaksi!$I$2:$I$2001,K1175)=0,"",INDEX(Transaksi!$G$2:$G$2001,K1175)+INDEX(Transaksi!$H$2:$H$2001,K1175)+INDEX(Transaksi!$I$2:$I$2001,K1175)),""))</f>
        <v/>
      </c>
      <c r="F1175" s="33">
        <f>IF(J1175="H",SUMIFS(Transaksi!$J$2:$J$2001,Transaksi!$M$2:$M$2001,"="&amp;S1175),IF(J1175="E",IF(INDEX(Transaksi!$J$2:$J$2001,K1175)=0,"",INDEX(Transaksi!$J$2:$J$2001,K1175)),""))</f>
        <v/>
      </c>
      <c r="G1175" s="33">
        <f>IF(J1175="H",(SUMIFS(Transaksi!$G$2:$G$2001,Transaksi!$M$2:$M$2001,"&lt;="&amp;S1175)+SUMIFS(Transaksi!$H$2:$H$2001,Transaksi!$M$2:$M$2001,"&lt;="&amp;S1175)+SUMIFS(Transaksi!$I$2:$I$2001,Transaksi!$M$2:$M$2001,"&lt;="&amp;S1175))-(SUMIFS(Transaksi!$J$2:$J$2001,Transaksi!$M$2:$M$2001,"&lt;="&amp;S1175)),"")</f>
        <v/>
      </c>
      <c r="I1175">
        <f>IF(1172&gt;$O$2,"",MATCH(1172,$Q$3:$Q$402,1))</f>
        <v/>
      </c>
      <c r="J1175">
        <f>IF(I1175="","",IF(1172=INDEX($Q$3:$Q$402,I1175),"H","E"))</f>
        <v/>
      </c>
      <c r="K1175">
        <f>IF(J1175&lt;&gt;"E","",MATCH(S1175,Transaksi!$M$2:$M$2001,0)+1172-INDEX($Q$3:$Q$402,I1175)-1)</f>
        <v/>
      </c>
      <c r="S1175">
        <f>IF(I1175="","",INDEX($O$3:$O$402,I1175))</f>
        <v/>
      </c>
      <c r="T1175">
        <f>IF(J1175&lt;&gt;"H","",INDEX(Transaksi!$A$2:$A$2001,MATCH(S1175,Transaksi!$M$2:$M$2001,0)))</f>
        <v/>
      </c>
    </row>
    <row r="1176">
      <c r="A1176" s="31">
        <f>IF(J1176="E",IF(INDEX(Transaksi!$J$2:$J$2001,K1176)&gt;0,"↑","↓"),"")</f>
        <v/>
      </c>
      <c r="B1176" s="32">
        <f>IF(J1176="H",CHOOSE(WEEKDAY(T1176,2),"Isnin","Selasa","Rabu","Khamis","Jumaat","Sabtu","Ahad")&amp;", "&amp;DAY(T1176)&amp;" "&amp;CHOOSE(MONTH(T1176),"Jan","Feb","Mac","Apr","Mei","Jun","Jul","Ogo","Sep","Okt","Nov","Dis")&amp;" "&amp;YEAR(T1176),IF(J1176="E",IF(INDEX(Transaksi!$B$2:$B$2001,K1176)="",INDEX(Transaksi!$C$2:$C$2001,K1176)&amp;" · "&amp;INDEX(Transaksi!$D$2:$D$2001,K1176),INDEX(Transaksi!$B$2:$B$2001,K1176)),""))</f>
        <v/>
      </c>
      <c r="C1176" s="32">
        <f>IF(J1176="E",INDEX(Transaksi!$C$2:$C$2001,K1176)&amp;"","")</f>
        <v/>
      </c>
      <c r="D1176" s="32">
        <f>IF(J1176="E",INDEX(Transaksi!$D$2:$D$2001,K1176)&amp;"","")</f>
        <v/>
      </c>
      <c r="E1176" s="33">
        <f>IF(J1176="H",SUMIFS(Transaksi!$G$2:$G$2001,Transaksi!$M$2:$M$2001,"="&amp;S1176)+SUMIFS(Transaksi!$H$2:$H$2001,Transaksi!$M$2:$M$2001,"="&amp;S1176)+SUMIFS(Transaksi!$I$2:$I$2001,Transaksi!$M$2:$M$2001,"="&amp;S1176),IF(J1176="E",IF(INDEX(Transaksi!$G$2:$G$2001,K1176)+INDEX(Transaksi!$H$2:$H$2001,K1176)+INDEX(Transaksi!$I$2:$I$2001,K1176)=0,"",INDEX(Transaksi!$G$2:$G$2001,K1176)+INDEX(Transaksi!$H$2:$H$2001,K1176)+INDEX(Transaksi!$I$2:$I$2001,K1176)),""))</f>
        <v/>
      </c>
      <c r="F1176" s="33">
        <f>IF(J1176="H",SUMIFS(Transaksi!$J$2:$J$2001,Transaksi!$M$2:$M$2001,"="&amp;S1176),IF(J1176="E",IF(INDEX(Transaksi!$J$2:$J$2001,K1176)=0,"",INDEX(Transaksi!$J$2:$J$2001,K1176)),""))</f>
        <v/>
      </c>
      <c r="G1176" s="33">
        <f>IF(J1176="H",(SUMIFS(Transaksi!$G$2:$G$2001,Transaksi!$M$2:$M$2001,"&lt;="&amp;S1176)+SUMIFS(Transaksi!$H$2:$H$2001,Transaksi!$M$2:$M$2001,"&lt;="&amp;S1176)+SUMIFS(Transaksi!$I$2:$I$2001,Transaksi!$M$2:$M$2001,"&lt;="&amp;S1176))-(SUMIFS(Transaksi!$J$2:$J$2001,Transaksi!$M$2:$M$2001,"&lt;="&amp;S1176)),"")</f>
        <v/>
      </c>
      <c r="I1176">
        <f>IF(1173&gt;$O$2,"",MATCH(1173,$Q$3:$Q$402,1))</f>
        <v/>
      </c>
      <c r="J1176">
        <f>IF(I1176="","",IF(1173=INDEX($Q$3:$Q$402,I1176),"H","E"))</f>
        <v/>
      </c>
      <c r="K1176">
        <f>IF(J1176&lt;&gt;"E","",MATCH(S1176,Transaksi!$M$2:$M$2001,0)+1173-INDEX($Q$3:$Q$402,I1176)-1)</f>
        <v/>
      </c>
      <c r="S1176">
        <f>IF(I1176="","",INDEX($O$3:$O$402,I1176))</f>
        <v/>
      </c>
      <c r="T1176">
        <f>IF(J1176&lt;&gt;"H","",INDEX(Transaksi!$A$2:$A$2001,MATCH(S1176,Transaksi!$M$2:$M$2001,0)))</f>
        <v/>
      </c>
    </row>
    <row r="1177">
      <c r="A1177" s="31">
        <f>IF(J1177="E",IF(INDEX(Transaksi!$J$2:$J$2001,K1177)&gt;0,"↑","↓"),"")</f>
        <v/>
      </c>
      <c r="B1177" s="32">
        <f>IF(J1177="H",CHOOSE(WEEKDAY(T1177,2),"Isnin","Selasa","Rabu","Khamis","Jumaat","Sabtu","Ahad")&amp;", "&amp;DAY(T1177)&amp;" "&amp;CHOOSE(MONTH(T1177),"Jan","Feb","Mac","Apr","Mei","Jun","Jul","Ogo","Sep","Okt","Nov","Dis")&amp;" "&amp;YEAR(T1177),IF(J1177="E",IF(INDEX(Transaksi!$B$2:$B$2001,K1177)="",INDEX(Transaksi!$C$2:$C$2001,K1177)&amp;" · "&amp;INDEX(Transaksi!$D$2:$D$2001,K1177),INDEX(Transaksi!$B$2:$B$2001,K1177)),""))</f>
        <v/>
      </c>
      <c r="C1177" s="32">
        <f>IF(J1177="E",INDEX(Transaksi!$C$2:$C$2001,K1177)&amp;"","")</f>
        <v/>
      </c>
      <c r="D1177" s="32">
        <f>IF(J1177="E",INDEX(Transaksi!$D$2:$D$2001,K1177)&amp;"","")</f>
        <v/>
      </c>
      <c r="E1177" s="33">
        <f>IF(J1177="H",SUMIFS(Transaksi!$G$2:$G$2001,Transaksi!$M$2:$M$2001,"="&amp;S1177)+SUMIFS(Transaksi!$H$2:$H$2001,Transaksi!$M$2:$M$2001,"="&amp;S1177)+SUMIFS(Transaksi!$I$2:$I$2001,Transaksi!$M$2:$M$2001,"="&amp;S1177),IF(J1177="E",IF(INDEX(Transaksi!$G$2:$G$2001,K1177)+INDEX(Transaksi!$H$2:$H$2001,K1177)+INDEX(Transaksi!$I$2:$I$2001,K1177)=0,"",INDEX(Transaksi!$G$2:$G$2001,K1177)+INDEX(Transaksi!$H$2:$H$2001,K1177)+INDEX(Transaksi!$I$2:$I$2001,K1177)),""))</f>
        <v/>
      </c>
      <c r="F1177" s="33">
        <f>IF(J1177="H",SUMIFS(Transaksi!$J$2:$J$2001,Transaksi!$M$2:$M$2001,"="&amp;S1177),IF(J1177="E",IF(INDEX(Transaksi!$J$2:$J$2001,K1177)=0,"",INDEX(Transaksi!$J$2:$J$2001,K1177)),""))</f>
        <v/>
      </c>
      <c r="G1177" s="33">
        <f>IF(J1177="H",(SUMIFS(Transaksi!$G$2:$G$2001,Transaksi!$M$2:$M$2001,"&lt;="&amp;S1177)+SUMIFS(Transaksi!$H$2:$H$2001,Transaksi!$M$2:$M$2001,"&lt;="&amp;S1177)+SUMIFS(Transaksi!$I$2:$I$2001,Transaksi!$M$2:$M$2001,"&lt;="&amp;S1177))-(SUMIFS(Transaksi!$J$2:$J$2001,Transaksi!$M$2:$M$2001,"&lt;="&amp;S1177)),"")</f>
        <v/>
      </c>
      <c r="I1177">
        <f>IF(1174&gt;$O$2,"",MATCH(1174,$Q$3:$Q$402,1))</f>
        <v/>
      </c>
      <c r="J1177">
        <f>IF(I1177="","",IF(1174=INDEX($Q$3:$Q$402,I1177),"H","E"))</f>
        <v/>
      </c>
      <c r="K1177">
        <f>IF(J1177&lt;&gt;"E","",MATCH(S1177,Transaksi!$M$2:$M$2001,0)+1174-INDEX($Q$3:$Q$402,I1177)-1)</f>
        <v/>
      </c>
      <c r="S1177">
        <f>IF(I1177="","",INDEX($O$3:$O$402,I1177))</f>
        <v/>
      </c>
      <c r="T1177">
        <f>IF(J1177&lt;&gt;"H","",INDEX(Transaksi!$A$2:$A$2001,MATCH(S1177,Transaksi!$M$2:$M$2001,0)))</f>
        <v/>
      </c>
    </row>
    <row r="1178">
      <c r="A1178" s="31">
        <f>IF(J1178="E",IF(INDEX(Transaksi!$J$2:$J$2001,K1178)&gt;0,"↑","↓"),"")</f>
        <v/>
      </c>
      <c r="B1178" s="32">
        <f>IF(J1178="H",CHOOSE(WEEKDAY(T1178,2),"Isnin","Selasa","Rabu","Khamis","Jumaat","Sabtu","Ahad")&amp;", "&amp;DAY(T1178)&amp;" "&amp;CHOOSE(MONTH(T1178),"Jan","Feb","Mac","Apr","Mei","Jun","Jul","Ogo","Sep","Okt","Nov","Dis")&amp;" "&amp;YEAR(T1178),IF(J1178="E",IF(INDEX(Transaksi!$B$2:$B$2001,K1178)="",INDEX(Transaksi!$C$2:$C$2001,K1178)&amp;" · "&amp;INDEX(Transaksi!$D$2:$D$2001,K1178),INDEX(Transaksi!$B$2:$B$2001,K1178)),""))</f>
        <v/>
      </c>
      <c r="C1178" s="32">
        <f>IF(J1178="E",INDEX(Transaksi!$C$2:$C$2001,K1178)&amp;"","")</f>
        <v/>
      </c>
      <c r="D1178" s="32">
        <f>IF(J1178="E",INDEX(Transaksi!$D$2:$D$2001,K1178)&amp;"","")</f>
        <v/>
      </c>
      <c r="E1178" s="33">
        <f>IF(J1178="H",SUMIFS(Transaksi!$G$2:$G$2001,Transaksi!$M$2:$M$2001,"="&amp;S1178)+SUMIFS(Transaksi!$H$2:$H$2001,Transaksi!$M$2:$M$2001,"="&amp;S1178)+SUMIFS(Transaksi!$I$2:$I$2001,Transaksi!$M$2:$M$2001,"="&amp;S1178),IF(J1178="E",IF(INDEX(Transaksi!$G$2:$G$2001,K1178)+INDEX(Transaksi!$H$2:$H$2001,K1178)+INDEX(Transaksi!$I$2:$I$2001,K1178)=0,"",INDEX(Transaksi!$G$2:$G$2001,K1178)+INDEX(Transaksi!$H$2:$H$2001,K1178)+INDEX(Transaksi!$I$2:$I$2001,K1178)),""))</f>
        <v/>
      </c>
      <c r="F1178" s="33">
        <f>IF(J1178="H",SUMIFS(Transaksi!$J$2:$J$2001,Transaksi!$M$2:$M$2001,"="&amp;S1178),IF(J1178="E",IF(INDEX(Transaksi!$J$2:$J$2001,K1178)=0,"",INDEX(Transaksi!$J$2:$J$2001,K1178)),""))</f>
        <v/>
      </c>
      <c r="G1178" s="33">
        <f>IF(J1178="H",(SUMIFS(Transaksi!$G$2:$G$2001,Transaksi!$M$2:$M$2001,"&lt;="&amp;S1178)+SUMIFS(Transaksi!$H$2:$H$2001,Transaksi!$M$2:$M$2001,"&lt;="&amp;S1178)+SUMIFS(Transaksi!$I$2:$I$2001,Transaksi!$M$2:$M$2001,"&lt;="&amp;S1178))-(SUMIFS(Transaksi!$J$2:$J$2001,Transaksi!$M$2:$M$2001,"&lt;="&amp;S1178)),"")</f>
        <v/>
      </c>
      <c r="I1178">
        <f>IF(1175&gt;$O$2,"",MATCH(1175,$Q$3:$Q$402,1))</f>
        <v/>
      </c>
      <c r="J1178">
        <f>IF(I1178="","",IF(1175=INDEX($Q$3:$Q$402,I1178),"H","E"))</f>
        <v/>
      </c>
      <c r="K1178">
        <f>IF(J1178&lt;&gt;"E","",MATCH(S1178,Transaksi!$M$2:$M$2001,0)+1175-INDEX($Q$3:$Q$402,I1178)-1)</f>
        <v/>
      </c>
      <c r="S1178">
        <f>IF(I1178="","",INDEX($O$3:$O$402,I1178))</f>
        <v/>
      </c>
      <c r="T1178">
        <f>IF(J1178&lt;&gt;"H","",INDEX(Transaksi!$A$2:$A$2001,MATCH(S1178,Transaksi!$M$2:$M$2001,0)))</f>
        <v/>
      </c>
    </row>
    <row r="1179">
      <c r="A1179" s="31">
        <f>IF(J1179="E",IF(INDEX(Transaksi!$J$2:$J$2001,K1179)&gt;0,"↑","↓"),"")</f>
        <v/>
      </c>
      <c r="B1179" s="32">
        <f>IF(J1179="H",CHOOSE(WEEKDAY(T1179,2),"Isnin","Selasa","Rabu","Khamis","Jumaat","Sabtu","Ahad")&amp;", "&amp;DAY(T1179)&amp;" "&amp;CHOOSE(MONTH(T1179),"Jan","Feb","Mac","Apr","Mei","Jun","Jul","Ogo","Sep","Okt","Nov","Dis")&amp;" "&amp;YEAR(T1179),IF(J1179="E",IF(INDEX(Transaksi!$B$2:$B$2001,K1179)="",INDEX(Transaksi!$C$2:$C$2001,K1179)&amp;" · "&amp;INDEX(Transaksi!$D$2:$D$2001,K1179),INDEX(Transaksi!$B$2:$B$2001,K1179)),""))</f>
        <v/>
      </c>
      <c r="C1179" s="32">
        <f>IF(J1179="E",INDEX(Transaksi!$C$2:$C$2001,K1179)&amp;"","")</f>
        <v/>
      </c>
      <c r="D1179" s="32">
        <f>IF(J1179="E",INDEX(Transaksi!$D$2:$D$2001,K1179)&amp;"","")</f>
        <v/>
      </c>
      <c r="E1179" s="33">
        <f>IF(J1179="H",SUMIFS(Transaksi!$G$2:$G$2001,Transaksi!$M$2:$M$2001,"="&amp;S1179)+SUMIFS(Transaksi!$H$2:$H$2001,Transaksi!$M$2:$M$2001,"="&amp;S1179)+SUMIFS(Transaksi!$I$2:$I$2001,Transaksi!$M$2:$M$2001,"="&amp;S1179),IF(J1179="E",IF(INDEX(Transaksi!$G$2:$G$2001,K1179)+INDEX(Transaksi!$H$2:$H$2001,K1179)+INDEX(Transaksi!$I$2:$I$2001,K1179)=0,"",INDEX(Transaksi!$G$2:$G$2001,K1179)+INDEX(Transaksi!$H$2:$H$2001,K1179)+INDEX(Transaksi!$I$2:$I$2001,K1179)),""))</f>
        <v/>
      </c>
      <c r="F1179" s="33">
        <f>IF(J1179="H",SUMIFS(Transaksi!$J$2:$J$2001,Transaksi!$M$2:$M$2001,"="&amp;S1179),IF(J1179="E",IF(INDEX(Transaksi!$J$2:$J$2001,K1179)=0,"",INDEX(Transaksi!$J$2:$J$2001,K1179)),""))</f>
        <v/>
      </c>
      <c r="G1179" s="33">
        <f>IF(J1179="H",(SUMIFS(Transaksi!$G$2:$G$2001,Transaksi!$M$2:$M$2001,"&lt;="&amp;S1179)+SUMIFS(Transaksi!$H$2:$H$2001,Transaksi!$M$2:$M$2001,"&lt;="&amp;S1179)+SUMIFS(Transaksi!$I$2:$I$2001,Transaksi!$M$2:$M$2001,"&lt;="&amp;S1179))-(SUMIFS(Transaksi!$J$2:$J$2001,Transaksi!$M$2:$M$2001,"&lt;="&amp;S1179)),"")</f>
        <v/>
      </c>
      <c r="I1179">
        <f>IF(1176&gt;$O$2,"",MATCH(1176,$Q$3:$Q$402,1))</f>
        <v/>
      </c>
      <c r="J1179">
        <f>IF(I1179="","",IF(1176=INDEX($Q$3:$Q$402,I1179),"H","E"))</f>
        <v/>
      </c>
      <c r="K1179">
        <f>IF(J1179&lt;&gt;"E","",MATCH(S1179,Transaksi!$M$2:$M$2001,0)+1176-INDEX($Q$3:$Q$402,I1179)-1)</f>
        <v/>
      </c>
      <c r="S1179">
        <f>IF(I1179="","",INDEX($O$3:$O$402,I1179))</f>
        <v/>
      </c>
      <c r="T1179">
        <f>IF(J1179&lt;&gt;"H","",INDEX(Transaksi!$A$2:$A$2001,MATCH(S1179,Transaksi!$M$2:$M$2001,0)))</f>
        <v/>
      </c>
    </row>
    <row r="1180">
      <c r="A1180" s="31">
        <f>IF(J1180="E",IF(INDEX(Transaksi!$J$2:$J$2001,K1180)&gt;0,"↑","↓"),"")</f>
        <v/>
      </c>
      <c r="B1180" s="32">
        <f>IF(J1180="H",CHOOSE(WEEKDAY(T1180,2),"Isnin","Selasa","Rabu","Khamis","Jumaat","Sabtu","Ahad")&amp;", "&amp;DAY(T1180)&amp;" "&amp;CHOOSE(MONTH(T1180),"Jan","Feb","Mac","Apr","Mei","Jun","Jul","Ogo","Sep","Okt","Nov","Dis")&amp;" "&amp;YEAR(T1180),IF(J1180="E",IF(INDEX(Transaksi!$B$2:$B$2001,K1180)="",INDEX(Transaksi!$C$2:$C$2001,K1180)&amp;" · "&amp;INDEX(Transaksi!$D$2:$D$2001,K1180),INDEX(Transaksi!$B$2:$B$2001,K1180)),""))</f>
        <v/>
      </c>
      <c r="C1180" s="32">
        <f>IF(J1180="E",INDEX(Transaksi!$C$2:$C$2001,K1180)&amp;"","")</f>
        <v/>
      </c>
      <c r="D1180" s="32">
        <f>IF(J1180="E",INDEX(Transaksi!$D$2:$D$2001,K1180)&amp;"","")</f>
        <v/>
      </c>
      <c r="E1180" s="33">
        <f>IF(J1180="H",SUMIFS(Transaksi!$G$2:$G$2001,Transaksi!$M$2:$M$2001,"="&amp;S1180)+SUMIFS(Transaksi!$H$2:$H$2001,Transaksi!$M$2:$M$2001,"="&amp;S1180)+SUMIFS(Transaksi!$I$2:$I$2001,Transaksi!$M$2:$M$2001,"="&amp;S1180),IF(J1180="E",IF(INDEX(Transaksi!$G$2:$G$2001,K1180)+INDEX(Transaksi!$H$2:$H$2001,K1180)+INDEX(Transaksi!$I$2:$I$2001,K1180)=0,"",INDEX(Transaksi!$G$2:$G$2001,K1180)+INDEX(Transaksi!$H$2:$H$2001,K1180)+INDEX(Transaksi!$I$2:$I$2001,K1180)),""))</f>
        <v/>
      </c>
      <c r="F1180" s="33">
        <f>IF(J1180="H",SUMIFS(Transaksi!$J$2:$J$2001,Transaksi!$M$2:$M$2001,"="&amp;S1180),IF(J1180="E",IF(INDEX(Transaksi!$J$2:$J$2001,K1180)=0,"",INDEX(Transaksi!$J$2:$J$2001,K1180)),""))</f>
        <v/>
      </c>
      <c r="G1180" s="33">
        <f>IF(J1180="H",(SUMIFS(Transaksi!$G$2:$G$2001,Transaksi!$M$2:$M$2001,"&lt;="&amp;S1180)+SUMIFS(Transaksi!$H$2:$H$2001,Transaksi!$M$2:$M$2001,"&lt;="&amp;S1180)+SUMIFS(Transaksi!$I$2:$I$2001,Transaksi!$M$2:$M$2001,"&lt;="&amp;S1180))-(SUMIFS(Transaksi!$J$2:$J$2001,Transaksi!$M$2:$M$2001,"&lt;="&amp;S1180)),"")</f>
        <v/>
      </c>
      <c r="I1180">
        <f>IF(1177&gt;$O$2,"",MATCH(1177,$Q$3:$Q$402,1))</f>
        <v/>
      </c>
      <c r="J1180">
        <f>IF(I1180="","",IF(1177=INDEX($Q$3:$Q$402,I1180),"H","E"))</f>
        <v/>
      </c>
      <c r="K1180">
        <f>IF(J1180&lt;&gt;"E","",MATCH(S1180,Transaksi!$M$2:$M$2001,0)+1177-INDEX($Q$3:$Q$402,I1180)-1)</f>
        <v/>
      </c>
      <c r="S1180">
        <f>IF(I1180="","",INDEX($O$3:$O$402,I1180))</f>
        <v/>
      </c>
      <c r="T1180">
        <f>IF(J1180&lt;&gt;"H","",INDEX(Transaksi!$A$2:$A$2001,MATCH(S1180,Transaksi!$M$2:$M$2001,0)))</f>
        <v/>
      </c>
    </row>
    <row r="1181">
      <c r="A1181" s="31">
        <f>IF(J1181="E",IF(INDEX(Transaksi!$J$2:$J$2001,K1181)&gt;0,"↑","↓"),"")</f>
        <v/>
      </c>
      <c r="B1181" s="32">
        <f>IF(J1181="H",CHOOSE(WEEKDAY(T1181,2),"Isnin","Selasa","Rabu","Khamis","Jumaat","Sabtu","Ahad")&amp;", "&amp;DAY(T1181)&amp;" "&amp;CHOOSE(MONTH(T1181),"Jan","Feb","Mac","Apr","Mei","Jun","Jul","Ogo","Sep","Okt","Nov","Dis")&amp;" "&amp;YEAR(T1181),IF(J1181="E",IF(INDEX(Transaksi!$B$2:$B$2001,K1181)="",INDEX(Transaksi!$C$2:$C$2001,K1181)&amp;" · "&amp;INDEX(Transaksi!$D$2:$D$2001,K1181),INDEX(Transaksi!$B$2:$B$2001,K1181)),""))</f>
        <v/>
      </c>
      <c r="C1181" s="32">
        <f>IF(J1181="E",INDEX(Transaksi!$C$2:$C$2001,K1181)&amp;"","")</f>
        <v/>
      </c>
      <c r="D1181" s="32">
        <f>IF(J1181="E",INDEX(Transaksi!$D$2:$D$2001,K1181)&amp;"","")</f>
        <v/>
      </c>
      <c r="E1181" s="33">
        <f>IF(J1181="H",SUMIFS(Transaksi!$G$2:$G$2001,Transaksi!$M$2:$M$2001,"="&amp;S1181)+SUMIFS(Transaksi!$H$2:$H$2001,Transaksi!$M$2:$M$2001,"="&amp;S1181)+SUMIFS(Transaksi!$I$2:$I$2001,Transaksi!$M$2:$M$2001,"="&amp;S1181),IF(J1181="E",IF(INDEX(Transaksi!$G$2:$G$2001,K1181)+INDEX(Transaksi!$H$2:$H$2001,K1181)+INDEX(Transaksi!$I$2:$I$2001,K1181)=0,"",INDEX(Transaksi!$G$2:$G$2001,K1181)+INDEX(Transaksi!$H$2:$H$2001,K1181)+INDEX(Transaksi!$I$2:$I$2001,K1181)),""))</f>
        <v/>
      </c>
      <c r="F1181" s="33">
        <f>IF(J1181="H",SUMIFS(Transaksi!$J$2:$J$2001,Transaksi!$M$2:$M$2001,"="&amp;S1181),IF(J1181="E",IF(INDEX(Transaksi!$J$2:$J$2001,K1181)=0,"",INDEX(Transaksi!$J$2:$J$2001,K1181)),""))</f>
        <v/>
      </c>
      <c r="G1181" s="33">
        <f>IF(J1181="H",(SUMIFS(Transaksi!$G$2:$G$2001,Transaksi!$M$2:$M$2001,"&lt;="&amp;S1181)+SUMIFS(Transaksi!$H$2:$H$2001,Transaksi!$M$2:$M$2001,"&lt;="&amp;S1181)+SUMIFS(Transaksi!$I$2:$I$2001,Transaksi!$M$2:$M$2001,"&lt;="&amp;S1181))-(SUMIFS(Transaksi!$J$2:$J$2001,Transaksi!$M$2:$M$2001,"&lt;="&amp;S1181)),"")</f>
        <v/>
      </c>
      <c r="I1181">
        <f>IF(1178&gt;$O$2,"",MATCH(1178,$Q$3:$Q$402,1))</f>
        <v/>
      </c>
      <c r="J1181">
        <f>IF(I1181="","",IF(1178=INDEX($Q$3:$Q$402,I1181),"H","E"))</f>
        <v/>
      </c>
      <c r="K1181">
        <f>IF(J1181&lt;&gt;"E","",MATCH(S1181,Transaksi!$M$2:$M$2001,0)+1178-INDEX($Q$3:$Q$402,I1181)-1)</f>
        <v/>
      </c>
      <c r="S1181">
        <f>IF(I1181="","",INDEX($O$3:$O$402,I1181))</f>
        <v/>
      </c>
      <c r="T1181">
        <f>IF(J1181&lt;&gt;"H","",INDEX(Transaksi!$A$2:$A$2001,MATCH(S1181,Transaksi!$M$2:$M$2001,0)))</f>
        <v/>
      </c>
    </row>
    <row r="1182">
      <c r="A1182" s="31">
        <f>IF(J1182="E",IF(INDEX(Transaksi!$J$2:$J$2001,K1182)&gt;0,"↑","↓"),"")</f>
        <v/>
      </c>
      <c r="B1182" s="32">
        <f>IF(J1182="H",CHOOSE(WEEKDAY(T1182,2),"Isnin","Selasa","Rabu","Khamis","Jumaat","Sabtu","Ahad")&amp;", "&amp;DAY(T1182)&amp;" "&amp;CHOOSE(MONTH(T1182),"Jan","Feb","Mac","Apr","Mei","Jun","Jul","Ogo","Sep","Okt","Nov","Dis")&amp;" "&amp;YEAR(T1182),IF(J1182="E",IF(INDEX(Transaksi!$B$2:$B$2001,K1182)="",INDEX(Transaksi!$C$2:$C$2001,K1182)&amp;" · "&amp;INDEX(Transaksi!$D$2:$D$2001,K1182),INDEX(Transaksi!$B$2:$B$2001,K1182)),""))</f>
        <v/>
      </c>
      <c r="C1182" s="32">
        <f>IF(J1182="E",INDEX(Transaksi!$C$2:$C$2001,K1182)&amp;"","")</f>
        <v/>
      </c>
      <c r="D1182" s="32">
        <f>IF(J1182="E",INDEX(Transaksi!$D$2:$D$2001,K1182)&amp;"","")</f>
        <v/>
      </c>
      <c r="E1182" s="33">
        <f>IF(J1182="H",SUMIFS(Transaksi!$G$2:$G$2001,Transaksi!$M$2:$M$2001,"="&amp;S1182)+SUMIFS(Transaksi!$H$2:$H$2001,Transaksi!$M$2:$M$2001,"="&amp;S1182)+SUMIFS(Transaksi!$I$2:$I$2001,Transaksi!$M$2:$M$2001,"="&amp;S1182),IF(J1182="E",IF(INDEX(Transaksi!$G$2:$G$2001,K1182)+INDEX(Transaksi!$H$2:$H$2001,K1182)+INDEX(Transaksi!$I$2:$I$2001,K1182)=0,"",INDEX(Transaksi!$G$2:$G$2001,K1182)+INDEX(Transaksi!$H$2:$H$2001,K1182)+INDEX(Transaksi!$I$2:$I$2001,K1182)),""))</f>
        <v/>
      </c>
      <c r="F1182" s="33">
        <f>IF(J1182="H",SUMIFS(Transaksi!$J$2:$J$2001,Transaksi!$M$2:$M$2001,"="&amp;S1182),IF(J1182="E",IF(INDEX(Transaksi!$J$2:$J$2001,K1182)=0,"",INDEX(Transaksi!$J$2:$J$2001,K1182)),""))</f>
        <v/>
      </c>
      <c r="G1182" s="33">
        <f>IF(J1182="H",(SUMIFS(Transaksi!$G$2:$G$2001,Transaksi!$M$2:$M$2001,"&lt;="&amp;S1182)+SUMIFS(Transaksi!$H$2:$H$2001,Transaksi!$M$2:$M$2001,"&lt;="&amp;S1182)+SUMIFS(Transaksi!$I$2:$I$2001,Transaksi!$M$2:$M$2001,"&lt;="&amp;S1182))-(SUMIFS(Transaksi!$J$2:$J$2001,Transaksi!$M$2:$M$2001,"&lt;="&amp;S1182)),"")</f>
        <v/>
      </c>
      <c r="I1182">
        <f>IF(1179&gt;$O$2,"",MATCH(1179,$Q$3:$Q$402,1))</f>
        <v/>
      </c>
      <c r="J1182">
        <f>IF(I1182="","",IF(1179=INDEX($Q$3:$Q$402,I1182),"H","E"))</f>
        <v/>
      </c>
      <c r="K1182">
        <f>IF(J1182&lt;&gt;"E","",MATCH(S1182,Transaksi!$M$2:$M$2001,0)+1179-INDEX($Q$3:$Q$402,I1182)-1)</f>
        <v/>
      </c>
      <c r="S1182">
        <f>IF(I1182="","",INDEX($O$3:$O$402,I1182))</f>
        <v/>
      </c>
      <c r="T1182">
        <f>IF(J1182&lt;&gt;"H","",INDEX(Transaksi!$A$2:$A$2001,MATCH(S1182,Transaksi!$M$2:$M$2001,0)))</f>
        <v/>
      </c>
    </row>
    <row r="1183">
      <c r="A1183" s="31">
        <f>IF(J1183="E",IF(INDEX(Transaksi!$J$2:$J$2001,K1183)&gt;0,"↑","↓"),"")</f>
        <v/>
      </c>
      <c r="B1183" s="32">
        <f>IF(J1183="H",CHOOSE(WEEKDAY(T1183,2),"Isnin","Selasa","Rabu","Khamis","Jumaat","Sabtu","Ahad")&amp;", "&amp;DAY(T1183)&amp;" "&amp;CHOOSE(MONTH(T1183),"Jan","Feb","Mac","Apr","Mei","Jun","Jul","Ogo","Sep","Okt","Nov","Dis")&amp;" "&amp;YEAR(T1183),IF(J1183="E",IF(INDEX(Transaksi!$B$2:$B$2001,K1183)="",INDEX(Transaksi!$C$2:$C$2001,K1183)&amp;" · "&amp;INDEX(Transaksi!$D$2:$D$2001,K1183),INDEX(Transaksi!$B$2:$B$2001,K1183)),""))</f>
        <v/>
      </c>
      <c r="C1183" s="32">
        <f>IF(J1183="E",INDEX(Transaksi!$C$2:$C$2001,K1183)&amp;"","")</f>
        <v/>
      </c>
      <c r="D1183" s="32">
        <f>IF(J1183="E",INDEX(Transaksi!$D$2:$D$2001,K1183)&amp;"","")</f>
        <v/>
      </c>
      <c r="E1183" s="33">
        <f>IF(J1183="H",SUMIFS(Transaksi!$G$2:$G$2001,Transaksi!$M$2:$M$2001,"="&amp;S1183)+SUMIFS(Transaksi!$H$2:$H$2001,Transaksi!$M$2:$M$2001,"="&amp;S1183)+SUMIFS(Transaksi!$I$2:$I$2001,Transaksi!$M$2:$M$2001,"="&amp;S1183),IF(J1183="E",IF(INDEX(Transaksi!$G$2:$G$2001,K1183)+INDEX(Transaksi!$H$2:$H$2001,K1183)+INDEX(Transaksi!$I$2:$I$2001,K1183)=0,"",INDEX(Transaksi!$G$2:$G$2001,K1183)+INDEX(Transaksi!$H$2:$H$2001,K1183)+INDEX(Transaksi!$I$2:$I$2001,K1183)),""))</f>
        <v/>
      </c>
      <c r="F1183" s="33">
        <f>IF(J1183="H",SUMIFS(Transaksi!$J$2:$J$2001,Transaksi!$M$2:$M$2001,"="&amp;S1183),IF(J1183="E",IF(INDEX(Transaksi!$J$2:$J$2001,K1183)=0,"",INDEX(Transaksi!$J$2:$J$2001,K1183)),""))</f>
        <v/>
      </c>
      <c r="G1183" s="33">
        <f>IF(J1183="H",(SUMIFS(Transaksi!$G$2:$G$2001,Transaksi!$M$2:$M$2001,"&lt;="&amp;S1183)+SUMIFS(Transaksi!$H$2:$H$2001,Transaksi!$M$2:$M$2001,"&lt;="&amp;S1183)+SUMIFS(Transaksi!$I$2:$I$2001,Transaksi!$M$2:$M$2001,"&lt;="&amp;S1183))-(SUMIFS(Transaksi!$J$2:$J$2001,Transaksi!$M$2:$M$2001,"&lt;="&amp;S1183)),"")</f>
        <v/>
      </c>
      <c r="I1183">
        <f>IF(1180&gt;$O$2,"",MATCH(1180,$Q$3:$Q$402,1))</f>
        <v/>
      </c>
      <c r="J1183">
        <f>IF(I1183="","",IF(1180=INDEX($Q$3:$Q$402,I1183),"H","E"))</f>
        <v/>
      </c>
      <c r="K1183">
        <f>IF(J1183&lt;&gt;"E","",MATCH(S1183,Transaksi!$M$2:$M$2001,0)+1180-INDEX($Q$3:$Q$402,I1183)-1)</f>
        <v/>
      </c>
      <c r="S1183">
        <f>IF(I1183="","",INDEX($O$3:$O$402,I1183))</f>
        <v/>
      </c>
      <c r="T1183">
        <f>IF(J1183&lt;&gt;"H","",INDEX(Transaksi!$A$2:$A$2001,MATCH(S1183,Transaksi!$M$2:$M$2001,0)))</f>
        <v/>
      </c>
    </row>
    <row r="1184">
      <c r="A1184" s="31">
        <f>IF(J1184="E",IF(INDEX(Transaksi!$J$2:$J$2001,K1184)&gt;0,"↑","↓"),"")</f>
        <v/>
      </c>
      <c r="B1184" s="32">
        <f>IF(J1184="H",CHOOSE(WEEKDAY(T1184,2),"Isnin","Selasa","Rabu","Khamis","Jumaat","Sabtu","Ahad")&amp;", "&amp;DAY(T1184)&amp;" "&amp;CHOOSE(MONTH(T1184),"Jan","Feb","Mac","Apr","Mei","Jun","Jul","Ogo","Sep","Okt","Nov","Dis")&amp;" "&amp;YEAR(T1184),IF(J1184="E",IF(INDEX(Transaksi!$B$2:$B$2001,K1184)="",INDEX(Transaksi!$C$2:$C$2001,K1184)&amp;" · "&amp;INDEX(Transaksi!$D$2:$D$2001,K1184),INDEX(Transaksi!$B$2:$B$2001,K1184)),""))</f>
        <v/>
      </c>
      <c r="C1184" s="32">
        <f>IF(J1184="E",INDEX(Transaksi!$C$2:$C$2001,K1184)&amp;"","")</f>
        <v/>
      </c>
      <c r="D1184" s="32">
        <f>IF(J1184="E",INDEX(Transaksi!$D$2:$D$2001,K1184)&amp;"","")</f>
        <v/>
      </c>
      <c r="E1184" s="33">
        <f>IF(J1184="H",SUMIFS(Transaksi!$G$2:$G$2001,Transaksi!$M$2:$M$2001,"="&amp;S1184)+SUMIFS(Transaksi!$H$2:$H$2001,Transaksi!$M$2:$M$2001,"="&amp;S1184)+SUMIFS(Transaksi!$I$2:$I$2001,Transaksi!$M$2:$M$2001,"="&amp;S1184),IF(J1184="E",IF(INDEX(Transaksi!$G$2:$G$2001,K1184)+INDEX(Transaksi!$H$2:$H$2001,K1184)+INDEX(Transaksi!$I$2:$I$2001,K1184)=0,"",INDEX(Transaksi!$G$2:$G$2001,K1184)+INDEX(Transaksi!$H$2:$H$2001,K1184)+INDEX(Transaksi!$I$2:$I$2001,K1184)),""))</f>
        <v/>
      </c>
      <c r="F1184" s="33">
        <f>IF(J1184="H",SUMIFS(Transaksi!$J$2:$J$2001,Transaksi!$M$2:$M$2001,"="&amp;S1184),IF(J1184="E",IF(INDEX(Transaksi!$J$2:$J$2001,K1184)=0,"",INDEX(Transaksi!$J$2:$J$2001,K1184)),""))</f>
        <v/>
      </c>
      <c r="G1184" s="33">
        <f>IF(J1184="H",(SUMIFS(Transaksi!$G$2:$G$2001,Transaksi!$M$2:$M$2001,"&lt;="&amp;S1184)+SUMIFS(Transaksi!$H$2:$H$2001,Transaksi!$M$2:$M$2001,"&lt;="&amp;S1184)+SUMIFS(Transaksi!$I$2:$I$2001,Transaksi!$M$2:$M$2001,"&lt;="&amp;S1184))-(SUMIFS(Transaksi!$J$2:$J$2001,Transaksi!$M$2:$M$2001,"&lt;="&amp;S1184)),"")</f>
        <v/>
      </c>
      <c r="I1184">
        <f>IF(1181&gt;$O$2,"",MATCH(1181,$Q$3:$Q$402,1))</f>
        <v/>
      </c>
      <c r="J1184">
        <f>IF(I1184="","",IF(1181=INDEX($Q$3:$Q$402,I1184),"H","E"))</f>
        <v/>
      </c>
      <c r="K1184">
        <f>IF(J1184&lt;&gt;"E","",MATCH(S1184,Transaksi!$M$2:$M$2001,0)+1181-INDEX($Q$3:$Q$402,I1184)-1)</f>
        <v/>
      </c>
      <c r="S1184">
        <f>IF(I1184="","",INDEX($O$3:$O$402,I1184))</f>
        <v/>
      </c>
      <c r="T1184">
        <f>IF(J1184&lt;&gt;"H","",INDEX(Transaksi!$A$2:$A$2001,MATCH(S1184,Transaksi!$M$2:$M$2001,0)))</f>
        <v/>
      </c>
    </row>
    <row r="1185">
      <c r="A1185" s="31">
        <f>IF(J1185="E",IF(INDEX(Transaksi!$J$2:$J$2001,K1185)&gt;0,"↑","↓"),"")</f>
        <v/>
      </c>
      <c r="B1185" s="32">
        <f>IF(J1185="H",CHOOSE(WEEKDAY(T1185,2),"Isnin","Selasa","Rabu","Khamis","Jumaat","Sabtu","Ahad")&amp;", "&amp;DAY(T1185)&amp;" "&amp;CHOOSE(MONTH(T1185),"Jan","Feb","Mac","Apr","Mei","Jun","Jul","Ogo","Sep","Okt","Nov","Dis")&amp;" "&amp;YEAR(T1185),IF(J1185="E",IF(INDEX(Transaksi!$B$2:$B$2001,K1185)="",INDEX(Transaksi!$C$2:$C$2001,K1185)&amp;" · "&amp;INDEX(Transaksi!$D$2:$D$2001,K1185),INDEX(Transaksi!$B$2:$B$2001,K1185)),""))</f>
        <v/>
      </c>
      <c r="C1185" s="32">
        <f>IF(J1185="E",INDEX(Transaksi!$C$2:$C$2001,K1185)&amp;"","")</f>
        <v/>
      </c>
      <c r="D1185" s="32">
        <f>IF(J1185="E",INDEX(Transaksi!$D$2:$D$2001,K1185)&amp;"","")</f>
        <v/>
      </c>
      <c r="E1185" s="33">
        <f>IF(J1185="H",SUMIFS(Transaksi!$G$2:$G$2001,Transaksi!$M$2:$M$2001,"="&amp;S1185)+SUMIFS(Transaksi!$H$2:$H$2001,Transaksi!$M$2:$M$2001,"="&amp;S1185)+SUMIFS(Transaksi!$I$2:$I$2001,Transaksi!$M$2:$M$2001,"="&amp;S1185),IF(J1185="E",IF(INDEX(Transaksi!$G$2:$G$2001,K1185)+INDEX(Transaksi!$H$2:$H$2001,K1185)+INDEX(Transaksi!$I$2:$I$2001,K1185)=0,"",INDEX(Transaksi!$G$2:$G$2001,K1185)+INDEX(Transaksi!$H$2:$H$2001,K1185)+INDEX(Transaksi!$I$2:$I$2001,K1185)),""))</f>
        <v/>
      </c>
      <c r="F1185" s="33">
        <f>IF(J1185="H",SUMIFS(Transaksi!$J$2:$J$2001,Transaksi!$M$2:$M$2001,"="&amp;S1185),IF(J1185="E",IF(INDEX(Transaksi!$J$2:$J$2001,K1185)=0,"",INDEX(Transaksi!$J$2:$J$2001,K1185)),""))</f>
        <v/>
      </c>
      <c r="G1185" s="33">
        <f>IF(J1185="H",(SUMIFS(Transaksi!$G$2:$G$2001,Transaksi!$M$2:$M$2001,"&lt;="&amp;S1185)+SUMIFS(Transaksi!$H$2:$H$2001,Transaksi!$M$2:$M$2001,"&lt;="&amp;S1185)+SUMIFS(Transaksi!$I$2:$I$2001,Transaksi!$M$2:$M$2001,"&lt;="&amp;S1185))-(SUMIFS(Transaksi!$J$2:$J$2001,Transaksi!$M$2:$M$2001,"&lt;="&amp;S1185)),"")</f>
        <v/>
      </c>
      <c r="I1185">
        <f>IF(1182&gt;$O$2,"",MATCH(1182,$Q$3:$Q$402,1))</f>
        <v/>
      </c>
      <c r="J1185">
        <f>IF(I1185="","",IF(1182=INDEX($Q$3:$Q$402,I1185),"H","E"))</f>
        <v/>
      </c>
      <c r="K1185">
        <f>IF(J1185&lt;&gt;"E","",MATCH(S1185,Transaksi!$M$2:$M$2001,0)+1182-INDEX($Q$3:$Q$402,I1185)-1)</f>
        <v/>
      </c>
      <c r="S1185">
        <f>IF(I1185="","",INDEX($O$3:$O$402,I1185))</f>
        <v/>
      </c>
      <c r="T1185">
        <f>IF(J1185&lt;&gt;"H","",INDEX(Transaksi!$A$2:$A$2001,MATCH(S1185,Transaksi!$M$2:$M$2001,0)))</f>
        <v/>
      </c>
    </row>
    <row r="1186">
      <c r="A1186" s="31">
        <f>IF(J1186="E",IF(INDEX(Transaksi!$J$2:$J$2001,K1186)&gt;0,"↑","↓"),"")</f>
        <v/>
      </c>
      <c r="B1186" s="32">
        <f>IF(J1186="H",CHOOSE(WEEKDAY(T1186,2),"Isnin","Selasa","Rabu","Khamis","Jumaat","Sabtu","Ahad")&amp;", "&amp;DAY(T1186)&amp;" "&amp;CHOOSE(MONTH(T1186),"Jan","Feb","Mac","Apr","Mei","Jun","Jul","Ogo","Sep","Okt","Nov","Dis")&amp;" "&amp;YEAR(T1186),IF(J1186="E",IF(INDEX(Transaksi!$B$2:$B$2001,K1186)="",INDEX(Transaksi!$C$2:$C$2001,K1186)&amp;" · "&amp;INDEX(Transaksi!$D$2:$D$2001,K1186),INDEX(Transaksi!$B$2:$B$2001,K1186)),""))</f>
        <v/>
      </c>
      <c r="C1186" s="32">
        <f>IF(J1186="E",INDEX(Transaksi!$C$2:$C$2001,K1186)&amp;"","")</f>
        <v/>
      </c>
      <c r="D1186" s="32">
        <f>IF(J1186="E",INDEX(Transaksi!$D$2:$D$2001,K1186)&amp;"","")</f>
        <v/>
      </c>
      <c r="E1186" s="33">
        <f>IF(J1186="H",SUMIFS(Transaksi!$G$2:$G$2001,Transaksi!$M$2:$M$2001,"="&amp;S1186)+SUMIFS(Transaksi!$H$2:$H$2001,Transaksi!$M$2:$M$2001,"="&amp;S1186)+SUMIFS(Transaksi!$I$2:$I$2001,Transaksi!$M$2:$M$2001,"="&amp;S1186),IF(J1186="E",IF(INDEX(Transaksi!$G$2:$G$2001,K1186)+INDEX(Transaksi!$H$2:$H$2001,K1186)+INDEX(Transaksi!$I$2:$I$2001,K1186)=0,"",INDEX(Transaksi!$G$2:$G$2001,K1186)+INDEX(Transaksi!$H$2:$H$2001,K1186)+INDEX(Transaksi!$I$2:$I$2001,K1186)),""))</f>
        <v/>
      </c>
      <c r="F1186" s="33">
        <f>IF(J1186="H",SUMIFS(Transaksi!$J$2:$J$2001,Transaksi!$M$2:$M$2001,"="&amp;S1186),IF(J1186="E",IF(INDEX(Transaksi!$J$2:$J$2001,K1186)=0,"",INDEX(Transaksi!$J$2:$J$2001,K1186)),""))</f>
        <v/>
      </c>
      <c r="G1186" s="33">
        <f>IF(J1186="H",(SUMIFS(Transaksi!$G$2:$G$2001,Transaksi!$M$2:$M$2001,"&lt;="&amp;S1186)+SUMIFS(Transaksi!$H$2:$H$2001,Transaksi!$M$2:$M$2001,"&lt;="&amp;S1186)+SUMIFS(Transaksi!$I$2:$I$2001,Transaksi!$M$2:$M$2001,"&lt;="&amp;S1186))-(SUMIFS(Transaksi!$J$2:$J$2001,Transaksi!$M$2:$M$2001,"&lt;="&amp;S1186)),"")</f>
        <v/>
      </c>
      <c r="I1186">
        <f>IF(1183&gt;$O$2,"",MATCH(1183,$Q$3:$Q$402,1))</f>
        <v/>
      </c>
      <c r="J1186">
        <f>IF(I1186="","",IF(1183=INDEX($Q$3:$Q$402,I1186),"H","E"))</f>
        <v/>
      </c>
      <c r="K1186">
        <f>IF(J1186&lt;&gt;"E","",MATCH(S1186,Transaksi!$M$2:$M$2001,0)+1183-INDEX($Q$3:$Q$402,I1186)-1)</f>
        <v/>
      </c>
      <c r="S1186">
        <f>IF(I1186="","",INDEX($O$3:$O$402,I1186))</f>
        <v/>
      </c>
      <c r="T1186">
        <f>IF(J1186&lt;&gt;"H","",INDEX(Transaksi!$A$2:$A$2001,MATCH(S1186,Transaksi!$M$2:$M$2001,0)))</f>
        <v/>
      </c>
    </row>
    <row r="1187">
      <c r="A1187" s="31">
        <f>IF(J1187="E",IF(INDEX(Transaksi!$J$2:$J$2001,K1187)&gt;0,"↑","↓"),"")</f>
        <v/>
      </c>
      <c r="B1187" s="32">
        <f>IF(J1187="H",CHOOSE(WEEKDAY(T1187,2),"Isnin","Selasa","Rabu","Khamis","Jumaat","Sabtu","Ahad")&amp;", "&amp;DAY(T1187)&amp;" "&amp;CHOOSE(MONTH(T1187),"Jan","Feb","Mac","Apr","Mei","Jun","Jul","Ogo","Sep","Okt","Nov","Dis")&amp;" "&amp;YEAR(T1187),IF(J1187="E",IF(INDEX(Transaksi!$B$2:$B$2001,K1187)="",INDEX(Transaksi!$C$2:$C$2001,K1187)&amp;" · "&amp;INDEX(Transaksi!$D$2:$D$2001,K1187),INDEX(Transaksi!$B$2:$B$2001,K1187)),""))</f>
        <v/>
      </c>
      <c r="C1187" s="32">
        <f>IF(J1187="E",INDEX(Transaksi!$C$2:$C$2001,K1187)&amp;"","")</f>
        <v/>
      </c>
      <c r="D1187" s="32">
        <f>IF(J1187="E",INDEX(Transaksi!$D$2:$D$2001,K1187)&amp;"","")</f>
        <v/>
      </c>
      <c r="E1187" s="33">
        <f>IF(J1187="H",SUMIFS(Transaksi!$G$2:$G$2001,Transaksi!$M$2:$M$2001,"="&amp;S1187)+SUMIFS(Transaksi!$H$2:$H$2001,Transaksi!$M$2:$M$2001,"="&amp;S1187)+SUMIFS(Transaksi!$I$2:$I$2001,Transaksi!$M$2:$M$2001,"="&amp;S1187),IF(J1187="E",IF(INDEX(Transaksi!$G$2:$G$2001,K1187)+INDEX(Transaksi!$H$2:$H$2001,K1187)+INDEX(Transaksi!$I$2:$I$2001,K1187)=0,"",INDEX(Transaksi!$G$2:$G$2001,K1187)+INDEX(Transaksi!$H$2:$H$2001,K1187)+INDEX(Transaksi!$I$2:$I$2001,K1187)),""))</f>
        <v/>
      </c>
      <c r="F1187" s="33">
        <f>IF(J1187="H",SUMIFS(Transaksi!$J$2:$J$2001,Transaksi!$M$2:$M$2001,"="&amp;S1187),IF(J1187="E",IF(INDEX(Transaksi!$J$2:$J$2001,K1187)=0,"",INDEX(Transaksi!$J$2:$J$2001,K1187)),""))</f>
        <v/>
      </c>
      <c r="G1187" s="33">
        <f>IF(J1187="H",(SUMIFS(Transaksi!$G$2:$G$2001,Transaksi!$M$2:$M$2001,"&lt;="&amp;S1187)+SUMIFS(Transaksi!$H$2:$H$2001,Transaksi!$M$2:$M$2001,"&lt;="&amp;S1187)+SUMIFS(Transaksi!$I$2:$I$2001,Transaksi!$M$2:$M$2001,"&lt;="&amp;S1187))-(SUMIFS(Transaksi!$J$2:$J$2001,Transaksi!$M$2:$M$2001,"&lt;="&amp;S1187)),"")</f>
        <v/>
      </c>
      <c r="I1187">
        <f>IF(1184&gt;$O$2,"",MATCH(1184,$Q$3:$Q$402,1))</f>
        <v/>
      </c>
      <c r="J1187">
        <f>IF(I1187="","",IF(1184=INDEX($Q$3:$Q$402,I1187),"H","E"))</f>
        <v/>
      </c>
      <c r="K1187">
        <f>IF(J1187&lt;&gt;"E","",MATCH(S1187,Transaksi!$M$2:$M$2001,0)+1184-INDEX($Q$3:$Q$402,I1187)-1)</f>
        <v/>
      </c>
      <c r="S1187">
        <f>IF(I1187="","",INDEX($O$3:$O$402,I1187))</f>
        <v/>
      </c>
      <c r="T1187">
        <f>IF(J1187&lt;&gt;"H","",INDEX(Transaksi!$A$2:$A$2001,MATCH(S1187,Transaksi!$M$2:$M$2001,0)))</f>
        <v/>
      </c>
    </row>
    <row r="1188">
      <c r="A1188" s="31">
        <f>IF(J1188="E",IF(INDEX(Transaksi!$J$2:$J$2001,K1188)&gt;0,"↑","↓"),"")</f>
        <v/>
      </c>
      <c r="B1188" s="32">
        <f>IF(J1188="H",CHOOSE(WEEKDAY(T1188,2),"Isnin","Selasa","Rabu","Khamis","Jumaat","Sabtu","Ahad")&amp;", "&amp;DAY(T1188)&amp;" "&amp;CHOOSE(MONTH(T1188),"Jan","Feb","Mac","Apr","Mei","Jun","Jul","Ogo","Sep","Okt","Nov","Dis")&amp;" "&amp;YEAR(T1188),IF(J1188="E",IF(INDEX(Transaksi!$B$2:$B$2001,K1188)="",INDEX(Transaksi!$C$2:$C$2001,K1188)&amp;" · "&amp;INDEX(Transaksi!$D$2:$D$2001,K1188),INDEX(Transaksi!$B$2:$B$2001,K1188)),""))</f>
        <v/>
      </c>
      <c r="C1188" s="32">
        <f>IF(J1188="E",INDEX(Transaksi!$C$2:$C$2001,K1188)&amp;"","")</f>
        <v/>
      </c>
      <c r="D1188" s="32">
        <f>IF(J1188="E",INDEX(Transaksi!$D$2:$D$2001,K1188)&amp;"","")</f>
        <v/>
      </c>
      <c r="E1188" s="33">
        <f>IF(J1188="H",SUMIFS(Transaksi!$G$2:$G$2001,Transaksi!$M$2:$M$2001,"="&amp;S1188)+SUMIFS(Transaksi!$H$2:$H$2001,Transaksi!$M$2:$M$2001,"="&amp;S1188)+SUMIFS(Transaksi!$I$2:$I$2001,Transaksi!$M$2:$M$2001,"="&amp;S1188),IF(J1188="E",IF(INDEX(Transaksi!$G$2:$G$2001,K1188)+INDEX(Transaksi!$H$2:$H$2001,K1188)+INDEX(Transaksi!$I$2:$I$2001,K1188)=0,"",INDEX(Transaksi!$G$2:$G$2001,K1188)+INDEX(Transaksi!$H$2:$H$2001,K1188)+INDEX(Transaksi!$I$2:$I$2001,K1188)),""))</f>
        <v/>
      </c>
      <c r="F1188" s="33">
        <f>IF(J1188="H",SUMIFS(Transaksi!$J$2:$J$2001,Transaksi!$M$2:$M$2001,"="&amp;S1188),IF(J1188="E",IF(INDEX(Transaksi!$J$2:$J$2001,K1188)=0,"",INDEX(Transaksi!$J$2:$J$2001,K1188)),""))</f>
        <v/>
      </c>
      <c r="G1188" s="33">
        <f>IF(J1188="H",(SUMIFS(Transaksi!$G$2:$G$2001,Transaksi!$M$2:$M$2001,"&lt;="&amp;S1188)+SUMIFS(Transaksi!$H$2:$H$2001,Transaksi!$M$2:$M$2001,"&lt;="&amp;S1188)+SUMIFS(Transaksi!$I$2:$I$2001,Transaksi!$M$2:$M$2001,"&lt;="&amp;S1188))-(SUMIFS(Transaksi!$J$2:$J$2001,Transaksi!$M$2:$M$2001,"&lt;="&amp;S1188)),"")</f>
        <v/>
      </c>
      <c r="I1188">
        <f>IF(1185&gt;$O$2,"",MATCH(1185,$Q$3:$Q$402,1))</f>
        <v/>
      </c>
      <c r="J1188">
        <f>IF(I1188="","",IF(1185=INDEX($Q$3:$Q$402,I1188),"H","E"))</f>
        <v/>
      </c>
      <c r="K1188">
        <f>IF(J1188&lt;&gt;"E","",MATCH(S1188,Transaksi!$M$2:$M$2001,0)+1185-INDEX($Q$3:$Q$402,I1188)-1)</f>
        <v/>
      </c>
      <c r="S1188">
        <f>IF(I1188="","",INDEX($O$3:$O$402,I1188))</f>
        <v/>
      </c>
      <c r="T1188">
        <f>IF(J1188&lt;&gt;"H","",INDEX(Transaksi!$A$2:$A$2001,MATCH(S1188,Transaksi!$M$2:$M$2001,0)))</f>
        <v/>
      </c>
    </row>
    <row r="1189">
      <c r="A1189" s="31">
        <f>IF(J1189="E",IF(INDEX(Transaksi!$J$2:$J$2001,K1189)&gt;0,"↑","↓"),"")</f>
        <v/>
      </c>
      <c r="B1189" s="32">
        <f>IF(J1189="H",CHOOSE(WEEKDAY(T1189,2),"Isnin","Selasa","Rabu","Khamis","Jumaat","Sabtu","Ahad")&amp;", "&amp;DAY(T1189)&amp;" "&amp;CHOOSE(MONTH(T1189),"Jan","Feb","Mac","Apr","Mei","Jun","Jul","Ogo","Sep","Okt","Nov","Dis")&amp;" "&amp;YEAR(T1189),IF(J1189="E",IF(INDEX(Transaksi!$B$2:$B$2001,K1189)="",INDEX(Transaksi!$C$2:$C$2001,K1189)&amp;" · "&amp;INDEX(Transaksi!$D$2:$D$2001,K1189),INDEX(Transaksi!$B$2:$B$2001,K1189)),""))</f>
        <v/>
      </c>
      <c r="C1189" s="32">
        <f>IF(J1189="E",INDEX(Transaksi!$C$2:$C$2001,K1189)&amp;"","")</f>
        <v/>
      </c>
      <c r="D1189" s="32">
        <f>IF(J1189="E",INDEX(Transaksi!$D$2:$D$2001,K1189)&amp;"","")</f>
        <v/>
      </c>
      <c r="E1189" s="33">
        <f>IF(J1189="H",SUMIFS(Transaksi!$G$2:$G$2001,Transaksi!$M$2:$M$2001,"="&amp;S1189)+SUMIFS(Transaksi!$H$2:$H$2001,Transaksi!$M$2:$M$2001,"="&amp;S1189)+SUMIFS(Transaksi!$I$2:$I$2001,Transaksi!$M$2:$M$2001,"="&amp;S1189),IF(J1189="E",IF(INDEX(Transaksi!$G$2:$G$2001,K1189)+INDEX(Transaksi!$H$2:$H$2001,K1189)+INDEX(Transaksi!$I$2:$I$2001,K1189)=0,"",INDEX(Transaksi!$G$2:$G$2001,K1189)+INDEX(Transaksi!$H$2:$H$2001,K1189)+INDEX(Transaksi!$I$2:$I$2001,K1189)),""))</f>
        <v/>
      </c>
      <c r="F1189" s="33">
        <f>IF(J1189="H",SUMIFS(Transaksi!$J$2:$J$2001,Transaksi!$M$2:$M$2001,"="&amp;S1189),IF(J1189="E",IF(INDEX(Transaksi!$J$2:$J$2001,K1189)=0,"",INDEX(Transaksi!$J$2:$J$2001,K1189)),""))</f>
        <v/>
      </c>
      <c r="G1189" s="33">
        <f>IF(J1189="H",(SUMIFS(Transaksi!$G$2:$G$2001,Transaksi!$M$2:$M$2001,"&lt;="&amp;S1189)+SUMIFS(Transaksi!$H$2:$H$2001,Transaksi!$M$2:$M$2001,"&lt;="&amp;S1189)+SUMIFS(Transaksi!$I$2:$I$2001,Transaksi!$M$2:$M$2001,"&lt;="&amp;S1189))-(SUMIFS(Transaksi!$J$2:$J$2001,Transaksi!$M$2:$M$2001,"&lt;="&amp;S1189)),"")</f>
        <v/>
      </c>
      <c r="I1189">
        <f>IF(1186&gt;$O$2,"",MATCH(1186,$Q$3:$Q$402,1))</f>
        <v/>
      </c>
      <c r="J1189">
        <f>IF(I1189="","",IF(1186=INDEX($Q$3:$Q$402,I1189),"H","E"))</f>
        <v/>
      </c>
      <c r="K1189">
        <f>IF(J1189&lt;&gt;"E","",MATCH(S1189,Transaksi!$M$2:$M$2001,0)+1186-INDEX($Q$3:$Q$402,I1189)-1)</f>
        <v/>
      </c>
      <c r="S1189">
        <f>IF(I1189="","",INDEX($O$3:$O$402,I1189))</f>
        <v/>
      </c>
      <c r="T1189">
        <f>IF(J1189&lt;&gt;"H","",INDEX(Transaksi!$A$2:$A$2001,MATCH(S1189,Transaksi!$M$2:$M$2001,0)))</f>
        <v/>
      </c>
    </row>
    <row r="1190">
      <c r="A1190" s="31">
        <f>IF(J1190="E",IF(INDEX(Transaksi!$J$2:$J$2001,K1190)&gt;0,"↑","↓"),"")</f>
        <v/>
      </c>
      <c r="B1190" s="32">
        <f>IF(J1190="H",CHOOSE(WEEKDAY(T1190,2),"Isnin","Selasa","Rabu","Khamis","Jumaat","Sabtu","Ahad")&amp;", "&amp;DAY(T1190)&amp;" "&amp;CHOOSE(MONTH(T1190),"Jan","Feb","Mac","Apr","Mei","Jun","Jul","Ogo","Sep","Okt","Nov","Dis")&amp;" "&amp;YEAR(T1190),IF(J1190="E",IF(INDEX(Transaksi!$B$2:$B$2001,K1190)="",INDEX(Transaksi!$C$2:$C$2001,K1190)&amp;" · "&amp;INDEX(Transaksi!$D$2:$D$2001,K1190),INDEX(Transaksi!$B$2:$B$2001,K1190)),""))</f>
        <v/>
      </c>
      <c r="C1190" s="32">
        <f>IF(J1190="E",INDEX(Transaksi!$C$2:$C$2001,K1190)&amp;"","")</f>
        <v/>
      </c>
      <c r="D1190" s="32">
        <f>IF(J1190="E",INDEX(Transaksi!$D$2:$D$2001,K1190)&amp;"","")</f>
        <v/>
      </c>
      <c r="E1190" s="33">
        <f>IF(J1190="H",SUMIFS(Transaksi!$G$2:$G$2001,Transaksi!$M$2:$M$2001,"="&amp;S1190)+SUMIFS(Transaksi!$H$2:$H$2001,Transaksi!$M$2:$M$2001,"="&amp;S1190)+SUMIFS(Transaksi!$I$2:$I$2001,Transaksi!$M$2:$M$2001,"="&amp;S1190),IF(J1190="E",IF(INDEX(Transaksi!$G$2:$G$2001,K1190)+INDEX(Transaksi!$H$2:$H$2001,K1190)+INDEX(Transaksi!$I$2:$I$2001,K1190)=0,"",INDEX(Transaksi!$G$2:$G$2001,K1190)+INDEX(Transaksi!$H$2:$H$2001,K1190)+INDEX(Transaksi!$I$2:$I$2001,K1190)),""))</f>
        <v/>
      </c>
      <c r="F1190" s="33">
        <f>IF(J1190="H",SUMIFS(Transaksi!$J$2:$J$2001,Transaksi!$M$2:$M$2001,"="&amp;S1190),IF(J1190="E",IF(INDEX(Transaksi!$J$2:$J$2001,K1190)=0,"",INDEX(Transaksi!$J$2:$J$2001,K1190)),""))</f>
        <v/>
      </c>
      <c r="G1190" s="33">
        <f>IF(J1190="H",(SUMIFS(Transaksi!$G$2:$G$2001,Transaksi!$M$2:$M$2001,"&lt;="&amp;S1190)+SUMIFS(Transaksi!$H$2:$H$2001,Transaksi!$M$2:$M$2001,"&lt;="&amp;S1190)+SUMIFS(Transaksi!$I$2:$I$2001,Transaksi!$M$2:$M$2001,"&lt;="&amp;S1190))-(SUMIFS(Transaksi!$J$2:$J$2001,Transaksi!$M$2:$M$2001,"&lt;="&amp;S1190)),"")</f>
        <v/>
      </c>
      <c r="I1190">
        <f>IF(1187&gt;$O$2,"",MATCH(1187,$Q$3:$Q$402,1))</f>
        <v/>
      </c>
      <c r="J1190">
        <f>IF(I1190="","",IF(1187=INDEX($Q$3:$Q$402,I1190),"H","E"))</f>
        <v/>
      </c>
      <c r="K1190">
        <f>IF(J1190&lt;&gt;"E","",MATCH(S1190,Transaksi!$M$2:$M$2001,0)+1187-INDEX($Q$3:$Q$402,I1190)-1)</f>
        <v/>
      </c>
      <c r="S1190">
        <f>IF(I1190="","",INDEX($O$3:$O$402,I1190))</f>
        <v/>
      </c>
      <c r="T1190">
        <f>IF(J1190&lt;&gt;"H","",INDEX(Transaksi!$A$2:$A$2001,MATCH(S1190,Transaksi!$M$2:$M$2001,0)))</f>
        <v/>
      </c>
    </row>
    <row r="1191">
      <c r="A1191" s="31">
        <f>IF(J1191="E",IF(INDEX(Transaksi!$J$2:$J$2001,K1191)&gt;0,"↑","↓"),"")</f>
        <v/>
      </c>
      <c r="B1191" s="32">
        <f>IF(J1191="H",CHOOSE(WEEKDAY(T1191,2),"Isnin","Selasa","Rabu","Khamis","Jumaat","Sabtu","Ahad")&amp;", "&amp;DAY(T1191)&amp;" "&amp;CHOOSE(MONTH(T1191),"Jan","Feb","Mac","Apr","Mei","Jun","Jul","Ogo","Sep","Okt","Nov","Dis")&amp;" "&amp;YEAR(T1191),IF(J1191="E",IF(INDEX(Transaksi!$B$2:$B$2001,K1191)="",INDEX(Transaksi!$C$2:$C$2001,K1191)&amp;" · "&amp;INDEX(Transaksi!$D$2:$D$2001,K1191),INDEX(Transaksi!$B$2:$B$2001,K1191)),""))</f>
        <v/>
      </c>
      <c r="C1191" s="32">
        <f>IF(J1191="E",INDEX(Transaksi!$C$2:$C$2001,K1191)&amp;"","")</f>
        <v/>
      </c>
      <c r="D1191" s="32">
        <f>IF(J1191="E",INDEX(Transaksi!$D$2:$D$2001,K1191)&amp;"","")</f>
        <v/>
      </c>
      <c r="E1191" s="33">
        <f>IF(J1191="H",SUMIFS(Transaksi!$G$2:$G$2001,Transaksi!$M$2:$M$2001,"="&amp;S1191)+SUMIFS(Transaksi!$H$2:$H$2001,Transaksi!$M$2:$M$2001,"="&amp;S1191)+SUMIFS(Transaksi!$I$2:$I$2001,Transaksi!$M$2:$M$2001,"="&amp;S1191),IF(J1191="E",IF(INDEX(Transaksi!$G$2:$G$2001,K1191)+INDEX(Transaksi!$H$2:$H$2001,K1191)+INDEX(Transaksi!$I$2:$I$2001,K1191)=0,"",INDEX(Transaksi!$G$2:$G$2001,K1191)+INDEX(Transaksi!$H$2:$H$2001,K1191)+INDEX(Transaksi!$I$2:$I$2001,K1191)),""))</f>
        <v/>
      </c>
      <c r="F1191" s="33">
        <f>IF(J1191="H",SUMIFS(Transaksi!$J$2:$J$2001,Transaksi!$M$2:$M$2001,"="&amp;S1191),IF(J1191="E",IF(INDEX(Transaksi!$J$2:$J$2001,K1191)=0,"",INDEX(Transaksi!$J$2:$J$2001,K1191)),""))</f>
        <v/>
      </c>
      <c r="G1191" s="33">
        <f>IF(J1191="H",(SUMIFS(Transaksi!$G$2:$G$2001,Transaksi!$M$2:$M$2001,"&lt;="&amp;S1191)+SUMIFS(Transaksi!$H$2:$H$2001,Transaksi!$M$2:$M$2001,"&lt;="&amp;S1191)+SUMIFS(Transaksi!$I$2:$I$2001,Transaksi!$M$2:$M$2001,"&lt;="&amp;S1191))-(SUMIFS(Transaksi!$J$2:$J$2001,Transaksi!$M$2:$M$2001,"&lt;="&amp;S1191)),"")</f>
        <v/>
      </c>
      <c r="I1191">
        <f>IF(1188&gt;$O$2,"",MATCH(1188,$Q$3:$Q$402,1))</f>
        <v/>
      </c>
      <c r="J1191">
        <f>IF(I1191="","",IF(1188=INDEX($Q$3:$Q$402,I1191),"H","E"))</f>
        <v/>
      </c>
      <c r="K1191">
        <f>IF(J1191&lt;&gt;"E","",MATCH(S1191,Transaksi!$M$2:$M$2001,0)+1188-INDEX($Q$3:$Q$402,I1191)-1)</f>
        <v/>
      </c>
      <c r="S1191">
        <f>IF(I1191="","",INDEX($O$3:$O$402,I1191))</f>
        <v/>
      </c>
      <c r="T1191">
        <f>IF(J1191&lt;&gt;"H","",INDEX(Transaksi!$A$2:$A$2001,MATCH(S1191,Transaksi!$M$2:$M$2001,0)))</f>
        <v/>
      </c>
    </row>
    <row r="1192">
      <c r="A1192" s="31">
        <f>IF(J1192="E",IF(INDEX(Transaksi!$J$2:$J$2001,K1192)&gt;0,"↑","↓"),"")</f>
        <v/>
      </c>
      <c r="B1192" s="32">
        <f>IF(J1192="H",CHOOSE(WEEKDAY(T1192,2),"Isnin","Selasa","Rabu","Khamis","Jumaat","Sabtu","Ahad")&amp;", "&amp;DAY(T1192)&amp;" "&amp;CHOOSE(MONTH(T1192),"Jan","Feb","Mac","Apr","Mei","Jun","Jul","Ogo","Sep","Okt","Nov","Dis")&amp;" "&amp;YEAR(T1192),IF(J1192="E",IF(INDEX(Transaksi!$B$2:$B$2001,K1192)="",INDEX(Transaksi!$C$2:$C$2001,K1192)&amp;" · "&amp;INDEX(Transaksi!$D$2:$D$2001,K1192),INDEX(Transaksi!$B$2:$B$2001,K1192)),""))</f>
        <v/>
      </c>
      <c r="C1192" s="32">
        <f>IF(J1192="E",INDEX(Transaksi!$C$2:$C$2001,K1192)&amp;"","")</f>
        <v/>
      </c>
      <c r="D1192" s="32">
        <f>IF(J1192="E",INDEX(Transaksi!$D$2:$D$2001,K1192)&amp;"","")</f>
        <v/>
      </c>
      <c r="E1192" s="33">
        <f>IF(J1192="H",SUMIFS(Transaksi!$G$2:$G$2001,Transaksi!$M$2:$M$2001,"="&amp;S1192)+SUMIFS(Transaksi!$H$2:$H$2001,Transaksi!$M$2:$M$2001,"="&amp;S1192)+SUMIFS(Transaksi!$I$2:$I$2001,Transaksi!$M$2:$M$2001,"="&amp;S1192),IF(J1192="E",IF(INDEX(Transaksi!$G$2:$G$2001,K1192)+INDEX(Transaksi!$H$2:$H$2001,K1192)+INDEX(Transaksi!$I$2:$I$2001,K1192)=0,"",INDEX(Transaksi!$G$2:$G$2001,K1192)+INDEX(Transaksi!$H$2:$H$2001,K1192)+INDEX(Transaksi!$I$2:$I$2001,K1192)),""))</f>
        <v/>
      </c>
      <c r="F1192" s="33">
        <f>IF(J1192="H",SUMIFS(Transaksi!$J$2:$J$2001,Transaksi!$M$2:$M$2001,"="&amp;S1192),IF(J1192="E",IF(INDEX(Transaksi!$J$2:$J$2001,K1192)=0,"",INDEX(Transaksi!$J$2:$J$2001,K1192)),""))</f>
        <v/>
      </c>
      <c r="G1192" s="33">
        <f>IF(J1192="H",(SUMIFS(Transaksi!$G$2:$G$2001,Transaksi!$M$2:$M$2001,"&lt;="&amp;S1192)+SUMIFS(Transaksi!$H$2:$H$2001,Transaksi!$M$2:$M$2001,"&lt;="&amp;S1192)+SUMIFS(Transaksi!$I$2:$I$2001,Transaksi!$M$2:$M$2001,"&lt;="&amp;S1192))-(SUMIFS(Transaksi!$J$2:$J$2001,Transaksi!$M$2:$M$2001,"&lt;="&amp;S1192)),"")</f>
        <v/>
      </c>
      <c r="I1192">
        <f>IF(1189&gt;$O$2,"",MATCH(1189,$Q$3:$Q$402,1))</f>
        <v/>
      </c>
      <c r="J1192">
        <f>IF(I1192="","",IF(1189=INDEX($Q$3:$Q$402,I1192),"H","E"))</f>
        <v/>
      </c>
      <c r="K1192">
        <f>IF(J1192&lt;&gt;"E","",MATCH(S1192,Transaksi!$M$2:$M$2001,0)+1189-INDEX($Q$3:$Q$402,I1192)-1)</f>
        <v/>
      </c>
      <c r="S1192">
        <f>IF(I1192="","",INDEX($O$3:$O$402,I1192))</f>
        <v/>
      </c>
      <c r="T1192">
        <f>IF(J1192&lt;&gt;"H","",INDEX(Transaksi!$A$2:$A$2001,MATCH(S1192,Transaksi!$M$2:$M$2001,0)))</f>
        <v/>
      </c>
    </row>
    <row r="1193">
      <c r="A1193" s="31">
        <f>IF(J1193="E",IF(INDEX(Transaksi!$J$2:$J$2001,K1193)&gt;0,"↑","↓"),"")</f>
        <v/>
      </c>
      <c r="B1193" s="32">
        <f>IF(J1193="H",CHOOSE(WEEKDAY(T1193,2),"Isnin","Selasa","Rabu","Khamis","Jumaat","Sabtu","Ahad")&amp;", "&amp;DAY(T1193)&amp;" "&amp;CHOOSE(MONTH(T1193),"Jan","Feb","Mac","Apr","Mei","Jun","Jul","Ogo","Sep","Okt","Nov","Dis")&amp;" "&amp;YEAR(T1193),IF(J1193="E",IF(INDEX(Transaksi!$B$2:$B$2001,K1193)="",INDEX(Transaksi!$C$2:$C$2001,K1193)&amp;" · "&amp;INDEX(Transaksi!$D$2:$D$2001,K1193),INDEX(Transaksi!$B$2:$B$2001,K1193)),""))</f>
        <v/>
      </c>
      <c r="C1193" s="32">
        <f>IF(J1193="E",INDEX(Transaksi!$C$2:$C$2001,K1193)&amp;"","")</f>
        <v/>
      </c>
      <c r="D1193" s="32">
        <f>IF(J1193="E",INDEX(Transaksi!$D$2:$D$2001,K1193)&amp;"","")</f>
        <v/>
      </c>
      <c r="E1193" s="33">
        <f>IF(J1193="H",SUMIFS(Transaksi!$G$2:$G$2001,Transaksi!$M$2:$M$2001,"="&amp;S1193)+SUMIFS(Transaksi!$H$2:$H$2001,Transaksi!$M$2:$M$2001,"="&amp;S1193)+SUMIFS(Transaksi!$I$2:$I$2001,Transaksi!$M$2:$M$2001,"="&amp;S1193),IF(J1193="E",IF(INDEX(Transaksi!$G$2:$G$2001,K1193)+INDEX(Transaksi!$H$2:$H$2001,K1193)+INDEX(Transaksi!$I$2:$I$2001,K1193)=0,"",INDEX(Transaksi!$G$2:$G$2001,K1193)+INDEX(Transaksi!$H$2:$H$2001,K1193)+INDEX(Transaksi!$I$2:$I$2001,K1193)),""))</f>
        <v/>
      </c>
      <c r="F1193" s="33">
        <f>IF(J1193="H",SUMIFS(Transaksi!$J$2:$J$2001,Transaksi!$M$2:$M$2001,"="&amp;S1193),IF(J1193="E",IF(INDEX(Transaksi!$J$2:$J$2001,K1193)=0,"",INDEX(Transaksi!$J$2:$J$2001,K1193)),""))</f>
        <v/>
      </c>
      <c r="G1193" s="33">
        <f>IF(J1193="H",(SUMIFS(Transaksi!$G$2:$G$2001,Transaksi!$M$2:$M$2001,"&lt;="&amp;S1193)+SUMIFS(Transaksi!$H$2:$H$2001,Transaksi!$M$2:$M$2001,"&lt;="&amp;S1193)+SUMIFS(Transaksi!$I$2:$I$2001,Transaksi!$M$2:$M$2001,"&lt;="&amp;S1193))-(SUMIFS(Transaksi!$J$2:$J$2001,Transaksi!$M$2:$M$2001,"&lt;="&amp;S1193)),"")</f>
        <v/>
      </c>
      <c r="I1193">
        <f>IF(1190&gt;$O$2,"",MATCH(1190,$Q$3:$Q$402,1))</f>
        <v/>
      </c>
      <c r="J1193">
        <f>IF(I1193="","",IF(1190=INDEX($Q$3:$Q$402,I1193),"H","E"))</f>
        <v/>
      </c>
      <c r="K1193">
        <f>IF(J1193&lt;&gt;"E","",MATCH(S1193,Transaksi!$M$2:$M$2001,0)+1190-INDEX($Q$3:$Q$402,I1193)-1)</f>
        <v/>
      </c>
      <c r="S1193">
        <f>IF(I1193="","",INDEX($O$3:$O$402,I1193))</f>
        <v/>
      </c>
      <c r="T1193">
        <f>IF(J1193&lt;&gt;"H","",INDEX(Transaksi!$A$2:$A$2001,MATCH(S1193,Transaksi!$M$2:$M$2001,0)))</f>
        <v/>
      </c>
    </row>
    <row r="1194">
      <c r="A1194" s="31">
        <f>IF(J1194="E",IF(INDEX(Transaksi!$J$2:$J$2001,K1194)&gt;0,"↑","↓"),"")</f>
        <v/>
      </c>
      <c r="B1194" s="32">
        <f>IF(J1194="H",CHOOSE(WEEKDAY(T1194,2),"Isnin","Selasa","Rabu","Khamis","Jumaat","Sabtu","Ahad")&amp;", "&amp;DAY(T1194)&amp;" "&amp;CHOOSE(MONTH(T1194),"Jan","Feb","Mac","Apr","Mei","Jun","Jul","Ogo","Sep","Okt","Nov","Dis")&amp;" "&amp;YEAR(T1194),IF(J1194="E",IF(INDEX(Transaksi!$B$2:$B$2001,K1194)="",INDEX(Transaksi!$C$2:$C$2001,K1194)&amp;" · "&amp;INDEX(Transaksi!$D$2:$D$2001,K1194),INDEX(Transaksi!$B$2:$B$2001,K1194)),""))</f>
        <v/>
      </c>
      <c r="C1194" s="32">
        <f>IF(J1194="E",INDEX(Transaksi!$C$2:$C$2001,K1194)&amp;"","")</f>
        <v/>
      </c>
      <c r="D1194" s="32">
        <f>IF(J1194="E",INDEX(Transaksi!$D$2:$D$2001,K1194)&amp;"","")</f>
        <v/>
      </c>
      <c r="E1194" s="33">
        <f>IF(J1194="H",SUMIFS(Transaksi!$G$2:$G$2001,Transaksi!$M$2:$M$2001,"="&amp;S1194)+SUMIFS(Transaksi!$H$2:$H$2001,Transaksi!$M$2:$M$2001,"="&amp;S1194)+SUMIFS(Transaksi!$I$2:$I$2001,Transaksi!$M$2:$M$2001,"="&amp;S1194),IF(J1194="E",IF(INDEX(Transaksi!$G$2:$G$2001,K1194)+INDEX(Transaksi!$H$2:$H$2001,K1194)+INDEX(Transaksi!$I$2:$I$2001,K1194)=0,"",INDEX(Transaksi!$G$2:$G$2001,K1194)+INDEX(Transaksi!$H$2:$H$2001,K1194)+INDEX(Transaksi!$I$2:$I$2001,K1194)),""))</f>
        <v/>
      </c>
      <c r="F1194" s="33">
        <f>IF(J1194="H",SUMIFS(Transaksi!$J$2:$J$2001,Transaksi!$M$2:$M$2001,"="&amp;S1194),IF(J1194="E",IF(INDEX(Transaksi!$J$2:$J$2001,K1194)=0,"",INDEX(Transaksi!$J$2:$J$2001,K1194)),""))</f>
        <v/>
      </c>
      <c r="G1194" s="33">
        <f>IF(J1194="H",(SUMIFS(Transaksi!$G$2:$G$2001,Transaksi!$M$2:$M$2001,"&lt;="&amp;S1194)+SUMIFS(Transaksi!$H$2:$H$2001,Transaksi!$M$2:$M$2001,"&lt;="&amp;S1194)+SUMIFS(Transaksi!$I$2:$I$2001,Transaksi!$M$2:$M$2001,"&lt;="&amp;S1194))-(SUMIFS(Transaksi!$J$2:$J$2001,Transaksi!$M$2:$M$2001,"&lt;="&amp;S1194)),"")</f>
        <v/>
      </c>
      <c r="I1194">
        <f>IF(1191&gt;$O$2,"",MATCH(1191,$Q$3:$Q$402,1))</f>
        <v/>
      </c>
      <c r="J1194">
        <f>IF(I1194="","",IF(1191=INDEX($Q$3:$Q$402,I1194),"H","E"))</f>
        <v/>
      </c>
      <c r="K1194">
        <f>IF(J1194&lt;&gt;"E","",MATCH(S1194,Transaksi!$M$2:$M$2001,0)+1191-INDEX($Q$3:$Q$402,I1194)-1)</f>
        <v/>
      </c>
      <c r="S1194">
        <f>IF(I1194="","",INDEX($O$3:$O$402,I1194))</f>
        <v/>
      </c>
      <c r="T1194">
        <f>IF(J1194&lt;&gt;"H","",INDEX(Transaksi!$A$2:$A$2001,MATCH(S1194,Transaksi!$M$2:$M$2001,0)))</f>
        <v/>
      </c>
    </row>
    <row r="1195">
      <c r="A1195" s="31">
        <f>IF(J1195="E",IF(INDEX(Transaksi!$J$2:$J$2001,K1195)&gt;0,"↑","↓"),"")</f>
        <v/>
      </c>
      <c r="B1195" s="32">
        <f>IF(J1195="H",CHOOSE(WEEKDAY(T1195,2),"Isnin","Selasa","Rabu","Khamis","Jumaat","Sabtu","Ahad")&amp;", "&amp;DAY(T1195)&amp;" "&amp;CHOOSE(MONTH(T1195),"Jan","Feb","Mac","Apr","Mei","Jun","Jul","Ogo","Sep","Okt","Nov","Dis")&amp;" "&amp;YEAR(T1195),IF(J1195="E",IF(INDEX(Transaksi!$B$2:$B$2001,K1195)="",INDEX(Transaksi!$C$2:$C$2001,K1195)&amp;" · "&amp;INDEX(Transaksi!$D$2:$D$2001,K1195),INDEX(Transaksi!$B$2:$B$2001,K1195)),""))</f>
        <v/>
      </c>
      <c r="C1195" s="32">
        <f>IF(J1195="E",INDEX(Transaksi!$C$2:$C$2001,K1195)&amp;"","")</f>
        <v/>
      </c>
      <c r="D1195" s="32">
        <f>IF(J1195="E",INDEX(Transaksi!$D$2:$D$2001,K1195)&amp;"","")</f>
        <v/>
      </c>
      <c r="E1195" s="33">
        <f>IF(J1195="H",SUMIFS(Transaksi!$G$2:$G$2001,Transaksi!$M$2:$M$2001,"="&amp;S1195)+SUMIFS(Transaksi!$H$2:$H$2001,Transaksi!$M$2:$M$2001,"="&amp;S1195)+SUMIFS(Transaksi!$I$2:$I$2001,Transaksi!$M$2:$M$2001,"="&amp;S1195),IF(J1195="E",IF(INDEX(Transaksi!$G$2:$G$2001,K1195)+INDEX(Transaksi!$H$2:$H$2001,K1195)+INDEX(Transaksi!$I$2:$I$2001,K1195)=0,"",INDEX(Transaksi!$G$2:$G$2001,K1195)+INDEX(Transaksi!$H$2:$H$2001,K1195)+INDEX(Transaksi!$I$2:$I$2001,K1195)),""))</f>
        <v/>
      </c>
      <c r="F1195" s="33">
        <f>IF(J1195="H",SUMIFS(Transaksi!$J$2:$J$2001,Transaksi!$M$2:$M$2001,"="&amp;S1195),IF(J1195="E",IF(INDEX(Transaksi!$J$2:$J$2001,K1195)=0,"",INDEX(Transaksi!$J$2:$J$2001,K1195)),""))</f>
        <v/>
      </c>
      <c r="G1195" s="33">
        <f>IF(J1195="H",(SUMIFS(Transaksi!$G$2:$G$2001,Transaksi!$M$2:$M$2001,"&lt;="&amp;S1195)+SUMIFS(Transaksi!$H$2:$H$2001,Transaksi!$M$2:$M$2001,"&lt;="&amp;S1195)+SUMIFS(Transaksi!$I$2:$I$2001,Transaksi!$M$2:$M$2001,"&lt;="&amp;S1195))-(SUMIFS(Transaksi!$J$2:$J$2001,Transaksi!$M$2:$M$2001,"&lt;="&amp;S1195)),"")</f>
        <v/>
      </c>
      <c r="I1195">
        <f>IF(1192&gt;$O$2,"",MATCH(1192,$Q$3:$Q$402,1))</f>
        <v/>
      </c>
      <c r="J1195">
        <f>IF(I1195="","",IF(1192=INDEX($Q$3:$Q$402,I1195),"H","E"))</f>
        <v/>
      </c>
      <c r="K1195">
        <f>IF(J1195&lt;&gt;"E","",MATCH(S1195,Transaksi!$M$2:$M$2001,0)+1192-INDEX($Q$3:$Q$402,I1195)-1)</f>
        <v/>
      </c>
      <c r="S1195">
        <f>IF(I1195="","",INDEX($O$3:$O$402,I1195))</f>
        <v/>
      </c>
      <c r="T1195">
        <f>IF(J1195&lt;&gt;"H","",INDEX(Transaksi!$A$2:$A$2001,MATCH(S1195,Transaksi!$M$2:$M$2001,0)))</f>
        <v/>
      </c>
    </row>
    <row r="1196">
      <c r="A1196" s="31">
        <f>IF(J1196="E",IF(INDEX(Transaksi!$J$2:$J$2001,K1196)&gt;0,"↑","↓"),"")</f>
        <v/>
      </c>
      <c r="B1196" s="32">
        <f>IF(J1196="H",CHOOSE(WEEKDAY(T1196,2),"Isnin","Selasa","Rabu","Khamis","Jumaat","Sabtu","Ahad")&amp;", "&amp;DAY(T1196)&amp;" "&amp;CHOOSE(MONTH(T1196),"Jan","Feb","Mac","Apr","Mei","Jun","Jul","Ogo","Sep","Okt","Nov","Dis")&amp;" "&amp;YEAR(T1196),IF(J1196="E",IF(INDEX(Transaksi!$B$2:$B$2001,K1196)="",INDEX(Transaksi!$C$2:$C$2001,K1196)&amp;" · "&amp;INDEX(Transaksi!$D$2:$D$2001,K1196),INDEX(Transaksi!$B$2:$B$2001,K1196)),""))</f>
        <v/>
      </c>
      <c r="C1196" s="32">
        <f>IF(J1196="E",INDEX(Transaksi!$C$2:$C$2001,K1196)&amp;"","")</f>
        <v/>
      </c>
      <c r="D1196" s="32">
        <f>IF(J1196="E",INDEX(Transaksi!$D$2:$D$2001,K1196)&amp;"","")</f>
        <v/>
      </c>
      <c r="E1196" s="33">
        <f>IF(J1196="H",SUMIFS(Transaksi!$G$2:$G$2001,Transaksi!$M$2:$M$2001,"="&amp;S1196)+SUMIFS(Transaksi!$H$2:$H$2001,Transaksi!$M$2:$M$2001,"="&amp;S1196)+SUMIFS(Transaksi!$I$2:$I$2001,Transaksi!$M$2:$M$2001,"="&amp;S1196),IF(J1196="E",IF(INDEX(Transaksi!$G$2:$G$2001,K1196)+INDEX(Transaksi!$H$2:$H$2001,K1196)+INDEX(Transaksi!$I$2:$I$2001,K1196)=0,"",INDEX(Transaksi!$G$2:$G$2001,K1196)+INDEX(Transaksi!$H$2:$H$2001,K1196)+INDEX(Transaksi!$I$2:$I$2001,K1196)),""))</f>
        <v/>
      </c>
      <c r="F1196" s="33">
        <f>IF(J1196="H",SUMIFS(Transaksi!$J$2:$J$2001,Transaksi!$M$2:$M$2001,"="&amp;S1196),IF(J1196="E",IF(INDEX(Transaksi!$J$2:$J$2001,K1196)=0,"",INDEX(Transaksi!$J$2:$J$2001,K1196)),""))</f>
        <v/>
      </c>
      <c r="G1196" s="33">
        <f>IF(J1196="H",(SUMIFS(Transaksi!$G$2:$G$2001,Transaksi!$M$2:$M$2001,"&lt;="&amp;S1196)+SUMIFS(Transaksi!$H$2:$H$2001,Transaksi!$M$2:$M$2001,"&lt;="&amp;S1196)+SUMIFS(Transaksi!$I$2:$I$2001,Transaksi!$M$2:$M$2001,"&lt;="&amp;S1196))-(SUMIFS(Transaksi!$J$2:$J$2001,Transaksi!$M$2:$M$2001,"&lt;="&amp;S1196)),"")</f>
        <v/>
      </c>
      <c r="I1196">
        <f>IF(1193&gt;$O$2,"",MATCH(1193,$Q$3:$Q$402,1))</f>
        <v/>
      </c>
      <c r="J1196">
        <f>IF(I1196="","",IF(1193=INDEX($Q$3:$Q$402,I1196),"H","E"))</f>
        <v/>
      </c>
      <c r="K1196">
        <f>IF(J1196&lt;&gt;"E","",MATCH(S1196,Transaksi!$M$2:$M$2001,0)+1193-INDEX($Q$3:$Q$402,I1196)-1)</f>
        <v/>
      </c>
      <c r="S1196">
        <f>IF(I1196="","",INDEX($O$3:$O$402,I1196))</f>
        <v/>
      </c>
      <c r="T1196">
        <f>IF(J1196&lt;&gt;"H","",INDEX(Transaksi!$A$2:$A$2001,MATCH(S1196,Transaksi!$M$2:$M$2001,0)))</f>
        <v/>
      </c>
    </row>
    <row r="1197">
      <c r="A1197" s="31">
        <f>IF(J1197="E",IF(INDEX(Transaksi!$J$2:$J$2001,K1197)&gt;0,"↑","↓"),"")</f>
        <v/>
      </c>
      <c r="B1197" s="32">
        <f>IF(J1197="H",CHOOSE(WEEKDAY(T1197,2),"Isnin","Selasa","Rabu","Khamis","Jumaat","Sabtu","Ahad")&amp;", "&amp;DAY(T1197)&amp;" "&amp;CHOOSE(MONTH(T1197),"Jan","Feb","Mac","Apr","Mei","Jun","Jul","Ogo","Sep","Okt","Nov","Dis")&amp;" "&amp;YEAR(T1197),IF(J1197="E",IF(INDEX(Transaksi!$B$2:$B$2001,K1197)="",INDEX(Transaksi!$C$2:$C$2001,K1197)&amp;" · "&amp;INDEX(Transaksi!$D$2:$D$2001,K1197),INDEX(Transaksi!$B$2:$B$2001,K1197)),""))</f>
        <v/>
      </c>
      <c r="C1197" s="32">
        <f>IF(J1197="E",INDEX(Transaksi!$C$2:$C$2001,K1197)&amp;"","")</f>
        <v/>
      </c>
      <c r="D1197" s="32">
        <f>IF(J1197="E",INDEX(Transaksi!$D$2:$D$2001,K1197)&amp;"","")</f>
        <v/>
      </c>
      <c r="E1197" s="33">
        <f>IF(J1197="H",SUMIFS(Transaksi!$G$2:$G$2001,Transaksi!$M$2:$M$2001,"="&amp;S1197)+SUMIFS(Transaksi!$H$2:$H$2001,Transaksi!$M$2:$M$2001,"="&amp;S1197)+SUMIFS(Transaksi!$I$2:$I$2001,Transaksi!$M$2:$M$2001,"="&amp;S1197),IF(J1197="E",IF(INDEX(Transaksi!$G$2:$G$2001,K1197)+INDEX(Transaksi!$H$2:$H$2001,K1197)+INDEX(Transaksi!$I$2:$I$2001,K1197)=0,"",INDEX(Transaksi!$G$2:$G$2001,K1197)+INDEX(Transaksi!$H$2:$H$2001,K1197)+INDEX(Transaksi!$I$2:$I$2001,K1197)),""))</f>
        <v/>
      </c>
      <c r="F1197" s="33">
        <f>IF(J1197="H",SUMIFS(Transaksi!$J$2:$J$2001,Transaksi!$M$2:$M$2001,"="&amp;S1197),IF(J1197="E",IF(INDEX(Transaksi!$J$2:$J$2001,K1197)=0,"",INDEX(Transaksi!$J$2:$J$2001,K1197)),""))</f>
        <v/>
      </c>
      <c r="G1197" s="33">
        <f>IF(J1197="H",(SUMIFS(Transaksi!$G$2:$G$2001,Transaksi!$M$2:$M$2001,"&lt;="&amp;S1197)+SUMIFS(Transaksi!$H$2:$H$2001,Transaksi!$M$2:$M$2001,"&lt;="&amp;S1197)+SUMIFS(Transaksi!$I$2:$I$2001,Transaksi!$M$2:$M$2001,"&lt;="&amp;S1197))-(SUMIFS(Transaksi!$J$2:$J$2001,Transaksi!$M$2:$M$2001,"&lt;="&amp;S1197)),"")</f>
        <v/>
      </c>
      <c r="I1197">
        <f>IF(1194&gt;$O$2,"",MATCH(1194,$Q$3:$Q$402,1))</f>
        <v/>
      </c>
      <c r="J1197">
        <f>IF(I1197="","",IF(1194=INDEX($Q$3:$Q$402,I1197),"H","E"))</f>
        <v/>
      </c>
      <c r="K1197">
        <f>IF(J1197&lt;&gt;"E","",MATCH(S1197,Transaksi!$M$2:$M$2001,0)+1194-INDEX($Q$3:$Q$402,I1197)-1)</f>
        <v/>
      </c>
      <c r="S1197">
        <f>IF(I1197="","",INDEX($O$3:$O$402,I1197))</f>
        <v/>
      </c>
      <c r="T1197">
        <f>IF(J1197&lt;&gt;"H","",INDEX(Transaksi!$A$2:$A$2001,MATCH(S1197,Transaksi!$M$2:$M$2001,0)))</f>
        <v/>
      </c>
    </row>
    <row r="1198">
      <c r="A1198" s="31">
        <f>IF(J1198="E",IF(INDEX(Transaksi!$J$2:$J$2001,K1198)&gt;0,"↑","↓"),"")</f>
        <v/>
      </c>
      <c r="B1198" s="32">
        <f>IF(J1198="H",CHOOSE(WEEKDAY(T1198,2),"Isnin","Selasa","Rabu","Khamis","Jumaat","Sabtu","Ahad")&amp;", "&amp;DAY(T1198)&amp;" "&amp;CHOOSE(MONTH(T1198),"Jan","Feb","Mac","Apr","Mei","Jun","Jul","Ogo","Sep","Okt","Nov","Dis")&amp;" "&amp;YEAR(T1198),IF(J1198="E",IF(INDEX(Transaksi!$B$2:$B$2001,K1198)="",INDEX(Transaksi!$C$2:$C$2001,K1198)&amp;" · "&amp;INDEX(Transaksi!$D$2:$D$2001,K1198),INDEX(Transaksi!$B$2:$B$2001,K1198)),""))</f>
        <v/>
      </c>
      <c r="C1198" s="32">
        <f>IF(J1198="E",INDEX(Transaksi!$C$2:$C$2001,K1198)&amp;"","")</f>
        <v/>
      </c>
      <c r="D1198" s="32">
        <f>IF(J1198="E",INDEX(Transaksi!$D$2:$D$2001,K1198)&amp;"","")</f>
        <v/>
      </c>
      <c r="E1198" s="33">
        <f>IF(J1198="H",SUMIFS(Transaksi!$G$2:$G$2001,Transaksi!$M$2:$M$2001,"="&amp;S1198)+SUMIFS(Transaksi!$H$2:$H$2001,Transaksi!$M$2:$M$2001,"="&amp;S1198)+SUMIFS(Transaksi!$I$2:$I$2001,Transaksi!$M$2:$M$2001,"="&amp;S1198),IF(J1198="E",IF(INDEX(Transaksi!$G$2:$G$2001,K1198)+INDEX(Transaksi!$H$2:$H$2001,K1198)+INDEX(Transaksi!$I$2:$I$2001,K1198)=0,"",INDEX(Transaksi!$G$2:$G$2001,K1198)+INDEX(Transaksi!$H$2:$H$2001,K1198)+INDEX(Transaksi!$I$2:$I$2001,K1198)),""))</f>
        <v/>
      </c>
      <c r="F1198" s="33">
        <f>IF(J1198="H",SUMIFS(Transaksi!$J$2:$J$2001,Transaksi!$M$2:$M$2001,"="&amp;S1198),IF(J1198="E",IF(INDEX(Transaksi!$J$2:$J$2001,K1198)=0,"",INDEX(Transaksi!$J$2:$J$2001,K1198)),""))</f>
        <v/>
      </c>
      <c r="G1198" s="33">
        <f>IF(J1198="H",(SUMIFS(Transaksi!$G$2:$G$2001,Transaksi!$M$2:$M$2001,"&lt;="&amp;S1198)+SUMIFS(Transaksi!$H$2:$H$2001,Transaksi!$M$2:$M$2001,"&lt;="&amp;S1198)+SUMIFS(Transaksi!$I$2:$I$2001,Transaksi!$M$2:$M$2001,"&lt;="&amp;S1198))-(SUMIFS(Transaksi!$J$2:$J$2001,Transaksi!$M$2:$M$2001,"&lt;="&amp;S1198)),"")</f>
        <v/>
      </c>
      <c r="I1198">
        <f>IF(1195&gt;$O$2,"",MATCH(1195,$Q$3:$Q$402,1))</f>
        <v/>
      </c>
      <c r="J1198">
        <f>IF(I1198="","",IF(1195=INDEX($Q$3:$Q$402,I1198),"H","E"))</f>
        <v/>
      </c>
      <c r="K1198">
        <f>IF(J1198&lt;&gt;"E","",MATCH(S1198,Transaksi!$M$2:$M$2001,0)+1195-INDEX($Q$3:$Q$402,I1198)-1)</f>
        <v/>
      </c>
      <c r="S1198">
        <f>IF(I1198="","",INDEX($O$3:$O$402,I1198))</f>
        <v/>
      </c>
      <c r="T1198">
        <f>IF(J1198&lt;&gt;"H","",INDEX(Transaksi!$A$2:$A$2001,MATCH(S1198,Transaksi!$M$2:$M$2001,0)))</f>
        <v/>
      </c>
    </row>
    <row r="1199">
      <c r="A1199" s="31">
        <f>IF(J1199="E",IF(INDEX(Transaksi!$J$2:$J$2001,K1199)&gt;0,"↑","↓"),"")</f>
        <v/>
      </c>
      <c r="B1199" s="32">
        <f>IF(J1199="H",CHOOSE(WEEKDAY(T1199,2),"Isnin","Selasa","Rabu","Khamis","Jumaat","Sabtu","Ahad")&amp;", "&amp;DAY(T1199)&amp;" "&amp;CHOOSE(MONTH(T1199),"Jan","Feb","Mac","Apr","Mei","Jun","Jul","Ogo","Sep","Okt","Nov","Dis")&amp;" "&amp;YEAR(T1199),IF(J1199="E",IF(INDEX(Transaksi!$B$2:$B$2001,K1199)="",INDEX(Transaksi!$C$2:$C$2001,K1199)&amp;" · "&amp;INDEX(Transaksi!$D$2:$D$2001,K1199),INDEX(Transaksi!$B$2:$B$2001,K1199)),""))</f>
        <v/>
      </c>
      <c r="C1199" s="32">
        <f>IF(J1199="E",INDEX(Transaksi!$C$2:$C$2001,K1199)&amp;"","")</f>
        <v/>
      </c>
      <c r="D1199" s="32">
        <f>IF(J1199="E",INDEX(Transaksi!$D$2:$D$2001,K1199)&amp;"","")</f>
        <v/>
      </c>
      <c r="E1199" s="33">
        <f>IF(J1199="H",SUMIFS(Transaksi!$G$2:$G$2001,Transaksi!$M$2:$M$2001,"="&amp;S1199)+SUMIFS(Transaksi!$H$2:$H$2001,Transaksi!$M$2:$M$2001,"="&amp;S1199)+SUMIFS(Transaksi!$I$2:$I$2001,Transaksi!$M$2:$M$2001,"="&amp;S1199),IF(J1199="E",IF(INDEX(Transaksi!$G$2:$G$2001,K1199)+INDEX(Transaksi!$H$2:$H$2001,K1199)+INDEX(Transaksi!$I$2:$I$2001,K1199)=0,"",INDEX(Transaksi!$G$2:$G$2001,K1199)+INDEX(Transaksi!$H$2:$H$2001,K1199)+INDEX(Transaksi!$I$2:$I$2001,K1199)),""))</f>
        <v/>
      </c>
      <c r="F1199" s="33">
        <f>IF(J1199="H",SUMIFS(Transaksi!$J$2:$J$2001,Transaksi!$M$2:$M$2001,"="&amp;S1199),IF(J1199="E",IF(INDEX(Transaksi!$J$2:$J$2001,K1199)=0,"",INDEX(Transaksi!$J$2:$J$2001,K1199)),""))</f>
        <v/>
      </c>
      <c r="G1199" s="33">
        <f>IF(J1199="H",(SUMIFS(Transaksi!$G$2:$G$2001,Transaksi!$M$2:$M$2001,"&lt;="&amp;S1199)+SUMIFS(Transaksi!$H$2:$H$2001,Transaksi!$M$2:$M$2001,"&lt;="&amp;S1199)+SUMIFS(Transaksi!$I$2:$I$2001,Transaksi!$M$2:$M$2001,"&lt;="&amp;S1199))-(SUMIFS(Transaksi!$J$2:$J$2001,Transaksi!$M$2:$M$2001,"&lt;="&amp;S1199)),"")</f>
        <v/>
      </c>
      <c r="I1199">
        <f>IF(1196&gt;$O$2,"",MATCH(1196,$Q$3:$Q$402,1))</f>
        <v/>
      </c>
      <c r="J1199">
        <f>IF(I1199="","",IF(1196=INDEX($Q$3:$Q$402,I1199),"H","E"))</f>
        <v/>
      </c>
      <c r="K1199">
        <f>IF(J1199&lt;&gt;"E","",MATCH(S1199,Transaksi!$M$2:$M$2001,0)+1196-INDEX($Q$3:$Q$402,I1199)-1)</f>
        <v/>
      </c>
      <c r="S1199">
        <f>IF(I1199="","",INDEX($O$3:$O$402,I1199))</f>
        <v/>
      </c>
      <c r="T1199">
        <f>IF(J1199&lt;&gt;"H","",INDEX(Transaksi!$A$2:$A$2001,MATCH(S1199,Transaksi!$M$2:$M$2001,0)))</f>
        <v/>
      </c>
    </row>
    <row r="1200">
      <c r="A1200" s="31">
        <f>IF(J1200="E",IF(INDEX(Transaksi!$J$2:$J$2001,K1200)&gt;0,"↑","↓"),"")</f>
        <v/>
      </c>
      <c r="B1200" s="32">
        <f>IF(J1200="H",CHOOSE(WEEKDAY(T1200,2),"Isnin","Selasa","Rabu","Khamis","Jumaat","Sabtu","Ahad")&amp;", "&amp;DAY(T1200)&amp;" "&amp;CHOOSE(MONTH(T1200),"Jan","Feb","Mac","Apr","Mei","Jun","Jul","Ogo","Sep","Okt","Nov","Dis")&amp;" "&amp;YEAR(T1200),IF(J1200="E",IF(INDEX(Transaksi!$B$2:$B$2001,K1200)="",INDEX(Transaksi!$C$2:$C$2001,K1200)&amp;" · "&amp;INDEX(Transaksi!$D$2:$D$2001,K1200),INDEX(Transaksi!$B$2:$B$2001,K1200)),""))</f>
        <v/>
      </c>
      <c r="C1200" s="32">
        <f>IF(J1200="E",INDEX(Transaksi!$C$2:$C$2001,K1200)&amp;"","")</f>
        <v/>
      </c>
      <c r="D1200" s="32">
        <f>IF(J1200="E",INDEX(Transaksi!$D$2:$D$2001,K1200)&amp;"","")</f>
        <v/>
      </c>
      <c r="E1200" s="33">
        <f>IF(J1200="H",SUMIFS(Transaksi!$G$2:$G$2001,Transaksi!$M$2:$M$2001,"="&amp;S1200)+SUMIFS(Transaksi!$H$2:$H$2001,Transaksi!$M$2:$M$2001,"="&amp;S1200)+SUMIFS(Transaksi!$I$2:$I$2001,Transaksi!$M$2:$M$2001,"="&amp;S1200),IF(J1200="E",IF(INDEX(Transaksi!$G$2:$G$2001,K1200)+INDEX(Transaksi!$H$2:$H$2001,K1200)+INDEX(Transaksi!$I$2:$I$2001,K1200)=0,"",INDEX(Transaksi!$G$2:$G$2001,K1200)+INDEX(Transaksi!$H$2:$H$2001,K1200)+INDEX(Transaksi!$I$2:$I$2001,K1200)),""))</f>
        <v/>
      </c>
      <c r="F1200" s="33">
        <f>IF(J1200="H",SUMIFS(Transaksi!$J$2:$J$2001,Transaksi!$M$2:$M$2001,"="&amp;S1200),IF(J1200="E",IF(INDEX(Transaksi!$J$2:$J$2001,K1200)=0,"",INDEX(Transaksi!$J$2:$J$2001,K1200)),""))</f>
        <v/>
      </c>
      <c r="G1200" s="33">
        <f>IF(J1200="H",(SUMIFS(Transaksi!$G$2:$G$2001,Transaksi!$M$2:$M$2001,"&lt;="&amp;S1200)+SUMIFS(Transaksi!$H$2:$H$2001,Transaksi!$M$2:$M$2001,"&lt;="&amp;S1200)+SUMIFS(Transaksi!$I$2:$I$2001,Transaksi!$M$2:$M$2001,"&lt;="&amp;S1200))-(SUMIFS(Transaksi!$J$2:$J$2001,Transaksi!$M$2:$M$2001,"&lt;="&amp;S1200)),"")</f>
        <v/>
      </c>
      <c r="I1200">
        <f>IF(1197&gt;$O$2,"",MATCH(1197,$Q$3:$Q$402,1))</f>
        <v/>
      </c>
      <c r="J1200">
        <f>IF(I1200="","",IF(1197=INDEX($Q$3:$Q$402,I1200),"H","E"))</f>
        <v/>
      </c>
      <c r="K1200">
        <f>IF(J1200&lt;&gt;"E","",MATCH(S1200,Transaksi!$M$2:$M$2001,0)+1197-INDEX($Q$3:$Q$402,I1200)-1)</f>
        <v/>
      </c>
      <c r="S1200">
        <f>IF(I1200="","",INDEX($O$3:$O$402,I1200))</f>
        <v/>
      </c>
      <c r="T1200">
        <f>IF(J1200&lt;&gt;"H","",INDEX(Transaksi!$A$2:$A$2001,MATCH(S1200,Transaksi!$M$2:$M$2001,0)))</f>
        <v/>
      </c>
    </row>
    <row r="1201">
      <c r="A1201" s="31">
        <f>IF(J1201="E",IF(INDEX(Transaksi!$J$2:$J$2001,K1201)&gt;0,"↑","↓"),"")</f>
        <v/>
      </c>
      <c r="B1201" s="32">
        <f>IF(J1201="H",CHOOSE(WEEKDAY(T1201,2),"Isnin","Selasa","Rabu","Khamis","Jumaat","Sabtu","Ahad")&amp;", "&amp;DAY(T1201)&amp;" "&amp;CHOOSE(MONTH(T1201),"Jan","Feb","Mac","Apr","Mei","Jun","Jul","Ogo","Sep","Okt","Nov","Dis")&amp;" "&amp;YEAR(T1201),IF(J1201="E",IF(INDEX(Transaksi!$B$2:$B$2001,K1201)="",INDEX(Transaksi!$C$2:$C$2001,K1201)&amp;" · "&amp;INDEX(Transaksi!$D$2:$D$2001,K1201),INDEX(Transaksi!$B$2:$B$2001,K1201)),""))</f>
        <v/>
      </c>
      <c r="C1201" s="32">
        <f>IF(J1201="E",INDEX(Transaksi!$C$2:$C$2001,K1201)&amp;"","")</f>
        <v/>
      </c>
      <c r="D1201" s="32">
        <f>IF(J1201="E",INDEX(Transaksi!$D$2:$D$2001,K1201)&amp;"","")</f>
        <v/>
      </c>
      <c r="E1201" s="33">
        <f>IF(J1201="H",SUMIFS(Transaksi!$G$2:$G$2001,Transaksi!$M$2:$M$2001,"="&amp;S1201)+SUMIFS(Transaksi!$H$2:$H$2001,Transaksi!$M$2:$M$2001,"="&amp;S1201)+SUMIFS(Transaksi!$I$2:$I$2001,Transaksi!$M$2:$M$2001,"="&amp;S1201),IF(J1201="E",IF(INDEX(Transaksi!$G$2:$G$2001,K1201)+INDEX(Transaksi!$H$2:$H$2001,K1201)+INDEX(Transaksi!$I$2:$I$2001,K1201)=0,"",INDEX(Transaksi!$G$2:$G$2001,K1201)+INDEX(Transaksi!$H$2:$H$2001,K1201)+INDEX(Transaksi!$I$2:$I$2001,K1201)),""))</f>
        <v/>
      </c>
      <c r="F1201" s="33">
        <f>IF(J1201="H",SUMIFS(Transaksi!$J$2:$J$2001,Transaksi!$M$2:$M$2001,"="&amp;S1201),IF(J1201="E",IF(INDEX(Transaksi!$J$2:$J$2001,K1201)=0,"",INDEX(Transaksi!$J$2:$J$2001,K1201)),""))</f>
        <v/>
      </c>
      <c r="G1201" s="33">
        <f>IF(J1201="H",(SUMIFS(Transaksi!$G$2:$G$2001,Transaksi!$M$2:$M$2001,"&lt;="&amp;S1201)+SUMIFS(Transaksi!$H$2:$H$2001,Transaksi!$M$2:$M$2001,"&lt;="&amp;S1201)+SUMIFS(Transaksi!$I$2:$I$2001,Transaksi!$M$2:$M$2001,"&lt;="&amp;S1201))-(SUMIFS(Transaksi!$J$2:$J$2001,Transaksi!$M$2:$M$2001,"&lt;="&amp;S1201)),"")</f>
        <v/>
      </c>
      <c r="I1201">
        <f>IF(1198&gt;$O$2,"",MATCH(1198,$Q$3:$Q$402,1))</f>
        <v/>
      </c>
      <c r="J1201">
        <f>IF(I1201="","",IF(1198=INDEX($Q$3:$Q$402,I1201),"H","E"))</f>
        <v/>
      </c>
      <c r="K1201">
        <f>IF(J1201&lt;&gt;"E","",MATCH(S1201,Transaksi!$M$2:$M$2001,0)+1198-INDEX($Q$3:$Q$402,I1201)-1)</f>
        <v/>
      </c>
      <c r="S1201">
        <f>IF(I1201="","",INDEX($O$3:$O$402,I1201))</f>
        <v/>
      </c>
      <c r="T1201">
        <f>IF(J1201&lt;&gt;"H","",INDEX(Transaksi!$A$2:$A$2001,MATCH(S1201,Transaksi!$M$2:$M$2001,0)))</f>
        <v/>
      </c>
    </row>
    <row r="1202">
      <c r="A1202" s="31">
        <f>IF(J1202="E",IF(INDEX(Transaksi!$J$2:$J$2001,K1202)&gt;0,"↑","↓"),"")</f>
        <v/>
      </c>
      <c r="B1202" s="32">
        <f>IF(J1202="H",CHOOSE(WEEKDAY(T1202,2),"Isnin","Selasa","Rabu","Khamis","Jumaat","Sabtu","Ahad")&amp;", "&amp;DAY(T1202)&amp;" "&amp;CHOOSE(MONTH(T1202),"Jan","Feb","Mac","Apr","Mei","Jun","Jul","Ogo","Sep","Okt","Nov","Dis")&amp;" "&amp;YEAR(T1202),IF(J1202="E",IF(INDEX(Transaksi!$B$2:$B$2001,K1202)="",INDEX(Transaksi!$C$2:$C$2001,K1202)&amp;" · "&amp;INDEX(Transaksi!$D$2:$D$2001,K1202),INDEX(Transaksi!$B$2:$B$2001,K1202)),""))</f>
        <v/>
      </c>
      <c r="C1202" s="32">
        <f>IF(J1202="E",INDEX(Transaksi!$C$2:$C$2001,K1202)&amp;"","")</f>
        <v/>
      </c>
      <c r="D1202" s="32">
        <f>IF(J1202="E",INDEX(Transaksi!$D$2:$D$2001,K1202)&amp;"","")</f>
        <v/>
      </c>
      <c r="E1202" s="33">
        <f>IF(J1202="H",SUMIFS(Transaksi!$G$2:$G$2001,Transaksi!$M$2:$M$2001,"="&amp;S1202)+SUMIFS(Transaksi!$H$2:$H$2001,Transaksi!$M$2:$M$2001,"="&amp;S1202)+SUMIFS(Transaksi!$I$2:$I$2001,Transaksi!$M$2:$M$2001,"="&amp;S1202),IF(J1202="E",IF(INDEX(Transaksi!$G$2:$G$2001,K1202)+INDEX(Transaksi!$H$2:$H$2001,K1202)+INDEX(Transaksi!$I$2:$I$2001,K1202)=0,"",INDEX(Transaksi!$G$2:$G$2001,K1202)+INDEX(Transaksi!$H$2:$H$2001,K1202)+INDEX(Transaksi!$I$2:$I$2001,K1202)),""))</f>
        <v/>
      </c>
      <c r="F1202" s="33">
        <f>IF(J1202="H",SUMIFS(Transaksi!$J$2:$J$2001,Transaksi!$M$2:$M$2001,"="&amp;S1202),IF(J1202="E",IF(INDEX(Transaksi!$J$2:$J$2001,K1202)=0,"",INDEX(Transaksi!$J$2:$J$2001,K1202)),""))</f>
        <v/>
      </c>
      <c r="G1202" s="33">
        <f>IF(J1202="H",(SUMIFS(Transaksi!$G$2:$G$2001,Transaksi!$M$2:$M$2001,"&lt;="&amp;S1202)+SUMIFS(Transaksi!$H$2:$H$2001,Transaksi!$M$2:$M$2001,"&lt;="&amp;S1202)+SUMIFS(Transaksi!$I$2:$I$2001,Transaksi!$M$2:$M$2001,"&lt;="&amp;S1202))-(SUMIFS(Transaksi!$J$2:$J$2001,Transaksi!$M$2:$M$2001,"&lt;="&amp;S1202)),"")</f>
        <v/>
      </c>
      <c r="I1202">
        <f>IF(1199&gt;$O$2,"",MATCH(1199,$Q$3:$Q$402,1))</f>
        <v/>
      </c>
      <c r="J1202">
        <f>IF(I1202="","",IF(1199=INDEX($Q$3:$Q$402,I1202),"H","E"))</f>
        <v/>
      </c>
      <c r="K1202">
        <f>IF(J1202&lt;&gt;"E","",MATCH(S1202,Transaksi!$M$2:$M$2001,0)+1199-INDEX($Q$3:$Q$402,I1202)-1)</f>
        <v/>
      </c>
      <c r="S1202">
        <f>IF(I1202="","",INDEX($O$3:$O$402,I1202))</f>
        <v/>
      </c>
      <c r="T1202">
        <f>IF(J1202&lt;&gt;"H","",INDEX(Transaksi!$A$2:$A$2001,MATCH(S1202,Transaksi!$M$2:$M$2001,0)))</f>
        <v/>
      </c>
    </row>
    <row r="1203">
      <c r="A1203" s="31">
        <f>IF(J1203="E",IF(INDEX(Transaksi!$J$2:$J$2001,K1203)&gt;0,"↑","↓"),"")</f>
        <v/>
      </c>
      <c r="B1203" s="32">
        <f>IF(J1203="H",CHOOSE(WEEKDAY(T1203,2),"Isnin","Selasa","Rabu","Khamis","Jumaat","Sabtu","Ahad")&amp;", "&amp;DAY(T1203)&amp;" "&amp;CHOOSE(MONTH(T1203),"Jan","Feb","Mac","Apr","Mei","Jun","Jul","Ogo","Sep","Okt","Nov","Dis")&amp;" "&amp;YEAR(T1203),IF(J1203="E",IF(INDEX(Transaksi!$B$2:$B$2001,K1203)="",INDEX(Transaksi!$C$2:$C$2001,K1203)&amp;" · "&amp;INDEX(Transaksi!$D$2:$D$2001,K1203),INDEX(Transaksi!$B$2:$B$2001,K1203)),""))</f>
        <v/>
      </c>
      <c r="C1203" s="32">
        <f>IF(J1203="E",INDEX(Transaksi!$C$2:$C$2001,K1203)&amp;"","")</f>
        <v/>
      </c>
      <c r="D1203" s="32">
        <f>IF(J1203="E",INDEX(Transaksi!$D$2:$D$2001,K1203)&amp;"","")</f>
        <v/>
      </c>
      <c r="E1203" s="33">
        <f>IF(J1203="H",SUMIFS(Transaksi!$G$2:$G$2001,Transaksi!$M$2:$M$2001,"="&amp;S1203)+SUMIFS(Transaksi!$H$2:$H$2001,Transaksi!$M$2:$M$2001,"="&amp;S1203)+SUMIFS(Transaksi!$I$2:$I$2001,Transaksi!$M$2:$M$2001,"="&amp;S1203),IF(J1203="E",IF(INDEX(Transaksi!$G$2:$G$2001,K1203)+INDEX(Transaksi!$H$2:$H$2001,K1203)+INDEX(Transaksi!$I$2:$I$2001,K1203)=0,"",INDEX(Transaksi!$G$2:$G$2001,K1203)+INDEX(Transaksi!$H$2:$H$2001,K1203)+INDEX(Transaksi!$I$2:$I$2001,K1203)),""))</f>
        <v/>
      </c>
      <c r="F1203" s="33">
        <f>IF(J1203="H",SUMIFS(Transaksi!$J$2:$J$2001,Transaksi!$M$2:$M$2001,"="&amp;S1203),IF(J1203="E",IF(INDEX(Transaksi!$J$2:$J$2001,K1203)=0,"",INDEX(Transaksi!$J$2:$J$2001,K1203)),""))</f>
        <v/>
      </c>
      <c r="G1203" s="33">
        <f>IF(J1203="H",(SUMIFS(Transaksi!$G$2:$G$2001,Transaksi!$M$2:$M$2001,"&lt;="&amp;S1203)+SUMIFS(Transaksi!$H$2:$H$2001,Transaksi!$M$2:$M$2001,"&lt;="&amp;S1203)+SUMIFS(Transaksi!$I$2:$I$2001,Transaksi!$M$2:$M$2001,"&lt;="&amp;S1203))-(SUMIFS(Transaksi!$J$2:$J$2001,Transaksi!$M$2:$M$2001,"&lt;="&amp;S1203)),"")</f>
        <v/>
      </c>
      <c r="I1203">
        <f>IF(1200&gt;$O$2,"",MATCH(1200,$Q$3:$Q$402,1))</f>
        <v/>
      </c>
      <c r="J1203">
        <f>IF(I1203="","",IF(1200=INDEX($Q$3:$Q$402,I1203),"H","E"))</f>
        <v/>
      </c>
      <c r="K1203">
        <f>IF(J1203&lt;&gt;"E","",MATCH(S1203,Transaksi!$M$2:$M$2001,0)+1200-INDEX($Q$3:$Q$402,I1203)-1)</f>
        <v/>
      </c>
      <c r="S1203">
        <f>IF(I1203="","",INDEX($O$3:$O$402,I1203))</f>
        <v/>
      </c>
      <c r="T1203">
        <f>IF(J1203&lt;&gt;"H","",INDEX(Transaksi!$A$2:$A$2001,MATCH(S1203,Transaksi!$M$2:$M$2001,0)))</f>
        <v/>
      </c>
    </row>
  </sheetData>
  <conditionalFormatting sqref="A4:G1203">
    <cfRule type="expression" priority="1" dxfId="2">
      <formula>$J4="H"</formula>
    </cfRule>
  </conditionalFormatting>
  <conditionalFormatting sqref="E4:E1203">
    <cfRule type="expression" priority="2" dxfId="3">
      <formula>$J4="E"</formula>
    </cfRule>
  </conditionalFormatting>
  <conditionalFormatting sqref="F4:F1203">
    <cfRule type="expression" priority="3" dxfId="4">
      <formula>$J4="E"</formula>
    </cfRule>
  </conditionalFormatting>
  <conditionalFormatting sqref="A4:A1203">
    <cfRule type="expression" priority="4" dxfId="0">
      <formula>$A4="↑"</formula>
    </cfRule>
    <cfRule type="expression" priority="5" dxfId="5">
      <formula>$A4="↓"</formula>
    </cfRule>
  </conditionalFormatting>
  <conditionalFormatting sqref="C4:D1203">
    <cfRule type="expression" priority="6" dxfId="6">
      <formula>$J4="E"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X7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  <col width="7.6" customWidth="1" min="13" max="13"/>
    <col width="7.6" customWidth="1" min="14" max="14"/>
    <col width="7.6" customWidth="1" min="15" max="15"/>
    <col width="7.6" customWidth="1" min="16" max="16"/>
    <col width="7.6" customWidth="1" min="17" max="17"/>
    <col width="7.6" customWidth="1" min="18" max="18"/>
    <col width="7.6" customWidth="1" min="19" max="19"/>
    <col width="7.6" customWidth="1" min="20" max="20"/>
    <col hidden="1" width="13" customWidth="1" min="23" max="23"/>
    <col hidden="1" width="13" customWidth="1" min="24" max="24"/>
  </cols>
  <sheetData>
    <row r="1" ht="30" customHeight="1">
      <c r="A1" s="1" t="inlineStr">
        <is>
          <t>Yuran</t>
        </is>
      </c>
    </row>
    <row r="2">
      <c r="A2" s="2" t="inlineStr">
        <is>
          <t>✓ dibayar   ½ separa   ✗ belum bayar   · akan datang   – di luar tempoh / dikecualikan.   Auto daripada Transaksi (lajur Bulan mula/akhir).</t>
        </is>
      </c>
    </row>
    <row r="4" ht="30" customHeight="1">
      <c r="A4" s="18" t="inlineStr">
        <is>
          <t>Ahli</t>
        </is>
      </c>
      <c r="B4" s="19" t="inlineStr">
        <is>
          <t>Kelab belum</t>
        </is>
      </c>
      <c r="C4" s="34" t="inlineStr">
        <is>
          <t>Bulan Kelab yang belum dibayar</t>
        </is>
      </c>
      <c r="D4" s="27" t="n"/>
      <c r="E4" s="27" t="n"/>
      <c r="F4" s="27" t="n"/>
      <c r="G4" s="27" t="n"/>
      <c r="H4" s="27" t="n"/>
      <c r="I4" s="27" t="n"/>
      <c r="J4" s="27" t="n"/>
      <c r="K4" s="19" t="inlineStr">
        <is>
          <t>Lawatan belum</t>
        </is>
      </c>
      <c r="L4" s="34" t="inlineStr">
        <is>
          <t>Bulan Lawatan yang belum dibayar</t>
        </is>
      </c>
      <c r="M4" s="27" t="n"/>
      <c r="N4" s="27" t="n"/>
      <c r="O4" s="27" t="n"/>
      <c r="P4" s="27" t="n"/>
      <c r="Q4" s="27" t="n"/>
      <c r="R4" s="27" t="n"/>
      <c r="S4" s="27" t="n"/>
      <c r="T4" s="27" t="n"/>
    </row>
    <row r="5" ht="26" customHeight="1">
      <c r="A5" s="35">
        <f>IF(Tetapan!A5="","",Tetapan!A5)</f>
        <v/>
      </c>
      <c r="B5" s="36">
        <f>IF($A5="","",COUNTIF(B29:T29,"✗")+COUNTIF(B29:T29,"½"))</f>
        <v/>
      </c>
      <c r="C5" s="37">
        <f>IF($A5="","",IF(W29="","✓ semua selesai",LEFT(W29,LEN(W29)-2)))</f>
        <v/>
      </c>
      <c r="D5" s="38" t="n"/>
      <c r="E5" s="38" t="n"/>
      <c r="F5" s="38" t="n"/>
      <c r="G5" s="38" t="n"/>
      <c r="H5" s="38" t="n"/>
      <c r="I5" s="38" t="n"/>
      <c r="J5" s="38" t="n"/>
      <c r="K5" s="36">
        <f>IF($A5="","",COUNTIF(B53:T53,"✗")+COUNTIF(B53:T53,"½"))</f>
        <v/>
      </c>
      <c r="L5" s="37">
        <f>IF($A5="","",IF(W53="","✓ semua selesai",LEFT(W53,LEN(W53)-2)))</f>
        <v/>
      </c>
      <c r="M5" s="38" t="n"/>
      <c r="N5" s="38" t="n"/>
      <c r="O5" s="38" t="n"/>
      <c r="P5" s="38" t="n"/>
      <c r="Q5" s="38" t="n"/>
      <c r="R5" s="38" t="n"/>
      <c r="S5" s="38" t="n"/>
      <c r="T5" s="38" t="n"/>
      <c r="X5">
        <f>IF($A5="",0,COUNTIF(B29:T29,"✗")*Tetapan!D5+COUNTIF(B53:T53,"✗")*Tetapan!E5)</f>
        <v/>
      </c>
    </row>
    <row r="6" ht="26" customHeight="1">
      <c r="A6" s="35">
        <f>IF(Tetapan!A6="","",Tetapan!A6)</f>
        <v/>
      </c>
      <c r="B6" s="36">
        <f>IF($A6="","",COUNTIF(B30:T30,"✗")+COUNTIF(B30:T30,"½"))</f>
        <v/>
      </c>
      <c r="C6" s="37">
        <f>IF($A6="","",IF(W30="","✓ semua selesai",LEFT(W30,LEN(W30)-2)))</f>
        <v/>
      </c>
      <c r="D6" s="38" t="n"/>
      <c r="E6" s="38" t="n"/>
      <c r="F6" s="38" t="n"/>
      <c r="G6" s="38" t="n"/>
      <c r="H6" s="38" t="n"/>
      <c r="I6" s="38" t="n"/>
      <c r="J6" s="38" t="n"/>
      <c r="K6" s="36">
        <f>IF($A6="","",COUNTIF(B54:T54,"✗")+COUNTIF(B54:T54,"½"))</f>
        <v/>
      </c>
      <c r="L6" s="37">
        <f>IF($A6="","",IF(W54="","✓ semua selesai",LEFT(W54,LEN(W54)-2)))</f>
        <v/>
      </c>
      <c r="M6" s="38" t="n"/>
      <c r="N6" s="38" t="n"/>
      <c r="O6" s="38" t="n"/>
      <c r="P6" s="38" t="n"/>
      <c r="Q6" s="38" t="n"/>
      <c r="R6" s="38" t="n"/>
      <c r="S6" s="38" t="n"/>
      <c r="T6" s="38" t="n"/>
      <c r="X6">
        <f>IF($A6="",0,COUNTIF(B30:T30,"✗")*Tetapan!D6+COUNTIF(B54:T54,"✗")*Tetapan!E6)</f>
        <v/>
      </c>
    </row>
    <row r="7" ht="26" customHeight="1">
      <c r="A7" s="35">
        <f>IF(Tetapan!A7="","",Tetapan!A7)</f>
        <v/>
      </c>
      <c r="B7" s="36">
        <f>IF($A7="","",COUNTIF(B31:T31,"✗")+COUNTIF(B31:T31,"½"))</f>
        <v/>
      </c>
      <c r="C7" s="37">
        <f>IF($A7="","",IF(W31="","✓ semua selesai",LEFT(W31,LEN(W31)-2)))</f>
        <v/>
      </c>
      <c r="D7" s="38" t="n"/>
      <c r="E7" s="38" t="n"/>
      <c r="F7" s="38" t="n"/>
      <c r="G7" s="38" t="n"/>
      <c r="H7" s="38" t="n"/>
      <c r="I7" s="38" t="n"/>
      <c r="J7" s="38" t="n"/>
      <c r="K7" s="36">
        <f>IF($A7="","",COUNTIF(B55:T55,"✗")+COUNTIF(B55:T55,"½"))</f>
        <v/>
      </c>
      <c r="L7" s="37">
        <f>IF($A7="","",IF(W55="","✓ semua selesai",LEFT(W55,LEN(W55)-2)))</f>
        <v/>
      </c>
      <c r="M7" s="38" t="n"/>
      <c r="N7" s="38" t="n"/>
      <c r="O7" s="38" t="n"/>
      <c r="P7" s="38" t="n"/>
      <c r="Q7" s="38" t="n"/>
      <c r="R7" s="38" t="n"/>
      <c r="S7" s="38" t="n"/>
      <c r="T7" s="38" t="n"/>
      <c r="X7">
        <f>IF($A7="",0,COUNTIF(B31:T31,"✗")*Tetapan!D7+COUNTIF(B55:T55,"✗")*Tetapan!E7)</f>
        <v/>
      </c>
    </row>
    <row r="8" ht="26" customHeight="1">
      <c r="A8" s="35">
        <f>IF(Tetapan!A8="","",Tetapan!A8)</f>
        <v/>
      </c>
      <c r="B8" s="36">
        <f>IF($A8="","",COUNTIF(B32:T32,"✗")+COUNTIF(B32:T32,"½"))</f>
        <v/>
      </c>
      <c r="C8" s="37">
        <f>IF($A8="","",IF(W32="","✓ semua selesai",LEFT(W32,LEN(W32)-2)))</f>
        <v/>
      </c>
      <c r="D8" s="38" t="n"/>
      <c r="E8" s="38" t="n"/>
      <c r="F8" s="38" t="n"/>
      <c r="G8" s="38" t="n"/>
      <c r="H8" s="38" t="n"/>
      <c r="I8" s="38" t="n"/>
      <c r="J8" s="38" t="n"/>
      <c r="K8" s="36">
        <f>IF($A8="","",COUNTIF(B56:T56,"✗")+COUNTIF(B56:T56,"½"))</f>
        <v/>
      </c>
      <c r="L8" s="37">
        <f>IF($A8="","",IF(W56="","✓ semua selesai",LEFT(W56,LEN(W56)-2)))</f>
        <v/>
      </c>
      <c r="M8" s="38" t="n"/>
      <c r="N8" s="38" t="n"/>
      <c r="O8" s="38" t="n"/>
      <c r="P8" s="38" t="n"/>
      <c r="Q8" s="38" t="n"/>
      <c r="R8" s="38" t="n"/>
      <c r="S8" s="38" t="n"/>
      <c r="T8" s="38" t="n"/>
      <c r="X8">
        <f>IF($A8="",0,COUNTIF(B32:T32,"✗")*Tetapan!D8+COUNTIF(B56:T56,"✗")*Tetapan!E8)</f>
        <v/>
      </c>
    </row>
    <row r="9" ht="26" customHeight="1">
      <c r="A9" s="35">
        <f>IF(Tetapan!A9="","",Tetapan!A9)</f>
        <v/>
      </c>
      <c r="B9" s="36">
        <f>IF($A9="","",COUNTIF(B33:T33,"✗")+COUNTIF(B33:T33,"½"))</f>
        <v/>
      </c>
      <c r="C9" s="37">
        <f>IF($A9="","",IF(W33="","✓ semua selesai",LEFT(W33,LEN(W33)-2)))</f>
        <v/>
      </c>
      <c r="D9" s="38" t="n"/>
      <c r="E9" s="38" t="n"/>
      <c r="F9" s="38" t="n"/>
      <c r="G9" s="38" t="n"/>
      <c r="H9" s="38" t="n"/>
      <c r="I9" s="38" t="n"/>
      <c r="J9" s="38" t="n"/>
      <c r="K9" s="36">
        <f>IF($A9="","",COUNTIF(B57:T57,"✗")+COUNTIF(B57:T57,"½"))</f>
        <v/>
      </c>
      <c r="L9" s="37">
        <f>IF($A9="","",IF(W57="","✓ semua selesai",LEFT(W57,LEN(W57)-2)))</f>
        <v/>
      </c>
      <c r="M9" s="38" t="n"/>
      <c r="N9" s="38" t="n"/>
      <c r="O9" s="38" t="n"/>
      <c r="P9" s="38" t="n"/>
      <c r="Q9" s="38" t="n"/>
      <c r="R9" s="38" t="n"/>
      <c r="S9" s="38" t="n"/>
      <c r="T9" s="38" t="n"/>
      <c r="X9">
        <f>IF($A9="",0,COUNTIF(B33:T33,"✗")*Tetapan!D9+COUNTIF(B57:T57,"✗")*Tetapan!E9)</f>
        <v/>
      </c>
    </row>
    <row r="10" ht="26" customHeight="1">
      <c r="A10" s="35">
        <f>IF(Tetapan!A10="","",Tetapan!A10)</f>
        <v/>
      </c>
      <c r="B10" s="36">
        <f>IF($A10="","",COUNTIF(B34:T34,"✗")+COUNTIF(B34:T34,"½"))</f>
        <v/>
      </c>
      <c r="C10" s="37">
        <f>IF($A10="","",IF(W34="","✓ semua selesai",LEFT(W34,LEN(W34)-2)))</f>
        <v/>
      </c>
      <c r="D10" s="38" t="n"/>
      <c r="E10" s="38" t="n"/>
      <c r="F10" s="38" t="n"/>
      <c r="G10" s="38" t="n"/>
      <c r="H10" s="38" t="n"/>
      <c r="I10" s="38" t="n"/>
      <c r="J10" s="38" t="n"/>
      <c r="K10" s="36">
        <f>IF($A10="","",COUNTIF(B58:T58,"✗")+COUNTIF(B58:T58,"½"))</f>
        <v/>
      </c>
      <c r="L10" s="37">
        <f>IF($A10="","",IF(W58="","✓ semua selesai",LEFT(W58,LEN(W58)-2)))</f>
        <v/>
      </c>
      <c r="M10" s="38" t="n"/>
      <c r="N10" s="38" t="n"/>
      <c r="O10" s="38" t="n"/>
      <c r="P10" s="38" t="n"/>
      <c r="Q10" s="38" t="n"/>
      <c r="R10" s="38" t="n"/>
      <c r="S10" s="38" t="n"/>
      <c r="T10" s="38" t="n"/>
      <c r="X10">
        <f>IF($A10="",0,COUNTIF(B34:T34,"✗")*Tetapan!D10+COUNTIF(B58:T58,"✗")*Tetapan!E10)</f>
        <v/>
      </c>
    </row>
    <row r="11" ht="26" customHeight="1">
      <c r="A11" s="35">
        <f>IF(Tetapan!A11="","",Tetapan!A11)</f>
        <v/>
      </c>
      <c r="B11" s="36">
        <f>IF($A11="","",COUNTIF(B35:T35,"✗")+COUNTIF(B35:T35,"½"))</f>
        <v/>
      </c>
      <c r="C11" s="37">
        <f>IF($A11="","",IF(W35="","✓ semua selesai",LEFT(W35,LEN(W35)-2)))</f>
        <v/>
      </c>
      <c r="D11" s="38" t="n"/>
      <c r="E11" s="38" t="n"/>
      <c r="F11" s="38" t="n"/>
      <c r="G11" s="38" t="n"/>
      <c r="H11" s="38" t="n"/>
      <c r="I11" s="38" t="n"/>
      <c r="J11" s="38" t="n"/>
      <c r="K11" s="36">
        <f>IF($A11="","",COUNTIF(B59:T59,"✗")+COUNTIF(B59:T59,"½"))</f>
        <v/>
      </c>
      <c r="L11" s="37">
        <f>IF($A11="","",IF(W59="","✓ semua selesai",LEFT(W59,LEN(W59)-2)))</f>
        <v/>
      </c>
      <c r="M11" s="38" t="n"/>
      <c r="N11" s="38" t="n"/>
      <c r="O11" s="38" t="n"/>
      <c r="P11" s="38" t="n"/>
      <c r="Q11" s="38" t="n"/>
      <c r="R11" s="38" t="n"/>
      <c r="S11" s="38" t="n"/>
      <c r="T11" s="38" t="n"/>
      <c r="X11">
        <f>IF($A11="",0,COUNTIF(B35:T35,"✗")*Tetapan!D11+COUNTIF(B59:T59,"✗")*Tetapan!E11)</f>
        <v/>
      </c>
    </row>
    <row r="12" ht="26" customHeight="1">
      <c r="A12" s="35">
        <f>IF(Tetapan!A12="","",Tetapan!A12)</f>
        <v/>
      </c>
      <c r="B12" s="36">
        <f>IF($A12="","",COUNTIF(B36:T36,"✗")+COUNTIF(B36:T36,"½"))</f>
        <v/>
      </c>
      <c r="C12" s="37">
        <f>IF($A12="","",IF(W36="","✓ semua selesai",LEFT(W36,LEN(W36)-2)))</f>
        <v/>
      </c>
      <c r="D12" s="38" t="n"/>
      <c r="E12" s="38" t="n"/>
      <c r="F12" s="38" t="n"/>
      <c r="G12" s="38" t="n"/>
      <c r="H12" s="38" t="n"/>
      <c r="I12" s="38" t="n"/>
      <c r="J12" s="38" t="n"/>
      <c r="K12" s="36">
        <f>IF($A12="","",COUNTIF(B60:T60,"✗")+COUNTIF(B60:T60,"½"))</f>
        <v/>
      </c>
      <c r="L12" s="37">
        <f>IF($A12="","",IF(W60="","✓ semua selesai",LEFT(W60,LEN(W60)-2)))</f>
        <v/>
      </c>
      <c r="M12" s="38" t="n"/>
      <c r="N12" s="38" t="n"/>
      <c r="O12" s="38" t="n"/>
      <c r="P12" s="38" t="n"/>
      <c r="Q12" s="38" t="n"/>
      <c r="R12" s="38" t="n"/>
      <c r="S12" s="38" t="n"/>
      <c r="T12" s="38" t="n"/>
      <c r="X12">
        <f>IF($A12="",0,COUNTIF(B36:T36,"✗")*Tetapan!D12+COUNTIF(B60:T60,"✗")*Tetapan!E12)</f>
        <v/>
      </c>
    </row>
    <row r="13" ht="26" customHeight="1">
      <c r="A13" s="35">
        <f>IF(Tetapan!A13="","",Tetapan!A13)</f>
        <v/>
      </c>
      <c r="B13" s="36">
        <f>IF($A13="","",COUNTIF(B37:T37,"✗")+COUNTIF(B37:T37,"½"))</f>
        <v/>
      </c>
      <c r="C13" s="37">
        <f>IF($A13="","",IF(W37="","✓ semua selesai",LEFT(W37,LEN(W37)-2)))</f>
        <v/>
      </c>
      <c r="D13" s="38" t="n"/>
      <c r="E13" s="38" t="n"/>
      <c r="F13" s="38" t="n"/>
      <c r="G13" s="38" t="n"/>
      <c r="H13" s="38" t="n"/>
      <c r="I13" s="38" t="n"/>
      <c r="J13" s="38" t="n"/>
      <c r="K13" s="36">
        <f>IF($A13="","",COUNTIF(B61:T61,"✗")+COUNTIF(B61:T61,"½"))</f>
        <v/>
      </c>
      <c r="L13" s="37">
        <f>IF($A13="","",IF(W61="","✓ semua selesai",LEFT(W61,LEN(W61)-2)))</f>
        <v/>
      </c>
      <c r="M13" s="38" t="n"/>
      <c r="N13" s="38" t="n"/>
      <c r="O13" s="38" t="n"/>
      <c r="P13" s="38" t="n"/>
      <c r="Q13" s="38" t="n"/>
      <c r="R13" s="38" t="n"/>
      <c r="S13" s="38" t="n"/>
      <c r="T13" s="38" t="n"/>
      <c r="X13">
        <f>IF($A13="",0,COUNTIF(B37:T37,"✗")*Tetapan!D13+COUNTIF(B61:T61,"✗")*Tetapan!E13)</f>
        <v/>
      </c>
    </row>
    <row r="14" ht="26" customHeight="1">
      <c r="A14" s="35">
        <f>IF(Tetapan!A14="","",Tetapan!A14)</f>
        <v/>
      </c>
      <c r="B14" s="36">
        <f>IF($A14="","",COUNTIF(B38:T38,"✗")+COUNTIF(B38:T38,"½"))</f>
        <v/>
      </c>
      <c r="C14" s="37">
        <f>IF($A14="","",IF(W38="","✓ semua selesai",LEFT(W38,LEN(W38)-2)))</f>
        <v/>
      </c>
      <c r="D14" s="38" t="n"/>
      <c r="E14" s="38" t="n"/>
      <c r="F14" s="38" t="n"/>
      <c r="G14" s="38" t="n"/>
      <c r="H14" s="38" t="n"/>
      <c r="I14" s="38" t="n"/>
      <c r="J14" s="38" t="n"/>
      <c r="K14" s="36">
        <f>IF($A14="","",COUNTIF(B62:T62,"✗")+COUNTIF(B62:T62,"½"))</f>
        <v/>
      </c>
      <c r="L14" s="37">
        <f>IF($A14="","",IF(W62="","✓ semua selesai",LEFT(W62,LEN(W62)-2)))</f>
        <v/>
      </c>
      <c r="M14" s="38" t="n"/>
      <c r="N14" s="38" t="n"/>
      <c r="O14" s="38" t="n"/>
      <c r="P14" s="38" t="n"/>
      <c r="Q14" s="38" t="n"/>
      <c r="R14" s="38" t="n"/>
      <c r="S14" s="38" t="n"/>
      <c r="T14" s="38" t="n"/>
      <c r="X14">
        <f>IF($A14="",0,COUNTIF(B38:T38,"✗")*Tetapan!D14+COUNTIF(B62:T62,"✗")*Tetapan!E14)</f>
        <v/>
      </c>
    </row>
    <row r="15" ht="26" customHeight="1">
      <c r="A15" s="35">
        <f>IF(Tetapan!A15="","",Tetapan!A15)</f>
        <v/>
      </c>
      <c r="B15" s="36">
        <f>IF($A15="","",COUNTIF(B39:T39,"✗")+COUNTIF(B39:T39,"½"))</f>
        <v/>
      </c>
      <c r="C15" s="37">
        <f>IF($A15="","",IF(W39="","✓ semua selesai",LEFT(W39,LEN(W39)-2)))</f>
        <v/>
      </c>
      <c r="D15" s="38" t="n"/>
      <c r="E15" s="38" t="n"/>
      <c r="F15" s="38" t="n"/>
      <c r="G15" s="38" t="n"/>
      <c r="H15" s="38" t="n"/>
      <c r="I15" s="38" t="n"/>
      <c r="J15" s="38" t="n"/>
      <c r="K15" s="36">
        <f>IF($A15="","",COUNTIF(B63:T63,"✗")+COUNTIF(B63:T63,"½"))</f>
        <v/>
      </c>
      <c r="L15" s="37">
        <f>IF($A15="","",IF(W63="","✓ semua selesai",LEFT(W63,LEN(W63)-2)))</f>
        <v/>
      </c>
      <c r="M15" s="38" t="n"/>
      <c r="N15" s="38" t="n"/>
      <c r="O15" s="38" t="n"/>
      <c r="P15" s="38" t="n"/>
      <c r="Q15" s="38" t="n"/>
      <c r="R15" s="38" t="n"/>
      <c r="S15" s="38" t="n"/>
      <c r="T15" s="38" t="n"/>
      <c r="X15">
        <f>IF($A15="",0,COUNTIF(B39:T39,"✗")*Tetapan!D15+COUNTIF(B63:T63,"✗")*Tetapan!E15)</f>
        <v/>
      </c>
    </row>
    <row r="16" ht="26" customHeight="1">
      <c r="A16" s="35">
        <f>IF(Tetapan!A16="","",Tetapan!A16)</f>
        <v/>
      </c>
      <c r="B16" s="36">
        <f>IF($A16="","",COUNTIF(B40:T40,"✗")+COUNTIF(B40:T40,"½"))</f>
        <v/>
      </c>
      <c r="C16" s="37">
        <f>IF($A16="","",IF(W40="","✓ semua selesai",LEFT(W40,LEN(W40)-2)))</f>
        <v/>
      </c>
      <c r="D16" s="38" t="n"/>
      <c r="E16" s="38" t="n"/>
      <c r="F16" s="38" t="n"/>
      <c r="G16" s="38" t="n"/>
      <c r="H16" s="38" t="n"/>
      <c r="I16" s="38" t="n"/>
      <c r="J16" s="38" t="n"/>
      <c r="K16" s="36">
        <f>IF($A16="","",COUNTIF(B64:T64,"✗")+COUNTIF(B64:T64,"½"))</f>
        <v/>
      </c>
      <c r="L16" s="37">
        <f>IF($A16="","",IF(W64="","✓ semua selesai",LEFT(W64,LEN(W64)-2)))</f>
        <v/>
      </c>
      <c r="M16" s="38" t="n"/>
      <c r="N16" s="38" t="n"/>
      <c r="O16" s="38" t="n"/>
      <c r="P16" s="38" t="n"/>
      <c r="Q16" s="38" t="n"/>
      <c r="R16" s="38" t="n"/>
      <c r="S16" s="38" t="n"/>
      <c r="T16" s="38" t="n"/>
      <c r="X16">
        <f>IF($A16="",0,COUNTIF(B40:T40,"✗")*Tetapan!D16+COUNTIF(B64:T64,"✗")*Tetapan!E16)</f>
        <v/>
      </c>
    </row>
    <row r="17" ht="26" customHeight="1">
      <c r="A17" s="35">
        <f>IF(Tetapan!A17="","",Tetapan!A17)</f>
        <v/>
      </c>
      <c r="B17" s="36">
        <f>IF($A17="","",COUNTIF(B41:T41,"✗")+COUNTIF(B41:T41,"½"))</f>
        <v/>
      </c>
      <c r="C17" s="37">
        <f>IF($A17="","",IF(W41="","✓ semua selesai",LEFT(W41,LEN(W41)-2)))</f>
        <v/>
      </c>
      <c r="D17" s="38" t="n"/>
      <c r="E17" s="38" t="n"/>
      <c r="F17" s="38" t="n"/>
      <c r="G17" s="38" t="n"/>
      <c r="H17" s="38" t="n"/>
      <c r="I17" s="38" t="n"/>
      <c r="J17" s="38" t="n"/>
      <c r="K17" s="36">
        <f>IF($A17="","",COUNTIF(B65:T65,"✗")+COUNTIF(B65:T65,"½"))</f>
        <v/>
      </c>
      <c r="L17" s="37">
        <f>IF($A17="","",IF(W65="","✓ semua selesai",LEFT(W65,LEN(W65)-2)))</f>
        <v/>
      </c>
      <c r="M17" s="38" t="n"/>
      <c r="N17" s="38" t="n"/>
      <c r="O17" s="38" t="n"/>
      <c r="P17" s="38" t="n"/>
      <c r="Q17" s="38" t="n"/>
      <c r="R17" s="38" t="n"/>
      <c r="S17" s="38" t="n"/>
      <c r="T17" s="38" t="n"/>
      <c r="X17">
        <f>IF($A17="",0,COUNTIF(B41:T41,"✗")*Tetapan!D17+COUNTIF(B65:T65,"✗")*Tetapan!E17)</f>
        <v/>
      </c>
    </row>
    <row r="18" ht="26" customHeight="1">
      <c r="A18" s="35">
        <f>IF(Tetapan!A18="","",Tetapan!A18)</f>
        <v/>
      </c>
      <c r="B18" s="36">
        <f>IF($A18="","",COUNTIF(B42:T42,"✗")+COUNTIF(B42:T42,"½"))</f>
        <v/>
      </c>
      <c r="C18" s="37">
        <f>IF($A18="","",IF(W42="","✓ semua selesai",LEFT(W42,LEN(W42)-2)))</f>
        <v/>
      </c>
      <c r="D18" s="38" t="n"/>
      <c r="E18" s="38" t="n"/>
      <c r="F18" s="38" t="n"/>
      <c r="G18" s="38" t="n"/>
      <c r="H18" s="38" t="n"/>
      <c r="I18" s="38" t="n"/>
      <c r="J18" s="38" t="n"/>
      <c r="K18" s="36">
        <f>IF($A18="","",COUNTIF(B66:T66,"✗")+COUNTIF(B66:T66,"½"))</f>
        <v/>
      </c>
      <c r="L18" s="37">
        <f>IF($A18="","",IF(W66="","✓ semua selesai",LEFT(W66,LEN(W66)-2)))</f>
        <v/>
      </c>
      <c r="M18" s="38" t="n"/>
      <c r="N18" s="38" t="n"/>
      <c r="O18" s="38" t="n"/>
      <c r="P18" s="38" t="n"/>
      <c r="Q18" s="38" t="n"/>
      <c r="R18" s="38" t="n"/>
      <c r="S18" s="38" t="n"/>
      <c r="T18" s="38" t="n"/>
      <c r="X18">
        <f>IF($A18="",0,COUNTIF(B42:T42,"✗")*Tetapan!D18+COUNTIF(B66:T66,"✗")*Tetapan!E18)</f>
        <v/>
      </c>
    </row>
    <row r="19" ht="26" customHeight="1">
      <c r="A19" s="35">
        <f>IF(Tetapan!A19="","",Tetapan!A19)</f>
        <v/>
      </c>
      <c r="B19" s="36">
        <f>IF($A19="","",COUNTIF(B43:T43,"✗")+COUNTIF(B43:T43,"½"))</f>
        <v/>
      </c>
      <c r="C19" s="37">
        <f>IF($A19="","",IF(W43="","✓ semua selesai",LEFT(W43,LEN(W43)-2)))</f>
        <v/>
      </c>
      <c r="D19" s="38" t="n"/>
      <c r="E19" s="38" t="n"/>
      <c r="F19" s="38" t="n"/>
      <c r="G19" s="38" t="n"/>
      <c r="H19" s="38" t="n"/>
      <c r="I19" s="38" t="n"/>
      <c r="J19" s="38" t="n"/>
      <c r="K19" s="36">
        <f>IF($A19="","",COUNTIF(B67:T67,"✗")+COUNTIF(B67:T67,"½"))</f>
        <v/>
      </c>
      <c r="L19" s="37">
        <f>IF($A19="","",IF(W67="","✓ semua selesai",LEFT(W67,LEN(W67)-2)))</f>
        <v/>
      </c>
      <c r="M19" s="38" t="n"/>
      <c r="N19" s="38" t="n"/>
      <c r="O19" s="38" t="n"/>
      <c r="P19" s="38" t="n"/>
      <c r="Q19" s="38" t="n"/>
      <c r="R19" s="38" t="n"/>
      <c r="S19" s="38" t="n"/>
      <c r="T19" s="38" t="n"/>
      <c r="X19">
        <f>IF($A19="",0,COUNTIF(B43:T43,"✗")*Tetapan!D19+COUNTIF(B67:T67,"✗")*Tetapan!E19)</f>
        <v/>
      </c>
    </row>
    <row r="20" ht="26" customHeight="1">
      <c r="A20" s="35">
        <f>IF(Tetapan!A20="","",Tetapan!A20)</f>
        <v/>
      </c>
      <c r="B20" s="36">
        <f>IF($A20="","",COUNTIF(B44:T44,"✗")+COUNTIF(B44:T44,"½"))</f>
        <v/>
      </c>
      <c r="C20" s="37">
        <f>IF($A20="","",IF(W44="","✓ semua selesai",LEFT(W44,LEN(W44)-2)))</f>
        <v/>
      </c>
      <c r="D20" s="38" t="n"/>
      <c r="E20" s="38" t="n"/>
      <c r="F20" s="38" t="n"/>
      <c r="G20" s="38" t="n"/>
      <c r="H20" s="38" t="n"/>
      <c r="I20" s="38" t="n"/>
      <c r="J20" s="38" t="n"/>
      <c r="K20" s="36">
        <f>IF($A20="","",COUNTIF(B68:T68,"✗")+COUNTIF(B68:T68,"½"))</f>
        <v/>
      </c>
      <c r="L20" s="37">
        <f>IF($A20="","",IF(W68="","✓ semua selesai",LEFT(W68,LEN(W68)-2)))</f>
        <v/>
      </c>
      <c r="M20" s="38" t="n"/>
      <c r="N20" s="38" t="n"/>
      <c r="O20" s="38" t="n"/>
      <c r="P20" s="38" t="n"/>
      <c r="Q20" s="38" t="n"/>
      <c r="R20" s="38" t="n"/>
      <c r="S20" s="38" t="n"/>
      <c r="T20" s="38" t="n"/>
      <c r="X20">
        <f>IF($A20="",0,COUNTIF(B44:T44,"✗")*Tetapan!D20+COUNTIF(B68:T68,"✗")*Tetapan!E20)</f>
        <v/>
      </c>
    </row>
    <row r="21" ht="26" customHeight="1">
      <c r="A21" s="35">
        <f>IF(Tetapan!A21="","",Tetapan!A21)</f>
        <v/>
      </c>
      <c r="B21" s="36">
        <f>IF($A21="","",COUNTIF(B45:T45,"✗")+COUNTIF(B45:T45,"½"))</f>
        <v/>
      </c>
      <c r="C21" s="37">
        <f>IF($A21="","",IF(W45="","✓ semua selesai",LEFT(W45,LEN(W45)-2)))</f>
        <v/>
      </c>
      <c r="D21" s="38" t="n"/>
      <c r="E21" s="38" t="n"/>
      <c r="F21" s="38" t="n"/>
      <c r="G21" s="38" t="n"/>
      <c r="H21" s="38" t="n"/>
      <c r="I21" s="38" t="n"/>
      <c r="J21" s="38" t="n"/>
      <c r="K21" s="36">
        <f>IF($A21="","",COUNTIF(B69:T69,"✗")+COUNTIF(B69:T69,"½"))</f>
        <v/>
      </c>
      <c r="L21" s="37">
        <f>IF($A21="","",IF(W69="","✓ semua selesai",LEFT(W69,LEN(W69)-2)))</f>
        <v/>
      </c>
      <c r="M21" s="38" t="n"/>
      <c r="N21" s="38" t="n"/>
      <c r="O21" s="38" t="n"/>
      <c r="P21" s="38" t="n"/>
      <c r="Q21" s="38" t="n"/>
      <c r="R21" s="38" t="n"/>
      <c r="S21" s="38" t="n"/>
      <c r="T21" s="38" t="n"/>
      <c r="X21">
        <f>IF($A21="",0,COUNTIF(B45:T45,"✗")*Tetapan!D21+COUNTIF(B69:T69,"✗")*Tetapan!E21)</f>
        <v/>
      </c>
    </row>
    <row r="22" ht="26" customHeight="1">
      <c r="A22" s="35">
        <f>IF(Tetapan!A22="","",Tetapan!A22)</f>
        <v/>
      </c>
      <c r="B22" s="36">
        <f>IF($A22="","",COUNTIF(B46:T46,"✗")+COUNTIF(B46:T46,"½"))</f>
        <v/>
      </c>
      <c r="C22" s="37">
        <f>IF($A22="","",IF(W46="","✓ semua selesai",LEFT(W46,LEN(W46)-2)))</f>
        <v/>
      </c>
      <c r="D22" s="38" t="n"/>
      <c r="E22" s="38" t="n"/>
      <c r="F22" s="38" t="n"/>
      <c r="G22" s="38" t="n"/>
      <c r="H22" s="38" t="n"/>
      <c r="I22" s="38" t="n"/>
      <c r="J22" s="38" t="n"/>
      <c r="K22" s="36">
        <f>IF($A22="","",COUNTIF(B70:T70,"✗")+COUNTIF(B70:T70,"½"))</f>
        <v/>
      </c>
      <c r="L22" s="37">
        <f>IF($A22="","",IF(W70="","✓ semua selesai",LEFT(W70,LEN(W70)-2)))</f>
        <v/>
      </c>
      <c r="M22" s="38" t="n"/>
      <c r="N22" s="38" t="n"/>
      <c r="O22" s="38" t="n"/>
      <c r="P22" s="38" t="n"/>
      <c r="Q22" s="38" t="n"/>
      <c r="R22" s="38" t="n"/>
      <c r="S22" s="38" t="n"/>
      <c r="T22" s="38" t="n"/>
      <c r="X22">
        <f>IF($A22="",0,COUNTIF(B46:T46,"✗")*Tetapan!D22+COUNTIF(B70:T70,"✗")*Tetapan!E22)</f>
        <v/>
      </c>
    </row>
    <row r="23" ht="26" customHeight="1">
      <c r="A23" s="35">
        <f>IF(Tetapan!A23="","",Tetapan!A23)</f>
        <v/>
      </c>
      <c r="B23" s="36">
        <f>IF($A23="","",COUNTIF(B47:T47,"✗")+COUNTIF(B47:T47,"½"))</f>
        <v/>
      </c>
      <c r="C23" s="37">
        <f>IF($A23="","",IF(W47="","✓ semua selesai",LEFT(W47,LEN(W47)-2)))</f>
        <v/>
      </c>
      <c r="D23" s="38" t="n"/>
      <c r="E23" s="38" t="n"/>
      <c r="F23" s="38" t="n"/>
      <c r="G23" s="38" t="n"/>
      <c r="H23" s="38" t="n"/>
      <c r="I23" s="38" t="n"/>
      <c r="J23" s="38" t="n"/>
      <c r="K23" s="36">
        <f>IF($A23="","",COUNTIF(B71:T71,"✗")+COUNTIF(B71:T71,"½"))</f>
        <v/>
      </c>
      <c r="L23" s="37">
        <f>IF($A23="","",IF(W71="","✓ semua selesai",LEFT(W71,LEN(W71)-2)))</f>
        <v/>
      </c>
      <c r="M23" s="38" t="n"/>
      <c r="N23" s="38" t="n"/>
      <c r="O23" s="38" t="n"/>
      <c r="P23" s="38" t="n"/>
      <c r="Q23" s="38" t="n"/>
      <c r="R23" s="38" t="n"/>
      <c r="S23" s="38" t="n"/>
      <c r="T23" s="38" t="n"/>
      <c r="X23">
        <f>IF($A23="",0,COUNTIF(B47:T47,"✗")*Tetapan!D23+COUNTIF(B71:T71,"✗")*Tetapan!E23)</f>
        <v/>
      </c>
    </row>
    <row r="24" ht="26" customHeight="1">
      <c r="A24" s="35">
        <f>IF(Tetapan!A24="","",Tetapan!A24)</f>
        <v/>
      </c>
      <c r="B24" s="36">
        <f>IF($A24="","",COUNTIF(B48:T48,"✗")+COUNTIF(B48:T48,"½"))</f>
        <v/>
      </c>
      <c r="C24" s="37">
        <f>IF($A24="","",IF(W48="","✓ semua selesai",LEFT(W48,LEN(W48)-2)))</f>
        <v/>
      </c>
      <c r="D24" s="38" t="n"/>
      <c r="E24" s="38" t="n"/>
      <c r="F24" s="38" t="n"/>
      <c r="G24" s="38" t="n"/>
      <c r="H24" s="38" t="n"/>
      <c r="I24" s="38" t="n"/>
      <c r="J24" s="38" t="n"/>
      <c r="K24" s="36">
        <f>IF($A24="","",COUNTIF(B72:T72,"✗")+COUNTIF(B72:T72,"½"))</f>
        <v/>
      </c>
      <c r="L24" s="37">
        <f>IF($A24="","",IF(W72="","✓ semua selesai",LEFT(W72,LEN(W72)-2)))</f>
        <v/>
      </c>
      <c r="M24" s="38" t="n"/>
      <c r="N24" s="38" t="n"/>
      <c r="O24" s="38" t="n"/>
      <c r="P24" s="38" t="n"/>
      <c r="Q24" s="38" t="n"/>
      <c r="R24" s="38" t="n"/>
      <c r="S24" s="38" t="n"/>
      <c r="T24" s="38" t="n"/>
      <c r="X24">
        <f>IF($A24="",0,COUNTIF(B48:T48,"✗")*Tetapan!D24+COUNTIF(B72:T72,"✗")*Tetapan!E24)</f>
        <v/>
      </c>
    </row>
    <row r="27">
      <c r="A27" s="39" t="inlineStr">
        <is>
          <t>Kelab</t>
        </is>
      </c>
    </row>
    <row r="28" ht="24" customHeight="1">
      <c r="A28" s="18" t="inlineStr">
        <is>
          <t>Ahli</t>
        </is>
      </c>
      <c r="B28" s="40">
        <f>Tetapan!$B$28</f>
        <v/>
      </c>
      <c r="C28" s="40">
        <f>EDATE(B28,1)</f>
        <v/>
      </c>
      <c r="D28" s="40">
        <f>EDATE(C28,1)</f>
        <v/>
      </c>
      <c r="E28" s="40">
        <f>EDATE(D28,1)</f>
        <v/>
      </c>
      <c r="F28" s="40">
        <f>EDATE(E28,1)</f>
        <v/>
      </c>
      <c r="G28" s="40">
        <f>EDATE(F28,1)</f>
        <v/>
      </c>
      <c r="H28" s="40">
        <f>EDATE(G28,1)</f>
        <v/>
      </c>
      <c r="I28" s="40">
        <f>EDATE(H28,1)</f>
        <v/>
      </c>
      <c r="J28" s="40">
        <f>EDATE(I28,1)</f>
        <v/>
      </c>
      <c r="K28" s="40">
        <f>EDATE(J28,1)</f>
        <v/>
      </c>
      <c r="L28" s="40">
        <f>EDATE(K28,1)</f>
        <v/>
      </c>
      <c r="M28" s="40">
        <f>EDATE(L28,1)</f>
        <v/>
      </c>
      <c r="N28" s="40">
        <f>EDATE(M28,1)</f>
        <v/>
      </c>
      <c r="O28" s="40">
        <f>EDATE(N28,1)</f>
        <v/>
      </c>
      <c r="P28" s="40">
        <f>EDATE(O28,1)</f>
        <v/>
      </c>
      <c r="Q28" s="40">
        <f>EDATE(P28,1)</f>
        <v/>
      </c>
      <c r="R28" s="40">
        <f>EDATE(Q28,1)</f>
        <v/>
      </c>
      <c r="S28" s="40">
        <f>EDATE(R28,1)</f>
        <v/>
      </c>
      <c r="T28" s="40">
        <f>EDATE(S28,1)</f>
        <v/>
      </c>
    </row>
    <row r="29">
      <c r="A29" s="41">
        <f>IF(Tetapan!A5="","",Tetapan!A5)</f>
        <v/>
      </c>
      <c r="B29" s="42">
        <f>IF($A29="","",IF(OR(B$28&lt;Tetapan!$B5,AND(Tetapan!$C5&lt;&gt;"",B$28&gt;Tetapan!$C5),Tetapan!$D5=0),"–",IF(SUMPRODUCT((Transaksi!$C$2:$C$2001=$A29)*(Transaksi!$N$2:$N$2001&lt;=B$28)*(Transaksi!$O$2:$O$2001&gt;=B$28)*(Transaksi!$Q$2:$Q$2001&gt;=Tetapan!$D5-0.01))&gt;0,"✓",IF(SUMPRODUCT((Transaksi!$C$2:$C$2001=$A29)*(Transaksi!$N$2:$N$2001&lt;=B$28)*(Transaksi!$O$2:$O$2001&gt;=B$28)*(Transaksi!$Q$2:$Q$2001&gt;0))&gt;0,"½",IF(B$28&gt;TODAY(),"·","✗")))))</f>
        <v/>
      </c>
      <c r="C29" s="42">
        <f>IF($A29="","",IF(OR(C$28&lt;Tetapan!$B5,AND(Tetapan!$C5&lt;&gt;"",C$28&gt;Tetapan!$C5),Tetapan!$D5=0),"–",IF(SUMPRODUCT((Transaksi!$C$2:$C$2001=$A29)*(Transaksi!$N$2:$N$2001&lt;=C$28)*(Transaksi!$O$2:$O$2001&gt;=C$28)*(Transaksi!$Q$2:$Q$2001&gt;=Tetapan!$D5-0.01))&gt;0,"✓",IF(SUMPRODUCT((Transaksi!$C$2:$C$2001=$A29)*(Transaksi!$N$2:$N$2001&lt;=C$28)*(Transaksi!$O$2:$O$2001&gt;=C$28)*(Transaksi!$Q$2:$Q$2001&gt;0))&gt;0,"½",IF(C$28&gt;TODAY(),"·","✗")))))</f>
        <v/>
      </c>
      <c r="D29" s="42">
        <f>IF($A29="","",IF(OR(D$28&lt;Tetapan!$B5,AND(Tetapan!$C5&lt;&gt;"",D$28&gt;Tetapan!$C5),Tetapan!$D5=0),"–",IF(SUMPRODUCT((Transaksi!$C$2:$C$2001=$A29)*(Transaksi!$N$2:$N$2001&lt;=D$28)*(Transaksi!$O$2:$O$2001&gt;=D$28)*(Transaksi!$Q$2:$Q$2001&gt;=Tetapan!$D5-0.01))&gt;0,"✓",IF(SUMPRODUCT((Transaksi!$C$2:$C$2001=$A29)*(Transaksi!$N$2:$N$2001&lt;=D$28)*(Transaksi!$O$2:$O$2001&gt;=D$28)*(Transaksi!$Q$2:$Q$2001&gt;0))&gt;0,"½",IF(D$28&gt;TODAY(),"·","✗")))))</f>
        <v/>
      </c>
      <c r="E29" s="42">
        <f>IF($A29="","",IF(OR(E$28&lt;Tetapan!$B5,AND(Tetapan!$C5&lt;&gt;"",E$28&gt;Tetapan!$C5),Tetapan!$D5=0),"–",IF(SUMPRODUCT((Transaksi!$C$2:$C$2001=$A29)*(Transaksi!$N$2:$N$2001&lt;=E$28)*(Transaksi!$O$2:$O$2001&gt;=E$28)*(Transaksi!$Q$2:$Q$2001&gt;=Tetapan!$D5-0.01))&gt;0,"✓",IF(SUMPRODUCT((Transaksi!$C$2:$C$2001=$A29)*(Transaksi!$N$2:$N$2001&lt;=E$28)*(Transaksi!$O$2:$O$2001&gt;=E$28)*(Transaksi!$Q$2:$Q$2001&gt;0))&gt;0,"½",IF(E$28&gt;TODAY(),"·","✗")))))</f>
        <v/>
      </c>
      <c r="F29" s="42">
        <f>IF($A29="","",IF(OR(F$28&lt;Tetapan!$B5,AND(Tetapan!$C5&lt;&gt;"",F$28&gt;Tetapan!$C5),Tetapan!$D5=0),"–",IF(SUMPRODUCT((Transaksi!$C$2:$C$2001=$A29)*(Transaksi!$N$2:$N$2001&lt;=F$28)*(Transaksi!$O$2:$O$2001&gt;=F$28)*(Transaksi!$Q$2:$Q$2001&gt;=Tetapan!$D5-0.01))&gt;0,"✓",IF(SUMPRODUCT((Transaksi!$C$2:$C$2001=$A29)*(Transaksi!$N$2:$N$2001&lt;=F$28)*(Transaksi!$O$2:$O$2001&gt;=F$28)*(Transaksi!$Q$2:$Q$2001&gt;0))&gt;0,"½",IF(F$28&gt;TODAY(),"·","✗")))))</f>
        <v/>
      </c>
      <c r="G29" s="42">
        <f>IF($A29="","",IF(OR(G$28&lt;Tetapan!$B5,AND(Tetapan!$C5&lt;&gt;"",G$28&gt;Tetapan!$C5),Tetapan!$D5=0),"–",IF(SUMPRODUCT((Transaksi!$C$2:$C$2001=$A29)*(Transaksi!$N$2:$N$2001&lt;=G$28)*(Transaksi!$O$2:$O$2001&gt;=G$28)*(Transaksi!$Q$2:$Q$2001&gt;=Tetapan!$D5-0.01))&gt;0,"✓",IF(SUMPRODUCT((Transaksi!$C$2:$C$2001=$A29)*(Transaksi!$N$2:$N$2001&lt;=G$28)*(Transaksi!$O$2:$O$2001&gt;=G$28)*(Transaksi!$Q$2:$Q$2001&gt;0))&gt;0,"½",IF(G$28&gt;TODAY(),"·","✗")))))</f>
        <v/>
      </c>
      <c r="H29" s="42">
        <f>IF($A29="","",IF(OR(H$28&lt;Tetapan!$B5,AND(Tetapan!$C5&lt;&gt;"",H$28&gt;Tetapan!$C5),Tetapan!$D5=0),"–",IF(SUMPRODUCT((Transaksi!$C$2:$C$2001=$A29)*(Transaksi!$N$2:$N$2001&lt;=H$28)*(Transaksi!$O$2:$O$2001&gt;=H$28)*(Transaksi!$Q$2:$Q$2001&gt;=Tetapan!$D5-0.01))&gt;0,"✓",IF(SUMPRODUCT((Transaksi!$C$2:$C$2001=$A29)*(Transaksi!$N$2:$N$2001&lt;=H$28)*(Transaksi!$O$2:$O$2001&gt;=H$28)*(Transaksi!$Q$2:$Q$2001&gt;0))&gt;0,"½",IF(H$28&gt;TODAY(),"·","✗")))))</f>
        <v/>
      </c>
      <c r="I29" s="42">
        <f>IF($A29="","",IF(OR(I$28&lt;Tetapan!$B5,AND(Tetapan!$C5&lt;&gt;"",I$28&gt;Tetapan!$C5),Tetapan!$D5=0),"–",IF(SUMPRODUCT((Transaksi!$C$2:$C$2001=$A29)*(Transaksi!$N$2:$N$2001&lt;=I$28)*(Transaksi!$O$2:$O$2001&gt;=I$28)*(Transaksi!$Q$2:$Q$2001&gt;=Tetapan!$D5-0.01))&gt;0,"✓",IF(SUMPRODUCT((Transaksi!$C$2:$C$2001=$A29)*(Transaksi!$N$2:$N$2001&lt;=I$28)*(Transaksi!$O$2:$O$2001&gt;=I$28)*(Transaksi!$Q$2:$Q$2001&gt;0))&gt;0,"½",IF(I$28&gt;TODAY(),"·","✗")))))</f>
        <v/>
      </c>
      <c r="J29" s="42">
        <f>IF($A29="","",IF(OR(J$28&lt;Tetapan!$B5,AND(Tetapan!$C5&lt;&gt;"",J$28&gt;Tetapan!$C5),Tetapan!$D5=0),"–",IF(SUMPRODUCT((Transaksi!$C$2:$C$2001=$A29)*(Transaksi!$N$2:$N$2001&lt;=J$28)*(Transaksi!$O$2:$O$2001&gt;=J$28)*(Transaksi!$Q$2:$Q$2001&gt;=Tetapan!$D5-0.01))&gt;0,"✓",IF(SUMPRODUCT((Transaksi!$C$2:$C$2001=$A29)*(Transaksi!$N$2:$N$2001&lt;=J$28)*(Transaksi!$O$2:$O$2001&gt;=J$28)*(Transaksi!$Q$2:$Q$2001&gt;0))&gt;0,"½",IF(J$28&gt;TODAY(),"·","✗")))))</f>
        <v/>
      </c>
      <c r="K29" s="42">
        <f>IF($A29="","",IF(OR(K$28&lt;Tetapan!$B5,AND(Tetapan!$C5&lt;&gt;"",K$28&gt;Tetapan!$C5),Tetapan!$D5=0),"–",IF(SUMPRODUCT((Transaksi!$C$2:$C$2001=$A29)*(Transaksi!$N$2:$N$2001&lt;=K$28)*(Transaksi!$O$2:$O$2001&gt;=K$28)*(Transaksi!$Q$2:$Q$2001&gt;=Tetapan!$D5-0.01))&gt;0,"✓",IF(SUMPRODUCT((Transaksi!$C$2:$C$2001=$A29)*(Transaksi!$N$2:$N$2001&lt;=K$28)*(Transaksi!$O$2:$O$2001&gt;=K$28)*(Transaksi!$Q$2:$Q$2001&gt;0))&gt;0,"½",IF(K$28&gt;TODAY(),"·","✗")))))</f>
        <v/>
      </c>
      <c r="L29" s="42">
        <f>IF($A29="","",IF(OR(L$28&lt;Tetapan!$B5,AND(Tetapan!$C5&lt;&gt;"",L$28&gt;Tetapan!$C5),Tetapan!$D5=0),"–",IF(SUMPRODUCT((Transaksi!$C$2:$C$2001=$A29)*(Transaksi!$N$2:$N$2001&lt;=L$28)*(Transaksi!$O$2:$O$2001&gt;=L$28)*(Transaksi!$Q$2:$Q$2001&gt;=Tetapan!$D5-0.01))&gt;0,"✓",IF(SUMPRODUCT((Transaksi!$C$2:$C$2001=$A29)*(Transaksi!$N$2:$N$2001&lt;=L$28)*(Transaksi!$O$2:$O$2001&gt;=L$28)*(Transaksi!$Q$2:$Q$2001&gt;0))&gt;0,"½",IF(L$28&gt;TODAY(),"·","✗")))))</f>
        <v/>
      </c>
      <c r="M29" s="42">
        <f>IF($A29="","",IF(OR(M$28&lt;Tetapan!$B5,AND(Tetapan!$C5&lt;&gt;"",M$28&gt;Tetapan!$C5),Tetapan!$D5=0),"–",IF(SUMPRODUCT((Transaksi!$C$2:$C$2001=$A29)*(Transaksi!$N$2:$N$2001&lt;=M$28)*(Transaksi!$O$2:$O$2001&gt;=M$28)*(Transaksi!$Q$2:$Q$2001&gt;=Tetapan!$D5-0.01))&gt;0,"✓",IF(SUMPRODUCT((Transaksi!$C$2:$C$2001=$A29)*(Transaksi!$N$2:$N$2001&lt;=M$28)*(Transaksi!$O$2:$O$2001&gt;=M$28)*(Transaksi!$Q$2:$Q$2001&gt;0))&gt;0,"½",IF(M$28&gt;TODAY(),"·","✗")))))</f>
        <v/>
      </c>
      <c r="N29" s="42">
        <f>IF($A29="","",IF(OR(N$28&lt;Tetapan!$B5,AND(Tetapan!$C5&lt;&gt;"",N$28&gt;Tetapan!$C5),Tetapan!$D5=0),"–",IF(SUMPRODUCT((Transaksi!$C$2:$C$2001=$A29)*(Transaksi!$N$2:$N$2001&lt;=N$28)*(Transaksi!$O$2:$O$2001&gt;=N$28)*(Transaksi!$Q$2:$Q$2001&gt;=Tetapan!$D5-0.01))&gt;0,"✓",IF(SUMPRODUCT((Transaksi!$C$2:$C$2001=$A29)*(Transaksi!$N$2:$N$2001&lt;=N$28)*(Transaksi!$O$2:$O$2001&gt;=N$28)*(Transaksi!$Q$2:$Q$2001&gt;0))&gt;0,"½",IF(N$28&gt;TODAY(),"·","✗")))))</f>
        <v/>
      </c>
      <c r="O29" s="42">
        <f>IF($A29="","",IF(OR(O$28&lt;Tetapan!$B5,AND(Tetapan!$C5&lt;&gt;"",O$28&gt;Tetapan!$C5),Tetapan!$D5=0),"–",IF(SUMPRODUCT((Transaksi!$C$2:$C$2001=$A29)*(Transaksi!$N$2:$N$2001&lt;=O$28)*(Transaksi!$O$2:$O$2001&gt;=O$28)*(Transaksi!$Q$2:$Q$2001&gt;=Tetapan!$D5-0.01))&gt;0,"✓",IF(SUMPRODUCT((Transaksi!$C$2:$C$2001=$A29)*(Transaksi!$N$2:$N$2001&lt;=O$28)*(Transaksi!$O$2:$O$2001&gt;=O$28)*(Transaksi!$Q$2:$Q$2001&gt;0))&gt;0,"½",IF(O$28&gt;TODAY(),"·","✗")))))</f>
        <v/>
      </c>
      <c r="P29" s="42">
        <f>IF($A29="","",IF(OR(P$28&lt;Tetapan!$B5,AND(Tetapan!$C5&lt;&gt;"",P$28&gt;Tetapan!$C5),Tetapan!$D5=0),"–",IF(SUMPRODUCT((Transaksi!$C$2:$C$2001=$A29)*(Transaksi!$N$2:$N$2001&lt;=P$28)*(Transaksi!$O$2:$O$2001&gt;=P$28)*(Transaksi!$Q$2:$Q$2001&gt;=Tetapan!$D5-0.01))&gt;0,"✓",IF(SUMPRODUCT((Transaksi!$C$2:$C$2001=$A29)*(Transaksi!$N$2:$N$2001&lt;=P$28)*(Transaksi!$O$2:$O$2001&gt;=P$28)*(Transaksi!$Q$2:$Q$2001&gt;0))&gt;0,"½",IF(P$28&gt;TODAY(),"·","✗")))))</f>
        <v/>
      </c>
      <c r="Q29" s="42">
        <f>IF($A29="","",IF(OR(Q$28&lt;Tetapan!$B5,AND(Tetapan!$C5&lt;&gt;"",Q$28&gt;Tetapan!$C5),Tetapan!$D5=0),"–",IF(SUMPRODUCT((Transaksi!$C$2:$C$2001=$A29)*(Transaksi!$N$2:$N$2001&lt;=Q$28)*(Transaksi!$O$2:$O$2001&gt;=Q$28)*(Transaksi!$Q$2:$Q$2001&gt;=Tetapan!$D5-0.01))&gt;0,"✓",IF(SUMPRODUCT((Transaksi!$C$2:$C$2001=$A29)*(Transaksi!$N$2:$N$2001&lt;=Q$28)*(Transaksi!$O$2:$O$2001&gt;=Q$28)*(Transaksi!$Q$2:$Q$2001&gt;0))&gt;0,"½",IF(Q$28&gt;TODAY(),"·","✗")))))</f>
        <v/>
      </c>
      <c r="R29" s="42">
        <f>IF($A29="","",IF(OR(R$28&lt;Tetapan!$B5,AND(Tetapan!$C5&lt;&gt;"",R$28&gt;Tetapan!$C5),Tetapan!$D5=0),"–",IF(SUMPRODUCT((Transaksi!$C$2:$C$2001=$A29)*(Transaksi!$N$2:$N$2001&lt;=R$28)*(Transaksi!$O$2:$O$2001&gt;=R$28)*(Transaksi!$Q$2:$Q$2001&gt;=Tetapan!$D5-0.01))&gt;0,"✓",IF(SUMPRODUCT((Transaksi!$C$2:$C$2001=$A29)*(Transaksi!$N$2:$N$2001&lt;=R$28)*(Transaksi!$O$2:$O$2001&gt;=R$28)*(Transaksi!$Q$2:$Q$2001&gt;0))&gt;0,"½",IF(R$28&gt;TODAY(),"·","✗")))))</f>
        <v/>
      </c>
      <c r="S29" s="42">
        <f>IF($A29="","",IF(OR(S$28&lt;Tetapan!$B5,AND(Tetapan!$C5&lt;&gt;"",S$28&gt;Tetapan!$C5),Tetapan!$D5=0),"–",IF(SUMPRODUCT((Transaksi!$C$2:$C$2001=$A29)*(Transaksi!$N$2:$N$2001&lt;=S$28)*(Transaksi!$O$2:$O$2001&gt;=S$28)*(Transaksi!$Q$2:$Q$2001&gt;=Tetapan!$D5-0.01))&gt;0,"✓",IF(SUMPRODUCT((Transaksi!$C$2:$C$2001=$A29)*(Transaksi!$N$2:$N$2001&lt;=S$28)*(Transaksi!$O$2:$O$2001&gt;=S$28)*(Transaksi!$Q$2:$Q$2001&gt;0))&gt;0,"½",IF(S$28&gt;TODAY(),"·","✗")))))</f>
        <v/>
      </c>
      <c r="T29" s="42">
        <f>IF($A29="","",IF(OR(T$28&lt;Tetapan!$B5,AND(Tetapan!$C5&lt;&gt;"",T$28&gt;Tetapan!$C5),Tetapan!$D5=0),"–",IF(SUMPRODUCT((Transaksi!$C$2:$C$2001=$A29)*(Transaksi!$N$2:$N$2001&lt;=T$28)*(Transaksi!$O$2:$O$2001&gt;=T$28)*(Transaksi!$Q$2:$Q$2001&gt;=Tetapan!$D5-0.01))&gt;0,"✓",IF(SUMPRODUCT((Transaksi!$C$2:$C$2001=$A29)*(Transaksi!$N$2:$N$2001&lt;=T$28)*(Transaksi!$O$2:$O$2001&gt;=T$28)*(Transaksi!$Q$2:$Q$2001&gt;0))&gt;0,"½",IF(T$28&gt;TODAY(),"·","✗")))))</f>
        <v/>
      </c>
      <c r="W29" s="12">
        <f>IF(B29="✗",TEXT(B$28,"mmm yy")&amp;", ",IF(B29="½",TEXT(B$28,"mmm yy")&amp;" (separa), ",""))&amp;IF(C29="✗",TEXT(C$28,"mmm yy")&amp;", ",IF(C29="½",TEXT(C$28,"mmm yy")&amp;" (separa), ",""))&amp;IF(D29="✗",TEXT(D$28,"mmm yy")&amp;", ",IF(D29="½",TEXT(D$28,"mmm yy")&amp;" (separa), ",""))&amp;IF(E29="✗",TEXT(E$28,"mmm yy")&amp;", ",IF(E29="½",TEXT(E$28,"mmm yy")&amp;" (separa), ",""))&amp;IF(F29="✗",TEXT(F$28,"mmm yy")&amp;", ",IF(F29="½",TEXT(F$28,"mmm yy")&amp;" (separa), ",""))&amp;IF(G29="✗",TEXT(G$28,"mmm yy")&amp;", ",IF(G29="½",TEXT(G$28,"mmm yy")&amp;" (separa), ",""))&amp;IF(H29="✗",TEXT(H$28,"mmm yy")&amp;", ",IF(H29="½",TEXT(H$28,"mmm yy")&amp;" (separa), ",""))&amp;IF(I29="✗",TEXT(I$28,"mmm yy")&amp;", ",IF(I29="½",TEXT(I$28,"mmm yy")&amp;" (separa), ",""))&amp;IF(J29="✗",TEXT(J$28,"mmm yy")&amp;", ",IF(J29="½",TEXT(J$28,"mmm yy")&amp;" (separa), ",""))&amp;IF(K29="✗",TEXT(K$28,"mmm yy")&amp;", ",IF(K29="½",TEXT(K$28,"mmm yy")&amp;" (separa), ",""))&amp;IF(L29="✗",TEXT(L$28,"mmm yy")&amp;", ",IF(L29="½",TEXT(L$28,"mmm yy")&amp;" (separa), ",""))&amp;IF(M29="✗",TEXT(M$28,"mmm yy")&amp;", ",IF(M29="½",TEXT(M$28,"mmm yy")&amp;" (separa), ",""))&amp;IF(N29="✗",TEXT(N$28,"mmm yy")&amp;", ",IF(N29="½",TEXT(N$28,"mmm yy")&amp;" (separa), ",""))&amp;IF(O29="✗",TEXT(O$28,"mmm yy")&amp;", ",IF(O29="½",TEXT(O$28,"mmm yy")&amp;" (separa), ",""))&amp;IF(P29="✗",TEXT(P$28,"mmm yy")&amp;", ",IF(P29="½",TEXT(P$28,"mmm yy")&amp;" (separa), ",""))&amp;IF(Q29="✗",TEXT(Q$28,"mmm yy")&amp;", ",IF(Q29="½",TEXT(Q$28,"mmm yy")&amp;" (separa), ",""))&amp;IF(R29="✗",TEXT(R$28,"mmm yy")&amp;", ",IF(R29="½",TEXT(R$28,"mmm yy")&amp;" (separa), ",""))&amp;IF(S29="✗",TEXT(S$28,"mmm yy")&amp;", ",IF(S29="½",TEXT(S$28,"mmm yy")&amp;" (separa), ",""))&amp;IF(T29="✗",TEXT(T$28,"mmm yy")&amp;", ",IF(T29="½",TEXT(T$28,"mmm yy")&amp;" (separa), ",""))</f>
        <v/>
      </c>
    </row>
    <row r="30">
      <c r="A30" s="41">
        <f>IF(Tetapan!A6="","",Tetapan!A6)</f>
        <v/>
      </c>
      <c r="B30" s="42">
        <f>IF($A30="","",IF(OR(B$28&lt;Tetapan!$B6,AND(Tetapan!$C6&lt;&gt;"",B$28&gt;Tetapan!$C6),Tetapan!$D6=0),"–",IF(SUMPRODUCT((Transaksi!$C$2:$C$2001=$A30)*(Transaksi!$N$2:$N$2001&lt;=B$28)*(Transaksi!$O$2:$O$2001&gt;=B$28)*(Transaksi!$Q$2:$Q$2001&gt;=Tetapan!$D6-0.01))&gt;0,"✓",IF(SUMPRODUCT((Transaksi!$C$2:$C$2001=$A30)*(Transaksi!$N$2:$N$2001&lt;=B$28)*(Transaksi!$O$2:$O$2001&gt;=B$28)*(Transaksi!$Q$2:$Q$2001&gt;0))&gt;0,"½",IF(B$28&gt;TODAY(),"·","✗")))))</f>
        <v/>
      </c>
      <c r="C30" s="42">
        <f>IF($A30="","",IF(OR(C$28&lt;Tetapan!$B6,AND(Tetapan!$C6&lt;&gt;"",C$28&gt;Tetapan!$C6),Tetapan!$D6=0),"–",IF(SUMPRODUCT((Transaksi!$C$2:$C$2001=$A30)*(Transaksi!$N$2:$N$2001&lt;=C$28)*(Transaksi!$O$2:$O$2001&gt;=C$28)*(Transaksi!$Q$2:$Q$2001&gt;=Tetapan!$D6-0.01))&gt;0,"✓",IF(SUMPRODUCT((Transaksi!$C$2:$C$2001=$A30)*(Transaksi!$N$2:$N$2001&lt;=C$28)*(Transaksi!$O$2:$O$2001&gt;=C$28)*(Transaksi!$Q$2:$Q$2001&gt;0))&gt;0,"½",IF(C$28&gt;TODAY(),"·","✗")))))</f>
        <v/>
      </c>
      <c r="D30" s="42">
        <f>IF($A30="","",IF(OR(D$28&lt;Tetapan!$B6,AND(Tetapan!$C6&lt;&gt;"",D$28&gt;Tetapan!$C6),Tetapan!$D6=0),"–",IF(SUMPRODUCT((Transaksi!$C$2:$C$2001=$A30)*(Transaksi!$N$2:$N$2001&lt;=D$28)*(Transaksi!$O$2:$O$2001&gt;=D$28)*(Transaksi!$Q$2:$Q$2001&gt;=Tetapan!$D6-0.01))&gt;0,"✓",IF(SUMPRODUCT((Transaksi!$C$2:$C$2001=$A30)*(Transaksi!$N$2:$N$2001&lt;=D$28)*(Transaksi!$O$2:$O$2001&gt;=D$28)*(Transaksi!$Q$2:$Q$2001&gt;0))&gt;0,"½",IF(D$28&gt;TODAY(),"·","✗")))))</f>
        <v/>
      </c>
      <c r="E30" s="42">
        <f>IF($A30="","",IF(OR(E$28&lt;Tetapan!$B6,AND(Tetapan!$C6&lt;&gt;"",E$28&gt;Tetapan!$C6),Tetapan!$D6=0),"–",IF(SUMPRODUCT((Transaksi!$C$2:$C$2001=$A30)*(Transaksi!$N$2:$N$2001&lt;=E$28)*(Transaksi!$O$2:$O$2001&gt;=E$28)*(Transaksi!$Q$2:$Q$2001&gt;=Tetapan!$D6-0.01))&gt;0,"✓",IF(SUMPRODUCT((Transaksi!$C$2:$C$2001=$A30)*(Transaksi!$N$2:$N$2001&lt;=E$28)*(Transaksi!$O$2:$O$2001&gt;=E$28)*(Transaksi!$Q$2:$Q$2001&gt;0))&gt;0,"½",IF(E$28&gt;TODAY(),"·","✗")))))</f>
        <v/>
      </c>
      <c r="F30" s="42">
        <f>IF($A30="","",IF(OR(F$28&lt;Tetapan!$B6,AND(Tetapan!$C6&lt;&gt;"",F$28&gt;Tetapan!$C6),Tetapan!$D6=0),"–",IF(SUMPRODUCT((Transaksi!$C$2:$C$2001=$A30)*(Transaksi!$N$2:$N$2001&lt;=F$28)*(Transaksi!$O$2:$O$2001&gt;=F$28)*(Transaksi!$Q$2:$Q$2001&gt;=Tetapan!$D6-0.01))&gt;0,"✓",IF(SUMPRODUCT((Transaksi!$C$2:$C$2001=$A30)*(Transaksi!$N$2:$N$2001&lt;=F$28)*(Transaksi!$O$2:$O$2001&gt;=F$28)*(Transaksi!$Q$2:$Q$2001&gt;0))&gt;0,"½",IF(F$28&gt;TODAY(),"·","✗")))))</f>
        <v/>
      </c>
      <c r="G30" s="42">
        <f>IF($A30="","",IF(OR(G$28&lt;Tetapan!$B6,AND(Tetapan!$C6&lt;&gt;"",G$28&gt;Tetapan!$C6),Tetapan!$D6=0),"–",IF(SUMPRODUCT((Transaksi!$C$2:$C$2001=$A30)*(Transaksi!$N$2:$N$2001&lt;=G$28)*(Transaksi!$O$2:$O$2001&gt;=G$28)*(Transaksi!$Q$2:$Q$2001&gt;=Tetapan!$D6-0.01))&gt;0,"✓",IF(SUMPRODUCT((Transaksi!$C$2:$C$2001=$A30)*(Transaksi!$N$2:$N$2001&lt;=G$28)*(Transaksi!$O$2:$O$2001&gt;=G$28)*(Transaksi!$Q$2:$Q$2001&gt;0))&gt;0,"½",IF(G$28&gt;TODAY(),"·","✗")))))</f>
        <v/>
      </c>
      <c r="H30" s="42">
        <f>IF($A30="","",IF(OR(H$28&lt;Tetapan!$B6,AND(Tetapan!$C6&lt;&gt;"",H$28&gt;Tetapan!$C6),Tetapan!$D6=0),"–",IF(SUMPRODUCT((Transaksi!$C$2:$C$2001=$A30)*(Transaksi!$N$2:$N$2001&lt;=H$28)*(Transaksi!$O$2:$O$2001&gt;=H$28)*(Transaksi!$Q$2:$Q$2001&gt;=Tetapan!$D6-0.01))&gt;0,"✓",IF(SUMPRODUCT((Transaksi!$C$2:$C$2001=$A30)*(Transaksi!$N$2:$N$2001&lt;=H$28)*(Transaksi!$O$2:$O$2001&gt;=H$28)*(Transaksi!$Q$2:$Q$2001&gt;0))&gt;0,"½",IF(H$28&gt;TODAY(),"·","✗")))))</f>
        <v/>
      </c>
      <c r="I30" s="42">
        <f>IF($A30="","",IF(OR(I$28&lt;Tetapan!$B6,AND(Tetapan!$C6&lt;&gt;"",I$28&gt;Tetapan!$C6),Tetapan!$D6=0),"–",IF(SUMPRODUCT((Transaksi!$C$2:$C$2001=$A30)*(Transaksi!$N$2:$N$2001&lt;=I$28)*(Transaksi!$O$2:$O$2001&gt;=I$28)*(Transaksi!$Q$2:$Q$2001&gt;=Tetapan!$D6-0.01))&gt;0,"✓",IF(SUMPRODUCT((Transaksi!$C$2:$C$2001=$A30)*(Transaksi!$N$2:$N$2001&lt;=I$28)*(Transaksi!$O$2:$O$2001&gt;=I$28)*(Transaksi!$Q$2:$Q$2001&gt;0))&gt;0,"½",IF(I$28&gt;TODAY(),"·","✗")))))</f>
        <v/>
      </c>
      <c r="J30" s="42">
        <f>IF($A30="","",IF(OR(J$28&lt;Tetapan!$B6,AND(Tetapan!$C6&lt;&gt;"",J$28&gt;Tetapan!$C6),Tetapan!$D6=0),"–",IF(SUMPRODUCT((Transaksi!$C$2:$C$2001=$A30)*(Transaksi!$N$2:$N$2001&lt;=J$28)*(Transaksi!$O$2:$O$2001&gt;=J$28)*(Transaksi!$Q$2:$Q$2001&gt;=Tetapan!$D6-0.01))&gt;0,"✓",IF(SUMPRODUCT((Transaksi!$C$2:$C$2001=$A30)*(Transaksi!$N$2:$N$2001&lt;=J$28)*(Transaksi!$O$2:$O$2001&gt;=J$28)*(Transaksi!$Q$2:$Q$2001&gt;0))&gt;0,"½",IF(J$28&gt;TODAY(),"·","✗")))))</f>
        <v/>
      </c>
      <c r="K30" s="42">
        <f>IF($A30="","",IF(OR(K$28&lt;Tetapan!$B6,AND(Tetapan!$C6&lt;&gt;"",K$28&gt;Tetapan!$C6),Tetapan!$D6=0),"–",IF(SUMPRODUCT((Transaksi!$C$2:$C$2001=$A30)*(Transaksi!$N$2:$N$2001&lt;=K$28)*(Transaksi!$O$2:$O$2001&gt;=K$28)*(Transaksi!$Q$2:$Q$2001&gt;=Tetapan!$D6-0.01))&gt;0,"✓",IF(SUMPRODUCT((Transaksi!$C$2:$C$2001=$A30)*(Transaksi!$N$2:$N$2001&lt;=K$28)*(Transaksi!$O$2:$O$2001&gt;=K$28)*(Transaksi!$Q$2:$Q$2001&gt;0))&gt;0,"½",IF(K$28&gt;TODAY(),"·","✗")))))</f>
        <v/>
      </c>
      <c r="L30" s="42">
        <f>IF($A30="","",IF(OR(L$28&lt;Tetapan!$B6,AND(Tetapan!$C6&lt;&gt;"",L$28&gt;Tetapan!$C6),Tetapan!$D6=0),"–",IF(SUMPRODUCT((Transaksi!$C$2:$C$2001=$A30)*(Transaksi!$N$2:$N$2001&lt;=L$28)*(Transaksi!$O$2:$O$2001&gt;=L$28)*(Transaksi!$Q$2:$Q$2001&gt;=Tetapan!$D6-0.01))&gt;0,"✓",IF(SUMPRODUCT((Transaksi!$C$2:$C$2001=$A30)*(Transaksi!$N$2:$N$2001&lt;=L$28)*(Transaksi!$O$2:$O$2001&gt;=L$28)*(Transaksi!$Q$2:$Q$2001&gt;0))&gt;0,"½",IF(L$28&gt;TODAY(),"·","✗")))))</f>
        <v/>
      </c>
      <c r="M30" s="42">
        <f>IF($A30="","",IF(OR(M$28&lt;Tetapan!$B6,AND(Tetapan!$C6&lt;&gt;"",M$28&gt;Tetapan!$C6),Tetapan!$D6=0),"–",IF(SUMPRODUCT((Transaksi!$C$2:$C$2001=$A30)*(Transaksi!$N$2:$N$2001&lt;=M$28)*(Transaksi!$O$2:$O$2001&gt;=M$28)*(Transaksi!$Q$2:$Q$2001&gt;=Tetapan!$D6-0.01))&gt;0,"✓",IF(SUMPRODUCT((Transaksi!$C$2:$C$2001=$A30)*(Transaksi!$N$2:$N$2001&lt;=M$28)*(Transaksi!$O$2:$O$2001&gt;=M$28)*(Transaksi!$Q$2:$Q$2001&gt;0))&gt;0,"½",IF(M$28&gt;TODAY(),"·","✗")))))</f>
        <v/>
      </c>
      <c r="N30" s="42">
        <f>IF($A30="","",IF(OR(N$28&lt;Tetapan!$B6,AND(Tetapan!$C6&lt;&gt;"",N$28&gt;Tetapan!$C6),Tetapan!$D6=0),"–",IF(SUMPRODUCT((Transaksi!$C$2:$C$2001=$A30)*(Transaksi!$N$2:$N$2001&lt;=N$28)*(Transaksi!$O$2:$O$2001&gt;=N$28)*(Transaksi!$Q$2:$Q$2001&gt;=Tetapan!$D6-0.01))&gt;0,"✓",IF(SUMPRODUCT((Transaksi!$C$2:$C$2001=$A30)*(Transaksi!$N$2:$N$2001&lt;=N$28)*(Transaksi!$O$2:$O$2001&gt;=N$28)*(Transaksi!$Q$2:$Q$2001&gt;0))&gt;0,"½",IF(N$28&gt;TODAY(),"·","✗")))))</f>
        <v/>
      </c>
      <c r="O30" s="42">
        <f>IF($A30="","",IF(OR(O$28&lt;Tetapan!$B6,AND(Tetapan!$C6&lt;&gt;"",O$28&gt;Tetapan!$C6),Tetapan!$D6=0),"–",IF(SUMPRODUCT((Transaksi!$C$2:$C$2001=$A30)*(Transaksi!$N$2:$N$2001&lt;=O$28)*(Transaksi!$O$2:$O$2001&gt;=O$28)*(Transaksi!$Q$2:$Q$2001&gt;=Tetapan!$D6-0.01))&gt;0,"✓",IF(SUMPRODUCT((Transaksi!$C$2:$C$2001=$A30)*(Transaksi!$N$2:$N$2001&lt;=O$28)*(Transaksi!$O$2:$O$2001&gt;=O$28)*(Transaksi!$Q$2:$Q$2001&gt;0))&gt;0,"½",IF(O$28&gt;TODAY(),"·","✗")))))</f>
        <v/>
      </c>
      <c r="P30" s="42">
        <f>IF($A30="","",IF(OR(P$28&lt;Tetapan!$B6,AND(Tetapan!$C6&lt;&gt;"",P$28&gt;Tetapan!$C6),Tetapan!$D6=0),"–",IF(SUMPRODUCT((Transaksi!$C$2:$C$2001=$A30)*(Transaksi!$N$2:$N$2001&lt;=P$28)*(Transaksi!$O$2:$O$2001&gt;=P$28)*(Transaksi!$Q$2:$Q$2001&gt;=Tetapan!$D6-0.01))&gt;0,"✓",IF(SUMPRODUCT((Transaksi!$C$2:$C$2001=$A30)*(Transaksi!$N$2:$N$2001&lt;=P$28)*(Transaksi!$O$2:$O$2001&gt;=P$28)*(Transaksi!$Q$2:$Q$2001&gt;0))&gt;0,"½",IF(P$28&gt;TODAY(),"·","✗")))))</f>
        <v/>
      </c>
      <c r="Q30" s="42">
        <f>IF($A30="","",IF(OR(Q$28&lt;Tetapan!$B6,AND(Tetapan!$C6&lt;&gt;"",Q$28&gt;Tetapan!$C6),Tetapan!$D6=0),"–",IF(SUMPRODUCT((Transaksi!$C$2:$C$2001=$A30)*(Transaksi!$N$2:$N$2001&lt;=Q$28)*(Transaksi!$O$2:$O$2001&gt;=Q$28)*(Transaksi!$Q$2:$Q$2001&gt;=Tetapan!$D6-0.01))&gt;0,"✓",IF(SUMPRODUCT((Transaksi!$C$2:$C$2001=$A30)*(Transaksi!$N$2:$N$2001&lt;=Q$28)*(Transaksi!$O$2:$O$2001&gt;=Q$28)*(Transaksi!$Q$2:$Q$2001&gt;0))&gt;0,"½",IF(Q$28&gt;TODAY(),"·","✗")))))</f>
        <v/>
      </c>
      <c r="R30" s="42">
        <f>IF($A30="","",IF(OR(R$28&lt;Tetapan!$B6,AND(Tetapan!$C6&lt;&gt;"",R$28&gt;Tetapan!$C6),Tetapan!$D6=0),"–",IF(SUMPRODUCT((Transaksi!$C$2:$C$2001=$A30)*(Transaksi!$N$2:$N$2001&lt;=R$28)*(Transaksi!$O$2:$O$2001&gt;=R$28)*(Transaksi!$Q$2:$Q$2001&gt;=Tetapan!$D6-0.01))&gt;0,"✓",IF(SUMPRODUCT((Transaksi!$C$2:$C$2001=$A30)*(Transaksi!$N$2:$N$2001&lt;=R$28)*(Transaksi!$O$2:$O$2001&gt;=R$28)*(Transaksi!$Q$2:$Q$2001&gt;0))&gt;0,"½",IF(R$28&gt;TODAY(),"·","✗")))))</f>
        <v/>
      </c>
      <c r="S30" s="42">
        <f>IF($A30="","",IF(OR(S$28&lt;Tetapan!$B6,AND(Tetapan!$C6&lt;&gt;"",S$28&gt;Tetapan!$C6),Tetapan!$D6=0),"–",IF(SUMPRODUCT((Transaksi!$C$2:$C$2001=$A30)*(Transaksi!$N$2:$N$2001&lt;=S$28)*(Transaksi!$O$2:$O$2001&gt;=S$28)*(Transaksi!$Q$2:$Q$2001&gt;=Tetapan!$D6-0.01))&gt;0,"✓",IF(SUMPRODUCT((Transaksi!$C$2:$C$2001=$A30)*(Transaksi!$N$2:$N$2001&lt;=S$28)*(Transaksi!$O$2:$O$2001&gt;=S$28)*(Transaksi!$Q$2:$Q$2001&gt;0))&gt;0,"½",IF(S$28&gt;TODAY(),"·","✗")))))</f>
        <v/>
      </c>
      <c r="T30" s="42">
        <f>IF($A30="","",IF(OR(T$28&lt;Tetapan!$B6,AND(Tetapan!$C6&lt;&gt;"",T$28&gt;Tetapan!$C6),Tetapan!$D6=0),"–",IF(SUMPRODUCT((Transaksi!$C$2:$C$2001=$A30)*(Transaksi!$N$2:$N$2001&lt;=T$28)*(Transaksi!$O$2:$O$2001&gt;=T$28)*(Transaksi!$Q$2:$Q$2001&gt;=Tetapan!$D6-0.01))&gt;0,"✓",IF(SUMPRODUCT((Transaksi!$C$2:$C$2001=$A30)*(Transaksi!$N$2:$N$2001&lt;=T$28)*(Transaksi!$O$2:$O$2001&gt;=T$28)*(Transaksi!$Q$2:$Q$2001&gt;0))&gt;0,"½",IF(T$28&gt;TODAY(),"·","✗")))))</f>
        <v/>
      </c>
      <c r="W30" s="12">
        <f>IF(B30="✗",TEXT(B$28,"mmm yy")&amp;", ",IF(B30="½",TEXT(B$28,"mmm yy")&amp;" (separa), ",""))&amp;IF(C30="✗",TEXT(C$28,"mmm yy")&amp;", ",IF(C30="½",TEXT(C$28,"mmm yy")&amp;" (separa), ",""))&amp;IF(D30="✗",TEXT(D$28,"mmm yy")&amp;", ",IF(D30="½",TEXT(D$28,"mmm yy")&amp;" (separa), ",""))&amp;IF(E30="✗",TEXT(E$28,"mmm yy")&amp;", ",IF(E30="½",TEXT(E$28,"mmm yy")&amp;" (separa), ",""))&amp;IF(F30="✗",TEXT(F$28,"mmm yy")&amp;", ",IF(F30="½",TEXT(F$28,"mmm yy")&amp;" (separa), ",""))&amp;IF(G30="✗",TEXT(G$28,"mmm yy")&amp;", ",IF(G30="½",TEXT(G$28,"mmm yy")&amp;" (separa), ",""))&amp;IF(H30="✗",TEXT(H$28,"mmm yy")&amp;", ",IF(H30="½",TEXT(H$28,"mmm yy")&amp;" (separa), ",""))&amp;IF(I30="✗",TEXT(I$28,"mmm yy")&amp;", ",IF(I30="½",TEXT(I$28,"mmm yy")&amp;" (separa), ",""))&amp;IF(J30="✗",TEXT(J$28,"mmm yy")&amp;", ",IF(J30="½",TEXT(J$28,"mmm yy")&amp;" (separa), ",""))&amp;IF(K30="✗",TEXT(K$28,"mmm yy")&amp;", ",IF(K30="½",TEXT(K$28,"mmm yy")&amp;" (separa), ",""))&amp;IF(L30="✗",TEXT(L$28,"mmm yy")&amp;", ",IF(L30="½",TEXT(L$28,"mmm yy")&amp;" (separa), ",""))&amp;IF(M30="✗",TEXT(M$28,"mmm yy")&amp;", ",IF(M30="½",TEXT(M$28,"mmm yy")&amp;" (separa), ",""))&amp;IF(N30="✗",TEXT(N$28,"mmm yy")&amp;", ",IF(N30="½",TEXT(N$28,"mmm yy")&amp;" (separa), ",""))&amp;IF(O30="✗",TEXT(O$28,"mmm yy")&amp;", ",IF(O30="½",TEXT(O$28,"mmm yy")&amp;" (separa), ",""))&amp;IF(P30="✗",TEXT(P$28,"mmm yy")&amp;", ",IF(P30="½",TEXT(P$28,"mmm yy")&amp;" (separa), ",""))&amp;IF(Q30="✗",TEXT(Q$28,"mmm yy")&amp;", ",IF(Q30="½",TEXT(Q$28,"mmm yy")&amp;" (separa), ",""))&amp;IF(R30="✗",TEXT(R$28,"mmm yy")&amp;", ",IF(R30="½",TEXT(R$28,"mmm yy")&amp;" (separa), ",""))&amp;IF(S30="✗",TEXT(S$28,"mmm yy")&amp;", ",IF(S30="½",TEXT(S$28,"mmm yy")&amp;" (separa), ",""))&amp;IF(T30="✗",TEXT(T$28,"mmm yy")&amp;", ",IF(T30="½",TEXT(T$28,"mmm yy")&amp;" (separa), ",""))</f>
        <v/>
      </c>
    </row>
    <row r="31">
      <c r="A31" s="41">
        <f>IF(Tetapan!A7="","",Tetapan!A7)</f>
        <v/>
      </c>
      <c r="B31" s="42">
        <f>IF($A31="","",IF(OR(B$28&lt;Tetapan!$B7,AND(Tetapan!$C7&lt;&gt;"",B$28&gt;Tetapan!$C7),Tetapan!$D7=0),"–",IF(SUMPRODUCT((Transaksi!$C$2:$C$2001=$A31)*(Transaksi!$N$2:$N$2001&lt;=B$28)*(Transaksi!$O$2:$O$2001&gt;=B$28)*(Transaksi!$Q$2:$Q$2001&gt;=Tetapan!$D7-0.01))&gt;0,"✓",IF(SUMPRODUCT((Transaksi!$C$2:$C$2001=$A31)*(Transaksi!$N$2:$N$2001&lt;=B$28)*(Transaksi!$O$2:$O$2001&gt;=B$28)*(Transaksi!$Q$2:$Q$2001&gt;0))&gt;0,"½",IF(B$28&gt;TODAY(),"·","✗")))))</f>
        <v/>
      </c>
      <c r="C31" s="42">
        <f>IF($A31="","",IF(OR(C$28&lt;Tetapan!$B7,AND(Tetapan!$C7&lt;&gt;"",C$28&gt;Tetapan!$C7),Tetapan!$D7=0),"–",IF(SUMPRODUCT((Transaksi!$C$2:$C$2001=$A31)*(Transaksi!$N$2:$N$2001&lt;=C$28)*(Transaksi!$O$2:$O$2001&gt;=C$28)*(Transaksi!$Q$2:$Q$2001&gt;=Tetapan!$D7-0.01))&gt;0,"✓",IF(SUMPRODUCT((Transaksi!$C$2:$C$2001=$A31)*(Transaksi!$N$2:$N$2001&lt;=C$28)*(Transaksi!$O$2:$O$2001&gt;=C$28)*(Transaksi!$Q$2:$Q$2001&gt;0))&gt;0,"½",IF(C$28&gt;TODAY(),"·","✗")))))</f>
        <v/>
      </c>
      <c r="D31" s="42">
        <f>IF($A31="","",IF(OR(D$28&lt;Tetapan!$B7,AND(Tetapan!$C7&lt;&gt;"",D$28&gt;Tetapan!$C7),Tetapan!$D7=0),"–",IF(SUMPRODUCT((Transaksi!$C$2:$C$2001=$A31)*(Transaksi!$N$2:$N$2001&lt;=D$28)*(Transaksi!$O$2:$O$2001&gt;=D$28)*(Transaksi!$Q$2:$Q$2001&gt;=Tetapan!$D7-0.01))&gt;0,"✓",IF(SUMPRODUCT((Transaksi!$C$2:$C$2001=$A31)*(Transaksi!$N$2:$N$2001&lt;=D$28)*(Transaksi!$O$2:$O$2001&gt;=D$28)*(Transaksi!$Q$2:$Q$2001&gt;0))&gt;0,"½",IF(D$28&gt;TODAY(),"·","✗")))))</f>
        <v/>
      </c>
      <c r="E31" s="42">
        <f>IF($A31="","",IF(OR(E$28&lt;Tetapan!$B7,AND(Tetapan!$C7&lt;&gt;"",E$28&gt;Tetapan!$C7),Tetapan!$D7=0),"–",IF(SUMPRODUCT((Transaksi!$C$2:$C$2001=$A31)*(Transaksi!$N$2:$N$2001&lt;=E$28)*(Transaksi!$O$2:$O$2001&gt;=E$28)*(Transaksi!$Q$2:$Q$2001&gt;=Tetapan!$D7-0.01))&gt;0,"✓",IF(SUMPRODUCT((Transaksi!$C$2:$C$2001=$A31)*(Transaksi!$N$2:$N$2001&lt;=E$28)*(Transaksi!$O$2:$O$2001&gt;=E$28)*(Transaksi!$Q$2:$Q$2001&gt;0))&gt;0,"½",IF(E$28&gt;TODAY(),"·","✗")))))</f>
        <v/>
      </c>
      <c r="F31" s="42">
        <f>IF($A31="","",IF(OR(F$28&lt;Tetapan!$B7,AND(Tetapan!$C7&lt;&gt;"",F$28&gt;Tetapan!$C7),Tetapan!$D7=0),"–",IF(SUMPRODUCT((Transaksi!$C$2:$C$2001=$A31)*(Transaksi!$N$2:$N$2001&lt;=F$28)*(Transaksi!$O$2:$O$2001&gt;=F$28)*(Transaksi!$Q$2:$Q$2001&gt;=Tetapan!$D7-0.01))&gt;0,"✓",IF(SUMPRODUCT((Transaksi!$C$2:$C$2001=$A31)*(Transaksi!$N$2:$N$2001&lt;=F$28)*(Transaksi!$O$2:$O$2001&gt;=F$28)*(Transaksi!$Q$2:$Q$2001&gt;0))&gt;0,"½",IF(F$28&gt;TODAY(),"·","✗")))))</f>
        <v/>
      </c>
      <c r="G31" s="42">
        <f>IF($A31="","",IF(OR(G$28&lt;Tetapan!$B7,AND(Tetapan!$C7&lt;&gt;"",G$28&gt;Tetapan!$C7),Tetapan!$D7=0),"–",IF(SUMPRODUCT((Transaksi!$C$2:$C$2001=$A31)*(Transaksi!$N$2:$N$2001&lt;=G$28)*(Transaksi!$O$2:$O$2001&gt;=G$28)*(Transaksi!$Q$2:$Q$2001&gt;=Tetapan!$D7-0.01))&gt;0,"✓",IF(SUMPRODUCT((Transaksi!$C$2:$C$2001=$A31)*(Transaksi!$N$2:$N$2001&lt;=G$28)*(Transaksi!$O$2:$O$2001&gt;=G$28)*(Transaksi!$Q$2:$Q$2001&gt;0))&gt;0,"½",IF(G$28&gt;TODAY(),"·","✗")))))</f>
        <v/>
      </c>
      <c r="H31" s="42">
        <f>IF($A31="","",IF(OR(H$28&lt;Tetapan!$B7,AND(Tetapan!$C7&lt;&gt;"",H$28&gt;Tetapan!$C7),Tetapan!$D7=0),"–",IF(SUMPRODUCT((Transaksi!$C$2:$C$2001=$A31)*(Transaksi!$N$2:$N$2001&lt;=H$28)*(Transaksi!$O$2:$O$2001&gt;=H$28)*(Transaksi!$Q$2:$Q$2001&gt;=Tetapan!$D7-0.01))&gt;0,"✓",IF(SUMPRODUCT((Transaksi!$C$2:$C$2001=$A31)*(Transaksi!$N$2:$N$2001&lt;=H$28)*(Transaksi!$O$2:$O$2001&gt;=H$28)*(Transaksi!$Q$2:$Q$2001&gt;0))&gt;0,"½",IF(H$28&gt;TODAY(),"·","✗")))))</f>
        <v/>
      </c>
      <c r="I31" s="42">
        <f>IF($A31="","",IF(OR(I$28&lt;Tetapan!$B7,AND(Tetapan!$C7&lt;&gt;"",I$28&gt;Tetapan!$C7),Tetapan!$D7=0),"–",IF(SUMPRODUCT((Transaksi!$C$2:$C$2001=$A31)*(Transaksi!$N$2:$N$2001&lt;=I$28)*(Transaksi!$O$2:$O$2001&gt;=I$28)*(Transaksi!$Q$2:$Q$2001&gt;=Tetapan!$D7-0.01))&gt;0,"✓",IF(SUMPRODUCT((Transaksi!$C$2:$C$2001=$A31)*(Transaksi!$N$2:$N$2001&lt;=I$28)*(Transaksi!$O$2:$O$2001&gt;=I$28)*(Transaksi!$Q$2:$Q$2001&gt;0))&gt;0,"½",IF(I$28&gt;TODAY(),"·","✗")))))</f>
        <v/>
      </c>
      <c r="J31" s="42">
        <f>IF($A31="","",IF(OR(J$28&lt;Tetapan!$B7,AND(Tetapan!$C7&lt;&gt;"",J$28&gt;Tetapan!$C7),Tetapan!$D7=0),"–",IF(SUMPRODUCT((Transaksi!$C$2:$C$2001=$A31)*(Transaksi!$N$2:$N$2001&lt;=J$28)*(Transaksi!$O$2:$O$2001&gt;=J$28)*(Transaksi!$Q$2:$Q$2001&gt;=Tetapan!$D7-0.01))&gt;0,"✓",IF(SUMPRODUCT((Transaksi!$C$2:$C$2001=$A31)*(Transaksi!$N$2:$N$2001&lt;=J$28)*(Transaksi!$O$2:$O$2001&gt;=J$28)*(Transaksi!$Q$2:$Q$2001&gt;0))&gt;0,"½",IF(J$28&gt;TODAY(),"·","✗")))))</f>
        <v/>
      </c>
      <c r="K31" s="42">
        <f>IF($A31="","",IF(OR(K$28&lt;Tetapan!$B7,AND(Tetapan!$C7&lt;&gt;"",K$28&gt;Tetapan!$C7),Tetapan!$D7=0),"–",IF(SUMPRODUCT((Transaksi!$C$2:$C$2001=$A31)*(Transaksi!$N$2:$N$2001&lt;=K$28)*(Transaksi!$O$2:$O$2001&gt;=K$28)*(Transaksi!$Q$2:$Q$2001&gt;=Tetapan!$D7-0.01))&gt;0,"✓",IF(SUMPRODUCT((Transaksi!$C$2:$C$2001=$A31)*(Transaksi!$N$2:$N$2001&lt;=K$28)*(Transaksi!$O$2:$O$2001&gt;=K$28)*(Transaksi!$Q$2:$Q$2001&gt;0))&gt;0,"½",IF(K$28&gt;TODAY(),"·","✗")))))</f>
        <v/>
      </c>
      <c r="L31" s="42">
        <f>IF($A31="","",IF(OR(L$28&lt;Tetapan!$B7,AND(Tetapan!$C7&lt;&gt;"",L$28&gt;Tetapan!$C7),Tetapan!$D7=0),"–",IF(SUMPRODUCT((Transaksi!$C$2:$C$2001=$A31)*(Transaksi!$N$2:$N$2001&lt;=L$28)*(Transaksi!$O$2:$O$2001&gt;=L$28)*(Transaksi!$Q$2:$Q$2001&gt;=Tetapan!$D7-0.01))&gt;0,"✓",IF(SUMPRODUCT((Transaksi!$C$2:$C$2001=$A31)*(Transaksi!$N$2:$N$2001&lt;=L$28)*(Transaksi!$O$2:$O$2001&gt;=L$28)*(Transaksi!$Q$2:$Q$2001&gt;0))&gt;0,"½",IF(L$28&gt;TODAY(),"·","✗")))))</f>
        <v/>
      </c>
      <c r="M31" s="42">
        <f>IF($A31="","",IF(OR(M$28&lt;Tetapan!$B7,AND(Tetapan!$C7&lt;&gt;"",M$28&gt;Tetapan!$C7),Tetapan!$D7=0),"–",IF(SUMPRODUCT((Transaksi!$C$2:$C$2001=$A31)*(Transaksi!$N$2:$N$2001&lt;=M$28)*(Transaksi!$O$2:$O$2001&gt;=M$28)*(Transaksi!$Q$2:$Q$2001&gt;=Tetapan!$D7-0.01))&gt;0,"✓",IF(SUMPRODUCT((Transaksi!$C$2:$C$2001=$A31)*(Transaksi!$N$2:$N$2001&lt;=M$28)*(Transaksi!$O$2:$O$2001&gt;=M$28)*(Transaksi!$Q$2:$Q$2001&gt;0))&gt;0,"½",IF(M$28&gt;TODAY(),"·","✗")))))</f>
        <v/>
      </c>
      <c r="N31" s="42">
        <f>IF($A31="","",IF(OR(N$28&lt;Tetapan!$B7,AND(Tetapan!$C7&lt;&gt;"",N$28&gt;Tetapan!$C7),Tetapan!$D7=0),"–",IF(SUMPRODUCT((Transaksi!$C$2:$C$2001=$A31)*(Transaksi!$N$2:$N$2001&lt;=N$28)*(Transaksi!$O$2:$O$2001&gt;=N$28)*(Transaksi!$Q$2:$Q$2001&gt;=Tetapan!$D7-0.01))&gt;0,"✓",IF(SUMPRODUCT((Transaksi!$C$2:$C$2001=$A31)*(Transaksi!$N$2:$N$2001&lt;=N$28)*(Transaksi!$O$2:$O$2001&gt;=N$28)*(Transaksi!$Q$2:$Q$2001&gt;0))&gt;0,"½",IF(N$28&gt;TODAY(),"·","✗")))))</f>
        <v/>
      </c>
      <c r="O31" s="42">
        <f>IF($A31="","",IF(OR(O$28&lt;Tetapan!$B7,AND(Tetapan!$C7&lt;&gt;"",O$28&gt;Tetapan!$C7),Tetapan!$D7=0),"–",IF(SUMPRODUCT((Transaksi!$C$2:$C$2001=$A31)*(Transaksi!$N$2:$N$2001&lt;=O$28)*(Transaksi!$O$2:$O$2001&gt;=O$28)*(Transaksi!$Q$2:$Q$2001&gt;=Tetapan!$D7-0.01))&gt;0,"✓",IF(SUMPRODUCT((Transaksi!$C$2:$C$2001=$A31)*(Transaksi!$N$2:$N$2001&lt;=O$28)*(Transaksi!$O$2:$O$2001&gt;=O$28)*(Transaksi!$Q$2:$Q$2001&gt;0))&gt;0,"½",IF(O$28&gt;TODAY(),"·","✗")))))</f>
        <v/>
      </c>
      <c r="P31" s="42">
        <f>IF($A31="","",IF(OR(P$28&lt;Tetapan!$B7,AND(Tetapan!$C7&lt;&gt;"",P$28&gt;Tetapan!$C7),Tetapan!$D7=0),"–",IF(SUMPRODUCT((Transaksi!$C$2:$C$2001=$A31)*(Transaksi!$N$2:$N$2001&lt;=P$28)*(Transaksi!$O$2:$O$2001&gt;=P$28)*(Transaksi!$Q$2:$Q$2001&gt;=Tetapan!$D7-0.01))&gt;0,"✓",IF(SUMPRODUCT((Transaksi!$C$2:$C$2001=$A31)*(Transaksi!$N$2:$N$2001&lt;=P$28)*(Transaksi!$O$2:$O$2001&gt;=P$28)*(Transaksi!$Q$2:$Q$2001&gt;0))&gt;0,"½",IF(P$28&gt;TODAY(),"·","✗")))))</f>
        <v/>
      </c>
      <c r="Q31" s="42">
        <f>IF($A31="","",IF(OR(Q$28&lt;Tetapan!$B7,AND(Tetapan!$C7&lt;&gt;"",Q$28&gt;Tetapan!$C7),Tetapan!$D7=0),"–",IF(SUMPRODUCT((Transaksi!$C$2:$C$2001=$A31)*(Transaksi!$N$2:$N$2001&lt;=Q$28)*(Transaksi!$O$2:$O$2001&gt;=Q$28)*(Transaksi!$Q$2:$Q$2001&gt;=Tetapan!$D7-0.01))&gt;0,"✓",IF(SUMPRODUCT((Transaksi!$C$2:$C$2001=$A31)*(Transaksi!$N$2:$N$2001&lt;=Q$28)*(Transaksi!$O$2:$O$2001&gt;=Q$28)*(Transaksi!$Q$2:$Q$2001&gt;0))&gt;0,"½",IF(Q$28&gt;TODAY(),"·","✗")))))</f>
        <v/>
      </c>
      <c r="R31" s="42">
        <f>IF($A31="","",IF(OR(R$28&lt;Tetapan!$B7,AND(Tetapan!$C7&lt;&gt;"",R$28&gt;Tetapan!$C7),Tetapan!$D7=0),"–",IF(SUMPRODUCT((Transaksi!$C$2:$C$2001=$A31)*(Transaksi!$N$2:$N$2001&lt;=R$28)*(Transaksi!$O$2:$O$2001&gt;=R$28)*(Transaksi!$Q$2:$Q$2001&gt;=Tetapan!$D7-0.01))&gt;0,"✓",IF(SUMPRODUCT((Transaksi!$C$2:$C$2001=$A31)*(Transaksi!$N$2:$N$2001&lt;=R$28)*(Transaksi!$O$2:$O$2001&gt;=R$28)*(Transaksi!$Q$2:$Q$2001&gt;0))&gt;0,"½",IF(R$28&gt;TODAY(),"·","✗")))))</f>
        <v/>
      </c>
      <c r="S31" s="42">
        <f>IF($A31="","",IF(OR(S$28&lt;Tetapan!$B7,AND(Tetapan!$C7&lt;&gt;"",S$28&gt;Tetapan!$C7),Tetapan!$D7=0),"–",IF(SUMPRODUCT((Transaksi!$C$2:$C$2001=$A31)*(Transaksi!$N$2:$N$2001&lt;=S$28)*(Transaksi!$O$2:$O$2001&gt;=S$28)*(Transaksi!$Q$2:$Q$2001&gt;=Tetapan!$D7-0.01))&gt;0,"✓",IF(SUMPRODUCT((Transaksi!$C$2:$C$2001=$A31)*(Transaksi!$N$2:$N$2001&lt;=S$28)*(Transaksi!$O$2:$O$2001&gt;=S$28)*(Transaksi!$Q$2:$Q$2001&gt;0))&gt;0,"½",IF(S$28&gt;TODAY(),"·","✗")))))</f>
        <v/>
      </c>
      <c r="T31" s="42">
        <f>IF($A31="","",IF(OR(T$28&lt;Tetapan!$B7,AND(Tetapan!$C7&lt;&gt;"",T$28&gt;Tetapan!$C7),Tetapan!$D7=0),"–",IF(SUMPRODUCT((Transaksi!$C$2:$C$2001=$A31)*(Transaksi!$N$2:$N$2001&lt;=T$28)*(Transaksi!$O$2:$O$2001&gt;=T$28)*(Transaksi!$Q$2:$Q$2001&gt;=Tetapan!$D7-0.01))&gt;0,"✓",IF(SUMPRODUCT((Transaksi!$C$2:$C$2001=$A31)*(Transaksi!$N$2:$N$2001&lt;=T$28)*(Transaksi!$O$2:$O$2001&gt;=T$28)*(Transaksi!$Q$2:$Q$2001&gt;0))&gt;0,"½",IF(T$28&gt;TODAY(),"·","✗")))))</f>
        <v/>
      </c>
      <c r="W31" s="12">
        <f>IF(B31="✗",TEXT(B$28,"mmm yy")&amp;", ",IF(B31="½",TEXT(B$28,"mmm yy")&amp;" (separa), ",""))&amp;IF(C31="✗",TEXT(C$28,"mmm yy")&amp;", ",IF(C31="½",TEXT(C$28,"mmm yy")&amp;" (separa), ",""))&amp;IF(D31="✗",TEXT(D$28,"mmm yy")&amp;", ",IF(D31="½",TEXT(D$28,"mmm yy")&amp;" (separa), ",""))&amp;IF(E31="✗",TEXT(E$28,"mmm yy")&amp;", ",IF(E31="½",TEXT(E$28,"mmm yy")&amp;" (separa), ",""))&amp;IF(F31="✗",TEXT(F$28,"mmm yy")&amp;", ",IF(F31="½",TEXT(F$28,"mmm yy")&amp;" (separa), ",""))&amp;IF(G31="✗",TEXT(G$28,"mmm yy")&amp;", ",IF(G31="½",TEXT(G$28,"mmm yy")&amp;" (separa), ",""))&amp;IF(H31="✗",TEXT(H$28,"mmm yy")&amp;", ",IF(H31="½",TEXT(H$28,"mmm yy")&amp;" (separa), ",""))&amp;IF(I31="✗",TEXT(I$28,"mmm yy")&amp;", ",IF(I31="½",TEXT(I$28,"mmm yy")&amp;" (separa), ",""))&amp;IF(J31="✗",TEXT(J$28,"mmm yy")&amp;", ",IF(J31="½",TEXT(J$28,"mmm yy")&amp;" (separa), ",""))&amp;IF(K31="✗",TEXT(K$28,"mmm yy")&amp;", ",IF(K31="½",TEXT(K$28,"mmm yy")&amp;" (separa), ",""))&amp;IF(L31="✗",TEXT(L$28,"mmm yy")&amp;", ",IF(L31="½",TEXT(L$28,"mmm yy")&amp;" (separa), ",""))&amp;IF(M31="✗",TEXT(M$28,"mmm yy")&amp;", ",IF(M31="½",TEXT(M$28,"mmm yy")&amp;" (separa), ",""))&amp;IF(N31="✗",TEXT(N$28,"mmm yy")&amp;", ",IF(N31="½",TEXT(N$28,"mmm yy")&amp;" (separa), ",""))&amp;IF(O31="✗",TEXT(O$28,"mmm yy")&amp;", ",IF(O31="½",TEXT(O$28,"mmm yy")&amp;" (separa), ",""))&amp;IF(P31="✗",TEXT(P$28,"mmm yy")&amp;", ",IF(P31="½",TEXT(P$28,"mmm yy")&amp;" (separa), ",""))&amp;IF(Q31="✗",TEXT(Q$28,"mmm yy")&amp;", ",IF(Q31="½",TEXT(Q$28,"mmm yy")&amp;" (separa), ",""))&amp;IF(R31="✗",TEXT(R$28,"mmm yy")&amp;", ",IF(R31="½",TEXT(R$28,"mmm yy")&amp;" (separa), ",""))&amp;IF(S31="✗",TEXT(S$28,"mmm yy")&amp;", ",IF(S31="½",TEXT(S$28,"mmm yy")&amp;" (separa), ",""))&amp;IF(T31="✗",TEXT(T$28,"mmm yy")&amp;", ",IF(T31="½",TEXT(T$28,"mmm yy")&amp;" (separa), ",""))</f>
        <v/>
      </c>
    </row>
    <row r="32">
      <c r="A32" s="41">
        <f>IF(Tetapan!A8="","",Tetapan!A8)</f>
        <v/>
      </c>
      <c r="B32" s="42">
        <f>IF($A32="","",IF(OR(B$28&lt;Tetapan!$B8,AND(Tetapan!$C8&lt;&gt;"",B$28&gt;Tetapan!$C8),Tetapan!$D8=0),"–",IF(SUMPRODUCT((Transaksi!$C$2:$C$2001=$A32)*(Transaksi!$N$2:$N$2001&lt;=B$28)*(Transaksi!$O$2:$O$2001&gt;=B$28)*(Transaksi!$Q$2:$Q$2001&gt;=Tetapan!$D8-0.01))&gt;0,"✓",IF(SUMPRODUCT((Transaksi!$C$2:$C$2001=$A32)*(Transaksi!$N$2:$N$2001&lt;=B$28)*(Transaksi!$O$2:$O$2001&gt;=B$28)*(Transaksi!$Q$2:$Q$2001&gt;0))&gt;0,"½",IF(B$28&gt;TODAY(),"·","✗")))))</f>
        <v/>
      </c>
      <c r="C32" s="42">
        <f>IF($A32="","",IF(OR(C$28&lt;Tetapan!$B8,AND(Tetapan!$C8&lt;&gt;"",C$28&gt;Tetapan!$C8),Tetapan!$D8=0),"–",IF(SUMPRODUCT((Transaksi!$C$2:$C$2001=$A32)*(Transaksi!$N$2:$N$2001&lt;=C$28)*(Transaksi!$O$2:$O$2001&gt;=C$28)*(Transaksi!$Q$2:$Q$2001&gt;=Tetapan!$D8-0.01))&gt;0,"✓",IF(SUMPRODUCT((Transaksi!$C$2:$C$2001=$A32)*(Transaksi!$N$2:$N$2001&lt;=C$28)*(Transaksi!$O$2:$O$2001&gt;=C$28)*(Transaksi!$Q$2:$Q$2001&gt;0))&gt;0,"½",IF(C$28&gt;TODAY(),"·","✗")))))</f>
        <v/>
      </c>
      <c r="D32" s="42">
        <f>IF($A32="","",IF(OR(D$28&lt;Tetapan!$B8,AND(Tetapan!$C8&lt;&gt;"",D$28&gt;Tetapan!$C8),Tetapan!$D8=0),"–",IF(SUMPRODUCT((Transaksi!$C$2:$C$2001=$A32)*(Transaksi!$N$2:$N$2001&lt;=D$28)*(Transaksi!$O$2:$O$2001&gt;=D$28)*(Transaksi!$Q$2:$Q$2001&gt;=Tetapan!$D8-0.01))&gt;0,"✓",IF(SUMPRODUCT((Transaksi!$C$2:$C$2001=$A32)*(Transaksi!$N$2:$N$2001&lt;=D$28)*(Transaksi!$O$2:$O$2001&gt;=D$28)*(Transaksi!$Q$2:$Q$2001&gt;0))&gt;0,"½",IF(D$28&gt;TODAY(),"·","✗")))))</f>
        <v/>
      </c>
      <c r="E32" s="42">
        <f>IF($A32="","",IF(OR(E$28&lt;Tetapan!$B8,AND(Tetapan!$C8&lt;&gt;"",E$28&gt;Tetapan!$C8),Tetapan!$D8=0),"–",IF(SUMPRODUCT((Transaksi!$C$2:$C$2001=$A32)*(Transaksi!$N$2:$N$2001&lt;=E$28)*(Transaksi!$O$2:$O$2001&gt;=E$28)*(Transaksi!$Q$2:$Q$2001&gt;=Tetapan!$D8-0.01))&gt;0,"✓",IF(SUMPRODUCT((Transaksi!$C$2:$C$2001=$A32)*(Transaksi!$N$2:$N$2001&lt;=E$28)*(Transaksi!$O$2:$O$2001&gt;=E$28)*(Transaksi!$Q$2:$Q$2001&gt;0))&gt;0,"½",IF(E$28&gt;TODAY(),"·","✗")))))</f>
        <v/>
      </c>
      <c r="F32" s="42">
        <f>IF($A32="","",IF(OR(F$28&lt;Tetapan!$B8,AND(Tetapan!$C8&lt;&gt;"",F$28&gt;Tetapan!$C8),Tetapan!$D8=0),"–",IF(SUMPRODUCT((Transaksi!$C$2:$C$2001=$A32)*(Transaksi!$N$2:$N$2001&lt;=F$28)*(Transaksi!$O$2:$O$2001&gt;=F$28)*(Transaksi!$Q$2:$Q$2001&gt;=Tetapan!$D8-0.01))&gt;0,"✓",IF(SUMPRODUCT((Transaksi!$C$2:$C$2001=$A32)*(Transaksi!$N$2:$N$2001&lt;=F$28)*(Transaksi!$O$2:$O$2001&gt;=F$28)*(Transaksi!$Q$2:$Q$2001&gt;0))&gt;0,"½",IF(F$28&gt;TODAY(),"·","✗")))))</f>
        <v/>
      </c>
      <c r="G32" s="42">
        <f>IF($A32="","",IF(OR(G$28&lt;Tetapan!$B8,AND(Tetapan!$C8&lt;&gt;"",G$28&gt;Tetapan!$C8),Tetapan!$D8=0),"–",IF(SUMPRODUCT((Transaksi!$C$2:$C$2001=$A32)*(Transaksi!$N$2:$N$2001&lt;=G$28)*(Transaksi!$O$2:$O$2001&gt;=G$28)*(Transaksi!$Q$2:$Q$2001&gt;=Tetapan!$D8-0.01))&gt;0,"✓",IF(SUMPRODUCT((Transaksi!$C$2:$C$2001=$A32)*(Transaksi!$N$2:$N$2001&lt;=G$28)*(Transaksi!$O$2:$O$2001&gt;=G$28)*(Transaksi!$Q$2:$Q$2001&gt;0))&gt;0,"½",IF(G$28&gt;TODAY(),"·","✗")))))</f>
        <v/>
      </c>
      <c r="H32" s="42">
        <f>IF($A32="","",IF(OR(H$28&lt;Tetapan!$B8,AND(Tetapan!$C8&lt;&gt;"",H$28&gt;Tetapan!$C8),Tetapan!$D8=0),"–",IF(SUMPRODUCT((Transaksi!$C$2:$C$2001=$A32)*(Transaksi!$N$2:$N$2001&lt;=H$28)*(Transaksi!$O$2:$O$2001&gt;=H$28)*(Transaksi!$Q$2:$Q$2001&gt;=Tetapan!$D8-0.01))&gt;0,"✓",IF(SUMPRODUCT((Transaksi!$C$2:$C$2001=$A32)*(Transaksi!$N$2:$N$2001&lt;=H$28)*(Transaksi!$O$2:$O$2001&gt;=H$28)*(Transaksi!$Q$2:$Q$2001&gt;0))&gt;0,"½",IF(H$28&gt;TODAY(),"·","✗")))))</f>
        <v/>
      </c>
      <c r="I32" s="42">
        <f>IF($A32="","",IF(OR(I$28&lt;Tetapan!$B8,AND(Tetapan!$C8&lt;&gt;"",I$28&gt;Tetapan!$C8),Tetapan!$D8=0),"–",IF(SUMPRODUCT((Transaksi!$C$2:$C$2001=$A32)*(Transaksi!$N$2:$N$2001&lt;=I$28)*(Transaksi!$O$2:$O$2001&gt;=I$28)*(Transaksi!$Q$2:$Q$2001&gt;=Tetapan!$D8-0.01))&gt;0,"✓",IF(SUMPRODUCT((Transaksi!$C$2:$C$2001=$A32)*(Transaksi!$N$2:$N$2001&lt;=I$28)*(Transaksi!$O$2:$O$2001&gt;=I$28)*(Transaksi!$Q$2:$Q$2001&gt;0))&gt;0,"½",IF(I$28&gt;TODAY(),"·","✗")))))</f>
        <v/>
      </c>
      <c r="J32" s="42">
        <f>IF($A32="","",IF(OR(J$28&lt;Tetapan!$B8,AND(Tetapan!$C8&lt;&gt;"",J$28&gt;Tetapan!$C8),Tetapan!$D8=0),"–",IF(SUMPRODUCT((Transaksi!$C$2:$C$2001=$A32)*(Transaksi!$N$2:$N$2001&lt;=J$28)*(Transaksi!$O$2:$O$2001&gt;=J$28)*(Transaksi!$Q$2:$Q$2001&gt;=Tetapan!$D8-0.01))&gt;0,"✓",IF(SUMPRODUCT((Transaksi!$C$2:$C$2001=$A32)*(Transaksi!$N$2:$N$2001&lt;=J$28)*(Transaksi!$O$2:$O$2001&gt;=J$28)*(Transaksi!$Q$2:$Q$2001&gt;0))&gt;0,"½",IF(J$28&gt;TODAY(),"·","✗")))))</f>
        <v/>
      </c>
      <c r="K32" s="42">
        <f>IF($A32="","",IF(OR(K$28&lt;Tetapan!$B8,AND(Tetapan!$C8&lt;&gt;"",K$28&gt;Tetapan!$C8),Tetapan!$D8=0),"–",IF(SUMPRODUCT((Transaksi!$C$2:$C$2001=$A32)*(Transaksi!$N$2:$N$2001&lt;=K$28)*(Transaksi!$O$2:$O$2001&gt;=K$28)*(Transaksi!$Q$2:$Q$2001&gt;=Tetapan!$D8-0.01))&gt;0,"✓",IF(SUMPRODUCT((Transaksi!$C$2:$C$2001=$A32)*(Transaksi!$N$2:$N$2001&lt;=K$28)*(Transaksi!$O$2:$O$2001&gt;=K$28)*(Transaksi!$Q$2:$Q$2001&gt;0))&gt;0,"½",IF(K$28&gt;TODAY(),"·","✗")))))</f>
        <v/>
      </c>
      <c r="L32" s="42">
        <f>IF($A32="","",IF(OR(L$28&lt;Tetapan!$B8,AND(Tetapan!$C8&lt;&gt;"",L$28&gt;Tetapan!$C8),Tetapan!$D8=0),"–",IF(SUMPRODUCT((Transaksi!$C$2:$C$2001=$A32)*(Transaksi!$N$2:$N$2001&lt;=L$28)*(Transaksi!$O$2:$O$2001&gt;=L$28)*(Transaksi!$Q$2:$Q$2001&gt;=Tetapan!$D8-0.01))&gt;0,"✓",IF(SUMPRODUCT((Transaksi!$C$2:$C$2001=$A32)*(Transaksi!$N$2:$N$2001&lt;=L$28)*(Transaksi!$O$2:$O$2001&gt;=L$28)*(Transaksi!$Q$2:$Q$2001&gt;0))&gt;0,"½",IF(L$28&gt;TODAY(),"·","✗")))))</f>
        <v/>
      </c>
      <c r="M32" s="42">
        <f>IF($A32="","",IF(OR(M$28&lt;Tetapan!$B8,AND(Tetapan!$C8&lt;&gt;"",M$28&gt;Tetapan!$C8),Tetapan!$D8=0),"–",IF(SUMPRODUCT((Transaksi!$C$2:$C$2001=$A32)*(Transaksi!$N$2:$N$2001&lt;=M$28)*(Transaksi!$O$2:$O$2001&gt;=M$28)*(Transaksi!$Q$2:$Q$2001&gt;=Tetapan!$D8-0.01))&gt;0,"✓",IF(SUMPRODUCT((Transaksi!$C$2:$C$2001=$A32)*(Transaksi!$N$2:$N$2001&lt;=M$28)*(Transaksi!$O$2:$O$2001&gt;=M$28)*(Transaksi!$Q$2:$Q$2001&gt;0))&gt;0,"½",IF(M$28&gt;TODAY(),"·","✗")))))</f>
        <v/>
      </c>
      <c r="N32" s="42">
        <f>IF($A32="","",IF(OR(N$28&lt;Tetapan!$B8,AND(Tetapan!$C8&lt;&gt;"",N$28&gt;Tetapan!$C8),Tetapan!$D8=0),"–",IF(SUMPRODUCT((Transaksi!$C$2:$C$2001=$A32)*(Transaksi!$N$2:$N$2001&lt;=N$28)*(Transaksi!$O$2:$O$2001&gt;=N$28)*(Transaksi!$Q$2:$Q$2001&gt;=Tetapan!$D8-0.01))&gt;0,"✓",IF(SUMPRODUCT((Transaksi!$C$2:$C$2001=$A32)*(Transaksi!$N$2:$N$2001&lt;=N$28)*(Transaksi!$O$2:$O$2001&gt;=N$28)*(Transaksi!$Q$2:$Q$2001&gt;0))&gt;0,"½",IF(N$28&gt;TODAY(),"·","✗")))))</f>
        <v/>
      </c>
      <c r="O32" s="42">
        <f>IF($A32="","",IF(OR(O$28&lt;Tetapan!$B8,AND(Tetapan!$C8&lt;&gt;"",O$28&gt;Tetapan!$C8),Tetapan!$D8=0),"–",IF(SUMPRODUCT((Transaksi!$C$2:$C$2001=$A32)*(Transaksi!$N$2:$N$2001&lt;=O$28)*(Transaksi!$O$2:$O$2001&gt;=O$28)*(Transaksi!$Q$2:$Q$2001&gt;=Tetapan!$D8-0.01))&gt;0,"✓",IF(SUMPRODUCT((Transaksi!$C$2:$C$2001=$A32)*(Transaksi!$N$2:$N$2001&lt;=O$28)*(Transaksi!$O$2:$O$2001&gt;=O$28)*(Transaksi!$Q$2:$Q$2001&gt;0))&gt;0,"½",IF(O$28&gt;TODAY(),"·","✗")))))</f>
        <v/>
      </c>
      <c r="P32" s="42">
        <f>IF($A32="","",IF(OR(P$28&lt;Tetapan!$B8,AND(Tetapan!$C8&lt;&gt;"",P$28&gt;Tetapan!$C8),Tetapan!$D8=0),"–",IF(SUMPRODUCT((Transaksi!$C$2:$C$2001=$A32)*(Transaksi!$N$2:$N$2001&lt;=P$28)*(Transaksi!$O$2:$O$2001&gt;=P$28)*(Transaksi!$Q$2:$Q$2001&gt;=Tetapan!$D8-0.01))&gt;0,"✓",IF(SUMPRODUCT((Transaksi!$C$2:$C$2001=$A32)*(Transaksi!$N$2:$N$2001&lt;=P$28)*(Transaksi!$O$2:$O$2001&gt;=P$28)*(Transaksi!$Q$2:$Q$2001&gt;0))&gt;0,"½",IF(P$28&gt;TODAY(),"·","✗")))))</f>
        <v/>
      </c>
      <c r="Q32" s="42">
        <f>IF($A32="","",IF(OR(Q$28&lt;Tetapan!$B8,AND(Tetapan!$C8&lt;&gt;"",Q$28&gt;Tetapan!$C8),Tetapan!$D8=0),"–",IF(SUMPRODUCT((Transaksi!$C$2:$C$2001=$A32)*(Transaksi!$N$2:$N$2001&lt;=Q$28)*(Transaksi!$O$2:$O$2001&gt;=Q$28)*(Transaksi!$Q$2:$Q$2001&gt;=Tetapan!$D8-0.01))&gt;0,"✓",IF(SUMPRODUCT((Transaksi!$C$2:$C$2001=$A32)*(Transaksi!$N$2:$N$2001&lt;=Q$28)*(Transaksi!$O$2:$O$2001&gt;=Q$28)*(Transaksi!$Q$2:$Q$2001&gt;0))&gt;0,"½",IF(Q$28&gt;TODAY(),"·","✗")))))</f>
        <v/>
      </c>
      <c r="R32" s="42">
        <f>IF($A32="","",IF(OR(R$28&lt;Tetapan!$B8,AND(Tetapan!$C8&lt;&gt;"",R$28&gt;Tetapan!$C8),Tetapan!$D8=0),"–",IF(SUMPRODUCT((Transaksi!$C$2:$C$2001=$A32)*(Transaksi!$N$2:$N$2001&lt;=R$28)*(Transaksi!$O$2:$O$2001&gt;=R$28)*(Transaksi!$Q$2:$Q$2001&gt;=Tetapan!$D8-0.01))&gt;0,"✓",IF(SUMPRODUCT((Transaksi!$C$2:$C$2001=$A32)*(Transaksi!$N$2:$N$2001&lt;=R$28)*(Transaksi!$O$2:$O$2001&gt;=R$28)*(Transaksi!$Q$2:$Q$2001&gt;0))&gt;0,"½",IF(R$28&gt;TODAY(),"·","✗")))))</f>
        <v/>
      </c>
      <c r="S32" s="42">
        <f>IF($A32="","",IF(OR(S$28&lt;Tetapan!$B8,AND(Tetapan!$C8&lt;&gt;"",S$28&gt;Tetapan!$C8),Tetapan!$D8=0),"–",IF(SUMPRODUCT((Transaksi!$C$2:$C$2001=$A32)*(Transaksi!$N$2:$N$2001&lt;=S$28)*(Transaksi!$O$2:$O$2001&gt;=S$28)*(Transaksi!$Q$2:$Q$2001&gt;=Tetapan!$D8-0.01))&gt;0,"✓",IF(SUMPRODUCT((Transaksi!$C$2:$C$2001=$A32)*(Transaksi!$N$2:$N$2001&lt;=S$28)*(Transaksi!$O$2:$O$2001&gt;=S$28)*(Transaksi!$Q$2:$Q$2001&gt;0))&gt;0,"½",IF(S$28&gt;TODAY(),"·","✗")))))</f>
        <v/>
      </c>
      <c r="T32" s="42">
        <f>IF($A32="","",IF(OR(T$28&lt;Tetapan!$B8,AND(Tetapan!$C8&lt;&gt;"",T$28&gt;Tetapan!$C8),Tetapan!$D8=0),"–",IF(SUMPRODUCT((Transaksi!$C$2:$C$2001=$A32)*(Transaksi!$N$2:$N$2001&lt;=T$28)*(Transaksi!$O$2:$O$2001&gt;=T$28)*(Transaksi!$Q$2:$Q$2001&gt;=Tetapan!$D8-0.01))&gt;0,"✓",IF(SUMPRODUCT((Transaksi!$C$2:$C$2001=$A32)*(Transaksi!$N$2:$N$2001&lt;=T$28)*(Transaksi!$O$2:$O$2001&gt;=T$28)*(Transaksi!$Q$2:$Q$2001&gt;0))&gt;0,"½",IF(T$28&gt;TODAY(),"·","✗")))))</f>
        <v/>
      </c>
      <c r="W32" s="12">
        <f>IF(B32="✗",TEXT(B$28,"mmm yy")&amp;", ",IF(B32="½",TEXT(B$28,"mmm yy")&amp;" (separa), ",""))&amp;IF(C32="✗",TEXT(C$28,"mmm yy")&amp;", ",IF(C32="½",TEXT(C$28,"mmm yy")&amp;" (separa), ",""))&amp;IF(D32="✗",TEXT(D$28,"mmm yy")&amp;", ",IF(D32="½",TEXT(D$28,"mmm yy")&amp;" (separa), ",""))&amp;IF(E32="✗",TEXT(E$28,"mmm yy")&amp;", ",IF(E32="½",TEXT(E$28,"mmm yy")&amp;" (separa), ",""))&amp;IF(F32="✗",TEXT(F$28,"mmm yy")&amp;", ",IF(F32="½",TEXT(F$28,"mmm yy")&amp;" (separa), ",""))&amp;IF(G32="✗",TEXT(G$28,"mmm yy")&amp;", ",IF(G32="½",TEXT(G$28,"mmm yy")&amp;" (separa), ",""))&amp;IF(H32="✗",TEXT(H$28,"mmm yy")&amp;", ",IF(H32="½",TEXT(H$28,"mmm yy")&amp;" (separa), ",""))&amp;IF(I32="✗",TEXT(I$28,"mmm yy")&amp;", ",IF(I32="½",TEXT(I$28,"mmm yy")&amp;" (separa), ",""))&amp;IF(J32="✗",TEXT(J$28,"mmm yy")&amp;", ",IF(J32="½",TEXT(J$28,"mmm yy")&amp;" (separa), ",""))&amp;IF(K32="✗",TEXT(K$28,"mmm yy")&amp;", ",IF(K32="½",TEXT(K$28,"mmm yy")&amp;" (separa), ",""))&amp;IF(L32="✗",TEXT(L$28,"mmm yy")&amp;", ",IF(L32="½",TEXT(L$28,"mmm yy")&amp;" (separa), ",""))&amp;IF(M32="✗",TEXT(M$28,"mmm yy")&amp;", ",IF(M32="½",TEXT(M$28,"mmm yy")&amp;" (separa), ",""))&amp;IF(N32="✗",TEXT(N$28,"mmm yy")&amp;", ",IF(N32="½",TEXT(N$28,"mmm yy")&amp;" (separa), ",""))&amp;IF(O32="✗",TEXT(O$28,"mmm yy")&amp;", ",IF(O32="½",TEXT(O$28,"mmm yy")&amp;" (separa), ",""))&amp;IF(P32="✗",TEXT(P$28,"mmm yy")&amp;", ",IF(P32="½",TEXT(P$28,"mmm yy")&amp;" (separa), ",""))&amp;IF(Q32="✗",TEXT(Q$28,"mmm yy")&amp;", ",IF(Q32="½",TEXT(Q$28,"mmm yy")&amp;" (separa), ",""))&amp;IF(R32="✗",TEXT(R$28,"mmm yy")&amp;", ",IF(R32="½",TEXT(R$28,"mmm yy")&amp;" (separa), ",""))&amp;IF(S32="✗",TEXT(S$28,"mmm yy")&amp;", ",IF(S32="½",TEXT(S$28,"mmm yy")&amp;" (separa), ",""))&amp;IF(T32="✗",TEXT(T$28,"mmm yy")&amp;", ",IF(T32="½",TEXT(T$28,"mmm yy")&amp;" (separa), ",""))</f>
        <v/>
      </c>
    </row>
    <row r="33">
      <c r="A33" s="41">
        <f>IF(Tetapan!A9="","",Tetapan!A9)</f>
        <v/>
      </c>
      <c r="B33" s="42">
        <f>IF($A33="","",IF(OR(B$28&lt;Tetapan!$B9,AND(Tetapan!$C9&lt;&gt;"",B$28&gt;Tetapan!$C9),Tetapan!$D9=0),"–",IF(SUMPRODUCT((Transaksi!$C$2:$C$2001=$A33)*(Transaksi!$N$2:$N$2001&lt;=B$28)*(Transaksi!$O$2:$O$2001&gt;=B$28)*(Transaksi!$Q$2:$Q$2001&gt;=Tetapan!$D9-0.01))&gt;0,"✓",IF(SUMPRODUCT((Transaksi!$C$2:$C$2001=$A33)*(Transaksi!$N$2:$N$2001&lt;=B$28)*(Transaksi!$O$2:$O$2001&gt;=B$28)*(Transaksi!$Q$2:$Q$2001&gt;0))&gt;0,"½",IF(B$28&gt;TODAY(),"·","✗")))))</f>
        <v/>
      </c>
      <c r="C33" s="42">
        <f>IF($A33="","",IF(OR(C$28&lt;Tetapan!$B9,AND(Tetapan!$C9&lt;&gt;"",C$28&gt;Tetapan!$C9),Tetapan!$D9=0),"–",IF(SUMPRODUCT((Transaksi!$C$2:$C$2001=$A33)*(Transaksi!$N$2:$N$2001&lt;=C$28)*(Transaksi!$O$2:$O$2001&gt;=C$28)*(Transaksi!$Q$2:$Q$2001&gt;=Tetapan!$D9-0.01))&gt;0,"✓",IF(SUMPRODUCT((Transaksi!$C$2:$C$2001=$A33)*(Transaksi!$N$2:$N$2001&lt;=C$28)*(Transaksi!$O$2:$O$2001&gt;=C$28)*(Transaksi!$Q$2:$Q$2001&gt;0))&gt;0,"½",IF(C$28&gt;TODAY(),"·","✗")))))</f>
        <v/>
      </c>
      <c r="D33" s="42">
        <f>IF($A33="","",IF(OR(D$28&lt;Tetapan!$B9,AND(Tetapan!$C9&lt;&gt;"",D$28&gt;Tetapan!$C9),Tetapan!$D9=0),"–",IF(SUMPRODUCT((Transaksi!$C$2:$C$2001=$A33)*(Transaksi!$N$2:$N$2001&lt;=D$28)*(Transaksi!$O$2:$O$2001&gt;=D$28)*(Transaksi!$Q$2:$Q$2001&gt;=Tetapan!$D9-0.01))&gt;0,"✓",IF(SUMPRODUCT((Transaksi!$C$2:$C$2001=$A33)*(Transaksi!$N$2:$N$2001&lt;=D$28)*(Transaksi!$O$2:$O$2001&gt;=D$28)*(Transaksi!$Q$2:$Q$2001&gt;0))&gt;0,"½",IF(D$28&gt;TODAY(),"·","✗")))))</f>
        <v/>
      </c>
      <c r="E33" s="42">
        <f>IF($A33="","",IF(OR(E$28&lt;Tetapan!$B9,AND(Tetapan!$C9&lt;&gt;"",E$28&gt;Tetapan!$C9),Tetapan!$D9=0),"–",IF(SUMPRODUCT((Transaksi!$C$2:$C$2001=$A33)*(Transaksi!$N$2:$N$2001&lt;=E$28)*(Transaksi!$O$2:$O$2001&gt;=E$28)*(Transaksi!$Q$2:$Q$2001&gt;=Tetapan!$D9-0.01))&gt;0,"✓",IF(SUMPRODUCT((Transaksi!$C$2:$C$2001=$A33)*(Transaksi!$N$2:$N$2001&lt;=E$28)*(Transaksi!$O$2:$O$2001&gt;=E$28)*(Transaksi!$Q$2:$Q$2001&gt;0))&gt;0,"½",IF(E$28&gt;TODAY(),"·","✗")))))</f>
        <v/>
      </c>
      <c r="F33" s="42">
        <f>IF($A33="","",IF(OR(F$28&lt;Tetapan!$B9,AND(Tetapan!$C9&lt;&gt;"",F$28&gt;Tetapan!$C9),Tetapan!$D9=0),"–",IF(SUMPRODUCT((Transaksi!$C$2:$C$2001=$A33)*(Transaksi!$N$2:$N$2001&lt;=F$28)*(Transaksi!$O$2:$O$2001&gt;=F$28)*(Transaksi!$Q$2:$Q$2001&gt;=Tetapan!$D9-0.01))&gt;0,"✓",IF(SUMPRODUCT((Transaksi!$C$2:$C$2001=$A33)*(Transaksi!$N$2:$N$2001&lt;=F$28)*(Transaksi!$O$2:$O$2001&gt;=F$28)*(Transaksi!$Q$2:$Q$2001&gt;0))&gt;0,"½",IF(F$28&gt;TODAY(),"·","✗")))))</f>
        <v/>
      </c>
      <c r="G33" s="42">
        <f>IF($A33="","",IF(OR(G$28&lt;Tetapan!$B9,AND(Tetapan!$C9&lt;&gt;"",G$28&gt;Tetapan!$C9),Tetapan!$D9=0),"–",IF(SUMPRODUCT((Transaksi!$C$2:$C$2001=$A33)*(Transaksi!$N$2:$N$2001&lt;=G$28)*(Transaksi!$O$2:$O$2001&gt;=G$28)*(Transaksi!$Q$2:$Q$2001&gt;=Tetapan!$D9-0.01))&gt;0,"✓",IF(SUMPRODUCT((Transaksi!$C$2:$C$2001=$A33)*(Transaksi!$N$2:$N$2001&lt;=G$28)*(Transaksi!$O$2:$O$2001&gt;=G$28)*(Transaksi!$Q$2:$Q$2001&gt;0))&gt;0,"½",IF(G$28&gt;TODAY(),"·","✗")))))</f>
        <v/>
      </c>
      <c r="H33" s="42">
        <f>IF($A33="","",IF(OR(H$28&lt;Tetapan!$B9,AND(Tetapan!$C9&lt;&gt;"",H$28&gt;Tetapan!$C9),Tetapan!$D9=0),"–",IF(SUMPRODUCT((Transaksi!$C$2:$C$2001=$A33)*(Transaksi!$N$2:$N$2001&lt;=H$28)*(Transaksi!$O$2:$O$2001&gt;=H$28)*(Transaksi!$Q$2:$Q$2001&gt;=Tetapan!$D9-0.01))&gt;0,"✓",IF(SUMPRODUCT((Transaksi!$C$2:$C$2001=$A33)*(Transaksi!$N$2:$N$2001&lt;=H$28)*(Transaksi!$O$2:$O$2001&gt;=H$28)*(Transaksi!$Q$2:$Q$2001&gt;0))&gt;0,"½",IF(H$28&gt;TODAY(),"·","✗")))))</f>
        <v/>
      </c>
      <c r="I33" s="42">
        <f>IF($A33="","",IF(OR(I$28&lt;Tetapan!$B9,AND(Tetapan!$C9&lt;&gt;"",I$28&gt;Tetapan!$C9),Tetapan!$D9=0),"–",IF(SUMPRODUCT((Transaksi!$C$2:$C$2001=$A33)*(Transaksi!$N$2:$N$2001&lt;=I$28)*(Transaksi!$O$2:$O$2001&gt;=I$28)*(Transaksi!$Q$2:$Q$2001&gt;=Tetapan!$D9-0.01))&gt;0,"✓",IF(SUMPRODUCT((Transaksi!$C$2:$C$2001=$A33)*(Transaksi!$N$2:$N$2001&lt;=I$28)*(Transaksi!$O$2:$O$2001&gt;=I$28)*(Transaksi!$Q$2:$Q$2001&gt;0))&gt;0,"½",IF(I$28&gt;TODAY(),"·","✗")))))</f>
        <v/>
      </c>
      <c r="J33" s="42">
        <f>IF($A33="","",IF(OR(J$28&lt;Tetapan!$B9,AND(Tetapan!$C9&lt;&gt;"",J$28&gt;Tetapan!$C9),Tetapan!$D9=0),"–",IF(SUMPRODUCT((Transaksi!$C$2:$C$2001=$A33)*(Transaksi!$N$2:$N$2001&lt;=J$28)*(Transaksi!$O$2:$O$2001&gt;=J$28)*(Transaksi!$Q$2:$Q$2001&gt;=Tetapan!$D9-0.01))&gt;0,"✓",IF(SUMPRODUCT((Transaksi!$C$2:$C$2001=$A33)*(Transaksi!$N$2:$N$2001&lt;=J$28)*(Transaksi!$O$2:$O$2001&gt;=J$28)*(Transaksi!$Q$2:$Q$2001&gt;0))&gt;0,"½",IF(J$28&gt;TODAY(),"·","✗")))))</f>
        <v/>
      </c>
      <c r="K33" s="42">
        <f>IF($A33="","",IF(OR(K$28&lt;Tetapan!$B9,AND(Tetapan!$C9&lt;&gt;"",K$28&gt;Tetapan!$C9),Tetapan!$D9=0),"–",IF(SUMPRODUCT((Transaksi!$C$2:$C$2001=$A33)*(Transaksi!$N$2:$N$2001&lt;=K$28)*(Transaksi!$O$2:$O$2001&gt;=K$28)*(Transaksi!$Q$2:$Q$2001&gt;=Tetapan!$D9-0.01))&gt;0,"✓",IF(SUMPRODUCT((Transaksi!$C$2:$C$2001=$A33)*(Transaksi!$N$2:$N$2001&lt;=K$28)*(Transaksi!$O$2:$O$2001&gt;=K$28)*(Transaksi!$Q$2:$Q$2001&gt;0))&gt;0,"½",IF(K$28&gt;TODAY(),"·","✗")))))</f>
        <v/>
      </c>
      <c r="L33" s="42">
        <f>IF($A33="","",IF(OR(L$28&lt;Tetapan!$B9,AND(Tetapan!$C9&lt;&gt;"",L$28&gt;Tetapan!$C9),Tetapan!$D9=0),"–",IF(SUMPRODUCT((Transaksi!$C$2:$C$2001=$A33)*(Transaksi!$N$2:$N$2001&lt;=L$28)*(Transaksi!$O$2:$O$2001&gt;=L$28)*(Transaksi!$Q$2:$Q$2001&gt;=Tetapan!$D9-0.01))&gt;0,"✓",IF(SUMPRODUCT((Transaksi!$C$2:$C$2001=$A33)*(Transaksi!$N$2:$N$2001&lt;=L$28)*(Transaksi!$O$2:$O$2001&gt;=L$28)*(Transaksi!$Q$2:$Q$2001&gt;0))&gt;0,"½",IF(L$28&gt;TODAY(),"·","✗")))))</f>
        <v/>
      </c>
      <c r="M33" s="42">
        <f>IF($A33="","",IF(OR(M$28&lt;Tetapan!$B9,AND(Tetapan!$C9&lt;&gt;"",M$28&gt;Tetapan!$C9),Tetapan!$D9=0),"–",IF(SUMPRODUCT((Transaksi!$C$2:$C$2001=$A33)*(Transaksi!$N$2:$N$2001&lt;=M$28)*(Transaksi!$O$2:$O$2001&gt;=M$28)*(Transaksi!$Q$2:$Q$2001&gt;=Tetapan!$D9-0.01))&gt;0,"✓",IF(SUMPRODUCT((Transaksi!$C$2:$C$2001=$A33)*(Transaksi!$N$2:$N$2001&lt;=M$28)*(Transaksi!$O$2:$O$2001&gt;=M$28)*(Transaksi!$Q$2:$Q$2001&gt;0))&gt;0,"½",IF(M$28&gt;TODAY(),"·","✗")))))</f>
        <v/>
      </c>
      <c r="N33" s="42">
        <f>IF($A33="","",IF(OR(N$28&lt;Tetapan!$B9,AND(Tetapan!$C9&lt;&gt;"",N$28&gt;Tetapan!$C9),Tetapan!$D9=0),"–",IF(SUMPRODUCT((Transaksi!$C$2:$C$2001=$A33)*(Transaksi!$N$2:$N$2001&lt;=N$28)*(Transaksi!$O$2:$O$2001&gt;=N$28)*(Transaksi!$Q$2:$Q$2001&gt;=Tetapan!$D9-0.01))&gt;0,"✓",IF(SUMPRODUCT((Transaksi!$C$2:$C$2001=$A33)*(Transaksi!$N$2:$N$2001&lt;=N$28)*(Transaksi!$O$2:$O$2001&gt;=N$28)*(Transaksi!$Q$2:$Q$2001&gt;0))&gt;0,"½",IF(N$28&gt;TODAY(),"·","✗")))))</f>
        <v/>
      </c>
      <c r="O33" s="42">
        <f>IF($A33="","",IF(OR(O$28&lt;Tetapan!$B9,AND(Tetapan!$C9&lt;&gt;"",O$28&gt;Tetapan!$C9),Tetapan!$D9=0),"–",IF(SUMPRODUCT((Transaksi!$C$2:$C$2001=$A33)*(Transaksi!$N$2:$N$2001&lt;=O$28)*(Transaksi!$O$2:$O$2001&gt;=O$28)*(Transaksi!$Q$2:$Q$2001&gt;=Tetapan!$D9-0.01))&gt;0,"✓",IF(SUMPRODUCT((Transaksi!$C$2:$C$2001=$A33)*(Transaksi!$N$2:$N$2001&lt;=O$28)*(Transaksi!$O$2:$O$2001&gt;=O$28)*(Transaksi!$Q$2:$Q$2001&gt;0))&gt;0,"½",IF(O$28&gt;TODAY(),"·","✗")))))</f>
        <v/>
      </c>
      <c r="P33" s="42">
        <f>IF($A33="","",IF(OR(P$28&lt;Tetapan!$B9,AND(Tetapan!$C9&lt;&gt;"",P$28&gt;Tetapan!$C9),Tetapan!$D9=0),"–",IF(SUMPRODUCT((Transaksi!$C$2:$C$2001=$A33)*(Transaksi!$N$2:$N$2001&lt;=P$28)*(Transaksi!$O$2:$O$2001&gt;=P$28)*(Transaksi!$Q$2:$Q$2001&gt;=Tetapan!$D9-0.01))&gt;0,"✓",IF(SUMPRODUCT((Transaksi!$C$2:$C$2001=$A33)*(Transaksi!$N$2:$N$2001&lt;=P$28)*(Transaksi!$O$2:$O$2001&gt;=P$28)*(Transaksi!$Q$2:$Q$2001&gt;0))&gt;0,"½",IF(P$28&gt;TODAY(),"·","✗")))))</f>
        <v/>
      </c>
      <c r="Q33" s="42">
        <f>IF($A33="","",IF(OR(Q$28&lt;Tetapan!$B9,AND(Tetapan!$C9&lt;&gt;"",Q$28&gt;Tetapan!$C9),Tetapan!$D9=0),"–",IF(SUMPRODUCT((Transaksi!$C$2:$C$2001=$A33)*(Transaksi!$N$2:$N$2001&lt;=Q$28)*(Transaksi!$O$2:$O$2001&gt;=Q$28)*(Transaksi!$Q$2:$Q$2001&gt;=Tetapan!$D9-0.01))&gt;0,"✓",IF(SUMPRODUCT((Transaksi!$C$2:$C$2001=$A33)*(Transaksi!$N$2:$N$2001&lt;=Q$28)*(Transaksi!$O$2:$O$2001&gt;=Q$28)*(Transaksi!$Q$2:$Q$2001&gt;0))&gt;0,"½",IF(Q$28&gt;TODAY(),"·","✗")))))</f>
        <v/>
      </c>
      <c r="R33" s="42">
        <f>IF($A33="","",IF(OR(R$28&lt;Tetapan!$B9,AND(Tetapan!$C9&lt;&gt;"",R$28&gt;Tetapan!$C9),Tetapan!$D9=0),"–",IF(SUMPRODUCT((Transaksi!$C$2:$C$2001=$A33)*(Transaksi!$N$2:$N$2001&lt;=R$28)*(Transaksi!$O$2:$O$2001&gt;=R$28)*(Transaksi!$Q$2:$Q$2001&gt;=Tetapan!$D9-0.01))&gt;0,"✓",IF(SUMPRODUCT((Transaksi!$C$2:$C$2001=$A33)*(Transaksi!$N$2:$N$2001&lt;=R$28)*(Transaksi!$O$2:$O$2001&gt;=R$28)*(Transaksi!$Q$2:$Q$2001&gt;0))&gt;0,"½",IF(R$28&gt;TODAY(),"·","✗")))))</f>
        <v/>
      </c>
      <c r="S33" s="42">
        <f>IF($A33="","",IF(OR(S$28&lt;Tetapan!$B9,AND(Tetapan!$C9&lt;&gt;"",S$28&gt;Tetapan!$C9),Tetapan!$D9=0),"–",IF(SUMPRODUCT((Transaksi!$C$2:$C$2001=$A33)*(Transaksi!$N$2:$N$2001&lt;=S$28)*(Transaksi!$O$2:$O$2001&gt;=S$28)*(Transaksi!$Q$2:$Q$2001&gt;=Tetapan!$D9-0.01))&gt;0,"✓",IF(SUMPRODUCT((Transaksi!$C$2:$C$2001=$A33)*(Transaksi!$N$2:$N$2001&lt;=S$28)*(Transaksi!$O$2:$O$2001&gt;=S$28)*(Transaksi!$Q$2:$Q$2001&gt;0))&gt;0,"½",IF(S$28&gt;TODAY(),"·","✗")))))</f>
        <v/>
      </c>
      <c r="T33" s="42">
        <f>IF($A33="","",IF(OR(T$28&lt;Tetapan!$B9,AND(Tetapan!$C9&lt;&gt;"",T$28&gt;Tetapan!$C9),Tetapan!$D9=0),"–",IF(SUMPRODUCT((Transaksi!$C$2:$C$2001=$A33)*(Transaksi!$N$2:$N$2001&lt;=T$28)*(Transaksi!$O$2:$O$2001&gt;=T$28)*(Transaksi!$Q$2:$Q$2001&gt;=Tetapan!$D9-0.01))&gt;0,"✓",IF(SUMPRODUCT((Transaksi!$C$2:$C$2001=$A33)*(Transaksi!$N$2:$N$2001&lt;=T$28)*(Transaksi!$O$2:$O$2001&gt;=T$28)*(Transaksi!$Q$2:$Q$2001&gt;0))&gt;0,"½",IF(T$28&gt;TODAY(),"·","✗")))))</f>
        <v/>
      </c>
      <c r="W33" s="12">
        <f>IF(B33="✗",TEXT(B$28,"mmm yy")&amp;", ",IF(B33="½",TEXT(B$28,"mmm yy")&amp;" (separa), ",""))&amp;IF(C33="✗",TEXT(C$28,"mmm yy")&amp;", ",IF(C33="½",TEXT(C$28,"mmm yy")&amp;" (separa), ",""))&amp;IF(D33="✗",TEXT(D$28,"mmm yy")&amp;", ",IF(D33="½",TEXT(D$28,"mmm yy")&amp;" (separa), ",""))&amp;IF(E33="✗",TEXT(E$28,"mmm yy")&amp;", ",IF(E33="½",TEXT(E$28,"mmm yy")&amp;" (separa), ",""))&amp;IF(F33="✗",TEXT(F$28,"mmm yy")&amp;", ",IF(F33="½",TEXT(F$28,"mmm yy")&amp;" (separa), ",""))&amp;IF(G33="✗",TEXT(G$28,"mmm yy")&amp;", ",IF(G33="½",TEXT(G$28,"mmm yy")&amp;" (separa), ",""))&amp;IF(H33="✗",TEXT(H$28,"mmm yy")&amp;", ",IF(H33="½",TEXT(H$28,"mmm yy")&amp;" (separa), ",""))&amp;IF(I33="✗",TEXT(I$28,"mmm yy")&amp;", ",IF(I33="½",TEXT(I$28,"mmm yy")&amp;" (separa), ",""))&amp;IF(J33="✗",TEXT(J$28,"mmm yy")&amp;", ",IF(J33="½",TEXT(J$28,"mmm yy")&amp;" (separa), ",""))&amp;IF(K33="✗",TEXT(K$28,"mmm yy")&amp;", ",IF(K33="½",TEXT(K$28,"mmm yy")&amp;" (separa), ",""))&amp;IF(L33="✗",TEXT(L$28,"mmm yy")&amp;", ",IF(L33="½",TEXT(L$28,"mmm yy")&amp;" (separa), ",""))&amp;IF(M33="✗",TEXT(M$28,"mmm yy")&amp;", ",IF(M33="½",TEXT(M$28,"mmm yy")&amp;" (separa), ",""))&amp;IF(N33="✗",TEXT(N$28,"mmm yy")&amp;", ",IF(N33="½",TEXT(N$28,"mmm yy")&amp;" (separa), ",""))&amp;IF(O33="✗",TEXT(O$28,"mmm yy")&amp;", ",IF(O33="½",TEXT(O$28,"mmm yy")&amp;" (separa), ",""))&amp;IF(P33="✗",TEXT(P$28,"mmm yy")&amp;", ",IF(P33="½",TEXT(P$28,"mmm yy")&amp;" (separa), ",""))&amp;IF(Q33="✗",TEXT(Q$28,"mmm yy")&amp;", ",IF(Q33="½",TEXT(Q$28,"mmm yy")&amp;" (separa), ",""))&amp;IF(R33="✗",TEXT(R$28,"mmm yy")&amp;", ",IF(R33="½",TEXT(R$28,"mmm yy")&amp;" (separa), ",""))&amp;IF(S33="✗",TEXT(S$28,"mmm yy")&amp;", ",IF(S33="½",TEXT(S$28,"mmm yy")&amp;" (separa), ",""))&amp;IF(T33="✗",TEXT(T$28,"mmm yy")&amp;", ",IF(T33="½",TEXT(T$28,"mmm yy")&amp;" (separa), ",""))</f>
        <v/>
      </c>
    </row>
    <row r="34">
      <c r="A34" s="41">
        <f>IF(Tetapan!A10="","",Tetapan!A10)</f>
        <v/>
      </c>
      <c r="B34" s="42">
        <f>IF($A34="","",IF(OR(B$28&lt;Tetapan!$B10,AND(Tetapan!$C10&lt;&gt;"",B$28&gt;Tetapan!$C10),Tetapan!$D10=0),"–",IF(SUMPRODUCT((Transaksi!$C$2:$C$2001=$A34)*(Transaksi!$N$2:$N$2001&lt;=B$28)*(Transaksi!$O$2:$O$2001&gt;=B$28)*(Transaksi!$Q$2:$Q$2001&gt;=Tetapan!$D10-0.01))&gt;0,"✓",IF(SUMPRODUCT((Transaksi!$C$2:$C$2001=$A34)*(Transaksi!$N$2:$N$2001&lt;=B$28)*(Transaksi!$O$2:$O$2001&gt;=B$28)*(Transaksi!$Q$2:$Q$2001&gt;0))&gt;0,"½",IF(B$28&gt;TODAY(),"·","✗")))))</f>
        <v/>
      </c>
      <c r="C34" s="42">
        <f>IF($A34="","",IF(OR(C$28&lt;Tetapan!$B10,AND(Tetapan!$C10&lt;&gt;"",C$28&gt;Tetapan!$C10),Tetapan!$D10=0),"–",IF(SUMPRODUCT((Transaksi!$C$2:$C$2001=$A34)*(Transaksi!$N$2:$N$2001&lt;=C$28)*(Transaksi!$O$2:$O$2001&gt;=C$28)*(Transaksi!$Q$2:$Q$2001&gt;=Tetapan!$D10-0.01))&gt;0,"✓",IF(SUMPRODUCT((Transaksi!$C$2:$C$2001=$A34)*(Transaksi!$N$2:$N$2001&lt;=C$28)*(Transaksi!$O$2:$O$2001&gt;=C$28)*(Transaksi!$Q$2:$Q$2001&gt;0))&gt;0,"½",IF(C$28&gt;TODAY(),"·","✗")))))</f>
        <v/>
      </c>
      <c r="D34" s="42">
        <f>IF($A34="","",IF(OR(D$28&lt;Tetapan!$B10,AND(Tetapan!$C10&lt;&gt;"",D$28&gt;Tetapan!$C10),Tetapan!$D10=0),"–",IF(SUMPRODUCT((Transaksi!$C$2:$C$2001=$A34)*(Transaksi!$N$2:$N$2001&lt;=D$28)*(Transaksi!$O$2:$O$2001&gt;=D$28)*(Transaksi!$Q$2:$Q$2001&gt;=Tetapan!$D10-0.01))&gt;0,"✓",IF(SUMPRODUCT((Transaksi!$C$2:$C$2001=$A34)*(Transaksi!$N$2:$N$2001&lt;=D$28)*(Transaksi!$O$2:$O$2001&gt;=D$28)*(Transaksi!$Q$2:$Q$2001&gt;0))&gt;0,"½",IF(D$28&gt;TODAY(),"·","✗")))))</f>
        <v/>
      </c>
      <c r="E34" s="42">
        <f>IF($A34="","",IF(OR(E$28&lt;Tetapan!$B10,AND(Tetapan!$C10&lt;&gt;"",E$28&gt;Tetapan!$C10),Tetapan!$D10=0),"–",IF(SUMPRODUCT((Transaksi!$C$2:$C$2001=$A34)*(Transaksi!$N$2:$N$2001&lt;=E$28)*(Transaksi!$O$2:$O$2001&gt;=E$28)*(Transaksi!$Q$2:$Q$2001&gt;=Tetapan!$D10-0.01))&gt;0,"✓",IF(SUMPRODUCT((Transaksi!$C$2:$C$2001=$A34)*(Transaksi!$N$2:$N$2001&lt;=E$28)*(Transaksi!$O$2:$O$2001&gt;=E$28)*(Transaksi!$Q$2:$Q$2001&gt;0))&gt;0,"½",IF(E$28&gt;TODAY(),"·","✗")))))</f>
        <v/>
      </c>
      <c r="F34" s="42">
        <f>IF($A34="","",IF(OR(F$28&lt;Tetapan!$B10,AND(Tetapan!$C10&lt;&gt;"",F$28&gt;Tetapan!$C10),Tetapan!$D10=0),"–",IF(SUMPRODUCT((Transaksi!$C$2:$C$2001=$A34)*(Transaksi!$N$2:$N$2001&lt;=F$28)*(Transaksi!$O$2:$O$2001&gt;=F$28)*(Transaksi!$Q$2:$Q$2001&gt;=Tetapan!$D10-0.01))&gt;0,"✓",IF(SUMPRODUCT((Transaksi!$C$2:$C$2001=$A34)*(Transaksi!$N$2:$N$2001&lt;=F$28)*(Transaksi!$O$2:$O$2001&gt;=F$28)*(Transaksi!$Q$2:$Q$2001&gt;0))&gt;0,"½",IF(F$28&gt;TODAY(),"·","✗")))))</f>
        <v/>
      </c>
      <c r="G34" s="42">
        <f>IF($A34="","",IF(OR(G$28&lt;Tetapan!$B10,AND(Tetapan!$C10&lt;&gt;"",G$28&gt;Tetapan!$C10),Tetapan!$D10=0),"–",IF(SUMPRODUCT((Transaksi!$C$2:$C$2001=$A34)*(Transaksi!$N$2:$N$2001&lt;=G$28)*(Transaksi!$O$2:$O$2001&gt;=G$28)*(Transaksi!$Q$2:$Q$2001&gt;=Tetapan!$D10-0.01))&gt;0,"✓",IF(SUMPRODUCT((Transaksi!$C$2:$C$2001=$A34)*(Transaksi!$N$2:$N$2001&lt;=G$28)*(Transaksi!$O$2:$O$2001&gt;=G$28)*(Transaksi!$Q$2:$Q$2001&gt;0))&gt;0,"½",IF(G$28&gt;TODAY(),"·","✗")))))</f>
        <v/>
      </c>
      <c r="H34" s="42">
        <f>IF($A34="","",IF(OR(H$28&lt;Tetapan!$B10,AND(Tetapan!$C10&lt;&gt;"",H$28&gt;Tetapan!$C10),Tetapan!$D10=0),"–",IF(SUMPRODUCT((Transaksi!$C$2:$C$2001=$A34)*(Transaksi!$N$2:$N$2001&lt;=H$28)*(Transaksi!$O$2:$O$2001&gt;=H$28)*(Transaksi!$Q$2:$Q$2001&gt;=Tetapan!$D10-0.01))&gt;0,"✓",IF(SUMPRODUCT((Transaksi!$C$2:$C$2001=$A34)*(Transaksi!$N$2:$N$2001&lt;=H$28)*(Transaksi!$O$2:$O$2001&gt;=H$28)*(Transaksi!$Q$2:$Q$2001&gt;0))&gt;0,"½",IF(H$28&gt;TODAY(),"·","✗")))))</f>
        <v/>
      </c>
      <c r="I34" s="42">
        <f>IF($A34="","",IF(OR(I$28&lt;Tetapan!$B10,AND(Tetapan!$C10&lt;&gt;"",I$28&gt;Tetapan!$C10),Tetapan!$D10=0),"–",IF(SUMPRODUCT((Transaksi!$C$2:$C$2001=$A34)*(Transaksi!$N$2:$N$2001&lt;=I$28)*(Transaksi!$O$2:$O$2001&gt;=I$28)*(Transaksi!$Q$2:$Q$2001&gt;=Tetapan!$D10-0.01))&gt;0,"✓",IF(SUMPRODUCT((Transaksi!$C$2:$C$2001=$A34)*(Transaksi!$N$2:$N$2001&lt;=I$28)*(Transaksi!$O$2:$O$2001&gt;=I$28)*(Transaksi!$Q$2:$Q$2001&gt;0))&gt;0,"½",IF(I$28&gt;TODAY(),"·","✗")))))</f>
        <v/>
      </c>
      <c r="J34" s="42">
        <f>IF($A34="","",IF(OR(J$28&lt;Tetapan!$B10,AND(Tetapan!$C10&lt;&gt;"",J$28&gt;Tetapan!$C10),Tetapan!$D10=0),"–",IF(SUMPRODUCT((Transaksi!$C$2:$C$2001=$A34)*(Transaksi!$N$2:$N$2001&lt;=J$28)*(Transaksi!$O$2:$O$2001&gt;=J$28)*(Transaksi!$Q$2:$Q$2001&gt;=Tetapan!$D10-0.01))&gt;0,"✓",IF(SUMPRODUCT((Transaksi!$C$2:$C$2001=$A34)*(Transaksi!$N$2:$N$2001&lt;=J$28)*(Transaksi!$O$2:$O$2001&gt;=J$28)*(Transaksi!$Q$2:$Q$2001&gt;0))&gt;0,"½",IF(J$28&gt;TODAY(),"·","✗")))))</f>
        <v/>
      </c>
      <c r="K34" s="42">
        <f>IF($A34="","",IF(OR(K$28&lt;Tetapan!$B10,AND(Tetapan!$C10&lt;&gt;"",K$28&gt;Tetapan!$C10),Tetapan!$D10=0),"–",IF(SUMPRODUCT((Transaksi!$C$2:$C$2001=$A34)*(Transaksi!$N$2:$N$2001&lt;=K$28)*(Transaksi!$O$2:$O$2001&gt;=K$28)*(Transaksi!$Q$2:$Q$2001&gt;=Tetapan!$D10-0.01))&gt;0,"✓",IF(SUMPRODUCT((Transaksi!$C$2:$C$2001=$A34)*(Transaksi!$N$2:$N$2001&lt;=K$28)*(Transaksi!$O$2:$O$2001&gt;=K$28)*(Transaksi!$Q$2:$Q$2001&gt;0))&gt;0,"½",IF(K$28&gt;TODAY(),"·","✗")))))</f>
        <v/>
      </c>
      <c r="L34" s="42">
        <f>IF($A34="","",IF(OR(L$28&lt;Tetapan!$B10,AND(Tetapan!$C10&lt;&gt;"",L$28&gt;Tetapan!$C10),Tetapan!$D10=0),"–",IF(SUMPRODUCT((Transaksi!$C$2:$C$2001=$A34)*(Transaksi!$N$2:$N$2001&lt;=L$28)*(Transaksi!$O$2:$O$2001&gt;=L$28)*(Transaksi!$Q$2:$Q$2001&gt;=Tetapan!$D10-0.01))&gt;0,"✓",IF(SUMPRODUCT((Transaksi!$C$2:$C$2001=$A34)*(Transaksi!$N$2:$N$2001&lt;=L$28)*(Transaksi!$O$2:$O$2001&gt;=L$28)*(Transaksi!$Q$2:$Q$2001&gt;0))&gt;0,"½",IF(L$28&gt;TODAY(),"·","✗")))))</f>
        <v/>
      </c>
      <c r="M34" s="42">
        <f>IF($A34="","",IF(OR(M$28&lt;Tetapan!$B10,AND(Tetapan!$C10&lt;&gt;"",M$28&gt;Tetapan!$C10),Tetapan!$D10=0),"–",IF(SUMPRODUCT((Transaksi!$C$2:$C$2001=$A34)*(Transaksi!$N$2:$N$2001&lt;=M$28)*(Transaksi!$O$2:$O$2001&gt;=M$28)*(Transaksi!$Q$2:$Q$2001&gt;=Tetapan!$D10-0.01))&gt;0,"✓",IF(SUMPRODUCT((Transaksi!$C$2:$C$2001=$A34)*(Transaksi!$N$2:$N$2001&lt;=M$28)*(Transaksi!$O$2:$O$2001&gt;=M$28)*(Transaksi!$Q$2:$Q$2001&gt;0))&gt;0,"½",IF(M$28&gt;TODAY(),"·","✗")))))</f>
        <v/>
      </c>
      <c r="N34" s="42">
        <f>IF($A34="","",IF(OR(N$28&lt;Tetapan!$B10,AND(Tetapan!$C10&lt;&gt;"",N$28&gt;Tetapan!$C10),Tetapan!$D10=0),"–",IF(SUMPRODUCT((Transaksi!$C$2:$C$2001=$A34)*(Transaksi!$N$2:$N$2001&lt;=N$28)*(Transaksi!$O$2:$O$2001&gt;=N$28)*(Transaksi!$Q$2:$Q$2001&gt;=Tetapan!$D10-0.01))&gt;0,"✓",IF(SUMPRODUCT((Transaksi!$C$2:$C$2001=$A34)*(Transaksi!$N$2:$N$2001&lt;=N$28)*(Transaksi!$O$2:$O$2001&gt;=N$28)*(Transaksi!$Q$2:$Q$2001&gt;0))&gt;0,"½",IF(N$28&gt;TODAY(),"·","✗")))))</f>
        <v/>
      </c>
      <c r="O34" s="42">
        <f>IF($A34="","",IF(OR(O$28&lt;Tetapan!$B10,AND(Tetapan!$C10&lt;&gt;"",O$28&gt;Tetapan!$C10),Tetapan!$D10=0),"–",IF(SUMPRODUCT((Transaksi!$C$2:$C$2001=$A34)*(Transaksi!$N$2:$N$2001&lt;=O$28)*(Transaksi!$O$2:$O$2001&gt;=O$28)*(Transaksi!$Q$2:$Q$2001&gt;=Tetapan!$D10-0.01))&gt;0,"✓",IF(SUMPRODUCT((Transaksi!$C$2:$C$2001=$A34)*(Transaksi!$N$2:$N$2001&lt;=O$28)*(Transaksi!$O$2:$O$2001&gt;=O$28)*(Transaksi!$Q$2:$Q$2001&gt;0))&gt;0,"½",IF(O$28&gt;TODAY(),"·","✗")))))</f>
        <v/>
      </c>
      <c r="P34" s="42">
        <f>IF($A34="","",IF(OR(P$28&lt;Tetapan!$B10,AND(Tetapan!$C10&lt;&gt;"",P$28&gt;Tetapan!$C10),Tetapan!$D10=0),"–",IF(SUMPRODUCT((Transaksi!$C$2:$C$2001=$A34)*(Transaksi!$N$2:$N$2001&lt;=P$28)*(Transaksi!$O$2:$O$2001&gt;=P$28)*(Transaksi!$Q$2:$Q$2001&gt;=Tetapan!$D10-0.01))&gt;0,"✓",IF(SUMPRODUCT((Transaksi!$C$2:$C$2001=$A34)*(Transaksi!$N$2:$N$2001&lt;=P$28)*(Transaksi!$O$2:$O$2001&gt;=P$28)*(Transaksi!$Q$2:$Q$2001&gt;0))&gt;0,"½",IF(P$28&gt;TODAY(),"·","✗")))))</f>
        <v/>
      </c>
      <c r="Q34" s="42">
        <f>IF($A34="","",IF(OR(Q$28&lt;Tetapan!$B10,AND(Tetapan!$C10&lt;&gt;"",Q$28&gt;Tetapan!$C10),Tetapan!$D10=0),"–",IF(SUMPRODUCT((Transaksi!$C$2:$C$2001=$A34)*(Transaksi!$N$2:$N$2001&lt;=Q$28)*(Transaksi!$O$2:$O$2001&gt;=Q$28)*(Transaksi!$Q$2:$Q$2001&gt;=Tetapan!$D10-0.01))&gt;0,"✓",IF(SUMPRODUCT((Transaksi!$C$2:$C$2001=$A34)*(Transaksi!$N$2:$N$2001&lt;=Q$28)*(Transaksi!$O$2:$O$2001&gt;=Q$28)*(Transaksi!$Q$2:$Q$2001&gt;0))&gt;0,"½",IF(Q$28&gt;TODAY(),"·","✗")))))</f>
        <v/>
      </c>
      <c r="R34" s="42">
        <f>IF($A34="","",IF(OR(R$28&lt;Tetapan!$B10,AND(Tetapan!$C10&lt;&gt;"",R$28&gt;Tetapan!$C10),Tetapan!$D10=0),"–",IF(SUMPRODUCT((Transaksi!$C$2:$C$2001=$A34)*(Transaksi!$N$2:$N$2001&lt;=R$28)*(Transaksi!$O$2:$O$2001&gt;=R$28)*(Transaksi!$Q$2:$Q$2001&gt;=Tetapan!$D10-0.01))&gt;0,"✓",IF(SUMPRODUCT((Transaksi!$C$2:$C$2001=$A34)*(Transaksi!$N$2:$N$2001&lt;=R$28)*(Transaksi!$O$2:$O$2001&gt;=R$28)*(Transaksi!$Q$2:$Q$2001&gt;0))&gt;0,"½",IF(R$28&gt;TODAY(),"·","✗")))))</f>
        <v/>
      </c>
      <c r="S34" s="42">
        <f>IF($A34="","",IF(OR(S$28&lt;Tetapan!$B10,AND(Tetapan!$C10&lt;&gt;"",S$28&gt;Tetapan!$C10),Tetapan!$D10=0),"–",IF(SUMPRODUCT((Transaksi!$C$2:$C$2001=$A34)*(Transaksi!$N$2:$N$2001&lt;=S$28)*(Transaksi!$O$2:$O$2001&gt;=S$28)*(Transaksi!$Q$2:$Q$2001&gt;=Tetapan!$D10-0.01))&gt;0,"✓",IF(SUMPRODUCT((Transaksi!$C$2:$C$2001=$A34)*(Transaksi!$N$2:$N$2001&lt;=S$28)*(Transaksi!$O$2:$O$2001&gt;=S$28)*(Transaksi!$Q$2:$Q$2001&gt;0))&gt;0,"½",IF(S$28&gt;TODAY(),"·","✗")))))</f>
        <v/>
      </c>
      <c r="T34" s="42">
        <f>IF($A34="","",IF(OR(T$28&lt;Tetapan!$B10,AND(Tetapan!$C10&lt;&gt;"",T$28&gt;Tetapan!$C10),Tetapan!$D10=0),"–",IF(SUMPRODUCT((Transaksi!$C$2:$C$2001=$A34)*(Transaksi!$N$2:$N$2001&lt;=T$28)*(Transaksi!$O$2:$O$2001&gt;=T$28)*(Transaksi!$Q$2:$Q$2001&gt;=Tetapan!$D10-0.01))&gt;0,"✓",IF(SUMPRODUCT((Transaksi!$C$2:$C$2001=$A34)*(Transaksi!$N$2:$N$2001&lt;=T$28)*(Transaksi!$O$2:$O$2001&gt;=T$28)*(Transaksi!$Q$2:$Q$2001&gt;0))&gt;0,"½",IF(T$28&gt;TODAY(),"·","✗")))))</f>
        <v/>
      </c>
      <c r="W34" s="12">
        <f>IF(B34="✗",TEXT(B$28,"mmm yy")&amp;", ",IF(B34="½",TEXT(B$28,"mmm yy")&amp;" (separa), ",""))&amp;IF(C34="✗",TEXT(C$28,"mmm yy")&amp;", ",IF(C34="½",TEXT(C$28,"mmm yy")&amp;" (separa), ",""))&amp;IF(D34="✗",TEXT(D$28,"mmm yy")&amp;", ",IF(D34="½",TEXT(D$28,"mmm yy")&amp;" (separa), ",""))&amp;IF(E34="✗",TEXT(E$28,"mmm yy")&amp;", ",IF(E34="½",TEXT(E$28,"mmm yy")&amp;" (separa), ",""))&amp;IF(F34="✗",TEXT(F$28,"mmm yy")&amp;", ",IF(F34="½",TEXT(F$28,"mmm yy")&amp;" (separa), ",""))&amp;IF(G34="✗",TEXT(G$28,"mmm yy")&amp;", ",IF(G34="½",TEXT(G$28,"mmm yy")&amp;" (separa), ",""))&amp;IF(H34="✗",TEXT(H$28,"mmm yy")&amp;", ",IF(H34="½",TEXT(H$28,"mmm yy")&amp;" (separa), ",""))&amp;IF(I34="✗",TEXT(I$28,"mmm yy")&amp;", ",IF(I34="½",TEXT(I$28,"mmm yy")&amp;" (separa), ",""))&amp;IF(J34="✗",TEXT(J$28,"mmm yy")&amp;", ",IF(J34="½",TEXT(J$28,"mmm yy")&amp;" (separa), ",""))&amp;IF(K34="✗",TEXT(K$28,"mmm yy")&amp;", ",IF(K34="½",TEXT(K$28,"mmm yy")&amp;" (separa), ",""))&amp;IF(L34="✗",TEXT(L$28,"mmm yy")&amp;", ",IF(L34="½",TEXT(L$28,"mmm yy")&amp;" (separa), ",""))&amp;IF(M34="✗",TEXT(M$28,"mmm yy")&amp;", ",IF(M34="½",TEXT(M$28,"mmm yy")&amp;" (separa), ",""))&amp;IF(N34="✗",TEXT(N$28,"mmm yy")&amp;", ",IF(N34="½",TEXT(N$28,"mmm yy")&amp;" (separa), ",""))&amp;IF(O34="✗",TEXT(O$28,"mmm yy")&amp;", ",IF(O34="½",TEXT(O$28,"mmm yy")&amp;" (separa), ",""))&amp;IF(P34="✗",TEXT(P$28,"mmm yy")&amp;", ",IF(P34="½",TEXT(P$28,"mmm yy")&amp;" (separa), ",""))&amp;IF(Q34="✗",TEXT(Q$28,"mmm yy")&amp;", ",IF(Q34="½",TEXT(Q$28,"mmm yy")&amp;" (separa), ",""))&amp;IF(R34="✗",TEXT(R$28,"mmm yy")&amp;", ",IF(R34="½",TEXT(R$28,"mmm yy")&amp;" (separa), ",""))&amp;IF(S34="✗",TEXT(S$28,"mmm yy")&amp;", ",IF(S34="½",TEXT(S$28,"mmm yy")&amp;" (separa), ",""))&amp;IF(T34="✗",TEXT(T$28,"mmm yy")&amp;", ",IF(T34="½",TEXT(T$28,"mmm yy")&amp;" (separa), ",""))</f>
        <v/>
      </c>
    </row>
    <row r="35">
      <c r="A35" s="41">
        <f>IF(Tetapan!A11="","",Tetapan!A11)</f>
        <v/>
      </c>
      <c r="B35" s="42">
        <f>IF($A35="","",IF(OR(B$28&lt;Tetapan!$B11,AND(Tetapan!$C11&lt;&gt;"",B$28&gt;Tetapan!$C11),Tetapan!$D11=0),"–",IF(SUMPRODUCT((Transaksi!$C$2:$C$2001=$A35)*(Transaksi!$N$2:$N$2001&lt;=B$28)*(Transaksi!$O$2:$O$2001&gt;=B$28)*(Transaksi!$Q$2:$Q$2001&gt;=Tetapan!$D11-0.01))&gt;0,"✓",IF(SUMPRODUCT((Transaksi!$C$2:$C$2001=$A35)*(Transaksi!$N$2:$N$2001&lt;=B$28)*(Transaksi!$O$2:$O$2001&gt;=B$28)*(Transaksi!$Q$2:$Q$2001&gt;0))&gt;0,"½",IF(B$28&gt;TODAY(),"·","✗")))))</f>
        <v/>
      </c>
      <c r="C35" s="42">
        <f>IF($A35="","",IF(OR(C$28&lt;Tetapan!$B11,AND(Tetapan!$C11&lt;&gt;"",C$28&gt;Tetapan!$C11),Tetapan!$D11=0),"–",IF(SUMPRODUCT((Transaksi!$C$2:$C$2001=$A35)*(Transaksi!$N$2:$N$2001&lt;=C$28)*(Transaksi!$O$2:$O$2001&gt;=C$28)*(Transaksi!$Q$2:$Q$2001&gt;=Tetapan!$D11-0.01))&gt;0,"✓",IF(SUMPRODUCT((Transaksi!$C$2:$C$2001=$A35)*(Transaksi!$N$2:$N$2001&lt;=C$28)*(Transaksi!$O$2:$O$2001&gt;=C$28)*(Transaksi!$Q$2:$Q$2001&gt;0))&gt;0,"½",IF(C$28&gt;TODAY(),"·","✗")))))</f>
        <v/>
      </c>
      <c r="D35" s="42">
        <f>IF($A35="","",IF(OR(D$28&lt;Tetapan!$B11,AND(Tetapan!$C11&lt;&gt;"",D$28&gt;Tetapan!$C11),Tetapan!$D11=0),"–",IF(SUMPRODUCT((Transaksi!$C$2:$C$2001=$A35)*(Transaksi!$N$2:$N$2001&lt;=D$28)*(Transaksi!$O$2:$O$2001&gt;=D$28)*(Transaksi!$Q$2:$Q$2001&gt;=Tetapan!$D11-0.01))&gt;0,"✓",IF(SUMPRODUCT((Transaksi!$C$2:$C$2001=$A35)*(Transaksi!$N$2:$N$2001&lt;=D$28)*(Transaksi!$O$2:$O$2001&gt;=D$28)*(Transaksi!$Q$2:$Q$2001&gt;0))&gt;0,"½",IF(D$28&gt;TODAY(),"·","✗")))))</f>
        <v/>
      </c>
      <c r="E35" s="42">
        <f>IF($A35="","",IF(OR(E$28&lt;Tetapan!$B11,AND(Tetapan!$C11&lt;&gt;"",E$28&gt;Tetapan!$C11),Tetapan!$D11=0),"–",IF(SUMPRODUCT((Transaksi!$C$2:$C$2001=$A35)*(Transaksi!$N$2:$N$2001&lt;=E$28)*(Transaksi!$O$2:$O$2001&gt;=E$28)*(Transaksi!$Q$2:$Q$2001&gt;=Tetapan!$D11-0.01))&gt;0,"✓",IF(SUMPRODUCT((Transaksi!$C$2:$C$2001=$A35)*(Transaksi!$N$2:$N$2001&lt;=E$28)*(Transaksi!$O$2:$O$2001&gt;=E$28)*(Transaksi!$Q$2:$Q$2001&gt;0))&gt;0,"½",IF(E$28&gt;TODAY(),"·","✗")))))</f>
        <v/>
      </c>
      <c r="F35" s="42">
        <f>IF($A35="","",IF(OR(F$28&lt;Tetapan!$B11,AND(Tetapan!$C11&lt;&gt;"",F$28&gt;Tetapan!$C11),Tetapan!$D11=0),"–",IF(SUMPRODUCT((Transaksi!$C$2:$C$2001=$A35)*(Transaksi!$N$2:$N$2001&lt;=F$28)*(Transaksi!$O$2:$O$2001&gt;=F$28)*(Transaksi!$Q$2:$Q$2001&gt;=Tetapan!$D11-0.01))&gt;0,"✓",IF(SUMPRODUCT((Transaksi!$C$2:$C$2001=$A35)*(Transaksi!$N$2:$N$2001&lt;=F$28)*(Transaksi!$O$2:$O$2001&gt;=F$28)*(Transaksi!$Q$2:$Q$2001&gt;0))&gt;0,"½",IF(F$28&gt;TODAY(),"·","✗")))))</f>
        <v/>
      </c>
      <c r="G35" s="42">
        <f>IF($A35="","",IF(OR(G$28&lt;Tetapan!$B11,AND(Tetapan!$C11&lt;&gt;"",G$28&gt;Tetapan!$C11),Tetapan!$D11=0),"–",IF(SUMPRODUCT((Transaksi!$C$2:$C$2001=$A35)*(Transaksi!$N$2:$N$2001&lt;=G$28)*(Transaksi!$O$2:$O$2001&gt;=G$28)*(Transaksi!$Q$2:$Q$2001&gt;=Tetapan!$D11-0.01))&gt;0,"✓",IF(SUMPRODUCT((Transaksi!$C$2:$C$2001=$A35)*(Transaksi!$N$2:$N$2001&lt;=G$28)*(Transaksi!$O$2:$O$2001&gt;=G$28)*(Transaksi!$Q$2:$Q$2001&gt;0))&gt;0,"½",IF(G$28&gt;TODAY(),"·","✗")))))</f>
        <v/>
      </c>
      <c r="H35" s="42">
        <f>IF($A35="","",IF(OR(H$28&lt;Tetapan!$B11,AND(Tetapan!$C11&lt;&gt;"",H$28&gt;Tetapan!$C11),Tetapan!$D11=0),"–",IF(SUMPRODUCT((Transaksi!$C$2:$C$2001=$A35)*(Transaksi!$N$2:$N$2001&lt;=H$28)*(Transaksi!$O$2:$O$2001&gt;=H$28)*(Transaksi!$Q$2:$Q$2001&gt;=Tetapan!$D11-0.01))&gt;0,"✓",IF(SUMPRODUCT((Transaksi!$C$2:$C$2001=$A35)*(Transaksi!$N$2:$N$2001&lt;=H$28)*(Transaksi!$O$2:$O$2001&gt;=H$28)*(Transaksi!$Q$2:$Q$2001&gt;0))&gt;0,"½",IF(H$28&gt;TODAY(),"·","✗")))))</f>
        <v/>
      </c>
      <c r="I35" s="42">
        <f>IF($A35="","",IF(OR(I$28&lt;Tetapan!$B11,AND(Tetapan!$C11&lt;&gt;"",I$28&gt;Tetapan!$C11),Tetapan!$D11=0),"–",IF(SUMPRODUCT((Transaksi!$C$2:$C$2001=$A35)*(Transaksi!$N$2:$N$2001&lt;=I$28)*(Transaksi!$O$2:$O$2001&gt;=I$28)*(Transaksi!$Q$2:$Q$2001&gt;=Tetapan!$D11-0.01))&gt;0,"✓",IF(SUMPRODUCT((Transaksi!$C$2:$C$2001=$A35)*(Transaksi!$N$2:$N$2001&lt;=I$28)*(Transaksi!$O$2:$O$2001&gt;=I$28)*(Transaksi!$Q$2:$Q$2001&gt;0))&gt;0,"½",IF(I$28&gt;TODAY(),"·","✗")))))</f>
        <v/>
      </c>
      <c r="J35" s="42">
        <f>IF($A35="","",IF(OR(J$28&lt;Tetapan!$B11,AND(Tetapan!$C11&lt;&gt;"",J$28&gt;Tetapan!$C11),Tetapan!$D11=0),"–",IF(SUMPRODUCT((Transaksi!$C$2:$C$2001=$A35)*(Transaksi!$N$2:$N$2001&lt;=J$28)*(Transaksi!$O$2:$O$2001&gt;=J$28)*(Transaksi!$Q$2:$Q$2001&gt;=Tetapan!$D11-0.01))&gt;0,"✓",IF(SUMPRODUCT((Transaksi!$C$2:$C$2001=$A35)*(Transaksi!$N$2:$N$2001&lt;=J$28)*(Transaksi!$O$2:$O$2001&gt;=J$28)*(Transaksi!$Q$2:$Q$2001&gt;0))&gt;0,"½",IF(J$28&gt;TODAY(),"·","✗")))))</f>
        <v/>
      </c>
      <c r="K35" s="42">
        <f>IF($A35="","",IF(OR(K$28&lt;Tetapan!$B11,AND(Tetapan!$C11&lt;&gt;"",K$28&gt;Tetapan!$C11),Tetapan!$D11=0),"–",IF(SUMPRODUCT((Transaksi!$C$2:$C$2001=$A35)*(Transaksi!$N$2:$N$2001&lt;=K$28)*(Transaksi!$O$2:$O$2001&gt;=K$28)*(Transaksi!$Q$2:$Q$2001&gt;=Tetapan!$D11-0.01))&gt;0,"✓",IF(SUMPRODUCT((Transaksi!$C$2:$C$2001=$A35)*(Transaksi!$N$2:$N$2001&lt;=K$28)*(Transaksi!$O$2:$O$2001&gt;=K$28)*(Transaksi!$Q$2:$Q$2001&gt;0))&gt;0,"½",IF(K$28&gt;TODAY(),"·","✗")))))</f>
        <v/>
      </c>
      <c r="L35" s="42">
        <f>IF($A35="","",IF(OR(L$28&lt;Tetapan!$B11,AND(Tetapan!$C11&lt;&gt;"",L$28&gt;Tetapan!$C11),Tetapan!$D11=0),"–",IF(SUMPRODUCT((Transaksi!$C$2:$C$2001=$A35)*(Transaksi!$N$2:$N$2001&lt;=L$28)*(Transaksi!$O$2:$O$2001&gt;=L$28)*(Transaksi!$Q$2:$Q$2001&gt;=Tetapan!$D11-0.01))&gt;0,"✓",IF(SUMPRODUCT((Transaksi!$C$2:$C$2001=$A35)*(Transaksi!$N$2:$N$2001&lt;=L$28)*(Transaksi!$O$2:$O$2001&gt;=L$28)*(Transaksi!$Q$2:$Q$2001&gt;0))&gt;0,"½",IF(L$28&gt;TODAY(),"·","✗")))))</f>
        <v/>
      </c>
      <c r="M35" s="42">
        <f>IF($A35="","",IF(OR(M$28&lt;Tetapan!$B11,AND(Tetapan!$C11&lt;&gt;"",M$28&gt;Tetapan!$C11),Tetapan!$D11=0),"–",IF(SUMPRODUCT((Transaksi!$C$2:$C$2001=$A35)*(Transaksi!$N$2:$N$2001&lt;=M$28)*(Transaksi!$O$2:$O$2001&gt;=M$28)*(Transaksi!$Q$2:$Q$2001&gt;=Tetapan!$D11-0.01))&gt;0,"✓",IF(SUMPRODUCT((Transaksi!$C$2:$C$2001=$A35)*(Transaksi!$N$2:$N$2001&lt;=M$28)*(Transaksi!$O$2:$O$2001&gt;=M$28)*(Transaksi!$Q$2:$Q$2001&gt;0))&gt;0,"½",IF(M$28&gt;TODAY(),"·","✗")))))</f>
        <v/>
      </c>
      <c r="N35" s="42">
        <f>IF($A35="","",IF(OR(N$28&lt;Tetapan!$B11,AND(Tetapan!$C11&lt;&gt;"",N$28&gt;Tetapan!$C11),Tetapan!$D11=0),"–",IF(SUMPRODUCT((Transaksi!$C$2:$C$2001=$A35)*(Transaksi!$N$2:$N$2001&lt;=N$28)*(Transaksi!$O$2:$O$2001&gt;=N$28)*(Transaksi!$Q$2:$Q$2001&gt;=Tetapan!$D11-0.01))&gt;0,"✓",IF(SUMPRODUCT((Transaksi!$C$2:$C$2001=$A35)*(Transaksi!$N$2:$N$2001&lt;=N$28)*(Transaksi!$O$2:$O$2001&gt;=N$28)*(Transaksi!$Q$2:$Q$2001&gt;0))&gt;0,"½",IF(N$28&gt;TODAY(),"·","✗")))))</f>
        <v/>
      </c>
      <c r="O35" s="42">
        <f>IF($A35="","",IF(OR(O$28&lt;Tetapan!$B11,AND(Tetapan!$C11&lt;&gt;"",O$28&gt;Tetapan!$C11),Tetapan!$D11=0),"–",IF(SUMPRODUCT((Transaksi!$C$2:$C$2001=$A35)*(Transaksi!$N$2:$N$2001&lt;=O$28)*(Transaksi!$O$2:$O$2001&gt;=O$28)*(Transaksi!$Q$2:$Q$2001&gt;=Tetapan!$D11-0.01))&gt;0,"✓",IF(SUMPRODUCT((Transaksi!$C$2:$C$2001=$A35)*(Transaksi!$N$2:$N$2001&lt;=O$28)*(Transaksi!$O$2:$O$2001&gt;=O$28)*(Transaksi!$Q$2:$Q$2001&gt;0))&gt;0,"½",IF(O$28&gt;TODAY(),"·","✗")))))</f>
        <v/>
      </c>
      <c r="P35" s="42">
        <f>IF($A35="","",IF(OR(P$28&lt;Tetapan!$B11,AND(Tetapan!$C11&lt;&gt;"",P$28&gt;Tetapan!$C11),Tetapan!$D11=0),"–",IF(SUMPRODUCT((Transaksi!$C$2:$C$2001=$A35)*(Transaksi!$N$2:$N$2001&lt;=P$28)*(Transaksi!$O$2:$O$2001&gt;=P$28)*(Transaksi!$Q$2:$Q$2001&gt;=Tetapan!$D11-0.01))&gt;0,"✓",IF(SUMPRODUCT((Transaksi!$C$2:$C$2001=$A35)*(Transaksi!$N$2:$N$2001&lt;=P$28)*(Transaksi!$O$2:$O$2001&gt;=P$28)*(Transaksi!$Q$2:$Q$2001&gt;0))&gt;0,"½",IF(P$28&gt;TODAY(),"·","✗")))))</f>
        <v/>
      </c>
      <c r="Q35" s="42">
        <f>IF($A35="","",IF(OR(Q$28&lt;Tetapan!$B11,AND(Tetapan!$C11&lt;&gt;"",Q$28&gt;Tetapan!$C11),Tetapan!$D11=0),"–",IF(SUMPRODUCT((Transaksi!$C$2:$C$2001=$A35)*(Transaksi!$N$2:$N$2001&lt;=Q$28)*(Transaksi!$O$2:$O$2001&gt;=Q$28)*(Transaksi!$Q$2:$Q$2001&gt;=Tetapan!$D11-0.01))&gt;0,"✓",IF(SUMPRODUCT((Transaksi!$C$2:$C$2001=$A35)*(Transaksi!$N$2:$N$2001&lt;=Q$28)*(Transaksi!$O$2:$O$2001&gt;=Q$28)*(Transaksi!$Q$2:$Q$2001&gt;0))&gt;0,"½",IF(Q$28&gt;TODAY(),"·","✗")))))</f>
        <v/>
      </c>
      <c r="R35" s="42">
        <f>IF($A35="","",IF(OR(R$28&lt;Tetapan!$B11,AND(Tetapan!$C11&lt;&gt;"",R$28&gt;Tetapan!$C11),Tetapan!$D11=0),"–",IF(SUMPRODUCT((Transaksi!$C$2:$C$2001=$A35)*(Transaksi!$N$2:$N$2001&lt;=R$28)*(Transaksi!$O$2:$O$2001&gt;=R$28)*(Transaksi!$Q$2:$Q$2001&gt;=Tetapan!$D11-0.01))&gt;0,"✓",IF(SUMPRODUCT((Transaksi!$C$2:$C$2001=$A35)*(Transaksi!$N$2:$N$2001&lt;=R$28)*(Transaksi!$O$2:$O$2001&gt;=R$28)*(Transaksi!$Q$2:$Q$2001&gt;0))&gt;0,"½",IF(R$28&gt;TODAY(),"·","✗")))))</f>
        <v/>
      </c>
      <c r="S35" s="42">
        <f>IF($A35="","",IF(OR(S$28&lt;Tetapan!$B11,AND(Tetapan!$C11&lt;&gt;"",S$28&gt;Tetapan!$C11),Tetapan!$D11=0),"–",IF(SUMPRODUCT((Transaksi!$C$2:$C$2001=$A35)*(Transaksi!$N$2:$N$2001&lt;=S$28)*(Transaksi!$O$2:$O$2001&gt;=S$28)*(Transaksi!$Q$2:$Q$2001&gt;=Tetapan!$D11-0.01))&gt;0,"✓",IF(SUMPRODUCT((Transaksi!$C$2:$C$2001=$A35)*(Transaksi!$N$2:$N$2001&lt;=S$28)*(Transaksi!$O$2:$O$2001&gt;=S$28)*(Transaksi!$Q$2:$Q$2001&gt;0))&gt;0,"½",IF(S$28&gt;TODAY(),"·","✗")))))</f>
        <v/>
      </c>
      <c r="T35" s="42">
        <f>IF($A35="","",IF(OR(T$28&lt;Tetapan!$B11,AND(Tetapan!$C11&lt;&gt;"",T$28&gt;Tetapan!$C11),Tetapan!$D11=0),"–",IF(SUMPRODUCT((Transaksi!$C$2:$C$2001=$A35)*(Transaksi!$N$2:$N$2001&lt;=T$28)*(Transaksi!$O$2:$O$2001&gt;=T$28)*(Transaksi!$Q$2:$Q$2001&gt;=Tetapan!$D11-0.01))&gt;0,"✓",IF(SUMPRODUCT((Transaksi!$C$2:$C$2001=$A35)*(Transaksi!$N$2:$N$2001&lt;=T$28)*(Transaksi!$O$2:$O$2001&gt;=T$28)*(Transaksi!$Q$2:$Q$2001&gt;0))&gt;0,"½",IF(T$28&gt;TODAY(),"·","✗")))))</f>
        <v/>
      </c>
      <c r="W35" s="12">
        <f>IF(B35="✗",TEXT(B$28,"mmm yy")&amp;", ",IF(B35="½",TEXT(B$28,"mmm yy")&amp;" (separa), ",""))&amp;IF(C35="✗",TEXT(C$28,"mmm yy")&amp;", ",IF(C35="½",TEXT(C$28,"mmm yy")&amp;" (separa), ",""))&amp;IF(D35="✗",TEXT(D$28,"mmm yy")&amp;", ",IF(D35="½",TEXT(D$28,"mmm yy")&amp;" (separa), ",""))&amp;IF(E35="✗",TEXT(E$28,"mmm yy")&amp;", ",IF(E35="½",TEXT(E$28,"mmm yy")&amp;" (separa), ",""))&amp;IF(F35="✗",TEXT(F$28,"mmm yy")&amp;", ",IF(F35="½",TEXT(F$28,"mmm yy")&amp;" (separa), ",""))&amp;IF(G35="✗",TEXT(G$28,"mmm yy")&amp;", ",IF(G35="½",TEXT(G$28,"mmm yy")&amp;" (separa), ",""))&amp;IF(H35="✗",TEXT(H$28,"mmm yy")&amp;", ",IF(H35="½",TEXT(H$28,"mmm yy")&amp;" (separa), ",""))&amp;IF(I35="✗",TEXT(I$28,"mmm yy")&amp;", ",IF(I35="½",TEXT(I$28,"mmm yy")&amp;" (separa), ",""))&amp;IF(J35="✗",TEXT(J$28,"mmm yy")&amp;", ",IF(J35="½",TEXT(J$28,"mmm yy")&amp;" (separa), ",""))&amp;IF(K35="✗",TEXT(K$28,"mmm yy")&amp;", ",IF(K35="½",TEXT(K$28,"mmm yy")&amp;" (separa), ",""))&amp;IF(L35="✗",TEXT(L$28,"mmm yy")&amp;", ",IF(L35="½",TEXT(L$28,"mmm yy")&amp;" (separa), ",""))&amp;IF(M35="✗",TEXT(M$28,"mmm yy")&amp;", ",IF(M35="½",TEXT(M$28,"mmm yy")&amp;" (separa), ",""))&amp;IF(N35="✗",TEXT(N$28,"mmm yy")&amp;", ",IF(N35="½",TEXT(N$28,"mmm yy")&amp;" (separa), ",""))&amp;IF(O35="✗",TEXT(O$28,"mmm yy")&amp;", ",IF(O35="½",TEXT(O$28,"mmm yy")&amp;" (separa), ",""))&amp;IF(P35="✗",TEXT(P$28,"mmm yy")&amp;", ",IF(P35="½",TEXT(P$28,"mmm yy")&amp;" (separa), ",""))&amp;IF(Q35="✗",TEXT(Q$28,"mmm yy")&amp;", ",IF(Q35="½",TEXT(Q$28,"mmm yy")&amp;" (separa), ",""))&amp;IF(R35="✗",TEXT(R$28,"mmm yy")&amp;", ",IF(R35="½",TEXT(R$28,"mmm yy")&amp;" (separa), ",""))&amp;IF(S35="✗",TEXT(S$28,"mmm yy")&amp;", ",IF(S35="½",TEXT(S$28,"mmm yy")&amp;" (separa), ",""))&amp;IF(T35="✗",TEXT(T$28,"mmm yy")&amp;", ",IF(T35="½",TEXT(T$28,"mmm yy")&amp;" (separa), ",""))</f>
        <v/>
      </c>
    </row>
    <row r="36">
      <c r="A36" s="41">
        <f>IF(Tetapan!A12="","",Tetapan!A12)</f>
        <v/>
      </c>
      <c r="B36" s="42">
        <f>IF($A36="","",IF(OR(B$28&lt;Tetapan!$B12,AND(Tetapan!$C12&lt;&gt;"",B$28&gt;Tetapan!$C12),Tetapan!$D12=0),"–",IF(SUMPRODUCT((Transaksi!$C$2:$C$2001=$A36)*(Transaksi!$N$2:$N$2001&lt;=B$28)*(Transaksi!$O$2:$O$2001&gt;=B$28)*(Transaksi!$Q$2:$Q$2001&gt;=Tetapan!$D12-0.01))&gt;0,"✓",IF(SUMPRODUCT((Transaksi!$C$2:$C$2001=$A36)*(Transaksi!$N$2:$N$2001&lt;=B$28)*(Transaksi!$O$2:$O$2001&gt;=B$28)*(Transaksi!$Q$2:$Q$2001&gt;0))&gt;0,"½",IF(B$28&gt;TODAY(),"·","✗")))))</f>
        <v/>
      </c>
      <c r="C36" s="42">
        <f>IF($A36="","",IF(OR(C$28&lt;Tetapan!$B12,AND(Tetapan!$C12&lt;&gt;"",C$28&gt;Tetapan!$C12),Tetapan!$D12=0),"–",IF(SUMPRODUCT((Transaksi!$C$2:$C$2001=$A36)*(Transaksi!$N$2:$N$2001&lt;=C$28)*(Transaksi!$O$2:$O$2001&gt;=C$28)*(Transaksi!$Q$2:$Q$2001&gt;=Tetapan!$D12-0.01))&gt;0,"✓",IF(SUMPRODUCT((Transaksi!$C$2:$C$2001=$A36)*(Transaksi!$N$2:$N$2001&lt;=C$28)*(Transaksi!$O$2:$O$2001&gt;=C$28)*(Transaksi!$Q$2:$Q$2001&gt;0))&gt;0,"½",IF(C$28&gt;TODAY(),"·","✗")))))</f>
        <v/>
      </c>
      <c r="D36" s="42">
        <f>IF($A36="","",IF(OR(D$28&lt;Tetapan!$B12,AND(Tetapan!$C12&lt;&gt;"",D$28&gt;Tetapan!$C12),Tetapan!$D12=0),"–",IF(SUMPRODUCT((Transaksi!$C$2:$C$2001=$A36)*(Transaksi!$N$2:$N$2001&lt;=D$28)*(Transaksi!$O$2:$O$2001&gt;=D$28)*(Transaksi!$Q$2:$Q$2001&gt;=Tetapan!$D12-0.01))&gt;0,"✓",IF(SUMPRODUCT((Transaksi!$C$2:$C$2001=$A36)*(Transaksi!$N$2:$N$2001&lt;=D$28)*(Transaksi!$O$2:$O$2001&gt;=D$28)*(Transaksi!$Q$2:$Q$2001&gt;0))&gt;0,"½",IF(D$28&gt;TODAY(),"·","✗")))))</f>
        <v/>
      </c>
      <c r="E36" s="42">
        <f>IF($A36="","",IF(OR(E$28&lt;Tetapan!$B12,AND(Tetapan!$C12&lt;&gt;"",E$28&gt;Tetapan!$C12),Tetapan!$D12=0),"–",IF(SUMPRODUCT((Transaksi!$C$2:$C$2001=$A36)*(Transaksi!$N$2:$N$2001&lt;=E$28)*(Transaksi!$O$2:$O$2001&gt;=E$28)*(Transaksi!$Q$2:$Q$2001&gt;=Tetapan!$D12-0.01))&gt;0,"✓",IF(SUMPRODUCT((Transaksi!$C$2:$C$2001=$A36)*(Transaksi!$N$2:$N$2001&lt;=E$28)*(Transaksi!$O$2:$O$2001&gt;=E$28)*(Transaksi!$Q$2:$Q$2001&gt;0))&gt;0,"½",IF(E$28&gt;TODAY(),"·","✗")))))</f>
        <v/>
      </c>
      <c r="F36" s="42">
        <f>IF($A36="","",IF(OR(F$28&lt;Tetapan!$B12,AND(Tetapan!$C12&lt;&gt;"",F$28&gt;Tetapan!$C12),Tetapan!$D12=0),"–",IF(SUMPRODUCT((Transaksi!$C$2:$C$2001=$A36)*(Transaksi!$N$2:$N$2001&lt;=F$28)*(Transaksi!$O$2:$O$2001&gt;=F$28)*(Transaksi!$Q$2:$Q$2001&gt;=Tetapan!$D12-0.01))&gt;0,"✓",IF(SUMPRODUCT((Transaksi!$C$2:$C$2001=$A36)*(Transaksi!$N$2:$N$2001&lt;=F$28)*(Transaksi!$O$2:$O$2001&gt;=F$28)*(Transaksi!$Q$2:$Q$2001&gt;0))&gt;0,"½",IF(F$28&gt;TODAY(),"·","✗")))))</f>
        <v/>
      </c>
      <c r="G36" s="42">
        <f>IF($A36="","",IF(OR(G$28&lt;Tetapan!$B12,AND(Tetapan!$C12&lt;&gt;"",G$28&gt;Tetapan!$C12),Tetapan!$D12=0),"–",IF(SUMPRODUCT((Transaksi!$C$2:$C$2001=$A36)*(Transaksi!$N$2:$N$2001&lt;=G$28)*(Transaksi!$O$2:$O$2001&gt;=G$28)*(Transaksi!$Q$2:$Q$2001&gt;=Tetapan!$D12-0.01))&gt;0,"✓",IF(SUMPRODUCT((Transaksi!$C$2:$C$2001=$A36)*(Transaksi!$N$2:$N$2001&lt;=G$28)*(Transaksi!$O$2:$O$2001&gt;=G$28)*(Transaksi!$Q$2:$Q$2001&gt;0))&gt;0,"½",IF(G$28&gt;TODAY(),"·","✗")))))</f>
        <v/>
      </c>
      <c r="H36" s="42">
        <f>IF($A36="","",IF(OR(H$28&lt;Tetapan!$B12,AND(Tetapan!$C12&lt;&gt;"",H$28&gt;Tetapan!$C12),Tetapan!$D12=0),"–",IF(SUMPRODUCT((Transaksi!$C$2:$C$2001=$A36)*(Transaksi!$N$2:$N$2001&lt;=H$28)*(Transaksi!$O$2:$O$2001&gt;=H$28)*(Transaksi!$Q$2:$Q$2001&gt;=Tetapan!$D12-0.01))&gt;0,"✓",IF(SUMPRODUCT((Transaksi!$C$2:$C$2001=$A36)*(Transaksi!$N$2:$N$2001&lt;=H$28)*(Transaksi!$O$2:$O$2001&gt;=H$28)*(Transaksi!$Q$2:$Q$2001&gt;0))&gt;0,"½",IF(H$28&gt;TODAY(),"·","✗")))))</f>
        <v/>
      </c>
      <c r="I36" s="42">
        <f>IF($A36="","",IF(OR(I$28&lt;Tetapan!$B12,AND(Tetapan!$C12&lt;&gt;"",I$28&gt;Tetapan!$C12),Tetapan!$D12=0),"–",IF(SUMPRODUCT((Transaksi!$C$2:$C$2001=$A36)*(Transaksi!$N$2:$N$2001&lt;=I$28)*(Transaksi!$O$2:$O$2001&gt;=I$28)*(Transaksi!$Q$2:$Q$2001&gt;=Tetapan!$D12-0.01))&gt;0,"✓",IF(SUMPRODUCT((Transaksi!$C$2:$C$2001=$A36)*(Transaksi!$N$2:$N$2001&lt;=I$28)*(Transaksi!$O$2:$O$2001&gt;=I$28)*(Transaksi!$Q$2:$Q$2001&gt;0))&gt;0,"½",IF(I$28&gt;TODAY(),"·","✗")))))</f>
        <v/>
      </c>
      <c r="J36" s="42">
        <f>IF($A36="","",IF(OR(J$28&lt;Tetapan!$B12,AND(Tetapan!$C12&lt;&gt;"",J$28&gt;Tetapan!$C12),Tetapan!$D12=0),"–",IF(SUMPRODUCT((Transaksi!$C$2:$C$2001=$A36)*(Transaksi!$N$2:$N$2001&lt;=J$28)*(Transaksi!$O$2:$O$2001&gt;=J$28)*(Transaksi!$Q$2:$Q$2001&gt;=Tetapan!$D12-0.01))&gt;0,"✓",IF(SUMPRODUCT((Transaksi!$C$2:$C$2001=$A36)*(Transaksi!$N$2:$N$2001&lt;=J$28)*(Transaksi!$O$2:$O$2001&gt;=J$28)*(Transaksi!$Q$2:$Q$2001&gt;0))&gt;0,"½",IF(J$28&gt;TODAY(),"·","✗")))))</f>
        <v/>
      </c>
      <c r="K36" s="42">
        <f>IF($A36="","",IF(OR(K$28&lt;Tetapan!$B12,AND(Tetapan!$C12&lt;&gt;"",K$28&gt;Tetapan!$C12),Tetapan!$D12=0),"–",IF(SUMPRODUCT((Transaksi!$C$2:$C$2001=$A36)*(Transaksi!$N$2:$N$2001&lt;=K$28)*(Transaksi!$O$2:$O$2001&gt;=K$28)*(Transaksi!$Q$2:$Q$2001&gt;=Tetapan!$D12-0.01))&gt;0,"✓",IF(SUMPRODUCT((Transaksi!$C$2:$C$2001=$A36)*(Transaksi!$N$2:$N$2001&lt;=K$28)*(Transaksi!$O$2:$O$2001&gt;=K$28)*(Transaksi!$Q$2:$Q$2001&gt;0))&gt;0,"½",IF(K$28&gt;TODAY(),"·","✗")))))</f>
        <v/>
      </c>
      <c r="L36" s="42">
        <f>IF($A36="","",IF(OR(L$28&lt;Tetapan!$B12,AND(Tetapan!$C12&lt;&gt;"",L$28&gt;Tetapan!$C12),Tetapan!$D12=0),"–",IF(SUMPRODUCT((Transaksi!$C$2:$C$2001=$A36)*(Transaksi!$N$2:$N$2001&lt;=L$28)*(Transaksi!$O$2:$O$2001&gt;=L$28)*(Transaksi!$Q$2:$Q$2001&gt;=Tetapan!$D12-0.01))&gt;0,"✓",IF(SUMPRODUCT((Transaksi!$C$2:$C$2001=$A36)*(Transaksi!$N$2:$N$2001&lt;=L$28)*(Transaksi!$O$2:$O$2001&gt;=L$28)*(Transaksi!$Q$2:$Q$2001&gt;0))&gt;0,"½",IF(L$28&gt;TODAY(),"·","✗")))))</f>
        <v/>
      </c>
      <c r="M36" s="42">
        <f>IF($A36="","",IF(OR(M$28&lt;Tetapan!$B12,AND(Tetapan!$C12&lt;&gt;"",M$28&gt;Tetapan!$C12),Tetapan!$D12=0),"–",IF(SUMPRODUCT((Transaksi!$C$2:$C$2001=$A36)*(Transaksi!$N$2:$N$2001&lt;=M$28)*(Transaksi!$O$2:$O$2001&gt;=M$28)*(Transaksi!$Q$2:$Q$2001&gt;=Tetapan!$D12-0.01))&gt;0,"✓",IF(SUMPRODUCT((Transaksi!$C$2:$C$2001=$A36)*(Transaksi!$N$2:$N$2001&lt;=M$28)*(Transaksi!$O$2:$O$2001&gt;=M$28)*(Transaksi!$Q$2:$Q$2001&gt;0))&gt;0,"½",IF(M$28&gt;TODAY(),"·","✗")))))</f>
        <v/>
      </c>
      <c r="N36" s="42">
        <f>IF($A36="","",IF(OR(N$28&lt;Tetapan!$B12,AND(Tetapan!$C12&lt;&gt;"",N$28&gt;Tetapan!$C12),Tetapan!$D12=0),"–",IF(SUMPRODUCT((Transaksi!$C$2:$C$2001=$A36)*(Transaksi!$N$2:$N$2001&lt;=N$28)*(Transaksi!$O$2:$O$2001&gt;=N$28)*(Transaksi!$Q$2:$Q$2001&gt;=Tetapan!$D12-0.01))&gt;0,"✓",IF(SUMPRODUCT((Transaksi!$C$2:$C$2001=$A36)*(Transaksi!$N$2:$N$2001&lt;=N$28)*(Transaksi!$O$2:$O$2001&gt;=N$28)*(Transaksi!$Q$2:$Q$2001&gt;0))&gt;0,"½",IF(N$28&gt;TODAY(),"·","✗")))))</f>
        <v/>
      </c>
      <c r="O36" s="42">
        <f>IF($A36="","",IF(OR(O$28&lt;Tetapan!$B12,AND(Tetapan!$C12&lt;&gt;"",O$28&gt;Tetapan!$C12),Tetapan!$D12=0),"–",IF(SUMPRODUCT((Transaksi!$C$2:$C$2001=$A36)*(Transaksi!$N$2:$N$2001&lt;=O$28)*(Transaksi!$O$2:$O$2001&gt;=O$28)*(Transaksi!$Q$2:$Q$2001&gt;=Tetapan!$D12-0.01))&gt;0,"✓",IF(SUMPRODUCT((Transaksi!$C$2:$C$2001=$A36)*(Transaksi!$N$2:$N$2001&lt;=O$28)*(Transaksi!$O$2:$O$2001&gt;=O$28)*(Transaksi!$Q$2:$Q$2001&gt;0))&gt;0,"½",IF(O$28&gt;TODAY(),"·","✗")))))</f>
        <v/>
      </c>
      <c r="P36" s="42">
        <f>IF($A36="","",IF(OR(P$28&lt;Tetapan!$B12,AND(Tetapan!$C12&lt;&gt;"",P$28&gt;Tetapan!$C12),Tetapan!$D12=0),"–",IF(SUMPRODUCT((Transaksi!$C$2:$C$2001=$A36)*(Transaksi!$N$2:$N$2001&lt;=P$28)*(Transaksi!$O$2:$O$2001&gt;=P$28)*(Transaksi!$Q$2:$Q$2001&gt;=Tetapan!$D12-0.01))&gt;0,"✓",IF(SUMPRODUCT((Transaksi!$C$2:$C$2001=$A36)*(Transaksi!$N$2:$N$2001&lt;=P$28)*(Transaksi!$O$2:$O$2001&gt;=P$28)*(Transaksi!$Q$2:$Q$2001&gt;0))&gt;0,"½",IF(P$28&gt;TODAY(),"·","✗")))))</f>
        <v/>
      </c>
      <c r="Q36" s="42">
        <f>IF($A36="","",IF(OR(Q$28&lt;Tetapan!$B12,AND(Tetapan!$C12&lt;&gt;"",Q$28&gt;Tetapan!$C12),Tetapan!$D12=0),"–",IF(SUMPRODUCT((Transaksi!$C$2:$C$2001=$A36)*(Transaksi!$N$2:$N$2001&lt;=Q$28)*(Transaksi!$O$2:$O$2001&gt;=Q$28)*(Transaksi!$Q$2:$Q$2001&gt;=Tetapan!$D12-0.01))&gt;0,"✓",IF(SUMPRODUCT((Transaksi!$C$2:$C$2001=$A36)*(Transaksi!$N$2:$N$2001&lt;=Q$28)*(Transaksi!$O$2:$O$2001&gt;=Q$28)*(Transaksi!$Q$2:$Q$2001&gt;0))&gt;0,"½",IF(Q$28&gt;TODAY(),"·","✗")))))</f>
        <v/>
      </c>
      <c r="R36" s="42">
        <f>IF($A36="","",IF(OR(R$28&lt;Tetapan!$B12,AND(Tetapan!$C12&lt;&gt;"",R$28&gt;Tetapan!$C12),Tetapan!$D12=0),"–",IF(SUMPRODUCT((Transaksi!$C$2:$C$2001=$A36)*(Transaksi!$N$2:$N$2001&lt;=R$28)*(Transaksi!$O$2:$O$2001&gt;=R$28)*(Transaksi!$Q$2:$Q$2001&gt;=Tetapan!$D12-0.01))&gt;0,"✓",IF(SUMPRODUCT((Transaksi!$C$2:$C$2001=$A36)*(Transaksi!$N$2:$N$2001&lt;=R$28)*(Transaksi!$O$2:$O$2001&gt;=R$28)*(Transaksi!$Q$2:$Q$2001&gt;0))&gt;0,"½",IF(R$28&gt;TODAY(),"·","✗")))))</f>
        <v/>
      </c>
      <c r="S36" s="42">
        <f>IF($A36="","",IF(OR(S$28&lt;Tetapan!$B12,AND(Tetapan!$C12&lt;&gt;"",S$28&gt;Tetapan!$C12),Tetapan!$D12=0),"–",IF(SUMPRODUCT((Transaksi!$C$2:$C$2001=$A36)*(Transaksi!$N$2:$N$2001&lt;=S$28)*(Transaksi!$O$2:$O$2001&gt;=S$28)*(Transaksi!$Q$2:$Q$2001&gt;=Tetapan!$D12-0.01))&gt;0,"✓",IF(SUMPRODUCT((Transaksi!$C$2:$C$2001=$A36)*(Transaksi!$N$2:$N$2001&lt;=S$28)*(Transaksi!$O$2:$O$2001&gt;=S$28)*(Transaksi!$Q$2:$Q$2001&gt;0))&gt;0,"½",IF(S$28&gt;TODAY(),"·","✗")))))</f>
        <v/>
      </c>
      <c r="T36" s="42">
        <f>IF($A36="","",IF(OR(T$28&lt;Tetapan!$B12,AND(Tetapan!$C12&lt;&gt;"",T$28&gt;Tetapan!$C12),Tetapan!$D12=0),"–",IF(SUMPRODUCT((Transaksi!$C$2:$C$2001=$A36)*(Transaksi!$N$2:$N$2001&lt;=T$28)*(Transaksi!$O$2:$O$2001&gt;=T$28)*(Transaksi!$Q$2:$Q$2001&gt;=Tetapan!$D12-0.01))&gt;0,"✓",IF(SUMPRODUCT((Transaksi!$C$2:$C$2001=$A36)*(Transaksi!$N$2:$N$2001&lt;=T$28)*(Transaksi!$O$2:$O$2001&gt;=T$28)*(Transaksi!$Q$2:$Q$2001&gt;0))&gt;0,"½",IF(T$28&gt;TODAY(),"·","✗")))))</f>
        <v/>
      </c>
      <c r="W36" s="12">
        <f>IF(B36="✗",TEXT(B$28,"mmm yy")&amp;", ",IF(B36="½",TEXT(B$28,"mmm yy")&amp;" (separa), ",""))&amp;IF(C36="✗",TEXT(C$28,"mmm yy")&amp;", ",IF(C36="½",TEXT(C$28,"mmm yy")&amp;" (separa), ",""))&amp;IF(D36="✗",TEXT(D$28,"mmm yy")&amp;", ",IF(D36="½",TEXT(D$28,"mmm yy")&amp;" (separa), ",""))&amp;IF(E36="✗",TEXT(E$28,"mmm yy")&amp;", ",IF(E36="½",TEXT(E$28,"mmm yy")&amp;" (separa), ",""))&amp;IF(F36="✗",TEXT(F$28,"mmm yy")&amp;", ",IF(F36="½",TEXT(F$28,"mmm yy")&amp;" (separa), ",""))&amp;IF(G36="✗",TEXT(G$28,"mmm yy")&amp;", ",IF(G36="½",TEXT(G$28,"mmm yy")&amp;" (separa), ",""))&amp;IF(H36="✗",TEXT(H$28,"mmm yy")&amp;", ",IF(H36="½",TEXT(H$28,"mmm yy")&amp;" (separa), ",""))&amp;IF(I36="✗",TEXT(I$28,"mmm yy")&amp;", ",IF(I36="½",TEXT(I$28,"mmm yy")&amp;" (separa), ",""))&amp;IF(J36="✗",TEXT(J$28,"mmm yy")&amp;", ",IF(J36="½",TEXT(J$28,"mmm yy")&amp;" (separa), ",""))&amp;IF(K36="✗",TEXT(K$28,"mmm yy")&amp;", ",IF(K36="½",TEXT(K$28,"mmm yy")&amp;" (separa), ",""))&amp;IF(L36="✗",TEXT(L$28,"mmm yy")&amp;", ",IF(L36="½",TEXT(L$28,"mmm yy")&amp;" (separa), ",""))&amp;IF(M36="✗",TEXT(M$28,"mmm yy")&amp;", ",IF(M36="½",TEXT(M$28,"mmm yy")&amp;" (separa), ",""))&amp;IF(N36="✗",TEXT(N$28,"mmm yy")&amp;", ",IF(N36="½",TEXT(N$28,"mmm yy")&amp;" (separa), ",""))&amp;IF(O36="✗",TEXT(O$28,"mmm yy")&amp;", ",IF(O36="½",TEXT(O$28,"mmm yy")&amp;" (separa), ",""))&amp;IF(P36="✗",TEXT(P$28,"mmm yy")&amp;", ",IF(P36="½",TEXT(P$28,"mmm yy")&amp;" (separa), ",""))&amp;IF(Q36="✗",TEXT(Q$28,"mmm yy")&amp;", ",IF(Q36="½",TEXT(Q$28,"mmm yy")&amp;" (separa), ",""))&amp;IF(R36="✗",TEXT(R$28,"mmm yy")&amp;", ",IF(R36="½",TEXT(R$28,"mmm yy")&amp;" (separa), ",""))&amp;IF(S36="✗",TEXT(S$28,"mmm yy")&amp;", ",IF(S36="½",TEXT(S$28,"mmm yy")&amp;" (separa), ",""))&amp;IF(T36="✗",TEXT(T$28,"mmm yy")&amp;", ",IF(T36="½",TEXT(T$28,"mmm yy")&amp;" (separa), ",""))</f>
        <v/>
      </c>
    </row>
    <row r="37">
      <c r="A37" s="41">
        <f>IF(Tetapan!A13="","",Tetapan!A13)</f>
        <v/>
      </c>
      <c r="B37" s="42">
        <f>IF($A37="","",IF(OR(B$28&lt;Tetapan!$B13,AND(Tetapan!$C13&lt;&gt;"",B$28&gt;Tetapan!$C13),Tetapan!$D13=0),"–",IF(SUMPRODUCT((Transaksi!$C$2:$C$2001=$A37)*(Transaksi!$N$2:$N$2001&lt;=B$28)*(Transaksi!$O$2:$O$2001&gt;=B$28)*(Transaksi!$Q$2:$Q$2001&gt;=Tetapan!$D13-0.01))&gt;0,"✓",IF(SUMPRODUCT((Transaksi!$C$2:$C$2001=$A37)*(Transaksi!$N$2:$N$2001&lt;=B$28)*(Transaksi!$O$2:$O$2001&gt;=B$28)*(Transaksi!$Q$2:$Q$2001&gt;0))&gt;0,"½",IF(B$28&gt;TODAY(),"·","✗")))))</f>
        <v/>
      </c>
      <c r="C37" s="42">
        <f>IF($A37="","",IF(OR(C$28&lt;Tetapan!$B13,AND(Tetapan!$C13&lt;&gt;"",C$28&gt;Tetapan!$C13),Tetapan!$D13=0),"–",IF(SUMPRODUCT((Transaksi!$C$2:$C$2001=$A37)*(Transaksi!$N$2:$N$2001&lt;=C$28)*(Transaksi!$O$2:$O$2001&gt;=C$28)*(Transaksi!$Q$2:$Q$2001&gt;=Tetapan!$D13-0.01))&gt;0,"✓",IF(SUMPRODUCT((Transaksi!$C$2:$C$2001=$A37)*(Transaksi!$N$2:$N$2001&lt;=C$28)*(Transaksi!$O$2:$O$2001&gt;=C$28)*(Transaksi!$Q$2:$Q$2001&gt;0))&gt;0,"½",IF(C$28&gt;TODAY(),"·","✗")))))</f>
        <v/>
      </c>
      <c r="D37" s="42">
        <f>IF($A37="","",IF(OR(D$28&lt;Tetapan!$B13,AND(Tetapan!$C13&lt;&gt;"",D$28&gt;Tetapan!$C13),Tetapan!$D13=0),"–",IF(SUMPRODUCT((Transaksi!$C$2:$C$2001=$A37)*(Transaksi!$N$2:$N$2001&lt;=D$28)*(Transaksi!$O$2:$O$2001&gt;=D$28)*(Transaksi!$Q$2:$Q$2001&gt;=Tetapan!$D13-0.01))&gt;0,"✓",IF(SUMPRODUCT((Transaksi!$C$2:$C$2001=$A37)*(Transaksi!$N$2:$N$2001&lt;=D$28)*(Transaksi!$O$2:$O$2001&gt;=D$28)*(Transaksi!$Q$2:$Q$2001&gt;0))&gt;0,"½",IF(D$28&gt;TODAY(),"·","✗")))))</f>
        <v/>
      </c>
      <c r="E37" s="42">
        <f>IF($A37="","",IF(OR(E$28&lt;Tetapan!$B13,AND(Tetapan!$C13&lt;&gt;"",E$28&gt;Tetapan!$C13),Tetapan!$D13=0),"–",IF(SUMPRODUCT((Transaksi!$C$2:$C$2001=$A37)*(Transaksi!$N$2:$N$2001&lt;=E$28)*(Transaksi!$O$2:$O$2001&gt;=E$28)*(Transaksi!$Q$2:$Q$2001&gt;=Tetapan!$D13-0.01))&gt;0,"✓",IF(SUMPRODUCT((Transaksi!$C$2:$C$2001=$A37)*(Transaksi!$N$2:$N$2001&lt;=E$28)*(Transaksi!$O$2:$O$2001&gt;=E$28)*(Transaksi!$Q$2:$Q$2001&gt;0))&gt;0,"½",IF(E$28&gt;TODAY(),"·","✗")))))</f>
        <v/>
      </c>
      <c r="F37" s="42">
        <f>IF($A37="","",IF(OR(F$28&lt;Tetapan!$B13,AND(Tetapan!$C13&lt;&gt;"",F$28&gt;Tetapan!$C13),Tetapan!$D13=0),"–",IF(SUMPRODUCT((Transaksi!$C$2:$C$2001=$A37)*(Transaksi!$N$2:$N$2001&lt;=F$28)*(Transaksi!$O$2:$O$2001&gt;=F$28)*(Transaksi!$Q$2:$Q$2001&gt;=Tetapan!$D13-0.01))&gt;0,"✓",IF(SUMPRODUCT((Transaksi!$C$2:$C$2001=$A37)*(Transaksi!$N$2:$N$2001&lt;=F$28)*(Transaksi!$O$2:$O$2001&gt;=F$28)*(Transaksi!$Q$2:$Q$2001&gt;0))&gt;0,"½",IF(F$28&gt;TODAY(),"·","✗")))))</f>
        <v/>
      </c>
      <c r="G37" s="42">
        <f>IF($A37="","",IF(OR(G$28&lt;Tetapan!$B13,AND(Tetapan!$C13&lt;&gt;"",G$28&gt;Tetapan!$C13),Tetapan!$D13=0),"–",IF(SUMPRODUCT((Transaksi!$C$2:$C$2001=$A37)*(Transaksi!$N$2:$N$2001&lt;=G$28)*(Transaksi!$O$2:$O$2001&gt;=G$28)*(Transaksi!$Q$2:$Q$2001&gt;=Tetapan!$D13-0.01))&gt;0,"✓",IF(SUMPRODUCT((Transaksi!$C$2:$C$2001=$A37)*(Transaksi!$N$2:$N$2001&lt;=G$28)*(Transaksi!$O$2:$O$2001&gt;=G$28)*(Transaksi!$Q$2:$Q$2001&gt;0))&gt;0,"½",IF(G$28&gt;TODAY(),"·","✗")))))</f>
        <v/>
      </c>
      <c r="H37" s="42">
        <f>IF($A37="","",IF(OR(H$28&lt;Tetapan!$B13,AND(Tetapan!$C13&lt;&gt;"",H$28&gt;Tetapan!$C13),Tetapan!$D13=0),"–",IF(SUMPRODUCT((Transaksi!$C$2:$C$2001=$A37)*(Transaksi!$N$2:$N$2001&lt;=H$28)*(Transaksi!$O$2:$O$2001&gt;=H$28)*(Transaksi!$Q$2:$Q$2001&gt;=Tetapan!$D13-0.01))&gt;0,"✓",IF(SUMPRODUCT((Transaksi!$C$2:$C$2001=$A37)*(Transaksi!$N$2:$N$2001&lt;=H$28)*(Transaksi!$O$2:$O$2001&gt;=H$28)*(Transaksi!$Q$2:$Q$2001&gt;0))&gt;0,"½",IF(H$28&gt;TODAY(),"·","✗")))))</f>
        <v/>
      </c>
      <c r="I37" s="42">
        <f>IF($A37="","",IF(OR(I$28&lt;Tetapan!$B13,AND(Tetapan!$C13&lt;&gt;"",I$28&gt;Tetapan!$C13),Tetapan!$D13=0),"–",IF(SUMPRODUCT((Transaksi!$C$2:$C$2001=$A37)*(Transaksi!$N$2:$N$2001&lt;=I$28)*(Transaksi!$O$2:$O$2001&gt;=I$28)*(Transaksi!$Q$2:$Q$2001&gt;=Tetapan!$D13-0.01))&gt;0,"✓",IF(SUMPRODUCT((Transaksi!$C$2:$C$2001=$A37)*(Transaksi!$N$2:$N$2001&lt;=I$28)*(Transaksi!$O$2:$O$2001&gt;=I$28)*(Transaksi!$Q$2:$Q$2001&gt;0))&gt;0,"½",IF(I$28&gt;TODAY(),"·","✗")))))</f>
        <v/>
      </c>
      <c r="J37" s="42">
        <f>IF($A37="","",IF(OR(J$28&lt;Tetapan!$B13,AND(Tetapan!$C13&lt;&gt;"",J$28&gt;Tetapan!$C13),Tetapan!$D13=0),"–",IF(SUMPRODUCT((Transaksi!$C$2:$C$2001=$A37)*(Transaksi!$N$2:$N$2001&lt;=J$28)*(Transaksi!$O$2:$O$2001&gt;=J$28)*(Transaksi!$Q$2:$Q$2001&gt;=Tetapan!$D13-0.01))&gt;0,"✓",IF(SUMPRODUCT((Transaksi!$C$2:$C$2001=$A37)*(Transaksi!$N$2:$N$2001&lt;=J$28)*(Transaksi!$O$2:$O$2001&gt;=J$28)*(Transaksi!$Q$2:$Q$2001&gt;0))&gt;0,"½",IF(J$28&gt;TODAY(),"·","✗")))))</f>
        <v/>
      </c>
      <c r="K37" s="42">
        <f>IF($A37="","",IF(OR(K$28&lt;Tetapan!$B13,AND(Tetapan!$C13&lt;&gt;"",K$28&gt;Tetapan!$C13),Tetapan!$D13=0),"–",IF(SUMPRODUCT((Transaksi!$C$2:$C$2001=$A37)*(Transaksi!$N$2:$N$2001&lt;=K$28)*(Transaksi!$O$2:$O$2001&gt;=K$28)*(Transaksi!$Q$2:$Q$2001&gt;=Tetapan!$D13-0.01))&gt;0,"✓",IF(SUMPRODUCT((Transaksi!$C$2:$C$2001=$A37)*(Transaksi!$N$2:$N$2001&lt;=K$28)*(Transaksi!$O$2:$O$2001&gt;=K$28)*(Transaksi!$Q$2:$Q$2001&gt;0))&gt;0,"½",IF(K$28&gt;TODAY(),"·","✗")))))</f>
        <v/>
      </c>
      <c r="L37" s="42">
        <f>IF($A37="","",IF(OR(L$28&lt;Tetapan!$B13,AND(Tetapan!$C13&lt;&gt;"",L$28&gt;Tetapan!$C13),Tetapan!$D13=0),"–",IF(SUMPRODUCT((Transaksi!$C$2:$C$2001=$A37)*(Transaksi!$N$2:$N$2001&lt;=L$28)*(Transaksi!$O$2:$O$2001&gt;=L$28)*(Transaksi!$Q$2:$Q$2001&gt;=Tetapan!$D13-0.01))&gt;0,"✓",IF(SUMPRODUCT((Transaksi!$C$2:$C$2001=$A37)*(Transaksi!$N$2:$N$2001&lt;=L$28)*(Transaksi!$O$2:$O$2001&gt;=L$28)*(Transaksi!$Q$2:$Q$2001&gt;0))&gt;0,"½",IF(L$28&gt;TODAY(),"·","✗")))))</f>
        <v/>
      </c>
      <c r="M37" s="42">
        <f>IF($A37="","",IF(OR(M$28&lt;Tetapan!$B13,AND(Tetapan!$C13&lt;&gt;"",M$28&gt;Tetapan!$C13),Tetapan!$D13=0),"–",IF(SUMPRODUCT((Transaksi!$C$2:$C$2001=$A37)*(Transaksi!$N$2:$N$2001&lt;=M$28)*(Transaksi!$O$2:$O$2001&gt;=M$28)*(Transaksi!$Q$2:$Q$2001&gt;=Tetapan!$D13-0.01))&gt;0,"✓",IF(SUMPRODUCT((Transaksi!$C$2:$C$2001=$A37)*(Transaksi!$N$2:$N$2001&lt;=M$28)*(Transaksi!$O$2:$O$2001&gt;=M$28)*(Transaksi!$Q$2:$Q$2001&gt;0))&gt;0,"½",IF(M$28&gt;TODAY(),"·","✗")))))</f>
        <v/>
      </c>
      <c r="N37" s="42">
        <f>IF($A37="","",IF(OR(N$28&lt;Tetapan!$B13,AND(Tetapan!$C13&lt;&gt;"",N$28&gt;Tetapan!$C13),Tetapan!$D13=0),"–",IF(SUMPRODUCT((Transaksi!$C$2:$C$2001=$A37)*(Transaksi!$N$2:$N$2001&lt;=N$28)*(Transaksi!$O$2:$O$2001&gt;=N$28)*(Transaksi!$Q$2:$Q$2001&gt;=Tetapan!$D13-0.01))&gt;0,"✓",IF(SUMPRODUCT((Transaksi!$C$2:$C$2001=$A37)*(Transaksi!$N$2:$N$2001&lt;=N$28)*(Transaksi!$O$2:$O$2001&gt;=N$28)*(Transaksi!$Q$2:$Q$2001&gt;0))&gt;0,"½",IF(N$28&gt;TODAY(),"·","✗")))))</f>
        <v/>
      </c>
      <c r="O37" s="42">
        <f>IF($A37="","",IF(OR(O$28&lt;Tetapan!$B13,AND(Tetapan!$C13&lt;&gt;"",O$28&gt;Tetapan!$C13),Tetapan!$D13=0),"–",IF(SUMPRODUCT((Transaksi!$C$2:$C$2001=$A37)*(Transaksi!$N$2:$N$2001&lt;=O$28)*(Transaksi!$O$2:$O$2001&gt;=O$28)*(Transaksi!$Q$2:$Q$2001&gt;=Tetapan!$D13-0.01))&gt;0,"✓",IF(SUMPRODUCT((Transaksi!$C$2:$C$2001=$A37)*(Transaksi!$N$2:$N$2001&lt;=O$28)*(Transaksi!$O$2:$O$2001&gt;=O$28)*(Transaksi!$Q$2:$Q$2001&gt;0))&gt;0,"½",IF(O$28&gt;TODAY(),"·","✗")))))</f>
        <v/>
      </c>
      <c r="P37" s="42">
        <f>IF($A37="","",IF(OR(P$28&lt;Tetapan!$B13,AND(Tetapan!$C13&lt;&gt;"",P$28&gt;Tetapan!$C13),Tetapan!$D13=0),"–",IF(SUMPRODUCT((Transaksi!$C$2:$C$2001=$A37)*(Transaksi!$N$2:$N$2001&lt;=P$28)*(Transaksi!$O$2:$O$2001&gt;=P$28)*(Transaksi!$Q$2:$Q$2001&gt;=Tetapan!$D13-0.01))&gt;0,"✓",IF(SUMPRODUCT((Transaksi!$C$2:$C$2001=$A37)*(Transaksi!$N$2:$N$2001&lt;=P$28)*(Transaksi!$O$2:$O$2001&gt;=P$28)*(Transaksi!$Q$2:$Q$2001&gt;0))&gt;0,"½",IF(P$28&gt;TODAY(),"·","✗")))))</f>
        <v/>
      </c>
      <c r="Q37" s="42">
        <f>IF($A37="","",IF(OR(Q$28&lt;Tetapan!$B13,AND(Tetapan!$C13&lt;&gt;"",Q$28&gt;Tetapan!$C13),Tetapan!$D13=0),"–",IF(SUMPRODUCT((Transaksi!$C$2:$C$2001=$A37)*(Transaksi!$N$2:$N$2001&lt;=Q$28)*(Transaksi!$O$2:$O$2001&gt;=Q$28)*(Transaksi!$Q$2:$Q$2001&gt;=Tetapan!$D13-0.01))&gt;0,"✓",IF(SUMPRODUCT((Transaksi!$C$2:$C$2001=$A37)*(Transaksi!$N$2:$N$2001&lt;=Q$28)*(Transaksi!$O$2:$O$2001&gt;=Q$28)*(Transaksi!$Q$2:$Q$2001&gt;0))&gt;0,"½",IF(Q$28&gt;TODAY(),"·","✗")))))</f>
        <v/>
      </c>
      <c r="R37" s="42">
        <f>IF($A37="","",IF(OR(R$28&lt;Tetapan!$B13,AND(Tetapan!$C13&lt;&gt;"",R$28&gt;Tetapan!$C13),Tetapan!$D13=0),"–",IF(SUMPRODUCT((Transaksi!$C$2:$C$2001=$A37)*(Transaksi!$N$2:$N$2001&lt;=R$28)*(Transaksi!$O$2:$O$2001&gt;=R$28)*(Transaksi!$Q$2:$Q$2001&gt;=Tetapan!$D13-0.01))&gt;0,"✓",IF(SUMPRODUCT((Transaksi!$C$2:$C$2001=$A37)*(Transaksi!$N$2:$N$2001&lt;=R$28)*(Transaksi!$O$2:$O$2001&gt;=R$28)*(Transaksi!$Q$2:$Q$2001&gt;0))&gt;0,"½",IF(R$28&gt;TODAY(),"·","✗")))))</f>
        <v/>
      </c>
      <c r="S37" s="42">
        <f>IF($A37="","",IF(OR(S$28&lt;Tetapan!$B13,AND(Tetapan!$C13&lt;&gt;"",S$28&gt;Tetapan!$C13),Tetapan!$D13=0),"–",IF(SUMPRODUCT((Transaksi!$C$2:$C$2001=$A37)*(Transaksi!$N$2:$N$2001&lt;=S$28)*(Transaksi!$O$2:$O$2001&gt;=S$28)*(Transaksi!$Q$2:$Q$2001&gt;=Tetapan!$D13-0.01))&gt;0,"✓",IF(SUMPRODUCT((Transaksi!$C$2:$C$2001=$A37)*(Transaksi!$N$2:$N$2001&lt;=S$28)*(Transaksi!$O$2:$O$2001&gt;=S$28)*(Transaksi!$Q$2:$Q$2001&gt;0))&gt;0,"½",IF(S$28&gt;TODAY(),"·","✗")))))</f>
        <v/>
      </c>
      <c r="T37" s="42">
        <f>IF($A37="","",IF(OR(T$28&lt;Tetapan!$B13,AND(Tetapan!$C13&lt;&gt;"",T$28&gt;Tetapan!$C13),Tetapan!$D13=0),"–",IF(SUMPRODUCT((Transaksi!$C$2:$C$2001=$A37)*(Transaksi!$N$2:$N$2001&lt;=T$28)*(Transaksi!$O$2:$O$2001&gt;=T$28)*(Transaksi!$Q$2:$Q$2001&gt;=Tetapan!$D13-0.01))&gt;0,"✓",IF(SUMPRODUCT((Transaksi!$C$2:$C$2001=$A37)*(Transaksi!$N$2:$N$2001&lt;=T$28)*(Transaksi!$O$2:$O$2001&gt;=T$28)*(Transaksi!$Q$2:$Q$2001&gt;0))&gt;0,"½",IF(T$28&gt;TODAY(),"·","✗")))))</f>
        <v/>
      </c>
      <c r="W37" s="12">
        <f>IF(B37="✗",TEXT(B$28,"mmm yy")&amp;", ",IF(B37="½",TEXT(B$28,"mmm yy")&amp;" (separa), ",""))&amp;IF(C37="✗",TEXT(C$28,"mmm yy")&amp;", ",IF(C37="½",TEXT(C$28,"mmm yy")&amp;" (separa), ",""))&amp;IF(D37="✗",TEXT(D$28,"mmm yy")&amp;", ",IF(D37="½",TEXT(D$28,"mmm yy")&amp;" (separa), ",""))&amp;IF(E37="✗",TEXT(E$28,"mmm yy")&amp;", ",IF(E37="½",TEXT(E$28,"mmm yy")&amp;" (separa), ",""))&amp;IF(F37="✗",TEXT(F$28,"mmm yy")&amp;", ",IF(F37="½",TEXT(F$28,"mmm yy")&amp;" (separa), ",""))&amp;IF(G37="✗",TEXT(G$28,"mmm yy")&amp;", ",IF(G37="½",TEXT(G$28,"mmm yy")&amp;" (separa), ",""))&amp;IF(H37="✗",TEXT(H$28,"mmm yy")&amp;", ",IF(H37="½",TEXT(H$28,"mmm yy")&amp;" (separa), ",""))&amp;IF(I37="✗",TEXT(I$28,"mmm yy")&amp;", ",IF(I37="½",TEXT(I$28,"mmm yy")&amp;" (separa), ",""))&amp;IF(J37="✗",TEXT(J$28,"mmm yy")&amp;", ",IF(J37="½",TEXT(J$28,"mmm yy")&amp;" (separa), ",""))&amp;IF(K37="✗",TEXT(K$28,"mmm yy")&amp;", ",IF(K37="½",TEXT(K$28,"mmm yy")&amp;" (separa), ",""))&amp;IF(L37="✗",TEXT(L$28,"mmm yy")&amp;", ",IF(L37="½",TEXT(L$28,"mmm yy")&amp;" (separa), ",""))&amp;IF(M37="✗",TEXT(M$28,"mmm yy")&amp;", ",IF(M37="½",TEXT(M$28,"mmm yy")&amp;" (separa), ",""))&amp;IF(N37="✗",TEXT(N$28,"mmm yy")&amp;", ",IF(N37="½",TEXT(N$28,"mmm yy")&amp;" (separa), ",""))&amp;IF(O37="✗",TEXT(O$28,"mmm yy")&amp;", ",IF(O37="½",TEXT(O$28,"mmm yy")&amp;" (separa), ",""))&amp;IF(P37="✗",TEXT(P$28,"mmm yy")&amp;", ",IF(P37="½",TEXT(P$28,"mmm yy")&amp;" (separa), ",""))&amp;IF(Q37="✗",TEXT(Q$28,"mmm yy")&amp;", ",IF(Q37="½",TEXT(Q$28,"mmm yy")&amp;" (separa), ",""))&amp;IF(R37="✗",TEXT(R$28,"mmm yy")&amp;", ",IF(R37="½",TEXT(R$28,"mmm yy")&amp;" (separa), ",""))&amp;IF(S37="✗",TEXT(S$28,"mmm yy")&amp;", ",IF(S37="½",TEXT(S$28,"mmm yy")&amp;" (separa), ",""))&amp;IF(T37="✗",TEXT(T$28,"mmm yy")&amp;", ",IF(T37="½",TEXT(T$28,"mmm yy")&amp;" (separa), ",""))</f>
        <v/>
      </c>
    </row>
    <row r="38">
      <c r="A38" s="41">
        <f>IF(Tetapan!A14="","",Tetapan!A14)</f>
        <v/>
      </c>
      <c r="B38" s="42">
        <f>IF($A38="","",IF(OR(B$28&lt;Tetapan!$B14,AND(Tetapan!$C14&lt;&gt;"",B$28&gt;Tetapan!$C14),Tetapan!$D14=0),"–",IF(SUMPRODUCT((Transaksi!$C$2:$C$2001=$A38)*(Transaksi!$N$2:$N$2001&lt;=B$28)*(Transaksi!$O$2:$O$2001&gt;=B$28)*(Transaksi!$Q$2:$Q$2001&gt;=Tetapan!$D14-0.01))&gt;0,"✓",IF(SUMPRODUCT((Transaksi!$C$2:$C$2001=$A38)*(Transaksi!$N$2:$N$2001&lt;=B$28)*(Transaksi!$O$2:$O$2001&gt;=B$28)*(Transaksi!$Q$2:$Q$2001&gt;0))&gt;0,"½",IF(B$28&gt;TODAY(),"·","✗")))))</f>
        <v/>
      </c>
      <c r="C38" s="42">
        <f>IF($A38="","",IF(OR(C$28&lt;Tetapan!$B14,AND(Tetapan!$C14&lt;&gt;"",C$28&gt;Tetapan!$C14),Tetapan!$D14=0),"–",IF(SUMPRODUCT((Transaksi!$C$2:$C$2001=$A38)*(Transaksi!$N$2:$N$2001&lt;=C$28)*(Transaksi!$O$2:$O$2001&gt;=C$28)*(Transaksi!$Q$2:$Q$2001&gt;=Tetapan!$D14-0.01))&gt;0,"✓",IF(SUMPRODUCT((Transaksi!$C$2:$C$2001=$A38)*(Transaksi!$N$2:$N$2001&lt;=C$28)*(Transaksi!$O$2:$O$2001&gt;=C$28)*(Transaksi!$Q$2:$Q$2001&gt;0))&gt;0,"½",IF(C$28&gt;TODAY(),"·","✗")))))</f>
        <v/>
      </c>
      <c r="D38" s="42">
        <f>IF($A38="","",IF(OR(D$28&lt;Tetapan!$B14,AND(Tetapan!$C14&lt;&gt;"",D$28&gt;Tetapan!$C14),Tetapan!$D14=0),"–",IF(SUMPRODUCT((Transaksi!$C$2:$C$2001=$A38)*(Transaksi!$N$2:$N$2001&lt;=D$28)*(Transaksi!$O$2:$O$2001&gt;=D$28)*(Transaksi!$Q$2:$Q$2001&gt;=Tetapan!$D14-0.01))&gt;0,"✓",IF(SUMPRODUCT((Transaksi!$C$2:$C$2001=$A38)*(Transaksi!$N$2:$N$2001&lt;=D$28)*(Transaksi!$O$2:$O$2001&gt;=D$28)*(Transaksi!$Q$2:$Q$2001&gt;0))&gt;0,"½",IF(D$28&gt;TODAY(),"·","✗")))))</f>
        <v/>
      </c>
      <c r="E38" s="42">
        <f>IF($A38="","",IF(OR(E$28&lt;Tetapan!$B14,AND(Tetapan!$C14&lt;&gt;"",E$28&gt;Tetapan!$C14),Tetapan!$D14=0),"–",IF(SUMPRODUCT((Transaksi!$C$2:$C$2001=$A38)*(Transaksi!$N$2:$N$2001&lt;=E$28)*(Transaksi!$O$2:$O$2001&gt;=E$28)*(Transaksi!$Q$2:$Q$2001&gt;=Tetapan!$D14-0.01))&gt;0,"✓",IF(SUMPRODUCT((Transaksi!$C$2:$C$2001=$A38)*(Transaksi!$N$2:$N$2001&lt;=E$28)*(Transaksi!$O$2:$O$2001&gt;=E$28)*(Transaksi!$Q$2:$Q$2001&gt;0))&gt;0,"½",IF(E$28&gt;TODAY(),"·","✗")))))</f>
        <v/>
      </c>
      <c r="F38" s="42">
        <f>IF($A38="","",IF(OR(F$28&lt;Tetapan!$B14,AND(Tetapan!$C14&lt;&gt;"",F$28&gt;Tetapan!$C14),Tetapan!$D14=0),"–",IF(SUMPRODUCT((Transaksi!$C$2:$C$2001=$A38)*(Transaksi!$N$2:$N$2001&lt;=F$28)*(Transaksi!$O$2:$O$2001&gt;=F$28)*(Transaksi!$Q$2:$Q$2001&gt;=Tetapan!$D14-0.01))&gt;0,"✓",IF(SUMPRODUCT((Transaksi!$C$2:$C$2001=$A38)*(Transaksi!$N$2:$N$2001&lt;=F$28)*(Transaksi!$O$2:$O$2001&gt;=F$28)*(Transaksi!$Q$2:$Q$2001&gt;0))&gt;0,"½",IF(F$28&gt;TODAY(),"·","✗")))))</f>
        <v/>
      </c>
      <c r="G38" s="42">
        <f>IF($A38="","",IF(OR(G$28&lt;Tetapan!$B14,AND(Tetapan!$C14&lt;&gt;"",G$28&gt;Tetapan!$C14),Tetapan!$D14=0),"–",IF(SUMPRODUCT((Transaksi!$C$2:$C$2001=$A38)*(Transaksi!$N$2:$N$2001&lt;=G$28)*(Transaksi!$O$2:$O$2001&gt;=G$28)*(Transaksi!$Q$2:$Q$2001&gt;=Tetapan!$D14-0.01))&gt;0,"✓",IF(SUMPRODUCT((Transaksi!$C$2:$C$2001=$A38)*(Transaksi!$N$2:$N$2001&lt;=G$28)*(Transaksi!$O$2:$O$2001&gt;=G$28)*(Transaksi!$Q$2:$Q$2001&gt;0))&gt;0,"½",IF(G$28&gt;TODAY(),"·","✗")))))</f>
        <v/>
      </c>
      <c r="H38" s="42">
        <f>IF($A38="","",IF(OR(H$28&lt;Tetapan!$B14,AND(Tetapan!$C14&lt;&gt;"",H$28&gt;Tetapan!$C14),Tetapan!$D14=0),"–",IF(SUMPRODUCT((Transaksi!$C$2:$C$2001=$A38)*(Transaksi!$N$2:$N$2001&lt;=H$28)*(Transaksi!$O$2:$O$2001&gt;=H$28)*(Transaksi!$Q$2:$Q$2001&gt;=Tetapan!$D14-0.01))&gt;0,"✓",IF(SUMPRODUCT((Transaksi!$C$2:$C$2001=$A38)*(Transaksi!$N$2:$N$2001&lt;=H$28)*(Transaksi!$O$2:$O$2001&gt;=H$28)*(Transaksi!$Q$2:$Q$2001&gt;0))&gt;0,"½",IF(H$28&gt;TODAY(),"·","✗")))))</f>
        <v/>
      </c>
      <c r="I38" s="42">
        <f>IF($A38="","",IF(OR(I$28&lt;Tetapan!$B14,AND(Tetapan!$C14&lt;&gt;"",I$28&gt;Tetapan!$C14),Tetapan!$D14=0),"–",IF(SUMPRODUCT((Transaksi!$C$2:$C$2001=$A38)*(Transaksi!$N$2:$N$2001&lt;=I$28)*(Transaksi!$O$2:$O$2001&gt;=I$28)*(Transaksi!$Q$2:$Q$2001&gt;=Tetapan!$D14-0.01))&gt;0,"✓",IF(SUMPRODUCT((Transaksi!$C$2:$C$2001=$A38)*(Transaksi!$N$2:$N$2001&lt;=I$28)*(Transaksi!$O$2:$O$2001&gt;=I$28)*(Transaksi!$Q$2:$Q$2001&gt;0))&gt;0,"½",IF(I$28&gt;TODAY(),"·","✗")))))</f>
        <v/>
      </c>
      <c r="J38" s="42">
        <f>IF($A38="","",IF(OR(J$28&lt;Tetapan!$B14,AND(Tetapan!$C14&lt;&gt;"",J$28&gt;Tetapan!$C14),Tetapan!$D14=0),"–",IF(SUMPRODUCT((Transaksi!$C$2:$C$2001=$A38)*(Transaksi!$N$2:$N$2001&lt;=J$28)*(Transaksi!$O$2:$O$2001&gt;=J$28)*(Transaksi!$Q$2:$Q$2001&gt;=Tetapan!$D14-0.01))&gt;0,"✓",IF(SUMPRODUCT((Transaksi!$C$2:$C$2001=$A38)*(Transaksi!$N$2:$N$2001&lt;=J$28)*(Transaksi!$O$2:$O$2001&gt;=J$28)*(Transaksi!$Q$2:$Q$2001&gt;0))&gt;0,"½",IF(J$28&gt;TODAY(),"·","✗")))))</f>
        <v/>
      </c>
      <c r="K38" s="42">
        <f>IF($A38="","",IF(OR(K$28&lt;Tetapan!$B14,AND(Tetapan!$C14&lt;&gt;"",K$28&gt;Tetapan!$C14),Tetapan!$D14=0),"–",IF(SUMPRODUCT((Transaksi!$C$2:$C$2001=$A38)*(Transaksi!$N$2:$N$2001&lt;=K$28)*(Transaksi!$O$2:$O$2001&gt;=K$28)*(Transaksi!$Q$2:$Q$2001&gt;=Tetapan!$D14-0.01))&gt;0,"✓",IF(SUMPRODUCT((Transaksi!$C$2:$C$2001=$A38)*(Transaksi!$N$2:$N$2001&lt;=K$28)*(Transaksi!$O$2:$O$2001&gt;=K$28)*(Transaksi!$Q$2:$Q$2001&gt;0))&gt;0,"½",IF(K$28&gt;TODAY(),"·","✗")))))</f>
        <v/>
      </c>
      <c r="L38" s="42">
        <f>IF($A38="","",IF(OR(L$28&lt;Tetapan!$B14,AND(Tetapan!$C14&lt;&gt;"",L$28&gt;Tetapan!$C14),Tetapan!$D14=0),"–",IF(SUMPRODUCT((Transaksi!$C$2:$C$2001=$A38)*(Transaksi!$N$2:$N$2001&lt;=L$28)*(Transaksi!$O$2:$O$2001&gt;=L$28)*(Transaksi!$Q$2:$Q$2001&gt;=Tetapan!$D14-0.01))&gt;0,"✓",IF(SUMPRODUCT((Transaksi!$C$2:$C$2001=$A38)*(Transaksi!$N$2:$N$2001&lt;=L$28)*(Transaksi!$O$2:$O$2001&gt;=L$28)*(Transaksi!$Q$2:$Q$2001&gt;0))&gt;0,"½",IF(L$28&gt;TODAY(),"·","✗")))))</f>
        <v/>
      </c>
      <c r="M38" s="42">
        <f>IF($A38="","",IF(OR(M$28&lt;Tetapan!$B14,AND(Tetapan!$C14&lt;&gt;"",M$28&gt;Tetapan!$C14),Tetapan!$D14=0),"–",IF(SUMPRODUCT((Transaksi!$C$2:$C$2001=$A38)*(Transaksi!$N$2:$N$2001&lt;=M$28)*(Transaksi!$O$2:$O$2001&gt;=M$28)*(Transaksi!$Q$2:$Q$2001&gt;=Tetapan!$D14-0.01))&gt;0,"✓",IF(SUMPRODUCT((Transaksi!$C$2:$C$2001=$A38)*(Transaksi!$N$2:$N$2001&lt;=M$28)*(Transaksi!$O$2:$O$2001&gt;=M$28)*(Transaksi!$Q$2:$Q$2001&gt;0))&gt;0,"½",IF(M$28&gt;TODAY(),"·","✗")))))</f>
        <v/>
      </c>
      <c r="N38" s="42">
        <f>IF($A38="","",IF(OR(N$28&lt;Tetapan!$B14,AND(Tetapan!$C14&lt;&gt;"",N$28&gt;Tetapan!$C14),Tetapan!$D14=0),"–",IF(SUMPRODUCT((Transaksi!$C$2:$C$2001=$A38)*(Transaksi!$N$2:$N$2001&lt;=N$28)*(Transaksi!$O$2:$O$2001&gt;=N$28)*(Transaksi!$Q$2:$Q$2001&gt;=Tetapan!$D14-0.01))&gt;0,"✓",IF(SUMPRODUCT((Transaksi!$C$2:$C$2001=$A38)*(Transaksi!$N$2:$N$2001&lt;=N$28)*(Transaksi!$O$2:$O$2001&gt;=N$28)*(Transaksi!$Q$2:$Q$2001&gt;0))&gt;0,"½",IF(N$28&gt;TODAY(),"·","✗")))))</f>
        <v/>
      </c>
      <c r="O38" s="42">
        <f>IF($A38="","",IF(OR(O$28&lt;Tetapan!$B14,AND(Tetapan!$C14&lt;&gt;"",O$28&gt;Tetapan!$C14),Tetapan!$D14=0),"–",IF(SUMPRODUCT((Transaksi!$C$2:$C$2001=$A38)*(Transaksi!$N$2:$N$2001&lt;=O$28)*(Transaksi!$O$2:$O$2001&gt;=O$28)*(Transaksi!$Q$2:$Q$2001&gt;=Tetapan!$D14-0.01))&gt;0,"✓",IF(SUMPRODUCT((Transaksi!$C$2:$C$2001=$A38)*(Transaksi!$N$2:$N$2001&lt;=O$28)*(Transaksi!$O$2:$O$2001&gt;=O$28)*(Transaksi!$Q$2:$Q$2001&gt;0))&gt;0,"½",IF(O$28&gt;TODAY(),"·","✗")))))</f>
        <v/>
      </c>
      <c r="P38" s="42">
        <f>IF($A38="","",IF(OR(P$28&lt;Tetapan!$B14,AND(Tetapan!$C14&lt;&gt;"",P$28&gt;Tetapan!$C14),Tetapan!$D14=0),"–",IF(SUMPRODUCT((Transaksi!$C$2:$C$2001=$A38)*(Transaksi!$N$2:$N$2001&lt;=P$28)*(Transaksi!$O$2:$O$2001&gt;=P$28)*(Transaksi!$Q$2:$Q$2001&gt;=Tetapan!$D14-0.01))&gt;0,"✓",IF(SUMPRODUCT((Transaksi!$C$2:$C$2001=$A38)*(Transaksi!$N$2:$N$2001&lt;=P$28)*(Transaksi!$O$2:$O$2001&gt;=P$28)*(Transaksi!$Q$2:$Q$2001&gt;0))&gt;0,"½",IF(P$28&gt;TODAY(),"·","✗")))))</f>
        <v/>
      </c>
      <c r="Q38" s="42">
        <f>IF($A38="","",IF(OR(Q$28&lt;Tetapan!$B14,AND(Tetapan!$C14&lt;&gt;"",Q$28&gt;Tetapan!$C14),Tetapan!$D14=0),"–",IF(SUMPRODUCT((Transaksi!$C$2:$C$2001=$A38)*(Transaksi!$N$2:$N$2001&lt;=Q$28)*(Transaksi!$O$2:$O$2001&gt;=Q$28)*(Transaksi!$Q$2:$Q$2001&gt;=Tetapan!$D14-0.01))&gt;0,"✓",IF(SUMPRODUCT((Transaksi!$C$2:$C$2001=$A38)*(Transaksi!$N$2:$N$2001&lt;=Q$28)*(Transaksi!$O$2:$O$2001&gt;=Q$28)*(Transaksi!$Q$2:$Q$2001&gt;0))&gt;0,"½",IF(Q$28&gt;TODAY(),"·","✗")))))</f>
        <v/>
      </c>
      <c r="R38" s="42">
        <f>IF($A38="","",IF(OR(R$28&lt;Tetapan!$B14,AND(Tetapan!$C14&lt;&gt;"",R$28&gt;Tetapan!$C14),Tetapan!$D14=0),"–",IF(SUMPRODUCT((Transaksi!$C$2:$C$2001=$A38)*(Transaksi!$N$2:$N$2001&lt;=R$28)*(Transaksi!$O$2:$O$2001&gt;=R$28)*(Transaksi!$Q$2:$Q$2001&gt;=Tetapan!$D14-0.01))&gt;0,"✓",IF(SUMPRODUCT((Transaksi!$C$2:$C$2001=$A38)*(Transaksi!$N$2:$N$2001&lt;=R$28)*(Transaksi!$O$2:$O$2001&gt;=R$28)*(Transaksi!$Q$2:$Q$2001&gt;0))&gt;0,"½",IF(R$28&gt;TODAY(),"·","✗")))))</f>
        <v/>
      </c>
      <c r="S38" s="42">
        <f>IF($A38="","",IF(OR(S$28&lt;Tetapan!$B14,AND(Tetapan!$C14&lt;&gt;"",S$28&gt;Tetapan!$C14),Tetapan!$D14=0),"–",IF(SUMPRODUCT((Transaksi!$C$2:$C$2001=$A38)*(Transaksi!$N$2:$N$2001&lt;=S$28)*(Transaksi!$O$2:$O$2001&gt;=S$28)*(Transaksi!$Q$2:$Q$2001&gt;=Tetapan!$D14-0.01))&gt;0,"✓",IF(SUMPRODUCT((Transaksi!$C$2:$C$2001=$A38)*(Transaksi!$N$2:$N$2001&lt;=S$28)*(Transaksi!$O$2:$O$2001&gt;=S$28)*(Transaksi!$Q$2:$Q$2001&gt;0))&gt;0,"½",IF(S$28&gt;TODAY(),"·","✗")))))</f>
        <v/>
      </c>
      <c r="T38" s="42">
        <f>IF($A38="","",IF(OR(T$28&lt;Tetapan!$B14,AND(Tetapan!$C14&lt;&gt;"",T$28&gt;Tetapan!$C14),Tetapan!$D14=0),"–",IF(SUMPRODUCT((Transaksi!$C$2:$C$2001=$A38)*(Transaksi!$N$2:$N$2001&lt;=T$28)*(Transaksi!$O$2:$O$2001&gt;=T$28)*(Transaksi!$Q$2:$Q$2001&gt;=Tetapan!$D14-0.01))&gt;0,"✓",IF(SUMPRODUCT((Transaksi!$C$2:$C$2001=$A38)*(Transaksi!$N$2:$N$2001&lt;=T$28)*(Transaksi!$O$2:$O$2001&gt;=T$28)*(Transaksi!$Q$2:$Q$2001&gt;0))&gt;0,"½",IF(T$28&gt;TODAY(),"·","✗")))))</f>
        <v/>
      </c>
      <c r="W38" s="12">
        <f>IF(B38="✗",TEXT(B$28,"mmm yy")&amp;", ",IF(B38="½",TEXT(B$28,"mmm yy")&amp;" (separa), ",""))&amp;IF(C38="✗",TEXT(C$28,"mmm yy")&amp;", ",IF(C38="½",TEXT(C$28,"mmm yy")&amp;" (separa), ",""))&amp;IF(D38="✗",TEXT(D$28,"mmm yy")&amp;", ",IF(D38="½",TEXT(D$28,"mmm yy")&amp;" (separa), ",""))&amp;IF(E38="✗",TEXT(E$28,"mmm yy")&amp;", ",IF(E38="½",TEXT(E$28,"mmm yy")&amp;" (separa), ",""))&amp;IF(F38="✗",TEXT(F$28,"mmm yy")&amp;", ",IF(F38="½",TEXT(F$28,"mmm yy")&amp;" (separa), ",""))&amp;IF(G38="✗",TEXT(G$28,"mmm yy")&amp;", ",IF(G38="½",TEXT(G$28,"mmm yy")&amp;" (separa), ",""))&amp;IF(H38="✗",TEXT(H$28,"mmm yy")&amp;", ",IF(H38="½",TEXT(H$28,"mmm yy")&amp;" (separa), ",""))&amp;IF(I38="✗",TEXT(I$28,"mmm yy")&amp;", ",IF(I38="½",TEXT(I$28,"mmm yy")&amp;" (separa), ",""))&amp;IF(J38="✗",TEXT(J$28,"mmm yy")&amp;", ",IF(J38="½",TEXT(J$28,"mmm yy")&amp;" (separa), ",""))&amp;IF(K38="✗",TEXT(K$28,"mmm yy")&amp;", ",IF(K38="½",TEXT(K$28,"mmm yy")&amp;" (separa), ",""))&amp;IF(L38="✗",TEXT(L$28,"mmm yy")&amp;", ",IF(L38="½",TEXT(L$28,"mmm yy")&amp;" (separa), ",""))&amp;IF(M38="✗",TEXT(M$28,"mmm yy")&amp;", ",IF(M38="½",TEXT(M$28,"mmm yy")&amp;" (separa), ",""))&amp;IF(N38="✗",TEXT(N$28,"mmm yy")&amp;", ",IF(N38="½",TEXT(N$28,"mmm yy")&amp;" (separa), ",""))&amp;IF(O38="✗",TEXT(O$28,"mmm yy")&amp;", ",IF(O38="½",TEXT(O$28,"mmm yy")&amp;" (separa), ",""))&amp;IF(P38="✗",TEXT(P$28,"mmm yy")&amp;", ",IF(P38="½",TEXT(P$28,"mmm yy")&amp;" (separa), ",""))&amp;IF(Q38="✗",TEXT(Q$28,"mmm yy")&amp;", ",IF(Q38="½",TEXT(Q$28,"mmm yy")&amp;" (separa), ",""))&amp;IF(R38="✗",TEXT(R$28,"mmm yy")&amp;", ",IF(R38="½",TEXT(R$28,"mmm yy")&amp;" (separa), ",""))&amp;IF(S38="✗",TEXT(S$28,"mmm yy")&amp;", ",IF(S38="½",TEXT(S$28,"mmm yy")&amp;" (separa), ",""))&amp;IF(T38="✗",TEXT(T$28,"mmm yy")&amp;", ",IF(T38="½",TEXT(T$28,"mmm yy")&amp;" (separa), ",""))</f>
        <v/>
      </c>
    </row>
    <row r="39">
      <c r="A39" s="41">
        <f>IF(Tetapan!A15="","",Tetapan!A15)</f>
        <v/>
      </c>
      <c r="B39" s="42">
        <f>IF($A39="","",IF(OR(B$28&lt;Tetapan!$B15,AND(Tetapan!$C15&lt;&gt;"",B$28&gt;Tetapan!$C15),Tetapan!$D15=0),"–",IF(SUMPRODUCT((Transaksi!$C$2:$C$2001=$A39)*(Transaksi!$N$2:$N$2001&lt;=B$28)*(Transaksi!$O$2:$O$2001&gt;=B$28)*(Transaksi!$Q$2:$Q$2001&gt;=Tetapan!$D15-0.01))&gt;0,"✓",IF(SUMPRODUCT((Transaksi!$C$2:$C$2001=$A39)*(Transaksi!$N$2:$N$2001&lt;=B$28)*(Transaksi!$O$2:$O$2001&gt;=B$28)*(Transaksi!$Q$2:$Q$2001&gt;0))&gt;0,"½",IF(B$28&gt;TODAY(),"·","✗")))))</f>
        <v/>
      </c>
      <c r="C39" s="42">
        <f>IF($A39="","",IF(OR(C$28&lt;Tetapan!$B15,AND(Tetapan!$C15&lt;&gt;"",C$28&gt;Tetapan!$C15),Tetapan!$D15=0),"–",IF(SUMPRODUCT((Transaksi!$C$2:$C$2001=$A39)*(Transaksi!$N$2:$N$2001&lt;=C$28)*(Transaksi!$O$2:$O$2001&gt;=C$28)*(Transaksi!$Q$2:$Q$2001&gt;=Tetapan!$D15-0.01))&gt;0,"✓",IF(SUMPRODUCT((Transaksi!$C$2:$C$2001=$A39)*(Transaksi!$N$2:$N$2001&lt;=C$28)*(Transaksi!$O$2:$O$2001&gt;=C$28)*(Transaksi!$Q$2:$Q$2001&gt;0))&gt;0,"½",IF(C$28&gt;TODAY(),"·","✗")))))</f>
        <v/>
      </c>
      <c r="D39" s="42">
        <f>IF($A39="","",IF(OR(D$28&lt;Tetapan!$B15,AND(Tetapan!$C15&lt;&gt;"",D$28&gt;Tetapan!$C15),Tetapan!$D15=0),"–",IF(SUMPRODUCT((Transaksi!$C$2:$C$2001=$A39)*(Transaksi!$N$2:$N$2001&lt;=D$28)*(Transaksi!$O$2:$O$2001&gt;=D$28)*(Transaksi!$Q$2:$Q$2001&gt;=Tetapan!$D15-0.01))&gt;0,"✓",IF(SUMPRODUCT((Transaksi!$C$2:$C$2001=$A39)*(Transaksi!$N$2:$N$2001&lt;=D$28)*(Transaksi!$O$2:$O$2001&gt;=D$28)*(Transaksi!$Q$2:$Q$2001&gt;0))&gt;0,"½",IF(D$28&gt;TODAY(),"·","✗")))))</f>
        <v/>
      </c>
      <c r="E39" s="42">
        <f>IF($A39="","",IF(OR(E$28&lt;Tetapan!$B15,AND(Tetapan!$C15&lt;&gt;"",E$28&gt;Tetapan!$C15),Tetapan!$D15=0),"–",IF(SUMPRODUCT((Transaksi!$C$2:$C$2001=$A39)*(Transaksi!$N$2:$N$2001&lt;=E$28)*(Transaksi!$O$2:$O$2001&gt;=E$28)*(Transaksi!$Q$2:$Q$2001&gt;=Tetapan!$D15-0.01))&gt;0,"✓",IF(SUMPRODUCT((Transaksi!$C$2:$C$2001=$A39)*(Transaksi!$N$2:$N$2001&lt;=E$28)*(Transaksi!$O$2:$O$2001&gt;=E$28)*(Transaksi!$Q$2:$Q$2001&gt;0))&gt;0,"½",IF(E$28&gt;TODAY(),"·","✗")))))</f>
        <v/>
      </c>
      <c r="F39" s="42">
        <f>IF($A39="","",IF(OR(F$28&lt;Tetapan!$B15,AND(Tetapan!$C15&lt;&gt;"",F$28&gt;Tetapan!$C15),Tetapan!$D15=0),"–",IF(SUMPRODUCT((Transaksi!$C$2:$C$2001=$A39)*(Transaksi!$N$2:$N$2001&lt;=F$28)*(Transaksi!$O$2:$O$2001&gt;=F$28)*(Transaksi!$Q$2:$Q$2001&gt;=Tetapan!$D15-0.01))&gt;0,"✓",IF(SUMPRODUCT((Transaksi!$C$2:$C$2001=$A39)*(Transaksi!$N$2:$N$2001&lt;=F$28)*(Transaksi!$O$2:$O$2001&gt;=F$28)*(Transaksi!$Q$2:$Q$2001&gt;0))&gt;0,"½",IF(F$28&gt;TODAY(),"·","✗")))))</f>
        <v/>
      </c>
      <c r="G39" s="42">
        <f>IF($A39="","",IF(OR(G$28&lt;Tetapan!$B15,AND(Tetapan!$C15&lt;&gt;"",G$28&gt;Tetapan!$C15),Tetapan!$D15=0),"–",IF(SUMPRODUCT((Transaksi!$C$2:$C$2001=$A39)*(Transaksi!$N$2:$N$2001&lt;=G$28)*(Transaksi!$O$2:$O$2001&gt;=G$28)*(Transaksi!$Q$2:$Q$2001&gt;=Tetapan!$D15-0.01))&gt;0,"✓",IF(SUMPRODUCT((Transaksi!$C$2:$C$2001=$A39)*(Transaksi!$N$2:$N$2001&lt;=G$28)*(Transaksi!$O$2:$O$2001&gt;=G$28)*(Transaksi!$Q$2:$Q$2001&gt;0))&gt;0,"½",IF(G$28&gt;TODAY(),"·","✗")))))</f>
        <v/>
      </c>
      <c r="H39" s="42">
        <f>IF($A39="","",IF(OR(H$28&lt;Tetapan!$B15,AND(Tetapan!$C15&lt;&gt;"",H$28&gt;Tetapan!$C15),Tetapan!$D15=0),"–",IF(SUMPRODUCT((Transaksi!$C$2:$C$2001=$A39)*(Transaksi!$N$2:$N$2001&lt;=H$28)*(Transaksi!$O$2:$O$2001&gt;=H$28)*(Transaksi!$Q$2:$Q$2001&gt;=Tetapan!$D15-0.01))&gt;0,"✓",IF(SUMPRODUCT((Transaksi!$C$2:$C$2001=$A39)*(Transaksi!$N$2:$N$2001&lt;=H$28)*(Transaksi!$O$2:$O$2001&gt;=H$28)*(Transaksi!$Q$2:$Q$2001&gt;0))&gt;0,"½",IF(H$28&gt;TODAY(),"·","✗")))))</f>
        <v/>
      </c>
      <c r="I39" s="42">
        <f>IF($A39="","",IF(OR(I$28&lt;Tetapan!$B15,AND(Tetapan!$C15&lt;&gt;"",I$28&gt;Tetapan!$C15),Tetapan!$D15=0),"–",IF(SUMPRODUCT((Transaksi!$C$2:$C$2001=$A39)*(Transaksi!$N$2:$N$2001&lt;=I$28)*(Transaksi!$O$2:$O$2001&gt;=I$28)*(Transaksi!$Q$2:$Q$2001&gt;=Tetapan!$D15-0.01))&gt;0,"✓",IF(SUMPRODUCT((Transaksi!$C$2:$C$2001=$A39)*(Transaksi!$N$2:$N$2001&lt;=I$28)*(Transaksi!$O$2:$O$2001&gt;=I$28)*(Transaksi!$Q$2:$Q$2001&gt;0))&gt;0,"½",IF(I$28&gt;TODAY(),"·","✗")))))</f>
        <v/>
      </c>
      <c r="J39" s="42">
        <f>IF($A39="","",IF(OR(J$28&lt;Tetapan!$B15,AND(Tetapan!$C15&lt;&gt;"",J$28&gt;Tetapan!$C15),Tetapan!$D15=0),"–",IF(SUMPRODUCT((Transaksi!$C$2:$C$2001=$A39)*(Transaksi!$N$2:$N$2001&lt;=J$28)*(Transaksi!$O$2:$O$2001&gt;=J$28)*(Transaksi!$Q$2:$Q$2001&gt;=Tetapan!$D15-0.01))&gt;0,"✓",IF(SUMPRODUCT((Transaksi!$C$2:$C$2001=$A39)*(Transaksi!$N$2:$N$2001&lt;=J$28)*(Transaksi!$O$2:$O$2001&gt;=J$28)*(Transaksi!$Q$2:$Q$2001&gt;0))&gt;0,"½",IF(J$28&gt;TODAY(),"·","✗")))))</f>
        <v/>
      </c>
      <c r="K39" s="42">
        <f>IF($A39="","",IF(OR(K$28&lt;Tetapan!$B15,AND(Tetapan!$C15&lt;&gt;"",K$28&gt;Tetapan!$C15),Tetapan!$D15=0),"–",IF(SUMPRODUCT((Transaksi!$C$2:$C$2001=$A39)*(Transaksi!$N$2:$N$2001&lt;=K$28)*(Transaksi!$O$2:$O$2001&gt;=K$28)*(Transaksi!$Q$2:$Q$2001&gt;=Tetapan!$D15-0.01))&gt;0,"✓",IF(SUMPRODUCT((Transaksi!$C$2:$C$2001=$A39)*(Transaksi!$N$2:$N$2001&lt;=K$28)*(Transaksi!$O$2:$O$2001&gt;=K$28)*(Transaksi!$Q$2:$Q$2001&gt;0))&gt;0,"½",IF(K$28&gt;TODAY(),"·","✗")))))</f>
        <v/>
      </c>
      <c r="L39" s="42">
        <f>IF($A39="","",IF(OR(L$28&lt;Tetapan!$B15,AND(Tetapan!$C15&lt;&gt;"",L$28&gt;Tetapan!$C15),Tetapan!$D15=0),"–",IF(SUMPRODUCT((Transaksi!$C$2:$C$2001=$A39)*(Transaksi!$N$2:$N$2001&lt;=L$28)*(Transaksi!$O$2:$O$2001&gt;=L$28)*(Transaksi!$Q$2:$Q$2001&gt;=Tetapan!$D15-0.01))&gt;0,"✓",IF(SUMPRODUCT((Transaksi!$C$2:$C$2001=$A39)*(Transaksi!$N$2:$N$2001&lt;=L$28)*(Transaksi!$O$2:$O$2001&gt;=L$28)*(Transaksi!$Q$2:$Q$2001&gt;0))&gt;0,"½",IF(L$28&gt;TODAY(),"·","✗")))))</f>
        <v/>
      </c>
      <c r="M39" s="42">
        <f>IF($A39="","",IF(OR(M$28&lt;Tetapan!$B15,AND(Tetapan!$C15&lt;&gt;"",M$28&gt;Tetapan!$C15),Tetapan!$D15=0),"–",IF(SUMPRODUCT((Transaksi!$C$2:$C$2001=$A39)*(Transaksi!$N$2:$N$2001&lt;=M$28)*(Transaksi!$O$2:$O$2001&gt;=M$28)*(Transaksi!$Q$2:$Q$2001&gt;=Tetapan!$D15-0.01))&gt;0,"✓",IF(SUMPRODUCT((Transaksi!$C$2:$C$2001=$A39)*(Transaksi!$N$2:$N$2001&lt;=M$28)*(Transaksi!$O$2:$O$2001&gt;=M$28)*(Transaksi!$Q$2:$Q$2001&gt;0))&gt;0,"½",IF(M$28&gt;TODAY(),"·","✗")))))</f>
        <v/>
      </c>
      <c r="N39" s="42">
        <f>IF($A39="","",IF(OR(N$28&lt;Tetapan!$B15,AND(Tetapan!$C15&lt;&gt;"",N$28&gt;Tetapan!$C15),Tetapan!$D15=0),"–",IF(SUMPRODUCT((Transaksi!$C$2:$C$2001=$A39)*(Transaksi!$N$2:$N$2001&lt;=N$28)*(Transaksi!$O$2:$O$2001&gt;=N$28)*(Transaksi!$Q$2:$Q$2001&gt;=Tetapan!$D15-0.01))&gt;0,"✓",IF(SUMPRODUCT((Transaksi!$C$2:$C$2001=$A39)*(Transaksi!$N$2:$N$2001&lt;=N$28)*(Transaksi!$O$2:$O$2001&gt;=N$28)*(Transaksi!$Q$2:$Q$2001&gt;0))&gt;0,"½",IF(N$28&gt;TODAY(),"·","✗")))))</f>
        <v/>
      </c>
      <c r="O39" s="42">
        <f>IF($A39="","",IF(OR(O$28&lt;Tetapan!$B15,AND(Tetapan!$C15&lt;&gt;"",O$28&gt;Tetapan!$C15),Tetapan!$D15=0),"–",IF(SUMPRODUCT((Transaksi!$C$2:$C$2001=$A39)*(Transaksi!$N$2:$N$2001&lt;=O$28)*(Transaksi!$O$2:$O$2001&gt;=O$28)*(Transaksi!$Q$2:$Q$2001&gt;=Tetapan!$D15-0.01))&gt;0,"✓",IF(SUMPRODUCT((Transaksi!$C$2:$C$2001=$A39)*(Transaksi!$N$2:$N$2001&lt;=O$28)*(Transaksi!$O$2:$O$2001&gt;=O$28)*(Transaksi!$Q$2:$Q$2001&gt;0))&gt;0,"½",IF(O$28&gt;TODAY(),"·","✗")))))</f>
        <v/>
      </c>
      <c r="P39" s="42">
        <f>IF($A39="","",IF(OR(P$28&lt;Tetapan!$B15,AND(Tetapan!$C15&lt;&gt;"",P$28&gt;Tetapan!$C15),Tetapan!$D15=0),"–",IF(SUMPRODUCT((Transaksi!$C$2:$C$2001=$A39)*(Transaksi!$N$2:$N$2001&lt;=P$28)*(Transaksi!$O$2:$O$2001&gt;=P$28)*(Transaksi!$Q$2:$Q$2001&gt;=Tetapan!$D15-0.01))&gt;0,"✓",IF(SUMPRODUCT((Transaksi!$C$2:$C$2001=$A39)*(Transaksi!$N$2:$N$2001&lt;=P$28)*(Transaksi!$O$2:$O$2001&gt;=P$28)*(Transaksi!$Q$2:$Q$2001&gt;0))&gt;0,"½",IF(P$28&gt;TODAY(),"·","✗")))))</f>
        <v/>
      </c>
      <c r="Q39" s="42">
        <f>IF($A39="","",IF(OR(Q$28&lt;Tetapan!$B15,AND(Tetapan!$C15&lt;&gt;"",Q$28&gt;Tetapan!$C15),Tetapan!$D15=0),"–",IF(SUMPRODUCT((Transaksi!$C$2:$C$2001=$A39)*(Transaksi!$N$2:$N$2001&lt;=Q$28)*(Transaksi!$O$2:$O$2001&gt;=Q$28)*(Transaksi!$Q$2:$Q$2001&gt;=Tetapan!$D15-0.01))&gt;0,"✓",IF(SUMPRODUCT((Transaksi!$C$2:$C$2001=$A39)*(Transaksi!$N$2:$N$2001&lt;=Q$28)*(Transaksi!$O$2:$O$2001&gt;=Q$28)*(Transaksi!$Q$2:$Q$2001&gt;0))&gt;0,"½",IF(Q$28&gt;TODAY(),"·","✗")))))</f>
        <v/>
      </c>
      <c r="R39" s="42">
        <f>IF($A39="","",IF(OR(R$28&lt;Tetapan!$B15,AND(Tetapan!$C15&lt;&gt;"",R$28&gt;Tetapan!$C15),Tetapan!$D15=0),"–",IF(SUMPRODUCT((Transaksi!$C$2:$C$2001=$A39)*(Transaksi!$N$2:$N$2001&lt;=R$28)*(Transaksi!$O$2:$O$2001&gt;=R$28)*(Transaksi!$Q$2:$Q$2001&gt;=Tetapan!$D15-0.01))&gt;0,"✓",IF(SUMPRODUCT((Transaksi!$C$2:$C$2001=$A39)*(Transaksi!$N$2:$N$2001&lt;=R$28)*(Transaksi!$O$2:$O$2001&gt;=R$28)*(Transaksi!$Q$2:$Q$2001&gt;0))&gt;0,"½",IF(R$28&gt;TODAY(),"·","✗")))))</f>
        <v/>
      </c>
      <c r="S39" s="42">
        <f>IF($A39="","",IF(OR(S$28&lt;Tetapan!$B15,AND(Tetapan!$C15&lt;&gt;"",S$28&gt;Tetapan!$C15),Tetapan!$D15=0),"–",IF(SUMPRODUCT((Transaksi!$C$2:$C$2001=$A39)*(Transaksi!$N$2:$N$2001&lt;=S$28)*(Transaksi!$O$2:$O$2001&gt;=S$28)*(Transaksi!$Q$2:$Q$2001&gt;=Tetapan!$D15-0.01))&gt;0,"✓",IF(SUMPRODUCT((Transaksi!$C$2:$C$2001=$A39)*(Transaksi!$N$2:$N$2001&lt;=S$28)*(Transaksi!$O$2:$O$2001&gt;=S$28)*(Transaksi!$Q$2:$Q$2001&gt;0))&gt;0,"½",IF(S$28&gt;TODAY(),"·","✗")))))</f>
        <v/>
      </c>
      <c r="T39" s="42">
        <f>IF($A39="","",IF(OR(T$28&lt;Tetapan!$B15,AND(Tetapan!$C15&lt;&gt;"",T$28&gt;Tetapan!$C15),Tetapan!$D15=0),"–",IF(SUMPRODUCT((Transaksi!$C$2:$C$2001=$A39)*(Transaksi!$N$2:$N$2001&lt;=T$28)*(Transaksi!$O$2:$O$2001&gt;=T$28)*(Transaksi!$Q$2:$Q$2001&gt;=Tetapan!$D15-0.01))&gt;0,"✓",IF(SUMPRODUCT((Transaksi!$C$2:$C$2001=$A39)*(Transaksi!$N$2:$N$2001&lt;=T$28)*(Transaksi!$O$2:$O$2001&gt;=T$28)*(Transaksi!$Q$2:$Q$2001&gt;0))&gt;0,"½",IF(T$28&gt;TODAY(),"·","✗")))))</f>
        <v/>
      </c>
      <c r="W39" s="12">
        <f>IF(B39="✗",TEXT(B$28,"mmm yy")&amp;", ",IF(B39="½",TEXT(B$28,"mmm yy")&amp;" (separa), ",""))&amp;IF(C39="✗",TEXT(C$28,"mmm yy")&amp;", ",IF(C39="½",TEXT(C$28,"mmm yy")&amp;" (separa), ",""))&amp;IF(D39="✗",TEXT(D$28,"mmm yy")&amp;", ",IF(D39="½",TEXT(D$28,"mmm yy")&amp;" (separa), ",""))&amp;IF(E39="✗",TEXT(E$28,"mmm yy")&amp;", ",IF(E39="½",TEXT(E$28,"mmm yy")&amp;" (separa), ",""))&amp;IF(F39="✗",TEXT(F$28,"mmm yy")&amp;", ",IF(F39="½",TEXT(F$28,"mmm yy")&amp;" (separa), ",""))&amp;IF(G39="✗",TEXT(G$28,"mmm yy")&amp;", ",IF(G39="½",TEXT(G$28,"mmm yy")&amp;" (separa), ",""))&amp;IF(H39="✗",TEXT(H$28,"mmm yy")&amp;", ",IF(H39="½",TEXT(H$28,"mmm yy")&amp;" (separa), ",""))&amp;IF(I39="✗",TEXT(I$28,"mmm yy")&amp;", ",IF(I39="½",TEXT(I$28,"mmm yy")&amp;" (separa), ",""))&amp;IF(J39="✗",TEXT(J$28,"mmm yy")&amp;", ",IF(J39="½",TEXT(J$28,"mmm yy")&amp;" (separa), ",""))&amp;IF(K39="✗",TEXT(K$28,"mmm yy")&amp;", ",IF(K39="½",TEXT(K$28,"mmm yy")&amp;" (separa), ",""))&amp;IF(L39="✗",TEXT(L$28,"mmm yy")&amp;", ",IF(L39="½",TEXT(L$28,"mmm yy")&amp;" (separa), ",""))&amp;IF(M39="✗",TEXT(M$28,"mmm yy")&amp;", ",IF(M39="½",TEXT(M$28,"mmm yy")&amp;" (separa), ",""))&amp;IF(N39="✗",TEXT(N$28,"mmm yy")&amp;", ",IF(N39="½",TEXT(N$28,"mmm yy")&amp;" (separa), ",""))&amp;IF(O39="✗",TEXT(O$28,"mmm yy")&amp;", ",IF(O39="½",TEXT(O$28,"mmm yy")&amp;" (separa), ",""))&amp;IF(P39="✗",TEXT(P$28,"mmm yy")&amp;", ",IF(P39="½",TEXT(P$28,"mmm yy")&amp;" (separa), ",""))&amp;IF(Q39="✗",TEXT(Q$28,"mmm yy")&amp;", ",IF(Q39="½",TEXT(Q$28,"mmm yy")&amp;" (separa), ",""))&amp;IF(R39="✗",TEXT(R$28,"mmm yy")&amp;", ",IF(R39="½",TEXT(R$28,"mmm yy")&amp;" (separa), ",""))&amp;IF(S39="✗",TEXT(S$28,"mmm yy")&amp;", ",IF(S39="½",TEXT(S$28,"mmm yy")&amp;" (separa), ",""))&amp;IF(T39="✗",TEXT(T$28,"mmm yy")&amp;", ",IF(T39="½",TEXT(T$28,"mmm yy")&amp;" (separa), ",""))</f>
        <v/>
      </c>
    </row>
    <row r="40">
      <c r="A40" s="41">
        <f>IF(Tetapan!A16="","",Tetapan!A16)</f>
        <v/>
      </c>
      <c r="B40" s="42">
        <f>IF($A40="","",IF(OR(B$28&lt;Tetapan!$B16,AND(Tetapan!$C16&lt;&gt;"",B$28&gt;Tetapan!$C16),Tetapan!$D16=0),"–",IF(SUMPRODUCT((Transaksi!$C$2:$C$2001=$A40)*(Transaksi!$N$2:$N$2001&lt;=B$28)*(Transaksi!$O$2:$O$2001&gt;=B$28)*(Transaksi!$Q$2:$Q$2001&gt;=Tetapan!$D16-0.01))&gt;0,"✓",IF(SUMPRODUCT((Transaksi!$C$2:$C$2001=$A40)*(Transaksi!$N$2:$N$2001&lt;=B$28)*(Transaksi!$O$2:$O$2001&gt;=B$28)*(Transaksi!$Q$2:$Q$2001&gt;0))&gt;0,"½",IF(B$28&gt;TODAY(),"·","✗")))))</f>
        <v/>
      </c>
      <c r="C40" s="42">
        <f>IF($A40="","",IF(OR(C$28&lt;Tetapan!$B16,AND(Tetapan!$C16&lt;&gt;"",C$28&gt;Tetapan!$C16),Tetapan!$D16=0),"–",IF(SUMPRODUCT((Transaksi!$C$2:$C$2001=$A40)*(Transaksi!$N$2:$N$2001&lt;=C$28)*(Transaksi!$O$2:$O$2001&gt;=C$28)*(Transaksi!$Q$2:$Q$2001&gt;=Tetapan!$D16-0.01))&gt;0,"✓",IF(SUMPRODUCT((Transaksi!$C$2:$C$2001=$A40)*(Transaksi!$N$2:$N$2001&lt;=C$28)*(Transaksi!$O$2:$O$2001&gt;=C$28)*(Transaksi!$Q$2:$Q$2001&gt;0))&gt;0,"½",IF(C$28&gt;TODAY(),"·","✗")))))</f>
        <v/>
      </c>
      <c r="D40" s="42">
        <f>IF($A40="","",IF(OR(D$28&lt;Tetapan!$B16,AND(Tetapan!$C16&lt;&gt;"",D$28&gt;Tetapan!$C16),Tetapan!$D16=0),"–",IF(SUMPRODUCT((Transaksi!$C$2:$C$2001=$A40)*(Transaksi!$N$2:$N$2001&lt;=D$28)*(Transaksi!$O$2:$O$2001&gt;=D$28)*(Transaksi!$Q$2:$Q$2001&gt;=Tetapan!$D16-0.01))&gt;0,"✓",IF(SUMPRODUCT((Transaksi!$C$2:$C$2001=$A40)*(Transaksi!$N$2:$N$2001&lt;=D$28)*(Transaksi!$O$2:$O$2001&gt;=D$28)*(Transaksi!$Q$2:$Q$2001&gt;0))&gt;0,"½",IF(D$28&gt;TODAY(),"·","✗")))))</f>
        <v/>
      </c>
      <c r="E40" s="42">
        <f>IF($A40="","",IF(OR(E$28&lt;Tetapan!$B16,AND(Tetapan!$C16&lt;&gt;"",E$28&gt;Tetapan!$C16),Tetapan!$D16=0),"–",IF(SUMPRODUCT((Transaksi!$C$2:$C$2001=$A40)*(Transaksi!$N$2:$N$2001&lt;=E$28)*(Transaksi!$O$2:$O$2001&gt;=E$28)*(Transaksi!$Q$2:$Q$2001&gt;=Tetapan!$D16-0.01))&gt;0,"✓",IF(SUMPRODUCT((Transaksi!$C$2:$C$2001=$A40)*(Transaksi!$N$2:$N$2001&lt;=E$28)*(Transaksi!$O$2:$O$2001&gt;=E$28)*(Transaksi!$Q$2:$Q$2001&gt;0))&gt;0,"½",IF(E$28&gt;TODAY(),"·","✗")))))</f>
        <v/>
      </c>
      <c r="F40" s="42">
        <f>IF($A40="","",IF(OR(F$28&lt;Tetapan!$B16,AND(Tetapan!$C16&lt;&gt;"",F$28&gt;Tetapan!$C16),Tetapan!$D16=0),"–",IF(SUMPRODUCT((Transaksi!$C$2:$C$2001=$A40)*(Transaksi!$N$2:$N$2001&lt;=F$28)*(Transaksi!$O$2:$O$2001&gt;=F$28)*(Transaksi!$Q$2:$Q$2001&gt;=Tetapan!$D16-0.01))&gt;0,"✓",IF(SUMPRODUCT((Transaksi!$C$2:$C$2001=$A40)*(Transaksi!$N$2:$N$2001&lt;=F$28)*(Transaksi!$O$2:$O$2001&gt;=F$28)*(Transaksi!$Q$2:$Q$2001&gt;0))&gt;0,"½",IF(F$28&gt;TODAY(),"·","✗")))))</f>
        <v/>
      </c>
      <c r="G40" s="42">
        <f>IF($A40="","",IF(OR(G$28&lt;Tetapan!$B16,AND(Tetapan!$C16&lt;&gt;"",G$28&gt;Tetapan!$C16),Tetapan!$D16=0),"–",IF(SUMPRODUCT((Transaksi!$C$2:$C$2001=$A40)*(Transaksi!$N$2:$N$2001&lt;=G$28)*(Transaksi!$O$2:$O$2001&gt;=G$28)*(Transaksi!$Q$2:$Q$2001&gt;=Tetapan!$D16-0.01))&gt;0,"✓",IF(SUMPRODUCT((Transaksi!$C$2:$C$2001=$A40)*(Transaksi!$N$2:$N$2001&lt;=G$28)*(Transaksi!$O$2:$O$2001&gt;=G$28)*(Transaksi!$Q$2:$Q$2001&gt;0))&gt;0,"½",IF(G$28&gt;TODAY(),"·","✗")))))</f>
        <v/>
      </c>
      <c r="H40" s="42">
        <f>IF($A40="","",IF(OR(H$28&lt;Tetapan!$B16,AND(Tetapan!$C16&lt;&gt;"",H$28&gt;Tetapan!$C16),Tetapan!$D16=0),"–",IF(SUMPRODUCT((Transaksi!$C$2:$C$2001=$A40)*(Transaksi!$N$2:$N$2001&lt;=H$28)*(Transaksi!$O$2:$O$2001&gt;=H$28)*(Transaksi!$Q$2:$Q$2001&gt;=Tetapan!$D16-0.01))&gt;0,"✓",IF(SUMPRODUCT((Transaksi!$C$2:$C$2001=$A40)*(Transaksi!$N$2:$N$2001&lt;=H$28)*(Transaksi!$O$2:$O$2001&gt;=H$28)*(Transaksi!$Q$2:$Q$2001&gt;0))&gt;0,"½",IF(H$28&gt;TODAY(),"·","✗")))))</f>
        <v/>
      </c>
      <c r="I40" s="42">
        <f>IF($A40="","",IF(OR(I$28&lt;Tetapan!$B16,AND(Tetapan!$C16&lt;&gt;"",I$28&gt;Tetapan!$C16),Tetapan!$D16=0),"–",IF(SUMPRODUCT((Transaksi!$C$2:$C$2001=$A40)*(Transaksi!$N$2:$N$2001&lt;=I$28)*(Transaksi!$O$2:$O$2001&gt;=I$28)*(Transaksi!$Q$2:$Q$2001&gt;=Tetapan!$D16-0.01))&gt;0,"✓",IF(SUMPRODUCT((Transaksi!$C$2:$C$2001=$A40)*(Transaksi!$N$2:$N$2001&lt;=I$28)*(Transaksi!$O$2:$O$2001&gt;=I$28)*(Transaksi!$Q$2:$Q$2001&gt;0))&gt;0,"½",IF(I$28&gt;TODAY(),"·","✗")))))</f>
        <v/>
      </c>
      <c r="J40" s="42">
        <f>IF($A40="","",IF(OR(J$28&lt;Tetapan!$B16,AND(Tetapan!$C16&lt;&gt;"",J$28&gt;Tetapan!$C16),Tetapan!$D16=0),"–",IF(SUMPRODUCT((Transaksi!$C$2:$C$2001=$A40)*(Transaksi!$N$2:$N$2001&lt;=J$28)*(Transaksi!$O$2:$O$2001&gt;=J$28)*(Transaksi!$Q$2:$Q$2001&gt;=Tetapan!$D16-0.01))&gt;0,"✓",IF(SUMPRODUCT((Transaksi!$C$2:$C$2001=$A40)*(Transaksi!$N$2:$N$2001&lt;=J$28)*(Transaksi!$O$2:$O$2001&gt;=J$28)*(Transaksi!$Q$2:$Q$2001&gt;0))&gt;0,"½",IF(J$28&gt;TODAY(),"·","✗")))))</f>
        <v/>
      </c>
      <c r="K40" s="42">
        <f>IF($A40="","",IF(OR(K$28&lt;Tetapan!$B16,AND(Tetapan!$C16&lt;&gt;"",K$28&gt;Tetapan!$C16),Tetapan!$D16=0),"–",IF(SUMPRODUCT((Transaksi!$C$2:$C$2001=$A40)*(Transaksi!$N$2:$N$2001&lt;=K$28)*(Transaksi!$O$2:$O$2001&gt;=K$28)*(Transaksi!$Q$2:$Q$2001&gt;=Tetapan!$D16-0.01))&gt;0,"✓",IF(SUMPRODUCT((Transaksi!$C$2:$C$2001=$A40)*(Transaksi!$N$2:$N$2001&lt;=K$28)*(Transaksi!$O$2:$O$2001&gt;=K$28)*(Transaksi!$Q$2:$Q$2001&gt;0))&gt;0,"½",IF(K$28&gt;TODAY(),"·","✗")))))</f>
        <v/>
      </c>
      <c r="L40" s="42">
        <f>IF($A40="","",IF(OR(L$28&lt;Tetapan!$B16,AND(Tetapan!$C16&lt;&gt;"",L$28&gt;Tetapan!$C16),Tetapan!$D16=0),"–",IF(SUMPRODUCT((Transaksi!$C$2:$C$2001=$A40)*(Transaksi!$N$2:$N$2001&lt;=L$28)*(Transaksi!$O$2:$O$2001&gt;=L$28)*(Transaksi!$Q$2:$Q$2001&gt;=Tetapan!$D16-0.01))&gt;0,"✓",IF(SUMPRODUCT((Transaksi!$C$2:$C$2001=$A40)*(Transaksi!$N$2:$N$2001&lt;=L$28)*(Transaksi!$O$2:$O$2001&gt;=L$28)*(Transaksi!$Q$2:$Q$2001&gt;0))&gt;0,"½",IF(L$28&gt;TODAY(),"·","✗")))))</f>
        <v/>
      </c>
      <c r="M40" s="42">
        <f>IF($A40="","",IF(OR(M$28&lt;Tetapan!$B16,AND(Tetapan!$C16&lt;&gt;"",M$28&gt;Tetapan!$C16),Tetapan!$D16=0),"–",IF(SUMPRODUCT((Transaksi!$C$2:$C$2001=$A40)*(Transaksi!$N$2:$N$2001&lt;=M$28)*(Transaksi!$O$2:$O$2001&gt;=M$28)*(Transaksi!$Q$2:$Q$2001&gt;=Tetapan!$D16-0.01))&gt;0,"✓",IF(SUMPRODUCT((Transaksi!$C$2:$C$2001=$A40)*(Transaksi!$N$2:$N$2001&lt;=M$28)*(Transaksi!$O$2:$O$2001&gt;=M$28)*(Transaksi!$Q$2:$Q$2001&gt;0))&gt;0,"½",IF(M$28&gt;TODAY(),"·","✗")))))</f>
        <v/>
      </c>
      <c r="N40" s="42">
        <f>IF($A40="","",IF(OR(N$28&lt;Tetapan!$B16,AND(Tetapan!$C16&lt;&gt;"",N$28&gt;Tetapan!$C16),Tetapan!$D16=0),"–",IF(SUMPRODUCT((Transaksi!$C$2:$C$2001=$A40)*(Transaksi!$N$2:$N$2001&lt;=N$28)*(Transaksi!$O$2:$O$2001&gt;=N$28)*(Transaksi!$Q$2:$Q$2001&gt;=Tetapan!$D16-0.01))&gt;0,"✓",IF(SUMPRODUCT((Transaksi!$C$2:$C$2001=$A40)*(Transaksi!$N$2:$N$2001&lt;=N$28)*(Transaksi!$O$2:$O$2001&gt;=N$28)*(Transaksi!$Q$2:$Q$2001&gt;0))&gt;0,"½",IF(N$28&gt;TODAY(),"·","✗")))))</f>
        <v/>
      </c>
      <c r="O40" s="42">
        <f>IF($A40="","",IF(OR(O$28&lt;Tetapan!$B16,AND(Tetapan!$C16&lt;&gt;"",O$28&gt;Tetapan!$C16),Tetapan!$D16=0),"–",IF(SUMPRODUCT((Transaksi!$C$2:$C$2001=$A40)*(Transaksi!$N$2:$N$2001&lt;=O$28)*(Transaksi!$O$2:$O$2001&gt;=O$28)*(Transaksi!$Q$2:$Q$2001&gt;=Tetapan!$D16-0.01))&gt;0,"✓",IF(SUMPRODUCT((Transaksi!$C$2:$C$2001=$A40)*(Transaksi!$N$2:$N$2001&lt;=O$28)*(Transaksi!$O$2:$O$2001&gt;=O$28)*(Transaksi!$Q$2:$Q$2001&gt;0))&gt;0,"½",IF(O$28&gt;TODAY(),"·","✗")))))</f>
        <v/>
      </c>
      <c r="P40" s="42">
        <f>IF($A40="","",IF(OR(P$28&lt;Tetapan!$B16,AND(Tetapan!$C16&lt;&gt;"",P$28&gt;Tetapan!$C16),Tetapan!$D16=0),"–",IF(SUMPRODUCT((Transaksi!$C$2:$C$2001=$A40)*(Transaksi!$N$2:$N$2001&lt;=P$28)*(Transaksi!$O$2:$O$2001&gt;=P$28)*(Transaksi!$Q$2:$Q$2001&gt;=Tetapan!$D16-0.01))&gt;0,"✓",IF(SUMPRODUCT((Transaksi!$C$2:$C$2001=$A40)*(Transaksi!$N$2:$N$2001&lt;=P$28)*(Transaksi!$O$2:$O$2001&gt;=P$28)*(Transaksi!$Q$2:$Q$2001&gt;0))&gt;0,"½",IF(P$28&gt;TODAY(),"·","✗")))))</f>
        <v/>
      </c>
      <c r="Q40" s="42">
        <f>IF($A40="","",IF(OR(Q$28&lt;Tetapan!$B16,AND(Tetapan!$C16&lt;&gt;"",Q$28&gt;Tetapan!$C16),Tetapan!$D16=0),"–",IF(SUMPRODUCT((Transaksi!$C$2:$C$2001=$A40)*(Transaksi!$N$2:$N$2001&lt;=Q$28)*(Transaksi!$O$2:$O$2001&gt;=Q$28)*(Transaksi!$Q$2:$Q$2001&gt;=Tetapan!$D16-0.01))&gt;0,"✓",IF(SUMPRODUCT((Transaksi!$C$2:$C$2001=$A40)*(Transaksi!$N$2:$N$2001&lt;=Q$28)*(Transaksi!$O$2:$O$2001&gt;=Q$28)*(Transaksi!$Q$2:$Q$2001&gt;0))&gt;0,"½",IF(Q$28&gt;TODAY(),"·","✗")))))</f>
        <v/>
      </c>
      <c r="R40" s="42">
        <f>IF($A40="","",IF(OR(R$28&lt;Tetapan!$B16,AND(Tetapan!$C16&lt;&gt;"",R$28&gt;Tetapan!$C16),Tetapan!$D16=0),"–",IF(SUMPRODUCT((Transaksi!$C$2:$C$2001=$A40)*(Transaksi!$N$2:$N$2001&lt;=R$28)*(Transaksi!$O$2:$O$2001&gt;=R$28)*(Transaksi!$Q$2:$Q$2001&gt;=Tetapan!$D16-0.01))&gt;0,"✓",IF(SUMPRODUCT((Transaksi!$C$2:$C$2001=$A40)*(Transaksi!$N$2:$N$2001&lt;=R$28)*(Transaksi!$O$2:$O$2001&gt;=R$28)*(Transaksi!$Q$2:$Q$2001&gt;0))&gt;0,"½",IF(R$28&gt;TODAY(),"·","✗")))))</f>
        <v/>
      </c>
      <c r="S40" s="42">
        <f>IF($A40="","",IF(OR(S$28&lt;Tetapan!$B16,AND(Tetapan!$C16&lt;&gt;"",S$28&gt;Tetapan!$C16),Tetapan!$D16=0),"–",IF(SUMPRODUCT((Transaksi!$C$2:$C$2001=$A40)*(Transaksi!$N$2:$N$2001&lt;=S$28)*(Transaksi!$O$2:$O$2001&gt;=S$28)*(Transaksi!$Q$2:$Q$2001&gt;=Tetapan!$D16-0.01))&gt;0,"✓",IF(SUMPRODUCT((Transaksi!$C$2:$C$2001=$A40)*(Transaksi!$N$2:$N$2001&lt;=S$28)*(Transaksi!$O$2:$O$2001&gt;=S$28)*(Transaksi!$Q$2:$Q$2001&gt;0))&gt;0,"½",IF(S$28&gt;TODAY(),"·","✗")))))</f>
        <v/>
      </c>
      <c r="T40" s="42">
        <f>IF($A40="","",IF(OR(T$28&lt;Tetapan!$B16,AND(Tetapan!$C16&lt;&gt;"",T$28&gt;Tetapan!$C16),Tetapan!$D16=0),"–",IF(SUMPRODUCT((Transaksi!$C$2:$C$2001=$A40)*(Transaksi!$N$2:$N$2001&lt;=T$28)*(Transaksi!$O$2:$O$2001&gt;=T$28)*(Transaksi!$Q$2:$Q$2001&gt;=Tetapan!$D16-0.01))&gt;0,"✓",IF(SUMPRODUCT((Transaksi!$C$2:$C$2001=$A40)*(Transaksi!$N$2:$N$2001&lt;=T$28)*(Transaksi!$O$2:$O$2001&gt;=T$28)*(Transaksi!$Q$2:$Q$2001&gt;0))&gt;0,"½",IF(T$28&gt;TODAY(),"·","✗")))))</f>
        <v/>
      </c>
      <c r="W40" s="12">
        <f>IF(B40="✗",TEXT(B$28,"mmm yy")&amp;", ",IF(B40="½",TEXT(B$28,"mmm yy")&amp;" (separa), ",""))&amp;IF(C40="✗",TEXT(C$28,"mmm yy")&amp;", ",IF(C40="½",TEXT(C$28,"mmm yy")&amp;" (separa), ",""))&amp;IF(D40="✗",TEXT(D$28,"mmm yy")&amp;", ",IF(D40="½",TEXT(D$28,"mmm yy")&amp;" (separa), ",""))&amp;IF(E40="✗",TEXT(E$28,"mmm yy")&amp;", ",IF(E40="½",TEXT(E$28,"mmm yy")&amp;" (separa), ",""))&amp;IF(F40="✗",TEXT(F$28,"mmm yy")&amp;", ",IF(F40="½",TEXT(F$28,"mmm yy")&amp;" (separa), ",""))&amp;IF(G40="✗",TEXT(G$28,"mmm yy")&amp;", ",IF(G40="½",TEXT(G$28,"mmm yy")&amp;" (separa), ",""))&amp;IF(H40="✗",TEXT(H$28,"mmm yy")&amp;", ",IF(H40="½",TEXT(H$28,"mmm yy")&amp;" (separa), ",""))&amp;IF(I40="✗",TEXT(I$28,"mmm yy")&amp;", ",IF(I40="½",TEXT(I$28,"mmm yy")&amp;" (separa), ",""))&amp;IF(J40="✗",TEXT(J$28,"mmm yy")&amp;", ",IF(J40="½",TEXT(J$28,"mmm yy")&amp;" (separa), ",""))&amp;IF(K40="✗",TEXT(K$28,"mmm yy")&amp;", ",IF(K40="½",TEXT(K$28,"mmm yy")&amp;" (separa), ",""))&amp;IF(L40="✗",TEXT(L$28,"mmm yy")&amp;", ",IF(L40="½",TEXT(L$28,"mmm yy")&amp;" (separa), ",""))&amp;IF(M40="✗",TEXT(M$28,"mmm yy")&amp;", ",IF(M40="½",TEXT(M$28,"mmm yy")&amp;" (separa), ",""))&amp;IF(N40="✗",TEXT(N$28,"mmm yy")&amp;", ",IF(N40="½",TEXT(N$28,"mmm yy")&amp;" (separa), ",""))&amp;IF(O40="✗",TEXT(O$28,"mmm yy")&amp;", ",IF(O40="½",TEXT(O$28,"mmm yy")&amp;" (separa), ",""))&amp;IF(P40="✗",TEXT(P$28,"mmm yy")&amp;", ",IF(P40="½",TEXT(P$28,"mmm yy")&amp;" (separa), ",""))&amp;IF(Q40="✗",TEXT(Q$28,"mmm yy")&amp;", ",IF(Q40="½",TEXT(Q$28,"mmm yy")&amp;" (separa), ",""))&amp;IF(R40="✗",TEXT(R$28,"mmm yy")&amp;", ",IF(R40="½",TEXT(R$28,"mmm yy")&amp;" (separa), ",""))&amp;IF(S40="✗",TEXT(S$28,"mmm yy")&amp;", ",IF(S40="½",TEXT(S$28,"mmm yy")&amp;" (separa), ",""))&amp;IF(T40="✗",TEXT(T$28,"mmm yy")&amp;", ",IF(T40="½",TEXT(T$28,"mmm yy")&amp;" (separa), ",""))</f>
        <v/>
      </c>
    </row>
    <row r="41">
      <c r="A41" s="41">
        <f>IF(Tetapan!A17="","",Tetapan!A17)</f>
        <v/>
      </c>
      <c r="B41" s="42">
        <f>IF($A41="","",IF(OR(B$28&lt;Tetapan!$B17,AND(Tetapan!$C17&lt;&gt;"",B$28&gt;Tetapan!$C17),Tetapan!$D17=0),"–",IF(SUMPRODUCT((Transaksi!$C$2:$C$2001=$A41)*(Transaksi!$N$2:$N$2001&lt;=B$28)*(Transaksi!$O$2:$O$2001&gt;=B$28)*(Transaksi!$Q$2:$Q$2001&gt;=Tetapan!$D17-0.01))&gt;0,"✓",IF(SUMPRODUCT((Transaksi!$C$2:$C$2001=$A41)*(Transaksi!$N$2:$N$2001&lt;=B$28)*(Transaksi!$O$2:$O$2001&gt;=B$28)*(Transaksi!$Q$2:$Q$2001&gt;0))&gt;0,"½",IF(B$28&gt;TODAY(),"·","✗")))))</f>
        <v/>
      </c>
      <c r="C41" s="42">
        <f>IF($A41="","",IF(OR(C$28&lt;Tetapan!$B17,AND(Tetapan!$C17&lt;&gt;"",C$28&gt;Tetapan!$C17),Tetapan!$D17=0),"–",IF(SUMPRODUCT((Transaksi!$C$2:$C$2001=$A41)*(Transaksi!$N$2:$N$2001&lt;=C$28)*(Transaksi!$O$2:$O$2001&gt;=C$28)*(Transaksi!$Q$2:$Q$2001&gt;=Tetapan!$D17-0.01))&gt;0,"✓",IF(SUMPRODUCT((Transaksi!$C$2:$C$2001=$A41)*(Transaksi!$N$2:$N$2001&lt;=C$28)*(Transaksi!$O$2:$O$2001&gt;=C$28)*(Transaksi!$Q$2:$Q$2001&gt;0))&gt;0,"½",IF(C$28&gt;TODAY(),"·","✗")))))</f>
        <v/>
      </c>
      <c r="D41" s="42">
        <f>IF($A41="","",IF(OR(D$28&lt;Tetapan!$B17,AND(Tetapan!$C17&lt;&gt;"",D$28&gt;Tetapan!$C17),Tetapan!$D17=0),"–",IF(SUMPRODUCT((Transaksi!$C$2:$C$2001=$A41)*(Transaksi!$N$2:$N$2001&lt;=D$28)*(Transaksi!$O$2:$O$2001&gt;=D$28)*(Transaksi!$Q$2:$Q$2001&gt;=Tetapan!$D17-0.01))&gt;0,"✓",IF(SUMPRODUCT((Transaksi!$C$2:$C$2001=$A41)*(Transaksi!$N$2:$N$2001&lt;=D$28)*(Transaksi!$O$2:$O$2001&gt;=D$28)*(Transaksi!$Q$2:$Q$2001&gt;0))&gt;0,"½",IF(D$28&gt;TODAY(),"·","✗")))))</f>
        <v/>
      </c>
      <c r="E41" s="42">
        <f>IF($A41="","",IF(OR(E$28&lt;Tetapan!$B17,AND(Tetapan!$C17&lt;&gt;"",E$28&gt;Tetapan!$C17),Tetapan!$D17=0),"–",IF(SUMPRODUCT((Transaksi!$C$2:$C$2001=$A41)*(Transaksi!$N$2:$N$2001&lt;=E$28)*(Transaksi!$O$2:$O$2001&gt;=E$28)*(Transaksi!$Q$2:$Q$2001&gt;=Tetapan!$D17-0.01))&gt;0,"✓",IF(SUMPRODUCT((Transaksi!$C$2:$C$2001=$A41)*(Transaksi!$N$2:$N$2001&lt;=E$28)*(Transaksi!$O$2:$O$2001&gt;=E$28)*(Transaksi!$Q$2:$Q$2001&gt;0))&gt;0,"½",IF(E$28&gt;TODAY(),"·","✗")))))</f>
        <v/>
      </c>
      <c r="F41" s="42">
        <f>IF($A41="","",IF(OR(F$28&lt;Tetapan!$B17,AND(Tetapan!$C17&lt;&gt;"",F$28&gt;Tetapan!$C17),Tetapan!$D17=0),"–",IF(SUMPRODUCT((Transaksi!$C$2:$C$2001=$A41)*(Transaksi!$N$2:$N$2001&lt;=F$28)*(Transaksi!$O$2:$O$2001&gt;=F$28)*(Transaksi!$Q$2:$Q$2001&gt;=Tetapan!$D17-0.01))&gt;0,"✓",IF(SUMPRODUCT((Transaksi!$C$2:$C$2001=$A41)*(Transaksi!$N$2:$N$2001&lt;=F$28)*(Transaksi!$O$2:$O$2001&gt;=F$28)*(Transaksi!$Q$2:$Q$2001&gt;0))&gt;0,"½",IF(F$28&gt;TODAY(),"·","✗")))))</f>
        <v/>
      </c>
      <c r="G41" s="42">
        <f>IF($A41="","",IF(OR(G$28&lt;Tetapan!$B17,AND(Tetapan!$C17&lt;&gt;"",G$28&gt;Tetapan!$C17),Tetapan!$D17=0),"–",IF(SUMPRODUCT((Transaksi!$C$2:$C$2001=$A41)*(Transaksi!$N$2:$N$2001&lt;=G$28)*(Transaksi!$O$2:$O$2001&gt;=G$28)*(Transaksi!$Q$2:$Q$2001&gt;=Tetapan!$D17-0.01))&gt;0,"✓",IF(SUMPRODUCT((Transaksi!$C$2:$C$2001=$A41)*(Transaksi!$N$2:$N$2001&lt;=G$28)*(Transaksi!$O$2:$O$2001&gt;=G$28)*(Transaksi!$Q$2:$Q$2001&gt;0))&gt;0,"½",IF(G$28&gt;TODAY(),"·","✗")))))</f>
        <v/>
      </c>
      <c r="H41" s="42">
        <f>IF($A41="","",IF(OR(H$28&lt;Tetapan!$B17,AND(Tetapan!$C17&lt;&gt;"",H$28&gt;Tetapan!$C17),Tetapan!$D17=0),"–",IF(SUMPRODUCT((Transaksi!$C$2:$C$2001=$A41)*(Transaksi!$N$2:$N$2001&lt;=H$28)*(Transaksi!$O$2:$O$2001&gt;=H$28)*(Transaksi!$Q$2:$Q$2001&gt;=Tetapan!$D17-0.01))&gt;0,"✓",IF(SUMPRODUCT((Transaksi!$C$2:$C$2001=$A41)*(Transaksi!$N$2:$N$2001&lt;=H$28)*(Transaksi!$O$2:$O$2001&gt;=H$28)*(Transaksi!$Q$2:$Q$2001&gt;0))&gt;0,"½",IF(H$28&gt;TODAY(),"·","✗")))))</f>
        <v/>
      </c>
      <c r="I41" s="42">
        <f>IF($A41="","",IF(OR(I$28&lt;Tetapan!$B17,AND(Tetapan!$C17&lt;&gt;"",I$28&gt;Tetapan!$C17),Tetapan!$D17=0),"–",IF(SUMPRODUCT((Transaksi!$C$2:$C$2001=$A41)*(Transaksi!$N$2:$N$2001&lt;=I$28)*(Transaksi!$O$2:$O$2001&gt;=I$28)*(Transaksi!$Q$2:$Q$2001&gt;=Tetapan!$D17-0.01))&gt;0,"✓",IF(SUMPRODUCT((Transaksi!$C$2:$C$2001=$A41)*(Transaksi!$N$2:$N$2001&lt;=I$28)*(Transaksi!$O$2:$O$2001&gt;=I$28)*(Transaksi!$Q$2:$Q$2001&gt;0))&gt;0,"½",IF(I$28&gt;TODAY(),"·","✗")))))</f>
        <v/>
      </c>
      <c r="J41" s="42">
        <f>IF($A41="","",IF(OR(J$28&lt;Tetapan!$B17,AND(Tetapan!$C17&lt;&gt;"",J$28&gt;Tetapan!$C17),Tetapan!$D17=0),"–",IF(SUMPRODUCT((Transaksi!$C$2:$C$2001=$A41)*(Transaksi!$N$2:$N$2001&lt;=J$28)*(Transaksi!$O$2:$O$2001&gt;=J$28)*(Transaksi!$Q$2:$Q$2001&gt;=Tetapan!$D17-0.01))&gt;0,"✓",IF(SUMPRODUCT((Transaksi!$C$2:$C$2001=$A41)*(Transaksi!$N$2:$N$2001&lt;=J$28)*(Transaksi!$O$2:$O$2001&gt;=J$28)*(Transaksi!$Q$2:$Q$2001&gt;0))&gt;0,"½",IF(J$28&gt;TODAY(),"·","✗")))))</f>
        <v/>
      </c>
      <c r="K41" s="42">
        <f>IF($A41="","",IF(OR(K$28&lt;Tetapan!$B17,AND(Tetapan!$C17&lt;&gt;"",K$28&gt;Tetapan!$C17),Tetapan!$D17=0),"–",IF(SUMPRODUCT((Transaksi!$C$2:$C$2001=$A41)*(Transaksi!$N$2:$N$2001&lt;=K$28)*(Transaksi!$O$2:$O$2001&gt;=K$28)*(Transaksi!$Q$2:$Q$2001&gt;=Tetapan!$D17-0.01))&gt;0,"✓",IF(SUMPRODUCT((Transaksi!$C$2:$C$2001=$A41)*(Transaksi!$N$2:$N$2001&lt;=K$28)*(Transaksi!$O$2:$O$2001&gt;=K$28)*(Transaksi!$Q$2:$Q$2001&gt;0))&gt;0,"½",IF(K$28&gt;TODAY(),"·","✗")))))</f>
        <v/>
      </c>
      <c r="L41" s="42">
        <f>IF($A41="","",IF(OR(L$28&lt;Tetapan!$B17,AND(Tetapan!$C17&lt;&gt;"",L$28&gt;Tetapan!$C17),Tetapan!$D17=0),"–",IF(SUMPRODUCT((Transaksi!$C$2:$C$2001=$A41)*(Transaksi!$N$2:$N$2001&lt;=L$28)*(Transaksi!$O$2:$O$2001&gt;=L$28)*(Transaksi!$Q$2:$Q$2001&gt;=Tetapan!$D17-0.01))&gt;0,"✓",IF(SUMPRODUCT((Transaksi!$C$2:$C$2001=$A41)*(Transaksi!$N$2:$N$2001&lt;=L$28)*(Transaksi!$O$2:$O$2001&gt;=L$28)*(Transaksi!$Q$2:$Q$2001&gt;0))&gt;0,"½",IF(L$28&gt;TODAY(),"·","✗")))))</f>
        <v/>
      </c>
      <c r="M41" s="42">
        <f>IF($A41="","",IF(OR(M$28&lt;Tetapan!$B17,AND(Tetapan!$C17&lt;&gt;"",M$28&gt;Tetapan!$C17),Tetapan!$D17=0),"–",IF(SUMPRODUCT((Transaksi!$C$2:$C$2001=$A41)*(Transaksi!$N$2:$N$2001&lt;=M$28)*(Transaksi!$O$2:$O$2001&gt;=M$28)*(Transaksi!$Q$2:$Q$2001&gt;=Tetapan!$D17-0.01))&gt;0,"✓",IF(SUMPRODUCT((Transaksi!$C$2:$C$2001=$A41)*(Transaksi!$N$2:$N$2001&lt;=M$28)*(Transaksi!$O$2:$O$2001&gt;=M$28)*(Transaksi!$Q$2:$Q$2001&gt;0))&gt;0,"½",IF(M$28&gt;TODAY(),"·","✗")))))</f>
        <v/>
      </c>
      <c r="N41" s="42">
        <f>IF($A41="","",IF(OR(N$28&lt;Tetapan!$B17,AND(Tetapan!$C17&lt;&gt;"",N$28&gt;Tetapan!$C17),Tetapan!$D17=0),"–",IF(SUMPRODUCT((Transaksi!$C$2:$C$2001=$A41)*(Transaksi!$N$2:$N$2001&lt;=N$28)*(Transaksi!$O$2:$O$2001&gt;=N$28)*(Transaksi!$Q$2:$Q$2001&gt;=Tetapan!$D17-0.01))&gt;0,"✓",IF(SUMPRODUCT((Transaksi!$C$2:$C$2001=$A41)*(Transaksi!$N$2:$N$2001&lt;=N$28)*(Transaksi!$O$2:$O$2001&gt;=N$28)*(Transaksi!$Q$2:$Q$2001&gt;0))&gt;0,"½",IF(N$28&gt;TODAY(),"·","✗")))))</f>
        <v/>
      </c>
      <c r="O41" s="42">
        <f>IF($A41="","",IF(OR(O$28&lt;Tetapan!$B17,AND(Tetapan!$C17&lt;&gt;"",O$28&gt;Tetapan!$C17),Tetapan!$D17=0),"–",IF(SUMPRODUCT((Transaksi!$C$2:$C$2001=$A41)*(Transaksi!$N$2:$N$2001&lt;=O$28)*(Transaksi!$O$2:$O$2001&gt;=O$28)*(Transaksi!$Q$2:$Q$2001&gt;=Tetapan!$D17-0.01))&gt;0,"✓",IF(SUMPRODUCT((Transaksi!$C$2:$C$2001=$A41)*(Transaksi!$N$2:$N$2001&lt;=O$28)*(Transaksi!$O$2:$O$2001&gt;=O$28)*(Transaksi!$Q$2:$Q$2001&gt;0))&gt;0,"½",IF(O$28&gt;TODAY(),"·","✗")))))</f>
        <v/>
      </c>
      <c r="P41" s="42">
        <f>IF($A41="","",IF(OR(P$28&lt;Tetapan!$B17,AND(Tetapan!$C17&lt;&gt;"",P$28&gt;Tetapan!$C17),Tetapan!$D17=0),"–",IF(SUMPRODUCT((Transaksi!$C$2:$C$2001=$A41)*(Transaksi!$N$2:$N$2001&lt;=P$28)*(Transaksi!$O$2:$O$2001&gt;=P$28)*(Transaksi!$Q$2:$Q$2001&gt;=Tetapan!$D17-0.01))&gt;0,"✓",IF(SUMPRODUCT((Transaksi!$C$2:$C$2001=$A41)*(Transaksi!$N$2:$N$2001&lt;=P$28)*(Transaksi!$O$2:$O$2001&gt;=P$28)*(Transaksi!$Q$2:$Q$2001&gt;0))&gt;0,"½",IF(P$28&gt;TODAY(),"·","✗")))))</f>
        <v/>
      </c>
      <c r="Q41" s="42">
        <f>IF($A41="","",IF(OR(Q$28&lt;Tetapan!$B17,AND(Tetapan!$C17&lt;&gt;"",Q$28&gt;Tetapan!$C17),Tetapan!$D17=0),"–",IF(SUMPRODUCT((Transaksi!$C$2:$C$2001=$A41)*(Transaksi!$N$2:$N$2001&lt;=Q$28)*(Transaksi!$O$2:$O$2001&gt;=Q$28)*(Transaksi!$Q$2:$Q$2001&gt;=Tetapan!$D17-0.01))&gt;0,"✓",IF(SUMPRODUCT((Transaksi!$C$2:$C$2001=$A41)*(Transaksi!$N$2:$N$2001&lt;=Q$28)*(Transaksi!$O$2:$O$2001&gt;=Q$28)*(Transaksi!$Q$2:$Q$2001&gt;0))&gt;0,"½",IF(Q$28&gt;TODAY(),"·","✗")))))</f>
        <v/>
      </c>
      <c r="R41" s="42">
        <f>IF($A41="","",IF(OR(R$28&lt;Tetapan!$B17,AND(Tetapan!$C17&lt;&gt;"",R$28&gt;Tetapan!$C17),Tetapan!$D17=0),"–",IF(SUMPRODUCT((Transaksi!$C$2:$C$2001=$A41)*(Transaksi!$N$2:$N$2001&lt;=R$28)*(Transaksi!$O$2:$O$2001&gt;=R$28)*(Transaksi!$Q$2:$Q$2001&gt;=Tetapan!$D17-0.01))&gt;0,"✓",IF(SUMPRODUCT((Transaksi!$C$2:$C$2001=$A41)*(Transaksi!$N$2:$N$2001&lt;=R$28)*(Transaksi!$O$2:$O$2001&gt;=R$28)*(Transaksi!$Q$2:$Q$2001&gt;0))&gt;0,"½",IF(R$28&gt;TODAY(),"·","✗")))))</f>
        <v/>
      </c>
      <c r="S41" s="42">
        <f>IF($A41="","",IF(OR(S$28&lt;Tetapan!$B17,AND(Tetapan!$C17&lt;&gt;"",S$28&gt;Tetapan!$C17),Tetapan!$D17=0),"–",IF(SUMPRODUCT((Transaksi!$C$2:$C$2001=$A41)*(Transaksi!$N$2:$N$2001&lt;=S$28)*(Transaksi!$O$2:$O$2001&gt;=S$28)*(Transaksi!$Q$2:$Q$2001&gt;=Tetapan!$D17-0.01))&gt;0,"✓",IF(SUMPRODUCT((Transaksi!$C$2:$C$2001=$A41)*(Transaksi!$N$2:$N$2001&lt;=S$28)*(Transaksi!$O$2:$O$2001&gt;=S$28)*(Transaksi!$Q$2:$Q$2001&gt;0))&gt;0,"½",IF(S$28&gt;TODAY(),"·","✗")))))</f>
        <v/>
      </c>
      <c r="T41" s="42">
        <f>IF($A41="","",IF(OR(T$28&lt;Tetapan!$B17,AND(Tetapan!$C17&lt;&gt;"",T$28&gt;Tetapan!$C17),Tetapan!$D17=0),"–",IF(SUMPRODUCT((Transaksi!$C$2:$C$2001=$A41)*(Transaksi!$N$2:$N$2001&lt;=T$28)*(Transaksi!$O$2:$O$2001&gt;=T$28)*(Transaksi!$Q$2:$Q$2001&gt;=Tetapan!$D17-0.01))&gt;0,"✓",IF(SUMPRODUCT((Transaksi!$C$2:$C$2001=$A41)*(Transaksi!$N$2:$N$2001&lt;=T$28)*(Transaksi!$O$2:$O$2001&gt;=T$28)*(Transaksi!$Q$2:$Q$2001&gt;0))&gt;0,"½",IF(T$28&gt;TODAY(),"·","✗")))))</f>
        <v/>
      </c>
      <c r="W41" s="12">
        <f>IF(B41="✗",TEXT(B$28,"mmm yy")&amp;", ",IF(B41="½",TEXT(B$28,"mmm yy")&amp;" (separa), ",""))&amp;IF(C41="✗",TEXT(C$28,"mmm yy")&amp;", ",IF(C41="½",TEXT(C$28,"mmm yy")&amp;" (separa), ",""))&amp;IF(D41="✗",TEXT(D$28,"mmm yy")&amp;", ",IF(D41="½",TEXT(D$28,"mmm yy")&amp;" (separa), ",""))&amp;IF(E41="✗",TEXT(E$28,"mmm yy")&amp;", ",IF(E41="½",TEXT(E$28,"mmm yy")&amp;" (separa), ",""))&amp;IF(F41="✗",TEXT(F$28,"mmm yy")&amp;", ",IF(F41="½",TEXT(F$28,"mmm yy")&amp;" (separa), ",""))&amp;IF(G41="✗",TEXT(G$28,"mmm yy")&amp;", ",IF(G41="½",TEXT(G$28,"mmm yy")&amp;" (separa), ",""))&amp;IF(H41="✗",TEXT(H$28,"mmm yy")&amp;", ",IF(H41="½",TEXT(H$28,"mmm yy")&amp;" (separa), ",""))&amp;IF(I41="✗",TEXT(I$28,"mmm yy")&amp;", ",IF(I41="½",TEXT(I$28,"mmm yy")&amp;" (separa), ",""))&amp;IF(J41="✗",TEXT(J$28,"mmm yy")&amp;", ",IF(J41="½",TEXT(J$28,"mmm yy")&amp;" (separa), ",""))&amp;IF(K41="✗",TEXT(K$28,"mmm yy")&amp;", ",IF(K41="½",TEXT(K$28,"mmm yy")&amp;" (separa), ",""))&amp;IF(L41="✗",TEXT(L$28,"mmm yy")&amp;", ",IF(L41="½",TEXT(L$28,"mmm yy")&amp;" (separa), ",""))&amp;IF(M41="✗",TEXT(M$28,"mmm yy")&amp;", ",IF(M41="½",TEXT(M$28,"mmm yy")&amp;" (separa), ",""))&amp;IF(N41="✗",TEXT(N$28,"mmm yy")&amp;", ",IF(N41="½",TEXT(N$28,"mmm yy")&amp;" (separa), ",""))&amp;IF(O41="✗",TEXT(O$28,"mmm yy")&amp;", ",IF(O41="½",TEXT(O$28,"mmm yy")&amp;" (separa), ",""))&amp;IF(P41="✗",TEXT(P$28,"mmm yy")&amp;", ",IF(P41="½",TEXT(P$28,"mmm yy")&amp;" (separa), ",""))&amp;IF(Q41="✗",TEXT(Q$28,"mmm yy")&amp;", ",IF(Q41="½",TEXT(Q$28,"mmm yy")&amp;" (separa), ",""))&amp;IF(R41="✗",TEXT(R$28,"mmm yy")&amp;", ",IF(R41="½",TEXT(R$28,"mmm yy")&amp;" (separa), ",""))&amp;IF(S41="✗",TEXT(S$28,"mmm yy")&amp;", ",IF(S41="½",TEXT(S$28,"mmm yy")&amp;" (separa), ",""))&amp;IF(T41="✗",TEXT(T$28,"mmm yy")&amp;", ",IF(T41="½",TEXT(T$28,"mmm yy")&amp;" (separa), ",""))</f>
        <v/>
      </c>
    </row>
    <row r="42">
      <c r="A42" s="41">
        <f>IF(Tetapan!A18="","",Tetapan!A18)</f>
        <v/>
      </c>
      <c r="B42" s="42">
        <f>IF($A42="","",IF(OR(B$28&lt;Tetapan!$B18,AND(Tetapan!$C18&lt;&gt;"",B$28&gt;Tetapan!$C18),Tetapan!$D18=0),"–",IF(SUMPRODUCT((Transaksi!$C$2:$C$2001=$A42)*(Transaksi!$N$2:$N$2001&lt;=B$28)*(Transaksi!$O$2:$O$2001&gt;=B$28)*(Transaksi!$Q$2:$Q$2001&gt;=Tetapan!$D18-0.01))&gt;0,"✓",IF(SUMPRODUCT((Transaksi!$C$2:$C$2001=$A42)*(Transaksi!$N$2:$N$2001&lt;=B$28)*(Transaksi!$O$2:$O$2001&gt;=B$28)*(Transaksi!$Q$2:$Q$2001&gt;0))&gt;0,"½",IF(B$28&gt;TODAY(),"·","✗")))))</f>
        <v/>
      </c>
      <c r="C42" s="42">
        <f>IF($A42="","",IF(OR(C$28&lt;Tetapan!$B18,AND(Tetapan!$C18&lt;&gt;"",C$28&gt;Tetapan!$C18),Tetapan!$D18=0),"–",IF(SUMPRODUCT((Transaksi!$C$2:$C$2001=$A42)*(Transaksi!$N$2:$N$2001&lt;=C$28)*(Transaksi!$O$2:$O$2001&gt;=C$28)*(Transaksi!$Q$2:$Q$2001&gt;=Tetapan!$D18-0.01))&gt;0,"✓",IF(SUMPRODUCT((Transaksi!$C$2:$C$2001=$A42)*(Transaksi!$N$2:$N$2001&lt;=C$28)*(Transaksi!$O$2:$O$2001&gt;=C$28)*(Transaksi!$Q$2:$Q$2001&gt;0))&gt;0,"½",IF(C$28&gt;TODAY(),"·","✗")))))</f>
        <v/>
      </c>
      <c r="D42" s="42">
        <f>IF($A42="","",IF(OR(D$28&lt;Tetapan!$B18,AND(Tetapan!$C18&lt;&gt;"",D$28&gt;Tetapan!$C18),Tetapan!$D18=0),"–",IF(SUMPRODUCT((Transaksi!$C$2:$C$2001=$A42)*(Transaksi!$N$2:$N$2001&lt;=D$28)*(Transaksi!$O$2:$O$2001&gt;=D$28)*(Transaksi!$Q$2:$Q$2001&gt;=Tetapan!$D18-0.01))&gt;0,"✓",IF(SUMPRODUCT((Transaksi!$C$2:$C$2001=$A42)*(Transaksi!$N$2:$N$2001&lt;=D$28)*(Transaksi!$O$2:$O$2001&gt;=D$28)*(Transaksi!$Q$2:$Q$2001&gt;0))&gt;0,"½",IF(D$28&gt;TODAY(),"·","✗")))))</f>
        <v/>
      </c>
      <c r="E42" s="42">
        <f>IF($A42="","",IF(OR(E$28&lt;Tetapan!$B18,AND(Tetapan!$C18&lt;&gt;"",E$28&gt;Tetapan!$C18),Tetapan!$D18=0),"–",IF(SUMPRODUCT((Transaksi!$C$2:$C$2001=$A42)*(Transaksi!$N$2:$N$2001&lt;=E$28)*(Transaksi!$O$2:$O$2001&gt;=E$28)*(Transaksi!$Q$2:$Q$2001&gt;=Tetapan!$D18-0.01))&gt;0,"✓",IF(SUMPRODUCT((Transaksi!$C$2:$C$2001=$A42)*(Transaksi!$N$2:$N$2001&lt;=E$28)*(Transaksi!$O$2:$O$2001&gt;=E$28)*(Transaksi!$Q$2:$Q$2001&gt;0))&gt;0,"½",IF(E$28&gt;TODAY(),"·","✗")))))</f>
        <v/>
      </c>
      <c r="F42" s="42">
        <f>IF($A42="","",IF(OR(F$28&lt;Tetapan!$B18,AND(Tetapan!$C18&lt;&gt;"",F$28&gt;Tetapan!$C18),Tetapan!$D18=0),"–",IF(SUMPRODUCT((Transaksi!$C$2:$C$2001=$A42)*(Transaksi!$N$2:$N$2001&lt;=F$28)*(Transaksi!$O$2:$O$2001&gt;=F$28)*(Transaksi!$Q$2:$Q$2001&gt;=Tetapan!$D18-0.01))&gt;0,"✓",IF(SUMPRODUCT((Transaksi!$C$2:$C$2001=$A42)*(Transaksi!$N$2:$N$2001&lt;=F$28)*(Transaksi!$O$2:$O$2001&gt;=F$28)*(Transaksi!$Q$2:$Q$2001&gt;0))&gt;0,"½",IF(F$28&gt;TODAY(),"·","✗")))))</f>
        <v/>
      </c>
      <c r="G42" s="42">
        <f>IF($A42="","",IF(OR(G$28&lt;Tetapan!$B18,AND(Tetapan!$C18&lt;&gt;"",G$28&gt;Tetapan!$C18),Tetapan!$D18=0),"–",IF(SUMPRODUCT((Transaksi!$C$2:$C$2001=$A42)*(Transaksi!$N$2:$N$2001&lt;=G$28)*(Transaksi!$O$2:$O$2001&gt;=G$28)*(Transaksi!$Q$2:$Q$2001&gt;=Tetapan!$D18-0.01))&gt;0,"✓",IF(SUMPRODUCT((Transaksi!$C$2:$C$2001=$A42)*(Transaksi!$N$2:$N$2001&lt;=G$28)*(Transaksi!$O$2:$O$2001&gt;=G$28)*(Transaksi!$Q$2:$Q$2001&gt;0))&gt;0,"½",IF(G$28&gt;TODAY(),"·","✗")))))</f>
        <v/>
      </c>
      <c r="H42" s="42">
        <f>IF($A42="","",IF(OR(H$28&lt;Tetapan!$B18,AND(Tetapan!$C18&lt;&gt;"",H$28&gt;Tetapan!$C18),Tetapan!$D18=0),"–",IF(SUMPRODUCT((Transaksi!$C$2:$C$2001=$A42)*(Transaksi!$N$2:$N$2001&lt;=H$28)*(Transaksi!$O$2:$O$2001&gt;=H$28)*(Transaksi!$Q$2:$Q$2001&gt;=Tetapan!$D18-0.01))&gt;0,"✓",IF(SUMPRODUCT((Transaksi!$C$2:$C$2001=$A42)*(Transaksi!$N$2:$N$2001&lt;=H$28)*(Transaksi!$O$2:$O$2001&gt;=H$28)*(Transaksi!$Q$2:$Q$2001&gt;0))&gt;0,"½",IF(H$28&gt;TODAY(),"·","✗")))))</f>
        <v/>
      </c>
      <c r="I42" s="42">
        <f>IF($A42="","",IF(OR(I$28&lt;Tetapan!$B18,AND(Tetapan!$C18&lt;&gt;"",I$28&gt;Tetapan!$C18),Tetapan!$D18=0),"–",IF(SUMPRODUCT((Transaksi!$C$2:$C$2001=$A42)*(Transaksi!$N$2:$N$2001&lt;=I$28)*(Transaksi!$O$2:$O$2001&gt;=I$28)*(Transaksi!$Q$2:$Q$2001&gt;=Tetapan!$D18-0.01))&gt;0,"✓",IF(SUMPRODUCT((Transaksi!$C$2:$C$2001=$A42)*(Transaksi!$N$2:$N$2001&lt;=I$28)*(Transaksi!$O$2:$O$2001&gt;=I$28)*(Transaksi!$Q$2:$Q$2001&gt;0))&gt;0,"½",IF(I$28&gt;TODAY(),"·","✗")))))</f>
        <v/>
      </c>
      <c r="J42" s="42">
        <f>IF($A42="","",IF(OR(J$28&lt;Tetapan!$B18,AND(Tetapan!$C18&lt;&gt;"",J$28&gt;Tetapan!$C18),Tetapan!$D18=0),"–",IF(SUMPRODUCT((Transaksi!$C$2:$C$2001=$A42)*(Transaksi!$N$2:$N$2001&lt;=J$28)*(Transaksi!$O$2:$O$2001&gt;=J$28)*(Transaksi!$Q$2:$Q$2001&gt;=Tetapan!$D18-0.01))&gt;0,"✓",IF(SUMPRODUCT((Transaksi!$C$2:$C$2001=$A42)*(Transaksi!$N$2:$N$2001&lt;=J$28)*(Transaksi!$O$2:$O$2001&gt;=J$28)*(Transaksi!$Q$2:$Q$2001&gt;0))&gt;0,"½",IF(J$28&gt;TODAY(),"·","✗")))))</f>
        <v/>
      </c>
      <c r="K42" s="42">
        <f>IF($A42="","",IF(OR(K$28&lt;Tetapan!$B18,AND(Tetapan!$C18&lt;&gt;"",K$28&gt;Tetapan!$C18),Tetapan!$D18=0),"–",IF(SUMPRODUCT((Transaksi!$C$2:$C$2001=$A42)*(Transaksi!$N$2:$N$2001&lt;=K$28)*(Transaksi!$O$2:$O$2001&gt;=K$28)*(Transaksi!$Q$2:$Q$2001&gt;=Tetapan!$D18-0.01))&gt;0,"✓",IF(SUMPRODUCT((Transaksi!$C$2:$C$2001=$A42)*(Transaksi!$N$2:$N$2001&lt;=K$28)*(Transaksi!$O$2:$O$2001&gt;=K$28)*(Transaksi!$Q$2:$Q$2001&gt;0))&gt;0,"½",IF(K$28&gt;TODAY(),"·","✗")))))</f>
        <v/>
      </c>
      <c r="L42" s="42">
        <f>IF($A42="","",IF(OR(L$28&lt;Tetapan!$B18,AND(Tetapan!$C18&lt;&gt;"",L$28&gt;Tetapan!$C18),Tetapan!$D18=0),"–",IF(SUMPRODUCT((Transaksi!$C$2:$C$2001=$A42)*(Transaksi!$N$2:$N$2001&lt;=L$28)*(Transaksi!$O$2:$O$2001&gt;=L$28)*(Transaksi!$Q$2:$Q$2001&gt;=Tetapan!$D18-0.01))&gt;0,"✓",IF(SUMPRODUCT((Transaksi!$C$2:$C$2001=$A42)*(Transaksi!$N$2:$N$2001&lt;=L$28)*(Transaksi!$O$2:$O$2001&gt;=L$28)*(Transaksi!$Q$2:$Q$2001&gt;0))&gt;0,"½",IF(L$28&gt;TODAY(),"·","✗")))))</f>
        <v/>
      </c>
      <c r="M42" s="42">
        <f>IF($A42="","",IF(OR(M$28&lt;Tetapan!$B18,AND(Tetapan!$C18&lt;&gt;"",M$28&gt;Tetapan!$C18),Tetapan!$D18=0),"–",IF(SUMPRODUCT((Transaksi!$C$2:$C$2001=$A42)*(Transaksi!$N$2:$N$2001&lt;=M$28)*(Transaksi!$O$2:$O$2001&gt;=M$28)*(Transaksi!$Q$2:$Q$2001&gt;=Tetapan!$D18-0.01))&gt;0,"✓",IF(SUMPRODUCT((Transaksi!$C$2:$C$2001=$A42)*(Transaksi!$N$2:$N$2001&lt;=M$28)*(Transaksi!$O$2:$O$2001&gt;=M$28)*(Transaksi!$Q$2:$Q$2001&gt;0))&gt;0,"½",IF(M$28&gt;TODAY(),"·","✗")))))</f>
        <v/>
      </c>
      <c r="N42" s="42">
        <f>IF($A42="","",IF(OR(N$28&lt;Tetapan!$B18,AND(Tetapan!$C18&lt;&gt;"",N$28&gt;Tetapan!$C18),Tetapan!$D18=0),"–",IF(SUMPRODUCT((Transaksi!$C$2:$C$2001=$A42)*(Transaksi!$N$2:$N$2001&lt;=N$28)*(Transaksi!$O$2:$O$2001&gt;=N$28)*(Transaksi!$Q$2:$Q$2001&gt;=Tetapan!$D18-0.01))&gt;0,"✓",IF(SUMPRODUCT((Transaksi!$C$2:$C$2001=$A42)*(Transaksi!$N$2:$N$2001&lt;=N$28)*(Transaksi!$O$2:$O$2001&gt;=N$28)*(Transaksi!$Q$2:$Q$2001&gt;0))&gt;0,"½",IF(N$28&gt;TODAY(),"·","✗")))))</f>
        <v/>
      </c>
      <c r="O42" s="42">
        <f>IF($A42="","",IF(OR(O$28&lt;Tetapan!$B18,AND(Tetapan!$C18&lt;&gt;"",O$28&gt;Tetapan!$C18),Tetapan!$D18=0),"–",IF(SUMPRODUCT((Transaksi!$C$2:$C$2001=$A42)*(Transaksi!$N$2:$N$2001&lt;=O$28)*(Transaksi!$O$2:$O$2001&gt;=O$28)*(Transaksi!$Q$2:$Q$2001&gt;=Tetapan!$D18-0.01))&gt;0,"✓",IF(SUMPRODUCT((Transaksi!$C$2:$C$2001=$A42)*(Transaksi!$N$2:$N$2001&lt;=O$28)*(Transaksi!$O$2:$O$2001&gt;=O$28)*(Transaksi!$Q$2:$Q$2001&gt;0))&gt;0,"½",IF(O$28&gt;TODAY(),"·","✗")))))</f>
        <v/>
      </c>
      <c r="P42" s="42">
        <f>IF($A42="","",IF(OR(P$28&lt;Tetapan!$B18,AND(Tetapan!$C18&lt;&gt;"",P$28&gt;Tetapan!$C18),Tetapan!$D18=0),"–",IF(SUMPRODUCT((Transaksi!$C$2:$C$2001=$A42)*(Transaksi!$N$2:$N$2001&lt;=P$28)*(Transaksi!$O$2:$O$2001&gt;=P$28)*(Transaksi!$Q$2:$Q$2001&gt;=Tetapan!$D18-0.01))&gt;0,"✓",IF(SUMPRODUCT((Transaksi!$C$2:$C$2001=$A42)*(Transaksi!$N$2:$N$2001&lt;=P$28)*(Transaksi!$O$2:$O$2001&gt;=P$28)*(Transaksi!$Q$2:$Q$2001&gt;0))&gt;0,"½",IF(P$28&gt;TODAY(),"·","✗")))))</f>
        <v/>
      </c>
      <c r="Q42" s="42">
        <f>IF($A42="","",IF(OR(Q$28&lt;Tetapan!$B18,AND(Tetapan!$C18&lt;&gt;"",Q$28&gt;Tetapan!$C18),Tetapan!$D18=0),"–",IF(SUMPRODUCT((Transaksi!$C$2:$C$2001=$A42)*(Transaksi!$N$2:$N$2001&lt;=Q$28)*(Transaksi!$O$2:$O$2001&gt;=Q$28)*(Transaksi!$Q$2:$Q$2001&gt;=Tetapan!$D18-0.01))&gt;0,"✓",IF(SUMPRODUCT((Transaksi!$C$2:$C$2001=$A42)*(Transaksi!$N$2:$N$2001&lt;=Q$28)*(Transaksi!$O$2:$O$2001&gt;=Q$28)*(Transaksi!$Q$2:$Q$2001&gt;0))&gt;0,"½",IF(Q$28&gt;TODAY(),"·","✗")))))</f>
        <v/>
      </c>
      <c r="R42" s="42">
        <f>IF($A42="","",IF(OR(R$28&lt;Tetapan!$B18,AND(Tetapan!$C18&lt;&gt;"",R$28&gt;Tetapan!$C18),Tetapan!$D18=0),"–",IF(SUMPRODUCT((Transaksi!$C$2:$C$2001=$A42)*(Transaksi!$N$2:$N$2001&lt;=R$28)*(Transaksi!$O$2:$O$2001&gt;=R$28)*(Transaksi!$Q$2:$Q$2001&gt;=Tetapan!$D18-0.01))&gt;0,"✓",IF(SUMPRODUCT((Transaksi!$C$2:$C$2001=$A42)*(Transaksi!$N$2:$N$2001&lt;=R$28)*(Transaksi!$O$2:$O$2001&gt;=R$28)*(Transaksi!$Q$2:$Q$2001&gt;0))&gt;0,"½",IF(R$28&gt;TODAY(),"·","✗")))))</f>
        <v/>
      </c>
      <c r="S42" s="42">
        <f>IF($A42="","",IF(OR(S$28&lt;Tetapan!$B18,AND(Tetapan!$C18&lt;&gt;"",S$28&gt;Tetapan!$C18),Tetapan!$D18=0),"–",IF(SUMPRODUCT((Transaksi!$C$2:$C$2001=$A42)*(Transaksi!$N$2:$N$2001&lt;=S$28)*(Transaksi!$O$2:$O$2001&gt;=S$28)*(Transaksi!$Q$2:$Q$2001&gt;=Tetapan!$D18-0.01))&gt;0,"✓",IF(SUMPRODUCT((Transaksi!$C$2:$C$2001=$A42)*(Transaksi!$N$2:$N$2001&lt;=S$28)*(Transaksi!$O$2:$O$2001&gt;=S$28)*(Transaksi!$Q$2:$Q$2001&gt;0))&gt;0,"½",IF(S$28&gt;TODAY(),"·","✗")))))</f>
        <v/>
      </c>
      <c r="T42" s="42">
        <f>IF($A42="","",IF(OR(T$28&lt;Tetapan!$B18,AND(Tetapan!$C18&lt;&gt;"",T$28&gt;Tetapan!$C18),Tetapan!$D18=0),"–",IF(SUMPRODUCT((Transaksi!$C$2:$C$2001=$A42)*(Transaksi!$N$2:$N$2001&lt;=T$28)*(Transaksi!$O$2:$O$2001&gt;=T$28)*(Transaksi!$Q$2:$Q$2001&gt;=Tetapan!$D18-0.01))&gt;0,"✓",IF(SUMPRODUCT((Transaksi!$C$2:$C$2001=$A42)*(Transaksi!$N$2:$N$2001&lt;=T$28)*(Transaksi!$O$2:$O$2001&gt;=T$28)*(Transaksi!$Q$2:$Q$2001&gt;0))&gt;0,"½",IF(T$28&gt;TODAY(),"·","✗")))))</f>
        <v/>
      </c>
      <c r="W42" s="12">
        <f>IF(B42="✗",TEXT(B$28,"mmm yy")&amp;", ",IF(B42="½",TEXT(B$28,"mmm yy")&amp;" (separa), ",""))&amp;IF(C42="✗",TEXT(C$28,"mmm yy")&amp;", ",IF(C42="½",TEXT(C$28,"mmm yy")&amp;" (separa), ",""))&amp;IF(D42="✗",TEXT(D$28,"mmm yy")&amp;", ",IF(D42="½",TEXT(D$28,"mmm yy")&amp;" (separa), ",""))&amp;IF(E42="✗",TEXT(E$28,"mmm yy")&amp;", ",IF(E42="½",TEXT(E$28,"mmm yy")&amp;" (separa), ",""))&amp;IF(F42="✗",TEXT(F$28,"mmm yy")&amp;", ",IF(F42="½",TEXT(F$28,"mmm yy")&amp;" (separa), ",""))&amp;IF(G42="✗",TEXT(G$28,"mmm yy")&amp;", ",IF(G42="½",TEXT(G$28,"mmm yy")&amp;" (separa), ",""))&amp;IF(H42="✗",TEXT(H$28,"mmm yy")&amp;", ",IF(H42="½",TEXT(H$28,"mmm yy")&amp;" (separa), ",""))&amp;IF(I42="✗",TEXT(I$28,"mmm yy")&amp;", ",IF(I42="½",TEXT(I$28,"mmm yy")&amp;" (separa), ",""))&amp;IF(J42="✗",TEXT(J$28,"mmm yy")&amp;", ",IF(J42="½",TEXT(J$28,"mmm yy")&amp;" (separa), ",""))&amp;IF(K42="✗",TEXT(K$28,"mmm yy")&amp;", ",IF(K42="½",TEXT(K$28,"mmm yy")&amp;" (separa), ",""))&amp;IF(L42="✗",TEXT(L$28,"mmm yy")&amp;", ",IF(L42="½",TEXT(L$28,"mmm yy")&amp;" (separa), ",""))&amp;IF(M42="✗",TEXT(M$28,"mmm yy")&amp;", ",IF(M42="½",TEXT(M$28,"mmm yy")&amp;" (separa), ",""))&amp;IF(N42="✗",TEXT(N$28,"mmm yy")&amp;", ",IF(N42="½",TEXT(N$28,"mmm yy")&amp;" (separa), ",""))&amp;IF(O42="✗",TEXT(O$28,"mmm yy")&amp;", ",IF(O42="½",TEXT(O$28,"mmm yy")&amp;" (separa), ",""))&amp;IF(P42="✗",TEXT(P$28,"mmm yy")&amp;", ",IF(P42="½",TEXT(P$28,"mmm yy")&amp;" (separa), ",""))&amp;IF(Q42="✗",TEXT(Q$28,"mmm yy")&amp;", ",IF(Q42="½",TEXT(Q$28,"mmm yy")&amp;" (separa), ",""))&amp;IF(R42="✗",TEXT(R$28,"mmm yy")&amp;", ",IF(R42="½",TEXT(R$28,"mmm yy")&amp;" (separa), ",""))&amp;IF(S42="✗",TEXT(S$28,"mmm yy")&amp;", ",IF(S42="½",TEXT(S$28,"mmm yy")&amp;" (separa), ",""))&amp;IF(T42="✗",TEXT(T$28,"mmm yy")&amp;", ",IF(T42="½",TEXT(T$28,"mmm yy")&amp;" (separa), ",""))</f>
        <v/>
      </c>
    </row>
    <row r="43">
      <c r="A43" s="41">
        <f>IF(Tetapan!A19="","",Tetapan!A19)</f>
        <v/>
      </c>
      <c r="B43" s="42">
        <f>IF($A43="","",IF(OR(B$28&lt;Tetapan!$B19,AND(Tetapan!$C19&lt;&gt;"",B$28&gt;Tetapan!$C19),Tetapan!$D19=0),"–",IF(SUMPRODUCT((Transaksi!$C$2:$C$2001=$A43)*(Transaksi!$N$2:$N$2001&lt;=B$28)*(Transaksi!$O$2:$O$2001&gt;=B$28)*(Transaksi!$Q$2:$Q$2001&gt;=Tetapan!$D19-0.01))&gt;0,"✓",IF(SUMPRODUCT((Transaksi!$C$2:$C$2001=$A43)*(Transaksi!$N$2:$N$2001&lt;=B$28)*(Transaksi!$O$2:$O$2001&gt;=B$28)*(Transaksi!$Q$2:$Q$2001&gt;0))&gt;0,"½",IF(B$28&gt;TODAY(),"·","✗")))))</f>
        <v/>
      </c>
      <c r="C43" s="42">
        <f>IF($A43="","",IF(OR(C$28&lt;Tetapan!$B19,AND(Tetapan!$C19&lt;&gt;"",C$28&gt;Tetapan!$C19),Tetapan!$D19=0),"–",IF(SUMPRODUCT((Transaksi!$C$2:$C$2001=$A43)*(Transaksi!$N$2:$N$2001&lt;=C$28)*(Transaksi!$O$2:$O$2001&gt;=C$28)*(Transaksi!$Q$2:$Q$2001&gt;=Tetapan!$D19-0.01))&gt;0,"✓",IF(SUMPRODUCT((Transaksi!$C$2:$C$2001=$A43)*(Transaksi!$N$2:$N$2001&lt;=C$28)*(Transaksi!$O$2:$O$2001&gt;=C$28)*(Transaksi!$Q$2:$Q$2001&gt;0))&gt;0,"½",IF(C$28&gt;TODAY(),"·","✗")))))</f>
        <v/>
      </c>
      <c r="D43" s="42">
        <f>IF($A43="","",IF(OR(D$28&lt;Tetapan!$B19,AND(Tetapan!$C19&lt;&gt;"",D$28&gt;Tetapan!$C19),Tetapan!$D19=0),"–",IF(SUMPRODUCT((Transaksi!$C$2:$C$2001=$A43)*(Transaksi!$N$2:$N$2001&lt;=D$28)*(Transaksi!$O$2:$O$2001&gt;=D$28)*(Transaksi!$Q$2:$Q$2001&gt;=Tetapan!$D19-0.01))&gt;0,"✓",IF(SUMPRODUCT((Transaksi!$C$2:$C$2001=$A43)*(Transaksi!$N$2:$N$2001&lt;=D$28)*(Transaksi!$O$2:$O$2001&gt;=D$28)*(Transaksi!$Q$2:$Q$2001&gt;0))&gt;0,"½",IF(D$28&gt;TODAY(),"·","✗")))))</f>
        <v/>
      </c>
      <c r="E43" s="42">
        <f>IF($A43="","",IF(OR(E$28&lt;Tetapan!$B19,AND(Tetapan!$C19&lt;&gt;"",E$28&gt;Tetapan!$C19),Tetapan!$D19=0),"–",IF(SUMPRODUCT((Transaksi!$C$2:$C$2001=$A43)*(Transaksi!$N$2:$N$2001&lt;=E$28)*(Transaksi!$O$2:$O$2001&gt;=E$28)*(Transaksi!$Q$2:$Q$2001&gt;=Tetapan!$D19-0.01))&gt;0,"✓",IF(SUMPRODUCT((Transaksi!$C$2:$C$2001=$A43)*(Transaksi!$N$2:$N$2001&lt;=E$28)*(Transaksi!$O$2:$O$2001&gt;=E$28)*(Transaksi!$Q$2:$Q$2001&gt;0))&gt;0,"½",IF(E$28&gt;TODAY(),"·","✗")))))</f>
        <v/>
      </c>
      <c r="F43" s="42">
        <f>IF($A43="","",IF(OR(F$28&lt;Tetapan!$B19,AND(Tetapan!$C19&lt;&gt;"",F$28&gt;Tetapan!$C19),Tetapan!$D19=0),"–",IF(SUMPRODUCT((Transaksi!$C$2:$C$2001=$A43)*(Transaksi!$N$2:$N$2001&lt;=F$28)*(Transaksi!$O$2:$O$2001&gt;=F$28)*(Transaksi!$Q$2:$Q$2001&gt;=Tetapan!$D19-0.01))&gt;0,"✓",IF(SUMPRODUCT((Transaksi!$C$2:$C$2001=$A43)*(Transaksi!$N$2:$N$2001&lt;=F$28)*(Transaksi!$O$2:$O$2001&gt;=F$28)*(Transaksi!$Q$2:$Q$2001&gt;0))&gt;0,"½",IF(F$28&gt;TODAY(),"·","✗")))))</f>
        <v/>
      </c>
      <c r="G43" s="42">
        <f>IF($A43="","",IF(OR(G$28&lt;Tetapan!$B19,AND(Tetapan!$C19&lt;&gt;"",G$28&gt;Tetapan!$C19),Tetapan!$D19=0),"–",IF(SUMPRODUCT((Transaksi!$C$2:$C$2001=$A43)*(Transaksi!$N$2:$N$2001&lt;=G$28)*(Transaksi!$O$2:$O$2001&gt;=G$28)*(Transaksi!$Q$2:$Q$2001&gt;=Tetapan!$D19-0.01))&gt;0,"✓",IF(SUMPRODUCT((Transaksi!$C$2:$C$2001=$A43)*(Transaksi!$N$2:$N$2001&lt;=G$28)*(Transaksi!$O$2:$O$2001&gt;=G$28)*(Transaksi!$Q$2:$Q$2001&gt;0))&gt;0,"½",IF(G$28&gt;TODAY(),"·","✗")))))</f>
        <v/>
      </c>
      <c r="H43" s="42">
        <f>IF($A43="","",IF(OR(H$28&lt;Tetapan!$B19,AND(Tetapan!$C19&lt;&gt;"",H$28&gt;Tetapan!$C19),Tetapan!$D19=0),"–",IF(SUMPRODUCT((Transaksi!$C$2:$C$2001=$A43)*(Transaksi!$N$2:$N$2001&lt;=H$28)*(Transaksi!$O$2:$O$2001&gt;=H$28)*(Transaksi!$Q$2:$Q$2001&gt;=Tetapan!$D19-0.01))&gt;0,"✓",IF(SUMPRODUCT((Transaksi!$C$2:$C$2001=$A43)*(Transaksi!$N$2:$N$2001&lt;=H$28)*(Transaksi!$O$2:$O$2001&gt;=H$28)*(Transaksi!$Q$2:$Q$2001&gt;0))&gt;0,"½",IF(H$28&gt;TODAY(),"·","✗")))))</f>
        <v/>
      </c>
      <c r="I43" s="42">
        <f>IF($A43="","",IF(OR(I$28&lt;Tetapan!$B19,AND(Tetapan!$C19&lt;&gt;"",I$28&gt;Tetapan!$C19),Tetapan!$D19=0),"–",IF(SUMPRODUCT((Transaksi!$C$2:$C$2001=$A43)*(Transaksi!$N$2:$N$2001&lt;=I$28)*(Transaksi!$O$2:$O$2001&gt;=I$28)*(Transaksi!$Q$2:$Q$2001&gt;=Tetapan!$D19-0.01))&gt;0,"✓",IF(SUMPRODUCT((Transaksi!$C$2:$C$2001=$A43)*(Transaksi!$N$2:$N$2001&lt;=I$28)*(Transaksi!$O$2:$O$2001&gt;=I$28)*(Transaksi!$Q$2:$Q$2001&gt;0))&gt;0,"½",IF(I$28&gt;TODAY(),"·","✗")))))</f>
        <v/>
      </c>
      <c r="J43" s="42">
        <f>IF($A43="","",IF(OR(J$28&lt;Tetapan!$B19,AND(Tetapan!$C19&lt;&gt;"",J$28&gt;Tetapan!$C19),Tetapan!$D19=0),"–",IF(SUMPRODUCT((Transaksi!$C$2:$C$2001=$A43)*(Transaksi!$N$2:$N$2001&lt;=J$28)*(Transaksi!$O$2:$O$2001&gt;=J$28)*(Transaksi!$Q$2:$Q$2001&gt;=Tetapan!$D19-0.01))&gt;0,"✓",IF(SUMPRODUCT((Transaksi!$C$2:$C$2001=$A43)*(Transaksi!$N$2:$N$2001&lt;=J$28)*(Transaksi!$O$2:$O$2001&gt;=J$28)*(Transaksi!$Q$2:$Q$2001&gt;0))&gt;0,"½",IF(J$28&gt;TODAY(),"·","✗")))))</f>
        <v/>
      </c>
      <c r="K43" s="42">
        <f>IF($A43="","",IF(OR(K$28&lt;Tetapan!$B19,AND(Tetapan!$C19&lt;&gt;"",K$28&gt;Tetapan!$C19),Tetapan!$D19=0),"–",IF(SUMPRODUCT((Transaksi!$C$2:$C$2001=$A43)*(Transaksi!$N$2:$N$2001&lt;=K$28)*(Transaksi!$O$2:$O$2001&gt;=K$28)*(Transaksi!$Q$2:$Q$2001&gt;=Tetapan!$D19-0.01))&gt;0,"✓",IF(SUMPRODUCT((Transaksi!$C$2:$C$2001=$A43)*(Transaksi!$N$2:$N$2001&lt;=K$28)*(Transaksi!$O$2:$O$2001&gt;=K$28)*(Transaksi!$Q$2:$Q$2001&gt;0))&gt;0,"½",IF(K$28&gt;TODAY(),"·","✗")))))</f>
        <v/>
      </c>
      <c r="L43" s="42">
        <f>IF($A43="","",IF(OR(L$28&lt;Tetapan!$B19,AND(Tetapan!$C19&lt;&gt;"",L$28&gt;Tetapan!$C19),Tetapan!$D19=0),"–",IF(SUMPRODUCT((Transaksi!$C$2:$C$2001=$A43)*(Transaksi!$N$2:$N$2001&lt;=L$28)*(Transaksi!$O$2:$O$2001&gt;=L$28)*(Transaksi!$Q$2:$Q$2001&gt;=Tetapan!$D19-0.01))&gt;0,"✓",IF(SUMPRODUCT((Transaksi!$C$2:$C$2001=$A43)*(Transaksi!$N$2:$N$2001&lt;=L$28)*(Transaksi!$O$2:$O$2001&gt;=L$28)*(Transaksi!$Q$2:$Q$2001&gt;0))&gt;0,"½",IF(L$28&gt;TODAY(),"·","✗")))))</f>
        <v/>
      </c>
      <c r="M43" s="42">
        <f>IF($A43="","",IF(OR(M$28&lt;Tetapan!$B19,AND(Tetapan!$C19&lt;&gt;"",M$28&gt;Tetapan!$C19),Tetapan!$D19=0),"–",IF(SUMPRODUCT((Transaksi!$C$2:$C$2001=$A43)*(Transaksi!$N$2:$N$2001&lt;=M$28)*(Transaksi!$O$2:$O$2001&gt;=M$28)*(Transaksi!$Q$2:$Q$2001&gt;=Tetapan!$D19-0.01))&gt;0,"✓",IF(SUMPRODUCT((Transaksi!$C$2:$C$2001=$A43)*(Transaksi!$N$2:$N$2001&lt;=M$28)*(Transaksi!$O$2:$O$2001&gt;=M$28)*(Transaksi!$Q$2:$Q$2001&gt;0))&gt;0,"½",IF(M$28&gt;TODAY(),"·","✗")))))</f>
        <v/>
      </c>
      <c r="N43" s="42">
        <f>IF($A43="","",IF(OR(N$28&lt;Tetapan!$B19,AND(Tetapan!$C19&lt;&gt;"",N$28&gt;Tetapan!$C19),Tetapan!$D19=0),"–",IF(SUMPRODUCT((Transaksi!$C$2:$C$2001=$A43)*(Transaksi!$N$2:$N$2001&lt;=N$28)*(Transaksi!$O$2:$O$2001&gt;=N$28)*(Transaksi!$Q$2:$Q$2001&gt;=Tetapan!$D19-0.01))&gt;0,"✓",IF(SUMPRODUCT((Transaksi!$C$2:$C$2001=$A43)*(Transaksi!$N$2:$N$2001&lt;=N$28)*(Transaksi!$O$2:$O$2001&gt;=N$28)*(Transaksi!$Q$2:$Q$2001&gt;0))&gt;0,"½",IF(N$28&gt;TODAY(),"·","✗")))))</f>
        <v/>
      </c>
      <c r="O43" s="42">
        <f>IF($A43="","",IF(OR(O$28&lt;Tetapan!$B19,AND(Tetapan!$C19&lt;&gt;"",O$28&gt;Tetapan!$C19),Tetapan!$D19=0),"–",IF(SUMPRODUCT((Transaksi!$C$2:$C$2001=$A43)*(Transaksi!$N$2:$N$2001&lt;=O$28)*(Transaksi!$O$2:$O$2001&gt;=O$28)*(Transaksi!$Q$2:$Q$2001&gt;=Tetapan!$D19-0.01))&gt;0,"✓",IF(SUMPRODUCT((Transaksi!$C$2:$C$2001=$A43)*(Transaksi!$N$2:$N$2001&lt;=O$28)*(Transaksi!$O$2:$O$2001&gt;=O$28)*(Transaksi!$Q$2:$Q$2001&gt;0))&gt;0,"½",IF(O$28&gt;TODAY(),"·","✗")))))</f>
        <v/>
      </c>
      <c r="P43" s="42">
        <f>IF($A43="","",IF(OR(P$28&lt;Tetapan!$B19,AND(Tetapan!$C19&lt;&gt;"",P$28&gt;Tetapan!$C19),Tetapan!$D19=0),"–",IF(SUMPRODUCT((Transaksi!$C$2:$C$2001=$A43)*(Transaksi!$N$2:$N$2001&lt;=P$28)*(Transaksi!$O$2:$O$2001&gt;=P$28)*(Transaksi!$Q$2:$Q$2001&gt;=Tetapan!$D19-0.01))&gt;0,"✓",IF(SUMPRODUCT((Transaksi!$C$2:$C$2001=$A43)*(Transaksi!$N$2:$N$2001&lt;=P$28)*(Transaksi!$O$2:$O$2001&gt;=P$28)*(Transaksi!$Q$2:$Q$2001&gt;0))&gt;0,"½",IF(P$28&gt;TODAY(),"·","✗")))))</f>
        <v/>
      </c>
      <c r="Q43" s="42">
        <f>IF($A43="","",IF(OR(Q$28&lt;Tetapan!$B19,AND(Tetapan!$C19&lt;&gt;"",Q$28&gt;Tetapan!$C19),Tetapan!$D19=0),"–",IF(SUMPRODUCT((Transaksi!$C$2:$C$2001=$A43)*(Transaksi!$N$2:$N$2001&lt;=Q$28)*(Transaksi!$O$2:$O$2001&gt;=Q$28)*(Transaksi!$Q$2:$Q$2001&gt;=Tetapan!$D19-0.01))&gt;0,"✓",IF(SUMPRODUCT((Transaksi!$C$2:$C$2001=$A43)*(Transaksi!$N$2:$N$2001&lt;=Q$28)*(Transaksi!$O$2:$O$2001&gt;=Q$28)*(Transaksi!$Q$2:$Q$2001&gt;0))&gt;0,"½",IF(Q$28&gt;TODAY(),"·","✗")))))</f>
        <v/>
      </c>
      <c r="R43" s="42">
        <f>IF($A43="","",IF(OR(R$28&lt;Tetapan!$B19,AND(Tetapan!$C19&lt;&gt;"",R$28&gt;Tetapan!$C19),Tetapan!$D19=0),"–",IF(SUMPRODUCT((Transaksi!$C$2:$C$2001=$A43)*(Transaksi!$N$2:$N$2001&lt;=R$28)*(Transaksi!$O$2:$O$2001&gt;=R$28)*(Transaksi!$Q$2:$Q$2001&gt;=Tetapan!$D19-0.01))&gt;0,"✓",IF(SUMPRODUCT((Transaksi!$C$2:$C$2001=$A43)*(Transaksi!$N$2:$N$2001&lt;=R$28)*(Transaksi!$O$2:$O$2001&gt;=R$28)*(Transaksi!$Q$2:$Q$2001&gt;0))&gt;0,"½",IF(R$28&gt;TODAY(),"·","✗")))))</f>
        <v/>
      </c>
      <c r="S43" s="42">
        <f>IF($A43="","",IF(OR(S$28&lt;Tetapan!$B19,AND(Tetapan!$C19&lt;&gt;"",S$28&gt;Tetapan!$C19),Tetapan!$D19=0),"–",IF(SUMPRODUCT((Transaksi!$C$2:$C$2001=$A43)*(Transaksi!$N$2:$N$2001&lt;=S$28)*(Transaksi!$O$2:$O$2001&gt;=S$28)*(Transaksi!$Q$2:$Q$2001&gt;=Tetapan!$D19-0.01))&gt;0,"✓",IF(SUMPRODUCT((Transaksi!$C$2:$C$2001=$A43)*(Transaksi!$N$2:$N$2001&lt;=S$28)*(Transaksi!$O$2:$O$2001&gt;=S$28)*(Transaksi!$Q$2:$Q$2001&gt;0))&gt;0,"½",IF(S$28&gt;TODAY(),"·","✗")))))</f>
        <v/>
      </c>
      <c r="T43" s="42">
        <f>IF($A43="","",IF(OR(T$28&lt;Tetapan!$B19,AND(Tetapan!$C19&lt;&gt;"",T$28&gt;Tetapan!$C19),Tetapan!$D19=0),"–",IF(SUMPRODUCT((Transaksi!$C$2:$C$2001=$A43)*(Transaksi!$N$2:$N$2001&lt;=T$28)*(Transaksi!$O$2:$O$2001&gt;=T$28)*(Transaksi!$Q$2:$Q$2001&gt;=Tetapan!$D19-0.01))&gt;0,"✓",IF(SUMPRODUCT((Transaksi!$C$2:$C$2001=$A43)*(Transaksi!$N$2:$N$2001&lt;=T$28)*(Transaksi!$O$2:$O$2001&gt;=T$28)*(Transaksi!$Q$2:$Q$2001&gt;0))&gt;0,"½",IF(T$28&gt;TODAY(),"·","✗")))))</f>
        <v/>
      </c>
      <c r="W43" s="12">
        <f>IF(B43="✗",TEXT(B$28,"mmm yy")&amp;", ",IF(B43="½",TEXT(B$28,"mmm yy")&amp;" (separa), ",""))&amp;IF(C43="✗",TEXT(C$28,"mmm yy")&amp;", ",IF(C43="½",TEXT(C$28,"mmm yy")&amp;" (separa), ",""))&amp;IF(D43="✗",TEXT(D$28,"mmm yy")&amp;", ",IF(D43="½",TEXT(D$28,"mmm yy")&amp;" (separa), ",""))&amp;IF(E43="✗",TEXT(E$28,"mmm yy")&amp;", ",IF(E43="½",TEXT(E$28,"mmm yy")&amp;" (separa), ",""))&amp;IF(F43="✗",TEXT(F$28,"mmm yy")&amp;", ",IF(F43="½",TEXT(F$28,"mmm yy")&amp;" (separa), ",""))&amp;IF(G43="✗",TEXT(G$28,"mmm yy")&amp;", ",IF(G43="½",TEXT(G$28,"mmm yy")&amp;" (separa), ",""))&amp;IF(H43="✗",TEXT(H$28,"mmm yy")&amp;", ",IF(H43="½",TEXT(H$28,"mmm yy")&amp;" (separa), ",""))&amp;IF(I43="✗",TEXT(I$28,"mmm yy")&amp;", ",IF(I43="½",TEXT(I$28,"mmm yy")&amp;" (separa), ",""))&amp;IF(J43="✗",TEXT(J$28,"mmm yy")&amp;", ",IF(J43="½",TEXT(J$28,"mmm yy")&amp;" (separa), ",""))&amp;IF(K43="✗",TEXT(K$28,"mmm yy")&amp;", ",IF(K43="½",TEXT(K$28,"mmm yy")&amp;" (separa), ",""))&amp;IF(L43="✗",TEXT(L$28,"mmm yy")&amp;", ",IF(L43="½",TEXT(L$28,"mmm yy")&amp;" (separa), ",""))&amp;IF(M43="✗",TEXT(M$28,"mmm yy")&amp;", ",IF(M43="½",TEXT(M$28,"mmm yy")&amp;" (separa), ",""))&amp;IF(N43="✗",TEXT(N$28,"mmm yy")&amp;", ",IF(N43="½",TEXT(N$28,"mmm yy")&amp;" (separa), ",""))&amp;IF(O43="✗",TEXT(O$28,"mmm yy")&amp;", ",IF(O43="½",TEXT(O$28,"mmm yy")&amp;" (separa), ",""))&amp;IF(P43="✗",TEXT(P$28,"mmm yy")&amp;", ",IF(P43="½",TEXT(P$28,"mmm yy")&amp;" (separa), ",""))&amp;IF(Q43="✗",TEXT(Q$28,"mmm yy")&amp;", ",IF(Q43="½",TEXT(Q$28,"mmm yy")&amp;" (separa), ",""))&amp;IF(R43="✗",TEXT(R$28,"mmm yy")&amp;", ",IF(R43="½",TEXT(R$28,"mmm yy")&amp;" (separa), ",""))&amp;IF(S43="✗",TEXT(S$28,"mmm yy")&amp;", ",IF(S43="½",TEXT(S$28,"mmm yy")&amp;" (separa), ",""))&amp;IF(T43="✗",TEXT(T$28,"mmm yy")&amp;", ",IF(T43="½",TEXT(T$28,"mmm yy")&amp;" (separa), ",""))</f>
        <v/>
      </c>
    </row>
    <row r="44">
      <c r="A44" s="41">
        <f>IF(Tetapan!A20="","",Tetapan!A20)</f>
        <v/>
      </c>
      <c r="B44" s="42">
        <f>IF($A44="","",IF(OR(B$28&lt;Tetapan!$B20,AND(Tetapan!$C20&lt;&gt;"",B$28&gt;Tetapan!$C20),Tetapan!$D20=0),"–",IF(SUMPRODUCT((Transaksi!$C$2:$C$2001=$A44)*(Transaksi!$N$2:$N$2001&lt;=B$28)*(Transaksi!$O$2:$O$2001&gt;=B$28)*(Transaksi!$Q$2:$Q$2001&gt;=Tetapan!$D20-0.01))&gt;0,"✓",IF(SUMPRODUCT((Transaksi!$C$2:$C$2001=$A44)*(Transaksi!$N$2:$N$2001&lt;=B$28)*(Transaksi!$O$2:$O$2001&gt;=B$28)*(Transaksi!$Q$2:$Q$2001&gt;0))&gt;0,"½",IF(B$28&gt;TODAY(),"·","✗")))))</f>
        <v/>
      </c>
      <c r="C44" s="42">
        <f>IF($A44="","",IF(OR(C$28&lt;Tetapan!$B20,AND(Tetapan!$C20&lt;&gt;"",C$28&gt;Tetapan!$C20),Tetapan!$D20=0),"–",IF(SUMPRODUCT((Transaksi!$C$2:$C$2001=$A44)*(Transaksi!$N$2:$N$2001&lt;=C$28)*(Transaksi!$O$2:$O$2001&gt;=C$28)*(Transaksi!$Q$2:$Q$2001&gt;=Tetapan!$D20-0.01))&gt;0,"✓",IF(SUMPRODUCT((Transaksi!$C$2:$C$2001=$A44)*(Transaksi!$N$2:$N$2001&lt;=C$28)*(Transaksi!$O$2:$O$2001&gt;=C$28)*(Transaksi!$Q$2:$Q$2001&gt;0))&gt;0,"½",IF(C$28&gt;TODAY(),"·","✗")))))</f>
        <v/>
      </c>
      <c r="D44" s="42">
        <f>IF($A44="","",IF(OR(D$28&lt;Tetapan!$B20,AND(Tetapan!$C20&lt;&gt;"",D$28&gt;Tetapan!$C20),Tetapan!$D20=0),"–",IF(SUMPRODUCT((Transaksi!$C$2:$C$2001=$A44)*(Transaksi!$N$2:$N$2001&lt;=D$28)*(Transaksi!$O$2:$O$2001&gt;=D$28)*(Transaksi!$Q$2:$Q$2001&gt;=Tetapan!$D20-0.01))&gt;0,"✓",IF(SUMPRODUCT((Transaksi!$C$2:$C$2001=$A44)*(Transaksi!$N$2:$N$2001&lt;=D$28)*(Transaksi!$O$2:$O$2001&gt;=D$28)*(Transaksi!$Q$2:$Q$2001&gt;0))&gt;0,"½",IF(D$28&gt;TODAY(),"·","✗")))))</f>
        <v/>
      </c>
      <c r="E44" s="42">
        <f>IF($A44="","",IF(OR(E$28&lt;Tetapan!$B20,AND(Tetapan!$C20&lt;&gt;"",E$28&gt;Tetapan!$C20),Tetapan!$D20=0),"–",IF(SUMPRODUCT((Transaksi!$C$2:$C$2001=$A44)*(Transaksi!$N$2:$N$2001&lt;=E$28)*(Transaksi!$O$2:$O$2001&gt;=E$28)*(Transaksi!$Q$2:$Q$2001&gt;=Tetapan!$D20-0.01))&gt;0,"✓",IF(SUMPRODUCT((Transaksi!$C$2:$C$2001=$A44)*(Transaksi!$N$2:$N$2001&lt;=E$28)*(Transaksi!$O$2:$O$2001&gt;=E$28)*(Transaksi!$Q$2:$Q$2001&gt;0))&gt;0,"½",IF(E$28&gt;TODAY(),"·","✗")))))</f>
        <v/>
      </c>
      <c r="F44" s="42">
        <f>IF($A44="","",IF(OR(F$28&lt;Tetapan!$B20,AND(Tetapan!$C20&lt;&gt;"",F$28&gt;Tetapan!$C20),Tetapan!$D20=0),"–",IF(SUMPRODUCT((Transaksi!$C$2:$C$2001=$A44)*(Transaksi!$N$2:$N$2001&lt;=F$28)*(Transaksi!$O$2:$O$2001&gt;=F$28)*(Transaksi!$Q$2:$Q$2001&gt;=Tetapan!$D20-0.01))&gt;0,"✓",IF(SUMPRODUCT((Transaksi!$C$2:$C$2001=$A44)*(Transaksi!$N$2:$N$2001&lt;=F$28)*(Transaksi!$O$2:$O$2001&gt;=F$28)*(Transaksi!$Q$2:$Q$2001&gt;0))&gt;0,"½",IF(F$28&gt;TODAY(),"·","✗")))))</f>
        <v/>
      </c>
      <c r="G44" s="42">
        <f>IF($A44="","",IF(OR(G$28&lt;Tetapan!$B20,AND(Tetapan!$C20&lt;&gt;"",G$28&gt;Tetapan!$C20),Tetapan!$D20=0),"–",IF(SUMPRODUCT((Transaksi!$C$2:$C$2001=$A44)*(Transaksi!$N$2:$N$2001&lt;=G$28)*(Transaksi!$O$2:$O$2001&gt;=G$28)*(Transaksi!$Q$2:$Q$2001&gt;=Tetapan!$D20-0.01))&gt;0,"✓",IF(SUMPRODUCT((Transaksi!$C$2:$C$2001=$A44)*(Transaksi!$N$2:$N$2001&lt;=G$28)*(Transaksi!$O$2:$O$2001&gt;=G$28)*(Transaksi!$Q$2:$Q$2001&gt;0))&gt;0,"½",IF(G$28&gt;TODAY(),"·","✗")))))</f>
        <v/>
      </c>
      <c r="H44" s="42">
        <f>IF($A44="","",IF(OR(H$28&lt;Tetapan!$B20,AND(Tetapan!$C20&lt;&gt;"",H$28&gt;Tetapan!$C20),Tetapan!$D20=0),"–",IF(SUMPRODUCT((Transaksi!$C$2:$C$2001=$A44)*(Transaksi!$N$2:$N$2001&lt;=H$28)*(Transaksi!$O$2:$O$2001&gt;=H$28)*(Transaksi!$Q$2:$Q$2001&gt;=Tetapan!$D20-0.01))&gt;0,"✓",IF(SUMPRODUCT((Transaksi!$C$2:$C$2001=$A44)*(Transaksi!$N$2:$N$2001&lt;=H$28)*(Transaksi!$O$2:$O$2001&gt;=H$28)*(Transaksi!$Q$2:$Q$2001&gt;0))&gt;0,"½",IF(H$28&gt;TODAY(),"·","✗")))))</f>
        <v/>
      </c>
      <c r="I44" s="42">
        <f>IF($A44="","",IF(OR(I$28&lt;Tetapan!$B20,AND(Tetapan!$C20&lt;&gt;"",I$28&gt;Tetapan!$C20),Tetapan!$D20=0),"–",IF(SUMPRODUCT((Transaksi!$C$2:$C$2001=$A44)*(Transaksi!$N$2:$N$2001&lt;=I$28)*(Transaksi!$O$2:$O$2001&gt;=I$28)*(Transaksi!$Q$2:$Q$2001&gt;=Tetapan!$D20-0.01))&gt;0,"✓",IF(SUMPRODUCT((Transaksi!$C$2:$C$2001=$A44)*(Transaksi!$N$2:$N$2001&lt;=I$28)*(Transaksi!$O$2:$O$2001&gt;=I$28)*(Transaksi!$Q$2:$Q$2001&gt;0))&gt;0,"½",IF(I$28&gt;TODAY(),"·","✗")))))</f>
        <v/>
      </c>
      <c r="J44" s="42">
        <f>IF($A44="","",IF(OR(J$28&lt;Tetapan!$B20,AND(Tetapan!$C20&lt;&gt;"",J$28&gt;Tetapan!$C20),Tetapan!$D20=0),"–",IF(SUMPRODUCT((Transaksi!$C$2:$C$2001=$A44)*(Transaksi!$N$2:$N$2001&lt;=J$28)*(Transaksi!$O$2:$O$2001&gt;=J$28)*(Transaksi!$Q$2:$Q$2001&gt;=Tetapan!$D20-0.01))&gt;0,"✓",IF(SUMPRODUCT((Transaksi!$C$2:$C$2001=$A44)*(Transaksi!$N$2:$N$2001&lt;=J$28)*(Transaksi!$O$2:$O$2001&gt;=J$28)*(Transaksi!$Q$2:$Q$2001&gt;0))&gt;0,"½",IF(J$28&gt;TODAY(),"·","✗")))))</f>
        <v/>
      </c>
      <c r="K44" s="42">
        <f>IF($A44="","",IF(OR(K$28&lt;Tetapan!$B20,AND(Tetapan!$C20&lt;&gt;"",K$28&gt;Tetapan!$C20),Tetapan!$D20=0),"–",IF(SUMPRODUCT((Transaksi!$C$2:$C$2001=$A44)*(Transaksi!$N$2:$N$2001&lt;=K$28)*(Transaksi!$O$2:$O$2001&gt;=K$28)*(Transaksi!$Q$2:$Q$2001&gt;=Tetapan!$D20-0.01))&gt;0,"✓",IF(SUMPRODUCT((Transaksi!$C$2:$C$2001=$A44)*(Transaksi!$N$2:$N$2001&lt;=K$28)*(Transaksi!$O$2:$O$2001&gt;=K$28)*(Transaksi!$Q$2:$Q$2001&gt;0))&gt;0,"½",IF(K$28&gt;TODAY(),"·","✗")))))</f>
        <v/>
      </c>
      <c r="L44" s="42">
        <f>IF($A44="","",IF(OR(L$28&lt;Tetapan!$B20,AND(Tetapan!$C20&lt;&gt;"",L$28&gt;Tetapan!$C20),Tetapan!$D20=0),"–",IF(SUMPRODUCT((Transaksi!$C$2:$C$2001=$A44)*(Transaksi!$N$2:$N$2001&lt;=L$28)*(Transaksi!$O$2:$O$2001&gt;=L$28)*(Transaksi!$Q$2:$Q$2001&gt;=Tetapan!$D20-0.01))&gt;0,"✓",IF(SUMPRODUCT((Transaksi!$C$2:$C$2001=$A44)*(Transaksi!$N$2:$N$2001&lt;=L$28)*(Transaksi!$O$2:$O$2001&gt;=L$28)*(Transaksi!$Q$2:$Q$2001&gt;0))&gt;0,"½",IF(L$28&gt;TODAY(),"·","✗")))))</f>
        <v/>
      </c>
      <c r="M44" s="42">
        <f>IF($A44="","",IF(OR(M$28&lt;Tetapan!$B20,AND(Tetapan!$C20&lt;&gt;"",M$28&gt;Tetapan!$C20),Tetapan!$D20=0),"–",IF(SUMPRODUCT((Transaksi!$C$2:$C$2001=$A44)*(Transaksi!$N$2:$N$2001&lt;=M$28)*(Transaksi!$O$2:$O$2001&gt;=M$28)*(Transaksi!$Q$2:$Q$2001&gt;=Tetapan!$D20-0.01))&gt;0,"✓",IF(SUMPRODUCT((Transaksi!$C$2:$C$2001=$A44)*(Transaksi!$N$2:$N$2001&lt;=M$28)*(Transaksi!$O$2:$O$2001&gt;=M$28)*(Transaksi!$Q$2:$Q$2001&gt;0))&gt;0,"½",IF(M$28&gt;TODAY(),"·","✗")))))</f>
        <v/>
      </c>
      <c r="N44" s="42">
        <f>IF($A44="","",IF(OR(N$28&lt;Tetapan!$B20,AND(Tetapan!$C20&lt;&gt;"",N$28&gt;Tetapan!$C20),Tetapan!$D20=0),"–",IF(SUMPRODUCT((Transaksi!$C$2:$C$2001=$A44)*(Transaksi!$N$2:$N$2001&lt;=N$28)*(Transaksi!$O$2:$O$2001&gt;=N$28)*(Transaksi!$Q$2:$Q$2001&gt;=Tetapan!$D20-0.01))&gt;0,"✓",IF(SUMPRODUCT((Transaksi!$C$2:$C$2001=$A44)*(Transaksi!$N$2:$N$2001&lt;=N$28)*(Transaksi!$O$2:$O$2001&gt;=N$28)*(Transaksi!$Q$2:$Q$2001&gt;0))&gt;0,"½",IF(N$28&gt;TODAY(),"·","✗")))))</f>
        <v/>
      </c>
      <c r="O44" s="42">
        <f>IF($A44="","",IF(OR(O$28&lt;Tetapan!$B20,AND(Tetapan!$C20&lt;&gt;"",O$28&gt;Tetapan!$C20),Tetapan!$D20=0),"–",IF(SUMPRODUCT((Transaksi!$C$2:$C$2001=$A44)*(Transaksi!$N$2:$N$2001&lt;=O$28)*(Transaksi!$O$2:$O$2001&gt;=O$28)*(Transaksi!$Q$2:$Q$2001&gt;=Tetapan!$D20-0.01))&gt;0,"✓",IF(SUMPRODUCT((Transaksi!$C$2:$C$2001=$A44)*(Transaksi!$N$2:$N$2001&lt;=O$28)*(Transaksi!$O$2:$O$2001&gt;=O$28)*(Transaksi!$Q$2:$Q$2001&gt;0))&gt;0,"½",IF(O$28&gt;TODAY(),"·","✗")))))</f>
        <v/>
      </c>
      <c r="P44" s="42">
        <f>IF($A44="","",IF(OR(P$28&lt;Tetapan!$B20,AND(Tetapan!$C20&lt;&gt;"",P$28&gt;Tetapan!$C20),Tetapan!$D20=0),"–",IF(SUMPRODUCT((Transaksi!$C$2:$C$2001=$A44)*(Transaksi!$N$2:$N$2001&lt;=P$28)*(Transaksi!$O$2:$O$2001&gt;=P$28)*(Transaksi!$Q$2:$Q$2001&gt;=Tetapan!$D20-0.01))&gt;0,"✓",IF(SUMPRODUCT((Transaksi!$C$2:$C$2001=$A44)*(Transaksi!$N$2:$N$2001&lt;=P$28)*(Transaksi!$O$2:$O$2001&gt;=P$28)*(Transaksi!$Q$2:$Q$2001&gt;0))&gt;0,"½",IF(P$28&gt;TODAY(),"·","✗")))))</f>
        <v/>
      </c>
      <c r="Q44" s="42">
        <f>IF($A44="","",IF(OR(Q$28&lt;Tetapan!$B20,AND(Tetapan!$C20&lt;&gt;"",Q$28&gt;Tetapan!$C20),Tetapan!$D20=0),"–",IF(SUMPRODUCT((Transaksi!$C$2:$C$2001=$A44)*(Transaksi!$N$2:$N$2001&lt;=Q$28)*(Transaksi!$O$2:$O$2001&gt;=Q$28)*(Transaksi!$Q$2:$Q$2001&gt;=Tetapan!$D20-0.01))&gt;0,"✓",IF(SUMPRODUCT((Transaksi!$C$2:$C$2001=$A44)*(Transaksi!$N$2:$N$2001&lt;=Q$28)*(Transaksi!$O$2:$O$2001&gt;=Q$28)*(Transaksi!$Q$2:$Q$2001&gt;0))&gt;0,"½",IF(Q$28&gt;TODAY(),"·","✗")))))</f>
        <v/>
      </c>
      <c r="R44" s="42">
        <f>IF($A44="","",IF(OR(R$28&lt;Tetapan!$B20,AND(Tetapan!$C20&lt;&gt;"",R$28&gt;Tetapan!$C20),Tetapan!$D20=0),"–",IF(SUMPRODUCT((Transaksi!$C$2:$C$2001=$A44)*(Transaksi!$N$2:$N$2001&lt;=R$28)*(Transaksi!$O$2:$O$2001&gt;=R$28)*(Transaksi!$Q$2:$Q$2001&gt;=Tetapan!$D20-0.01))&gt;0,"✓",IF(SUMPRODUCT((Transaksi!$C$2:$C$2001=$A44)*(Transaksi!$N$2:$N$2001&lt;=R$28)*(Transaksi!$O$2:$O$2001&gt;=R$28)*(Transaksi!$Q$2:$Q$2001&gt;0))&gt;0,"½",IF(R$28&gt;TODAY(),"·","✗")))))</f>
        <v/>
      </c>
      <c r="S44" s="42">
        <f>IF($A44="","",IF(OR(S$28&lt;Tetapan!$B20,AND(Tetapan!$C20&lt;&gt;"",S$28&gt;Tetapan!$C20),Tetapan!$D20=0),"–",IF(SUMPRODUCT((Transaksi!$C$2:$C$2001=$A44)*(Transaksi!$N$2:$N$2001&lt;=S$28)*(Transaksi!$O$2:$O$2001&gt;=S$28)*(Transaksi!$Q$2:$Q$2001&gt;=Tetapan!$D20-0.01))&gt;0,"✓",IF(SUMPRODUCT((Transaksi!$C$2:$C$2001=$A44)*(Transaksi!$N$2:$N$2001&lt;=S$28)*(Transaksi!$O$2:$O$2001&gt;=S$28)*(Transaksi!$Q$2:$Q$2001&gt;0))&gt;0,"½",IF(S$28&gt;TODAY(),"·","✗")))))</f>
        <v/>
      </c>
      <c r="T44" s="42">
        <f>IF($A44="","",IF(OR(T$28&lt;Tetapan!$B20,AND(Tetapan!$C20&lt;&gt;"",T$28&gt;Tetapan!$C20),Tetapan!$D20=0),"–",IF(SUMPRODUCT((Transaksi!$C$2:$C$2001=$A44)*(Transaksi!$N$2:$N$2001&lt;=T$28)*(Transaksi!$O$2:$O$2001&gt;=T$28)*(Transaksi!$Q$2:$Q$2001&gt;=Tetapan!$D20-0.01))&gt;0,"✓",IF(SUMPRODUCT((Transaksi!$C$2:$C$2001=$A44)*(Transaksi!$N$2:$N$2001&lt;=T$28)*(Transaksi!$O$2:$O$2001&gt;=T$28)*(Transaksi!$Q$2:$Q$2001&gt;0))&gt;0,"½",IF(T$28&gt;TODAY(),"·","✗")))))</f>
        <v/>
      </c>
      <c r="W44" s="12">
        <f>IF(B44="✗",TEXT(B$28,"mmm yy")&amp;", ",IF(B44="½",TEXT(B$28,"mmm yy")&amp;" (separa), ",""))&amp;IF(C44="✗",TEXT(C$28,"mmm yy")&amp;", ",IF(C44="½",TEXT(C$28,"mmm yy")&amp;" (separa), ",""))&amp;IF(D44="✗",TEXT(D$28,"mmm yy")&amp;", ",IF(D44="½",TEXT(D$28,"mmm yy")&amp;" (separa), ",""))&amp;IF(E44="✗",TEXT(E$28,"mmm yy")&amp;", ",IF(E44="½",TEXT(E$28,"mmm yy")&amp;" (separa), ",""))&amp;IF(F44="✗",TEXT(F$28,"mmm yy")&amp;", ",IF(F44="½",TEXT(F$28,"mmm yy")&amp;" (separa), ",""))&amp;IF(G44="✗",TEXT(G$28,"mmm yy")&amp;", ",IF(G44="½",TEXT(G$28,"mmm yy")&amp;" (separa), ",""))&amp;IF(H44="✗",TEXT(H$28,"mmm yy")&amp;", ",IF(H44="½",TEXT(H$28,"mmm yy")&amp;" (separa), ",""))&amp;IF(I44="✗",TEXT(I$28,"mmm yy")&amp;", ",IF(I44="½",TEXT(I$28,"mmm yy")&amp;" (separa), ",""))&amp;IF(J44="✗",TEXT(J$28,"mmm yy")&amp;", ",IF(J44="½",TEXT(J$28,"mmm yy")&amp;" (separa), ",""))&amp;IF(K44="✗",TEXT(K$28,"mmm yy")&amp;", ",IF(K44="½",TEXT(K$28,"mmm yy")&amp;" (separa), ",""))&amp;IF(L44="✗",TEXT(L$28,"mmm yy")&amp;", ",IF(L44="½",TEXT(L$28,"mmm yy")&amp;" (separa), ",""))&amp;IF(M44="✗",TEXT(M$28,"mmm yy")&amp;", ",IF(M44="½",TEXT(M$28,"mmm yy")&amp;" (separa), ",""))&amp;IF(N44="✗",TEXT(N$28,"mmm yy")&amp;", ",IF(N44="½",TEXT(N$28,"mmm yy")&amp;" (separa), ",""))&amp;IF(O44="✗",TEXT(O$28,"mmm yy")&amp;", ",IF(O44="½",TEXT(O$28,"mmm yy")&amp;" (separa), ",""))&amp;IF(P44="✗",TEXT(P$28,"mmm yy")&amp;", ",IF(P44="½",TEXT(P$28,"mmm yy")&amp;" (separa), ",""))&amp;IF(Q44="✗",TEXT(Q$28,"mmm yy")&amp;", ",IF(Q44="½",TEXT(Q$28,"mmm yy")&amp;" (separa), ",""))&amp;IF(R44="✗",TEXT(R$28,"mmm yy")&amp;", ",IF(R44="½",TEXT(R$28,"mmm yy")&amp;" (separa), ",""))&amp;IF(S44="✗",TEXT(S$28,"mmm yy")&amp;", ",IF(S44="½",TEXT(S$28,"mmm yy")&amp;" (separa), ",""))&amp;IF(T44="✗",TEXT(T$28,"mmm yy")&amp;", ",IF(T44="½",TEXT(T$28,"mmm yy")&amp;" (separa), ",""))</f>
        <v/>
      </c>
    </row>
    <row r="45">
      <c r="A45" s="41">
        <f>IF(Tetapan!A21="","",Tetapan!A21)</f>
        <v/>
      </c>
      <c r="B45" s="42">
        <f>IF($A45="","",IF(OR(B$28&lt;Tetapan!$B21,AND(Tetapan!$C21&lt;&gt;"",B$28&gt;Tetapan!$C21),Tetapan!$D21=0),"–",IF(SUMPRODUCT((Transaksi!$C$2:$C$2001=$A45)*(Transaksi!$N$2:$N$2001&lt;=B$28)*(Transaksi!$O$2:$O$2001&gt;=B$28)*(Transaksi!$Q$2:$Q$2001&gt;=Tetapan!$D21-0.01))&gt;0,"✓",IF(SUMPRODUCT((Transaksi!$C$2:$C$2001=$A45)*(Transaksi!$N$2:$N$2001&lt;=B$28)*(Transaksi!$O$2:$O$2001&gt;=B$28)*(Transaksi!$Q$2:$Q$2001&gt;0))&gt;0,"½",IF(B$28&gt;TODAY(),"·","✗")))))</f>
        <v/>
      </c>
      <c r="C45" s="42">
        <f>IF($A45="","",IF(OR(C$28&lt;Tetapan!$B21,AND(Tetapan!$C21&lt;&gt;"",C$28&gt;Tetapan!$C21),Tetapan!$D21=0),"–",IF(SUMPRODUCT((Transaksi!$C$2:$C$2001=$A45)*(Transaksi!$N$2:$N$2001&lt;=C$28)*(Transaksi!$O$2:$O$2001&gt;=C$28)*(Transaksi!$Q$2:$Q$2001&gt;=Tetapan!$D21-0.01))&gt;0,"✓",IF(SUMPRODUCT((Transaksi!$C$2:$C$2001=$A45)*(Transaksi!$N$2:$N$2001&lt;=C$28)*(Transaksi!$O$2:$O$2001&gt;=C$28)*(Transaksi!$Q$2:$Q$2001&gt;0))&gt;0,"½",IF(C$28&gt;TODAY(),"·","✗")))))</f>
        <v/>
      </c>
      <c r="D45" s="42">
        <f>IF($A45="","",IF(OR(D$28&lt;Tetapan!$B21,AND(Tetapan!$C21&lt;&gt;"",D$28&gt;Tetapan!$C21),Tetapan!$D21=0),"–",IF(SUMPRODUCT((Transaksi!$C$2:$C$2001=$A45)*(Transaksi!$N$2:$N$2001&lt;=D$28)*(Transaksi!$O$2:$O$2001&gt;=D$28)*(Transaksi!$Q$2:$Q$2001&gt;=Tetapan!$D21-0.01))&gt;0,"✓",IF(SUMPRODUCT((Transaksi!$C$2:$C$2001=$A45)*(Transaksi!$N$2:$N$2001&lt;=D$28)*(Transaksi!$O$2:$O$2001&gt;=D$28)*(Transaksi!$Q$2:$Q$2001&gt;0))&gt;0,"½",IF(D$28&gt;TODAY(),"·","✗")))))</f>
        <v/>
      </c>
      <c r="E45" s="42">
        <f>IF($A45="","",IF(OR(E$28&lt;Tetapan!$B21,AND(Tetapan!$C21&lt;&gt;"",E$28&gt;Tetapan!$C21),Tetapan!$D21=0),"–",IF(SUMPRODUCT((Transaksi!$C$2:$C$2001=$A45)*(Transaksi!$N$2:$N$2001&lt;=E$28)*(Transaksi!$O$2:$O$2001&gt;=E$28)*(Transaksi!$Q$2:$Q$2001&gt;=Tetapan!$D21-0.01))&gt;0,"✓",IF(SUMPRODUCT((Transaksi!$C$2:$C$2001=$A45)*(Transaksi!$N$2:$N$2001&lt;=E$28)*(Transaksi!$O$2:$O$2001&gt;=E$28)*(Transaksi!$Q$2:$Q$2001&gt;0))&gt;0,"½",IF(E$28&gt;TODAY(),"·","✗")))))</f>
        <v/>
      </c>
      <c r="F45" s="42">
        <f>IF($A45="","",IF(OR(F$28&lt;Tetapan!$B21,AND(Tetapan!$C21&lt;&gt;"",F$28&gt;Tetapan!$C21),Tetapan!$D21=0),"–",IF(SUMPRODUCT((Transaksi!$C$2:$C$2001=$A45)*(Transaksi!$N$2:$N$2001&lt;=F$28)*(Transaksi!$O$2:$O$2001&gt;=F$28)*(Transaksi!$Q$2:$Q$2001&gt;=Tetapan!$D21-0.01))&gt;0,"✓",IF(SUMPRODUCT((Transaksi!$C$2:$C$2001=$A45)*(Transaksi!$N$2:$N$2001&lt;=F$28)*(Transaksi!$O$2:$O$2001&gt;=F$28)*(Transaksi!$Q$2:$Q$2001&gt;0))&gt;0,"½",IF(F$28&gt;TODAY(),"·","✗")))))</f>
        <v/>
      </c>
      <c r="G45" s="42">
        <f>IF($A45="","",IF(OR(G$28&lt;Tetapan!$B21,AND(Tetapan!$C21&lt;&gt;"",G$28&gt;Tetapan!$C21),Tetapan!$D21=0),"–",IF(SUMPRODUCT((Transaksi!$C$2:$C$2001=$A45)*(Transaksi!$N$2:$N$2001&lt;=G$28)*(Transaksi!$O$2:$O$2001&gt;=G$28)*(Transaksi!$Q$2:$Q$2001&gt;=Tetapan!$D21-0.01))&gt;0,"✓",IF(SUMPRODUCT((Transaksi!$C$2:$C$2001=$A45)*(Transaksi!$N$2:$N$2001&lt;=G$28)*(Transaksi!$O$2:$O$2001&gt;=G$28)*(Transaksi!$Q$2:$Q$2001&gt;0))&gt;0,"½",IF(G$28&gt;TODAY(),"·","✗")))))</f>
        <v/>
      </c>
      <c r="H45" s="42">
        <f>IF($A45="","",IF(OR(H$28&lt;Tetapan!$B21,AND(Tetapan!$C21&lt;&gt;"",H$28&gt;Tetapan!$C21),Tetapan!$D21=0),"–",IF(SUMPRODUCT((Transaksi!$C$2:$C$2001=$A45)*(Transaksi!$N$2:$N$2001&lt;=H$28)*(Transaksi!$O$2:$O$2001&gt;=H$28)*(Transaksi!$Q$2:$Q$2001&gt;=Tetapan!$D21-0.01))&gt;0,"✓",IF(SUMPRODUCT((Transaksi!$C$2:$C$2001=$A45)*(Transaksi!$N$2:$N$2001&lt;=H$28)*(Transaksi!$O$2:$O$2001&gt;=H$28)*(Transaksi!$Q$2:$Q$2001&gt;0))&gt;0,"½",IF(H$28&gt;TODAY(),"·","✗")))))</f>
        <v/>
      </c>
      <c r="I45" s="42">
        <f>IF($A45="","",IF(OR(I$28&lt;Tetapan!$B21,AND(Tetapan!$C21&lt;&gt;"",I$28&gt;Tetapan!$C21),Tetapan!$D21=0),"–",IF(SUMPRODUCT((Transaksi!$C$2:$C$2001=$A45)*(Transaksi!$N$2:$N$2001&lt;=I$28)*(Transaksi!$O$2:$O$2001&gt;=I$28)*(Transaksi!$Q$2:$Q$2001&gt;=Tetapan!$D21-0.01))&gt;0,"✓",IF(SUMPRODUCT((Transaksi!$C$2:$C$2001=$A45)*(Transaksi!$N$2:$N$2001&lt;=I$28)*(Transaksi!$O$2:$O$2001&gt;=I$28)*(Transaksi!$Q$2:$Q$2001&gt;0))&gt;0,"½",IF(I$28&gt;TODAY(),"·","✗")))))</f>
        <v/>
      </c>
      <c r="J45" s="42">
        <f>IF($A45="","",IF(OR(J$28&lt;Tetapan!$B21,AND(Tetapan!$C21&lt;&gt;"",J$28&gt;Tetapan!$C21),Tetapan!$D21=0),"–",IF(SUMPRODUCT((Transaksi!$C$2:$C$2001=$A45)*(Transaksi!$N$2:$N$2001&lt;=J$28)*(Transaksi!$O$2:$O$2001&gt;=J$28)*(Transaksi!$Q$2:$Q$2001&gt;=Tetapan!$D21-0.01))&gt;0,"✓",IF(SUMPRODUCT((Transaksi!$C$2:$C$2001=$A45)*(Transaksi!$N$2:$N$2001&lt;=J$28)*(Transaksi!$O$2:$O$2001&gt;=J$28)*(Transaksi!$Q$2:$Q$2001&gt;0))&gt;0,"½",IF(J$28&gt;TODAY(),"·","✗")))))</f>
        <v/>
      </c>
      <c r="K45" s="42">
        <f>IF($A45="","",IF(OR(K$28&lt;Tetapan!$B21,AND(Tetapan!$C21&lt;&gt;"",K$28&gt;Tetapan!$C21),Tetapan!$D21=0),"–",IF(SUMPRODUCT((Transaksi!$C$2:$C$2001=$A45)*(Transaksi!$N$2:$N$2001&lt;=K$28)*(Transaksi!$O$2:$O$2001&gt;=K$28)*(Transaksi!$Q$2:$Q$2001&gt;=Tetapan!$D21-0.01))&gt;0,"✓",IF(SUMPRODUCT((Transaksi!$C$2:$C$2001=$A45)*(Transaksi!$N$2:$N$2001&lt;=K$28)*(Transaksi!$O$2:$O$2001&gt;=K$28)*(Transaksi!$Q$2:$Q$2001&gt;0))&gt;0,"½",IF(K$28&gt;TODAY(),"·","✗")))))</f>
        <v/>
      </c>
      <c r="L45" s="42">
        <f>IF($A45="","",IF(OR(L$28&lt;Tetapan!$B21,AND(Tetapan!$C21&lt;&gt;"",L$28&gt;Tetapan!$C21),Tetapan!$D21=0),"–",IF(SUMPRODUCT((Transaksi!$C$2:$C$2001=$A45)*(Transaksi!$N$2:$N$2001&lt;=L$28)*(Transaksi!$O$2:$O$2001&gt;=L$28)*(Transaksi!$Q$2:$Q$2001&gt;=Tetapan!$D21-0.01))&gt;0,"✓",IF(SUMPRODUCT((Transaksi!$C$2:$C$2001=$A45)*(Transaksi!$N$2:$N$2001&lt;=L$28)*(Transaksi!$O$2:$O$2001&gt;=L$28)*(Transaksi!$Q$2:$Q$2001&gt;0))&gt;0,"½",IF(L$28&gt;TODAY(),"·","✗")))))</f>
        <v/>
      </c>
      <c r="M45" s="42">
        <f>IF($A45="","",IF(OR(M$28&lt;Tetapan!$B21,AND(Tetapan!$C21&lt;&gt;"",M$28&gt;Tetapan!$C21),Tetapan!$D21=0),"–",IF(SUMPRODUCT((Transaksi!$C$2:$C$2001=$A45)*(Transaksi!$N$2:$N$2001&lt;=M$28)*(Transaksi!$O$2:$O$2001&gt;=M$28)*(Transaksi!$Q$2:$Q$2001&gt;=Tetapan!$D21-0.01))&gt;0,"✓",IF(SUMPRODUCT((Transaksi!$C$2:$C$2001=$A45)*(Transaksi!$N$2:$N$2001&lt;=M$28)*(Transaksi!$O$2:$O$2001&gt;=M$28)*(Transaksi!$Q$2:$Q$2001&gt;0))&gt;0,"½",IF(M$28&gt;TODAY(),"·","✗")))))</f>
        <v/>
      </c>
      <c r="N45" s="42">
        <f>IF($A45="","",IF(OR(N$28&lt;Tetapan!$B21,AND(Tetapan!$C21&lt;&gt;"",N$28&gt;Tetapan!$C21),Tetapan!$D21=0),"–",IF(SUMPRODUCT((Transaksi!$C$2:$C$2001=$A45)*(Transaksi!$N$2:$N$2001&lt;=N$28)*(Transaksi!$O$2:$O$2001&gt;=N$28)*(Transaksi!$Q$2:$Q$2001&gt;=Tetapan!$D21-0.01))&gt;0,"✓",IF(SUMPRODUCT((Transaksi!$C$2:$C$2001=$A45)*(Transaksi!$N$2:$N$2001&lt;=N$28)*(Transaksi!$O$2:$O$2001&gt;=N$28)*(Transaksi!$Q$2:$Q$2001&gt;0))&gt;0,"½",IF(N$28&gt;TODAY(),"·","✗")))))</f>
        <v/>
      </c>
      <c r="O45" s="42">
        <f>IF($A45="","",IF(OR(O$28&lt;Tetapan!$B21,AND(Tetapan!$C21&lt;&gt;"",O$28&gt;Tetapan!$C21),Tetapan!$D21=0),"–",IF(SUMPRODUCT((Transaksi!$C$2:$C$2001=$A45)*(Transaksi!$N$2:$N$2001&lt;=O$28)*(Transaksi!$O$2:$O$2001&gt;=O$28)*(Transaksi!$Q$2:$Q$2001&gt;=Tetapan!$D21-0.01))&gt;0,"✓",IF(SUMPRODUCT((Transaksi!$C$2:$C$2001=$A45)*(Transaksi!$N$2:$N$2001&lt;=O$28)*(Transaksi!$O$2:$O$2001&gt;=O$28)*(Transaksi!$Q$2:$Q$2001&gt;0))&gt;0,"½",IF(O$28&gt;TODAY(),"·","✗")))))</f>
        <v/>
      </c>
      <c r="P45" s="42">
        <f>IF($A45="","",IF(OR(P$28&lt;Tetapan!$B21,AND(Tetapan!$C21&lt;&gt;"",P$28&gt;Tetapan!$C21),Tetapan!$D21=0),"–",IF(SUMPRODUCT((Transaksi!$C$2:$C$2001=$A45)*(Transaksi!$N$2:$N$2001&lt;=P$28)*(Transaksi!$O$2:$O$2001&gt;=P$28)*(Transaksi!$Q$2:$Q$2001&gt;=Tetapan!$D21-0.01))&gt;0,"✓",IF(SUMPRODUCT((Transaksi!$C$2:$C$2001=$A45)*(Transaksi!$N$2:$N$2001&lt;=P$28)*(Transaksi!$O$2:$O$2001&gt;=P$28)*(Transaksi!$Q$2:$Q$2001&gt;0))&gt;0,"½",IF(P$28&gt;TODAY(),"·","✗")))))</f>
        <v/>
      </c>
      <c r="Q45" s="42">
        <f>IF($A45="","",IF(OR(Q$28&lt;Tetapan!$B21,AND(Tetapan!$C21&lt;&gt;"",Q$28&gt;Tetapan!$C21),Tetapan!$D21=0),"–",IF(SUMPRODUCT((Transaksi!$C$2:$C$2001=$A45)*(Transaksi!$N$2:$N$2001&lt;=Q$28)*(Transaksi!$O$2:$O$2001&gt;=Q$28)*(Transaksi!$Q$2:$Q$2001&gt;=Tetapan!$D21-0.01))&gt;0,"✓",IF(SUMPRODUCT((Transaksi!$C$2:$C$2001=$A45)*(Transaksi!$N$2:$N$2001&lt;=Q$28)*(Transaksi!$O$2:$O$2001&gt;=Q$28)*(Transaksi!$Q$2:$Q$2001&gt;0))&gt;0,"½",IF(Q$28&gt;TODAY(),"·","✗")))))</f>
        <v/>
      </c>
      <c r="R45" s="42">
        <f>IF($A45="","",IF(OR(R$28&lt;Tetapan!$B21,AND(Tetapan!$C21&lt;&gt;"",R$28&gt;Tetapan!$C21),Tetapan!$D21=0),"–",IF(SUMPRODUCT((Transaksi!$C$2:$C$2001=$A45)*(Transaksi!$N$2:$N$2001&lt;=R$28)*(Transaksi!$O$2:$O$2001&gt;=R$28)*(Transaksi!$Q$2:$Q$2001&gt;=Tetapan!$D21-0.01))&gt;0,"✓",IF(SUMPRODUCT((Transaksi!$C$2:$C$2001=$A45)*(Transaksi!$N$2:$N$2001&lt;=R$28)*(Transaksi!$O$2:$O$2001&gt;=R$28)*(Transaksi!$Q$2:$Q$2001&gt;0))&gt;0,"½",IF(R$28&gt;TODAY(),"·","✗")))))</f>
        <v/>
      </c>
      <c r="S45" s="42">
        <f>IF($A45="","",IF(OR(S$28&lt;Tetapan!$B21,AND(Tetapan!$C21&lt;&gt;"",S$28&gt;Tetapan!$C21),Tetapan!$D21=0),"–",IF(SUMPRODUCT((Transaksi!$C$2:$C$2001=$A45)*(Transaksi!$N$2:$N$2001&lt;=S$28)*(Transaksi!$O$2:$O$2001&gt;=S$28)*(Transaksi!$Q$2:$Q$2001&gt;=Tetapan!$D21-0.01))&gt;0,"✓",IF(SUMPRODUCT((Transaksi!$C$2:$C$2001=$A45)*(Transaksi!$N$2:$N$2001&lt;=S$28)*(Transaksi!$O$2:$O$2001&gt;=S$28)*(Transaksi!$Q$2:$Q$2001&gt;0))&gt;0,"½",IF(S$28&gt;TODAY(),"·","✗")))))</f>
        <v/>
      </c>
      <c r="T45" s="42">
        <f>IF($A45="","",IF(OR(T$28&lt;Tetapan!$B21,AND(Tetapan!$C21&lt;&gt;"",T$28&gt;Tetapan!$C21),Tetapan!$D21=0),"–",IF(SUMPRODUCT((Transaksi!$C$2:$C$2001=$A45)*(Transaksi!$N$2:$N$2001&lt;=T$28)*(Transaksi!$O$2:$O$2001&gt;=T$28)*(Transaksi!$Q$2:$Q$2001&gt;=Tetapan!$D21-0.01))&gt;0,"✓",IF(SUMPRODUCT((Transaksi!$C$2:$C$2001=$A45)*(Transaksi!$N$2:$N$2001&lt;=T$28)*(Transaksi!$O$2:$O$2001&gt;=T$28)*(Transaksi!$Q$2:$Q$2001&gt;0))&gt;0,"½",IF(T$28&gt;TODAY(),"·","✗")))))</f>
        <v/>
      </c>
      <c r="W45" s="12">
        <f>IF(B45="✗",TEXT(B$28,"mmm yy")&amp;", ",IF(B45="½",TEXT(B$28,"mmm yy")&amp;" (separa), ",""))&amp;IF(C45="✗",TEXT(C$28,"mmm yy")&amp;", ",IF(C45="½",TEXT(C$28,"mmm yy")&amp;" (separa), ",""))&amp;IF(D45="✗",TEXT(D$28,"mmm yy")&amp;", ",IF(D45="½",TEXT(D$28,"mmm yy")&amp;" (separa), ",""))&amp;IF(E45="✗",TEXT(E$28,"mmm yy")&amp;", ",IF(E45="½",TEXT(E$28,"mmm yy")&amp;" (separa), ",""))&amp;IF(F45="✗",TEXT(F$28,"mmm yy")&amp;", ",IF(F45="½",TEXT(F$28,"mmm yy")&amp;" (separa), ",""))&amp;IF(G45="✗",TEXT(G$28,"mmm yy")&amp;", ",IF(G45="½",TEXT(G$28,"mmm yy")&amp;" (separa), ",""))&amp;IF(H45="✗",TEXT(H$28,"mmm yy")&amp;", ",IF(H45="½",TEXT(H$28,"mmm yy")&amp;" (separa), ",""))&amp;IF(I45="✗",TEXT(I$28,"mmm yy")&amp;", ",IF(I45="½",TEXT(I$28,"mmm yy")&amp;" (separa), ",""))&amp;IF(J45="✗",TEXT(J$28,"mmm yy")&amp;", ",IF(J45="½",TEXT(J$28,"mmm yy")&amp;" (separa), ",""))&amp;IF(K45="✗",TEXT(K$28,"mmm yy")&amp;", ",IF(K45="½",TEXT(K$28,"mmm yy")&amp;" (separa), ",""))&amp;IF(L45="✗",TEXT(L$28,"mmm yy")&amp;", ",IF(L45="½",TEXT(L$28,"mmm yy")&amp;" (separa), ",""))&amp;IF(M45="✗",TEXT(M$28,"mmm yy")&amp;", ",IF(M45="½",TEXT(M$28,"mmm yy")&amp;" (separa), ",""))&amp;IF(N45="✗",TEXT(N$28,"mmm yy")&amp;", ",IF(N45="½",TEXT(N$28,"mmm yy")&amp;" (separa), ",""))&amp;IF(O45="✗",TEXT(O$28,"mmm yy")&amp;", ",IF(O45="½",TEXT(O$28,"mmm yy")&amp;" (separa), ",""))&amp;IF(P45="✗",TEXT(P$28,"mmm yy")&amp;", ",IF(P45="½",TEXT(P$28,"mmm yy")&amp;" (separa), ",""))&amp;IF(Q45="✗",TEXT(Q$28,"mmm yy")&amp;", ",IF(Q45="½",TEXT(Q$28,"mmm yy")&amp;" (separa), ",""))&amp;IF(R45="✗",TEXT(R$28,"mmm yy")&amp;", ",IF(R45="½",TEXT(R$28,"mmm yy")&amp;" (separa), ",""))&amp;IF(S45="✗",TEXT(S$28,"mmm yy")&amp;", ",IF(S45="½",TEXT(S$28,"mmm yy")&amp;" (separa), ",""))&amp;IF(T45="✗",TEXT(T$28,"mmm yy")&amp;", ",IF(T45="½",TEXT(T$28,"mmm yy")&amp;" (separa), ",""))</f>
        <v/>
      </c>
    </row>
    <row r="46">
      <c r="A46" s="41">
        <f>IF(Tetapan!A22="","",Tetapan!A22)</f>
        <v/>
      </c>
      <c r="B46" s="42">
        <f>IF($A46="","",IF(OR(B$28&lt;Tetapan!$B22,AND(Tetapan!$C22&lt;&gt;"",B$28&gt;Tetapan!$C22),Tetapan!$D22=0),"–",IF(SUMPRODUCT((Transaksi!$C$2:$C$2001=$A46)*(Transaksi!$N$2:$N$2001&lt;=B$28)*(Transaksi!$O$2:$O$2001&gt;=B$28)*(Transaksi!$Q$2:$Q$2001&gt;=Tetapan!$D22-0.01))&gt;0,"✓",IF(SUMPRODUCT((Transaksi!$C$2:$C$2001=$A46)*(Transaksi!$N$2:$N$2001&lt;=B$28)*(Transaksi!$O$2:$O$2001&gt;=B$28)*(Transaksi!$Q$2:$Q$2001&gt;0))&gt;0,"½",IF(B$28&gt;TODAY(),"·","✗")))))</f>
        <v/>
      </c>
      <c r="C46" s="42">
        <f>IF($A46="","",IF(OR(C$28&lt;Tetapan!$B22,AND(Tetapan!$C22&lt;&gt;"",C$28&gt;Tetapan!$C22),Tetapan!$D22=0),"–",IF(SUMPRODUCT((Transaksi!$C$2:$C$2001=$A46)*(Transaksi!$N$2:$N$2001&lt;=C$28)*(Transaksi!$O$2:$O$2001&gt;=C$28)*(Transaksi!$Q$2:$Q$2001&gt;=Tetapan!$D22-0.01))&gt;0,"✓",IF(SUMPRODUCT((Transaksi!$C$2:$C$2001=$A46)*(Transaksi!$N$2:$N$2001&lt;=C$28)*(Transaksi!$O$2:$O$2001&gt;=C$28)*(Transaksi!$Q$2:$Q$2001&gt;0))&gt;0,"½",IF(C$28&gt;TODAY(),"·","✗")))))</f>
        <v/>
      </c>
      <c r="D46" s="42">
        <f>IF($A46="","",IF(OR(D$28&lt;Tetapan!$B22,AND(Tetapan!$C22&lt;&gt;"",D$28&gt;Tetapan!$C22),Tetapan!$D22=0),"–",IF(SUMPRODUCT((Transaksi!$C$2:$C$2001=$A46)*(Transaksi!$N$2:$N$2001&lt;=D$28)*(Transaksi!$O$2:$O$2001&gt;=D$28)*(Transaksi!$Q$2:$Q$2001&gt;=Tetapan!$D22-0.01))&gt;0,"✓",IF(SUMPRODUCT((Transaksi!$C$2:$C$2001=$A46)*(Transaksi!$N$2:$N$2001&lt;=D$28)*(Transaksi!$O$2:$O$2001&gt;=D$28)*(Transaksi!$Q$2:$Q$2001&gt;0))&gt;0,"½",IF(D$28&gt;TODAY(),"·","✗")))))</f>
        <v/>
      </c>
      <c r="E46" s="42">
        <f>IF($A46="","",IF(OR(E$28&lt;Tetapan!$B22,AND(Tetapan!$C22&lt;&gt;"",E$28&gt;Tetapan!$C22),Tetapan!$D22=0),"–",IF(SUMPRODUCT((Transaksi!$C$2:$C$2001=$A46)*(Transaksi!$N$2:$N$2001&lt;=E$28)*(Transaksi!$O$2:$O$2001&gt;=E$28)*(Transaksi!$Q$2:$Q$2001&gt;=Tetapan!$D22-0.01))&gt;0,"✓",IF(SUMPRODUCT((Transaksi!$C$2:$C$2001=$A46)*(Transaksi!$N$2:$N$2001&lt;=E$28)*(Transaksi!$O$2:$O$2001&gt;=E$28)*(Transaksi!$Q$2:$Q$2001&gt;0))&gt;0,"½",IF(E$28&gt;TODAY(),"·","✗")))))</f>
        <v/>
      </c>
      <c r="F46" s="42">
        <f>IF($A46="","",IF(OR(F$28&lt;Tetapan!$B22,AND(Tetapan!$C22&lt;&gt;"",F$28&gt;Tetapan!$C22),Tetapan!$D22=0),"–",IF(SUMPRODUCT((Transaksi!$C$2:$C$2001=$A46)*(Transaksi!$N$2:$N$2001&lt;=F$28)*(Transaksi!$O$2:$O$2001&gt;=F$28)*(Transaksi!$Q$2:$Q$2001&gt;=Tetapan!$D22-0.01))&gt;0,"✓",IF(SUMPRODUCT((Transaksi!$C$2:$C$2001=$A46)*(Transaksi!$N$2:$N$2001&lt;=F$28)*(Transaksi!$O$2:$O$2001&gt;=F$28)*(Transaksi!$Q$2:$Q$2001&gt;0))&gt;0,"½",IF(F$28&gt;TODAY(),"·","✗")))))</f>
        <v/>
      </c>
      <c r="G46" s="42">
        <f>IF($A46="","",IF(OR(G$28&lt;Tetapan!$B22,AND(Tetapan!$C22&lt;&gt;"",G$28&gt;Tetapan!$C22),Tetapan!$D22=0),"–",IF(SUMPRODUCT((Transaksi!$C$2:$C$2001=$A46)*(Transaksi!$N$2:$N$2001&lt;=G$28)*(Transaksi!$O$2:$O$2001&gt;=G$28)*(Transaksi!$Q$2:$Q$2001&gt;=Tetapan!$D22-0.01))&gt;0,"✓",IF(SUMPRODUCT((Transaksi!$C$2:$C$2001=$A46)*(Transaksi!$N$2:$N$2001&lt;=G$28)*(Transaksi!$O$2:$O$2001&gt;=G$28)*(Transaksi!$Q$2:$Q$2001&gt;0))&gt;0,"½",IF(G$28&gt;TODAY(),"·","✗")))))</f>
        <v/>
      </c>
      <c r="H46" s="42">
        <f>IF($A46="","",IF(OR(H$28&lt;Tetapan!$B22,AND(Tetapan!$C22&lt;&gt;"",H$28&gt;Tetapan!$C22),Tetapan!$D22=0),"–",IF(SUMPRODUCT((Transaksi!$C$2:$C$2001=$A46)*(Transaksi!$N$2:$N$2001&lt;=H$28)*(Transaksi!$O$2:$O$2001&gt;=H$28)*(Transaksi!$Q$2:$Q$2001&gt;=Tetapan!$D22-0.01))&gt;0,"✓",IF(SUMPRODUCT((Transaksi!$C$2:$C$2001=$A46)*(Transaksi!$N$2:$N$2001&lt;=H$28)*(Transaksi!$O$2:$O$2001&gt;=H$28)*(Transaksi!$Q$2:$Q$2001&gt;0))&gt;0,"½",IF(H$28&gt;TODAY(),"·","✗")))))</f>
        <v/>
      </c>
      <c r="I46" s="42">
        <f>IF($A46="","",IF(OR(I$28&lt;Tetapan!$B22,AND(Tetapan!$C22&lt;&gt;"",I$28&gt;Tetapan!$C22),Tetapan!$D22=0),"–",IF(SUMPRODUCT((Transaksi!$C$2:$C$2001=$A46)*(Transaksi!$N$2:$N$2001&lt;=I$28)*(Transaksi!$O$2:$O$2001&gt;=I$28)*(Transaksi!$Q$2:$Q$2001&gt;=Tetapan!$D22-0.01))&gt;0,"✓",IF(SUMPRODUCT((Transaksi!$C$2:$C$2001=$A46)*(Transaksi!$N$2:$N$2001&lt;=I$28)*(Transaksi!$O$2:$O$2001&gt;=I$28)*(Transaksi!$Q$2:$Q$2001&gt;0))&gt;0,"½",IF(I$28&gt;TODAY(),"·","✗")))))</f>
        <v/>
      </c>
      <c r="J46" s="42">
        <f>IF($A46="","",IF(OR(J$28&lt;Tetapan!$B22,AND(Tetapan!$C22&lt;&gt;"",J$28&gt;Tetapan!$C22),Tetapan!$D22=0),"–",IF(SUMPRODUCT((Transaksi!$C$2:$C$2001=$A46)*(Transaksi!$N$2:$N$2001&lt;=J$28)*(Transaksi!$O$2:$O$2001&gt;=J$28)*(Transaksi!$Q$2:$Q$2001&gt;=Tetapan!$D22-0.01))&gt;0,"✓",IF(SUMPRODUCT((Transaksi!$C$2:$C$2001=$A46)*(Transaksi!$N$2:$N$2001&lt;=J$28)*(Transaksi!$O$2:$O$2001&gt;=J$28)*(Transaksi!$Q$2:$Q$2001&gt;0))&gt;0,"½",IF(J$28&gt;TODAY(),"·","✗")))))</f>
        <v/>
      </c>
      <c r="K46" s="42">
        <f>IF($A46="","",IF(OR(K$28&lt;Tetapan!$B22,AND(Tetapan!$C22&lt;&gt;"",K$28&gt;Tetapan!$C22),Tetapan!$D22=0),"–",IF(SUMPRODUCT((Transaksi!$C$2:$C$2001=$A46)*(Transaksi!$N$2:$N$2001&lt;=K$28)*(Transaksi!$O$2:$O$2001&gt;=K$28)*(Transaksi!$Q$2:$Q$2001&gt;=Tetapan!$D22-0.01))&gt;0,"✓",IF(SUMPRODUCT((Transaksi!$C$2:$C$2001=$A46)*(Transaksi!$N$2:$N$2001&lt;=K$28)*(Transaksi!$O$2:$O$2001&gt;=K$28)*(Transaksi!$Q$2:$Q$2001&gt;0))&gt;0,"½",IF(K$28&gt;TODAY(),"·","✗")))))</f>
        <v/>
      </c>
      <c r="L46" s="42">
        <f>IF($A46="","",IF(OR(L$28&lt;Tetapan!$B22,AND(Tetapan!$C22&lt;&gt;"",L$28&gt;Tetapan!$C22),Tetapan!$D22=0),"–",IF(SUMPRODUCT((Transaksi!$C$2:$C$2001=$A46)*(Transaksi!$N$2:$N$2001&lt;=L$28)*(Transaksi!$O$2:$O$2001&gt;=L$28)*(Transaksi!$Q$2:$Q$2001&gt;=Tetapan!$D22-0.01))&gt;0,"✓",IF(SUMPRODUCT((Transaksi!$C$2:$C$2001=$A46)*(Transaksi!$N$2:$N$2001&lt;=L$28)*(Transaksi!$O$2:$O$2001&gt;=L$28)*(Transaksi!$Q$2:$Q$2001&gt;0))&gt;0,"½",IF(L$28&gt;TODAY(),"·","✗")))))</f>
        <v/>
      </c>
      <c r="M46" s="42">
        <f>IF($A46="","",IF(OR(M$28&lt;Tetapan!$B22,AND(Tetapan!$C22&lt;&gt;"",M$28&gt;Tetapan!$C22),Tetapan!$D22=0),"–",IF(SUMPRODUCT((Transaksi!$C$2:$C$2001=$A46)*(Transaksi!$N$2:$N$2001&lt;=M$28)*(Transaksi!$O$2:$O$2001&gt;=M$28)*(Transaksi!$Q$2:$Q$2001&gt;=Tetapan!$D22-0.01))&gt;0,"✓",IF(SUMPRODUCT((Transaksi!$C$2:$C$2001=$A46)*(Transaksi!$N$2:$N$2001&lt;=M$28)*(Transaksi!$O$2:$O$2001&gt;=M$28)*(Transaksi!$Q$2:$Q$2001&gt;0))&gt;0,"½",IF(M$28&gt;TODAY(),"·","✗")))))</f>
        <v/>
      </c>
      <c r="N46" s="42">
        <f>IF($A46="","",IF(OR(N$28&lt;Tetapan!$B22,AND(Tetapan!$C22&lt;&gt;"",N$28&gt;Tetapan!$C22),Tetapan!$D22=0),"–",IF(SUMPRODUCT((Transaksi!$C$2:$C$2001=$A46)*(Transaksi!$N$2:$N$2001&lt;=N$28)*(Transaksi!$O$2:$O$2001&gt;=N$28)*(Transaksi!$Q$2:$Q$2001&gt;=Tetapan!$D22-0.01))&gt;0,"✓",IF(SUMPRODUCT((Transaksi!$C$2:$C$2001=$A46)*(Transaksi!$N$2:$N$2001&lt;=N$28)*(Transaksi!$O$2:$O$2001&gt;=N$28)*(Transaksi!$Q$2:$Q$2001&gt;0))&gt;0,"½",IF(N$28&gt;TODAY(),"·","✗")))))</f>
        <v/>
      </c>
      <c r="O46" s="42">
        <f>IF($A46="","",IF(OR(O$28&lt;Tetapan!$B22,AND(Tetapan!$C22&lt;&gt;"",O$28&gt;Tetapan!$C22),Tetapan!$D22=0),"–",IF(SUMPRODUCT((Transaksi!$C$2:$C$2001=$A46)*(Transaksi!$N$2:$N$2001&lt;=O$28)*(Transaksi!$O$2:$O$2001&gt;=O$28)*(Transaksi!$Q$2:$Q$2001&gt;=Tetapan!$D22-0.01))&gt;0,"✓",IF(SUMPRODUCT((Transaksi!$C$2:$C$2001=$A46)*(Transaksi!$N$2:$N$2001&lt;=O$28)*(Transaksi!$O$2:$O$2001&gt;=O$28)*(Transaksi!$Q$2:$Q$2001&gt;0))&gt;0,"½",IF(O$28&gt;TODAY(),"·","✗")))))</f>
        <v/>
      </c>
      <c r="P46" s="42">
        <f>IF($A46="","",IF(OR(P$28&lt;Tetapan!$B22,AND(Tetapan!$C22&lt;&gt;"",P$28&gt;Tetapan!$C22),Tetapan!$D22=0),"–",IF(SUMPRODUCT((Transaksi!$C$2:$C$2001=$A46)*(Transaksi!$N$2:$N$2001&lt;=P$28)*(Transaksi!$O$2:$O$2001&gt;=P$28)*(Transaksi!$Q$2:$Q$2001&gt;=Tetapan!$D22-0.01))&gt;0,"✓",IF(SUMPRODUCT((Transaksi!$C$2:$C$2001=$A46)*(Transaksi!$N$2:$N$2001&lt;=P$28)*(Transaksi!$O$2:$O$2001&gt;=P$28)*(Transaksi!$Q$2:$Q$2001&gt;0))&gt;0,"½",IF(P$28&gt;TODAY(),"·","✗")))))</f>
        <v/>
      </c>
      <c r="Q46" s="42">
        <f>IF($A46="","",IF(OR(Q$28&lt;Tetapan!$B22,AND(Tetapan!$C22&lt;&gt;"",Q$28&gt;Tetapan!$C22),Tetapan!$D22=0),"–",IF(SUMPRODUCT((Transaksi!$C$2:$C$2001=$A46)*(Transaksi!$N$2:$N$2001&lt;=Q$28)*(Transaksi!$O$2:$O$2001&gt;=Q$28)*(Transaksi!$Q$2:$Q$2001&gt;=Tetapan!$D22-0.01))&gt;0,"✓",IF(SUMPRODUCT((Transaksi!$C$2:$C$2001=$A46)*(Transaksi!$N$2:$N$2001&lt;=Q$28)*(Transaksi!$O$2:$O$2001&gt;=Q$28)*(Transaksi!$Q$2:$Q$2001&gt;0))&gt;0,"½",IF(Q$28&gt;TODAY(),"·","✗")))))</f>
        <v/>
      </c>
      <c r="R46" s="42">
        <f>IF($A46="","",IF(OR(R$28&lt;Tetapan!$B22,AND(Tetapan!$C22&lt;&gt;"",R$28&gt;Tetapan!$C22),Tetapan!$D22=0),"–",IF(SUMPRODUCT((Transaksi!$C$2:$C$2001=$A46)*(Transaksi!$N$2:$N$2001&lt;=R$28)*(Transaksi!$O$2:$O$2001&gt;=R$28)*(Transaksi!$Q$2:$Q$2001&gt;=Tetapan!$D22-0.01))&gt;0,"✓",IF(SUMPRODUCT((Transaksi!$C$2:$C$2001=$A46)*(Transaksi!$N$2:$N$2001&lt;=R$28)*(Transaksi!$O$2:$O$2001&gt;=R$28)*(Transaksi!$Q$2:$Q$2001&gt;0))&gt;0,"½",IF(R$28&gt;TODAY(),"·","✗")))))</f>
        <v/>
      </c>
      <c r="S46" s="42">
        <f>IF($A46="","",IF(OR(S$28&lt;Tetapan!$B22,AND(Tetapan!$C22&lt;&gt;"",S$28&gt;Tetapan!$C22),Tetapan!$D22=0),"–",IF(SUMPRODUCT((Transaksi!$C$2:$C$2001=$A46)*(Transaksi!$N$2:$N$2001&lt;=S$28)*(Transaksi!$O$2:$O$2001&gt;=S$28)*(Transaksi!$Q$2:$Q$2001&gt;=Tetapan!$D22-0.01))&gt;0,"✓",IF(SUMPRODUCT((Transaksi!$C$2:$C$2001=$A46)*(Transaksi!$N$2:$N$2001&lt;=S$28)*(Transaksi!$O$2:$O$2001&gt;=S$28)*(Transaksi!$Q$2:$Q$2001&gt;0))&gt;0,"½",IF(S$28&gt;TODAY(),"·","✗")))))</f>
        <v/>
      </c>
      <c r="T46" s="42">
        <f>IF($A46="","",IF(OR(T$28&lt;Tetapan!$B22,AND(Tetapan!$C22&lt;&gt;"",T$28&gt;Tetapan!$C22),Tetapan!$D22=0),"–",IF(SUMPRODUCT((Transaksi!$C$2:$C$2001=$A46)*(Transaksi!$N$2:$N$2001&lt;=T$28)*(Transaksi!$O$2:$O$2001&gt;=T$28)*(Transaksi!$Q$2:$Q$2001&gt;=Tetapan!$D22-0.01))&gt;0,"✓",IF(SUMPRODUCT((Transaksi!$C$2:$C$2001=$A46)*(Transaksi!$N$2:$N$2001&lt;=T$28)*(Transaksi!$O$2:$O$2001&gt;=T$28)*(Transaksi!$Q$2:$Q$2001&gt;0))&gt;0,"½",IF(T$28&gt;TODAY(),"·","✗")))))</f>
        <v/>
      </c>
      <c r="W46" s="12">
        <f>IF(B46="✗",TEXT(B$28,"mmm yy")&amp;", ",IF(B46="½",TEXT(B$28,"mmm yy")&amp;" (separa), ",""))&amp;IF(C46="✗",TEXT(C$28,"mmm yy")&amp;", ",IF(C46="½",TEXT(C$28,"mmm yy")&amp;" (separa), ",""))&amp;IF(D46="✗",TEXT(D$28,"mmm yy")&amp;", ",IF(D46="½",TEXT(D$28,"mmm yy")&amp;" (separa), ",""))&amp;IF(E46="✗",TEXT(E$28,"mmm yy")&amp;", ",IF(E46="½",TEXT(E$28,"mmm yy")&amp;" (separa), ",""))&amp;IF(F46="✗",TEXT(F$28,"mmm yy")&amp;", ",IF(F46="½",TEXT(F$28,"mmm yy")&amp;" (separa), ",""))&amp;IF(G46="✗",TEXT(G$28,"mmm yy")&amp;", ",IF(G46="½",TEXT(G$28,"mmm yy")&amp;" (separa), ",""))&amp;IF(H46="✗",TEXT(H$28,"mmm yy")&amp;", ",IF(H46="½",TEXT(H$28,"mmm yy")&amp;" (separa), ",""))&amp;IF(I46="✗",TEXT(I$28,"mmm yy")&amp;", ",IF(I46="½",TEXT(I$28,"mmm yy")&amp;" (separa), ",""))&amp;IF(J46="✗",TEXT(J$28,"mmm yy")&amp;", ",IF(J46="½",TEXT(J$28,"mmm yy")&amp;" (separa), ",""))&amp;IF(K46="✗",TEXT(K$28,"mmm yy")&amp;", ",IF(K46="½",TEXT(K$28,"mmm yy")&amp;" (separa), ",""))&amp;IF(L46="✗",TEXT(L$28,"mmm yy")&amp;", ",IF(L46="½",TEXT(L$28,"mmm yy")&amp;" (separa), ",""))&amp;IF(M46="✗",TEXT(M$28,"mmm yy")&amp;", ",IF(M46="½",TEXT(M$28,"mmm yy")&amp;" (separa), ",""))&amp;IF(N46="✗",TEXT(N$28,"mmm yy")&amp;", ",IF(N46="½",TEXT(N$28,"mmm yy")&amp;" (separa), ",""))&amp;IF(O46="✗",TEXT(O$28,"mmm yy")&amp;", ",IF(O46="½",TEXT(O$28,"mmm yy")&amp;" (separa), ",""))&amp;IF(P46="✗",TEXT(P$28,"mmm yy")&amp;", ",IF(P46="½",TEXT(P$28,"mmm yy")&amp;" (separa), ",""))&amp;IF(Q46="✗",TEXT(Q$28,"mmm yy")&amp;", ",IF(Q46="½",TEXT(Q$28,"mmm yy")&amp;" (separa), ",""))&amp;IF(R46="✗",TEXT(R$28,"mmm yy")&amp;", ",IF(R46="½",TEXT(R$28,"mmm yy")&amp;" (separa), ",""))&amp;IF(S46="✗",TEXT(S$28,"mmm yy")&amp;", ",IF(S46="½",TEXT(S$28,"mmm yy")&amp;" (separa), ",""))&amp;IF(T46="✗",TEXT(T$28,"mmm yy")&amp;", ",IF(T46="½",TEXT(T$28,"mmm yy")&amp;" (separa), ",""))</f>
        <v/>
      </c>
    </row>
    <row r="47">
      <c r="A47" s="41">
        <f>IF(Tetapan!A23="","",Tetapan!A23)</f>
        <v/>
      </c>
      <c r="B47" s="42">
        <f>IF($A47="","",IF(OR(B$28&lt;Tetapan!$B23,AND(Tetapan!$C23&lt;&gt;"",B$28&gt;Tetapan!$C23),Tetapan!$D23=0),"–",IF(SUMPRODUCT((Transaksi!$C$2:$C$2001=$A47)*(Transaksi!$N$2:$N$2001&lt;=B$28)*(Transaksi!$O$2:$O$2001&gt;=B$28)*(Transaksi!$Q$2:$Q$2001&gt;=Tetapan!$D23-0.01))&gt;0,"✓",IF(SUMPRODUCT((Transaksi!$C$2:$C$2001=$A47)*(Transaksi!$N$2:$N$2001&lt;=B$28)*(Transaksi!$O$2:$O$2001&gt;=B$28)*(Transaksi!$Q$2:$Q$2001&gt;0))&gt;0,"½",IF(B$28&gt;TODAY(),"·","✗")))))</f>
        <v/>
      </c>
      <c r="C47" s="42">
        <f>IF($A47="","",IF(OR(C$28&lt;Tetapan!$B23,AND(Tetapan!$C23&lt;&gt;"",C$28&gt;Tetapan!$C23),Tetapan!$D23=0),"–",IF(SUMPRODUCT((Transaksi!$C$2:$C$2001=$A47)*(Transaksi!$N$2:$N$2001&lt;=C$28)*(Transaksi!$O$2:$O$2001&gt;=C$28)*(Transaksi!$Q$2:$Q$2001&gt;=Tetapan!$D23-0.01))&gt;0,"✓",IF(SUMPRODUCT((Transaksi!$C$2:$C$2001=$A47)*(Transaksi!$N$2:$N$2001&lt;=C$28)*(Transaksi!$O$2:$O$2001&gt;=C$28)*(Transaksi!$Q$2:$Q$2001&gt;0))&gt;0,"½",IF(C$28&gt;TODAY(),"·","✗")))))</f>
        <v/>
      </c>
      <c r="D47" s="42">
        <f>IF($A47="","",IF(OR(D$28&lt;Tetapan!$B23,AND(Tetapan!$C23&lt;&gt;"",D$28&gt;Tetapan!$C23),Tetapan!$D23=0),"–",IF(SUMPRODUCT((Transaksi!$C$2:$C$2001=$A47)*(Transaksi!$N$2:$N$2001&lt;=D$28)*(Transaksi!$O$2:$O$2001&gt;=D$28)*(Transaksi!$Q$2:$Q$2001&gt;=Tetapan!$D23-0.01))&gt;0,"✓",IF(SUMPRODUCT((Transaksi!$C$2:$C$2001=$A47)*(Transaksi!$N$2:$N$2001&lt;=D$28)*(Transaksi!$O$2:$O$2001&gt;=D$28)*(Transaksi!$Q$2:$Q$2001&gt;0))&gt;0,"½",IF(D$28&gt;TODAY(),"·","✗")))))</f>
        <v/>
      </c>
      <c r="E47" s="42">
        <f>IF($A47="","",IF(OR(E$28&lt;Tetapan!$B23,AND(Tetapan!$C23&lt;&gt;"",E$28&gt;Tetapan!$C23),Tetapan!$D23=0),"–",IF(SUMPRODUCT((Transaksi!$C$2:$C$2001=$A47)*(Transaksi!$N$2:$N$2001&lt;=E$28)*(Transaksi!$O$2:$O$2001&gt;=E$28)*(Transaksi!$Q$2:$Q$2001&gt;=Tetapan!$D23-0.01))&gt;0,"✓",IF(SUMPRODUCT((Transaksi!$C$2:$C$2001=$A47)*(Transaksi!$N$2:$N$2001&lt;=E$28)*(Transaksi!$O$2:$O$2001&gt;=E$28)*(Transaksi!$Q$2:$Q$2001&gt;0))&gt;0,"½",IF(E$28&gt;TODAY(),"·","✗")))))</f>
        <v/>
      </c>
      <c r="F47" s="42">
        <f>IF($A47="","",IF(OR(F$28&lt;Tetapan!$B23,AND(Tetapan!$C23&lt;&gt;"",F$28&gt;Tetapan!$C23),Tetapan!$D23=0),"–",IF(SUMPRODUCT((Transaksi!$C$2:$C$2001=$A47)*(Transaksi!$N$2:$N$2001&lt;=F$28)*(Transaksi!$O$2:$O$2001&gt;=F$28)*(Transaksi!$Q$2:$Q$2001&gt;=Tetapan!$D23-0.01))&gt;0,"✓",IF(SUMPRODUCT((Transaksi!$C$2:$C$2001=$A47)*(Transaksi!$N$2:$N$2001&lt;=F$28)*(Transaksi!$O$2:$O$2001&gt;=F$28)*(Transaksi!$Q$2:$Q$2001&gt;0))&gt;0,"½",IF(F$28&gt;TODAY(),"·","✗")))))</f>
        <v/>
      </c>
      <c r="G47" s="42">
        <f>IF($A47="","",IF(OR(G$28&lt;Tetapan!$B23,AND(Tetapan!$C23&lt;&gt;"",G$28&gt;Tetapan!$C23),Tetapan!$D23=0),"–",IF(SUMPRODUCT((Transaksi!$C$2:$C$2001=$A47)*(Transaksi!$N$2:$N$2001&lt;=G$28)*(Transaksi!$O$2:$O$2001&gt;=G$28)*(Transaksi!$Q$2:$Q$2001&gt;=Tetapan!$D23-0.01))&gt;0,"✓",IF(SUMPRODUCT((Transaksi!$C$2:$C$2001=$A47)*(Transaksi!$N$2:$N$2001&lt;=G$28)*(Transaksi!$O$2:$O$2001&gt;=G$28)*(Transaksi!$Q$2:$Q$2001&gt;0))&gt;0,"½",IF(G$28&gt;TODAY(),"·","✗")))))</f>
        <v/>
      </c>
      <c r="H47" s="42">
        <f>IF($A47="","",IF(OR(H$28&lt;Tetapan!$B23,AND(Tetapan!$C23&lt;&gt;"",H$28&gt;Tetapan!$C23),Tetapan!$D23=0),"–",IF(SUMPRODUCT((Transaksi!$C$2:$C$2001=$A47)*(Transaksi!$N$2:$N$2001&lt;=H$28)*(Transaksi!$O$2:$O$2001&gt;=H$28)*(Transaksi!$Q$2:$Q$2001&gt;=Tetapan!$D23-0.01))&gt;0,"✓",IF(SUMPRODUCT((Transaksi!$C$2:$C$2001=$A47)*(Transaksi!$N$2:$N$2001&lt;=H$28)*(Transaksi!$O$2:$O$2001&gt;=H$28)*(Transaksi!$Q$2:$Q$2001&gt;0))&gt;0,"½",IF(H$28&gt;TODAY(),"·","✗")))))</f>
        <v/>
      </c>
      <c r="I47" s="42">
        <f>IF($A47="","",IF(OR(I$28&lt;Tetapan!$B23,AND(Tetapan!$C23&lt;&gt;"",I$28&gt;Tetapan!$C23),Tetapan!$D23=0),"–",IF(SUMPRODUCT((Transaksi!$C$2:$C$2001=$A47)*(Transaksi!$N$2:$N$2001&lt;=I$28)*(Transaksi!$O$2:$O$2001&gt;=I$28)*(Transaksi!$Q$2:$Q$2001&gt;=Tetapan!$D23-0.01))&gt;0,"✓",IF(SUMPRODUCT((Transaksi!$C$2:$C$2001=$A47)*(Transaksi!$N$2:$N$2001&lt;=I$28)*(Transaksi!$O$2:$O$2001&gt;=I$28)*(Transaksi!$Q$2:$Q$2001&gt;0))&gt;0,"½",IF(I$28&gt;TODAY(),"·","✗")))))</f>
        <v/>
      </c>
      <c r="J47" s="42">
        <f>IF($A47="","",IF(OR(J$28&lt;Tetapan!$B23,AND(Tetapan!$C23&lt;&gt;"",J$28&gt;Tetapan!$C23),Tetapan!$D23=0),"–",IF(SUMPRODUCT((Transaksi!$C$2:$C$2001=$A47)*(Transaksi!$N$2:$N$2001&lt;=J$28)*(Transaksi!$O$2:$O$2001&gt;=J$28)*(Transaksi!$Q$2:$Q$2001&gt;=Tetapan!$D23-0.01))&gt;0,"✓",IF(SUMPRODUCT((Transaksi!$C$2:$C$2001=$A47)*(Transaksi!$N$2:$N$2001&lt;=J$28)*(Transaksi!$O$2:$O$2001&gt;=J$28)*(Transaksi!$Q$2:$Q$2001&gt;0))&gt;0,"½",IF(J$28&gt;TODAY(),"·","✗")))))</f>
        <v/>
      </c>
      <c r="K47" s="42">
        <f>IF($A47="","",IF(OR(K$28&lt;Tetapan!$B23,AND(Tetapan!$C23&lt;&gt;"",K$28&gt;Tetapan!$C23),Tetapan!$D23=0),"–",IF(SUMPRODUCT((Transaksi!$C$2:$C$2001=$A47)*(Transaksi!$N$2:$N$2001&lt;=K$28)*(Transaksi!$O$2:$O$2001&gt;=K$28)*(Transaksi!$Q$2:$Q$2001&gt;=Tetapan!$D23-0.01))&gt;0,"✓",IF(SUMPRODUCT((Transaksi!$C$2:$C$2001=$A47)*(Transaksi!$N$2:$N$2001&lt;=K$28)*(Transaksi!$O$2:$O$2001&gt;=K$28)*(Transaksi!$Q$2:$Q$2001&gt;0))&gt;0,"½",IF(K$28&gt;TODAY(),"·","✗")))))</f>
        <v/>
      </c>
      <c r="L47" s="42">
        <f>IF($A47="","",IF(OR(L$28&lt;Tetapan!$B23,AND(Tetapan!$C23&lt;&gt;"",L$28&gt;Tetapan!$C23),Tetapan!$D23=0),"–",IF(SUMPRODUCT((Transaksi!$C$2:$C$2001=$A47)*(Transaksi!$N$2:$N$2001&lt;=L$28)*(Transaksi!$O$2:$O$2001&gt;=L$28)*(Transaksi!$Q$2:$Q$2001&gt;=Tetapan!$D23-0.01))&gt;0,"✓",IF(SUMPRODUCT((Transaksi!$C$2:$C$2001=$A47)*(Transaksi!$N$2:$N$2001&lt;=L$28)*(Transaksi!$O$2:$O$2001&gt;=L$28)*(Transaksi!$Q$2:$Q$2001&gt;0))&gt;0,"½",IF(L$28&gt;TODAY(),"·","✗")))))</f>
        <v/>
      </c>
      <c r="M47" s="42">
        <f>IF($A47="","",IF(OR(M$28&lt;Tetapan!$B23,AND(Tetapan!$C23&lt;&gt;"",M$28&gt;Tetapan!$C23),Tetapan!$D23=0),"–",IF(SUMPRODUCT((Transaksi!$C$2:$C$2001=$A47)*(Transaksi!$N$2:$N$2001&lt;=M$28)*(Transaksi!$O$2:$O$2001&gt;=M$28)*(Transaksi!$Q$2:$Q$2001&gt;=Tetapan!$D23-0.01))&gt;0,"✓",IF(SUMPRODUCT((Transaksi!$C$2:$C$2001=$A47)*(Transaksi!$N$2:$N$2001&lt;=M$28)*(Transaksi!$O$2:$O$2001&gt;=M$28)*(Transaksi!$Q$2:$Q$2001&gt;0))&gt;0,"½",IF(M$28&gt;TODAY(),"·","✗")))))</f>
        <v/>
      </c>
      <c r="N47" s="42">
        <f>IF($A47="","",IF(OR(N$28&lt;Tetapan!$B23,AND(Tetapan!$C23&lt;&gt;"",N$28&gt;Tetapan!$C23),Tetapan!$D23=0),"–",IF(SUMPRODUCT((Transaksi!$C$2:$C$2001=$A47)*(Transaksi!$N$2:$N$2001&lt;=N$28)*(Transaksi!$O$2:$O$2001&gt;=N$28)*(Transaksi!$Q$2:$Q$2001&gt;=Tetapan!$D23-0.01))&gt;0,"✓",IF(SUMPRODUCT((Transaksi!$C$2:$C$2001=$A47)*(Transaksi!$N$2:$N$2001&lt;=N$28)*(Transaksi!$O$2:$O$2001&gt;=N$28)*(Transaksi!$Q$2:$Q$2001&gt;0))&gt;0,"½",IF(N$28&gt;TODAY(),"·","✗")))))</f>
        <v/>
      </c>
      <c r="O47" s="42">
        <f>IF($A47="","",IF(OR(O$28&lt;Tetapan!$B23,AND(Tetapan!$C23&lt;&gt;"",O$28&gt;Tetapan!$C23),Tetapan!$D23=0),"–",IF(SUMPRODUCT((Transaksi!$C$2:$C$2001=$A47)*(Transaksi!$N$2:$N$2001&lt;=O$28)*(Transaksi!$O$2:$O$2001&gt;=O$28)*(Transaksi!$Q$2:$Q$2001&gt;=Tetapan!$D23-0.01))&gt;0,"✓",IF(SUMPRODUCT((Transaksi!$C$2:$C$2001=$A47)*(Transaksi!$N$2:$N$2001&lt;=O$28)*(Transaksi!$O$2:$O$2001&gt;=O$28)*(Transaksi!$Q$2:$Q$2001&gt;0))&gt;0,"½",IF(O$28&gt;TODAY(),"·","✗")))))</f>
        <v/>
      </c>
      <c r="P47" s="42">
        <f>IF($A47="","",IF(OR(P$28&lt;Tetapan!$B23,AND(Tetapan!$C23&lt;&gt;"",P$28&gt;Tetapan!$C23),Tetapan!$D23=0),"–",IF(SUMPRODUCT((Transaksi!$C$2:$C$2001=$A47)*(Transaksi!$N$2:$N$2001&lt;=P$28)*(Transaksi!$O$2:$O$2001&gt;=P$28)*(Transaksi!$Q$2:$Q$2001&gt;=Tetapan!$D23-0.01))&gt;0,"✓",IF(SUMPRODUCT((Transaksi!$C$2:$C$2001=$A47)*(Transaksi!$N$2:$N$2001&lt;=P$28)*(Transaksi!$O$2:$O$2001&gt;=P$28)*(Transaksi!$Q$2:$Q$2001&gt;0))&gt;0,"½",IF(P$28&gt;TODAY(),"·","✗")))))</f>
        <v/>
      </c>
      <c r="Q47" s="42">
        <f>IF($A47="","",IF(OR(Q$28&lt;Tetapan!$B23,AND(Tetapan!$C23&lt;&gt;"",Q$28&gt;Tetapan!$C23),Tetapan!$D23=0),"–",IF(SUMPRODUCT((Transaksi!$C$2:$C$2001=$A47)*(Transaksi!$N$2:$N$2001&lt;=Q$28)*(Transaksi!$O$2:$O$2001&gt;=Q$28)*(Transaksi!$Q$2:$Q$2001&gt;=Tetapan!$D23-0.01))&gt;0,"✓",IF(SUMPRODUCT((Transaksi!$C$2:$C$2001=$A47)*(Transaksi!$N$2:$N$2001&lt;=Q$28)*(Transaksi!$O$2:$O$2001&gt;=Q$28)*(Transaksi!$Q$2:$Q$2001&gt;0))&gt;0,"½",IF(Q$28&gt;TODAY(),"·","✗")))))</f>
        <v/>
      </c>
      <c r="R47" s="42">
        <f>IF($A47="","",IF(OR(R$28&lt;Tetapan!$B23,AND(Tetapan!$C23&lt;&gt;"",R$28&gt;Tetapan!$C23),Tetapan!$D23=0),"–",IF(SUMPRODUCT((Transaksi!$C$2:$C$2001=$A47)*(Transaksi!$N$2:$N$2001&lt;=R$28)*(Transaksi!$O$2:$O$2001&gt;=R$28)*(Transaksi!$Q$2:$Q$2001&gt;=Tetapan!$D23-0.01))&gt;0,"✓",IF(SUMPRODUCT((Transaksi!$C$2:$C$2001=$A47)*(Transaksi!$N$2:$N$2001&lt;=R$28)*(Transaksi!$O$2:$O$2001&gt;=R$28)*(Transaksi!$Q$2:$Q$2001&gt;0))&gt;0,"½",IF(R$28&gt;TODAY(),"·","✗")))))</f>
        <v/>
      </c>
      <c r="S47" s="42">
        <f>IF($A47="","",IF(OR(S$28&lt;Tetapan!$B23,AND(Tetapan!$C23&lt;&gt;"",S$28&gt;Tetapan!$C23),Tetapan!$D23=0),"–",IF(SUMPRODUCT((Transaksi!$C$2:$C$2001=$A47)*(Transaksi!$N$2:$N$2001&lt;=S$28)*(Transaksi!$O$2:$O$2001&gt;=S$28)*(Transaksi!$Q$2:$Q$2001&gt;=Tetapan!$D23-0.01))&gt;0,"✓",IF(SUMPRODUCT((Transaksi!$C$2:$C$2001=$A47)*(Transaksi!$N$2:$N$2001&lt;=S$28)*(Transaksi!$O$2:$O$2001&gt;=S$28)*(Transaksi!$Q$2:$Q$2001&gt;0))&gt;0,"½",IF(S$28&gt;TODAY(),"·","✗")))))</f>
        <v/>
      </c>
      <c r="T47" s="42">
        <f>IF($A47="","",IF(OR(T$28&lt;Tetapan!$B23,AND(Tetapan!$C23&lt;&gt;"",T$28&gt;Tetapan!$C23),Tetapan!$D23=0),"–",IF(SUMPRODUCT((Transaksi!$C$2:$C$2001=$A47)*(Transaksi!$N$2:$N$2001&lt;=T$28)*(Transaksi!$O$2:$O$2001&gt;=T$28)*(Transaksi!$Q$2:$Q$2001&gt;=Tetapan!$D23-0.01))&gt;0,"✓",IF(SUMPRODUCT((Transaksi!$C$2:$C$2001=$A47)*(Transaksi!$N$2:$N$2001&lt;=T$28)*(Transaksi!$O$2:$O$2001&gt;=T$28)*(Transaksi!$Q$2:$Q$2001&gt;0))&gt;0,"½",IF(T$28&gt;TODAY(),"·","✗")))))</f>
        <v/>
      </c>
      <c r="W47" s="12">
        <f>IF(B47="✗",TEXT(B$28,"mmm yy")&amp;", ",IF(B47="½",TEXT(B$28,"mmm yy")&amp;" (separa), ",""))&amp;IF(C47="✗",TEXT(C$28,"mmm yy")&amp;", ",IF(C47="½",TEXT(C$28,"mmm yy")&amp;" (separa), ",""))&amp;IF(D47="✗",TEXT(D$28,"mmm yy")&amp;", ",IF(D47="½",TEXT(D$28,"mmm yy")&amp;" (separa), ",""))&amp;IF(E47="✗",TEXT(E$28,"mmm yy")&amp;", ",IF(E47="½",TEXT(E$28,"mmm yy")&amp;" (separa), ",""))&amp;IF(F47="✗",TEXT(F$28,"mmm yy")&amp;", ",IF(F47="½",TEXT(F$28,"mmm yy")&amp;" (separa), ",""))&amp;IF(G47="✗",TEXT(G$28,"mmm yy")&amp;", ",IF(G47="½",TEXT(G$28,"mmm yy")&amp;" (separa), ",""))&amp;IF(H47="✗",TEXT(H$28,"mmm yy")&amp;", ",IF(H47="½",TEXT(H$28,"mmm yy")&amp;" (separa), ",""))&amp;IF(I47="✗",TEXT(I$28,"mmm yy")&amp;", ",IF(I47="½",TEXT(I$28,"mmm yy")&amp;" (separa), ",""))&amp;IF(J47="✗",TEXT(J$28,"mmm yy")&amp;", ",IF(J47="½",TEXT(J$28,"mmm yy")&amp;" (separa), ",""))&amp;IF(K47="✗",TEXT(K$28,"mmm yy")&amp;", ",IF(K47="½",TEXT(K$28,"mmm yy")&amp;" (separa), ",""))&amp;IF(L47="✗",TEXT(L$28,"mmm yy")&amp;", ",IF(L47="½",TEXT(L$28,"mmm yy")&amp;" (separa), ",""))&amp;IF(M47="✗",TEXT(M$28,"mmm yy")&amp;", ",IF(M47="½",TEXT(M$28,"mmm yy")&amp;" (separa), ",""))&amp;IF(N47="✗",TEXT(N$28,"mmm yy")&amp;", ",IF(N47="½",TEXT(N$28,"mmm yy")&amp;" (separa), ",""))&amp;IF(O47="✗",TEXT(O$28,"mmm yy")&amp;", ",IF(O47="½",TEXT(O$28,"mmm yy")&amp;" (separa), ",""))&amp;IF(P47="✗",TEXT(P$28,"mmm yy")&amp;", ",IF(P47="½",TEXT(P$28,"mmm yy")&amp;" (separa), ",""))&amp;IF(Q47="✗",TEXT(Q$28,"mmm yy")&amp;", ",IF(Q47="½",TEXT(Q$28,"mmm yy")&amp;" (separa), ",""))&amp;IF(R47="✗",TEXT(R$28,"mmm yy")&amp;", ",IF(R47="½",TEXT(R$28,"mmm yy")&amp;" (separa), ",""))&amp;IF(S47="✗",TEXT(S$28,"mmm yy")&amp;", ",IF(S47="½",TEXT(S$28,"mmm yy")&amp;" (separa), ",""))&amp;IF(T47="✗",TEXT(T$28,"mmm yy")&amp;", ",IF(T47="½",TEXT(T$28,"mmm yy")&amp;" (separa), ",""))</f>
        <v/>
      </c>
    </row>
    <row r="48">
      <c r="A48" s="41">
        <f>IF(Tetapan!A24="","",Tetapan!A24)</f>
        <v/>
      </c>
      <c r="B48" s="42">
        <f>IF($A48="","",IF(OR(B$28&lt;Tetapan!$B24,AND(Tetapan!$C24&lt;&gt;"",B$28&gt;Tetapan!$C24),Tetapan!$D24=0),"–",IF(SUMPRODUCT((Transaksi!$C$2:$C$2001=$A48)*(Transaksi!$N$2:$N$2001&lt;=B$28)*(Transaksi!$O$2:$O$2001&gt;=B$28)*(Transaksi!$Q$2:$Q$2001&gt;=Tetapan!$D24-0.01))&gt;0,"✓",IF(SUMPRODUCT((Transaksi!$C$2:$C$2001=$A48)*(Transaksi!$N$2:$N$2001&lt;=B$28)*(Transaksi!$O$2:$O$2001&gt;=B$28)*(Transaksi!$Q$2:$Q$2001&gt;0))&gt;0,"½",IF(B$28&gt;TODAY(),"·","✗")))))</f>
        <v/>
      </c>
      <c r="C48" s="42">
        <f>IF($A48="","",IF(OR(C$28&lt;Tetapan!$B24,AND(Tetapan!$C24&lt;&gt;"",C$28&gt;Tetapan!$C24),Tetapan!$D24=0),"–",IF(SUMPRODUCT((Transaksi!$C$2:$C$2001=$A48)*(Transaksi!$N$2:$N$2001&lt;=C$28)*(Transaksi!$O$2:$O$2001&gt;=C$28)*(Transaksi!$Q$2:$Q$2001&gt;=Tetapan!$D24-0.01))&gt;0,"✓",IF(SUMPRODUCT((Transaksi!$C$2:$C$2001=$A48)*(Transaksi!$N$2:$N$2001&lt;=C$28)*(Transaksi!$O$2:$O$2001&gt;=C$28)*(Transaksi!$Q$2:$Q$2001&gt;0))&gt;0,"½",IF(C$28&gt;TODAY(),"·","✗")))))</f>
        <v/>
      </c>
      <c r="D48" s="42">
        <f>IF($A48="","",IF(OR(D$28&lt;Tetapan!$B24,AND(Tetapan!$C24&lt;&gt;"",D$28&gt;Tetapan!$C24),Tetapan!$D24=0),"–",IF(SUMPRODUCT((Transaksi!$C$2:$C$2001=$A48)*(Transaksi!$N$2:$N$2001&lt;=D$28)*(Transaksi!$O$2:$O$2001&gt;=D$28)*(Transaksi!$Q$2:$Q$2001&gt;=Tetapan!$D24-0.01))&gt;0,"✓",IF(SUMPRODUCT((Transaksi!$C$2:$C$2001=$A48)*(Transaksi!$N$2:$N$2001&lt;=D$28)*(Transaksi!$O$2:$O$2001&gt;=D$28)*(Transaksi!$Q$2:$Q$2001&gt;0))&gt;0,"½",IF(D$28&gt;TODAY(),"·","✗")))))</f>
        <v/>
      </c>
      <c r="E48" s="42">
        <f>IF($A48="","",IF(OR(E$28&lt;Tetapan!$B24,AND(Tetapan!$C24&lt;&gt;"",E$28&gt;Tetapan!$C24),Tetapan!$D24=0),"–",IF(SUMPRODUCT((Transaksi!$C$2:$C$2001=$A48)*(Transaksi!$N$2:$N$2001&lt;=E$28)*(Transaksi!$O$2:$O$2001&gt;=E$28)*(Transaksi!$Q$2:$Q$2001&gt;=Tetapan!$D24-0.01))&gt;0,"✓",IF(SUMPRODUCT((Transaksi!$C$2:$C$2001=$A48)*(Transaksi!$N$2:$N$2001&lt;=E$28)*(Transaksi!$O$2:$O$2001&gt;=E$28)*(Transaksi!$Q$2:$Q$2001&gt;0))&gt;0,"½",IF(E$28&gt;TODAY(),"·","✗")))))</f>
        <v/>
      </c>
      <c r="F48" s="42">
        <f>IF($A48="","",IF(OR(F$28&lt;Tetapan!$B24,AND(Tetapan!$C24&lt;&gt;"",F$28&gt;Tetapan!$C24),Tetapan!$D24=0),"–",IF(SUMPRODUCT((Transaksi!$C$2:$C$2001=$A48)*(Transaksi!$N$2:$N$2001&lt;=F$28)*(Transaksi!$O$2:$O$2001&gt;=F$28)*(Transaksi!$Q$2:$Q$2001&gt;=Tetapan!$D24-0.01))&gt;0,"✓",IF(SUMPRODUCT((Transaksi!$C$2:$C$2001=$A48)*(Transaksi!$N$2:$N$2001&lt;=F$28)*(Transaksi!$O$2:$O$2001&gt;=F$28)*(Transaksi!$Q$2:$Q$2001&gt;0))&gt;0,"½",IF(F$28&gt;TODAY(),"·","✗")))))</f>
        <v/>
      </c>
      <c r="G48" s="42">
        <f>IF($A48="","",IF(OR(G$28&lt;Tetapan!$B24,AND(Tetapan!$C24&lt;&gt;"",G$28&gt;Tetapan!$C24),Tetapan!$D24=0),"–",IF(SUMPRODUCT((Transaksi!$C$2:$C$2001=$A48)*(Transaksi!$N$2:$N$2001&lt;=G$28)*(Transaksi!$O$2:$O$2001&gt;=G$28)*(Transaksi!$Q$2:$Q$2001&gt;=Tetapan!$D24-0.01))&gt;0,"✓",IF(SUMPRODUCT((Transaksi!$C$2:$C$2001=$A48)*(Transaksi!$N$2:$N$2001&lt;=G$28)*(Transaksi!$O$2:$O$2001&gt;=G$28)*(Transaksi!$Q$2:$Q$2001&gt;0))&gt;0,"½",IF(G$28&gt;TODAY(),"·","✗")))))</f>
        <v/>
      </c>
      <c r="H48" s="42">
        <f>IF($A48="","",IF(OR(H$28&lt;Tetapan!$B24,AND(Tetapan!$C24&lt;&gt;"",H$28&gt;Tetapan!$C24),Tetapan!$D24=0),"–",IF(SUMPRODUCT((Transaksi!$C$2:$C$2001=$A48)*(Transaksi!$N$2:$N$2001&lt;=H$28)*(Transaksi!$O$2:$O$2001&gt;=H$28)*(Transaksi!$Q$2:$Q$2001&gt;=Tetapan!$D24-0.01))&gt;0,"✓",IF(SUMPRODUCT((Transaksi!$C$2:$C$2001=$A48)*(Transaksi!$N$2:$N$2001&lt;=H$28)*(Transaksi!$O$2:$O$2001&gt;=H$28)*(Transaksi!$Q$2:$Q$2001&gt;0))&gt;0,"½",IF(H$28&gt;TODAY(),"·","✗")))))</f>
        <v/>
      </c>
      <c r="I48" s="42">
        <f>IF($A48="","",IF(OR(I$28&lt;Tetapan!$B24,AND(Tetapan!$C24&lt;&gt;"",I$28&gt;Tetapan!$C24),Tetapan!$D24=0),"–",IF(SUMPRODUCT((Transaksi!$C$2:$C$2001=$A48)*(Transaksi!$N$2:$N$2001&lt;=I$28)*(Transaksi!$O$2:$O$2001&gt;=I$28)*(Transaksi!$Q$2:$Q$2001&gt;=Tetapan!$D24-0.01))&gt;0,"✓",IF(SUMPRODUCT((Transaksi!$C$2:$C$2001=$A48)*(Transaksi!$N$2:$N$2001&lt;=I$28)*(Transaksi!$O$2:$O$2001&gt;=I$28)*(Transaksi!$Q$2:$Q$2001&gt;0))&gt;0,"½",IF(I$28&gt;TODAY(),"·","✗")))))</f>
        <v/>
      </c>
      <c r="J48" s="42">
        <f>IF($A48="","",IF(OR(J$28&lt;Tetapan!$B24,AND(Tetapan!$C24&lt;&gt;"",J$28&gt;Tetapan!$C24),Tetapan!$D24=0),"–",IF(SUMPRODUCT((Transaksi!$C$2:$C$2001=$A48)*(Transaksi!$N$2:$N$2001&lt;=J$28)*(Transaksi!$O$2:$O$2001&gt;=J$28)*(Transaksi!$Q$2:$Q$2001&gt;=Tetapan!$D24-0.01))&gt;0,"✓",IF(SUMPRODUCT((Transaksi!$C$2:$C$2001=$A48)*(Transaksi!$N$2:$N$2001&lt;=J$28)*(Transaksi!$O$2:$O$2001&gt;=J$28)*(Transaksi!$Q$2:$Q$2001&gt;0))&gt;0,"½",IF(J$28&gt;TODAY(),"·","✗")))))</f>
        <v/>
      </c>
      <c r="K48" s="42">
        <f>IF($A48="","",IF(OR(K$28&lt;Tetapan!$B24,AND(Tetapan!$C24&lt;&gt;"",K$28&gt;Tetapan!$C24),Tetapan!$D24=0),"–",IF(SUMPRODUCT((Transaksi!$C$2:$C$2001=$A48)*(Transaksi!$N$2:$N$2001&lt;=K$28)*(Transaksi!$O$2:$O$2001&gt;=K$28)*(Transaksi!$Q$2:$Q$2001&gt;=Tetapan!$D24-0.01))&gt;0,"✓",IF(SUMPRODUCT((Transaksi!$C$2:$C$2001=$A48)*(Transaksi!$N$2:$N$2001&lt;=K$28)*(Transaksi!$O$2:$O$2001&gt;=K$28)*(Transaksi!$Q$2:$Q$2001&gt;0))&gt;0,"½",IF(K$28&gt;TODAY(),"·","✗")))))</f>
        <v/>
      </c>
      <c r="L48" s="42">
        <f>IF($A48="","",IF(OR(L$28&lt;Tetapan!$B24,AND(Tetapan!$C24&lt;&gt;"",L$28&gt;Tetapan!$C24),Tetapan!$D24=0),"–",IF(SUMPRODUCT((Transaksi!$C$2:$C$2001=$A48)*(Transaksi!$N$2:$N$2001&lt;=L$28)*(Transaksi!$O$2:$O$2001&gt;=L$28)*(Transaksi!$Q$2:$Q$2001&gt;=Tetapan!$D24-0.01))&gt;0,"✓",IF(SUMPRODUCT((Transaksi!$C$2:$C$2001=$A48)*(Transaksi!$N$2:$N$2001&lt;=L$28)*(Transaksi!$O$2:$O$2001&gt;=L$28)*(Transaksi!$Q$2:$Q$2001&gt;0))&gt;0,"½",IF(L$28&gt;TODAY(),"·","✗")))))</f>
        <v/>
      </c>
      <c r="M48" s="42">
        <f>IF($A48="","",IF(OR(M$28&lt;Tetapan!$B24,AND(Tetapan!$C24&lt;&gt;"",M$28&gt;Tetapan!$C24),Tetapan!$D24=0),"–",IF(SUMPRODUCT((Transaksi!$C$2:$C$2001=$A48)*(Transaksi!$N$2:$N$2001&lt;=M$28)*(Transaksi!$O$2:$O$2001&gt;=M$28)*(Transaksi!$Q$2:$Q$2001&gt;=Tetapan!$D24-0.01))&gt;0,"✓",IF(SUMPRODUCT((Transaksi!$C$2:$C$2001=$A48)*(Transaksi!$N$2:$N$2001&lt;=M$28)*(Transaksi!$O$2:$O$2001&gt;=M$28)*(Transaksi!$Q$2:$Q$2001&gt;0))&gt;0,"½",IF(M$28&gt;TODAY(),"·","✗")))))</f>
        <v/>
      </c>
      <c r="N48" s="42">
        <f>IF($A48="","",IF(OR(N$28&lt;Tetapan!$B24,AND(Tetapan!$C24&lt;&gt;"",N$28&gt;Tetapan!$C24),Tetapan!$D24=0),"–",IF(SUMPRODUCT((Transaksi!$C$2:$C$2001=$A48)*(Transaksi!$N$2:$N$2001&lt;=N$28)*(Transaksi!$O$2:$O$2001&gt;=N$28)*(Transaksi!$Q$2:$Q$2001&gt;=Tetapan!$D24-0.01))&gt;0,"✓",IF(SUMPRODUCT((Transaksi!$C$2:$C$2001=$A48)*(Transaksi!$N$2:$N$2001&lt;=N$28)*(Transaksi!$O$2:$O$2001&gt;=N$28)*(Transaksi!$Q$2:$Q$2001&gt;0))&gt;0,"½",IF(N$28&gt;TODAY(),"·","✗")))))</f>
        <v/>
      </c>
      <c r="O48" s="42">
        <f>IF($A48="","",IF(OR(O$28&lt;Tetapan!$B24,AND(Tetapan!$C24&lt;&gt;"",O$28&gt;Tetapan!$C24),Tetapan!$D24=0),"–",IF(SUMPRODUCT((Transaksi!$C$2:$C$2001=$A48)*(Transaksi!$N$2:$N$2001&lt;=O$28)*(Transaksi!$O$2:$O$2001&gt;=O$28)*(Transaksi!$Q$2:$Q$2001&gt;=Tetapan!$D24-0.01))&gt;0,"✓",IF(SUMPRODUCT((Transaksi!$C$2:$C$2001=$A48)*(Transaksi!$N$2:$N$2001&lt;=O$28)*(Transaksi!$O$2:$O$2001&gt;=O$28)*(Transaksi!$Q$2:$Q$2001&gt;0))&gt;0,"½",IF(O$28&gt;TODAY(),"·","✗")))))</f>
        <v/>
      </c>
      <c r="P48" s="42">
        <f>IF($A48="","",IF(OR(P$28&lt;Tetapan!$B24,AND(Tetapan!$C24&lt;&gt;"",P$28&gt;Tetapan!$C24),Tetapan!$D24=0),"–",IF(SUMPRODUCT((Transaksi!$C$2:$C$2001=$A48)*(Transaksi!$N$2:$N$2001&lt;=P$28)*(Transaksi!$O$2:$O$2001&gt;=P$28)*(Transaksi!$Q$2:$Q$2001&gt;=Tetapan!$D24-0.01))&gt;0,"✓",IF(SUMPRODUCT((Transaksi!$C$2:$C$2001=$A48)*(Transaksi!$N$2:$N$2001&lt;=P$28)*(Transaksi!$O$2:$O$2001&gt;=P$28)*(Transaksi!$Q$2:$Q$2001&gt;0))&gt;0,"½",IF(P$28&gt;TODAY(),"·","✗")))))</f>
        <v/>
      </c>
      <c r="Q48" s="42">
        <f>IF($A48="","",IF(OR(Q$28&lt;Tetapan!$B24,AND(Tetapan!$C24&lt;&gt;"",Q$28&gt;Tetapan!$C24),Tetapan!$D24=0),"–",IF(SUMPRODUCT((Transaksi!$C$2:$C$2001=$A48)*(Transaksi!$N$2:$N$2001&lt;=Q$28)*(Transaksi!$O$2:$O$2001&gt;=Q$28)*(Transaksi!$Q$2:$Q$2001&gt;=Tetapan!$D24-0.01))&gt;0,"✓",IF(SUMPRODUCT((Transaksi!$C$2:$C$2001=$A48)*(Transaksi!$N$2:$N$2001&lt;=Q$28)*(Transaksi!$O$2:$O$2001&gt;=Q$28)*(Transaksi!$Q$2:$Q$2001&gt;0))&gt;0,"½",IF(Q$28&gt;TODAY(),"·","✗")))))</f>
        <v/>
      </c>
      <c r="R48" s="42">
        <f>IF($A48="","",IF(OR(R$28&lt;Tetapan!$B24,AND(Tetapan!$C24&lt;&gt;"",R$28&gt;Tetapan!$C24),Tetapan!$D24=0),"–",IF(SUMPRODUCT((Transaksi!$C$2:$C$2001=$A48)*(Transaksi!$N$2:$N$2001&lt;=R$28)*(Transaksi!$O$2:$O$2001&gt;=R$28)*(Transaksi!$Q$2:$Q$2001&gt;=Tetapan!$D24-0.01))&gt;0,"✓",IF(SUMPRODUCT((Transaksi!$C$2:$C$2001=$A48)*(Transaksi!$N$2:$N$2001&lt;=R$28)*(Transaksi!$O$2:$O$2001&gt;=R$28)*(Transaksi!$Q$2:$Q$2001&gt;0))&gt;0,"½",IF(R$28&gt;TODAY(),"·","✗")))))</f>
        <v/>
      </c>
      <c r="S48" s="42">
        <f>IF($A48="","",IF(OR(S$28&lt;Tetapan!$B24,AND(Tetapan!$C24&lt;&gt;"",S$28&gt;Tetapan!$C24),Tetapan!$D24=0),"–",IF(SUMPRODUCT((Transaksi!$C$2:$C$2001=$A48)*(Transaksi!$N$2:$N$2001&lt;=S$28)*(Transaksi!$O$2:$O$2001&gt;=S$28)*(Transaksi!$Q$2:$Q$2001&gt;=Tetapan!$D24-0.01))&gt;0,"✓",IF(SUMPRODUCT((Transaksi!$C$2:$C$2001=$A48)*(Transaksi!$N$2:$N$2001&lt;=S$28)*(Transaksi!$O$2:$O$2001&gt;=S$28)*(Transaksi!$Q$2:$Q$2001&gt;0))&gt;0,"½",IF(S$28&gt;TODAY(),"·","✗")))))</f>
        <v/>
      </c>
      <c r="T48" s="42">
        <f>IF($A48="","",IF(OR(T$28&lt;Tetapan!$B24,AND(Tetapan!$C24&lt;&gt;"",T$28&gt;Tetapan!$C24),Tetapan!$D24=0),"–",IF(SUMPRODUCT((Transaksi!$C$2:$C$2001=$A48)*(Transaksi!$N$2:$N$2001&lt;=T$28)*(Transaksi!$O$2:$O$2001&gt;=T$28)*(Transaksi!$Q$2:$Q$2001&gt;=Tetapan!$D24-0.01))&gt;0,"✓",IF(SUMPRODUCT((Transaksi!$C$2:$C$2001=$A48)*(Transaksi!$N$2:$N$2001&lt;=T$28)*(Transaksi!$O$2:$O$2001&gt;=T$28)*(Transaksi!$Q$2:$Q$2001&gt;0))&gt;0,"½",IF(T$28&gt;TODAY(),"·","✗")))))</f>
        <v/>
      </c>
      <c r="W48" s="12">
        <f>IF(B48="✗",TEXT(B$28,"mmm yy")&amp;", ",IF(B48="½",TEXT(B$28,"mmm yy")&amp;" (separa), ",""))&amp;IF(C48="✗",TEXT(C$28,"mmm yy")&amp;", ",IF(C48="½",TEXT(C$28,"mmm yy")&amp;" (separa), ",""))&amp;IF(D48="✗",TEXT(D$28,"mmm yy")&amp;", ",IF(D48="½",TEXT(D$28,"mmm yy")&amp;" (separa), ",""))&amp;IF(E48="✗",TEXT(E$28,"mmm yy")&amp;", ",IF(E48="½",TEXT(E$28,"mmm yy")&amp;" (separa), ",""))&amp;IF(F48="✗",TEXT(F$28,"mmm yy")&amp;", ",IF(F48="½",TEXT(F$28,"mmm yy")&amp;" (separa), ",""))&amp;IF(G48="✗",TEXT(G$28,"mmm yy")&amp;", ",IF(G48="½",TEXT(G$28,"mmm yy")&amp;" (separa), ",""))&amp;IF(H48="✗",TEXT(H$28,"mmm yy")&amp;", ",IF(H48="½",TEXT(H$28,"mmm yy")&amp;" (separa), ",""))&amp;IF(I48="✗",TEXT(I$28,"mmm yy")&amp;", ",IF(I48="½",TEXT(I$28,"mmm yy")&amp;" (separa), ",""))&amp;IF(J48="✗",TEXT(J$28,"mmm yy")&amp;", ",IF(J48="½",TEXT(J$28,"mmm yy")&amp;" (separa), ",""))&amp;IF(K48="✗",TEXT(K$28,"mmm yy")&amp;", ",IF(K48="½",TEXT(K$28,"mmm yy")&amp;" (separa), ",""))&amp;IF(L48="✗",TEXT(L$28,"mmm yy")&amp;", ",IF(L48="½",TEXT(L$28,"mmm yy")&amp;" (separa), ",""))&amp;IF(M48="✗",TEXT(M$28,"mmm yy")&amp;", ",IF(M48="½",TEXT(M$28,"mmm yy")&amp;" (separa), ",""))&amp;IF(N48="✗",TEXT(N$28,"mmm yy")&amp;", ",IF(N48="½",TEXT(N$28,"mmm yy")&amp;" (separa), ",""))&amp;IF(O48="✗",TEXT(O$28,"mmm yy")&amp;", ",IF(O48="½",TEXT(O$28,"mmm yy")&amp;" (separa), ",""))&amp;IF(P48="✗",TEXT(P$28,"mmm yy")&amp;", ",IF(P48="½",TEXT(P$28,"mmm yy")&amp;" (separa), ",""))&amp;IF(Q48="✗",TEXT(Q$28,"mmm yy")&amp;", ",IF(Q48="½",TEXT(Q$28,"mmm yy")&amp;" (separa), ",""))&amp;IF(R48="✗",TEXT(R$28,"mmm yy")&amp;", ",IF(R48="½",TEXT(R$28,"mmm yy")&amp;" (separa), ",""))&amp;IF(S48="✗",TEXT(S$28,"mmm yy")&amp;", ",IF(S48="½",TEXT(S$28,"mmm yy")&amp;" (separa), ",""))&amp;IF(T48="✗",TEXT(T$28,"mmm yy")&amp;", ",IF(T48="½",TEXT(T$28,"mmm yy")&amp;" (separa), ",""))</f>
        <v/>
      </c>
    </row>
    <row r="51">
      <c r="A51" s="39" t="inlineStr">
        <is>
          <t>Lawatan</t>
        </is>
      </c>
    </row>
    <row r="52" ht="24" customHeight="1">
      <c r="A52" s="18" t="inlineStr">
        <is>
          <t>Ahli</t>
        </is>
      </c>
      <c r="B52" s="40">
        <f>Tetapan!$B$28</f>
        <v/>
      </c>
      <c r="C52" s="40">
        <f>EDATE(B52,1)</f>
        <v/>
      </c>
      <c r="D52" s="40">
        <f>EDATE(C52,1)</f>
        <v/>
      </c>
      <c r="E52" s="40">
        <f>EDATE(D52,1)</f>
        <v/>
      </c>
      <c r="F52" s="40">
        <f>EDATE(E52,1)</f>
        <v/>
      </c>
      <c r="G52" s="40">
        <f>EDATE(F52,1)</f>
        <v/>
      </c>
      <c r="H52" s="40">
        <f>EDATE(G52,1)</f>
        <v/>
      </c>
      <c r="I52" s="40">
        <f>EDATE(H52,1)</f>
        <v/>
      </c>
      <c r="J52" s="40">
        <f>EDATE(I52,1)</f>
        <v/>
      </c>
      <c r="K52" s="40">
        <f>EDATE(J52,1)</f>
        <v/>
      </c>
      <c r="L52" s="40">
        <f>EDATE(K52,1)</f>
        <v/>
      </c>
      <c r="M52" s="40">
        <f>EDATE(L52,1)</f>
        <v/>
      </c>
      <c r="N52" s="40">
        <f>EDATE(M52,1)</f>
        <v/>
      </c>
      <c r="O52" s="40">
        <f>EDATE(N52,1)</f>
        <v/>
      </c>
      <c r="P52" s="40">
        <f>EDATE(O52,1)</f>
        <v/>
      </c>
      <c r="Q52" s="40">
        <f>EDATE(P52,1)</f>
        <v/>
      </c>
      <c r="R52" s="40">
        <f>EDATE(Q52,1)</f>
        <v/>
      </c>
      <c r="S52" s="40">
        <f>EDATE(R52,1)</f>
        <v/>
      </c>
      <c r="T52" s="40">
        <f>EDATE(S52,1)</f>
        <v/>
      </c>
    </row>
    <row r="53">
      <c r="A53" s="41">
        <f>IF(Tetapan!A5="","",Tetapan!A5)</f>
        <v/>
      </c>
      <c r="B53" s="42">
        <f>IF($A53="","",IF(OR(B$52&lt;Tetapan!$B5,AND(Tetapan!$C5&lt;&gt;"",B$52&gt;Tetapan!$C5),Tetapan!$E5=0,B$52&gt;Tetapan!$B$27),"–",IF(SUMPRODUCT((Transaksi!$C$2:$C$2001=$A53)*(Transaksi!$N$2:$N$2001&lt;=B$52)*(Transaksi!$O$2:$O$2001&gt;=B$52)*(Transaksi!$R$2:$R$2001&gt;=Tetapan!$E5-0.01))&gt;0,"✓",IF(SUMPRODUCT((Transaksi!$C$2:$C$2001=$A53)*(Transaksi!$N$2:$N$2001&lt;=B$52)*(Transaksi!$O$2:$O$2001&gt;=B$52)*(Transaksi!$R$2:$R$2001&gt;0))&gt;0,"½",IF(B$52&gt;TODAY(),"·","✗")))))</f>
        <v/>
      </c>
      <c r="C53" s="42">
        <f>IF($A53="","",IF(OR(C$52&lt;Tetapan!$B5,AND(Tetapan!$C5&lt;&gt;"",C$52&gt;Tetapan!$C5),Tetapan!$E5=0,C$52&gt;Tetapan!$B$27),"–",IF(SUMPRODUCT((Transaksi!$C$2:$C$2001=$A53)*(Transaksi!$N$2:$N$2001&lt;=C$52)*(Transaksi!$O$2:$O$2001&gt;=C$52)*(Transaksi!$R$2:$R$2001&gt;=Tetapan!$E5-0.01))&gt;0,"✓",IF(SUMPRODUCT((Transaksi!$C$2:$C$2001=$A53)*(Transaksi!$N$2:$N$2001&lt;=C$52)*(Transaksi!$O$2:$O$2001&gt;=C$52)*(Transaksi!$R$2:$R$2001&gt;0))&gt;0,"½",IF(C$52&gt;TODAY(),"·","✗")))))</f>
        <v/>
      </c>
      <c r="D53" s="42">
        <f>IF($A53="","",IF(OR(D$52&lt;Tetapan!$B5,AND(Tetapan!$C5&lt;&gt;"",D$52&gt;Tetapan!$C5),Tetapan!$E5=0,D$52&gt;Tetapan!$B$27),"–",IF(SUMPRODUCT((Transaksi!$C$2:$C$2001=$A53)*(Transaksi!$N$2:$N$2001&lt;=D$52)*(Transaksi!$O$2:$O$2001&gt;=D$52)*(Transaksi!$R$2:$R$2001&gt;=Tetapan!$E5-0.01))&gt;0,"✓",IF(SUMPRODUCT((Transaksi!$C$2:$C$2001=$A53)*(Transaksi!$N$2:$N$2001&lt;=D$52)*(Transaksi!$O$2:$O$2001&gt;=D$52)*(Transaksi!$R$2:$R$2001&gt;0))&gt;0,"½",IF(D$52&gt;TODAY(),"·","✗")))))</f>
        <v/>
      </c>
      <c r="E53" s="42">
        <f>IF($A53="","",IF(OR(E$52&lt;Tetapan!$B5,AND(Tetapan!$C5&lt;&gt;"",E$52&gt;Tetapan!$C5),Tetapan!$E5=0,E$52&gt;Tetapan!$B$27),"–",IF(SUMPRODUCT((Transaksi!$C$2:$C$2001=$A53)*(Transaksi!$N$2:$N$2001&lt;=E$52)*(Transaksi!$O$2:$O$2001&gt;=E$52)*(Transaksi!$R$2:$R$2001&gt;=Tetapan!$E5-0.01))&gt;0,"✓",IF(SUMPRODUCT((Transaksi!$C$2:$C$2001=$A53)*(Transaksi!$N$2:$N$2001&lt;=E$52)*(Transaksi!$O$2:$O$2001&gt;=E$52)*(Transaksi!$R$2:$R$2001&gt;0))&gt;0,"½",IF(E$52&gt;TODAY(),"·","✗")))))</f>
        <v/>
      </c>
      <c r="F53" s="42">
        <f>IF($A53="","",IF(OR(F$52&lt;Tetapan!$B5,AND(Tetapan!$C5&lt;&gt;"",F$52&gt;Tetapan!$C5),Tetapan!$E5=0,F$52&gt;Tetapan!$B$27),"–",IF(SUMPRODUCT((Transaksi!$C$2:$C$2001=$A53)*(Transaksi!$N$2:$N$2001&lt;=F$52)*(Transaksi!$O$2:$O$2001&gt;=F$52)*(Transaksi!$R$2:$R$2001&gt;=Tetapan!$E5-0.01))&gt;0,"✓",IF(SUMPRODUCT((Transaksi!$C$2:$C$2001=$A53)*(Transaksi!$N$2:$N$2001&lt;=F$52)*(Transaksi!$O$2:$O$2001&gt;=F$52)*(Transaksi!$R$2:$R$2001&gt;0))&gt;0,"½",IF(F$52&gt;TODAY(),"·","✗")))))</f>
        <v/>
      </c>
      <c r="G53" s="42">
        <f>IF($A53="","",IF(OR(G$52&lt;Tetapan!$B5,AND(Tetapan!$C5&lt;&gt;"",G$52&gt;Tetapan!$C5),Tetapan!$E5=0,G$52&gt;Tetapan!$B$27),"–",IF(SUMPRODUCT((Transaksi!$C$2:$C$2001=$A53)*(Transaksi!$N$2:$N$2001&lt;=G$52)*(Transaksi!$O$2:$O$2001&gt;=G$52)*(Transaksi!$R$2:$R$2001&gt;=Tetapan!$E5-0.01))&gt;0,"✓",IF(SUMPRODUCT((Transaksi!$C$2:$C$2001=$A53)*(Transaksi!$N$2:$N$2001&lt;=G$52)*(Transaksi!$O$2:$O$2001&gt;=G$52)*(Transaksi!$R$2:$R$2001&gt;0))&gt;0,"½",IF(G$52&gt;TODAY(),"·","✗")))))</f>
        <v/>
      </c>
      <c r="H53" s="42">
        <f>IF($A53="","",IF(OR(H$52&lt;Tetapan!$B5,AND(Tetapan!$C5&lt;&gt;"",H$52&gt;Tetapan!$C5),Tetapan!$E5=0,H$52&gt;Tetapan!$B$27),"–",IF(SUMPRODUCT((Transaksi!$C$2:$C$2001=$A53)*(Transaksi!$N$2:$N$2001&lt;=H$52)*(Transaksi!$O$2:$O$2001&gt;=H$52)*(Transaksi!$R$2:$R$2001&gt;=Tetapan!$E5-0.01))&gt;0,"✓",IF(SUMPRODUCT((Transaksi!$C$2:$C$2001=$A53)*(Transaksi!$N$2:$N$2001&lt;=H$52)*(Transaksi!$O$2:$O$2001&gt;=H$52)*(Transaksi!$R$2:$R$2001&gt;0))&gt;0,"½",IF(H$52&gt;TODAY(),"·","✗")))))</f>
        <v/>
      </c>
      <c r="I53" s="42">
        <f>IF($A53="","",IF(OR(I$52&lt;Tetapan!$B5,AND(Tetapan!$C5&lt;&gt;"",I$52&gt;Tetapan!$C5),Tetapan!$E5=0,I$52&gt;Tetapan!$B$27),"–",IF(SUMPRODUCT((Transaksi!$C$2:$C$2001=$A53)*(Transaksi!$N$2:$N$2001&lt;=I$52)*(Transaksi!$O$2:$O$2001&gt;=I$52)*(Transaksi!$R$2:$R$2001&gt;=Tetapan!$E5-0.01))&gt;0,"✓",IF(SUMPRODUCT((Transaksi!$C$2:$C$2001=$A53)*(Transaksi!$N$2:$N$2001&lt;=I$52)*(Transaksi!$O$2:$O$2001&gt;=I$52)*(Transaksi!$R$2:$R$2001&gt;0))&gt;0,"½",IF(I$52&gt;TODAY(),"·","✗")))))</f>
        <v/>
      </c>
      <c r="J53" s="42">
        <f>IF($A53="","",IF(OR(J$52&lt;Tetapan!$B5,AND(Tetapan!$C5&lt;&gt;"",J$52&gt;Tetapan!$C5),Tetapan!$E5=0,J$52&gt;Tetapan!$B$27),"–",IF(SUMPRODUCT((Transaksi!$C$2:$C$2001=$A53)*(Transaksi!$N$2:$N$2001&lt;=J$52)*(Transaksi!$O$2:$O$2001&gt;=J$52)*(Transaksi!$R$2:$R$2001&gt;=Tetapan!$E5-0.01))&gt;0,"✓",IF(SUMPRODUCT((Transaksi!$C$2:$C$2001=$A53)*(Transaksi!$N$2:$N$2001&lt;=J$52)*(Transaksi!$O$2:$O$2001&gt;=J$52)*(Transaksi!$R$2:$R$2001&gt;0))&gt;0,"½",IF(J$52&gt;TODAY(),"·","✗")))))</f>
        <v/>
      </c>
      <c r="K53" s="42">
        <f>IF($A53="","",IF(OR(K$52&lt;Tetapan!$B5,AND(Tetapan!$C5&lt;&gt;"",K$52&gt;Tetapan!$C5),Tetapan!$E5=0,K$52&gt;Tetapan!$B$27),"–",IF(SUMPRODUCT((Transaksi!$C$2:$C$2001=$A53)*(Transaksi!$N$2:$N$2001&lt;=K$52)*(Transaksi!$O$2:$O$2001&gt;=K$52)*(Transaksi!$R$2:$R$2001&gt;=Tetapan!$E5-0.01))&gt;0,"✓",IF(SUMPRODUCT((Transaksi!$C$2:$C$2001=$A53)*(Transaksi!$N$2:$N$2001&lt;=K$52)*(Transaksi!$O$2:$O$2001&gt;=K$52)*(Transaksi!$R$2:$R$2001&gt;0))&gt;0,"½",IF(K$52&gt;TODAY(),"·","✗")))))</f>
        <v/>
      </c>
      <c r="L53" s="42">
        <f>IF($A53="","",IF(OR(L$52&lt;Tetapan!$B5,AND(Tetapan!$C5&lt;&gt;"",L$52&gt;Tetapan!$C5),Tetapan!$E5=0,L$52&gt;Tetapan!$B$27),"–",IF(SUMPRODUCT((Transaksi!$C$2:$C$2001=$A53)*(Transaksi!$N$2:$N$2001&lt;=L$52)*(Transaksi!$O$2:$O$2001&gt;=L$52)*(Transaksi!$R$2:$R$2001&gt;=Tetapan!$E5-0.01))&gt;0,"✓",IF(SUMPRODUCT((Transaksi!$C$2:$C$2001=$A53)*(Transaksi!$N$2:$N$2001&lt;=L$52)*(Transaksi!$O$2:$O$2001&gt;=L$52)*(Transaksi!$R$2:$R$2001&gt;0))&gt;0,"½",IF(L$52&gt;TODAY(),"·","✗")))))</f>
        <v/>
      </c>
      <c r="M53" s="42">
        <f>IF($A53="","",IF(OR(M$52&lt;Tetapan!$B5,AND(Tetapan!$C5&lt;&gt;"",M$52&gt;Tetapan!$C5),Tetapan!$E5=0,M$52&gt;Tetapan!$B$27),"–",IF(SUMPRODUCT((Transaksi!$C$2:$C$2001=$A53)*(Transaksi!$N$2:$N$2001&lt;=M$52)*(Transaksi!$O$2:$O$2001&gt;=M$52)*(Transaksi!$R$2:$R$2001&gt;=Tetapan!$E5-0.01))&gt;0,"✓",IF(SUMPRODUCT((Transaksi!$C$2:$C$2001=$A53)*(Transaksi!$N$2:$N$2001&lt;=M$52)*(Transaksi!$O$2:$O$2001&gt;=M$52)*(Transaksi!$R$2:$R$2001&gt;0))&gt;0,"½",IF(M$52&gt;TODAY(),"·","✗")))))</f>
        <v/>
      </c>
      <c r="N53" s="42">
        <f>IF($A53="","",IF(OR(N$52&lt;Tetapan!$B5,AND(Tetapan!$C5&lt;&gt;"",N$52&gt;Tetapan!$C5),Tetapan!$E5=0,N$52&gt;Tetapan!$B$27),"–",IF(SUMPRODUCT((Transaksi!$C$2:$C$2001=$A53)*(Transaksi!$N$2:$N$2001&lt;=N$52)*(Transaksi!$O$2:$O$2001&gt;=N$52)*(Transaksi!$R$2:$R$2001&gt;=Tetapan!$E5-0.01))&gt;0,"✓",IF(SUMPRODUCT((Transaksi!$C$2:$C$2001=$A53)*(Transaksi!$N$2:$N$2001&lt;=N$52)*(Transaksi!$O$2:$O$2001&gt;=N$52)*(Transaksi!$R$2:$R$2001&gt;0))&gt;0,"½",IF(N$52&gt;TODAY(),"·","✗")))))</f>
        <v/>
      </c>
      <c r="O53" s="42">
        <f>IF($A53="","",IF(OR(O$52&lt;Tetapan!$B5,AND(Tetapan!$C5&lt;&gt;"",O$52&gt;Tetapan!$C5),Tetapan!$E5=0,O$52&gt;Tetapan!$B$27),"–",IF(SUMPRODUCT((Transaksi!$C$2:$C$2001=$A53)*(Transaksi!$N$2:$N$2001&lt;=O$52)*(Transaksi!$O$2:$O$2001&gt;=O$52)*(Transaksi!$R$2:$R$2001&gt;=Tetapan!$E5-0.01))&gt;0,"✓",IF(SUMPRODUCT((Transaksi!$C$2:$C$2001=$A53)*(Transaksi!$N$2:$N$2001&lt;=O$52)*(Transaksi!$O$2:$O$2001&gt;=O$52)*(Transaksi!$R$2:$R$2001&gt;0))&gt;0,"½",IF(O$52&gt;TODAY(),"·","✗")))))</f>
        <v/>
      </c>
      <c r="P53" s="42">
        <f>IF($A53="","",IF(OR(P$52&lt;Tetapan!$B5,AND(Tetapan!$C5&lt;&gt;"",P$52&gt;Tetapan!$C5),Tetapan!$E5=0,P$52&gt;Tetapan!$B$27),"–",IF(SUMPRODUCT((Transaksi!$C$2:$C$2001=$A53)*(Transaksi!$N$2:$N$2001&lt;=P$52)*(Transaksi!$O$2:$O$2001&gt;=P$52)*(Transaksi!$R$2:$R$2001&gt;=Tetapan!$E5-0.01))&gt;0,"✓",IF(SUMPRODUCT((Transaksi!$C$2:$C$2001=$A53)*(Transaksi!$N$2:$N$2001&lt;=P$52)*(Transaksi!$O$2:$O$2001&gt;=P$52)*(Transaksi!$R$2:$R$2001&gt;0))&gt;0,"½",IF(P$52&gt;TODAY(),"·","✗")))))</f>
        <v/>
      </c>
      <c r="Q53" s="42">
        <f>IF($A53="","",IF(OR(Q$52&lt;Tetapan!$B5,AND(Tetapan!$C5&lt;&gt;"",Q$52&gt;Tetapan!$C5),Tetapan!$E5=0,Q$52&gt;Tetapan!$B$27),"–",IF(SUMPRODUCT((Transaksi!$C$2:$C$2001=$A53)*(Transaksi!$N$2:$N$2001&lt;=Q$52)*(Transaksi!$O$2:$O$2001&gt;=Q$52)*(Transaksi!$R$2:$R$2001&gt;=Tetapan!$E5-0.01))&gt;0,"✓",IF(SUMPRODUCT((Transaksi!$C$2:$C$2001=$A53)*(Transaksi!$N$2:$N$2001&lt;=Q$52)*(Transaksi!$O$2:$O$2001&gt;=Q$52)*(Transaksi!$R$2:$R$2001&gt;0))&gt;0,"½",IF(Q$52&gt;TODAY(),"·","✗")))))</f>
        <v/>
      </c>
      <c r="R53" s="42">
        <f>IF($A53="","",IF(OR(R$52&lt;Tetapan!$B5,AND(Tetapan!$C5&lt;&gt;"",R$52&gt;Tetapan!$C5),Tetapan!$E5=0,R$52&gt;Tetapan!$B$27),"–",IF(SUMPRODUCT((Transaksi!$C$2:$C$2001=$A53)*(Transaksi!$N$2:$N$2001&lt;=R$52)*(Transaksi!$O$2:$O$2001&gt;=R$52)*(Transaksi!$R$2:$R$2001&gt;=Tetapan!$E5-0.01))&gt;0,"✓",IF(SUMPRODUCT((Transaksi!$C$2:$C$2001=$A53)*(Transaksi!$N$2:$N$2001&lt;=R$52)*(Transaksi!$O$2:$O$2001&gt;=R$52)*(Transaksi!$R$2:$R$2001&gt;0))&gt;0,"½",IF(R$52&gt;TODAY(),"·","✗")))))</f>
        <v/>
      </c>
      <c r="S53" s="42">
        <f>IF($A53="","",IF(OR(S$52&lt;Tetapan!$B5,AND(Tetapan!$C5&lt;&gt;"",S$52&gt;Tetapan!$C5),Tetapan!$E5=0,S$52&gt;Tetapan!$B$27),"–",IF(SUMPRODUCT((Transaksi!$C$2:$C$2001=$A53)*(Transaksi!$N$2:$N$2001&lt;=S$52)*(Transaksi!$O$2:$O$2001&gt;=S$52)*(Transaksi!$R$2:$R$2001&gt;=Tetapan!$E5-0.01))&gt;0,"✓",IF(SUMPRODUCT((Transaksi!$C$2:$C$2001=$A53)*(Transaksi!$N$2:$N$2001&lt;=S$52)*(Transaksi!$O$2:$O$2001&gt;=S$52)*(Transaksi!$R$2:$R$2001&gt;0))&gt;0,"½",IF(S$52&gt;TODAY(),"·","✗")))))</f>
        <v/>
      </c>
      <c r="T53" s="42">
        <f>IF($A53="","",IF(OR(T$52&lt;Tetapan!$B5,AND(Tetapan!$C5&lt;&gt;"",T$52&gt;Tetapan!$C5),Tetapan!$E5=0,T$52&gt;Tetapan!$B$27),"–",IF(SUMPRODUCT((Transaksi!$C$2:$C$2001=$A53)*(Transaksi!$N$2:$N$2001&lt;=T$52)*(Transaksi!$O$2:$O$2001&gt;=T$52)*(Transaksi!$R$2:$R$2001&gt;=Tetapan!$E5-0.01))&gt;0,"✓",IF(SUMPRODUCT((Transaksi!$C$2:$C$2001=$A53)*(Transaksi!$N$2:$N$2001&lt;=T$52)*(Transaksi!$O$2:$O$2001&gt;=T$52)*(Transaksi!$R$2:$R$2001&gt;0))&gt;0,"½",IF(T$52&gt;TODAY(),"·","✗")))))</f>
        <v/>
      </c>
      <c r="W53" s="12">
        <f>IF(B53="✗",TEXT(B$52,"mmm yy")&amp;", ",IF(B53="½",TEXT(B$52,"mmm yy")&amp;" (separa), ",""))&amp;IF(C53="✗",TEXT(C$52,"mmm yy")&amp;", ",IF(C53="½",TEXT(C$52,"mmm yy")&amp;" (separa), ",""))&amp;IF(D53="✗",TEXT(D$52,"mmm yy")&amp;", ",IF(D53="½",TEXT(D$52,"mmm yy")&amp;" (separa), ",""))&amp;IF(E53="✗",TEXT(E$52,"mmm yy")&amp;", ",IF(E53="½",TEXT(E$52,"mmm yy")&amp;" (separa), ",""))&amp;IF(F53="✗",TEXT(F$52,"mmm yy")&amp;", ",IF(F53="½",TEXT(F$52,"mmm yy")&amp;" (separa), ",""))&amp;IF(G53="✗",TEXT(G$52,"mmm yy")&amp;", ",IF(G53="½",TEXT(G$52,"mmm yy")&amp;" (separa), ",""))&amp;IF(H53="✗",TEXT(H$52,"mmm yy")&amp;", ",IF(H53="½",TEXT(H$52,"mmm yy")&amp;" (separa), ",""))&amp;IF(I53="✗",TEXT(I$52,"mmm yy")&amp;", ",IF(I53="½",TEXT(I$52,"mmm yy")&amp;" (separa), ",""))&amp;IF(J53="✗",TEXT(J$52,"mmm yy")&amp;", ",IF(J53="½",TEXT(J$52,"mmm yy")&amp;" (separa), ",""))&amp;IF(K53="✗",TEXT(K$52,"mmm yy")&amp;", ",IF(K53="½",TEXT(K$52,"mmm yy")&amp;" (separa), ",""))&amp;IF(L53="✗",TEXT(L$52,"mmm yy")&amp;", ",IF(L53="½",TEXT(L$52,"mmm yy")&amp;" (separa), ",""))&amp;IF(M53="✗",TEXT(M$52,"mmm yy")&amp;", ",IF(M53="½",TEXT(M$52,"mmm yy")&amp;" (separa), ",""))&amp;IF(N53="✗",TEXT(N$52,"mmm yy")&amp;", ",IF(N53="½",TEXT(N$52,"mmm yy")&amp;" (separa), ",""))&amp;IF(O53="✗",TEXT(O$52,"mmm yy")&amp;", ",IF(O53="½",TEXT(O$52,"mmm yy")&amp;" (separa), ",""))&amp;IF(P53="✗",TEXT(P$52,"mmm yy")&amp;", ",IF(P53="½",TEXT(P$52,"mmm yy")&amp;" (separa), ",""))&amp;IF(Q53="✗",TEXT(Q$52,"mmm yy")&amp;", ",IF(Q53="½",TEXT(Q$52,"mmm yy")&amp;" (separa), ",""))&amp;IF(R53="✗",TEXT(R$52,"mmm yy")&amp;", ",IF(R53="½",TEXT(R$52,"mmm yy")&amp;" (separa), ",""))&amp;IF(S53="✗",TEXT(S$52,"mmm yy")&amp;", ",IF(S53="½",TEXT(S$52,"mmm yy")&amp;" (separa), ",""))&amp;IF(T53="✗",TEXT(T$52,"mmm yy")&amp;", ",IF(T53="½",TEXT(T$52,"mmm yy")&amp;" (separa), ",""))</f>
        <v/>
      </c>
    </row>
    <row r="54">
      <c r="A54" s="41">
        <f>IF(Tetapan!A6="","",Tetapan!A6)</f>
        <v/>
      </c>
      <c r="B54" s="42">
        <f>IF($A54="","",IF(OR(B$52&lt;Tetapan!$B6,AND(Tetapan!$C6&lt;&gt;"",B$52&gt;Tetapan!$C6),Tetapan!$E6=0,B$52&gt;Tetapan!$B$27),"–",IF(SUMPRODUCT((Transaksi!$C$2:$C$2001=$A54)*(Transaksi!$N$2:$N$2001&lt;=B$52)*(Transaksi!$O$2:$O$2001&gt;=B$52)*(Transaksi!$R$2:$R$2001&gt;=Tetapan!$E6-0.01))&gt;0,"✓",IF(SUMPRODUCT((Transaksi!$C$2:$C$2001=$A54)*(Transaksi!$N$2:$N$2001&lt;=B$52)*(Transaksi!$O$2:$O$2001&gt;=B$52)*(Transaksi!$R$2:$R$2001&gt;0))&gt;0,"½",IF(B$52&gt;TODAY(),"·","✗")))))</f>
        <v/>
      </c>
      <c r="C54" s="42">
        <f>IF($A54="","",IF(OR(C$52&lt;Tetapan!$B6,AND(Tetapan!$C6&lt;&gt;"",C$52&gt;Tetapan!$C6),Tetapan!$E6=0,C$52&gt;Tetapan!$B$27),"–",IF(SUMPRODUCT((Transaksi!$C$2:$C$2001=$A54)*(Transaksi!$N$2:$N$2001&lt;=C$52)*(Transaksi!$O$2:$O$2001&gt;=C$52)*(Transaksi!$R$2:$R$2001&gt;=Tetapan!$E6-0.01))&gt;0,"✓",IF(SUMPRODUCT((Transaksi!$C$2:$C$2001=$A54)*(Transaksi!$N$2:$N$2001&lt;=C$52)*(Transaksi!$O$2:$O$2001&gt;=C$52)*(Transaksi!$R$2:$R$2001&gt;0))&gt;0,"½",IF(C$52&gt;TODAY(),"·","✗")))))</f>
        <v/>
      </c>
      <c r="D54" s="42">
        <f>IF($A54="","",IF(OR(D$52&lt;Tetapan!$B6,AND(Tetapan!$C6&lt;&gt;"",D$52&gt;Tetapan!$C6),Tetapan!$E6=0,D$52&gt;Tetapan!$B$27),"–",IF(SUMPRODUCT((Transaksi!$C$2:$C$2001=$A54)*(Transaksi!$N$2:$N$2001&lt;=D$52)*(Transaksi!$O$2:$O$2001&gt;=D$52)*(Transaksi!$R$2:$R$2001&gt;=Tetapan!$E6-0.01))&gt;0,"✓",IF(SUMPRODUCT((Transaksi!$C$2:$C$2001=$A54)*(Transaksi!$N$2:$N$2001&lt;=D$52)*(Transaksi!$O$2:$O$2001&gt;=D$52)*(Transaksi!$R$2:$R$2001&gt;0))&gt;0,"½",IF(D$52&gt;TODAY(),"·","✗")))))</f>
        <v/>
      </c>
      <c r="E54" s="42">
        <f>IF($A54="","",IF(OR(E$52&lt;Tetapan!$B6,AND(Tetapan!$C6&lt;&gt;"",E$52&gt;Tetapan!$C6),Tetapan!$E6=0,E$52&gt;Tetapan!$B$27),"–",IF(SUMPRODUCT((Transaksi!$C$2:$C$2001=$A54)*(Transaksi!$N$2:$N$2001&lt;=E$52)*(Transaksi!$O$2:$O$2001&gt;=E$52)*(Transaksi!$R$2:$R$2001&gt;=Tetapan!$E6-0.01))&gt;0,"✓",IF(SUMPRODUCT((Transaksi!$C$2:$C$2001=$A54)*(Transaksi!$N$2:$N$2001&lt;=E$52)*(Transaksi!$O$2:$O$2001&gt;=E$52)*(Transaksi!$R$2:$R$2001&gt;0))&gt;0,"½",IF(E$52&gt;TODAY(),"·","✗")))))</f>
        <v/>
      </c>
      <c r="F54" s="42">
        <f>IF($A54="","",IF(OR(F$52&lt;Tetapan!$B6,AND(Tetapan!$C6&lt;&gt;"",F$52&gt;Tetapan!$C6),Tetapan!$E6=0,F$52&gt;Tetapan!$B$27),"–",IF(SUMPRODUCT((Transaksi!$C$2:$C$2001=$A54)*(Transaksi!$N$2:$N$2001&lt;=F$52)*(Transaksi!$O$2:$O$2001&gt;=F$52)*(Transaksi!$R$2:$R$2001&gt;=Tetapan!$E6-0.01))&gt;0,"✓",IF(SUMPRODUCT((Transaksi!$C$2:$C$2001=$A54)*(Transaksi!$N$2:$N$2001&lt;=F$52)*(Transaksi!$O$2:$O$2001&gt;=F$52)*(Transaksi!$R$2:$R$2001&gt;0))&gt;0,"½",IF(F$52&gt;TODAY(),"·","✗")))))</f>
        <v/>
      </c>
      <c r="G54" s="42">
        <f>IF($A54="","",IF(OR(G$52&lt;Tetapan!$B6,AND(Tetapan!$C6&lt;&gt;"",G$52&gt;Tetapan!$C6),Tetapan!$E6=0,G$52&gt;Tetapan!$B$27),"–",IF(SUMPRODUCT((Transaksi!$C$2:$C$2001=$A54)*(Transaksi!$N$2:$N$2001&lt;=G$52)*(Transaksi!$O$2:$O$2001&gt;=G$52)*(Transaksi!$R$2:$R$2001&gt;=Tetapan!$E6-0.01))&gt;0,"✓",IF(SUMPRODUCT((Transaksi!$C$2:$C$2001=$A54)*(Transaksi!$N$2:$N$2001&lt;=G$52)*(Transaksi!$O$2:$O$2001&gt;=G$52)*(Transaksi!$R$2:$R$2001&gt;0))&gt;0,"½",IF(G$52&gt;TODAY(),"·","✗")))))</f>
        <v/>
      </c>
      <c r="H54" s="42">
        <f>IF($A54="","",IF(OR(H$52&lt;Tetapan!$B6,AND(Tetapan!$C6&lt;&gt;"",H$52&gt;Tetapan!$C6),Tetapan!$E6=0,H$52&gt;Tetapan!$B$27),"–",IF(SUMPRODUCT((Transaksi!$C$2:$C$2001=$A54)*(Transaksi!$N$2:$N$2001&lt;=H$52)*(Transaksi!$O$2:$O$2001&gt;=H$52)*(Transaksi!$R$2:$R$2001&gt;=Tetapan!$E6-0.01))&gt;0,"✓",IF(SUMPRODUCT((Transaksi!$C$2:$C$2001=$A54)*(Transaksi!$N$2:$N$2001&lt;=H$52)*(Transaksi!$O$2:$O$2001&gt;=H$52)*(Transaksi!$R$2:$R$2001&gt;0))&gt;0,"½",IF(H$52&gt;TODAY(),"·","✗")))))</f>
        <v/>
      </c>
      <c r="I54" s="42">
        <f>IF($A54="","",IF(OR(I$52&lt;Tetapan!$B6,AND(Tetapan!$C6&lt;&gt;"",I$52&gt;Tetapan!$C6),Tetapan!$E6=0,I$52&gt;Tetapan!$B$27),"–",IF(SUMPRODUCT((Transaksi!$C$2:$C$2001=$A54)*(Transaksi!$N$2:$N$2001&lt;=I$52)*(Transaksi!$O$2:$O$2001&gt;=I$52)*(Transaksi!$R$2:$R$2001&gt;=Tetapan!$E6-0.01))&gt;0,"✓",IF(SUMPRODUCT((Transaksi!$C$2:$C$2001=$A54)*(Transaksi!$N$2:$N$2001&lt;=I$52)*(Transaksi!$O$2:$O$2001&gt;=I$52)*(Transaksi!$R$2:$R$2001&gt;0))&gt;0,"½",IF(I$52&gt;TODAY(),"·","✗")))))</f>
        <v/>
      </c>
      <c r="J54" s="42">
        <f>IF($A54="","",IF(OR(J$52&lt;Tetapan!$B6,AND(Tetapan!$C6&lt;&gt;"",J$52&gt;Tetapan!$C6),Tetapan!$E6=0,J$52&gt;Tetapan!$B$27),"–",IF(SUMPRODUCT((Transaksi!$C$2:$C$2001=$A54)*(Transaksi!$N$2:$N$2001&lt;=J$52)*(Transaksi!$O$2:$O$2001&gt;=J$52)*(Transaksi!$R$2:$R$2001&gt;=Tetapan!$E6-0.01))&gt;0,"✓",IF(SUMPRODUCT((Transaksi!$C$2:$C$2001=$A54)*(Transaksi!$N$2:$N$2001&lt;=J$52)*(Transaksi!$O$2:$O$2001&gt;=J$52)*(Transaksi!$R$2:$R$2001&gt;0))&gt;0,"½",IF(J$52&gt;TODAY(),"·","✗")))))</f>
        <v/>
      </c>
      <c r="K54" s="42">
        <f>IF($A54="","",IF(OR(K$52&lt;Tetapan!$B6,AND(Tetapan!$C6&lt;&gt;"",K$52&gt;Tetapan!$C6),Tetapan!$E6=0,K$52&gt;Tetapan!$B$27),"–",IF(SUMPRODUCT((Transaksi!$C$2:$C$2001=$A54)*(Transaksi!$N$2:$N$2001&lt;=K$52)*(Transaksi!$O$2:$O$2001&gt;=K$52)*(Transaksi!$R$2:$R$2001&gt;=Tetapan!$E6-0.01))&gt;0,"✓",IF(SUMPRODUCT((Transaksi!$C$2:$C$2001=$A54)*(Transaksi!$N$2:$N$2001&lt;=K$52)*(Transaksi!$O$2:$O$2001&gt;=K$52)*(Transaksi!$R$2:$R$2001&gt;0))&gt;0,"½",IF(K$52&gt;TODAY(),"·","✗")))))</f>
        <v/>
      </c>
      <c r="L54" s="42">
        <f>IF($A54="","",IF(OR(L$52&lt;Tetapan!$B6,AND(Tetapan!$C6&lt;&gt;"",L$52&gt;Tetapan!$C6),Tetapan!$E6=0,L$52&gt;Tetapan!$B$27),"–",IF(SUMPRODUCT((Transaksi!$C$2:$C$2001=$A54)*(Transaksi!$N$2:$N$2001&lt;=L$52)*(Transaksi!$O$2:$O$2001&gt;=L$52)*(Transaksi!$R$2:$R$2001&gt;=Tetapan!$E6-0.01))&gt;0,"✓",IF(SUMPRODUCT((Transaksi!$C$2:$C$2001=$A54)*(Transaksi!$N$2:$N$2001&lt;=L$52)*(Transaksi!$O$2:$O$2001&gt;=L$52)*(Transaksi!$R$2:$R$2001&gt;0))&gt;0,"½",IF(L$52&gt;TODAY(),"·","✗")))))</f>
        <v/>
      </c>
      <c r="M54" s="42">
        <f>IF($A54="","",IF(OR(M$52&lt;Tetapan!$B6,AND(Tetapan!$C6&lt;&gt;"",M$52&gt;Tetapan!$C6),Tetapan!$E6=0,M$52&gt;Tetapan!$B$27),"–",IF(SUMPRODUCT((Transaksi!$C$2:$C$2001=$A54)*(Transaksi!$N$2:$N$2001&lt;=M$52)*(Transaksi!$O$2:$O$2001&gt;=M$52)*(Transaksi!$R$2:$R$2001&gt;=Tetapan!$E6-0.01))&gt;0,"✓",IF(SUMPRODUCT((Transaksi!$C$2:$C$2001=$A54)*(Transaksi!$N$2:$N$2001&lt;=M$52)*(Transaksi!$O$2:$O$2001&gt;=M$52)*(Transaksi!$R$2:$R$2001&gt;0))&gt;0,"½",IF(M$52&gt;TODAY(),"·","✗")))))</f>
        <v/>
      </c>
      <c r="N54" s="42">
        <f>IF($A54="","",IF(OR(N$52&lt;Tetapan!$B6,AND(Tetapan!$C6&lt;&gt;"",N$52&gt;Tetapan!$C6),Tetapan!$E6=0,N$52&gt;Tetapan!$B$27),"–",IF(SUMPRODUCT((Transaksi!$C$2:$C$2001=$A54)*(Transaksi!$N$2:$N$2001&lt;=N$52)*(Transaksi!$O$2:$O$2001&gt;=N$52)*(Transaksi!$R$2:$R$2001&gt;=Tetapan!$E6-0.01))&gt;0,"✓",IF(SUMPRODUCT((Transaksi!$C$2:$C$2001=$A54)*(Transaksi!$N$2:$N$2001&lt;=N$52)*(Transaksi!$O$2:$O$2001&gt;=N$52)*(Transaksi!$R$2:$R$2001&gt;0))&gt;0,"½",IF(N$52&gt;TODAY(),"·","✗")))))</f>
        <v/>
      </c>
      <c r="O54" s="42">
        <f>IF($A54="","",IF(OR(O$52&lt;Tetapan!$B6,AND(Tetapan!$C6&lt;&gt;"",O$52&gt;Tetapan!$C6),Tetapan!$E6=0,O$52&gt;Tetapan!$B$27),"–",IF(SUMPRODUCT((Transaksi!$C$2:$C$2001=$A54)*(Transaksi!$N$2:$N$2001&lt;=O$52)*(Transaksi!$O$2:$O$2001&gt;=O$52)*(Transaksi!$R$2:$R$2001&gt;=Tetapan!$E6-0.01))&gt;0,"✓",IF(SUMPRODUCT((Transaksi!$C$2:$C$2001=$A54)*(Transaksi!$N$2:$N$2001&lt;=O$52)*(Transaksi!$O$2:$O$2001&gt;=O$52)*(Transaksi!$R$2:$R$2001&gt;0))&gt;0,"½",IF(O$52&gt;TODAY(),"·","✗")))))</f>
        <v/>
      </c>
      <c r="P54" s="42">
        <f>IF($A54="","",IF(OR(P$52&lt;Tetapan!$B6,AND(Tetapan!$C6&lt;&gt;"",P$52&gt;Tetapan!$C6),Tetapan!$E6=0,P$52&gt;Tetapan!$B$27),"–",IF(SUMPRODUCT((Transaksi!$C$2:$C$2001=$A54)*(Transaksi!$N$2:$N$2001&lt;=P$52)*(Transaksi!$O$2:$O$2001&gt;=P$52)*(Transaksi!$R$2:$R$2001&gt;=Tetapan!$E6-0.01))&gt;0,"✓",IF(SUMPRODUCT((Transaksi!$C$2:$C$2001=$A54)*(Transaksi!$N$2:$N$2001&lt;=P$52)*(Transaksi!$O$2:$O$2001&gt;=P$52)*(Transaksi!$R$2:$R$2001&gt;0))&gt;0,"½",IF(P$52&gt;TODAY(),"·","✗")))))</f>
        <v/>
      </c>
      <c r="Q54" s="42">
        <f>IF($A54="","",IF(OR(Q$52&lt;Tetapan!$B6,AND(Tetapan!$C6&lt;&gt;"",Q$52&gt;Tetapan!$C6),Tetapan!$E6=0,Q$52&gt;Tetapan!$B$27),"–",IF(SUMPRODUCT((Transaksi!$C$2:$C$2001=$A54)*(Transaksi!$N$2:$N$2001&lt;=Q$52)*(Transaksi!$O$2:$O$2001&gt;=Q$52)*(Transaksi!$R$2:$R$2001&gt;=Tetapan!$E6-0.01))&gt;0,"✓",IF(SUMPRODUCT((Transaksi!$C$2:$C$2001=$A54)*(Transaksi!$N$2:$N$2001&lt;=Q$52)*(Transaksi!$O$2:$O$2001&gt;=Q$52)*(Transaksi!$R$2:$R$2001&gt;0))&gt;0,"½",IF(Q$52&gt;TODAY(),"·","✗")))))</f>
        <v/>
      </c>
      <c r="R54" s="42">
        <f>IF($A54="","",IF(OR(R$52&lt;Tetapan!$B6,AND(Tetapan!$C6&lt;&gt;"",R$52&gt;Tetapan!$C6),Tetapan!$E6=0,R$52&gt;Tetapan!$B$27),"–",IF(SUMPRODUCT((Transaksi!$C$2:$C$2001=$A54)*(Transaksi!$N$2:$N$2001&lt;=R$52)*(Transaksi!$O$2:$O$2001&gt;=R$52)*(Transaksi!$R$2:$R$2001&gt;=Tetapan!$E6-0.01))&gt;0,"✓",IF(SUMPRODUCT((Transaksi!$C$2:$C$2001=$A54)*(Transaksi!$N$2:$N$2001&lt;=R$52)*(Transaksi!$O$2:$O$2001&gt;=R$52)*(Transaksi!$R$2:$R$2001&gt;0))&gt;0,"½",IF(R$52&gt;TODAY(),"·","✗")))))</f>
        <v/>
      </c>
      <c r="S54" s="42">
        <f>IF($A54="","",IF(OR(S$52&lt;Tetapan!$B6,AND(Tetapan!$C6&lt;&gt;"",S$52&gt;Tetapan!$C6),Tetapan!$E6=0,S$52&gt;Tetapan!$B$27),"–",IF(SUMPRODUCT((Transaksi!$C$2:$C$2001=$A54)*(Transaksi!$N$2:$N$2001&lt;=S$52)*(Transaksi!$O$2:$O$2001&gt;=S$52)*(Transaksi!$R$2:$R$2001&gt;=Tetapan!$E6-0.01))&gt;0,"✓",IF(SUMPRODUCT((Transaksi!$C$2:$C$2001=$A54)*(Transaksi!$N$2:$N$2001&lt;=S$52)*(Transaksi!$O$2:$O$2001&gt;=S$52)*(Transaksi!$R$2:$R$2001&gt;0))&gt;0,"½",IF(S$52&gt;TODAY(),"·","✗")))))</f>
        <v/>
      </c>
      <c r="T54" s="42">
        <f>IF($A54="","",IF(OR(T$52&lt;Tetapan!$B6,AND(Tetapan!$C6&lt;&gt;"",T$52&gt;Tetapan!$C6),Tetapan!$E6=0,T$52&gt;Tetapan!$B$27),"–",IF(SUMPRODUCT((Transaksi!$C$2:$C$2001=$A54)*(Transaksi!$N$2:$N$2001&lt;=T$52)*(Transaksi!$O$2:$O$2001&gt;=T$52)*(Transaksi!$R$2:$R$2001&gt;=Tetapan!$E6-0.01))&gt;0,"✓",IF(SUMPRODUCT((Transaksi!$C$2:$C$2001=$A54)*(Transaksi!$N$2:$N$2001&lt;=T$52)*(Transaksi!$O$2:$O$2001&gt;=T$52)*(Transaksi!$R$2:$R$2001&gt;0))&gt;0,"½",IF(T$52&gt;TODAY(),"·","✗")))))</f>
        <v/>
      </c>
      <c r="W54" s="12">
        <f>IF(B54="✗",TEXT(B$52,"mmm yy")&amp;", ",IF(B54="½",TEXT(B$52,"mmm yy")&amp;" (separa), ",""))&amp;IF(C54="✗",TEXT(C$52,"mmm yy")&amp;", ",IF(C54="½",TEXT(C$52,"mmm yy")&amp;" (separa), ",""))&amp;IF(D54="✗",TEXT(D$52,"mmm yy")&amp;", ",IF(D54="½",TEXT(D$52,"mmm yy")&amp;" (separa), ",""))&amp;IF(E54="✗",TEXT(E$52,"mmm yy")&amp;", ",IF(E54="½",TEXT(E$52,"mmm yy")&amp;" (separa), ",""))&amp;IF(F54="✗",TEXT(F$52,"mmm yy")&amp;", ",IF(F54="½",TEXT(F$52,"mmm yy")&amp;" (separa), ",""))&amp;IF(G54="✗",TEXT(G$52,"mmm yy")&amp;", ",IF(G54="½",TEXT(G$52,"mmm yy")&amp;" (separa), ",""))&amp;IF(H54="✗",TEXT(H$52,"mmm yy")&amp;", ",IF(H54="½",TEXT(H$52,"mmm yy")&amp;" (separa), ",""))&amp;IF(I54="✗",TEXT(I$52,"mmm yy")&amp;", ",IF(I54="½",TEXT(I$52,"mmm yy")&amp;" (separa), ",""))&amp;IF(J54="✗",TEXT(J$52,"mmm yy")&amp;", ",IF(J54="½",TEXT(J$52,"mmm yy")&amp;" (separa), ",""))&amp;IF(K54="✗",TEXT(K$52,"mmm yy")&amp;", ",IF(K54="½",TEXT(K$52,"mmm yy")&amp;" (separa), ",""))&amp;IF(L54="✗",TEXT(L$52,"mmm yy")&amp;", ",IF(L54="½",TEXT(L$52,"mmm yy")&amp;" (separa), ",""))&amp;IF(M54="✗",TEXT(M$52,"mmm yy")&amp;", ",IF(M54="½",TEXT(M$52,"mmm yy")&amp;" (separa), ",""))&amp;IF(N54="✗",TEXT(N$52,"mmm yy")&amp;", ",IF(N54="½",TEXT(N$52,"mmm yy")&amp;" (separa), ",""))&amp;IF(O54="✗",TEXT(O$52,"mmm yy")&amp;", ",IF(O54="½",TEXT(O$52,"mmm yy")&amp;" (separa), ",""))&amp;IF(P54="✗",TEXT(P$52,"mmm yy")&amp;", ",IF(P54="½",TEXT(P$52,"mmm yy")&amp;" (separa), ",""))&amp;IF(Q54="✗",TEXT(Q$52,"mmm yy")&amp;", ",IF(Q54="½",TEXT(Q$52,"mmm yy")&amp;" (separa), ",""))&amp;IF(R54="✗",TEXT(R$52,"mmm yy")&amp;", ",IF(R54="½",TEXT(R$52,"mmm yy")&amp;" (separa), ",""))&amp;IF(S54="✗",TEXT(S$52,"mmm yy")&amp;", ",IF(S54="½",TEXT(S$52,"mmm yy")&amp;" (separa), ",""))&amp;IF(T54="✗",TEXT(T$52,"mmm yy")&amp;", ",IF(T54="½",TEXT(T$52,"mmm yy")&amp;" (separa), ",""))</f>
        <v/>
      </c>
    </row>
    <row r="55">
      <c r="A55" s="41">
        <f>IF(Tetapan!A7="","",Tetapan!A7)</f>
        <v/>
      </c>
      <c r="B55" s="42">
        <f>IF($A55="","",IF(OR(B$52&lt;Tetapan!$B7,AND(Tetapan!$C7&lt;&gt;"",B$52&gt;Tetapan!$C7),Tetapan!$E7=0,B$52&gt;Tetapan!$B$27),"–",IF(SUMPRODUCT((Transaksi!$C$2:$C$2001=$A55)*(Transaksi!$N$2:$N$2001&lt;=B$52)*(Transaksi!$O$2:$O$2001&gt;=B$52)*(Transaksi!$R$2:$R$2001&gt;=Tetapan!$E7-0.01))&gt;0,"✓",IF(SUMPRODUCT((Transaksi!$C$2:$C$2001=$A55)*(Transaksi!$N$2:$N$2001&lt;=B$52)*(Transaksi!$O$2:$O$2001&gt;=B$52)*(Transaksi!$R$2:$R$2001&gt;0))&gt;0,"½",IF(B$52&gt;TODAY(),"·","✗")))))</f>
        <v/>
      </c>
      <c r="C55" s="42">
        <f>IF($A55="","",IF(OR(C$52&lt;Tetapan!$B7,AND(Tetapan!$C7&lt;&gt;"",C$52&gt;Tetapan!$C7),Tetapan!$E7=0,C$52&gt;Tetapan!$B$27),"–",IF(SUMPRODUCT((Transaksi!$C$2:$C$2001=$A55)*(Transaksi!$N$2:$N$2001&lt;=C$52)*(Transaksi!$O$2:$O$2001&gt;=C$52)*(Transaksi!$R$2:$R$2001&gt;=Tetapan!$E7-0.01))&gt;0,"✓",IF(SUMPRODUCT((Transaksi!$C$2:$C$2001=$A55)*(Transaksi!$N$2:$N$2001&lt;=C$52)*(Transaksi!$O$2:$O$2001&gt;=C$52)*(Transaksi!$R$2:$R$2001&gt;0))&gt;0,"½",IF(C$52&gt;TODAY(),"·","✗")))))</f>
        <v/>
      </c>
      <c r="D55" s="42">
        <f>IF($A55="","",IF(OR(D$52&lt;Tetapan!$B7,AND(Tetapan!$C7&lt;&gt;"",D$52&gt;Tetapan!$C7),Tetapan!$E7=0,D$52&gt;Tetapan!$B$27),"–",IF(SUMPRODUCT((Transaksi!$C$2:$C$2001=$A55)*(Transaksi!$N$2:$N$2001&lt;=D$52)*(Transaksi!$O$2:$O$2001&gt;=D$52)*(Transaksi!$R$2:$R$2001&gt;=Tetapan!$E7-0.01))&gt;0,"✓",IF(SUMPRODUCT((Transaksi!$C$2:$C$2001=$A55)*(Transaksi!$N$2:$N$2001&lt;=D$52)*(Transaksi!$O$2:$O$2001&gt;=D$52)*(Transaksi!$R$2:$R$2001&gt;0))&gt;0,"½",IF(D$52&gt;TODAY(),"·","✗")))))</f>
        <v/>
      </c>
      <c r="E55" s="42">
        <f>IF($A55="","",IF(OR(E$52&lt;Tetapan!$B7,AND(Tetapan!$C7&lt;&gt;"",E$52&gt;Tetapan!$C7),Tetapan!$E7=0,E$52&gt;Tetapan!$B$27),"–",IF(SUMPRODUCT((Transaksi!$C$2:$C$2001=$A55)*(Transaksi!$N$2:$N$2001&lt;=E$52)*(Transaksi!$O$2:$O$2001&gt;=E$52)*(Transaksi!$R$2:$R$2001&gt;=Tetapan!$E7-0.01))&gt;0,"✓",IF(SUMPRODUCT((Transaksi!$C$2:$C$2001=$A55)*(Transaksi!$N$2:$N$2001&lt;=E$52)*(Transaksi!$O$2:$O$2001&gt;=E$52)*(Transaksi!$R$2:$R$2001&gt;0))&gt;0,"½",IF(E$52&gt;TODAY(),"·","✗")))))</f>
        <v/>
      </c>
      <c r="F55" s="42">
        <f>IF($A55="","",IF(OR(F$52&lt;Tetapan!$B7,AND(Tetapan!$C7&lt;&gt;"",F$52&gt;Tetapan!$C7),Tetapan!$E7=0,F$52&gt;Tetapan!$B$27),"–",IF(SUMPRODUCT((Transaksi!$C$2:$C$2001=$A55)*(Transaksi!$N$2:$N$2001&lt;=F$52)*(Transaksi!$O$2:$O$2001&gt;=F$52)*(Transaksi!$R$2:$R$2001&gt;=Tetapan!$E7-0.01))&gt;0,"✓",IF(SUMPRODUCT((Transaksi!$C$2:$C$2001=$A55)*(Transaksi!$N$2:$N$2001&lt;=F$52)*(Transaksi!$O$2:$O$2001&gt;=F$52)*(Transaksi!$R$2:$R$2001&gt;0))&gt;0,"½",IF(F$52&gt;TODAY(),"·","✗")))))</f>
        <v/>
      </c>
      <c r="G55" s="42">
        <f>IF($A55="","",IF(OR(G$52&lt;Tetapan!$B7,AND(Tetapan!$C7&lt;&gt;"",G$52&gt;Tetapan!$C7),Tetapan!$E7=0,G$52&gt;Tetapan!$B$27),"–",IF(SUMPRODUCT((Transaksi!$C$2:$C$2001=$A55)*(Transaksi!$N$2:$N$2001&lt;=G$52)*(Transaksi!$O$2:$O$2001&gt;=G$52)*(Transaksi!$R$2:$R$2001&gt;=Tetapan!$E7-0.01))&gt;0,"✓",IF(SUMPRODUCT((Transaksi!$C$2:$C$2001=$A55)*(Transaksi!$N$2:$N$2001&lt;=G$52)*(Transaksi!$O$2:$O$2001&gt;=G$52)*(Transaksi!$R$2:$R$2001&gt;0))&gt;0,"½",IF(G$52&gt;TODAY(),"·","✗")))))</f>
        <v/>
      </c>
      <c r="H55" s="42">
        <f>IF($A55="","",IF(OR(H$52&lt;Tetapan!$B7,AND(Tetapan!$C7&lt;&gt;"",H$52&gt;Tetapan!$C7),Tetapan!$E7=0,H$52&gt;Tetapan!$B$27),"–",IF(SUMPRODUCT((Transaksi!$C$2:$C$2001=$A55)*(Transaksi!$N$2:$N$2001&lt;=H$52)*(Transaksi!$O$2:$O$2001&gt;=H$52)*(Transaksi!$R$2:$R$2001&gt;=Tetapan!$E7-0.01))&gt;0,"✓",IF(SUMPRODUCT((Transaksi!$C$2:$C$2001=$A55)*(Transaksi!$N$2:$N$2001&lt;=H$52)*(Transaksi!$O$2:$O$2001&gt;=H$52)*(Transaksi!$R$2:$R$2001&gt;0))&gt;0,"½",IF(H$52&gt;TODAY(),"·","✗")))))</f>
        <v/>
      </c>
      <c r="I55" s="42">
        <f>IF($A55="","",IF(OR(I$52&lt;Tetapan!$B7,AND(Tetapan!$C7&lt;&gt;"",I$52&gt;Tetapan!$C7),Tetapan!$E7=0,I$52&gt;Tetapan!$B$27),"–",IF(SUMPRODUCT((Transaksi!$C$2:$C$2001=$A55)*(Transaksi!$N$2:$N$2001&lt;=I$52)*(Transaksi!$O$2:$O$2001&gt;=I$52)*(Transaksi!$R$2:$R$2001&gt;=Tetapan!$E7-0.01))&gt;0,"✓",IF(SUMPRODUCT((Transaksi!$C$2:$C$2001=$A55)*(Transaksi!$N$2:$N$2001&lt;=I$52)*(Transaksi!$O$2:$O$2001&gt;=I$52)*(Transaksi!$R$2:$R$2001&gt;0))&gt;0,"½",IF(I$52&gt;TODAY(),"·","✗")))))</f>
        <v/>
      </c>
      <c r="J55" s="42">
        <f>IF($A55="","",IF(OR(J$52&lt;Tetapan!$B7,AND(Tetapan!$C7&lt;&gt;"",J$52&gt;Tetapan!$C7),Tetapan!$E7=0,J$52&gt;Tetapan!$B$27),"–",IF(SUMPRODUCT((Transaksi!$C$2:$C$2001=$A55)*(Transaksi!$N$2:$N$2001&lt;=J$52)*(Transaksi!$O$2:$O$2001&gt;=J$52)*(Transaksi!$R$2:$R$2001&gt;=Tetapan!$E7-0.01))&gt;0,"✓",IF(SUMPRODUCT((Transaksi!$C$2:$C$2001=$A55)*(Transaksi!$N$2:$N$2001&lt;=J$52)*(Transaksi!$O$2:$O$2001&gt;=J$52)*(Transaksi!$R$2:$R$2001&gt;0))&gt;0,"½",IF(J$52&gt;TODAY(),"·","✗")))))</f>
        <v/>
      </c>
      <c r="K55" s="42">
        <f>IF($A55="","",IF(OR(K$52&lt;Tetapan!$B7,AND(Tetapan!$C7&lt;&gt;"",K$52&gt;Tetapan!$C7),Tetapan!$E7=0,K$52&gt;Tetapan!$B$27),"–",IF(SUMPRODUCT((Transaksi!$C$2:$C$2001=$A55)*(Transaksi!$N$2:$N$2001&lt;=K$52)*(Transaksi!$O$2:$O$2001&gt;=K$52)*(Transaksi!$R$2:$R$2001&gt;=Tetapan!$E7-0.01))&gt;0,"✓",IF(SUMPRODUCT((Transaksi!$C$2:$C$2001=$A55)*(Transaksi!$N$2:$N$2001&lt;=K$52)*(Transaksi!$O$2:$O$2001&gt;=K$52)*(Transaksi!$R$2:$R$2001&gt;0))&gt;0,"½",IF(K$52&gt;TODAY(),"·","✗")))))</f>
        <v/>
      </c>
      <c r="L55" s="42">
        <f>IF($A55="","",IF(OR(L$52&lt;Tetapan!$B7,AND(Tetapan!$C7&lt;&gt;"",L$52&gt;Tetapan!$C7),Tetapan!$E7=0,L$52&gt;Tetapan!$B$27),"–",IF(SUMPRODUCT((Transaksi!$C$2:$C$2001=$A55)*(Transaksi!$N$2:$N$2001&lt;=L$52)*(Transaksi!$O$2:$O$2001&gt;=L$52)*(Transaksi!$R$2:$R$2001&gt;=Tetapan!$E7-0.01))&gt;0,"✓",IF(SUMPRODUCT((Transaksi!$C$2:$C$2001=$A55)*(Transaksi!$N$2:$N$2001&lt;=L$52)*(Transaksi!$O$2:$O$2001&gt;=L$52)*(Transaksi!$R$2:$R$2001&gt;0))&gt;0,"½",IF(L$52&gt;TODAY(),"·","✗")))))</f>
        <v/>
      </c>
      <c r="M55" s="42">
        <f>IF($A55="","",IF(OR(M$52&lt;Tetapan!$B7,AND(Tetapan!$C7&lt;&gt;"",M$52&gt;Tetapan!$C7),Tetapan!$E7=0,M$52&gt;Tetapan!$B$27),"–",IF(SUMPRODUCT((Transaksi!$C$2:$C$2001=$A55)*(Transaksi!$N$2:$N$2001&lt;=M$52)*(Transaksi!$O$2:$O$2001&gt;=M$52)*(Transaksi!$R$2:$R$2001&gt;=Tetapan!$E7-0.01))&gt;0,"✓",IF(SUMPRODUCT((Transaksi!$C$2:$C$2001=$A55)*(Transaksi!$N$2:$N$2001&lt;=M$52)*(Transaksi!$O$2:$O$2001&gt;=M$52)*(Transaksi!$R$2:$R$2001&gt;0))&gt;0,"½",IF(M$52&gt;TODAY(),"·","✗")))))</f>
        <v/>
      </c>
      <c r="N55" s="42">
        <f>IF($A55="","",IF(OR(N$52&lt;Tetapan!$B7,AND(Tetapan!$C7&lt;&gt;"",N$52&gt;Tetapan!$C7),Tetapan!$E7=0,N$52&gt;Tetapan!$B$27),"–",IF(SUMPRODUCT((Transaksi!$C$2:$C$2001=$A55)*(Transaksi!$N$2:$N$2001&lt;=N$52)*(Transaksi!$O$2:$O$2001&gt;=N$52)*(Transaksi!$R$2:$R$2001&gt;=Tetapan!$E7-0.01))&gt;0,"✓",IF(SUMPRODUCT((Transaksi!$C$2:$C$2001=$A55)*(Transaksi!$N$2:$N$2001&lt;=N$52)*(Transaksi!$O$2:$O$2001&gt;=N$52)*(Transaksi!$R$2:$R$2001&gt;0))&gt;0,"½",IF(N$52&gt;TODAY(),"·","✗")))))</f>
        <v/>
      </c>
      <c r="O55" s="42">
        <f>IF($A55="","",IF(OR(O$52&lt;Tetapan!$B7,AND(Tetapan!$C7&lt;&gt;"",O$52&gt;Tetapan!$C7),Tetapan!$E7=0,O$52&gt;Tetapan!$B$27),"–",IF(SUMPRODUCT((Transaksi!$C$2:$C$2001=$A55)*(Transaksi!$N$2:$N$2001&lt;=O$52)*(Transaksi!$O$2:$O$2001&gt;=O$52)*(Transaksi!$R$2:$R$2001&gt;=Tetapan!$E7-0.01))&gt;0,"✓",IF(SUMPRODUCT((Transaksi!$C$2:$C$2001=$A55)*(Transaksi!$N$2:$N$2001&lt;=O$52)*(Transaksi!$O$2:$O$2001&gt;=O$52)*(Transaksi!$R$2:$R$2001&gt;0))&gt;0,"½",IF(O$52&gt;TODAY(),"·","✗")))))</f>
        <v/>
      </c>
      <c r="P55" s="42">
        <f>IF($A55="","",IF(OR(P$52&lt;Tetapan!$B7,AND(Tetapan!$C7&lt;&gt;"",P$52&gt;Tetapan!$C7),Tetapan!$E7=0,P$52&gt;Tetapan!$B$27),"–",IF(SUMPRODUCT((Transaksi!$C$2:$C$2001=$A55)*(Transaksi!$N$2:$N$2001&lt;=P$52)*(Transaksi!$O$2:$O$2001&gt;=P$52)*(Transaksi!$R$2:$R$2001&gt;=Tetapan!$E7-0.01))&gt;0,"✓",IF(SUMPRODUCT((Transaksi!$C$2:$C$2001=$A55)*(Transaksi!$N$2:$N$2001&lt;=P$52)*(Transaksi!$O$2:$O$2001&gt;=P$52)*(Transaksi!$R$2:$R$2001&gt;0))&gt;0,"½",IF(P$52&gt;TODAY(),"·","✗")))))</f>
        <v/>
      </c>
      <c r="Q55" s="42">
        <f>IF($A55="","",IF(OR(Q$52&lt;Tetapan!$B7,AND(Tetapan!$C7&lt;&gt;"",Q$52&gt;Tetapan!$C7),Tetapan!$E7=0,Q$52&gt;Tetapan!$B$27),"–",IF(SUMPRODUCT((Transaksi!$C$2:$C$2001=$A55)*(Transaksi!$N$2:$N$2001&lt;=Q$52)*(Transaksi!$O$2:$O$2001&gt;=Q$52)*(Transaksi!$R$2:$R$2001&gt;=Tetapan!$E7-0.01))&gt;0,"✓",IF(SUMPRODUCT((Transaksi!$C$2:$C$2001=$A55)*(Transaksi!$N$2:$N$2001&lt;=Q$52)*(Transaksi!$O$2:$O$2001&gt;=Q$52)*(Transaksi!$R$2:$R$2001&gt;0))&gt;0,"½",IF(Q$52&gt;TODAY(),"·","✗")))))</f>
        <v/>
      </c>
      <c r="R55" s="42">
        <f>IF($A55="","",IF(OR(R$52&lt;Tetapan!$B7,AND(Tetapan!$C7&lt;&gt;"",R$52&gt;Tetapan!$C7),Tetapan!$E7=0,R$52&gt;Tetapan!$B$27),"–",IF(SUMPRODUCT((Transaksi!$C$2:$C$2001=$A55)*(Transaksi!$N$2:$N$2001&lt;=R$52)*(Transaksi!$O$2:$O$2001&gt;=R$52)*(Transaksi!$R$2:$R$2001&gt;=Tetapan!$E7-0.01))&gt;0,"✓",IF(SUMPRODUCT((Transaksi!$C$2:$C$2001=$A55)*(Transaksi!$N$2:$N$2001&lt;=R$52)*(Transaksi!$O$2:$O$2001&gt;=R$52)*(Transaksi!$R$2:$R$2001&gt;0))&gt;0,"½",IF(R$52&gt;TODAY(),"·","✗")))))</f>
        <v/>
      </c>
      <c r="S55" s="42">
        <f>IF($A55="","",IF(OR(S$52&lt;Tetapan!$B7,AND(Tetapan!$C7&lt;&gt;"",S$52&gt;Tetapan!$C7),Tetapan!$E7=0,S$52&gt;Tetapan!$B$27),"–",IF(SUMPRODUCT((Transaksi!$C$2:$C$2001=$A55)*(Transaksi!$N$2:$N$2001&lt;=S$52)*(Transaksi!$O$2:$O$2001&gt;=S$52)*(Transaksi!$R$2:$R$2001&gt;=Tetapan!$E7-0.01))&gt;0,"✓",IF(SUMPRODUCT((Transaksi!$C$2:$C$2001=$A55)*(Transaksi!$N$2:$N$2001&lt;=S$52)*(Transaksi!$O$2:$O$2001&gt;=S$52)*(Transaksi!$R$2:$R$2001&gt;0))&gt;0,"½",IF(S$52&gt;TODAY(),"·","✗")))))</f>
        <v/>
      </c>
      <c r="T55" s="42">
        <f>IF($A55="","",IF(OR(T$52&lt;Tetapan!$B7,AND(Tetapan!$C7&lt;&gt;"",T$52&gt;Tetapan!$C7),Tetapan!$E7=0,T$52&gt;Tetapan!$B$27),"–",IF(SUMPRODUCT((Transaksi!$C$2:$C$2001=$A55)*(Transaksi!$N$2:$N$2001&lt;=T$52)*(Transaksi!$O$2:$O$2001&gt;=T$52)*(Transaksi!$R$2:$R$2001&gt;=Tetapan!$E7-0.01))&gt;0,"✓",IF(SUMPRODUCT((Transaksi!$C$2:$C$2001=$A55)*(Transaksi!$N$2:$N$2001&lt;=T$52)*(Transaksi!$O$2:$O$2001&gt;=T$52)*(Transaksi!$R$2:$R$2001&gt;0))&gt;0,"½",IF(T$52&gt;TODAY(),"·","✗")))))</f>
        <v/>
      </c>
      <c r="W55" s="12">
        <f>IF(B55="✗",TEXT(B$52,"mmm yy")&amp;", ",IF(B55="½",TEXT(B$52,"mmm yy")&amp;" (separa), ",""))&amp;IF(C55="✗",TEXT(C$52,"mmm yy")&amp;", ",IF(C55="½",TEXT(C$52,"mmm yy")&amp;" (separa), ",""))&amp;IF(D55="✗",TEXT(D$52,"mmm yy")&amp;", ",IF(D55="½",TEXT(D$52,"mmm yy")&amp;" (separa), ",""))&amp;IF(E55="✗",TEXT(E$52,"mmm yy")&amp;", ",IF(E55="½",TEXT(E$52,"mmm yy")&amp;" (separa), ",""))&amp;IF(F55="✗",TEXT(F$52,"mmm yy")&amp;", ",IF(F55="½",TEXT(F$52,"mmm yy")&amp;" (separa), ",""))&amp;IF(G55="✗",TEXT(G$52,"mmm yy")&amp;", ",IF(G55="½",TEXT(G$52,"mmm yy")&amp;" (separa), ",""))&amp;IF(H55="✗",TEXT(H$52,"mmm yy")&amp;", ",IF(H55="½",TEXT(H$52,"mmm yy")&amp;" (separa), ",""))&amp;IF(I55="✗",TEXT(I$52,"mmm yy")&amp;", ",IF(I55="½",TEXT(I$52,"mmm yy")&amp;" (separa), ",""))&amp;IF(J55="✗",TEXT(J$52,"mmm yy")&amp;", ",IF(J55="½",TEXT(J$52,"mmm yy")&amp;" (separa), ",""))&amp;IF(K55="✗",TEXT(K$52,"mmm yy")&amp;", ",IF(K55="½",TEXT(K$52,"mmm yy")&amp;" (separa), ",""))&amp;IF(L55="✗",TEXT(L$52,"mmm yy")&amp;", ",IF(L55="½",TEXT(L$52,"mmm yy")&amp;" (separa), ",""))&amp;IF(M55="✗",TEXT(M$52,"mmm yy")&amp;", ",IF(M55="½",TEXT(M$52,"mmm yy")&amp;" (separa), ",""))&amp;IF(N55="✗",TEXT(N$52,"mmm yy")&amp;", ",IF(N55="½",TEXT(N$52,"mmm yy")&amp;" (separa), ",""))&amp;IF(O55="✗",TEXT(O$52,"mmm yy")&amp;", ",IF(O55="½",TEXT(O$52,"mmm yy")&amp;" (separa), ",""))&amp;IF(P55="✗",TEXT(P$52,"mmm yy")&amp;", ",IF(P55="½",TEXT(P$52,"mmm yy")&amp;" (separa), ",""))&amp;IF(Q55="✗",TEXT(Q$52,"mmm yy")&amp;", ",IF(Q55="½",TEXT(Q$52,"mmm yy")&amp;" (separa), ",""))&amp;IF(R55="✗",TEXT(R$52,"mmm yy")&amp;", ",IF(R55="½",TEXT(R$52,"mmm yy")&amp;" (separa), ",""))&amp;IF(S55="✗",TEXT(S$52,"mmm yy")&amp;", ",IF(S55="½",TEXT(S$52,"mmm yy")&amp;" (separa), ",""))&amp;IF(T55="✗",TEXT(T$52,"mmm yy")&amp;", ",IF(T55="½",TEXT(T$52,"mmm yy")&amp;" (separa), ",""))</f>
        <v/>
      </c>
    </row>
    <row r="56">
      <c r="A56" s="41">
        <f>IF(Tetapan!A8="","",Tetapan!A8)</f>
        <v/>
      </c>
      <c r="B56" s="42">
        <f>IF($A56="","",IF(OR(B$52&lt;Tetapan!$B8,AND(Tetapan!$C8&lt;&gt;"",B$52&gt;Tetapan!$C8),Tetapan!$E8=0,B$52&gt;Tetapan!$B$27),"–",IF(SUMPRODUCT((Transaksi!$C$2:$C$2001=$A56)*(Transaksi!$N$2:$N$2001&lt;=B$52)*(Transaksi!$O$2:$O$2001&gt;=B$52)*(Transaksi!$R$2:$R$2001&gt;=Tetapan!$E8-0.01))&gt;0,"✓",IF(SUMPRODUCT((Transaksi!$C$2:$C$2001=$A56)*(Transaksi!$N$2:$N$2001&lt;=B$52)*(Transaksi!$O$2:$O$2001&gt;=B$52)*(Transaksi!$R$2:$R$2001&gt;0))&gt;0,"½",IF(B$52&gt;TODAY(),"·","✗")))))</f>
        <v/>
      </c>
      <c r="C56" s="42">
        <f>IF($A56="","",IF(OR(C$52&lt;Tetapan!$B8,AND(Tetapan!$C8&lt;&gt;"",C$52&gt;Tetapan!$C8),Tetapan!$E8=0,C$52&gt;Tetapan!$B$27),"–",IF(SUMPRODUCT((Transaksi!$C$2:$C$2001=$A56)*(Transaksi!$N$2:$N$2001&lt;=C$52)*(Transaksi!$O$2:$O$2001&gt;=C$52)*(Transaksi!$R$2:$R$2001&gt;=Tetapan!$E8-0.01))&gt;0,"✓",IF(SUMPRODUCT((Transaksi!$C$2:$C$2001=$A56)*(Transaksi!$N$2:$N$2001&lt;=C$52)*(Transaksi!$O$2:$O$2001&gt;=C$52)*(Transaksi!$R$2:$R$2001&gt;0))&gt;0,"½",IF(C$52&gt;TODAY(),"·","✗")))))</f>
        <v/>
      </c>
      <c r="D56" s="42">
        <f>IF($A56="","",IF(OR(D$52&lt;Tetapan!$B8,AND(Tetapan!$C8&lt;&gt;"",D$52&gt;Tetapan!$C8),Tetapan!$E8=0,D$52&gt;Tetapan!$B$27),"–",IF(SUMPRODUCT((Transaksi!$C$2:$C$2001=$A56)*(Transaksi!$N$2:$N$2001&lt;=D$52)*(Transaksi!$O$2:$O$2001&gt;=D$52)*(Transaksi!$R$2:$R$2001&gt;=Tetapan!$E8-0.01))&gt;0,"✓",IF(SUMPRODUCT((Transaksi!$C$2:$C$2001=$A56)*(Transaksi!$N$2:$N$2001&lt;=D$52)*(Transaksi!$O$2:$O$2001&gt;=D$52)*(Transaksi!$R$2:$R$2001&gt;0))&gt;0,"½",IF(D$52&gt;TODAY(),"·","✗")))))</f>
        <v/>
      </c>
      <c r="E56" s="42">
        <f>IF($A56="","",IF(OR(E$52&lt;Tetapan!$B8,AND(Tetapan!$C8&lt;&gt;"",E$52&gt;Tetapan!$C8),Tetapan!$E8=0,E$52&gt;Tetapan!$B$27),"–",IF(SUMPRODUCT((Transaksi!$C$2:$C$2001=$A56)*(Transaksi!$N$2:$N$2001&lt;=E$52)*(Transaksi!$O$2:$O$2001&gt;=E$52)*(Transaksi!$R$2:$R$2001&gt;=Tetapan!$E8-0.01))&gt;0,"✓",IF(SUMPRODUCT((Transaksi!$C$2:$C$2001=$A56)*(Transaksi!$N$2:$N$2001&lt;=E$52)*(Transaksi!$O$2:$O$2001&gt;=E$52)*(Transaksi!$R$2:$R$2001&gt;0))&gt;0,"½",IF(E$52&gt;TODAY(),"·","✗")))))</f>
        <v/>
      </c>
      <c r="F56" s="42">
        <f>IF($A56="","",IF(OR(F$52&lt;Tetapan!$B8,AND(Tetapan!$C8&lt;&gt;"",F$52&gt;Tetapan!$C8),Tetapan!$E8=0,F$52&gt;Tetapan!$B$27),"–",IF(SUMPRODUCT((Transaksi!$C$2:$C$2001=$A56)*(Transaksi!$N$2:$N$2001&lt;=F$52)*(Transaksi!$O$2:$O$2001&gt;=F$52)*(Transaksi!$R$2:$R$2001&gt;=Tetapan!$E8-0.01))&gt;0,"✓",IF(SUMPRODUCT((Transaksi!$C$2:$C$2001=$A56)*(Transaksi!$N$2:$N$2001&lt;=F$52)*(Transaksi!$O$2:$O$2001&gt;=F$52)*(Transaksi!$R$2:$R$2001&gt;0))&gt;0,"½",IF(F$52&gt;TODAY(),"·","✗")))))</f>
        <v/>
      </c>
      <c r="G56" s="42">
        <f>IF($A56="","",IF(OR(G$52&lt;Tetapan!$B8,AND(Tetapan!$C8&lt;&gt;"",G$52&gt;Tetapan!$C8),Tetapan!$E8=0,G$52&gt;Tetapan!$B$27),"–",IF(SUMPRODUCT((Transaksi!$C$2:$C$2001=$A56)*(Transaksi!$N$2:$N$2001&lt;=G$52)*(Transaksi!$O$2:$O$2001&gt;=G$52)*(Transaksi!$R$2:$R$2001&gt;=Tetapan!$E8-0.01))&gt;0,"✓",IF(SUMPRODUCT((Transaksi!$C$2:$C$2001=$A56)*(Transaksi!$N$2:$N$2001&lt;=G$52)*(Transaksi!$O$2:$O$2001&gt;=G$52)*(Transaksi!$R$2:$R$2001&gt;0))&gt;0,"½",IF(G$52&gt;TODAY(),"·","✗")))))</f>
        <v/>
      </c>
      <c r="H56" s="42">
        <f>IF($A56="","",IF(OR(H$52&lt;Tetapan!$B8,AND(Tetapan!$C8&lt;&gt;"",H$52&gt;Tetapan!$C8),Tetapan!$E8=0,H$52&gt;Tetapan!$B$27),"–",IF(SUMPRODUCT((Transaksi!$C$2:$C$2001=$A56)*(Transaksi!$N$2:$N$2001&lt;=H$52)*(Transaksi!$O$2:$O$2001&gt;=H$52)*(Transaksi!$R$2:$R$2001&gt;=Tetapan!$E8-0.01))&gt;0,"✓",IF(SUMPRODUCT((Transaksi!$C$2:$C$2001=$A56)*(Transaksi!$N$2:$N$2001&lt;=H$52)*(Transaksi!$O$2:$O$2001&gt;=H$52)*(Transaksi!$R$2:$R$2001&gt;0))&gt;0,"½",IF(H$52&gt;TODAY(),"·","✗")))))</f>
        <v/>
      </c>
      <c r="I56" s="42">
        <f>IF($A56="","",IF(OR(I$52&lt;Tetapan!$B8,AND(Tetapan!$C8&lt;&gt;"",I$52&gt;Tetapan!$C8),Tetapan!$E8=0,I$52&gt;Tetapan!$B$27),"–",IF(SUMPRODUCT((Transaksi!$C$2:$C$2001=$A56)*(Transaksi!$N$2:$N$2001&lt;=I$52)*(Transaksi!$O$2:$O$2001&gt;=I$52)*(Transaksi!$R$2:$R$2001&gt;=Tetapan!$E8-0.01))&gt;0,"✓",IF(SUMPRODUCT((Transaksi!$C$2:$C$2001=$A56)*(Transaksi!$N$2:$N$2001&lt;=I$52)*(Transaksi!$O$2:$O$2001&gt;=I$52)*(Transaksi!$R$2:$R$2001&gt;0))&gt;0,"½",IF(I$52&gt;TODAY(),"·","✗")))))</f>
        <v/>
      </c>
      <c r="J56" s="42">
        <f>IF($A56="","",IF(OR(J$52&lt;Tetapan!$B8,AND(Tetapan!$C8&lt;&gt;"",J$52&gt;Tetapan!$C8),Tetapan!$E8=0,J$52&gt;Tetapan!$B$27),"–",IF(SUMPRODUCT((Transaksi!$C$2:$C$2001=$A56)*(Transaksi!$N$2:$N$2001&lt;=J$52)*(Transaksi!$O$2:$O$2001&gt;=J$52)*(Transaksi!$R$2:$R$2001&gt;=Tetapan!$E8-0.01))&gt;0,"✓",IF(SUMPRODUCT((Transaksi!$C$2:$C$2001=$A56)*(Transaksi!$N$2:$N$2001&lt;=J$52)*(Transaksi!$O$2:$O$2001&gt;=J$52)*(Transaksi!$R$2:$R$2001&gt;0))&gt;0,"½",IF(J$52&gt;TODAY(),"·","✗")))))</f>
        <v/>
      </c>
      <c r="K56" s="42">
        <f>IF($A56="","",IF(OR(K$52&lt;Tetapan!$B8,AND(Tetapan!$C8&lt;&gt;"",K$52&gt;Tetapan!$C8),Tetapan!$E8=0,K$52&gt;Tetapan!$B$27),"–",IF(SUMPRODUCT((Transaksi!$C$2:$C$2001=$A56)*(Transaksi!$N$2:$N$2001&lt;=K$52)*(Transaksi!$O$2:$O$2001&gt;=K$52)*(Transaksi!$R$2:$R$2001&gt;=Tetapan!$E8-0.01))&gt;0,"✓",IF(SUMPRODUCT((Transaksi!$C$2:$C$2001=$A56)*(Transaksi!$N$2:$N$2001&lt;=K$52)*(Transaksi!$O$2:$O$2001&gt;=K$52)*(Transaksi!$R$2:$R$2001&gt;0))&gt;0,"½",IF(K$52&gt;TODAY(),"·","✗")))))</f>
        <v/>
      </c>
      <c r="L56" s="42">
        <f>IF($A56="","",IF(OR(L$52&lt;Tetapan!$B8,AND(Tetapan!$C8&lt;&gt;"",L$52&gt;Tetapan!$C8),Tetapan!$E8=0,L$52&gt;Tetapan!$B$27),"–",IF(SUMPRODUCT((Transaksi!$C$2:$C$2001=$A56)*(Transaksi!$N$2:$N$2001&lt;=L$52)*(Transaksi!$O$2:$O$2001&gt;=L$52)*(Transaksi!$R$2:$R$2001&gt;=Tetapan!$E8-0.01))&gt;0,"✓",IF(SUMPRODUCT((Transaksi!$C$2:$C$2001=$A56)*(Transaksi!$N$2:$N$2001&lt;=L$52)*(Transaksi!$O$2:$O$2001&gt;=L$52)*(Transaksi!$R$2:$R$2001&gt;0))&gt;0,"½",IF(L$52&gt;TODAY(),"·","✗")))))</f>
        <v/>
      </c>
      <c r="M56" s="42">
        <f>IF($A56="","",IF(OR(M$52&lt;Tetapan!$B8,AND(Tetapan!$C8&lt;&gt;"",M$52&gt;Tetapan!$C8),Tetapan!$E8=0,M$52&gt;Tetapan!$B$27),"–",IF(SUMPRODUCT((Transaksi!$C$2:$C$2001=$A56)*(Transaksi!$N$2:$N$2001&lt;=M$52)*(Transaksi!$O$2:$O$2001&gt;=M$52)*(Transaksi!$R$2:$R$2001&gt;=Tetapan!$E8-0.01))&gt;0,"✓",IF(SUMPRODUCT((Transaksi!$C$2:$C$2001=$A56)*(Transaksi!$N$2:$N$2001&lt;=M$52)*(Transaksi!$O$2:$O$2001&gt;=M$52)*(Transaksi!$R$2:$R$2001&gt;0))&gt;0,"½",IF(M$52&gt;TODAY(),"·","✗")))))</f>
        <v/>
      </c>
      <c r="N56" s="42">
        <f>IF($A56="","",IF(OR(N$52&lt;Tetapan!$B8,AND(Tetapan!$C8&lt;&gt;"",N$52&gt;Tetapan!$C8),Tetapan!$E8=0,N$52&gt;Tetapan!$B$27),"–",IF(SUMPRODUCT((Transaksi!$C$2:$C$2001=$A56)*(Transaksi!$N$2:$N$2001&lt;=N$52)*(Transaksi!$O$2:$O$2001&gt;=N$52)*(Transaksi!$R$2:$R$2001&gt;=Tetapan!$E8-0.01))&gt;0,"✓",IF(SUMPRODUCT((Transaksi!$C$2:$C$2001=$A56)*(Transaksi!$N$2:$N$2001&lt;=N$52)*(Transaksi!$O$2:$O$2001&gt;=N$52)*(Transaksi!$R$2:$R$2001&gt;0))&gt;0,"½",IF(N$52&gt;TODAY(),"·","✗")))))</f>
        <v/>
      </c>
      <c r="O56" s="42">
        <f>IF($A56="","",IF(OR(O$52&lt;Tetapan!$B8,AND(Tetapan!$C8&lt;&gt;"",O$52&gt;Tetapan!$C8),Tetapan!$E8=0,O$52&gt;Tetapan!$B$27),"–",IF(SUMPRODUCT((Transaksi!$C$2:$C$2001=$A56)*(Transaksi!$N$2:$N$2001&lt;=O$52)*(Transaksi!$O$2:$O$2001&gt;=O$52)*(Transaksi!$R$2:$R$2001&gt;=Tetapan!$E8-0.01))&gt;0,"✓",IF(SUMPRODUCT((Transaksi!$C$2:$C$2001=$A56)*(Transaksi!$N$2:$N$2001&lt;=O$52)*(Transaksi!$O$2:$O$2001&gt;=O$52)*(Transaksi!$R$2:$R$2001&gt;0))&gt;0,"½",IF(O$52&gt;TODAY(),"·","✗")))))</f>
        <v/>
      </c>
      <c r="P56" s="42">
        <f>IF($A56="","",IF(OR(P$52&lt;Tetapan!$B8,AND(Tetapan!$C8&lt;&gt;"",P$52&gt;Tetapan!$C8),Tetapan!$E8=0,P$52&gt;Tetapan!$B$27),"–",IF(SUMPRODUCT((Transaksi!$C$2:$C$2001=$A56)*(Transaksi!$N$2:$N$2001&lt;=P$52)*(Transaksi!$O$2:$O$2001&gt;=P$52)*(Transaksi!$R$2:$R$2001&gt;=Tetapan!$E8-0.01))&gt;0,"✓",IF(SUMPRODUCT((Transaksi!$C$2:$C$2001=$A56)*(Transaksi!$N$2:$N$2001&lt;=P$52)*(Transaksi!$O$2:$O$2001&gt;=P$52)*(Transaksi!$R$2:$R$2001&gt;0))&gt;0,"½",IF(P$52&gt;TODAY(),"·","✗")))))</f>
        <v/>
      </c>
      <c r="Q56" s="42">
        <f>IF($A56="","",IF(OR(Q$52&lt;Tetapan!$B8,AND(Tetapan!$C8&lt;&gt;"",Q$52&gt;Tetapan!$C8),Tetapan!$E8=0,Q$52&gt;Tetapan!$B$27),"–",IF(SUMPRODUCT((Transaksi!$C$2:$C$2001=$A56)*(Transaksi!$N$2:$N$2001&lt;=Q$52)*(Transaksi!$O$2:$O$2001&gt;=Q$52)*(Transaksi!$R$2:$R$2001&gt;=Tetapan!$E8-0.01))&gt;0,"✓",IF(SUMPRODUCT((Transaksi!$C$2:$C$2001=$A56)*(Transaksi!$N$2:$N$2001&lt;=Q$52)*(Transaksi!$O$2:$O$2001&gt;=Q$52)*(Transaksi!$R$2:$R$2001&gt;0))&gt;0,"½",IF(Q$52&gt;TODAY(),"·","✗")))))</f>
        <v/>
      </c>
      <c r="R56" s="42">
        <f>IF($A56="","",IF(OR(R$52&lt;Tetapan!$B8,AND(Tetapan!$C8&lt;&gt;"",R$52&gt;Tetapan!$C8),Tetapan!$E8=0,R$52&gt;Tetapan!$B$27),"–",IF(SUMPRODUCT((Transaksi!$C$2:$C$2001=$A56)*(Transaksi!$N$2:$N$2001&lt;=R$52)*(Transaksi!$O$2:$O$2001&gt;=R$52)*(Transaksi!$R$2:$R$2001&gt;=Tetapan!$E8-0.01))&gt;0,"✓",IF(SUMPRODUCT((Transaksi!$C$2:$C$2001=$A56)*(Transaksi!$N$2:$N$2001&lt;=R$52)*(Transaksi!$O$2:$O$2001&gt;=R$52)*(Transaksi!$R$2:$R$2001&gt;0))&gt;0,"½",IF(R$52&gt;TODAY(),"·","✗")))))</f>
        <v/>
      </c>
      <c r="S56" s="42">
        <f>IF($A56="","",IF(OR(S$52&lt;Tetapan!$B8,AND(Tetapan!$C8&lt;&gt;"",S$52&gt;Tetapan!$C8),Tetapan!$E8=0,S$52&gt;Tetapan!$B$27),"–",IF(SUMPRODUCT((Transaksi!$C$2:$C$2001=$A56)*(Transaksi!$N$2:$N$2001&lt;=S$52)*(Transaksi!$O$2:$O$2001&gt;=S$52)*(Transaksi!$R$2:$R$2001&gt;=Tetapan!$E8-0.01))&gt;0,"✓",IF(SUMPRODUCT((Transaksi!$C$2:$C$2001=$A56)*(Transaksi!$N$2:$N$2001&lt;=S$52)*(Transaksi!$O$2:$O$2001&gt;=S$52)*(Transaksi!$R$2:$R$2001&gt;0))&gt;0,"½",IF(S$52&gt;TODAY(),"·","✗")))))</f>
        <v/>
      </c>
      <c r="T56" s="42">
        <f>IF($A56="","",IF(OR(T$52&lt;Tetapan!$B8,AND(Tetapan!$C8&lt;&gt;"",T$52&gt;Tetapan!$C8),Tetapan!$E8=0,T$52&gt;Tetapan!$B$27),"–",IF(SUMPRODUCT((Transaksi!$C$2:$C$2001=$A56)*(Transaksi!$N$2:$N$2001&lt;=T$52)*(Transaksi!$O$2:$O$2001&gt;=T$52)*(Transaksi!$R$2:$R$2001&gt;=Tetapan!$E8-0.01))&gt;0,"✓",IF(SUMPRODUCT((Transaksi!$C$2:$C$2001=$A56)*(Transaksi!$N$2:$N$2001&lt;=T$52)*(Transaksi!$O$2:$O$2001&gt;=T$52)*(Transaksi!$R$2:$R$2001&gt;0))&gt;0,"½",IF(T$52&gt;TODAY(),"·","✗")))))</f>
        <v/>
      </c>
      <c r="W56" s="12">
        <f>IF(B56="✗",TEXT(B$52,"mmm yy")&amp;", ",IF(B56="½",TEXT(B$52,"mmm yy")&amp;" (separa), ",""))&amp;IF(C56="✗",TEXT(C$52,"mmm yy")&amp;", ",IF(C56="½",TEXT(C$52,"mmm yy")&amp;" (separa), ",""))&amp;IF(D56="✗",TEXT(D$52,"mmm yy")&amp;", ",IF(D56="½",TEXT(D$52,"mmm yy")&amp;" (separa), ",""))&amp;IF(E56="✗",TEXT(E$52,"mmm yy")&amp;", ",IF(E56="½",TEXT(E$52,"mmm yy")&amp;" (separa), ",""))&amp;IF(F56="✗",TEXT(F$52,"mmm yy")&amp;", ",IF(F56="½",TEXT(F$52,"mmm yy")&amp;" (separa), ",""))&amp;IF(G56="✗",TEXT(G$52,"mmm yy")&amp;", ",IF(G56="½",TEXT(G$52,"mmm yy")&amp;" (separa), ",""))&amp;IF(H56="✗",TEXT(H$52,"mmm yy")&amp;", ",IF(H56="½",TEXT(H$52,"mmm yy")&amp;" (separa), ",""))&amp;IF(I56="✗",TEXT(I$52,"mmm yy")&amp;", ",IF(I56="½",TEXT(I$52,"mmm yy")&amp;" (separa), ",""))&amp;IF(J56="✗",TEXT(J$52,"mmm yy")&amp;", ",IF(J56="½",TEXT(J$52,"mmm yy")&amp;" (separa), ",""))&amp;IF(K56="✗",TEXT(K$52,"mmm yy")&amp;", ",IF(K56="½",TEXT(K$52,"mmm yy")&amp;" (separa), ",""))&amp;IF(L56="✗",TEXT(L$52,"mmm yy")&amp;", ",IF(L56="½",TEXT(L$52,"mmm yy")&amp;" (separa), ",""))&amp;IF(M56="✗",TEXT(M$52,"mmm yy")&amp;", ",IF(M56="½",TEXT(M$52,"mmm yy")&amp;" (separa), ",""))&amp;IF(N56="✗",TEXT(N$52,"mmm yy")&amp;", ",IF(N56="½",TEXT(N$52,"mmm yy")&amp;" (separa), ",""))&amp;IF(O56="✗",TEXT(O$52,"mmm yy")&amp;", ",IF(O56="½",TEXT(O$52,"mmm yy")&amp;" (separa), ",""))&amp;IF(P56="✗",TEXT(P$52,"mmm yy")&amp;", ",IF(P56="½",TEXT(P$52,"mmm yy")&amp;" (separa), ",""))&amp;IF(Q56="✗",TEXT(Q$52,"mmm yy")&amp;", ",IF(Q56="½",TEXT(Q$52,"mmm yy")&amp;" (separa), ",""))&amp;IF(R56="✗",TEXT(R$52,"mmm yy")&amp;", ",IF(R56="½",TEXT(R$52,"mmm yy")&amp;" (separa), ",""))&amp;IF(S56="✗",TEXT(S$52,"mmm yy")&amp;", ",IF(S56="½",TEXT(S$52,"mmm yy")&amp;" (separa), ",""))&amp;IF(T56="✗",TEXT(T$52,"mmm yy")&amp;", ",IF(T56="½",TEXT(T$52,"mmm yy")&amp;" (separa), ",""))</f>
        <v/>
      </c>
    </row>
    <row r="57">
      <c r="A57" s="41">
        <f>IF(Tetapan!A9="","",Tetapan!A9)</f>
        <v/>
      </c>
      <c r="B57" s="42">
        <f>IF($A57="","",IF(OR(B$52&lt;Tetapan!$B9,AND(Tetapan!$C9&lt;&gt;"",B$52&gt;Tetapan!$C9),Tetapan!$E9=0,B$52&gt;Tetapan!$B$27),"–",IF(SUMPRODUCT((Transaksi!$C$2:$C$2001=$A57)*(Transaksi!$N$2:$N$2001&lt;=B$52)*(Transaksi!$O$2:$O$2001&gt;=B$52)*(Transaksi!$R$2:$R$2001&gt;=Tetapan!$E9-0.01))&gt;0,"✓",IF(SUMPRODUCT((Transaksi!$C$2:$C$2001=$A57)*(Transaksi!$N$2:$N$2001&lt;=B$52)*(Transaksi!$O$2:$O$2001&gt;=B$52)*(Transaksi!$R$2:$R$2001&gt;0))&gt;0,"½",IF(B$52&gt;TODAY(),"·","✗")))))</f>
        <v/>
      </c>
      <c r="C57" s="42">
        <f>IF($A57="","",IF(OR(C$52&lt;Tetapan!$B9,AND(Tetapan!$C9&lt;&gt;"",C$52&gt;Tetapan!$C9),Tetapan!$E9=0,C$52&gt;Tetapan!$B$27),"–",IF(SUMPRODUCT((Transaksi!$C$2:$C$2001=$A57)*(Transaksi!$N$2:$N$2001&lt;=C$52)*(Transaksi!$O$2:$O$2001&gt;=C$52)*(Transaksi!$R$2:$R$2001&gt;=Tetapan!$E9-0.01))&gt;0,"✓",IF(SUMPRODUCT((Transaksi!$C$2:$C$2001=$A57)*(Transaksi!$N$2:$N$2001&lt;=C$52)*(Transaksi!$O$2:$O$2001&gt;=C$52)*(Transaksi!$R$2:$R$2001&gt;0))&gt;0,"½",IF(C$52&gt;TODAY(),"·","✗")))))</f>
        <v/>
      </c>
      <c r="D57" s="42">
        <f>IF($A57="","",IF(OR(D$52&lt;Tetapan!$B9,AND(Tetapan!$C9&lt;&gt;"",D$52&gt;Tetapan!$C9),Tetapan!$E9=0,D$52&gt;Tetapan!$B$27),"–",IF(SUMPRODUCT((Transaksi!$C$2:$C$2001=$A57)*(Transaksi!$N$2:$N$2001&lt;=D$52)*(Transaksi!$O$2:$O$2001&gt;=D$52)*(Transaksi!$R$2:$R$2001&gt;=Tetapan!$E9-0.01))&gt;0,"✓",IF(SUMPRODUCT((Transaksi!$C$2:$C$2001=$A57)*(Transaksi!$N$2:$N$2001&lt;=D$52)*(Transaksi!$O$2:$O$2001&gt;=D$52)*(Transaksi!$R$2:$R$2001&gt;0))&gt;0,"½",IF(D$52&gt;TODAY(),"·","✗")))))</f>
        <v/>
      </c>
      <c r="E57" s="42">
        <f>IF($A57="","",IF(OR(E$52&lt;Tetapan!$B9,AND(Tetapan!$C9&lt;&gt;"",E$52&gt;Tetapan!$C9),Tetapan!$E9=0,E$52&gt;Tetapan!$B$27),"–",IF(SUMPRODUCT((Transaksi!$C$2:$C$2001=$A57)*(Transaksi!$N$2:$N$2001&lt;=E$52)*(Transaksi!$O$2:$O$2001&gt;=E$52)*(Transaksi!$R$2:$R$2001&gt;=Tetapan!$E9-0.01))&gt;0,"✓",IF(SUMPRODUCT((Transaksi!$C$2:$C$2001=$A57)*(Transaksi!$N$2:$N$2001&lt;=E$52)*(Transaksi!$O$2:$O$2001&gt;=E$52)*(Transaksi!$R$2:$R$2001&gt;0))&gt;0,"½",IF(E$52&gt;TODAY(),"·","✗")))))</f>
        <v/>
      </c>
      <c r="F57" s="42">
        <f>IF($A57="","",IF(OR(F$52&lt;Tetapan!$B9,AND(Tetapan!$C9&lt;&gt;"",F$52&gt;Tetapan!$C9),Tetapan!$E9=0,F$52&gt;Tetapan!$B$27),"–",IF(SUMPRODUCT((Transaksi!$C$2:$C$2001=$A57)*(Transaksi!$N$2:$N$2001&lt;=F$52)*(Transaksi!$O$2:$O$2001&gt;=F$52)*(Transaksi!$R$2:$R$2001&gt;=Tetapan!$E9-0.01))&gt;0,"✓",IF(SUMPRODUCT((Transaksi!$C$2:$C$2001=$A57)*(Transaksi!$N$2:$N$2001&lt;=F$52)*(Transaksi!$O$2:$O$2001&gt;=F$52)*(Transaksi!$R$2:$R$2001&gt;0))&gt;0,"½",IF(F$52&gt;TODAY(),"·","✗")))))</f>
        <v/>
      </c>
      <c r="G57" s="42">
        <f>IF($A57="","",IF(OR(G$52&lt;Tetapan!$B9,AND(Tetapan!$C9&lt;&gt;"",G$52&gt;Tetapan!$C9),Tetapan!$E9=0,G$52&gt;Tetapan!$B$27),"–",IF(SUMPRODUCT((Transaksi!$C$2:$C$2001=$A57)*(Transaksi!$N$2:$N$2001&lt;=G$52)*(Transaksi!$O$2:$O$2001&gt;=G$52)*(Transaksi!$R$2:$R$2001&gt;=Tetapan!$E9-0.01))&gt;0,"✓",IF(SUMPRODUCT((Transaksi!$C$2:$C$2001=$A57)*(Transaksi!$N$2:$N$2001&lt;=G$52)*(Transaksi!$O$2:$O$2001&gt;=G$52)*(Transaksi!$R$2:$R$2001&gt;0))&gt;0,"½",IF(G$52&gt;TODAY(),"·","✗")))))</f>
        <v/>
      </c>
      <c r="H57" s="42">
        <f>IF($A57="","",IF(OR(H$52&lt;Tetapan!$B9,AND(Tetapan!$C9&lt;&gt;"",H$52&gt;Tetapan!$C9),Tetapan!$E9=0,H$52&gt;Tetapan!$B$27),"–",IF(SUMPRODUCT((Transaksi!$C$2:$C$2001=$A57)*(Transaksi!$N$2:$N$2001&lt;=H$52)*(Transaksi!$O$2:$O$2001&gt;=H$52)*(Transaksi!$R$2:$R$2001&gt;=Tetapan!$E9-0.01))&gt;0,"✓",IF(SUMPRODUCT((Transaksi!$C$2:$C$2001=$A57)*(Transaksi!$N$2:$N$2001&lt;=H$52)*(Transaksi!$O$2:$O$2001&gt;=H$52)*(Transaksi!$R$2:$R$2001&gt;0))&gt;0,"½",IF(H$52&gt;TODAY(),"·","✗")))))</f>
        <v/>
      </c>
      <c r="I57" s="42">
        <f>IF($A57="","",IF(OR(I$52&lt;Tetapan!$B9,AND(Tetapan!$C9&lt;&gt;"",I$52&gt;Tetapan!$C9),Tetapan!$E9=0,I$52&gt;Tetapan!$B$27),"–",IF(SUMPRODUCT((Transaksi!$C$2:$C$2001=$A57)*(Transaksi!$N$2:$N$2001&lt;=I$52)*(Transaksi!$O$2:$O$2001&gt;=I$52)*(Transaksi!$R$2:$R$2001&gt;=Tetapan!$E9-0.01))&gt;0,"✓",IF(SUMPRODUCT((Transaksi!$C$2:$C$2001=$A57)*(Transaksi!$N$2:$N$2001&lt;=I$52)*(Transaksi!$O$2:$O$2001&gt;=I$52)*(Transaksi!$R$2:$R$2001&gt;0))&gt;0,"½",IF(I$52&gt;TODAY(),"·","✗")))))</f>
        <v/>
      </c>
      <c r="J57" s="42">
        <f>IF($A57="","",IF(OR(J$52&lt;Tetapan!$B9,AND(Tetapan!$C9&lt;&gt;"",J$52&gt;Tetapan!$C9),Tetapan!$E9=0,J$52&gt;Tetapan!$B$27),"–",IF(SUMPRODUCT((Transaksi!$C$2:$C$2001=$A57)*(Transaksi!$N$2:$N$2001&lt;=J$52)*(Transaksi!$O$2:$O$2001&gt;=J$52)*(Transaksi!$R$2:$R$2001&gt;=Tetapan!$E9-0.01))&gt;0,"✓",IF(SUMPRODUCT((Transaksi!$C$2:$C$2001=$A57)*(Transaksi!$N$2:$N$2001&lt;=J$52)*(Transaksi!$O$2:$O$2001&gt;=J$52)*(Transaksi!$R$2:$R$2001&gt;0))&gt;0,"½",IF(J$52&gt;TODAY(),"·","✗")))))</f>
        <v/>
      </c>
      <c r="K57" s="42">
        <f>IF($A57="","",IF(OR(K$52&lt;Tetapan!$B9,AND(Tetapan!$C9&lt;&gt;"",K$52&gt;Tetapan!$C9),Tetapan!$E9=0,K$52&gt;Tetapan!$B$27),"–",IF(SUMPRODUCT((Transaksi!$C$2:$C$2001=$A57)*(Transaksi!$N$2:$N$2001&lt;=K$52)*(Transaksi!$O$2:$O$2001&gt;=K$52)*(Transaksi!$R$2:$R$2001&gt;=Tetapan!$E9-0.01))&gt;0,"✓",IF(SUMPRODUCT((Transaksi!$C$2:$C$2001=$A57)*(Transaksi!$N$2:$N$2001&lt;=K$52)*(Transaksi!$O$2:$O$2001&gt;=K$52)*(Transaksi!$R$2:$R$2001&gt;0))&gt;0,"½",IF(K$52&gt;TODAY(),"·","✗")))))</f>
        <v/>
      </c>
      <c r="L57" s="42">
        <f>IF($A57="","",IF(OR(L$52&lt;Tetapan!$B9,AND(Tetapan!$C9&lt;&gt;"",L$52&gt;Tetapan!$C9),Tetapan!$E9=0,L$52&gt;Tetapan!$B$27),"–",IF(SUMPRODUCT((Transaksi!$C$2:$C$2001=$A57)*(Transaksi!$N$2:$N$2001&lt;=L$52)*(Transaksi!$O$2:$O$2001&gt;=L$52)*(Transaksi!$R$2:$R$2001&gt;=Tetapan!$E9-0.01))&gt;0,"✓",IF(SUMPRODUCT((Transaksi!$C$2:$C$2001=$A57)*(Transaksi!$N$2:$N$2001&lt;=L$52)*(Transaksi!$O$2:$O$2001&gt;=L$52)*(Transaksi!$R$2:$R$2001&gt;0))&gt;0,"½",IF(L$52&gt;TODAY(),"·","✗")))))</f>
        <v/>
      </c>
      <c r="M57" s="42">
        <f>IF($A57="","",IF(OR(M$52&lt;Tetapan!$B9,AND(Tetapan!$C9&lt;&gt;"",M$52&gt;Tetapan!$C9),Tetapan!$E9=0,M$52&gt;Tetapan!$B$27),"–",IF(SUMPRODUCT((Transaksi!$C$2:$C$2001=$A57)*(Transaksi!$N$2:$N$2001&lt;=M$52)*(Transaksi!$O$2:$O$2001&gt;=M$52)*(Transaksi!$R$2:$R$2001&gt;=Tetapan!$E9-0.01))&gt;0,"✓",IF(SUMPRODUCT((Transaksi!$C$2:$C$2001=$A57)*(Transaksi!$N$2:$N$2001&lt;=M$52)*(Transaksi!$O$2:$O$2001&gt;=M$52)*(Transaksi!$R$2:$R$2001&gt;0))&gt;0,"½",IF(M$52&gt;TODAY(),"·","✗")))))</f>
        <v/>
      </c>
      <c r="N57" s="42">
        <f>IF($A57="","",IF(OR(N$52&lt;Tetapan!$B9,AND(Tetapan!$C9&lt;&gt;"",N$52&gt;Tetapan!$C9),Tetapan!$E9=0,N$52&gt;Tetapan!$B$27),"–",IF(SUMPRODUCT((Transaksi!$C$2:$C$2001=$A57)*(Transaksi!$N$2:$N$2001&lt;=N$52)*(Transaksi!$O$2:$O$2001&gt;=N$52)*(Transaksi!$R$2:$R$2001&gt;=Tetapan!$E9-0.01))&gt;0,"✓",IF(SUMPRODUCT((Transaksi!$C$2:$C$2001=$A57)*(Transaksi!$N$2:$N$2001&lt;=N$52)*(Transaksi!$O$2:$O$2001&gt;=N$52)*(Transaksi!$R$2:$R$2001&gt;0))&gt;0,"½",IF(N$52&gt;TODAY(),"·","✗")))))</f>
        <v/>
      </c>
      <c r="O57" s="42">
        <f>IF($A57="","",IF(OR(O$52&lt;Tetapan!$B9,AND(Tetapan!$C9&lt;&gt;"",O$52&gt;Tetapan!$C9),Tetapan!$E9=0,O$52&gt;Tetapan!$B$27),"–",IF(SUMPRODUCT((Transaksi!$C$2:$C$2001=$A57)*(Transaksi!$N$2:$N$2001&lt;=O$52)*(Transaksi!$O$2:$O$2001&gt;=O$52)*(Transaksi!$R$2:$R$2001&gt;=Tetapan!$E9-0.01))&gt;0,"✓",IF(SUMPRODUCT((Transaksi!$C$2:$C$2001=$A57)*(Transaksi!$N$2:$N$2001&lt;=O$52)*(Transaksi!$O$2:$O$2001&gt;=O$52)*(Transaksi!$R$2:$R$2001&gt;0))&gt;0,"½",IF(O$52&gt;TODAY(),"·","✗")))))</f>
        <v/>
      </c>
      <c r="P57" s="42">
        <f>IF($A57="","",IF(OR(P$52&lt;Tetapan!$B9,AND(Tetapan!$C9&lt;&gt;"",P$52&gt;Tetapan!$C9),Tetapan!$E9=0,P$52&gt;Tetapan!$B$27),"–",IF(SUMPRODUCT((Transaksi!$C$2:$C$2001=$A57)*(Transaksi!$N$2:$N$2001&lt;=P$52)*(Transaksi!$O$2:$O$2001&gt;=P$52)*(Transaksi!$R$2:$R$2001&gt;=Tetapan!$E9-0.01))&gt;0,"✓",IF(SUMPRODUCT((Transaksi!$C$2:$C$2001=$A57)*(Transaksi!$N$2:$N$2001&lt;=P$52)*(Transaksi!$O$2:$O$2001&gt;=P$52)*(Transaksi!$R$2:$R$2001&gt;0))&gt;0,"½",IF(P$52&gt;TODAY(),"·","✗")))))</f>
        <v/>
      </c>
      <c r="Q57" s="42">
        <f>IF($A57="","",IF(OR(Q$52&lt;Tetapan!$B9,AND(Tetapan!$C9&lt;&gt;"",Q$52&gt;Tetapan!$C9),Tetapan!$E9=0,Q$52&gt;Tetapan!$B$27),"–",IF(SUMPRODUCT((Transaksi!$C$2:$C$2001=$A57)*(Transaksi!$N$2:$N$2001&lt;=Q$52)*(Transaksi!$O$2:$O$2001&gt;=Q$52)*(Transaksi!$R$2:$R$2001&gt;=Tetapan!$E9-0.01))&gt;0,"✓",IF(SUMPRODUCT((Transaksi!$C$2:$C$2001=$A57)*(Transaksi!$N$2:$N$2001&lt;=Q$52)*(Transaksi!$O$2:$O$2001&gt;=Q$52)*(Transaksi!$R$2:$R$2001&gt;0))&gt;0,"½",IF(Q$52&gt;TODAY(),"·","✗")))))</f>
        <v/>
      </c>
      <c r="R57" s="42">
        <f>IF($A57="","",IF(OR(R$52&lt;Tetapan!$B9,AND(Tetapan!$C9&lt;&gt;"",R$52&gt;Tetapan!$C9),Tetapan!$E9=0,R$52&gt;Tetapan!$B$27),"–",IF(SUMPRODUCT((Transaksi!$C$2:$C$2001=$A57)*(Transaksi!$N$2:$N$2001&lt;=R$52)*(Transaksi!$O$2:$O$2001&gt;=R$52)*(Transaksi!$R$2:$R$2001&gt;=Tetapan!$E9-0.01))&gt;0,"✓",IF(SUMPRODUCT((Transaksi!$C$2:$C$2001=$A57)*(Transaksi!$N$2:$N$2001&lt;=R$52)*(Transaksi!$O$2:$O$2001&gt;=R$52)*(Transaksi!$R$2:$R$2001&gt;0))&gt;0,"½",IF(R$52&gt;TODAY(),"·","✗")))))</f>
        <v/>
      </c>
      <c r="S57" s="42">
        <f>IF($A57="","",IF(OR(S$52&lt;Tetapan!$B9,AND(Tetapan!$C9&lt;&gt;"",S$52&gt;Tetapan!$C9),Tetapan!$E9=0,S$52&gt;Tetapan!$B$27),"–",IF(SUMPRODUCT((Transaksi!$C$2:$C$2001=$A57)*(Transaksi!$N$2:$N$2001&lt;=S$52)*(Transaksi!$O$2:$O$2001&gt;=S$52)*(Transaksi!$R$2:$R$2001&gt;=Tetapan!$E9-0.01))&gt;0,"✓",IF(SUMPRODUCT((Transaksi!$C$2:$C$2001=$A57)*(Transaksi!$N$2:$N$2001&lt;=S$52)*(Transaksi!$O$2:$O$2001&gt;=S$52)*(Transaksi!$R$2:$R$2001&gt;0))&gt;0,"½",IF(S$52&gt;TODAY(),"·","✗")))))</f>
        <v/>
      </c>
      <c r="T57" s="42">
        <f>IF($A57="","",IF(OR(T$52&lt;Tetapan!$B9,AND(Tetapan!$C9&lt;&gt;"",T$52&gt;Tetapan!$C9),Tetapan!$E9=0,T$52&gt;Tetapan!$B$27),"–",IF(SUMPRODUCT((Transaksi!$C$2:$C$2001=$A57)*(Transaksi!$N$2:$N$2001&lt;=T$52)*(Transaksi!$O$2:$O$2001&gt;=T$52)*(Transaksi!$R$2:$R$2001&gt;=Tetapan!$E9-0.01))&gt;0,"✓",IF(SUMPRODUCT((Transaksi!$C$2:$C$2001=$A57)*(Transaksi!$N$2:$N$2001&lt;=T$52)*(Transaksi!$O$2:$O$2001&gt;=T$52)*(Transaksi!$R$2:$R$2001&gt;0))&gt;0,"½",IF(T$52&gt;TODAY(),"·","✗")))))</f>
        <v/>
      </c>
      <c r="W57" s="12">
        <f>IF(B57="✗",TEXT(B$52,"mmm yy")&amp;", ",IF(B57="½",TEXT(B$52,"mmm yy")&amp;" (separa), ",""))&amp;IF(C57="✗",TEXT(C$52,"mmm yy")&amp;", ",IF(C57="½",TEXT(C$52,"mmm yy")&amp;" (separa), ",""))&amp;IF(D57="✗",TEXT(D$52,"mmm yy")&amp;", ",IF(D57="½",TEXT(D$52,"mmm yy")&amp;" (separa), ",""))&amp;IF(E57="✗",TEXT(E$52,"mmm yy")&amp;", ",IF(E57="½",TEXT(E$52,"mmm yy")&amp;" (separa), ",""))&amp;IF(F57="✗",TEXT(F$52,"mmm yy")&amp;", ",IF(F57="½",TEXT(F$52,"mmm yy")&amp;" (separa), ",""))&amp;IF(G57="✗",TEXT(G$52,"mmm yy")&amp;", ",IF(G57="½",TEXT(G$52,"mmm yy")&amp;" (separa), ",""))&amp;IF(H57="✗",TEXT(H$52,"mmm yy")&amp;", ",IF(H57="½",TEXT(H$52,"mmm yy")&amp;" (separa), ",""))&amp;IF(I57="✗",TEXT(I$52,"mmm yy")&amp;", ",IF(I57="½",TEXT(I$52,"mmm yy")&amp;" (separa), ",""))&amp;IF(J57="✗",TEXT(J$52,"mmm yy")&amp;", ",IF(J57="½",TEXT(J$52,"mmm yy")&amp;" (separa), ",""))&amp;IF(K57="✗",TEXT(K$52,"mmm yy")&amp;", ",IF(K57="½",TEXT(K$52,"mmm yy")&amp;" (separa), ",""))&amp;IF(L57="✗",TEXT(L$52,"mmm yy")&amp;", ",IF(L57="½",TEXT(L$52,"mmm yy")&amp;" (separa), ",""))&amp;IF(M57="✗",TEXT(M$52,"mmm yy")&amp;", ",IF(M57="½",TEXT(M$52,"mmm yy")&amp;" (separa), ",""))&amp;IF(N57="✗",TEXT(N$52,"mmm yy")&amp;", ",IF(N57="½",TEXT(N$52,"mmm yy")&amp;" (separa), ",""))&amp;IF(O57="✗",TEXT(O$52,"mmm yy")&amp;", ",IF(O57="½",TEXT(O$52,"mmm yy")&amp;" (separa), ",""))&amp;IF(P57="✗",TEXT(P$52,"mmm yy")&amp;", ",IF(P57="½",TEXT(P$52,"mmm yy")&amp;" (separa), ",""))&amp;IF(Q57="✗",TEXT(Q$52,"mmm yy")&amp;", ",IF(Q57="½",TEXT(Q$52,"mmm yy")&amp;" (separa), ",""))&amp;IF(R57="✗",TEXT(R$52,"mmm yy")&amp;", ",IF(R57="½",TEXT(R$52,"mmm yy")&amp;" (separa), ",""))&amp;IF(S57="✗",TEXT(S$52,"mmm yy")&amp;", ",IF(S57="½",TEXT(S$52,"mmm yy")&amp;" (separa), ",""))&amp;IF(T57="✗",TEXT(T$52,"mmm yy")&amp;", ",IF(T57="½",TEXT(T$52,"mmm yy")&amp;" (separa), ",""))</f>
        <v/>
      </c>
    </row>
    <row r="58">
      <c r="A58" s="41">
        <f>IF(Tetapan!A10="","",Tetapan!A10)</f>
        <v/>
      </c>
      <c r="B58" s="42">
        <f>IF($A58="","",IF(OR(B$52&lt;Tetapan!$B10,AND(Tetapan!$C10&lt;&gt;"",B$52&gt;Tetapan!$C10),Tetapan!$E10=0,B$52&gt;Tetapan!$B$27),"–",IF(SUMPRODUCT((Transaksi!$C$2:$C$2001=$A58)*(Transaksi!$N$2:$N$2001&lt;=B$52)*(Transaksi!$O$2:$O$2001&gt;=B$52)*(Transaksi!$R$2:$R$2001&gt;=Tetapan!$E10-0.01))&gt;0,"✓",IF(SUMPRODUCT((Transaksi!$C$2:$C$2001=$A58)*(Transaksi!$N$2:$N$2001&lt;=B$52)*(Transaksi!$O$2:$O$2001&gt;=B$52)*(Transaksi!$R$2:$R$2001&gt;0))&gt;0,"½",IF(B$52&gt;TODAY(),"·","✗")))))</f>
        <v/>
      </c>
      <c r="C58" s="42">
        <f>IF($A58="","",IF(OR(C$52&lt;Tetapan!$B10,AND(Tetapan!$C10&lt;&gt;"",C$52&gt;Tetapan!$C10),Tetapan!$E10=0,C$52&gt;Tetapan!$B$27),"–",IF(SUMPRODUCT((Transaksi!$C$2:$C$2001=$A58)*(Transaksi!$N$2:$N$2001&lt;=C$52)*(Transaksi!$O$2:$O$2001&gt;=C$52)*(Transaksi!$R$2:$R$2001&gt;=Tetapan!$E10-0.01))&gt;0,"✓",IF(SUMPRODUCT((Transaksi!$C$2:$C$2001=$A58)*(Transaksi!$N$2:$N$2001&lt;=C$52)*(Transaksi!$O$2:$O$2001&gt;=C$52)*(Transaksi!$R$2:$R$2001&gt;0))&gt;0,"½",IF(C$52&gt;TODAY(),"·","✗")))))</f>
        <v/>
      </c>
      <c r="D58" s="42">
        <f>IF($A58="","",IF(OR(D$52&lt;Tetapan!$B10,AND(Tetapan!$C10&lt;&gt;"",D$52&gt;Tetapan!$C10),Tetapan!$E10=0,D$52&gt;Tetapan!$B$27),"–",IF(SUMPRODUCT((Transaksi!$C$2:$C$2001=$A58)*(Transaksi!$N$2:$N$2001&lt;=D$52)*(Transaksi!$O$2:$O$2001&gt;=D$52)*(Transaksi!$R$2:$R$2001&gt;=Tetapan!$E10-0.01))&gt;0,"✓",IF(SUMPRODUCT((Transaksi!$C$2:$C$2001=$A58)*(Transaksi!$N$2:$N$2001&lt;=D$52)*(Transaksi!$O$2:$O$2001&gt;=D$52)*(Transaksi!$R$2:$R$2001&gt;0))&gt;0,"½",IF(D$52&gt;TODAY(),"·","✗")))))</f>
        <v/>
      </c>
      <c r="E58" s="42">
        <f>IF($A58="","",IF(OR(E$52&lt;Tetapan!$B10,AND(Tetapan!$C10&lt;&gt;"",E$52&gt;Tetapan!$C10),Tetapan!$E10=0,E$52&gt;Tetapan!$B$27),"–",IF(SUMPRODUCT((Transaksi!$C$2:$C$2001=$A58)*(Transaksi!$N$2:$N$2001&lt;=E$52)*(Transaksi!$O$2:$O$2001&gt;=E$52)*(Transaksi!$R$2:$R$2001&gt;=Tetapan!$E10-0.01))&gt;0,"✓",IF(SUMPRODUCT((Transaksi!$C$2:$C$2001=$A58)*(Transaksi!$N$2:$N$2001&lt;=E$52)*(Transaksi!$O$2:$O$2001&gt;=E$52)*(Transaksi!$R$2:$R$2001&gt;0))&gt;0,"½",IF(E$52&gt;TODAY(),"·","✗")))))</f>
        <v/>
      </c>
      <c r="F58" s="42">
        <f>IF($A58="","",IF(OR(F$52&lt;Tetapan!$B10,AND(Tetapan!$C10&lt;&gt;"",F$52&gt;Tetapan!$C10),Tetapan!$E10=0,F$52&gt;Tetapan!$B$27),"–",IF(SUMPRODUCT((Transaksi!$C$2:$C$2001=$A58)*(Transaksi!$N$2:$N$2001&lt;=F$52)*(Transaksi!$O$2:$O$2001&gt;=F$52)*(Transaksi!$R$2:$R$2001&gt;=Tetapan!$E10-0.01))&gt;0,"✓",IF(SUMPRODUCT((Transaksi!$C$2:$C$2001=$A58)*(Transaksi!$N$2:$N$2001&lt;=F$52)*(Transaksi!$O$2:$O$2001&gt;=F$52)*(Transaksi!$R$2:$R$2001&gt;0))&gt;0,"½",IF(F$52&gt;TODAY(),"·","✗")))))</f>
        <v/>
      </c>
      <c r="G58" s="42">
        <f>IF($A58="","",IF(OR(G$52&lt;Tetapan!$B10,AND(Tetapan!$C10&lt;&gt;"",G$52&gt;Tetapan!$C10),Tetapan!$E10=0,G$52&gt;Tetapan!$B$27),"–",IF(SUMPRODUCT((Transaksi!$C$2:$C$2001=$A58)*(Transaksi!$N$2:$N$2001&lt;=G$52)*(Transaksi!$O$2:$O$2001&gt;=G$52)*(Transaksi!$R$2:$R$2001&gt;=Tetapan!$E10-0.01))&gt;0,"✓",IF(SUMPRODUCT((Transaksi!$C$2:$C$2001=$A58)*(Transaksi!$N$2:$N$2001&lt;=G$52)*(Transaksi!$O$2:$O$2001&gt;=G$52)*(Transaksi!$R$2:$R$2001&gt;0))&gt;0,"½",IF(G$52&gt;TODAY(),"·","✗")))))</f>
        <v/>
      </c>
      <c r="H58" s="42">
        <f>IF($A58="","",IF(OR(H$52&lt;Tetapan!$B10,AND(Tetapan!$C10&lt;&gt;"",H$52&gt;Tetapan!$C10),Tetapan!$E10=0,H$52&gt;Tetapan!$B$27),"–",IF(SUMPRODUCT((Transaksi!$C$2:$C$2001=$A58)*(Transaksi!$N$2:$N$2001&lt;=H$52)*(Transaksi!$O$2:$O$2001&gt;=H$52)*(Transaksi!$R$2:$R$2001&gt;=Tetapan!$E10-0.01))&gt;0,"✓",IF(SUMPRODUCT((Transaksi!$C$2:$C$2001=$A58)*(Transaksi!$N$2:$N$2001&lt;=H$52)*(Transaksi!$O$2:$O$2001&gt;=H$52)*(Transaksi!$R$2:$R$2001&gt;0))&gt;0,"½",IF(H$52&gt;TODAY(),"·","✗")))))</f>
        <v/>
      </c>
      <c r="I58" s="42">
        <f>IF($A58="","",IF(OR(I$52&lt;Tetapan!$B10,AND(Tetapan!$C10&lt;&gt;"",I$52&gt;Tetapan!$C10),Tetapan!$E10=0,I$52&gt;Tetapan!$B$27),"–",IF(SUMPRODUCT((Transaksi!$C$2:$C$2001=$A58)*(Transaksi!$N$2:$N$2001&lt;=I$52)*(Transaksi!$O$2:$O$2001&gt;=I$52)*(Transaksi!$R$2:$R$2001&gt;=Tetapan!$E10-0.01))&gt;0,"✓",IF(SUMPRODUCT((Transaksi!$C$2:$C$2001=$A58)*(Transaksi!$N$2:$N$2001&lt;=I$52)*(Transaksi!$O$2:$O$2001&gt;=I$52)*(Transaksi!$R$2:$R$2001&gt;0))&gt;0,"½",IF(I$52&gt;TODAY(),"·","✗")))))</f>
        <v/>
      </c>
      <c r="J58" s="42">
        <f>IF($A58="","",IF(OR(J$52&lt;Tetapan!$B10,AND(Tetapan!$C10&lt;&gt;"",J$52&gt;Tetapan!$C10),Tetapan!$E10=0,J$52&gt;Tetapan!$B$27),"–",IF(SUMPRODUCT((Transaksi!$C$2:$C$2001=$A58)*(Transaksi!$N$2:$N$2001&lt;=J$52)*(Transaksi!$O$2:$O$2001&gt;=J$52)*(Transaksi!$R$2:$R$2001&gt;=Tetapan!$E10-0.01))&gt;0,"✓",IF(SUMPRODUCT((Transaksi!$C$2:$C$2001=$A58)*(Transaksi!$N$2:$N$2001&lt;=J$52)*(Transaksi!$O$2:$O$2001&gt;=J$52)*(Transaksi!$R$2:$R$2001&gt;0))&gt;0,"½",IF(J$52&gt;TODAY(),"·","✗")))))</f>
        <v/>
      </c>
      <c r="K58" s="42">
        <f>IF($A58="","",IF(OR(K$52&lt;Tetapan!$B10,AND(Tetapan!$C10&lt;&gt;"",K$52&gt;Tetapan!$C10),Tetapan!$E10=0,K$52&gt;Tetapan!$B$27),"–",IF(SUMPRODUCT((Transaksi!$C$2:$C$2001=$A58)*(Transaksi!$N$2:$N$2001&lt;=K$52)*(Transaksi!$O$2:$O$2001&gt;=K$52)*(Transaksi!$R$2:$R$2001&gt;=Tetapan!$E10-0.01))&gt;0,"✓",IF(SUMPRODUCT((Transaksi!$C$2:$C$2001=$A58)*(Transaksi!$N$2:$N$2001&lt;=K$52)*(Transaksi!$O$2:$O$2001&gt;=K$52)*(Transaksi!$R$2:$R$2001&gt;0))&gt;0,"½",IF(K$52&gt;TODAY(),"·","✗")))))</f>
        <v/>
      </c>
      <c r="L58" s="42">
        <f>IF($A58="","",IF(OR(L$52&lt;Tetapan!$B10,AND(Tetapan!$C10&lt;&gt;"",L$52&gt;Tetapan!$C10),Tetapan!$E10=0,L$52&gt;Tetapan!$B$27),"–",IF(SUMPRODUCT((Transaksi!$C$2:$C$2001=$A58)*(Transaksi!$N$2:$N$2001&lt;=L$52)*(Transaksi!$O$2:$O$2001&gt;=L$52)*(Transaksi!$R$2:$R$2001&gt;=Tetapan!$E10-0.01))&gt;0,"✓",IF(SUMPRODUCT((Transaksi!$C$2:$C$2001=$A58)*(Transaksi!$N$2:$N$2001&lt;=L$52)*(Transaksi!$O$2:$O$2001&gt;=L$52)*(Transaksi!$R$2:$R$2001&gt;0))&gt;0,"½",IF(L$52&gt;TODAY(),"·","✗")))))</f>
        <v/>
      </c>
      <c r="M58" s="42">
        <f>IF($A58="","",IF(OR(M$52&lt;Tetapan!$B10,AND(Tetapan!$C10&lt;&gt;"",M$52&gt;Tetapan!$C10),Tetapan!$E10=0,M$52&gt;Tetapan!$B$27),"–",IF(SUMPRODUCT((Transaksi!$C$2:$C$2001=$A58)*(Transaksi!$N$2:$N$2001&lt;=M$52)*(Transaksi!$O$2:$O$2001&gt;=M$52)*(Transaksi!$R$2:$R$2001&gt;=Tetapan!$E10-0.01))&gt;0,"✓",IF(SUMPRODUCT((Transaksi!$C$2:$C$2001=$A58)*(Transaksi!$N$2:$N$2001&lt;=M$52)*(Transaksi!$O$2:$O$2001&gt;=M$52)*(Transaksi!$R$2:$R$2001&gt;0))&gt;0,"½",IF(M$52&gt;TODAY(),"·","✗")))))</f>
        <v/>
      </c>
      <c r="N58" s="42">
        <f>IF($A58="","",IF(OR(N$52&lt;Tetapan!$B10,AND(Tetapan!$C10&lt;&gt;"",N$52&gt;Tetapan!$C10),Tetapan!$E10=0,N$52&gt;Tetapan!$B$27),"–",IF(SUMPRODUCT((Transaksi!$C$2:$C$2001=$A58)*(Transaksi!$N$2:$N$2001&lt;=N$52)*(Transaksi!$O$2:$O$2001&gt;=N$52)*(Transaksi!$R$2:$R$2001&gt;=Tetapan!$E10-0.01))&gt;0,"✓",IF(SUMPRODUCT((Transaksi!$C$2:$C$2001=$A58)*(Transaksi!$N$2:$N$2001&lt;=N$52)*(Transaksi!$O$2:$O$2001&gt;=N$52)*(Transaksi!$R$2:$R$2001&gt;0))&gt;0,"½",IF(N$52&gt;TODAY(),"·","✗")))))</f>
        <v/>
      </c>
      <c r="O58" s="42">
        <f>IF($A58="","",IF(OR(O$52&lt;Tetapan!$B10,AND(Tetapan!$C10&lt;&gt;"",O$52&gt;Tetapan!$C10),Tetapan!$E10=0,O$52&gt;Tetapan!$B$27),"–",IF(SUMPRODUCT((Transaksi!$C$2:$C$2001=$A58)*(Transaksi!$N$2:$N$2001&lt;=O$52)*(Transaksi!$O$2:$O$2001&gt;=O$52)*(Transaksi!$R$2:$R$2001&gt;=Tetapan!$E10-0.01))&gt;0,"✓",IF(SUMPRODUCT((Transaksi!$C$2:$C$2001=$A58)*(Transaksi!$N$2:$N$2001&lt;=O$52)*(Transaksi!$O$2:$O$2001&gt;=O$52)*(Transaksi!$R$2:$R$2001&gt;0))&gt;0,"½",IF(O$52&gt;TODAY(),"·","✗")))))</f>
        <v/>
      </c>
      <c r="P58" s="42">
        <f>IF($A58="","",IF(OR(P$52&lt;Tetapan!$B10,AND(Tetapan!$C10&lt;&gt;"",P$52&gt;Tetapan!$C10),Tetapan!$E10=0,P$52&gt;Tetapan!$B$27),"–",IF(SUMPRODUCT((Transaksi!$C$2:$C$2001=$A58)*(Transaksi!$N$2:$N$2001&lt;=P$52)*(Transaksi!$O$2:$O$2001&gt;=P$52)*(Transaksi!$R$2:$R$2001&gt;=Tetapan!$E10-0.01))&gt;0,"✓",IF(SUMPRODUCT((Transaksi!$C$2:$C$2001=$A58)*(Transaksi!$N$2:$N$2001&lt;=P$52)*(Transaksi!$O$2:$O$2001&gt;=P$52)*(Transaksi!$R$2:$R$2001&gt;0))&gt;0,"½",IF(P$52&gt;TODAY(),"·","✗")))))</f>
        <v/>
      </c>
      <c r="Q58" s="42">
        <f>IF($A58="","",IF(OR(Q$52&lt;Tetapan!$B10,AND(Tetapan!$C10&lt;&gt;"",Q$52&gt;Tetapan!$C10),Tetapan!$E10=0,Q$52&gt;Tetapan!$B$27),"–",IF(SUMPRODUCT((Transaksi!$C$2:$C$2001=$A58)*(Transaksi!$N$2:$N$2001&lt;=Q$52)*(Transaksi!$O$2:$O$2001&gt;=Q$52)*(Transaksi!$R$2:$R$2001&gt;=Tetapan!$E10-0.01))&gt;0,"✓",IF(SUMPRODUCT((Transaksi!$C$2:$C$2001=$A58)*(Transaksi!$N$2:$N$2001&lt;=Q$52)*(Transaksi!$O$2:$O$2001&gt;=Q$52)*(Transaksi!$R$2:$R$2001&gt;0))&gt;0,"½",IF(Q$52&gt;TODAY(),"·","✗")))))</f>
        <v/>
      </c>
      <c r="R58" s="42">
        <f>IF($A58="","",IF(OR(R$52&lt;Tetapan!$B10,AND(Tetapan!$C10&lt;&gt;"",R$52&gt;Tetapan!$C10),Tetapan!$E10=0,R$52&gt;Tetapan!$B$27),"–",IF(SUMPRODUCT((Transaksi!$C$2:$C$2001=$A58)*(Transaksi!$N$2:$N$2001&lt;=R$52)*(Transaksi!$O$2:$O$2001&gt;=R$52)*(Transaksi!$R$2:$R$2001&gt;=Tetapan!$E10-0.01))&gt;0,"✓",IF(SUMPRODUCT((Transaksi!$C$2:$C$2001=$A58)*(Transaksi!$N$2:$N$2001&lt;=R$52)*(Transaksi!$O$2:$O$2001&gt;=R$52)*(Transaksi!$R$2:$R$2001&gt;0))&gt;0,"½",IF(R$52&gt;TODAY(),"·","✗")))))</f>
        <v/>
      </c>
      <c r="S58" s="42">
        <f>IF($A58="","",IF(OR(S$52&lt;Tetapan!$B10,AND(Tetapan!$C10&lt;&gt;"",S$52&gt;Tetapan!$C10),Tetapan!$E10=0,S$52&gt;Tetapan!$B$27),"–",IF(SUMPRODUCT((Transaksi!$C$2:$C$2001=$A58)*(Transaksi!$N$2:$N$2001&lt;=S$52)*(Transaksi!$O$2:$O$2001&gt;=S$52)*(Transaksi!$R$2:$R$2001&gt;=Tetapan!$E10-0.01))&gt;0,"✓",IF(SUMPRODUCT((Transaksi!$C$2:$C$2001=$A58)*(Transaksi!$N$2:$N$2001&lt;=S$52)*(Transaksi!$O$2:$O$2001&gt;=S$52)*(Transaksi!$R$2:$R$2001&gt;0))&gt;0,"½",IF(S$52&gt;TODAY(),"·","✗")))))</f>
        <v/>
      </c>
      <c r="T58" s="42">
        <f>IF($A58="","",IF(OR(T$52&lt;Tetapan!$B10,AND(Tetapan!$C10&lt;&gt;"",T$52&gt;Tetapan!$C10),Tetapan!$E10=0,T$52&gt;Tetapan!$B$27),"–",IF(SUMPRODUCT((Transaksi!$C$2:$C$2001=$A58)*(Transaksi!$N$2:$N$2001&lt;=T$52)*(Transaksi!$O$2:$O$2001&gt;=T$52)*(Transaksi!$R$2:$R$2001&gt;=Tetapan!$E10-0.01))&gt;0,"✓",IF(SUMPRODUCT((Transaksi!$C$2:$C$2001=$A58)*(Transaksi!$N$2:$N$2001&lt;=T$52)*(Transaksi!$O$2:$O$2001&gt;=T$52)*(Transaksi!$R$2:$R$2001&gt;0))&gt;0,"½",IF(T$52&gt;TODAY(),"·","✗")))))</f>
        <v/>
      </c>
      <c r="W58" s="12">
        <f>IF(B58="✗",TEXT(B$52,"mmm yy")&amp;", ",IF(B58="½",TEXT(B$52,"mmm yy")&amp;" (separa), ",""))&amp;IF(C58="✗",TEXT(C$52,"mmm yy")&amp;", ",IF(C58="½",TEXT(C$52,"mmm yy")&amp;" (separa), ",""))&amp;IF(D58="✗",TEXT(D$52,"mmm yy")&amp;", ",IF(D58="½",TEXT(D$52,"mmm yy")&amp;" (separa), ",""))&amp;IF(E58="✗",TEXT(E$52,"mmm yy")&amp;", ",IF(E58="½",TEXT(E$52,"mmm yy")&amp;" (separa), ",""))&amp;IF(F58="✗",TEXT(F$52,"mmm yy")&amp;", ",IF(F58="½",TEXT(F$52,"mmm yy")&amp;" (separa), ",""))&amp;IF(G58="✗",TEXT(G$52,"mmm yy")&amp;", ",IF(G58="½",TEXT(G$52,"mmm yy")&amp;" (separa), ",""))&amp;IF(H58="✗",TEXT(H$52,"mmm yy")&amp;", ",IF(H58="½",TEXT(H$52,"mmm yy")&amp;" (separa), ",""))&amp;IF(I58="✗",TEXT(I$52,"mmm yy")&amp;", ",IF(I58="½",TEXT(I$52,"mmm yy")&amp;" (separa), ",""))&amp;IF(J58="✗",TEXT(J$52,"mmm yy")&amp;", ",IF(J58="½",TEXT(J$52,"mmm yy")&amp;" (separa), ",""))&amp;IF(K58="✗",TEXT(K$52,"mmm yy")&amp;", ",IF(K58="½",TEXT(K$52,"mmm yy")&amp;" (separa), ",""))&amp;IF(L58="✗",TEXT(L$52,"mmm yy")&amp;", ",IF(L58="½",TEXT(L$52,"mmm yy")&amp;" (separa), ",""))&amp;IF(M58="✗",TEXT(M$52,"mmm yy")&amp;", ",IF(M58="½",TEXT(M$52,"mmm yy")&amp;" (separa), ",""))&amp;IF(N58="✗",TEXT(N$52,"mmm yy")&amp;", ",IF(N58="½",TEXT(N$52,"mmm yy")&amp;" (separa), ",""))&amp;IF(O58="✗",TEXT(O$52,"mmm yy")&amp;", ",IF(O58="½",TEXT(O$52,"mmm yy")&amp;" (separa), ",""))&amp;IF(P58="✗",TEXT(P$52,"mmm yy")&amp;", ",IF(P58="½",TEXT(P$52,"mmm yy")&amp;" (separa), ",""))&amp;IF(Q58="✗",TEXT(Q$52,"mmm yy")&amp;", ",IF(Q58="½",TEXT(Q$52,"mmm yy")&amp;" (separa), ",""))&amp;IF(R58="✗",TEXT(R$52,"mmm yy")&amp;", ",IF(R58="½",TEXT(R$52,"mmm yy")&amp;" (separa), ",""))&amp;IF(S58="✗",TEXT(S$52,"mmm yy")&amp;", ",IF(S58="½",TEXT(S$52,"mmm yy")&amp;" (separa), ",""))&amp;IF(T58="✗",TEXT(T$52,"mmm yy")&amp;", ",IF(T58="½",TEXT(T$52,"mmm yy")&amp;" (separa), ",""))</f>
        <v/>
      </c>
    </row>
    <row r="59">
      <c r="A59" s="41">
        <f>IF(Tetapan!A11="","",Tetapan!A11)</f>
        <v/>
      </c>
      <c r="B59" s="42">
        <f>IF($A59="","",IF(OR(B$52&lt;Tetapan!$B11,AND(Tetapan!$C11&lt;&gt;"",B$52&gt;Tetapan!$C11),Tetapan!$E11=0,B$52&gt;Tetapan!$B$27),"–",IF(SUMPRODUCT((Transaksi!$C$2:$C$2001=$A59)*(Transaksi!$N$2:$N$2001&lt;=B$52)*(Transaksi!$O$2:$O$2001&gt;=B$52)*(Transaksi!$R$2:$R$2001&gt;=Tetapan!$E11-0.01))&gt;0,"✓",IF(SUMPRODUCT((Transaksi!$C$2:$C$2001=$A59)*(Transaksi!$N$2:$N$2001&lt;=B$52)*(Transaksi!$O$2:$O$2001&gt;=B$52)*(Transaksi!$R$2:$R$2001&gt;0))&gt;0,"½",IF(B$52&gt;TODAY(),"·","✗")))))</f>
        <v/>
      </c>
      <c r="C59" s="42">
        <f>IF($A59="","",IF(OR(C$52&lt;Tetapan!$B11,AND(Tetapan!$C11&lt;&gt;"",C$52&gt;Tetapan!$C11),Tetapan!$E11=0,C$52&gt;Tetapan!$B$27),"–",IF(SUMPRODUCT((Transaksi!$C$2:$C$2001=$A59)*(Transaksi!$N$2:$N$2001&lt;=C$52)*(Transaksi!$O$2:$O$2001&gt;=C$52)*(Transaksi!$R$2:$R$2001&gt;=Tetapan!$E11-0.01))&gt;0,"✓",IF(SUMPRODUCT((Transaksi!$C$2:$C$2001=$A59)*(Transaksi!$N$2:$N$2001&lt;=C$52)*(Transaksi!$O$2:$O$2001&gt;=C$52)*(Transaksi!$R$2:$R$2001&gt;0))&gt;0,"½",IF(C$52&gt;TODAY(),"·","✗")))))</f>
        <v/>
      </c>
      <c r="D59" s="42">
        <f>IF($A59="","",IF(OR(D$52&lt;Tetapan!$B11,AND(Tetapan!$C11&lt;&gt;"",D$52&gt;Tetapan!$C11),Tetapan!$E11=0,D$52&gt;Tetapan!$B$27),"–",IF(SUMPRODUCT((Transaksi!$C$2:$C$2001=$A59)*(Transaksi!$N$2:$N$2001&lt;=D$52)*(Transaksi!$O$2:$O$2001&gt;=D$52)*(Transaksi!$R$2:$R$2001&gt;=Tetapan!$E11-0.01))&gt;0,"✓",IF(SUMPRODUCT((Transaksi!$C$2:$C$2001=$A59)*(Transaksi!$N$2:$N$2001&lt;=D$52)*(Transaksi!$O$2:$O$2001&gt;=D$52)*(Transaksi!$R$2:$R$2001&gt;0))&gt;0,"½",IF(D$52&gt;TODAY(),"·","✗")))))</f>
        <v/>
      </c>
      <c r="E59" s="42">
        <f>IF($A59="","",IF(OR(E$52&lt;Tetapan!$B11,AND(Tetapan!$C11&lt;&gt;"",E$52&gt;Tetapan!$C11),Tetapan!$E11=0,E$52&gt;Tetapan!$B$27),"–",IF(SUMPRODUCT((Transaksi!$C$2:$C$2001=$A59)*(Transaksi!$N$2:$N$2001&lt;=E$52)*(Transaksi!$O$2:$O$2001&gt;=E$52)*(Transaksi!$R$2:$R$2001&gt;=Tetapan!$E11-0.01))&gt;0,"✓",IF(SUMPRODUCT((Transaksi!$C$2:$C$2001=$A59)*(Transaksi!$N$2:$N$2001&lt;=E$52)*(Transaksi!$O$2:$O$2001&gt;=E$52)*(Transaksi!$R$2:$R$2001&gt;0))&gt;0,"½",IF(E$52&gt;TODAY(),"·","✗")))))</f>
        <v/>
      </c>
      <c r="F59" s="42">
        <f>IF($A59="","",IF(OR(F$52&lt;Tetapan!$B11,AND(Tetapan!$C11&lt;&gt;"",F$52&gt;Tetapan!$C11),Tetapan!$E11=0,F$52&gt;Tetapan!$B$27),"–",IF(SUMPRODUCT((Transaksi!$C$2:$C$2001=$A59)*(Transaksi!$N$2:$N$2001&lt;=F$52)*(Transaksi!$O$2:$O$2001&gt;=F$52)*(Transaksi!$R$2:$R$2001&gt;=Tetapan!$E11-0.01))&gt;0,"✓",IF(SUMPRODUCT((Transaksi!$C$2:$C$2001=$A59)*(Transaksi!$N$2:$N$2001&lt;=F$52)*(Transaksi!$O$2:$O$2001&gt;=F$52)*(Transaksi!$R$2:$R$2001&gt;0))&gt;0,"½",IF(F$52&gt;TODAY(),"·","✗")))))</f>
        <v/>
      </c>
      <c r="G59" s="42">
        <f>IF($A59="","",IF(OR(G$52&lt;Tetapan!$B11,AND(Tetapan!$C11&lt;&gt;"",G$52&gt;Tetapan!$C11),Tetapan!$E11=0,G$52&gt;Tetapan!$B$27),"–",IF(SUMPRODUCT((Transaksi!$C$2:$C$2001=$A59)*(Transaksi!$N$2:$N$2001&lt;=G$52)*(Transaksi!$O$2:$O$2001&gt;=G$52)*(Transaksi!$R$2:$R$2001&gt;=Tetapan!$E11-0.01))&gt;0,"✓",IF(SUMPRODUCT((Transaksi!$C$2:$C$2001=$A59)*(Transaksi!$N$2:$N$2001&lt;=G$52)*(Transaksi!$O$2:$O$2001&gt;=G$52)*(Transaksi!$R$2:$R$2001&gt;0))&gt;0,"½",IF(G$52&gt;TODAY(),"·","✗")))))</f>
        <v/>
      </c>
      <c r="H59" s="42">
        <f>IF($A59="","",IF(OR(H$52&lt;Tetapan!$B11,AND(Tetapan!$C11&lt;&gt;"",H$52&gt;Tetapan!$C11),Tetapan!$E11=0,H$52&gt;Tetapan!$B$27),"–",IF(SUMPRODUCT((Transaksi!$C$2:$C$2001=$A59)*(Transaksi!$N$2:$N$2001&lt;=H$52)*(Transaksi!$O$2:$O$2001&gt;=H$52)*(Transaksi!$R$2:$R$2001&gt;=Tetapan!$E11-0.01))&gt;0,"✓",IF(SUMPRODUCT((Transaksi!$C$2:$C$2001=$A59)*(Transaksi!$N$2:$N$2001&lt;=H$52)*(Transaksi!$O$2:$O$2001&gt;=H$52)*(Transaksi!$R$2:$R$2001&gt;0))&gt;0,"½",IF(H$52&gt;TODAY(),"·","✗")))))</f>
        <v/>
      </c>
      <c r="I59" s="42">
        <f>IF($A59="","",IF(OR(I$52&lt;Tetapan!$B11,AND(Tetapan!$C11&lt;&gt;"",I$52&gt;Tetapan!$C11),Tetapan!$E11=0,I$52&gt;Tetapan!$B$27),"–",IF(SUMPRODUCT((Transaksi!$C$2:$C$2001=$A59)*(Transaksi!$N$2:$N$2001&lt;=I$52)*(Transaksi!$O$2:$O$2001&gt;=I$52)*(Transaksi!$R$2:$R$2001&gt;=Tetapan!$E11-0.01))&gt;0,"✓",IF(SUMPRODUCT((Transaksi!$C$2:$C$2001=$A59)*(Transaksi!$N$2:$N$2001&lt;=I$52)*(Transaksi!$O$2:$O$2001&gt;=I$52)*(Transaksi!$R$2:$R$2001&gt;0))&gt;0,"½",IF(I$52&gt;TODAY(),"·","✗")))))</f>
        <v/>
      </c>
      <c r="J59" s="42">
        <f>IF($A59="","",IF(OR(J$52&lt;Tetapan!$B11,AND(Tetapan!$C11&lt;&gt;"",J$52&gt;Tetapan!$C11),Tetapan!$E11=0,J$52&gt;Tetapan!$B$27),"–",IF(SUMPRODUCT((Transaksi!$C$2:$C$2001=$A59)*(Transaksi!$N$2:$N$2001&lt;=J$52)*(Transaksi!$O$2:$O$2001&gt;=J$52)*(Transaksi!$R$2:$R$2001&gt;=Tetapan!$E11-0.01))&gt;0,"✓",IF(SUMPRODUCT((Transaksi!$C$2:$C$2001=$A59)*(Transaksi!$N$2:$N$2001&lt;=J$52)*(Transaksi!$O$2:$O$2001&gt;=J$52)*(Transaksi!$R$2:$R$2001&gt;0))&gt;0,"½",IF(J$52&gt;TODAY(),"·","✗")))))</f>
        <v/>
      </c>
      <c r="K59" s="42">
        <f>IF($A59="","",IF(OR(K$52&lt;Tetapan!$B11,AND(Tetapan!$C11&lt;&gt;"",K$52&gt;Tetapan!$C11),Tetapan!$E11=0,K$52&gt;Tetapan!$B$27),"–",IF(SUMPRODUCT((Transaksi!$C$2:$C$2001=$A59)*(Transaksi!$N$2:$N$2001&lt;=K$52)*(Transaksi!$O$2:$O$2001&gt;=K$52)*(Transaksi!$R$2:$R$2001&gt;=Tetapan!$E11-0.01))&gt;0,"✓",IF(SUMPRODUCT((Transaksi!$C$2:$C$2001=$A59)*(Transaksi!$N$2:$N$2001&lt;=K$52)*(Transaksi!$O$2:$O$2001&gt;=K$52)*(Transaksi!$R$2:$R$2001&gt;0))&gt;0,"½",IF(K$52&gt;TODAY(),"·","✗")))))</f>
        <v/>
      </c>
      <c r="L59" s="42">
        <f>IF($A59="","",IF(OR(L$52&lt;Tetapan!$B11,AND(Tetapan!$C11&lt;&gt;"",L$52&gt;Tetapan!$C11),Tetapan!$E11=0,L$52&gt;Tetapan!$B$27),"–",IF(SUMPRODUCT((Transaksi!$C$2:$C$2001=$A59)*(Transaksi!$N$2:$N$2001&lt;=L$52)*(Transaksi!$O$2:$O$2001&gt;=L$52)*(Transaksi!$R$2:$R$2001&gt;=Tetapan!$E11-0.01))&gt;0,"✓",IF(SUMPRODUCT((Transaksi!$C$2:$C$2001=$A59)*(Transaksi!$N$2:$N$2001&lt;=L$52)*(Transaksi!$O$2:$O$2001&gt;=L$52)*(Transaksi!$R$2:$R$2001&gt;0))&gt;0,"½",IF(L$52&gt;TODAY(),"·","✗")))))</f>
        <v/>
      </c>
      <c r="M59" s="42">
        <f>IF($A59="","",IF(OR(M$52&lt;Tetapan!$B11,AND(Tetapan!$C11&lt;&gt;"",M$52&gt;Tetapan!$C11),Tetapan!$E11=0,M$52&gt;Tetapan!$B$27),"–",IF(SUMPRODUCT((Transaksi!$C$2:$C$2001=$A59)*(Transaksi!$N$2:$N$2001&lt;=M$52)*(Transaksi!$O$2:$O$2001&gt;=M$52)*(Transaksi!$R$2:$R$2001&gt;=Tetapan!$E11-0.01))&gt;0,"✓",IF(SUMPRODUCT((Transaksi!$C$2:$C$2001=$A59)*(Transaksi!$N$2:$N$2001&lt;=M$52)*(Transaksi!$O$2:$O$2001&gt;=M$52)*(Transaksi!$R$2:$R$2001&gt;0))&gt;0,"½",IF(M$52&gt;TODAY(),"·","✗")))))</f>
        <v/>
      </c>
      <c r="N59" s="42">
        <f>IF($A59="","",IF(OR(N$52&lt;Tetapan!$B11,AND(Tetapan!$C11&lt;&gt;"",N$52&gt;Tetapan!$C11),Tetapan!$E11=0,N$52&gt;Tetapan!$B$27),"–",IF(SUMPRODUCT((Transaksi!$C$2:$C$2001=$A59)*(Transaksi!$N$2:$N$2001&lt;=N$52)*(Transaksi!$O$2:$O$2001&gt;=N$52)*(Transaksi!$R$2:$R$2001&gt;=Tetapan!$E11-0.01))&gt;0,"✓",IF(SUMPRODUCT((Transaksi!$C$2:$C$2001=$A59)*(Transaksi!$N$2:$N$2001&lt;=N$52)*(Transaksi!$O$2:$O$2001&gt;=N$52)*(Transaksi!$R$2:$R$2001&gt;0))&gt;0,"½",IF(N$52&gt;TODAY(),"·","✗")))))</f>
        <v/>
      </c>
      <c r="O59" s="42">
        <f>IF($A59="","",IF(OR(O$52&lt;Tetapan!$B11,AND(Tetapan!$C11&lt;&gt;"",O$52&gt;Tetapan!$C11),Tetapan!$E11=0,O$52&gt;Tetapan!$B$27),"–",IF(SUMPRODUCT((Transaksi!$C$2:$C$2001=$A59)*(Transaksi!$N$2:$N$2001&lt;=O$52)*(Transaksi!$O$2:$O$2001&gt;=O$52)*(Transaksi!$R$2:$R$2001&gt;=Tetapan!$E11-0.01))&gt;0,"✓",IF(SUMPRODUCT((Transaksi!$C$2:$C$2001=$A59)*(Transaksi!$N$2:$N$2001&lt;=O$52)*(Transaksi!$O$2:$O$2001&gt;=O$52)*(Transaksi!$R$2:$R$2001&gt;0))&gt;0,"½",IF(O$52&gt;TODAY(),"·","✗")))))</f>
        <v/>
      </c>
      <c r="P59" s="42">
        <f>IF($A59="","",IF(OR(P$52&lt;Tetapan!$B11,AND(Tetapan!$C11&lt;&gt;"",P$52&gt;Tetapan!$C11),Tetapan!$E11=0,P$52&gt;Tetapan!$B$27),"–",IF(SUMPRODUCT((Transaksi!$C$2:$C$2001=$A59)*(Transaksi!$N$2:$N$2001&lt;=P$52)*(Transaksi!$O$2:$O$2001&gt;=P$52)*(Transaksi!$R$2:$R$2001&gt;=Tetapan!$E11-0.01))&gt;0,"✓",IF(SUMPRODUCT((Transaksi!$C$2:$C$2001=$A59)*(Transaksi!$N$2:$N$2001&lt;=P$52)*(Transaksi!$O$2:$O$2001&gt;=P$52)*(Transaksi!$R$2:$R$2001&gt;0))&gt;0,"½",IF(P$52&gt;TODAY(),"·","✗")))))</f>
        <v/>
      </c>
      <c r="Q59" s="42">
        <f>IF($A59="","",IF(OR(Q$52&lt;Tetapan!$B11,AND(Tetapan!$C11&lt;&gt;"",Q$52&gt;Tetapan!$C11),Tetapan!$E11=0,Q$52&gt;Tetapan!$B$27),"–",IF(SUMPRODUCT((Transaksi!$C$2:$C$2001=$A59)*(Transaksi!$N$2:$N$2001&lt;=Q$52)*(Transaksi!$O$2:$O$2001&gt;=Q$52)*(Transaksi!$R$2:$R$2001&gt;=Tetapan!$E11-0.01))&gt;0,"✓",IF(SUMPRODUCT((Transaksi!$C$2:$C$2001=$A59)*(Transaksi!$N$2:$N$2001&lt;=Q$52)*(Transaksi!$O$2:$O$2001&gt;=Q$52)*(Transaksi!$R$2:$R$2001&gt;0))&gt;0,"½",IF(Q$52&gt;TODAY(),"·","✗")))))</f>
        <v/>
      </c>
      <c r="R59" s="42">
        <f>IF($A59="","",IF(OR(R$52&lt;Tetapan!$B11,AND(Tetapan!$C11&lt;&gt;"",R$52&gt;Tetapan!$C11),Tetapan!$E11=0,R$52&gt;Tetapan!$B$27),"–",IF(SUMPRODUCT((Transaksi!$C$2:$C$2001=$A59)*(Transaksi!$N$2:$N$2001&lt;=R$52)*(Transaksi!$O$2:$O$2001&gt;=R$52)*(Transaksi!$R$2:$R$2001&gt;=Tetapan!$E11-0.01))&gt;0,"✓",IF(SUMPRODUCT((Transaksi!$C$2:$C$2001=$A59)*(Transaksi!$N$2:$N$2001&lt;=R$52)*(Transaksi!$O$2:$O$2001&gt;=R$52)*(Transaksi!$R$2:$R$2001&gt;0))&gt;0,"½",IF(R$52&gt;TODAY(),"·","✗")))))</f>
        <v/>
      </c>
      <c r="S59" s="42">
        <f>IF($A59="","",IF(OR(S$52&lt;Tetapan!$B11,AND(Tetapan!$C11&lt;&gt;"",S$52&gt;Tetapan!$C11),Tetapan!$E11=0,S$52&gt;Tetapan!$B$27),"–",IF(SUMPRODUCT((Transaksi!$C$2:$C$2001=$A59)*(Transaksi!$N$2:$N$2001&lt;=S$52)*(Transaksi!$O$2:$O$2001&gt;=S$52)*(Transaksi!$R$2:$R$2001&gt;=Tetapan!$E11-0.01))&gt;0,"✓",IF(SUMPRODUCT((Transaksi!$C$2:$C$2001=$A59)*(Transaksi!$N$2:$N$2001&lt;=S$52)*(Transaksi!$O$2:$O$2001&gt;=S$52)*(Transaksi!$R$2:$R$2001&gt;0))&gt;0,"½",IF(S$52&gt;TODAY(),"·","✗")))))</f>
        <v/>
      </c>
      <c r="T59" s="42">
        <f>IF($A59="","",IF(OR(T$52&lt;Tetapan!$B11,AND(Tetapan!$C11&lt;&gt;"",T$52&gt;Tetapan!$C11),Tetapan!$E11=0,T$52&gt;Tetapan!$B$27),"–",IF(SUMPRODUCT((Transaksi!$C$2:$C$2001=$A59)*(Transaksi!$N$2:$N$2001&lt;=T$52)*(Transaksi!$O$2:$O$2001&gt;=T$52)*(Transaksi!$R$2:$R$2001&gt;=Tetapan!$E11-0.01))&gt;0,"✓",IF(SUMPRODUCT((Transaksi!$C$2:$C$2001=$A59)*(Transaksi!$N$2:$N$2001&lt;=T$52)*(Transaksi!$O$2:$O$2001&gt;=T$52)*(Transaksi!$R$2:$R$2001&gt;0))&gt;0,"½",IF(T$52&gt;TODAY(),"·","✗")))))</f>
        <v/>
      </c>
      <c r="W59" s="12">
        <f>IF(B59="✗",TEXT(B$52,"mmm yy")&amp;", ",IF(B59="½",TEXT(B$52,"mmm yy")&amp;" (separa), ",""))&amp;IF(C59="✗",TEXT(C$52,"mmm yy")&amp;", ",IF(C59="½",TEXT(C$52,"mmm yy")&amp;" (separa), ",""))&amp;IF(D59="✗",TEXT(D$52,"mmm yy")&amp;", ",IF(D59="½",TEXT(D$52,"mmm yy")&amp;" (separa), ",""))&amp;IF(E59="✗",TEXT(E$52,"mmm yy")&amp;", ",IF(E59="½",TEXT(E$52,"mmm yy")&amp;" (separa), ",""))&amp;IF(F59="✗",TEXT(F$52,"mmm yy")&amp;", ",IF(F59="½",TEXT(F$52,"mmm yy")&amp;" (separa), ",""))&amp;IF(G59="✗",TEXT(G$52,"mmm yy")&amp;", ",IF(G59="½",TEXT(G$52,"mmm yy")&amp;" (separa), ",""))&amp;IF(H59="✗",TEXT(H$52,"mmm yy")&amp;", ",IF(H59="½",TEXT(H$52,"mmm yy")&amp;" (separa), ",""))&amp;IF(I59="✗",TEXT(I$52,"mmm yy")&amp;", ",IF(I59="½",TEXT(I$52,"mmm yy")&amp;" (separa), ",""))&amp;IF(J59="✗",TEXT(J$52,"mmm yy")&amp;", ",IF(J59="½",TEXT(J$52,"mmm yy")&amp;" (separa), ",""))&amp;IF(K59="✗",TEXT(K$52,"mmm yy")&amp;", ",IF(K59="½",TEXT(K$52,"mmm yy")&amp;" (separa), ",""))&amp;IF(L59="✗",TEXT(L$52,"mmm yy")&amp;", ",IF(L59="½",TEXT(L$52,"mmm yy")&amp;" (separa), ",""))&amp;IF(M59="✗",TEXT(M$52,"mmm yy")&amp;", ",IF(M59="½",TEXT(M$52,"mmm yy")&amp;" (separa), ",""))&amp;IF(N59="✗",TEXT(N$52,"mmm yy")&amp;", ",IF(N59="½",TEXT(N$52,"mmm yy")&amp;" (separa), ",""))&amp;IF(O59="✗",TEXT(O$52,"mmm yy")&amp;", ",IF(O59="½",TEXT(O$52,"mmm yy")&amp;" (separa), ",""))&amp;IF(P59="✗",TEXT(P$52,"mmm yy")&amp;", ",IF(P59="½",TEXT(P$52,"mmm yy")&amp;" (separa), ",""))&amp;IF(Q59="✗",TEXT(Q$52,"mmm yy")&amp;", ",IF(Q59="½",TEXT(Q$52,"mmm yy")&amp;" (separa), ",""))&amp;IF(R59="✗",TEXT(R$52,"mmm yy")&amp;", ",IF(R59="½",TEXT(R$52,"mmm yy")&amp;" (separa), ",""))&amp;IF(S59="✗",TEXT(S$52,"mmm yy")&amp;", ",IF(S59="½",TEXT(S$52,"mmm yy")&amp;" (separa), ",""))&amp;IF(T59="✗",TEXT(T$52,"mmm yy")&amp;", ",IF(T59="½",TEXT(T$52,"mmm yy")&amp;" (separa), ",""))</f>
        <v/>
      </c>
    </row>
    <row r="60">
      <c r="A60" s="41">
        <f>IF(Tetapan!A12="","",Tetapan!A12)</f>
        <v/>
      </c>
      <c r="B60" s="42">
        <f>IF($A60="","",IF(OR(B$52&lt;Tetapan!$B12,AND(Tetapan!$C12&lt;&gt;"",B$52&gt;Tetapan!$C12),Tetapan!$E12=0,B$52&gt;Tetapan!$B$27),"–",IF(SUMPRODUCT((Transaksi!$C$2:$C$2001=$A60)*(Transaksi!$N$2:$N$2001&lt;=B$52)*(Transaksi!$O$2:$O$2001&gt;=B$52)*(Transaksi!$R$2:$R$2001&gt;=Tetapan!$E12-0.01))&gt;0,"✓",IF(SUMPRODUCT((Transaksi!$C$2:$C$2001=$A60)*(Transaksi!$N$2:$N$2001&lt;=B$52)*(Transaksi!$O$2:$O$2001&gt;=B$52)*(Transaksi!$R$2:$R$2001&gt;0))&gt;0,"½",IF(B$52&gt;TODAY(),"·","✗")))))</f>
        <v/>
      </c>
      <c r="C60" s="42">
        <f>IF($A60="","",IF(OR(C$52&lt;Tetapan!$B12,AND(Tetapan!$C12&lt;&gt;"",C$52&gt;Tetapan!$C12),Tetapan!$E12=0,C$52&gt;Tetapan!$B$27),"–",IF(SUMPRODUCT((Transaksi!$C$2:$C$2001=$A60)*(Transaksi!$N$2:$N$2001&lt;=C$52)*(Transaksi!$O$2:$O$2001&gt;=C$52)*(Transaksi!$R$2:$R$2001&gt;=Tetapan!$E12-0.01))&gt;0,"✓",IF(SUMPRODUCT((Transaksi!$C$2:$C$2001=$A60)*(Transaksi!$N$2:$N$2001&lt;=C$52)*(Transaksi!$O$2:$O$2001&gt;=C$52)*(Transaksi!$R$2:$R$2001&gt;0))&gt;0,"½",IF(C$52&gt;TODAY(),"·","✗")))))</f>
        <v/>
      </c>
      <c r="D60" s="42">
        <f>IF($A60="","",IF(OR(D$52&lt;Tetapan!$B12,AND(Tetapan!$C12&lt;&gt;"",D$52&gt;Tetapan!$C12),Tetapan!$E12=0,D$52&gt;Tetapan!$B$27),"–",IF(SUMPRODUCT((Transaksi!$C$2:$C$2001=$A60)*(Transaksi!$N$2:$N$2001&lt;=D$52)*(Transaksi!$O$2:$O$2001&gt;=D$52)*(Transaksi!$R$2:$R$2001&gt;=Tetapan!$E12-0.01))&gt;0,"✓",IF(SUMPRODUCT((Transaksi!$C$2:$C$2001=$A60)*(Transaksi!$N$2:$N$2001&lt;=D$52)*(Transaksi!$O$2:$O$2001&gt;=D$52)*(Transaksi!$R$2:$R$2001&gt;0))&gt;0,"½",IF(D$52&gt;TODAY(),"·","✗")))))</f>
        <v/>
      </c>
      <c r="E60" s="42">
        <f>IF($A60="","",IF(OR(E$52&lt;Tetapan!$B12,AND(Tetapan!$C12&lt;&gt;"",E$52&gt;Tetapan!$C12),Tetapan!$E12=0,E$52&gt;Tetapan!$B$27),"–",IF(SUMPRODUCT((Transaksi!$C$2:$C$2001=$A60)*(Transaksi!$N$2:$N$2001&lt;=E$52)*(Transaksi!$O$2:$O$2001&gt;=E$52)*(Transaksi!$R$2:$R$2001&gt;=Tetapan!$E12-0.01))&gt;0,"✓",IF(SUMPRODUCT((Transaksi!$C$2:$C$2001=$A60)*(Transaksi!$N$2:$N$2001&lt;=E$52)*(Transaksi!$O$2:$O$2001&gt;=E$52)*(Transaksi!$R$2:$R$2001&gt;0))&gt;0,"½",IF(E$52&gt;TODAY(),"·","✗")))))</f>
        <v/>
      </c>
      <c r="F60" s="42">
        <f>IF($A60="","",IF(OR(F$52&lt;Tetapan!$B12,AND(Tetapan!$C12&lt;&gt;"",F$52&gt;Tetapan!$C12),Tetapan!$E12=0,F$52&gt;Tetapan!$B$27),"–",IF(SUMPRODUCT((Transaksi!$C$2:$C$2001=$A60)*(Transaksi!$N$2:$N$2001&lt;=F$52)*(Transaksi!$O$2:$O$2001&gt;=F$52)*(Transaksi!$R$2:$R$2001&gt;=Tetapan!$E12-0.01))&gt;0,"✓",IF(SUMPRODUCT((Transaksi!$C$2:$C$2001=$A60)*(Transaksi!$N$2:$N$2001&lt;=F$52)*(Transaksi!$O$2:$O$2001&gt;=F$52)*(Transaksi!$R$2:$R$2001&gt;0))&gt;0,"½",IF(F$52&gt;TODAY(),"·","✗")))))</f>
        <v/>
      </c>
      <c r="G60" s="42">
        <f>IF($A60="","",IF(OR(G$52&lt;Tetapan!$B12,AND(Tetapan!$C12&lt;&gt;"",G$52&gt;Tetapan!$C12),Tetapan!$E12=0,G$52&gt;Tetapan!$B$27),"–",IF(SUMPRODUCT((Transaksi!$C$2:$C$2001=$A60)*(Transaksi!$N$2:$N$2001&lt;=G$52)*(Transaksi!$O$2:$O$2001&gt;=G$52)*(Transaksi!$R$2:$R$2001&gt;=Tetapan!$E12-0.01))&gt;0,"✓",IF(SUMPRODUCT((Transaksi!$C$2:$C$2001=$A60)*(Transaksi!$N$2:$N$2001&lt;=G$52)*(Transaksi!$O$2:$O$2001&gt;=G$52)*(Transaksi!$R$2:$R$2001&gt;0))&gt;0,"½",IF(G$52&gt;TODAY(),"·","✗")))))</f>
        <v/>
      </c>
      <c r="H60" s="42">
        <f>IF($A60="","",IF(OR(H$52&lt;Tetapan!$B12,AND(Tetapan!$C12&lt;&gt;"",H$52&gt;Tetapan!$C12),Tetapan!$E12=0,H$52&gt;Tetapan!$B$27),"–",IF(SUMPRODUCT((Transaksi!$C$2:$C$2001=$A60)*(Transaksi!$N$2:$N$2001&lt;=H$52)*(Transaksi!$O$2:$O$2001&gt;=H$52)*(Transaksi!$R$2:$R$2001&gt;=Tetapan!$E12-0.01))&gt;0,"✓",IF(SUMPRODUCT((Transaksi!$C$2:$C$2001=$A60)*(Transaksi!$N$2:$N$2001&lt;=H$52)*(Transaksi!$O$2:$O$2001&gt;=H$52)*(Transaksi!$R$2:$R$2001&gt;0))&gt;0,"½",IF(H$52&gt;TODAY(),"·","✗")))))</f>
        <v/>
      </c>
      <c r="I60" s="42">
        <f>IF($A60="","",IF(OR(I$52&lt;Tetapan!$B12,AND(Tetapan!$C12&lt;&gt;"",I$52&gt;Tetapan!$C12),Tetapan!$E12=0,I$52&gt;Tetapan!$B$27),"–",IF(SUMPRODUCT((Transaksi!$C$2:$C$2001=$A60)*(Transaksi!$N$2:$N$2001&lt;=I$52)*(Transaksi!$O$2:$O$2001&gt;=I$52)*(Transaksi!$R$2:$R$2001&gt;=Tetapan!$E12-0.01))&gt;0,"✓",IF(SUMPRODUCT((Transaksi!$C$2:$C$2001=$A60)*(Transaksi!$N$2:$N$2001&lt;=I$52)*(Transaksi!$O$2:$O$2001&gt;=I$52)*(Transaksi!$R$2:$R$2001&gt;0))&gt;0,"½",IF(I$52&gt;TODAY(),"·","✗")))))</f>
        <v/>
      </c>
      <c r="J60" s="42">
        <f>IF($A60="","",IF(OR(J$52&lt;Tetapan!$B12,AND(Tetapan!$C12&lt;&gt;"",J$52&gt;Tetapan!$C12),Tetapan!$E12=0,J$52&gt;Tetapan!$B$27),"–",IF(SUMPRODUCT((Transaksi!$C$2:$C$2001=$A60)*(Transaksi!$N$2:$N$2001&lt;=J$52)*(Transaksi!$O$2:$O$2001&gt;=J$52)*(Transaksi!$R$2:$R$2001&gt;=Tetapan!$E12-0.01))&gt;0,"✓",IF(SUMPRODUCT((Transaksi!$C$2:$C$2001=$A60)*(Transaksi!$N$2:$N$2001&lt;=J$52)*(Transaksi!$O$2:$O$2001&gt;=J$52)*(Transaksi!$R$2:$R$2001&gt;0))&gt;0,"½",IF(J$52&gt;TODAY(),"·","✗")))))</f>
        <v/>
      </c>
      <c r="K60" s="42">
        <f>IF($A60="","",IF(OR(K$52&lt;Tetapan!$B12,AND(Tetapan!$C12&lt;&gt;"",K$52&gt;Tetapan!$C12),Tetapan!$E12=0,K$52&gt;Tetapan!$B$27),"–",IF(SUMPRODUCT((Transaksi!$C$2:$C$2001=$A60)*(Transaksi!$N$2:$N$2001&lt;=K$52)*(Transaksi!$O$2:$O$2001&gt;=K$52)*(Transaksi!$R$2:$R$2001&gt;=Tetapan!$E12-0.01))&gt;0,"✓",IF(SUMPRODUCT((Transaksi!$C$2:$C$2001=$A60)*(Transaksi!$N$2:$N$2001&lt;=K$52)*(Transaksi!$O$2:$O$2001&gt;=K$52)*(Transaksi!$R$2:$R$2001&gt;0))&gt;0,"½",IF(K$52&gt;TODAY(),"·","✗")))))</f>
        <v/>
      </c>
      <c r="L60" s="42">
        <f>IF($A60="","",IF(OR(L$52&lt;Tetapan!$B12,AND(Tetapan!$C12&lt;&gt;"",L$52&gt;Tetapan!$C12),Tetapan!$E12=0,L$52&gt;Tetapan!$B$27),"–",IF(SUMPRODUCT((Transaksi!$C$2:$C$2001=$A60)*(Transaksi!$N$2:$N$2001&lt;=L$52)*(Transaksi!$O$2:$O$2001&gt;=L$52)*(Transaksi!$R$2:$R$2001&gt;=Tetapan!$E12-0.01))&gt;0,"✓",IF(SUMPRODUCT((Transaksi!$C$2:$C$2001=$A60)*(Transaksi!$N$2:$N$2001&lt;=L$52)*(Transaksi!$O$2:$O$2001&gt;=L$52)*(Transaksi!$R$2:$R$2001&gt;0))&gt;0,"½",IF(L$52&gt;TODAY(),"·","✗")))))</f>
        <v/>
      </c>
      <c r="M60" s="42">
        <f>IF($A60="","",IF(OR(M$52&lt;Tetapan!$B12,AND(Tetapan!$C12&lt;&gt;"",M$52&gt;Tetapan!$C12),Tetapan!$E12=0,M$52&gt;Tetapan!$B$27),"–",IF(SUMPRODUCT((Transaksi!$C$2:$C$2001=$A60)*(Transaksi!$N$2:$N$2001&lt;=M$52)*(Transaksi!$O$2:$O$2001&gt;=M$52)*(Transaksi!$R$2:$R$2001&gt;=Tetapan!$E12-0.01))&gt;0,"✓",IF(SUMPRODUCT((Transaksi!$C$2:$C$2001=$A60)*(Transaksi!$N$2:$N$2001&lt;=M$52)*(Transaksi!$O$2:$O$2001&gt;=M$52)*(Transaksi!$R$2:$R$2001&gt;0))&gt;0,"½",IF(M$52&gt;TODAY(),"·","✗")))))</f>
        <v/>
      </c>
      <c r="N60" s="42">
        <f>IF($A60="","",IF(OR(N$52&lt;Tetapan!$B12,AND(Tetapan!$C12&lt;&gt;"",N$52&gt;Tetapan!$C12),Tetapan!$E12=0,N$52&gt;Tetapan!$B$27),"–",IF(SUMPRODUCT((Transaksi!$C$2:$C$2001=$A60)*(Transaksi!$N$2:$N$2001&lt;=N$52)*(Transaksi!$O$2:$O$2001&gt;=N$52)*(Transaksi!$R$2:$R$2001&gt;=Tetapan!$E12-0.01))&gt;0,"✓",IF(SUMPRODUCT((Transaksi!$C$2:$C$2001=$A60)*(Transaksi!$N$2:$N$2001&lt;=N$52)*(Transaksi!$O$2:$O$2001&gt;=N$52)*(Transaksi!$R$2:$R$2001&gt;0))&gt;0,"½",IF(N$52&gt;TODAY(),"·","✗")))))</f>
        <v/>
      </c>
      <c r="O60" s="42">
        <f>IF($A60="","",IF(OR(O$52&lt;Tetapan!$B12,AND(Tetapan!$C12&lt;&gt;"",O$52&gt;Tetapan!$C12),Tetapan!$E12=0,O$52&gt;Tetapan!$B$27),"–",IF(SUMPRODUCT((Transaksi!$C$2:$C$2001=$A60)*(Transaksi!$N$2:$N$2001&lt;=O$52)*(Transaksi!$O$2:$O$2001&gt;=O$52)*(Transaksi!$R$2:$R$2001&gt;=Tetapan!$E12-0.01))&gt;0,"✓",IF(SUMPRODUCT((Transaksi!$C$2:$C$2001=$A60)*(Transaksi!$N$2:$N$2001&lt;=O$52)*(Transaksi!$O$2:$O$2001&gt;=O$52)*(Transaksi!$R$2:$R$2001&gt;0))&gt;0,"½",IF(O$52&gt;TODAY(),"·","✗")))))</f>
        <v/>
      </c>
      <c r="P60" s="42">
        <f>IF($A60="","",IF(OR(P$52&lt;Tetapan!$B12,AND(Tetapan!$C12&lt;&gt;"",P$52&gt;Tetapan!$C12),Tetapan!$E12=0,P$52&gt;Tetapan!$B$27),"–",IF(SUMPRODUCT((Transaksi!$C$2:$C$2001=$A60)*(Transaksi!$N$2:$N$2001&lt;=P$52)*(Transaksi!$O$2:$O$2001&gt;=P$52)*(Transaksi!$R$2:$R$2001&gt;=Tetapan!$E12-0.01))&gt;0,"✓",IF(SUMPRODUCT((Transaksi!$C$2:$C$2001=$A60)*(Transaksi!$N$2:$N$2001&lt;=P$52)*(Transaksi!$O$2:$O$2001&gt;=P$52)*(Transaksi!$R$2:$R$2001&gt;0))&gt;0,"½",IF(P$52&gt;TODAY(),"·","✗")))))</f>
        <v/>
      </c>
      <c r="Q60" s="42">
        <f>IF($A60="","",IF(OR(Q$52&lt;Tetapan!$B12,AND(Tetapan!$C12&lt;&gt;"",Q$52&gt;Tetapan!$C12),Tetapan!$E12=0,Q$52&gt;Tetapan!$B$27),"–",IF(SUMPRODUCT((Transaksi!$C$2:$C$2001=$A60)*(Transaksi!$N$2:$N$2001&lt;=Q$52)*(Transaksi!$O$2:$O$2001&gt;=Q$52)*(Transaksi!$R$2:$R$2001&gt;=Tetapan!$E12-0.01))&gt;0,"✓",IF(SUMPRODUCT((Transaksi!$C$2:$C$2001=$A60)*(Transaksi!$N$2:$N$2001&lt;=Q$52)*(Transaksi!$O$2:$O$2001&gt;=Q$52)*(Transaksi!$R$2:$R$2001&gt;0))&gt;0,"½",IF(Q$52&gt;TODAY(),"·","✗")))))</f>
        <v/>
      </c>
      <c r="R60" s="42">
        <f>IF($A60="","",IF(OR(R$52&lt;Tetapan!$B12,AND(Tetapan!$C12&lt;&gt;"",R$52&gt;Tetapan!$C12),Tetapan!$E12=0,R$52&gt;Tetapan!$B$27),"–",IF(SUMPRODUCT((Transaksi!$C$2:$C$2001=$A60)*(Transaksi!$N$2:$N$2001&lt;=R$52)*(Transaksi!$O$2:$O$2001&gt;=R$52)*(Transaksi!$R$2:$R$2001&gt;=Tetapan!$E12-0.01))&gt;0,"✓",IF(SUMPRODUCT((Transaksi!$C$2:$C$2001=$A60)*(Transaksi!$N$2:$N$2001&lt;=R$52)*(Transaksi!$O$2:$O$2001&gt;=R$52)*(Transaksi!$R$2:$R$2001&gt;0))&gt;0,"½",IF(R$52&gt;TODAY(),"·","✗")))))</f>
        <v/>
      </c>
      <c r="S60" s="42">
        <f>IF($A60="","",IF(OR(S$52&lt;Tetapan!$B12,AND(Tetapan!$C12&lt;&gt;"",S$52&gt;Tetapan!$C12),Tetapan!$E12=0,S$52&gt;Tetapan!$B$27),"–",IF(SUMPRODUCT((Transaksi!$C$2:$C$2001=$A60)*(Transaksi!$N$2:$N$2001&lt;=S$52)*(Transaksi!$O$2:$O$2001&gt;=S$52)*(Transaksi!$R$2:$R$2001&gt;=Tetapan!$E12-0.01))&gt;0,"✓",IF(SUMPRODUCT((Transaksi!$C$2:$C$2001=$A60)*(Transaksi!$N$2:$N$2001&lt;=S$52)*(Transaksi!$O$2:$O$2001&gt;=S$52)*(Transaksi!$R$2:$R$2001&gt;0))&gt;0,"½",IF(S$52&gt;TODAY(),"·","✗")))))</f>
        <v/>
      </c>
      <c r="T60" s="42">
        <f>IF($A60="","",IF(OR(T$52&lt;Tetapan!$B12,AND(Tetapan!$C12&lt;&gt;"",T$52&gt;Tetapan!$C12),Tetapan!$E12=0,T$52&gt;Tetapan!$B$27),"–",IF(SUMPRODUCT((Transaksi!$C$2:$C$2001=$A60)*(Transaksi!$N$2:$N$2001&lt;=T$52)*(Transaksi!$O$2:$O$2001&gt;=T$52)*(Transaksi!$R$2:$R$2001&gt;=Tetapan!$E12-0.01))&gt;0,"✓",IF(SUMPRODUCT((Transaksi!$C$2:$C$2001=$A60)*(Transaksi!$N$2:$N$2001&lt;=T$52)*(Transaksi!$O$2:$O$2001&gt;=T$52)*(Transaksi!$R$2:$R$2001&gt;0))&gt;0,"½",IF(T$52&gt;TODAY(),"·","✗")))))</f>
        <v/>
      </c>
      <c r="W60" s="12">
        <f>IF(B60="✗",TEXT(B$52,"mmm yy")&amp;", ",IF(B60="½",TEXT(B$52,"mmm yy")&amp;" (separa), ",""))&amp;IF(C60="✗",TEXT(C$52,"mmm yy")&amp;", ",IF(C60="½",TEXT(C$52,"mmm yy")&amp;" (separa), ",""))&amp;IF(D60="✗",TEXT(D$52,"mmm yy")&amp;", ",IF(D60="½",TEXT(D$52,"mmm yy")&amp;" (separa), ",""))&amp;IF(E60="✗",TEXT(E$52,"mmm yy")&amp;", ",IF(E60="½",TEXT(E$52,"mmm yy")&amp;" (separa), ",""))&amp;IF(F60="✗",TEXT(F$52,"mmm yy")&amp;", ",IF(F60="½",TEXT(F$52,"mmm yy")&amp;" (separa), ",""))&amp;IF(G60="✗",TEXT(G$52,"mmm yy")&amp;", ",IF(G60="½",TEXT(G$52,"mmm yy")&amp;" (separa), ",""))&amp;IF(H60="✗",TEXT(H$52,"mmm yy")&amp;", ",IF(H60="½",TEXT(H$52,"mmm yy")&amp;" (separa), ",""))&amp;IF(I60="✗",TEXT(I$52,"mmm yy")&amp;", ",IF(I60="½",TEXT(I$52,"mmm yy")&amp;" (separa), ",""))&amp;IF(J60="✗",TEXT(J$52,"mmm yy")&amp;", ",IF(J60="½",TEXT(J$52,"mmm yy")&amp;" (separa), ",""))&amp;IF(K60="✗",TEXT(K$52,"mmm yy")&amp;", ",IF(K60="½",TEXT(K$52,"mmm yy")&amp;" (separa), ",""))&amp;IF(L60="✗",TEXT(L$52,"mmm yy")&amp;", ",IF(L60="½",TEXT(L$52,"mmm yy")&amp;" (separa), ",""))&amp;IF(M60="✗",TEXT(M$52,"mmm yy")&amp;", ",IF(M60="½",TEXT(M$52,"mmm yy")&amp;" (separa), ",""))&amp;IF(N60="✗",TEXT(N$52,"mmm yy")&amp;", ",IF(N60="½",TEXT(N$52,"mmm yy")&amp;" (separa), ",""))&amp;IF(O60="✗",TEXT(O$52,"mmm yy")&amp;", ",IF(O60="½",TEXT(O$52,"mmm yy")&amp;" (separa), ",""))&amp;IF(P60="✗",TEXT(P$52,"mmm yy")&amp;", ",IF(P60="½",TEXT(P$52,"mmm yy")&amp;" (separa), ",""))&amp;IF(Q60="✗",TEXT(Q$52,"mmm yy")&amp;", ",IF(Q60="½",TEXT(Q$52,"mmm yy")&amp;" (separa), ",""))&amp;IF(R60="✗",TEXT(R$52,"mmm yy")&amp;", ",IF(R60="½",TEXT(R$52,"mmm yy")&amp;" (separa), ",""))&amp;IF(S60="✗",TEXT(S$52,"mmm yy")&amp;", ",IF(S60="½",TEXT(S$52,"mmm yy")&amp;" (separa), ",""))&amp;IF(T60="✗",TEXT(T$52,"mmm yy")&amp;", ",IF(T60="½",TEXT(T$52,"mmm yy")&amp;" (separa), ",""))</f>
        <v/>
      </c>
    </row>
    <row r="61">
      <c r="A61" s="41">
        <f>IF(Tetapan!A13="","",Tetapan!A13)</f>
        <v/>
      </c>
      <c r="B61" s="42">
        <f>IF($A61="","",IF(OR(B$52&lt;Tetapan!$B13,AND(Tetapan!$C13&lt;&gt;"",B$52&gt;Tetapan!$C13),Tetapan!$E13=0,B$52&gt;Tetapan!$B$27),"–",IF(SUMPRODUCT((Transaksi!$C$2:$C$2001=$A61)*(Transaksi!$N$2:$N$2001&lt;=B$52)*(Transaksi!$O$2:$O$2001&gt;=B$52)*(Transaksi!$R$2:$R$2001&gt;=Tetapan!$E13-0.01))&gt;0,"✓",IF(SUMPRODUCT((Transaksi!$C$2:$C$2001=$A61)*(Transaksi!$N$2:$N$2001&lt;=B$52)*(Transaksi!$O$2:$O$2001&gt;=B$52)*(Transaksi!$R$2:$R$2001&gt;0))&gt;0,"½",IF(B$52&gt;TODAY(),"·","✗")))))</f>
        <v/>
      </c>
      <c r="C61" s="42">
        <f>IF($A61="","",IF(OR(C$52&lt;Tetapan!$B13,AND(Tetapan!$C13&lt;&gt;"",C$52&gt;Tetapan!$C13),Tetapan!$E13=0,C$52&gt;Tetapan!$B$27),"–",IF(SUMPRODUCT((Transaksi!$C$2:$C$2001=$A61)*(Transaksi!$N$2:$N$2001&lt;=C$52)*(Transaksi!$O$2:$O$2001&gt;=C$52)*(Transaksi!$R$2:$R$2001&gt;=Tetapan!$E13-0.01))&gt;0,"✓",IF(SUMPRODUCT((Transaksi!$C$2:$C$2001=$A61)*(Transaksi!$N$2:$N$2001&lt;=C$52)*(Transaksi!$O$2:$O$2001&gt;=C$52)*(Transaksi!$R$2:$R$2001&gt;0))&gt;0,"½",IF(C$52&gt;TODAY(),"·","✗")))))</f>
        <v/>
      </c>
      <c r="D61" s="42">
        <f>IF($A61="","",IF(OR(D$52&lt;Tetapan!$B13,AND(Tetapan!$C13&lt;&gt;"",D$52&gt;Tetapan!$C13),Tetapan!$E13=0,D$52&gt;Tetapan!$B$27),"–",IF(SUMPRODUCT((Transaksi!$C$2:$C$2001=$A61)*(Transaksi!$N$2:$N$2001&lt;=D$52)*(Transaksi!$O$2:$O$2001&gt;=D$52)*(Transaksi!$R$2:$R$2001&gt;=Tetapan!$E13-0.01))&gt;0,"✓",IF(SUMPRODUCT((Transaksi!$C$2:$C$2001=$A61)*(Transaksi!$N$2:$N$2001&lt;=D$52)*(Transaksi!$O$2:$O$2001&gt;=D$52)*(Transaksi!$R$2:$R$2001&gt;0))&gt;0,"½",IF(D$52&gt;TODAY(),"·","✗")))))</f>
        <v/>
      </c>
      <c r="E61" s="42">
        <f>IF($A61="","",IF(OR(E$52&lt;Tetapan!$B13,AND(Tetapan!$C13&lt;&gt;"",E$52&gt;Tetapan!$C13),Tetapan!$E13=0,E$52&gt;Tetapan!$B$27),"–",IF(SUMPRODUCT((Transaksi!$C$2:$C$2001=$A61)*(Transaksi!$N$2:$N$2001&lt;=E$52)*(Transaksi!$O$2:$O$2001&gt;=E$52)*(Transaksi!$R$2:$R$2001&gt;=Tetapan!$E13-0.01))&gt;0,"✓",IF(SUMPRODUCT((Transaksi!$C$2:$C$2001=$A61)*(Transaksi!$N$2:$N$2001&lt;=E$52)*(Transaksi!$O$2:$O$2001&gt;=E$52)*(Transaksi!$R$2:$R$2001&gt;0))&gt;0,"½",IF(E$52&gt;TODAY(),"·","✗")))))</f>
        <v/>
      </c>
      <c r="F61" s="42">
        <f>IF($A61="","",IF(OR(F$52&lt;Tetapan!$B13,AND(Tetapan!$C13&lt;&gt;"",F$52&gt;Tetapan!$C13),Tetapan!$E13=0,F$52&gt;Tetapan!$B$27),"–",IF(SUMPRODUCT((Transaksi!$C$2:$C$2001=$A61)*(Transaksi!$N$2:$N$2001&lt;=F$52)*(Transaksi!$O$2:$O$2001&gt;=F$52)*(Transaksi!$R$2:$R$2001&gt;=Tetapan!$E13-0.01))&gt;0,"✓",IF(SUMPRODUCT((Transaksi!$C$2:$C$2001=$A61)*(Transaksi!$N$2:$N$2001&lt;=F$52)*(Transaksi!$O$2:$O$2001&gt;=F$52)*(Transaksi!$R$2:$R$2001&gt;0))&gt;0,"½",IF(F$52&gt;TODAY(),"·","✗")))))</f>
        <v/>
      </c>
      <c r="G61" s="42">
        <f>IF($A61="","",IF(OR(G$52&lt;Tetapan!$B13,AND(Tetapan!$C13&lt;&gt;"",G$52&gt;Tetapan!$C13),Tetapan!$E13=0,G$52&gt;Tetapan!$B$27),"–",IF(SUMPRODUCT((Transaksi!$C$2:$C$2001=$A61)*(Transaksi!$N$2:$N$2001&lt;=G$52)*(Transaksi!$O$2:$O$2001&gt;=G$52)*(Transaksi!$R$2:$R$2001&gt;=Tetapan!$E13-0.01))&gt;0,"✓",IF(SUMPRODUCT((Transaksi!$C$2:$C$2001=$A61)*(Transaksi!$N$2:$N$2001&lt;=G$52)*(Transaksi!$O$2:$O$2001&gt;=G$52)*(Transaksi!$R$2:$R$2001&gt;0))&gt;0,"½",IF(G$52&gt;TODAY(),"·","✗")))))</f>
        <v/>
      </c>
      <c r="H61" s="42">
        <f>IF($A61="","",IF(OR(H$52&lt;Tetapan!$B13,AND(Tetapan!$C13&lt;&gt;"",H$52&gt;Tetapan!$C13),Tetapan!$E13=0,H$52&gt;Tetapan!$B$27),"–",IF(SUMPRODUCT((Transaksi!$C$2:$C$2001=$A61)*(Transaksi!$N$2:$N$2001&lt;=H$52)*(Transaksi!$O$2:$O$2001&gt;=H$52)*(Transaksi!$R$2:$R$2001&gt;=Tetapan!$E13-0.01))&gt;0,"✓",IF(SUMPRODUCT((Transaksi!$C$2:$C$2001=$A61)*(Transaksi!$N$2:$N$2001&lt;=H$52)*(Transaksi!$O$2:$O$2001&gt;=H$52)*(Transaksi!$R$2:$R$2001&gt;0))&gt;0,"½",IF(H$52&gt;TODAY(),"·","✗")))))</f>
        <v/>
      </c>
      <c r="I61" s="42">
        <f>IF($A61="","",IF(OR(I$52&lt;Tetapan!$B13,AND(Tetapan!$C13&lt;&gt;"",I$52&gt;Tetapan!$C13),Tetapan!$E13=0,I$52&gt;Tetapan!$B$27),"–",IF(SUMPRODUCT((Transaksi!$C$2:$C$2001=$A61)*(Transaksi!$N$2:$N$2001&lt;=I$52)*(Transaksi!$O$2:$O$2001&gt;=I$52)*(Transaksi!$R$2:$R$2001&gt;=Tetapan!$E13-0.01))&gt;0,"✓",IF(SUMPRODUCT((Transaksi!$C$2:$C$2001=$A61)*(Transaksi!$N$2:$N$2001&lt;=I$52)*(Transaksi!$O$2:$O$2001&gt;=I$52)*(Transaksi!$R$2:$R$2001&gt;0))&gt;0,"½",IF(I$52&gt;TODAY(),"·","✗")))))</f>
        <v/>
      </c>
      <c r="J61" s="42">
        <f>IF($A61="","",IF(OR(J$52&lt;Tetapan!$B13,AND(Tetapan!$C13&lt;&gt;"",J$52&gt;Tetapan!$C13),Tetapan!$E13=0,J$52&gt;Tetapan!$B$27),"–",IF(SUMPRODUCT((Transaksi!$C$2:$C$2001=$A61)*(Transaksi!$N$2:$N$2001&lt;=J$52)*(Transaksi!$O$2:$O$2001&gt;=J$52)*(Transaksi!$R$2:$R$2001&gt;=Tetapan!$E13-0.01))&gt;0,"✓",IF(SUMPRODUCT((Transaksi!$C$2:$C$2001=$A61)*(Transaksi!$N$2:$N$2001&lt;=J$52)*(Transaksi!$O$2:$O$2001&gt;=J$52)*(Transaksi!$R$2:$R$2001&gt;0))&gt;0,"½",IF(J$52&gt;TODAY(),"·","✗")))))</f>
        <v/>
      </c>
      <c r="K61" s="42">
        <f>IF($A61="","",IF(OR(K$52&lt;Tetapan!$B13,AND(Tetapan!$C13&lt;&gt;"",K$52&gt;Tetapan!$C13),Tetapan!$E13=0,K$52&gt;Tetapan!$B$27),"–",IF(SUMPRODUCT((Transaksi!$C$2:$C$2001=$A61)*(Transaksi!$N$2:$N$2001&lt;=K$52)*(Transaksi!$O$2:$O$2001&gt;=K$52)*(Transaksi!$R$2:$R$2001&gt;=Tetapan!$E13-0.01))&gt;0,"✓",IF(SUMPRODUCT((Transaksi!$C$2:$C$2001=$A61)*(Transaksi!$N$2:$N$2001&lt;=K$52)*(Transaksi!$O$2:$O$2001&gt;=K$52)*(Transaksi!$R$2:$R$2001&gt;0))&gt;0,"½",IF(K$52&gt;TODAY(),"·","✗")))))</f>
        <v/>
      </c>
      <c r="L61" s="42">
        <f>IF($A61="","",IF(OR(L$52&lt;Tetapan!$B13,AND(Tetapan!$C13&lt;&gt;"",L$52&gt;Tetapan!$C13),Tetapan!$E13=0,L$52&gt;Tetapan!$B$27),"–",IF(SUMPRODUCT((Transaksi!$C$2:$C$2001=$A61)*(Transaksi!$N$2:$N$2001&lt;=L$52)*(Transaksi!$O$2:$O$2001&gt;=L$52)*(Transaksi!$R$2:$R$2001&gt;=Tetapan!$E13-0.01))&gt;0,"✓",IF(SUMPRODUCT((Transaksi!$C$2:$C$2001=$A61)*(Transaksi!$N$2:$N$2001&lt;=L$52)*(Transaksi!$O$2:$O$2001&gt;=L$52)*(Transaksi!$R$2:$R$2001&gt;0))&gt;0,"½",IF(L$52&gt;TODAY(),"·","✗")))))</f>
        <v/>
      </c>
      <c r="M61" s="42">
        <f>IF($A61="","",IF(OR(M$52&lt;Tetapan!$B13,AND(Tetapan!$C13&lt;&gt;"",M$52&gt;Tetapan!$C13),Tetapan!$E13=0,M$52&gt;Tetapan!$B$27),"–",IF(SUMPRODUCT((Transaksi!$C$2:$C$2001=$A61)*(Transaksi!$N$2:$N$2001&lt;=M$52)*(Transaksi!$O$2:$O$2001&gt;=M$52)*(Transaksi!$R$2:$R$2001&gt;=Tetapan!$E13-0.01))&gt;0,"✓",IF(SUMPRODUCT((Transaksi!$C$2:$C$2001=$A61)*(Transaksi!$N$2:$N$2001&lt;=M$52)*(Transaksi!$O$2:$O$2001&gt;=M$52)*(Transaksi!$R$2:$R$2001&gt;0))&gt;0,"½",IF(M$52&gt;TODAY(),"·","✗")))))</f>
        <v/>
      </c>
      <c r="N61" s="42">
        <f>IF($A61="","",IF(OR(N$52&lt;Tetapan!$B13,AND(Tetapan!$C13&lt;&gt;"",N$52&gt;Tetapan!$C13),Tetapan!$E13=0,N$52&gt;Tetapan!$B$27),"–",IF(SUMPRODUCT((Transaksi!$C$2:$C$2001=$A61)*(Transaksi!$N$2:$N$2001&lt;=N$52)*(Transaksi!$O$2:$O$2001&gt;=N$52)*(Transaksi!$R$2:$R$2001&gt;=Tetapan!$E13-0.01))&gt;0,"✓",IF(SUMPRODUCT((Transaksi!$C$2:$C$2001=$A61)*(Transaksi!$N$2:$N$2001&lt;=N$52)*(Transaksi!$O$2:$O$2001&gt;=N$52)*(Transaksi!$R$2:$R$2001&gt;0))&gt;0,"½",IF(N$52&gt;TODAY(),"·","✗")))))</f>
        <v/>
      </c>
      <c r="O61" s="42">
        <f>IF($A61="","",IF(OR(O$52&lt;Tetapan!$B13,AND(Tetapan!$C13&lt;&gt;"",O$52&gt;Tetapan!$C13),Tetapan!$E13=0,O$52&gt;Tetapan!$B$27),"–",IF(SUMPRODUCT((Transaksi!$C$2:$C$2001=$A61)*(Transaksi!$N$2:$N$2001&lt;=O$52)*(Transaksi!$O$2:$O$2001&gt;=O$52)*(Transaksi!$R$2:$R$2001&gt;=Tetapan!$E13-0.01))&gt;0,"✓",IF(SUMPRODUCT((Transaksi!$C$2:$C$2001=$A61)*(Transaksi!$N$2:$N$2001&lt;=O$52)*(Transaksi!$O$2:$O$2001&gt;=O$52)*(Transaksi!$R$2:$R$2001&gt;0))&gt;0,"½",IF(O$52&gt;TODAY(),"·","✗")))))</f>
        <v/>
      </c>
      <c r="P61" s="42">
        <f>IF($A61="","",IF(OR(P$52&lt;Tetapan!$B13,AND(Tetapan!$C13&lt;&gt;"",P$52&gt;Tetapan!$C13),Tetapan!$E13=0,P$52&gt;Tetapan!$B$27),"–",IF(SUMPRODUCT((Transaksi!$C$2:$C$2001=$A61)*(Transaksi!$N$2:$N$2001&lt;=P$52)*(Transaksi!$O$2:$O$2001&gt;=P$52)*(Transaksi!$R$2:$R$2001&gt;=Tetapan!$E13-0.01))&gt;0,"✓",IF(SUMPRODUCT((Transaksi!$C$2:$C$2001=$A61)*(Transaksi!$N$2:$N$2001&lt;=P$52)*(Transaksi!$O$2:$O$2001&gt;=P$52)*(Transaksi!$R$2:$R$2001&gt;0))&gt;0,"½",IF(P$52&gt;TODAY(),"·","✗")))))</f>
        <v/>
      </c>
      <c r="Q61" s="42">
        <f>IF($A61="","",IF(OR(Q$52&lt;Tetapan!$B13,AND(Tetapan!$C13&lt;&gt;"",Q$52&gt;Tetapan!$C13),Tetapan!$E13=0,Q$52&gt;Tetapan!$B$27),"–",IF(SUMPRODUCT((Transaksi!$C$2:$C$2001=$A61)*(Transaksi!$N$2:$N$2001&lt;=Q$52)*(Transaksi!$O$2:$O$2001&gt;=Q$52)*(Transaksi!$R$2:$R$2001&gt;=Tetapan!$E13-0.01))&gt;0,"✓",IF(SUMPRODUCT((Transaksi!$C$2:$C$2001=$A61)*(Transaksi!$N$2:$N$2001&lt;=Q$52)*(Transaksi!$O$2:$O$2001&gt;=Q$52)*(Transaksi!$R$2:$R$2001&gt;0))&gt;0,"½",IF(Q$52&gt;TODAY(),"·","✗")))))</f>
        <v/>
      </c>
      <c r="R61" s="42">
        <f>IF($A61="","",IF(OR(R$52&lt;Tetapan!$B13,AND(Tetapan!$C13&lt;&gt;"",R$52&gt;Tetapan!$C13),Tetapan!$E13=0,R$52&gt;Tetapan!$B$27),"–",IF(SUMPRODUCT((Transaksi!$C$2:$C$2001=$A61)*(Transaksi!$N$2:$N$2001&lt;=R$52)*(Transaksi!$O$2:$O$2001&gt;=R$52)*(Transaksi!$R$2:$R$2001&gt;=Tetapan!$E13-0.01))&gt;0,"✓",IF(SUMPRODUCT((Transaksi!$C$2:$C$2001=$A61)*(Transaksi!$N$2:$N$2001&lt;=R$52)*(Transaksi!$O$2:$O$2001&gt;=R$52)*(Transaksi!$R$2:$R$2001&gt;0))&gt;0,"½",IF(R$52&gt;TODAY(),"·","✗")))))</f>
        <v/>
      </c>
      <c r="S61" s="42">
        <f>IF($A61="","",IF(OR(S$52&lt;Tetapan!$B13,AND(Tetapan!$C13&lt;&gt;"",S$52&gt;Tetapan!$C13),Tetapan!$E13=0,S$52&gt;Tetapan!$B$27),"–",IF(SUMPRODUCT((Transaksi!$C$2:$C$2001=$A61)*(Transaksi!$N$2:$N$2001&lt;=S$52)*(Transaksi!$O$2:$O$2001&gt;=S$52)*(Transaksi!$R$2:$R$2001&gt;=Tetapan!$E13-0.01))&gt;0,"✓",IF(SUMPRODUCT((Transaksi!$C$2:$C$2001=$A61)*(Transaksi!$N$2:$N$2001&lt;=S$52)*(Transaksi!$O$2:$O$2001&gt;=S$52)*(Transaksi!$R$2:$R$2001&gt;0))&gt;0,"½",IF(S$52&gt;TODAY(),"·","✗")))))</f>
        <v/>
      </c>
      <c r="T61" s="42">
        <f>IF($A61="","",IF(OR(T$52&lt;Tetapan!$B13,AND(Tetapan!$C13&lt;&gt;"",T$52&gt;Tetapan!$C13),Tetapan!$E13=0,T$52&gt;Tetapan!$B$27),"–",IF(SUMPRODUCT((Transaksi!$C$2:$C$2001=$A61)*(Transaksi!$N$2:$N$2001&lt;=T$52)*(Transaksi!$O$2:$O$2001&gt;=T$52)*(Transaksi!$R$2:$R$2001&gt;=Tetapan!$E13-0.01))&gt;0,"✓",IF(SUMPRODUCT((Transaksi!$C$2:$C$2001=$A61)*(Transaksi!$N$2:$N$2001&lt;=T$52)*(Transaksi!$O$2:$O$2001&gt;=T$52)*(Transaksi!$R$2:$R$2001&gt;0))&gt;0,"½",IF(T$52&gt;TODAY(),"·","✗")))))</f>
        <v/>
      </c>
      <c r="W61" s="12">
        <f>IF(B61="✗",TEXT(B$52,"mmm yy")&amp;", ",IF(B61="½",TEXT(B$52,"mmm yy")&amp;" (separa), ",""))&amp;IF(C61="✗",TEXT(C$52,"mmm yy")&amp;", ",IF(C61="½",TEXT(C$52,"mmm yy")&amp;" (separa), ",""))&amp;IF(D61="✗",TEXT(D$52,"mmm yy")&amp;", ",IF(D61="½",TEXT(D$52,"mmm yy")&amp;" (separa), ",""))&amp;IF(E61="✗",TEXT(E$52,"mmm yy")&amp;", ",IF(E61="½",TEXT(E$52,"mmm yy")&amp;" (separa), ",""))&amp;IF(F61="✗",TEXT(F$52,"mmm yy")&amp;", ",IF(F61="½",TEXT(F$52,"mmm yy")&amp;" (separa), ",""))&amp;IF(G61="✗",TEXT(G$52,"mmm yy")&amp;", ",IF(G61="½",TEXT(G$52,"mmm yy")&amp;" (separa), ",""))&amp;IF(H61="✗",TEXT(H$52,"mmm yy")&amp;", ",IF(H61="½",TEXT(H$52,"mmm yy")&amp;" (separa), ",""))&amp;IF(I61="✗",TEXT(I$52,"mmm yy")&amp;", ",IF(I61="½",TEXT(I$52,"mmm yy")&amp;" (separa), ",""))&amp;IF(J61="✗",TEXT(J$52,"mmm yy")&amp;", ",IF(J61="½",TEXT(J$52,"mmm yy")&amp;" (separa), ",""))&amp;IF(K61="✗",TEXT(K$52,"mmm yy")&amp;", ",IF(K61="½",TEXT(K$52,"mmm yy")&amp;" (separa), ",""))&amp;IF(L61="✗",TEXT(L$52,"mmm yy")&amp;", ",IF(L61="½",TEXT(L$52,"mmm yy")&amp;" (separa), ",""))&amp;IF(M61="✗",TEXT(M$52,"mmm yy")&amp;", ",IF(M61="½",TEXT(M$52,"mmm yy")&amp;" (separa), ",""))&amp;IF(N61="✗",TEXT(N$52,"mmm yy")&amp;", ",IF(N61="½",TEXT(N$52,"mmm yy")&amp;" (separa), ",""))&amp;IF(O61="✗",TEXT(O$52,"mmm yy")&amp;", ",IF(O61="½",TEXT(O$52,"mmm yy")&amp;" (separa), ",""))&amp;IF(P61="✗",TEXT(P$52,"mmm yy")&amp;", ",IF(P61="½",TEXT(P$52,"mmm yy")&amp;" (separa), ",""))&amp;IF(Q61="✗",TEXT(Q$52,"mmm yy")&amp;", ",IF(Q61="½",TEXT(Q$52,"mmm yy")&amp;" (separa), ",""))&amp;IF(R61="✗",TEXT(R$52,"mmm yy")&amp;", ",IF(R61="½",TEXT(R$52,"mmm yy")&amp;" (separa), ",""))&amp;IF(S61="✗",TEXT(S$52,"mmm yy")&amp;", ",IF(S61="½",TEXT(S$52,"mmm yy")&amp;" (separa), ",""))&amp;IF(T61="✗",TEXT(T$52,"mmm yy")&amp;", ",IF(T61="½",TEXT(T$52,"mmm yy")&amp;" (separa), ",""))</f>
        <v/>
      </c>
    </row>
    <row r="62">
      <c r="A62" s="41">
        <f>IF(Tetapan!A14="","",Tetapan!A14)</f>
        <v/>
      </c>
      <c r="B62" s="42">
        <f>IF($A62="","",IF(OR(B$52&lt;Tetapan!$B14,AND(Tetapan!$C14&lt;&gt;"",B$52&gt;Tetapan!$C14),Tetapan!$E14=0,B$52&gt;Tetapan!$B$27),"–",IF(SUMPRODUCT((Transaksi!$C$2:$C$2001=$A62)*(Transaksi!$N$2:$N$2001&lt;=B$52)*(Transaksi!$O$2:$O$2001&gt;=B$52)*(Transaksi!$R$2:$R$2001&gt;=Tetapan!$E14-0.01))&gt;0,"✓",IF(SUMPRODUCT((Transaksi!$C$2:$C$2001=$A62)*(Transaksi!$N$2:$N$2001&lt;=B$52)*(Transaksi!$O$2:$O$2001&gt;=B$52)*(Transaksi!$R$2:$R$2001&gt;0))&gt;0,"½",IF(B$52&gt;TODAY(),"·","✗")))))</f>
        <v/>
      </c>
      <c r="C62" s="42">
        <f>IF($A62="","",IF(OR(C$52&lt;Tetapan!$B14,AND(Tetapan!$C14&lt;&gt;"",C$52&gt;Tetapan!$C14),Tetapan!$E14=0,C$52&gt;Tetapan!$B$27),"–",IF(SUMPRODUCT((Transaksi!$C$2:$C$2001=$A62)*(Transaksi!$N$2:$N$2001&lt;=C$52)*(Transaksi!$O$2:$O$2001&gt;=C$52)*(Transaksi!$R$2:$R$2001&gt;=Tetapan!$E14-0.01))&gt;0,"✓",IF(SUMPRODUCT((Transaksi!$C$2:$C$2001=$A62)*(Transaksi!$N$2:$N$2001&lt;=C$52)*(Transaksi!$O$2:$O$2001&gt;=C$52)*(Transaksi!$R$2:$R$2001&gt;0))&gt;0,"½",IF(C$52&gt;TODAY(),"·","✗")))))</f>
        <v/>
      </c>
      <c r="D62" s="42">
        <f>IF($A62="","",IF(OR(D$52&lt;Tetapan!$B14,AND(Tetapan!$C14&lt;&gt;"",D$52&gt;Tetapan!$C14),Tetapan!$E14=0,D$52&gt;Tetapan!$B$27),"–",IF(SUMPRODUCT((Transaksi!$C$2:$C$2001=$A62)*(Transaksi!$N$2:$N$2001&lt;=D$52)*(Transaksi!$O$2:$O$2001&gt;=D$52)*(Transaksi!$R$2:$R$2001&gt;=Tetapan!$E14-0.01))&gt;0,"✓",IF(SUMPRODUCT((Transaksi!$C$2:$C$2001=$A62)*(Transaksi!$N$2:$N$2001&lt;=D$52)*(Transaksi!$O$2:$O$2001&gt;=D$52)*(Transaksi!$R$2:$R$2001&gt;0))&gt;0,"½",IF(D$52&gt;TODAY(),"·","✗")))))</f>
        <v/>
      </c>
      <c r="E62" s="42">
        <f>IF($A62="","",IF(OR(E$52&lt;Tetapan!$B14,AND(Tetapan!$C14&lt;&gt;"",E$52&gt;Tetapan!$C14),Tetapan!$E14=0,E$52&gt;Tetapan!$B$27),"–",IF(SUMPRODUCT((Transaksi!$C$2:$C$2001=$A62)*(Transaksi!$N$2:$N$2001&lt;=E$52)*(Transaksi!$O$2:$O$2001&gt;=E$52)*(Transaksi!$R$2:$R$2001&gt;=Tetapan!$E14-0.01))&gt;0,"✓",IF(SUMPRODUCT((Transaksi!$C$2:$C$2001=$A62)*(Transaksi!$N$2:$N$2001&lt;=E$52)*(Transaksi!$O$2:$O$2001&gt;=E$52)*(Transaksi!$R$2:$R$2001&gt;0))&gt;0,"½",IF(E$52&gt;TODAY(),"·","✗")))))</f>
        <v/>
      </c>
      <c r="F62" s="42">
        <f>IF($A62="","",IF(OR(F$52&lt;Tetapan!$B14,AND(Tetapan!$C14&lt;&gt;"",F$52&gt;Tetapan!$C14),Tetapan!$E14=0,F$52&gt;Tetapan!$B$27),"–",IF(SUMPRODUCT((Transaksi!$C$2:$C$2001=$A62)*(Transaksi!$N$2:$N$2001&lt;=F$52)*(Transaksi!$O$2:$O$2001&gt;=F$52)*(Transaksi!$R$2:$R$2001&gt;=Tetapan!$E14-0.01))&gt;0,"✓",IF(SUMPRODUCT((Transaksi!$C$2:$C$2001=$A62)*(Transaksi!$N$2:$N$2001&lt;=F$52)*(Transaksi!$O$2:$O$2001&gt;=F$52)*(Transaksi!$R$2:$R$2001&gt;0))&gt;0,"½",IF(F$52&gt;TODAY(),"·","✗")))))</f>
        <v/>
      </c>
      <c r="G62" s="42">
        <f>IF($A62="","",IF(OR(G$52&lt;Tetapan!$B14,AND(Tetapan!$C14&lt;&gt;"",G$52&gt;Tetapan!$C14),Tetapan!$E14=0,G$52&gt;Tetapan!$B$27),"–",IF(SUMPRODUCT((Transaksi!$C$2:$C$2001=$A62)*(Transaksi!$N$2:$N$2001&lt;=G$52)*(Transaksi!$O$2:$O$2001&gt;=G$52)*(Transaksi!$R$2:$R$2001&gt;=Tetapan!$E14-0.01))&gt;0,"✓",IF(SUMPRODUCT((Transaksi!$C$2:$C$2001=$A62)*(Transaksi!$N$2:$N$2001&lt;=G$52)*(Transaksi!$O$2:$O$2001&gt;=G$52)*(Transaksi!$R$2:$R$2001&gt;0))&gt;0,"½",IF(G$52&gt;TODAY(),"·","✗")))))</f>
        <v/>
      </c>
      <c r="H62" s="42">
        <f>IF($A62="","",IF(OR(H$52&lt;Tetapan!$B14,AND(Tetapan!$C14&lt;&gt;"",H$52&gt;Tetapan!$C14),Tetapan!$E14=0,H$52&gt;Tetapan!$B$27),"–",IF(SUMPRODUCT((Transaksi!$C$2:$C$2001=$A62)*(Transaksi!$N$2:$N$2001&lt;=H$52)*(Transaksi!$O$2:$O$2001&gt;=H$52)*(Transaksi!$R$2:$R$2001&gt;=Tetapan!$E14-0.01))&gt;0,"✓",IF(SUMPRODUCT((Transaksi!$C$2:$C$2001=$A62)*(Transaksi!$N$2:$N$2001&lt;=H$52)*(Transaksi!$O$2:$O$2001&gt;=H$52)*(Transaksi!$R$2:$R$2001&gt;0))&gt;0,"½",IF(H$52&gt;TODAY(),"·","✗")))))</f>
        <v/>
      </c>
      <c r="I62" s="42">
        <f>IF($A62="","",IF(OR(I$52&lt;Tetapan!$B14,AND(Tetapan!$C14&lt;&gt;"",I$52&gt;Tetapan!$C14),Tetapan!$E14=0,I$52&gt;Tetapan!$B$27),"–",IF(SUMPRODUCT((Transaksi!$C$2:$C$2001=$A62)*(Transaksi!$N$2:$N$2001&lt;=I$52)*(Transaksi!$O$2:$O$2001&gt;=I$52)*(Transaksi!$R$2:$R$2001&gt;=Tetapan!$E14-0.01))&gt;0,"✓",IF(SUMPRODUCT((Transaksi!$C$2:$C$2001=$A62)*(Transaksi!$N$2:$N$2001&lt;=I$52)*(Transaksi!$O$2:$O$2001&gt;=I$52)*(Transaksi!$R$2:$R$2001&gt;0))&gt;0,"½",IF(I$52&gt;TODAY(),"·","✗")))))</f>
        <v/>
      </c>
      <c r="J62" s="42">
        <f>IF($A62="","",IF(OR(J$52&lt;Tetapan!$B14,AND(Tetapan!$C14&lt;&gt;"",J$52&gt;Tetapan!$C14),Tetapan!$E14=0,J$52&gt;Tetapan!$B$27),"–",IF(SUMPRODUCT((Transaksi!$C$2:$C$2001=$A62)*(Transaksi!$N$2:$N$2001&lt;=J$52)*(Transaksi!$O$2:$O$2001&gt;=J$52)*(Transaksi!$R$2:$R$2001&gt;=Tetapan!$E14-0.01))&gt;0,"✓",IF(SUMPRODUCT((Transaksi!$C$2:$C$2001=$A62)*(Transaksi!$N$2:$N$2001&lt;=J$52)*(Transaksi!$O$2:$O$2001&gt;=J$52)*(Transaksi!$R$2:$R$2001&gt;0))&gt;0,"½",IF(J$52&gt;TODAY(),"·","✗")))))</f>
        <v/>
      </c>
      <c r="K62" s="42">
        <f>IF($A62="","",IF(OR(K$52&lt;Tetapan!$B14,AND(Tetapan!$C14&lt;&gt;"",K$52&gt;Tetapan!$C14),Tetapan!$E14=0,K$52&gt;Tetapan!$B$27),"–",IF(SUMPRODUCT((Transaksi!$C$2:$C$2001=$A62)*(Transaksi!$N$2:$N$2001&lt;=K$52)*(Transaksi!$O$2:$O$2001&gt;=K$52)*(Transaksi!$R$2:$R$2001&gt;=Tetapan!$E14-0.01))&gt;0,"✓",IF(SUMPRODUCT((Transaksi!$C$2:$C$2001=$A62)*(Transaksi!$N$2:$N$2001&lt;=K$52)*(Transaksi!$O$2:$O$2001&gt;=K$52)*(Transaksi!$R$2:$R$2001&gt;0))&gt;0,"½",IF(K$52&gt;TODAY(),"·","✗")))))</f>
        <v/>
      </c>
      <c r="L62" s="42">
        <f>IF($A62="","",IF(OR(L$52&lt;Tetapan!$B14,AND(Tetapan!$C14&lt;&gt;"",L$52&gt;Tetapan!$C14),Tetapan!$E14=0,L$52&gt;Tetapan!$B$27),"–",IF(SUMPRODUCT((Transaksi!$C$2:$C$2001=$A62)*(Transaksi!$N$2:$N$2001&lt;=L$52)*(Transaksi!$O$2:$O$2001&gt;=L$52)*(Transaksi!$R$2:$R$2001&gt;=Tetapan!$E14-0.01))&gt;0,"✓",IF(SUMPRODUCT((Transaksi!$C$2:$C$2001=$A62)*(Transaksi!$N$2:$N$2001&lt;=L$52)*(Transaksi!$O$2:$O$2001&gt;=L$52)*(Transaksi!$R$2:$R$2001&gt;0))&gt;0,"½",IF(L$52&gt;TODAY(),"·","✗")))))</f>
        <v/>
      </c>
      <c r="M62" s="42">
        <f>IF($A62="","",IF(OR(M$52&lt;Tetapan!$B14,AND(Tetapan!$C14&lt;&gt;"",M$52&gt;Tetapan!$C14),Tetapan!$E14=0,M$52&gt;Tetapan!$B$27),"–",IF(SUMPRODUCT((Transaksi!$C$2:$C$2001=$A62)*(Transaksi!$N$2:$N$2001&lt;=M$52)*(Transaksi!$O$2:$O$2001&gt;=M$52)*(Transaksi!$R$2:$R$2001&gt;=Tetapan!$E14-0.01))&gt;0,"✓",IF(SUMPRODUCT((Transaksi!$C$2:$C$2001=$A62)*(Transaksi!$N$2:$N$2001&lt;=M$52)*(Transaksi!$O$2:$O$2001&gt;=M$52)*(Transaksi!$R$2:$R$2001&gt;0))&gt;0,"½",IF(M$52&gt;TODAY(),"·","✗")))))</f>
        <v/>
      </c>
      <c r="N62" s="42">
        <f>IF($A62="","",IF(OR(N$52&lt;Tetapan!$B14,AND(Tetapan!$C14&lt;&gt;"",N$52&gt;Tetapan!$C14),Tetapan!$E14=0,N$52&gt;Tetapan!$B$27),"–",IF(SUMPRODUCT((Transaksi!$C$2:$C$2001=$A62)*(Transaksi!$N$2:$N$2001&lt;=N$52)*(Transaksi!$O$2:$O$2001&gt;=N$52)*(Transaksi!$R$2:$R$2001&gt;=Tetapan!$E14-0.01))&gt;0,"✓",IF(SUMPRODUCT((Transaksi!$C$2:$C$2001=$A62)*(Transaksi!$N$2:$N$2001&lt;=N$52)*(Transaksi!$O$2:$O$2001&gt;=N$52)*(Transaksi!$R$2:$R$2001&gt;0))&gt;0,"½",IF(N$52&gt;TODAY(),"·","✗")))))</f>
        <v/>
      </c>
      <c r="O62" s="42">
        <f>IF($A62="","",IF(OR(O$52&lt;Tetapan!$B14,AND(Tetapan!$C14&lt;&gt;"",O$52&gt;Tetapan!$C14),Tetapan!$E14=0,O$52&gt;Tetapan!$B$27),"–",IF(SUMPRODUCT((Transaksi!$C$2:$C$2001=$A62)*(Transaksi!$N$2:$N$2001&lt;=O$52)*(Transaksi!$O$2:$O$2001&gt;=O$52)*(Transaksi!$R$2:$R$2001&gt;=Tetapan!$E14-0.01))&gt;0,"✓",IF(SUMPRODUCT((Transaksi!$C$2:$C$2001=$A62)*(Transaksi!$N$2:$N$2001&lt;=O$52)*(Transaksi!$O$2:$O$2001&gt;=O$52)*(Transaksi!$R$2:$R$2001&gt;0))&gt;0,"½",IF(O$52&gt;TODAY(),"·","✗")))))</f>
        <v/>
      </c>
      <c r="P62" s="42">
        <f>IF($A62="","",IF(OR(P$52&lt;Tetapan!$B14,AND(Tetapan!$C14&lt;&gt;"",P$52&gt;Tetapan!$C14),Tetapan!$E14=0,P$52&gt;Tetapan!$B$27),"–",IF(SUMPRODUCT((Transaksi!$C$2:$C$2001=$A62)*(Transaksi!$N$2:$N$2001&lt;=P$52)*(Transaksi!$O$2:$O$2001&gt;=P$52)*(Transaksi!$R$2:$R$2001&gt;=Tetapan!$E14-0.01))&gt;0,"✓",IF(SUMPRODUCT((Transaksi!$C$2:$C$2001=$A62)*(Transaksi!$N$2:$N$2001&lt;=P$52)*(Transaksi!$O$2:$O$2001&gt;=P$52)*(Transaksi!$R$2:$R$2001&gt;0))&gt;0,"½",IF(P$52&gt;TODAY(),"·","✗")))))</f>
        <v/>
      </c>
      <c r="Q62" s="42">
        <f>IF($A62="","",IF(OR(Q$52&lt;Tetapan!$B14,AND(Tetapan!$C14&lt;&gt;"",Q$52&gt;Tetapan!$C14),Tetapan!$E14=0,Q$52&gt;Tetapan!$B$27),"–",IF(SUMPRODUCT((Transaksi!$C$2:$C$2001=$A62)*(Transaksi!$N$2:$N$2001&lt;=Q$52)*(Transaksi!$O$2:$O$2001&gt;=Q$52)*(Transaksi!$R$2:$R$2001&gt;=Tetapan!$E14-0.01))&gt;0,"✓",IF(SUMPRODUCT((Transaksi!$C$2:$C$2001=$A62)*(Transaksi!$N$2:$N$2001&lt;=Q$52)*(Transaksi!$O$2:$O$2001&gt;=Q$52)*(Transaksi!$R$2:$R$2001&gt;0))&gt;0,"½",IF(Q$52&gt;TODAY(),"·","✗")))))</f>
        <v/>
      </c>
      <c r="R62" s="42">
        <f>IF($A62="","",IF(OR(R$52&lt;Tetapan!$B14,AND(Tetapan!$C14&lt;&gt;"",R$52&gt;Tetapan!$C14),Tetapan!$E14=0,R$52&gt;Tetapan!$B$27),"–",IF(SUMPRODUCT((Transaksi!$C$2:$C$2001=$A62)*(Transaksi!$N$2:$N$2001&lt;=R$52)*(Transaksi!$O$2:$O$2001&gt;=R$52)*(Transaksi!$R$2:$R$2001&gt;=Tetapan!$E14-0.01))&gt;0,"✓",IF(SUMPRODUCT((Transaksi!$C$2:$C$2001=$A62)*(Transaksi!$N$2:$N$2001&lt;=R$52)*(Transaksi!$O$2:$O$2001&gt;=R$52)*(Transaksi!$R$2:$R$2001&gt;0))&gt;0,"½",IF(R$52&gt;TODAY(),"·","✗")))))</f>
        <v/>
      </c>
      <c r="S62" s="42">
        <f>IF($A62="","",IF(OR(S$52&lt;Tetapan!$B14,AND(Tetapan!$C14&lt;&gt;"",S$52&gt;Tetapan!$C14),Tetapan!$E14=0,S$52&gt;Tetapan!$B$27),"–",IF(SUMPRODUCT((Transaksi!$C$2:$C$2001=$A62)*(Transaksi!$N$2:$N$2001&lt;=S$52)*(Transaksi!$O$2:$O$2001&gt;=S$52)*(Transaksi!$R$2:$R$2001&gt;=Tetapan!$E14-0.01))&gt;0,"✓",IF(SUMPRODUCT((Transaksi!$C$2:$C$2001=$A62)*(Transaksi!$N$2:$N$2001&lt;=S$52)*(Transaksi!$O$2:$O$2001&gt;=S$52)*(Transaksi!$R$2:$R$2001&gt;0))&gt;0,"½",IF(S$52&gt;TODAY(),"·","✗")))))</f>
        <v/>
      </c>
      <c r="T62" s="42">
        <f>IF($A62="","",IF(OR(T$52&lt;Tetapan!$B14,AND(Tetapan!$C14&lt;&gt;"",T$52&gt;Tetapan!$C14),Tetapan!$E14=0,T$52&gt;Tetapan!$B$27),"–",IF(SUMPRODUCT((Transaksi!$C$2:$C$2001=$A62)*(Transaksi!$N$2:$N$2001&lt;=T$52)*(Transaksi!$O$2:$O$2001&gt;=T$52)*(Transaksi!$R$2:$R$2001&gt;=Tetapan!$E14-0.01))&gt;0,"✓",IF(SUMPRODUCT((Transaksi!$C$2:$C$2001=$A62)*(Transaksi!$N$2:$N$2001&lt;=T$52)*(Transaksi!$O$2:$O$2001&gt;=T$52)*(Transaksi!$R$2:$R$2001&gt;0))&gt;0,"½",IF(T$52&gt;TODAY(),"·","✗")))))</f>
        <v/>
      </c>
      <c r="W62" s="12">
        <f>IF(B62="✗",TEXT(B$52,"mmm yy")&amp;", ",IF(B62="½",TEXT(B$52,"mmm yy")&amp;" (separa), ",""))&amp;IF(C62="✗",TEXT(C$52,"mmm yy")&amp;", ",IF(C62="½",TEXT(C$52,"mmm yy")&amp;" (separa), ",""))&amp;IF(D62="✗",TEXT(D$52,"mmm yy")&amp;", ",IF(D62="½",TEXT(D$52,"mmm yy")&amp;" (separa), ",""))&amp;IF(E62="✗",TEXT(E$52,"mmm yy")&amp;", ",IF(E62="½",TEXT(E$52,"mmm yy")&amp;" (separa), ",""))&amp;IF(F62="✗",TEXT(F$52,"mmm yy")&amp;", ",IF(F62="½",TEXT(F$52,"mmm yy")&amp;" (separa), ",""))&amp;IF(G62="✗",TEXT(G$52,"mmm yy")&amp;", ",IF(G62="½",TEXT(G$52,"mmm yy")&amp;" (separa), ",""))&amp;IF(H62="✗",TEXT(H$52,"mmm yy")&amp;", ",IF(H62="½",TEXT(H$52,"mmm yy")&amp;" (separa), ",""))&amp;IF(I62="✗",TEXT(I$52,"mmm yy")&amp;", ",IF(I62="½",TEXT(I$52,"mmm yy")&amp;" (separa), ",""))&amp;IF(J62="✗",TEXT(J$52,"mmm yy")&amp;", ",IF(J62="½",TEXT(J$52,"mmm yy")&amp;" (separa), ",""))&amp;IF(K62="✗",TEXT(K$52,"mmm yy")&amp;", ",IF(K62="½",TEXT(K$52,"mmm yy")&amp;" (separa), ",""))&amp;IF(L62="✗",TEXT(L$52,"mmm yy")&amp;", ",IF(L62="½",TEXT(L$52,"mmm yy")&amp;" (separa), ",""))&amp;IF(M62="✗",TEXT(M$52,"mmm yy")&amp;", ",IF(M62="½",TEXT(M$52,"mmm yy")&amp;" (separa), ",""))&amp;IF(N62="✗",TEXT(N$52,"mmm yy")&amp;", ",IF(N62="½",TEXT(N$52,"mmm yy")&amp;" (separa), ",""))&amp;IF(O62="✗",TEXT(O$52,"mmm yy")&amp;", ",IF(O62="½",TEXT(O$52,"mmm yy")&amp;" (separa), ",""))&amp;IF(P62="✗",TEXT(P$52,"mmm yy")&amp;", ",IF(P62="½",TEXT(P$52,"mmm yy")&amp;" (separa), ",""))&amp;IF(Q62="✗",TEXT(Q$52,"mmm yy")&amp;", ",IF(Q62="½",TEXT(Q$52,"mmm yy")&amp;" (separa), ",""))&amp;IF(R62="✗",TEXT(R$52,"mmm yy")&amp;", ",IF(R62="½",TEXT(R$52,"mmm yy")&amp;" (separa), ",""))&amp;IF(S62="✗",TEXT(S$52,"mmm yy")&amp;", ",IF(S62="½",TEXT(S$52,"mmm yy")&amp;" (separa), ",""))&amp;IF(T62="✗",TEXT(T$52,"mmm yy")&amp;", ",IF(T62="½",TEXT(T$52,"mmm yy")&amp;" (separa), ",""))</f>
        <v/>
      </c>
    </row>
    <row r="63">
      <c r="A63" s="41">
        <f>IF(Tetapan!A15="","",Tetapan!A15)</f>
        <v/>
      </c>
      <c r="B63" s="42">
        <f>IF($A63="","",IF(OR(B$52&lt;Tetapan!$B15,AND(Tetapan!$C15&lt;&gt;"",B$52&gt;Tetapan!$C15),Tetapan!$E15=0,B$52&gt;Tetapan!$B$27),"–",IF(SUMPRODUCT((Transaksi!$C$2:$C$2001=$A63)*(Transaksi!$N$2:$N$2001&lt;=B$52)*(Transaksi!$O$2:$O$2001&gt;=B$52)*(Transaksi!$R$2:$R$2001&gt;=Tetapan!$E15-0.01))&gt;0,"✓",IF(SUMPRODUCT((Transaksi!$C$2:$C$2001=$A63)*(Transaksi!$N$2:$N$2001&lt;=B$52)*(Transaksi!$O$2:$O$2001&gt;=B$52)*(Transaksi!$R$2:$R$2001&gt;0))&gt;0,"½",IF(B$52&gt;TODAY(),"·","✗")))))</f>
        <v/>
      </c>
      <c r="C63" s="42">
        <f>IF($A63="","",IF(OR(C$52&lt;Tetapan!$B15,AND(Tetapan!$C15&lt;&gt;"",C$52&gt;Tetapan!$C15),Tetapan!$E15=0,C$52&gt;Tetapan!$B$27),"–",IF(SUMPRODUCT((Transaksi!$C$2:$C$2001=$A63)*(Transaksi!$N$2:$N$2001&lt;=C$52)*(Transaksi!$O$2:$O$2001&gt;=C$52)*(Transaksi!$R$2:$R$2001&gt;=Tetapan!$E15-0.01))&gt;0,"✓",IF(SUMPRODUCT((Transaksi!$C$2:$C$2001=$A63)*(Transaksi!$N$2:$N$2001&lt;=C$52)*(Transaksi!$O$2:$O$2001&gt;=C$52)*(Transaksi!$R$2:$R$2001&gt;0))&gt;0,"½",IF(C$52&gt;TODAY(),"·","✗")))))</f>
        <v/>
      </c>
      <c r="D63" s="42">
        <f>IF($A63="","",IF(OR(D$52&lt;Tetapan!$B15,AND(Tetapan!$C15&lt;&gt;"",D$52&gt;Tetapan!$C15),Tetapan!$E15=0,D$52&gt;Tetapan!$B$27),"–",IF(SUMPRODUCT((Transaksi!$C$2:$C$2001=$A63)*(Transaksi!$N$2:$N$2001&lt;=D$52)*(Transaksi!$O$2:$O$2001&gt;=D$52)*(Transaksi!$R$2:$R$2001&gt;=Tetapan!$E15-0.01))&gt;0,"✓",IF(SUMPRODUCT((Transaksi!$C$2:$C$2001=$A63)*(Transaksi!$N$2:$N$2001&lt;=D$52)*(Transaksi!$O$2:$O$2001&gt;=D$52)*(Transaksi!$R$2:$R$2001&gt;0))&gt;0,"½",IF(D$52&gt;TODAY(),"·","✗")))))</f>
        <v/>
      </c>
      <c r="E63" s="42">
        <f>IF($A63="","",IF(OR(E$52&lt;Tetapan!$B15,AND(Tetapan!$C15&lt;&gt;"",E$52&gt;Tetapan!$C15),Tetapan!$E15=0,E$52&gt;Tetapan!$B$27),"–",IF(SUMPRODUCT((Transaksi!$C$2:$C$2001=$A63)*(Transaksi!$N$2:$N$2001&lt;=E$52)*(Transaksi!$O$2:$O$2001&gt;=E$52)*(Transaksi!$R$2:$R$2001&gt;=Tetapan!$E15-0.01))&gt;0,"✓",IF(SUMPRODUCT((Transaksi!$C$2:$C$2001=$A63)*(Transaksi!$N$2:$N$2001&lt;=E$52)*(Transaksi!$O$2:$O$2001&gt;=E$52)*(Transaksi!$R$2:$R$2001&gt;0))&gt;0,"½",IF(E$52&gt;TODAY(),"·","✗")))))</f>
        <v/>
      </c>
      <c r="F63" s="42">
        <f>IF($A63="","",IF(OR(F$52&lt;Tetapan!$B15,AND(Tetapan!$C15&lt;&gt;"",F$52&gt;Tetapan!$C15),Tetapan!$E15=0,F$52&gt;Tetapan!$B$27),"–",IF(SUMPRODUCT((Transaksi!$C$2:$C$2001=$A63)*(Transaksi!$N$2:$N$2001&lt;=F$52)*(Transaksi!$O$2:$O$2001&gt;=F$52)*(Transaksi!$R$2:$R$2001&gt;=Tetapan!$E15-0.01))&gt;0,"✓",IF(SUMPRODUCT((Transaksi!$C$2:$C$2001=$A63)*(Transaksi!$N$2:$N$2001&lt;=F$52)*(Transaksi!$O$2:$O$2001&gt;=F$52)*(Transaksi!$R$2:$R$2001&gt;0))&gt;0,"½",IF(F$52&gt;TODAY(),"·","✗")))))</f>
        <v/>
      </c>
      <c r="G63" s="42">
        <f>IF($A63="","",IF(OR(G$52&lt;Tetapan!$B15,AND(Tetapan!$C15&lt;&gt;"",G$52&gt;Tetapan!$C15),Tetapan!$E15=0,G$52&gt;Tetapan!$B$27),"–",IF(SUMPRODUCT((Transaksi!$C$2:$C$2001=$A63)*(Transaksi!$N$2:$N$2001&lt;=G$52)*(Transaksi!$O$2:$O$2001&gt;=G$52)*(Transaksi!$R$2:$R$2001&gt;=Tetapan!$E15-0.01))&gt;0,"✓",IF(SUMPRODUCT((Transaksi!$C$2:$C$2001=$A63)*(Transaksi!$N$2:$N$2001&lt;=G$52)*(Transaksi!$O$2:$O$2001&gt;=G$52)*(Transaksi!$R$2:$R$2001&gt;0))&gt;0,"½",IF(G$52&gt;TODAY(),"·","✗")))))</f>
        <v/>
      </c>
      <c r="H63" s="42">
        <f>IF($A63="","",IF(OR(H$52&lt;Tetapan!$B15,AND(Tetapan!$C15&lt;&gt;"",H$52&gt;Tetapan!$C15),Tetapan!$E15=0,H$52&gt;Tetapan!$B$27),"–",IF(SUMPRODUCT((Transaksi!$C$2:$C$2001=$A63)*(Transaksi!$N$2:$N$2001&lt;=H$52)*(Transaksi!$O$2:$O$2001&gt;=H$52)*(Transaksi!$R$2:$R$2001&gt;=Tetapan!$E15-0.01))&gt;0,"✓",IF(SUMPRODUCT((Transaksi!$C$2:$C$2001=$A63)*(Transaksi!$N$2:$N$2001&lt;=H$52)*(Transaksi!$O$2:$O$2001&gt;=H$52)*(Transaksi!$R$2:$R$2001&gt;0))&gt;0,"½",IF(H$52&gt;TODAY(),"·","✗")))))</f>
        <v/>
      </c>
      <c r="I63" s="42">
        <f>IF($A63="","",IF(OR(I$52&lt;Tetapan!$B15,AND(Tetapan!$C15&lt;&gt;"",I$52&gt;Tetapan!$C15),Tetapan!$E15=0,I$52&gt;Tetapan!$B$27),"–",IF(SUMPRODUCT((Transaksi!$C$2:$C$2001=$A63)*(Transaksi!$N$2:$N$2001&lt;=I$52)*(Transaksi!$O$2:$O$2001&gt;=I$52)*(Transaksi!$R$2:$R$2001&gt;=Tetapan!$E15-0.01))&gt;0,"✓",IF(SUMPRODUCT((Transaksi!$C$2:$C$2001=$A63)*(Transaksi!$N$2:$N$2001&lt;=I$52)*(Transaksi!$O$2:$O$2001&gt;=I$52)*(Transaksi!$R$2:$R$2001&gt;0))&gt;0,"½",IF(I$52&gt;TODAY(),"·","✗")))))</f>
        <v/>
      </c>
      <c r="J63" s="42">
        <f>IF($A63="","",IF(OR(J$52&lt;Tetapan!$B15,AND(Tetapan!$C15&lt;&gt;"",J$52&gt;Tetapan!$C15),Tetapan!$E15=0,J$52&gt;Tetapan!$B$27),"–",IF(SUMPRODUCT((Transaksi!$C$2:$C$2001=$A63)*(Transaksi!$N$2:$N$2001&lt;=J$52)*(Transaksi!$O$2:$O$2001&gt;=J$52)*(Transaksi!$R$2:$R$2001&gt;=Tetapan!$E15-0.01))&gt;0,"✓",IF(SUMPRODUCT((Transaksi!$C$2:$C$2001=$A63)*(Transaksi!$N$2:$N$2001&lt;=J$52)*(Transaksi!$O$2:$O$2001&gt;=J$52)*(Transaksi!$R$2:$R$2001&gt;0))&gt;0,"½",IF(J$52&gt;TODAY(),"·","✗")))))</f>
        <v/>
      </c>
      <c r="K63" s="42">
        <f>IF($A63="","",IF(OR(K$52&lt;Tetapan!$B15,AND(Tetapan!$C15&lt;&gt;"",K$52&gt;Tetapan!$C15),Tetapan!$E15=0,K$52&gt;Tetapan!$B$27),"–",IF(SUMPRODUCT((Transaksi!$C$2:$C$2001=$A63)*(Transaksi!$N$2:$N$2001&lt;=K$52)*(Transaksi!$O$2:$O$2001&gt;=K$52)*(Transaksi!$R$2:$R$2001&gt;=Tetapan!$E15-0.01))&gt;0,"✓",IF(SUMPRODUCT((Transaksi!$C$2:$C$2001=$A63)*(Transaksi!$N$2:$N$2001&lt;=K$52)*(Transaksi!$O$2:$O$2001&gt;=K$52)*(Transaksi!$R$2:$R$2001&gt;0))&gt;0,"½",IF(K$52&gt;TODAY(),"·","✗")))))</f>
        <v/>
      </c>
      <c r="L63" s="42">
        <f>IF($A63="","",IF(OR(L$52&lt;Tetapan!$B15,AND(Tetapan!$C15&lt;&gt;"",L$52&gt;Tetapan!$C15),Tetapan!$E15=0,L$52&gt;Tetapan!$B$27),"–",IF(SUMPRODUCT((Transaksi!$C$2:$C$2001=$A63)*(Transaksi!$N$2:$N$2001&lt;=L$52)*(Transaksi!$O$2:$O$2001&gt;=L$52)*(Transaksi!$R$2:$R$2001&gt;=Tetapan!$E15-0.01))&gt;0,"✓",IF(SUMPRODUCT((Transaksi!$C$2:$C$2001=$A63)*(Transaksi!$N$2:$N$2001&lt;=L$52)*(Transaksi!$O$2:$O$2001&gt;=L$52)*(Transaksi!$R$2:$R$2001&gt;0))&gt;0,"½",IF(L$52&gt;TODAY(),"·","✗")))))</f>
        <v/>
      </c>
      <c r="M63" s="42">
        <f>IF($A63="","",IF(OR(M$52&lt;Tetapan!$B15,AND(Tetapan!$C15&lt;&gt;"",M$52&gt;Tetapan!$C15),Tetapan!$E15=0,M$52&gt;Tetapan!$B$27),"–",IF(SUMPRODUCT((Transaksi!$C$2:$C$2001=$A63)*(Transaksi!$N$2:$N$2001&lt;=M$52)*(Transaksi!$O$2:$O$2001&gt;=M$52)*(Transaksi!$R$2:$R$2001&gt;=Tetapan!$E15-0.01))&gt;0,"✓",IF(SUMPRODUCT((Transaksi!$C$2:$C$2001=$A63)*(Transaksi!$N$2:$N$2001&lt;=M$52)*(Transaksi!$O$2:$O$2001&gt;=M$52)*(Transaksi!$R$2:$R$2001&gt;0))&gt;0,"½",IF(M$52&gt;TODAY(),"·","✗")))))</f>
        <v/>
      </c>
      <c r="N63" s="42">
        <f>IF($A63="","",IF(OR(N$52&lt;Tetapan!$B15,AND(Tetapan!$C15&lt;&gt;"",N$52&gt;Tetapan!$C15),Tetapan!$E15=0,N$52&gt;Tetapan!$B$27),"–",IF(SUMPRODUCT((Transaksi!$C$2:$C$2001=$A63)*(Transaksi!$N$2:$N$2001&lt;=N$52)*(Transaksi!$O$2:$O$2001&gt;=N$52)*(Transaksi!$R$2:$R$2001&gt;=Tetapan!$E15-0.01))&gt;0,"✓",IF(SUMPRODUCT((Transaksi!$C$2:$C$2001=$A63)*(Transaksi!$N$2:$N$2001&lt;=N$52)*(Transaksi!$O$2:$O$2001&gt;=N$52)*(Transaksi!$R$2:$R$2001&gt;0))&gt;0,"½",IF(N$52&gt;TODAY(),"·","✗")))))</f>
        <v/>
      </c>
      <c r="O63" s="42">
        <f>IF($A63="","",IF(OR(O$52&lt;Tetapan!$B15,AND(Tetapan!$C15&lt;&gt;"",O$52&gt;Tetapan!$C15),Tetapan!$E15=0,O$52&gt;Tetapan!$B$27),"–",IF(SUMPRODUCT((Transaksi!$C$2:$C$2001=$A63)*(Transaksi!$N$2:$N$2001&lt;=O$52)*(Transaksi!$O$2:$O$2001&gt;=O$52)*(Transaksi!$R$2:$R$2001&gt;=Tetapan!$E15-0.01))&gt;0,"✓",IF(SUMPRODUCT((Transaksi!$C$2:$C$2001=$A63)*(Transaksi!$N$2:$N$2001&lt;=O$52)*(Transaksi!$O$2:$O$2001&gt;=O$52)*(Transaksi!$R$2:$R$2001&gt;0))&gt;0,"½",IF(O$52&gt;TODAY(),"·","✗")))))</f>
        <v/>
      </c>
      <c r="P63" s="42">
        <f>IF($A63="","",IF(OR(P$52&lt;Tetapan!$B15,AND(Tetapan!$C15&lt;&gt;"",P$52&gt;Tetapan!$C15),Tetapan!$E15=0,P$52&gt;Tetapan!$B$27),"–",IF(SUMPRODUCT((Transaksi!$C$2:$C$2001=$A63)*(Transaksi!$N$2:$N$2001&lt;=P$52)*(Transaksi!$O$2:$O$2001&gt;=P$52)*(Transaksi!$R$2:$R$2001&gt;=Tetapan!$E15-0.01))&gt;0,"✓",IF(SUMPRODUCT((Transaksi!$C$2:$C$2001=$A63)*(Transaksi!$N$2:$N$2001&lt;=P$52)*(Transaksi!$O$2:$O$2001&gt;=P$52)*(Transaksi!$R$2:$R$2001&gt;0))&gt;0,"½",IF(P$52&gt;TODAY(),"·","✗")))))</f>
        <v/>
      </c>
      <c r="Q63" s="42">
        <f>IF($A63="","",IF(OR(Q$52&lt;Tetapan!$B15,AND(Tetapan!$C15&lt;&gt;"",Q$52&gt;Tetapan!$C15),Tetapan!$E15=0,Q$52&gt;Tetapan!$B$27),"–",IF(SUMPRODUCT((Transaksi!$C$2:$C$2001=$A63)*(Transaksi!$N$2:$N$2001&lt;=Q$52)*(Transaksi!$O$2:$O$2001&gt;=Q$52)*(Transaksi!$R$2:$R$2001&gt;=Tetapan!$E15-0.01))&gt;0,"✓",IF(SUMPRODUCT((Transaksi!$C$2:$C$2001=$A63)*(Transaksi!$N$2:$N$2001&lt;=Q$52)*(Transaksi!$O$2:$O$2001&gt;=Q$52)*(Transaksi!$R$2:$R$2001&gt;0))&gt;0,"½",IF(Q$52&gt;TODAY(),"·","✗")))))</f>
        <v/>
      </c>
      <c r="R63" s="42">
        <f>IF($A63="","",IF(OR(R$52&lt;Tetapan!$B15,AND(Tetapan!$C15&lt;&gt;"",R$52&gt;Tetapan!$C15),Tetapan!$E15=0,R$52&gt;Tetapan!$B$27),"–",IF(SUMPRODUCT((Transaksi!$C$2:$C$2001=$A63)*(Transaksi!$N$2:$N$2001&lt;=R$52)*(Transaksi!$O$2:$O$2001&gt;=R$52)*(Transaksi!$R$2:$R$2001&gt;=Tetapan!$E15-0.01))&gt;0,"✓",IF(SUMPRODUCT((Transaksi!$C$2:$C$2001=$A63)*(Transaksi!$N$2:$N$2001&lt;=R$52)*(Transaksi!$O$2:$O$2001&gt;=R$52)*(Transaksi!$R$2:$R$2001&gt;0))&gt;0,"½",IF(R$52&gt;TODAY(),"·","✗")))))</f>
        <v/>
      </c>
      <c r="S63" s="42">
        <f>IF($A63="","",IF(OR(S$52&lt;Tetapan!$B15,AND(Tetapan!$C15&lt;&gt;"",S$52&gt;Tetapan!$C15),Tetapan!$E15=0,S$52&gt;Tetapan!$B$27),"–",IF(SUMPRODUCT((Transaksi!$C$2:$C$2001=$A63)*(Transaksi!$N$2:$N$2001&lt;=S$52)*(Transaksi!$O$2:$O$2001&gt;=S$52)*(Transaksi!$R$2:$R$2001&gt;=Tetapan!$E15-0.01))&gt;0,"✓",IF(SUMPRODUCT((Transaksi!$C$2:$C$2001=$A63)*(Transaksi!$N$2:$N$2001&lt;=S$52)*(Transaksi!$O$2:$O$2001&gt;=S$52)*(Transaksi!$R$2:$R$2001&gt;0))&gt;0,"½",IF(S$52&gt;TODAY(),"·","✗")))))</f>
        <v/>
      </c>
      <c r="T63" s="42">
        <f>IF($A63="","",IF(OR(T$52&lt;Tetapan!$B15,AND(Tetapan!$C15&lt;&gt;"",T$52&gt;Tetapan!$C15),Tetapan!$E15=0,T$52&gt;Tetapan!$B$27),"–",IF(SUMPRODUCT((Transaksi!$C$2:$C$2001=$A63)*(Transaksi!$N$2:$N$2001&lt;=T$52)*(Transaksi!$O$2:$O$2001&gt;=T$52)*(Transaksi!$R$2:$R$2001&gt;=Tetapan!$E15-0.01))&gt;0,"✓",IF(SUMPRODUCT((Transaksi!$C$2:$C$2001=$A63)*(Transaksi!$N$2:$N$2001&lt;=T$52)*(Transaksi!$O$2:$O$2001&gt;=T$52)*(Transaksi!$R$2:$R$2001&gt;0))&gt;0,"½",IF(T$52&gt;TODAY(),"·","✗")))))</f>
        <v/>
      </c>
      <c r="W63" s="12">
        <f>IF(B63="✗",TEXT(B$52,"mmm yy")&amp;", ",IF(B63="½",TEXT(B$52,"mmm yy")&amp;" (separa), ",""))&amp;IF(C63="✗",TEXT(C$52,"mmm yy")&amp;", ",IF(C63="½",TEXT(C$52,"mmm yy")&amp;" (separa), ",""))&amp;IF(D63="✗",TEXT(D$52,"mmm yy")&amp;", ",IF(D63="½",TEXT(D$52,"mmm yy")&amp;" (separa), ",""))&amp;IF(E63="✗",TEXT(E$52,"mmm yy")&amp;", ",IF(E63="½",TEXT(E$52,"mmm yy")&amp;" (separa), ",""))&amp;IF(F63="✗",TEXT(F$52,"mmm yy")&amp;", ",IF(F63="½",TEXT(F$52,"mmm yy")&amp;" (separa), ",""))&amp;IF(G63="✗",TEXT(G$52,"mmm yy")&amp;", ",IF(G63="½",TEXT(G$52,"mmm yy")&amp;" (separa), ",""))&amp;IF(H63="✗",TEXT(H$52,"mmm yy")&amp;", ",IF(H63="½",TEXT(H$52,"mmm yy")&amp;" (separa), ",""))&amp;IF(I63="✗",TEXT(I$52,"mmm yy")&amp;", ",IF(I63="½",TEXT(I$52,"mmm yy")&amp;" (separa), ",""))&amp;IF(J63="✗",TEXT(J$52,"mmm yy")&amp;", ",IF(J63="½",TEXT(J$52,"mmm yy")&amp;" (separa), ",""))&amp;IF(K63="✗",TEXT(K$52,"mmm yy")&amp;", ",IF(K63="½",TEXT(K$52,"mmm yy")&amp;" (separa), ",""))&amp;IF(L63="✗",TEXT(L$52,"mmm yy")&amp;", ",IF(L63="½",TEXT(L$52,"mmm yy")&amp;" (separa), ",""))&amp;IF(M63="✗",TEXT(M$52,"mmm yy")&amp;", ",IF(M63="½",TEXT(M$52,"mmm yy")&amp;" (separa), ",""))&amp;IF(N63="✗",TEXT(N$52,"mmm yy")&amp;", ",IF(N63="½",TEXT(N$52,"mmm yy")&amp;" (separa), ",""))&amp;IF(O63="✗",TEXT(O$52,"mmm yy")&amp;", ",IF(O63="½",TEXT(O$52,"mmm yy")&amp;" (separa), ",""))&amp;IF(P63="✗",TEXT(P$52,"mmm yy")&amp;", ",IF(P63="½",TEXT(P$52,"mmm yy")&amp;" (separa), ",""))&amp;IF(Q63="✗",TEXT(Q$52,"mmm yy")&amp;", ",IF(Q63="½",TEXT(Q$52,"mmm yy")&amp;" (separa), ",""))&amp;IF(R63="✗",TEXT(R$52,"mmm yy")&amp;", ",IF(R63="½",TEXT(R$52,"mmm yy")&amp;" (separa), ",""))&amp;IF(S63="✗",TEXT(S$52,"mmm yy")&amp;", ",IF(S63="½",TEXT(S$52,"mmm yy")&amp;" (separa), ",""))&amp;IF(T63="✗",TEXT(T$52,"mmm yy")&amp;", ",IF(T63="½",TEXT(T$52,"mmm yy")&amp;" (separa), ",""))</f>
        <v/>
      </c>
    </row>
    <row r="64">
      <c r="A64" s="41">
        <f>IF(Tetapan!A16="","",Tetapan!A16)</f>
        <v/>
      </c>
      <c r="B64" s="42">
        <f>IF($A64="","",IF(OR(B$52&lt;Tetapan!$B16,AND(Tetapan!$C16&lt;&gt;"",B$52&gt;Tetapan!$C16),Tetapan!$E16=0,B$52&gt;Tetapan!$B$27),"–",IF(SUMPRODUCT((Transaksi!$C$2:$C$2001=$A64)*(Transaksi!$N$2:$N$2001&lt;=B$52)*(Transaksi!$O$2:$O$2001&gt;=B$52)*(Transaksi!$R$2:$R$2001&gt;=Tetapan!$E16-0.01))&gt;0,"✓",IF(SUMPRODUCT((Transaksi!$C$2:$C$2001=$A64)*(Transaksi!$N$2:$N$2001&lt;=B$52)*(Transaksi!$O$2:$O$2001&gt;=B$52)*(Transaksi!$R$2:$R$2001&gt;0))&gt;0,"½",IF(B$52&gt;TODAY(),"·","✗")))))</f>
        <v/>
      </c>
      <c r="C64" s="42">
        <f>IF($A64="","",IF(OR(C$52&lt;Tetapan!$B16,AND(Tetapan!$C16&lt;&gt;"",C$52&gt;Tetapan!$C16),Tetapan!$E16=0,C$52&gt;Tetapan!$B$27),"–",IF(SUMPRODUCT((Transaksi!$C$2:$C$2001=$A64)*(Transaksi!$N$2:$N$2001&lt;=C$52)*(Transaksi!$O$2:$O$2001&gt;=C$52)*(Transaksi!$R$2:$R$2001&gt;=Tetapan!$E16-0.01))&gt;0,"✓",IF(SUMPRODUCT((Transaksi!$C$2:$C$2001=$A64)*(Transaksi!$N$2:$N$2001&lt;=C$52)*(Transaksi!$O$2:$O$2001&gt;=C$52)*(Transaksi!$R$2:$R$2001&gt;0))&gt;0,"½",IF(C$52&gt;TODAY(),"·","✗")))))</f>
        <v/>
      </c>
      <c r="D64" s="42">
        <f>IF($A64="","",IF(OR(D$52&lt;Tetapan!$B16,AND(Tetapan!$C16&lt;&gt;"",D$52&gt;Tetapan!$C16),Tetapan!$E16=0,D$52&gt;Tetapan!$B$27),"–",IF(SUMPRODUCT((Transaksi!$C$2:$C$2001=$A64)*(Transaksi!$N$2:$N$2001&lt;=D$52)*(Transaksi!$O$2:$O$2001&gt;=D$52)*(Transaksi!$R$2:$R$2001&gt;=Tetapan!$E16-0.01))&gt;0,"✓",IF(SUMPRODUCT((Transaksi!$C$2:$C$2001=$A64)*(Transaksi!$N$2:$N$2001&lt;=D$52)*(Transaksi!$O$2:$O$2001&gt;=D$52)*(Transaksi!$R$2:$R$2001&gt;0))&gt;0,"½",IF(D$52&gt;TODAY(),"·","✗")))))</f>
        <v/>
      </c>
      <c r="E64" s="42">
        <f>IF($A64="","",IF(OR(E$52&lt;Tetapan!$B16,AND(Tetapan!$C16&lt;&gt;"",E$52&gt;Tetapan!$C16),Tetapan!$E16=0,E$52&gt;Tetapan!$B$27),"–",IF(SUMPRODUCT((Transaksi!$C$2:$C$2001=$A64)*(Transaksi!$N$2:$N$2001&lt;=E$52)*(Transaksi!$O$2:$O$2001&gt;=E$52)*(Transaksi!$R$2:$R$2001&gt;=Tetapan!$E16-0.01))&gt;0,"✓",IF(SUMPRODUCT((Transaksi!$C$2:$C$2001=$A64)*(Transaksi!$N$2:$N$2001&lt;=E$52)*(Transaksi!$O$2:$O$2001&gt;=E$52)*(Transaksi!$R$2:$R$2001&gt;0))&gt;0,"½",IF(E$52&gt;TODAY(),"·","✗")))))</f>
        <v/>
      </c>
      <c r="F64" s="42">
        <f>IF($A64="","",IF(OR(F$52&lt;Tetapan!$B16,AND(Tetapan!$C16&lt;&gt;"",F$52&gt;Tetapan!$C16),Tetapan!$E16=0,F$52&gt;Tetapan!$B$27),"–",IF(SUMPRODUCT((Transaksi!$C$2:$C$2001=$A64)*(Transaksi!$N$2:$N$2001&lt;=F$52)*(Transaksi!$O$2:$O$2001&gt;=F$52)*(Transaksi!$R$2:$R$2001&gt;=Tetapan!$E16-0.01))&gt;0,"✓",IF(SUMPRODUCT((Transaksi!$C$2:$C$2001=$A64)*(Transaksi!$N$2:$N$2001&lt;=F$52)*(Transaksi!$O$2:$O$2001&gt;=F$52)*(Transaksi!$R$2:$R$2001&gt;0))&gt;0,"½",IF(F$52&gt;TODAY(),"·","✗")))))</f>
        <v/>
      </c>
      <c r="G64" s="42">
        <f>IF($A64="","",IF(OR(G$52&lt;Tetapan!$B16,AND(Tetapan!$C16&lt;&gt;"",G$52&gt;Tetapan!$C16),Tetapan!$E16=0,G$52&gt;Tetapan!$B$27),"–",IF(SUMPRODUCT((Transaksi!$C$2:$C$2001=$A64)*(Transaksi!$N$2:$N$2001&lt;=G$52)*(Transaksi!$O$2:$O$2001&gt;=G$52)*(Transaksi!$R$2:$R$2001&gt;=Tetapan!$E16-0.01))&gt;0,"✓",IF(SUMPRODUCT((Transaksi!$C$2:$C$2001=$A64)*(Transaksi!$N$2:$N$2001&lt;=G$52)*(Transaksi!$O$2:$O$2001&gt;=G$52)*(Transaksi!$R$2:$R$2001&gt;0))&gt;0,"½",IF(G$52&gt;TODAY(),"·","✗")))))</f>
        <v/>
      </c>
      <c r="H64" s="42">
        <f>IF($A64="","",IF(OR(H$52&lt;Tetapan!$B16,AND(Tetapan!$C16&lt;&gt;"",H$52&gt;Tetapan!$C16),Tetapan!$E16=0,H$52&gt;Tetapan!$B$27),"–",IF(SUMPRODUCT((Transaksi!$C$2:$C$2001=$A64)*(Transaksi!$N$2:$N$2001&lt;=H$52)*(Transaksi!$O$2:$O$2001&gt;=H$52)*(Transaksi!$R$2:$R$2001&gt;=Tetapan!$E16-0.01))&gt;0,"✓",IF(SUMPRODUCT((Transaksi!$C$2:$C$2001=$A64)*(Transaksi!$N$2:$N$2001&lt;=H$52)*(Transaksi!$O$2:$O$2001&gt;=H$52)*(Transaksi!$R$2:$R$2001&gt;0))&gt;0,"½",IF(H$52&gt;TODAY(),"·","✗")))))</f>
        <v/>
      </c>
      <c r="I64" s="42">
        <f>IF($A64="","",IF(OR(I$52&lt;Tetapan!$B16,AND(Tetapan!$C16&lt;&gt;"",I$52&gt;Tetapan!$C16),Tetapan!$E16=0,I$52&gt;Tetapan!$B$27),"–",IF(SUMPRODUCT((Transaksi!$C$2:$C$2001=$A64)*(Transaksi!$N$2:$N$2001&lt;=I$52)*(Transaksi!$O$2:$O$2001&gt;=I$52)*(Transaksi!$R$2:$R$2001&gt;=Tetapan!$E16-0.01))&gt;0,"✓",IF(SUMPRODUCT((Transaksi!$C$2:$C$2001=$A64)*(Transaksi!$N$2:$N$2001&lt;=I$52)*(Transaksi!$O$2:$O$2001&gt;=I$52)*(Transaksi!$R$2:$R$2001&gt;0))&gt;0,"½",IF(I$52&gt;TODAY(),"·","✗")))))</f>
        <v/>
      </c>
      <c r="J64" s="42">
        <f>IF($A64="","",IF(OR(J$52&lt;Tetapan!$B16,AND(Tetapan!$C16&lt;&gt;"",J$52&gt;Tetapan!$C16),Tetapan!$E16=0,J$52&gt;Tetapan!$B$27),"–",IF(SUMPRODUCT((Transaksi!$C$2:$C$2001=$A64)*(Transaksi!$N$2:$N$2001&lt;=J$52)*(Transaksi!$O$2:$O$2001&gt;=J$52)*(Transaksi!$R$2:$R$2001&gt;=Tetapan!$E16-0.01))&gt;0,"✓",IF(SUMPRODUCT((Transaksi!$C$2:$C$2001=$A64)*(Transaksi!$N$2:$N$2001&lt;=J$52)*(Transaksi!$O$2:$O$2001&gt;=J$52)*(Transaksi!$R$2:$R$2001&gt;0))&gt;0,"½",IF(J$52&gt;TODAY(),"·","✗")))))</f>
        <v/>
      </c>
      <c r="K64" s="42">
        <f>IF($A64="","",IF(OR(K$52&lt;Tetapan!$B16,AND(Tetapan!$C16&lt;&gt;"",K$52&gt;Tetapan!$C16),Tetapan!$E16=0,K$52&gt;Tetapan!$B$27),"–",IF(SUMPRODUCT((Transaksi!$C$2:$C$2001=$A64)*(Transaksi!$N$2:$N$2001&lt;=K$52)*(Transaksi!$O$2:$O$2001&gt;=K$52)*(Transaksi!$R$2:$R$2001&gt;=Tetapan!$E16-0.01))&gt;0,"✓",IF(SUMPRODUCT((Transaksi!$C$2:$C$2001=$A64)*(Transaksi!$N$2:$N$2001&lt;=K$52)*(Transaksi!$O$2:$O$2001&gt;=K$52)*(Transaksi!$R$2:$R$2001&gt;0))&gt;0,"½",IF(K$52&gt;TODAY(),"·","✗")))))</f>
        <v/>
      </c>
      <c r="L64" s="42">
        <f>IF($A64="","",IF(OR(L$52&lt;Tetapan!$B16,AND(Tetapan!$C16&lt;&gt;"",L$52&gt;Tetapan!$C16),Tetapan!$E16=0,L$52&gt;Tetapan!$B$27),"–",IF(SUMPRODUCT((Transaksi!$C$2:$C$2001=$A64)*(Transaksi!$N$2:$N$2001&lt;=L$52)*(Transaksi!$O$2:$O$2001&gt;=L$52)*(Transaksi!$R$2:$R$2001&gt;=Tetapan!$E16-0.01))&gt;0,"✓",IF(SUMPRODUCT((Transaksi!$C$2:$C$2001=$A64)*(Transaksi!$N$2:$N$2001&lt;=L$52)*(Transaksi!$O$2:$O$2001&gt;=L$52)*(Transaksi!$R$2:$R$2001&gt;0))&gt;0,"½",IF(L$52&gt;TODAY(),"·","✗")))))</f>
        <v/>
      </c>
      <c r="M64" s="42">
        <f>IF($A64="","",IF(OR(M$52&lt;Tetapan!$B16,AND(Tetapan!$C16&lt;&gt;"",M$52&gt;Tetapan!$C16),Tetapan!$E16=0,M$52&gt;Tetapan!$B$27),"–",IF(SUMPRODUCT((Transaksi!$C$2:$C$2001=$A64)*(Transaksi!$N$2:$N$2001&lt;=M$52)*(Transaksi!$O$2:$O$2001&gt;=M$52)*(Transaksi!$R$2:$R$2001&gt;=Tetapan!$E16-0.01))&gt;0,"✓",IF(SUMPRODUCT((Transaksi!$C$2:$C$2001=$A64)*(Transaksi!$N$2:$N$2001&lt;=M$52)*(Transaksi!$O$2:$O$2001&gt;=M$52)*(Transaksi!$R$2:$R$2001&gt;0))&gt;0,"½",IF(M$52&gt;TODAY(),"·","✗")))))</f>
        <v/>
      </c>
      <c r="N64" s="42">
        <f>IF($A64="","",IF(OR(N$52&lt;Tetapan!$B16,AND(Tetapan!$C16&lt;&gt;"",N$52&gt;Tetapan!$C16),Tetapan!$E16=0,N$52&gt;Tetapan!$B$27),"–",IF(SUMPRODUCT((Transaksi!$C$2:$C$2001=$A64)*(Transaksi!$N$2:$N$2001&lt;=N$52)*(Transaksi!$O$2:$O$2001&gt;=N$52)*(Transaksi!$R$2:$R$2001&gt;=Tetapan!$E16-0.01))&gt;0,"✓",IF(SUMPRODUCT((Transaksi!$C$2:$C$2001=$A64)*(Transaksi!$N$2:$N$2001&lt;=N$52)*(Transaksi!$O$2:$O$2001&gt;=N$52)*(Transaksi!$R$2:$R$2001&gt;0))&gt;0,"½",IF(N$52&gt;TODAY(),"·","✗")))))</f>
        <v/>
      </c>
      <c r="O64" s="42">
        <f>IF($A64="","",IF(OR(O$52&lt;Tetapan!$B16,AND(Tetapan!$C16&lt;&gt;"",O$52&gt;Tetapan!$C16),Tetapan!$E16=0,O$52&gt;Tetapan!$B$27),"–",IF(SUMPRODUCT((Transaksi!$C$2:$C$2001=$A64)*(Transaksi!$N$2:$N$2001&lt;=O$52)*(Transaksi!$O$2:$O$2001&gt;=O$52)*(Transaksi!$R$2:$R$2001&gt;=Tetapan!$E16-0.01))&gt;0,"✓",IF(SUMPRODUCT((Transaksi!$C$2:$C$2001=$A64)*(Transaksi!$N$2:$N$2001&lt;=O$52)*(Transaksi!$O$2:$O$2001&gt;=O$52)*(Transaksi!$R$2:$R$2001&gt;0))&gt;0,"½",IF(O$52&gt;TODAY(),"·","✗")))))</f>
        <v/>
      </c>
      <c r="P64" s="42">
        <f>IF($A64="","",IF(OR(P$52&lt;Tetapan!$B16,AND(Tetapan!$C16&lt;&gt;"",P$52&gt;Tetapan!$C16),Tetapan!$E16=0,P$52&gt;Tetapan!$B$27),"–",IF(SUMPRODUCT((Transaksi!$C$2:$C$2001=$A64)*(Transaksi!$N$2:$N$2001&lt;=P$52)*(Transaksi!$O$2:$O$2001&gt;=P$52)*(Transaksi!$R$2:$R$2001&gt;=Tetapan!$E16-0.01))&gt;0,"✓",IF(SUMPRODUCT((Transaksi!$C$2:$C$2001=$A64)*(Transaksi!$N$2:$N$2001&lt;=P$52)*(Transaksi!$O$2:$O$2001&gt;=P$52)*(Transaksi!$R$2:$R$2001&gt;0))&gt;0,"½",IF(P$52&gt;TODAY(),"·","✗")))))</f>
        <v/>
      </c>
      <c r="Q64" s="42">
        <f>IF($A64="","",IF(OR(Q$52&lt;Tetapan!$B16,AND(Tetapan!$C16&lt;&gt;"",Q$52&gt;Tetapan!$C16),Tetapan!$E16=0,Q$52&gt;Tetapan!$B$27),"–",IF(SUMPRODUCT((Transaksi!$C$2:$C$2001=$A64)*(Transaksi!$N$2:$N$2001&lt;=Q$52)*(Transaksi!$O$2:$O$2001&gt;=Q$52)*(Transaksi!$R$2:$R$2001&gt;=Tetapan!$E16-0.01))&gt;0,"✓",IF(SUMPRODUCT((Transaksi!$C$2:$C$2001=$A64)*(Transaksi!$N$2:$N$2001&lt;=Q$52)*(Transaksi!$O$2:$O$2001&gt;=Q$52)*(Transaksi!$R$2:$R$2001&gt;0))&gt;0,"½",IF(Q$52&gt;TODAY(),"·","✗")))))</f>
        <v/>
      </c>
      <c r="R64" s="42">
        <f>IF($A64="","",IF(OR(R$52&lt;Tetapan!$B16,AND(Tetapan!$C16&lt;&gt;"",R$52&gt;Tetapan!$C16),Tetapan!$E16=0,R$52&gt;Tetapan!$B$27),"–",IF(SUMPRODUCT((Transaksi!$C$2:$C$2001=$A64)*(Transaksi!$N$2:$N$2001&lt;=R$52)*(Transaksi!$O$2:$O$2001&gt;=R$52)*(Transaksi!$R$2:$R$2001&gt;=Tetapan!$E16-0.01))&gt;0,"✓",IF(SUMPRODUCT((Transaksi!$C$2:$C$2001=$A64)*(Transaksi!$N$2:$N$2001&lt;=R$52)*(Transaksi!$O$2:$O$2001&gt;=R$52)*(Transaksi!$R$2:$R$2001&gt;0))&gt;0,"½",IF(R$52&gt;TODAY(),"·","✗")))))</f>
        <v/>
      </c>
      <c r="S64" s="42">
        <f>IF($A64="","",IF(OR(S$52&lt;Tetapan!$B16,AND(Tetapan!$C16&lt;&gt;"",S$52&gt;Tetapan!$C16),Tetapan!$E16=0,S$52&gt;Tetapan!$B$27),"–",IF(SUMPRODUCT((Transaksi!$C$2:$C$2001=$A64)*(Transaksi!$N$2:$N$2001&lt;=S$52)*(Transaksi!$O$2:$O$2001&gt;=S$52)*(Transaksi!$R$2:$R$2001&gt;=Tetapan!$E16-0.01))&gt;0,"✓",IF(SUMPRODUCT((Transaksi!$C$2:$C$2001=$A64)*(Transaksi!$N$2:$N$2001&lt;=S$52)*(Transaksi!$O$2:$O$2001&gt;=S$52)*(Transaksi!$R$2:$R$2001&gt;0))&gt;0,"½",IF(S$52&gt;TODAY(),"·","✗")))))</f>
        <v/>
      </c>
      <c r="T64" s="42">
        <f>IF($A64="","",IF(OR(T$52&lt;Tetapan!$B16,AND(Tetapan!$C16&lt;&gt;"",T$52&gt;Tetapan!$C16),Tetapan!$E16=0,T$52&gt;Tetapan!$B$27),"–",IF(SUMPRODUCT((Transaksi!$C$2:$C$2001=$A64)*(Transaksi!$N$2:$N$2001&lt;=T$52)*(Transaksi!$O$2:$O$2001&gt;=T$52)*(Transaksi!$R$2:$R$2001&gt;=Tetapan!$E16-0.01))&gt;0,"✓",IF(SUMPRODUCT((Transaksi!$C$2:$C$2001=$A64)*(Transaksi!$N$2:$N$2001&lt;=T$52)*(Transaksi!$O$2:$O$2001&gt;=T$52)*(Transaksi!$R$2:$R$2001&gt;0))&gt;0,"½",IF(T$52&gt;TODAY(),"·","✗")))))</f>
        <v/>
      </c>
      <c r="W64" s="12">
        <f>IF(B64="✗",TEXT(B$52,"mmm yy")&amp;", ",IF(B64="½",TEXT(B$52,"mmm yy")&amp;" (separa), ",""))&amp;IF(C64="✗",TEXT(C$52,"mmm yy")&amp;", ",IF(C64="½",TEXT(C$52,"mmm yy")&amp;" (separa), ",""))&amp;IF(D64="✗",TEXT(D$52,"mmm yy")&amp;", ",IF(D64="½",TEXT(D$52,"mmm yy")&amp;" (separa), ",""))&amp;IF(E64="✗",TEXT(E$52,"mmm yy")&amp;", ",IF(E64="½",TEXT(E$52,"mmm yy")&amp;" (separa), ",""))&amp;IF(F64="✗",TEXT(F$52,"mmm yy")&amp;", ",IF(F64="½",TEXT(F$52,"mmm yy")&amp;" (separa), ",""))&amp;IF(G64="✗",TEXT(G$52,"mmm yy")&amp;", ",IF(G64="½",TEXT(G$52,"mmm yy")&amp;" (separa), ",""))&amp;IF(H64="✗",TEXT(H$52,"mmm yy")&amp;", ",IF(H64="½",TEXT(H$52,"mmm yy")&amp;" (separa), ",""))&amp;IF(I64="✗",TEXT(I$52,"mmm yy")&amp;", ",IF(I64="½",TEXT(I$52,"mmm yy")&amp;" (separa), ",""))&amp;IF(J64="✗",TEXT(J$52,"mmm yy")&amp;", ",IF(J64="½",TEXT(J$52,"mmm yy")&amp;" (separa), ",""))&amp;IF(K64="✗",TEXT(K$52,"mmm yy")&amp;", ",IF(K64="½",TEXT(K$52,"mmm yy")&amp;" (separa), ",""))&amp;IF(L64="✗",TEXT(L$52,"mmm yy")&amp;", ",IF(L64="½",TEXT(L$52,"mmm yy")&amp;" (separa), ",""))&amp;IF(M64="✗",TEXT(M$52,"mmm yy")&amp;", ",IF(M64="½",TEXT(M$52,"mmm yy")&amp;" (separa), ",""))&amp;IF(N64="✗",TEXT(N$52,"mmm yy")&amp;", ",IF(N64="½",TEXT(N$52,"mmm yy")&amp;" (separa), ",""))&amp;IF(O64="✗",TEXT(O$52,"mmm yy")&amp;", ",IF(O64="½",TEXT(O$52,"mmm yy")&amp;" (separa), ",""))&amp;IF(P64="✗",TEXT(P$52,"mmm yy")&amp;", ",IF(P64="½",TEXT(P$52,"mmm yy")&amp;" (separa), ",""))&amp;IF(Q64="✗",TEXT(Q$52,"mmm yy")&amp;", ",IF(Q64="½",TEXT(Q$52,"mmm yy")&amp;" (separa), ",""))&amp;IF(R64="✗",TEXT(R$52,"mmm yy")&amp;", ",IF(R64="½",TEXT(R$52,"mmm yy")&amp;" (separa), ",""))&amp;IF(S64="✗",TEXT(S$52,"mmm yy")&amp;", ",IF(S64="½",TEXT(S$52,"mmm yy")&amp;" (separa), ",""))&amp;IF(T64="✗",TEXT(T$52,"mmm yy")&amp;", ",IF(T64="½",TEXT(T$52,"mmm yy")&amp;" (separa), ",""))</f>
        <v/>
      </c>
    </row>
    <row r="65">
      <c r="A65" s="41">
        <f>IF(Tetapan!A17="","",Tetapan!A17)</f>
        <v/>
      </c>
      <c r="B65" s="42">
        <f>IF($A65="","",IF(OR(B$52&lt;Tetapan!$B17,AND(Tetapan!$C17&lt;&gt;"",B$52&gt;Tetapan!$C17),Tetapan!$E17=0,B$52&gt;Tetapan!$B$27),"–",IF(SUMPRODUCT((Transaksi!$C$2:$C$2001=$A65)*(Transaksi!$N$2:$N$2001&lt;=B$52)*(Transaksi!$O$2:$O$2001&gt;=B$52)*(Transaksi!$R$2:$R$2001&gt;=Tetapan!$E17-0.01))&gt;0,"✓",IF(SUMPRODUCT((Transaksi!$C$2:$C$2001=$A65)*(Transaksi!$N$2:$N$2001&lt;=B$52)*(Transaksi!$O$2:$O$2001&gt;=B$52)*(Transaksi!$R$2:$R$2001&gt;0))&gt;0,"½",IF(B$52&gt;TODAY(),"·","✗")))))</f>
        <v/>
      </c>
      <c r="C65" s="42">
        <f>IF($A65="","",IF(OR(C$52&lt;Tetapan!$B17,AND(Tetapan!$C17&lt;&gt;"",C$52&gt;Tetapan!$C17),Tetapan!$E17=0,C$52&gt;Tetapan!$B$27),"–",IF(SUMPRODUCT((Transaksi!$C$2:$C$2001=$A65)*(Transaksi!$N$2:$N$2001&lt;=C$52)*(Transaksi!$O$2:$O$2001&gt;=C$52)*(Transaksi!$R$2:$R$2001&gt;=Tetapan!$E17-0.01))&gt;0,"✓",IF(SUMPRODUCT((Transaksi!$C$2:$C$2001=$A65)*(Transaksi!$N$2:$N$2001&lt;=C$52)*(Transaksi!$O$2:$O$2001&gt;=C$52)*(Transaksi!$R$2:$R$2001&gt;0))&gt;0,"½",IF(C$52&gt;TODAY(),"·","✗")))))</f>
        <v/>
      </c>
      <c r="D65" s="42">
        <f>IF($A65="","",IF(OR(D$52&lt;Tetapan!$B17,AND(Tetapan!$C17&lt;&gt;"",D$52&gt;Tetapan!$C17),Tetapan!$E17=0,D$52&gt;Tetapan!$B$27),"–",IF(SUMPRODUCT((Transaksi!$C$2:$C$2001=$A65)*(Transaksi!$N$2:$N$2001&lt;=D$52)*(Transaksi!$O$2:$O$2001&gt;=D$52)*(Transaksi!$R$2:$R$2001&gt;=Tetapan!$E17-0.01))&gt;0,"✓",IF(SUMPRODUCT((Transaksi!$C$2:$C$2001=$A65)*(Transaksi!$N$2:$N$2001&lt;=D$52)*(Transaksi!$O$2:$O$2001&gt;=D$52)*(Transaksi!$R$2:$R$2001&gt;0))&gt;0,"½",IF(D$52&gt;TODAY(),"·","✗")))))</f>
        <v/>
      </c>
      <c r="E65" s="42">
        <f>IF($A65="","",IF(OR(E$52&lt;Tetapan!$B17,AND(Tetapan!$C17&lt;&gt;"",E$52&gt;Tetapan!$C17),Tetapan!$E17=0,E$52&gt;Tetapan!$B$27),"–",IF(SUMPRODUCT((Transaksi!$C$2:$C$2001=$A65)*(Transaksi!$N$2:$N$2001&lt;=E$52)*(Transaksi!$O$2:$O$2001&gt;=E$52)*(Transaksi!$R$2:$R$2001&gt;=Tetapan!$E17-0.01))&gt;0,"✓",IF(SUMPRODUCT((Transaksi!$C$2:$C$2001=$A65)*(Transaksi!$N$2:$N$2001&lt;=E$52)*(Transaksi!$O$2:$O$2001&gt;=E$52)*(Transaksi!$R$2:$R$2001&gt;0))&gt;0,"½",IF(E$52&gt;TODAY(),"·","✗")))))</f>
        <v/>
      </c>
      <c r="F65" s="42">
        <f>IF($A65="","",IF(OR(F$52&lt;Tetapan!$B17,AND(Tetapan!$C17&lt;&gt;"",F$52&gt;Tetapan!$C17),Tetapan!$E17=0,F$52&gt;Tetapan!$B$27),"–",IF(SUMPRODUCT((Transaksi!$C$2:$C$2001=$A65)*(Transaksi!$N$2:$N$2001&lt;=F$52)*(Transaksi!$O$2:$O$2001&gt;=F$52)*(Transaksi!$R$2:$R$2001&gt;=Tetapan!$E17-0.01))&gt;0,"✓",IF(SUMPRODUCT((Transaksi!$C$2:$C$2001=$A65)*(Transaksi!$N$2:$N$2001&lt;=F$52)*(Transaksi!$O$2:$O$2001&gt;=F$52)*(Transaksi!$R$2:$R$2001&gt;0))&gt;0,"½",IF(F$52&gt;TODAY(),"·","✗")))))</f>
        <v/>
      </c>
      <c r="G65" s="42">
        <f>IF($A65="","",IF(OR(G$52&lt;Tetapan!$B17,AND(Tetapan!$C17&lt;&gt;"",G$52&gt;Tetapan!$C17),Tetapan!$E17=0,G$52&gt;Tetapan!$B$27),"–",IF(SUMPRODUCT((Transaksi!$C$2:$C$2001=$A65)*(Transaksi!$N$2:$N$2001&lt;=G$52)*(Transaksi!$O$2:$O$2001&gt;=G$52)*(Transaksi!$R$2:$R$2001&gt;=Tetapan!$E17-0.01))&gt;0,"✓",IF(SUMPRODUCT((Transaksi!$C$2:$C$2001=$A65)*(Transaksi!$N$2:$N$2001&lt;=G$52)*(Transaksi!$O$2:$O$2001&gt;=G$52)*(Transaksi!$R$2:$R$2001&gt;0))&gt;0,"½",IF(G$52&gt;TODAY(),"·","✗")))))</f>
        <v/>
      </c>
      <c r="H65" s="42">
        <f>IF($A65="","",IF(OR(H$52&lt;Tetapan!$B17,AND(Tetapan!$C17&lt;&gt;"",H$52&gt;Tetapan!$C17),Tetapan!$E17=0,H$52&gt;Tetapan!$B$27),"–",IF(SUMPRODUCT((Transaksi!$C$2:$C$2001=$A65)*(Transaksi!$N$2:$N$2001&lt;=H$52)*(Transaksi!$O$2:$O$2001&gt;=H$52)*(Transaksi!$R$2:$R$2001&gt;=Tetapan!$E17-0.01))&gt;0,"✓",IF(SUMPRODUCT((Transaksi!$C$2:$C$2001=$A65)*(Transaksi!$N$2:$N$2001&lt;=H$52)*(Transaksi!$O$2:$O$2001&gt;=H$52)*(Transaksi!$R$2:$R$2001&gt;0))&gt;0,"½",IF(H$52&gt;TODAY(),"·","✗")))))</f>
        <v/>
      </c>
      <c r="I65" s="42">
        <f>IF($A65="","",IF(OR(I$52&lt;Tetapan!$B17,AND(Tetapan!$C17&lt;&gt;"",I$52&gt;Tetapan!$C17),Tetapan!$E17=0,I$52&gt;Tetapan!$B$27),"–",IF(SUMPRODUCT((Transaksi!$C$2:$C$2001=$A65)*(Transaksi!$N$2:$N$2001&lt;=I$52)*(Transaksi!$O$2:$O$2001&gt;=I$52)*(Transaksi!$R$2:$R$2001&gt;=Tetapan!$E17-0.01))&gt;0,"✓",IF(SUMPRODUCT((Transaksi!$C$2:$C$2001=$A65)*(Transaksi!$N$2:$N$2001&lt;=I$52)*(Transaksi!$O$2:$O$2001&gt;=I$52)*(Transaksi!$R$2:$R$2001&gt;0))&gt;0,"½",IF(I$52&gt;TODAY(),"·","✗")))))</f>
        <v/>
      </c>
      <c r="J65" s="42">
        <f>IF($A65="","",IF(OR(J$52&lt;Tetapan!$B17,AND(Tetapan!$C17&lt;&gt;"",J$52&gt;Tetapan!$C17),Tetapan!$E17=0,J$52&gt;Tetapan!$B$27),"–",IF(SUMPRODUCT((Transaksi!$C$2:$C$2001=$A65)*(Transaksi!$N$2:$N$2001&lt;=J$52)*(Transaksi!$O$2:$O$2001&gt;=J$52)*(Transaksi!$R$2:$R$2001&gt;=Tetapan!$E17-0.01))&gt;0,"✓",IF(SUMPRODUCT((Transaksi!$C$2:$C$2001=$A65)*(Transaksi!$N$2:$N$2001&lt;=J$52)*(Transaksi!$O$2:$O$2001&gt;=J$52)*(Transaksi!$R$2:$R$2001&gt;0))&gt;0,"½",IF(J$52&gt;TODAY(),"·","✗")))))</f>
        <v/>
      </c>
      <c r="K65" s="42">
        <f>IF($A65="","",IF(OR(K$52&lt;Tetapan!$B17,AND(Tetapan!$C17&lt;&gt;"",K$52&gt;Tetapan!$C17),Tetapan!$E17=0,K$52&gt;Tetapan!$B$27),"–",IF(SUMPRODUCT((Transaksi!$C$2:$C$2001=$A65)*(Transaksi!$N$2:$N$2001&lt;=K$52)*(Transaksi!$O$2:$O$2001&gt;=K$52)*(Transaksi!$R$2:$R$2001&gt;=Tetapan!$E17-0.01))&gt;0,"✓",IF(SUMPRODUCT((Transaksi!$C$2:$C$2001=$A65)*(Transaksi!$N$2:$N$2001&lt;=K$52)*(Transaksi!$O$2:$O$2001&gt;=K$52)*(Transaksi!$R$2:$R$2001&gt;0))&gt;0,"½",IF(K$52&gt;TODAY(),"·","✗")))))</f>
        <v/>
      </c>
      <c r="L65" s="42">
        <f>IF($A65="","",IF(OR(L$52&lt;Tetapan!$B17,AND(Tetapan!$C17&lt;&gt;"",L$52&gt;Tetapan!$C17),Tetapan!$E17=0,L$52&gt;Tetapan!$B$27),"–",IF(SUMPRODUCT((Transaksi!$C$2:$C$2001=$A65)*(Transaksi!$N$2:$N$2001&lt;=L$52)*(Transaksi!$O$2:$O$2001&gt;=L$52)*(Transaksi!$R$2:$R$2001&gt;=Tetapan!$E17-0.01))&gt;0,"✓",IF(SUMPRODUCT((Transaksi!$C$2:$C$2001=$A65)*(Transaksi!$N$2:$N$2001&lt;=L$52)*(Transaksi!$O$2:$O$2001&gt;=L$52)*(Transaksi!$R$2:$R$2001&gt;0))&gt;0,"½",IF(L$52&gt;TODAY(),"·","✗")))))</f>
        <v/>
      </c>
      <c r="M65" s="42">
        <f>IF($A65="","",IF(OR(M$52&lt;Tetapan!$B17,AND(Tetapan!$C17&lt;&gt;"",M$52&gt;Tetapan!$C17),Tetapan!$E17=0,M$52&gt;Tetapan!$B$27),"–",IF(SUMPRODUCT((Transaksi!$C$2:$C$2001=$A65)*(Transaksi!$N$2:$N$2001&lt;=M$52)*(Transaksi!$O$2:$O$2001&gt;=M$52)*(Transaksi!$R$2:$R$2001&gt;=Tetapan!$E17-0.01))&gt;0,"✓",IF(SUMPRODUCT((Transaksi!$C$2:$C$2001=$A65)*(Transaksi!$N$2:$N$2001&lt;=M$52)*(Transaksi!$O$2:$O$2001&gt;=M$52)*(Transaksi!$R$2:$R$2001&gt;0))&gt;0,"½",IF(M$52&gt;TODAY(),"·","✗")))))</f>
        <v/>
      </c>
      <c r="N65" s="42">
        <f>IF($A65="","",IF(OR(N$52&lt;Tetapan!$B17,AND(Tetapan!$C17&lt;&gt;"",N$52&gt;Tetapan!$C17),Tetapan!$E17=0,N$52&gt;Tetapan!$B$27),"–",IF(SUMPRODUCT((Transaksi!$C$2:$C$2001=$A65)*(Transaksi!$N$2:$N$2001&lt;=N$52)*(Transaksi!$O$2:$O$2001&gt;=N$52)*(Transaksi!$R$2:$R$2001&gt;=Tetapan!$E17-0.01))&gt;0,"✓",IF(SUMPRODUCT((Transaksi!$C$2:$C$2001=$A65)*(Transaksi!$N$2:$N$2001&lt;=N$52)*(Transaksi!$O$2:$O$2001&gt;=N$52)*(Transaksi!$R$2:$R$2001&gt;0))&gt;0,"½",IF(N$52&gt;TODAY(),"·","✗")))))</f>
        <v/>
      </c>
      <c r="O65" s="42">
        <f>IF($A65="","",IF(OR(O$52&lt;Tetapan!$B17,AND(Tetapan!$C17&lt;&gt;"",O$52&gt;Tetapan!$C17),Tetapan!$E17=0,O$52&gt;Tetapan!$B$27),"–",IF(SUMPRODUCT((Transaksi!$C$2:$C$2001=$A65)*(Transaksi!$N$2:$N$2001&lt;=O$52)*(Transaksi!$O$2:$O$2001&gt;=O$52)*(Transaksi!$R$2:$R$2001&gt;=Tetapan!$E17-0.01))&gt;0,"✓",IF(SUMPRODUCT((Transaksi!$C$2:$C$2001=$A65)*(Transaksi!$N$2:$N$2001&lt;=O$52)*(Transaksi!$O$2:$O$2001&gt;=O$52)*(Transaksi!$R$2:$R$2001&gt;0))&gt;0,"½",IF(O$52&gt;TODAY(),"·","✗")))))</f>
        <v/>
      </c>
      <c r="P65" s="42">
        <f>IF($A65="","",IF(OR(P$52&lt;Tetapan!$B17,AND(Tetapan!$C17&lt;&gt;"",P$52&gt;Tetapan!$C17),Tetapan!$E17=0,P$52&gt;Tetapan!$B$27),"–",IF(SUMPRODUCT((Transaksi!$C$2:$C$2001=$A65)*(Transaksi!$N$2:$N$2001&lt;=P$52)*(Transaksi!$O$2:$O$2001&gt;=P$52)*(Transaksi!$R$2:$R$2001&gt;=Tetapan!$E17-0.01))&gt;0,"✓",IF(SUMPRODUCT((Transaksi!$C$2:$C$2001=$A65)*(Transaksi!$N$2:$N$2001&lt;=P$52)*(Transaksi!$O$2:$O$2001&gt;=P$52)*(Transaksi!$R$2:$R$2001&gt;0))&gt;0,"½",IF(P$52&gt;TODAY(),"·","✗")))))</f>
        <v/>
      </c>
      <c r="Q65" s="42">
        <f>IF($A65="","",IF(OR(Q$52&lt;Tetapan!$B17,AND(Tetapan!$C17&lt;&gt;"",Q$52&gt;Tetapan!$C17),Tetapan!$E17=0,Q$52&gt;Tetapan!$B$27),"–",IF(SUMPRODUCT((Transaksi!$C$2:$C$2001=$A65)*(Transaksi!$N$2:$N$2001&lt;=Q$52)*(Transaksi!$O$2:$O$2001&gt;=Q$52)*(Transaksi!$R$2:$R$2001&gt;=Tetapan!$E17-0.01))&gt;0,"✓",IF(SUMPRODUCT((Transaksi!$C$2:$C$2001=$A65)*(Transaksi!$N$2:$N$2001&lt;=Q$52)*(Transaksi!$O$2:$O$2001&gt;=Q$52)*(Transaksi!$R$2:$R$2001&gt;0))&gt;0,"½",IF(Q$52&gt;TODAY(),"·","✗")))))</f>
        <v/>
      </c>
      <c r="R65" s="42">
        <f>IF($A65="","",IF(OR(R$52&lt;Tetapan!$B17,AND(Tetapan!$C17&lt;&gt;"",R$52&gt;Tetapan!$C17),Tetapan!$E17=0,R$52&gt;Tetapan!$B$27),"–",IF(SUMPRODUCT((Transaksi!$C$2:$C$2001=$A65)*(Transaksi!$N$2:$N$2001&lt;=R$52)*(Transaksi!$O$2:$O$2001&gt;=R$52)*(Transaksi!$R$2:$R$2001&gt;=Tetapan!$E17-0.01))&gt;0,"✓",IF(SUMPRODUCT((Transaksi!$C$2:$C$2001=$A65)*(Transaksi!$N$2:$N$2001&lt;=R$52)*(Transaksi!$O$2:$O$2001&gt;=R$52)*(Transaksi!$R$2:$R$2001&gt;0))&gt;0,"½",IF(R$52&gt;TODAY(),"·","✗")))))</f>
        <v/>
      </c>
      <c r="S65" s="42">
        <f>IF($A65="","",IF(OR(S$52&lt;Tetapan!$B17,AND(Tetapan!$C17&lt;&gt;"",S$52&gt;Tetapan!$C17),Tetapan!$E17=0,S$52&gt;Tetapan!$B$27),"–",IF(SUMPRODUCT((Transaksi!$C$2:$C$2001=$A65)*(Transaksi!$N$2:$N$2001&lt;=S$52)*(Transaksi!$O$2:$O$2001&gt;=S$52)*(Transaksi!$R$2:$R$2001&gt;=Tetapan!$E17-0.01))&gt;0,"✓",IF(SUMPRODUCT((Transaksi!$C$2:$C$2001=$A65)*(Transaksi!$N$2:$N$2001&lt;=S$52)*(Transaksi!$O$2:$O$2001&gt;=S$52)*(Transaksi!$R$2:$R$2001&gt;0))&gt;0,"½",IF(S$52&gt;TODAY(),"·","✗")))))</f>
        <v/>
      </c>
      <c r="T65" s="42">
        <f>IF($A65="","",IF(OR(T$52&lt;Tetapan!$B17,AND(Tetapan!$C17&lt;&gt;"",T$52&gt;Tetapan!$C17),Tetapan!$E17=0,T$52&gt;Tetapan!$B$27),"–",IF(SUMPRODUCT((Transaksi!$C$2:$C$2001=$A65)*(Transaksi!$N$2:$N$2001&lt;=T$52)*(Transaksi!$O$2:$O$2001&gt;=T$52)*(Transaksi!$R$2:$R$2001&gt;=Tetapan!$E17-0.01))&gt;0,"✓",IF(SUMPRODUCT((Transaksi!$C$2:$C$2001=$A65)*(Transaksi!$N$2:$N$2001&lt;=T$52)*(Transaksi!$O$2:$O$2001&gt;=T$52)*(Transaksi!$R$2:$R$2001&gt;0))&gt;0,"½",IF(T$52&gt;TODAY(),"·","✗")))))</f>
        <v/>
      </c>
      <c r="W65" s="12">
        <f>IF(B65="✗",TEXT(B$52,"mmm yy")&amp;", ",IF(B65="½",TEXT(B$52,"mmm yy")&amp;" (separa), ",""))&amp;IF(C65="✗",TEXT(C$52,"mmm yy")&amp;", ",IF(C65="½",TEXT(C$52,"mmm yy")&amp;" (separa), ",""))&amp;IF(D65="✗",TEXT(D$52,"mmm yy")&amp;", ",IF(D65="½",TEXT(D$52,"mmm yy")&amp;" (separa), ",""))&amp;IF(E65="✗",TEXT(E$52,"mmm yy")&amp;", ",IF(E65="½",TEXT(E$52,"mmm yy")&amp;" (separa), ",""))&amp;IF(F65="✗",TEXT(F$52,"mmm yy")&amp;", ",IF(F65="½",TEXT(F$52,"mmm yy")&amp;" (separa), ",""))&amp;IF(G65="✗",TEXT(G$52,"mmm yy")&amp;", ",IF(G65="½",TEXT(G$52,"mmm yy")&amp;" (separa), ",""))&amp;IF(H65="✗",TEXT(H$52,"mmm yy")&amp;", ",IF(H65="½",TEXT(H$52,"mmm yy")&amp;" (separa), ",""))&amp;IF(I65="✗",TEXT(I$52,"mmm yy")&amp;", ",IF(I65="½",TEXT(I$52,"mmm yy")&amp;" (separa), ",""))&amp;IF(J65="✗",TEXT(J$52,"mmm yy")&amp;", ",IF(J65="½",TEXT(J$52,"mmm yy")&amp;" (separa), ",""))&amp;IF(K65="✗",TEXT(K$52,"mmm yy")&amp;", ",IF(K65="½",TEXT(K$52,"mmm yy")&amp;" (separa), ",""))&amp;IF(L65="✗",TEXT(L$52,"mmm yy")&amp;", ",IF(L65="½",TEXT(L$52,"mmm yy")&amp;" (separa), ",""))&amp;IF(M65="✗",TEXT(M$52,"mmm yy")&amp;", ",IF(M65="½",TEXT(M$52,"mmm yy")&amp;" (separa), ",""))&amp;IF(N65="✗",TEXT(N$52,"mmm yy")&amp;", ",IF(N65="½",TEXT(N$52,"mmm yy")&amp;" (separa), ",""))&amp;IF(O65="✗",TEXT(O$52,"mmm yy")&amp;", ",IF(O65="½",TEXT(O$52,"mmm yy")&amp;" (separa), ",""))&amp;IF(P65="✗",TEXT(P$52,"mmm yy")&amp;", ",IF(P65="½",TEXT(P$52,"mmm yy")&amp;" (separa), ",""))&amp;IF(Q65="✗",TEXT(Q$52,"mmm yy")&amp;", ",IF(Q65="½",TEXT(Q$52,"mmm yy")&amp;" (separa), ",""))&amp;IF(R65="✗",TEXT(R$52,"mmm yy")&amp;", ",IF(R65="½",TEXT(R$52,"mmm yy")&amp;" (separa), ",""))&amp;IF(S65="✗",TEXT(S$52,"mmm yy")&amp;", ",IF(S65="½",TEXT(S$52,"mmm yy")&amp;" (separa), ",""))&amp;IF(T65="✗",TEXT(T$52,"mmm yy")&amp;", ",IF(T65="½",TEXT(T$52,"mmm yy")&amp;" (separa), ",""))</f>
        <v/>
      </c>
    </row>
    <row r="66">
      <c r="A66" s="41">
        <f>IF(Tetapan!A18="","",Tetapan!A18)</f>
        <v/>
      </c>
      <c r="B66" s="42">
        <f>IF($A66="","",IF(OR(B$52&lt;Tetapan!$B18,AND(Tetapan!$C18&lt;&gt;"",B$52&gt;Tetapan!$C18),Tetapan!$E18=0,B$52&gt;Tetapan!$B$27),"–",IF(SUMPRODUCT((Transaksi!$C$2:$C$2001=$A66)*(Transaksi!$N$2:$N$2001&lt;=B$52)*(Transaksi!$O$2:$O$2001&gt;=B$52)*(Transaksi!$R$2:$R$2001&gt;=Tetapan!$E18-0.01))&gt;0,"✓",IF(SUMPRODUCT((Transaksi!$C$2:$C$2001=$A66)*(Transaksi!$N$2:$N$2001&lt;=B$52)*(Transaksi!$O$2:$O$2001&gt;=B$52)*(Transaksi!$R$2:$R$2001&gt;0))&gt;0,"½",IF(B$52&gt;TODAY(),"·","✗")))))</f>
        <v/>
      </c>
      <c r="C66" s="42">
        <f>IF($A66="","",IF(OR(C$52&lt;Tetapan!$B18,AND(Tetapan!$C18&lt;&gt;"",C$52&gt;Tetapan!$C18),Tetapan!$E18=0,C$52&gt;Tetapan!$B$27),"–",IF(SUMPRODUCT((Transaksi!$C$2:$C$2001=$A66)*(Transaksi!$N$2:$N$2001&lt;=C$52)*(Transaksi!$O$2:$O$2001&gt;=C$52)*(Transaksi!$R$2:$R$2001&gt;=Tetapan!$E18-0.01))&gt;0,"✓",IF(SUMPRODUCT((Transaksi!$C$2:$C$2001=$A66)*(Transaksi!$N$2:$N$2001&lt;=C$52)*(Transaksi!$O$2:$O$2001&gt;=C$52)*(Transaksi!$R$2:$R$2001&gt;0))&gt;0,"½",IF(C$52&gt;TODAY(),"·","✗")))))</f>
        <v/>
      </c>
      <c r="D66" s="42">
        <f>IF($A66="","",IF(OR(D$52&lt;Tetapan!$B18,AND(Tetapan!$C18&lt;&gt;"",D$52&gt;Tetapan!$C18),Tetapan!$E18=0,D$52&gt;Tetapan!$B$27),"–",IF(SUMPRODUCT((Transaksi!$C$2:$C$2001=$A66)*(Transaksi!$N$2:$N$2001&lt;=D$52)*(Transaksi!$O$2:$O$2001&gt;=D$52)*(Transaksi!$R$2:$R$2001&gt;=Tetapan!$E18-0.01))&gt;0,"✓",IF(SUMPRODUCT((Transaksi!$C$2:$C$2001=$A66)*(Transaksi!$N$2:$N$2001&lt;=D$52)*(Transaksi!$O$2:$O$2001&gt;=D$52)*(Transaksi!$R$2:$R$2001&gt;0))&gt;0,"½",IF(D$52&gt;TODAY(),"·","✗")))))</f>
        <v/>
      </c>
      <c r="E66" s="42">
        <f>IF($A66="","",IF(OR(E$52&lt;Tetapan!$B18,AND(Tetapan!$C18&lt;&gt;"",E$52&gt;Tetapan!$C18),Tetapan!$E18=0,E$52&gt;Tetapan!$B$27),"–",IF(SUMPRODUCT((Transaksi!$C$2:$C$2001=$A66)*(Transaksi!$N$2:$N$2001&lt;=E$52)*(Transaksi!$O$2:$O$2001&gt;=E$52)*(Transaksi!$R$2:$R$2001&gt;=Tetapan!$E18-0.01))&gt;0,"✓",IF(SUMPRODUCT((Transaksi!$C$2:$C$2001=$A66)*(Transaksi!$N$2:$N$2001&lt;=E$52)*(Transaksi!$O$2:$O$2001&gt;=E$52)*(Transaksi!$R$2:$R$2001&gt;0))&gt;0,"½",IF(E$52&gt;TODAY(),"·","✗")))))</f>
        <v/>
      </c>
      <c r="F66" s="42">
        <f>IF($A66="","",IF(OR(F$52&lt;Tetapan!$B18,AND(Tetapan!$C18&lt;&gt;"",F$52&gt;Tetapan!$C18),Tetapan!$E18=0,F$52&gt;Tetapan!$B$27),"–",IF(SUMPRODUCT((Transaksi!$C$2:$C$2001=$A66)*(Transaksi!$N$2:$N$2001&lt;=F$52)*(Transaksi!$O$2:$O$2001&gt;=F$52)*(Transaksi!$R$2:$R$2001&gt;=Tetapan!$E18-0.01))&gt;0,"✓",IF(SUMPRODUCT((Transaksi!$C$2:$C$2001=$A66)*(Transaksi!$N$2:$N$2001&lt;=F$52)*(Transaksi!$O$2:$O$2001&gt;=F$52)*(Transaksi!$R$2:$R$2001&gt;0))&gt;0,"½",IF(F$52&gt;TODAY(),"·","✗")))))</f>
        <v/>
      </c>
      <c r="G66" s="42">
        <f>IF($A66="","",IF(OR(G$52&lt;Tetapan!$B18,AND(Tetapan!$C18&lt;&gt;"",G$52&gt;Tetapan!$C18),Tetapan!$E18=0,G$52&gt;Tetapan!$B$27),"–",IF(SUMPRODUCT((Transaksi!$C$2:$C$2001=$A66)*(Transaksi!$N$2:$N$2001&lt;=G$52)*(Transaksi!$O$2:$O$2001&gt;=G$52)*(Transaksi!$R$2:$R$2001&gt;=Tetapan!$E18-0.01))&gt;0,"✓",IF(SUMPRODUCT((Transaksi!$C$2:$C$2001=$A66)*(Transaksi!$N$2:$N$2001&lt;=G$52)*(Transaksi!$O$2:$O$2001&gt;=G$52)*(Transaksi!$R$2:$R$2001&gt;0))&gt;0,"½",IF(G$52&gt;TODAY(),"·","✗")))))</f>
        <v/>
      </c>
      <c r="H66" s="42">
        <f>IF($A66="","",IF(OR(H$52&lt;Tetapan!$B18,AND(Tetapan!$C18&lt;&gt;"",H$52&gt;Tetapan!$C18),Tetapan!$E18=0,H$52&gt;Tetapan!$B$27),"–",IF(SUMPRODUCT((Transaksi!$C$2:$C$2001=$A66)*(Transaksi!$N$2:$N$2001&lt;=H$52)*(Transaksi!$O$2:$O$2001&gt;=H$52)*(Transaksi!$R$2:$R$2001&gt;=Tetapan!$E18-0.01))&gt;0,"✓",IF(SUMPRODUCT((Transaksi!$C$2:$C$2001=$A66)*(Transaksi!$N$2:$N$2001&lt;=H$52)*(Transaksi!$O$2:$O$2001&gt;=H$52)*(Transaksi!$R$2:$R$2001&gt;0))&gt;0,"½",IF(H$52&gt;TODAY(),"·","✗")))))</f>
        <v/>
      </c>
      <c r="I66" s="42">
        <f>IF($A66="","",IF(OR(I$52&lt;Tetapan!$B18,AND(Tetapan!$C18&lt;&gt;"",I$52&gt;Tetapan!$C18),Tetapan!$E18=0,I$52&gt;Tetapan!$B$27),"–",IF(SUMPRODUCT((Transaksi!$C$2:$C$2001=$A66)*(Transaksi!$N$2:$N$2001&lt;=I$52)*(Transaksi!$O$2:$O$2001&gt;=I$52)*(Transaksi!$R$2:$R$2001&gt;=Tetapan!$E18-0.01))&gt;0,"✓",IF(SUMPRODUCT((Transaksi!$C$2:$C$2001=$A66)*(Transaksi!$N$2:$N$2001&lt;=I$52)*(Transaksi!$O$2:$O$2001&gt;=I$52)*(Transaksi!$R$2:$R$2001&gt;0))&gt;0,"½",IF(I$52&gt;TODAY(),"·","✗")))))</f>
        <v/>
      </c>
      <c r="J66" s="42">
        <f>IF($A66="","",IF(OR(J$52&lt;Tetapan!$B18,AND(Tetapan!$C18&lt;&gt;"",J$52&gt;Tetapan!$C18),Tetapan!$E18=0,J$52&gt;Tetapan!$B$27),"–",IF(SUMPRODUCT((Transaksi!$C$2:$C$2001=$A66)*(Transaksi!$N$2:$N$2001&lt;=J$52)*(Transaksi!$O$2:$O$2001&gt;=J$52)*(Transaksi!$R$2:$R$2001&gt;=Tetapan!$E18-0.01))&gt;0,"✓",IF(SUMPRODUCT((Transaksi!$C$2:$C$2001=$A66)*(Transaksi!$N$2:$N$2001&lt;=J$52)*(Transaksi!$O$2:$O$2001&gt;=J$52)*(Transaksi!$R$2:$R$2001&gt;0))&gt;0,"½",IF(J$52&gt;TODAY(),"·","✗")))))</f>
        <v/>
      </c>
      <c r="K66" s="42">
        <f>IF($A66="","",IF(OR(K$52&lt;Tetapan!$B18,AND(Tetapan!$C18&lt;&gt;"",K$52&gt;Tetapan!$C18),Tetapan!$E18=0,K$52&gt;Tetapan!$B$27),"–",IF(SUMPRODUCT((Transaksi!$C$2:$C$2001=$A66)*(Transaksi!$N$2:$N$2001&lt;=K$52)*(Transaksi!$O$2:$O$2001&gt;=K$52)*(Transaksi!$R$2:$R$2001&gt;=Tetapan!$E18-0.01))&gt;0,"✓",IF(SUMPRODUCT((Transaksi!$C$2:$C$2001=$A66)*(Transaksi!$N$2:$N$2001&lt;=K$52)*(Transaksi!$O$2:$O$2001&gt;=K$52)*(Transaksi!$R$2:$R$2001&gt;0))&gt;0,"½",IF(K$52&gt;TODAY(),"·","✗")))))</f>
        <v/>
      </c>
      <c r="L66" s="42">
        <f>IF($A66="","",IF(OR(L$52&lt;Tetapan!$B18,AND(Tetapan!$C18&lt;&gt;"",L$52&gt;Tetapan!$C18),Tetapan!$E18=0,L$52&gt;Tetapan!$B$27),"–",IF(SUMPRODUCT((Transaksi!$C$2:$C$2001=$A66)*(Transaksi!$N$2:$N$2001&lt;=L$52)*(Transaksi!$O$2:$O$2001&gt;=L$52)*(Transaksi!$R$2:$R$2001&gt;=Tetapan!$E18-0.01))&gt;0,"✓",IF(SUMPRODUCT((Transaksi!$C$2:$C$2001=$A66)*(Transaksi!$N$2:$N$2001&lt;=L$52)*(Transaksi!$O$2:$O$2001&gt;=L$52)*(Transaksi!$R$2:$R$2001&gt;0))&gt;0,"½",IF(L$52&gt;TODAY(),"·","✗")))))</f>
        <v/>
      </c>
      <c r="M66" s="42">
        <f>IF($A66="","",IF(OR(M$52&lt;Tetapan!$B18,AND(Tetapan!$C18&lt;&gt;"",M$52&gt;Tetapan!$C18),Tetapan!$E18=0,M$52&gt;Tetapan!$B$27),"–",IF(SUMPRODUCT((Transaksi!$C$2:$C$2001=$A66)*(Transaksi!$N$2:$N$2001&lt;=M$52)*(Transaksi!$O$2:$O$2001&gt;=M$52)*(Transaksi!$R$2:$R$2001&gt;=Tetapan!$E18-0.01))&gt;0,"✓",IF(SUMPRODUCT((Transaksi!$C$2:$C$2001=$A66)*(Transaksi!$N$2:$N$2001&lt;=M$52)*(Transaksi!$O$2:$O$2001&gt;=M$52)*(Transaksi!$R$2:$R$2001&gt;0))&gt;0,"½",IF(M$52&gt;TODAY(),"·","✗")))))</f>
        <v/>
      </c>
      <c r="N66" s="42">
        <f>IF($A66="","",IF(OR(N$52&lt;Tetapan!$B18,AND(Tetapan!$C18&lt;&gt;"",N$52&gt;Tetapan!$C18),Tetapan!$E18=0,N$52&gt;Tetapan!$B$27),"–",IF(SUMPRODUCT((Transaksi!$C$2:$C$2001=$A66)*(Transaksi!$N$2:$N$2001&lt;=N$52)*(Transaksi!$O$2:$O$2001&gt;=N$52)*(Transaksi!$R$2:$R$2001&gt;=Tetapan!$E18-0.01))&gt;0,"✓",IF(SUMPRODUCT((Transaksi!$C$2:$C$2001=$A66)*(Transaksi!$N$2:$N$2001&lt;=N$52)*(Transaksi!$O$2:$O$2001&gt;=N$52)*(Transaksi!$R$2:$R$2001&gt;0))&gt;0,"½",IF(N$52&gt;TODAY(),"·","✗")))))</f>
        <v/>
      </c>
      <c r="O66" s="42">
        <f>IF($A66="","",IF(OR(O$52&lt;Tetapan!$B18,AND(Tetapan!$C18&lt;&gt;"",O$52&gt;Tetapan!$C18),Tetapan!$E18=0,O$52&gt;Tetapan!$B$27),"–",IF(SUMPRODUCT((Transaksi!$C$2:$C$2001=$A66)*(Transaksi!$N$2:$N$2001&lt;=O$52)*(Transaksi!$O$2:$O$2001&gt;=O$52)*(Transaksi!$R$2:$R$2001&gt;=Tetapan!$E18-0.01))&gt;0,"✓",IF(SUMPRODUCT((Transaksi!$C$2:$C$2001=$A66)*(Transaksi!$N$2:$N$2001&lt;=O$52)*(Transaksi!$O$2:$O$2001&gt;=O$52)*(Transaksi!$R$2:$R$2001&gt;0))&gt;0,"½",IF(O$52&gt;TODAY(),"·","✗")))))</f>
        <v/>
      </c>
      <c r="P66" s="42">
        <f>IF($A66="","",IF(OR(P$52&lt;Tetapan!$B18,AND(Tetapan!$C18&lt;&gt;"",P$52&gt;Tetapan!$C18),Tetapan!$E18=0,P$52&gt;Tetapan!$B$27),"–",IF(SUMPRODUCT((Transaksi!$C$2:$C$2001=$A66)*(Transaksi!$N$2:$N$2001&lt;=P$52)*(Transaksi!$O$2:$O$2001&gt;=P$52)*(Transaksi!$R$2:$R$2001&gt;=Tetapan!$E18-0.01))&gt;0,"✓",IF(SUMPRODUCT((Transaksi!$C$2:$C$2001=$A66)*(Transaksi!$N$2:$N$2001&lt;=P$52)*(Transaksi!$O$2:$O$2001&gt;=P$52)*(Transaksi!$R$2:$R$2001&gt;0))&gt;0,"½",IF(P$52&gt;TODAY(),"·","✗")))))</f>
        <v/>
      </c>
      <c r="Q66" s="42">
        <f>IF($A66="","",IF(OR(Q$52&lt;Tetapan!$B18,AND(Tetapan!$C18&lt;&gt;"",Q$52&gt;Tetapan!$C18),Tetapan!$E18=0,Q$52&gt;Tetapan!$B$27),"–",IF(SUMPRODUCT((Transaksi!$C$2:$C$2001=$A66)*(Transaksi!$N$2:$N$2001&lt;=Q$52)*(Transaksi!$O$2:$O$2001&gt;=Q$52)*(Transaksi!$R$2:$R$2001&gt;=Tetapan!$E18-0.01))&gt;0,"✓",IF(SUMPRODUCT((Transaksi!$C$2:$C$2001=$A66)*(Transaksi!$N$2:$N$2001&lt;=Q$52)*(Transaksi!$O$2:$O$2001&gt;=Q$52)*(Transaksi!$R$2:$R$2001&gt;0))&gt;0,"½",IF(Q$52&gt;TODAY(),"·","✗")))))</f>
        <v/>
      </c>
      <c r="R66" s="42">
        <f>IF($A66="","",IF(OR(R$52&lt;Tetapan!$B18,AND(Tetapan!$C18&lt;&gt;"",R$52&gt;Tetapan!$C18),Tetapan!$E18=0,R$52&gt;Tetapan!$B$27),"–",IF(SUMPRODUCT((Transaksi!$C$2:$C$2001=$A66)*(Transaksi!$N$2:$N$2001&lt;=R$52)*(Transaksi!$O$2:$O$2001&gt;=R$52)*(Transaksi!$R$2:$R$2001&gt;=Tetapan!$E18-0.01))&gt;0,"✓",IF(SUMPRODUCT((Transaksi!$C$2:$C$2001=$A66)*(Transaksi!$N$2:$N$2001&lt;=R$52)*(Transaksi!$O$2:$O$2001&gt;=R$52)*(Transaksi!$R$2:$R$2001&gt;0))&gt;0,"½",IF(R$52&gt;TODAY(),"·","✗")))))</f>
        <v/>
      </c>
      <c r="S66" s="42">
        <f>IF($A66="","",IF(OR(S$52&lt;Tetapan!$B18,AND(Tetapan!$C18&lt;&gt;"",S$52&gt;Tetapan!$C18),Tetapan!$E18=0,S$52&gt;Tetapan!$B$27),"–",IF(SUMPRODUCT((Transaksi!$C$2:$C$2001=$A66)*(Transaksi!$N$2:$N$2001&lt;=S$52)*(Transaksi!$O$2:$O$2001&gt;=S$52)*(Transaksi!$R$2:$R$2001&gt;=Tetapan!$E18-0.01))&gt;0,"✓",IF(SUMPRODUCT((Transaksi!$C$2:$C$2001=$A66)*(Transaksi!$N$2:$N$2001&lt;=S$52)*(Transaksi!$O$2:$O$2001&gt;=S$52)*(Transaksi!$R$2:$R$2001&gt;0))&gt;0,"½",IF(S$52&gt;TODAY(),"·","✗")))))</f>
        <v/>
      </c>
      <c r="T66" s="42">
        <f>IF($A66="","",IF(OR(T$52&lt;Tetapan!$B18,AND(Tetapan!$C18&lt;&gt;"",T$52&gt;Tetapan!$C18),Tetapan!$E18=0,T$52&gt;Tetapan!$B$27),"–",IF(SUMPRODUCT((Transaksi!$C$2:$C$2001=$A66)*(Transaksi!$N$2:$N$2001&lt;=T$52)*(Transaksi!$O$2:$O$2001&gt;=T$52)*(Transaksi!$R$2:$R$2001&gt;=Tetapan!$E18-0.01))&gt;0,"✓",IF(SUMPRODUCT((Transaksi!$C$2:$C$2001=$A66)*(Transaksi!$N$2:$N$2001&lt;=T$52)*(Transaksi!$O$2:$O$2001&gt;=T$52)*(Transaksi!$R$2:$R$2001&gt;0))&gt;0,"½",IF(T$52&gt;TODAY(),"·","✗")))))</f>
        <v/>
      </c>
      <c r="W66" s="12">
        <f>IF(B66="✗",TEXT(B$52,"mmm yy")&amp;", ",IF(B66="½",TEXT(B$52,"mmm yy")&amp;" (separa), ",""))&amp;IF(C66="✗",TEXT(C$52,"mmm yy")&amp;", ",IF(C66="½",TEXT(C$52,"mmm yy")&amp;" (separa), ",""))&amp;IF(D66="✗",TEXT(D$52,"mmm yy")&amp;", ",IF(D66="½",TEXT(D$52,"mmm yy")&amp;" (separa), ",""))&amp;IF(E66="✗",TEXT(E$52,"mmm yy")&amp;", ",IF(E66="½",TEXT(E$52,"mmm yy")&amp;" (separa), ",""))&amp;IF(F66="✗",TEXT(F$52,"mmm yy")&amp;", ",IF(F66="½",TEXT(F$52,"mmm yy")&amp;" (separa), ",""))&amp;IF(G66="✗",TEXT(G$52,"mmm yy")&amp;", ",IF(G66="½",TEXT(G$52,"mmm yy")&amp;" (separa), ",""))&amp;IF(H66="✗",TEXT(H$52,"mmm yy")&amp;", ",IF(H66="½",TEXT(H$52,"mmm yy")&amp;" (separa), ",""))&amp;IF(I66="✗",TEXT(I$52,"mmm yy")&amp;", ",IF(I66="½",TEXT(I$52,"mmm yy")&amp;" (separa), ",""))&amp;IF(J66="✗",TEXT(J$52,"mmm yy")&amp;", ",IF(J66="½",TEXT(J$52,"mmm yy")&amp;" (separa), ",""))&amp;IF(K66="✗",TEXT(K$52,"mmm yy")&amp;", ",IF(K66="½",TEXT(K$52,"mmm yy")&amp;" (separa), ",""))&amp;IF(L66="✗",TEXT(L$52,"mmm yy")&amp;", ",IF(L66="½",TEXT(L$52,"mmm yy")&amp;" (separa), ",""))&amp;IF(M66="✗",TEXT(M$52,"mmm yy")&amp;", ",IF(M66="½",TEXT(M$52,"mmm yy")&amp;" (separa), ",""))&amp;IF(N66="✗",TEXT(N$52,"mmm yy")&amp;", ",IF(N66="½",TEXT(N$52,"mmm yy")&amp;" (separa), ",""))&amp;IF(O66="✗",TEXT(O$52,"mmm yy")&amp;", ",IF(O66="½",TEXT(O$52,"mmm yy")&amp;" (separa), ",""))&amp;IF(P66="✗",TEXT(P$52,"mmm yy")&amp;", ",IF(P66="½",TEXT(P$52,"mmm yy")&amp;" (separa), ",""))&amp;IF(Q66="✗",TEXT(Q$52,"mmm yy")&amp;", ",IF(Q66="½",TEXT(Q$52,"mmm yy")&amp;" (separa), ",""))&amp;IF(R66="✗",TEXT(R$52,"mmm yy")&amp;", ",IF(R66="½",TEXT(R$52,"mmm yy")&amp;" (separa), ",""))&amp;IF(S66="✗",TEXT(S$52,"mmm yy")&amp;", ",IF(S66="½",TEXT(S$52,"mmm yy")&amp;" (separa), ",""))&amp;IF(T66="✗",TEXT(T$52,"mmm yy")&amp;", ",IF(T66="½",TEXT(T$52,"mmm yy")&amp;" (separa), ",""))</f>
        <v/>
      </c>
    </row>
    <row r="67">
      <c r="A67" s="41">
        <f>IF(Tetapan!A19="","",Tetapan!A19)</f>
        <v/>
      </c>
      <c r="B67" s="42">
        <f>IF($A67="","",IF(OR(B$52&lt;Tetapan!$B19,AND(Tetapan!$C19&lt;&gt;"",B$52&gt;Tetapan!$C19),Tetapan!$E19=0,B$52&gt;Tetapan!$B$27),"–",IF(SUMPRODUCT((Transaksi!$C$2:$C$2001=$A67)*(Transaksi!$N$2:$N$2001&lt;=B$52)*(Transaksi!$O$2:$O$2001&gt;=B$52)*(Transaksi!$R$2:$R$2001&gt;=Tetapan!$E19-0.01))&gt;0,"✓",IF(SUMPRODUCT((Transaksi!$C$2:$C$2001=$A67)*(Transaksi!$N$2:$N$2001&lt;=B$52)*(Transaksi!$O$2:$O$2001&gt;=B$52)*(Transaksi!$R$2:$R$2001&gt;0))&gt;0,"½",IF(B$52&gt;TODAY(),"·","✗")))))</f>
        <v/>
      </c>
      <c r="C67" s="42">
        <f>IF($A67="","",IF(OR(C$52&lt;Tetapan!$B19,AND(Tetapan!$C19&lt;&gt;"",C$52&gt;Tetapan!$C19),Tetapan!$E19=0,C$52&gt;Tetapan!$B$27),"–",IF(SUMPRODUCT((Transaksi!$C$2:$C$2001=$A67)*(Transaksi!$N$2:$N$2001&lt;=C$52)*(Transaksi!$O$2:$O$2001&gt;=C$52)*(Transaksi!$R$2:$R$2001&gt;=Tetapan!$E19-0.01))&gt;0,"✓",IF(SUMPRODUCT((Transaksi!$C$2:$C$2001=$A67)*(Transaksi!$N$2:$N$2001&lt;=C$52)*(Transaksi!$O$2:$O$2001&gt;=C$52)*(Transaksi!$R$2:$R$2001&gt;0))&gt;0,"½",IF(C$52&gt;TODAY(),"·","✗")))))</f>
        <v/>
      </c>
      <c r="D67" s="42">
        <f>IF($A67="","",IF(OR(D$52&lt;Tetapan!$B19,AND(Tetapan!$C19&lt;&gt;"",D$52&gt;Tetapan!$C19),Tetapan!$E19=0,D$52&gt;Tetapan!$B$27),"–",IF(SUMPRODUCT((Transaksi!$C$2:$C$2001=$A67)*(Transaksi!$N$2:$N$2001&lt;=D$52)*(Transaksi!$O$2:$O$2001&gt;=D$52)*(Transaksi!$R$2:$R$2001&gt;=Tetapan!$E19-0.01))&gt;0,"✓",IF(SUMPRODUCT((Transaksi!$C$2:$C$2001=$A67)*(Transaksi!$N$2:$N$2001&lt;=D$52)*(Transaksi!$O$2:$O$2001&gt;=D$52)*(Transaksi!$R$2:$R$2001&gt;0))&gt;0,"½",IF(D$52&gt;TODAY(),"·","✗")))))</f>
        <v/>
      </c>
      <c r="E67" s="42">
        <f>IF($A67="","",IF(OR(E$52&lt;Tetapan!$B19,AND(Tetapan!$C19&lt;&gt;"",E$52&gt;Tetapan!$C19),Tetapan!$E19=0,E$52&gt;Tetapan!$B$27),"–",IF(SUMPRODUCT((Transaksi!$C$2:$C$2001=$A67)*(Transaksi!$N$2:$N$2001&lt;=E$52)*(Transaksi!$O$2:$O$2001&gt;=E$52)*(Transaksi!$R$2:$R$2001&gt;=Tetapan!$E19-0.01))&gt;0,"✓",IF(SUMPRODUCT((Transaksi!$C$2:$C$2001=$A67)*(Transaksi!$N$2:$N$2001&lt;=E$52)*(Transaksi!$O$2:$O$2001&gt;=E$52)*(Transaksi!$R$2:$R$2001&gt;0))&gt;0,"½",IF(E$52&gt;TODAY(),"·","✗")))))</f>
        <v/>
      </c>
      <c r="F67" s="42">
        <f>IF($A67="","",IF(OR(F$52&lt;Tetapan!$B19,AND(Tetapan!$C19&lt;&gt;"",F$52&gt;Tetapan!$C19),Tetapan!$E19=0,F$52&gt;Tetapan!$B$27),"–",IF(SUMPRODUCT((Transaksi!$C$2:$C$2001=$A67)*(Transaksi!$N$2:$N$2001&lt;=F$52)*(Transaksi!$O$2:$O$2001&gt;=F$52)*(Transaksi!$R$2:$R$2001&gt;=Tetapan!$E19-0.01))&gt;0,"✓",IF(SUMPRODUCT((Transaksi!$C$2:$C$2001=$A67)*(Transaksi!$N$2:$N$2001&lt;=F$52)*(Transaksi!$O$2:$O$2001&gt;=F$52)*(Transaksi!$R$2:$R$2001&gt;0))&gt;0,"½",IF(F$52&gt;TODAY(),"·","✗")))))</f>
        <v/>
      </c>
      <c r="G67" s="42">
        <f>IF($A67="","",IF(OR(G$52&lt;Tetapan!$B19,AND(Tetapan!$C19&lt;&gt;"",G$52&gt;Tetapan!$C19),Tetapan!$E19=0,G$52&gt;Tetapan!$B$27),"–",IF(SUMPRODUCT((Transaksi!$C$2:$C$2001=$A67)*(Transaksi!$N$2:$N$2001&lt;=G$52)*(Transaksi!$O$2:$O$2001&gt;=G$52)*(Transaksi!$R$2:$R$2001&gt;=Tetapan!$E19-0.01))&gt;0,"✓",IF(SUMPRODUCT((Transaksi!$C$2:$C$2001=$A67)*(Transaksi!$N$2:$N$2001&lt;=G$52)*(Transaksi!$O$2:$O$2001&gt;=G$52)*(Transaksi!$R$2:$R$2001&gt;0))&gt;0,"½",IF(G$52&gt;TODAY(),"·","✗")))))</f>
        <v/>
      </c>
      <c r="H67" s="42">
        <f>IF($A67="","",IF(OR(H$52&lt;Tetapan!$B19,AND(Tetapan!$C19&lt;&gt;"",H$52&gt;Tetapan!$C19),Tetapan!$E19=0,H$52&gt;Tetapan!$B$27),"–",IF(SUMPRODUCT((Transaksi!$C$2:$C$2001=$A67)*(Transaksi!$N$2:$N$2001&lt;=H$52)*(Transaksi!$O$2:$O$2001&gt;=H$52)*(Transaksi!$R$2:$R$2001&gt;=Tetapan!$E19-0.01))&gt;0,"✓",IF(SUMPRODUCT((Transaksi!$C$2:$C$2001=$A67)*(Transaksi!$N$2:$N$2001&lt;=H$52)*(Transaksi!$O$2:$O$2001&gt;=H$52)*(Transaksi!$R$2:$R$2001&gt;0))&gt;0,"½",IF(H$52&gt;TODAY(),"·","✗")))))</f>
        <v/>
      </c>
      <c r="I67" s="42">
        <f>IF($A67="","",IF(OR(I$52&lt;Tetapan!$B19,AND(Tetapan!$C19&lt;&gt;"",I$52&gt;Tetapan!$C19),Tetapan!$E19=0,I$52&gt;Tetapan!$B$27),"–",IF(SUMPRODUCT((Transaksi!$C$2:$C$2001=$A67)*(Transaksi!$N$2:$N$2001&lt;=I$52)*(Transaksi!$O$2:$O$2001&gt;=I$52)*(Transaksi!$R$2:$R$2001&gt;=Tetapan!$E19-0.01))&gt;0,"✓",IF(SUMPRODUCT((Transaksi!$C$2:$C$2001=$A67)*(Transaksi!$N$2:$N$2001&lt;=I$52)*(Transaksi!$O$2:$O$2001&gt;=I$52)*(Transaksi!$R$2:$R$2001&gt;0))&gt;0,"½",IF(I$52&gt;TODAY(),"·","✗")))))</f>
        <v/>
      </c>
      <c r="J67" s="42">
        <f>IF($A67="","",IF(OR(J$52&lt;Tetapan!$B19,AND(Tetapan!$C19&lt;&gt;"",J$52&gt;Tetapan!$C19),Tetapan!$E19=0,J$52&gt;Tetapan!$B$27),"–",IF(SUMPRODUCT((Transaksi!$C$2:$C$2001=$A67)*(Transaksi!$N$2:$N$2001&lt;=J$52)*(Transaksi!$O$2:$O$2001&gt;=J$52)*(Transaksi!$R$2:$R$2001&gt;=Tetapan!$E19-0.01))&gt;0,"✓",IF(SUMPRODUCT((Transaksi!$C$2:$C$2001=$A67)*(Transaksi!$N$2:$N$2001&lt;=J$52)*(Transaksi!$O$2:$O$2001&gt;=J$52)*(Transaksi!$R$2:$R$2001&gt;0))&gt;0,"½",IF(J$52&gt;TODAY(),"·","✗")))))</f>
        <v/>
      </c>
      <c r="K67" s="42">
        <f>IF($A67="","",IF(OR(K$52&lt;Tetapan!$B19,AND(Tetapan!$C19&lt;&gt;"",K$52&gt;Tetapan!$C19),Tetapan!$E19=0,K$52&gt;Tetapan!$B$27),"–",IF(SUMPRODUCT((Transaksi!$C$2:$C$2001=$A67)*(Transaksi!$N$2:$N$2001&lt;=K$52)*(Transaksi!$O$2:$O$2001&gt;=K$52)*(Transaksi!$R$2:$R$2001&gt;=Tetapan!$E19-0.01))&gt;0,"✓",IF(SUMPRODUCT((Transaksi!$C$2:$C$2001=$A67)*(Transaksi!$N$2:$N$2001&lt;=K$52)*(Transaksi!$O$2:$O$2001&gt;=K$52)*(Transaksi!$R$2:$R$2001&gt;0))&gt;0,"½",IF(K$52&gt;TODAY(),"·","✗")))))</f>
        <v/>
      </c>
      <c r="L67" s="42">
        <f>IF($A67="","",IF(OR(L$52&lt;Tetapan!$B19,AND(Tetapan!$C19&lt;&gt;"",L$52&gt;Tetapan!$C19),Tetapan!$E19=0,L$52&gt;Tetapan!$B$27),"–",IF(SUMPRODUCT((Transaksi!$C$2:$C$2001=$A67)*(Transaksi!$N$2:$N$2001&lt;=L$52)*(Transaksi!$O$2:$O$2001&gt;=L$52)*(Transaksi!$R$2:$R$2001&gt;=Tetapan!$E19-0.01))&gt;0,"✓",IF(SUMPRODUCT((Transaksi!$C$2:$C$2001=$A67)*(Transaksi!$N$2:$N$2001&lt;=L$52)*(Transaksi!$O$2:$O$2001&gt;=L$52)*(Transaksi!$R$2:$R$2001&gt;0))&gt;0,"½",IF(L$52&gt;TODAY(),"·","✗")))))</f>
        <v/>
      </c>
      <c r="M67" s="42">
        <f>IF($A67="","",IF(OR(M$52&lt;Tetapan!$B19,AND(Tetapan!$C19&lt;&gt;"",M$52&gt;Tetapan!$C19),Tetapan!$E19=0,M$52&gt;Tetapan!$B$27),"–",IF(SUMPRODUCT((Transaksi!$C$2:$C$2001=$A67)*(Transaksi!$N$2:$N$2001&lt;=M$52)*(Transaksi!$O$2:$O$2001&gt;=M$52)*(Transaksi!$R$2:$R$2001&gt;=Tetapan!$E19-0.01))&gt;0,"✓",IF(SUMPRODUCT((Transaksi!$C$2:$C$2001=$A67)*(Transaksi!$N$2:$N$2001&lt;=M$52)*(Transaksi!$O$2:$O$2001&gt;=M$52)*(Transaksi!$R$2:$R$2001&gt;0))&gt;0,"½",IF(M$52&gt;TODAY(),"·","✗")))))</f>
        <v/>
      </c>
      <c r="N67" s="42">
        <f>IF($A67="","",IF(OR(N$52&lt;Tetapan!$B19,AND(Tetapan!$C19&lt;&gt;"",N$52&gt;Tetapan!$C19),Tetapan!$E19=0,N$52&gt;Tetapan!$B$27),"–",IF(SUMPRODUCT((Transaksi!$C$2:$C$2001=$A67)*(Transaksi!$N$2:$N$2001&lt;=N$52)*(Transaksi!$O$2:$O$2001&gt;=N$52)*(Transaksi!$R$2:$R$2001&gt;=Tetapan!$E19-0.01))&gt;0,"✓",IF(SUMPRODUCT((Transaksi!$C$2:$C$2001=$A67)*(Transaksi!$N$2:$N$2001&lt;=N$52)*(Transaksi!$O$2:$O$2001&gt;=N$52)*(Transaksi!$R$2:$R$2001&gt;0))&gt;0,"½",IF(N$52&gt;TODAY(),"·","✗")))))</f>
        <v/>
      </c>
      <c r="O67" s="42">
        <f>IF($A67="","",IF(OR(O$52&lt;Tetapan!$B19,AND(Tetapan!$C19&lt;&gt;"",O$52&gt;Tetapan!$C19),Tetapan!$E19=0,O$52&gt;Tetapan!$B$27),"–",IF(SUMPRODUCT((Transaksi!$C$2:$C$2001=$A67)*(Transaksi!$N$2:$N$2001&lt;=O$52)*(Transaksi!$O$2:$O$2001&gt;=O$52)*(Transaksi!$R$2:$R$2001&gt;=Tetapan!$E19-0.01))&gt;0,"✓",IF(SUMPRODUCT((Transaksi!$C$2:$C$2001=$A67)*(Transaksi!$N$2:$N$2001&lt;=O$52)*(Transaksi!$O$2:$O$2001&gt;=O$52)*(Transaksi!$R$2:$R$2001&gt;0))&gt;0,"½",IF(O$52&gt;TODAY(),"·","✗")))))</f>
        <v/>
      </c>
      <c r="P67" s="42">
        <f>IF($A67="","",IF(OR(P$52&lt;Tetapan!$B19,AND(Tetapan!$C19&lt;&gt;"",P$52&gt;Tetapan!$C19),Tetapan!$E19=0,P$52&gt;Tetapan!$B$27),"–",IF(SUMPRODUCT((Transaksi!$C$2:$C$2001=$A67)*(Transaksi!$N$2:$N$2001&lt;=P$52)*(Transaksi!$O$2:$O$2001&gt;=P$52)*(Transaksi!$R$2:$R$2001&gt;=Tetapan!$E19-0.01))&gt;0,"✓",IF(SUMPRODUCT((Transaksi!$C$2:$C$2001=$A67)*(Transaksi!$N$2:$N$2001&lt;=P$52)*(Transaksi!$O$2:$O$2001&gt;=P$52)*(Transaksi!$R$2:$R$2001&gt;0))&gt;0,"½",IF(P$52&gt;TODAY(),"·","✗")))))</f>
        <v/>
      </c>
      <c r="Q67" s="42">
        <f>IF($A67="","",IF(OR(Q$52&lt;Tetapan!$B19,AND(Tetapan!$C19&lt;&gt;"",Q$52&gt;Tetapan!$C19),Tetapan!$E19=0,Q$52&gt;Tetapan!$B$27),"–",IF(SUMPRODUCT((Transaksi!$C$2:$C$2001=$A67)*(Transaksi!$N$2:$N$2001&lt;=Q$52)*(Transaksi!$O$2:$O$2001&gt;=Q$52)*(Transaksi!$R$2:$R$2001&gt;=Tetapan!$E19-0.01))&gt;0,"✓",IF(SUMPRODUCT((Transaksi!$C$2:$C$2001=$A67)*(Transaksi!$N$2:$N$2001&lt;=Q$52)*(Transaksi!$O$2:$O$2001&gt;=Q$52)*(Transaksi!$R$2:$R$2001&gt;0))&gt;0,"½",IF(Q$52&gt;TODAY(),"·","✗")))))</f>
        <v/>
      </c>
      <c r="R67" s="42">
        <f>IF($A67="","",IF(OR(R$52&lt;Tetapan!$B19,AND(Tetapan!$C19&lt;&gt;"",R$52&gt;Tetapan!$C19),Tetapan!$E19=0,R$52&gt;Tetapan!$B$27),"–",IF(SUMPRODUCT((Transaksi!$C$2:$C$2001=$A67)*(Transaksi!$N$2:$N$2001&lt;=R$52)*(Transaksi!$O$2:$O$2001&gt;=R$52)*(Transaksi!$R$2:$R$2001&gt;=Tetapan!$E19-0.01))&gt;0,"✓",IF(SUMPRODUCT((Transaksi!$C$2:$C$2001=$A67)*(Transaksi!$N$2:$N$2001&lt;=R$52)*(Transaksi!$O$2:$O$2001&gt;=R$52)*(Transaksi!$R$2:$R$2001&gt;0))&gt;0,"½",IF(R$52&gt;TODAY(),"·","✗")))))</f>
        <v/>
      </c>
      <c r="S67" s="42">
        <f>IF($A67="","",IF(OR(S$52&lt;Tetapan!$B19,AND(Tetapan!$C19&lt;&gt;"",S$52&gt;Tetapan!$C19),Tetapan!$E19=0,S$52&gt;Tetapan!$B$27),"–",IF(SUMPRODUCT((Transaksi!$C$2:$C$2001=$A67)*(Transaksi!$N$2:$N$2001&lt;=S$52)*(Transaksi!$O$2:$O$2001&gt;=S$52)*(Transaksi!$R$2:$R$2001&gt;=Tetapan!$E19-0.01))&gt;0,"✓",IF(SUMPRODUCT((Transaksi!$C$2:$C$2001=$A67)*(Transaksi!$N$2:$N$2001&lt;=S$52)*(Transaksi!$O$2:$O$2001&gt;=S$52)*(Transaksi!$R$2:$R$2001&gt;0))&gt;0,"½",IF(S$52&gt;TODAY(),"·","✗")))))</f>
        <v/>
      </c>
      <c r="T67" s="42">
        <f>IF($A67="","",IF(OR(T$52&lt;Tetapan!$B19,AND(Tetapan!$C19&lt;&gt;"",T$52&gt;Tetapan!$C19),Tetapan!$E19=0,T$52&gt;Tetapan!$B$27),"–",IF(SUMPRODUCT((Transaksi!$C$2:$C$2001=$A67)*(Transaksi!$N$2:$N$2001&lt;=T$52)*(Transaksi!$O$2:$O$2001&gt;=T$52)*(Transaksi!$R$2:$R$2001&gt;=Tetapan!$E19-0.01))&gt;0,"✓",IF(SUMPRODUCT((Transaksi!$C$2:$C$2001=$A67)*(Transaksi!$N$2:$N$2001&lt;=T$52)*(Transaksi!$O$2:$O$2001&gt;=T$52)*(Transaksi!$R$2:$R$2001&gt;0))&gt;0,"½",IF(T$52&gt;TODAY(),"·","✗")))))</f>
        <v/>
      </c>
      <c r="W67" s="12">
        <f>IF(B67="✗",TEXT(B$52,"mmm yy")&amp;", ",IF(B67="½",TEXT(B$52,"mmm yy")&amp;" (separa), ",""))&amp;IF(C67="✗",TEXT(C$52,"mmm yy")&amp;", ",IF(C67="½",TEXT(C$52,"mmm yy")&amp;" (separa), ",""))&amp;IF(D67="✗",TEXT(D$52,"mmm yy")&amp;", ",IF(D67="½",TEXT(D$52,"mmm yy")&amp;" (separa), ",""))&amp;IF(E67="✗",TEXT(E$52,"mmm yy")&amp;", ",IF(E67="½",TEXT(E$52,"mmm yy")&amp;" (separa), ",""))&amp;IF(F67="✗",TEXT(F$52,"mmm yy")&amp;", ",IF(F67="½",TEXT(F$52,"mmm yy")&amp;" (separa), ",""))&amp;IF(G67="✗",TEXT(G$52,"mmm yy")&amp;", ",IF(G67="½",TEXT(G$52,"mmm yy")&amp;" (separa), ",""))&amp;IF(H67="✗",TEXT(H$52,"mmm yy")&amp;", ",IF(H67="½",TEXT(H$52,"mmm yy")&amp;" (separa), ",""))&amp;IF(I67="✗",TEXT(I$52,"mmm yy")&amp;", ",IF(I67="½",TEXT(I$52,"mmm yy")&amp;" (separa), ",""))&amp;IF(J67="✗",TEXT(J$52,"mmm yy")&amp;", ",IF(J67="½",TEXT(J$52,"mmm yy")&amp;" (separa), ",""))&amp;IF(K67="✗",TEXT(K$52,"mmm yy")&amp;", ",IF(K67="½",TEXT(K$52,"mmm yy")&amp;" (separa), ",""))&amp;IF(L67="✗",TEXT(L$52,"mmm yy")&amp;", ",IF(L67="½",TEXT(L$52,"mmm yy")&amp;" (separa), ",""))&amp;IF(M67="✗",TEXT(M$52,"mmm yy")&amp;", ",IF(M67="½",TEXT(M$52,"mmm yy")&amp;" (separa), ",""))&amp;IF(N67="✗",TEXT(N$52,"mmm yy")&amp;", ",IF(N67="½",TEXT(N$52,"mmm yy")&amp;" (separa), ",""))&amp;IF(O67="✗",TEXT(O$52,"mmm yy")&amp;", ",IF(O67="½",TEXT(O$52,"mmm yy")&amp;" (separa), ",""))&amp;IF(P67="✗",TEXT(P$52,"mmm yy")&amp;", ",IF(P67="½",TEXT(P$52,"mmm yy")&amp;" (separa), ",""))&amp;IF(Q67="✗",TEXT(Q$52,"mmm yy")&amp;", ",IF(Q67="½",TEXT(Q$52,"mmm yy")&amp;" (separa), ",""))&amp;IF(R67="✗",TEXT(R$52,"mmm yy")&amp;", ",IF(R67="½",TEXT(R$52,"mmm yy")&amp;" (separa), ",""))&amp;IF(S67="✗",TEXT(S$52,"mmm yy")&amp;", ",IF(S67="½",TEXT(S$52,"mmm yy")&amp;" (separa), ",""))&amp;IF(T67="✗",TEXT(T$52,"mmm yy")&amp;", ",IF(T67="½",TEXT(T$52,"mmm yy")&amp;" (separa), ",""))</f>
        <v/>
      </c>
    </row>
    <row r="68">
      <c r="A68" s="41">
        <f>IF(Tetapan!A20="","",Tetapan!A20)</f>
        <v/>
      </c>
      <c r="B68" s="42">
        <f>IF($A68="","",IF(OR(B$52&lt;Tetapan!$B20,AND(Tetapan!$C20&lt;&gt;"",B$52&gt;Tetapan!$C20),Tetapan!$E20=0,B$52&gt;Tetapan!$B$27),"–",IF(SUMPRODUCT((Transaksi!$C$2:$C$2001=$A68)*(Transaksi!$N$2:$N$2001&lt;=B$52)*(Transaksi!$O$2:$O$2001&gt;=B$52)*(Transaksi!$R$2:$R$2001&gt;=Tetapan!$E20-0.01))&gt;0,"✓",IF(SUMPRODUCT((Transaksi!$C$2:$C$2001=$A68)*(Transaksi!$N$2:$N$2001&lt;=B$52)*(Transaksi!$O$2:$O$2001&gt;=B$52)*(Transaksi!$R$2:$R$2001&gt;0))&gt;0,"½",IF(B$52&gt;TODAY(),"·","✗")))))</f>
        <v/>
      </c>
      <c r="C68" s="42">
        <f>IF($A68="","",IF(OR(C$52&lt;Tetapan!$B20,AND(Tetapan!$C20&lt;&gt;"",C$52&gt;Tetapan!$C20),Tetapan!$E20=0,C$52&gt;Tetapan!$B$27),"–",IF(SUMPRODUCT((Transaksi!$C$2:$C$2001=$A68)*(Transaksi!$N$2:$N$2001&lt;=C$52)*(Transaksi!$O$2:$O$2001&gt;=C$52)*(Transaksi!$R$2:$R$2001&gt;=Tetapan!$E20-0.01))&gt;0,"✓",IF(SUMPRODUCT((Transaksi!$C$2:$C$2001=$A68)*(Transaksi!$N$2:$N$2001&lt;=C$52)*(Transaksi!$O$2:$O$2001&gt;=C$52)*(Transaksi!$R$2:$R$2001&gt;0))&gt;0,"½",IF(C$52&gt;TODAY(),"·","✗")))))</f>
        <v/>
      </c>
      <c r="D68" s="42">
        <f>IF($A68="","",IF(OR(D$52&lt;Tetapan!$B20,AND(Tetapan!$C20&lt;&gt;"",D$52&gt;Tetapan!$C20),Tetapan!$E20=0,D$52&gt;Tetapan!$B$27),"–",IF(SUMPRODUCT((Transaksi!$C$2:$C$2001=$A68)*(Transaksi!$N$2:$N$2001&lt;=D$52)*(Transaksi!$O$2:$O$2001&gt;=D$52)*(Transaksi!$R$2:$R$2001&gt;=Tetapan!$E20-0.01))&gt;0,"✓",IF(SUMPRODUCT((Transaksi!$C$2:$C$2001=$A68)*(Transaksi!$N$2:$N$2001&lt;=D$52)*(Transaksi!$O$2:$O$2001&gt;=D$52)*(Transaksi!$R$2:$R$2001&gt;0))&gt;0,"½",IF(D$52&gt;TODAY(),"·","✗")))))</f>
        <v/>
      </c>
      <c r="E68" s="42">
        <f>IF($A68="","",IF(OR(E$52&lt;Tetapan!$B20,AND(Tetapan!$C20&lt;&gt;"",E$52&gt;Tetapan!$C20),Tetapan!$E20=0,E$52&gt;Tetapan!$B$27),"–",IF(SUMPRODUCT((Transaksi!$C$2:$C$2001=$A68)*(Transaksi!$N$2:$N$2001&lt;=E$52)*(Transaksi!$O$2:$O$2001&gt;=E$52)*(Transaksi!$R$2:$R$2001&gt;=Tetapan!$E20-0.01))&gt;0,"✓",IF(SUMPRODUCT((Transaksi!$C$2:$C$2001=$A68)*(Transaksi!$N$2:$N$2001&lt;=E$52)*(Transaksi!$O$2:$O$2001&gt;=E$52)*(Transaksi!$R$2:$R$2001&gt;0))&gt;0,"½",IF(E$52&gt;TODAY(),"·","✗")))))</f>
        <v/>
      </c>
      <c r="F68" s="42">
        <f>IF($A68="","",IF(OR(F$52&lt;Tetapan!$B20,AND(Tetapan!$C20&lt;&gt;"",F$52&gt;Tetapan!$C20),Tetapan!$E20=0,F$52&gt;Tetapan!$B$27),"–",IF(SUMPRODUCT((Transaksi!$C$2:$C$2001=$A68)*(Transaksi!$N$2:$N$2001&lt;=F$52)*(Transaksi!$O$2:$O$2001&gt;=F$52)*(Transaksi!$R$2:$R$2001&gt;=Tetapan!$E20-0.01))&gt;0,"✓",IF(SUMPRODUCT((Transaksi!$C$2:$C$2001=$A68)*(Transaksi!$N$2:$N$2001&lt;=F$52)*(Transaksi!$O$2:$O$2001&gt;=F$52)*(Transaksi!$R$2:$R$2001&gt;0))&gt;0,"½",IF(F$52&gt;TODAY(),"·","✗")))))</f>
        <v/>
      </c>
      <c r="G68" s="42">
        <f>IF($A68="","",IF(OR(G$52&lt;Tetapan!$B20,AND(Tetapan!$C20&lt;&gt;"",G$52&gt;Tetapan!$C20),Tetapan!$E20=0,G$52&gt;Tetapan!$B$27),"–",IF(SUMPRODUCT((Transaksi!$C$2:$C$2001=$A68)*(Transaksi!$N$2:$N$2001&lt;=G$52)*(Transaksi!$O$2:$O$2001&gt;=G$52)*(Transaksi!$R$2:$R$2001&gt;=Tetapan!$E20-0.01))&gt;0,"✓",IF(SUMPRODUCT((Transaksi!$C$2:$C$2001=$A68)*(Transaksi!$N$2:$N$2001&lt;=G$52)*(Transaksi!$O$2:$O$2001&gt;=G$52)*(Transaksi!$R$2:$R$2001&gt;0))&gt;0,"½",IF(G$52&gt;TODAY(),"·","✗")))))</f>
        <v/>
      </c>
      <c r="H68" s="42">
        <f>IF($A68="","",IF(OR(H$52&lt;Tetapan!$B20,AND(Tetapan!$C20&lt;&gt;"",H$52&gt;Tetapan!$C20),Tetapan!$E20=0,H$52&gt;Tetapan!$B$27),"–",IF(SUMPRODUCT((Transaksi!$C$2:$C$2001=$A68)*(Transaksi!$N$2:$N$2001&lt;=H$52)*(Transaksi!$O$2:$O$2001&gt;=H$52)*(Transaksi!$R$2:$R$2001&gt;=Tetapan!$E20-0.01))&gt;0,"✓",IF(SUMPRODUCT((Transaksi!$C$2:$C$2001=$A68)*(Transaksi!$N$2:$N$2001&lt;=H$52)*(Transaksi!$O$2:$O$2001&gt;=H$52)*(Transaksi!$R$2:$R$2001&gt;0))&gt;0,"½",IF(H$52&gt;TODAY(),"·","✗")))))</f>
        <v/>
      </c>
      <c r="I68" s="42">
        <f>IF($A68="","",IF(OR(I$52&lt;Tetapan!$B20,AND(Tetapan!$C20&lt;&gt;"",I$52&gt;Tetapan!$C20),Tetapan!$E20=0,I$52&gt;Tetapan!$B$27),"–",IF(SUMPRODUCT((Transaksi!$C$2:$C$2001=$A68)*(Transaksi!$N$2:$N$2001&lt;=I$52)*(Transaksi!$O$2:$O$2001&gt;=I$52)*(Transaksi!$R$2:$R$2001&gt;=Tetapan!$E20-0.01))&gt;0,"✓",IF(SUMPRODUCT((Transaksi!$C$2:$C$2001=$A68)*(Transaksi!$N$2:$N$2001&lt;=I$52)*(Transaksi!$O$2:$O$2001&gt;=I$52)*(Transaksi!$R$2:$R$2001&gt;0))&gt;0,"½",IF(I$52&gt;TODAY(),"·","✗")))))</f>
        <v/>
      </c>
      <c r="J68" s="42">
        <f>IF($A68="","",IF(OR(J$52&lt;Tetapan!$B20,AND(Tetapan!$C20&lt;&gt;"",J$52&gt;Tetapan!$C20),Tetapan!$E20=0,J$52&gt;Tetapan!$B$27),"–",IF(SUMPRODUCT((Transaksi!$C$2:$C$2001=$A68)*(Transaksi!$N$2:$N$2001&lt;=J$52)*(Transaksi!$O$2:$O$2001&gt;=J$52)*(Transaksi!$R$2:$R$2001&gt;=Tetapan!$E20-0.01))&gt;0,"✓",IF(SUMPRODUCT((Transaksi!$C$2:$C$2001=$A68)*(Transaksi!$N$2:$N$2001&lt;=J$52)*(Transaksi!$O$2:$O$2001&gt;=J$52)*(Transaksi!$R$2:$R$2001&gt;0))&gt;0,"½",IF(J$52&gt;TODAY(),"·","✗")))))</f>
        <v/>
      </c>
      <c r="K68" s="42">
        <f>IF($A68="","",IF(OR(K$52&lt;Tetapan!$B20,AND(Tetapan!$C20&lt;&gt;"",K$52&gt;Tetapan!$C20),Tetapan!$E20=0,K$52&gt;Tetapan!$B$27),"–",IF(SUMPRODUCT((Transaksi!$C$2:$C$2001=$A68)*(Transaksi!$N$2:$N$2001&lt;=K$52)*(Transaksi!$O$2:$O$2001&gt;=K$52)*(Transaksi!$R$2:$R$2001&gt;=Tetapan!$E20-0.01))&gt;0,"✓",IF(SUMPRODUCT((Transaksi!$C$2:$C$2001=$A68)*(Transaksi!$N$2:$N$2001&lt;=K$52)*(Transaksi!$O$2:$O$2001&gt;=K$52)*(Transaksi!$R$2:$R$2001&gt;0))&gt;0,"½",IF(K$52&gt;TODAY(),"·","✗")))))</f>
        <v/>
      </c>
      <c r="L68" s="42">
        <f>IF($A68="","",IF(OR(L$52&lt;Tetapan!$B20,AND(Tetapan!$C20&lt;&gt;"",L$52&gt;Tetapan!$C20),Tetapan!$E20=0,L$52&gt;Tetapan!$B$27),"–",IF(SUMPRODUCT((Transaksi!$C$2:$C$2001=$A68)*(Transaksi!$N$2:$N$2001&lt;=L$52)*(Transaksi!$O$2:$O$2001&gt;=L$52)*(Transaksi!$R$2:$R$2001&gt;=Tetapan!$E20-0.01))&gt;0,"✓",IF(SUMPRODUCT((Transaksi!$C$2:$C$2001=$A68)*(Transaksi!$N$2:$N$2001&lt;=L$52)*(Transaksi!$O$2:$O$2001&gt;=L$52)*(Transaksi!$R$2:$R$2001&gt;0))&gt;0,"½",IF(L$52&gt;TODAY(),"·","✗")))))</f>
        <v/>
      </c>
      <c r="M68" s="42">
        <f>IF($A68="","",IF(OR(M$52&lt;Tetapan!$B20,AND(Tetapan!$C20&lt;&gt;"",M$52&gt;Tetapan!$C20),Tetapan!$E20=0,M$52&gt;Tetapan!$B$27),"–",IF(SUMPRODUCT((Transaksi!$C$2:$C$2001=$A68)*(Transaksi!$N$2:$N$2001&lt;=M$52)*(Transaksi!$O$2:$O$2001&gt;=M$52)*(Transaksi!$R$2:$R$2001&gt;=Tetapan!$E20-0.01))&gt;0,"✓",IF(SUMPRODUCT((Transaksi!$C$2:$C$2001=$A68)*(Transaksi!$N$2:$N$2001&lt;=M$52)*(Transaksi!$O$2:$O$2001&gt;=M$52)*(Transaksi!$R$2:$R$2001&gt;0))&gt;0,"½",IF(M$52&gt;TODAY(),"·","✗")))))</f>
        <v/>
      </c>
      <c r="N68" s="42">
        <f>IF($A68="","",IF(OR(N$52&lt;Tetapan!$B20,AND(Tetapan!$C20&lt;&gt;"",N$52&gt;Tetapan!$C20),Tetapan!$E20=0,N$52&gt;Tetapan!$B$27),"–",IF(SUMPRODUCT((Transaksi!$C$2:$C$2001=$A68)*(Transaksi!$N$2:$N$2001&lt;=N$52)*(Transaksi!$O$2:$O$2001&gt;=N$52)*(Transaksi!$R$2:$R$2001&gt;=Tetapan!$E20-0.01))&gt;0,"✓",IF(SUMPRODUCT((Transaksi!$C$2:$C$2001=$A68)*(Transaksi!$N$2:$N$2001&lt;=N$52)*(Transaksi!$O$2:$O$2001&gt;=N$52)*(Transaksi!$R$2:$R$2001&gt;0))&gt;0,"½",IF(N$52&gt;TODAY(),"·","✗")))))</f>
        <v/>
      </c>
      <c r="O68" s="42">
        <f>IF($A68="","",IF(OR(O$52&lt;Tetapan!$B20,AND(Tetapan!$C20&lt;&gt;"",O$52&gt;Tetapan!$C20),Tetapan!$E20=0,O$52&gt;Tetapan!$B$27),"–",IF(SUMPRODUCT((Transaksi!$C$2:$C$2001=$A68)*(Transaksi!$N$2:$N$2001&lt;=O$52)*(Transaksi!$O$2:$O$2001&gt;=O$52)*(Transaksi!$R$2:$R$2001&gt;=Tetapan!$E20-0.01))&gt;0,"✓",IF(SUMPRODUCT((Transaksi!$C$2:$C$2001=$A68)*(Transaksi!$N$2:$N$2001&lt;=O$52)*(Transaksi!$O$2:$O$2001&gt;=O$52)*(Transaksi!$R$2:$R$2001&gt;0))&gt;0,"½",IF(O$52&gt;TODAY(),"·","✗")))))</f>
        <v/>
      </c>
      <c r="P68" s="42">
        <f>IF($A68="","",IF(OR(P$52&lt;Tetapan!$B20,AND(Tetapan!$C20&lt;&gt;"",P$52&gt;Tetapan!$C20),Tetapan!$E20=0,P$52&gt;Tetapan!$B$27),"–",IF(SUMPRODUCT((Transaksi!$C$2:$C$2001=$A68)*(Transaksi!$N$2:$N$2001&lt;=P$52)*(Transaksi!$O$2:$O$2001&gt;=P$52)*(Transaksi!$R$2:$R$2001&gt;=Tetapan!$E20-0.01))&gt;0,"✓",IF(SUMPRODUCT((Transaksi!$C$2:$C$2001=$A68)*(Transaksi!$N$2:$N$2001&lt;=P$52)*(Transaksi!$O$2:$O$2001&gt;=P$52)*(Transaksi!$R$2:$R$2001&gt;0))&gt;0,"½",IF(P$52&gt;TODAY(),"·","✗")))))</f>
        <v/>
      </c>
      <c r="Q68" s="42">
        <f>IF($A68="","",IF(OR(Q$52&lt;Tetapan!$B20,AND(Tetapan!$C20&lt;&gt;"",Q$52&gt;Tetapan!$C20),Tetapan!$E20=0,Q$52&gt;Tetapan!$B$27),"–",IF(SUMPRODUCT((Transaksi!$C$2:$C$2001=$A68)*(Transaksi!$N$2:$N$2001&lt;=Q$52)*(Transaksi!$O$2:$O$2001&gt;=Q$52)*(Transaksi!$R$2:$R$2001&gt;=Tetapan!$E20-0.01))&gt;0,"✓",IF(SUMPRODUCT((Transaksi!$C$2:$C$2001=$A68)*(Transaksi!$N$2:$N$2001&lt;=Q$52)*(Transaksi!$O$2:$O$2001&gt;=Q$52)*(Transaksi!$R$2:$R$2001&gt;0))&gt;0,"½",IF(Q$52&gt;TODAY(),"·","✗")))))</f>
        <v/>
      </c>
      <c r="R68" s="42">
        <f>IF($A68="","",IF(OR(R$52&lt;Tetapan!$B20,AND(Tetapan!$C20&lt;&gt;"",R$52&gt;Tetapan!$C20),Tetapan!$E20=0,R$52&gt;Tetapan!$B$27),"–",IF(SUMPRODUCT((Transaksi!$C$2:$C$2001=$A68)*(Transaksi!$N$2:$N$2001&lt;=R$52)*(Transaksi!$O$2:$O$2001&gt;=R$52)*(Transaksi!$R$2:$R$2001&gt;=Tetapan!$E20-0.01))&gt;0,"✓",IF(SUMPRODUCT((Transaksi!$C$2:$C$2001=$A68)*(Transaksi!$N$2:$N$2001&lt;=R$52)*(Transaksi!$O$2:$O$2001&gt;=R$52)*(Transaksi!$R$2:$R$2001&gt;0))&gt;0,"½",IF(R$52&gt;TODAY(),"·","✗")))))</f>
        <v/>
      </c>
      <c r="S68" s="42">
        <f>IF($A68="","",IF(OR(S$52&lt;Tetapan!$B20,AND(Tetapan!$C20&lt;&gt;"",S$52&gt;Tetapan!$C20),Tetapan!$E20=0,S$52&gt;Tetapan!$B$27),"–",IF(SUMPRODUCT((Transaksi!$C$2:$C$2001=$A68)*(Transaksi!$N$2:$N$2001&lt;=S$52)*(Transaksi!$O$2:$O$2001&gt;=S$52)*(Transaksi!$R$2:$R$2001&gt;=Tetapan!$E20-0.01))&gt;0,"✓",IF(SUMPRODUCT((Transaksi!$C$2:$C$2001=$A68)*(Transaksi!$N$2:$N$2001&lt;=S$52)*(Transaksi!$O$2:$O$2001&gt;=S$52)*(Transaksi!$R$2:$R$2001&gt;0))&gt;0,"½",IF(S$52&gt;TODAY(),"·","✗")))))</f>
        <v/>
      </c>
      <c r="T68" s="42">
        <f>IF($A68="","",IF(OR(T$52&lt;Tetapan!$B20,AND(Tetapan!$C20&lt;&gt;"",T$52&gt;Tetapan!$C20),Tetapan!$E20=0,T$52&gt;Tetapan!$B$27),"–",IF(SUMPRODUCT((Transaksi!$C$2:$C$2001=$A68)*(Transaksi!$N$2:$N$2001&lt;=T$52)*(Transaksi!$O$2:$O$2001&gt;=T$52)*(Transaksi!$R$2:$R$2001&gt;=Tetapan!$E20-0.01))&gt;0,"✓",IF(SUMPRODUCT((Transaksi!$C$2:$C$2001=$A68)*(Transaksi!$N$2:$N$2001&lt;=T$52)*(Transaksi!$O$2:$O$2001&gt;=T$52)*(Transaksi!$R$2:$R$2001&gt;0))&gt;0,"½",IF(T$52&gt;TODAY(),"·","✗")))))</f>
        <v/>
      </c>
      <c r="W68" s="12">
        <f>IF(B68="✗",TEXT(B$52,"mmm yy")&amp;", ",IF(B68="½",TEXT(B$52,"mmm yy")&amp;" (separa), ",""))&amp;IF(C68="✗",TEXT(C$52,"mmm yy")&amp;", ",IF(C68="½",TEXT(C$52,"mmm yy")&amp;" (separa), ",""))&amp;IF(D68="✗",TEXT(D$52,"mmm yy")&amp;", ",IF(D68="½",TEXT(D$52,"mmm yy")&amp;" (separa), ",""))&amp;IF(E68="✗",TEXT(E$52,"mmm yy")&amp;", ",IF(E68="½",TEXT(E$52,"mmm yy")&amp;" (separa), ",""))&amp;IF(F68="✗",TEXT(F$52,"mmm yy")&amp;", ",IF(F68="½",TEXT(F$52,"mmm yy")&amp;" (separa), ",""))&amp;IF(G68="✗",TEXT(G$52,"mmm yy")&amp;", ",IF(G68="½",TEXT(G$52,"mmm yy")&amp;" (separa), ",""))&amp;IF(H68="✗",TEXT(H$52,"mmm yy")&amp;", ",IF(H68="½",TEXT(H$52,"mmm yy")&amp;" (separa), ",""))&amp;IF(I68="✗",TEXT(I$52,"mmm yy")&amp;", ",IF(I68="½",TEXT(I$52,"mmm yy")&amp;" (separa), ",""))&amp;IF(J68="✗",TEXT(J$52,"mmm yy")&amp;", ",IF(J68="½",TEXT(J$52,"mmm yy")&amp;" (separa), ",""))&amp;IF(K68="✗",TEXT(K$52,"mmm yy")&amp;", ",IF(K68="½",TEXT(K$52,"mmm yy")&amp;" (separa), ",""))&amp;IF(L68="✗",TEXT(L$52,"mmm yy")&amp;", ",IF(L68="½",TEXT(L$52,"mmm yy")&amp;" (separa), ",""))&amp;IF(M68="✗",TEXT(M$52,"mmm yy")&amp;", ",IF(M68="½",TEXT(M$52,"mmm yy")&amp;" (separa), ",""))&amp;IF(N68="✗",TEXT(N$52,"mmm yy")&amp;", ",IF(N68="½",TEXT(N$52,"mmm yy")&amp;" (separa), ",""))&amp;IF(O68="✗",TEXT(O$52,"mmm yy")&amp;", ",IF(O68="½",TEXT(O$52,"mmm yy")&amp;" (separa), ",""))&amp;IF(P68="✗",TEXT(P$52,"mmm yy")&amp;", ",IF(P68="½",TEXT(P$52,"mmm yy")&amp;" (separa), ",""))&amp;IF(Q68="✗",TEXT(Q$52,"mmm yy")&amp;", ",IF(Q68="½",TEXT(Q$52,"mmm yy")&amp;" (separa), ",""))&amp;IF(R68="✗",TEXT(R$52,"mmm yy")&amp;", ",IF(R68="½",TEXT(R$52,"mmm yy")&amp;" (separa), ",""))&amp;IF(S68="✗",TEXT(S$52,"mmm yy")&amp;", ",IF(S68="½",TEXT(S$52,"mmm yy")&amp;" (separa), ",""))&amp;IF(T68="✗",TEXT(T$52,"mmm yy")&amp;", ",IF(T68="½",TEXT(T$52,"mmm yy")&amp;" (separa), ",""))</f>
        <v/>
      </c>
    </row>
    <row r="69">
      <c r="A69" s="41">
        <f>IF(Tetapan!A21="","",Tetapan!A21)</f>
        <v/>
      </c>
      <c r="B69" s="42">
        <f>IF($A69="","",IF(OR(B$52&lt;Tetapan!$B21,AND(Tetapan!$C21&lt;&gt;"",B$52&gt;Tetapan!$C21),Tetapan!$E21=0,B$52&gt;Tetapan!$B$27),"–",IF(SUMPRODUCT((Transaksi!$C$2:$C$2001=$A69)*(Transaksi!$N$2:$N$2001&lt;=B$52)*(Transaksi!$O$2:$O$2001&gt;=B$52)*(Transaksi!$R$2:$R$2001&gt;=Tetapan!$E21-0.01))&gt;0,"✓",IF(SUMPRODUCT((Transaksi!$C$2:$C$2001=$A69)*(Transaksi!$N$2:$N$2001&lt;=B$52)*(Transaksi!$O$2:$O$2001&gt;=B$52)*(Transaksi!$R$2:$R$2001&gt;0))&gt;0,"½",IF(B$52&gt;TODAY(),"·","✗")))))</f>
        <v/>
      </c>
      <c r="C69" s="42">
        <f>IF($A69="","",IF(OR(C$52&lt;Tetapan!$B21,AND(Tetapan!$C21&lt;&gt;"",C$52&gt;Tetapan!$C21),Tetapan!$E21=0,C$52&gt;Tetapan!$B$27),"–",IF(SUMPRODUCT((Transaksi!$C$2:$C$2001=$A69)*(Transaksi!$N$2:$N$2001&lt;=C$52)*(Transaksi!$O$2:$O$2001&gt;=C$52)*(Transaksi!$R$2:$R$2001&gt;=Tetapan!$E21-0.01))&gt;0,"✓",IF(SUMPRODUCT((Transaksi!$C$2:$C$2001=$A69)*(Transaksi!$N$2:$N$2001&lt;=C$52)*(Transaksi!$O$2:$O$2001&gt;=C$52)*(Transaksi!$R$2:$R$2001&gt;0))&gt;0,"½",IF(C$52&gt;TODAY(),"·","✗")))))</f>
        <v/>
      </c>
      <c r="D69" s="42">
        <f>IF($A69="","",IF(OR(D$52&lt;Tetapan!$B21,AND(Tetapan!$C21&lt;&gt;"",D$52&gt;Tetapan!$C21),Tetapan!$E21=0,D$52&gt;Tetapan!$B$27),"–",IF(SUMPRODUCT((Transaksi!$C$2:$C$2001=$A69)*(Transaksi!$N$2:$N$2001&lt;=D$52)*(Transaksi!$O$2:$O$2001&gt;=D$52)*(Transaksi!$R$2:$R$2001&gt;=Tetapan!$E21-0.01))&gt;0,"✓",IF(SUMPRODUCT((Transaksi!$C$2:$C$2001=$A69)*(Transaksi!$N$2:$N$2001&lt;=D$52)*(Transaksi!$O$2:$O$2001&gt;=D$52)*(Transaksi!$R$2:$R$2001&gt;0))&gt;0,"½",IF(D$52&gt;TODAY(),"·","✗")))))</f>
        <v/>
      </c>
      <c r="E69" s="42">
        <f>IF($A69="","",IF(OR(E$52&lt;Tetapan!$B21,AND(Tetapan!$C21&lt;&gt;"",E$52&gt;Tetapan!$C21),Tetapan!$E21=0,E$52&gt;Tetapan!$B$27),"–",IF(SUMPRODUCT((Transaksi!$C$2:$C$2001=$A69)*(Transaksi!$N$2:$N$2001&lt;=E$52)*(Transaksi!$O$2:$O$2001&gt;=E$52)*(Transaksi!$R$2:$R$2001&gt;=Tetapan!$E21-0.01))&gt;0,"✓",IF(SUMPRODUCT((Transaksi!$C$2:$C$2001=$A69)*(Transaksi!$N$2:$N$2001&lt;=E$52)*(Transaksi!$O$2:$O$2001&gt;=E$52)*(Transaksi!$R$2:$R$2001&gt;0))&gt;0,"½",IF(E$52&gt;TODAY(),"·","✗")))))</f>
        <v/>
      </c>
      <c r="F69" s="42">
        <f>IF($A69="","",IF(OR(F$52&lt;Tetapan!$B21,AND(Tetapan!$C21&lt;&gt;"",F$52&gt;Tetapan!$C21),Tetapan!$E21=0,F$52&gt;Tetapan!$B$27),"–",IF(SUMPRODUCT((Transaksi!$C$2:$C$2001=$A69)*(Transaksi!$N$2:$N$2001&lt;=F$52)*(Transaksi!$O$2:$O$2001&gt;=F$52)*(Transaksi!$R$2:$R$2001&gt;=Tetapan!$E21-0.01))&gt;0,"✓",IF(SUMPRODUCT((Transaksi!$C$2:$C$2001=$A69)*(Transaksi!$N$2:$N$2001&lt;=F$52)*(Transaksi!$O$2:$O$2001&gt;=F$52)*(Transaksi!$R$2:$R$2001&gt;0))&gt;0,"½",IF(F$52&gt;TODAY(),"·","✗")))))</f>
        <v/>
      </c>
      <c r="G69" s="42">
        <f>IF($A69="","",IF(OR(G$52&lt;Tetapan!$B21,AND(Tetapan!$C21&lt;&gt;"",G$52&gt;Tetapan!$C21),Tetapan!$E21=0,G$52&gt;Tetapan!$B$27),"–",IF(SUMPRODUCT((Transaksi!$C$2:$C$2001=$A69)*(Transaksi!$N$2:$N$2001&lt;=G$52)*(Transaksi!$O$2:$O$2001&gt;=G$52)*(Transaksi!$R$2:$R$2001&gt;=Tetapan!$E21-0.01))&gt;0,"✓",IF(SUMPRODUCT((Transaksi!$C$2:$C$2001=$A69)*(Transaksi!$N$2:$N$2001&lt;=G$52)*(Transaksi!$O$2:$O$2001&gt;=G$52)*(Transaksi!$R$2:$R$2001&gt;0))&gt;0,"½",IF(G$52&gt;TODAY(),"·","✗")))))</f>
        <v/>
      </c>
      <c r="H69" s="42">
        <f>IF($A69="","",IF(OR(H$52&lt;Tetapan!$B21,AND(Tetapan!$C21&lt;&gt;"",H$52&gt;Tetapan!$C21),Tetapan!$E21=0,H$52&gt;Tetapan!$B$27),"–",IF(SUMPRODUCT((Transaksi!$C$2:$C$2001=$A69)*(Transaksi!$N$2:$N$2001&lt;=H$52)*(Transaksi!$O$2:$O$2001&gt;=H$52)*(Transaksi!$R$2:$R$2001&gt;=Tetapan!$E21-0.01))&gt;0,"✓",IF(SUMPRODUCT((Transaksi!$C$2:$C$2001=$A69)*(Transaksi!$N$2:$N$2001&lt;=H$52)*(Transaksi!$O$2:$O$2001&gt;=H$52)*(Transaksi!$R$2:$R$2001&gt;0))&gt;0,"½",IF(H$52&gt;TODAY(),"·","✗")))))</f>
        <v/>
      </c>
      <c r="I69" s="42">
        <f>IF($A69="","",IF(OR(I$52&lt;Tetapan!$B21,AND(Tetapan!$C21&lt;&gt;"",I$52&gt;Tetapan!$C21),Tetapan!$E21=0,I$52&gt;Tetapan!$B$27),"–",IF(SUMPRODUCT((Transaksi!$C$2:$C$2001=$A69)*(Transaksi!$N$2:$N$2001&lt;=I$52)*(Transaksi!$O$2:$O$2001&gt;=I$52)*(Transaksi!$R$2:$R$2001&gt;=Tetapan!$E21-0.01))&gt;0,"✓",IF(SUMPRODUCT((Transaksi!$C$2:$C$2001=$A69)*(Transaksi!$N$2:$N$2001&lt;=I$52)*(Transaksi!$O$2:$O$2001&gt;=I$52)*(Transaksi!$R$2:$R$2001&gt;0))&gt;0,"½",IF(I$52&gt;TODAY(),"·","✗")))))</f>
        <v/>
      </c>
      <c r="J69" s="42">
        <f>IF($A69="","",IF(OR(J$52&lt;Tetapan!$B21,AND(Tetapan!$C21&lt;&gt;"",J$52&gt;Tetapan!$C21),Tetapan!$E21=0,J$52&gt;Tetapan!$B$27),"–",IF(SUMPRODUCT((Transaksi!$C$2:$C$2001=$A69)*(Transaksi!$N$2:$N$2001&lt;=J$52)*(Transaksi!$O$2:$O$2001&gt;=J$52)*(Transaksi!$R$2:$R$2001&gt;=Tetapan!$E21-0.01))&gt;0,"✓",IF(SUMPRODUCT((Transaksi!$C$2:$C$2001=$A69)*(Transaksi!$N$2:$N$2001&lt;=J$52)*(Transaksi!$O$2:$O$2001&gt;=J$52)*(Transaksi!$R$2:$R$2001&gt;0))&gt;0,"½",IF(J$52&gt;TODAY(),"·","✗")))))</f>
        <v/>
      </c>
      <c r="K69" s="42">
        <f>IF($A69="","",IF(OR(K$52&lt;Tetapan!$B21,AND(Tetapan!$C21&lt;&gt;"",K$52&gt;Tetapan!$C21),Tetapan!$E21=0,K$52&gt;Tetapan!$B$27),"–",IF(SUMPRODUCT((Transaksi!$C$2:$C$2001=$A69)*(Transaksi!$N$2:$N$2001&lt;=K$52)*(Transaksi!$O$2:$O$2001&gt;=K$52)*(Transaksi!$R$2:$R$2001&gt;=Tetapan!$E21-0.01))&gt;0,"✓",IF(SUMPRODUCT((Transaksi!$C$2:$C$2001=$A69)*(Transaksi!$N$2:$N$2001&lt;=K$52)*(Transaksi!$O$2:$O$2001&gt;=K$52)*(Transaksi!$R$2:$R$2001&gt;0))&gt;0,"½",IF(K$52&gt;TODAY(),"·","✗")))))</f>
        <v/>
      </c>
      <c r="L69" s="42">
        <f>IF($A69="","",IF(OR(L$52&lt;Tetapan!$B21,AND(Tetapan!$C21&lt;&gt;"",L$52&gt;Tetapan!$C21),Tetapan!$E21=0,L$52&gt;Tetapan!$B$27),"–",IF(SUMPRODUCT((Transaksi!$C$2:$C$2001=$A69)*(Transaksi!$N$2:$N$2001&lt;=L$52)*(Transaksi!$O$2:$O$2001&gt;=L$52)*(Transaksi!$R$2:$R$2001&gt;=Tetapan!$E21-0.01))&gt;0,"✓",IF(SUMPRODUCT((Transaksi!$C$2:$C$2001=$A69)*(Transaksi!$N$2:$N$2001&lt;=L$52)*(Transaksi!$O$2:$O$2001&gt;=L$52)*(Transaksi!$R$2:$R$2001&gt;0))&gt;0,"½",IF(L$52&gt;TODAY(),"·","✗")))))</f>
        <v/>
      </c>
      <c r="M69" s="42">
        <f>IF($A69="","",IF(OR(M$52&lt;Tetapan!$B21,AND(Tetapan!$C21&lt;&gt;"",M$52&gt;Tetapan!$C21),Tetapan!$E21=0,M$52&gt;Tetapan!$B$27),"–",IF(SUMPRODUCT((Transaksi!$C$2:$C$2001=$A69)*(Transaksi!$N$2:$N$2001&lt;=M$52)*(Transaksi!$O$2:$O$2001&gt;=M$52)*(Transaksi!$R$2:$R$2001&gt;=Tetapan!$E21-0.01))&gt;0,"✓",IF(SUMPRODUCT((Transaksi!$C$2:$C$2001=$A69)*(Transaksi!$N$2:$N$2001&lt;=M$52)*(Transaksi!$O$2:$O$2001&gt;=M$52)*(Transaksi!$R$2:$R$2001&gt;0))&gt;0,"½",IF(M$52&gt;TODAY(),"·","✗")))))</f>
        <v/>
      </c>
      <c r="N69" s="42">
        <f>IF($A69="","",IF(OR(N$52&lt;Tetapan!$B21,AND(Tetapan!$C21&lt;&gt;"",N$52&gt;Tetapan!$C21),Tetapan!$E21=0,N$52&gt;Tetapan!$B$27),"–",IF(SUMPRODUCT((Transaksi!$C$2:$C$2001=$A69)*(Transaksi!$N$2:$N$2001&lt;=N$52)*(Transaksi!$O$2:$O$2001&gt;=N$52)*(Transaksi!$R$2:$R$2001&gt;=Tetapan!$E21-0.01))&gt;0,"✓",IF(SUMPRODUCT((Transaksi!$C$2:$C$2001=$A69)*(Transaksi!$N$2:$N$2001&lt;=N$52)*(Transaksi!$O$2:$O$2001&gt;=N$52)*(Transaksi!$R$2:$R$2001&gt;0))&gt;0,"½",IF(N$52&gt;TODAY(),"·","✗")))))</f>
        <v/>
      </c>
      <c r="O69" s="42">
        <f>IF($A69="","",IF(OR(O$52&lt;Tetapan!$B21,AND(Tetapan!$C21&lt;&gt;"",O$52&gt;Tetapan!$C21),Tetapan!$E21=0,O$52&gt;Tetapan!$B$27),"–",IF(SUMPRODUCT((Transaksi!$C$2:$C$2001=$A69)*(Transaksi!$N$2:$N$2001&lt;=O$52)*(Transaksi!$O$2:$O$2001&gt;=O$52)*(Transaksi!$R$2:$R$2001&gt;=Tetapan!$E21-0.01))&gt;0,"✓",IF(SUMPRODUCT((Transaksi!$C$2:$C$2001=$A69)*(Transaksi!$N$2:$N$2001&lt;=O$52)*(Transaksi!$O$2:$O$2001&gt;=O$52)*(Transaksi!$R$2:$R$2001&gt;0))&gt;0,"½",IF(O$52&gt;TODAY(),"·","✗")))))</f>
        <v/>
      </c>
      <c r="P69" s="42">
        <f>IF($A69="","",IF(OR(P$52&lt;Tetapan!$B21,AND(Tetapan!$C21&lt;&gt;"",P$52&gt;Tetapan!$C21),Tetapan!$E21=0,P$52&gt;Tetapan!$B$27),"–",IF(SUMPRODUCT((Transaksi!$C$2:$C$2001=$A69)*(Transaksi!$N$2:$N$2001&lt;=P$52)*(Transaksi!$O$2:$O$2001&gt;=P$52)*(Transaksi!$R$2:$R$2001&gt;=Tetapan!$E21-0.01))&gt;0,"✓",IF(SUMPRODUCT((Transaksi!$C$2:$C$2001=$A69)*(Transaksi!$N$2:$N$2001&lt;=P$52)*(Transaksi!$O$2:$O$2001&gt;=P$52)*(Transaksi!$R$2:$R$2001&gt;0))&gt;0,"½",IF(P$52&gt;TODAY(),"·","✗")))))</f>
        <v/>
      </c>
      <c r="Q69" s="42">
        <f>IF($A69="","",IF(OR(Q$52&lt;Tetapan!$B21,AND(Tetapan!$C21&lt;&gt;"",Q$52&gt;Tetapan!$C21),Tetapan!$E21=0,Q$52&gt;Tetapan!$B$27),"–",IF(SUMPRODUCT((Transaksi!$C$2:$C$2001=$A69)*(Transaksi!$N$2:$N$2001&lt;=Q$52)*(Transaksi!$O$2:$O$2001&gt;=Q$52)*(Transaksi!$R$2:$R$2001&gt;=Tetapan!$E21-0.01))&gt;0,"✓",IF(SUMPRODUCT((Transaksi!$C$2:$C$2001=$A69)*(Transaksi!$N$2:$N$2001&lt;=Q$52)*(Transaksi!$O$2:$O$2001&gt;=Q$52)*(Transaksi!$R$2:$R$2001&gt;0))&gt;0,"½",IF(Q$52&gt;TODAY(),"·","✗")))))</f>
        <v/>
      </c>
      <c r="R69" s="42">
        <f>IF($A69="","",IF(OR(R$52&lt;Tetapan!$B21,AND(Tetapan!$C21&lt;&gt;"",R$52&gt;Tetapan!$C21),Tetapan!$E21=0,R$52&gt;Tetapan!$B$27),"–",IF(SUMPRODUCT((Transaksi!$C$2:$C$2001=$A69)*(Transaksi!$N$2:$N$2001&lt;=R$52)*(Transaksi!$O$2:$O$2001&gt;=R$52)*(Transaksi!$R$2:$R$2001&gt;=Tetapan!$E21-0.01))&gt;0,"✓",IF(SUMPRODUCT((Transaksi!$C$2:$C$2001=$A69)*(Transaksi!$N$2:$N$2001&lt;=R$52)*(Transaksi!$O$2:$O$2001&gt;=R$52)*(Transaksi!$R$2:$R$2001&gt;0))&gt;0,"½",IF(R$52&gt;TODAY(),"·","✗")))))</f>
        <v/>
      </c>
      <c r="S69" s="42">
        <f>IF($A69="","",IF(OR(S$52&lt;Tetapan!$B21,AND(Tetapan!$C21&lt;&gt;"",S$52&gt;Tetapan!$C21),Tetapan!$E21=0,S$52&gt;Tetapan!$B$27),"–",IF(SUMPRODUCT((Transaksi!$C$2:$C$2001=$A69)*(Transaksi!$N$2:$N$2001&lt;=S$52)*(Transaksi!$O$2:$O$2001&gt;=S$52)*(Transaksi!$R$2:$R$2001&gt;=Tetapan!$E21-0.01))&gt;0,"✓",IF(SUMPRODUCT((Transaksi!$C$2:$C$2001=$A69)*(Transaksi!$N$2:$N$2001&lt;=S$52)*(Transaksi!$O$2:$O$2001&gt;=S$52)*(Transaksi!$R$2:$R$2001&gt;0))&gt;0,"½",IF(S$52&gt;TODAY(),"·","✗")))))</f>
        <v/>
      </c>
      <c r="T69" s="42">
        <f>IF($A69="","",IF(OR(T$52&lt;Tetapan!$B21,AND(Tetapan!$C21&lt;&gt;"",T$52&gt;Tetapan!$C21),Tetapan!$E21=0,T$52&gt;Tetapan!$B$27),"–",IF(SUMPRODUCT((Transaksi!$C$2:$C$2001=$A69)*(Transaksi!$N$2:$N$2001&lt;=T$52)*(Transaksi!$O$2:$O$2001&gt;=T$52)*(Transaksi!$R$2:$R$2001&gt;=Tetapan!$E21-0.01))&gt;0,"✓",IF(SUMPRODUCT((Transaksi!$C$2:$C$2001=$A69)*(Transaksi!$N$2:$N$2001&lt;=T$52)*(Transaksi!$O$2:$O$2001&gt;=T$52)*(Transaksi!$R$2:$R$2001&gt;0))&gt;0,"½",IF(T$52&gt;TODAY(),"·","✗")))))</f>
        <v/>
      </c>
      <c r="W69" s="12">
        <f>IF(B69="✗",TEXT(B$52,"mmm yy")&amp;", ",IF(B69="½",TEXT(B$52,"mmm yy")&amp;" (separa), ",""))&amp;IF(C69="✗",TEXT(C$52,"mmm yy")&amp;", ",IF(C69="½",TEXT(C$52,"mmm yy")&amp;" (separa), ",""))&amp;IF(D69="✗",TEXT(D$52,"mmm yy")&amp;", ",IF(D69="½",TEXT(D$52,"mmm yy")&amp;" (separa), ",""))&amp;IF(E69="✗",TEXT(E$52,"mmm yy")&amp;", ",IF(E69="½",TEXT(E$52,"mmm yy")&amp;" (separa), ",""))&amp;IF(F69="✗",TEXT(F$52,"mmm yy")&amp;", ",IF(F69="½",TEXT(F$52,"mmm yy")&amp;" (separa), ",""))&amp;IF(G69="✗",TEXT(G$52,"mmm yy")&amp;", ",IF(G69="½",TEXT(G$52,"mmm yy")&amp;" (separa), ",""))&amp;IF(H69="✗",TEXT(H$52,"mmm yy")&amp;", ",IF(H69="½",TEXT(H$52,"mmm yy")&amp;" (separa), ",""))&amp;IF(I69="✗",TEXT(I$52,"mmm yy")&amp;", ",IF(I69="½",TEXT(I$52,"mmm yy")&amp;" (separa), ",""))&amp;IF(J69="✗",TEXT(J$52,"mmm yy")&amp;", ",IF(J69="½",TEXT(J$52,"mmm yy")&amp;" (separa), ",""))&amp;IF(K69="✗",TEXT(K$52,"mmm yy")&amp;", ",IF(K69="½",TEXT(K$52,"mmm yy")&amp;" (separa), ",""))&amp;IF(L69="✗",TEXT(L$52,"mmm yy")&amp;", ",IF(L69="½",TEXT(L$52,"mmm yy")&amp;" (separa), ",""))&amp;IF(M69="✗",TEXT(M$52,"mmm yy")&amp;", ",IF(M69="½",TEXT(M$52,"mmm yy")&amp;" (separa), ",""))&amp;IF(N69="✗",TEXT(N$52,"mmm yy")&amp;", ",IF(N69="½",TEXT(N$52,"mmm yy")&amp;" (separa), ",""))&amp;IF(O69="✗",TEXT(O$52,"mmm yy")&amp;", ",IF(O69="½",TEXT(O$52,"mmm yy")&amp;" (separa), ",""))&amp;IF(P69="✗",TEXT(P$52,"mmm yy")&amp;", ",IF(P69="½",TEXT(P$52,"mmm yy")&amp;" (separa), ",""))&amp;IF(Q69="✗",TEXT(Q$52,"mmm yy")&amp;", ",IF(Q69="½",TEXT(Q$52,"mmm yy")&amp;" (separa), ",""))&amp;IF(R69="✗",TEXT(R$52,"mmm yy")&amp;", ",IF(R69="½",TEXT(R$52,"mmm yy")&amp;" (separa), ",""))&amp;IF(S69="✗",TEXT(S$52,"mmm yy")&amp;", ",IF(S69="½",TEXT(S$52,"mmm yy")&amp;" (separa), ",""))&amp;IF(T69="✗",TEXT(T$52,"mmm yy")&amp;", ",IF(T69="½",TEXT(T$52,"mmm yy")&amp;" (separa), ",""))</f>
        <v/>
      </c>
    </row>
    <row r="70">
      <c r="A70" s="41">
        <f>IF(Tetapan!A22="","",Tetapan!A22)</f>
        <v/>
      </c>
      <c r="B70" s="42">
        <f>IF($A70="","",IF(OR(B$52&lt;Tetapan!$B22,AND(Tetapan!$C22&lt;&gt;"",B$52&gt;Tetapan!$C22),Tetapan!$E22=0,B$52&gt;Tetapan!$B$27),"–",IF(SUMPRODUCT((Transaksi!$C$2:$C$2001=$A70)*(Transaksi!$N$2:$N$2001&lt;=B$52)*(Transaksi!$O$2:$O$2001&gt;=B$52)*(Transaksi!$R$2:$R$2001&gt;=Tetapan!$E22-0.01))&gt;0,"✓",IF(SUMPRODUCT((Transaksi!$C$2:$C$2001=$A70)*(Transaksi!$N$2:$N$2001&lt;=B$52)*(Transaksi!$O$2:$O$2001&gt;=B$52)*(Transaksi!$R$2:$R$2001&gt;0))&gt;0,"½",IF(B$52&gt;TODAY(),"·","✗")))))</f>
        <v/>
      </c>
      <c r="C70" s="42">
        <f>IF($A70="","",IF(OR(C$52&lt;Tetapan!$B22,AND(Tetapan!$C22&lt;&gt;"",C$52&gt;Tetapan!$C22),Tetapan!$E22=0,C$52&gt;Tetapan!$B$27),"–",IF(SUMPRODUCT((Transaksi!$C$2:$C$2001=$A70)*(Transaksi!$N$2:$N$2001&lt;=C$52)*(Transaksi!$O$2:$O$2001&gt;=C$52)*(Transaksi!$R$2:$R$2001&gt;=Tetapan!$E22-0.01))&gt;0,"✓",IF(SUMPRODUCT((Transaksi!$C$2:$C$2001=$A70)*(Transaksi!$N$2:$N$2001&lt;=C$52)*(Transaksi!$O$2:$O$2001&gt;=C$52)*(Transaksi!$R$2:$R$2001&gt;0))&gt;0,"½",IF(C$52&gt;TODAY(),"·","✗")))))</f>
        <v/>
      </c>
      <c r="D70" s="42">
        <f>IF($A70="","",IF(OR(D$52&lt;Tetapan!$B22,AND(Tetapan!$C22&lt;&gt;"",D$52&gt;Tetapan!$C22),Tetapan!$E22=0,D$52&gt;Tetapan!$B$27),"–",IF(SUMPRODUCT((Transaksi!$C$2:$C$2001=$A70)*(Transaksi!$N$2:$N$2001&lt;=D$52)*(Transaksi!$O$2:$O$2001&gt;=D$52)*(Transaksi!$R$2:$R$2001&gt;=Tetapan!$E22-0.01))&gt;0,"✓",IF(SUMPRODUCT((Transaksi!$C$2:$C$2001=$A70)*(Transaksi!$N$2:$N$2001&lt;=D$52)*(Transaksi!$O$2:$O$2001&gt;=D$52)*(Transaksi!$R$2:$R$2001&gt;0))&gt;0,"½",IF(D$52&gt;TODAY(),"·","✗")))))</f>
        <v/>
      </c>
      <c r="E70" s="42">
        <f>IF($A70="","",IF(OR(E$52&lt;Tetapan!$B22,AND(Tetapan!$C22&lt;&gt;"",E$52&gt;Tetapan!$C22),Tetapan!$E22=0,E$52&gt;Tetapan!$B$27),"–",IF(SUMPRODUCT((Transaksi!$C$2:$C$2001=$A70)*(Transaksi!$N$2:$N$2001&lt;=E$52)*(Transaksi!$O$2:$O$2001&gt;=E$52)*(Transaksi!$R$2:$R$2001&gt;=Tetapan!$E22-0.01))&gt;0,"✓",IF(SUMPRODUCT((Transaksi!$C$2:$C$2001=$A70)*(Transaksi!$N$2:$N$2001&lt;=E$52)*(Transaksi!$O$2:$O$2001&gt;=E$52)*(Transaksi!$R$2:$R$2001&gt;0))&gt;0,"½",IF(E$52&gt;TODAY(),"·","✗")))))</f>
        <v/>
      </c>
      <c r="F70" s="42">
        <f>IF($A70="","",IF(OR(F$52&lt;Tetapan!$B22,AND(Tetapan!$C22&lt;&gt;"",F$52&gt;Tetapan!$C22),Tetapan!$E22=0,F$52&gt;Tetapan!$B$27),"–",IF(SUMPRODUCT((Transaksi!$C$2:$C$2001=$A70)*(Transaksi!$N$2:$N$2001&lt;=F$52)*(Transaksi!$O$2:$O$2001&gt;=F$52)*(Transaksi!$R$2:$R$2001&gt;=Tetapan!$E22-0.01))&gt;0,"✓",IF(SUMPRODUCT((Transaksi!$C$2:$C$2001=$A70)*(Transaksi!$N$2:$N$2001&lt;=F$52)*(Transaksi!$O$2:$O$2001&gt;=F$52)*(Transaksi!$R$2:$R$2001&gt;0))&gt;0,"½",IF(F$52&gt;TODAY(),"·","✗")))))</f>
        <v/>
      </c>
      <c r="G70" s="42">
        <f>IF($A70="","",IF(OR(G$52&lt;Tetapan!$B22,AND(Tetapan!$C22&lt;&gt;"",G$52&gt;Tetapan!$C22),Tetapan!$E22=0,G$52&gt;Tetapan!$B$27),"–",IF(SUMPRODUCT((Transaksi!$C$2:$C$2001=$A70)*(Transaksi!$N$2:$N$2001&lt;=G$52)*(Transaksi!$O$2:$O$2001&gt;=G$52)*(Transaksi!$R$2:$R$2001&gt;=Tetapan!$E22-0.01))&gt;0,"✓",IF(SUMPRODUCT((Transaksi!$C$2:$C$2001=$A70)*(Transaksi!$N$2:$N$2001&lt;=G$52)*(Transaksi!$O$2:$O$2001&gt;=G$52)*(Transaksi!$R$2:$R$2001&gt;0))&gt;0,"½",IF(G$52&gt;TODAY(),"·","✗")))))</f>
        <v/>
      </c>
      <c r="H70" s="42">
        <f>IF($A70="","",IF(OR(H$52&lt;Tetapan!$B22,AND(Tetapan!$C22&lt;&gt;"",H$52&gt;Tetapan!$C22),Tetapan!$E22=0,H$52&gt;Tetapan!$B$27),"–",IF(SUMPRODUCT((Transaksi!$C$2:$C$2001=$A70)*(Transaksi!$N$2:$N$2001&lt;=H$52)*(Transaksi!$O$2:$O$2001&gt;=H$52)*(Transaksi!$R$2:$R$2001&gt;=Tetapan!$E22-0.01))&gt;0,"✓",IF(SUMPRODUCT((Transaksi!$C$2:$C$2001=$A70)*(Transaksi!$N$2:$N$2001&lt;=H$52)*(Transaksi!$O$2:$O$2001&gt;=H$52)*(Transaksi!$R$2:$R$2001&gt;0))&gt;0,"½",IF(H$52&gt;TODAY(),"·","✗")))))</f>
        <v/>
      </c>
      <c r="I70" s="42">
        <f>IF($A70="","",IF(OR(I$52&lt;Tetapan!$B22,AND(Tetapan!$C22&lt;&gt;"",I$52&gt;Tetapan!$C22),Tetapan!$E22=0,I$52&gt;Tetapan!$B$27),"–",IF(SUMPRODUCT((Transaksi!$C$2:$C$2001=$A70)*(Transaksi!$N$2:$N$2001&lt;=I$52)*(Transaksi!$O$2:$O$2001&gt;=I$52)*(Transaksi!$R$2:$R$2001&gt;=Tetapan!$E22-0.01))&gt;0,"✓",IF(SUMPRODUCT((Transaksi!$C$2:$C$2001=$A70)*(Transaksi!$N$2:$N$2001&lt;=I$52)*(Transaksi!$O$2:$O$2001&gt;=I$52)*(Transaksi!$R$2:$R$2001&gt;0))&gt;0,"½",IF(I$52&gt;TODAY(),"·","✗")))))</f>
        <v/>
      </c>
      <c r="J70" s="42">
        <f>IF($A70="","",IF(OR(J$52&lt;Tetapan!$B22,AND(Tetapan!$C22&lt;&gt;"",J$52&gt;Tetapan!$C22),Tetapan!$E22=0,J$52&gt;Tetapan!$B$27),"–",IF(SUMPRODUCT((Transaksi!$C$2:$C$2001=$A70)*(Transaksi!$N$2:$N$2001&lt;=J$52)*(Transaksi!$O$2:$O$2001&gt;=J$52)*(Transaksi!$R$2:$R$2001&gt;=Tetapan!$E22-0.01))&gt;0,"✓",IF(SUMPRODUCT((Transaksi!$C$2:$C$2001=$A70)*(Transaksi!$N$2:$N$2001&lt;=J$52)*(Transaksi!$O$2:$O$2001&gt;=J$52)*(Transaksi!$R$2:$R$2001&gt;0))&gt;0,"½",IF(J$52&gt;TODAY(),"·","✗")))))</f>
        <v/>
      </c>
      <c r="K70" s="42">
        <f>IF($A70="","",IF(OR(K$52&lt;Tetapan!$B22,AND(Tetapan!$C22&lt;&gt;"",K$52&gt;Tetapan!$C22),Tetapan!$E22=0,K$52&gt;Tetapan!$B$27),"–",IF(SUMPRODUCT((Transaksi!$C$2:$C$2001=$A70)*(Transaksi!$N$2:$N$2001&lt;=K$52)*(Transaksi!$O$2:$O$2001&gt;=K$52)*(Transaksi!$R$2:$R$2001&gt;=Tetapan!$E22-0.01))&gt;0,"✓",IF(SUMPRODUCT((Transaksi!$C$2:$C$2001=$A70)*(Transaksi!$N$2:$N$2001&lt;=K$52)*(Transaksi!$O$2:$O$2001&gt;=K$52)*(Transaksi!$R$2:$R$2001&gt;0))&gt;0,"½",IF(K$52&gt;TODAY(),"·","✗")))))</f>
        <v/>
      </c>
      <c r="L70" s="42">
        <f>IF($A70="","",IF(OR(L$52&lt;Tetapan!$B22,AND(Tetapan!$C22&lt;&gt;"",L$52&gt;Tetapan!$C22),Tetapan!$E22=0,L$52&gt;Tetapan!$B$27),"–",IF(SUMPRODUCT((Transaksi!$C$2:$C$2001=$A70)*(Transaksi!$N$2:$N$2001&lt;=L$52)*(Transaksi!$O$2:$O$2001&gt;=L$52)*(Transaksi!$R$2:$R$2001&gt;=Tetapan!$E22-0.01))&gt;0,"✓",IF(SUMPRODUCT((Transaksi!$C$2:$C$2001=$A70)*(Transaksi!$N$2:$N$2001&lt;=L$52)*(Transaksi!$O$2:$O$2001&gt;=L$52)*(Transaksi!$R$2:$R$2001&gt;0))&gt;0,"½",IF(L$52&gt;TODAY(),"·","✗")))))</f>
        <v/>
      </c>
      <c r="M70" s="42">
        <f>IF($A70="","",IF(OR(M$52&lt;Tetapan!$B22,AND(Tetapan!$C22&lt;&gt;"",M$52&gt;Tetapan!$C22),Tetapan!$E22=0,M$52&gt;Tetapan!$B$27),"–",IF(SUMPRODUCT((Transaksi!$C$2:$C$2001=$A70)*(Transaksi!$N$2:$N$2001&lt;=M$52)*(Transaksi!$O$2:$O$2001&gt;=M$52)*(Transaksi!$R$2:$R$2001&gt;=Tetapan!$E22-0.01))&gt;0,"✓",IF(SUMPRODUCT((Transaksi!$C$2:$C$2001=$A70)*(Transaksi!$N$2:$N$2001&lt;=M$52)*(Transaksi!$O$2:$O$2001&gt;=M$52)*(Transaksi!$R$2:$R$2001&gt;0))&gt;0,"½",IF(M$52&gt;TODAY(),"·","✗")))))</f>
        <v/>
      </c>
      <c r="N70" s="42">
        <f>IF($A70="","",IF(OR(N$52&lt;Tetapan!$B22,AND(Tetapan!$C22&lt;&gt;"",N$52&gt;Tetapan!$C22),Tetapan!$E22=0,N$52&gt;Tetapan!$B$27),"–",IF(SUMPRODUCT((Transaksi!$C$2:$C$2001=$A70)*(Transaksi!$N$2:$N$2001&lt;=N$52)*(Transaksi!$O$2:$O$2001&gt;=N$52)*(Transaksi!$R$2:$R$2001&gt;=Tetapan!$E22-0.01))&gt;0,"✓",IF(SUMPRODUCT((Transaksi!$C$2:$C$2001=$A70)*(Transaksi!$N$2:$N$2001&lt;=N$52)*(Transaksi!$O$2:$O$2001&gt;=N$52)*(Transaksi!$R$2:$R$2001&gt;0))&gt;0,"½",IF(N$52&gt;TODAY(),"·","✗")))))</f>
        <v/>
      </c>
      <c r="O70" s="42">
        <f>IF($A70="","",IF(OR(O$52&lt;Tetapan!$B22,AND(Tetapan!$C22&lt;&gt;"",O$52&gt;Tetapan!$C22),Tetapan!$E22=0,O$52&gt;Tetapan!$B$27),"–",IF(SUMPRODUCT((Transaksi!$C$2:$C$2001=$A70)*(Transaksi!$N$2:$N$2001&lt;=O$52)*(Transaksi!$O$2:$O$2001&gt;=O$52)*(Transaksi!$R$2:$R$2001&gt;=Tetapan!$E22-0.01))&gt;0,"✓",IF(SUMPRODUCT((Transaksi!$C$2:$C$2001=$A70)*(Transaksi!$N$2:$N$2001&lt;=O$52)*(Transaksi!$O$2:$O$2001&gt;=O$52)*(Transaksi!$R$2:$R$2001&gt;0))&gt;0,"½",IF(O$52&gt;TODAY(),"·","✗")))))</f>
        <v/>
      </c>
      <c r="P70" s="42">
        <f>IF($A70="","",IF(OR(P$52&lt;Tetapan!$B22,AND(Tetapan!$C22&lt;&gt;"",P$52&gt;Tetapan!$C22),Tetapan!$E22=0,P$52&gt;Tetapan!$B$27),"–",IF(SUMPRODUCT((Transaksi!$C$2:$C$2001=$A70)*(Transaksi!$N$2:$N$2001&lt;=P$52)*(Transaksi!$O$2:$O$2001&gt;=P$52)*(Transaksi!$R$2:$R$2001&gt;=Tetapan!$E22-0.01))&gt;0,"✓",IF(SUMPRODUCT((Transaksi!$C$2:$C$2001=$A70)*(Transaksi!$N$2:$N$2001&lt;=P$52)*(Transaksi!$O$2:$O$2001&gt;=P$52)*(Transaksi!$R$2:$R$2001&gt;0))&gt;0,"½",IF(P$52&gt;TODAY(),"·","✗")))))</f>
        <v/>
      </c>
      <c r="Q70" s="42">
        <f>IF($A70="","",IF(OR(Q$52&lt;Tetapan!$B22,AND(Tetapan!$C22&lt;&gt;"",Q$52&gt;Tetapan!$C22),Tetapan!$E22=0,Q$52&gt;Tetapan!$B$27),"–",IF(SUMPRODUCT((Transaksi!$C$2:$C$2001=$A70)*(Transaksi!$N$2:$N$2001&lt;=Q$52)*(Transaksi!$O$2:$O$2001&gt;=Q$52)*(Transaksi!$R$2:$R$2001&gt;=Tetapan!$E22-0.01))&gt;0,"✓",IF(SUMPRODUCT((Transaksi!$C$2:$C$2001=$A70)*(Transaksi!$N$2:$N$2001&lt;=Q$52)*(Transaksi!$O$2:$O$2001&gt;=Q$52)*(Transaksi!$R$2:$R$2001&gt;0))&gt;0,"½",IF(Q$52&gt;TODAY(),"·","✗")))))</f>
        <v/>
      </c>
      <c r="R70" s="42">
        <f>IF($A70="","",IF(OR(R$52&lt;Tetapan!$B22,AND(Tetapan!$C22&lt;&gt;"",R$52&gt;Tetapan!$C22),Tetapan!$E22=0,R$52&gt;Tetapan!$B$27),"–",IF(SUMPRODUCT((Transaksi!$C$2:$C$2001=$A70)*(Transaksi!$N$2:$N$2001&lt;=R$52)*(Transaksi!$O$2:$O$2001&gt;=R$52)*(Transaksi!$R$2:$R$2001&gt;=Tetapan!$E22-0.01))&gt;0,"✓",IF(SUMPRODUCT((Transaksi!$C$2:$C$2001=$A70)*(Transaksi!$N$2:$N$2001&lt;=R$52)*(Transaksi!$O$2:$O$2001&gt;=R$52)*(Transaksi!$R$2:$R$2001&gt;0))&gt;0,"½",IF(R$52&gt;TODAY(),"·","✗")))))</f>
        <v/>
      </c>
      <c r="S70" s="42">
        <f>IF($A70="","",IF(OR(S$52&lt;Tetapan!$B22,AND(Tetapan!$C22&lt;&gt;"",S$52&gt;Tetapan!$C22),Tetapan!$E22=0,S$52&gt;Tetapan!$B$27),"–",IF(SUMPRODUCT((Transaksi!$C$2:$C$2001=$A70)*(Transaksi!$N$2:$N$2001&lt;=S$52)*(Transaksi!$O$2:$O$2001&gt;=S$52)*(Transaksi!$R$2:$R$2001&gt;=Tetapan!$E22-0.01))&gt;0,"✓",IF(SUMPRODUCT((Transaksi!$C$2:$C$2001=$A70)*(Transaksi!$N$2:$N$2001&lt;=S$52)*(Transaksi!$O$2:$O$2001&gt;=S$52)*(Transaksi!$R$2:$R$2001&gt;0))&gt;0,"½",IF(S$52&gt;TODAY(),"·","✗")))))</f>
        <v/>
      </c>
      <c r="T70" s="42">
        <f>IF($A70="","",IF(OR(T$52&lt;Tetapan!$B22,AND(Tetapan!$C22&lt;&gt;"",T$52&gt;Tetapan!$C22),Tetapan!$E22=0,T$52&gt;Tetapan!$B$27),"–",IF(SUMPRODUCT((Transaksi!$C$2:$C$2001=$A70)*(Transaksi!$N$2:$N$2001&lt;=T$52)*(Transaksi!$O$2:$O$2001&gt;=T$52)*(Transaksi!$R$2:$R$2001&gt;=Tetapan!$E22-0.01))&gt;0,"✓",IF(SUMPRODUCT((Transaksi!$C$2:$C$2001=$A70)*(Transaksi!$N$2:$N$2001&lt;=T$52)*(Transaksi!$O$2:$O$2001&gt;=T$52)*(Transaksi!$R$2:$R$2001&gt;0))&gt;0,"½",IF(T$52&gt;TODAY(),"·","✗")))))</f>
        <v/>
      </c>
      <c r="W70" s="12">
        <f>IF(B70="✗",TEXT(B$52,"mmm yy")&amp;", ",IF(B70="½",TEXT(B$52,"mmm yy")&amp;" (separa), ",""))&amp;IF(C70="✗",TEXT(C$52,"mmm yy")&amp;", ",IF(C70="½",TEXT(C$52,"mmm yy")&amp;" (separa), ",""))&amp;IF(D70="✗",TEXT(D$52,"mmm yy")&amp;", ",IF(D70="½",TEXT(D$52,"mmm yy")&amp;" (separa), ",""))&amp;IF(E70="✗",TEXT(E$52,"mmm yy")&amp;", ",IF(E70="½",TEXT(E$52,"mmm yy")&amp;" (separa), ",""))&amp;IF(F70="✗",TEXT(F$52,"mmm yy")&amp;", ",IF(F70="½",TEXT(F$52,"mmm yy")&amp;" (separa), ",""))&amp;IF(G70="✗",TEXT(G$52,"mmm yy")&amp;", ",IF(G70="½",TEXT(G$52,"mmm yy")&amp;" (separa), ",""))&amp;IF(H70="✗",TEXT(H$52,"mmm yy")&amp;", ",IF(H70="½",TEXT(H$52,"mmm yy")&amp;" (separa), ",""))&amp;IF(I70="✗",TEXT(I$52,"mmm yy")&amp;", ",IF(I70="½",TEXT(I$52,"mmm yy")&amp;" (separa), ",""))&amp;IF(J70="✗",TEXT(J$52,"mmm yy")&amp;", ",IF(J70="½",TEXT(J$52,"mmm yy")&amp;" (separa), ",""))&amp;IF(K70="✗",TEXT(K$52,"mmm yy")&amp;", ",IF(K70="½",TEXT(K$52,"mmm yy")&amp;" (separa), ",""))&amp;IF(L70="✗",TEXT(L$52,"mmm yy")&amp;", ",IF(L70="½",TEXT(L$52,"mmm yy")&amp;" (separa), ",""))&amp;IF(M70="✗",TEXT(M$52,"mmm yy")&amp;", ",IF(M70="½",TEXT(M$52,"mmm yy")&amp;" (separa), ",""))&amp;IF(N70="✗",TEXT(N$52,"mmm yy")&amp;", ",IF(N70="½",TEXT(N$52,"mmm yy")&amp;" (separa), ",""))&amp;IF(O70="✗",TEXT(O$52,"mmm yy")&amp;", ",IF(O70="½",TEXT(O$52,"mmm yy")&amp;" (separa), ",""))&amp;IF(P70="✗",TEXT(P$52,"mmm yy")&amp;", ",IF(P70="½",TEXT(P$52,"mmm yy")&amp;" (separa), ",""))&amp;IF(Q70="✗",TEXT(Q$52,"mmm yy")&amp;", ",IF(Q70="½",TEXT(Q$52,"mmm yy")&amp;" (separa), ",""))&amp;IF(R70="✗",TEXT(R$52,"mmm yy")&amp;", ",IF(R70="½",TEXT(R$52,"mmm yy")&amp;" (separa), ",""))&amp;IF(S70="✗",TEXT(S$52,"mmm yy")&amp;", ",IF(S70="½",TEXT(S$52,"mmm yy")&amp;" (separa), ",""))&amp;IF(T70="✗",TEXT(T$52,"mmm yy")&amp;", ",IF(T70="½",TEXT(T$52,"mmm yy")&amp;" (separa), ",""))</f>
        <v/>
      </c>
    </row>
    <row r="71">
      <c r="A71" s="41">
        <f>IF(Tetapan!A23="","",Tetapan!A23)</f>
        <v/>
      </c>
      <c r="B71" s="42">
        <f>IF($A71="","",IF(OR(B$52&lt;Tetapan!$B23,AND(Tetapan!$C23&lt;&gt;"",B$52&gt;Tetapan!$C23),Tetapan!$E23=0,B$52&gt;Tetapan!$B$27),"–",IF(SUMPRODUCT((Transaksi!$C$2:$C$2001=$A71)*(Transaksi!$N$2:$N$2001&lt;=B$52)*(Transaksi!$O$2:$O$2001&gt;=B$52)*(Transaksi!$R$2:$R$2001&gt;=Tetapan!$E23-0.01))&gt;0,"✓",IF(SUMPRODUCT((Transaksi!$C$2:$C$2001=$A71)*(Transaksi!$N$2:$N$2001&lt;=B$52)*(Transaksi!$O$2:$O$2001&gt;=B$52)*(Transaksi!$R$2:$R$2001&gt;0))&gt;0,"½",IF(B$52&gt;TODAY(),"·","✗")))))</f>
        <v/>
      </c>
      <c r="C71" s="42">
        <f>IF($A71="","",IF(OR(C$52&lt;Tetapan!$B23,AND(Tetapan!$C23&lt;&gt;"",C$52&gt;Tetapan!$C23),Tetapan!$E23=0,C$52&gt;Tetapan!$B$27),"–",IF(SUMPRODUCT((Transaksi!$C$2:$C$2001=$A71)*(Transaksi!$N$2:$N$2001&lt;=C$52)*(Transaksi!$O$2:$O$2001&gt;=C$52)*(Transaksi!$R$2:$R$2001&gt;=Tetapan!$E23-0.01))&gt;0,"✓",IF(SUMPRODUCT((Transaksi!$C$2:$C$2001=$A71)*(Transaksi!$N$2:$N$2001&lt;=C$52)*(Transaksi!$O$2:$O$2001&gt;=C$52)*(Transaksi!$R$2:$R$2001&gt;0))&gt;0,"½",IF(C$52&gt;TODAY(),"·","✗")))))</f>
        <v/>
      </c>
      <c r="D71" s="42">
        <f>IF($A71="","",IF(OR(D$52&lt;Tetapan!$B23,AND(Tetapan!$C23&lt;&gt;"",D$52&gt;Tetapan!$C23),Tetapan!$E23=0,D$52&gt;Tetapan!$B$27),"–",IF(SUMPRODUCT((Transaksi!$C$2:$C$2001=$A71)*(Transaksi!$N$2:$N$2001&lt;=D$52)*(Transaksi!$O$2:$O$2001&gt;=D$52)*(Transaksi!$R$2:$R$2001&gt;=Tetapan!$E23-0.01))&gt;0,"✓",IF(SUMPRODUCT((Transaksi!$C$2:$C$2001=$A71)*(Transaksi!$N$2:$N$2001&lt;=D$52)*(Transaksi!$O$2:$O$2001&gt;=D$52)*(Transaksi!$R$2:$R$2001&gt;0))&gt;0,"½",IF(D$52&gt;TODAY(),"·","✗")))))</f>
        <v/>
      </c>
      <c r="E71" s="42">
        <f>IF($A71="","",IF(OR(E$52&lt;Tetapan!$B23,AND(Tetapan!$C23&lt;&gt;"",E$52&gt;Tetapan!$C23),Tetapan!$E23=0,E$52&gt;Tetapan!$B$27),"–",IF(SUMPRODUCT((Transaksi!$C$2:$C$2001=$A71)*(Transaksi!$N$2:$N$2001&lt;=E$52)*(Transaksi!$O$2:$O$2001&gt;=E$52)*(Transaksi!$R$2:$R$2001&gt;=Tetapan!$E23-0.01))&gt;0,"✓",IF(SUMPRODUCT((Transaksi!$C$2:$C$2001=$A71)*(Transaksi!$N$2:$N$2001&lt;=E$52)*(Transaksi!$O$2:$O$2001&gt;=E$52)*(Transaksi!$R$2:$R$2001&gt;0))&gt;0,"½",IF(E$52&gt;TODAY(),"·","✗")))))</f>
        <v/>
      </c>
      <c r="F71" s="42">
        <f>IF($A71="","",IF(OR(F$52&lt;Tetapan!$B23,AND(Tetapan!$C23&lt;&gt;"",F$52&gt;Tetapan!$C23),Tetapan!$E23=0,F$52&gt;Tetapan!$B$27),"–",IF(SUMPRODUCT((Transaksi!$C$2:$C$2001=$A71)*(Transaksi!$N$2:$N$2001&lt;=F$52)*(Transaksi!$O$2:$O$2001&gt;=F$52)*(Transaksi!$R$2:$R$2001&gt;=Tetapan!$E23-0.01))&gt;0,"✓",IF(SUMPRODUCT((Transaksi!$C$2:$C$2001=$A71)*(Transaksi!$N$2:$N$2001&lt;=F$52)*(Transaksi!$O$2:$O$2001&gt;=F$52)*(Transaksi!$R$2:$R$2001&gt;0))&gt;0,"½",IF(F$52&gt;TODAY(),"·","✗")))))</f>
        <v/>
      </c>
      <c r="G71" s="42">
        <f>IF($A71="","",IF(OR(G$52&lt;Tetapan!$B23,AND(Tetapan!$C23&lt;&gt;"",G$52&gt;Tetapan!$C23),Tetapan!$E23=0,G$52&gt;Tetapan!$B$27),"–",IF(SUMPRODUCT((Transaksi!$C$2:$C$2001=$A71)*(Transaksi!$N$2:$N$2001&lt;=G$52)*(Transaksi!$O$2:$O$2001&gt;=G$52)*(Transaksi!$R$2:$R$2001&gt;=Tetapan!$E23-0.01))&gt;0,"✓",IF(SUMPRODUCT((Transaksi!$C$2:$C$2001=$A71)*(Transaksi!$N$2:$N$2001&lt;=G$52)*(Transaksi!$O$2:$O$2001&gt;=G$52)*(Transaksi!$R$2:$R$2001&gt;0))&gt;0,"½",IF(G$52&gt;TODAY(),"·","✗")))))</f>
        <v/>
      </c>
      <c r="H71" s="42">
        <f>IF($A71="","",IF(OR(H$52&lt;Tetapan!$B23,AND(Tetapan!$C23&lt;&gt;"",H$52&gt;Tetapan!$C23),Tetapan!$E23=0,H$52&gt;Tetapan!$B$27),"–",IF(SUMPRODUCT((Transaksi!$C$2:$C$2001=$A71)*(Transaksi!$N$2:$N$2001&lt;=H$52)*(Transaksi!$O$2:$O$2001&gt;=H$52)*(Transaksi!$R$2:$R$2001&gt;=Tetapan!$E23-0.01))&gt;0,"✓",IF(SUMPRODUCT((Transaksi!$C$2:$C$2001=$A71)*(Transaksi!$N$2:$N$2001&lt;=H$52)*(Transaksi!$O$2:$O$2001&gt;=H$52)*(Transaksi!$R$2:$R$2001&gt;0))&gt;0,"½",IF(H$52&gt;TODAY(),"·","✗")))))</f>
        <v/>
      </c>
      <c r="I71" s="42">
        <f>IF($A71="","",IF(OR(I$52&lt;Tetapan!$B23,AND(Tetapan!$C23&lt;&gt;"",I$52&gt;Tetapan!$C23),Tetapan!$E23=0,I$52&gt;Tetapan!$B$27),"–",IF(SUMPRODUCT((Transaksi!$C$2:$C$2001=$A71)*(Transaksi!$N$2:$N$2001&lt;=I$52)*(Transaksi!$O$2:$O$2001&gt;=I$52)*(Transaksi!$R$2:$R$2001&gt;=Tetapan!$E23-0.01))&gt;0,"✓",IF(SUMPRODUCT((Transaksi!$C$2:$C$2001=$A71)*(Transaksi!$N$2:$N$2001&lt;=I$52)*(Transaksi!$O$2:$O$2001&gt;=I$52)*(Transaksi!$R$2:$R$2001&gt;0))&gt;0,"½",IF(I$52&gt;TODAY(),"·","✗")))))</f>
        <v/>
      </c>
      <c r="J71" s="42">
        <f>IF($A71="","",IF(OR(J$52&lt;Tetapan!$B23,AND(Tetapan!$C23&lt;&gt;"",J$52&gt;Tetapan!$C23),Tetapan!$E23=0,J$52&gt;Tetapan!$B$27),"–",IF(SUMPRODUCT((Transaksi!$C$2:$C$2001=$A71)*(Transaksi!$N$2:$N$2001&lt;=J$52)*(Transaksi!$O$2:$O$2001&gt;=J$52)*(Transaksi!$R$2:$R$2001&gt;=Tetapan!$E23-0.01))&gt;0,"✓",IF(SUMPRODUCT((Transaksi!$C$2:$C$2001=$A71)*(Transaksi!$N$2:$N$2001&lt;=J$52)*(Transaksi!$O$2:$O$2001&gt;=J$52)*(Transaksi!$R$2:$R$2001&gt;0))&gt;0,"½",IF(J$52&gt;TODAY(),"·","✗")))))</f>
        <v/>
      </c>
      <c r="K71" s="42">
        <f>IF($A71="","",IF(OR(K$52&lt;Tetapan!$B23,AND(Tetapan!$C23&lt;&gt;"",K$52&gt;Tetapan!$C23),Tetapan!$E23=0,K$52&gt;Tetapan!$B$27),"–",IF(SUMPRODUCT((Transaksi!$C$2:$C$2001=$A71)*(Transaksi!$N$2:$N$2001&lt;=K$52)*(Transaksi!$O$2:$O$2001&gt;=K$52)*(Transaksi!$R$2:$R$2001&gt;=Tetapan!$E23-0.01))&gt;0,"✓",IF(SUMPRODUCT((Transaksi!$C$2:$C$2001=$A71)*(Transaksi!$N$2:$N$2001&lt;=K$52)*(Transaksi!$O$2:$O$2001&gt;=K$52)*(Transaksi!$R$2:$R$2001&gt;0))&gt;0,"½",IF(K$52&gt;TODAY(),"·","✗")))))</f>
        <v/>
      </c>
      <c r="L71" s="42">
        <f>IF($A71="","",IF(OR(L$52&lt;Tetapan!$B23,AND(Tetapan!$C23&lt;&gt;"",L$52&gt;Tetapan!$C23),Tetapan!$E23=0,L$52&gt;Tetapan!$B$27),"–",IF(SUMPRODUCT((Transaksi!$C$2:$C$2001=$A71)*(Transaksi!$N$2:$N$2001&lt;=L$52)*(Transaksi!$O$2:$O$2001&gt;=L$52)*(Transaksi!$R$2:$R$2001&gt;=Tetapan!$E23-0.01))&gt;0,"✓",IF(SUMPRODUCT((Transaksi!$C$2:$C$2001=$A71)*(Transaksi!$N$2:$N$2001&lt;=L$52)*(Transaksi!$O$2:$O$2001&gt;=L$52)*(Transaksi!$R$2:$R$2001&gt;0))&gt;0,"½",IF(L$52&gt;TODAY(),"·","✗")))))</f>
        <v/>
      </c>
      <c r="M71" s="42">
        <f>IF($A71="","",IF(OR(M$52&lt;Tetapan!$B23,AND(Tetapan!$C23&lt;&gt;"",M$52&gt;Tetapan!$C23),Tetapan!$E23=0,M$52&gt;Tetapan!$B$27),"–",IF(SUMPRODUCT((Transaksi!$C$2:$C$2001=$A71)*(Transaksi!$N$2:$N$2001&lt;=M$52)*(Transaksi!$O$2:$O$2001&gt;=M$52)*(Transaksi!$R$2:$R$2001&gt;=Tetapan!$E23-0.01))&gt;0,"✓",IF(SUMPRODUCT((Transaksi!$C$2:$C$2001=$A71)*(Transaksi!$N$2:$N$2001&lt;=M$52)*(Transaksi!$O$2:$O$2001&gt;=M$52)*(Transaksi!$R$2:$R$2001&gt;0))&gt;0,"½",IF(M$52&gt;TODAY(),"·","✗")))))</f>
        <v/>
      </c>
      <c r="N71" s="42">
        <f>IF($A71="","",IF(OR(N$52&lt;Tetapan!$B23,AND(Tetapan!$C23&lt;&gt;"",N$52&gt;Tetapan!$C23),Tetapan!$E23=0,N$52&gt;Tetapan!$B$27),"–",IF(SUMPRODUCT((Transaksi!$C$2:$C$2001=$A71)*(Transaksi!$N$2:$N$2001&lt;=N$52)*(Transaksi!$O$2:$O$2001&gt;=N$52)*(Transaksi!$R$2:$R$2001&gt;=Tetapan!$E23-0.01))&gt;0,"✓",IF(SUMPRODUCT((Transaksi!$C$2:$C$2001=$A71)*(Transaksi!$N$2:$N$2001&lt;=N$52)*(Transaksi!$O$2:$O$2001&gt;=N$52)*(Transaksi!$R$2:$R$2001&gt;0))&gt;0,"½",IF(N$52&gt;TODAY(),"·","✗")))))</f>
        <v/>
      </c>
      <c r="O71" s="42">
        <f>IF($A71="","",IF(OR(O$52&lt;Tetapan!$B23,AND(Tetapan!$C23&lt;&gt;"",O$52&gt;Tetapan!$C23),Tetapan!$E23=0,O$52&gt;Tetapan!$B$27),"–",IF(SUMPRODUCT((Transaksi!$C$2:$C$2001=$A71)*(Transaksi!$N$2:$N$2001&lt;=O$52)*(Transaksi!$O$2:$O$2001&gt;=O$52)*(Transaksi!$R$2:$R$2001&gt;=Tetapan!$E23-0.01))&gt;0,"✓",IF(SUMPRODUCT((Transaksi!$C$2:$C$2001=$A71)*(Transaksi!$N$2:$N$2001&lt;=O$52)*(Transaksi!$O$2:$O$2001&gt;=O$52)*(Transaksi!$R$2:$R$2001&gt;0))&gt;0,"½",IF(O$52&gt;TODAY(),"·","✗")))))</f>
        <v/>
      </c>
      <c r="P71" s="42">
        <f>IF($A71="","",IF(OR(P$52&lt;Tetapan!$B23,AND(Tetapan!$C23&lt;&gt;"",P$52&gt;Tetapan!$C23),Tetapan!$E23=0,P$52&gt;Tetapan!$B$27),"–",IF(SUMPRODUCT((Transaksi!$C$2:$C$2001=$A71)*(Transaksi!$N$2:$N$2001&lt;=P$52)*(Transaksi!$O$2:$O$2001&gt;=P$52)*(Transaksi!$R$2:$R$2001&gt;=Tetapan!$E23-0.01))&gt;0,"✓",IF(SUMPRODUCT((Transaksi!$C$2:$C$2001=$A71)*(Transaksi!$N$2:$N$2001&lt;=P$52)*(Transaksi!$O$2:$O$2001&gt;=P$52)*(Transaksi!$R$2:$R$2001&gt;0))&gt;0,"½",IF(P$52&gt;TODAY(),"·","✗")))))</f>
        <v/>
      </c>
      <c r="Q71" s="42">
        <f>IF($A71="","",IF(OR(Q$52&lt;Tetapan!$B23,AND(Tetapan!$C23&lt;&gt;"",Q$52&gt;Tetapan!$C23),Tetapan!$E23=0,Q$52&gt;Tetapan!$B$27),"–",IF(SUMPRODUCT((Transaksi!$C$2:$C$2001=$A71)*(Transaksi!$N$2:$N$2001&lt;=Q$52)*(Transaksi!$O$2:$O$2001&gt;=Q$52)*(Transaksi!$R$2:$R$2001&gt;=Tetapan!$E23-0.01))&gt;0,"✓",IF(SUMPRODUCT((Transaksi!$C$2:$C$2001=$A71)*(Transaksi!$N$2:$N$2001&lt;=Q$52)*(Transaksi!$O$2:$O$2001&gt;=Q$52)*(Transaksi!$R$2:$R$2001&gt;0))&gt;0,"½",IF(Q$52&gt;TODAY(),"·","✗")))))</f>
        <v/>
      </c>
      <c r="R71" s="42">
        <f>IF($A71="","",IF(OR(R$52&lt;Tetapan!$B23,AND(Tetapan!$C23&lt;&gt;"",R$52&gt;Tetapan!$C23),Tetapan!$E23=0,R$52&gt;Tetapan!$B$27),"–",IF(SUMPRODUCT((Transaksi!$C$2:$C$2001=$A71)*(Transaksi!$N$2:$N$2001&lt;=R$52)*(Transaksi!$O$2:$O$2001&gt;=R$52)*(Transaksi!$R$2:$R$2001&gt;=Tetapan!$E23-0.01))&gt;0,"✓",IF(SUMPRODUCT((Transaksi!$C$2:$C$2001=$A71)*(Transaksi!$N$2:$N$2001&lt;=R$52)*(Transaksi!$O$2:$O$2001&gt;=R$52)*(Transaksi!$R$2:$R$2001&gt;0))&gt;0,"½",IF(R$52&gt;TODAY(),"·","✗")))))</f>
        <v/>
      </c>
      <c r="S71" s="42">
        <f>IF($A71="","",IF(OR(S$52&lt;Tetapan!$B23,AND(Tetapan!$C23&lt;&gt;"",S$52&gt;Tetapan!$C23),Tetapan!$E23=0,S$52&gt;Tetapan!$B$27),"–",IF(SUMPRODUCT((Transaksi!$C$2:$C$2001=$A71)*(Transaksi!$N$2:$N$2001&lt;=S$52)*(Transaksi!$O$2:$O$2001&gt;=S$52)*(Transaksi!$R$2:$R$2001&gt;=Tetapan!$E23-0.01))&gt;0,"✓",IF(SUMPRODUCT((Transaksi!$C$2:$C$2001=$A71)*(Transaksi!$N$2:$N$2001&lt;=S$52)*(Transaksi!$O$2:$O$2001&gt;=S$52)*(Transaksi!$R$2:$R$2001&gt;0))&gt;0,"½",IF(S$52&gt;TODAY(),"·","✗")))))</f>
        <v/>
      </c>
      <c r="T71" s="42">
        <f>IF($A71="","",IF(OR(T$52&lt;Tetapan!$B23,AND(Tetapan!$C23&lt;&gt;"",T$52&gt;Tetapan!$C23),Tetapan!$E23=0,T$52&gt;Tetapan!$B$27),"–",IF(SUMPRODUCT((Transaksi!$C$2:$C$2001=$A71)*(Transaksi!$N$2:$N$2001&lt;=T$52)*(Transaksi!$O$2:$O$2001&gt;=T$52)*(Transaksi!$R$2:$R$2001&gt;=Tetapan!$E23-0.01))&gt;0,"✓",IF(SUMPRODUCT((Transaksi!$C$2:$C$2001=$A71)*(Transaksi!$N$2:$N$2001&lt;=T$52)*(Transaksi!$O$2:$O$2001&gt;=T$52)*(Transaksi!$R$2:$R$2001&gt;0))&gt;0,"½",IF(T$52&gt;TODAY(),"·","✗")))))</f>
        <v/>
      </c>
      <c r="W71" s="12">
        <f>IF(B71="✗",TEXT(B$52,"mmm yy")&amp;", ",IF(B71="½",TEXT(B$52,"mmm yy")&amp;" (separa), ",""))&amp;IF(C71="✗",TEXT(C$52,"mmm yy")&amp;", ",IF(C71="½",TEXT(C$52,"mmm yy")&amp;" (separa), ",""))&amp;IF(D71="✗",TEXT(D$52,"mmm yy")&amp;", ",IF(D71="½",TEXT(D$52,"mmm yy")&amp;" (separa), ",""))&amp;IF(E71="✗",TEXT(E$52,"mmm yy")&amp;", ",IF(E71="½",TEXT(E$52,"mmm yy")&amp;" (separa), ",""))&amp;IF(F71="✗",TEXT(F$52,"mmm yy")&amp;", ",IF(F71="½",TEXT(F$52,"mmm yy")&amp;" (separa), ",""))&amp;IF(G71="✗",TEXT(G$52,"mmm yy")&amp;", ",IF(G71="½",TEXT(G$52,"mmm yy")&amp;" (separa), ",""))&amp;IF(H71="✗",TEXT(H$52,"mmm yy")&amp;", ",IF(H71="½",TEXT(H$52,"mmm yy")&amp;" (separa), ",""))&amp;IF(I71="✗",TEXT(I$52,"mmm yy")&amp;", ",IF(I71="½",TEXT(I$52,"mmm yy")&amp;" (separa), ",""))&amp;IF(J71="✗",TEXT(J$52,"mmm yy")&amp;", ",IF(J71="½",TEXT(J$52,"mmm yy")&amp;" (separa), ",""))&amp;IF(K71="✗",TEXT(K$52,"mmm yy")&amp;", ",IF(K71="½",TEXT(K$52,"mmm yy")&amp;" (separa), ",""))&amp;IF(L71="✗",TEXT(L$52,"mmm yy")&amp;", ",IF(L71="½",TEXT(L$52,"mmm yy")&amp;" (separa), ",""))&amp;IF(M71="✗",TEXT(M$52,"mmm yy")&amp;", ",IF(M71="½",TEXT(M$52,"mmm yy")&amp;" (separa), ",""))&amp;IF(N71="✗",TEXT(N$52,"mmm yy")&amp;", ",IF(N71="½",TEXT(N$52,"mmm yy")&amp;" (separa), ",""))&amp;IF(O71="✗",TEXT(O$52,"mmm yy")&amp;", ",IF(O71="½",TEXT(O$52,"mmm yy")&amp;" (separa), ",""))&amp;IF(P71="✗",TEXT(P$52,"mmm yy")&amp;", ",IF(P71="½",TEXT(P$52,"mmm yy")&amp;" (separa), ",""))&amp;IF(Q71="✗",TEXT(Q$52,"mmm yy")&amp;", ",IF(Q71="½",TEXT(Q$52,"mmm yy")&amp;" (separa), ",""))&amp;IF(R71="✗",TEXT(R$52,"mmm yy")&amp;", ",IF(R71="½",TEXT(R$52,"mmm yy")&amp;" (separa), ",""))&amp;IF(S71="✗",TEXT(S$52,"mmm yy")&amp;", ",IF(S71="½",TEXT(S$52,"mmm yy")&amp;" (separa), ",""))&amp;IF(T71="✗",TEXT(T$52,"mmm yy")&amp;", ",IF(T71="½",TEXT(T$52,"mmm yy")&amp;" (separa), ",""))</f>
        <v/>
      </c>
    </row>
    <row r="72">
      <c r="A72" s="41">
        <f>IF(Tetapan!A24="","",Tetapan!A24)</f>
        <v/>
      </c>
      <c r="B72" s="42">
        <f>IF($A72="","",IF(OR(B$52&lt;Tetapan!$B24,AND(Tetapan!$C24&lt;&gt;"",B$52&gt;Tetapan!$C24),Tetapan!$E24=0,B$52&gt;Tetapan!$B$27),"–",IF(SUMPRODUCT((Transaksi!$C$2:$C$2001=$A72)*(Transaksi!$N$2:$N$2001&lt;=B$52)*(Transaksi!$O$2:$O$2001&gt;=B$52)*(Transaksi!$R$2:$R$2001&gt;=Tetapan!$E24-0.01))&gt;0,"✓",IF(SUMPRODUCT((Transaksi!$C$2:$C$2001=$A72)*(Transaksi!$N$2:$N$2001&lt;=B$52)*(Transaksi!$O$2:$O$2001&gt;=B$52)*(Transaksi!$R$2:$R$2001&gt;0))&gt;0,"½",IF(B$52&gt;TODAY(),"·","✗")))))</f>
        <v/>
      </c>
      <c r="C72" s="42">
        <f>IF($A72="","",IF(OR(C$52&lt;Tetapan!$B24,AND(Tetapan!$C24&lt;&gt;"",C$52&gt;Tetapan!$C24),Tetapan!$E24=0,C$52&gt;Tetapan!$B$27),"–",IF(SUMPRODUCT((Transaksi!$C$2:$C$2001=$A72)*(Transaksi!$N$2:$N$2001&lt;=C$52)*(Transaksi!$O$2:$O$2001&gt;=C$52)*(Transaksi!$R$2:$R$2001&gt;=Tetapan!$E24-0.01))&gt;0,"✓",IF(SUMPRODUCT((Transaksi!$C$2:$C$2001=$A72)*(Transaksi!$N$2:$N$2001&lt;=C$52)*(Transaksi!$O$2:$O$2001&gt;=C$52)*(Transaksi!$R$2:$R$2001&gt;0))&gt;0,"½",IF(C$52&gt;TODAY(),"·","✗")))))</f>
        <v/>
      </c>
      <c r="D72" s="42">
        <f>IF($A72="","",IF(OR(D$52&lt;Tetapan!$B24,AND(Tetapan!$C24&lt;&gt;"",D$52&gt;Tetapan!$C24),Tetapan!$E24=0,D$52&gt;Tetapan!$B$27),"–",IF(SUMPRODUCT((Transaksi!$C$2:$C$2001=$A72)*(Transaksi!$N$2:$N$2001&lt;=D$52)*(Transaksi!$O$2:$O$2001&gt;=D$52)*(Transaksi!$R$2:$R$2001&gt;=Tetapan!$E24-0.01))&gt;0,"✓",IF(SUMPRODUCT((Transaksi!$C$2:$C$2001=$A72)*(Transaksi!$N$2:$N$2001&lt;=D$52)*(Transaksi!$O$2:$O$2001&gt;=D$52)*(Transaksi!$R$2:$R$2001&gt;0))&gt;0,"½",IF(D$52&gt;TODAY(),"·","✗")))))</f>
        <v/>
      </c>
      <c r="E72" s="42">
        <f>IF($A72="","",IF(OR(E$52&lt;Tetapan!$B24,AND(Tetapan!$C24&lt;&gt;"",E$52&gt;Tetapan!$C24),Tetapan!$E24=0,E$52&gt;Tetapan!$B$27),"–",IF(SUMPRODUCT((Transaksi!$C$2:$C$2001=$A72)*(Transaksi!$N$2:$N$2001&lt;=E$52)*(Transaksi!$O$2:$O$2001&gt;=E$52)*(Transaksi!$R$2:$R$2001&gt;=Tetapan!$E24-0.01))&gt;0,"✓",IF(SUMPRODUCT((Transaksi!$C$2:$C$2001=$A72)*(Transaksi!$N$2:$N$2001&lt;=E$52)*(Transaksi!$O$2:$O$2001&gt;=E$52)*(Transaksi!$R$2:$R$2001&gt;0))&gt;0,"½",IF(E$52&gt;TODAY(),"·","✗")))))</f>
        <v/>
      </c>
      <c r="F72" s="42">
        <f>IF($A72="","",IF(OR(F$52&lt;Tetapan!$B24,AND(Tetapan!$C24&lt;&gt;"",F$52&gt;Tetapan!$C24),Tetapan!$E24=0,F$52&gt;Tetapan!$B$27),"–",IF(SUMPRODUCT((Transaksi!$C$2:$C$2001=$A72)*(Transaksi!$N$2:$N$2001&lt;=F$52)*(Transaksi!$O$2:$O$2001&gt;=F$52)*(Transaksi!$R$2:$R$2001&gt;=Tetapan!$E24-0.01))&gt;0,"✓",IF(SUMPRODUCT((Transaksi!$C$2:$C$2001=$A72)*(Transaksi!$N$2:$N$2001&lt;=F$52)*(Transaksi!$O$2:$O$2001&gt;=F$52)*(Transaksi!$R$2:$R$2001&gt;0))&gt;0,"½",IF(F$52&gt;TODAY(),"·","✗")))))</f>
        <v/>
      </c>
      <c r="G72" s="42">
        <f>IF($A72="","",IF(OR(G$52&lt;Tetapan!$B24,AND(Tetapan!$C24&lt;&gt;"",G$52&gt;Tetapan!$C24),Tetapan!$E24=0,G$52&gt;Tetapan!$B$27),"–",IF(SUMPRODUCT((Transaksi!$C$2:$C$2001=$A72)*(Transaksi!$N$2:$N$2001&lt;=G$52)*(Transaksi!$O$2:$O$2001&gt;=G$52)*(Transaksi!$R$2:$R$2001&gt;=Tetapan!$E24-0.01))&gt;0,"✓",IF(SUMPRODUCT((Transaksi!$C$2:$C$2001=$A72)*(Transaksi!$N$2:$N$2001&lt;=G$52)*(Transaksi!$O$2:$O$2001&gt;=G$52)*(Transaksi!$R$2:$R$2001&gt;0))&gt;0,"½",IF(G$52&gt;TODAY(),"·","✗")))))</f>
        <v/>
      </c>
      <c r="H72" s="42">
        <f>IF($A72="","",IF(OR(H$52&lt;Tetapan!$B24,AND(Tetapan!$C24&lt;&gt;"",H$52&gt;Tetapan!$C24),Tetapan!$E24=0,H$52&gt;Tetapan!$B$27),"–",IF(SUMPRODUCT((Transaksi!$C$2:$C$2001=$A72)*(Transaksi!$N$2:$N$2001&lt;=H$52)*(Transaksi!$O$2:$O$2001&gt;=H$52)*(Transaksi!$R$2:$R$2001&gt;=Tetapan!$E24-0.01))&gt;0,"✓",IF(SUMPRODUCT((Transaksi!$C$2:$C$2001=$A72)*(Transaksi!$N$2:$N$2001&lt;=H$52)*(Transaksi!$O$2:$O$2001&gt;=H$52)*(Transaksi!$R$2:$R$2001&gt;0))&gt;0,"½",IF(H$52&gt;TODAY(),"·","✗")))))</f>
        <v/>
      </c>
      <c r="I72" s="42">
        <f>IF($A72="","",IF(OR(I$52&lt;Tetapan!$B24,AND(Tetapan!$C24&lt;&gt;"",I$52&gt;Tetapan!$C24),Tetapan!$E24=0,I$52&gt;Tetapan!$B$27),"–",IF(SUMPRODUCT((Transaksi!$C$2:$C$2001=$A72)*(Transaksi!$N$2:$N$2001&lt;=I$52)*(Transaksi!$O$2:$O$2001&gt;=I$52)*(Transaksi!$R$2:$R$2001&gt;=Tetapan!$E24-0.01))&gt;0,"✓",IF(SUMPRODUCT((Transaksi!$C$2:$C$2001=$A72)*(Transaksi!$N$2:$N$2001&lt;=I$52)*(Transaksi!$O$2:$O$2001&gt;=I$52)*(Transaksi!$R$2:$R$2001&gt;0))&gt;0,"½",IF(I$52&gt;TODAY(),"·","✗")))))</f>
        <v/>
      </c>
      <c r="J72" s="42">
        <f>IF($A72="","",IF(OR(J$52&lt;Tetapan!$B24,AND(Tetapan!$C24&lt;&gt;"",J$52&gt;Tetapan!$C24),Tetapan!$E24=0,J$52&gt;Tetapan!$B$27),"–",IF(SUMPRODUCT((Transaksi!$C$2:$C$2001=$A72)*(Transaksi!$N$2:$N$2001&lt;=J$52)*(Transaksi!$O$2:$O$2001&gt;=J$52)*(Transaksi!$R$2:$R$2001&gt;=Tetapan!$E24-0.01))&gt;0,"✓",IF(SUMPRODUCT((Transaksi!$C$2:$C$2001=$A72)*(Transaksi!$N$2:$N$2001&lt;=J$52)*(Transaksi!$O$2:$O$2001&gt;=J$52)*(Transaksi!$R$2:$R$2001&gt;0))&gt;0,"½",IF(J$52&gt;TODAY(),"·","✗")))))</f>
        <v/>
      </c>
      <c r="K72" s="42">
        <f>IF($A72="","",IF(OR(K$52&lt;Tetapan!$B24,AND(Tetapan!$C24&lt;&gt;"",K$52&gt;Tetapan!$C24),Tetapan!$E24=0,K$52&gt;Tetapan!$B$27),"–",IF(SUMPRODUCT((Transaksi!$C$2:$C$2001=$A72)*(Transaksi!$N$2:$N$2001&lt;=K$52)*(Transaksi!$O$2:$O$2001&gt;=K$52)*(Transaksi!$R$2:$R$2001&gt;=Tetapan!$E24-0.01))&gt;0,"✓",IF(SUMPRODUCT((Transaksi!$C$2:$C$2001=$A72)*(Transaksi!$N$2:$N$2001&lt;=K$52)*(Transaksi!$O$2:$O$2001&gt;=K$52)*(Transaksi!$R$2:$R$2001&gt;0))&gt;0,"½",IF(K$52&gt;TODAY(),"·","✗")))))</f>
        <v/>
      </c>
      <c r="L72" s="42">
        <f>IF($A72="","",IF(OR(L$52&lt;Tetapan!$B24,AND(Tetapan!$C24&lt;&gt;"",L$52&gt;Tetapan!$C24),Tetapan!$E24=0,L$52&gt;Tetapan!$B$27),"–",IF(SUMPRODUCT((Transaksi!$C$2:$C$2001=$A72)*(Transaksi!$N$2:$N$2001&lt;=L$52)*(Transaksi!$O$2:$O$2001&gt;=L$52)*(Transaksi!$R$2:$R$2001&gt;=Tetapan!$E24-0.01))&gt;0,"✓",IF(SUMPRODUCT((Transaksi!$C$2:$C$2001=$A72)*(Transaksi!$N$2:$N$2001&lt;=L$52)*(Transaksi!$O$2:$O$2001&gt;=L$52)*(Transaksi!$R$2:$R$2001&gt;0))&gt;0,"½",IF(L$52&gt;TODAY(),"·","✗")))))</f>
        <v/>
      </c>
      <c r="M72" s="42">
        <f>IF($A72="","",IF(OR(M$52&lt;Tetapan!$B24,AND(Tetapan!$C24&lt;&gt;"",M$52&gt;Tetapan!$C24),Tetapan!$E24=0,M$52&gt;Tetapan!$B$27),"–",IF(SUMPRODUCT((Transaksi!$C$2:$C$2001=$A72)*(Transaksi!$N$2:$N$2001&lt;=M$52)*(Transaksi!$O$2:$O$2001&gt;=M$52)*(Transaksi!$R$2:$R$2001&gt;=Tetapan!$E24-0.01))&gt;0,"✓",IF(SUMPRODUCT((Transaksi!$C$2:$C$2001=$A72)*(Transaksi!$N$2:$N$2001&lt;=M$52)*(Transaksi!$O$2:$O$2001&gt;=M$52)*(Transaksi!$R$2:$R$2001&gt;0))&gt;0,"½",IF(M$52&gt;TODAY(),"·","✗")))))</f>
        <v/>
      </c>
      <c r="N72" s="42">
        <f>IF($A72="","",IF(OR(N$52&lt;Tetapan!$B24,AND(Tetapan!$C24&lt;&gt;"",N$52&gt;Tetapan!$C24),Tetapan!$E24=0,N$52&gt;Tetapan!$B$27),"–",IF(SUMPRODUCT((Transaksi!$C$2:$C$2001=$A72)*(Transaksi!$N$2:$N$2001&lt;=N$52)*(Transaksi!$O$2:$O$2001&gt;=N$52)*(Transaksi!$R$2:$R$2001&gt;=Tetapan!$E24-0.01))&gt;0,"✓",IF(SUMPRODUCT((Transaksi!$C$2:$C$2001=$A72)*(Transaksi!$N$2:$N$2001&lt;=N$52)*(Transaksi!$O$2:$O$2001&gt;=N$52)*(Transaksi!$R$2:$R$2001&gt;0))&gt;0,"½",IF(N$52&gt;TODAY(),"·","✗")))))</f>
        <v/>
      </c>
      <c r="O72" s="42">
        <f>IF($A72="","",IF(OR(O$52&lt;Tetapan!$B24,AND(Tetapan!$C24&lt;&gt;"",O$52&gt;Tetapan!$C24),Tetapan!$E24=0,O$52&gt;Tetapan!$B$27),"–",IF(SUMPRODUCT((Transaksi!$C$2:$C$2001=$A72)*(Transaksi!$N$2:$N$2001&lt;=O$52)*(Transaksi!$O$2:$O$2001&gt;=O$52)*(Transaksi!$R$2:$R$2001&gt;=Tetapan!$E24-0.01))&gt;0,"✓",IF(SUMPRODUCT((Transaksi!$C$2:$C$2001=$A72)*(Transaksi!$N$2:$N$2001&lt;=O$52)*(Transaksi!$O$2:$O$2001&gt;=O$52)*(Transaksi!$R$2:$R$2001&gt;0))&gt;0,"½",IF(O$52&gt;TODAY(),"·","✗")))))</f>
        <v/>
      </c>
      <c r="P72" s="42">
        <f>IF($A72="","",IF(OR(P$52&lt;Tetapan!$B24,AND(Tetapan!$C24&lt;&gt;"",P$52&gt;Tetapan!$C24),Tetapan!$E24=0,P$52&gt;Tetapan!$B$27),"–",IF(SUMPRODUCT((Transaksi!$C$2:$C$2001=$A72)*(Transaksi!$N$2:$N$2001&lt;=P$52)*(Transaksi!$O$2:$O$2001&gt;=P$52)*(Transaksi!$R$2:$R$2001&gt;=Tetapan!$E24-0.01))&gt;0,"✓",IF(SUMPRODUCT((Transaksi!$C$2:$C$2001=$A72)*(Transaksi!$N$2:$N$2001&lt;=P$52)*(Transaksi!$O$2:$O$2001&gt;=P$52)*(Transaksi!$R$2:$R$2001&gt;0))&gt;0,"½",IF(P$52&gt;TODAY(),"·","✗")))))</f>
        <v/>
      </c>
      <c r="Q72" s="42">
        <f>IF($A72="","",IF(OR(Q$52&lt;Tetapan!$B24,AND(Tetapan!$C24&lt;&gt;"",Q$52&gt;Tetapan!$C24),Tetapan!$E24=0,Q$52&gt;Tetapan!$B$27),"–",IF(SUMPRODUCT((Transaksi!$C$2:$C$2001=$A72)*(Transaksi!$N$2:$N$2001&lt;=Q$52)*(Transaksi!$O$2:$O$2001&gt;=Q$52)*(Transaksi!$R$2:$R$2001&gt;=Tetapan!$E24-0.01))&gt;0,"✓",IF(SUMPRODUCT((Transaksi!$C$2:$C$2001=$A72)*(Transaksi!$N$2:$N$2001&lt;=Q$52)*(Transaksi!$O$2:$O$2001&gt;=Q$52)*(Transaksi!$R$2:$R$2001&gt;0))&gt;0,"½",IF(Q$52&gt;TODAY(),"·","✗")))))</f>
        <v/>
      </c>
      <c r="R72" s="42">
        <f>IF($A72="","",IF(OR(R$52&lt;Tetapan!$B24,AND(Tetapan!$C24&lt;&gt;"",R$52&gt;Tetapan!$C24),Tetapan!$E24=0,R$52&gt;Tetapan!$B$27),"–",IF(SUMPRODUCT((Transaksi!$C$2:$C$2001=$A72)*(Transaksi!$N$2:$N$2001&lt;=R$52)*(Transaksi!$O$2:$O$2001&gt;=R$52)*(Transaksi!$R$2:$R$2001&gt;=Tetapan!$E24-0.01))&gt;0,"✓",IF(SUMPRODUCT((Transaksi!$C$2:$C$2001=$A72)*(Transaksi!$N$2:$N$2001&lt;=R$52)*(Transaksi!$O$2:$O$2001&gt;=R$52)*(Transaksi!$R$2:$R$2001&gt;0))&gt;0,"½",IF(R$52&gt;TODAY(),"·","✗")))))</f>
        <v/>
      </c>
      <c r="S72" s="42">
        <f>IF($A72="","",IF(OR(S$52&lt;Tetapan!$B24,AND(Tetapan!$C24&lt;&gt;"",S$52&gt;Tetapan!$C24),Tetapan!$E24=0,S$52&gt;Tetapan!$B$27),"–",IF(SUMPRODUCT((Transaksi!$C$2:$C$2001=$A72)*(Transaksi!$N$2:$N$2001&lt;=S$52)*(Transaksi!$O$2:$O$2001&gt;=S$52)*(Transaksi!$R$2:$R$2001&gt;=Tetapan!$E24-0.01))&gt;0,"✓",IF(SUMPRODUCT((Transaksi!$C$2:$C$2001=$A72)*(Transaksi!$N$2:$N$2001&lt;=S$52)*(Transaksi!$O$2:$O$2001&gt;=S$52)*(Transaksi!$R$2:$R$2001&gt;0))&gt;0,"½",IF(S$52&gt;TODAY(),"·","✗")))))</f>
        <v/>
      </c>
      <c r="T72" s="42">
        <f>IF($A72="","",IF(OR(T$52&lt;Tetapan!$B24,AND(Tetapan!$C24&lt;&gt;"",T$52&gt;Tetapan!$C24),Tetapan!$E24=0,T$52&gt;Tetapan!$B$27),"–",IF(SUMPRODUCT((Transaksi!$C$2:$C$2001=$A72)*(Transaksi!$N$2:$N$2001&lt;=T$52)*(Transaksi!$O$2:$O$2001&gt;=T$52)*(Transaksi!$R$2:$R$2001&gt;=Tetapan!$E24-0.01))&gt;0,"✓",IF(SUMPRODUCT((Transaksi!$C$2:$C$2001=$A72)*(Transaksi!$N$2:$N$2001&lt;=T$52)*(Transaksi!$O$2:$O$2001&gt;=T$52)*(Transaksi!$R$2:$R$2001&gt;0))&gt;0,"½",IF(T$52&gt;TODAY(),"·","✗")))))</f>
        <v/>
      </c>
      <c r="W72" s="12">
        <f>IF(B72="✗",TEXT(B$52,"mmm yy")&amp;", ",IF(B72="½",TEXT(B$52,"mmm yy")&amp;" (separa), ",""))&amp;IF(C72="✗",TEXT(C$52,"mmm yy")&amp;", ",IF(C72="½",TEXT(C$52,"mmm yy")&amp;" (separa), ",""))&amp;IF(D72="✗",TEXT(D$52,"mmm yy")&amp;", ",IF(D72="½",TEXT(D$52,"mmm yy")&amp;" (separa), ",""))&amp;IF(E72="✗",TEXT(E$52,"mmm yy")&amp;", ",IF(E72="½",TEXT(E$52,"mmm yy")&amp;" (separa), ",""))&amp;IF(F72="✗",TEXT(F$52,"mmm yy")&amp;", ",IF(F72="½",TEXT(F$52,"mmm yy")&amp;" (separa), ",""))&amp;IF(G72="✗",TEXT(G$52,"mmm yy")&amp;", ",IF(G72="½",TEXT(G$52,"mmm yy")&amp;" (separa), ",""))&amp;IF(H72="✗",TEXT(H$52,"mmm yy")&amp;", ",IF(H72="½",TEXT(H$52,"mmm yy")&amp;" (separa), ",""))&amp;IF(I72="✗",TEXT(I$52,"mmm yy")&amp;", ",IF(I72="½",TEXT(I$52,"mmm yy")&amp;" (separa), ",""))&amp;IF(J72="✗",TEXT(J$52,"mmm yy")&amp;", ",IF(J72="½",TEXT(J$52,"mmm yy")&amp;" (separa), ",""))&amp;IF(K72="✗",TEXT(K$52,"mmm yy")&amp;", ",IF(K72="½",TEXT(K$52,"mmm yy")&amp;" (separa), ",""))&amp;IF(L72="✗",TEXT(L$52,"mmm yy")&amp;", ",IF(L72="½",TEXT(L$52,"mmm yy")&amp;" (separa), ",""))&amp;IF(M72="✗",TEXT(M$52,"mmm yy")&amp;", ",IF(M72="½",TEXT(M$52,"mmm yy")&amp;" (separa), ",""))&amp;IF(N72="✗",TEXT(N$52,"mmm yy")&amp;", ",IF(N72="½",TEXT(N$52,"mmm yy")&amp;" (separa), ",""))&amp;IF(O72="✗",TEXT(O$52,"mmm yy")&amp;", ",IF(O72="½",TEXT(O$52,"mmm yy")&amp;" (separa), ",""))&amp;IF(P72="✗",TEXT(P$52,"mmm yy")&amp;", ",IF(P72="½",TEXT(P$52,"mmm yy")&amp;" (separa), ",""))&amp;IF(Q72="✗",TEXT(Q$52,"mmm yy")&amp;", ",IF(Q72="½",TEXT(Q$52,"mmm yy")&amp;" (separa), ",""))&amp;IF(R72="✗",TEXT(R$52,"mmm yy")&amp;", ",IF(R72="½",TEXT(R$52,"mmm yy")&amp;" (separa), ",""))&amp;IF(S72="✗",TEXT(S$52,"mmm yy")&amp;", ",IF(S72="½",TEXT(S$52,"mmm yy")&amp;" (separa), ",""))&amp;IF(T72="✗",TEXT(T$52,"mmm yy")&amp;", ",IF(T72="½",TEXT(T$52,"mmm yy")&amp;" (separa), ",""))</f>
        <v/>
      </c>
    </row>
  </sheetData>
  <mergeCells count="42">
    <mergeCell ref="L24:T24"/>
    <mergeCell ref="C15:J15"/>
    <mergeCell ref="L15:T15"/>
    <mergeCell ref="L18:T18"/>
    <mergeCell ref="C6:J6"/>
    <mergeCell ref="C24:J24"/>
    <mergeCell ref="L5:T5"/>
    <mergeCell ref="L23:T23"/>
    <mergeCell ref="L8:T8"/>
    <mergeCell ref="C14:J14"/>
    <mergeCell ref="L14:T14"/>
    <mergeCell ref="C5:J5"/>
    <mergeCell ref="C4:J4"/>
    <mergeCell ref="L4:T4"/>
    <mergeCell ref="L20:T20"/>
    <mergeCell ref="L10:T10"/>
    <mergeCell ref="C20:J20"/>
    <mergeCell ref="C10:J10"/>
    <mergeCell ref="C16:J16"/>
    <mergeCell ref="C22:J22"/>
    <mergeCell ref="L22:T22"/>
    <mergeCell ref="L9:T9"/>
    <mergeCell ref="C9:J9"/>
    <mergeCell ref="L21:T21"/>
    <mergeCell ref="L6:T6"/>
    <mergeCell ref="C12:J12"/>
    <mergeCell ref="C21:J21"/>
    <mergeCell ref="C11:J11"/>
    <mergeCell ref="L11:T11"/>
    <mergeCell ref="L17:T17"/>
    <mergeCell ref="C23:J23"/>
    <mergeCell ref="C8:J8"/>
    <mergeCell ref="L7:T7"/>
    <mergeCell ref="C17:J17"/>
    <mergeCell ref="L16:T16"/>
    <mergeCell ref="C7:J7"/>
    <mergeCell ref="L19:T19"/>
    <mergeCell ref="C13:J13"/>
    <mergeCell ref="L13:T13"/>
    <mergeCell ref="C19:J19"/>
    <mergeCell ref="C18:J18"/>
    <mergeCell ref="L12:T12"/>
  </mergeCells>
  <conditionalFormatting sqref="B5:B24">
    <cfRule type="cellIs" priority="1" operator="greaterThan" dxfId="7">
      <formula>0</formula>
    </cfRule>
  </conditionalFormatting>
  <conditionalFormatting sqref="K5:K24">
    <cfRule type="cellIs" priority="2" operator="greaterThan" dxfId="7">
      <formula>0</formula>
    </cfRule>
  </conditionalFormatting>
  <conditionalFormatting sqref="C5:C24">
    <cfRule type="expression" priority="3" dxfId="8">
      <formula>LEFT(C5,1)="✓"</formula>
    </cfRule>
  </conditionalFormatting>
  <conditionalFormatting sqref="L5:L24">
    <cfRule type="expression" priority="4" dxfId="8">
      <formula>LEFT(L5,1)="✓"</formula>
    </cfRule>
  </conditionalFormatting>
  <conditionalFormatting sqref="B29:T48">
    <cfRule type="cellIs" priority="5" operator="equal" dxfId="9">
      <formula>"✓"</formula>
    </cfRule>
    <cfRule type="cellIs" priority="6" operator="equal" dxfId="7">
      <formula>"✗"</formula>
    </cfRule>
    <cfRule type="cellIs" priority="7" operator="equal" dxfId="10">
      <formula>"½"</formula>
    </cfRule>
    <cfRule type="cellIs" priority="8" operator="equal" dxfId="11">
      <formula>"–"</formula>
    </cfRule>
    <cfRule type="cellIs" priority="9" operator="equal" dxfId="11">
      <formula>"·"</formula>
    </cfRule>
  </conditionalFormatting>
  <conditionalFormatting sqref="B53:T72">
    <cfRule type="cellIs" priority="10" operator="equal" dxfId="9">
      <formula>"✓"</formula>
    </cfRule>
    <cfRule type="cellIs" priority="11" operator="equal" dxfId="7">
      <formula>"✗"</formula>
    </cfRule>
    <cfRule type="cellIs" priority="12" operator="equal" dxfId="10">
      <formula>"½"</formula>
    </cfRule>
    <cfRule type="cellIs" priority="13" operator="equal" dxfId="11">
      <formula>"–"</formula>
    </cfRule>
    <cfRule type="cellIs" priority="14" operator="equal" dxfId="11">
      <formula>"·"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EA5E9"/>
    <outlinePr summaryBelow="1" summaryRight="1"/>
    <pageSetUpPr/>
  </sheetPr>
  <dimension ref="A1:R2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4" customWidth="1" min="3" max="3"/>
    <col width="1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22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</cols>
  <sheetData>
    <row r="1" ht="26" customHeight="1">
      <c r="A1" s="34" t="inlineStr">
        <is>
          <t>Tarikh</t>
        </is>
      </c>
      <c r="B1" s="34" t="inlineStr">
        <is>
          <t>Butiran</t>
        </is>
      </c>
      <c r="C1" s="34" t="inlineStr">
        <is>
          <t>Ahli</t>
        </is>
      </c>
      <c r="D1" s="34" t="inlineStr">
        <is>
          <t>Kategori</t>
        </is>
      </c>
      <c r="E1" s="19" t="inlineStr">
        <is>
          <t>Bulan mula</t>
        </is>
      </c>
      <c r="F1" s="19" t="inlineStr">
        <is>
          <t>Bulan akhir</t>
        </is>
      </c>
      <c r="G1" s="19" t="inlineStr">
        <is>
          <t>Kelab</t>
        </is>
      </c>
      <c r="H1" s="19" t="inlineStr">
        <is>
          <t>Lawatan</t>
        </is>
      </c>
      <c r="I1" s="19" t="inlineStr">
        <is>
          <t>Masuk lain</t>
        </is>
      </c>
      <c r="J1" s="19" t="inlineStr">
        <is>
          <t>Keluar</t>
        </is>
      </c>
      <c r="K1" s="19" t="inlineStr">
        <is>
          <t>Baki</t>
        </is>
      </c>
      <c r="L1" s="34" t="inlineStr">
        <is>
          <t>Nota</t>
        </is>
      </c>
    </row>
    <row r="2">
      <c r="A2" s="43" t="n">
        <v>45833</v>
      </c>
      <c r="B2" s="28" t="inlineStr">
        <is>
          <t>Joe (Jun 25)</t>
        </is>
      </c>
      <c r="C2" s="28" t="inlineStr">
        <is>
          <t>Joe</t>
        </is>
      </c>
      <c r="D2" s="28" t="inlineStr">
        <is>
          <t>Yuran</t>
        </is>
      </c>
      <c r="E2" s="44" t="n">
        <v>45809</v>
      </c>
      <c r="F2" s="44" t="n"/>
      <c r="G2" s="23" t="n">
        <v>35</v>
      </c>
      <c r="H2" s="23" t="n">
        <v>50</v>
      </c>
      <c r="I2" s="23" t="n"/>
      <c r="J2" s="23" t="n"/>
      <c r="K2" s="45">
        <f>IF(A2="","",SUM(G$2:I2)-SUM(J$2:J2))</f>
        <v/>
      </c>
      <c r="L2" s="46" t="n"/>
      <c r="M2">
        <f>IF(A2="","",IF(A2=A1,M1,N(M1)+1))</f>
        <v/>
      </c>
      <c r="N2">
        <f>IF(E2="",99999,E2)</f>
        <v/>
      </c>
      <c r="O2">
        <f>IF(E2="",0,IF(F2="",E2,F2))</f>
        <v/>
      </c>
      <c r="P2">
        <f>IF(E2="",1,MAX(1,(YEAR(O2)-YEAR(N2))*12+MONTH(O2)-MONTH(N2)+1))</f>
        <v/>
      </c>
      <c r="Q2">
        <f>IF(G2="",0,G2/P2)</f>
        <v/>
      </c>
      <c r="R2">
        <f>IF(H2="",0,H2/P2)</f>
        <v/>
      </c>
    </row>
    <row r="3">
      <c r="A3" s="43" t="n">
        <v>45833</v>
      </c>
      <c r="B3" s="28" t="inlineStr">
        <is>
          <t>Wafi (Jun 25)</t>
        </is>
      </c>
      <c r="C3" s="28" t="inlineStr">
        <is>
          <t>Wafi</t>
        </is>
      </c>
      <c r="D3" s="28" t="inlineStr">
        <is>
          <t>Yuran</t>
        </is>
      </c>
      <c r="E3" s="44" t="n">
        <v>45809</v>
      </c>
      <c r="F3" s="44" t="n"/>
      <c r="G3" s="23" t="n">
        <v>35</v>
      </c>
      <c r="H3" s="23" t="n">
        <v>50</v>
      </c>
      <c r="I3" s="23" t="n"/>
      <c r="J3" s="23" t="n"/>
      <c r="K3" s="45">
        <f>IF(A3="","",SUM(G$2:I3)-SUM(J$2:J3))</f>
        <v/>
      </c>
      <c r="L3" s="46" t="n"/>
      <c r="M3">
        <f>IF(A3="","",IF(A3=A2,M2,N(M2)+1))</f>
        <v/>
      </c>
      <c r="N3">
        <f>IF(E3="",99999,E3)</f>
        <v/>
      </c>
      <c r="O3">
        <f>IF(E3="",0,IF(F3="",E3,F3))</f>
        <v/>
      </c>
      <c r="P3">
        <f>IF(E3="",1,MAX(1,(YEAR(O3)-YEAR(N3))*12+MONTH(O3)-MONTH(N3)+1))</f>
        <v/>
      </c>
      <c r="Q3">
        <f>IF(G3="",0,G3/P3)</f>
        <v/>
      </c>
      <c r="R3">
        <f>IF(H3="",0,H3/P3)</f>
        <v/>
      </c>
    </row>
    <row r="4">
      <c r="A4" s="43" t="n">
        <v>45833</v>
      </c>
      <c r="B4" s="28" t="inlineStr">
        <is>
          <t>Boss Khairil (Jun 25)</t>
        </is>
      </c>
      <c r="C4" s="28" t="inlineStr">
        <is>
          <t>Boss Khairil</t>
        </is>
      </c>
      <c r="D4" s="28" t="inlineStr">
        <is>
          <t>Yuran</t>
        </is>
      </c>
      <c r="E4" s="44" t="n">
        <v>45809</v>
      </c>
      <c r="F4" s="44" t="n"/>
      <c r="G4" s="23" t="n">
        <v>35</v>
      </c>
      <c r="H4" s="23" t="n">
        <v>50</v>
      </c>
      <c r="I4" s="23" t="n"/>
      <c r="J4" s="23" t="n"/>
      <c r="K4" s="45">
        <f>IF(A4="","",SUM(G$2:I4)-SUM(J$2:J4))</f>
        <v/>
      </c>
      <c r="L4" s="46" t="n"/>
      <c r="M4">
        <f>IF(A4="","",IF(A4=A3,M3,N(M3)+1))</f>
        <v/>
      </c>
      <c r="N4">
        <f>IF(E4="",99999,E4)</f>
        <v/>
      </c>
      <c r="O4">
        <f>IF(E4="",0,IF(F4="",E4,F4))</f>
        <v/>
      </c>
      <c r="P4">
        <f>IF(E4="",1,MAX(1,(YEAR(O4)-YEAR(N4))*12+MONTH(O4)-MONTH(N4)+1))</f>
        <v/>
      </c>
      <c r="Q4">
        <f>IF(G4="",0,G4/P4)</f>
        <v/>
      </c>
      <c r="R4">
        <f>IF(H4="",0,H4/P4)</f>
        <v/>
      </c>
    </row>
    <row r="5">
      <c r="A5" s="43" t="n">
        <v>45833</v>
      </c>
      <c r="B5" s="28" t="inlineStr">
        <is>
          <t>Kuchai (Jun 25)</t>
        </is>
      </c>
      <c r="C5" s="28" t="inlineStr">
        <is>
          <t>Kuchai</t>
        </is>
      </c>
      <c r="D5" s="28" t="inlineStr">
        <is>
          <t>Yuran</t>
        </is>
      </c>
      <c r="E5" s="44" t="n">
        <v>45809</v>
      </c>
      <c r="F5" s="44" t="n"/>
      <c r="G5" s="23" t="n">
        <v>35</v>
      </c>
      <c r="H5" s="23" t="n">
        <v>50</v>
      </c>
      <c r="I5" s="23" t="n"/>
      <c r="J5" s="23" t="n"/>
      <c r="K5" s="45">
        <f>IF(A5="","",SUM(G$2:I5)-SUM(J$2:J5))</f>
        <v/>
      </c>
      <c r="L5" s="46" t="n"/>
      <c r="M5">
        <f>IF(A5="","",IF(A5=A4,M4,N(M4)+1))</f>
        <v/>
      </c>
      <c r="N5">
        <f>IF(E5="",99999,E5)</f>
        <v/>
      </c>
      <c r="O5">
        <f>IF(E5="",0,IF(F5="",E5,F5))</f>
        <v/>
      </c>
      <c r="P5">
        <f>IF(E5="",1,MAX(1,(YEAR(O5)-YEAR(N5))*12+MONTH(O5)-MONTH(N5)+1))</f>
        <v/>
      </c>
      <c r="Q5">
        <f>IF(G5="",0,G5/P5)</f>
        <v/>
      </c>
      <c r="R5">
        <f>IF(H5="",0,H5/P5)</f>
        <v/>
      </c>
    </row>
    <row r="6">
      <c r="A6" s="43" t="n">
        <v>45833</v>
      </c>
      <c r="B6" s="28" t="inlineStr">
        <is>
          <t>Chang (Jun 25)</t>
        </is>
      </c>
      <c r="C6" s="28" t="inlineStr">
        <is>
          <t>Chang</t>
        </is>
      </c>
      <c r="D6" s="28" t="inlineStr">
        <is>
          <t>Yuran</t>
        </is>
      </c>
      <c r="E6" s="44" t="n">
        <v>45809</v>
      </c>
      <c r="F6" s="44" t="n"/>
      <c r="G6" s="23" t="n">
        <v>35</v>
      </c>
      <c r="H6" s="23" t="n">
        <v>50</v>
      </c>
      <c r="I6" s="23" t="n"/>
      <c r="J6" s="23" t="n"/>
      <c r="K6" s="45">
        <f>IF(A6="","",SUM(G$2:I6)-SUM(J$2:J6))</f>
        <v/>
      </c>
      <c r="L6" s="46" t="n"/>
      <c r="M6">
        <f>IF(A6="","",IF(A6=A5,M5,N(M5)+1))</f>
        <v/>
      </c>
      <c r="N6">
        <f>IF(E6="",99999,E6)</f>
        <v/>
      </c>
      <c r="O6">
        <f>IF(E6="",0,IF(F6="",E6,F6))</f>
        <v/>
      </c>
      <c r="P6">
        <f>IF(E6="",1,MAX(1,(YEAR(O6)-YEAR(N6))*12+MONTH(O6)-MONTH(N6)+1))</f>
        <v/>
      </c>
      <c r="Q6">
        <f>IF(G6="",0,G6/P6)</f>
        <v/>
      </c>
      <c r="R6">
        <f>IF(H6="",0,H6/P6)</f>
        <v/>
      </c>
    </row>
    <row r="7">
      <c r="A7" s="43" t="n">
        <v>45833</v>
      </c>
      <c r="B7" s="28" t="inlineStr">
        <is>
          <t>Asnawi (Jun 25)</t>
        </is>
      </c>
      <c r="C7" s="28" t="inlineStr">
        <is>
          <t>Asnawi</t>
        </is>
      </c>
      <c r="D7" s="28" t="inlineStr">
        <is>
          <t>Yuran</t>
        </is>
      </c>
      <c r="E7" s="44" t="n">
        <v>45809</v>
      </c>
      <c r="F7" s="44" t="n"/>
      <c r="G7" s="23" t="n">
        <v>35</v>
      </c>
      <c r="H7" s="23" t="n">
        <v>50</v>
      </c>
      <c r="I7" s="23" t="n"/>
      <c r="J7" s="23" t="n"/>
      <c r="K7" s="45">
        <f>IF(A7="","",SUM(G$2:I7)-SUM(J$2:J7))</f>
        <v/>
      </c>
      <c r="L7" s="46" t="n"/>
      <c r="M7">
        <f>IF(A7="","",IF(A7=A6,M6,N(M6)+1))</f>
        <v/>
      </c>
      <c r="N7">
        <f>IF(E7="",99999,E7)</f>
        <v/>
      </c>
      <c r="O7">
        <f>IF(E7="",0,IF(F7="",E7,F7))</f>
        <v/>
      </c>
      <c r="P7">
        <f>IF(E7="",1,MAX(1,(YEAR(O7)-YEAR(N7))*12+MONTH(O7)-MONTH(N7)+1))</f>
        <v/>
      </c>
      <c r="Q7">
        <f>IF(G7="",0,G7/P7)</f>
        <v/>
      </c>
      <c r="R7">
        <f>IF(H7="",0,H7/P7)</f>
        <v/>
      </c>
    </row>
    <row r="8">
      <c r="A8" s="43" t="n">
        <v>45833</v>
      </c>
      <c r="B8" s="28" t="inlineStr">
        <is>
          <t>Amir (Jun 25)</t>
        </is>
      </c>
      <c r="C8" s="28" t="inlineStr">
        <is>
          <t>Amir</t>
        </is>
      </c>
      <c r="D8" s="28" t="inlineStr">
        <is>
          <t>Yuran</t>
        </is>
      </c>
      <c r="E8" s="44" t="n">
        <v>45809</v>
      </c>
      <c r="F8" s="44" t="n"/>
      <c r="G8" s="23" t="n">
        <v>35</v>
      </c>
      <c r="H8" s="23" t="n">
        <v>50</v>
      </c>
      <c r="I8" s="23" t="n"/>
      <c r="J8" s="23" t="n"/>
      <c r="K8" s="45">
        <f>IF(A8="","",SUM(G$2:I8)-SUM(J$2:J8))</f>
        <v/>
      </c>
      <c r="L8" s="46" t="n"/>
      <c r="M8">
        <f>IF(A8="","",IF(A8=A7,M7,N(M7)+1))</f>
        <v/>
      </c>
      <c r="N8">
        <f>IF(E8="",99999,E8)</f>
        <v/>
      </c>
      <c r="O8">
        <f>IF(E8="",0,IF(F8="",E8,F8))</f>
        <v/>
      </c>
      <c r="P8">
        <f>IF(E8="",1,MAX(1,(YEAR(O8)-YEAR(N8))*12+MONTH(O8)-MONTH(N8)+1))</f>
        <v/>
      </c>
      <c r="Q8">
        <f>IF(G8="",0,G8/P8)</f>
        <v/>
      </c>
      <c r="R8">
        <f>IF(H8="",0,H8/P8)</f>
        <v/>
      </c>
    </row>
    <row r="9">
      <c r="A9" s="43" t="n">
        <v>45833</v>
      </c>
      <c r="B9" s="28" t="inlineStr">
        <is>
          <t>Bayaran Duit Pantri - Asnawi</t>
        </is>
      </c>
      <c r="C9" s="28" t="inlineStr">
        <is>
          <t>Asnawi</t>
        </is>
      </c>
      <c r="D9" s="28" t="inlineStr">
        <is>
          <t>Duit Pantri</t>
        </is>
      </c>
      <c r="E9" s="44" t="n"/>
      <c r="F9" s="44" t="n"/>
      <c r="G9" s="23" t="n"/>
      <c r="H9" s="23" t="n"/>
      <c r="I9" s="23" t="n"/>
      <c r="J9" s="23" t="n">
        <v>65</v>
      </c>
      <c r="K9" s="45">
        <f>IF(A9="","",SUM(G$2:I9)-SUM(J$2:J9))</f>
        <v/>
      </c>
      <c r="L9" s="46" t="n"/>
      <c r="M9">
        <f>IF(A9="","",IF(A9=A8,M8,N(M8)+1))</f>
        <v/>
      </c>
      <c r="N9">
        <f>IF(E9="",99999,E9)</f>
        <v/>
      </c>
      <c r="O9">
        <f>IF(E9="",0,IF(F9="",E9,F9))</f>
        <v/>
      </c>
      <c r="P9">
        <f>IF(E9="",1,MAX(1,(YEAR(O9)-YEAR(N9))*12+MONTH(O9)-MONTH(N9)+1))</f>
        <v/>
      </c>
      <c r="Q9">
        <f>IF(G9="",0,G9/P9)</f>
        <v/>
      </c>
      <c r="R9">
        <f>IF(H9="",0,H9/P9)</f>
        <v/>
      </c>
    </row>
    <row r="10">
      <c r="A10" s="43" t="n">
        <v>45834</v>
      </c>
      <c r="B10" s="28" t="inlineStr">
        <is>
          <t>Bang Mie (Jun 25)</t>
        </is>
      </c>
      <c r="C10" s="28" t="inlineStr">
        <is>
          <t>Bang Mie</t>
        </is>
      </c>
      <c r="D10" s="28" t="inlineStr">
        <is>
          <t>Yuran</t>
        </is>
      </c>
      <c r="E10" s="44" t="n">
        <v>45809</v>
      </c>
      <c r="F10" s="44" t="n"/>
      <c r="G10" s="23" t="n">
        <v>35</v>
      </c>
      <c r="H10" s="23" t="n">
        <v>50</v>
      </c>
      <c r="I10" s="23" t="n"/>
      <c r="J10" s="23" t="n"/>
      <c r="K10" s="45">
        <f>IF(A10="","",SUM(G$2:I10)-SUM(J$2:J10))</f>
        <v/>
      </c>
      <c r="L10" s="46" t="n"/>
      <c r="M10">
        <f>IF(A10="","",IF(A10=A9,M9,N(M9)+1))</f>
        <v/>
      </c>
      <c r="N10">
        <f>IF(E10="",99999,E10)</f>
        <v/>
      </c>
      <c r="O10">
        <f>IF(E10="",0,IF(F10="",E10,F10))</f>
        <v/>
      </c>
      <c r="P10">
        <f>IF(E10="",1,MAX(1,(YEAR(O10)-YEAR(N10))*12+MONTH(O10)-MONTH(N10)+1))</f>
        <v/>
      </c>
      <c r="Q10">
        <f>IF(G10="",0,G10/P10)</f>
        <v/>
      </c>
      <c r="R10">
        <f>IF(H10="",0,H10/P10)</f>
        <v/>
      </c>
    </row>
    <row r="11">
      <c r="A11" s="43" t="n">
        <v>45834</v>
      </c>
      <c r="B11" s="28" t="inlineStr">
        <is>
          <t>Ustaz (Jun 25)</t>
        </is>
      </c>
      <c r="C11" s="28" t="inlineStr">
        <is>
          <t>Ustaz</t>
        </is>
      </c>
      <c r="D11" s="28" t="inlineStr">
        <is>
          <t>Yuran</t>
        </is>
      </c>
      <c r="E11" s="44" t="n">
        <v>45809</v>
      </c>
      <c r="F11" s="44" t="n"/>
      <c r="G11" s="23" t="n">
        <v>35</v>
      </c>
      <c r="H11" s="23" t="n">
        <v>50</v>
      </c>
      <c r="I11" s="23" t="n"/>
      <c r="J11" s="23" t="n"/>
      <c r="K11" s="45">
        <f>IF(A11="","",SUM(G$2:I11)-SUM(J$2:J11))</f>
        <v/>
      </c>
      <c r="L11" s="46" t="n"/>
      <c r="M11">
        <f>IF(A11="","",IF(A11=A10,M10,N(M10)+1))</f>
        <v/>
      </c>
      <c r="N11">
        <f>IF(E11="",99999,E11)</f>
        <v/>
      </c>
      <c r="O11">
        <f>IF(E11="",0,IF(F11="",E11,F11))</f>
        <v/>
      </c>
      <c r="P11">
        <f>IF(E11="",1,MAX(1,(YEAR(O11)-YEAR(N11))*12+MONTH(O11)-MONTH(N11)+1))</f>
        <v/>
      </c>
      <c r="Q11">
        <f>IF(G11="",0,G11/P11)</f>
        <v/>
      </c>
      <c r="R11">
        <f>IF(H11="",0,H11/P11)</f>
        <v/>
      </c>
    </row>
    <row r="12">
      <c r="A12" s="43" t="n">
        <v>45834</v>
      </c>
      <c r="B12" s="28" t="inlineStr">
        <is>
          <t>Suhaimi (Jun 25)</t>
        </is>
      </c>
      <c r="C12" s="28" t="inlineStr">
        <is>
          <t>Suhaimi</t>
        </is>
      </c>
      <c r="D12" s="28" t="inlineStr">
        <is>
          <t>Yuran</t>
        </is>
      </c>
      <c r="E12" s="44" t="n">
        <v>45809</v>
      </c>
      <c r="F12" s="44" t="n"/>
      <c r="G12" s="23" t="n">
        <v>35</v>
      </c>
      <c r="H12" s="23" t="n">
        <v>50</v>
      </c>
      <c r="I12" s="23" t="n"/>
      <c r="J12" s="23" t="n"/>
      <c r="K12" s="45">
        <f>IF(A12="","",SUM(G$2:I12)-SUM(J$2:J12))</f>
        <v/>
      </c>
      <c r="L12" s="46" t="n"/>
      <c r="M12">
        <f>IF(A12="","",IF(A12=A11,M11,N(M11)+1))</f>
        <v/>
      </c>
      <c r="N12">
        <f>IF(E12="",99999,E12)</f>
        <v/>
      </c>
      <c r="O12">
        <f>IF(E12="",0,IF(F12="",E12,F12))</f>
        <v/>
      </c>
      <c r="P12">
        <f>IF(E12="",1,MAX(1,(YEAR(O12)-YEAR(N12))*12+MONTH(O12)-MONTH(N12)+1))</f>
        <v/>
      </c>
      <c r="Q12">
        <f>IF(G12="",0,G12/P12)</f>
        <v/>
      </c>
      <c r="R12">
        <f>IF(H12="",0,H12/P12)</f>
        <v/>
      </c>
    </row>
    <row r="13">
      <c r="A13" s="43" t="n">
        <v>45862</v>
      </c>
      <c r="B13" s="28" t="inlineStr">
        <is>
          <t>Suhaimi (Jul 25)</t>
        </is>
      </c>
      <c r="C13" s="28" t="inlineStr">
        <is>
          <t>Suhaimi</t>
        </is>
      </c>
      <c r="D13" s="28" t="inlineStr">
        <is>
          <t>Yuran</t>
        </is>
      </c>
      <c r="E13" s="44" t="n">
        <v>45839</v>
      </c>
      <c r="F13" s="44" t="n"/>
      <c r="G13" s="23" t="n">
        <v>35</v>
      </c>
      <c r="H13" s="23" t="n">
        <v>50</v>
      </c>
      <c r="I13" s="23" t="n"/>
      <c r="J13" s="23" t="n"/>
      <c r="K13" s="45">
        <f>IF(A13="","",SUM(G$2:I13)-SUM(J$2:J13))</f>
        <v/>
      </c>
      <c r="L13" s="46" t="n"/>
      <c r="M13">
        <f>IF(A13="","",IF(A13=A12,M12,N(M12)+1))</f>
        <v/>
      </c>
      <c r="N13">
        <f>IF(E13="",99999,E13)</f>
        <v/>
      </c>
      <c r="O13">
        <f>IF(E13="",0,IF(F13="",E13,F13))</f>
        <v/>
      </c>
      <c r="P13">
        <f>IF(E13="",1,MAX(1,(YEAR(O13)-YEAR(N13))*12+MONTH(O13)-MONTH(N13)+1))</f>
        <v/>
      </c>
      <c r="Q13">
        <f>IF(G13="",0,G13/P13)</f>
        <v/>
      </c>
      <c r="R13">
        <f>IF(H13="",0,H13/P13)</f>
        <v/>
      </c>
    </row>
    <row r="14">
      <c r="A14" s="43" t="n">
        <v>45862</v>
      </c>
      <c r="B14" s="28" t="inlineStr">
        <is>
          <t>Kuchai (Jul 25)</t>
        </is>
      </c>
      <c r="C14" s="28" t="inlineStr">
        <is>
          <t>Kuchai</t>
        </is>
      </c>
      <c r="D14" s="28" t="inlineStr">
        <is>
          <t>Yuran</t>
        </is>
      </c>
      <c r="E14" s="44" t="n">
        <v>45839</v>
      </c>
      <c r="F14" s="44" t="n"/>
      <c r="G14" s="23" t="n">
        <v>35</v>
      </c>
      <c r="H14" s="23" t="n">
        <v>50</v>
      </c>
      <c r="I14" s="23" t="n"/>
      <c r="J14" s="23" t="n"/>
      <c r="K14" s="45">
        <f>IF(A14="","",SUM(G$2:I14)-SUM(J$2:J14))</f>
        <v/>
      </c>
      <c r="L14" s="46" t="n"/>
      <c r="M14">
        <f>IF(A14="","",IF(A14=A13,M13,N(M13)+1))</f>
        <v/>
      </c>
      <c r="N14">
        <f>IF(E14="",99999,E14)</f>
        <v/>
      </c>
      <c r="O14">
        <f>IF(E14="",0,IF(F14="",E14,F14))</f>
        <v/>
      </c>
      <c r="P14">
        <f>IF(E14="",1,MAX(1,(YEAR(O14)-YEAR(N14))*12+MONTH(O14)-MONTH(N14)+1))</f>
        <v/>
      </c>
      <c r="Q14">
        <f>IF(G14="",0,G14/P14)</f>
        <v/>
      </c>
      <c r="R14">
        <f>IF(H14="",0,H14/P14)</f>
        <v/>
      </c>
    </row>
    <row r="15">
      <c r="A15" s="43" t="n">
        <v>45862</v>
      </c>
      <c r="B15" s="28" t="inlineStr">
        <is>
          <t>Bang Mie (Jul 25)</t>
        </is>
      </c>
      <c r="C15" s="28" t="inlineStr">
        <is>
          <t>Bang Mie</t>
        </is>
      </c>
      <c r="D15" s="28" t="inlineStr">
        <is>
          <t>Yuran</t>
        </is>
      </c>
      <c r="E15" s="44" t="n">
        <v>45839</v>
      </c>
      <c r="F15" s="44" t="n"/>
      <c r="G15" s="23" t="n">
        <v>35</v>
      </c>
      <c r="H15" s="23" t="n">
        <v>50</v>
      </c>
      <c r="I15" s="23" t="n"/>
      <c r="J15" s="23" t="n"/>
      <c r="K15" s="45">
        <f>IF(A15="","",SUM(G$2:I15)-SUM(J$2:J15))</f>
        <v/>
      </c>
      <c r="L15" s="46" t="n"/>
      <c r="M15">
        <f>IF(A15="","",IF(A15=A14,M14,N(M14)+1))</f>
        <v/>
      </c>
      <c r="N15">
        <f>IF(E15="",99999,E15)</f>
        <v/>
      </c>
      <c r="O15">
        <f>IF(E15="",0,IF(F15="",E15,F15))</f>
        <v/>
      </c>
      <c r="P15">
        <f>IF(E15="",1,MAX(1,(YEAR(O15)-YEAR(N15))*12+MONTH(O15)-MONTH(N15)+1))</f>
        <v/>
      </c>
      <c r="Q15">
        <f>IF(G15="",0,G15/P15)</f>
        <v/>
      </c>
      <c r="R15">
        <f>IF(H15="",0,H15/P15)</f>
        <v/>
      </c>
    </row>
    <row r="16">
      <c r="A16" s="43" t="n">
        <v>45862</v>
      </c>
      <c r="B16" s="28" t="inlineStr">
        <is>
          <t>Khairiri (Jun–Jul 25)</t>
        </is>
      </c>
      <c r="C16" s="28" t="inlineStr">
        <is>
          <t>Khairiri</t>
        </is>
      </c>
      <c r="D16" s="28" t="inlineStr">
        <is>
          <t>Yuran</t>
        </is>
      </c>
      <c r="E16" s="44" t="n">
        <v>45809</v>
      </c>
      <c r="F16" s="44" t="n">
        <v>45839</v>
      </c>
      <c r="G16" s="23" t="n">
        <v>70</v>
      </c>
      <c r="H16" s="23" t="n"/>
      <c r="I16" s="23" t="n"/>
      <c r="J16" s="23" t="n"/>
      <c r="K16" s="45">
        <f>IF(A16="","",SUM(G$2:I16)-SUM(J$2:J16))</f>
        <v/>
      </c>
      <c r="L16" s="46" t="n"/>
      <c r="M16">
        <f>IF(A16="","",IF(A16=A15,M15,N(M15)+1))</f>
        <v/>
      </c>
      <c r="N16">
        <f>IF(E16="",99999,E16)</f>
        <v/>
      </c>
      <c r="O16">
        <f>IF(E16="",0,IF(F16="",E16,F16))</f>
        <v/>
      </c>
      <c r="P16">
        <f>IF(E16="",1,MAX(1,(YEAR(O16)-YEAR(N16))*12+MONTH(O16)-MONTH(N16)+1))</f>
        <v/>
      </c>
      <c r="Q16">
        <f>IF(G16="",0,G16/P16)</f>
        <v/>
      </c>
      <c r="R16">
        <f>IF(H16="",0,H16/P16)</f>
        <v/>
      </c>
    </row>
    <row r="17">
      <c r="A17" s="43" t="n">
        <v>45862</v>
      </c>
      <c r="B17" s="28" t="inlineStr">
        <is>
          <t>Hadi (Jun–Jul 25)</t>
        </is>
      </c>
      <c r="C17" s="28" t="inlineStr">
        <is>
          <t>Hadi</t>
        </is>
      </c>
      <c r="D17" s="28" t="inlineStr">
        <is>
          <t>Yuran</t>
        </is>
      </c>
      <c r="E17" s="44" t="n">
        <v>45809</v>
      </c>
      <c r="F17" s="44" t="n">
        <v>45839</v>
      </c>
      <c r="G17" s="23" t="n">
        <v>70</v>
      </c>
      <c r="H17" s="23" t="n">
        <v>100</v>
      </c>
      <c r="I17" s="23" t="n"/>
      <c r="J17" s="23" t="n"/>
      <c r="K17" s="45">
        <f>IF(A17="","",SUM(G$2:I17)-SUM(J$2:J17))</f>
        <v/>
      </c>
      <c r="L17" s="46" t="n"/>
      <c r="M17">
        <f>IF(A17="","",IF(A17=A16,M16,N(M16)+1))</f>
        <v/>
      </c>
      <c r="N17">
        <f>IF(E17="",99999,E17)</f>
        <v/>
      </c>
      <c r="O17">
        <f>IF(E17="",0,IF(F17="",E17,F17))</f>
        <v/>
      </c>
      <c r="P17">
        <f>IF(E17="",1,MAX(1,(YEAR(O17)-YEAR(N17))*12+MONTH(O17)-MONTH(N17)+1))</f>
        <v/>
      </c>
      <c r="Q17">
        <f>IF(G17="",0,G17/P17)</f>
        <v/>
      </c>
      <c r="R17">
        <f>IF(H17="",0,H17/P17)</f>
        <v/>
      </c>
    </row>
    <row r="18">
      <c r="A18" s="43" t="n">
        <v>45862</v>
      </c>
      <c r="B18" s="28" t="inlineStr">
        <is>
          <t>Asnawi (Jul 25)</t>
        </is>
      </c>
      <c r="C18" s="28" t="inlineStr">
        <is>
          <t>Asnawi</t>
        </is>
      </c>
      <c r="D18" s="28" t="inlineStr">
        <is>
          <t>Yuran</t>
        </is>
      </c>
      <c r="E18" s="44" t="n">
        <v>45839</v>
      </c>
      <c r="F18" s="44" t="n"/>
      <c r="G18" s="23" t="n">
        <v>35</v>
      </c>
      <c r="H18" s="23" t="n">
        <v>50</v>
      </c>
      <c r="I18" s="23" t="n"/>
      <c r="J18" s="23" t="n"/>
      <c r="K18" s="45">
        <f>IF(A18="","",SUM(G$2:I18)-SUM(J$2:J18))</f>
        <v/>
      </c>
      <c r="L18" s="46" t="n"/>
      <c r="M18">
        <f>IF(A18="","",IF(A18=A17,M17,N(M17)+1))</f>
        <v/>
      </c>
      <c r="N18">
        <f>IF(E18="",99999,E18)</f>
        <v/>
      </c>
      <c r="O18">
        <f>IF(E18="",0,IF(F18="",E18,F18))</f>
        <v/>
      </c>
      <c r="P18">
        <f>IF(E18="",1,MAX(1,(YEAR(O18)-YEAR(N18))*12+MONTH(O18)-MONTH(N18)+1))</f>
        <v/>
      </c>
      <c r="Q18">
        <f>IF(G18="",0,G18/P18)</f>
        <v/>
      </c>
      <c r="R18">
        <f>IF(H18="",0,H18/P18)</f>
        <v/>
      </c>
    </row>
    <row r="19">
      <c r="A19" s="43" t="n">
        <v>45862</v>
      </c>
      <c r="B19" s="28" t="inlineStr">
        <is>
          <t>Chang (Jul 25)</t>
        </is>
      </c>
      <c r="C19" s="28" t="inlineStr">
        <is>
          <t>Chang</t>
        </is>
      </c>
      <c r="D19" s="28" t="inlineStr">
        <is>
          <t>Yuran</t>
        </is>
      </c>
      <c r="E19" s="44" t="n">
        <v>45839</v>
      </c>
      <c r="F19" s="44" t="n"/>
      <c r="G19" s="23" t="n">
        <v>35</v>
      </c>
      <c r="H19" s="23" t="n">
        <v>50</v>
      </c>
      <c r="I19" s="23" t="n"/>
      <c r="J19" s="23" t="n"/>
      <c r="K19" s="45">
        <f>IF(A19="","",SUM(G$2:I19)-SUM(J$2:J19))</f>
        <v/>
      </c>
      <c r="L19" s="46" t="n"/>
      <c r="M19">
        <f>IF(A19="","",IF(A19=A18,M18,N(M18)+1))</f>
        <v/>
      </c>
      <c r="N19">
        <f>IF(E19="",99999,E19)</f>
        <v/>
      </c>
      <c r="O19">
        <f>IF(E19="",0,IF(F19="",E19,F19))</f>
        <v/>
      </c>
      <c r="P19">
        <f>IF(E19="",1,MAX(1,(YEAR(O19)-YEAR(N19))*12+MONTH(O19)-MONTH(N19)+1))</f>
        <v/>
      </c>
      <c r="Q19">
        <f>IF(G19="",0,G19/P19)</f>
        <v/>
      </c>
      <c r="R19">
        <f>IF(H19="",0,H19/P19)</f>
        <v/>
      </c>
    </row>
    <row r="20">
      <c r="A20" s="43" t="n">
        <v>45862</v>
      </c>
      <c r="B20" s="28" t="inlineStr">
        <is>
          <t>Bayaran PSKPP - Wafi</t>
        </is>
      </c>
      <c r="C20" s="28" t="inlineStr">
        <is>
          <t>Wafi</t>
        </is>
      </c>
      <c r="D20" s="28" t="inlineStr">
        <is>
          <t>Langganan / Bahan</t>
        </is>
      </c>
      <c r="E20" s="44" t="n"/>
      <c r="F20" s="44" t="n"/>
      <c r="G20" s="23" t="n"/>
      <c r="H20" s="23" t="n"/>
      <c r="I20" s="23" t="n"/>
      <c r="J20" s="23" t="n">
        <v>130</v>
      </c>
      <c r="K20" s="45">
        <f>IF(A20="","",SUM(G$2:I20)-SUM(J$2:J20))</f>
        <v/>
      </c>
      <c r="L20" s="46" t="n"/>
      <c r="M20">
        <f>IF(A20="","",IF(A20=A19,M19,N(M19)+1))</f>
        <v/>
      </c>
      <c r="N20">
        <f>IF(E20="",99999,E20)</f>
        <v/>
      </c>
      <c r="O20">
        <f>IF(E20="",0,IF(F20="",E20,F20))</f>
        <v/>
      </c>
      <c r="P20">
        <f>IF(E20="",1,MAX(1,(YEAR(O20)-YEAR(N20))*12+MONTH(O20)-MONTH(N20)+1))</f>
        <v/>
      </c>
      <c r="Q20">
        <f>IF(G20="",0,G20/P20)</f>
        <v/>
      </c>
      <c r="R20">
        <f>IF(H20="",0,H20/P20)</f>
        <v/>
      </c>
    </row>
    <row r="21">
      <c r="A21" s="43" t="n">
        <v>45870</v>
      </c>
      <c r="B21" s="28" t="inlineStr">
        <is>
          <t>Joe (Jul 25)</t>
        </is>
      </c>
      <c r="C21" s="28" t="inlineStr">
        <is>
          <t>Joe</t>
        </is>
      </c>
      <c r="D21" s="28" t="inlineStr">
        <is>
          <t>Yuran</t>
        </is>
      </c>
      <c r="E21" s="44" t="n">
        <v>45839</v>
      </c>
      <c r="F21" s="44" t="n"/>
      <c r="G21" s="23" t="n">
        <v>35</v>
      </c>
      <c r="H21" s="23" t="n">
        <v>50</v>
      </c>
      <c r="I21" s="23" t="n"/>
      <c r="J21" s="23" t="n"/>
      <c r="K21" s="45">
        <f>IF(A21="","",SUM(G$2:I21)-SUM(J$2:J21))</f>
        <v/>
      </c>
      <c r="L21" s="46" t="n"/>
      <c r="M21">
        <f>IF(A21="","",IF(A21=A20,M20,N(M20)+1))</f>
        <v/>
      </c>
      <c r="N21">
        <f>IF(E21="",99999,E21)</f>
        <v/>
      </c>
      <c r="O21">
        <f>IF(E21="",0,IF(F21="",E21,F21))</f>
        <v/>
      </c>
      <c r="P21">
        <f>IF(E21="",1,MAX(1,(YEAR(O21)-YEAR(N21))*12+MONTH(O21)-MONTH(N21)+1))</f>
        <v/>
      </c>
      <c r="Q21">
        <f>IF(G21="",0,G21/P21)</f>
        <v/>
      </c>
      <c r="R21">
        <f>IF(H21="",0,H21/P21)</f>
        <v/>
      </c>
    </row>
    <row r="22">
      <c r="A22" s="43" t="n">
        <v>45870</v>
      </c>
      <c r="B22" s="28" t="inlineStr">
        <is>
          <t>Bayaran Duit Pantri - Asnawi</t>
        </is>
      </c>
      <c r="C22" s="28" t="inlineStr">
        <is>
          <t>Asnawi</t>
        </is>
      </c>
      <c r="D22" s="28" t="inlineStr">
        <is>
          <t>Duit Pantri</t>
        </is>
      </c>
      <c r="E22" s="44" t="n"/>
      <c r="F22" s="44" t="n"/>
      <c r="G22" s="23" t="n"/>
      <c r="H22" s="23" t="n"/>
      <c r="I22" s="23" t="n"/>
      <c r="J22" s="23" t="n">
        <v>65</v>
      </c>
      <c r="K22" s="45">
        <f>IF(A22="","",SUM(G$2:I22)-SUM(J$2:J22))</f>
        <v/>
      </c>
      <c r="L22" s="46" t="n"/>
      <c r="M22">
        <f>IF(A22="","",IF(A22=A21,M21,N(M21)+1))</f>
        <v/>
      </c>
      <c r="N22">
        <f>IF(E22="",99999,E22)</f>
        <v/>
      </c>
      <c r="O22">
        <f>IF(E22="",0,IF(F22="",E22,F22))</f>
        <v/>
      </c>
      <c r="P22">
        <f>IF(E22="",1,MAX(1,(YEAR(O22)-YEAR(N22))*12+MONTH(O22)-MONTH(N22)+1))</f>
        <v/>
      </c>
      <c r="Q22">
        <f>IF(G22="",0,G22/P22)</f>
        <v/>
      </c>
      <c r="R22">
        <f>IF(H22="",0,H22/P22)</f>
        <v/>
      </c>
    </row>
    <row r="23">
      <c r="A23" s="43" t="n">
        <v>45873</v>
      </c>
      <c r="B23" s="28" t="inlineStr">
        <is>
          <t>Ustaz (Jul 25)</t>
        </is>
      </c>
      <c r="C23" s="28" t="inlineStr">
        <is>
          <t>Ustaz</t>
        </is>
      </c>
      <c r="D23" s="28" t="inlineStr">
        <is>
          <t>Yuran</t>
        </is>
      </c>
      <c r="E23" s="44" t="n">
        <v>45839</v>
      </c>
      <c r="F23" s="44" t="n"/>
      <c r="G23" s="23" t="n">
        <v>35</v>
      </c>
      <c r="H23" s="23" t="n"/>
      <c r="I23" s="23" t="n"/>
      <c r="J23" s="23" t="n"/>
      <c r="K23" s="45">
        <f>IF(A23="","",SUM(G$2:I23)-SUM(J$2:J23))</f>
        <v/>
      </c>
      <c r="L23" s="46" t="n"/>
      <c r="M23">
        <f>IF(A23="","",IF(A23=A22,M22,N(M22)+1))</f>
        <v/>
      </c>
      <c r="N23">
        <f>IF(E23="",99999,E23)</f>
        <v/>
      </c>
      <c r="O23">
        <f>IF(E23="",0,IF(F23="",E23,F23))</f>
        <v/>
      </c>
      <c r="P23">
        <f>IF(E23="",1,MAX(1,(YEAR(O23)-YEAR(N23))*12+MONTH(O23)-MONTH(N23)+1))</f>
        <v/>
      </c>
      <c r="Q23">
        <f>IF(G23="",0,G23/P23)</f>
        <v/>
      </c>
      <c r="R23">
        <f>IF(H23="",0,H23/P23)</f>
        <v/>
      </c>
    </row>
    <row r="24">
      <c r="A24" s="43" t="n">
        <v>45873</v>
      </c>
      <c r="B24" s="28" t="inlineStr">
        <is>
          <t>Amir (Jul 25)</t>
        </is>
      </c>
      <c r="C24" s="28" t="inlineStr">
        <is>
          <t>Amir</t>
        </is>
      </c>
      <c r="D24" s="28" t="inlineStr">
        <is>
          <t>Yuran</t>
        </is>
      </c>
      <c r="E24" s="44" t="n">
        <v>45839</v>
      </c>
      <c r="F24" s="44" t="n"/>
      <c r="G24" s="23" t="n">
        <v>35</v>
      </c>
      <c r="H24" s="23" t="n">
        <v>50</v>
      </c>
      <c r="I24" s="23" t="n"/>
      <c r="J24" s="23" t="n"/>
      <c r="K24" s="45">
        <f>IF(A24="","",SUM(G$2:I24)-SUM(J$2:J24))</f>
        <v/>
      </c>
      <c r="L24" s="46" t="n"/>
      <c r="M24">
        <f>IF(A24="","",IF(A24=A23,M23,N(M23)+1))</f>
        <v/>
      </c>
      <c r="N24">
        <f>IF(E24="",99999,E24)</f>
        <v/>
      </c>
      <c r="O24">
        <f>IF(E24="",0,IF(F24="",E24,F24))</f>
        <v/>
      </c>
      <c r="P24">
        <f>IF(E24="",1,MAX(1,(YEAR(O24)-YEAR(N24))*12+MONTH(O24)-MONTH(N24)+1))</f>
        <v/>
      </c>
      <c r="Q24">
        <f>IF(G24="",0,G24/P24)</f>
        <v/>
      </c>
      <c r="R24">
        <f>IF(H24="",0,H24/P24)</f>
        <v/>
      </c>
    </row>
    <row r="25">
      <c r="A25" s="43" t="n">
        <v>45877</v>
      </c>
      <c r="B25" s="28" t="inlineStr">
        <is>
          <t>Boss Khairil (Jul 25)</t>
        </is>
      </c>
      <c r="C25" s="28" t="inlineStr">
        <is>
          <t>Boss Khairil</t>
        </is>
      </c>
      <c r="D25" s="28" t="inlineStr">
        <is>
          <t>Yuran</t>
        </is>
      </c>
      <c r="E25" s="44" t="n">
        <v>45839</v>
      </c>
      <c r="F25" s="44" t="n"/>
      <c r="G25" s="23" t="n">
        <v>35</v>
      </c>
      <c r="H25" s="23" t="n">
        <v>50</v>
      </c>
      <c r="I25" s="23" t="n"/>
      <c r="J25" s="23" t="n"/>
      <c r="K25" s="45">
        <f>IF(A25="","",SUM(G$2:I25)-SUM(J$2:J25))</f>
        <v/>
      </c>
      <c r="L25" s="46" t="n"/>
      <c r="M25">
        <f>IF(A25="","",IF(A25=A24,M24,N(M24)+1))</f>
        <v/>
      </c>
      <c r="N25">
        <f>IF(E25="",99999,E25)</f>
        <v/>
      </c>
      <c r="O25">
        <f>IF(E25="",0,IF(F25="",E25,F25))</f>
        <v/>
      </c>
      <c r="P25">
        <f>IF(E25="",1,MAX(1,(YEAR(O25)-YEAR(N25))*12+MONTH(O25)-MONTH(N25)+1))</f>
        <v/>
      </c>
      <c r="Q25">
        <f>IF(G25="",0,G25/P25)</f>
        <v/>
      </c>
      <c r="R25">
        <f>IF(H25="",0,H25/P25)</f>
        <v/>
      </c>
    </row>
    <row r="26">
      <c r="A26" s="43" t="n">
        <v>45894</v>
      </c>
      <c r="B26" s="28" t="inlineStr">
        <is>
          <t>Ustaz (Jul 25)</t>
        </is>
      </c>
      <c r="C26" s="28" t="inlineStr">
        <is>
          <t>Ustaz</t>
        </is>
      </c>
      <c r="D26" s="28" t="inlineStr">
        <is>
          <t>Yuran</t>
        </is>
      </c>
      <c r="E26" s="44" t="n">
        <v>45839</v>
      </c>
      <c r="F26" s="44" t="n"/>
      <c r="G26" s="23" t="n"/>
      <c r="H26" s="23" t="n">
        <v>50</v>
      </c>
      <c r="I26" s="23" t="n"/>
      <c r="J26" s="23" t="n"/>
      <c r="K26" s="45">
        <f>IF(A26="","",SUM(G$2:I26)-SUM(J$2:J26))</f>
        <v/>
      </c>
      <c r="L26" s="46" t="n"/>
      <c r="M26">
        <f>IF(A26="","",IF(A26=A25,M25,N(M25)+1))</f>
        <v/>
      </c>
      <c r="N26">
        <f>IF(E26="",99999,E26)</f>
        <v/>
      </c>
      <c r="O26">
        <f>IF(E26="",0,IF(F26="",E26,F26))</f>
        <v/>
      </c>
      <c r="P26">
        <f>IF(E26="",1,MAX(1,(YEAR(O26)-YEAR(N26))*12+MONTH(O26)-MONTH(N26)+1))</f>
        <v/>
      </c>
      <c r="Q26">
        <f>IF(G26="",0,G26/P26)</f>
        <v/>
      </c>
      <c r="R26">
        <f>IF(H26="",0,H26/P26)</f>
        <v/>
      </c>
    </row>
    <row r="27">
      <c r="A27" s="43" t="n">
        <v>45894</v>
      </c>
      <c r="B27" s="28" t="inlineStr">
        <is>
          <t>Boss Khairil (Ogo 25)</t>
        </is>
      </c>
      <c r="C27" s="28" t="inlineStr">
        <is>
          <t>Boss Khairil</t>
        </is>
      </c>
      <c r="D27" s="28" t="inlineStr">
        <is>
          <t>Yuran</t>
        </is>
      </c>
      <c r="E27" s="44" t="n">
        <v>45870</v>
      </c>
      <c r="F27" s="44" t="n"/>
      <c r="G27" s="23" t="n"/>
      <c r="H27" s="23" t="n">
        <v>50</v>
      </c>
      <c r="I27" s="23" t="n"/>
      <c r="J27" s="23" t="n"/>
      <c r="K27" s="45">
        <f>IF(A27="","",SUM(G$2:I27)-SUM(J$2:J27))</f>
        <v/>
      </c>
      <c r="L27" s="46" t="n"/>
      <c r="M27">
        <f>IF(A27="","",IF(A27=A26,M26,N(M26)+1))</f>
        <v/>
      </c>
      <c r="N27">
        <f>IF(E27="",99999,E27)</f>
        <v/>
      </c>
      <c r="O27">
        <f>IF(E27="",0,IF(F27="",E27,F27))</f>
        <v/>
      </c>
      <c r="P27">
        <f>IF(E27="",1,MAX(1,(YEAR(O27)-YEAR(N27))*12+MONTH(O27)-MONTH(N27)+1))</f>
        <v/>
      </c>
      <c r="Q27">
        <f>IF(G27="",0,G27/P27)</f>
        <v/>
      </c>
      <c r="R27">
        <f>IF(H27="",0,H27/P27)</f>
        <v/>
      </c>
    </row>
    <row r="28">
      <c r="A28" s="43" t="n">
        <v>45894</v>
      </c>
      <c r="B28" s="28" t="inlineStr">
        <is>
          <t>Suhaimi (Ogo 25)</t>
        </is>
      </c>
      <c r="C28" s="28" t="inlineStr">
        <is>
          <t>Suhaimi</t>
        </is>
      </c>
      <c r="D28" s="28" t="inlineStr">
        <is>
          <t>Yuran</t>
        </is>
      </c>
      <c r="E28" s="44" t="n">
        <v>45870</v>
      </c>
      <c r="F28" s="44" t="n"/>
      <c r="G28" s="23" t="n">
        <v>35</v>
      </c>
      <c r="H28" s="23" t="n">
        <v>50</v>
      </c>
      <c r="I28" s="23" t="n"/>
      <c r="J28" s="23" t="n"/>
      <c r="K28" s="45">
        <f>IF(A28="","",SUM(G$2:I28)-SUM(J$2:J28))</f>
        <v/>
      </c>
      <c r="L28" s="46" t="n"/>
      <c r="M28">
        <f>IF(A28="","",IF(A28=A27,M27,N(M27)+1))</f>
        <v/>
      </c>
      <c r="N28">
        <f>IF(E28="",99999,E28)</f>
        <v/>
      </c>
      <c r="O28">
        <f>IF(E28="",0,IF(F28="",E28,F28))</f>
        <v/>
      </c>
      <c r="P28">
        <f>IF(E28="",1,MAX(1,(YEAR(O28)-YEAR(N28))*12+MONTH(O28)-MONTH(N28)+1))</f>
        <v/>
      </c>
      <c r="Q28">
        <f>IF(G28="",0,G28/P28)</f>
        <v/>
      </c>
      <c r="R28">
        <f>IF(H28="",0,H28/P28)</f>
        <v/>
      </c>
    </row>
    <row r="29">
      <c r="A29" s="43" t="n">
        <v>45894</v>
      </c>
      <c r="B29" s="28" t="inlineStr">
        <is>
          <t>Bang Mie (Ogo 25)</t>
        </is>
      </c>
      <c r="C29" s="28" t="inlineStr">
        <is>
          <t>Bang Mie</t>
        </is>
      </c>
      <c r="D29" s="28" t="inlineStr">
        <is>
          <t>Yuran</t>
        </is>
      </c>
      <c r="E29" s="44" t="n">
        <v>45870</v>
      </c>
      <c r="F29" s="44" t="n"/>
      <c r="G29" s="23" t="n">
        <v>35</v>
      </c>
      <c r="H29" s="23" t="n">
        <v>50</v>
      </c>
      <c r="I29" s="23" t="n"/>
      <c r="J29" s="23" t="n"/>
      <c r="K29" s="45">
        <f>IF(A29="","",SUM(G$2:I29)-SUM(J$2:J29))</f>
        <v/>
      </c>
      <c r="L29" s="46" t="n"/>
      <c r="M29">
        <f>IF(A29="","",IF(A29=A28,M28,N(M28)+1))</f>
        <v/>
      </c>
      <c r="N29">
        <f>IF(E29="",99999,E29)</f>
        <v/>
      </c>
      <c r="O29">
        <f>IF(E29="",0,IF(F29="",E29,F29))</f>
        <v/>
      </c>
      <c r="P29">
        <f>IF(E29="",1,MAX(1,(YEAR(O29)-YEAR(N29))*12+MONTH(O29)-MONTH(N29)+1))</f>
        <v/>
      </c>
      <c r="Q29">
        <f>IF(G29="",0,G29/P29)</f>
        <v/>
      </c>
      <c r="R29">
        <f>IF(H29="",0,H29/P29)</f>
        <v/>
      </c>
    </row>
    <row r="30">
      <c r="A30" s="43" t="n">
        <v>45896</v>
      </c>
      <c r="B30" s="28" t="inlineStr">
        <is>
          <t>Asnawi (Ogo 25)</t>
        </is>
      </c>
      <c r="C30" s="28" t="inlineStr">
        <is>
          <t>Asnawi</t>
        </is>
      </c>
      <c r="D30" s="28" t="inlineStr">
        <is>
          <t>Yuran</t>
        </is>
      </c>
      <c r="E30" s="44" t="n">
        <v>45870</v>
      </c>
      <c r="F30" s="44" t="n"/>
      <c r="G30" s="23" t="n">
        <v>35</v>
      </c>
      <c r="H30" s="23" t="n">
        <v>50</v>
      </c>
      <c r="I30" s="23" t="n"/>
      <c r="J30" s="23" t="n"/>
      <c r="K30" s="45">
        <f>IF(A30="","",SUM(G$2:I30)-SUM(J$2:J30))</f>
        <v/>
      </c>
      <c r="L30" s="46" t="n"/>
      <c r="M30">
        <f>IF(A30="","",IF(A30=A29,M29,N(M29)+1))</f>
        <v/>
      </c>
      <c r="N30">
        <f>IF(E30="",99999,E30)</f>
        <v/>
      </c>
      <c r="O30">
        <f>IF(E30="",0,IF(F30="",E30,F30))</f>
        <v/>
      </c>
      <c r="P30">
        <f>IF(E30="",1,MAX(1,(YEAR(O30)-YEAR(N30))*12+MONTH(O30)-MONTH(N30)+1))</f>
        <v/>
      </c>
      <c r="Q30">
        <f>IF(G30="",0,G30/P30)</f>
        <v/>
      </c>
      <c r="R30">
        <f>IF(H30="",0,H30/P30)</f>
        <v/>
      </c>
    </row>
    <row r="31">
      <c r="A31" s="43" t="n">
        <v>45899</v>
      </c>
      <c r="B31" s="28" t="inlineStr">
        <is>
          <t>Chang (Ogo 25)</t>
        </is>
      </c>
      <c r="C31" s="28" t="inlineStr">
        <is>
          <t>Chang</t>
        </is>
      </c>
      <c r="D31" s="28" t="inlineStr">
        <is>
          <t>Yuran</t>
        </is>
      </c>
      <c r="E31" s="44" t="n">
        <v>45870</v>
      </c>
      <c r="F31" s="44" t="n"/>
      <c r="G31" s="23" t="n">
        <v>35</v>
      </c>
      <c r="H31" s="23" t="n">
        <v>50</v>
      </c>
      <c r="I31" s="23" t="n"/>
      <c r="J31" s="23" t="n"/>
      <c r="K31" s="45">
        <f>IF(A31="","",SUM(G$2:I31)-SUM(J$2:J31))</f>
        <v/>
      </c>
      <c r="L31" s="46" t="n"/>
      <c r="M31">
        <f>IF(A31="","",IF(A31=A30,M30,N(M30)+1))</f>
        <v/>
      </c>
      <c r="N31">
        <f>IF(E31="",99999,E31)</f>
        <v/>
      </c>
      <c r="O31">
        <f>IF(E31="",0,IF(F31="",E31,F31))</f>
        <v/>
      </c>
      <c r="P31">
        <f>IF(E31="",1,MAX(1,(YEAR(O31)-YEAR(N31))*12+MONTH(O31)-MONTH(N31)+1))</f>
        <v/>
      </c>
      <c r="Q31">
        <f>IF(G31="",0,G31/P31)</f>
        <v/>
      </c>
      <c r="R31">
        <f>IF(H31="",0,H31/P31)</f>
        <v/>
      </c>
    </row>
    <row r="32">
      <c r="A32" s="43" t="n">
        <v>45908</v>
      </c>
      <c r="B32" s="28" t="inlineStr">
        <is>
          <t>Amir (Ogo 25)</t>
        </is>
      </c>
      <c r="C32" s="28" t="inlineStr">
        <is>
          <t>Amir</t>
        </is>
      </c>
      <c r="D32" s="28" t="inlineStr">
        <is>
          <t>Yuran</t>
        </is>
      </c>
      <c r="E32" s="44" t="n">
        <v>45870</v>
      </c>
      <c r="F32" s="44" t="n"/>
      <c r="G32" s="23" t="n">
        <v>35</v>
      </c>
      <c r="H32" s="23" t="n">
        <v>50</v>
      </c>
      <c r="I32" s="23" t="n"/>
      <c r="J32" s="23" t="n"/>
      <c r="K32" s="45">
        <f>IF(A32="","",SUM(G$2:I32)-SUM(J$2:J32))</f>
        <v/>
      </c>
      <c r="L32" s="46" t="n"/>
      <c r="M32">
        <f>IF(A32="","",IF(A32=A31,M31,N(M31)+1))</f>
        <v/>
      </c>
      <c r="N32">
        <f>IF(E32="",99999,E32)</f>
        <v/>
      </c>
      <c r="O32">
        <f>IF(E32="",0,IF(F32="",E32,F32))</f>
        <v/>
      </c>
      <c r="P32">
        <f>IF(E32="",1,MAX(1,(YEAR(O32)-YEAR(N32))*12+MONTH(O32)-MONTH(N32)+1))</f>
        <v/>
      </c>
      <c r="Q32">
        <f>IF(G32="",0,G32/P32)</f>
        <v/>
      </c>
      <c r="R32">
        <f>IF(H32="",0,H32/P32)</f>
        <v/>
      </c>
    </row>
    <row r="33">
      <c r="A33" s="43" t="n">
        <v>45908</v>
      </c>
      <c r="B33" s="28" t="inlineStr">
        <is>
          <t>Khairiri (Ogo 25)</t>
        </is>
      </c>
      <c r="C33" s="28" t="inlineStr">
        <is>
          <t>Khairiri</t>
        </is>
      </c>
      <c r="D33" s="28" t="inlineStr">
        <is>
          <t>Yuran</t>
        </is>
      </c>
      <c r="E33" s="44" t="n">
        <v>45870</v>
      </c>
      <c r="F33" s="44" t="n"/>
      <c r="G33" s="23" t="n">
        <v>35</v>
      </c>
      <c r="H33" s="23" t="n">
        <v>50</v>
      </c>
      <c r="I33" s="23" t="n"/>
      <c r="J33" s="23" t="n"/>
      <c r="K33" s="45">
        <f>IF(A33="","",SUM(G$2:I33)-SUM(J$2:J33))</f>
        <v/>
      </c>
      <c r="L33" s="46" t="n"/>
      <c r="M33">
        <f>IF(A33="","",IF(A33=A32,M32,N(M32)+1))</f>
        <v/>
      </c>
      <c r="N33">
        <f>IF(E33="",99999,E33)</f>
        <v/>
      </c>
      <c r="O33">
        <f>IF(E33="",0,IF(F33="",E33,F33))</f>
        <v/>
      </c>
      <c r="P33">
        <f>IF(E33="",1,MAX(1,(YEAR(O33)-YEAR(N33))*12+MONTH(O33)-MONTH(N33)+1))</f>
        <v/>
      </c>
      <c r="Q33">
        <f>IF(G33="",0,G33/P33)</f>
        <v/>
      </c>
      <c r="R33">
        <f>IF(H33="",0,H33/P33)</f>
        <v/>
      </c>
    </row>
    <row r="34">
      <c r="A34" s="43" t="n">
        <v>45908</v>
      </c>
      <c r="B34" s="28" t="inlineStr">
        <is>
          <t>Hadi (Ogo 25)</t>
        </is>
      </c>
      <c r="C34" s="28" t="inlineStr">
        <is>
          <t>Hadi</t>
        </is>
      </c>
      <c r="D34" s="28" t="inlineStr">
        <is>
          <t>Yuran</t>
        </is>
      </c>
      <c r="E34" s="44" t="n">
        <v>45870</v>
      </c>
      <c r="F34" s="44" t="n"/>
      <c r="G34" s="23" t="n">
        <v>35</v>
      </c>
      <c r="H34" s="23" t="n">
        <v>50</v>
      </c>
      <c r="I34" s="23" t="n"/>
      <c r="J34" s="23" t="n"/>
      <c r="K34" s="45">
        <f>IF(A34="","",SUM(G$2:I34)-SUM(J$2:J34))</f>
        <v/>
      </c>
      <c r="L34" s="46" t="n"/>
      <c r="M34">
        <f>IF(A34="","",IF(A34=A33,M33,N(M33)+1))</f>
        <v/>
      </c>
      <c r="N34">
        <f>IF(E34="",99999,E34)</f>
        <v/>
      </c>
      <c r="O34">
        <f>IF(E34="",0,IF(F34="",E34,F34))</f>
        <v/>
      </c>
      <c r="P34">
        <f>IF(E34="",1,MAX(1,(YEAR(O34)-YEAR(N34))*12+MONTH(O34)-MONTH(N34)+1))</f>
        <v/>
      </c>
      <c r="Q34">
        <f>IF(G34="",0,G34/P34)</f>
        <v/>
      </c>
      <c r="R34">
        <f>IF(H34="",0,H34/P34)</f>
        <v/>
      </c>
    </row>
    <row r="35">
      <c r="A35" s="43" t="n">
        <v>45908</v>
      </c>
      <c r="B35" s="28" t="inlineStr">
        <is>
          <t>Kuchai (Ogo 25)</t>
        </is>
      </c>
      <c r="C35" s="28" t="inlineStr">
        <is>
          <t>Kuchai</t>
        </is>
      </c>
      <c r="D35" s="28" t="inlineStr">
        <is>
          <t>Yuran</t>
        </is>
      </c>
      <c r="E35" s="44" t="n">
        <v>45870</v>
      </c>
      <c r="F35" s="44" t="n"/>
      <c r="G35" s="23" t="n">
        <v>35</v>
      </c>
      <c r="H35" s="23" t="n">
        <v>50</v>
      </c>
      <c r="I35" s="23" t="n"/>
      <c r="J35" s="23" t="n"/>
      <c r="K35" s="45">
        <f>IF(A35="","",SUM(G$2:I35)-SUM(J$2:J35))</f>
        <v/>
      </c>
      <c r="L35" s="46" t="n"/>
      <c r="M35">
        <f>IF(A35="","",IF(A35=A34,M34,N(M34)+1))</f>
        <v/>
      </c>
      <c r="N35">
        <f>IF(E35="",99999,E35)</f>
        <v/>
      </c>
      <c r="O35">
        <f>IF(E35="",0,IF(F35="",E35,F35))</f>
        <v/>
      </c>
      <c r="P35">
        <f>IF(E35="",1,MAX(1,(YEAR(O35)-YEAR(N35))*12+MONTH(O35)-MONTH(N35)+1))</f>
        <v/>
      </c>
      <c r="Q35">
        <f>IF(G35="",0,G35/P35)</f>
        <v/>
      </c>
      <c r="R35">
        <f>IF(H35="",0,H35/P35)</f>
        <v/>
      </c>
    </row>
    <row r="36">
      <c r="A36" s="43" t="n">
        <v>45908</v>
      </c>
      <c r="B36" s="28" t="inlineStr">
        <is>
          <t>Majlis Mie - Bang Mie</t>
        </is>
      </c>
      <c r="C36" s="28" t="inlineStr">
        <is>
          <t>Bang Mie</t>
        </is>
      </c>
      <c r="D36" s="28" t="inlineStr">
        <is>
          <t>Majlis</t>
        </is>
      </c>
      <c r="E36" s="44" t="n"/>
      <c r="F36" s="44" t="n"/>
      <c r="G36" s="23" t="n"/>
      <c r="H36" s="23" t="n"/>
      <c r="I36" s="23" t="n">
        <v>40</v>
      </c>
      <c r="J36" s="23" t="n"/>
      <c r="K36" s="45">
        <f>IF(A36="","",SUM(G$2:I36)-SUM(J$2:J36))</f>
        <v/>
      </c>
      <c r="L36" s="46" t="n"/>
      <c r="M36">
        <f>IF(A36="","",IF(A36=A35,M35,N(M35)+1))</f>
        <v/>
      </c>
      <c r="N36">
        <f>IF(E36="",99999,E36)</f>
        <v/>
      </c>
      <c r="O36">
        <f>IF(E36="",0,IF(F36="",E36,F36))</f>
        <v/>
      </c>
      <c r="P36">
        <f>IF(E36="",1,MAX(1,(YEAR(O36)-YEAR(N36))*12+MONTH(O36)-MONTH(N36)+1))</f>
        <v/>
      </c>
      <c r="Q36">
        <f>IF(G36="",0,G36/P36)</f>
        <v/>
      </c>
      <c r="R36">
        <f>IF(H36="",0,H36/P36)</f>
        <v/>
      </c>
    </row>
    <row r="37">
      <c r="A37" s="43" t="n">
        <v>45908</v>
      </c>
      <c r="B37" s="28" t="inlineStr">
        <is>
          <t>Majlis Mie - Hasnol</t>
        </is>
      </c>
      <c r="C37" s="28" t="inlineStr">
        <is>
          <t>Hasnol</t>
        </is>
      </c>
      <c r="D37" s="28" t="inlineStr">
        <is>
          <t>Majlis</t>
        </is>
      </c>
      <c r="E37" s="44" t="n"/>
      <c r="F37" s="44" t="n"/>
      <c r="G37" s="23" t="n"/>
      <c r="H37" s="23" t="n"/>
      <c r="I37" s="23" t="n">
        <v>40</v>
      </c>
      <c r="J37" s="23" t="n"/>
      <c r="K37" s="45">
        <f>IF(A37="","",SUM(G$2:I37)-SUM(J$2:J37))</f>
        <v/>
      </c>
      <c r="L37" s="46" t="n"/>
      <c r="M37">
        <f>IF(A37="","",IF(A37=A36,M36,N(M36)+1))</f>
        <v/>
      </c>
      <c r="N37">
        <f>IF(E37="",99999,E37)</f>
        <v/>
      </c>
      <c r="O37">
        <f>IF(E37="",0,IF(F37="",E37,F37))</f>
        <v/>
      </c>
      <c r="P37">
        <f>IF(E37="",1,MAX(1,(YEAR(O37)-YEAR(N37))*12+MONTH(O37)-MONTH(N37)+1))</f>
        <v/>
      </c>
      <c r="Q37">
        <f>IF(G37="",0,G37/P37)</f>
        <v/>
      </c>
      <c r="R37">
        <f>IF(H37="",0,H37/P37)</f>
        <v/>
      </c>
    </row>
    <row r="38">
      <c r="A38" s="43" t="n">
        <v>45908</v>
      </c>
      <c r="B38" s="28" t="inlineStr">
        <is>
          <t>Majlis Mie - Ustaz</t>
        </is>
      </c>
      <c r="C38" s="28" t="inlineStr">
        <is>
          <t>Ustaz</t>
        </is>
      </c>
      <c r="D38" s="28" t="inlineStr">
        <is>
          <t>Majlis</t>
        </is>
      </c>
      <c r="E38" s="44" t="n"/>
      <c r="F38" s="44" t="n"/>
      <c r="G38" s="23" t="n"/>
      <c r="H38" s="23" t="n"/>
      <c r="I38" s="23" t="n">
        <v>40</v>
      </c>
      <c r="J38" s="23" t="n"/>
      <c r="K38" s="45">
        <f>IF(A38="","",SUM(G$2:I38)-SUM(J$2:J38))</f>
        <v/>
      </c>
      <c r="L38" s="46" t="n"/>
      <c r="M38">
        <f>IF(A38="","",IF(A38=A37,M37,N(M37)+1))</f>
        <v/>
      </c>
      <c r="N38">
        <f>IF(E38="",99999,E38)</f>
        <v/>
      </c>
      <c r="O38">
        <f>IF(E38="",0,IF(F38="",E38,F38))</f>
        <v/>
      </c>
      <c r="P38">
        <f>IF(E38="",1,MAX(1,(YEAR(O38)-YEAR(N38))*12+MONTH(O38)-MONTH(N38)+1))</f>
        <v/>
      </c>
      <c r="Q38">
        <f>IF(G38="",0,G38/P38)</f>
        <v/>
      </c>
      <c r="R38">
        <f>IF(H38="",0,H38/P38)</f>
        <v/>
      </c>
    </row>
    <row r="39">
      <c r="A39" s="43" t="n">
        <v>45908</v>
      </c>
      <c r="B39" s="28" t="inlineStr">
        <is>
          <t>Majlis Mie - Hadi</t>
        </is>
      </c>
      <c r="C39" s="28" t="inlineStr">
        <is>
          <t>Hadi</t>
        </is>
      </c>
      <c r="D39" s="28" t="inlineStr">
        <is>
          <t>Majlis</t>
        </is>
      </c>
      <c r="E39" s="44" t="n"/>
      <c r="F39" s="44" t="n"/>
      <c r="G39" s="23" t="n"/>
      <c r="H39" s="23" t="n"/>
      <c r="I39" s="23" t="n">
        <v>40</v>
      </c>
      <c r="J39" s="23" t="n"/>
      <c r="K39" s="45">
        <f>IF(A39="","",SUM(G$2:I39)-SUM(J$2:J39))</f>
        <v/>
      </c>
      <c r="L39" s="46" t="n"/>
      <c r="M39">
        <f>IF(A39="","",IF(A39=A38,M38,N(M38)+1))</f>
        <v/>
      </c>
      <c r="N39">
        <f>IF(E39="",99999,E39)</f>
        <v/>
      </c>
      <c r="O39">
        <f>IF(E39="",0,IF(F39="",E39,F39))</f>
        <v/>
      </c>
      <c r="P39">
        <f>IF(E39="",1,MAX(1,(YEAR(O39)-YEAR(N39))*12+MONTH(O39)-MONTH(N39)+1))</f>
        <v/>
      </c>
      <c r="Q39">
        <f>IF(G39="",0,G39/P39)</f>
        <v/>
      </c>
      <c r="R39">
        <f>IF(H39="",0,H39/P39)</f>
        <v/>
      </c>
    </row>
    <row r="40">
      <c r="A40" s="43" t="n">
        <v>45908</v>
      </c>
      <c r="B40" s="28" t="inlineStr">
        <is>
          <t>Majlis Mie - Wafi</t>
        </is>
      </c>
      <c r="C40" s="28" t="inlineStr">
        <is>
          <t>Wafi</t>
        </is>
      </c>
      <c r="D40" s="28" t="inlineStr">
        <is>
          <t>Majlis</t>
        </is>
      </c>
      <c r="E40" s="44" t="n"/>
      <c r="F40" s="44" t="n"/>
      <c r="G40" s="23" t="n"/>
      <c r="H40" s="23" t="n"/>
      <c r="I40" s="23" t="n">
        <v>40</v>
      </c>
      <c r="J40" s="23" t="n"/>
      <c r="K40" s="45">
        <f>IF(A40="","",SUM(G$2:I40)-SUM(J$2:J40))</f>
        <v/>
      </c>
      <c r="L40" s="46" t="n"/>
      <c r="M40">
        <f>IF(A40="","",IF(A40=A39,M39,N(M39)+1))</f>
        <v/>
      </c>
      <c r="N40">
        <f>IF(E40="",99999,E40)</f>
        <v/>
      </c>
      <c r="O40">
        <f>IF(E40="",0,IF(F40="",E40,F40))</f>
        <v/>
      </c>
      <c r="P40">
        <f>IF(E40="",1,MAX(1,(YEAR(O40)-YEAR(N40))*12+MONTH(O40)-MONTH(N40)+1))</f>
        <v/>
      </c>
      <c r="Q40">
        <f>IF(G40="",0,G40/P40)</f>
        <v/>
      </c>
      <c r="R40">
        <f>IF(H40="",0,H40/P40)</f>
        <v/>
      </c>
    </row>
    <row r="41">
      <c r="A41" s="43" t="n">
        <v>45908</v>
      </c>
      <c r="B41" s="28" t="inlineStr">
        <is>
          <t>Majlis Mie - Amir</t>
        </is>
      </c>
      <c r="C41" s="28" t="inlineStr">
        <is>
          <t>Amir</t>
        </is>
      </c>
      <c r="D41" s="28" t="inlineStr">
        <is>
          <t>Majlis</t>
        </is>
      </c>
      <c r="E41" s="44" t="n"/>
      <c r="F41" s="44" t="n"/>
      <c r="G41" s="23" t="n"/>
      <c r="H41" s="23" t="n"/>
      <c r="I41" s="23" t="n">
        <v>40</v>
      </c>
      <c r="J41" s="23" t="n"/>
      <c r="K41" s="45">
        <f>IF(A41="","",SUM(G$2:I41)-SUM(J$2:J41))</f>
        <v/>
      </c>
      <c r="L41" s="46" t="n"/>
      <c r="M41">
        <f>IF(A41="","",IF(A41=A40,M40,N(M40)+1))</f>
        <v/>
      </c>
      <c r="N41">
        <f>IF(E41="",99999,E41)</f>
        <v/>
      </c>
      <c r="O41">
        <f>IF(E41="",0,IF(F41="",E41,F41))</f>
        <v/>
      </c>
      <c r="P41">
        <f>IF(E41="",1,MAX(1,(YEAR(O41)-YEAR(N41))*12+MONTH(O41)-MONTH(N41)+1))</f>
        <v/>
      </c>
      <c r="Q41">
        <f>IF(G41="",0,G41/P41)</f>
        <v/>
      </c>
      <c r="R41">
        <f>IF(H41="",0,H41/P41)</f>
        <v/>
      </c>
    </row>
    <row r="42">
      <c r="A42" s="43" t="n">
        <v>45908</v>
      </c>
      <c r="B42" s="28" t="inlineStr">
        <is>
          <t>Majlis Mie - Joe</t>
        </is>
      </c>
      <c r="C42" s="28" t="inlineStr">
        <is>
          <t>Joe</t>
        </is>
      </c>
      <c r="D42" s="28" t="inlineStr">
        <is>
          <t>Majlis</t>
        </is>
      </c>
      <c r="E42" s="44" t="n"/>
      <c r="F42" s="44" t="n"/>
      <c r="G42" s="23" t="n"/>
      <c r="H42" s="23" t="n"/>
      <c r="I42" s="23" t="n">
        <v>40</v>
      </c>
      <c r="J42" s="23" t="n"/>
      <c r="K42" s="45">
        <f>IF(A42="","",SUM(G$2:I42)-SUM(J$2:J42))</f>
        <v/>
      </c>
      <c r="L42" s="46" t="n"/>
      <c r="M42">
        <f>IF(A42="","",IF(A42=A41,M41,N(M41)+1))</f>
        <v/>
      </c>
      <c r="N42">
        <f>IF(E42="",99999,E42)</f>
        <v/>
      </c>
      <c r="O42">
        <f>IF(E42="",0,IF(F42="",E42,F42))</f>
        <v/>
      </c>
      <c r="P42">
        <f>IF(E42="",1,MAX(1,(YEAR(O42)-YEAR(N42))*12+MONTH(O42)-MONTH(N42)+1))</f>
        <v/>
      </c>
      <c r="Q42">
        <f>IF(G42="",0,G42/P42)</f>
        <v/>
      </c>
      <c r="R42">
        <f>IF(H42="",0,H42/P42)</f>
        <v/>
      </c>
    </row>
    <row r="43">
      <c r="A43" s="43" t="n">
        <v>45908</v>
      </c>
      <c r="B43" s="28" t="inlineStr">
        <is>
          <t>Majlis Mie - Chang</t>
        </is>
      </c>
      <c r="C43" s="28" t="inlineStr">
        <is>
          <t>Chang</t>
        </is>
      </c>
      <c r="D43" s="28" t="inlineStr">
        <is>
          <t>Majlis</t>
        </is>
      </c>
      <c r="E43" s="44" t="n"/>
      <c r="F43" s="44" t="n"/>
      <c r="G43" s="23" t="n"/>
      <c r="H43" s="23" t="n"/>
      <c r="I43" s="23" t="n">
        <v>40</v>
      </c>
      <c r="J43" s="23" t="n"/>
      <c r="K43" s="45">
        <f>IF(A43="","",SUM(G$2:I43)-SUM(J$2:J43))</f>
        <v/>
      </c>
      <c r="L43" s="46" t="n"/>
      <c r="M43">
        <f>IF(A43="","",IF(A43=A42,M42,N(M42)+1))</f>
        <v/>
      </c>
      <c r="N43">
        <f>IF(E43="",99999,E43)</f>
        <v/>
      </c>
      <c r="O43">
        <f>IF(E43="",0,IF(F43="",E43,F43))</f>
        <v/>
      </c>
      <c r="P43">
        <f>IF(E43="",1,MAX(1,(YEAR(O43)-YEAR(N43))*12+MONTH(O43)-MONTH(N43)+1))</f>
        <v/>
      </c>
      <c r="Q43">
        <f>IF(G43="",0,G43/P43)</f>
        <v/>
      </c>
      <c r="R43">
        <f>IF(H43="",0,H43/P43)</f>
        <v/>
      </c>
    </row>
    <row r="44">
      <c r="A44" s="43" t="n">
        <v>45908</v>
      </c>
      <c r="B44" s="28" t="inlineStr">
        <is>
          <t>Majlis Mie - Kuchai</t>
        </is>
      </c>
      <c r="C44" s="28" t="inlineStr">
        <is>
          <t>Kuchai</t>
        </is>
      </c>
      <c r="D44" s="28" t="inlineStr">
        <is>
          <t>Majlis</t>
        </is>
      </c>
      <c r="E44" s="44" t="n"/>
      <c r="F44" s="44" t="n"/>
      <c r="G44" s="23" t="n"/>
      <c r="H44" s="23" t="n"/>
      <c r="I44" s="23" t="n">
        <v>40</v>
      </c>
      <c r="J44" s="23" t="n"/>
      <c r="K44" s="45">
        <f>IF(A44="","",SUM(G$2:I44)-SUM(J$2:J44))</f>
        <v/>
      </c>
      <c r="L44" s="46" t="n"/>
      <c r="M44">
        <f>IF(A44="","",IF(A44=A43,M43,N(M43)+1))</f>
        <v/>
      </c>
      <c r="N44">
        <f>IF(E44="",99999,E44)</f>
        <v/>
      </c>
      <c r="O44">
        <f>IF(E44="",0,IF(F44="",E44,F44))</f>
        <v/>
      </c>
      <c r="P44">
        <f>IF(E44="",1,MAX(1,(YEAR(O44)-YEAR(N44))*12+MONTH(O44)-MONTH(N44)+1))</f>
        <v/>
      </c>
      <c r="Q44">
        <f>IF(G44="",0,G44/P44)</f>
        <v/>
      </c>
      <c r="R44">
        <f>IF(H44="",0,H44/P44)</f>
        <v/>
      </c>
    </row>
    <row r="45">
      <c r="A45" s="43" t="n">
        <v>45908</v>
      </c>
      <c r="B45" s="28" t="inlineStr">
        <is>
          <t>Majlis Mie - Boss Wan</t>
        </is>
      </c>
      <c r="C45" s="28" t="inlineStr">
        <is>
          <t>Boss Wan</t>
        </is>
      </c>
      <c r="D45" s="28" t="inlineStr">
        <is>
          <t>Majlis</t>
        </is>
      </c>
      <c r="E45" s="44" t="n"/>
      <c r="F45" s="44" t="n"/>
      <c r="G45" s="23" t="n"/>
      <c r="H45" s="23" t="n"/>
      <c r="I45" s="23" t="n">
        <v>40</v>
      </c>
      <c r="J45" s="23" t="n"/>
      <c r="K45" s="45">
        <f>IF(A45="","",SUM(G$2:I45)-SUM(J$2:J45))</f>
        <v/>
      </c>
      <c r="L45" s="46" t="n"/>
      <c r="M45">
        <f>IF(A45="","",IF(A45=A44,M44,N(M44)+1))</f>
        <v/>
      </c>
      <c r="N45">
        <f>IF(E45="",99999,E45)</f>
        <v/>
      </c>
      <c r="O45">
        <f>IF(E45="",0,IF(F45="",E45,F45))</f>
        <v/>
      </c>
      <c r="P45">
        <f>IF(E45="",1,MAX(1,(YEAR(O45)-YEAR(N45))*12+MONTH(O45)-MONTH(N45)+1))</f>
        <v/>
      </c>
      <c r="Q45">
        <f>IF(G45="",0,G45/P45)</f>
        <v/>
      </c>
      <c r="R45">
        <f>IF(H45="",0,H45/P45)</f>
        <v/>
      </c>
    </row>
    <row r="46">
      <c r="A46" s="43" t="n">
        <v>45909</v>
      </c>
      <c r="B46" s="28" t="inlineStr">
        <is>
          <t>Bayaran Majlis Mie - Asnawi</t>
        </is>
      </c>
      <c r="C46" s="28" t="inlineStr">
        <is>
          <t>Asnawi</t>
        </is>
      </c>
      <c r="D46" s="28" t="inlineStr">
        <is>
          <t>Majlis &amp; Hadiah</t>
        </is>
      </c>
      <c r="E46" s="44" t="n"/>
      <c r="F46" s="44" t="n"/>
      <c r="G46" s="23" t="n"/>
      <c r="H46" s="23" t="n"/>
      <c r="I46" s="23" t="n"/>
      <c r="J46" s="23" t="n">
        <v>500</v>
      </c>
      <c r="K46" s="45">
        <f>IF(A46="","",SUM(G$2:I46)-SUM(J$2:J46))</f>
        <v/>
      </c>
      <c r="L46" s="46" t="n"/>
      <c r="M46">
        <f>IF(A46="","",IF(A46=A45,M45,N(M45)+1))</f>
        <v/>
      </c>
      <c r="N46">
        <f>IF(E46="",99999,E46)</f>
        <v/>
      </c>
      <c r="O46">
        <f>IF(E46="",0,IF(F46="",E46,F46))</f>
        <v/>
      </c>
      <c r="P46">
        <f>IF(E46="",1,MAX(1,(YEAR(O46)-YEAR(N46))*12+MONTH(O46)-MONTH(N46)+1))</f>
        <v/>
      </c>
      <c r="Q46">
        <f>IF(G46="",0,G46/P46)</f>
        <v/>
      </c>
      <c r="R46">
        <f>IF(H46="",0,H46/P46)</f>
        <v/>
      </c>
    </row>
    <row r="47">
      <c r="A47" s="43" t="n">
        <v>45910</v>
      </c>
      <c r="B47" s="28" t="inlineStr">
        <is>
          <t>Kuchai (Sep–Dis 25)</t>
        </is>
      </c>
      <c r="C47" s="28" t="inlineStr">
        <is>
          <t>Kuchai</t>
        </is>
      </c>
      <c r="D47" s="28" t="inlineStr">
        <is>
          <t>Yuran</t>
        </is>
      </c>
      <c r="E47" s="44" t="n">
        <v>45901</v>
      </c>
      <c r="F47" s="44" t="n">
        <v>45992</v>
      </c>
      <c r="G47" s="23" t="n">
        <v>140</v>
      </c>
      <c r="H47" s="23" t="n">
        <v>200</v>
      </c>
      <c r="I47" s="23" t="n"/>
      <c r="J47" s="23" t="n"/>
      <c r="K47" s="45">
        <f>IF(A47="","",SUM(G$2:I47)-SUM(J$2:J47))</f>
        <v/>
      </c>
      <c r="L47" s="46" t="n"/>
      <c r="M47">
        <f>IF(A47="","",IF(A47=A46,M46,N(M46)+1))</f>
        <v/>
      </c>
      <c r="N47">
        <f>IF(E47="",99999,E47)</f>
        <v/>
      </c>
      <c r="O47">
        <f>IF(E47="",0,IF(F47="",E47,F47))</f>
        <v/>
      </c>
      <c r="P47">
        <f>IF(E47="",1,MAX(1,(YEAR(O47)-YEAR(N47))*12+MONTH(O47)-MONTH(N47)+1))</f>
        <v/>
      </c>
      <c r="Q47">
        <f>IF(G47="",0,G47/P47)</f>
        <v/>
      </c>
      <c r="R47">
        <f>IF(H47="",0,H47/P47)</f>
        <v/>
      </c>
    </row>
    <row r="48">
      <c r="A48" s="43" t="n">
        <v>45923</v>
      </c>
      <c r="B48" s="28" t="inlineStr">
        <is>
          <t>Hasnol (Jun–Sep 25)</t>
        </is>
      </c>
      <c r="C48" s="28" t="inlineStr">
        <is>
          <t>Hasnol</t>
        </is>
      </c>
      <c r="D48" s="28" t="inlineStr">
        <is>
          <t>Yuran</t>
        </is>
      </c>
      <c r="E48" s="44" t="n">
        <v>45809</v>
      </c>
      <c r="F48" s="44" t="n">
        <v>45901</v>
      </c>
      <c r="G48" s="23" t="n">
        <v>140</v>
      </c>
      <c r="H48" s="23" t="n"/>
      <c r="I48" s="23" t="n"/>
      <c r="J48" s="23" t="n"/>
      <c r="K48" s="45">
        <f>IF(A48="","",SUM(G$2:I48)-SUM(J$2:J48))</f>
        <v/>
      </c>
      <c r="L48" s="46" t="n"/>
      <c r="M48">
        <f>IF(A48="","",IF(A48=A47,M47,N(M47)+1))</f>
        <v/>
      </c>
      <c r="N48">
        <f>IF(E48="",99999,E48)</f>
        <v/>
      </c>
      <c r="O48">
        <f>IF(E48="",0,IF(F48="",E48,F48))</f>
        <v/>
      </c>
      <c r="P48">
        <f>IF(E48="",1,MAX(1,(YEAR(O48)-YEAR(N48))*12+MONTH(O48)-MONTH(N48)+1))</f>
        <v/>
      </c>
      <c r="Q48">
        <f>IF(G48="",0,G48/P48)</f>
        <v/>
      </c>
      <c r="R48">
        <f>IF(H48="",0,H48/P48)</f>
        <v/>
      </c>
    </row>
    <row r="49">
      <c r="A49" s="43" t="n">
        <v>45925</v>
      </c>
      <c r="B49" s="28" t="inlineStr">
        <is>
          <t>Chang (Sep 25)</t>
        </is>
      </c>
      <c r="C49" s="28" t="inlineStr">
        <is>
          <t>Chang</t>
        </is>
      </c>
      <c r="D49" s="28" t="inlineStr">
        <is>
          <t>Yuran</t>
        </is>
      </c>
      <c r="E49" s="44" t="n">
        <v>45901</v>
      </c>
      <c r="F49" s="44" t="n"/>
      <c r="G49" s="23" t="n">
        <v>35</v>
      </c>
      <c r="H49" s="23" t="n">
        <v>50</v>
      </c>
      <c r="I49" s="23" t="n"/>
      <c r="J49" s="23" t="n"/>
      <c r="K49" s="45">
        <f>IF(A49="","",SUM(G$2:I49)-SUM(J$2:J49))</f>
        <v/>
      </c>
      <c r="L49" s="46" t="n"/>
      <c r="M49">
        <f>IF(A49="","",IF(A49=A48,M48,N(M48)+1))</f>
        <v/>
      </c>
      <c r="N49">
        <f>IF(E49="",99999,E49)</f>
        <v/>
      </c>
      <c r="O49">
        <f>IF(E49="",0,IF(F49="",E49,F49))</f>
        <v/>
      </c>
      <c r="P49">
        <f>IF(E49="",1,MAX(1,(YEAR(O49)-YEAR(N49))*12+MONTH(O49)-MONTH(N49)+1))</f>
        <v/>
      </c>
      <c r="Q49">
        <f>IF(G49="",0,G49/P49)</f>
        <v/>
      </c>
      <c r="R49">
        <f>IF(H49="",0,H49/P49)</f>
        <v/>
      </c>
    </row>
    <row r="50">
      <c r="A50" s="43" t="n">
        <v>45925</v>
      </c>
      <c r="B50" s="28" t="inlineStr">
        <is>
          <t>Ustaz (Ogo 25)</t>
        </is>
      </c>
      <c r="C50" s="28" t="inlineStr">
        <is>
          <t>Ustaz</t>
        </is>
      </c>
      <c r="D50" s="28" t="inlineStr">
        <is>
          <t>Yuran</t>
        </is>
      </c>
      <c r="E50" s="44" t="n">
        <v>45870</v>
      </c>
      <c r="F50" s="44" t="n"/>
      <c r="G50" s="23" t="n"/>
      <c r="H50" s="23" t="n">
        <v>50</v>
      </c>
      <c r="I50" s="23" t="n"/>
      <c r="J50" s="23" t="n"/>
      <c r="K50" s="45">
        <f>IF(A50="","",SUM(G$2:I50)-SUM(J$2:J50))</f>
        <v/>
      </c>
      <c r="L50" s="46" t="n"/>
      <c r="M50">
        <f>IF(A50="","",IF(A50=A49,M49,N(M49)+1))</f>
        <v/>
      </c>
      <c r="N50">
        <f>IF(E50="",99999,E50)</f>
        <v/>
      </c>
      <c r="O50">
        <f>IF(E50="",0,IF(F50="",E50,F50))</f>
        <v/>
      </c>
      <c r="P50">
        <f>IF(E50="",1,MAX(1,(YEAR(O50)-YEAR(N50))*12+MONTH(O50)-MONTH(N50)+1))</f>
        <v/>
      </c>
      <c r="Q50">
        <f>IF(G50="",0,G50/P50)</f>
        <v/>
      </c>
      <c r="R50">
        <f>IF(H50="",0,H50/P50)</f>
        <v/>
      </c>
    </row>
    <row r="51">
      <c r="A51" s="43" t="n">
        <v>45926</v>
      </c>
      <c r="B51" s="28" t="inlineStr">
        <is>
          <t>Joe (Ogo–Sep 25)</t>
        </is>
      </c>
      <c r="C51" s="28" t="inlineStr">
        <is>
          <t>Joe</t>
        </is>
      </c>
      <c r="D51" s="28" t="inlineStr">
        <is>
          <t>Yuran</t>
        </is>
      </c>
      <c r="E51" s="44" t="n">
        <v>45870</v>
      </c>
      <c r="F51" s="44" t="n">
        <v>45901</v>
      </c>
      <c r="G51" s="23" t="n">
        <v>70</v>
      </c>
      <c r="H51" s="23" t="n">
        <v>100</v>
      </c>
      <c r="I51" s="23" t="n"/>
      <c r="J51" s="23" t="n"/>
      <c r="K51" s="45">
        <f>IF(A51="","",SUM(G$2:I51)-SUM(J$2:J51))</f>
        <v/>
      </c>
      <c r="L51" s="46" t="n"/>
      <c r="M51">
        <f>IF(A51="","",IF(A51=A50,M50,N(M50)+1))</f>
        <v/>
      </c>
      <c r="N51">
        <f>IF(E51="",99999,E51)</f>
        <v/>
      </c>
      <c r="O51">
        <f>IF(E51="",0,IF(F51="",E51,F51))</f>
        <v/>
      </c>
      <c r="P51">
        <f>IF(E51="",1,MAX(1,(YEAR(O51)-YEAR(N51))*12+MONTH(O51)-MONTH(N51)+1))</f>
        <v/>
      </c>
      <c r="Q51">
        <f>IF(G51="",0,G51/P51)</f>
        <v/>
      </c>
      <c r="R51">
        <f>IF(H51="",0,H51/P51)</f>
        <v/>
      </c>
    </row>
    <row r="52">
      <c r="A52" s="43" t="n">
        <v>45926</v>
      </c>
      <c r="B52" s="28" t="inlineStr">
        <is>
          <t>Khairiri (Sep 25)</t>
        </is>
      </c>
      <c r="C52" s="28" t="inlineStr">
        <is>
          <t>Khairiri</t>
        </is>
      </c>
      <c r="D52" s="28" t="inlineStr">
        <is>
          <t>Yuran</t>
        </is>
      </c>
      <c r="E52" s="44" t="n">
        <v>45901</v>
      </c>
      <c r="F52" s="44" t="n"/>
      <c r="G52" s="23" t="n">
        <v>35</v>
      </c>
      <c r="H52" s="23" t="n">
        <v>50</v>
      </c>
      <c r="I52" s="23" t="n"/>
      <c r="J52" s="23" t="n"/>
      <c r="K52" s="45">
        <f>IF(A52="","",SUM(G$2:I52)-SUM(J$2:J52))</f>
        <v/>
      </c>
      <c r="L52" s="46" t="n"/>
      <c r="M52">
        <f>IF(A52="","",IF(A52=A51,M51,N(M51)+1))</f>
        <v/>
      </c>
      <c r="N52">
        <f>IF(E52="",99999,E52)</f>
        <v/>
      </c>
      <c r="O52">
        <f>IF(E52="",0,IF(F52="",E52,F52))</f>
        <v/>
      </c>
      <c r="P52">
        <f>IF(E52="",1,MAX(1,(YEAR(O52)-YEAR(N52))*12+MONTH(O52)-MONTH(N52)+1))</f>
        <v/>
      </c>
      <c r="Q52">
        <f>IF(G52="",0,G52/P52)</f>
        <v/>
      </c>
      <c r="R52">
        <f>IF(H52="",0,H52/P52)</f>
        <v/>
      </c>
    </row>
    <row r="53">
      <c r="A53" s="43" t="n">
        <v>45926</v>
      </c>
      <c r="B53" s="28" t="inlineStr">
        <is>
          <t>Asnawi (Sep 25)</t>
        </is>
      </c>
      <c r="C53" s="28" t="inlineStr">
        <is>
          <t>Asnawi</t>
        </is>
      </c>
      <c r="D53" s="28" t="inlineStr">
        <is>
          <t>Yuran</t>
        </is>
      </c>
      <c r="E53" s="44" t="n">
        <v>45901</v>
      </c>
      <c r="F53" s="44" t="n"/>
      <c r="G53" s="23" t="n">
        <v>35</v>
      </c>
      <c r="H53" s="23" t="n">
        <v>50</v>
      </c>
      <c r="I53" s="23" t="n"/>
      <c r="J53" s="23" t="n"/>
      <c r="K53" s="45">
        <f>IF(A53="","",SUM(G$2:I53)-SUM(J$2:J53))</f>
        <v/>
      </c>
      <c r="L53" s="46" t="n"/>
      <c r="M53">
        <f>IF(A53="","",IF(A53=A52,M52,N(M52)+1))</f>
        <v/>
      </c>
      <c r="N53">
        <f>IF(E53="",99999,E53)</f>
        <v/>
      </c>
      <c r="O53">
        <f>IF(E53="",0,IF(F53="",E53,F53))</f>
        <v/>
      </c>
      <c r="P53">
        <f>IF(E53="",1,MAX(1,(YEAR(O53)-YEAR(N53))*12+MONTH(O53)-MONTH(N53)+1))</f>
        <v/>
      </c>
      <c r="Q53">
        <f>IF(G53="",0,G53/P53)</f>
        <v/>
      </c>
      <c r="R53">
        <f>IF(H53="",0,H53/P53)</f>
        <v/>
      </c>
    </row>
    <row r="54">
      <c r="A54" s="43" t="n">
        <v>45926</v>
      </c>
      <c r="B54" s="28" t="inlineStr">
        <is>
          <t>Hasnol (Jun 25)</t>
        </is>
      </c>
      <c r="C54" s="28" t="inlineStr">
        <is>
          <t>Hasnol</t>
        </is>
      </c>
      <c r="D54" s="28" t="inlineStr">
        <is>
          <t>Yuran</t>
        </is>
      </c>
      <c r="E54" s="44" t="n">
        <v>45809</v>
      </c>
      <c r="F54" s="44" t="n"/>
      <c r="G54" s="23" t="n"/>
      <c r="H54" s="23" t="n">
        <v>80</v>
      </c>
      <c r="I54" s="23" t="n"/>
      <c r="J54" s="23" t="n"/>
      <c r="K54" s="45">
        <f>IF(A54="","",SUM(G$2:I54)-SUM(J$2:J54))</f>
        <v/>
      </c>
      <c r="L54" s="46" t="inlineStr">
        <is>
          <t>Kes khas: bayar RM80 (nota tab lama)</t>
        </is>
      </c>
      <c r="M54">
        <f>IF(A54="","",IF(A54=A53,M53,N(M53)+1))</f>
        <v/>
      </c>
      <c r="N54">
        <f>IF(E54="",99999,E54)</f>
        <v/>
      </c>
      <c r="O54">
        <f>IF(E54="",0,IF(F54="",E54,F54))</f>
        <v/>
      </c>
      <c r="P54">
        <f>IF(E54="",1,MAX(1,(YEAR(O54)-YEAR(N54))*12+MONTH(O54)-MONTH(N54)+1))</f>
        <v/>
      </c>
      <c r="Q54">
        <f>IF(G54="",0,G54/P54)</f>
        <v/>
      </c>
      <c r="R54">
        <f>IF(H54="",0,H54/P54)</f>
        <v/>
      </c>
    </row>
    <row r="55">
      <c r="A55" s="43" t="n">
        <v>45926</v>
      </c>
      <c r="B55" s="28" t="inlineStr">
        <is>
          <t>Bang Mie (Sep 25)</t>
        </is>
      </c>
      <c r="C55" s="28" t="inlineStr">
        <is>
          <t>Bang Mie</t>
        </is>
      </c>
      <c r="D55" s="28" t="inlineStr">
        <is>
          <t>Yuran</t>
        </is>
      </c>
      <c r="E55" s="44" t="n">
        <v>45901</v>
      </c>
      <c r="F55" s="44" t="n"/>
      <c r="G55" s="23" t="n">
        <v>35</v>
      </c>
      <c r="H55" s="23" t="n">
        <v>50</v>
      </c>
      <c r="I55" s="23" t="n"/>
      <c r="J55" s="23" t="n"/>
      <c r="K55" s="45">
        <f>IF(A55="","",SUM(G$2:I55)-SUM(J$2:J55))</f>
        <v/>
      </c>
      <c r="L55" s="46" t="n"/>
      <c r="M55">
        <f>IF(A55="","",IF(A55=A54,M54,N(M54)+1))</f>
        <v/>
      </c>
      <c r="N55">
        <f>IF(E55="",99999,E55)</f>
        <v/>
      </c>
      <c r="O55">
        <f>IF(E55="",0,IF(F55="",E55,F55))</f>
        <v/>
      </c>
      <c r="P55">
        <f>IF(E55="",1,MAX(1,(YEAR(O55)-YEAR(N55))*12+MONTH(O55)-MONTH(N55)+1))</f>
        <v/>
      </c>
      <c r="Q55">
        <f>IF(G55="",0,G55/P55)</f>
        <v/>
      </c>
      <c r="R55">
        <f>IF(H55="",0,H55/P55)</f>
        <v/>
      </c>
    </row>
    <row r="56">
      <c r="A56" s="43" t="n">
        <v>45926</v>
      </c>
      <c r="B56" s="28" t="inlineStr">
        <is>
          <t>Boss Wan (Sep 25)</t>
        </is>
      </c>
      <c r="C56" s="28" t="inlineStr">
        <is>
          <t>Boss Wan</t>
        </is>
      </c>
      <c r="D56" s="28" t="inlineStr">
        <is>
          <t>Yuran</t>
        </is>
      </c>
      <c r="E56" s="44" t="n">
        <v>45901</v>
      </c>
      <c r="F56" s="44" t="n"/>
      <c r="G56" s="23" t="n">
        <v>35</v>
      </c>
      <c r="H56" s="23" t="n">
        <v>50</v>
      </c>
      <c r="I56" s="23" t="n"/>
      <c r="J56" s="23" t="n"/>
      <c r="K56" s="45">
        <f>IF(A56="","",SUM(G$2:I56)-SUM(J$2:J56))</f>
        <v/>
      </c>
      <c r="L56" s="46" t="n"/>
      <c r="M56">
        <f>IF(A56="","",IF(A56=A55,M55,N(M55)+1))</f>
        <v/>
      </c>
      <c r="N56">
        <f>IF(E56="",99999,E56)</f>
        <v/>
      </c>
      <c r="O56">
        <f>IF(E56="",0,IF(F56="",E56,F56))</f>
        <v/>
      </c>
      <c r="P56">
        <f>IF(E56="",1,MAX(1,(YEAR(O56)-YEAR(N56))*12+MONTH(O56)-MONTH(N56)+1))</f>
        <v/>
      </c>
      <c r="Q56">
        <f>IF(G56="",0,G56/P56)</f>
        <v/>
      </c>
      <c r="R56">
        <f>IF(H56="",0,H56/P56)</f>
        <v/>
      </c>
    </row>
    <row r="57">
      <c r="A57" s="43" t="n">
        <v>45928</v>
      </c>
      <c r="B57" s="28" t="inlineStr">
        <is>
          <t>Bayaran Duit Pantri - Asnawi</t>
        </is>
      </c>
      <c r="C57" s="28" t="inlineStr">
        <is>
          <t>Asnawi</t>
        </is>
      </c>
      <c r="D57" s="28" t="inlineStr">
        <is>
          <t>Duit Pantri</t>
        </is>
      </c>
      <c r="E57" s="44" t="n"/>
      <c r="F57" s="44" t="n"/>
      <c r="G57" s="23" t="n"/>
      <c r="H57" s="23" t="n"/>
      <c r="I57" s="23" t="n"/>
      <c r="J57" s="23" t="n">
        <v>60</v>
      </c>
      <c r="K57" s="45">
        <f>IF(A57="","",SUM(G$2:I57)-SUM(J$2:J57))</f>
        <v/>
      </c>
      <c r="L57" s="46" t="n"/>
      <c r="M57">
        <f>IF(A57="","",IF(A57=A56,M56,N(M56)+1))</f>
        <v/>
      </c>
      <c r="N57">
        <f>IF(E57="",99999,E57)</f>
        <v/>
      </c>
      <c r="O57">
        <f>IF(E57="",0,IF(F57="",E57,F57))</f>
        <v/>
      </c>
      <c r="P57">
        <f>IF(E57="",1,MAX(1,(YEAR(O57)-YEAR(N57))*12+MONTH(O57)-MONTH(N57)+1))</f>
        <v/>
      </c>
      <c r="Q57">
        <f>IF(G57="",0,G57/P57)</f>
        <v/>
      </c>
      <c r="R57">
        <f>IF(H57="",0,H57/P57)</f>
        <v/>
      </c>
    </row>
    <row r="58">
      <c r="A58" s="43" t="n">
        <v>45929</v>
      </c>
      <c r="B58" s="28" t="inlineStr">
        <is>
          <t>Sumbangan Ustaz - Hasnol (Diambil daripada duit)</t>
        </is>
      </c>
      <c r="C58" s="28" t="inlineStr">
        <is>
          <t>Hasnol</t>
        </is>
      </c>
      <c r="D58" s="28" t="inlineStr">
        <is>
          <t>Sumbangan</t>
        </is>
      </c>
      <c r="E58" s="44" t="n"/>
      <c r="F58" s="44" t="n"/>
      <c r="G58" s="23" t="n"/>
      <c r="H58" s="23" t="n"/>
      <c r="I58" s="23" t="n">
        <v>10</v>
      </c>
      <c r="J58" s="23" t="n"/>
      <c r="K58" s="45">
        <f>IF(A58="","",SUM(G$2:I58)-SUM(J$2:J58))</f>
        <v/>
      </c>
      <c r="L58" s="46" t="n"/>
      <c r="M58">
        <f>IF(A58="","",IF(A58=A57,M57,N(M57)+1))</f>
        <v/>
      </c>
      <c r="N58">
        <f>IF(E58="",99999,E58)</f>
        <v/>
      </c>
      <c r="O58">
        <f>IF(E58="",0,IF(F58="",E58,F58))</f>
        <v/>
      </c>
      <c r="P58">
        <f>IF(E58="",1,MAX(1,(YEAR(O58)-YEAR(N58))*12+MONTH(O58)-MONTH(N58)+1))</f>
        <v/>
      </c>
      <c r="Q58">
        <f>IF(G58="",0,G58/P58)</f>
        <v/>
      </c>
      <c r="R58">
        <f>IF(H58="",0,H58/P58)</f>
        <v/>
      </c>
    </row>
    <row r="59">
      <c r="A59" s="43" t="n">
        <v>45932</v>
      </c>
      <c r="B59" s="28" t="inlineStr">
        <is>
          <t>Boss Khairil (Sep 25)</t>
        </is>
      </c>
      <c r="C59" s="28" t="inlineStr">
        <is>
          <t>Boss Khairil</t>
        </is>
      </c>
      <c r="D59" s="28" t="inlineStr">
        <is>
          <t>Yuran</t>
        </is>
      </c>
      <c r="E59" s="44" t="n">
        <v>45901</v>
      </c>
      <c r="F59" s="44" t="n"/>
      <c r="G59" s="23" t="n"/>
      <c r="H59" s="23" t="n">
        <v>50</v>
      </c>
      <c r="I59" s="23" t="n"/>
      <c r="J59" s="23" t="n"/>
      <c r="K59" s="45">
        <f>IF(A59="","",SUM(G$2:I59)-SUM(J$2:J59))</f>
        <v/>
      </c>
      <c r="L59" s="46" t="n"/>
      <c r="M59">
        <f>IF(A59="","",IF(A59=A58,M58,N(M58)+1))</f>
        <v/>
      </c>
      <c r="N59">
        <f>IF(E59="",99999,E59)</f>
        <v/>
      </c>
      <c r="O59">
        <f>IF(E59="",0,IF(F59="",E59,F59))</f>
        <v/>
      </c>
      <c r="P59">
        <f>IF(E59="",1,MAX(1,(YEAR(O59)-YEAR(N59))*12+MONTH(O59)-MONTH(N59)+1))</f>
        <v/>
      </c>
      <c r="Q59">
        <f>IF(G59="",0,G59/P59)</f>
        <v/>
      </c>
      <c r="R59">
        <f>IF(H59="",0,H59/P59)</f>
        <v/>
      </c>
    </row>
    <row r="60">
      <c r="A60" s="43" t="n">
        <v>45944</v>
      </c>
      <c r="B60" s="28" t="inlineStr">
        <is>
          <t>Hadi (Sep 25)</t>
        </is>
      </c>
      <c r="C60" s="28" t="inlineStr">
        <is>
          <t>Hadi</t>
        </is>
      </c>
      <c r="D60" s="28" t="inlineStr">
        <is>
          <t>Yuran</t>
        </is>
      </c>
      <c r="E60" s="44" t="n">
        <v>45901</v>
      </c>
      <c r="F60" s="44" t="n"/>
      <c r="G60" s="23" t="n">
        <v>35</v>
      </c>
      <c r="H60" s="23" t="n">
        <v>50</v>
      </c>
      <c r="I60" s="23" t="n"/>
      <c r="J60" s="23" t="n"/>
      <c r="K60" s="45">
        <f>IF(A60="","",SUM(G$2:I60)-SUM(J$2:J60))</f>
        <v/>
      </c>
      <c r="L60" s="46" t="n"/>
      <c r="M60">
        <f>IF(A60="","",IF(A60=A59,M59,N(M59)+1))</f>
        <v/>
      </c>
      <c r="N60">
        <f>IF(E60="",99999,E60)</f>
        <v/>
      </c>
      <c r="O60">
        <f>IF(E60="",0,IF(F60="",E60,F60))</f>
        <v/>
      </c>
      <c r="P60">
        <f>IF(E60="",1,MAX(1,(YEAR(O60)-YEAR(N60))*12+MONTH(O60)-MONTH(N60)+1))</f>
        <v/>
      </c>
      <c r="Q60">
        <f>IF(G60="",0,G60/P60)</f>
        <v/>
      </c>
      <c r="R60">
        <f>IF(H60="",0,H60/P60)</f>
        <v/>
      </c>
    </row>
    <row r="61">
      <c r="A61" s="43" t="n">
        <v>45946</v>
      </c>
      <c r="B61" s="28" t="inlineStr">
        <is>
          <t>Bang Mie (Okt 25)</t>
        </is>
      </c>
      <c r="C61" s="28" t="inlineStr">
        <is>
          <t>Bang Mie</t>
        </is>
      </c>
      <c r="D61" s="28" t="inlineStr">
        <is>
          <t>Yuran</t>
        </is>
      </c>
      <c r="E61" s="44" t="n">
        <v>45931</v>
      </c>
      <c r="F61" s="44" t="n"/>
      <c r="G61" s="23" t="n">
        <v>35</v>
      </c>
      <c r="H61" s="23" t="n">
        <v>50</v>
      </c>
      <c r="I61" s="23" t="n"/>
      <c r="J61" s="23" t="n"/>
      <c r="K61" s="45">
        <f>IF(A61="","",SUM(G$2:I61)-SUM(J$2:J61))</f>
        <v/>
      </c>
      <c r="L61" s="46" t="n"/>
      <c r="M61">
        <f>IF(A61="","",IF(A61=A60,M60,N(M60)+1))</f>
        <v/>
      </c>
      <c r="N61">
        <f>IF(E61="",99999,E61)</f>
        <v/>
      </c>
      <c r="O61">
        <f>IF(E61="",0,IF(F61="",E61,F61))</f>
        <v/>
      </c>
      <c r="P61">
        <f>IF(E61="",1,MAX(1,(YEAR(O61)-YEAR(N61))*12+MONTH(O61)-MONTH(N61)+1))</f>
        <v/>
      </c>
      <c r="Q61">
        <f>IF(G61="",0,G61/P61)</f>
        <v/>
      </c>
      <c r="R61">
        <f>IF(H61="",0,H61/P61)</f>
        <v/>
      </c>
    </row>
    <row r="62">
      <c r="A62" s="43" t="n">
        <v>45946</v>
      </c>
      <c r="B62" s="28" t="inlineStr">
        <is>
          <t>Asnawi (Okt 25)</t>
        </is>
      </c>
      <c r="C62" s="28" t="inlineStr">
        <is>
          <t>Asnawi</t>
        </is>
      </c>
      <c r="D62" s="28" t="inlineStr">
        <is>
          <t>Yuran</t>
        </is>
      </c>
      <c r="E62" s="44" t="n">
        <v>45931</v>
      </c>
      <c r="F62" s="44" t="n"/>
      <c r="G62" s="23" t="n">
        <v>35</v>
      </c>
      <c r="H62" s="23" t="n">
        <v>50</v>
      </c>
      <c r="I62" s="23" t="n"/>
      <c r="J62" s="23" t="n"/>
      <c r="K62" s="45">
        <f>IF(A62="","",SUM(G$2:I62)-SUM(J$2:J62))</f>
        <v/>
      </c>
      <c r="L62" s="46" t="n"/>
      <c r="M62">
        <f>IF(A62="","",IF(A62=A61,M61,N(M61)+1))</f>
        <v/>
      </c>
      <c r="N62">
        <f>IF(E62="",99999,E62)</f>
        <v/>
      </c>
      <c r="O62">
        <f>IF(E62="",0,IF(F62="",E62,F62))</f>
        <v/>
      </c>
      <c r="P62">
        <f>IF(E62="",1,MAX(1,(YEAR(O62)-YEAR(N62))*12+MONTH(O62)-MONTH(N62)+1))</f>
        <v/>
      </c>
      <c r="Q62">
        <f>IF(G62="",0,G62/P62)</f>
        <v/>
      </c>
      <c r="R62">
        <f>IF(H62="",0,H62/P62)</f>
        <v/>
      </c>
    </row>
    <row r="63">
      <c r="A63" s="43" t="n">
        <v>45946</v>
      </c>
      <c r="B63" s="28" t="inlineStr">
        <is>
          <t>Boss Wan (Okt 25)</t>
        </is>
      </c>
      <c r="C63" s="28" t="inlineStr">
        <is>
          <t>Boss Wan</t>
        </is>
      </c>
      <c r="D63" s="28" t="inlineStr">
        <is>
          <t>Yuran</t>
        </is>
      </c>
      <c r="E63" s="44" t="n">
        <v>45931</v>
      </c>
      <c r="F63" s="44" t="n"/>
      <c r="G63" s="23" t="n">
        <v>35</v>
      </c>
      <c r="H63" s="23" t="n">
        <v>50</v>
      </c>
      <c r="I63" s="23" t="n"/>
      <c r="J63" s="23" t="n"/>
      <c r="K63" s="45">
        <f>IF(A63="","",SUM(G$2:I63)-SUM(J$2:J63))</f>
        <v/>
      </c>
      <c r="L63" s="46" t="n"/>
      <c r="M63">
        <f>IF(A63="","",IF(A63=A62,M62,N(M62)+1))</f>
        <v/>
      </c>
      <c r="N63">
        <f>IF(E63="",99999,E63)</f>
        <v/>
      </c>
      <c r="O63">
        <f>IF(E63="",0,IF(F63="",E63,F63))</f>
        <v/>
      </c>
      <c r="P63">
        <f>IF(E63="",1,MAX(1,(YEAR(O63)-YEAR(N63))*12+MONTH(O63)-MONTH(N63)+1))</f>
        <v/>
      </c>
      <c r="Q63">
        <f>IF(G63="",0,G63/P63)</f>
        <v/>
      </c>
      <c r="R63">
        <f>IF(H63="",0,H63/P63)</f>
        <v/>
      </c>
    </row>
    <row r="64">
      <c r="A64" s="43" t="n">
        <v>45947</v>
      </c>
      <c r="B64" s="28" t="inlineStr">
        <is>
          <t>Khairiri (Okt 25)</t>
        </is>
      </c>
      <c r="C64" s="28" t="inlineStr">
        <is>
          <t>Khairiri</t>
        </is>
      </c>
      <c r="D64" s="28" t="inlineStr">
        <is>
          <t>Yuran</t>
        </is>
      </c>
      <c r="E64" s="44" t="n">
        <v>45931</v>
      </c>
      <c r="F64" s="44" t="n"/>
      <c r="G64" s="23" t="n">
        <v>35</v>
      </c>
      <c r="H64" s="23" t="n">
        <v>50</v>
      </c>
      <c r="I64" s="23" t="n"/>
      <c r="J64" s="23" t="n"/>
      <c r="K64" s="45">
        <f>IF(A64="","",SUM(G$2:I64)-SUM(J$2:J64))</f>
        <v/>
      </c>
      <c r="L64" s="46" t="n"/>
      <c r="M64">
        <f>IF(A64="","",IF(A64=A63,M63,N(M63)+1))</f>
        <v/>
      </c>
      <c r="N64">
        <f>IF(E64="",99999,E64)</f>
        <v/>
      </c>
      <c r="O64">
        <f>IF(E64="",0,IF(F64="",E64,F64))</f>
        <v/>
      </c>
      <c r="P64">
        <f>IF(E64="",1,MAX(1,(YEAR(O64)-YEAR(N64))*12+MONTH(O64)-MONTH(N64)+1))</f>
        <v/>
      </c>
      <c r="Q64">
        <f>IF(G64="",0,G64/P64)</f>
        <v/>
      </c>
      <c r="R64">
        <f>IF(H64="",0,H64/P64)</f>
        <v/>
      </c>
    </row>
    <row r="65">
      <c r="A65" s="43" t="n">
        <v>45949</v>
      </c>
      <c r="B65" s="28" t="inlineStr">
        <is>
          <t>Chang (Okt 25)</t>
        </is>
      </c>
      <c r="C65" s="28" t="inlineStr">
        <is>
          <t>Chang</t>
        </is>
      </c>
      <c r="D65" s="28" t="inlineStr">
        <is>
          <t>Yuran</t>
        </is>
      </c>
      <c r="E65" s="44" t="n">
        <v>45931</v>
      </c>
      <c r="F65" s="44" t="n"/>
      <c r="G65" s="23" t="n">
        <v>35</v>
      </c>
      <c r="H65" s="23" t="n">
        <v>50</v>
      </c>
      <c r="I65" s="23" t="n"/>
      <c r="J65" s="23" t="n"/>
      <c r="K65" s="45">
        <f>IF(A65="","",SUM(G$2:I65)-SUM(J$2:J65))</f>
        <v/>
      </c>
      <c r="L65" s="46" t="n"/>
      <c r="M65">
        <f>IF(A65="","",IF(A65=A64,M64,N(M64)+1))</f>
        <v/>
      </c>
      <c r="N65">
        <f>IF(E65="",99999,E65)</f>
        <v/>
      </c>
      <c r="O65">
        <f>IF(E65="",0,IF(F65="",E65,F65))</f>
        <v/>
      </c>
      <c r="P65">
        <f>IF(E65="",1,MAX(1,(YEAR(O65)-YEAR(N65))*12+MONTH(O65)-MONTH(N65)+1))</f>
        <v/>
      </c>
      <c r="Q65">
        <f>IF(G65="",0,G65/P65)</f>
        <v/>
      </c>
      <c r="R65">
        <f>IF(H65="",0,H65/P65)</f>
        <v/>
      </c>
    </row>
    <row r="66">
      <c r="A66" s="43" t="n">
        <v>45954</v>
      </c>
      <c r="B66" s="28" t="inlineStr">
        <is>
          <t>Boss Khairil (Okt 25)</t>
        </is>
      </c>
      <c r="C66" s="28" t="inlineStr">
        <is>
          <t>Boss Khairil</t>
        </is>
      </c>
      <c r="D66" s="28" t="inlineStr">
        <is>
          <t>Yuran</t>
        </is>
      </c>
      <c r="E66" s="44" t="n">
        <v>45931</v>
      </c>
      <c r="F66" s="44" t="n"/>
      <c r="G66" s="23" t="n"/>
      <c r="H66" s="23" t="n">
        <v>50</v>
      </c>
      <c r="I66" s="23" t="n"/>
      <c r="J66" s="23" t="n"/>
      <c r="K66" s="45">
        <f>IF(A66="","",SUM(G$2:I66)-SUM(J$2:J66))</f>
        <v/>
      </c>
      <c r="L66" s="46" t="n"/>
      <c r="M66">
        <f>IF(A66="","",IF(A66=A65,M65,N(M65)+1))</f>
        <v/>
      </c>
      <c r="N66">
        <f>IF(E66="",99999,E66)</f>
        <v/>
      </c>
      <c r="O66">
        <f>IF(E66="",0,IF(F66="",E66,F66))</f>
        <v/>
      </c>
      <c r="P66">
        <f>IF(E66="",1,MAX(1,(YEAR(O66)-YEAR(N66))*12+MONTH(O66)-MONTH(N66)+1))</f>
        <v/>
      </c>
      <c r="Q66">
        <f>IF(G66="",0,G66/P66)</f>
        <v/>
      </c>
      <c r="R66">
        <f>IF(H66="",0,H66/P66)</f>
        <v/>
      </c>
    </row>
    <row r="67">
      <c r="A67" s="43" t="n">
        <v>45955</v>
      </c>
      <c r="B67" s="28" t="inlineStr">
        <is>
          <t>Ustaz (Okt 25)</t>
        </is>
      </c>
      <c r="C67" s="28" t="inlineStr">
        <is>
          <t>Ustaz</t>
        </is>
      </c>
      <c r="D67" s="28" t="inlineStr">
        <is>
          <t>Yuran</t>
        </is>
      </c>
      <c r="E67" s="44" t="n">
        <v>45931</v>
      </c>
      <c r="F67" s="44" t="n"/>
      <c r="G67" s="23" t="n"/>
      <c r="H67" s="23" t="n">
        <v>50</v>
      </c>
      <c r="I67" s="23" t="n"/>
      <c r="J67" s="23" t="n"/>
      <c r="K67" s="45">
        <f>IF(A67="","",SUM(G$2:I67)-SUM(J$2:J67))</f>
        <v/>
      </c>
      <c r="L67" s="46" t="n"/>
      <c r="M67">
        <f>IF(A67="","",IF(A67=A66,M66,N(M66)+1))</f>
        <v/>
      </c>
      <c r="N67">
        <f>IF(E67="",99999,E67)</f>
        <v/>
      </c>
      <c r="O67">
        <f>IF(E67="",0,IF(F67="",E67,F67))</f>
        <v/>
      </c>
      <c r="P67">
        <f>IF(E67="",1,MAX(1,(YEAR(O67)-YEAR(N67))*12+MONTH(O67)-MONTH(N67)+1))</f>
        <v/>
      </c>
      <c r="Q67">
        <f>IF(G67="",0,G67/P67)</f>
        <v/>
      </c>
      <c r="R67">
        <f>IF(H67="",0,H67/P67)</f>
        <v/>
      </c>
    </row>
    <row r="68">
      <c r="A68" s="43" t="n">
        <v>45958</v>
      </c>
      <c r="B68" s="28" t="inlineStr">
        <is>
          <t>Bayaran Duit Pantri - Asnawi</t>
        </is>
      </c>
      <c r="C68" s="28" t="inlineStr">
        <is>
          <t>Asnawi</t>
        </is>
      </c>
      <c r="D68" s="28" t="inlineStr">
        <is>
          <t>Duit Pantri</t>
        </is>
      </c>
      <c r="E68" s="44" t="n"/>
      <c r="F68" s="44" t="n"/>
      <c r="G68" s="23" t="n"/>
      <c r="H68" s="23" t="n"/>
      <c r="I68" s="23" t="n"/>
      <c r="J68" s="23" t="n">
        <v>60</v>
      </c>
      <c r="K68" s="45">
        <f>IF(A68="","",SUM(G$2:I68)-SUM(J$2:J68))</f>
        <v/>
      </c>
      <c r="L68" s="46" t="n"/>
      <c r="M68">
        <f>IF(A68="","",IF(A68=A67,M67,N(M67)+1))</f>
        <v/>
      </c>
      <c r="N68">
        <f>IF(E68="",99999,E68)</f>
        <v/>
      </c>
      <c r="O68">
        <f>IF(E68="",0,IF(F68="",E68,F68))</f>
        <v/>
      </c>
      <c r="P68">
        <f>IF(E68="",1,MAX(1,(YEAR(O68)-YEAR(N68))*12+MONTH(O68)-MONTH(N68)+1))</f>
        <v/>
      </c>
      <c r="Q68">
        <f>IF(G68="",0,G68/P68)</f>
        <v/>
      </c>
      <c r="R68">
        <f>IF(H68="",0,H68/P68)</f>
        <v/>
      </c>
    </row>
    <row r="69">
      <c r="A69" s="43" t="n">
        <v>45981</v>
      </c>
      <c r="B69" s="28" t="inlineStr">
        <is>
          <t>Bang Mie (Nov 25)</t>
        </is>
      </c>
      <c r="C69" s="28" t="inlineStr">
        <is>
          <t>Bang Mie</t>
        </is>
      </c>
      <c r="D69" s="28" t="inlineStr">
        <is>
          <t>Yuran</t>
        </is>
      </c>
      <c r="E69" s="44" t="n">
        <v>45962</v>
      </c>
      <c r="F69" s="44" t="n"/>
      <c r="G69" s="23" t="n">
        <v>35</v>
      </c>
      <c r="H69" s="23" t="n">
        <v>50</v>
      </c>
      <c r="I69" s="23" t="n"/>
      <c r="J69" s="23" t="n"/>
      <c r="K69" s="45">
        <f>IF(A69="","",SUM(G$2:I69)-SUM(J$2:J69))</f>
        <v/>
      </c>
      <c r="L69" s="46" t="n"/>
      <c r="M69">
        <f>IF(A69="","",IF(A69=A68,M68,N(M68)+1))</f>
        <v/>
      </c>
      <c r="N69">
        <f>IF(E69="",99999,E69)</f>
        <v/>
      </c>
      <c r="O69">
        <f>IF(E69="",0,IF(F69="",E69,F69))</f>
        <v/>
      </c>
      <c r="P69">
        <f>IF(E69="",1,MAX(1,(YEAR(O69)-YEAR(N69))*12+MONTH(O69)-MONTH(N69)+1))</f>
        <v/>
      </c>
      <c r="Q69">
        <f>IF(G69="",0,G69/P69)</f>
        <v/>
      </c>
      <c r="R69">
        <f>IF(H69="",0,H69/P69)</f>
        <v/>
      </c>
    </row>
    <row r="70">
      <c r="A70" s="43" t="n">
        <v>45981</v>
      </c>
      <c r="B70" s="28" t="inlineStr">
        <is>
          <t>Khairiri (Nov 25)</t>
        </is>
      </c>
      <c r="C70" s="28" t="inlineStr">
        <is>
          <t>Khairiri</t>
        </is>
      </c>
      <c r="D70" s="28" t="inlineStr">
        <is>
          <t>Yuran</t>
        </is>
      </c>
      <c r="E70" s="44" t="n">
        <v>45962</v>
      </c>
      <c r="F70" s="44" t="n"/>
      <c r="G70" s="23" t="n">
        <v>35</v>
      </c>
      <c r="H70" s="23" t="n">
        <v>50</v>
      </c>
      <c r="I70" s="23" t="n"/>
      <c r="J70" s="23" t="n"/>
      <c r="K70" s="45">
        <f>IF(A70="","",SUM(G$2:I70)-SUM(J$2:J70))</f>
        <v/>
      </c>
      <c r="L70" s="46" t="n"/>
      <c r="M70">
        <f>IF(A70="","",IF(A70=A69,M69,N(M69)+1))</f>
        <v/>
      </c>
      <c r="N70">
        <f>IF(E70="",99999,E70)</f>
        <v/>
      </c>
      <c r="O70">
        <f>IF(E70="",0,IF(F70="",E70,F70))</f>
        <v/>
      </c>
      <c r="P70">
        <f>IF(E70="",1,MAX(1,(YEAR(O70)-YEAR(N70))*12+MONTH(O70)-MONTH(N70)+1))</f>
        <v/>
      </c>
      <c r="Q70">
        <f>IF(G70="",0,G70/P70)</f>
        <v/>
      </c>
      <c r="R70">
        <f>IF(H70="",0,H70/P70)</f>
        <v/>
      </c>
    </row>
    <row r="71">
      <c r="A71" s="43" t="n">
        <v>45981</v>
      </c>
      <c r="B71" s="28" t="inlineStr">
        <is>
          <t>Ustaz (Nov 25)</t>
        </is>
      </c>
      <c r="C71" s="28" t="inlineStr">
        <is>
          <t>Ustaz</t>
        </is>
      </c>
      <c r="D71" s="28" t="inlineStr">
        <is>
          <t>Yuran</t>
        </is>
      </c>
      <c r="E71" s="44" t="n">
        <v>45962</v>
      </c>
      <c r="F71" s="44" t="n"/>
      <c r="G71" s="23" t="n"/>
      <c r="H71" s="23" t="n">
        <v>50</v>
      </c>
      <c r="I71" s="23" t="n"/>
      <c r="J71" s="23" t="n"/>
      <c r="K71" s="45">
        <f>IF(A71="","",SUM(G$2:I71)-SUM(J$2:J71))</f>
        <v/>
      </c>
      <c r="L71" s="46" t="n"/>
      <c r="M71">
        <f>IF(A71="","",IF(A71=A70,M70,N(M70)+1))</f>
        <v/>
      </c>
      <c r="N71">
        <f>IF(E71="",99999,E71)</f>
        <v/>
      </c>
      <c r="O71">
        <f>IF(E71="",0,IF(F71="",E71,F71))</f>
        <v/>
      </c>
      <c r="P71">
        <f>IF(E71="",1,MAX(1,(YEAR(O71)-YEAR(N71))*12+MONTH(O71)-MONTH(N71)+1))</f>
        <v/>
      </c>
      <c r="Q71">
        <f>IF(G71="",0,G71/P71)</f>
        <v/>
      </c>
      <c r="R71">
        <f>IF(H71="",0,H71/P71)</f>
        <v/>
      </c>
    </row>
    <row r="72">
      <c r="A72" s="43" t="n">
        <v>45982</v>
      </c>
      <c r="B72" s="28" t="inlineStr">
        <is>
          <t>Asnawi (Nov 25)</t>
        </is>
      </c>
      <c r="C72" s="28" t="inlineStr">
        <is>
          <t>Asnawi</t>
        </is>
      </c>
      <c r="D72" s="28" t="inlineStr">
        <is>
          <t>Yuran</t>
        </is>
      </c>
      <c r="E72" s="44" t="n">
        <v>45962</v>
      </c>
      <c r="F72" s="44" t="n"/>
      <c r="G72" s="23" t="n">
        <v>35</v>
      </c>
      <c r="H72" s="23" t="n">
        <v>50</v>
      </c>
      <c r="I72" s="23" t="n"/>
      <c r="J72" s="23" t="n"/>
      <c r="K72" s="45">
        <f>IF(A72="","",SUM(G$2:I72)-SUM(J$2:J72))</f>
        <v/>
      </c>
      <c r="L72" s="46" t="n"/>
      <c r="M72">
        <f>IF(A72="","",IF(A72=A71,M71,N(M71)+1))</f>
        <v/>
      </c>
      <c r="N72">
        <f>IF(E72="",99999,E72)</f>
        <v/>
      </c>
      <c r="O72">
        <f>IF(E72="",0,IF(F72="",E72,F72))</f>
        <v/>
      </c>
      <c r="P72">
        <f>IF(E72="",1,MAX(1,(YEAR(O72)-YEAR(N72))*12+MONTH(O72)-MONTH(N72)+1))</f>
        <v/>
      </c>
      <c r="Q72">
        <f>IF(G72="",0,G72/P72)</f>
        <v/>
      </c>
      <c r="R72">
        <f>IF(H72="",0,H72/P72)</f>
        <v/>
      </c>
    </row>
    <row r="73">
      <c r="A73" s="43" t="n">
        <v>45987</v>
      </c>
      <c r="B73" s="28" t="inlineStr">
        <is>
          <t>Hadi (Okt–Nov 25)</t>
        </is>
      </c>
      <c r="C73" s="28" t="inlineStr">
        <is>
          <t>Hadi</t>
        </is>
      </c>
      <c r="D73" s="28" t="inlineStr">
        <is>
          <t>Yuran</t>
        </is>
      </c>
      <c r="E73" s="44" t="n">
        <v>45931</v>
      </c>
      <c r="F73" s="44" t="n">
        <v>45962</v>
      </c>
      <c r="G73" s="23" t="n">
        <v>70</v>
      </c>
      <c r="H73" s="23" t="n">
        <v>100</v>
      </c>
      <c r="I73" s="23" t="n"/>
      <c r="J73" s="23" t="n"/>
      <c r="K73" s="45">
        <f>IF(A73="","",SUM(G$2:I73)-SUM(J$2:J73))</f>
        <v/>
      </c>
      <c r="L73" s="46" t="n"/>
      <c r="M73">
        <f>IF(A73="","",IF(A73=A72,M72,N(M72)+1))</f>
        <v/>
      </c>
      <c r="N73">
        <f>IF(E73="",99999,E73)</f>
        <v/>
      </c>
      <c r="O73">
        <f>IF(E73="",0,IF(F73="",E73,F73))</f>
        <v/>
      </c>
      <c r="P73">
        <f>IF(E73="",1,MAX(1,(YEAR(O73)-YEAR(N73))*12+MONTH(O73)-MONTH(N73)+1))</f>
        <v/>
      </c>
      <c r="Q73">
        <f>IF(G73="",0,G73/P73)</f>
        <v/>
      </c>
      <c r="R73">
        <f>IF(H73="",0,H73/P73)</f>
        <v/>
      </c>
    </row>
    <row r="74">
      <c r="A74" s="43" t="n">
        <v>45987</v>
      </c>
      <c r="B74" s="28" t="inlineStr">
        <is>
          <t>Hasnol (Okt–Dis 25)</t>
        </is>
      </c>
      <c r="C74" s="28" t="inlineStr">
        <is>
          <t>Hasnol</t>
        </is>
      </c>
      <c r="D74" s="28" t="inlineStr">
        <is>
          <t>Yuran</t>
        </is>
      </c>
      <c r="E74" s="44" t="n">
        <v>45931</v>
      </c>
      <c r="F74" s="44" t="n">
        <v>45992</v>
      </c>
      <c r="G74" s="23" t="n">
        <v>105</v>
      </c>
      <c r="H74" s="23" t="n"/>
      <c r="I74" s="23" t="n"/>
      <c r="J74" s="23" t="n"/>
      <c r="K74" s="45">
        <f>IF(A74="","",SUM(G$2:I74)-SUM(J$2:J74))</f>
        <v/>
      </c>
      <c r="L74" s="46" t="n"/>
      <c r="M74">
        <f>IF(A74="","",IF(A74=A73,M73,N(M73)+1))</f>
        <v/>
      </c>
      <c r="N74">
        <f>IF(E74="",99999,E74)</f>
        <v/>
      </c>
      <c r="O74">
        <f>IF(E74="",0,IF(F74="",E74,F74))</f>
        <v/>
      </c>
      <c r="P74">
        <f>IF(E74="",1,MAX(1,(YEAR(O74)-YEAR(N74))*12+MONTH(O74)-MONTH(N74)+1))</f>
        <v/>
      </c>
      <c r="Q74">
        <f>IF(G74="",0,G74/P74)</f>
        <v/>
      </c>
      <c r="R74">
        <f>IF(H74="",0,H74/P74)</f>
        <v/>
      </c>
    </row>
    <row r="75">
      <c r="A75" s="43" t="n">
        <v>45987</v>
      </c>
      <c r="B75" s="28" t="inlineStr">
        <is>
          <t>Wafi (Jul–Okt 25)</t>
        </is>
      </c>
      <c r="C75" s="28" t="inlineStr">
        <is>
          <t>Wafi</t>
        </is>
      </c>
      <c r="D75" s="28" t="inlineStr">
        <is>
          <t>Yuran</t>
        </is>
      </c>
      <c r="E75" s="44" t="n">
        <v>45839</v>
      </c>
      <c r="F75" s="44" t="n">
        <v>45931</v>
      </c>
      <c r="G75" s="23" t="n">
        <v>140</v>
      </c>
      <c r="H75" s="23" t="n"/>
      <c r="I75" s="23" t="n"/>
      <c r="J75" s="23" t="n"/>
      <c r="K75" s="45">
        <f>IF(A75="","",SUM(G$2:I75)-SUM(J$2:J75))</f>
        <v/>
      </c>
      <c r="L75" s="46" t="n"/>
      <c r="M75">
        <f>IF(A75="","",IF(A75=A74,M74,N(M74)+1))</f>
        <v/>
      </c>
      <c r="N75">
        <f>IF(E75="",99999,E75)</f>
        <v/>
      </c>
      <c r="O75">
        <f>IF(E75="",0,IF(F75="",E75,F75))</f>
        <v/>
      </c>
      <c r="P75">
        <f>IF(E75="",1,MAX(1,(YEAR(O75)-YEAR(N75))*12+MONTH(O75)-MONTH(N75)+1))</f>
        <v/>
      </c>
      <c r="Q75">
        <f>IF(G75="",0,G75/P75)</f>
        <v/>
      </c>
      <c r="R75">
        <f>IF(H75="",0,H75/P75)</f>
        <v/>
      </c>
    </row>
    <row r="76">
      <c r="A76" s="43" t="n">
        <v>45987</v>
      </c>
      <c r="B76" s="28" t="inlineStr">
        <is>
          <t>Boss Wan (Nov 25)</t>
        </is>
      </c>
      <c r="C76" s="28" t="inlineStr">
        <is>
          <t>Boss Wan</t>
        </is>
      </c>
      <c r="D76" s="28" t="inlineStr">
        <is>
          <t>Yuran</t>
        </is>
      </c>
      <c r="E76" s="44" t="n">
        <v>45962</v>
      </c>
      <c r="F76" s="44" t="n"/>
      <c r="G76" s="23" t="n">
        <v>35</v>
      </c>
      <c r="H76" s="23" t="n">
        <v>50</v>
      </c>
      <c r="I76" s="23" t="n"/>
      <c r="J76" s="23" t="n"/>
      <c r="K76" s="45">
        <f>IF(A76="","",SUM(G$2:I76)-SUM(J$2:J76))</f>
        <v/>
      </c>
      <c r="L76" s="46" t="n"/>
      <c r="M76">
        <f>IF(A76="","",IF(A76=A75,M75,N(M75)+1))</f>
        <v/>
      </c>
      <c r="N76">
        <f>IF(E76="",99999,E76)</f>
        <v/>
      </c>
      <c r="O76">
        <f>IF(E76="",0,IF(F76="",E76,F76))</f>
        <v/>
      </c>
      <c r="P76">
        <f>IF(E76="",1,MAX(1,(YEAR(O76)-YEAR(N76))*12+MONTH(O76)-MONTH(N76)+1))</f>
        <v/>
      </c>
      <c r="Q76">
        <f>IF(G76="",0,G76/P76)</f>
        <v/>
      </c>
      <c r="R76">
        <f>IF(H76="",0,H76/P76)</f>
        <v/>
      </c>
    </row>
    <row r="77">
      <c r="A77" s="43" t="n">
        <v>45987</v>
      </c>
      <c r="B77" s="28" t="inlineStr">
        <is>
          <t>Chang (Nov 25)</t>
        </is>
      </c>
      <c r="C77" s="28" t="inlineStr">
        <is>
          <t>Chang</t>
        </is>
      </c>
      <c r="D77" s="28" t="inlineStr">
        <is>
          <t>Yuran</t>
        </is>
      </c>
      <c r="E77" s="44" t="n">
        <v>45962</v>
      </c>
      <c r="F77" s="44" t="n"/>
      <c r="G77" s="23" t="n">
        <v>35</v>
      </c>
      <c r="H77" s="23" t="n">
        <v>50</v>
      </c>
      <c r="I77" s="23" t="n"/>
      <c r="J77" s="23" t="n"/>
      <c r="K77" s="45">
        <f>IF(A77="","",SUM(G$2:I77)-SUM(J$2:J77))</f>
        <v/>
      </c>
      <c r="L77" s="46" t="n"/>
      <c r="M77">
        <f>IF(A77="","",IF(A77=A76,M76,N(M76)+1))</f>
        <v/>
      </c>
      <c r="N77">
        <f>IF(E77="",99999,E77)</f>
        <v/>
      </c>
      <c r="O77">
        <f>IF(E77="",0,IF(F77="",E77,F77))</f>
        <v/>
      </c>
      <c r="P77">
        <f>IF(E77="",1,MAX(1,(YEAR(O77)-YEAR(N77))*12+MONTH(O77)-MONTH(N77)+1))</f>
        <v/>
      </c>
      <c r="Q77">
        <f>IF(G77="",0,G77/P77)</f>
        <v/>
      </c>
      <c r="R77">
        <f>IF(H77="",0,H77/P77)</f>
        <v/>
      </c>
    </row>
    <row r="78">
      <c r="A78" s="43" t="n">
        <v>45989</v>
      </c>
      <c r="B78" s="28" t="inlineStr">
        <is>
          <t>Bayaran Duit Pantri - Pembelian Filter Air</t>
        </is>
      </c>
      <c r="C78" s="28" t="n"/>
      <c r="D78" s="28" t="inlineStr">
        <is>
          <t>Duit Pantri</t>
        </is>
      </c>
      <c r="E78" s="44" t="n"/>
      <c r="F78" s="44" t="n"/>
      <c r="G78" s="23" t="n"/>
      <c r="H78" s="23" t="n"/>
      <c r="I78" s="23" t="n"/>
      <c r="J78" s="23" t="n">
        <v>20</v>
      </c>
      <c r="K78" s="45">
        <f>IF(A78="","",SUM(G$2:I78)-SUM(J$2:J78))</f>
        <v/>
      </c>
      <c r="L78" s="46" t="n"/>
      <c r="M78">
        <f>IF(A78="","",IF(A78=A77,M77,N(M77)+1))</f>
        <v/>
      </c>
      <c r="N78">
        <f>IF(E78="",99999,E78)</f>
        <v/>
      </c>
      <c r="O78">
        <f>IF(E78="",0,IF(F78="",E78,F78))</f>
        <v/>
      </c>
      <c r="P78">
        <f>IF(E78="",1,MAX(1,(YEAR(O78)-YEAR(N78))*12+MONTH(O78)-MONTH(N78)+1))</f>
        <v/>
      </c>
      <c r="Q78">
        <f>IF(G78="",0,G78/P78)</f>
        <v/>
      </c>
      <c r="R78">
        <f>IF(H78="",0,H78/P78)</f>
        <v/>
      </c>
    </row>
    <row r="79">
      <c r="A79" s="43" t="n">
        <v>45989</v>
      </c>
      <c r="B79" s="28" t="inlineStr">
        <is>
          <t>Bayaran Duit Pantri Lebihan - Asnawi</t>
        </is>
      </c>
      <c r="C79" s="28" t="inlineStr">
        <is>
          <t>Asnawi</t>
        </is>
      </c>
      <c r="D79" s="28" t="inlineStr">
        <is>
          <t>Duit Pantri</t>
        </is>
      </c>
      <c r="E79" s="44" t="n"/>
      <c r="F79" s="44" t="n"/>
      <c r="G79" s="23" t="n"/>
      <c r="H79" s="23" t="n"/>
      <c r="I79" s="23" t="n"/>
      <c r="J79" s="23" t="n">
        <v>40</v>
      </c>
      <c r="K79" s="45">
        <f>IF(A79="","",SUM(G$2:I79)-SUM(J$2:J79))</f>
        <v/>
      </c>
      <c r="L79" s="46" t="n"/>
      <c r="M79">
        <f>IF(A79="","",IF(A79=A78,M78,N(M78)+1))</f>
        <v/>
      </c>
      <c r="N79">
        <f>IF(E79="",99999,E79)</f>
        <v/>
      </c>
      <c r="O79">
        <f>IF(E79="",0,IF(F79="",E79,F79))</f>
        <v/>
      </c>
      <c r="P79">
        <f>IF(E79="",1,MAX(1,(YEAR(O79)-YEAR(N79))*12+MONTH(O79)-MONTH(N79)+1))</f>
        <v/>
      </c>
      <c r="Q79">
        <f>IF(G79="",0,G79/P79)</f>
        <v/>
      </c>
      <c r="R79">
        <f>IF(H79="",0,H79/P79)</f>
        <v/>
      </c>
    </row>
    <row r="80">
      <c r="A80" s="43" t="n">
        <v>45992</v>
      </c>
      <c r="B80" s="28" t="inlineStr">
        <is>
          <t>Majlis KKGS - Aiman (Boling + Makan)</t>
        </is>
      </c>
      <c r="C80" s="28" t="inlineStr">
        <is>
          <t>Aiman</t>
        </is>
      </c>
      <c r="D80" s="28" t="inlineStr">
        <is>
          <t>Majlis</t>
        </is>
      </c>
      <c r="E80" s="44" t="n"/>
      <c r="F80" s="44" t="n"/>
      <c r="G80" s="23" t="n"/>
      <c r="H80" s="23" t="n"/>
      <c r="I80" s="23" t="n">
        <v>60</v>
      </c>
      <c r="J80" s="23" t="n"/>
      <c r="K80" s="45">
        <f>IF(A80="","",SUM(G$2:I80)-SUM(J$2:J80))</f>
        <v/>
      </c>
      <c r="L80" s="46" t="n"/>
      <c r="M80">
        <f>IF(A80="","",IF(A80=A79,M79,N(M79)+1))</f>
        <v/>
      </c>
      <c r="N80">
        <f>IF(E80="",99999,E80)</f>
        <v/>
      </c>
      <c r="O80">
        <f>IF(E80="",0,IF(F80="",E80,F80))</f>
        <v/>
      </c>
      <c r="P80">
        <f>IF(E80="",1,MAX(1,(YEAR(O80)-YEAR(N80))*12+MONTH(O80)-MONTH(N80)+1))</f>
        <v/>
      </c>
      <c r="Q80">
        <f>IF(G80="",0,G80/P80)</f>
        <v/>
      </c>
      <c r="R80">
        <f>IF(H80="",0,H80/P80)</f>
        <v/>
      </c>
    </row>
    <row r="81">
      <c r="A81" s="43" t="n">
        <v>45992</v>
      </c>
      <c r="B81" s="28" t="inlineStr">
        <is>
          <t>Majlis KKGS - Asnawi</t>
        </is>
      </c>
      <c r="C81" s="28" t="inlineStr">
        <is>
          <t>Asnawi</t>
        </is>
      </c>
      <c r="D81" s="28" t="inlineStr">
        <is>
          <t>Majlis</t>
        </is>
      </c>
      <c r="E81" s="44" t="n"/>
      <c r="F81" s="44" t="n"/>
      <c r="G81" s="23" t="n"/>
      <c r="H81" s="23" t="n"/>
      <c r="I81" s="23" t="n">
        <v>20</v>
      </c>
      <c r="J81" s="23" t="n"/>
      <c r="K81" s="45">
        <f>IF(A81="","",SUM(G$2:I81)-SUM(J$2:J81))</f>
        <v/>
      </c>
      <c r="L81" s="46" t="n"/>
      <c r="M81">
        <f>IF(A81="","",IF(A81=A80,M80,N(M80)+1))</f>
        <v/>
      </c>
      <c r="N81">
        <f>IF(E81="",99999,E81)</f>
        <v/>
      </c>
      <c r="O81">
        <f>IF(E81="",0,IF(F81="",E81,F81))</f>
        <v/>
      </c>
      <c r="P81">
        <f>IF(E81="",1,MAX(1,(YEAR(O81)-YEAR(N81))*12+MONTH(O81)-MONTH(N81)+1))</f>
        <v/>
      </c>
      <c r="Q81">
        <f>IF(G81="",0,G81/P81)</f>
        <v/>
      </c>
      <c r="R81">
        <f>IF(H81="",0,H81/P81)</f>
        <v/>
      </c>
    </row>
    <row r="82">
      <c r="A82" s="43" t="n">
        <v>45992</v>
      </c>
      <c r="B82" s="28" t="inlineStr">
        <is>
          <t>Majlis KKGS - Ustaz</t>
        </is>
      </c>
      <c r="C82" s="28" t="inlineStr">
        <is>
          <t>Ustaz</t>
        </is>
      </c>
      <c r="D82" s="28" t="inlineStr">
        <is>
          <t>Majlis</t>
        </is>
      </c>
      <c r="E82" s="44" t="n"/>
      <c r="F82" s="44" t="n"/>
      <c r="G82" s="23" t="n"/>
      <c r="H82" s="23" t="n"/>
      <c r="I82" s="23" t="n">
        <v>20</v>
      </c>
      <c r="J82" s="23" t="n"/>
      <c r="K82" s="45">
        <f>IF(A82="","",SUM(G$2:I82)-SUM(J$2:J82))</f>
        <v/>
      </c>
      <c r="L82" s="46" t="n"/>
      <c r="M82">
        <f>IF(A82="","",IF(A82=A81,M81,N(M81)+1))</f>
        <v/>
      </c>
      <c r="N82">
        <f>IF(E82="",99999,E82)</f>
        <v/>
      </c>
      <c r="O82">
        <f>IF(E82="",0,IF(F82="",E82,F82))</f>
        <v/>
      </c>
      <c r="P82">
        <f>IF(E82="",1,MAX(1,(YEAR(O82)-YEAR(N82))*12+MONTH(O82)-MONTH(N82)+1))</f>
        <v/>
      </c>
      <c r="Q82">
        <f>IF(G82="",0,G82/P82)</f>
        <v/>
      </c>
      <c r="R82">
        <f>IF(H82="",0,H82/P82)</f>
        <v/>
      </c>
    </row>
    <row r="83">
      <c r="A83" s="43" t="n">
        <v>45992</v>
      </c>
      <c r="B83" s="28" t="inlineStr">
        <is>
          <t>Majlis KKGS - Boss Wan</t>
        </is>
      </c>
      <c r="C83" s="28" t="inlineStr">
        <is>
          <t>Boss Wan</t>
        </is>
      </c>
      <c r="D83" s="28" t="inlineStr">
        <is>
          <t>Majlis</t>
        </is>
      </c>
      <c r="E83" s="44" t="n"/>
      <c r="F83" s="44" t="n"/>
      <c r="G83" s="23" t="n"/>
      <c r="H83" s="23" t="n"/>
      <c r="I83" s="23" t="n">
        <v>20</v>
      </c>
      <c r="J83" s="23" t="n"/>
      <c r="K83" s="45">
        <f>IF(A83="","",SUM(G$2:I83)-SUM(J$2:J83))</f>
        <v/>
      </c>
      <c r="L83" s="46" t="n"/>
      <c r="M83">
        <f>IF(A83="","",IF(A83=A82,M82,N(M82)+1))</f>
        <v/>
      </c>
      <c r="N83">
        <f>IF(E83="",99999,E83)</f>
        <v/>
      </c>
      <c r="O83">
        <f>IF(E83="",0,IF(F83="",E83,F83))</f>
        <v/>
      </c>
      <c r="P83">
        <f>IF(E83="",1,MAX(1,(YEAR(O83)-YEAR(N83))*12+MONTH(O83)-MONTH(N83)+1))</f>
        <v/>
      </c>
      <c r="Q83">
        <f>IF(G83="",0,G83/P83)</f>
        <v/>
      </c>
      <c r="R83">
        <f>IF(H83="",0,H83/P83)</f>
        <v/>
      </c>
    </row>
    <row r="84">
      <c r="A84" s="43" t="n">
        <v>45992</v>
      </c>
      <c r="B84" s="28" t="inlineStr">
        <is>
          <t>Majlis KKGS - Chang</t>
        </is>
      </c>
      <c r="C84" s="28" t="inlineStr">
        <is>
          <t>Chang</t>
        </is>
      </c>
      <c r="D84" s="28" t="inlineStr">
        <is>
          <t>Majlis</t>
        </is>
      </c>
      <c r="E84" s="44" t="n"/>
      <c r="F84" s="44" t="n"/>
      <c r="G84" s="23" t="n"/>
      <c r="H84" s="23" t="n"/>
      <c r="I84" s="23" t="n">
        <v>20</v>
      </c>
      <c r="J84" s="23" t="n"/>
      <c r="K84" s="45">
        <f>IF(A84="","",SUM(G$2:I84)-SUM(J$2:J84))</f>
        <v/>
      </c>
      <c r="L84" s="46" t="n"/>
      <c r="M84">
        <f>IF(A84="","",IF(A84=A83,M83,N(M83)+1))</f>
        <v/>
      </c>
      <c r="N84">
        <f>IF(E84="",99999,E84)</f>
        <v/>
      </c>
      <c r="O84">
        <f>IF(E84="",0,IF(F84="",E84,F84))</f>
        <v/>
      </c>
      <c r="P84">
        <f>IF(E84="",1,MAX(1,(YEAR(O84)-YEAR(N84))*12+MONTH(O84)-MONTH(N84)+1))</f>
        <v/>
      </c>
      <c r="Q84">
        <f>IF(G84="",0,G84/P84)</f>
        <v/>
      </c>
      <c r="R84">
        <f>IF(H84="",0,H84/P84)</f>
        <v/>
      </c>
    </row>
    <row r="85">
      <c r="A85" s="43" t="n">
        <v>45992</v>
      </c>
      <c r="B85" s="28" t="inlineStr">
        <is>
          <t>Majlis KKGS - Hadi</t>
        </is>
      </c>
      <c r="C85" s="28" t="inlineStr">
        <is>
          <t>Hadi</t>
        </is>
      </c>
      <c r="D85" s="28" t="inlineStr">
        <is>
          <t>Majlis</t>
        </is>
      </c>
      <c r="E85" s="44" t="n"/>
      <c r="F85" s="44" t="n"/>
      <c r="G85" s="23" t="n"/>
      <c r="H85" s="23" t="n"/>
      <c r="I85" s="23" t="n">
        <v>20</v>
      </c>
      <c r="J85" s="23" t="n"/>
      <c r="K85" s="45">
        <f>IF(A85="","",SUM(G$2:I85)-SUM(J$2:J85))</f>
        <v/>
      </c>
      <c r="L85" s="46" t="n"/>
      <c r="M85">
        <f>IF(A85="","",IF(A85=A84,M84,N(M84)+1))</f>
        <v/>
      </c>
      <c r="N85">
        <f>IF(E85="",99999,E85)</f>
        <v/>
      </c>
      <c r="O85">
        <f>IF(E85="",0,IF(F85="",E85,F85))</f>
        <v/>
      </c>
      <c r="P85">
        <f>IF(E85="",1,MAX(1,(YEAR(O85)-YEAR(N85))*12+MONTH(O85)-MONTH(N85)+1))</f>
        <v/>
      </c>
      <c r="Q85">
        <f>IF(G85="",0,G85/P85)</f>
        <v/>
      </c>
      <c r="R85">
        <f>IF(H85="",0,H85/P85)</f>
        <v/>
      </c>
    </row>
    <row r="86">
      <c r="A86" s="43" t="n">
        <v>45992</v>
      </c>
      <c r="B86" s="28" t="inlineStr">
        <is>
          <t>Majlis KKGS - Boss Khairil</t>
        </is>
      </c>
      <c r="C86" s="28" t="inlineStr">
        <is>
          <t>Boss Khairil</t>
        </is>
      </c>
      <c r="D86" s="28" t="inlineStr">
        <is>
          <t>Majlis</t>
        </is>
      </c>
      <c r="E86" s="44" t="n"/>
      <c r="F86" s="44" t="n"/>
      <c r="G86" s="23" t="n"/>
      <c r="H86" s="23" t="n"/>
      <c r="I86" s="23" t="n">
        <v>20</v>
      </c>
      <c r="J86" s="23" t="n"/>
      <c r="K86" s="45">
        <f>IF(A86="","",SUM(G$2:I86)-SUM(J$2:J86))</f>
        <v/>
      </c>
      <c r="L86" s="46" t="n"/>
      <c r="M86">
        <f>IF(A86="","",IF(A86=A85,M85,N(M85)+1))</f>
        <v/>
      </c>
      <c r="N86">
        <f>IF(E86="",99999,E86)</f>
        <v/>
      </c>
      <c r="O86">
        <f>IF(E86="",0,IF(F86="",E86,F86))</f>
        <v/>
      </c>
      <c r="P86">
        <f>IF(E86="",1,MAX(1,(YEAR(O86)-YEAR(N86))*12+MONTH(O86)-MONTH(N86)+1))</f>
        <v/>
      </c>
      <c r="Q86">
        <f>IF(G86="",0,G86/P86)</f>
        <v/>
      </c>
      <c r="R86">
        <f>IF(H86="",0,H86/P86)</f>
        <v/>
      </c>
    </row>
    <row r="87">
      <c r="A87" s="43" t="n">
        <v>45993</v>
      </c>
      <c r="B87" s="28" t="inlineStr">
        <is>
          <t>Majlis KKGS - Hasnol</t>
        </is>
      </c>
      <c r="C87" s="28" t="inlineStr">
        <is>
          <t>Hasnol</t>
        </is>
      </c>
      <c r="D87" s="28" t="inlineStr">
        <is>
          <t>Majlis</t>
        </is>
      </c>
      <c r="E87" s="44" t="n"/>
      <c r="F87" s="44" t="n"/>
      <c r="G87" s="23" t="n"/>
      <c r="H87" s="23" t="n"/>
      <c r="I87" s="23" t="n">
        <v>20</v>
      </c>
      <c r="J87" s="23" t="n"/>
      <c r="K87" s="45">
        <f>IF(A87="","",SUM(G$2:I87)-SUM(J$2:J87))</f>
        <v/>
      </c>
      <c r="L87" s="46" t="n"/>
      <c r="M87">
        <f>IF(A87="","",IF(A87=A86,M86,N(M86)+1))</f>
        <v/>
      </c>
      <c r="N87">
        <f>IF(E87="",99999,E87)</f>
        <v/>
      </c>
      <c r="O87">
        <f>IF(E87="",0,IF(F87="",E87,F87))</f>
        <v/>
      </c>
      <c r="P87">
        <f>IF(E87="",1,MAX(1,(YEAR(O87)-YEAR(N87))*12+MONTH(O87)-MONTH(N87)+1))</f>
        <v/>
      </c>
      <c r="Q87">
        <f>IF(G87="",0,G87/P87)</f>
        <v/>
      </c>
      <c r="R87">
        <f>IF(H87="",0,H87/P87)</f>
        <v/>
      </c>
    </row>
    <row r="88">
      <c r="A88" s="43" t="n">
        <v>45993</v>
      </c>
      <c r="B88" s="28" t="inlineStr">
        <is>
          <t>Hamper Boling - Asnawi</t>
        </is>
      </c>
      <c r="C88" s="28" t="inlineStr">
        <is>
          <t>Asnawi</t>
        </is>
      </c>
      <c r="D88" s="28" t="inlineStr">
        <is>
          <t>Majlis &amp; Hadiah</t>
        </is>
      </c>
      <c r="E88" s="44" t="n"/>
      <c r="F88" s="44" t="n"/>
      <c r="G88" s="23" t="n"/>
      <c r="H88" s="23" t="n"/>
      <c r="I88" s="23" t="n"/>
      <c r="J88" s="23" t="n">
        <v>100</v>
      </c>
      <c r="K88" s="45">
        <f>IF(A88="","",SUM(G$2:I88)-SUM(J$2:J88))</f>
        <v/>
      </c>
      <c r="L88" s="46" t="n"/>
      <c r="M88">
        <f>IF(A88="","",IF(A88=A87,M87,N(M87)+1))</f>
        <v/>
      </c>
      <c r="N88">
        <f>IF(E88="",99999,E88)</f>
        <v/>
      </c>
      <c r="O88">
        <f>IF(E88="",0,IF(F88="",E88,F88))</f>
        <v/>
      </c>
      <c r="P88">
        <f>IF(E88="",1,MAX(1,(YEAR(O88)-YEAR(N88))*12+MONTH(O88)-MONTH(N88)+1))</f>
        <v/>
      </c>
      <c r="Q88">
        <f>IF(G88="",0,G88/P88)</f>
        <v/>
      </c>
      <c r="R88">
        <f>IF(H88="",0,H88/P88)</f>
        <v/>
      </c>
    </row>
    <row r="89">
      <c r="A89" s="43" t="n">
        <v>45994</v>
      </c>
      <c r="B89" s="28" t="inlineStr">
        <is>
          <t>Bayaran Boling + Makan (Majlis KKGS)</t>
        </is>
      </c>
      <c r="C89" s="28" t="n"/>
      <c r="D89" s="28" t="inlineStr">
        <is>
          <t>Majlis &amp; Hadiah</t>
        </is>
      </c>
      <c r="E89" s="44" t="n"/>
      <c r="F89" s="44" t="n"/>
      <c r="G89" s="23" t="n"/>
      <c r="H89" s="23" t="n"/>
      <c r="I89" s="23" t="n"/>
      <c r="J89" s="23" t="n">
        <v>900</v>
      </c>
      <c r="K89" s="45">
        <f>IF(A89="","",SUM(G$2:I89)-SUM(J$2:J89))</f>
        <v/>
      </c>
      <c r="L89" s="46" t="n"/>
      <c r="M89">
        <f>IF(A89="","",IF(A89=A88,M88,N(M88)+1))</f>
        <v/>
      </c>
      <c r="N89">
        <f>IF(E89="",99999,E89)</f>
        <v/>
      </c>
      <c r="O89">
        <f>IF(E89="",0,IF(F89="",E89,F89))</f>
        <v/>
      </c>
      <c r="P89">
        <f>IF(E89="",1,MAX(1,(YEAR(O89)-YEAR(N89))*12+MONTH(O89)-MONTH(N89)+1))</f>
        <v/>
      </c>
      <c r="Q89">
        <f>IF(G89="",0,G89/P89)</f>
        <v/>
      </c>
      <c r="R89">
        <f>IF(H89="",0,H89/P89)</f>
        <v/>
      </c>
    </row>
    <row r="90">
      <c r="A90" s="43" t="n">
        <v>45994</v>
      </c>
      <c r="B90" s="28" t="inlineStr">
        <is>
          <t>Majlis KKGS - Joe</t>
        </is>
      </c>
      <c r="C90" s="28" t="inlineStr">
        <is>
          <t>Joe</t>
        </is>
      </c>
      <c r="D90" s="28" t="inlineStr">
        <is>
          <t>Majlis</t>
        </is>
      </c>
      <c r="E90" s="44" t="n"/>
      <c r="F90" s="44" t="n"/>
      <c r="G90" s="23" t="n"/>
      <c r="H90" s="23" t="n"/>
      <c r="I90" s="23" t="n">
        <v>20</v>
      </c>
      <c r="J90" s="23" t="n"/>
      <c r="K90" s="45">
        <f>IF(A90="","",SUM(G$2:I90)-SUM(J$2:J90))</f>
        <v/>
      </c>
      <c r="L90" s="46" t="n"/>
      <c r="M90">
        <f>IF(A90="","",IF(A90=A89,M89,N(M89)+1))</f>
        <v/>
      </c>
      <c r="N90">
        <f>IF(E90="",99999,E90)</f>
        <v/>
      </c>
      <c r="O90">
        <f>IF(E90="",0,IF(F90="",E90,F90))</f>
        <v/>
      </c>
      <c r="P90">
        <f>IF(E90="",1,MAX(1,(YEAR(O90)-YEAR(N90))*12+MONTH(O90)-MONTH(N90)+1))</f>
        <v/>
      </c>
      <c r="Q90">
        <f>IF(G90="",0,G90/P90)</f>
        <v/>
      </c>
      <c r="R90">
        <f>IF(H90="",0,H90/P90)</f>
        <v/>
      </c>
    </row>
    <row r="91">
      <c r="A91" s="43" t="n">
        <v>45994</v>
      </c>
      <c r="B91" s="28" t="inlineStr">
        <is>
          <t>Majlis KKGS - Wafi</t>
        </is>
      </c>
      <c r="C91" s="28" t="inlineStr">
        <is>
          <t>Wafi</t>
        </is>
      </c>
      <c r="D91" s="28" t="inlineStr">
        <is>
          <t>Majlis</t>
        </is>
      </c>
      <c r="E91" s="44" t="n"/>
      <c r="F91" s="44" t="n"/>
      <c r="G91" s="23" t="n"/>
      <c r="H91" s="23" t="n"/>
      <c r="I91" s="23" t="n">
        <v>20</v>
      </c>
      <c r="J91" s="23" t="n"/>
      <c r="K91" s="45">
        <f>IF(A91="","",SUM(G$2:I91)-SUM(J$2:J91))</f>
        <v/>
      </c>
      <c r="L91" s="46" t="n"/>
      <c r="M91">
        <f>IF(A91="","",IF(A91=A90,M90,N(M90)+1))</f>
        <v/>
      </c>
      <c r="N91">
        <f>IF(E91="",99999,E91)</f>
        <v/>
      </c>
      <c r="O91">
        <f>IF(E91="",0,IF(F91="",E91,F91))</f>
        <v/>
      </c>
      <c r="P91">
        <f>IF(E91="",1,MAX(1,(YEAR(O91)-YEAR(N91))*12+MONTH(O91)-MONTH(N91)+1))</f>
        <v/>
      </c>
      <c r="Q91">
        <f>IF(G91="",0,G91/P91)</f>
        <v/>
      </c>
      <c r="R91">
        <f>IF(H91="",0,H91/P91)</f>
        <v/>
      </c>
    </row>
    <row r="92">
      <c r="A92" s="43" t="n">
        <v>45994</v>
      </c>
      <c r="B92" s="28" t="inlineStr">
        <is>
          <t>Majlis KKGS - Amir</t>
        </is>
      </c>
      <c r="C92" s="28" t="inlineStr">
        <is>
          <t>Amir</t>
        </is>
      </c>
      <c r="D92" s="28" t="inlineStr">
        <is>
          <t>Majlis</t>
        </is>
      </c>
      <c r="E92" s="44" t="n"/>
      <c r="F92" s="44" t="n"/>
      <c r="G92" s="23" t="n"/>
      <c r="H92" s="23" t="n"/>
      <c r="I92" s="23" t="n">
        <v>20</v>
      </c>
      <c r="J92" s="23" t="n"/>
      <c r="K92" s="45">
        <f>IF(A92="","",SUM(G$2:I92)-SUM(J$2:J92))</f>
        <v/>
      </c>
      <c r="L92" s="46" t="n"/>
      <c r="M92">
        <f>IF(A92="","",IF(A92=A91,M91,N(M91)+1))</f>
        <v/>
      </c>
      <c r="N92">
        <f>IF(E92="",99999,E92)</f>
        <v/>
      </c>
      <c r="O92">
        <f>IF(E92="",0,IF(F92="",E92,F92))</f>
        <v/>
      </c>
      <c r="P92">
        <f>IF(E92="",1,MAX(1,(YEAR(O92)-YEAR(N92))*12+MONTH(O92)-MONTH(N92)+1))</f>
        <v/>
      </c>
      <c r="Q92">
        <f>IF(G92="",0,G92/P92)</f>
        <v/>
      </c>
      <c r="R92">
        <f>IF(H92="",0,H92/P92)</f>
        <v/>
      </c>
    </row>
    <row r="93">
      <c r="A93" s="43" t="n">
        <v>45994</v>
      </c>
      <c r="B93" s="28" t="inlineStr">
        <is>
          <t>Majlis KKGS - Khairiri</t>
        </is>
      </c>
      <c r="C93" s="28" t="inlineStr">
        <is>
          <t>Khairiri</t>
        </is>
      </c>
      <c r="D93" s="28" t="inlineStr">
        <is>
          <t>Majlis</t>
        </is>
      </c>
      <c r="E93" s="44" t="n"/>
      <c r="F93" s="44" t="n"/>
      <c r="G93" s="23" t="n"/>
      <c r="H93" s="23" t="n"/>
      <c r="I93" s="23" t="n">
        <v>20</v>
      </c>
      <c r="J93" s="23" t="n"/>
      <c r="K93" s="45">
        <f>IF(A93="","",SUM(G$2:I93)-SUM(J$2:J93))</f>
        <v/>
      </c>
      <c r="L93" s="46" t="n"/>
      <c r="M93">
        <f>IF(A93="","",IF(A93=A92,M92,N(M92)+1))</f>
        <v/>
      </c>
      <c r="N93">
        <f>IF(E93="",99999,E93)</f>
        <v/>
      </c>
      <c r="O93">
        <f>IF(E93="",0,IF(F93="",E93,F93))</f>
        <v/>
      </c>
      <c r="P93">
        <f>IF(E93="",1,MAX(1,(YEAR(O93)-YEAR(N93))*12+MONTH(O93)-MONTH(N93)+1))</f>
        <v/>
      </c>
      <c r="Q93">
        <f>IF(G93="",0,G93/P93)</f>
        <v/>
      </c>
      <c r="R93">
        <f>IF(H93="",0,H93/P93)</f>
        <v/>
      </c>
    </row>
    <row r="94">
      <c r="A94" s="43" t="n">
        <v>45994</v>
      </c>
      <c r="B94" s="28" t="inlineStr">
        <is>
          <t>Majlis KKGS - Kuchai (Lamb Chop)</t>
        </is>
      </c>
      <c r="C94" s="28" t="inlineStr">
        <is>
          <t>Kuchai</t>
        </is>
      </c>
      <c r="D94" s="28" t="inlineStr">
        <is>
          <t>Majlis</t>
        </is>
      </c>
      <c r="E94" s="44" t="n"/>
      <c r="F94" s="44" t="n"/>
      <c r="G94" s="23" t="n"/>
      <c r="H94" s="23" t="n"/>
      <c r="I94" s="23" t="n">
        <v>30</v>
      </c>
      <c r="J94" s="23" t="n"/>
      <c r="K94" s="45">
        <f>IF(A94="","",SUM(G$2:I94)-SUM(J$2:J94))</f>
        <v/>
      </c>
      <c r="L94" s="46" t="n"/>
      <c r="M94">
        <f>IF(A94="","",IF(A94=A93,M93,N(M93)+1))</f>
        <v/>
      </c>
      <c r="N94">
        <f>IF(E94="",99999,E94)</f>
        <v/>
      </c>
      <c r="O94">
        <f>IF(E94="",0,IF(F94="",E94,F94))</f>
        <v/>
      </c>
      <c r="P94">
        <f>IF(E94="",1,MAX(1,(YEAR(O94)-YEAR(N94))*12+MONTH(O94)-MONTH(N94)+1))</f>
        <v/>
      </c>
      <c r="Q94">
        <f>IF(G94="",0,G94/P94)</f>
        <v/>
      </c>
      <c r="R94">
        <f>IF(H94="",0,H94/P94)</f>
        <v/>
      </c>
    </row>
    <row r="95">
      <c r="A95" s="43" t="n">
        <v>45994</v>
      </c>
      <c r="B95" s="28" t="inlineStr">
        <is>
          <t>Majlis KKGS - Hasnol (Lamb Chop)</t>
        </is>
      </c>
      <c r="C95" s="28" t="inlineStr">
        <is>
          <t>Hasnol</t>
        </is>
      </c>
      <c r="D95" s="28" t="inlineStr">
        <is>
          <t>Majlis</t>
        </is>
      </c>
      <c r="E95" s="44" t="n"/>
      <c r="F95" s="44" t="n"/>
      <c r="G95" s="23" t="n"/>
      <c r="H95" s="23" t="n"/>
      <c r="I95" s="23" t="n">
        <v>10</v>
      </c>
      <c r="J95" s="23" t="n"/>
      <c r="K95" s="45">
        <f>IF(A95="","",SUM(G$2:I95)-SUM(J$2:J95))</f>
        <v/>
      </c>
      <c r="L95" s="46" t="n"/>
      <c r="M95">
        <f>IF(A95="","",IF(A95=A94,M94,N(M94)+1))</f>
        <v/>
      </c>
      <c r="N95">
        <f>IF(E95="",99999,E95)</f>
        <v/>
      </c>
      <c r="O95">
        <f>IF(E95="",0,IF(F95="",E95,F95))</f>
        <v/>
      </c>
      <c r="P95">
        <f>IF(E95="",1,MAX(1,(YEAR(O95)-YEAR(N95))*12+MONTH(O95)-MONTH(N95)+1))</f>
        <v/>
      </c>
      <c r="Q95">
        <f>IF(G95="",0,G95/P95)</f>
        <v/>
      </c>
      <c r="R95">
        <f>IF(H95="",0,H95/P95)</f>
        <v/>
      </c>
    </row>
    <row r="96">
      <c r="A96" s="43" t="n">
        <v>45994</v>
      </c>
      <c r="B96" s="28" t="inlineStr">
        <is>
          <t>Joe (Okt–Nov 25)</t>
        </is>
      </c>
      <c r="C96" s="28" t="inlineStr">
        <is>
          <t>Joe</t>
        </is>
      </c>
      <c r="D96" s="28" t="inlineStr">
        <is>
          <t>Yuran</t>
        </is>
      </c>
      <c r="E96" s="44" t="n">
        <v>45931</v>
      </c>
      <c r="F96" s="44" t="n">
        <v>45962</v>
      </c>
      <c r="G96" s="23" t="n">
        <v>70</v>
      </c>
      <c r="H96" s="23" t="n">
        <v>100</v>
      </c>
      <c r="I96" s="23" t="n"/>
      <c r="J96" s="23" t="n"/>
      <c r="K96" s="45">
        <f>IF(A96="","",SUM(G$2:I96)-SUM(J$2:J96))</f>
        <v/>
      </c>
      <c r="L96" s="46" t="n"/>
      <c r="M96">
        <f>IF(A96="","",IF(A96=A95,M95,N(M95)+1))</f>
        <v/>
      </c>
      <c r="N96">
        <f>IF(E96="",99999,E96)</f>
        <v/>
      </c>
      <c r="O96">
        <f>IF(E96="",0,IF(F96="",E96,F96))</f>
        <v/>
      </c>
      <c r="P96">
        <f>IF(E96="",1,MAX(1,(YEAR(O96)-YEAR(N96))*12+MONTH(O96)-MONTH(N96)+1))</f>
        <v/>
      </c>
      <c r="Q96">
        <f>IF(G96="",0,G96/P96)</f>
        <v/>
      </c>
      <c r="R96">
        <f>IF(H96="",0,H96/P96)</f>
        <v/>
      </c>
    </row>
    <row r="97">
      <c r="A97" s="43" t="n">
        <v>45995</v>
      </c>
      <c r="B97" s="28" t="inlineStr">
        <is>
          <t>Majlis KKGS - Asnawi</t>
        </is>
      </c>
      <c r="C97" s="28" t="inlineStr">
        <is>
          <t>Asnawi</t>
        </is>
      </c>
      <c r="D97" s="28" t="inlineStr">
        <is>
          <t>Majlis</t>
        </is>
      </c>
      <c r="E97" s="44" t="n"/>
      <c r="F97" s="44" t="n"/>
      <c r="G97" s="23" t="n"/>
      <c r="H97" s="23" t="n"/>
      <c r="I97" s="23" t="n">
        <v>20</v>
      </c>
      <c r="J97" s="23" t="n"/>
      <c r="K97" s="45">
        <f>IF(A97="","",SUM(G$2:I97)-SUM(J$2:J97))</f>
        <v/>
      </c>
      <c r="L97" s="46" t="n"/>
      <c r="M97">
        <f>IF(A97="","",IF(A97=A96,M96,N(M96)+1))</f>
        <v/>
      </c>
      <c r="N97">
        <f>IF(E97="",99999,E97)</f>
        <v/>
      </c>
      <c r="O97">
        <f>IF(E97="",0,IF(F97="",E97,F97))</f>
        <v/>
      </c>
      <c r="P97">
        <f>IF(E97="",1,MAX(1,(YEAR(O97)-YEAR(N97))*12+MONTH(O97)-MONTH(N97)+1))</f>
        <v/>
      </c>
      <c r="Q97">
        <f>IF(G97="",0,G97/P97)</f>
        <v/>
      </c>
      <c r="R97">
        <f>IF(H97="",0,H97/P97)</f>
        <v/>
      </c>
    </row>
    <row r="98">
      <c r="A98" s="43" t="n">
        <v>46003</v>
      </c>
      <c r="B98" s="28" t="inlineStr">
        <is>
          <t>Majlis KKGS - Bang Mie (Lamb Chop)</t>
        </is>
      </c>
      <c r="C98" s="28" t="inlineStr">
        <is>
          <t>Bang Mie</t>
        </is>
      </c>
      <c r="D98" s="28" t="inlineStr">
        <is>
          <t>Majlis</t>
        </is>
      </c>
      <c r="E98" s="44" t="n"/>
      <c r="F98" s="44" t="n"/>
      <c r="G98" s="23" t="n"/>
      <c r="H98" s="23" t="n"/>
      <c r="I98" s="23" t="n">
        <v>10</v>
      </c>
      <c r="J98" s="23" t="n"/>
      <c r="K98" s="45">
        <f>IF(A98="","",SUM(G$2:I98)-SUM(J$2:J98))</f>
        <v/>
      </c>
      <c r="L98" s="46" t="n"/>
      <c r="M98">
        <f>IF(A98="","",IF(A98=A97,M97,N(M97)+1))</f>
        <v/>
      </c>
      <c r="N98">
        <f>IF(E98="",99999,E98)</f>
        <v/>
      </c>
      <c r="O98">
        <f>IF(E98="",0,IF(F98="",E98,F98))</f>
        <v/>
      </c>
      <c r="P98">
        <f>IF(E98="",1,MAX(1,(YEAR(O98)-YEAR(N98))*12+MONTH(O98)-MONTH(N98)+1))</f>
        <v/>
      </c>
      <c r="Q98">
        <f>IF(G98="",0,G98/P98)</f>
        <v/>
      </c>
      <c r="R98">
        <f>IF(H98="",0,H98/P98)</f>
        <v/>
      </c>
    </row>
    <row r="99">
      <c r="A99" s="43" t="n">
        <v>46003</v>
      </c>
      <c r="B99" s="28" t="inlineStr">
        <is>
          <t>Majlis KKGS - Kuchai (Lamb Chop)</t>
        </is>
      </c>
      <c r="C99" s="28" t="inlineStr">
        <is>
          <t>Kuchai</t>
        </is>
      </c>
      <c r="D99" s="28" t="inlineStr">
        <is>
          <t>Majlis</t>
        </is>
      </c>
      <c r="E99" s="44" t="n"/>
      <c r="F99" s="44" t="n"/>
      <c r="G99" s="23" t="n"/>
      <c r="H99" s="23" t="n"/>
      <c r="I99" s="23" t="n">
        <v>10</v>
      </c>
      <c r="J99" s="23" t="n"/>
      <c r="K99" s="45">
        <f>IF(A99="","",SUM(G$2:I99)-SUM(J$2:J99))</f>
        <v/>
      </c>
      <c r="L99" s="46" t="n"/>
      <c r="M99">
        <f>IF(A99="","",IF(A99=A98,M98,N(M98)+1))</f>
        <v/>
      </c>
      <c r="N99">
        <f>IF(E99="",99999,E99)</f>
        <v/>
      </c>
      <c r="O99">
        <f>IF(E99="",0,IF(F99="",E99,F99))</f>
        <v/>
      </c>
      <c r="P99">
        <f>IF(E99="",1,MAX(1,(YEAR(O99)-YEAR(N99))*12+MONTH(O99)-MONTH(N99)+1))</f>
        <v/>
      </c>
      <c r="Q99">
        <f>IF(G99="",0,G99/P99)</f>
        <v/>
      </c>
      <c r="R99">
        <f>IF(H99="",0,H99/P99)</f>
        <v/>
      </c>
    </row>
    <row r="100">
      <c r="A100" s="43" t="n">
        <v>46003</v>
      </c>
      <c r="B100" s="28" t="inlineStr">
        <is>
          <t>Majlis KKGS - Chang (Lamb Chop)</t>
        </is>
      </c>
      <c r="C100" s="28" t="inlineStr">
        <is>
          <t>Chang</t>
        </is>
      </c>
      <c r="D100" s="28" t="inlineStr">
        <is>
          <t>Majlis</t>
        </is>
      </c>
      <c r="E100" s="44" t="n"/>
      <c r="F100" s="44" t="n"/>
      <c r="G100" s="23" t="n"/>
      <c r="H100" s="23" t="n"/>
      <c r="I100" s="23" t="n">
        <v>10</v>
      </c>
      <c r="J100" s="23" t="n"/>
      <c r="K100" s="45">
        <f>IF(A100="","",SUM(G$2:I100)-SUM(J$2:J100))</f>
        <v/>
      </c>
      <c r="L100" s="46" t="n"/>
      <c r="M100">
        <f>IF(A100="","",IF(A100=A99,M99,N(M99)+1))</f>
        <v/>
      </c>
      <c r="N100">
        <f>IF(E100="",99999,E100)</f>
        <v/>
      </c>
      <c r="O100">
        <f>IF(E100="",0,IF(F100="",E100,F100))</f>
        <v/>
      </c>
      <c r="P100">
        <f>IF(E100="",1,MAX(1,(YEAR(O100)-YEAR(N100))*12+MONTH(O100)-MONTH(N100)+1))</f>
        <v/>
      </c>
      <c r="Q100">
        <f>IF(G100="",0,G100/P100)</f>
        <v/>
      </c>
      <c r="R100">
        <f>IF(H100="",0,H100/P100)</f>
        <v/>
      </c>
    </row>
    <row r="101">
      <c r="A101" s="43" t="n">
        <v>46003</v>
      </c>
      <c r="B101" s="28" t="inlineStr">
        <is>
          <t>Sumbangan Ustaz - Kuchai</t>
        </is>
      </c>
      <c r="C101" s="28" t="inlineStr">
        <is>
          <t>Kuchai</t>
        </is>
      </c>
      <c r="D101" s="28" t="inlineStr">
        <is>
          <t>Sumbangan</t>
        </is>
      </c>
      <c r="E101" s="44" t="n"/>
      <c r="F101" s="44" t="n"/>
      <c r="G101" s="23" t="n"/>
      <c r="H101" s="23" t="n"/>
      <c r="I101" s="23" t="n">
        <v>60</v>
      </c>
      <c r="J101" s="23" t="n"/>
      <c r="K101" s="45">
        <f>IF(A101="","",SUM(G$2:I101)-SUM(J$2:J101))</f>
        <v/>
      </c>
      <c r="L101" s="46" t="n"/>
      <c r="M101">
        <f>IF(A101="","",IF(A101=A100,M100,N(M100)+1))</f>
        <v/>
      </c>
      <c r="N101">
        <f>IF(E101="",99999,E101)</f>
        <v/>
      </c>
      <c r="O101">
        <f>IF(E101="",0,IF(F101="",E101,F101))</f>
        <v/>
      </c>
      <c r="P101">
        <f>IF(E101="",1,MAX(1,(YEAR(O101)-YEAR(N101))*12+MONTH(O101)-MONTH(N101)+1))</f>
        <v/>
      </c>
      <c r="Q101">
        <f>IF(G101="",0,G101/P101)</f>
        <v/>
      </c>
      <c r="R101">
        <f>IF(H101="",0,H101/P101)</f>
        <v/>
      </c>
    </row>
    <row r="102">
      <c r="A102" s="43" t="n">
        <v>46003</v>
      </c>
      <c r="B102" s="28" t="inlineStr">
        <is>
          <t>Sumbangan Ustaz (Ke Asnawi daripada Kuchai)</t>
        </is>
      </c>
      <c r="C102" s="28" t="n"/>
      <c r="D102" s="28" t="inlineStr">
        <is>
          <t>Majlis &amp; Hadiah</t>
        </is>
      </c>
      <c r="E102" s="44" t="n"/>
      <c r="F102" s="44" t="n"/>
      <c r="G102" s="23" t="n"/>
      <c r="H102" s="23" t="n"/>
      <c r="I102" s="23" t="n"/>
      <c r="J102" s="23" t="n">
        <v>70</v>
      </c>
      <c r="K102" s="45">
        <f>IF(A102="","",SUM(G$2:I102)-SUM(J$2:J102))</f>
        <v/>
      </c>
      <c r="L102" s="46" t="n"/>
      <c r="M102">
        <f>IF(A102="","",IF(A102=A101,M101,N(M101)+1))</f>
        <v/>
      </c>
      <c r="N102">
        <f>IF(E102="",99999,E102)</f>
        <v/>
      </c>
      <c r="O102">
        <f>IF(E102="",0,IF(F102="",E102,F102))</f>
        <v/>
      </c>
      <c r="P102">
        <f>IF(E102="",1,MAX(1,(YEAR(O102)-YEAR(N102))*12+MONTH(O102)-MONTH(N102)+1))</f>
        <v/>
      </c>
      <c r="Q102">
        <f>IF(G102="",0,G102/P102)</f>
        <v/>
      </c>
      <c r="R102">
        <f>IF(H102="",0,H102/P102)</f>
        <v/>
      </c>
    </row>
    <row r="103">
      <c r="A103" s="43" t="n">
        <v>46003</v>
      </c>
      <c r="B103" s="28" t="inlineStr">
        <is>
          <t>Majlis KKGS - Hadi (Lamb Chop)</t>
        </is>
      </c>
      <c r="C103" s="28" t="inlineStr">
        <is>
          <t>Hadi</t>
        </is>
      </c>
      <c r="D103" s="28" t="inlineStr">
        <is>
          <t>Majlis</t>
        </is>
      </c>
      <c r="E103" s="44" t="n"/>
      <c r="F103" s="44" t="n"/>
      <c r="G103" s="23" t="n"/>
      <c r="H103" s="23" t="n"/>
      <c r="I103" s="23" t="n">
        <v>10</v>
      </c>
      <c r="J103" s="23" t="n"/>
      <c r="K103" s="45">
        <f>IF(A103="","",SUM(G$2:I103)-SUM(J$2:J103))</f>
        <v/>
      </c>
      <c r="L103" s="46" t="n"/>
      <c r="M103">
        <f>IF(A103="","",IF(A103=A102,M102,N(M102)+1))</f>
        <v/>
      </c>
      <c r="N103">
        <f>IF(E103="",99999,E103)</f>
        <v/>
      </c>
      <c r="O103">
        <f>IF(E103="",0,IF(F103="",E103,F103))</f>
        <v/>
      </c>
      <c r="P103">
        <f>IF(E103="",1,MAX(1,(YEAR(O103)-YEAR(N103))*12+MONTH(O103)-MONTH(N103)+1))</f>
        <v/>
      </c>
      <c r="Q103">
        <f>IF(G103="",0,G103/P103)</f>
        <v/>
      </c>
      <c r="R103">
        <f>IF(H103="",0,H103/P103)</f>
        <v/>
      </c>
    </row>
    <row r="104">
      <c r="A104" s="43" t="n">
        <v>46003</v>
      </c>
      <c r="B104" s="28" t="inlineStr">
        <is>
          <t>Sumbangan Ustaz (Ke Asnawi daripada KKGS)</t>
        </is>
      </c>
      <c r="C104" s="28" t="n"/>
      <c r="D104" s="28" t="inlineStr">
        <is>
          <t>Majlis &amp; Hadiah</t>
        </is>
      </c>
      <c r="E104" s="44" t="n"/>
      <c r="F104" s="44" t="n"/>
      <c r="G104" s="23" t="n"/>
      <c r="H104" s="23" t="n"/>
      <c r="I104" s="23" t="n"/>
      <c r="J104" s="23" t="n">
        <v>200</v>
      </c>
      <c r="K104" s="45">
        <f>IF(A104="","",SUM(G$2:I104)-SUM(J$2:J104))</f>
        <v/>
      </c>
      <c r="L104" s="46" t="n"/>
      <c r="M104">
        <f>IF(A104="","",IF(A104=A103,M103,N(M103)+1))</f>
        <v/>
      </c>
      <c r="N104">
        <f>IF(E104="",99999,E104)</f>
        <v/>
      </c>
      <c r="O104">
        <f>IF(E104="",0,IF(F104="",E104,F104))</f>
        <v/>
      </c>
      <c r="P104">
        <f>IF(E104="",1,MAX(1,(YEAR(O104)-YEAR(N104))*12+MONTH(O104)-MONTH(N104)+1))</f>
        <v/>
      </c>
      <c r="Q104">
        <f>IF(G104="",0,G104/P104)</f>
        <v/>
      </c>
      <c r="R104">
        <f>IF(H104="",0,H104/P104)</f>
        <v/>
      </c>
    </row>
    <row r="105">
      <c r="A105" s="43" t="n">
        <v>46009</v>
      </c>
      <c r="B105" s="28" t="inlineStr">
        <is>
          <t>Asnawi (Dis 25)</t>
        </is>
      </c>
      <c r="C105" s="28" t="inlineStr">
        <is>
          <t>Asnawi</t>
        </is>
      </c>
      <c r="D105" s="28" t="inlineStr">
        <is>
          <t>Yuran</t>
        </is>
      </c>
      <c r="E105" s="44" t="n">
        <v>45992</v>
      </c>
      <c r="F105" s="44" t="n"/>
      <c r="G105" s="23" t="n">
        <v>35</v>
      </c>
      <c r="H105" s="23" t="n">
        <v>50</v>
      </c>
      <c r="I105" s="23" t="n"/>
      <c r="J105" s="23" t="n"/>
      <c r="K105" s="45">
        <f>IF(A105="","",SUM(G$2:I105)-SUM(J$2:J105))</f>
        <v/>
      </c>
      <c r="L105" s="46" t="n"/>
      <c r="M105">
        <f>IF(A105="","",IF(A105=A104,M104,N(M104)+1))</f>
        <v/>
      </c>
      <c r="N105">
        <f>IF(E105="",99999,E105)</f>
        <v/>
      </c>
      <c r="O105">
        <f>IF(E105="",0,IF(F105="",E105,F105))</f>
        <v/>
      </c>
      <c r="P105">
        <f>IF(E105="",1,MAX(1,(YEAR(O105)-YEAR(N105))*12+MONTH(O105)-MONTH(N105)+1))</f>
        <v/>
      </c>
      <c r="Q105">
        <f>IF(G105="",0,G105/P105)</f>
        <v/>
      </c>
      <c r="R105">
        <f>IF(H105="",0,H105/P105)</f>
        <v/>
      </c>
    </row>
    <row r="106">
      <c r="A106" s="43" t="n">
        <v>46009</v>
      </c>
      <c r="B106" s="28" t="inlineStr">
        <is>
          <t>Boss Wan (Dis 25)</t>
        </is>
      </c>
      <c r="C106" s="28" t="inlineStr">
        <is>
          <t>Boss Wan</t>
        </is>
      </c>
      <c r="D106" s="28" t="inlineStr">
        <is>
          <t>Yuran</t>
        </is>
      </c>
      <c r="E106" s="44" t="n">
        <v>45992</v>
      </c>
      <c r="F106" s="44" t="n"/>
      <c r="G106" s="23" t="n">
        <v>35</v>
      </c>
      <c r="H106" s="23" t="n">
        <v>50</v>
      </c>
      <c r="I106" s="23" t="n"/>
      <c r="J106" s="23" t="n"/>
      <c r="K106" s="45">
        <f>IF(A106="","",SUM(G$2:I106)-SUM(J$2:J106))</f>
        <v/>
      </c>
      <c r="L106" s="46" t="n"/>
      <c r="M106">
        <f>IF(A106="","",IF(A106=A105,M105,N(M105)+1))</f>
        <v/>
      </c>
      <c r="N106">
        <f>IF(E106="",99999,E106)</f>
        <v/>
      </c>
      <c r="O106">
        <f>IF(E106="",0,IF(F106="",E106,F106))</f>
        <v/>
      </c>
      <c r="P106">
        <f>IF(E106="",1,MAX(1,(YEAR(O106)-YEAR(N106))*12+MONTH(O106)-MONTH(N106)+1))</f>
        <v/>
      </c>
      <c r="Q106">
        <f>IF(G106="",0,G106/P106)</f>
        <v/>
      </c>
      <c r="R106">
        <f>IF(H106="",0,H106/P106)</f>
        <v/>
      </c>
    </row>
    <row r="107">
      <c r="A107" s="43" t="n">
        <v>46010</v>
      </c>
      <c r="B107" s="28" t="inlineStr">
        <is>
          <t>Chang (Dis 25)</t>
        </is>
      </c>
      <c r="C107" s="28" t="inlineStr">
        <is>
          <t>Chang</t>
        </is>
      </c>
      <c r="D107" s="28" t="inlineStr">
        <is>
          <t>Yuran</t>
        </is>
      </c>
      <c r="E107" s="44" t="n">
        <v>45992</v>
      </c>
      <c r="F107" s="44" t="n"/>
      <c r="G107" s="23" t="n">
        <v>35</v>
      </c>
      <c r="H107" s="23" t="n">
        <v>50</v>
      </c>
      <c r="I107" s="23" t="n"/>
      <c r="J107" s="23" t="n"/>
      <c r="K107" s="45">
        <f>IF(A107="","",SUM(G$2:I107)-SUM(J$2:J107))</f>
        <v/>
      </c>
      <c r="L107" s="46" t="n"/>
      <c r="M107">
        <f>IF(A107="","",IF(A107=A106,M106,N(M106)+1))</f>
        <v/>
      </c>
      <c r="N107">
        <f>IF(E107="",99999,E107)</f>
        <v/>
      </c>
      <c r="O107">
        <f>IF(E107="",0,IF(F107="",E107,F107))</f>
        <v/>
      </c>
      <c r="P107">
        <f>IF(E107="",1,MAX(1,(YEAR(O107)-YEAR(N107))*12+MONTH(O107)-MONTH(N107)+1))</f>
        <v/>
      </c>
      <c r="Q107">
        <f>IF(G107="",0,G107/P107)</f>
        <v/>
      </c>
      <c r="R107">
        <f>IF(H107="",0,H107/P107)</f>
        <v/>
      </c>
    </row>
    <row r="108">
      <c r="A108" s="43" t="n">
        <v>46011</v>
      </c>
      <c r="B108" s="28" t="inlineStr">
        <is>
          <t>Khairiri (Dis 25)</t>
        </is>
      </c>
      <c r="C108" s="28" t="inlineStr">
        <is>
          <t>Khairiri</t>
        </is>
      </c>
      <c r="D108" s="28" t="inlineStr">
        <is>
          <t>Yuran</t>
        </is>
      </c>
      <c r="E108" s="44" t="n">
        <v>45992</v>
      </c>
      <c r="F108" s="44" t="n"/>
      <c r="G108" s="23" t="n">
        <v>35</v>
      </c>
      <c r="H108" s="23" t="n">
        <v>50</v>
      </c>
      <c r="I108" s="23" t="n"/>
      <c r="J108" s="23" t="n"/>
      <c r="K108" s="45">
        <f>IF(A108="","",SUM(G$2:I108)-SUM(J$2:J108))</f>
        <v/>
      </c>
      <c r="L108" s="46" t="n"/>
      <c r="M108">
        <f>IF(A108="","",IF(A108=A107,M107,N(M107)+1))</f>
        <v/>
      </c>
      <c r="N108">
        <f>IF(E108="",99999,E108)</f>
        <v/>
      </c>
      <c r="O108">
        <f>IF(E108="",0,IF(F108="",E108,F108))</f>
        <v/>
      </c>
      <c r="P108">
        <f>IF(E108="",1,MAX(1,(YEAR(O108)-YEAR(N108))*12+MONTH(O108)-MONTH(N108)+1))</f>
        <v/>
      </c>
      <c r="Q108">
        <f>IF(G108="",0,G108/P108)</f>
        <v/>
      </c>
      <c r="R108">
        <f>IF(H108="",0,H108/P108)</f>
        <v/>
      </c>
    </row>
    <row r="109">
      <c r="A109" s="43" t="n">
        <v>46012</v>
      </c>
      <c r="B109" s="28" t="inlineStr">
        <is>
          <t>Ustaz (Dis 25)</t>
        </is>
      </c>
      <c r="C109" s="28" t="inlineStr">
        <is>
          <t>Ustaz</t>
        </is>
      </c>
      <c r="D109" s="28" t="inlineStr">
        <is>
          <t>Yuran</t>
        </is>
      </c>
      <c r="E109" s="44" t="n">
        <v>45992</v>
      </c>
      <c r="F109" s="44" t="n"/>
      <c r="G109" s="23" t="n"/>
      <c r="H109" s="23" t="n">
        <v>50</v>
      </c>
      <c r="I109" s="23" t="n"/>
      <c r="J109" s="23" t="n"/>
      <c r="K109" s="45">
        <f>IF(A109="","",SUM(G$2:I109)-SUM(J$2:J109))</f>
        <v/>
      </c>
      <c r="L109" s="46" t="n"/>
      <c r="M109">
        <f>IF(A109="","",IF(A109=A108,M108,N(M108)+1))</f>
        <v/>
      </c>
      <c r="N109">
        <f>IF(E109="",99999,E109)</f>
        <v/>
      </c>
      <c r="O109">
        <f>IF(E109="",0,IF(F109="",E109,F109))</f>
        <v/>
      </c>
      <c r="P109">
        <f>IF(E109="",1,MAX(1,(YEAR(O109)-YEAR(N109))*12+MONTH(O109)-MONTH(N109)+1))</f>
        <v/>
      </c>
      <c r="Q109">
        <f>IF(G109="",0,G109/P109)</f>
        <v/>
      </c>
      <c r="R109">
        <f>IF(H109="",0,H109/P109)</f>
        <v/>
      </c>
    </row>
    <row r="110">
      <c r="A110" s="43" t="n">
        <v>46027</v>
      </c>
      <c r="B110" s="28" t="inlineStr">
        <is>
          <t>Majlis KKGS - Khairiri (Lamb Chop)</t>
        </is>
      </c>
      <c r="C110" s="28" t="inlineStr">
        <is>
          <t>Khairiri</t>
        </is>
      </c>
      <c r="D110" s="28" t="inlineStr">
        <is>
          <t>Majlis</t>
        </is>
      </c>
      <c r="E110" s="44" t="n"/>
      <c r="F110" s="44" t="n"/>
      <c r="G110" s="23" t="n"/>
      <c r="H110" s="23" t="n"/>
      <c r="I110" s="23" t="n">
        <v>10</v>
      </c>
      <c r="J110" s="23" t="n"/>
      <c r="K110" s="45">
        <f>IF(A110="","",SUM(G$2:I110)-SUM(J$2:J110))</f>
        <v/>
      </c>
      <c r="L110" s="46" t="n"/>
      <c r="M110">
        <f>IF(A110="","",IF(A110=A109,M109,N(M109)+1))</f>
        <v/>
      </c>
      <c r="N110">
        <f>IF(E110="",99999,E110)</f>
        <v/>
      </c>
      <c r="O110">
        <f>IF(E110="",0,IF(F110="",E110,F110))</f>
        <v/>
      </c>
      <c r="P110">
        <f>IF(E110="",1,MAX(1,(YEAR(O110)-YEAR(N110))*12+MONTH(O110)-MONTH(N110)+1))</f>
        <v/>
      </c>
      <c r="Q110">
        <f>IF(G110="",0,G110/P110)</f>
        <v/>
      </c>
      <c r="R110">
        <f>IF(H110="",0,H110/P110)</f>
        <v/>
      </c>
    </row>
    <row r="111">
      <c r="A111" s="43" t="n">
        <v>46027</v>
      </c>
      <c r="B111" s="28" t="inlineStr">
        <is>
          <t>Amir (Sep–Dis 25)</t>
        </is>
      </c>
      <c r="C111" s="28" t="inlineStr">
        <is>
          <t>Amir</t>
        </is>
      </c>
      <c r="D111" s="28" t="inlineStr">
        <is>
          <t>Yuran</t>
        </is>
      </c>
      <c r="E111" s="44" t="n">
        <v>45901</v>
      </c>
      <c r="F111" s="44" t="n">
        <v>45992</v>
      </c>
      <c r="G111" s="23" t="n">
        <v>140</v>
      </c>
      <c r="H111" s="23" t="n">
        <v>200</v>
      </c>
      <c r="I111" s="23" t="n"/>
      <c r="J111" s="23" t="n"/>
      <c r="K111" s="45">
        <f>IF(A111="","",SUM(G$2:I111)-SUM(J$2:J111))</f>
        <v/>
      </c>
      <c r="L111" s="46" t="n"/>
      <c r="M111">
        <f>IF(A111="","",IF(A111=A110,M110,N(M110)+1))</f>
        <v/>
      </c>
      <c r="N111">
        <f>IF(E111="",99999,E111)</f>
        <v/>
      </c>
      <c r="O111">
        <f>IF(E111="",0,IF(F111="",E111,F111))</f>
        <v/>
      </c>
      <c r="P111">
        <f>IF(E111="",1,MAX(1,(YEAR(O111)-YEAR(N111))*12+MONTH(O111)-MONTH(N111)+1))</f>
        <v/>
      </c>
      <c r="Q111">
        <f>IF(G111="",0,G111/P111)</f>
        <v/>
      </c>
      <c r="R111">
        <f>IF(H111="",0,H111/P111)</f>
        <v/>
      </c>
    </row>
    <row r="112">
      <c r="A112" s="43" t="n">
        <v>46028</v>
      </c>
      <c r="B112" s="28" t="inlineStr">
        <is>
          <t>Aiman (Dis 25)</t>
        </is>
      </c>
      <c r="C112" s="28" t="inlineStr">
        <is>
          <t>Aiman</t>
        </is>
      </c>
      <c r="D112" s="28" t="inlineStr">
        <is>
          <t>Yuran</t>
        </is>
      </c>
      <c r="E112" s="44" t="n">
        <v>45992</v>
      </c>
      <c r="F112" s="44" t="n"/>
      <c r="G112" s="23" t="n">
        <v>35</v>
      </c>
      <c r="H112" s="23" t="n">
        <v>50</v>
      </c>
      <c r="I112" s="23" t="n"/>
      <c r="J112" s="23" t="n"/>
      <c r="K112" s="45">
        <f>IF(A112="","",SUM(G$2:I112)-SUM(J$2:J112))</f>
        <v/>
      </c>
      <c r="L112" s="46" t="n"/>
      <c r="M112">
        <f>IF(A112="","",IF(A112=A111,M111,N(M111)+1))</f>
        <v/>
      </c>
      <c r="N112">
        <f>IF(E112="",99999,E112)</f>
        <v/>
      </c>
      <c r="O112">
        <f>IF(E112="",0,IF(F112="",E112,F112))</f>
        <v/>
      </c>
      <c r="P112">
        <f>IF(E112="",1,MAX(1,(YEAR(O112)-YEAR(N112))*12+MONTH(O112)-MONTH(N112)+1))</f>
        <v/>
      </c>
      <c r="Q112">
        <f>IF(G112="",0,G112/P112)</f>
        <v/>
      </c>
      <c r="R112">
        <f>IF(H112="",0,H112/P112)</f>
        <v/>
      </c>
    </row>
    <row r="113">
      <c r="A113" s="43" t="n">
        <v>46034</v>
      </c>
      <c r="B113" s="28" t="inlineStr">
        <is>
          <t>Bayaran Duit Pantri - Asnawi</t>
        </is>
      </c>
      <c r="C113" s="28" t="inlineStr">
        <is>
          <t>Asnawi</t>
        </is>
      </c>
      <c r="D113" s="28" t="inlineStr">
        <is>
          <t>Duit Pantri</t>
        </is>
      </c>
      <c r="E113" s="44" t="n"/>
      <c r="F113" s="44" t="n"/>
      <c r="G113" s="23" t="n"/>
      <c r="H113" s="23" t="n"/>
      <c r="I113" s="23" t="n"/>
      <c r="J113" s="23" t="n">
        <v>65</v>
      </c>
      <c r="K113" s="45">
        <f>IF(A113="","",SUM(G$2:I113)-SUM(J$2:J113))</f>
        <v/>
      </c>
      <c r="L113" s="46" t="n"/>
      <c r="M113">
        <f>IF(A113="","",IF(A113=A112,M112,N(M112)+1))</f>
        <v/>
      </c>
      <c r="N113">
        <f>IF(E113="",99999,E113)</f>
        <v/>
      </c>
      <c r="O113">
        <f>IF(E113="",0,IF(F113="",E113,F113))</f>
        <v/>
      </c>
      <c r="P113">
        <f>IF(E113="",1,MAX(1,(YEAR(O113)-YEAR(N113))*12+MONTH(O113)-MONTH(N113)+1))</f>
        <v/>
      </c>
      <c r="Q113">
        <f>IF(G113="",0,G113/P113)</f>
        <v/>
      </c>
      <c r="R113">
        <f>IF(H113="",0,H113/P113)</f>
        <v/>
      </c>
    </row>
    <row r="114">
      <c r="A114" s="43" t="n">
        <v>46044</v>
      </c>
      <c r="B114" s="28" t="inlineStr">
        <is>
          <t>Kuchai (Jan 26)</t>
        </is>
      </c>
      <c r="C114" s="28" t="inlineStr">
        <is>
          <t>Kuchai</t>
        </is>
      </c>
      <c r="D114" s="28" t="inlineStr">
        <is>
          <t>Yuran</t>
        </is>
      </c>
      <c r="E114" s="44" t="n">
        <v>46023</v>
      </c>
      <c r="F114" s="44" t="n"/>
      <c r="G114" s="23" t="n">
        <v>35</v>
      </c>
      <c r="H114" s="23" t="n">
        <v>50</v>
      </c>
      <c r="I114" s="23" t="n"/>
      <c r="J114" s="23" t="n"/>
      <c r="K114" s="45">
        <f>IF(A114="","",SUM(G$2:I114)-SUM(J$2:J114))</f>
        <v/>
      </c>
      <c r="L114" s="46" t="n"/>
      <c r="M114">
        <f>IF(A114="","",IF(A114=A113,M113,N(M113)+1))</f>
        <v/>
      </c>
      <c r="N114">
        <f>IF(E114="",99999,E114)</f>
        <v/>
      </c>
      <c r="O114">
        <f>IF(E114="",0,IF(F114="",E114,F114))</f>
        <v/>
      </c>
      <c r="P114">
        <f>IF(E114="",1,MAX(1,(YEAR(O114)-YEAR(N114))*12+MONTH(O114)-MONTH(N114)+1))</f>
        <v/>
      </c>
      <c r="Q114">
        <f>IF(G114="",0,G114/P114)</f>
        <v/>
      </c>
      <c r="R114">
        <f>IF(H114="",0,H114/P114)</f>
        <v/>
      </c>
    </row>
    <row r="115">
      <c r="A115" s="43" t="n">
        <v>46044</v>
      </c>
      <c r="B115" s="28" t="inlineStr">
        <is>
          <t>Amir (Jan 26)</t>
        </is>
      </c>
      <c r="C115" s="28" t="inlineStr">
        <is>
          <t>Amir</t>
        </is>
      </c>
      <c r="D115" s="28" t="inlineStr">
        <is>
          <t>Yuran</t>
        </is>
      </c>
      <c r="E115" s="44" t="n">
        <v>46023</v>
      </c>
      <c r="F115" s="44" t="n"/>
      <c r="G115" s="23" t="n">
        <v>35</v>
      </c>
      <c r="H115" s="23" t="n">
        <v>50</v>
      </c>
      <c r="I115" s="23" t="n"/>
      <c r="J115" s="23" t="n"/>
      <c r="K115" s="45">
        <f>IF(A115="","",SUM(G$2:I115)-SUM(J$2:J115))</f>
        <v/>
      </c>
      <c r="L115" s="46" t="n"/>
      <c r="M115">
        <f>IF(A115="","",IF(A115=A114,M114,N(M114)+1))</f>
        <v/>
      </c>
      <c r="N115">
        <f>IF(E115="",99999,E115)</f>
        <v/>
      </c>
      <c r="O115">
        <f>IF(E115="",0,IF(F115="",E115,F115))</f>
        <v/>
      </c>
      <c r="P115">
        <f>IF(E115="",1,MAX(1,(YEAR(O115)-YEAR(N115))*12+MONTH(O115)-MONTH(N115)+1))</f>
        <v/>
      </c>
      <c r="Q115">
        <f>IF(G115="",0,G115/P115)</f>
        <v/>
      </c>
      <c r="R115">
        <f>IF(H115="",0,H115/P115)</f>
        <v/>
      </c>
    </row>
    <row r="116">
      <c r="A116" s="43" t="n">
        <v>46044</v>
      </c>
      <c r="B116" s="28" t="inlineStr">
        <is>
          <t>Boss Wan (Jan–Feb 26)</t>
        </is>
      </c>
      <c r="C116" s="28" t="inlineStr">
        <is>
          <t>Boss Wan</t>
        </is>
      </c>
      <c r="D116" s="28" t="inlineStr">
        <is>
          <t>Yuran</t>
        </is>
      </c>
      <c r="E116" s="44" t="n">
        <v>46023</v>
      </c>
      <c r="F116" s="44" t="n">
        <v>46054</v>
      </c>
      <c r="G116" s="23" t="n">
        <v>70</v>
      </c>
      <c r="H116" s="23" t="n">
        <v>100</v>
      </c>
      <c r="I116" s="23" t="n"/>
      <c r="J116" s="23" t="n"/>
      <c r="K116" s="45">
        <f>IF(A116="","",SUM(G$2:I116)-SUM(J$2:J116))</f>
        <v/>
      </c>
      <c r="L116" s="46" t="n"/>
      <c r="M116">
        <f>IF(A116="","",IF(A116=A115,M115,N(M115)+1))</f>
        <v/>
      </c>
      <c r="N116">
        <f>IF(E116="",99999,E116)</f>
        <v/>
      </c>
      <c r="O116">
        <f>IF(E116="",0,IF(F116="",E116,F116))</f>
        <v/>
      </c>
      <c r="P116">
        <f>IF(E116="",1,MAX(1,(YEAR(O116)-YEAR(N116))*12+MONTH(O116)-MONTH(N116)+1))</f>
        <v/>
      </c>
      <c r="Q116">
        <f>IF(G116="",0,G116/P116)</f>
        <v/>
      </c>
      <c r="R116">
        <f>IF(H116="",0,H116/P116)</f>
        <v/>
      </c>
    </row>
    <row r="117">
      <c r="A117" s="43" t="n">
        <v>46044</v>
      </c>
      <c r="B117" s="28" t="inlineStr">
        <is>
          <t>Chang (Jan 26)</t>
        </is>
      </c>
      <c r="C117" s="28" t="inlineStr">
        <is>
          <t>Chang</t>
        </is>
      </c>
      <c r="D117" s="28" t="inlineStr">
        <is>
          <t>Yuran</t>
        </is>
      </c>
      <c r="E117" s="44" t="n">
        <v>46023</v>
      </c>
      <c r="F117" s="44" t="n"/>
      <c r="G117" s="23" t="n">
        <v>35</v>
      </c>
      <c r="H117" s="23" t="n">
        <v>50</v>
      </c>
      <c r="I117" s="23" t="n"/>
      <c r="J117" s="23" t="n"/>
      <c r="K117" s="45">
        <f>IF(A117="","",SUM(G$2:I117)-SUM(J$2:J117))</f>
        <v/>
      </c>
      <c r="L117" s="46" t="n"/>
      <c r="M117">
        <f>IF(A117="","",IF(A117=A116,M116,N(M116)+1))</f>
        <v/>
      </c>
      <c r="N117">
        <f>IF(E117="",99999,E117)</f>
        <v/>
      </c>
      <c r="O117">
        <f>IF(E117="",0,IF(F117="",E117,F117))</f>
        <v/>
      </c>
      <c r="P117">
        <f>IF(E117="",1,MAX(1,(YEAR(O117)-YEAR(N117))*12+MONTH(O117)-MONTH(N117)+1))</f>
        <v/>
      </c>
      <c r="Q117">
        <f>IF(G117="",0,G117/P117)</f>
        <v/>
      </c>
      <c r="R117">
        <f>IF(H117="",0,H117/P117)</f>
        <v/>
      </c>
    </row>
    <row r="118">
      <c r="A118" s="43" t="n">
        <v>46044</v>
      </c>
      <c r="B118" s="28" t="inlineStr">
        <is>
          <t>Khairiri (Jan 26)</t>
        </is>
      </c>
      <c r="C118" s="28" t="inlineStr">
        <is>
          <t>Khairiri</t>
        </is>
      </c>
      <c r="D118" s="28" t="inlineStr">
        <is>
          <t>Yuran</t>
        </is>
      </c>
      <c r="E118" s="44" t="n">
        <v>46023</v>
      </c>
      <c r="F118" s="44" t="n"/>
      <c r="G118" s="23" t="n">
        <v>35</v>
      </c>
      <c r="H118" s="23" t="n">
        <v>50</v>
      </c>
      <c r="I118" s="23" t="n"/>
      <c r="J118" s="23" t="n"/>
      <c r="K118" s="45">
        <f>IF(A118="","",SUM(G$2:I118)-SUM(J$2:J118))</f>
        <v/>
      </c>
      <c r="L118" s="46" t="n"/>
      <c r="M118">
        <f>IF(A118="","",IF(A118=A117,M117,N(M117)+1))</f>
        <v/>
      </c>
      <c r="N118">
        <f>IF(E118="",99999,E118)</f>
        <v/>
      </c>
      <c r="O118">
        <f>IF(E118="",0,IF(F118="",E118,F118))</f>
        <v/>
      </c>
      <c r="P118">
        <f>IF(E118="",1,MAX(1,(YEAR(O118)-YEAR(N118))*12+MONTH(O118)-MONTH(N118)+1))</f>
        <v/>
      </c>
      <c r="Q118">
        <f>IF(G118="",0,G118/P118)</f>
        <v/>
      </c>
      <c r="R118">
        <f>IF(H118="",0,H118/P118)</f>
        <v/>
      </c>
    </row>
    <row r="119">
      <c r="A119" s="43" t="n">
        <v>46044</v>
      </c>
      <c r="B119" s="28" t="inlineStr">
        <is>
          <t>Sumbangan Luar - Boss Wan (Lebihan duit hadiah Program Minggu Pertama)</t>
        </is>
      </c>
      <c r="C119" s="28" t="inlineStr">
        <is>
          <t>Boss Wan</t>
        </is>
      </c>
      <c r="D119" s="28" t="inlineStr">
        <is>
          <t>Sumbangan</t>
        </is>
      </c>
      <c r="E119" s="44" t="n"/>
      <c r="F119" s="44" t="n"/>
      <c r="G119" s="23" t="n"/>
      <c r="H119" s="23" t="n"/>
      <c r="I119" s="23" t="n">
        <v>5</v>
      </c>
      <c r="J119" s="23" t="n"/>
      <c r="K119" s="45">
        <f>IF(A119="","",SUM(G$2:I119)-SUM(J$2:J119))</f>
        <v/>
      </c>
      <c r="L119" s="46" t="n"/>
      <c r="M119">
        <f>IF(A119="","",IF(A119=A118,M118,N(M118)+1))</f>
        <v/>
      </c>
      <c r="N119">
        <f>IF(E119="",99999,E119)</f>
        <v/>
      </c>
      <c r="O119">
        <f>IF(E119="",0,IF(F119="",E119,F119))</f>
        <v/>
      </c>
      <c r="P119">
        <f>IF(E119="",1,MAX(1,(YEAR(O119)-YEAR(N119))*12+MONTH(O119)-MONTH(N119)+1))</f>
        <v/>
      </c>
      <c r="Q119">
        <f>IF(G119="",0,G119/P119)</f>
        <v/>
      </c>
      <c r="R119">
        <f>IF(H119="",0,H119/P119)</f>
        <v/>
      </c>
    </row>
    <row r="120">
      <c r="A120" s="43" t="n">
        <v>46045</v>
      </c>
      <c r="B120" s="28" t="inlineStr">
        <is>
          <t>Bang Mie (Jan 26)</t>
        </is>
      </c>
      <c r="C120" s="28" t="inlineStr">
        <is>
          <t>Bang Mie</t>
        </is>
      </c>
      <c r="D120" s="28" t="inlineStr">
        <is>
          <t>Yuran</t>
        </is>
      </c>
      <c r="E120" s="44" t="n">
        <v>46023</v>
      </c>
      <c r="F120" s="44" t="n"/>
      <c r="G120" s="23" t="n">
        <v>35</v>
      </c>
      <c r="H120" s="23" t="n">
        <v>50</v>
      </c>
      <c r="I120" s="23" t="n"/>
      <c r="J120" s="23" t="n"/>
      <c r="K120" s="45">
        <f>IF(A120="","",SUM(G$2:I120)-SUM(J$2:J120))</f>
        <v/>
      </c>
      <c r="L120" s="46" t="n"/>
      <c r="M120">
        <f>IF(A120="","",IF(A120=A119,M119,N(M119)+1))</f>
        <v/>
      </c>
      <c r="N120">
        <f>IF(E120="",99999,E120)</f>
        <v/>
      </c>
      <c r="O120">
        <f>IF(E120="",0,IF(F120="",E120,F120))</f>
        <v/>
      </c>
      <c r="P120">
        <f>IF(E120="",1,MAX(1,(YEAR(O120)-YEAR(N120))*12+MONTH(O120)-MONTH(N120)+1))</f>
        <v/>
      </c>
      <c r="Q120">
        <f>IF(G120="",0,G120/P120)</f>
        <v/>
      </c>
      <c r="R120">
        <f>IF(H120="",0,H120/P120)</f>
        <v/>
      </c>
    </row>
    <row r="121">
      <c r="A121" s="43" t="n">
        <v>46048</v>
      </c>
      <c r="B121" s="28" t="inlineStr">
        <is>
          <t>Asnawi (Jan 26)</t>
        </is>
      </c>
      <c r="C121" s="28" t="inlineStr">
        <is>
          <t>Asnawi</t>
        </is>
      </c>
      <c r="D121" s="28" t="inlineStr">
        <is>
          <t>Yuran</t>
        </is>
      </c>
      <c r="E121" s="44" t="n">
        <v>46023</v>
      </c>
      <c r="F121" s="44" t="n"/>
      <c r="G121" s="23" t="n">
        <v>35</v>
      </c>
      <c r="H121" s="23" t="n">
        <v>50</v>
      </c>
      <c r="I121" s="23" t="n"/>
      <c r="J121" s="23" t="n"/>
      <c r="K121" s="45">
        <f>IF(A121="","",SUM(G$2:I121)-SUM(J$2:J121))</f>
        <v/>
      </c>
      <c r="L121" s="46" t="n"/>
      <c r="M121">
        <f>IF(A121="","",IF(A121=A120,M120,N(M120)+1))</f>
        <v/>
      </c>
      <c r="N121">
        <f>IF(E121="",99999,E121)</f>
        <v/>
      </c>
      <c r="O121">
        <f>IF(E121="",0,IF(F121="",E121,F121))</f>
        <v/>
      </c>
      <c r="P121">
        <f>IF(E121="",1,MAX(1,(YEAR(O121)-YEAR(N121))*12+MONTH(O121)-MONTH(N121)+1))</f>
        <v/>
      </c>
      <c r="Q121">
        <f>IF(G121="",0,G121/P121)</f>
        <v/>
      </c>
      <c r="R121">
        <f>IF(H121="",0,H121/P121)</f>
        <v/>
      </c>
    </row>
    <row r="122">
      <c r="A122" s="43" t="n">
        <v>46050</v>
      </c>
      <c r="B122" s="28" t="inlineStr">
        <is>
          <t>Aiman (Jan 26)</t>
        </is>
      </c>
      <c r="C122" s="28" t="inlineStr">
        <is>
          <t>Aiman</t>
        </is>
      </c>
      <c r="D122" s="28" t="inlineStr">
        <is>
          <t>Yuran</t>
        </is>
      </c>
      <c r="E122" s="44" t="n">
        <v>46023</v>
      </c>
      <c r="F122" s="44" t="n"/>
      <c r="G122" s="23" t="n">
        <v>35</v>
      </c>
      <c r="H122" s="23" t="n">
        <v>50</v>
      </c>
      <c r="I122" s="23" t="n"/>
      <c r="J122" s="23" t="n"/>
      <c r="K122" s="45">
        <f>IF(A122="","",SUM(G$2:I122)-SUM(J$2:J122))</f>
        <v/>
      </c>
      <c r="L122" s="46" t="n"/>
      <c r="M122">
        <f>IF(A122="","",IF(A122=A121,M121,N(M121)+1))</f>
        <v/>
      </c>
      <c r="N122">
        <f>IF(E122="",99999,E122)</f>
        <v/>
      </c>
      <c r="O122">
        <f>IF(E122="",0,IF(F122="",E122,F122))</f>
        <v/>
      </c>
      <c r="P122">
        <f>IF(E122="",1,MAX(1,(YEAR(O122)-YEAR(N122))*12+MONTH(O122)-MONTH(N122)+1))</f>
        <v/>
      </c>
      <c r="Q122">
        <f>IF(G122="",0,G122/P122)</f>
        <v/>
      </c>
      <c r="R122">
        <f>IF(H122="",0,H122/P122)</f>
        <v/>
      </c>
    </row>
    <row r="123">
      <c r="A123" s="43" t="n">
        <v>46050</v>
      </c>
      <c r="B123" s="28" t="inlineStr">
        <is>
          <t>Wafi (Nov 25–Jan 26)</t>
        </is>
      </c>
      <c r="C123" s="28" t="inlineStr">
        <is>
          <t>Wafi</t>
        </is>
      </c>
      <c r="D123" s="28" t="inlineStr">
        <is>
          <t>Yuran</t>
        </is>
      </c>
      <c r="E123" s="44" t="n">
        <v>45962</v>
      </c>
      <c r="F123" s="44" t="n">
        <v>46023</v>
      </c>
      <c r="G123" s="23" t="n">
        <v>105</v>
      </c>
      <c r="H123" s="23" t="n"/>
      <c r="I123" s="23" t="n"/>
      <c r="J123" s="23" t="n"/>
      <c r="K123" s="45">
        <f>IF(A123="","",SUM(G$2:I123)-SUM(J$2:J123))</f>
        <v/>
      </c>
      <c r="L123" s="46" t="n"/>
      <c r="M123">
        <f>IF(A123="","",IF(A123=A122,M122,N(M122)+1))</f>
        <v/>
      </c>
      <c r="N123">
        <f>IF(E123="",99999,E123)</f>
        <v/>
      </c>
      <c r="O123">
        <f>IF(E123="",0,IF(F123="",E123,F123))</f>
        <v/>
      </c>
      <c r="P123">
        <f>IF(E123="",1,MAX(1,(YEAR(O123)-YEAR(N123))*12+MONTH(O123)-MONTH(N123)+1))</f>
        <v/>
      </c>
      <c r="Q123">
        <f>IF(G123="",0,G123/P123)</f>
        <v/>
      </c>
      <c r="R123">
        <f>IF(H123="",0,H123/P123)</f>
        <v/>
      </c>
    </row>
    <row r="124">
      <c r="A124" s="43" t="n">
        <v>46050</v>
      </c>
      <c r="B124" s="28" t="inlineStr">
        <is>
          <t>Joe (Dis 25–Jan 26)</t>
        </is>
      </c>
      <c r="C124" s="28" t="inlineStr">
        <is>
          <t>Joe</t>
        </is>
      </c>
      <c r="D124" s="28" t="inlineStr">
        <is>
          <t>Yuran</t>
        </is>
      </c>
      <c r="E124" s="44" t="n">
        <v>45992</v>
      </c>
      <c r="F124" s="44" t="n">
        <v>46023</v>
      </c>
      <c r="G124" s="23" t="n">
        <v>70</v>
      </c>
      <c r="H124" s="23" t="n">
        <v>100</v>
      </c>
      <c r="I124" s="23" t="n"/>
      <c r="J124" s="23" t="n"/>
      <c r="K124" s="45">
        <f>IF(A124="","",SUM(G$2:I124)-SUM(J$2:J124))</f>
        <v/>
      </c>
      <c r="L124" s="46" t="n"/>
      <c r="M124">
        <f>IF(A124="","",IF(A124=A123,M123,N(M123)+1))</f>
        <v/>
      </c>
      <c r="N124">
        <f>IF(E124="",99999,E124)</f>
        <v/>
      </c>
      <c r="O124">
        <f>IF(E124="",0,IF(F124="",E124,F124))</f>
        <v/>
      </c>
      <c r="P124">
        <f>IF(E124="",1,MAX(1,(YEAR(O124)-YEAR(N124))*12+MONTH(O124)-MONTH(N124)+1))</f>
        <v/>
      </c>
      <c r="Q124">
        <f>IF(G124="",0,G124/P124)</f>
        <v/>
      </c>
      <c r="R124">
        <f>IF(H124="",0,H124/P124)</f>
        <v/>
      </c>
    </row>
    <row r="125">
      <c r="A125" s="43" t="n">
        <v>46050</v>
      </c>
      <c r="B125" s="28" t="inlineStr">
        <is>
          <t>Refund Duit Lawatan - Kuchai</t>
        </is>
      </c>
      <c r="C125" s="28" t="inlineStr">
        <is>
          <t>Kuchai</t>
        </is>
      </c>
      <c r="D125" s="28" t="inlineStr">
        <is>
          <t>Refund</t>
        </is>
      </c>
      <c r="E125" s="44" t="n"/>
      <c r="F125" s="44" t="n"/>
      <c r="G125" s="23" t="n"/>
      <c r="H125" s="23" t="n"/>
      <c r="I125" s="23" t="n"/>
      <c r="J125" s="23" t="n">
        <v>400</v>
      </c>
      <c r="K125" s="45">
        <f>IF(A125="","",SUM(G$2:I125)-SUM(J$2:J125))</f>
        <v/>
      </c>
      <c r="L125" s="46" t="n"/>
      <c r="M125">
        <f>IF(A125="","",IF(A125=A124,M124,N(M124)+1))</f>
        <v/>
      </c>
      <c r="N125">
        <f>IF(E125="",99999,E125)</f>
        <v/>
      </c>
      <c r="O125">
        <f>IF(E125="",0,IF(F125="",E125,F125))</f>
        <v/>
      </c>
      <c r="P125">
        <f>IF(E125="",1,MAX(1,(YEAR(O125)-YEAR(N125))*12+MONTH(O125)-MONTH(N125)+1))</f>
        <v/>
      </c>
      <c r="Q125">
        <f>IF(G125="",0,G125/P125)</f>
        <v/>
      </c>
      <c r="R125">
        <f>IF(H125="",0,H125/P125)</f>
        <v/>
      </c>
    </row>
    <row r="126">
      <c r="A126" s="43" t="n">
        <v>46051</v>
      </c>
      <c r="B126" s="28" t="inlineStr">
        <is>
          <t>Ustaz (Dis 25–Jan 26)</t>
        </is>
      </c>
      <c r="C126" s="28" t="inlineStr">
        <is>
          <t>Ustaz</t>
        </is>
      </c>
      <c r="D126" s="28" t="inlineStr">
        <is>
          <t>Yuran</t>
        </is>
      </c>
      <c r="E126" s="44" t="n">
        <v>45992</v>
      </c>
      <c r="F126" s="44" t="n">
        <v>46023</v>
      </c>
      <c r="G126" s="23" t="n"/>
      <c r="H126" s="23" t="n">
        <v>100</v>
      </c>
      <c r="I126" s="23" t="n"/>
      <c r="J126" s="23" t="n"/>
      <c r="K126" s="45">
        <f>IF(A126="","",SUM(G$2:I126)-SUM(J$2:J126))</f>
        <v/>
      </c>
      <c r="L126" s="46" t="n"/>
      <c r="M126">
        <f>IF(A126="","",IF(A126=A125,M125,N(M125)+1))</f>
        <v/>
      </c>
      <c r="N126">
        <f>IF(E126="",99999,E126)</f>
        <v/>
      </c>
      <c r="O126">
        <f>IF(E126="",0,IF(F126="",E126,F126))</f>
        <v/>
      </c>
      <c r="P126">
        <f>IF(E126="",1,MAX(1,(YEAR(O126)-YEAR(N126))*12+MONTH(O126)-MONTH(N126)+1))</f>
        <v/>
      </c>
      <c r="Q126">
        <f>IF(G126="",0,G126/P126)</f>
        <v/>
      </c>
      <c r="R126">
        <f>IF(H126="",0,H126/P126)</f>
        <v/>
      </c>
    </row>
    <row r="127">
      <c r="A127" s="43" t="n">
        <v>46065</v>
      </c>
      <c r="B127" s="28" t="inlineStr">
        <is>
          <t>Bang Mie (Feb 26)</t>
        </is>
      </c>
      <c r="C127" s="28" t="inlineStr">
        <is>
          <t>Bang Mie</t>
        </is>
      </c>
      <c r="D127" s="28" t="inlineStr">
        <is>
          <t>Yuran</t>
        </is>
      </c>
      <c r="E127" s="44" t="n">
        <v>46054</v>
      </c>
      <c r="F127" s="44" t="n"/>
      <c r="G127" s="23" t="n">
        <v>35</v>
      </c>
      <c r="H127" s="23" t="n">
        <v>50</v>
      </c>
      <c r="I127" s="23" t="n"/>
      <c r="J127" s="23" t="n"/>
      <c r="K127" s="45">
        <f>IF(A127="","",SUM(G$2:I127)-SUM(J$2:J127))</f>
        <v/>
      </c>
      <c r="L127" s="46" t="n"/>
      <c r="M127">
        <f>IF(A127="","",IF(A127=A126,M126,N(M126)+1))</f>
        <v/>
      </c>
      <c r="N127">
        <f>IF(E127="",99999,E127)</f>
        <v/>
      </c>
      <c r="O127">
        <f>IF(E127="",0,IF(F127="",E127,F127))</f>
        <v/>
      </c>
      <c r="P127">
        <f>IF(E127="",1,MAX(1,(YEAR(O127)-YEAR(N127))*12+MONTH(O127)-MONTH(N127)+1))</f>
        <v/>
      </c>
      <c r="Q127">
        <f>IF(G127="",0,G127/P127)</f>
        <v/>
      </c>
      <c r="R127">
        <f>IF(H127="",0,H127/P127)</f>
        <v/>
      </c>
    </row>
    <row r="128">
      <c r="A128" s="43" t="n">
        <v>46065</v>
      </c>
      <c r="B128" s="28" t="inlineStr">
        <is>
          <t>Hadi (Dis 25–Feb 26)</t>
        </is>
      </c>
      <c r="C128" s="28" t="inlineStr">
        <is>
          <t>Hadi</t>
        </is>
      </c>
      <c r="D128" s="28" t="inlineStr">
        <is>
          <t>Yuran</t>
        </is>
      </c>
      <c r="E128" s="44" t="n">
        <v>45992</v>
      </c>
      <c r="F128" s="44" t="n">
        <v>46054</v>
      </c>
      <c r="G128" s="23" t="n">
        <v>105</v>
      </c>
      <c r="H128" s="23" t="n">
        <v>150</v>
      </c>
      <c r="I128" s="23" t="n"/>
      <c r="J128" s="23" t="n"/>
      <c r="K128" s="45">
        <f>IF(A128="","",SUM(G$2:I128)-SUM(J$2:J128))</f>
        <v/>
      </c>
      <c r="L128" s="46" t="n"/>
      <c r="M128">
        <f>IF(A128="","",IF(A128=A127,M127,N(M127)+1))</f>
        <v/>
      </c>
      <c r="N128">
        <f>IF(E128="",99999,E128)</f>
        <v/>
      </c>
      <c r="O128">
        <f>IF(E128="",0,IF(F128="",E128,F128))</f>
        <v/>
      </c>
      <c r="P128">
        <f>IF(E128="",1,MAX(1,(YEAR(O128)-YEAR(N128))*12+MONTH(O128)-MONTH(N128)+1))</f>
        <v/>
      </c>
      <c r="Q128">
        <f>IF(G128="",0,G128/P128)</f>
        <v/>
      </c>
      <c r="R128">
        <f>IF(H128="",0,H128/P128)</f>
        <v/>
      </c>
    </row>
    <row r="129">
      <c r="A129" s="43" t="n">
        <v>46065</v>
      </c>
      <c r="B129" s="28" t="inlineStr">
        <is>
          <t>Boss Wan (Mac 26)</t>
        </is>
      </c>
      <c r="C129" s="28" t="inlineStr">
        <is>
          <t>Boss Wan</t>
        </is>
      </c>
      <c r="D129" s="28" t="inlineStr">
        <is>
          <t>Yuran</t>
        </is>
      </c>
      <c r="E129" s="44" t="n">
        <v>46082</v>
      </c>
      <c r="F129" s="44" t="n"/>
      <c r="G129" s="23" t="n">
        <v>35</v>
      </c>
      <c r="H129" s="23" t="n"/>
      <c r="I129" s="23" t="n"/>
      <c r="J129" s="23" t="n"/>
      <c r="K129" s="45">
        <f>IF(A129="","",SUM(G$2:I129)-SUM(J$2:J129))</f>
        <v/>
      </c>
      <c r="L129" s="46" t="n"/>
      <c r="M129">
        <f>IF(A129="","",IF(A129=A128,M128,N(M128)+1))</f>
        <v/>
      </c>
      <c r="N129">
        <f>IF(E129="",99999,E129)</f>
        <v/>
      </c>
      <c r="O129">
        <f>IF(E129="",0,IF(F129="",E129,F129))</f>
        <v/>
      </c>
      <c r="P129">
        <f>IF(E129="",1,MAX(1,(YEAR(O129)-YEAR(N129))*12+MONTH(O129)-MONTH(N129)+1))</f>
        <v/>
      </c>
      <c r="Q129">
        <f>IF(G129="",0,G129/P129)</f>
        <v/>
      </c>
      <c r="R129">
        <f>IF(H129="",0,H129/P129)</f>
        <v/>
      </c>
    </row>
    <row r="130">
      <c r="A130" s="43" t="n">
        <v>46065</v>
      </c>
      <c r="B130" s="28" t="inlineStr">
        <is>
          <t>Boss Wan (Jun 25)</t>
        </is>
      </c>
      <c r="C130" s="28" t="inlineStr">
        <is>
          <t>Boss Wan</t>
        </is>
      </c>
      <c r="D130" s="28" t="inlineStr">
        <is>
          <t>Yuran</t>
        </is>
      </c>
      <c r="E130" s="44" t="n">
        <v>45809</v>
      </c>
      <c r="F130" s="44" t="n"/>
      <c r="G130" s="23" t="n"/>
      <c r="H130" s="23" t="n">
        <v>50</v>
      </c>
      <c r="I130" s="23" t="n"/>
      <c r="J130" s="23" t="n"/>
      <c r="K130" s="45">
        <f>IF(A130="","",SUM(G$2:I130)-SUM(J$2:J130))</f>
        <v/>
      </c>
      <c r="L130" s="46" t="n"/>
      <c r="M130">
        <f>IF(A130="","",IF(A130=A129,M129,N(M129)+1))</f>
        <v/>
      </c>
      <c r="N130">
        <f>IF(E130="",99999,E130)</f>
        <v/>
      </c>
      <c r="O130">
        <f>IF(E130="",0,IF(F130="",E130,F130))</f>
        <v/>
      </c>
      <c r="P130">
        <f>IF(E130="",1,MAX(1,(YEAR(O130)-YEAR(N130))*12+MONTH(O130)-MONTH(N130)+1))</f>
        <v/>
      </c>
      <c r="Q130">
        <f>IF(G130="",0,G130/P130)</f>
        <v/>
      </c>
      <c r="R130">
        <f>IF(H130="",0,H130/P130)</f>
        <v/>
      </c>
    </row>
    <row r="131">
      <c r="A131" s="43" t="n">
        <v>46065</v>
      </c>
      <c r="B131" s="28" t="inlineStr">
        <is>
          <t>Chang (Feb 26)</t>
        </is>
      </c>
      <c r="C131" s="28" t="inlineStr">
        <is>
          <t>Chang</t>
        </is>
      </c>
      <c r="D131" s="28" t="inlineStr">
        <is>
          <t>Yuran</t>
        </is>
      </c>
      <c r="E131" s="44" t="n">
        <v>46054</v>
      </c>
      <c r="F131" s="44" t="n"/>
      <c r="G131" s="23" t="n">
        <v>35</v>
      </c>
      <c r="H131" s="23" t="n">
        <v>50</v>
      </c>
      <c r="I131" s="23" t="n"/>
      <c r="J131" s="23" t="n"/>
      <c r="K131" s="45">
        <f>IF(A131="","",SUM(G$2:I131)-SUM(J$2:J131))</f>
        <v/>
      </c>
      <c r="L131" s="46" t="n"/>
      <c r="M131">
        <f>IF(A131="","",IF(A131=A130,M130,N(M130)+1))</f>
        <v/>
      </c>
      <c r="N131">
        <f>IF(E131="",99999,E131)</f>
        <v/>
      </c>
      <c r="O131">
        <f>IF(E131="",0,IF(F131="",E131,F131))</f>
        <v/>
      </c>
      <c r="P131">
        <f>IF(E131="",1,MAX(1,(YEAR(O131)-YEAR(N131))*12+MONTH(O131)-MONTH(N131)+1))</f>
        <v/>
      </c>
      <c r="Q131">
        <f>IF(G131="",0,G131/P131)</f>
        <v/>
      </c>
      <c r="R131">
        <f>IF(H131="",0,H131/P131)</f>
        <v/>
      </c>
    </row>
    <row r="132">
      <c r="A132" s="43" t="n">
        <v>46065</v>
      </c>
      <c r="B132" s="28" t="inlineStr">
        <is>
          <t>Deposit Trip ke Satun</t>
        </is>
      </c>
      <c r="C132" s="28" t="n"/>
      <c r="D132" s="28" t="inlineStr">
        <is>
          <t>Lawatan / Trip</t>
        </is>
      </c>
      <c r="E132" s="44" t="n"/>
      <c r="F132" s="44" t="n"/>
      <c r="G132" s="23" t="n"/>
      <c r="H132" s="23" t="n"/>
      <c r="I132" s="23" t="n"/>
      <c r="J132" s="23" t="n">
        <v>1500</v>
      </c>
      <c r="K132" s="45">
        <f>IF(A132="","",SUM(G$2:I132)-SUM(J$2:J132))</f>
        <v/>
      </c>
      <c r="L132" s="46" t="n"/>
      <c r="M132">
        <f>IF(A132="","",IF(A132=A131,M131,N(M131)+1))</f>
        <v/>
      </c>
      <c r="N132">
        <f>IF(E132="",99999,E132)</f>
        <v/>
      </c>
      <c r="O132">
        <f>IF(E132="",0,IF(F132="",E132,F132))</f>
        <v/>
      </c>
      <c r="P132">
        <f>IF(E132="",1,MAX(1,(YEAR(O132)-YEAR(N132))*12+MONTH(O132)-MONTH(N132)+1))</f>
        <v/>
      </c>
      <c r="Q132">
        <f>IF(G132="",0,G132/P132)</f>
        <v/>
      </c>
      <c r="R132">
        <f>IF(H132="",0,H132/P132)</f>
        <v/>
      </c>
    </row>
    <row r="133">
      <c r="A133" s="43" t="n">
        <v>46066</v>
      </c>
      <c r="B133" s="28" t="inlineStr">
        <is>
          <t>Aiman (Feb 26)</t>
        </is>
      </c>
      <c r="C133" s="28" t="inlineStr">
        <is>
          <t>Aiman</t>
        </is>
      </c>
      <c r="D133" s="28" t="inlineStr">
        <is>
          <t>Yuran</t>
        </is>
      </c>
      <c r="E133" s="44" t="n">
        <v>46054</v>
      </c>
      <c r="F133" s="44" t="n"/>
      <c r="G133" s="23" t="n">
        <v>35</v>
      </c>
      <c r="H133" s="23" t="n">
        <v>50</v>
      </c>
      <c r="I133" s="23" t="n"/>
      <c r="J133" s="23" t="n"/>
      <c r="K133" s="45">
        <f>IF(A133="","",SUM(G$2:I133)-SUM(J$2:J133))</f>
        <v/>
      </c>
      <c r="L133" s="46" t="n"/>
      <c r="M133">
        <f>IF(A133="","",IF(A133=A132,M132,N(M132)+1))</f>
        <v/>
      </c>
      <c r="N133">
        <f>IF(E133="",99999,E133)</f>
        <v/>
      </c>
      <c r="O133">
        <f>IF(E133="",0,IF(F133="",E133,F133))</f>
        <v/>
      </c>
      <c r="P133">
        <f>IF(E133="",1,MAX(1,(YEAR(O133)-YEAR(N133))*12+MONTH(O133)-MONTH(N133)+1))</f>
        <v/>
      </c>
      <c r="Q133">
        <f>IF(G133="",0,G133/P133)</f>
        <v/>
      </c>
      <c r="R133">
        <f>IF(H133="",0,H133/P133)</f>
        <v/>
      </c>
    </row>
    <row r="134">
      <c r="A134" s="43" t="n">
        <v>46067</v>
      </c>
      <c r="B134" s="28" t="inlineStr">
        <is>
          <t>Asnawi (Feb 26)</t>
        </is>
      </c>
      <c r="C134" s="28" t="inlineStr">
        <is>
          <t>Asnawi</t>
        </is>
      </c>
      <c r="D134" s="28" t="inlineStr">
        <is>
          <t>Yuran</t>
        </is>
      </c>
      <c r="E134" s="44" t="n">
        <v>46054</v>
      </c>
      <c r="F134" s="44" t="n"/>
      <c r="G134" s="23" t="n">
        <v>35</v>
      </c>
      <c r="H134" s="23" t="n">
        <v>50</v>
      </c>
      <c r="I134" s="23" t="n"/>
      <c r="J134" s="23" t="n"/>
      <c r="K134" s="45">
        <f>IF(A134="","",SUM(G$2:I134)-SUM(J$2:J134))</f>
        <v/>
      </c>
      <c r="L134" s="46" t="n"/>
      <c r="M134">
        <f>IF(A134="","",IF(A134=A133,M133,N(M133)+1))</f>
        <v/>
      </c>
      <c r="N134">
        <f>IF(E134="",99999,E134)</f>
        <v/>
      </c>
      <c r="O134">
        <f>IF(E134="",0,IF(F134="",E134,F134))</f>
        <v/>
      </c>
      <c r="P134">
        <f>IF(E134="",1,MAX(1,(YEAR(O134)-YEAR(N134))*12+MONTH(O134)-MONTH(N134)+1))</f>
        <v/>
      </c>
      <c r="Q134">
        <f>IF(G134="",0,G134/P134)</f>
        <v/>
      </c>
      <c r="R134">
        <f>IF(H134="",0,H134/P134)</f>
        <v/>
      </c>
    </row>
    <row r="135">
      <c r="A135" s="43" t="n">
        <v>46076</v>
      </c>
      <c r="B135" s="28" t="inlineStr">
        <is>
          <t>Hasnol (Jul–Nov 25)</t>
        </is>
      </c>
      <c r="C135" s="28" t="inlineStr">
        <is>
          <t>Hasnol</t>
        </is>
      </c>
      <c r="D135" s="28" t="inlineStr">
        <is>
          <t>Yuran</t>
        </is>
      </c>
      <c r="E135" s="44" t="n">
        <v>45839</v>
      </c>
      <c r="F135" s="44" t="n">
        <v>45962</v>
      </c>
      <c r="G135" s="23" t="n"/>
      <c r="H135" s="23" t="n">
        <v>204.55</v>
      </c>
      <c r="I135" s="23" t="n"/>
      <c r="J135" s="23" t="n"/>
      <c r="K135" s="45">
        <f>IF(A135="","",SUM(G$2:I135)-SUM(J$2:J135))</f>
        <v/>
      </c>
      <c r="L135" s="46" t="inlineStr">
        <is>
          <t>Semak: lawatan RM225 bukan RM275</t>
        </is>
      </c>
      <c r="M135">
        <f>IF(A135="","",IF(A135=A134,M134,N(M134)+1))</f>
        <v/>
      </c>
      <c r="N135">
        <f>IF(E135="",99999,E135)</f>
        <v/>
      </c>
      <c r="O135">
        <f>IF(E135="",0,IF(F135="",E135,F135))</f>
        <v/>
      </c>
      <c r="P135">
        <f>IF(E135="",1,MAX(1,(YEAR(O135)-YEAR(N135))*12+MONTH(O135)-MONTH(N135)+1))</f>
        <v/>
      </c>
      <c r="Q135">
        <f>IF(G135="",0,G135/P135)</f>
        <v/>
      </c>
      <c r="R135">
        <f>IF(H135="",0,H135/P135)</f>
        <v/>
      </c>
    </row>
    <row r="136">
      <c r="A136" s="43" t="n">
        <v>46076</v>
      </c>
      <c r="B136" s="28" t="inlineStr">
        <is>
          <t>Hasnol (Dis 25 separa)</t>
        </is>
      </c>
      <c r="C136" s="28" t="inlineStr">
        <is>
          <t>Hasnol</t>
        </is>
      </c>
      <c r="D136" s="28" t="inlineStr">
        <is>
          <t>Yuran</t>
        </is>
      </c>
      <c r="E136" s="44" t="n">
        <v>45992</v>
      </c>
      <c r="F136" s="44" t="n"/>
      <c r="G136" s="23" t="n"/>
      <c r="H136" s="23" t="n">
        <v>20.45</v>
      </c>
      <c r="I136" s="23" t="n"/>
      <c r="J136" s="23" t="n"/>
      <c r="K136" s="45">
        <f>IF(A136="","",SUM(G$2:I136)-SUM(J$2:J136))</f>
        <v/>
      </c>
      <c r="L136" s="46" t="inlineStr">
        <is>
          <t>Semak: lawatan RM225 bukan RM275</t>
        </is>
      </c>
      <c r="M136">
        <f>IF(A136="","",IF(A136=A135,M135,N(M135)+1))</f>
        <v/>
      </c>
      <c r="N136">
        <f>IF(E136="",99999,E136)</f>
        <v/>
      </c>
      <c r="O136">
        <f>IF(E136="",0,IF(F136="",E136,F136))</f>
        <v/>
      </c>
      <c r="P136">
        <f>IF(E136="",1,MAX(1,(YEAR(O136)-YEAR(N136))*12+MONTH(O136)-MONTH(N136)+1))</f>
        <v/>
      </c>
      <c r="Q136">
        <f>IF(G136="",0,G136/P136)</f>
        <v/>
      </c>
      <c r="R136">
        <f>IF(H136="",0,H136/P136)</f>
        <v/>
      </c>
    </row>
    <row r="137">
      <c r="A137" s="43" t="n">
        <v>46076</v>
      </c>
      <c r="B137" s="28" t="inlineStr">
        <is>
          <t>Ustaz (Jan–Feb 26)</t>
        </is>
      </c>
      <c r="C137" s="28" t="inlineStr">
        <is>
          <t>Ustaz</t>
        </is>
      </c>
      <c r="D137" s="28" t="inlineStr">
        <is>
          <t>Yuran</t>
        </is>
      </c>
      <c r="E137" s="44" t="n">
        <v>46023</v>
      </c>
      <c r="F137" s="44" t="n">
        <v>46054</v>
      </c>
      <c r="G137" s="23" t="n"/>
      <c r="H137" s="23" t="n">
        <v>100</v>
      </c>
      <c r="I137" s="23" t="n"/>
      <c r="J137" s="23" t="n"/>
      <c r="K137" s="45">
        <f>IF(A137="","",SUM(G$2:I137)-SUM(J$2:J137))</f>
        <v/>
      </c>
      <c r="L137" s="46" t="n"/>
      <c r="M137">
        <f>IF(A137="","",IF(A137=A136,M136,N(M136)+1))</f>
        <v/>
      </c>
      <c r="N137">
        <f>IF(E137="",99999,E137)</f>
        <v/>
      </c>
      <c r="O137">
        <f>IF(E137="",0,IF(F137="",E137,F137))</f>
        <v/>
      </c>
      <c r="P137">
        <f>IF(E137="",1,MAX(1,(YEAR(O137)-YEAR(N137))*12+MONTH(O137)-MONTH(N137)+1))</f>
        <v/>
      </c>
      <c r="Q137">
        <f>IF(G137="",0,G137/P137)</f>
        <v/>
      </c>
      <c r="R137">
        <f>IF(H137="",0,H137/P137)</f>
        <v/>
      </c>
    </row>
    <row r="138">
      <c r="A138" s="43" t="n">
        <v>46078</v>
      </c>
      <c r="B138" s="28" t="inlineStr">
        <is>
          <t>Deposit Trip ke Satun</t>
        </is>
      </c>
      <c r="C138" s="28" t="n"/>
      <c r="D138" s="28" t="inlineStr">
        <is>
          <t>Lawatan / Trip</t>
        </is>
      </c>
      <c r="E138" s="44" t="n"/>
      <c r="F138" s="44" t="n"/>
      <c r="G138" s="23" t="n"/>
      <c r="H138" s="23" t="n"/>
      <c r="I138" s="23" t="n"/>
      <c r="J138" s="23" t="n">
        <v>750</v>
      </c>
      <c r="K138" s="45">
        <f>IF(A138="","",SUM(G$2:I138)-SUM(J$2:J138))</f>
        <v/>
      </c>
      <c r="L138" s="46" t="n"/>
      <c r="M138">
        <f>IF(A138="","",IF(A138=A137,M137,N(M137)+1))</f>
        <v/>
      </c>
      <c r="N138">
        <f>IF(E138="",99999,E138)</f>
        <v/>
      </c>
      <c r="O138">
        <f>IF(E138="",0,IF(F138="",E138,F138))</f>
        <v/>
      </c>
      <c r="P138">
        <f>IF(E138="",1,MAX(1,(YEAR(O138)-YEAR(N138))*12+MONTH(O138)-MONTH(N138)+1))</f>
        <v/>
      </c>
      <c r="Q138">
        <f>IF(G138="",0,G138/P138)</f>
        <v/>
      </c>
      <c r="R138">
        <f>IF(H138="",0,H138/P138)</f>
        <v/>
      </c>
    </row>
    <row r="139">
      <c r="A139" s="43" t="n">
        <v>46078</v>
      </c>
      <c r="B139" s="28" t="inlineStr">
        <is>
          <t>Buku Perancangan Rasmi JPN Perak</t>
        </is>
      </c>
      <c r="C139" s="28" t="n"/>
      <c r="D139" s="28" t="inlineStr">
        <is>
          <t>Langganan / Bahan</t>
        </is>
      </c>
      <c r="E139" s="44" t="n"/>
      <c r="F139" s="44" t="n"/>
      <c r="G139" s="23" t="n"/>
      <c r="H139" s="23" t="n"/>
      <c r="I139" s="23" t="n"/>
      <c r="J139" s="23" t="n">
        <v>325</v>
      </c>
      <c r="K139" s="45">
        <f>IF(A139="","",SUM(G$2:I139)-SUM(J$2:J139))</f>
        <v/>
      </c>
      <c r="L139" s="46" t="n"/>
      <c r="M139">
        <f>IF(A139="","",IF(A139=A138,M138,N(M138)+1))</f>
        <v/>
      </c>
      <c r="N139">
        <f>IF(E139="",99999,E139)</f>
        <v/>
      </c>
      <c r="O139">
        <f>IF(E139="",0,IF(F139="",E139,F139))</f>
        <v/>
      </c>
      <c r="P139">
        <f>IF(E139="",1,MAX(1,(YEAR(O139)-YEAR(N139))*12+MONTH(O139)-MONTH(N139)+1))</f>
        <v/>
      </c>
      <c r="Q139">
        <f>IF(G139="",0,G139/P139)</f>
        <v/>
      </c>
      <c r="R139">
        <f>IF(H139="",0,H139/P139)</f>
        <v/>
      </c>
    </row>
    <row r="140">
      <c r="A140" s="43" t="n">
        <v>46079</v>
      </c>
      <c r="B140" s="28" t="inlineStr">
        <is>
          <t>Khairiri (Feb 26)</t>
        </is>
      </c>
      <c r="C140" s="28" t="inlineStr">
        <is>
          <t>Khairiri</t>
        </is>
      </c>
      <c r="D140" s="28" t="inlineStr">
        <is>
          <t>Yuran</t>
        </is>
      </c>
      <c r="E140" s="44" t="n">
        <v>46054</v>
      </c>
      <c r="F140" s="44" t="n"/>
      <c r="G140" s="23" t="n">
        <v>35</v>
      </c>
      <c r="H140" s="23" t="n">
        <v>50</v>
      </c>
      <c r="I140" s="23" t="n"/>
      <c r="J140" s="23" t="n"/>
      <c r="K140" s="45">
        <f>IF(A140="","",SUM(G$2:I140)-SUM(J$2:J140))</f>
        <v/>
      </c>
      <c r="L140" s="46" t="n"/>
      <c r="M140">
        <f>IF(A140="","",IF(A140=A139,M139,N(M139)+1))</f>
        <v/>
      </c>
      <c r="N140">
        <f>IF(E140="",99999,E140)</f>
        <v/>
      </c>
      <c r="O140">
        <f>IF(E140="",0,IF(F140="",E140,F140))</f>
        <v/>
      </c>
      <c r="P140">
        <f>IF(E140="",1,MAX(1,(YEAR(O140)-YEAR(N140))*12+MONTH(O140)-MONTH(N140)+1))</f>
        <v/>
      </c>
      <c r="Q140">
        <f>IF(G140="",0,G140/P140)</f>
        <v/>
      </c>
      <c r="R140">
        <f>IF(H140="",0,H140/P140)</f>
        <v/>
      </c>
    </row>
    <row r="141">
      <c r="A141" s="43" t="n">
        <v>46086</v>
      </c>
      <c r="B141" s="28" t="inlineStr">
        <is>
          <t>Amir (Feb 26)</t>
        </is>
      </c>
      <c r="C141" s="28" t="inlineStr">
        <is>
          <t>Amir</t>
        </is>
      </c>
      <c r="D141" s="28" t="inlineStr">
        <is>
          <t>Yuran</t>
        </is>
      </c>
      <c r="E141" s="44" t="n">
        <v>46054</v>
      </c>
      <c r="F141" s="44" t="n"/>
      <c r="G141" s="23" t="n">
        <v>35</v>
      </c>
      <c r="H141" s="23" t="n">
        <v>50</v>
      </c>
      <c r="I141" s="23" t="n"/>
      <c r="J141" s="23" t="n"/>
      <c r="K141" s="45">
        <f>IF(A141="","",SUM(G$2:I141)-SUM(J$2:J141))</f>
        <v/>
      </c>
      <c r="L141" s="46" t="n"/>
      <c r="M141">
        <f>IF(A141="","",IF(A141=A140,M140,N(M140)+1))</f>
        <v/>
      </c>
      <c r="N141">
        <f>IF(E141="",99999,E141)</f>
        <v/>
      </c>
      <c r="O141">
        <f>IF(E141="",0,IF(F141="",E141,F141))</f>
        <v/>
      </c>
      <c r="P141">
        <f>IF(E141="",1,MAX(1,(YEAR(O141)-YEAR(N141))*12+MONTH(O141)-MONTH(N141)+1))</f>
        <v/>
      </c>
      <c r="Q141">
        <f>IF(G141="",0,G141/P141)</f>
        <v/>
      </c>
      <c r="R141">
        <f>IF(H141="",0,H141/P141)</f>
        <v/>
      </c>
    </row>
    <row r="142">
      <c r="A142" s="43" t="n">
        <v>46086</v>
      </c>
      <c r="B142" s="28" t="inlineStr">
        <is>
          <t>Sumbangan kepada Anak BangMie</t>
        </is>
      </c>
      <c r="C142" s="28" t="n"/>
      <c r="D142" s="28" t="inlineStr">
        <is>
          <t>Majlis &amp; Hadiah</t>
        </is>
      </c>
      <c r="E142" s="44" t="n"/>
      <c r="F142" s="44" t="n"/>
      <c r="G142" s="23" t="n"/>
      <c r="H142" s="23" t="n"/>
      <c r="I142" s="23" t="n"/>
      <c r="J142" s="23" t="n">
        <v>50</v>
      </c>
      <c r="K142" s="45">
        <f>IF(A142="","",SUM(G$2:I142)-SUM(J$2:J142))</f>
        <v/>
      </c>
      <c r="L142" s="46" t="n"/>
      <c r="M142">
        <f>IF(A142="","",IF(A142=A141,M141,N(M141)+1))</f>
        <v/>
      </c>
      <c r="N142">
        <f>IF(E142="",99999,E142)</f>
        <v/>
      </c>
      <c r="O142">
        <f>IF(E142="",0,IF(F142="",E142,F142))</f>
        <v/>
      </c>
      <c r="P142">
        <f>IF(E142="",1,MAX(1,(YEAR(O142)-YEAR(N142))*12+MONTH(O142)-MONTH(N142)+1))</f>
        <v/>
      </c>
      <c r="Q142">
        <f>IF(G142="",0,G142/P142)</f>
        <v/>
      </c>
      <c r="R142">
        <f>IF(H142="",0,H142/P142)</f>
        <v/>
      </c>
    </row>
    <row r="143">
      <c r="A143" s="43" t="n">
        <v>46090</v>
      </c>
      <c r="B143" s="28" t="inlineStr">
        <is>
          <t>Bayaran Semua Lawatan - Asnawi</t>
        </is>
      </c>
      <c r="C143" s="28" t="inlineStr">
        <is>
          <t>Asnawi</t>
        </is>
      </c>
      <c r="D143" s="28" t="inlineStr">
        <is>
          <t>Lawatan / Trip</t>
        </is>
      </c>
      <c r="E143" s="44" t="n"/>
      <c r="F143" s="44" t="n"/>
      <c r="G143" s="23" t="n"/>
      <c r="H143" s="23" t="n"/>
      <c r="I143" s="23" t="n"/>
      <c r="J143" s="23" t="n">
        <v>2355</v>
      </c>
      <c r="K143" s="45">
        <f>IF(A143="","",SUM(G$2:I143)-SUM(J$2:J143))</f>
        <v/>
      </c>
      <c r="L143" s="46" t="n"/>
      <c r="M143">
        <f>IF(A143="","",IF(A143=A142,M142,N(M142)+1))</f>
        <v/>
      </c>
      <c r="N143">
        <f>IF(E143="",99999,E143)</f>
        <v/>
      </c>
      <c r="O143">
        <f>IF(E143="",0,IF(F143="",E143,F143))</f>
        <v/>
      </c>
      <c r="P143">
        <f>IF(E143="",1,MAX(1,(YEAR(O143)-YEAR(N143))*12+MONTH(O143)-MONTH(N143)+1))</f>
        <v/>
      </c>
      <c r="Q143">
        <f>IF(G143="",0,G143/P143)</f>
        <v/>
      </c>
      <c r="R143">
        <f>IF(H143="",0,H143/P143)</f>
        <v/>
      </c>
    </row>
    <row r="144">
      <c r="A144" s="43" t="n">
        <v>46092</v>
      </c>
      <c r="B144" s="28" t="inlineStr">
        <is>
          <t>Sumbangan Kahwin Aiman - Asnawi</t>
        </is>
      </c>
      <c r="C144" s="28" t="inlineStr">
        <is>
          <t>Asnawi</t>
        </is>
      </c>
      <c r="D144" s="28" t="inlineStr">
        <is>
          <t>Majlis &amp; Hadiah</t>
        </is>
      </c>
      <c r="E144" s="44" t="n"/>
      <c r="F144" s="44" t="n"/>
      <c r="G144" s="23" t="n"/>
      <c r="H144" s="23" t="n"/>
      <c r="I144" s="23" t="n"/>
      <c r="J144" s="23" t="n">
        <v>200</v>
      </c>
      <c r="K144" s="45">
        <f>IF(A144="","",SUM(G$2:I144)-SUM(J$2:J144))</f>
        <v/>
      </c>
      <c r="L144" s="46" t="n"/>
      <c r="M144">
        <f>IF(A144="","",IF(A144=A143,M143,N(M143)+1))</f>
        <v/>
      </c>
      <c r="N144">
        <f>IF(E144="",99999,E144)</f>
        <v/>
      </c>
      <c r="O144">
        <f>IF(E144="",0,IF(F144="",E144,F144))</f>
        <v/>
      </c>
      <c r="P144">
        <f>IF(E144="",1,MAX(1,(YEAR(O144)-YEAR(N144))*12+MONTH(O144)-MONTH(N144)+1))</f>
        <v/>
      </c>
      <c r="Q144">
        <f>IF(G144="",0,G144/P144)</f>
        <v/>
      </c>
      <c r="R144">
        <f>IF(H144="",0,H144/P144)</f>
        <v/>
      </c>
    </row>
    <row r="145">
      <c r="A145" s="43" t="n">
        <v>46094</v>
      </c>
      <c r="B145" s="28" t="inlineStr">
        <is>
          <t>Asnawi (Mac 26)</t>
        </is>
      </c>
      <c r="C145" s="28" t="inlineStr">
        <is>
          <t>Asnawi</t>
        </is>
      </c>
      <c r="D145" s="28" t="inlineStr">
        <is>
          <t>Yuran</t>
        </is>
      </c>
      <c r="E145" s="44" t="n">
        <v>46082</v>
      </c>
      <c r="F145" s="44" t="n"/>
      <c r="G145" s="23" t="n">
        <v>35</v>
      </c>
      <c r="H145" s="23" t="n"/>
      <c r="I145" s="23" t="n"/>
      <c r="J145" s="23" t="n"/>
      <c r="K145" s="45">
        <f>IF(A145="","",SUM(G$2:I145)-SUM(J$2:J145))</f>
        <v/>
      </c>
      <c r="L145" s="46" t="n"/>
      <c r="M145">
        <f>IF(A145="","",IF(A145=A144,M144,N(M144)+1))</f>
        <v/>
      </c>
      <c r="N145">
        <f>IF(E145="",99999,E145)</f>
        <v/>
      </c>
      <c r="O145">
        <f>IF(E145="",0,IF(F145="",E145,F145))</f>
        <v/>
      </c>
      <c r="P145">
        <f>IF(E145="",1,MAX(1,(YEAR(O145)-YEAR(N145))*12+MONTH(O145)-MONTH(N145)+1))</f>
        <v/>
      </c>
      <c r="Q145">
        <f>IF(G145="",0,G145/P145)</f>
        <v/>
      </c>
      <c r="R145">
        <f>IF(H145="",0,H145/P145)</f>
        <v/>
      </c>
    </row>
    <row r="146">
      <c r="A146" s="43" t="n">
        <v>46094</v>
      </c>
      <c r="B146" s="28" t="inlineStr">
        <is>
          <t>Khairiri (Mac 26) - Hutang Lawatan</t>
        </is>
      </c>
      <c r="C146" s="28" t="inlineStr">
        <is>
          <t>Khairiri</t>
        </is>
      </c>
      <c r="D146" s="28" t="inlineStr">
        <is>
          <t>Yuran</t>
        </is>
      </c>
      <c r="E146" s="44" t="n">
        <v>46082</v>
      </c>
      <c r="F146" s="44" t="n"/>
      <c r="G146" s="23" t="n">
        <v>35</v>
      </c>
      <c r="H146" s="23" t="n">
        <v>100</v>
      </c>
      <c r="I146" s="23" t="n"/>
      <c r="J146" s="23" t="n"/>
      <c r="K146" s="45">
        <f>IF(A146="","",SUM(G$2:I146)-SUM(J$2:J146))</f>
        <v/>
      </c>
      <c r="L146" s="46" t="inlineStr">
        <is>
          <t>Semak: lawatan RM100 bukan RM50</t>
        </is>
      </c>
      <c r="M146">
        <f>IF(A146="","",IF(A146=A145,M145,N(M145)+1))</f>
        <v/>
      </c>
      <c r="N146">
        <f>IF(E146="",99999,E146)</f>
        <v/>
      </c>
      <c r="O146">
        <f>IF(E146="",0,IF(F146="",E146,F146))</f>
        <v/>
      </c>
      <c r="P146">
        <f>IF(E146="",1,MAX(1,(YEAR(O146)-YEAR(N146))*12+MONTH(O146)-MONTH(N146)+1))</f>
        <v/>
      </c>
      <c r="Q146">
        <f>IF(G146="",0,G146/P146)</f>
        <v/>
      </c>
      <c r="R146">
        <f>IF(H146="",0,H146/P146)</f>
        <v/>
      </c>
    </row>
    <row r="147">
      <c r="A147" s="43" t="n">
        <v>46094</v>
      </c>
      <c r="B147" s="28" t="inlineStr">
        <is>
          <t>Amir (Mac 26)</t>
        </is>
      </c>
      <c r="C147" s="28" t="inlineStr">
        <is>
          <t>Amir</t>
        </is>
      </c>
      <c r="D147" s="28" t="inlineStr">
        <is>
          <t>Yuran</t>
        </is>
      </c>
      <c r="E147" s="44" t="n">
        <v>46082</v>
      </c>
      <c r="F147" s="44" t="n"/>
      <c r="G147" s="23" t="n">
        <v>35</v>
      </c>
      <c r="H147" s="23" t="n"/>
      <c r="I147" s="23" t="n"/>
      <c r="J147" s="23" t="n"/>
      <c r="K147" s="45">
        <f>IF(A147="","",SUM(G$2:I147)-SUM(J$2:J147))</f>
        <v/>
      </c>
      <c r="L147" s="46" t="n"/>
      <c r="M147">
        <f>IF(A147="","",IF(A147=A146,M146,N(M146)+1))</f>
        <v/>
      </c>
      <c r="N147">
        <f>IF(E147="",99999,E147)</f>
        <v/>
      </c>
      <c r="O147">
        <f>IF(E147="",0,IF(F147="",E147,F147))</f>
        <v/>
      </c>
      <c r="P147">
        <f>IF(E147="",1,MAX(1,(YEAR(O147)-YEAR(N147))*12+MONTH(O147)-MONTH(N147)+1))</f>
        <v/>
      </c>
      <c r="Q147">
        <f>IF(G147="",0,G147/P147)</f>
        <v/>
      </c>
      <c r="R147">
        <f>IF(H147="",0,H147/P147)</f>
        <v/>
      </c>
    </row>
    <row r="148">
      <c r="A148" s="43" t="n">
        <v>46094</v>
      </c>
      <c r="B148" s="28" t="inlineStr">
        <is>
          <t>Chang (Mac 26)</t>
        </is>
      </c>
      <c r="C148" s="28" t="inlineStr">
        <is>
          <t>Chang</t>
        </is>
      </c>
      <c r="D148" s="28" t="inlineStr">
        <is>
          <t>Yuran</t>
        </is>
      </c>
      <c r="E148" s="44" t="n">
        <v>46082</v>
      </c>
      <c r="F148" s="44" t="n"/>
      <c r="G148" s="23" t="n">
        <v>35</v>
      </c>
      <c r="H148" s="23" t="n"/>
      <c r="I148" s="23" t="n"/>
      <c r="J148" s="23" t="n"/>
      <c r="K148" s="45">
        <f>IF(A148="","",SUM(G$2:I148)-SUM(J$2:J148))</f>
        <v/>
      </c>
      <c r="L148" s="46" t="n"/>
      <c r="M148">
        <f>IF(A148="","",IF(A148=A147,M147,N(M147)+1))</f>
        <v/>
      </c>
      <c r="N148">
        <f>IF(E148="",99999,E148)</f>
        <v/>
      </c>
      <c r="O148">
        <f>IF(E148="",0,IF(F148="",E148,F148))</f>
        <v/>
      </c>
      <c r="P148">
        <f>IF(E148="",1,MAX(1,(YEAR(O148)-YEAR(N148))*12+MONTH(O148)-MONTH(N148)+1))</f>
        <v/>
      </c>
      <c r="Q148">
        <f>IF(G148="",0,G148/P148)</f>
        <v/>
      </c>
      <c r="R148">
        <f>IF(H148="",0,H148/P148)</f>
        <v/>
      </c>
    </row>
    <row r="149">
      <c r="A149" s="43" t="n">
        <v>46094</v>
      </c>
      <c r="B149" s="28" t="inlineStr">
        <is>
          <t>Kuchai (Mac 26)</t>
        </is>
      </c>
      <c r="C149" s="28" t="inlineStr">
        <is>
          <t>Kuchai</t>
        </is>
      </c>
      <c r="D149" s="28" t="inlineStr">
        <is>
          <t>Yuran</t>
        </is>
      </c>
      <c r="E149" s="44" t="n">
        <v>46082</v>
      </c>
      <c r="F149" s="44" t="n"/>
      <c r="G149" s="23" t="n">
        <v>35</v>
      </c>
      <c r="H149" s="23" t="n"/>
      <c r="I149" s="23" t="n"/>
      <c r="J149" s="23" t="n"/>
      <c r="K149" s="45">
        <f>IF(A149="","",SUM(G$2:I149)-SUM(J$2:J149))</f>
        <v/>
      </c>
      <c r="L149" s="46" t="n"/>
      <c r="M149">
        <f>IF(A149="","",IF(A149=A148,M148,N(M148)+1))</f>
        <v/>
      </c>
      <c r="N149">
        <f>IF(E149="",99999,E149)</f>
        <v/>
      </c>
      <c r="O149">
        <f>IF(E149="",0,IF(F149="",E149,F149))</f>
        <v/>
      </c>
      <c r="P149">
        <f>IF(E149="",1,MAX(1,(YEAR(O149)-YEAR(N149))*12+MONTH(O149)-MONTH(N149)+1))</f>
        <v/>
      </c>
      <c r="Q149">
        <f>IF(G149="",0,G149/P149)</f>
        <v/>
      </c>
      <c r="R149">
        <f>IF(H149="",0,H149/P149)</f>
        <v/>
      </c>
    </row>
    <row r="150">
      <c r="A150" s="43" t="n">
        <v>46094</v>
      </c>
      <c r="B150" s="28" t="inlineStr">
        <is>
          <t>Joe (Feb–Mac 26)</t>
        </is>
      </c>
      <c r="C150" s="28" t="inlineStr">
        <is>
          <t>Joe</t>
        </is>
      </c>
      <c r="D150" s="28" t="inlineStr">
        <is>
          <t>Yuran</t>
        </is>
      </c>
      <c r="E150" s="44" t="n">
        <v>46054</v>
      </c>
      <c r="F150" s="44" t="n">
        <v>46082</v>
      </c>
      <c r="G150" s="23" t="n">
        <v>70</v>
      </c>
      <c r="H150" s="23" t="n"/>
      <c r="I150" s="23" t="n"/>
      <c r="J150" s="23" t="n"/>
      <c r="K150" s="45">
        <f>IF(A150="","",SUM(G$2:I150)-SUM(J$2:J150))</f>
        <v/>
      </c>
      <c r="L150" s="46" t="n"/>
      <c r="M150">
        <f>IF(A150="","",IF(A150=A149,M149,N(M149)+1))</f>
        <v/>
      </c>
      <c r="N150">
        <f>IF(E150="",99999,E150)</f>
        <v/>
      </c>
      <c r="O150">
        <f>IF(E150="",0,IF(F150="",E150,F150))</f>
        <v/>
      </c>
      <c r="P150">
        <f>IF(E150="",1,MAX(1,(YEAR(O150)-YEAR(N150))*12+MONTH(O150)-MONTH(N150)+1))</f>
        <v/>
      </c>
      <c r="Q150">
        <f>IF(G150="",0,G150/P150)</f>
        <v/>
      </c>
      <c r="R150">
        <f>IF(H150="",0,H150/P150)</f>
        <v/>
      </c>
    </row>
    <row r="151">
      <c r="A151" s="43" t="n">
        <v>46094</v>
      </c>
      <c r="B151" s="28" t="inlineStr">
        <is>
          <t>Ustaz (Ogo–Sep 25)</t>
        </is>
      </c>
      <c r="C151" s="28" t="inlineStr">
        <is>
          <t>Ustaz</t>
        </is>
      </c>
      <c r="D151" s="28" t="inlineStr">
        <is>
          <t>Yuran</t>
        </is>
      </c>
      <c r="E151" s="44" t="n">
        <v>45870</v>
      </c>
      <c r="F151" s="44" t="n">
        <v>45901</v>
      </c>
      <c r="G151" s="23" t="n">
        <v>70</v>
      </c>
      <c r="H151" s="23" t="n"/>
      <c r="I151" s="23" t="n"/>
      <c r="J151" s="23" t="n"/>
      <c r="K151" s="45">
        <f>IF(A151="","",SUM(G$2:I151)-SUM(J$2:J151))</f>
        <v/>
      </c>
      <c r="L151" s="46" t="n"/>
      <c r="M151">
        <f>IF(A151="","",IF(A151=A150,M150,N(M150)+1))</f>
        <v/>
      </c>
      <c r="N151">
        <f>IF(E151="",99999,E151)</f>
        <v/>
      </c>
      <c r="O151">
        <f>IF(E151="",0,IF(F151="",E151,F151))</f>
        <v/>
      </c>
      <c r="P151">
        <f>IF(E151="",1,MAX(1,(YEAR(O151)-YEAR(N151))*12+MONTH(O151)-MONTH(N151)+1))</f>
        <v/>
      </c>
      <c r="Q151">
        <f>IF(G151="",0,G151/P151)</f>
        <v/>
      </c>
      <c r="R151">
        <f>IF(H151="",0,H151/P151)</f>
        <v/>
      </c>
    </row>
    <row r="152">
      <c r="A152" s="43" t="n">
        <v>46094</v>
      </c>
      <c r="B152" s="28" t="inlineStr">
        <is>
          <t>Ustaz (Mac 26)</t>
        </is>
      </c>
      <c r="C152" s="28" t="inlineStr">
        <is>
          <t>Ustaz</t>
        </is>
      </c>
      <c r="D152" s="28" t="inlineStr">
        <is>
          <t>Yuran</t>
        </is>
      </c>
      <c r="E152" s="44" t="n">
        <v>46082</v>
      </c>
      <c r="F152" s="44" t="n"/>
      <c r="G152" s="23" t="n">
        <v>35</v>
      </c>
      <c r="H152" s="23" t="n"/>
      <c r="I152" s="23" t="n"/>
      <c r="J152" s="23" t="n"/>
      <c r="K152" s="45">
        <f>IF(A152="","",SUM(G$2:I152)-SUM(J$2:J152))</f>
        <v/>
      </c>
      <c r="L152" s="46" t="n"/>
      <c r="M152">
        <f>IF(A152="","",IF(A152=A151,M151,N(M151)+1))</f>
        <v/>
      </c>
      <c r="N152">
        <f>IF(E152="",99999,E152)</f>
        <v/>
      </c>
      <c r="O152">
        <f>IF(E152="",0,IF(F152="",E152,F152))</f>
        <v/>
      </c>
      <c r="P152">
        <f>IF(E152="",1,MAX(1,(YEAR(O152)-YEAR(N152))*12+MONTH(O152)-MONTH(N152)+1))</f>
        <v/>
      </c>
      <c r="Q152">
        <f>IF(G152="",0,G152/P152)</f>
        <v/>
      </c>
      <c r="R152">
        <f>IF(H152="",0,H152/P152)</f>
        <v/>
      </c>
    </row>
    <row r="153">
      <c r="A153" s="43" t="n">
        <v>46094</v>
      </c>
      <c r="B153" s="28" t="inlineStr">
        <is>
          <t>Boss Wan (Apr 26)</t>
        </is>
      </c>
      <c r="C153" s="28" t="inlineStr">
        <is>
          <t>Boss Wan</t>
        </is>
      </c>
      <c r="D153" s="28" t="inlineStr">
        <is>
          <t>Yuran</t>
        </is>
      </c>
      <c r="E153" s="44" t="n">
        <v>46113</v>
      </c>
      <c r="F153" s="44" t="n"/>
      <c r="G153" s="23" t="n">
        <v>35</v>
      </c>
      <c r="H153" s="23" t="n"/>
      <c r="I153" s="23" t="n"/>
      <c r="J153" s="23" t="n"/>
      <c r="K153" s="45">
        <f>IF(A153="","",SUM(G$2:I153)-SUM(J$2:J153))</f>
        <v/>
      </c>
      <c r="L153" s="46" t="n"/>
      <c r="M153">
        <f>IF(A153="","",IF(A153=A152,M152,N(M152)+1))</f>
        <v/>
      </c>
      <c r="N153">
        <f>IF(E153="",99999,E153)</f>
        <v/>
      </c>
      <c r="O153">
        <f>IF(E153="",0,IF(F153="",E153,F153))</f>
        <v/>
      </c>
      <c r="P153">
        <f>IF(E153="",1,MAX(1,(YEAR(O153)-YEAR(N153))*12+MONTH(O153)-MONTH(N153)+1))</f>
        <v/>
      </c>
      <c r="Q153">
        <f>IF(G153="",0,G153/P153)</f>
        <v/>
      </c>
      <c r="R153">
        <f>IF(H153="",0,H153/P153)</f>
        <v/>
      </c>
    </row>
    <row r="154">
      <c r="A154" s="43" t="n">
        <v>46094</v>
      </c>
      <c r="B154" s="28" t="inlineStr">
        <is>
          <t>Khairiri (Hutang Lawatan)</t>
        </is>
      </c>
      <c r="C154" s="28" t="inlineStr">
        <is>
          <t>Khairiri</t>
        </is>
      </c>
      <c r="D154" s="28" t="inlineStr">
        <is>
          <t>Lawatan / Trip</t>
        </is>
      </c>
      <c r="E154" s="44" t="n"/>
      <c r="F154" s="44" t="n"/>
      <c r="G154" s="23" t="n"/>
      <c r="H154" s="23" t="n"/>
      <c r="I154" s="23" t="n"/>
      <c r="J154" s="23" t="n">
        <v>100</v>
      </c>
      <c r="K154" s="45">
        <f>IF(A154="","",SUM(G$2:I154)-SUM(J$2:J154))</f>
        <v/>
      </c>
      <c r="L154" s="46" t="n"/>
      <c r="M154">
        <f>IF(A154="","",IF(A154=A153,M153,N(M153)+1))</f>
        <v/>
      </c>
      <c r="N154">
        <f>IF(E154="",99999,E154)</f>
        <v/>
      </c>
      <c r="O154">
        <f>IF(E154="",0,IF(F154="",E154,F154))</f>
        <v/>
      </c>
      <c r="P154">
        <f>IF(E154="",1,MAX(1,(YEAR(O154)-YEAR(N154))*12+MONTH(O154)-MONTH(N154)+1))</f>
        <v/>
      </c>
      <c r="Q154">
        <f>IF(G154="",0,G154/P154)</f>
        <v/>
      </c>
      <c r="R154">
        <f>IF(H154="",0,H154/P154)</f>
        <v/>
      </c>
    </row>
    <row r="155">
      <c r="A155" s="43" t="n">
        <v>46098</v>
      </c>
      <c r="B155" s="28" t="inlineStr">
        <is>
          <t>Makanan Jamuan Raya - Wafi</t>
        </is>
      </c>
      <c r="C155" s="28" t="inlineStr">
        <is>
          <t>Wafi</t>
        </is>
      </c>
      <c r="D155" s="28" t="inlineStr">
        <is>
          <t>Majlis &amp; Hadiah</t>
        </is>
      </c>
      <c r="E155" s="44" t="n"/>
      <c r="F155" s="44" t="n"/>
      <c r="G155" s="23" t="n"/>
      <c r="H155" s="23" t="n"/>
      <c r="I155" s="23" t="n"/>
      <c r="J155" s="23" t="n">
        <v>600</v>
      </c>
      <c r="K155" s="45">
        <f>IF(A155="","",SUM(G$2:I155)-SUM(J$2:J155))</f>
        <v/>
      </c>
      <c r="L155" s="46" t="n"/>
      <c r="M155">
        <f>IF(A155="","",IF(A155=A154,M154,N(M154)+1))</f>
        <v/>
      </c>
      <c r="N155">
        <f>IF(E155="",99999,E155)</f>
        <v/>
      </c>
      <c r="O155">
        <f>IF(E155="",0,IF(F155="",E155,F155))</f>
        <v/>
      </c>
      <c r="P155">
        <f>IF(E155="",1,MAX(1,(YEAR(O155)-YEAR(N155))*12+MONTH(O155)-MONTH(N155)+1))</f>
        <v/>
      </c>
      <c r="Q155">
        <f>IF(G155="",0,G155/P155)</f>
        <v/>
      </c>
      <c r="R155">
        <f>IF(H155="",0,H155/P155)</f>
        <v/>
      </c>
    </row>
    <row r="156">
      <c r="A156" s="43" t="n">
        <v>46112</v>
      </c>
      <c r="B156" s="28" t="inlineStr">
        <is>
          <t>Hadi (Ogo 25)</t>
        </is>
      </c>
      <c r="C156" s="28" t="inlineStr">
        <is>
          <t>Hadi</t>
        </is>
      </c>
      <c r="D156" s="28" t="inlineStr">
        <is>
          <t>Yuran</t>
        </is>
      </c>
      <c r="E156" s="44" t="n">
        <v>45870</v>
      </c>
      <c r="F156" s="44" t="n"/>
      <c r="G156" s="23" t="n">
        <v>35</v>
      </c>
      <c r="H156" s="23" t="n"/>
      <c r="I156" s="23" t="n"/>
      <c r="J156" s="23" t="n"/>
      <c r="K156" s="45">
        <f>IF(A156="","",SUM(G$2:I156)-SUM(J$2:J156))</f>
        <v/>
      </c>
      <c r="L156" s="46" t="n"/>
      <c r="M156">
        <f>IF(A156="","",IF(A156=A155,M155,N(M155)+1))</f>
        <v/>
      </c>
      <c r="N156">
        <f>IF(E156="",99999,E156)</f>
        <v/>
      </c>
      <c r="O156">
        <f>IF(E156="",0,IF(F156="",E156,F156))</f>
        <v/>
      </c>
      <c r="P156">
        <f>IF(E156="",1,MAX(1,(YEAR(O156)-YEAR(N156))*12+MONTH(O156)-MONTH(N156)+1))</f>
        <v/>
      </c>
      <c r="Q156">
        <f>IF(G156="",0,G156/P156)</f>
        <v/>
      </c>
      <c r="R156">
        <f>IF(H156="",0,H156/P156)</f>
        <v/>
      </c>
    </row>
    <row r="157">
      <c r="A157" s="43" t="n">
        <v>46112</v>
      </c>
      <c r="B157" s="28" t="inlineStr">
        <is>
          <t>Hadi (Mac 26)</t>
        </is>
      </c>
      <c r="C157" s="28" t="inlineStr">
        <is>
          <t>Hadi</t>
        </is>
      </c>
      <c r="D157" s="28" t="inlineStr">
        <is>
          <t>Yuran</t>
        </is>
      </c>
      <c r="E157" s="44" t="n">
        <v>46082</v>
      </c>
      <c r="F157" s="44" t="n"/>
      <c r="G157" s="23" t="n">
        <v>35</v>
      </c>
      <c r="H157" s="23" t="n"/>
      <c r="I157" s="23" t="n"/>
      <c r="J157" s="23" t="n"/>
      <c r="K157" s="45">
        <f>IF(A157="","",SUM(G$2:I157)-SUM(J$2:J157))</f>
        <v/>
      </c>
      <c r="L157" s="46" t="n"/>
      <c r="M157">
        <f>IF(A157="","",IF(A157=A156,M156,N(M156)+1))</f>
        <v/>
      </c>
      <c r="N157">
        <f>IF(E157="",99999,E157)</f>
        <v/>
      </c>
      <c r="O157">
        <f>IF(E157="",0,IF(F157="",E157,F157))</f>
        <v/>
      </c>
      <c r="P157">
        <f>IF(E157="",1,MAX(1,(YEAR(O157)-YEAR(N157))*12+MONTH(O157)-MONTH(N157)+1))</f>
        <v/>
      </c>
      <c r="Q157">
        <f>IF(G157="",0,G157/P157)</f>
        <v/>
      </c>
      <c r="R157">
        <f>IF(H157="",0,H157/P157)</f>
        <v/>
      </c>
    </row>
    <row r="158">
      <c r="A158" s="43" t="n">
        <v>46112</v>
      </c>
      <c r="B158" s="28" t="inlineStr">
        <is>
          <t>Ustaz</t>
        </is>
      </c>
      <c r="C158" s="28" t="inlineStr">
        <is>
          <t>Ustaz</t>
        </is>
      </c>
      <c r="D158" s="28" t="inlineStr">
        <is>
          <t>Yuran</t>
        </is>
      </c>
      <c r="E158" s="44" t="n"/>
      <c r="F158" s="44" t="n"/>
      <c r="G158" s="23" t="n"/>
      <c r="H158" s="23" t="n">
        <v>100</v>
      </c>
      <c r="I158" s="23" t="n"/>
      <c r="J158" s="23" t="n"/>
      <c r="K158" s="45">
        <f>IF(A158="","",SUM(G$2:I158)-SUM(J$2:J158))</f>
        <v/>
      </c>
      <c r="L158" s="46" t="inlineStr">
        <is>
          <t>Bulan?</t>
        </is>
      </c>
      <c r="M158">
        <f>IF(A158="","",IF(A158=A157,M157,N(M157)+1))</f>
        <v/>
      </c>
      <c r="N158">
        <f>IF(E158="",99999,E158)</f>
        <v/>
      </c>
      <c r="O158">
        <f>IF(E158="",0,IF(F158="",E158,F158))</f>
        <v/>
      </c>
      <c r="P158">
        <f>IF(E158="",1,MAX(1,(YEAR(O158)-YEAR(N158))*12+MONTH(O158)-MONTH(N158)+1))</f>
        <v/>
      </c>
      <c r="Q158">
        <f>IF(G158="",0,G158/P158)</f>
        <v/>
      </c>
      <c r="R158">
        <f>IF(H158="",0,H158/P158)</f>
        <v/>
      </c>
    </row>
    <row r="159">
      <c r="A159" s="43" t="n">
        <v>46112</v>
      </c>
      <c r="B159" s="28" t="inlineStr">
        <is>
          <t>Majlis Perpisahan Wafi - Asnawi</t>
        </is>
      </c>
      <c r="C159" s="28" t="inlineStr">
        <is>
          <t>Asnawi</t>
        </is>
      </c>
      <c r="D159" s="28" t="inlineStr">
        <is>
          <t>Majlis &amp; Hadiah</t>
        </is>
      </c>
      <c r="E159" s="44" t="n"/>
      <c r="F159" s="44" t="n"/>
      <c r="G159" s="23" t="n"/>
      <c r="H159" s="23" t="n"/>
      <c r="I159" s="23" t="n"/>
      <c r="J159" s="23" t="n">
        <v>260</v>
      </c>
      <c r="K159" s="45">
        <f>IF(A159="","",SUM(G$2:I159)-SUM(J$2:J159))</f>
        <v/>
      </c>
      <c r="L159" s="46" t="n"/>
      <c r="M159">
        <f>IF(A159="","",IF(A159=A158,M158,N(M158)+1))</f>
        <v/>
      </c>
      <c r="N159">
        <f>IF(E159="",99999,E159)</f>
        <v/>
      </c>
      <c r="O159">
        <f>IF(E159="",0,IF(F159="",E159,F159))</f>
        <v/>
      </c>
      <c r="P159">
        <f>IF(E159="",1,MAX(1,(YEAR(O159)-YEAR(N159))*12+MONTH(O159)-MONTH(N159)+1))</f>
        <v/>
      </c>
      <c r="Q159">
        <f>IF(G159="",0,G159/P159)</f>
        <v/>
      </c>
      <c r="R159">
        <f>IF(H159="",0,H159/P159)</f>
        <v/>
      </c>
    </row>
    <row r="160">
      <c r="A160" s="43" t="n">
        <v>46112</v>
      </c>
      <c r="B160" s="28" t="inlineStr">
        <is>
          <t>Hadiah Perpisahan Wafi - Hadi</t>
        </is>
      </c>
      <c r="C160" s="28" t="inlineStr">
        <is>
          <t>Hadi</t>
        </is>
      </c>
      <c r="D160" s="28" t="inlineStr">
        <is>
          <t>Majlis &amp; Hadiah</t>
        </is>
      </c>
      <c r="E160" s="44" t="n"/>
      <c r="F160" s="44" t="n"/>
      <c r="G160" s="23" t="n"/>
      <c r="H160" s="23" t="n"/>
      <c r="I160" s="23" t="n"/>
      <c r="J160" s="23" t="n">
        <v>273</v>
      </c>
      <c r="K160" s="45">
        <f>IF(A160="","",SUM(G$2:I160)-SUM(J$2:J160))</f>
        <v/>
      </c>
      <c r="L160" s="46" t="n"/>
      <c r="M160">
        <f>IF(A160="","",IF(A160=A159,M159,N(M159)+1))</f>
        <v/>
      </c>
      <c r="N160">
        <f>IF(E160="",99999,E160)</f>
        <v/>
      </c>
      <c r="O160">
        <f>IF(E160="",0,IF(F160="",E160,F160))</f>
        <v/>
      </c>
      <c r="P160">
        <f>IF(E160="",1,MAX(1,(YEAR(O160)-YEAR(N160))*12+MONTH(O160)-MONTH(N160)+1))</f>
        <v/>
      </c>
      <c r="Q160">
        <f>IF(G160="",0,G160/P160)</f>
        <v/>
      </c>
      <c r="R160">
        <f>IF(H160="",0,H160/P160)</f>
        <v/>
      </c>
    </row>
    <row r="161">
      <c r="A161" s="43" t="n">
        <v>46112</v>
      </c>
      <c r="B161" s="28" t="inlineStr">
        <is>
          <t>Hadiah Perpisahan Wafi - Asnawi</t>
        </is>
      </c>
      <c r="C161" s="28" t="inlineStr">
        <is>
          <t>Asnawi</t>
        </is>
      </c>
      <c r="D161" s="28" t="inlineStr">
        <is>
          <t>Majlis &amp; Hadiah</t>
        </is>
      </c>
      <c r="E161" s="44" t="n"/>
      <c r="F161" s="44" t="n"/>
      <c r="G161" s="23" t="n"/>
      <c r="H161" s="23" t="n"/>
      <c r="I161" s="23" t="n"/>
      <c r="J161" s="23" t="n">
        <v>27</v>
      </c>
      <c r="K161" s="45">
        <f>IF(A161="","",SUM(G$2:I161)-SUM(J$2:J161))</f>
        <v/>
      </c>
      <c r="L161" s="46" t="n"/>
      <c r="M161">
        <f>IF(A161="","",IF(A161=A160,M160,N(M160)+1))</f>
        <v/>
      </c>
      <c r="N161">
        <f>IF(E161="",99999,E161)</f>
        <v/>
      </c>
      <c r="O161">
        <f>IF(E161="",0,IF(F161="",E161,F161))</f>
        <v/>
      </c>
      <c r="P161">
        <f>IF(E161="",1,MAX(1,(YEAR(O161)-YEAR(N161))*12+MONTH(O161)-MONTH(N161)+1))</f>
        <v/>
      </c>
      <c r="Q161">
        <f>IF(G161="",0,G161/P161)</f>
        <v/>
      </c>
      <c r="R161">
        <f>IF(H161="",0,H161/P161)</f>
        <v/>
      </c>
    </row>
    <row r="162">
      <c r="A162" s="43" t="n">
        <v>46112</v>
      </c>
      <c r="B162" s="28" t="inlineStr">
        <is>
          <t>Minuman Jamuan Raya - Hadi</t>
        </is>
      </c>
      <c r="C162" s="28" t="inlineStr">
        <is>
          <t>Hadi</t>
        </is>
      </c>
      <c r="D162" s="28" t="inlineStr">
        <is>
          <t>Majlis &amp; Hadiah</t>
        </is>
      </c>
      <c r="E162" s="44" t="n"/>
      <c r="F162" s="44" t="n"/>
      <c r="G162" s="23" t="n"/>
      <c r="H162" s="23" t="n"/>
      <c r="I162" s="23" t="n"/>
      <c r="J162" s="23" t="n">
        <v>20</v>
      </c>
      <c r="K162" s="45">
        <f>IF(A162="","",SUM(G$2:I162)-SUM(J$2:J162))</f>
        <v/>
      </c>
      <c r="L162" s="46" t="n"/>
      <c r="M162">
        <f>IF(A162="","",IF(A162=A161,M161,N(M161)+1))</f>
        <v/>
      </c>
      <c r="N162">
        <f>IF(E162="",99999,E162)</f>
        <v/>
      </c>
      <c r="O162">
        <f>IF(E162="",0,IF(F162="",E162,F162))</f>
        <v/>
      </c>
      <c r="P162">
        <f>IF(E162="",1,MAX(1,(YEAR(O162)-YEAR(N162))*12+MONTH(O162)-MONTH(N162)+1))</f>
        <v/>
      </c>
      <c r="Q162">
        <f>IF(G162="",0,G162/P162)</f>
        <v/>
      </c>
      <c r="R162">
        <f>IF(H162="",0,H162/P162)</f>
        <v/>
      </c>
    </row>
    <row r="163">
      <c r="A163" s="43" t="n">
        <v>46112</v>
      </c>
      <c r="B163" s="28" t="inlineStr">
        <is>
          <t>Pelbagai</t>
        </is>
      </c>
      <c r="C163" s="28" t="n"/>
      <c r="D163" s="28" t="inlineStr">
        <is>
          <t>Pelbagai</t>
        </is>
      </c>
      <c r="E163" s="44" t="n"/>
      <c r="F163" s="44" t="n"/>
      <c r="G163" s="23" t="n"/>
      <c r="H163" s="23" t="n"/>
      <c r="I163" s="23" t="n"/>
      <c r="J163" s="23" t="n">
        <v>76</v>
      </c>
      <c r="K163" s="45">
        <f>IF(A163="","",SUM(G$2:I163)-SUM(J$2:J163))</f>
        <v/>
      </c>
      <c r="L163" s="46" t="n"/>
      <c r="M163">
        <f>IF(A163="","",IF(A163=A162,M162,N(M162)+1))</f>
        <v/>
      </c>
      <c r="N163">
        <f>IF(E163="",99999,E163)</f>
        <v/>
      </c>
      <c r="O163">
        <f>IF(E163="",0,IF(F163="",E163,F163))</f>
        <v/>
      </c>
      <c r="P163">
        <f>IF(E163="",1,MAX(1,(YEAR(O163)-YEAR(N163))*12+MONTH(O163)-MONTH(N163)+1))</f>
        <v/>
      </c>
      <c r="Q163">
        <f>IF(G163="",0,G163/P163)</f>
        <v/>
      </c>
      <c r="R163">
        <f>IF(H163="",0,H163/P163)</f>
        <v/>
      </c>
    </row>
    <row r="164">
      <c r="A164" s="43" t="n">
        <v>46113</v>
      </c>
      <c r="B164" s="28" t="inlineStr">
        <is>
          <t>Wafi (Nov–Dis 25)</t>
        </is>
      </c>
      <c r="C164" s="28" t="inlineStr">
        <is>
          <t>Wafi</t>
        </is>
      </c>
      <c r="D164" s="28" t="inlineStr">
        <is>
          <t>Yuran</t>
        </is>
      </c>
      <c r="E164" s="44" t="n">
        <v>45962</v>
      </c>
      <c r="F164" s="44" t="n">
        <v>45992</v>
      </c>
      <c r="G164" s="23" t="n">
        <v>70</v>
      </c>
      <c r="H164" s="23" t="n"/>
      <c r="I164" s="23" t="n"/>
      <c r="J164" s="23" t="n"/>
      <c r="K164" s="45">
        <f>IF(A164="","",SUM(G$2:I164)-SUM(J$2:J164))</f>
        <v/>
      </c>
      <c r="L164" s="46" t="n"/>
      <c r="M164">
        <f>IF(A164="","",IF(A164=A163,M163,N(M163)+1))</f>
        <v/>
      </c>
      <c r="N164">
        <f>IF(E164="",99999,E164)</f>
        <v/>
      </c>
      <c r="O164">
        <f>IF(E164="",0,IF(F164="",E164,F164))</f>
        <v/>
      </c>
      <c r="P164">
        <f>IF(E164="",1,MAX(1,(YEAR(O164)-YEAR(N164))*12+MONTH(O164)-MONTH(N164)+1))</f>
        <v/>
      </c>
      <c r="Q164">
        <f>IF(G164="",0,G164/P164)</f>
        <v/>
      </c>
      <c r="R164">
        <f>IF(H164="",0,H164/P164)</f>
        <v/>
      </c>
    </row>
    <row r="165">
      <c r="A165" s="43" t="n">
        <v>46113</v>
      </c>
      <c r="B165" s="28" t="inlineStr">
        <is>
          <t>Wafi (Feb–Mac 26)</t>
        </is>
      </c>
      <c r="C165" s="28" t="inlineStr">
        <is>
          <t>Wafi</t>
        </is>
      </c>
      <c r="D165" s="28" t="inlineStr">
        <is>
          <t>Yuran</t>
        </is>
      </c>
      <c r="E165" s="44" t="n">
        <v>46054</v>
      </c>
      <c r="F165" s="44" t="n">
        <v>46082</v>
      </c>
      <c r="G165" s="23" t="n">
        <v>70</v>
      </c>
      <c r="H165" s="23" t="n"/>
      <c r="I165" s="23" t="n"/>
      <c r="J165" s="23" t="n"/>
      <c r="K165" s="45">
        <f>IF(A165="","",SUM(G$2:I165)-SUM(J$2:J165))</f>
        <v/>
      </c>
      <c r="L165" s="46" t="n"/>
      <c r="M165">
        <f>IF(A165="","",IF(A165=A164,M164,N(M164)+1))</f>
        <v/>
      </c>
      <c r="N165">
        <f>IF(E165="",99999,E165)</f>
        <v/>
      </c>
      <c r="O165">
        <f>IF(E165="",0,IF(F165="",E165,F165))</f>
        <v/>
      </c>
      <c r="P165">
        <f>IF(E165="",1,MAX(1,(YEAR(O165)-YEAR(N165))*12+MONTH(O165)-MONTH(N165)+1))</f>
        <v/>
      </c>
      <c r="Q165">
        <f>IF(G165="",0,G165/P165)</f>
        <v/>
      </c>
      <c r="R165">
        <f>IF(H165="",0,H165/P165)</f>
        <v/>
      </c>
    </row>
    <row r="166">
      <c r="A166" s="43" t="n">
        <v>46113</v>
      </c>
      <c r="B166" s="28" t="inlineStr">
        <is>
          <t>Pelbagai</t>
        </is>
      </c>
      <c r="C166" s="28" t="n"/>
      <c r="D166" s="28" t="inlineStr">
        <is>
          <t>Pelbagai</t>
        </is>
      </c>
      <c r="E166" s="44" t="n"/>
      <c r="F166" s="44" t="n"/>
      <c r="G166" s="23" t="n"/>
      <c r="H166" s="23" t="n"/>
      <c r="I166" s="23" t="n"/>
      <c r="J166" s="23" t="n">
        <v>96</v>
      </c>
      <c r="K166" s="45">
        <f>IF(A166="","",SUM(G$2:I166)-SUM(J$2:J166))</f>
        <v/>
      </c>
      <c r="L166" s="46" t="n"/>
      <c r="M166">
        <f>IF(A166="","",IF(A166=A165,M165,N(M165)+1))</f>
        <v/>
      </c>
      <c r="N166">
        <f>IF(E166="",99999,E166)</f>
        <v/>
      </c>
      <c r="O166">
        <f>IF(E166="",0,IF(F166="",E166,F166))</f>
        <v/>
      </c>
      <c r="P166">
        <f>IF(E166="",1,MAX(1,(YEAR(O166)-YEAR(N166))*12+MONTH(O166)-MONTH(N166)+1))</f>
        <v/>
      </c>
      <c r="Q166">
        <f>IF(G166="",0,G166/P166)</f>
        <v/>
      </c>
      <c r="R166">
        <f>IF(H166="",0,H166/P166)</f>
        <v/>
      </c>
    </row>
    <row r="167">
      <c r="A167" s="43" t="n">
        <v>46128</v>
      </c>
      <c r="B167" s="28" t="inlineStr">
        <is>
          <t>Boss Wan (Mei 26)</t>
        </is>
      </c>
      <c r="C167" s="28" t="inlineStr">
        <is>
          <t>Boss Wan</t>
        </is>
      </c>
      <c r="D167" s="28" t="inlineStr">
        <is>
          <t>Yuran</t>
        </is>
      </c>
      <c r="E167" s="44" t="n">
        <v>46143</v>
      </c>
      <c r="F167" s="44" t="n"/>
      <c r="G167" s="23" t="n">
        <v>35</v>
      </c>
      <c r="H167" s="23" t="n"/>
      <c r="I167" s="23" t="n"/>
      <c r="J167" s="23" t="n"/>
      <c r="K167" s="45">
        <f>IF(A167="","",SUM(G$2:I167)-SUM(J$2:J167))</f>
        <v/>
      </c>
      <c r="L167" s="46" t="n"/>
      <c r="M167">
        <f>IF(A167="","",IF(A167=A166,M166,N(M166)+1))</f>
        <v/>
      </c>
      <c r="N167">
        <f>IF(E167="",99999,E167)</f>
        <v/>
      </c>
      <c r="O167">
        <f>IF(E167="",0,IF(F167="",E167,F167))</f>
        <v/>
      </c>
      <c r="P167">
        <f>IF(E167="",1,MAX(1,(YEAR(O167)-YEAR(N167))*12+MONTH(O167)-MONTH(N167)+1))</f>
        <v/>
      </c>
      <c r="Q167">
        <f>IF(G167="",0,G167/P167)</f>
        <v/>
      </c>
      <c r="R167">
        <f>IF(H167="",0,H167/P167)</f>
        <v/>
      </c>
    </row>
    <row r="168">
      <c r="A168" s="43" t="n">
        <v>46128</v>
      </c>
      <c r="B168" s="28" t="inlineStr">
        <is>
          <t>Bang Mie (Mac 26)</t>
        </is>
      </c>
      <c r="C168" s="28" t="inlineStr">
        <is>
          <t>Bang Mie</t>
        </is>
      </c>
      <c r="D168" s="28" t="inlineStr">
        <is>
          <t>Yuran</t>
        </is>
      </c>
      <c r="E168" s="44" t="n">
        <v>46082</v>
      </c>
      <c r="F168" s="44" t="n"/>
      <c r="G168" s="23" t="n">
        <v>35</v>
      </c>
      <c r="H168" s="23" t="n"/>
      <c r="I168" s="23" t="n"/>
      <c r="J168" s="23" t="n"/>
      <c r="K168" s="45">
        <f>IF(A168="","",SUM(G$2:I168)-SUM(J$2:J168))</f>
        <v/>
      </c>
      <c r="L168" s="46" t="n"/>
      <c r="M168">
        <f>IF(A168="","",IF(A168=A167,M167,N(M167)+1))</f>
        <v/>
      </c>
      <c r="N168">
        <f>IF(E168="",99999,E168)</f>
        <v/>
      </c>
      <c r="O168">
        <f>IF(E168="",0,IF(F168="",E168,F168))</f>
        <v/>
      </c>
      <c r="P168">
        <f>IF(E168="",1,MAX(1,(YEAR(O168)-YEAR(N168))*12+MONTH(O168)-MONTH(N168)+1))</f>
        <v/>
      </c>
      <c r="Q168">
        <f>IF(G168="",0,G168/P168)</f>
        <v/>
      </c>
      <c r="R168">
        <f>IF(H168="",0,H168/P168)</f>
        <v/>
      </c>
    </row>
    <row r="169">
      <c r="A169" s="43" t="n">
        <v>46128</v>
      </c>
      <c r="B169" s="28" t="inlineStr">
        <is>
          <t>Hasnol</t>
        </is>
      </c>
      <c r="C169" s="28" t="inlineStr">
        <is>
          <t>Hasnol</t>
        </is>
      </c>
      <c r="D169" s="28" t="inlineStr">
        <is>
          <t>Yuran</t>
        </is>
      </c>
      <c r="E169" s="44" t="n"/>
      <c r="F169" s="44" t="n"/>
      <c r="G169" s="23" t="n">
        <v>225</v>
      </c>
      <c r="H169" s="23" t="n"/>
      <c r="I169" s="23" t="n"/>
      <c r="J169" s="23" t="n"/>
      <c r="K169" s="45">
        <f>IF(A169="","",SUM(G$2:I169)-SUM(J$2:J169))</f>
        <v/>
      </c>
      <c r="L169" s="46" t="inlineStr">
        <is>
          <t>Bulan?</t>
        </is>
      </c>
      <c r="M169">
        <f>IF(A169="","",IF(A169=A168,M168,N(M168)+1))</f>
        <v/>
      </c>
      <c r="N169">
        <f>IF(E169="",99999,E169)</f>
        <v/>
      </c>
      <c r="O169">
        <f>IF(E169="",0,IF(F169="",E169,F169))</f>
        <v/>
      </c>
      <c r="P169">
        <f>IF(E169="",1,MAX(1,(YEAR(O169)-YEAR(N169))*12+MONTH(O169)-MONTH(N169)+1))</f>
        <v/>
      </c>
      <c r="Q169">
        <f>IF(G169="",0,G169/P169)</f>
        <v/>
      </c>
      <c r="R169">
        <f>IF(H169="",0,H169/P169)</f>
        <v/>
      </c>
    </row>
    <row r="170">
      <c r="A170" s="43" t="n">
        <v>46128</v>
      </c>
      <c r="B170" s="28" t="inlineStr">
        <is>
          <t>Aiman (Mac 26)</t>
        </is>
      </c>
      <c r="C170" s="28" t="inlineStr">
        <is>
          <t>Aiman</t>
        </is>
      </c>
      <c r="D170" s="28" t="inlineStr">
        <is>
          <t>Yuran</t>
        </is>
      </c>
      <c r="E170" s="44" t="n">
        <v>46082</v>
      </c>
      <c r="F170" s="44" t="n"/>
      <c r="G170" s="23" t="n">
        <v>35</v>
      </c>
      <c r="H170" s="23" t="n"/>
      <c r="I170" s="23" t="n"/>
      <c r="J170" s="23" t="n"/>
      <c r="K170" s="45">
        <f>IF(A170="","",SUM(G$2:I170)-SUM(J$2:J170))</f>
        <v/>
      </c>
      <c r="L170" s="46" t="n"/>
      <c r="M170">
        <f>IF(A170="","",IF(A170=A169,M169,N(M169)+1))</f>
        <v/>
      </c>
      <c r="N170">
        <f>IF(E170="",99999,E170)</f>
        <v/>
      </c>
      <c r="O170">
        <f>IF(E170="",0,IF(F170="",E170,F170))</f>
        <v/>
      </c>
      <c r="P170">
        <f>IF(E170="",1,MAX(1,(YEAR(O170)-YEAR(N170))*12+MONTH(O170)-MONTH(N170)+1))</f>
        <v/>
      </c>
      <c r="Q170">
        <f>IF(G170="",0,G170/P170)</f>
        <v/>
      </c>
      <c r="R170">
        <f>IF(H170="",0,H170/P170)</f>
        <v/>
      </c>
    </row>
    <row r="171">
      <c r="A171" s="43" t="n">
        <v>46128</v>
      </c>
      <c r="B171" s="28" t="inlineStr">
        <is>
          <t>Khairiri (Apr 26)</t>
        </is>
      </c>
      <c r="C171" s="28" t="inlineStr">
        <is>
          <t>Khairiri</t>
        </is>
      </c>
      <c r="D171" s="28" t="inlineStr">
        <is>
          <t>Yuran</t>
        </is>
      </c>
      <c r="E171" s="44" t="n">
        <v>46113</v>
      </c>
      <c r="F171" s="44" t="n"/>
      <c r="G171" s="23" t="n">
        <v>35</v>
      </c>
      <c r="H171" s="23" t="n"/>
      <c r="I171" s="23" t="n"/>
      <c r="J171" s="23" t="n"/>
      <c r="K171" s="45">
        <f>IF(A171="","",SUM(G$2:I171)-SUM(J$2:J171))</f>
        <v/>
      </c>
      <c r="L171" s="46" t="n"/>
      <c r="M171">
        <f>IF(A171="","",IF(A171=A170,M170,N(M170)+1))</f>
        <v/>
      </c>
      <c r="N171">
        <f>IF(E171="",99999,E171)</f>
        <v/>
      </c>
      <c r="O171">
        <f>IF(E171="",0,IF(F171="",E171,F171))</f>
        <v/>
      </c>
      <c r="P171">
        <f>IF(E171="",1,MAX(1,(YEAR(O171)-YEAR(N171))*12+MONTH(O171)-MONTH(N171)+1))</f>
        <v/>
      </c>
      <c r="Q171">
        <f>IF(G171="",0,G171/P171)</f>
        <v/>
      </c>
      <c r="R171">
        <f>IF(H171="",0,H171/P171)</f>
        <v/>
      </c>
    </row>
    <row r="172">
      <c r="A172" s="43" t="n">
        <v>46128</v>
      </c>
      <c r="B172" s="28" t="inlineStr">
        <is>
          <t>Hadi (Apr 26)</t>
        </is>
      </c>
      <c r="C172" s="28" t="inlineStr">
        <is>
          <t>Hadi</t>
        </is>
      </c>
      <c r="D172" s="28" t="inlineStr">
        <is>
          <t>Yuran</t>
        </is>
      </c>
      <c r="E172" s="44" t="n">
        <v>46113</v>
      </c>
      <c r="F172" s="44" t="n"/>
      <c r="G172" s="23" t="n">
        <v>35</v>
      </c>
      <c r="H172" s="23" t="n"/>
      <c r="I172" s="23" t="n"/>
      <c r="J172" s="23" t="n"/>
      <c r="K172" s="45">
        <f>IF(A172="","",SUM(G$2:I172)-SUM(J$2:J172))</f>
        <v/>
      </c>
      <c r="L172" s="46" t="n"/>
      <c r="M172">
        <f>IF(A172="","",IF(A172=A171,M171,N(M171)+1))</f>
        <v/>
      </c>
      <c r="N172">
        <f>IF(E172="",99999,E172)</f>
        <v/>
      </c>
      <c r="O172">
        <f>IF(E172="",0,IF(F172="",E172,F172))</f>
        <v/>
      </c>
      <c r="P172">
        <f>IF(E172="",1,MAX(1,(YEAR(O172)-YEAR(N172))*12+MONTH(O172)-MONTH(N172)+1))</f>
        <v/>
      </c>
      <c r="Q172">
        <f>IF(G172="",0,G172/P172)</f>
        <v/>
      </c>
      <c r="R172">
        <f>IF(H172="",0,H172/P172)</f>
        <v/>
      </c>
    </row>
    <row r="173">
      <c r="A173" s="43" t="n">
        <v>46128</v>
      </c>
      <c r="B173" s="28" t="inlineStr">
        <is>
          <t>Asnawi (Apr 26)</t>
        </is>
      </c>
      <c r="C173" s="28" t="inlineStr">
        <is>
          <t>Asnawi</t>
        </is>
      </c>
      <c r="D173" s="28" t="inlineStr">
        <is>
          <t>Yuran</t>
        </is>
      </c>
      <c r="E173" s="44" t="n">
        <v>46113</v>
      </c>
      <c r="F173" s="44" t="n"/>
      <c r="G173" s="23" t="n">
        <v>35</v>
      </c>
      <c r="H173" s="23" t="n"/>
      <c r="I173" s="23" t="n"/>
      <c r="J173" s="23" t="n"/>
      <c r="K173" s="45">
        <f>IF(A173="","",SUM(G$2:I173)-SUM(J$2:J173))</f>
        <v/>
      </c>
      <c r="L173" s="46" t="n"/>
      <c r="M173">
        <f>IF(A173="","",IF(A173=A172,M172,N(M172)+1))</f>
        <v/>
      </c>
      <c r="N173">
        <f>IF(E173="",99999,E173)</f>
        <v/>
      </c>
      <c r="O173">
        <f>IF(E173="",0,IF(F173="",E173,F173))</f>
        <v/>
      </c>
      <c r="P173">
        <f>IF(E173="",1,MAX(1,(YEAR(O173)-YEAR(N173))*12+MONTH(O173)-MONTH(N173)+1))</f>
        <v/>
      </c>
      <c r="Q173">
        <f>IF(G173="",0,G173/P173)</f>
        <v/>
      </c>
      <c r="R173">
        <f>IF(H173="",0,H173/P173)</f>
        <v/>
      </c>
    </row>
    <row r="174">
      <c r="A174" s="43" t="n">
        <v>46128</v>
      </c>
      <c r="B174" s="28" t="inlineStr">
        <is>
          <t>Chang (Apr 26)</t>
        </is>
      </c>
      <c r="C174" s="28" t="inlineStr">
        <is>
          <t>Chang</t>
        </is>
      </c>
      <c r="D174" s="28" t="inlineStr">
        <is>
          <t>Yuran</t>
        </is>
      </c>
      <c r="E174" s="44" t="n">
        <v>46113</v>
      </c>
      <c r="F174" s="44" t="n"/>
      <c r="G174" s="23" t="n">
        <v>35</v>
      </c>
      <c r="H174" s="23" t="n"/>
      <c r="I174" s="23" t="n"/>
      <c r="J174" s="23" t="n"/>
      <c r="K174" s="45">
        <f>IF(A174="","",SUM(G$2:I174)-SUM(J$2:J174))</f>
        <v/>
      </c>
      <c r="L174" s="46" t="n"/>
      <c r="M174">
        <f>IF(A174="","",IF(A174=A173,M173,N(M173)+1))</f>
        <v/>
      </c>
      <c r="N174">
        <f>IF(E174="",99999,E174)</f>
        <v/>
      </c>
      <c r="O174">
        <f>IF(E174="",0,IF(F174="",E174,F174))</f>
        <v/>
      </c>
      <c r="P174">
        <f>IF(E174="",1,MAX(1,(YEAR(O174)-YEAR(N174))*12+MONTH(O174)-MONTH(N174)+1))</f>
        <v/>
      </c>
      <c r="Q174">
        <f>IF(G174="",0,G174/P174)</f>
        <v/>
      </c>
      <c r="R174">
        <f>IF(H174="",0,H174/P174)</f>
        <v/>
      </c>
    </row>
    <row r="175">
      <c r="A175" s="43" t="n">
        <v>46129</v>
      </c>
      <c r="B175" s="28" t="inlineStr">
        <is>
          <t>Pelbagai Asnawi</t>
        </is>
      </c>
      <c r="C175" s="28" t="n"/>
      <c r="D175" s="28" t="inlineStr">
        <is>
          <t>Pelbagai</t>
        </is>
      </c>
      <c r="E175" s="44" t="n"/>
      <c r="F175" s="44" t="n"/>
      <c r="G175" s="23" t="n"/>
      <c r="H175" s="23" t="n"/>
      <c r="I175" s="23" t="n"/>
      <c r="J175" s="23" t="n">
        <v>125</v>
      </c>
      <c r="K175" s="45">
        <f>IF(A175="","",SUM(G$2:I175)-SUM(J$2:J175))</f>
        <v/>
      </c>
      <c r="L175" s="46" t="n"/>
      <c r="M175">
        <f>IF(A175="","",IF(A175=A174,M174,N(M174)+1))</f>
        <v/>
      </c>
      <c r="N175">
        <f>IF(E175="",99999,E175)</f>
        <v/>
      </c>
      <c r="O175">
        <f>IF(E175="",0,IF(F175="",E175,F175))</f>
        <v/>
      </c>
      <c r="P175">
        <f>IF(E175="",1,MAX(1,(YEAR(O175)-YEAR(N175))*12+MONTH(O175)-MONTH(N175)+1))</f>
        <v/>
      </c>
      <c r="Q175">
        <f>IF(G175="",0,G175/P175)</f>
        <v/>
      </c>
      <c r="R175">
        <f>IF(H175="",0,H175/P175)</f>
        <v/>
      </c>
    </row>
    <row r="176">
      <c r="A176" s="43" t="n">
        <v>46130</v>
      </c>
      <c r="B176" s="28" t="inlineStr">
        <is>
          <t>Bayaran Lawatan Hasnol - Asnawi</t>
        </is>
      </c>
      <c r="C176" s="28" t="inlineStr">
        <is>
          <t>Asnawi</t>
        </is>
      </c>
      <c r="D176" s="28" t="inlineStr">
        <is>
          <t>Lawatan / Trip</t>
        </is>
      </c>
      <c r="E176" s="44" t="n"/>
      <c r="F176" s="44" t="n"/>
      <c r="G176" s="23" t="n"/>
      <c r="H176" s="23" t="n"/>
      <c r="I176" s="23" t="n"/>
      <c r="J176" s="23" t="n">
        <v>95</v>
      </c>
      <c r="K176" s="45">
        <f>IF(A176="","",SUM(G$2:I176)-SUM(J$2:J176))</f>
        <v/>
      </c>
      <c r="L176" s="46" t="n"/>
      <c r="M176">
        <f>IF(A176="","",IF(A176=A175,M175,N(M175)+1))</f>
        <v/>
      </c>
      <c r="N176">
        <f>IF(E176="",99999,E176)</f>
        <v/>
      </c>
      <c r="O176">
        <f>IF(E176="",0,IF(F176="",E176,F176))</f>
        <v/>
      </c>
      <c r="P176">
        <f>IF(E176="",1,MAX(1,(YEAR(O176)-YEAR(N176))*12+MONTH(O176)-MONTH(N176)+1))</f>
        <v/>
      </c>
      <c r="Q176">
        <f>IF(G176="",0,G176/P176)</f>
        <v/>
      </c>
      <c r="R176">
        <f>IF(H176="",0,H176/P176)</f>
        <v/>
      </c>
    </row>
    <row r="177">
      <c r="A177" s="43" t="n">
        <v>46135</v>
      </c>
      <c r="B177" s="28" t="inlineStr">
        <is>
          <t>Joe (Apr 26)</t>
        </is>
      </c>
      <c r="C177" s="28" t="inlineStr">
        <is>
          <t>Joe</t>
        </is>
      </c>
      <c r="D177" s="28" t="inlineStr">
        <is>
          <t>Yuran</t>
        </is>
      </c>
      <c r="E177" s="44" t="n">
        <v>46113</v>
      </c>
      <c r="F177" s="44" t="n"/>
      <c r="G177" s="23" t="n">
        <v>35</v>
      </c>
      <c r="H177" s="23" t="n"/>
      <c r="I177" s="23" t="n"/>
      <c r="J177" s="23" t="n"/>
      <c r="K177" s="45">
        <f>IF(A177="","",SUM(G$2:I177)-SUM(J$2:J177))</f>
        <v/>
      </c>
      <c r="L177" s="46" t="n"/>
      <c r="M177">
        <f>IF(A177="","",IF(A177=A176,M176,N(M176)+1))</f>
        <v/>
      </c>
      <c r="N177">
        <f>IF(E177="",99999,E177)</f>
        <v/>
      </c>
      <c r="O177">
        <f>IF(E177="",0,IF(F177="",E177,F177))</f>
        <v/>
      </c>
      <c r="P177">
        <f>IF(E177="",1,MAX(1,(YEAR(O177)-YEAR(N177))*12+MONTH(O177)-MONTH(N177)+1))</f>
        <v/>
      </c>
      <c r="Q177">
        <f>IF(G177="",0,G177/P177)</f>
        <v/>
      </c>
      <c r="R177">
        <f>IF(H177="",0,H177/P177)</f>
        <v/>
      </c>
    </row>
    <row r="178">
      <c r="A178" s="43" t="n">
        <v>46136</v>
      </c>
      <c r="B178" s="28" t="inlineStr">
        <is>
          <t>Ustaz (Okt–Nov 25)</t>
        </is>
      </c>
      <c r="C178" s="28" t="inlineStr">
        <is>
          <t>Ustaz</t>
        </is>
      </c>
      <c r="D178" s="28" t="inlineStr">
        <is>
          <t>Yuran</t>
        </is>
      </c>
      <c r="E178" s="44" t="n">
        <v>45931</v>
      </c>
      <c r="F178" s="44" t="n">
        <v>45962</v>
      </c>
      <c r="G178" s="23" t="n">
        <v>70</v>
      </c>
      <c r="H178" s="23" t="n"/>
      <c r="I178" s="23" t="n"/>
      <c r="J178" s="23" t="n"/>
      <c r="K178" s="45">
        <f>IF(A178="","",SUM(G$2:I178)-SUM(J$2:J178))</f>
        <v/>
      </c>
      <c r="L178" s="46" t="n"/>
      <c r="M178">
        <f>IF(A178="","",IF(A178=A177,M177,N(M177)+1))</f>
        <v/>
      </c>
      <c r="N178">
        <f>IF(E178="",99999,E178)</f>
        <v/>
      </c>
      <c r="O178">
        <f>IF(E178="",0,IF(F178="",E178,F178))</f>
        <v/>
      </c>
      <c r="P178">
        <f>IF(E178="",1,MAX(1,(YEAR(O178)-YEAR(N178))*12+MONTH(O178)-MONTH(N178)+1))</f>
        <v/>
      </c>
      <c r="Q178">
        <f>IF(G178="",0,G178/P178)</f>
        <v/>
      </c>
      <c r="R178">
        <f>IF(H178="",0,H178/P178)</f>
        <v/>
      </c>
    </row>
    <row r="179">
      <c r="A179" s="43" t="n">
        <v>46136</v>
      </c>
      <c r="B179" s="28" t="inlineStr">
        <is>
          <t>Ustaz (Dis 25 separa)</t>
        </is>
      </c>
      <c r="C179" s="28" t="inlineStr">
        <is>
          <t>Ustaz</t>
        </is>
      </c>
      <c r="D179" s="28" t="inlineStr">
        <is>
          <t>Yuran</t>
        </is>
      </c>
      <c r="E179" s="44" t="n">
        <v>45992</v>
      </c>
      <c r="F179" s="44" t="n"/>
      <c r="G179" s="23" t="n">
        <v>30</v>
      </c>
      <c r="H179" s="23" t="n"/>
      <c r="I179" s="23" t="n"/>
      <c r="J179" s="23" t="n"/>
      <c r="K179" s="45">
        <f>IF(A179="","",SUM(G$2:I179)-SUM(J$2:J179))</f>
        <v/>
      </c>
      <c r="L179" s="46" t="n"/>
      <c r="M179">
        <f>IF(A179="","",IF(A179=A178,M178,N(M178)+1))</f>
        <v/>
      </c>
      <c r="N179">
        <f>IF(E179="",99999,E179)</f>
        <v/>
      </c>
      <c r="O179">
        <f>IF(E179="",0,IF(F179="",E179,F179))</f>
        <v/>
      </c>
      <c r="P179">
        <f>IF(E179="",1,MAX(1,(YEAR(O179)-YEAR(N179))*12+MONTH(O179)-MONTH(N179)+1))</f>
        <v/>
      </c>
      <c r="Q179">
        <f>IF(G179="",0,G179/P179)</f>
        <v/>
      </c>
      <c r="R179">
        <f>IF(H179="",0,H179/P179)</f>
        <v/>
      </c>
    </row>
    <row r="180">
      <c r="A180" s="43" t="n">
        <v>46140</v>
      </c>
      <c r="B180" s="28" t="inlineStr">
        <is>
          <t>Kuchai</t>
        </is>
      </c>
      <c r="C180" s="28" t="inlineStr">
        <is>
          <t>Kuchai</t>
        </is>
      </c>
      <c r="D180" s="28" t="inlineStr">
        <is>
          <t>Yuran</t>
        </is>
      </c>
      <c r="E180" s="44" t="n"/>
      <c r="F180" s="44" t="n"/>
      <c r="G180" s="23" t="n">
        <v>315</v>
      </c>
      <c r="H180" s="23" t="n"/>
      <c r="I180" s="23" t="n"/>
      <c r="J180" s="23" t="n"/>
      <c r="K180" s="45">
        <f>IF(A180="","",SUM(G$2:I180)-SUM(J$2:J180))</f>
        <v/>
      </c>
      <c r="L180" s="46" t="inlineStr">
        <is>
          <t>Bulan?</t>
        </is>
      </c>
      <c r="M180">
        <f>IF(A180="","",IF(A180=A179,M179,N(M179)+1))</f>
        <v/>
      </c>
      <c r="N180">
        <f>IF(E180="",99999,E180)</f>
        <v/>
      </c>
      <c r="O180">
        <f>IF(E180="",0,IF(F180="",E180,F180))</f>
        <v/>
      </c>
      <c r="P180">
        <f>IF(E180="",1,MAX(1,(YEAR(O180)-YEAR(N180))*12+MONTH(O180)-MONTH(N180)+1))</f>
        <v/>
      </c>
      <c r="Q180">
        <f>IF(G180="",0,G180/P180)</f>
        <v/>
      </c>
      <c r="R180">
        <f>IF(H180="",0,H180/P180)</f>
        <v/>
      </c>
    </row>
    <row r="181">
      <c r="A181" s="43" t="n">
        <v>46144</v>
      </c>
      <c r="B181" s="28" t="inlineStr">
        <is>
          <t>Bayaran Lebih Lawatan - Wafi</t>
        </is>
      </c>
      <c r="C181" s="28" t="inlineStr">
        <is>
          <t>Wafi</t>
        </is>
      </c>
      <c r="D181" s="28" t="inlineStr">
        <is>
          <t>Lawatan / Trip</t>
        </is>
      </c>
      <c r="E181" s="44" t="n"/>
      <c r="F181" s="44" t="n"/>
      <c r="G181" s="23" t="n"/>
      <c r="H181" s="23" t="n"/>
      <c r="I181" s="23" t="n"/>
      <c r="J181" s="23" t="n">
        <v>500</v>
      </c>
      <c r="K181" s="45">
        <f>IF(A181="","",SUM(G$2:I181)-SUM(J$2:J181))</f>
        <v/>
      </c>
      <c r="L181" s="46" t="n"/>
      <c r="M181">
        <f>IF(A181="","",IF(A181=A180,M180,N(M180)+1))</f>
        <v/>
      </c>
      <c r="N181">
        <f>IF(E181="",99999,E181)</f>
        <v/>
      </c>
      <c r="O181">
        <f>IF(E181="",0,IF(F181="",E181,F181))</f>
        <v/>
      </c>
      <c r="P181">
        <f>IF(E181="",1,MAX(1,(YEAR(O181)-YEAR(N181))*12+MONTH(O181)-MONTH(N181)+1))</f>
        <v/>
      </c>
      <c r="Q181">
        <f>IF(G181="",0,G181/P181)</f>
        <v/>
      </c>
      <c r="R181">
        <f>IF(H181="",0,H181/P181)</f>
        <v/>
      </c>
    </row>
    <row r="182">
      <c r="A182" s="43" t="n">
        <v>46147</v>
      </c>
      <c r="B182" s="28" t="inlineStr">
        <is>
          <t>Hari Guru KEDAP - Amir</t>
        </is>
      </c>
      <c r="C182" s="28" t="inlineStr">
        <is>
          <t>Amir</t>
        </is>
      </c>
      <c r="D182" s="28" t="inlineStr">
        <is>
          <t>Majlis &amp; Hadiah</t>
        </is>
      </c>
      <c r="E182" s="44" t="n"/>
      <c r="F182" s="44" t="n"/>
      <c r="G182" s="23" t="n"/>
      <c r="H182" s="23" t="n"/>
      <c r="I182" s="23" t="n"/>
      <c r="J182" s="23" t="n">
        <v>360</v>
      </c>
      <c r="K182" s="45">
        <f>IF(A182="","",SUM(G$2:I182)-SUM(J$2:J182))</f>
        <v/>
      </c>
      <c r="L182" s="46" t="n"/>
      <c r="M182">
        <f>IF(A182="","",IF(A182=A181,M181,N(M181)+1))</f>
        <v/>
      </c>
      <c r="N182">
        <f>IF(E182="",99999,E182)</f>
        <v/>
      </c>
      <c r="O182">
        <f>IF(E182="",0,IF(F182="",E182,F182))</f>
        <v/>
      </c>
      <c r="P182">
        <f>IF(E182="",1,MAX(1,(YEAR(O182)-YEAR(N182))*12+MONTH(O182)-MONTH(N182)+1))</f>
        <v/>
      </c>
      <c r="Q182">
        <f>IF(G182="",0,G182/P182)</f>
        <v/>
      </c>
      <c r="R182">
        <f>IF(H182="",0,H182/P182)</f>
        <v/>
      </c>
    </row>
    <row r="183">
      <c r="A183" s="43" t="n">
        <v>46151</v>
      </c>
      <c r="B183" s="28" t="inlineStr">
        <is>
          <t>Hari Guru - Amir</t>
        </is>
      </c>
      <c r="C183" s="28" t="inlineStr">
        <is>
          <t>Amir</t>
        </is>
      </c>
      <c r="D183" s="28" t="inlineStr">
        <is>
          <t>Majlis &amp; Hadiah</t>
        </is>
      </c>
      <c r="E183" s="44" t="n"/>
      <c r="F183" s="44" t="n"/>
      <c r="G183" s="23" t="n"/>
      <c r="H183" s="23" t="n"/>
      <c r="I183" s="23" t="n"/>
      <c r="J183" s="23" t="n">
        <v>91</v>
      </c>
      <c r="K183" s="45">
        <f>IF(A183="","",SUM(G$2:I183)-SUM(J$2:J183))</f>
        <v/>
      </c>
      <c r="L183" s="46" t="n"/>
      <c r="M183">
        <f>IF(A183="","",IF(A183=A182,M182,N(M182)+1))</f>
        <v/>
      </c>
      <c r="N183">
        <f>IF(E183="",99999,E183)</f>
        <v/>
      </c>
      <c r="O183">
        <f>IF(E183="",0,IF(F183="",E183,F183))</f>
        <v/>
      </c>
      <c r="P183">
        <f>IF(E183="",1,MAX(1,(YEAR(O183)-YEAR(N183))*12+MONTH(O183)-MONTH(N183)+1))</f>
        <v/>
      </c>
      <c r="Q183">
        <f>IF(G183="",0,G183/P183)</f>
        <v/>
      </c>
      <c r="R183">
        <f>IF(H183="",0,H183/P183)</f>
        <v/>
      </c>
    </row>
    <row r="184">
      <c r="A184" s="43" t="n">
        <v>46158</v>
      </c>
      <c r="B184" s="28" t="inlineStr">
        <is>
          <t>Pelbagai - Asnawi</t>
        </is>
      </c>
      <c r="C184" s="28" t="inlineStr">
        <is>
          <t>Asnawi</t>
        </is>
      </c>
      <c r="D184" s="28" t="inlineStr">
        <is>
          <t>Pelbagai</t>
        </is>
      </c>
      <c r="E184" s="44" t="n"/>
      <c r="F184" s="44" t="n"/>
      <c r="G184" s="23" t="n"/>
      <c r="H184" s="23" t="n"/>
      <c r="I184" s="23" t="n"/>
      <c r="J184" s="23" t="n">
        <v>150</v>
      </c>
      <c r="K184" s="45">
        <f>IF(A184="","",SUM(G$2:I184)-SUM(J$2:J184))</f>
        <v/>
      </c>
      <c r="L184" s="46" t="n"/>
      <c r="M184">
        <f>IF(A184="","",IF(A184=A183,M183,N(M183)+1))</f>
        <v/>
      </c>
      <c r="N184">
        <f>IF(E184="",99999,E184)</f>
        <v/>
      </c>
      <c r="O184">
        <f>IF(E184="",0,IF(F184="",E184,F184))</f>
        <v/>
      </c>
      <c r="P184">
        <f>IF(E184="",1,MAX(1,(YEAR(O184)-YEAR(N184))*12+MONTH(O184)-MONTH(N184)+1))</f>
        <v/>
      </c>
      <c r="Q184">
        <f>IF(G184="",0,G184/P184)</f>
        <v/>
      </c>
      <c r="R184">
        <f>IF(H184="",0,H184/P184)</f>
        <v/>
      </c>
    </row>
    <row r="185">
      <c r="A185" s="43" t="n">
        <v>46163</v>
      </c>
      <c r="B185" s="28" t="inlineStr">
        <is>
          <t>Bang Mie (Apr 26)</t>
        </is>
      </c>
      <c r="C185" s="28" t="inlineStr">
        <is>
          <t>Bang Mie</t>
        </is>
      </c>
      <c r="D185" s="28" t="inlineStr">
        <is>
          <t>Yuran</t>
        </is>
      </c>
      <c r="E185" s="44" t="n">
        <v>46113</v>
      </c>
      <c r="F185" s="44" t="n"/>
      <c r="G185" s="23" t="n">
        <v>35</v>
      </c>
      <c r="H185" s="23" t="n"/>
      <c r="I185" s="23" t="n"/>
      <c r="J185" s="23" t="n"/>
      <c r="K185" s="45">
        <f>IF(A185="","",SUM(G$2:I185)-SUM(J$2:J185))</f>
        <v/>
      </c>
      <c r="L185" s="46" t="n"/>
      <c r="M185">
        <f>IF(A185="","",IF(A185=A184,M184,N(M184)+1))</f>
        <v/>
      </c>
      <c r="N185">
        <f>IF(E185="",99999,E185)</f>
        <v/>
      </c>
      <c r="O185">
        <f>IF(E185="",0,IF(F185="",E185,F185))</f>
        <v/>
      </c>
      <c r="P185">
        <f>IF(E185="",1,MAX(1,(YEAR(O185)-YEAR(N185))*12+MONTH(O185)-MONTH(N185)+1))</f>
        <v/>
      </c>
      <c r="Q185">
        <f>IF(G185="",0,G185/P185)</f>
        <v/>
      </c>
      <c r="R185">
        <f>IF(H185="",0,H185/P185)</f>
        <v/>
      </c>
    </row>
    <row r="186">
      <c r="A186" s="43" t="n">
        <v>46163</v>
      </c>
      <c r="B186" s="28" t="inlineStr">
        <is>
          <t>Ustaz (Dis 25 separa)</t>
        </is>
      </c>
      <c r="C186" s="28" t="inlineStr">
        <is>
          <t>Ustaz</t>
        </is>
      </c>
      <c r="D186" s="28" t="inlineStr">
        <is>
          <t>Yuran</t>
        </is>
      </c>
      <c r="E186" s="44" t="n">
        <v>45992</v>
      </c>
      <c r="F186" s="44" t="n"/>
      <c r="G186" s="23" t="n">
        <v>5</v>
      </c>
      <c r="H186" s="23" t="n"/>
      <c r="I186" s="23" t="n"/>
      <c r="J186" s="23" t="n"/>
      <c r="K186" s="45">
        <f>IF(A186="","",SUM(G$2:I186)-SUM(J$2:J186))</f>
        <v/>
      </c>
      <c r="L186" s="46" t="n"/>
      <c r="M186">
        <f>IF(A186="","",IF(A186=A185,M185,N(M185)+1))</f>
        <v/>
      </c>
      <c r="N186">
        <f>IF(E186="",99999,E186)</f>
        <v/>
      </c>
      <c r="O186">
        <f>IF(E186="",0,IF(F186="",E186,F186))</f>
        <v/>
      </c>
      <c r="P186">
        <f>IF(E186="",1,MAX(1,(YEAR(O186)-YEAR(N186))*12+MONTH(O186)-MONTH(N186)+1))</f>
        <v/>
      </c>
      <c r="Q186">
        <f>IF(G186="",0,G186/P186)</f>
        <v/>
      </c>
      <c r="R186">
        <f>IF(H186="",0,H186/P186)</f>
        <v/>
      </c>
    </row>
    <row r="187">
      <c r="A187" s="43" t="n">
        <v>46163</v>
      </c>
      <c r="B187" s="28" t="inlineStr">
        <is>
          <t>Ustaz (Jan–Feb 26)</t>
        </is>
      </c>
      <c r="C187" s="28" t="inlineStr">
        <is>
          <t>Ustaz</t>
        </is>
      </c>
      <c r="D187" s="28" t="inlineStr">
        <is>
          <t>Yuran</t>
        </is>
      </c>
      <c r="E187" s="44" t="n">
        <v>46023</v>
      </c>
      <c r="F187" s="44" t="n">
        <v>46054</v>
      </c>
      <c r="G187" s="23" t="n">
        <v>70</v>
      </c>
      <c r="H187" s="23" t="n"/>
      <c r="I187" s="23" t="n"/>
      <c r="J187" s="23" t="n"/>
      <c r="K187" s="45">
        <f>IF(A187="","",SUM(G$2:I187)-SUM(J$2:J187))</f>
        <v/>
      </c>
      <c r="L187" s="46" t="n"/>
      <c r="M187">
        <f>IF(A187="","",IF(A187=A186,M186,N(M186)+1))</f>
        <v/>
      </c>
      <c r="N187">
        <f>IF(E187="",99999,E187)</f>
        <v/>
      </c>
      <c r="O187">
        <f>IF(E187="",0,IF(F187="",E187,F187))</f>
        <v/>
      </c>
      <c r="P187">
        <f>IF(E187="",1,MAX(1,(YEAR(O187)-YEAR(N187))*12+MONTH(O187)-MONTH(N187)+1))</f>
        <v/>
      </c>
      <c r="Q187">
        <f>IF(G187="",0,G187/P187)</f>
        <v/>
      </c>
      <c r="R187">
        <f>IF(H187="",0,H187/P187)</f>
        <v/>
      </c>
    </row>
    <row r="188">
      <c r="A188" s="43" t="n">
        <v>46163</v>
      </c>
      <c r="B188" s="28" t="inlineStr">
        <is>
          <t>Ustaz (Apr 26 separa)</t>
        </is>
      </c>
      <c r="C188" s="28" t="inlineStr">
        <is>
          <t>Ustaz</t>
        </is>
      </c>
      <c r="D188" s="28" t="inlineStr">
        <is>
          <t>Yuran</t>
        </is>
      </c>
      <c r="E188" s="44" t="n">
        <v>46113</v>
      </c>
      <c r="F188" s="44" t="n"/>
      <c r="G188" s="23" t="n">
        <v>30</v>
      </c>
      <c r="H188" s="23" t="n"/>
      <c r="I188" s="23" t="n"/>
      <c r="J188" s="23" t="n"/>
      <c r="K188" s="45">
        <f>IF(A188="","",SUM(G$2:I188)-SUM(J$2:J188))</f>
        <v/>
      </c>
      <c r="L188" s="46" t="n"/>
      <c r="M188">
        <f>IF(A188="","",IF(A188=A187,M187,N(M187)+1))</f>
        <v/>
      </c>
      <c r="N188">
        <f>IF(E188="",99999,E188)</f>
        <v/>
      </c>
      <c r="O188">
        <f>IF(E188="",0,IF(F188="",E188,F188))</f>
        <v/>
      </c>
      <c r="P188">
        <f>IF(E188="",1,MAX(1,(YEAR(O188)-YEAR(N188))*12+MONTH(O188)-MONTH(N188)+1))</f>
        <v/>
      </c>
      <c r="Q188">
        <f>IF(G188="",0,G188/P188)</f>
        <v/>
      </c>
      <c r="R188">
        <f>IF(H188="",0,H188/P188)</f>
        <v/>
      </c>
    </row>
    <row r="189">
      <c r="A189" s="43" t="n">
        <v>46164</v>
      </c>
      <c r="B189" s="28" t="inlineStr">
        <is>
          <t>Asnawi (Mei 26)</t>
        </is>
      </c>
      <c r="C189" s="28" t="inlineStr">
        <is>
          <t>Asnawi</t>
        </is>
      </c>
      <c r="D189" s="28" t="inlineStr">
        <is>
          <t>Yuran</t>
        </is>
      </c>
      <c r="E189" s="44" t="n">
        <v>46143</v>
      </c>
      <c r="F189" s="44" t="n"/>
      <c r="G189" s="23" t="n">
        <v>35</v>
      </c>
      <c r="H189" s="23" t="n"/>
      <c r="I189" s="23" t="n"/>
      <c r="J189" s="23" t="n"/>
      <c r="K189" s="45">
        <f>IF(A189="","",SUM(G$2:I189)-SUM(J$2:J189))</f>
        <v/>
      </c>
      <c r="L189" s="46" t="n"/>
      <c r="M189">
        <f>IF(A189="","",IF(A189=A188,M188,N(M188)+1))</f>
        <v/>
      </c>
      <c r="N189">
        <f>IF(E189="",99999,E189)</f>
        <v/>
      </c>
      <c r="O189">
        <f>IF(E189="",0,IF(F189="",E189,F189))</f>
        <v/>
      </c>
      <c r="P189">
        <f>IF(E189="",1,MAX(1,(YEAR(O189)-YEAR(N189))*12+MONTH(O189)-MONTH(N189)+1))</f>
        <v/>
      </c>
      <c r="Q189">
        <f>IF(G189="",0,G189/P189)</f>
        <v/>
      </c>
      <c r="R189">
        <f>IF(H189="",0,H189/P189)</f>
        <v/>
      </c>
    </row>
    <row r="190">
      <c r="A190" s="43" t="n">
        <v>46164</v>
      </c>
      <c r="B190" s="28" t="inlineStr">
        <is>
          <t>Aiman (Apr 26)</t>
        </is>
      </c>
      <c r="C190" s="28" t="inlineStr">
        <is>
          <t>Aiman</t>
        </is>
      </c>
      <c r="D190" s="28" t="inlineStr">
        <is>
          <t>Yuran</t>
        </is>
      </c>
      <c r="E190" s="44" t="n">
        <v>46113</v>
      </c>
      <c r="F190" s="44" t="n"/>
      <c r="G190" s="23" t="n">
        <v>35</v>
      </c>
      <c r="H190" s="23" t="n"/>
      <c r="I190" s="23" t="n"/>
      <c r="J190" s="23" t="n"/>
      <c r="K190" s="45">
        <f>IF(A190="","",SUM(G$2:I190)-SUM(J$2:J190))</f>
        <v/>
      </c>
      <c r="L190" s="46" t="n"/>
      <c r="M190">
        <f>IF(A190="","",IF(A190=A189,M189,N(M189)+1))</f>
        <v/>
      </c>
      <c r="N190">
        <f>IF(E190="",99999,E190)</f>
        <v/>
      </c>
      <c r="O190">
        <f>IF(E190="",0,IF(F190="",E190,F190))</f>
        <v/>
      </c>
      <c r="P190">
        <f>IF(E190="",1,MAX(1,(YEAR(O190)-YEAR(N190))*12+MONTH(O190)-MONTH(N190)+1))</f>
        <v/>
      </c>
      <c r="Q190">
        <f>IF(G190="",0,G190/P190)</f>
        <v/>
      </c>
      <c r="R190">
        <f>IF(H190="",0,H190/P190)</f>
        <v/>
      </c>
    </row>
    <row r="191">
      <c r="A191" s="43" t="n">
        <v>46164</v>
      </c>
      <c r="B191" s="28" t="inlineStr">
        <is>
          <t>Hadi (Mei 26)</t>
        </is>
      </c>
      <c r="C191" s="28" t="inlineStr">
        <is>
          <t>Hadi</t>
        </is>
      </c>
      <c r="D191" s="28" t="inlineStr">
        <is>
          <t>Yuran</t>
        </is>
      </c>
      <c r="E191" s="44" t="n">
        <v>46143</v>
      </c>
      <c r="F191" s="44" t="n"/>
      <c r="G191" s="23" t="n">
        <v>35</v>
      </c>
      <c r="H191" s="23" t="n"/>
      <c r="I191" s="23" t="n"/>
      <c r="J191" s="23" t="n"/>
      <c r="K191" s="45">
        <f>IF(A191="","",SUM(G$2:I191)-SUM(J$2:J191))</f>
        <v/>
      </c>
      <c r="L191" s="46" t="n"/>
      <c r="M191">
        <f>IF(A191="","",IF(A191=A190,M190,N(M190)+1))</f>
        <v/>
      </c>
      <c r="N191">
        <f>IF(E191="",99999,E191)</f>
        <v/>
      </c>
      <c r="O191">
        <f>IF(E191="",0,IF(F191="",E191,F191))</f>
        <v/>
      </c>
      <c r="P191">
        <f>IF(E191="",1,MAX(1,(YEAR(O191)-YEAR(N191))*12+MONTH(O191)-MONTH(N191)+1))</f>
        <v/>
      </c>
      <c r="Q191">
        <f>IF(G191="",0,G191/P191)</f>
        <v/>
      </c>
      <c r="R191">
        <f>IF(H191="",0,H191/P191)</f>
        <v/>
      </c>
    </row>
    <row r="192">
      <c r="A192" s="43" t="n">
        <v>46164</v>
      </c>
      <c r="B192" s="28" t="inlineStr">
        <is>
          <t>Bayaran Duit Pantri - Asnawi</t>
        </is>
      </c>
      <c r="C192" s="28" t="inlineStr">
        <is>
          <t>Asnawi</t>
        </is>
      </c>
      <c r="D192" s="28" t="inlineStr">
        <is>
          <t>Duit Pantri</t>
        </is>
      </c>
      <c r="E192" s="44" t="n"/>
      <c r="F192" s="44" t="n"/>
      <c r="G192" s="23" t="n"/>
      <c r="H192" s="23" t="n"/>
      <c r="I192" s="23" t="n"/>
      <c r="J192" s="23" t="n">
        <v>60</v>
      </c>
      <c r="K192" s="45">
        <f>IF(A192="","",SUM(G$2:I192)-SUM(J$2:J192))</f>
        <v/>
      </c>
      <c r="L192" s="46" t="n"/>
      <c r="M192">
        <f>IF(A192="","",IF(A192=A191,M191,N(M191)+1))</f>
        <v/>
      </c>
      <c r="N192">
        <f>IF(E192="",99999,E192)</f>
        <v/>
      </c>
      <c r="O192">
        <f>IF(E192="",0,IF(F192="",E192,F192))</f>
        <v/>
      </c>
      <c r="P192">
        <f>IF(E192="",1,MAX(1,(YEAR(O192)-YEAR(N192))*12+MONTH(O192)-MONTH(N192)+1))</f>
        <v/>
      </c>
      <c r="Q192">
        <f>IF(G192="",0,G192/P192)</f>
        <v/>
      </c>
      <c r="R192">
        <f>IF(H192="",0,H192/P192)</f>
        <v/>
      </c>
    </row>
    <row r="193">
      <c r="A193" s="43" t="n">
        <v>46164</v>
      </c>
      <c r="B193" s="28" t="inlineStr">
        <is>
          <t>Pelbagai (Mungkin Pantri Lama) - Asnawi</t>
        </is>
      </c>
      <c r="C193" s="28" t="inlineStr">
        <is>
          <t>Asnawi</t>
        </is>
      </c>
      <c r="D193" s="28" t="inlineStr">
        <is>
          <t>Duit Pantri</t>
        </is>
      </c>
      <c r="E193" s="44" t="n"/>
      <c r="F193" s="44" t="n"/>
      <c r="G193" s="23" t="n"/>
      <c r="H193" s="23" t="n"/>
      <c r="I193" s="23" t="n"/>
      <c r="J193" s="23" t="n">
        <v>240</v>
      </c>
      <c r="K193" s="45">
        <f>IF(A193="","",SUM(G$2:I193)-SUM(J$2:J193))</f>
        <v/>
      </c>
      <c r="L193" s="46" t="n"/>
      <c r="M193">
        <f>IF(A193="","",IF(A193=A192,M192,N(M192)+1))</f>
        <v/>
      </c>
      <c r="N193">
        <f>IF(E193="",99999,E193)</f>
        <v/>
      </c>
      <c r="O193">
        <f>IF(E193="",0,IF(F193="",E193,F193))</f>
        <v/>
      </c>
      <c r="P193">
        <f>IF(E193="",1,MAX(1,(YEAR(O193)-YEAR(N193))*12+MONTH(O193)-MONTH(N193)+1))</f>
        <v/>
      </c>
      <c r="Q193">
        <f>IF(G193="",0,G193/P193)</f>
        <v/>
      </c>
      <c r="R193">
        <f>IF(H193="",0,H193/P193)</f>
        <v/>
      </c>
    </row>
    <row r="194">
      <c r="A194" s="43" t="n">
        <v>46167</v>
      </c>
      <c r="B194" s="28" t="inlineStr">
        <is>
          <t>Chang (Mei 26)</t>
        </is>
      </c>
      <c r="C194" s="28" t="inlineStr">
        <is>
          <t>Chang</t>
        </is>
      </c>
      <c r="D194" s="28" t="inlineStr">
        <is>
          <t>Yuran</t>
        </is>
      </c>
      <c r="E194" s="44" t="n">
        <v>46143</v>
      </c>
      <c r="F194" s="44" t="n"/>
      <c r="G194" s="23" t="n">
        <v>35</v>
      </c>
      <c r="H194" s="23" t="n"/>
      <c r="I194" s="23" t="n"/>
      <c r="J194" s="23" t="n"/>
      <c r="K194" s="45">
        <f>IF(A194="","",SUM(G$2:I194)-SUM(J$2:J194))</f>
        <v/>
      </c>
      <c r="L194" s="46" t="n"/>
      <c r="M194">
        <f>IF(A194="","",IF(A194=A193,M193,N(M193)+1))</f>
        <v/>
      </c>
      <c r="N194">
        <f>IF(E194="",99999,E194)</f>
        <v/>
      </c>
      <c r="O194">
        <f>IF(E194="",0,IF(F194="",E194,F194))</f>
        <v/>
      </c>
      <c r="P194">
        <f>IF(E194="",1,MAX(1,(YEAR(O194)-YEAR(N194))*12+MONTH(O194)-MONTH(N194)+1))</f>
        <v/>
      </c>
      <c r="Q194">
        <f>IF(G194="",0,G194/P194)</f>
        <v/>
      </c>
      <c r="R194">
        <f>IF(H194="",0,H194/P194)</f>
        <v/>
      </c>
    </row>
    <row r="195">
      <c r="A195" s="43" t="n">
        <v>46198</v>
      </c>
      <c r="B195" s="28" t="inlineStr">
        <is>
          <t>Chang (Jun 26)</t>
        </is>
      </c>
      <c r="C195" s="28" t="inlineStr">
        <is>
          <t>Chang</t>
        </is>
      </c>
      <c r="D195" s="28" t="inlineStr">
        <is>
          <t>Yuran</t>
        </is>
      </c>
      <c r="E195" s="44" t="n">
        <v>46174</v>
      </c>
      <c r="F195" s="44" t="n"/>
      <c r="G195" s="23" t="n">
        <v>35</v>
      </c>
      <c r="H195" s="23" t="n"/>
      <c r="I195" s="23" t="n"/>
      <c r="J195" s="23" t="n"/>
      <c r="K195" s="45">
        <f>IF(A195="","",SUM(G$2:I195)-SUM(J$2:J195))</f>
        <v/>
      </c>
      <c r="L195" s="46" t="n"/>
      <c r="M195">
        <f>IF(A195="","",IF(A195=A194,M194,N(M194)+1))</f>
        <v/>
      </c>
      <c r="N195">
        <f>IF(E195="",99999,E195)</f>
        <v/>
      </c>
      <c r="O195">
        <f>IF(E195="",0,IF(F195="",E195,F195))</f>
        <v/>
      </c>
      <c r="P195">
        <f>IF(E195="",1,MAX(1,(YEAR(O195)-YEAR(N195))*12+MONTH(O195)-MONTH(N195)+1))</f>
        <v/>
      </c>
      <c r="Q195">
        <f>IF(G195="",0,G195/P195)</f>
        <v/>
      </c>
      <c r="R195">
        <f>IF(H195="",0,H195/P195)</f>
        <v/>
      </c>
    </row>
    <row r="196">
      <c r="A196" s="43" t="n">
        <v>46198</v>
      </c>
      <c r="B196" s="28" t="inlineStr">
        <is>
          <t>Asnawi (Jun 26)</t>
        </is>
      </c>
      <c r="C196" s="28" t="inlineStr">
        <is>
          <t>Asnawi</t>
        </is>
      </c>
      <c r="D196" s="28" t="inlineStr">
        <is>
          <t>Yuran</t>
        </is>
      </c>
      <c r="E196" s="44" t="n">
        <v>46174</v>
      </c>
      <c r="F196" s="44" t="n"/>
      <c r="G196" s="23" t="n">
        <v>35</v>
      </c>
      <c r="H196" s="23" t="n"/>
      <c r="I196" s="23" t="n"/>
      <c r="J196" s="23" t="n"/>
      <c r="K196" s="45">
        <f>IF(A196="","",SUM(G$2:I196)-SUM(J$2:J196))</f>
        <v/>
      </c>
      <c r="L196" s="46" t="n"/>
      <c r="M196">
        <f>IF(A196="","",IF(A196=A195,M195,N(M195)+1))</f>
        <v/>
      </c>
      <c r="N196">
        <f>IF(E196="",99999,E196)</f>
        <v/>
      </c>
      <c r="O196">
        <f>IF(E196="",0,IF(F196="",E196,F196))</f>
        <v/>
      </c>
      <c r="P196">
        <f>IF(E196="",1,MAX(1,(YEAR(O196)-YEAR(N196))*12+MONTH(O196)-MONTH(N196)+1))</f>
        <v/>
      </c>
      <c r="Q196">
        <f>IF(G196="",0,G196/P196)</f>
        <v/>
      </c>
      <c r="R196">
        <f>IF(H196="",0,H196/P196)</f>
        <v/>
      </c>
    </row>
    <row r="197">
      <c r="A197" s="43" t="n">
        <v>46199</v>
      </c>
      <c r="B197" s="28" t="inlineStr">
        <is>
          <t>Boss Wan (Jun 26)</t>
        </is>
      </c>
      <c r="C197" s="28" t="inlineStr">
        <is>
          <t>Boss Wan</t>
        </is>
      </c>
      <c r="D197" s="28" t="inlineStr">
        <is>
          <t>Yuran</t>
        </is>
      </c>
      <c r="E197" s="44" t="n">
        <v>46174</v>
      </c>
      <c r="F197" s="44" t="n"/>
      <c r="G197" s="23" t="n">
        <v>35</v>
      </c>
      <c r="H197" s="23" t="n"/>
      <c r="I197" s="23" t="n"/>
      <c r="J197" s="23" t="n"/>
      <c r="K197" s="45">
        <f>IF(A197="","",SUM(G$2:I197)-SUM(J$2:J197))</f>
        <v/>
      </c>
      <c r="L197" s="46" t="n"/>
      <c r="M197">
        <f>IF(A197="","",IF(A197=A196,M196,N(M196)+1))</f>
        <v/>
      </c>
      <c r="N197">
        <f>IF(E197="",99999,E197)</f>
        <v/>
      </c>
      <c r="O197">
        <f>IF(E197="",0,IF(F197="",E197,F197))</f>
        <v/>
      </c>
      <c r="P197">
        <f>IF(E197="",1,MAX(1,(YEAR(O197)-YEAR(N197))*12+MONTH(O197)-MONTH(N197)+1))</f>
        <v/>
      </c>
      <c r="Q197">
        <f>IF(G197="",0,G197/P197)</f>
        <v/>
      </c>
      <c r="R197">
        <f>IF(H197="",0,H197/P197)</f>
        <v/>
      </c>
    </row>
    <row r="198">
      <c r="A198" s="43" t="n">
        <v>46202</v>
      </c>
      <c r="B198" s="28" t="inlineStr">
        <is>
          <t>Bayaran Filter Shopee</t>
        </is>
      </c>
      <c r="C198" s="28" t="n"/>
      <c r="D198" s="28" t="inlineStr">
        <is>
          <t>Pelbagai</t>
        </is>
      </c>
      <c r="E198" s="44" t="n"/>
      <c r="F198" s="44" t="n"/>
      <c r="G198" s="23" t="n"/>
      <c r="H198" s="23" t="n"/>
      <c r="I198" s="23" t="n"/>
      <c r="J198" s="23" t="n">
        <v>41.98</v>
      </c>
      <c r="K198" s="45">
        <f>IF(A198="","",SUM(G$2:I198)-SUM(J$2:J198))</f>
        <v/>
      </c>
      <c r="L198" s="46" t="n"/>
      <c r="M198">
        <f>IF(A198="","",IF(A198=A197,M197,N(M197)+1))</f>
        <v/>
      </c>
      <c r="N198">
        <f>IF(E198="",99999,E198)</f>
        <v/>
      </c>
      <c r="O198">
        <f>IF(E198="",0,IF(F198="",E198,F198))</f>
        <v/>
      </c>
      <c r="P198">
        <f>IF(E198="",1,MAX(1,(YEAR(O198)-YEAR(N198))*12+MONTH(O198)-MONTH(N198)+1))</f>
        <v/>
      </c>
      <c r="Q198">
        <f>IF(G198="",0,G198/P198)</f>
        <v/>
      </c>
      <c r="R198">
        <f>IF(H198="",0,H198/P198)</f>
        <v/>
      </c>
    </row>
    <row r="199">
      <c r="A199" s="43" t="n">
        <v>46202</v>
      </c>
      <c r="B199" s="28" t="inlineStr">
        <is>
          <t>Pelbagai - Asnawi</t>
        </is>
      </c>
      <c r="C199" s="28" t="inlineStr">
        <is>
          <t>Asnawi</t>
        </is>
      </c>
      <c r="D199" s="28" t="inlineStr">
        <is>
          <t>Pelbagai</t>
        </is>
      </c>
      <c r="E199" s="44" t="n"/>
      <c r="F199" s="44" t="n"/>
      <c r="G199" s="23" t="n"/>
      <c r="H199" s="23" t="n"/>
      <c r="I199" s="23" t="n"/>
      <c r="J199" s="23" t="n">
        <v>18</v>
      </c>
      <c r="K199" s="45">
        <f>IF(A199="","",SUM(G$2:I199)-SUM(J$2:J199))</f>
        <v/>
      </c>
      <c r="L199" s="46" t="n"/>
      <c r="M199">
        <f>IF(A199="","",IF(A199=A198,M198,N(M198)+1))</f>
        <v/>
      </c>
      <c r="N199">
        <f>IF(E199="",99999,E199)</f>
        <v/>
      </c>
      <c r="O199">
        <f>IF(E199="",0,IF(F199="",E199,F199))</f>
        <v/>
      </c>
      <c r="P199">
        <f>IF(E199="",1,MAX(1,(YEAR(O199)-YEAR(N199))*12+MONTH(O199)-MONTH(N199)+1))</f>
        <v/>
      </c>
      <c r="Q199">
        <f>IF(G199="",0,G199/P199)</f>
        <v/>
      </c>
      <c r="R199">
        <f>IF(H199="",0,H199/P199)</f>
        <v/>
      </c>
    </row>
    <row r="200">
      <c r="A200" s="43" t="n">
        <v>46203</v>
      </c>
      <c r="B200" s="28" t="inlineStr">
        <is>
          <t>Joe (Mei–Jun 26)</t>
        </is>
      </c>
      <c r="C200" s="28" t="inlineStr">
        <is>
          <t>Joe</t>
        </is>
      </c>
      <c r="D200" s="28" t="inlineStr">
        <is>
          <t>Yuran</t>
        </is>
      </c>
      <c r="E200" s="44" t="n">
        <v>46143</v>
      </c>
      <c r="F200" s="44" t="n">
        <v>46174</v>
      </c>
      <c r="G200" s="23" t="n">
        <v>70</v>
      </c>
      <c r="H200" s="23" t="n"/>
      <c r="I200" s="23" t="n"/>
      <c r="J200" s="23" t="n"/>
      <c r="K200" s="45">
        <f>IF(A200="","",SUM(G$2:I200)-SUM(J$2:J200))</f>
        <v/>
      </c>
      <c r="L200" s="46" t="n"/>
      <c r="M200">
        <f>IF(A200="","",IF(A200=A199,M199,N(M199)+1))</f>
        <v/>
      </c>
      <c r="N200">
        <f>IF(E200="",99999,E200)</f>
        <v/>
      </c>
      <c r="O200">
        <f>IF(E200="",0,IF(F200="",E200,F200))</f>
        <v/>
      </c>
      <c r="P200">
        <f>IF(E200="",1,MAX(1,(YEAR(O200)-YEAR(N200))*12+MONTH(O200)-MONTH(N200)+1))</f>
        <v/>
      </c>
      <c r="Q200">
        <f>IF(G200="",0,G200/P200)</f>
        <v/>
      </c>
      <c r="R200">
        <f>IF(H200="",0,H200/P200)</f>
        <v/>
      </c>
    </row>
    <row r="201">
      <c r="A201" s="43" t="n">
        <v>46209</v>
      </c>
      <c r="B201" s="28" t="inlineStr">
        <is>
          <t>Bang Mie (Mei 26)</t>
        </is>
      </c>
      <c r="C201" s="28" t="inlineStr">
        <is>
          <t>Bang Mie</t>
        </is>
      </c>
      <c r="D201" s="28" t="inlineStr">
        <is>
          <t>Yuran</t>
        </is>
      </c>
      <c r="E201" s="44" t="n">
        <v>46143</v>
      </c>
      <c r="F201" s="44" t="n"/>
      <c r="G201" s="23" t="n">
        <v>35</v>
      </c>
      <c r="H201" s="23" t="n"/>
      <c r="I201" s="23" t="n"/>
      <c r="J201" s="23" t="n"/>
      <c r="K201" s="45">
        <f>IF(A201="","",SUM(G$2:I201)-SUM(J$2:J201))</f>
        <v/>
      </c>
      <c r="L201" s="46" t="n"/>
      <c r="M201">
        <f>IF(A201="","",IF(A201=A200,M200,N(M200)+1))</f>
        <v/>
      </c>
      <c r="N201">
        <f>IF(E201="",99999,E201)</f>
        <v/>
      </c>
      <c r="O201">
        <f>IF(E201="",0,IF(F201="",E201,F201))</f>
        <v/>
      </c>
      <c r="P201">
        <f>IF(E201="",1,MAX(1,(YEAR(O201)-YEAR(N201))*12+MONTH(O201)-MONTH(N201)+1))</f>
        <v/>
      </c>
      <c r="Q201">
        <f>IF(G201="",0,G201/P201)</f>
        <v/>
      </c>
      <c r="R201">
        <f>IF(H201="",0,H201/P201)</f>
        <v/>
      </c>
    </row>
    <row r="202">
      <c r="A202" s="43" t="n">
        <v>46225</v>
      </c>
      <c r="B202" s="28" t="inlineStr">
        <is>
          <t>Khairiri (Mei–Jul 26)</t>
        </is>
      </c>
      <c r="C202" s="28" t="inlineStr">
        <is>
          <t>Khairiri</t>
        </is>
      </c>
      <c r="D202" s="28" t="inlineStr">
        <is>
          <t>Yuran</t>
        </is>
      </c>
      <c r="E202" s="44" t="n">
        <v>46143</v>
      </c>
      <c r="F202" s="44" t="n">
        <v>46204</v>
      </c>
      <c r="G202" s="23" t="n">
        <v>105</v>
      </c>
      <c r="H202" s="23" t="n"/>
      <c r="I202" s="23" t="n"/>
      <c r="J202" s="23" t="n"/>
      <c r="K202" s="45">
        <f>IF(A202="","",SUM(G$2:I202)-SUM(J$2:J202))</f>
        <v/>
      </c>
      <c r="L202" s="46" t="n"/>
      <c r="M202">
        <f>IF(A202="","",IF(A202=A201,M201,N(M201)+1))</f>
        <v/>
      </c>
      <c r="N202">
        <f>IF(E202="",99999,E202)</f>
        <v/>
      </c>
      <c r="O202">
        <f>IF(E202="",0,IF(F202="",E202,F202))</f>
        <v/>
      </c>
      <c r="P202">
        <f>IF(E202="",1,MAX(1,(YEAR(O202)-YEAR(N202))*12+MONTH(O202)-MONTH(N202)+1))</f>
        <v/>
      </c>
      <c r="Q202">
        <f>IF(G202="",0,G202/P202)</f>
        <v/>
      </c>
      <c r="R202">
        <f>IF(H202="",0,H202/P202)</f>
        <v/>
      </c>
    </row>
    <row r="203">
      <c r="A203" s="43" t="n">
        <v>46225</v>
      </c>
      <c r="B203" s="28" t="inlineStr">
        <is>
          <t>Hadi (Jun 26)</t>
        </is>
      </c>
      <c r="C203" s="28" t="inlineStr">
        <is>
          <t>Hadi</t>
        </is>
      </c>
      <c r="D203" s="28" t="inlineStr">
        <is>
          <t>Yuran</t>
        </is>
      </c>
      <c r="E203" s="44" t="n">
        <v>46174</v>
      </c>
      <c r="F203" s="44" t="n"/>
      <c r="G203" s="23" t="n">
        <v>140</v>
      </c>
      <c r="H203" s="23" t="n"/>
      <c r="I203" s="23" t="n"/>
      <c r="J203" s="23" t="n"/>
      <c r="K203" s="45">
        <f>IF(A203="","",SUM(G$2:I203)-SUM(J$2:J203))</f>
        <v/>
      </c>
      <c r="L203" s="46" t="inlineStr">
        <is>
          <t>Semak: kelab RM140 bukan RM35</t>
        </is>
      </c>
      <c r="M203">
        <f>IF(A203="","",IF(A203=A202,M202,N(M202)+1))</f>
        <v/>
      </c>
      <c r="N203">
        <f>IF(E203="",99999,E203)</f>
        <v/>
      </c>
      <c r="O203">
        <f>IF(E203="",0,IF(F203="",E203,F203))</f>
        <v/>
      </c>
      <c r="P203">
        <f>IF(E203="",1,MAX(1,(YEAR(O203)-YEAR(N203))*12+MONTH(O203)-MONTH(N203)+1))</f>
        <v/>
      </c>
      <c r="Q203">
        <f>IF(G203="",0,G203/P203)</f>
        <v/>
      </c>
      <c r="R203">
        <f>IF(H203="",0,H203/P203)</f>
        <v/>
      </c>
    </row>
    <row r="204">
      <c r="A204" s="43" t="n">
        <v>46226</v>
      </c>
      <c r="B204" s="28" t="inlineStr">
        <is>
          <t>Aiman (Mei–Jul 26)</t>
        </is>
      </c>
      <c r="C204" s="28" t="inlineStr">
        <is>
          <t>Aiman</t>
        </is>
      </c>
      <c r="D204" s="28" t="inlineStr">
        <is>
          <t>Yuran</t>
        </is>
      </c>
      <c r="E204" s="44" t="n">
        <v>46143</v>
      </c>
      <c r="F204" s="44" t="n">
        <v>46204</v>
      </c>
      <c r="G204" s="23" t="n">
        <v>105</v>
      </c>
      <c r="H204" s="23" t="n"/>
      <c r="I204" s="23" t="n"/>
      <c r="J204" s="23" t="n"/>
      <c r="K204" s="45">
        <f>IF(A204="","",SUM(G$2:I204)-SUM(J$2:J204))</f>
        <v/>
      </c>
      <c r="L204" s="46" t="n"/>
      <c r="M204">
        <f>IF(A204="","",IF(A204=A203,M203,N(M203)+1))</f>
        <v/>
      </c>
      <c r="N204">
        <f>IF(E204="",99999,E204)</f>
        <v/>
      </c>
      <c r="O204">
        <f>IF(E204="",0,IF(F204="",E204,F204))</f>
        <v/>
      </c>
      <c r="P204">
        <f>IF(E204="",1,MAX(1,(YEAR(O204)-YEAR(N204))*12+MONTH(O204)-MONTH(N204)+1))</f>
        <v/>
      </c>
      <c r="Q204">
        <f>IF(G204="",0,G204/P204)</f>
        <v/>
      </c>
      <c r="R204">
        <f>IF(H204="",0,H204/P204)</f>
        <v/>
      </c>
    </row>
    <row r="205">
      <c r="A205" s="43" t="n">
        <v>46226</v>
      </c>
      <c r="B205" s="28" t="inlineStr">
        <is>
          <t>Asnawi (Jul 26)</t>
        </is>
      </c>
      <c r="C205" s="28" t="inlineStr">
        <is>
          <t>Asnawi</t>
        </is>
      </c>
      <c r="D205" s="28" t="inlineStr">
        <is>
          <t>Yuran</t>
        </is>
      </c>
      <c r="E205" s="44" t="n">
        <v>46204</v>
      </c>
      <c r="F205" s="44" t="n"/>
      <c r="G205" s="23" t="n">
        <v>35</v>
      </c>
      <c r="H205" s="23" t="n"/>
      <c r="I205" s="23" t="n"/>
      <c r="J205" s="23" t="n"/>
      <c r="K205" s="45">
        <f>IF(A205="","",SUM(G$2:I205)-SUM(J$2:J205))</f>
        <v/>
      </c>
      <c r="L205" s="46" t="n"/>
      <c r="M205">
        <f>IF(A205="","",IF(A205=A204,M204,N(M204)+1))</f>
        <v/>
      </c>
      <c r="N205">
        <f>IF(E205="",99999,E205)</f>
        <v/>
      </c>
      <c r="O205">
        <f>IF(E205="",0,IF(F205="",E205,F205))</f>
        <v/>
      </c>
      <c r="P205">
        <f>IF(E205="",1,MAX(1,(YEAR(O205)-YEAR(N205))*12+MONTH(O205)-MONTH(N205)+1))</f>
        <v/>
      </c>
      <c r="Q205">
        <f>IF(G205="",0,G205/P205)</f>
        <v/>
      </c>
      <c r="R205">
        <f>IF(H205="",0,H205/P205)</f>
        <v/>
      </c>
    </row>
    <row r="206">
      <c r="A206" s="43" t="n">
        <v>46232</v>
      </c>
      <c r="B206" s="28" t="inlineStr">
        <is>
          <t>Chang (Jul 26)</t>
        </is>
      </c>
      <c r="C206" s="28" t="inlineStr">
        <is>
          <t>Chang</t>
        </is>
      </c>
      <c r="D206" s="28" t="inlineStr">
        <is>
          <t>Yuran</t>
        </is>
      </c>
      <c r="E206" s="44" t="n">
        <v>46204</v>
      </c>
      <c r="F206" s="44" t="n"/>
      <c r="G206" s="23" t="n">
        <v>35</v>
      </c>
      <c r="H206" s="23" t="n"/>
      <c r="I206" s="23" t="n"/>
      <c r="J206" s="23" t="n"/>
      <c r="K206" s="45">
        <f>IF(A206="","",SUM(G$2:I206)-SUM(J$2:J206))</f>
        <v/>
      </c>
      <c r="L206" s="46" t="n"/>
      <c r="M206">
        <f>IF(A206="","",IF(A206=A205,M205,N(M205)+1))</f>
        <v/>
      </c>
      <c r="N206">
        <f>IF(E206="",99999,E206)</f>
        <v/>
      </c>
      <c r="O206">
        <f>IF(E206="",0,IF(F206="",E206,F206))</f>
        <v/>
      </c>
      <c r="P206">
        <f>IF(E206="",1,MAX(1,(YEAR(O206)-YEAR(N206))*12+MONTH(O206)-MONTH(N206)+1))</f>
        <v/>
      </c>
      <c r="Q206">
        <f>IF(G206="",0,G206/P206)</f>
        <v/>
      </c>
      <c r="R206">
        <f>IF(H206="",0,H206/P206)</f>
        <v/>
      </c>
    </row>
    <row r="207">
      <c r="A207" s="43" t="n">
        <v>46232</v>
      </c>
      <c r="B207" s="28" t="inlineStr">
        <is>
          <t>Bang Mie (Jun–Nov 26)</t>
        </is>
      </c>
      <c r="C207" s="28" t="inlineStr">
        <is>
          <t>Bang Mie</t>
        </is>
      </c>
      <c r="D207" s="28" t="inlineStr">
        <is>
          <t>Yuran</t>
        </is>
      </c>
      <c r="E207" s="44" t="n">
        <v>46174</v>
      </c>
      <c r="F207" s="44" t="n">
        <v>46327</v>
      </c>
      <c r="G207" s="23" t="n">
        <v>210</v>
      </c>
      <c r="H207" s="23" t="n"/>
      <c r="I207" s="23" t="n"/>
      <c r="J207" s="23" t="n"/>
      <c r="K207" s="45">
        <f>IF(A207="","",SUM(G$2:I207)-SUM(J$2:J207))</f>
        <v/>
      </c>
      <c r="L207" s="46" t="n"/>
      <c r="M207">
        <f>IF(A207="","",IF(A207=A206,M206,N(M206)+1))</f>
        <v/>
      </c>
      <c r="N207">
        <f>IF(E207="",99999,E207)</f>
        <v/>
      </c>
      <c r="O207">
        <f>IF(E207="",0,IF(F207="",E207,F207))</f>
        <v/>
      </c>
      <c r="P207">
        <f>IF(E207="",1,MAX(1,(YEAR(O207)-YEAR(N207))*12+MONTH(O207)-MONTH(N207)+1))</f>
        <v/>
      </c>
      <c r="Q207">
        <f>IF(G207="",0,G207/P207)</f>
        <v/>
      </c>
      <c r="R207">
        <f>IF(H207="",0,H207/P207)</f>
        <v/>
      </c>
    </row>
    <row r="208">
      <c r="A208" s="43" t="n">
        <v>46247</v>
      </c>
      <c r="B208" s="28" t="inlineStr">
        <is>
          <t>Bayaran PSKPP</t>
        </is>
      </c>
      <c r="C208" s="28" t="n"/>
      <c r="D208" s="28" t="inlineStr">
        <is>
          <t>Langganan / Bahan</t>
        </is>
      </c>
      <c r="E208" s="44" t="n"/>
      <c r="F208" s="44" t="n"/>
      <c r="G208" s="23" t="n"/>
      <c r="H208" s="23" t="n"/>
      <c r="I208" s="23" t="n"/>
      <c r="J208" s="23" t="n">
        <v>120</v>
      </c>
      <c r="K208" s="45">
        <f>IF(A208="","",SUM(G$2:I208)-SUM(J$2:J208))</f>
        <v/>
      </c>
      <c r="L208" s="46" t="n"/>
      <c r="M208">
        <f>IF(A208="","",IF(A208=A207,M207,N(M207)+1))</f>
        <v/>
      </c>
      <c r="N208">
        <f>IF(E208="",99999,E208)</f>
        <v/>
      </c>
      <c r="O208">
        <f>IF(E208="",0,IF(F208="",E208,F208))</f>
        <v/>
      </c>
      <c r="P208">
        <f>IF(E208="",1,MAX(1,(YEAR(O208)-YEAR(N208))*12+MONTH(O208)-MONTH(N208)+1))</f>
        <v/>
      </c>
      <c r="Q208">
        <f>IF(G208="",0,G208/P208)</f>
        <v/>
      </c>
      <c r="R208">
        <f>IF(H208="",0,H208/P208)</f>
        <v/>
      </c>
    </row>
    <row r="209">
      <c r="A209" s="43" t="n">
        <v>46259</v>
      </c>
      <c r="B209" s="28" t="inlineStr">
        <is>
          <t>Joe (Jul–Ogo 26)</t>
        </is>
      </c>
      <c r="C209" s="28" t="inlineStr">
        <is>
          <t>Joe</t>
        </is>
      </c>
      <c r="D209" s="28" t="inlineStr">
        <is>
          <t>Yuran</t>
        </is>
      </c>
      <c r="E209" s="44" t="n">
        <v>46204</v>
      </c>
      <c r="F209" s="44" t="n">
        <v>46235</v>
      </c>
      <c r="G209" s="23" t="n">
        <v>70</v>
      </c>
      <c r="H209" s="23" t="n"/>
      <c r="I209" s="23" t="n"/>
      <c r="J209" s="23" t="n"/>
      <c r="K209" s="45">
        <f>IF(A209="","",SUM(G$2:I209)-SUM(J$2:J209))</f>
        <v/>
      </c>
      <c r="L209" s="46" t="n"/>
      <c r="M209">
        <f>IF(A209="","",IF(A209=A208,M208,N(M208)+1))</f>
        <v/>
      </c>
      <c r="N209">
        <f>IF(E209="",99999,E209)</f>
        <v/>
      </c>
      <c r="O209">
        <f>IF(E209="",0,IF(F209="",E209,F209))</f>
        <v/>
      </c>
      <c r="P209">
        <f>IF(E209="",1,MAX(1,(YEAR(O209)-YEAR(N209))*12+MONTH(O209)-MONTH(N209)+1))</f>
        <v/>
      </c>
      <c r="Q209">
        <f>IF(G209="",0,G209/P209)</f>
        <v/>
      </c>
      <c r="R209">
        <f>IF(H209="",0,H209/P209)</f>
        <v/>
      </c>
    </row>
    <row r="210">
      <c r="A210" s="43" t="n">
        <v>46259</v>
      </c>
      <c r="B210" s="28" t="inlineStr">
        <is>
          <t>Baju Korporat (13 orang)</t>
        </is>
      </c>
      <c r="C210" s="28" t="n"/>
      <c r="D210" s="28" t="inlineStr">
        <is>
          <t>Pakaian</t>
        </is>
      </c>
      <c r="E210" s="44" t="n"/>
      <c r="F210" s="44" t="n"/>
      <c r="G210" s="23" t="n"/>
      <c r="H210" s="23" t="n"/>
      <c r="I210" s="23" t="n"/>
      <c r="J210" s="23" t="n">
        <v>670</v>
      </c>
      <c r="K210" s="45">
        <f>IF(A210="","",SUM(G$2:I210)-SUM(J$2:J210))</f>
        <v/>
      </c>
      <c r="L210" s="46" t="n"/>
      <c r="M210">
        <f>IF(A210="","",IF(A210=A209,M209,N(M209)+1))</f>
        <v/>
      </c>
      <c r="N210">
        <f>IF(E210="",99999,E210)</f>
        <v/>
      </c>
      <c r="O210">
        <f>IF(E210="",0,IF(F210="",E210,F210))</f>
        <v/>
      </c>
      <c r="P210">
        <f>IF(E210="",1,MAX(1,(YEAR(O210)-YEAR(N210))*12+MONTH(O210)-MONTH(N210)+1))</f>
        <v/>
      </c>
      <c r="Q210">
        <f>IF(G210="",0,G210/P210)</f>
        <v/>
      </c>
      <c r="R210">
        <f>IF(H210="",0,H210/P210)</f>
        <v/>
      </c>
    </row>
    <row r="211">
      <c r="A211" s="43" t="n">
        <v>46260</v>
      </c>
      <c r="B211" s="28" t="inlineStr">
        <is>
          <t>Aiman (Ogo 26)</t>
        </is>
      </c>
      <c r="C211" s="28" t="inlineStr">
        <is>
          <t>Aiman</t>
        </is>
      </c>
      <c r="D211" s="28" t="inlineStr">
        <is>
          <t>Yuran</t>
        </is>
      </c>
      <c r="E211" s="44" t="n">
        <v>46235</v>
      </c>
      <c r="F211" s="44" t="n"/>
      <c r="G211" s="23" t="n">
        <v>35</v>
      </c>
      <c r="H211" s="23" t="n"/>
      <c r="I211" s="23" t="n"/>
      <c r="J211" s="23" t="n"/>
      <c r="K211" s="45">
        <f>IF(A211="","",SUM(G$2:I211)-SUM(J$2:J211))</f>
        <v/>
      </c>
      <c r="L211" s="46" t="n"/>
      <c r="M211">
        <f>IF(A211="","",IF(A211=A210,M210,N(M210)+1))</f>
        <v/>
      </c>
      <c r="N211">
        <f>IF(E211="",99999,E211)</f>
        <v/>
      </c>
      <c r="O211">
        <f>IF(E211="",0,IF(F211="",E211,F211))</f>
        <v/>
      </c>
      <c r="P211">
        <f>IF(E211="",1,MAX(1,(YEAR(O211)-YEAR(N211))*12+MONTH(O211)-MONTH(N211)+1))</f>
        <v/>
      </c>
      <c r="Q211">
        <f>IF(G211="",0,G211/P211)</f>
        <v/>
      </c>
      <c r="R211">
        <f>IF(H211="",0,H211/P211)</f>
        <v/>
      </c>
    </row>
    <row r="212">
      <c r="A212" s="43" t="n">
        <v>46272</v>
      </c>
      <c r="B212" s="28" t="inlineStr">
        <is>
          <t>Ustaz (Apr 26 separa)</t>
        </is>
      </c>
      <c r="C212" s="28" t="inlineStr">
        <is>
          <t>Ustaz</t>
        </is>
      </c>
      <c r="D212" s="28" t="inlineStr">
        <is>
          <t>Yuran</t>
        </is>
      </c>
      <c r="E212" s="44" t="n">
        <v>46113</v>
      </c>
      <c r="F212" s="44" t="n"/>
      <c r="G212" s="23" t="n">
        <v>5</v>
      </c>
      <c r="H212" s="23" t="n"/>
      <c r="I212" s="23" t="n"/>
      <c r="J212" s="23" t="n"/>
      <c r="K212" s="45">
        <f>IF(A212="","",SUM(G$2:I212)-SUM(J$2:J212))</f>
        <v/>
      </c>
      <c r="L212" s="46" t="n"/>
      <c r="M212">
        <f>IF(A212="","",IF(A212=A211,M211,N(M211)+1))</f>
        <v/>
      </c>
      <c r="N212">
        <f>IF(E212="",99999,E212)</f>
        <v/>
      </c>
      <c r="O212">
        <f>IF(E212="",0,IF(F212="",E212,F212))</f>
        <v/>
      </c>
      <c r="P212">
        <f>IF(E212="",1,MAX(1,(YEAR(O212)-YEAR(N212))*12+MONTH(O212)-MONTH(N212)+1))</f>
        <v/>
      </c>
      <c r="Q212">
        <f>IF(G212="",0,G212/P212)</f>
        <v/>
      </c>
      <c r="R212">
        <f>IF(H212="",0,H212/P212)</f>
        <v/>
      </c>
    </row>
    <row r="213">
      <c r="A213" s="43" t="n">
        <v>46272</v>
      </c>
      <c r="B213" s="28" t="inlineStr">
        <is>
          <t>Ustaz (Mei 26)</t>
        </is>
      </c>
      <c r="C213" s="28" t="inlineStr">
        <is>
          <t>Ustaz</t>
        </is>
      </c>
      <c r="D213" s="28" t="inlineStr">
        <is>
          <t>Yuran</t>
        </is>
      </c>
      <c r="E213" s="44" t="n">
        <v>46143</v>
      </c>
      <c r="F213" s="44" t="n"/>
      <c r="G213" s="23" t="n">
        <v>35</v>
      </c>
      <c r="H213" s="23" t="n"/>
      <c r="I213" s="23" t="n"/>
      <c r="J213" s="23" t="n"/>
      <c r="K213" s="45">
        <f>IF(A213="","",SUM(G$2:I213)-SUM(J$2:J213))</f>
        <v/>
      </c>
      <c r="L213" s="46" t="n"/>
      <c r="M213">
        <f>IF(A213="","",IF(A213=A212,M212,N(M212)+1))</f>
        <v/>
      </c>
      <c r="N213">
        <f>IF(E213="",99999,E213)</f>
        <v/>
      </c>
      <c r="O213">
        <f>IF(E213="",0,IF(F213="",E213,F213))</f>
        <v/>
      </c>
      <c r="P213">
        <f>IF(E213="",1,MAX(1,(YEAR(O213)-YEAR(N213))*12+MONTH(O213)-MONTH(N213)+1))</f>
        <v/>
      </c>
      <c r="Q213">
        <f>IF(G213="",0,G213/P213)</f>
        <v/>
      </c>
      <c r="R213">
        <f>IF(H213="",0,H213/P213)</f>
        <v/>
      </c>
    </row>
    <row r="214">
      <c r="A214" s="43" t="n">
        <v>46272</v>
      </c>
      <c r="B214" s="28" t="inlineStr">
        <is>
          <t>Ustaz (Jun 26 separa)</t>
        </is>
      </c>
      <c r="C214" s="28" t="inlineStr">
        <is>
          <t>Ustaz</t>
        </is>
      </c>
      <c r="D214" s="28" t="inlineStr">
        <is>
          <t>Yuran</t>
        </is>
      </c>
      <c r="E214" s="44" t="n">
        <v>46174</v>
      </c>
      <c r="F214" s="44" t="n"/>
      <c r="G214" s="23" t="n">
        <v>20</v>
      </c>
      <c r="H214" s="23" t="n"/>
      <c r="I214" s="23" t="n"/>
      <c r="J214" s="23" t="n"/>
      <c r="K214" s="45">
        <f>IF(A214="","",SUM(G$2:I214)-SUM(J$2:J214))</f>
        <v/>
      </c>
      <c r="L214" s="46" t="n"/>
      <c r="M214">
        <f>IF(A214="","",IF(A214=A213,M213,N(M213)+1))</f>
        <v/>
      </c>
      <c r="N214">
        <f>IF(E214="",99999,E214)</f>
        <v/>
      </c>
      <c r="O214">
        <f>IF(E214="",0,IF(F214="",E214,F214))</f>
        <v/>
      </c>
      <c r="P214">
        <f>IF(E214="",1,MAX(1,(YEAR(O214)-YEAR(N214))*12+MONTH(O214)-MONTH(N214)+1))</f>
        <v/>
      </c>
      <c r="Q214">
        <f>IF(G214="",0,G214/P214)</f>
        <v/>
      </c>
      <c r="R214">
        <f>IF(H214="",0,H214/P214)</f>
        <v/>
      </c>
    </row>
    <row r="215">
      <c r="A215" s="43" t="n">
        <v>46272</v>
      </c>
      <c r="B215" s="28" t="inlineStr">
        <is>
          <t>Asnawi (Ogo 26)</t>
        </is>
      </c>
      <c r="C215" s="28" t="inlineStr">
        <is>
          <t>Asnawi</t>
        </is>
      </c>
      <c r="D215" s="28" t="inlineStr">
        <is>
          <t>Yuran</t>
        </is>
      </c>
      <c r="E215" s="44" t="n">
        <v>46235</v>
      </c>
      <c r="F215" s="44" t="n"/>
      <c r="G215" s="23" t="n">
        <v>35</v>
      </c>
      <c r="H215" s="23" t="n"/>
      <c r="I215" s="23" t="n"/>
      <c r="J215" s="23" t="n"/>
      <c r="K215" s="45">
        <f>IF(A215="","",SUM(G$2:I215)-SUM(J$2:J215))</f>
        <v/>
      </c>
      <c r="L215" s="46" t="n"/>
      <c r="M215">
        <f>IF(A215="","",IF(A215=A214,M214,N(M214)+1))</f>
        <v/>
      </c>
      <c r="N215">
        <f>IF(E215="",99999,E215)</f>
        <v/>
      </c>
      <c r="O215">
        <f>IF(E215="",0,IF(F215="",E215,F215))</f>
        <v/>
      </c>
      <c r="P215">
        <f>IF(E215="",1,MAX(1,(YEAR(O215)-YEAR(N215))*12+MONTH(O215)-MONTH(N215)+1))</f>
        <v/>
      </c>
      <c r="Q215">
        <f>IF(G215="",0,G215/P215)</f>
        <v/>
      </c>
      <c r="R215">
        <f>IF(H215="",0,H215/P215)</f>
        <v/>
      </c>
    </row>
    <row r="216">
      <c r="A216" s="43" t="n">
        <v>46272</v>
      </c>
      <c r="B216" s="28" t="inlineStr">
        <is>
          <t>Bayaran Duit Pantri - Asnawi</t>
        </is>
      </c>
      <c r="C216" s="28" t="inlineStr">
        <is>
          <t>Asnawi</t>
        </is>
      </c>
      <c r="D216" s="28" t="inlineStr">
        <is>
          <t>Duit Pantri</t>
        </is>
      </c>
      <c r="E216" s="44" t="n"/>
      <c r="F216" s="44" t="n"/>
      <c r="G216" s="23" t="n"/>
      <c r="H216" s="23" t="n"/>
      <c r="I216" s="23" t="n"/>
      <c r="J216" s="23" t="n">
        <v>60</v>
      </c>
      <c r="K216" s="45">
        <f>IF(A216="","",SUM(G$2:I216)-SUM(J$2:J216))</f>
        <v/>
      </c>
      <c r="L216" s="46" t="n"/>
      <c r="M216">
        <f>IF(A216="","",IF(A216=A215,M215,N(M215)+1))</f>
        <v/>
      </c>
      <c r="N216">
        <f>IF(E216="",99999,E216)</f>
        <v/>
      </c>
      <c r="O216">
        <f>IF(E216="",0,IF(F216="",E216,F216))</f>
        <v/>
      </c>
      <c r="P216">
        <f>IF(E216="",1,MAX(1,(YEAR(O216)-YEAR(N216))*12+MONTH(O216)-MONTH(N216)+1))</f>
        <v/>
      </c>
      <c r="Q216">
        <f>IF(G216="",0,G216/P216)</f>
        <v/>
      </c>
      <c r="R216">
        <f>IF(H216="",0,H216/P216)</f>
        <v/>
      </c>
    </row>
    <row r="217">
      <c r="A217" s="43" t="n">
        <v>46289</v>
      </c>
      <c r="B217" s="28" t="inlineStr">
        <is>
          <t>Boss Wan (Jul–Ogo 26)</t>
        </is>
      </c>
      <c r="C217" s="28" t="inlineStr">
        <is>
          <t>Boss Wan</t>
        </is>
      </c>
      <c r="D217" s="28" t="inlineStr">
        <is>
          <t>Yuran</t>
        </is>
      </c>
      <c r="E217" s="44" t="n">
        <v>46204</v>
      </c>
      <c r="F217" s="44" t="n">
        <v>46235</v>
      </c>
      <c r="G217" s="23" t="n">
        <v>70</v>
      </c>
      <c r="H217" s="23" t="n"/>
      <c r="I217" s="23" t="n"/>
      <c r="J217" s="23" t="n"/>
      <c r="K217" s="45">
        <f>IF(A217="","",SUM(G$2:I217)-SUM(J$2:J217))</f>
        <v/>
      </c>
      <c r="L217" s="46" t="n"/>
      <c r="M217">
        <f>IF(A217="","",IF(A217=A216,M216,N(M216)+1))</f>
        <v/>
      </c>
      <c r="N217">
        <f>IF(E217="",99999,E217)</f>
        <v/>
      </c>
      <c r="O217">
        <f>IF(E217="",0,IF(F217="",E217,F217))</f>
        <v/>
      </c>
      <c r="P217">
        <f>IF(E217="",1,MAX(1,(YEAR(O217)-YEAR(N217))*12+MONTH(O217)-MONTH(N217)+1))</f>
        <v/>
      </c>
      <c r="Q217">
        <f>IF(G217="",0,G217/P217)</f>
        <v/>
      </c>
      <c r="R217">
        <f>IF(H217="",0,H217/P217)</f>
        <v/>
      </c>
    </row>
    <row r="218">
      <c r="A218" s="43" t="n">
        <v>46289</v>
      </c>
      <c r="B218" s="28" t="inlineStr">
        <is>
          <t>Chang (Ogo 26)</t>
        </is>
      </c>
      <c r="C218" s="28" t="inlineStr">
        <is>
          <t>Chang</t>
        </is>
      </c>
      <c r="D218" s="28" t="inlineStr">
        <is>
          <t>Yuran</t>
        </is>
      </c>
      <c r="E218" s="44" t="n">
        <v>46235</v>
      </c>
      <c r="F218" s="44" t="n"/>
      <c r="G218" s="23" t="n">
        <v>35</v>
      </c>
      <c r="H218" s="23" t="n"/>
      <c r="I218" s="23" t="n"/>
      <c r="J218" s="23" t="n"/>
      <c r="K218" s="45">
        <f>IF(A218="","",SUM(G$2:I218)-SUM(J$2:J218))</f>
        <v/>
      </c>
      <c r="L218" s="46" t="n"/>
      <c r="M218">
        <f>IF(A218="","",IF(A218=A217,M217,N(M217)+1))</f>
        <v/>
      </c>
      <c r="N218">
        <f>IF(E218="",99999,E218)</f>
        <v/>
      </c>
      <c r="O218">
        <f>IF(E218="",0,IF(F218="",E218,F218))</f>
        <v/>
      </c>
      <c r="P218">
        <f>IF(E218="",1,MAX(1,(YEAR(O218)-YEAR(N218))*12+MONTH(O218)-MONTH(N218)+1))</f>
        <v/>
      </c>
      <c r="Q218">
        <f>IF(G218="",0,G218/P218)</f>
        <v/>
      </c>
      <c r="R218">
        <f>IF(H218="",0,H218/P218)</f>
        <v/>
      </c>
    </row>
    <row r="219">
      <c r="A219" s="43" t="n">
        <v>46290</v>
      </c>
      <c r="B219" s="28" t="inlineStr">
        <is>
          <t>Asnawi (Sep 26)</t>
        </is>
      </c>
      <c r="C219" s="28" t="inlineStr">
        <is>
          <t>Asnawi</t>
        </is>
      </c>
      <c r="D219" s="28" t="inlineStr">
        <is>
          <t>Yuran</t>
        </is>
      </c>
      <c r="E219" s="44" t="n">
        <v>46266</v>
      </c>
      <c r="F219" s="44" t="n"/>
      <c r="G219" s="23" t="n">
        <v>35</v>
      </c>
      <c r="H219" s="23" t="n"/>
      <c r="I219" s="23" t="n"/>
      <c r="J219" s="23" t="n"/>
      <c r="K219" s="45">
        <f>IF(A219="","",SUM(G$2:I219)-SUM(J$2:J219))</f>
        <v/>
      </c>
      <c r="L219" s="46" t="n"/>
      <c r="M219">
        <f>IF(A219="","",IF(A219=A218,M218,N(M218)+1))</f>
        <v/>
      </c>
      <c r="N219">
        <f>IF(E219="",99999,E219)</f>
        <v/>
      </c>
      <c r="O219">
        <f>IF(E219="",0,IF(F219="",E219,F219))</f>
        <v/>
      </c>
      <c r="P219">
        <f>IF(E219="",1,MAX(1,(YEAR(O219)-YEAR(N219))*12+MONTH(O219)-MONTH(N219)+1))</f>
        <v/>
      </c>
      <c r="Q219">
        <f>IF(G219="",0,G219/P219)</f>
        <v/>
      </c>
      <c r="R219">
        <f>IF(H219="",0,H219/P219)</f>
        <v/>
      </c>
    </row>
    <row r="220">
      <c r="A220" s="43" t="n">
        <v>46296</v>
      </c>
      <c r="B220" s="28" t="inlineStr">
        <is>
          <t>Baju Korporat Fairuz</t>
        </is>
      </c>
      <c r="C220" s="28" t="n"/>
      <c r="D220" s="28" t="inlineStr">
        <is>
          <t>Pakaian</t>
        </is>
      </c>
      <c r="E220" s="44" t="n"/>
      <c r="F220" s="44" t="n"/>
      <c r="G220" s="23" t="n"/>
      <c r="H220" s="23" t="n"/>
      <c r="I220" s="23" t="n"/>
      <c r="J220" s="23" t="n">
        <v>60</v>
      </c>
      <c r="K220" s="45">
        <f>IF(A220="","",SUM(G$2:I220)-SUM(J$2:J220))</f>
        <v/>
      </c>
      <c r="L220" s="46" t="n"/>
      <c r="M220">
        <f>IF(A220="","",IF(A220=A219,M219,N(M219)+1))</f>
        <v/>
      </c>
      <c r="N220">
        <f>IF(E220="",99999,E220)</f>
        <v/>
      </c>
      <c r="O220">
        <f>IF(E220="",0,IF(F220="",E220,F220))</f>
        <v/>
      </c>
      <c r="P220">
        <f>IF(E220="",1,MAX(1,(YEAR(O220)-YEAR(N220))*12+MONTH(O220)-MONTH(N220)+1))</f>
        <v/>
      </c>
      <c r="Q220">
        <f>IF(G220="",0,G220/P220)</f>
        <v/>
      </c>
      <c r="R220">
        <f>IF(H220="",0,H220/P220)</f>
        <v/>
      </c>
    </row>
    <row r="221">
      <c r="A221" s="43" t="n">
        <v>46303</v>
      </c>
      <c r="B221" s="28" t="inlineStr">
        <is>
          <t>Aiman (Sep–Okt 26)</t>
        </is>
      </c>
      <c r="C221" s="28" t="inlineStr">
        <is>
          <t>Aiman</t>
        </is>
      </c>
      <c r="D221" s="28" t="inlineStr">
        <is>
          <t>Yuran</t>
        </is>
      </c>
      <c r="E221" s="44" t="n">
        <v>46266</v>
      </c>
      <c r="F221" s="44" t="n">
        <v>46296</v>
      </c>
      <c r="G221" s="23" t="n">
        <v>70</v>
      </c>
      <c r="H221" s="23" t="n"/>
      <c r="I221" s="23" t="n"/>
      <c r="J221" s="23" t="n"/>
      <c r="K221" s="45">
        <f>IF(A221="","",SUM(G$2:I221)-SUM(J$2:J221))</f>
        <v/>
      </c>
      <c r="L221" s="46" t="n"/>
      <c r="M221">
        <f>IF(A221="","",IF(A221=A220,M220,N(M220)+1))</f>
        <v/>
      </c>
      <c r="N221">
        <f>IF(E221="",99999,E221)</f>
        <v/>
      </c>
      <c r="O221">
        <f>IF(E221="",0,IF(F221="",E221,F221))</f>
        <v/>
      </c>
      <c r="P221">
        <f>IF(E221="",1,MAX(1,(YEAR(O221)-YEAR(N221))*12+MONTH(O221)-MONTH(N221)+1))</f>
        <v/>
      </c>
      <c r="Q221">
        <f>IF(G221="",0,G221/P221)</f>
        <v/>
      </c>
      <c r="R221">
        <f>IF(H221="",0,H221/P221)</f>
        <v/>
      </c>
    </row>
    <row r="222">
      <c r="A222" s="43" t="n">
        <v>46303</v>
      </c>
      <c r="B222" s="28" t="inlineStr">
        <is>
          <t>Joe (Sep 26)</t>
        </is>
      </c>
      <c r="C222" s="28" t="inlineStr">
        <is>
          <t>Joe</t>
        </is>
      </c>
      <c r="D222" s="28" t="inlineStr">
        <is>
          <t>Yuran</t>
        </is>
      </c>
      <c r="E222" s="44" t="n">
        <v>46266</v>
      </c>
      <c r="F222" s="44" t="n"/>
      <c r="G222" s="23" t="n">
        <v>35</v>
      </c>
      <c r="H222" s="23" t="n"/>
      <c r="I222" s="23" t="n"/>
      <c r="J222" s="23" t="n"/>
      <c r="K222" s="45">
        <f>IF(A222="","",SUM(G$2:I222)-SUM(J$2:J222))</f>
        <v/>
      </c>
      <c r="L222" s="46" t="n"/>
      <c r="M222">
        <f>IF(A222="","",IF(A222=A221,M221,N(M221)+1))</f>
        <v/>
      </c>
      <c r="N222">
        <f>IF(E222="",99999,E222)</f>
        <v/>
      </c>
      <c r="O222">
        <f>IF(E222="",0,IF(F222="",E222,F222))</f>
        <v/>
      </c>
      <c r="P222">
        <f>IF(E222="",1,MAX(1,(YEAR(O222)-YEAR(N222))*12+MONTH(O222)-MONTH(N222)+1))</f>
        <v/>
      </c>
      <c r="Q222">
        <f>IF(G222="",0,G222/P222)</f>
        <v/>
      </c>
      <c r="R222">
        <f>IF(H222="",0,H222/P222)</f>
        <v/>
      </c>
    </row>
    <row r="223">
      <c r="A223" s="43" t="n">
        <v>46303</v>
      </c>
      <c r="B223" s="28" t="inlineStr">
        <is>
          <t>Hadiah Perpisahan Nawi</t>
        </is>
      </c>
      <c r="C223" s="28" t="n"/>
      <c r="D223" s="28" t="inlineStr">
        <is>
          <t>Majlis &amp; Hadiah</t>
        </is>
      </c>
      <c r="E223" s="44" t="n"/>
      <c r="F223" s="44" t="n"/>
      <c r="G223" s="23" t="n"/>
      <c r="H223" s="23" t="n"/>
      <c r="I223" s="23" t="n"/>
      <c r="J223" s="23" t="n">
        <v>294.13</v>
      </c>
      <c r="K223" s="45">
        <f>IF(A223="","",SUM(G$2:I223)-SUM(J$2:J223))</f>
        <v/>
      </c>
      <c r="L223" s="46" t="n"/>
      <c r="M223">
        <f>IF(A223="","",IF(A223=A222,M222,N(M222)+1))</f>
        <v/>
      </c>
      <c r="N223">
        <f>IF(E223="",99999,E223)</f>
        <v/>
      </c>
      <c r="O223">
        <f>IF(E223="",0,IF(F223="",E223,F223))</f>
        <v/>
      </c>
      <c r="P223">
        <f>IF(E223="",1,MAX(1,(YEAR(O223)-YEAR(N223))*12+MONTH(O223)-MONTH(N223)+1))</f>
        <v/>
      </c>
      <c r="Q223">
        <f>IF(G223="",0,G223/P223)</f>
        <v/>
      </c>
      <c r="R223">
        <f>IF(H223="",0,H223/P223)</f>
        <v/>
      </c>
    </row>
    <row r="224">
      <c r="A224" s="43" t="n"/>
      <c r="B224" s="28" t="n"/>
      <c r="C224" s="28" t="n"/>
      <c r="D224" s="28" t="n"/>
      <c r="E224" s="44" t="n"/>
      <c r="F224" s="44" t="n"/>
      <c r="G224" s="23" t="n"/>
      <c r="H224" s="23" t="n"/>
      <c r="I224" s="23" t="n"/>
      <c r="J224" s="23" t="n"/>
      <c r="K224" s="45">
        <f>IF(A224="","",SUM(G$2:I224)-SUM(J$2:J224))</f>
        <v/>
      </c>
      <c r="L224" s="46" t="n"/>
      <c r="M224">
        <f>IF(A224="","",IF(A224=A223,M223,N(M223)+1))</f>
        <v/>
      </c>
      <c r="N224">
        <f>IF(E224="",99999,E224)</f>
        <v/>
      </c>
      <c r="O224">
        <f>IF(E224="",0,IF(F224="",E224,F224))</f>
        <v/>
      </c>
      <c r="P224">
        <f>IF(E224="",1,MAX(1,(YEAR(O224)-YEAR(N224))*12+MONTH(O224)-MONTH(N224)+1))</f>
        <v/>
      </c>
      <c r="Q224">
        <f>IF(G224="",0,G224/P224)</f>
        <v/>
      </c>
      <c r="R224">
        <f>IF(H224="",0,H224/P224)</f>
        <v/>
      </c>
    </row>
    <row r="225">
      <c r="A225" s="43" t="n"/>
      <c r="B225" s="28" t="n"/>
      <c r="C225" s="28" t="n"/>
      <c r="D225" s="28" t="n"/>
      <c r="E225" s="44" t="n"/>
      <c r="F225" s="44" t="n"/>
      <c r="G225" s="23" t="n"/>
      <c r="H225" s="23" t="n"/>
      <c r="I225" s="23" t="n"/>
      <c r="J225" s="23" t="n"/>
      <c r="K225" s="45">
        <f>IF(A225="","",SUM(G$2:I225)-SUM(J$2:J225))</f>
        <v/>
      </c>
      <c r="L225" s="46" t="n"/>
      <c r="M225">
        <f>IF(A225="","",IF(A225=A224,M224,N(M224)+1))</f>
        <v/>
      </c>
      <c r="N225">
        <f>IF(E225="",99999,E225)</f>
        <v/>
      </c>
      <c r="O225">
        <f>IF(E225="",0,IF(F225="",E225,F225))</f>
        <v/>
      </c>
      <c r="P225">
        <f>IF(E225="",1,MAX(1,(YEAR(O225)-YEAR(N225))*12+MONTH(O225)-MONTH(N225)+1))</f>
        <v/>
      </c>
      <c r="Q225">
        <f>IF(G225="",0,G225/P225)</f>
        <v/>
      </c>
      <c r="R225">
        <f>IF(H225="",0,H225/P225)</f>
        <v/>
      </c>
    </row>
    <row r="226">
      <c r="A226" s="43" t="n"/>
      <c r="B226" s="28" t="n"/>
      <c r="C226" s="28" t="n"/>
      <c r="D226" s="28" t="n"/>
      <c r="E226" s="44" t="n"/>
      <c r="F226" s="44" t="n"/>
      <c r="G226" s="23" t="n"/>
      <c r="H226" s="23" t="n"/>
      <c r="I226" s="23" t="n"/>
      <c r="J226" s="23" t="n"/>
      <c r="K226" s="45">
        <f>IF(A226="","",SUM(G$2:I226)-SUM(J$2:J226))</f>
        <v/>
      </c>
      <c r="L226" s="46" t="n"/>
      <c r="M226">
        <f>IF(A226="","",IF(A226=A225,M225,N(M225)+1))</f>
        <v/>
      </c>
      <c r="N226">
        <f>IF(E226="",99999,E226)</f>
        <v/>
      </c>
      <c r="O226">
        <f>IF(E226="",0,IF(F226="",E226,F226))</f>
        <v/>
      </c>
      <c r="P226">
        <f>IF(E226="",1,MAX(1,(YEAR(O226)-YEAR(N226))*12+MONTH(O226)-MONTH(N226)+1))</f>
        <v/>
      </c>
      <c r="Q226">
        <f>IF(G226="",0,G226/P226)</f>
        <v/>
      </c>
      <c r="R226">
        <f>IF(H226="",0,H226/P226)</f>
        <v/>
      </c>
    </row>
    <row r="227">
      <c r="A227" s="43" t="n"/>
      <c r="B227" s="28" t="n"/>
      <c r="C227" s="28" t="n"/>
      <c r="D227" s="28" t="n"/>
      <c r="E227" s="44" t="n"/>
      <c r="F227" s="44" t="n"/>
      <c r="G227" s="23" t="n"/>
      <c r="H227" s="23" t="n"/>
      <c r="I227" s="23" t="n"/>
      <c r="J227" s="23" t="n"/>
      <c r="K227" s="45">
        <f>IF(A227="","",SUM(G$2:I227)-SUM(J$2:J227))</f>
        <v/>
      </c>
      <c r="L227" s="46" t="n"/>
      <c r="M227">
        <f>IF(A227="","",IF(A227=A226,M226,N(M226)+1))</f>
        <v/>
      </c>
      <c r="N227">
        <f>IF(E227="",99999,E227)</f>
        <v/>
      </c>
      <c r="O227">
        <f>IF(E227="",0,IF(F227="",E227,F227))</f>
        <v/>
      </c>
      <c r="P227">
        <f>IF(E227="",1,MAX(1,(YEAR(O227)-YEAR(N227))*12+MONTH(O227)-MONTH(N227)+1))</f>
        <v/>
      </c>
      <c r="Q227">
        <f>IF(G227="",0,G227/P227)</f>
        <v/>
      </c>
      <c r="R227">
        <f>IF(H227="",0,H227/P227)</f>
        <v/>
      </c>
    </row>
    <row r="228">
      <c r="A228" s="43" t="n"/>
      <c r="B228" s="28" t="n"/>
      <c r="C228" s="28" t="n"/>
      <c r="D228" s="28" t="n"/>
      <c r="E228" s="44" t="n"/>
      <c r="F228" s="44" t="n"/>
      <c r="G228" s="23" t="n"/>
      <c r="H228" s="23" t="n"/>
      <c r="I228" s="23" t="n"/>
      <c r="J228" s="23" t="n"/>
      <c r="K228" s="45">
        <f>IF(A228="","",SUM(G$2:I228)-SUM(J$2:J228))</f>
        <v/>
      </c>
      <c r="L228" s="46" t="n"/>
      <c r="M228">
        <f>IF(A228="","",IF(A228=A227,M227,N(M227)+1))</f>
        <v/>
      </c>
      <c r="N228">
        <f>IF(E228="",99999,E228)</f>
        <v/>
      </c>
      <c r="O228">
        <f>IF(E228="",0,IF(F228="",E228,F228))</f>
        <v/>
      </c>
      <c r="P228">
        <f>IF(E228="",1,MAX(1,(YEAR(O228)-YEAR(N228))*12+MONTH(O228)-MONTH(N228)+1))</f>
        <v/>
      </c>
      <c r="Q228">
        <f>IF(G228="",0,G228/P228)</f>
        <v/>
      </c>
      <c r="R228">
        <f>IF(H228="",0,H228/P228)</f>
        <v/>
      </c>
    </row>
    <row r="229">
      <c r="A229" s="43" t="n"/>
      <c r="B229" s="28" t="n"/>
      <c r="C229" s="28" t="n"/>
      <c r="D229" s="28" t="n"/>
      <c r="E229" s="44" t="n"/>
      <c r="F229" s="44" t="n"/>
      <c r="G229" s="23" t="n"/>
      <c r="H229" s="23" t="n"/>
      <c r="I229" s="23" t="n"/>
      <c r="J229" s="23" t="n"/>
      <c r="K229" s="45">
        <f>IF(A229="","",SUM(G$2:I229)-SUM(J$2:J229))</f>
        <v/>
      </c>
      <c r="L229" s="46" t="n"/>
      <c r="M229">
        <f>IF(A229="","",IF(A229=A228,M228,N(M228)+1))</f>
        <v/>
      </c>
      <c r="N229">
        <f>IF(E229="",99999,E229)</f>
        <v/>
      </c>
      <c r="O229">
        <f>IF(E229="",0,IF(F229="",E229,F229))</f>
        <v/>
      </c>
      <c r="P229">
        <f>IF(E229="",1,MAX(1,(YEAR(O229)-YEAR(N229))*12+MONTH(O229)-MONTH(N229)+1))</f>
        <v/>
      </c>
      <c r="Q229">
        <f>IF(G229="",0,G229/P229)</f>
        <v/>
      </c>
      <c r="R229">
        <f>IF(H229="",0,H229/P229)</f>
        <v/>
      </c>
    </row>
    <row r="230">
      <c r="A230" s="43" t="n"/>
      <c r="B230" s="28" t="n"/>
      <c r="C230" s="28" t="n"/>
      <c r="D230" s="28" t="n"/>
      <c r="E230" s="44" t="n"/>
      <c r="F230" s="44" t="n"/>
      <c r="G230" s="23" t="n"/>
      <c r="H230" s="23" t="n"/>
      <c r="I230" s="23" t="n"/>
      <c r="J230" s="23" t="n"/>
      <c r="K230" s="45">
        <f>IF(A230="","",SUM(G$2:I230)-SUM(J$2:J230))</f>
        <v/>
      </c>
      <c r="L230" s="46" t="n"/>
      <c r="M230">
        <f>IF(A230="","",IF(A230=A229,M229,N(M229)+1))</f>
        <v/>
      </c>
      <c r="N230">
        <f>IF(E230="",99999,E230)</f>
        <v/>
      </c>
      <c r="O230">
        <f>IF(E230="",0,IF(F230="",E230,F230))</f>
        <v/>
      </c>
      <c r="P230">
        <f>IF(E230="",1,MAX(1,(YEAR(O230)-YEAR(N230))*12+MONTH(O230)-MONTH(N230)+1))</f>
        <v/>
      </c>
      <c r="Q230">
        <f>IF(G230="",0,G230/P230)</f>
        <v/>
      </c>
      <c r="R230">
        <f>IF(H230="",0,H230/P230)</f>
        <v/>
      </c>
    </row>
    <row r="231">
      <c r="A231" s="43" t="n"/>
      <c r="B231" s="28" t="n"/>
      <c r="C231" s="28" t="n"/>
      <c r="D231" s="28" t="n"/>
      <c r="E231" s="44" t="n"/>
      <c r="F231" s="44" t="n"/>
      <c r="G231" s="23" t="n"/>
      <c r="H231" s="23" t="n"/>
      <c r="I231" s="23" t="n"/>
      <c r="J231" s="23" t="n"/>
      <c r="K231" s="45">
        <f>IF(A231="","",SUM(G$2:I231)-SUM(J$2:J231))</f>
        <v/>
      </c>
      <c r="L231" s="46" t="n"/>
      <c r="M231">
        <f>IF(A231="","",IF(A231=A230,M230,N(M230)+1))</f>
        <v/>
      </c>
      <c r="N231">
        <f>IF(E231="",99999,E231)</f>
        <v/>
      </c>
      <c r="O231">
        <f>IF(E231="",0,IF(F231="",E231,F231))</f>
        <v/>
      </c>
      <c r="P231">
        <f>IF(E231="",1,MAX(1,(YEAR(O231)-YEAR(N231))*12+MONTH(O231)-MONTH(N231)+1))</f>
        <v/>
      </c>
      <c r="Q231">
        <f>IF(G231="",0,G231/P231)</f>
        <v/>
      </c>
      <c r="R231">
        <f>IF(H231="",0,H231/P231)</f>
        <v/>
      </c>
    </row>
    <row r="232">
      <c r="A232" s="43" t="n"/>
      <c r="B232" s="28" t="n"/>
      <c r="C232" s="28" t="n"/>
      <c r="D232" s="28" t="n"/>
      <c r="E232" s="44" t="n"/>
      <c r="F232" s="44" t="n"/>
      <c r="G232" s="23" t="n"/>
      <c r="H232" s="23" t="n"/>
      <c r="I232" s="23" t="n"/>
      <c r="J232" s="23" t="n"/>
      <c r="K232" s="45">
        <f>IF(A232="","",SUM(G$2:I232)-SUM(J$2:J232))</f>
        <v/>
      </c>
      <c r="L232" s="46" t="n"/>
      <c r="M232">
        <f>IF(A232="","",IF(A232=A231,M231,N(M231)+1))</f>
        <v/>
      </c>
      <c r="N232">
        <f>IF(E232="",99999,E232)</f>
        <v/>
      </c>
      <c r="O232">
        <f>IF(E232="",0,IF(F232="",E232,F232))</f>
        <v/>
      </c>
      <c r="P232">
        <f>IF(E232="",1,MAX(1,(YEAR(O232)-YEAR(N232))*12+MONTH(O232)-MONTH(N232)+1))</f>
        <v/>
      </c>
      <c r="Q232">
        <f>IF(G232="",0,G232/P232)</f>
        <v/>
      </c>
      <c r="R232">
        <f>IF(H232="",0,H232/P232)</f>
        <v/>
      </c>
    </row>
    <row r="233">
      <c r="A233" s="43" t="n"/>
      <c r="B233" s="28" t="n"/>
      <c r="C233" s="28" t="n"/>
      <c r="D233" s="28" t="n"/>
      <c r="E233" s="44" t="n"/>
      <c r="F233" s="44" t="n"/>
      <c r="G233" s="23" t="n"/>
      <c r="H233" s="23" t="n"/>
      <c r="I233" s="23" t="n"/>
      <c r="J233" s="23" t="n"/>
      <c r="K233" s="45">
        <f>IF(A233="","",SUM(G$2:I233)-SUM(J$2:J233))</f>
        <v/>
      </c>
      <c r="L233" s="46" t="n"/>
      <c r="M233">
        <f>IF(A233="","",IF(A233=A232,M232,N(M232)+1))</f>
        <v/>
      </c>
      <c r="N233">
        <f>IF(E233="",99999,E233)</f>
        <v/>
      </c>
      <c r="O233">
        <f>IF(E233="",0,IF(F233="",E233,F233))</f>
        <v/>
      </c>
      <c r="P233">
        <f>IF(E233="",1,MAX(1,(YEAR(O233)-YEAR(N233))*12+MONTH(O233)-MONTH(N233)+1))</f>
        <v/>
      </c>
      <c r="Q233">
        <f>IF(G233="",0,G233/P233)</f>
        <v/>
      </c>
      <c r="R233">
        <f>IF(H233="",0,H233/P233)</f>
        <v/>
      </c>
    </row>
    <row r="234">
      <c r="A234" s="43" t="n"/>
      <c r="B234" s="28" t="n"/>
      <c r="C234" s="28" t="n"/>
      <c r="D234" s="28" t="n"/>
      <c r="E234" s="44" t="n"/>
      <c r="F234" s="44" t="n"/>
      <c r="G234" s="23" t="n"/>
      <c r="H234" s="23" t="n"/>
      <c r="I234" s="23" t="n"/>
      <c r="J234" s="23" t="n"/>
      <c r="K234" s="45">
        <f>IF(A234="","",SUM(G$2:I234)-SUM(J$2:J234))</f>
        <v/>
      </c>
      <c r="L234" s="46" t="n"/>
      <c r="M234">
        <f>IF(A234="","",IF(A234=A233,M233,N(M233)+1))</f>
        <v/>
      </c>
      <c r="N234">
        <f>IF(E234="",99999,E234)</f>
        <v/>
      </c>
      <c r="O234">
        <f>IF(E234="",0,IF(F234="",E234,F234))</f>
        <v/>
      </c>
      <c r="P234">
        <f>IF(E234="",1,MAX(1,(YEAR(O234)-YEAR(N234))*12+MONTH(O234)-MONTH(N234)+1))</f>
        <v/>
      </c>
      <c r="Q234">
        <f>IF(G234="",0,G234/P234)</f>
        <v/>
      </c>
      <c r="R234">
        <f>IF(H234="",0,H234/P234)</f>
        <v/>
      </c>
    </row>
    <row r="235">
      <c r="A235" s="43" t="n"/>
      <c r="B235" s="28" t="n"/>
      <c r="C235" s="28" t="n"/>
      <c r="D235" s="28" t="n"/>
      <c r="E235" s="44" t="n"/>
      <c r="F235" s="44" t="n"/>
      <c r="G235" s="23" t="n"/>
      <c r="H235" s="23" t="n"/>
      <c r="I235" s="23" t="n"/>
      <c r="J235" s="23" t="n"/>
      <c r="K235" s="45">
        <f>IF(A235="","",SUM(G$2:I235)-SUM(J$2:J235))</f>
        <v/>
      </c>
      <c r="L235" s="46" t="n"/>
      <c r="M235">
        <f>IF(A235="","",IF(A235=A234,M234,N(M234)+1))</f>
        <v/>
      </c>
      <c r="N235">
        <f>IF(E235="",99999,E235)</f>
        <v/>
      </c>
      <c r="O235">
        <f>IF(E235="",0,IF(F235="",E235,F235))</f>
        <v/>
      </c>
      <c r="P235">
        <f>IF(E235="",1,MAX(1,(YEAR(O235)-YEAR(N235))*12+MONTH(O235)-MONTH(N235)+1))</f>
        <v/>
      </c>
      <c r="Q235">
        <f>IF(G235="",0,G235/P235)</f>
        <v/>
      </c>
      <c r="R235">
        <f>IF(H235="",0,H235/P235)</f>
        <v/>
      </c>
    </row>
    <row r="236">
      <c r="A236" s="43" t="n"/>
      <c r="B236" s="28" t="n"/>
      <c r="C236" s="28" t="n"/>
      <c r="D236" s="28" t="n"/>
      <c r="E236" s="44" t="n"/>
      <c r="F236" s="44" t="n"/>
      <c r="G236" s="23" t="n"/>
      <c r="H236" s="23" t="n"/>
      <c r="I236" s="23" t="n"/>
      <c r="J236" s="23" t="n"/>
      <c r="K236" s="45">
        <f>IF(A236="","",SUM(G$2:I236)-SUM(J$2:J236))</f>
        <v/>
      </c>
      <c r="L236" s="46" t="n"/>
      <c r="M236">
        <f>IF(A236="","",IF(A236=A235,M235,N(M235)+1))</f>
        <v/>
      </c>
      <c r="N236">
        <f>IF(E236="",99999,E236)</f>
        <v/>
      </c>
      <c r="O236">
        <f>IF(E236="",0,IF(F236="",E236,F236))</f>
        <v/>
      </c>
      <c r="P236">
        <f>IF(E236="",1,MAX(1,(YEAR(O236)-YEAR(N236))*12+MONTH(O236)-MONTH(N236)+1))</f>
        <v/>
      </c>
      <c r="Q236">
        <f>IF(G236="",0,G236/P236)</f>
        <v/>
      </c>
      <c r="R236">
        <f>IF(H236="",0,H236/P236)</f>
        <v/>
      </c>
    </row>
    <row r="237">
      <c r="A237" s="43" t="n"/>
      <c r="B237" s="28" t="n"/>
      <c r="C237" s="28" t="n"/>
      <c r="D237" s="28" t="n"/>
      <c r="E237" s="44" t="n"/>
      <c r="F237" s="44" t="n"/>
      <c r="G237" s="23" t="n"/>
      <c r="H237" s="23" t="n"/>
      <c r="I237" s="23" t="n"/>
      <c r="J237" s="23" t="n"/>
      <c r="K237" s="45">
        <f>IF(A237="","",SUM(G$2:I237)-SUM(J$2:J237))</f>
        <v/>
      </c>
      <c r="L237" s="46" t="n"/>
      <c r="M237">
        <f>IF(A237="","",IF(A237=A236,M236,N(M236)+1))</f>
        <v/>
      </c>
      <c r="N237">
        <f>IF(E237="",99999,E237)</f>
        <v/>
      </c>
      <c r="O237">
        <f>IF(E237="",0,IF(F237="",E237,F237))</f>
        <v/>
      </c>
      <c r="P237">
        <f>IF(E237="",1,MAX(1,(YEAR(O237)-YEAR(N237))*12+MONTH(O237)-MONTH(N237)+1))</f>
        <v/>
      </c>
      <c r="Q237">
        <f>IF(G237="",0,G237/P237)</f>
        <v/>
      </c>
      <c r="R237">
        <f>IF(H237="",0,H237/P237)</f>
        <v/>
      </c>
    </row>
    <row r="238">
      <c r="A238" s="43" t="n"/>
      <c r="B238" s="28" t="n"/>
      <c r="C238" s="28" t="n"/>
      <c r="D238" s="28" t="n"/>
      <c r="E238" s="44" t="n"/>
      <c r="F238" s="44" t="n"/>
      <c r="G238" s="23" t="n"/>
      <c r="H238" s="23" t="n"/>
      <c r="I238" s="23" t="n"/>
      <c r="J238" s="23" t="n"/>
      <c r="K238" s="45">
        <f>IF(A238="","",SUM(G$2:I238)-SUM(J$2:J238))</f>
        <v/>
      </c>
      <c r="L238" s="46" t="n"/>
      <c r="M238">
        <f>IF(A238="","",IF(A238=A237,M237,N(M237)+1))</f>
        <v/>
      </c>
      <c r="N238">
        <f>IF(E238="",99999,E238)</f>
        <v/>
      </c>
      <c r="O238">
        <f>IF(E238="",0,IF(F238="",E238,F238))</f>
        <v/>
      </c>
      <c r="P238">
        <f>IF(E238="",1,MAX(1,(YEAR(O238)-YEAR(N238))*12+MONTH(O238)-MONTH(N238)+1))</f>
        <v/>
      </c>
      <c r="Q238">
        <f>IF(G238="",0,G238/P238)</f>
        <v/>
      </c>
      <c r="R238">
        <f>IF(H238="",0,H238/P238)</f>
        <v/>
      </c>
    </row>
    <row r="239">
      <c r="A239" s="43" t="n"/>
      <c r="B239" s="28" t="n"/>
      <c r="C239" s="28" t="n"/>
      <c r="D239" s="28" t="n"/>
      <c r="E239" s="44" t="n"/>
      <c r="F239" s="44" t="n"/>
      <c r="G239" s="23" t="n"/>
      <c r="H239" s="23" t="n"/>
      <c r="I239" s="23" t="n"/>
      <c r="J239" s="23" t="n"/>
      <c r="K239" s="45">
        <f>IF(A239="","",SUM(G$2:I239)-SUM(J$2:J239))</f>
        <v/>
      </c>
      <c r="L239" s="46" t="n"/>
      <c r="M239">
        <f>IF(A239="","",IF(A239=A238,M238,N(M238)+1))</f>
        <v/>
      </c>
      <c r="N239">
        <f>IF(E239="",99999,E239)</f>
        <v/>
      </c>
      <c r="O239">
        <f>IF(E239="",0,IF(F239="",E239,F239))</f>
        <v/>
      </c>
      <c r="P239">
        <f>IF(E239="",1,MAX(1,(YEAR(O239)-YEAR(N239))*12+MONTH(O239)-MONTH(N239)+1))</f>
        <v/>
      </c>
      <c r="Q239">
        <f>IF(G239="",0,G239/P239)</f>
        <v/>
      </c>
      <c r="R239">
        <f>IF(H239="",0,H239/P239)</f>
        <v/>
      </c>
    </row>
    <row r="240">
      <c r="A240" s="43" t="n"/>
      <c r="B240" s="28" t="n"/>
      <c r="C240" s="28" t="n"/>
      <c r="D240" s="28" t="n"/>
      <c r="E240" s="44" t="n"/>
      <c r="F240" s="44" t="n"/>
      <c r="G240" s="23" t="n"/>
      <c r="H240" s="23" t="n"/>
      <c r="I240" s="23" t="n"/>
      <c r="J240" s="23" t="n"/>
      <c r="K240" s="45">
        <f>IF(A240="","",SUM(G$2:I240)-SUM(J$2:J240))</f>
        <v/>
      </c>
      <c r="L240" s="46" t="n"/>
      <c r="M240">
        <f>IF(A240="","",IF(A240=A239,M239,N(M239)+1))</f>
        <v/>
      </c>
      <c r="N240">
        <f>IF(E240="",99999,E240)</f>
        <v/>
      </c>
      <c r="O240">
        <f>IF(E240="",0,IF(F240="",E240,F240))</f>
        <v/>
      </c>
      <c r="P240">
        <f>IF(E240="",1,MAX(1,(YEAR(O240)-YEAR(N240))*12+MONTH(O240)-MONTH(N240)+1))</f>
        <v/>
      </c>
      <c r="Q240">
        <f>IF(G240="",0,G240/P240)</f>
        <v/>
      </c>
      <c r="R240">
        <f>IF(H240="",0,H240/P240)</f>
        <v/>
      </c>
    </row>
    <row r="241">
      <c r="A241" s="43" t="n"/>
      <c r="B241" s="28" t="n"/>
      <c r="C241" s="28" t="n"/>
      <c r="D241" s="28" t="n"/>
      <c r="E241" s="44" t="n"/>
      <c r="F241" s="44" t="n"/>
      <c r="G241" s="23" t="n"/>
      <c r="H241" s="23" t="n"/>
      <c r="I241" s="23" t="n"/>
      <c r="J241" s="23" t="n"/>
      <c r="K241" s="45">
        <f>IF(A241="","",SUM(G$2:I241)-SUM(J$2:J241))</f>
        <v/>
      </c>
      <c r="L241" s="46" t="n"/>
      <c r="M241">
        <f>IF(A241="","",IF(A241=A240,M240,N(M240)+1))</f>
        <v/>
      </c>
      <c r="N241">
        <f>IF(E241="",99999,E241)</f>
        <v/>
      </c>
      <c r="O241">
        <f>IF(E241="",0,IF(F241="",E241,F241))</f>
        <v/>
      </c>
      <c r="P241">
        <f>IF(E241="",1,MAX(1,(YEAR(O241)-YEAR(N241))*12+MONTH(O241)-MONTH(N241)+1))</f>
        <v/>
      </c>
      <c r="Q241">
        <f>IF(G241="",0,G241/P241)</f>
        <v/>
      </c>
      <c r="R241">
        <f>IF(H241="",0,H241/P241)</f>
        <v/>
      </c>
    </row>
    <row r="242">
      <c r="A242" s="43" t="n"/>
      <c r="B242" s="28" t="n"/>
      <c r="C242" s="28" t="n"/>
      <c r="D242" s="28" t="n"/>
      <c r="E242" s="44" t="n"/>
      <c r="F242" s="44" t="n"/>
      <c r="G242" s="23" t="n"/>
      <c r="H242" s="23" t="n"/>
      <c r="I242" s="23" t="n"/>
      <c r="J242" s="23" t="n"/>
      <c r="K242" s="45">
        <f>IF(A242="","",SUM(G$2:I242)-SUM(J$2:J242))</f>
        <v/>
      </c>
      <c r="L242" s="46" t="n"/>
      <c r="M242">
        <f>IF(A242="","",IF(A242=A241,M241,N(M241)+1))</f>
        <v/>
      </c>
      <c r="N242">
        <f>IF(E242="",99999,E242)</f>
        <v/>
      </c>
      <c r="O242">
        <f>IF(E242="",0,IF(F242="",E242,F242))</f>
        <v/>
      </c>
      <c r="P242">
        <f>IF(E242="",1,MAX(1,(YEAR(O242)-YEAR(N242))*12+MONTH(O242)-MONTH(N242)+1))</f>
        <v/>
      </c>
      <c r="Q242">
        <f>IF(G242="",0,G242/P242)</f>
        <v/>
      </c>
      <c r="R242">
        <f>IF(H242="",0,H242/P242)</f>
        <v/>
      </c>
    </row>
    <row r="243">
      <c r="A243" s="43" t="n"/>
      <c r="B243" s="28" t="n"/>
      <c r="C243" s="28" t="n"/>
      <c r="D243" s="28" t="n"/>
      <c r="E243" s="44" t="n"/>
      <c r="F243" s="44" t="n"/>
      <c r="G243" s="23" t="n"/>
      <c r="H243" s="23" t="n"/>
      <c r="I243" s="23" t="n"/>
      <c r="J243" s="23" t="n"/>
      <c r="K243" s="45">
        <f>IF(A243="","",SUM(G$2:I243)-SUM(J$2:J243))</f>
        <v/>
      </c>
      <c r="L243" s="46" t="n"/>
      <c r="M243">
        <f>IF(A243="","",IF(A243=A242,M242,N(M242)+1))</f>
        <v/>
      </c>
      <c r="N243">
        <f>IF(E243="",99999,E243)</f>
        <v/>
      </c>
      <c r="O243">
        <f>IF(E243="",0,IF(F243="",E243,F243))</f>
        <v/>
      </c>
      <c r="P243">
        <f>IF(E243="",1,MAX(1,(YEAR(O243)-YEAR(N243))*12+MONTH(O243)-MONTH(N243)+1))</f>
        <v/>
      </c>
      <c r="Q243">
        <f>IF(G243="",0,G243/P243)</f>
        <v/>
      </c>
      <c r="R243">
        <f>IF(H243="",0,H243/P243)</f>
        <v/>
      </c>
    </row>
    <row r="244">
      <c r="A244" s="43" t="n"/>
      <c r="B244" s="28" t="n"/>
      <c r="C244" s="28" t="n"/>
      <c r="D244" s="28" t="n"/>
      <c r="E244" s="44" t="n"/>
      <c r="F244" s="44" t="n"/>
      <c r="G244" s="23" t="n"/>
      <c r="H244" s="23" t="n"/>
      <c r="I244" s="23" t="n"/>
      <c r="J244" s="23" t="n"/>
      <c r="K244" s="45">
        <f>IF(A244="","",SUM(G$2:I244)-SUM(J$2:J244))</f>
        <v/>
      </c>
      <c r="L244" s="46" t="n"/>
      <c r="M244">
        <f>IF(A244="","",IF(A244=A243,M243,N(M243)+1))</f>
        <v/>
      </c>
      <c r="N244">
        <f>IF(E244="",99999,E244)</f>
        <v/>
      </c>
      <c r="O244">
        <f>IF(E244="",0,IF(F244="",E244,F244))</f>
        <v/>
      </c>
      <c r="P244">
        <f>IF(E244="",1,MAX(1,(YEAR(O244)-YEAR(N244))*12+MONTH(O244)-MONTH(N244)+1))</f>
        <v/>
      </c>
      <c r="Q244">
        <f>IF(G244="",0,G244/P244)</f>
        <v/>
      </c>
      <c r="R244">
        <f>IF(H244="",0,H244/P244)</f>
        <v/>
      </c>
    </row>
    <row r="245">
      <c r="A245" s="43" t="n"/>
      <c r="B245" s="28" t="n"/>
      <c r="C245" s="28" t="n"/>
      <c r="D245" s="28" t="n"/>
      <c r="E245" s="44" t="n"/>
      <c r="F245" s="44" t="n"/>
      <c r="G245" s="23" t="n"/>
      <c r="H245" s="23" t="n"/>
      <c r="I245" s="23" t="n"/>
      <c r="J245" s="23" t="n"/>
      <c r="K245" s="45">
        <f>IF(A245="","",SUM(G$2:I245)-SUM(J$2:J245))</f>
        <v/>
      </c>
      <c r="L245" s="46" t="n"/>
      <c r="M245">
        <f>IF(A245="","",IF(A245=A244,M244,N(M244)+1))</f>
        <v/>
      </c>
      <c r="N245">
        <f>IF(E245="",99999,E245)</f>
        <v/>
      </c>
      <c r="O245">
        <f>IF(E245="",0,IF(F245="",E245,F245))</f>
        <v/>
      </c>
      <c r="P245">
        <f>IF(E245="",1,MAX(1,(YEAR(O245)-YEAR(N245))*12+MONTH(O245)-MONTH(N245)+1))</f>
        <v/>
      </c>
      <c r="Q245">
        <f>IF(G245="",0,G245/P245)</f>
        <v/>
      </c>
      <c r="R245">
        <f>IF(H245="",0,H245/P245)</f>
        <v/>
      </c>
    </row>
    <row r="246">
      <c r="A246" s="43" t="n"/>
      <c r="B246" s="28" t="n"/>
      <c r="C246" s="28" t="n"/>
      <c r="D246" s="28" t="n"/>
      <c r="E246" s="44" t="n"/>
      <c r="F246" s="44" t="n"/>
      <c r="G246" s="23" t="n"/>
      <c r="H246" s="23" t="n"/>
      <c r="I246" s="23" t="n"/>
      <c r="J246" s="23" t="n"/>
      <c r="K246" s="45">
        <f>IF(A246="","",SUM(G$2:I246)-SUM(J$2:J246))</f>
        <v/>
      </c>
      <c r="L246" s="46" t="n"/>
      <c r="M246">
        <f>IF(A246="","",IF(A246=A245,M245,N(M245)+1))</f>
        <v/>
      </c>
      <c r="N246">
        <f>IF(E246="",99999,E246)</f>
        <v/>
      </c>
      <c r="O246">
        <f>IF(E246="",0,IF(F246="",E246,F246))</f>
        <v/>
      </c>
      <c r="P246">
        <f>IF(E246="",1,MAX(1,(YEAR(O246)-YEAR(N246))*12+MONTH(O246)-MONTH(N246)+1))</f>
        <v/>
      </c>
      <c r="Q246">
        <f>IF(G246="",0,G246/P246)</f>
        <v/>
      </c>
      <c r="R246">
        <f>IF(H246="",0,H246/P246)</f>
        <v/>
      </c>
    </row>
    <row r="247">
      <c r="A247" s="43" t="n"/>
      <c r="B247" s="28" t="n"/>
      <c r="C247" s="28" t="n"/>
      <c r="D247" s="28" t="n"/>
      <c r="E247" s="44" t="n"/>
      <c r="F247" s="44" t="n"/>
      <c r="G247" s="23" t="n"/>
      <c r="H247" s="23" t="n"/>
      <c r="I247" s="23" t="n"/>
      <c r="J247" s="23" t="n"/>
      <c r="K247" s="45">
        <f>IF(A247="","",SUM(G$2:I247)-SUM(J$2:J247))</f>
        <v/>
      </c>
      <c r="L247" s="46" t="n"/>
      <c r="M247">
        <f>IF(A247="","",IF(A247=A246,M246,N(M246)+1))</f>
        <v/>
      </c>
      <c r="N247">
        <f>IF(E247="",99999,E247)</f>
        <v/>
      </c>
      <c r="O247">
        <f>IF(E247="",0,IF(F247="",E247,F247))</f>
        <v/>
      </c>
      <c r="P247">
        <f>IF(E247="",1,MAX(1,(YEAR(O247)-YEAR(N247))*12+MONTH(O247)-MONTH(N247)+1))</f>
        <v/>
      </c>
      <c r="Q247">
        <f>IF(G247="",0,G247/P247)</f>
        <v/>
      </c>
      <c r="R247">
        <f>IF(H247="",0,H247/P247)</f>
        <v/>
      </c>
    </row>
    <row r="248">
      <c r="A248" s="43" t="n"/>
      <c r="B248" s="28" t="n"/>
      <c r="C248" s="28" t="n"/>
      <c r="D248" s="28" t="n"/>
      <c r="E248" s="44" t="n"/>
      <c r="F248" s="44" t="n"/>
      <c r="G248" s="23" t="n"/>
      <c r="H248" s="23" t="n"/>
      <c r="I248" s="23" t="n"/>
      <c r="J248" s="23" t="n"/>
      <c r="K248" s="45">
        <f>IF(A248="","",SUM(G$2:I248)-SUM(J$2:J248))</f>
        <v/>
      </c>
      <c r="L248" s="46" t="n"/>
      <c r="M248">
        <f>IF(A248="","",IF(A248=A247,M247,N(M247)+1))</f>
        <v/>
      </c>
      <c r="N248">
        <f>IF(E248="",99999,E248)</f>
        <v/>
      </c>
      <c r="O248">
        <f>IF(E248="",0,IF(F248="",E248,F248))</f>
        <v/>
      </c>
      <c r="P248">
        <f>IF(E248="",1,MAX(1,(YEAR(O248)-YEAR(N248))*12+MONTH(O248)-MONTH(N248)+1))</f>
        <v/>
      </c>
      <c r="Q248">
        <f>IF(G248="",0,G248/P248)</f>
        <v/>
      </c>
      <c r="R248">
        <f>IF(H248="",0,H248/P248)</f>
        <v/>
      </c>
    </row>
    <row r="249">
      <c r="A249" s="43" t="n"/>
      <c r="B249" s="28" t="n"/>
      <c r="C249" s="28" t="n"/>
      <c r="D249" s="28" t="n"/>
      <c r="E249" s="44" t="n"/>
      <c r="F249" s="44" t="n"/>
      <c r="G249" s="23" t="n"/>
      <c r="H249" s="23" t="n"/>
      <c r="I249" s="23" t="n"/>
      <c r="J249" s="23" t="n"/>
      <c r="K249" s="45">
        <f>IF(A249="","",SUM(G$2:I249)-SUM(J$2:J249))</f>
        <v/>
      </c>
      <c r="L249" s="46" t="n"/>
      <c r="M249">
        <f>IF(A249="","",IF(A249=A248,M248,N(M248)+1))</f>
        <v/>
      </c>
      <c r="N249">
        <f>IF(E249="",99999,E249)</f>
        <v/>
      </c>
      <c r="O249">
        <f>IF(E249="",0,IF(F249="",E249,F249))</f>
        <v/>
      </c>
      <c r="P249">
        <f>IF(E249="",1,MAX(1,(YEAR(O249)-YEAR(N249))*12+MONTH(O249)-MONTH(N249)+1))</f>
        <v/>
      </c>
      <c r="Q249">
        <f>IF(G249="",0,G249/P249)</f>
        <v/>
      </c>
      <c r="R249">
        <f>IF(H249="",0,H249/P249)</f>
        <v/>
      </c>
    </row>
    <row r="250">
      <c r="A250" s="43" t="n"/>
      <c r="B250" s="28" t="n"/>
      <c r="C250" s="28" t="n"/>
      <c r="D250" s="28" t="n"/>
      <c r="E250" s="44" t="n"/>
      <c r="F250" s="44" t="n"/>
      <c r="G250" s="23" t="n"/>
      <c r="H250" s="23" t="n"/>
      <c r="I250" s="23" t="n"/>
      <c r="J250" s="23" t="n"/>
      <c r="K250" s="45">
        <f>IF(A250="","",SUM(G$2:I250)-SUM(J$2:J250))</f>
        <v/>
      </c>
      <c r="L250" s="46" t="n"/>
      <c r="M250">
        <f>IF(A250="","",IF(A250=A249,M249,N(M249)+1))</f>
        <v/>
      </c>
      <c r="N250">
        <f>IF(E250="",99999,E250)</f>
        <v/>
      </c>
      <c r="O250">
        <f>IF(E250="",0,IF(F250="",E250,F250))</f>
        <v/>
      </c>
      <c r="P250">
        <f>IF(E250="",1,MAX(1,(YEAR(O250)-YEAR(N250))*12+MONTH(O250)-MONTH(N250)+1))</f>
        <v/>
      </c>
      <c r="Q250">
        <f>IF(G250="",0,G250/P250)</f>
        <v/>
      </c>
      <c r="R250">
        <f>IF(H250="",0,H250/P250)</f>
        <v/>
      </c>
    </row>
    <row r="251">
      <c r="A251" s="43" t="n"/>
      <c r="B251" s="28" t="n"/>
      <c r="C251" s="28" t="n"/>
      <c r="D251" s="28" t="n"/>
      <c r="E251" s="44" t="n"/>
      <c r="F251" s="44" t="n"/>
      <c r="G251" s="23" t="n"/>
      <c r="H251" s="23" t="n"/>
      <c r="I251" s="23" t="n"/>
      <c r="J251" s="23" t="n"/>
      <c r="K251" s="45">
        <f>IF(A251="","",SUM(G$2:I251)-SUM(J$2:J251))</f>
        <v/>
      </c>
      <c r="L251" s="46" t="n"/>
      <c r="M251">
        <f>IF(A251="","",IF(A251=A250,M250,N(M250)+1))</f>
        <v/>
      </c>
      <c r="N251">
        <f>IF(E251="",99999,E251)</f>
        <v/>
      </c>
      <c r="O251">
        <f>IF(E251="",0,IF(F251="",E251,F251))</f>
        <v/>
      </c>
      <c r="P251">
        <f>IF(E251="",1,MAX(1,(YEAR(O251)-YEAR(N251))*12+MONTH(O251)-MONTH(N251)+1))</f>
        <v/>
      </c>
      <c r="Q251">
        <f>IF(G251="",0,G251/P251)</f>
        <v/>
      </c>
      <c r="R251">
        <f>IF(H251="",0,H251/P251)</f>
        <v/>
      </c>
    </row>
    <row r="252">
      <c r="A252" s="43" t="n"/>
      <c r="B252" s="28" t="n"/>
      <c r="C252" s="28" t="n"/>
      <c r="D252" s="28" t="n"/>
      <c r="E252" s="44" t="n"/>
      <c r="F252" s="44" t="n"/>
      <c r="G252" s="23" t="n"/>
      <c r="H252" s="23" t="n"/>
      <c r="I252" s="23" t="n"/>
      <c r="J252" s="23" t="n"/>
      <c r="K252" s="45">
        <f>IF(A252="","",SUM(G$2:I252)-SUM(J$2:J252))</f>
        <v/>
      </c>
      <c r="L252" s="46" t="n"/>
      <c r="M252">
        <f>IF(A252="","",IF(A252=A251,M251,N(M251)+1))</f>
        <v/>
      </c>
      <c r="N252">
        <f>IF(E252="",99999,E252)</f>
        <v/>
      </c>
      <c r="O252">
        <f>IF(E252="",0,IF(F252="",E252,F252))</f>
        <v/>
      </c>
      <c r="P252">
        <f>IF(E252="",1,MAX(1,(YEAR(O252)-YEAR(N252))*12+MONTH(O252)-MONTH(N252)+1))</f>
        <v/>
      </c>
      <c r="Q252">
        <f>IF(G252="",0,G252/P252)</f>
        <v/>
      </c>
      <c r="R252">
        <f>IF(H252="",0,H252/P252)</f>
        <v/>
      </c>
    </row>
    <row r="253">
      <c r="A253" s="43" t="n"/>
      <c r="B253" s="28" t="n"/>
      <c r="C253" s="28" t="n"/>
      <c r="D253" s="28" t="n"/>
      <c r="E253" s="44" t="n"/>
      <c r="F253" s="44" t="n"/>
      <c r="G253" s="23" t="n"/>
      <c r="H253" s="23" t="n"/>
      <c r="I253" s="23" t="n"/>
      <c r="J253" s="23" t="n"/>
      <c r="K253" s="45">
        <f>IF(A253="","",SUM(G$2:I253)-SUM(J$2:J253))</f>
        <v/>
      </c>
      <c r="L253" s="46" t="n"/>
      <c r="M253">
        <f>IF(A253="","",IF(A253=A252,M252,N(M252)+1))</f>
        <v/>
      </c>
      <c r="N253">
        <f>IF(E253="",99999,E253)</f>
        <v/>
      </c>
      <c r="O253">
        <f>IF(E253="",0,IF(F253="",E253,F253))</f>
        <v/>
      </c>
      <c r="P253">
        <f>IF(E253="",1,MAX(1,(YEAR(O253)-YEAR(N253))*12+MONTH(O253)-MONTH(N253)+1))</f>
        <v/>
      </c>
      <c r="Q253">
        <f>IF(G253="",0,G253/P253)</f>
        <v/>
      </c>
      <c r="R253">
        <f>IF(H253="",0,H253/P253)</f>
        <v/>
      </c>
    </row>
    <row r="254">
      <c r="A254" s="43" t="n"/>
      <c r="B254" s="28" t="n"/>
      <c r="C254" s="28" t="n"/>
      <c r="D254" s="28" t="n"/>
      <c r="E254" s="44" t="n"/>
      <c r="F254" s="44" t="n"/>
      <c r="G254" s="23" t="n"/>
      <c r="H254" s="23" t="n"/>
      <c r="I254" s="23" t="n"/>
      <c r="J254" s="23" t="n"/>
      <c r="K254" s="45">
        <f>IF(A254="","",SUM(G$2:I254)-SUM(J$2:J254))</f>
        <v/>
      </c>
      <c r="L254" s="46" t="n"/>
      <c r="M254">
        <f>IF(A254="","",IF(A254=A253,M253,N(M253)+1))</f>
        <v/>
      </c>
      <c r="N254">
        <f>IF(E254="",99999,E254)</f>
        <v/>
      </c>
      <c r="O254">
        <f>IF(E254="",0,IF(F254="",E254,F254))</f>
        <v/>
      </c>
      <c r="P254">
        <f>IF(E254="",1,MAX(1,(YEAR(O254)-YEAR(N254))*12+MONTH(O254)-MONTH(N254)+1))</f>
        <v/>
      </c>
      <c r="Q254">
        <f>IF(G254="",0,G254/P254)</f>
        <v/>
      </c>
      <c r="R254">
        <f>IF(H254="",0,H254/P254)</f>
        <v/>
      </c>
    </row>
    <row r="255">
      <c r="A255" s="43" t="n"/>
      <c r="B255" s="28" t="n"/>
      <c r="C255" s="28" t="n"/>
      <c r="D255" s="28" t="n"/>
      <c r="E255" s="44" t="n"/>
      <c r="F255" s="44" t="n"/>
      <c r="G255" s="23" t="n"/>
      <c r="H255" s="23" t="n"/>
      <c r="I255" s="23" t="n"/>
      <c r="J255" s="23" t="n"/>
      <c r="K255" s="45">
        <f>IF(A255="","",SUM(G$2:I255)-SUM(J$2:J255))</f>
        <v/>
      </c>
      <c r="L255" s="46" t="n"/>
      <c r="M255">
        <f>IF(A255="","",IF(A255=A254,M254,N(M254)+1))</f>
        <v/>
      </c>
      <c r="N255">
        <f>IF(E255="",99999,E255)</f>
        <v/>
      </c>
      <c r="O255">
        <f>IF(E255="",0,IF(F255="",E255,F255))</f>
        <v/>
      </c>
      <c r="P255">
        <f>IF(E255="",1,MAX(1,(YEAR(O255)-YEAR(N255))*12+MONTH(O255)-MONTH(N255)+1))</f>
        <v/>
      </c>
      <c r="Q255">
        <f>IF(G255="",0,G255/P255)</f>
        <v/>
      </c>
      <c r="R255">
        <f>IF(H255="",0,H255/P255)</f>
        <v/>
      </c>
    </row>
    <row r="256">
      <c r="A256" s="43" t="n"/>
      <c r="B256" s="28" t="n"/>
      <c r="C256" s="28" t="n"/>
      <c r="D256" s="28" t="n"/>
      <c r="E256" s="44" t="n"/>
      <c r="F256" s="44" t="n"/>
      <c r="G256" s="23" t="n"/>
      <c r="H256" s="23" t="n"/>
      <c r="I256" s="23" t="n"/>
      <c r="J256" s="23" t="n"/>
      <c r="K256" s="45">
        <f>IF(A256="","",SUM(G$2:I256)-SUM(J$2:J256))</f>
        <v/>
      </c>
      <c r="L256" s="46" t="n"/>
      <c r="M256">
        <f>IF(A256="","",IF(A256=A255,M255,N(M255)+1))</f>
        <v/>
      </c>
      <c r="N256">
        <f>IF(E256="",99999,E256)</f>
        <v/>
      </c>
      <c r="O256">
        <f>IF(E256="",0,IF(F256="",E256,F256))</f>
        <v/>
      </c>
      <c r="P256">
        <f>IF(E256="",1,MAX(1,(YEAR(O256)-YEAR(N256))*12+MONTH(O256)-MONTH(N256)+1))</f>
        <v/>
      </c>
      <c r="Q256">
        <f>IF(G256="",0,G256/P256)</f>
        <v/>
      </c>
      <c r="R256">
        <f>IF(H256="",0,H256/P256)</f>
        <v/>
      </c>
    </row>
    <row r="257">
      <c r="A257" s="43" t="n"/>
      <c r="B257" s="28" t="n"/>
      <c r="C257" s="28" t="n"/>
      <c r="D257" s="28" t="n"/>
      <c r="E257" s="44" t="n"/>
      <c r="F257" s="44" t="n"/>
      <c r="G257" s="23" t="n"/>
      <c r="H257" s="23" t="n"/>
      <c r="I257" s="23" t="n"/>
      <c r="J257" s="23" t="n"/>
      <c r="K257" s="45">
        <f>IF(A257="","",SUM(G$2:I257)-SUM(J$2:J257))</f>
        <v/>
      </c>
      <c r="L257" s="46" t="n"/>
      <c r="M257">
        <f>IF(A257="","",IF(A257=A256,M256,N(M256)+1))</f>
        <v/>
      </c>
      <c r="N257">
        <f>IF(E257="",99999,E257)</f>
        <v/>
      </c>
      <c r="O257">
        <f>IF(E257="",0,IF(F257="",E257,F257))</f>
        <v/>
      </c>
      <c r="P257">
        <f>IF(E257="",1,MAX(1,(YEAR(O257)-YEAR(N257))*12+MONTH(O257)-MONTH(N257)+1))</f>
        <v/>
      </c>
      <c r="Q257">
        <f>IF(G257="",0,G257/P257)</f>
        <v/>
      </c>
      <c r="R257">
        <f>IF(H257="",0,H257/P257)</f>
        <v/>
      </c>
    </row>
    <row r="258">
      <c r="A258" s="43" t="n"/>
      <c r="B258" s="28" t="n"/>
      <c r="C258" s="28" t="n"/>
      <c r="D258" s="28" t="n"/>
      <c r="E258" s="44" t="n"/>
      <c r="F258" s="44" t="n"/>
      <c r="G258" s="23" t="n"/>
      <c r="H258" s="23" t="n"/>
      <c r="I258" s="23" t="n"/>
      <c r="J258" s="23" t="n"/>
      <c r="K258" s="45">
        <f>IF(A258="","",SUM(G$2:I258)-SUM(J$2:J258))</f>
        <v/>
      </c>
      <c r="L258" s="46" t="n"/>
      <c r="M258">
        <f>IF(A258="","",IF(A258=A257,M257,N(M257)+1))</f>
        <v/>
      </c>
      <c r="N258">
        <f>IF(E258="",99999,E258)</f>
        <v/>
      </c>
      <c r="O258">
        <f>IF(E258="",0,IF(F258="",E258,F258))</f>
        <v/>
      </c>
      <c r="P258">
        <f>IF(E258="",1,MAX(1,(YEAR(O258)-YEAR(N258))*12+MONTH(O258)-MONTH(N258)+1))</f>
        <v/>
      </c>
      <c r="Q258">
        <f>IF(G258="",0,G258/P258)</f>
        <v/>
      </c>
      <c r="R258">
        <f>IF(H258="",0,H258/P258)</f>
        <v/>
      </c>
    </row>
    <row r="259">
      <c r="A259" s="43" t="n"/>
      <c r="B259" s="28" t="n"/>
      <c r="C259" s="28" t="n"/>
      <c r="D259" s="28" t="n"/>
      <c r="E259" s="44" t="n"/>
      <c r="F259" s="44" t="n"/>
      <c r="G259" s="23" t="n"/>
      <c r="H259" s="23" t="n"/>
      <c r="I259" s="23" t="n"/>
      <c r="J259" s="23" t="n"/>
      <c r="K259" s="45">
        <f>IF(A259="","",SUM(G$2:I259)-SUM(J$2:J259))</f>
        <v/>
      </c>
      <c r="L259" s="46" t="n"/>
      <c r="M259">
        <f>IF(A259="","",IF(A259=A258,M258,N(M258)+1))</f>
        <v/>
      </c>
      <c r="N259">
        <f>IF(E259="",99999,E259)</f>
        <v/>
      </c>
      <c r="O259">
        <f>IF(E259="",0,IF(F259="",E259,F259))</f>
        <v/>
      </c>
      <c r="P259">
        <f>IF(E259="",1,MAX(1,(YEAR(O259)-YEAR(N259))*12+MONTH(O259)-MONTH(N259)+1))</f>
        <v/>
      </c>
      <c r="Q259">
        <f>IF(G259="",0,G259/P259)</f>
        <v/>
      </c>
      <c r="R259">
        <f>IF(H259="",0,H259/P259)</f>
        <v/>
      </c>
    </row>
    <row r="260">
      <c r="A260" s="43" t="n"/>
      <c r="B260" s="28" t="n"/>
      <c r="C260" s="28" t="n"/>
      <c r="D260" s="28" t="n"/>
      <c r="E260" s="44" t="n"/>
      <c r="F260" s="44" t="n"/>
      <c r="G260" s="23" t="n"/>
      <c r="H260" s="23" t="n"/>
      <c r="I260" s="23" t="n"/>
      <c r="J260" s="23" t="n"/>
      <c r="K260" s="45">
        <f>IF(A260="","",SUM(G$2:I260)-SUM(J$2:J260))</f>
        <v/>
      </c>
      <c r="L260" s="46" t="n"/>
      <c r="M260">
        <f>IF(A260="","",IF(A260=A259,M259,N(M259)+1))</f>
        <v/>
      </c>
      <c r="N260">
        <f>IF(E260="",99999,E260)</f>
        <v/>
      </c>
      <c r="O260">
        <f>IF(E260="",0,IF(F260="",E260,F260))</f>
        <v/>
      </c>
      <c r="P260">
        <f>IF(E260="",1,MAX(1,(YEAR(O260)-YEAR(N260))*12+MONTH(O260)-MONTH(N260)+1))</f>
        <v/>
      </c>
      <c r="Q260">
        <f>IF(G260="",0,G260/P260)</f>
        <v/>
      </c>
      <c r="R260">
        <f>IF(H260="",0,H260/P260)</f>
        <v/>
      </c>
    </row>
    <row r="261">
      <c r="A261" s="43" t="n"/>
      <c r="B261" s="28" t="n"/>
      <c r="C261" s="28" t="n"/>
      <c r="D261" s="28" t="n"/>
      <c r="E261" s="44" t="n"/>
      <c r="F261" s="44" t="n"/>
      <c r="G261" s="23" t="n"/>
      <c r="H261" s="23" t="n"/>
      <c r="I261" s="23" t="n"/>
      <c r="J261" s="23" t="n"/>
      <c r="K261" s="45">
        <f>IF(A261="","",SUM(G$2:I261)-SUM(J$2:J261))</f>
        <v/>
      </c>
      <c r="L261" s="46" t="n"/>
      <c r="M261">
        <f>IF(A261="","",IF(A261=A260,M260,N(M260)+1))</f>
        <v/>
      </c>
      <c r="N261">
        <f>IF(E261="",99999,E261)</f>
        <v/>
      </c>
      <c r="O261">
        <f>IF(E261="",0,IF(F261="",E261,F261))</f>
        <v/>
      </c>
      <c r="P261">
        <f>IF(E261="",1,MAX(1,(YEAR(O261)-YEAR(N261))*12+MONTH(O261)-MONTH(N261)+1))</f>
        <v/>
      </c>
      <c r="Q261">
        <f>IF(G261="",0,G261/P261)</f>
        <v/>
      </c>
      <c r="R261">
        <f>IF(H261="",0,H261/P261)</f>
        <v/>
      </c>
    </row>
    <row r="262">
      <c r="A262" s="43" t="n"/>
      <c r="B262" s="28" t="n"/>
      <c r="C262" s="28" t="n"/>
      <c r="D262" s="28" t="n"/>
      <c r="E262" s="44" t="n"/>
      <c r="F262" s="44" t="n"/>
      <c r="G262" s="23" t="n"/>
      <c r="H262" s="23" t="n"/>
      <c r="I262" s="23" t="n"/>
      <c r="J262" s="23" t="n"/>
      <c r="K262" s="45">
        <f>IF(A262="","",SUM(G$2:I262)-SUM(J$2:J262))</f>
        <v/>
      </c>
      <c r="L262" s="46" t="n"/>
      <c r="M262">
        <f>IF(A262="","",IF(A262=A261,M261,N(M261)+1))</f>
        <v/>
      </c>
      <c r="N262">
        <f>IF(E262="",99999,E262)</f>
        <v/>
      </c>
      <c r="O262">
        <f>IF(E262="",0,IF(F262="",E262,F262))</f>
        <v/>
      </c>
      <c r="P262">
        <f>IF(E262="",1,MAX(1,(YEAR(O262)-YEAR(N262))*12+MONTH(O262)-MONTH(N262)+1))</f>
        <v/>
      </c>
      <c r="Q262">
        <f>IF(G262="",0,G262/P262)</f>
        <v/>
      </c>
      <c r="R262">
        <f>IF(H262="",0,H262/P262)</f>
        <v/>
      </c>
    </row>
    <row r="263">
      <c r="A263" s="43" t="n"/>
      <c r="B263" s="28" t="n"/>
      <c r="C263" s="28" t="n"/>
      <c r="D263" s="28" t="n"/>
      <c r="E263" s="44" t="n"/>
      <c r="F263" s="44" t="n"/>
      <c r="G263" s="23" t="n"/>
      <c r="H263" s="23" t="n"/>
      <c r="I263" s="23" t="n"/>
      <c r="J263" s="23" t="n"/>
      <c r="K263" s="45">
        <f>IF(A263="","",SUM(G$2:I263)-SUM(J$2:J263))</f>
        <v/>
      </c>
      <c r="L263" s="46" t="n"/>
      <c r="M263">
        <f>IF(A263="","",IF(A263=A262,M262,N(M262)+1))</f>
        <v/>
      </c>
      <c r="N263">
        <f>IF(E263="",99999,E263)</f>
        <v/>
      </c>
      <c r="O263">
        <f>IF(E263="",0,IF(F263="",E263,F263))</f>
        <v/>
      </c>
      <c r="P263">
        <f>IF(E263="",1,MAX(1,(YEAR(O263)-YEAR(N263))*12+MONTH(O263)-MONTH(N263)+1))</f>
        <v/>
      </c>
      <c r="Q263">
        <f>IF(G263="",0,G263/P263)</f>
        <v/>
      </c>
      <c r="R263">
        <f>IF(H263="",0,H263/P263)</f>
        <v/>
      </c>
    </row>
    <row r="264">
      <c r="A264" s="43" t="n"/>
      <c r="B264" s="28" t="n"/>
      <c r="C264" s="28" t="n"/>
      <c r="D264" s="28" t="n"/>
      <c r="E264" s="44" t="n"/>
      <c r="F264" s="44" t="n"/>
      <c r="G264" s="23" t="n"/>
      <c r="H264" s="23" t="n"/>
      <c r="I264" s="23" t="n"/>
      <c r="J264" s="23" t="n"/>
      <c r="K264" s="45">
        <f>IF(A264="","",SUM(G$2:I264)-SUM(J$2:J264))</f>
        <v/>
      </c>
      <c r="L264" s="46" t="n"/>
      <c r="M264">
        <f>IF(A264="","",IF(A264=A263,M263,N(M263)+1))</f>
        <v/>
      </c>
      <c r="N264">
        <f>IF(E264="",99999,E264)</f>
        <v/>
      </c>
      <c r="O264">
        <f>IF(E264="",0,IF(F264="",E264,F264))</f>
        <v/>
      </c>
      <c r="P264">
        <f>IF(E264="",1,MAX(1,(YEAR(O264)-YEAR(N264))*12+MONTH(O264)-MONTH(N264)+1))</f>
        <v/>
      </c>
      <c r="Q264">
        <f>IF(G264="",0,G264/P264)</f>
        <v/>
      </c>
      <c r="R264">
        <f>IF(H264="",0,H264/P264)</f>
        <v/>
      </c>
    </row>
    <row r="265">
      <c r="A265" s="43" t="n"/>
      <c r="B265" s="28" t="n"/>
      <c r="C265" s="28" t="n"/>
      <c r="D265" s="28" t="n"/>
      <c r="E265" s="44" t="n"/>
      <c r="F265" s="44" t="n"/>
      <c r="G265" s="23" t="n"/>
      <c r="H265" s="23" t="n"/>
      <c r="I265" s="23" t="n"/>
      <c r="J265" s="23" t="n"/>
      <c r="K265" s="45">
        <f>IF(A265="","",SUM(G$2:I265)-SUM(J$2:J265))</f>
        <v/>
      </c>
      <c r="L265" s="46" t="n"/>
      <c r="M265">
        <f>IF(A265="","",IF(A265=A264,M264,N(M264)+1))</f>
        <v/>
      </c>
      <c r="N265">
        <f>IF(E265="",99999,E265)</f>
        <v/>
      </c>
      <c r="O265">
        <f>IF(E265="",0,IF(F265="",E265,F265))</f>
        <v/>
      </c>
      <c r="P265">
        <f>IF(E265="",1,MAX(1,(YEAR(O265)-YEAR(N265))*12+MONTH(O265)-MONTH(N265)+1))</f>
        <v/>
      </c>
      <c r="Q265">
        <f>IF(G265="",0,G265/P265)</f>
        <v/>
      </c>
      <c r="R265">
        <f>IF(H265="",0,H265/P265)</f>
        <v/>
      </c>
    </row>
    <row r="266">
      <c r="A266" s="43" t="n"/>
      <c r="B266" s="28" t="n"/>
      <c r="C266" s="28" t="n"/>
      <c r="D266" s="28" t="n"/>
      <c r="E266" s="44" t="n"/>
      <c r="F266" s="44" t="n"/>
      <c r="G266" s="23" t="n"/>
      <c r="H266" s="23" t="n"/>
      <c r="I266" s="23" t="n"/>
      <c r="J266" s="23" t="n"/>
      <c r="K266" s="45">
        <f>IF(A266="","",SUM(G$2:I266)-SUM(J$2:J266))</f>
        <v/>
      </c>
      <c r="L266" s="46" t="n"/>
      <c r="M266">
        <f>IF(A266="","",IF(A266=A265,M265,N(M265)+1))</f>
        <v/>
      </c>
      <c r="N266">
        <f>IF(E266="",99999,E266)</f>
        <v/>
      </c>
      <c r="O266">
        <f>IF(E266="",0,IF(F266="",E266,F266))</f>
        <v/>
      </c>
      <c r="P266">
        <f>IF(E266="",1,MAX(1,(YEAR(O266)-YEAR(N266))*12+MONTH(O266)-MONTH(N266)+1))</f>
        <v/>
      </c>
      <c r="Q266">
        <f>IF(G266="",0,G266/P266)</f>
        <v/>
      </c>
      <c r="R266">
        <f>IF(H266="",0,H266/P266)</f>
        <v/>
      </c>
    </row>
    <row r="267">
      <c r="A267" s="43" t="n"/>
      <c r="B267" s="28" t="n"/>
      <c r="C267" s="28" t="n"/>
      <c r="D267" s="28" t="n"/>
      <c r="E267" s="44" t="n"/>
      <c r="F267" s="44" t="n"/>
      <c r="G267" s="23" t="n"/>
      <c r="H267" s="23" t="n"/>
      <c r="I267" s="23" t="n"/>
      <c r="J267" s="23" t="n"/>
      <c r="K267" s="45">
        <f>IF(A267="","",SUM(G$2:I267)-SUM(J$2:J267))</f>
        <v/>
      </c>
      <c r="L267" s="46" t="n"/>
      <c r="M267">
        <f>IF(A267="","",IF(A267=A266,M266,N(M266)+1))</f>
        <v/>
      </c>
      <c r="N267">
        <f>IF(E267="",99999,E267)</f>
        <v/>
      </c>
      <c r="O267">
        <f>IF(E267="",0,IF(F267="",E267,F267))</f>
        <v/>
      </c>
      <c r="P267">
        <f>IF(E267="",1,MAX(1,(YEAR(O267)-YEAR(N267))*12+MONTH(O267)-MONTH(N267)+1))</f>
        <v/>
      </c>
      <c r="Q267">
        <f>IF(G267="",0,G267/P267)</f>
        <v/>
      </c>
      <c r="R267">
        <f>IF(H267="",0,H267/P267)</f>
        <v/>
      </c>
    </row>
    <row r="268">
      <c r="A268" s="43" t="n"/>
      <c r="B268" s="28" t="n"/>
      <c r="C268" s="28" t="n"/>
      <c r="D268" s="28" t="n"/>
      <c r="E268" s="44" t="n"/>
      <c r="F268" s="44" t="n"/>
      <c r="G268" s="23" t="n"/>
      <c r="H268" s="23" t="n"/>
      <c r="I268" s="23" t="n"/>
      <c r="J268" s="23" t="n"/>
      <c r="K268" s="45">
        <f>IF(A268="","",SUM(G$2:I268)-SUM(J$2:J268))</f>
        <v/>
      </c>
      <c r="L268" s="46" t="n"/>
      <c r="M268">
        <f>IF(A268="","",IF(A268=A267,M267,N(M267)+1))</f>
        <v/>
      </c>
      <c r="N268">
        <f>IF(E268="",99999,E268)</f>
        <v/>
      </c>
      <c r="O268">
        <f>IF(E268="",0,IF(F268="",E268,F268))</f>
        <v/>
      </c>
      <c r="P268">
        <f>IF(E268="",1,MAX(1,(YEAR(O268)-YEAR(N268))*12+MONTH(O268)-MONTH(N268)+1))</f>
        <v/>
      </c>
      <c r="Q268">
        <f>IF(G268="",0,G268/P268)</f>
        <v/>
      </c>
      <c r="R268">
        <f>IF(H268="",0,H268/P268)</f>
        <v/>
      </c>
    </row>
    <row r="269">
      <c r="A269" s="43" t="n"/>
      <c r="B269" s="28" t="n"/>
      <c r="C269" s="28" t="n"/>
      <c r="D269" s="28" t="n"/>
      <c r="E269" s="44" t="n"/>
      <c r="F269" s="44" t="n"/>
      <c r="G269" s="23" t="n"/>
      <c r="H269" s="23" t="n"/>
      <c r="I269" s="23" t="n"/>
      <c r="J269" s="23" t="n"/>
      <c r="K269" s="45">
        <f>IF(A269="","",SUM(G$2:I269)-SUM(J$2:J269))</f>
        <v/>
      </c>
      <c r="L269" s="46" t="n"/>
      <c r="M269">
        <f>IF(A269="","",IF(A269=A268,M268,N(M268)+1))</f>
        <v/>
      </c>
      <c r="N269">
        <f>IF(E269="",99999,E269)</f>
        <v/>
      </c>
      <c r="O269">
        <f>IF(E269="",0,IF(F269="",E269,F269))</f>
        <v/>
      </c>
      <c r="P269">
        <f>IF(E269="",1,MAX(1,(YEAR(O269)-YEAR(N269))*12+MONTH(O269)-MONTH(N269)+1))</f>
        <v/>
      </c>
      <c r="Q269">
        <f>IF(G269="",0,G269/P269)</f>
        <v/>
      </c>
      <c r="R269">
        <f>IF(H269="",0,H269/P269)</f>
        <v/>
      </c>
    </row>
    <row r="270">
      <c r="A270" s="43" t="n"/>
      <c r="B270" s="28" t="n"/>
      <c r="C270" s="28" t="n"/>
      <c r="D270" s="28" t="n"/>
      <c r="E270" s="44" t="n"/>
      <c r="F270" s="44" t="n"/>
      <c r="G270" s="23" t="n"/>
      <c r="H270" s="23" t="n"/>
      <c r="I270" s="23" t="n"/>
      <c r="J270" s="23" t="n"/>
      <c r="K270" s="45">
        <f>IF(A270="","",SUM(G$2:I270)-SUM(J$2:J270))</f>
        <v/>
      </c>
      <c r="L270" s="46" t="n"/>
      <c r="M270">
        <f>IF(A270="","",IF(A270=A269,M269,N(M269)+1))</f>
        <v/>
      </c>
      <c r="N270">
        <f>IF(E270="",99999,E270)</f>
        <v/>
      </c>
      <c r="O270">
        <f>IF(E270="",0,IF(F270="",E270,F270))</f>
        <v/>
      </c>
      <c r="P270">
        <f>IF(E270="",1,MAX(1,(YEAR(O270)-YEAR(N270))*12+MONTH(O270)-MONTH(N270)+1))</f>
        <v/>
      </c>
      <c r="Q270">
        <f>IF(G270="",0,G270/P270)</f>
        <v/>
      </c>
      <c r="R270">
        <f>IF(H270="",0,H270/P270)</f>
        <v/>
      </c>
    </row>
    <row r="271">
      <c r="A271" s="43" t="n"/>
      <c r="B271" s="28" t="n"/>
      <c r="C271" s="28" t="n"/>
      <c r="D271" s="28" t="n"/>
      <c r="E271" s="44" t="n"/>
      <c r="F271" s="44" t="n"/>
      <c r="G271" s="23" t="n"/>
      <c r="H271" s="23" t="n"/>
      <c r="I271" s="23" t="n"/>
      <c r="J271" s="23" t="n"/>
      <c r="K271" s="45">
        <f>IF(A271="","",SUM(G$2:I271)-SUM(J$2:J271))</f>
        <v/>
      </c>
      <c r="L271" s="46" t="n"/>
      <c r="M271">
        <f>IF(A271="","",IF(A271=A270,M270,N(M270)+1))</f>
        <v/>
      </c>
      <c r="N271">
        <f>IF(E271="",99999,E271)</f>
        <v/>
      </c>
      <c r="O271">
        <f>IF(E271="",0,IF(F271="",E271,F271))</f>
        <v/>
      </c>
      <c r="P271">
        <f>IF(E271="",1,MAX(1,(YEAR(O271)-YEAR(N271))*12+MONTH(O271)-MONTH(N271)+1))</f>
        <v/>
      </c>
      <c r="Q271">
        <f>IF(G271="",0,G271/P271)</f>
        <v/>
      </c>
      <c r="R271">
        <f>IF(H271="",0,H271/P271)</f>
        <v/>
      </c>
    </row>
    <row r="272">
      <c r="A272" s="43" t="n"/>
      <c r="B272" s="28" t="n"/>
      <c r="C272" s="28" t="n"/>
      <c r="D272" s="28" t="n"/>
      <c r="E272" s="44" t="n"/>
      <c r="F272" s="44" t="n"/>
      <c r="G272" s="23" t="n"/>
      <c r="H272" s="23" t="n"/>
      <c r="I272" s="23" t="n"/>
      <c r="J272" s="23" t="n"/>
      <c r="K272" s="45">
        <f>IF(A272="","",SUM(G$2:I272)-SUM(J$2:J272))</f>
        <v/>
      </c>
      <c r="L272" s="46" t="n"/>
      <c r="M272">
        <f>IF(A272="","",IF(A272=A271,M271,N(M271)+1))</f>
        <v/>
      </c>
      <c r="N272">
        <f>IF(E272="",99999,E272)</f>
        <v/>
      </c>
      <c r="O272">
        <f>IF(E272="",0,IF(F272="",E272,F272))</f>
        <v/>
      </c>
      <c r="P272">
        <f>IF(E272="",1,MAX(1,(YEAR(O272)-YEAR(N272))*12+MONTH(O272)-MONTH(N272)+1))</f>
        <v/>
      </c>
      <c r="Q272">
        <f>IF(G272="",0,G272/P272)</f>
        <v/>
      </c>
      <c r="R272">
        <f>IF(H272="",0,H272/P272)</f>
        <v/>
      </c>
    </row>
    <row r="273">
      <c r="A273" s="43" t="n"/>
      <c r="B273" s="28" t="n"/>
      <c r="C273" s="28" t="n"/>
      <c r="D273" s="28" t="n"/>
      <c r="E273" s="44" t="n"/>
      <c r="F273" s="44" t="n"/>
      <c r="G273" s="23" t="n"/>
      <c r="H273" s="23" t="n"/>
      <c r="I273" s="23" t="n"/>
      <c r="J273" s="23" t="n"/>
      <c r="K273" s="45">
        <f>IF(A273="","",SUM(G$2:I273)-SUM(J$2:J273))</f>
        <v/>
      </c>
      <c r="L273" s="46" t="n"/>
      <c r="M273">
        <f>IF(A273="","",IF(A273=A272,M272,N(M272)+1))</f>
        <v/>
      </c>
      <c r="N273">
        <f>IF(E273="",99999,E273)</f>
        <v/>
      </c>
      <c r="O273">
        <f>IF(E273="",0,IF(F273="",E273,F273))</f>
        <v/>
      </c>
      <c r="P273">
        <f>IF(E273="",1,MAX(1,(YEAR(O273)-YEAR(N273))*12+MONTH(O273)-MONTH(N273)+1))</f>
        <v/>
      </c>
      <c r="Q273">
        <f>IF(G273="",0,G273/P273)</f>
        <v/>
      </c>
      <c r="R273">
        <f>IF(H273="",0,H273/P273)</f>
        <v/>
      </c>
    </row>
    <row r="274">
      <c r="A274" s="43" t="n"/>
      <c r="B274" s="28" t="n"/>
      <c r="C274" s="28" t="n"/>
      <c r="D274" s="28" t="n"/>
      <c r="E274" s="44" t="n"/>
      <c r="F274" s="44" t="n"/>
      <c r="G274" s="23" t="n"/>
      <c r="H274" s="23" t="n"/>
      <c r="I274" s="23" t="n"/>
      <c r="J274" s="23" t="n"/>
      <c r="K274" s="45">
        <f>IF(A274="","",SUM(G$2:I274)-SUM(J$2:J274))</f>
        <v/>
      </c>
      <c r="L274" s="46" t="n"/>
      <c r="M274">
        <f>IF(A274="","",IF(A274=A273,M273,N(M273)+1))</f>
        <v/>
      </c>
      <c r="N274">
        <f>IF(E274="",99999,E274)</f>
        <v/>
      </c>
      <c r="O274">
        <f>IF(E274="",0,IF(F274="",E274,F274))</f>
        <v/>
      </c>
      <c r="P274">
        <f>IF(E274="",1,MAX(1,(YEAR(O274)-YEAR(N274))*12+MONTH(O274)-MONTH(N274)+1))</f>
        <v/>
      </c>
      <c r="Q274">
        <f>IF(G274="",0,G274/P274)</f>
        <v/>
      </c>
      <c r="R274">
        <f>IF(H274="",0,H274/P274)</f>
        <v/>
      </c>
    </row>
    <row r="275">
      <c r="A275" s="43" t="n"/>
      <c r="B275" s="28" t="n"/>
      <c r="C275" s="28" t="n"/>
      <c r="D275" s="28" t="n"/>
      <c r="E275" s="44" t="n"/>
      <c r="F275" s="44" t="n"/>
      <c r="G275" s="23" t="n"/>
      <c r="H275" s="23" t="n"/>
      <c r="I275" s="23" t="n"/>
      <c r="J275" s="23" t="n"/>
      <c r="K275" s="45">
        <f>IF(A275="","",SUM(G$2:I275)-SUM(J$2:J275))</f>
        <v/>
      </c>
      <c r="L275" s="46" t="n"/>
      <c r="M275">
        <f>IF(A275="","",IF(A275=A274,M274,N(M274)+1))</f>
        <v/>
      </c>
      <c r="N275">
        <f>IF(E275="",99999,E275)</f>
        <v/>
      </c>
      <c r="O275">
        <f>IF(E275="",0,IF(F275="",E275,F275))</f>
        <v/>
      </c>
      <c r="P275">
        <f>IF(E275="",1,MAX(1,(YEAR(O275)-YEAR(N275))*12+MONTH(O275)-MONTH(N275)+1))</f>
        <v/>
      </c>
      <c r="Q275">
        <f>IF(G275="",0,G275/P275)</f>
        <v/>
      </c>
      <c r="R275">
        <f>IF(H275="",0,H275/P275)</f>
        <v/>
      </c>
    </row>
    <row r="276">
      <c r="A276" s="43" t="n"/>
      <c r="B276" s="28" t="n"/>
      <c r="C276" s="28" t="n"/>
      <c r="D276" s="28" t="n"/>
      <c r="E276" s="44" t="n"/>
      <c r="F276" s="44" t="n"/>
      <c r="G276" s="23" t="n"/>
      <c r="H276" s="23" t="n"/>
      <c r="I276" s="23" t="n"/>
      <c r="J276" s="23" t="n"/>
      <c r="K276" s="45">
        <f>IF(A276="","",SUM(G$2:I276)-SUM(J$2:J276))</f>
        <v/>
      </c>
      <c r="L276" s="46" t="n"/>
      <c r="M276">
        <f>IF(A276="","",IF(A276=A275,M275,N(M275)+1))</f>
        <v/>
      </c>
      <c r="N276">
        <f>IF(E276="",99999,E276)</f>
        <v/>
      </c>
      <c r="O276">
        <f>IF(E276="",0,IF(F276="",E276,F276))</f>
        <v/>
      </c>
      <c r="P276">
        <f>IF(E276="",1,MAX(1,(YEAR(O276)-YEAR(N276))*12+MONTH(O276)-MONTH(N276)+1))</f>
        <v/>
      </c>
      <c r="Q276">
        <f>IF(G276="",0,G276/P276)</f>
        <v/>
      </c>
      <c r="R276">
        <f>IF(H276="",0,H276/P276)</f>
        <v/>
      </c>
    </row>
    <row r="277">
      <c r="A277" s="43" t="n"/>
      <c r="B277" s="28" t="n"/>
      <c r="C277" s="28" t="n"/>
      <c r="D277" s="28" t="n"/>
      <c r="E277" s="44" t="n"/>
      <c r="F277" s="44" t="n"/>
      <c r="G277" s="23" t="n"/>
      <c r="H277" s="23" t="n"/>
      <c r="I277" s="23" t="n"/>
      <c r="J277" s="23" t="n"/>
      <c r="K277" s="45">
        <f>IF(A277="","",SUM(G$2:I277)-SUM(J$2:J277))</f>
        <v/>
      </c>
      <c r="L277" s="46" t="n"/>
      <c r="M277">
        <f>IF(A277="","",IF(A277=A276,M276,N(M276)+1))</f>
        <v/>
      </c>
      <c r="N277">
        <f>IF(E277="",99999,E277)</f>
        <v/>
      </c>
      <c r="O277">
        <f>IF(E277="",0,IF(F277="",E277,F277))</f>
        <v/>
      </c>
      <c r="P277">
        <f>IF(E277="",1,MAX(1,(YEAR(O277)-YEAR(N277))*12+MONTH(O277)-MONTH(N277)+1))</f>
        <v/>
      </c>
      <c r="Q277">
        <f>IF(G277="",0,G277/P277)</f>
        <v/>
      </c>
      <c r="R277">
        <f>IF(H277="",0,H277/P277)</f>
        <v/>
      </c>
    </row>
    <row r="278">
      <c r="A278" s="43" t="n"/>
      <c r="B278" s="28" t="n"/>
      <c r="C278" s="28" t="n"/>
      <c r="D278" s="28" t="n"/>
      <c r="E278" s="44" t="n"/>
      <c r="F278" s="44" t="n"/>
      <c r="G278" s="23" t="n"/>
      <c r="H278" s="23" t="n"/>
      <c r="I278" s="23" t="n"/>
      <c r="J278" s="23" t="n"/>
      <c r="K278" s="45">
        <f>IF(A278="","",SUM(G$2:I278)-SUM(J$2:J278))</f>
        <v/>
      </c>
      <c r="L278" s="46" t="n"/>
      <c r="M278">
        <f>IF(A278="","",IF(A278=A277,M277,N(M277)+1))</f>
        <v/>
      </c>
      <c r="N278">
        <f>IF(E278="",99999,E278)</f>
        <v/>
      </c>
      <c r="O278">
        <f>IF(E278="",0,IF(F278="",E278,F278))</f>
        <v/>
      </c>
      <c r="P278">
        <f>IF(E278="",1,MAX(1,(YEAR(O278)-YEAR(N278))*12+MONTH(O278)-MONTH(N278)+1))</f>
        <v/>
      </c>
      <c r="Q278">
        <f>IF(G278="",0,G278/P278)</f>
        <v/>
      </c>
      <c r="R278">
        <f>IF(H278="",0,H278/P278)</f>
        <v/>
      </c>
    </row>
    <row r="279">
      <c r="A279" s="43" t="n"/>
      <c r="B279" s="28" t="n"/>
      <c r="C279" s="28" t="n"/>
      <c r="D279" s="28" t="n"/>
      <c r="E279" s="44" t="n"/>
      <c r="F279" s="44" t="n"/>
      <c r="G279" s="23" t="n"/>
      <c r="H279" s="23" t="n"/>
      <c r="I279" s="23" t="n"/>
      <c r="J279" s="23" t="n"/>
      <c r="K279" s="45">
        <f>IF(A279="","",SUM(G$2:I279)-SUM(J$2:J279))</f>
        <v/>
      </c>
      <c r="L279" s="46" t="n"/>
      <c r="M279">
        <f>IF(A279="","",IF(A279=A278,M278,N(M278)+1))</f>
        <v/>
      </c>
      <c r="N279">
        <f>IF(E279="",99999,E279)</f>
        <v/>
      </c>
      <c r="O279">
        <f>IF(E279="",0,IF(F279="",E279,F279))</f>
        <v/>
      </c>
      <c r="P279">
        <f>IF(E279="",1,MAX(1,(YEAR(O279)-YEAR(N279))*12+MONTH(O279)-MONTH(N279)+1))</f>
        <v/>
      </c>
      <c r="Q279">
        <f>IF(G279="",0,G279/P279)</f>
        <v/>
      </c>
      <c r="R279">
        <f>IF(H279="",0,H279/P279)</f>
        <v/>
      </c>
    </row>
    <row r="280">
      <c r="A280" s="43" t="n"/>
      <c r="B280" s="28" t="n"/>
      <c r="C280" s="28" t="n"/>
      <c r="D280" s="28" t="n"/>
      <c r="E280" s="44" t="n"/>
      <c r="F280" s="44" t="n"/>
      <c r="G280" s="23" t="n"/>
      <c r="H280" s="23" t="n"/>
      <c r="I280" s="23" t="n"/>
      <c r="J280" s="23" t="n"/>
      <c r="K280" s="45">
        <f>IF(A280="","",SUM(G$2:I280)-SUM(J$2:J280))</f>
        <v/>
      </c>
      <c r="L280" s="46" t="n"/>
      <c r="M280">
        <f>IF(A280="","",IF(A280=A279,M279,N(M279)+1))</f>
        <v/>
      </c>
      <c r="N280">
        <f>IF(E280="",99999,E280)</f>
        <v/>
      </c>
      <c r="O280">
        <f>IF(E280="",0,IF(F280="",E280,F280))</f>
        <v/>
      </c>
      <c r="P280">
        <f>IF(E280="",1,MAX(1,(YEAR(O280)-YEAR(N280))*12+MONTH(O280)-MONTH(N280)+1))</f>
        <v/>
      </c>
      <c r="Q280">
        <f>IF(G280="",0,G280/P280)</f>
        <v/>
      </c>
      <c r="R280">
        <f>IF(H280="",0,H280/P280)</f>
        <v/>
      </c>
    </row>
    <row r="281">
      <c r="A281" s="43" t="n"/>
      <c r="B281" s="28" t="n"/>
      <c r="C281" s="28" t="n"/>
      <c r="D281" s="28" t="n"/>
      <c r="E281" s="44" t="n"/>
      <c r="F281" s="44" t="n"/>
      <c r="G281" s="23" t="n"/>
      <c r="H281" s="23" t="n"/>
      <c r="I281" s="23" t="n"/>
      <c r="J281" s="23" t="n"/>
      <c r="K281" s="45">
        <f>IF(A281="","",SUM(G$2:I281)-SUM(J$2:J281))</f>
        <v/>
      </c>
      <c r="L281" s="46" t="n"/>
      <c r="M281">
        <f>IF(A281="","",IF(A281=A280,M280,N(M280)+1))</f>
        <v/>
      </c>
      <c r="N281">
        <f>IF(E281="",99999,E281)</f>
        <v/>
      </c>
      <c r="O281">
        <f>IF(E281="",0,IF(F281="",E281,F281))</f>
        <v/>
      </c>
      <c r="P281">
        <f>IF(E281="",1,MAX(1,(YEAR(O281)-YEAR(N281))*12+MONTH(O281)-MONTH(N281)+1))</f>
        <v/>
      </c>
      <c r="Q281">
        <f>IF(G281="",0,G281/P281)</f>
        <v/>
      </c>
      <c r="R281">
        <f>IF(H281="",0,H281/P281)</f>
        <v/>
      </c>
    </row>
    <row r="282">
      <c r="A282" s="43" t="n"/>
      <c r="B282" s="28" t="n"/>
      <c r="C282" s="28" t="n"/>
      <c r="D282" s="28" t="n"/>
      <c r="E282" s="44" t="n"/>
      <c r="F282" s="44" t="n"/>
      <c r="G282" s="23" t="n"/>
      <c r="H282" s="23" t="n"/>
      <c r="I282" s="23" t="n"/>
      <c r="J282" s="23" t="n"/>
      <c r="K282" s="45">
        <f>IF(A282="","",SUM(G$2:I282)-SUM(J$2:J282))</f>
        <v/>
      </c>
      <c r="L282" s="46" t="n"/>
      <c r="M282">
        <f>IF(A282="","",IF(A282=A281,M281,N(M281)+1))</f>
        <v/>
      </c>
      <c r="N282">
        <f>IF(E282="",99999,E282)</f>
        <v/>
      </c>
      <c r="O282">
        <f>IF(E282="",0,IF(F282="",E282,F282))</f>
        <v/>
      </c>
      <c r="P282">
        <f>IF(E282="",1,MAX(1,(YEAR(O282)-YEAR(N282))*12+MONTH(O282)-MONTH(N282)+1))</f>
        <v/>
      </c>
      <c r="Q282">
        <f>IF(G282="",0,G282/P282)</f>
        <v/>
      </c>
      <c r="R282">
        <f>IF(H282="",0,H282/P282)</f>
        <v/>
      </c>
    </row>
    <row r="283">
      <c r="A283" s="43" t="n"/>
      <c r="B283" s="28" t="n"/>
      <c r="C283" s="28" t="n"/>
      <c r="D283" s="28" t="n"/>
      <c r="E283" s="44" t="n"/>
      <c r="F283" s="44" t="n"/>
      <c r="G283" s="23" t="n"/>
      <c r="H283" s="23" t="n"/>
      <c r="I283" s="23" t="n"/>
      <c r="J283" s="23" t="n"/>
      <c r="K283" s="45">
        <f>IF(A283="","",SUM(G$2:I283)-SUM(J$2:J283))</f>
        <v/>
      </c>
      <c r="L283" s="46" t="n"/>
      <c r="M283">
        <f>IF(A283="","",IF(A283=A282,M282,N(M282)+1))</f>
        <v/>
      </c>
      <c r="N283">
        <f>IF(E283="",99999,E283)</f>
        <v/>
      </c>
      <c r="O283">
        <f>IF(E283="",0,IF(F283="",E283,F283))</f>
        <v/>
      </c>
      <c r="P283">
        <f>IF(E283="",1,MAX(1,(YEAR(O283)-YEAR(N283))*12+MONTH(O283)-MONTH(N283)+1))</f>
        <v/>
      </c>
      <c r="Q283">
        <f>IF(G283="",0,G283/P283)</f>
        <v/>
      </c>
      <c r="R283">
        <f>IF(H283="",0,H283/P283)</f>
        <v/>
      </c>
    </row>
    <row r="284">
      <c r="A284" s="43" t="n"/>
      <c r="B284" s="28" t="n"/>
      <c r="C284" s="28" t="n"/>
      <c r="D284" s="28" t="n"/>
      <c r="E284" s="44" t="n"/>
      <c r="F284" s="44" t="n"/>
      <c r="G284" s="23" t="n"/>
      <c r="H284" s="23" t="n"/>
      <c r="I284" s="23" t="n"/>
      <c r="J284" s="23" t="n"/>
      <c r="K284" s="45">
        <f>IF(A284="","",SUM(G$2:I284)-SUM(J$2:J284))</f>
        <v/>
      </c>
      <c r="L284" s="46" t="n"/>
      <c r="M284">
        <f>IF(A284="","",IF(A284=A283,M283,N(M283)+1))</f>
        <v/>
      </c>
      <c r="N284">
        <f>IF(E284="",99999,E284)</f>
        <v/>
      </c>
      <c r="O284">
        <f>IF(E284="",0,IF(F284="",E284,F284))</f>
        <v/>
      </c>
      <c r="P284">
        <f>IF(E284="",1,MAX(1,(YEAR(O284)-YEAR(N284))*12+MONTH(O284)-MONTH(N284)+1))</f>
        <v/>
      </c>
      <c r="Q284">
        <f>IF(G284="",0,G284/P284)</f>
        <v/>
      </c>
      <c r="R284">
        <f>IF(H284="",0,H284/P284)</f>
        <v/>
      </c>
    </row>
    <row r="285">
      <c r="A285" s="43" t="n"/>
      <c r="B285" s="28" t="n"/>
      <c r="C285" s="28" t="n"/>
      <c r="D285" s="28" t="n"/>
      <c r="E285" s="44" t="n"/>
      <c r="F285" s="44" t="n"/>
      <c r="G285" s="23" t="n"/>
      <c r="H285" s="23" t="n"/>
      <c r="I285" s="23" t="n"/>
      <c r="J285" s="23" t="n"/>
      <c r="K285" s="45">
        <f>IF(A285="","",SUM(G$2:I285)-SUM(J$2:J285))</f>
        <v/>
      </c>
      <c r="L285" s="46" t="n"/>
      <c r="M285">
        <f>IF(A285="","",IF(A285=A284,M284,N(M284)+1))</f>
        <v/>
      </c>
      <c r="N285">
        <f>IF(E285="",99999,E285)</f>
        <v/>
      </c>
      <c r="O285">
        <f>IF(E285="",0,IF(F285="",E285,F285))</f>
        <v/>
      </c>
      <c r="P285">
        <f>IF(E285="",1,MAX(1,(YEAR(O285)-YEAR(N285))*12+MONTH(O285)-MONTH(N285)+1))</f>
        <v/>
      </c>
      <c r="Q285">
        <f>IF(G285="",0,G285/P285)</f>
        <v/>
      </c>
      <c r="R285">
        <f>IF(H285="",0,H285/P285)</f>
        <v/>
      </c>
    </row>
    <row r="286">
      <c r="A286" s="43" t="n"/>
      <c r="B286" s="28" t="n"/>
      <c r="C286" s="28" t="n"/>
      <c r="D286" s="28" t="n"/>
      <c r="E286" s="44" t="n"/>
      <c r="F286" s="44" t="n"/>
      <c r="G286" s="23" t="n"/>
      <c r="H286" s="23" t="n"/>
      <c r="I286" s="23" t="n"/>
      <c r="J286" s="23" t="n"/>
      <c r="K286" s="45">
        <f>IF(A286="","",SUM(G$2:I286)-SUM(J$2:J286))</f>
        <v/>
      </c>
      <c r="L286" s="46" t="n"/>
      <c r="M286">
        <f>IF(A286="","",IF(A286=A285,M285,N(M285)+1))</f>
        <v/>
      </c>
      <c r="N286">
        <f>IF(E286="",99999,E286)</f>
        <v/>
      </c>
      <c r="O286">
        <f>IF(E286="",0,IF(F286="",E286,F286))</f>
        <v/>
      </c>
      <c r="P286">
        <f>IF(E286="",1,MAX(1,(YEAR(O286)-YEAR(N286))*12+MONTH(O286)-MONTH(N286)+1))</f>
        <v/>
      </c>
      <c r="Q286">
        <f>IF(G286="",0,G286/P286)</f>
        <v/>
      </c>
      <c r="R286">
        <f>IF(H286="",0,H286/P286)</f>
        <v/>
      </c>
    </row>
    <row r="287">
      <c r="A287" s="43" t="n"/>
      <c r="B287" s="28" t="n"/>
      <c r="C287" s="28" t="n"/>
      <c r="D287" s="28" t="n"/>
      <c r="E287" s="44" t="n"/>
      <c r="F287" s="44" t="n"/>
      <c r="G287" s="23" t="n"/>
      <c r="H287" s="23" t="n"/>
      <c r="I287" s="23" t="n"/>
      <c r="J287" s="23" t="n"/>
      <c r="K287" s="45">
        <f>IF(A287="","",SUM(G$2:I287)-SUM(J$2:J287))</f>
        <v/>
      </c>
      <c r="L287" s="46" t="n"/>
      <c r="M287">
        <f>IF(A287="","",IF(A287=A286,M286,N(M286)+1))</f>
        <v/>
      </c>
      <c r="N287">
        <f>IF(E287="",99999,E287)</f>
        <v/>
      </c>
      <c r="O287">
        <f>IF(E287="",0,IF(F287="",E287,F287))</f>
        <v/>
      </c>
      <c r="P287">
        <f>IF(E287="",1,MAX(1,(YEAR(O287)-YEAR(N287))*12+MONTH(O287)-MONTH(N287)+1))</f>
        <v/>
      </c>
      <c r="Q287">
        <f>IF(G287="",0,G287/P287)</f>
        <v/>
      </c>
      <c r="R287">
        <f>IF(H287="",0,H287/P287)</f>
        <v/>
      </c>
    </row>
    <row r="288">
      <c r="A288" s="43" t="n"/>
      <c r="B288" s="28" t="n"/>
      <c r="C288" s="28" t="n"/>
      <c r="D288" s="28" t="n"/>
      <c r="E288" s="44" t="n"/>
      <c r="F288" s="44" t="n"/>
      <c r="G288" s="23" t="n"/>
      <c r="H288" s="23" t="n"/>
      <c r="I288" s="23" t="n"/>
      <c r="J288" s="23" t="n"/>
      <c r="K288" s="45">
        <f>IF(A288="","",SUM(G$2:I288)-SUM(J$2:J288))</f>
        <v/>
      </c>
      <c r="L288" s="46" t="n"/>
      <c r="M288">
        <f>IF(A288="","",IF(A288=A287,M287,N(M287)+1))</f>
        <v/>
      </c>
      <c r="N288">
        <f>IF(E288="",99999,E288)</f>
        <v/>
      </c>
      <c r="O288">
        <f>IF(E288="",0,IF(F288="",E288,F288))</f>
        <v/>
      </c>
      <c r="P288">
        <f>IF(E288="",1,MAX(1,(YEAR(O288)-YEAR(N288))*12+MONTH(O288)-MONTH(N288)+1))</f>
        <v/>
      </c>
      <c r="Q288">
        <f>IF(G288="",0,G288/P288)</f>
        <v/>
      </c>
      <c r="R288">
        <f>IF(H288="",0,H288/P288)</f>
        <v/>
      </c>
    </row>
    <row r="289">
      <c r="A289" s="43" t="n"/>
      <c r="B289" s="28" t="n"/>
      <c r="C289" s="28" t="n"/>
      <c r="D289" s="28" t="n"/>
      <c r="E289" s="44" t="n"/>
      <c r="F289" s="44" t="n"/>
      <c r="G289" s="23" t="n"/>
      <c r="H289" s="23" t="n"/>
      <c r="I289" s="23" t="n"/>
      <c r="J289" s="23" t="n"/>
      <c r="K289" s="45">
        <f>IF(A289="","",SUM(G$2:I289)-SUM(J$2:J289))</f>
        <v/>
      </c>
      <c r="L289" s="46" t="n"/>
      <c r="M289">
        <f>IF(A289="","",IF(A289=A288,M288,N(M288)+1))</f>
        <v/>
      </c>
      <c r="N289">
        <f>IF(E289="",99999,E289)</f>
        <v/>
      </c>
      <c r="O289">
        <f>IF(E289="",0,IF(F289="",E289,F289))</f>
        <v/>
      </c>
      <c r="P289">
        <f>IF(E289="",1,MAX(1,(YEAR(O289)-YEAR(N289))*12+MONTH(O289)-MONTH(N289)+1))</f>
        <v/>
      </c>
      <c r="Q289">
        <f>IF(G289="",0,G289/P289)</f>
        <v/>
      </c>
      <c r="R289">
        <f>IF(H289="",0,H289/P289)</f>
        <v/>
      </c>
    </row>
    <row r="290">
      <c r="A290" s="43" t="n"/>
      <c r="B290" s="28" t="n"/>
      <c r="C290" s="28" t="n"/>
      <c r="D290" s="28" t="n"/>
      <c r="E290" s="44" t="n"/>
      <c r="F290" s="44" t="n"/>
      <c r="G290" s="23" t="n"/>
      <c r="H290" s="23" t="n"/>
      <c r="I290" s="23" t="n"/>
      <c r="J290" s="23" t="n"/>
      <c r="K290" s="45">
        <f>IF(A290="","",SUM(G$2:I290)-SUM(J$2:J290))</f>
        <v/>
      </c>
      <c r="L290" s="46" t="n"/>
      <c r="M290">
        <f>IF(A290="","",IF(A290=A289,M289,N(M289)+1))</f>
        <v/>
      </c>
      <c r="N290">
        <f>IF(E290="",99999,E290)</f>
        <v/>
      </c>
      <c r="O290">
        <f>IF(E290="",0,IF(F290="",E290,F290))</f>
        <v/>
      </c>
      <c r="P290">
        <f>IF(E290="",1,MAX(1,(YEAR(O290)-YEAR(N290))*12+MONTH(O290)-MONTH(N290)+1))</f>
        <v/>
      </c>
      <c r="Q290">
        <f>IF(G290="",0,G290/P290)</f>
        <v/>
      </c>
      <c r="R290">
        <f>IF(H290="",0,H290/P290)</f>
        <v/>
      </c>
    </row>
    <row r="291">
      <c r="A291" s="43" t="n"/>
      <c r="B291" s="28" t="n"/>
      <c r="C291" s="28" t="n"/>
      <c r="D291" s="28" t="n"/>
      <c r="E291" s="44" t="n"/>
      <c r="F291" s="44" t="n"/>
      <c r="G291" s="23" t="n"/>
      <c r="H291" s="23" t="n"/>
      <c r="I291" s="23" t="n"/>
      <c r="J291" s="23" t="n"/>
      <c r="K291" s="45">
        <f>IF(A291="","",SUM(G$2:I291)-SUM(J$2:J291))</f>
        <v/>
      </c>
      <c r="L291" s="46" t="n"/>
      <c r="M291">
        <f>IF(A291="","",IF(A291=A290,M290,N(M290)+1))</f>
        <v/>
      </c>
      <c r="N291">
        <f>IF(E291="",99999,E291)</f>
        <v/>
      </c>
      <c r="O291">
        <f>IF(E291="",0,IF(F291="",E291,F291))</f>
        <v/>
      </c>
      <c r="P291">
        <f>IF(E291="",1,MAX(1,(YEAR(O291)-YEAR(N291))*12+MONTH(O291)-MONTH(N291)+1))</f>
        <v/>
      </c>
      <c r="Q291">
        <f>IF(G291="",0,G291/P291)</f>
        <v/>
      </c>
      <c r="R291">
        <f>IF(H291="",0,H291/P291)</f>
        <v/>
      </c>
    </row>
    <row r="292">
      <c r="A292" s="43" t="n"/>
      <c r="B292" s="28" t="n"/>
      <c r="C292" s="28" t="n"/>
      <c r="D292" s="28" t="n"/>
      <c r="E292" s="44" t="n"/>
      <c r="F292" s="44" t="n"/>
      <c r="G292" s="23" t="n"/>
      <c r="H292" s="23" t="n"/>
      <c r="I292" s="23" t="n"/>
      <c r="J292" s="23" t="n"/>
      <c r="K292" s="45">
        <f>IF(A292="","",SUM(G$2:I292)-SUM(J$2:J292))</f>
        <v/>
      </c>
      <c r="L292" s="46" t="n"/>
      <c r="M292">
        <f>IF(A292="","",IF(A292=A291,M291,N(M291)+1))</f>
        <v/>
      </c>
      <c r="N292">
        <f>IF(E292="",99999,E292)</f>
        <v/>
      </c>
      <c r="O292">
        <f>IF(E292="",0,IF(F292="",E292,F292))</f>
        <v/>
      </c>
      <c r="P292">
        <f>IF(E292="",1,MAX(1,(YEAR(O292)-YEAR(N292))*12+MONTH(O292)-MONTH(N292)+1))</f>
        <v/>
      </c>
      <c r="Q292">
        <f>IF(G292="",0,G292/P292)</f>
        <v/>
      </c>
      <c r="R292">
        <f>IF(H292="",0,H292/P292)</f>
        <v/>
      </c>
    </row>
    <row r="293">
      <c r="A293" s="43" t="n"/>
      <c r="B293" s="28" t="n"/>
      <c r="C293" s="28" t="n"/>
      <c r="D293" s="28" t="n"/>
      <c r="E293" s="44" t="n"/>
      <c r="F293" s="44" t="n"/>
      <c r="G293" s="23" t="n"/>
      <c r="H293" s="23" t="n"/>
      <c r="I293" s="23" t="n"/>
      <c r="J293" s="23" t="n"/>
      <c r="K293" s="45">
        <f>IF(A293="","",SUM(G$2:I293)-SUM(J$2:J293))</f>
        <v/>
      </c>
      <c r="L293" s="46" t="n"/>
      <c r="M293">
        <f>IF(A293="","",IF(A293=A292,M292,N(M292)+1))</f>
        <v/>
      </c>
      <c r="N293">
        <f>IF(E293="",99999,E293)</f>
        <v/>
      </c>
      <c r="O293">
        <f>IF(E293="",0,IF(F293="",E293,F293))</f>
        <v/>
      </c>
      <c r="P293">
        <f>IF(E293="",1,MAX(1,(YEAR(O293)-YEAR(N293))*12+MONTH(O293)-MONTH(N293)+1))</f>
        <v/>
      </c>
      <c r="Q293">
        <f>IF(G293="",0,G293/P293)</f>
        <v/>
      </c>
      <c r="R293">
        <f>IF(H293="",0,H293/P293)</f>
        <v/>
      </c>
    </row>
    <row r="294">
      <c r="A294" s="43" t="n"/>
      <c r="B294" s="28" t="n"/>
      <c r="C294" s="28" t="n"/>
      <c r="D294" s="28" t="n"/>
      <c r="E294" s="44" t="n"/>
      <c r="F294" s="44" t="n"/>
      <c r="G294" s="23" t="n"/>
      <c r="H294" s="23" t="n"/>
      <c r="I294" s="23" t="n"/>
      <c r="J294" s="23" t="n"/>
      <c r="K294" s="45">
        <f>IF(A294="","",SUM(G$2:I294)-SUM(J$2:J294))</f>
        <v/>
      </c>
      <c r="L294" s="46" t="n"/>
      <c r="M294">
        <f>IF(A294="","",IF(A294=A293,M293,N(M293)+1))</f>
        <v/>
      </c>
      <c r="N294">
        <f>IF(E294="",99999,E294)</f>
        <v/>
      </c>
      <c r="O294">
        <f>IF(E294="",0,IF(F294="",E294,F294))</f>
        <v/>
      </c>
      <c r="P294">
        <f>IF(E294="",1,MAX(1,(YEAR(O294)-YEAR(N294))*12+MONTH(O294)-MONTH(N294)+1))</f>
        <v/>
      </c>
      <c r="Q294">
        <f>IF(G294="",0,G294/P294)</f>
        <v/>
      </c>
      <c r="R294">
        <f>IF(H294="",0,H294/P294)</f>
        <v/>
      </c>
    </row>
    <row r="295">
      <c r="A295" s="43" t="n"/>
      <c r="B295" s="28" t="n"/>
      <c r="C295" s="28" t="n"/>
      <c r="D295" s="28" t="n"/>
      <c r="E295" s="44" t="n"/>
      <c r="F295" s="44" t="n"/>
      <c r="G295" s="23" t="n"/>
      <c r="H295" s="23" t="n"/>
      <c r="I295" s="23" t="n"/>
      <c r="J295" s="23" t="n"/>
      <c r="K295" s="45">
        <f>IF(A295="","",SUM(G$2:I295)-SUM(J$2:J295))</f>
        <v/>
      </c>
      <c r="L295" s="46" t="n"/>
      <c r="M295">
        <f>IF(A295="","",IF(A295=A294,M294,N(M294)+1))</f>
        <v/>
      </c>
      <c r="N295">
        <f>IF(E295="",99999,E295)</f>
        <v/>
      </c>
      <c r="O295">
        <f>IF(E295="",0,IF(F295="",E295,F295))</f>
        <v/>
      </c>
      <c r="P295">
        <f>IF(E295="",1,MAX(1,(YEAR(O295)-YEAR(N295))*12+MONTH(O295)-MONTH(N295)+1))</f>
        <v/>
      </c>
      <c r="Q295">
        <f>IF(G295="",0,G295/P295)</f>
        <v/>
      </c>
      <c r="R295">
        <f>IF(H295="",0,H295/P295)</f>
        <v/>
      </c>
    </row>
    <row r="296">
      <c r="A296" s="43" t="n"/>
      <c r="B296" s="28" t="n"/>
      <c r="C296" s="28" t="n"/>
      <c r="D296" s="28" t="n"/>
      <c r="E296" s="44" t="n"/>
      <c r="F296" s="44" t="n"/>
      <c r="G296" s="23" t="n"/>
      <c r="H296" s="23" t="n"/>
      <c r="I296" s="23" t="n"/>
      <c r="J296" s="23" t="n"/>
      <c r="K296" s="45">
        <f>IF(A296="","",SUM(G$2:I296)-SUM(J$2:J296))</f>
        <v/>
      </c>
      <c r="L296" s="46" t="n"/>
      <c r="M296">
        <f>IF(A296="","",IF(A296=A295,M295,N(M295)+1))</f>
        <v/>
      </c>
      <c r="N296">
        <f>IF(E296="",99999,E296)</f>
        <v/>
      </c>
      <c r="O296">
        <f>IF(E296="",0,IF(F296="",E296,F296))</f>
        <v/>
      </c>
      <c r="P296">
        <f>IF(E296="",1,MAX(1,(YEAR(O296)-YEAR(N296))*12+MONTH(O296)-MONTH(N296)+1))</f>
        <v/>
      </c>
      <c r="Q296">
        <f>IF(G296="",0,G296/P296)</f>
        <v/>
      </c>
      <c r="R296">
        <f>IF(H296="",0,H296/P296)</f>
        <v/>
      </c>
    </row>
    <row r="297">
      <c r="A297" s="43" t="n"/>
      <c r="B297" s="28" t="n"/>
      <c r="C297" s="28" t="n"/>
      <c r="D297" s="28" t="n"/>
      <c r="E297" s="44" t="n"/>
      <c r="F297" s="44" t="n"/>
      <c r="G297" s="23" t="n"/>
      <c r="H297" s="23" t="n"/>
      <c r="I297" s="23" t="n"/>
      <c r="J297" s="23" t="n"/>
      <c r="K297" s="45">
        <f>IF(A297="","",SUM(G$2:I297)-SUM(J$2:J297))</f>
        <v/>
      </c>
      <c r="L297" s="46" t="n"/>
      <c r="M297">
        <f>IF(A297="","",IF(A297=A296,M296,N(M296)+1))</f>
        <v/>
      </c>
      <c r="N297">
        <f>IF(E297="",99999,E297)</f>
        <v/>
      </c>
      <c r="O297">
        <f>IF(E297="",0,IF(F297="",E297,F297))</f>
        <v/>
      </c>
      <c r="P297">
        <f>IF(E297="",1,MAX(1,(YEAR(O297)-YEAR(N297))*12+MONTH(O297)-MONTH(N297)+1))</f>
        <v/>
      </c>
      <c r="Q297">
        <f>IF(G297="",0,G297/P297)</f>
        <v/>
      </c>
      <c r="R297">
        <f>IF(H297="",0,H297/P297)</f>
        <v/>
      </c>
    </row>
    <row r="298">
      <c r="A298" s="43" t="n"/>
      <c r="B298" s="28" t="n"/>
      <c r="C298" s="28" t="n"/>
      <c r="D298" s="28" t="n"/>
      <c r="E298" s="44" t="n"/>
      <c r="F298" s="44" t="n"/>
      <c r="G298" s="23" t="n"/>
      <c r="H298" s="23" t="n"/>
      <c r="I298" s="23" t="n"/>
      <c r="J298" s="23" t="n"/>
      <c r="K298" s="45">
        <f>IF(A298="","",SUM(G$2:I298)-SUM(J$2:J298))</f>
        <v/>
      </c>
      <c r="L298" s="46" t="n"/>
      <c r="M298">
        <f>IF(A298="","",IF(A298=A297,M297,N(M297)+1))</f>
        <v/>
      </c>
      <c r="N298">
        <f>IF(E298="",99999,E298)</f>
        <v/>
      </c>
      <c r="O298">
        <f>IF(E298="",0,IF(F298="",E298,F298))</f>
        <v/>
      </c>
      <c r="P298">
        <f>IF(E298="",1,MAX(1,(YEAR(O298)-YEAR(N298))*12+MONTH(O298)-MONTH(N298)+1))</f>
        <v/>
      </c>
      <c r="Q298">
        <f>IF(G298="",0,G298/P298)</f>
        <v/>
      </c>
      <c r="R298">
        <f>IF(H298="",0,H298/P298)</f>
        <v/>
      </c>
    </row>
    <row r="299">
      <c r="A299" s="43" t="n"/>
      <c r="B299" s="28" t="n"/>
      <c r="C299" s="28" t="n"/>
      <c r="D299" s="28" t="n"/>
      <c r="E299" s="44" t="n"/>
      <c r="F299" s="44" t="n"/>
      <c r="G299" s="23" t="n"/>
      <c r="H299" s="23" t="n"/>
      <c r="I299" s="23" t="n"/>
      <c r="J299" s="23" t="n"/>
      <c r="K299" s="45">
        <f>IF(A299="","",SUM(G$2:I299)-SUM(J$2:J299))</f>
        <v/>
      </c>
      <c r="L299" s="46" t="n"/>
      <c r="M299">
        <f>IF(A299="","",IF(A299=A298,M298,N(M298)+1))</f>
        <v/>
      </c>
      <c r="N299">
        <f>IF(E299="",99999,E299)</f>
        <v/>
      </c>
      <c r="O299">
        <f>IF(E299="",0,IF(F299="",E299,F299))</f>
        <v/>
      </c>
      <c r="P299">
        <f>IF(E299="",1,MAX(1,(YEAR(O299)-YEAR(N299))*12+MONTH(O299)-MONTH(N299)+1))</f>
        <v/>
      </c>
      <c r="Q299">
        <f>IF(G299="",0,G299/P299)</f>
        <v/>
      </c>
      <c r="R299">
        <f>IF(H299="",0,H299/P299)</f>
        <v/>
      </c>
    </row>
    <row r="300">
      <c r="A300" s="43" t="n"/>
      <c r="B300" s="28" t="n"/>
      <c r="C300" s="28" t="n"/>
      <c r="D300" s="28" t="n"/>
      <c r="E300" s="44" t="n"/>
      <c r="F300" s="44" t="n"/>
      <c r="G300" s="23" t="n"/>
      <c r="H300" s="23" t="n"/>
      <c r="I300" s="23" t="n"/>
      <c r="J300" s="23" t="n"/>
      <c r="K300" s="45">
        <f>IF(A300="","",SUM(G$2:I300)-SUM(J$2:J300))</f>
        <v/>
      </c>
      <c r="L300" s="46" t="n"/>
      <c r="M300">
        <f>IF(A300="","",IF(A300=A299,M299,N(M299)+1))</f>
        <v/>
      </c>
      <c r="N300">
        <f>IF(E300="",99999,E300)</f>
        <v/>
      </c>
      <c r="O300">
        <f>IF(E300="",0,IF(F300="",E300,F300))</f>
        <v/>
      </c>
      <c r="P300">
        <f>IF(E300="",1,MAX(1,(YEAR(O300)-YEAR(N300))*12+MONTH(O300)-MONTH(N300)+1))</f>
        <v/>
      </c>
      <c r="Q300">
        <f>IF(G300="",0,G300/P300)</f>
        <v/>
      </c>
      <c r="R300">
        <f>IF(H300="",0,H300/P300)</f>
        <v/>
      </c>
    </row>
    <row r="301">
      <c r="A301" s="43" t="n"/>
      <c r="B301" s="28" t="n"/>
      <c r="C301" s="28" t="n"/>
      <c r="D301" s="28" t="n"/>
      <c r="E301" s="44" t="n"/>
      <c r="F301" s="44" t="n"/>
      <c r="G301" s="23" t="n"/>
      <c r="H301" s="23" t="n"/>
      <c r="I301" s="23" t="n"/>
      <c r="J301" s="23" t="n"/>
      <c r="K301" s="45">
        <f>IF(A301="","",SUM(G$2:I301)-SUM(J$2:J301))</f>
        <v/>
      </c>
      <c r="L301" s="46" t="n"/>
      <c r="M301">
        <f>IF(A301="","",IF(A301=A300,M300,N(M300)+1))</f>
        <v/>
      </c>
      <c r="N301">
        <f>IF(E301="",99999,E301)</f>
        <v/>
      </c>
      <c r="O301">
        <f>IF(E301="",0,IF(F301="",E301,F301))</f>
        <v/>
      </c>
      <c r="P301">
        <f>IF(E301="",1,MAX(1,(YEAR(O301)-YEAR(N301))*12+MONTH(O301)-MONTH(N301)+1))</f>
        <v/>
      </c>
      <c r="Q301">
        <f>IF(G301="",0,G301/P301)</f>
        <v/>
      </c>
      <c r="R301">
        <f>IF(H301="",0,H301/P301)</f>
        <v/>
      </c>
    </row>
    <row r="302">
      <c r="A302" s="43" t="n"/>
      <c r="B302" s="28" t="n"/>
      <c r="C302" s="28" t="n"/>
      <c r="D302" s="28" t="n"/>
      <c r="E302" s="44" t="n"/>
      <c r="F302" s="44" t="n"/>
      <c r="G302" s="23" t="n"/>
      <c r="H302" s="23" t="n"/>
      <c r="I302" s="23" t="n"/>
      <c r="J302" s="23" t="n"/>
      <c r="K302" s="45">
        <f>IF(A302="","",SUM(G$2:I302)-SUM(J$2:J302))</f>
        <v/>
      </c>
      <c r="L302" s="46" t="n"/>
      <c r="M302">
        <f>IF(A302="","",IF(A302=A301,M301,N(M301)+1))</f>
        <v/>
      </c>
      <c r="N302">
        <f>IF(E302="",99999,E302)</f>
        <v/>
      </c>
      <c r="O302">
        <f>IF(E302="",0,IF(F302="",E302,F302))</f>
        <v/>
      </c>
      <c r="P302">
        <f>IF(E302="",1,MAX(1,(YEAR(O302)-YEAR(N302))*12+MONTH(O302)-MONTH(N302)+1))</f>
        <v/>
      </c>
      <c r="Q302">
        <f>IF(G302="",0,G302/P302)</f>
        <v/>
      </c>
      <c r="R302">
        <f>IF(H302="",0,H302/P302)</f>
        <v/>
      </c>
    </row>
    <row r="303">
      <c r="A303" s="43" t="n"/>
      <c r="B303" s="28" t="n"/>
      <c r="C303" s="28" t="n"/>
      <c r="D303" s="28" t="n"/>
      <c r="E303" s="44" t="n"/>
      <c r="F303" s="44" t="n"/>
      <c r="G303" s="23" t="n"/>
      <c r="H303" s="23" t="n"/>
      <c r="I303" s="23" t="n"/>
      <c r="J303" s="23" t="n"/>
      <c r="K303" s="45">
        <f>IF(A303="","",SUM(G$2:I303)-SUM(J$2:J303))</f>
        <v/>
      </c>
      <c r="L303" s="46" t="n"/>
      <c r="M303">
        <f>IF(A303="","",IF(A303=A302,M302,N(M302)+1))</f>
        <v/>
      </c>
      <c r="N303">
        <f>IF(E303="",99999,E303)</f>
        <v/>
      </c>
      <c r="O303">
        <f>IF(E303="",0,IF(F303="",E303,F303))</f>
        <v/>
      </c>
      <c r="P303">
        <f>IF(E303="",1,MAX(1,(YEAR(O303)-YEAR(N303))*12+MONTH(O303)-MONTH(N303)+1))</f>
        <v/>
      </c>
      <c r="Q303">
        <f>IF(G303="",0,G303/P303)</f>
        <v/>
      </c>
      <c r="R303">
        <f>IF(H303="",0,H303/P303)</f>
        <v/>
      </c>
    </row>
    <row r="304">
      <c r="A304" s="43" t="n"/>
      <c r="B304" s="28" t="n"/>
      <c r="C304" s="28" t="n"/>
      <c r="D304" s="28" t="n"/>
      <c r="E304" s="44" t="n"/>
      <c r="F304" s="44" t="n"/>
      <c r="G304" s="23" t="n"/>
      <c r="H304" s="23" t="n"/>
      <c r="I304" s="23" t="n"/>
      <c r="J304" s="23" t="n"/>
      <c r="K304" s="45">
        <f>IF(A304="","",SUM(G$2:I304)-SUM(J$2:J304))</f>
        <v/>
      </c>
      <c r="L304" s="46" t="n"/>
      <c r="M304">
        <f>IF(A304="","",IF(A304=A303,M303,N(M303)+1))</f>
        <v/>
      </c>
      <c r="N304">
        <f>IF(E304="",99999,E304)</f>
        <v/>
      </c>
      <c r="O304">
        <f>IF(E304="",0,IF(F304="",E304,F304))</f>
        <v/>
      </c>
      <c r="P304">
        <f>IF(E304="",1,MAX(1,(YEAR(O304)-YEAR(N304))*12+MONTH(O304)-MONTH(N304)+1))</f>
        <v/>
      </c>
      <c r="Q304">
        <f>IF(G304="",0,G304/P304)</f>
        <v/>
      </c>
      <c r="R304">
        <f>IF(H304="",0,H304/P304)</f>
        <v/>
      </c>
    </row>
    <row r="305">
      <c r="A305" s="43" t="n"/>
      <c r="B305" s="28" t="n"/>
      <c r="C305" s="28" t="n"/>
      <c r="D305" s="28" t="n"/>
      <c r="E305" s="44" t="n"/>
      <c r="F305" s="44" t="n"/>
      <c r="G305" s="23" t="n"/>
      <c r="H305" s="23" t="n"/>
      <c r="I305" s="23" t="n"/>
      <c r="J305" s="23" t="n"/>
      <c r="K305" s="45">
        <f>IF(A305="","",SUM(G$2:I305)-SUM(J$2:J305))</f>
        <v/>
      </c>
      <c r="L305" s="46" t="n"/>
      <c r="M305">
        <f>IF(A305="","",IF(A305=A304,M304,N(M304)+1))</f>
        <v/>
      </c>
      <c r="N305">
        <f>IF(E305="",99999,E305)</f>
        <v/>
      </c>
      <c r="O305">
        <f>IF(E305="",0,IF(F305="",E305,F305))</f>
        <v/>
      </c>
      <c r="P305">
        <f>IF(E305="",1,MAX(1,(YEAR(O305)-YEAR(N305))*12+MONTH(O305)-MONTH(N305)+1))</f>
        <v/>
      </c>
      <c r="Q305">
        <f>IF(G305="",0,G305/P305)</f>
        <v/>
      </c>
      <c r="R305">
        <f>IF(H305="",0,H305/P305)</f>
        <v/>
      </c>
    </row>
    <row r="306">
      <c r="A306" s="43" t="n"/>
      <c r="B306" s="28" t="n"/>
      <c r="C306" s="28" t="n"/>
      <c r="D306" s="28" t="n"/>
      <c r="E306" s="44" t="n"/>
      <c r="F306" s="44" t="n"/>
      <c r="G306" s="23" t="n"/>
      <c r="H306" s="23" t="n"/>
      <c r="I306" s="23" t="n"/>
      <c r="J306" s="23" t="n"/>
      <c r="K306" s="45">
        <f>IF(A306="","",SUM(G$2:I306)-SUM(J$2:J306))</f>
        <v/>
      </c>
      <c r="L306" s="46" t="n"/>
      <c r="M306">
        <f>IF(A306="","",IF(A306=A305,M305,N(M305)+1))</f>
        <v/>
      </c>
      <c r="N306">
        <f>IF(E306="",99999,E306)</f>
        <v/>
      </c>
      <c r="O306">
        <f>IF(E306="",0,IF(F306="",E306,F306))</f>
        <v/>
      </c>
      <c r="P306">
        <f>IF(E306="",1,MAX(1,(YEAR(O306)-YEAR(N306))*12+MONTH(O306)-MONTH(N306)+1))</f>
        <v/>
      </c>
      <c r="Q306">
        <f>IF(G306="",0,G306/P306)</f>
        <v/>
      </c>
      <c r="R306">
        <f>IF(H306="",0,H306/P306)</f>
        <v/>
      </c>
    </row>
    <row r="307">
      <c r="A307" s="43" t="n"/>
      <c r="B307" s="28" t="n"/>
      <c r="C307" s="28" t="n"/>
      <c r="D307" s="28" t="n"/>
      <c r="E307" s="44" t="n"/>
      <c r="F307" s="44" t="n"/>
      <c r="G307" s="23" t="n"/>
      <c r="H307" s="23" t="n"/>
      <c r="I307" s="23" t="n"/>
      <c r="J307" s="23" t="n"/>
      <c r="K307" s="45">
        <f>IF(A307="","",SUM(G$2:I307)-SUM(J$2:J307))</f>
        <v/>
      </c>
      <c r="L307" s="46" t="n"/>
      <c r="M307">
        <f>IF(A307="","",IF(A307=A306,M306,N(M306)+1))</f>
        <v/>
      </c>
      <c r="N307">
        <f>IF(E307="",99999,E307)</f>
        <v/>
      </c>
      <c r="O307">
        <f>IF(E307="",0,IF(F307="",E307,F307))</f>
        <v/>
      </c>
      <c r="P307">
        <f>IF(E307="",1,MAX(1,(YEAR(O307)-YEAR(N307))*12+MONTH(O307)-MONTH(N307)+1))</f>
        <v/>
      </c>
      <c r="Q307">
        <f>IF(G307="",0,G307/P307)</f>
        <v/>
      </c>
      <c r="R307">
        <f>IF(H307="",0,H307/P307)</f>
        <v/>
      </c>
    </row>
    <row r="308">
      <c r="A308" s="43" t="n"/>
      <c r="B308" s="28" t="n"/>
      <c r="C308" s="28" t="n"/>
      <c r="D308" s="28" t="n"/>
      <c r="E308" s="44" t="n"/>
      <c r="F308" s="44" t="n"/>
      <c r="G308" s="23" t="n"/>
      <c r="H308" s="23" t="n"/>
      <c r="I308" s="23" t="n"/>
      <c r="J308" s="23" t="n"/>
      <c r="K308" s="45">
        <f>IF(A308="","",SUM(G$2:I308)-SUM(J$2:J308))</f>
        <v/>
      </c>
      <c r="L308" s="46" t="n"/>
      <c r="M308">
        <f>IF(A308="","",IF(A308=A307,M307,N(M307)+1))</f>
        <v/>
      </c>
      <c r="N308">
        <f>IF(E308="",99999,E308)</f>
        <v/>
      </c>
      <c r="O308">
        <f>IF(E308="",0,IF(F308="",E308,F308))</f>
        <v/>
      </c>
      <c r="P308">
        <f>IF(E308="",1,MAX(1,(YEAR(O308)-YEAR(N308))*12+MONTH(O308)-MONTH(N308)+1))</f>
        <v/>
      </c>
      <c r="Q308">
        <f>IF(G308="",0,G308/P308)</f>
        <v/>
      </c>
      <c r="R308">
        <f>IF(H308="",0,H308/P308)</f>
        <v/>
      </c>
    </row>
    <row r="309">
      <c r="A309" s="43" t="n"/>
      <c r="B309" s="28" t="n"/>
      <c r="C309" s="28" t="n"/>
      <c r="D309" s="28" t="n"/>
      <c r="E309" s="44" t="n"/>
      <c r="F309" s="44" t="n"/>
      <c r="G309" s="23" t="n"/>
      <c r="H309" s="23" t="n"/>
      <c r="I309" s="23" t="n"/>
      <c r="J309" s="23" t="n"/>
      <c r="K309" s="45">
        <f>IF(A309="","",SUM(G$2:I309)-SUM(J$2:J309))</f>
        <v/>
      </c>
      <c r="L309" s="46" t="n"/>
      <c r="M309">
        <f>IF(A309="","",IF(A309=A308,M308,N(M308)+1))</f>
        <v/>
      </c>
      <c r="N309">
        <f>IF(E309="",99999,E309)</f>
        <v/>
      </c>
      <c r="O309">
        <f>IF(E309="",0,IF(F309="",E309,F309))</f>
        <v/>
      </c>
      <c r="P309">
        <f>IF(E309="",1,MAX(1,(YEAR(O309)-YEAR(N309))*12+MONTH(O309)-MONTH(N309)+1))</f>
        <v/>
      </c>
      <c r="Q309">
        <f>IF(G309="",0,G309/P309)</f>
        <v/>
      </c>
      <c r="R309">
        <f>IF(H309="",0,H309/P309)</f>
        <v/>
      </c>
    </row>
    <row r="310">
      <c r="A310" s="43" t="n"/>
      <c r="B310" s="28" t="n"/>
      <c r="C310" s="28" t="n"/>
      <c r="D310" s="28" t="n"/>
      <c r="E310" s="44" t="n"/>
      <c r="F310" s="44" t="n"/>
      <c r="G310" s="23" t="n"/>
      <c r="H310" s="23" t="n"/>
      <c r="I310" s="23" t="n"/>
      <c r="J310" s="23" t="n"/>
      <c r="K310" s="45">
        <f>IF(A310="","",SUM(G$2:I310)-SUM(J$2:J310))</f>
        <v/>
      </c>
      <c r="L310" s="46" t="n"/>
      <c r="M310">
        <f>IF(A310="","",IF(A310=A309,M309,N(M309)+1))</f>
        <v/>
      </c>
      <c r="N310">
        <f>IF(E310="",99999,E310)</f>
        <v/>
      </c>
      <c r="O310">
        <f>IF(E310="",0,IF(F310="",E310,F310))</f>
        <v/>
      </c>
      <c r="P310">
        <f>IF(E310="",1,MAX(1,(YEAR(O310)-YEAR(N310))*12+MONTH(O310)-MONTH(N310)+1))</f>
        <v/>
      </c>
      <c r="Q310">
        <f>IF(G310="",0,G310/P310)</f>
        <v/>
      </c>
      <c r="R310">
        <f>IF(H310="",0,H310/P310)</f>
        <v/>
      </c>
    </row>
    <row r="311">
      <c r="A311" s="43" t="n"/>
      <c r="B311" s="28" t="n"/>
      <c r="C311" s="28" t="n"/>
      <c r="D311" s="28" t="n"/>
      <c r="E311" s="44" t="n"/>
      <c r="F311" s="44" t="n"/>
      <c r="G311" s="23" t="n"/>
      <c r="H311" s="23" t="n"/>
      <c r="I311" s="23" t="n"/>
      <c r="J311" s="23" t="n"/>
      <c r="K311" s="45">
        <f>IF(A311="","",SUM(G$2:I311)-SUM(J$2:J311))</f>
        <v/>
      </c>
      <c r="L311" s="46" t="n"/>
      <c r="M311">
        <f>IF(A311="","",IF(A311=A310,M310,N(M310)+1))</f>
        <v/>
      </c>
      <c r="N311">
        <f>IF(E311="",99999,E311)</f>
        <v/>
      </c>
      <c r="O311">
        <f>IF(E311="",0,IF(F311="",E311,F311))</f>
        <v/>
      </c>
      <c r="P311">
        <f>IF(E311="",1,MAX(1,(YEAR(O311)-YEAR(N311))*12+MONTH(O311)-MONTH(N311)+1))</f>
        <v/>
      </c>
      <c r="Q311">
        <f>IF(G311="",0,G311/P311)</f>
        <v/>
      </c>
      <c r="R311">
        <f>IF(H311="",0,H311/P311)</f>
        <v/>
      </c>
    </row>
    <row r="312">
      <c r="A312" s="43" t="n"/>
      <c r="B312" s="28" t="n"/>
      <c r="C312" s="28" t="n"/>
      <c r="D312" s="28" t="n"/>
      <c r="E312" s="44" t="n"/>
      <c r="F312" s="44" t="n"/>
      <c r="G312" s="23" t="n"/>
      <c r="H312" s="23" t="n"/>
      <c r="I312" s="23" t="n"/>
      <c r="J312" s="23" t="n"/>
      <c r="K312" s="45">
        <f>IF(A312="","",SUM(G$2:I312)-SUM(J$2:J312))</f>
        <v/>
      </c>
      <c r="L312" s="46" t="n"/>
      <c r="M312">
        <f>IF(A312="","",IF(A312=A311,M311,N(M311)+1))</f>
        <v/>
      </c>
      <c r="N312">
        <f>IF(E312="",99999,E312)</f>
        <v/>
      </c>
      <c r="O312">
        <f>IF(E312="",0,IF(F312="",E312,F312))</f>
        <v/>
      </c>
      <c r="P312">
        <f>IF(E312="",1,MAX(1,(YEAR(O312)-YEAR(N312))*12+MONTH(O312)-MONTH(N312)+1))</f>
        <v/>
      </c>
      <c r="Q312">
        <f>IF(G312="",0,G312/P312)</f>
        <v/>
      </c>
      <c r="R312">
        <f>IF(H312="",0,H312/P312)</f>
        <v/>
      </c>
    </row>
    <row r="313">
      <c r="A313" s="43" t="n"/>
      <c r="B313" s="28" t="n"/>
      <c r="C313" s="28" t="n"/>
      <c r="D313" s="28" t="n"/>
      <c r="E313" s="44" t="n"/>
      <c r="F313" s="44" t="n"/>
      <c r="G313" s="23" t="n"/>
      <c r="H313" s="23" t="n"/>
      <c r="I313" s="23" t="n"/>
      <c r="J313" s="23" t="n"/>
      <c r="K313" s="45">
        <f>IF(A313="","",SUM(G$2:I313)-SUM(J$2:J313))</f>
        <v/>
      </c>
      <c r="L313" s="46" t="n"/>
      <c r="M313">
        <f>IF(A313="","",IF(A313=A312,M312,N(M312)+1))</f>
        <v/>
      </c>
      <c r="N313">
        <f>IF(E313="",99999,E313)</f>
        <v/>
      </c>
      <c r="O313">
        <f>IF(E313="",0,IF(F313="",E313,F313))</f>
        <v/>
      </c>
      <c r="P313">
        <f>IF(E313="",1,MAX(1,(YEAR(O313)-YEAR(N313))*12+MONTH(O313)-MONTH(N313)+1))</f>
        <v/>
      </c>
      <c r="Q313">
        <f>IF(G313="",0,G313/P313)</f>
        <v/>
      </c>
      <c r="R313">
        <f>IF(H313="",0,H313/P313)</f>
        <v/>
      </c>
    </row>
    <row r="314">
      <c r="A314" s="43" t="n"/>
      <c r="B314" s="28" t="n"/>
      <c r="C314" s="28" t="n"/>
      <c r="D314" s="28" t="n"/>
      <c r="E314" s="44" t="n"/>
      <c r="F314" s="44" t="n"/>
      <c r="G314" s="23" t="n"/>
      <c r="H314" s="23" t="n"/>
      <c r="I314" s="23" t="n"/>
      <c r="J314" s="23" t="n"/>
      <c r="K314" s="45">
        <f>IF(A314="","",SUM(G$2:I314)-SUM(J$2:J314))</f>
        <v/>
      </c>
      <c r="L314" s="46" t="n"/>
      <c r="M314">
        <f>IF(A314="","",IF(A314=A313,M313,N(M313)+1))</f>
        <v/>
      </c>
      <c r="N314">
        <f>IF(E314="",99999,E314)</f>
        <v/>
      </c>
      <c r="O314">
        <f>IF(E314="",0,IF(F314="",E314,F314))</f>
        <v/>
      </c>
      <c r="P314">
        <f>IF(E314="",1,MAX(1,(YEAR(O314)-YEAR(N314))*12+MONTH(O314)-MONTH(N314)+1))</f>
        <v/>
      </c>
      <c r="Q314">
        <f>IF(G314="",0,G314/P314)</f>
        <v/>
      </c>
      <c r="R314">
        <f>IF(H314="",0,H314/P314)</f>
        <v/>
      </c>
    </row>
    <row r="315">
      <c r="A315" s="43" t="n"/>
      <c r="B315" s="28" t="n"/>
      <c r="C315" s="28" t="n"/>
      <c r="D315" s="28" t="n"/>
      <c r="E315" s="44" t="n"/>
      <c r="F315" s="44" t="n"/>
      <c r="G315" s="23" t="n"/>
      <c r="H315" s="23" t="n"/>
      <c r="I315" s="23" t="n"/>
      <c r="J315" s="23" t="n"/>
      <c r="K315" s="45">
        <f>IF(A315="","",SUM(G$2:I315)-SUM(J$2:J315))</f>
        <v/>
      </c>
      <c r="L315" s="46" t="n"/>
      <c r="M315">
        <f>IF(A315="","",IF(A315=A314,M314,N(M314)+1))</f>
        <v/>
      </c>
      <c r="N315">
        <f>IF(E315="",99999,E315)</f>
        <v/>
      </c>
      <c r="O315">
        <f>IF(E315="",0,IF(F315="",E315,F315))</f>
        <v/>
      </c>
      <c r="P315">
        <f>IF(E315="",1,MAX(1,(YEAR(O315)-YEAR(N315))*12+MONTH(O315)-MONTH(N315)+1))</f>
        <v/>
      </c>
      <c r="Q315">
        <f>IF(G315="",0,G315/P315)</f>
        <v/>
      </c>
      <c r="R315">
        <f>IF(H315="",0,H315/P315)</f>
        <v/>
      </c>
    </row>
    <row r="316">
      <c r="A316" s="43" t="n"/>
      <c r="B316" s="28" t="n"/>
      <c r="C316" s="28" t="n"/>
      <c r="D316" s="28" t="n"/>
      <c r="E316" s="44" t="n"/>
      <c r="F316" s="44" t="n"/>
      <c r="G316" s="23" t="n"/>
      <c r="H316" s="23" t="n"/>
      <c r="I316" s="23" t="n"/>
      <c r="J316" s="23" t="n"/>
      <c r="K316" s="45">
        <f>IF(A316="","",SUM(G$2:I316)-SUM(J$2:J316))</f>
        <v/>
      </c>
      <c r="L316" s="46" t="n"/>
      <c r="M316">
        <f>IF(A316="","",IF(A316=A315,M315,N(M315)+1))</f>
        <v/>
      </c>
      <c r="N316">
        <f>IF(E316="",99999,E316)</f>
        <v/>
      </c>
      <c r="O316">
        <f>IF(E316="",0,IF(F316="",E316,F316))</f>
        <v/>
      </c>
      <c r="P316">
        <f>IF(E316="",1,MAX(1,(YEAR(O316)-YEAR(N316))*12+MONTH(O316)-MONTH(N316)+1))</f>
        <v/>
      </c>
      <c r="Q316">
        <f>IF(G316="",0,G316/P316)</f>
        <v/>
      </c>
      <c r="R316">
        <f>IF(H316="",0,H316/P316)</f>
        <v/>
      </c>
    </row>
    <row r="317">
      <c r="A317" s="43" t="n"/>
      <c r="B317" s="28" t="n"/>
      <c r="C317" s="28" t="n"/>
      <c r="D317" s="28" t="n"/>
      <c r="E317" s="44" t="n"/>
      <c r="F317" s="44" t="n"/>
      <c r="G317" s="23" t="n"/>
      <c r="H317" s="23" t="n"/>
      <c r="I317" s="23" t="n"/>
      <c r="J317" s="23" t="n"/>
      <c r="K317" s="45">
        <f>IF(A317="","",SUM(G$2:I317)-SUM(J$2:J317))</f>
        <v/>
      </c>
      <c r="L317" s="46" t="n"/>
      <c r="M317">
        <f>IF(A317="","",IF(A317=A316,M316,N(M316)+1))</f>
        <v/>
      </c>
      <c r="N317">
        <f>IF(E317="",99999,E317)</f>
        <v/>
      </c>
      <c r="O317">
        <f>IF(E317="",0,IF(F317="",E317,F317))</f>
        <v/>
      </c>
      <c r="P317">
        <f>IF(E317="",1,MAX(1,(YEAR(O317)-YEAR(N317))*12+MONTH(O317)-MONTH(N317)+1))</f>
        <v/>
      </c>
      <c r="Q317">
        <f>IF(G317="",0,G317/P317)</f>
        <v/>
      </c>
      <c r="R317">
        <f>IF(H317="",0,H317/P317)</f>
        <v/>
      </c>
    </row>
    <row r="318">
      <c r="A318" s="43" t="n"/>
      <c r="B318" s="28" t="n"/>
      <c r="C318" s="28" t="n"/>
      <c r="D318" s="28" t="n"/>
      <c r="E318" s="44" t="n"/>
      <c r="F318" s="44" t="n"/>
      <c r="G318" s="23" t="n"/>
      <c r="H318" s="23" t="n"/>
      <c r="I318" s="23" t="n"/>
      <c r="J318" s="23" t="n"/>
      <c r="K318" s="45">
        <f>IF(A318="","",SUM(G$2:I318)-SUM(J$2:J318))</f>
        <v/>
      </c>
      <c r="L318" s="46" t="n"/>
      <c r="M318">
        <f>IF(A318="","",IF(A318=A317,M317,N(M317)+1))</f>
        <v/>
      </c>
      <c r="N318">
        <f>IF(E318="",99999,E318)</f>
        <v/>
      </c>
      <c r="O318">
        <f>IF(E318="",0,IF(F318="",E318,F318))</f>
        <v/>
      </c>
      <c r="P318">
        <f>IF(E318="",1,MAX(1,(YEAR(O318)-YEAR(N318))*12+MONTH(O318)-MONTH(N318)+1))</f>
        <v/>
      </c>
      <c r="Q318">
        <f>IF(G318="",0,G318/P318)</f>
        <v/>
      </c>
      <c r="R318">
        <f>IF(H318="",0,H318/P318)</f>
        <v/>
      </c>
    </row>
    <row r="319">
      <c r="A319" s="43" t="n"/>
      <c r="B319" s="28" t="n"/>
      <c r="C319" s="28" t="n"/>
      <c r="D319" s="28" t="n"/>
      <c r="E319" s="44" t="n"/>
      <c r="F319" s="44" t="n"/>
      <c r="G319" s="23" t="n"/>
      <c r="H319" s="23" t="n"/>
      <c r="I319" s="23" t="n"/>
      <c r="J319" s="23" t="n"/>
      <c r="K319" s="45">
        <f>IF(A319="","",SUM(G$2:I319)-SUM(J$2:J319))</f>
        <v/>
      </c>
      <c r="L319" s="46" t="n"/>
      <c r="M319">
        <f>IF(A319="","",IF(A319=A318,M318,N(M318)+1))</f>
        <v/>
      </c>
      <c r="N319">
        <f>IF(E319="",99999,E319)</f>
        <v/>
      </c>
      <c r="O319">
        <f>IF(E319="",0,IF(F319="",E319,F319))</f>
        <v/>
      </c>
      <c r="P319">
        <f>IF(E319="",1,MAX(1,(YEAR(O319)-YEAR(N319))*12+MONTH(O319)-MONTH(N319)+1))</f>
        <v/>
      </c>
      <c r="Q319">
        <f>IF(G319="",0,G319/P319)</f>
        <v/>
      </c>
      <c r="R319">
        <f>IF(H319="",0,H319/P319)</f>
        <v/>
      </c>
    </row>
    <row r="320">
      <c r="A320" s="43" t="n"/>
      <c r="B320" s="28" t="n"/>
      <c r="C320" s="28" t="n"/>
      <c r="D320" s="28" t="n"/>
      <c r="E320" s="44" t="n"/>
      <c r="F320" s="44" t="n"/>
      <c r="G320" s="23" t="n"/>
      <c r="H320" s="23" t="n"/>
      <c r="I320" s="23" t="n"/>
      <c r="J320" s="23" t="n"/>
      <c r="K320" s="45">
        <f>IF(A320="","",SUM(G$2:I320)-SUM(J$2:J320))</f>
        <v/>
      </c>
      <c r="L320" s="46" t="n"/>
      <c r="M320">
        <f>IF(A320="","",IF(A320=A319,M319,N(M319)+1))</f>
        <v/>
      </c>
      <c r="N320">
        <f>IF(E320="",99999,E320)</f>
        <v/>
      </c>
      <c r="O320">
        <f>IF(E320="",0,IF(F320="",E320,F320))</f>
        <v/>
      </c>
      <c r="P320">
        <f>IF(E320="",1,MAX(1,(YEAR(O320)-YEAR(N320))*12+MONTH(O320)-MONTH(N320)+1))</f>
        <v/>
      </c>
      <c r="Q320">
        <f>IF(G320="",0,G320/P320)</f>
        <v/>
      </c>
      <c r="R320">
        <f>IF(H320="",0,H320/P320)</f>
        <v/>
      </c>
    </row>
    <row r="321">
      <c r="A321" s="43" t="n"/>
      <c r="B321" s="28" t="n"/>
      <c r="C321" s="28" t="n"/>
      <c r="D321" s="28" t="n"/>
      <c r="E321" s="44" t="n"/>
      <c r="F321" s="44" t="n"/>
      <c r="G321" s="23" t="n"/>
      <c r="H321" s="23" t="n"/>
      <c r="I321" s="23" t="n"/>
      <c r="J321" s="23" t="n"/>
      <c r="K321" s="45">
        <f>IF(A321="","",SUM(G$2:I321)-SUM(J$2:J321))</f>
        <v/>
      </c>
      <c r="L321" s="46" t="n"/>
      <c r="M321">
        <f>IF(A321="","",IF(A321=A320,M320,N(M320)+1))</f>
        <v/>
      </c>
      <c r="N321">
        <f>IF(E321="",99999,E321)</f>
        <v/>
      </c>
      <c r="O321">
        <f>IF(E321="",0,IF(F321="",E321,F321))</f>
        <v/>
      </c>
      <c r="P321">
        <f>IF(E321="",1,MAX(1,(YEAR(O321)-YEAR(N321))*12+MONTH(O321)-MONTH(N321)+1))</f>
        <v/>
      </c>
      <c r="Q321">
        <f>IF(G321="",0,G321/P321)</f>
        <v/>
      </c>
      <c r="R321">
        <f>IF(H321="",0,H321/P321)</f>
        <v/>
      </c>
    </row>
    <row r="322">
      <c r="A322" s="43" t="n"/>
      <c r="B322" s="28" t="n"/>
      <c r="C322" s="28" t="n"/>
      <c r="D322" s="28" t="n"/>
      <c r="E322" s="44" t="n"/>
      <c r="F322" s="44" t="n"/>
      <c r="G322" s="23" t="n"/>
      <c r="H322" s="23" t="n"/>
      <c r="I322" s="23" t="n"/>
      <c r="J322" s="23" t="n"/>
      <c r="K322" s="45">
        <f>IF(A322="","",SUM(G$2:I322)-SUM(J$2:J322))</f>
        <v/>
      </c>
      <c r="L322" s="46" t="n"/>
      <c r="M322">
        <f>IF(A322="","",IF(A322=A321,M321,N(M321)+1))</f>
        <v/>
      </c>
      <c r="N322">
        <f>IF(E322="",99999,E322)</f>
        <v/>
      </c>
      <c r="O322">
        <f>IF(E322="",0,IF(F322="",E322,F322))</f>
        <v/>
      </c>
      <c r="P322">
        <f>IF(E322="",1,MAX(1,(YEAR(O322)-YEAR(N322))*12+MONTH(O322)-MONTH(N322)+1))</f>
        <v/>
      </c>
      <c r="Q322">
        <f>IF(G322="",0,G322/P322)</f>
        <v/>
      </c>
      <c r="R322">
        <f>IF(H322="",0,H322/P322)</f>
        <v/>
      </c>
    </row>
    <row r="323">
      <c r="A323" s="43" t="n"/>
      <c r="B323" s="28" t="n"/>
      <c r="C323" s="28" t="n"/>
      <c r="D323" s="28" t="n"/>
      <c r="E323" s="44" t="n"/>
      <c r="F323" s="44" t="n"/>
      <c r="G323" s="23" t="n"/>
      <c r="H323" s="23" t="n"/>
      <c r="I323" s="23" t="n"/>
      <c r="J323" s="23" t="n"/>
      <c r="K323" s="45">
        <f>IF(A323="","",SUM(G$2:I323)-SUM(J$2:J323))</f>
        <v/>
      </c>
      <c r="L323" s="46" t="n"/>
      <c r="M323">
        <f>IF(A323="","",IF(A323=A322,M322,N(M322)+1))</f>
        <v/>
      </c>
      <c r="N323">
        <f>IF(E323="",99999,E323)</f>
        <v/>
      </c>
      <c r="O323">
        <f>IF(E323="",0,IF(F323="",E323,F323))</f>
        <v/>
      </c>
      <c r="P323">
        <f>IF(E323="",1,MAX(1,(YEAR(O323)-YEAR(N323))*12+MONTH(O323)-MONTH(N323)+1))</f>
        <v/>
      </c>
      <c r="Q323">
        <f>IF(G323="",0,G323/P323)</f>
        <v/>
      </c>
      <c r="R323">
        <f>IF(H323="",0,H323/P323)</f>
        <v/>
      </c>
    </row>
    <row r="324">
      <c r="A324" s="43" t="n"/>
      <c r="B324" s="28" t="n"/>
      <c r="C324" s="28" t="n"/>
      <c r="D324" s="28" t="n"/>
      <c r="E324" s="44" t="n"/>
      <c r="F324" s="44" t="n"/>
      <c r="G324" s="23" t="n"/>
      <c r="H324" s="23" t="n"/>
      <c r="I324" s="23" t="n"/>
      <c r="J324" s="23" t="n"/>
      <c r="K324" s="45">
        <f>IF(A324="","",SUM(G$2:I324)-SUM(J$2:J324))</f>
        <v/>
      </c>
      <c r="L324" s="46" t="n"/>
      <c r="M324">
        <f>IF(A324="","",IF(A324=A323,M323,N(M323)+1))</f>
        <v/>
      </c>
      <c r="N324">
        <f>IF(E324="",99999,E324)</f>
        <v/>
      </c>
      <c r="O324">
        <f>IF(E324="",0,IF(F324="",E324,F324))</f>
        <v/>
      </c>
      <c r="P324">
        <f>IF(E324="",1,MAX(1,(YEAR(O324)-YEAR(N324))*12+MONTH(O324)-MONTH(N324)+1))</f>
        <v/>
      </c>
      <c r="Q324">
        <f>IF(G324="",0,G324/P324)</f>
        <v/>
      </c>
      <c r="R324">
        <f>IF(H324="",0,H324/P324)</f>
        <v/>
      </c>
    </row>
    <row r="325">
      <c r="A325" s="43" t="n"/>
      <c r="B325" s="28" t="n"/>
      <c r="C325" s="28" t="n"/>
      <c r="D325" s="28" t="n"/>
      <c r="E325" s="44" t="n"/>
      <c r="F325" s="44" t="n"/>
      <c r="G325" s="23" t="n"/>
      <c r="H325" s="23" t="n"/>
      <c r="I325" s="23" t="n"/>
      <c r="J325" s="23" t="n"/>
      <c r="K325" s="45">
        <f>IF(A325="","",SUM(G$2:I325)-SUM(J$2:J325))</f>
        <v/>
      </c>
      <c r="L325" s="46" t="n"/>
      <c r="M325">
        <f>IF(A325="","",IF(A325=A324,M324,N(M324)+1))</f>
        <v/>
      </c>
      <c r="N325">
        <f>IF(E325="",99999,E325)</f>
        <v/>
      </c>
      <c r="O325">
        <f>IF(E325="",0,IF(F325="",E325,F325))</f>
        <v/>
      </c>
      <c r="P325">
        <f>IF(E325="",1,MAX(1,(YEAR(O325)-YEAR(N325))*12+MONTH(O325)-MONTH(N325)+1))</f>
        <v/>
      </c>
      <c r="Q325">
        <f>IF(G325="",0,G325/P325)</f>
        <v/>
      </c>
      <c r="R325">
        <f>IF(H325="",0,H325/P325)</f>
        <v/>
      </c>
    </row>
    <row r="326">
      <c r="A326" s="43" t="n"/>
      <c r="B326" s="28" t="n"/>
      <c r="C326" s="28" t="n"/>
      <c r="D326" s="28" t="n"/>
      <c r="E326" s="44" t="n"/>
      <c r="F326" s="44" t="n"/>
      <c r="G326" s="23" t="n"/>
      <c r="H326" s="23" t="n"/>
      <c r="I326" s="23" t="n"/>
      <c r="J326" s="23" t="n"/>
      <c r="K326" s="45">
        <f>IF(A326="","",SUM(G$2:I326)-SUM(J$2:J326))</f>
        <v/>
      </c>
      <c r="L326" s="46" t="n"/>
      <c r="M326">
        <f>IF(A326="","",IF(A326=A325,M325,N(M325)+1))</f>
        <v/>
      </c>
      <c r="N326">
        <f>IF(E326="",99999,E326)</f>
        <v/>
      </c>
      <c r="O326">
        <f>IF(E326="",0,IF(F326="",E326,F326))</f>
        <v/>
      </c>
      <c r="P326">
        <f>IF(E326="",1,MAX(1,(YEAR(O326)-YEAR(N326))*12+MONTH(O326)-MONTH(N326)+1))</f>
        <v/>
      </c>
      <c r="Q326">
        <f>IF(G326="",0,G326/P326)</f>
        <v/>
      </c>
      <c r="R326">
        <f>IF(H326="",0,H326/P326)</f>
        <v/>
      </c>
    </row>
    <row r="327">
      <c r="A327" s="43" t="n"/>
      <c r="B327" s="28" t="n"/>
      <c r="C327" s="28" t="n"/>
      <c r="D327" s="28" t="n"/>
      <c r="E327" s="44" t="n"/>
      <c r="F327" s="44" t="n"/>
      <c r="G327" s="23" t="n"/>
      <c r="H327" s="23" t="n"/>
      <c r="I327" s="23" t="n"/>
      <c r="J327" s="23" t="n"/>
      <c r="K327" s="45">
        <f>IF(A327="","",SUM(G$2:I327)-SUM(J$2:J327))</f>
        <v/>
      </c>
      <c r="L327" s="46" t="n"/>
      <c r="M327">
        <f>IF(A327="","",IF(A327=A326,M326,N(M326)+1))</f>
        <v/>
      </c>
      <c r="N327">
        <f>IF(E327="",99999,E327)</f>
        <v/>
      </c>
      <c r="O327">
        <f>IF(E327="",0,IF(F327="",E327,F327))</f>
        <v/>
      </c>
      <c r="P327">
        <f>IF(E327="",1,MAX(1,(YEAR(O327)-YEAR(N327))*12+MONTH(O327)-MONTH(N327)+1))</f>
        <v/>
      </c>
      <c r="Q327">
        <f>IF(G327="",0,G327/P327)</f>
        <v/>
      </c>
      <c r="R327">
        <f>IF(H327="",0,H327/P327)</f>
        <v/>
      </c>
    </row>
    <row r="328">
      <c r="A328" s="43" t="n"/>
      <c r="B328" s="28" t="n"/>
      <c r="C328" s="28" t="n"/>
      <c r="D328" s="28" t="n"/>
      <c r="E328" s="44" t="n"/>
      <c r="F328" s="44" t="n"/>
      <c r="G328" s="23" t="n"/>
      <c r="H328" s="23" t="n"/>
      <c r="I328" s="23" t="n"/>
      <c r="J328" s="23" t="n"/>
      <c r="K328" s="45">
        <f>IF(A328="","",SUM(G$2:I328)-SUM(J$2:J328))</f>
        <v/>
      </c>
      <c r="L328" s="46" t="n"/>
      <c r="M328">
        <f>IF(A328="","",IF(A328=A327,M327,N(M327)+1))</f>
        <v/>
      </c>
      <c r="N328">
        <f>IF(E328="",99999,E328)</f>
        <v/>
      </c>
      <c r="O328">
        <f>IF(E328="",0,IF(F328="",E328,F328))</f>
        <v/>
      </c>
      <c r="P328">
        <f>IF(E328="",1,MAX(1,(YEAR(O328)-YEAR(N328))*12+MONTH(O328)-MONTH(N328)+1))</f>
        <v/>
      </c>
      <c r="Q328">
        <f>IF(G328="",0,G328/P328)</f>
        <v/>
      </c>
      <c r="R328">
        <f>IF(H328="",0,H328/P328)</f>
        <v/>
      </c>
    </row>
    <row r="329">
      <c r="A329" s="43" t="n"/>
      <c r="B329" s="28" t="n"/>
      <c r="C329" s="28" t="n"/>
      <c r="D329" s="28" t="n"/>
      <c r="E329" s="44" t="n"/>
      <c r="F329" s="44" t="n"/>
      <c r="G329" s="23" t="n"/>
      <c r="H329" s="23" t="n"/>
      <c r="I329" s="23" t="n"/>
      <c r="J329" s="23" t="n"/>
      <c r="K329" s="45">
        <f>IF(A329="","",SUM(G$2:I329)-SUM(J$2:J329))</f>
        <v/>
      </c>
      <c r="L329" s="46" t="n"/>
      <c r="M329">
        <f>IF(A329="","",IF(A329=A328,M328,N(M328)+1))</f>
        <v/>
      </c>
      <c r="N329">
        <f>IF(E329="",99999,E329)</f>
        <v/>
      </c>
      <c r="O329">
        <f>IF(E329="",0,IF(F329="",E329,F329))</f>
        <v/>
      </c>
      <c r="P329">
        <f>IF(E329="",1,MAX(1,(YEAR(O329)-YEAR(N329))*12+MONTH(O329)-MONTH(N329)+1))</f>
        <v/>
      </c>
      <c r="Q329">
        <f>IF(G329="",0,G329/P329)</f>
        <v/>
      </c>
      <c r="R329">
        <f>IF(H329="",0,H329/P329)</f>
        <v/>
      </c>
    </row>
    <row r="330">
      <c r="A330" s="43" t="n"/>
      <c r="B330" s="28" t="n"/>
      <c r="C330" s="28" t="n"/>
      <c r="D330" s="28" t="n"/>
      <c r="E330" s="44" t="n"/>
      <c r="F330" s="44" t="n"/>
      <c r="G330" s="23" t="n"/>
      <c r="H330" s="23" t="n"/>
      <c r="I330" s="23" t="n"/>
      <c r="J330" s="23" t="n"/>
      <c r="K330" s="45">
        <f>IF(A330="","",SUM(G$2:I330)-SUM(J$2:J330))</f>
        <v/>
      </c>
      <c r="L330" s="46" t="n"/>
      <c r="M330">
        <f>IF(A330="","",IF(A330=A329,M329,N(M329)+1))</f>
        <v/>
      </c>
      <c r="N330">
        <f>IF(E330="",99999,E330)</f>
        <v/>
      </c>
      <c r="O330">
        <f>IF(E330="",0,IF(F330="",E330,F330))</f>
        <v/>
      </c>
      <c r="P330">
        <f>IF(E330="",1,MAX(1,(YEAR(O330)-YEAR(N330))*12+MONTH(O330)-MONTH(N330)+1))</f>
        <v/>
      </c>
      <c r="Q330">
        <f>IF(G330="",0,G330/P330)</f>
        <v/>
      </c>
      <c r="R330">
        <f>IF(H330="",0,H330/P330)</f>
        <v/>
      </c>
    </row>
    <row r="331">
      <c r="A331" s="43" t="n"/>
      <c r="B331" s="28" t="n"/>
      <c r="C331" s="28" t="n"/>
      <c r="D331" s="28" t="n"/>
      <c r="E331" s="44" t="n"/>
      <c r="F331" s="44" t="n"/>
      <c r="G331" s="23" t="n"/>
      <c r="H331" s="23" t="n"/>
      <c r="I331" s="23" t="n"/>
      <c r="J331" s="23" t="n"/>
      <c r="K331" s="45">
        <f>IF(A331="","",SUM(G$2:I331)-SUM(J$2:J331))</f>
        <v/>
      </c>
      <c r="L331" s="46" t="n"/>
      <c r="M331">
        <f>IF(A331="","",IF(A331=A330,M330,N(M330)+1))</f>
        <v/>
      </c>
      <c r="N331">
        <f>IF(E331="",99999,E331)</f>
        <v/>
      </c>
      <c r="O331">
        <f>IF(E331="",0,IF(F331="",E331,F331))</f>
        <v/>
      </c>
      <c r="P331">
        <f>IF(E331="",1,MAX(1,(YEAR(O331)-YEAR(N331))*12+MONTH(O331)-MONTH(N331)+1))</f>
        <v/>
      </c>
      <c r="Q331">
        <f>IF(G331="",0,G331/P331)</f>
        <v/>
      </c>
      <c r="R331">
        <f>IF(H331="",0,H331/P331)</f>
        <v/>
      </c>
    </row>
    <row r="332">
      <c r="A332" s="43" t="n"/>
      <c r="B332" s="28" t="n"/>
      <c r="C332" s="28" t="n"/>
      <c r="D332" s="28" t="n"/>
      <c r="E332" s="44" t="n"/>
      <c r="F332" s="44" t="n"/>
      <c r="G332" s="23" t="n"/>
      <c r="H332" s="23" t="n"/>
      <c r="I332" s="23" t="n"/>
      <c r="J332" s="23" t="n"/>
      <c r="K332" s="45">
        <f>IF(A332="","",SUM(G$2:I332)-SUM(J$2:J332))</f>
        <v/>
      </c>
      <c r="L332" s="46" t="n"/>
      <c r="M332">
        <f>IF(A332="","",IF(A332=A331,M331,N(M331)+1))</f>
        <v/>
      </c>
      <c r="N332">
        <f>IF(E332="",99999,E332)</f>
        <v/>
      </c>
      <c r="O332">
        <f>IF(E332="",0,IF(F332="",E332,F332))</f>
        <v/>
      </c>
      <c r="P332">
        <f>IF(E332="",1,MAX(1,(YEAR(O332)-YEAR(N332))*12+MONTH(O332)-MONTH(N332)+1))</f>
        <v/>
      </c>
      <c r="Q332">
        <f>IF(G332="",0,G332/P332)</f>
        <v/>
      </c>
      <c r="R332">
        <f>IF(H332="",0,H332/P332)</f>
        <v/>
      </c>
    </row>
    <row r="333">
      <c r="A333" s="43" t="n"/>
      <c r="B333" s="28" t="n"/>
      <c r="C333" s="28" t="n"/>
      <c r="D333" s="28" t="n"/>
      <c r="E333" s="44" t="n"/>
      <c r="F333" s="44" t="n"/>
      <c r="G333" s="23" t="n"/>
      <c r="H333" s="23" t="n"/>
      <c r="I333" s="23" t="n"/>
      <c r="J333" s="23" t="n"/>
      <c r="K333" s="45">
        <f>IF(A333="","",SUM(G$2:I333)-SUM(J$2:J333))</f>
        <v/>
      </c>
      <c r="L333" s="46" t="n"/>
      <c r="M333">
        <f>IF(A333="","",IF(A333=A332,M332,N(M332)+1))</f>
        <v/>
      </c>
      <c r="N333">
        <f>IF(E333="",99999,E333)</f>
        <v/>
      </c>
      <c r="O333">
        <f>IF(E333="",0,IF(F333="",E333,F333))</f>
        <v/>
      </c>
      <c r="P333">
        <f>IF(E333="",1,MAX(1,(YEAR(O333)-YEAR(N333))*12+MONTH(O333)-MONTH(N333)+1))</f>
        <v/>
      </c>
      <c r="Q333">
        <f>IF(G333="",0,G333/P333)</f>
        <v/>
      </c>
      <c r="R333">
        <f>IF(H333="",0,H333/P333)</f>
        <v/>
      </c>
    </row>
    <row r="334">
      <c r="A334" s="43" t="n"/>
      <c r="B334" s="28" t="n"/>
      <c r="C334" s="28" t="n"/>
      <c r="D334" s="28" t="n"/>
      <c r="E334" s="44" t="n"/>
      <c r="F334" s="44" t="n"/>
      <c r="G334" s="23" t="n"/>
      <c r="H334" s="23" t="n"/>
      <c r="I334" s="23" t="n"/>
      <c r="J334" s="23" t="n"/>
      <c r="K334" s="45">
        <f>IF(A334="","",SUM(G$2:I334)-SUM(J$2:J334))</f>
        <v/>
      </c>
      <c r="L334" s="46" t="n"/>
      <c r="M334">
        <f>IF(A334="","",IF(A334=A333,M333,N(M333)+1))</f>
        <v/>
      </c>
      <c r="N334">
        <f>IF(E334="",99999,E334)</f>
        <v/>
      </c>
      <c r="O334">
        <f>IF(E334="",0,IF(F334="",E334,F334))</f>
        <v/>
      </c>
      <c r="P334">
        <f>IF(E334="",1,MAX(1,(YEAR(O334)-YEAR(N334))*12+MONTH(O334)-MONTH(N334)+1))</f>
        <v/>
      </c>
      <c r="Q334">
        <f>IF(G334="",0,G334/P334)</f>
        <v/>
      </c>
      <c r="R334">
        <f>IF(H334="",0,H334/P334)</f>
        <v/>
      </c>
    </row>
    <row r="335">
      <c r="A335" s="43" t="n"/>
      <c r="B335" s="28" t="n"/>
      <c r="C335" s="28" t="n"/>
      <c r="D335" s="28" t="n"/>
      <c r="E335" s="44" t="n"/>
      <c r="F335" s="44" t="n"/>
      <c r="G335" s="23" t="n"/>
      <c r="H335" s="23" t="n"/>
      <c r="I335" s="23" t="n"/>
      <c r="J335" s="23" t="n"/>
      <c r="K335" s="45">
        <f>IF(A335="","",SUM(G$2:I335)-SUM(J$2:J335))</f>
        <v/>
      </c>
      <c r="L335" s="46" t="n"/>
      <c r="M335">
        <f>IF(A335="","",IF(A335=A334,M334,N(M334)+1))</f>
        <v/>
      </c>
      <c r="N335">
        <f>IF(E335="",99999,E335)</f>
        <v/>
      </c>
      <c r="O335">
        <f>IF(E335="",0,IF(F335="",E335,F335))</f>
        <v/>
      </c>
      <c r="P335">
        <f>IF(E335="",1,MAX(1,(YEAR(O335)-YEAR(N335))*12+MONTH(O335)-MONTH(N335)+1))</f>
        <v/>
      </c>
      <c r="Q335">
        <f>IF(G335="",0,G335/P335)</f>
        <v/>
      </c>
      <c r="R335">
        <f>IF(H335="",0,H335/P335)</f>
        <v/>
      </c>
    </row>
    <row r="336">
      <c r="A336" s="43" t="n"/>
      <c r="B336" s="28" t="n"/>
      <c r="C336" s="28" t="n"/>
      <c r="D336" s="28" t="n"/>
      <c r="E336" s="44" t="n"/>
      <c r="F336" s="44" t="n"/>
      <c r="G336" s="23" t="n"/>
      <c r="H336" s="23" t="n"/>
      <c r="I336" s="23" t="n"/>
      <c r="J336" s="23" t="n"/>
      <c r="K336" s="45">
        <f>IF(A336="","",SUM(G$2:I336)-SUM(J$2:J336))</f>
        <v/>
      </c>
      <c r="L336" s="46" t="n"/>
      <c r="M336">
        <f>IF(A336="","",IF(A336=A335,M335,N(M335)+1))</f>
        <v/>
      </c>
      <c r="N336">
        <f>IF(E336="",99999,E336)</f>
        <v/>
      </c>
      <c r="O336">
        <f>IF(E336="",0,IF(F336="",E336,F336))</f>
        <v/>
      </c>
      <c r="P336">
        <f>IF(E336="",1,MAX(1,(YEAR(O336)-YEAR(N336))*12+MONTH(O336)-MONTH(N336)+1))</f>
        <v/>
      </c>
      <c r="Q336">
        <f>IF(G336="",0,G336/P336)</f>
        <v/>
      </c>
      <c r="R336">
        <f>IF(H336="",0,H336/P336)</f>
        <v/>
      </c>
    </row>
    <row r="337">
      <c r="A337" s="43" t="n"/>
      <c r="B337" s="28" t="n"/>
      <c r="C337" s="28" t="n"/>
      <c r="D337" s="28" t="n"/>
      <c r="E337" s="44" t="n"/>
      <c r="F337" s="44" t="n"/>
      <c r="G337" s="23" t="n"/>
      <c r="H337" s="23" t="n"/>
      <c r="I337" s="23" t="n"/>
      <c r="J337" s="23" t="n"/>
      <c r="K337" s="45">
        <f>IF(A337="","",SUM(G$2:I337)-SUM(J$2:J337))</f>
        <v/>
      </c>
      <c r="L337" s="46" t="n"/>
      <c r="M337">
        <f>IF(A337="","",IF(A337=A336,M336,N(M336)+1))</f>
        <v/>
      </c>
      <c r="N337">
        <f>IF(E337="",99999,E337)</f>
        <v/>
      </c>
      <c r="O337">
        <f>IF(E337="",0,IF(F337="",E337,F337))</f>
        <v/>
      </c>
      <c r="P337">
        <f>IF(E337="",1,MAX(1,(YEAR(O337)-YEAR(N337))*12+MONTH(O337)-MONTH(N337)+1))</f>
        <v/>
      </c>
      <c r="Q337">
        <f>IF(G337="",0,G337/P337)</f>
        <v/>
      </c>
      <c r="R337">
        <f>IF(H337="",0,H337/P337)</f>
        <v/>
      </c>
    </row>
    <row r="338">
      <c r="A338" s="43" t="n"/>
      <c r="B338" s="28" t="n"/>
      <c r="C338" s="28" t="n"/>
      <c r="D338" s="28" t="n"/>
      <c r="E338" s="44" t="n"/>
      <c r="F338" s="44" t="n"/>
      <c r="G338" s="23" t="n"/>
      <c r="H338" s="23" t="n"/>
      <c r="I338" s="23" t="n"/>
      <c r="J338" s="23" t="n"/>
      <c r="K338" s="45">
        <f>IF(A338="","",SUM(G$2:I338)-SUM(J$2:J338))</f>
        <v/>
      </c>
      <c r="L338" s="46" t="n"/>
      <c r="M338">
        <f>IF(A338="","",IF(A338=A337,M337,N(M337)+1))</f>
        <v/>
      </c>
      <c r="N338">
        <f>IF(E338="",99999,E338)</f>
        <v/>
      </c>
      <c r="O338">
        <f>IF(E338="",0,IF(F338="",E338,F338))</f>
        <v/>
      </c>
      <c r="P338">
        <f>IF(E338="",1,MAX(1,(YEAR(O338)-YEAR(N338))*12+MONTH(O338)-MONTH(N338)+1))</f>
        <v/>
      </c>
      <c r="Q338">
        <f>IF(G338="",0,G338/P338)</f>
        <v/>
      </c>
      <c r="R338">
        <f>IF(H338="",0,H338/P338)</f>
        <v/>
      </c>
    </row>
    <row r="339">
      <c r="A339" s="43" t="n"/>
      <c r="B339" s="28" t="n"/>
      <c r="C339" s="28" t="n"/>
      <c r="D339" s="28" t="n"/>
      <c r="E339" s="44" t="n"/>
      <c r="F339" s="44" t="n"/>
      <c r="G339" s="23" t="n"/>
      <c r="H339" s="23" t="n"/>
      <c r="I339" s="23" t="n"/>
      <c r="J339" s="23" t="n"/>
      <c r="K339" s="45">
        <f>IF(A339="","",SUM(G$2:I339)-SUM(J$2:J339))</f>
        <v/>
      </c>
      <c r="L339" s="46" t="n"/>
      <c r="M339">
        <f>IF(A339="","",IF(A339=A338,M338,N(M338)+1))</f>
        <v/>
      </c>
      <c r="N339">
        <f>IF(E339="",99999,E339)</f>
        <v/>
      </c>
      <c r="O339">
        <f>IF(E339="",0,IF(F339="",E339,F339))</f>
        <v/>
      </c>
      <c r="P339">
        <f>IF(E339="",1,MAX(1,(YEAR(O339)-YEAR(N339))*12+MONTH(O339)-MONTH(N339)+1))</f>
        <v/>
      </c>
      <c r="Q339">
        <f>IF(G339="",0,G339/P339)</f>
        <v/>
      </c>
      <c r="R339">
        <f>IF(H339="",0,H339/P339)</f>
        <v/>
      </c>
    </row>
    <row r="340">
      <c r="A340" s="43" t="n"/>
      <c r="B340" s="28" t="n"/>
      <c r="C340" s="28" t="n"/>
      <c r="D340" s="28" t="n"/>
      <c r="E340" s="44" t="n"/>
      <c r="F340" s="44" t="n"/>
      <c r="G340" s="23" t="n"/>
      <c r="H340" s="23" t="n"/>
      <c r="I340" s="23" t="n"/>
      <c r="J340" s="23" t="n"/>
      <c r="K340" s="45">
        <f>IF(A340="","",SUM(G$2:I340)-SUM(J$2:J340))</f>
        <v/>
      </c>
      <c r="L340" s="46" t="n"/>
      <c r="M340">
        <f>IF(A340="","",IF(A340=A339,M339,N(M339)+1))</f>
        <v/>
      </c>
      <c r="N340">
        <f>IF(E340="",99999,E340)</f>
        <v/>
      </c>
      <c r="O340">
        <f>IF(E340="",0,IF(F340="",E340,F340))</f>
        <v/>
      </c>
      <c r="P340">
        <f>IF(E340="",1,MAX(1,(YEAR(O340)-YEAR(N340))*12+MONTH(O340)-MONTH(N340)+1))</f>
        <v/>
      </c>
      <c r="Q340">
        <f>IF(G340="",0,G340/P340)</f>
        <v/>
      </c>
      <c r="R340">
        <f>IF(H340="",0,H340/P340)</f>
        <v/>
      </c>
    </row>
    <row r="341">
      <c r="A341" s="43" t="n"/>
      <c r="B341" s="28" t="n"/>
      <c r="C341" s="28" t="n"/>
      <c r="D341" s="28" t="n"/>
      <c r="E341" s="44" t="n"/>
      <c r="F341" s="44" t="n"/>
      <c r="G341" s="23" t="n"/>
      <c r="H341" s="23" t="n"/>
      <c r="I341" s="23" t="n"/>
      <c r="J341" s="23" t="n"/>
      <c r="K341" s="45">
        <f>IF(A341="","",SUM(G$2:I341)-SUM(J$2:J341))</f>
        <v/>
      </c>
      <c r="L341" s="46" t="n"/>
      <c r="M341">
        <f>IF(A341="","",IF(A341=A340,M340,N(M340)+1))</f>
        <v/>
      </c>
      <c r="N341">
        <f>IF(E341="",99999,E341)</f>
        <v/>
      </c>
      <c r="O341">
        <f>IF(E341="",0,IF(F341="",E341,F341))</f>
        <v/>
      </c>
      <c r="P341">
        <f>IF(E341="",1,MAX(1,(YEAR(O341)-YEAR(N341))*12+MONTH(O341)-MONTH(N341)+1))</f>
        <v/>
      </c>
      <c r="Q341">
        <f>IF(G341="",0,G341/P341)</f>
        <v/>
      </c>
      <c r="R341">
        <f>IF(H341="",0,H341/P341)</f>
        <v/>
      </c>
    </row>
    <row r="342">
      <c r="A342" s="43" t="n"/>
      <c r="B342" s="28" t="n"/>
      <c r="C342" s="28" t="n"/>
      <c r="D342" s="28" t="n"/>
      <c r="E342" s="44" t="n"/>
      <c r="F342" s="44" t="n"/>
      <c r="G342" s="23" t="n"/>
      <c r="H342" s="23" t="n"/>
      <c r="I342" s="23" t="n"/>
      <c r="J342" s="23" t="n"/>
      <c r="K342" s="45">
        <f>IF(A342="","",SUM(G$2:I342)-SUM(J$2:J342))</f>
        <v/>
      </c>
      <c r="L342" s="46" t="n"/>
      <c r="M342">
        <f>IF(A342="","",IF(A342=A341,M341,N(M341)+1))</f>
        <v/>
      </c>
      <c r="N342">
        <f>IF(E342="",99999,E342)</f>
        <v/>
      </c>
      <c r="O342">
        <f>IF(E342="",0,IF(F342="",E342,F342))</f>
        <v/>
      </c>
      <c r="P342">
        <f>IF(E342="",1,MAX(1,(YEAR(O342)-YEAR(N342))*12+MONTH(O342)-MONTH(N342)+1))</f>
        <v/>
      </c>
      <c r="Q342">
        <f>IF(G342="",0,G342/P342)</f>
        <v/>
      </c>
      <c r="R342">
        <f>IF(H342="",0,H342/P342)</f>
        <v/>
      </c>
    </row>
    <row r="343">
      <c r="A343" s="43" t="n"/>
      <c r="B343" s="28" t="n"/>
      <c r="C343" s="28" t="n"/>
      <c r="D343" s="28" t="n"/>
      <c r="E343" s="44" t="n"/>
      <c r="F343" s="44" t="n"/>
      <c r="G343" s="23" t="n"/>
      <c r="H343" s="23" t="n"/>
      <c r="I343" s="23" t="n"/>
      <c r="J343" s="23" t="n"/>
      <c r="K343" s="45">
        <f>IF(A343="","",SUM(G$2:I343)-SUM(J$2:J343))</f>
        <v/>
      </c>
      <c r="L343" s="46" t="n"/>
      <c r="M343">
        <f>IF(A343="","",IF(A343=A342,M342,N(M342)+1))</f>
        <v/>
      </c>
      <c r="N343">
        <f>IF(E343="",99999,E343)</f>
        <v/>
      </c>
      <c r="O343">
        <f>IF(E343="",0,IF(F343="",E343,F343))</f>
        <v/>
      </c>
      <c r="P343">
        <f>IF(E343="",1,MAX(1,(YEAR(O343)-YEAR(N343))*12+MONTH(O343)-MONTH(N343)+1))</f>
        <v/>
      </c>
      <c r="Q343">
        <f>IF(G343="",0,G343/P343)</f>
        <v/>
      </c>
      <c r="R343">
        <f>IF(H343="",0,H343/P343)</f>
        <v/>
      </c>
    </row>
    <row r="344">
      <c r="A344" s="43" t="n"/>
      <c r="B344" s="28" t="n"/>
      <c r="C344" s="28" t="n"/>
      <c r="D344" s="28" t="n"/>
      <c r="E344" s="44" t="n"/>
      <c r="F344" s="44" t="n"/>
      <c r="G344" s="23" t="n"/>
      <c r="H344" s="23" t="n"/>
      <c r="I344" s="23" t="n"/>
      <c r="J344" s="23" t="n"/>
      <c r="K344" s="45">
        <f>IF(A344="","",SUM(G$2:I344)-SUM(J$2:J344))</f>
        <v/>
      </c>
      <c r="L344" s="46" t="n"/>
      <c r="M344">
        <f>IF(A344="","",IF(A344=A343,M343,N(M343)+1))</f>
        <v/>
      </c>
      <c r="N344">
        <f>IF(E344="",99999,E344)</f>
        <v/>
      </c>
      <c r="O344">
        <f>IF(E344="",0,IF(F344="",E344,F344))</f>
        <v/>
      </c>
      <c r="P344">
        <f>IF(E344="",1,MAX(1,(YEAR(O344)-YEAR(N344))*12+MONTH(O344)-MONTH(N344)+1))</f>
        <v/>
      </c>
      <c r="Q344">
        <f>IF(G344="",0,G344/P344)</f>
        <v/>
      </c>
      <c r="R344">
        <f>IF(H344="",0,H344/P344)</f>
        <v/>
      </c>
    </row>
    <row r="345">
      <c r="A345" s="43" t="n"/>
      <c r="B345" s="28" t="n"/>
      <c r="C345" s="28" t="n"/>
      <c r="D345" s="28" t="n"/>
      <c r="E345" s="44" t="n"/>
      <c r="F345" s="44" t="n"/>
      <c r="G345" s="23" t="n"/>
      <c r="H345" s="23" t="n"/>
      <c r="I345" s="23" t="n"/>
      <c r="J345" s="23" t="n"/>
      <c r="K345" s="45">
        <f>IF(A345="","",SUM(G$2:I345)-SUM(J$2:J345))</f>
        <v/>
      </c>
      <c r="L345" s="46" t="n"/>
      <c r="M345">
        <f>IF(A345="","",IF(A345=A344,M344,N(M344)+1))</f>
        <v/>
      </c>
      <c r="N345">
        <f>IF(E345="",99999,E345)</f>
        <v/>
      </c>
      <c r="O345">
        <f>IF(E345="",0,IF(F345="",E345,F345))</f>
        <v/>
      </c>
      <c r="P345">
        <f>IF(E345="",1,MAX(1,(YEAR(O345)-YEAR(N345))*12+MONTH(O345)-MONTH(N345)+1))</f>
        <v/>
      </c>
      <c r="Q345">
        <f>IF(G345="",0,G345/P345)</f>
        <v/>
      </c>
      <c r="R345">
        <f>IF(H345="",0,H345/P345)</f>
        <v/>
      </c>
    </row>
    <row r="346">
      <c r="A346" s="43" t="n"/>
      <c r="B346" s="28" t="n"/>
      <c r="C346" s="28" t="n"/>
      <c r="D346" s="28" t="n"/>
      <c r="E346" s="44" t="n"/>
      <c r="F346" s="44" t="n"/>
      <c r="G346" s="23" t="n"/>
      <c r="H346" s="23" t="n"/>
      <c r="I346" s="23" t="n"/>
      <c r="J346" s="23" t="n"/>
      <c r="K346" s="45">
        <f>IF(A346="","",SUM(G$2:I346)-SUM(J$2:J346))</f>
        <v/>
      </c>
      <c r="L346" s="46" t="n"/>
      <c r="M346">
        <f>IF(A346="","",IF(A346=A345,M345,N(M345)+1))</f>
        <v/>
      </c>
      <c r="N346">
        <f>IF(E346="",99999,E346)</f>
        <v/>
      </c>
      <c r="O346">
        <f>IF(E346="",0,IF(F346="",E346,F346))</f>
        <v/>
      </c>
      <c r="P346">
        <f>IF(E346="",1,MAX(1,(YEAR(O346)-YEAR(N346))*12+MONTH(O346)-MONTH(N346)+1))</f>
        <v/>
      </c>
      <c r="Q346">
        <f>IF(G346="",0,G346/P346)</f>
        <v/>
      </c>
      <c r="R346">
        <f>IF(H346="",0,H346/P346)</f>
        <v/>
      </c>
    </row>
    <row r="347">
      <c r="A347" s="43" t="n"/>
      <c r="B347" s="28" t="n"/>
      <c r="C347" s="28" t="n"/>
      <c r="D347" s="28" t="n"/>
      <c r="E347" s="44" t="n"/>
      <c r="F347" s="44" t="n"/>
      <c r="G347" s="23" t="n"/>
      <c r="H347" s="23" t="n"/>
      <c r="I347" s="23" t="n"/>
      <c r="J347" s="23" t="n"/>
      <c r="K347" s="45">
        <f>IF(A347="","",SUM(G$2:I347)-SUM(J$2:J347))</f>
        <v/>
      </c>
      <c r="L347" s="46" t="n"/>
      <c r="M347">
        <f>IF(A347="","",IF(A347=A346,M346,N(M346)+1))</f>
        <v/>
      </c>
      <c r="N347">
        <f>IF(E347="",99999,E347)</f>
        <v/>
      </c>
      <c r="O347">
        <f>IF(E347="",0,IF(F347="",E347,F347))</f>
        <v/>
      </c>
      <c r="P347">
        <f>IF(E347="",1,MAX(1,(YEAR(O347)-YEAR(N347))*12+MONTH(O347)-MONTH(N347)+1))</f>
        <v/>
      </c>
      <c r="Q347">
        <f>IF(G347="",0,G347/P347)</f>
        <v/>
      </c>
      <c r="R347">
        <f>IF(H347="",0,H347/P347)</f>
        <v/>
      </c>
    </row>
    <row r="348">
      <c r="A348" s="43" t="n"/>
      <c r="B348" s="28" t="n"/>
      <c r="C348" s="28" t="n"/>
      <c r="D348" s="28" t="n"/>
      <c r="E348" s="44" t="n"/>
      <c r="F348" s="44" t="n"/>
      <c r="G348" s="23" t="n"/>
      <c r="H348" s="23" t="n"/>
      <c r="I348" s="23" t="n"/>
      <c r="J348" s="23" t="n"/>
      <c r="K348" s="45">
        <f>IF(A348="","",SUM(G$2:I348)-SUM(J$2:J348))</f>
        <v/>
      </c>
      <c r="L348" s="46" t="n"/>
      <c r="M348">
        <f>IF(A348="","",IF(A348=A347,M347,N(M347)+1))</f>
        <v/>
      </c>
      <c r="N348">
        <f>IF(E348="",99999,E348)</f>
        <v/>
      </c>
      <c r="O348">
        <f>IF(E348="",0,IF(F348="",E348,F348))</f>
        <v/>
      </c>
      <c r="P348">
        <f>IF(E348="",1,MAX(1,(YEAR(O348)-YEAR(N348))*12+MONTH(O348)-MONTH(N348)+1))</f>
        <v/>
      </c>
      <c r="Q348">
        <f>IF(G348="",0,G348/P348)</f>
        <v/>
      </c>
      <c r="R348">
        <f>IF(H348="",0,H348/P348)</f>
        <v/>
      </c>
    </row>
    <row r="349">
      <c r="A349" s="43" t="n"/>
      <c r="B349" s="28" t="n"/>
      <c r="C349" s="28" t="n"/>
      <c r="D349" s="28" t="n"/>
      <c r="E349" s="44" t="n"/>
      <c r="F349" s="44" t="n"/>
      <c r="G349" s="23" t="n"/>
      <c r="H349" s="23" t="n"/>
      <c r="I349" s="23" t="n"/>
      <c r="J349" s="23" t="n"/>
      <c r="K349" s="45">
        <f>IF(A349="","",SUM(G$2:I349)-SUM(J$2:J349))</f>
        <v/>
      </c>
      <c r="L349" s="46" t="n"/>
      <c r="M349">
        <f>IF(A349="","",IF(A349=A348,M348,N(M348)+1))</f>
        <v/>
      </c>
      <c r="N349">
        <f>IF(E349="",99999,E349)</f>
        <v/>
      </c>
      <c r="O349">
        <f>IF(E349="",0,IF(F349="",E349,F349))</f>
        <v/>
      </c>
      <c r="P349">
        <f>IF(E349="",1,MAX(1,(YEAR(O349)-YEAR(N349))*12+MONTH(O349)-MONTH(N349)+1))</f>
        <v/>
      </c>
      <c r="Q349">
        <f>IF(G349="",0,G349/P349)</f>
        <v/>
      </c>
      <c r="R349">
        <f>IF(H349="",0,H349/P349)</f>
        <v/>
      </c>
    </row>
    <row r="350">
      <c r="A350" s="43" t="n"/>
      <c r="B350" s="28" t="n"/>
      <c r="C350" s="28" t="n"/>
      <c r="D350" s="28" t="n"/>
      <c r="E350" s="44" t="n"/>
      <c r="F350" s="44" t="n"/>
      <c r="G350" s="23" t="n"/>
      <c r="H350" s="23" t="n"/>
      <c r="I350" s="23" t="n"/>
      <c r="J350" s="23" t="n"/>
      <c r="K350" s="45">
        <f>IF(A350="","",SUM(G$2:I350)-SUM(J$2:J350))</f>
        <v/>
      </c>
      <c r="L350" s="46" t="n"/>
      <c r="M350">
        <f>IF(A350="","",IF(A350=A349,M349,N(M349)+1))</f>
        <v/>
      </c>
      <c r="N350">
        <f>IF(E350="",99999,E350)</f>
        <v/>
      </c>
      <c r="O350">
        <f>IF(E350="",0,IF(F350="",E350,F350))</f>
        <v/>
      </c>
      <c r="P350">
        <f>IF(E350="",1,MAX(1,(YEAR(O350)-YEAR(N350))*12+MONTH(O350)-MONTH(N350)+1))</f>
        <v/>
      </c>
      <c r="Q350">
        <f>IF(G350="",0,G350/P350)</f>
        <v/>
      </c>
      <c r="R350">
        <f>IF(H350="",0,H350/P350)</f>
        <v/>
      </c>
    </row>
    <row r="351">
      <c r="A351" s="43" t="n"/>
      <c r="B351" s="28" t="n"/>
      <c r="C351" s="28" t="n"/>
      <c r="D351" s="28" t="n"/>
      <c r="E351" s="44" t="n"/>
      <c r="F351" s="44" t="n"/>
      <c r="G351" s="23" t="n"/>
      <c r="H351" s="23" t="n"/>
      <c r="I351" s="23" t="n"/>
      <c r="J351" s="23" t="n"/>
      <c r="K351" s="45">
        <f>IF(A351="","",SUM(G$2:I351)-SUM(J$2:J351))</f>
        <v/>
      </c>
      <c r="L351" s="46" t="n"/>
      <c r="M351">
        <f>IF(A351="","",IF(A351=A350,M350,N(M350)+1))</f>
        <v/>
      </c>
      <c r="N351">
        <f>IF(E351="",99999,E351)</f>
        <v/>
      </c>
      <c r="O351">
        <f>IF(E351="",0,IF(F351="",E351,F351))</f>
        <v/>
      </c>
      <c r="P351">
        <f>IF(E351="",1,MAX(1,(YEAR(O351)-YEAR(N351))*12+MONTH(O351)-MONTH(N351)+1))</f>
        <v/>
      </c>
      <c r="Q351">
        <f>IF(G351="",0,G351/P351)</f>
        <v/>
      </c>
      <c r="R351">
        <f>IF(H351="",0,H351/P351)</f>
        <v/>
      </c>
    </row>
    <row r="352">
      <c r="A352" s="43" t="n"/>
      <c r="B352" s="28" t="n"/>
      <c r="C352" s="28" t="n"/>
      <c r="D352" s="28" t="n"/>
      <c r="E352" s="44" t="n"/>
      <c r="F352" s="44" t="n"/>
      <c r="G352" s="23" t="n"/>
      <c r="H352" s="23" t="n"/>
      <c r="I352" s="23" t="n"/>
      <c r="J352" s="23" t="n"/>
      <c r="K352" s="45">
        <f>IF(A352="","",SUM(G$2:I352)-SUM(J$2:J352))</f>
        <v/>
      </c>
      <c r="L352" s="46" t="n"/>
      <c r="M352">
        <f>IF(A352="","",IF(A352=A351,M351,N(M351)+1))</f>
        <v/>
      </c>
      <c r="N352">
        <f>IF(E352="",99999,E352)</f>
        <v/>
      </c>
      <c r="O352">
        <f>IF(E352="",0,IF(F352="",E352,F352))</f>
        <v/>
      </c>
      <c r="P352">
        <f>IF(E352="",1,MAX(1,(YEAR(O352)-YEAR(N352))*12+MONTH(O352)-MONTH(N352)+1))</f>
        <v/>
      </c>
      <c r="Q352">
        <f>IF(G352="",0,G352/P352)</f>
        <v/>
      </c>
      <c r="R352">
        <f>IF(H352="",0,H352/P352)</f>
        <v/>
      </c>
    </row>
    <row r="353">
      <c r="A353" s="43" t="n"/>
      <c r="B353" s="28" t="n"/>
      <c r="C353" s="28" t="n"/>
      <c r="D353" s="28" t="n"/>
      <c r="E353" s="44" t="n"/>
      <c r="F353" s="44" t="n"/>
      <c r="G353" s="23" t="n"/>
      <c r="H353" s="23" t="n"/>
      <c r="I353" s="23" t="n"/>
      <c r="J353" s="23" t="n"/>
      <c r="K353" s="45">
        <f>IF(A353="","",SUM(G$2:I353)-SUM(J$2:J353))</f>
        <v/>
      </c>
      <c r="L353" s="46" t="n"/>
      <c r="M353">
        <f>IF(A353="","",IF(A353=A352,M352,N(M352)+1))</f>
        <v/>
      </c>
      <c r="N353">
        <f>IF(E353="",99999,E353)</f>
        <v/>
      </c>
      <c r="O353">
        <f>IF(E353="",0,IF(F353="",E353,F353))</f>
        <v/>
      </c>
      <c r="P353">
        <f>IF(E353="",1,MAX(1,(YEAR(O353)-YEAR(N353))*12+MONTH(O353)-MONTH(N353)+1))</f>
        <v/>
      </c>
      <c r="Q353">
        <f>IF(G353="",0,G353/P353)</f>
        <v/>
      </c>
      <c r="R353">
        <f>IF(H353="",0,H353/P353)</f>
        <v/>
      </c>
    </row>
    <row r="354">
      <c r="A354" s="43" t="n"/>
      <c r="B354" s="28" t="n"/>
      <c r="C354" s="28" t="n"/>
      <c r="D354" s="28" t="n"/>
      <c r="E354" s="44" t="n"/>
      <c r="F354" s="44" t="n"/>
      <c r="G354" s="23" t="n"/>
      <c r="H354" s="23" t="n"/>
      <c r="I354" s="23" t="n"/>
      <c r="J354" s="23" t="n"/>
      <c r="K354" s="45">
        <f>IF(A354="","",SUM(G$2:I354)-SUM(J$2:J354))</f>
        <v/>
      </c>
      <c r="L354" s="46" t="n"/>
      <c r="M354">
        <f>IF(A354="","",IF(A354=A353,M353,N(M353)+1))</f>
        <v/>
      </c>
      <c r="N354">
        <f>IF(E354="",99999,E354)</f>
        <v/>
      </c>
      <c r="O354">
        <f>IF(E354="",0,IF(F354="",E354,F354))</f>
        <v/>
      </c>
      <c r="P354">
        <f>IF(E354="",1,MAX(1,(YEAR(O354)-YEAR(N354))*12+MONTH(O354)-MONTH(N354)+1))</f>
        <v/>
      </c>
      <c r="Q354">
        <f>IF(G354="",0,G354/P354)</f>
        <v/>
      </c>
      <c r="R354">
        <f>IF(H354="",0,H354/P354)</f>
        <v/>
      </c>
    </row>
    <row r="355">
      <c r="A355" s="43" t="n"/>
      <c r="B355" s="28" t="n"/>
      <c r="C355" s="28" t="n"/>
      <c r="D355" s="28" t="n"/>
      <c r="E355" s="44" t="n"/>
      <c r="F355" s="44" t="n"/>
      <c r="G355" s="23" t="n"/>
      <c r="H355" s="23" t="n"/>
      <c r="I355" s="23" t="n"/>
      <c r="J355" s="23" t="n"/>
      <c r="K355" s="45">
        <f>IF(A355="","",SUM(G$2:I355)-SUM(J$2:J355))</f>
        <v/>
      </c>
      <c r="L355" s="46" t="n"/>
      <c r="M355">
        <f>IF(A355="","",IF(A355=A354,M354,N(M354)+1))</f>
        <v/>
      </c>
      <c r="N355">
        <f>IF(E355="",99999,E355)</f>
        <v/>
      </c>
      <c r="O355">
        <f>IF(E355="",0,IF(F355="",E355,F355))</f>
        <v/>
      </c>
      <c r="P355">
        <f>IF(E355="",1,MAX(1,(YEAR(O355)-YEAR(N355))*12+MONTH(O355)-MONTH(N355)+1))</f>
        <v/>
      </c>
      <c r="Q355">
        <f>IF(G355="",0,G355/P355)</f>
        <v/>
      </c>
      <c r="R355">
        <f>IF(H355="",0,H355/P355)</f>
        <v/>
      </c>
    </row>
    <row r="356">
      <c r="A356" s="43" t="n"/>
      <c r="B356" s="28" t="n"/>
      <c r="C356" s="28" t="n"/>
      <c r="D356" s="28" t="n"/>
      <c r="E356" s="44" t="n"/>
      <c r="F356" s="44" t="n"/>
      <c r="G356" s="23" t="n"/>
      <c r="H356" s="23" t="n"/>
      <c r="I356" s="23" t="n"/>
      <c r="J356" s="23" t="n"/>
      <c r="K356" s="45">
        <f>IF(A356="","",SUM(G$2:I356)-SUM(J$2:J356))</f>
        <v/>
      </c>
      <c r="L356" s="46" t="n"/>
      <c r="M356">
        <f>IF(A356="","",IF(A356=A355,M355,N(M355)+1))</f>
        <v/>
      </c>
      <c r="N356">
        <f>IF(E356="",99999,E356)</f>
        <v/>
      </c>
      <c r="O356">
        <f>IF(E356="",0,IF(F356="",E356,F356))</f>
        <v/>
      </c>
      <c r="P356">
        <f>IF(E356="",1,MAX(1,(YEAR(O356)-YEAR(N356))*12+MONTH(O356)-MONTH(N356)+1))</f>
        <v/>
      </c>
      <c r="Q356">
        <f>IF(G356="",0,G356/P356)</f>
        <v/>
      </c>
      <c r="R356">
        <f>IF(H356="",0,H356/P356)</f>
        <v/>
      </c>
    </row>
    <row r="357">
      <c r="A357" s="43" t="n"/>
      <c r="B357" s="28" t="n"/>
      <c r="C357" s="28" t="n"/>
      <c r="D357" s="28" t="n"/>
      <c r="E357" s="44" t="n"/>
      <c r="F357" s="44" t="n"/>
      <c r="G357" s="23" t="n"/>
      <c r="H357" s="23" t="n"/>
      <c r="I357" s="23" t="n"/>
      <c r="J357" s="23" t="n"/>
      <c r="K357" s="45">
        <f>IF(A357="","",SUM(G$2:I357)-SUM(J$2:J357))</f>
        <v/>
      </c>
      <c r="L357" s="46" t="n"/>
      <c r="M357">
        <f>IF(A357="","",IF(A357=A356,M356,N(M356)+1))</f>
        <v/>
      </c>
      <c r="N357">
        <f>IF(E357="",99999,E357)</f>
        <v/>
      </c>
      <c r="O357">
        <f>IF(E357="",0,IF(F357="",E357,F357))</f>
        <v/>
      </c>
      <c r="P357">
        <f>IF(E357="",1,MAX(1,(YEAR(O357)-YEAR(N357))*12+MONTH(O357)-MONTH(N357)+1))</f>
        <v/>
      </c>
      <c r="Q357">
        <f>IF(G357="",0,G357/P357)</f>
        <v/>
      </c>
      <c r="R357">
        <f>IF(H357="",0,H357/P357)</f>
        <v/>
      </c>
    </row>
    <row r="358">
      <c r="A358" s="43" t="n"/>
      <c r="B358" s="28" t="n"/>
      <c r="C358" s="28" t="n"/>
      <c r="D358" s="28" t="n"/>
      <c r="E358" s="44" t="n"/>
      <c r="F358" s="44" t="n"/>
      <c r="G358" s="23" t="n"/>
      <c r="H358" s="23" t="n"/>
      <c r="I358" s="23" t="n"/>
      <c r="J358" s="23" t="n"/>
      <c r="K358" s="45">
        <f>IF(A358="","",SUM(G$2:I358)-SUM(J$2:J358))</f>
        <v/>
      </c>
      <c r="L358" s="46" t="n"/>
      <c r="M358">
        <f>IF(A358="","",IF(A358=A357,M357,N(M357)+1))</f>
        <v/>
      </c>
      <c r="N358">
        <f>IF(E358="",99999,E358)</f>
        <v/>
      </c>
      <c r="O358">
        <f>IF(E358="",0,IF(F358="",E358,F358))</f>
        <v/>
      </c>
      <c r="P358">
        <f>IF(E358="",1,MAX(1,(YEAR(O358)-YEAR(N358))*12+MONTH(O358)-MONTH(N358)+1))</f>
        <v/>
      </c>
      <c r="Q358">
        <f>IF(G358="",0,G358/P358)</f>
        <v/>
      </c>
      <c r="R358">
        <f>IF(H358="",0,H358/P358)</f>
        <v/>
      </c>
    </row>
    <row r="359">
      <c r="A359" s="43" t="n"/>
      <c r="B359" s="28" t="n"/>
      <c r="C359" s="28" t="n"/>
      <c r="D359" s="28" t="n"/>
      <c r="E359" s="44" t="n"/>
      <c r="F359" s="44" t="n"/>
      <c r="G359" s="23" t="n"/>
      <c r="H359" s="23" t="n"/>
      <c r="I359" s="23" t="n"/>
      <c r="J359" s="23" t="n"/>
      <c r="K359" s="45">
        <f>IF(A359="","",SUM(G$2:I359)-SUM(J$2:J359))</f>
        <v/>
      </c>
      <c r="L359" s="46" t="n"/>
      <c r="M359">
        <f>IF(A359="","",IF(A359=A358,M358,N(M358)+1))</f>
        <v/>
      </c>
      <c r="N359">
        <f>IF(E359="",99999,E359)</f>
        <v/>
      </c>
      <c r="O359">
        <f>IF(E359="",0,IF(F359="",E359,F359))</f>
        <v/>
      </c>
      <c r="P359">
        <f>IF(E359="",1,MAX(1,(YEAR(O359)-YEAR(N359))*12+MONTH(O359)-MONTH(N359)+1))</f>
        <v/>
      </c>
      <c r="Q359">
        <f>IF(G359="",0,G359/P359)</f>
        <v/>
      </c>
      <c r="R359">
        <f>IF(H359="",0,H359/P359)</f>
        <v/>
      </c>
    </row>
    <row r="360">
      <c r="A360" s="43" t="n"/>
      <c r="B360" s="28" t="n"/>
      <c r="C360" s="28" t="n"/>
      <c r="D360" s="28" t="n"/>
      <c r="E360" s="44" t="n"/>
      <c r="F360" s="44" t="n"/>
      <c r="G360" s="23" t="n"/>
      <c r="H360" s="23" t="n"/>
      <c r="I360" s="23" t="n"/>
      <c r="J360" s="23" t="n"/>
      <c r="K360" s="45">
        <f>IF(A360="","",SUM(G$2:I360)-SUM(J$2:J360))</f>
        <v/>
      </c>
      <c r="L360" s="46" t="n"/>
      <c r="M360">
        <f>IF(A360="","",IF(A360=A359,M359,N(M359)+1))</f>
        <v/>
      </c>
      <c r="N360">
        <f>IF(E360="",99999,E360)</f>
        <v/>
      </c>
      <c r="O360">
        <f>IF(E360="",0,IF(F360="",E360,F360))</f>
        <v/>
      </c>
      <c r="P360">
        <f>IF(E360="",1,MAX(1,(YEAR(O360)-YEAR(N360))*12+MONTH(O360)-MONTH(N360)+1))</f>
        <v/>
      </c>
      <c r="Q360">
        <f>IF(G360="",0,G360/P360)</f>
        <v/>
      </c>
      <c r="R360">
        <f>IF(H360="",0,H360/P360)</f>
        <v/>
      </c>
    </row>
    <row r="361">
      <c r="A361" s="43" t="n"/>
      <c r="B361" s="28" t="n"/>
      <c r="C361" s="28" t="n"/>
      <c r="D361" s="28" t="n"/>
      <c r="E361" s="44" t="n"/>
      <c r="F361" s="44" t="n"/>
      <c r="G361" s="23" t="n"/>
      <c r="H361" s="23" t="n"/>
      <c r="I361" s="23" t="n"/>
      <c r="J361" s="23" t="n"/>
      <c r="K361" s="45">
        <f>IF(A361="","",SUM(G$2:I361)-SUM(J$2:J361))</f>
        <v/>
      </c>
      <c r="L361" s="46" t="n"/>
      <c r="M361">
        <f>IF(A361="","",IF(A361=A360,M360,N(M360)+1))</f>
        <v/>
      </c>
      <c r="N361">
        <f>IF(E361="",99999,E361)</f>
        <v/>
      </c>
      <c r="O361">
        <f>IF(E361="",0,IF(F361="",E361,F361))</f>
        <v/>
      </c>
      <c r="P361">
        <f>IF(E361="",1,MAX(1,(YEAR(O361)-YEAR(N361))*12+MONTH(O361)-MONTH(N361)+1))</f>
        <v/>
      </c>
      <c r="Q361">
        <f>IF(G361="",0,G361/P361)</f>
        <v/>
      </c>
      <c r="R361">
        <f>IF(H361="",0,H361/P361)</f>
        <v/>
      </c>
    </row>
    <row r="362">
      <c r="A362" s="43" t="n"/>
      <c r="B362" s="28" t="n"/>
      <c r="C362" s="28" t="n"/>
      <c r="D362" s="28" t="n"/>
      <c r="E362" s="44" t="n"/>
      <c r="F362" s="44" t="n"/>
      <c r="G362" s="23" t="n"/>
      <c r="H362" s="23" t="n"/>
      <c r="I362" s="23" t="n"/>
      <c r="J362" s="23" t="n"/>
      <c r="K362" s="45">
        <f>IF(A362="","",SUM(G$2:I362)-SUM(J$2:J362))</f>
        <v/>
      </c>
      <c r="L362" s="46" t="n"/>
      <c r="M362">
        <f>IF(A362="","",IF(A362=A361,M361,N(M361)+1))</f>
        <v/>
      </c>
      <c r="N362">
        <f>IF(E362="",99999,E362)</f>
        <v/>
      </c>
      <c r="O362">
        <f>IF(E362="",0,IF(F362="",E362,F362))</f>
        <v/>
      </c>
      <c r="P362">
        <f>IF(E362="",1,MAX(1,(YEAR(O362)-YEAR(N362))*12+MONTH(O362)-MONTH(N362)+1))</f>
        <v/>
      </c>
      <c r="Q362">
        <f>IF(G362="",0,G362/P362)</f>
        <v/>
      </c>
      <c r="R362">
        <f>IF(H362="",0,H362/P362)</f>
        <v/>
      </c>
    </row>
    <row r="363">
      <c r="A363" s="43" t="n"/>
      <c r="B363" s="28" t="n"/>
      <c r="C363" s="28" t="n"/>
      <c r="D363" s="28" t="n"/>
      <c r="E363" s="44" t="n"/>
      <c r="F363" s="44" t="n"/>
      <c r="G363" s="23" t="n"/>
      <c r="H363" s="23" t="n"/>
      <c r="I363" s="23" t="n"/>
      <c r="J363" s="23" t="n"/>
      <c r="K363" s="45">
        <f>IF(A363="","",SUM(G$2:I363)-SUM(J$2:J363))</f>
        <v/>
      </c>
      <c r="L363" s="46" t="n"/>
      <c r="M363">
        <f>IF(A363="","",IF(A363=A362,M362,N(M362)+1))</f>
        <v/>
      </c>
      <c r="N363">
        <f>IF(E363="",99999,E363)</f>
        <v/>
      </c>
      <c r="O363">
        <f>IF(E363="",0,IF(F363="",E363,F363))</f>
        <v/>
      </c>
      <c r="P363">
        <f>IF(E363="",1,MAX(1,(YEAR(O363)-YEAR(N363))*12+MONTH(O363)-MONTH(N363)+1))</f>
        <v/>
      </c>
      <c r="Q363">
        <f>IF(G363="",0,G363/P363)</f>
        <v/>
      </c>
      <c r="R363">
        <f>IF(H363="",0,H363/P363)</f>
        <v/>
      </c>
    </row>
    <row r="364">
      <c r="A364" s="43" t="n"/>
      <c r="B364" s="28" t="n"/>
      <c r="C364" s="28" t="n"/>
      <c r="D364" s="28" t="n"/>
      <c r="E364" s="44" t="n"/>
      <c r="F364" s="44" t="n"/>
      <c r="G364" s="23" t="n"/>
      <c r="H364" s="23" t="n"/>
      <c r="I364" s="23" t="n"/>
      <c r="J364" s="23" t="n"/>
      <c r="K364" s="45">
        <f>IF(A364="","",SUM(G$2:I364)-SUM(J$2:J364))</f>
        <v/>
      </c>
      <c r="L364" s="46" t="n"/>
      <c r="M364">
        <f>IF(A364="","",IF(A364=A363,M363,N(M363)+1))</f>
        <v/>
      </c>
      <c r="N364">
        <f>IF(E364="",99999,E364)</f>
        <v/>
      </c>
      <c r="O364">
        <f>IF(E364="",0,IF(F364="",E364,F364))</f>
        <v/>
      </c>
      <c r="P364">
        <f>IF(E364="",1,MAX(1,(YEAR(O364)-YEAR(N364))*12+MONTH(O364)-MONTH(N364)+1))</f>
        <v/>
      </c>
      <c r="Q364">
        <f>IF(G364="",0,G364/P364)</f>
        <v/>
      </c>
      <c r="R364">
        <f>IF(H364="",0,H364/P364)</f>
        <v/>
      </c>
    </row>
    <row r="365">
      <c r="A365" s="43" t="n"/>
      <c r="B365" s="28" t="n"/>
      <c r="C365" s="28" t="n"/>
      <c r="D365" s="28" t="n"/>
      <c r="E365" s="44" t="n"/>
      <c r="F365" s="44" t="n"/>
      <c r="G365" s="23" t="n"/>
      <c r="H365" s="23" t="n"/>
      <c r="I365" s="23" t="n"/>
      <c r="J365" s="23" t="n"/>
      <c r="K365" s="45">
        <f>IF(A365="","",SUM(G$2:I365)-SUM(J$2:J365))</f>
        <v/>
      </c>
      <c r="L365" s="46" t="n"/>
      <c r="M365">
        <f>IF(A365="","",IF(A365=A364,M364,N(M364)+1))</f>
        <v/>
      </c>
      <c r="N365">
        <f>IF(E365="",99999,E365)</f>
        <v/>
      </c>
      <c r="O365">
        <f>IF(E365="",0,IF(F365="",E365,F365))</f>
        <v/>
      </c>
      <c r="P365">
        <f>IF(E365="",1,MAX(1,(YEAR(O365)-YEAR(N365))*12+MONTH(O365)-MONTH(N365)+1))</f>
        <v/>
      </c>
      <c r="Q365">
        <f>IF(G365="",0,G365/P365)</f>
        <v/>
      </c>
      <c r="R365">
        <f>IF(H365="",0,H365/P365)</f>
        <v/>
      </c>
    </row>
    <row r="366">
      <c r="A366" s="43" t="n"/>
      <c r="B366" s="28" t="n"/>
      <c r="C366" s="28" t="n"/>
      <c r="D366" s="28" t="n"/>
      <c r="E366" s="44" t="n"/>
      <c r="F366" s="44" t="n"/>
      <c r="G366" s="23" t="n"/>
      <c r="H366" s="23" t="n"/>
      <c r="I366" s="23" t="n"/>
      <c r="J366" s="23" t="n"/>
      <c r="K366" s="45">
        <f>IF(A366="","",SUM(G$2:I366)-SUM(J$2:J366))</f>
        <v/>
      </c>
      <c r="L366" s="46" t="n"/>
      <c r="M366">
        <f>IF(A366="","",IF(A366=A365,M365,N(M365)+1))</f>
        <v/>
      </c>
      <c r="N366">
        <f>IF(E366="",99999,E366)</f>
        <v/>
      </c>
      <c r="O366">
        <f>IF(E366="",0,IF(F366="",E366,F366))</f>
        <v/>
      </c>
      <c r="P366">
        <f>IF(E366="",1,MAX(1,(YEAR(O366)-YEAR(N366))*12+MONTH(O366)-MONTH(N366)+1))</f>
        <v/>
      </c>
      <c r="Q366">
        <f>IF(G366="",0,G366/P366)</f>
        <v/>
      </c>
      <c r="R366">
        <f>IF(H366="",0,H366/P366)</f>
        <v/>
      </c>
    </row>
    <row r="367">
      <c r="A367" s="43" t="n"/>
      <c r="B367" s="28" t="n"/>
      <c r="C367" s="28" t="n"/>
      <c r="D367" s="28" t="n"/>
      <c r="E367" s="44" t="n"/>
      <c r="F367" s="44" t="n"/>
      <c r="G367" s="23" t="n"/>
      <c r="H367" s="23" t="n"/>
      <c r="I367" s="23" t="n"/>
      <c r="J367" s="23" t="n"/>
      <c r="K367" s="45">
        <f>IF(A367="","",SUM(G$2:I367)-SUM(J$2:J367))</f>
        <v/>
      </c>
      <c r="L367" s="46" t="n"/>
      <c r="M367">
        <f>IF(A367="","",IF(A367=A366,M366,N(M366)+1))</f>
        <v/>
      </c>
      <c r="N367">
        <f>IF(E367="",99999,E367)</f>
        <v/>
      </c>
      <c r="O367">
        <f>IF(E367="",0,IF(F367="",E367,F367))</f>
        <v/>
      </c>
      <c r="P367">
        <f>IF(E367="",1,MAX(1,(YEAR(O367)-YEAR(N367))*12+MONTH(O367)-MONTH(N367)+1))</f>
        <v/>
      </c>
      <c r="Q367">
        <f>IF(G367="",0,G367/P367)</f>
        <v/>
      </c>
      <c r="R367">
        <f>IF(H367="",0,H367/P367)</f>
        <v/>
      </c>
    </row>
    <row r="368">
      <c r="A368" s="43" t="n"/>
      <c r="B368" s="28" t="n"/>
      <c r="C368" s="28" t="n"/>
      <c r="D368" s="28" t="n"/>
      <c r="E368" s="44" t="n"/>
      <c r="F368" s="44" t="n"/>
      <c r="G368" s="23" t="n"/>
      <c r="H368" s="23" t="n"/>
      <c r="I368" s="23" t="n"/>
      <c r="J368" s="23" t="n"/>
      <c r="K368" s="45">
        <f>IF(A368="","",SUM(G$2:I368)-SUM(J$2:J368))</f>
        <v/>
      </c>
      <c r="L368" s="46" t="n"/>
      <c r="M368">
        <f>IF(A368="","",IF(A368=A367,M367,N(M367)+1))</f>
        <v/>
      </c>
      <c r="N368">
        <f>IF(E368="",99999,E368)</f>
        <v/>
      </c>
      <c r="O368">
        <f>IF(E368="",0,IF(F368="",E368,F368))</f>
        <v/>
      </c>
      <c r="P368">
        <f>IF(E368="",1,MAX(1,(YEAR(O368)-YEAR(N368))*12+MONTH(O368)-MONTH(N368)+1))</f>
        <v/>
      </c>
      <c r="Q368">
        <f>IF(G368="",0,G368/P368)</f>
        <v/>
      </c>
      <c r="R368">
        <f>IF(H368="",0,H368/P368)</f>
        <v/>
      </c>
    </row>
    <row r="369">
      <c r="A369" s="43" t="n"/>
      <c r="B369" s="28" t="n"/>
      <c r="C369" s="28" t="n"/>
      <c r="D369" s="28" t="n"/>
      <c r="E369" s="44" t="n"/>
      <c r="F369" s="44" t="n"/>
      <c r="G369" s="23" t="n"/>
      <c r="H369" s="23" t="n"/>
      <c r="I369" s="23" t="n"/>
      <c r="J369" s="23" t="n"/>
      <c r="K369" s="45">
        <f>IF(A369="","",SUM(G$2:I369)-SUM(J$2:J369))</f>
        <v/>
      </c>
      <c r="L369" s="46" t="n"/>
      <c r="M369">
        <f>IF(A369="","",IF(A369=A368,M368,N(M368)+1))</f>
        <v/>
      </c>
      <c r="N369">
        <f>IF(E369="",99999,E369)</f>
        <v/>
      </c>
      <c r="O369">
        <f>IF(E369="",0,IF(F369="",E369,F369))</f>
        <v/>
      </c>
      <c r="P369">
        <f>IF(E369="",1,MAX(1,(YEAR(O369)-YEAR(N369))*12+MONTH(O369)-MONTH(N369)+1))</f>
        <v/>
      </c>
      <c r="Q369">
        <f>IF(G369="",0,G369/P369)</f>
        <v/>
      </c>
      <c r="R369">
        <f>IF(H369="",0,H369/P369)</f>
        <v/>
      </c>
    </row>
    <row r="370">
      <c r="A370" s="43" t="n"/>
      <c r="B370" s="28" t="n"/>
      <c r="C370" s="28" t="n"/>
      <c r="D370" s="28" t="n"/>
      <c r="E370" s="44" t="n"/>
      <c r="F370" s="44" t="n"/>
      <c r="G370" s="23" t="n"/>
      <c r="H370" s="23" t="n"/>
      <c r="I370" s="23" t="n"/>
      <c r="J370" s="23" t="n"/>
      <c r="K370" s="45">
        <f>IF(A370="","",SUM(G$2:I370)-SUM(J$2:J370))</f>
        <v/>
      </c>
      <c r="L370" s="46" t="n"/>
      <c r="M370">
        <f>IF(A370="","",IF(A370=A369,M369,N(M369)+1))</f>
        <v/>
      </c>
      <c r="N370">
        <f>IF(E370="",99999,E370)</f>
        <v/>
      </c>
      <c r="O370">
        <f>IF(E370="",0,IF(F370="",E370,F370))</f>
        <v/>
      </c>
      <c r="P370">
        <f>IF(E370="",1,MAX(1,(YEAR(O370)-YEAR(N370))*12+MONTH(O370)-MONTH(N370)+1))</f>
        <v/>
      </c>
      <c r="Q370">
        <f>IF(G370="",0,G370/P370)</f>
        <v/>
      </c>
      <c r="R370">
        <f>IF(H370="",0,H370/P370)</f>
        <v/>
      </c>
    </row>
    <row r="371">
      <c r="A371" s="43" t="n"/>
      <c r="B371" s="28" t="n"/>
      <c r="C371" s="28" t="n"/>
      <c r="D371" s="28" t="n"/>
      <c r="E371" s="44" t="n"/>
      <c r="F371" s="44" t="n"/>
      <c r="G371" s="23" t="n"/>
      <c r="H371" s="23" t="n"/>
      <c r="I371" s="23" t="n"/>
      <c r="J371" s="23" t="n"/>
      <c r="K371" s="45">
        <f>IF(A371="","",SUM(G$2:I371)-SUM(J$2:J371))</f>
        <v/>
      </c>
      <c r="L371" s="46" t="n"/>
      <c r="M371">
        <f>IF(A371="","",IF(A371=A370,M370,N(M370)+1))</f>
        <v/>
      </c>
      <c r="N371">
        <f>IF(E371="",99999,E371)</f>
        <v/>
      </c>
      <c r="O371">
        <f>IF(E371="",0,IF(F371="",E371,F371))</f>
        <v/>
      </c>
      <c r="P371">
        <f>IF(E371="",1,MAX(1,(YEAR(O371)-YEAR(N371))*12+MONTH(O371)-MONTH(N371)+1))</f>
        <v/>
      </c>
      <c r="Q371">
        <f>IF(G371="",0,G371/P371)</f>
        <v/>
      </c>
      <c r="R371">
        <f>IF(H371="",0,H371/P371)</f>
        <v/>
      </c>
    </row>
    <row r="372">
      <c r="A372" s="43" t="n"/>
      <c r="B372" s="28" t="n"/>
      <c r="C372" s="28" t="n"/>
      <c r="D372" s="28" t="n"/>
      <c r="E372" s="44" t="n"/>
      <c r="F372" s="44" t="n"/>
      <c r="G372" s="23" t="n"/>
      <c r="H372" s="23" t="n"/>
      <c r="I372" s="23" t="n"/>
      <c r="J372" s="23" t="n"/>
      <c r="K372" s="45">
        <f>IF(A372="","",SUM(G$2:I372)-SUM(J$2:J372))</f>
        <v/>
      </c>
      <c r="L372" s="46" t="n"/>
      <c r="M372">
        <f>IF(A372="","",IF(A372=A371,M371,N(M371)+1))</f>
        <v/>
      </c>
      <c r="N372">
        <f>IF(E372="",99999,E372)</f>
        <v/>
      </c>
      <c r="O372">
        <f>IF(E372="",0,IF(F372="",E372,F372))</f>
        <v/>
      </c>
      <c r="P372">
        <f>IF(E372="",1,MAX(1,(YEAR(O372)-YEAR(N372))*12+MONTH(O372)-MONTH(N372)+1))</f>
        <v/>
      </c>
      <c r="Q372">
        <f>IF(G372="",0,G372/P372)</f>
        <v/>
      </c>
      <c r="R372">
        <f>IF(H372="",0,H372/P372)</f>
        <v/>
      </c>
    </row>
    <row r="373">
      <c r="A373" s="43" t="n"/>
      <c r="B373" s="28" t="n"/>
      <c r="C373" s="28" t="n"/>
      <c r="D373" s="28" t="n"/>
      <c r="E373" s="44" t="n"/>
      <c r="F373" s="44" t="n"/>
      <c r="G373" s="23" t="n"/>
      <c r="H373" s="23" t="n"/>
      <c r="I373" s="23" t="n"/>
      <c r="J373" s="23" t="n"/>
      <c r="K373" s="45">
        <f>IF(A373="","",SUM(G$2:I373)-SUM(J$2:J373))</f>
        <v/>
      </c>
      <c r="L373" s="46" t="n"/>
      <c r="M373">
        <f>IF(A373="","",IF(A373=A372,M372,N(M372)+1))</f>
        <v/>
      </c>
      <c r="N373">
        <f>IF(E373="",99999,E373)</f>
        <v/>
      </c>
      <c r="O373">
        <f>IF(E373="",0,IF(F373="",E373,F373))</f>
        <v/>
      </c>
      <c r="P373">
        <f>IF(E373="",1,MAX(1,(YEAR(O373)-YEAR(N373))*12+MONTH(O373)-MONTH(N373)+1))</f>
        <v/>
      </c>
      <c r="Q373">
        <f>IF(G373="",0,G373/P373)</f>
        <v/>
      </c>
      <c r="R373">
        <f>IF(H373="",0,H373/P373)</f>
        <v/>
      </c>
    </row>
    <row r="374">
      <c r="A374" s="43" t="n"/>
      <c r="B374" s="28" t="n"/>
      <c r="C374" s="28" t="n"/>
      <c r="D374" s="28" t="n"/>
      <c r="E374" s="44" t="n"/>
      <c r="F374" s="44" t="n"/>
      <c r="G374" s="23" t="n"/>
      <c r="H374" s="23" t="n"/>
      <c r="I374" s="23" t="n"/>
      <c r="J374" s="23" t="n"/>
      <c r="K374" s="45">
        <f>IF(A374="","",SUM(G$2:I374)-SUM(J$2:J374))</f>
        <v/>
      </c>
      <c r="L374" s="46" t="n"/>
      <c r="M374">
        <f>IF(A374="","",IF(A374=A373,M373,N(M373)+1))</f>
        <v/>
      </c>
      <c r="N374">
        <f>IF(E374="",99999,E374)</f>
        <v/>
      </c>
      <c r="O374">
        <f>IF(E374="",0,IF(F374="",E374,F374))</f>
        <v/>
      </c>
      <c r="P374">
        <f>IF(E374="",1,MAX(1,(YEAR(O374)-YEAR(N374))*12+MONTH(O374)-MONTH(N374)+1))</f>
        <v/>
      </c>
      <c r="Q374">
        <f>IF(G374="",0,G374/P374)</f>
        <v/>
      </c>
      <c r="R374">
        <f>IF(H374="",0,H374/P374)</f>
        <v/>
      </c>
    </row>
    <row r="375">
      <c r="A375" s="43" t="n"/>
      <c r="B375" s="28" t="n"/>
      <c r="C375" s="28" t="n"/>
      <c r="D375" s="28" t="n"/>
      <c r="E375" s="44" t="n"/>
      <c r="F375" s="44" t="n"/>
      <c r="G375" s="23" t="n"/>
      <c r="H375" s="23" t="n"/>
      <c r="I375" s="23" t="n"/>
      <c r="J375" s="23" t="n"/>
      <c r="K375" s="45">
        <f>IF(A375="","",SUM(G$2:I375)-SUM(J$2:J375))</f>
        <v/>
      </c>
      <c r="L375" s="46" t="n"/>
      <c r="M375">
        <f>IF(A375="","",IF(A375=A374,M374,N(M374)+1))</f>
        <v/>
      </c>
      <c r="N375">
        <f>IF(E375="",99999,E375)</f>
        <v/>
      </c>
      <c r="O375">
        <f>IF(E375="",0,IF(F375="",E375,F375))</f>
        <v/>
      </c>
      <c r="P375">
        <f>IF(E375="",1,MAX(1,(YEAR(O375)-YEAR(N375))*12+MONTH(O375)-MONTH(N375)+1))</f>
        <v/>
      </c>
      <c r="Q375">
        <f>IF(G375="",0,G375/P375)</f>
        <v/>
      </c>
      <c r="R375">
        <f>IF(H375="",0,H375/P375)</f>
        <v/>
      </c>
    </row>
    <row r="376">
      <c r="A376" s="43" t="n"/>
      <c r="B376" s="28" t="n"/>
      <c r="C376" s="28" t="n"/>
      <c r="D376" s="28" t="n"/>
      <c r="E376" s="44" t="n"/>
      <c r="F376" s="44" t="n"/>
      <c r="G376" s="23" t="n"/>
      <c r="H376" s="23" t="n"/>
      <c r="I376" s="23" t="n"/>
      <c r="J376" s="23" t="n"/>
      <c r="K376" s="45">
        <f>IF(A376="","",SUM(G$2:I376)-SUM(J$2:J376))</f>
        <v/>
      </c>
      <c r="L376" s="46" t="n"/>
      <c r="M376">
        <f>IF(A376="","",IF(A376=A375,M375,N(M375)+1))</f>
        <v/>
      </c>
      <c r="N376">
        <f>IF(E376="",99999,E376)</f>
        <v/>
      </c>
      <c r="O376">
        <f>IF(E376="",0,IF(F376="",E376,F376))</f>
        <v/>
      </c>
      <c r="P376">
        <f>IF(E376="",1,MAX(1,(YEAR(O376)-YEAR(N376))*12+MONTH(O376)-MONTH(N376)+1))</f>
        <v/>
      </c>
      <c r="Q376">
        <f>IF(G376="",0,G376/P376)</f>
        <v/>
      </c>
      <c r="R376">
        <f>IF(H376="",0,H376/P376)</f>
        <v/>
      </c>
    </row>
    <row r="377">
      <c r="A377" s="43" t="n"/>
      <c r="B377" s="28" t="n"/>
      <c r="C377" s="28" t="n"/>
      <c r="D377" s="28" t="n"/>
      <c r="E377" s="44" t="n"/>
      <c r="F377" s="44" t="n"/>
      <c r="G377" s="23" t="n"/>
      <c r="H377" s="23" t="n"/>
      <c r="I377" s="23" t="n"/>
      <c r="J377" s="23" t="n"/>
      <c r="K377" s="45">
        <f>IF(A377="","",SUM(G$2:I377)-SUM(J$2:J377))</f>
        <v/>
      </c>
      <c r="L377" s="46" t="n"/>
      <c r="M377">
        <f>IF(A377="","",IF(A377=A376,M376,N(M376)+1))</f>
        <v/>
      </c>
      <c r="N377">
        <f>IF(E377="",99999,E377)</f>
        <v/>
      </c>
      <c r="O377">
        <f>IF(E377="",0,IF(F377="",E377,F377))</f>
        <v/>
      </c>
      <c r="P377">
        <f>IF(E377="",1,MAX(1,(YEAR(O377)-YEAR(N377))*12+MONTH(O377)-MONTH(N377)+1))</f>
        <v/>
      </c>
      <c r="Q377">
        <f>IF(G377="",0,G377/P377)</f>
        <v/>
      </c>
      <c r="R377">
        <f>IF(H377="",0,H377/P377)</f>
        <v/>
      </c>
    </row>
    <row r="378">
      <c r="A378" s="43" t="n"/>
      <c r="B378" s="28" t="n"/>
      <c r="C378" s="28" t="n"/>
      <c r="D378" s="28" t="n"/>
      <c r="E378" s="44" t="n"/>
      <c r="F378" s="44" t="n"/>
      <c r="G378" s="23" t="n"/>
      <c r="H378" s="23" t="n"/>
      <c r="I378" s="23" t="n"/>
      <c r="J378" s="23" t="n"/>
      <c r="K378" s="45">
        <f>IF(A378="","",SUM(G$2:I378)-SUM(J$2:J378))</f>
        <v/>
      </c>
      <c r="L378" s="46" t="n"/>
      <c r="M378">
        <f>IF(A378="","",IF(A378=A377,M377,N(M377)+1))</f>
        <v/>
      </c>
      <c r="N378">
        <f>IF(E378="",99999,E378)</f>
        <v/>
      </c>
      <c r="O378">
        <f>IF(E378="",0,IF(F378="",E378,F378))</f>
        <v/>
      </c>
      <c r="P378">
        <f>IF(E378="",1,MAX(1,(YEAR(O378)-YEAR(N378))*12+MONTH(O378)-MONTH(N378)+1))</f>
        <v/>
      </c>
      <c r="Q378">
        <f>IF(G378="",0,G378/P378)</f>
        <v/>
      </c>
      <c r="R378">
        <f>IF(H378="",0,H378/P378)</f>
        <v/>
      </c>
    </row>
    <row r="379">
      <c r="A379" s="43" t="n"/>
      <c r="B379" s="28" t="n"/>
      <c r="C379" s="28" t="n"/>
      <c r="D379" s="28" t="n"/>
      <c r="E379" s="44" t="n"/>
      <c r="F379" s="44" t="n"/>
      <c r="G379" s="23" t="n"/>
      <c r="H379" s="23" t="n"/>
      <c r="I379" s="23" t="n"/>
      <c r="J379" s="23" t="n"/>
      <c r="K379" s="45">
        <f>IF(A379="","",SUM(G$2:I379)-SUM(J$2:J379))</f>
        <v/>
      </c>
      <c r="L379" s="46" t="n"/>
      <c r="M379">
        <f>IF(A379="","",IF(A379=A378,M378,N(M378)+1))</f>
        <v/>
      </c>
      <c r="N379">
        <f>IF(E379="",99999,E379)</f>
        <v/>
      </c>
      <c r="O379">
        <f>IF(E379="",0,IF(F379="",E379,F379))</f>
        <v/>
      </c>
      <c r="P379">
        <f>IF(E379="",1,MAX(1,(YEAR(O379)-YEAR(N379))*12+MONTH(O379)-MONTH(N379)+1))</f>
        <v/>
      </c>
      <c r="Q379">
        <f>IF(G379="",0,G379/P379)</f>
        <v/>
      </c>
      <c r="R379">
        <f>IF(H379="",0,H379/P379)</f>
        <v/>
      </c>
    </row>
    <row r="380">
      <c r="A380" s="43" t="n"/>
      <c r="B380" s="28" t="n"/>
      <c r="C380" s="28" t="n"/>
      <c r="D380" s="28" t="n"/>
      <c r="E380" s="44" t="n"/>
      <c r="F380" s="44" t="n"/>
      <c r="G380" s="23" t="n"/>
      <c r="H380" s="23" t="n"/>
      <c r="I380" s="23" t="n"/>
      <c r="J380" s="23" t="n"/>
      <c r="K380" s="45">
        <f>IF(A380="","",SUM(G$2:I380)-SUM(J$2:J380))</f>
        <v/>
      </c>
      <c r="L380" s="46" t="n"/>
      <c r="M380">
        <f>IF(A380="","",IF(A380=A379,M379,N(M379)+1))</f>
        <v/>
      </c>
      <c r="N380">
        <f>IF(E380="",99999,E380)</f>
        <v/>
      </c>
      <c r="O380">
        <f>IF(E380="",0,IF(F380="",E380,F380))</f>
        <v/>
      </c>
      <c r="P380">
        <f>IF(E380="",1,MAX(1,(YEAR(O380)-YEAR(N380))*12+MONTH(O380)-MONTH(N380)+1))</f>
        <v/>
      </c>
      <c r="Q380">
        <f>IF(G380="",0,G380/P380)</f>
        <v/>
      </c>
      <c r="R380">
        <f>IF(H380="",0,H380/P380)</f>
        <v/>
      </c>
    </row>
    <row r="381">
      <c r="A381" s="43" t="n"/>
      <c r="B381" s="28" t="n"/>
      <c r="C381" s="28" t="n"/>
      <c r="D381" s="28" t="n"/>
      <c r="E381" s="44" t="n"/>
      <c r="F381" s="44" t="n"/>
      <c r="G381" s="23" t="n"/>
      <c r="H381" s="23" t="n"/>
      <c r="I381" s="23" t="n"/>
      <c r="J381" s="23" t="n"/>
      <c r="K381" s="45">
        <f>IF(A381="","",SUM(G$2:I381)-SUM(J$2:J381))</f>
        <v/>
      </c>
      <c r="L381" s="46" t="n"/>
      <c r="M381">
        <f>IF(A381="","",IF(A381=A380,M380,N(M380)+1))</f>
        <v/>
      </c>
      <c r="N381">
        <f>IF(E381="",99999,E381)</f>
        <v/>
      </c>
      <c r="O381">
        <f>IF(E381="",0,IF(F381="",E381,F381))</f>
        <v/>
      </c>
      <c r="P381">
        <f>IF(E381="",1,MAX(1,(YEAR(O381)-YEAR(N381))*12+MONTH(O381)-MONTH(N381)+1))</f>
        <v/>
      </c>
      <c r="Q381">
        <f>IF(G381="",0,G381/P381)</f>
        <v/>
      </c>
      <c r="R381">
        <f>IF(H381="",0,H381/P381)</f>
        <v/>
      </c>
    </row>
    <row r="382">
      <c r="A382" s="43" t="n"/>
      <c r="B382" s="28" t="n"/>
      <c r="C382" s="28" t="n"/>
      <c r="D382" s="28" t="n"/>
      <c r="E382" s="44" t="n"/>
      <c r="F382" s="44" t="n"/>
      <c r="G382" s="23" t="n"/>
      <c r="H382" s="23" t="n"/>
      <c r="I382" s="23" t="n"/>
      <c r="J382" s="23" t="n"/>
      <c r="K382" s="45">
        <f>IF(A382="","",SUM(G$2:I382)-SUM(J$2:J382))</f>
        <v/>
      </c>
      <c r="L382" s="46" t="n"/>
      <c r="M382">
        <f>IF(A382="","",IF(A382=A381,M381,N(M381)+1))</f>
        <v/>
      </c>
      <c r="N382">
        <f>IF(E382="",99999,E382)</f>
        <v/>
      </c>
      <c r="O382">
        <f>IF(E382="",0,IF(F382="",E382,F382))</f>
        <v/>
      </c>
      <c r="P382">
        <f>IF(E382="",1,MAX(1,(YEAR(O382)-YEAR(N382))*12+MONTH(O382)-MONTH(N382)+1))</f>
        <v/>
      </c>
      <c r="Q382">
        <f>IF(G382="",0,G382/P382)</f>
        <v/>
      </c>
      <c r="R382">
        <f>IF(H382="",0,H382/P382)</f>
        <v/>
      </c>
    </row>
    <row r="383">
      <c r="A383" s="43" t="n"/>
      <c r="B383" s="28" t="n"/>
      <c r="C383" s="28" t="n"/>
      <c r="D383" s="28" t="n"/>
      <c r="E383" s="44" t="n"/>
      <c r="F383" s="44" t="n"/>
      <c r="G383" s="23" t="n"/>
      <c r="H383" s="23" t="n"/>
      <c r="I383" s="23" t="n"/>
      <c r="J383" s="23" t="n"/>
      <c r="K383" s="45">
        <f>IF(A383="","",SUM(G$2:I383)-SUM(J$2:J383))</f>
        <v/>
      </c>
      <c r="L383" s="46" t="n"/>
      <c r="M383">
        <f>IF(A383="","",IF(A383=A382,M382,N(M382)+1))</f>
        <v/>
      </c>
      <c r="N383">
        <f>IF(E383="",99999,E383)</f>
        <v/>
      </c>
      <c r="O383">
        <f>IF(E383="",0,IF(F383="",E383,F383))</f>
        <v/>
      </c>
      <c r="P383">
        <f>IF(E383="",1,MAX(1,(YEAR(O383)-YEAR(N383))*12+MONTH(O383)-MONTH(N383)+1))</f>
        <v/>
      </c>
      <c r="Q383">
        <f>IF(G383="",0,G383/P383)</f>
        <v/>
      </c>
      <c r="R383">
        <f>IF(H383="",0,H383/P383)</f>
        <v/>
      </c>
    </row>
    <row r="384">
      <c r="A384" s="43" t="n"/>
      <c r="B384" s="28" t="n"/>
      <c r="C384" s="28" t="n"/>
      <c r="D384" s="28" t="n"/>
      <c r="E384" s="44" t="n"/>
      <c r="F384" s="44" t="n"/>
      <c r="G384" s="23" t="n"/>
      <c r="H384" s="23" t="n"/>
      <c r="I384" s="23" t="n"/>
      <c r="J384" s="23" t="n"/>
      <c r="K384" s="45">
        <f>IF(A384="","",SUM(G$2:I384)-SUM(J$2:J384))</f>
        <v/>
      </c>
      <c r="L384" s="46" t="n"/>
      <c r="M384">
        <f>IF(A384="","",IF(A384=A383,M383,N(M383)+1))</f>
        <v/>
      </c>
      <c r="N384">
        <f>IF(E384="",99999,E384)</f>
        <v/>
      </c>
      <c r="O384">
        <f>IF(E384="",0,IF(F384="",E384,F384))</f>
        <v/>
      </c>
      <c r="P384">
        <f>IF(E384="",1,MAX(1,(YEAR(O384)-YEAR(N384))*12+MONTH(O384)-MONTH(N384)+1))</f>
        <v/>
      </c>
      <c r="Q384">
        <f>IF(G384="",0,G384/P384)</f>
        <v/>
      </c>
      <c r="R384">
        <f>IF(H384="",0,H384/P384)</f>
        <v/>
      </c>
    </row>
    <row r="385">
      <c r="A385" s="43" t="n"/>
      <c r="B385" s="28" t="n"/>
      <c r="C385" s="28" t="n"/>
      <c r="D385" s="28" t="n"/>
      <c r="E385" s="44" t="n"/>
      <c r="F385" s="44" t="n"/>
      <c r="G385" s="23" t="n"/>
      <c r="H385" s="23" t="n"/>
      <c r="I385" s="23" t="n"/>
      <c r="J385" s="23" t="n"/>
      <c r="K385" s="45">
        <f>IF(A385="","",SUM(G$2:I385)-SUM(J$2:J385))</f>
        <v/>
      </c>
      <c r="L385" s="46" t="n"/>
      <c r="M385">
        <f>IF(A385="","",IF(A385=A384,M384,N(M384)+1))</f>
        <v/>
      </c>
      <c r="N385">
        <f>IF(E385="",99999,E385)</f>
        <v/>
      </c>
      <c r="O385">
        <f>IF(E385="",0,IF(F385="",E385,F385))</f>
        <v/>
      </c>
      <c r="P385">
        <f>IF(E385="",1,MAX(1,(YEAR(O385)-YEAR(N385))*12+MONTH(O385)-MONTH(N385)+1))</f>
        <v/>
      </c>
      <c r="Q385">
        <f>IF(G385="",0,G385/P385)</f>
        <v/>
      </c>
      <c r="R385">
        <f>IF(H385="",0,H385/P385)</f>
        <v/>
      </c>
    </row>
    <row r="386">
      <c r="A386" s="43" t="n"/>
      <c r="B386" s="28" t="n"/>
      <c r="C386" s="28" t="n"/>
      <c r="D386" s="28" t="n"/>
      <c r="E386" s="44" t="n"/>
      <c r="F386" s="44" t="n"/>
      <c r="G386" s="23" t="n"/>
      <c r="H386" s="23" t="n"/>
      <c r="I386" s="23" t="n"/>
      <c r="J386" s="23" t="n"/>
      <c r="K386" s="45">
        <f>IF(A386="","",SUM(G$2:I386)-SUM(J$2:J386))</f>
        <v/>
      </c>
      <c r="L386" s="46" t="n"/>
      <c r="M386">
        <f>IF(A386="","",IF(A386=A385,M385,N(M385)+1))</f>
        <v/>
      </c>
      <c r="N386">
        <f>IF(E386="",99999,E386)</f>
        <v/>
      </c>
      <c r="O386">
        <f>IF(E386="",0,IF(F386="",E386,F386))</f>
        <v/>
      </c>
      <c r="P386">
        <f>IF(E386="",1,MAX(1,(YEAR(O386)-YEAR(N386))*12+MONTH(O386)-MONTH(N386)+1))</f>
        <v/>
      </c>
      <c r="Q386">
        <f>IF(G386="",0,G386/P386)</f>
        <v/>
      </c>
      <c r="R386">
        <f>IF(H386="",0,H386/P386)</f>
        <v/>
      </c>
    </row>
    <row r="387">
      <c r="A387" s="43" t="n"/>
      <c r="B387" s="28" t="n"/>
      <c r="C387" s="28" t="n"/>
      <c r="D387" s="28" t="n"/>
      <c r="E387" s="44" t="n"/>
      <c r="F387" s="44" t="n"/>
      <c r="G387" s="23" t="n"/>
      <c r="H387" s="23" t="n"/>
      <c r="I387" s="23" t="n"/>
      <c r="J387" s="23" t="n"/>
      <c r="K387" s="45">
        <f>IF(A387="","",SUM(G$2:I387)-SUM(J$2:J387))</f>
        <v/>
      </c>
      <c r="L387" s="46" t="n"/>
      <c r="M387">
        <f>IF(A387="","",IF(A387=A386,M386,N(M386)+1))</f>
        <v/>
      </c>
      <c r="N387">
        <f>IF(E387="",99999,E387)</f>
        <v/>
      </c>
      <c r="O387">
        <f>IF(E387="",0,IF(F387="",E387,F387))</f>
        <v/>
      </c>
      <c r="P387">
        <f>IF(E387="",1,MAX(1,(YEAR(O387)-YEAR(N387))*12+MONTH(O387)-MONTH(N387)+1))</f>
        <v/>
      </c>
      <c r="Q387">
        <f>IF(G387="",0,G387/P387)</f>
        <v/>
      </c>
      <c r="R387">
        <f>IF(H387="",0,H387/P387)</f>
        <v/>
      </c>
    </row>
    <row r="388">
      <c r="A388" s="43" t="n"/>
      <c r="B388" s="28" t="n"/>
      <c r="C388" s="28" t="n"/>
      <c r="D388" s="28" t="n"/>
      <c r="E388" s="44" t="n"/>
      <c r="F388" s="44" t="n"/>
      <c r="G388" s="23" t="n"/>
      <c r="H388" s="23" t="n"/>
      <c r="I388" s="23" t="n"/>
      <c r="J388" s="23" t="n"/>
      <c r="K388" s="45">
        <f>IF(A388="","",SUM(G$2:I388)-SUM(J$2:J388))</f>
        <v/>
      </c>
      <c r="L388" s="46" t="n"/>
      <c r="M388">
        <f>IF(A388="","",IF(A388=A387,M387,N(M387)+1))</f>
        <v/>
      </c>
      <c r="N388">
        <f>IF(E388="",99999,E388)</f>
        <v/>
      </c>
      <c r="O388">
        <f>IF(E388="",0,IF(F388="",E388,F388))</f>
        <v/>
      </c>
      <c r="P388">
        <f>IF(E388="",1,MAX(1,(YEAR(O388)-YEAR(N388))*12+MONTH(O388)-MONTH(N388)+1))</f>
        <v/>
      </c>
      <c r="Q388">
        <f>IF(G388="",0,G388/P388)</f>
        <v/>
      </c>
      <c r="R388">
        <f>IF(H388="",0,H388/P388)</f>
        <v/>
      </c>
    </row>
    <row r="389">
      <c r="A389" s="43" t="n"/>
      <c r="B389" s="28" t="n"/>
      <c r="C389" s="28" t="n"/>
      <c r="D389" s="28" t="n"/>
      <c r="E389" s="44" t="n"/>
      <c r="F389" s="44" t="n"/>
      <c r="G389" s="23" t="n"/>
      <c r="H389" s="23" t="n"/>
      <c r="I389" s="23" t="n"/>
      <c r="J389" s="23" t="n"/>
      <c r="K389" s="45">
        <f>IF(A389="","",SUM(G$2:I389)-SUM(J$2:J389))</f>
        <v/>
      </c>
      <c r="L389" s="46" t="n"/>
      <c r="M389">
        <f>IF(A389="","",IF(A389=A388,M388,N(M388)+1))</f>
        <v/>
      </c>
      <c r="N389">
        <f>IF(E389="",99999,E389)</f>
        <v/>
      </c>
      <c r="O389">
        <f>IF(E389="",0,IF(F389="",E389,F389))</f>
        <v/>
      </c>
      <c r="P389">
        <f>IF(E389="",1,MAX(1,(YEAR(O389)-YEAR(N389))*12+MONTH(O389)-MONTH(N389)+1))</f>
        <v/>
      </c>
      <c r="Q389">
        <f>IF(G389="",0,G389/P389)</f>
        <v/>
      </c>
      <c r="R389">
        <f>IF(H389="",0,H389/P389)</f>
        <v/>
      </c>
    </row>
    <row r="390">
      <c r="A390" s="43" t="n"/>
      <c r="B390" s="28" t="n"/>
      <c r="C390" s="28" t="n"/>
      <c r="D390" s="28" t="n"/>
      <c r="E390" s="44" t="n"/>
      <c r="F390" s="44" t="n"/>
      <c r="G390" s="23" t="n"/>
      <c r="H390" s="23" t="n"/>
      <c r="I390" s="23" t="n"/>
      <c r="J390" s="23" t="n"/>
      <c r="K390" s="45">
        <f>IF(A390="","",SUM(G$2:I390)-SUM(J$2:J390))</f>
        <v/>
      </c>
      <c r="L390" s="46" t="n"/>
      <c r="M390">
        <f>IF(A390="","",IF(A390=A389,M389,N(M389)+1))</f>
        <v/>
      </c>
      <c r="N390">
        <f>IF(E390="",99999,E390)</f>
        <v/>
      </c>
      <c r="O390">
        <f>IF(E390="",0,IF(F390="",E390,F390))</f>
        <v/>
      </c>
      <c r="P390">
        <f>IF(E390="",1,MAX(1,(YEAR(O390)-YEAR(N390))*12+MONTH(O390)-MONTH(N390)+1))</f>
        <v/>
      </c>
      <c r="Q390">
        <f>IF(G390="",0,G390/P390)</f>
        <v/>
      </c>
      <c r="R390">
        <f>IF(H390="",0,H390/P390)</f>
        <v/>
      </c>
    </row>
    <row r="391">
      <c r="A391" s="43" t="n"/>
      <c r="B391" s="28" t="n"/>
      <c r="C391" s="28" t="n"/>
      <c r="D391" s="28" t="n"/>
      <c r="E391" s="44" t="n"/>
      <c r="F391" s="44" t="n"/>
      <c r="G391" s="23" t="n"/>
      <c r="H391" s="23" t="n"/>
      <c r="I391" s="23" t="n"/>
      <c r="J391" s="23" t="n"/>
      <c r="K391" s="45">
        <f>IF(A391="","",SUM(G$2:I391)-SUM(J$2:J391))</f>
        <v/>
      </c>
      <c r="L391" s="46" t="n"/>
      <c r="M391">
        <f>IF(A391="","",IF(A391=A390,M390,N(M390)+1))</f>
        <v/>
      </c>
      <c r="N391">
        <f>IF(E391="",99999,E391)</f>
        <v/>
      </c>
      <c r="O391">
        <f>IF(E391="",0,IF(F391="",E391,F391))</f>
        <v/>
      </c>
      <c r="P391">
        <f>IF(E391="",1,MAX(1,(YEAR(O391)-YEAR(N391))*12+MONTH(O391)-MONTH(N391)+1))</f>
        <v/>
      </c>
      <c r="Q391">
        <f>IF(G391="",0,G391/P391)</f>
        <v/>
      </c>
      <c r="R391">
        <f>IF(H391="",0,H391/P391)</f>
        <v/>
      </c>
    </row>
    <row r="392">
      <c r="A392" s="43" t="n"/>
      <c r="B392" s="28" t="n"/>
      <c r="C392" s="28" t="n"/>
      <c r="D392" s="28" t="n"/>
      <c r="E392" s="44" t="n"/>
      <c r="F392" s="44" t="n"/>
      <c r="G392" s="23" t="n"/>
      <c r="H392" s="23" t="n"/>
      <c r="I392" s="23" t="n"/>
      <c r="J392" s="23" t="n"/>
      <c r="K392" s="45">
        <f>IF(A392="","",SUM(G$2:I392)-SUM(J$2:J392))</f>
        <v/>
      </c>
      <c r="L392" s="46" t="n"/>
      <c r="M392">
        <f>IF(A392="","",IF(A392=A391,M391,N(M391)+1))</f>
        <v/>
      </c>
      <c r="N392">
        <f>IF(E392="",99999,E392)</f>
        <v/>
      </c>
      <c r="O392">
        <f>IF(E392="",0,IF(F392="",E392,F392))</f>
        <v/>
      </c>
      <c r="P392">
        <f>IF(E392="",1,MAX(1,(YEAR(O392)-YEAR(N392))*12+MONTH(O392)-MONTH(N392)+1))</f>
        <v/>
      </c>
      <c r="Q392">
        <f>IF(G392="",0,G392/P392)</f>
        <v/>
      </c>
      <c r="R392">
        <f>IF(H392="",0,H392/P392)</f>
        <v/>
      </c>
    </row>
    <row r="393">
      <c r="A393" s="43" t="n"/>
      <c r="B393" s="28" t="n"/>
      <c r="C393" s="28" t="n"/>
      <c r="D393" s="28" t="n"/>
      <c r="E393" s="44" t="n"/>
      <c r="F393" s="44" t="n"/>
      <c r="G393" s="23" t="n"/>
      <c r="H393" s="23" t="n"/>
      <c r="I393" s="23" t="n"/>
      <c r="J393" s="23" t="n"/>
      <c r="K393" s="45">
        <f>IF(A393="","",SUM(G$2:I393)-SUM(J$2:J393))</f>
        <v/>
      </c>
      <c r="L393" s="46" t="n"/>
      <c r="M393">
        <f>IF(A393="","",IF(A393=A392,M392,N(M392)+1))</f>
        <v/>
      </c>
      <c r="N393">
        <f>IF(E393="",99999,E393)</f>
        <v/>
      </c>
      <c r="O393">
        <f>IF(E393="",0,IF(F393="",E393,F393))</f>
        <v/>
      </c>
      <c r="P393">
        <f>IF(E393="",1,MAX(1,(YEAR(O393)-YEAR(N393))*12+MONTH(O393)-MONTH(N393)+1))</f>
        <v/>
      </c>
      <c r="Q393">
        <f>IF(G393="",0,G393/P393)</f>
        <v/>
      </c>
      <c r="R393">
        <f>IF(H393="",0,H393/P393)</f>
        <v/>
      </c>
    </row>
    <row r="394">
      <c r="A394" s="43" t="n"/>
      <c r="B394" s="28" t="n"/>
      <c r="C394" s="28" t="n"/>
      <c r="D394" s="28" t="n"/>
      <c r="E394" s="44" t="n"/>
      <c r="F394" s="44" t="n"/>
      <c r="G394" s="23" t="n"/>
      <c r="H394" s="23" t="n"/>
      <c r="I394" s="23" t="n"/>
      <c r="J394" s="23" t="n"/>
      <c r="K394" s="45">
        <f>IF(A394="","",SUM(G$2:I394)-SUM(J$2:J394))</f>
        <v/>
      </c>
      <c r="L394" s="46" t="n"/>
      <c r="M394">
        <f>IF(A394="","",IF(A394=A393,M393,N(M393)+1))</f>
        <v/>
      </c>
      <c r="N394">
        <f>IF(E394="",99999,E394)</f>
        <v/>
      </c>
      <c r="O394">
        <f>IF(E394="",0,IF(F394="",E394,F394))</f>
        <v/>
      </c>
      <c r="P394">
        <f>IF(E394="",1,MAX(1,(YEAR(O394)-YEAR(N394))*12+MONTH(O394)-MONTH(N394)+1))</f>
        <v/>
      </c>
      <c r="Q394">
        <f>IF(G394="",0,G394/P394)</f>
        <v/>
      </c>
      <c r="R394">
        <f>IF(H394="",0,H394/P394)</f>
        <v/>
      </c>
    </row>
    <row r="395">
      <c r="A395" s="43" t="n"/>
      <c r="B395" s="28" t="n"/>
      <c r="C395" s="28" t="n"/>
      <c r="D395" s="28" t="n"/>
      <c r="E395" s="44" t="n"/>
      <c r="F395" s="44" t="n"/>
      <c r="G395" s="23" t="n"/>
      <c r="H395" s="23" t="n"/>
      <c r="I395" s="23" t="n"/>
      <c r="J395" s="23" t="n"/>
      <c r="K395" s="45">
        <f>IF(A395="","",SUM(G$2:I395)-SUM(J$2:J395))</f>
        <v/>
      </c>
      <c r="L395" s="46" t="n"/>
      <c r="M395">
        <f>IF(A395="","",IF(A395=A394,M394,N(M394)+1))</f>
        <v/>
      </c>
      <c r="N395">
        <f>IF(E395="",99999,E395)</f>
        <v/>
      </c>
      <c r="O395">
        <f>IF(E395="",0,IF(F395="",E395,F395))</f>
        <v/>
      </c>
      <c r="P395">
        <f>IF(E395="",1,MAX(1,(YEAR(O395)-YEAR(N395))*12+MONTH(O395)-MONTH(N395)+1))</f>
        <v/>
      </c>
      <c r="Q395">
        <f>IF(G395="",0,G395/P395)</f>
        <v/>
      </c>
      <c r="R395">
        <f>IF(H395="",0,H395/P395)</f>
        <v/>
      </c>
    </row>
    <row r="396">
      <c r="A396" s="43" t="n"/>
      <c r="B396" s="28" t="n"/>
      <c r="C396" s="28" t="n"/>
      <c r="D396" s="28" t="n"/>
      <c r="E396" s="44" t="n"/>
      <c r="F396" s="44" t="n"/>
      <c r="G396" s="23" t="n"/>
      <c r="H396" s="23" t="n"/>
      <c r="I396" s="23" t="n"/>
      <c r="J396" s="23" t="n"/>
      <c r="K396" s="45">
        <f>IF(A396="","",SUM(G$2:I396)-SUM(J$2:J396))</f>
        <v/>
      </c>
      <c r="L396" s="46" t="n"/>
      <c r="M396">
        <f>IF(A396="","",IF(A396=A395,M395,N(M395)+1))</f>
        <v/>
      </c>
      <c r="N396">
        <f>IF(E396="",99999,E396)</f>
        <v/>
      </c>
      <c r="O396">
        <f>IF(E396="",0,IF(F396="",E396,F396))</f>
        <v/>
      </c>
      <c r="P396">
        <f>IF(E396="",1,MAX(1,(YEAR(O396)-YEAR(N396))*12+MONTH(O396)-MONTH(N396)+1))</f>
        <v/>
      </c>
      <c r="Q396">
        <f>IF(G396="",0,G396/P396)</f>
        <v/>
      </c>
      <c r="R396">
        <f>IF(H396="",0,H396/P396)</f>
        <v/>
      </c>
    </row>
    <row r="397">
      <c r="A397" s="43" t="n"/>
      <c r="B397" s="28" t="n"/>
      <c r="C397" s="28" t="n"/>
      <c r="D397" s="28" t="n"/>
      <c r="E397" s="44" t="n"/>
      <c r="F397" s="44" t="n"/>
      <c r="G397" s="23" t="n"/>
      <c r="H397" s="23" t="n"/>
      <c r="I397" s="23" t="n"/>
      <c r="J397" s="23" t="n"/>
      <c r="K397" s="45">
        <f>IF(A397="","",SUM(G$2:I397)-SUM(J$2:J397))</f>
        <v/>
      </c>
      <c r="L397" s="46" t="n"/>
      <c r="M397">
        <f>IF(A397="","",IF(A397=A396,M396,N(M396)+1))</f>
        <v/>
      </c>
      <c r="N397">
        <f>IF(E397="",99999,E397)</f>
        <v/>
      </c>
      <c r="O397">
        <f>IF(E397="",0,IF(F397="",E397,F397))</f>
        <v/>
      </c>
      <c r="P397">
        <f>IF(E397="",1,MAX(1,(YEAR(O397)-YEAR(N397))*12+MONTH(O397)-MONTH(N397)+1))</f>
        <v/>
      </c>
      <c r="Q397">
        <f>IF(G397="",0,G397/P397)</f>
        <v/>
      </c>
      <c r="R397">
        <f>IF(H397="",0,H397/P397)</f>
        <v/>
      </c>
    </row>
    <row r="398">
      <c r="A398" s="43" t="n"/>
      <c r="B398" s="28" t="n"/>
      <c r="C398" s="28" t="n"/>
      <c r="D398" s="28" t="n"/>
      <c r="E398" s="44" t="n"/>
      <c r="F398" s="44" t="n"/>
      <c r="G398" s="23" t="n"/>
      <c r="H398" s="23" t="n"/>
      <c r="I398" s="23" t="n"/>
      <c r="J398" s="23" t="n"/>
      <c r="K398" s="45">
        <f>IF(A398="","",SUM(G$2:I398)-SUM(J$2:J398))</f>
        <v/>
      </c>
      <c r="L398" s="46" t="n"/>
      <c r="M398">
        <f>IF(A398="","",IF(A398=A397,M397,N(M397)+1))</f>
        <v/>
      </c>
      <c r="N398">
        <f>IF(E398="",99999,E398)</f>
        <v/>
      </c>
      <c r="O398">
        <f>IF(E398="",0,IF(F398="",E398,F398))</f>
        <v/>
      </c>
      <c r="P398">
        <f>IF(E398="",1,MAX(1,(YEAR(O398)-YEAR(N398))*12+MONTH(O398)-MONTH(N398)+1))</f>
        <v/>
      </c>
      <c r="Q398">
        <f>IF(G398="",0,G398/P398)</f>
        <v/>
      </c>
      <c r="R398">
        <f>IF(H398="",0,H398/P398)</f>
        <v/>
      </c>
    </row>
    <row r="399">
      <c r="A399" s="43" t="n"/>
      <c r="B399" s="28" t="n"/>
      <c r="C399" s="28" t="n"/>
      <c r="D399" s="28" t="n"/>
      <c r="E399" s="44" t="n"/>
      <c r="F399" s="44" t="n"/>
      <c r="G399" s="23" t="n"/>
      <c r="H399" s="23" t="n"/>
      <c r="I399" s="23" t="n"/>
      <c r="J399" s="23" t="n"/>
      <c r="K399" s="45">
        <f>IF(A399="","",SUM(G$2:I399)-SUM(J$2:J399))</f>
        <v/>
      </c>
      <c r="L399" s="46" t="n"/>
      <c r="M399">
        <f>IF(A399="","",IF(A399=A398,M398,N(M398)+1))</f>
        <v/>
      </c>
      <c r="N399">
        <f>IF(E399="",99999,E399)</f>
        <v/>
      </c>
      <c r="O399">
        <f>IF(E399="",0,IF(F399="",E399,F399))</f>
        <v/>
      </c>
      <c r="P399">
        <f>IF(E399="",1,MAX(1,(YEAR(O399)-YEAR(N399))*12+MONTH(O399)-MONTH(N399)+1))</f>
        <v/>
      </c>
      <c r="Q399">
        <f>IF(G399="",0,G399/P399)</f>
        <v/>
      </c>
      <c r="R399">
        <f>IF(H399="",0,H399/P399)</f>
        <v/>
      </c>
    </row>
    <row r="400">
      <c r="A400" s="43" t="n"/>
      <c r="B400" s="28" t="n"/>
      <c r="C400" s="28" t="n"/>
      <c r="D400" s="28" t="n"/>
      <c r="E400" s="44" t="n"/>
      <c r="F400" s="44" t="n"/>
      <c r="G400" s="23" t="n"/>
      <c r="H400" s="23" t="n"/>
      <c r="I400" s="23" t="n"/>
      <c r="J400" s="23" t="n"/>
      <c r="K400" s="45">
        <f>IF(A400="","",SUM(G$2:I400)-SUM(J$2:J400))</f>
        <v/>
      </c>
      <c r="L400" s="46" t="n"/>
      <c r="M400">
        <f>IF(A400="","",IF(A400=A399,M399,N(M399)+1))</f>
        <v/>
      </c>
      <c r="N400">
        <f>IF(E400="",99999,E400)</f>
        <v/>
      </c>
      <c r="O400">
        <f>IF(E400="",0,IF(F400="",E400,F400))</f>
        <v/>
      </c>
      <c r="P400">
        <f>IF(E400="",1,MAX(1,(YEAR(O400)-YEAR(N400))*12+MONTH(O400)-MONTH(N400)+1))</f>
        <v/>
      </c>
      <c r="Q400">
        <f>IF(G400="",0,G400/P400)</f>
        <v/>
      </c>
      <c r="R400">
        <f>IF(H400="",0,H400/P400)</f>
        <v/>
      </c>
    </row>
    <row r="401">
      <c r="A401" s="43" t="n"/>
      <c r="B401" s="28" t="n"/>
      <c r="C401" s="28" t="n"/>
      <c r="D401" s="28" t="n"/>
      <c r="E401" s="44" t="n"/>
      <c r="F401" s="44" t="n"/>
      <c r="G401" s="23" t="n"/>
      <c r="H401" s="23" t="n"/>
      <c r="I401" s="23" t="n"/>
      <c r="J401" s="23" t="n"/>
      <c r="K401" s="45">
        <f>IF(A401="","",SUM(G$2:I401)-SUM(J$2:J401))</f>
        <v/>
      </c>
      <c r="L401" s="46" t="n"/>
      <c r="M401">
        <f>IF(A401="","",IF(A401=A400,M400,N(M400)+1))</f>
        <v/>
      </c>
      <c r="N401">
        <f>IF(E401="",99999,E401)</f>
        <v/>
      </c>
      <c r="O401">
        <f>IF(E401="",0,IF(F401="",E401,F401))</f>
        <v/>
      </c>
      <c r="P401">
        <f>IF(E401="",1,MAX(1,(YEAR(O401)-YEAR(N401))*12+MONTH(O401)-MONTH(N401)+1))</f>
        <v/>
      </c>
      <c r="Q401">
        <f>IF(G401="",0,G401/P401)</f>
        <v/>
      </c>
      <c r="R401">
        <f>IF(H401="",0,H401/P401)</f>
        <v/>
      </c>
    </row>
    <row r="402">
      <c r="A402" s="43" t="n"/>
      <c r="B402" s="28" t="n"/>
      <c r="C402" s="28" t="n"/>
      <c r="D402" s="28" t="n"/>
      <c r="E402" s="44" t="n"/>
      <c r="F402" s="44" t="n"/>
      <c r="G402" s="23" t="n"/>
      <c r="H402" s="23" t="n"/>
      <c r="I402" s="23" t="n"/>
      <c r="J402" s="23" t="n"/>
      <c r="K402" s="45">
        <f>IF(A402="","",SUM(G$2:I402)-SUM(J$2:J402))</f>
        <v/>
      </c>
      <c r="L402" s="46" t="n"/>
      <c r="M402">
        <f>IF(A402="","",IF(A402=A401,M401,N(M401)+1))</f>
        <v/>
      </c>
      <c r="N402">
        <f>IF(E402="",99999,E402)</f>
        <v/>
      </c>
      <c r="O402">
        <f>IF(E402="",0,IF(F402="",E402,F402))</f>
        <v/>
      </c>
      <c r="P402">
        <f>IF(E402="",1,MAX(1,(YEAR(O402)-YEAR(N402))*12+MONTH(O402)-MONTH(N402)+1))</f>
        <v/>
      </c>
      <c r="Q402">
        <f>IF(G402="",0,G402/P402)</f>
        <v/>
      </c>
      <c r="R402">
        <f>IF(H402="",0,H402/P402)</f>
        <v/>
      </c>
    </row>
    <row r="403">
      <c r="A403" s="43" t="n"/>
      <c r="B403" s="28" t="n"/>
      <c r="C403" s="28" t="n"/>
      <c r="D403" s="28" t="n"/>
      <c r="E403" s="44" t="n"/>
      <c r="F403" s="44" t="n"/>
      <c r="G403" s="23" t="n"/>
      <c r="H403" s="23" t="n"/>
      <c r="I403" s="23" t="n"/>
      <c r="J403" s="23" t="n"/>
      <c r="K403" s="45">
        <f>IF(A403="","",SUM(G$2:I403)-SUM(J$2:J403))</f>
        <v/>
      </c>
      <c r="L403" s="46" t="n"/>
      <c r="M403">
        <f>IF(A403="","",IF(A403=A402,M402,N(M402)+1))</f>
        <v/>
      </c>
      <c r="N403">
        <f>IF(E403="",99999,E403)</f>
        <v/>
      </c>
      <c r="O403">
        <f>IF(E403="",0,IF(F403="",E403,F403))</f>
        <v/>
      </c>
      <c r="P403">
        <f>IF(E403="",1,MAX(1,(YEAR(O403)-YEAR(N403))*12+MONTH(O403)-MONTH(N403)+1))</f>
        <v/>
      </c>
      <c r="Q403">
        <f>IF(G403="",0,G403/P403)</f>
        <v/>
      </c>
      <c r="R403">
        <f>IF(H403="",0,H403/P403)</f>
        <v/>
      </c>
    </row>
    <row r="404">
      <c r="A404" s="43" t="n"/>
      <c r="B404" s="28" t="n"/>
      <c r="C404" s="28" t="n"/>
      <c r="D404" s="28" t="n"/>
      <c r="E404" s="44" t="n"/>
      <c r="F404" s="44" t="n"/>
      <c r="G404" s="23" t="n"/>
      <c r="H404" s="23" t="n"/>
      <c r="I404" s="23" t="n"/>
      <c r="J404" s="23" t="n"/>
      <c r="K404" s="45">
        <f>IF(A404="","",SUM(G$2:I404)-SUM(J$2:J404))</f>
        <v/>
      </c>
      <c r="L404" s="46" t="n"/>
      <c r="M404">
        <f>IF(A404="","",IF(A404=A403,M403,N(M403)+1))</f>
        <v/>
      </c>
      <c r="N404">
        <f>IF(E404="",99999,E404)</f>
        <v/>
      </c>
      <c r="O404">
        <f>IF(E404="",0,IF(F404="",E404,F404))</f>
        <v/>
      </c>
      <c r="P404">
        <f>IF(E404="",1,MAX(1,(YEAR(O404)-YEAR(N404))*12+MONTH(O404)-MONTH(N404)+1))</f>
        <v/>
      </c>
      <c r="Q404">
        <f>IF(G404="",0,G404/P404)</f>
        <v/>
      </c>
      <c r="R404">
        <f>IF(H404="",0,H404/P404)</f>
        <v/>
      </c>
    </row>
    <row r="405">
      <c r="A405" s="43" t="n"/>
      <c r="B405" s="28" t="n"/>
      <c r="C405" s="28" t="n"/>
      <c r="D405" s="28" t="n"/>
      <c r="E405" s="44" t="n"/>
      <c r="F405" s="44" t="n"/>
      <c r="G405" s="23" t="n"/>
      <c r="H405" s="23" t="n"/>
      <c r="I405" s="23" t="n"/>
      <c r="J405" s="23" t="n"/>
      <c r="K405" s="45">
        <f>IF(A405="","",SUM(G$2:I405)-SUM(J$2:J405))</f>
        <v/>
      </c>
      <c r="L405" s="46" t="n"/>
      <c r="M405">
        <f>IF(A405="","",IF(A405=A404,M404,N(M404)+1))</f>
        <v/>
      </c>
      <c r="N405">
        <f>IF(E405="",99999,E405)</f>
        <v/>
      </c>
      <c r="O405">
        <f>IF(E405="",0,IF(F405="",E405,F405))</f>
        <v/>
      </c>
      <c r="P405">
        <f>IF(E405="",1,MAX(1,(YEAR(O405)-YEAR(N405))*12+MONTH(O405)-MONTH(N405)+1))</f>
        <v/>
      </c>
      <c r="Q405">
        <f>IF(G405="",0,G405/P405)</f>
        <v/>
      </c>
      <c r="R405">
        <f>IF(H405="",0,H405/P405)</f>
        <v/>
      </c>
    </row>
    <row r="406">
      <c r="A406" s="43" t="n"/>
      <c r="B406" s="28" t="n"/>
      <c r="C406" s="28" t="n"/>
      <c r="D406" s="28" t="n"/>
      <c r="E406" s="44" t="n"/>
      <c r="F406" s="44" t="n"/>
      <c r="G406" s="23" t="n"/>
      <c r="H406" s="23" t="n"/>
      <c r="I406" s="23" t="n"/>
      <c r="J406" s="23" t="n"/>
      <c r="K406" s="45">
        <f>IF(A406="","",SUM(G$2:I406)-SUM(J$2:J406))</f>
        <v/>
      </c>
      <c r="L406" s="46" t="n"/>
      <c r="M406">
        <f>IF(A406="","",IF(A406=A405,M405,N(M405)+1))</f>
        <v/>
      </c>
      <c r="N406">
        <f>IF(E406="",99999,E406)</f>
        <v/>
      </c>
      <c r="O406">
        <f>IF(E406="",0,IF(F406="",E406,F406))</f>
        <v/>
      </c>
      <c r="P406">
        <f>IF(E406="",1,MAX(1,(YEAR(O406)-YEAR(N406))*12+MONTH(O406)-MONTH(N406)+1))</f>
        <v/>
      </c>
      <c r="Q406">
        <f>IF(G406="",0,G406/P406)</f>
        <v/>
      </c>
      <c r="R406">
        <f>IF(H406="",0,H406/P406)</f>
        <v/>
      </c>
    </row>
    <row r="407">
      <c r="A407" s="43" t="n"/>
      <c r="B407" s="28" t="n"/>
      <c r="C407" s="28" t="n"/>
      <c r="D407" s="28" t="n"/>
      <c r="E407" s="44" t="n"/>
      <c r="F407" s="44" t="n"/>
      <c r="G407" s="23" t="n"/>
      <c r="H407" s="23" t="n"/>
      <c r="I407" s="23" t="n"/>
      <c r="J407" s="23" t="n"/>
      <c r="K407" s="45">
        <f>IF(A407="","",SUM(G$2:I407)-SUM(J$2:J407))</f>
        <v/>
      </c>
      <c r="L407" s="46" t="n"/>
      <c r="M407">
        <f>IF(A407="","",IF(A407=A406,M406,N(M406)+1))</f>
        <v/>
      </c>
      <c r="N407">
        <f>IF(E407="",99999,E407)</f>
        <v/>
      </c>
      <c r="O407">
        <f>IF(E407="",0,IF(F407="",E407,F407))</f>
        <v/>
      </c>
      <c r="P407">
        <f>IF(E407="",1,MAX(1,(YEAR(O407)-YEAR(N407))*12+MONTH(O407)-MONTH(N407)+1))</f>
        <v/>
      </c>
      <c r="Q407">
        <f>IF(G407="",0,G407/P407)</f>
        <v/>
      </c>
      <c r="R407">
        <f>IF(H407="",0,H407/P407)</f>
        <v/>
      </c>
    </row>
    <row r="408">
      <c r="A408" s="43" t="n"/>
      <c r="B408" s="28" t="n"/>
      <c r="C408" s="28" t="n"/>
      <c r="D408" s="28" t="n"/>
      <c r="E408" s="44" t="n"/>
      <c r="F408" s="44" t="n"/>
      <c r="G408" s="23" t="n"/>
      <c r="H408" s="23" t="n"/>
      <c r="I408" s="23" t="n"/>
      <c r="J408" s="23" t="n"/>
      <c r="K408" s="45">
        <f>IF(A408="","",SUM(G$2:I408)-SUM(J$2:J408))</f>
        <v/>
      </c>
      <c r="L408" s="46" t="n"/>
      <c r="M408">
        <f>IF(A408="","",IF(A408=A407,M407,N(M407)+1))</f>
        <v/>
      </c>
      <c r="N408">
        <f>IF(E408="",99999,E408)</f>
        <v/>
      </c>
      <c r="O408">
        <f>IF(E408="",0,IF(F408="",E408,F408))</f>
        <v/>
      </c>
      <c r="P408">
        <f>IF(E408="",1,MAX(1,(YEAR(O408)-YEAR(N408))*12+MONTH(O408)-MONTH(N408)+1))</f>
        <v/>
      </c>
      <c r="Q408">
        <f>IF(G408="",0,G408/P408)</f>
        <v/>
      </c>
      <c r="R408">
        <f>IF(H408="",0,H408/P408)</f>
        <v/>
      </c>
    </row>
    <row r="409">
      <c r="A409" s="43" t="n"/>
      <c r="B409" s="28" t="n"/>
      <c r="C409" s="28" t="n"/>
      <c r="D409" s="28" t="n"/>
      <c r="E409" s="44" t="n"/>
      <c r="F409" s="44" t="n"/>
      <c r="G409" s="23" t="n"/>
      <c r="H409" s="23" t="n"/>
      <c r="I409" s="23" t="n"/>
      <c r="J409" s="23" t="n"/>
      <c r="K409" s="45">
        <f>IF(A409="","",SUM(G$2:I409)-SUM(J$2:J409))</f>
        <v/>
      </c>
      <c r="L409" s="46" t="n"/>
      <c r="M409">
        <f>IF(A409="","",IF(A409=A408,M408,N(M408)+1))</f>
        <v/>
      </c>
      <c r="N409">
        <f>IF(E409="",99999,E409)</f>
        <v/>
      </c>
      <c r="O409">
        <f>IF(E409="",0,IF(F409="",E409,F409))</f>
        <v/>
      </c>
      <c r="P409">
        <f>IF(E409="",1,MAX(1,(YEAR(O409)-YEAR(N409))*12+MONTH(O409)-MONTH(N409)+1))</f>
        <v/>
      </c>
      <c r="Q409">
        <f>IF(G409="",0,G409/P409)</f>
        <v/>
      </c>
      <c r="R409">
        <f>IF(H409="",0,H409/P409)</f>
        <v/>
      </c>
    </row>
    <row r="410">
      <c r="A410" s="43" t="n"/>
      <c r="B410" s="28" t="n"/>
      <c r="C410" s="28" t="n"/>
      <c r="D410" s="28" t="n"/>
      <c r="E410" s="44" t="n"/>
      <c r="F410" s="44" t="n"/>
      <c r="G410" s="23" t="n"/>
      <c r="H410" s="23" t="n"/>
      <c r="I410" s="23" t="n"/>
      <c r="J410" s="23" t="n"/>
      <c r="K410" s="45">
        <f>IF(A410="","",SUM(G$2:I410)-SUM(J$2:J410))</f>
        <v/>
      </c>
      <c r="L410" s="46" t="n"/>
      <c r="M410">
        <f>IF(A410="","",IF(A410=A409,M409,N(M409)+1))</f>
        <v/>
      </c>
      <c r="N410">
        <f>IF(E410="",99999,E410)</f>
        <v/>
      </c>
      <c r="O410">
        <f>IF(E410="",0,IF(F410="",E410,F410))</f>
        <v/>
      </c>
      <c r="P410">
        <f>IF(E410="",1,MAX(1,(YEAR(O410)-YEAR(N410))*12+MONTH(O410)-MONTH(N410)+1))</f>
        <v/>
      </c>
      <c r="Q410">
        <f>IF(G410="",0,G410/P410)</f>
        <v/>
      </c>
      <c r="R410">
        <f>IF(H410="",0,H410/P410)</f>
        <v/>
      </c>
    </row>
    <row r="411">
      <c r="A411" s="43" t="n"/>
      <c r="B411" s="28" t="n"/>
      <c r="C411" s="28" t="n"/>
      <c r="D411" s="28" t="n"/>
      <c r="E411" s="44" t="n"/>
      <c r="F411" s="44" t="n"/>
      <c r="G411" s="23" t="n"/>
      <c r="H411" s="23" t="n"/>
      <c r="I411" s="23" t="n"/>
      <c r="J411" s="23" t="n"/>
      <c r="K411" s="45">
        <f>IF(A411="","",SUM(G$2:I411)-SUM(J$2:J411))</f>
        <v/>
      </c>
      <c r="L411" s="46" t="n"/>
      <c r="M411">
        <f>IF(A411="","",IF(A411=A410,M410,N(M410)+1))</f>
        <v/>
      </c>
      <c r="N411">
        <f>IF(E411="",99999,E411)</f>
        <v/>
      </c>
      <c r="O411">
        <f>IF(E411="",0,IF(F411="",E411,F411))</f>
        <v/>
      </c>
      <c r="P411">
        <f>IF(E411="",1,MAX(1,(YEAR(O411)-YEAR(N411))*12+MONTH(O411)-MONTH(N411)+1))</f>
        <v/>
      </c>
      <c r="Q411">
        <f>IF(G411="",0,G411/P411)</f>
        <v/>
      </c>
      <c r="R411">
        <f>IF(H411="",0,H411/P411)</f>
        <v/>
      </c>
    </row>
    <row r="412">
      <c r="A412" s="43" t="n"/>
      <c r="B412" s="28" t="n"/>
      <c r="C412" s="28" t="n"/>
      <c r="D412" s="28" t="n"/>
      <c r="E412" s="44" t="n"/>
      <c r="F412" s="44" t="n"/>
      <c r="G412" s="23" t="n"/>
      <c r="H412" s="23" t="n"/>
      <c r="I412" s="23" t="n"/>
      <c r="J412" s="23" t="n"/>
      <c r="K412" s="45">
        <f>IF(A412="","",SUM(G$2:I412)-SUM(J$2:J412))</f>
        <v/>
      </c>
      <c r="L412" s="46" t="n"/>
      <c r="M412">
        <f>IF(A412="","",IF(A412=A411,M411,N(M411)+1))</f>
        <v/>
      </c>
      <c r="N412">
        <f>IF(E412="",99999,E412)</f>
        <v/>
      </c>
      <c r="O412">
        <f>IF(E412="",0,IF(F412="",E412,F412))</f>
        <v/>
      </c>
      <c r="P412">
        <f>IF(E412="",1,MAX(1,(YEAR(O412)-YEAR(N412))*12+MONTH(O412)-MONTH(N412)+1))</f>
        <v/>
      </c>
      <c r="Q412">
        <f>IF(G412="",0,G412/P412)</f>
        <v/>
      </c>
      <c r="R412">
        <f>IF(H412="",0,H412/P412)</f>
        <v/>
      </c>
    </row>
    <row r="413">
      <c r="A413" s="43" t="n"/>
      <c r="B413" s="28" t="n"/>
      <c r="C413" s="28" t="n"/>
      <c r="D413" s="28" t="n"/>
      <c r="E413" s="44" t="n"/>
      <c r="F413" s="44" t="n"/>
      <c r="G413" s="23" t="n"/>
      <c r="H413" s="23" t="n"/>
      <c r="I413" s="23" t="n"/>
      <c r="J413" s="23" t="n"/>
      <c r="K413" s="45">
        <f>IF(A413="","",SUM(G$2:I413)-SUM(J$2:J413))</f>
        <v/>
      </c>
      <c r="L413" s="46" t="n"/>
      <c r="M413">
        <f>IF(A413="","",IF(A413=A412,M412,N(M412)+1))</f>
        <v/>
      </c>
      <c r="N413">
        <f>IF(E413="",99999,E413)</f>
        <v/>
      </c>
      <c r="O413">
        <f>IF(E413="",0,IF(F413="",E413,F413))</f>
        <v/>
      </c>
      <c r="P413">
        <f>IF(E413="",1,MAX(1,(YEAR(O413)-YEAR(N413))*12+MONTH(O413)-MONTH(N413)+1))</f>
        <v/>
      </c>
      <c r="Q413">
        <f>IF(G413="",0,G413/P413)</f>
        <v/>
      </c>
      <c r="R413">
        <f>IF(H413="",0,H413/P413)</f>
        <v/>
      </c>
    </row>
    <row r="414">
      <c r="A414" s="43" t="n"/>
      <c r="B414" s="28" t="n"/>
      <c r="C414" s="28" t="n"/>
      <c r="D414" s="28" t="n"/>
      <c r="E414" s="44" t="n"/>
      <c r="F414" s="44" t="n"/>
      <c r="G414" s="23" t="n"/>
      <c r="H414" s="23" t="n"/>
      <c r="I414" s="23" t="n"/>
      <c r="J414" s="23" t="n"/>
      <c r="K414" s="45">
        <f>IF(A414="","",SUM(G$2:I414)-SUM(J$2:J414))</f>
        <v/>
      </c>
      <c r="L414" s="46" t="n"/>
      <c r="M414">
        <f>IF(A414="","",IF(A414=A413,M413,N(M413)+1))</f>
        <v/>
      </c>
      <c r="N414">
        <f>IF(E414="",99999,E414)</f>
        <v/>
      </c>
      <c r="O414">
        <f>IF(E414="",0,IF(F414="",E414,F414))</f>
        <v/>
      </c>
      <c r="P414">
        <f>IF(E414="",1,MAX(1,(YEAR(O414)-YEAR(N414))*12+MONTH(O414)-MONTH(N414)+1))</f>
        <v/>
      </c>
      <c r="Q414">
        <f>IF(G414="",0,G414/P414)</f>
        <v/>
      </c>
      <c r="R414">
        <f>IF(H414="",0,H414/P414)</f>
        <v/>
      </c>
    </row>
    <row r="415">
      <c r="A415" s="43" t="n"/>
      <c r="B415" s="28" t="n"/>
      <c r="C415" s="28" t="n"/>
      <c r="D415" s="28" t="n"/>
      <c r="E415" s="44" t="n"/>
      <c r="F415" s="44" t="n"/>
      <c r="G415" s="23" t="n"/>
      <c r="H415" s="23" t="n"/>
      <c r="I415" s="23" t="n"/>
      <c r="J415" s="23" t="n"/>
      <c r="K415" s="45">
        <f>IF(A415="","",SUM(G$2:I415)-SUM(J$2:J415))</f>
        <v/>
      </c>
      <c r="L415" s="46" t="n"/>
      <c r="M415">
        <f>IF(A415="","",IF(A415=A414,M414,N(M414)+1))</f>
        <v/>
      </c>
      <c r="N415">
        <f>IF(E415="",99999,E415)</f>
        <v/>
      </c>
      <c r="O415">
        <f>IF(E415="",0,IF(F415="",E415,F415))</f>
        <v/>
      </c>
      <c r="P415">
        <f>IF(E415="",1,MAX(1,(YEAR(O415)-YEAR(N415))*12+MONTH(O415)-MONTH(N415)+1))</f>
        <v/>
      </c>
      <c r="Q415">
        <f>IF(G415="",0,G415/P415)</f>
        <v/>
      </c>
      <c r="R415">
        <f>IF(H415="",0,H415/P415)</f>
        <v/>
      </c>
    </row>
    <row r="416">
      <c r="A416" s="43" t="n"/>
      <c r="B416" s="28" t="n"/>
      <c r="C416" s="28" t="n"/>
      <c r="D416" s="28" t="n"/>
      <c r="E416" s="44" t="n"/>
      <c r="F416" s="44" t="n"/>
      <c r="G416" s="23" t="n"/>
      <c r="H416" s="23" t="n"/>
      <c r="I416" s="23" t="n"/>
      <c r="J416" s="23" t="n"/>
      <c r="K416" s="45">
        <f>IF(A416="","",SUM(G$2:I416)-SUM(J$2:J416))</f>
        <v/>
      </c>
      <c r="L416" s="46" t="n"/>
      <c r="M416">
        <f>IF(A416="","",IF(A416=A415,M415,N(M415)+1))</f>
        <v/>
      </c>
      <c r="N416">
        <f>IF(E416="",99999,E416)</f>
        <v/>
      </c>
      <c r="O416">
        <f>IF(E416="",0,IF(F416="",E416,F416))</f>
        <v/>
      </c>
      <c r="P416">
        <f>IF(E416="",1,MAX(1,(YEAR(O416)-YEAR(N416))*12+MONTH(O416)-MONTH(N416)+1))</f>
        <v/>
      </c>
      <c r="Q416">
        <f>IF(G416="",0,G416/P416)</f>
        <v/>
      </c>
      <c r="R416">
        <f>IF(H416="",0,H416/P416)</f>
        <v/>
      </c>
    </row>
    <row r="417">
      <c r="A417" s="43" t="n"/>
      <c r="B417" s="28" t="n"/>
      <c r="C417" s="28" t="n"/>
      <c r="D417" s="28" t="n"/>
      <c r="E417" s="44" t="n"/>
      <c r="F417" s="44" t="n"/>
      <c r="G417" s="23" t="n"/>
      <c r="H417" s="23" t="n"/>
      <c r="I417" s="23" t="n"/>
      <c r="J417" s="23" t="n"/>
      <c r="K417" s="45">
        <f>IF(A417="","",SUM(G$2:I417)-SUM(J$2:J417))</f>
        <v/>
      </c>
      <c r="L417" s="46" t="n"/>
      <c r="M417">
        <f>IF(A417="","",IF(A417=A416,M416,N(M416)+1))</f>
        <v/>
      </c>
      <c r="N417">
        <f>IF(E417="",99999,E417)</f>
        <v/>
      </c>
      <c r="O417">
        <f>IF(E417="",0,IF(F417="",E417,F417))</f>
        <v/>
      </c>
      <c r="P417">
        <f>IF(E417="",1,MAX(1,(YEAR(O417)-YEAR(N417))*12+MONTH(O417)-MONTH(N417)+1))</f>
        <v/>
      </c>
      <c r="Q417">
        <f>IF(G417="",0,G417/P417)</f>
        <v/>
      </c>
      <c r="R417">
        <f>IF(H417="",0,H417/P417)</f>
        <v/>
      </c>
    </row>
    <row r="418">
      <c r="A418" s="43" t="n"/>
      <c r="B418" s="28" t="n"/>
      <c r="C418" s="28" t="n"/>
      <c r="D418" s="28" t="n"/>
      <c r="E418" s="44" t="n"/>
      <c r="F418" s="44" t="n"/>
      <c r="G418" s="23" t="n"/>
      <c r="H418" s="23" t="n"/>
      <c r="I418" s="23" t="n"/>
      <c r="J418" s="23" t="n"/>
      <c r="K418" s="45">
        <f>IF(A418="","",SUM(G$2:I418)-SUM(J$2:J418))</f>
        <v/>
      </c>
      <c r="L418" s="46" t="n"/>
      <c r="M418">
        <f>IF(A418="","",IF(A418=A417,M417,N(M417)+1))</f>
        <v/>
      </c>
      <c r="N418">
        <f>IF(E418="",99999,E418)</f>
        <v/>
      </c>
      <c r="O418">
        <f>IF(E418="",0,IF(F418="",E418,F418))</f>
        <v/>
      </c>
      <c r="P418">
        <f>IF(E418="",1,MAX(1,(YEAR(O418)-YEAR(N418))*12+MONTH(O418)-MONTH(N418)+1))</f>
        <v/>
      </c>
      <c r="Q418">
        <f>IF(G418="",0,G418/P418)</f>
        <v/>
      </c>
      <c r="R418">
        <f>IF(H418="",0,H418/P418)</f>
        <v/>
      </c>
    </row>
    <row r="419">
      <c r="A419" s="43" t="n"/>
      <c r="B419" s="28" t="n"/>
      <c r="C419" s="28" t="n"/>
      <c r="D419" s="28" t="n"/>
      <c r="E419" s="44" t="n"/>
      <c r="F419" s="44" t="n"/>
      <c r="G419" s="23" t="n"/>
      <c r="H419" s="23" t="n"/>
      <c r="I419" s="23" t="n"/>
      <c r="J419" s="23" t="n"/>
      <c r="K419" s="45">
        <f>IF(A419="","",SUM(G$2:I419)-SUM(J$2:J419))</f>
        <v/>
      </c>
      <c r="L419" s="46" t="n"/>
      <c r="M419">
        <f>IF(A419="","",IF(A419=A418,M418,N(M418)+1))</f>
        <v/>
      </c>
      <c r="N419">
        <f>IF(E419="",99999,E419)</f>
        <v/>
      </c>
      <c r="O419">
        <f>IF(E419="",0,IF(F419="",E419,F419))</f>
        <v/>
      </c>
      <c r="P419">
        <f>IF(E419="",1,MAX(1,(YEAR(O419)-YEAR(N419))*12+MONTH(O419)-MONTH(N419)+1))</f>
        <v/>
      </c>
      <c r="Q419">
        <f>IF(G419="",0,G419/P419)</f>
        <v/>
      </c>
      <c r="R419">
        <f>IF(H419="",0,H419/P419)</f>
        <v/>
      </c>
    </row>
    <row r="420">
      <c r="A420" s="43" t="n"/>
      <c r="B420" s="28" t="n"/>
      <c r="C420" s="28" t="n"/>
      <c r="D420" s="28" t="n"/>
      <c r="E420" s="44" t="n"/>
      <c r="F420" s="44" t="n"/>
      <c r="G420" s="23" t="n"/>
      <c r="H420" s="23" t="n"/>
      <c r="I420" s="23" t="n"/>
      <c r="J420" s="23" t="n"/>
      <c r="K420" s="45">
        <f>IF(A420="","",SUM(G$2:I420)-SUM(J$2:J420))</f>
        <v/>
      </c>
      <c r="L420" s="46" t="n"/>
      <c r="M420">
        <f>IF(A420="","",IF(A420=A419,M419,N(M419)+1))</f>
        <v/>
      </c>
      <c r="N420">
        <f>IF(E420="",99999,E420)</f>
        <v/>
      </c>
      <c r="O420">
        <f>IF(E420="",0,IF(F420="",E420,F420))</f>
        <v/>
      </c>
      <c r="P420">
        <f>IF(E420="",1,MAX(1,(YEAR(O420)-YEAR(N420))*12+MONTH(O420)-MONTH(N420)+1))</f>
        <v/>
      </c>
      <c r="Q420">
        <f>IF(G420="",0,G420/P420)</f>
        <v/>
      </c>
      <c r="R420">
        <f>IF(H420="",0,H420/P420)</f>
        <v/>
      </c>
    </row>
    <row r="421">
      <c r="A421" s="43" t="n"/>
      <c r="B421" s="28" t="n"/>
      <c r="C421" s="28" t="n"/>
      <c r="D421" s="28" t="n"/>
      <c r="E421" s="44" t="n"/>
      <c r="F421" s="44" t="n"/>
      <c r="G421" s="23" t="n"/>
      <c r="H421" s="23" t="n"/>
      <c r="I421" s="23" t="n"/>
      <c r="J421" s="23" t="n"/>
      <c r="K421" s="45">
        <f>IF(A421="","",SUM(G$2:I421)-SUM(J$2:J421))</f>
        <v/>
      </c>
      <c r="L421" s="46" t="n"/>
      <c r="M421">
        <f>IF(A421="","",IF(A421=A420,M420,N(M420)+1))</f>
        <v/>
      </c>
      <c r="N421">
        <f>IF(E421="",99999,E421)</f>
        <v/>
      </c>
      <c r="O421">
        <f>IF(E421="",0,IF(F421="",E421,F421))</f>
        <v/>
      </c>
      <c r="P421">
        <f>IF(E421="",1,MAX(1,(YEAR(O421)-YEAR(N421))*12+MONTH(O421)-MONTH(N421)+1))</f>
        <v/>
      </c>
      <c r="Q421">
        <f>IF(G421="",0,G421/P421)</f>
        <v/>
      </c>
      <c r="R421">
        <f>IF(H421="",0,H421/P421)</f>
        <v/>
      </c>
    </row>
    <row r="422">
      <c r="A422" s="43" t="n"/>
      <c r="B422" s="28" t="n"/>
      <c r="C422" s="28" t="n"/>
      <c r="D422" s="28" t="n"/>
      <c r="E422" s="44" t="n"/>
      <c r="F422" s="44" t="n"/>
      <c r="G422" s="23" t="n"/>
      <c r="H422" s="23" t="n"/>
      <c r="I422" s="23" t="n"/>
      <c r="J422" s="23" t="n"/>
      <c r="K422" s="45">
        <f>IF(A422="","",SUM(G$2:I422)-SUM(J$2:J422))</f>
        <v/>
      </c>
      <c r="L422" s="46" t="n"/>
      <c r="M422">
        <f>IF(A422="","",IF(A422=A421,M421,N(M421)+1))</f>
        <v/>
      </c>
      <c r="N422">
        <f>IF(E422="",99999,E422)</f>
        <v/>
      </c>
      <c r="O422">
        <f>IF(E422="",0,IF(F422="",E422,F422))</f>
        <v/>
      </c>
      <c r="P422">
        <f>IF(E422="",1,MAX(1,(YEAR(O422)-YEAR(N422))*12+MONTH(O422)-MONTH(N422)+1))</f>
        <v/>
      </c>
      <c r="Q422">
        <f>IF(G422="",0,G422/P422)</f>
        <v/>
      </c>
      <c r="R422">
        <f>IF(H422="",0,H422/P422)</f>
        <v/>
      </c>
    </row>
    <row r="423">
      <c r="A423" s="43" t="n"/>
      <c r="B423" s="28" t="n"/>
      <c r="C423" s="28" t="n"/>
      <c r="D423" s="28" t="n"/>
      <c r="E423" s="44" t="n"/>
      <c r="F423" s="44" t="n"/>
      <c r="G423" s="23" t="n"/>
      <c r="H423" s="23" t="n"/>
      <c r="I423" s="23" t="n"/>
      <c r="J423" s="23" t="n"/>
      <c r="K423" s="45">
        <f>IF(A423="","",SUM(G$2:I423)-SUM(J$2:J423))</f>
        <v/>
      </c>
      <c r="L423" s="46" t="n"/>
      <c r="M423">
        <f>IF(A423="","",IF(A423=A422,M422,N(M422)+1))</f>
        <v/>
      </c>
      <c r="N423">
        <f>IF(E423="",99999,E423)</f>
        <v/>
      </c>
      <c r="O423">
        <f>IF(E423="",0,IF(F423="",E423,F423))</f>
        <v/>
      </c>
      <c r="P423">
        <f>IF(E423="",1,MAX(1,(YEAR(O423)-YEAR(N423))*12+MONTH(O423)-MONTH(N423)+1))</f>
        <v/>
      </c>
      <c r="Q423">
        <f>IF(G423="",0,G423/P423)</f>
        <v/>
      </c>
      <c r="R423">
        <f>IF(H423="",0,H423/P423)</f>
        <v/>
      </c>
    </row>
    <row r="424">
      <c r="A424" s="43" t="n"/>
      <c r="B424" s="28" t="n"/>
      <c r="C424" s="28" t="n"/>
      <c r="D424" s="28" t="n"/>
      <c r="E424" s="44" t="n"/>
      <c r="F424" s="44" t="n"/>
      <c r="G424" s="23" t="n"/>
      <c r="H424" s="23" t="n"/>
      <c r="I424" s="23" t="n"/>
      <c r="J424" s="23" t="n"/>
      <c r="K424" s="45">
        <f>IF(A424="","",SUM(G$2:I424)-SUM(J$2:J424))</f>
        <v/>
      </c>
      <c r="L424" s="46" t="n"/>
      <c r="M424">
        <f>IF(A424="","",IF(A424=A423,M423,N(M423)+1))</f>
        <v/>
      </c>
      <c r="N424">
        <f>IF(E424="",99999,E424)</f>
        <v/>
      </c>
      <c r="O424">
        <f>IF(E424="",0,IF(F424="",E424,F424))</f>
        <v/>
      </c>
      <c r="P424">
        <f>IF(E424="",1,MAX(1,(YEAR(O424)-YEAR(N424))*12+MONTH(O424)-MONTH(N424)+1))</f>
        <v/>
      </c>
      <c r="Q424">
        <f>IF(G424="",0,G424/P424)</f>
        <v/>
      </c>
      <c r="R424">
        <f>IF(H424="",0,H424/P424)</f>
        <v/>
      </c>
    </row>
    <row r="425">
      <c r="A425" s="43" t="n"/>
      <c r="B425" s="28" t="n"/>
      <c r="C425" s="28" t="n"/>
      <c r="D425" s="28" t="n"/>
      <c r="E425" s="44" t="n"/>
      <c r="F425" s="44" t="n"/>
      <c r="G425" s="23" t="n"/>
      <c r="H425" s="23" t="n"/>
      <c r="I425" s="23" t="n"/>
      <c r="J425" s="23" t="n"/>
      <c r="K425" s="45">
        <f>IF(A425="","",SUM(G$2:I425)-SUM(J$2:J425))</f>
        <v/>
      </c>
      <c r="L425" s="46" t="n"/>
      <c r="M425">
        <f>IF(A425="","",IF(A425=A424,M424,N(M424)+1))</f>
        <v/>
      </c>
      <c r="N425">
        <f>IF(E425="",99999,E425)</f>
        <v/>
      </c>
      <c r="O425">
        <f>IF(E425="",0,IF(F425="",E425,F425))</f>
        <v/>
      </c>
      <c r="P425">
        <f>IF(E425="",1,MAX(1,(YEAR(O425)-YEAR(N425))*12+MONTH(O425)-MONTH(N425)+1))</f>
        <v/>
      </c>
      <c r="Q425">
        <f>IF(G425="",0,G425/P425)</f>
        <v/>
      </c>
      <c r="R425">
        <f>IF(H425="",0,H425/P425)</f>
        <v/>
      </c>
    </row>
    <row r="426">
      <c r="A426" s="43" t="n"/>
      <c r="B426" s="28" t="n"/>
      <c r="C426" s="28" t="n"/>
      <c r="D426" s="28" t="n"/>
      <c r="E426" s="44" t="n"/>
      <c r="F426" s="44" t="n"/>
      <c r="G426" s="23" t="n"/>
      <c r="H426" s="23" t="n"/>
      <c r="I426" s="23" t="n"/>
      <c r="J426" s="23" t="n"/>
      <c r="K426" s="45">
        <f>IF(A426="","",SUM(G$2:I426)-SUM(J$2:J426))</f>
        <v/>
      </c>
      <c r="L426" s="46" t="n"/>
      <c r="M426">
        <f>IF(A426="","",IF(A426=A425,M425,N(M425)+1))</f>
        <v/>
      </c>
      <c r="N426">
        <f>IF(E426="",99999,E426)</f>
        <v/>
      </c>
      <c r="O426">
        <f>IF(E426="",0,IF(F426="",E426,F426))</f>
        <v/>
      </c>
      <c r="P426">
        <f>IF(E426="",1,MAX(1,(YEAR(O426)-YEAR(N426))*12+MONTH(O426)-MONTH(N426)+1))</f>
        <v/>
      </c>
      <c r="Q426">
        <f>IF(G426="",0,G426/P426)</f>
        <v/>
      </c>
      <c r="R426">
        <f>IF(H426="",0,H426/P426)</f>
        <v/>
      </c>
    </row>
    <row r="427">
      <c r="A427" s="43" t="n"/>
      <c r="B427" s="28" t="n"/>
      <c r="C427" s="28" t="n"/>
      <c r="D427" s="28" t="n"/>
      <c r="E427" s="44" t="n"/>
      <c r="F427" s="44" t="n"/>
      <c r="G427" s="23" t="n"/>
      <c r="H427" s="23" t="n"/>
      <c r="I427" s="23" t="n"/>
      <c r="J427" s="23" t="n"/>
      <c r="K427" s="45">
        <f>IF(A427="","",SUM(G$2:I427)-SUM(J$2:J427))</f>
        <v/>
      </c>
      <c r="L427" s="46" t="n"/>
      <c r="M427">
        <f>IF(A427="","",IF(A427=A426,M426,N(M426)+1))</f>
        <v/>
      </c>
      <c r="N427">
        <f>IF(E427="",99999,E427)</f>
        <v/>
      </c>
      <c r="O427">
        <f>IF(E427="",0,IF(F427="",E427,F427))</f>
        <v/>
      </c>
      <c r="P427">
        <f>IF(E427="",1,MAX(1,(YEAR(O427)-YEAR(N427))*12+MONTH(O427)-MONTH(N427)+1))</f>
        <v/>
      </c>
      <c r="Q427">
        <f>IF(G427="",0,G427/P427)</f>
        <v/>
      </c>
      <c r="R427">
        <f>IF(H427="",0,H427/P427)</f>
        <v/>
      </c>
    </row>
    <row r="428">
      <c r="A428" s="43" t="n"/>
      <c r="B428" s="28" t="n"/>
      <c r="C428" s="28" t="n"/>
      <c r="D428" s="28" t="n"/>
      <c r="E428" s="44" t="n"/>
      <c r="F428" s="44" t="n"/>
      <c r="G428" s="23" t="n"/>
      <c r="H428" s="23" t="n"/>
      <c r="I428" s="23" t="n"/>
      <c r="J428" s="23" t="n"/>
      <c r="K428" s="45">
        <f>IF(A428="","",SUM(G$2:I428)-SUM(J$2:J428))</f>
        <v/>
      </c>
      <c r="L428" s="46" t="n"/>
      <c r="M428">
        <f>IF(A428="","",IF(A428=A427,M427,N(M427)+1))</f>
        <v/>
      </c>
      <c r="N428">
        <f>IF(E428="",99999,E428)</f>
        <v/>
      </c>
      <c r="O428">
        <f>IF(E428="",0,IF(F428="",E428,F428))</f>
        <v/>
      </c>
      <c r="P428">
        <f>IF(E428="",1,MAX(1,(YEAR(O428)-YEAR(N428))*12+MONTH(O428)-MONTH(N428)+1))</f>
        <v/>
      </c>
      <c r="Q428">
        <f>IF(G428="",0,G428/P428)</f>
        <v/>
      </c>
      <c r="R428">
        <f>IF(H428="",0,H428/P428)</f>
        <v/>
      </c>
    </row>
    <row r="429">
      <c r="A429" s="43" t="n"/>
      <c r="B429" s="28" t="n"/>
      <c r="C429" s="28" t="n"/>
      <c r="D429" s="28" t="n"/>
      <c r="E429" s="44" t="n"/>
      <c r="F429" s="44" t="n"/>
      <c r="G429" s="23" t="n"/>
      <c r="H429" s="23" t="n"/>
      <c r="I429" s="23" t="n"/>
      <c r="J429" s="23" t="n"/>
      <c r="K429" s="45">
        <f>IF(A429="","",SUM(G$2:I429)-SUM(J$2:J429))</f>
        <v/>
      </c>
      <c r="L429" s="46" t="n"/>
      <c r="M429">
        <f>IF(A429="","",IF(A429=A428,M428,N(M428)+1))</f>
        <v/>
      </c>
      <c r="N429">
        <f>IF(E429="",99999,E429)</f>
        <v/>
      </c>
      <c r="O429">
        <f>IF(E429="",0,IF(F429="",E429,F429))</f>
        <v/>
      </c>
      <c r="P429">
        <f>IF(E429="",1,MAX(1,(YEAR(O429)-YEAR(N429))*12+MONTH(O429)-MONTH(N429)+1))</f>
        <v/>
      </c>
      <c r="Q429">
        <f>IF(G429="",0,G429/P429)</f>
        <v/>
      </c>
      <c r="R429">
        <f>IF(H429="",0,H429/P429)</f>
        <v/>
      </c>
    </row>
    <row r="430">
      <c r="A430" s="43" t="n"/>
      <c r="B430" s="28" t="n"/>
      <c r="C430" s="28" t="n"/>
      <c r="D430" s="28" t="n"/>
      <c r="E430" s="44" t="n"/>
      <c r="F430" s="44" t="n"/>
      <c r="G430" s="23" t="n"/>
      <c r="H430" s="23" t="n"/>
      <c r="I430" s="23" t="n"/>
      <c r="J430" s="23" t="n"/>
      <c r="K430" s="45">
        <f>IF(A430="","",SUM(G$2:I430)-SUM(J$2:J430))</f>
        <v/>
      </c>
      <c r="L430" s="46" t="n"/>
      <c r="M430">
        <f>IF(A430="","",IF(A430=A429,M429,N(M429)+1))</f>
        <v/>
      </c>
      <c r="N430">
        <f>IF(E430="",99999,E430)</f>
        <v/>
      </c>
      <c r="O430">
        <f>IF(E430="",0,IF(F430="",E430,F430))</f>
        <v/>
      </c>
      <c r="P430">
        <f>IF(E430="",1,MAX(1,(YEAR(O430)-YEAR(N430))*12+MONTH(O430)-MONTH(N430)+1))</f>
        <v/>
      </c>
      <c r="Q430">
        <f>IF(G430="",0,G430/P430)</f>
        <v/>
      </c>
      <c r="R430">
        <f>IF(H430="",0,H430/P430)</f>
        <v/>
      </c>
    </row>
    <row r="431">
      <c r="A431" s="43" t="n"/>
      <c r="B431" s="28" t="n"/>
      <c r="C431" s="28" t="n"/>
      <c r="D431" s="28" t="n"/>
      <c r="E431" s="44" t="n"/>
      <c r="F431" s="44" t="n"/>
      <c r="G431" s="23" t="n"/>
      <c r="H431" s="23" t="n"/>
      <c r="I431" s="23" t="n"/>
      <c r="J431" s="23" t="n"/>
      <c r="K431" s="45">
        <f>IF(A431="","",SUM(G$2:I431)-SUM(J$2:J431))</f>
        <v/>
      </c>
      <c r="L431" s="46" t="n"/>
      <c r="M431">
        <f>IF(A431="","",IF(A431=A430,M430,N(M430)+1))</f>
        <v/>
      </c>
      <c r="N431">
        <f>IF(E431="",99999,E431)</f>
        <v/>
      </c>
      <c r="O431">
        <f>IF(E431="",0,IF(F431="",E431,F431))</f>
        <v/>
      </c>
      <c r="P431">
        <f>IF(E431="",1,MAX(1,(YEAR(O431)-YEAR(N431))*12+MONTH(O431)-MONTH(N431)+1))</f>
        <v/>
      </c>
      <c r="Q431">
        <f>IF(G431="",0,G431/P431)</f>
        <v/>
      </c>
      <c r="R431">
        <f>IF(H431="",0,H431/P431)</f>
        <v/>
      </c>
    </row>
    <row r="432">
      <c r="A432" s="43" t="n"/>
      <c r="B432" s="28" t="n"/>
      <c r="C432" s="28" t="n"/>
      <c r="D432" s="28" t="n"/>
      <c r="E432" s="44" t="n"/>
      <c r="F432" s="44" t="n"/>
      <c r="G432" s="23" t="n"/>
      <c r="H432" s="23" t="n"/>
      <c r="I432" s="23" t="n"/>
      <c r="J432" s="23" t="n"/>
      <c r="K432" s="45">
        <f>IF(A432="","",SUM(G$2:I432)-SUM(J$2:J432))</f>
        <v/>
      </c>
      <c r="L432" s="46" t="n"/>
      <c r="M432">
        <f>IF(A432="","",IF(A432=A431,M431,N(M431)+1))</f>
        <v/>
      </c>
      <c r="N432">
        <f>IF(E432="",99999,E432)</f>
        <v/>
      </c>
      <c r="O432">
        <f>IF(E432="",0,IF(F432="",E432,F432))</f>
        <v/>
      </c>
      <c r="P432">
        <f>IF(E432="",1,MAX(1,(YEAR(O432)-YEAR(N432))*12+MONTH(O432)-MONTH(N432)+1))</f>
        <v/>
      </c>
      <c r="Q432">
        <f>IF(G432="",0,G432/P432)</f>
        <v/>
      </c>
      <c r="R432">
        <f>IF(H432="",0,H432/P432)</f>
        <v/>
      </c>
    </row>
    <row r="433">
      <c r="A433" s="43" t="n"/>
      <c r="B433" s="28" t="n"/>
      <c r="C433" s="28" t="n"/>
      <c r="D433" s="28" t="n"/>
      <c r="E433" s="44" t="n"/>
      <c r="F433" s="44" t="n"/>
      <c r="G433" s="23" t="n"/>
      <c r="H433" s="23" t="n"/>
      <c r="I433" s="23" t="n"/>
      <c r="J433" s="23" t="n"/>
      <c r="K433" s="45">
        <f>IF(A433="","",SUM(G$2:I433)-SUM(J$2:J433))</f>
        <v/>
      </c>
      <c r="L433" s="46" t="n"/>
      <c r="M433">
        <f>IF(A433="","",IF(A433=A432,M432,N(M432)+1))</f>
        <v/>
      </c>
      <c r="N433">
        <f>IF(E433="",99999,E433)</f>
        <v/>
      </c>
      <c r="O433">
        <f>IF(E433="",0,IF(F433="",E433,F433))</f>
        <v/>
      </c>
      <c r="P433">
        <f>IF(E433="",1,MAX(1,(YEAR(O433)-YEAR(N433))*12+MONTH(O433)-MONTH(N433)+1))</f>
        <v/>
      </c>
      <c r="Q433">
        <f>IF(G433="",0,G433/P433)</f>
        <v/>
      </c>
      <c r="R433">
        <f>IF(H433="",0,H433/P433)</f>
        <v/>
      </c>
    </row>
    <row r="434">
      <c r="A434" s="43" t="n"/>
      <c r="B434" s="28" t="n"/>
      <c r="C434" s="28" t="n"/>
      <c r="D434" s="28" t="n"/>
      <c r="E434" s="44" t="n"/>
      <c r="F434" s="44" t="n"/>
      <c r="G434" s="23" t="n"/>
      <c r="H434" s="23" t="n"/>
      <c r="I434" s="23" t="n"/>
      <c r="J434" s="23" t="n"/>
      <c r="K434" s="45">
        <f>IF(A434="","",SUM(G$2:I434)-SUM(J$2:J434))</f>
        <v/>
      </c>
      <c r="L434" s="46" t="n"/>
      <c r="M434">
        <f>IF(A434="","",IF(A434=A433,M433,N(M433)+1))</f>
        <v/>
      </c>
      <c r="N434">
        <f>IF(E434="",99999,E434)</f>
        <v/>
      </c>
      <c r="O434">
        <f>IF(E434="",0,IF(F434="",E434,F434))</f>
        <v/>
      </c>
      <c r="P434">
        <f>IF(E434="",1,MAX(1,(YEAR(O434)-YEAR(N434))*12+MONTH(O434)-MONTH(N434)+1))</f>
        <v/>
      </c>
      <c r="Q434">
        <f>IF(G434="",0,G434/P434)</f>
        <v/>
      </c>
      <c r="R434">
        <f>IF(H434="",0,H434/P434)</f>
        <v/>
      </c>
    </row>
    <row r="435">
      <c r="A435" s="43" t="n"/>
      <c r="B435" s="28" t="n"/>
      <c r="C435" s="28" t="n"/>
      <c r="D435" s="28" t="n"/>
      <c r="E435" s="44" t="n"/>
      <c r="F435" s="44" t="n"/>
      <c r="G435" s="23" t="n"/>
      <c r="H435" s="23" t="n"/>
      <c r="I435" s="23" t="n"/>
      <c r="J435" s="23" t="n"/>
      <c r="K435" s="45">
        <f>IF(A435="","",SUM(G$2:I435)-SUM(J$2:J435))</f>
        <v/>
      </c>
      <c r="L435" s="46" t="n"/>
      <c r="M435">
        <f>IF(A435="","",IF(A435=A434,M434,N(M434)+1))</f>
        <v/>
      </c>
      <c r="N435">
        <f>IF(E435="",99999,E435)</f>
        <v/>
      </c>
      <c r="O435">
        <f>IF(E435="",0,IF(F435="",E435,F435))</f>
        <v/>
      </c>
      <c r="P435">
        <f>IF(E435="",1,MAX(1,(YEAR(O435)-YEAR(N435))*12+MONTH(O435)-MONTH(N435)+1))</f>
        <v/>
      </c>
      <c r="Q435">
        <f>IF(G435="",0,G435/P435)</f>
        <v/>
      </c>
      <c r="R435">
        <f>IF(H435="",0,H435/P435)</f>
        <v/>
      </c>
    </row>
    <row r="436">
      <c r="A436" s="43" t="n"/>
      <c r="B436" s="28" t="n"/>
      <c r="C436" s="28" t="n"/>
      <c r="D436" s="28" t="n"/>
      <c r="E436" s="44" t="n"/>
      <c r="F436" s="44" t="n"/>
      <c r="G436" s="23" t="n"/>
      <c r="H436" s="23" t="n"/>
      <c r="I436" s="23" t="n"/>
      <c r="J436" s="23" t="n"/>
      <c r="K436" s="45">
        <f>IF(A436="","",SUM(G$2:I436)-SUM(J$2:J436))</f>
        <v/>
      </c>
      <c r="L436" s="46" t="n"/>
      <c r="M436">
        <f>IF(A436="","",IF(A436=A435,M435,N(M435)+1))</f>
        <v/>
      </c>
      <c r="N436">
        <f>IF(E436="",99999,E436)</f>
        <v/>
      </c>
      <c r="O436">
        <f>IF(E436="",0,IF(F436="",E436,F436))</f>
        <v/>
      </c>
      <c r="P436">
        <f>IF(E436="",1,MAX(1,(YEAR(O436)-YEAR(N436))*12+MONTH(O436)-MONTH(N436)+1))</f>
        <v/>
      </c>
      <c r="Q436">
        <f>IF(G436="",0,G436/P436)</f>
        <v/>
      </c>
      <c r="R436">
        <f>IF(H436="",0,H436/P436)</f>
        <v/>
      </c>
    </row>
    <row r="437">
      <c r="A437" s="43" t="n"/>
      <c r="B437" s="28" t="n"/>
      <c r="C437" s="28" t="n"/>
      <c r="D437" s="28" t="n"/>
      <c r="E437" s="44" t="n"/>
      <c r="F437" s="44" t="n"/>
      <c r="G437" s="23" t="n"/>
      <c r="H437" s="23" t="n"/>
      <c r="I437" s="23" t="n"/>
      <c r="J437" s="23" t="n"/>
      <c r="K437" s="45">
        <f>IF(A437="","",SUM(G$2:I437)-SUM(J$2:J437))</f>
        <v/>
      </c>
      <c r="L437" s="46" t="n"/>
      <c r="M437">
        <f>IF(A437="","",IF(A437=A436,M436,N(M436)+1))</f>
        <v/>
      </c>
      <c r="N437">
        <f>IF(E437="",99999,E437)</f>
        <v/>
      </c>
      <c r="O437">
        <f>IF(E437="",0,IF(F437="",E437,F437))</f>
        <v/>
      </c>
      <c r="P437">
        <f>IF(E437="",1,MAX(1,(YEAR(O437)-YEAR(N437))*12+MONTH(O437)-MONTH(N437)+1))</f>
        <v/>
      </c>
      <c r="Q437">
        <f>IF(G437="",0,G437/P437)</f>
        <v/>
      </c>
      <c r="R437">
        <f>IF(H437="",0,H437/P437)</f>
        <v/>
      </c>
    </row>
    <row r="438">
      <c r="A438" s="43" t="n"/>
      <c r="B438" s="28" t="n"/>
      <c r="C438" s="28" t="n"/>
      <c r="D438" s="28" t="n"/>
      <c r="E438" s="44" t="n"/>
      <c r="F438" s="44" t="n"/>
      <c r="G438" s="23" t="n"/>
      <c r="H438" s="23" t="n"/>
      <c r="I438" s="23" t="n"/>
      <c r="J438" s="23" t="n"/>
      <c r="K438" s="45">
        <f>IF(A438="","",SUM(G$2:I438)-SUM(J$2:J438))</f>
        <v/>
      </c>
      <c r="L438" s="46" t="n"/>
      <c r="M438">
        <f>IF(A438="","",IF(A438=A437,M437,N(M437)+1))</f>
        <v/>
      </c>
      <c r="N438">
        <f>IF(E438="",99999,E438)</f>
        <v/>
      </c>
      <c r="O438">
        <f>IF(E438="",0,IF(F438="",E438,F438))</f>
        <v/>
      </c>
      <c r="P438">
        <f>IF(E438="",1,MAX(1,(YEAR(O438)-YEAR(N438))*12+MONTH(O438)-MONTH(N438)+1))</f>
        <v/>
      </c>
      <c r="Q438">
        <f>IF(G438="",0,G438/P438)</f>
        <v/>
      </c>
      <c r="R438">
        <f>IF(H438="",0,H438/P438)</f>
        <v/>
      </c>
    </row>
    <row r="439">
      <c r="A439" s="43" t="n"/>
      <c r="B439" s="28" t="n"/>
      <c r="C439" s="28" t="n"/>
      <c r="D439" s="28" t="n"/>
      <c r="E439" s="44" t="n"/>
      <c r="F439" s="44" t="n"/>
      <c r="G439" s="23" t="n"/>
      <c r="H439" s="23" t="n"/>
      <c r="I439" s="23" t="n"/>
      <c r="J439" s="23" t="n"/>
      <c r="K439" s="45">
        <f>IF(A439="","",SUM(G$2:I439)-SUM(J$2:J439))</f>
        <v/>
      </c>
      <c r="L439" s="46" t="n"/>
      <c r="M439">
        <f>IF(A439="","",IF(A439=A438,M438,N(M438)+1))</f>
        <v/>
      </c>
      <c r="N439">
        <f>IF(E439="",99999,E439)</f>
        <v/>
      </c>
      <c r="O439">
        <f>IF(E439="",0,IF(F439="",E439,F439))</f>
        <v/>
      </c>
      <c r="P439">
        <f>IF(E439="",1,MAX(1,(YEAR(O439)-YEAR(N439))*12+MONTH(O439)-MONTH(N439)+1))</f>
        <v/>
      </c>
      <c r="Q439">
        <f>IF(G439="",0,G439/P439)</f>
        <v/>
      </c>
      <c r="R439">
        <f>IF(H439="",0,H439/P439)</f>
        <v/>
      </c>
    </row>
    <row r="440">
      <c r="A440" s="43" t="n"/>
      <c r="B440" s="28" t="n"/>
      <c r="C440" s="28" t="n"/>
      <c r="D440" s="28" t="n"/>
      <c r="E440" s="44" t="n"/>
      <c r="F440" s="44" t="n"/>
      <c r="G440" s="23" t="n"/>
      <c r="H440" s="23" t="n"/>
      <c r="I440" s="23" t="n"/>
      <c r="J440" s="23" t="n"/>
      <c r="K440" s="45">
        <f>IF(A440="","",SUM(G$2:I440)-SUM(J$2:J440))</f>
        <v/>
      </c>
      <c r="L440" s="46" t="n"/>
      <c r="M440">
        <f>IF(A440="","",IF(A440=A439,M439,N(M439)+1))</f>
        <v/>
      </c>
      <c r="N440">
        <f>IF(E440="",99999,E440)</f>
        <v/>
      </c>
      <c r="O440">
        <f>IF(E440="",0,IF(F440="",E440,F440))</f>
        <v/>
      </c>
      <c r="P440">
        <f>IF(E440="",1,MAX(1,(YEAR(O440)-YEAR(N440))*12+MONTH(O440)-MONTH(N440)+1))</f>
        <v/>
      </c>
      <c r="Q440">
        <f>IF(G440="",0,G440/P440)</f>
        <v/>
      </c>
      <c r="R440">
        <f>IF(H440="",0,H440/P440)</f>
        <v/>
      </c>
    </row>
    <row r="441">
      <c r="A441" s="43" t="n"/>
      <c r="B441" s="28" t="n"/>
      <c r="C441" s="28" t="n"/>
      <c r="D441" s="28" t="n"/>
      <c r="E441" s="44" t="n"/>
      <c r="F441" s="44" t="n"/>
      <c r="G441" s="23" t="n"/>
      <c r="H441" s="23" t="n"/>
      <c r="I441" s="23" t="n"/>
      <c r="J441" s="23" t="n"/>
      <c r="K441" s="45">
        <f>IF(A441="","",SUM(G$2:I441)-SUM(J$2:J441))</f>
        <v/>
      </c>
      <c r="L441" s="46" t="n"/>
      <c r="M441">
        <f>IF(A441="","",IF(A441=A440,M440,N(M440)+1))</f>
        <v/>
      </c>
      <c r="N441">
        <f>IF(E441="",99999,E441)</f>
        <v/>
      </c>
      <c r="O441">
        <f>IF(E441="",0,IF(F441="",E441,F441))</f>
        <v/>
      </c>
      <c r="P441">
        <f>IF(E441="",1,MAX(1,(YEAR(O441)-YEAR(N441))*12+MONTH(O441)-MONTH(N441)+1))</f>
        <v/>
      </c>
      <c r="Q441">
        <f>IF(G441="",0,G441/P441)</f>
        <v/>
      </c>
      <c r="R441">
        <f>IF(H441="",0,H441/P441)</f>
        <v/>
      </c>
    </row>
    <row r="442">
      <c r="A442" s="43" t="n"/>
      <c r="B442" s="28" t="n"/>
      <c r="C442" s="28" t="n"/>
      <c r="D442" s="28" t="n"/>
      <c r="E442" s="44" t="n"/>
      <c r="F442" s="44" t="n"/>
      <c r="G442" s="23" t="n"/>
      <c r="H442" s="23" t="n"/>
      <c r="I442" s="23" t="n"/>
      <c r="J442" s="23" t="n"/>
      <c r="K442" s="45">
        <f>IF(A442="","",SUM(G$2:I442)-SUM(J$2:J442))</f>
        <v/>
      </c>
      <c r="L442" s="46" t="n"/>
      <c r="M442">
        <f>IF(A442="","",IF(A442=A441,M441,N(M441)+1))</f>
        <v/>
      </c>
      <c r="N442">
        <f>IF(E442="",99999,E442)</f>
        <v/>
      </c>
      <c r="O442">
        <f>IF(E442="",0,IF(F442="",E442,F442))</f>
        <v/>
      </c>
      <c r="P442">
        <f>IF(E442="",1,MAX(1,(YEAR(O442)-YEAR(N442))*12+MONTH(O442)-MONTH(N442)+1))</f>
        <v/>
      </c>
      <c r="Q442">
        <f>IF(G442="",0,G442/P442)</f>
        <v/>
      </c>
      <c r="R442">
        <f>IF(H442="",0,H442/P442)</f>
        <v/>
      </c>
    </row>
    <row r="443">
      <c r="A443" s="43" t="n"/>
      <c r="B443" s="28" t="n"/>
      <c r="C443" s="28" t="n"/>
      <c r="D443" s="28" t="n"/>
      <c r="E443" s="44" t="n"/>
      <c r="F443" s="44" t="n"/>
      <c r="G443" s="23" t="n"/>
      <c r="H443" s="23" t="n"/>
      <c r="I443" s="23" t="n"/>
      <c r="J443" s="23" t="n"/>
      <c r="K443" s="45">
        <f>IF(A443="","",SUM(G$2:I443)-SUM(J$2:J443))</f>
        <v/>
      </c>
      <c r="L443" s="46" t="n"/>
      <c r="M443">
        <f>IF(A443="","",IF(A443=A442,M442,N(M442)+1))</f>
        <v/>
      </c>
      <c r="N443">
        <f>IF(E443="",99999,E443)</f>
        <v/>
      </c>
      <c r="O443">
        <f>IF(E443="",0,IF(F443="",E443,F443))</f>
        <v/>
      </c>
      <c r="P443">
        <f>IF(E443="",1,MAX(1,(YEAR(O443)-YEAR(N443))*12+MONTH(O443)-MONTH(N443)+1))</f>
        <v/>
      </c>
      <c r="Q443">
        <f>IF(G443="",0,G443/P443)</f>
        <v/>
      </c>
      <c r="R443">
        <f>IF(H443="",0,H443/P443)</f>
        <v/>
      </c>
    </row>
    <row r="444">
      <c r="A444" s="43" t="n"/>
      <c r="B444" s="28" t="n"/>
      <c r="C444" s="28" t="n"/>
      <c r="D444" s="28" t="n"/>
      <c r="E444" s="44" t="n"/>
      <c r="F444" s="44" t="n"/>
      <c r="G444" s="23" t="n"/>
      <c r="H444" s="23" t="n"/>
      <c r="I444" s="23" t="n"/>
      <c r="J444" s="23" t="n"/>
      <c r="K444" s="45">
        <f>IF(A444="","",SUM(G$2:I444)-SUM(J$2:J444))</f>
        <v/>
      </c>
      <c r="L444" s="46" t="n"/>
      <c r="M444">
        <f>IF(A444="","",IF(A444=A443,M443,N(M443)+1))</f>
        <v/>
      </c>
      <c r="N444">
        <f>IF(E444="",99999,E444)</f>
        <v/>
      </c>
      <c r="O444">
        <f>IF(E444="",0,IF(F444="",E444,F444))</f>
        <v/>
      </c>
      <c r="P444">
        <f>IF(E444="",1,MAX(1,(YEAR(O444)-YEAR(N444))*12+MONTH(O444)-MONTH(N444)+1))</f>
        <v/>
      </c>
      <c r="Q444">
        <f>IF(G444="",0,G444/P444)</f>
        <v/>
      </c>
      <c r="R444">
        <f>IF(H444="",0,H444/P444)</f>
        <v/>
      </c>
    </row>
    <row r="445">
      <c r="A445" s="43" t="n"/>
      <c r="B445" s="28" t="n"/>
      <c r="C445" s="28" t="n"/>
      <c r="D445" s="28" t="n"/>
      <c r="E445" s="44" t="n"/>
      <c r="F445" s="44" t="n"/>
      <c r="G445" s="23" t="n"/>
      <c r="H445" s="23" t="n"/>
      <c r="I445" s="23" t="n"/>
      <c r="J445" s="23" t="n"/>
      <c r="K445" s="45">
        <f>IF(A445="","",SUM(G$2:I445)-SUM(J$2:J445))</f>
        <v/>
      </c>
      <c r="L445" s="46" t="n"/>
      <c r="M445">
        <f>IF(A445="","",IF(A445=A444,M444,N(M444)+1))</f>
        <v/>
      </c>
      <c r="N445">
        <f>IF(E445="",99999,E445)</f>
        <v/>
      </c>
      <c r="O445">
        <f>IF(E445="",0,IF(F445="",E445,F445))</f>
        <v/>
      </c>
      <c r="P445">
        <f>IF(E445="",1,MAX(1,(YEAR(O445)-YEAR(N445))*12+MONTH(O445)-MONTH(N445)+1))</f>
        <v/>
      </c>
      <c r="Q445">
        <f>IF(G445="",0,G445/P445)</f>
        <v/>
      </c>
      <c r="R445">
        <f>IF(H445="",0,H445/P445)</f>
        <v/>
      </c>
    </row>
    <row r="446">
      <c r="A446" s="43" t="n"/>
      <c r="B446" s="28" t="n"/>
      <c r="C446" s="28" t="n"/>
      <c r="D446" s="28" t="n"/>
      <c r="E446" s="44" t="n"/>
      <c r="F446" s="44" t="n"/>
      <c r="G446" s="23" t="n"/>
      <c r="H446" s="23" t="n"/>
      <c r="I446" s="23" t="n"/>
      <c r="J446" s="23" t="n"/>
      <c r="K446" s="45">
        <f>IF(A446="","",SUM(G$2:I446)-SUM(J$2:J446))</f>
        <v/>
      </c>
      <c r="L446" s="46" t="n"/>
      <c r="M446">
        <f>IF(A446="","",IF(A446=A445,M445,N(M445)+1))</f>
        <v/>
      </c>
      <c r="N446">
        <f>IF(E446="",99999,E446)</f>
        <v/>
      </c>
      <c r="O446">
        <f>IF(E446="",0,IF(F446="",E446,F446))</f>
        <v/>
      </c>
      <c r="P446">
        <f>IF(E446="",1,MAX(1,(YEAR(O446)-YEAR(N446))*12+MONTH(O446)-MONTH(N446)+1))</f>
        <v/>
      </c>
      <c r="Q446">
        <f>IF(G446="",0,G446/P446)</f>
        <v/>
      </c>
      <c r="R446">
        <f>IF(H446="",0,H446/P446)</f>
        <v/>
      </c>
    </row>
    <row r="447">
      <c r="A447" s="43" t="n"/>
      <c r="B447" s="28" t="n"/>
      <c r="C447" s="28" t="n"/>
      <c r="D447" s="28" t="n"/>
      <c r="E447" s="44" t="n"/>
      <c r="F447" s="44" t="n"/>
      <c r="G447" s="23" t="n"/>
      <c r="H447" s="23" t="n"/>
      <c r="I447" s="23" t="n"/>
      <c r="J447" s="23" t="n"/>
      <c r="K447" s="45">
        <f>IF(A447="","",SUM(G$2:I447)-SUM(J$2:J447))</f>
        <v/>
      </c>
      <c r="L447" s="46" t="n"/>
      <c r="M447">
        <f>IF(A447="","",IF(A447=A446,M446,N(M446)+1))</f>
        <v/>
      </c>
      <c r="N447">
        <f>IF(E447="",99999,E447)</f>
        <v/>
      </c>
      <c r="O447">
        <f>IF(E447="",0,IF(F447="",E447,F447))</f>
        <v/>
      </c>
      <c r="P447">
        <f>IF(E447="",1,MAX(1,(YEAR(O447)-YEAR(N447))*12+MONTH(O447)-MONTH(N447)+1))</f>
        <v/>
      </c>
      <c r="Q447">
        <f>IF(G447="",0,G447/P447)</f>
        <v/>
      </c>
      <c r="R447">
        <f>IF(H447="",0,H447/P447)</f>
        <v/>
      </c>
    </row>
    <row r="448">
      <c r="A448" s="43" t="n"/>
      <c r="B448" s="28" t="n"/>
      <c r="C448" s="28" t="n"/>
      <c r="D448" s="28" t="n"/>
      <c r="E448" s="44" t="n"/>
      <c r="F448" s="44" t="n"/>
      <c r="G448" s="23" t="n"/>
      <c r="H448" s="23" t="n"/>
      <c r="I448" s="23" t="n"/>
      <c r="J448" s="23" t="n"/>
      <c r="K448" s="45">
        <f>IF(A448="","",SUM(G$2:I448)-SUM(J$2:J448))</f>
        <v/>
      </c>
      <c r="L448" s="46" t="n"/>
      <c r="M448">
        <f>IF(A448="","",IF(A448=A447,M447,N(M447)+1))</f>
        <v/>
      </c>
      <c r="N448">
        <f>IF(E448="",99999,E448)</f>
        <v/>
      </c>
      <c r="O448">
        <f>IF(E448="",0,IF(F448="",E448,F448))</f>
        <v/>
      </c>
      <c r="P448">
        <f>IF(E448="",1,MAX(1,(YEAR(O448)-YEAR(N448))*12+MONTH(O448)-MONTH(N448)+1))</f>
        <v/>
      </c>
      <c r="Q448">
        <f>IF(G448="",0,G448/P448)</f>
        <v/>
      </c>
      <c r="R448">
        <f>IF(H448="",0,H448/P448)</f>
        <v/>
      </c>
    </row>
    <row r="449">
      <c r="A449" s="43" t="n"/>
      <c r="B449" s="28" t="n"/>
      <c r="C449" s="28" t="n"/>
      <c r="D449" s="28" t="n"/>
      <c r="E449" s="44" t="n"/>
      <c r="F449" s="44" t="n"/>
      <c r="G449" s="23" t="n"/>
      <c r="H449" s="23" t="n"/>
      <c r="I449" s="23" t="n"/>
      <c r="J449" s="23" t="n"/>
      <c r="K449" s="45">
        <f>IF(A449="","",SUM(G$2:I449)-SUM(J$2:J449))</f>
        <v/>
      </c>
      <c r="L449" s="46" t="n"/>
      <c r="M449">
        <f>IF(A449="","",IF(A449=A448,M448,N(M448)+1))</f>
        <v/>
      </c>
      <c r="N449">
        <f>IF(E449="",99999,E449)</f>
        <v/>
      </c>
      <c r="O449">
        <f>IF(E449="",0,IF(F449="",E449,F449))</f>
        <v/>
      </c>
      <c r="P449">
        <f>IF(E449="",1,MAX(1,(YEAR(O449)-YEAR(N449))*12+MONTH(O449)-MONTH(N449)+1))</f>
        <v/>
      </c>
      <c r="Q449">
        <f>IF(G449="",0,G449/P449)</f>
        <v/>
      </c>
      <c r="R449">
        <f>IF(H449="",0,H449/P449)</f>
        <v/>
      </c>
    </row>
    <row r="450">
      <c r="A450" s="43" t="n"/>
      <c r="B450" s="28" t="n"/>
      <c r="C450" s="28" t="n"/>
      <c r="D450" s="28" t="n"/>
      <c r="E450" s="44" t="n"/>
      <c r="F450" s="44" t="n"/>
      <c r="G450" s="23" t="n"/>
      <c r="H450" s="23" t="n"/>
      <c r="I450" s="23" t="n"/>
      <c r="J450" s="23" t="n"/>
      <c r="K450" s="45">
        <f>IF(A450="","",SUM(G$2:I450)-SUM(J$2:J450))</f>
        <v/>
      </c>
      <c r="L450" s="46" t="n"/>
      <c r="M450">
        <f>IF(A450="","",IF(A450=A449,M449,N(M449)+1))</f>
        <v/>
      </c>
      <c r="N450">
        <f>IF(E450="",99999,E450)</f>
        <v/>
      </c>
      <c r="O450">
        <f>IF(E450="",0,IF(F450="",E450,F450))</f>
        <v/>
      </c>
      <c r="P450">
        <f>IF(E450="",1,MAX(1,(YEAR(O450)-YEAR(N450))*12+MONTH(O450)-MONTH(N450)+1))</f>
        <v/>
      </c>
      <c r="Q450">
        <f>IF(G450="",0,G450/P450)</f>
        <v/>
      </c>
      <c r="R450">
        <f>IF(H450="",0,H450/P450)</f>
        <v/>
      </c>
    </row>
    <row r="451">
      <c r="A451" s="43" t="n"/>
      <c r="B451" s="28" t="n"/>
      <c r="C451" s="28" t="n"/>
      <c r="D451" s="28" t="n"/>
      <c r="E451" s="44" t="n"/>
      <c r="F451" s="44" t="n"/>
      <c r="G451" s="23" t="n"/>
      <c r="H451" s="23" t="n"/>
      <c r="I451" s="23" t="n"/>
      <c r="J451" s="23" t="n"/>
      <c r="K451" s="45">
        <f>IF(A451="","",SUM(G$2:I451)-SUM(J$2:J451))</f>
        <v/>
      </c>
      <c r="L451" s="46" t="n"/>
      <c r="M451">
        <f>IF(A451="","",IF(A451=A450,M450,N(M450)+1))</f>
        <v/>
      </c>
      <c r="N451">
        <f>IF(E451="",99999,E451)</f>
        <v/>
      </c>
      <c r="O451">
        <f>IF(E451="",0,IF(F451="",E451,F451))</f>
        <v/>
      </c>
      <c r="P451">
        <f>IF(E451="",1,MAX(1,(YEAR(O451)-YEAR(N451))*12+MONTH(O451)-MONTH(N451)+1))</f>
        <v/>
      </c>
      <c r="Q451">
        <f>IF(G451="",0,G451/P451)</f>
        <v/>
      </c>
      <c r="R451">
        <f>IF(H451="",0,H451/P451)</f>
        <v/>
      </c>
    </row>
    <row r="452">
      <c r="A452" s="43" t="n"/>
      <c r="B452" s="28" t="n"/>
      <c r="C452" s="28" t="n"/>
      <c r="D452" s="28" t="n"/>
      <c r="E452" s="44" t="n"/>
      <c r="F452" s="44" t="n"/>
      <c r="G452" s="23" t="n"/>
      <c r="H452" s="23" t="n"/>
      <c r="I452" s="23" t="n"/>
      <c r="J452" s="23" t="n"/>
      <c r="K452" s="45">
        <f>IF(A452="","",SUM(G$2:I452)-SUM(J$2:J452))</f>
        <v/>
      </c>
      <c r="L452" s="46" t="n"/>
      <c r="M452">
        <f>IF(A452="","",IF(A452=A451,M451,N(M451)+1))</f>
        <v/>
      </c>
      <c r="N452">
        <f>IF(E452="",99999,E452)</f>
        <v/>
      </c>
      <c r="O452">
        <f>IF(E452="",0,IF(F452="",E452,F452))</f>
        <v/>
      </c>
      <c r="P452">
        <f>IF(E452="",1,MAX(1,(YEAR(O452)-YEAR(N452))*12+MONTH(O452)-MONTH(N452)+1))</f>
        <v/>
      </c>
      <c r="Q452">
        <f>IF(G452="",0,G452/P452)</f>
        <v/>
      </c>
      <c r="R452">
        <f>IF(H452="",0,H452/P452)</f>
        <v/>
      </c>
    </row>
    <row r="453">
      <c r="A453" s="43" t="n"/>
      <c r="B453" s="28" t="n"/>
      <c r="C453" s="28" t="n"/>
      <c r="D453" s="28" t="n"/>
      <c r="E453" s="44" t="n"/>
      <c r="F453" s="44" t="n"/>
      <c r="G453" s="23" t="n"/>
      <c r="H453" s="23" t="n"/>
      <c r="I453" s="23" t="n"/>
      <c r="J453" s="23" t="n"/>
      <c r="K453" s="45">
        <f>IF(A453="","",SUM(G$2:I453)-SUM(J$2:J453))</f>
        <v/>
      </c>
      <c r="L453" s="46" t="n"/>
      <c r="M453">
        <f>IF(A453="","",IF(A453=A452,M452,N(M452)+1))</f>
        <v/>
      </c>
      <c r="N453">
        <f>IF(E453="",99999,E453)</f>
        <v/>
      </c>
      <c r="O453">
        <f>IF(E453="",0,IF(F453="",E453,F453))</f>
        <v/>
      </c>
      <c r="P453">
        <f>IF(E453="",1,MAX(1,(YEAR(O453)-YEAR(N453))*12+MONTH(O453)-MONTH(N453)+1))</f>
        <v/>
      </c>
      <c r="Q453">
        <f>IF(G453="",0,G453/P453)</f>
        <v/>
      </c>
      <c r="R453">
        <f>IF(H453="",0,H453/P453)</f>
        <v/>
      </c>
    </row>
    <row r="454">
      <c r="A454" s="43" t="n"/>
      <c r="B454" s="28" t="n"/>
      <c r="C454" s="28" t="n"/>
      <c r="D454" s="28" t="n"/>
      <c r="E454" s="44" t="n"/>
      <c r="F454" s="44" t="n"/>
      <c r="G454" s="23" t="n"/>
      <c r="H454" s="23" t="n"/>
      <c r="I454" s="23" t="n"/>
      <c r="J454" s="23" t="n"/>
      <c r="K454" s="45">
        <f>IF(A454="","",SUM(G$2:I454)-SUM(J$2:J454))</f>
        <v/>
      </c>
      <c r="L454" s="46" t="n"/>
      <c r="M454">
        <f>IF(A454="","",IF(A454=A453,M453,N(M453)+1))</f>
        <v/>
      </c>
      <c r="N454">
        <f>IF(E454="",99999,E454)</f>
        <v/>
      </c>
      <c r="O454">
        <f>IF(E454="",0,IF(F454="",E454,F454))</f>
        <v/>
      </c>
      <c r="P454">
        <f>IF(E454="",1,MAX(1,(YEAR(O454)-YEAR(N454))*12+MONTH(O454)-MONTH(N454)+1))</f>
        <v/>
      </c>
      <c r="Q454">
        <f>IF(G454="",0,G454/P454)</f>
        <v/>
      </c>
      <c r="R454">
        <f>IF(H454="",0,H454/P454)</f>
        <v/>
      </c>
    </row>
    <row r="455">
      <c r="A455" s="43" t="n"/>
      <c r="B455" s="28" t="n"/>
      <c r="C455" s="28" t="n"/>
      <c r="D455" s="28" t="n"/>
      <c r="E455" s="44" t="n"/>
      <c r="F455" s="44" t="n"/>
      <c r="G455" s="23" t="n"/>
      <c r="H455" s="23" t="n"/>
      <c r="I455" s="23" t="n"/>
      <c r="J455" s="23" t="n"/>
      <c r="K455" s="45">
        <f>IF(A455="","",SUM(G$2:I455)-SUM(J$2:J455))</f>
        <v/>
      </c>
      <c r="L455" s="46" t="n"/>
      <c r="M455">
        <f>IF(A455="","",IF(A455=A454,M454,N(M454)+1))</f>
        <v/>
      </c>
      <c r="N455">
        <f>IF(E455="",99999,E455)</f>
        <v/>
      </c>
      <c r="O455">
        <f>IF(E455="",0,IF(F455="",E455,F455))</f>
        <v/>
      </c>
      <c r="P455">
        <f>IF(E455="",1,MAX(1,(YEAR(O455)-YEAR(N455))*12+MONTH(O455)-MONTH(N455)+1))</f>
        <v/>
      </c>
      <c r="Q455">
        <f>IF(G455="",0,G455/P455)</f>
        <v/>
      </c>
      <c r="R455">
        <f>IF(H455="",0,H455/P455)</f>
        <v/>
      </c>
    </row>
    <row r="456">
      <c r="A456" s="43" t="n"/>
      <c r="B456" s="28" t="n"/>
      <c r="C456" s="28" t="n"/>
      <c r="D456" s="28" t="n"/>
      <c r="E456" s="44" t="n"/>
      <c r="F456" s="44" t="n"/>
      <c r="G456" s="23" t="n"/>
      <c r="H456" s="23" t="n"/>
      <c r="I456" s="23" t="n"/>
      <c r="J456" s="23" t="n"/>
      <c r="K456" s="45">
        <f>IF(A456="","",SUM(G$2:I456)-SUM(J$2:J456))</f>
        <v/>
      </c>
      <c r="L456" s="46" t="n"/>
      <c r="M456">
        <f>IF(A456="","",IF(A456=A455,M455,N(M455)+1))</f>
        <v/>
      </c>
      <c r="N456">
        <f>IF(E456="",99999,E456)</f>
        <v/>
      </c>
      <c r="O456">
        <f>IF(E456="",0,IF(F456="",E456,F456))</f>
        <v/>
      </c>
      <c r="P456">
        <f>IF(E456="",1,MAX(1,(YEAR(O456)-YEAR(N456))*12+MONTH(O456)-MONTH(N456)+1))</f>
        <v/>
      </c>
      <c r="Q456">
        <f>IF(G456="",0,G456/P456)</f>
        <v/>
      </c>
      <c r="R456">
        <f>IF(H456="",0,H456/P456)</f>
        <v/>
      </c>
    </row>
    <row r="457">
      <c r="A457" s="43" t="n"/>
      <c r="B457" s="28" t="n"/>
      <c r="C457" s="28" t="n"/>
      <c r="D457" s="28" t="n"/>
      <c r="E457" s="44" t="n"/>
      <c r="F457" s="44" t="n"/>
      <c r="G457" s="23" t="n"/>
      <c r="H457" s="23" t="n"/>
      <c r="I457" s="23" t="n"/>
      <c r="J457" s="23" t="n"/>
      <c r="K457" s="45">
        <f>IF(A457="","",SUM(G$2:I457)-SUM(J$2:J457))</f>
        <v/>
      </c>
      <c r="L457" s="46" t="n"/>
      <c r="M457">
        <f>IF(A457="","",IF(A457=A456,M456,N(M456)+1))</f>
        <v/>
      </c>
      <c r="N457">
        <f>IF(E457="",99999,E457)</f>
        <v/>
      </c>
      <c r="O457">
        <f>IF(E457="",0,IF(F457="",E457,F457))</f>
        <v/>
      </c>
      <c r="P457">
        <f>IF(E457="",1,MAX(1,(YEAR(O457)-YEAR(N457))*12+MONTH(O457)-MONTH(N457)+1))</f>
        <v/>
      </c>
      <c r="Q457">
        <f>IF(G457="",0,G457/P457)</f>
        <v/>
      </c>
      <c r="R457">
        <f>IF(H457="",0,H457/P457)</f>
        <v/>
      </c>
    </row>
    <row r="458">
      <c r="A458" s="43" t="n"/>
      <c r="B458" s="28" t="n"/>
      <c r="C458" s="28" t="n"/>
      <c r="D458" s="28" t="n"/>
      <c r="E458" s="44" t="n"/>
      <c r="F458" s="44" t="n"/>
      <c r="G458" s="23" t="n"/>
      <c r="H458" s="23" t="n"/>
      <c r="I458" s="23" t="n"/>
      <c r="J458" s="23" t="n"/>
      <c r="K458" s="45">
        <f>IF(A458="","",SUM(G$2:I458)-SUM(J$2:J458))</f>
        <v/>
      </c>
      <c r="L458" s="46" t="n"/>
      <c r="M458">
        <f>IF(A458="","",IF(A458=A457,M457,N(M457)+1))</f>
        <v/>
      </c>
      <c r="N458">
        <f>IF(E458="",99999,E458)</f>
        <v/>
      </c>
      <c r="O458">
        <f>IF(E458="",0,IF(F458="",E458,F458))</f>
        <v/>
      </c>
      <c r="P458">
        <f>IF(E458="",1,MAX(1,(YEAR(O458)-YEAR(N458))*12+MONTH(O458)-MONTH(N458)+1))</f>
        <v/>
      </c>
      <c r="Q458">
        <f>IF(G458="",0,G458/P458)</f>
        <v/>
      </c>
      <c r="R458">
        <f>IF(H458="",0,H458/P458)</f>
        <v/>
      </c>
    </row>
    <row r="459">
      <c r="A459" s="43" t="n"/>
      <c r="B459" s="28" t="n"/>
      <c r="C459" s="28" t="n"/>
      <c r="D459" s="28" t="n"/>
      <c r="E459" s="44" t="n"/>
      <c r="F459" s="44" t="n"/>
      <c r="G459" s="23" t="n"/>
      <c r="H459" s="23" t="n"/>
      <c r="I459" s="23" t="n"/>
      <c r="J459" s="23" t="n"/>
      <c r="K459" s="45">
        <f>IF(A459="","",SUM(G$2:I459)-SUM(J$2:J459))</f>
        <v/>
      </c>
      <c r="L459" s="46" t="n"/>
      <c r="M459">
        <f>IF(A459="","",IF(A459=A458,M458,N(M458)+1))</f>
        <v/>
      </c>
      <c r="N459">
        <f>IF(E459="",99999,E459)</f>
        <v/>
      </c>
      <c r="O459">
        <f>IF(E459="",0,IF(F459="",E459,F459))</f>
        <v/>
      </c>
      <c r="P459">
        <f>IF(E459="",1,MAX(1,(YEAR(O459)-YEAR(N459))*12+MONTH(O459)-MONTH(N459)+1))</f>
        <v/>
      </c>
      <c r="Q459">
        <f>IF(G459="",0,G459/P459)</f>
        <v/>
      </c>
      <c r="R459">
        <f>IF(H459="",0,H459/P459)</f>
        <v/>
      </c>
    </row>
    <row r="460">
      <c r="A460" s="43" t="n"/>
      <c r="B460" s="28" t="n"/>
      <c r="C460" s="28" t="n"/>
      <c r="D460" s="28" t="n"/>
      <c r="E460" s="44" t="n"/>
      <c r="F460" s="44" t="n"/>
      <c r="G460" s="23" t="n"/>
      <c r="H460" s="23" t="n"/>
      <c r="I460" s="23" t="n"/>
      <c r="J460" s="23" t="n"/>
      <c r="K460" s="45">
        <f>IF(A460="","",SUM(G$2:I460)-SUM(J$2:J460))</f>
        <v/>
      </c>
      <c r="L460" s="46" t="n"/>
      <c r="M460">
        <f>IF(A460="","",IF(A460=A459,M459,N(M459)+1))</f>
        <v/>
      </c>
      <c r="N460">
        <f>IF(E460="",99999,E460)</f>
        <v/>
      </c>
      <c r="O460">
        <f>IF(E460="",0,IF(F460="",E460,F460))</f>
        <v/>
      </c>
      <c r="P460">
        <f>IF(E460="",1,MAX(1,(YEAR(O460)-YEAR(N460))*12+MONTH(O460)-MONTH(N460)+1))</f>
        <v/>
      </c>
      <c r="Q460">
        <f>IF(G460="",0,G460/P460)</f>
        <v/>
      </c>
      <c r="R460">
        <f>IF(H460="",0,H460/P460)</f>
        <v/>
      </c>
    </row>
    <row r="461">
      <c r="A461" s="43" t="n"/>
      <c r="B461" s="28" t="n"/>
      <c r="C461" s="28" t="n"/>
      <c r="D461" s="28" t="n"/>
      <c r="E461" s="44" t="n"/>
      <c r="F461" s="44" t="n"/>
      <c r="G461" s="23" t="n"/>
      <c r="H461" s="23" t="n"/>
      <c r="I461" s="23" t="n"/>
      <c r="J461" s="23" t="n"/>
      <c r="K461" s="45">
        <f>IF(A461="","",SUM(G$2:I461)-SUM(J$2:J461))</f>
        <v/>
      </c>
      <c r="L461" s="46" t="n"/>
      <c r="M461">
        <f>IF(A461="","",IF(A461=A460,M460,N(M460)+1))</f>
        <v/>
      </c>
      <c r="N461">
        <f>IF(E461="",99999,E461)</f>
        <v/>
      </c>
      <c r="O461">
        <f>IF(E461="",0,IF(F461="",E461,F461))</f>
        <v/>
      </c>
      <c r="P461">
        <f>IF(E461="",1,MAX(1,(YEAR(O461)-YEAR(N461))*12+MONTH(O461)-MONTH(N461)+1))</f>
        <v/>
      </c>
      <c r="Q461">
        <f>IF(G461="",0,G461/P461)</f>
        <v/>
      </c>
      <c r="R461">
        <f>IF(H461="",0,H461/P461)</f>
        <v/>
      </c>
    </row>
    <row r="462">
      <c r="A462" s="43" t="n"/>
      <c r="B462" s="28" t="n"/>
      <c r="C462" s="28" t="n"/>
      <c r="D462" s="28" t="n"/>
      <c r="E462" s="44" t="n"/>
      <c r="F462" s="44" t="n"/>
      <c r="G462" s="23" t="n"/>
      <c r="H462" s="23" t="n"/>
      <c r="I462" s="23" t="n"/>
      <c r="J462" s="23" t="n"/>
      <c r="K462" s="45">
        <f>IF(A462="","",SUM(G$2:I462)-SUM(J$2:J462))</f>
        <v/>
      </c>
      <c r="L462" s="46" t="n"/>
      <c r="M462">
        <f>IF(A462="","",IF(A462=A461,M461,N(M461)+1))</f>
        <v/>
      </c>
      <c r="N462">
        <f>IF(E462="",99999,E462)</f>
        <v/>
      </c>
      <c r="O462">
        <f>IF(E462="",0,IF(F462="",E462,F462))</f>
        <v/>
      </c>
      <c r="P462">
        <f>IF(E462="",1,MAX(1,(YEAR(O462)-YEAR(N462))*12+MONTH(O462)-MONTH(N462)+1))</f>
        <v/>
      </c>
      <c r="Q462">
        <f>IF(G462="",0,G462/P462)</f>
        <v/>
      </c>
      <c r="R462">
        <f>IF(H462="",0,H462/P462)</f>
        <v/>
      </c>
    </row>
    <row r="463">
      <c r="A463" s="43" t="n"/>
      <c r="B463" s="28" t="n"/>
      <c r="C463" s="28" t="n"/>
      <c r="D463" s="28" t="n"/>
      <c r="E463" s="44" t="n"/>
      <c r="F463" s="44" t="n"/>
      <c r="G463" s="23" t="n"/>
      <c r="H463" s="23" t="n"/>
      <c r="I463" s="23" t="n"/>
      <c r="J463" s="23" t="n"/>
      <c r="K463" s="45">
        <f>IF(A463="","",SUM(G$2:I463)-SUM(J$2:J463))</f>
        <v/>
      </c>
      <c r="L463" s="46" t="n"/>
      <c r="M463">
        <f>IF(A463="","",IF(A463=A462,M462,N(M462)+1))</f>
        <v/>
      </c>
      <c r="N463">
        <f>IF(E463="",99999,E463)</f>
        <v/>
      </c>
      <c r="O463">
        <f>IF(E463="",0,IF(F463="",E463,F463))</f>
        <v/>
      </c>
      <c r="P463">
        <f>IF(E463="",1,MAX(1,(YEAR(O463)-YEAR(N463))*12+MONTH(O463)-MONTH(N463)+1))</f>
        <v/>
      </c>
      <c r="Q463">
        <f>IF(G463="",0,G463/P463)</f>
        <v/>
      </c>
      <c r="R463">
        <f>IF(H463="",0,H463/P463)</f>
        <v/>
      </c>
    </row>
    <row r="464">
      <c r="A464" s="43" t="n"/>
      <c r="B464" s="28" t="n"/>
      <c r="C464" s="28" t="n"/>
      <c r="D464" s="28" t="n"/>
      <c r="E464" s="44" t="n"/>
      <c r="F464" s="44" t="n"/>
      <c r="G464" s="23" t="n"/>
      <c r="H464" s="23" t="n"/>
      <c r="I464" s="23" t="n"/>
      <c r="J464" s="23" t="n"/>
      <c r="K464" s="45">
        <f>IF(A464="","",SUM(G$2:I464)-SUM(J$2:J464))</f>
        <v/>
      </c>
      <c r="L464" s="46" t="n"/>
      <c r="M464">
        <f>IF(A464="","",IF(A464=A463,M463,N(M463)+1))</f>
        <v/>
      </c>
      <c r="N464">
        <f>IF(E464="",99999,E464)</f>
        <v/>
      </c>
      <c r="O464">
        <f>IF(E464="",0,IF(F464="",E464,F464))</f>
        <v/>
      </c>
      <c r="P464">
        <f>IF(E464="",1,MAX(1,(YEAR(O464)-YEAR(N464))*12+MONTH(O464)-MONTH(N464)+1))</f>
        <v/>
      </c>
      <c r="Q464">
        <f>IF(G464="",0,G464/P464)</f>
        <v/>
      </c>
      <c r="R464">
        <f>IF(H464="",0,H464/P464)</f>
        <v/>
      </c>
    </row>
    <row r="465">
      <c r="A465" s="43" t="n"/>
      <c r="B465" s="28" t="n"/>
      <c r="C465" s="28" t="n"/>
      <c r="D465" s="28" t="n"/>
      <c r="E465" s="44" t="n"/>
      <c r="F465" s="44" t="n"/>
      <c r="G465" s="23" t="n"/>
      <c r="H465" s="23" t="n"/>
      <c r="I465" s="23" t="n"/>
      <c r="J465" s="23" t="n"/>
      <c r="K465" s="45">
        <f>IF(A465="","",SUM(G$2:I465)-SUM(J$2:J465))</f>
        <v/>
      </c>
      <c r="L465" s="46" t="n"/>
      <c r="M465">
        <f>IF(A465="","",IF(A465=A464,M464,N(M464)+1))</f>
        <v/>
      </c>
      <c r="N465">
        <f>IF(E465="",99999,E465)</f>
        <v/>
      </c>
      <c r="O465">
        <f>IF(E465="",0,IF(F465="",E465,F465))</f>
        <v/>
      </c>
      <c r="P465">
        <f>IF(E465="",1,MAX(1,(YEAR(O465)-YEAR(N465))*12+MONTH(O465)-MONTH(N465)+1))</f>
        <v/>
      </c>
      <c r="Q465">
        <f>IF(G465="",0,G465/P465)</f>
        <v/>
      </c>
      <c r="R465">
        <f>IF(H465="",0,H465/P465)</f>
        <v/>
      </c>
    </row>
    <row r="466">
      <c r="A466" s="43" t="n"/>
      <c r="B466" s="28" t="n"/>
      <c r="C466" s="28" t="n"/>
      <c r="D466" s="28" t="n"/>
      <c r="E466" s="44" t="n"/>
      <c r="F466" s="44" t="n"/>
      <c r="G466" s="23" t="n"/>
      <c r="H466" s="23" t="n"/>
      <c r="I466" s="23" t="n"/>
      <c r="J466" s="23" t="n"/>
      <c r="K466" s="45">
        <f>IF(A466="","",SUM(G$2:I466)-SUM(J$2:J466))</f>
        <v/>
      </c>
      <c r="L466" s="46" t="n"/>
      <c r="M466">
        <f>IF(A466="","",IF(A466=A465,M465,N(M465)+1))</f>
        <v/>
      </c>
      <c r="N466">
        <f>IF(E466="",99999,E466)</f>
        <v/>
      </c>
      <c r="O466">
        <f>IF(E466="",0,IF(F466="",E466,F466))</f>
        <v/>
      </c>
      <c r="P466">
        <f>IF(E466="",1,MAX(1,(YEAR(O466)-YEAR(N466))*12+MONTH(O466)-MONTH(N466)+1))</f>
        <v/>
      </c>
      <c r="Q466">
        <f>IF(G466="",0,G466/P466)</f>
        <v/>
      </c>
      <c r="R466">
        <f>IF(H466="",0,H466/P466)</f>
        <v/>
      </c>
    </row>
    <row r="467">
      <c r="A467" s="43" t="n"/>
      <c r="B467" s="28" t="n"/>
      <c r="C467" s="28" t="n"/>
      <c r="D467" s="28" t="n"/>
      <c r="E467" s="44" t="n"/>
      <c r="F467" s="44" t="n"/>
      <c r="G467" s="23" t="n"/>
      <c r="H467" s="23" t="n"/>
      <c r="I467" s="23" t="n"/>
      <c r="J467" s="23" t="n"/>
      <c r="K467" s="45">
        <f>IF(A467="","",SUM(G$2:I467)-SUM(J$2:J467))</f>
        <v/>
      </c>
      <c r="L467" s="46" t="n"/>
      <c r="M467">
        <f>IF(A467="","",IF(A467=A466,M466,N(M466)+1))</f>
        <v/>
      </c>
      <c r="N467">
        <f>IF(E467="",99999,E467)</f>
        <v/>
      </c>
      <c r="O467">
        <f>IF(E467="",0,IF(F467="",E467,F467))</f>
        <v/>
      </c>
      <c r="P467">
        <f>IF(E467="",1,MAX(1,(YEAR(O467)-YEAR(N467))*12+MONTH(O467)-MONTH(N467)+1))</f>
        <v/>
      </c>
      <c r="Q467">
        <f>IF(G467="",0,G467/P467)</f>
        <v/>
      </c>
      <c r="R467">
        <f>IF(H467="",0,H467/P467)</f>
        <v/>
      </c>
    </row>
    <row r="468">
      <c r="A468" s="43" t="n"/>
      <c r="B468" s="28" t="n"/>
      <c r="C468" s="28" t="n"/>
      <c r="D468" s="28" t="n"/>
      <c r="E468" s="44" t="n"/>
      <c r="F468" s="44" t="n"/>
      <c r="G468" s="23" t="n"/>
      <c r="H468" s="23" t="n"/>
      <c r="I468" s="23" t="n"/>
      <c r="J468" s="23" t="n"/>
      <c r="K468" s="45">
        <f>IF(A468="","",SUM(G$2:I468)-SUM(J$2:J468))</f>
        <v/>
      </c>
      <c r="L468" s="46" t="n"/>
      <c r="M468">
        <f>IF(A468="","",IF(A468=A467,M467,N(M467)+1))</f>
        <v/>
      </c>
      <c r="N468">
        <f>IF(E468="",99999,E468)</f>
        <v/>
      </c>
      <c r="O468">
        <f>IF(E468="",0,IF(F468="",E468,F468))</f>
        <v/>
      </c>
      <c r="P468">
        <f>IF(E468="",1,MAX(1,(YEAR(O468)-YEAR(N468))*12+MONTH(O468)-MONTH(N468)+1))</f>
        <v/>
      </c>
      <c r="Q468">
        <f>IF(G468="",0,G468/P468)</f>
        <v/>
      </c>
      <c r="R468">
        <f>IF(H468="",0,H468/P468)</f>
        <v/>
      </c>
    </row>
    <row r="469">
      <c r="A469" s="43" t="n"/>
      <c r="B469" s="28" t="n"/>
      <c r="C469" s="28" t="n"/>
      <c r="D469" s="28" t="n"/>
      <c r="E469" s="44" t="n"/>
      <c r="F469" s="44" t="n"/>
      <c r="G469" s="23" t="n"/>
      <c r="H469" s="23" t="n"/>
      <c r="I469" s="23" t="n"/>
      <c r="J469" s="23" t="n"/>
      <c r="K469" s="45">
        <f>IF(A469="","",SUM(G$2:I469)-SUM(J$2:J469))</f>
        <v/>
      </c>
      <c r="L469" s="46" t="n"/>
      <c r="M469">
        <f>IF(A469="","",IF(A469=A468,M468,N(M468)+1))</f>
        <v/>
      </c>
      <c r="N469">
        <f>IF(E469="",99999,E469)</f>
        <v/>
      </c>
      <c r="O469">
        <f>IF(E469="",0,IF(F469="",E469,F469))</f>
        <v/>
      </c>
      <c r="P469">
        <f>IF(E469="",1,MAX(1,(YEAR(O469)-YEAR(N469))*12+MONTH(O469)-MONTH(N469)+1))</f>
        <v/>
      </c>
      <c r="Q469">
        <f>IF(G469="",0,G469/P469)</f>
        <v/>
      </c>
      <c r="R469">
        <f>IF(H469="",0,H469/P469)</f>
        <v/>
      </c>
    </row>
    <row r="470">
      <c r="A470" s="43" t="n"/>
      <c r="B470" s="28" t="n"/>
      <c r="C470" s="28" t="n"/>
      <c r="D470" s="28" t="n"/>
      <c r="E470" s="44" t="n"/>
      <c r="F470" s="44" t="n"/>
      <c r="G470" s="23" t="n"/>
      <c r="H470" s="23" t="n"/>
      <c r="I470" s="23" t="n"/>
      <c r="J470" s="23" t="n"/>
      <c r="K470" s="45">
        <f>IF(A470="","",SUM(G$2:I470)-SUM(J$2:J470))</f>
        <v/>
      </c>
      <c r="L470" s="46" t="n"/>
      <c r="M470">
        <f>IF(A470="","",IF(A470=A469,M469,N(M469)+1))</f>
        <v/>
      </c>
      <c r="N470">
        <f>IF(E470="",99999,E470)</f>
        <v/>
      </c>
      <c r="O470">
        <f>IF(E470="",0,IF(F470="",E470,F470))</f>
        <v/>
      </c>
      <c r="P470">
        <f>IF(E470="",1,MAX(1,(YEAR(O470)-YEAR(N470))*12+MONTH(O470)-MONTH(N470)+1))</f>
        <v/>
      </c>
      <c r="Q470">
        <f>IF(G470="",0,G470/P470)</f>
        <v/>
      </c>
      <c r="R470">
        <f>IF(H470="",0,H470/P470)</f>
        <v/>
      </c>
    </row>
    <row r="471">
      <c r="A471" s="43" t="n"/>
      <c r="B471" s="28" t="n"/>
      <c r="C471" s="28" t="n"/>
      <c r="D471" s="28" t="n"/>
      <c r="E471" s="44" t="n"/>
      <c r="F471" s="44" t="n"/>
      <c r="G471" s="23" t="n"/>
      <c r="H471" s="23" t="n"/>
      <c r="I471" s="23" t="n"/>
      <c r="J471" s="23" t="n"/>
      <c r="K471" s="45">
        <f>IF(A471="","",SUM(G$2:I471)-SUM(J$2:J471))</f>
        <v/>
      </c>
      <c r="L471" s="46" t="n"/>
      <c r="M471">
        <f>IF(A471="","",IF(A471=A470,M470,N(M470)+1))</f>
        <v/>
      </c>
      <c r="N471">
        <f>IF(E471="",99999,E471)</f>
        <v/>
      </c>
      <c r="O471">
        <f>IF(E471="",0,IF(F471="",E471,F471))</f>
        <v/>
      </c>
      <c r="P471">
        <f>IF(E471="",1,MAX(1,(YEAR(O471)-YEAR(N471))*12+MONTH(O471)-MONTH(N471)+1))</f>
        <v/>
      </c>
      <c r="Q471">
        <f>IF(G471="",0,G471/P471)</f>
        <v/>
      </c>
      <c r="R471">
        <f>IF(H471="",0,H471/P471)</f>
        <v/>
      </c>
    </row>
    <row r="472">
      <c r="A472" s="43" t="n"/>
      <c r="B472" s="28" t="n"/>
      <c r="C472" s="28" t="n"/>
      <c r="D472" s="28" t="n"/>
      <c r="E472" s="44" t="n"/>
      <c r="F472" s="44" t="n"/>
      <c r="G472" s="23" t="n"/>
      <c r="H472" s="23" t="n"/>
      <c r="I472" s="23" t="n"/>
      <c r="J472" s="23" t="n"/>
      <c r="K472" s="45">
        <f>IF(A472="","",SUM(G$2:I472)-SUM(J$2:J472))</f>
        <v/>
      </c>
      <c r="L472" s="46" t="n"/>
      <c r="M472">
        <f>IF(A472="","",IF(A472=A471,M471,N(M471)+1))</f>
        <v/>
      </c>
      <c r="N472">
        <f>IF(E472="",99999,E472)</f>
        <v/>
      </c>
      <c r="O472">
        <f>IF(E472="",0,IF(F472="",E472,F472))</f>
        <v/>
      </c>
      <c r="P472">
        <f>IF(E472="",1,MAX(1,(YEAR(O472)-YEAR(N472))*12+MONTH(O472)-MONTH(N472)+1))</f>
        <v/>
      </c>
      <c r="Q472">
        <f>IF(G472="",0,G472/P472)</f>
        <v/>
      </c>
      <c r="R472">
        <f>IF(H472="",0,H472/P472)</f>
        <v/>
      </c>
    </row>
    <row r="473">
      <c r="A473" s="43" t="n"/>
      <c r="B473" s="28" t="n"/>
      <c r="C473" s="28" t="n"/>
      <c r="D473" s="28" t="n"/>
      <c r="E473" s="44" t="n"/>
      <c r="F473" s="44" t="n"/>
      <c r="G473" s="23" t="n"/>
      <c r="H473" s="23" t="n"/>
      <c r="I473" s="23" t="n"/>
      <c r="J473" s="23" t="n"/>
      <c r="K473" s="45">
        <f>IF(A473="","",SUM(G$2:I473)-SUM(J$2:J473))</f>
        <v/>
      </c>
      <c r="L473" s="46" t="n"/>
      <c r="M473">
        <f>IF(A473="","",IF(A473=A472,M472,N(M472)+1))</f>
        <v/>
      </c>
      <c r="N473">
        <f>IF(E473="",99999,E473)</f>
        <v/>
      </c>
      <c r="O473">
        <f>IF(E473="",0,IF(F473="",E473,F473))</f>
        <v/>
      </c>
      <c r="P473">
        <f>IF(E473="",1,MAX(1,(YEAR(O473)-YEAR(N473))*12+MONTH(O473)-MONTH(N473)+1))</f>
        <v/>
      </c>
      <c r="Q473">
        <f>IF(G473="",0,G473/P473)</f>
        <v/>
      </c>
      <c r="R473">
        <f>IF(H473="",0,H473/P473)</f>
        <v/>
      </c>
    </row>
    <row r="474">
      <c r="A474" s="43" t="n"/>
      <c r="B474" s="28" t="n"/>
      <c r="C474" s="28" t="n"/>
      <c r="D474" s="28" t="n"/>
      <c r="E474" s="44" t="n"/>
      <c r="F474" s="44" t="n"/>
      <c r="G474" s="23" t="n"/>
      <c r="H474" s="23" t="n"/>
      <c r="I474" s="23" t="n"/>
      <c r="J474" s="23" t="n"/>
      <c r="K474" s="45">
        <f>IF(A474="","",SUM(G$2:I474)-SUM(J$2:J474))</f>
        <v/>
      </c>
      <c r="L474" s="46" t="n"/>
      <c r="M474">
        <f>IF(A474="","",IF(A474=A473,M473,N(M473)+1))</f>
        <v/>
      </c>
      <c r="N474">
        <f>IF(E474="",99999,E474)</f>
        <v/>
      </c>
      <c r="O474">
        <f>IF(E474="",0,IF(F474="",E474,F474))</f>
        <v/>
      </c>
      <c r="P474">
        <f>IF(E474="",1,MAX(1,(YEAR(O474)-YEAR(N474))*12+MONTH(O474)-MONTH(N474)+1))</f>
        <v/>
      </c>
      <c r="Q474">
        <f>IF(G474="",0,G474/P474)</f>
        <v/>
      </c>
      <c r="R474">
        <f>IF(H474="",0,H474/P474)</f>
        <v/>
      </c>
    </row>
    <row r="475">
      <c r="A475" s="43" t="n"/>
      <c r="B475" s="28" t="n"/>
      <c r="C475" s="28" t="n"/>
      <c r="D475" s="28" t="n"/>
      <c r="E475" s="44" t="n"/>
      <c r="F475" s="44" t="n"/>
      <c r="G475" s="23" t="n"/>
      <c r="H475" s="23" t="n"/>
      <c r="I475" s="23" t="n"/>
      <c r="J475" s="23" t="n"/>
      <c r="K475" s="45">
        <f>IF(A475="","",SUM(G$2:I475)-SUM(J$2:J475))</f>
        <v/>
      </c>
      <c r="L475" s="46" t="n"/>
      <c r="M475">
        <f>IF(A475="","",IF(A475=A474,M474,N(M474)+1))</f>
        <v/>
      </c>
      <c r="N475">
        <f>IF(E475="",99999,E475)</f>
        <v/>
      </c>
      <c r="O475">
        <f>IF(E475="",0,IF(F475="",E475,F475))</f>
        <v/>
      </c>
      <c r="P475">
        <f>IF(E475="",1,MAX(1,(YEAR(O475)-YEAR(N475))*12+MONTH(O475)-MONTH(N475)+1))</f>
        <v/>
      </c>
      <c r="Q475">
        <f>IF(G475="",0,G475/P475)</f>
        <v/>
      </c>
      <c r="R475">
        <f>IF(H475="",0,H475/P475)</f>
        <v/>
      </c>
    </row>
    <row r="476">
      <c r="A476" s="43" t="n"/>
      <c r="B476" s="28" t="n"/>
      <c r="C476" s="28" t="n"/>
      <c r="D476" s="28" t="n"/>
      <c r="E476" s="44" t="n"/>
      <c r="F476" s="44" t="n"/>
      <c r="G476" s="23" t="n"/>
      <c r="H476" s="23" t="n"/>
      <c r="I476" s="23" t="n"/>
      <c r="J476" s="23" t="n"/>
      <c r="K476" s="45">
        <f>IF(A476="","",SUM(G$2:I476)-SUM(J$2:J476))</f>
        <v/>
      </c>
      <c r="L476" s="46" t="n"/>
      <c r="M476">
        <f>IF(A476="","",IF(A476=A475,M475,N(M475)+1))</f>
        <v/>
      </c>
      <c r="N476">
        <f>IF(E476="",99999,E476)</f>
        <v/>
      </c>
      <c r="O476">
        <f>IF(E476="",0,IF(F476="",E476,F476))</f>
        <v/>
      </c>
      <c r="P476">
        <f>IF(E476="",1,MAX(1,(YEAR(O476)-YEAR(N476))*12+MONTH(O476)-MONTH(N476)+1))</f>
        <v/>
      </c>
      <c r="Q476">
        <f>IF(G476="",0,G476/P476)</f>
        <v/>
      </c>
      <c r="R476">
        <f>IF(H476="",0,H476/P476)</f>
        <v/>
      </c>
    </row>
    <row r="477">
      <c r="A477" s="43" t="n"/>
      <c r="B477" s="28" t="n"/>
      <c r="C477" s="28" t="n"/>
      <c r="D477" s="28" t="n"/>
      <c r="E477" s="44" t="n"/>
      <c r="F477" s="44" t="n"/>
      <c r="G477" s="23" t="n"/>
      <c r="H477" s="23" t="n"/>
      <c r="I477" s="23" t="n"/>
      <c r="J477" s="23" t="n"/>
      <c r="K477" s="45">
        <f>IF(A477="","",SUM(G$2:I477)-SUM(J$2:J477))</f>
        <v/>
      </c>
      <c r="L477" s="46" t="n"/>
      <c r="M477">
        <f>IF(A477="","",IF(A477=A476,M476,N(M476)+1))</f>
        <v/>
      </c>
      <c r="N477">
        <f>IF(E477="",99999,E477)</f>
        <v/>
      </c>
      <c r="O477">
        <f>IF(E477="",0,IF(F477="",E477,F477))</f>
        <v/>
      </c>
      <c r="P477">
        <f>IF(E477="",1,MAX(1,(YEAR(O477)-YEAR(N477))*12+MONTH(O477)-MONTH(N477)+1))</f>
        <v/>
      </c>
      <c r="Q477">
        <f>IF(G477="",0,G477/P477)</f>
        <v/>
      </c>
      <c r="R477">
        <f>IF(H477="",0,H477/P477)</f>
        <v/>
      </c>
    </row>
    <row r="478">
      <c r="A478" s="43" t="n"/>
      <c r="B478" s="28" t="n"/>
      <c r="C478" s="28" t="n"/>
      <c r="D478" s="28" t="n"/>
      <c r="E478" s="44" t="n"/>
      <c r="F478" s="44" t="n"/>
      <c r="G478" s="23" t="n"/>
      <c r="H478" s="23" t="n"/>
      <c r="I478" s="23" t="n"/>
      <c r="J478" s="23" t="n"/>
      <c r="K478" s="45">
        <f>IF(A478="","",SUM(G$2:I478)-SUM(J$2:J478))</f>
        <v/>
      </c>
      <c r="L478" s="46" t="n"/>
      <c r="M478">
        <f>IF(A478="","",IF(A478=A477,M477,N(M477)+1))</f>
        <v/>
      </c>
      <c r="N478">
        <f>IF(E478="",99999,E478)</f>
        <v/>
      </c>
      <c r="O478">
        <f>IF(E478="",0,IF(F478="",E478,F478))</f>
        <v/>
      </c>
      <c r="P478">
        <f>IF(E478="",1,MAX(1,(YEAR(O478)-YEAR(N478))*12+MONTH(O478)-MONTH(N478)+1))</f>
        <v/>
      </c>
      <c r="Q478">
        <f>IF(G478="",0,G478/P478)</f>
        <v/>
      </c>
      <c r="R478">
        <f>IF(H478="",0,H478/P478)</f>
        <v/>
      </c>
    </row>
    <row r="479">
      <c r="A479" s="43" t="n"/>
      <c r="B479" s="28" t="n"/>
      <c r="C479" s="28" t="n"/>
      <c r="D479" s="28" t="n"/>
      <c r="E479" s="44" t="n"/>
      <c r="F479" s="44" t="n"/>
      <c r="G479" s="23" t="n"/>
      <c r="H479" s="23" t="n"/>
      <c r="I479" s="23" t="n"/>
      <c r="J479" s="23" t="n"/>
      <c r="K479" s="45">
        <f>IF(A479="","",SUM(G$2:I479)-SUM(J$2:J479))</f>
        <v/>
      </c>
      <c r="L479" s="46" t="n"/>
      <c r="M479">
        <f>IF(A479="","",IF(A479=A478,M478,N(M478)+1))</f>
        <v/>
      </c>
      <c r="N479">
        <f>IF(E479="",99999,E479)</f>
        <v/>
      </c>
      <c r="O479">
        <f>IF(E479="",0,IF(F479="",E479,F479))</f>
        <v/>
      </c>
      <c r="P479">
        <f>IF(E479="",1,MAX(1,(YEAR(O479)-YEAR(N479))*12+MONTH(O479)-MONTH(N479)+1))</f>
        <v/>
      </c>
      <c r="Q479">
        <f>IF(G479="",0,G479/P479)</f>
        <v/>
      </c>
      <c r="R479">
        <f>IF(H479="",0,H479/P479)</f>
        <v/>
      </c>
    </row>
    <row r="480">
      <c r="A480" s="43" t="n"/>
      <c r="B480" s="28" t="n"/>
      <c r="C480" s="28" t="n"/>
      <c r="D480" s="28" t="n"/>
      <c r="E480" s="44" t="n"/>
      <c r="F480" s="44" t="n"/>
      <c r="G480" s="23" t="n"/>
      <c r="H480" s="23" t="n"/>
      <c r="I480" s="23" t="n"/>
      <c r="J480" s="23" t="n"/>
      <c r="K480" s="45">
        <f>IF(A480="","",SUM(G$2:I480)-SUM(J$2:J480))</f>
        <v/>
      </c>
      <c r="L480" s="46" t="n"/>
      <c r="M480">
        <f>IF(A480="","",IF(A480=A479,M479,N(M479)+1))</f>
        <v/>
      </c>
      <c r="N480">
        <f>IF(E480="",99999,E480)</f>
        <v/>
      </c>
      <c r="O480">
        <f>IF(E480="",0,IF(F480="",E480,F480))</f>
        <v/>
      </c>
      <c r="P480">
        <f>IF(E480="",1,MAX(1,(YEAR(O480)-YEAR(N480))*12+MONTH(O480)-MONTH(N480)+1))</f>
        <v/>
      </c>
      <c r="Q480">
        <f>IF(G480="",0,G480/P480)</f>
        <v/>
      </c>
      <c r="R480">
        <f>IF(H480="",0,H480/P480)</f>
        <v/>
      </c>
    </row>
    <row r="481">
      <c r="A481" s="43" t="n"/>
      <c r="B481" s="28" t="n"/>
      <c r="C481" s="28" t="n"/>
      <c r="D481" s="28" t="n"/>
      <c r="E481" s="44" t="n"/>
      <c r="F481" s="44" t="n"/>
      <c r="G481" s="23" t="n"/>
      <c r="H481" s="23" t="n"/>
      <c r="I481" s="23" t="n"/>
      <c r="J481" s="23" t="n"/>
      <c r="K481" s="45">
        <f>IF(A481="","",SUM(G$2:I481)-SUM(J$2:J481))</f>
        <v/>
      </c>
      <c r="L481" s="46" t="n"/>
      <c r="M481">
        <f>IF(A481="","",IF(A481=A480,M480,N(M480)+1))</f>
        <v/>
      </c>
      <c r="N481">
        <f>IF(E481="",99999,E481)</f>
        <v/>
      </c>
      <c r="O481">
        <f>IF(E481="",0,IF(F481="",E481,F481))</f>
        <v/>
      </c>
      <c r="P481">
        <f>IF(E481="",1,MAX(1,(YEAR(O481)-YEAR(N481))*12+MONTH(O481)-MONTH(N481)+1))</f>
        <v/>
      </c>
      <c r="Q481">
        <f>IF(G481="",0,G481/P481)</f>
        <v/>
      </c>
      <c r="R481">
        <f>IF(H481="",0,H481/P481)</f>
        <v/>
      </c>
    </row>
    <row r="482">
      <c r="A482" s="43" t="n"/>
      <c r="B482" s="28" t="n"/>
      <c r="C482" s="28" t="n"/>
      <c r="D482" s="28" t="n"/>
      <c r="E482" s="44" t="n"/>
      <c r="F482" s="44" t="n"/>
      <c r="G482" s="23" t="n"/>
      <c r="H482" s="23" t="n"/>
      <c r="I482" s="23" t="n"/>
      <c r="J482" s="23" t="n"/>
      <c r="K482" s="45">
        <f>IF(A482="","",SUM(G$2:I482)-SUM(J$2:J482))</f>
        <v/>
      </c>
      <c r="L482" s="46" t="n"/>
      <c r="M482">
        <f>IF(A482="","",IF(A482=A481,M481,N(M481)+1))</f>
        <v/>
      </c>
      <c r="N482">
        <f>IF(E482="",99999,E482)</f>
        <v/>
      </c>
      <c r="O482">
        <f>IF(E482="",0,IF(F482="",E482,F482))</f>
        <v/>
      </c>
      <c r="P482">
        <f>IF(E482="",1,MAX(1,(YEAR(O482)-YEAR(N482))*12+MONTH(O482)-MONTH(N482)+1))</f>
        <v/>
      </c>
      <c r="Q482">
        <f>IF(G482="",0,G482/P482)</f>
        <v/>
      </c>
      <c r="R482">
        <f>IF(H482="",0,H482/P482)</f>
        <v/>
      </c>
    </row>
    <row r="483">
      <c r="A483" s="43" t="n"/>
      <c r="B483" s="28" t="n"/>
      <c r="C483" s="28" t="n"/>
      <c r="D483" s="28" t="n"/>
      <c r="E483" s="44" t="n"/>
      <c r="F483" s="44" t="n"/>
      <c r="G483" s="23" t="n"/>
      <c r="H483" s="23" t="n"/>
      <c r="I483" s="23" t="n"/>
      <c r="J483" s="23" t="n"/>
      <c r="K483" s="45">
        <f>IF(A483="","",SUM(G$2:I483)-SUM(J$2:J483))</f>
        <v/>
      </c>
      <c r="L483" s="46" t="n"/>
      <c r="M483">
        <f>IF(A483="","",IF(A483=A482,M482,N(M482)+1))</f>
        <v/>
      </c>
      <c r="N483">
        <f>IF(E483="",99999,E483)</f>
        <v/>
      </c>
      <c r="O483">
        <f>IF(E483="",0,IF(F483="",E483,F483))</f>
        <v/>
      </c>
      <c r="P483">
        <f>IF(E483="",1,MAX(1,(YEAR(O483)-YEAR(N483))*12+MONTH(O483)-MONTH(N483)+1))</f>
        <v/>
      </c>
      <c r="Q483">
        <f>IF(G483="",0,G483/P483)</f>
        <v/>
      </c>
      <c r="R483">
        <f>IF(H483="",0,H483/P483)</f>
        <v/>
      </c>
    </row>
    <row r="484">
      <c r="A484" s="43" t="n"/>
      <c r="B484" s="28" t="n"/>
      <c r="C484" s="28" t="n"/>
      <c r="D484" s="28" t="n"/>
      <c r="E484" s="44" t="n"/>
      <c r="F484" s="44" t="n"/>
      <c r="G484" s="23" t="n"/>
      <c r="H484" s="23" t="n"/>
      <c r="I484" s="23" t="n"/>
      <c r="J484" s="23" t="n"/>
      <c r="K484" s="45">
        <f>IF(A484="","",SUM(G$2:I484)-SUM(J$2:J484))</f>
        <v/>
      </c>
      <c r="L484" s="46" t="n"/>
      <c r="M484">
        <f>IF(A484="","",IF(A484=A483,M483,N(M483)+1))</f>
        <v/>
      </c>
      <c r="N484">
        <f>IF(E484="",99999,E484)</f>
        <v/>
      </c>
      <c r="O484">
        <f>IF(E484="",0,IF(F484="",E484,F484))</f>
        <v/>
      </c>
      <c r="P484">
        <f>IF(E484="",1,MAX(1,(YEAR(O484)-YEAR(N484))*12+MONTH(O484)-MONTH(N484)+1))</f>
        <v/>
      </c>
      <c r="Q484">
        <f>IF(G484="",0,G484/P484)</f>
        <v/>
      </c>
      <c r="R484">
        <f>IF(H484="",0,H484/P484)</f>
        <v/>
      </c>
    </row>
    <row r="485">
      <c r="A485" s="43" t="n"/>
      <c r="B485" s="28" t="n"/>
      <c r="C485" s="28" t="n"/>
      <c r="D485" s="28" t="n"/>
      <c r="E485" s="44" t="n"/>
      <c r="F485" s="44" t="n"/>
      <c r="G485" s="23" t="n"/>
      <c r="H485" s="23" t="n"/>
      <c r="I485" s="23" t="n"/>
      <c r="J485" s="23" t="n"/>
      <c r="K485" s="45">
        <f>IF(A485="","",SUM(G$2:I485)-SUM(J$2:J485))</f>
        <v/>
      </c>
      <c r="L485" s="46" t="n"/>
      <c r="M485">
        <f>IF(A485="","",IF(A485=A484,M484,N(M484)+1))</f>
        <v/>
      </c>
      <c r="N485">
        <f>IF(E485="",99999,E485)</f>
        <v/>
      </c>
      <c r="O485">
        <f>IF(E485="",0,IF(F485="",E485,F485))</f>
        <v/>
      </c>
      <c r="P485">
        <f>IF(E485="",1,MAX(1,(YEAR(O485)-YEAR(N485))*12+MONTH(O485)-MONTH(N485)+1))</f>
        <v/>
      </c>
      <c r="Q485">
        <f>IF(G485="",0,G485/P485)</f>
        <v/>
      </c>
      <c r="R485">
        <f>IF(H485="",0,H485/P485)</f>
        <v/>
      </c>
    </row>
    <row r="486">
      <c r="A486" s="43" t="n"/>
      <c r="B486" s="28" t="n"/>
      <c r="C486" s="28" t="n"/>
      <c r="D486" s="28" t="n"/>
      <c r="E486" s="44" t="n"/>
      <c r="F486" s="44" t="n"/>
      <c r="G486" s="23" t="n"/>
      <c r="H486" s="23" t="n"/>
      <c r="I486" s="23" t="n"/>
      <c r="J486" s="23" t="n"/>
      <c r="K486" s="45">
        <f>IF(A486="","",SUM(G$2:I486)-SUM(J$2:J486))</f>
        <v/>
      </c>
      <c r="L486" s="46" t="n"/>
      <c r="M486">
        <f>IF(A486="","",IF(A486=A485,M485,N(M485)+1))</f>
        <v/>
      </c>
      <c r="N486">
        <f>IF(E486="",99999,E486)</f>
        <v/>
      </c>
      <c r="O486">
        <f>IF(E486="",0,IF(F486="",E486,F486))</f>
        <v/>
      </c>
      <c r="P486">
        <f>IF(E486="",1,MAX(1,(YEAR(O486)-YEAR(N486))*12+MONTH(O486)-MONTH(N486)+1))</f>
        <v/>
      </c>
      <c r="Q486">
        <f>IF(G486="",0,G486/P486)</f>
        <v/>
      </c>
      <c r="R486">
        <f>IF(H486="",0,H486/P486)</f>
        <v/>
      </c>
    </row>
    <row r="487">
      <c r="A487" s="43" t="n"/>
      <c r="B487" s="28" t="n"/>
      <c r="C487" s="28" t="n"/>
      <c r="D487" s="28" t="n"/>
      <c r="E487" s="44" t="n"/>
      <c r="F487" s="44" t="n"/>
      <c r="G487" s="23" t="n"/>
      <c r="H487" s="23" t="n"/>
      <c r="I487" s="23" t="n"/>
      <c r="J487" s="23" t="n"/>
      <c r="K487" s="45">
        <f>IF(A487="","",SUM(G$2:I487)-SUM(J$2:J487))</f>
        <v/>
      </c>
      <c r="L487" s="46" t="n"/>
      <c r="M487">
        <f>IF(A487="","",IF(A487=A486,M486,N(M486)+1))</f>
        <v/>
      </c>
      <c r="N487">
        <f>IF(E487="",99999,E487)</f>
        <v/>
      </c>
      <c r="O487">
        <f>IF(E487="",0,IF(F487="",E487,F487))</f>
        <v/>
      </c>
      <c r="P487">
        <f>IF(E487="",1,MAX(1,(YEAR(O487)-YEAR(N487))*12+MONTH(O487)-MONTH(N487)+1))</f>
        <v/>
      </c>
      <c r="Q487">
        <f>IF(G487="",0,G487/P487)</f>
        <v/>
      </c>
      <c r="R487">
        <f>IF(H487="",0,H487/P487)</f>
        <v/>
      </c>
    </row>
    <row r="488">
      <c r="A488" s="43" t="n"/>
      <c r="B488" s="28" t="n"/>
      <c r="C488" s="28" t="n"/>
      <c r="D488" s="28" t="n"/>
      <c r="E488" s="44" t="n"/>
      <c r="F488" s="44" t="n"/>
      <c r="G488" s="23" t="n"/>
      <c r="H488" s="23" t="n"/>
      <c r="I488" s="23" t="n"/>
      <c r="J488" s="23" t="n"/>
      <c r="K488" s="45">
        <f>IF(A488="","",SUM(G$2:I488)-SUM(J$2:J488))</f>
        <v/>
      </c>
      <c r="L488" s="46" t="n"/>
      <c r="M488">
        <f>IF(A488="","",IF(A488=A487,M487,N(M487)+1))</f>
        <v/>
      </c>
      <c r="N488">
        <f>IF(E488="",99999,E488)</f>
        <v/>
      </c>
      <c r="O488">
        <f>IF(E488="",0,IF(F488="",E488,F488))</f>
        <v/>
      </c>
      <c r="P488">
        <f>IF(E488="",1,MAX(1,(YEAR(O488)-YEAR(N488))*12+MONTH(O488)-MONTH(N488)+1))</f>
        <v/>
      </c>
      <c r="Q488">
        <f>IF(G488="",0,G488/P488)</f>
        <v/>
      </c>
      <c r="R488">
        <f>IF(H488="",0,H488/P488)</f>
        <v/>
      </c>
    </row>
    <row r="489">
      <c r="A489" s="43" t="n"/>
      <c r="B489" s="28" t="n"/>
      <c r="C489" s="28" t="n"/>
      <c r="D489" s="28" t="n"/>
      <c r="E489" s="44" t="n"/>
      <c r="F489" s="44" t="n"/>
      <c r="G489" s="23" t="n"/>
      <c r="H489" s="23" t="n"/>
      <c r="I489" s="23" t="n"/>
      <c r="J489" s="23" t="n"/>
      <c r="K489" s="45">
        <f>IF(A489="","",SUM(G$2:I489)-SUM(J$2:J489))</f>
        <v/>
      </c>
      <c r="L489" s="46" t="n"/>
      <c r="M489">
        <f>IF(A489="","",IF(A489=A488,M488,N(M488)+1))</f>
        <v/>
      </c>
      <c r="N489">
        <f>IF(E489="",99999,E489)</f>
        <v/>
      </c>
      <c r="O489">
        <f>IF(E489="",0,IF(F489="",E489,F489))</f>
        <v/>
      </c>
      <c r="P489">
        <f>IF(E489="",1,MAX(1,(YEAR(O489)-YEAR(N489))*12+MONTH(O489)-MONTH(N489)+1))</f>
        <v/>
      </c>
      <c r="Q489">
        <f>IF(G489="",0,G489/P489)</f>
        <v/>
      </c>
      <c r="R489">
        <f>IF(H489="",0,H489/P489)</f>
        <v/>
      </c>
    </row>
    <row r="490">
      <c r="A490" s="43" t="n"/>
      <c r="B490" s="28" t="n"/>
      <c r="C490" s="28" t="n"/>
      <c r="D490" s="28" t="n"/>
      <c r="E490" s="44" t="n"/>
      <c r="F490" s="44" t="n"/>
      <c r="G490" s="23" t="n"/>
      <c r="H490" s="23" t="n"/>
      <c r="I490" s="23" t="n"/>
      <c r="J490" s="23" t="n"/>
      <c r="K490" s="45">
        <f>IF(A490="","",SUM(G$2:I490)-SUM(J$2:J490))</f>
        <v/>
      </c>
      <c r="L490" s="46" t="n"/>
      <c r="M490">
        <f>IF(A490="","",IF(A490=A489,M489,N(M489)+1))</f>
        <v/>
      </c>
      <c r="N490">
        <f>IF(E490="",99999,E490)</f>
        <v/>
      </c>
      <c r="O490">
        <f>IF(E490="",0,IF(F490="",E490,F490))</f>
        <v/>
      </c>
      <c r="P490">
        <f>IF(E490="",1,MAX(1,(YEAR(O490)-YEAR(N490))*12+MONTH(O490)-MONTH(N490)+1))</f>
        <v/>
      </c>
      <c r="Q490">
        <f>IF(G490="",0,G490/P490)</f>
        <v/>
      </c>
      <c r="R490">
        <f>IF(H490="",0,H490/P490)</f>
        <v/>
      </c>
    </row>
    <row r="491">
      <c r="A491" s="43" t="n"/>
      <c r="B491" s="28" t="n"/>
      <c r="C491" s="28" t="n"/>
      <c r="D491" s="28" t="n"/>
      <c r="E491" s="44" t="n"/>
      <c r="F491" s="44" t="n"/>
      <c r="G491" s="23" t="n"/>
      <c r="H491" s="23" t="n"/>
      <c r="I491" s="23" t="n"/>
      <c r="J491" s="23" t="n"/>
      <c r="K491" s="45">
        <f>IF(A491="","",SUM(G$2:I491)-SUM(J$2:J491))</f>
        <v/>
      </c>
      <c r="L491" s="46" t="n"/>
      <c r="M491">
        <f>IF(A491="","",IF(A491=A490,M490,N(M490)+1))</f>
        <v/>
      </c>
      <c r="N491">
        <f>IF(E491="",99999,E491)</f>
        <v/>
      </c>
      <c r="O491">
        <f>IF(E491="",0,IF(F491="",E491,F491))</f>
        <v/>
      </c>
      <c r="P491">
        <f>IF(E491="",1,MAX(1,(YEAR(O491)-YEAR(N491))*12+MONTH(O491)-MONTH(N491)+1))</f>
        <v/>
      </c>
      <c r="Q491">
        <f>IF(G491="",0,G491/P491)</f>
        <v/>
      </c>
      <c r="R491">
        <f>IF(H491="",0,H491/P491)</f>
        <v/>
      </c>
    </row>
    <row r="492">
      <c r="A492" s="43" t="n"/>
      <c r="B492" s="28" t="n"/>
      <c r="C492" s="28" t="n"/>
      <c r="D492" s="28" t="n"/>
      <c r="E492" s="44" t="n"/>
      <c r="F492" s="44" t="n"/>
      <c r="G492" s="23" t="n"/>
      <c r="H492" s="23" t="n"/>
      <c r="I492" s="23" t="n"/>
      <c r="J492" s="23" t="n"/>
      <c r="K492" s="45">
        <f>IF(A492="","",SUM(G$2:I492)-SUM(J$2:J492))</f>
        <v/>
      </c>
      <c r="L492" s="46" t="n"/>
      <c r="M492">
        <f>IF(A492="","",IF(A492=A491,M491,N(M491)+1))</f>
        <v/>
      </c>
      <c r="N492">
        <f>IF(E492="",99999,E492)</f>
        <v/>
      </c>
      <c r="O492">
        <f>IF(E492="",0,IF(F492="",E492,F492))</f>
        <v/>
      </c>
      <c r="P492">
        <f>IF(E492="",1,MAX(1,(YEAR(O492)-YEAR(N492))*12+MONTH(O492)-MONTH(N492)+1))</f>
        <v/>
      </c>
      <c r="Q492">
        <f>IF(G492="",0,G492/P492)</f>
        <v/>
      </c>
      <c r="R492">
        <f>IF(H492="",0,H492/P492)</f>
        <v/>
      </c>
    </row>
    <row r="493">
      <c r="A493" s="43" t="n"/>
      <c r="B493" s="28" t="n"/>
      <c r="C493" s="28" t="n"/>
      <c r="D493" s="28" t="n"/>
      <c r="E493" s="44" t="n"/>
      <c r="F493" s="44" t="n"/>
      <c r="G493" s="23" t="n"/>
      <c r="H493" s="23" t="n"/>
      <c r="I493" s="23" t="n"/>
      <c r="J493" s="23" t="n"/>
      <c r="K493" s="45">
        <f>IF(A493="","",SUM(G$2:I493)-SUM(J$2:J493))</f>
        <v/>
      </c>
      <c r="L493" s="46" t="n"/>
      <c r="M493">
        <f>IF(A493="","",IF(A493=A492,M492,N(M492)+1))</f>
        <v/>
      </c>
      <c r="N493">
        <f>IF(E493="",99999,E493)</f>
        <v/>
      </c>
      <c r="O493">
        <f>IF(E493="",0,IF(F493="",E493,F493))</f>
        <v/>
      </c>
      <c r="P493">
        <f>IF(E493="",1,MAX(1,(YEAR(O493)-YEAR(N493))*12+MONTH(O493)-MONTH(N493)+1))</f>
        <v/>
      </c>
      <c r="Q493">
        <f>IF(G493="",0,G493/P493)</f>
        <v/>
      </c>
      <c r="R493">
        <f>IF(H493="",0,H493/P493)</f>
        <v/>
      </c>
    </row>
    <row r="494">
      <c r="A494" s="43" t="n"/>
      <c r="B494" s="28" t="n"/>
      <c r="C494" s="28" t="n"/>
      <c r="D494" s="28" t="n"/>
      <c r="E494" s="44" t="n"/>
      <c r="F494" s="44" t="n"/>
      <c r="G494" s="23" t="n"/>
      <c r="H494" s="23" t="n"/>
      <c r="I494" s="23" t="n"/>
      <c r="J494" s="23" t="n"/>
      <c r="K494" s="45">
        <f>IF(A494="","",SUM(G$2:I494)-SUM(J$2:J494))</f>
        <v/>
      </c>
      <c r="L494" s="46" t="n"/>
      <c r="M494">
        <f>IF(A494="","",IF(A494=A493,M493,N(M493)+1))</f>
        <v/>
      </c>
      <c r="N494">
        <f>IF(E494="",99999,E494)</f>
        <v/>
      </c>
      <c r="O494">
        <f>IF(E494="",0,IF(F494="",E494,F494))</f>
        <v/>
      </c>
      <c r="P494">
        <f>IF(E494="",1,MAX(1,(YEAR(O494)-YEAR(N494))*12+MONTH(O494)-MONTH(N494)+1))</f>
        <v/>
      </c>
      <c r="Q494">
        <f>IF(G494="",0,G494/P494)</f>
        <v/>
      </c>
      <c r="R494">
        <f>IF(H494="",0,H494/P494)</f>
        <v/>
      </c>
    </row>
    <row r="495">
      <c r="A495" s="43" t="n"/>
      <c r="B495" s="28" t="n"/>
      <c r="C495" s="28" t="n"/>
      <c r="D495" s="28" t="n"/>
      <c r="E495" s="44" t="n"/>
      <c r="F495" s="44" t="n"/>
      <c r="G495" s="23" t="n"/>
      <c r="H495" s="23" t="n"/>
      <c r="I495" s="23" t="n"/>
      <c r="J495" s="23" t="n"/>
      <c r="K495" s="45">
        <f>IF(A495="","",SUM(G$2:I495)-SUM(J$2:J495))</f>
        <v/>
      </c>
      <c r="L495" s="46" t="n"/>
      <c r="M495">
        <f>IF(A495="","",IF(A495=A494,M494,N(M494)+1))</f>
        <v/>
      </c>
      <c r="N495">
        <f>IF(E495="",99999,E495)</f>
        <v/>
      </c>
      <c r="O495">
        <f>IF(E495="",0,IF(F495="",E495,F495))</f>
        <v/>
      </c>
      <c r="P495">
        <f>IF(E495="",1,MAX(1,(YEAR(O495)-YEAR(N495))*12+MONTH(O495)-MONTH(N495)+1))</f>
        <v/>
      </c>
      <c r="Q495">
        <f>IF(G495="",0,G495/P495)</f>
        <v/>
      </c>
      <c r="R495">
        <f>IF(H495="",0,H495/P495)</f>
        <v/>
      </c>
    </row>
    <row r="496">
      <c r="A496" s="43" t="n"/>
      <c r="B496" s="28" t="n"/>
      <c r="C496" s="28" t="n"/>
      <c r="D496" s="28" t="n"/>
      <c r="E496" s="44" t="n"/>
      <c r="F496" s="44" t="n"/>
      <c r="G496" s="23" t="n"/>
      <c r="H496" s="23" t="n"/>
      <c r="I496" s="23" t="n"/>
      <c r="J496" s="23" t="n"/>
      <c r="K496" s="45">
        <f>IF(A496="","",SUM(G$2:I496)-SUM(J$2:J496))</f>
        <v/>
      </c>
      <c r="L496" s="46" t="n"/>
      <c r="M496">
        <f>IF(A496="","",IF(A496=A495,M495,N(M495)+1))</f>
        <v/>
      </c>
      <c r="N496">
        <f>IF(E496="",99999,E496)</f>
        <v/>
      </c>
      <c r="O496">
        <f>IF(E496="",0,IF(F496="",E496,F496))</f>
        <v/>
      </c>
      <c r="P496">
        <f>IF(E496="",1,MAX(1,(YEAR(O496)-YEAR(N496))*12+MONTH(O496)-MONTH(N496)+1))</f>
        <v/>
      </c>
      <c r="Q496">
        <f>IF(G496="",0,G496/P496)</f>
        <v/>
      </c>
      <c r="R496">
        <f>IF(H496="",0,H496/P496)</f>
        <v/>
      </c>
    </row>
    <row r="497">
      <c r="A497" s="43" t="n"/>
      <c r="B497" s="28" t="n"/>
      <c r="C497" s="28" t="n"/>
      <c r="D497" s="28" t="n"/>
      <c r="E497" s="44" t="n"/>
      <c r="F497" s="44" t="n"/>
      <c r="G497" s="23" t="n"/>
      <c r="H497" s="23" t="n"/>
      <c r="I497" s="23" t="n"/>
      <c r="J497" s="23" t="n"/>
      <c r="K497" s="45">
        <f>IF(A497="","",SUM(G$2:I497)-SUM(J$2:J497))</f>
        <v/>
      </c>
      <c r="L497" s="46" t="n"/>
      <c r="M497">
        <f>IF(A497="","",IF(A497=A496,M496,N(M496)+1))</f>
        <v/>
      </c>
      <c r="N497">
        <f>IF(E497="",99999,E497)</f>
        <v/>
      </c>
      <c r="O497">
        <f>IF(E497="",0,IF(F497="",E497,F497))</f>
        <v/>
      </c>
      <c r="P497">
        <f>IF(E497="",1,MAX(1,(YEAR(O497)-YEAR(N497))*12+MONTH(O497)-MONTH(N497)+1))</f>
        <v/>
      </c>
      <c r="Q497">
        <f>IF(G497="",0,G497/P497)</f>
        <v/>
      </c>
      <c r="R497">
        <f>IF(H497="",0,H497/P497)</f>
        <v/>
      </c>
    </row>
    <row r="498">
      <c r="A498" s="43" t="n"/>
      <c r="B498" s="28" t="n"/>
      <c r="C498" s="28" t="n"/>
      <c r="D498" s="28" t="n"/>
      <c r="E498" s="44" t="n"/>
      <c r="F498" s="44" t="n"/>
      <c r="G498" s="23" t="n"/>
      <c r="H498" s="23" t="n"/>
      <c r="I498" s="23" t="n"/>
      <c r="J498" s="23" t="n"/>
      <c r="K498" s="45">
        <f>IF(A498="","",SUM(G$2:I498)-SUM(J$2:J498))</f>
        <v/>
      </c>
      <c r="L498" s="46" t="n"/>
      <c r="M498">
        <f>IF(A498="","",IF(A498=A497,M497,N(M497)+1))</f>
        <v/>
      </c>
      <c r="N498">
        <f>IF(E498="",99999,E498)</f>
        <v/>
      </c>
      <c r="O498">
        <f>IF(E498="",0,IF(F498="",E498,F498))</f>
        <v/>
      </c>
      <c r="P498">
        <f>IF(E498="",1,MAX(1,(YEAR(O498)-YEAR(N498))*12+MONTH(O498)-MONTH(N498)+1))</f>
        <v/>
      </c>
      <c r="Q498">
        <f>IF(G498="",0,G498/P498)</f>
        <v/>
      </c>
      <c r="R498">
        <f>IF(H498="",0,H498/P498)</f>
        <v/>
      </c>
    </row>
    <row r="499">
      <c r="A499" s="43" t="n"/>
      <c r="B499" s="28" t="n"/>
      <c r="C499" s="28" t="n"/>
      <c r="D499" s="28" t="n"/>
      <c r="E499" s="44" t="n"/>
      <c r="F499" s="44" t="n"/>
      <c r="G499" s="23" t="n"/>
      <c r="H499" s="23" t="n"/>
      <c r="I499" s="23" t="n"/>
      <c r="J499" s="23" t="n"/>
      <c r="K499" s="45">
        <f>IF(A499="","",SUM(G$2:I499)-SUM(J$2:J499))</f>
        <v/>
      </c>
      <c r="L499" s="46" t="n"/>
      <c r="M499">
        <f>IF(A499="","",IF(A499=A498,M498,N(M498)+1))</f>
        <v/>
      </c>
      <c r="N499">
        <f>IF(E499="",99999,E499)</f>
        <v/>
      </c>
      <c r="O499">
        <f>IF(E499="",0,IF(F499="",E499,F499))</f>
        <v/>
      </c>
      <c r="P499">
        <f>IF(E499="",1,MAX(1,(YEAR(O499)-YEAR(N499))*12+MONTH(O499)-MONTH(N499)+1))</f>
        <v/>
      </c>
      <c r="Q499">
        <f>IF(G499="",0,G499/P499)</f>
        <v/>
      </c>
      <c r="R499">
        <f>IF(H499="",0,H499/P499)</f>
        <v/>
      </c>
    </row>
    <row r="500">
      <c r="A500" s="43" t="n"/>
      <c r="B500" s="28" t="n"/>
      <c r="C500" s="28" t="n"/>
      <c r="D500" s="28" t="n"/>
      <c r="E500" s="44" t="n"/>
      <c r="F500" s="44" t="n"/>
      <c r="G500" s="23" t="n"/>
      <c r="H500" s="23" t="n"/>
      <c r="I500" s="23" t="n"/>
      <c r="J500" s="23" t="n"/>
      <c r="K500" s="45">
        <f>IF(A500="","",SUM(G$2:I500)-SUM(J$2:J500))</f>
        <v/>
      </c>
      <c r="L500" s="46" t="n"/>
      <c r="M500">
        <f>IF(A500="","",IF(A500=A499,M499,N(M499)+1))</f>
        <v/>
      </c>
      <c r="N500">
        <f>IF(E500="",99999,E500)</f>
        <v/>
      </c>
      <c r="O500">
        <f>IF(E500="",0,IF(F500="",E500,F500))</f>
        <v/>
      </c>
      <c r="P500">
        <f>IF(E500="",1,MAX(1,(YEAR(O500)-YEAR(N500))*12+MONTH(O500)-MONTH(N500)+1))</f>
        <v/>
      </c>
      <c r="Q500">
        <f>IF(G500="",0,G500/P500)</f>
        <v/>
      </c>
      <c r="R500">
        <f>IF(H500="",0,H500/P500)</f>
        <v/>
      </c>
    </row>
    <row r="501">
      <c r="A501" s="43" t="n"/>
      <c r="B501" s="28" t="n"/>
      <c r="C501" s="28" t="n"/>
      <c r="D501" s="28" t="n"/>
      <c r="E501" s="44" t="n"/>
      <c r="F501" s="44" t="n"/>
      <c r="G501" s="23" t="n"/>
      <c r="H501" s="23" t="n"/>
      <c r="I501" s="23" t="n"/>
      <c r="J501" s="23" t="n"/>
      <c r="K501" s="45">
        <f>IF(A501="","",SUM(G$2:I501)-SUM(J$2:J501))</f>
        <v/>
      </c>
      <c r="L501" s="46" t="n"/>
      <c r="M501">
        <f>IF(A501="","",IF(A501=A500,M500,N(M500)+1))</f>
        <v/>
      </c>
      <c r="N501">
        <f>IF(E501="",99999,E501)</f>
        <v/>
      </c>
      <c r="O501">
        <f>IF(E501="",0,IF(F501="",E501,F501))</f>
        <v/>
      </c>
      <c r="P501">
        <f>IF(E501="",1,MAX(1,(YEAR(O501)-YEAR(N501))*12+MONTH(O501)-MONTH(N501)+1))</f>
        <v/>
      </c>
      <c r="Q501">
        <f>IF(G501="",0,G501/P501)</f>
        <v/>
      </c>
      <c r="R501">
        <f>IF(H501="",0,H501/P501)</f>
        <v/>
      </c>
    </row>
    <row r="502">
      <c r="A502" s="43" t="n"/>
      <c r="B502" s="28" t="n"/>
      <c r="C502" s="28" t="n"/>
      <c r="D502" s="28" t="n"/>
      <c r="E502" s="44" t="n"/>
      <c r="F502" s="44" t="n"/>
      <c r="G502" s="23" t="n"/>
      <c r="H502" s="23" t="n"/>
      <c r="I502" s="23" t="n"/>
      <c r="J502" s="23" t="n"/>
      <c r="K502" s="45">
        <f>IF(A502="","",SUM(G$2:I502)-SUM(J$2:J502))</f>
        <v/>
      </c>
      <c r="L502" s="46" t="n"/>
      <c r="M502">
        <f>IF(A502="","",IF(A502=A501,M501,N(M501)+1))</f>
        <v/>
      </c>
      <c r="N502">
        <f>IF(E502="",99999,E502)</f>
        <v/>
      </c>
      <c r="O502">
        <f>IF(E502="",0,IF(F502="",E502,F502))</f>
        <v/>
      </c>
      <c r="P502">
        <f>IF(E502="",1,MAX(1,(YEAR(O502)-YEAR(N502))*12+MONTH(O502)-MONTH(N502)+1))</f>
        <v/>
      </c>
      <c r="Q502">
        <f>IF(G502="",0,G502/P502)</f>
        <v/>
      </c>
      <c r="R502">
        <f>IF(H502="",0,H502/P502)</f>
        <v/>
      </c>
    </row>
    <row r="503">
      <c r="A503" s="43" t="n"/>
      <c r="B503" s="28" t="n"/>
      <c r="C503" s="28" t="n"/>
      <c r="D503" s="28" t="n"/>
      <c r="E503" s="44" t="n"/>
      <c r="F503" s="44" t="n"/>
      <c r="G503" s="23" t="n"/>
      <c r="H503" s="23" t="n"/>
      <c r="I503" s="23" t="n"/>
      <c r="J503" s="23" t="n"/>
      <c r="K503" s="45">
        <f>IF(A503="","",SUM(G$2:I503)-SUM(J$2:J503))</f>
        <v/>
      </c>
      <c r="L503" s="46" t="n"/>
      <c r="M503">
        <f>IF(A503="","",IF(A503=A502,M502,N(M502)+1))</f>
        <v/>
      </c>
      <c r="N503">
        <f>IF(E503="",99999,E503)</f>
        <v/>
      </c>
      <c r="O503">
        <f>IF(E503="",0,IF(F503="",E503,F503))</f>
        <v/>
      </c>
      <c r="P503">
        <f>IF(E503="",1,MAX(1,(YEAR(O503)-YEAR(N503))*12+MONTH(O503)-MONTH(N503)+1))</f>
        <v/>
      </c>
      <c r="Q503">
        <f>IF(G503="",0,G503/P503)</f>
        <v/>
      </c>
      <c r="R503">
        <f>IF(H503="",0,H503/P503)</f>
        <v/>
      </c>
    </row>
    <row r="504">
      <c r="A504" s="43" t="n"/>
      <c r="B504" s="28" t="n"/>
      <c r="C504" s="28" t="n"/>
      <c r="D504" s="28" t="n"/>
      <c r="E504" s="44" t="n"/>
      <c r="F504" s="44" t="n"/>
      <c r="G504" s="23" t="n"/>
      <c r="H504" s="23" t="n"/>
      <c r="I504" s="23" t="n"/>
      <c r="J504" s="23" t="n"/>
      <c r="K504" s="45">
        <f>IF(A504="","",SUM(G$2:I504)-SUM(J$2:J504))</f>
        <v/>
      </c>
      <c r="L504" s="46" t="n"/>
      <c r="M504">
        <f>IF(A504="","",IF(A504=A503,M503,N(M503)+1))</f>
        <v/>
      </c>
      <c r="N504">
        <f>IF(E504="",99999,E504)</f>
        <v/>
      </c>
      <c r="O504">
        <f>IF(E504="",0,IF(F504="",E504,F504))</f>
        <v/>
      </c>
      <c r="P504">
        <f>IF(E504="",1,MAX(1,(YEAR(O504)-YEAR(N504))*12+MONTH(O504)-MONTH(N504)+1))</f>
        <v/>
      </c>
      <c r="Q504">
        <f>IF(G504="",0,G504/P504)</f>
        <v/>
      </c>
      <c r="R504">
        <f>IF(H504="",0,H504/P504)</f>
        <v/>
      </c>
    </row>
    <row r="505">
      <c r="A505" s="43" t="n"/>
      <c r="B505" s="28" t="n"/>
      <c r="C505" s="28" t="n"/>
      <c r="D505" s="28" t="n"/>
      <c r="E505" s="44" t="n"/>
      <c r="F505" s="44" t="n"/>
      <c r="G505" s="23" t="n"/>
      <c r="H505" s="23" t="n"/>
      <c r="I505" s="23" t="n"/>
      <c r="J505" s="23" t="n"/>
      <c r="K505" s="45">
        <f>IF(A505="","",SUM(G$2:I505)-SUM(J$2:J505))</f>
        <v/>
      </c>
      <c r="L505" s="46" t="n"/>
      <c r="M505">
        <f>IF(A505="","",IF(A505=A504,M504,N(M504)+1))</f>
        <v/>
      </c>
      <c r="N505">
        <f>IF(E505="",99999,E505)</f>
        <v/>
      </c>
      <c r="O505">
        <f>IF(E505="",0,IF(F505="",E505,F505))</f>
        <v/>
      </c>
      <c r="P505">
        <f>IF(E505="",1,MAX(1,(YEAR(O505)-YEAR(N505))*12+MONTH(O505)-MONTH(N505)+1))</f>
        <v/>
      </c>
      <c r="Q505">
        <f>IF(G505="",0,G505/P505)</f>
        <v/>
      </c>
      <c r="R505">
        <f>IF(H505="",0,H505/P505)</f>
        <v/>
      </c>
    </row>
    <row r="506">
      <c r="A506" s="43" t="n"/>
      <c r="B506" s="28" t="n"/>
      <c r="C506" s="28" t="n"/>
      <c r="D506" s="28" t="n"/>
      <c r="E506" s="44" t="n"/>
      <c r="F506" s="44" t="n"/>
      <c r="G506" s="23" t="n"/>
      <c r="H506" s="23" t="n"/>
      <c r="I506" s="23" t="n"/>
      <c r="J506" s="23" t="n"/>
      <c r="K506" s="45">
        <f>IF(A506="","",SUM(G$2:I506)-SUM(J$2:J506))</f>
        <v/>
      </c>
      <c r="L506" s="46" t="n"/>
      <c r="M506">
        <f>IF(A506="","",IF(A506=A505,M505,N(M505)+1))</f>
        <v/>
      </c>
      <c r="N506">
        <f>IF(E506="",99999,E506)</f>
        <v/>
      </c>
      <c r="O506">
        <f>IF(E506="",0,IF(F506="",E506,F506))</f>
        <v/>
      </c>
      <c r="P506">
        <f>IF(E506="",1,MAX(1,(YEAR(O506)-YEAR(N506))*12+MONTH(O506)-MONTH(N506)+1))</f>
        <v/>
      </c>
      <c r="Q506">
        <f>IF(G506="",0,G506/P506)</f>
        <v/>
      </c>
      <c r="R506">
        <f>IF(H506="",0,H506/P506)</f>
        <v/>
      </c>
    </row>
    <row r="507">
      <c r="A507" s="43" t="n"/>
      <c r="B507" s="28" t="n"/>
      <c r="C507" s="28" t="n"/>
      <c r="D507" s="28" t="n"/>
      <c r="E507" s="44" t="n"/>
      <c r="F507" s="44" t="n"/>
      <c r="G507" s="23" t="n"/>
      <c r="H507" s="23" t="n"/>
      <c r="I507" s="23" t="n"/>
      <c r="J507" s="23" t="n"/>
      <c r="K507" s="45">
        <f>IF(A507="","",SUM(G$2:I507)-SUM(J$2:J507))</f>
        <v/>
      </c>
      <c r="L507" s="46" t="n"/>
      <c r="M507">
        <f>IF(A507="","",IF(A507=A506,M506,N(M506)+1))</f>
        <v/>
      </c>
      <c r="N507">
        <f>IF(E507="",99999,E507)</f>
        <v/>
      </c>
      <c r="O507">
        <f>IF(E507="",0,IF(F507="",E507,F507))</f>
        <v/>
      </c>
      <c r="P507">
        <f>IF(E507="",1,MAX(1,(YEAR(O507)-YEAR(N507))*12+MONTH(O507)-MONTH(N507)+1))</f>
        <v/>
      </c>
      <c r="Q507">
        <f>IF(G507="",0,G507/P507)</f>
        <v/>
      </c>
      <c r="R507">
        <f>IF(H507="",0,H507/P507)</f>
        <v/>
      </c>
    </row>
    <row r="508">
      <c r="A508" s="43" t="n"/>
      <c r="B508" s="28" t="n"/>
      <c r="C508" s="28" t="n"/>
      <c r="D508" s="28" t="n"/>
      <c r="E508" s="44" t="n"/>
      <c r="F508" s="44" t="n"/>
      <c r="G508" s="23" t="n"/>
      <c r="H508" s="23" t="n"/>
      <c r="I508" s="23" t="n"/>
      <c r="J508" s="23" t="n"/>
      <c r="K508" s="45">
        <f>IF(A508="","",SUM(G$2:I508)-SUM(J$2:J508))</f>
        <v/>
      </c>
      <c r="L508" s="46" t="n"/>
      <c r="M508">
        <f>IF(A508="","",IF(A508=A507,M507,N(M507)+1))</f>
        <v/>
      </c>
      <c r="N508">
        <f>IF(E508="",99999,E508)</f>
        <v/>
      </c>
      <c r="O508">
        <f>IF(E508="",0,IF(F508="",E508,F508))</f>
        <v/>
      </c>
      <c r="P508">
        <f>IF(E508="",1,MAX(1,(YEAR(O508)-YEAR(N508))*12+MONTH(O508)-MONTH(N508)+1))</f>
        <v/>
      </c>
      <c r="Q508">
        <f>IF(G508="",0,G508/P508)</f>
        <v/>
      </c>
      <c r="R508">
        <f>IF(H508="",0,H508/P508)</f>
        <v/>
      </c>
    </row>
    <row r="509">
      <c r="A509" s="43" t="n"/>
      <c r="B509" s="28" t="n"/>
      <c r="C509" s="28" t="n"/>
      <c r="D509" s="28" t="n"/>
      <c r="E509" s="44" t="n"/>
      <c r="F509" s="44" t="n"/>
      <c r="G509" s="23" t="n"/>
      <c r="H509" s="23" t="n"/>
      <c r="I509" s="23" t="n"/>
      <c r="J509" s="23" t="n"/>
      <c r="K509" s="45">
        <f>IF(A509="","",SUM(G$2:I509)-SUM(J$2:J509))</f>
        <v/>
      </c>
      <c r="L509" s="46" t="n"/>
      <c r="M509">
        <f>IF(A509="","",IF(A509=A508,M508,N(M508)+1))</f>
        <v/>
      </c>
      <c r="N509">
        <f>IF(E509="",99999,E509)</f>
        <v/>
      </c>
      <c r="O509">
        <f>IF(E509="",0,IF(F509="",E509,F509))</f>
        <v/>
      </c>
      <c r="P509">
        <f>IF(E509="",1,MAX(1,(YEAR(O509)-YEAR(N509))*12+MONTH(O509)-MONTH(N509)+1))</f>
        <v/>
      </c>
      <c r="Q509">
        <f>IF(G509="",0,G509/P509)</f>
        <v/>
      </c>
      <c r="R509">
        <f>IF(H509="",0,H509/P509)</f>
        <v/>
      </c>
    </row>
    <row r="510">
      <c r="A510" s="43" t="n"/>
      <c r="B510" s="28" t="n"/>
      <c r="C510" s="28" t="n"/>
      <c r="D510" s="28" t="n"/>
      <c r="E510" s="44" t="n"/>
      <c r="F510" s="44" t="n"/>
      <c r="G510" s="23" t="n"/>
      <c r="H510" s="23" t="n"/>
      <c r="I510" s="23" t="n"/>
      <c r="J510" s="23" t="n"/>
      <c r="K510" s="45">
        <f>IF(A510="","",SUM(G$2:I510)-SUM(J$2:J510))</f>
        <v/>
      </c>
      <c r="L510" s="46" t="n"/>
      <c r="M510">
        <f>IF(A510="","",IF(A510=A509,M509,N(M509)+1))</f>
        <v/>
      </c>
      <c r="N510">
        <f>IF(E510="",99999,E510)</f>
        <v/>
      </c>
      <c r="O510">
        <f>IF(E510="",0,IF(F510="",E510,F510))</f>
        <v/>
      </c>
      <c r="P510">
        <f>IF(E510="",1,MAX(1,(YEAR(O510)-YEAR(N510))*12+MONTH(O510)-MONTH(N510)+1))</f>
        <v/>
      </c>
      <c r="Q510">
        <f>IF(G510="",0,G510/P510)</f>
        <v/>
      </c>
      <c r="R510">
        <f>IF(H510="",0,H510/P510)</f>
        <v/>
      </c>
    </row>
    <row r="511">
      <c r="A511" s="43" t="n"/>
      <c r="B511" s="28" t="n"/>
      <c r="C511" s="28" t="n"/>
      <c r="D511" s="28" t="n"/>
      <c r="E511" s="44" t="n"/>
      <c r="F511" s="44" t="n"/>
      <c r="G511" s="23" t="n"/>
      <c r="H511" s="23" t="n"/>
      <c r="I511" s="23" t="n"/>
      <c r="J511" s="23" t="n"/>
      <c r="K511" s="45">
        <f>IF(A511="","",SUM(G$2:I511)-SUM(J$2:J511))</f>
        <v/>
      </c>
      <c r="L511" s="46" t="n"/>
      <c r="M511">
        <f>IF(A511="","",IF(A511=A510,M510,N(M510)+1))</f>
        <v/>
      </c>
      <c r="N511">
        <f>IF(E511="",99999,E511)</f>
        <v/>
      </c>
      <c r="O511">
        <f>IF(E511="",0,IF(F511="",E511,F511))</f>
        <v/>
      </c>
      <c r="P511">
        <f>IF(E511="",1,MAX(1,(YEAR(O511)-YEAR(N511))*12+MONTH(O511)-MONTH(N511)+1))</f>
        <v/>
      </c>
      <c r="Q511">
        <f>IF(G511="",0,G511/P511)</f>
        <v/>
      </c>
      <c r="R511">
        <f>IF(H511="",0,H511/P511)</f>
        <v/>
      </c>
    </row>
    <row r="512">
      <c r="A512" s="43" t="n"/>
      <c r="B512" s="28" t="n"/>
      <c r="C512" s="28" t="n"/>
      <c r="D512" s="28" t="n"/>
      <c r="E512" s="44" t="n"/>
      <c r="F512" s="44" t="n"/>
      <c r="G512" s="23" t="n"/>
      <c r="H512" s="23" t="n"/>
      <c r="I512" s="23" t="n"/>
      <c r="J512" s="23" t="n"/>
      <c r="K512" s="45">
        <f>IF(A512="","",SUM(G$2:I512)-SUM(J$2:J512))</f>
        <v/>
      </c>
      <c r="L512" s="46" t="n"/>
      <c r="M512">
        <f>IF(A512="","",IF(A512=A511,M511,N(M511)+1))</f>
        <v/>
      </c>
      <c r="N512">
        <f>IF(E512="",99999,E512)</f>
        <v/>
      </c>
      <c r="O512">
        <f>IF(E512="",0,IF(F512="",E512,F512))</f>
        <v/>
      </c>
      <c r="P512">
        <f>IF(E512="",1,MAX(1,(YEAR(O512)-YEAR(N512))*12+MONTH(O512)-MONTH(N512)+1))</f>
        <v/>
      </c>
      <c r="Q512">
        <f>IF(G512="",0,G512/P512)</f>
        <v/>
      </c>
      <c r="R512">
        <f>IF(H512="",0,H512/P512)</f>
        <v/>
      </c>
    </row>
    <row r="513">
      <c r="A513" s="43" t="n"/>
      <c r="B513" s="28" t="n"/>
      <c r="C513" s="28" t="n"/>
      <c r="D513" s="28" t="n"/>
      <c r="E513" s="44" t="n"/>
      <c r="F513" s="44" t="n"/>
      <c r="G513" s="23" t="n"/>
      <c r="H513" s="23" t="n"/>
      <c r="I513" s="23" t="n"/>
      <c r="J513" s="23" t="n"/>
      <c r="K513" s="45">
        <f>IF(A513="","",SUM(G$2:I513)-SUM(J$2:J513))</f>
        <v/>
      </c>
      <c r="L513" s="46" t="n"/>
      <c r="M513">
        <f>IF(A513="","",IF(A513=A512,M512,N(M512)+1))</f>
        <v/>
      </c>
      <c r="N513">
        <f>IF(E513="",99999,E513)</f>
        <v/>
      </c>
      <c r="O513">
        <f>IF(E513="",0,IF(F513="",E513,F513))</f>
        <v/>
      </c>
      <c r="P513">
        <f>IF(E513="",1,MAX(1,(YEAR(O513)-YEAR(N513))*12+MONTH(O513)-MONTH(N513)+1))</f>
        <v/>
      </c>
      <c r="Q513">
        <f>IF(G513="",0,G513/P513)</f>
        <v/>
      </c>
      <c r="R513">
        <f>IF(H513="",0,H513/P513)</f>
        <v/>
      </c>
    </row>
    <row r="514">
      <c r="A514" s="43" t="n"/>
      <c r="B514" s="28" t="n"/>
      <c r="C514" s="28" t="n"/>
      <c r="D514" s="28" t="n"/>
      <c r="E514" s="44" t="n"/>
      <c r="F514" s="44" t="n"/>
      <c r="G514" s="23" t="n"/>
      <c r="H514" s="23" t="n"/>
      <c r="I514" s="23" t="n"/>
      <c r="J514" s="23" t="n"/>
      <c r="K514" s="45">
        <f>IF(A514="","",SUM(G$2:I514)-SUM(J$2:J514))</f>
        <v/>
      </c>
      <c r="L514" s="46" t="n"/>
      <c r="M514">
        <f>IF(A514="","",IF(A514=A513,M513,N(M513)+1))</f>
        <v/>
      </c>
      <c r="N514">
        <f>IF(E514="",99999,E514)</f>
        <v/>
      </c>
      <c r="O514">
        <f>IF(E514="",0,IF(F514="",E514,F514))</f>
        <v/>
      </c>
      <c r="P514">
        <f>IF(E514="",1,MAX(1,(YEAR(O514)-YEAR(N514))*12+MONTH(O514)-MONTH(N514)+1))</f>
        <v/>
      </c>
      <c r="Q514">
        <f>IF(G514="",0,G514/P514)</f>
        <v/>
      </c>
      <c r="R514">
        <f>IF(H514="",0,H514/P514)</f>
        <v/>
      </c>
    </row>
    <row r="515">
      <c r="A515" s="43" t="n"/>
      <c r="B515" s="28" t="n"/>
      <c r="C515" s="28" t="n"/>
      <c r="D515" s="28" t="n"/>
      <c r="E515" s="44" t="n"/>
      <c r="F515" s="44" t="n"/>
      <c r="G515" s="23" t="n"/>
      <c r="H515" s="23" t="n"/>
      <c r="I515" s="23" t="n"/>
      <c r="J515" s="23" t="n"/>
      <c r="K515" s="45">
        <f>IF(A515="","",SUM(G$2:I515)-SUM(J$2:J515))</f>
        <v/>
      </c>
      <c r="L515" s="46" t="n"/>
      <c r="M515">
        <f>IF(A515="","",IF(A515=A514,M514,N(M514)+1))</f>
        <v/>
      </c>
      <c r="N515">
        <f>IF(E515="",99999,E515)</f>
        <v/>
      </c>
      <c r="O515">
        <f>IF(E515="",0,IF(F515="",E515,F515))</f>
        <v/>
      </c>
      <c r="P515">
        <f>IF(E515="",1,MAX(1,(YEAR(O515)-YEAR(N515))*12+MONTH(O515)-MONTH(N515)+1))</f>
        <v/>
      </c>
      <c r="Q515">
        <f>IF(G515="",0,G515/P515)</f>
        <v/>
      </c>
      <c r="R515">
        <f>IF(H515="",0,H515/P515)</f>
        <v/>
      </c>
    </row>
    <row r="516">
      <c r="A516" s="43" t="n"/>
      <c r="B516" s="28" t="n"/>
      <c r="C516" s="28" t="n"/>
      <c r="D516" s="28" t="n"/>
      <c r="E516" s="44" t="n"/>
      <c r="F516" s="44" t="n"/>
      <c r="G516" s="23" t="n"/>
      <c r="H516" s="23" t="n"/>
      <c r="I516" s="23" t="n"/>
      <c r="J516" s="23" t="n"/>
      <c r="K516" s="45">
        <f>IF(A516="","",SUM(G$2:I516)-SUM(J$2:J516))</f>
        <v/>
      </c>
      <c r="L516" s="46" t="n"/>
      <c r="M516">
        <f>IF(A516="","",IF(A516=A515,M515,N(M515)+1))</f>
        <v/>
      </c>
      <c r="N516">
        <f>IF(E516="",99999,E516)</f>
        <v/>
      </c>
      <c r="O516">
        <f>IF(E516="",0,IF(F516="",E516,F516))</f>
        <v/>
      </c>
      <c r="P516">
        <f>IF(E516="",1,MAX(1,(YEAR(O516)-YEAR(N516))*12+MONTH(O516)-MONTH(N516)+1))</f>
        <v/>
      </c>
      <c r="Q516">
        <f>IF(G516="",0,G516/P516)</f>
        <v/>
      </c>
      <c r="R516">
        <f>IF(H516="",0,H516/P516)</f>
        <v/>
      </c>
    </row>
    <row r="517">
      <c r="A517" s="43" t="n"/>
      <c r="B517" s="28" t="n"/>
      <c r="C517" s="28" t="n"/>
      <c r="D517" s="28" t="n"/>
      <c r="E517" s="44" t="n"/>
      <c r="F517" s="44" t="n"/>
      <c r="G517" s="23" t="n"/>
      <c r="H517" s="23" t="n"/>
      <c r="I517" s="23" t="n"/>
      <c r="J517" s="23" t="n"/>
      <c r="K517" s="45">
        <f>IF(A517="","",SUM(G$2:I517)-SUM(J$2:J517))</f>
        <v/>
      </c>
      <c r="L517" s="46" t="n"/>
      <c r="M517">
        <f>IF(A517="","",IF(A517=A516,M516,N(M516)+1))</f>
        <v/>
      </c>
      <c r="N517">
        <f>IF(E517="",99999,E517)</f>
        <v/>
      </c>
      <c r="O517">
        <f>IF(E517="",0,IF(F517="",E517,F517))</f>
        <v/>
      </c>
      <c r="P517">
        <f>IF(E517="",1,MAX(1,(YEAR(O517)-YEAR(N517))*12+MONTH(O517)-MONTH(N517)+1))</f>
        <v/>
      </c>
      <c r="Q517">
        <f>IF(G517="",0,G517/P517)</f>
        <v/>
      </c>
      <c r="R517">
        <f>IF(H517="",0,H517/P517)</f>
        <v/>
      </c>
    </row>
    <row r="518">
      <c r="A518" s="43" t="n"/>
      <c r="B518" s="28" t="n"/>
      <c r="C518" s="28" t="n"/>
      <c r="D518" s="28" t="n"/>
      <c r="E518" s="44" t="n"/>
      <c r="F518" s="44" t="n"/>
      <c r="G518" s="23" t="n"/>
      <c r="H518" s="23" t="n"/>
      <c r="I518" s="23" t="n"/>
      <c r="J518" s="23" t="n"/>
      <c r="K518" s="45">
        <f>IF(A518="","",SUM(G$2:I518)-SUM(J$2:J518))</f>
        <v/>
      </c>
      <c r="L518" s="46" t="n"/>
      <c r="M518">
        <f>IF(A518="","",IF(A518=A517,M517,N(M517)+1))</f>
        <v/>
      </c>
      <c r="N518">
        <f>IF(E518="",99999,E518)</f>
        <v/>
      </c>
      <c r="O518">
        <f>IF(E518="",0,IF(F518="",E518,F518))</f>
        <v/>
      </c>
      <c r="P518">
        <f>IF(E518="",1,MAX(1,(YEAR(O518)-YEAR(N518))*12+MONTH(O518)-MONTH(N518)+1))</f>
        <v/>
      </c>
      <c r="Q518">
        <f>IF(G518="",0,G518/P518)</f>
        <v/>
      </c>
      <c r="R518">
        <f>IF(H518="",0,H518/P518)</f>
        <v/>
      </c>
    </row>
    <row r="519">
      <c r="A519" s="43" t="n"/>
      <c r="B519" s="28" t="n"/>
      <c r="C519" s="28" t="n"/>
      <c r="D519" s="28" t="n"/>
      <c r="E519" s="44" t="n"/>
      <c r="F519" s="44" t="n"/>
      <c r="G519" s="23" t="n"/>
      <c r="H519" s="23" t="n"/>
      <c r="I519" s="23" t="n"/>
      <c r="J519" s="23" t="n"/>
      <c r="K519" s="45">
        <f>IF(A519="","",SUM(G$2:I519)-SUM(J$2:J519))</f>
        <v/>
      </c>
      <c r="L519" s="46" t="n"/>
      <c r="M519">
        <f>IF(A519="","",IF(A519=A518,M518,N(M518)+1))</f>
        <v/>
      </c>
      <c r="N519">
        <f>IF(E519="",99999,E519)</f>
        <v/>
      </c>
      <c r="O519">
        <f>IF(E519="",0,IF(F519="",E519,F519))</f>
        <v/>
      </c>
      <c r="P519">
        <f>IF(E519="",1,MAX(1,(YEAR(O519)-YEAR(N519))*12+MONTH(O519)-MONTH(N519)+1))</f>
        <v/>
      </c>
      <c r="Q519">
        <f>IF(G519="",0,G519/P519)</f>
        <v/>
      </c>
      <c r="R519">
        <f>IF(H519="",0,H519/P519)</f>
        <v/>
      </c>
    </row>
    <row r="520">
      <c r="A520" s="43" t="n"/>
      <c r="B520" s="28" t="n"/>
      <c r="C520" s="28" t="n"/>
      <c r="D520" s="28" t="n"/>
      <c r="E520" s="44" t="n"/>
      <c r="F520" s="44" t="n"/>
      <c r="G520" s="23" t="n"/>
      <c r="H520" s="23" t="n"/>
      <c r="I520" s="23" t="n"/>
      <c r="J520" s="23" t="n"/>
      <c r="K520" s="45">
        <f>IF(A520="","",SUM(G$2:I520)-SUM(J$2:J520))</f>
        <v/>
      </c>
      <c r="L520" s="46" t="n"/>
      <c r="M520">
        <f>IF(A520="","",IF(A520=A519,M519,N(M519)+1))</f>
        <v/>
      </c>
      <c r="N520">
        <f>IF(E520="",99999,E520)</f>
        <v/>
      </c>
      <c r="O520">
        <f>IF(E520="",0,IF(F520="",E520,F520))</f>
        <v/>
      </c>
      <c r="P520">
        <f>IF(E520="",1,MAX(1,(YEAR(O520)-YEAR(N520))*12+MONTH(O520)-MONTH(N520)+1))</f>
        <v/>
      </c>
      <c r="Q520">
        <f>IF(G520="",0,G520/P520)</f>
        <v/>
      </c>
      <c r="R520">
        <f>IF(H520="",0,H520/P520)</f>
        <v/>
      </c>
    </row>
    <row r="521">
      <c r="A521" s="43" t="n"/>
      <c r="B521" s="28" t="n"/>
      <c r="C521" s="28" t="n"/>
      <c r="D521" s="28" t="n"/>
      <c r="E521" s="44" t="n"/>
      <c r="F521" s="44" t="n"/>
      <c r="G521" s="23" t="n"/>
      <c r="H521" s="23" t="n"/>
      <c r="I521" s="23" t="n"/>
      <c r="J521" s="23" t="n"/>
      <c r="K521" s="45">
        <f>IF(A521="","",SUM(G$2:I521)-SUM(J$2:J521))</f>
        <v/>
      </c>
      <c r="L521" s="46" t="n"/>
      <c r="M521">
        <f>IF(A521="","",IF(A521=A520,M520,N(M520)+1))</f>
        <v/>
      </c>
      <c r="N521">
        <f>IF(E521="",99999,E521)</f>
        <v/>
      </c>
      <c r="O521">
        <f>IF(E521="",0,IF(F521="",E521,F521))</f>
        <v/>
      </c>
      <c r="P521">
        <f>IF(E521="",1,MAX(1,(YEAR(O521)-YEAR(N521))*12+MONTH(O521)-MONTH(N521)+1))</f>
        <v/>
      </c>
      <c r="Q521">
        <f>IF(G521="",0,G521/P521)</f>
        <v/>
      </c>
      <c r="R521">
        <f>IF(H521="",0,H521/P521)</f>
        <v/>
      </c>
    </row>
    <row r="522">
      <c r="A522" s="43" t="n"/>
      <c r="B522" s="28" t="n"/>
      <c r="C522" s="28" t="n"/>
      <c r="D522" s="28" t="n"/>
      <c r="E522" s="44" t="n"/>
      <c r="F522" s="44" t="n"/>
      <c r="G522" s="23" t="n"/>
      <c r="H522" s="23" t="n"/>
      <c r="I522" s="23" t="n"/>
      <c r="J522" s="23" t="n"/>
      <c r="K522" s="45">
        <f>IF(A522="","",SUM(G$2:I522)-SUM(J$2:J522))</f>
        <v/>
      </c>
      <c r="L522" s="46" t="n"/>
      <c r="M522">
        <f>IF(A522="","",IF(A522=A521,M521,N(M521)+1))</f>
        <v/>
      </c>
      <c r="N522">
        <f>IF(E522="",99999,E522)</f>
        <v/>
      </c>
      <c r="O522">
        <f>IF(E522="",0,IF(F522="",E522,F522))</f>
        <v/>
      </c>
      <c r="P522">
        <f>IF(E522="",1,MAX(1,(YEAR(O522)-YEAR(N522))*12+MONTH(O522)-MONTH(N522)+1))</f>
        <v/>
      </c>
      <c r="Q522">
        <f>IF(G522="",0,G522/P522)</f>
        <v/>
      </c>
      <c r="R522">
        <f>IF(H522="",0,H522/P522)</f>
        <v/>
      </c>
    </row>
    <row r="523">
      <c r="A523" s="43" t="n"/>
      <c r="B523" s="28" t="n"/>
      <c r="C523" s="28" t="n"/>
      <c r="D523" s="28" t="n"/>
      <c r="E523" s="44" t="n"/>
      <c r="F523" s="44" t="n"/>
      <c r="G523" s="23" t="n"/>
      <c r="H523" s="23" t="n"/>
      <c r="I523" s="23" t="n"/>
      <c r="J523" s="23" t="n"/>
      <c r="K523" s="45">
        <f>IF(A523="","",SUM(G$2:I523)-SUM(J$2:J523))</f>
        <v/>
      </c>
      <c r="L523" s="46" t="n"/>
      <c r="M523">
        <f>IF(A523="","",IF(A523=A522,M522,N(M522)+1))</f>
        <v/>
      </c>
      <c r="N523">
        <f>IF(E523="",99999,E523)</f>
        <v/>
      </c>
      <c r="O523">
        <f>IF(E523="",0,IF(F523="",E523,F523))</f>
        <v/>
      </c>
      <c r="P523">
        <f>IF(E523="",1,MAX(1,(YEAR(O523)-YEAR(N523))*12+MONTH(O523)-MONTH(N523)+1))</f>
        <v/>
      </c>
      <c r="Q523">
        <f>IF(G523="",0,G523/P523)</f>
        <v/>
      </c>
      <c r="R523">
        <f>IF(H523="",0,H523/P523)</f>
        <v/>
      </c>
    </row>
    <row r="524">
      <c r="A524" s="43" t="n"/>
      <c r="B524" s="28" t="n"/>
      <c r="C524" s="28" t="n"/>
      <c r="D524" s="28" t="n"/>
      <c r="E524" s="44" t="n"/>
      <c r="F524" s="44" t="n"/>
      <c r="G524" s="23" t="n"/>
      <c r="H524" s="23" t="n"/>
      <c r="I524" s="23" t="n"/>
      <c r="J524" s="23" t="n"/>
      <c r="K524" s="45">
        <f>IF(A524="","",SUM(G$2:I524)-SUM(J$2:J524))</f>
        <v/>
      </c>
      <c r="L524" s="46" t="n"/>
      <c r="M524">
        <f>IF(A524="","",IF(A524=A523,M523,N(M523)+1))</f>
        <v/>
      </c>
      <c r="N524">
        <f>IF(E524="",99999,E524)</f>
        <v/>
      </c>
      <c r="O524">
        <f>IF(E524="",0,IF(F524="",E524,F524))</f>
        <v/>
      </c>
      <c r="P524">
        <f>IF(E524="",1,MAX(1,(YEAR(O524)-YEAR(N524))*12+MONTH(O524)-MONTH(N524)+1))</f>
        <v/>
      </c>
      <c r="Q524">
        <f>IF(G524="",0,G524/P524)</f>
        <v/>
      </c>
      <c r="R524">
        <f>IF(H524="",0,H524/P524)</f>
        <v/>
      </c>
    </row>
    <row r="525">
      <c r="A525" s="43" t="n"/>
      <c r="B525" s="28" t="n"/>
      <c r="C525" s="28" t="n"/>
      <c r="D525" s="28" t="n"/>
      <c r="E525" s="44" t="n"/>
      <c r="F525" s="44" t="n"/>
      <c r="G525" s="23" t="n"/>
      <c r="H525" s="23" t="n"/>
      <c r="I525" s="23" t="n"/>
      <c r="J525" s="23" t="n"/>
      <c r="K525" s="45">
        <f>IF(A525="","",SUM(G$2:I525)-SUM(J$2:J525))</f>
        <v/>
      </c>
      <c r="L525" s="46" t="n"/>
      <c r="M525">
        <f>IF(A525="","",IF(A525=A524,M524,N(M524)+1))</f>
        <v/>
      </c>
      <c r="N525">
        <f>IF(E525="",99999,E525)</f>
        <v/>
      </c>
      <c r="O525">
        <f>IF(E525="",0,IF(F525="",E525,F525))</f>
        <v/>
      </c>
      <c r="P525">
        <f>IF(E525="",1,MAX(1,(YEAR(O525)-YEAR(N525))*12+MONTH(O525)-MONTH(N525)+1))</f>
        <v/>
      </c>
      <c r="Q525">
        <f>IF(G525="",0,G525/P525)</f>
        <v/>
      </c>
      <c r="R525">
        <f>IF(H525="",0,H525/P525)</f>
        <v/>
      </c>
    </row>
    <row r="526">
      <c r="A526" s="43" t="n"/>
      <c r="B526" s="28" t="n"/>
      <c r="C526" s="28" t="n"/>
      <c r="D526" s="28" t="n"/>
      <c r="E526" s="44" t="n"/>
      <c r="F526" s="44" t="n"/>
      <c r="G526" s="23" t="n"/>
      <c r="H526" s="23" t="n"/>
      <c r="I526" s="23" t="n"/>
      <c r="J526" s="23" t="n"/>
      <c r="K526" s="45">
        <f>IF(A526="","",SUM(G$2:I526)-SUM(J$2:J526))</f>
        <v/>
      </c>
      <c r="L526" s="46" t="n"/>
      <c r="M526">
        <f>IF(A526="","",IF(A526=A525,M525,N(M525)+1))</f>
        <v/>
      </c>
      <c r="N526">
        <f>IF(E526="",99999,E526)</f>
        <v/>
      </c>
      <c r="O526">
        <f>IF(E526="",0,IF(F526="",E526,F526))</f>
        <v/>
      </c>
      <c r="P526">
        <f>IF(E526="",1,MAX(1,(YEAR(O526)-YEAR(N526))*12+MONTH(O526)-MONTH(N526)+1))</f>
        <v/>
      </c>
      <c r="Q526">
        <f>IF(G526="",0,G526/P526)</f>
        <v/>
      </c>
      <c r="R526">
        <f>IF(H526="",0,H526/P526)</f>
        <v/>
      </c>
    </row>
    <row r="527">
      <c r="A527" s="43" t="n"/>
      <c r="B527" s="28" t="n"/>
      <c r="C527" s="28" t="n"/>
      <c r="D527" s="28" t="n"/>
      <c r="E527" s="44" t="n"/>
      <c r="F527" s="44" t="n"/>
      <c r="G527" s="23" t="n"/>
      <c r="H527" s="23" t="n"/>
      <c r="I527" s="23" t="n"/>
      <c r="J527" s="23" t="n"/>
      <c r="K527" s="45">
        <f>IF(A527="","",SUM(G$2:I527)-SUM(J$2:J527))</f>
        <v/>
      </c>
      <c r="L527" s="46" t="n"/>
      <c r="M527">
        <f>IF(A527="","",IF(A527=A526,M526,N(M526)+1))</f>
        <v/>
      </c>
      <c r="N527">
        <f>IF(E527="",99999,E527)</f>
        <v/>
      </c>
      <c r="O527">
        <f>IF(E527="",0,IF(F527="",E527,F527))</f>
        <v/>
      </c>
      <c r="P527">
        <f>IF(E527="",1,MAX(1,(YEAR(O527)-YEAR(N527))*12+MONTH(O527)-MONTH(N527)+1))</f>
        <v/>
      </c>
      <c r="Q527">
        <f>IF(G527="",0,G527/P527)</f>
        <v/>
      </c>
      <c r="R527">
        <f>IF(H527="",0,H527/P527)</f>
        <v/>
      </c>
    </row>
    <row r="528">
      <c r="A528" s="43" t="n"/>
      <c r="B528" s="28" t="n"/>
      <c r="C528" s="28" t="n"/>
      <c r="D528" s="28" t="n"/>
      <c r="E528" s="44" t="n"/>
      <c r="F528" s="44" t="n"/>
      <c r="G528" s="23" t="n"/>
      <c r="H528" s="23" t="n"/>
      <c r="I528" s="23" t="n"/>
      <c r="J528" s="23" t="n"/>
      <c r="K528" s="45">
        <f>IF(A528="","",SUM(G$2:I528)-SUM(J$2:J528))</f>
        <v/>
      </c>
      <c r="L528" s="46" t="n"/>
      <c r="M528">
        <f>IF(A528="","",IF(A528=A527,M527,N(M527)+1))</f>
        <v/>
      </c>
      <c r="N528">
        <f>IF(E528="",99999,E528)</f>
        <v/>
      </c>
      <c r="O528">
        <f>IF(E528="",0,IF(F528="",E528,F528))</f>
        <v/>
      </c>
      <c r="P528">
        <f>IF(E528="",1,MAX(1,(YEAR(O528)-YEAR(N528))*12+MONTH(O528)-MONTH(N528)+1))</f>
        <v/>
      </c>
      <c r="Q528">
        <f>IF(G528="",0,G528/P528)</f>
        <v/>
      </c>
      <c r="R528">
        <f>IF(H528="",0,H528/P528)</f>
        <v/>
      </c>
    </row>
    <row r="529">
      <c r="A529" s="43" t="n"/>
      <c r="B529" s="28" t="n"/>
      <c r="C529" s="28" t="n"/>
      <c r="D529" s="28" t="n"/>
      <c r="E529" s="44" t="n"/>
      <c r="F529" s="44" t="n"/>
      <c r="G529" s="23" t="n"/>
      <c r="H529" s="23" t="n"/>
      <c r="I529" s="23" t="n"/>
      <c r="J529" s="23" t="n"/>
      <c r="K529" s="45">
        <f>IF(A529="","",SUM(G$2:I529)-SUM(J$2:J529))</f>
        <v/>
      </c>
      <c r="L529" s="46" t="n"/>
      <c r="M529">
        <f>IF(A529="","",IF(A529=A528,M528,N(M528)+1))</f>
        <v/>
      </c>
      <c r="N529">
        <f>IF(E529="",99999,E529)</f>
        <v/>
      </c>
      <c r="O529">
        <f>IF(E529="",0,IF(F529="",E529,F529))</f>
        <v/>
      </c>
      <c r="P529">
        <f>IF(E529="",1,MAX(1,(YEAR(O529)-YEAR(N529))*12+MONTH(O529)-MONTH(N529)+1))</f>
        <v/>
      </c>
      <c r="Q529">
        <f>IF(G529="",0,G529/P529)</f>
        <v/>
      </c>
      <c r="R529">
        <f>IF(H529="",0,H529/P529)</f>
        <v/>
      </c>
    </row>
    <row r="530">
      <c r="A530" s="43" t="n"/>
      <c r="B530" s="28" t="n"/>
      <c r="C530" s="28" t="n"/>
      <c r="D530" s="28" t="n"/>
      <c r="E530" s="44" t="n"/>
      <c r="F530" s="44" t="n"/>
      <c r="G530" s="23" t="n"/>
      <c r="H530" s="23" t="n"/>
      <c r="I530" s="23" t="n"/>
      <c r="J530" s="23" t="n"/>
      <c r="K530" s="45">
        <f>IF(A530="","",SUM(G$2:I530)-SUM(J$2:J530))</f>
        <v/>
      </c>
      <c r="L530" s="46" t="n"/>
      <c r="M530">
        <f>IF(A530="","",IF(A530=A529,M529,N(M529)+1))</f>
        <v/>
      </c>
      <c r="N530">
        <f>IF(E530="",99999,E530)</f>
        <v/>
      </c>
      <c r="O530">
        <f>IF(E530="",0,IF(F530="",E530,F530))</f>
        <v/>
      </c>
      <c r="P530">
        <f>IF(E530="",1,MAX(1,(YEAR(O530)-YEAR(N530))*12+MONTH(O530)-MONTH(N530)+1))</f>
        <v/>
      </c>
      <c r="Q530">
        <f>IF(G530="",0,G530/P530)</f>
        <v/>
      </c>
      <c r="R530">
        <f>IF(H530="",0,H530/P530)</f>
        <v/>
      </c>
    </row>
    <row r="531">
      <c r="A531" s="43" t="n"/>
      <c r="B531" s="28" t="n"/>
      <c r="C531" s="28" t="n"/>
      <c r="D531" s="28" t="n"/>
      <c r="E531" s="44" t="n"/>
      <c r="F531" s="44" t="n"/>
      <c r="G531" s="23" t="n"/>
      <c r="H531" s="23" t="n"/>
      <c r="I531" s="23" t="n"/>
      <c r="J531" s="23" t="n"/>
      <c r="K531" s="45">
        <f>IF(A531="","",SUM(G$2:I531)-SUM(J$2:J531))</f>
        <v/>
      </c>
      <c r="L531" s="46" t="n"/>
      <c r="M531">
        <f>IF(A531="","",IF(A531=A530,M530,N(M530)+1))</f>
        <v/>
      </c>
      <c r="N531">
        <f>IF(E531="",99999,E531)</f>
        <v/>
      </c>
      <c r="O531">
        <f>IF(E531="",0,IF(F531="",E531,F531))</f>
        <v/>
      </c>
      <c r="P531">
        <f>IF(E531="",1,MAX(1,(YEAR(O531)-YEAR(N531))*12+MONTH(O531)-MONTH(N531)+1))</f>
        <v/>
      </c>
      <c r="Q531">
        <f>IF(G531="",0,G531/P531)</f>
        <v/>
      </c>
      <c r="R531">
        <f>IF(H531="",0,H531/P531)</f>
        <v/>
      </c>
    </row>
    <row r="532">
      <c r="A532" s="43" t="n"/>
      <c r="B532" s="28" t="n"/>
      <c r="C532" s="28" t="n"/>
      <c r="D532" s="28" t="n"/>
      <c r="E532" s="44" t="n"/>
      <c r="F532" s="44" t="n"/>
      <c r="G532" s="23" t="n"/>
      <c r="H532" s="23" t="n"/>
      <c r="I532" s="23" t="n"/>
      <c r="J532" s="23" t="n"/>
      <c r="K532" s="45">
        <f>IF(A532="","",SUM(G$2:I532)-SUM(J$2:J532))</f>
        <v/>
      </c>
      <c r="L532" s="46" t="n"/>
      <c r="M532">
        <f>IF(A532="","",IF(A532=A531,M531,N(M531)+1))</f>
        <v/>
      </c>
      <c r="N532">
        <f>IF(E532="",99999,E532)</f>
        <v/>
      </c>
      <c r="O532">
        <f>IF(E532="",0,IF(F532="",E532,F532))</f>
        <v/>
      </c>
      <c r="P532">
        <f>IF(E532="",1,MAX(1,(YEAR(O532)-YEAR(N532))*12+MONTH(O532)-MONTH(N532)+1))</f>
        <v/>
      </c>
      <c r="Q532">
        <f>IF(G532="",0,G532/P532)</f>
        <v/>
      </c>
      <c r="R532">
        <f>IF(H532="",0,H532/P532)</f>
        <v/>
      </c>
    </row>
    <row r="533">
      <c r="A533" s="43" t="n"/>
      <c r="B533" s="28" t="n"/>
      <c r="C533" s="28" t="n"/>
      <c r="D533" s="28" t="n"/>
      <c r="E533" s="44" t="n"/>
      <c r="F533" s="44" t="n"/>
      <c r="G533" s="23" t="n"/>
      <c r="H533" s="23" t="n"/>
      <c r="I533" s="23" t="n"/>
      <c r="J533" s="23" t="n"/>
      <c r="K533" s="45">
        <f>IF(A533="","",SUM(G$2:I533)-SUM(J$2:J533))</f>
        <v/>
      </c>
      <c r="L533" s="46" t="n"/>
      <c r="M533">
        <f>IF(A533="","",IF(A533=A532,M532,N(M532)+1))</f>
        <v/>
      </c>
      <c r="N533">
        <f>IF(E533="",99999,E533)</f>
        <v/>
      </c>
      <c r="O533">
        <f>IF(E533="",0,IF(F533="",E533,F533))</f>
        <v/>
      </c>
      <c r="P533">
        <f>IF(E533="",1,MAX(1,(YEAR(O533)-YEAR(N533))*12+MONTH(O533)-MONTH(N533)+1))</f>
        <v/>
      </c>
      <c r="Q533">
        <f>IF(G533="",0,G533/P533)</f>
        <v/>
      </c>
      <c r="R533">
        <f>IF(H533="",0,H533/P533)</f>
        <v/>
      </c>
    </row>
    <row r="534">
      <c r="A534" s="43" t="n"/>
      <c r="B534" s="28" t="n"/>
      <c r="C534" s="28" t="n"/>
      <c r="D534" s="28" t="n"/>
      <c r="E534" s="44" t="n"/>
      <c r="F534" s="44" t="n"/>
      <c r="G534" s="23" t="n"/>
      <c r="H534" s="23" t="n"/>
      <c r="I534" s="23" t="n"/>
      <c r="J534" s="23" t="n"/>
      <c r="K534" s="45">
        <f>IF(A534="","",SUM(G$2:I534)-SUM(J$2:J534))</f>
        <v/>
      </c>
      <c r="L534" s="46" t="n"/>
      <c r="M534">
        <f>IF(A534="","",IF(A534=A533,M533,N(M533)+1))</f>
        <v/>
      </c>
      <c r="N534">
        <f>IF(E534="",99999,E534)</f>
        <v/>
      </c>
      <c r="O534">
        <f>IF(E534="",0,IF(F534="",E534,F534))</f>
        <v/>
      </c>
      <c r="P534">
        <f>IF(E534="",1,MAX(1,(YEAR(O534)-YEAR(N534))*12+MONTH(O534)-MONTH(N534)+1))</f>
        <v/>
      </c>
      <c r="Q534">
        <f>IF(G534="",0,G534/P534)</f>
        <v/>
      </c>
      <c r="R534">
        <f>IF(H534="",0,H534/P534)</f>
        <v/>
      </c>
    </row>
    <row r="535">
      <c r="A535" s="43" t="n"/>
      <c r="B535" s="28" t="n"/>
      <c r="C535" s="28" t="n"/>
      <c r="D535" s="28" t="n"/>
      <c r="E535" s="44" t="n"/>
      <c r="F535" s="44" t="n"/>
      <c r="G535" s="23" t="n"/>
      <c r="H535" s="23" t="n"/>
      <c r="I535" s="23" t="n"/>
      <c r="J535" s="23" t="n"/>
      <c r="K535" s="45">
        <f>IF(A535="","",SUM(G$2:I535)-SUM(J$2:J535))</f>
        <v/>
      </c>
      <c r="L535" s="46" t="n"/>
      <c r="M535">
        <f>IF(A535="","",IF(A535=A534,M534,N(M534)+1))</f>
        <v/>
      </c>
      <c r="N535">
        <f>IF(E535="",99999,E535)</f>
        <v/>
      </c>
      <c r="O535">
        <f>IF(E535="",0,IF(F535="",E535,F535))</f>
        <v/>
      </c>
      <c r="P535">
        <f>IF(E535="",1,MAX(1,(YEAR(O535)-YEAR(N535))*12+MONTH(O535)-MONTH(N535)+1))</f>
        <v/>
      </c>
      <c r="Q535">
        <f>IF(G535="",0,G535/P535)</f>
        <v/>
      </c>
      <c r="R535">
        <f>IF(H535="",0,H535/P535)</f>
        <v/>
      </c>
    </row>
    <row r="536">
      <c r="A536" s="43" t="n"/>
      <c r="B536" s="28" t="n"/>
      <c r="C536" s="28" t="n"/>
      <c r="D536" s="28" t="n"/>
      <c r="E536" s="44" t="n"/>
      <c r="F536" s="44" t="n"/>
      <c r="G536" s="23" t="n"/>
      <c r="H536" s="23" t="n"/>
      <c r="I536" s="23" t="n"/>
      <c r="J536" s="23" t="n"/>
      <c r="K536" s="45">
        <f>IF(A536="","",SUM(G$2:I536)-SUM(J$2:J536))</f>
        <v/>
      </c>
      <c r="L536" s="46" t="n"/>
      <c r="M536">
        <f>IF(A536="","",IF(A536=A535,M535,N(M535)+1))</f>
        <v/>
      </c>
      <c r="N536">
        <f>IF(E536="",99999,E536)</f>
        <v/>
      </c>
      <c r="O536">
        <f>IF(E536="",0,IF(F536="",E536,F536))</f>
        <v/>
      </c>
      <c r="P536">
        <f>IF(E536="",1,MAX(1,(YEAR(O536)-YEAR(N536))*12+MONTH(O536)-MONTH(N536)+1))</f>
        <v/>
      </c>
      <c r="Q536">
        <f>IF(G536="",0,G536/P536)</f>
        <v/>
      </c>
      <c r="R536">
        <f>IF(H536="",0,H536/P536)</f>
        <v/>
      </c>
    </row>
    <row r="537">
      <c r="A537" s="43" t="n"/>
      <c r="B537" s="28" t="n"/>
      <c r="C537" s="28" t="n"/>
      <c r="D537" s="28" t="n"/>
      <c r="E537" s="44" t="n"/>
      <c r="F537" s="44" t="n"/>
      <c r="G537" s="23" t="n"/>
      <c r="H537" s="23" t="n"/>
      <c r="I537" s="23" t="n"/>
      <c r="J537" s="23" t="n"/>
      <c r="K537" s="45">
        <f>IF(A537="","",SUM(G$2:I537)-SUM(J$2:J537))</f>
        <v/>
      </c>
      <c r="L537" s="46" t="n"/>
      <c r="M537">
        <f>IF(A537="","",IF(A537=A536,M536,N(M536)+1))</f>
        <v/>
      </c>
      <c r="N537">
        <f>IF(E537="",99999,E537)</f>
        <v/>
      </c>
      <c r="O537">
        <f>IF(E537="",0,IF(F537="",E537,F537))</f>
        <v/>
      </c>
      <c r="P537">
        <f>IF(E537="",1,MAX(1,(YEAR(O537)-YEAR(N537))*12+MONTH(O537)-MONTH(N537)+1))</f>
        <v/>
      </c>
      <c r="Q537">
        <f>IF(G537="",0,G537/P537)</f>
        <v/>
      </c>
      <c r="R537">
        <f>IF(H537="",0,H537/P537)</f>
        <v/>
      </c>
    </row>
    <row r="538">
      <c r="A538" s="43" t="n"/>
      <c r="B538" s="28" t="n"/>
      <c r="C538" s="28" t="n"/>
      <c r="D538" s="28" t="n"/>
      <c r="E538" s="44" t="n"/>
      <c r="F538" s="44" t="n"/>
      <c r="G538" s="23" t="n"/>
      <c r="H538" s="23" t="n"/>
      <c r="I538" s="23" t="n"/>
      <c r="J538" s="23" t="n"/>
      <c r="K538" s="45">
        <f>IF(A538="","",SUM(G$2:I538)-SUM(J$2:J538))</f>
        <v/>
      </c>
      <c r="L538" s="46" t="n"/>
      <c r="M538">
        <f>IF(A538="","",IF(A538=A537,M537,N(M537)+1))</f>
        <v/>
      </c>
      <c r="N538">
        <f>IF(E538="",99999,E538)</f>
        <v/>
      </c>
      <c r="O538">
        <f>IF(E538="",0,IF(F538="",E538,F538))</f>
        <v/>
      </c>
      <c r="P538">
        <f>IF(E538="",1,MAX(1,(YEAR(O538)-YEAR(N538))*12+MONTH(O538)-MONTH(N538)+1))</f>
        <v/>
      </c>
      <c r="Q538">
        <f>IF(G538="",0,G538/P538)</f>
        <v/>
      </c>
      <c r="R538">
        <f>IF(H538="",0,H538/P538)</f>
        <v/>
      </c>
    </row>
    <row r="539">
      <c r="A539" s="43" t="n"/>
      <c r="B539" s="28" t="n"/>
      <c r="C539" s="28" t="n"/>
      <c r="D539" s="28" t="n"/>
      <c r="E539" s="44" t="n"/>
      <c r="F539" s="44" t="n"/>
      <c r="G539" s="23" t="n"/>
      <c r="H539" s="23" t="n"/>
      <c r="I539" s="23" t="n"/>
      <c r="J539" s="23" t="n"/>
      <c r="K539" s="45">
        <f>IF(A539="","",SUM(G$2:I539)-SUM(J$2:J539))</f>
        <v/>
      </c>
      <c r="L539" s="46" t="n"/>
      <c r="M539">
        <f>IF(A539="","",IF(A539=A538,M538,N(M538)+1))</f>
        <v/>
      </c>
      <c r="N539">
        <f>IF(E539="",99999,E539)</f>
        <v/>
      </c>
      <c r="O539">
        <f>IF(E539="",0,IF(F539="",E539,F539))</f>
        <v/>
      </c>
      <c r="P539">
        <f>IF(E539="",1,MAX(1,(YEAR(O539)-YEAR(N539))*12+MONTH(O539)-MONTH(N539)+1))</f>
        <v/>
      </c>
      <c r="Q539">
        <f>IF(G539="",0,G539/P539)</f>
        <v/>
      </c>
      <c r="R539">
        <f>IF(H539="",0,H539/P539)</f>
        <v/>
      </c>
    </row>
    <row r="540">
      <c r="A540" s="43" t="n"/>
      <c r="B540" s="28" t="n"/>
      <c r="C540" s="28" t="n"/>
      <c r="D540" s="28" t="n"/>
      <c r="E540" s="44" t="n"/>
      <c r="F540" s="44" t="n"/>
      <c r="G540" s="23" t="n"/>
      <c r="H540" s="23" t="n"/>
      <c r="I540" s="23" t="n"/>
      <c r="J540" s="23" t="n"/>
      <c r="K540" s="45">
        <f>IF(A540="","",SUM(G$2:I540)-SUM(J$2:J540))</f>
        <v/>
      </c>
      <c r="L540" s="46" t="n"/>
      <c r="M540">
        <f>IF(A540="","",IF(A540=A539,M539,N(M539)+1))</f>
        <v/>
      </c>
      <c r="N540">
        <f>IF(E540="",99999,E540)</f>
        <v/>
      </c>
      <c r="O540">
        <f>IF(E540="",0,IF(F540="",E540,F540))</f>
        <v/>
      </c>
      <c r="P540">
        <f>IF(E540="",1,MAX(1,(YEAR(O540)-YEAR(N540))*12+MONTH(O540)-MONTH(N540)+1))</f>
        <v/>
      </c>
      <c r="Q540">
        <f>IF(G540="",0,G540/P540)</f>
        <v/>
      </c>
      <c r="R540">
        <f>IF(H540="",0,H540/P540)</f>
        <v/>
      </c>
    </row>
    <row r="541">
      <c r="A541" s="43" t="n"/>
      <c r="B541" s="28" t="n"/>
      <c r="C541" s="28" t="n"/>
      <c r="D541" s="28" t="n"/>
      <c r="E541" s="44" t="n"/>
      <c r="F541" s="44" t="n"/>
      <c r="G541" s="23" t="n"/>
      <c r="H541" s="23" t="n"/>
      <c r="I541" s="23" t="n"/>
      <c r="J541" s="23" t="n"/>
      <c r="K541" s="45">
        <f>IF(A541="","",SUM(G$2:I541)-SUM(J$2:J541))</f>
        <v/>
      </c>
      <c r="L541" s="46" t="n"/>
      <c r="M541">
        <f>IF(A541="","",IF(A541=A540,M540,N(M540)+1))</f>
        <v/>
      </c>
      <c r="N541">
        <f>IF(E541="",99999,E541)</f>
        <v/>
      </c>
      <c r="O541">
        <f>IF(E541="",0,IF(F541="",E541,F541))</f>
        <v/>
      </c>
      <c r="P541">
        <f>IF(E541="",1,MAX(1,(YEAR(O541)-YEAR(N541))*12+MONTH(O541)-MONTH(N541)+1))</f>
        <v/>
      </c>
      <c r="Q541">
        <f>IF(G541="",0,G541/P541)</f>
        <v/>
      </c>
      <c r="R541">
        <f>IF(H541="",0,H541/P541)</f>
        <v/>
      </c>
    </row>
    <row r="542">
      <c r="A542" s="43" t="n"/>
      <c r="B542" s="28" t="n"/>
      <c r="C542" s="28" t="n"/>
      <c r="D542" s="28" t="n"/>
      <c r="E542" s="44" t="n"/>
      <c r="F542" s="44" t="n"/>
      <c r="G542" s="23" t="n"/>
      <c r="H542" s="23" t="n"/>
      <c r="I542" s="23" t="n"/>
      <c r="J542" s="23" t="n"/>
      <c r="K542" s="45">
        <f>IF(A542="","",SUM(G$2:I542)-SUM(J$2:J542))</f>
        <v/>
      </c>
      <c r="L542" s="46" t="n"/>
      <c r="M542">
        <f>IF(A542="","",IF(A542=A541,M541,N(M541)+1))</f>
        <v/>
      </c>
      <c r="N542">
        <f>IF(E542="",99999,E542)</f>
        <v/>
      </c>
      <c r="O542">
        <f>IF(E542="",0,IF(F542="",E542,F542))</f>
        <v/>
      </c>
      <c r="P542">
        <f>IF(E542="",1,MAX(1,(YEAR(O542)-YEAR(N542))*12+MONTH(O542)-MONTH(N542)+1))</f>
        <v/>
      </c>
      <c r="Q542">
        <f>IF(G542="",0,G542/P542)</f>
        <v/>
      </c>
      <c r="R542">
        <f>IF(H542="",0,H542/P542)</f>
        <v/>
      </c>
    </row>
    <row r="543">
      <c r="A543" s="43" t="n"/>
      <c r="B543" s="28" t="n"/>
      <c r="C543" s="28" t="n"/>
      <c r="D543" s="28" t="n"/>
      <c r="E543" s="44" t="n"/>
      <c r="F543" s="44" t="n"/>
      <c r="G543" s="23" t="n"/>
      <c r="H543" s="23" t="n"/>
      <c r="I543" s="23" t="n"/>
      <c r="J543" s="23" t="n"/>
      <c r="K543" s="45">
        <f>IF(A543="","",SUM(G$2:I543)-SUM(J$2:J543))</f>
        <v/>
      </c>
      <c r="L543" s="46" t="n"/>
      <c r="M543">
        <f>IF(A543="","",IF(A543=A542,M542,N(M542)+1))</f>
        <v/>
      </c>
      <c r="N543">
        <f>IF(E543="",99999,E543)</f>
        <v/>
      </c>
      <c r="O543">
        <f>IF(E543="",0,IF(F543="",E543,F543))</f>
        <v/>
      </c>
      <c r="P543">
        <f>IF(E543="",1,MAX(1,(YEAR(O543)-YEAR(N543))*12+MONTH(O543)-MONTH(N543)+1))</f>
        <v/>
      </c>
      <c r="Q543">
        <f>IF(G543="",0,G543/P543)</f>
        <v/>
      </c>
      <c r="R543">
        <f>IF(H543="",0,H543/P543)</f>
        <v/>
      </c>
    </row>
    <row r="544">
      <c r="A544" s="43" t="n"/>
      <c r="B544" s="28" t="n"/>
      <c r="C544" s="28" t="n"/>
      <c r="D544" s="28" t="n"/>
      <c r="E544" s="44" t="n"/>
      <c r="F544" s="44" t="n"/>
      <c r="G544" s="23" t="n"/>
      <c r="H544" s="23" t="n"/>
      <c r="I544" s="23" t="n"/>
      <c r="J544" s="23" t="n"/>
      <c r="K544" s="45">
        <f>IF(A544="","",SUM(G$2:I544)-SUM(J$2:J544))</f>
        <v/>
      </c>
      <c r="L544" s="46" t="n"/>
      <c r="M544">
        <f>IF(A544="","",IF(A544=A543,M543,N(M543)+1))</f>
        <v/>
      </c>
      <c r="N544">
        <f>IF(E544="",99999,E544)</f>
        <v/>
      </c>
      <c r="O544">
        <f>IF(E544="",0,IF(F544="",E544,F544))</f>
        <v/>
      </c>
      <c r="P544">
        <f>IF(E544="",1,MAX(1,(YEAR(O544)-YEAR(N544))*12+MONTH(O544)-MONTH(N544)+1))</f>
        <v/>
      </c>
      <c r="Q544">
        <f>IF(G544="",0,G544/P544)</f>
        <v/>
      </c>
      <c r="R544">
        <f>IF(H544="",0,H544/P544)</f>
        <v/>
      </c>
    </row>
    <row r="545">
      <c r="A545" s="43" t="n"/>
      <c r="B545" s="28" t="n"/>
      <c r="C545" s="28" t="n"/>
      <c r="D545" s="28" t="n"/>
      <c r="E545" s="44" t="n"/>
      <c r="F545" s="44" t="n"/>
      <c r="G545" s="23" t="n"/>
      <c r="H545" s="23" t="n"/>
      <c r="I545" s="23" t="n"/>
      <c r="J545" s="23" t="n"/>
      <c r="K545" s="45">
        <f>IF(A545="","",SUM(G$2:I545)-SUM(J$2:J545))</f>
        <v/>
      </c>
      <c r="L545" s="46" t="n"/>
      <c r="M545">
        <f>IF(A545="","",IF(A545=A544,M544,N(M544)+1))</f>
        <v/>
      </c>
      <c r="N545">
        <f>IF(E545="",99999,E545)</f>
        <v/>
      </c>
      <c r="O545">
        <f>IF(E545="",0,IF(F545="",E545,F545))</f>
        <v/>
      </c>
      <c r="P545">
        <f>IF(E545="",1,MAX(1,(YEAR(O545)-YEAR(N545))*12+MONTH(O545)-MONTH(N545)+1))</f>
        <v/>
      </c>
      <c r="Q545">
        <f>IF(G545="",0,G545/P545)</f>
        <v/>
      </c>
      <c r="R545">
        <f>IF(H545="",0,H545/P545)</f>
        <v/>
      </c>
    </row>
    <row r="546">
      <c r="A546" s="43" t="n"/>
      <c r="B546" s="28" t="n"/>
      <c r="C546" s="28" t="n"/>
      <c r="D546" s="28" t="n"/>
      <c r="E546" s="44" t="n"/>
      <c r="F546" s="44" t="n"/>
      <c r="G546" s="23" t="n"/>
      <c r="H546" s="23" t="n"/>
      <c r="I546" s="23" t="n"/>
      <c r="J546" s="23" t="n"/>
      <c r="K546" s="45">
        <f>IF(A546="","",SUM(G$2:I546)-SUM(J$2:J546))</f>
        <v/>
      </c>
      <c r="L546" s="46" t="n"/>
      <c r="M546">
        <f>IF(A546="","",IF(A546=A545,M545,N(M545)+1))</f>
        <v/>
      </c>
      <c r="N546">
        <f>IF(E546="",99999,E546)</f>
        <v/>
      </c>
      <c r="O546">
        <f>IF(E546="",0,IF(F546="",E546,F546))</f>
        <v/>
      </c>
      <c r="P546">
        <f>IF(E546="",1,MAX(1,(YEAR(O546)-YEAR(N546))*12+MONTH(O546)-MONTH(N546)+1))</f>
        <v/>
      </c>
      <c r="Q546">
        <f>IF(G546="",0,G546/P546)</f>
        <v/>
      </c>
      <c r="R546">
        <f>IF(H546="",0,H546/P546)</f>
        <v/>
      </c>
    </row>
    <row r="547">
      <c r="A547" s="43" t="n"/>
      <c r="B547" s="28" t="n"/>
      <c r="C547" s="28" t="n"/>
      <c r="D547" s="28" t="n"/>
      <c r="E547" s="44" t="n"/>
      <c r="F547" s="44" t="n"/>
      <c r="G547" s="23" t="n"/>
      <c r="H547" s="23" t="n"/>
      <c r="I547" s="23" t="n"/>
      <c r="J547" s="23" t="n"/>
      <c r="K547" s="45">
        <f>IF(A547="","",SUM(G$2:I547)-SUM(J$2:J547))</f>
        <v/>
      </c>
      <c r="L547" s="46" t="n"/>
      <c r="M547">
        <f>IF(A547="","",IF(A547=A546,M546,N(M546)+1))</f>
        <v/>
      </c>
      <c r="N547">
        <f>IF(E547="",99999,E547)</f>
        <v/>
      </c>
      <c r="O547">
        <f>IF(E547="",0,IF(F547="",E547,F547))</f>
        <v/>
      </c>
      <c r="P547">
        <f>IF(E547="",1,MAX(1,(YEAR(O547)-YEAR(N547))*12+MONTH(O547)-MONTH(N547)+1))</f>
        <v/>
      </c>
      <c r="Q547">
        <f>IF(G547="",0,G547/P547)</f>
        <v/>
      </c>
      <c r="R547">
        <f>IF(H547="",0,H547/P547)</f>
        <v/>
      </c>
    </row>
    <row r="548">
      <c r="A548" s="43" t="n"/>
      <c r="B548" s="28" t="n"/>
      <c r="C548" s="28" t="n"/>
      <c r="D548" s="28" t="n"/>
      <c r="E548" s="44" t="n"/>
      <c r="F548" s="44" t="n"/>
      <c r="G548" s="23" t="n"/>
      <c r="H548" s="23" t="n"/>
      <c r="I548" s="23" t="n"/>
      <c r="J548" s="23" t="n"/>
      <c r="K548" s="45">
        <f>IF(A548="","",SUM(G$2:I548)-SUM(J$2:J548))</f>
        <v/>
      </c>
      <c r="L548" s="46" t="n"/>
      <c r="M548">
        <f>IF(A548="","",IF(A548=A547,M547,N(M547)+1))</f>
        <v/>
      </c>
      <c r="N548">
        <f>IF(E548="",99999,E548)</f>
        <v/>
      </c>
      <c r="O548">
        <f>IF(E548="",0,IF(F548="",E548,F548))</f>
        <v/>
      </c>
      <c r="P548">
        <f>IF(E548="",1,MAX(1,(YEAR(O548)-YEAR(N548))*12+MONTH(O548)-MONTH(N548)+1))</f>
        <v/>
      </c>
      <c r="Q548">
        <f>IF(G548="",0,G548/P548)</f>
        <v/>
      </c>
      <c r="R548">
        <f>IF(H548="",0,H548/P548)</f>
        <v/>
      </c>
    </row>
    <row r="549">
      <c r="A549" s="43" t="n"/>
      <c r="B549" s="28" t="n"/>
      <c r="C549" s="28" t="n"/>
      <c r="D549" s="28" t="n"/>
      <c r="E549" s="44" t="n"/>
      <c r="F549" s="44" t="n"/>
      <c r="G549" s="23" t="n"/>
      <c r="H549" s="23" t="n"/>
      <c r="I549" s="23" t="n"/>
      <c r="J549" s="23" t="n"/>
      <c r="K549" s="45">
        <f>IF(A549="","",SUM(G$2:I549)-SUM(J$2:J549))</f>
        <v/>
      </c>
      <c r="L549" s="46" t="n"/>
      <c r="M549">
        <f>IF(A549="","",IF(A549=A548,M548,N(M548)+1))</f>
        <v/>
      </c>
      <c r="N549">
        <f>IF(E549="",99999,E549)</f>
        <v/>
      </c>
      <c r="O549">
        <f>IF(E549="",0,IF(F549="",E549,F549))</f>
        <v/>
      </c>
      <c r="P549">
        <f>IF(E549="",1,MAX(1,(YEAR(O549)-YEAR(N549))*12+MONTH(O549)-MONTH(N549)+1))</f>
        <v/>
      </c>
      <c r="Q549">
        <f>IF(G549="",0,G549/P549)</f>
        <v/>
      </c>
      <c r="R549">
        <f>IF(H549="",0,H549/P549)</f>
        <v/>
      </c>
    </row>
    <row r="550">
      <c r="A550" s="43" t="n"/>
      <c r="B550" s="28" t="n"/>
      <c r="C550" s="28" t="n"/>
      <c r="D550" s="28" t="n"/>
      <c r="E550" s="44" t="n"/>
      <c r="F550" s="44" t="n"/>
      <c r="G550" s="23" t="n"/>
      <c r="H550" s="23" t="n"/>
      <c r="I550" s="23" t="n"/>
      <c r="J550" s="23" t="n"/>
      <c r="K550" s="45">
        <f>IF(A550="","",SUM(G$2:I550)-SUM(J$2:J550))</f>
        <v/>
      </c>
      <c r="L550" s="46" t="n"/>
      <c r="M550">
        <f>IF(A550="","",IF(A550=A549,M549,N(M549)+1))</f>
        <v/>
      </c>
      <c r="N550">
        <f>IF(E550="",99999,E550)</f>
        <v/>
      </c>
      <c r="O550">
        <f>IF(E550="",0,IF(F550="",E550,F550))</f>
        <v/>
      </c>
      <c r="P550">
        <f>IF(E550="",1,MAX(1,(YEAR(O550)-YEAR(N550))*12+MONTH(O550)-MONTH(N550)+1))</f>
        <v/>
      </c>
      <c r="Q550">
        <f>IF(G550="",0,G550/P550)</f>
        <v/>
      </c>
      <c r="R550">
        <f>IF(H550="",0,H550/P550)</f>
        <v/>
      </c>
    </row>
    <row r="551">
      <c r="A551" s="43" t="n"/>
      <c r="B551" s="28" t="n"/>
      <c r="C551" s="28" t="n"/>
      <c r="D551" s="28" t="n"/>
      <c r="E551" s="44" t="n"/>
      <c r="F551" s="44" t="n"/>
      <c r="G551" s="23" t="n"/>
      <c r="H551" s="23" t="n"/>
      <c r="I551" s="23" t="n"/>
      <c r="J551" s="23" t="n"/>
      <c r="K551" s="45">
        <f>IF(A551="","",SUM(G$2:I551)-SUM(J$2:J551))</f>
        <v/>
      </c>
      <c r="L551" s="46" t="n"/>
      <c r="M551">
        <f>IF(A551="","",IF(A551=A550,M550,N(M550)+1))</f>
        <v/>
      </c>
      <c r="N551">
        <f>IF(E551="",99999,E551)</f>
        <v/>
      </c>
      <c r="O551">
        <f>IF(E551="",0,IF(F551="",E551,F551))</f>
        <v/>
      </c>
      <c r="P551">
        <f>IF(E551="",1,MAX(1,(YEAR(O551)-YEAR(N551))*12+MONTH(O551)-MONTH(N551)+1))</f>
        <v/>
      </c>
      <c r="Q551">
        <f>IF(G551="",0,G551/P551)</f>
        <v/>
      </c>
      <c r="R551">
        <f>IF(H551="",0,H551/P551)</f>
        <v/>
      </c>
    </row>
    <row r="552">
      <c r="A552" s="43" t="n"/>
      <c r="B552" s="28" t="n"/>
      <c r="C552" s="28" t="n"/>
      <c r="D552" s="28" t="n"/>
      <c r="E552" s="44" t="n"/>
      <c r="F552" s="44" t="n"/>
      <c r="G552" s="23" t="n"/>
      <c r="H552" s="23" t="n"/>
      <c r="I552" s="23" t="n"/>
      <c r="J552" s="23" t="n"/>
      <c r="K552" s="45">
        <f>IF(A552="","",SUM(G$2:I552)-SUM(J$2:J552))</f>
        <v/>
      </c>
      <c r="L552" s="46" t="n"/>
      <c r="M552">
        <f>IF(A552="","",IF(A552=A551,M551,N(M551)+1))</f>
        <v/>
      </c>
      <c r="N552">
        <f>IF(E552="",99999,E552)</f>
        <v/>
      </c>
      <c r="O552">
        <f>IF(E552="",0,IF(F552="",E552,F552))</f>
        <v/>
      </c>
      <c r="P552">
        <f>IF(E552="",1,MAX(1,(YEAR(O552)-YEAR(N552))*12+MONTH(O552)-MONTH(N552)+1))</f>
        <v/>
      </c>
      <c r="Q552">
        <f>IF(G552="",0,G552/P552)</f>
        <v/>
      </c>
      <c r="R552">
        <f>IF(H552="",0,H552/P552)</f>
        <v/>
      </c>
    </row>
    <row r="553">
      <c r="A553" s="43" t="n"/>
      <c r="B553" s="28" t="n"/>
      <c r="C553" s="28" t="n"/>
      <c r="D553" s="28" t="n"/>
      <c r="E553" s="44" t="n"/>
      <c r="F553" s="44" t="n"/>
      <c r="G553" s="23" t="n"/>
      <c r="H553" s="23" t="n"/>
      <c r="I553" s="23" t="n"/>
      <c r="J553" s="23" t="n"/>
      <c r="K553" s="45">
        <f>IF(A553="","",SUM(G$2:I553)-SUM(J$2:J553))</f>
        <v/>
      </c>
      <c r="L553" s="46" t="n"/>
      <c r="M553">
        <f>IF(A553="","",IF(A553=A552,M552,N(M552)+1))</f>
        <v/>
      </c>
      <c r="N553">
        <f>IF(E553="",99999,E553)</f>
        <v/>
      </c>
      <c r="O553">
        <f>IF(E553="",0,IF(F553="",E553,F553))</f>
        <v/>
      </c>
      <c r="P553">
        <f>IF(E553="",1,MAX(1,(YEAR(O553)-YEAR(N553))*12+MONTH(O553)-MONTH(N553)+1))</f>
        <v/>
      </c>
      <c r="Q553">
        <f>IF(G553="",0,G553/P553)</f>
        <v/>
      </c>
      <c r="R553">
        <f>IF(H553="",0,H553/P553)</f>
        <v/>
      </c>
    </row>
    <row r="554">
      <c r="A554" s="43" t="n"/>
      <c r="B554" s="28" t="n"/>
      <c r="C554" s="28" t="n"/>
      <c r="D554" s="28" t="n"/>
      <c r="E554" s="44" t="n"/>
      <c r="F554" s="44" t="n"/>
      <c r="G554" s="23" t="n"/>
      <c r="H554" s="23" t="n"/>
      <c r="I554" s="23" t="n"/>
      <c r="J554" s="23" t="n"/>
      <c r="K554" s="45">
        <f>IF(A554="","",SUM(G$2:I554)-SUM(J$2:J554))</f>
        <v/>
      </c>
      <c r="L554" s="46" t="n"/>
      <c r="M554">
        <f>IF(A554="","",IF(A554=A553,M553,N(M553)+1))</f>
        <v/>
      </c>
      <c r="N554">
        <f>IF(E554="",99999,E554)</f>
        <v/>
      </c>
      <c r="O554">
        <f>IF(E554="",0,IF(F554="",E554,F554))</f>
        <v/>
      </c>
      <c r="P554">
        <f>IF(E554="",1,MAX(1,(YEAR(O554)-YEAR(N554))*12+MONTH(O554)-MONTH(N554)+1))</f>
        <v/>
      </c>
      <c r="Q554">
        <f>IF(G554="",0,G554/P554)</f>
        <v/>
      </c>
      <c r="R554">
        <f>IF(H554="",0,H554/P554)</f>
        <v/>
      </c>
    </row>
    <row r="555">
      <c r="A555" s="43" t="n"/>
      <c r="B555" s="28" t="n"/>
      <c r="C555" s="28" t="n"/>
      <c r="D555" s="28" t="n"/>
      <c r="E555" s="44" t="n"/>
      <c r="F555" s="44" t="n"/>
      <c r="G555" s="23" t="n"/>
      <c r="H555" s="23" t="n"/>
      <c r="I555" s="23" t="n"/>
      <c r="J555" s="23" t="n"/>
      <c r="K555" s="45">
        <f>IF(A555="","",SUM(G$2:I555)-SUM(J$2:J555))</f>
        <v/>
      </c>
      <c r="L555" s="46" t="n"/>
      <c r="M555">
        <f>IF(A555="","",IF(A555=A554,M554,N(M554)+1))</f>
        <v/>
      </c>
      <c r="N555">
        <f>IF(E555="",99999,E555)</f>
        <v/>
      </c>
      <c r="O555">
        <f>IF(E555="",0,IF(F555="",E555,F555))</f>
        <v/>
      </c>
      <c r="P555">
        <f>IF(E555="",1,MAX(1,(YEAR(O555)-YEAR(N555))*12+MONTH(O555)-MONTH(N555)+1))</f>
        <v/>
      </c>
      <c r="Q555">
        <f>IF(G555="",0,G555/P555)</f>
        <v/>
      </c>
      <c r="R555">
        <f>IF(H555="",0,H555/P555)</f>
        <v/>
      </c>
    </row>
    <row r="556">
      <c r="A556" s="43" t="n"/>
      <c r="B556" s="28" t="n"/>
      <c r="C556" s="28" t="n"/>
      <c r="D556" s="28" t="n"/>
      <c r="E556" s="44" t="n"/>
      <c r="F556" s="44" t="n"/>
      <c r="G556" s="23" t="n"/>
      <c r="H556" s="23" t="n"/>
      <c r="I556" s="23" t="n"/>
      <c r="J556" s="23" t="n"/>
      <c r="K556" s="45">
        <f>IF(A556="","",SUM(G$2:I556)-SUM(J$2:J556))</f>
        <v/>
      </c>
      <c r="L556" s="46" t="n"/>
      <c r="M556">
        <f>IF(A556="","",IF(A556=A555,M555,N(M555)+1))</f>
        <v/>
      </c>
      <c r="N556">
        <f>IF(E556="",99999,E556)</f>
        <v/>
      </c>
      <c r="O556">
        <f>IF(E556="",0,IF(F556="",E556,F556))</f>
        <v/>
      </c>
      <c r="P556">
        <f>IF(E556="",1,MAX(1,(YEAR(O556)-YEAR(N556))*12+MONTH(O556)-MONTH(N556)+1))</f>
        <v/>
      </c>
      <c r="Q556">
        <f>IF(G556="",0,G556/P556)</f>
        <v/>
      </c>
      <c r="R556">
        <f>IF(H556="",0,H556/P556)</f>
        <v/>
      </c>
    </row>
    <row r="557">
      <c r="A557" s="43" t="n"/>
      <c r="B557" s="28" t="n"/>
      <c r="C557" s="28" t="n"/>
      <c r="D557" s="28" t="n"/>
      <c r="E557" s="44" t="n"/>
      <c r="F557" s="44" t="n"/>
      <c r="G557" s="23" t="n"/>
      <c r="H557" s="23" t="n"/>
      <c r="I557" s="23" t="n"/>
      <c r="J557" s="23" t="n"/>
      <c r="K557" s="45">
        <f>IF(A557="","",SUM(G$2:I557)-SUM(J$2:J557))</f>
        <v/>
      </c>
      <c r="L557" s="46" t="n"/>
      <c r="M557">
        <f>IF(A557="","",IF(A557=A556,M556,N(M556)+1))</f>
        <v/>
      </c>
      <c r="N557">
        <f>IF(E557="",99999,E557)</f>
        <v/>
      </c>
      <c r="O557">
        <f>IF(E557="",0,IF(F557="",E557,F557))</f>
        <v/>
      </c>
      <c r="P557">
        <f>IF(E557="",1,MAX(1,(YEAR(O557)-YEAR(N557))*12+MONTH(O557)-MONTH(N557)+1))</f>
        <v/>
      </c>
      <c r="Q557">
        <f>IF(G557="",0,G557/P557)</f>
        <v/>
      </c>
      <c r="R557">
        <f>IF(H557="",0,H557/P557)</f>
        <v/>
      </c>
    </row>
    <row r="558">
      <c r="A558" s="43" t="n"/>
      <c r="B558" s="28" t="n"/>
      <c r="C558" s="28" t="n"/>
      <c r="D558" s="28" t="n"/>
      <c r="E558" s="44" t="n"/>
      <c r="F558" s="44" t="n"/>
      <c r="G558" s="23" t="n"/>
      <c r="H558" s="23" t="n"/>
      <c r="I558" s="23" t="n"/>
      <c r="J558" s="23" t="n"/>
      <c r="K558" s="45">
        <f>IF(A558="","",SUM(G$2:I558)-SUM(J$2:J558))</f>
        <v/>
      </c>
      <c r="L558" s="46" t="n"/>
      <c r="M558">
        <f>IF(A558="","",IF(A558=A557,M557,N(M557)+1))</f>
        <v/>
      </c>
      <c r="N558">
        <f>IF(E558="",99999,E558)</f>
        <v/>
      </c>
      <c r="O558">
        <f>IF(E558="",0,IF(F558="",E558,F558))</f>
        <v/>
      </c>
      <c r="P558">
        <f>IF(E558="",1,MAX(1,(YEAR(O558)-YEAR(N558))*12+MONTH(O558)-MONTH(N558)+1))</f>
        <v/>
      </c>
      <c r="Q558">
        <f>IF(G558="",0,G558/P558)</f>
        <v/>
      </c>
      <c r="R558">
        <f>IF(H558="",0,H558/P558)</f>
        <v/>
      </c>
    </row>
    <row r="559">
      <c r="A559" s="43" t="n"/>
      <c r="B559" s="28" t="n"/>
      <c r="C559" s="28" t="n"/>
      <c r="D559" s="28" t="n"/>
      <c r="E559" s="44" t="n"/>
      <c r="F559" s="44" t="n"/>
      <c r="G559" s="23" t="n"/>
      <c r="H559" s="23" t="n"/>
      <c r="I559" s="23" t="n"/>
      <c r="J559" s="23" t="n"/>
      <c r="K559" s="45">
        <f>IF(A559="","",SUM(G$2:I559)-SUM(J$2:J559))</f>
        <v/>
      </c>
      <c r="L559" s="46" t="n"/>
      <c r="M559">
        <f>IF(A559="","",IF(A559=A558,M558,N(M558)+1))</f>
        <v/>
      </c>
      <c r="N559">
        <f>IF(E559="",99999,E559)</f>
        <v/>
      </c>
      <c r="O559">
        <f>IF(E559="",0,IF(F559="",E559,F559))</f>
        <v/>
      </c>
      <c r="P559">
        <f>IF(E559="",1,MAX(1,(YEAR(O559)-YEAR(N559))*12+MONTH(O559)-MONTH(N559)+1))</f>
        <v/>
      </c>
      <c r="Q559">
        <f>IF(G559="",0,G559/P559)</f>
        <v/>
      </c>
      <c r="R559">
        <f>IF(H559="",0,H559/P559)</f>
        <v/>
      </c>
    </row>
    <row r="560">
      <c r="A560" s="43" t="n"/>
      <c r="B560" s="28" t="n"/>
      <c r="C560" s="28" t="n"/>
      <c r="D560" s="28" t="n"/>
      <c r="E560" s="44" t="n"/>
      <c r="F560" s="44" t="n"/>
      <c r="G560" s="23" t="n"/>
      <c r="H560" s="23" t="n"/>
      <c r="I560" s="23" t="n"/>
      <c r="J560" s="23" t="n"/>
      <c r="K560" s="45">
        <f>IF(A560="","",SUM(G$2:I560)-SUM(J$2:J560))</f>
        <v/>
      </c>
      <c r="L560" s="46" t="n"/>
      <c r="M560">
        <f>IF(A560="","",IF(A560=A559,M559,N(M559)+1))</f>
        <v/>
      </c>
      <c r="N560">
        <f>IF(E560="",99999,E560)</f>
        <v/>
      </c>
      <c r="O560">
        <f>IF(E560="",0,IF(F560="",E560,F560))</f>
        <v/>
      </c>
      <c r="P560">
        <f>IF(E560="",1,MAX(1,(YEAR(O560)-YEAR(N560))*12+MONTH(O560)-MONTH(N560)+1))</f>
        <v/>
      </c>
      <c r="Q560">
        <f>IF(G560="",0,G560/P560)</f>
        <v/>
      </c>
      <c r="R560">
        <f>IF(H560="",0,H560/P560)</f>
        <v/>
      </c>
    </row>
    <row r="561">
      <c r="A561" s="43" t="n"/>
      <c r="B561" s="28" t="n"/>
      <c r="C561" s="28" t="n"/>
      <c r="D561" s="28" t="n"/>
      <c r="E561" s="44" t="n"/>
      <c r="F561" s="44" t="n"/>
      <c r="G561" s="23" t="n"/>
      <c r="H561" s="23" t="n"/>
      <c r="I561" s="23" t="n"/>
      <c r="J561" s="23" t="n"/>
      <c r="K561" s="45">
        <f>IF(A561="","",SUM(G$2:I561)-SUM(J$2:J561))</f>
        <v/>
      </c>
      <c r="L561" s="46" t="n"/>
      <c r="M561">
        <f>IF(A561="","",IF(A561=A560,M560,N(M560)+1))</f>
        <v/>
      </c>
      <c r="N561">
        <f>IF(E561="",99999,E561)</f>
        <v/>
      </c>
      <c r="O561">
        <f>IF(E561="",0,IF(F561="",E561,F561))</f>
        <v/>
      </c>
      <c r="P561">
        <f>IF(E561="",1,MAX(1,(YEAR(O561)-YEAR(N561))*12+MONTH(O561)-MONTH(N561)+1))</f>
        <v/>
      </c>
      <c r="Q561">
        <f>IF(G561="",0,G561/P561)</f>
        <v/>
      </c>
      <c r="R561">
        <f>IF(H561="",0,H561/P561)</f>
        <v/>
      </c>
    </row>
    <row r="562">
      <c r="A562" s="43" t="n"/>
      <c r="B562" s="28" t="n"/>
      <c r="C562" s="28" t="n"/>
      <c r="D562" s="28" t="n"/>
      <c r="E562" s="44" t="n"/>
      <c r="F562" s="44" t="n"/>
      <c r="G562" s="23" t="n"/>
      <c r="H562" s="23" t="n"/>
      <c r="I562" s="23" t="n"/>
      <c r="J562" s="23" t="n"/>
      <c r="K562" s="45">
        <f>IF(A562="","",SUM(G$2:I562)-SUM(J$2:J562))</f>
        <v/>
      </c>
      <c r="L562" s="46" t="n"/>
      <c r="M562">
        <f>IF(A562="","",IF(A562=A561,M561,N(M561)+1))</f>
        <v/>
      </c>
      <c r="N562">
        <f>IF(E562="",99999,E562)</f>
        <v/>
      </c>
      <c r="O562">
        <f>IF(E562="",0,IF(F562="",E562,F562))</f>
        <v/>
      </c>
      <c r="P562">
        <f>IF(E562="",1,MAX(1,(YEAR(O562)-YEAR(N562))*12+MONTH(O562)-MONTH(N562)+1))</f>
        <v/>
      </c>
      <c r="Q562">
        <f>IF(G562="",0,G562/P562)</f>
        <v/>
      </c>
      <c r="R562">
        <f>IF(H562="",0,H562/P562)</f>
        <v/>
      </c>
    </row>
    <row r="563">
      <c r="A563" s="43" t="n"/>
      <c r="B563" s="28" t="n"/>
      <c r="C563" s="28" t="n"/>
      <c r="D563" s="28" t="n"/>
      <c r="E563" s="44" t="n"/>
      <c r="F563" s="44" t="n"/>
      <c r="G563" s="23" t="n"/>
      <c r="H563" s="23" t="n"/>
      <c r="I563" s="23" t="n"/>
      <c r="J563" s="23" t="n"/>
      <c r="K563" s="45">
        <f>IF(A563="","",SUM(G$2:I563)-SUM(J$2:J563))</f>
        <v/>
      </c>
      <c r="L563" s="46" t="n"/>
      <c r="M563">
        <f>IF(A563="","",IF(A563=A562,M562,N(M562)+1))</f>
        <v/>
      </c>
      <c r="N563">
        <f>IF(E563="",99999,E563)</f>
        <v/>
      </c>
      <c r="O563">
        <f>IF(E563="",0,IF(F563="",E563,F563))</f>
        <v/>
      </c>
      <c r="P563">
        <f>IF(E563="",1,MAX(1,(YEAR(O563)-YEAR(N563))*12+MONTH(O563)-MONTH(N563)+1))</f>
        <v/>
      </c>
      <c r="Q563">
        <f>IF(G563="",0,G563/P563)</f>
        <v/>
      </c>
      <c r="R563">
        <f>IF(H563="",0,H563/P563)</f>
        <v/>
      </c>
    </row>
    <row r="564">
      <c r="A564" s="43" t="n"/>
      <c r="B564" s="28" t="n"/>
      <c r="C564" s="28" t="n"/>
      <c r="D564" s="28" t="n"/>
      <c r="E564" s="44" t="n"/>
      <c r="F564" s="44" t="n"/>
      <c r="G564" s="23" t="n"/>
      <c r="H564" s="23" t="n"/>
      <c r="I564" s="23" t="n"/>
      <c r="J564" s="23" t="n"/>
      <c r="K564" s="45">
        <f>IF(A564="","",SUM(G$2:I564)-SUM(J$2:J564))</f>
        <v/>
      </c>
      <c r="L564" s="46" t="n"/>
      <c r="M564">
        <f>IF(A564="","",IF(A564=A563,M563,N(M563)+1))</f>
        <v/>
      </c>
      <c r="N564">
        <f>IF(E564="",99999,E564)</f>
        <v/>
      </c>
      <c r="O564">
        <f>IF(E564="",0,IF(F564="",E564,F564))</f>
        <v/>
      </c>
      <c r="P564">
        <f>IF(E564="",1,MAX(1,(YEAR(O564)-YEAR(N564))*12+MONTH(O564)-MONTH(N564)+1))</f>
        <v/>
      </c>
      <c r="Q564">
        <f>IF(G564="",0,G564/P564)</f>
        <v/>
      </c>
      <c r="R564">
        <f>IF(H564="",0,H564/P564)</f>
        <v/>
      </c>
    </row>
    <row r="565">
      <c r="A565" s="43" t="n"/>
      <c r="B565" s="28" t="n"/>
      <c r="C565" s="28" t="n"/>
      <c r="D565" s="28" t="n"/>
      <c r="E565" s="44" t="n"/>
      <c r="F565" s="44" t="n"/>
      <c r="G565" s="23" t="n"/>
      <c r="H565" s="23" t="n"/>
      <c r="I565" s="23" t="n"/>
      <c r="J565" s="23" t="n"/>
      <c r="K565" s="45">
        <f>IF(A565="","",SUM(G$2:I565)-SUM(J$2:J565))</f>
        <v/>
      </c>
      <c r="L565" s="46" t="n"/>
      <c r="M565">
        <f>IF(A565="","",IF(A565=A564,M564,N(M564)+1))</f>
        <v/>
      </c>
      <c r="N565">
        <f>IF(E565="",99999,E565)</f>
        <v/>
      </c>
      <c r="O565">
        <f>IF(E565="",0,IF(F565="",E565,F565))</f>
        <v/>
      </c>
      <c r="P565">
        <f>IF(E565="",1,MAX(1,(YEAR(O565)-YEAR(N565))*12+MONTH(O565)-MONTH(N565)+1))</f>
        <v/>
      </c>
      <c r="Q565">
        <f>IF(G565="",0,G565/P565)</f>
        <v/>
      </c>
      <c r="R565">
        <f>IF(H565="",0,H565/P565)</f>
        <v/>
      </c>
    </row>
    <row r="566">
      <c r="A566" s="43" t="n"/>
      <c r="B566" s="28" t="n"/>
      <c r="C566" s="28" t="n"/>
      <c r="D566" s="28" t="n"/>
      <c r="E566" s="44" t="n"/>
      <c r="F566" s="44" t="n"/>
      <c r="G566" s="23" t="n"/>
      <c r="H566" s="23" t="n"/>
      <c r="I566" s="23" t="n"/>
      <c r="J566" s="23" t="n"/>
      <c r="K566" s="45">
        <f>IF(A566="","",SUM(G$2:I566)-SUM(J$2:J566))</f>
        <v/>
      </c>
      <c r="L566" s="46" t="n"/>
      <c r="M566">
        <f>IF(A566="","",IF(A566=A565,M565,N(M565)+1))</f>
        <v/>
      </c>
      <c r="N566">
        <f>IF(E566="",99999,E566)</f>
        <v/>
      </c>
      <c r="O566">
        <f>IF(E566="",0,IF(F566="",E566,F566))</f>
        <v/>
      </c>
      <c r="P566">
        <f>IF(E566="",1,MAX(1,(YEAR(O566)-YEAR(N566))*12+MONTH(O566)-MONTH(N566)+1))</f>
        <v/>
      </c>
      <c r="Q566">
        <f>IF(G566="",0,G566/P566)</f>
        <v/>
      </c>
      <c r="R566">
        <f>IF(H566="",0,H566/P566)</f>
        <v/>
      </c>
    </row>
    <row r="567">
      <c r="A567" s="43" t="n"/>
      <c r="B567" s="28" t="n"/>
      <c r="C567" s="28" t="n"/>
      <c r="D567" s="28" t="n"/>
      <c r="E567" s="44" t="n"/>
      <c r="F567" s="44" t="n"/>
      <c r="G567" s="23" t="n"/>
      <c r="H567" s="23" t="n"/>
      <c r="I567" s="23" t="n"/>
      <c r="J567" s="23" t="n"/>
      <c r="K567" s="45">
        <f>IF(A567="","",SUM(G$2:I567)-SUM(J$2:J567))</f>
        <v/>
      </c>
      <c r="L567" s="46" t="n"/>
      <c r="M567">
        <f>IF(A567="","",IF(A567=A566,M566,N(M566)+1))</f>
        <v/>
      </c>
      <c r="N567">
        <f>IF(E567="",99999,E567)</f>
        <v/>
      </c>
      <c r="O567">
        <f>IF(E567="",0,IF(F567="",E567,F567))</f>
        <v/>
      </c>
      <c r="P567">
        <f>IF(E567="",1,MAX(1,(YEAR(O567)-YEAR(N567))*12+MONTH(O567)-MONTH(N567)+1))</f>
        <v/>
      </c>
      <c r="Q567">
        <f>IF(G567="",0,G567/P567)</f>
        <v/>
      </c>
      <c r="R567">
        <f>IF(H567="",0,H567/P567)</f>
        <v/>
      </c>
    </row>
    <row r="568">
      <c r="A568" s="43" t="n"/>
      <c r="B568" s="28" t="n"/>
      <c r="C568" s="28" t="n"/>
      <c r="D568" s="28" t="n"/>
      <c r="E568" s="44" t="n"/>
      <c r="F568" s="44" t="n"/>
      <c r="G568" s="23" t="n"/>
      <c r="H568" s="23" t="n"/>
      <c r="I568" s="23" t="n"/>
      <c r="J568" s="23" t="n"/>
      <c r="K568" s="45">
        <f>IF(A568="","",SUM(G$2:I568)-SUM(J$2:J568))</f>
        <v/>
      </c>
      <c r="L568" s="46" t="n"/>
      <c r="M568">
        <f>IF(A568="","",IF(A568=A567,M567,N(M567)+1))</f>
        <v/>
      </c>
      <c r="N568">
        <f>IF(E568="",99999,E568)</f>
        <v/>
      </c>
      <c r="O568">
        <f>IF(E568="",0,IF(F568="",E568,F568))</f>
        <v/>
      </c>
      <c r="P568">
        <f>IF(E568="",1,MAX(1,(YEAR(O568)-YEAR(N568))*12+MONTH(O568)-MONTH(N568)+1))</f>
        <v/>
      </c>
      <c r="Q568">
        <f>IF(G568="",0,G568/P568)</f>
        <v/>
      </c>
      <c r="R568">
        <f>IF(H568="",0,H568/P568)</f>
        <v/>
      </c>
    </row>
    <row r="569">
      <c r="A569" s="43" t="n"/>
      <c r="B569" s="28" t="n"/>
      <c r="C569" s="28" t="n"/>
      <c r="D569" s="28" t="n"/>
      <c r="E569" s="44" t="n"/>
      <c r="F569" s="44" t="n"/>
      <c r="G569" s="23" t="n"/>
      <c r="H569" s="23" t="n"/>
      <c r="I569" s="23" t="n"/>
      <c r="J569" s="23" t="n"/>
      <c r="K569" s="45">
        <f>IF(A569="","",SUM(G$2:I569)-SUM(J$2:J569))</f>
        <v/>
      </c>
      <c r="L569" s="46" t="n"/>
      <c r="M569">
        <f>IF(A569="","",IF(A569=A568,M568,N(M568)+1))</f>
        <v/>
      </c>
      <c r="N569">
        <f>IF(E569="",99999,E569)</f>
        <v/>
      </c>
      <c r="O569">
        <f>IF(E569="",0,IF(F569="",E569,F569))</f>
        <v/>
      </c>
      <c r="P569">
        <f>IF(E569="",1,MAX(1,(YEAR(O569)-YEAR(N569))*12+MONTH(O569)-MONTH(N569)+1))</f>
        <v/>
      </c>
      <c r="Q569">
        <f>IF(G569="",0,G569/P569)</f>
        <v/>
      </c>
      <c r="R569">
        <f>IF(H569="",0,H569/P569)</f>
        <v/>
      </c>
    </row>
    <row r="570">
      <c r="A570" s="43" t="n"/>
      <c r="B570" s="28" t="n"/>
      <c r="C570" s="28" t="n"/>
      <c r="D570" s="28" t="n"/>
      <c r="E570" s="44" t="n"/>
      <c r="F570" s="44" t="n"/>
      <c r="G570" s="23" t="n"/>
      <c r="H570" s="23" t="n"/>
      <c r="I570" s="23" t="n"/>
      <c r="J570" s="23" t="n"/>
      <c r="K570" s="45">
        <f>IF(A570="","",SUM(G$2:I570)-SUM(J$2:J570))</f>
        <v/>
      </c>
      <c r="L570" s="46" t="n"/>
      <c r="M570">
        <f>IF(A570="","",IF(A570=A569,M569,N(M569)+1))</f>
        <v/>
      </c>
      <c r="N570">
        <f>IF(E570="",99999,E570)</f>
        <v/>
      </c>
      <c r="O570">
        <f>IF(E570="",0,IF(F570="",E570,F570))</f>
        <v/>
      </c>
      <c r="P570">
        <f>IF(E570="",1,MAX(1,(YEAR(O570)-YEAR(N570))*12+MONTH(O570)-MONTH(N570)+1))</f>
        <v/>
      </c>
      <c r="Q570">
        <f>IF(G570="",0,G570/P570)</f>
        <v/>
      </c>
      <c r="R570">
        <f>IF(H570="",0,H570/P570)</f>
        <v/>
      </c>
    </row>
    <row r="571">
      <c r="A571" s="43" t="n"/>
      <c r="B571" s="28" t="n"/>
      <c r="C571" s="28" t="n"/>
      <c r="D571" s="28" t="n"/>
      <c r="E571" s="44" t="n"/>
      <c r="F571" s="44" t="n"/>
      <c r="G571" s="23" t="n"/>
      <c r="H571" s="23" t="n"/>
      <c r="I571" s="23" t="n"/>
      <c r="J571" s="23" t="n"/>
      <c r="K571" s="45">
        <f>IF(A571="","",SUM(G$2:I571)-SUM(J$2:J571))</f>
        <v/>
      </c>
      <c r="L571" s="46" t="n"/>
      <c r="M571">
        <f>IF(A571="","",IF(A571=A570,M570,N(M570)+1))</f>
        <v/>
      </c>
      <c r="N571">
        <f>IF(E571="",99999,E571)</f>
        <v/>
      </c>
      <c r="O571">
        <f>IF(E571="",0,IF(F571="",E571,F571))</f>
        <v/>
      </c>
      <c r="P571">
        <f>IF(E571="",1,MAX(1,(YEAR(O571)-YEAR(N571))*12+MONTH(O571)-MONTH(N571)+1))</f>
        <v/>
      </c>
      <c r="Q571">
        <f>IF(G571="",0,G571/P571)</f>
        <v/>
      </c>
      <c r="R571">
        <f>IF(H571="",0,H571/P571)</f>
        <v/>
      </c>
    </row>
    <row r="572">
      <c r="A572" s="43" t="n"/>
      <c r="B572" s="28" t="n"/>
      <c r="C572" s="28" t="n"/>
      <c r="D572" s="28" t="n"/>
      <c r="E572" s="44" t="n"/>
      <c r="F572" s="44" t="n"/>
      <c r="G572" s="23" t="n"/>
      <c r="H572" s="23" t="n"/>
      <c r="I572" s="23" t="n"/>
      <c r="J572" s="23" t="n"/>
      <c r="K572" s="45">
        <f>IF(A572="","",SUM(G$2:I572)-SUM(J$2:J572))</f>
        <v/>
      </c>
      <c r="L572" s="46" t="n"/>
      <c r="M572">
        <f>IF(A572="","",IF(A572=A571,M571,N(M571)+1))</f>
        <v/>
      </c>
      <c r="N572">
        <f>IF(E572="",99999,E572)</f>
        <v/>
      </c>
      <c r="O572">
        <f>IF(E572="",0,IF(F572="",E572,F572))</f>
        <v/>
      </c>
      <c r="P572">
        <f>IF(E572="",1,MAX(1,(YEAR(O572)-YEAR(N572))*12+MONTH(O572)-MONTH(N572)+1))</f>
        <v/>
      </c>
      <c r="Q572">
        <f>IF(G572="",0,G572/P572)</f>
        <v/>
      </c>
      <c r="R572">
        <f>IF(H572="",0,H572/P572)</f>
        <v/>
      </c>
    </row>
    <row r="573">
      <c r="A573" s="43" t="n"/>
      <c r="B573" s="28" t="n"/>
      <c r="C573" s="28" t="n"/>
      <c r="D573" s="28" t="n"/>
      <c r="E573" s="44" t="n"/>
      <c r="F573" s="44" t="n"/>
      <c r="G573" s="23" t="n"/>
      <c r="H573" s="23" t="n"/>
      <c r="I573" s="23" t="n"/>
      <c r="J573" s="23" t="n"/>
      <c r="K573" s="45">
        <f>IF(A573="","",SUM(G$2:I573)-SUM(J$2:J573))</f>
        <v/>
      </c>
      <c r="L573" s="46" t="n"/>
      <c r="M573">
        <f>IF(A573="","",IF(A573=A572,M572,N(M572)+1))</f>
        <v/>
      </c>
      <c r="N573">
        <f>IF(E573="",99999,E573)</f>
        <v/>
      </c>
      <c r="O573">
        <f>IF(E573="",0,IF(F573="",E573,F573))</f>
        <v/>
      </c>
      <c r="P573">
        <f>IF(E573="",1,MAX(1,(YEAR(O573)-YEAR(N573))*12+MONTH(O573)-MONTH(N573)+1))</f>
        <v/>
      </c>
      <c r="Q573">
        <f>IF(G573="",0,G573/P573)</f>
        <v/>
      </c>
      <c r="R573">
        <f>IF(H573="",0,H573/P573)</f>
        <v/>
      </c>
    </row>
    <row r="574">
      <c r="A574" s="43" t="n"/>
      <c r="B574" s="28" t="n"/>
      <c r="C574" s="28" t="n"/>
      <c r="D574" s="28" t="n"/>
      <c r="E574" s="44" t="n"/>
      <c r="F574" s="44" t="n"/>
      <c r="G574" s="23" t="n"/>
      <c r="H574" s="23" t="n"/>
      <c r="I574" s="23" t="n"/>
      <c r="J574" s="23" t="n"/>
      <c r="K574" s="45">
        <f>IF(A574="","",SUM(G$2:I574)-SUM(J$2:J574))</f>
        <v/>
      </c>
      <c r="L574" s="46" t="n"/>
      <c r="M574">
        <f>IF(A574="","",IF(A574=A573,M573,N(M573)+1))</f>
        <v/>
      </c>
      <c r="N574">
        <f>IF(E574="",99999,E574)</f>
        <v/>
      </c>
      <c r="O574">
        <f>IF(E574="",0,IF(F574="",E574,F574))</f>
        <v/>
      </c>
      <c r="P574">
        <f>IF(E574="",1,MAX(1,(YEAR(O574)-YEAR(N574))*12+MONTH(O574)-MONTH(N574)+1))</f>
        <v/>
      </c>
      <c r="Q574">
        <f>IF(G574="",0,G574/P574)</f>
        <v/>
      </c>
      <c r="R574">
        <f>IF(H574="",0,H574/P574)</f>
        <v/>
      </c>
    </row>
    <row r="575">
      <c r="A575" s="43" t="n"/>
      <c r="B575" s="28" t="n"/>
      <c r="C575" s="28" t="n"/>
      <c r="D575" s="28" t="n"/>
      <c r="E575" s="44" t="n"/>
      <c r="F575" s="44" t="n"/>
      <c r="G575" s="23" t="n"/>
      <c r="H575" s="23" t="n"/>
      <c r="I575" s="23" t="n"/>
      <c r="J575" s="23" t="n"/>
      <c r="K575" s="45">
        <f>IF(A575="","",SUM(G$2:I575)-SUM(J$2:J575))</f>
        <v/>
      </c>
      <c r="L575" s="46" t="n"/>
      <c r="M575">
        <f>IF(A575="","",IF(A575=A574,M574,N(M574)+1))</f>
        <v/>
      </c>
      <c r="N575">
        <f>IF(E575="",99999,E575)</f>
        <v/>
      </c>
      <c r="O575">
        <f>IF(E575="",0,IF(F575="",E575,F575))</f>
        <v/>
      </c>
      <c r="P575">
        <f>IF(E575="",1,MAX(1,(YEAR(O575)-YEAR(N575))*12+MONTH(O575)-MONTH(N575)+1))</f>
        <v/>
      </c>
      <c r="Q575">
        <f>IF(G575="",0,G575/P575)</f>
        <v/>
      </c>
      <c r="R575">
        <f>IF(H575="",0,H575/P575)</f>
        <v/>
      </c>
    </row>
    <row r="576">
      <c r="A576" s="43" t="n"/>
      <c r="B576" s="28" t="n"/>
      <c r="C576" s="28" t="n"/>
      <c r="D576" s="28" t="n"/>
      <c r="E576" s="44" t="n"/>
      <c r="F576" s="44" t="n"/>
      <c r="G576" s="23" t="n"/>
      <c r="H576" s="23" t="n"/>
      <c r="I576" s="23" t="n"/>
      <c r="J576" s="23" t="n"/>
      <c r="K576" s="45">
        <f>IF(A576="","",SUM(G$2:I576)-SUM(J$2:J576))</f>
        <v/>
      </c>
      <c r="L576" s="46" t="n"/>
      <c r="M576">
        <f>IF(A576="","",IF(A576=A575,M575,N(M575)+1))</f>
        <v/>
      </c>
      <c r="N576">
        <f>IF(E576="",99999,E576)</f>
        <v/>
      </c>
      <c r="O576">
        <f>IF(E576="",0,IF(F576="",E576,F576))</f>
        <v/>
      </c>
      <c r="P576">
        <f>IF(E576="",1,MAX(1,(YEAR(O576)-YEAR(N576))*12+MONTH(O576)-MONTH(N576)+1))</f>
        <v/>
      </c>
      <c r="Q576">
        <f>IF(G576="",0,G576/P576)</f>
        <v/>
      </c>
      <c r="R576">
        <f>IF(H576="",0,H576/P576)</f>
        <v/>
      </c>
    </row>
    <row r="577">
      <c r="A577" s="43" t="n"/>
      <c r="B577" s="28" t="n"/>
      <c r="C577" s="28" t="n"/>
      <c r="D577" s="28" t="n"/>
      <c r="E577" s="44" t="n"/>
      <c r="F577" s="44" t="n"/>
      <c r="G577" s="23" t="n"/>
      <c r="H577" s="23" t="n"/>
      <c r="I577" s="23" t="n"/>
      <c r="J577" s="23" t="n"/>
      <c r="K577" s="45">
        <f>IF(A577="","",SUM(G$2:I577)-SUM(J$2:J577))</f>
        <v/>
      </c>
      <c r="L577" s="46" t="n"/>
      <c r="M577">
        <f>IF(A577="","",IF(A577=A576,M576,N(M576)+1))</f>
        <v/>
      </c>
      <c r="N577">
        <f>IF(E577="",99999,E577)</f>
        <v/>
      </c>
      <c r="O577">
        <f>IF(E577="",0,IF(F577="",E577,F577))</f>
        <v/>
      </c>
      <c r="P577">
        <f>IF(E577="",1,MAX(1,(YEAR(O577)-YEAR(N577))*12+MONTH(O577)-MONTH(N577)+1))</f>
        <v/>
      </c>
      <c r="Q577">
        <f>IF(G577="",0,G577/P577)</f>
        <v/>
      </c>
      <c r="R577">
        <f>IF(H577="",0,H577/P577)</f>
        <v/>
      </c>
    </row>
    <row r="578">
      <c r="A578" s="43" t="n"/>
      <c r="B578" s="28" t="n"/>
      <c r="C578" s="28" t="n"/>
      <c r="D578" s="28" t="n"/>
      <c r="E578" s="44" t="n"/>
      <c r="F578" s="44" t="n"/>
      <c r="G578" s="23" t="n"/>
      <c r="H578" s="23" t="n"/>
      <c r="I578" s="23" t="n"/>
      <c r="J578" s="23" t="n"/>
      <c r="K578" s="45">
        <f>IF(A578="","",SUM(G$2:I578)-SUM(J$2:J578))</f>
        <v/>
      </c>
      <c r="L578" s="46" t="n"/>
      <c r="M578">
        <f>IF(A578="","",IF(A578=A577,M577,N(M577)+1))</f>
        <v/>
      </c>
      <c r="N578">
        <f>IF(E578="",99999,E578)</f>
        <v/>
      </c>
      <c r="O578">
        <f>IF(E578="",0,IF(F578="",E578,F578))</f>
        <v/>
      </c>
      <c r="P578">
        <f>IF(E578="",1,MAX(1,(YEAR(O578)-YEAR(N578))*12+MONTH(O578)-MONTH(N578)+1))</f>
        <v/>
      </c>
      <c r="Q578">
        <f>IF(G578="",0,G578/P578)</f>
        <v/>
      </c>
      <c r="R578">
        <f>IF(H578="",0,H578/P578)</f>
        <v/>
      </c>
    </row>
    <row r="579">
      <c r="A579" s="43" t="n"/>
      <c r="B579" s="28" t="n"/>
      <c r="C579" s="28" t="n"/>
      <c r="D579" s="28" t="n"/>
      <c r="E579" s="44" t="n"/>
      <c r="F579" s="44" t="n"/>
      <c r="G579" s="23" t="n"/>
      <c r="H579" s="23" t="n"/>
      <c r="I579" s="23" t="n"/>
      <c r="J579" s="23" t="n"/>
      <c r="K579" s="45">
        <f>IF(A579="","",SUM(G$2:I579)-SUM(J$2:J579))</f>
        <v/>
      </c>
      <c r="L579" s="46" t="n"/>
      <c r="M579">
        <f>IF(A579="","",IF(A579=A578,M578,N(M578)+1))</f>
        <v/>
      </c>
      <c r="N579">
        <f>IF(E579="",99999,E579)</f>
        <v/>
      </c>
      <c r="O579">
        <f>IF(E579="",0,IF(F579="",E579,F579))</f>
        <v/>
      </c>
      <c r="P579">
        <f>IF(E579="",1,MAX(1,(YEAR(O579)-YEAR(N579))*12+MONTH(O579)-MONTH(N579)+1))</f>
        <v/>
      </c>
      <c r="Q579">
        <f>IF(G579="",0,G579/P579)</f>
        <v/>
      </c>
      <c r="R579">
        <f>IF(H579="",0,H579/P579)</f>
        <v/>
      </c>
    </row>
    <row r="580">
      <c r="A580" s="43" t="n"/>
      <c r="B580" s="28" t="n"/>
      <c r="C580" s="28" t="n"/>
      <c r="D580" s="28" t="n"/>
      <c r="E580" s="44" t="n"/>
      <c r="F580" s="44" t="n"/>
      <c r="G580" s="23" t="n"/>
      <c r="H580" s="23" t="n"/>
      <c r="I580" s="23" t="n"/>
      <c r="J580" s="23" t="n"/>
      <c r="K580" s="45">
        <f>IF(A580="","",SUM(G$2:I580)-SUM(J$2:J580))</f>
        <v/>
      </c>
      <c r="L580" s="46" t="n"/>
      <c r="M580">
        <f>IF(A580="","",IF(A580=A579,M579,N(M579)+1))</f>
        <v/>
      </c>
      <c r="N580">
        <f>IF(E580="",99999,E580)</f>
        <v/>
      </c>
      <c r="O580">
        <f>IF(E580="",0,IF(F580="",E580,F580))</f>
        <v/>
      </c>
      <c r="P580">
        <f>IF(E580="",1,MAX(1,(YEAR(O580)-YEAR(N580))*12+MONTH(O580)-MONTH(N580)+1))</f>
        <v/>
      </c>
      <c r="Q580">
        <f>IF(G580="",0,G580/P580)</f>
        <v/>
      </c>
      <c r="R580">
        <f>IF(H580="",0,H580/P580)</f>
        <v/>
      </c>
    </row>
    <row r="581">
      <c r="A581" s="43" t="n"/>
      <c r="B581" s="28" t="n"/>
      <c r="C581" s="28" t="n"/>
      <c r="D581" s="28" t="n"/>
      <c r="E581" s="44" t="n"/>
      <c r="F581" s="44" t="n"/>
      <c r="G581" s="23" t="n"/>
      <c r="H581" s="23" t="n"/>
      <c r="I581" s="23" t="n"/>
      <c r="J581" s="23" t="n"/>
      <c r="K581" s="45">
        <f>IF(A581="","",SUM(G$2:I581)-SUM(J$2:J581))</f>
        <v/>
      </c>
      <c r="L581" s="46" t="n"/>
      <c r="M581">
        <f>IF(A581="","",IF(A581=A580,M580,N(M580)+1))</f>
        <v/>
      </c>
      <c r="N581">
        <f>IF(E581="",99999,E581)</f>
        <v/>
      </c>
      <c r="O581">
        <f>IF(E581="",0,IF(F581="",E581,F581))</f>
        <v/>
      </c>
      <c r="P581">
        <f>IF(E581="",1,MAX(1,(YEAR(O581)-YEAR(N581))*12+MONTH(O581)-MONTH(N581)+1))</f>
        <v/>
      </c>
      <c r="Q581">
        <f>IF(G581="",0,G581/P581)</f>
        <v/>
      </c>
      <c r="R581">
        <f>IF(H581="",0,H581/P581)</f>
        <v/>
      </c>
    </row>
    <row r="582">
      <c r="A582" s="43" t="n"/>
      <c r="B582" s="28" t="n"/>
      <c r="C582" s="28" t="n"/>
      <c r="D582" s="28" t="n"/>
      <c r="E582" s="44" t="n"/>
      <c r="F582" s="44" t="n"/>
      <c r="G582" s="23" t="n"/>
      <c r="H582" s="23" t="n"/>
      <c r="I582" s="23" t="n"/>
      <c r="J582" s="23" t="n"/>
      <c r="K582" s="45">
        <f>IF(A582="","",SUM(G$2:I582)-SUM(J$2:J582))</f>
        <v/>
      </c>
      <c r="L582" s="46" t="n"/>
      <c r="M582">
        <f>IF(A582="","",IF(A582=A581,M581,N(M581)+1))</f>
        <v/>
      </c>
      <c r="N582">
        <f>IF(E582="",99999,E582)</f>
        <v/>
      </c>
      <c r="O582">
        <f>IF(E582="",0,IF(F582="",E582,F582))</f>
        <v/>
      </c>
      <c r="P582">
        <f>IF(E582="",1,MAX(1,(YEAR(O582)-YEAR(N582))*12+MONTH(O582)-MONTH(N582)+1))</f>
        <v/>
      </c>
      <c r="Q582">
        <f>IF(G582="",0,G582/P582)</f>
        <v/>
      </c>
      <c r="R582">
        <f>IF(H582="",0,H582/P582)</f>
        <v/>
      </c>
    </row>
    <row r="583">
      <c r="A583" s="43" t="n"/>
      <c r="B583" s="28" t="n"/>
      <c r="C583" s="28" t="n"/>
      <c r="D583" s="28" t="n"/>
      <c r="E583" s="44" t="n"/>
      <c r="F583" s="44" t="n"/>
      <c r="G583" s="23" t="n"/>
      <c r="H583" s="23" t="n"/>
      <c r="I583" s="23" t="n"/>
      <c r="J583" s="23" t="n"/>
      <c r="K583" s="45">
        <f>IF(A583="","",SUM(G$2:I583)-SUM(J$2:J583))</f>
        <v/>
      </c>
      <c r="L583" s="46" t="n"/>
      <c r="M583">
        <f>IF(A583="","",IF(A583=A582,M582,N(M582)+1))</f>
        <v/>
      </c>
      <c r="N583">
        <f>IF(E583="",99999,E583)</f>
        <v/>
      </c>
      <c r="O583">
        <f>IF(E583="",0,IF(F583="",E583,F583))</f>
        <v/>
      </c>
      <c r="P583">
        <f>IF(E583="",1,MAX(1,(YEAR(O583)-YEAR(N583))*12+MONTH(O583)-MONTH(N583)+1))</f>
        <v/>
      </c>
      <c r="Q583">
        <f>IF(G583="",0,G583/P583)</f>
        <v/>
      </c>
      <c r="R583">
        <f>IF(H583="",0,H583/P583)</f>
        <v/>
      </c>
    </row>
    <row r="584">
      <c r="A584" s="43" t="n"/>
      <c r="B584" s="28" t="n"/>
      <c r="C584" s="28" t="n"/>
      <c r="D584" s="28" t="n"/>
      <c r="E584" s="44" t="n"/>
      <c r="F584" s="44" t="n"/>
      <c r="G584" s="23" t="n"/>
      <c r="H584" s="23" t="n"/>
      <c r="I584" s="23" t="n"/>
      <c r="J584" s="23" t="n"/>
      <c r="K584" s="45">
        <f>IF(A584="","",SUM(G$2:I584)-SUM(J$2:J584))</f>
        <v/>
      </c>
      <c r="L584" s="46" t="n"/>
      <c r="M584">
        <f>IF(A584="","",IF(A584=A583,M583,N(M583)+1))</f>
        <v/>
      </c>
      <c r="N584">
        <f>IF(E584="",99999,E584)</f>
        <v/>
      </c>
      <c r="O584">
        <f>IF(E584="",0,IF(F584="",E584,F584))</f>
        <v/>
      </c>
      <c r="P584">
        <f>IF(E584="",1,MAX(1,(YEAR(O584)-YEAR(N584))*12+MONTH(O584)-MONTH(N584)+1))</f>
        <v/>
      </c>
      <c r="Q584">
        <f>IF(G584="",0,G584/P584)</f>
        <v/>
      </c>
      <c r="R584">
        <f>IF(H584="",0,H584/P584)</f>
        <v/>
      </c>
    </row>
    <row r="585">
      <c r="A585" s="43" t="n"/>
      <c r="B585" s="28" t="n"/>
      <c r="C585" s="28" t="n"/>
      <c r="D585" s="28" t="n"/>
      <c r="E585" s="44" t="n"/>
      <c r="F585" s="44" t="n"/>
      <c r="G585" s="23" t="n"/>
      <c r="H585" s="23" t="n"/>
      <c r="I585" s="23" t="n"/>
      <c r="J585" s="23" t="n"/>
      <c r="K585" s="45">
        <f>IF(A585="","",SUM(G$2:I585)-SUM(J$2:J585))</f>
        <v/>
      </c>
      <c r="L585" s="46" t="n"/>
      <c r="M585">
        <f>IF(A585="","",IF(A585=A584,M584,N(M584)+1))</f>
        <v/>
      </c>
      <c r="N585">
        <f>IF(E585="",99999,E585)</f>
        <v/>
      </c>
      <c r="O585">
        <f>IF(E585="",0,IF(F585="",E585,F585))</f>
        <v/>
      </c>
      <c r="P585">
        <f>IF(E585="",1,MAX(1,(YEAR(O585)-YEAR(N585))*12+MONTH(O585)-MONTH(N585)+1))</f>
        <v/>
      </c>
      <c r="Q585">
        <f>IF(G585="",0,G585/P585)</f>
        <v/>
      </c>
      <c r="R585">
        <f>IF(H585="",0,H585/P585)</f>
        <v/>
      </c>
    </row>
    <row r="586">
      <c r="A586" s="43" t="n"/>
      <c r="B586" s="28" t="n"/>
      <c r="C586" s="28" t="n"/>
      <c r="D586" s="28" t="n"/>
      <c r="E586" s="44" t="n"/>
      <c r="F586" s="44" t="n"/>
      <c r="G586" s="23" t="n"/>
      <c r="H586" s="23" t="n"/>
      <c r="I586" s="23" t="n"/>
      <c r="J586" s="23" t="n"/>
      <c r="K586" s="45">
        <f>IF(A586="","",SUM(G$2:I586)-SUM(J$2:J586))</f>
        <v/>
      </c>
      <c r="L586" s="46" t="n"/>
      <c r="M586">
        <f>IF(A586="","",IF(A586=A585,M585,N(M585)+1))</f>
        <v/>
      </c>
      <c r="N586">
        <f>IF(E586="",99999,E586)</f>
        <v/>
      </c>
      <c r="O586">
        <f>IF(E586="",0,IF(F586="",E586,F586))</f>
        <v/>
      </c>
      <c r="P586">
        <f>IF(E586="",1,MAX(1,(YEAR(O586)-YEAR(N586))*12+MONTH(O586)-MONTH(N586)+1))</f>
        <v/>
      </c>
      <c r="Q586">
        <f>IF(G586="",0,G586/P586)</f>
        <v/>
      </c>
      <c r="R586">
        <f>IF(H586="",0,H586/P586)</f>
        <v/>
      </c>
    </row>
    <row r="587">
      <c r="A587" s="43" t="n"/>
      <c r="B587" s="28" t="n"/>
      <c r="C587" s="28" t="n"/>
      <c r="D587" s="28" t="n"/>
      <c r="E587" s="44" t="n"/>
      <c r="F587" s="44" t="n"/>
      <c r="G587" s="23" t="n"/>
      <c r="H587" s="23" t="n"/>
      <c r="I587" s="23" t="n"/>
      <c r="J587" s="23" t="n"/>
      <c r="K587" s="45">
        <f>IF(A587="","",SUM(G$2:I587)-SUM(J$2:J587))</f>
        <v/>
      </c>
      <c r="L587" s="46" t="n"/>
      <c r="M587">
        <f>IF(A587="","",IF(A587=A586,M586,N(M586)+1))</f>
        <v/>
      </c>
      <c r="N587">
        <f>IF(E587="",99999,E587)</f>
        <v/>
      </c>
      <c r="O587">
        <f>IF(E587="",0,IF(F587="",E587,F587))</f>
        <v/>
      </c>
      <c r="P587">
        <f>IF(E587="",1,MAX(1,(YEAR(O587)-YEAR(N587))*12+MONTH(O587)-MONTH(N587)+1))</f>
        <v/>
      </c>
      <c r="Q587">
        <f>IF(G587="",0,G587/P587)</f>
        <v/>
      </c>
      <c r="R587">
        <f>IF(H587="",0,H587/P587)</f>
        <v/>
      </c>
    </row>
    <row r="588">
      <c r="A588" s="43" t="n"/>
      <c r="B588" s="28" t="n"/>
      <c r="C588" s="28" t="n"/>
      <c r="D588" s="28" t="n"/>
      <c r="E588" s="44" t="n"/>
      <c r="F588" s="44" t="n"/>
      <c r="G588" s="23" t="n"/>
      <c r="H588" s="23" t="n"/>
      <c r="I588" s="23" t="n"/>
      <c r="J588" s="23" t="n"/>
      <c r="K588" s="45">
        <f>IF(A588="","",SUM(G$2:I588)-SUM(J$2:J588))</f>
        <v/>
      </c>
      <c r="L588" s="46" t="n"/>
      <c r="M588">
        <f>IF(A588="","",IF(A588=A587,M587,N(M587)+1))</f>
        <v/>
      </c>
      <c r="N588">
        <f>IF(E588="",99999,E588)</f>
        <v/>
      </c>
      <c r="O588">
        <f>IF(E588="",0,IF(F588="",E588,F588))</f>
        <v/>
      </c>
      <c r="P588">
        <f>IF(E588="",1,MAX(1,(YEAR(O588)-YEAR(N588))*12+MONTH(O588)-MONTH(N588)+1))</f>
        <v/>
      </c>
      <c r="Q588">
        <f>IF(G588="",0,G588/P588)</f>
        <v/>
      </c>
      <c r="R588">
        <f>IF(H588="",0,H588/P588)</f>
        <v/>
      </c>
    </row>
    <row r="589">
      <c r="A589" s="43" t="n"/>
      <c r="B589" s="28" t="n"/>
      <c r="C589" s="28" t="n"/>
      <c r="D589" s="28" t="n"/>
      <c r="E589" s="44" t="n"/>
      <c r="F589" s="44" t="n"/>
      <c r="G589" s="23" t="n"/>
      <c r="H589" s="23" t="n"/>
      <c r="I589" s="23" t="n"/>
      <c r="J589" s="23" t="n"/>
      <c r="K589" s="45">
        <f>IF(A589="","",SUM(G$2:I589)-SUM(J$2:J589))</f>
        <v/>
      </c>
      <c r="L589" s="46" t="n"/>
      <c r="M589">
        <f>IF(A589="","",IF(A589=A588,M588,N(M588)+1))</f>
        <v/>
      </c>
      <c r="N589">
        <f>IF(E589="",99999,E589)</f>
        <v/>
      </c>
      <c r="O589">
        <f>IF(E589="",0,IF(F589="",E589,F589))</f>
        <v/>
      </c>
      <c r="P589">
        <f>IF(E589="",1,MAX(1,(YEAR(O589)-YEAR(N589))*12+MONTH(O589)-MONTH(N589)+1))</f>
        <v/>
      </c>
      <c r="Q589">
        <f>IF(G589="",0,G589/P589)</f>
        <v/>
      </c>
      <c r="R589">
        <f>IF(H589="",0,H589/P589)</f>
        <v/>
      </c>
    </row>
    <row r="590">
      <c r="A590" s="43" t="n"/>
      <c r="B590" s="28" t="n"/>
      <c r="C590" s="28" t="n"/>
      <c r="D590" s="28" t="n"/>
      <c r="E590" s="44" t="n"/>
      <c r="F590" s="44" t="n"/>
      <c r="G590" s="23" t="n"/>
      <c r="H590" s="23" t="n"/>
      <c r="I590" s="23" t="n"/>
      <c r="J590" s="23" t="n"/>
      <c r="K590" s="45">
        <f>IF(A590="","",SUM(G$2:I590)-SUM(J$2:J590))</f>
        <v/>
      </c>
      <c r="L590" s="46" t="n"/>
      <c r="M590">
        <f>IF(A590="","",IF(A590=A589,M589,N(M589)+1))</f>
        <v/>
      </c>
      <c r="N590">
        <f>IF(E590="",99999,E590)</f>
        <v/>
      </c>
      <c r="O590">
        <f>IF(E590="",0,IF(F590="",E590,F590))</f>
        <v/>
      </c>
      <c r="P590">
        <f>IF(E590="",1,MAX(1,(YEAR(O590)-YEAR(N590))*12+MONTH(O590)-MONTH(N590)+1))</f>
        <v/>
      </c>
      <c r="Q590">
        <f>IF(G590="",0,G590/P590)</f>
        <v/>
      </c>
      <c r="R590">
        <f>IF(H590="",0,H590/P590)</f>
        <v/>
      </c>
    </row>
    <row r="591">
      <c r="A591" s="43" t="n"/>
      <c r="B591" s="28" t="n"/>
      <c r="C591" s="28" t="n"/>
      <c r="D591" s="28" t="n"/>
      <c r="E591" s="44" t="n"/>
      <c r="F591" s="44" t="n"/>
      <c r="G591" s="23" t="n"/>
      <c r="H591" s="23" t="n"/>
      <c r="I591" s="23" t="n"/>
      <c r="J591" s="23" t="n"/>
      <c r="K591" s="45">
        <f>IF(A591="","",SUM(G$2:I591)-SUM(J$2:J591))</f>
        <v/>
      </c>
      <c r="L591" s="46" t="n"/>
      <c r="M591">
        <f>IF(A591="","",IF(A591=A590,M590,N(M590)+1))</f>
        <v/>
      </c>
      <c r="N591">
        <f>IF(E591="",99999,E591)</f>
        <v/>
      </c>
      <c r="O591">
        <f>IF(E591="",0,IF(F591="",E591,F591))</f>
        <v/>
      </c>
      <c r="P591">
        <f>IF(E591="",1,MAX(1,(YEAR(O591)-YEAR(N591))*12+MONTH(O591)-MONTH(N591)+1))</f>
        <v/>
      </c>
      <c r="Q591">
        <f>IF(G591="",0,G591/P591)</f>
        <v/>
      </c>
      <c r="R591">
        <f>IF(H591="",0,H591/P591)</f>
        <v/>
      </c>
    </row>
    <row r="592">
      <c r="A592" s="43" t="n"/>
      <c r="B592" s="28" t="n"/>
      <c r="C592" s="28" t="n"/>
      <c r="D592" s="28" t="n"/>
      <c r="E592" s="44" t="n"/>
      <c r="F592" s="44" t="n"/>
      <c r="G592" s="23" t="n"/>
      <c r="H592" s="23" t="n"/>
      <c r="I592" s="23" t="n"/>
      <c r="J592" s="23" t="n"/>
      <c r="K592" s="45">
        <f>IF(A592="","",SUM(G$2:I592)-SUM(J$2:J592))</f>
        <v/>
      </c>
      <c r="L592" s="46" t="n"/>
      <c r="M592">
        <f>IF(A592="","",IF(A592=A591,M591,N(M591)+1))</f>
        <v/>
      </c>
      <c r="N592">
        <f>IF(E592="",99999,E592)</f>
        <v/>
      </c>
      <c r="O592">
        <f>IF(E592="",0,IF(F592="",E592,F592))</f>
        <v/>
      </c>
      <c r="P592">
        <f>IF(E592="",1,MAX(1,(YEAR(O592)-YEAR(N592))*12+MONTH(O592)-MONTH(N592)+1))</f>
        <v/>
      </c>
      <c r="Q592">
        <f>IF(G592="",0,G592/P592)</f>
        <v/>
      </c>
      <c r="R592">
        <f>IF(H592="",0,H592/P592)</f>
        <v/>
      </c>
    </row>
    <row r="593">
      <c r="A593" s="43" t="n"/>
      <c r="B593" s="28" t="n"/>
      <c r="C593" s="28" t="n"/>
      <c r="D593" s="28" t="n"/>
      <c r="E593" s="44" t="n"/>
      <c r="F593" s="44" t="n"/>
      <c r="G593" s="23" t="n"/>
      <c r="H593" s="23" t="n"/>
      <c r="I593" s="23" t="n"/>
      <c r="J593" s="23" t="n"/>
      <c r="K593" s="45">
        <f>IF(A593="","",SUM(G$2:I593)-SUM(J$2:J593))</f>
        <v/>
      </c>
      <c r="L593" s="46" t="n"/>
      <c r="M593">
        <f>IF(A593="","",IF(A593=A592,M592,N(M592)+1))</f>
        <v/>
      </c>
      <c r="N593">
        <f>IF(E593="",99999,E593)</f>
        <v/>
      </c>
      <c r="O593">
        <f>IF(E593="",0,IF(F593="",E593,F593))</f>
        <v/>
      </c>
      <c r="P593">
        <f>IF(E593="",1,MAX(1,(YEAR(O593)-YEAR(N593))*12+MONTH(O593)-MONTH(N593)+1))</f>
        <v/>
      </c>
      <c r="Q593">
        <f>IF(G593="",0,G593/P593)</f>
        <v/>
      </c>
      <c r="R593">
        <f>IF(H593="",0,H593/P593)</f>
        <v/>
      </c>
    </row>
    <row r="594">
      <c r="A594" s="43" t="n"/>
      <c r="B594" s="28" t="n"/>
      <c r="C594" s="28" t="n"/>
      <c r="D594" s="28" t="n"/>
      <c r="E594" s="44" t="n"/>
      <c r="F594" s="44" t="n"/>
      <c r="G594" s="23" t="n"/>
      <c r="H594" s="23" t="n"/>
      <c r="I594" s="23" t="n"/>
      <c r="J594" s="23" t="n"/>
      <c r="K594" s="45">
        <f>IF(A594="","",SUM(G$2:I594)-SUM(J$2:J594))</f>
        <v/>
      </c>
      <c r="L594" s="46" t="n"/>
      <c r="M594">
        <f>IF(A594="","",IF(A594=A593,M593,N(M593)+1))</f>
        <v/>
      </c>
      <c r="N594">
        <f>IF(E594="",99999,E594)</f>
        <v/>
      </c>
      <c r="O594">
        <f>IF(E594="",0,IF(F594="",E594,F594))</f>
        <v/>
      </c>
      <c r="P594">
        <f>IF(E594="",1,MAX(1,(YEAR(O594)-YEAR(N594))*12+MONTH(O594)-MONTH(N594)+1))</f>
        <v/>
      </c>
      <c r="Q594">
        <f>IF(G594="",0,G594/P594)</f>
        <v/>
      </c>
      <c r="R594">
        <f>IF(H594="",0,H594/P594)</f>
        <v/>
      </c>
    </row>
    <row r="595">
      <c r="A595" s="43" t="n"/>
      <c r="B595" s="28" t="n"/>
      <c r="C595" s="28" t="n"/>
      <c r="D595" s="28" t="n"/>
      <c r="E595" s="44" t="n"/>
      <c r="F595" s="44" t="n"/>
      <c r="G595" s="23" t="n"/>
      <c r="H595" s="23" t="n"/>
      <c r="I595" s="23" t="n"/>
      <c r="J595" s="23" t="n"/>
      <c r="K595" s="45">
        <f>IF(A595="","",SUM(G$2:I595)-SUM(J$2:J595))</f>
        <v/>
      </c>
      <c r="L595" s="46" t="n"/>
      <c r="M595">
        <f>IF(A595="","",IF(A595=A594,M594,N(M594)+1))</f>
        <v/>
      </c>
      <c r="N595">
        <f>IF(E595="",99999,E595)</f>
        <v/>
      </c>
      <c r="O595">
        <f>IF(E595="",0,IF(F595="",E595,F595))</f>
        <v/>
      </c>
      <c r="P595">
        <f>IF(E595="",1,MAX(1,(YEAR(O595)-YEAR(N595))*12+MONTH(O595)-MONTH(N595)+1))</f>
        <v/>
      </c>
      <c r="Q595">
        <f>IF(G595="",0,G595/P595)</f>
        <v/>
      </c>
      <c r="R595">
        <f>IF(H595="",0,H595/P595)</f>
        <v/>
      </c>
    </row>
    <row r="596">
      <c r="A596" s="43" t="n"/>
      <c r="B596" s="28" t="n"/>
      <c r="C596" s="28" t="n"/>
      <c r="D596" s="28" t="n"/>
      <c r="E596" s="44" t="n"/>
      <c r="F596" s="44" t="n"/>
      <c r="G596" s="23" t="n"/>
      <c r="H596" s="23" t="n"/>
      <c r="I596" s="23" t="n"/>
      <c r="J596" s="23" t="n"/>
      <c r="K596" s="45">
        <f>IF(A596="","",SUM(G$2:I596)-SUM(J$2:J596))</f>
        <v/>
      </c>
      <c r="L596" s="46" t="n"/>
      <c r="M596">
        <f>IF(A596="","",IF(A596=A595,M595,N(M595)+1))</f>
        <v/>
      </c>
      <c r="N596">
        <f>IF(E596="",99999,E596)</f>
        <v/>
      </c>
      <c r="O596">
        <f>IF(E596="",0,IF(F596="",E596,F596))</f>
        <v/>
      </c>
      <c r="P596">
        <f>IF(E596="",1,MAX(1,(YEAR(O596)-YEAR(N596))*12+MONTH(O596)-MONTH(N596)+1))</f>
        <v/>
      </c>
      <c r="Q596">
        <f>IF(G596="",0,G596/P596)</f>
        <v/>
      </c>
      <c r="R596">
        <f>IF(H596="",0,H596/P596)</f>
        <v/>
      </c>
    </row>
    <row r="597">
      <c r="A597" s="43" t="n"/>
      <c r="B597" s="28" t="n"/>
      <c r="C597" s="28" t="n"/>
      <c r="D597" s="28" t="n"/>
      <c r="E597" s="44" t="n"/>
      <c r="F597" s="44" t="n"/>
      <c r="G597" s="23" t="n"/>
      <c r="H597" s="23" t="n"/>
      <c r="I597" s="23" t="n"/>
      <c r="J597" s="23" t="n"/>
      <c r="K597" s="45">
        <f>IF(A597="","",SUM(G$2:I597)-SUM(J$2:J597))</f>
        <v/>
      </c>
      <c r="L597" s="46" t="n"/>
      <c r="M597">
        <f>IF(A597="","",IF(A597=A596,M596,N(M596)+1))</f>
        <v/>
      </c>
      <c r="N597">
        <f>IF(E597="",99999,E597)</f>
        <v/>
      </c>
      <c r="O597">
        <f>IF(E597="",0,IF(F597="",E597,F597))</f>
        <v/>
      </c>
      <c r="P597">
        <f>IF(E597="",1,MAX(1,(YEAR(O597)-YEAR(N597))*12+MONTH(O597)-MONTH(N597)+1))</f>
        <v/>
      </c>
      <c r="Q597">
        <f>IF(G597="",0,G597/P597)</f>
        <v/>
      </c>
      <c r="R597">
        <f>IF(H597="",0,H597/P597)</f>
        <v/>
      </c>
    </row>
    <row r="598">
      <c r="A598" s="43" t="n"/>
      <c r="B598" s="28" t="n"/>
      <c r="C598" s="28" t="n"/>
      <c r="D598" s="28" t="n"/>
      <c r="E598" s="44" t="n"/>
      <c r="F598" s="44" t="n"/>
      <c r="G598" s="23" t="n"/>
      <c r="H598" s="23" t="n"/>
      <c r="I598" s="23" t="n"/>
      <c r="J598" s="23" t="n"/>
      <c r="K598" s="45">
        <f>IF(A598="","",SUM(G$2:I598)-SUM(J$2:J598))</f>
        <v/>
      </c>
      <c r="L598" s="46" t="n"/>
      <c r="M598">
        <f>IF(A598="","",IF(A598=A597,M597,N(M597)+1))</f>
        <v/>
      </c>
      <c r="N598">
        <f>IF(E598="",99999,E598)</f>
        <v/>
      </c>
      <c r="O598">
        <f>IF(E598="",0,IF(F598="",E598,F598))</f>
        <v/>
      </c>
      <c r="P598">
        <f>IF(E598="",1,MAX(1,(YEAR(O598)-YEAR(N598))*12+MONTH(O598)-MONTH(N598)+1))</f>
        <v/>
      </c>
      <c r="Q598">
        <f>IF(G598="",0,G598/P598)</f>
        <v/>
      </c>
      <c r="R598">
        <f>IF(H598="",0,H598/P598)</f>
        <v/>
      </c>
    </row>
    <row r="599">
      <c r="A599" s="43" t="n"/>
      <c r="B599" s="28" t="n"/>
      <c r="C599" s="28" t="n"/>
      <c r="D599" s="28" t="n"/>
      <c r="E599" s="44" t="n"/>
      <c r="F599" s="44" t="n"/>
      <c r="G599" s="23" t="n"/>
      <c r="H599" s="23" t="n"/>
      <c r="I599" s="23" t="n"/>
      <c r="J599" s="23" t="n"/>
      <c r="K599" s="45">
        <f>IF(A599="","",SUM(G$2:I599)-SUM(J$2:J599))</f>
        <v/>
      </c>
      <c r="L599" s="46" t="n"/>
      <c r="M599">
        <f>IF(A599="","",IF(A599=A598,M598,N(M598)+1))</f>
        <v/>
      </c>
      <c r="N599">
        <f>IF(E599="",99999,E599)</f>
        <v/>
      </c>
      <c r="O599">
        <f>IF(E599="",0,IF(F599="",E599,F599))</f>
        <v/>
      </c>
      <c r="P599">
        <f>IF(E599="",1,MAX(1,(YEAR(O599)-YEAR(N599))*12+MONTH(O599)-MONTH(N599)+1))</f>
        <v/>
      </c>
      <c r="Q599">
        <f>IF(G599="",0,G599/P599)</f>
        <v/>
      </c>
      <c r="R599">
        <f>IF(H599="",0,H599/P599)</f>
        <v/>
      </c>
    </row>
    <row r="600">
      <c r="A600" s="43" t="n"/>
      <c r="B600" s="28" t="n"/>
      <c r="C600" s="28" t="n"/>
      <c r="D600" s="28" t="n"/>
      <c r="E600" s="44" t="n"/>
      <c r="F600" s="44" t="n"/>
      <c r="G600" s="23" t="n"/>
      <c r="H600" s="23" t="n"/>
      <c r="I600" s="23" t="n"/>
      <c r="J600" s="23" t="n"/>
      <c r="K600" s="45">
        <f>IF(A600="","",SUM(G$2:I600)-SUM(J$2:J600))</f>
        <v/>
      </c>
      <c r="L600" s="46" t="n"/>
      <c r="M600">
        <f>IF(A600="","",IF(A600=A599,M599,N(M599)+1))</f>
        <v/>
      </c>
      <c r="N600">
        <f>IF(E600="",99999,E600)</f>
        <v/>
      </c>
      <c r="O600">
        <f>IF(E600="",0,IF(F600="",E600,F600))</f>
        <v/>
      </c>
      <c r="P600">
        <f>IF(E600="",1,MAX(1,(YEAR(O600)-YEAR(N600))*12+MONTH(O600)-MONTH(N600)+1))</f>
        <v/>
      </c>
      <c r="Q600">
        <f>IF(G600="",0,G600/P600)</f>
        <v/>
      </c>
      <c r="R600">
        <f>IF(H600="",0,H600/P600)</f>
        <v/>
      </c>
    </row>
    <row r="601">
      <c r="A601" s="43" t="n"/>
      <c r="B601" s="28" t="n"/>
      <c r="C601" s="28" t="n"/>
      <c r="D601" s="28" t="n"/>
      <c r="E601" s="44" t="n"/>
      <c r="F601" s="44" t="n"/>
      <c r="G601" s="23" t="n"/>
      <c r="H601" s="23" t="n"/>
      <c r="I601" s="23" t="n"/>
      <c r="J601" s="23" t="n"/>
      <c r="K601" s="45">
        <f>IF(A601="","",SUM(G$2:I601)-SUM(J$2:J601))</f>
        <v/>
      </c>
      <c r="L601" s="46" t="n"/>
      <c r="M601">
        <f>IF(A601="","",IF(A601=A600,M600,N(M600)+1))</f>
        <v/>
      </c>
      <c r="N601">
        <f>IF(E601="",99999,E601)</f>
        <v/>
      </c>
      <c r="O601">
        <f>IF(E601="",0,IF(F601="",E601,F601))</f>
        <v/>
      </c>
      <c r="P601">
        <f>IF(E601="",1,MAX(1,(YEAR(O601)-YEAR(N601))*12+MONTH(O601)-MONTH(N601)+1))</f>
        <v/>
      </c>
      <c r="Q601">
        <f>IF(G601="",0,G601/P601)</f>
        <v/>
      </c>
      <c r="R601">
        <f>IF(H601="",0,H601/P601)</f>
        <v/>
      </c>
    </row>
    <row r="602">
      <c r="A602" s="43" t="n"/>
      <c r="B602" s="28" t="n"/>
      <c r="C602" s="28" t="n"/>
      <c r="D602" s="28" t="n"/>
      <c r="E602" s="44" t="n"/>
      <c r="F602" s="44" t="n"/>
      <c r="G602" s="23" t="n"/>
      <c r="H602" s="23" t="n"/>
      <c r="I602" s="23" t="n"/>
      <c r="J602" s="23" t="n"/>
      <c r="K602" s="45">
        <f>IF(A602="","",SUM(G$2:I602)-SUM(J$2:J602))</f>
        <v/>
      </c>
      <c r="L602" s="46" t="n"/>
      <c r="M602">
        <f>IF(A602="","",IF(A602=A601,M601,N(M601)+1))</f>
        <v/>
      </c>
      <c r="N602">
        <f>IF(E602="",99999,E602)</f>
        <v/>
      </c>
      <c r="O602">
        <f>IF(E602="",0,IF(F602="",E602,F602))</f>
        <v/>
      </c>
      <c r="P602">
        <f>IF(E602="",1,MAX(1,(YEAR(O602)-YEAR(N602))*12+MONTH(O602)-MONTH(N602)+1))</f>
        <v/>
      </c>
      <c r="Q602">
        <f>IF(G602="",0,G602/P602)</f>
        <v/>
      </c>
      <c r="R602">
        <f>IF(H602="",0,H602/P602)</f>
        <v/>
      </c>
    </row>
    <row r="603">
      <c r="A603" s="43" t="n"/>
      <c r="B603" s="28" t="n"/>
      <c r="C603" s="28" t="n"/>
      <c r="D603" s="28" t="n"/>
      <c r="E603" s="44" t="n"/>
      <c r="F603" s="44" t="n"/>
      <c r="G603" s="23" t="n"/>
      <c r="H603" s="23" t="n"/>
      <c r="I603" s="23" t="n"/>
      <c r="J603" s="23" t="n"/>
      <c r="K603" s="45">
        <f>IF(A603="","",SUM(G$2:I603)-SUM(J$2:J603))</f>
        <v/>
      </c>
      <c r="L603" s="46" t="n"/>
      <c r="M603">
        <f>IF(A603="","",IF(A603=A602,M602,N(M602)+1))</f>
        <v/>
      </c>
      <c r="N603">
        <f>IF(E603="",99999,E603)</f>
        <v/>
      </c>
      <c r="O603">
        <f>IF(E603="",0,IF(F603="",E603,F603))</f>
        <v/>
      </c>
      <c r="P603">
        <f>IF(E603="",1,MAX(1,(YEAR(O603)-YEAR(N603))*12+MONTH(O603)-MONTH(N603)+1))</f>
        <v/>
      </c>
      <c r="Q603">
        <f>IF(G603="",0,G603/P603)</f>
        <v/>
      </c>
      <c r="R603">
        <f>IF(H603="",0,H603/P603)</f>
        <v/>
      </c>
    </row>
    <row r="604">
      <c r="A604" s="43" t="n"/>
      <c r="B604" s="28" t="n"/>
      <c r="C604" s="28" t="n"/>
      <c r="D604" s="28" t="n"/>
      <c r="E604" s="44" t="n"/>
      <c r="F604" s="44" t="n"/>
      <c r="G604" s="23" t="n"/>
      <c r="H604" s="23" t="n"/>
      <c r="I604" s="23" t="n"/>
      <c r="J604" s="23" t="n"/>
      <c r="K604" s="45">
        <f>IF(A604="","",SUM(G$2:I604)-SUM(J$2:J604))</f>
        <v/>
      </c>
      <c r="L604" s="46" t="n"/>
      <c r="M604">
        <f>IF(A604="","",IF(A604=A603,M603,N(M603)+1))</f>
        <v/>
      </c>
      <c r="N604">
        <f>IF(E604="",99999,E604)</f>
        <v/>
      </c>
      <c r="O604">
        <f>IF(E604="",0,IF(F604="",E604,F604))</f>
        <v/>
      </c>
      <c r="P604">
        <f>IF(E604="",1,MAX(1,(YEAR(O604)-YEAR(N604))*12+MONTH(O604)-MONTH(N604)+1))</f>
        <v/>
      </c>
      <c r="Q604">
        <f>IF(G604="",0,G604/P604)</f>
        <v/>
      </c>
      <c r="R604">
        <f>IF(H604="",0,H604/P604)</f>
        <v/>
      </c>
    </row>
    <row r="605">
      <c r="A605" s="43" t="n"/>
      <c r="B605" s="28" t="n"/>
      <c r="C605" s="28" t="n"/>
      <c r="D605" s="28" t="n"/>
      <c r="E605" s="44" t="n"/>
      <c r="F605" s="44" t="n"/>
      <c r="G605" s="23" t="n"/>
      <c r="H605" s="23" t="n"/>
      <c r="I605" s="23" t="n"/>
      <c r="J605" s="23" t="n"/>
      <c r="K605" s="45">
        <f>IF(A605="","",SUM(G$2:I605)-SUM(J$2:J605))</f>
        <v/>
      </c>
      <c r="L605" s="46" t="n"/>
      <c r="M605">
        <f>IF(A605="","",IF(A605=A604,M604,N(M604)+1))</f>
        <v/>
      </c>
      <c r="N605">
        <f>IF(E605="",99999,E605)</f>
        <v/>
      </c>
      <c r="O605">
        <f>IF(E605="",0,IF(F605="",E605,F605))</f>
        <v/>
      </c>
      <c r="P605">
        <f>IF(E605="",1,MAX(1,(YEAR(O605)-YEAR(N605))*12+MONTH(O605)-MONTH(N605)+1))</f>
        <v/>
      </c>
      <c r="Q605">
        <f>IF(G605="",0,G605/P605)</f>
        <v/>
      </c>
      <c r="R605">
        <f>IF(H605="",0,H605/P605)</f>
        <v/>
      </c>
    </row>
    <row r="606">
      <c r="A606" s="43" t="n"/>
      <c r="B606" s="28" t="n"/>
      <c r="C606" s="28" t="n"/>
      <c r="D606" s="28" t="n"/>
      <c r="E606" s="44" t="n"/>
      <c r="F606" s="44" t="n"/>
      <c r="G606" s="23" t="n"/>
      <c r="H606" s="23" t="n"/>
      <c r="I606" s="23" t="n"/>
      <c r="J606" s="23" t="n"/>
      <c r="K606" s="45">
        <f>IF(A606="","",SUM(G$2:I606)-SUM(J$2:J606))</f>
        <v/>
      </c>
      <c r="L606" s="46" t="n"/>
      <c r="M606">
        <f>IF(A606="","",IF(A606=A605,M605,N(M605)+1))</f>
        <v/>
      </c>
      <c r="N606">
        <f>IF(E606="",99999,E606)</f>
        <v/>
      </c>
      <c r="O606">
        <f>IF(E606="",0,IF(F606="",E606,F606))</f>
        <v/>
      </c>
      <c r="P606">
        <f>IF(E606="",1,MAX(1,(YEAR(O606)-YEAR(N606))*12+MONTH(O606)-MONTH(N606)+1))</f>
        <v/>
      </c>
      <c r="Q606">
        <f>IF(G606="",0,G606/P606)</f>
        <v/>
      </c>
      <c r="R606">
        <f>IF(H606="",0,H606/P606)</f>
        <v/>
      </c>
    </row>
    <row r="607">
      <c r="A607" s="43" t="n"/>
      <c r="B607" s="28" t="n"/>
      <c r="C607" s="28" t="n"/>
      <c r="D607" s="28" t="n"/>
      <c r="E607" s="44" t="n"/>
      <c r="F607" s="44" t="n"/>
      <c r="G607" s="23" t="n"/>
      <c r="H607" s="23" t="n"/>
      <c r="I607" s="23" t="n"/>
      <c r="J607" s="23" t="n"/>
      <c r="K607" s="45">
        <f>IF(A607="","",SUM(G$2:I607)-SUM(J$2:J607))</f>
        <v/>
      </c>
      <c r="L607" s="46" t="n"/>
      <c r="M607">
        <f>IF(A607="","",IF(A607=A606,M606,N(M606)+1))</f>
        <v/>
      </c>
      <c r="N607">
        <f>IF(E607="",99999,E607)</f>
        <v/>
      </c>
      <c r="O607">
        <f>IF(E607="",0,IF(F607="",E607,F607))</f>
        <v/>
      </c>
      <c r="P607">
        <f>IF(E607="",1,MAX(1,(YEAR(O607)-YEAR(N607))*12+MONTH(O607)-MONTH(N607)+1))</f>
        <v/>
      </c>
      <c r="Q607">
        <f>IF(G607="",0,G607/P607)</f>
        <v/>
      </c>
      <c r="R607">
        <f>IF(H607="",0,H607/P607)</f>
        <v/>
      </c>
    </row>
    <row r="608">
      <c r="A608" s="43" t="n"/>
      <c r="B608" s="28" t="n"/>
      <c r="C608" s="28" t="n"/>
      <c r="D608" s="28" t="n"/>
      <c r="E608" s="44" t="n"/>
      <c r="F608" s="44" t="n"/>
      <c r="G608" s="23" t="n"/>
      <c r="H608" s="23" t="n"/>
      <c r="I608" s="23" t="n"/>
      <c r="J608" s="23" t="n"/>
      <c r="K608" s="45">
        <f>IF(A608="","",SUM(G$2:I608)-SUM(J$2:J608))</f>
        <v/>
      </c>
      <c r="L608" s="46" t="n"/>
      <c r="M608">
        <f>IF(A608="","",IF(A608=A607,M607,N(M607)+1))</f>
        <v/>
      </c>
      <c r="N608">
        <f>IF(E608="",99999,E608)</f>
        <v/>
      </c>
      <c r="O608">
        <f>IF(E608="",0,IF(F608="",E608,F608))</f>
        <v/>
      </c>
      <c r="P608">
        <f>IF(E608="",1,MAX(1,(YEAR(O608)-YEAR(N608))*12+MONTH(O608)-MONTH(N608)+1))</f>
        <v/>
      </c>
      <c r="Q608">
        <f>IF(G608="",0,G608/P608)</f>
        <v/>
      </c>
      <c r="R608">
        <f>IF(H608="",0,H608/P608)</f>
        <v/>
      </c>
    </row>
    <row r="609">
      <c r="A609" s="43" t="n"/>
      <c r="B609" s="28" t="n"/>
      <c r="C609" s="28" t="n"/>
      <c r="D609" s="28" t="n"/>
      <c r="E609" s="44" t="n"/>
      <c r="F609" s="44" t="n"/>
      <c r="G609" s="23" t="n"/>
      <c r="H609" s="23" t="n"/>
      <c r="I609" s="23" t="n"/>
      <c r="J609" s="23" t="n"/>
      <c r="K609" s="45">
        <f>IF(A609="","",SUM(G$2:I609)-SUM(J$2:J609))</f>
        <v/>
      </c>
      <c r="L609" s="46" t="n"/>
      <c r="M609">
        <f>IF(A609="","",IF(A609=A608,M608,N(M608)+1))</f>
        <v/>
      </c>
      <c r="N609">
        <f>IF(E609="",99999,E609)</f>
        <v/>
      </c>
      <c r="O609">
        <f>IF(E609="",0,IF(F609="",E609,F609))</f>
        <v/>
      </c>
      <c r="P609">
        <f>IF(E609="",1,MAX(1,(YEAR(O609)-YEAR(N609))*12+MONTH(O609)-MONTH(N609)+1))</f>
        <v/>
      </c>
      <c r="Q609">
        <f>IF(G609="",0,G609/P609)</f>
        <v/>
      </c>
      <c r="R609">
        <f>IF(H609="",0,H609/P609)</f>
        <v/>
      </c>
    </row>
    <row r="610">
      <c r="A610" s="43" t="n"/>
      <c r="B610" s="28" t="n"/>
      <c r="C610" s="28" t="n"/>
      <c r="D610" s="28" t="n"/>
      <c r="E610" s="44" t="n"/>
      <c r="F610" s="44" t="n"/>
      <c r="G610" s="23" t="n"/>
      <c r="H610" s="23" t="n"/>
      <c r="I610" s="23" t="n"/>
      <c r="J610" s="23" t="n"/>
      <c r="K610" s="45">
        <f>IF(A610="","",SUM(G$2:I610)-SUM(J$2:J610))</f>
        <v/>
      </c>
      <c r="L610" s="46" t="n"/>
      <c r="M610">
        <f>IF(A610="","",IF(A610=A609,M609,N(M609)+1))</f>
        <v/>
      </c>
      <c r="N610">
        <f>IF(E610="",99999,E610)</f>
        <v/>
      </c>
      <c r="O610">
        <f>IF(E610="",0,IF(F610="",E610,F610))</f>
        <v/>
      </c>
      <c r="P610">
        <f>IF(E610="",1,MAX(1,(YEAR(O610)-YEAR(N610))*12+MONTH(O610)-MONTH(N610)+1))</f>
        <v/>
      </c>
      <c r="Q610">
        <f>IF(G610="",0,G610/P610)</f>
        <v/>
      </c>
      <c r="R610">
        <f>IF(H610="",0,H610/P610)</f>
        <v/>
      </c>
    </row>
    <row r="611">
      <c r="A611" s="43" t="n"/>
      <c r="B611" s="28" t="n"/>
      <c r="C611" s="28" t="n"/>
      <c r="D611" s="28" t="n"/>
      <c r="E611" s="44" t="n"/>
      <c r="F611" s="44" t="n"/>
      <c r="G611" s="23" t="n"/>
      <c r="H611" s="23" t="n"/>
      <c r="I611" s="23" t="n"/>
      <c r="J611" s="23" t="n"/>
      <c r="K611" s="45">
        <f>IF(A611="","",SUM(G$2:I611)-SUM(J$2:J611))</f>
        <v/>
      </c>
      <c r="L611" s="46" t="n"/>
      <c r="M611">
        <f>IF(A611="","",IF(A611=A610,M610,N(M610)+1))</f>
        <v/>
      </c>
      <c r="N611">
        <f>IF(E611="",99999,E611)</f>
        <v/>
      </c>
      <c r="O611">
        <f>IF(E611="",0,IF(F611="",E611,F611))</f>
        <v/>
      </c>
      <c r="P611">
        <f>IF(E611="",1,MAX(1,(YEAR(O611)-YEAR(N611))*12+MONTH(O611)-MONTH(N611)+1))</f>
        <v/>
      </c>
      <c r="Q611">
        <f>IF(G611="",0,G611/P611)</f>
        <v/>
      </c>
      <c r="R611">
        <f>IF(H611="",0,H611/P611)</f>
        <v/>
      </c>
    </row>
    <row r="612">
      <c r="A612" s="43" t="n"/>
      <c r="B612" s="28" t="n"/>
      <c r="C612" s="28" t="n"/>
      <c r="D612" s="28" t="n"/>
      <c r="E612" s="44" t="n"/>
      <c r="F612" s="44" t="n"/>
      <c r="G612" s="23" t="n"/>
      <c r="H612" s="23" t="n"/>
      <c r="I612" s="23" t="n"/>
      <c r="J612" s="23" t="n"/>
      <c r="K612" s="45">
        <f>IF(A612="","",SUM(G$2:I612)-SUM(J$2:J612))</f>
        <v/>
      </c>
      <c r="L612" s="46" t="n"/>
      <c r="M612">
        <f>IF(A612="","",IF(A612=A611,M611,N(M611)+1))</f>
        <v/>
      </c>
      <c r="N612">
        <f>IF(E612="",99999,E612)</f>
        <v/>
      </c>
      <c r="O612">
        <f>IF(E612="",0,IF(F612="",E612,F612))</f>
        <v/>
      </c>
      <c r="P612">
        <f>IF(E612="",1,MAX(1,(YEAR(O612)-YEAR(N612))*12+MONTH(O612)-MONTH(N612)+1))</f>
        <v/>
      </c>
      <c r="Q612">
        <f>IF(G612="",0,G612/P612)</f>
        <v/>
      </c>
      <c r="R612">
        <f>IF(H612="",0,H612/P612)</f>
        <v/>
      </c>
    </row>
    <row r="613">
      <c r="A613" s="43" t="n"/>
      <c r="B613" s="28" t="n"/>
      <c r="C613" s="28" t="n"/>
      <c r="D613" s="28" t="n"/>
      <c r="E613" s="44" t="n"/>
      <c r="F613" s="44" t="n"/>
      <c r="G613" s="23" t="n"/>
      <c r="H613" s="23" t="n"/>
      <c r="I613" s="23" t="n"/>
      <c r="J613" s="23" t="n"/>
      <c r="K613" s="45">
        <f>IF(A613="","",SUM(G$2:I613)-SUM(J$2:J613))</f>
        <v/>
      </c>
      <c r="L613" s="46" t="n"/>
      <c r="M613">
        <f>IF(A613="","",IF(A613=A612,M612,N(M612)+1))</f>
        <v/>
      </c>
      <c r="N613">
        <f>IF(E613="",99999,E613)</f>
        <v/>
      </c>
      <c r="O613">
        <f>IF(E613="",0,IF(F613="",E613,F613))</f>
        <v/>
      </c>
      <c r="P613">
        <f>IF(E613="",1,MAX(1,(YEAR(O613)-YEAR(N613))*12+MONTH(O613)-MONTH(N613)+1))</f>
        <v/>
      </c>
      <c r="Q613">
        <f>IF(G613="",0,G613/P613)</f>
        <v/>
      </c>
      <c r="R613">
        <f>IF(H613="",0,H613/P613)</f>
        <v/>
      </c>
    </row>
    <row r="614">
      <c r="A614" s="43" t="n"/>
      <c r="B614" s="28" t="n"/>
      <c r="C614" s="28" t="n"/>
      <c r="D614" s="28" t="n"/>
      <c r="E614" s="44" t="n"/>
      <c r="F614" s="44" t="n"/>
      <c r="G614" s="23" t="n"/>
      <c r="H614" s="23" t="n"/>
      <c r="I614" s="23" t="n"/>
      <c r="J614" s="23" t="n"/>
      <c r="K614" s="45">
        <f>IF(A614="","",SUM(G$2:I614)-SUM(J$2:J614))</f>
        <v/>
      </c>
      <c r="L614" s="46" t="n"/>
      <c r="M614">
        <f>IF(A614="","",IF(A614=A613,M613,N(M613)+1))</f>
        <v/>
      </c>
      <c r="N614">
        <f>IF(E614="",99999,E614)</f>
        <v/>
      </c>
      <c r="O614">
        <f>IF(E614="",0,IF(F614="",E614,F614))</f>
        <v/>
      </c>
      <c r="P614">
        <f>IF(E614="",1,MAX(1,(YEAR(O614)-YEAR(N614))*12+MONTH(O614)-MONTH(N614)+1))</f>
        <v/>
      </c>
      <c r="Q614">
        <f>IF(G614="",0,G614/P614)</f>
        <v/>
      </c>
      <c r="R614">
        <f>IF(H614="",0,H614/P614)</f>
        <v/>
      </c>
    </row>
    <row r="615">
      <c r="A615" s="43" t="n"/>
      <c r="B615" s="28" t="n"/>
      <c r="C615" s="28" t="n"/>
      <c r="D615" s="28" t="n"/>
      <c r="E615" s="44" t="n"/>
      <c r="F615" s="44" t="n"/>
      <c r="G615" s="23" t="n"/>
      <c r="H615" s="23" t="n"/>
      <c r="I615" s="23" t="n"/>
      <c r="J615" s="23" t="n"/>
      <c r="K615" s="45">
        <f>IF(A615="","",SUM(G$2:I615)-SUM(J$2:J615))</f>
        <v/>
      </c>
      <c r="L615" s="46" t="n"/>
      <c r="M615">
        <f>IF(A615="","",IF(A615=A614,M614,N(M614)+1))</f>
        <v/>
      </c>
      <c r="N615">
        <f>IF(E615="",99999,E615)</f>
        <v/>
      </c>
      <c r="O615">
        <f>IF(E615="",0,IF(F615="",E615,F615))</f>
        <v/>
      </c>
      <c r="P615">
        <f>IF(E615="",1,MAX(1,(YEAR(O615)-YEAR(N615))*12+MONTH(O615)-MONTH(N615)+1))</f>
        <v/>
      </c>
      <c r="Q615">
        <f>IF(G615="",0,G615/P615)</f>
        <v/>
      </c>
      <c r="R615">
        <f>IF(H615="",0,H615/P615)</f>
        <v/>
      </c>
    </row>
    <row r="616">
      <c r="A616" s="43" t="n"/>
      <c r="B616" s="28" t="n"/>
      <c r="C616" s="28" t="n"/>
      <c r="D616" s="28" t="n"/>
      <c r="E616" s="44" t="n"/>
      <c r="F616" s="44" t="n"/>
      <c r="G616" s="23" t="n"/>
      <c r="H616" s="23" t="n"/>
      <c r="I616" s="23" t="n"/>
      <c r="J616" s="23" t="n"/>
      <c r="K616" s="45">
        <f>IF(A616="","",SUM(G$2:I616)-SUM(J$2:J616))</f>
        <v/>
      </c>
      <c r="L616" s="46" t="n"/>
      <c r="M616">
        <f>IF(A616="","",IF(A616=A615,M615,N(M615)+1))</f>
        <v/>
      </c>
      <c r="N616">
        <f>IF(E616="",99999,E616)</f>
        <v/>
      </c>
      <c r="O616">
        <f>IF(E616="",0,IF(F616="",E616,F616))</f>
        <v/>
      </c>
      <c r="P616">
        <f>IF(E616="",1,MAX(1,(YEAR(O616)-YEAR(N616))*12+MONTH(O616)-MONTH(N616)+1))</f>
        <v/>
      </c>
      <c r="Q616">
        <f>IF(G616="",0,G616/P616)</f>
        <v/>
      </c>
      <c r="R616">
        <f>IF(H616="",0,H616/P616)</f>
        <v/>
      </c>
    </row>
    <row r="617">
      <c r="A617" s="43" t="n"/>
      <c r="B617" s="28" t="n"/>
      <c r="C617" s="28" t="n"/>
      <c r="D617" s="28" t="n"/>
      <c r="E617" s="44" t="n"/>
      <c r="F617" s="44" t="n"/>
      <c r="G617" s="23" t="n"/>
      <c r="H617" s="23" t="n"/>
      <c r="I617" s="23" t="n"/>
      <c r="J617" s="23" t="n"/>
      <c r="K617" s="45">
        <f>IF(A617="","",SUM(G$2:I617)-SUM(J$2:J617))</f>
        <v/>
      </c>
      <c r="L617" s="46" t="n"/>
      <c r="M617">
        <f>IF(A617="","",IF(A617=A616,M616,N(M616)+1))</f>
        <v/>
      </c>
      <c r="N617">
        <f>IF(E617="",99999,E617)</f>
        <v/>
      </c>
      <c r="O617">
        <f>IF(E617="",0,IF(F617="",E617,F617))</f>
        <v/>
      </c>
      <c r="P617">
        <f>IF(E617="",1,MAX(1,(YEAR(O617)-YEAR(N617))*12+MONTH(O617)-MONTH(N617)+1))</f>
        <v/>
      </c>
      <c r="Q617">
        <f>IF(G617="",0,G617/P617)</f>
        <v/>
      </c>
      <c r="R617">
        <f>IF(H617="",0,H617/P617)</f>
        <v/>
      </c>
    </row>
    <row r="618">
      <c r="A618" s="43" t="n"/>
      <c r="B618" s="28" t="n"/>
      <c r="C618" s="28" t="n"/>
      <c r="D618" s="28" t="n"/>
      <c r="E618" s="44" t="n"/>
      <c r="F618" s="44" t="n"/>
      <c r="G618" s="23" t="n"/>
      <c r="H618" s="23" t="n"/>
      <c r="I618" s="23" t="n"/>
      <c r="J618" s="23" t="n"/>
      <c r="K618" s="45">
        <f>IF(A618="","",SUM(G$2:I618)-SUM(J$2:J618))</f>
        <v/>
      </c>
      <c r="L618" s="46" t="n"/>
      <c r="M618">
        <f>IF(A618="","",IF(A618=A617,M617,N(M617)+1))</f>
        <v/>
      </c>
      <c r="N618">
        <f>IF(E618="",99999,E618)</f>
        <v/>
      </c>
      <c r="O618">
        <f>IF(E618="",0,IF(F618="",E618,F618))</f>
        <v/>
      </c>
      <c r="P618">
        <f>IF(E618="",1,MAX(1,(YEAR(O618)-YEAR(N618))*12+MONTH(O618)-MONTH(N618)+1))</f>
        <v/>
      </c>
      <c r="Q618">
        <f>IF(G618="",0,G618/P618)</f>
        <v/>
      </c>
      <c r="R618">
        <f>IF(H618="",0,H618/P618)</f>
        <v/>
      </c>
    </row>
    <row r="619">
      <c r="A619" s="43" t="n"/>
      <c r="B619" s="28" t="n"/>
      <c r="C619" s="28" t="n"/>
      <c r="D619" s="28" t="n"/>
      <c r="E619" s="44" t="n"/>
      <c r="F619" s="44" t="n"/>
      <c r="G619" s="23" t="n"/>
      <c r="H619" s="23" t="n"/>
      <c r="I619" s="23" t="n"/>
      <c r="J619" s="23" t="n"/>
      <c r="K619" s="45">
        <f>IF(A619="","",SUM(G$2:I619)-SUM(J$2:J619))</f>
        <v/>
      </c>
      <c r="L619" s="46" t="n"/>
      <c r="M619">
        <f>IF(A619="","",IF(A619=A618,M618,N(M618)+1))</f>
        <v/>
      </c>
      <c r="N619">
        <f>IF(E619="",99999,E619)</f>
        <v/>
      </c>
      <c r="O619">
        <f>IF(E619="",0,IF(F619="",E619,F619))</f>
        <v/>
      </c>
      <c r="P619">
        <f>IF(E619="",1,MAX(1,(YEAR(O619)-YEAR(N619))*12+MONTH(O619)-MONTH(N619)+1))</f>
        <v/>
      </c>
      <c r="Q619">
        <f>IF(G619="",0,G619/P619)</f>
        <v/>
      </c>
      <c r="R619">
        <f>IF(H619="",0,H619/P619)</f>
        <v/>
      </c>
    </row>
    <row r="620">
      <c r="A620" s="43" t="n"/>
      <c r="B620" s="28" t="n"/>
      <c r="C620" s="28" t="n"/>
      <c r="D620" s="28" t="n"/>
      <c r="E620" s="44" t="n"/>
      <c r="F620" s="44" t="n"/>
      <c r="G620" s="23" t="n"/>
      <c r="H620" s="23" t="n"/>
      <c r="I620" s="23" t="n"/>
      <c r="J620" s="23" t="n"/>
      <c r="K620" s="45">
        <f>IF(A620="","",SUM(G$2:I620)-SUM(J$2:J620))</f>
        <v/>
      </c>
      <c r="L620" s="46" t="n"/>
      <c r="M620">
        <f>IF(A620="","",IF(A620=A619,M619,N(M619)+1))</f>
        <v/>
      </c>
      <c r="N620">
        <f>IF(E620="",99999,E620)</f>
        <v/>
      </c>
      <c r="O620">
        <f>IF(E620="",0,IF(F620="",E620,F620))</f>
        <v/>
      </c>
      <c r="P620">
        <f>IF(E620="",1,MAX(1,(YEAR(O620)-YEAR(N620))*12+MONTH(O620)-MONTH(N620)+1))</f>
        <v/>
      </c>
      <c r="Q620">
        <f>IF(G620="",0,G620/P620)</f>
        <v/>
      </c>
      <c r="R620">
        <f>IF(H620="",0,H620/P620)</f>
        <v/>
      </c>
    </row>
    <row r="621">
      <c r="A621" s="43" t="n"/>
      <c r="B621" s="28" t="n"/>
      <c r="C621" s="28" t="n"/>
      <c r="D621" s="28" t="n"/>
      <c r="E621" s="44" t="n"/>
      <c r="F621" s="44" t="n"/>
      <c r="G621" s="23" t="n"/>
      <c r="H621" s="23" t="n"/>
      <c r="I621" s="23" t="n"/>
      <c r="J621" s="23" t="n"/>
      <c r="K621" s="45">
        <f>IF(A621="","",SUM(G$2:I621)-SUM(J$2:J621))</f>
        <v/>
      </c>
      <c r="L621" s="46" t="n"/>
      <c r="M621">
        <f>IF(A621="","",IF(A621=A620,M620,N(M620)+1))</f>
        <v/>
      </c>
      <c r="N621">
        <f>IF(E621="",99999,E621)</f>
        <v/>
      </c>
      <c r="O621">
        <f>IF(E621="",0,IF(F621="",E621,F621))</f>
        <v/>
      </c>
      <c r="P621">
        <f>IF(E621="",1,MAX(1,(YEAR(O621)-YEAR(N621))*12+MONTH(O621)-MONTH(N621)+1))</f>
        <v/>
      </c>
      <c r="Q621">
        <f>IF(G621="",0,G621/P621)</f>
        <v/>
      </c>
      <c r="R621">
        <f>IF(H621="",0,H621/P621)</f>
        <v/>
      </c>
    </row>
    <row r="622">
      <c r="A622" s="43" t="n"/>
      <c r="B622" s="28" t="n"/>
      <c r="C622" s="28" t="n"/>
      <c r="D622" s="28" t="n"/>
      <c r="E622" s="44" t="n"/>
      <c r="F622" s="44" t="n"/>
      <c r="G622" s="23" t="n"/>
      <c r="H622" s="23" t="n"/>
      <c r="I622" s="23" t="n"/>
      <c r="J622" s="23" t="n"/>
      <c r="K622" s="45">
        <f>IF(A622="","",SUM(G$2:I622)-SUM(J$2:J622))</f>
        <v/>
      </c>
      <c r="L622" s="46" t="n"/>
      <c r="M622">
        <f>IF(A622="","",IF(A622=A621,M621,N(M621)+1))</f>
        <v/>
      </c>
      <c r="N622">
        <f>IF(E622="",99999,E622)</f>
        <v/>
      </c>
      <c r="O622">
        <f>IF(E622="",0,IF(F622="",E622,F622))</f>
        <v/>
      </c>
      <c r="P622">
        <f>IF(E622="",1,MAX(1,(YEAR(O622)-YEAR(N622))*12+MONTH(O622)-MONTH(N622)+1))</f>
        <v/>
      </c>
      <c r="Q622">
        <f>IF(G622="",0,G622/P622)</f>
        <v/>
      </c>
      <c r="R622">
        <f>IF(H622="",0,H622/P622)</f>
        <v/>
      </c>
    </row>
    <row r="623">
      <c r="A623" s="43" t="n"/>
      <c r="B623" s="28" t="n"/>
      <c r="C623" s="28" t="n"/>
      <c r="D623" s="28" t="n"/>
      <c r="E623" s="44" t="n"/>
      <c r="F623" s="44" t="n"/>
      <c r="G623" s="23" t="n"/>
      <c r="H623" s="23" t="n"/>
      <c r="I623" s="23" t="n"/>
      <c r="J623" s="23" t="n"/>
      <c r="K623" s="45">
        <f>IF(A623="","",SUM(G$2:I623)-SUM(J$2:J623))</f>
        <v/>
      </c>
      <c r="L623" s="46" t="n"/>
      <c r="M623">
        <f>IF(A623="","",IF(A623=A622,M622,N(M622)+1))</f>
        <v/>
      </c>
      <c r="N623">
        <f>IF(E623="",99999,E623)</f>
        <v/>
      </c>
      <c r="O623">
        <f>IF(E623="",0,IF(F623="",E623,F623))</f>
        <v/>
      </c>
      <c r="P623">
        <f>IF(E623="",1,MAX(1,(YEAR(O623)-YEAR(N623))*12+MONTH(O623)-MONTH(N623)+1))</f>
        <v/>
      </c>
      <c r="Q623">
        <f>IF(G623="",0,G623/P623)</f>
        <v/>
      </c>
      <c r="R623">
        <f>IF(H623="",0,H623/P623)</f>
        <v/>
      </c>
    </row>
    <row r="624">
      <c r="A624" s="43" t="n"/>
      <c r="B624" s="28" t="n"/>
      <c r="C624" s="28" t="n"/>
      <c r="D624" s="28" t="n"/>
      <c r="E624" s="44" t="n"/>
      <c r="F624" s="44" t="n"/>
      <c r="G624" s="23" t="n"/>
      <c r="H624" s="23" t="n"/>
      <c r="I624" s="23" t="n"/>
      <c r="J624" s="23" t="n"/>
      <c r="K624" s="45">
        <f>IF(A624="","",SUM(G$2:I624)-SUM(J$2:J624))</f>
        <v/>
      </c>
      <c r="L624" s="46" t="n"/>
      <c r="M624">
        <f>IF(A624="","",IF(A624=A623,M623,N(M623)+1))</f>
        <v/>
      </c>
      <c r="N624">
        <f>IF(E624="",99999,E624)</f>
        <v/>
      </c>
      <c r="O624">
        <f>IF(E624="",0,IF(F624="",E624,F624))</f>
        <v/>
      </c>
      <c r="P624">
        <f>IF(E624="",1,MAX(1,(YEAR(O624)-YEAR(N624))*12+MONTH(O624)-MONTH(N624)+1))</f>
        <v/>
      </c>
      <c r="Q624">
        <f>IF(G624="",0,G624/P624)</f>
        <v/>
      </c>
      <c r="R624">
        <f>IF(H624="",0,H624/P624)</f>
        <v/>
      </c>
    </row>
    <row r="625">
      <c r="A625" s="43" t="n"/>
      <c r="B625" s="28" t="n"/>
      <c r="C625" s="28" t="n"/>
      <c r="D625" s="28" t="n"/>
      <c r="E625" s="44" t="n"/>
      <c r="F625" s="44" t="n"/>
      <c r="G625" s="23" t="n"/>
      <c r="H625" s="23" t="n"/>
      <c r="I625" s="23" t="n"/>
      <c r="J625" s="23" t="n"/>
      <c r="K625" s="45">
        <f>IF(A625="","",SUM(G$2:I625)-SUM(J$2:J625))</f>
        <v/>
      </c>
      <c r="L625" s="46" t="n"/>
      <c r="M625">
        <f>IF(A625="","",IF(A625=A624,M624,N(M624)+1))</f>
        <v/>
      </c>
      <c r="N625">
        <f>IF(E625="",99999,E625)</f>
        <v/>
      </c>
      <c r="O625">
        <f>IF(E625="",0,IF(F625="",E625,F625))</f>
        <v/>
      </c>
      <c r="P625">
        <f>IF(E625="",1,MAX(1,(YEAR(O625)-YEAR(N625))*12+MONTH(O625)-MONTH(N625)+1))</f>
        <v/>
      </c>
      <c r="Q625">
        <f>IF(G625="",0,G625/P625)</f>
        <v/>
      </c>
      <c r="R625">
        <f>IF(H625="",0,H625/P625)</f>
        <v/>
      </c>
    </row>
    <row r="626">
      <c r="A626" s="43" t="n"/>
      <c r="B626" s="28" t="n"/>
      <c r="C626" s="28" t="n"/>
      <c r="D626" s="28" t="n"/>
      <c r="E626" s="44" t="n"/>
      <c r="F626" s="44" t="n"/>
      <c r="G626" s="23" t="n"/>
      <c r="H626" s="23" t="n"/>
      <c r="I626" s="23" t="n"/>
      <c r="J626" s="23" t="n"/>
      <c r="K626" s="45">
        <f>IF(A626="","",SUM(G$2:I626)-SUM(J$2:J626))</f>
        <v/>
      </c>
      <c r="L626" s="46" t="n"/>
      <c r="M626">
        <f>IF(A626="","",IF(A626=A625,M625,N(M625)+1))</f>
        <v/>
      </c>
      <c r="N626">
        <f>IF(E626="",99999,E626)</f>
        <v/>
      </c>
      <c r="O626">
        <f>IF(E626="",0,IF(F626="",E626,F626))</f>
        <v/>
      </c>
      <c r="P626">
        <f>IF(E626="",1,MAX(1,(YEAR(O626)-YEAR(N626))*12+MONTH(O626)-MONTH(N626)+1))</f>
        <v/>
      </c>
      <c r="Q626">
        <f>IF(G626="",0,G626/P626)</f>
        <v/>
      </c>
      <c r="R626">
        <f>IF(H626="",0,H626/P626)</f>
        <v/>
      </c>
    </row>
    <row r="627">
      <c r="A627" s="43" t="n"/>
      <c r="B627" s="28" t="n"/>
      <c r="C627" s="28" t="n"/>
      <c r="D627" s="28" t="n"/>
      <c r="E627" s="44" t="n"/>
      <c r="F627" s="44" t="n"/>
      <c r="G627" s="23" t="n"/>
      <c r="H627" s="23" t="n"/>
      <c r="I627" s="23" t="n"/>
      <c r="J627" s="23" t="n"/>
      <c r="K627" s="45">
        <f>IF(A627="","",SUM(G$2:I627)-SUM(J$2:J627))</f>
        <v/>
      </c>
      <c r="L627" s="46" t="n"/>
      <c r="M627">
        <f>IF(A627="","",IF(A627=A626,M626,N(M626)+1))</f>
        <v/>
      </c>
      <c r="N627">
        <f>IF(E627="",99999,E627)</f>
        <v/>
      </c>
      <c r="O627">
        <f>IF(E627="",0,IF(F627="",E627,F627))</f>
        <v/>
      </c>
      <c r="P627">
        <f>IF(E627="",1,MAX(1,(YEAR(O627)-YEAR(N627))*12+MONTH(O627)-MONTH(N627)+1))</f>
        <v/>
      </c>
      <c r="Q627">
        <f>IF(G627="",0,G627/P627)</f>
        <v/>
      </c>
      <c r="R627">
        <f>IF(H627="",0,H627/P627)</f>
        <v/>
      </c>
    </row>
    <row r="628">
      <c r="A628" s="43" t="n"/>
      <c r="B628" s="28" t="n"/>
      <c r="C628" s="28" t="n"/>
      <c r="D628" s="28" t="n"/>
      <c r="E628" s="44" t="n"/>
      <c r="F628" s="44" t="n"/>
      <c r="G628" s="23" t="n"/>
      <c r="H628" s="23" t="n"/>
      <c r="I628" s="23" t="n"/>
      <c r="J628" s="23" t="n"/>
      <c r="K628" s="45">
        <f>IF(A628="","",SUM(G$2:I628)-SUM(J$2:J628))</f>
        <v/>
      </c>
      <c r="L628" s="46" t="n"/>
      <c r="M628">
        <f>IF(A628="","",IF(A628=A627,M627,N(M627)+1))</f>
        <v/>
      </c>
      <c r="N628">
        <f>IF(E628="",99999,E628)</f>
        <v/>
      </c>
      <c r="O628">
        <f>IF(E628="",0,IF(F628="",E628,F628))</f>
        <v/>
      </c>
      <c r="P628">
        <f>IF(E628="",1,MAX(1,(YEAR(O628)-YEAR(N628))*12+MONTH(O628)-MONTH(N628)+1))</f>
        <v/>
      </c>
      <c r="Q628">
        <f>IF(G628="",0,G628/P628)</f>
        <v/>
      </c>
      <c r="R628">
        <f>IF(H628="",0,H628/P628)</f>
        <v/>
      </c>
    </row>
    <row r="629">
      <c r="A629" s="43" t="n"/>
      <c r="B629" s="28" t="n"/>
      <c r="C629" s="28" t="n"/>
      <c r="D629" s="28" t="n"/>
      <c r="E629" s="44" t="n"/>
      <c r="F629" s="44" t="n"/>
      <c r="G629" s="23" t="n"/>
      <c r="H629" s="23" t="n"/>
      <c r="I629" s="23" t="n"/>
      <c r="J629" s="23" t="n"/>
      <c r="K629" s="45">
        <f>IF(A629="","",SUM(G$2:I629)-SUM(J$2:J629))</f>
        <v/>
      </c>
      <c r="L629" s="46" t="n"/>
      <c r="M629">
        <f>IF(A629="","",IF(A629=A628,M628,N(M628)+1))</f>
        <v/>
      </c>
      <c r="N629">
        <f>IF(E629="",99999,E629)</f>
        <v/>
      </c>
      <c r="O629">
        <f>IF(E629="",0,IF(F629="",E629,F629))</f>
        <v/>
      </c>
      <c r="P629">
        <f>IF(E629="",1,MAX(1,(YEAR(O629)-YEAR(N629))*12+MONTH(O629)-MONTH(N629)+1))</f>
        <v/>
      </c>
      <c r="Q629">
        <f>IF(G629="",0,G629/P629)</f>
        <v/>
      </c>
      <c r="R629">
        <f>IF(H629="",0,H629/P629)</f>
        <v/>
      </c>
    </row>
    <row r="630">
      <c r="A630" s="43" t="n"/>
      <c r="B630" s="28" t="n"/>
      <c r="C630" s="28" t="n"/>
      <c r="D630" s="28" t="n"/>
      <c r="E630" s="44" t="n"/>
      <c r="F630" s="44" t="n"/>
      <c r="G630" s="23" t="n"/>
      <c r="H630" s="23" t="n"/>
      <c r="I630" s="23" t="n"/>
      <c r="J630" s="23" t="n"/>
      <c r="K630" s="45">
        <f>IF(A630="","",SUM(G$2:I630)-SUM(J$2:J630))</f>
        <v/>
      </c>
      <c r="L630" s="46" t="n"/>
      <c r="M630">
        <f>IF(A630="","",IF(A630=A629,M629,N(M629)+1))</f>
        <v/>
      </c>
      <c r="N630">
        <f>IF(E630="",99999,E630)</f>
        <v/>
      </c>
      <c r="O630">
        <f>IF(E630="",0,IF(F630="",E630,F630))</f>
        <v/>
      </c>
      <c r="P630">
        <f>IF(E630="",1,MAX(1,(YEAR(O630)-YEAR(N630))*12+MONTH(O630)-MONTH(N630)+1))</f>
        <v/>
      </c>
      <c r="Q630">
        <f>IF(G630="",0,G630/P630)</f>
        <v/>
      </c>
      <c r="R630">
        <f>IF(H630="",0,H630/P630)</f>
        <v/>
      </c>
    </row>
    <row r="631">
      <c r="A631" s="43" t="n"/>
      <c r="B631" s="28" t="n"/>
      <c r="C631" s="28" t="n"/>
      <c r="D631" s="28" t="n"/>
      <c r="E631" s="44" t="n"/>
      <c r="F631" s="44" t="n"/>
      <c r="G631" s="23" t="n"/>
      <c r="H631" s="23" t="n"/>
      <c r="I631" s="23" t="n"/>
      <c r="J631" s="23" t="n"/>
      <c r="K631" s="45">
        <f>IF(A631="","",SUM(G$2:I631)-SUM(J$2:J631))</f>
        <v/>
      </c>
      <c r="L631" s="46" t="n"/>
      <c r="M631">
        <f>IF(A631="","",IF(A631=A630,M630,N(M630)+1))</f>
        <v/>
      </c>
      <c r="N631">
        <f>IF(E631="",99999,E631)</f>
        <v/>
      </c>
      <c r="O631">
        <f>IF(E631="",0,IF(F631="",E631,F631))</f>
        <v/>
      </c>
      <c r="P631">
        <f>IF(E631="",1,MAX(1,(YEAR(O631)-YEAR(N631))*12+MONTH(O631)-MONTH(N631)+1))</f>
        <v/>
      </c>
      <c r="Q631">
        <f>IF(G631="",0,G631/P631)</f>
        <v/>
      </c>
      <c r="R631">
        <f>IF(H631="",0,H631/P631)</f>
        <v/>
      </c>
    </row>
    <row r="632">
      <c r="A632" s="43" t="n"/>
      <c r="B632" s="28" t="n"/>
      <c r="C632" s="28" t="n"/>
      <c r="D632" s="28" t="n"/>
      <c r="E632" s="44" t="n"/>
      <c r="F632" s="44" t="n"/>
      <c r="G632" s="23" t="n"/>
      <c r="H632" s="23" t="n"/>
      <c r="I632" s="23" t="n"/>
      <c r="J632" s="23" t="n"/>
      <c r="K632" s="45">
        <f>IF(A632="","",SUM(G$2:I632)-SUM(J$2:J632))</f>
        <v/>
      </c>
      <c r="L632" s="46" t="n"/>
      <c r="M632">
        <f>IF(A632="","",IF(A632=A631,M631,N(M631)+1))</f>
        <v/>
      </c>
      <c r="N632">
        <f>IF(E632="",99999,E632)</f>
        <v/>
      </c>
      <c r="O632">
        <f>IF(E632="",0,IF(F632="",E632,F632))</f>
        <v/>
      </c>
      <c r="P632">
        <f>IF(E632="",1,MAX(1,(YEAR(O632)-YEAR(N632))*12+MONTH(O632)-MONTH(N632)+1))</f>
        <v/>
      </c>
      <c r="Q632">
        <f>IF(G632="",0,G632/P632)</f>
        <v/>
      </c>
      <c r="R632">
        <f>IF(H632="",0,H632/P632)</f>
        <v/>
      </c>
    </row>
    <row r="633">
      <c r="A633" s="43" t="n"/>
      <c r="B633" s="28" t="n"/>
      <c r="C633" s="28" t="n"/>
      <c r="D633" s="28" t="n"/>
      <c r="E633" s="44" t="n"/>
      <c r="F633" s="44" t="n"/>
      <c r="G633" s="23" t="n"/>
      <c r="H633" s="23" t="n"/>
      <c r="I633" s="23" t="n"/>
      <c r="J633" s="23" t="n"/>
      <c r="K633" s="45">
        <f>IF(A633="","",SUM(G$2:I633)-SUM(J$2:J633))</f>
        <v/>
      </c>
      <c r="L633" s="46" t="n"/>
      <c r="M633">
        <f>IF(A633="","",IF(A633=A632,M632,N(M632)+1))</f>
        <v/>
      </c>
      <c r="N633">
        <f>IF(E633="",99999,E633)</f>
        <v/>
      </c>
      <c r="O633">
        <f>IF(E633="",0,IF(F633="",E633,F633))</f>
        <v/>
      </c>
      <c r="P633">
        <f>IF(E633="",1,MAX(1,(YEAR(O633)-YEAR(N633))*12+MONTH(O633)-MONTH(N633)+1))</f>
        <v/>
      </c>
      <c r="Q633">
        <f>IF(G633="",0,G633/P633)</f>
        <v/>
      </c>
      <c r="R633">
        <f>IF(H633="",0,H633/P633)</f>
        <v/>
      </c>
    </row>
    <row r="634">
      <c r="A634" s="43" t="n"/>
      <c r="B634" s="28" t="n"/>
      <c r="C634" s="28" t="n"/>
      <c r="D634" s="28" t="n"/>
      <c r="E634" s="44" t="n"/>
      <c r="F634" s="44" t="n"/>
      <c r="G634" s="23" t="n"/>
      <c r="H634" s="23" t="n"/>
      <c r="I634" s="23" t="n"/>
      <c r="J634" s="23" t="n"/>
      <c r="K634" s="45">
        <f>IF(A634="","",SUM(G$2:I634)-SUM(J$2:J634))</f>
        <v/>
      </c>
      <c r="L634" s="46" t="n"/>
      <c r="M634">
        <f>IF(A634="","",IF(A634=A633,M633,N(M633)+1))</f>
        <v/>
      </c>
      <c r="N634">
        <f>IF(E634="",99999,E634)</f>
        <v/>
      </c>
      <c r="O634">
        <f>IF(E634="",0,IF(F634="",E634,F634))</f>
        <v/>
      </c>
      <c r="P634">
        <f>IF(E634="",1,MAX(1,(YEAR(O634)-YEAR(N634))*12+MONTH(O634)-MONTH(N634)+1))</f>
        <v/>
      </c>
      <c r="Q634">
        <f>IF(G634="",0,G634/P634)</f>
        <v/>
      </c>
      <c r="R634">
        <f>IF(H634="",0,H634/P634)</f>
        <v/>
      </c>
    </row>
    <row r="635">
      <c r="A635" s="43" t="n"/>
      <c r="B635" s="28" t="n"/>
      <c r="C635" s="28" t="n"/>
      <c r="D635" s="28" t="n"/>
      <c r="E635" s="44" t="n"/>
      <c r="F635" s="44" t="n"/>
      <c r="G635" s="23" t="n"/>
      <c r="H635" s="23" t="n"/>
      <c r="I635" s="23" t="n"/>
      <c r="J635" s="23" t="n"/>
      <c r="K635" s="45">
        <f>IF(A635="","",SUM(G$2:I635)-SUM(J$2:J635))</f>
        <v/>
      </c>
      <c r="L635" s="46" t="n"/>
      <c r="M635">
        <f>IF(A635="","",IF(A635=A634,M634,N(M634)+1))</f>
        <v/>
      </c>
      <c r="N635">
        <f>IF(E635="",99999,E635)</f>
        <v/>
      </c>
      <c r="O635">
        <f>IF(E635="",0,IF(F635="",E635,F635))</f>
        <v/>
      </c>
      <c r="P635">
        <f>IF(E635="",1,MAX(1,(YEAR(O635)-YEAR(N635))*12+MONTH(O635)-MONTH(N635)+1))</f>
        <v/>
      </c>
      <c r="Q635">
        <f>IF(G635="",0,G635/P635)</f>
        <v/>
      </c>
      <c r="R635">
        <f>IF(H635="",0,H635/P635)</f>
        <v/>
      </c>
    </row>
    <row r="636">
      <c r="A636" s="43" t="n"/>
      <c r="B636" s="28" t="n"/>
      <c r="C636" s="28" t="n"/>
      <c r="D636" s="28" t="n"/>
      <c r="E636" s="44" t="n"/>
      <c r="F636" s="44" t="n"/>
      <c r="G636" s="23" t="n"/>
      <c r="H636" s="23" t="n"/>
      <c r="I636" s="23" t="n"/>
      <c r="J636" s="23" t="n"/>
      <c r="K636" s="45">
        <f>IF(A636="","",SUM(G$2:I636)-SUM(J$2:J636))</f>
        <v/>
      </c>
      <c r="L636" s="46" t="n"/>
      <c r="M636">
        <f>IF(A636="","",IF(A636=A635,M635,N(M635)+1))</f>
        <v/>
      </c>
      <c r="N636">
        <f>IF(E636="",99999,E636)</f>
        <v/>
      </c>
      <c r="O636">
        <f>IF(E636="",0,IF(F636="",E636,F636))</f>
        <v/>
      </c>
      <c r="P636">
        <f>IF(E636="",1,MAX(1,(YEAR(O636)-YEAR(N636))*12+MONTH(O636)-MONTH(N636)+1))</f>
        <v/>
      </c>
      <c r="Q636">
        <f>IF(G636="",0,G636/P636)</f>
        <v/>
      </c>
      <c r="R636">
        <f>IF(H636="",0,H636/P636)</f>
        <v/>
      </c>
    </row>
    <row r="637">
      <c r="A637" s="43" t="n"/>
      <c r="B637" s="28" t="n"/>
      <c r="C637" s="28" t="n"/>
      <c r="D637" s="28" t="n"/>
      <c r="E637" s="44" t="n"/>
      <c r="F637" s="44" t="n"/>
      <c r="G637" s="23" t="n"/>
      <c r="H637" s="23" t="n"/>
      <c r="I637" s="23" t="n"/>
      <c r="J637" s="23" t="n"/>
      <c r="K637" s="45">
        <f>IF(A637="","",SUM(G$2:I637)-SUM(J$2:J637))</f>
        <v/>
      </c>
      <c r="L637" s="46" t="n"/>
      <c r="M637">
        <f>IF(A637="","",IF(A637=A636,M636,N(M636)+1))</f>
        <v/>
      </c>
      <c r="N637">
        <f>IF(E637="",99999,E637)</f>
        <v/>
      </c>
      <c r="O637">
        <f>IF(E637="",0,IF(F637="",E637,F637))</f>
        <v/>
      </c>
      <c r="P637">
        <f>IF(E637="",1,MAX(1,(YEAR(O637)-YEAR(N637))*12+MONTH(O637)-MONTH(N637)+1))</f>
        <v/>
      </c>
      <c r="Q637">
        <f>IF(G637="",0,G637/P637)</f>
        <v/>
      </c>
      <c r="R637">
        <f>IF(H637="",0,H637/P637)</f>
        <v/>
      </c>
    </row>
    <row r="638">
      <c r="A638" s="43" t="n"/>
      <c r="B638" s="28" t="n"/>
      <c r="C638" s="28" t="n"/>
      <c r="D638" s="28" t="n"/>
      <c r="E638" s="44" t="n"/>
      <c r="F638" s="44" t="n"/>
      <c r="G638" s="23" t="n"/>
      <c r="H638" s="23" t="n"/>
      <c r="I638" s="23" t="n"/>
      <c r="J638" s="23" t="n"/>
      <c r="K638" s="45">
        <f>IF(A638="","",SUM(G$2:I638)-SUM(J$2:J638))</f>
        <v/>
      </c>
      <c r="L638" s="46" t="n"/>
      <c r="M638">
        <f>IF(A638="","",IF(A638=A637,M637,N(M637)+1))</f>
        <v/>
      </c>
      <c r="N638">
        <f>IF(E638="",99999,E638)</f>
        <v/>
      </c>
      <c r="O638">
        <f>IF(E638="",0,IF(F638="",E638,F638))</f>
        <v/>
      </c>
      <c r="P638">
        <f>IF(E638="",1,MAX(1,(YEAR(O638)-YEAR(N638))*12+MONTH(O638)-MONTH(N638)+1))</f>
        <v/>
      </c>
      <c r="Q638">
        <f>IF(G638="",0,G638/P638)</f>
        <v/>
      </c>
      <c r="R638">
        <f>IF(H638="",0,H638/P638)</f>
        <v/>
      </c>
    </row>
    <row r="639">
      <c r="A639" s="43" t="n"/>
      <c r="B639" s="28" t="n"/>
      <c r="C639" s="28" t="n"/>
      <c r="D639" s="28" t="n"/>
      <c r="E639" s="44" t="n"/>
      <c r="F639" s="44" t="n"/>
      <c r="G639" s="23" t="n"/>
      <c r="H639" s="23" t="n"/>
      <c r="I639" s="23" t="n"/>
      <c r="J639" s="23" t="n"/>
      <c r="K639" s="45">
        <f>IF(A639="","",SUM(G$2:I639)-SUM(J$2:J639))</f>
        <v/>
      </c>
      <c r="L639" s="46" t="n"/>
      <c r="M639">
        <f>IF(A639="","",IF(A639=A638,M638,N(M638)+1))</f>
        <v/>
      </c>
      <c r="N639">
        <f>IF(E639="",99999,E639)</f>
        <v/>
      </c>
      <c r="O639">
        <f>IF(E639="",0,IF(F639="",E639,F639))</f>
        <v/>
      </c>
      <c r="P639">
        <f>IF(E639="",1,MAX(1,(YEAR(O639)-YEAR(N639))*12+MONTH(O639)-MONTH(N639)+1))</f>
        <v/>
      </c>
      <c r="Q639">
        <f>IF(G639="",0,G639/P639)</f>
        <v/>
      </c>
      <c r="R639">
        <f>IF(H639="",0,H639/P639)</f>
        <v/>
      </c>
    </row>
    <row r="640">
      <c r="A640" s="43" t="n"/>
      <c r="B640" s="28" t="n"/>
      <c r="C640" s="28" t="n"/>
      <c r="D640" s="28" t="n"/>
      <c r="E640" s="44" t="n"/>
      <c r="F640" s="44" t="n"/>
      <c r="G640" s="23" t="n"/>
      <c r="H640" s="23" t="n"/>
      <c r="I640" s="23" t="n"/>
      <c r="J640" s="23" t="n"/>
      <c r="K640" s="45">
        <f>IF(A640="","",SUM(G$2:I640)-SUM(J$2:J640))</f>
        <v/>
      </c>
      <c r="L640" s="46" t="n"/>
      <c r="M640">
        <f>IF(A640="","",IF(A640=A639,M639,N(M639)+1))</f>
        <v/>
      </c>
      <c r="N640">
        <f>IF(E640="",99999,E640)</f>
        <v/>
      </c>
      <c r="O640">
        <f>IF(E640="",0,IF(F640="",E640,F640))</f>
        <v/>
      </c>
      <c r="P640">
        <f>IF(E640="",1,MAX(1,(YEAR(O640)-YEAR(N640))*12+MONTH(O640)-MONTH(N640)+1))</f>
        <v/>
      </c>
      <c r="Q640">
        <f>IF(G640="",0,G640/P640)</f>
        <v/>
      </c>
      <c r="R640">
        <f>IF(H640="",0,H640/P640)</f>
        <v/>
      </c>
    </row>
    <row r="641">
      <c r="A641" s="43" t="n"/>
      <c r="B641" s="28" t="n"/>
      <c r="C641" s="28" t="n"/>
      <c r="D641" s="28" t="n"/>
      <c r="E641" s="44" t="n"/>
      <c r="F641" s="44" t="n"/>
      <c r="G641" s="23" t="n"/>
      <c r="H641" s="23" t="n"/>
      <c r="I641" s="23" t="n"/>
      <c r="J641" s="23" t="n"/>
      <c r="K641" s="45">
        <f>IF(A641="","",SUM(G$2:I641)-SUM(J$2:J641))</f>
        <v/>
      </c>
      <c r="L641" s="46" t="n"/>
      <c r="M641">
        <f>IF(A641="","",IF(A641=A640,M640,N(M640)+1))</f>
        <v/>
      </c>
      <c r="N641">
        <f>IF(E641="",99999,E641)</f>
        <v/>
      </c>
      <c r="O641">
        <f>IF(E641="",0,IF(F641="",E641,F641))</f>
        <v/>
      </c>
      <c r="P641">
        <f>IF(E641="",1,MAX(1,(YEAR(O641)-YEAR(N641))*12+MONTH(O641)-MONTH(N641)+1))</f>
        <v/>
      </c>
      <c r="Q641">
        <f>IF(G641="",0,G641/P641)</f>
        <v/>
      </c>
      <c r="R641">
        <f>IF(H641="",0,H641/P641)</f>
        <v/>
      </c>
    </row>
    <row r="642">
      <c r="A642" s="43" t="n"/>
      <c r="B642" s="28" t="n"/>
      <c r="C642" s="28" t="n"/>
      <c r="D642" s="28" t="n"/>
      <c r="E642" s="44" t="n"/>
      <c r="F642" s="44" t="n"/>
      <c r="G642" s="23" t="n"/>
      <c r="H642" s="23" t="n"/>
      <c r="I642" s="23" t="n"/>
      <c r="J642" s="23" t="n"/>
      <c r="K642" s="45">
        <f>IF(A642="","",SUM(G$2:I642)-SUM(J$2:J642))</f>
        <v/>
      </c>
      <c r="L642" s="46" t="n"/>
      <c r="M642">
        <f>IF(A642="","",IF(A642=A641,M641,N(M641)+1))</f>
        <v/>
      </c>
      <c r="N642">
        <f>IF(E642="",99999,E642)</f>
        <v/>
      </c>
      <c r="O642">
        <f>IF(E642="",0,IF(F642="",E642,F642))</f>
        <v/>
      </c>
      <c r="P642">
        <f>IF(E642="",1,MAX(1,(YEAR(O642)-YEAR(N642))*12+MONTH(O642)-MONTH(N642)+1))</f>
        <v/>
      </c>
      <c r="Q642">
        <f>IF(G642="",0,G642/P642)</f>
        <v/>
      </c>
      <c r="R642">
        <f>IF(H642="",0,H642/P642)</f>
        <v/>
      </c>
    </row>
    <row r="643">
      <c r="A643" s="43" t="n"/>
      <c r="B643" s="28" t="n"/>
      <c r="C643" s="28" t="n"/>
      <c r="D643" s="28" t="n"/>
      <c r="E643" s="44" t="n"/>
      <c r="F643" s="44" t="n"/>
      <c r="G643" s="23" t="n"/>
      <c r="H643" s="23" t="n"/>
      <c r="I643" s="23" t="n"/>
      <c r="J643" s="23" t="n"/>
      <c r="K643" s="45">
        <f>IF(A643="","",SUM(G$2:I643)-SUM(J$2:J643))</f>
        <v/>
      </c>
      <c r="L643" s="46" t="n"/>
      <c r="M643">
        <f>IF(A643="","",IF(A643=A642,M642,N(M642)+1))</f>
        <v/>
      </c>
      <c r="N643">
        <f>IF(E643="",99999,E643)</f>
        <v/>
      </c>
      <c r="O643">
        <f>IF(E643="",0,IF(F643="",E643,F643))</f>
        <v/>
      </c>
      <c r="P643">
        <f>IF(E643="",1,MAX(1,(YEAR(O643)-YEAR(N643))*12+MONTH(O643)-MONTH(N643)+1))</f>
        <v/>
      </c>
      <c r="Q643">
        <f>IF(G643="",0,G643/P643)</f>
        <v/>
      </c>
      <c r="R643">
        <f>IF(H643="",0,H643/P643)</f>
        <v/>
      </c>
    </row>
    <row r="644">
      <c r="A644" s="43" t="n"/>
      <c r="B644" s="28" t="n"/>
      <c r="C644" s="28" t="n"/>
      <c r="D644" s="28" t="n"/>
      <c r="E644" s="44" t="n"/>
      <c r="F644" s="44" t="n"/>
      <c r="G644" s="23" t="n"/>
      <c r="H644" s="23" t="n"/>
      <c r="I644" s="23" t="n"/>
      <c r="J644" s="23" t="n"/>
      <c r="K644" s="45">
        <f>IF(A644="","",SUM(G$2:I644)-SUM(J$2:J644))</f>
        <v/>
      </c>
      <c r="L644" s="46" t="n"/>
      <c r="M644">
        <f>IF(A644="","",IF(A644=A643,M643,N(M643)+1))</f>
        <v/>
      </c>
      <c r="N644">
        <f>IF(E644="",99999,E644)</f>
        <v/>
      </c>
      <c r="O644">
        <f>IF(E644="",0,IF(F644="",E644,F644))</f>
        <v/>
      </c>
      <c r="P644">
        <f>IF(E644="",1,MAX(1,(YEAR(O644)-YEAR(N644))*12+MONTH(O644)-MONTH(N644)+1))</f>
        <v/>
      </c>
      <c r="Q644">
        <f>IF(G644="",0,G644/P644)</f>
        <v/>
      </c>
      <c r="R644">
        <f>IF(H644="",0,H644/P644)</f>
        <v/>
      </c>
    </row>
    <row r="645">
      <c r="A645" s="43" t="n"/>
      <c r="B645" s="28" t="n"/>
      <c r="C645" s="28" t="n"/>
      <c r="D645" s="28" t="n"/>
      <c r="E645" s="44" t="n"/>
      <c r="F645" s="44" t="n"/>
      <c r="G645" s="23" t="n"/>
      <c r="H645" s="23" t="n"/>
      <c r="I645" s="23" t="n"/>
      <c r="J645" s="23" t="n"/>
      <c r="K645" s="45">
        <f>IF(A645="","",SUM(G$2:I645)-SUM(J$2:J645))</f>
        <v/>
      </c>
      <c r="L645" s="46" t="n"/>
      <c r="M645">
        <f>IF(A645="","",IF(A645=A644,M644,N(M644)+1))</f>
        <v/>
      </c>
      <c r="N645">
        <f>IF(E645="",99999,E645)</f>
        <v/>
      </c>
      <c r="O645">
        <f>IF(E645="",0,IF(F645="",E645,F645))</f>
        <v/>
      </c>
      <c r="P645">
        <f>IF(E645="",1,MAX(1,(YEAR(O645)-YEAR(N645))*12+MONTH(O645)-MONTH(N645)+1))</f>
        <v/>
      </c>
      <c r="Q645">
        <f>IF(G645="",0,G645/P645)</f>
        <v/>
      </c>
      <c r="R645">
        <f>IF(H645="",0,H645/P645)</f>
        <v/>
      </c>
    </row>
    <row r="646">
      <c r="A646" s="43" t="n"/>
      <c r="B646" s="28" t="n"/>
      <c r="C646" s="28" t="n"/>
      <c r="D646" s="28" t="n"/>
      <c r="E646" s="44" t="n"/>
      <c r="F646" s="44" t="n"/>
      <c r="G646" s="23" t="n"/>
      <c r="H646" s="23" t="n"/>
      <c r="I646" s="23" t="n"/>
      <c r="J646" s="23" t="n"/>
      <c r="K646" s="45">
        <f>IF(A646="","",SUM(G$2:I646)-SUM(J$2:J646))</f>
        <v/>
      </c>
      <c r="L646" s="46" t="n"/>
      <c r="M646">
        <f>IF(A646="","",IF(A646=A645,M645,N(M645)+1))</f>
        <v/>
      </c>
      <c r="N646">
        <f>IF(E646="",99999,E646)</f>
        <v/>
      </c>
      <c r="O646">
        <f>IF(E646="",0,IF(F646="",E646,F646))</f>
        <v/>
      </c>
      <c r="P646">
        <f>IF(E646="",1,MAX(1,(YEAR(O646)-YEAR(N646))*12+MONTH(O646)-MONTH(N646)+1))</f>
        <v/>
      </c>
      <c r="Q646">
        <f>IF(G646="",0,G646/P646)</f>
        <v/>
      </c>
      <c r="R646">
        <f>IF(H646="",0,H646/P646)</f>
        <v/>
      </c>
    </row>
    <row r="647">
      <c r="A647" s="43" t="n"/>
      <c r="B647" s="28" t="n"/>
      <c r="C647" s="28" t="n"/>
      <c r="D647" s="28" t="n"/>
      <c r="E647" s="44" t="n"/>
      <c r="F647" s="44" t="n"/>
      <c r="G647" s="23" t="n"/>
      <c r="H647" s="23" t="n"/>
      <c r="I647" s="23" t="n"/>
      <c r="J647" s="23" t="n"/>
      <c r="K647" s="45">
        <f>IF(A647="","",SUM(G$2:I647)-SUM(J$2:J647))</f>
        <v/>
      </c>
      <c r="L647" s="46" t="n"/>
      <c r="M647">
        <f>IF(A647="","",IF(A647=A646,M646,N(M646)+1))</f>
        <v/>
      </c>
      <c r="N647">
        <f>IF(E647="",99999,E647)</f>
        <v/>
      </c>
      <c r="O647">
        <f>IF(E647="",0,IF(F647="",E647,F647))</f>
        <v/>
      </c>
      <c r="P647">
        <f>IF(E647="",1,MAX(1,(YEAR(O647)-YEAR(N647))*12+MONTH(O647)-MONTH(N647)+1))</f>
        <v/>
      </c>
      <c r="Q647">
        <f>IF(G647="",0,G647/P647)</f>
        <v/>
      </c>
      <c r="R647">
        <f>IF(H647="",0,H647/P647)</f>
        <v/>
      </c>
    </row>
    <row r="648">
      <c r="A648" s="43" t="n"/>
      <c r="B648" s="28" t="n"/>
      <c r="C648" s="28" t="n"/>
      <c r="D648" s="28" t="n"/>
      <c r="E648" s="44" t="n"/>
      <c r="F648" s="44" t="n"/>
      <c r="G648" s="23" t="n"/>
      <c r="H648" s="23" t="n"/>
      <c r="I648" s="23" t="n"/>
      <c r="J648" s="23" t="n"/>
      <c r="K648" s="45">
        <f>IF(A648="","",SUM(G$2:I648)-SUM(J$2:J648))</f>
        <v/>
      </c>
      <c r="L648" s="46" t="n"/>
      <c r="M648">
        <f>IF(A648="","",IF(A648=A647,M647,N(M647)+1))</f>
        <v/>
      </c>
      <c r="N648">
        <f>IF(E648="",99999,E648)</f>
        <v/>
      </c>
      <c r="O648">
        <f>IF(E648="",0,IF(F648="",E648,F648))</f>
        <v/>
      </c>
      <c r="P648">
        <f>IF(E648="",1,MAX(1,(YEAR(O648)-YEAR(N648))*12+MONTH(O648)-MONTH(N648)+1))</f>
        <v/>
      </c>
      <c r="Q648">
        <f>IF(G648="",0,G648/P648)</f>
        <v/>
      </c>
      <c r="R648">
        <f>IF(H648="",0,H648/P648)</f>
        <v/>
      </c>
    </row>
    <row r="649">
      <c r="A649" s="43" t="n"/>
      <c r="B649" s="28" t="n"/>
      <c r="C649" s="28" t="n"/>
      <c r="D649" s="28" t="n"/>
      <c r="E649" s="44" t="n"/>
      <c r="F649" s="44" t="n"/>
      <c r="G649" s="23" t="n"/>
      <c r="H649" s="23" t="n"/>
      <c r="I649" s="23" t="n"/>
      <c r="J649" s="23" t="n"/>
      <c r="K649" s="45">
        <f>IF(A649="","",SUM(G$2:I649)-SUM(J$2:J649))</f>
        <v/>
      </c>
      <c r="L649" s="46" t="n"/>
      <c r="M649">
        <f>IF(A649="","",IF(A649=A648,M648,N(M648)+1))</f>
        <v/>
      </c>
      <c r="N649">
        <f>IF(E649="",99999,E649)</f>
        <v/>
      </c>
      <c r="O649">
        <f>IF(E649="",0,IF(F649="",E649,F649))</f>
        <v/>
      </c>
      <c r="P649">
        <f>IF(E649="",1,MAX(1,(YEAR(O649)-YEAR(N649))*12+MONTH(O649)-MONTH(N649)+1))</f>
        <v/>
      </c>
      <c r="Q649">
        <f>IF(G649="",0,G649/P649)</f>
        <v/>
      </c>
      <c r="R649">
        <f>IF(H649="",0,H649/P649)</f>
        <v/>
      </c>
    </row>
    <row r="650">
      <c r="A650" s="43" t="n"/>
      <c r="B650" s="28" t="n"/>
      <c r="C650" s="28" t="n"/>
      <c r="D650" s="28" t="n"/>
      <c r="E650" s="44" t="n"/>
      <c r="F650" s="44" t="n"/>
      <c r="G650" s="23" t="n"/>
      <c r="H650" s="23" t="n"/>
      <c r="I650" s="23" t="n"/>
      <c r="J650" s="23" t="n"/>
      <c r="K650" s="45">
        <f>IF(A650="","",SUM(G$2:I650)-SUM(J$2:J650))</f>
        <v/>
      </c>
      <c r="L650" s="46" t="n"/>
      <c r="M650">
        <f>IF(A650="","",IF(A650=A649,M649,N(M649)+1))</f>
        <v/>
      </c>
      <c r="N650">
        <f>IF(E650="",99999,E650)</f>
        <v/>
      </c>
      <c r="O650">
        <f>IF(E650="",0,IF(F650="",E650,F650))</f>
        <v/>
      </c>
      <c r="P650">
        <f>IF(E650="",1,MAX(1,(YEAR(O650)-YEAR(N650))*12+MONTH(O650)-MONTH(N650)+1))</f>
        <v/>
      </c>
      <c r="Q650">
        <f>IF(G650="",0,G650/P650)</f>
        <v/>
      </c>
      <c r="R650">
        <f>IF(H650="",0,H650/P650)</f>
        <v/>
      </c>
    </row>
    <row r="651">
      <c r="A651" s="43" t="n"/>
      <c r="B651" s="28" t="n"/>
      <c r="C651" s="28" t="n"/>
      <c r="D651" s="28" t="n"/>
      <c r="E651" s="44" t="n"/>
      <c r="F651" s="44" t="n"/>
      <c r="G651" s="23" t="n"/>
      <c r="H651" s="23" t="n"/>
      <c r="I651" s="23" t="n"/>
      <c r="J651" s="23" t="n"/>
      <c r="K651" s="45">
        <f>IF(A651="","",SUM(G$2:I651)-SUM(J$2:J651))</f>
        <v/>
      </c>
      <c r="L651" s="46" t="n"/>
      <c r="M651">
        <f>IF(A651="","",IF(A651=A650,M650,N(M650)+1))</f>
        <v/>
      </c>
      <c r="N651">
        <f>IF(E651="",99999,E651)</f>
        <v/>
      </c>
      <c r="O651">
        <f>IF(E651="",0,IF(F651="",E651,F651))</f>
        <v/>
      </c>
      <c r="P651">
        <f>IF(E651="",1,MAX(1,(YEAR(O651)-YEAR(N651))*12+MONTH(O651)-MONTH(N651)+1))</f>
        <v/>
      </c>
      <c r="Q651">
        <f>IF(G651="",0,G651/P651)</f>
        <v/>
      </c>
      <c r="R651">
        <f>IF(H651="",0,H651/P651)</f>
        <v/>
      </c>
    </row>
    <row r="652">
      <c r="A652" s="43" t="n"/>
      <c r="B652" s="28" t="n"/>
      <c r="C652" s="28" t="n"/>
      <c r="D652" s="28" t="n"/>
      <c r="E652" s="44" t="n"/>
      <c r="F652" s="44" t="n"/>
      <c r="G652" s="23" t="n"/>
      <c r="H652" s="23" t="n"/>
      <c r="I652" s="23" t="n"/>
      <c r="J652" s="23" t="n"/>
      <c r="K652" s="45">
        <f>IF(A652="","",SUM(G$2:I652)-SUM(J$2:J652))</f>
        <v/>
      </c>
      <c r="L652" s="46" t="n"/>
      <c r="M652">
        <f>IF(A652="","",IF(A652=A651,M651,N(M651)+1))</f>
        <v/>
      </c>
      <c r="N652">
        <f>IF(E652="",99999,E652)</f>
        <v/>
      </c>
      <c r="O652">
        <f>IF(E652="",0,IF(F652="",E652,F652))</f>
        <v/>
      </c>
      <c r="P652">
        <f>IF(E652="",1,MAX(1,(YEAR(O652)-YEAR(N652))*12+MONTH(O652)-MONTH(N652)+1))</f>
        <v/>
      </c>
      <c r="Q652">
        <f>IF(G652="",0,G652/P652)</f>
        <v/>
      </c>
      <c r="R652">
        <f>IF(H652="",0,H652/P652)</f>
        <v/>
      </c>
    </row>
    <row r="653">
      <c r="A653" s="43" t="n"/>
      <c r="B653" s="28" t="n"/>
      <c r="C653" s="28" t="n"/>
      <c r="D653" s="28" t="n"/>
      <c r="E653" s="44" t="n"/>
      <c r="F653" s="44" t="n"/>
      <c r="G653" s="23" t="n"/>
      <c r="H653" s="23" t="n"/>
      <c r="I653" s="23" t="n"/>
      <c r="J653" s="23" t="n"/>
      <c r="K653" s="45">
        <f>IF(A653="","",SUM(G$2:I653)-SUM(J$2:J653))</f>
        <v/>
      </c>
      <c r="L653" s="46" t="n"/>
      <c r="M653">
        <f>IF(A653="","",IF(A653=A652,M652,N(M652)+1))</f>
        <v/>
      </c>
      <c r="N653">
        <f>IF(E653="",99999,E653)</f>
        <v/>
      </c>
      <c r="O653">
        <f>IF(E653="",0,IF(F653="",E653,F653))</f>
        <v/>
      </c>
      <c r="P653">
        <f>IF(E653="",1,MAX(1,(YEAR(O653)-YEAR(N653))*12+MONTH(O653)-MONTH(N653)+1))</f>
        <v/>
      </c>
      <c r="Q653">
        <f>IF(G653="",0,G653/P653)</f>
        <v/>
      </c>
      <c r="R653">
        <f>IF(H653="",0,H653/P653)</f>
        <v/>
      </c>
    </row>
    <row r="654">
      <c r="A654" s="43" t="n"/>
      <c r="B654" s="28" t="n"/>
      <c r="C654" s="28" t="n"/>
      <c r="D654" s="28" t="n"/>
      <c r="E654" s="44" t="n"/>
      <c r="F654" s="44" t="n"/>
      <c r="G654" s="23" t="n"/>
      <c r="H654" s="23" t="n"/>
      <c r="I654" s="23" t="n"/>
      <c r="J654" s="23" t="n"/>
      <c r="K654" s="45">
        <f>IF(A654="","",SUM(G$2:I654)-SUM(J$2:J654))</f>
        <v/>
      </c>
      <c r="L654" s="46" t="n"/>
      <c r="M654">
        <f>IF(A654="","",IF(A654=A653,M653,N(M653)+1))</f>
        <v/>
      </c>
      <c r="N654">
        <f>IF(E654="",99999,E654)</f>
        <v/>
      </c>
      <c r="O654">
        <f>IF(E654="",0,IF(F654="",E654,F654))</f>
        <v/>
      </c>
      <c r="P654">
        <f>IF(E654="",1,MAX(1,(YEAR(O654)-YEAR(N654))*12+MONTH(O654)-MONTH(N654)+1))</f>
        <v/>
      </c>
      <c r="Q654">
        <f>IF(G654="",0,G654/P654)</f>
        <v/>
      </c>
      <c r="R654">
        <f>IF(H654="",0,H654/P654)</f>
        <v/>
      </c>
    </row>
    <row r="655">
      <c r="A655" s="43" t="n"/>
      <c r="B655" s="28" t="n"/>
      <c r="C655" s="28" t="n"/>
      <c r="D655" s="28" t="n"/>
      <c r="E655" s="44" t="n"/>
      <c r="F655" s="44" t="n"/>
      <c r="G655" s="23" t="n"/>
      <c r="H655" s="23" t="n"/>
      <c r="I655" s="23" t="n"/>
      <c r="J655" s="23" t="n"/>
      <c r="K655" s="45">
        <f>IF(A655="","",SUM(G$2:I655)-SUM(J$2:J655))</f>
        <v/>
      </c>
      <c r="L655" s="46" t="n"/>
      <c r="M655">
        <f>IF(A655="","",IF(A655=A654,M654,N(M654)+1))</f>
        <v/>
      </c>
      <c r="N655">
        <f>IF(E655="",99999,E655)</f>
        <v/>
      </c>
      <c r="O655">
        <f>IF(E655="",0,IF(F655="",E655,F655))</f>
        <v/>
      </c>
      <c r="P655">
        <f>IF(E655="",1,MAX(1,(YEAR(O655)-YEAR(N655))*12+MONTH(O655)-MONTH(N655)+1))</f>
        <v/>
      </c>
      <c r="Q655">
        <f>IF(G655="",0,G655/P655)</f>
        <v/>
      </c>
      <c r="R655">
        <f>IF(H655="",0,H655/P655)</f>
        <v/>
      </c>
    </row>
    <row r="656">
      <c r="A656" s="43" t="n"/>
      <c r="B656" s="28" t="n"/>
      <c r="C656" s="28" t="n"/>
      <c r="D656" s="28" t="n"/>
      <c r="E656" s="44" t="n"/>
      <c r="F656" s="44" t="n"/>
      <c r="G656" s="23" t="n"/>
      <c r="H656" s="23" t="n"/>
      <c r="I656" s="23" t="n"/>
      <c r="J656" s="23" t="n"/>
      <c r="K656" s="45">
        <f>IF(A656="","",SUM(G$2:I656)-SUM(J$2:J656))</f>
        <v/>
      </c>
      <c r="L656" s="46" t="n"/>
      <c r="M656">
        <f>IF(A656="","",IF(A656=A655,M655,N(M655)+1))</f>
        <v/>
      </c>
      <c r="N656">
        <f>IF(E656="",99999,E656)</f>
        <v/>
      </c>
      <c r="O656">
        <f>IF(E656="",0,IF(F656="",E656,F656))</f>
        <v/>
      </c>
      <c r="P656">
        <f>IF(E656="",1,MAX(1,(YEAR(O656)-YEAR(N656))*12+MONTH(O656)-MONTH(N656)+1))</f>
        <v/>
      </c>
      <c r="Q656">
        <f>IF(G656="",0,G656/P656)</f>
        <v/>
      </c>
      <c r="R656">
        <f>IF(H656="",0,H656/P656)</f>
        <v/>
      </c>
    </row>
    <row r="657">
      <c r="A657" s="43" t="n"/>
      <c r="B657" s="28" t="n"/>
      <c r="C657" s="28" t="n"/>
      <c r="D657" s="28" t="n"/>
      <c r="E657" s="44" t="n"/>
      <c r="F657" s="44" t="n"/>
      <c r="G657" s="23" t="n"/>
      <c r="H657" s="23" t="n"/>
      <c r="I657" s="23" t="n"/>
      <c r="J657" s="23" t="n"/>
      <c r="K657" s="45">
        <f>IF(A657="","",SUM(G$2:I657)-SUM(J$2:J657))</f>
        <v/>
      </c>
      <c r="L657" s="46" t="n"/>
      <c r="M657">
        <f>IF(A657="","",IF(A657=A656,M656,N(M656)+1))</f>
        <v/>
      </c>
      <c r="N657">
        <f>IF(E657="",99999,E657)</f>
        <v/>
      </c>
      <c r="O657">
        <f>IF(E657="",0,IF(F657="",E657,F657))</f>
        <v/>
      </c>
      <c r="P657">
        <f>IF(E657="",1,MAX(1,(YEAR(O657)-YEAR(N657))*12+MONTH(O657)-MONTH(N657)+1))</f>
        <v/>
      </c>
      <c r="Q657">
        <f>IF(G657="",0,G657/P657)</f>
        <v/>
      </c>
      <c r="R657">
        <f>IF(H657="",0,H657/P657)</f>
        <v/>
      </c>
    </row>
    <row r="658">
      <c r="A658" s="43" t="n"/>
      <c r="B658" s="28" t="n"/>
      <c r="C658" s="28" t="n"/>
      <c r="D658" s="28" t="n"/>
      <c r="E658" s="44" t="n"/>
      <c r="F658" s="44" t="n"/>
      <c r="G658" s="23" t="n"/>
      <c r="H658" s="23" t="n"/>
      <c r="I658" s="23" t="n"/>
      <c r="J658" s="23" t="n"/>
      <c r="K658" s="45">
        <f>IF(A658="","",SUM(G$2:I658)-SUM(J$2:J658))</f>
        <v/>
      </c>
      <c r="L658" s="46" t="n"/>
      <c r="M658">
        <f>IF(A658="","",IF(A658=A657,M657,N(M657)+1))</f>
        <v/>
      </c>
      <c r="N658">
        <f>IF(E658="",99999,E658)</f>
        <v/>
      </c>
      <c r="O658">
        <f>IF(E658="",0,IF(F658="",E658,F658))</f>
        <v/>
      </c>
      <c r="P658">
        <f>IF(E658="",1,MAX(1,(YEAR(O658)-YEAR(N658))*12+MONTH(O658)-MONTH(N658)+1))</f>
        <v/>
      </c>
      <c r="Q658">
        <f>IF(G658="",0,G658/P658)</f>
        <v/>
      </c>
      <c r="R658">
        <f>IF(H658="",0,H658/P658)</f>
        <v/>
      </c>
    </row>
    <row r="659">
      <c r="A659" s="43" t="n"/>
      <c r="B659" s="28" t="n"/>
      <c r="C659" s="28" t="n"/>
      <c r="D659" s="28" t="n"/>
      <c r="E659" s="44" t="n"/>
      <c r="F659" s="44" t="n"/>
      <c r="G659" s="23" t="n"/>
      <c r="H659" s="23" t="n"/>
      <c r="I659" s="23" t="n"/>
      <c r="J659" s="23" t="n"/>
      <c r="K659" s="45">
        <f>IF(A659="","",SUM(G$2:I659)-SUM(J$2:J659))</f>
        <v/>
      </c>
      <c r="L659" s="46" t="n"/>
      <c r="M659">
        <f>IF(A659="","",IF(A659=A658,M658,N(M658)+1))</f>
        <v/>
      </c>
      <c r="N659">
        <f>IF(E659="",99999,E659)</f>
        <v/>
      </c>
      <c r="O659">
        <f>IF(E659="",0,IF(F659="",E659,F659))</f>
        <v/>
      </c>
      <c r="P659">
        <f>IF(E659="",1,MAX(1,(YEAR(O659)-YEAR(N659))*12+MONTH(O659)-MONTH(N659)+1))</f>
        <v/>
      </c>
      <c r="Q659">
        <f>IF(G659="",0,G659/P659)</f>
        <v/>
      </c>
      <c r="R659">
        <f>IF(H659="",0,H659/P659)</f>
        <v/>
      </c>
    </row>
    <row r="660">
      <c r="A660" s="43" t="n"/>
      <c r="B660" s="28" t="n"/>
      <c r="C660" s="28" t="n"/>
      <c r="D660" s="28" t="n"/>
      <c r="E660" s="44" t="n"/>
      <c r="F660" s="44" t="n"/>
      <c r="G660" s="23" t="n"/>
      <c r="H660" s="23" t="n"/>
      <c r="I660" s="23" t="n"/>
      <c r="J660" s="23" t="n"/>
      <c r="K660" s="45">
        <f>IF(A660="","",SUM(G$2:I660)-SUM(J$2:J660))</f>
        <v/>
      </c>
      <c r="L660" s="46" t="n"/>
      <c r="M660">
        <f>IF(A660="","",IF(A660=A659,M659,N(M659)+1))</f>
        <v/>
      </c>
      <c r="N660">
        <f>IF(E660="",99999,E660)</f>
        <v/>
      </c>
      <c r="O660">
        <f>IF(E660="",0,IF(F660="",E660,F660))</f>
        <v/>
      </c>
      <c r="P660">
        <f>IF(E660="",1,MAX(1,(YEAR(O660)-YEAR(N660))*12+MONTH(O660)-MONTH(N660)+1))</f>
        <v/>
      </c>
      <c r="Q660">
        <f>IF(G660="",0,G660/P660)</f>
        <v/>
      </c>
      <c r="R660">
        <f>IF(H660="",0,H660/P660)</f>
        <v/>
      </c>
    </row>
    <row r="661">
      <c r="A661" s="43" t="n"/>
      <c r="B661" s="28" t="n"/>
      <c r="C661" s="28" t="n"/>
      <c r="D661" s="28" t="n"/>
      <c r="E661" s="44" t="n"/>
      <c r="F661" s="44" t="n"/>
      <c r="G661" s="23" t="n"/>
      <c r="H661" s="23" t="n"/>
      <c r="I661" s="23" t="n"/>
      <c r="J661" s="23" t="n"/>
      <c r="K661" s="45">
        <f>IF(A661="","",SUM(G$2:I661)-SUM(J$2:J661))</f>
        <v/>
      </c>
      <c r="L661" s="46" t="n"/>
      <c r="M661">
        <f>IF(A661="","",IF(A661=A660,M660,N(M660)+1))</f>
        <v/>
      </c>
      <c r="N661">
        <f>IF(E661="",99999,E661)</f>
        <v/>
      </c>
      <c r="O661">
        <f>IF(E661="",0,IF(F661="",E661,F661))</f>
        <v/>
      </c>
      <c r="P661">
        <f>IF(E661="",1,MAX(1,(YEAR(O661)-YEAR(N661))*12+MONTH(O661)-MONTH(N661)+1))</f>
        <v/>
      </c>
      <c r="Q661">
        <f>IF(G661="",0,G661/P661)</f>
        <v/>
      </c>
      <c r="R661">
        <f>IF(H661="",0,H661/P661)</f>
        <v/>
      </c>
    </row>
    <row r="662">
      <c r="A662" s="43" t="n"/>
      <c r="B662" s="28" t="n"/>
      <c r="C662" s="28" t="n"/>
      <c r="D662" s="28" t="n"/>
      <c r="E662" s="44" t="n"/>
      <c r="F662" s="44" t="n"/>
      <c r="G662" s="23" t="n"/>
      <c r="H662" s="23" t="n"/>
      <c r="I662" s="23" t="n"/>
      <c r="J662" s="23" t="n"/>
      <c r="K662" s="45">
        <f>IF(A662="","",SUM(G$2:I662)-SUM(J$2:J662))</f>
        <v/>
      </c>
      <c r="L662" s="46" t="n"/>
      <c r="M662">
        <f>IF(A662="","",IF(A662=A661,M661,N(M661)+1))</f>
        <v/>
      </c>
      <c r="N662">
        <f>IF(E662="",99999,E662)</f>
        <v/>
      </c>
      <c r="O662">
        <f>IF(E662="",0,IF(F662="",E662,F662))</f>
        <v/>
      </c>
      <c r="P662">
        <f>IF(E662="",1,MAX(1,(YEAR(O662)-YEAR(N662))*12+MONTH(O662)-MONTH(N662)+1))</f>
        <v/>
      </c>
      <c r="Q662">
        <f>IF(G662="",0,G662/P662)</f>
        <v/>
      </c>
      <c r="R662">
        <f>IF(H662="",0,H662/P662)</f>
        <v/>
      </c>
    </row>
    <row r="663">
      <c r="A663" s="43" t="n"/>
      <c r="B663" s="28" t="n"/>
      <c r="C663" s="28" t="n"/>
      <c r="D663" s="28" t="n"/>
      <c r="E663" s="44" t="n"/>
      <c r="F663" s="44" t="n"/>
      <c r="G663" s="23" t="n"/>
      <c r="H663" s="23" t="n"/>
      <c r="I663" s="23" t="n"/>
      <c r="J663" s="23" t="n"/>
      <c r="K663" s="45">
        <f>IF(A663="","",SUM(G$2:I663)-SUM(J$2:J663))</f>
        <v/>
      </c>
      <c r="L663" s="46" t="n"/>
      <c r="M663">
        <f>IF(A663="","",IF(A663=A662,M662,N(M662)+1))</f>
        <v/>
      </c>
      <c r="N663">
        <f>IF(E663="",99999,E663)</f>
        <v/>
      </c>
      <c r="O663">
        <f>IF(E663="",0,IF(F663="",E663,F663))</f>
        <v/>
      </c>
      <c r="P663">
        <f>IF(E663="",1,MAX(1,(YEAR(O663)-YEAR(N663))*12+MONTH(O663)-MONTH(N663)+1))</f>
        <v/>
      </c>
      <c r="Q663">
        <f>IF(G663="",0,G663/P663)</f>
        <v/>
      </c>
      <c r="R663">
        <f>IF(H663="",0,H663/P663)</f>
        <v/>
      </c>
    </row>
    <row r="664">
      <c r="A664" s="43" t="n"/>
      <c r="B664" s="28" t="n"/>
      <c r="C664" s="28" t="n"/>
      <c r="D664" s="28" t="n"/>
      <c r="E664" s="44" t="n"/>
      <c r="F664" s="44" t="n"/>
      <c r="G664" s="23" t="n"/>
      <c r="H664" s="23" t="n"/>
      <c r="I664" s="23" t="n"/>
      <c r="J664" s="23" t="n"/>
      <c r="K664" s="45">
        <f>IF(A664="","",SUM(G$2:I664)-SUM(J$2:J664))</f>
        <v/>
      </c>
      <c r="L664" s="46" t="n"/>
      <c r="M664">
        <f>IF(A664="","",IF(A664=A663,M663,N(M663)+1))</f>
        <v/>
      </c>
      <c r="N664">
        <f>IF(E664="",99999,E664)</f>
        <v/>
      </c>
      <c r="O664">
        <f>IF(E664="",0,IF(F664="",E664,F664))</f>
        <v/>
      </c>
      <c r="P664">
        <f>IF(E664="",1,MAX(1,(YEAR(O664)-YEAR(N664))*12+MONTH(O664)-MONTH(N664)+1))</f>
        <v/>
      </c>
      <c r="Q664">
        <f>IF(G664="",0,G664/P664)</f>
        <v/>
      </c>
      <c r="R664">
        <f>IF(H664="",0,H664/P664)</f>
        <v/>
      </c>
    </row>
    <row r="665">
      <c r="A665" s="43" t="n"/>
      <c r="B665" s="28" t="n"/>
      <c r="C665" s="28" t="n"/>
      <c r="D665" s="28" t="n"/>
      <c r="E665" s="44" t="n"/>
      <c r="F665" s="44" t="n"/>
      <c r="G665" s="23" t="n"/>
      <c r="H665" s="23" t="n"/>
      <c r="I665" s="23" t="n"/>
      <c r="J665" s="23" t="n"/>
      <c r="K665" s="45">
        <f>IF(A665="","",SUM(G$2:I665)-SUM(J$2:J665))</f>
        <v/>
      </c>
      <c r="L665" s="46" t="n"/>
      <c r="M665">
        <f>IF(A665="","",IF(A665=A664,M664,N(M664)+1))</f>
        <v/>
      </c>
      <c r="N665">
        <f>IF(E665="",99999,E665)</f>
        <v/>
      </c>
      <c r="O665">
        <f>IF(E665="",0,IF(F665="",E665,F665))</f>
        <v/>
      </c>
      <c r="P665">
        <f>IF(E665="",1,MAX(1,(YEAR(O665)-YEAR(N665))*12+MONTH(O665)-MONTH(N665)+1))</f>
        <v/>
      </c>
      <c r="Q665">
        <f>IF(G665="",0,G665/P665)</f>
        <v/>
      </c>
      <c r="R665">
        <f>IF(H665="",0,H665/P665)</f>
        <v/>
      </c>
    </row>
    <row r="666">
      <c r="A666" s="43" t="n"/>
      <c r="B666" s="28" t="n"/>
      <c r="C666" s="28" t="n"/>
      <c r="D666" s="28" t="n"/>
      <c r="E666" s="44" t="n"/>
      <c r="F666" s="44" t="n"/>
      <c r="G666" s="23" t="n"/>
      <c r="H666" s="23" t="n"/>
      <c r="I666" s="23" t="n"/>
      <c r="J666" s="23" t="n"/>
      <c r="K666" s="45">
        <f>IF(A666="","",SUM(G$2:I666)-SUM(J$2:J666))</f>
        <v/>
      </c>
      <c r="L666" s="46" t="n"/>
      <c r="M666">
        <f>IF(A666="","",IF(A666=A665,M665,N(M665)+1))</f>
        <v/>
      </c>
      <c r="N666">
        <f>IF(E666="",99999,E666)</f>
        <v/>
      </c>
      <c r="O666">
        <f>IF(E666="",0,IF(F666="",E666,F666))</f>
        <v/>
      </c>
      <c r="P666">
        <f>IF(E666="",1,MAX(1,(YEAR(O666)-YEAR(N666))*12+MONTH(O666)-MONTH(N666)+1))</f>
        <v/>
      </c>
      <c r="Q666">
        <f>IF(G666="",0,G666/P666)</f>
        <v/>
      </c>
      <c r="R666">
        <f>IF(H666="",0,H666/P666)</f>
        <v/>
      </c>
    </row>
    <row r="667">
      <c r="A667" s="43" t="n"/>
      <c r="B667" s="28" t="n"/>
      <c r="C667" s="28" t="n"/>
      <c r="D667" s="28" t="n"/>
      <c r="E667" s="44" t="n"/>
      <c r="F667" s="44" t="n"/>
      <c r="G667" s="23" t="n"/>
      <c r="H667" s="23" t="n"/>
      <c r="I667" s="23" t="n"/>
      <c r="J667" s="23" t="n"/>
      <c r="K667" s="45">
        <f>IF(A667="","",SUM(G$2:I667)-SUM(J$2:J667))</f>
        <v/>
      </c>
      <c r="L667" s="46" t="n"/>
      <c r="M667">
        <f>IF(A667="","",IF(A667=A666,M666,N(M666)+1))</f>
        <v/>
      </c>
      <c r="N667">
        <f>IF(E667="",99999,E667)</f>
        <v/>
      </c>
      <c r="O667">
        <f>IF(E667="",0,IF(F667="",E667,F667))</f>
        <v/>
      </c>
      <c r="P667">
        <f>IF(E667="",1,MAX(1,(YEAR(O667)-YEAR(N667))*12+MONTH(O667)-MONTH(N667)+1))</f>
        <v/>
      </c>
      <c r="Q667">
        <f>IF(G667="",0,G667/P667)</f>
        <v/>
      </c>
      <c r="R667">
        <f>IF(H667="",0,H667/P667)</f>
        <v/>
      </c>
    </row>
    <row r="668">
      <c r="A668" s="43" t="n"/>
      <c r="B668" s="28" t="n"/>
      <c r="C668" s="28" t="n"/>
      <c r="D668" s="28" t="n"/>
      <c r="E668" s="44" t="n"/>
      <c r="F668" s="44" t="n"/>
      <c r="G668" s="23" t="n"/>
      <c r="H668" s="23" t="n"/>
      <c r="I668" s="23" t="n"/>
      <c r="J668" s="23" t="n"/>
      <c r="K668" s="45">
        <f>IF(A668="","",SUM(G$2:I668)-SUM(J$2:J668))</f>
        <v/>
      </c>
      <c r="L668" s="46" t="n"/>
      <c r="M668">
        <f>IF(A668="","",IF(A668=A667,M667,N(M667)+1))</f>
        <v/>
      </c>
      <c r="N668">
        <f>IF(E668="",99999,E668)</f>
        <v/>
      </c>
      <c r="O668">
        <f>IF(E668="",0,IF(F668="",E668,F668))</f>
        <v/>
      </c>
      <c r="P668">
        <f>IF(E668="",1,MAX(1,(YEAR(O668)-YEAR(N668))*12+MONTH(O668)-MONTH(N668)+1))</f>
        <v/>
      </c>
      <c r="Q668">
        <f>IF(G668="",0,G668/P668)</f>
        <v/>
      </c>
      <c r="R668">
        <f>IF(H668="",0,H668/P668)</f>
        <v/>
      </c>
    </row>
    <row r="669">
      <c r="A669" s="43" t="n"/>
      <c r="B669" s="28" t="n"/>
      <c r="C669" s="28" t="n"/>
      <c r="D669" s="28" t="n"/>
      <c r="E669" s="44" t="n"/>
      <c r="F669" s="44" t="n"/>
      <c r="G669" s="23" t="n"/>
      <c r="H669" s="23" t="n"/>
      <c r="I669" s="23" t="n"/>
      <c r="J669" s="23" t="n"/>
      <c r="K669" s="45">
        <f>IF(A669="","",SUM(G$2:I669)-SUM(J$2:J669))</f>
        <v/>
      </c>
      <c r="L669" s="46" t="n"/>
      <c r="M669">
        <f>IF(A669="","",IF(A669=A668,M668,N(M668)+1))</f>
        <v/>
      </c>
      <c r="N669">
        <f>IF(E669="",99999,E669)</f>
        <v/>
      </c>
      <c r="O669">
        <f>IF(E669="",0,IF(F669="",E669,F669))</f>
        <v/>
      </c>
      <c r="P669">
        <f>IF(E669="",1,MAX(1,(YEAR(O669)-YEAR(N669))*12+MONTH(O669)-MONTH(N669)+1))</f>
        <v/>
      </c>
      <c r="Q669">
        <f>IF(G669="",0,G669/P669)</f>
        <v/>
      </c>
      <c r="R669">
        <f>IF(H669="",0,H669/P669)</f>
        <v/>
      </c>
    </row>
    <row r="670">
      <c r="A670" s="43" t="n"/>
      <c r="B670" s="28" t="n"/>
      <c r="C670" s="28" t="n"/>
      <c r="D670" s="28" t="n"/>
      <c r="E670" s="44" t="n"/>
      <c r="F670" s="44" t="n"/>
      <c r="G670" s="23" t="n"/>
      <c r="H670" s="23" t="n"/>
      <c r="I670" s="23" t="n"/>
      <c r="J670" s="23" t="n"/>
      <c r="K670" s="45">
        <f>IF(A670="","",SUM(G$2:I670)-SUM(J$2:J670))</f>
        <v/>
      </c>
      <c r="L670" s="46" t="n"/>
      <c r="M670">
        <f>IF(A670="","",IF(A670=A669,M669,N(M669)+1))</f>
        <v/>
      </c>
      <c r="N670">
        <f>IF(E670="",99999,E670)</f>
        <v/>
      </c>
      <c r="O670">
        <f>IF(E670="",0,IF(F670="",E670,F670))</f>
        <v/>
      </c>
      <c r="P670">
        <f>IF(E670="",1,MAX(1,(YEAR(O670)-YEAR(N670))*12+MONTH(O670)-MONTH(N670)+1))</f>
        <v/>
      </c>
      <c r="Q670">
        <f>IF(G670="",0,G670/P670)</f>
        <v/>
      </c>
      <c r="R670">
        <f>IF(H670="",0,H670/P670)</f>
        <v/>
      </c>
    </row>
    <row r="671">
      <c r="A671" s="43" t="n"/>
      <c r="B671" s="28" t="n"/>
      <c r="C671" s="28" t="n"/>
      <c r="D671" s="28" t="n"/>
      <c r="E671" s="44" t="n"/>
      <c r="F671" s="44" t="n"/>
      <c r="G671" s="23" t="n"/>
      <c r="H671" s="23" t="n"/>
      <c r="I671" s="23" t="n"/>
      <c r="J671" s="23" t="n"/>
      <c r="K671" s="45">
        <f>IF(A671="","",SUM(G$2:I671)-SUM(J$2:J671))</f>
        <v/>
      </c>
      <c r="L671" s="46" t="n"/>
      <c r="M671">
        <f>IF(A671="","",IF(A671=A670,M670,N(M670)+1))</f>
        <v/>
      </c>
      <c r="N671">
        <f>IF(E671="",99999,E671)</f>
        <v/>
      </c>
      <c r="O671">
        <f>IF(E671="",0,IF(F671="",E671,F671))</f>
        <v/>
      </c>
      <c r="P671">
        <f>IF(E671="",1,MAX(1,(YEAR(O671)-YEAR(N671))*12+MONTH(O671)-MONTH(N671)+1))</f>
        <v/>
      </c>
      <c r="Q671">
        <f>IF(G671="",0,G671/P671)</f>
        <v/>
      </c>
      <c r="R671">
        <f>IF(H671="",0,H671/P671)</f>
        <v/>
      </c>
    </row>
    <row r="672">
      <c r="A672" s="43" t="n"/>
      <c r="B672" s="28" t="n"/>
      <c r="C672" s="28" t="n"/>
      <c r="D672" s="28" t="n"/>
      <c r="E672" s="44" t="n"/>
      <c r="F672" s="44" t="n"/>
      <c r="G672" s="23" t="n"/>
      <c r="H672" s="23" t="n"/>
      <c r="I672" s="23" t="n"/>
      <c r="J672" s="23" t="n"/>
      <c r="K672" s="45">
        <f>IF(A672="","",SUM(G$2:I672)-SUM(J$2:J672))</f>
        <v/>
      </c>
      <c r="L672" s="46" t="n"/>
      <c r="M672">
        <f>IF(A672="","",IF(A672=A671,M671,N(M671)+1))</f>
        <v/>
      </c>
      <c r="N672">
        <f>IF(E672="",99999,E672)</f>
        <v/>
      </c>
      <c r="O672">
        <f>IF(E672="",0,IF(F672="",E672,F672))</f>
        <v/>
      </c>
      <c r="P672">
        <f>IF(E672="",1,MAX(1,(YEAR(O672)-YEAR(N672))*12+MONTH(O672)-MONTH(N672)+1))</f>
        <v/>
      </c>
      <c r="Q672">
        <f>IF(G672="",0,G672/P672)</f>
        <v/>
      </c>
      <c r="R672">
        <f>IF(H672="",0,H672/P672)</f>
        <v/>
      </c>
    </row>
    <row r="673">
      <c r="A673" s="43" t="n"/>
      <c r="B673" s="28" t="n"/>
      <c r="C673" s="28" t="n"/>
      <c r="D673" s="28" t="n"/>
      <c r="E673" s="44" t="n"/>
      <c r="F673" s="44" t="n"/>
      <c r="G673" s="23" t="n"/>
      <c r="H673" s="23" t="n"/>
      <c r="I673" s="23" t="n"/>
      <c r="J673" s="23" t="n"/>
      <c r="K673" s="45">
        <f>IF(A673="","",SUM(G$2:I673)-SUM(J$2:J673))</f>
        <v/>
      </c>
      <c r="L673" s="46" t="n"/>
      <c r="M673">
        <f>IF(A673="","",IF(A673=A672,M672,N(M672)+1))</f>
        <v/>
      </c>
      <c r="N673">
        <f>IF(E673="",99999,E673)</f>
        <v/>
      </c>
      <c r="O673">
        <f>IF(E673="",0,IF(F673="",E673,F673))</f>
        <v/>
      </c>
      <c r="P673">
        <f>IF(E673="",1,MAX(1,(YEAR(O673)-YEAR(N673))*12+MONTH(O673)-MONTH(N673)+1))</f>
        <v/>
      </c>
      <c r="Q673">
        <f>IF(G673="",0,G673/P673)</f>
        <v/>
      </c>
      <c r="R673">
        <f>IF(H673="",0,H673/P673)</f>
        <v/>
      </c>
    </row>
    <row r="674">
      <c r="A674" s="43" t="n"/>
      <c r="B674" s="28" t="n"/>
      <c r="C674" s="28" t="n"/>
      <c r="D674" s="28" t="n"/>
      <c r="E674" s="44" t="n"/>
      <c r="F674" s="44" t="n"/>
      <c r="G674" s="23" t="n"/>
      <c r="H674" s="23" t="n"/>
      <c r="I674" s="23" t="n"/>
      <c r="J674" s="23" t="n"/>
      <c r="K674" s="45">
        <f>IF(A674="","",SUM(G$2:I674)-SUM(J$2:J674))</f>
        <v/>
      </c>
      <c r="L674" s="46" t="n"/>
      <c r="M674">
        <f>IF(A674="","",IF(A674=A673,M673,N(M673)+1))</f>
        <v/>
      </c>
      <c r="N674">
        <f>IF(E674="",99999,E674)</f>
        <v/>
      </c>
      <c r="O674">
        <f>IF(E674="",0,IF(F674="",E674,F674))</f>
        <v/>
      </c>
      <c r="P674">
        <f>IF(E674="",1,MAX(1,(YEAR(O674)-YEAR(N674))*12+MONTH(O674)-MONTH(N674)+1))</f>
        <v/>
      </c>
      <c r="Q674">
        <f>IF(G674="",0,G674/P674)</f>
        <v/>
      </c>
      <c r="R674">
        <f>IF(H674="",0,H674/P674)</f>
        <v/>
      </c>
    </row>
    <row r="675">
      <c r="A675" s="43" t="n"/>
      <c r="B675" s="28" t="n"/>
      <c r="C675" s="28" t="n"/>
      <c r="D675" s="28" t="n"/>
      <c r="E675" s="44" t="n"/>
      <c r="F675" s="44" t="n"/>
      <c r="G675" s="23" t="n"/>
      <c r="H675" s="23" t="n"/>
      <c r="I675" s="23" t="n"/>
      <c r="J675" s="23" t="n"/>
      <c r="K675" s="45">
        <f>IF(A675="","",SUM(G$2:I675)-SUM(J$2:J675))</f>
        <v/>
      </c>
      <c r="L675" s="46" t="n"/>
      <c r="M675">
        <f>IF(A675="","",IF(A675=A674,M674,N(M674)+1))</f>
        <v/>
      </c>
      <c r="N675">
        <f>IF(E675="",99999,E675)</f>
        <v/>
      </c>
      <c r="O675">
        <f>IF(E675="",0,IF(F675="",E675,F675))</f>
        <v/>
      </c>
      <c r="P675">
        <f>IF(E675="",1,MAX(1,(YEAR(O675)-YEAR(N675))*12+MONTH(O675)-MONTH(N675)+1))</f>
        <v/>
      </c>
      <c r="Q675">
        <f>IF(G675="",0,G675/P675)</f>
        <v/>
      </c>
      <c r="R675">
        <f>IF(H675="",0,H675/P675)</f>
        <v/>
      </c>
    </row>
    <row r="676">
      <c r="A676" s="43" t="n"/>
      <c r="B676" s="28" t="n"/>
      <c r="C676" s="28" t="n"/>
      <c r="D676" s="28" t="n"/>
      <c r="E676" s="44" t="n"/>
      <c r="F676" s="44" t="n"/>
      <c r="G676" s="23" t="n"/>
      <c r="H676" s="23" t="n"/>
      <c r="I676" s="23" t="n"/>
      <c r="J676" s="23" t="n"/>
      <c r="K676" s="45">
        <f>IF(A676="","",SUM(G$2:I676)-SUM(J$2:J676))</f>
        <v/>
      </c>
      <c r="L676" s="46" t="n"/>
      <c r="M676">
        <f>IF(A676="","",IF(A676=A675,M675,N(M675)+1))</f>
        <v/>
      </c>
      <c r="N676">
        <f>IF(E676="",99999,E676)</f>
        <v/>
      </c>
      <c r="O676">
        <f>IF(E676="",0,IF(F676="",E676,F676))</f>
        <v/>
      </c>
      <c r="P676">
        <f>IF(E676="",1,MAX(1,(YEAR(O676)-YEAR(N676))*12+MONTH(O676)-MONTH(N676)+1))</f>
        <v/>
      </c>
      <c r="Q676">
        <f>IF(G676="",0,G676/P676)</f>
        <v/>
      </c>
      <c r="R676">
        <f>IF(H676="",0,H676/P676)</f>
        <v/>
      </c>
    </row>
    <row r="677">
      <c r="A677" s="43" t="n"/>
      <c r="B677" s="28" t="n"/>
      <c r="C677" s="28" t="n"/>
      <c r="D677" s="28" t="n"/>
      <c r="E677" s="44" t="n"/>
      <c r="F677" s="44" t="n"/>
      <c r="G677" s="23" t="n"/>
      <c r="H677" s="23" t="n"/>
      <c r="I677" s="23" t="n"/>
      <c r="J677" s="23" t="n"/>
      <c r="K677" s="45">
        <f>IF(A677="","",SUM(G$2:I677)-SUM(J$2:J677))</f>
        <v/>
      </c>
      <c r="L677" s="46" t="n"/>
      <c r="M677">
        <f>IF(A677="","",IF(A677=A676,M676,N(M676)+1))</f>
        <v/>
      </c>
      <c r="N677">
        <f>IF(E677="",99999,E677)</f>
        <v/>
      </c>
      <c r="O677">
        <f>IF(E677="",0,IF(F677="",E677,F677))</f>
        <v/>
      </c>
      <c r="P677">
        <f>IF(E677="",1,MAX(1,(YEAR(O677)-YEAR(N677))*12+MONTH(O677)-MONTH(N677)+1))</f>
        <v/>
      </c>
      <c r="Q677">
        <f>IF(G677="",0,G677/P677)</f>
        <v/>
      </c>
      <c r="R677">
        <f>IF(H677="",0,H677/P677)</f>
        <v/>
      </c>
    </row>
    <row r="678">
      <c r="A678" s="43" t="n"/>
      <c r="B678" s="28" t="n"/>
      <c r="C678" s="28" t="n"/>
      <c r="D678" s="28" t="n"/>
      <c r="E678" s="44" t="n"/>
      <c r="F678" s="44" t="n"/>
      <c r="G678" s="23" t="n"/>
      <c r="H678" s="23" t="n"/>
      <c r="I678" s="23" t="n"/>
      <c r="J678" s="23" t="n"/>
      <c r="K678" s="45">
        <f>IF(A678="","",SUM(G$2:I678)-SUM(J$2:J678))</f>
        <v/>
      </c>
      <c r="L678" s="46" t="n"/>
      <c r="M678">
        <f>IF(A678="","",IF(A678=A677,M677,N(M677)+1))</f>
        <v/>
      </c>
      <c r="N678">
        <f>IF(E678="",99999,E678)</f>
        <v/>
      </c>
      <c r="O678">
        <f>IF(E678="",0,IF(F678="",E678,F678))</f>
        <v/>
      </c>
      <c r="P678">
        <f>IF(E678="",1,MAX(1,(YEAR(O678)-YEAR(N678))*12+MONTH(O678)-MONTH(N678)+1))</f>
        <v/>
      </c>
      <c r="Q678">
        <f>IF(G678="",0,G678/P678)</f>
        <v/>
      </c>
      <c r="R678">
        <f>IF(H678="",0,H678/P678)</f>
        <v/>
      </c>
    </row>
    <row r="679">
      <c r="A679" s="43" t="n"/>
      <c r="B679" s="28" t="n"/>
      <c r="C679" s="28" t="n"/>
      <c r="D679" s="28" t="n"/>
      <c r="E679" s="44" t="n"/>
      <c r="F679" s="44" t="n"/>
      <c r="G679" s="23" t="n"/>
      <c r="H679" s="23" t="n"/>
      <c r="I679" s="23" t="n"/>
      <c r="J679" s="23" t="n"/>
      <c r="K679" s="45">
        <f>IF(A679="","",SUM(G$2:I679)-SUM(J$2:J679))</f>
        <v/>
      </c>
      <c r="L679" s="46" t="n"/>
      <c r="M679">
        <f>IF(A679="","",IF(A679=A678,M678,N(M678)+1))</f>
        <v/>
      </c>
      <c r="N679">
        <f>IF(E679="",99999,E679)</f>
        <v/>
      </c>
      <c r="O679">
        <f>IF(E679="",0,IF(F679="",E679,F679))</f>
        <v/>
      </c>
      <c r="P679">
        <f>IF(E679="",1,MAX(1,(YEAR(O679)-YEAR(N679))*12+MONTH(O679)-MONTH(N679)+1))</f>
        <v/>
      </c>
      <c r="Q679">
        <f>IF(G679="",0,G679/P679)</f>
        <v/>
      </c>
      <c r="R679">
        <f>IF(H679="",0,H679/P679)</f>
        <v/>
      </c>
    </row>
    <row r="680">
      <c r="A680" s="43" t="n"/>
      <c r="B680" s="28" t="n"/>
      <c r="C680" s="28" t="n"/>
      <c r="D680" s="28" t="n"/>
      <c r="E680" s="44" t="n"/>
      <c r="F680" s="44" t="n"/>
      <c r="G680" s="23" t="n"/>
      <c r="H680" s="23" t="n"/>
      <c r="I680" s="23" t="n"/>
      <c r="J680" s="23" t="n"/>
      <c r="K680" s="45">
        <f>IF(A680="","",SUM(G$2:I680)-SUM(J$2:J680))</f>
        <v/>
      </c>
      <c r="L680" s="46" t="n"/>
      <c r="M680">
        <f>IF(A680="","",IF(A680=A679,M679,N(M679)+1))</f>
        <v/>
      </c>
      <c r="N680">
        <f>IF(E680="",99999,E680)</f>
        <v/>
      </c>
      <c r="O680">
        <f>IF(E680="",0,IF(F680="",E680,F680))</f>
        <v/>
      </c>
      <c r="P680">
        <f>IF(E680="",1,MAX(1,(YEAR(O680)-YEAR(N680))*12+MONTH(O680)-MONTH(N680)+1))</f>
        <v/>
      </c>
      <c r="Q680">
        <f>IF(G680="",0,G680/P680)</f>
        <v/>
      </c>
      <c r="R680">
        <f>IF(H680="",0,H680/P680)</f>
        <v/>
      </c>
    </row>
    <row r="681">
      <c r="A681" s="43" t="n"/>
      <c r="B681" s="28" t="n"/>
      <c r="C681" s="28" t="n"/>
      <c r="D681" s="28" t="n"/>
      <c r="E681" s="44" t="n"/>
      <c r="F681" s="44" t="n"/>
      <c r="G681" s="23" t="n"/>
      <c r="H681" s="23" t="n"/>
      <c r="I681" s="23" t="n"/>
      <c r="J681" s="23" t="n"/>
      <c r="K681" s="45">
        <f>IF(A681="","",SUM(G$2:I681)-SUM(J$2:J681))</f>
        <v/>
      </c>
      <c r="L681" s="46" t="n"/>
      <c r="M681">
        <f>IF(A681="","",IF(A681=A680,M680,N(M680)+1))</f>
        <v/>
      </c>
      <c r="N681">
        <f>IF(E681="",99999,E681)</f>
        <v/>
      </c>
      <c r="O681">
        <f>IF(E681="",0,IF(F681="",E681,F681))</f>
        <v/>
      </c>
      <c r="P681">
        <f>IF(E681="",1,MAX(1,(YEAR(O681)-YEAR(N681))*12+MONTH(O681)-MONTH(N681)+1))</f>
        <v/>
      </c>
      <c r="Q681">
        <f>IF(G681="",0,G681/P681)</f>
        <v/>
      </c>
      <c r="R681">
        <f>IF(H681="",0,H681/P681)</f>
        <v/>
      </c>
    </row>
    <row r="682">
      <c r="A682" s="43" t="n"/>
      <c r="B682" s="28" t="n"/>
      <c r="C682" s="28" t="n"/>
      <c r="D682" s="28" t="n"/>
      <c r="E682" s="44" t="n"/>
      <c r="F682" s="44" t="n"/>
      <c r="G682" s="23" t="n"/>
      <c r="H682" s="23" t="n"/>
      <c r="I682" s="23" t="n"/>
      <c r="J682" s="23" t="n"/>
      <c r="K682" s="45">
        <f>IF(A682="","",SUM(G$2:I682)-SUM(J$2:J682))</f>
        <v/>
      </c>
      <c r="L682" s="46" t="n"/>
      <c r="M682">
        <f>IF(A682="","",IF(A682=A681,M681,N(M681)+1))</f>
        <v/>
      </c>
      <c r="N682">
        <f>IF(E682="",99999,E682)</f>
        <v/>
      </c>
      <c r="O682">
        <f>IF(E682="",0,IF(F682="",E682,F682))</f>
        <v/>
      </c>
      <c r="P682">
        <f>IF(E682="",1,MAX(1,(YEAR(O682)-YEAR(N682))*12+MONTH(O682)-MONTH(N682)+1))</f>
        <v/>
      </c>
      <c r="Q682">
        <f>IF(G682="",0,G682/P682)</f>
        <v/>
      </c>
      <c r="R682">
        <f>IF(H682="",0,H682/P682)</f>
        <v/>
      </c>
    </row>
    <row r="683">
      <c r="A683" s="43" t="n"/>
      <c r="B683" s="28" t="n"/>
      <c r="C683" s="28" t="n"/>
      <c r="D683" s="28" t="n"/>
      <c r="E683" s="44" t="n"/>
      <c r="F683" s="44" t="n"/>
      <c r="G683" s="23" t="n"/>
      <c r="H683" s="23" t="n"/>
      <c r="I683" s="23" t="n"/>
      <c r="J683" s="23" t="n"/>
      <c r="K683" s="45">
        <f>IF(A683="","",SUM(G$2:I683)-SUM(J$2:J683))</f>
        <v/>
      </c>
      <c r="L683" s="46" t="n"/>
      <c r="M683">
        <f>IF(A683="","",IF(A683=A682,M682,N(M682)+1))</f>
        <v/>
      </c>
      <c r="N683">
        <f>IF(E683="",99999,E683)</f>
        <v/>
      </c>
      <c r="O683">
        <f>IF(E683="",0,IF(F683="",E683,F683))</f>
        <v/>
      </c>
      <c r="P683">
        <f>IF(E683="",1,MAX(1,(YEAR(O683)-YEAR(N683))*12+MONTH(O683)-MONTH(N683)+1))</f>
        <v/>
      </c>
      <c r="Q683">
        <f>IF(G683="",0,G683/P683)</f>
        <v/>
      </c>
      <c r="R683">
        <f>IF(H683="",0,H683/P683)</f>
        <v/>
      </c>
    </row>
    <row r="684">
      <c r="A684" s="43" t="n"/>
      <c r="B684" s="28" t="n"/>
      <c r="C684" s="28" t="n"/>
      <c r="D684" s="28" t="n"/>
      <c r="E684" s="44" t="n"/>
      <c r="F684" s="44" t="n"/>
      <c r="G684" s="23" t="n"/>
      <c r="H684" s="23" t="n"/>
      <c r="I684" s="23" t="n"/>
      <c r="J684" s="23" t="n"/>
      <c r="K684" s="45">
        <f>IF(A684="","",SUM(G$2:I684)-SUM(J$2:J684))</f>
        <v/>
      </c>
      <c r="L684" s="46" t="n"/>
      <c r="M684">
        <f>IF(A684="","",IF(A684=A683,M683,N(M683)+1))</f>
        <v/>
      </c>
      <c r="N684">
        <f>IF(E684="",99999,E684)</f>
        <v/>
      </c>
      <c r="O684">
        <f>IF(E684="",0,IF(F684="",E684,F684))</f>
        <v/>
      </c>
      <c r="P684">
        <f>IF(E684="",1,MAX(1,(YEAR(O684)-YEAR(N684))*12+MONTH(O684)-MONTH(N684)+1))</f>
        <v/>
      </c>
      <c r="Q684">
        <f>IF(G684="",0,G684/P684)</f>
        <v/>
      </c>
      <c r="R684">
        <f>IF(H684="",0,H684/P684)</f>
        <v/>
      </c>
    </row>
    <row r="685">
      <c r="A685" s="43" t="n"/>
      <c r="B685" s="28" t="n"/>
      <c r="C685" s="28" t="n"/>
      <c r="D685" s="28" t="n"/>
      <c r="E685" s="44" t="n"/>
      <c r="F685" s="44" t="n"/>
      <c r="G685" s="23" t="n"/>
      <c r="H685" s="23" t="n"/>
      <c r="I685" s="23" t="n"/>
      <c r="J685" s="23" t="n"/>
      <c r="K685" s="45">
        <f>IF(A685="","",SUM(G$2:I685)-SUM(J$2:J685))</f>
        <v/>
      </c>
      <c r="L685" s="46" t="n"/>
      <c r="M685">
        <f>IF(A685="","",IF(A685=A684,M684,N(M684)+1))</f>
        <v/>
      </c>
      <c r="N685">
        <f>IF(E685="",99999,E685)</f>
        <v/>
      </c>
      <c r="O685">
        <f>IF(E685="",0,IF(F685="",E685,F685))</f>
        <v/>
      </c>
      <c r="P685">
        <f>IF(E685="",1,MAX(1,(YEAR(O685)-YEAR(N685))*12+MONTH(O685)-MONTH(N685)+1))</f>
        <v/>
      </c>
      <c r="Q685">
        <f>IF(G685="",0,G685/P685)</f>
        <v/>
      </c>
      <c r="R685">
        <f>IF(H685="",0,H685/P685)</f>
        <v/>
      </c>
    </row>
    <row r="686">
      <c r="A686" s="43" t="n"/>
      <c r="B686" s="28" t="n"/>
      <c r="C686" s="28" t="n"/>
      <c r="D686" s="28" t="n"/>
      <c r="E686" s="44" t="n"/>
      <c r="F686" s="44" t="n"/>
      <c r="G686" s="23" t="n"/>
      <c r="H686" s="23" t="n"/>
      <c r="I686" s="23" t="n"/>
      <c r="J686" s="23" t="n"/>
      <c r="K686" s="45">
        <f>IF(A686="","",SUM(G$2:I686)-SUM(J$2:J686))</f>
        <v/>
      </c>
      <c r="L686" s="46" t="n"/>
      <c r="M686">
        <f>IF(A686="","",IF(A686=A685,M685,N(M685)+1))</f>
        <v/>
      </c>
      <c r="N686">
        <f>IF(E686="",99999,E686)</f>
        <v/>
      </c>
      <c r="O686">
        <f>IF(E686="",0,IF(F686="",E686,F686))</f>
        <v/>
      </c>
      <c r="P686">
        <f>IF(E686="",1,MAX(1,(YEAR(O686)-YEAR(N686))*12+MONTH(O686)-MONTH(N686)+1))</f>
        <v/>
      </c>
      <c r="Q686">
        <f>IF(G686="",0,G686/P686)</f>
        <v/>
      </c>
      <c r="R686">
        <f>IF(H686="",0,H686/P686)</f>
        <v/>
      </c>
    </row>
    <row r="687">
      <c r="A687" s="43" t="n"/>
      <c r="B687" s="28" t="n"/>
      <c r="C687" s="28" t="n"/>
      <c r="D687" s="28" t="n"/>
      <c r="E687" s="44" t="n"/>
      <c r="F687" s="44" t="n"/>
      <c r="G687" s="23" t="n"/>
      <c r="H687" s="23" t="n"/>
      <c r="I687" s="23" t="n"/>
      <c r="J687" s="23" t="n"/>
      <c r="K687" s="45">
        <f>IF(A687="","",SUM(G$2:I687)-SUM(J$2:J687))</f>
        <v/>
      </c>
      <c r="L687" s="46" t="n"/>
      <c r="M687">
        <f>IF(A687="","",IF(A687=A686,M686,N(M686)+1))</f>
        <v/>
      </c>
      <c r="N687">
        <f>IF(E687="",99999,E687)</f>
        <v/>
      </c>
      <c r="O687">
        <f>IF(E687="",0,IF(F687="",E687,F687))</f>
        <v/>
      </c>
      <c r="P687">
        <f>IF(E687="",1,MAX(1,(YEAR(O687)-YEAR(N687))*12+MONTH(O687)-MONTH(N687)+1))</f>
        <v/>
      </c>
      <c r="Q687">
        <f>IF(G687="",0,G687/P687)</f>
        <v/>
      </c>
      <c r="R687">
        <f>IF(H687="",0,H687/P687)</f>
        <v/>
      </c>
    </row>
    <row r="688">
      <c r="A688" s="43" t="n"/>
      <c r="B688" s="28" t="n"/>
      <c r="C688" s="28" t="n"/>
      <c r="D688" s="28" t="n"/>
      <c r="E688" s="44" t="n"/>
      <c r="F688" s="44" t="n"/>
      <c r="G688" s="23" t="n"/>
      <c r="H688" s="23" t="n"/>
      <c r="I688" s="23" t="n"/>
      <c r="J688" s="23" t="n"/>
      <c r="K688" s="45">
        <f>IF(A688="","",SUM(G$2:I688)-SUM(J$2:J688))</f>
        <v/>
      </c>
      <c r="L688" s="46" t="n"/>
      <c r="M688">
        <f>IF(A688="","",IF(A688=A687,M687,N(M687)+1))</f>
        <v/>
      </c>
      <c r="N688">
        <f>IF(E688="",99999,E688)</f>
        <v/>
      </c>
      <c r="O688">
        <f>IF(E688="",0,IF(F688="",E688,F688))</f>
        <v/>
      </c>
      <c r="P688">
        <f>IF(E688="",1,MAX(1,(YEAR(O688)-YEAR(N688))*12+MONTH(O688)-MONTH(N688)+1))</f>
        <v/>
      </c>
      <c r="Q688">
        <f>IF(G688="",0,G688/P688)</f>
        <v/>
      </c>
      <c r="R688">
        <f>IF(H688="",0,H688/P688)</f>
        <v/>
      </c>
    </row>
    <row r="689">
      <c r="A689" s="43" t="n"/>
      <c r="B689" s="28" t="n"/>
      <c r="C689" s="28" t="n"/>
      <c r="D689" s="28" t="n"/>
      <c r="E689" s="44" t="n"/>
      <c r="F689" s="44" t="n"/>
      <c r="G689" s="23" t="n"/>
      <c r="H689" s="23" t="n"/>
      <c r="I689" s="23" t="n"/>
      <c r="J689" s="23" t="n"/>
      <c r="K689" s="45">
        <f>IF(A689="","",SUM(G$2:I689)-SUM(J$2:J689))</f>
        <v/>
      </c>
      <c r="L689" s="46" t="n"/>
      <c r="M689">
        <f>IF(A689="","",IF(A689=A688,M688,N(M688)+1))</f>
        <v/>
      </c>
      <c r="N689">
        <f>IF(E689="",99999,E689)</f>
        <v/>
      </c>
      <c r="O689">
        <f>IF(E689="",0,IF(F689="",E689,F689))</f>
        <v/>
      </c>
      <c r="P689">
        <f>IF(E689="",1,MAX(1,(YEAR(O689)-YEAR(N689))*12+MONTH(O689)-MONTH(N689)+1))</f>
        <v/>
      </c>
      <c r="Q689">
        <f>IF(G689="",0,G689/P689)</f>
        <v/>
      </c>
      <c r="R689">
        <f>IF(H689="",0,H689/P689)</f>
        <v/>
      </c>
    </row>
    <row r="690">
      <c r="A690" s="43" t="n"/>
      <c r="B690" s="28" t="n"/>
      <c r="C690" s="28" t="n"/>
      <c r="D690" s="28" t="n"/>
      <c r="E690" s="44" t="n"/>
      <c r="F690" s="44" t="n"/>
      <c r="G690" s="23" t="n"/>
      <c r="H690" s="23" t="n"/>
      <c r="I690" s="23" t="n"/>
      <c r="J690" s="23" t="n"/>
      <c r="K690" s="45">
        <f>IF(A690="","",SUM(G$2:I690)-SUM(J$2:J690))</f>
        <v/>
      </c>
      <c r="L690" s="46" t="n"/>
      <c r="M690">
        <f>IF(A690="","",IF(A690=A689,M689,N(M689)+1))</f>
        <v/>
      </c>
      <c r="N690">
        <f>IF(E690="",99999,E690)</f>
        <v/>
      </c>
      <c r="O690">
        <f>IF(E690="",0,IF(F690="",E690,F690))</f>
        <v/>
      </c>
      <c r="P690">
        <f>IF(E690="",1,MAX(1,(YEAR(O690)-YEAR(N690))*12+MONTH(O690)-MONTH(N690)+1))</f>
        <v/>
      </c>
      <c r="Q690">
        <f>IF(G690="",0,G690/P690)</f>
        <v/>
      </c>
      <c r="R690">
        <f>IF(H690="",0,H690/P690)</f>
        <v/>
      </c>
    </row>
    <row r="691">
      <c r="A691" s="43" t="n"/>
      <c r="B691" s="28" t="n"/>
      <c r="C691" s="28" t="n"/>
      <c r="D691" s="28" t="n"/>
      <c r="E691" s="44" t="n"/>
      <c r="F691" s="44" t="n"/>
      <c r="G691" s="23" t="n"/>
      <c r="H691" s="23" t="n"/>
      <c r="I691" s="23" t="n"/>
      <c r="J691" s="23" t="n"/>
      <c r="K691" s="45">
        <f>IF(A691="","",SUM(G$2:I691)-SUM(J$2:J691))</f>
        <v/>
      </c>
      <c r="L691" s="46" t="n"/>
      <c r="M691">
        <f>IF(A691="","",IF(A691=A690,M690,N(M690)+1))</f>
        <v/>
      </c>
      <c r="N691">
        <f>IF(E691="",99999,E691)</f>
        <v/>
      </c>
      <c r="O691">
        <f>IF(E691="",0,IF(F691="",E691,F691))</f>
        <v/>
      </c>
      <c r="P691">
        <f>IF(E691="",1,MAX(1,(YEAR(O691)-YEAR(N691))*12+MONTH(O691)-MONTH(N691)+1))</f>
        <v/>
      </c>
      <c r="Q691">
        <f>IF(G691="",0,G691/P691)</f>
        <v/>
      </c>
      <c r="R691">
        <f>IF(H691="",0,H691/P691)</f>
        <v/>
      </c>
    </row>
    <row r="692">
      <c r="A692" s="43" t="n"/>
      <c r="B692" s="28" t="n"/>
      <c r="C692" s="28" t="n"/>
      <c r="D692" s="28" t="n"/>
      <c r="E692" s="44" t="n"/>
      <c r="F692" s="44" t="n"/>
      <c r="G692" s="23" t="n"/>
      <c r="H692" s="23" t="n"/>
      <c r="I692" s="23" t="n"/>
      <c r="J692" s="23" t="n"/>
      <c r="K692" s="45">
        <f>IF(A692="","",SUM(G$2:I692)-SUM(J$2:J692))</f>
        <v/>
      </c>
      <c r="L692" s="46" t="n"/>
      <c r="M692">
        <f>IF(A692="","",IF(A692=A691,M691,N(M691)+1))</f>
        <v/>
      </c>
      <c r="N692">
        <f>IF(E692="",99999,E692)</f>
        <v/>
      </c>
      <c r="O692">
        <f>IF(E692="",0,IF(F692="",E692,F692))</f>
        <v/>
      </c>
      <c r="P692">
        <f>IF(E692="",1,MAX(1,(YEAR(O692)-YEAR(N692))*12+MONTH(O692)-MONTH(N692)+1))</f>
        <v/>
      </c>
      <c r="Q692">
        <f>IF(G692="",0,G692/P692)</f>
        <v/>
      </c>
      <c r="R692">
        <f>IF(H692="",0,H692/P692)</f>
        <v/>
      </c>
    </row>
    <row r="693">
      <c r="A693" s="43" t="n"/>
      <c r="B693" s="28" t="n"/>
      <c r="C693" s="28" t="n"/>
      <c r="D693" s="28" t="n"/>
      <c r="E693" s="44" t="n"/>
      <c r="F693" s="44" t="n"/>
      <c r="G693" s="23" t="n"/>
      <c r="H693" s="23" t="n"/>
      <c r="I693" s="23" t="n"/>
      <c r="J693" s="23" t="n"/>
      <c r="K693" s="45">
        <f>IF(A693="","",SUM(G$2:I693)-SUM(J$2:J693))</f>
        <v/>
      </c>
      <c r="L693" s="46" t="n"/>
      <c r="M693">
        <f>IF(A693="","",IF(A693=A692,M692,N(M692)+1))</f>
        <v/>
      </c>
      <c r="N693">
        <f>IF(E693="",99999,E693)</f>
        <v/>
      </c>
      <c r="O693">
        <f>IF(E693="",0,IF(F693="",E693,F693))</f>
        <v/>
      </c>
      <c r="P693">
        <f>IF(E693="",1,MAX(1,(YEAR(O693)-YEAR(N693))*12+MONTH(O693)-MONTH(N693)+1))</f>
        <v/>
      </c>
      <c r="Q693">
        <f>IF(G693="",0,G693/P693)</f>
        <v/>
      </c>
      <c r="R693">
        <f>IF(H693="",0,H693/P693)</f>
        <v/>
      </c>
    </row>
    <row r="694">
      <c r="A694" s="43" t="n"/>
      <c r="B694" s="28" t="n"/>
      <c r="C694" s="28" t="n"/>
      <c r="D694" s="28" t="n"/>
      <c r="E694" s="44" t="n"/>
      <c r="F694" s="44" t="n"/>
      <c r="G694" s="23" t="n"/>
      <c r="H694" s="23" t="n"/>
      <c r="I694" s="23" t="n"/>
      <c r="J694" s="23" t="n"/>
      <c r="K694" s="45">
        <f>IF(A694="","",SUM(G$2:I694)-SUM(J$2:J694))</f>
        <v/>
      </c>
      <c r="L694" s="46" t="n"/>
      <c r="M694">
        <f>IF(A694="","",IF(A694=A693,M693,N(M693)+1))</f>
        <v/>
      </c>
      <c r="N694">
        <f>IF(E694="",99999,E694)</f>
        <v/>
      </c>
      <c r="O694">
        <f>IF(E694="",0,IF(F694="",E694,F694))</f>
        <v/>
      </c>
      <c r="P694">
        <f>IF(E694="",1,MAX(1,(YEAR(O694)-YEAR(N694))*12+MONTH(O694)-MONTH(N694)+1))</f>
        <v/>
      </c>
      <c r="Q694">
        <f>IF(G694="",0,G694/P694)</f>
        <v/>
      </c>
      <c r="R694">
        <f>IF(H694="",0,H694/P694)</f>
        <v/>
      </c>
    </row>
    <row r="695">
      <c r="A695" s="43" t="n"/>
      <c r="B695" s="28" t="n"/>
      <c r="C695" s="28" t="n"/>
      <c r="D695" s="28" t="n"/>
      <c r="E695" s="44" t="n"/>
      <c r="F695" s="44" t="n"/>
      <c r="G695" s="23" t="n"/>
      <c r="H695" s="23" t="n"/>
      <c r="I695" s="23" t="n"/>
      <c r="J695" s="23" t="n"/>
      <c r="K695" s="45">
        <f>IF(A695="","",SUM(G$2:I695)-SUM(J$2:J695))</f>
        <v/>
      </c>
      <c r="L695" s="46" t="n"/>
      <c r="M695">
        <f>IF(A695="","",IF(A695=A694,M694,N(M694)+1))</f>
        <v/>
      </c>
      <c r="N695">
        <f>IF(E695="",99999,E695)</f>
        <v/>
      </c>
      <c r="O695">
        <f>IF(E695="",0,IF(F695="",E695,F695))</f>
        <v/>
      </c>
      <c r="P695">
        <f>IF(E695="",1,MAX(1,(YEAR(O695)-YEAR(N695))*12+MONTH(O695)-MONTH(N695)+1))</f>
        <v/>
      </c>
      <c r="Q695">
        <f>IF(G695="",0,G695/P695)</f>
        <v/>
      </c>
      <c r="R695">
        <f>IF(H695="",0,H695/P695)</f>
        <v/>
      </c>
    </row>
    <row r="696">
      <c r="A696" s="43" t="n"/>
      <c r="B696" s="28" t="n"/>
      <c r="C696" s="28" t="n"/>
      <c r="D696" s="28" t="n"/>
      <c r="E696" s="44" t="n"/>
      <c r="F696" s="44" t="n"/>
      <c r="G696" s="23" t="n"/>
      <c r="H696" s="23" t="n"/>
      <c r="I696" s="23" t="n"/>
      <c r="J696" s="23" t="n"/>
      <c r="K696" s="45">
        <f>IF(A696="","",SUM(G$2:I696)-SUM(J$2:J696))</f>
        <v/>
      </c>
      <c r="L696" s="46" t="n"/>
      <c r="M696">
        <f>IF(A696="","",IF(A696=A695,M695,N(M695)+1))</f>
        <v/>
      </c>
      <c r="N696">
        <f>IF(E696="",99999,E696)</f>
        <v/>
      </c>
      <c r="O696">
        <f>IF(E696="",0,IF(F696="",E696,F696))</f>
        <v/>
      </c>
      <c r="P696">
        <f>IF(E696="",1,MAX(1,(YEAR(O696)-YEAR(N696))*12+MONTH(O696)-MONTH(N696)+1))</f>
        <v/>
      </c>
      <c r="Q696">
        <f>IF(G696="",0,G696/P696)</f>
        <v/>
      </c>
      <c r="R696">
        <f>IF(H696="",0,H696/P696)</f>
        <v/>
      </c>
    </row>
    <row r="697">
      <c r="A697" s="43" t="n"/>
      <c r="B697" s="28" t="n"/>
      <c r="C697" s="28" t="n"/>
      <c r="D697" s="28" t="n"/>
      <c r="E697" s="44" t="n"/>
      <c r="F697" s="44" t="n"/>
      <c r="G697" s="23" t="n"/>
      <c r="H697" s="23" t="n"/>
      <c r="I697" s="23" t="n"/>
      <c r="J697" s="23" t="n"/>
      <c r="K697" s="45">
        <f>IF(A697="","",SUM(G$2:I697)-SUM(J$2:J697))</f>
        <v/>
      </c>
      <c r="L697" s="46" t="n"/>
      <c r="M697">
        <f>IF(A697="","",IF(A697=A696,M696,N(M696)+1))</f>
        <v/>
      </c>
      <c r="N697">
        <f>IF(E697="",99999,E697)</f>
        <v/>
      </c>
      <c r="O697">
        <f>IF(E697="",0,IF(F697="",E697,F697))</f>
        <v/>
      </c>
      <c r="P697">
        <f>IF(E697="",1,MAX(1,(YEAR(O697)-YEAR(N697))*12+MONTH(O697)-MONTH(N697)+1))</f>
        <v/>
      </c>
      <c r="Q697">
        <f>IF(G697="",0,G697/P697)</f>
        <v/>
      </c>
      <c r="R697">
        <f>IF(H697="",0,H697/P697)</f>
        <v/>
      </c>
    </row>
    <row r="698">
      <c r="A698" s="43" t="n"/>
      <c r="B698" s="28" t="n"/>
      <c r="C698" s="28" t="n"/>
      <c r="D698" s="28" t="n"/>
      <c r="E698" s="44" t="n"/>
      <c r="F698" s="44" t="n"/>
      <c r="G698" s="23" t="n"/>
      <c r="H698" s="23" t="n"/>
      <c r="I698" s="23" t="n"/>
      <c r="J698" s="23" t="n"/>
      <c r="K698" s="45">
        <f>IF(A698="","",SUM(G$2:I698)-SUM(J$2:J698))</f>
        <v/>
      </c>
      <c r="L698" s="46" t="n"/>
      <c r="M698">
        <f>IF(A698="","",IF(A698=A697,M697,N(M697)+1))</f>
        <v/>
      </c>
      <c r="N698">
        <f>IF(E698="",99999,E698)</f>
        <v/>
      </c>
      <c r="O698">
        <f>IF(E698="",0,IF(F698="",E698,F698))</f>
        <v/>
      </c>
      <c r="P698">
        <f>IF(E698="",1,MAX(1,(YEAR(O698)-YEAR(N698))*12+MONTH(O698)-MONTH(N698)+1))</f>
        <v/>
      </c>
      <c r="Q698">
        <f>IF(G698="",0,G698/P698)</f>
        <v/>
      </c>
      <c r="R698">
        <f>IF(H698="",0,H698/P698)</f>
        <v/>
      </c>
    </row>
    <row r="699">
      <c r="A699" s="43" t="n"/>
      <c r="B699" s="28" t="n"/>
      <c r="C699" s="28" t="n"/>
      <c r="D699" s="28" t="n"/>
      <c r="E699" s="44" t="n"/>
      <c r="F699" s="44" t="n"/>
      <c r="G699" s="23" t="n"/>
      <c r="H699" s="23" t="n"/>
      <c r="I699" s="23" t="n"/>
      <c r="J699" s="23" t="n"/>
      <c r="K699" s="45">
        <f>IF(A699="","",SUM(G$2:I699)-SUM(J$2:J699))</f>
        <v/>
      </c>
      <c r="L699" s="46" t="n"/>
      <c r="M699">
        <f>IF(A699="","",IF(A699=A698,M698,N(M698)+1))</f>
        <v/>
      </c>
      <c r="N699">
        <f>IF(E699="",99999,E699)</f>
        <v/>
      </c>
      <c r="O699">
        <f>IF(E699="",0,IF(F699="",E699,F699))</f>
        <v/>
      </c>
      <c r="P699">
        <f>IF(E699="",1,MAX(1,(YEAR(O699)-YEAR(N699))*12+MONTH(O699)-MONTH(N699)+1))</f>
        <v/>
      </c>
      <c r="Q699">
        <f>IF(G699="",0,G699/P699)</f>
        <v/>
      </c>
      <c r="R699">
        <f>IF(H699="",0,H699/P699)</f>
        <v/>
      </c>
    </row>
    <row r="700">
      <c r="A700" s="43" t="n"/>
      <c r="B700" s="28" t="n"/>
      <c r="C700" s="28" t="n"/>
      <c r="D700" s="28" t="n"/>
      <c r="E700" s="44" t="n"/>
      <c r="F700" s="44" t="n"/>
      <c r="G700" s="23" t="n"/>
      <c r="H700" s="23" t="n"/>
      <c r="I700" s="23" t="n"/>
      <c r="J700" s="23" t="n"/>
      <c r="K700" s="45">
        <f>IF(A700="","",SUM(G$2:I700)-SUM(J$2:J700))</f>
        <v/>
      </c>
      <c r="L700" s="46" t="n"/>
      <c r="M700">
        <f>IF(A700="","",IF(A700=A699,M699,N(M699)+1))</f>
        <v/>
      </c>
      <c r="N700">
        <f>IF(E700="",99999,E700)</f>
        <v/>
      </c>
      <c r="O700">
        <f>IF(E700="",0,IF(F700="",E700,F700))</f>
        <v/>
      </c>
      <c r="P700">
        <f>IF(E700="",1,MAX(1,(YEAR(O700)-YEAR(N700))*12+MONTH(O700)-MONTH(N700)+1))</f>
        <v/>
      </c>
      <c r="Q700">
        <f>IF(G700="",0,G700/P700)</f>
        <v/>
      </c>
      <c r="R700">
        <f>IF(H700="",0,H700/P700)</f>
        <v/>
      </c>
    </row>
    <row r="701">
      <c r="A701" s="43" t="n"/>
      <c r="B701" s="28" t="n"/>
      <c r="C701" s="28" t="n"/>
      <c r="D701" s="28" t="n"/>
      <c r="E701" s="44" t="n"/>
      <c r="F701" s="44" t="n"/>
      <c r="G701" s="23" t="n"/>
      <c r="H701" s="23" t="n"/>
      <c r="I701" s="23" t="n"/>
      <c r="J701" s="23" t="n"/>
      <c r="K701" s="45">
        <f>IF(A701="","",SUM(G$2:I701)-SUM(J$2:J701))</f>
        <v/>
      </c>
      <c r="L701" s="46" t="n"/>
      <c r="M701">
        <f>IF(A701="","",IF(A701=A700,M700,N(M700)+1))</f>
        <v/>
      </c>
      <c r="N701">
        <f>IF(E701="",99999,E701)</f>
        <v/>
      </c>
      <c r="O701">
        <f>IF(E701="",0,IF(F701="",E701,F701))</f>
        <v/>
      </c>
      <c r="P701">
        <f>IF(E701="",1,MAX(1,(YEAR(O701)-YEAR(N701))*12+MONTH(O701)-MONTH(N701)+1))</f>
        <v/>
      </c>
      <c r="Q701">
        <f>IF(G701="",0,G701/P701)</f>
        <v/>
      </c>
      <c r="R701">
        <f>IF(H701="",0,H701/P701)</f>
        <v/>
      </c>
    </row>
    <row r="702">
      <c r="A702" s="43" t="n"/>
      <c r="B702" s="28" t="n"/>
      <c r="C702" s="28" t="n"/>
      <c r="D702" s="28" t="n"/>
      <c r="E702" s="44" t="n"/>
      <c r="F702" s="44" t="n"/>
      <c r="G702" s="23" t="n"/>
      <c r="H702" s="23" t="n"/>
      <c r="I702" s="23" t="n"/>
      <c r="J702" s="23" t="n"/>
      <c r="K702" s="45">
        <f>IF(A702="","",SUM(G$2:I702)-SUM(J$2:J702))</f>
        <v/>
      </c>
      <c r="L702" s="46" t="n"/>
      <c r="M702">
        <f>IF(A702="","",IF(A702=A701,M701,N(M701)+1))</f>
        <v/>
      </c>
      <c r="N702">
        <f>IF(E702="",99999,E702)</f>
        <v/>
      </c>
      <c r="O702">
        <f>IF(E702="",0,IF(F702="",E702,F702))</f>
        <v/>
      </c>
      <c r="P702">
        <f>IF(E702="",1,MAX(1,(YEAR(O702)-YEAR(N702))*12+MONTH(O702)-MONTH(N702)+1))</f>
        <v/>
      </c>
      <c r="Q702">
        <f>IF(G702="",0,G702/P702)</f>
        <v/>
      </c>
      <c r="R702">
        <f>IF(H702="",0,H702/P702)</f>
        <v/>
      </c>
    </row>
    <row r="703">
      <c r="A703" s="43" t="n"/>
      <c r="B703" s="28" t="n"/>
      <c r="C703" s="28" t="n"/>
      <c r="D703" s="28" t="n"/>
      <c r="E703" s="44" t="n"/>
      <c r="F703" s="44" t="n"/>
      <c r="G703" s="23" t="n"/>
      <c r="H703" s="23" t="n"/>
      <c r="I703" s="23" t="n"/>
      <c r="J703" s="23" t="n"/>
      <c r="K703" s="45">
        <f>IF(A703="","",SUM(G$2:I703)-SUM(J$2:J703))</f>
        <v/>
      </c>
      <c r="L703" s="46" t="n"/>
      <c r="M703">
        <f>IF(A703="","",IF(A703=A702,M702,N(M702)+1))</f>
        <v/>
      </c>
      <c r="N703">
        <f>IF(E703="",99999,E703)</f>
        <v/>
      </c>
      <c r="O703">
        <f>IF(E703="",0,IF(F703="",E703,F703))</f>
        <v/>
      </c>
      <c r="P703">
        <f>IF(E703="",1,MAX(1,(YEAR(O703)-YEAR(N703))*12+MONTH(O703)-MONTH(N703)+1))</f>
        <v/>
      </c>
      <c r="Q703">
        <f>IF(G703="",0,G703/P703)</f>
        <v/>
      </c>
      <c r="R703">
        <f>IF(H703="",0,H703/P703)</f>
        <v/>
      </c>
    </row>
    <row r="704">
      <c r="A704" s="43" t="n"/>
      <c r="B704" s="28" t="n"/>
      <c r="C704" s="28" t="n"/>
      <c r="D704" s="28" t="n"/>
      <c r="E704" s="44" t="n"/>
      <c r="F704" s="44" t="n"/>
      <c r="G704" s="23" t="n"/>
      <c r="H704" s="23" t="n"/>
      <c r="I704" s="23" t="n"/>
      <c r="J704" s="23" t="n"/>
      <c r="K704" s="45">
        <f>IF(A704="","",SUM(G$2:I704)-SUM(J$2:J704))</f>
        <v/>
      </c>
      <c r="L704" s="46" t="n"/>
      <c r="M704">
        <f>IF(A704="","",IF(A704=A703,M703,N(M703)+1))</f>
        <v/>
      </c>
      <c r="N704">
        <f>IF(E704="",99999,E704)</f>
        <v/>
      </c>
      <c r="O704">
        <f>IF(E704="",0,IF(F704="",E704,F704))</f>
        <v/>
      </c>
      <c r="P704">
        <f>IF(E704="",1,MAX(1,(YEAR(O704)-YEAR(N704))*12+MONTH(O704)-MONTH(N704)+1))</f>
        <v/>
      </c>
      <c r="Q704">
        <f>IF(G704="",0,G704/P704)</f>
        <v/>
      </c>
      <c r="R704">
        <f>IF(H704="",0,H704/P704)</f>
        <v/>
      </c>
    </row>
    <row r="705">
      <c r="A705" s="43" t="n"/>
      <c r="B705" s="28" t="n"/>
      <c r="C705" s="28" t="n"/>
      <c r="D705" s="28" t="n"/>
      <c r="E705" s="44" t="n"/>
      <c r="F705" s="44" t="n"/>
      <c r="G705" s="23" t="n"/>
      <c r="H705" s="23" t="n"/>
      <c r="I705" s="23" t="n"/>
      <c r="J705" s="23" t="n"/>
      <c r="K705" s="45">
        <f>IF(A705="","",SUM(G$2:I705)-SUM(J$2:J705))</f>
        <v/>
      </c>
      <c r="L705" s="46" t="n"/>
      <c r="M705">
        <f>IF(A705="","",IF(A705=A704,M704,N(M704)+1))</f>
        <v/>
      </c>
      <c r="N705">
        <f>IF(E705="",99999,E705)</f>
        <v/>
      </c>
      <c r="O705">
        <f>IF(E705="",0,IF(F705="",E705,F705))</f>
        <v/>
      </c>
      <c r="P705">
        <f>IF(E705="",1,MAX(1,(YEAR(O705)-YEAR(N705))*12+MONTH(O705)-MONTH(N705)+1))</f>
        <v/>
      </c>
      <c r="Q705">
        <f>IF(G705="",0,G705/P705)</f>
        <v/>
      </c>
      <c r="R705">
        <f>IF(H705="",0,H705/P705)</f>
        <v/>
      </c>
    </row>
    <row r="706">
      <c r="A706" s="43" t="n"/>
      <c r="B706" s="28" t="n"/>
      <c r="C706" s="28" t="n"/>
      <c r="D706" s="28" t="n"/>
      <c r="E706" s="44" t="n"/>
      <c r="F706" s="44" t="n"/>
      <c r="G706" s="23" t="n"/>
      <c r="H706" s="23" t="n"/>
      <c r="I706" s="23" t="n"/>
      <c r="J706" s="23" t="n"/>
      <c r="K706" s="45">
        <f>IF(A706="","",SUM(G$2:I706)-SUM(J$2:J706))</f>
        <v/>
      </c>
      <c r="L706" s="46" t="n"/>
      <c r="M706">
        <f>IF(A706="","",IF(A706=A705,M705,N(M705)+1))</f>
        <v/>
      </c>
      <c r="N706">
        <f>IF(E706="",99999,E706)</f>
        <v/>
      </c>
      <c r="O706">
        <f>IF(E706="",0,IF(F706="",E706,F706))</f>
        <v/>
      </c>
      <c r="P706">
        <f>IF(E706="",1,MAX(1,(YEAR(O706)-YEAR(N706))*12+MONTH(O706)-MONTH(N706)+1))</f>
        <v/>
      </c>
      <c r="Q706">
        <f>IF(G706="",0,G706/P706)</f>
        <v/>
      </c>
      <c r="R706">
        <f>IF(H706="",0,H706/P706)</f>
        <v/>
      </c>
    </row>
    <row r="707">
      <c r="A707" s="43" t="n"/>
      <c r="B707" s="28" t="n"/>
      <c r="C707" s="28" t="n"/>
      <c r="D707" s="28" t="n"/>
      <c r="E707" s="44" t="n"/>
      <c r="F707" s="44" t="n"/>
      <c r="G707" s="23" t="n"/>
      <c r="H707" s="23" t="n"/>
      <c r="I707" s="23" t="n"/>
      <c r="J707" s="23" t="n"/>
      <c r="K707" s="45">
        <f>IF(A707="","",SUM(G$2:I707)-SUM(J$2:J707))</f>
        <v/>
      </c>
      <c r="L707" s="46" t="n"/>
      <c r="M707">
        <f>IF(A707="","",IF(A707=A706,M706,N(M706)+1))</f>
        <v/>
      </c>
      <c r="N707">
        <f>IF(E707="",99999,E707)</f>
        <v/>
      </c>
      <c r="O707">
        <f>IF(E707="",0,IF(F707="",E707,F707))</f>
        <v/>
      </c>
      <c r="P707">
        <f>IF(E707="",1,MAX(1,(YEAR(O707)-YEAR(N707))*12+MONTH(O707)-MONTH(N707)+1))</f>
        <v/>
      </c>
      <c r="Q707">
        <f>IF(G707="",0,G707/P707)</f>
        <v/>
      </c>
      <c r="R707">
        <f>IF(H707="",0,H707/P707)</f>
        <v/>
      </c>
    </row>
    <row r="708">
      <c r="A708" s="43" t="n"/>
      <c r="B708" s="28" t="n"/>
      <c r="C708" s="28" t="n"/>
      <c r="D708" s="28" t="n"/>
      <c r="E708" s="44" t="n"/>
      <c r="F708" s="44" t="n"/>
      <c r="G708" s="23" t="n"/>
      <c r="H708" s="23" t="n"/>
      <c r="I708" s="23" t="n"/>
      <c r="J708" s="23" t="n"/>
      <c r="K708" s="45">
        <f>IF(A708="","",SUM(G$2:I708)-SUM(J$2:J708))</f>
        <v/>
      </c>
      <c r="L708" s="46" t="n"/>
      <c r="M708">
        <f>IF(A708="","",IF(A708=A707,M707,N(M707)+1))</f>
        <v/>
      </c>
      <c r="N708">
        <f>IF(E708="",99999,E708)</f>
        <v/>
      </c>
      <c r="O708">
        <f>IF(E708="",0,IF(F708="",E708,F708))</f>
        <v/>
      </c>
      <c r="P708">
        <f>IF(E708="",1,MAX(1,(YEAR(O708)-YEAR(N708))*12+MONTH(O708)-MONTH(N708)+1))</f>
        <v/>
      </c>
      <c r="Q708">
        <f>IF(G708="",0,G708/P708)</f>
        <v/>
      </c>
      <c r="R708">
        <f>IF(H708="",0,H708/P708)</f>
        <v/>
      </c>
    </row>
    <row r="709">
      <c r="A709" s="43" t="n"/>
      <c r="B709" s="28" t="n"/>
      <c r="C709" s="28" t="n"/>
      <c r="D709" s="28" t="n"/>
      <c r="E709" s="44" t="n"/>
      <c r="F709" s="44" t="n"/>
      <c r="G709" s="23" t="n"/>
      <c r="H709" s="23" t="n"/>
      <c r="I709" s="23" t="n"/>
      <c r="J709" s="23" t="n"/>
      <c r="K709" s="45">
        <f>IF(A709="","",SUM(G$2:I709)-SUM(J$2:J709))</f>
        <v/>
      </c>
      <c r="L709" s="46" t="n"/>
      <c r="M709">
        <f>IF(A709="","",IF(A709=A708,M708,N(M708)+1))</f>
        <v/>
      </c>
      <c r="N709">
        <f>IF(E709="",99999,E709)</f>
        <v/>
      </c>
      <c r="O709">
        <f>IF(E709="",0,IF(F709="",E709,F709))</f>
        <v/>
      </c>
      <c r="P709">
        <f>IF(E709="",1,MAX(1,(YEAR(O709)-YEAR(N709))*12+MONTH(O709)-MONTH(N709)+1))</f>
        <v/>
      </c>
      <c r="Q709">
        <f>IF(G709="",0,G709/P709)</f>
        <v/>
      </c>
      <c r="R709">
        <f>IF(H709="",0,H709/P709)</f>
        <v/>
      </c>
    </row>
    <row r="710">
      <c r="A710" s="43" t="n"/>
      <c r="B710" s="28" t="n"/>
      <c r="C710" s="28" t="n"/>
      <c r="D710" s="28" t="n"/>
      <c r="E710" s="44" t="n"/>
      <c r="F710" s="44" t="n"/>
      <c r="G710" s="23" t="n"/>
      <c r="H710" s="23" t="n"/>
      <c r="I710" s="23" t="n"/>
      <c r="J710" s="23" t="n"/>
      <c r="K710" s="45">
        <f>IF(A710="","",SUM(G$2:I710)-SUM(J$2:J710))</f>
        <v/>
      </c>
      <c r="L710" s="46" t="n"/>
      <c r="M710">
        <f>IF(A710="","",IF(A710=A709,M709,N(M709)+1))</f>
        <v/>
      </c>
      <c r="N710">
        <f>IF(E710="",99999,E710)</f>
        <v/>
      </c>
      <c r="O710">
        <f>IF(E710="",0,IF(F710="",E710,F710))</f>
        <v/>
      </c>
      <c r="P710">
        <f>IF(E710="",1,MAX(1,(YEAR(O710)-YEAR(N710))*12+MONTH(O710)-MONTH(N710)+1))</f>
        <v/>
      </c>
      <c r="Q710">
        <f>IF(G710="",0,G710/P710)</f>
        <v/>
      </c>
      <c r="R710">
        <f>IF(H710="",0,H710/P710)</f>
        <v/>
      </c>
    </row>
    <row r="711">
      <c r="A711" s="43" t="n"/>
      <c r="B711" s="28" t="n"/>
      <c r="C711" s="28" t="n"/>
      <c r="D711" s="28" t="n"/>
      <c r="E711" s="44" t="n"/>
      <c r="F711" s="44" t="n"/>
      <c r="G711" s="23" t="n"/>
      <c r="H711" s="23" t="n"/>
      <c r="I711" s="23" t="n"/>
      <c r="J711" s="23" t="n"/>
      <c r="K711" s="45">
        <f>IF(A711="","",SUM(G$2:I711)-SUM(J$2:J711))</f>
        <v/>
      </c>
      <c r="L711" s="46" t="n"/>
      <c r="M711">
        <f>IF(A711="","",IF(A711=A710,M710,N(M710)+1))</f>
        <v/>
      </c>
      <c r="N711">
        <f>IF(E711="",99999,E711)</f>
        <v/>
      </c>
      <c r="O711">
        <f>IF(E711="",0,IF(F711="",E711,F711))</f>
        <v/>
      </c>
      <c r="P711">
        <f>IF(E711="",1,MAX(1,(YEAR(O711)-YEAR(N711))*12+MONTH(O711)-MONTH(N711)+1))</f>
        <v/>
      </c>
      <c r="Q711">
        <f>IF(G711="",0,G711/P711)</f>
        <v/>
      </c>
      <c r="R711">
        <f>IF(H711="",0,H711/P711)</f>
        <v/>
      </c>
    </row>
    <row r="712">
      <c r="A712" s="43" t="n"/>
      <c r="B712" s="28" t="n"/>
      <c r="C712" s="28" t="n"/>
      <c r="D712" s="28" t="n"/>
      <c r="E712" s="44" t="n"/>
      <c r="F712" s="44" t="n"/>
      <c r="G712" s="23" t="n"/>
      <c r="H712" s="23" t="n"/>
      <c r="I712" s="23" t="n"/>
      <c r="J712" s="23" t="n"/>
      <c r="K712" s="45">
        <f>IF(A712="","",SUM(G$2:I712)-SUM(J$2:J712))</f>
        <v/>
      </c>
      <c r="L712" s="46" t="n"/>
      <c r="M712">
        <f>IF(A712="","",IF(A712=A711,M711,N(M711)+1))</f>
        <v/>
      </c>
      <c r="N712">
        <f>IF(E712="",99999,E712)</f>
        <v/>
      </c>
      <c r="O712">
        <f>IF(E712="",0,IF(F712="",E712,F712))</f>
        <v/>
      </c>
      <c r="P712">
        <f>IF(E712="",1,MAX(1,(YEAR(O712)-YEAR(N712))*12+MONTH(O712)-MONTH(N712)+1))</f>
        <v/>
      </c>
      <c r="Q712">
        <f>IF(G712="",0,G712/P712)</f>
        <v/>
      </c>
      <c r="R712">
        <f>IF(H712="",0,H712/P712)</f>
        <v/>
      </c>
    </row>
    <row r="713">
      <c r="A713" s="43" t="n"/>
      <c r="B713" s="28" t="n"/>
      <c r="C713" s="28" t="n"/>
      <c r="D713" s="28" t="n"/>
      <c r="E713" s="44" t="n"/>
      <c r="F713" s="44" t="n"/>
      <c r="G713" s="23" t="n"/>
      <c r="H713" s="23" t="n"/>
      <c r="I713" s="23" t="n"/>
      <c r="J713" s="23" t="n"/>
      <c r="K713" s="45">
        <f>IF(A713="","",SUM(G$2:I713)-SUM(J$2:J713))</f>
        <v/>
      </c>
      <c r="L713" s="46" t="n"/>
      <c r="M713">
        <f>IF(A713="","",IF(A713=A712,M712,N(M712)+1))</f>
        <v/>
      </c>
      <c r="N713">
        <f>IF(E713="",99999,E713)</f>
        <v/>
      </c>
      <c r="O713">
        <f>IF(E713="",0,IF(F713="",E713,F713))</f>
        <v/>
      </c>
      <c r="P713">
        <f>IF(E713="",1,MAX(1,(YEAR(O713)-YEAR(N713))*12+MONTH(O713)-MONTH(N713)+1))</f>
        <v/>
      </c>
      <c r="Q713">
        <f>IF(G713="",0,G713/P713)</f>
        <v/>
      </c>
      <c r="R713">
        <f>IF(H713="",0,H713/P713)</f>
        <v/>
      </c>
    </row>
    <row r="714">
      <c r="A714" s="43" t="n"/>
      <c r="B714" s="28" t="n"/>
      <c r="C714" s="28" t="n"/>
      <c r="D714" s="28" t="n"/>
      <c r="E714" s="44" t="n"/>
      <c r="F714" s="44" t="n"/>
      <c r="G714" s="23" t="n"/>
      <c r="H714" s="23" t="n"/>
      <c r="I714" s="23" t="n"/>
      <c r="J714" s="23" t="n"/>
      <c r="K714" s="45">
        <f>IF(A714="","",SUM(G$2:I714)-SUM(J$2:J714))</f>
        <v/>
      </c>
      <c r="L714" s="46" t="n"/>
      <c r="M714">
        <f>IF(A714="","",IF(A714=A713,M713,N(M713)+1))</f>
        <v/>
      </c>
      <c r="N714">
        <f>IF(E714="",99999,E714)</f>
        <v/>
      </c>
      <c r="O714">
        <f>IF(E714="",0,IF(F714="",E714,F714))</f>
        <v/>
      </c>
      <c r="P714">
        <f>IF(E714="",1,MAX(1,(YEAR(O714)-YEAR(N714))*12+MONTH(O714)-MONTH(N714)+1))</f>
        <v/>
      </c>
      <c r="Q714">
        <f>IF(G714="",0,G714/P714)</f>
        <v/>
      </c>
      <c r="R714">
        <f>IF(H714="",0,H714/P714)</f>
        <v/>
      </c>
    </row>
    <row r="715">
      <c r="A715" s="43" t="n"/>
      <c r="B715" s="28" t="n"/>
      <c r="C715" s="28" t="n"/>
      <c r="D715" s="28" t="n"/>
      <c r="E715" s="44" t="n"/>
      <c r="F715" s="44" t="n"/>
      <c r="G715" s="23" t="n"/>
      <c r="H715" s="23" t="n"/>
      <c r="I715" s="23" t="n"/>
      <c r="J715" s="23" t="n"/>
      <c r="K715" s="45">
        <f>IF(A715="","",SUM(G$2:I715)-SUM(J$2:J715))</f>
        <v/>
      </c>
      <c r="L715" s="46" t="n"/>
      <c r="M715">
        <f>IF(A715="","",IF(A715=A714,M714,N(M714)+1))</f>
        <v/>
      </c>
      <c r="N715">
        <f>IF(E715="",99999,E715)</f>
        <v/>
      </c>
      <c r="O715">
        <f>IF(E715="",0,IF(F715="",E715,F715))</f>
        <v/>
      </c>
      <c r="P715">
        <f>IF(E715="",1,MAX(1,(YEAR(O715)-YEAR(N715))*12+MONTH(O715)-MONTH(N715)+1))</f>
        <v/>
      </c>
      <c r="Q715">
        <f>IF(G715="",0,G715/P715)</f>
        <v/>
      </c>
      <c r="R715">
        <f>IF(H715="",0,H715/P715)</f>
        <v/>
      </c>
    </row>
    <row r="716">
      <c r="A716" s="43" t="n"/>
      <c r="B716" s="28" t="n"/>
      <c r="C716" s="28" t="n"/>
      <c r="D716" s="28" t="n"/>
      <c r="E716" s="44" t="n"/>
      <c r="F716" s="44" t="n"/>
      <c r="G716" s="23" t="n"/>
      <c r="H716" s="23" t="n"/>
      <c r="I716" s="23" t="n"/>
      <c r="J716" s="23" t="n"/>
      <c r="K716" s="45">
        <f>IF(A716="","",SUM(G$2:I716)-SUM(J$2:J716))</f>
        <v/>
      </c>
      <c r="L716" s="46" t="n"/>
      <c r="M716">
        <f>IF(A716="","",IF(A716=A715,M715,N(M715)+1))</f>
        <v/>
      </c>
      <c r="N716">
        <f>IF(E716="",99999,E716)</f>
        <v/>
      </c>
      <c r="O716">
        <f>IF(E716="",0,IF(F716="",E716,F716))</f>
        <v/>
      </c>
      <c r="P716">
        <f>IF(E716="",1,MAX(1,(YEAR(O716)-YEAR(N716))*12+MONTH(O716)-MONTH(N716)+1))</f>
        <v/>
      </c>
      <c r="Q716">
        <f>IF(G716="",0,G716/P716)</f>
        <v/>
      </c>
      <c r="R716">
        <f>IF(H716="",0,H716/P716)</f>
        <v/>
      </c>
    </row>
    <row r="717">
      <c r="A717" s="43" t="n"/>
      <c r="B717" s="28" t="n"/>
      <c r="C717" s="28" t="n"/>
      <c r="D717" s="28" t="n"/>
      <c r="E717" s="44" t="n"/>
      <c r="F717" s="44" t="n"/>
      <c r="G717" s="23" t="n"/>
      <c r="H717" s="23" t="n"/>
      <c r="I717" s="23" t="n"/>
      <c r="J717" s="23" t="n"/>
      <c r="K717" s="45">
        <f>IF(A717="","",SUM(G$2:I717)-SUM(J$2:J717))</f>
        <v/>
      </c>
      <c r="L717" s="46" t="n"/>
      <c r="M717">
        <f>IF(A717="","",IF(A717=A716,M716,N(M716)+1))</f>
        <v/>
      </c>
      <c r="N717">
        <f>IF(E717="",99999,E717)</f>
        <v/>
      </c>
      <c r="O717">
        <f>IF(E717="",0,IF(F717="",E717,F717))</f>
        <v/>
      </c>
      <c r="P717">
        <f>IF(E717="",1,MAX(1,(YEAR(O717)-YEAR(N717))*12+MONTH(O717)-MONTH(N717)+1))</f>
        <v/>
      </c>
      <c r="Q717">
        <f>IF(G717="",0,G717/P717)</f>
        <v/>
      </c>
      <c r="R717">
        <f>IF(H717="",0,H717/P717)</f>
        <v/>
      </c>
    </row>
    <row r="718">
      <c r="A718" s="43" t="n"/>
      <c r="B718" s="28" t="n"/>
      <c r="C718" s="28" t="n"/>
      <c r="D718" s="28" t="n"/>
      <c r="E718" s="44" t="n"/>
      <c r="F718" s="44" t="n"/>
      <c r="G718" s="23" t="n"/>
      <c r="H718" s="23" t="n"/>
      <c r="I718" s="23" t="n"/>
      <c r="J718" s="23" t="n"/>
      <c r="K718" s="45">
        <f>IF(A718="","",SUM(G$2:I718)-SUM(J$2:J718))</f>
        <v/>
      </c>
      <c r="L718" s="46" t="n"/>
      <c r="M718">
        <f>IF(A718="","",IF(A718=A717,M717,N(M717)+1))</f>
        <v/>
      </c>
      <c r="N718">
        <f>IF(E718="",99999,E718)</f>
        <v/>
      </c>
      <c r="O718">
        <f>IF(E718="",0,IF(F718="",E718,F718))</f>
        <v/>
      </c>
      <c r="P718">
        <f>IF(E718="",1,MAX(1,(YEAR(O718)-YEAR(N718))*12+MONTH(O718)-MONTH(N718)+1))</f>
        <v/>
      </c>
      <c r="Q718">
        <f>IF(G718="",0,G718/P718)</f>
        <v/>
      </c>
      <c r="R718">
        <f>IF(H718="",0,H718/P718)</f>
        <v/>
      </c>
    </row>
    <row r="719">
      <c r="A719" s="43" t="n"/>
      <c r="B719" s="28" t="n"/>
      <c r="C719" s="28" t="n"/>
      <c r="D719" s="28" t="n"/>
      <c r="E719" s="44" t="n"/>
      <c r="F719" s="44" t="n"/>
      <c r="G719" s="23" t="n"/>
      <c r="H719" s="23" t="n"/>
      <c r="I719" s="23" t="n"/>
      <c r="J719" s="23" t="n"/>
      <c r="K719" s="45">
        <f>IF(A719="","",SUM(G$2:I719)-SUM(J$2:J719))</f>
        <v/>
      </c>
      <c r="L719" s="46" t="n"/>
      <c r="M719">
        <f>IF(A719="","",IF(A719=A718,M718,N(M718)+1))</f>
        <v/>
      </c>
      <c r="N719">
        <f>IF(E719="",99999,E719)</f>
        <v/>
      </c>
      <c r="O719">
        <f>IF(E719="",0,IF(F719="",E719,F719))</f>
        <v/>
      </c>
      <c r="P719">
        <f>IF(E719="",1,MAX(1,(YEAR(O719)-YEAR(N719))*12+MONTH(O719)-MONTH(N719)+1))</f>
        <v/>
      </c>
      <c r="Q719">
        <f>IF(G719="",0,G719/P719)</f>
        <v/>
      </c>
      <c r="R719">
        <f>IF(H719="",0,H719/P719)</f>
        <v/>
      </c>
    </row>
    <row r="720">
      <c r="A720" s="43" t="n"/>
      <c r="B720" s="28" t="n"/>
      <c r="C720" s="28" t="n"/>
      <c r="D720" s="28" t="n"/>
      <c r="E720" s="44" t="n"/>
      <c r="F720" s="44" t="n"/>
      <c r="G720" s="23" t="n"/>
      <c r="H720" s="23" t="n"/>
      <c r="I720" s="23" t="n"/>
      <c r="J720" s="23" t="n"/>
      <c r="K720" s="45">
        <f>IF(A720="","",SUM(G$2:I720)-SUM(J$2:J720))</f>
        <v/>
      </c>
      <c r="L720" s="46" t="n"/>
      <c r="M720">
        <f>IF(A720="","",IF(A720=A719,M719,N(M719)+1))</f>
        <v/>
      </c>
      <c r="N720">
        <f>IF(E720="",99999,E720)</f>
        <v/>
      </c>
      <c r="O720">
        <f>IF(E720="",0,IF(F720="",E720,F720))</f>
        <v/>
      </c>
      <c r="P720">
        <f>IF(E720="",1,MAX(1,(YEAR(O720)-YEAR(N720))*12+MONTH(O720)-MONTH(N720)+1))</f>
        <v/>
      </c>
      <c r="Q720">
        <f>IF(G720="",0,G720/P720)</f>
        <v/>
      </c>
      <c r="R720">
        <f>IF(H720="",0,H720/P720)</f>
        <v/>
      </c>
    </row>
    <row r="721">
      <c r="A721" s="43" t="n"/>
      <c r="B721" s="28" t="n"/>
      <c r="C721" s="28" t="n"/>
      <c r="D721" s="28" t="n"/>
      <c r="E721" s="44" t="n"/>
      <c r="F721" s="44" t="n"/>
      <c r="G721" s="23" t="n"/>
      <c r="H721" s="23" t="n"/>
      <c r="I721" s="23" t="n"/>
      <c r="J721" s="23" t="n"/>
      <c r="K721" s="45">
        <f>IF(A721="","",SUM(G$2:I721)-SUM(J$2:J721))</f>
        <v/>
      </c>
      <c r="L721" s="46" t="n"/>
      <c r="M721">
        <f>IF(A721="","",IF(A721=A720,M720,N(M720)+1))</f>
        <v/>
      </c>
      <c r="N721">
        <f>IF(E721="",99999,E721)</f>
        <v/>
      </c>
      <c r="O721">
        <f>IF(E721="",0,IF(F721="",E721,F721))</f>
        <v/>
      </c>
      <c r="P721">
        <f>IF(E721="",1,MAX(1,(YEAR(O721)-YEAR(N721))*12+MONTH(O721)-MONTH(N721)+1))</f>
        <v/>
      </c>
      <c r="Q721">
        <f>IF(G721="",0,G721/P721)</f>
        <v/>
      </c>
      <c r="R721">
        <f>IF(H721="",0,H721/P721)</f>
        <v/>
      </c>
    </row>
    <row r="722">
      <c r="A722" s="43" t="n"/>
      <c r="B722" s="28" t="n"/>
      <c r="C722" s="28" t="n"/>
      <c r="D722" s="28" t="n"/>
      <c r="E722" s="44" t="n"/>
      <c r="F722" s="44" t="n"/>
      <c r="G722" s="23" t="n"/>
      <c r="H722" s="23" t="n"/>
      <c r="I722" s="23" t="n"/>
      <c r="J722" s="23" t="n"/>
      <c r="K722" s="45">
        <f>IF(A722="","",SUM(G$2:I722)-SUM(J$2:J722))</f>
        <v/>
      </c>
      <c r="L722" s="46" t="n"/>
      <c r="M722">
        <f>IF(A722="","",IF(A722=A721,M721,N(M721)+1))</f>
        <v/>
      </c>
      <c r="N722">
        <f>IF(E722="",99999,E722)</f>
        <v/>
      </c>
      <c r="O722">
        <f>IF(E722="",0,IF(F722="",E722,F722))</f>
        <v/>
      </c>
      <c r="P722">
        <f>IF(E722="",1,MAX(1,(YEAR(O722)-YEAR(N722))*12+MONTH(O722)-MONTH(N722)+1))</f>
        <v/>
      </c>
      <c r="Q722">
        <f>IF(G722="",0,G722/P722)</f>
        <v/>
      </c>
      <c r="R722">
        <f>IF(H722="",0,H722/P722)</f>
        <v/>
      </c>
    </row>
    <row r="723">
      <c r="A723" s="43" t="n"/>
      <c r="B723" s="28" t="n"/>
      <c r="C723" s="28" t="n"/>
      <c r="D723" s="28" t="n"/>
      <c r="E723" s="44" t="n"/>
      <c r="F723" s="44" t="n"/>
      <c r="G723" s="23" t="n"/>
      <c r="H723" s="23" t="n"/>
      <c r="I723" s="23" t="n"/>
      <c r="J723" s="23" t="n"/>
      <c r="K723" s="45">
        <f>IF(A723="","",SUM(G$2:I723)-SUM(J$2:J723))</f>
        <v/>
      </c>
      <c r="L723" s="46" t="n"/>
      <c r="M723">
        <f>IF(A723="","",IF(A723=A722,M722,N(M722)+1))</f>
        <v/>
      </c>
      <c r="N723">
        <f>IF(E723="",99999,E723)</f>
        <v/>
      </c>
      <c r="O723">
        <f>IF(E723="",0,IF(F723="",E723,F723))</f>
        <v/>
      </c>
      <c r="P723">
        <f>IF(E723="",1,MAX(1,(YEAR(O723)-YEAR(N723))*12+MONTH(O723)-MONTH(N723)+1))</f>
        <v/>
      </c>
      <c r="Q723">
        <f>IF(G723="",0,G723/P723)</f>
        <v/>
      </c>
      <c r="R723">
        <f>IF(H723="",0,H723/P723)</f>
        <v/>
      </c>
    </row>
    <row r="724">
      <c r="A724" s="43" t="n"/>
      <c r="B724" s="28" t="n"/>
      <c r="C724" s="28" t="n"/>
      <c r="D724" s="28" t="n"/>
      <c r="E724" s="44" t="n"/>
      <c r="F724" s="44" t="n"/>
      <c r="G724" s="23" t="n"/>
      <c r="H724" s="23" t="n"/>
      <c r="I724" s="23" t="n"/>
      <c r="J724" s="23" t="n"/>
      <c r="K724" s="45">
        <f>IF(A724="","",SUM(G$2:I724)-SUM(J$2:J724))</f>
        <v/>
      </c>
      <c r="L724" s="46" t="n"/>
      <c r="M724">
        <f>IF(A724="","",IF(A724=A723,M723,N(M723)+1))</f>
        <v/>
      </c>
      <c r="N724">
        <f>IF(E724="",99999,E724)</f>
        <v/>
      </c>
      <c r="O724">
        <f>IF(E724="",0,IF(F724="",E724,F724))</f>
        <v/>
      </c>
      <c r="P724">
        <f>IF(E724="",1,MAX(1,(YEAR(O724)-YEAR(N724))*12+MONTH(O724)-MONTH(N724)+1))</f>
        <v/>
      </c>
      <c r="Q724">
        <f>IF(G724="",0,G724/P724)</f>
        <v/>
      </c>
      <c r="R724">
        <f>IF(H724="",0,H724/P724)</f>
        <v/>
      </c>
    </row>
    <row r="725">
      <c r="A725" s="43" t="n"/>
      <c r="B725" s="28" t="n"/>
      <c r="C725" s="28" t="n"/>
      <c r="D725" s="28" t="n"/>
      <c r="E725" s="44" t="n"/>
      <c r="F725" s="44" t="n"/>
      <c r="G725" s="23" t="n"/>
      <c r="H725" s="23" t="n"/>
      <c r="I725" s="23" t="n"/>
      <c r="J725" s="23" t="n"/>
      <c r="K725" s="45">
        <f>IF(A725="","",SUM(G$2:I725)-SUM(J$2:J725))</f>
        <v/>
      </c>
      <c r="L725" s="46" t="n"/>
      <c r="M725">
        <f>IF(A725="","",IF(A725=A724,M724,N(M724)+1))</f>
        <v/>
      </c>
      <c r="N725">
        <f>IF(E725="",99999,E725)</f>
        <v/>
      </c>
      <c r="O725">
        <f>IF(E725="",0,IF(F725="",E725,F725))</f>
        <v/>
      </c>
      <c r="P725">
        <f>IF(E725="",1,MAX(1,(YEAR(O725)-YEAR(N725))*12+MONTH(O725)-MONTH(N725)+1))</f>
        <v/>
      </c>
      <c r="Q725">
        <f>IF(G725="",0,G725/P725)</f>
        <v/>
      </c>
      <c r="R725">
        <f>IF(H725="",0,H725/P725)</f>
        <v/>
      </c>
    </row>
    <row r="726">
      <c r="A726" s="43" t="n"/>
      <c r="B726" s="28" t="n"/>
      <c r="C726" s="28" t="n"/>
      <c r="D726" s="28" t="n"/>
      <c r="E726" s="44" t="n"/>
      <c r="F726" s="44" t="n"/>
      <c r="G726" s="23" t="n"/>
      <c r="H726" s="23" t="n"/>
      <c r="I726" s="23" t="n"/>
      <c r="J726" s="23" t="n"/>
      <c r="K726" s="45">
        <f>IF(A726="","",SUM(G$2:I726)-SUM(J$2:J726))</f>
        <v/>
      </c>
      <c r="L726" s="46" t="n"/>
      <c r="M726">
        <f>IF(A726="","",IF(A726=A725,M725,N(M725)+1))</f>
        <v/>
      </c>
      <c r="N726">
        <f>IF(E726="",99999,E726)</f>
        <v/>
      </c>
      <c r="O726">
        <f>IF(E726="",0,IF(F726="",E726,F726))</f>
        <v/>
      </c>
      <c r="P726">
        <f>IF(E726="",1,MAX(1,(YEAR(O726)-YEAR(N726))*12+MONTH(O726)-MONTH(N726)+1))</f>
        <v/>
      </c>
      <c r="Q726">
        <f>IF(G726="",0,G726/P726)</f>
        <v/>
      </c>
      <c r="R726">
        <f>IF(H726="",0,H726/P726)</f>
        <v/>
      </c>
    </row>
    <row r="727">
      <c r="A727" s="43" t="n"/>
      <c r="B727" s="28" t="n"/>
      <c r="C727" s="28" t="n"/>
      <c r="D727" s="28" t="n"/>
      <c r="E727" s="44" t="n"/>
      <c r="F727" s="44" t="n"/>
      <c r="G727" s="23" t="n"/>
      <c r="H727" s="23" t="n"/>
      <c r="I727" s="23" t="n"/>
      <c r="J727" s="23" t="n"/>
      <c r="K727" s="45">
        <f>IF(A727="","",SUM(G$2:I727)-SUM(J$2:J727))</f>
        <v/>
      </c>
      <c r="L727" s="46" t="n"/>
      <c r="M727">
        <f>IF(A727="","",IF(A727=A726,M726,N(M726)+1))</f>
        <v/>
      </c>
      <c r="N727">
        <f>IF(E727="",99999,E727)</f>
        <v/>
      </c>
      <c r="O727">
        <f>IF(E727="",0,IF(F727="",E727,F727))</f>
        <v/>
      </c>
      <c r="P727">
        <f>IF(E727="",1,MAX(1,(YEAR(O727)-YEAR(N727))*12+MONTH(O727)-MONTH(N727)+1))</f>
        <v/>
      </c>
      <c r="Q727">
        <f>IF(G727="",0,G727/P727)</f>
        <v/>
      </c>
      <c r="R727">
        <f>IF(H727="",0,H727/P727)</f>
        <v/>
      </c>
    </row>
    <row r="728">
      <c r="A728" s="43" t="n"/>
      <c r="B728" s="28" t="n"/>
      <c r="C728" s="28" t="n"/>
      <c r="D728" s="28" t="n"/>
      <c r="E728" s="44" t="n"/>
      <c r="F728" s="44" t="n"/>
      <c r="G728" s="23" t="n"/>
      <c r="H728" s="23" t="n"/>
      <c r="I728" s="23" t="n"/>
      <c r="J728" s="23" t="n"/>
      <c r="K728" s="45">
        <f>IF(A728="","",SUM(G$2:I728)-SUM(J$2:J728))</f>
        <v/>
      </c>
      <c r="L728" s="46" t="n"/>
      <c r="M728">
        <f>IF(A728="","",IF(A728=A727,M727,N(M727)+1))</f>
        <v/>
      </c>
      <c r="N728">
        <f>IF(E728="",99999,E728)</f>
        <v/>
      </c>
      <c r="O728">
        <f>IF(E728="",0,IF(F728="",E728,F728))</f>
        <v/>
      </c>
      <c r="P728">
        <f>IF(E728="",1,MAX(1,(YEAR(O728)-YEAR(N728))*12+MONTH(O728)-MONTH(N728)+1))</f>
        <v/>
      </c>
      <c r="Q728">
        <f>IF(G728="",0,G728/P728)</f>
        <v/>
      </c>
      <c r="R728">
        <f>IF(H728="",0,H728/P728)</f>
        <v/>
      </c>
    </row>
    <row r="729">
      <c r="A729" s="43" t="n"/>
      <c r="B729" s="28" t="n"/>
      <c r="C729" s="28" t="n"/>
      <c r="D729" s="28" t="n"/>
      <c r="E729" s="44" t="n"/>
      <c r="F729" s="44" t="n"/>
      <c r="G729" s="23" t="n"/>
      <c r="H729" s="23" t="n"/>
      <c r="I729" s="23" t="n"/>
      <c r="J729" s="23" t="n"/>
      <c r="K729" s="45">
        <f>IF(A729="","",SUM(G$2:I729)-SUM(J$2:J729))</f>
        <v/>
      </c>
      <c r="L729" s="46" t="n"/>
      <c r="M729">
        <f>IF(A729="","",IF(A729=A728,M728,N(M728)+1))</f>
        <v/>
      </c>
      <c r="N729">
        <f>IF(E729="",99999,E729)</f>
        <v/>
      </c>
      <c r="O729">
        <f>IF(E729="",0,IF(F729="",E729,F729))</f>
        <v/>
      </c>
      <c r="P729">
        <f>IF(E729="",1,MAX(1,(YEAR(O729)-YEAR(N729))*12+MONTH(O729)-MONTH(N729)+1))</f>
        <v/>
      </c>
      <c r="Q729">
        <f>IF(G729="",0,G729/P729)</f>
        <v/>
      </c>
      <c r="R729">
        <f>IF(H729="",0,H729/P729)</f>
        <v/>
      </c>
    </row>
    <row r="730">
      <c r="A730" s="43" t="n"/>
      <c r="B730" s="28" t="n"/>
      <c r="C730" s="28" t="n"/>
      <c r="D730" s="28" t="n"/>
      <c r="E730" s="44" t="n"/>
      <c r="F730" s="44" t="n"/>
      <c r="G730" s="23" t="n"/>
      <c r="H730" s="23" t="n"/>
      <c r="I730" s="23" t="n"/>
      <c r="J730" s="23" t="n"/>
      <c r="K730" s="45">
        <f>IF(A730="","",SUM(G$2:I730)-SUM(J$2:J730))</f>
        <v/>
      </c>
      <c r="L730" s="46" t="n"/>
      <c r="M730">
        <f>IF(A730="","",IF(A730=A729,M729,N(M729)+1))</f>
        <v/>
      </c>
      <c r="N730">
        <f>IF(E730="",99999,E730)</f>
        <v/>
      </c>
      <c r="O730">
        <f>IF(E730="",0,IF(F730="",E730,F730))</f>
        <v/>
      </c>
      <c r="P730">
        <f>IF(E730="",1,MAX(1,(YEAR(O730)-YEAR(N730))*12+MONTH(O730)-MONTH(N730)+1))</f>
        <v/>
      </c>
      <c r="Q730">
        <f>IF(G730="",0,G730/P730)</f>
        <v/>
      </c>
      <c r="R730">
        <f>IF(H730="",0,H730/P730)</f>
        <v/>
      </c>
    </row>
    <row r="731">
      <c r="A731" s="43" t="n"/>
      <c r="B731" s="28" t="n"/>
      <c r="C731" s="28" t="n"/>
      <c r="D731" s="28" t="n"/>
      <c r="E731" s="44" t="n"/>
      <c r="F731" s="44" t="n"/>
      <c r="G731" s="23" t="n"/>
      <c r="H731" s="23" t="n"/>
      <c r="I731" s="23" t="n"/>
      <c r="J731" s="23" t="n"/>
      <c r="K731" s="45">
        <f>IF(A731="","",SUM(G$2:I731)-SUM(J$2:J731))</f>
        <v/>
      </c>
      <c r="L731" s="46" t="n"/>
      <c r="M731">
        <f>IF(A731="","",IF(A731=A730,M730,N(M730)+1))</f>
        <v/>
      </c>
      <c r="N731">
        <f>IF(E731="",99999,E731)</f>
        <v/>
      </c>
      <c r="O731">
        <f>IF(E731="",0,IF(F731="",E731,F731))</f>
        <v/>
      </c>
      <c r="P731">
        <f>IF(E731="",1,MAX(1,(YEAR(O731)-YEAR(N731))*12+MONTH(O731)-MONTH(N731)+1))</f>
        <v/>
      </c>
      <c r="Q731">
        <f>IF(G731="",0,G731/P731)</f>
        <v/>
      </c>
      <c r="R731">
        <f>IF(H731="",0,H731/P731)</f>
        <v/>
      </c>
    </row>
    <row r="732">
      <c r="A732" s="43" t="n"/>
      <c r="B732" s="28" t="n"/>
      <c r="C732" s="28" t="n"/>
      <c r="D732" s="28" t="n"/>
      <c r="E732" s="44" t="n"/>
      <c r="F732" s="44" t="n"/>
      <c r="G732" s="23" t="n"/>
      <c r="H732" s="23" t="n"/>
      <c r="I732" s="23" t="n"/>
      <c r="J732" s="23" t="n"/>
      <c r="K732" s="45">
        <f>IF(A732="","",SUM(G$2:I732)-SUM(J$2:J732))</f>
        <v/>
      </c>
      <c r="L732" s="46" t="n"/>
      <c r="M732">
        <f>IF(A732="","",IF(A732=A731,M731,N(M731)+1))</f>
        <v/>
      </c>
      <c r="N732">
        <f>IF(E732="",99999,E732)</f>
        <v/>
      </c>
      <c r="O732">
        <f>IF(E732="",0,IF(F732="",E732,F732))</f>
        <v/>
      </c>
      <c r="P732">
        <f>IF(E732="",1,MAX(1,(YEAR(O732)-YEAR(N732))*12+MONTH(O732)-MONTH(N732)+1))</f>
        <v/>
      </c>
      <c r="Q732">
        <f>IF(G732="",0,G732/P732)</f>
        <v/>
      </c>
      <c r="R732">
        <f>IF(H732="",0,H732/P732)</f>
        <v/>
      </c>
    </row>
    <row r="733">
      <c r="A733" s="43" t="n"/>
      <c r="B733" s="28" t="n"/>
      <c r="C733" s="28" t="n"/>
      <c r="D733" s="28" t="n"/>
      <c r="E733" s="44" t="n"/>
      <c r="F733" s="44" t="n"/>
      <c r="G733" s="23" t="n"/>
      <c r="H733" s="23" t="n"/>
      <c r="I733" s="23" t="n"/>
      <c r="J733" s="23" t="n"/>
      <c r="K733" s="45">
        <f>IF(A733="","",SUM(G$2:I733)-SUM(J$2:J733))</f>
        <v/>
      </c>
      <c r="L733" s="46" t="n"/>
      <c r="M733">
        <f>IF(A733="","",IF(A733=A732,M732,N(M732)+1))</f>
        <v/>
      </c>
      <c r="N733">
        <f>IF(E733="",99999,E733)</f>
        <v/>
      </c>
      <c r="O733">
        <f>IF(E733="",0,IF(F733="",E733,F733))</f>
        <v/>
      </c>
      <c r="P733">
        <f>IF(E733="",1,MAX(1,(YEAR(O733)-YEAR(N733))*12+MONTH(O733)-MONTH(N733)+1))</f>
        <v/>
      </c>
      <c r="Q733">
        <f>IF(G733="",0,G733/P733)</f>
        <v/>
      </c>
      <c r="R733">
        <f>IF(H733="",0,H733/P733)</f>
        <v/>
      </c>
    </row>
    <row r="734">
      <c r="A734" s="43" t="n"/>
      <c r="B734" s="28" t="n"/>
      <c r="C734" s="28" t="n"/>
      <c r="D734" s="28" t="n"/>
      <c r="E734" s="44" t="n"/>
      <c r="F734" s="44" t="n"/>
      <c r="G734" s="23" t="n"/>
      <c r="H734" s="23" t="n"/>
      <c r="I734" s="23" t="n"/>
      <c r="J734" s="23" t="n"/>
      <c r="K734" s="45">
        <f>IF(A734="","",SUM(G$2:I734)-SUM(J$2:J734))</f>
        <v/>
      </c>
      <c r="L734" s="46" t="n"/>
      <c r="M734">
        <f>IF(A734="","",IF(A734=A733,M733,N(M733)+1))</f>
        <v/>
      </c>
      <c r="N734">
        <f>IF(E734="",99999,E734)</f>
        <v/>
      </c>
      <c r="O734">
        <f>IF(E734="",0,IF(F734="",E734,F734))</f>
        <v/>
      </c>
      <c r="P734">
        <f>IF(E734="",1,MAX(1,(YEAR(O734)-YEAR(N734))*12+MONTH(O734)-MONTH(N734)+1))</f>
        <v/>
      </c>
      <c r="Q734">
        <f>IF(G734="",0,G734/P734)</f>
        <v/>
      </c>
      <c r="R734">
        <f>IF(H734="",0,H734/P734)</f>
        <v/>
      </c>
    </row>
    <row r="735">
      <c r="A735" s="43" t="n"/>
      <c r="B735" s="28" t="n"/>
      <c r="C735" s="28" t="n"/>
      <c r="D735" s="28" t="n"/>
      <c r="E735" s="44" t="n"/>
      <c r="F735" s="44" t="n"/>
      <c r="G735" s="23" t="n"/>
      <c r="H735" s="23" t="n"/>
      <c r="I735" s="23" t="n"/>
      <c r="J735" s="23" t="n"/>
      <c r="K735" s="45">
        <f>IF(A735="","",SUM(G$2:I735)-SUM(J$2:J735))</f>
        <v/>
      </c>
      <c r="L735" s="46" t="n"/>
      <c r="M735">
        <f>IF(A735="","",IF(A735=A734,M734,N(M734)+1))</f>
        <v/>
      </c>
      <c r="N735">
        <f>IF(E735="",99999,E735)</f>
        <v/>
      </c>
      <c r="O735">
        <f>IF(E735="",0,IF(F735="",E735,F735))</f>
        <v/>
      </c>
      <c r="P735">
        <f>IF(E735="",1,MAX(1,(YEAR(O735)-YEAR(N735))*12+MONTH(O735)-MONTH(N735)+1))</f>
        <v/>
      </c>
      <c r="Q735">
        <f>IF(G735="",0,G735/P735)</f>
        <v/>
      </c>
      <c r="R735">
        <f>IF(H735="",0,H735/P735)</f>
        <v/>
      </c>
    </row>
    <row r="736">
      <c r="A736" s="43" t="n"/>
      <c r="B736" s="28" t="n"/>
      <c r="C736" s="28" t="n"/>
      <c r="D736" s="28" t="n"/>
      <c r="E736" s="44" t="n"/>
      <c r="F736" s="44" t="n"/>
      <c r="G736" s="23" t="n"/>
      <c r="H736" s="23" t="n"/>
      <c r="I736" s="23" t="n"/>
      <c r="J736" s="23" t="n"/>
      <c r="K736" s="45">
        <f>IF(A736="","",SUM(G$2:I736)-SUM(J$2:J736))</f>
        <v/>
      </c>
      <c r="L736" s="46" t="n"/>
      <c r="M736">
        <f>IF(A736="","",IF(A736=A735,M735,N(M735)+1))</f>
        <v/>
      </c>
      <c r="N736">
        <f>IF(E736="",99999,E736)</f>
        <v/>
      </c>
      <c r="O736">
        <f>IF(E736="",0,IF(F736="",E736,F736))</f>
        <v/>
      </c>
      <c r="P736">
        <f>IF(E736="",1,MAX(1,(YEAR(O736)-YEAR(N736))*12+MONTH(O736)-MONTH(N736)+1))</f>
        <v/>
      </c>
      <c r="Q736">
        <f>IF(G736="",0,G736/P736)</f>
        <v/>
      </c>
      <c r="R736">
        <f>IF(H736="",0,H736/P736)</f>
        <v/>
      </c>
    </row>
    <row r="737">
      <c r="A737" s="43" t="n"/>
      <c r="B737" s="28" t="n"/>
      <c r="C737" s="28" t="n"/>
      <c r="D737" s="28" t="n"/>
      <c r="E737" s="44" t="n"/>
      <c r="F737" s="44" t="n"/>
      <c r="G737" s="23" t="n"/>
      <c r="H737" s="23" t="n"/>
      <c r="I737" s="23" t="n"/>
      <c r="J737" s="23" t="n"/>
      <c r="K737" s="45">
        <f>IF(A737="","",SUM(G$2:I737)-SUM(J$2:J737))</f>
        <v/>
      </c>
      <c r="L737" s="46" t="n"/>
      <c r="M737">
        <f>IF(A737="","",IF(A737=A736,M736,N(M736)+1))</f>
        <v/>
      </c>
      <c r="N737">
        <f>IF(E737="",99999,E737)</f>
        <v/>
      </c>
      <c r="O737">
        <f>IF(E737="",0,IF(F737="",E737,F737))</f>
        <v/>
      </c>
      <c r="P737">
        <f>IF(E737="",1,MAX(1,(YEAR(O737)-YEAR(N737))*12+MONTH(O737)-MONTH(N737)+1))</f>
        <v/>
      </c>
      <c r="Q737">
        <f>IF(G737="",0,G737/P737)</f>
        <v/>
      </c>
      <c r="R737">
        <f>IF(H737="",0,H737/P737)</f>
        <v/>
      </c>
    </row>
    <row r="738">
      <c r="A738" s="43" t="n"/>
      <c r="B738" s="28" t="n"/>
      <c r="C738" s="28" t="n"/>
      <c r="D738" s="28" t="n"/>
      <c r="E738" s="44" t="n"/>
      <c r="F738" s="44" t="n"/>
      <c r="G738" s="23" t="n"/>
      <c r="H738" s="23" t="n"/>
      <c r="I738" s="23" t="n"/>
      <c r="J738" s="23" t="n"/>
      <c r="K738" s="45">
        <f>IF(A738="","",SUM(G$2:I738)-SUM(J$2:J738))</f>
        <v/>
      </c>
      <c r="L738" s="46" t="n"/>
      <c r="M738">
        <f>IF(A738="","",IF(A738=A737,M737,N(M737)+1))</f>
        <v/>
      </c>
      <c r="N738">
        <f>IF(E738="",99999,E738)</f>
        <v/>
      </c>
      <c r="O738">
        <f>IF(E738="",0,IF(F738="",E738,F738))</f>
        <v/>
      </c>
      <c r="P738">
        <f>IF(E738="",1,MAX(1,(YEAR(O738)-YEAR(N738))*12+MONTH(O738)-MONTH(N738)+1))</f>
        <v/>
      </c>
      <c r="Q738">
        <f>IF(G738="",0,G738/P738)</f>
        <v/>
      </c>
      <c r="R738">
        <f>IF(H738="",0,H738/P738)</f>
        <v/>
      </c>
    </row>
    <row r="739">
      <c r="A739" s="43" t="n"/>
      <c r="B739" s="28" t="n"/>
      <c r="C739" s="28" t="n"/>
      <c r="D739" s="28" t="n"/>
      <c r="E739" s="44" t="n"/>
      <c r="F739" s="44" t="n"/>
      <c r="G739" s="23" t="n"/>
      <c r="H739" s="23" t="n"/>
      <c r="I739" s="23" t="n"/>
      <c r="J739" s="23" t="n"/>
      <c r="K739" s="45">
        <f>IF(A739="","",SUM(G$2:I739)-SUM(J$2:J739))</f>
        <v/>
      </c>
      <c r="L739" s="46" t="n"/>
      <c r="M739">
        <f>IF(A739="","",IF(A739=A738,M738,N(M738)+1))</f>
        <v/>
      </c>
      <c r="N739">
        <f>IF(E739="",99999,E739)</f>
        <v/>
      </c>
      <c r="O739">
        <f>IF(E739="",0,IF(F739="",E739,F739))</f>
        <v/>
      </c>
      <c r="P739">
        <f>IF(E739="",1,MAX(1,(YEAR(O739)-YEAR(N739))*12+MONTH(O739)-MONTH(N739)+1))</f>
        <v/>
      </c>
      <c r="Q739">
        <f>IF(G739="",0,G739/P739)</f>
        <v/>
      </c>
      <c r="R739">
        <f>IF(H739="",0,H739/P739)</f>
        <v/>
      </c>
    </row>
    <row r="740">
      <c r="A740" s="43" t="n"/>
      <c r="B740" s="28" t="n"/>
      <c r="C740" s="28" t="n"/>
      <c r="D740" s="28" t="n"/>
      <c r="E740" s="44" t="n"/>
      <c r="F740" s="44" t="n"/>
      <c r="G740" s="23" t="n"/>
      <c r="H740" s="23" t="n"/>
      <c r="I740" s="23" t="n"/>
      <c r="J740" s="23" t="n"/>
      <c r="K740" s="45">
        <f>IF(A740="","",SUM(G$2:I740)-SUM(J$2:J740))</f>
        <v/>
      </c>
      <c r="L740" s="46" t="n"/>
      <c r="M740">
        <f>IF(A740="","",IF(A740=A739,M739,N(M739)+1))</f>
        <v/>
      </c>
      <c r="N740">
        <f>IF(E740="",99999,E740)</f>
        <v/>
      </c>
      <c r="O740">
        <f>IF(E740="",0,IF(F740="",E740,F740))</f>
        <v/>
      </c>
      <c r="P740">
        <f>IF(E740="",1,MAX(1,(YEAR(O740)-YEAR(N740))*12+MONTH(O740)-MONTH(N740)+1))</f>
        <v/>
      </c>
      <c r="Q740">
        <f>IF(G740="",0,G740/P740)</f>
        <v/>
      </c>
      <c r="R740">
        <f>IF(H740="",0,H740/P740)</f>
        <v/>
      </c>
    </row>
    <row r="741">
      <c r="A741" s="43" t="n"/>
      <c r="B741" s="28" t="n"/>
      <c r="C741" s="28" t="n"/>
      <c r="D741" s="28" t="n"/>
      <c r="E741" s="44" t="n"/>
      <c r="F741" s="44" t="n"/>
      <c r="G741" s="23" t="n"/>
      <c r="H741" s="23" t="n"/>
      <c r="I741" s="23" t="n"/>
      <c r="J741" s="23" t="n"/>
      <c r="K741" s="45">
        <f>IF(A741="","",SUM(G$2:I741)-SUM(J$2:J741))</f>
        <v/>
      </c>
      <c r="L741" s="46" t="n"/>
      <c r="M741">
        <f>IF(A741="","",IF(A741=A740,M740,N(M740)+1))</f>
        <v/>
      </c>
      <c r="N741">
        <f>IF(E741="",99999,E741)</f>
        <v/>
      </c>
      <c r="O741">
        <f>IF(E741="",0,IF(F741="",E741,F741))</f>
        <v/>
      </c>
      <c r="P741">
        <f>IF(E741="",1,MAX(1,(YEAR(O741)-YEAR(N741))*12+MONTH(O741)-MONTH(N741)+1))</f>
        <v/>
      </c>
      <c r="Q741">
        <f>IF(G741="",0,G741/P741)</f>
        <v/>
      </c>
      <c r="R741">
        <f>IF(H741="",0,H741/P741)</f>
        <v/>
      </c>
    </row>
    <row r="742">
      <c r="A742" s="43" t="n"/>
      <c r="B742" s="28" t="n"/>
      <c r="C742" s="28" t="n"/>
      <c r="D742" s="28" t="n"/>
      <c r="E742" s="44" t="n"/>
      <c r="F742" s="44" t="n"/>
      <c r="G742" s="23" t="n"/>
      <c r="H742" s="23" t="n"/>
      <c r="I742" s="23" t="n"/>
      <c r="J742" s="23" t="n"/>
      <c r="K742" s="45">
        <f>IF(A742="","",SUM(G$2:I742)-SUM(J$2:J742))</f>
        <v/>
      </c>
      <c r="L742" s="46" t="n"/>
      <c r="M742">
        <f>IF(A742="","",IF(A742=A741,M741,N(M741)+1))</f>
        <v/>
      </c>
      <c r="N742">
        <f>IF(E742="",99999,E742)</f>
        <v/>
      </c>
      <c r="O742">
        <f>IF(E742="",0,IF(F742="",E742,F742))</f>
        <v/>
      </c>
      <c r="P742">
        <f>IF(E742="",1,MAX(1,(YEAR(O742)-YEAR(N742))*12+MONTH(O742)-MONTH(N742)+1))</f>
        <v/>
      </c>
      <c r="Q742">
        <f>IF(G742="",0,G742/P742)</f>
        <v/>
      </c>
      <c r="R742">
        <f>IF(H742="",0,H742/P742)</f>
        <v/>
      </c>
    </row>
    <row r="743">
      <c r="A743" s="43" t="n"/>
      <c r="B743" s="28" t="n"/>
      <c r="C743" s="28" t="n"/>
      <c r="D743" s="28" t="n"/>
      <c r="E743" s="44" t="n"/>
      <c r="F743" s="44" t="n"/>
      <c r="G743" s="23" t="n"/>
      <c r="H743" s="23" t="n"/>
      <c r="I743" s="23" t="n"/>
      <c r="J743" s="23" t="n"/>
      <c r="K743" s="45">
        <f>IF(A743="","",SUM(G$2:I743)-SUM(J$2:J743))</f>
        <v/>
      </c>
      <c r="L743" s="46" t="n"/>
      <c r="M743">
        <f>IF(A743="","",IF(A743=A742,M742,N(M742)+1))</f>
        <v/>
      </c>
      <c r="N743">
        <f>IF(E743="",99999,E743)</f>
        <v/>
      </c>
      <c r="O743">
        <f>IF(E743="",0,IF(F743="",E743,F743))</f>
        <v/>
      </c>
      <c r="P743">
        <f>IF(E743="",1,MAX(1,(YEAR(O743)-YEAR(N743))*12+MONTH(O743)-MONTH(N743)+1))</f>
        <v/>
      </c>
      <c r="Q743">
        <f>IF(G743="",0,G743/P743)</f>
        <v/>
      </c>
      <c r="R743">
        <f>IF(H743="",0,H743/P743)</f>
        <v/>
      </c>
    </row>
    <row r="744">
      <c r="A744" s="43" t="n"/>
      <c r="B744" s="28" t="n"/>
      <c r="C744" s="28" t="n"/>
      <c r="D744" s="28" t="n"/>
      <c r="E744" s="44" t="n"/>
      <c r="F744" s="44" t="n"/>
      <c r="G744" s="23" t="n"/>
      <c r="H744" s="23" t="n"/>
      <c r="I744" s="23" t="n"/>
      <c r="J744" s="23" t="n"/>
      <c r="K744" s="45">
        <f>IF(A744="","",SUM(G$2:I744)-SUM(J$2:J744))</f>
        <v/>
      </c>
      <c r="L744" s="46" t="n"/>
      <c r="M744">
        <f>IF(A744="","",IF(A744=A743,M743,N(M743)+1))</f>
        <v/>
      </c>
      <c r="N744">
        <f>IF(E744="",99999,E744)</f>
        <v/>
      </c>
      <c r="O744">
        <f>IF(E744="",0,IF(F744="",E744,F744))</f>
        <v/>
      </c>
      <c r="P744">
        <f>IF(E744="",1,MAX(1,(YEAR(O744)-YEAR(N744))*12+MONTH(O744)-MONTH(N744)+1))</f>
        <v/>
      </c>
      <c r="Q744">
        <f>IF(G744="",0,G744/P744)</f>
        <v/>
      </c>
      <c r="R744">
        <f>IF(H744="",0,H744/P744)</f>
        <v/>
      </c>
    </row>
    <row r="745">
      <c r="A745" s="43" t="n"/>
      <c r="B745" s="28" t="n"/>
      <c r="C745" s="28" t="n"/>
      <c r="D745" s="28" t="n"/>
      <c r="E745" s="44" t="n"/>
      <c r="F745" s="44" t="n"/>
      <c r="G745" s="23" t="n"/>
      <c r="H745" s="23" t="n"/>
      <c r="I745" s="23" t="n"/>
      <c r="J745" s="23" t="n"/>
      <c r="K745" s="45">
        <f>IF(A745="","",SUM(G$2:I745)-SUM(J$2:J745))</f>
        <v/>
      </c>
      <c r="L745" s="46" t="n"/>
      <c r="M745">
        <f>IF(A745="","",IF(A745=A744,M744,N(M744)+1))</f>
        <v/>
      </c>
      <c r="N745">
        <f>IF(E745="",99999,E745)</f>
        <v/>
      </c>
      <c r="O745">
        <f>IF(E745="",0,IF(F745="",E745,F745))</f>
        <v/>
      </c>
      <c r="P745">
        <f>IF(E745="",1,MAX(1,(YEAR(O745)-YEAR(N745))*12+MONTH(O745)-MONTH(N745)+1))</f>
        <v/>
      </c>
      <c r="Q745">
        <f>IF(G745="",0,G745/P745)</f>
        <v/>
      </c>
      <c r="R745">
        <f>IF(H745="",0,H745/P745)</f>
        <v/>
      </c>
    </row>
    <row r="746">
      <c r="A746" s="43" t="n"/>
      <c r="B746" s="28" t="n"/>
      <c r="C746" s="28" t="n"/>
      <c r="D746" s="28" t="n"/>
      <c r="E746" s="44" t="n"/>
      <c r="F746" s="44" t="n"/>
      <c r="G746" s="23" t="n"/>
      <c r="H746" s="23" t="n"/>
      <c r="I746" s="23" t="n"/>
      <c r="J746" s="23" t="n"/>
      <c r="K746" s="45">
        <f>IF(A746="","",SUM(G$2:I746)-SUM(J$2:J746))</f>
        <v/>
      </c>
      <c r="L746" s="46" t="n"/>
      <c r="M746">
        <f>IF(A746="","",IF(A746=A745,M745,N(M745)+1))</f>
        <v/>
      </c>
      <c r="N746">
        <f>IF(E746="",99999,E746)</f>
        <v/>
      </c>
      <c r="O746">
        <f>IF(E746="",0,IF(F746="",E746,F746))</f>
        <v/>
      </c>
      <c r="P746">
        <f>IF(E746="",1,MAX(1,(YEAR(O746)-YEAR(N746))*12+MONTH(O746)-MONTH(N746)+1))</f>
        <v/>
      </c>
      <c r="Q746">
        <f>IF(G746="",0,G746/P746)</f>
        <v/>
      </c>
      <c r="R746">
        <f>IF(H746="",0,H746/P746)</f>
        <v/>
      </c>
    </row>
    <row r="747">
      <c r="A747" s="43" t="n"/>
      <c r="B747" s="28" t="n"/>
      <c r="C747" s="28" t="n"/>
      <c r="D747" s="28" t="n"/>
      <c r="E747" s="44" t="n"/>
      <c r="F747" s="44" t="n"/>
      <c r="G747" s="23" t="n"/>
      <c r="H747" s="23" t="n"/>
      <c r="I747" s="23" t="n"/>
      <c r="J747" s="23" t="n"/>
      <c r="K747" s="45">
        <f>IF(A747="","",SUM(G$2:I747)-SUM(J$2:J747))</f>
        <v/>
      </c>
      <c r="L747" s="46" t="n"/>
      <c r="M747">
        <f>IF(A747="","",IF(A747=A746,M746,N(M746)+1))</f>
        <v/>
      </c>
      <c r="N747">
        <f>IF(E747="",99999,E747)</f>
        <v/>
      </c>
      <c r="O747">
        <f>IF(E747="",0,IF(F747="",E747,F747))</f>
        <v/>
      </c>
      <c r="P747">
        <f>IF(E747="",1,MAX(1,(YEAR(O747)-YEAR(N747))*12+MONTH(O747)-MONTH(N747)+1))</f>
        <v/>
      </c>
      <c r="Q747">
        <f>IF(G747="",0,G747/P747)</f>
        <v/>
      </c>
      <c r="R747">
        <f>IF(H747="",0,H747/P747)</f>
        <v/>
      </c>
    </row>
    <row r="748">
      <c r="A748" s="43" t="n"/>
      <c r="B748" s="28" t="n"/>
      <c r="C748" s="28" t="n"/>
      <c r="D748" s="28" t="n"/>
      <c r="E748" s="44" t="n"/>
      <c r="F748" s="44" t="n"/>
      <c r="G748" s="23" t="n"/>
      <c r="H748" s="23" t="n"/>
      <c r="I748" s="23" t="n"/>
      <c r="J748" s="23" t="n"/>
      <c r="K748" s="45">
        <f>IF(A748="","",SUM(G$2:I748)-SUM(J$2:J748))</f>
        <v/>
      </c>
      <c r="L748" s="46" t="n"/>
      <c r="M748">
        <f>IF(A748="","",IF(A748=A747,M747,N(M747)+1))</f>
        <v/>
      </c>
      <c r="N748">
        <f>IF(E748="",99999,E748)</f>
        <v/>
      </c>
      <c r="O748">
        <f>IF(E748="",0,IF(F748="",E748,F748))</f>
        <v/>
      </c>
      <c r="P748">
        <f>IF(E748="",1,MAX(1,(YEAR(O748)-YEAR(N748))*12+MONTH(O748)-MONTH(N748)+1))</f>
        <v/>
      </c>
      <c r="Q748">
        <f>IF(G748="",0,G748/P748)</f>
        <v/>
      </c>
      <c r="R748">
        <f>IF(H748="",0,H748/P748)</f>
        <v/>
      </c>
    </row>
    <row r="749">
      <c r="A749" s="43" t="n"/>
      <c r="B749" s="28" t="n"/>
      <c r="C749" s="28" t="n"/>
      <c r="D749" s="28" t="n"/>
      <c r="E749" s="44" t="n"/>
      <c r="F749" s="44" t="n"/>
      <c r="G749" s="23" t="n"/>
      <c r="H749" s="23" t="n"/>
      <c r="I749" s="23" t="n"/>
      <c r="J749" s="23" t="n"/>
      <c r="K749" s="45">
        <f>IF(A749="","",SUM(G$2:I749)-SUM(J$2:J749))</f>
        <v/>
      </c>
      <c r="L749" s="46" t="n"/>
      <c r="M749">
        <f>IF(A749="","",IF(A749=A748,M748,N(M748)+1))</f>
        <v/>
      </c>
      <c r="N749">
        <f>IF(E749="",99999,E749)</f>
        <v/>
      </c>
      <c r="O749">
        <f>IF(E749="",0,IF(F749="",E749,F749))</f>
        <v/>
      </c>
      <c r="P749">
        <f>IF(E749="",1,MAX(1,(YEAR(O749)-YEAR(N749))*12+MONTH(O749)-MONTH(N749)+1))</f>
        <v/>
      </c>
      <c r="Q749">
        <f>IF(G749="",0,G749/P749)</f>
        <v/>
      </c>
      <c r="R749">
        <f>IF(H749="",0,H749/P749)</f>
        <v/>
      </c>
    </row>
    <row r="750">
      <c r="A750" s="43" t="n"/>
      <c r="B750" s="28" t="n"/>
      <c r="C750" s="28" t="n"/>
      <c r="D750" s="28" t="n"/>
      <c r="E750" s="44" t="n"/>
      <c r="F750" s="44" t="n"/>
      <c r="G750" s="23" t="n"/>
      <c r="H750" s="23" t="n"/>
      <c r="I750" s="23" t="n"/>
      <c r="J750" s="23" t="n"/>
      <c r="K750" s="45">
        <f>IF(A750="","",SUM(G$2:I750)-SUM(J$2:J750))</f>
        <v/>
      </c>
      <c r="L750" s="46" t="n"/>
      <c r="M750">
        <f>IF(A750="","",IF(A750=A749,M749,N(M749)+1))</f>
        <v/>
      </c>
      <c r="N750">
        <f>IF(E750="",99999,E750)</f>
        <v/>
      </c>
      <c r="O750">
        <f>IF(E750="",0,IF(F750="",E750,F750))</f>
        <v/>
      </c>
      <c r="P750">
        <f>IF(E750="",1,MAX(1,(YEAR(O750)-YEAR(N750))*12+MONTH(O750)-MONTH(N750)+1))</f>
        <v/>
      </c>
      <c r="Q750">
        <f>IF(G750="",0,G750/P750)</f>
        <v/>
      </c>
      <c r="R750">
        <f>IF(H750="",0,H750/P750)</f>
        <v/>
      </c>
    </row>
    <row r="751">
      <c r="A751" s="43" t="n"/>
      <c r="B751" s="28" t="n"/>
      <c r="C751" s="28" t="n"/>
      <c r="D751" s="28" t="n"/>
      <c r="E751" s="44" t="n"/>
      <c r="F751" s="44" t="n"/>
      <c r="G751" s="23" t="n"/>
      <c r="H751" s="23" t="n"/>
      <c r="I751" s="23" t="n"/>
      <c r="J751" s="23" t="n"/>
      <c r="K751" s="45">
        <f>IF(A751="","",SUM(G$2:I751)-SUM(J$2:J751))</f>
        <v/>
      </c>
      <c r="L751" s="46" t="n"/>
      <c r="M751">
        <f>IF(A751="","",IF(A751=A750,M750,N(M750)+1))</f>
        <v/>
      </c>
      <c r="N751">
        <f>IF(E751="",99999,E751)</f>
        <v/>
      </c>
      <c r="O751">
        <f>IF(E751="",0,IF(F751="",E751,F751))</f>
        <v/>
      </c>
      <c r="P751">
        <f>IF(E751="",1,MAX(1,(YEAR(O751)-YEAR(N751))*12+MONTH(O751)-MONTH(N751)+1))</f>
        <v/>
      </c>
      <c r="Q751">
        <f>IF(G751="",0,G751/P751)</f>
        <v/>
      </c>
      <c r="R751">
        <f>IF(H751="",0,H751/P751)</f>
        <v/>
      </c>
    </row>
    <row r="752">
      <c r="A752" s="43" t="n"/>
      <c r="B752" s="28" t="n"/>
      <c r="C752" s="28" t="n"/>
      <c r="D752" s="28" t="n"/>
      <c r="E752" s="44" t="n"/>
      <c r="F752" s="44" t="n"/>
      <c r="G752" s="23" t="n"/>
      <c r="H752" s="23" t="n"/>
      <c r="I752" s="23" t="n"/>
      <c r="J752" s="23" t="n"/>
      <c r="K752" s="45">
        <f>IF(A752="","",SUM(G$2:I752)-SUM(J$2:J752))</f>
        <v/>
      </c>
      <c r="L752" s="46" t="n"/>
      <c r="M752">
        <f>IF(A752="","",IF(A752=A751,M751,N(M751)+1))</f>
        <v/>
      </c>
      <c r="N752">
        <f>IF(E752="",99999,E752)</f>
        <v/>
      </c>
      <c r="O752">
        <f>IF(E752="",0,IF(F752="",E752,F752))</f>
        <v/>
      </c>
      <c r="P752">
        <f>IF(E752="",1,MAX(1,(YEAR(O752)-YEAR(N752))*12+MONTH(O752)-MONTH(N752)+1))</f>
        <v/>
      </c>
      <c r="Q752">
        <f>IF(G752="",0,G752/P752)</f>
        <v/>
      </c>
      <c r="R752">
        <f>IF(H752="",0,H752/P752)</f>
        <v/>
      </c>
    </row>
    <row r="753">
      <c r="A753" s="43" t="n"/>
      <c r="B753" s="28" t="n"/>
      <c r="C753" s="28" t="n"/>
      <c r="D753" s="28" t="n"/>
      <c r="E753" s="44" t="n"/>
      <c r="F753" s="44" t="n"/>
      <c r="G753" s="23" t="n"/>
      <c r="H753" s="23" t="n"/>
      <c r="I753" s="23" t="n"/>
      <c r="J753" s="23" t="n"/>
      <c r="K753" s="45">
        <f>IF(A753="","",SUM(G$2:I753)-SUM(J$2:J753))</f>
        <v/>
      </c>
      <c r="L753" s="46" t="n"/>
      <c r="M753">
        <f>IF(A753="","",IF(A753=A752,M752,N(M752)+1))</f>
        <v/>
      </c>
      <c r="N753">
        <f>IF(E753="",99999,E753)</f>
        <v/>
      </c>
      <c r="O753">
        <f>IF(E753="",0,IF(F753="",E753,F753))</f>
        <v/>
      </c>
      <c r="P753">
        <f>IF(E753="",1,MAX(1,(YEAR(O753)-YEAR(N753))*12+MONTH(O753)-MONTH(N753)+1))</f>
        <v/>
      </c>
      <c r="Q753">
        <f>IF(G753="",0,G753/P753)</f>
        <v/>
      </c>
      <c r="R753">
        <f>IF(H753="",0,H753/P753)</f>
        <v/>
      </c>
    </row>
    <row r="754">
      <c r="A754" s="43" t="n"/>
      <c r="B754" s="28" t="n"/>
      <c r="C754" s="28" t="n"/>
      <c r="D754" s="28" t="n"/>
      <c r="E754" s="44" t="n"/>
      <c r="F754" s="44" t="n"/>
      <c r="G754" s="23" t="n"/>
      <c r="H754" s="23" t="n"/>
      <c r="I754" s="23" t="n"/>
      <c r="J754" s="23" t="n"/>
      <c r="K754" s="45">
        <f>IF(A754="","",SUM(G$2:I754)-SUM(J$2:J754))</f>
        <v/>
      </c>
      <c r="L754" s="46" t="n"/>
      <c r="M754">
        <f>IF(A754="","",IF(A754=A753,M753,N(M753)+1))</f>
        <v/>
      </c>
      <c r="N754">
        <f>IF(E754="",99999,E754)</f>
        <v/>
      </c>
      <c r="O754">
        <f>IF(E754="",0,IF(F754="",E754,F754))</f>
        <v/>
      </c>
      <c r="P754">
        <f>IF(E754="",1,MAX(1,(YEAR(O754)-YEAR(N754))*12+MONTH(O754)-MONTH(N754)+1))</f>
        <v/>
      </c>
      <c r="Q754">
        <f>IF(G754="",0,G754/P754)</f>
        <v/>
      </c>
      <c r="R754">
        <f>IF(H754="",0,H754/P754)</f>
        <v/>
      </c>
    </row>
    <row r="755">
      <c r="A755" s="43" t="n"/>
      <c r="B755" s="28" t="n"/>
      <c r="C755" s="28" t="n"/>
      <c r="D755" s="28" t="n"/>
      <c r="E755" s="44" t="n"/>
      <c r="F755" s="44" t="n"/>
      <c r="G755" s="23" t="n"/>
      <c r="H755" s="23" t="n"/>
      <c r="I755" s="23" t="n"/>
      <c r="J755" s="23" t="n"/>
      <c r="K755" s="45">
        <f>IF(A755="","",SUM(G$2:I755)-SUM(J$2:J755))</f>
        <v/>
      </c>
      <c r="L755" s="46" t="n"/>
      <c r="M755">
        <f>IF(A755="","",IF(A755=A754,M754,N(M754)+1))</f>
        <v/>
      </c>
      <c r="N755">
        <f>IF(E755="",99999,E755)</f>
        <v/>
      </c>
      <c r="O755">
        <f>IF(E755="",0,IF(F755="",E755,F755))</f>
        <v/>
      </c>
      <c r="P755">
        <f>IF(E755="",1,MAX(1,(YEAR(O755)-YEAR(N755))*12+MONTH(O755)-MONTH(N755)+1))</f>
        <v/>
      </c>
      <c r="Q755">
        <f>IF(G755="",0,G755/P755)</f>
        <v/>
      </c>
      <c r="R755">
        <f>IF(H755="",0,H755/P755)</f>
        <v/>
      </c>
    </row>
    <row r="756">
      <c r="A756" s="43" t="n"/>
      <c r="B756" s="28" t="n"/>
      <c r="C756" s="28" t="n"/>
      <c r="D756" s="28" t="n"/>
      <c r="E756" s="44" t="n"/>
      <c r="F756" s="44" t="n"/>
      <c r="G756" s="23" t="n"/>
      <c r="H756" s="23" t="n"/>
      <c r="I756" s="23" t="n"/>
      <c r="J756" s="23" t="n"/>
      <c r="K756" s="45">
        <f>IF(A756="","",SUM(G$2:I756)-SUM(J$2:J756))</f>
        <v/>
      </c>
      <c r="L756" s="46" t="n"/>
      <c r="M756">
        <f>IF(A756="","",IF(A756=A755,M755,N(M755)+1))</f>
        <v/>
      </c>
      <c r="N756">
        <f>IF(E756="",99999,E756)</f>
        <v/>
      </c>
      <c r="O756">
        <f>IF(E756="",0,IF(F756="",E756,F756))</f>
        <v/>
      </c>
      <c r="P756">
        <f>IF(E756="",1,MAX(1,(YEAR(O756)-YEAR(N756))*12+MONTH(O756)-MONTH(N756)+1))</f>
        <v/>
      </c>
      <c r="Q756">
        <f>IF(G756="",0,G756/P756)</f>
        <v/>
      </c>
      <c r="R756">
        <f>IF(H756="",0,H756/P756)</f>
        <v/>
      </c>
    </row>
    <row r="757">
      <c r="A757" s="43" t="n"/>
      <c r="B757" s="28" t="n"/>
      <c r="C757" s="28" t="n"/>
      <c r="D757" s="28" t="n"/>
      <c r="E757" s="44" t="n"/>
      <c r="F757" s="44" t="n"/>
      <c r="G757" s="23" t="n"/>
      <c r="H757" s="23" t="n"/>
      <c r="I757" s="23" t="n"/>
      <c r="J757" s="23" t="n"/>
      <c r="K757" s="45">
        <f>IF(A757="","",SUM(G$2:I757)-SUM(J$2:J757))</f>
        <v/>
      </c>
      <c r="L757" s="46" t="n"/>
      <c r="M757">
        <f>IF(A757="","",IF(A757=A756,M756,N(M756)+1))</f>
        <v/>
      </c>
      <c r="N757">
        <f>IF(E757="",99999,E757)</f>
        <v/>
      </c>
      <c r="O757">
        <f>IF(E757="",0,IF(F757="",E757,F757))</f>
        <v/>
      </c>
      <c r="P757">
        <f>IF(E757="",1,MAX(1,(YEAR(O757)-YEAR(N757))*12+MONTH(O757)-MONTH(N757)+1))</f>
        <v/>
      </c>
      <c r="Q757">
        <f>IF(G757="",0,G757/P757)</f>
        <v/>
      </c>
      <c r="R757">
        <f>IF(H757="",0,H757/P757)</f>
        <v/>
      </c>
    </row>
    <row r="758">
      <c r="A758" s="43" t="n"/>
      <c r="B758" s="28" t="n"/>
      <c r="C758" s="28" t="n"/>
      <c r="D758" s="28" t="n"/>
      <c r="E758" s="44" t="n"/>
      <c r="F758" s="44" t="n"/>
      <c r="G758" s="23" t="n"/>
      <c r="H758" s="23" t="n"/>
      <c r="I758" s="23" t="n"/>
      <c r="J758" s="23" t="n"/>
      <c r="K758" s="45">
        <f>IF(A758="","",SUM(G$2:I758)-SUM(J$2:J758))</f>
        <v/>
      </c>
      <c r="L758" s="46" t="n"/>
      <c r="M758">
        <f>IF(A758="","",IF(A758=A757,M757,N(M757)+1))</f>
        <v/>
      </c>
      <c r="N758">
        <f>IF(E758="",99999,E758)</f>
        <v/>
      </c>
      <c r="O758">
        <f>IF(E758="",0,IF(F758="",E758,F758))</f>
        <v/>
      </c>
      <c r="P758">
        <f>IF(E758="",1,MAX(1,(YEAR(O758)-YEAR(N758))*12+MONTH(O758)-MONTH(N758)+1))</f>
        <v/>
      </c>
      <c r="Q758">
        <f>IF(G758="",0,G758/P758)</f>
        <v/>
      </c>
      <c r="R758">
        <f>IF(H758="",0,H758/P758)</f>
        <v/>
      </c>
    </row>
    <row r="759">
      <c r="A759" s="43" t="n"/>
      <c r="B759" s="28" t="n"/>
      <c r="C759" s="28" t="n"/>
      <c r="D759" s="28" t="n"/>
      <c r="E759" s="44" t="n"/>
      <c r="F759" s="44" t="n"/>
      <c r="G759" s="23" t="n"/>
      <c r="H759" s="23" t="n"/>
      <c r="I759" s="23" t="n"/>
      <c r="J759" s="23" t="n"/>
      <c r="K759" s="45">
        <f>IF(A759="","",SUM(G$2:I759)-SUM(J$2:J759))</f>
        <v/>
      </c>
      <c r="L759" s="46" t="n"/>
      <c r="M759">
        <f>IF(A759="","",IF(A759=A758,M758,N(M758)+1))</f>
        <v/>
      </c>
      <c r="N759">
        <f>IF(E759="",99999,E759)</f>
        <v/>
      </c>
      <c r="O759">
        <f>IF(E759="",0,IF(F759="",E759,F759))</f>
        <v/>
      </c>
      <c r="P759">
        <f>IF(E759="",1,MAX(1,(YEAR(O759)-YEAR(N759))*12+MONTH(O759)-MONTH(N759)+1))</f>
        <v/>
      </c>
      <c r="Q759">
        <f>IF(G759="",0,G759/P759)</f>
        <v/>
      </c>
      <c r="R759">
        <f>IF(H759="",0,H759/P759)</f>
        <v/>
      </c>
    </row>
    <row r="760">
      <c r="A760" s="43" t="n"/>
      <c r="B760" s="28" t="n"/>
      <c r="C760" s="28" t="n"/>
      <c r="D760" s="28" t="n"/>
      <c r="E760" s="44" t="n"/>
      <c r="F760" s="44" t="n"/>
      <c r="G760" s="23" t="n"/>
      <c r="H760" s="23" t="n"/>
      <c r="I760" s="23" t="n"/>
      <c r="J760" s="23" t="n"/>
      <c r="K760" s="45">
        <f>IF(A760="","",SUM(G$2:I760)-SUM(J$2:J760))</f>
        <v/>
      </c>
      <c r="L760" s="46" t="n"/>
      <c r="M760">
        <f>IF(A760="","",IF(A760=A759,M759,N(M759)+1))</f>
        <v/>
      </c>
      <c r="N760">
        <f>IF(E760="",99999,E760)</f>
        <v/>
      </c>
      <c r="O760">
        <f>IF(E760="",0,IF(F760="",E760,F760))</f>
        <v/>
      </c>
      <c r="P760">
        <f>IF(E760="",1,MAX(1,(YEAR(O760)-YEAR(N760))*12+MONTH(O760)-MONTH(N760)+1))</f>
        <v/>
      </c>
      <c r="Q760">
        <f>IF(G760="",0,G760/P760)</f>
        <v/>
      </c>
      <c r="R760">
        <f>IF(H760="",0,H760/P760)</f>
        <v/>
      </c>
    </row>
    <row r="761">
      <c r="A761" s="43" t="n"/>
      <c r="B761" s="28" t="n"/>
      <c r="C761" s="28" t="n"/>
      <c r="D761" s="28" t="n"/>
      <c r="E761" s="44" t="n"/>
      <c r="F761" s="44" t="n"/>
      <c r="G761" s="23" t="n"/>
      <c r="H761" s="23" t="n"/>
      <c r="I761" s="23" t="n"/>
      <c r="J761" s="23" t="n"/>
      <c r="K761" s="45">
        <f>IF(A761="","",SUM(G$2:I761)-SUM(J$2:J761))</f>
        <v/>
      </c>
      <c r="L761" s="46" t="n"/>
      <c r="M761">
        <f>IF(A761="","",IF(A761=A760,M760,N(M760)+1))</f>
        <v/>
      </c>
      <c r="N761">
        <f>IF(E761="",99999,E761)</f>
        <v/>
      </c>
      <c r="O761">
        <f>IF(E761="",0,IF(F761="",E761,F761))</f>
        <v/>
      </c>
      <c r="P761">
        <f>IF(E761="",1,MAX(1,(YEAR(O761)-YEAR(N761))*12+MONTH(O761)-MONTH(N761)+1))</f>
        <v/>
      </c>
      <c r="Q761">
        <f>IF(G761="",0,G761/P761)</f>
        <v/>
      </c>
      <c r="R761">
        <f>IF(H761="",0,H761/P761)</f>
        <v/>
      </c>
    </row>
    <row r="762">
      <c r="A762" s="43" t="n"/>
      <c r="B762" s="28" t="n"/>
      <c r="C762" s="28" t="n"/>
      <c r="D762" s="28" t="n"/>
      <c r="E762" s="44" t="n"/>
      <c r="F762" s="44" t="n"/>
      <c r="G762" s="23" t="n"/>
      <c r="H762" s="23" t="n"/>
      <c r="I762" s="23" t="n"/>
      <c r="J762" s="23" t="n"/>
      <c r="K762" s="45">
        <f>IF(A762="","",SUM(G$2:I762)-SUM(J$2:J762))</f>
        <v/>
      </c>
      <c r="L762" s="46" t="n"/>
      <c r="M762">
        <f>IF(A762="","",IF(A762=A761,M761,N(M761)+1))</f>
        <v/>
      </c>
      <c r="N762">
        <f>IF(E762="",99999,E762)</f>
        <v/>
      </c>
      <c r="O762">
        <f>IF(E762="",0,IF(F762="",E762,F762))</f>
        <v/>
      </c>
      <c r="P762">
        <f>IF(E762="",1,MAX(1,(YEAR(O762)-YEAR(N762))*12+MONTH(O762)-MONTH(N762)+1))</f>
        <v/>
      </c>
      <c r="Q762">
        <f>IF(G762="",0,G762/P762)</f>
        <v/>
      </c>
      <c r="R762">
        <f>IF(H762="",0,H762/P762)</f>
        <v/>
      </c>
    </row>
    <row r="763">
      <c r="A763" s="43" t="n"/>
      <c r="B763" s="28" t="n"/>
      <c r="C763" s="28" t="n"/>
      <c r="D763" s="28" t="n"/>
      <c r="E763" s="44" t="n"/>
      <c r="F763" s="44" t="n"/>
      <c r="G763" s="23" t="n"/>
      <c r="H763" s="23" t="n"/>
      <c r="I763" s="23" t="n"/>
      <c r="J763" s="23" t="n"/>
      <c r="K763" s="45">
        <f>IF(A763="","",SUM(G$2:I763)-SUM(J$2:J763))</f>
        <v/>
      </c>
      <c r="L763" s="46" t="n"/>
      <c r="M763">
        <f>IF(A763="","",IF(A763=A762,M762,N(M762)+1))</f>
        <v/>
      </c>
      <c r="N763">
        <f>IF(E763="",99999,E763)</f>
        <v/>
      </c>
      <c r="O763">
        <f>IF(E763="",0,IF(F763="",E763,F763))</f>
        <v/>
      </c>
      <c r="P763">
        <f>IF(E763="",1,MAX(1,(YEAR(O763)-YEAR(N763))*12+MONTH(O763)-MONTH(N763)+1))</f>
        <v/>
      </c>
      <c r="Q763">
        <f>IF(G763="",0,G763/P763)</f>
        <v/>
      </c>
      <c r="R763">
        <f>IF(H763="",0,H763/P763)</f>
        <v/>
      </c>
    </row>
    <row r="764">
      <c r="A764" s="43" t="n"/>
      <c r="B764" s="28" t="n"/>
      <c r="C764" s="28" t="n"/>
      <c r="D764" s="28" t="n"/>
      <c r="E764" s="44" t="n"/>
      <c r="F764" s="44" t="n"/>
      <c r="G764" s="23" t="n"/>
      <c r="H764" s="23" t="n"/>
      <c r="I764" s="23" t="n"/>
      <c r="J764" s="23" t="n"/>
      <c r="K764" s="45">
        <f>IF(A764="","",SUM(G$2:I764)-SUM(J$2:J764))</f>
        <v/>
      </c>
      <c r="L764" s="46" t="n"/>
      <c r="M764">
        <f>IF(A764="","",IF(A764=A763,M763,N(M763)+1))</f>
        <v/>
      </c>
      <c r="N764">
        <f>IF(E764="",99999,E764)</f>
        <v/>
      </c>
      <c r="O764">
        <f>IF(E764="",0,IF(F764="",E764,F764))</f>
        <v/>
      </c>
      <c r="P764">
        <f>IF(E764="",1,MAX(1,(YEAR(O764)-YEAR(N764))*12+MONTH(O764)-MONTH(N764)+1))</f>
        <v/>
      </c>
      <c r="Q764">
        <f>IF(G764="",0,G764/P764)</f>
        <v/>
      </c>
      <c r="R764">
        <f>IF(H764="",0,H764/P764)</f>
        <v/>
      </c>
    </row>
    <row r="765">
      <c r="A765" s="43" t="n"/>
      <c r="B765" s="28" t="n"/>
      <c r="C765" s="28" t="n"/>
      <c r="D765" s="28" t="n"/>
      <c r="E765" s="44" t="n"/>
      <c r="F765" s="44" t="n"/>
      <c r="G765" s="23" t="n"/>
      <c r="H765" s="23" t="n"/>
      <c r="I765" s="23" t="n"/>
      <c r="J765" s="23" t="n"/>
      <c r="K765" s="45">
        <f>IF(A765="","",SUM(G$2:I765)-SUM(J$2:J765))</f>
        <v/>
      </c>
      <c r="L765" s="46" t="n"/>
      <c r="M765">
        <f>IF(A765="","",IF(A765=A764,M764,N(M764)+1))</f>
        <v/>
      </c>
      <c r="N765">
        <f>IF(E765="",99999,E765)</f>
        <v/>
      </c>
      <c r="O765">
        <f>IF(E765="",0,IF(F765="",E765,F765))</f>
        <v/>
      </c>
      <c r="P765">
        <f>IF(E765="",1,MAX(1,(YEAR(O765)-YEAR(N765))*12+MONTH(O765)-MONTH(N765)+1))</f>
        <v/>
      </c>
      <c r="Q765">
        <f>IF(G765="",0,G765/P765)</f>
        <v/>
      </c>
      <c r="R765">
        <f>IF(H765="",0,H765/P765)</f>
        <v/>
      </c>
    </row>
    <row r="766">
      <c r="A766" s="43" t="n"/>
      <c r="B766" s="28" t="n"/>
      <c r="C766" s="28" t="n"/>
      <c r="D766" s="28" t="n"/>
      <c r="E766" s="44" t="n"/>
      <c r="F766" s="44" t="n"/>
      <c r="G766" s="23" t="n"/>
      <c r="H766" s="23" t="n"/>
      <c r="I766" s="23" t="n"/>
      <c r="J766" s="23" t="n"/>
      <c r="K766" s="45">
        <f>IF(A766="","",SUM(G$2:I766)-SUM(J$2:J766))</f>
        <v/>
      </c>
      <c r="L766" s="46" t="n"/>
      <c r="M766">
        <f>IF(A766="","",IF(A766=A765,M765,N(M765)+1))</f>
        <v/>
      </c>
      <c r="N766">
        <f>IF(E766="",99999,E766)</f>
        <v/>
      </c>
      <c r="O766">
        <f>IF(E766="",0,IF(F766="",E766,F766))</f>
        <v/>
      </c>
      <c r="P766">
        <f>IF(E766="",1,MAX(1,(YEAR(O766)-YEAR(N766))*12+MONTH(O766)-MONTH(N766)+1))</f>
        <v/>
      </c>
      <c r="Q766">
        <f>IF(G766="",0,G766/P766)</f>
        <v/>
      </c>
      <c r="R766">
        <f>IF(H766="",0,H766/P766)</f>
        <v/>
      </c>
    </row>
    <row r="767">
      <c r="A767" s="43" t="n"/>
      <c r="B767" s="28" t="n"/>
      <c r="C767" s="28" t="n"/>
      <c r="D767" s="28" t="n"/>
      <c r="E767" s="44" t="n"/>
      <c r="F767" s="44" t="n"/>
      <c r="G767" s="23" t="n"/>
      <c r="H767" s="23" t="n"/>
      <c r="I767" s="23" t="n"/>
      <c r="J767" s="23" t="n"/>
      <c r="K767" s="45">
        <f>IF(A767="","",SUM(G$2:I767)-SUM(J$2:J767))</f>
        <v/>
      </c>
      <c r="L767" s="46" t="n"/>
      <c r="M767">
        <f>IF(A767="","",IF(A767=A766,M766,N(M766)+1))</f>
        <v/>
      </c>
      <c r="N767">
        <f>IF(E767="",99999,E767)</f>
        <v/>
      </c>
      <c r="O767">
        <f>IF(E767="",0,IF(F767="",E767,F767))</f>
        <v/>
      </c>
      <c r="P767">
        <f>IF(E767="",1,MAX(1,(YEAR(O767)-YEAR(N767))*12+MONTH(O767)-MONTH(N767)+1))</f>
        <v/>
      </c>
      <c r="Q767">
        <f>IF(G767="",0,G767/P767)</f>
        <v/>
      </c>
      <c r="R767">
        <f>IF(H767="",0,H767/P767)</f>
        <v/>
      </c>
    </row>
    <row r="768">
      <c r="A768" s="43" t="n"/>
      <c r="B768" s="28" t="n"/>
      <c r="C768" s="28" t="n"/>
      <c r="D768" s="28" t="n"/>
      <c r="E768" s="44" t="n"/>
      <c r="F768" s="44" t="n"/>
      <c r="G768" s="23" t="n"/>
      <c r="H768" s="23" t="n"/>
      <c r="I768" s="23" t="n"/>
      <c r="J768" s="23" t="n"/>
      <c r="K768" s="45">
        <f>IF(A768="","",SUM(G$2:I768)-SUM(J$2:J768))</f>
        <v/>
      </c>
      <c r="L768" s="46" t="n"/>
      <c r="M768">
        <f>IF(A768="","",IF(A768=A767,M767,N(M767)+1))</f>
        <v/>
      </c>
      <c r="N768">
        <f>IF(E768="",99999,E768)</f>
        <v/>
      </c>
      <c r="O768">
        <f>IF(E768="",0,IF(F768="",E768,F768))</f>
        <v/>
      </c>
      <c r="P768">
        <f>IF(E768="",1,MAX(1,(YEAR(O768)-YEAR(N768))*12+MONTH(O768)-MONTH(N768)+1))</f>
        <v/>
      </c>
      <c r="Q768">
        <f>IF(G768="",0,G768/P768)</f>
        <v/>
      </c>
      <c r="R768">
        <f>IF(H768="",0,H768/P768)</f>
        <v/>
      </c>
    </row>
    <row r="769">
      <c r="A769" s="43" t="n"/>
      <c r="B769" s="28" t="n"/>
      <c r="C769" s="28" t="n"/>
      <c r="D769" s="28" t="n"/>
      <c r="E769" s="44" t="n"/>
      <c r="F769" s="44" t="n"/>
      <c r="G769" s="23" t="n"/>
      <c r="H769" s="23" t="n"/>
      <c r="I769" s="23" t="n"/>
      <c r="J769" s="23" t="n"/>
      <c r="K769" s="45">
        <f>IF(A769="","",SUM(G$2:I769)-SUM(J$2:J769))</f>
        <v/>
      </c>
      <c r="L769" s="46" t="n"/>
      <c r="M769">
        <f>IF(A769="","",IF(A769=A768,M768,N(M768)+1))</f>
        <v/>
      </c>
      <c r="N769">
        <f>IF(E769="",99999,E769)</f>
        <v/>
      </c>
      <c r="O769">
        <f>IF(E769="",0,IF(F769="",E769,F769))</f>
        <v/>
      </c>
      <c r="P769">
        <f>IF(E769="",1,MAX(1,(YEAR(O769)-YEAR(N769))*12+MONTH(O769)-MONTH(N769)+1))</f>
        <v/>
      </c>
      <c r="Q769">
        <f>IF(G769="",0,G769/P769)</f>
        <v/>
      </c>
      <c r="R769">
        <f>IF(H769="",0,H769/P769)</f>
        <v/>
      </c>
    </row>
    <row r="770">
      <c r="A770" s="43" t="n"/>
      <c r="B770" s="28" t="n"/>
      <c r="C770" s="28" t="n"/>
      <c r="D770" s="28" t="n"/>
      <c r="E770" s="44" t="n"/>
      <c r="F770" s="44" t="n"/>
      <c r="G770" s="23" t="n"/>
      <c r="H770" s="23" t="n"/>
      <c r="I770" s="23" t="n"/>
      <c r="J770" s="23" t="n"/>
      <c r="K770" s="45">
        <f>IF(A770="","",SUM(G$2:I770)-SUM(J$2:J770))</f>
        <v/>
      </c>
      <c r="L770" s="46" t="n"/>
      <c r="M770">
        <f>IF(A770="","",IF(A770=A769,M769,N(M769)+1))</f>
        <v/>
      </c>
      <c r="N770">
        <f>IF(E770="",99999,E770)</f>
        <v/>
      </c>
      <c r="O770">
        <f>IF(E770="",0,IF(F770="",E770,F770))</f>
        <v/>
      </c>
      <c r="P770">
        <f>IF(E770="",1,MAX(1,(YEAR(O770)-YEAR(N770))*12+MONTH(O770)-MONTH(N770)+1))</f>
        <v/>
      </c>
      <c r="Q770">
        <f>IF(G770="",0,G770/P770)</f>
        <v/>
      </c>
      <c r="R770">
        <f>IF(H770="",0,H770/P770)</f>
        <v/>
      </c>
    </row>
    <row r="771">
      <c r="A771" s="43" t="n"/>
      <c r="B771" s="28" t="n"/>
      <c r="C771" s="28" t="n"/>
      <c r="D771" s="28" t="n"/>
      <c r="E771" s="44" t="n"/>
      <c r="F771" s="44" t="n"/>
      <c r="G771" s="23" t="n"/>
      <c r="H771" s="23" t="n"/>
      <c r="I771" s="23" t="n"/>
      <c r="J771" s="23" t="n"/>
      <c r="K771" s="45">
        <f>IF(A771="","",SUM(G$2:I771)-SUM(J$2:J771))</f>
        <v/>
      </c>
      <c r="L771" s="46" t="n"/>
      <c r="M771">
        <f>IF(A771="","",IF(A771=A770,M770,N(M770)+1))</f>
        <v/>
      </c>
      <c r="N771">
        <f>IF(E771="",99999,E771)</f>
        <v/>
      </c>
      <c r="O771">
        <f>IF(E771="",0,IF(F771="",E771,F771))</f>
        <v/>
      </c>
      <c r="P771">
        <f>IF(E771="",1,MAX(1,(YEAR(O771)-YEAR(N771))*12+MONTH(O771)-MONTH(N771)+1))</f>
        <v/>
      </c>
      <c r="Q771">
        <f>IF(G771="",0,G771/P771)</f>
        <v/>
      </c>
      <c r="R771">
        <f>IF(H771="",0,H771/P771)</f>
        <v/>
      </c>
    </row>
    <row r="772">
      <c r="A772" s="43" t="n"/>
      <c r="B772" s="28" t="n"/>
      <c r="C772" s="28" t="n"/>
      <c r="D772" s="28" t="n"/>
      <c r="E772" s="44" t="n"/>
      <c r="F772" s="44" t="n"/>
      <c r="G772" s="23" t="n"/>
      <c r="H772" s="23" t="n"/>
      <c r="I772" s="23" t="n"/>
      <c r="J772" s="23" t="n"/>
      <c r="K772" s="45">
        <f>IF(A772="","",SUM(G$2:I772)-SUM(J$2:J772))</f>
        <v/>
      </c>
      <c r="L772" s="46" t="n"/>
      <c r="M772">
        <f>IF(A772="","",IF(A772=A771,M771,N(M771)+1))</f>
        <v/>
      </c>
      <c r="N772">
        <f>IF(E772="",99999,E772)</f>
        <v/>
      </c>
      <c r="O772">
        <f>IF(E772="",0,IF(F772="",E772,F772))</f>
        <v/>
      </c>
      <c r="P772">
        <f>IF(E772="",1,MAX(1,(YEAR(O772)-YEAR(N772))*12+MONTH(O772)-MONTH(N772)+1))</f>
        <v/>
      </c>
      <c r="Q772">
        <f>IF(G772="",0,G772/P772)</f>
        <v/>
      </c>
      <c r="R772">
        <f>IF(H772="",0,H772/P772)</f>
        <v/>
      </c>
    </row>
    <row r="773">
      <c r="A773" s="43" t="n"/>
      <c r="B773" s="28" t="n"/>
      <c r="C773" s="28" t="n"/>
      <c r="D773" s="28" t="n"/>
      <c r="E773" s="44" t="n"/>
      <c r="F773" s="44" t="n"/>
      <c r="G773" s="23" t="n"/>
      <c r="H773" s="23" t="n"/>
      <c r="I773" s="23" t="n"/>
      <c r="J773" s="23" t="n"/>
      <c r="K773" s="45">
        <f>IF(A773="","",SUM(G$2:I773)-SUM(J$2:J773))</f>
        <v/>
      </c>
      <c r="L773" s="46" t="n"/>
      <c r="M773">
        <f>IF(A773="","",IF(A773=A772,M772,N(M772)+1))</f>
        <v/>
      </c>
      <c r="N773">
        <f>IF(E773="",99999,E773)</f>
        <v/>
      </c>
      <c r="O773">
        <f>IF(E773="",0,IF(F773="",E773,F773))</f>
        <v/>
      </c>
      <c r="P773">
        <f>IF(E773="",1,MAX(1,(YEAR(O773)-YEAR(N773))*12+MONTH(O773)-MONTH(N773)+1))</f>
        <v/>
      </c>
      <c r="Q773">
        <f>IF(G773="",0,G773/P773)</f>
        <v/>
      </c>
      <c r="R773">
        <f>IF(H773="",0,H773/P773)</f>
        <v/>
      </c>
    </row>
    <row r="774">
      <c r="A774" s="43" t="n"/>
      <c r="B774" s="28" t="n"/>
      <c r="C774" s="28" t="n"/>
      <c r="D774" s="28" t="n"/>
      <c r="E774" s="44" t="n"/>
      <c r="F774" s="44" t="n"/>
      <c r="G774" s="23" t="n"/>
      <c r="H774" s="23" t="n"/>
      <c r="I774" s="23" t="n"/>
      <c r="J774" s="23" t="n"/>
      <c r="K774" s="45">
        <f>IF(A774="","",SUM(G$2:I774)-SUM(J$2:J774))</f>
        <v/>
      </c>
      <c r="L774" s="46" t="n"/>
      <c r="M774">
        <f>IF(A774="","",IF(A774=A773,M773,N(M773)+1))</f>
        <v/>
      </c>
      <c r="N774">
        <f>IF(E774="",99999,E774)</f>
        <v/>
      </c>
      <c r="O774">
        <f>IF(E774="",0,IF(F774="",E774,F774))</f>
        <v/>
      </c>
      <c r="P774">
        <f>IF(E774="",1,MAX(1,(YEAR(O774)-YEAR(N774))*12+MONTH(O774)-MONTH(N774)+1))</f>
        <v/>
      </c>
      <c r="Q774">
        <f>IF(G774="",0,G774/P774)</f>
        <v/>
      </c>
      <c r="R774">
        <f>IF(H774="",0,H774/P774)</f>
        <v/>
      </c>
    </row>
    <row r="775">
      <c r="A775" s="43" t="n"/>
      <c r="B775" s="28" t="n"/>
      <c r="C775" s="28" t="n"/>
      <c r="D775" s="28" t="n"/>
      <c r="E775" s="44" t="n"/>
      <c r="F775" s="44" t="n"/>
      <c r="G775" s="23" t="n"/>
      <c r="H775" s="23" t="n"/>
      <c r="I775" s="23" t="n"/>
      <c r="J775" s="23" t="n"/>
      <c r="K775" s="45">
        <f>IF(A775="","",SUM(G$2:I775)-SUM(J$2:J775))</f>
        <v/>
      </c>
      <c r="L775" s="46" t="n"/>
      <c r="M775">
        <f>IF(A775="","",IF(A775=A774,M774,N(M774)+1))</f>
        <v/>
      </c>
      <c r="N775">
        <f>IF(E775="",99999,E775)</f>
        <v/>
      </c>
      <c r="O775">
        <f>IF(E775="",0,IF(F775="",E775,F775))</f>
        <v/>
      </c>
      <c r="P775">
        <f>IF(E775="",1,MAX(1,(YEAR(O775)-YEAR(N775))*12+MONTH(O775)-MONTH(N775)+1))</f>
        <v/>
      </c>
      <c r="Q775">
        <f>IF(G775="",0,G775/P775)</f>
        <v/>
      </c>
      <c r="R775">
        <f>IF(H775="",0,H775/P775)</f>
        <v/>
      </c>
    </row>
    <row r="776">
      <c r="A776" s="43" t="n"/>
      <c r="B776" s="28" t="n"/>
      <c r="C776" s="28" t="n"/>
      <c r="D776" s="28" t="n"/>
      <c r="E776" s="44" t="n"/>
      <c r="F776" s="44" t="n"/>
      <c r="G776" s="23" t="n"/>
      <c r="H776" s="23" t="n"/>
      <c r="I776" s="23" t="n"/>
      <c r="J776" s="23" t="n"/>
      <c r="K776" s="45">
        <f>IF(A776="","",SUM(G$2:I776)-SUM(J$2:J776))</f>
        <v/>
      </c>
      <c r="L776" s="46" t="n"/>
      <c r="M776">
        <f>IF(A776="","",IF(A776=A775,M775,N(M775)+1))</f>
        <v/>
      </c>
      <c r="N776">
        <f>IF(E776="",99999,E776)</f>
        <v/>
      </c>
      <c r="O776">
        <f>IF(E776="",0,IF(F776="",E776,F776))</f>
        <v/>
      </c>
      <c r="P776">
        <f>IF(E776="",1,MAX(1,(YEAR(O776)-YEAR(N776))*12+MONTH(O776)-MONTH(N776)+1))</f>
        <v/>
      </c>
      <c r="Q776">
        <f>IF(G776="",0,G776/P776)</f>
        <v/>
      </c>
      <c r="R776">
        <f>IF(H776="",0,H776/P776)</f>
        <v/>
      </c>
    </row>
    <row r="777">
      <c r="A777" s="43" t="n"/>
      <c r="B777" s="28" t="n"/>
      <c r="C777" s="28" t="n"/>
      <c r="D777" s="28" t="n"/>
      <c r="E777" s="44" t="n"/>
      <c r="F777" s="44" t="n"/>
      <c r="G777" s="23" t="n"/>
      <c r="H777" s="23" t="n"/>
      <c r="I777" s="23" t="n"/>
      <c r="J777" s="23" t="n"/>
      <c r="K777" s="45">
        <f>IF(A777="","",SUM(G$2:I777)-SUM(J$2:J777))</f>
        <v/>
      </c>
      <c r="L777" s="46" t="n"/>
      <c r="M777">
        <f>IF(A777="","",IF(A777=A776,M776,N(M776)+1))</f>
        <v/>
      </c>
      <c r="N777">
        <f>IF(E777="",99999,E777)</f>
        <v/>
      </c>
      <c r="O777">
        <f>IF(E777="",0,IF(F777="",E777,F777))</f>
        <v/>
      </c>
      <c r="P777">
        <f>IF(E777="",1,MAX(1,(YEAR(O777)-YEAR(N777))*12+MONTH(O777)-MONTH(N777)+1))</f>
        <v/>
      </c>
      <c r="Q777">
        <f>IF(G777="",0,G777/P777)</f>
        <v/>
      </c>
      <c r="R777">
        <f>IF(H777="",0,H777/P777)</f>
        <v/>
      </c>
    </row>
    <row r="778">
      <c r="A778" s="43" t="n"/>
      <c r="B778" s="28" t="n"/>
      <c r="C778" s="28" t="n"/>
      <c r="D778" s="28" t="n"/>
      <c r="E778" s="44" t="n"/>
      <c r="F778" s="44" t="n"/>
      <c r="G778" s="23" t="n"/>
      <c r="H778" s="23" t="n"/>
      <c r="I778" s="23" t="n"/>
      <c r="J778" s="23" t="n"/>
      <c r="K778" s="45">
        <f>IF(A778="","",SUM(G$2:I778)-SUM(J$2:J778))</f>
        <v/>
      </c>
      <c r="L778" s="46" t="n"/>
      <c r="M778">
        <f>IF(A778="","",IF(A778=A777,M777,N(M777)+1))</f>
        <v/>
      </c>
      <c r="N778">
        <f>IF(E778="",99999,E778)</f>
        <v/>
      </c>
      <c r="O778">
        <f>IF(E778="",0,IF(F778="",E778,F778))</f>
        <v/>
      </c>
      <c r="P778">
        <f>IF(E778="",1,MAX(1,(YEAR(O778)-YEAR(N778))*12+MONTH(O778)-MONTH(N778)+1))</f>
        <v/>
      </c>
      <c r="Q778">
        <f>IF(G778="",0,G778/P778)</f>
        <v/>
      </c>
      <c r="R778">
        <f>IF(H778="",0,H778/P778)</f>
        <v/>
      </c>
    </row>
    <row r="779">
      <c r="A779" s="43" t="n"/>
      <c r="B779" s="28" t="n"/>
      <c r="C779" s="28" t="n"/>
      <c r="D779" s="28" t="n"/>
      <c r="E779" s="44" t="n"/>
      <c r="F779" s="44" t="n"/>
      <c r="G779" s="23" t="n"/>
      <c r="H779" s="23" t="n"/>
      <c r="I779" s="23" t="n"/>
      <c r="J779" s="23" t="n"/>
      <c r="K779" s="45">
        <f>IF(A779="","",SUM(G$2:I779)-SUM(J$2:J779))</f>
        <v/>
      </c>
      <c r="L779" s="46" t="n"/>
      <c r="M779">
        <f>IF(A779="","",IF(A779=A778,M778,N(M778)+1))</f>
        <v/>
      </c>
      <c r="N779">
        <f>IF(E779="",99999,E779)</f>
        <v/>
      </c>
      <c r="O779">
        <f>IF(E779="",0,IF(F779="",E779,F779))</f>
        <v/>
      </c>
      <c r="P779">
        <f>IF(E779="",1,MAX(1,(YEAR(O779)-YEAR(N779))*12+MONTH(O779)-MONTH(N779)+1))</f>
        <v/>
      </c>
      <c r="Q779">
        <f>IF(G779="",0,G779/P779)</f>
        <v/>
      </c>
      <c r="R779">
        <f>IF(H779="",0,H779/P779)</f>
        <v/>
      </c>
    </row>
    <row r="780">
      <c r="A780" s="43" t="n"/>
      <c r="B780" s="28" t="n"/>
      <c r="C780" s="28" t="n"/>
      <c r="D780" s="28" t="n"/>
      <c r="E780" s="44" t="n"/>
      <c r="F780" s="44" t="n"/>
      <c r="G780" s="23" t="n"/>
      <c r="H780" s="23" t="n"/>
      <c r="I780" s="23" t="n"/>
      <c r="J780" s="23" t="n"/>
      <c r="K780" s="45">
        <f>IF(A780="","",SUM(G$2:I780)-SUM(J$2:J780))</f>
        <v/>
      </c>
      <c r="L780" s="46" t="n"/>
      <c r="M780">
        <f>IF(A780="","",IF(A780=A779,M779,N(M779)+1))</f>
        <v/>
      </c>
      <c r="N780">
        <f>IF(E780="",99999,E780)</f>
        <v/>
      </c>
      <c r="O780">
        <f>IF(E780="",0,IF(F780="",E780,F780))</f>
        <v/>
      </c>
      <c r="P780">
        <f>IF(E780="",1,MAX(1,(YEAR(O780)-YEAR(N780))*12+MONTH(O780)-MONTH(N780)+1))</f>
        <v/>
      </c>
      <c r="Q780">
        <f>IF(G780="",0,G780/P780)</f>
        <v/>
      </c>
      <c r="R780">
        <f>IF(H780="",0,H780/P780)</f>
        <v/>
      </c>
    </row>
    <row r="781">
      <c r="A781" s="43" t="n"/>
      <c r="B781" s="28" t="n"/>
      <c r="C781" s="28" t="n"/>
      <c r="D781" s="28" t="n"/>
      <c r="E781" s="44" t="n"/>
      <c r="F781" s="44" t="n"/>
      <c r="G781" s="23" t="n"/>
      <c r="H781" s="23" t="n"/>
      <c r="I781" s="23" t="n"/>
      <c r="J781" s="23" t="n"/>
      <c r="K781" s="45">
        <f>IF(A781="","",SUM(G$2:I781)-SUM(J$2:J781))</f>
        <v/>
      </c>
      <c r="L781" s="46" t="n"/>
      <c r="M781">
        <f>IF(A781="","",IF(A781=A780,M780,N(M780)+1))</f>
        <v/>
      </c>
      <c r="N781">
        <f>IF(E781="",99999,E781)</f>
        <v/>
      </c>
      <c r="O781">
        <f>IF(E781="",0,IF(F781="",E781,F781))</f>
        <v/>
      </c>
      <c r="P781">
        <f>IF(E781="",1,MAX(1,(YEAR(O781)-YEAR(N781))*12+MONTH(O781)-MONTH(N781)+1))</f>
        <v/>
      </c>
      <c r="Q781">
        <f>IF(G781="",0,G781/P781)</f>
        <v/>
      </c>
      <c r="R781">
        <f>IF(H781="",0,H781/P781)</f>
        <v/>
      </c>
    </row>
    <row r="782">
      <c r="A782" s="43" t="n"/>
      <c r="B782" s="28" t="n"/>
      <c r="C782" s="28" t="n"/>
      <c r="D782" s="28" t="n"/>
      <c r="E782" s="44" t="n"/>
      <c r="F782" s="44" t="n"/>
      <c r="G782" s="23" t="n"/>
      <c r="H782" s="23" t="n"/>
      <c r="I782" s="23" t="n"/>
      <c r="J782" s="23" t="n"/>
      <c r="K782" s="45">
        <f>IF(A782="","",SUM(G$2:I782)-SUM(J$2:J782))</f>
        <v/>
      </c>
      <c r="L782" s="46" t="n"/>
      <c r="M782">
        <f>IF(A782="","",IF(A782=A781,M781,N(M781)+1))</f>
        <v/>
      </c>
      <c r="N782">
        <f>IF(E782="",99999,E782)</f>
        <v/>
      </c>
      <c r="O782">
        <f>IF(E782="",0,IF(F782="",E782,F782))</f>
        <v/>
      </c>
      <c r="P782">
        <f>IF(E782="",1,MAX(1,(YEAR(O782)-YEAR(N782))*12+MONTH(O782)-MONTH(N782)+1))</f>
        <v/>
      </c>
      <c r="Q782">
        <f>IF(G782="",0,G782/P782)</f>
        <v/>
      </c>
      <c r="R782">
        <f>IF(H782="",0,H782/P782)</f>
        <v/>
      </c>
    </row>
    <row r="783">
      <c r="A783" s="43" t="n"/>
      <c r="B783" s="28" t="n"/>
      <c r="C783" s="28" t="n"/>
      <c r="D783" s="28" t="n"/>
      <c r="E783" s="44" t="n"/>
      <c r="F783" s="44" t="n"/>
      <c r="G783" s="23" t="n"/>
      <c r="H783" s="23" t="n"/>
      <c r="I783" s="23" t="n"/>
      <c r="J783" s="23" t="n"/>
      <c r="K783" s="45">
        <f>IF(A783="","",SUM(G$2:I783)-SUM(J$2:J783))</f>
        <v/>
      </c>
      <c r="L783" s="46" t="n"/>
      <c r="M783">
        <f>IF(A783="","",IF(A783=A782,M782,N(M782)+1))</f>
        <v/>
      </c>
      <c r="N783">
        <f>IF(E783="",99999,E783)</f>
        <v/>
      </c>
      <c r="O783">
        <f>IF(E783="",0,IF(F783="",E783,F783))</f>
        <v/>
      </c>
      <c r="P783">
        <f>IF(E783="",1,MAX(1,(YEAR(O783)-YEAR(N783))*12+MONTH(O783)-MONTH(N783)+1))</f>
        <v/>
      </c>
      <c r="Q783">
        <f>IF(G783="",0,G783/P783)</f>
        <v/>
      </c>
      <c r="R783">
        <f>IF(H783="",0,H783/P783)</f>
        <v/>
      </c>
    </row>
    <row r="784">
      <c r="A784" s="43" t="n"/>
      <c r="B784" s="28" t="n"/>
      <c r="C784" s="28" t="n"/>
      <c r="D784" s="28" t="n"/>
      <c r="E784" s="44" t="n"/>
      <c r="F784" s="44" t="n"/>
      <c r="G784" s="23" t="n"/>
      <c r="H784" s="23" t="n"/>
      <c r="I784" s="23" t="n"/>
      <c r="J784" s="23" t="n"/>
      <c r="K784" s="45">
        <f>IF(A784="","",SUM(G$2:I784)-SUM(J$2:J784))</f>
        <v/>
      </c>
      <c r="L784" s="46" t="n"/>
      <c r="M784">
        <f>IF(A784="","",IF(A784=A783,M783,N(M783)+1))</f>
        <v/>
      </c>
      <c r="N784">
        <f>IF(E784="",99999,E784)</f>
        <v/>
      </c>
      <c r="O784">
        <f>IF(E784="",0,IF(F784="",E784,F784))</f>
        <v/>
      </c>
      <c r="P784">
        <f>IF(E784="",1,MAX(1,(YEAR(O784)-YEAR(N784))*12+MONTH(O784)-MONTH(N784)+1))</f>
        <v/>
      </c>
      <c r="Q784">
        <f>IF(G784="",0,G784/P784)</f>
        <v/>
      </c>
      <c r="R784">
        <f>IF(H784="",0,H784/P784)</f>
        <v/>
      </c>
    </row>
    <row r="785">
      <c r="A785" s="43" t="n"/>
      <c r="B785" s="28" t="n"/>
      <c r="C785" s="28" t="n"/>
      <c r="D785" s="28" t="n"/>
      <c r="E785" s="44" t="n"/>
      <c r="F785" s="44" t="n"/>
      <c r="G785" s="23" t="n"/>
      <c r="H785" s="23" t="n"/>
      <c r="I785" s="23" t="n"/>
      <c r="J785" s="23" t="n"/>
      <c r="K785" s="45">
        <f>IF(A785="","",SUM(G$2:I785)-SUM(J$2:J785))</f>
        <v/>
      </c>
      <c r="L785" s="46" t="n"/>
      <c r="M785">
        <f>IF(A785="","",IF(A785=A784,M784,N(M784)+1))</f>
        <v/>
      </c>
      <c r="N785">
        <f>IF(E785="",99999,E785)</f>
        <v/>
      </c>
      <c r="O785">
        <f>IF(E785="",0,IF(F785="",E785,F785))</f>
        <v/>
      </c>
      <c r="P785">
        <f>IF(E785="",1,MAX(1,(YEAR(O785)-YEAR(N785))*12+MONTH(O785)-MONTH(N785)+1))</f>
        <v/>
      </c>
      <c r="Q785">
        <f>IF(G785="",0,G785/P785)</f>
        <v/>
      </c>
      <c r="R785">
        <f>IF(H785="",0,H785/P785)</f>
        <v/>
      </c>
    </row>
    <row r="786">
      <c r="A786" s="43" t="n"/>
      <c r="B786" s="28" t="n"/>
      <c r="C786" s="28" t="n"/>
      <c r="D786" s="28" t="n"/>
      <c r="E786" s="44" t="n"/>
      <c r="F786" s="44" t="n"/>
      <c r="G786" s="23" t="n"/>
      <c r="H786" s="23" t="n"/>
      <c r="I786" s="23" t="n"/>
      <c r="J786" s="23" t="n"/>
      <c r="K786" s="45">
        <f>IF(A786="","",SUM(G$2:I786)-SUM(J$2:J786))</f>
        <v/>
      </c>
      <c r="L786" s="46" t="n"/>
      <c r="M786">
        <f>IF(A786="","",IF(A786=A785,M785,N(M785)+1))</f>
        <v/>
      </c>
      <c r="N786">
        <f>IF(E786="",99999,E786)</f>
        <v/>
      </c>
      <c r="O786">
        <f>IF(E786="",0,IF(F786="",E786,F786))</f>
        <v/>
      </c>
      <c r="P786">
        <f>IF(E786="",1,MAX(1,(YEAR(O786)-YEAR(N786))*12+MONTH(O786)-MONTH(N786)+1))</f>
        <v/>
      </c>
      <c r="Q786">
        <f>IF(G786="",0,G786/P786)</f>
        <v/>
      </c>
      <c r="R786">
        <f>IF(H786="",0,H786/P786)</f>
        <v/>
      </c>
    </row>
    <row r="787">
      <c r="A787" s="43" t="n"/>
      <c r="B787" s="28" t="n"/>
      <c r="C787" s="28" t="n"/>
      <c r="D787" s="28" t="n"/>
      <c r="E787" s="44" t="n"/>
      <c r="F787" s="44" t="n"/>
      <c r="G787" s="23" t="n"/>
      <c r="H787" s="23" t="n"/>
      <c r="I787" s="23" t="n"/>
      <c r="J787" s="23" t="n"/>
      <c r="K787" s="45">
        <f>IF(A787="","",SUM(G$2:I787)-SUM(J$2:J787))</f>
        <v/>
      </c>
      <c r="L787" s="46" t="n"/>
      <c r="M787">
        <f>IF(A787="","",IF(A787=A786,M786,N(M786)+1))</f>
        <v/>
      </c>
      <c r="N787">
        <f>IF(E787="",99999,E787)</f>
        <v/>
      </c>
      <c r="O787">
        <f>IF(E787="",0,IF(F787="",E787,F787))</f>
        <v/>
      </c>
      <c r="P787">
        <f>IF(E787="",1,MAX(1,(YEAR(O787)-YEAR(N787))*12+MONTH(O787)-MONTH(N787)+1))</f>
        <v/>
      </c>
      <c r="Q787">
        <f>IF(G787="",0,G787/P787)</f>
        <v/>
      </c>
      <c r="R787">
        <f>IF(H787="",0,H787/P787)</f>
        <v/>
      </c>
    </row>
    <row r="788">
      <c r="A788" s="43" t="n"/>
      <c r="B788" s="28" t="n"/>
      <c r="C788" s="28" t="n"/>
      <c r="D788" s="28" t="n"/>
      <c r="E788" s="44" t="n"/>
      <c r="F788" s="44" t="n"/>
      <c r="G788" s="23" t="n"/>
      <c r="H788" s="23" t="n"/>
      <c r="I788" s="23" t="n"/>
      <c r="J788" s="23" t="n"/>
      <c r="K788" s="45">
        <f>IF(A788="","",SUM(G$2:I788)-SUM(J$2:J788))</f>
        <v/>
      </c>
      <c r="L788" s="46" t="n"/>
      <c r="M788">
        <f>IF(A788="","",IF(A788=A787,M787,N(M787)+1))</f>
        <v/>
      </c>
      <c r="N788">
        <f>IF(E788="",99999,E788)</f>
        <v/>
      </c>
      <c r="O788">
        <f>IF(E788="",0,IF(F788="",E788,F788))</f>
        <v/>
      </c>
      <c r="P788">
        <f>IF(E788="",1,MAX(1,(YEAR(O788)-YEAR(N788))*12+MONTH(O788)-MONTH(N788)+1))</f>
        <v/>
      </c>
      <c r="Q788">
        <f>IF(G788="",0,G788/P788)</f>
        <v/>
      </c>
      <c r="R788">
        <f>IF(H788="",0,H788/P788)</f>
        <v/>
      </c>
    </row>
    <row r="789">
      <c r="A789" s="43" t="n"/>
      <c r="B789" s="28" t="n"/>
      <c r="C789" s="28" t="n"/>
      <c r="D789" s="28" t="n"/>
      <c r="E789" s="44" t="n"/>
      <c r="F789" s="44" t="n"/>
      <c r="G789" s="23" t="n"/>
      <c r="H789" s="23" t="n"/>
      <c r="I789" s="23" t="n"/>
      <c r="J789" s="23" t="n"/>
      <c r="K789" s="45">
        <f>IF(A789="","",SUM(G$2:I789)-SUM(J$2:J789))</f>
        <v/>
      </c>
      <c r="L789" s="46" t="n"/>
      <c r="M789">
        <f>IF(A789="","",IF(A789=A788,M788,N(M788)+1))</f>
        <v/>
      </c>
      <c r="N789">
        <f>IF(E789="",99999,E789)</f>
        <v/>
      </c>
      <c r="O789">
        <f>IF(E789="",0,IF(F789="",E789,F789))</f>
        <v/>
      </c>
      <c r="P789">
        <f>IF(E789="",1,MAX(1,(YEAR(O789)-YEAR(N789))*12+MONTH(O789)-MONTH(N789)+1))</f>
        <v/>
      </c>
      <c r="Q789">
        <f>IF(G789="",0,G789/P789)</f>
        <v/>
      </c>
      <c r="R789">
        <f>IF(H789="",0,H789/P789)</f>
        <v/>
      </c>
    </row>
    <row r="790">
      <c r="A790" s="43" t="n"/>
      <c r="B790" s="28" t="n"/>
      <c r="C790" s="28" t="n"/>
      <c r="D790" s="28" t="n"/>
      <c r="E790" s="44" t="n"/>
      <c r="F790" s="44" t="n"/>
      <c r="G790" s="23" t="n"/>
      <c r="H790" s="23" t="n"/>
      <c r="I790" s="23" t="n"/>
      <c r="J790" s="23" t="n"/>
      <c r="K790" s="45">
        <f>IF(A790="","",SUM(G$2:I790)-SUM(J$2:J790))</f>
        <v/>
      </c>
      <c r="L790" s="46" t="n"/>
      <c r="M790">
        <f>IF(A790="","",IF(A790=A789,M789,N(M789)+1))</f>
        <v/>
      </c>
      <c r="N790">
        <f>IF(E790="",99999,E790)</f>
        <v/>
      </c>
      <c r="O790">
        <f>IF(E790="",0,IF(F790="",E790,F790))</f>
        <v/>
      </c>
      <c r="P790">
        <f>IF(E790="",1,MAX(1,(YEAR(O790)-YEAR(N790))*12+MONTH(O790)-MONTH(N790)+1))</f>
        <v/>
      </c>
      <c r="Q790">
        <f>IF(G790="",0,G790/P790)</f>
        <v/>
      </c>
      <c r="R790">
        <f>IF(H790="",0,H790/P790)</f>
        <v/>
      </c>
    </row>
    <row r="791">
      <c r="A791" s="43" t="n"/>
      <c r="B791" s="28" t="n"/>
      <c r="C791" s="28" t="n"/>
      <c r="D791" s="28" t="n"/>
      <c r="E791" s="44" t="n"/>
      <c r="F791" s="44" t="n"/>
      <c r="G791" s="23" t="n"/>
      <c r="H791" s="23" t="n"/>
      <c r="I791" s="23" t="n"/>
      <c r="J791" s="23" t="n"/>
      <c r="K791" s="45">
        <f>IF(A791="","",SUM(G$2:I791)-SUM(J$2:J791))</f>
        <v/>
      </c>
      <c r="L791" s="46" t="n"/>
      <c r="M791">
        <f>IF(A791="","",IF(A791=A790,M790,N(M790)+1))</f>
        <v/>
      </c>
      <c r="N791">
        <f>IF(E791="",99999,E791)</f>
        <v/>
      </c>
      <c r="O791">
        <f>IF(E791="",0,IF(F791="",E791,F791))</f>
        <v/>
      </c>
      <c r="P791">
        <f>IF(E791="",1,MAX(1,(YEAR(O791)-YEAR(N791))*12+MONTH(O791)-MONTH(N791)+1))</f>
        <v/>
      </c>
      <c r="Q791">
        <f>IF(G791="",0,G791/P791)</f>
        <v/>
      </c>
      <c r="R791">
        <f>IF(H791="",0,H791/P791)</f>
        <v/>
      </c>
    </row>
    <row r="792">
      <c r="A792" s="43" t="n"/>
      <c r="B792" s="28" t="n"/>
      <c r="C792" s="28" t="n"/>
      <c r="D792" s="28" t="n"/>
      <c r="E792" s="44" t="n"/>
      <c r="F792" s="44" t="n"/>
      <c r="G792" s="23" t="n"/>
      <c r="H792" s="23" t="n"/>
      <c r="I792" s="23" t="n"/>
      <c r="J792" s="23" t="n"/>
      <c r="K792" s="45">
        <f>IF(A792="","",SUM(G$2:I792)-SUM(J$2:J792))</f>
        <v/>
      </c>
      <c r="L792" s="46" t="n"/>
      <c r="M792">
        <f>IF(A792="","",IF(A792=A791,M791,N(M791)+1))</f>
        <v/>
      </c>
      <c r="N792">
        <f>IF(E792="",99999,E792)</f>
        <v/>
      </c>
      <c r="O792">
        <f>IF(E792="",0,IF(F792="",E792,F792))</f>
        <v/>
      </c>
      <c r="P792">
        <f>IF(E792="",1,MAX(1,(YEAR(O792)-YEAR(N792))*12+MONTH(O792)-MONTH(N792)+1))</f>
        <v/>
      </c>
      <c r="Q792">
        <f>IF(G792="",0,G792/P792)</f>
        <v/>
      </c>
      <c r="R792">
        <f>IF(H792="",0,H792/P792)</f>
        <v/>
      </c>
    </row>
    <row r="793">
      <c r="A793" s="43" t="n"/>
      <c r="B793" s="28" t="n"/>
      <c r="C793" s="28" t="n"/>
      <c r="D793" s="28" t="n"/>
      <c r="E793" s="44" t="n"/>
      <c r="F793" s="44" t="n"/>
      <c r="G793" s="23" t="n"/>
      <c r="H793" s="23" t="n"/>
      <c r="I793" s="23" t="n"/>
      <c r="J793" s="23" t="n"/>
      <c r="K793" s="45">
        <f>IF(A793="","",SUM(G$2:I793)-SUM(J$2:J793))</f>
        <v/>
      </c>
      <c r="L793" s="46" t="n"/>
      <c r="M793">
        <f>IF(A793="","",IF(A793=A792,M792,N(M792)+1))</f>
        <v/>
      </c>
      <c r="N793">
        <f>IF(E793="",99999,E793)</f>
        <v/>
      </c>
      <c r="O793">
        <f>IF(E793="",0,IF(F793="",E793,F793))</f>
        <v/>
      </c>
      <c r="P793">
        <f>IF(E793="",1,MAX(1,(YEAR(O793)-YEAR(N793))*12+MONTH(O793)-MONTH(N793)+1))</f>
        <v/>
      </c>
      <c r="Q793">
        <f>IF(G793="",0,G793/P793)</f>
        <v/>
      </c>
      <c r="R793">
        <f>IF(H793="",0,H793/P793)</f>
        <v/>
      </c>
    </row>
    <row r="794">
      <c r="A794" s="43" t="n"/>
      <c r="B794" s="28" t="n"/>
      <c r="C794" s="28" t="n"/>
      <c r="D794" s="28" t="n"/>
      <c r="E794" s="44" t="n"/>
      <c r="F794" s="44" t="n"/>
      <c r="G794" s="23" t="n"/>
      <c r="H794" s="23" t="n"/>
      <c r="I794" s="23" t="n"/>
      <c r="J794" s="23" t="n"/>
      <c r="K794" s="45">
        <f>IF(A794="","",SUM(G$2:I794)-SUM(J$2:J794))</f>
        <v/>
      </c>
      <c r="L794" s="46" t="n"/>
      <c r="M794">
        <f>IF(A794="","",IF(A794=A793,M793,N(M793)+1))</f>
        <v/>
      </c>
      <c r="N794">
        <f>IF(E794="",99999,E794)</f>
        <v/>
      </c>
      <c r="O794">
        <f>IF(E794="",0,IF(F794="",E794,F794))</f>
        <v/>
      </c>
      <c r="P794">
        <f>IF(E794="",1,MAX(1,(YEAR(O794)-YEAR(N794))*12+MONTH(O794)-MONTH(N794)+1))</f>
        <v/>
      </c>
      <c r="Q794">
        <f>IF(G794="",0,G794/P794)</f>
        <v/>
      </c>
      <c r="R794">
        <f>IF(H794="",0,H794/P794)</f>
        <v/>
      </c>
    </row>
    <row r="795">
      <c r="A795" s="43" t="n"/>
      <c r="B795" s="28" t="n"/>
      <c r="C795" s="28" t="n"/>
      <c r="D795" s="28" t="n"/>
      <c r="E795" s="44" t="n"/>
      <c r="F795" s="44" t="n"/>
      <c r="G795" s="23" t="n"/>
      <c r="H795" s="23" t="n"/>
      <c r="I795" s="23" t="n"/>
      <c r="J795" s="23" t="n"/>
      <c r="K795" s="45">
        <f>IF(A795="","",SUM(G$2:I795)-SUM(J$2:J795))</f>
        <v/>
      </c>
      <c r="L795" s="46" t="n"/>
      <c r="M795">
        <f>IF(A795="","",IF(A795=A794,M794,N(M794)+1))</f>
        <v/>
      </c>
      <c r="N795">
        <f>IF(E795="",99999,E795)</f>
        <v/>
      </c>
      <c r="O795">
        <f>IF(E795="",0,IF(F795="",E795,F795))</f>
        <v/>
      </c>
      <c r="P795">
        <f>IF(E795="",1,MAX(1,(YEAR(O795)-YEAR(N795))*12+MONTH(O795)-MONTH(N795)+1))</f>
        <v/>
      </c>
      <c r="Q795">
        <f>IF(G795="",0,G795/P795)</f>
        <v/>
      </c>
      <c r="R795">
        <f>IF(H795="",0,H795/P795)</f>
        <v/>
      </c>
    </row>
    <row r="796">
      <c r="A796" s="43" t="n"/>
      <c r="B796" s="28" t="n"/>
      <c r="C796" s="28" t="n"/>
      <c r="D796" s="28" t="n"/>
      <c r="E796" s="44" t="n"/>
      <c r="F796" s="44" t="n"/>
      <c r="G796" s="23" t="n"/>
      <c r="H796" s="23" t="n"/>
      <c r="I796" s="23" t="n"/>
      <c r="J796" s="23" t="n"/>
      <c r="K796" s="45">
        <f>IF(A796="","",SUM(G$2:I796)-SUM(J$2:J796))</f>
        <v/>
      </c>
      <c r="L796" s="46" t="n"/>
      <c r="M796">
        <f>IF(A796="","",IF(A796=A795,M795,N(M795)+1))</f>
        <v/>
      </c>
      <c r="N796">
        <f>IF(E796="",99999,E796)</f>
        <v/>
      </c>
      <c r="O796">
        <f>IF(E796="",0,IF(F796="",E796,F796))</f>
        <v/>
      </c>
      <c r="P796">
        <f>IF(E796="",1,MAX(1,(YEAR(O796)-YEAR(N796))*12+MONTH(O796)-MONTH(N796)+1))</f>
        <v/>
      </c>
      <c r="Q796">
        <f>IF(G796="",0,G796/P796)</f>
        <v/>
      </c>
      <c r="R796">
        <f>IF(H796="",0,H796/P796)</f>
        <v/>
      </c>
    </row>
    <row r="797">
      <c r="A797" s="43" t="n"/>
      <c r="B797" s="28" t="n"/>
      <c r="C797" s="28" t="n"/>
      <c r="D797" s="28" t="n"/>
      <c r="E797" s="44" t="n"/>
      <c r="F797" s="44" t="n"/>
      <c r="G797" s="23" t="n"/>
      <c r="H797" s="23" t="n"/>
      <c r="I797" s="23" t="n"/>
      <c r="J797" s="23" t="n"/>
      <c r="K797" s="45">
        <f>IF(A797="","",SUM(G$2:I797)-SUM(J$2:J797))</f>
        <v/>
      </c>
      <c r="L797" s="46" t="n"/>
      <c r="M797">
        <f>IF(A797="","",IF(A797=A796,M796,N(M796)+1))</f>
        <v/>
      </c>
      <c r="N797">
        <f>IF(E797="",99999,E797)</f>
        <v/>
      </c>
      <c r="O797">
        <f>IF(E797="",0,IF(F797="",E797,F797))</f>
        <v/>
      </c>
      <c r="P797">
        <f>IF(E797="",1,MAX(1,(YEAR(O797)-YEAR(N797))*12+MONTH(O797)-MONTH(N797)+1))</f>
        <v/>
      </c>
      <c r="Q797">
        <f>IF(G797="",0,G797/P797)</f>
        <v/>
      </c>
      <c r="R797">
        <f>IF(H797="",0,H797/P797)</f>
        <v/>
      </c>
    </row>
    <row r="798">
      <c r="A798" s="43" t="n"/>
      <c r="B798" s="28" t="n"/>
      <c r="C798" s="28" t="n"/>
      <c r="D798" s="28" t="n"/>
      <c r="E798" s="44" t="n"/>
      <c r="F798" s="44" t="n"/>
      <c r="G798" s="23" t="n"/>
      <c r="H798" s="23" t="n"/>
      <c r="I798" s="23" t="n"/>
      <c r="J798" s="23" t="n"/>
      <c r="K798" s="45">
        <f>IF(A798="","",SUM(G$2:I798)-SUM(J$2:J798))</f>
        <v/>
      </c>
      <c r="L798" s="46" t="n"/>
      <c r="M798">
        <f>IF(A798="","",IF(A798=A797,M797,N(M797)+1))</f>
        <v/>
      </c>
      <c r="N798">
        <f>IF(E798="",99999,E798)</f>
        <v/>
      </c>
      <c r="O798">
        <f>IF(E798="",0,IF(F798="",E798,F798))</f>
        <v/>
      </c>
      <c r="P798">
        <f>IF(E798="",1,MAX(1,(YEAR(O798)-YEAR(N798))*12+MONTH(O798)-MONTH(N798)+1))</f>
        <v/>
      </c>
      <c r="Q798">
        <f>IF(G798="",0,G798/P798)</f>
        <v/>
      </c>
      <c r="R798">
        <f>IF(H798="",0,H798/P798)</f>
        <v/>
      </c>
    </row>
    <row r="799">
      <c r="A799" s="43" t="n"/>
      <c r="B799" s="28" t="n"/>
      <c r="C799" s="28" t="n"/>
      <c r="D799" s="28" t="n"/>
      <c r="E799" s="44" t="n"/>
      <c r="F799" s="44" t="n"/>
      <c r="G799" s="23" t="n"/>
      <c r="H799" s="23" t="n"/>
      <c r="I799" s="23" t="n"/>
      <c r="J799" s="23" t="n"/>
      <c r="K799" s="45">
        <f>IF(A799="","",SUM(G$2:I799)-SUM(J$2:J799))</f>
        <v/>
      </c>
      <c r="L799" s="46" t="n"/>
      <c r="M799">
        <f>IF(A799="","",IF(A799=A798,M798,N(M798)+1))</f>
        <v/>
      </c>
      <c r="N799">
        <f>IF(E799="",99999,E799)</f>
        <v/>
      </c>
      <c r="O799">
        <f>IF(E799="",0,IF(F799="",E799,F799))</f>
        <v/>
      </c>
      <c r="P799">
        <f>IF(E799="",1,MAX(1,(YEAR(O799)-YEAR(N799))*12+MONTH(O799)-MONTH(N799)+1))</f>
        <v/>
      </c>
      <c r="Q799">
        <f>IF(G799="",0,G799/P799)</f>
        <v/>
      </c>
      <c r="R799">
        <f>IF(H799="",0,H799/P799)</f>
        <v/>
      </c>
    </row>
    <row r="800">
      <c r="A800" s="43" t="n"/>
      <c r="B800" s="28" t="n"/>
      <c r="C800" s="28" t="n"/>
      <c r="D800" s="28" t="n"/>
      <c r="E800" s="44" t="n"/>
      <c r="F800" s="44" t="n"/>
      <c r="G800" s="23" t="n"/>
      <c r="H800" s="23" t="n"/>
      <c r="I800" s="23" t="n"/>
      <c r="J800" s="23" t="n"/>
      <c r="K800" s="45">
        <f>IF(A800="","",SUM(G$2:I800)-SUM(J$2:J800))</f>
        <v/>
      </c>
      <c r="L800" s="46" t="n"/>
      <c r="M800">
        <f>IF(A800="","",IF(A800=A799,M799,N(M799)+1))</f>
        <v/>
      </c>
      <c r="N800">
        <f>IF(E800="",99999,E800)</f>
        <v/>
      </c>
      <c r="O800">
        <f>IF(E800="",0,IF(F800="",E800,F800))</f>
        <v/>
      </c>
      <c r="P800">
        <f>IF(E800="",1,MAX(1,(YEAR(O800)-YEAR(N800))*12+MONTH(O800)-MONTH(N800)+1))</f>
        <v/>
      </c>
      <c r="Q800">
        <f>IF(G800="",0,G800/P800)</f>
        <v/>
      </c>
      <c r="R800">
        <f>IF(H800="",0,H800/P800)</f>
        <v/>
      </c>
    </row>
    <row r="801">
      <c r="A801" s="43" t="n"/>
      <c r="B801" s="28" t="n"/>
      <c r="C801" s="28" t="n"/>
      <c r="D801" s="28" t="n"/>
      <c r="E801" s="44" t="n"/>
      <c r="F801" s="44" t="n"/>
      <c r="G801" s="23" t="n"/>
      <c r="H801" s="23" t="n"/>
      <c r="I801" s="23" t="n"/>
      <c r="J801" s="23" t="n"/>
      <c r="K801" s="45">
        <f>IF(A801="","",SUM(G$2:I801)-SUM(J$2:J801))</f>
        <v/>
      </c>
      <c r="L801" s="46" t="n"/>
      <c r="M801">
        <f>IF(A801="","",IF(A801=A800,M800,N(M800)+1))</f>
        <v/>
      </c>
      <c r="N801">
        <f>IF(E801="",99999,E801)</f>
        <v/>
      </c>
      <c r="O801">
        <f>IF(E801="",0,IF(F801="",E801,F801))</f>
        <v/>
      </c>
      <c r="P801">
        <f>IF(E801="",1,MAX(1,(YEAR(O801)-YEAR(N801))*12+MONTH(O801)-MONTH(N801)+1))</f>
        <v/>
      </c>
      <c r="Q801">
        <f>IF(G801="",0,G801/P801)</f>
        <v/>
      </c>
      <c r="R801">
        <f>IF(H801="",0,H801/P801)</f>
        <v/>
      </c>
    </row>
    <row r="802">
      <c r="A802" s="43" t="n"/>
      <c r="B802" s="28" t="n"/>
      <c r="C802" s="28" t="n"/>
      <c r="D802" s="28" t="n"/>
      <c r="E802" s="44" t="n"/>
      <c r="F802" s="44" t="n"/>
      <c r="G802" s="23" t="n"/>
      <c r="H802" s="23" t="n"/>
      <c r="I802" s="23" t="n"/>
      <c r="J802" s="23" t="n"/>
      <c r="K802" s="45">
        <f>IF(A802="","",SUM(G$2:I802)-SUM(J$2:J802))</f>
        <v/>
      </c>
      <c r="L802" s="46" t="n"/>
      <c r="M802">
        <f>IF(A802="","",IF(A802=A801,M801,N(M801)+1))</f>
        <v/>
      </c>
      <c r="N802">
        <f>IF(E802="",99999,E802)</f>
        <v/>
      </c>
      <c r="O802">
        <f>IF(E802="",0,IF(F802="",E802,F802))</f>
        <v/>
      </c>
      <c r="P802">
        <f>IF(E802="",1,MAX(1,(YEAR(O802)-YEAR(N802))*12+MONTH(O802)-MONTH(N802)+1))</f>
        <v/>
      </c>
      <c r="Q802">
        <f>IF(G802="",0,G802/P802)</f>
        <v/>
      </c>
      <c r="R802">
        <f>IF(H802="",0,H802/P802)</f>
        <v/>
      </c>
    </row>
    <row r="803">
      <c r="A803" s="43" t="n"/>
      <c r="B803" s="28" t="n"/>
      <c r="C803" s="28" t="n"/>
      <c r="D803" s="28" t="n"/>
      <c r="E803" s="44" t="n"/>
      <c r="F803" s="44" t="n"/>
      <c r="G803" s="23" t="n"/>
      <c r="H803" s="23" t="n"/>
      <c r="I803" s="23" t="n"/>
      <c r="J803" s="23" t="n"/>
      <c r="K803" s="45">
        <f>IF(A803="","",SUM(G$2:I803)-SUM(J$2:J803))</f>
        <v/>
      </c>
      <c r="L803" s="46" t="n"/>
      <c r="M803">
        <f>IF(A803="","",IF(A803=A802,M802,N(M802)+1))</f>
        <v/>
      </c>
      <c r="N803">
        <f>IF(E803="",99999,E803)</f>
        <v/>
      </c>
      <c r="O803">
        <f>IF(E803="",0,IF(F803="",E803,F803))</f>
        <v/>
      </c>
      <c r="P803">
        <f>IF(E803="",1,MAX(1,(YEAR(O803)-YEAR(N803))*12+MONTH(O803)-MONTH(N803)+1))</f>
        <v/>
      </c>
      <c r="Q803">
        <f>IF(G803="",0,G803/P803)</f>
        <v/>
      </c>
      <c r="R803">
        <f>IF(H803="",0,H803/P803)</f>
        <v/>
      </c>
    </row>
    <row r="804">
      <c r="A804" s="43" t="n"/>
      <c r="B804" s="28" t="n"/>
      <c r="C804" s="28" t="n"/>
      <c r="D804" s="28" t="n"/>
      <c r="E804" s="44" t="n"/>
      <c r="F804" s="44" t="n"/>
      <c r="G804" s="23" t="n"/>
      <c r="H804" s="23" t="n"/>
      <c r="I804" s="23" t="n"/>
      <c r="J804" s="23" t="n"/>
      <c r="K804" s="45">
        <f>IF(A804="","",SUM(G$2:I804)-SUM(J$2:J804))</f>
        <v/>
      </c>
      <c r="L804" s="46" t="n"/>
      <c r="M804">
        <f>IF(A804="","",IF(A804=A803,M803,N(M803)+1))</f>
        <v/>
      </c>
      <c r="N804">
        <f>IF(E804="",99999,E804)</f>
        <v/>
      </c>
      <c r="O804">
        <f>IF(E804="",0,IF(F804="",E804,F804))</f>
        <v/>
      </c>
      <c r="P804">
        <f>IF(E804="",1,MAX(1,(YEAR(O804)-YEAR(N804))*12+MONTH(O804)-MONTH(N804)+1))</f>
        <v/>
      </c>
      <c r="Q804">
        <f>IF(G804="",0,G804/P804)</f>
        <v/>
      </c>
      <c r="R804">
        <f>IF(H804="",0,H804/P804)</f>
        <v/>
      </c>
    </row>
    <row r="805">
      <c r="A805" s="43" t="n"/>
      <c r="B805" s="28" t="n"/>
      <c r="C805" s="28" t="n"/>
      <c r="D805" s="28" t="n"/>
      <c r="E805" s="44" t="n"/>
      <c r="F805" s="44" t="n"/>
      <c r="G805" s="23" t="n"/>
      <c r="H805" s="23" t="n"/>
      <c r="I805" s="23" t="n"/>
      <c r="J805" s="23" t="n"/>
      <c r="K805" s="45">
        <f>IF(A805="","",SUM(G$2:I805)-SUM(J$2:J805))</f>
        <v/>
      </c>
      <c r="L805" s="46" t="n"/>
      <c r="M805">
        <f>IF(A805="","",IF(A805=A804,M804,N(M804)+1))</f>
        <v/>
      </c>
      <c r="N805">
        <f>IF(E805="",99999,E805)</f>
        <v/>
      </c>
      <c r="O805">
        <f>IF(E805="",0,IF(F805="",E805,F805))</f>
        <v/>
      </c>
      <c r="P805">
        <f>IF(E805="",1,MAX(1,(YEAR(O805)-YEAR(N805))*12+MONTH(O805)-MONTH(N805)+1))</f>
        <v/>
      </c>
      <c r="Q805">
        <f>IF(G805="",0,G805/P805)</f>
        <v/>
      </c>
      <c r="R805">
        <f>IF(H805="",0,H805/P805)</f>
        <v/>
      </c>
    </row>
    <row r="806">
      <c r="A806" s="43" t="n"/>
      <c r="B806" s="28" t="n"/>
      <c r="C806" s="28" t="n"/>
      <c r="D806" s="28" t="n"/>
      <c r="E806" s="44" t="n"/>
      <c r="F806" s="44" t="n"/>
      <c r="G806" s="23" t="n"/>
      <c r="H806" s="23" t="n"/>
      <c r="I806" s="23" t="n"/>
      <c r="J806" s="23" t="n"/>
      <c r="K806" s="45">
        <f>IF(A806="","",SUM(G$2:I806)-SUM(J$2:J806))</f>
        <v/>
      </c>
      <c r="L806" s="46" t="n"/>
      <c r="M806">
        <f>IF(A806="","",IF(A806=A805,M805,N(M805)+1))</f>
        <v/>
      </c>
      <c r="N806">
        <f>IF(E806="",99999,E806)</f>
        <v/>
      </c>
      <c r="O806">
        <f>IF(E806="",0,IF(F806="",E806,F806))</f>
        <v/>
      </c>
      <c r="P806">
        <f>IF(E806="",1,MAX(1,(YEAR(O806)-YEAR(N806))*12+MONTH(O806)-MONTH(N806)+1))</f>
        <v/>
      </c>
      <c r="Q806">
        <f>IF(G806="",0,G806/P806)</f>
        <v/>
      </c>
      <c r="R806">
        <f>IF(H806="",0,H806/P806)</f>
        <v/>
      </c>
    </row>
    <row r="807">
      <c r="A807" s="43" t="n"/>
      <c r="B807" s="28" t="n"/>
      <c r="C807" s="28" t="n"/>
      <c r="D807" s="28" t="n"/>
      <c r="E807" s="44" t="n"/>
      <c r="F807" s="44" t="n"/>
      <c r="G807" s="23" t="n"/>
      <c r="H807" s="23" t="n"/>
      <c r="I807" s="23" t="n"/>
      <c r="J807" s="23" t="n"/>
      <c r="K807" s="45">
        <f>IF(A807="","",SUM(G$2:I807)-SUM(J$2:J807))</f>
        <v/>
      </c>
      <c r="L807" s="46" t="n"/>
      <c r="M807">
        <f>IF(A807="","",IF(A807=A806,M806,N(M806)+1))</f>
        <v/>
      </c>
      <c r="N807">
        <f>IF(E807="",99999,E807)</f>
        <v/>
      </c>
      <c r="O807">
        <f>IF(E807="",0,IF(F807="",E807,F807))</f>
        <v/>
      </c>
      <c r="P807">
        <f>IF(E807="",1,MAX(1,(YEAR(O807)-YEAR(N807))*12+MONTH(O807)-MONTH(N807)+1))</f>
        <v/>
      </c>
      <c r="Q807">
        <f>IF(G807="",0,G807/P807)</f>
        <v/>
      </c>
      <c r="R807">
        <f>IF(H807="",0,H807/P807)</f>
        <v/>
      </c>
    </row>
    <row r="808">
      <c r="A808" s="43" t="n"/>
      <c r="B808" s="28" t="n"/>
      <c r="C808" s="28" t="n"/>
      <c r="D808" s="28" t="n"/>
      <c r="E808" s="44" t="n"/>
      <c r="F808" s="44" t="n"/>
      <c r="G808" s="23" t="n"/>
      <c r="H808" s="23" t="n"/>
      <c r="I808" s="23" t="n"/>
      <c r="J808" s="23" t="n"/>
      <c r="K808" s="45">
        <f>IF(A808="","",SUM(G$2:I808)-SUM(J$2:J808))</f>
        <v/>
      </c>
      <c r="L808" s="46" t="n"/>
      <c r="M808">
        <f>IF(A808="","",IF(A808=A807,M807,N(M807)+1))</f>
        <v/>
      </c>
      <c r="N808">
        <f>IF(E808="",99999,E808)</f>
        <v/>
      </c>
      <c r="O808">
        <f>IF(E808="",0,IF(F808="",E808,F808))</f>
        <v/>
      </c>
      <c r="P808">
        <f>IF(E808="",1,MAX(1,(YEAR(O808)-YEAR(N808))*12+MONTH(O808)-MONTH(N808)+1))</f>
        <v/>
      </c>
      <c r="Q808">
        <f>IF(G808="",0,G808/P808)</f>
        <v/>
      </c>
      <c r="R808">
        <f>IF(H808="",0,H808/P808)</f>
        <v/>
      </c>
    </row>
    <row r="809">
      <c r="A809" s="43" t="n"/>
      <c r="B809" s="28" t="n"/>
      <c r="C809" s="28" t="n"/>
      <c r="D809" s="28" t="n"/>
      <c r="E809" s="44" t="n"/>
      <c r="F809" s="44" t="n"/>
      <c r="G809" s="23" t="n"/>
      <c r="H809" s="23" t="n"/>
      <c r="I809" s="23" t="n"/>
      <c r="J809" s="23" t="n"/>
      <c r="K809" s="45">
        <f>IF(A809="","",SUM(G$2:I809)-SUM(J$2:J809))</f>
        <v/>
      </c>
      <c r="L809" s="46" t="n"/>
      <c r="M809">
        <f>IF(A809="","",IF(A809=A808,M808,N(M808)+1))</f>
        <v/>
      </c>
      <c r="N809">
        <f>IF(E809="",99999,E809)</f>
        <v/>
      </c>
      <c r="O809">
        <f>IF(E809="",0,IF(F809="",E809,F809))</f>
        <v/>
      </c>
      <c r="P809">
        <f>IF(E809="",1,MAX(1,(YEAR(O809)-YEAR(N809))*12+MONTH(O809)-MONTH(N809)+1))</f>
        <v/>
      </c>
      <c r="Q809">
        <f>IF(G809="",0,G809/P809)</f>
        <v/>
      </c>
      <c r="R809">
        <f>IF(H809="",0,H809/P809)</f>
        <v/>
      </c>
    </row>
    <row r="810">
      <c r="A810" s="43" t="n"/>
      <c r="B810" s="28" t="n"/>
      <c r="C810" s="28" t="n"/>
      <c r="D810" s="28" t="n"/>
      <c r="E810" s="44" t="n"/>
      <c r="F810" s="44" t="n"/>
      <c r="G810" s="23" t="n"/>
      <c r="H810" s="23" t="n"/>
      <c r="I810" s="23" t="n"/>
      <c r="J810" s="23" t="n"/>
      <c r="K810" s="45">
        <f>IF(A810="","",SUM(G$2:I810)-SUM(J$2:J810))</f>
        <v/>
      </c>
      <c r="L810" s="46" t="n"/>
      <c r="M810">
        <f>IF(A810="","",IF(A810=A809,M809,N(M809)+1))</f>
        <v/>
      </c>
      <c r="N810">
        <f>IF(E810="",99999,E810)</f>
        <v/>
      </c>
      <c r="O810">
        <f>IF(E810="",0,IF(F810="",E810,F810))</f>
        <v/>
      </c>
      <c r="P810">
        <f>IF(E810="",1,MAX(1,(YEAR(O810)-YEAR(N810))*12+MONTH(O810)-MONTH(N810)+1))</f>
        <v/>
      </c>
      <c r="Q810">
        <f>IF(G810="",0,G810/P810)</f>
        <v/>
      </c>
      <c r="R810">
        <f>IF(H810="",0,H810/P810)</f>
        <v/>
      </c>
    </row>
    <row r="811">
      <c r="A811" s="43" t="n"/>
      <c r="B811" s="28" t="n"/>
      <c r="C811" s="28" t="n"/>
      <c r="D811" s="28" t="n"/>
      <c r="E811" s="44" t="n"/>
      <c r="F811" s="44" t="n"/>
      <c r="G811" s="23" t="n"/>
      <c r="H811" s="23" t="n"/>
      <c r="I811" s="23" t="n"/>
      <c r="J811" s="23" t="n"/>
      <c r="K811" s="45">
        <f>IF(A811="","",SUM(G$2:I811)-SUM(J$2:J811))</f>
        <v/>
      </c>
      <c r="L811" s="46" t="n"/>
      <c r="M811">
        <f>IF(A811="","",IF(A811=A810,M810,N(M810)+1))</f>
        <v/>
      </c>
      <c r="N811">
        <f>IF(E811="",99999,E811)</f>
        <v/>
      </c>
      <c r="O811">
        <f>IF(E811="",0,IF(F811="",E811,F811))</f>
        <v/>
      </c>
      <c r="P811">
        <f>IF(E811="",1,MAX(1,(YEAR(O811)-YEAR(N811))*12+MONTH(O811)-MONTH(N811)+1))</f>
        <v/>
      </c>
      <c r="Q811">
        <f>IF(G811="",0,G811/P811)</f>
        <v/>
      </c>
      <c r="R811">
        <f>IF(H811="",0,H811/P811)</f>
        <v/>
      </c>
    </row>
    <row r="812">
      <c r="A812" s="43" t="n"/>
      <c r="B812" s="28" t="n"/>
      <c r="C812" s="28" t="n"/>
      <c r="D812" s="28" t="n"/>
      <c r="E812" s="44" t="n"/>
      <c r="F812" s="44" t="n"/>
      <c r="G812" s="23" t="n"/>
      <c r="H812" s="23" t="n"/>
      <c r="I812" s="23" t="n"/>
      <c r="J812" s="23" t="n"/>
      <c r="K812" s="45">
        <f>IF(A812="","",SUM(G$2:I812)-SUM(J$2:J812))</f>
        <v/>
      </c>
      <c r="L812" s="46" t="n"/>
      <c r="M812">
        <f>IF(A812="","",IF(A812=A811,M811,N(M811)+1))</f>
        <v/>
      </c>
      <c r="N812">
        <f>IF(E812="",99999,E812)</f>
        <v/>
      </c>
      <c r="O812">
        <f>IF(E812="",0,IF(F812="",E812,F812))</f>
        <v/>
      </c>
      <c r="P812">
        <f>IF(E812="",1,MAX(1,(YEAR(O812)-YEAR(N812))*12+MONTH(O812)-MONTH(N812)+1))</f>
        <v/>
      </c>
      <c r="Q812">
        <f>IF(G812="",0,G812/P812)</f>
        <v/>
      </c>
      <c r="R812">
        <f>IF(H812="",0,H812/P812)</f>
        <v/>
      </c>
    </row>
    <row r="813">
      <c r="A813" s="43" t="n"/>
      <c r="B813" s="28" t="n"/>
      <c r="C813" s="28" t="n"/>
      <c r="D813" s="28" t="n"/>
      <c r="E813" s="44" t="n"/>
      <c r="F813" s="44" t="n"/>
      <c r="G813" s="23" t="n"/>
      <c r="H813" s="23" t="n"/>
      <c r="I813" s="23" t="n"/>
      <c r="J813" s="23" t="n"/>
      <c r="K813" s="45">
        <f>IF(A813="","",SUM(G$2:I813)-SUM(J$2:J813))</f>
        <v/>
      </c>
      <c r="L813" s="46" t="n"/>
      <c r="M813">
        <f>IF(A813="","",IF(A813=A812,M812,N(M812)+1))</f>
        <v/>
      </c>
      <c r="N813">
        <f>IF(E813="",99999,E813)</f>
        <v/>
      </c>
      <c r="O813">
        <f>IF(E813="",0,IF(F813="",E813,F813))</f>
        <v/>
      </c>
      <c r="P813">
        <f>IF(E813="",1,MAX(1,(YEAR(O813)-YEAR(N813))*12+MONTH(O813)-MONTH(N813)+1))</f>
        <v/>
      </c>
      <c r="Q813">
        <f>IF(G813="",0,G813/P813)</f>
        <v/>
      </c>
      <c r="R813">
        <f>IF(H813="",0,H813/P813)</f>
        <v/>
      </c>
    </row>
    <row r="814">
      <c r="A814" s="43" t="n"/>
      <c r="B814" s="28" t="n"/>
      <c r="C814" s="28" t="n"/>
      <c r="D814" s="28" t="n"/>
      <c r="E814" s="44" t="n"/>
      <c r="F814" s="44" t="n"/>
      <c r="G814" s="23" t="n"/>
      <c r="H814" s="23" t="n"/>
      <c r="I814" s="23" t="n"/>
      <c r="J814" s="23" t="n"/>
      <c r="K814" s="45">
        <f>IF(A814="","",SUM(G$2:I814)-SUM(J$2:J814))</f>
        <v/>
      </c>
      <c r="L814" s="46" t="n"/>
      <c r="M814">
        <f>IF(A814="","",IF(A814=A813,M813,N(M813)+1))</f>
        <v/>
      </c>
      <c r="N814">
        <f>IF(E814="",99999,E814)</f>
        <v/>
      </c>
      <c r="O814">
        <f>IF(E814="",0,IF(F814="",E814,F814))</f>
        <v/>
      </c>
      <c r="P814">
        <f>IF(E814="",1,MAX(1,(YEAR(O814)-YEAR(N814))*12+MONTH(O814)-MONTH(N814)+1))</f>
        <v/>
      </c>
      <c r="Q814">
        <f>IF(G814="",0,G814/P814)</f>
        <v/>
      </c>
      <c r="R814">
        <f>IF(H814="",0,H814/P814)</f>
        <v/>
      </c>
    </row>
    <row r="815">
      <c r="A815" s="43" t="n"/>
      <c r="B815" s="28" t="n"/>
      <c r="C815" s="28" t="n"/>
      <c r="D815" s="28" t="n"/>
      <c r="E815" s="44" t="n"/>
      <c r="F815" s="44" t="n"/>
      <c r="G815" s="23" t="n"/>
      <c r="H815" s="23" t="n"/>
      <c r="I815" s="23" t="n"/>
      <c r="J815" s="23" t="n"/>
      <c r="K815" s="45">
        <f>IF(A815="","",SUM(G$2:I815)-SUM(J$2:J815))</f>
        <v/>
      </c>
      <c r="L815" s="46" t="n"/>
      <c r="M815">
        <f>IF(A815="","",IF(A815=A814,M814,N(M814)+1))</f>
        <v/>
      </c>
      <c r="N815">
        <f>IF(E815="",99999,E815)</f>
        <v/>
      </c>
      <c r="O815">
        <f>IF(E815="",0,IF(F815="",E815,F815))</f>
        <v/>
      </c>
      <c r="P815">
        <f>IF(E815="",1,MAX(1,(YEAR(O815)-YEAR(N815))*12+MONTH(O815)-MONTH(N815)+1))</f>
        <v/>
      </c>
      <c r="Q815">
        <f>IF(G815="",0,G815/P815)</f>
        <v/>
      </c>
      <c r="R815">
        <f>IF(H815="",0,H815/P815)</f>
        <v/>
      </c>
    </row>
    <row r="816">
      <c r="A816" s="43" t="n"/>
      <c r="B816" s="28" t="n"/>
      <c r="C816" s="28" t="n"/>
      <c r="D816" s="28" t="n"/>
      <c r="E816" s="44" t="n"/>
      <c r="F816" s="44" t="n"/>
      <c r="G816" s="23" t="n"/>
      <c r="H816" s="23" t="n"/>
      <c r="I816" s="23" t="n"/>
      <c r="J816" s="23" t="n"/>
      <c r="K816" s="45">
        <f>IF(A816="","",SUM(G$2:I816)-SUM(J$2:J816))</f>
        <v/>
      </c>
      <c r="L816" s="46" t="n"/>
      <c r="M816">
        <f>IF(A816="","",IF(A816=A815,M815,N(M815)+1))</f>
        <v/>
      </c>
      <c r="N816">
        <f>IF(E816="",99999,E816)</f>
        <v/>
      </c>
      <c r="O816">
        <f>IF(E816="",0,IF(F816="",E816,F816))</f>
        <v/>
      </c>
      <c r="P816">
        <f>IF(E816="",1,MAX(1,(YEAR(O816)-YEAR(N816))*12+MONTH(O816)-MONTH(N816)+1))</f>
        <v/>
      </c>
      <c r="Q816">
        <f>IF(G816="",0,G816/P816)</f>
        <v/>
      </c>
      <c r="R816">
        <f>IF(H816="",0,H816/P816)</f>
        <v/>
      </c>
    </row>
    <row r="817">
      <c r="A817" s="43" t="n"/>
      <c r="B817" s="28" t="n"/>
      <c r="C817" s="28" t="n"/>
      <c r="D817" s="28" t="n"/>
      <c r="E817" s="44" t="n"/>
      <c r="F817" s="44" t="n"/>
      <c r="G817" s="23" t="n"/>
      <c r="H817" s="23" t="n"/>
      <c r="I817" s="23" t="n"/>
      <c r="J817" s="23" t="n"/>
      <c r="K817" s="45">
        <f>IF(A817="","",SUM(G$2:I817)-SUM(J$2:J817))</f>
        <v/>
      </c>
      <c r="L817" s="46" t="n"/>
      <c r="M817">
        <f>IF(A817="","",IF(A817=A816,M816,N(M816)+1))</f>
        <v/>
      </c>
      <c r="N817">
        <f>IF(E817="",99999,E817)</f>
        <v/>
      </c>
      <c r="O817">
        <f>IF(E817="",0,IF(F817="",E817,F817))</f>
        <v/>
      </c>
      <c r="P817">
        <f>IF(E817="",1,MAX(1,(YEAR(O817)-YEAR(N817))*12+MONTH(O817)-MONTH(N817)+1))</f>
        <v/>
      </c>
      <c r="Q817">
        <f>IF(G817="",0,G817/P817)</f>
        <v/>
      </c>
      <c r="R817">
        <f>IF(H817="",0,H817/P817)</f>
        <v/>
      </c>
    </row>
    <row r="818">
      <c r="A818" s="43" t="n"/>
      <c r="B818" s="28" t="n"/>
      <c r="C818" s="28" t="n"/>
      <c r="D818" s="28" t="n"/>
      <c r="E818" s="44" t="n"/>
      <c r="F818" s="44" t="n"/>
      <c r="G818" s="23" t="n"/>
      <c r="H818" s="23" t="n"/>
      <c r="I818" s="23" t="n"/>
      <c r="J818" s="23" t="n"/>
      <c r="K818" s="45">
        <f>IF(A818="","",SUM(G$2:I818)-SUM(J$2:J818))</f>
        <v/>
      </c>
      <c r="L818" s="46" t="n"/>
      <c r="M818">
        <f>IF(A818="","",IF(A818=A817,M817,N(M817)+1))</f>
        <v/>
      </c>
      <c r="N818">
        <f>IF(E818="",99999,E818)</f>
        <v/>
      </c>
      <c r="O818">
        <f>IF(E818="",0,IF(F818="",E818,F818))</f>
        <v/>
      </c>
      <c r="P818">
        <f>IF(E818="",1,MAX(1,(YEAR(O818)-YEAR(N818))*12+MONTH(O818)-MONTH(N818)+1))</f>
        <v/>
      </c>
      <c r="Q818">
        <f>IF(G818="",0,G818/P818)</f>
        <v/>
      </c>
      <c r="R818">
        <f>IF(H818="",0,H818/P818)</f>
        <v/>
      </c>
    </row>
    <row r="819">
      <c r="A819" s="43" t="n"/>
      <c r="B819" s="28" t="n"/>
      <c r="C819" s="28" t="n"/>
      <c r="D819" s="28" t="n"/>
      <c r="E819" s="44" t="n"/>
      <c r="F819" s="44" t="n"/>
      <c r="G819" s="23" t="n"/>
      <c r="H819" s="23" t="n"/>
      <c r="I819" s="23" t="n"/>
      <c r="J819" s="23" t="n"/>
      <c r="K819" s="45">
        <f>IF(A819="","",SUM(G$2:I819)-SUM(J$2:J819))</f>
        <v/>
      </c>
      <c r="L819" s="46" t="n"/>
      <c r="M819">
        <f>IF(A819="","",IF(A819=A818,M818,N(M818)+1))</f>
        <v/>
      </c>
      <c r="N819">
        <f>IF(E819="",99999,E819)</f>
        <v/>
      </c>
      <c r="O819">
        <f>IF(E819="",0,IF(F819="",E819,F819))</f>
        <v/>
      </c>
      <c r="P819">
        <f>IF(E819="",1,MAX(1,(YEAR(O819)-YEAR(N819))*12+MONTH(O819)-MONTH(N819)+1))</f>
        <v/>
      </c>
      <c r="Q819">
        <f>IF(G819="",0,G819/P819)</f>
        <v/>
      </c>
      <c r="R819">
        <f>IF(H819="",0,H819/P819)</f>
        <v/>
      </c>
    </row>
    <row r="820">
      <c r="A820" s="43" t="n"/>
      <c r="B820" s="28" t="n"/>
      <c r="C820" s="28" t="n"/>
      <c r="D820" s="28" t="n"/>
      <c r="E820" s="44" t="n"/>
      <c r="F820" s="44" t="n"/>
      <c r="G820" s="23" t="n"/>
      <c r="H820" s="23" t="n"/>
      <c r="I820" s="23" t="n"/>
      <c r="J820" s="23" t="n"/>
      <c r="K820" s="45">
        <f>IF(A820="","",SUM(G$2:I820)-SUM(J$2:J820))</f>
        <v/>
      </c>
      <c r="L820" s="46" t="n"/>
      <c r="M820">
        <f>IF(A820="","",IF(A820=A819,M819,N(M819)+1))</f>
        <v/>
      </c>
      <c r="N820">
        <f>IF(E820="",99999,E820)</f>
        <v/>
      </c>
      <c r="O820">
        <f>IF(E820="",0,IF(F820="",E820,F820))</f>
        <v/>
      </c>
      <c r="P820">
        <f>IF(E820="",1,MAX(1,(YEAR(O820)-YEAR(N820))*12+MONTH(O820)-MONTH(N820)+1))</f>
        <v/>
      </c>
      <c r="Q820">
        <f>IF(G820="",0,G820/P820)</f>
        <v/>
      </c>
      <c r="R820">
        <f>IF(H820="",0,H820/P820)</f>
        <v/>
      </c>
    </row>
    <row r="821">
      <c r="A821" s="43" t="n"/>
      <c r="B821" s="28" t="n"/>
      <c r="C821" s="28" t="n"/>
      <c r="D821" s="28" t="n"/>
      <c r="E821" s="44" t="n"/>
      <c r="F821" s="44" t="n"/>
      <c r="G821" s="23" t="n"/>
      <c r="H821" s="23" t="n"/>
      <c r="I821" s="23" t="n"/>
      <c r="J821" s="23" t="n"/>
      <c r="K821" s="45">
        <f>IF(A821="","",SUM(G$2:I821)-SUM(J$2:J821))</f>
        <v/>
      </c>
      <c r="L821" s="46" t="n"/>
      <c r="M821">
        <f>IF(A821="","",IF(A821=A820,M820,N(M820)+1))</f>
        <v/>
      </c>
      <c r="N821">
        <f>IF(E821="",99999,E821)</f>
        <v/>
      </c>
      <c r="O821">
        <f>IF(E821="",0,IF(F821="",E821,F821))</f>
        <v/>
      </c>
      <c r="P821">
        <f>IF(E821="",1,MAX(1,(YEAR(O821)-YEAR(N821))*12+MONTH(O821)-MONTH(N821)+1))</f>
        <v/>
      </c>
      <c r="Q821">
        <f>IF(G821="",0,G821/P821)</f>
        <v/>
      </c>
      <c r="R821">
        <f>IF(H821="",0,H821/P821)</f>
        <v/>
      </c>
    </row>
    <row r="822">
      <c r="A822" s="43" t="n"/>
      <c r="B822" s="28" t="n"/>
      <c r="C822" s="28" t="n"/>
      <c r="D822" s="28" t="n"/>
      <c r="E822" s="44" t="n"/>
      <c r="F822" s="44" t="n"/>
      <c r="G822" s="23" t="n"/>
      <c r="H822" s="23" t="n"/>
      <c r="I822" s="23" t="n"/>
      <c r="J822" s="23" t="n"/>
      <c r="K822" s="45">
        <f>IF(A822="","",SUM(G$2:I822)-SUM(J$2:J822))</f>
        <v/>
      </c>
      <c r="L822" s="46" t="n"/>
      <c r="M822">
        <f>IF(A822="","",IF(A822=A821,M821,N(M821)+1))</f>
        <v/>
      </c>
      <c r="N822">
        <f>IF(E822="",99999,E822)</f>
        <v/>
      </c>
      <c r="O822">
        <f>IF(E822="",0,IF(F822="",E822,F822))</f>
        <v/>
      </c>
      <c r="P822">
        <f>IF(E822="",1,MAX(1,(YEAR(O822)-YEAR(N822))*12+MONTH(O822)-MONTH(N822)+1))</f>
        <v/>
      </c>
      <c r="Q822">
        <f>IF(G822="",0,G822/P822)</f>
        <v/>
      </c>
      <c r="R822">
        <f>IF(H822="",0,H822/P822)</f>
        <v/>
      </c>
    </row>
    <row r="823">
      <c r="A823" s="43" t="n"/>
      <c r="B823" s="28" t="n"/>
      <c r="C823" s="28" t="n"/>
      <c r="D823" s="28" t="n"/>
      <c r="E823" s="44" t="n"/>
      <c r="F823" s="44" t="n"/>
      <c r="G823" s="23" t="n"/>
      <c r="H823" s="23" t="n"/>
      <c r="I823" s="23" t="n"/>
      <c r="J823" s="23" t="n"/>
      <c r="K823" s="45">
        <f>IF(A823="","",SUM(G$2:I823)-SUM(J$2:J823))</f>
        <v/>
      </c>
      <c r="L823" s="46" t="n"/>
      <c r="M823">
        <f>IF(A823="","",IF(A823=A822,M822,N(M822)+1))</f>
        <v/>
      </c>
      <c r="N823">
        <f>IF(E823="",99999,E823)</f>
        <v/>
      </c>
      <c r="O823">
        <f>IF(E823="",0,IF(F823="",E823,F823))</f>
        <v/>
      </c>
      <c r="P823">
        <f>IF(E823="",1,MAX(1,(YEAR(O823)-YEAR(N823))*12+MONTH(O823)-MONTH(N823)+1))</f>
        <v/>
      </c>
      <c r="Q823">
        <f>IF(G823="",0,G823/P823)</f>
        <v/>
      </c>
      <c r="R823">
        <f>IF(H823="",0,H823/P823)</f>
        <v/>
      </c>
    </row>
    <row r="824">
      <c r="A824" s="43" t="n"/>
      <c r="B824" s="28" t="n"/>
      <c r="C824" s="28" t="n"/>
      <c r="D824" s="28" t="n"/>
      <c r="E824" s="44" t="n"/>
      <c r="F824" s="44" t="n"/>
      <c r="G824" s="23" t="n"/>
      <c r="H824" s="23" t="n"/>
      <c r="I824" s="23" t="n"/>
      <c r="J824" s="23" t="n"/>
      <c r="K824" s="45">
        <f>IF(A824="","",SUM(G$2:I824)-SUM(J$2:J824))</f>
        <v/>
      </c>
      <c r="L824" s="46" t="n"/>
      <c r="M824">
        <f>IF(A824="","",IF(A824=A823,M823,N(M823)+1))</f>
        <v/>
      </c>
      <c r="N824">
        <f>IF(E824="",99999,E824)</f>
        <v/>
      </c>
      <c r="O824">
        <f>IF(E824="",0,IF(F824="",E824,F824))</f>
        <v/>
      </c>
      <c r="P824">
        <f>IF(E824="",1,MAX(1,(YEAR(O824)-YEAR(N824))*12+MONTH(O824)-MONTH(N824)+1))</f>
        <v/>
      </c>
      <c r="Q824">
        <f>IF(G824="",0,G824/P824)</f>
        <v/>
      </c>
      <c r="R824">
        <f>IF(H824="",0,H824/P824)</f>
        <v/>
      </c>
    </row>
    <row r="825">
      <c r="A825" s="43" t="n"/>
      <c r="B825" s="28" t="n"/>
      <c r="C825" s="28" t="n"/>
      <c r="D825" s="28" t="n"/>
      <c r="E825" s="44" t="n"/>
      <c r="F825" s="44" t="n"/>
      <c r="G825" s="23" t="n"/>
      <c r="H825" s="23" t="n"/>
      <c r="I825" s="23" t="n"/>
      <c r="J825" s="23" t="n"/>
      <c r="K825" s="45">
        <f>IF(A825="","",SUM(G$2:I825)-SUM(J$2:J825))</f>
        <v/>
      </c>
      <c r="L825" s="46" t="n"/>
      <c r="M825">
        <f>IF(A825="","",IF(A825=A824,M824,N(M824)+1))</f>
        <v/>
      </c>
      <c r="N825">
        <f>IF(E825="",99999,E825)</f>
        <v/>
      </c>
      <c r="O825">
        <f>IF(E825="",0,IF(F825="",E825,F825))</f>
        <v/>
      </c>
      <c r="P825">
        <f>IF(E825="",1,MAX(1,(YEAR(O825)-YEAR(N825))*12+MONTH(O825)-MONTH(N825)+1))</f>
        <v/>
      </c>
      <c r="Q825">
        <f>IF(G825="",0,G825/P825)</f>
        <v/>
      </c>
      <c r="R825">
        <f>IF(H825="",0,H825/P825)</f>
        <v/>
      </c>
    </row>
    <row r="826">
      <c r="A826" s="43" t="n"/>
      <c r="B826" s="28" t="n"/>
      <c r="C826" s="28" t="n"/>
      <c r="D826" s="28" t="n"/>
      <c r="E826" s="44" t="n"/>
      <c r="F826" s="44" t="n"/>
      <c r="G826" s="23" t="n"/>
      <c r="H826" s="23" t="n"/>
      <c r="I826" s="23" t="n"/>
      <c r="J826" s="23" t="n"/>
      <c r="K826" s="45">
        <f>IF(A826="","",SUM(G$2:I826)-SUM(J$2:J826))</f>
        <v/>
      </c>
      <c r="L826" s="46" t="n"/>
      <c r="M826">
        <f>IF(A826="","",IF(A826=A825,M825,N(M825)+1))</f>
        <v/>
      </c>
      <c r="N826">
        <f>IF(E826="",99999,E826)</f>
        <v/>
      </c>
      <c r="O826">
        <f>IF(E826="",0,IF(F826="",E826,F826))</f>
        <v/>
      </c>
      <c r="P826">
        <f>IF(E826="",1,MAX(1,(YEAR(O826)-YEAR(N826))*12+MONTH(O826)-MONTH(N826)+1))</f>
        <v/>
      </c>
      <c r="Q826">
        <f>IF(G826="",0,G826/P826)</f>
        <v/>
      </c>
      <c r="R826">
        <f>IF(H826="",0,H826/P826)</f>
        <v/>
      </c>
    </row>
    <row r="827">
      <c r="A827" s="43" t="n"/>
      <c r="B827" s="28" t="n"/>
      <c r="C827" s="28" t="n"/>
      <c r="D827" s="28" t="n"/>
      <c r="E827" s="44" t="n"/>
      <c r="F827" s="44" t="n"/>
      <c r="G827" s="23" t="n"/>
      <c r="H827" s="23" t="n"/>
      <c r="I827" s="23" t="n"/>
      <c r="J827" s="23" t="n"/>
      <c r="K827" s="45">
        <f>IF(A827="","",SUM(G$2:I827)-SUM(J$2:J827))</f>
        <v/>
      </c>
      <c r="L827" s="46" t="n"/>
      <c r="M827">
        <f>IF(A827="","",IF(A827=A826,M826,N(M826)+1))</f>
        <v/>
      </c>
      <c r="N827">
        <f>IF(E827="",99999,E827)</f>
        <v/>
      </c>
      <c r="O827">
        <f>IF(E827="",0,IF(F827="",E827,F827))</f>
        <v/>
      </c>
      <c r="P827">
        <f>IF(E827="",1,MAX(1,(YEAR(O827)-YEAR(N827))*12+MONTH(O827)-MONTH(N827)+1))</f>
        <v/>
      </c>
      <c r="Q827">
        <f>IF(G827="",0,G827/P827)</f>
        <v/>
      </c>
      <c r="R827">
        <f>IF(H827="",0,H827/P827)</f>
        <v/>
      </c>
    </row>
    <row r="828">
      <c r="A828" s="43" t="n"/>
      <c r="B828" s="28" t="n"/>
      <c r="C828" s="28" t="n"/>
      <c r="D828" s="28" t="n"/>
      <c r="E828" s="44" t="n"/>
      <c r="F828" s="44" t="n"/>
      <c r="G828" s="23" t="n"/>
      <c r="H828" s="23" t="n"/>
      <c r="I828" s="23" t="n"/>
      <c r="J828" s="23" t="n"/>
      <c r="K828" s="45">
        <f>IF(A828="","",SUM(G$2:I828)-SUM(J$2:J828))</f>
        <v/>
      </c>
      <c r="L828" s="46" t="n"/>
      <c r="M828">
        <f>IF(A828="","",IF(A828=A827,M827,N(M827)+1))</f>
        <v/>
      </c>
      <c r="N828">
        <f>IF(E828="",99999,E828)</f>
        <v/>
      </c>
      <c r="O828">
        <f>IF(E828="",0,IF(F828="",E828,F828))</f>
        <v/>
      </c>
      <c r="P828">
        <f>IF(E828="",1,MAX(1,(YEAR(O828)-YEAR(N828))*12+MONTH(O828)-MONTH(N828)+1))</f>
        <v/>
      </c>
      <c r="Q828">
        <f>IF(G828="",0,G828/P828)</f>
        <v/>
      </c>
      <c r="R828">
        <f>IF(H828="",0,H828/P828)</f>
        <v/>
      </c>
    </row>
    <row r="829">
      <c r="A829" s="43" t="n"/>
      <c r="B829" s="28" t="n"/>
      <c r="C829" s="28" t="n"/>
      <c r="D829" s="28" t="n"/>
      <c r="E829" s="44" t="n"/>
      <c r="F829" s="44" t="n"/>
      <c r="G829" s="23" t="n"/>
      <c r="H829" s="23" t="n"/>
      <c r="I829" s="23" t="n"/>
      <c r="J829" s="23" t="n"/>
      <c r="K829" s="45">
        <f>IF(A829="","",SUM(G$2:I829)-SUM(J$2:J829))</f>
        <v/>
      </c>
      <c r="L829" s="46" t="n"/>
      <c r="M829">
        <f>IF(A829="","",IF(A829=A828,M828,N(M828)+1))</f>
        <v/>
      </c>
      <c r="N829">
        <f>IF(E829="",99999,E829)</f>
        <v/>
      </c>
      <c r="O829">
        <f>IF(E829="",0,IF(F829="",E829,F829))</f>
        <v/>
      </c>
      <c r="P829">
        <f>IF(E829="",1,MAX(1,(YEAR(O829)-YEAR(N829))*12+MONTH(O829)-MONTH(N829)+1))</f>
        <v/>
      </c>
      <c r="Q829">
        <f>IF(G829="",0,G829/P829)</f>
        <v/>
      </c>
      <c r="R829">
        <f>IF(H829="",0,H829/P829)</f>
        <v/>
      </c>
    </row>
    <row r="830">
      <c r="A830" s="43" t="n"/>
      <c r="B830" s="28" t="n"/>
      <c r="C830" s="28" t="n"/>
      <c r="D830" s="28" t="n"/>
      <c r="E830" s="44" t="n"/>
      <c r="F830" s="44" t="n"/>
      <c r="G830" s="23" t="n"/>
      <c r="H830" s="23" t="n"/>
      <c r="I830" s="23" t="n"/>
      <c r="J830" s="23" t="n"/>
      <c r="K830" s="45">
        <f>IF(A830="","",SUM(G$2:I830)-SUM(J$2:J830))</f>
        <v/>
      </c>
      <c r="L830" s="46" t="n"/>
      <c r="M830">
        <f>IF(A830="","",IF(A830=A829,M829,N(M829)+1))</f>
        <v/>
      </c>
      <c r="N830">
        <f>IF(E830="",99999,E830)</f>
        <v/>
      </c>
      <c r="O830">
        <f>IF(E830="",0,IF(F830="",E830,F830))</f>
        <v/>
      </c>
      <c r="P830">
        <f>IF(E830="",1,MAX(1,(YEAR(O830)-YEAR(N830))*12+MONTH(O830)-MONTH(N830)+1))</f>
        <v/>
      </c>
      <c r="Q830">
        <f>IF(G830="",0,G830/P830)</f>
        <v/>
      </c>
      <c r="R830">
        <f>IF(H830="",0,H830/P830)</f>
        <v/>
      </c>
    </row>
    <row r="831">
      <c r="A831" s="43" t="n"/>
      <c r="B831" s="28" t="n"/>
      <c r="C831" s="28" t="n"/>
      <c r="D831" s="28" t="n"/>
      <c r="E831" s="44" t="n"/>
      <c r="F831" s="44" t="n"/>
      <c r="G831" s="23" t="n"/>
      <c r="H831" s="23" t="n"/>
      <c r="I831" s="23" t="n"/>
      <c r="J831" s="23" t="n"/>
      <c r="K831" s="45">
        <f>IF(A831="","",SUM(G$2:I831)-SUM(J$2:J831))</f>
        <v/>
      </c>
      <c r="L831" s="46" t="n"/>
      <c r="M831">
        <f>IF(A831="","",IF(A831=A830,M830,N(M830)+1))</f>
        <v/>
      </c>
      <c r="N831">
        <f>IF(E831="",99999,E831)</f>
        <v/>
      </c>
      <c r="O831">
        <f>IF(E831="",0,IF(F831="",E831,F831))</f>
        <v/>
      </c>
      <c r="P831">
        <f>IF(E831="",1,MAX(1,(YEAR(O831)-YEAR(N831))*12+MONTH(O831)-MONTH(N831)+1))</f>
        <v/>
      </c>
      <c r="Q831">
        <f>IF(G831="",0,G831/P831)</f>
        <v/>
      </c>
      <c r="R831">
        <f>IF(H831="",0,H831/P831)</f>
        <v/>
      </c>
    </row>
    <row r="832">
      <c r="A832" s="43" t="n"/>
      <c r="B832" s="28" t="n"/>
      <c r="C832" s="28" t="n"/>
      <c r="D832" s="28" t="n"/>
      <c r="E832" s="44" t="n"/>
      <c r="F832" s="44" t="n"/>
      <c r="G832" s="23" t="n"/>
      <c r="H832" s="23" t="n"/>
      <c r="I832" s="23" t="n"/>
      <c r="J832" s="23" t="n"/>
      <c r="K832" s="45">
        <f>IF(A832="","",SUM(G$2:I832)-SUM(J$2:J832))</f>
        <v/>
      </c>
      <c r="L832" s="46" t="n"/>
      <c r="M832">
        <f>IF(A832="","",IF(A832=A831,M831,N(M831)+1))</f>
        <v/>
      </c>
      <c r="N832">
        <f>IF(E832="",99999,E832)</f>
        <v/>
      </c>
      <c r="O832">
        <f>IF(E832="",0,IF(F832="",E832,F832))</f>
        <v/>
      </c>
      <c r="P832">
        <f>IF(E832="",1,MAX(1,(YEAR(O832)-YEAR(N832))*12+MONTH(O832)-MONTH(N832)+1))</f>
        <v/>
      </c>
      <c r="Q832">
        <f>IF(G832="",0,G832/P832)</f>
        <v/>
      </c>
      <c r="R832">
        <f>IF(H832="",0,H832/P832)</f>
        <v/>
      </c>
    </row>
    <row r="833">
      <c r="A833" s="43" t="n"/>
      <c r="B833" s="28" t="n"/>
      <c r="C833" s="28" t="n"/>
      <c r="D833" s="28" t="n"/>
      <c r="E833" s="44" t="n"/>
      <c r="F833" s="44" t="n"/>
      <c r="G833" s="23" t="n"/>
      <c r="H833" s="23" t="n"/>
      <c r="I833" s="23" t="n"/>
      <c r="J833" s="23" t="n"/>
      <c r="K833" s="45">
        <f>IF(A833="","",SUM(G$2:I833)-SUM(J$2:J833))</f>
        <v/>
      </c>
      <c r="L833" s="46" t="n"/>
      <c r="M833">
        <f>IF(A833="","",IF(A833=A832,M832,N(M832)+1))</f>
        <v/>
      </c>
      <c r="N833">
        <f>IF(E833="",99999,E833)</f>
        <v/>
      </c>
      <c r="O833">
        <f>IF(E833="",0,IF(F833="",E833,F833))</f>
        <v/>
      </c>
      <c r="P833">
        <f>IF(E833="",1,MAX(1,(YEAR(O833)-YEAR(N833))*12+MONTH(O833)-MONTH(N833)+1))</f>
        <v/>
      </c>
      <c r="Q833">
        <f>IF(G833="",0,G833/P833)</f>
        <v/>
      </c>
      <c r="R833">
        <f>IF(H833="",0,H833/P833)</f>
        <v/>
      </c>
    </row>
    <row r="834">
      <c r="A834" s="43" t="n"/>
      <c r="B834" s="28" t="n"/>
      <c r="C834" s="28" t="n"/>
      <c r="D834" s="28" t="n"/>
      <c r="E834" s="44" t="n"/>
      <c r="F834" s="44" t="n"/>
      <c r="G834" s="23" t="n"/>
      <c r="H834" s="23" t="n"/>
      <c r="I834" s="23" t="n"/>
      <c r="J834" s="23" t="n"/>
      <c r="K834" s="45">
        <f>IF(A834="","",SUM(G$2:I834)-SUM(J$2:J834))</f>
        <v/>
      </c>
      <c r="L834" s="46" t="n"/>
      <c r="M834">
        <f>IF(A834="","",IF(A834=A833,M833,N(M833)+1))</f>
        <v/>
      </c>
      <c r="N834">
        <f>IF(E834="",99999,E834)</f>
        <v/>
      </c>
      <c r="O834">
        <f>IF(E834="",0,IF(F834="",E834,F834))</f>
        <v/>
      </c>
      <c r="P834">
        <f>IF(E834="",1,MAX(1,(YEAR(O834)-YEAR(N834))*12+MONTH(O834)-MONTH(N834)+1))</f>
        <v/>
      </c>
      <c r="Q834">
        <f>IF(G834="",0,G834/P834)</f>
        <v/>
      </c>
      <c r="R834">
        <f>IF(H834="",0,H834/P834)</f>
        <v/>
      </c>
    </row>
    <row r="835">
      <c r="A835" s="43" t="n"/>
      <c r="B835" s="28" t="n"/>
      <c r="C835" s="28" t="n"/>
      <c r="D835" s="28" t="n"/>
      <c r="E835" s="44" t="n"/>
      <c r="F835" s="44" t="n"/>
      <c r="G835" s="23" t="n"/>
      <c r="H835" s="23" t="n"/>
      <c r="I835" s="23" t="n"/>
      <c r="J835" s="23" t="n"/>
      <c r="K835" s="45">
        <f>IF(A835="","",SUM(G$2:I835)-SUM(J$2:J835))</f>
        <v/>
      </c>
      <c r="L835" s="46" t="n"/>
      <c r="M835">
        <f>IF(A835="","",IF(A835=A834,M834,N(M834)+1))</f>
        <v/>
      </c>
      <c r="N835">
        <f>IF(E835="",99999,E835)</f>
        <v/>
      </c>
      <c r="O835">
        <f>IF(E835="",0,IF(F835="",E835,F835))</f>
        <v/>
      </c>
      <c r="P835">
        <f>IF(E835="",1,MAX(1,(YEAR(O835)-YEAR(N835))*12+MONTH(O835)-MONTH(N835)+1))</f>
        <v/>
      </c>
      <c r="Q835">
        <f>IF(G835="",0,G835/P835)</f>
        <v/>
      </c>
      <c r="R835">
        <f>IF(H835="",0,H835/P835)</f>
        <v/>
      </c>
    </row>
    <row r="836">
      <c r="A836" s="43" t="n"/>
      <c r="B836" s="28" t="n"/>
      <c r="C836" s="28" t="n"/>
      <c r="D836" s="28" t="n"/>
      <c r="E836" s="44" t="n"/>
      <c r="F836" s="44" t="n"/>
      <c r="G836" s="23" t="n"/>
      <c r="H836" s="23" t="n"/>
      <c r="I836" s="23" t="n"/>
      <c r="J836" s="23" t="n"/>
      <c r="K836" s="45">
        <f>IF(A836="","",SUM(G$2:I836)-SUM(J$2:J836))</f>
        <v/>
      </c>
      <c r="L836" s="46" t="n"/>
      <c r="M836">
        <f>IF(A836="","",IF(A836=A835,M835,N(M835)+1))</f>
        <v/>
      </c>
      <c r="N836">
        <f>IF(E836="",99999,E836)</f>
        <v/>
      </c>
      <c r="O836">
        <f>IF(E836="",0,IF(F836="",E836,F836))</f>
        <v/>
      </c>
      <c r="P836">
        <f>IF(E836="",1,MAX(1,(YEAR(O836)-YEAR(N836))*12+MONTH(O836)-MONTH(N836)+1))</f>
        <v/>
      </c>
      <c r="Q836">
        <f>IF(G836="",0,G836/P836)</f>
        <v/>
      </c>
      <c r="R836">
        <f>IF(H836="",0,H836/P836)</f>
        <v/>
      </c>
    </row>
    <row r="837">
      <c r="A837" s="43" t="n"/>
      <c r="B837" s="28" t="n"/>
      <c r="C837" s="28" t="n"/>
      <c r="D837" s="28" t="n"/>
      <c r="E837" s="44" t="n"/>
      <c r="F837" s="44" t="n"/>
      <c r="G837" s="23" t="n"/>
      <c r="H837" s="23" t="n"/>
      <c r="I837" s="23" t="n"/>
      <c r="J837" s="23" t="n"/>
      <c r="K837" s="45">
        <f>IF(A837="","",SUM(G$2:I837)-SUM(J$2:J837))</f>
        <v/>
      </c>
      <c r="L837" s="46" t="n"/>
      <c r="M837">
        <f>IF(A837="","",IF(A837=A836,M836,N(M836)+1))</f>
        <v/>
      </c>
      <c r="N837">
        <f>IF(E837="",99999,E837)</f>
        <v/>
      </c>
      <c r="O837">
        <f>IF(E837="",0,IF(F837="",E837,F837))</f>
        <v/>
      </c>
      <c r="P837">
        <f>IF(E837="",1,MAX(1,(YEAR(O837)-YEAR(N837))*12+MONTH(O837)-MONTH(N837)+1))</f>
        <v/>
      </c>
      <c r="Q837">
        <f>IF(G837="",0,G837/P837)</f>
        <v/>
      </c>
      <c r="R837">
        <f>IF(H837="",0,H837/P837)</f>
        <v/>
      </c>
    </row>
    <row r="838">
      <c r="A838" s="43" t="n"/>
      <c r="B838" s="28" t="n"/>
      <c r="C838" s="28" t="n"/>
      <c r="D838" s="28" t="n"/>
      <c r="E838" s="44" t="n"/>
      <c r="F838" s="44" t="n"/>
      <c r="G838" s="23" t="n"/>
      <c r="H838" s="23" t="n"/>
      <c r="I838" s="23" t="n"/>
      <c r="J838" s="23" t="n"/>
      <c r="K838" s="45">
        <f>IF(A838="","",SUM(G$2:I838)-SUM(J$2:J838))</f>
        <v/>
      </c>
      <c r="L838" s="46" t="n"/>
      <c r="M838">
        <f>IF(A838="","",IF(A838=A837,M837,N(M837)+1))</f>
        <v/>
      </c>
      <c r="N838">
        <f>IF(E838="",99999,E838)</f>
        <v/>
      </c>
      <c r="O838">
        <f>IF(E838="",0,IF(F838="",E838,F838))</f>
        <v/>
      </c>
      <c r="P838">
        <f>IF(E838="",1,MAX(1,(YEAR(O838)-YEAR(N838))*12+MONTH(O838)-MONTH(N838)+1))</f>
        <v/>
      </c>
      <c r="Q838">
        <f>IF(G838="",0,G838/P838)</f>
        <v/>
      </c>
      <c r="R838">
        <f>IF(H838="",0,H838/P838)</f>
        <v/>
      </c>
    </row>
    <row r="839">
      <c r="A839" s="43" t="n"/>
      <c r="B839" s="28" t="n"/>
      <c r="C839" s="28" t="n"/>
      <c r="D839" s="28" t="n"/>
      <c r="E839" s="44" t="n"/>
      <c r="F839" s="44" t="n"/>
      <c r="G839" s="23" t="n"/>
      <c r="H839" s="23" t="n"/>
      <c r="I839" s="23" t="n"/>
      <c r="J839" s="23" t="n"/>
      <c r="K839" s="45">
        <f>IF(A839="","",SUM(G$2:I839)-SUM(J$2:J839))</f>
        <v/>
      </c>
      <c r="L839" s="46" t="n"/>
      <c r="M839">
        <f>IF(A839="","",IF(A839=A838,M838,N(M838)+1))</f>
        <v/>
      </c>
      <c r="N839">
        <f>IF(E839="",99999,E839)</f>
        <v/>
      </c>
      <c r="O839">
        <f>IF(E839="",0,IF(F839="",E839,F839))</f>
        <v/>
      </c>
      <c r="P839">
        <f>IF(E839="",1,MAX(1,(YEAR(O839)-YEAR(N839))*12+MONTH(O839)-MONTH(N839)+1))</f>
        <v/>
      </c>
      <c r="Q839">
        <f>IF(G839="",0,G839/P839)</f>
        <v/>
      </c>
      <c r="R839">
        <f>IF(H839="",0,H839/P839)</f>
        <v/>
      </c>
    </row>
    <row r="840">
      <c r="A840" s="43" t="n"/>
      <c r="B840" s="28" t="n"/>
      <c r="C840" s="28" t="n"/>
      <c r="D840" s="28" t="n"/>
      <c r="E840" s="44" t="n"/>
      <c r="F840" s="44" t="n"/>
      <c r="G840" s="23" t="n"/>
      <c r="H840" s="23" t="n"/>
      <c r="I840" s="23" t="n"/>
      <c r="J840" s="23" t="n"/>
      <c r="K840" s="45">
        <f>IF(A840="","",SUM(G$2:I840)-SUM(J$2:J840))</f>
        <v/>
      </c>
      <c r="L840" s="46" t="n"/>
      <c r="M840">
        <f>IF(A840="","",IF(A840=A839,M839,N(M839)+1))</f>
        <v/>
      </c>
      <c r="N840">
        <f>IF(E840="",99999,E840)</f>
        <v/>
      </c>
      <c r="O840">
        <f>IF(E840="",0,IF(F840="",E840,F840))</f>
        <v/>
      </c>
      <c r="P840">
        <f>IF(E840="",1,MAX(1,(YEAR(O840)-YEAR(N840))*12+MONTH(O840)-MONTH(N840)+1))</f>
        <v/>
      </c>
      <c r="Q840">
        <f>IF(G840="",0,G840/P840)</f>
        <v/>
      </c>
      <c r="R840">
        <f>IF(H840="",0,H840/P840)</f>
        <v/>
      </c>
    </row>
    <row r="841">
      <c r="A841" s="43" t="n"/>
      <c r="B841" s="28" t="n"/>
      <c r="C841" s="28" t="n"/>
      <c r="D841" s="28" t="n"/>
      <c r="E841" s="44" t="n"/>
      <c r="F841" s="44" t="n"/>
      <c r="G841" s="23" t="n"/>
      <c r="H841" s="23" t="n"/>
      <c r="I841" s="23" t="n"/>
      <c r="J841" s="23" t="n"/>
      <c r="K841" s="45">
        <f>IF(A841="","",SUM(G$2:I841)-SUM(J$2:J841))</f>
        <v/>
      </c>
      <c r="L841" s="46" t="n"/>
      <c r="M841">
        <f>IF(A841="","",IF(A841=A840,M840,N(M840)+1))</f>
        <v/>
      </c>
      <c r="N841">
        <f>IF(E841="",99999,E841)</f>
        <v/>
      </c>
      <c r="O841">
        <f>IF(E841="",0,IF(F841="",E841,F841))</f>
        <v/>
      </c>
      <c r="P841">
        <f>IF(E841="",1,MAX(1,(YEAR(O841)-YEAR(N841))*12+MONTH(O841)-MONTH(N841)+1))</f>
        <v/>
      </c>
      <c r="Q841">
        <f>IF(G841="",0,G841/P841)</f>
        <v/>
      </c>
      <c r="R841">
        <f>IF(H841="",0,H841/P841)</f>
        <v/>
      </c>
    </row>
    <row r="842">
      <c r="A842" s="43" t="n"/>
      <c r="B842" s="28" t="n"/>
      <c r="C842" s="28" t="n"/>
      <c r="D842" s="28" t="n"/>
      <c r="E842" s="44" t="n"/>
      <c r="F842" s="44" t="n"/>
      <c r="G842" s="23" t="n"/>
      <c r="H842" s="23" t="n"/>
      <c r="I842" s="23" t="n"/>
      <c r="J842" s="23" t="n"/>
      <c r="K842" s="45">
        <f>IF(A842="","",SUM(G$2:I842)-SUM(J$2:J842))</f>
        <v/>
      </c>
      <c r="L842" s="46" t="n"/>
      <c r="M842">
        <f>IF(A842="","",IF(A842=A841,M841,N(M841)+1))</f>
        <v/>
      </c>
      <c r="N842">
        <f>IF(E842="",99999,E842)</f>
        <v/>
      </c>
      <c r="O842">
        <f>IF(E842="",0,IF(F842="",E842,F842))</f>
        <v/>
      </c>
      <c r="P842">
        <f>IF(E842="",1,MAX(1,(YEAR(O842)-YEAR(N842))*12+MONTH(O842)-MONTH(N842)+1))</f>
        <v/>
      </c>
      <c r="Q842">
        <f>IF(G842="",0,G842/P842)</f>
        <v/>
      </c>
      <c r="R842">
        <f>IF(H842="",0,H842/P842)</f>
        <v/>
      </c>
    </row>
    <row r="843">
      <c r="A843" s="43" t="n"/>
      <c r="B843" s="28" t="n"/>
      <c r="C843" s="28" t="n"/>
      <c r="D843" s="28" t="n"/>
      <c r="E843" s="44" t="n"/>
      <c r="F843" s="44" t="n"/>
      <c r="G843" s="23" t="n"/>
      <c r="H843" s="23" t="n"/>
      <c r="I843" s="23" t="n"/>
      <c r="J843" s="23" t="n"/>
      <c r="K843" s="45">
        <f>IF(A843="","",SUM(G$2:I843)-SUM(J$2:J843))</f>
        <v/>
      </c>
      <c r="L843" s="46" t="n"/>
      <c r="M843">
        <f>IF(A843="","",IF(A843=A842,M842,N(M842)+1))</f>
        <v/>
      </c>
      <c r="N843">
        <f>IF(E843="",99999,E843)</f>
        <v/>
      </c>
      <c r="O843">
        <f>IF(E843="",0,IF(F843="",E843,F843))</f>
        <v/>
      </c>
      <c r="P843">
        <f>IF(E843="",1,MAX(1,(YEAR(O843)-YEAR(N843))*12+MONTH(O843)-MONTH(N843)+1))</f>
        <v/>
      </c>
      <c r="Q843">
        <f>IF(G843="",0,G843/P843)</f>
        <v/>
      </c>
      <c r="R843">
        <f>IF(H843="",0,H843/P843)</f>
        <v/>
      </c>
    </row>
    <row r="844">
      <c r="A844" s="43" t="n"/>
      <c r="B844" s="28" t="n"/>
      <c r="C844" s="28" t="n"/>
      <c r="D844" s="28" t="n"/>
      <c r="E844" s="44" t="n"/>
      <c r="F844" s="44" t="n"/>
      <c r="G844" s="23" t="n"/>
      <c r="H844" s="23" t="n"/>
      <c r="I844" s="23" t="n"/>
      <c r="J844" s="23" t="n"/>
      <c r="K844" s="45">
        <f>IF(A844="","",SUM(G$2:I844)-SUM(J$2:J844))</f>
        <v/>
      </c>
      <c r="L844" s="46" t="n"/>
      <c r="M844">
        <f>IF(A844="","",IF(A844=A843,M843,N(M843)+1))</f>
        <v/>
      </c>
      <c r="N844">
        <f>IF(E844="",99999,E844)</f>
        <v/>
      </c>
      <c r="O844">
        <f>IF(E844="",0,IF(F844="",E844,F844))</f>
        <v/>
      </c>
      <c r="P844">
        <f>IF(E844="",1,MAX(1,(YEAR(O844)-YEAR(N844))*12+MONTH(O844)-MONTH(N844)+1))</f>
        <v/>
      </c>
      <c r="Q844">
        <f>IF(G844="",0,G844/P844)</f>
        <v/>
      </c>
      <c r="R844">
        <f>IF(H844="",0,H844/P844)</f>
        <v/>
      </c>
    </row>
    <row r="845">
      <c r="A845" s="43" t="n"/>
      <c r="B845" s="28" t="n"/>
      <c r="C845" s="28" t="n"/>
      <c r="D845" s="28" t="n"/>
      <c r="E845" s="44" t="n"/>
      <c r="F845" s="44" t="n"/>
      <c r="G845" s="23" t="n"/>
      <c r="H845" s="23" t="n"/>
      <c r="I845" s="23" t="n"/>
      <c r="J845" s="23" t="n"/>
      <c r="K845" s="45">
        <f>IF(A845="","",SUM(G$2:I845)-SUM(J$2:J845))</f>
        <v/>
      </c>
      <c r="L845" s="46" t="n"/>
      <c r="M845">
        <f>IF(A845="","",IF(A845=A844,M844,N(M844)+1))</f>
        <v/>
      </c>
      <c r="N845">
        <f>IF(E845="",99999,E845)</f>
        <v/>
      </c>
      <c r="O845">
        <f>IF(E845="",0,IF(F845="",E845,F845))</f>
        <v/>
      </c>
      <c r="P845">
        <f>IF(E845="",1,MAX(1,(YEAR(O845)-YEAR(N845))*12+MONTH(O845)-MONTH(N845)+1))</f>
        <v/>
      </c>
      <c r="Q845">
        <f>IF(G845="",0,G845/P845)</f>
        <v/>
      </c>
      <c r="R845">
        <f>IF(H845="",0,H845/P845)</f>
        <v/>
      </c>
    </row>
    <row r="846">
      <c r="A846" s="43" t="n"/>
      <c r="B846" s="28" t="n"/>
      <c r="C846" s="28" t="n"/>
      <c r="D846" s="28" t="n"/>
      <c r="E846" s="44" t="n"/>
      <c r="F846" s="44" t="n"/>
      <c r="G846" s="23" t="n"/>
      <c r="H846" s="23" t="n"/>
      <c r="I846" s="23" t="n"/>
      <c r="J846" s="23" t="n"/>
      <c r="K846" s="45">
        <f>IF(A846="","",SUM(G$2:I846)-SUM(J$2:J846))</f>
        <v/>
      </c>
      <c r="L846" s="46" t="n"/>
      <c r="M846">
        <f>IF(A846="","",IF(A846=A845,M845,N(M845)+1))</f>
        <v/>
      </c>
      <c r="N846">
        <f>IF(E846="",99999,E846)</f>
        <v/>
      </c>
      <c r="O846">
        <f>IF(E846="",0,IF(F846="",E846,F846))</f>
        <v/>
      </c>
      <c r="P846">
        <f>IF(E846="",1,MAX(1,(YEAR(O846)-YEAR(N846))*12+MONTH(O846)-MONTH(N846)+1))</f>
        <v/>
      </c>
      <c r="Q846">
        <f>IF(G846="",0,G846/P846)</f>
        <v/>
      </c>
      <c r="R846">
        <f>IF(H846="",0,H846/P846)</f>
        <v/>
      </c>
    </row>
    <row r="847">
      <c r="A847" s="43" t="n"/>
      <c r="B847" s="28" t="n"/>
      <c r="C847" s="28" t="n"/>
      <c r="D847" s="28" t="n"/>
      <c r="E847" s="44" t="n"/>
      <c r="F847" s="44" t="n"/>
      <c r="G847" s="23" t="n"/>
      <c r="H847" s="23" t="n"/>
      <c r="I847" s="23" t="n"/>
      <c r="J847" s="23" t="n"/>
      <c r="K847" s="45">
        <f>IF(A847="","",SUM(G$2:I847)-SUM(J$2:J847))</f>
        <v/>
      </c>
      <c r="L847" s="46" t="n"/>
      <c r="M847">
        <f>IF(A847="","",IF(A847=A846,M846,N(M846)+1))</f>
        <v/>
      </c>
      <c r="N847">
        <f>IF(E847="",99999,E847)</f>
        <v/>
      </c>
      <c r="O847">
        <f>IF(E847="",0,IF(F847="",E847,F847))</f>
        <v/>
      </c>
      <c r="P847">
        <f>IF(E847="",1,MAX(1,(YEAR(O847)-YEAR(N847))*12+MONTH(O847)-MONTH(N847)+1))</f>
        <v/>
      </c>
      <c r="Q847">
        <f>IF(G847="",0,G847/P847)</f>
        <v/>
      </c>
      <c r="R847">
        <f>IF(H847="",0,H847/P847)</f>
        <v/>
      </c>
    </row>
    <row r="848">
      <c r="A848" s="43" t="n"/>
      <c r="B848" s="28" t="n"/>
      <c r="C848" s="28" t="n"/>
      <c r="D848" s="28" t="n"/>
      <c r="E848" s="44" t="n"/>
      <c r="F848" s="44" t="n"/>
      <c r="G848" s="23" t="n"/>
      <c r="H848" s="23" t="n"/>
      <c r="I848" s="23" t="n"/>
      <c r="J848" s="23" t="n"/>
      <c r="K848" s="45">
        <f>IF(A848="","",SUM(G$2:I848)-SUM(J$2:J848))</f>
        <v/>
      </c>
      <c r="L848" s="46" t="n"/>
      <c r="M848">
        <f>IF(A848="","",IF(A848=A847,M847,N(M847)+1))</f>
        <v/>
      </c>
      <c r="N848">
        <f>IF(E848="",99999,E848)</f>
        <v/>
      </c>
      <c r="O848">
        <f>IF(E848="",0,IF(F848="",E848,F848))</f>
        <v/>
      </c>
      <c r="P848">
        <f>IF(E848="",1,MAX(1,(YEAR(O848)-YEAR(N848))*12+MONTH(O848)-MONTH(N848)+1))</f>
        <v/>
      </c>
      <c r="Q848">
        <f>IF(G848="",0,G848/P848)</f>
        <v/>
      </c>
      <c r="R848">
        <f>IF(H848="",0,H848/P848)</f>
        <v/>
      </c>
    </row>
    <row r="849">
      <c r="A849" s="43" t="n"/>
      <c r="B849" s="28" t="n"/>
      <c r="C849" s="28" t="n"/>
      <c r="D849" s="28" t="n"/>
      <c r="E849" s="44" t="n"/>
      <c r="F849" s="44" t="n"/>
      <c r="G849" s="23" t="n"/>
      <c r="H849" s="23" t="n"/>
      <c r="I849" s="23" t="n"/>
      <c r="J849" s="23" t="n"/>
      <c r="K849" s="45">
        <f>IF(A849="","",SUM(G$2:I849)-SUM(J$2:J849))</f>
        <v/>
      </c>
      <c r="L849" s="46" t="n"/>
      <c r="M849">
        <f>IF(A849="","",IF(A849=A848,M848,N(M848)+1))</f>
        <v/>
      </c>
      <c r="N849">
        <f>IF(E849="",99999,E849)</f>
        <v/>
      </c>
      <c r="O849">
        <f>IF(E849="",0,IF(F849="",E849,F849))</f>
        <v/>
      </c>
      <c r="P849">
        <f>IF(E849="",1,MAX(1,(YEAR(O849)-YEAR(N849))*12+MONTH(O849)-MONTH(N849)+1))</f>
        <v/>
      </c>
      <c r="Q849">
        <f>IF(G849="",0,G849/P849)</f>
        <v/>
      </c>
      <c r="R849">
        <f>IF(H849="",0,H849/P849)</f>
        <v/>
      </c>
    </row>
    <row r="850">
      <c r="A850" s="43" t="n"/>
      <c r="B850" s="28" t="n"/>
      <c r="C850" s="28" t="n"/>
      <c r="D850" s="28" t="n"/>
      <c r="E850" s="44" t="n"/>
      <c r="F850" s="44" t="n"/>
      <c r="G850" s="23" t="n"/>
      <c r="H850" s="23" t="n"/>
      <c r="I850" s="23" t="n"/>
      <c r="J850" s="23" t="n"/>
      <c r="K850" s="45">
        <f>IF(A850="","",SUM(G$2:I850)-SUM(J$2:J850))</f>
        <v/>
      </c>
      <c r="L850" s="46" t="n"/>
      <c r="M850">
        <f>IF(A850="","",IF(A850=A849,M849,N(M849)+1))</f>
        <v/>
      </c>
      <c r="N850">
        <f>IF(E850="",99999,E850)</f>
        <v/>
      </c>
      <c r="O850">
        <f>IF(E850="",0,IF(F850="",E850,F850))</f>
        <v/>
      </c>
      <c r="P850">
        <f>IF(E850="",1,MAX(1,(YEAR(O850)-YEAR(N850))*12+MONTH(O850)-MONTH(N850)+1))</f>
        <v/>
      </c>
      <c r="Q850">
        <f>IF(G850="",0,G850/P850)</f>
        <v/>
      </c>
      <c r="R850">
        <f>IF(H850="",0,H850/P850)</f>
        <v/>
      </c>
    </row>
    <row r="851">
      <c r="A851" s="43" t="n"/>
      <c r="B851" s="28" t="n"/>
      <c r="C851" s="28" t="n"/>
      <c r="D851" s="28" t="n"/>
      <c r="E851" s="44" t="n"/>
      <c r="F851" s="44" t="n"/>
      <c r="G851" s="23" t="n"/>
      <c r="H851" s="23" t="n"/>
      <c r="I851" s="23" t="n"/>
      <c r="J851" s="23" t="n"/>
      <c r="K851" s="45">
        <f>IF(A851="","",SUM(G$2:I851)-SUM(J$2:J851))</f>
        <v/>
      </c>
      <c r="L851" s="46" t="n"/>
      <c r="M851">
        <f>IF(A851="","",IF(A851=A850,M850,N(M850)+1))</f>
        <v/>
      </c>
      <c r="N851">
        <f>IF(E851="",99999,E851)</f>
        <v/>
      </c>
      <c r="O851">
        <f>IF(E851="",0,IF(F851="",E851,F851))</f>
        <v/>
      </c>
      <c r="P851">
        <f>IF(E851="",1,MAX(1,(YEAR(O851)-YEAR(N851))*12+MONTH(O851)-MONTH(N851)+1))</f>
        <v/>
      </c>
      <c r="Q851">
        <f>IF(G851="",0,G851/P851)</f>
        <v/>
      </c>
      <c r="R851">
        <f>IF(H851="",0,H851/P851)</f>
        <v/>
      </c>
    </row>
    <row r="852">
      <c r="A852" s="43" t="n"/>
      <c r="B852" s="28" t="n"/>
      <c r="C852" s="28" t="n"/>
      <c r="D852" s="28" t="n"/>
      <c r="E852" s="44" t="n"/>
      <c r="F852" s="44" t="n"/>
      <c r="G852" s="23" t="n"/>
      <c r="H852" s="23" t="n"/>
      <c r="I852" s="23" t="n"/>
      <c r="J852" s="23" t="n"/>
      <c r="K852" s="45">
        <f>IF(A852="","",SUM(G$2:I852)-SUM(J$2:J852))</f>
        <v/>
      </c>
      <c r="L852" s="46" t="n"/>
      <c r="M852">
        <f>IF(A852="","",IF(A852=A851,M851,N(M851)+1))</f>
        <v/>
      </c>
      <c r="N852">
        <f>IF(E852="",99999,E852)</f>
        <v/>
      </c>
      <c r="O852">
        <f>IF(E852="",0,IF(F852="",E852,F852))</f>
        <v/>
      </c>
      <c r="P852">
        <f>IF(E852="",1,MAX(1,(YEAR(O852)-YEAR(N852))*12+MONTH(O852)-MONTH(N852)+1))</f>
        <v/>
      </c>
      <c r="Q852">
        <f>IF(G852="",0,G852/P852)</f>
        <v/>
      </c>
      <c r="R852">
        <f>IF(H852="",0,H852/P852)</f>
        <v/>
      </c>
    </row>
    <row r="853">
      <c r="A853" s="43" t="n"/>
      <c r="B853" s="28" t="n"/>
      <c r="C853" s="28" t="n"/>
      <c r="D853" s="28" t="n"/>
      <c r="E853" s="44" t="n"/>
      <c r="F853" s="44" t="n"/>
      <c r="G853" s="23" t="n"/>
      <c r="H853" s="23" t="n"/>
      <c r="I853" s="23" t="n"/>
      <c r="J853" s="23" t="n"/>
      <c r="K853" s="45">
        <f>IF(A853="","",SUM(G$2:I853)-SUM(J$2:J853))</f>
        <v/>
      </c>
      <c r="L853" s="46" t="n"/>
      <c r="M853">
        <f>IF(A853="","",IF(A853=A852,M852,N(M852)+1))</f>
        <v/>
      </c>
      <c r="N853">
        <f>IF(E853="",99999,E853)</f>
        <v/>
      </c>
      <c r="O853">
        <f>IF(E853="",0,IF(F853="",E853,F853))</f>
        <v/>
      </c>
      <c r="P853">
        <f>IF(E853="",1,MAX(1,(YEAR(O853)-YEAR(N853))*12+MONTH(O853)-MONTH(N853)+1))</f>
        <v/>
      </c>
      <c r="Q853">
        <f>IF(G853="",0,G853/P853)</f>
        <v/>
      </c>
      <c r="R853">
        <f>IF(H853="",0,H853/P853)</f>
        <v/>
      </c>
    </row>
    <row r="854">
      <c r="A854" s="43" t="n"/>
      <c r="B854" s="28" t="n"/>
      <c r="C854" s="28" t="n"/>
      <c r="D854" s="28" t="n"/>
      <c r="E854" s="44" t="n"/>
      <c r="F854" s="44" t="n"/>
      <c r="G854" s="23" t="n"/>
      <c r="H854" s="23" t="n"/>
      <c r="I854" s="23" t="n"/>
      <c r="J854" s="23" t="n"/>
      <c r="K854" s="45">
        <f>IF(A854="","",SUM(G$2:I854)-SUM(J$2:J854))</f>
        <v/>
      </c>
      <c r="L854" s="46" t="n"/>
      <c r="M854">
        <f>IF(A854="","",IF(A854=A853,M853,N(M853)+1))</f>
        <v/>
      </c>
      <c r="N854">
        <f>IF(E854="",99999,E854)</f>
        <v/>
      </c>
      <c r="O854">
        <f>IF(E854="",0,IF(F854="",E854,F854))</f>
        <v/>
      </c>
      <c r="P854">
        <f>IF(E854="",1,MAX(1,(YEAR(O854)-YEAR(N854))*12+MONTH(O854)-MONTH(N854)+1))</f>
        <v/>
      </c>
      <c r="Q854">
        <f>IF(G854="",0,G854/P854)</f>
        <v/>
      </c>
      <c r="R854">
        <f>IF(H854="",0,H854/P854)</f>
        <v/>
      </c>
    </row>
    <row r="855">
      <c r="A855" s="43" t="n"/>
      <c r="B855" s="28" t="n"/>
      <c r="C855" s="28" t="n"/>
      <c r="D855" s="28" t="n"/>
      <c r="E855" s="44" t="n"/>
      <c r="F855" s="44" t="n"/>
      <c r="G855" s="23" t="n"/>
      <c r="H855" s="23" t="n"/>
      <c r="I855" s="23" t="n"/>
      <c r="J855" s="23" t="n"/>
      <c r="K855" s="45">
        <f>IF(A855="","",SUM(G$2:I855)-SUM(J$2:J855))</f>
        <v/>
      </c>
      <c r="L855" s="46" t="n"/>
      <c r="M855">
        <f>IF(A855="","",IF(A855=A854,M854,N(M854)+1))</f>
        <v/>
      </c>
      <c r="N855">
        <f>IF(E855="",99999,E855)</f>
        <v/>
      </c>
      <c r="O855">
        <f>IF(E855="",0,IF(F855="",E855,F855))</f>
        <v/>
      </c>
      <c r="P855">
        <f>IF(E855="",1,MAX(1,(YEAR(O855)-YEAR(N855))*12+MONTH(O855)-MONTH(N855)+1))</f>
        <v/>
      </c>
      <c r="Q855">
        <f>IF(G855="",0,G855/P855)</f>
        <v/>
      </c>
      <c r="R855">
        <f>IF(H855="",0,H855/P855)</f>
        <v/>
      </c>
    </row>
    <row r="856">
      <c r="A856" s="43" t="n"/>
      <c r="B856" s="28" t="n"/>
      <c r="C856" s="28" t="n"/>
      <c r="D856" s="28" t="n"/>
      <c r="E856" s="44" t="n"/>
      <c r="F856" s="44" t="n"/>
      <c r="G856" s="23" t="n"/>
      <c r="H856" s="23" t="n"/>
      <c r="I856" s="23" t="n"/>
      <c r="J856" s="23" t="n"/>
      <c r="K856" s="45">
        <f>IF(A856="","",SUM(G$2:I856)-SUM(J$2:J856))</f>
        <v/>
      </c>
      <c r="L856" s="46" t="n"/>
      <c r="M856">
        <f>IF(A856="","",IF(A856=A855,M855,N(M855)+1))</f>
        <v/>
      </c>
      <c r="N856">
        <f>IF(E856="",99999,E856)</f>
        <v/>
      </c>
      <c r="O856">
        <f>IF(E856="",0,IF(F856="",E856,F856))</f>
        <v/>
      </c>
      <c r="P856">
        <f>IF(E856="",1,MAX(1,(YEAR(O856)-YEAR(N856))*12+MONTH(O856)-MONTH(N856)+1))</f>
        <v/>
      </c>
      <c r="Q856">
        <f>IF(G856="",0,G856/P856)</f>
        <v/>
      </c>
      <c r="R856">
        <f>IF(H856="",0,H856/P856)</f>
        <v/>
      </c>
    </row>
    <row r="857">
      <c r="A857" s="43" t="n"/>
      <c r="B857" s="28" t="n"/>
      <c r="C857" s="28" t="n"/>
      <c r="D857" s="28" t="n"/>
      <c r="E857" s="44" t="n"/>
      <c r="F857" s="44" t="n"/>
      <c r="G857" s="23" t="n"/>
      <c r="H857" s="23" t="n"/>
      <c r="I857" s="23" t="n"/>
      <c r="J857" s="23" t="n"/>
      <c r="K857" s="45">
        <f>IF(A857="","",SUM(G$2:I857)-SUM(J$2:J857))</f>
        <v/>
      </c>
      <c r="L857" s="46" t="n"/>
      <c r="M857">
        <f>IF(A857="","",IF(A857=A856,M856,N(M856)+1))</f>
        <v/>
      </c>
      <c r="N857">
        <f>IF(E857="",99999,E857)</f>
        <v/>
      </c>
      <c r="O857">
        <f>IF(E857="",0,IF(F857="",E857,F857))</f>
        <v/>
      </c>
      <c r="P857">
        <f>IF(E857="",1,MAX(1,(YEAR(O857)-YEAR(N857))*12+MONTH(O857)-MONTH(N857)+1))</f>
        <v/>
      </c>
      <c r="Q857">
        <f>IF(G857="",0,G857/P857)</f>
        <v/>
      </c>
      <c r="R857">
        <f>IF(H857="",0,H857/P857)</f>
        <v/>
      </c>
    </row>
    <row r="858">
      <c r="A858" s="43" t="n"/>
      <c r="B858" s="28" t="n"/>
      <c r="C858" s="28" t="n"/>
      <c r="D858" s="28" t="n"/>
      <c r="E858" s="44" t="n"/>
      <c r="F858" s="44" t="n"/>
      <c r="G858" s="23" t="n"/>
      <c r="H858" s="23" t="n"/>
      <c r="I858" s="23" t="n"/>
      <c r="J858" s="23" t="n"/>
      <c r="K858" s="45">
        <f>IF(A858="","",SUM(G$2:I858)-SUM(J$2:J858))</f>
        <v/>
      </c>
      <c r="L858" s="46" t="n"/>
      <c r="M858">
        <f>IF(A858="","",IF(A858=A857,M857,N(M857)+1))</f>
        <v/>
      </c>
      <c r="N858">
        <f>IF(E858="",99999,E858)</f>
        <v/>
      </c>
      <c r="O858">
        <f>IF(E858="",0,IF(F858="",E858,F858))</f>
        <v/>
      </c>
      <c r="P858">
        <f>IF(E858="",1,MAX(1,(YEAR(O858)-YEAR(N858))*12+MONTH(O858)-MONTH(N858)+1))</f>
        <v/>
      </c>
      <c r="Q858">
        <f>IF(G858="",0,G858/P858)</f>
        <v/>
      </c>
      <c r="R858">
        <f>IF(H858="",0,H858/P858)</f>
        <v/>
      </c>
    </row>
    <row r="859">
      <c r="A859" s="43" t="n"/>
      <c r="B859" s="28" t="n"/>
      <c r="C859" s="28" t="n"/>
      <c r="D859" s="28" t="n"/>
      <c r="E859" s="44" t="n"/>
      <c r="F859" s="44" t="n"/>
      <c r="G859" s="23" t="n"/>
      <c r="H859" s="23" t="n"/>
      <c r="I859" s="23" t="n"/>
      <c r="J859" s="23" t="n"/>
      <c r="K859" s="45">
        <f>IF(A859="","",SUM(G$2:I859)-SUM(J$2:J859))</f>
        <v/>
      </c>
      <c r="L859" s="46" t="n"/>
      <c r="M859">
        <f>IF(A859="","",IF(A859=A858,M858,N(M858)+1))</f>
        <v/>
      </c>
      <c r="N859">
        <f>IF(E859="",99999,E859)</f>
        <v/>
      </c>
      <c r="O859">
        <f>IF(E859="",0,IF(F859="",E859,F859))</f>
        <v/>
      </c>
      <c r="P859">
        <f>IF(E859="",1,MAX(1,(YEAR(O859)-YEAR(N859))*12+MONTH(O859)-MONTH(N859)+1))</f>
        <v/>
      </c>
      <c r="Q859">
        <f>IF(G859="",0,G859/P859)</f>
        <v/>
      </c>
      <c r="R859">
        <f>IF(H859="",0,H859/P859)</f>
        <v/>
      </c>
    </row>
    <row r="860">
      <c r="A860" s="43" t="n"/>
      <c r="B860" s="28" t="n"/>
      <c r="C860" s="28" t="n"/>
      <c r="D860" s="28" t="n"/>
      <c r="E860" s="44" t="n"/>
      <c r="F860" s="44" t="n"/>
      <c r="G860" s="23" t="n"/>
      <c r="H860" s="23" t="n"/>
      <c r="I860" s="23" t="n"/>
      <c r="J860" s="23" t="n"/>
      <c r="K860" s="45">
        <f>IF(A860="","",SUM(G$2:I860)-SUM(J$2:J860))</f>
        <v/>
      </c>
      <c r="L860" s="46" t="n"/>
      <c r="M860">
        <f>IF(A860="","",IF(A860=A859,M859,N(M859)+1))</f>
        <v/>
      </c>
      <c r="N860">
        <f>IF(E860="",99999,E860)</f>
        <v/>
      </c>
      <c r="O860">
        <f>IF(E860="",0,IF(F860="",E860,F860))</f>
        <v/>
      </c>
      <c r="P860">
        <f>IF(E860="",1,MAX(1,(YEAR(O860)-YEAR(N860))*12+MONTH(O860)-MONTH(N860)+1))</f>
        <v/>
      </c>
      <c r="Q860">
        <f>IF(G860="",0,G860/P860)</f>
        <v/>
      </c>
      <c r="R860">
        <f>IF(H860="",0,H860/P860)</f>
        <v/>
      </c>
    </row>
    <row r="861">
      <c r="A861" s="43" t="n"/>
      <c r="B861" s="28" t="n"/>
      <c r="C861" s="28" t="n"/>
      <c r="D861" s="28" t="n"/>
      <c r="E861" s="44" t="n"/>
      <c r="F861" s="44" t="n"/>
      <c r="G861" s="23" t="n"/>
      <c r="H861" s="23" t="n"/>
      <c r="I861" s="23" t="n"/>
      <c r="J861" s="23" t="n"/>
      <c r="K861" s="45">
        <f>IF(A861="","",SUM(G$2:I861)-SUM(J$2:J861))</f>
        <v/>
      </c>
      <c r="L861" s="46" t="n"/>
      <c r="M861">
        <f>IF(A861="","",IF(A861=A860,M860,N(M860)+1))</f>
        <v/>
      </c>
      <c r="N861">
        <f>IF(E861="",99999,E861)</f>
        <v/>
      </c>
      <c r="O861">
        <f>IF(E861="",0,IF(F861="",E861,F861))</f>
        <v/>
      </c>
      <c r="P861">
        <f>IF(E861="",1,MAX(1,(YEAR(O861)-YEAR(N861))*12+MONTH(O861)-MONTH(N861)+1))</f>
        <v/>
      </c>
      <c r="Q861">
        <f>IF(G861="",0,G861/P861)</f>
        <v/>
      </c>
      <c r="R861">
        <f>IF(H861="",0,H861/P861)</f>
        <v/>
      </c>
    </row>
    <row r="862">
      <c r="A862" s="43" t="n"/>
      <c r="B862" s="28" t="n"/>
      <c r="C862" s="28" t="n"/>
      <c r="D862" s="28" t="n"/>
      <c r="E862" s="44" t="n"/>
      <c r="F862" s="44" t="n"/>
      <c r="G862" s="23" t="n"/>
      <c r="H862" s="23" t="n"/>
      <c r="I862" s="23" t="n"/>
      <c r="J862" s="23" t="n"/>
      <c r="K862" s="45">
        <f>IF(A862="","",SUM(G$2:I862)-SUM(J$2:J862))</f>
        <v/>
      </c>
      <c r="L862" s="46" t="n"/>
      <c r="M862">
        <f>IF(A862="","",IF(A862=A861,M861,N(M861)+1))</f>
        <v/>
      </c>
      <c r="N862">
        <f>IF(E862="",99999,E862)</f>
        <v/>
      </c>
      <c r="O862">
        <f>IF(E862="",0,IF(F862="",E862,F862))</f>
        <v/>
      </c>
      <c r="P862">
        <f>IF(E862="",1,MAX(1,(YEAR(O862)-YEAR(N862))*12+MONTH(O862)-MONTH(N862)+1))</f>
        <v/>
      </c>
      <c r="Q862">
        <f>IF(G862="",0,G862/P862)</f>
        <v/>
      </c>
      <c r="R862">
        <f>IF(H862="",0,H862/P862)</f>
        <v/>
      </c>
    </row>
    <row r="863">
      <c r="A863" s="43" t="n"/>
      <c r="B863" s="28" t="n"/>
      <c r="C863" s="28" t="n"/>
      <c r="D863" s="28" t="n"/>
      <c r="E863" s="44" t="n"/>
      <c r="F863" s="44" t="n"/>
      <c r="G863" s="23" t="n"/>
      <c r="H863" s="23" t="n"/>
      <c r="I863" s="23" t="n"/>
      <c r="J863" s="23" t="n"/>
      <c r="K863" s="45">
        <f>IF(A863="","",SUM(G$2:I863)-SUM(J$2:J863))</f>
        <v/>
      </c>
      <c r="L863" s="46" t="n"/>
      <c r="M863">
        <f>IF(A863="","",IF(A863=A862,M862,N(M862)+1))</f>
        <v/>
      </c>
      <c r="N863">
        <f>IF(E863="",99999,E863)</f>
        <v/>
      </c>
      <c r="O863">
        <f>IF(E863="",0,IF(F863="",E863,F863))</f>
        <v/>
      </c>
      <c r="P863">
        <f>IF(E863="",1,MAX(1,(YEAR(O863)-YEAR(N863))*12+MONTH(O863)-MONTH(N863)+1))</f>
        <v/>
      </c>
      <c r="Q863">
        <f>IF(G863="",0,G863/P863)</f>
        <v/>
      </c>
      <c r="R863">
        <f>IF(H863="",0,H863/P863)</f>
        <v/>
      </c>
    </row>
    <row r="864">
      <c r="A864" s="43" t="n"/>
      <c r="B864" s="28" t="n"/>
      <c r="C864" s="28" t="n"/>
      <c r="D864" s="28" t="n"/>
      <c r="E864" s="44" t="n"/>
      <c r="F864" s="44" t="n"/>
      <c r="G864" s="23" t="n"/>
      <c r="H864" s="23" t="n"/>
      <c r="I864" s="23" t="n"/>
      <c r="J864" s="23" t="n"/>
      <c r="K864" s="45">
        <f>IF(A864="","",SUM(G$2:I864)-SUM(J$2:J864))</f>
        <v/>
      </c>
      <c r="L864" s="46" t="n"/>
      <c r="M864">
        <f>IF(A864="","",IF(A864=A863,M863,N(M863)+1))</f>
        <v/>
      </c>
      <c r="N864">
        <f>IF(E864="",99999,E864)</f>
        <v/>
      </c>
      <c r="O864">
        <f>IF(E864="",0,IF(F864="",E864,F864))</f>
        <v/>
      </c>
      <c r="P864">
        <f>IF(E864="",1,MAX(1,(YEAR(O864)-YEAR(N864))*12+MONTH(O864)-MONTH(N864)+1))</f>
        <v/>
      </c>
      <c r="Q864">
        <f>IF(G864="",0,G864/P864)</f>
        <v/>
      </c>
      <c r="R864">
        <f>IF(H864="",0,H864/P864)</f>
        <v/>
      </c>
    </row>
    <row r="865">
      <c r="A865" s="43" t="n"/>
      <c r="B865" s="28" t="n"/>
      <c r="C865" s="28" t="n"/>
      <c r="D865" s="28" t="n"/>
      <c r="E865" s="44" t="n"/>
      <c r="F865" s="44" t="n"/>
      <c r="G865" s="23" t="n"/>
      <c r="H865" s="23" t="n"/>
      <c r="I865" s="23" t="n"/>
      <c r="J865" s="23" t="n"/>
      <c r="K865" s="45">
        <f>IF(A865="","",SUM(G$2:I865)-SUM(J$2:J865))</f>
        <v/>
      </c>
      <c r="L865" s="46" t="n"/>
      <c r="M865">
        <f>IF(A865="","",IF(A865=A864,M864,N(M864)+1))</f>
        <v/>
      </c>
      <c r="N865">
        <f>IF(E865="",99999,E865)</f>
        <v/>
      </c>
      <c r="O865">
        <f>IF(E865="",0,IF(F865="",E865,F865))</f>
        <v/>
      </c>
      <c r="P865">
        <f>IF(E865="",1,MAX(1,(YEAR(O865)-YEAR(N865))*12+MONTH(O865)-MONTH(N865)+1))</f>
        <v/>
      </c>
      <c r="Q865">
        <f>IF(G865="",0,G865/P865)</f>
        <v/>
      </c>
      <c r="R865">
        <f>IF(H865="",0,H865/P865)</f>
        <v/>
      </c>
    </row>
    <row r="866">
      <c r="A866" s="43" t="n"/>
      <c r="B866" s="28" t="n"/>
      <c r="C866" s="28" t="n"/>
      <c r="D866" s="28" t="n"/>
      <c r="E866" s="44" t="n"/>
      <c r="F866" s="44" t="n"/>
      <c r="G866" s="23" t="n"/>
      <c r="H866" s="23" t="n"/>
      <c r="I866" s="23" t="n"/>
      <c r="J866" s="23" t="n"/>
      <c r="K866" s="45">
        <f>IF(A866="","",SUM(G$2:I866)-SUM(J$2:J866))</f>
        <v/>
      </c>
      <c r="L866" s="46" t="n"/>
      <c r="M866">
        <f>IF(A866="","",IF(A866=A865,M865,N(M865)+1))</f>
        <v/>
      </c>
      <c r="N866">
        <f>IF(E866="",99999,E866)</f>
        <v/>
      </c>
      <c r="O866">
        <f>IF(E866="",0,IF(F866="",E866,F866))</f>
        <v/>
      </c>
      <c r="P866">
        <f>IF(E866="",1,MAX(1,(YEAR(O866)-YEAR(N866))*12+MONTH(O866)-MONTH(N866)+1))</f>
        <v/>
      </c>
      <c r="Q866">
        <f>IF(G866="",0,G866/P866)</f>
        <v/>
      </c>
      <c r="R866">
        <f>IF(H866="",0,H866/P866)</f>
        <v/>
      </c>
    </row>
    <row r="867">
      <c r="A867" s="43" t="n"/>
      <c r="B867" s="28" t="n"/>
      <c r="C867" s="28" t="n"/>
      <c r="D867" s="28" t="n"/>
      <c r="E867" s="44" t="n"/>
      <c r="F867" s="44" t="n"/>
      <c r="G867" s="23" t="n"/>
      <c r="H867" s="23" t="n"/>
      <c r="I867" s="23" t="n"/>
      <c r="J867" s="23" t="n"/>
      <c r="K867" s="45">
        <f>IF(A867="","",SUM(G$2:I867)-SUM(J$2:J867))</f>
        <v/>
      </c>
      <c r="L867" s="46" t="n"/>
      <c r="M867">
        <f>IF(A867="","",IF(A867=A866,M866,N(M866)+1))</f>
        <v/>
      </c>
      <c r="N867">
        <f>IF(E867="",99999,E867)</f>
        <v/>
      </c>
      <c r="O867">
        <f>IF(E867="",0,IF(F867="",E867,F867))</f>
        <v/>
      </c>
      <c r="P867">
        <f>IF(E867="",1,MAX(1,(YEAR(O867)-YEAR(N867))*12+MONTH(O867)-MONTH(N867)+1))</f>
        <v/>
      </c>
      <c r="Q867">
        <f>IF(G867="",0,G867/P867)</f>
        <v/>
      </c>
      <c r="R867">
        <f>IF(H867="",0,H867/P867)</f>
        <v/>
      </c>
    </row>
    <row r="868">
      <c r="A868" s="43" t="n"/>
      <c r="B868" s="28" t="n"/>
      <c r="C868" s="28" t="n"/>
      <c r="D868" s="28" t="n"/>
      <c r="E868" s="44" t="n"/>
      <c r="F868" s="44" t="n"/>
      <c r="G868" s="23" t="n"/>
      <c r="H868" s="23" t="n"/>
      <c r="I868" s="23" t="n"/>
      <c r="J868" s="23" t="n"/>
      <c r="K868" s="45">
        <f>IF(A868="","",SUM(G$2:I868)-SUM(J$2:J868))</f>
        <v/>
      </c>
      <c r="L868" s="46" t="n"/>
      <c r="M868">
        <f>IF(A868="","",IF(A868=A867,M867,N(M867)+1))</f>
        <v/>
      </c>
      <c r="N868">
        <f>IF(E868="",99999,E868)</f>
        <v/>
      </c>
      <c r="O868">
        <f>IF(E868="",0,IF(F868="",E868,F868))</f>
        <v/>
      </c>
      <c r="P868">
        <f>IF(E868="",1,MAX(1,(YEAR(O868)-YEAR(N868))*12+MONTH(O868)-MONTH(N868)+1))</f>
        <v/>
      </c>
      <c r="Q868">
        <f>IF(G868="",0,G868/P868)</f>
        <v/>
      </c>
      <c r="R868">
        <f>IF(H868="",0,H868/P868)</f>
        <v/>
      </c>
    </row>
    <row r="869">
      <c r="A869" s="43" t="n"/>
      <c r="B869" s="28" t="n"/>
      <c r="C869" s="28" t="n"/>
      <c r="D869" s="28" t="n"/>
      <c r="E869" s="44" t="n"/>
      <c r="F869" s="44" t="n"/>
      <c r="G869" s="23" t="n"/>
      <c r="H869" s="23" t="n"/>
      <c r="I869" s="23" t="n"/>
      <c r="J869" s="23" t="n"/>
      <c r="K869" s="45">
        <f>IF(A869="","",SUM(G$2:I869)-SUM(J$2:J869))</f>
        <v/>
      </c>
      <c r="L869" s="46" t="n"/>
      <c r="M869">
        <f>IF(A869="","",IF(A869=A868,M868,N(M868)+1))</f>
        <v/>
      </c>
      <c r="N869">
        <f>IF(E869="",99999,E869)</f>
        <v/>
      </c>
      <c r="O869">
        <f>IF(E869="",0,IF(F869="",E869,F869))</f>
        <v/>
      </c>
      <c r="P869">
        <f>IF(E869="",1,MAX(1,(YEAR(O869)-YEAR(N869))*12+MONTH(O869)-MONTH(N869)+1))</f>
        <v/>
      </c>
      <c r="Q869">
        <f>IF(G869="",0,G869/P869)</f>
        <v/>
      </c>
      <c r="R869">
        <f>IF(H869="",0,H869/P869)</f>
        <v/>
      </c>
    </row>
    <row r="870">
      <c r="A870" s="43" t="n"/>
      <c r="B870" s="28" t="n"/>
      <c r="C870" s="28" t="n"/>
      <c r="D870" s="28" t="n"/>
      <c r="E870" s="44" t="n"/>
      <c r="F870" s="44" t="n"/>
      <c r="G870" s="23" t="n"/>
      <c r="H870" s="23" t="n"/>
      <c r="I870" s="23" t="n"/>
      <c r="J870" s="23" t="n"/>
      <c r="K870" s="45">
        <f>IF(A870="","",SUM(G$2:I870)-SUM(J$2:J870))</f>
        <v/>
      </c>
      <c r="L870" s="46" t="n"/>
      <c r="M870">
        <f>IF(A870="","",IF(A870=A869,M869,N(M869)+1))</f>
        <v/>
      </c>
      <c r="N870">
        <f>IF(E870="",99999,E870)</f>
        <v/>
      </c>
      <c r="O870">
        <f>IF(E870="",0,IF(F870="",E870,F870))</f>
        <v/>
      </c>
      <c r="P870">
        <f>IF(E870="",1,MAX(1,(YEAR(O870)-YEAR(N870))*12+MONTH(O870)-MONTH(N870)+1))</f>
        <v/>
      </c>
      <c r="Q870">
        <f>IF(G870="",0,G870/P870)</f>
        <v/>
      </c>
      <c r="R870">
        <f>IF(H870="",0,H870/P870)</f>
        <v/>
      </c>
    </row>
    <row r="871">
      <c r="A871" s="43" t="n"/>
      <c r="B871" s="28" t="n"/>
      <c r="C871" s="28" t="n"/>
      <c r="D871" s="28" t="n"/>
      <c r="E871" s="44" t="n"/>
      <c r="F871" s="44" t="n"/>
      <c r="G871" s="23" t="n"/>
      <c r="H871" s="23" t="n"/>
      <c r="I871" s="23" t="n"/>
      <c r="J871" s="23" t="n"/>
      <c r="K871" s="45">
        <f>IF(A871="","",SUM(G$2:I871)-SUM(J$2:J871))</f>
        <v/>
      </c>
      <c r="L871" s="46" t="n"/>
      <c r="M871">
        <f>IF(A871="","",IF(A871=A870,M870,N(M870)+1))</f>
        <v/>
      </c>
      <c r="N871">
        <f>IF(E871="",99999,E871)</f>
        <v/>
      </c>
      <c r="O871">
        <f>IF(E871="",0,IF(F871="",E871,F871))</f>
        <v/>
      </c>
      <c r="P871">
        <f>IF(E871="",1,MAX(1,(YEAR(O871)-YEAR(N871))*12+MONTH(O871)-MONTH(N871)+1))</f>
        <v/>
      </c>
      <c r="Q871">
        <f>IF(G871="",0,G871/P871)</f>
        <v/>
      </c>
      <c r="R871">
        <f>IF(H871="",0,H871/P871)</f>
        <v/>
      </c>
    </row>
    <row r="872">
      <c r="A872" s="43" t="n"/>
      <c r="B872" s="28" t="n"/>
      <c r="C872" s="28" t="n"/>
      <c r="D872" s="28" t="n"/>
      <c r="E872" s="44" t="n"/>
      <c r="F872" s="44" t="n"/>
      <c r="G872" s="23" t="n"/>
      <c r="H872" s="23" t="n"/>
      <c r="I872" s="23" t="n"/>
      <c r="J872" s="23" t="n"/>
      <c r="K872" s="45">
        <f>IF(A872="","",SUM(G$2:I872)-SUM(J$2:J872))</f>
        <v/>
      </c>
      <c r="L872" s="46" t="n"/>
      <c r="M872">
        <f>IF(A872="","",IF(A872=A871,M871,N(M871)+1))</f>
        <v/>
      </c>
      <c r="N872">
        <f>IF(E872="",99999,E872)</f>
        <v/>
      </c>
      <c r="O872">
        <f>IF(E872="",0,IF(F872="",E872,F872))</f>
        <v/>
      </c>
      <c r="P872">
        <f>IF(E872="",1,MAX(1,(YEAR(O872)-YEAR(N872))*12+MONTH(O872)-MONTH(N872)+1))</f>
        <v/>
      </c>
      <c r="Q872">
        <f>IF(G872="",0,G872/P872)</f>
        <v/>
      </c>
      <c r="R872">
        <f>IF(H872="",0,H872/P872)</f>
        <v/>
      </c>
    </row>
    <row r="873">
      <c r="A873" s="43" t="n"/>
      <c r="B873" s="28" t="n"/>
      <c r="C873" s="28" t="n"/>
      <c r="D873" s="28" t="n"/>
      <c r="E873" s="44" t="n"/>
      <c r="F873" s="44" t="n"/>
      <c r="G873" s="23" t="n"/>
      <c r="H873" s="23" t="n"/>
      <c r="I873" s="23" t="n"/>
      <c r="J873" s="23" t="n"/>
      <c r="K873" s="45">
        <f>IF(A873="","",SUM(G$2:I873)-SUM(J$2:J873))</f>
        <v/>
      </c>
      <c r="L873" s="46" t="n"/>
      <c r="M873">
        <f>IF(A873="","",IF(A873=A872,M872,N(M872)+1))</f>
        <v/>
      </c>
      <c r="N873">
        <f>IF(E873="",99999,E873)</f>
        <v/>
      </c>
      <c r="O873">
        <f>IF(E873="",0,IF(F873="",E873,F873))</f>
        <v/>
      </c>
      <c r="P873">
        <f>IF(E873="",1,MAX(1,(YEAR(O873)-YEAR(N873))*12+MONTH(O873)-MONTH(N873)+1))</f>
        <v/>
      </c>
      <c r="Q873">
        <f>IF(G873="",0,G873/P873)</f>
        <v/>
      </c>
      <c r="R873">
        <f>IF(H873="",0,H873/P873)</f>
        <v/>
      </c>
    </row>
    <row r="874">
      <c r="A874" s="43" t="n"/>
      <c r="B874" s="28" t="n"/>
      <c r="C874" s="28" t="n"/>
      <c r="D874" s="28" t="n"/>
      <c r="E874" s="44" t="n"/>
      <c r="F874" s="44" t="n"/>
      <c r="G874" s="23" t="n"/>
      <c r="H874" s="23" t="n"/>
      <c r="I874" s="23" t="n"/>
      <c r="J874" s="23" t="n"/>
      <c r="K874" s="45">
        <f>IF(A874="","",SUM(G$2:I874)-SUM(J$2:J874))</f>
        <v/>
      </c>
      <c r="L874" s="46" t="n"/>
      <c r="M874">
        <f>IF(A874="","",IF(A874=A873,M873,N(M873)+1))</f>
        <v/>
      </c>
      <c r="N874">
        <f>IF(E874="",99999,E874)</f>
        <v/>
      </c>
      <c r="O874">
        <f>IF(E874="",0,IF(F874="",E874,F874))</f>
        <v/>
      </c>
      <c r="P874">
        <f>IF(E874="",1,MAX(1,(YEAR(O874)-YEAR(N874))*12+MONTH(O874)-MONTH(N874)+1))</f>
        <v/>
      </c>
      <c r="Q874">
        <f>IF(G874="",0,G874/P874)</f>
        <v/>
      </c>
      <c r="R874">
        <f>IF(H874="",0,H874/P874)</f>
        <v/>
      </c>
    </row>
    <row r="875">
      <c r="A875" s="43" t="n"/>
      <c r="B875" s="28" t="n"/>
      <c r="C875" s="28" t="n"/>
      <c r="D875" s="28" t="n"/>
      <c r="E875" s="44" t="n"/>
      <c r="F875" s="44" t="n"/>
      <c r="G875" s="23" t="n"/>
      <c r="H875" s="23" t="n"/>
      <c r="I875" s="23" t="n"/>
      <c r="J875" s="23" t="n"/>
      <c r="K875" s="45">
        <f>IF(A875="","",SUM(G$2:I875)-SUM(J$2:J875))</f>
        <v/>
      </c>
      <c r="L875" s="46" t="n"/>
      <c r="M875">
        <f>IF(A875="","",IF(A875=A874,M874,N(M874)+1))</f>
        <v/>
      </c>
      <c r="N875">
        <f>IF(E875="",99999,E875)</f>
        <v/>
      </c>
      <c r="O875">
        <f>IF(E875="",0,IF(F875="",E875,F875))</f>
        <v/>
      </c>
      <c r="P875">
        <f>IF(E875="",1,MAX(1,(YEAR(O875)-YEAR(N875))*12+MONTH(O875)-MONTH(N875)+1))</f>
        <v/>
      </c>
      <c r="Q875">
        <f>IF(G875="",0,G875/P875)</f>
        <v/>
      </c>
      <c r="R875">
        <f>IF(H875="",0,H875/P875)</f>
        <v/>
      </c>
    </row>
    <row r="876">
      <c r="A876" s="43" t="n"/>
      <c r="B876" s="28" t="n"/>
      <c r="C876" s="28" t="n"/>
      <c r="D876" s="28" t="n"/>
      <c r="E876" s="44" t="n"/>
      <c r="F876" s="44" t="n"/>
      <c r="G876" s="23" t="n"/>
      <c r="H876" s="23" t="n"/>
      <c r="I876" s="23" t="n"/>
      <c r="J876" s="23" t="n"/>
      <c r="K876" s="45">
        <f>IF(A876="","",SUM(G$2:I876)-SUM(J$2:J876))</f>
        <v/>
      </c>
      <c r="L876" s="46" t="n"/>
      <c r="M876">
        <f>IF(A876="","",IF(A876=A875,M875,N(M875)+1))</f>
        <v/>
      </c>
      <c r="N876">
        <f>IF(E876="",99999,E876)</f>
        <v/>
      </c>
      <c r="O876">
        <f>IF(E876="",0,IF(F876="",E876,F876))</f>
        <v/>
      </c>
      <c r="P876">
        <f>IF(E876="",1,MAX(1,(YEAR(O876)-YEAR(N876))*12+MONTH(O876)-MONTH(N876)+1))</f>
        <v/>
      </c>
      <c r="Q876">
        <f>IF(G876="",0,G876/P876)</f>
        <v/>
      </c>
      <c r="R876">
        <f>IF(H876="",0,H876/P876)</f>
        <v/>
      </c>
    </row>
    <row r="877">
      <c r="A877" s="43" t="n"/>
      <c r="B877" s="28" t="n"/>
      <c r="C877" s="28" t="n"/>
      <c r="D877" s="28" t="n"/>
      <c r="E877" s="44" t="n"/>
      <c r="F877" s="44" t="n"/>
      <c r="G877" s="23" t="n"/>
      <c r="H877" s="23" t="n"/>
      <c r="I877" s="23" t="n"/>
      <c r="J877" s="23" t="n"/>
      <c r="K877" s="45">
        <f>IF(A877="","",SUM(G$2:I877)-SUM(J$2:J877))</f>
        <v/>
      </c>
      <c r="L877" s="46" t="n"/>
      <c r="M877">
        <f>IF(A877="","",IF(A877=A876,M876,N(M876)+1))</f>
        <v/>
      </c>
      <c r="N877">
        <f>IF(E877="",99999,E877)</f>
        <v/>
      </c>
      <c r="O877">
        <f>IF(E877="",0,IF(F877="",E877,F877))</f>
        <v/>
      </c>
      <c r="P877">
        <f>IF(E877="",1,MAX(1,(YEAR(O877)-YEAR(N877))*12+MONTH(O877)-MONTH(N877)+1))</f>
        <v/>
      </c>
      <c r="Q877">
        <f>IF(G877="",0,G877/P877)</f>
        <v/>
      </c>
      <c r="R877">
        <f>IF(H877="",0,H877/P877)</f>
        <v/>
      </c>
    </row>
    <row r="878">
      <c r="A878" s="43" t="n"/>
      <c r="B878" s="28" t="n"/>
      <c r="C878" s="28" t="n"/>
      <c r="D878" s="28" t="n"/>
      <c r="E878" s="44" t="n"/>
      <c r="F878" s="44" t="n"/>
      <c r="G878" s="23" t="n"/>
      <c r="H878" s="23" t="n"/>
      <c r="I878" s="23" t="n"/>
      <c r="J878" s="23" t="n"/>
      <c r="K878" s="45">
        <f>IF(A878="","",SUM(G$2:I878)-SUM(J$2:J878))</f>
        <v/>
      </c>
      <c r="L878" s="46" t="n"/>
      <c r="M878">
        <f>IF(A878="","",IF(A878=A877,M877,N(M877)+1))</f>
        <v/>
      </c>
      <c r="N878">
        <f>IF(E878="",99999,E878)</f>
        <v/>
      </c>
      <c r="O878">
        <f>IF(E878="",0,IF(F878="",E878,F878))</f>
        <v/>
      </c>
      <c r="P878">
        <f>IF(E878="",1,MAX(1,(YEAR(O878)-YEAR(N878))*12+MONTH(O878)-MONTH(N878)+1))</f>
        <v/>
      </c>
      <c r="Q878">
        <f>IF(G878="",0,G878/P878)</f>
        <v/>
      </c>
      <c r="R878">
        <f>IF(H878="",0,H878/P878)</f>
        <v/>
      </c>
    </row>
    <row r="879">
      <c r="A879" s="43" t="n"/>
      <c r="B879" s="28" t="n"/>
      <c r="C879" s="28" t="n"/>
      <c r="D879" s="28" t="n"/>
      <c r="E879" s="44" t="n"/>
      <c r="F879" s="44" t="n"/>
      <c r="G879" s="23" t="n"/>
      <c r="H879" s="23" t="n"/>
      <c r="I879" s="23" t="n"/>
      <c r="J879" s="23" t="n"/>
      <c r="K879" s="45">
        <f>IF(A879="","",SUM(G$2:I879)-SUM(J$2:J879))</f>
        <v/>
      </c>
      <c r="L879" s="46" t="n"/>
      <c r="M879">
        <f>IF(A879="","",IF(A879=A878,M878,N(M878)+1))</f>
        <v/>
      </c>
      <c r="N879">
        <f>IF(E879="",99999,E879)</f>
        <v/>
      </c>
      <c r="O879">
        <f>IF(E879="",0,IF(F879="",E879,F879))</f>
        <v/>
      </c>
      <c r="P879">
        <f>IF(E879="",1,MAX(1,(YEAR(O879)-YEAR(N879))*12+MONTH(O879)-MONTH(N879)+1))</f>
        <v/>
      </c>
      <c r="Q879">
        <f>IF(G879="",0,G879/P879)</f>
        <v/>
      </c>
      <c r="R879">
        <f>IF(H879="",0,H879/P879)</f>
        <v/>
      </c>
    </row>
    <row r="880">
      <c r="A880" s="43" t="n"/>
      <c r="B880" s="28" t="n"/>
      <c r="C880" s="28" t="n"/>
      <c r="D880" s="28" t="n"/>
      <c r="E880" s="44" t="n"/>
      <c r="F880" s="44" t="n"/>
      <c r="G880" s="23" t="n"/>
      <c r="H880" s="23" t="n"/>
      <c r="I880" s="23" t="n"/>
      <c r="J880" s="23" t="n"/>
      <c r="K880" s="45">
        <f>IF(A880="","",SUM(G$2:I880)-SUM(J$2:J880))</f>
        <v/>
      </c>
      <c r="L880" s="46" t="n"/>
      <c r="M880">
        <f>IF(A880="","",IF(A880=A879,M879,N(M879)+1))</f>
        <v/>
      </c>
      <c r="N880">
        <f>IF(E880="",99999,E880)</f>
        <v/>
      </c>
      <c r="O880">
        <f>IF(E880="",0,IF(F880="",E880,F880))</f>
        <v/>
      </c>
      <c r="P880">
        <f>IF(E880="",1,MAX(1,(YEAR(O880)-YEAR(N880))*12+MONTH(O880)-MONTH(N880)+1))</f>
        <v/>
      </c>
      <c r="Q880">
        <f>IF(G880="",0,G880/P880)</f>
        <v/>
      </c>
      <c r="R880">
        <f>IF(H880="",0,H880/P880)</f>
        <v/>
      </c>
    </row>
    <row r="881">
      <c r="A881" s="43" t="n"/>
      <c r="B881" s="28" t="n"/>
      <c r="C881" s="28" t="n"/>
      <c r="D881" s="28" t="n"/>
      <c r="E881" s="44" t="n"/>
      <c r="F881" s="44" t="n"/>
      <c r="G881" s="23" t="n"/>
      <c r="H881" s="23" t="n"/>
      <c r="I881" s="23" t="n"/>
      <c r="J881" s="23" t="n"/>
      <c r="K881" s="45">
        <f>IF(A881="","",SUM(G$2:I881)-SUM(J$2:J881))</f>
        <v/>
      </c>
      <c r="L881" s="46" t="n"/>
      <c r="M881">
        <f>IF(A881="","",IF(A881=A880,M880,N(M880)+1))</f>
        <v/>
      </c>
      <c r="N881">
        <f>IF(E881="",99999,E881)</f>
        <v/>
      </c>
      <c r="O881">
        <f>IF(E881="",0,IF(F881="",E881,F881))</f>
        <v/>
      </c>
      <c r="P881">
        <f>IF(E881="",1,MAX(1,(YEAR(O881)-YEAR(N881))*12+MONTH(O881)-MONTH(N881)+1))</f>
        <v/>
      </c>
      <c r="Q881">
        <f>IF(G881="",0,G881/P881)</f>
        <v/>
      </c>
      <c r="R881">
        <f>IF(H881="",0,H881/P881)</f>
        <v/>
      </c>
    </row>
    <row r="882">
      <c r="A882" s="43" t="n"/>
      <c r="B882" s="28" t="n"/>
      <c r="C882" s="28" t="n"/>
      <c r="D882" s="28" t="n"/>
      <c r="E882" s="44" t="n"/>
      <c r="F882" s="44" t="n"/>
      <c r="G882" s="23" t="n"/>
      <c r="H882" s="23" t="n"/>
      <c r="I882" s="23" t="n"/>
      <c r="J882" s="23" t="n"/>
      <c r="K882" s="45">
        <f>IF(A882="","",SUM(G$2:I882)-SUM(J$2:J882))</f>
        <v/>
      </c>
      <c r="L882" s="46" t="n"/>
      <c r="M882">
        <f>IF(A882="","",IF(A882=A881,M881,N(M881)+1))</f>
        <v/>
      </c>
      <c r="N882">
        <f>IF(E882="",99999,E882)</f>
        <v/>
      </c>
      <c r="O882">
        <f>IF(E882="",0,IF(F882="",E882,F882))</f>
        <v/>
      </c>
      <c r="P882">
        <f>IF(E882="",1,MAX(1,(YEAR(O882)-YEAR(N882))*12+MONTH(O882)-MONTH(N882)+1))</f>
        <v/>
      </c>
      <c r="Q882">
        <f>IF(G882="",0,G882/P882)</f>
        <v/>
      </c>
      <c r="R882">
        <f>IF(H882="",0,H882/P882)</f>
        <v/>
      </c>
    </row>
    <row r="883">
      <c r="A883" s="43" t="n"/>
      <c r="B883" s="28" t="n"/>
      <c r="C883" s="28" t="n"/>
      <c r="D883" s="28" t="n"/>
      <c r="E883" s="44" t="n"/>
      <c r="F883" s="44" t="n"/>
      <c r="G883" s="23" t="n"/>
      <c r="H883" s="23" t="n"/>
      <c r="I883" s="23" t="n"/>
      <c r="J883" s="23" t="n"/>
      <c r="K883" s="45">
        <f>IF(A883="","",SUM(G$2:I883)-SUM(J$2:J883))</f>
        <v/>
      </c>
      <c r="L883" s="46" t="n"/>
      <c r="M883">
        <f>IF(A883="","",IF(A883=A882,M882,N(M882)+1))</f>
        <v/>
      </c>
      <c r="N883">
        <f>IF(E883="",99999,E883)</f>
        <v/>
      </c>
      <c r="O883">
        <f>IF(E883="",0,IF(F883="",E883,F883))</f>
        <v/>
      </c>
      <c r="P883">
        <f>IF(E883="",1,MAX(1,(YEAR(O883)-YEAR(N883))*12+MONTH(O883)-MONTH(N883)+1))</f>
        <v/>
      </c>
      <c r="Q883">
        <f>IF(G883="",0,G883/P883)</f>
        <v/>
      </c>
      <c r="R883">
        <f>IF(H883="",0,H883/P883)</f>
        <v/>
      </c>
    </row>
    <row r="884">
      <c r="A884" s="43" t="n"/>
      <c r="B884" s="28" t="n"/>
      <c r="C884" s="28" t="n"/>
      <c r="D884" s="28" t="n"/>
      <c r="E884" s="44" t="n"/>
      <c r="F884" s="44" t="n"/>
      <c r="G884" s="23" t="n"/>
      <c r="H884" s="23" t="n"/>
      <c r="I884" s="23" t="n"/>
      <c r="J884" s="23" t="n"/>
      <c r="K884" s="45">
        <f>IF(A884="","",SUM(G$2:I884)-SUM(J$2:J884))</f>
        <v/>
      </c>
      <c r="L884" s="46" t="n"/>
      <c r="M884">
        <f>IF(A884="","",IF(A884=A883,M883,N(M883)+1))</f>
        <v/>
      </c>
      <c r="N884">
        <f>IF(E884="",99999,E884)</f>
        <v/>
      </c>
      <c r="O884">
        <f>IF(E884="",0,IF(F884="",E884,F884))</f>
        <v/>
      </c>
      <c r="P884">
        <f>IF(E884="",1,MAX(1,(YEAR(O884)-YEAR(N884))*12+MONTH(O884)-MONTH(N884)+1))</f>
        <v/>
      </c>
      <c r="Q884">
        <f>IF(G884="",0,G884/P884)</f>
        <v/>
      </c>
      <c r="R884">
        <f>IF(H884="",0,H884/P884)</f>
        <v/>
      </c>
    </row>
    <row r="885">
      <c r="A885" s="43" t="n"/>
      <c r="B885" s="28" t="n"/>
      <c r="C885" s="28" t="n"/>
      <c r="D885" s="28" t="n"/>
      <c r="E885" s="44" t="n"/>
      <c r="F885" s="44" t="n"/>
      <c r="G885" s="23" t="n"/>
      <c r="H885" s="23" t="n"/>
      <c r="I885" s="23" t="n"/>
      <c r="J885" s="23" t="n"/>
      <c r="K885" s="45">
        <f>IF(A885="","",SUM(G$2:I885)-SUM(J$2:J885))</f>
        <v/>
      </c>
      <c r="L885" s="46" t="n"/>
      <c r="M885">
        <f>IF(A885="","",IF(A885=A884,M884,N(M884)+1))</f>
        <v/>
      </c>
      <c r="N885">
        <f>IF(E885="",99999,E885)</f>
        <v/>
      </c>
      <c r="O885">
        <f>IF(E885="",0,IF(F885="",E885,F885))</f>
        <v/>
      </c>
      <c r="P885">
        <f>IF(E885="",1,MAX(1,(YEAR(O885)-YEAR(N885))*12+MONTH(O885)-MONTH(N885)+1))</f>
        <v/>
      </c>
      <c r="Q885">
        <f>IF(G885="",0,G885/P885)</f>
        <v/>
      </c>
      <c r="R885">
        <f>IF(H885="",0,H885/P885)</f>
        <v/>
      </c>
    </row>
    <row r="886">
      <c r="A886" s="43" t="n"/>
      <c r="B886" s="28" t="n"/>
      <c r="C886" s="28" t="n"/>
      <c r="D886" s="28" t="n"/>
      <c r="E886" s="44" t="n"/>
      <c r="F886" s="44" t="n"/>
      <c r="G886" s="23" t="n"/>
      <c r="H886" s="23" t="n"/>
      <c r="I886" s="23" t="n"/>
      <c r="J886" s="23" t="n"/>
      <c r="K886" s="45">
        <f>IF(A886="","",SUM(G$2:I886)-SUM(J$2:J886))</f>
        <v/>
      </c>
      <c r="L886" s="46" t="n"/>
      <c r="M886">
        <f>IF(A886="","",IF(A886=A885,M885,N(M885)+1))</f>
        <v/>
      </c>
      <c r="N886">
        <f>IF(E886="",99999,E886)</f>
        <v/>
      </c>
      <c r="O886">
        <f>IF(E886="",0,IF(F886="",E886,F886))</f>
        <v/>
      </c>
      <c r="P886">
        <f>IF(E886="",1,MAX(1,(YEAR(O886)-YEAR(N886))*12+MONTH(O886)-MONTH(N886)+1))</f>
        <v/>
      </c>
      <c r="Q886">
        <f>IF(G886="",0,G886/P886)</f>
        <v/>
      </c>
      <c r="R886">
        <f>IF(H886="",0,H886/P886)</f>
        <v/>
      </c>
    </row>
    <row r="887">
      <c r="A887" s="43" t="n"/>
      <c r="B887" s="28" t="n"/>
      <c r="C887" s="28" t="n"/>
      <c r="D887" s="28" t="n"/>
      <c r="E887" s="44" t="n"/>
      <c r="F887" s="44" t="n"/>
      <c r="G887" s="23" t="n"/>
      <c r="H887" s="23" t="n"/>
      <c r="I887" s="23" t="n"/>
      <c r="J887" s="23" t="n"/>
      <c r="K887" s="45">
        <f>IF(A887="","",SUM(G$2:I887)-SUM(J$2:J887))</f>
        <v/>
      </c>
      <c r="L887" s="46" t="n"/>
      <c r="M887">
        <f>IF(A887="","",IF(A887=A886,M886,N(M886)+1))</f>
        <v/>
      </c>
      <c r="N887">
        <f>IF(E887="",99999,E887)</f>
        <v/>
      </c>
      <c r="O887">
        <f>IF(E887="",0,IF(F887="",E887,F887))</f>
        <v/>
      </c>
      <c r="P887">
        <f>IF(E887="",1,MAX(1,(YEAR(O887)-YEAR(N887))*12+MONTH(O887)-MONTH(N887)+1))</f>
        <v/>
      </c>
      <c r="Q887">
        <f>IF(G887="",0,G887/P887)</f>
        <v/>
      </c>
      <c r="R887">
        <f>IF(H887="",0,H887/P887)</f>
        <v/>
      </c>
    </row>
    <row r="888">
      <c r="A888" s="43" t="n"/>
      <c r="B888" s="28" t="n"/>
      <c r="C888" s="28" t="n"/>
      <c r="D888" s="28" t="n"/>
      <c r="E888" s="44" t="n"/>
      <c r="F888" s="44" t="n"/>
      <c r="G888" s="23" t="n"/>
      <c r="H888" s="23" t="n"/>
      <c r="I888" s="23" t="n"/>
      <c r="J888" s="23" t="n"/>
      <c r="K888" s="45">
        <f>IF(A888="","",SUM(G$2:I888)-SUM(J$2:J888))</f>
        <v/>
      </c>
      <c r="L888" s="46" t="n"/>
      <c r="M888">
        <f>IF(A888="","",IF(A888=A887,M887,N(M887)+1))</f>
        <v/>
      </c>
      <c r="N888">
        <f>IF(E888="",99999,E888)</f>
        <v/>
      </c>
      <c r="O888">
        <f>IF(E888="",0,IF(F888="",E888,F888))</f>
        <v/>
      </c>
      <c r="P888">
        <f>IF(E888="",1,MAX(1,(YEAR(O888)-YEAR(N888))*12+MONTH(O888)-MONTH(N888)+1))</f>
        <v/>
      </c>
      <c r="Q888">
        <f>IF(G888="",0,G888/P888)</f>
        <v/>
      </c>
      <c r="R888">
        <f>IF(H888="",0,H888/P888)</f>
        <v/>
      </c>
    </row>
    <row r="889">
      <c r="A889" s="43" t="n"/>
      <c r="B889" s="28" t="n"/>
      <c r="C889" s="28" t="n"/>
      <c r="D889" s="28" t="n"/>
      <c r="E889" s="44" t="n"/>
      <c r="F889" s="44" t="n"/>
      <c r="G889" s="23" t="n"/>
      <c r="H889" s="23" t="n"/>
      <c r="I889" s="23" t="n"/>
      <c r="J889" s="23" t="n"/>
      <c r="K889" s="45">
        <f>IF(A889="","",SUM(G$2:I889)-SUM(J$2:J889))</f>
        <v/>
      </c>
      <c r="L889" s="46" t="n"/>
      <c r="M889">
        <f>IF(A889="","",IF(A889=A888,M888,N(M888)+1))</f>
        <v/>
      </c>
      <c r="N889">
        <f>IF(E889="",99999,E889)</f>
        <v/>
      </c>
      <c r="O889">
        <f>IF(E889="",0,IF(F889="",E889,F889))</f>
        <v/>
      </c>
      <c r="P889">
        <f>IF(E889="",1,MAX(1,(YEAR(O889)-YEAR(N889))*12+MONTH(O889)-MONTH(N889)+1))</f>
        <v/>
      </c>
      <c r="Q889">
        <f>IF(G889="",0,G889/P889)</f>
        <v/>
      </c>
      <c r="R889">
        <f>IF(H889="",0,H889/P889)</f>
        <v/>
      </c>
    </row>
    <row r="890">
      <c r="A890" s="43" t="n"/>
      <c r="B890" s="28" t="n"/>
      <c r="C890" s="28" t="n"/>
      <c r="D890" s="28" t="n"/>
      <c r="E890" s="44" t="n"/>
      <c r="F890" s="44" t="n"/>
      <c r="G890" s="23" t="n"/>
      <c r="H890" s="23" t="n"/>
      <c r="I890" s="23" t="n"/>
      <c r="J890" s="23" t="n"/>
      <c r="K890" s="45">
        <f>IF(A890="","",SUM(G$2:I890)-SUM(J$2:J890))</f>
        <v/>
      </c>
      <c r="L890" s="46" t="n"/>
      <c r="M890">
        <f>IF(A890="","",IF(A890=A889,M889,N(M889)+1))</f>
        <v/>
      </c>
      <c r="N890">
        <f>IF(E890="",99999,E890)</f>
        <v/>
      </c>
      <c r="O890">
        <f>IF(E890="",0,IF(F890="",E890,F890))</f>
        <v/>
      </c>
      <c r="P890">
        <f>IF(E890="",1,MAX(1,(YEAR(O890)-YEAR(N890))*12+MONTH(O890)-MONTH(N890)+1))</f>
        <v/>
      </c>
      <c r="Q890">
        <f>IF(G890="",0,G890/P890)</f>
        <v/>
      </c>
      <c r="R890">
        <f>IF(H890="",0,H890/P890)</f>
        <v/>
      </c>
    </row>
    <row r="891">
      <c r="A891" s="43" t="n"/>
      <c r="B891" s="28" t="n"/>
      <c r="C891" s="28" t="n"/>
      <c r="D891" s="28" t="n"/>
      <c r="E891" s="44" t="n"/>
      <c r="F891" s="44" t="n"/>
      <c r="G891" s="23" t="n"/>
      <c r="H891" s="23" t="n"/>
      <c r="I891" s="23" t="n"/>
      <c r="J891" s="23" t="n"/>
      <c r="K891" s="45">
        <f>IF(A891="","",SUM(G$2:I891)-SUM(J$2:J891))</f>
        <v/>
      </c>
      <c r="L891" s="46" t="n"/>
      <c r="M891">
        <f>IF(A891="","",IF(A891=A890,M890,N(M890)+1))</f>
        <v/>
      </c>
      <c r="N891">
        <f>IF(E891="",99999,E891)</f>
        <v/>
      </c>
      <c r="O891">
        <f>IF(E891="",0,IF(F891="",E891,F891))</f>
        <v/>
      </c>
      <c r="P891">
        <f>IF(E891="",1,MAX(1,(YEAR(O891)-YEAR(N891))*12+MONTH(O891)-MONTH(N891)+1))</f>
        <v/>
      </c>
      <c r="Q891">
        <f>IF(G891="",0,G891/P891)</f>
        <v/>
      </c>
      <c r="R891">
        <f>IF(H891="",0,H891/P891)</f>
        <v/>
      </c>
    </row>
    <row r="892">
      <c r="A892" s="43" t="n"/>
      <c r="B892" s="28" t="n"/>
      <c r="C892" s="28" t="n"/>
      <c r="D892" s="28" t="n"/>
      <c r="E892" s="44" t="n"/>
      <c r="F892" s="44" t="n"/>
      <c r="G892" s="23" t="n"/>
      <c r="H892" s="23" t="n"/>
      <c r="I892" s="23" t="n"/>
      <c r="J892" s="23" t="n"/>
      <c r="K892" s="45">
        <f>IF(A892="","",SUM(G$2:I892)-SUM(J$2:J892))</f>
        <v/>
      </c>
      <c r="L892" s="46" t="n"/>
      <c r="M892">
        <f>IF(A892="","",IF(A892=A891,M891,N(M891)+1))</f>
        <v/>
      </c>
      <c r="N892">
        <f>IF(E892="",99999,E892)</f>
        <v/>
      </c>
      <c r="O892">
        <f>IF(E892="",0,IF(F892="",E892,F892))</f>
        <v/>
      </c>
      <c r="P892">
        <f>IF(E892="",1,MAX(1,(YEAR(O892)-YEAR(N892))*12+MONTH(O892)-MONTH(N892)+1))</f>
        <v/>
      </c>
      <c r="Q892">
        <f>IF(G892="",0,G892/P892)</f>
        <v/>
      </c>
      <c r="R892">
        <f>IF(H892="",0,H892/P892)</f>
        <v/>
      </c>
    </row>
    <row r="893">
      <c r="A893" s="43" t="n"/>
      <c r="B893" s="28" t="n"/>
      <c r="C893" s="28" t="n"/>
      <c r="D893" s="28" t="n"/>
      <c r="E893" s="44" t="n"/>
      <c r="F893" s="44" t="n"/>
      <c r="G893" s="23" t="n"/>
      <c r="H893" s="23" t="n"/>
      <c r="I893" s="23" t="n"/>
      <c r="J893" s="23" t="n"/>
      <c r="K893" s="45">
        <f>IF(A893="","",SUM(G$2:I893)-SUM(J$2:J893))</f>
        <v/>
      </c>
      <c r="L893" s="46" t="n"/>
      <c r="M893">
        <f>IF(A893="","",IF(A893=A892,M892,N(M892)+1))</f>
        <v/>
      </c>
      <c r="N893">
        <f>IF(E893="",99999,E893)</f>
        <v/>
      </c>
      <c r="O893">
        <f>IF(E893="",0,IF(F893="",E893,F893))</f>
        <v/>
      </c>
      <c r="P893">
        <f>IF(E893="",1,MAX(1,(YEAR(O893)-YEAR(N893))*12+MONTH(O893)-MONTH(N893)+1))</f>
        <v/>
      </c>
      <c r="Q893">
        <f>IF(G893="",0,G893/P893)</f>
        <v/>
      </c>
      <c r="R893">
        <f>IF(H893="",0,H893/P893)</f>
        <v/>
      </c>
    </row>
    <row r="894">
      <c r="A894" s="43" t="n"/>
      <c r="B894" s="28" t="n"/>
      <c r="C894" s="28" t="n"/>
      <c r="D894" s="28" t="n"/>
      <c r="E894" s="44" t="n"/>
      <c r="F894" s="44" t="n"/>
      <c r="G894" s="23" t="n"/>
      <c r="H894" s="23" t="n"/>
      <c r="I894" s="23" t="n"/>
      <c r="J894" s="23" t="n"/>
      <c r="K894" s="45">
        <f>IF(A894="","",SUM(G$2:I894)-SUM(J$2:J894))</f>
        <v/>
      </c>
      <c r="L894" s="46" t="n"/>
      <c r="M894">
        <f>IF(A894="","",IF(A894=A893,M893,N(M893)+1))</f>
        <v/>
      </c>
      <c r="N894">
        <f>IF(E894="",99999,E894)</f>
        <v/>
      </c>
      <c r="O894">
        <f>IF(E894="",0,IF(F894="",E894,F894))</f>
        <v/>
      </c>
      <c r="P894">
        <f>IF(E894="",1,MAX(1,(YEAR(O894)-YEAR(N894))*12+MONTH(O894)-MONTH(N894)+1))</f>
        <v/>
      </c>
      <c r="Q894">
        <f>IF(G894="",0,G894/P894)</f>
        <v/>
      </c>
      <c r="R894">
        <f>IF(H894="",0,H894/P894)</f>
        <v/>
      </c>
    </row>
    <row r="895">
      <c r="A895" s="43" t="n"/>
      <c r="B895" s="28" t="n"/>
      <c r="C895" s="28" t="n"/>
      <c r="D895" s="28" t="n"/>
      <c r="E895" s="44" t="n"/>
      <c r="F895" s="44" t="n"/>
      <c r="G895" s="23" t="n"/>
      <c r="H895" s="23" t="n"/>
      <c r="I895" s="23" t="n"/>
      <c r="J895" s="23" t="n"/>
      <c r="K895" s="45">
        <f>IF(A895="","",SUM(G$2:I895)-SUM(J$2:J895))</f>
        <v/>
      </c>
      <c r="L895" s="46" t="n"/>
      <c r="M895">
        <f>IF(A895="","",IF(A895=A894,M894,N(M894)+1))</f>
        <v/>
      </c>
      <c r="N895">
        <f>IF(E895="",99999,E895)</f>
        <v/>
      </c>
      <c r="O895">
        <f>IF(E895="",0,IF(F895="",E895,F895))</f>
        <v/>
      </c>
      <c r="P895">
        <f>IF(E895="",1,MAX(1,(YEAR(O895)-YEAR(N895))*12+MONTH(O895)-MONTH(N895)+1))</f>
        <v/>
      </c>
      <c r="Q895">
        <f>IF(G895="",0,G895/P895)</f>
        <v/>
      </c>
      <c r="R895">
        <f>IF(H895="",0,H895/P895)</f>
        <v/>
      </c>
    </row>
    <row r="896">
      <c r="A896" s="43" t="n"/>
      <c r="B896" s="28" t="n"/>
      <c r="C896" s="28" t="n"/>
      <c r="D896" s="28" t="n"/>
      <c r="E896" s="44" t="n"/>
      <c r="F896" s="44" t="n"/>
      <c r="G896" s="23" t="n"/>
      <c r="H896" s="23" t="n"/>
      <c r="I896" s="23" t="n"/>
      <c r="J896" s="23" t="n"/>
      <c r="K896" s="45">
        <f>IF(A896="","",SUM(G$2:I896)-SUM(J$2:J896))</f>
        <v/>
      </c>
      <c r="L896" s="46" t="n"/>
      <c r="M896">
        <f>IF(A896="","",IF(A896=A895,M895,N(M895)+1))</f>
        <v/>
      </c>
      <c r="N896">
        <f>IF(E896="",99999,E896)</f>
        <v/>
      </c>
      <c r="O896">
        <f>IF(E896="",0,IF(F896="",E896,F896))</f>
        <v/>
      </c>
      <c r="P896">
        <f>IF(E896="",1,MAX(1,(YEAR(O896)-YEAR(N896))*12+MONTH(O896)-MONTH(N896)+1))</f>
        <v/>
      </c>
      <c r="Q896">
        <f>IF(G896="",0,G896/P896)</f>
        <v/>
      </c>
      <c r="R896">
        <f>IF(H896="",0,H896/P896)</f>
        <v/>
      </c>
    </row>
    <row r="897">
      <c r="A897" s="43" t="n"/>
      <c r="B897" s="28" t="n"/>
      <c r="C897" s="28" t="n"/>
      <c r="D897" s="28" t="n"/>
      <c r="E897" s="44" t="n"/>
      <c r="F897" s="44" t="n"/>
      <c r="G897" s="23" t="n"/>
      <c r="H897" s="23" t="n"/>
      <c r="I897" s="23" t="n"/>
      <c r="J897" s="23" t="n"/>
      <c r="K897" s="45">
        <f>IF(A897="","",SUM(G$2:I897)-SUM(J$2:J897))</f>
        <v/>
      </c>
      <c r="L897" s="46" t="n"/>
      <c r="M897">
        <f>IF(A897="","",IF(A897=A896,M896,N(M896)+1))</f>
        <v/>
      </c>
      <c r="N897">
        <f>IF(E897="",99999,E897)</f>
        <v/>
      </c>
      <c r="O897">
        <f>IF(E897="",0,IF(F897="",E897,F897))</f>
        <v/>
      </c>
      <c r="P897">
        <f>IF(E897="",1,MAX(1,(YEAR(O897)-YEAR(N897))*12+MONTH(O897)-MONTH(N897)+1))</f>
        <v/>
      </c>
      <c r="Q897">
        <f>IF(G897="",0,G897/P897)</f>
        <v/>
      </c>
      <c r="R897">
        <f>IF(H897="",0,H897/P897)</f>
        <v/>
      </c>
    </row>
    <row r="898">
      <c r="A898" s="43" t="n"/>
      <c r="B898" s="28" t="n"/>
      <c r="C898" s="28" t="n"/>
      <c r="D898" s="28" t="n"/>
      <c r="E898" s="44" t="n"/>
      <c r="F898" s="44" t="n"/>
      <c r="G898" s="23" t="n"/>
      <c r="H898" s="23" t="n"/>
      <c r="I898" s="23" t="n"/>
      <c r="J898" s="23" t="n"/>
      <c r="K898" s="45">
        <f>IF(A898="","",SUM(G$2:I898)-SUM(J$2:J898))</f>
        <v/>
      </c>
      <c r="L898" s="46" t="n"/>
      <c r="M898">
        <f>IF(A898="","",IF(A898=A897,M897,N(M897)+1))</f>
        <v/>
      </c>
      <c r="N898">
        <f>IF(E898="",99999,E898)</f>
        <v/>
      </c>
      <c r="O898">
        <f>IF(E898="",0,IF(F898="",E898,F898))</f>
        <v/>
      </c>
      <c r="P898">
        <f>IF(E898="",1,MAX(1,(YEAR(O898)-YEAR(N898))*12+MONTH(O898)-MONTH(N898)+1))</f>
        <v/>
      </c>
      <c r="Q898">
        <f>IF(G898="",0,G898/P898)</f>
        <v/>
      </c>
      <c r="R898">
        <f>IF(H898="",0,H898/P898)</f>
        <v/>
      </c>
    </row>
    <row r="899">
      <c r="A899" s="43" t="n"/>
      <c r="B899" s="28" t="n"/>
      <c r="C899" s="28" t="n"/>
      <c r="D899" s="28" t="n"/>
      <c r="E899" s="44" t="n"/>
      <c r="F899" s="44" t="n"/>
      <c r="G899" s="23" t="n"/>
      <c r="H899" s="23" t="n"/>
      <c r="I899" s="23" t="n"/>
      <c r="J899" s="23" t="n"/>
      <c r="K899" s="45">
        <f>IF(A899="","",SUM(G$2:I899)-SUM(J$2:J899))</f>
        <v/>
      </c>
      <c r="L899" s="46" t="n"/>
      <c r="M899">
        <f>IF(A899="","",IF(A899=A898,M898,N(M898)+1))</f>
        <v/>
      </c>
      <c r="N899">
        <f>IF(E899="",99999,E899)</f>
        <v/>
      </c>
      <c r="O899">
        <f>IF(E899="",0,IF(F899="",E899,F899))</f>
        <v/>
      </c>
      <c r="P899">
        <f>IF(E899="",1,MAX(1,(YEAR(O899)-YEAR(N899))*12+MONTH(O899)-MONTH(N899)+1))</f>
        <v/>
      </c>
      <c r="Q899">
        <f>IF(G899="",0,G899/P899)</f>
        <v/>
      </c>
      <c r="R899">
        <f>IF(H899="",0,H899/P899)</f>
        <v/>
      </c>
    </row>
    <row r="900">
      <c r="A900" s="43" t="n"/>
      <c r="B900" s="28" t="n"/>
      <c r="C900" s="28" t="n"/>
      <c r="D900" s="28" t="n"/>
      <c r="E900" s="44" t="n"/>
      <c r="F900" s="44" t="n"/>
      <c r="G900" s="23" t="n"/>
      <c r="H900" s="23" t="n"/>
      <c r="I900" s="23" t="n"/>
      <c r="J900" s="23" t="n"/>
      <c r="K900" s="45">
        <f>IF(A900="","",SUM(G$2:I900)-SUM(J$2:J900))</f>
        <v/>
      </c>
      <c r="L900" s="46" t="n"/>
      <c r="M900">
        <f>IF(A900="","",IF(A900=A899,M899,N(M899)+1))</f>
        <v/>
      </c>
      <c r="N900">
        <f>IF(E900="",99999,E900)</f>
        <v/>
      </c>
      <c r="O900">
        <f>IF(E900="",0,IF(F900="",E900,F900))</f>
        <v/>
      </c>
      <c r="P900">
        <f>IF(E900="",1,MAX(1,(YEAR(O900)-YEAR(N900))*12+MONTH(O900)-MONTH(N900)+1))</f>
        <v/>
      </c>
      <c r="Q900">
        <f>IF(G900="",0,G900/P900)</f>
        <v/>
      </c>
      <c r="R900">
        <f>IF(H900="",0,H900/P900)</f>
        <v/>
      </c>
    </row>
    <row r="901">
      <c r="A901" s="43" t="n"/>
      <c r="B901" s="28" t="n"/>
      <c r="C901" s="28" t="n"/>
      <c r="D901" s="28" t="n"/>
      <c r="E901" s="44" t="n"/>
      <c r="F901" s="44" t="n"/>
      <c r="G901" s="23" t="n"/>
      <c r="H901" s="23" t="n"/>
      <c r="I901" s="23" t="n"/>
      <c r="J901" s="23" t="n"/>
      <c r="K901" s="45">
        <f>IF(A901="","",SUM(G$2:I901)-SUM(J$2:J901))</f>
        <v/>
      </c>
      <c r="L901" s="46" t="n"/>
      <c r="M901">
        <f>IF(A901="","",IF(A901=A900,M900,N(M900)+1))</f>
        <v/>
      </c>
      <c r="N901">
        <f>IF(E901="",99999,E901)</f>
        <v/>
      </c>
      <c r="O901">
        <f>IF(E901="",0,IF(F901="",E901,F901))</f>
        <v/>
      </c>
      <c r="P901">
        <f>IF(E901="",1,MAX(1,(YEAR(O901)-YEAR(N901))*12+MONTH(O901)-MONTH(N901)+1))</f>
        <v/>
      </c>
      <c r="Q901">
        <f>IF(G901="",0,G901/P901)</f>
        <v/>
      </c>
      <c r="R901">
        <f>IF(H901="",0,H901/P901)</f>
        <v/>
      </c>
    </row>
    <row r="902">
      <c r="A902" s="43" t="n"/>
      <c r="B902" s="28" t="n"/>
      <c r="C902" s="28" t="n"/>
      <c r="D902" s="28" t="n"/>
      <c r="E902" s="44" t="n"/>
      <c r="F902" s="44" t="n"/>
      <c r="G902" s="23" t="n"/>
      <c r="H902" s="23" t="n"/>
      <c r="I902" s="23" t="n"/>
      <c r="J902" s="23" t="n"/>
      <c r="K902" s="45">
        <f>IF(A902="","",SUM(G$2:I902)-SUM(J$2:J902))</f>
        <v/>
      </c>
      <c r="L902" s="46" t="n"/>
      <c r="M902">
        <f>IF(A902="","",IF(A902=A901,M901,N(M901)+1))</f>
        <v/>
      </c>
      <c r="N902">
        <f>IF(E902="",99999,E902)</f>
        <v/>
      </c>
      <c r="O902">
        <f>IF(E902="",0,IF(F902="",E902,F902))</f>
        <v/>
      </c>
      <c r="P902">
        <f>IF(E902="",1,MAX(1,(YEAR(O902)-YEAR(N902))*12+MONTH(O902)-MONTH(N902)+1))</f>
        <v/>
      </c>
      <c r="Q902">
        <f>IF(G902="",0,G902/P902)</f>
        <v/>
      </c>
      <c r="R902">
        <f>IF(H902="",0,H902/P902)</f>
        <v/>
      </c>
    </row>
    <row r="903">
      <c r="A903" s="43" t="n"/>
      <c r="B903" s="28" t="n"/>
      <c r="C903" s="28" t="n"/>
      <c r="D903" s="28" t="n"/>
      <c r="E903" s="44" t="n"/>
      <c r="F903" s="44" t="n"/>
      <c r="G903" s="23" t="n"/>
      <c r="H903" s="23" t="n"/>
      <c r="I903" s="23" t="n"/>
      <c r="J903" s="23" t="n"/>
      <c r="K903" s="45">
        <f>IF(A903="","",SUM(G$2:I903)-SUM(J$2:J903))</f>
        <v/>
      </c>
      <c r="L903" s="46" t="n"/>
      <c r="M903">
        <f>IF(A903="","",IF(A903=A902,M902,N(M902)+1))</f>
        <v/>
      </c>
      <c r="N903">
        <f>IF(E903="",99999,E903)</f>
        <v/>
      </c>
      <c r="O903">
        <f>IF(E903="",0,IF(F903="",E903,F903))</f>
        <v/>
      </c>
      <c r="P903">
        <f>IF(E903="",1,MAX(1,(YEAR(O903)-YEAR(N903))*12+MONTH(O903)-MONTH(N903)+1))</f>
        <v/>
      </c>
      <c r="Q903">
        <f>IF(G903="",0,G903/P903)</f>
        <v/>
      </c>
      <c r="R903">
        <f>IF(H903="",0,H903/P903)</f>
        <v/>
      </c>
    </row>
    <row r="904">
      <c r="A904" s="43" t="n"/>
      <c r="B904" s="28" t="n"/>
      <c r="C904" s="28" t="n"/>
      <c r="D904" s="28" t="n"/>
      <c r="E904" s="44" t="n"/>
      <c r="F904" s="44" t="n"/>
      <c r="G904" s="23" t="n"/>
      <c r="H904" s="23" t="n"/>
      <c r="I904" s="23" t="n"/>
      <c r="J904" s="23" t="n"/>
      <c r="K904" s="45">
        <f>IF(A904="","",SUM(G$2:I904)-SUM(J$2:J904))</f>
        <v/>
      </c>
      <c r="L904" s="46" t="n"/>
      <c r="M904">
        <f>IF(A904="","",IF(A904=A903,M903,N(M903)+1))</f>
        <v/>
      </c>
      <c r="N904">
        <f>IF(E904="",99999,E904)</f>
        <v/>
      </c>
      <c r="O904">
        <f>IF(E904="",0,IF(F904="",E904,F904))</f>
        <v/>
      </c>
      <c r="P904">
        <f>IF(E904="",1,MAX(1,(YEAR(O904)-YEAR(N904))*12+MONTH(O904)-MONTH(N904)+1))</f>
        <v/>
      </c>
      <c r="Q904">
        <f>IF(G904="",0,G904/P904)</f>
        <v/>
      </c>
      <c r="R904">
        <f>IF(H904="",0,H904/P904)</f>
        <v/>
      </c>
    </row>
    <row r="905">
      <c r="A905" s="43" t="n"/>
      <c r="B905" s="28" t="n"/>
      <c r="C905" s="28" t="n"/>
      <c r="D905" s="28" t="n"/>
      <c r="E905" s="44" t="n"/>
      <c r="F905" s="44" t="n"/>
      <c r="G905" s="23" t="n"/>
      <c r="H905" s="23" t="n"/>
      <c r="I905" s="23" t="n"/>
      <c r="J905" s="23" t="n"/>
      <c r="K905" s="45">
        <f>IF(A905="","",SUM(G$2:I905)-SUM(J$2:J905))</f>
        <v/>
      </c>
      <c r="L905" s="46" t="n"/>
      <c r="M905">
        <f>IF(A905="","",IF(A905=A904,M904,N(M904)+1))</f>
        <v/>
      </c>
      <c r="N905">
        <f>IF(E905="",99999,E905)</f>
        <v/>
      </c>
      <c r="O905">
        <f>IF(E905="",0,IF(F905="",E905,F905))</f>
        <v/>
      </c>
      <c r="P905">
        <f>IF(E905="",1,MAX(1,(YEAR(O905)-YEAR(N905))*12+MONTH(O905)-MONTH(N905)+1))</f>
        <v/>
      </c>
      <c r="Q905">
        <f>IF(G905="",0,G905/P905)</f>
        <v/>
      </c>
      <c r="R905">
        <f>IF(H905="",0,H905/P905)</f>
        <v/>
      </c>
    </row>
    <row r="906">
      <c r="A906" s="43" t="n"/>
      <c r="B906" s="28" t="n"/>
      <c r="C906" s="28" t="n"/>
      <c r="D906" s="28" t="n"/>
      <c r="E906" s="44" t="n"/>
      <c r="F906" s="44" t="n"/>
      <c r="G906" s="23" t="n"/>
      <c r="H906" s="23" t="n"/>
      <c r="I906" s="23" t="n"/>
      <c r="J906" s="23" t="n"/>
      <c r="K906" s="45">
        <f>IF(A906="","",SUM(G$2:I906)-SUM(J$2:J906))</f>
        <v/>
      </c>
      <c r="L906" s="46" t="n"/>
      <c r="M906">
        <f>IF(A906="","",IF(A906=A905,M905,N(M905)+1))</f>
        <v/>
      </c>
      <c r="N906">
        <f>IF(E906="",99999,E906)</f>
        <v/>
      </c>
      <c r="O906">
        <f>IF(E906="",0,IF(F906="",E906,F906))</f>
        <v/>
      </c>
      <c r="P906">
        <f>IF(E906="",1,MAX(1,(YEAR(O906)-YEAR(N906))*12+MONTH(O906)-MONTH(N906)+1))</f>
        <v/>
      </c>
      <c r="Q906">
        <f>IF(G906="",0,G906/P906)</f>
        <v/>
      </c>
      <c r="R906">
        <f>IF(H906="",0,H906/P906)</f>
        <v/>
      </c>
    </row>
    <row r="907">
      <c r="A907" s="43" t="n"/>
      <c r="B907" s="28" t="n"/>
      <c r="C907" s="28" t="n"/>
      <c r="D907" s="28" t="n"/>
      <c r="E907" s="44" t="n"/>
      <c r="F907" s="44" t="n"/>
      <c r="G907" s="23" t="n"/>
      <c r="H907" s="23" t="n"/>
      <c r="I907" s="23" t="n"/>
      <c r="J907" s="23" t="n"/>
      <c r="K907" s="45">
        <f>IF(A907="","",SUM(G$2:I907)-SUM(J$2:J907))</f>
        <v/>
      </c>
      <c r="L907" s="46" t="n"/>
      <c r="M907">
        <f>IF(A907="","",IF(A907=A906,M906,N(M906)+1))</f>
        <v/>
      </c>
      <c r="N907">
        <f>IF(E907="",99999,E907)</f>
        <v/>
      </c>
      <c r="O907">
        <f>IF(E907="",0,IF(F907="",E907,F907))</f>
        <v/>
      </c>
      <c r="P907">
        <f>IF(E907="",1,MAX(1,(YEAR(O907)-YEAR(N907))*12+MONTH(O907)-MONTH(N907)+1))</f>
        <v/>
      </c>
      <c r="Q907">
        <f>IF(G907="",0,G907/P907)</f>
        <v/>
      </c>
      <c r="R907">
        <f>IF(H907="",0,H907/P907)</f>
        <v/>
      </c>
    </row>
    <row r="908">
      <c r="A908" s="43" t="n"/>
      <c r="B908" s="28" t="n"/>
      <c r="C908" s="28" t="n"/>
      <c r="D908" s="28" t="n"/>
      <c r="E908" s="44" t="n"/>
      <c r="F908" s="44" t="n"/>
      <c r="G908" s="23" t="n"/>
      <c r="H908" s="23" t="n"/>
      <c r="I908" s="23" t="n"/>
      <c r="J908" s="23" t="n"/>
      <c r="K908" s="45">
        <f>IF(A908="","",SUM(G$2:I908)-SUM(J$2:J908))</f>
        <v/>
      </c>
      <c r="L908" s="46" t="n"/>
      <c r="M908">
        <f>IF(A908="","",IF(A908=A907,M907,N(M907)+1))</f>
        <v/>
      </c>
      <c r="N908">
        <f>IF(E908="",99999,E908)</f>
        <v/>
      </c>
      <c r="O908">
        <f>IF(E908="",0,IF(F908="",E908,F908))</f>
        <v/>
      </c>
      <c r="P908">
        <f>IF(E908="",1,MAX(1,(YEAR(O908)-YEAR(N908))*12+MONTH(O908)-MONTH(N908)+1))</f>
        <v/>
      </c>
      <c r="Q908">
        <f>IF(G908="",0,G908/P908)</f>
        <v/>
      </c>
      <c r="R908">
        <f>IF(H908="",0,H908/P908)</f>
        <v/>
      </c>
    </row>
    <row r="909">
      <c r="A909" s="43" t="n"/>
      <c r="B909" s="28" t="n"/>
      <c r="C909" s="28" t="n"/>
      <c r="D909" s="28" t="n"/>
      <c r="E909" s="44" t="n"/>
      <c r="F909" s="44" t="n"/>
      <c r="G909" s="23" t="n"/>
      <c r="H909" s="23" t="n"/>
      <c r="I909" s="23" t="n"/>
      <c r="J909" s="23" t="n"/>
      <c r="K909" s="45">
        <f>IF(A909="","",SUM(G$2:I909)-SUM(J$2:J909))</f>
        <v/>
      </c>
      <c r="L909" s="46" t="n"/>
      <c r="M909">
        <f>IF(A909="","",IF(A909=A908,M908,N(M908)+1))</f>
        <v/>
      </c>
      <c r="N909">
        <f>IF(E909="",99999,E909)</f>
        <v/>
      </c>
      <c r="O909">
        <f>IF(E909="",0,IF(F909="",E909,F909))</f>
        <v/>
      </c>
      <c r="P909">
        <f>IF(E909="",1,MAX(1,(YEAR(O909)-YEAR(N909))*12+MONTH(O909)-MONTH(N909)+1))</f>
        <v/>
      </c>
      <c r="Q909">
        <f>IF(G909="",0,G909/P909)</f>
        <v/>
      </c>
      <c r="R909">
        <f>IF(H909="",0,H909/P909)</f>
        <v/>
      </c>
    </row>
    <row r="910">
      <c r="A910" s="43" t="n"/>
      <c r="B910" s="28" t="n"/>
      <c r="C910" s="28" t="n"/>
      <c r="D910" s="28" t="n"/>
      <c r="E910" s="44" t="n"/>
      <c r="F910" s="44" t="n"/>
      <c r="G910" s="23" t="n"/>
      <c r="H910" s="23" t="n"/>
      <c r="I910" s="23" t="n"/>
      <c r="J910" s="23" t="n"/>
      <c r="K910" s="45">
        <f>IF(A910="","",SUM(G$2:I910)-SUM(J$2:J910))</f>
        <v/>
      </c>
      <c r="L910" s="46" t="n"/>
      <c r="M910">
        <f>IF(A910="","",IF(A910=A909,M909,N(M909)+1))</f>
        <v/>
      </c>
      <c r="N910">
        <f>IF(E910="",99999,E910)</f>
        <v/>
      </c>
      <c r="O910">
        <f>IF(E910="",0,IF(F910="",E910,F910))</f>
        <v/>
      </c>
      <c r="P910">
        <f>IF(E910="",1,MAX(1,(YEAR(O910)-YEAR(N910))*12+MONTH(O910)-MONTH(N910)+1))</f>
        <v/>
      </c>
      <c r="Q910">
        <f>IF(G910="",0,G910/P910)</f>
        <v/>
      </c>
      <c r="R910">
        <f>IF(H910="",0,H910/P910)</f>
        <v/>
      </c>
    </row>
    <row r="911">
      <c r="A911" s="43" t="n"/>
      <c r="B911" s="28" t="n"/>
      <c r="C911" s="28" t="n"/>
      <c r="D911" s="28" t="n"/>
      <c r="E911" s="44" t="n"/>
      <c r="F911" s="44" t="n"/>
      <c r="G911" s="23" t="n"/>
      <c r="H911" s="23" t="n"/>
      <c r="I911" s="23" t="n"/>
      <c r="J911" s="23" t="n"/>
      <c r="K911" s="45">
        <f>IF(A911="","",SUM(G$2:I911)-SUM(J$2:J911))</f>
        <v/>
      </c>
      <c r="L911" s="46" t="n"/>
      <c r="M911">
        <f>IF(A911="","",IF(A911=A910,M910,N(M910)+1))</f>
        <v/>
      </c>
      <c r="N911">
        <f>IF(E911="",99999,E911)</f>
        <v/>
      </c>
      <c r="O911">
        <f>IF(E911="",0,IF(F911="",E911,F911))</f>
        <v/>
      </c>
      <c r="P911">
        <f>IF(E911="",1,MAX(1,(YEAR(O911)-YEAR(N911))*12+MONTH(O911)-MONTH(N911)+1))</f>
        <v/>
      </c>
      <c r="Q911">
        <f>IF(G911="",0,G911/P911)</f>
        <v/>
      </c>
      <c r="R911">
        <f>IF(H911="",0,H911/P911)</f>
        <v/>
      </c>
    </row>
    <row r="912">
      <c r="A912" s="43" t="n"/>
      <c r="B912" s="28" t="n"/>
      <c r="C912" s="28" t="n"/>
      <c r="D912" s="28" t="n"/>
      <c r="E912" s="44" t="n"/>
      <c r="F912" s="44" t="n"/>
      <c r="G912" s="23" t="n"/>
      <c r="H912" s="23" t="n"/>
      <c r="I912" s="23" t="n"/>
      <c r="J912" s="23" t="n"/>
      <c r="K912" s="45">
        <f>IF(A912="","",SUM(G$2:I912)-SUM(J$2:J912))</f>
        <v/>
      </c>
      <c r="L912" s="46" t="n"/>
      <c r="M912">
        <f>IF(A912="","",IF(A912=A911,M911,N(M911)+1))</f>
        <v/>
      </c>
      <c r="N912">
        <f>IF(E912="",99999,E912)</f>
        <v/>
      </c>
      <c r="O912">
        <f>IF(E912="",0,IF(F912="",E912,F912))</f>
        <v/>
      </c>
      <c r="P912">
        <f>IF(E912="",1,MAX(1,(YEAR(O912)-YEAR(N912))*12+MONTH(O912)-MONTH(N912)+1))</f>
        <v/>
      </c>
      <c r="Q912">
        <f>IF(G912="",0,G912/P912)</f>
        <v/>
      </c>
      <c r="R912">
        <f>IF(H912="",0,H912/P912)</f>
        <v/>
      </c>
    </row>
    <row r="913">
      <c r="A913" s="43" t="n"/>
      <c r="B913" s="28" t="n"/>
      <c r="C913" s="28" t="n"/>
      <c r="D913" s="28" t="n"/>
      <c r="E913" s="44" t="n"/>
      <c r="F913" s="44" t="n"/>
      <c r="G913" s="23" t="n"/>
      <c r="H913" s="23" t="n"/>
      <c r="I913" s="23" t="n"/>
      <c r="J913" s="23" t="n"/>
      <c r="K913" s="45">
        <f>IF(A913="","",SUM(G$2:I913)-SUM(J$2:J913))</f>
        <v/>
      </c>
      <c r="L913" s="46" t="n"/>
      <c r="M913">
        <f>IF(A913="","",IF(A913=A912,M912,N(M912)+1))</f>
        <v/>
      </c>
      <c r="N913">
        <f>IF(E913="",99999,E913)</f>
        <v/>
      </c>
      <c r="O913">
        <f>IF(E913="",0,IF(F913="",E913,F913))</f>
        <v/>
      </c>
      <c r="P913">
        <f>IF(E913="",1,MAX(1,(YEAR(O913)-YEAR(N913))*12+MONTH(O913)-MONTH(N913)+1))</f>
        <v/>
      </c>
      <c r="Q913">
        <f>IF(G913="",0,G913/P913)</f>
        <v/>
      </c>
      <c r="R913">
        <f>IF(H913="",0,H913/P913)</f>
        <v/>
      </c>
    </row>
    <row r="914">
      <c r="A914" s="43" t="n"/>
      <c r="B914" s="28" t="n"/>
      <c r="C914" s="28" t="n"/>
      <c r="D914" s="28" t="n"/>
      <c r="E914" s="44" t="n"/>
      <c r="F914" s="44" t="n"/>
      <c r="G914" s="23" t="n"/>
      <c r="H914" s="23" t="n"/>
      <c r="I914" s="23" t="n"/>
      <c r="J914" s="23" t="n"/>
      <c r="K914" s="45">
        <f>IF(A914="","",SUM(G$2:I914)-SUM(J$2:J914))</f>
        <v/>
      </c>
      <c r="L914" s="46" t="n"/>
      <c r="M914">
        <f>IF(A914="","",IF(A914=A913,M913,N(M913)+1))</f>
        <v/>
      </c>
      <c r="N914">
        <f>IF(E914="",99999,E914)</f>
        <v/>
      </c>
      <c r="O914">
        <f>IF(E914="",0,IF(F914="",E914,F914))</f>
        <v/>
      </c>
      <c r="P914">
        <f>IF(E914="",1,MAX(1,(YEAR(O914)-YEAR(N914))*12+MONTH(O914)-MONTH(N914)+1))</f>
        <v/>
      </c>
      <c r="Q914">
        <f>IF(G914="",0,G914/P914)</f>
        <v/>
      </c>
      <c r="R914">
        <f>IF(H914="",0,H914/P914)</f>
        <v/>
      </c>
    </row>
    <row r="915">
      <c r="A915" s="43" t="n"/>
      <c r="B915" s="28" t="n"/>
      <c r="C915" s="28" t="n"/>
      <c r="D915" s="28" t="n"/>
      <c r="E915" s="44" t="n"/>
      <c r="F915" s="44" t="n"/>
      <c r="G915" s="23" t="n"/>
      <c r="H915" s="23" t="n"/>
      <c r="I915" s="23" t="n"/>
      <c r="J915" s="23" t="n"/>
      <c r="K915" s="45">
        <f>IF(A915="","",SUM(G$2:I915)-SUM(J$2:J915))</f>
        <v/>
      </c>
      <c r="L915" s="46" t="n"/>
      <c r="M915">
        <f>IF(A915="","",IF(A915=A914,M914,N(M914)+1))</f>
        <v/>
      </c>
      <c r="N915">
        <f>IF(E915="",99999,E915)</f>
        <v/>
      </c>
      <c r="O915">
        <f>IF(E915="",0,IF(F915="",E915,F915))</f>
        <v/>
      </c>
      <c r="P915">
        <f>IF(E915="",1,MAX(1,(YEAR(O915)-YEAR(N915))*12+MONTH(O915)-MONTH(N915)+1))</f>
        <v/>
      </c>
      <c r="Q915">
        <f>IF(G915="",0,G915/P915)</f>
        <v/>
      </c>
      <c r="R915">
        <f>IF(H915="",0,H915/P915)</f>
        <v/>
      </c>
    </row>
    <row r="916">
      <c r="A916" s="43" t="n"/>
      <c r="B916" s="28" t="n"/>
      <c r="C916" s="28" t="n"/>
      <c r="D916" s="28" t="n"/>
      <c r="E916" s="44" t="n"/>
      <c r="F916" s="44" t="n"/>
      <c r="G916" s="23" t="n"/>
      <c r="H916" s="23" t="n"/>
      <c r="I916" s="23" t="n"/>
      <c r="J916" s="23" t="n"/>
      <c r="K916" s="45">
        <f>IF(A916="","",SUM(G$2:I916)-SUM(J$2:J916))</f>
        <v/>
      </c>
      <c r="L916" s="46" t="n"/>
      <c r="M916">
        <f>IF(A916="","",IF(A916=A915,M915,N(M915)+1))</f>
        <v/>
      </c>
      <c r="N916">
        <f>IF(E916="",99999,E916)</f>
        <v/>
      </c>
      <c r="O916">
        <f>IF(E916="",0,IF(F916="",E916,F916))</f>
        <v/>
      </c>
      <c r="P916">
        <f>IF(E916="",1,MAX(1,(YEAR(O916)-YEAR(N916))*12+MONTH(O916)-MONTH(N916)+1))</f>
        <v/>
      </c>
      <c r="Q916">
        <f>IF(G916="",0,G916/P916)</f>
        <v/>
      </c>
      <c r="R916">
        <f>IF(H916="",0,H916/P916)</f>
        <v/>
      </c>
    </row>
    <row r="917">
      <c r="A917" s="43" t="n"/>
      <c r="B917" s="28" t="n"/>
      <c r="C917" s="28" t="n"/>
      <c r="D917" s="28" t="n"/>
      <c r="E917" s="44" t="n"/>
      <c r="F917" s="44" t="n"/>
      <c r="G917" s="23" t="n"/>
      <c r="H917" s="23" t="n"/>
      <c r="I917" s="23" t="n"/>
      <c r="J917" s="23" t="n"/>
      <c r="K917" s="45">
        <f>IF(A917="","",SUM(G$2:I917)-SUM(J$2:J917))</f>
        <v/>
      </c>
      <c r="L917" s="46" t="n"/>
      <c r="M917">
        <f>IF(A917="","",IF(A917=A916,M916,N(M916)+1))</f>
        <v/>
      </c>
      <c r="N917">
        <f>IF(E917="",99999,E917)</f>
        <v/>
      </c>
      <c r="O917">
        <f>IF(E917="",0,IF(F917="",E917,F917))</f>
        <v/>
      </c>
      <c r="P917">
        <f>IF(E917="",1,MAX(1,(YEAR(O917)-YEAR(N917))*12+MONTH(O917)-MONTH(N917)+1))</f>
        <v/>
      </c>
      <c r="Q917">
        <f>IF(G917="",0,G917/P917)</f>
        <v/>
      </c>
      <c r="R917">
        <f>IF(H917="",0,H917/P917)</f>
        <v/>
      </c>
    </row>
    <row r="918">
      <c r="A918" s="43" t="n"/>
      <c r="B918" s="28" t="n"/>
      <c r="C918" s="28" t="n"/>
      <c r="D918" s="28" t="n"/>
      <c r="E918" s="44" t="n"/>
      <c r="F918" s="44" t="n"/>
      <c r="G918" s="23" t="n"/>
      <c r="H918" s="23" t="n"/>
      <c r="I918" s="23" t="n"/>
      <c r="J918" s="23" t="n"/>
      <c r="K918" s="45">
        <f>IF(A918="","",SUM(G$2:I918)-SUM(J$2:J918))</f>
        <v/>
      </c>
      <c r="L918" s="46" t="n"/>
      <c r="M918">
        <f>IF(A918="","",IF(A918=A917,M917,N(M917)+1))</f>
        <v/>
      </c>
      <c r="N918">
        <f>IF(E918="",99999,E918)</f>
        <v/>
      </c>
      <c r="O918">
        <f>IF(E918="",0,IF(F918="",E918,F918))</f>
        <v/>
      </c>
      <c r="P918">
        <f>IF(E918="",1,MAX(1,(YEAR(O918)-YEAR(N918))*12+MONTH(O918)-MONTH(N918)+1))</f>
        <v/>
      </c>
      <c r="Q918">
        <f>IF(G918="",0,G918/P918)</f>
        <v/>
      </c>
      <c r="R918">
        <f>IF(H918="",0,H918/P918)</f>
        <v/>
      </c>
    </row>
    <row r="919">
      <c r="A919" s="43" t="n"/>
      <c r="B919" s="28" t="n"/>
      <c r="C919" s="28" t="n"/>
      <c r="D919" s="28" t="n"/>
      <c r="E919" s="44" t="n"/>
      <c r="F919" s="44" t="n"/>
      <c r="G919" s="23" t="n"/>
      <c r="H919" s="23" t="n"/>
      <c r="I919" s="23" t="n"/>
      <c r="J919" s="23" t="n"/>
      <c r="K919" s="45">
        <f>IF(A919="","",SUM(G$2:I919)-SUM(J$2:J919))</f>
        <v/>
      </c>
      <c r="L919" s="46" t="n"/>
      <c r="M919">
        <f>IF(A919="","",IF(A919=A918,M918,N(M918)+1))</f>
        <v/>
      </c>
      <c r="N919">
        <f>IF(E919="",99999,E919)</f>
        <v/>
      </c>
      <c r="O919">
        <f>IF(E919="",0,IF(F919="",E919,F919))</f>
        <v/>
      </c>
      <c r="P919">
        <f>IF(E919="",1,MAX(1,(YEAR(O919)-YEAR(N919))*12+MONTH(O919)-MONTH(N919)+1))</f>
        <v/>
      </c>
      <c r="Q919">
        <f>IF(G919="",0,G919/P919)</f>
        <v/>
      </c>
      <c r="R919">
        <f>IF(H919="",0,H919/P919)</f>
        <v/>
      </c>
    </row>
    <row r="920">
      <c r="A920" s="43" t="n"/>
      <c r="B920" s="28" t="n"/>
      <c r="C920" s="28" t="n"/>
      <c r="D920" s="28" t="n"/>
      <c r="E920" s="44" t="n"/>
      <c r="F920" s="44" t="n"/>
      <c r="G920" s="23" t="n"/>
      <c r="H920" s="23" t="n"/>
      <c r="I920" s="23" t="n"/>
      <c r="J920" s="23" t="n"/>
      <c r="K920" s="45">
        <f>IF(A920="","",SUM(G$2:I920)-SUM(J$2:J920))</f>
        <v/>
      </c>
      <c r="L920" s="46" t="n"/>
      <c r="M920">
        <f>IF(A920="","",IF(A920=A919,M919,N(M919)+1))</f>
        <v/>
      </c>
      <c r="N920">
        <f>IF(E920="",99999,E920)</f>
        <v/>
      </c>
      <c r="O920">
        <f>IF(E920="",0,IF(F920="",E920,F920))</f>
        <v/>
      </c>
      <c r="P920">
        <f>IF(E920="",1,MAX(1,(YEAR(O920)-YEAR(N920))*12+MONTH(O920)-MONTH(N920)+1))</f>
        <v/>
      </c>
      <c r="Q920">
        <f>IF(G920="",0,G920/P920)</f>
        <v/>
      </c>
      <c r="R920">
        <f>IF(H920="",0,H920/P920)</f>
        <v/>
      </c>
    </row>
    <row r="921">
      <c r="A921" s="43" t="n"/>
      <c r="B921" s="28" t="n"/>
      <c r="C921" s="28" t="n"/>
      <c r="D921" s="28" t="n"/>
      <c r="E921" s="44" t="n"/>
      <c r="F921" s="44" t="n"/>
      <c r="G921" s="23" t="n"/>
      <c r="H921" s="23" t="n"/>
      <c r="I921" s="23" t="n"/>
      <c r="J921" s="23" t="n"/>
      <c r="K921" s="45">
        <f>IF(A921="","",SUM(G$2:I921)-SUM(J$2:J921))</f>
        <v/>
      </c>
      <c r="L921" s="46" t="n"/>
      <c r="M921">
        <f>IF(A921="","",IF(A921=A920,M920,N(M920)+1))</f>
        <v/>
      </c>
      <c r="N921">
        <f>IF(E921="",99999,E921)</f>
        <v/>
      </c>
      <c r="O921">
        <f>IF(E921="",0,IF(F921="",E921,F921))</f>
        <v/>
      </c>
      <c r="P921">
        <f>IF(E921="",1,MAX(1,(YEAR(O921)-YEAR(N921))*12+MONTH(O921)-MONTH(N921)+1))</f>
        <v/>
      </c>
      <c r="Q921">
        <f>IF(G921="",0,G921/P921)</f>
        <v/>
      </c>
      <c r="R921">
        <f>IF(H921="",0,H921/P921)</f>
        <v/>
      </c>
    </row>
    <row r="922">
      <c r="A922" s="43" t="n"/>
      <c r="B922" s="28" t="n"/>
      <c r="C922" s="28" t="n"/>
      <c r="D922" s="28" t="n"/>
      <c r="E922" s="44" t="n"/>
      <c r="F922" s="44" t="n"/>
      <c r="G922" s="23" t="n"/>
      <c r="H922" s="23" t="n"/>
      <c r="I922" s="23" t="n"/>
      <c r="J922" s="23" t="n"/>
      <c r="K922" s="45">
        <f>IF(A922="","",SUM(G$2:I922)-SUM(J$2:J922))</f>
        <v/>
      </c>
      <c r="L922" s="46" t="n"/>
      <c r="M922">
        <f>IF(A922="","",IF(A922=A921,M921,N(M921)+1))</f>
        <v/>
      </c>
      <c r="N922">
        <f>IF(E922="",99999,E922)</f>
        <v/>
      </c>
      <c r="O922">
        <f>IF(E922="",0,IF(F922="",E922,F922))</f>
        <v/>
      </c>
      <c r="P922">
        <f>IF(E922="",1,MAX(1,(YEAR(O922)-YEAR(N922))*12+MONTH(O922)-MONTH(N922)+1))</f>
        <v/>
      </c>
      <c r="Q922">
        <f>IF(G922="",0,G922/P922)</f>
        <v/>
      </c>
      <c r="R922">
        <f>IF(H922="",0,H922/P922)</f>
        <v/>
      </c>
    </row>
    <row r="923">
      <c r="A923" s="43" t="n"/>
      <c r="B923" s="28" t="n"/>
      <c r="C923" s="28" t="n"/>
      <c r="D923" s="28" t="n"/>
      <c r="E923" s="44" t="n"/>
      <c r="F923" s="44" t="n"/>
      <c r="G923" s="23" t="n"/>
      <c r="H923" s="23" t="n"/>
      <c r="I923" s="23" t="n"/>
      <c r="J923" s="23" t="n"/>
      <c r="K923" s="45">
        <f>IF(A923="","",SUM(G$2:I923)-SUM(J$2:J923))</f>
        <v/>
      </c>
      <c r="L923" s="46" t="n"/>
      <c r="M923">
        <f>IF(A923="","",IF(A923=A922,M922,N(M922)+1))</f>
        <v/>
      </c>
      <c r="N923">
        <f>IF(E923="",99999,E923)</f>
        <v/>
      </c>
      <c r="O923">
        <f>IF(E923="",0,IF(F923="",E923,F923))</f>
        <v/>
      </c>
      <c r="P923">
        <f>IF(E923="",1,MAX(1,(YEAR(O923)-YEAR(N923))*12+MONTH(O923)-MONTH(N923)+1))</f>
        <v/>
      </c>
      <c r="Q923">
        <f>IF(G923="",0,G923/P923)</f>
        <v/>
      </c>
      <c r="R923">
        <f>IF(H923="",0,H923/P923)</f>
        <v/>
      </c>
    </row>
    <row r="924">
      <c r="A924" s="43" t="n"/>
      <c r="B924" s="28" t="n"/>
      <c r="C924" s="28" t="n"/>
      <c r="D924" s="28" t="n"/>
      <c r="E924" s="44" t="n"/>
      <c r="F924" s="44" t="n"/>
      <c r="G924" s="23" t="n"/>
      <c r="H924" s="23" t="n"/>
      <c r="I924" s="23" t="n"/>
      <c r="J924" s="23" t="n"/>
      <c r="K924" s="45">
        <f>IF(A924="","",SUM(G$2:I924)-SUM(J$2:J924))</f>
        <v/>
      </c>
      <c r="L924" s="46" t="n"/>
      <c r="M924">
        <f>IF(A924="","",IF(A924=A923,M923,N(M923)+1))</f>
        <v/>
      </c>
      <c r="N924">
        <f>IF(E924="",99999,E924)</f>
        <v/>
      </c>
      <c r="O924">
        <f>IF(E924="",0,IF(F924="",E924,F924))</f>
        <v/>
      </c>
      <c r="P924">
        <f>IF(E924="",1,MAX(1,(YEAR(O924)-YEAR(N924))*12+MONTH(O924)-MONTH(N924)+1))</f>
        <v/>
      </c>
      <c r="Q924">
        <f>IF(G924="",0,G924/P924)</f>
        <v/>
      </c>
      <c r="R924">
        <f>IF(H924="",0,H924/P924)</f>
        <v/>
      </c>
    </row>
    <row r="925">
      <c r="A925" s="43" t="n"/>
      <c r="B925" s="28" t="n"/>
      <c r="C925" s="28" t="n"/>
      <c r="D925" s="28" t="n"/>
      <c r="E925" s="44" t="n"/>
      <c r="F925" s="44" t="n"/>
      <c r="G925" s="23" t="n"/>
      <c r="H925" s="23" t="n"/>
      <c r="I925" s="23" t="n"/>
      <c r="J925" s="23" t="n"/>
      <c r="K925" s="45">
        <f>IF(A925="","",SUM(G$2:I925)-SUM(J$2:J925))</f>
        <v/>
      </c>
      <c r="L925" s="46" t="n"/>
      <c r="M925">
        <f>IF(A925="","",IF(A925=A924,M924,N(M924)+1))</f>
        <v/>
      </c>
      <c r="N925">
        <f>IF(E925="",99999,E925)</f>
        <v/>
      </c>
      <c r="O925">
        <f>IF(E925="",0,IF(F925="",E925,F925))</f>
        <v/>
      </c>
      <c r="P925">
        <f>IF(E925="",1,MAX(1,(YEAR(O925)-YEAR(N925))*12+MONTH(O925)-MONTH(N925)+1))</f>
        <v/>
      </c>
      <c r="Q925">
        <f>IF(G925="",0,G925/P925)</f>
        <v/>
      </c>
      <c r="R925">
        <f>IF(H925="",0,H925/P925)</f>
        <v/>
      </c>
    </row>
    <row r="926">
      <c r="A926" s="43" t="n"/>
      <c r="B926" s="28" t="n"/>
      <c r="C926" s="28" t="n"/>
      <c r="D926" s="28" t="n"/>
      <c r="E926" s="44" t="n"/>
      <c r="F926" s="44" t="n"/>
      <c r="G926" s="23" t="n"/>
      <c r="H926" s="23" t="n"/>
      <c r="I926" s="23" t="n"/>
      <c r="J926" s="23" t="n"/>
      <c r="K926" s="45">
        <f>IF(A926="","",SUM(G$2:I926)-SUM(J$2:J926))</f>
        <v/>
      </c>
      <c r="L926" s="46" t="n"/>
      <c r="M926">
        <f>IF(A926="","",IF(A926=A925,M925,N(M925)+1))</f>
        <v/>
      </c>
      <c r="N926">
        <f>IF(E926="",99999,E926)</f>
        <v/>
      </c>
      <c r="O926">
        <f>IF(E926="",0,IF(F926="",E926,F926))</f>
        <v/>
      </c>
      <c r="P926">
        <f>IF(E926="",1,MAX(1,(YEAR(O926)-YEAR(N926))*12+MONTH(O926)-MONTH(N926)+1))</f>
        <v/>
      </c>
      <c r="Q926">
        <f>IF(G926="",0,G926/P926)</f>
        <v/>
      </c>
      <c r="R926">
        <f>IF(H926="",0,H926/P926)</f>
        <v/>
      </c>
    </row>
    <row r="927">
      <c r="A927" s="43" t="n"/>
      <c r="B927" s="28" t="n"/>
      <c r="C927" s="28" t="n"/>
      <c r="D927" s="28" t="n"/>
      <c r="E927" s="44" t="n"/>
      <c r="F927" s="44" t="n"/>
      <c r="G927" s="23" t="n"/>
      <c r="H927" s="23" t="n"/>
      <c r="I927" s="23" t="n"/>
      <c r="J927" s="23" t="n"/>
      <c r="K927" s="45">
        <f>IF(A927="","",SUM(G$2:I927)-SUM(J$2:J927))</f>
        <v/>
      </c>
      <c r="L927" s="46" t="n"/>
      <c r="M927">
        <f>IF(A927="","",IF(A927=A926,M926,N(M926)+1))</f>
        <v/>
      </c>
      <c r="N927">
        <f>IF(E927="",99999,E927)</f>
        <v/>
      </c>
      <c r="O927">
        <f>IF(E927="",0,IF(F927="",E927,F927))</f>
        <v/>
      </c>
      <c r="P927">
        <f>IF(E927="",1,MAX(1,(YEAR(O927)-YEAR(N927))*12+MONTH(O927)-MONTH(N927)+1))</f>
        <v/>
      </c>
      <c r="Q927">
        <f>IF(G927="",0,G927/P927)</f>
        <v/>
      </c>
      <c r="R927">
        <f>IF(H927="",0,H927/P927)</f>
        <v/>
      </c>
    </row>
    <row r="928">
      <c r="A928" s="43" t="n"/>
      <c r="B928" s="28" t="n"/>
      <c r="C928" s="28" t="n"/>
      <c r="D928" s="28" t="n"/>
      <c r="E928" s="44" t="n"/>
      <c r="F928" s="44" t="n"/>
      <c r="G928" s="23" t="n"/>
      <c r="H928" s="23" t="n"/>
      <c r="I928" s="23" t="n"/>
      <c r="J928" s="23" t="n"/>
      <c r="K928" s="45">
        <f>IF(A928="","",SUM(G$2:I928)-SUM(J$2:J928))</f>
        <v/>
      </c>
      <c r="L928" s="46" t="n"/>
      <c r="M928">
        <f>IF(A928="","",IF(A928=A927,M927,N(M927)+1))</f>
        <v/>
      </c>
      <c r="N928">
        <f>IF(E928="",99999,E928)</f>
        <v/>
      </c>
      <c r="O928">
        <f>IF(E928="",0,IF(F928="",E928,F928))</f>
        <v/>
      </c>
      <c r="P928">
        <f>IF(E928="",1,MAX(1,(YEAR(O928)-YEAR(N928))*12+MONTH(O928)-MONTH(N928)+1))</f>
        <v/>
      </c>
      <c r="Q928">
        <f>IF(G928="",0,G928/P928)</f>
        <v/>
      </c>
      <c r="R928">
        <f>IF(H928="",0,H928/P928)</f>
        <v/>
      </c>
    </row>
    <row r="929">
      <c r="A929" s="43" t="n"/>
      <c r="B929" s="28" t="n"/>
      <c r="C929" s="28" t="n"/>
      <c r="D929" s="28" t="n"/>
      <c r="E929" s="44" t="n"/>
      <c r="F929" s="44" t="n"/>
      <c r="G929" s="23" t="n"/>
      <c r="H929" s="23" t="n"/>
      <c r="I929" s="23" t="n"/>
      <c r="J929" s="23" t="n"/>
      <c r="K929" s="45">
        <f>IF(A929="","",SUM(G$2:I929)-SUM(J$2:J929))</f>
        <v/>
      </c>
      <c r="L929" s="46" t="n"/>
      <c r="M929">
        <f>IF(A929="","",IF(A929=A928,M928,N(M928)+1))</f>
        <v/>
      </c>
      <c r="N929">
        <f>IF(E929="",99999,E929)</f>
        <v/>
      </c>
      <c r="O929">
        <f>IF(E929="",0,IF(F929="",E929,F929))</f>
        <v/>
      </c>
      <c r="P929">
        <f>IF(E929="",1,MAX(1,(YEAR(O929)-YEAR(N929))*12+MONTH(O929)-MONTH(N929)+1))</f>
        <v/>
      </c>
      <c r="Q929">
        <f>IF(G929="",0,G929/P929)</f>
        <v/>
      </c>
      <c r="R929">
        <f>IF(H929="",0,H929/P929)</f>
        <v/>
      </c>
    </row>
    <row r="930">
      <c r="A930" s="43" t="n"/>
      <c r="B930" s="28" t="n"/>
      <c r="C930" s="28" t="n"/>
      <c r="D930" s="28" t="n"/>
      <c r="E930" s="44" t="n"/>
      <c r="F930" s="44" t="n"/>
      <c r="G930" s="23" t="n"/>
      <c r="H930" s="23" t="n"/>
      <c r="I930" s="23" t="n"/>
      <c r="J930" s="23" t="n"/>
      <c r="K930" s="45">
        <f>IF(A930="","",SUM(G$2:I930)-SUM(J$2:J930))</f>
        <v/>
      </c>
      <c r="L930" s="46" t="n"/>
      <c r="M930">
        <f>IF(A930="","",IF(A930=A929,M929,N(M929)+1))</f>
        <v/>
      </c>
      <c r="N930">
        <f>IF(E930="",99999,E930)</f>
        <v/>
      </c>
      <c r="O930">
        <f>IF(E930="",0,IF(F930="",E930,F930))</f>
        <v/>
      </c>
      <c r="P930">
        <f>IF(E930="",1,MAX(1,(YEAR(O930)-YEAR(N930))*12+MONTH(O930)-MONTH(N930)+1))</f>
        <v/>
      </c>
      <c r="Q930">
        <f>IF(G930="",0,G930/P930)</f>
        <v/>
      </c>
      <c r="R930">
        <f>IF(H930="",0,H930/P930)</f>
        <v/>
      </c>
    </row>
    <row r="931">
      <c r="A931" s="43" t="n"/>
      <c r="B931" s="28" t="n"/>
      <c r="C931" s="28" t="n"/>
      <c r="D931" s="28" t="n"/>
      <c r="E931" s="44" t="n"/>
      <c r="F931" s="44" t="n"/>
      <c r="G931" s="23" t="n"/>
      <c r="H931" s="23" t="n"/>
      <c r="I931" s="23" t="n"/>
      <c r="J931" s="23" t="n"/>
      <c r="K931" s="45">
        <f>IF(A931="","",SUM(G$2:I931)-SUM(J$2:J931))</f>
        <v/>
      </c>
      <c r="L931" s="46" t="n"/>
      <c r="M931">
        <f>IF(A931="","",IF(A931=A930,M930,N(M930)+1))</f>
        <v/>
      </c>
      <c r="N931">
        <f>IF(E931="",99999,E931)</f>
        <v/>
      </c>
      <c r="O931">
        <f>IF(E931="",0,IF(F931="",E931,F931))</f>
        <v/>
      </c>
      <c r="P931">
        <f>IF(E931="",1,MAX(1,(YEAR(O931)-YEAR(N931))*12+MONTH(O931)-MONTH(N931)+1))</f>
        <v/>
      </c>
      <c r="Q931">
        <f>IF(G931="",0,G931/P931)</f>
        <v/>
      </c>
      <c r="R931">
        <f>IF(H931="",0,H931/P931)</f>
        <v/>
      </c>
    </row>
    <row r="932">
      <c r="A932" s="43" t="n"/>
      <c r="B932" s="28" t="n"/>
      <c r="C932" s="28" t="n"/>
      <c r="D932" s="28" t="n"/>
      <c r="E932" s="44" t="n"/>
      <c r="F932" s="44" t="n"/>
      <c r="G932" s="23" t="n"/>
      <c r="H932" s="23" t="n"/>
      <c r="I932" s="23" t="n"/>
      <c r="J932" s="23" t="n"/>
      <c r="K932" s="45">
        <f>IF(A932="","",SUM(G$2:I932)-SUM(J$2:J932))</f>
        <v/>
      </c>
      <c r="L932" s="46" t="n"/>
      <c r="M932">
        <f>IF(A932="","",IF(A932=A931,M931,N(M931)+1))</f>
        <v/>
      </c>
      <c r="N932">
        <f>IF(E932="",99999,E932)</f>
        <v/>
      </c>
      <c r="O932">
        <f>IF(E932="",0,IF(F932="",E932,F932))</f>
        <v/>
      </c>
      <c r="P932">
        <f>IF(E932="",1,MAX(1,(YEAR(O932)-YEAR(N932))*12+MONTH(O932)-MONTH(N932)+1))</f>
        <v/>
      </c>
      <c r="Q932">
        <f>IF(G932="",0,G932/P932)</f>
        <v/>
      </c>
      <c r="R932">
        <f>IF(H932="",0,H932/P932)</f>
        <v/>
      </c>
    </row>
    <row r="933">
      <c r="A933" s="43" t="n"/>
      <c r="B933" s="28" t="n"/>
      <c r="C933" s="28" t="n"/>
      <c r="D933" s="28" t="n"/>
      <c r="E933" s="44" t="n"/>
      <c r="F933" s="44" t="n"/>
      <c r="G933" s="23" t="n"/>
      <c r="H933" s="23" t="n"/>
      <c r="I933" s="23" t="n"/>
      <c r="J933" s="23" t="n"/>
      <c r="K933" s="45">
        <f>IF(A933="","",SUM(G$2:I933)-SUM(J$2:J933))</f>
        <v/>
      </c>
      <c r="L933" s="46" t="n"/>
      <c r="M933">
        <f>IF(A933="","",IF(A933=A932,M932,N(M932)+1))</f>
        <v/>
      </c>
      <c r="N933">
        <f>IF(E933="",99999,E933)</f>
        <v/>
      </c>
      <c r="O933">
        <f>IF(E933="",0,IF(F933="",E933,F933))</f>
        <v/>
      </c>
      <c r="P933">
        <f>IF(E933="",1,MAX(1,(YEAR(O933)-YEAR(N933))*12+MONTH(O933)-MONTH(N933)+1))</f>
        <v/>
      </c>
      <c r="Q933">
        <f>IF(G933="",0,G933/P933)</f>
        <v/>
      </c>
      <c r="R933">
        <f>IF(H933="",0,H933/P933)</f>
        <v/>
      </c>
    </row>
    <row r="934">
      <c r="A934" s="43" t="n"/>
      <c r="B934" s="28" t="n"/>
      <c r="C934" s="28" t="n"/>
      <c r="D934" s="28" t="n"/>
      <c r="E934" s="44" t="n"/>
      <c r="F934" s="44" t="n"/>
      <c r="G934" s="23" t="n"/>
      <c r="H934" s="23" t="n"/>
      <c r="I934" s="23" t="n"/>
      <c r="J934" s="23" t="n"/>
      <c r="K934" s="45">
        <f>IF(A934="","",SUM(G$2:I934)-SUM(J$2:J934))</f>
        <v/>
      </c>
      <c r="L934" s="46" t="n"/>
      <c r="M934">
        <f>IF(A934="","",IF(A934=A933,M933,N(M933)+1))</f>
        <v/>
      </c>
      <c r="N934">
        <f>IF(E934="",99999,E934)</f>
        <v/>
      </c>
      <c r="O934">
        <f>IF(E934="",0,IF(F934="",E934,F934))</f>
        <v/>
      </c>
      <c r="P934">
        <f>IF(E934="",1,MAX(1,(YEAR(O934)-YEAR(N934))*12+MONTH(O934)-MONTH(N934)+1))</f>
        <v/>
      </c>
      <c r="Q934">
        <f>IF(G934="",0,G934/P934)</f>
        <v/>
      </c>
      <c r="R934">
        <f>IF(H934="",0,H934/P934)</f>
        <v/>
      </c>
    </row>
    <row r="935">
      <c r="A935" s="43" t="n"/>
      <c r="B935" s="28" t="n"/>
      <c r="C935" s="28" t="n"/>
      <c r="D935" s="28" t="n"/>
      <c r="E935" s="44" t="n"/>
      <c r="F935" s="44" t="n"/>
      <c r="G935" s="23" t="n"/>
      <c r="H935" s="23" t="n"/>
      <c r="I935" s="23" t="n"/>
      <c r="J935" s="23" t="n"/>
      <c r="K935" s="45">
        <f>IF(A935="","",SUM(G$2:I935)-SUM(J$2:J935))</f>
        <v/>
      </c>
      <c r="L935" s="46" t="n"/>
      <c r="M935">
        <f>IF(A935="","",IF(A935=A934,M934,N(M934)+1))</f>
        <v/>
      </c>
      <c r="N935">
        <f>IF(E935="",99999,E935)</f>
        <v/>
      </c>
      <c r="O935">
        <f>IF(E935="",0,IF(F935="",E935,F935))</f>
        <v/>
      </c>
      <c r="P935">
        <f>IF(E935="",1,MAX(1,(YEAR(O935)-YEAR(N935))*12+MONTH(O935)-MONTH(N935)+1))</f>
        <v/>
      </c>
      <c r="Q935">
        <f>IF(G935="",0,G935/P935)</f>
        <v/>
      </c>
      <c r="R935">
        <f>IF(H935="",0,H935/P935)</f>
        <v/>
      </c>
    </row>
    <row r="936">
      <c r="A936" s="43" t="n"/>
      <c r="B936" s="28" t="n"/>
      <c r="C936" s="28" t="n"/>
      <c r="D936" s="28" t="n"/>
      <c r="E936" s="44" t="n"/>
      <c r="F936" s="44" t="n"/>
      <c r="G936" s="23" t="n"/>
      <c r="H936" s="23" t="n"/>
      <c r="I936" s="23" t="n"/>
      <c r="J936" s="23" t="n"/>
      <c r="K936" s="45">
        <f>IF(A936="","",SUM(G$2:I936)-SUM(J$2:J936))</f>
        <v/>
      </c>
      <c r="L936" s="46" t="n"/>
      <c r="M936">
        <f>IF(A936="","",IF(A936=A935,M935,N(M935)+1))</f>
        <v/>
      </c>
      <c r="N936">
        <f>IF(E936="",99999,E936)</f>
        <v/>
      </c>
      <c r="O936">
        <f>IF(E936="",0,IF(F936="",E936,F936))</f>
        <v/>
      </c>
      <c r="P936">
        <f>IF(E936="",1,MAX(1,(YEAR(O936)-YEAR(N936))*12+MONTH(O936)-MONTH(N936)+1))</f>
        <v/>
      </c>
      <c r="Q936">
        <f>IF(G936="",0,G936/P936)</f>
        <v/>
      </c>
      <c r="R936">
        <f>IF(H936="",0,H936/P936)</f>
        <v/>
      </c>
    </row>
    <row r="937">
      <c r="A937" s="43" t="n"/>
      <c r="B937" s="28" t="n"/>
      <c r="C937" s="28" t="n"/>
      <c r="D937" s="28" t="n"/>
      <c r="E937" s="44" t="n"/>
      <c r="F937" s="44" t="n"/>
      <c r="G937" s="23" t="n"/>
      <c r="H937" s="23" t="n"/>
      <c r="I937" s="23" t="n"/>
      <c r="J937" s="23" t="n"/>
      <c r="K937" s="45">
        <f>IF(A937="","",SUM(G$2:I937)-SUM(J$2:J937))</f>
        <v/>
      </c>
      <c r="L937" s="46" t="n"/>
      <c r="M937">
        <f>IF(A937="","",IF(A937=A936,M936,N(M936)+1))</f>
        <v/>
      </c>
      <c r="N937">
        <f>IF(E937="",99999,E937)</f>
        <v/>
      </c>
      <c r="O937">
        <f>IF(E937="",0,IF(F937="",E937,F937))</f>
        <v/>
      </c>
      <c r="P937">
        <f>IF(E937="",1,MAX(1,(YEAR(O937)-YEAR(N937))*12+MONTH(O937)-MONTH(N937)+1))</f>
        <v/>
      </c>
      <c r="Q937">
        <f>IF(G937="",0,G937/P937)</f>
        <v/>
      </c>
      <c r="R937">
        <f>IF(H937="",0,H937/P937)</f>
        <v/>
      </c>
    </row>
    <row r="938">
      <c r="A938" s="43" t="n"/>
      <c r="B938" s="28" t="n"/>
      <c r="C938" s="28" t="n"/>
      <c r="D938" s="28" t="n"/>
      <c r="E938" s="44" t="n"/>
      <c r="F938" s="44" t="n"/>
      <c r="G938" s="23" t="n"/>
      <c r="H938" s="23" t="n"/>
      <c r="I938" s="23" t="n"/>
      <c r="J938" s="23" t="n"/>
      <c r="K938" s="45">
        <f>IF(A938="","",SUM(G$2:I938)-SUM(J$2:J938))</f>
        <v/>
      </c>
      <c r="L938" s="46" t="n"/>
      <c r="M938">
        <f>IF(A938="","",IF(A938=A937,M937,N(M937)+1))</f>
        <v/>
      </c>
      <c r="N938">
        <f>IF(E938="",99999,E938)</f>
        <v/>
      </c>
      <c r="O938">
        <f>IF(E938="",0,IF(F938="",E938,F938))</f>
        <v/>
      </c>
      <c r="P938">
        <f>IF(E938="",1,MAX(1,(YEAR(O938)-YEAR(N938))*12+MONTH(O938)-MONTH(N938)+1))</f>
        <v/>
      </c>
      <c r="Q938">
        <f>IF(G938="",0,G938/P938)</f>
        <v/>
      </c>
      <c r="R938">
        <f>IF(H938="",0,H938/P938)</f>
        <v/>
      </c>
    </row>
    <row r="939">
      <c r="A939" s="43" t="n"/>
      <c r="B939" s="28" t="n"/>
      <c r="C939" s="28" t="n"/>
      <c r="D939" s="28" t="n"/>
      <c r="E939" s="44" t="n"/>
      <c r="F939" s="44" t="n"/>
      <c r="G939" s="23" t="n"/>
      <c r="H939" s="23" t="n"/>
      <c r="I939" s="23" t="n"/>
      <c r="J939" s="23" t="n"/>
      <c r="K939" s="45">
        <f>IF(A939="","",SUM(G$2:I939)-SUM(J$2:J939))</f>
        <v/>
      </c>
      <c r="L939" s="46" t="n"/>
      <c r="M939">
        <f>IF(A939="","",IF(A939=A938,M938,N(M938)+1))</f>
        <v/>
      </c>
      <c r="N939">
        <f>IF(E939="",99999,E939)</f>
        <v/>
      </c>
      <c r="O939">
        <f>IF(E939="",0,IF(F939="",E939,F939))</f>
        <v/>
      </c>
      <c r="P939">
        <f>IF(E939="",1,MAX(1,(YEAR(O939)-YEAR(N939))*12+MONTH(O939)-MONTH(N939)+1))</f>
        <v/>
      </c>
      <c r="Q939">
        <f>IF(G939="",0,G939/P939)</f>
        <v/>
      </c>
      <c r="R939">
        <f>IF(H939="",0,H939/P939)</f>
        <v/>
      </c>
    </row>
    <row r="940">
      <c r="A940" s="43" t="n"/>
      <c r="B940" s="28" t="n"/>
      <c r="C940" s="28" t="n"/>
      <c r="D940" s="28" t="n"/>
      <c r="E940" s="44" t="n"/>
      <c r="F940" s="44" t="n"/>
      <c r="G940" s="23" t="n"/>
      <c r="H940" s="23" t="n"/>
      <c r="I940" s="23" t="n"/>
      <c r="J940" s="23" t="n"/>
      <c r="K940" s="45">
        <f>IF(A940="","",SUM(G$2:I940)-SUM(J$2:J940))</f>
        <v/>
      </c>
      <c r="L940" s="46" t="n"/>
      <c r="M940">
        <f>IF(A940="","",IF(A940=A939,M939,N(M939)+1))</f>
        <v/>
      </c>
      <c r="N940">
        <f>IF(E940="",99999,E940)</f>
        <v/>
      </c>
      <c r="O940">
        <f>IF(E940="",0,IF(F940="",E940,F940))</f>
        <v/>
      </c>
      <c r="P940">
        <f>IF(E940="",1,MAX(1,(YEAR(O940)-YEAR(N940))*12+MONTH(O940)-MONTH(N940)+1))</f>
        <v/>
      </c>
      <c r="Q940">
        <f>IF(G940="",0,G940/P940)</f>
        <v/>
      </c>
      <c r="R940">
        <f>IF(H940="",0,H940/P940)</f>
        <v/>
      </c>
    </row>
    <row r="941">
      <c r="A941" s="43" t="n"/>
      <c r="B941" s="28" t="n"/>
      <c r="C941" s="28" t="n"/>
      <c r="D941" s="28" t="n"/>
      <c r="E941" s="44" t="n"/>
      <c r="F941" s="44" t="n"/>
      <c r="G941" s="23" t="n"/>
      <c r="H941" s="23" t="n"/>
      <c r="I941" s="23" t="n"/>
      <c r="J941" s="23" t="n"/>
      <c r="K941" s="45">
        <f>IF(A941="","",SUM(G$2:I941)-SUM(J$2:J941))</f>
        <v/>
      </c>
      <c r="L941" s="46" t="n"/>
      <c r="M941">
        <f>IF(A941="","",IF(A941=A940,M940,N(M940)+1))</f>
        <v/>
      </c>
      <c r="N941">
        <f>IF(E941="",99999,E941)</f>
        <v/>
      </c>
      <c r="O941">
        <f>IF(E941="",0,IF(F941="",E941,F941))</f>
        <v/>
      </c>
      <c r="P941">
        <f>IF(E941="",1,MAX(1,(YEAR(O941)-YEAR(N941))*12+MONTH(O941)-MONTH(N941)+1))</f>
        <v/>
      </c>
      <c r="Q941">
        <f>IF(G941="",0,G941/P941)</f>
        <v/>
      </c>
      <c r="R941">
        <f>IF(H941="",0,H941/P941)</f>
        <v/>
      </c>
    </row>
    <row r="942">
      <c r="A942" s="43" t="n"/>
      <c r="B942" s="28" t="n"/>
      <c r="C942" s="28" t="n"/>
      <c r="D942" s="28" t="n"/>
      <c r="E942" s="44" t="n"/>
      <c r="F942" s="44" t="n"/>
      <c r="G942" s="23" t="n"/>
      <c r="H942" s="23" t="n"/>
      <c r="I942" s="23" t="n"/>
      <c r="J942" s="23" t="n"/>
      <c r="K942" s="45">
        <f>IF(A942="","",SUM(G$2:I942)-SUM(J$2:J942))</f>
        <v/>
      </c>
      <c r="L942" s="46" t="n"/>
      <c r="M942">
        <f>IF(A942="","",IF(A942=A941,M941,N(M941)+1))</f>
        <v/>
      </c>
      <c r="N942">
        <f>IF(E942="",99999,E942)</f>
        <v/>
      </c>
      <c r="O942">
        <f>IF(E942="",0,IF(F942="",E942,F942))</f>
        <v/>
      </c>
      <c r="P942">
        <f>IF(E942="",1,MAX(1,(YEAR(O942)-YEAR(N942))*12+MONTH(O942)-MONTH(N942)+1))</f>
        <v/>
      </c>
      <c r="Q942">
        <f>IF(G942="",0,G942/P942)</f>
        <v/>
      </c>
      <c r="R942">
        <f>IF(H942="",0,H942/P942)</f>
        <v/>
      </c>
    </row>
    <row r="943">
      <c r="A943" s="43" t="n"/>
      <c r="B943" s="28" t="n"/>
      <c r="C943" s="28" t="n"/>
      <c r="D943" s="28" t="n"/>
      <c r="E943" s="44" t="n"/>
      <c r="F943" s="44" t="n"/>
      <c r="G943" s="23" t="n"/>
      <c r="H943" s="23" t="n"/>
      <c r="I943" s="23" t="n"/>
      <c r="J943" s="23" t="n"/>
      <c r="K943" s="45">
        <f>IF(A943="","",SUM(G$2:I943)-SUM(J$2:J943))</f>
        <v/>
      </c>
      <c r="L943" s="46" t="n"/>
      <c r="M943">
        <f>IF(A943="","",IF(A943=A942,M942,N(M942)+1))</f>
        <v/>
      </c>
      <c r="N943">
        <f>IF(E943="",99999,E943)</f>
        <v/>
      </c>
      <c r="O943">
        <f>IF(E943="",0,IF(F943="",E943,F943))</f>
        <v/>
      </c>
      <c r="P943">
        <f>IF(E943="",1,MAX(1,(YEAR(O943)-YEAR(N943))*12+MONTH(O943)-MONTH(N943)+1))</f>
        <v/>
      </c>
      <c r="Q943">
        <f>IF(G943="",0,G943/P943)</f>
        <v/>
      </c>
      <c r="R943">
        <f>IF(H943="",0,H943/P943)</f>
        <v/>
      </c>
    </row>
    <row r="944">
      <c r="A944" s="43" t="n"/>
      <c r="B944" s="28" t="n"/>
      <c r="C944" s="28" t="n"/>
      <c r="D944" s="28" t="n"/>
      <c r="E944" s="44" t="n"/>
      <c r="F944" s="44" t="n"/>
      <c r="G944" s="23" t="n"/>
      <c r="H944" s="23" t="n"/>
      <c r="I944" s="23" t="n"/>
      <c r="J944" s="23" t="n"/>
      <c r="K944" s="45">
        <f>IF(A944="","",SUM(G$2:I944)-SUM(J$2:J944))</f>
        <v/>
      </c>
      <c r="L944" s="46" t="n"/>
      <c r="M944">
        <f>IF(A944="","",IF(A944=A943,M943,N(M943)+1))</f>
        <v/>
      </c>
      <c r="N944">
        <f>IF(E944="",99999,E944)</f>
        <v/>
      </c>
      <c r="O944">
        <f>IF(E944="",0,IF(F944="",E944,F944))</f>
        <v/>
      </c>
      <c r="P944">
        <f>IF(E944="",1,MAX(1,(YEAR(O944)-YEAR(N944))*12+MONTH(O944)-MONTH(N944)+1))</f>
        <v/>
      </c>
      <c r="Q944">
        <f>IF(G944="",0,G944/P944)</f>
        <v/>
      </c>
      <c r="R944">
        <f>IF(H944="",0,H944/P944)</f>
        <v/>
      </c>
    </row>
    <row r="945">
      <c r="A945" s="43" t="n"/>
      <c r="B945" s="28" t="n"/>
      <c r="C945" s="28" t="n"/>
      <c r="D945" s="28" t="n"/>
      <c r="E945" s="44" t="n"/>
      <c r="F945" s="44" t="n"/>
      <c r="G945" s="23" t="n"/>
      <c r="H945" s="23" t="n"/>
      <c r="I945" s="23" t="n"/>
      <c r="J945" s="23" t="n"/>
      <c r="K945" s="45">
        <f>IF(A945="","",SUM(G$2:I945)-SUM(J$2:J945))</f>
        <v/>
      </c>
      <c r="L945" s="46" t="n"/>
      <c r="M945">
        <f>IF(A945="","",IF(A945=A944,M944,N(M944)+1))</f>
        <v/>
      </c>
      <c r="N945">
        <f>IF(E945="",99999,E945)</f>
        <v/>
      </c>
      <c r="O945">
        <f>IF(E945="",0,IF(F945="",E945,F945))</f>
        <v/>
      </c>
      <c r="P945">
        <f>IF(E945="",1,MAX(1,(YEAR(O945)-YEAR(N945))*12+MONTH(O945)-MONTH(N945)+1))</f>
        <v/>
      </c>
      <c r="Q945">
        <f>IF(G945="",0,G945/P945)</f>
        <v/>
      </c>
      <c r="R945">
        <f>IF(H945="",0,H945/P945)</f>
        <v/>
      </c>
    </row>
    <row r="946">
      <c r="A946" s="43" t="n"/>
      <c r="B946" s="28" t="n"/>
      <c r="C946" s="28" t="n"/>
      <c r="D946" s="28" t="n"/>
      <c r="E946" s="44" t="n"/>
      <c r="F946" s="44" t="n"/>
      <c r="G946" s="23" t="n"/>
      <c r="H946" s="23" t="n"/>
      <c r="I946" s="23" t="n"/>
      <c r="J946" s="23" t="n"/>
      <c r="K946" s="45">
        <f>IF(A946="","",SUM(G$2:I946)-SUM(J$2:J946))</f>
        <v/>
      </c>
      <c r="L946" s="46" t="n"/>
      <c r="M946">
        <f>IF(A946="","",IF(A946=A945,M945,N(M945)+1))</f>
        <v/>
      </c>
      <c r="N946">
        <f>IF(E946="",99999,E946)</f>
        <v/>
      </c>
      <c r="O946">
        <f>IF(E946="",0,IF(F946="",E946,F946))</f>
        <v/>
      </c>
      <c r="P946">
        <f>IF(E946="",1,MAX(1,(YEAR(O946)-YEAR(N946))*12+MONTH(O946)-MONTH(N946)+1))</f>
        <v/>
      </c>
      <c r="Q946">
        <f>IF(G946="",0,G946/P946)</f>
        <v/>
      </c>
      <c r="R946">
        <f>IF(H946="",0,H946/P946)</f>
        <v/>
      </c>
    </row>
    <row r="947">
      <c r="A947" s="43" t="n"/>
      <c r="B947" s="28" t="n"/>
      <c r="C947" s="28" t="n"/>
      <c r="D947" s="28" t="n"/>
      <c r="E947" s="44" t="n"/>
      <c r="F947" s="44" t="n"/>
      <c r="G947" s="23" t="n"/>
      <c r="H947" s="23" t="n"/>
      <c r="I947" s="23" t="n"/>
      <c r="J947" s="23" t="n"/>
      <c r="K947" s="45">
        <f>IF(A947="","",SUM(G$2:I947)-SUM(J$2:J947))</f>
        <v/>
      </c>
      <c r="L947" s="46" t="n"/>
      <c r="M947">
        <f>IF(A947="","",IF(A947=A946,M946,N(M946)+1))</f>
        <v/>
      </c>
      <c r="N947">
        <f>IF(E947="",99999,E947)</f>
        <v/>
      </c>
      <c r="O947">
        <f>IF(E947="",0,IF(F947="",E947,F947))</f>
        <v/>
      </c>
      <c r="P947">
        <f>IF(E947="",1,MAX(1,(YEAR(O947)-YEAR(N947))*12+MONTH(O947)-MONTH(N947)+1))</f>
        <v/>
      </c>
      <c r="Q947">
        <f>IF(G947="",0,G947/P947)</f>
        <v/>
      </c>
      <c r="R947">
        <f>IF(H947="",0,H947/P947)</f>
        <v/>
      </c>
    </row>
    <row r="948">
      <c r="A948" s="43" t="n"/>
      <c r="B948" s="28" t="n"/>
      <c r="C948" s="28" t="n"/>
      <c r="D948" s="28" t="n"/>
      <c r="E948" s="44" t="n"/>
      <c r="F948" s="44" t="n"/>
      <c r="G948" s="23" t="n"/>
      <c r="H948" s="23" t="n"/>
      <c r="I948" s="23" t="n"/>
      <c r="J948" s="23" t="n"/>
      <c r="K948" s="45">
        <f>IF(A948="","",SUM(G$2:I948)-SUM(J$2:J948))</f>
        <v/>
      </c>
      <c r="L948" s="46" t="n"/>
      <c r="M948">
        <f>IF(A948="","",IF(A948=A947,M947,N(M947)+1))</f>
        <v/>
      </c>
      <c r="N948">
        <f>IF(E948="",99999,E948)</f>
        <v/>
      </c>
      <c r="O948">
        <f>IF(E948="",0,IF(F948="",E948,F948))</f>
        <v/>
      </c>
      <c r="P948">
        <f>IF(E948="",1,MAX(1,(YEAR(O948)-YEAR(N948))*12+MONTH(O948)-MONTH(N948)+1))</f>
        <v/>
      </c>
      <c r="Q948">
        <f>IF(G948="",0,G948/P948)</f>
        <v/>
      </c>
      <c r="R948">
        <f>IF(H948="",0,H948/P948)</f>
        <v/>
      </c>
    </row>
    <row r="949">
      <c r="A949" s="43" t="n"/>
      <c r="B949" s="28" t="n"/>
      <c r="C949" s="28" t="n"/>
      <c r="D949" s="28" t="n"/>
      <c r="E949" s="44" t="n"/>
      <c r="F949" s="44" t="n"/>
      <c r="G949" s="23" t="n"/>
      <c r="H949" s="23" t="n"/>
      <c r="I949" s="23" t="n"/>
      <c r="J949" s="23" t="n"/>
      <c r="K949" s="45">
        <f>IF(A949="","",SUM(G$2:I949)-SUM(J$2:J949))</f>
        <v/>
      </c>
      <c r="L949" s="46" t="n"/>
      <c r="M949">
        <f>IF(A949="","",IF(A949=A948,M948,N(M948)+1))</f>
        <v/>
      </c>
      <c r="N949">
        <f>IF(E949="",99999,E949)</f>
        <v/>
      </c>
      <c r="O949">
        <f>IF(E949="",0,IF(F949="",E949,F949))</f>
        <v/>
      </c>
      <c r="P949">
        <f>IF(E949="",1,MAX(1,(YEAR(O949)-YEAR(N949))*12+MONTH(O949)-MONTH(N949)+1))</f>
        <v/>
      </c>
      <c r="Q949">
        <f>IF(G949="",0,G949/P949)</f>
        <v/>
      </c>
      <c r="R949">
        <f>IF(H949="",0,H949/P949)</f>
        <v/>
      </c>
    </row>
    <row r="950">
      <c r="A950" s="43" t="n"/>
      <c r="B950" s="28" t="n"/>
      <c r="C950" s="28" t="n"/>
      <c r="D950" s="28" t="n"/>
      <c r="E950" s="44" t="n"/>
      <c r="F950" s="44" t="n"/>
      <c r="G950" s="23" t="n"/>
      <c r="H950" s="23" t="n"/>
      <c r="I950" s="23" t="n"/>
      <c r="J950" s="23" t="n"/>
      <c r="K950" s="45">
        <f>IF(A950="","",SUM(G$2:I950)-SUM(J$2:J950))</f>
        <v/>
      </c>
      <c r="L950" s="46" t="n"/>
      <c r="M950">
        <f>IF(A950="","",IF(A950=A949,M949,N(M949)+1))</f>
        <v/>
      </c>
      <c r="N950">
        <f>IF(E950="",99999,E950)</f>
        <v/>
      </c>
      <c r="O950">
        <f>IF(E950="",0,IF(F950="",E950,F950))</f>
        <v/>
      </c>
      <c r="P950">
        <f>IF(E950="",1,MAX(1,(YEAR(O950)-YEAR(N950))*12+MONTH(O950)-MONTH(N950)+1))</f>
        <v/>
      </c>
      <c r="Q950">
        <f>IF(G950="",0,G950/P950)</f>
        <v/>
      </c>
      <c r="R950">
        <f>IF(H950="",0,H950/P950)</f>
        <v/>
      </c>
    </row>
    <row r="951">
      <c r="A951" s="43" t="n"/>
      <c r="B951" s="28" t="n"/>
      <c r="C951" s="28" t="n"/>
      <c r="D951" s="28" t="n"/>
      <c r="E951" s="44" t="n"/>
      <c r="F951" s="44" t="n"/>
      <c r="G951" s="23" t="n"/>
      <c r="H951" s="23" t="n"/>
      <c r="I951" s="23" t="n"/>
      <c r="J951" s="23" t="n"/>
      <c r="K951" s="45">
        <f>IF(A951="","",SUM(G$2:I951)-SUM(J$2:J951))</f>
        <v/>
      </c>
      <c r="L951" s="46" t="n"/>
      <c r="M951">
        <f>IF(A951="","",IF(A951=A950,M950,N(M950)+1))</f>
        <v/>
      </c>
      <c r="N951">
        <f>IF(E951="",99999,E951)</f>
        <v/>
      </c>
      <c r="O951">
        <f>IF(E951="",0,IF(F951="",E951,F951))</f>
        <v/>
      </c>
      <c r="P951">
        <f>IF(E951="",1,MAX(1,(YEAR(O951)-YEAR(N951))*12+MONTH(O951)-MONTH(N951)+1))</f>
        <v/>
      </c>
      <c r="Q951">
        <f>IF(G951="",0,G951/P951)</f>
        <v/>
      </c>
      <c r="R951">
        <f>IF(H951="",0,H951/P951)</f>
        <v/>
      </c>
    </row>
    <row r="952">
      <c r="A952" s="43" t="n"/>
      <c r="B952" s="28" t="n"/>
      <c r="C952" s="28" t="n"/>
      <c r="D952" s="28" t="n"/>
      <c r="E952" s="44" t="n"/>
      <c r="F952" s="44" t="n"/>
      <c r="G952" s="23" t="n"/>
      <c r="H952" s="23" t="n"/>
      <c r="I952" s="23" t="n"/>
      <c r="J952" s="23" t="n"/>
      <c r="K952" s="45">
        <f>IF(A952="","",SUM(G$2:I952)-SUM(J$2:J952))</f>
        <v/>
      </c>
      <c r="L952" s="46" t="n"/>
      <c r="M952">
        <f>IF(A952="","",IF(A952=A951,M951,N(M951)+1))</f>
        <v/>
      </c>
      <c r="N952">
        <f>IF(E952="",99999,E952)</f>
        <v/>
      </c>
      <c r="O952">
        <f>IF(E952="",0,IF(F952="",E952,F952))</f>
        <v/>
      </c>
      <c r="P952">
        <f>IF(E952="",1,MAX(1,(YEAR(O952)-YEAR(N952))*12+MONTH(O952)-MONTH(N952)+1))</f>
        <v/>
      </c>
      <c r="Q952">
        <f>IF(G952="",0,G952/P952)</f>
        <v/>
      </c>
      <c r="R952">
        <f>IF(H952="",0,H952/P952)</f>
        <v/>
      </c>
    </row>
    <row r="953">
      <c r="A953" s="43" t="n"/>
      <c r="B953" s="28" t="n"/>
      <c r="C953" s="28" t="n"/>
      <c r="D953" s="28" t="n"/>
      <c r="E953" s="44" t="n"/>
      <c r="F953" s="44" t="n"/>
      <c r="G953" s="23" t="n"/>
      <c r="H953" s="23" t="n"/>
      <c r="I953" s="23" t="n"/>
      <c r="J953" s="23" t="n"/>
      <c r="K953" s="45">
        <f>IF(A953="","",SUM(G$2:I953)-SUM(J$2:J953))</f>
        <v/>
      </c>
      <c r="L953" s="46" t="n"/>
      <c r="M953">
        <f>IF(A953="","",IF(A953=A952,M952,N(M952)+1))</f>
        <v/>
      </c>
      <c r="N953">
        <f>IF(E953="",99999,E953)</f>
        <v/>
      </c>
      <c r="O953">
        <f>IF(E953="",0,IF(F953="",E953,F953))</f>
        <v/>
      </c>
      <c r="P953">
        <f>IF(E953="",1,MAX(1,(YEAR(O953)-YEAR(N953))*12+MONTH(O953)-MONTH(N953)+1))</f>
        <v/>
      </c>
      <c r="Q953">
        <f>IF(G953="",0,G953/P953)</f>
        <v/>
      </c>
      <c r="R953">
        <f>IF(H953="",0,H953/P953)</f>
        <v/>
      </c>
    </row>
    <row r="954">
      <c r="A954" s="43" t="n"/>
      <c r="B954" s="28" t="n"/>
      <c r="C954" s="28" t="n"/>
      <c r="D954" s="28" t="n"/>
      <c r="E954" s="44" t="n"/>
      <c r="F954" s="44" t="n"/>
      <c r="G954" s="23" t="n"/>
      <c r="H954" s="23" t="n"/>
      <c r="I954" s="23" t="n"/>
      <c r="J954" s="23" t="n"/>
      <c r="K954" s="45">
        <f>IF(A954="","",SUM(G$2:I954)-SUM(J$2:J954))</f>
        <v/>
      </c>
      <c r="L954" s="46" t="n"/>
      <c r="M954">
        <f>IF(A954="","",IF(A954=A953,M953,N(M953)+1))</f>
        <v/>
      </c>
      <c r="N954">
        <f>IF(E954="",99999,E954)</f>
        <v/>
      </c>
      <c r="O954">
        <f>IF(E954="",0,IF(F954="",E954,F954))</f>
        <v/>
      </c>
      <c r="P954">
        <f>IF(E954="",1,MAX(1,(YEAR(O954)-YEAR(N954))*12+MONTH(O954)-MONTH(N954)+1))</f>
        <v/>
      </c>
      <c r="Q954">
        <f>IF(G954="",0,G954/P954)</f>
        <v/>
      </c>
      <c r="R954">
        <f>IF(H954="",0,H954/P954)</f>
        <v/>
      </c>
    </row>
    <row r="955">
      <c r="A955" s="43" t="n"/>
      <c r="B955" s="28" t="n"/>
      <c r="C955" s="28" t="n"/>
      <c r="D955" s="28" t="n"/>
      <c r="E955" s="44" t="n"/>
      <c r="F955" s="44" t="n"/>
      <c r="G955" s="23" t="n"/>
      <c r="H955" s="23" t="n"/>
      <c r="I955" s="23" t="n"/>
      <c r="J955" s="23" t="n"/>
      <c r="K955" s="45">
        <f>IF(A955="","",SUM(G$2:I955)-SUM(J$2:J955))</f>
        <v/>
      </c>
      <c r="L955" s="46" t="n"/>
      <c r="M955">
        <f>IF(A955="","",IF(A955=A954,M954,N(M954)+1))</f>
        <v/>
      </c>
      <c r="N955">
        <f>IF(E955="",99999,E955)</f>
        <v/>
      </c>
      <c r="O955">
        <f>IF(E955="",0,IF(F955="",E955,F955))</f>
        <v/>
      </c>
      <c r="P955">
        <f>IF(E955="",1,MAX(1,(YEAR(O955)-YEAR(N955))*12+MONTH(O955)-MONTH(N955)+1))</f>
        <v/>
      </c>
      <c r="Q955">
        <f>IF(G955="",0,G955/P955)</f>
        <v/>
      </c>
      <c r="R955">
        <f>IF(H955="",0,H955/P955)</f>
        <v/>
      </c>
    </row>
    <row r="956">
      <c r="A956" s="43" t="n"/>
      <c r="B956" s="28" t="n"/>
      <c r="C956" s="28" t="n"/>
      <c r="D956" s="28" t="n"/>
      <c r="E956" s="44" t="n"/>
      <c r="F956" s="44" t="n"/>
      <c r="G956" s="23" t="n"/>
      <c r="H956" s="23" t="n"/>
      <c r="I956" s="23" t="n"/>
      <c r="J956" s="23" t="n"/>
      <c r="K956" s="45">
        <f>IF(A956="","",SUM(G$2:I956)-SUM(J$2:J956))</f>
        <v/>
      </c>
      <c r="L956" s="46" t="n"/>
      <c r="M956">
        <f>IF(A956="","",IF(A956=A955,M955,N(M955)+1))</f>
        <v/>
      </c>
      <c r="N956">
        <f>IF(E956="",99999,E956)</f>
        <v/>
      </c>
      <c r="O956">
        <f>IF(E956="",0,IF(F956="",E956,F956))</f>
        <v/>
      </c>
      <c r="P956">
        <f>IF(E956="",1,MAX(1,(YEAR(O956)-YEAR(N956))*12+MONTH(O956)-MONTH(N956)+1))</f>
        <v/>
      </c>
      <c r="Q956">
        <f>IF(G956="",0,G956/P956)</f>
        <v/>
      </c>
      <c r="R956">
        <f>IF(H956="",0,H956/P956)</f>
        <v/>
      </c>
    </row>
    <row r="957">
      <c r="A957" s="43" t="n"/>
      <c r="B957" s="28" t="n"/>
      <c r="C957" s="28" t="n"/>
      <c r="D957" s="28" t="n"/>
      <c r="E957" s="44" t="n"/>
      <c r="F957" s="44" t="n"/>
      <c r="G957" s="23" t="n"/>
      <c r="H957" s="23" t="n"/>
      <c r="I957" s="23" t="n"/>
      <c r="J957" s="23" t="n"/>
      <c r="K957" s="45">
        <f>IF(A957="","",SUM(G$2:I957)-SUM(J$2:J957))</f>
        <v/>
      </c>
      <c r="L957" s="46" t="n"/>
      <c r="M957">
        <f>IF(A957="","",IF(A957=A956,M956,N(M956)+1))</f>
        <v/>
      </c>
      <c r="N957">
        <f>IF(E957="",99999,E957)</f>
        <v/>
      </c>
      <c r="O957">
        <f>IF(E957="",0,IF(F957="",E957,F957))</f>
        <v/>
      </c>
      <c r="P957">
        <f>IF(E957="",1,MAX(1,(YEAR(O957)-YEAR(N957))*12+MONTH(O957)-MONTH(N957)+1))</f>
        <v/>
      </c>
      <c r="Q957">
        <f>IF(G957="",0,G957/P957)</f>
        <v/>
      </c>
      <c r="R957">
        <f>IF(H957="",0,H957/P957)</f>
        <v/>
      </c>
    </row>
    <row r="958">
      <c r="A958" s="43" t="n"/>
      <c r="B958" s="28" t="n"/>
      <c r="C958" s="28" t="n"/>
      <c r="D958" s="28" t="n"/>
      <c r="E958" s="44" t="n"/>
      <c r="F958" s="44" t="n"/>
      <c r="G958" s="23" t="n"/>
      <c r="H958" s="23" t="n"/>
      <c r="I958" s="23" t="n"/>
      <c r="J958" s="23" t="n"/>
      <c r="K958" s="45">
        <f>IF(A958="","",SUM(G$2:I958)-SUM(J$2:J958))</f>
        <v/>
      </c>
      <c r="L958" s="46" t="n"/>
      <c r="M958">
        <f>IF(A958="","",IF(A958=A957,M957,N(M957)+1))</f>
        <v/>
      </c>
      <c r="N958">
        <f>IF(E958="",99999,E958)</f>
        <v/>
      </c>
      <c r="O958">
        <f>IF(E958="",0,IF(F958="",E958,F958))</f>
        <v/>
      </c>
      <c r="P958">
        <f>IF(E958="",1,MAX(1,(YEAR(O958)-YEAR(N958))*12+MONTH(O958)-MONTH(N958)+1))</f>
        <v/>
      </c>
      <c r="Q958">
        <f>IF(G958="",0,G958/P958)</f>
        <v/>
      </c>
      <c r="R958">
        <f>IF(H958="",0,H958/P958)</f>
        <v/>
      </c>
    </row>
    <row r="959">
      <c r="A959" s="43" t="n"/>
      <c r="B959" s="28" t="n"/>
      <c r="C959" s="28" t="n"/>
      <c r="D959" s="28" t="n"/>
      <c r="E959" s="44" t="n"/>
      <c r="F959" s="44" t="n"/>
      <c r="G959" s="23" t="n"/>
      <c r="H959" s="23" t="n"/>
      <c r="I959" s="23" t="n"/>
      <c r="J959" s="23" t="n"/>
      <c r="K959" s="45">
        <f>IF(A959="","",SUM(G$2:I959)-SUM(J$2:J959))</f>
        <v/>
      </c>
      <c r="L959" s="46" t="n"/>
      <c r="M959">
        <f>IF(A959="","",IF(A959=A958,M958,N(M958)+1))</f>
        <v/>
      </c>
      <c r="N959">
        <f>IF(E959="",99999,E959)</f>
        <v/>
      </c>
      <c r="O959">
        <f>IF(E959="",0,IF(F959="",E959,F959))</f>
        <v/>
      </c>
      <c r="P959">
        <f>IF(E959="",1,MAX(1,(YEAR(O959)-YEAR(N959))*12+MONTH(O959)-MONTH(N959)+1))</f>
        <v/>
      </c>
      <c r="Q959">
        <f>IF(G959="",0,G959/P959)</f>
        <v/>
      </c>
      <c r="R959">
        <f>IF(H959="",0,H959/P959)</f>
        <v/>
      </c>
    </row>
    <row r="960">
      <c r="A960" s="43" t="n"/>
      <c r="B960" s="28" t="n"/>
      <c r="C960" s="28" t="n"/>
      <c r="D960" s="28" t="n"/>
      <c r="E960" s="44" t="n"/>
      <c r="F960" s="44" t="n"/>
      <c r="G960" s="23" t="n"/>
      <c r="H960" s="23" t="n"/>
      <c r="I960" s="23" t="n"/>
      <c r="J960" s="23" t="n"/>
      <c r="K960" s="45">
        <f>IF(A960="","",SUM(G$2:I960)-SUM(J$2:J960))</f>
        <v/>
      </c>
      <c r="L960" s="46" t="n"/>
      <c r="M960">
        <f>IF(A960="","",IF(A960=A959,M959,N(M959)+1))</f>
        <v/>
      </c>
      <c r="N960">
        <f>IF(E960="",99999,E960)</f>
        <v/>
      </c>
      <c r="O960">
        <f>IF(E960="",0,IF(F960="",E960,F960))</f>
        <v/>
      </c>
      <c r="P960">
        <f>IF(E960="",1,MAX(1,(YEAR(O960)-YEAR(N960))*12+MONTH(O960)-MONTH(N960)+1))</f>
        <v/>
      </c>
      <c r="Q960">
        <f>IF(G960="",0,G960/P960)</f>
        <v/>
      </c>
      <c r="R960">
        <f>IF(H960="",0,H960/P960)</f>
        <v/>
      </c>
    </row>
    <row r="961">
      <c r="A961" s="43" t="n"/>
      <c r="B961" s="28" t="n"/>
      <c r="C961" s="28" t="n"/>
      <c r="D961" s="28" t="n"/>
      <c r="E961" s="44" t="n"/>
      <c r="F961" s="44" t="n"/>
      <c r="G961" s="23" t="n"/>
      <c r="H961" s="23" t="n"/>
      <c r="I961" s="23" t="n"/>
      <c r="J961" s="23" t="n"/>
      <c r="K961" s="45">
        <f>IF(A961="","",SUM(G$2:I961)-SUM(J$2:J961))</f>
        <v/>
      </c>
      <c r="L961" s="46" t="n"/>
      <c r="M961">
        <f>IF(A961="","",IF(A961=A960,M960,N(M960)+1))</f>
        <v/>
      </c>
      <c r="N961">
        <f>IF(E961="",99999,E961)</f>
        <v/>
      </c>
      <c r="O961">
        <f>IF(E961="",0,IF(F961="",E961,F961))</f>
        <v/>
      </c>
      <c r="P961">
        <f>IF(E961="",1,MAX(1,(YEAR(O961)-YEAR(N961))*12+MONTH(O961)-MONTH(N961)+1))</f>
        <v/>
      </c>
      <c r="Q961">
        <f>IF(G961="",0,G961/P961)</f>
        <v/>
      </c>
      <c r="R961">
        <f>IF(H961="",0,H961/P961)</f>
        <v/>
      </c>
    </row>
    <row r="962">
      <c r="A962" s="43" t="n"/>
      <c r="B962" s="28" t="n"/>
      <c r="C962" s="28" t="n"/>
      <c r="D962" s="28" t="n"/>
      <c r="E962" s="44" t="n"/>
      <c r="F962" s="44" t="n"/>
      <c r="G962" s="23" t="n"/>
      <c r="H962" s="23" t="n"/>
      <c r="I962" s="23" t="n"/>
      <c r="J962" s="23" t="n"/>
      <c r="K962" s="45">
        <f>IF(A962="","",SUM(G$2:I962)-SUM(J$2:J962))</f>
        <v/>
      </c>
      <c r="L962" s="46" t="n"/>
      <c r="M962">
        <f>IF(A962="","",IF(A962=A961,M961,N(M961)+1))</f>
        <v/>
      </c>
      <c r="N962">
        <f>IF(E962="",99999,E962)</f>
        <v/>
      </c>
      <c r="O962">
        <f>IF(E962="",0,IF(F962="",E962,F962))</f>
        <v/>
      </c>
      <c r="P962">
        <f>IF(E962="",1,MAX(1,(YEAR(O962)-YEAR(N962))*12+MONTH(O962)-MONTH(N962)+1))</f>
        <v/>
      </c>
      <c r="Q962">
        <f>IF(G962="",0,G962/P962)</f>
        <v/>
      </c>
      <c r="R962">
        <f>IF(H962="",0,H962/P962)</f>
        <v/>
      </c>
    </row>
    <row r="963">
      <c r="A963" s="43" t="n"/>
      <c r="B963" s="28" t="n"/>
      <c r="C963" s="28" t="n"/>
      <c r="D963" s="28" t="n"/>
      <c r="E963" s="44" t="n"/>
      <c r="F963" s="44" t="n"/>
      <c r="G963" s="23" t="n"/>
      <c r="H963" s="23" t="n"/>
      <c r="I963" s="23" t="n"/>
      <c r="J963" s="23" t="n"/>
      <c r="K963" s="45">
        <f>IF(A963="","",SUM(G$2:I963)-SUM(J$2:J963))</f>
        <v/>
      </c>
      <c r="L963" s="46" t="n"/>
      <c r="M963">
        <f>IF(A963="","",IF(A963=A962,M962,N(M962)+1))</f>
        <v/>
      </c>
      <c r="N963">
        <f>IF(E963="",99999,E963)</f>
        <v/>
      </c>
      <c r="O963">
        <f>IF(E963="",0,IF(F963="",E963,F963))</f>
        <v/>
      </c>
      <c r="P963">
        <f>IF(E963="",1,MAX(1,(YEAR(O963)-YEAR(N963))*12+MONTH(O963)-MONTH(N963)+1))</f>
        <v/>
      </c>
      <c r="Q963">
        <f>IF(G963="",0,G963/P963)</f>
        <v/>
      </c>
      <c r="R963">
        <f>IF(H963="",0,H963/P963)</f>
        <v/>
      </c>
    </row>
    <row r="964">
      <c r="A964" s="43" t="n"/>
      <c r="B964" s="28" t="n"/>
      <c r="C964" s="28" t="n"/>
      <c r="D964" s="28" t="n"/>
      <c r="E964" s="44" t="n"/>
      <c r="F964" s="44" t="n"/>
      <c r="G964" s="23" t="n"/>
      <c r="H964" s="23" t="n"/>
      <c r="I964" s="23" t="n"/>
      <c r="J964" s="23" t="n"/>
      <c r="K964" s="45">
        <f>IF(A964="","",SUM(G$2:I964)-SUM(J$2:J964))</f>
        <v/>
      </c>
      <c r="L964" s="46" t="n"/>
      <c r="M964">
        <f>IF(A964="","",IF(A964=A963,M963,N(M963)+1))</f>
        <v/>
      </c>
      <c r="N964">
        <f>IF(E964="",99999,E964)</f>
        <v/>
      </c>
      <c r="O964">
        <f>IF(E964="",0,IF(F964="",E964,F964))</f>
        <v/>
      </c>
      <c r="P964">
        <f>IF(E964="",1,MAX(1,(YEAR(O964)-YEAR(N964))*12+MONTH(O964)-MONTH(N964)+1))</f>
        <v/>
      </c>
      <c r="Q964">
        <f>IF(G964="",0,G964/P964)</f>
        <v/>
      </c>
      <c r="R964">
        <f>IF(H964="",0,H964/P964)</f>
        <v/>
      </c>
    </row>
    <row r="965">
      <c r="A965" s="43" t="n"/>
      <c r="B965" s="28" t="n"/>
      <c r="C965" s="28" t="n"/>
      <c r="D965" s="28" t="n"/>
      <c r="E965" s="44" t="n"/>
      <c r="F965" s="44" t="n"/>
      <c r="G965" s="23" t="n"/>
      <c r="H965" s="23" t="n"/>
      <c r="I965" s="23" t="n"/>
      <c r="J965" s="23" t="n"/>
      <c r="K965" s="45">
        <f>IF(A965="","",SUM(G$2:I965)-SUM(J$2:J965))</f>
        <v/>
      </c>
      <c r="L965" s="46" t="n"/>
      <c r="M965">
        <f>IF(A965="","",IF(A965=A964,M964,N(M964)+1))</f>
        <v/>
      </c>
      <c r="N965">
        <f>IF(E965="",99999,E965)</f>
        <v/>
      </c>
      <c r="O965">
        <f>IF(E965="",0,IF(F965="",E965,F965))</f>
        <v/>
      </c>
      <c r="P965">
        <f>IF(E965="",1,MAX(1,(YEAR(O965)-YEAR(N965))*12+MONTH(O965)-MONTH(N965)+1))</f>
        <v/>
      </c>
      <c r="Q965">
        <f>IF(G965="",0,G965/P965)</f>
        <v/>
      </c>
      <c r="R965">
        <f>IF(H965="",0,H965/P965)</f>
        <v/>
      </c>
    </row>
    <row r="966">
      <c r="A966" s="43" t="n"/>
      <c r="B966" s="28" t="n"/>
      <c r="C966" s="28" t="n"/>
      <c r="D966" s="28" t="n"/>
      <c r="E966" s="44" t="n"/>
      <c r="F966" s="44" t="n"/>
      <c r="G966" s="23" t="n"/>
      <c r="H966" s="23" t="n"/>
      <c r="I966" s="23" t="n"/>
      <c r="J966" s="23" t="n"/>
      <c r="K966" s="45">
        <f>IF(A966="","",SUM(G$2:I966)-SUM(J$2:J966))</f>
        <v/>
      </c>
      <c r="L966" s="46" t="n"/>
      <c r="M966">
        <f>IF(A966="","",IF(A966=A965,M965,N(M965)+1))</f>
        <v/>
      </c>
      <c r="N966">
        <f>IF(E966="",99999,E966)</f>
        <v/>
      </c>
      <c r="O966">
        <f>IF(E966="",0,IF(F966="",E966,F966))</f>
        <v/>
      </c>
      <c r="P966">
        <f>IF(E966="",1,MAX(1,(YEAR(O966)-YEAR(N966))*12+MONTH(O966)-MONTH(N966)+1))</f>
        <v/>
      </c>
      <c r="Q966">
        <f>IF(G966="",0,G966/P966)</f>
        <v/>
      </c>
      <c r="R966">
        <f>IF(H966="",0,H966/P966)</f>
        <v/>
      </c>
    </row>
    <row r="967">
      <c r="A967" s="43" t="n"/>
      <c r="B967" s="28" t="n"/>
      <c r="C967" s="28" t="n"/>
      <c r="D967" s="28" t="n"/>
      <c r="E967" s="44" t="n"/>
      <c r="F967" s="44" t="n"/>
      <c r="G967" s="23" t="n"/>
      <c r="H967" s="23" t="n"/>
      <c r="I967" s="23" t="n"/>
      <c r="J967" s="23" t="n"/>
      <c r="K967" s="45">
        <f>IF(A967="","",SUM(G$2:I967)-SUM(J$2:J967))</f>
        <v/>
      </c>
      <c r="L967" s="46" t="n"/>
      <c r="M967">
        <f>IF(A967="","",IF(A967=A966,M966,N(M966)+1))</f>
        <v/>
      </c>
      <c r="N967">
        <f>IF(E967="",99999,E967)</f>
        <v/>
      </c>
      <c r="O967">
        <f>IF(E967="",0,IF(F967="",E967,F967))</f>
        <v/>
      </c>
      <c r="P967">
        <f>IF(E967="",1,MAX(1,(YEAR(O967)-YEAR(N967))*12+MONTH(O967)-MONTH(N967)+1))</f>
        <v/>
      </c>
      <c r="Q967">
        <f>IF(G967="",0,G967/P967)</f>
        <v/>
      </c>
      <c r="R967">
        <f>IF(H967="",0,H967/P967)</f>
        <v/>
      </c>
    </row>
    <row r="968">
      <c r="A968" s="43" t="n"/>
      <c r="B968" s="28" t="n"/>
      <c r="C968" s="28" t="n"/>
      <c r="D968" s="28" t="n"/>
      <c r="E968" s="44" t="n"/>
      <c r="F968" s="44" t="n"/>
      <c r="G968" s="23" t="n"/>
      <c r="H968" s="23" t="n"/>
      <c r="I968" s="23" t="n"/>
      <c r="J968" s="23" t="n"/>
      <c r="K968" s="45">
        <f>IF(A968="","",SUM(G$2:I968)-SUM(J$2:J968))</f>
        <v/>
      </c>
      <c r="L968" s="46" t="n"/>
      <c r="M968">
        <f>IF(A968="","",IF(A968=A967,M967,N(M967)+1))</f>
        <v/>
      </c>
      <c r="N968">
        <f>IF(E968="",99999,E968)</f>
        <v/>
      </c>
      <c r="O968">
        <f>IF(E968="",0,IF(F968="",E968,F968))</f>
        <v/>
      </c>
      <c r="P968">
        <f>IF(E968="",1,MAX(1,(YEAR(O968)-YEAR(N968))*12+MONTH(O968)-MONTH(N968)+1))</f>
        <v/>
      </c>
      <c r="Q968">
        <f>IF(G968="",0,G968/P968)</f>
        <v/>
      </c>
      <c r="R968">
        <f>IF(H968="",0,H968/P968)</f>
        <v/>
      </c>
    </row>
    <row r="969">
      <c r="A969" s="43" t="n"/>
      <c r="B969" s="28" t="n"/>
      <c r="C969" s="28" t="n"/>
      <c r="D969" s="28" t="n"/>
      <c r="E969" s="44" t="n"/>
      <c r="F969" s="44" t="n"/>
      <c r="G969" s="23" t="n"/>
      <c r="H969" s="23" t="n"/>
      <c r="I969" s="23" t="n"/>
      <c r="J969" s="23" t="n"/>
      <c r="K969" s="45">
        <f>IF(A969="","",SUM(G$2:I969)-SUM(J$2:J969))</f>
        <v/>
      </c>
      <c r="L969" s="46" t="n"/>
      <c r="M969">
        <f>IF(A969="","",IF(A969=A968,M968,N(M968)+1))</f>
        <v/>
      </c>
      <c r="N969">
        <f>IF(E969="",99999,E969)</f>
        <v/>
      </c>
      <c r="O969">
        <f>IF(E969="",0,IF(F969="",E969,F969))</f>
        <v/>
      </c>
      <c r="P969">
        <f>IF(E969="",1,MAX(1,(YEAR(O969)-YEAR(N969))*12+MONTH(O969)-MONTH(N969)+1))</f>
        <v/>
      </c>
      <c r="Q969">
        <f>IF(G969="",0,G969/P969)</f>
        <v/>
      </c>
      <c r="R969">
        <f>IF(H969="",0,H969/P969)</f>
        <v/>
      </c>
    </row>
    <row r="970">
      <c r="A970" s="43" t="n"/>
      <c r="B970" s="28" t="n"/>
      <c r="C970" s="28" t="n"/>
      <c r="D970" s="28" t="n"/>
      <c r="E970" s="44" t="n"/>
      <c r="F970" s="44" t="n"/>
      <c r="G970" s="23" t="n"/>
      <c r="H970" s="23" t="n"/>
      <c r="I970" s="23" t="n"/>
      <c r="J970" s="23" t="n"/>
      <c r="K970" s="45">
        <f>IF(A970="","",SUM(G$2:I970)-SUM(J$2:J970))</f>
        <v/>
      </c>
      <c r="L970" s="46" t="n"/>
      <c r="M970">
        <f>IF(A970="","",IF(A970=A969,M969,N(M969)+1))</f>
        <v/>
      </c>
      <c r="N970">
        <f>IF(E970="",99999,E970)</f>
        <v/>
      </c>
      <c r="O970">
        <f>IF(E970="",0,IF(F970="",E970,F970))</f>
        <v/>
      </c>
      <c r="P970">
        <f>IF(E970="",1,MAX(1,(YEAR(O970)-YEAR(N970))*12+MONTH(O970)-MONTH(N970)+1))</f>
        <v/>
      </c>
      <c r="Q970">
        <f>IF(G970="",0,G970/P970)</f>
        <v/>
      </c>
      <c r="R970">
        <f>IF(H970="",0,H970/P970)</f>
        <v/>
      </c>
    </row>
    <row r="971">
      <c r="A971" s="43" t="n"/>
      <c r="B971" s="28" t="n"/>
      <c r="C971" s="28" t="n"/>
      <c r="D971" s="28" t="n"/>
      <c r="E971" s="44" t="n"/>
      <c r="F971" s="44" t="n"/>
      <c r="G971" s="23" t="n"/>
      <c r="H971" s="23" t="n"/>
      <c r="I971" s="23" t="n"/>
      <c r="J971" s="23" t="n"/>
      <c r="K971" s="45">
        <f>IF(A971="","",SUM(G$2:I971)-SUM(J$2:J971))</f>
        <v/>
      </c>
      <c r="L971" s="46" t="n"/>
      <c r="M971">
        <f>IF(A971="","",IF(A971=A970,M970,N(M970)+1))</f>
        <v/>
      </c>
      <c r="N971">
        <f>IF(E971="",99999,E971)</f>
        <v/>
      </c>
      <c r="O971">
        <f>IF(E971="",0,IF(F971="",E971,F971))</f>
        <v/>
      </c>
      <c r="P971">
        <f>IF(E971="",1,MAX(1,(YEAR(O971)-YEAR(N971))*12+MONTH(O971)-MONTH(N971)+1))</f>
        <v/>
      </c>
      <c r="Q971">
        <f>IF(G971="",0,G971/P971)</f>
        <v/>
      </c>
      <c r="R971">
        <f>IF(H971="",0,H971/P971)</f>
        <v/>
      </c>
    </row>
    <row r="972">
      <c r="A972" s="43" t="n"/>
      <c r="B972" s="28" t="n"/>
      <c r="C972" s="28" t="n"/>
      <c r="D972" s="28" t="n"/>
      <c r="E972" s="44" t="n"/>
      <c r="F972" s="44" t="n"/>
      <c r="G972" s="23" t="n"/>
      <c r="H972" s="23" t="n"/>
      <c r="I972" s="23" t="n"/>
      <c r="J972" s="23" t="n"/>
      <c r="K972" s="45">
        <f>IF(A972="","",SUM(G$2:I972)-SUM(J$2:J972))</f>
        <v/>
      </c>
      <c r="L972" s="46" t="n"/>
      <c r="M972">
        <f>IF(A972="","",IF(A972=A971,M971,N(M971)+1))</f>
        <v/>
      </c>
      <c r="N972">
        <f>IF(E972="",99999,E972)</f>
        <v/>
      </c>
      <c r="O972">
        <f>IF(E972="",0,IF(F972="",E972,F972))</f>
        <v/>
      </c>
      <c r="P972">
        <f>IF(E972="",1,MAX(1,(YEAR(O972)-YEAR(N972))*12+MONTH(O972)-MONTH(N972)+1))</f>
        <v/>
      </c>
      <c r="Q972">
        <f>IF(G972="",0,G972/P972)</f>
        <v/>
      </c>
      <c r="R972">
        <f>IF(H972="",0,H972/P972)</f>
        <v/>
      </c>
    </row>
    <row r="973">
      <c r="A973" s="43" t="n"/>
      <c r="B973" s="28" t="n"/>
      <c r="C973" s="28" t="n"/>
      <c r="D973" s="28" t="n"/>
      <c r="E973" s="44" t="n"/>
      <c r="F973" s="44" t="n"/>
      <c r="G973" s="23" t="n"/>
      <c r="H973" s="23" t="n"/>
      <c r="I973" s="23" t="n"/>
      <c r="J973" s="23" t="n"/>
      <c r="K973" s="45">
        <f>IF(A973="","",SUM(G$2:I973)-SUM(J$2:J973))</f>
        <v/>
      </c>
      <c r="L973" s="46" t="n"/>
      <c r="M973">
        <f>IF(A973="","",IF(A973=A972,M972,N(M972)+1))</f>
        <v/>
      </c>
      <c r="N973">
        <f>IF(E973="",99999,E973)</f>
        <v/>
      </c>
      <c r="O973">
        <f>IF(E973="",0,IF(F973="",E973,F973))</f>
        <v/>
      </c>
      <c r="P973">
        <f>IF(E973="",1,MAX(1,(YEAR(O973)-YEAR(N973))*12+MONTH(O973)-MONTH(N973)+1))</f>
        <v/>
      </c>
      <c r="Q973">
        <f>IF(G973="",0,G973/P973)</f>
        <v/>
      </c>
      <c r="R973">
        <f>IF(H973="",0,H973/P973)</f>
        <v/>
      </c>
    </row>
    <row r="974">
      <c r="A974" s="43" t="n"/>
      <c r="B974" s="28" t="n"/>
      <c r="C974" s="28" t="n"/>
      <c r="D974" s="28" t="n"/>
      <c r="E974" s="44" t="n"/>
      <c r="F974" s="44" t="n"/>
      <c r="G974" s="23" t="n"/>
      <c r="H974" s="23" t="n"/>
      <c r="I974" s="23" t="n"/>
      <c r="J974" s="23" t="n"/>
      <c r="K974" s="45">
        <f>IF(A974="","",SUM(G$2:I974)-SUM(J$2:J974))</f>
        <v/>
      </c>
      <c r="L974" s="46" t="n"/>
      <c r="M974">
        <f>IF(A974="","",IF(A974=A973,M973,N(M973)+1))</f>
        <v/>
      </c>
      <c r="N974">
        <f>IF(E974="",99999,E974)</f>
        <v/>
      </c>
      <c r="O974">
        <f>IF(E974="",0,IF(F974="",E974,F974))</f>
        <v/>
      </c>
      <c r="P974">
        <f>IF(E974="",1,MAX(1,(YEAR(O974)-YEAR(N974))*12+MONTH(O974)-MONTH(N974)+1))</f>
        <v/>
      </c>
      <c r="Q974">
        <f>IF(G974="",0,G974/P974)</f>
        <v/>
      </c>
      <c r="R974">
        <f>IF(H974="",0,H974/P974)</f>
        <v/>
      </c>
    </row>
    <row r="975">
      <c r="A975" s="43" t="n"/>
      <c r="B975" s="28" t="n"/>
      <c r="C975" s="28" t="n"/>
      <c r="D975" s="28" t="n"/>
      <c r="E975" s="44" t="n"/>
      <c r="F975" s="44" t="n"/>
      <c r="G975" s="23" t="n"/>
      <c r="H975" s="23" t="n"/>
      <c r="I975" s="23" t="n"/>
      <c r="J975" s="23" t="n"/>
      <c r="K975" s="45">
        <f>IF(A975="","",SUM(G$2:I975)-SUM(J$2:J975))</f>
        <v/>
      </c>
      <c r="L975" s="46" t="n"/>
      <c r="M975">
        <f>IF(A975="","",IF(A975=A974,M974,N(M974)+1))</f>
        <v/>
      </c>
      <c r="N975">
        <f>IF(E975="",99999,E975)</f>
        <v/>
      </c>
      <c r="O975">
        <f>IF(E975="",0,IF(F975="",E975,F975))</f>
        <v/>
      </c>
      <c r="P975">
        <f>IF(E975="",1,MAX(1,(YEAR(O975)-YEAR(N975))*12+MONTH(O975)-MONTH(N975)+1))</f>
        <v/>
      </c>
      <c r="Q975">
        <f>IF(G975="",0,G975/P975)</f>
        <v/>
      </c>
      <c r="R975">
        <f>IF(H975="",0,H975/P975)</f>
        <v/>
      </c>
    </row>
    <row r="976">
      <c r="A976" s="43" t="n"/>
      <c r="B976" s="28" t="n"/>
      <c r="C976" s="28" t="n"/>
      <c r="D976" s="28" t="n"/>
      <c r="E976" s="44" t="n"/>
      <c r="F976" s="44" t="n"/>
      <c r="G976" s="23" t="n"/>
      <c r="H976" s="23" t="n"/>
      <c r="I976" s="23" t="n"/>
      <c r="J976" s="23" t="n"/>
      <c r="K976" s="45">
        <f>IF(A976="","",SUM(G$2:I976)-SUM(J$2:J976))</f>
        <v/>
      </c>
      <c r="L976" s="46" t="n"/>
      <c r="M976">
        <f>IF(A976="","",IF(A976=A975,M975,N(M975)+1))</f>
        <v/>
      </c>
      <c r="N976">
        <f>IF(E976="",99999,E976)</f>
        <v/>
      </c>
      <c r="O976">
        <f>IF(E976="",0,IF(F976="",E976,F976))</f>
        <v/>
      </c>
      <c r="P976">
        <f>IF(E976="",1,MAX(1,(YEAR(O976)-YEAR(N976))*12+MONTH(O976)-MONTH(N976)+1))</f>
        <v/>
      </c>
      <c r="Q976">
        <f>IF(G976="",0,G976/P976)</f>
        <v/>
      </c>
      <c r="R976">
        <f>IF(H976="",0,H976/P976)</f>
        <v/>
      </c>
    </row>
    <row r="977">
      <c r="A977" s="43" t="n"/>
      <c r="B977" s="28" t="n"/>
      <c r="C977" s="28" t="n"/>
      <c r="D977" s="28" t="n"/>
      <c r="E977" s="44" t="n"/>
      <c r="F977" s="44" t="n"/>
      <c r="G977" s="23" t="n"/>
      <c r="H977" s="23" t="n"/>
      <c r="I977" s="23" t="n"/>
      <c r="J977" s="23" t="n"/>
      <c r="K977" s="45">
        <f>IF(A977="","",SUM(G$2:I977)-SUM(J$2:J977))</f>
        <v/>
      </c>
      <c r="L977" s="46" t="n"/>
      <c r="M977">
        <f>IF(A977="","",IF(A977=A976,M976,N(M976)+1))</f>
        <v/>
      </c>
      <c r="N977">
        <f>IF(E977="",99999,E977)</f>
        <v/>
      </c>
      <c r="O977">
        <f>IF(E977="",0,IF(F977="",E977,F977))</f>
        <v/>
      </c>
      <c r="P977">
        <f>IF(E977="",1,MAX(1,(YEAR(O977)-YEAR(N977))*12+MONTH(O977)-MONTH(N977)+1))</f>
        <v/>
      </c>
      <c r="Q977">
        <f>IF(G977="",0,G977/P977)</f>
        <v/>
      </c>
      <c r="R977">
        <f>IF(H977="",0,H977/P977)</f>
        <v/>
      </c>
    </row>
    <row r="978">
      <c r="A978" s="43" t="n"/>
      <c r="B978" s="28" t="n"/>
      <c r="C978" s="28" t="n"/>
      <c r="D978" s="28" t="n"/>
      <c r="E978" s="44" t="n"/>
      <c r="F978" s="44" t="n"/>
      <c r="G978" s="23" t="n"/>
      <c r="H978" s="23" t="n"/>
      <c r="I978" s="23" t="n"/>
      <c r="J978" s="23" t="n"/>
      <c r="K978" s="45">
        <f>IF(A978="","",SUM(G$2:I978)-SUM(J$2:J978))</f>
        <v/>
      </c>
      <c r="L978" s="46" t="n"/>
      <c r="M978">
        <f>IF(A978="","",IF(A978=A977,M977,N(M977)+1))</f>
        <v/>
      </c>
      <c r="N978">
        <f>IF(E978="",99999,E978)</f>
        <v/>
      </c>
      <c r="O978">
        <f>IF(E978="",0,IF(F978="",E978,F978))</f>
        <v/>
      </c>
      <c r="P978">
        <f>IF(E978="",1,MAX(1,(YEAR(O978)-YEAR(N978))*12+MONTH(O978)-MONTH(N978)+1))</f>
        <v/>
      </c>
      <c r="Q978">
        <f>IF(G978="",0,G978/P978)</f>
        <v/>
      </c>
      <c r="R978">
        <f>IF(H978="",0,H978/P978)</f>
        <v/>
      </c>
    </row>
    <row r="979">
      <c r="A979" s="43" t="n"/>
      <c r="B979" s="28" t="n"/>
      <c r="C979" s="28" t="n"/>
      <c r="D979" s="28" t="n"/>
      <c r="E979" s="44" t="n"/>
      <c r="F979" s="44" t="n"/>
      <c r="G979" s="23" t="n"/>
      <c r="H979" s="23" t="n"/>
      <c r="I979" s="23" t="n"/>
      <c r="J979" s="23" t="n"/>
      <c r="K979" s="45">
        <f>IF(A979="","",SUM(G$2:I979)-SUM(J$2:J979))</f>
        <v/>
      </c>
      <c r="L979" s="46" t="n"/>
      <c r="M979">
        <f>IF(A979="","",IF(A979=A978,M978,N(M978)+1))</f>
        <v/>
      </c>
      <c r="N979">
        <f>IF(E979="",99999,E979)</f>
        <v/>
      </c>
      <c r="O979">
        <f>IF(E979="",0,IF(F979="",E979,F979))</f>
        <v/>
      </c>
      <c r="P979">
        <f>IF(E979="",1,MAX(1,(YEAR(O979)-YEAR(N979))*12+MONTH(O979)-MONTH(N979)+1))</f>
        <v/>
      </c>
      <c r="Q979">
        <f>IF(G979="",0,G979/P979)</f>
        <v/>
      </c>
      <c r="R979">
        <f>IF(H979="",0,H979/P979)</f>
        <v/>
      </c>
    </row>
    <row r="980">
      <c r="A980" s="43" t="n"/>
      <c r="B980" s="28" t="n"/>
      <c r="C980" s="28" t="n"/>
      <c r="D980" s="28" t="n"/>
      <c r="E980" s="44" t="n"/>
      <c r="F980" s="44" t="n"/>
      <c r="G980" s="23" t="n"/>
      <c r="H980" s="23" t="n"/>
      <c r="I980" s="23" t="n"/>
      <c r="J980" s="23" t="n"/>
      <c r="K980" s="45">
        <f>IF(A980="","",SUM(G$2:I980)-SUM(J$2:J980))</f>
        <v/>
      </c>
      <c r="L980" s="46" t="n"/>
      <c r="M980">
        <f>IF(A980="","",IF(A980=A979,M979,N(M979)+1))</f>
        <v/>
      </c>
      <c r="N980">
        <f>IF(E980="",99999,E980)</f>
        <v/>
      </c>
      <c r="O980">
        <f>IF(E980="",0,IF(F980="",E980,F980))</f>
        <v/>
      </c>
      <c r="P980">
        <f>IF(E980="",1,MAX(1,(YEAR(O980)-YEAR(N980))*12+MONTH(O980)-MONTH(N980)+1))</f>
        <v/>
      </c>
      <c r="Q980">
        <f>IF(G980="",0,G980/P980)</f>
        <v/>
      </c>
      <c r="R980">
        <f>IF(H980="",0,H980/P980)</f>
        <v/>
      </c>
    </row>
    <row r="981">
      <c r="A981" s="43" t="n"/>
      <c r="B981" s="28" t="n"/>
      <c r="C981" s="28" t="n"/>
      <c r="D981" s="28" t="n"/>
      <c r="E981" s="44" t="n"/>
      <c r="F981" s="44" t="n"/>
      <c r="G981" s="23" t="n"/>
      <c r="H981" s="23" t="n"/>
      <c r="I981" s="23" t="n"/>
      <c r="J981" s="23" t="n"/>
      <c r="K981" s="45">
        <f>IF(A981="","",SUM(G$2:I981)-SUM(J$2:J981))</f>
        <v/>
      </c>
      <c r="L981" s="46" t="n"/>
      <c r="M981">
        <f>IF(A981="","",IF(A981=A980,M980,N(M980)+1))</f>
        <v/>
      </c>
      <c r="N981">
        <f>IF(E981="",99999,E981)</f>
        <v/>
      </c>
      <c r="O981">
        <f>IF(E981="",0,IF(F981="",E981,F981))</f>
        <v/>
      </c>
      <c r="P981">
        <f>IF(E981="",1,MAX(1,(YEAR(O981)-YEAR(N981))*12+MONTH(O981)-MONTH(N981)+1))</f>
        <v/>
      </c>
      <c r="Q981">
        <f>IF(G981="",0,G981/P981)</f>
        <v/>
      </c>
      <c r="R981">
        <f>IF(H981="",0,H981/P981)</f>
        <v/>
      </c>
    </row>
    <row r="982">
      <c r="A982" s="43" t="n"/>
      <c r="B982" s="28" t="n"/>
      <c r="C982" s="28" t="n"/>
      <c r="D982" s="28" t="n"/>
      <c r="E982" s="44" t="n"/>
      <c r="F982" s="44" t="n"/>
      <c r="G982" s="23" t="n"/>
      <c r="H982" s="23" t="n"/>
      <c r="I982" s="23" t="n"/>
      <c r="J982" s="23" t="n"/>
      <c r="K982" s="45">
        <f>IF(A982="","",SUM(G$2:I982)-SUM(J$2:J982))</f>
        <v/>
      </c>
      <c r="L982" s="46" t="n"/>
      <c r="M982">
        <f>IF(A982="","",IF(A982=A981,M981,N(M981)+1))</f>
        <v/>
      </c>
      <c r="N982">
        <f>IF(E982="",99999,E982)</f>
        <v/>
      </c>
      <c r="O982">
        <f>IF(E982="",0,IF(F982="",E982,F982))</f>
        <v/>
      </c>
      <c r="P982">
        <f>IF(E982="",1,MAX(1,(YEAR(O982)-YEAR(N982))*12+MONTH(O982)-MONTH(N982)+1))</f>
        <v/>
      </c>
      <c r="Q982">
        <f>IF(G982="",0,G982/P982)</f>
        <v/>
      </c>
      <c r="R982">
        <f>IF(H982="",0,H982/P982)</f>
        <v/>
      </c>
    </row>
    <row r="983">
      <c r="A983" s="43" t="n"/>
      <c r="B983" s="28" t="n"/>
      <c r="C983" s="28" t="n"/>
      <c r="D983" s="28" t="n"/>
      <c r="E983" s="44" t="n"/>
      <c r="F983" s="44" t="n"/>
      <c r="G983" s="23" t="n"/>
      <c r="H983" s="23" t="n"/>
      <c r="I983" s="23" t="n"/>
      <c r="J983" s="23" t="n"/>
      <c r="K983" s="45">
        <f>IF(A983="","",SUM(G$2:I983)-SUM(J$2:J983))</f>
        <v/>
      </c>
      <c r="L983" s="46" t="n"/>
      <c r="M983">
        <f>IF(A983="","",IF(A983=A982,M982,N(M982)+1))</f>
        <v/>
      </c>
      <c r="N983">
        <f>IF(E983="",99999,E983)</f>
        <v/>
      </c>
      <c r="O983">
        <f>IF(E983="",0,IF(F983="",E983,F983))</f>
        <v/>
      </c>
      <c r="P983">
        <f>IF(E983="",1,MAX(1,(YEAR(O983)-YEAR(N983))*12+MONTH(O983)-MONTH(N983)+1))</f>
        <v/>
      </c>
      <c r="Q983">
        <f>IF(G983="",0,G983/P983)</f>
        <v/>
      </c>
      <c r="R983">
        <f>IF(H983="",0,H983/P983)</f>
        <v/>
      </c>
    </row>
    <row r="984">
      <c r="A984" s="43" t="n"/>
      <c r="B984" s="28" t="n"/>
      <c r="C984" s="28" t="n"/>
      <c r="D984" s="28" t="n"/>
      <c r="E984" s="44" t="n"/>
      <c r="F984" s="44" t="n"/>
      <c r="G984" s="23" t="n"/>
      <c r="H984" s="23" t="n"/>
      <c r="I984" s="23" t="n"/>
      <c r="J984" s="23" t="n"/>
      <c r="K984" s="45">
        <f>IF(A984="","",SUM(G$2:I984)-SUM(J$2:J984))</f>
        <v/>
      </c>
      <c r="L984" s="46" t="n"/>
      <c r="M984">
        <f>IF(A984="","",IF(A984=A983,M983,N(M983)+1))</f>
        <v/>
      </c>
      <c r="N984">
        <f>IF(E984="",99999,E984)</f>
        <v/>
      </c>
      <c r="O984">
        <f>IF(E984="",0,IF(F984="",E984,F984))</f>
        <v/>
      </c>
      <c r="P984">
        <f>IF(E984="",1,MAX(1,(YEAR(O984)-YEAR(N984))*12+MONTH(O984)-MONTH(N984)+1))</f>
        <v/>
      </c>
      <c r="Q984">
        <f>IF(G984="",0,G984/P984)</f>
        <v/>
      </c>
      <c r="R984">
        <f>IF(H984="",0,H984/P984)</f>
        <v/>
      </c>
    </row>
    <row r="985">
      <c r="A985" s="43" t="n"/>
      <c r="B985" s="28" t="n"/>
      <c r="C985" s="28" t="n"/>
      <c r="D985" s="28" t="n"/>
      <c r="E985" s="44" t="n"/>
      <c r="F985" s="44" t="n"/>
      <c r="G985" s="23" t="n"/>
      <c r="H985" s="23" t="n"/>
      <c r="I985" s="23" t="n"/>
      <c r="J985" s="23" t="n"/>
      <c r="K985" s="45">
        <f>IF(A985="","",SUM(G$2:I985)-SUM(J$2:J985))</f>
        <v/>
      </c>
      <c r="L985" s="46" t="n"/>
      <c r="M985">
        <f>IF(A985="","",IF(A985=A984,M984,N(M984)+1))</f>
        <v/>
      </c>
      <c r="N985">
        <f>IF(E985="",99999,E985)</f>
        <v/>
      </c>
      <c r="O985">
        <f>IF(E985="",0,IF(F985="",E985,F985))</f>
        <v/>
      </c>
      <c r="P985">
        <f>IF(E985="",1,MAX(1,(YEAR(O985)-YEAR(N985))*12+MONTH(O985)-MONTH(N985)+1))</f>
        <v/>
      </c>
      <c r="Q985">
        <f>IF(G985="",0,G985/P985)</f>
        <v/>
      </c>
      <c r="R985">
        <f>IF(H985="",0,H985/P985)</f>
        <v/>
      </c>
    </row>
    <row r="986">
      <c r="A986" s="43" t="n"/>
      <c r="B986" s="28" t="n"/>
      <c r="C986" s="28" t="n"/>
      <c r="D986" s="28" t="n"/>
      <c r="E986" s="44" t="n"/>
      <c r="F986" s="44" t="n"/>
      <c r="G986" s="23" t="n"/>
      <c r="H986" s="23" t="n"/>
      <c r="I986" s="23" t="n"/>
      <c r="J986" s="23" t="n"/>
      <c r="K986" s="45">
        <f>IF(A986="","",SUM(G$2:I986)-SUM(J$2:J986))</f>
        <v/>
      </c>
      <c r="L986" s="46" t="n"/>
      <c r="M986">
        <f>IF(A986="","",IF(A986=A985,M985,N(M985)+1))</f>
        <v/>
      </c>
      <c r="N986">
        <f>IF(E986="",99999,E986)</f>
        <v/>
      </c>
      <c r="O986">
        <f>IF(E986="",0,IF(F986="",E986,F986))</f>
        <v/>
      </c>
      <c r="P986">
        <f>IF(E986="",1,MAX(1,(YEAR(O986)-YEAR(N986))*12+MONTH(O986)-MONTH(N986)+1))</f>
        <v/>
      </c>
      <c r="Q986">
        <f>IF(G986="",0,G986/P986)</f>
        <v/>
      </c>
      <c r="R986">
        <f>IF(H986="",0,H986/P986)</f>
        <v/>
      </c>
    </row>
    <row r="987">
      <c r="A987" s="43" t="n"/>
      <c r="B987" s="28" t="n"/>
      <c r="C987" s="28" t="n"/>
      <c r="D987" s="28" t="n"/>
      <c r="E987" s="44" t="n"/>
      <c r="F987" s="44" t="n"/>
      <c r="G987" s="23" t="n"/>
      <c r="H987" s="23" t="n"/>
      <c r="I987" s="23" t="n"/>
      <c r="J987" s="23" t="n"/>
      <c r="K987" s="45">
        <f>IF(A987="","",SUM(G$2:I987)-SUM(J$2:J987))</f>
        <v/>
      </c>
      <c r="L987" s="46" t="n"/>
      <c r="M987">
        <f>IF(A987="","",IF(A987=A986,M986,N(M986)+1))</f>
        <v/>
      </c>
      <c r="N987">
        <f>IF(E987="",99999,E987)</f>
        <v/>
      </c>
      <c r="O987">
        <f>IF(E987="",0,IF(F987="",E987,F987))</f>
        <v/>
      </c>
      <c r="P987">
        <f>IF(E987="",1,MAX(1,(YEAR(O987)-YEAR(N987))*12+MONTH(O987)-MONTH(N987)+1))</f>
        <v/>
      </c>
      <c r="Q987">
        <f>IF(G987="",0,G987/P987)</f>
        <v/>
      </c>
      <c r="R987">
        <f>IF(H987="",0,H987/P987)</f>
        <v/>
      </c>
    </row>
    <row r="988">
      <c r="A988" s="43" t="n"/>
      <c r="B988" s="28" t="n"/>
      <c r="C988" s="28" t="n"/>
      <c r="D988" s="28" t="n"/>
      <c r="E988" s="44" t="n"/>
      <c r="F988" s="44" t="n"/>
      <c r="G988" s="23" t="n"/>
      <c r="H988" s="23" t="n"/>
      <c r="I988" s="23" t="n"/>
      <c r="J988" s="23" t="n"/>
      <c r="K988" s="45">
        <f>IF(A988="","",SUM(G$2:I988)-SUM(J$2:J988))</f>
        <v/>
      </c>
      <c r="L988" s="46" t="n"/>
      <c r="M988">
        <f>IF(A988="","",IF(A988=A987,M987,N(M987)+1))</f>
        <v/>
      </c>
      <c r="N988">
        <f>IF(E988="",99999,E988)</f>
        <v/>
      </c>
      <c r="O988">
        <f>IF(E988="",0,IF(F988="",E988,F988))</f>
        <v/>
      </c>
      <c r="P988">
        <f>IF(E988="",1,MAX(1,(YEAR(O988)-YEAR(N988))*12+MONTH(O988)-MONTH(N988)+1))</f>
        <v/>
      </c>
      <c r="Q988">
        <f>IF(G988="",0,G988/P988)</f>
        <v/>
      </c>
      <c r="R988">
        <f>IF(H988="",0,H988/P988)</f>
        <v/>
      </c>
    </row>
    <row r="989">
      <c r="A989" s="43" t="n"/>
      <c r="B989" s="28" t="n"/>
      <c r="C989" s="28" t="n"/>
      <c r="D989" s="28" t="n"/>
      <c r="E989" s="44" t="n"/>
      <c r="F989" s="44" t="n"/>
      <c r="G989" s="23" t="n"/>
      <c r="H989" s="23" t="n"/>
      <c r="I989" s="23" t="n"/>
      <c r="J989" s="23" t="n"/>
      <c r="K989" s="45">
        <f>IF(A989="","",SUM(G$2:I989)-SUM(J$2:J989))</f>
        <v/>
      </c>
      <c r="L989" s="46" t="n"/>
      <c r="M989">
        <f>IF(A989="","",IF(A989=A988,M988,N(M988)+1))</f>
        <v/>
      </c>
      <c r="N989">
        <f>IF(E989="",99999,E989)</f>
        <v/>
      </c>
      <c r="O989">
        <f>IF(E989="",0,IF(F989="",E989,F989))</f>
        <v/>
      </c>
      <c r="P989">
        <f>IF(E989="",1,MAX(1,(YEAR(O989)-YEAR(N989))*12+MONTH(O989)-MONTH(N989)+1))</f>
        <v/>
      </c>
      <c r="Q989">
        <f>IF(G989="",0,G989/P989)</f>
        <v/>
      </c>
      <c r="R989">
        <f>IF(H989="",0,H989/P989)</f>
        <v/>
      </c>
    </row>
    <row r="990">
      <c r="A990" s="43" t="n"/>
      <c r="B990" s="28" t="n"/>
      <c r="C990" s="28" t="n"/>
      <c r="D990" s="28" t="n"/>
      <c r="E990" s="44" t="n"/>
      <c r="F990" s="44" t="n"/>
      <c r="G990" s="23" t="n"/>
      <c r="H990" s="23" t="n"/>
      <c r="I990" s="23" t="n"/>
      <c r="J990" s="23" t="n"/>
      <c r="K990" s="45">
        <f>IF(A990="","",SUM(G$2:I990)-SUM(J$2:J990))</f>
        <v/>
      </c>
      <c r="L990" s="46" t="n"/>
      <c r="M990">
        <f>IF(A990="","",IF(A990=A989,M989,N(M989)+1))</f>
        <v/>
      </c>
      <c r="N990">
        <f>IF(E990="",99999,E990)</f>
        <v/>
      </c>
      <c r="O990">
        <f>IF(E990="",0,IF(F990="",E990,F990))</f>
        <v/>
      </c>
      <c r="P990">
        <f>IF(E990="",1,MAX(1,(YEAR(O990)-YEAR(N990))*12+MONTH(O990)-MONTH(N990)+1))</f>
        <v/>
      </c>
      <c r="Q990">
        <f>IF(G990="",0,G990/P990)</f>
        <v/>
      </c>
      <c r="R990">
        <f>IF(H990="",0,H990/P990)</f>
        <v/>
      </c>
    </row>
    <row r="991">
      <c r="A991" s="43" t="n"/>
      <c r="B991" s="28" t="n"/>
      <c r="C991" s="28" t="n"/>
      <c r="D991" s="28" t="n"/>
      <c r="E991" s="44" t="n"/>
      <c r="F991" s="44" t="n"/>
      <c r="G991" s="23" t="n"/>
      <c r="H991" s="23" t="n"/>
      <c r="I991" s="23" t="n"/>
      <c r="J991" s="23" t="n"/>
      <c r="K991" s="45">
        <f>IF(A991="","",SUM(G$2:I991)-SUM(J$2:J991))</f>
        <v/>
      </c>
      <c r="L991" s="46" t="n"/>
      <c r="M991">
        <f>IF(A991="","",IF(A991=A990,M990,N(M990)+1))</f>
        <v/>
      </c>
      <c r="N991">
        <f>IF(E991="",99999,E991)</f>
        <v/>
      </c>
      <c r="O991">
        <f>IF(E991="",0,IF(F991="",E991,F991))</f>
        <v/>
      </c>
      <c r="P991">
        <f>IF(E991="",1,MAX(1,(YEAR(O991)-YEAR(N991))*12+MONTH(O991)-MONTH(N991)+1))</f>
        <v/>
      </c>
      <c r="Q991">
        <f>IF(G991="",0,G991/P991)</f>
        <v/>
      </c>
      <c r="R991">
        <f>IF(H991="",0,H991/P991)</f>
        <v/>
      </c>
    </row>
    <row r="992">
      <c r="A992" s="43" t="n"/>
      <c r="B992" s="28" t="n"/>
      <c r="C992" s="28" t="n"/>
      <c r="D992" s="28" t="n"/>
      <c r="E992" s="44" t="n"/>
      <c r="F992" s="44" t="n"/>
      <c r="G992" s="23" t="n"/>
      <c r="H992" s="23" t="n"/>
      <c r="I992" s="23" t="n"/>
      <c r="J992" s="23" t="n"/>
      <c r="K992" s="45">
        <f>IF(A992="","",SUM(G$2:I992)-SUM(J$2:J992))</f>
        <v/>
      </c>
      <c r="L992" s="46" t="n"/>
      <c r="M992">
        <f>IF(A992="","",IF(A992=A991,M991,N(M991)+1))</f>
        <v/>
      </c>
      <c r="N992">
        <f>IF(E992="",99999,E992)</f>
        <v/>
      </c>
      <c r="O992">
        <f>IF(E992="",0,IF(F992="",E992,F992))</f>
        <v/>
      </c>
      <c r="P992">
        <f>IF(E992="",1,MAX(1,(YEAR(O992)-YEAR(N992))*12+MONTH(O992)-MONTH(N992)+1))</f>
        <v/>
      </c>
      <c r="Q992">
        <f>IF(G992="",0,G992/P992)</f>
        <v/>
      </c>
      <c r="R992">
        <f>IF(H992="",0,H992/P992)</f>
        <v/>
      </c>
    </row>
    <row r="993">
      <c r="A993" s="43" t="n"/>
      <c r="B993" s="28" t="n"/>
      <c r="C993" s="28" t="n"/>
      <c r="D993" s="28" t="n"/>
      <c r="E993" s="44" t="n"/>
      <c r="F993" s="44" t="n"/>
      <c r="G993" s="23" t="n"/>
      <c r="H993" s="23" t="n"/>
      <c r="I993" s="23" t="n"/>
      <c r="J993" s="23" t="n"/>
      <c r="K993" s="45">
        <f>IF(A993="","",SUM(G$2:I993)-SUM(J$2:J993))</f>
        <v/>
      </c>
      <c r="L993" s="46" t="n"/>
      <c r="M993">
        <f>IF(A993="","",IF(A993=A992,M992,N(M992)+1))</f>
        <v/>
      </c>
      <c r="N993">
        <f>IF(E993="",99999,E993)</f>
        <v/>
      </c>
      <c r="O993">
        <f>IF(E993="",0,IF(F993="",E993,F993))</f>
        <v/>
      </c>
      <c r="P993">
        <f>IF(E993="",1,MAX(1,(YEAR(O993)-YEAR(N993))*12+MONTH(O993)-MONTH(N993)+1))</f>
        <v/>
      </c>
      <c r="Q993">
        <f>IF(G993="",0,G993/P993)</f>
        <v/>
      </c>
      <c r="R993">
        <f>IF(H993="",0,H993/P993)</f>
        <v/>
      </c>
    </row>
    <row r="994">
      <c r="A994" s="43" t="n"/>
      <c r="B994" s="28" t="n"/>
      <c r="C994" s="28" t="n"/>
      <c r="D994" s="28" t="n"/>
      <c r="E994" s="44" t="n"/>
      <c r="F994" s="44" t="n"/>
      <c r="G994" s="23" t="n"/>
      <c r="H994" s="23" t="n"/>
      <c r="I994" s="23" t="n"/>
      <c r="J994" s="23" t="n"/>
      <c r="K994" s="45">
        <f>IF(A994="","",SUM(G$2:I994)-SUM(J$2:J994))</f>
        <v/>
      </c>
      <c r="L994" s="46" t="n"/>
      <c r="M994">
        <f>IF(A994="","",IF(A994=A993,M993,N(M993)+1))</f>
        <v/>
      </c>
      <c r="N994">
        <f>IF(E994="",99999,E994)</f>
        <v/>
      </c>
      <c r="O994">
        <f>IF(E994="",0,IF(F994="",E994,F994))</f>
        <v/>
      </c>
      <c r="P994">
        <f>IF(E994="",1,MAX(1,(YEAR(O994)-YEAR(N994))*12+MONTH(O994)-MONTH(N994)+1))</f>
        <v/>
      </c>
      <c r="Q994">
        <f>IF(G994="",0,G994/P994)</f>
        <v/>
      </c>
      <c r="R994">
        <f>IF(H994="",0,H994/P994)</f>
        <v/>
      </c>
    </row>
    <row r="995">
      <c r="A995" s="43" t="n"/>
      <c r="B995" s="28" t="n"/>
      <c r="C995" s="28" t="n"/>
      <c r="D995" s="28" t="n"/>
      <c r="E995" s="44" t="n"/>
      <c r="F995" s="44" t="n"/>
      <c r="G995" s="23" t="n"/>
      <c r="H995" s="23" t="n"/>
      <c r="I995" s="23" t="n"/>
      <c r="J995" s="23" t="n"/>
      <c r="K995" s="45">
        <f>IF(A995="","",SUM(G$2:I995)-SUM(J$2:J995))</f>
        <v/>
      </c>
      <c r="L995" s="46" t="n"/>
      <c r="M995">
        <f>IF(A995="","",IF(A995=A994,M994,N(M994)+1))</f>
        <v/>
      </c>
      <c r="N995">
        <f>IF(E995="",99999,E995)</f>
        <v/>
      </c>
      <c r="O995">
        <f>IF(E995="",0,IF(F995="",E995,F995))</f>
        <v/>
      </c>
      <c r="P995">
        <f>IF(E995="",1,MAX(1,(YEAR(O995)-YEAR(N995))*12+MONTH(O995)-MONTH(N995)+1))</f>
        <v/>
      </c>
      <c r="Q995">
        <f>IF(G995="",0,G995/P995)</f>
        <v/>
      </c>
      <c r="R995">
        <f>IF(H995="",0,H995/P995)</f>
        <v/>
      </c>
    </row>
    <row r="996">
      <c r="A996" s="43" t="n"/>
      <c r="B996" s="28" t="n"/>
      <c r="C996" s="28" t="n"/>
      <c r="D996" s="28" t="n"/>
      <c r="E996" s="44" t="n"/>
      <c r="F996" s="44" t="n"/>
      <c r="G996" s="23" t="n"/>
      <c r="H996" s="23" t="n"/>
      <c r="I996" s="23" t="n"/>
      <c r="J996" s="23" t="n"/>
      <c r="K996" s="45">
        <f>IF(A996="","",SUM(G$2:I996)-SUM(J$2:J996))</f>
        <v/>
      </c>
      <c r="L996" s="46" t="n"/>
      <c r="M996">
        <f>IF(A996="","",IF(A996=A995,M995,N(M995)+1))</f>
        <v/>
      </c>
      <c r="N996">
        <f>IF(E996="",99999,E996)</f>
        <v/>
      </c>
      <c r="O996">
        <f>IF(E996="",0,IF(F996="",E996,F996))</f>
        <v/>
      </c>
      <c r="P996">
        <f>IF(E996="",1,MAX(1,(YEAR(O996)-YEAR(N996))*12+MONTH(O996)-MONTH(N996)+1))</f>
        <v/>
      </c>
      <c r="Q996">
        <f>IF(G996="",0,G996/P996)</f>
        <v/>
      </c>
      <c r="R996">
        <f>IF(H996="",0,H996/P996)</f>
        <v/>
      </c>
    </row>
    <row r="997">
      <c r="A997" s="43" t="n"/>
      <c r="B997" s="28" t="n"/>
      <c r="C997" s="28" t="n"/>
      <c r="D997" s="28" t="n"/>
      <c r="E997" s="44" t="n"/>
      <c r="F997" s="44" t="n"/>
      <c r="G997" s="23" t="n"/>
      <c r="H997" s="23" t="n"/>
      <c r="I997" s="23" t="n"/>
      <c r="J997" s="23" t="n"/>
      <c r="K997" s="45">
        <f>IF(A997="","",SUM(G$2:I997)-SUM(J$2:J997))</f>
        <v/>
      </c>
      <c r="L997" s="46" t="n"/>
      <c r="M997">
        <f>IF(A997="","",IF(A997=A996,M996,N(M996)+1))</f>
        <v/>
      </c>
      <c r="N997">
        <f>IF(E997="",99999,E997)</f>
        <v/>
      </c>
      <c r="O997">
        <f>IF(E997="",0,IF(F997="",E997,F997))</f>
        <v/>
      </c>
      <c r="P997">
        <f>IF(E997="",1,MAX(1,(YEAR(O997)-YEAR(N997))*12+MONTH(O997)-MONTH(N997)+1))</f>
        <v/>
      </c>
      <c r="Q997">
        <f>IF(G997="",0,G997/P997)</f>
        <v/>
      </c>
      <c r="R997">
        <f>IF(H997="",0,H997/P997)</f>
        <v/>
      </c>
    </row>
    <row r="998">
      <c r="A998" s="43" t="n"/>
      <c r="B998" s="28" t="n"/>
      <c r="C998" s="28" t="n"/>
      <c r="D998" s="28" t="n"/>
      <c r="E998" s="44" t="n"/>
      <c r="F998" s="44" t="n"/>
      <c r="G998" s="23" t="n"/>
      <c r="H998" s="23" t="n"/>
      <c r="I998" s="23" t="n"/>
      <c r="J998" s="23" t="n"/>
      <c r="K998" s="45">
        <f>IF(A998="","",SUM(G$2:I998)-SUM(J$2:J998))</f>
        <v/>
      </c>
      <c r="L998" s="46" t="n"/>
      <c r="M998">
        <f>IF(A998="","",IF(A998=A997,M997,N(M997)+1))</f>
        <v/>
      </c>
      <c r="N998">
        <f>IF(E998="",99999,E998)</f>
        <v/>
      </c>
      <c r="O998">
        <f>IF(E998="",0,IF(F998="",E998,F998))</f>
        <v/>
      </c>
      <c r="P998">
        <f>IF(E998="",1,MAX(1,(YEAR(O998)-YEAR(N998))*12+MONTH(O998)-MONTH(N998)+1))</f>
        <v/>
      </c>
      <c r="Q998">
        <f>IF(G998="",0,G998/P998)</f>
        <v/>
      </c>
      <c r="R998">
        <f>IF(H998="",0,H998/P998)</f>
        <v/>
      </c>
    </row>
    <row r="999">
      <c r="A999" s="43" t="n"/>
      <c r="B999" s="28" t="n"/>
      <c r="C999" s="28" t="n"/>
      <c r="D999" s="28" t="n"/>
      <c r="E999" s="44" t="n"/>
      <c r="F999" s="44" t="n"/>
      <c r="G999" s="23" t="n"/>
      <c r="H999" s="23" t="n"/>
      <c r="I999" s="23" t="n"/>
      <c r="J999" s="23" t="n"/>
      <c r="K999" s="45">
        <f>IF(A999="","",SUM(G$2:I999)-SUM(J$2:J999))</f>
        <v/>
      </c>
      <c r="L999" s="46" t="n"/>
      <c r="M999">
        <f>IF(A999="","",IF(A999=A998,M998,N(M998)+1))</f>
        <v/>
      </c>
      <c r="N999">
        <f>IF(E999="",99999,E999)</f>
        <v/>
      </c>
      <c r="O999">
        <f>IF(E999="",0,IF(F999="",E999,F999))</f>
        <v/>
      </c>
      <c r="P999">
        <f>IF(E999="",1,MAX(1,(YEAR(O999)-YEAR(N999))*12+MONTH(O999)-MONTH(N999)+1))</f>
        <v/>
      </c>
      <c r="Q999">
        <f>IF(G999="",0,G999/P999)</f>
        <v/>
      </c>
      <c r="R999">
        <f>IF(H999="",0,H999/P999)</f>
        <v/>
      </c>
    </row>
    <row r="1000">
      <c r="A1000" s="43" t="n"/>
      <c r="B1000" s="28" t="n"/>
      <c r="C1000" s="28" t="n"/>
      <c r="D1000" s="28" t="n"/>
      <c r="E1000" s="44" t="n"/>
      <c r="F1000" s="44" t="n"/>
      <c r="G1000" s="23" t="n"/>
      <c r="H1000" s="23" t="n"/>
      <c r="I1000" s="23" t="n"/>
      <c r="J1000" s="23" t="n"/>
      <c r="K1000" s="45">
        <f>IF(A1000="","",SUM(G$2:I1000)-SUM(J$2:J1000))</f>
        <v/>
      </c>
      <c r="L1000" s="46" t="n"/>
      <c r="M1000">
        <f>IF(A1000="","",IF(A1000=A999,M999,N(M999)+1))</f>
        <v/>
      </c>
      <c r="N1000">
        <f>IF(E1000="",99999,E1000)</f>
        <v/>
      </c>
      <c r="O1000">
        <f>IF(E1000="",0,IF(F1000="",E1000,F1000))</f>
        <v/>
      </c>
      <c r="P1000">
        <f>IF(E1000="",1,MAX(1,(YEAR(O1000)-YEAR(N1000))*12+MONTH(O1000)-MONTH(N1000)+1))</f>
        <v/>
      </c>
      <c r="Q1000">
        <f>IF(G1000="",0,G1000/P1000)</f>
        <v/>
      </c>
      <c r="R1000">
        <f>IF(H1000="",0,H1000/P1000)</f>
        <v/>
      </c>
    </row>
    <row r="1001">
      <c r="A1001" s="43" t="n"/>
      <c r="B1001" s="28" t="n"/>
      <c r="C1001" s="28" t="n"/>
      <c r="D1001" s="28" t="n"/>
      <c r="E1001" s="44" t="n"/>
      <c r="F1001" s="44" t="n"/>
      <c r="G1001" s="23" t="n"/>
      <c r="H1001" s="23" t="n"/>
      <c r="I1001" s="23" t="n"/>
      <c r="J1001" s="23" t="n"/>
      <c r="K1001" s="45">
        <f>IF(A1001="","",SUM(G$2:I1001)-SUM(J$2:J1001))</f>
        <v/>
      </c>
      <c r="L1001" s="46" t="n"/>
      <c r="M1001">
        <f>IF(A1001="","",IF(A1001=A1000,M1000,N(M1000)+1))</f>
        <v/>
      </c>
      <c r="N1001">
        <f>IF(E1001="",99999,E1001)</f>
        <v/>
      </c>
      <c r="O1001">
        <f>IF(E1001="",0,IF(F1001="",E1001,F1001))</f>
        <v/>
      </c>
      <c r="P1001">
        <f>IF(E1001="",1,MAX(1,(YEAR(O1001)-YEAR(N1001))*12+MONTH(O1001)-MONTH(N1001)+1))</f>
        <v/>
      </c>
      <c r="Q1001">
        <f>IF(G1001="",0,G1001/P1001)</f>
        <v/>
      </c>
      <c r="R1001">
        <f>IF(H1001="",0,H1001/P1001)</f>
        <v/>
      </c>
    </row>
    <row r="1002">
      <c r="A1002" s="43" t="n"/>
      <c r="B1002" s="28" t="n"/>
      <c r="C1002" s="28" t="n"/>
      <c r="D1002" s="28" t="n"/>
      <c r="E1002" s="44" t="n"/>
      <c r="F1002" s="44" t="n"/>
      <c r="G1002" s="23" t="n"/>
      <c r="H1002" s="23" t="n"/>
      <c r="I1002" s="23" t="n"/>
      <c r="J1002" s="23" t="n"/>
      <c r="K1002" s="45">
        <f>IF(A1002="","",SUM(G$2:I1002)-SUM(J$2:J1002))</f>
        <v/>
      </c>
      <c r="L1002" s="46" t="n"/>
      <c r="M1002">
        <f>IF(A1002="","",IF(A1002=A1001,M1001,N(M1001)+1))</f>
        <v/>
      </c>
      <c r="N1002">
        <f>IF(E1002="",99999,E1002)</f>
        <v/>
      </c>
      <c r="O1002">
        <f>IF(E1002="",0,IF(F1002="",E1002,F1002))</f>
        <v/>
      </c>
      <c r="P1002">
        <f>IF(E1002="",1,MAX(1,(YEAR(O1002)-YEAR(N1002))*12+MONTH(O1002)-MONTH(N1002)+1))</f>
        <v/>
      </c>
      <c r="Q1002">
        <f>IF(G1002="",0,G1002/P1002)</f>
        <v/>
      </c>
      <c r="R1002">
        <f>IF(H1002="",0,H1002/P1002)</f>
        <v/>
      </c>
    </row>
    <row r="1003">
      <c r="A1003" s="43" t="n"/>
      <c r="B1003" s="28" t="n"/>
      <c r="C1003" s="28" t="n"/>
      <c r="D1003" s="28" t="n"/>
      <c r="E1003" s="44" t="n"/>
      <c r="F1003" s="44" t="n"/>
      <c r="G1003" s="23" t="n"/>
      <c r="H1003" s="23" t="n"/>
      <c r="I1003" s="23" t="n"/>
      <c r="J1003" s="23" t="n"/>
      <c r="K1003" s="45">
        <f>IF(A1003="","",SUM(G$2:I1003)-SUM(J$2:J1003))</f>
        <v/>
      </c>
      <c r="L1003" s="46" t="n"/>
      <c r="M1003">
        <f>IF(A1003="","",IF(A1003=A1002,M1002,N(M1002)+1))</f>
        <v/>
      </c>
      <c r="N1003">
        <f>IF(E1003="",99999,E1003)</f>
        <v/>
      </c>
      <c r="O1003">
        <f>IF(E1003="",0,IF(F1003="",E1003,F1003))</f>
        <v/>
      </c>
      <c r="P1003">
        <f>IF(E1003="",1,MAX(1,(YEAR(O1003)-YEAR(N1003))*12+MONTH(O1003)-MONTH(N1003)+1))</f>
        <v/>
      </c>
      <c r="Q1003">
        <f>IF(G1003="",0,G1003/P1003)</f>
        <v/>
      </c>
      <c r="R1003">
        <f>IF(H1003="",0,H1003/P1003)</f>
        <v/>
      </c>
    </row>
    <row r="1004">
      <c r="A1004" s="43" t="n"/>
      <c r="B1004" s="28" t="n"/>
      <c r="C1004" s="28" t="n"/>
      <c r="D1004" s="28" t="n"/>
      <c r="E1004" s="44" t="n"/>
      <c r="F1004" s="44" t="n"/>
      <c r="G1004" s="23" t="n"/>
      <c r="H1004" s="23" t="n"/>
      <c r="I1004" s="23" t="n"/>
      <c r="J1004" s="23" t="n"/>
      <c r="K1004" s="45">
        <f>IF(A1004="","",SUM(G$2:I1004)-SUM(J$2:J1004))</f>
        <v/>
      </c>
      <c r="L1004" s="46" t="n"/>
      <c r="M1004">
        <f>IF(A1004="","",IF(A1004=A1003,M1003,N(M1003)+1))</f>
        <v/>
      </c>
      <c r="N1004">
        <f>IF(E1004="",99999,E1004)</f>
        <v/>
      </c>
      <c r="O1004">
        <f>IF(E1004="",0,IF(F1004="",E1004,F1004))</f>
        <v/>
      </c>
      <c r="P1004">
        <f>IF(E1004="",1,MAX(1,(YEAR(O1004)-YEAR(N1004))*12+MONTH(O1004)-MONTH(N1004)+1))</f>
        <v/>
      </c>
      <c r="Q1004">
        <f>IF(G1004="",0,G1004/P1004)</f>
        <v/>
      </c>
      <c r="R1004">
        <f>IF(H1004="",0,H1004/P1004)</f>
        <v/>
      </c>
    </row>
    <row r="1005">
      <c r="A1005" s="43" t="n"/>
      <c r="B1005" s="28" t="n"/>
      <c r="C1005" s="28" t="n"/>
      <c r="D1005" s="28" t="n"/>
      <c r="E1005" s="44" t="n"/>
      <c r="F1005" s="44" t="n"/>
      <c r="G1005" s="23" t="n"/>
      <c r="H1005" s="23" t="n"/>
      <c r="I1005" s="23" t="n"/>
      <c r="J1005" s="23" t="n"/>
      <c r="K1005" s="45">
        <f>IF(A1005="","",SUM(G$2:I1005)-SUM(J$2:J1005))</f>
        <v/>
      </c>
      <c r="L1005" s="46" t="n"/>
      <c r="M1005">
        <f>IF(A1005="","",IF(A1005=A1004,M1004,N(M1004)+1))</f>
        <v/>
      </c>
      <c r="N1005">
        <f>IF(E1005="",99999,E1005)</f>
        <v/>
      </c>
      <c r="O1005">
        <f>IF(E1005="",0,IF(F1005="",E1005,F1005))</f>
        <v/>
      </c>
      <c r="P1005">
        <f>IF(E1005="",1,MAX(1,(YEAR(O1005)-YEAR(N1005))*12+MONTH(O1005)-MONTH(N1005)+1))</f>
        <v/>
      </c>
      <c r="Q1005">
        <f>IF(G1005="",0,G1005/P1005)</f>
        <v/>
      </c>
      <c r="R1005">
        <f>IF(H1005="",0,H1005/P1005)</f>
        <v/>
      </c>
    </row>
    <row r="1006">
      <c r="A1006" s="43" t="n"/>
      <c r="B1006" s="28" t="n"/>
      <c r="C1006" s="28" t="n"/>
      <c r="D1006" s="28" t="n"/>
      <c r="E1006" s="44" t="n"/>
      <c r="F1006" s="44" t="n"/>
      <c r="G1006" s="23" t="n"/>
      <c r="H1006" s="23" t="n"/>
      <c r="I1006" s="23" t="n"/>
      <c r="J1006" s="23" t="n"/>
      <c r="K1006" s="45">
        <f>IF(A1006="","",SUM(G$2:I1006)-SUM(J$2:J1006))</f>
        <v/>
      </c>
      <c r="L1006" s="46" t="n"/>
      <c r="M1006">
        <f>IF(A1006="","",IF(A1006=A1005,M1005,N(M1005)+1))</f>
        <v/>
      </c>
      <c r="N1006">
        <f>IF(E1006="",99999,E1006)</f>
        <v/>
      </c>
      <c r="O1006">
        <f>IF(E1006="",0,IF(F1006="",E1006,F1006))</f>
        <v/>
      </c>
      <c r="P1006">
        <f>IF(E1006="",1,MAX(1,(YEAR(O1006)-YEAR(N1006))*12+MONTH(O1006)-MONTH(N1006)+1))</f>
        <v/>
      </c>
      <c r="Q1006">
        <f>IF(G1006="",0,G1006/P1006)</f>
        <v/>
      </c>
      <c r="R1006">
        <f>IF(H1006="",0,H1006/P1006)</f>
        <v/>
      </c>
    </row>
    <row r="1007">
      <c r="A1007" s="43" t="n"/>
      <c r="B1007" s="28" t="n"/>
      <c r="C1007" s="28" t="n"/>
      <c r="D1007" s="28" t="n"/>
      <c r="E1007" s="44" t="n"/>
      <c r="F1007" s="44" t="n"/>
      <c r="G1007" s="23" t="n"/>
      <c r="H1007" s="23" t="n"/>
      <c r="I1007" s="23" t="n"/>
      <c r="J1007" s="23" t="n"/>
      <c r="K1007" s="45">
        <f>IF(A1007="","",SUM(G$2:I1007)-SUM(J$2:J1007))</f>
        <v/>
      </c>
      <c r="L1007" s="46" t="n"/>
      <c r="M1007">
        <f>IF(A1007="","",IF(A1007=A1006,M1006,N(M1006)+1))</f>
        <v/>
      </c>
      <c r="N1007">
        <f>IF(E1007="",99999,E1007)</f>
        <v/>
      </c>
      <c r="O1007">
        <f>IF(E1007="",0,IF(F1007="",E1007,F1007))</f>
        <v/>
      </c>
      <c r="P1007">
        <f>IF(E1007="",1,MAX(1,(YEAR(O1007)-YEAR(N1007))*12+MONTH(O1007)-MONTH(N1007)+1))</f>
        <v/>
      </c>
      <c r="Q1007">
        <f>IF(G1007="",0,G1007/P1007)</f>
        <v/>
      </c>
      <c r="R1007">
        <f>IF(H1007="",0,H1007/P1007)</f>
        <v/>
      </c>
    </row>
    <row r="1008">
      <c r="A1008" s="43" t="n"/>
      <c r="B1008" s="28" t="n"/>
      <c r="C1008" s="28" t="n"/>
      <c r="D1008" s="28" t="n"/>
      <c r="E1008" s="44" t="n"/>
      <c r="F1008" s="44" t="n"/>
      <c r="G1008" s="23" t="n"/>
      <c r="H1008" s="23" t="n"/>
      <c r="I1008" s="23" t="n"/>
      <c r="J1008" s="23" t="n"/>
      <c r="K1008" s="45">
        <f>IF(A1008="","",SUM(G$2:I1008)-SUM(J$2:J1008))</f>
        <v/>
      </c>
      <c r="L1008" s="46" t="n"/>
      <c r="M1008">
        <f>IF(A1008="","",IF(A1008=A1007,M1007,N(M1007)+1))</f>
        <v/>
      </c>
      <c r="N1008">
        <f>IF(E1008="",99999,E1008)</f>
        <v/>
      </c>
      <c r="O1008">
        <f>IF(E1008="",0,IF(F1008="",E1008,F1008))</f>
        <v/>
      </c>
      <c r="P1008">
        <f>IF(E1008="",1,MAX(1,(YEAR(O1008)-YEAR(N1008))*12+MONTH(O1008)-MONTH(N1008)+1))</f>
        <v/>
      </c>
      <c r="Q1008">
        <f>IF(G1008="",0,G1008/P1008)</f>
        <v/>
      </c>
      <c r="R1008">
        <f>IF(H1008="",0,H1008/P1008)</f>
        <v/>
      </c>
    </row>
    <row r="1009">
      <c r="A1009" s="43" t="n"/>
      <c r="B1009" s="28" t="n"/>
      <c r="C1009" s="28" t="n"/>
      <c r="D1009" s="28" t="n"/>
      <c r="E1009" s="44" t="n"/>
      <c r="F1009" s="44" t="n"/>
      <c r="G1009" s="23" t="n"/>
      <c r="H1009" s="23" t="n"/>
      <c r="I1009" s="23" t="n"/>
      <c r="J1009" s="23" t="n"/>
      <c r="K1009" s="45">
        <f>IF(A1009="","",SUM(G$2:I1009)-SUM(J$2:J1009))</f>
        <v/>
      </c>
      <c r="L1009" s="46" t="n"/>
      <c r="M1009">
        <f>IF(A1009="","",IF(A1009=A1008,M1008,N(M1008)+1))</f>
        <v/>
      </c>
      <c r="N1009">
        <f>IF(E1009="",99999,E1009)</f>
        <v/>
      </c>
      <c r="O1009">
        <f>IF(E1009="",0,IF(F1009="",E1009,F1009))</f>
        <v/>
      </c>
      <c r="P1009">
        <f>IF(E1009="",1,MAX(1,(YEAR(O1009)-YEAR(N1009))*12+MONTH(O1009)-MONTH(N1009)+1))</f>
        <v/>
      </c>
      <c r="Q1009">
        <f>IF(G1009="",0,G1009/P1009)</f>
        <v/>
      </c>
      <c r="R1009">
        <f>IF(H1009="",0,H1009/P1009)</f>
        <v/>
      </c>
    </row>
    <row r="1010">
      <c r="A1010" s="43" t="n"/>
      <c r="B1010" s="28" t="n"/>
      <c r="C1010" s="28" t="n"/>
      <c r="D1010" s="28" t="n"/>
      <c r="E1010" s="44" t="n"/>
      <c r="F1010" s="44" t="n"/>
      <c r="G1010" s="23" t="n"/>
      <c r="H1010" s="23" t="n"/>
      <c r="I1010" s="23" t="n"/>
      <c r="J1010" s="23" t="n"/>
      <c r="K1010" s="45">
        <f>IF(A1010="","",SUM(G$2:I1010)-SUM(J$2:J1010))</f>
        <v/>
      </c>
      <c r="L1010" s="46" t="n"/>
      <c r="M1010">
        <f>IF(A1010="","",IF(A1010=A1009,M1009,N(M1009)+1))</f>
        <v/>
      </c>
      <c r="N1010">
        <f>IF(E1010="",99999,E1010)</f>
        <v/>
      </c>
      <c r="O1010">
        <f>IF(E1010="",0,IF(F1010="",E1010,F1010))</f>
        <v/>
      </c>
      <c r="P1010">
        <f>IF(E1010="",1,MAX(1,(YEAR(O1010)-YEAR(N1010))*12+MONTH(O1010)-MONTH(N1010)+1))</f>
        <v/>
      </c>
      <c r="Q1010">
        <f>IF(G1010="",0,G1010/P1010)</f>
        <v/>
      </c>
      <c r="R1010">
        <f>IF(H1010="",0,H1010/P1010)</f>
        <v/>
      </c>
    </row>
    <row r="1011">
      <c r="A1011" s="43" t="n"/>
      <c r="B1011" s="28" t="n"/>
      <c r="C1011" s="28" t="n"/>
      <c r="D1011" s="28" t="n"/>
      <c r="E1011" s="44" t="n"/>
      <c r="F1011" s="44" t="n"/>
      <c r="G1011" s="23" t="n"/>
      <c r="H1011" s="23" t="n"/>
      <c r="I1011" s="23" t="n"/>
      <c r="J1011" s="23" t="n"/>
      <c r="K1011" s="45">
        <f>IF(A1011="","",SUM(G$2:I1011)-SUM(J$2:J1011))</f>
        <v/>
      </c>
      <c r="L1011" s="46" t="n"/>
      <c r="M1011">
        <f>IF(A1011="","",IF(A1011=A1010,M1010,N(M1010)+1))</f>
        <v/>
      </c>
      <c r="N1011">
        <f>IF(E1011="",99999,E1011)</f>
        <v/>
      </c>
      <c r="O1011">
        <f>IF(E1011="",0,IF(F1011="",E1011,F1011))</f>
        <v/>
      </c>
      <c r="P1011">
        <f>IF(E1011="",1,MAX(1,(YEAR(O1011)-YEAR(N1011))*12+MONTH(O1011)-MONTH(N1011)+1))</f>
        <v/>
      </c>
      <c r="Q1011">
        <f>IF(G1011="",0,G1011/P1011)</f>
        <v/>
      </c>
      <c r="R1011">
        <f>IF(H1011="",0,H1011/P1011)</f>
        <v/>
      </c>
    </row>
    <row r="1012">
      <c r="A1012" s="43" t="n"/>
      <c r="B1012" s="28" t="n"/>
      <c r="C1012" s="28" t="n"/>
      <c r="D1012" s="28" t="n"/>
      <c r="E1012" s="44" t="n"/>
      <c r="F1012" s="44" t="n"/>
      <c r="G1012" s="23" t="n"/>
      <c r="H1012" s="23" t="n"/>
      <c r="I1012" s="23" t="n"/>
      <c r="J1012" s="23" t="n"/>
      <c r="K1012" s="45">
        <f>IF(A1012="","",SUM(G$2:I1012)-SUM(J$2:J1012))</f>
        <v/>
      </c>
      <c r="L1012" s="46" t="n"/>
      <c r="M1012">
        <f>IF(A1012="","",IF(A1012=A1011,M1011,N(M1011)+1))</f>
        <v/>
      </c>
      <c r="N1012">
        <f>IF(E1012="",99999,E1012)</f>
        <v/>
      </c>
      <c r="O1012">
        <f>IF(E1012="",0,IF(F1012="",E1012,F1012))</f>
        <v/>
      </c>
      <c r="P1012">
        <f>IF(E1012="",1,MAX(1,(YEAR(O1012)-YEAR(N1012))*12+MONTH(O1012)-MONTH(N1012)+1))</f>
        <v/>
      </c>
      <c r="Q1012">
        <f>IF(G1012="",0,G1012/P1012)</f>
        <v/>
      </c>
      <c r="R1012">
        <f>IF(H1012="",0,H1012/P1012)</f>
        <v/>
      </c>
    </row>
    <row r="1013">
      <c r="A1013" s="43" t="n"/>
      <c r="B1013" s="28" t="n"/>
      <c r="C1013" s="28" t="n"/>
      <c r="D1013" s="28" t="n"/>
      <c r="E1013" s="44" t="n"/>
      <c r="F1013" s="44" t="n"/>
      <c r="G1013" s="23" t="n"/>
      <c r="H1013" s="23" t="n"/>
      <c r="I1013" s="23" t="n"/>
      <c r="J1013" s="23" t="n"/>
      <c r="K1013" s="45">
        <f>IF(A1013="","",SUM(G$2:I1013)-SUM(J$2:J1013))</f>
        <v/>
      </c>
      <c r="L1013" s="46" t="n"/>
      <c r="M1013">
        <f>IF(A1013="","",IF(A1013=A1012,M1012,N(M1012)+1))</f>
        <v/>
      </c>
      <c r="N1013">
        <f>IF(E1013="",99999,E1013)</f>
        <v/>
      </c>
      <c r="O1013">
        <f>IF(E1013="",0,IF(F1013="",E1013,F1013))</f>
        <v/>
      </c>
      <c r="P1013">
        <f>IF(E1013="",1,MAX(1,(YEAR(O1013)-YEAR(N1013))*12+MONTH(O1013)-MONTH(N1013)+1))</f>
        <v/>
      </c>
      <c r="Q1013">
        <f>IF(G1013="",0,G1013/P1013)</f>
        <v/>
      </c>
      <c r="R1013">
        <f>IF(H1013="",0,H1013/P1013)</f>
        <v/>
      </c>
    </row>
    <row r="1014">
      <c r="A1014" s="43" t="n"/>
      <c r="B1014" s="28" t="n"/>
      <c r="C1014" s="28" t="n"/>
      <c r="D1014" s="28" t="n"/>
      <c r="E1014" s="44" t="n"/>
      <c r="F1014" s="44" t="n"/>
      <c r="G1014" s="23" t="n"/>
      <c r="H1014" s="23" t="n"/>
      <c r="I1014" s="23" t="n"/>
      <c r="J1014" s="23" t="n"/>
      <c r="K1014" s="45">
        <f>IF(A1014="","",SUM(G$2:I1014)-SUM(J$2:J1014))</f>
        <v/>
      </c>
      <c r="L1014" s="46" t="n"/>
      <c r="M1014">
        <f>IF(A1014="","",IF(A1014=A1013,M1013,N(M1013)+1))</f>
        <v/>
      </c>
      <c r="N1014">
        <f>IF(E1014="",99999,E1014)</f>
        <v/>
      </c>
      <c r="O1014">
        <f>IF(E1014="",0,IF(F1014="",E1014,F1014))</f>
        <v/>
      </c>
      <c r="P1014">
        <f>IF(E1014="",1,MAX(1,(YEAR(O1014)-YEAR(N1014))*12+MONTH(O1014)-MONTH(N1014)+1))</f>
        <v/>
      </c>
      <c r="Q1014">
        <f>IF(G1014="",0,G1014/P1014)</f>
        <v/>
      </c>
      <c r="R1014">
        <f>IF(H1014="",0,H1014/P1014)</f>
        <v/>
      </c>
    </row>
    <row r="1015">
      <c r="A1015" s="43" t="n"/>
      <c r="B1015" s="28" t="n"/>
      <c r="C1015" s="28" t="n"/>
      <c r="D1015" s="28" t="n"/>
      <c r="E1015" s="44" t="n"/>
      <c r="F1015" s="44" t="n"/>
      <c r="G1015" s="23" t="n"/>
      <c r="H1015" s="23" t="n"/>
      <c r="I1015" s="23" t="n"/>
      <c r="J1015" s="23" t="n"/>
      <c r="K1015" s="45">
        <f>IF(A1015="","",SUM(G$2:I1015)-SUM(J$2:J1015))</f>
        <v/>
      </c>
      <c r="L1015" s="46" t="n"/>
      <c r="M1015">
        <f>IF(A1015="","",IF(A1015=A1014,M1014,N(M1014)+1))</f>
        <v/>
      </c>
      <c r="N1015">
        <f>IF(E1015="",99999,E1015)</f>
        <v/>
      </c>
      <c r="O1015">
        <f>IF(E1015="",0,IF(F1015="",E1015,F1015))</f>
        <v/>
      </c>
      <c r="P1015">
        <f>IF(E1015="",1,MAX(1,(YEAR(O1015)-YEAR(N1015))*12+MONTH(O1015)-MONTH(N1015)+1))</f>
        <v/>
      </c>
      <c r="Q1015">
        <f>IF(G1015="",0,G1015/P1015)</f>
        <v/>
      </c>
      <c r="R1015">
        <f>IF(H1015="",0,H1015/P1015)</f>
        <v/>
      </c>
    </row>
    <row r="1016">
      <c r="A1016" s="43" t="n"/>
      <c r="B1016" s="28" t="n"/>
      <c r="C1016" s="28" t="n"/>
      <c r="D1016" s="28" t="n"/>
      <c r="E1016" s="44" t="n"/>
      <c r="F1016" s="44" t="n"/>
      <c r="G1016" s="23" t="n"/>
      <c r="H1016" s="23" t="n"/>
      <c r="I1016" s="23" t="n"/>
      <c r="J1016" s="23" t="n"/>
      <c r="K1016" s="45">
        <f>IF(A1016="","",SUM(G$2:I1016)-SUM(J$2:J1016))</f>
        <v/>
      </c>
      <c r="L1016" s="46" t="n"/>
      <c r="M1016">
        <f>IF(A1016="","",IF(A1016=A1015,M1015,N(M1015)+1))</f>
        <v/>
      </c>
      <c r="N1016">
        <f>IF(E1016="",99999,E1016)</f>
        <v/>
      </c>
      <c r="O1016">
        <f>IF(E1016="",0,IF(F1016="",E1016,F1016))</f>
        <v/>
      </c>
      <c r="P1016">
        <f>IF(E1016="",1,MAX(1,(YEAR(O1016)-YEAR(N1016))*12+MONTH(O1016)-MONTH(N1016)+1))</f>
        <v/>
      </c>
      <c r="Q1016">
        <f>IF(G1016="",0,G1016/P1016)</f>
        <v/>
      </c>
      <c r="R1016">
        <f>IF(H1016="",0,H1016/P1016)</f>
        <v/>
      </c>
    </row>
    <row r="1017">
      <c r="A1017" s="43" t="n"/>
      <c r="B1017" s="28" t="n"/>
      <c r="C1017" s="28" t="n"/>
      <c r="D1017" s="28" t="n"/>
      <c r="E1017" s="44" t="n"/>
      <c r="F1017" s="44" t="n"/>
      <c r="G1017" s="23" t="n"/>
      <c r="H1017" s="23" t="n"/>
      <c r="I1017" s="23" t="n"/>
      <c r="J1017" s="23" t="n"/>
      <c r="K1017" s="45">
        <f>IF(A1017="","",SUM(G$2:I1017)-SUM(J$2:J1017))</f>
        <v/>
      </c>
      <c r="L1017" s="46" t="n"/>
      <c r="M1017">
        <f>IF(A1017="","",IF(A1017=A1016,M1016,N(M1016)+1))</f>
        <v/>
      </c>
      <c r="N1017">
        <f>IF(E1017="",99999,E1017)</f>
        <v/>
      </c>
      <c r="O1017">
        <f>IF(E1017="",0,IF(F1017="",E1017,F1017))</f>
        <v/>
      </c>
      <c r="P1017">
        <f>IF(E1017="",1,MAX(1,(YEAR(O1017)-YEAR(N1017))*12+MONTH(O1017)-MONTH(N1017)+1))</f>
        <v/>
      </c>
      <c r="Q1017">
        <f>IF(G1017="",0,G1017/P1017)</f>
        <v/>
      </c>
      <c r="R1017">
        <f>IF(H1017="",0,H1017/P1017)</f>
        <v/>
      </c>
    </row>
    <row r="1018">
      <c r="A1018" s="43" t="n"/>
      <c r="B1018" s="28" t="n"/>
      <c r="C1018" s="28" t="n"/>
      <c r="D1018" s="28" t="n"/>
      <c r="E1018" s="44" t="n"/>
      <c r="F1018" s="44" t="n"/>
      <c r="G1018" s="23" t="n"/>
      <c r="H1018" s="23" t="n"/>
      <c r="I1018" s="23" t="n"/>
      <c r="J1018" s="23" t="n"/>
      <c r="K1018" s="45">
        <f>IF(A1018="","",SUM(G$2:I1018)-SUM(J$2:J1018))</f>
        <v/>
      </c>
      <c r="L1018" s="46" t="n"/>
      <c r="M1018">
        <f>IF(A1018="","",IF(A1018=A1017,M1017,N(M1017)+1))</f>
        <v/>
      </c>
      <c r="N1018">
        <f>IF(E1018="",99999,E1018)</f>
        <v/>
      </c>
      <c r="O1018">
        <f>IF(E1018="",0,IF(F1018="",E1018,F1018))</f>
        <v/>
      </c>
      <c r="P1018">
        <f>IF(E1018="",1,MAX(1,(YEAR(O1018)-YEAR(N1018))*12+MONTH(O1018)-MONTH(N1018)+1))</f>
        <v/>
      </c>
      <c r="Q1018">
        <f>IF(G1018="",0,G1018/P1018)</f>
        <v/>
      </c>
      <c r="R1018">
        <f>IF(H1018="",0,H1018/P1018)</f>
        <v/>
      </c>
    </row>
    <row r="1019">
      <c r="A1019" s="43" t="n"/>
      <c r="B1019" s="28" t="n"/>
      <c r="C1019" s="28" t="n"/>
      <c r="D1019" s="28" t="n"/>
      <c r="E1019" s="44" t="n"/>
      <c r="F1019" s="44" t="n"/>
      <c r="G1019" s="23" t="n"/>
      <c r="H1019" s="23" t="n"/>
      <c r="I1019" s="23" t="n"/>
      <c r="J1019" s="23" t="n"/>
      <c r="K1019" s="45">
        <f>IF(A1019="","",SUM(G$2:I1019)-SUM(J$2:J1019))</f>
        <v/>
      </c>
      <c r="L1019" s="46" t="n"/>
      <c r="M1019">
        <f>IF(A1019="","",IF(A1019=A1018,M1018,N(M1018)+1))</f>
        <v/>
      </c>
      <c r="N1019">
        <f>IF(E1019="",99999,E1019)</f>
        <v/>
      </c>
      <c r="O1019">
        <f>IF(E1019="",0,IF(F1019="",E1019,F1019))</f>
        <v/>
      </c>
      <c r="P1019">
        <f>IF(E1019="",1,MAX(1,(YEAR(O1019)-YEAR(N1019))*12+MONTH(O1019)-MONTH(N1019)+1))</f>
        <v/>
      </c>
      <c r="Q1019">
        <f>IF(G1019="",0,G1019/P1019)</f>
        <v/>
      </c>
      <c r="R1019">
        <f>IF(H1019="",0,H1019/P1019)</f>
        <v/>
      </c>
    </row>
    <row r="1020">
      <c r="A1020" s="43" t="n"/>
      <c r="B1020" s="28" t="n"/>
      <c r="C1020" s="28" t="n"/>
      <c r="D1020" s="28" t="n"/>
      <c r="E1020" s="44" t="n"/>
      <c r="F1020" s="44" t="n"/>
      <c r="G1020" s="23" t="n"/>
      <c r="H1020" s="23" t="n"/>
      <c r="I1020" s="23" t="n"/>
      <c r="J1020" s="23" t="n"/>
      <c r="K1020" s="45">
        <f>IF(A1020="","",SUM(G$2:I1020)-SUM(J$2:J1020))</f>
        <v/>
      </c>
      <c r="L1020" s="46" t="n"/>
      <c r="M1020">
        <f>IF(A1020="","",IF(A1020=A1019,M1019,N(M1019)+1))</f>
        <v/>
      </c>
      <c r="N1020">
        <f>IF(E1020="",99999,E1020)</f>
        <v/>
      </c>
      <c r="O1020">
        <f>IF(E1020="",0,IF(F1020="",E1020,F1020))</f>
        <v/>
      </c>
      <c r="P1020">
        <f>IF(E1020="",1,MAX(1,(YEAR(O1020)-YEAR(N1020))*12+MONTH(O1020)-MONTH(N1020)+1))</f>
        <v/>
      </c>
      <c r="Q1020">
        <f>IF(G1020="",0,G1020/P1020)</f>
        <v/>
      </c>
      <c r="R1020">
        <f>IF(H1020="",0,H1020/P1020)</f>
        <v/>
      </c>
    </row>
    <row r="1021">
      <c r="A1021" s="43" t="n"/>
      <c r="B1021" s="28" t="n"/>
      <c r="C1021" s="28" t="n"/>
      <c r="D1021" s="28" t="n"/>
      <c r="E1021" s="44" t="n"/>
      <c r="F1021" s="44" t="n"/>
      <c r="G1021" s="23" t="n"/>
      <c r="H1021" s="23" t="n"/>
      <c r="I1021" s="23" t="n"/>
      <c r="J1021" s="23" t="n"/>
      <c r="K1021" s="45">
        <f>IF(A1021="","",SUM(G$2:I1021)-SUM(J$2:J1021))</f>
        <v/>
      </c>
      <c r="L1021" s="46" t="n"/>
      <c r="M1021">
        <f>IF(A1021="","",IF(A1021=A1020,M1020,N(M1020)+1))</f>
        <v/>
      </c>
      <c r="N1021">
        <f>IF(E1021="",99999,E1021)</f>
        <v/>
      </c>
      <c r="O1021">
        <f>IF(E1021="",0,IF(F1021="",E1021,F1021))</f>
        <v/>
      </c>
      <c r="P1021">
        <f>IF(E1021="",1,MAX(1,(YEAR(O1021)-YEAR(N1021))*12+MONTH(O1021)-MONTH(N1021)+1))</f>
        <v/>
      </c>
      <c r="Q1021">
        <f>IF(G1021="",0,G1021/P1021)</f>
        <v/>
      </c>
      <c r="R1021">
        <f>IF(H1021="",0,H1021/P1021)</f>
        <v/>
      </c>
    </row>
    <row r="1022">
      <c r="A1022" s="43" t="n"/>
      <c r="B1022" s="28" t="n"/>
      <c r="C1022" s="28" t="n"/>
      <c r="D1022" s="28" t="n"/>
      <c r="E1022" s="44" t="n"/>
      <c r="F1022" s="44" t="n"/>
      <c r="G1022" s="23" t="n"/>
      <c r="H1022" s="23" t="n"/>
      <c r="I1022" s="23" t="n"/>
      <c r="J1022" s="23" t="n"/>
      <c r="K1022" s="45">
        <f>IF(A1022="","",SUM(G$2:I1022)-SUM(J$2:J1022))</f>
        <v/>
      </c>
      <c r="L1022" s="46" t="n"/>
      <c r="M1022">
        <f>IF(A1022="","",IF(A1022=A1021,M1021,N(M1021)+1))</f>
        <v/>
      </c>
      <c r="N1022">
        <f>IF(E1022="",99999,E1022)</f>
        <v/>
      </c>
      <c r="O1022">
        <f>IF(E1022="",0,IF(F1022="",E1022,F1022))</f>
        <v/>
      </c>
      <c r="P1022">
        <f>IF(E1022="",1,MAX(1,(YEAR(O1022)-YEAR(N1022))*12+MONTH(O1022)-MONTH(N1022)+1))</f>
        <v/>
      </c>
      <c r="Q1022">
        <f>IF(G1022="",0,G1022/P1022)</f>
        <v/>
      </c>
      <c r="R1022">
        <f>IF(H1022="",0,H1022/P1022)</f>
        <v/>
      </c>
    </row>
    <row r="1023">
      <c r="A1023" s="43" t="n"/>
      <c r="B1023" s="28" t="n"/>
      <c r="C1023" s="28" t="n"/>
      <c r="D1023" s="28" t="n"/>
      <c r="E1023" s="44" t="n"/>
      <c r="F1023" s="44" t="n"/>
      <c r="G1023" s="23" t="n"/>
      <c r="H1023" s="23" t="n"/>
      <c r="I1023" s="23" t="n"/>
      <c r="J1023" s="23" t="n"/>
      <c r="K1023" s="45">
        <f>IF(A1023="","",SUM(G$2:I1023)-SUM(J$2:J1023))</f>
        <v/>
      </c>
      <c r="L1023" s="46" t="n"/>
      <c r="M1023">
        <f>IF(A1023="","",IF(A1023=A1022,M1022,N(M1022)+1))</f>
        <v/>
      </c>
      <c r="N1023">
        <f>IF(E1023="",99999,E1023)</f>
        <v/>
      </c>
      <c r="O1023">
        <f>IF(E1023="",0,IF(F1023="",E1023,F1023))</f>
        <v/>
      </c>
      <c r="P1023">
        <f>IF(E1023="",1,MAX(1,(YEAR(O1023)-YEAR(N1023))*12+MONTH(O1023)-MONTH(N1023)+1))</f>
        <v/>
      </c>
      <c r="Q1023">
        <f>IF(G1023="",0,G1023/P1023)</f>
        <v/>
      </c>
      <c r="R1023">
        <f>IF(H1023="",0,H1023/P1023)</f>
        <v/>
      </c>
    </row>
    <row r="1024">
      <c r="A1024" s="43" t="n"/>
      <c r="B1024" s="28" t="n"/>
      <c r="C1024" s="28" t="n"/>
      <c r="D1024" s="28" t="n"/>
      <c r="E1024" s="44" t="n"/>
      <c r="F1024" s="44" t="n"/>
      <c r="G1024" s="23" t="n"/>
      <c r="H1024" s="23" t="n"/>
      <c r="I1024" s="23" t="n"/>
      <c r="J1024" s="23" t="n"/>
      <c r="K1024" s="45">
        <f>IF(A1024="","",SUM(G$2:I1024)-SUM(J$2:J1024))</f>
        <v/>
      </c>
      <c r="L1024" s="46" t="n"/>
      <c r="M1024">
        <f>IF(A1024="","",IF(A1024=A1023,M1023,N(M1023)+1))</f>
        <v/>
      </c>
      <c r="N1024">
        <f>IF(E1024="",99999,E1024)</f>
        <v/>
      </c>
      <c r="O1024">
        <f>IF(E1024="",0,IF(F1024="",E1024,F1024))</f>
        <v/>
      </c>
      <c r="P1024">
        <f>IF(E1024="",1,MAX(1,(YEAR(O1024)-YEAR(N1024))*12+MONTH(O1024)-MONTH(N1024)+1))</f>
        <v/>
      </c>
      <c r="Q1024">
        <f>IF(G1024="",0,G1024/P1024)</f>
        <v/>
      </c>
      <c r="R1024">
        <f>IF(H1024="",0,H1024/P1024)</f>
        <v/>
      </c>
    </row>
    <row r="1025">
      <c r="A1025" s="43" t="n"/>
      <c r="B1025" s="28" t="n"/>
      <c r="C1025" s="28" t="n"/>
      <c r="D1025" s="28" t="n"/>
      <c r="E1025" s="44" t="n"/>
      <c r="F1025" s="44" t="n"/>
      <c r="G1025" s="23" t="n"/>
      <c r="H1025" s="23" t="n"/>
      <c r="I1025" s="23" t="n"/>
      <c r="J1025" s="23" t="n"/>
      <c r="K1025" s="45">
        <f>IF(A1025="","",SUM(G$2:I1025)-SUM(J$2:J1025))</f>
        <v/>
      </c>
      <c r="L1025" s="46" t="n"/>
      <c r="M1025">
        <f>IF(A1025="","",IF(A1025=A1024,M1024,N(M1024)+1))</f>
        <v/>
      </c>
      <c r="N1025">
        <f>IF(E1025="",99999,E1025)</f>
        <v/>
      </c>
      <c r="O1025">
        <f>IF(E1025="",0,IF(F1025="",E1025,F1025))</f>
        <v/>
      </c>
      <c r="P1025">
        <f>IF(E1025="",1,MAX(1,(YEAR(O1025)-YEAR(N1025))*12+MONTH(O1025)-MONTH(N1025)+1))</f>
        <v/>
      </c>
      <c r="Q1025">
        <f>IF(G1025="",0,G1025/P1025)</f>
        <v/>
      </c>
      <c r="R1025">
        <f>IF(H1025="",0,H1025/P1025)</f>
        <v/>
      </c>
    </row>
    <row r="1026">
      <c r="A1026" s="43" t="n"/>
      <c r="B1026" s="28" t="n"/>
      <c r="C1026" s="28" t="n"/>
      <c r="D1026" s="28" t="n"/>
      <c r="E1026" s="44" t="n"/>
      <c r="F1026" s="44" t="n"/>
      <c r="G1026" s="23" t="n"/>
      <c r="H1026" s="23" t="n"/>
      <c r="I1026" s="23" t="n"/>
      <c r="J1026" s="23" t="n"/>
      <c r="K1026" s="45">
        <f>IF(A1026="","",SUM(G$2:I1026)-SUM(J$2:J1026))</f>
        <v/>
      </c>
      <c r="L1026" s="46" t="n"/>
      <c r="M1026">
        <f>IF(A1026="","",IF(A1026=A1025,M1025,N(M1025)+1))</f>
        <v/>
      </c>
      <c r="N1026">
        <f>IF(E1026="",99999,E1026)</f>
        <v/>
      </c>
      <c r="O1026">
        <f>IF(E1026="",0,IF(F1026="",E1026,F1026))</f>
        <v/>
      </c>
      <c r="P1026">
        <f>IF(E1026="",1,MAX(1,(YEAR(O1026)-YEAR(N1026))*12+MONTH(O1026)-MONTH(N1026)+1))</f>
        <v/>
      </c>
      <c r="Q1026">
        <f>IF(G1026="",0,G1026/P1026)</f>
        <v/>
      </c>
      <c r="R1026">
        <f>IF(H1026="",0,H1026/P1026)</f>
        <v/>
      </c>
    </row>
    <row r="1027">
      <c r="A1027" s="43" t="n"/>
      <c r="B1027" s="28" t="n"/>
      <c r="C1027" s="28" t="n"/>
      <c r="D1027" s="28" t="n"/>
      <c r="E1027" s="44" t="n"/>
      <c r="F1027" s="44" t="n"/>
      <c r="G1027" s="23" t="n"/>
      <c r="H1027" s="23" t="n"/>
      <c r="I1027" s="23" t="n"/>
      <c r="J1027" s="23" t="n"/>
      <c r="K1027" s="45">
        <f>IF(A1027="","",SUM(G$2:I1027)-SUM(J$2:J1027))</f>
        <v/>
      </c>
      <c r="L1027" s="46" t="n"/>
      <c r="M1027">
        <f>IF(A1027="","",IF(A1027=A1026,M1026,N(M1026)+1))</f>
        <v/>
      </c>
      <c r="N1027">
        <f>IF(E1027="",99999,E1027)</f>
        <v/>
      </c>
      <c r="O1027">
        <f>IF(E1027="",0,IF(F1027="",E1027,F1027))</f>
        <v/>
      </c>
      <c r="P1027">
        <f>IF(E1027="",1,MAX(1,(YEAR(O1027)-YEAR(N1027))*12+MONTH(O1027)-MONTH(N1027)+1))</f>
        <v/>
      </c>
      <c r="Q1027">
        <f>IF(G1027="",0,G1027/P1027)</f>
        <v/>
      </c>
      <c r="R1027">
        <f>IF(H1027="",0,H1027/P1027)</f>
        <v/>
      </c>
    </row>
    <row r="1028">
      <c r="A1028" s="43" t="n"/>
      <c r="B1028" s="28" t="n"/>
      <c r="C1028" s="28" t="n"/>
      <c r="D1028" s="28" t="n"/>
      <c r="E1028" s="44" t="n"/>
      <c r="F1028" s="44" t="n"/>
      <c r="G1028" s="23" t="n"/>
      <c r="H1028" s="23" t="n"/>
      <c r="I1028" s="23" t="n"/>
      <c r="J1028" s="23" t="n"/>
      <c r="K1028" s="45">
        <f>IF(A1028="","",SUM(G$2:I1028)-SUM(J$2:J1028))</f>
        <v/>
      </c>
      <c r="L1028" s="46" t="n"/>
      <c r="M1028">
        <f>IF(A1028="","",IF(A1028=A1027,M1027,N(M1027)+1))</f>
        <v/>
      </c>
      <c r="N1028">
        <f>IF(E1028="",99999,E1028)</f>
        <v/>
      </c>
      <c r="O1028">
        <f>IF(E1028="",0,IF(F1028="",E1028,F1028))</f>
        <v/>
      </c>
      <c r="P1028">
        <f>IF(E1028="",1,MAX(1,(YEAR(O1028)-YEAR(N1028))*12+MONTH(O1028)-MONTH(N1028)+1))</f>
        <v/>
      </c>
      <c r="Q1028">
        <f>IF(G1028="",0,G1028/P1028)</f>
        <v/>
      </c>
      <c r="R1028">
        <f>IF(H1028="",0,H1028/P1028)</f>
        <v/>
      </c>
    </row>
    <row r="1029">
      <c r="A1029" s="43" t="n"/>
      <c r="B1029" s="28" t="n"/>
      <c r="C1029" s="28" t="n"/>
      <c r="D1029" s="28" t="n"/>
      <c r="E1029" s="44" t="n"/>
      <c r="F1029" s="44" t="n"/>
      <c r="G1029" s="23" t="n"/>
      <c r="H1029" s="23" t="n"/>
      <c r="I1029" s="23" t="n"/>
      <c r="J1029" s="23" t="n"/>
      <c r="K1029" s="45">
        <f>IF(A1029="","",SUM(G$2:I1029)-SUM(J$2:J1029))</f>
        <v/>
      </c>
      <c r="L1029" s="46" t="n"/>
      <c r="M1029">
        <f>IF(A1029="","",IF(A1029=A1028,M1028,N(M1028)+1))</f>
        <v/>
      </c>
      <c r="N1029">
        <f>IF(E1029="",99999,E1029)</f>
        <v/>
      </c>
      <c r="O1029">
        <f>IF(E1029="",0,IF(F1029="",E1029,F1029))</f>
        <v/>
      </c>
      <c r="P1029">
        <f>IF(E1029="",1,MAX(1,(YEAR(O1029)-YEAR(N1029))*12+MONTH(O1029)-MONTH(N1029)+1))</f>
        <v/>
      </c>
      <c r="Q1029">
        <f>IF(G1029="",0,G1029/P1029)</f>
        <v/>
      </c>
      <c r="R1029">
        <f>IF(H1029="",0,H1029/P1029)</f>
        <v/>
      </c>
    </row>
    <row r="1030">
      <c r="A1030" s="43" t="n"/>
      <c r="B1030" s="28" t="n"/>
      <c r="C1030" s="28" t="n"/>
      <c r="D1030" s="28" t="n"/>
      <c r="E1030" s="44" t="n"/>
      <c r="F1030" s="44" t="n"/>
      <c r="G1030" s="23" t="n"/>
      <c r="H1030" s="23" t="n"/>
      <c r="I1030" s="23" t="n"/>
      <c r="J1030" s="23" t="n"/>
      <c r="K1030" s="45">
        <f>IF(A1030="","",SUM(G$2:I1030)-SUM(J$2:J1030))</f>
        <v/>
      </c>
      <c r="L1030" s="46" t="n"/>
      <c r="M1030">
        <f>IF(A1030="","",IF(A1030=A1029,M1029,N(M1029)+1))</f>
        <v/>
      </c>
      <c r="N1030">
        <f>IF(E1030="",99999,E1030)</f>
        <v/>
      </c>
      <c r="O1030">
        <f>IF(E1030="",0,IF(F1030="",E1030,F1030))</f>
        <v/>
      </c>
      <c r="P1030">
        <f>IF(E1030="",1,MAX(1,(YEAR(O1030)-YEAR(N1030))*12+MONTH(O1030)-MONTH(N1030)+1))</f>
        <v/>
      </c>
      <c r="Q1030">
        <f>IF(G1030="",0,G1030/P1030)</f>
        <v/>
      </c>
      <c r="R1030">
        <f>IF(H1030="",0,H1030/P1030)</f>
        <v/>
      </c>
    </row>
    <row r="1031">
      <c r="A1031" s="43" t="n"/>
      <c r="B1031" s="28" t="n"/>
      <c r="C1031" s="28" t="n"/>
      <c r="D1031" s="28" t="n"/>
      <c r="E1031" s="44" t="n"/>
      <c r="F1031" s="44" t="n"/>
      <c r="G1031" s="23" t="n"/>
      <c r="H1031" s="23" t="n"/>
      <c r="I1031" s="23" t="n"/>
      <c r="J1031" s="23" t="n"/>
      <c r="K1031" s="45">
        <f>IF(A1031="","",SUM(G$2:I1031)-SUM(J$2:J1031))</f>
        <v/>
      </c>
      <c r="L1031" s="46" t="n"/>
      <c r="M1031">
        <f>IF(A1031="","",IF(A1031=A1030,M1030,N(M1030)+1))</f>
        <v/>
      </c>
      <c r="N1031">
        <f>IF(E1031="",99999,E1031)</f>
        <v/>
      </c>
      <c r="O1031">
        <f>IF(E1031="",0,IF(F1031="",E1031,F1031))</f>
        <v/>
      </c>
      <c r="P1031">
        <f>IF(E1031="",1,MAX(1,(YEAR(O1031)-YEAR(N1031))*12+MONTH(O1031)-MONTH(N1031)+1))</f>
        <v/>
      </c>
      <c r="Q1031">
        <f>IF(G1031="",0,G1031/P1031)</f>
        <v/>
      </c>
      <c r="R1031">
        <f>IF(H1031="",0,H1031/P1031)</f>
        <v/>
      </c>
    </row>
    <row r="1032">
      <c r="A1032" s="43" t="n"/>
      <c r="B1032" s="28" t="n"/>
      <c r="C1032" s="28" t="n"/>
      <c r="D1032" s="28" t="n"/>
      <c r="E1032" s="44" t="n"/>
      <c r="F1032" s="44" t="n"/>
      <c r="G1032" s="23" t="n"/>
      <c r="H1032" s="23" t="n"/>
      <c r="I1032" s="23" t="n"/>
      <c r="J1032" s="23" t="n"/>
      <c r="K1032" s="45">
        <f>IF(A1032="","",SUM(G$2:I1032)-SUM(J$2:J1032))</f>
        <v/>
      </c>
      <c r="L1032" s="46" t="n"/>
      <c r="M1032">
        <f>IF(A1032="","",IF(A1032=A1031,M1031,N(M1031)+1))</f>
        <v/>
      </c>
      <c r="N1032">
        <f>IF(E1032="",99999,E1032)</f>
        <v/>
      </c>
      <c r="O1032">
        <f>IF(E1032="",0,IF(F1032="",E1032,F1032))</f>
        <v/>
      </c>
      <c r="P1032">
        <f>IF(E1032="",1,MAX(1,(YEAR(O1032)-YEAR(N1032))*12+MONTH(O1032)-MONTH(N1032)+1))</f>
        <v/>
      </c>
      <c r="Q1032">
        <f>IF(G1032="",0,G1032/P1032)</f>
        <v/>
      </c>
      <c r="R1032">
        <f>IF(H1032="",0,H1032/P1032)</f>
        <v/>
      </c>
    </row>
    <row r="1033">
      <c r="A1033" s="43" t="n"/>
      <c r="B1033" s="28" t="n"/>
      <c r="C1033" s="28" t="n"/>
      <c r="D1033" s="28" t="n"/>
      <c r="E1033" s="44" t="n"/>
      <c r="F1033" s="44" t="n"/>
      <c r="G1033" s="23" t="n"/>
      <c r="H1033" s="23" t="n"/>
      <c r="I1033" s="23" t="n"/>
      <c r="J1033" s="23" t="n"/>
      <c r="K1033" s="45">
        <f>IF(A1033="","",SUM(G$2:I1033)-SUM(J$2:J1033))</f>
        <v/>
      </c>
      <c r="L1033" s="46" t="n"/>
      <c r="M1033">
        <f>IF(A1033="","",IF(A1033=A1032,M1032,N(M1032)+1))</f>
        <v/>
      </c>
      <c r="N1033">
        <f>IF(E1033="",99999,E1033)</f>
        <v/>
      </c>
      <c r="O1033">
        <f>IF(E1033="",0,IF(F1033="",E1033,F1033))</f>
        <v/>
      </c>
      <c r="P1033">
        <f>IF(E1033="",1,MAX(1,(YEAR(O1033)-YEAR(N1033))*12+MONTH(O1033)-MONTH(N1033)+1))</f>
        <v/>
      </c>
      <c r="Q1033">
        <f>IF(G1033="",0,G1033/P1033)</f>
        <v/>
      </c>
      <c r="R1033">
        <f>IF(H1033="",0,H1033/P1033)</f>
        <v/>
      </c>
    </row>
    <row r="1034">
      <c r="A1034" s="43" t="n"/>
      <c r="B1034" s="28" t="n"/>
      <c r="C1034" s="28" t="n"/>
      <c r="D1034" s="28" t="n"/>
      <c r="E1034" s="44" t="n"/>
      <c r="F1034" s="44" t="n"/>
      <c r="G1034" s="23" t="n"/>
      <c r="H1034" s="23" t="n"/>
      <c r="I1034" s="23" t="n"/>
      <c r="J1034" s="23" t="n"/>
      <c r="K1034" s="45">
        <f>IF(A1034="","",SUM(G$2:I1034)-SUM(J$2:J1034))</f>
        <v/>
      </c>
      <c r="L1034" s="46" t="n"/>
      <c r="M1034">
        <f>IF(A1034="","",IF(A1034=A1033,M1033,N(M1033)+1))</f>
        <v/>
      </c>
      <c r="N1034">
        <f>IF(E1034="",99999,E1034)</f>
        <v/>
      </c>
      <c r="O1034">
        <f>IF(E1034="",0,IF(F1034="",E1034,F1034))</f>
        <v/>
      </c>
      <c r="P1034">
        <f>IF(E1034="",1,MAX(1,(YEAR(O1034)-YEAR(N1034))*12+MONTH(O1034)-MONTH(N1034)+1))</f>
        <v/>
      </c>
      <c r="Q1034">
        <f>IF(G1034="",0,G1034/P1034)</f>
        <v/>
      </c>
      <c r="R1034">
        <f>IF(H1034="",0,H1034/P1034)</f>
        <v/>
      </c>
    </row>
    <row r="1035">
      <c r="A1035" s="43" t="n"/>
      <c r="B1035" s="28" t="n"/>
      <c r="C1035" s="28" t="n"/>
      <c r="D1035" s="28" t="n"/>
      <c r="E1035" s="44" t="n"/>
      <c r="F1035" s="44" t="n"/>
      <c r="G1035" s="23" t="n"/>
      <c r="H1035" s="23" t="n"/>
      <c r="I1035" s="23" t="n"/>
      <c r="J1035" s="23" t="n"/>
      <c r="K1035" s="45">
        <f>IF(A1035="","",SUM(G$2:I1035)-SUM(J$2:J1035))</f>
        <v/>
      </c>
      <c r="L1035" s="46" t="n"/>
      <c r="M1035">
        <f>IF(A1035="","",IF(A1035=A1034,M1034,N(M1034)+1))</f>
        <v/>
      </c>
      <c r="N1035">
        <f>IF(E1035="",99999,E1035)</f>
        <v/>
      </c>
      <c r="O1035">
        <f>IF(E1035="",0,IF(F1035="",E1035,F1035))</f>
        <v/>
      </c>
      <c r="P1035">
        <f>IF(E1035="",1,MAX(1,(YEAR(O1035)-YEAR(N1035))*12+MONTH(O1035)-MONTH(N1035)+1))</f>
        <v/>
      </c>
      <c r="Q1035">
        <f>IF(G1035="",0,G1035/P1035)</f>
        <v/>
      </c>
      <c r="R1035">
        <f>IF(H1035="",0,H1035/P1035)</f>
        <v/>
      </c>
    </row>
    <row r="1036">
      <c r="A1036" s="43" t="n"/>
      <c r="B1036" s="28" t="n"/>
      <c r="C1036" s="28" t="n"/>
      <c r="D1036" s="28" t="n"/>
      <c r="E1036" s="44" t="n"/>
      <c r="F1036" s="44" t="n"/>
      <c r="G1036" s="23" t="n"/>
      <c r="H1036" s="23" t="n"/>
      <c r="I1036" s="23" t="n"/>
      <c r="J1036" s="23" t="n"/>
      <c r="K1036" s="45">
        <f>IF(A1036="","",SUM(G$2:I1036)-SUM(J$2:J1036))</f>
        <v/>
      </c>
      <c r="L1036" s="46" t="n"/>
      <c r="M1036">
        <f>IF(A1036="","",IF(A1036=A1035,M1035,N(M1035)+1))</f>
        <v/>
      </c>
      <c r="N1036">
        <f>IF(E1036="",99999,E1036)</f>
        <v/>
      </c>
      <c r="O1036">
        <f>IF(E1036="",0,IF(F1036="",E1036,F1036))</f>
        <v/>
      </c>
      <c r="P1036">
        <f>IF(E1036="",1,MAX(1,(YEAR(O1036)-YEAR(N1036))*12+MONTH(O1036)-MONTH(N1036)+1))</f>
        <v/>
      </c>
      <c r="Q1036">
        <f>IF(G1036="",0,G1036/P1036)</f>
        <v/>
      </c>
      <c r="R1036">
        <f>IF(H1036="",0,H1036/P1036)</f>
        <v/>
      </c>
    </row>
    <row r="1037">
      <c r="A1037" s="43" t="n"/>
      <c r="B1037" s="28" t="n"/>
      <c r="C1037" s="28" t="n"/>
      <c r="D1037" s="28" t="n"/>
      <c r="E1037" s="44" t="n"/>
      <c r="F1037" s="44" t="n"/>
      <c r="G1037" s="23" t="n"/>
      <c r="H1037" s="23" t="n"/>
      <c r="I1037" s="23" t="n"/>
      <c r="J1037" s="23" t="n"/>
      <c r="K1037" s="45">
        <f>IF(A1037="","",SUM(G$2:I1037)-SUM(J$2:J1037))</f>
        <v/>
      </c>
      <c r="L1037" s="46" t="n"/>
      <c r="M1037">
        <f>IF(A1037="","",IF(A1037=A1036,M1036,N(M1036)+1))</f>
        <v/>
      </c>
      <c r="N1037">
        <f>IF(E1037="",99999,E1037)</f>
        <v/>
      </c>
      <c r="O1037">
        <f>IF(E1037="",0,IF(F1037="",E1037,F1037))</f>
        <v/>
      </c>
      <c r="P1037">
        <f>IF(E1037="",1,MAX(1,(YEAR(O1037)-YEAR(N1037))*12+MONTH(O1037)-MONTH(N1037)+1))</f>
        <v/>
      </c>
      <c r="Q1037">
        <f>IF(G1037="",0,G1037/P1037)</f>
        <v/>
      </c>
      <c r="R1037">
        <f>IF(H1037="",0,H1037/P1037)</f>
        <v/>
      </c>
    </row>
    <row r="1038">
      <c r="A1038" s="43" t="n"/>
      <c r="B1038" s="28" t="n"/>
      <c r="C1038" s="28" t="n"/>
      <c r="D1038" s="28" t="n"/>
      <c r="E1038" s="44" t="n"/>
      <c r="F1038" s="44" t="n"/>
      <c r="G1038" s="23" t="n"/>
      <c r="H1038" s="23" t="n"/>
      <c r="I1038" s="23" t="n"/>
      <c r="J1038" s="23" t="n"/>
      <c r="K1038" s="45">
        <f>IF(A1038="","",SUM(G$2:I1038)-SUM(J$2:J1038))</f>
        <v/>
      </c>
      <c r="L1038" s="46" t="n"/>
      <c r="M1038">
        <f>IF(A1038="","",IF(A1038=A1037,M1037,N(M1037)+1))</f>
        <v/>
      </c>
      <c r="N1038">
        <f>IF(E1038="",99999,E1038)</f>
        <v/>
      </c>
      <c r="O1038">
        <f>IF(E1038="",0,IF(F1038="",E1038,F1038))</f>
        <v/>
      </c>
      <c r="P1038">
        <f>IF(E1038="",1,MAX(1,(YEAR(O1038)-YEAR(N1038))*12+MONTH(O1038)-MONTH(N1038)+1))</f>
        <v/>
      </c>
      <c r="Q1038">
        <f>IF(G1038="",0,G1038/P1038)</f>
        <v/>
      </c>
      <c r="R1038">
        <f>IF(H1038="",0,H1038/P1038)</f>
        <v/>
      </c>
    </row>
    <row r="1039">
      <c r="A1039" s="43" t="n"/>
      <c r="B1039" s="28" t="n"/>
      <c r="C1039" s="28" t="n"/>
      <c r="D1039" s="28" t="n"/>
      <c r="E1039" s="44" t="n"/>
      <c r="F1039" s="44" t="n"/>
      <c r="G1039" s="23" t="n"/>
      <c r="H1039" s="23" t="n"/>
      <c r="I1039" s="23" t="n"/>
      <c r="J1039" s="23" t="n"/>
      <c r="K1039" s="45">
        <f>IF(A1039="","",SUM(G$2:I1039)-SUM(J$2:J1039))</f>
        <v/>
      </c>
      <c r="L1039" s="46" t="n"/>
      <c r="M1039">
        <f>IF(A1039="","",IF(A1039=A1038,M1038,N(M1038)+1))</f>
        <v/>
      </c>
      <c r="N1039">
        <f>IF(E1039="",99999,E1039)</f>
        <v/>
      </c>
      <c r="O1039">
        <f>IF(E1039="",0,IF(F1039="",E1039,F1039))</f>
        <v/>
      </c>
      <c r="P1039">
        <f>IF(E1039="",1,MAX(1,(YEAR(O1039)-YEAR(N1039))*12+MONTH(O1039)-MONTH(N1039)+1))</f>
        <v/>
      </c>
      <c r="Q1039">
        <f>IF(G1039="",0,G1039/P1039)</f>
        <v/>
      </c>
      <c r="R1039">
        <f>IF(H1039="",0,H1039/P1039)</f>
        <v/>
      </c>
    </row>
    <row r="1040">
      <c r="A1040" s="43" t="n"/>
      <c r="B1040" s="28" t="n"/>
      <c r="C1040" s="28" t="n"/>
      <c r="D1040" s="28" t="n"/>
      <c r="E1040" s="44" t="n"/>
      <c r="F1040" s="44" t="n"/>
      <c r="G1040" s="23" t="n"/>
      <c r="H1040" s="23" t="n"/>
      <c r="I1040" s="23" t="n"/>
      <c r="J1040" s="23" t="n"/>
      <c r="K1040" s="45">
        <f>IF(A1040="","",SUM(G$2:I1040)-SUM(J$2:J1040))</f>
        <v/>
      </c>
      <c r="L1040" s="46" t="n"/>
      <c r="M1040">
        <f>IF(A1040="","",IF(A1040=A1039,M1039,N(M1039)+1))</f>
        <v/>
      </c>
      <c r="N1040">
        <f>IF(E1040="",99999,E1040)</f>
        <v/>
      </c>
      <c r="O1040">
        <f>IF(E1040="",0,IF(F1040="",E1040,F1040))</f>
        <v/>
      </c>
      <c r="P1040">
        <f>IF(E1040="",1,MAX(1,(YEAR(O1040)-YEAR(N1040))*12+MONTH(O1040)-MONTH(N1040)+1))</f>
        <v/>
      </c>
      <c r="Q1040">
        <f>IF(G1040="",0,G1040/P1040)</f>
        <v/>
      </c>
      <c r="R1040">
        <f>IF(H1040="",0,H1040/P1040)</f>
        <v/>
      </c>
    </row>
    <row r="1041">
      <c r="A1041" s="43" t="n"/>
      <c r="B1041" s="28" t="n"/>
      <c r="C1041" s="28" t="n"/>
      <c r="D1041" s="28" t="n"/>
      <c r="E1041" s="44" t="n"/>
      <c r="F1041" s="44" t="n"/>
      <c r="G1041" s="23" t="n"/>
      <c r="H1041" s="23" t="n"/>
      <c r="I1041" s="23" t="n"/>
      <c r="J1041" s="23" t="n"/>
      <c r="K1041" s="45">
        <f>IF(A1041="","",SUM(G$2:I1041)-SUM(J$2:J1041))</f>
        <v/>
      </c>
      <c r="L1041" s="46" t="n"/>
      <c r="M1041">
        <f>IF(A1041="","",IF(A1041=A1040,M1040,N(M1040)+1))</f>
        <v/>
      </c>
      <c r="N1041">
        <f>IF(E1041="",99999,E1041)</f>
        <v/>
      </c>
      <c r="O1041">
        <f>IF(E1041="",0,IF(F1041="",E1041,F1041))</f>
        <v/>
      </c>
      <c r="P1041">
        <f>IF(E1041="",1,MAX(1,(YEAR(O1041)-YEAR(N1041))*12+MONTH(O1041)-MONTH(N1041)+1))</f>
        <v/>
      </c>
      <c r="Q1041">
        <f>IF(G1041="",0,G1041/P1041)</f>
        <v/>
      </c>
      <c r="R1041">
        <f>IF(H1041="",0,H1041/P1041)</f>
        <v/>
      </c>
    </row>
    <row r="1042">
      <c r="A1042" s="43" t="n"/>
      <c r="B1042" s="28" t="n"/>
      <c r="C1042" s="28" t="n"/>
      <c r="D1042" s="28" t="n"/>
      <c r="E1042" s="44" t="n"/>
      <c r="F1042" s="44" t="n"/>
      <c r="G1042" s="23" t="n"/>
      <c r="H1042" s="23" t="n"/>
      <c r="I1042" s="23" t="n"/>
      <c r="J1042" s="23" t="n"/>
      <c r="K1042" s="45">
        <f>IF(A1042="","",SUM(G$2:I1042)-SUM(J$2:J1042))</f>
        <v/>
      </c>
      <c r="L1042" s="46" t="n"/>
      <c r="M1042">
        <f>IF(A1042="","",IF(A1042=A1041,M1041,N(M1041)+1))</f>
        <v/>
      </c>
      <c r="N1042">
        <f>IF(E1042="",99999,E1042)</f>
        <v/>
      </c>
      <c r="O1042">
        <f>IF(E1042="",0,IF(F1042="",E1042,F1042))</f>
        <v/>
      </c>
      <c r="P1042">
        <f>IF(E1042="",1,MAX(1,(YEAR(O1042)-YEAR(N1042))*12+MONTH(O1042)-MONTH(N1042)+1))</f>
        <v/>
      </c>
      <c r="Q1042">
        <f>IF(G1042="",0,G1042/P1042)</f>
        <v/>
      </c>
      <c r="R1042">
        <f>IF(H1042="",0,H1042/P1042)</f>
        <v/>
      </c>
    </row>
    <row r="1043">
      <c r="A1043" s="43" t="n"/>
      <c r="B1043" s="28" t="n"/>
      <c r="C1043" s="28" t="n"/>
      <c r="D1043" s="28" t="n"/>
      <c r="E1043" s="44" t="n"/>
      <c r="F1043" s="44" t="n"/>
      <c r="G1043" s="23" t="n"/>
      <c r="H1043" s="23" t="n"/>
      <c r="I1043" s="23" t="n"/>
      <c r="J1043" s="23" t="n"/>
      <c r="K1043" s="45">
        <f>IF(A1043="","",SUM(G$2:I1043)-SUM(J$2:J1043))</f>
        <v/>
      </c>
      <c r="L1043" s="46" t="n"/>
      <c r="M1043">
        <f>IF(A1043="","",IF(A1043=A1042,M1042,N(M1042)+1))</f>
        <v/>
      </c>
      <c r="N1043">
        <f>IF(E1043="",99999,E1043)</f>
        <v/>
      </c>
      <c r="O1043">
        <f>IF(E1043="",0,IF(F1043="",E1043,F1043))</f>
        <v/>
      </c>
      <c r="P1043">
        <f>IF(E1043="",1,MAX(1,(YEAR(O1043)-YEAR(N1043))*12+MONTH(O1043)-MONTH(N1043)+1))</f>
        <v/>
      </c>
      <c r="Q1043">
        <f>IF(G1043="",0,G1043/P1043)</f>
        <v/>
      </c>
      <c r="R1043">
        <f>IF(H1043="",0,H1043/P1043)</f>
        <v/>
      </c>
    </row>
    <row r="1044">
      <c r="A1044" s="43" t="n"/>
      <c r="B1044" s="28" t="n"/>
      <c r="C1044" s="28" t="n"/>
      <c r="D1044" s="28" t="n"/>
      <c r="E1044" s="44" t="n"/>
      <c r="F1044" s="44" t="n"/>
      <c r="G1044" s="23" t="n"/>
      <c r="H1044" s="23" t="n"/>
      <c r="I1044" s="23" t="n"/>
      <c r="J1044" s="23" t="n"/>
      <c r="K1044" s="45">
        <f>IF(A1044="","",SUM(G$2:I1044)-SUM(J$2:J1044))</f>
        <v/>
      </c>
      <c r="L1044" s="46" t="n"/>
      <c r="M1044">
        <f>IF(A1044="","",IF(A1044=A1043,M1043,N(M1043)+1))</f>
        <v/>
      </c>
      <c r="N1044">
        <f>IF(E1044="",99999,E1044)</f>
        <v/>
      </c>
      <c r="O1044">
        <f>IF(E1044="",0,IF(F1044="",E1044,F1044))</f>
        <v/>
      </c>
      <c r="P1044">
        <f>IF(E1044="",1,MAX(1,(YEAR(O1044)-YEAR(N1044))*12+MONTH(O1044)-MONTH(N1044)+1))</f>
        <v/>
      </c>
      <c r="Q1044">
        <f>IF(G1044="",0,G1044/P1044)</f>
        <v/>
      </c>
      <c r="R1044">
        <f>IF(H1044="",0,H1044/P1044)</f>
        <v/>
      </c>
    </row>
    <row r="1045">
      <c r="A1045" s="43" t="n"/>
      <c r="B1045" s="28" t="n"/>
      <c r="C1045" s="28" t="n"/>
      <c r="D1045" s="28" t="n"/>
      <c r="E1045" s="44" t="n"/>
      <c r="F1045" s="44" t="n"/>
      <c r="G1045" s="23" t="n"/>
      <c r="H1045" s="23" t="n"/>
      <c r="I1045" s="23" t="n"/>
      <c r="J1045" s="23" t="n"/>
      <c r="K1045" s="45">
        <f>IF(A1045="","",SUM(G$2:I1045)-SUM(J$2:J1045))</f>
        <v/>
      </c>
      <c r="L1045" s="46" t="n"/>
      <c r="M1045">
        <f>IF(A1045="","",IF(A1045=A1044,M1044,N(M1044)+1))</f>
        <v/>
      </c>
      <c r="N1045">
        <f>IF(E1045="",99999,E1045)</f>
        <v/>
      </c>
      <c r="O1045">
        <f>IF(E1045="",0,IF(F1045="",E1045,F1045))</f>
        <v/>
      </c>
      <c r="P1045">
        <f>IF(E1045="",1,MAX(1,(YEAR(O1045)-YEAR(N1045))*12+MONTH(O1045)-MONTH(N1045)+1))</f>
        <v/>
      </c>
      <c r="Q1045">
        <f>IF(G1045="",0,G1045/P1045)</f>
        <v/>
      </c>
      <c r="R1045">
        <f>IF(H1045="",0,H1045/P1045)</f>
        <v/>
      </c>
    </row>
    <row r="1046">
      <c r="A1046" s="43" t="n"/>
      <c r="B1046" s="28" t="n"/>
      <c r="C1046" s="28" t="n"/>
      <c r="D1046" s="28" t="n"/>
      <c r="E1046" s="44" t="n"/>
      <c r="F1046" s="44" t="n"/>
      <c r="G1046" s="23" t="n"/>
      <c r="H1046" s="23" t="n"/>
      <c r="I1046" s="23" t="n"/>
      <c r="J1046" s="23" t="n"/>
      <c r="K1046" s="45">
        <f>IF(A1046="","",SUM(G$2:I1046)-SUM(J$2:J1046))</f>
        <v/>
      </c>
      <c r="L1046" s="46" t="n"/>
      <c r="M1046">
        <f>IF(A1046="","",IF(A1046=A1045,M1045,N(M1045)+1))</f>
        <v/>
      </c>
      <c r="N1046">
        <f>IF(E1046="",99999,E1046)</f>
        <v/>
      </c>
      <c r="O1046">
        <f>IF(E1046="",0,IF(F1046="",E1046,F1046))</f>
        <v/>
      </c>
      <c r="P1046">
        <f>IF(E1046="",1,MAX(1,(YEAR(O1046)-YEAR(N1046))*12+MONTH(O1046)-MONTH(N1046)+1))</f>
        <v/>
      </c>
      <c r="Q1046">
        <f>IF(G1046="",0,G1046/P1046)</f>
        <v/>
      </c>
      <c r="R1046">
        <f>IF(H1046="",0,H1046/P1046)</f>
        <v/>
      </c>
    </row>
    <row r="1047">
      <c r="A1047" s="43" t="n"/>
      <c r="B1047" s="28" t="n"/>
      <c r="C1047" s="28" t="n"/>
      <c r="D1047" s="28" t="n"/>
      <c r="E1047" s="44" t="n"/>
      <c r="F1047" s="44" t="n"/>
      <c r="G1047" s="23" t="n"/>
      <c r="H1047" s="23" t="n"/>
      <c r="I1047" s="23" t="n"/>
      <c r="J1047" s="23" t="n"/>
      <c r="K1047" s="45">
        <f>IF(A1047="","",SUM(G$2:I1047)-SUM(J$2:J1047))</f>
        <v/>
      </c>
      <c r="L1047" s="46" t="n"/>
      <c r="M1047">
        <f>IF(A1047="","",IF(A1047=A1046,M1046,N(M1046)+1))</f>
        <v/>
      </c>
      <c r="N1047">
        <f>IF(E1047="",99999,E1047)</f>
        <v/>
      </c>
      <c r="O1047">
        <f>IF(E1047="",0,IF(F1047="",E1047,F1047))</f>
        <v/>
      </c>
      <c r="P1047">
        <f>IF(E1047="",1,MAX(1,(YEAR(O1047)-YEAR(N1047))*12+MONTH(O1047)-MONTH(N1047)+1))</f>
        <v/>
      </c>
      <c r="Q1047">
        <f>IF(G1047="",0,G1047/P1047)</f>
        <v/>
      </c>
      <c r="R1047">
        <f>IF(H1047="",0,H1047/P1047)</f>
        <v/>
      </c>
    </row>
    <row r="1048">
      <c r="A1048" s="43" t="n"/>
      <c r="B1048" s="28" t="n"/>
      <c r="C1048" s="28" t="n"/>
      <c r="D1048" s="28" t="n"/>
      <c r="E1048" s="44" t="n"/>
      <c r="F1048" s="44" t="n"/>
      <c r="G1048" s="23" t="n"/>
      <c r="H1048" s="23" t="n"/>
      <c r="I1048" s="23" t="n"/>
      <c r="J1048" s="23" t="n"/>
      <c r="K1048" s="45">
        <f>IF(A1048="","",SUM(G$2:I1048)-SUM(J$2:J1048))</f>
        <v/>
      </c>
      <c r="L1048" s="46" t="n"/>
      <c r="M1048">
        <f>IF(A1048="","",IF(A1048=A1047,M1047,N(M1047)+1))</f>
        <v/>
      </c>
      <c r="N1048">
        <f>IF(E1048="",99999,E1048)</f>
        <v/>
      </c>
      <c r="O1048">
        <f>IF(E1048="",0,IF(F1048="",E1048,F1048))</f>
        <v/>
      </c>
      <c r="P1048">
        <f>IF(E1048="",1,MAX(1,(YEAR(O1048)-YEAR(N1048))*12+MONTH(O1048)-MONTH(N1048)+1))</f>
        <v/>
      </c>
      <c r="Q1048">
        <f>IF(G1048="",0,G1048/P1048)</f>
        <v/>
      </c>
      <c r="R1048">
        <f>IF(H1048="",0,H1048/P1048)</f>
        <v/>
      </c>
    </row>
    <row r="1049">
      <c r="A1049" s="43" t="n"/>
      <c r="B1049" s="28" t="n"/>
      <c r="C1049" s="28" t="n"/>
      <c r="D1049" s="28" t="n"/>
      <c r="E1049" s="44" t="n"/>
      <c r="F1049" s="44" t="n"/>
      <c r="G1049" s="23" t="n"/>
      <c r="H1049" s="23" t="n"/>
      <c r="I1049" s="23" t="n"/>
      <c r="J1049" s="23" t="n"/>
      <c r="K1049" s="45">
        <f>IF(A1049="","",SUM(G$2:I1049)-SUM(J$2:J1049))</f>
        <v/>
      </c>
      <c r="L1049" s="46" t="n"/>
      <c r="M1049">
        <f>IF(A1049="","",IF(A1049=A1048,M1048,N(M1048)+1))</f>
        <v/>
      </c>
      <c r="N1049">
        <f>IF(E1049="",99999,E1049)</f>
        <v/>
      </c>
      <c r="O1049">
        <f>IF(E1049="",0,IF(F1049="",E1049,F1049))</f>
        <v/>
      </c>
      <c r="P1049">
        <f>IF(E1049="",1,MAX(1,(YEAR(O1049)-YEAR(N1049))*12+MONTH(O1049)-MONTH(N1049)+1))</f>
        <v/>
      </c>
      <c r="Q1049">
        <f>IF(G1049="",0,G1049/P1049)</f>
        <v/>
      </c>
      <c r="R1049">
        <f>IF(H1049="",0,H1049/P1049)</f>
        <v/>
      </c>
    </row>
    <row r="1050">
      <c r="A1050" s="43" t="n"/>
      <c r="B1050" s="28" t="n"/>
      <c r="C1050" s="28" t="n"/>
      <c r="D1050" s="28" t="n"/>
      <c r="E1050" s="44" t="n"/>
      <c r="F1050" s="44" t="n"/>
      <c r="G1050" s="23" t="n"/>
      <c r="H1050" s="23" t="n"/>
      <c r="I1050" s="23" t="n"/>
      <c r="J1050" s="23" t="n"/>
      <c r="K1050" s="45">
        <f>IF(A1050="","",SUM(G$2:I1050)-SUM(J$2:J1050))</f>
        <v/>
      </c>
      <c r="L1050" s="46" t="n"/>
      <c r="M1050">
        <f>IF(A1050="","",IF(A1050=A1049,M1049,N(M1049)+1))</f>
        <v/>
      </c>
      <c r="N1050">
        <f>IF(E1050="",99999,E1050)</f>
        <v/>
      </c>
      <c r="O1050">
        <f>IF(E1050="",0,IF(F1050="",E1050,F1050))</f>
        <v/>
      </c>
      <c r="P1050">
        <f>IF(E1050="",1,MAX(1,(YEAR(O1050)-YEAR(N1050))*12+MONTH(O1050)-MONTH(N1050)+1))</f>
        <v/>
      </c>
      <c r="Q1050">
        <f>IF(G1050="",0,G1050/P1050)</f>
        <v/>
      </c>
      <c r="R1050">
        <f>IF(H1050="",0,H1050/P1050)</f>
        <v/>
      </c>
    </row>
    <row r="1051">
      <c r="A1051" s="43" t="n"/>
      <c r="B1051" s="28" t="n"/>
      <c r="C1051" s="28" t="n"/>
      <c r="D1051" s="28" t="n"/>
      <c r="E1051" s="44" t="n"/>
      <c r="F1051" s="44" t="n"/>
      <c r="G1051" s="23" t="n"/>
      <c r="H1051" s="23" t="n"/>
      <c r="I1051" s="23" t="n"/>
      <c r="J1051" s="23" t="n"/>
      <c r="K1051" s="45">
        <f>IF(A1051="","",SUM(G$2:I1051)-SUM(J$2:J1051))</f>
        <v/>
      </c>
      <c r="L1051" s="46" t="n"/>
      <c r="M1051">
        <f>IF(A1051="","",IF(A1051=A1050,M1050,N(M1050)+1))</f>
        <v/>
      </c>
      <c r="N1051">
        <f>IF(E1051="",99999,E1051)</f>
        <v/>
      </c>
      <c r="O1051">
        <f>IF(E1051="",0,IF(F1051="",E1051,F1051))</f>
        <v/>
      </c>
      <c r="P1051">
        <f>IF(E1051="",1,MAX(1,(YEAR(O1051)-YEAR(N1051))*12+MONTH(O1051)-MONTH(N1051)+1))</f>
        <v/>
      </c>
      <c r="Q1051">
        <f>IF(G1051="",0,G1051/P1051)</f>
        <v/>
      </c>
      <c r="R1051">
        <f>IF(H1051="",0,H1051/P1051)</f>
        <v/>
      </c>
    </row>
    <row r="1052">
      <c r="A1052" s="43" t="n"/>
      <c r="B1052" s="28" t="n"/>
      <c r="C1052" s="28" t="n"/>
      <c r="D1052" s="28" t="n"/>
      <c r="E1052" s="44" t="n"/>
      <c r="F1052" s="44" t="n"/>
      <c r="G1052" s="23" t="n"/>
      <c r="H1052" s="23" t="n"/>
      <c r="I1052" s="23" t="n"/>
      <c r="J1052" s="23" t="n"/>
      <c r="K1052" s="45">
        <f>IF(A1052="","",SUM(G$2:I1052)-SUM(J$2:J1052))</f>
        <v/>
      </c>
      <c r="L1052" s="46" t="n"/>
      <c r="M1052">
        <f>IF(A1052="","",IF(A1052=A1051,M1051,N(M1051)+1))</f>
        <v/>
      </c>
      <c r="N1052">
        <f>IF(E1052="",99999,E1052)</f>
        <v/>
      </c>
      <c r="O1052">
        <f>IF(E1052="",0,IF(F1052="",E1052,F1052))</f>
        <v/>
      </c>
      <c r="P1052">
        <f>IF(E1052="",1,MAX(1,(YEAR(O1052)-YEAR(N1052))*12+MONTH(O1052)-MONTH(N1052)+1))</f>
        <v/>
      </c>
      <c r="Q1052">
        <f>IF(G1052="",0,G1052/P1052)</f>
        <v/>
      </c>
      <c r="R1052">
        <f>IF(H1052="",0,H1052/P1052)</f>
        <v/>
      </c>
    </row>
    <row r="1053">
      <c r="A1053" s="43" t="n"/>
      <c r="B1053" s="28" t="n"/>
      <c r="C1053" s="28" t="n"/>
      <c r="D1053" s="28" t="n"/>
      <c r="E1053" s="44" t="n"/>
      <c r="F1053" s="44" t="n"/>
      <c r="G1053" s="23" t="n"/>
      <c r="H1053" s="23" t="n"/>
      <c r="I1053" s="23" t="n"/>
      <c r="J1053" s="23" t="n"/>
      <c r="K1053" s="45">
        <f>IF(A1053="","",SUM(G$2:I1053)-SUM(J$2:J1053))</f>
        <v/>
      </c>
      <c r="L1053" s="46" t="n"/>
      <c r="M1053">
        <f>IF(A1053="","",IF(A1053=A1052,M1052,N(M1052)+1))</f>
        <v/>
      </c>
      <c r="N1053">
        <f>IF(E1053="",99999,E1053)</f>
        <v/>
      </c>
      <c r="O1053">
        <f>IF(E1053="",0,IF(F1053="",E1053,F1053))</f>
        <v/>
      </c>
      <c r="P1053">
        <f>IF(E1053="",1,MAX(1,(YEAR(O1053)-YEAR(N1053))*12+MONTH(O1053)-MONTH(N1053)+1))</f>
        <v/>
      </c>
      <c r="Q1053">
        <f>IF(G1053="",0,G1053/P1053)</f>
        <v/>
      </c>
      <c r="R1053">
        <f>IF(H1053="",0,H1053/P1053)</f>
        <v/>
      </c>
    </row>
    <row r="1054">
      <c r="A1054" s="43" t="n"/>
      <c r="B1054" s="28" t="n"/>
      <c r="C1054" s="28" t="n"/>
      <c r="D1054" s="28" t="n"/>
      <c r="E1054" s="44" t="n"/>
      <c r="F1054" s="44" t="n"/>
      <c r="G1054" s="23" t="n"/>
      <c r="H1054" s="23" t="n"/>
      <c r="I1054" s="23" t="n"/>
      <c r="J1054" s="23" t="n"/>
      <c r="K1054" s="45">
        <f>IF(A1054="","",SUM(G$2:I1054)-SUM(J$2:J1054))</f>
        <v/>
      </c>
      <c r="L1054" s="46" t="n"/>
      <c r="M1054">
        <f>IF(A1054="","",IF(A1054=A1053,M1053,N(M1053)+1))</f>
        <v/>
      </c>
      <c r="N1054">
        <f>IF(E1054="",99999,E1054)</f>
        <v/>
      </c>
      <c r="O1054">
        <f>IF(E1054="",0,IF(F1054="",E1054,F1054))</f>
        <v/>
      </c>
      <c r="P1054">
        <f>IF(E1054="",1,MAX(1,(YEAR(O1054)-YEAR(N1054))*12+MONTH(O1054)-MONTH(N1054)+1))</f>
        <v/>
      </c>
      <c r="Q1054">
        <f>IF(G1054="",0,G1054/P1054)</f>
        <v/>
      </c>
      <c r="R1054">
        <f>IF(H1054="",0,H1054/P1054)</f>
        <v/>
      </c>
    </row>
    <row r="1055">
      <c r="A1055" s="43" t="n"/>
      <c r="B1055" s="28" t="n"/>
      <c r="C1055" s="28" t="n"/>
      <c r="D1055" s="28" t="n"/>
      <c r="E1055" s="44" t="n"/>
      <c r="F1055" s="44" t="n"/>
      <c r="G1055" s="23" t="n"/>
      <c r="H1055" s="23" t="n"/>
      <c r="I1055" s="23" t="n"/>
      <c r="J1055" s="23" t="n"/>
      <c r="K1055" s="45">
        <f>IF(A1055="","",SUM(G$2:I1055)-SUM(J$2:J1055))</f>
        <v/>
      </c>
      <c r="L1055" s="46" t="n"/>
      <c r="M1055">
        <f>IF(A1055="","",IF(A1055=A1054,M1054,N(M1054)+1))</f>
        <v/>
      </c>
      <c r="N1055">
        <f>IF(E1055="",99999,E1055)</f>
        <v/>
      </c>
      <c r="O1055">
        <f>IF(E1055="",0,IF(F1055="",E1055,F1055))</f>
        <v/>
      </c>
      <c r="P1055">
        <f>IF(E1055="",1,MAX(1,(YEAR(O1055)-YEAR(N1055))*12+MONTH(O1055)-MONTH(N1055)+1))</f>
        <v/>
      </c>
      <c r="Q1055">
        <f>IF(G1055="",0,G1055/P1055)</f>
        <v/>
      </c>
      <c r="R1055">
        <f>IF(H1055="",0,H1055/P1055)</f>
        <v/>
      </c>
    </row>
    <row r="1056">
      <c r="A1056" s="43" t="n"/>
      <c r="B1056" s="28" t="n"/>
      <c r="C1056" s="28" t="n"/>
      <c r="D1056" s="28" t="n"/>
      <c r="E1056" s="44" t="n"/>
      <c r="F1056" s="44" t="n"/>
      <c r="G1056" s="23" t="n"/>
      <c r="H1056" s="23" t="n"/>
      <c r="I1056" s="23" t="n"/>
      <c r="J1056" s="23" t="n"/>
      <c r="K1056" s="45">
        <f>IF(A1056="","",SUM(G$2:I1056)-SUM(J$2:J1056))</f>
        <v/>
      </c>
      <c r="L1056" s="46" t="n"/>
      <c r="M1056">
        <f>IF(A1056="","",IF(A1056=A1055,M1055,N(M1055)+1))</f>
        <v/>
      </c>
      <c r="N1056">
        <f>IF(E1056="",99999,E1056)</f>
        <v/>
      </c>
      <c r="O1056">
        <f>IF(E1056="",0,IF(F1056="",E1056,F1056))</f>
        <v/>
      </c>
      <c r="P1056">
        <f>IF(E1056="",1,MAX(1,(YEAR(O1056)-YEAR(N1056))*12+MONTH(O1056)-MONTH(N1056)+1))</f>
        <v/>
      </c>
      <c r="Q1056">
        <f>IF(G1056="",0,G1056/P1056)</f>
        <v/>
      </c>
      <c r="R1056">
        <f>IF(H1056="",0,H1056/P1056)</f>
        <v/>
      </c>
    </row>
    <row r="1057">
      <c r="A1057" s="43" t="n"/>
      <c r="B1057" s="28" t="n"/>
      <c r="C1057" s="28" t="n"/>
      <c r="D1057" s="28" t="n"/>
      <c r="E1057" s="44" t="n"/>
      <c r="F1057" s="44" t="n"/>
      <c r="G1057" s="23" t="n"/>
      <c r="H1057" s="23" t="n"/>
      <c r="I1057" s="23" t="n"/>
      <c r="J1057" s="23" t="n"/>
      <c r="K1057" s="45">
        <f>IF(A1057="","",SUM(G$2:I1057)-SUM(J$2:J1057))</f>
        <v/>
      </c>
      <c r="L1057" s="46" t="n"/>
      <c r="M1057">
        <f>IF(A1057="","",IF(A1057=A1056,M1056,N(M1056)+1))</f>
        <v/>
      </c>
      <c r="N1057">
        <f>IF(E1057="",99999,E1057)</f>
        <v/>
      </c>
      <c r="O1057">
        <f>IF(E1057="",0,IF(F1057="",E1057,F1057))</f>
        <v/>
      </c>
      <c r="P1057">
        <f>IF(E1057="",1,MAX(1,(YEAR(O1057)-YEAR(N1057))*12+MONTH(O1057)-MONTH(N1057)+1))</f>
        <v/>
      </c>
      <c r="Q1057">
        <f>IF(G1057="",0,G1057/P1057)</f>
        <v/>
      </c>
      <c r="R1057">
        <f>IF(H1057="",0,H1057/P1057)</f>
        <v/>
      </c>
    </row>
    <row r="1058">
      <c r="A1058" s="43" t="n"/>
      <c r="B1058" s="28" t="n"/>
      <c r="C1058" s="28" t="n"/>
      <c r="D1058" s="28" t="n"/>
      <c r="E1058" s="44" t="n"/>
      <c r="F1058" s="44" t="n"/>
      <c r="G1058" s="23" t="n"/>
      <c r="H1058" s="23" t="n"/>
      <c r="I1058" s="23" t="n"/>
      <c r="J1058" s="23" t="n"/>
      <c r="K1058" s="45">
        <f>IF(A1058="","",SUM(G$2:I1058)-SUM(J$2:J1058))</f>
        <v/>
      </c>
      <c r="L1058" s="46" t="n"/>
      <c r="M1058">
        <f>IF(A1058="","",IF(A1058=A1057,M1057,N(M1057)+1))</f>
        <v/>
      </c>
      <c r="N1058">
        <f>IF(E1058="",99999,E1058)</f>
        <v/>
      </c>
      <c r="O1058">
        <f>IF(E1058="",0,IF(F1058="",E1058,F1058))</f>
        <v/>
      </c>
      <c r="P1058">
        <f>IF(E1058="",1,MAX(1,(YEAR(O1058)-YEAR(N1058))*12+MONTH(O1058)-MONTH(N1058)+1))</f>
        <v/>
      </c>
      <c r="Q1058">
        <f>IF(G1058="",0,G1058/P1058)</f>
        <v/>
      </c>
      <c r="R1058">
        <f>IF(H1058="",0,H1058/P1058)</f>
        <v/>
      </c>
    </row>
    <row r="1059">
      <c r="A1059" s="43" t="n"/>
      <c r="B1059" s="28" t="n"/>
      <c r="C1059" s="28" t="n"/>
      <c r="D1059" s="28" t="n"/>
      <c r="E1059" s="44" t="n"/>
      <c r="F1059" s="44" t="n"/>
      <c r="G1059" s="23" t="n"/>
      <c r="H1059" s="23" t="n"/>
      <c r="I1059" s="23" t="n"/>
      <c r="J1059" s="23" t="n"/>
      <c r="K1059" s="45">
        <f>IF(A1059="","",SUM(G$2:I1059)-SUM(J$2:J1059))</f>
        <v/>
      </c>
      <c r="L1059" s="46" t="n"/>
      <c r="M1059">
        <f>IF(A1059="","",IF(A1059=A1058,M1058,N(M1058)+1))</f>
        <v/>
      </c>
      <c r="N1059">
        <f>IF(E1059="",99999,E1059)</f>
        <v/>
      </c>
      <c r="O1059">
        <f>IF(E1059="",0,IF(F1059="",E1059,F1059))</f>
        <v/>
      </c>
      <c r="P1059">
        <f>IF(E1059="",1,MAX(1,(YEAR(O1059)-YEAR(N1059))*12+MONTH(O1059)-MONTH(N1059)+1))</f>
        <v/>
      </c>
      <c r="Q1059">
        <f>IF(G1059="",0,G1059/P1059)</f>
        <v/>
      </c>
      <c r="R1059">
        <f>IF(H1059="",0,H1059/P1059)</f>
        <v/>
      </c>
    </row>
    <row r="1060">
      <c r="A1060" s="43" t="n"/>
      <c r="B1060" s="28" t="n"/>
      <c r="C1060" s="28" t="n"/>
      <c r="D1060" s="28" t="n"/>
      <c r="E1060" s="44" t="n"/>
      <c r="F1060" s="44" t="n"/>
      <c r="G1060" s="23" t="n"/>
      <c r="H1060" s="23" t="n"/>
      <c r="I1060" s="23" t="n"/>
      <c r="J1060" s="23" t="n"/>
      <c r="K1060" s="45">
        <f>IF(A1060="","",SUM(G$2:I1060)-SUM(J$2:J1060))</f>
        <v/>
      </c>
      <c r="L1060" s="46" t="n"/>
      <c r="M1060">
        <f>IF(A1060="","",IF(A1060=A1059,M1059,N(M1059)+1))</f>
        <v/>
      </c>
      <c r="N1060">
        <f>IF(E1060="",99999,E1060)</f>
        <v/>
      </c>
      <c r="O1060">
        <f>IF(E1060="",0,IF(F1060="",E1060,F1060))</f>
        <v/>
      </c>
      <c r="P1060">
        <f>IF(E1060="",1,MAX(1,(YEAR(O1060)-YEAR(N1060))*12+MONTH(O1060)-MONTH(N1060)+1))</f>
        <v/>
      </c>
      <c r="Q1060">
        <f>IF(G1060="",0,G1060/P1060)</f>
        <v/>
      </c>
      <c r="R1060">
        <f>IF(H1060="",0,H1060/P1060)</f>
        <v/>
      </c>
    </row>
    <row r="1061">
      <c r="A1061" s="43" t="n"/>
      <c r="B1061" s="28" t="n"/>
      <c r="C1061" s="28" t="n"/>
      <c r="D1061" s="28" t="n"/>
      <c r="E1061" s="44" t="n"/>
      <c r="F1061" s="44" t="n"/>
      <c r="G1061" s="23" t="n"/>
      <c r="H1061" s="23" t="n"/>
      <c r="I1061" s="23" t="n"/>
      <c r="J1061" s="23" t="n"/>
      <c r="K1061" s="45">
        <f>IF(A1061="","",SUM(G$2:I1061)-SUM(J$2:J1061))</f>
        <v/>
      </c>
      <c r="L1061" s="46" t="n"/>
      <c r="M1061">
        <f>IF(A1061="","",IF(A1061=A1060,M1060,N(M1060)+1))</f>
        <v/>
      </c>
      <c r="N1061">
        <f>IF(E1061="",99999,E1061)</f>
        <v/>
      </c>
      <c r="O1061">
        <f>IF(E1061="",0,IF(F1061="",E1061,F1061))</f>
        <v/>
      </c>
      <c r="P1061">
        <f>IF(E1061="",1,MAX(1,(YEAR(O1061)-YEAR(N1061))*12+MONTH(O1061)-MONTH(N1061)+1))</f>
        <v/>
      </c>
      <c r="Q1061">
        <f>IF(G1061="",0,G1061/P1061)</f>
        <v/>
      </c>
      <c r="R1061">
        <f>IF(H1061="",0,H1061/P1061)</f>
        <v/>
      </c>
    </row>
    <row r="1062">
      <c r="A1062" s="43" t="n"/>
      <c r="B1062" s="28" t="n"/>
      <c r="C1062" s="28" t="n"/>
      <c r="D1062" s="28" t="n"/>
      <c r="E1062" s="44" t="n"/>
      <c r="F1062" s="44" t="n"/>
      <c r="G1062" s="23" t="n"/>
      <c r="H1062" s="23" t="n"/>
      <c r="I1062" s="23" t="n"/>
      <c r="J1062" s="23" t="n"/>
      <c r="K1062" s="45">
        <f>IF(A1062="","",SUM(G$2:I1062)-SUM(J$2:J1062))</f>
        <v/>
      </c>
      <c r="L1062" s="46" t="n"/>
      <c r="M1062">
        <f>IF(A1062="","",IF(A1062=A1061,M1061,N(M1061)+1))</f>
        <v/>
      </c>
      <c r="N1062">
        <f>IF(E1062="",99999,E1062)</f>
        <v/>
      </c>
      <c r="O1062">
        <f>IF(E1062="",0,IF(F1062="",E1062,F1062))</f>
        <v/>
      </c>
      <c r="P1062">
        <f>IF(E1062="",1,MAX(1,(YEAR(O1062)-YEAR(N1062))*12+MONTH(O1062)-MONTH(N1062)+1))</f>
        <v/>
      </c>
      <c r="Q1062">
        <f>IF(G1062="",0,G1062/P1062)</f>
        <v/>
      </c>
      <c r="R1062">
        <f>IF(H1062="",0,H1062/P1062)</f>
        <v/>
      </c>
    </row>
    <row r="1063">
      <c r="A1063" s="43" t="n"/>
      <c r="B1063" s="28" t="n"/>
      <c r="C1063" s="28" t="n"/>
      <c r="D1063" s="28" t="n"/>
      <c r="E1063" s="44" t="n"/>
      <c r="F1063" s="44" t="n"/>
      <c r="G1063" s="23" t="n"/>
      <c r="H1063" s="23" t="n"/>
      <c r="I1063" s="23" t="n"/>
      <c r="J1063" s="23" t="n"/>
      <c r="K1063" s="45">
        <f>IF(A1063="","",SUM(G$2:I1063)-SUM(J$2:J1063))</f>
        <v/>
      </c>
      <c r="L1063" s="46" t="n"/>
      <c r="M1063">
        <f>IF(A1063="","",IF(A1063=A1062,M1062,N(M1062)+1))</f>
        <v/>
      </c>
      <c r="N1063">
        <f>IF(E1063="",99999,E1063)</f>
        <v/>
      </c>
      <c r="O1063">
        <f>IF(E1063="",0,IF(F1063="",E1063,F1063))</f>
        <v/>
      </c>
      <c r="P1063">
        <f>IF(E1063="",1,MAX(1,(YEAR(O1063)-YEAR(N1063))*12+MONTH(O1063)-MONTH(N1063)+1))</f>
        <v/>
      </c>
      <c r="Q1063">
        <f>IF(G1063="",0,G1063/P1063)</f>
        <v/>
      </c>
      <c r="R1063">
        <f>IF(H1063="",0,H1063/P1063)</f>
        <v/>
      </c>
    </row>
    <row r="1064">
      <c r="A1064" s="43" t="n"/>
      <c r="B1064" s="28" t="n"/>
      <c r="C1064" s="28" t="n"/>
      <c r="D1064" s="28" t="n"/>
      <c r="E1064" s="44" t="n"/>
      <c r="F1064" s="44" t="n"/>
      <c r="G1064" s="23" t="n"/>
      <c r="H1064" s="23" t="n"/>
      <c r="I1064" s="23" t="n"/>
      <c r="J1064" s="23" t="n"/>
      <c r="K1064" s="45">
        <f>IF(A1064="","",SUM(G$2:I1064)-SUM(J$2:J1064))</f>
        <v/>
      </c>
      <c r="L1064" s="46" t="n"/>
      <c r="M1064">
        <f>IF(A1064="","",IF(A1064=A1063,M1063,N(M1063)+1))</f>
        <v/>
      </c>
      <c r="N1064">
        <f>IF(E1064="",99999,E1064)</f>
        <v/>
      </c>
      <c r="O1064">
        <f>IF(E1064="",0,IF(F1064="",E1064,F1064))</f>
        <v/>
      </c>
      <c r="P1064">
        <f>IF(E1064="",1,MAX(1,(YEAR(O1064)-YEAR(N1064))*12+MONTH(O1064)-MONTH(N1064)+1))</f>
        <v/>
      </c>
      <c r="Q1064">
        <f>IF(G1064="",0,G1064/P1064)</f>
        <v/>
      </c>
      <c r="R1064">
        <f>IF(H1064="",0,H1064/P1064)</f>
        <v/>
      </c>
    </row>
    <row r="1065">
      <c r="A1065" s="43" t="n"/>
      <c r="B1065" s="28" t="n"/>
      <c r="C1065" s="28" t="n"/>
      <c r="D1065" s="28" t="n"/>
      <c r="E1065" s="44" t="n"/>
      <c r="F1065" s="44" t="n"/>
      <c r="G1065" s="23" t="n"/>
      <c r="H1065" s="23" t="n"/>
      <c r="I1065" s="23" t="n"/>
      <c r="J1065" s="23" t="n"/>
      <c r="K1065" s="45">
        <f>IF(A1065="","",SUM(G$2:I1065)-SUM(J$2:J1065))</f>
        <v/>
      </c>
      <c r="L1065" s="46" t="n"/>
      <c r="M1065">
        <f>IF(A1065="","",IF(A1065=A1064,M1064,N(M1064)+1))</f>
        <v/>
      </c>
      <c r="N1065">
        <f>IF(E1065="",99999,E1065)</f>
        <v/>
      </c>
      <c r="O1065">
        <f>IF(E1065="",0,IF(F1065="",E1065,F1065))</f>
        <v/>
      </c>
      <c r="P1065">
        <f>IF(E1065="",1,MAX(1,(YEAR(O1065)-YEAR(N1065))*12+MONTH(O1065)-MONTH(N1065)+1))</f>
        <v/>
      </c>
      <c r="Q1065">
        <f>IF(G1065="",0,G1065/P1065)</f>
        <v/>
      </c>
      <c r="R1065">
        <f>IF(H1065="",0,H1065/P1065)</f>
        <v/>
      </c>
    </row>
    <row r="1066">
      <c r="A1066" s="43" t="n"/>
      <c r="B1066" s="28" t="n"/>
      <c r="C1066" s="28" t="n"/>
      <c r="D1066" s="28" t="n"/>
      <c r="E1066" s="44" t="n"/>
      <c r="F1066" s="44" t="n"/>
      <c r="G1066" s="23" t="n"/>
      <c r="H1066" s="23" t="n"/>
      <c r="I1066" s="23" t="n"/>
      <c r="J1066" s="23" t="n"/>
      <c r="K1066" s="45">
        <f>IF(A1066="","",SUM(G$2:I1066)-SUM(J$2:J1066))</f>
        <v/>
      </c>
      <c r="L1066" s="46" t="n"/>
      <c r="M1066">
        <f>IF(A1066="","",IF(A1066=A1065,M1065,N(M1065)+1))</f>
        <v/>
      </c>
      <c r="N1066">
        <f>IF(E1066="",99999,E1066)</f>
        <v/>
      </c>
      <c r="O1066">
        <f>IF(E1066="",0,IF(F1066="",E1066,F1066))</f>
        <v/>
      </c>
      <c r="P1066">
        <f>IF(E1066="",1,MAX(1,(YEAR(O1066)-YEAR(N1066))*12+MONTH(O1066)-MONTH(N1066)+1))</f>
        <v/>
      </c>
      <c r="Q1066">
        <f>IF(G1066="",0,G1066/P1066)</f>
        <v/>
      </c>
      <c r="R1066">
        <f>IF(H1066="",0,H1066/P1066)</f>
        <v/>
      </c>
    </row>
    <row r="1067">
      <c r="A1067" s="43" t="n"/>
      <c r="B1067" s="28" t="n"/>
      <c r="C1067" s="28" t="n"/>
      <c r="D1067" s="28" t="n"/>
      <c r="E1067" s="44" t="n"/>
      <c r="F1067" s="44" t="n"/>
      <c r="G1067" s="23" t="n"/>
      <c r="H1067" s="23" t="n"/>
      <c r="I1067" s="23" t="n"/>
      <c r="J1067" s="23" t="n"/>
      <c r="K1067" s="45">
        <f>IF(A1067="","",SUM(G$2:I1067)-SUM(J$2:J1067))</f>
        <v/>
      </c>
      <c r="L1067" s="46" t="n"/>
      <c r="M1067">
        <f>IF(A1067="","",IF(A1067=A1066,M1066,N(M1066)+1))</f>
        <v/>
      </c>
      <c r="N1067">
        <f>IF(E1067="",99999,E1067)</f>
        <v/>
      </c>
      <c r="O1067">
        <f>IF(E1067="",0,IF(F1067="",E1067,F1067))</f>
        <v/>
      </c>
      <c r="P1067">
        <f>IF(E1067="",1,MAX(1,(YEAR(O1067)-YEAR(N1067))*12+MONTH(O1067)-MONTH(N1067)+1))</f>
        <v/>
      </c>
      <c r="Q1067">
        <f>IF(G1067="",0,G1067/P1067)</f>
        <v/>
      </c>
      <c r="R1067">
        <f>IF(H1067="",0,H1067/P1067)</f>
        <v/>
      </c>
    </row>
    <row r="1068">
      <c r="A1068" s="43" t="n"/>
      <c r="B1068" s="28" t="n"/>
      <c r="C1068" s="28" t="n"/>
      <c r="D1068" s="28" t="n"/>
      <c r="E1068" s="44" t="n"/>
      <c r="F1068" s="44" t="n"/>
      <c r="G1068" s="23" t="n"/>
      <c r="H1068" s="23" t="n"/>
      <c r="I1068" s="23" t="n"/>
      <c r="J1068" s="23" t="n"/>
      <c r="K1068" s="45">
        <f>IF(A1068="","",SUM(G$2:I1068)-SUM(J$2:J1068))</f>
        <v/>
      </c>
      <c r="L1068" s="46" t="n"/>
      <c r="M1068">
        <f>IF(A1068="","",IF(A1068=A1067,M1067,N(M1067)+1))</f>
        <v/>
      </c>
      <c r="N1068">
        <f>IF(E1068="",99999,E1068)</f>
        <v/>
      </c>
      <c r="O1068">
        <f>IF(E1068="",0,IF(F1068="",E1068,F1068))</f>
        <v/>
      </c>
      <c r="P1068">
        <f>IF(E1068="",1,MAX(1,(YEAR(O1068)-YEAR(N1068))*12+MONTH(O1068)-MONTH(N1068)+1))</f>
        <v/>
      </c>
      <c r="Q1068">
        <f>IF(G1068="",0,G1068/P1068)</f>
        <v/>
      </c>
      <c r="R1068">
        <f>IF(H1068="",0,H1068/P1068)</f>
        <v/>
      </c>
    </row>
    <row r="1069">
      <c r="A1069" s="43" t="n"/>
      <c r="B1069" s="28" t="n"/>
      <c r="C1069" s="28" t="n"/>
      <c r="D1069" s="28" t="n"/>
      <c r="E1069" s="44" t="n"/>
      <c r="F1069" s="44" t="n"/>
      <c r="G1069" s="23" t="n"/>
      <c r="H1069" s="23" t="n"/>
      <c r="I1069" s="23" t="n"/>
      <c r="J1069" s="23" t="n"/>
      <c r="K1069" s="45">
        <f>IF(A1069="","",SUM(G$2:I1069)-SUM(J$2:J1069))</f>
        <v/>
      </c>
      <c r="L1069" s="46" t="n"/>
      <c r="M1069">
        <f>IF(A1069="","",IF(A1069=A1068,M1068,N(M1068)+1))</f>
        <v/>
      </c>
      <c r="N1069">
        <f>IF(E1069="",99999,E1069)</f>
        <v/>
      </c>
      <c r="O1069">
        <f>IF(E1069="",0,IF(F1069="",E1069,F1069))</f>
        <v/>
      </c>
      <c r="P1069">
        <f>IF(E1069="",1,MAX(1,(YEAR(O1069)-YEAR(N1069))*12+MONTH(O1069)-MONTH(N1069)+1))</f>
        <v/>
      </c>
      <c r="Q1069">
        <f>IF(G1069="",0,G1069/P1069)</f>
        <v/>
      </c>
      <c r="R1069">
        <f>IF(H1069="",0,H1069/P1069)</f>
        <v/>
      </c>
    </row>
    <row r="1070">
      <c r="A1070" s="43" t="n"/>
      <c r="B1070" s="28" t="n"/>
      <c r="C1070" s="28" t="n"/>
      <c r="D1070" s="28" t="n"/>
      <c r="E1070" s="44" t="n"/>
      <c r="F1070" s="44" t="n"/>
      <c r="G1070" s="23" t="n"/>
      <c r="H1070" s="23" t="n"/>
      <c r="I1070" s="23" t="n"/>
      <c r="J1070" s="23" t="n"/>
      <c r="K1070" s="45">
        <f>IF(A1070="","",SUM(G$2:I1070)-SUM(J$2:J1070))</f>
        <v/>
      </c>
      <c r="L1070" s="46" t="n"/>
      <c r="M1070">
        <f>IF(A1070="","",IF(A1070=A1069,M1069,N(M1069)+1))</f>
        <v/>
      </c>
      <c r="N1070">
        <f>IF(E1070="",99999,E1070)</f>
        <v/>
      </c>
      <c r="O1070">
        <f>IF(E1070="",0,IF(F1070="",E1070,F1070))</f>
        <v/>
      </c>
      <c r="P1070">
        <f>IF(E1070="",1,MAX(1,(YEAR(O1070)-YEAR(N1070))*12+MONTH(O1070)-MONTH(N1070)+1))</f>
        <v/>
      </c>
      <c r="Q1070">
        <f>IF(G1070="",0,G1070/P1070)</f>
        <v/>
      </c>
      <c r="R1070">
        <f>IF(H1070="",0,H1070/P1070)</f>
        <v/>
      </c>
    </row>
    <row r="1071">
      <c r="A1071" s="43" t="n"/>
      <c r="B1071" s="28" t="n"/>
      <c r="C1071" s="28" t="n"/>
      <c r="D1071" s="28" t="n"/>
      <c r="E1071" s="44" t="n"/>
      <c r="F1071" s="44" t="n"/>
      <c r="G1071" s="23" t="n"/>
      <c r="H1071" s="23" t="n"/>
      <c r="I1071" s="23" t="n"/>
      <c r="J1071" s="23" t="n"/>
      <c r="K1071" s="45">
        <f>IF(A1071="","",SUM(G$2:I1071)-SUM(J$2:J1071))</f>
        <v/>
      </c>
      <c r="L1071" s="46" t="n"/>
      <c r="M1071">
        <f>IF(A1071="","",IF(A1071=A1070,M1070,N(M1070)+1))</f>
        <v/>
      </c>
      <c r="N1071">
        <f>IF(E1071="",99999,E1071)</f>
        <v/>
      </c>
      <c r="O1071">
        <f>IF(E1071="",0,IF(F1071="",E1071,F1071))</f>
        <v/>
      </c>
      <c r="P1071">
        <f>IF(E1071="",1,MAX(1,(YEAR(O1071)-YEAR(N1071))*12+MONTH(O1071)-MONTH(N1071)+1))</f>
        <v/>
      </c>
      <c r="Q1071">
        <f>IF(G1071="",0,G1071/P1071)</f>
        <v/>
      </c>
      <c r="R1071">
        <f>IF(H1071="",0,H1071/P1071)</f>
        <v/>
      </c>
    </row>
    <row r="1072">
      <c r="A1072" s="43" t="n"/>
      <c r="B1072" s="28" t="n"/>
      <c r="C1072" s="28" t="n"/>
      <c r="D1072" s="28" t="n"/>
      <c r="E1072" s="44" t="n"/>
      <c r="F1072" s="44" t="n"/>
      <c r="G1072" s="23" t="n"/>
      <c r="H1072" s="23" t="n"/>
      <c r="I1072" s="23" t="n"/>
      <c r="J1072" s="23" t="n"/>
      <c r="K1072" s="45">
        <f>IF(A1072="","",SUM(G$2:I1072)-SUM(J$2:J1072))</f>
        <v/>
      </c>
      <c r="L1072" s="46" t="n"/>
      <c r="M1072">
        <f>IF(A1072="","",IF(A1072=A1071,M1071,N(M1071)+1))</f>
        <v/>
      </c>
      <c r="N1072">
        <f>IF(E1072="",99999,E1072)</f>
        <v/>
      </c>
      <c r="O1072">
        <f>IF(E1072="",0,IF(F1072="",E1072,F1072))</f>
        <v/>
      </c>
      <c r="P1072">
        <f>IF(E1072="",1,MAX(1,(YEAR(O1072)-YEAR(N1072))*12+MONTH(O1072)-MONTH(N1072)+1))</f>
        <v/>
      </c>
      <c r="Q1072">
        <f>IF(G1072="",0,G1072/P1072)</f>
        <v/>
      </c>
      <c r="R1072">
        <f>IF(H1072="",0,H1072/P1072)</f>
        <v/>
      </c>
    </row>
    <row r="1073">
      <c r="A1073" s="43" t="n"/>
      <c r="B1073" s="28" t="n"/>
      <c r="C1073" s="28" t="n"/>
      <c r="D1073" s="28" t="n"/>
      <c r="E1073" s="44" t="n"/>
      <c r="F1073" s="44" t="n"/>
      <c r="G1073" s="23" t="n"/>
      <c r="H1073" s="23" t="n"/>
      <c r="I1073" s="23" t="n"/>
      <c r="J1073" s="23" t="n"/>
      <c r="K1073" s="45">
        <f>IF(A1073="","",SUM(G$2:I1073)-SUM(J$2:J1073))</f>
        <v/>
      </c>
      <c r="L1073" s="46" t="n"/>
      <c r="M1073">
        <f>IF(A1073="","",IF(A1073=A1072,M1072,N(M1072)+1))</f>
        <v/>
      </c>
      <c r="N1073">
        <f>IF(E1073="",99999,E1073)</f>
        <v/>
      </c>
      <c r="O1073">
        <f>IF(E1073="",0,IF(F1073="",E1073,F1073))</f>
        <v/>
      </c>
      <c r="P1073">
        <f>IF(E1073="",1,MAX(1,(YEAR(O1073)-YEAR(N1073))*12+MONTH(O1073)-MONTH(N1073)+1))</f>
        <v/>
      </c>
      <c r="Q1073">
        <f>IF(G1073="",0,G1073/P1073)</f>
        <v/>
      </c>
      <c r="R1073">
        <f>IF(H1073="",0,H1073/P1073)</f>
        <v/>
      </c>
    </row>
    <row r="1074">
      <c r="A1074" s="43" t="n"/>
      <c r="B1074" s="28" t="n"/>
      <c r="C1074" s="28" t="n"/>
      <c r="D1074" s="28" t="n"/>
      <c r="E1074" s="44" t="n"/>
      <c r="F1074" s="44" t="n"/>
      <c r="G1074" s="23" t="n"/>
      <c r="H1074" s="23" t="n"/>
      <c r="I1074" s="23" t="n"/>
      <c r="J1074" s="23" t="n"/>
      <c r="K1074" s="45">
        <f>IF(A1074="","",SUM(G$2:I1074)-SUM(J$2:J1074))</f>
        <v/>
      </c>
      <c r="L1074" s="46" t="n"/>
      <c r="M1074">
        <f>IF(A1074="","",IF(A1074=A1073,M1073,N(M1073)+1))</f>
        <v/>
      </c>
      <c r="N1074">
        <f>IF(E1074="",99999,E1074)</f>
        <v/>
      </c>
      <c r="O1074">
        <f>IF(E1074="",0,IF(F1074="",E1074,F1074))</f>
        <v/>
      </c>
      <c r="P1074">
        <f>IF(E1074="",1,MAX(1,(YEAR(O1074)-YEAR(N1074))*12+MONTH(O1074)-MONTH(N1074)+1))</f>
        <v/>
      </c>
      <c r="Q1074">
        <f>IF(G1074="",0,G1074/P1074)</f>
        <v/>
      </c>
      <c r="R1074">
        <f>IF(H1074="",0,H1074/P1074)</f>
        <v/>
      </c>
    </row>
    <row r="1075">
      <c r="A1075" s="43" t="n"/>
      <c r="B1075" s="28" t="n"/>
      <c r="C1075" s="28" t="n"/>
      <c r="D1075" s="28" t="n"/>
      <c r="E1075" s="44" t="n"/>
      <c r="F1075" s="44" t="n"/>
      <c r="G1075" s="23" t="n"/>
      <c r="H1075" s="23" t="n"/>
      <c r="I1075" s="23" t="n"/>
      <c r="J1075" s="23" t="n"/>
      <c r="K1075" s="45">
        <f>IF(A1075="","",SUM(G$2:I1075)-SUM(J$2:J1075))</f>
        <v/>
      </c>
      <c r="L1075" s="46" t="n"/>
      <c r="M1075">
        <f>IF(A1075="","",IF(A1075=A1074,M1074,N(M1074)+1))</f>
        <v/>
      </c>
      <c r="N1075">
        <f>IF(E1075="",99999,E1075)</f>
        <v/>
      </c>
      <c r="O1075">
        <f>IF(E1075="",0,IF(F1075="",E1075,F1075))</f>
        <v/>
      </c>
      <c r="P1075">
        <f>IF(E1075="",1,MAX(1,(YEAR(O1075)-YEAR(N1075))*12+MONTH(O1075)-MONTH(N1075)+1))</f>
        <v/>
      </c>
      <c r="Q1075">
        <f>IF(G1075="",0,G1075/P1075)</f>
        <v/>
      </c>
      <c r="R1075">
        <f>IF(H1075="",0,H1075/P1075)</f>
        <v/>
      </c>
    </row>
    <row r="1076">
      <c r="A1076" s="43" t="n"/>
      <c r="B1076" s="28" t="n"/>
      <c r="C1076" s="28" t="n"/>
      <c r="D1076" s="28" t="n"/>
      <c r="E1076" s="44" t="n"/>
      <c r="F1076" s="44" t="n"/>
      <c r="G1076" s="23" t="n"/>
      <c r="H1076" s="23" t="n"/>
      <c r="I1076" s="23" t="n"/>
      <c r="J1076" s="23" t="n"/>
      <c r="K1076" s="45">
        <f>IF(A1076="","",SUM(G$2:I1076)-SUM(J$2:J1076))</f>
        <v/>
      </c>
      <c r="L1076" s="46" t="n"/>
      <c r="M1076">
        <f>IF(A1076="","",IF(A1076=A1075,M1075,N(M1075)+1))</f>
        <v/>
      </c>
      <c r="N1076">
        <f>IF(E1076="",99999,E1076)</f>
        <v/>
      </c>
      <c r="O1076">
        <f>IF(E1076="",0,IF(F1076="",E1076,F1076))</f>
        <v/>
      </c>
      <c r="P1076">
        <f>IF(E1076="",1,MAX(1,(YEAR(O1076)-YEAR(N1076))*12+MONTH(O1076)-MONTH(N1076)+1))</f>
        <v/>
      </c>
      <c r="Q1076">
        <f>IF(G1076="",0,G1076/P1076)</f>
        <v/>
      </c>
      <c r="R1076">
        <f>IF(H1076="",0,H1076/P1076)</f>
        <v/>
      </c>
    </row>
    <row r="1077">
      <c r="A1077" s="43" t="n"/>
      <c r="B1077" s="28" t="n"/>
      <c r="C1077" s="28" t="n"/>
      <c r="D1077" s="28" t="n"/>
      <c r="E1077" s="44" t="n"/>
      <c r="F1077" s="44" t="n"/>
      <c r="G1077" s="23" t="n"/>
      <c r="H1077" s="23" t="n"/>
      <c r="I1077" s="23" t="n"/>
      <c r="J1077" s="23" t="n"/>
      <c r="K1077" s="45">
        <f>IF(A1077="","",SUM(G$2:I1077)-SUM(J$2:J1077))</f>
        <v/>
      </c>
      <c r="L1077" s="46" t="n"/>
      <c r="M1077">
        <f>IF(A1077="","",IF(A1077=A1076,M1076,N(M1076)+1))</f>
        <v/>
      </c>
      <c r="N1077">
        <f>IF(E1077="",99999,E1077)</f>
        <v/>
      </c>
      <c r="O1077">
        <f>IF(E1077="",0,IF(F1077="",E1077,F1077))</f>
        <v/>
      </c>
      <c r="P1077">
        <f>IF(E1077="",1,MAX(1,(YEAR(O1077)-YEAR(N1077))*12+MONTH(O1077)-MONTH(N1077)+1))</f>
        <v/>
      </c>
      <c r="Q1077">
        <f>IF(G1077="",0,G1077/P1077)</f>
        <v/>
      </c>
      <c r="R1077">
        <f>IF(H1077="",0,H1077/P1077)</f>
        <v/>
      </c>
    </row>
    <row r="1078">
      <c r="A1078" s="43" t="n"/>
      <c r="B1078" s="28" t="n"/>
      <c r="C1078" s="28" t="n"/>
      <c r="D1078" s="28" t="n"/>
      <c r="E1078" s="44" t="n"/>
      <c r="F1078" s="44" t="n"/>
      <c r="G1078" s="23" t="n"/>
      <c r="H1078" s="23" t="n"/>
      <c r="I1078" s="23" t="n"/>
      <c r="J1078" s="23" t="n"/>
      <c r="K1078" s="45">
        <f>IF(A1078="","",SUM(G$2:I1078)-SUM(J$2:J1078))</f>
        <v/>
      </c>
      <c r="L1078" s="46" t="n"/>
      <c r="M1078">
        <f>IF(A1078="","",IF(A1078=A1077,M1077,N(M1077)+1))</f>
        <v/>
      </c>
      <c r="N1078">
        <f>IF(E1078="",99999,E1078)</f>
        <v/>
      </c>
      <c r="O1078">
        <f>IF(E1078="",0,IF(F1078="",E1078,F1078))</f>
        <v/>
      </c>
      <c r="P1078">
        <f>IF(E1078="",1,MAX(1,(YEAR(O1078)-YEAR(N1078))*12+MONTH(O1078)-MONTH(N1078)+1))</f>
        <v/>
      </c>
      <c r="Q1078">
        <f>IF(G1078="",0,G1078/P1078)</f>
        <v/>
      </c>
      <c r="R1078">
        <f>IF(H1078="",0,H1078/P1078)</f>
        <v/>
      </c>
    </row>
    <row r="1079">
      <c r="A1079" s="43" t="n"/>
      <c r="B1079" s="28" t="n"/>
      <c r="C1079" s="28" t="n"/>
      <c r="D1079" s="28" t="n"/>
      <c r="E1079" s="44" t="n"/>
      <c r="F1079" s="44" t="n"/>
      <c r="G1079" s="23" t="n"/>
      <c r="H1079" s="23" t="n"/>
      <c r="I1079" s="23" t="n"/>
      <c r="J1079" s="23" t="n"/>
      <c r="K1079" s="45">
        <f>IF(A1079="","",SUM(G$2:I1079)-SUM(J$2:J1079))</f>
        <v/>
      </c>
      <c r="L1079" s="46" t="n"/>
      <c r="M1079">
        <f>IF(A1079="","",IF(A1079=A1078,M1078,N(M1078)+1))</f>
        <v/>
      </c>
      <c r="N1079">
        <f>IF(E1079="",99999,E1079)</f>
        <v/>
      </c>
      <c r="O1079">
        <f>IF(E1079="",0,IF(F1079="",E1079,F1079))</f>
        <v/>
      </c>
      <c r="P1079">
        <f>IF(E1079="",1,MAX(1,(YEAR(O1079)-YEAR(N1079))*12+MONTH(O1079)-MONTH(N1079)+1))</f>
        <v/>
      </c>
      <c r="Q1079">
        <f>IF(G1079="",0,G1079/P1079)</f>
        <v/>
      </c>
      <c r="R1079">
        <f>IF(H1079="",0,H1079/P1079)</f>
        <v/>
      </c>
    </row>
    <row r="1080">
      <c r="A1080" s="43" t="n"/>
      <c r="B1080" s="28" t="n"/>
      <c r="C1080" s="28" t="n"/>
      <c r="D1080" s="28" t="n"/>
      <c r="E1080" s="44" t="n"/>
      <c r="F1080" s="44" t="n"/>
      <c r="G1080" s="23" t="n"/>
      <c r="H1080" s="23" t="n"/>
      <c r="I1080" s="23" t="n"/>
      <c r="J1080" s="23" t="n"/>
      <c r="K1080" s="45">
        <f>IF(A1080="","",SUM(G$2:I1080)-SUM(J$2:J1080))</f>
        <v/>
      </c>
      <c r="L1080" s="46" t="n"/>
      <c r="M1080">
        <f>IF(A1080="","",IF(A1080=A1079,M1079,N(M1079)+1))</f>
        <v/>
      </c>
      <c r="N1080">
        <f>IF(E1080="",99999,E1080)</f>
        <v/>
      </c>
      <c r="O1080">
        <f>IF(E1080="",0,IF(F1080="",E1080,F1080))</f>
        <v/>
      </c>
      <c r="P1080">
        <f>IF(E1080="",1,MAX(1,(YEAR(O1080)-YEAR(N1080))*12+MONTH(O1080)-MONTH(N1080)+1))</f>
        <v/>
      </c>
      <c r="Q1080">
        <f>IF(G1080="",0,G1080/P1080)</f>
        <v/>
      </c>
      <c r="R1080">
        <f>IF(H1080="",0,H1080/P1080)</f>
        <v/>
      </c>
    </row>
    <row r="1081">
      <c r="A1081" s="43" t="n"/>
      <c r="B1081" s="28" t="n"/>
      <c r="C1081" s="28" t="n"/>
      <c r="D1081" s="28" t="n"/>
      <c r="E1081" s="44" t="n"/>
      <c r="F1081" s="44" t="n"/>
      <c r="G1081" s="23" t="n"/>
      <c r="H1081" s="23" t="n"/>
      <c r="I1081" s="23" t="n"/>
      <c r="J1081" s="23" t="n"/>
      <c r="K1081" s="45">
        <f>IF(A1081="","",SUM(G$2:I1081)-SUM(J$2:J1081))</f>
        <v/>
      </c>
      <c r="L1081" s="46" t="n"/>
      <c r="M1081">
        <f>IF(A1081="","",IF(A1081=A1080,M1080,N(M1080)+1))</f>
        <v/>
      </c>
      <c r="N1081">
        <f>IF(E1081="",99999,E1081)</f>
        <v/>
      </c>
      <c r="O1081">
        <f>IF(E1081="",0,IF(F1081="",E1081,F1081))</f>
        <v/>
      </c>
      <c r="P1081">
        <f>IF(E1081="",1,MAX(1,(YEAR(O1081)-YEAR(N1081))*12+MONTH(O1081)-MONTH(N1081)+1))</f>
        <v/>
      </c>
      <c r="Q1081">
        <f>IF(G1081="",0,G1081/P1081)</f>
        <v/>
      </c>
      <c r="R1081">
        <f>IF(H1081="",0,H1081/P1081)</f>
        <v/>
      </c>
    </row>
    <row r="1082">
      <c r="A1082" s="43" t="n"/>
      <c r="B1082" s="28" t="n"/>
      <c r="C1082" s="28" t="n"/>
      <c r="D1082" s="28" t="n"/>
      <c r="E1082" s="44" t="n"/>
      <c r="F1082" s="44" t="n"/>
      <c r="G1082" s="23" t="n"/>
      <c r="H1082" s="23" t="n"/>
      <c r="I1082" s="23" t="n"/>
      <c r="J1082" s="23" t="n"/>
      <c r="K1082" s="45">
        <f>IF(A1082="","",SUM(G$2:I1082)-SUM(J$2:J1082))</f>
        <v/>
      </c>
      <c r="L1082" s="46" t="n"/>
      <c r="M1082">
        <f>IF(A1082="","",IF(A1082=A1081,M1081,N(M1081)+1))</f>
        <v/>
      </c>
      <c r="N1082">
        <f>IF(E1082="",99999,E1082)</f>
        <v/>
      </c>
      <c r="O1082">
        <f>IF(E1082="",0,IF(F1082="",E1082,F1082))</f>
        <v/>
      </c>
      <c r="P1082">
        <f>IF(E1082="",1,MAX(1,(YEAR(O1082)-YEAR(N1082))*12+MONTH(O1082)-MONTH(N1082)+1))</f>
        <v/>
      </c>
      <c r="Q1082">
        <f>IF(G1082="",0,G1082/P1082)</f>
        <v/>
      </c>
      <c r="R1082">
        <f>IF(H1082="",0,H1082/P1082)</f>
        <v/>
      </c>
    </row>
    <row r="1083">
      <c r="A1083" s="43" t="n"/>
      <c r="B1083" s="28" t="n"/>
      <c r="C1083" s="28" t="n"/>
      <c r="D1083" s="28" t="n"/>
      <c r="E1083" s="44" t="n"/>
      <c r="F1083" s="44" t="n"/>
      <c r="G1083" s="23" t="n"/>
      <c r="H1083" s="23" t="n"/>
      <c r="I1083" s="23" t="n"/>
      <c r="J1083" s="23" t="n"/>
      <c r="K1083" s="45">
        <f>IF(A1083="","",SUM(G$2:I1083)-SUM(J$2:J1083))</f>
        <v/>
      </c>
      <c r="L1083" s="46" t="n"/>
      <c r="M1083">
        <f>IF(A1083="","",IF(A1083=A1082,M1082,N(M1082)+1))</f>
        <v/>
      </c>
      <c r="N1083">
        <f>IF(E1083="",99999,E1083)</f>
        <v/>
      </c>
      <c r="O1083">
        <f>IF(E1083="",0,IF(F1083="",E1083,F1083))</f>
        <v/>
      </c>
      <c r="P1083">
        <f>IF(E1083="",1,MAX(1,(YEAR(O1083)-YEAR(N1083))*12+MONTH(O1083)-MONTH(N1083)+1))</f>
        <v/>
      </c>
      <c r="Q1083">
        <f>IF(G1083="",0,G1083/P1083)</f>
        <v/>
      </c>
      <c r="R1083">
        <f>IF(H1083="",0,H1083/P1083)</f>
        <v/>
      </c>
    </row>
    <row r="1084">
      <c r="A1084" s="43" t="n"/>
      <c r="B1084" s="28" t="n"/>
      <c r="C1084" s="28" t="n"/>
      <c r="D1084" s="28" t="n"/>
      <c r="E1084" s="44" t="n"/>
      <c r="F1084" s="44" t="n"/>
      <c r="G1084" s="23" t="n"/>
      <c r="H1084" s="23" t="n"/>
      <c r="I1084" s="23" t="n"/>
      <c r="J1084" s="23" t="n"/>
      <c r="K1084" s="45">
        <f>IF(A1084="","",SUM(G$2:I1084)-SUM(J$2:J1084))</f>
        <v/>
      </c>
      <c r="L1084" s="46" t="n"/>
      <c r="M1084">
        <f>IF(A1084="","",IF(A1084=A1083,M1083,N(M1083)+1))</f>
        <v/>
      </c>
      <c r="N1084">
        <f>IF(E1084="",99999,E1084)</f>
        <v/>
      </c>
      <c r="O1084">
        <f>IF(E1084="",0,IF(F1084="",E1084,F1084))</f>
        <v/>
      </c>
      <c r="P1084">
        <f>IF(E1084="",1,MAX(1,(YEAR(O1084)-YEAR(N1084))*12+MONTH(O1084)-MONTH(N1084)+1))</f>
        <v/>
      </c>
      <c r="Q1084">
        <f>IF(G1084="",0,G1084/P1084)</f>
        <v/>
      </c>
      <c r="R1084">
        <f>IF(H1084="",0,H1084/P1084)</f>
        <v/>
      </c>
    </row>
    <row r="1085">
      <c r="A1085" s="43" t="n"/>
      <c r="B1085" s="28" t="n"/>
      <c r="C1085" s="28" t="n"/>
      <c r="D1085" s="28" t="n"/>
      <c r="E1085" s="44" t="n"/>
      <c r="F1085" s="44" t="n"/>
      <c r="G1085" s="23" t="n"/>
      <c r="H1085" s="23" t="n"/>
      <c r="I1085" s="23" t="n"/>
      <c r="J1085" s="23" t="n"/>
      <c r="K1085" s="45">
        <f>IF(A1085="","",SUM(G$2:I1085)-SUM(J$2:J1085))</f>
        <v/>
      </c>
      <c r="L1085" s="46" t="n"/>
      <c r="M1085">
        <f>IF(A1085="","",IF(A1085=A1084,M1084,N(M1084)+1))</f>
        <v/>
      </c>
      <c r="N1085">
        <f>IF(E1085="",99999,E1085)</f>
        <v/>
      </c>
      <c r="O1085">
        <f>IF(E1085="",0,IF(F1085="",E1085,F1085))</f>
        <v/>
      </c>
      <c r="P1085">
        <f>IF(E1085="",1,MAX(1,(YEAR(O1085)-YEAR(N1085))*12+MONTH(O1085)-MONTH(N1085)+1))</f>
        <v/>
      </c>
      <c r="Q1085">
        <f>IF(G1085="",0,G1085/P1085)</f>
        <v/>
      </c>
      <c r="R1085">
        <f>IF(H1085="",0,H1085/P1085)</f>
        <v/>
      </c>
    </row>
    <row r="1086">
      <c r="A1086" s="43" t="n"/>
      <c r="B1086" s="28" t="n"/>
      <c r="C1086" s="28" t="n"/>
      <c r="D1086" s="28" t="n"/>
      <c r="E1086" s="44" t="n"/>
      <c r="F1086" s="44" t="n"/>
      <c r="G1086" s="23" t="n"/>
      <c r="H1086" s="23" t="n"/>
      <c r="I1086" s="23" t="n"/>
      <c r="J1086" s="23" t="n"/>
      <c r="K1086" s="45">
        <f>IF(A1086="","",SUM(G$2:I1086)-SUM(J$2:J1086))</f>
        <v/>
      </c>
      <c r="L1086" s="46" t="n"/>
      <c r="M1086">
        <f>IF(A1086="","",IF(A1086=A1085,M1085,N(M1085)+1))</f>
        <v/>
      </c>
      <c r="N1086">
        <f>IF(E1086="",99999,E1086)</f>
        <v/>
      </c>
      <c r="O1086">
        <f>IF(E1086="",0,IF(F1086="",E1086,F1086))</f>
        <v/>
      </c>
      <c r="P1086">
        <f>IF(E1086="",1,MAX(1,(YEAR(O1086)-YEAR(N1086))*12+MONTH(O1086)-MONTH(N1086)+1))</f>
        <v/>
      </c>
      <c r="Q1086">
        <f>IF(G1086="",0,G1086/P1086)</f>
        <v/>
      </c>
      <c r="R1086">
        <f>IF(H1086="",0,H1086/P1086)</f>
        <v/>
      </c>
    </row>
    <row r="1087">
      <c r="A1087" s="43" t="n"/>
      <c r="B1087" s="28" t="n"/>
      <c r="C1087" s="28" t="n"/>
      <c r="D1087" s="28" t="n"/>
      <c r="E1087" s="44" t="n"/>
      <c r="F1087" s="44" t="n"/>
      <c r="G1087" s="23" t="n"/>
      <c r="H1087" s="23" t="n"/>
      <c r="I1087" s="23" t="n"/>
      <c r="J1087" s="23" t="n"/>
      <c r="K1087" s="45">
        <f>IF(A1087="","",SUM(G$2:I1087)-SUM(J$2:J1087))</f>
        <v/>
      </c>
      <c r="L1087" s="46" t="n"/>
      <c r="M1087">
        <f>IF(A1087="","",IF(A1087=A1086,M1086,N(M1086)+1))</f>
        <v/>
      </c>
      <c r="N1087">
        <f>IF(E1087="",99999,E1087)</f>
        <v/>
      </c>
      <c r="O1087">
        <f>IF(E1087="",0,IF(F1087="",E1087,F1087))</f>
        <v/>
      </c>
      <c r="P1087">
        <f>IF(E1087="",1,MAX(1,(YEAR(O1087)-YEAR(N1087))*12+MONTH(O1087)-MONTH(N1087)+1))</f>
        <v/>
      </c>
      <c r="Q1087">
        <f>IF(G1087="",0,G1087/P1087)</f>
        <v/>
      </c>
      <c r="R1087">
        <f>IF(H1087="",0,H1087/P1087)</f>
        <v/>
      </c>
    </row>
    <row r="1088">
      <c r="A1088" s="43" t="n"/>
      <c r="B1088" s="28" t="n"/>
      <c r="C1088" s="28" t="n"/>
      <c r="D1088" s="28" t="n"/>
      <c r="E1088" s="44" t="n"/>
      <c r="F1088" s="44" t="n"/>
      <c r="G1088" s="23" t="n"/>
      <c r="H1088" s="23" t="n"/>
      <c r="I1088" s="23" t="n"/>
      <c r="J1088" s="23" t="n"/>
      <c r="K1088" s="45">
        <f>IF(A1088="","",SUM(G$2:I1088)-SUM(J$2:J1088))</f>
        <v/>
      </c>
      <c r="L1088" s="46" t="n"/>
      <c r="M1088">
        <f>IF(A1088="","",IF(A1088=A1087,M1087,N(M1087)+1))</f>
        <v/>
      </c>
      <c r="N1088">
        <f>IF(E1088="",99999,E1088)</f>
        <v/>
      </c>
      <c r="O1088">
        <f>IF(E1088="",0,IF(F1088="",E1088,F1088))</f>
        <v/>
      </c>
      <c r="P1088">
        <f>IF(E1088="",1,MAX(1,(YEAR(O1088)-YEAR(N1088))*12+MONTH(O1088)-MONTH(N1088)+1))</f>
        <v/>
      </c>
      <c r="Q1088">
        <f>IF(G1088="",0,G1088/P1088)</f>
        <v/>
      </c>
      <c r="R1088">
        <f>IF(H1088="",0,H1088/P1088)</f>
        <v/>
      </c>
    </row>
    <row r="1089">
      <c r="A1089" s="43" t="n"/>
      <c r="B1089" s="28" t="n"/>
      <c r="C1089" s="28" t="n"/>
      <c r="D1089" s="28" t="n"/>
      <c r="E1089" s="44" t="n"/>
      <c r="F1089" s="44" t="n"/>
      <c r="G1089" s="23" t="n"/>
      <c r="H1089" s="23" t="n"/>
      <c r="I1089" s="23" t="n"/>
      <c r="J1089" s="23" t="n"/>
      <c r="K1089" s="45">
        <f>IF(A1089="","",SUM(G$2:I1089)-SUM(J$2:J1089))</f>
        <v/>
      </c>
      <c r="L1089" s="46" t="n"/>
      <c r="M1089">
        <f>IF(A1089="","",IF(A1089=A1088,M1088,N(M1088)+1))</f>
        <v/>
      </c>
      <c r="N1089">
        <f>IF(E1089="",99999,E1089)</f>
        <v/>
      </c>
      <c r="O1089">
        <f>IF(E1089="",0,IF(F1089="",E1089,F1089))</f>
        <v/>
      </c>
      <c r="P1089">
        <f>IF(E1089="",1,MAX(1,(YEAR(O1089)-YEAR(N1089))*12+MONTH(O1089)-MONTH(N1089)+1))</f>
        <v/>
      </c>
      <c r="Q1089">
        <f>IF(G1089="",0,G1089/P1089)</f>
        <v/>
      </c>
      <c r="R1089">
        <f>IF(H1089="",0,H1089/P1089)</f>
        <v/>
      </c>
    </row>
    <row r="1090">
      <c r="A1090" s="43" t="n"/>
      <c r="B1090" s="28" t="n"/>
      <c r="C1090" s="28" t="n"/>
      <c r="D1090" s="28" t="n"/>
      <c r="E1090" s="44" t="n"/>
      <c r="F1090" s="44" t="n"/>
      <c r="G1090" s="23" t="n"/>
      <c r="H1090" s="23" t="n"/>
      <c r="I1090" s="23" t="n"/>
      <c r="J1090" s="23" t="n"/>
      <c r="K1090" s="45">
        <f>IF(A1090="","",SUM(G$2:I1090)-SUM(J$2:J1090))</f>
        <v/>
      </c>
      <c r="L1090" s="46" t="n"/>
      <c r="M1090">
        <f>IF(A1090="","",IF(A1090=A1089,M1089,N(M1089)+1))</f>
        <v/>
      </c>
      <c r="N1090">
        <f>IF(E1090="",99999,E1090)</f>
        <v/>
      </c>
      <c r="O1090">
        <f>IF(E1090="",0,IF(F1090="",E1090,F1090))</f>
        <v/>
      </c>
      <c r="P1090">
        <f>IF(E1090="",1,MAX(1,(YEAR(O1090)-YEAR(N1090))*12+MONTH(O1090)-MONTH(N1090)+1))</f>
        <v/>
      </c>
      <c r="Q1090">
        <f>IF(G1090="",0,G1090/P1090)</f>
        <v/>
      </c>
      <c r="R1090">
        <f>IF(H1090="",0,H1090/P1090)</f>
        <v/>
      </c>
    </row>
    <row r="1091">
      <c r="A1091" s="43" t="n"/>
      <c r="B1091" s="28" t="n"/>
      <c r="C1091" s="28" t="n"/>
      <c r="D1091" s="28" t="n"/>
      <c r="E1091" s="44" t="n"/>
      <c r="F1091" s="44" t="n"/>
      <c r="G1091" s="23" t="n"/>
      <c r="H1091" s="23" t="n"/>
      <c r="I1091" s="23" t="n"/>
      <c r="J1091" s="23" t="n"/>
      <c r="K1091" s="45">
        <f>IF(A1091="","",SUM(G$2:I1091)-SUM(J$2:J1091))</f>
        <v/>
      </c>
      <c r="L1091" s="46" t="n"/>
      <c r="M1091">
        <f>IF(A1091="","",IF(A1091=A1090,M1090,N(M1090)+1))</f>
        <v/>
      </c>
      <c r="N1091">
        <f>IF(E1091="",99999,E1091)</f>
        <v/>
      </c>
      <c r="O1091">
        <f>IF(E1091="",0,IF(F1091="",E1091,F1091))</f>
        <v/>
      </c>
      <c r="P1091">
        <f>IF(E1091="",1,MAX(1,(YEAR(O1091)-YEAR(N1091))*12+MONTH(O1091)-MONTH(N1091)+1))</f>
        <v/>
      </c>
      <c r="Q1091">
        <f>IF(G1091="",0,G1091/P1091)</f>
        <v/>
      </c>
      <c r="R1091">
        <f>IF(H1091="",0,H1091/P1091)</f>
        <v/>
      </c>
    </row>
    <row r="1092">
      <c r="A1092" s="43" t="n"/>
      <c r="B1092" s="28" t="n"/>
      <c r="C1092" s="28" t="n"/>
      <c r="D1092" s="28" t="n"/>
      <c r="E1092" s="44" t="n"/>
      <c r="F1092" s="44" t="n"/>
      <c r="G1092" s="23" t="n"/>
      <c r="H1092" s="23" t="n"/>
      <c r="I1092" s="23" t="n"/>
      <c r="J1092" s="23" t="n"/>
      <c r="K1092" s="45">
        <f>IF(A1092="","",SUM(G$2:I1092)-SUM(J$2:J1092))</f>
        <v/>
      </c>
      <c r="L1092" s="46" t="n"/>
      <c r="M1092">
        <f>IF(A1092="","",IF(A1092=A1091,M1091,N(M1091)+1))</f>
        <v/>
      </c>
      <c r="N1092">
        <f>IF(E1092="",99999,E1092)</f>
        <v/>
      </c>
      <c r="O1092">
        <f>IF(E1092="",0,IF(F1092="",E1092,F1092))</f>
        <v/>
      </c>
      <c r="P1092">
        <f>IF(E1092="",1,MAX(1,(YEAR(O1092)-YEAR(N1092))*12+MONTH(O1092)-MONTH(N1092)+1))</f>
        <v/>
      </c>
      <c r="Q1092">
        <f>IF(G1092="",0,G1092/P1092)</f>
        <v/>
      </c>
      <c r="R1092">
        <f>IF(H1092="",0,H1092/P1092)</f>
        <v/>
      </c>
    </row>
    <row r="1093">
      <c r="A1093" s="43" t="n"/>
      <c r="B1093" s="28" t="n"/>
      <c r="C1093" s="28" t="n"/>
      <c r="D1093" s="28" t="n"/>
      <c r="E1093" s="44" t="n"/>
      <c r="F1093" s="44" t="n"/>
      <c r="G1093" s="23" t="n"/>
      <c r="H1093" s="23" t="n"/>
      <c r="I1093" s="23" t="n"/>
      <c r="J1093" s="23" t="n"/>
      <c r="K1093" s="45">
        <f>IF(A1093="","",SUM(G$2:I1093)-SUM(J$2:J1093))</f>
        <v/>
      </c>
      <c r="L1093" s="46" t="n"/>
      <c r="M1093">
        <f>IF(A1093="","",IF(A1093=A1092,M1092,N(M1092)+1))</f>
        <v/>
      </c>
      <c r="N1093">
        <f>IF(E1093="",99999,E1093)</f>
        <v/>
      </c>
      <c r="O1093">
        <f>IF(E1093="",0,IF(F1093="",E1093,F1093))</f>
        <v/>
      </c>
      <c r="P1093">
        <f>IF(E1093="",1,MAX(1,(YEAR(O1093)-YEAR(N1093))*12+MONTH(O1093)-MONTH(N1093)+1))</f>
        <v/>
      </c>
      <c r="Q1093">
        <f>IF(G1093="",0,G1093/P1093)</f>
        <v/>
      </c>
      <c r="R1093">
        <f>IF(H1093="",0,H1093/P1093)</f>
        <v/>
      </c>
    </row>
    <row r="1094">
      <c r="A1094" s="43" t="n"/>
      <c r="B1094" s="28" t="n"/>
      <c r="C1094" s="28" t="n"/>
      <c r="D1094" s="28" t="n"/>
      <c r="E1094" s="44" t="n"/>
      <c r="F1094" s="44" t="n"/>
      <c r="G1094" s="23" t="n"/>
      <c r="H1094" s="23" t="n"/>
      <c r="I1094" s="23" t="n"/>
      <c r="J1094" s="23" t="n"/>
      <c r="K1094" s="45">
        <f>IF(A1094="","",SUM(G$2:I1094)-SUM(J$2:J1094))</f>
        <v/>
      </c>
      <c r="L1094" s="46" t="n"/>
      <c r="M1094">
        <f>IF(A1094="","",IF(A1094=A1093,M1093,N(M1093)+1))</f>
        <v/>
      </c>
      <c r="N1094">
        <f>IF(E1094="",99999,E1094)</f>
        <v/>
      </c>
      <c r="O1094">
        <f>IF(E1094="",0,IF(F1094="",E1094,F1094))</f>
        <v/>
      </c>
      <c r="P1094">
        <f>IF(E1094="",1,MAX(1,(YEAR(O1094)-YEAR(N1094))*12+MONTH(O1094)-MONTH(N1094)+1))</f>
        <v/>
      </c>
      <c r="Q1094">
        <f>IF(G1094="",0,G1094/P1094)</f>
        <v/>
      </c>
      <c r="R1094">
        <f>IF(H1094="",0,H1094/P1094)</f>
        <v/>
      </c>
    </row>
    <row r="1095">
      <c r="A1095" s="43" t="n"/>
      <c r="B1095" s="28" t="n"/>
      <c r="C1095" s="28" t="n"/>
      <c r="D1095" s="28" t="n"/>
      <c r="E1095" s="44" t="n"/>
      <c r="F1095" s="44" t="n"/>
      <c r="G1095" s="23" t="n"/>
      <c r="H1095" s="23" t="n"/>
      <c r="I1095" s="23" t="n"/>
      <c r="J1095" s="23" t="n"/>
      <c r="K1095" s="45">
        <f>IF(A1095="","",SUM(G$2:I1095)-SUM(J$2:J1095))</f>
        <v/>
      </c>
      <c r="L1095" s="46" t="n"/>
      <c r="M1095">
        <f>IF(A1095="","",IF(A1095=A1094,M1094,N(M1094)+1))</f>
        <v/>
      </c>
      <c r="N1095">
        <f>IF(E1095="",99999,E1095)</f>
        <v/>
      </c>
      <c r="O1095">
        <f>IF(E1095="",0,IF(F1095="",E1095,F1095))</f>
        <v/>
      </c>
      <c r="P1095">
        <f>IF(E1095="",1,MAX(1,(YEAR(O1095)-YEAR(N1095))*12+MONTH(O1095)-MONTH(N1095)+1))</f>
        <v/>
      </c>
      <c r="Q1095">
        <f>IF(G1095="",0,G1095/P1095)</f>
        <v/>
      </c>
      <c r="R1095">
        <f>IF(H1095="",0,H1095/P1095)</f>
        <v/>
      </c>
    </row>
    <row r="1096">
      <c r="A1096" s="43" t="n"/>
      <c r="B1096" s="28" t="n"/>
      <c r="C1096" s="28" t="n"/>
      <c r="D1096" s="28" t="n"/>
      <c r="E1096" s="44" t="n"/>
      <c r="F1096" s="44" t="n"/>
      <c r="G1096" s="23" t="n"/>
      <c r="H1096" s="23" t="n"/>
      <c r="I1096" s="23" t="n"/>
      <c r="J1096" s="23" t="n"/>
      <c r="K1096" s="45">
        <f>IF(A1096="","",SUM(G$2:I1096)-SUM(J$2:J1096))</f>
        <v/>
      </c>
      <c r="L1096" s="46" t="n"/>
      <c r="M1096">
        <f>IF(A1096="","",IF(A1096=A1095,M1095,N(M1095)+1))</f>
        <v/>
      </c>
      <c r="N1096">
        <f>IF(E1096="",99999,E1096)</f>
        <v/>
      </c>
      <c r="O1096">
        <f>IF(E1096="",0,IF(F1096="",E1096,F1096))</f>
        <v/>
      </c>
      <c r="P1096">
        <f>IF(E1096="",1,MAX(1,(YEAR(O1096)-YEAR(N1096))*12+MONTH(O1096)-MONTH(N1096)+1))</f>
        <v/>
      </c>
      <c r="Q1096">
        <f>IF(G1096="",0,G1096/P1096)</f>
        <v/>
      </c>
      <c r="R1096">
        <f>IF(H1096="",0,H1096/P1096)</f>
        <v/>
      </c>
    </row>
    <row r="1097">
      <c r="A1097" s="43" t="n"/>
      <c r="B1097" s="28" t="n"/>
      <c r="C1097" s="28" t="n"/>
      <c r="D1097" s="28" t="n"/>
      <c r="E1097" s="44" t="n"/>
      <c r="F1097" s="44" t="n"/>
      <c r="G1097" s="23" t="n"/>
      <c r="H1097" s="23" t="n"/>
      <c r="I1097" s="23" t="n"/>
      <c r="J1097" s="23" t="n"/>
      <c r="K1097" s="45">
        <f>IF(A1097="","",SUM(G$2:I1097)-SUM(J$2:J1097))</f>
        <v/>
      </c>
      <c r="L1097" s="46" t="n"/>
      <c r="M1097">
        <f>IF(A1097="","",IF(A1097=A1096,M1096,N(M1096)+1))</f>
        <v/>
      </c>
      <c r="N1097">
        <f>IF(E1097="",99999,E1097)</f>
        <v/>
      </c>
      <c r="O1097">
        <f>IF(E1097="",0,IF(F1097="",E1097,F1097))</f>
        <v/>
      </c>
      <c r="P1097">
        <f>IF(E1097="",1,MAX(1,(YEAR(O1097)-YEAR(N1097))*12+MONTH(O1097)-MONTH(N1097)+1))</f>
        <v/>
      </c>
      <c r="Q1097">
        <f>IF(G1097="",0,G1097/P1097)</f>
        <v/>
      </c>
      <c r="R1097">
        <f>IF(H1097="",0,H1097/P1097)</f>
        <v/>
      </c>
    </row>
    <row r="1098">
      <c r="A1098" s="43" t="n"/>
      <c r="B1098" s="28" t="n"/>
      <c r="C1098" s="28" t="n"/>
      <c r="D1098" s="28" t="n"/>
      <c r="E1098" s="44" t="n"/>
      <c r="F1098" s="44" t="n"/>
      <c r="G1098" s="23" t="n"/>
      <c r="H1098" s="23" t="n"/>
      <c r="I1098" s="23" t="n"/>
      <c r="J1098" s="23" t="n"/>
      <c r="K1098" s="45">
        <f>IF(A1098="","",SUM(G$2:I1098)-SUM(J$2:J1098))</f>
        <v/>
      </c>
      <c r="L1098" s="46" t="n"/>
      <c r="M1098">
        <f>IF(A1098="","",IF(A1098=A1097,M1097,N(M1097)+1))</f>
        <v/>
      </c>
      <c r="N1098">
        <f>IF(E1098="",99999,E1098)</f>
        <v/>
      </c>
      <c r="O1098">
        <f>IF(E1098="",0,IF(F1098="",E1098,F1098))</f>
        <v/>
      </c>
      <c r="P1098">
        <f>IF(E1098="",1,MAX(1,(YEAR(O1098)-YEAR(N1098))*12+MONTH(O1098)-MONTH(N1098)+1))</f>
        <v/>
      </c>
      <c r="Q1098">
        <f>IF(G1098="",0,G1098/P1098)</f>
        <v/>
      </c>
      <c r="R1098">
        <f>IF(H1098="",0,H1098/P1098)</f>
        <v/>
      </c>
    </row>
    <row r="1099">
      <c r="A1099" s="43" t="n"/>
      <c r="B1099" s="28" t="n"/>
      <c r="C1099" s="28" t="n"/>
      <c r="D1099" s="28" t="n"/>
      <c r="E1099" s="44" t="n"/>
      <c r="F1099" s="44" t="n"/>
      <c r="G1099" s="23" t="n"/>
      <c r="H1099" s="23" t="n"/>
      <c r="I1099" s="23" t="n"/>
      <c r="J1099" s="23" t="n"/>
      <c r="K1099" s="45">
        <f>IF(A1099="","",SUM(G$2:I1099)-SUM(J$2:J1099))</f>
        <v/>
      </c>
      <c r="L1099" s="46" t="n"/>
      <c r="M1099">
        <f>IF(A1099="","",IF(A1099=A1098,M1098,N(M1098)+1))</f>
        <v/>
      </c>
      <c r="N1099">
        <f>IF(E1099="",99999,E1099)</f>
        <v/>
      </c>
      <c r="O1099">
        <f>IF(E1099="",0,IF(F1099="",E1099,F1099))</f>
        <v/>
      </c>
      <c r="P1099">
        <f>IF(E1099="",1,MAX(1,(YEAR(O1099)-YEAR(N1099))*12+MONTH(O1099)-MONTH(N1099)+1))</f>
        <v/>
      </c>
      <c r="Q1099">
        <f>IF(G1099="",0,G1099/P1099)</f>
        <v/>
      </c>
      <c r="R1099">
        <f>IF(H1099="",0,H1099/P1099)</f>
        <v/>
      </c>
    </row>
    <row r="1100">
      <c r="A1100" s="43" t="n"/>
      <c r="B1100" s="28" t="n"/>
      <c r="C1100" s="28" t="n"/>
      <c r="D1100" s="28" t="n"/>
      <c r="E1100" s="44" t="n"/>
      <c r="F1100" s="44" t="n"/>
      <c r="G1100" s="23" t="n"/>
      <c r="H1100" s="23" t="n"/>
      <c r="I1100" s="23" t="n"/>
      <c r="J1100" s="23" t="n"/>
      <c r="K1100" s="45">
        <f>IF(A1100="","",SUM(G$2:I1100)-SUM(J$2:J1100))</f>
        <v/>
      </c>
      <c r="L1100" s="46" t="n"/>
      <c r="M1100">
        <f>IF(A1100="","",IF(A1100=A1099,M1099,N(M1099)+1))</f>
        <v/>
      </c>
      <c r="N1100">
        <f>IF(E1100="",99999,E1100)</f>
        <v/>
      </c>
      <c r="O1100">
        <f>IF(E1100="",0,IF(F1100="",E1100,F1100))</f>
        <v/>
      </c>
      <c r="P1100">
        <f>IF(E1100="",1,MAX(1,(YEAR(O1100)-YEAR(N1100))*12+MONTH(O1100)-MONTH(N1100)+1))</f>
        <v/>
      </c>
      <c r="Q1100">
        <f>IF(G1100="",0,G1100/P1100)</f>
        <v/>
      </c>
      <c r="R1100">
        <f>IF(H1100="",0,H1100/P1100)</f>
        <v/>
      </c>
    </row>
    <row r="1101">
      <c r="A1101" s="43" t="n"/>
      <c r="B1101" s="28" t="n"/>
      <c r="C1101" s="28" t="n"/>
      <c r="D1101" s="28" t="n"/>
      <c r="E1101" s="44" t="n"/>
      <c r="F1101" s="44" t="n"/>
      <c r="G1101" s="23" t="n"/>
      <c r="H1101" s="23" t="n"/>
      <c r="I1101" s="23" t="n"/>
      <c r="J1101" s="23" t="n"/>
      <c r="K1101" s="45">
        <f>IF(A1101="","",SUM(G$2:I1101)-SUM(J$2:J1101))</f>
        <v/>
      </c>
      <c r="L1101" s="46" t="n"/>
      <c r="M1101">
        <f>IF(A1101="","",IF(A1101=A1100,M1100,N(M1100)+1))</f>
        <v/>
      </c>
      <c r="N1101">
        <f>IF(E1101="",99999,E1101)</f>
        <v/>
      </c>
      <c r="O1101">
        <f>IF(E1101="",0,IF(F1101="",E1101,F1101))</f>
        <v/>
      </c>
      <c r="P1101">
        <f>IF(E1101="",1,MAX(1,(YEAR(O1101)-YEAR(N1101))*12+MONTH(O1101)-MONTH(N1101)+1))</f>
        <v/>
      </c>
      <c r="Q1101">
        <f>IF(G1101="",0,G1101/P1101)</f>
        <v/>
      </c>
      <c r="R1101">
        <f>IF(H1101="",0,H1101/P1101)</f>
        <v/>
      </c>
    </row>
    <row r="1102">
      <c r="A1102" s="43" t="n"/>
      <c r="B1102" s="28" t="n"/>
      <c r="C1102" s="28" t="n"/>
      <c r="D1102" s="28" t="n"/>
      <c r="E1102" s="44" t="n"/>
      <c r="F1102" s="44" t="n"/>
      <c r="G1102" s="23" t="n"/>
      <c r="H1102" s="23" t="n"/>
      <c r="I1102" s="23" t="n"/>
      <c r="J1102" s="23" t="n"/>
      <c r="K1102" s="45">
        <f>IF(A1102="","",SUM(G$2:I1102)-SUM(J$2:J1102))</f>
        <v/>
      </c>
      <c r="L1102" s="46" t="n"/>
      <c r="M1102">
        <f>IF(A1102="","",IF(A1102=A1101,M1101,N(M1101)+1))</f>
        <v/>
      </c>
      <c r="N1102">
        <f>IF(E1102="",99999,E1102)</f>
        <v/>
      </c>
      <c r="O1102">
        <f>IF(E1102="",0,IF(F1102="",E1102,F1102))</f>
        <v/>
      </c>
      <c r="P1102">
        <f>IF(E1102="",1,MAX(1,(YEAR(O1102)-YEAR(N1102))*12+MONTH(O1102)-MONTH(N1102)+1))</f>
        <v/>
      </c>
      <c r="Q1102">
        <f>IF(G1102="",0,G1102/P1102)</f>
        <v/>
      </c>
      <c r="R1102">
        <f>IF(H1102="",0,H1102/P1102)</f>
        <v/>
      </c>
    </row>
    <row r="1103">
      <c r="A1103" s="43" t="n"/>
      <c r="B1103" s="28" t="n"/>
      <c r="C1103" s="28" t="n"/>
      <c r="D1103" s="28" t="n"/>
      <c r="E1103" s="44" t="n"/>
      <c r="F1103" s="44" t="n"/>
      <c r="G1103" s="23" t="n"/>
      <c r="H1103" s="23" t="n"/>
      <c r="I1103" s="23" t="n"/>
      <c r="J1103" s="23" t="n"/>
      <c r="K1103" s="45">
        <f>IF(A1103="","",SUM(G$2:I1103)-SUM(J$2:J1103))</f>
        <v/>
      </c>
      <c r="L1103" s="46" t="n"/>
      <c r="M1103">
        <f>IF(A1103="","",IF(A1103=A1102,M1102,N(M1102)+1))</f>
        <v/>
      </c>
      <c r="N1103">
        <f>IF(E1103="",99999,E1103)</f>
        <v/>
      </c>
      <c r="O1103">
        <f>IF(E1103="",0,IF(F1103="",E1103,F1103))</f>
        <v/>
      </c>
      <c r="P1103">
        <f>IF(E1103="",1,MAX(1,(YEAR(O1103)-YEAR(N1103))*12+MONTH(O1103)-MONTH(N1103)+1))</f>
        <v/>
      </c>
      <c r="Q1103">
        <f>IF(G1103="",0,G1103/P1103)</f>
        <v/>
      </c>
      <c r="R1103">
        <f>IF(H1103="",0,H1103/P1103)</f>
        <v/>
      </c>
    </row>
    <row r="1104">
      <c r="A1104" s="43" t="n"/>
      <c r="B1104" s="28" t="n"/>
      <c r="C1104" s="28" t="n"/>
      <c r="D1104" s="28" t="n"/>
      <c r="E1104" s="44" t="n"/>
      <c r="F1104" s="44" t="n"/>
      <c r="G1104" s="23" t="n"/>
      <c r="H1104" s="23" t="n"/>
      <c r="I1104" s="23" t="n"/>
      <c r="J1104" s="23" t="n"/>
      <c r="K1104" s="45">
        <f>IF(A1104="","",SUM(G$2:I1104)-SUM(J$2:J1104))</f>
        <v/>
      </c>
      <c r="L1104" s="46" t="n"/>
      <c r="M1104">
        <f>IF(A1104="","",IF(A1104=A1103,M1103,N(M1103)+1))</f>
        <v/>
      </c>
      <c r="N1104">
        <f>IF(E1104="",99999,E1104)</f>
        <v/>
      </c>
      <c r="O1104">
        <f>IF(E1104="",0,IF(F1104="",E1104,F1104))</f>
        <v/>
      </c>
      <c r="P1104">
        <f>IF(E1104="",1,MAX(1,(YEAR(O1104)-YEAR(N1104))*12+MONTH(O1104)-MONTH(N1104)+1))</f>
        <v/>
      </c>
      <c r="Q1104">
        <f>IF(G1104="",0,G1104/P1104)</f>
        <v/>
      </c>
      <c r="R1104">
        <f>IF(H1104="",0,H1104/P1104)</f>
        <v/>
      </c>
    </row>
    <row r="1105">
      <c r="A1105" s="43" t="n"/>
      <c r="B1105" s="28" t="n"/>
      <c r="C1105" s="28" t="n"/>
      <c r="D1105" s="28" t="n"/>
      <c r="E1105" s="44" t="n"/>
      <c r="F1105" s="44" t="n"/>
      <c r="G1105" s="23" t="n"/>
      <c r="H1105" s="23" t="n"/>
      <c r="I1105" s="23" t="n"/>
      <c r="J1105" s="23" t="n"/>
      <c r="K1105" s="45">
        <f>IF(A1105="","",SUM(G$2:I1105)-SUM(J$2:J1105))</f>
        <v/>
      </c>
      <c r="L1105" s="46" t="n"/>
      <c r="M1105">
        <f>IF(A1105="","",IF(A1105=A1104,M1104,N(M1104)+1))</f>
        <v/>
      </c>
      <c r="N1105">
        <f>IF(E1105="",99999,E1105)</f>
        <v/>
      </c>
      <c r="O1105">
        <f>IF(E1105="",0,IF(F1105="",E1105,F1105))</f>
        <v/>
      </c>
      <c r="P1105">
        <f>IF(E1105="",1,MAX(1,(YEAR(O1105)-YEAR(N1105))*12+MONTH(O1105)-MONTH(N1105)+1))</f>
        <v/>
      </c>
      <c r="Q1105">
        <f>IF(G1105="",0,G1105/P1105)</f>
        <v/>
      </c>
      <c r="R1105">
        <f>IF(H1105="",0,H1105/P1105)</f>
        <v/>
      </c>
    </row>
    <row r="1106">
      <c r="A1106" s="43" t="n"/>
      <c r="B1106" s="28" t="n"/>
      <c r="C1106" s="28" t="n"/>
      <c r="D1106" s="28" t="n"/>
      <c r="E1106" s="44" t="n"/>
      <c r="F1106" s="44" t="n"/>
      <c r="G1106" s="23" t="n"/>
      <c r="H1106" s="23" t="n"/>
      <c r="I1106" s="23" t="n"/>
      <c r="J1106" s="23" t="n"/>
      <c r="K1106" s="45">
        <f>IF(A1106="","",SUM(G$2:I1106)-SUM(J$2:J1106))</f>
        <v/>
      </c>
      <c r="L1106" s="46" t="n"/>
      <c r="M1106">
        <f>IF(A1106="","",IF(A1106=A1105,M1105,N(M1105)+1))</f>
        <v/>
      </c>
      <c r="N1106">
        <f>IF(E1106="",99999,E1106)</f>
        <v/>
      </c>
      <c r="O1106">
        <f>IF(E1106="",0,IF(F1106="",E1106,F1106))</f>
        <v/>
      </c>
      <c r="P1106">
        <f>IF(E1106="",1,MAX(1,(YEAR(O1106)-YEAR(N1106))*12+MONTH(O1106)-MONTH(N1106)+1))</f>
        <v/>
      </c>
      <c r="Q1106">
        <f>IF(G1106="",0,G1106/P1106)</f>
        <v/>
      </c>
      <c r="R1106">
        <f>IF(H1106="",0,H1106/P1106)</f>
        <v/>
      </c>
    </row>
    <row r="1107">
      <c r="A1107" s="43" t="n"/>
      <c r="B1107" s="28" t="n"/>
      <c r="C1107" s="28" t="n"/>
      <c r="D1107" s="28" t="n"/>
      <c r="E1107" s="44" t="n"/>
      <c r="F1107" s="44" t="n"/>
      <c r="G1107" s="23" t="n"/>
      <c r="H1107" s="23" t="n"/>
      <c r="I1107" s="23" t="n"/>
      <c r="J1107" s="23" t="n"/>
      <c r="K1107" s="45">
        <f>IF(A1107="","",SUM(G$2:I1107)-SUM(J$2:J1107))</f>
        <v/>
      </c>
      <c r="L1107" s="46" t="n"/>
      <c r="M1107">
        <f>IF(A1107="","",IF(A1107=A1106,M1106,N(M1106)+1))</f>
        <v/>
      </c>
      <c r="N1107">
        <f>IF(E1107="",99999,E1107)</f>
        <v/>
      </c>
      <c r="O1107">
        <f>IF(E1107="",0,IF(F1107="",E1107,F1107))</f>
        <v/>
      </c>
      <c r="P1107">
        <f>IF(E1107="",1,MAX(1,(YEAR(O1107)-YEAR(N1107))*12+MONTH(O1107)-MONTH(N1107)+1))</f>
        <v/>
      </c>
      <c r="Q1107">
        <f>IF(G1107="",0,G1107/P1107)</f>
        <v/>
      </c>
      <c r="R1107">
        <f>IF(H1107="",0,H1107/P1107)</f>
        <v/>
      </c>
    </row>
    <row r="1108">
      <c r="A1108" s="43" t="n"/>
      <c r="B1108" s="28" t="n"/>
      <c r="C1108" s="28" t="n"/>
      <c r="D1108" s="28" t="n"/>
      <c r="E1108" s="44" t="n"/>
      <c r="F1108" s="44" t="n"/>
      <c r="G1108" s="23" t="n"/>
      <c r="H1108" s="23" t="n"/>
      <c r="I1108" s="23" t="n"/>
      <c r="J1108" s="23" t="n"/>
      <c r="K1108" s="45">
        <f>IF(A1108="","",SUM(G$2:I1108)-SUM(J$2:J1108))</f>
        <v/>
      </c>
      <c r="L1108" s="46" t="n"/>
      <c r="M1108">
        <f>IF(A1108="","",IF(A1108=A1107,M1107,N(M1107)+1))</f>
        <v/>
      </c>
      <c r="N1108">
        <f>IF(E1108="",99999,E1108)</f>
        <v/>
      </c>
      <c r="O1108">
        <f>IF(E1108="",0,IF(F1108="",E1108,F1108))</f>
        <v/>
      </c>
      <c r="P1108">
        <f>IF(E1108="",1,MAX(1,(YEAR(O1108)-YEAR(N1108))*12+MONTH(O1108)-MONTH(N1108)+1))</f>
        <v/>
      </c>
      <c r="Q1108">
        <f>IF(G1108="",0,G1108/P1108)</f>
        <v/>
      </c>
      <c r="R1108">
        <f>IF(H1108="",0,H1108/P1108)</f>
        <v/>
      </c>
    </row>
    <row r="1109">
      <c r="A1109" s="43" t="n"/>
      <c r="B1109" s="28" t="n"/>
      <c r="C1109" s="28" t="n"/>
      <c r="D1109" s="28" t="n"/>
      <c r="E1109" s="44" t="n"/>
      <c r="F1109" s="44" t="n"/>
      <c r="G1109" s="23" t="n"/>
      <c r="H1109" s="23" t="n"/>
      <c r="I1109" s="23" t="n"/>
      <c r="J1109" s="23" t="n"/>
      <c r="K1109" s="45">
        <f>IF(A1109="","",SUM(G$2:I1109)-SUM(J$2:J1109))</f>
        <v/>
      </c>
      <c r="L1109" s="46" t="n"/>
      <c r="M1109">
        <f>IF(A1109="","",IF(A1109=A1108,M1108,N(M1108)+1))</f>
        <v/>
      </c>
      <c r="N1109">
        <f>IF(E1109="",99999,E1109)</f>
        <v/>
      </c>
      <c r="O1109">
        <f>IF(E1109="",0,IF(F1109="",E1109,F1109))</f>
        <v/>
      </c>
      <c r="P1109">
        <f>IF(E1109="",1,MAX(1,(YEAR(O1109)-YEAR(N1109))*12+MONTH(O1109)-MONTH(N1109)+1))</f>
        <v/>
      </c>
      <c r="Q1109">
        <f>IF(G1109="",0,G1109/P1109)</f>
        <v/>
      </c>
      <c r="R1109">
        <f>IF(H1109="",0,H1109/P1109)</f>
        <v/>
      </c>
    </row>
    <row r="1110">
      <c r="A1110" s="43" t="n"/>
      <c r="B1110" s="28" t="n"/>
      <c r="C1110" s="28" t="n"/>
      <c r="D1110" s="28" t="n"/>
      <c r="E1110" s="44" t="n"/>
      <c r="F1110" s="44" t="n"/>
      <c r="G1110" s="23" t="n"/>
      <c r="H1110" s="23" t="n"/>
      <c r="I1110" s="23" t="n"/>
      <c r="J1110" s="23" t="n"/>
      <c r="K1110" s="45">
        <f>IF(A1110="","",SUM(G$2:I1110)-SUM(J$2:J1110))</f>
        <v/>
      </c>
      <c r="L1110" s="46" t="n"/>
      <c r="M1110">
        <f>IF(A1110="","",IF(A1110=A1109,M1109,N(M1109)+1))</f>
        <v/>
      </c>
      <c r="N1110">
        <f>IF(E1110="",99999,E1110)</f>
        <v/>
      </c>
      <c r="O1110">
        <f>IF(E1110="",0,IF(F1110="",E1110,F1110))</f>
        <v/>
      </c>
      <c r="P1110">
        <f>IF(E1110="",1,MAX(1,(YEAR(O1110)-YEAR(N1110))*12+MONTH(O1110)-MONTH(N1110)+1))</f>
        <v/>
      </c>
      <c r="Q1110">
        <f>IF(G1110="",0,G1110/P1110)</f>
        <v/>
      </c>
      <c r="R1110">
        <f>IF(H1110="",0,H1110/P1110)</f>
        <v/>
      </c>
    </row>
    <row r="1111">
      <c r="A1111" s="43" t="n"/>
      <c r="B1111" s="28" t="n"/>
      <c r="C1111" s="28" t="n"/>
      <c r="D1111" s="28" t="n"/>
      <c r="E1111" s="44" t="n"/>
      <c r="F1111" s="44" t="n"/>
      <c r="G1111" s="23" t="n"/>
      <c r="H1111" s="23" t="n"/>
      <c r="I1111" s="23" t="n"/>
      <c r="J1111" s="23" t="n"/>
      <c r="K1111" s="45">
        <f>IF(A1111="","",SUM(G$2:I1111)-SUM(J$2:J1111))</f>
        <v/>
      </c>
      <c r="L1111" s="46" t="n"/>
      <c r="M1111">
        <f>IF(A1111="","",IF(A1111=A1110,M1110,N(M1110)+1))</f>
        <v/>
      </c>
      <c r="N1111">
        <f>IF(E1111="",99999,E1111)</f>
        <v/>
      </c>
      <c r="O1111">
        <f>IF(E1111="",0,IF(F1111="",E1111,F1111))</f>
        <v/>
      </c>
      <c r="P1111">
        <f>IF(E1111="",1,MAX(1,(YEAR(O1111)-YEAR(N1111))*12+MONTH(O1111)-MONTH(N1111)+1))</f>
        <v/>
      </c>
      <c r="Q1111">
        <f>IF(G1111="",0,G1111/P1111)</f>
        <v/>
      </c>
      <c r="R1111">
        <f>IF(H1111="",0,H1111/P1111)</f>
        <v/>
      </c>
    </row>
    <row r="1112">
      <c r="A1112" s="43" t="n"/>
      <c r="B1112" s="28" t="n"/>
      <c r="C1112" s="28" t="n"/>
      <c r="D1112" s="28" t="n"/>
      <c r="E1112" s="44" t="n"/>
      <c r="F1112" s="44" t="n"/>
      <c r="G1112" s="23" t="n"/>
      <c r="H1112" s="23" t="n"/>
      <c r="I1112" s="23" t="n"/>
      <c r="J1112" s="23" t="n"/>
      <c r="K1112" s="45">
        <f>IF(A1112="","",SUM(G$2:I1112)-SUM(J$2:J1112))</f>
        <v/>
      </c>
      <c r="L1112" s="46" t="n"/>
      <c r="M1112">
        <f>IF(A1112="","",IF(A1112=A1111,M1111,N(M1111)+1))</f>
        <v/>
      </c>
      <c r="N1112">
        <f>IF(E1112="",99999,E1112)</f>
        <v/>
      </c>
      <c r="O1112">
        <f>IF(E1112="",0,IF(F1112="",E1112,F1112))</f>
        <v/>
      </c>
      <c r="P1112">
        <f>IF(E1112="",1,MAX(1,(YEAR(O1112)-YEAR(N1112))*12+MONTH(O1112)-MONTH(N1112)+1))</f>
        <v/>
      </c>
      <c r="Q1112">
        <f>IF(G1112="",0,G1112/P1112)</f>
        <v/>
      </c>
      <c r="R1112">
        <f>IF(H1112="",0,H1112/P1112)</f>
        <v/>
      </c>
    </row>
    <row r="1113">
      <c r="A1113" s="43" t="n"/>
      <c r="B1113" s="28" t="n"/>
      <c r="C1113" s="28" t="n"/>
      <c r="D1113" s="28" t="n"/>
      <c r="E1113" s="44" t="n"/>
      <c r="F1113" s="44" t="n"/>
      <c r="G1113" s="23" t="n"/>
      <c r="H1113" s="23" t="n"/>
      <c r="I1113" s="23" t="n"/>
      <c r="J1113" s="23" t="n"/>
      <c r="K1113" s="45">
        <f>IF(A1113="","",SUM(G$2:I1113)-SUM(J$2:J1113))</f>
        <v/>
      </c>
      <c r="L1113" s="46" t="n"/>
      <c r="M1113">
        <f>IF(A1113="","",IF(A1113=A1112,M1112,N(M1112)+1))</f>
        <v/>
      </c>
      <c r="N1113">
        <f>IF(E1113="",99999,E1113)</f>
        <v/>
      </c>
      <c r="O1113">
        <f>IF(E1113="",0,IF(F1113="",E1113,F1113))</f>
        <v/>
      </c>
      <c r="P1113">
        <f>IF(E1113="",1,MAX(1,(YEAR(O1113)-YEAR(N1113))*12+MONTH(O1113)-MONTH(N1113)+1))</f>
        <v/>
      </c>
      <c r="Q1113">
        <f>IF(G1113="",0,G1113/P1113)</f>
        <v/>
      </c>
      <c r="R1113">
        <f>IF(H1113="",0,H1113/P1113)</f>
        <v/>
      </c>
    </row>
    <row r="1114">
      <c r="A1114" s="43" t="n"/>
      <c r="B1114" s="28" t="n"/>
      <c r="C1114" s="28" t="n"/>
      <c r="D1114" s="28" t="n"/>
      <c r="E1114" s="44" t="n"/>
      <c r="F1114" s="44" t="n"/>
      <c r="G1114" s="23" t="n"/>
      <c r="H1114" s="23" t="n"/>
      <c r="I1114" s="23" t="n"/>
      <c r="J1114" s="23" t="n"/>
      <c r="K1114" s="45">
        <f>IF(A1114="","",SUM(G$2:I1114)-SUM(J$2:J1114))</f>
        <v/>
      </c>
      <c r="L1114" s="46" t="n"/>
      <c r="M1114">
        <f>IF(A1114="","",IF(A1114=A1113,M1113,N(M1113)+1))</f>
        <v/>
      </c>
      <c r="N1114">
        <f>IF(E1114="",99999,E1114)</f>
        <v/>
      </c>
      <c r="O1114">
        <f>IF(E1114="",0,IF(F1114="",E1114,F1114))</f>
        <v/>
      </c>
      <c r="P1114">
        <f>IF(E1114="",1,MAX(1,(YEAR(O1114)-YEAR(N1114))*12+MONTH(O1114)-MONTH(N1114)+1))</f>
        <v/>
      </c>
      <c r="Q1114">
        <f>IF(G1114="",0,G1114/P1114)</f>
        <v/>
      </c>
      <c r="R1114">
        <f>IF(H1114="",0,H1114/P1114)</f>
        <v/>
      </c>
    </row>
    <row r="1115">
      <c r="A1115" s="43" t="n"/>
      <c r="B1115" s="28" t="n"/>
      <c r="C1115" s="28" t="n"/>
      <c r="D1115" s="28" t="n"/>
      <c r="E1115" s="44" t="n"/>
      <c r="F1115" s="44" t="n"/>
      <c r="G1115" s="23" t="n"/>
      <c r="H1115" s="23" t="n"/>
      <c r="I1115" s="23" t="n"/>
      <c r="J1115" s="23" t="n"/>
      <c r="K1115" s="45">
        <f>IF(A1115="","",SUM(G$2:I1115)-SUM(J$2:J1115))</f>
        <v/>
      </c>
      <c r="L1115" s="46" t="n"/>
      <c r="M1115">
        <f>IF(A1115="","",IF(A1115=A1114,M1114,N(M1114)+1))</f>
        <v/>
      </c>
      <c r="N1115">
        <f>IF(E1115="",99999,E1115)</f>
        <v/>
      </c>
      <c r="O1115">
        <f>IF(E1115="",0,IF(F1115="",E1115,F1115))</f>
        <v/>
      </c>
      <c r="P1115">
        <f>IF(E1115="",1,MAX(1,(YEAR(O1115)-YEAR(N1115))*12+MONTH(O1115)-MONTH(N1115)+1))</f>
        <v/>
      </c>
      <c r="Q1115">
        <f>IF(G1115="",0,G1115/P1115)</f>
        <v/>
      </c>
      <c r="R1115">
        <f>IF(H1115="",0,H1115/P1115)</f>
        <v/>
      </c>
    </row>
    <row r="1116">
      <c r="A1116" s="43" t="n"/>
      <c r="B1116" s="28" t="n"/>
      <c r="C1116" s="28" t="n"/>
      <c r="D1116" s="28" t="n"/>
      <c r="E1116" s="44" t="n"/>
      <c r="F1116" s="44" t="n"/>
      <c r="G1116" s="23" t="n"/>
      <c r="H1116" s="23" t="n"/>
      <c r="I1116" s="23" t="n"/>
      <c r="J1116" s="23" t="n"/>
      <c r="K1116" s="45">
        <f>IF(A1116="","",SUM(G$2:I1116)-SUM(J$2:J1116))</f>
        <v/>
      </c>
      <c r="L1116" s="46" t="n"/>
      <c r="M1116">
        <f>IF(A1116="","",IF(A1116=A1115,M1115,N(M1115)+1))</f>
        <v/>
      </c>
      <c r="N1116">
        <f>IF(E1116="",99999,E1116)</f>
        <v/>
      </c>
      <c r="O1116">
        <f>IF(E1116="",0,IF(F1116="",E1116,F1116))</f>
        <v/>
      </c>
      <c r="P1116">
        <f>IF(E1116="",1,MAX(1,(YEAR(O1116)-YEAR(N1116))*12+MONTH(O1116)-MONTH(N1116)+1))</f>
        <v/>
      </c>
      <c r="Q1116">
        <f>IF(G1116="",0,G1116/P1116)</f>
        <v/>
      </c>
      <c r="R1116">
        <f>IF(H1116="",0,H1116/P1116)</f>
        <v/>
      </c>
    </row>
    <row r="1117">
      <c r="A1117" s="43" t="n"/>
      <c r="B1117" s="28" t="n"/>
      <c r="C1117" s="28" t="n"/>
      <c r="D1117" s="28" t="n"/>
      <c r="E1117" s="44" t="n"/>
      <c r="F1117" s="44" t="n"/>
      <c r="G1117" s="23" t="n"/>
      <c r="H1117" s="23" t="n"/>
      <c r="I1117" s="23" t="n"/>
      <c r="J1117" s="23" t="n"/>
      <c r="K1117" s="45">
        <f>IF(A1117="","",SUM(G$2:I1117)-SUM(J$2:J1117))</f>
        <v/>
      </c>
      <c r="L1117" s="46" t="n"/>
      <c r="M1117">
        <f>IF(A1117="","",IF(A1117=A1116,M1116,N(M1116)+1))</f>
        <v/>
      </c>
      <c r="N1117">
        <f>IF(E1117="",99999,E1117)</f>
        <v/>
      </c>
      <c r="O1117">
        <f>IF(E1117="",0,IF(F1117="",E1117,F1117))</f>
        <v/>
      </c>
      <c r="P1117">
        <f>IF(E1117="",1,MAX(1,(YEAR(O1117)-YEAR(N1117))*12+MONTH(O1117)-MONTH(N1117)+1))</f>
        <v/>
      </c>
      <c r="Q1117">
        <f>IF(G1117="",0,G1117/P1117)</f>
        <v/>
      </c>
      <c r="R1117">
        <f>IF(H1117="",0,H1117/P1117)</f>
        <v/>
      </c>
    </row>
    <row r="1118">
      <c r="A1118" s="43" t="n"/>
      <c r="B1118" s="28" t="n"/>
      <c r="C1118" s="28" t="n"/>
      <c r="D1118" s="28" t="n"/>
      <c r="E1118" s="44" t="n"/>
      <c r="F1118" s="44" t="n"/>
      <c r="G1118" s="23" t="n"/>
      <c r="H1118" s="23" t="n"/>
      <c r="I1118" s="23" t="n"/>
      <c r="J1118" s="23" t="n"/>
      <c r="K1118" s="45">
        <f>IF(A1118="","",SUM(G$2:I1118)-SUM(J$2:J1118))</f>
        <v/>
      </c>
      <c r="L1118" s="46" t="n"/>
      <c r="M1118">
        <f>IF(A1118="","",IF(A1118=A1117,M1117,N(M1117)+1))</f>
        <v/>
      </c>
      <c r="N1118">
        <f>IF(E1118="",99999,E1118)</f>
        <v/>
      </c>
      <c r="O1118">
        <f>IF(E1118="",0,IF(F1118="",E1118,F1118))</f>
        <v/>
      </c>
      <c r="P1118">
        <f>IF(E1118="",1,MAX(1,(YEAR(O1118)-YEAR(N1118))*12+MONTH(O1118)-MONTH(N1118)+1))</f>
        <v/>
      </c>
      <c r="Q1118">
        <f>IF(G1118="",0,G1118/P1118)</f>
        <v/>
      </c>
      <c r="R1118">
        <f>IF(H1118="",0,H1118/P1118)</f>
        <v/>
      </c>
    </row>
    <row r="1119">
      <c r="A1119" s="43" t="n"/>
      <c r="B1119" s="28" t="n"/>
      <c r="C1119" s="28" t="n"/>
      <c r="D1119" s="28" t="n"/>
      <c r="E1119" s="44" t="n"/>
      <c r="F1119" s="44" t="n"/>
      <c r="G1119" s="23" t="n"/>
      <c r="H1119" s="23" t="n"/>
      <c r="I1119" s="23" t="n"/>
      <c r="J1119" s="23" t="n"/>
      <c r="K1119" s="45">
        <f>IF(A1119="","",SUM(G$2:I1119)-SUM(J$2:J1119))</f>
        <v/>
      </c>
      <c r="L1119" s="46" t="n"/>
      <c r="M1119">
        <f>IF(A1119="","",IF(A1119=A1118,M1118,N(M1118)+1))</f>
        <v/>
      </c>
      <c r="N1119">
        <f>IF(E1119="",99999,E1119)</f>
        <v/>
      </c>
      <c r="O1119">
        <f>IF(E1119="",0,IF(F1119="",E1119,F1119))</f>
        <v/>
      </c>
      <c r="P1119">
        <f>IF(E1119="",1,MAX(1,(YEAR(O1119)-YEAR(N1119))*12+MONTH(O1119)-MONTH(N1119)+1))</f>
        <v/>
      </c>
      <c r="Q1119">
        <f>IF(G1119="",0,G1119/P1119)</f>
        <v/>
      </c>
      <c r="R1119">
        <f>IF(H1119="",0,H1119/P1119)</f>
        <v/>
      </c>
    </row>
    <row r="1120">
      <c r="A1120" s="43" t="n"/>
      <c r="B1120" s="28" t="n"/>
      <c r="C1120" s="28" t="n"/>
      <c r="D1120" s="28" t="n"/>
      <c r="E1120" s="44" t="n"/>
      <c r="F1120" s="44" t="n"/>
      <c r="G1120" s="23" t="n"/>
      <c r="H1120" s="23" t="n"/>
      <c r="I1120" s="23" t="n"/>
      <c r="J1120" s="23" t="n"/>
      <c r="K1120" s="45">
        <f>IF(A1120="","",SUM(G$2:I1120)-SUM(J$2:J1120))</f>
        <v/>
      </c>
      <c r="L1120" s="46" t="n"/>
      <c r="M1120">
        <f>IF(A1120="","",IF(A1120=A1119,M1119,N(M1119)+1))</f>
        <v/>
      </c>
      <c r="N1120">
        <f>IF(E1120="",99999,E1120)</f>
        <v/>
      </c>
      <c r="O1120">
        <f>IF(E1120="",0,IF(F1120="",E1120,F1120))</f>
        <v/>
      </c>
      <c r="P1120">
        <f>IF(E1120="",1,MAX(1,(YEAR(O1120)-YEAR(N1120))*12+MONTH(O1120)-MONTH(N1120)+1))</f>
        <v/>
      </c>
      <c r="Q1120">
        <f>IF(G1120="",0,G1120/P1120)</f>
        <v/>
      </c>
      <c r="R1120">
        <f>IF(H1120="",0,H1120/P1120)</f>
        <v/>
      </c>
    </row>
    <row r="1121">
      <c r="A1121" s="43" t="n"/>
      <c r="B1121" s="28" t="n"/>
      <c r="C1121" s="28" t="n"/>
      <c r="D1121" s="28" t="n"/>
      <c r="E1121" s="44" t="n"/>
      <c r="F1121" s="44" t="n"/>
      <c r="G1121" s="23" t="n"/>
      <c r="H1121" s="23" t="n"/>
      <c r="I1121" s="23" t="n"/>
      <c r="J1121" s="23" t="n"/>
      <c r="K1121" s="45">
        <f>IF(A1121="","",SUM(G$2:I1121)-SUM(J$2:J1121))</f>
        <v/>
      </c>
      <c r="L1121" s="46" t="n"/>
      <c r="M1121">
        <f>IF(A1121="","",IF(A1121=A1120,M1120,N(M1120)+1))</f>
        <v/>
      </c>
      <c r="N1121">
        <f>IF(E1121="",99999,E1121)</f>
        <v/>
      </c>
      <c r="O1121">
        <f>IF(E1121="",0,IF(F1121="",E1121,F1121))</f>
        <v/>
      </c>
      <c r="P1121">
        <f>IF(E1121="",1,MAX(1,(YEAR(O1121)-YEAR(N1121))*12+MONTH(O1121)-MONTH(N1121)+1))</f>
        <v/>
      </c>
      <c r="Q1121">
        <f>IF(G1121="",0,G1121/P1121)</f>
        <v/>
      </c>
      <c r="R1121">
        <f>IF(H1121="",0,H1121/P1121)</f>
        <v/>
      </c>
    </row>
    <row r="1122">
      <c r="A1122" s="43" t="n"/>
      <c r="B1122" s="28" t="n"/>
      <c r="C1122" s="28" t="n"/>
      <c r="D1122" s="28" t="n"/>
      <c r="E1122" s="44" t="n"/>
      <c r="F1122" s="44" t="n"/>
      <c r="G1122" s="23" t="n"/>
      <c r="H1122" s="23" t="n"/>
      <c r="I1122" s="23" t="n"/>
      <c r="J1122" s="23" t="n"/>
      <c r="K1122" s="45">
        <f>IF(A1122="","",SUM(G$2:I1122)-SUM(J$2:J1122))</f>
        <v/>
      </c>
      <c r="L1122" s="46" t="n"/>
      <c r="M1122">
        <f>IF(A1122="","",IF(A1122=A1121,M1121,N(M1121)+1))</f>
        <v/>
      </c>
      <c r="N1122">
        <f>IF(E1122="",99999,E1122)</f>
        <v/>
      </c>
      <c r="O1122">
        <f>IF(E1122="",0,IF(F1122="",E1122,F1122))</f>
        <v/>
      </c>
      <c r="P1122">
        <f>IF(E1122="",1,MAX(1,(YEAR(O1122)-YEAR(N1122))*12+MONTH(O1122)-MONTH(N1122)+1))</f>
        <v/>
      </c>
      <c r="Q1122">
        <f>IF(G1122="",0,G1122/P1122)</f>
        <v/>
      </c>
      <c r="R1122">
        <f>IF(H1122="",0,H1122/P1122)</f>
        <v/>
      </c>
    </row>
    <row r="1123">
      <c r="A1123" s="43" t="n"/>
      <c r="B1123" s="28" t="n"/>
      <c r="C1123" s="28" t="n"/>
      <c r="D1123" s="28" t="n"/>
      <c r="E1123" s="44" t="n"/>
      <c r="F1123" s="44" t="n"/>
      <c r="G1123" s="23" t="n"/>
      <c r="H1123" s="23" t="n"/>
      <c r="I1123" s="23" t="n"/>
      <c r="J1123" s="23" t="n"/>
      <c r="K1123" s="45">
        <f>IF(A1123="","",SUM(G$2:I1123)-SUM(J$2:J1123))</f>
        <v/>
      </c>
      <c r="L1123" s="46" t="n"/>
      <c r="M1123">
        <f>IF(A1123="","",IF(A1123=A1122,M1122,N(M1122)+1))</f>
        <v/>
      </c>
      <c r="N1123">
        <f>IF(E1123="",99999,E1123)</f>
        <v/>
      </c>
      <c r="O1123">
        <f>IF(E1123="",0,IF(F1123="",E1123,F1123))</f>
        <v/>
      </c>
      <c r="P1123">
        <f>IF(E1123="",1,MAX(1,(YEAR(O1123)-YEAR(N1123))*12+MONTH(O1123)-MONTH(N1123)+1))</f>
        <v/>
      </c>
      <c r="Q1123">
        <f>IF(G1123="",0,G1123/P1123)</f>
        <v/>
      </c>
      <c r="R1123">
        <f>IF(H1123="",0,H1123/P1123)</f>
        <v/>
      </c>
    </row>
    <row r="1124">
      <c r="A1124" s="43" t="n"/>
      <c r="B1124" s="28" t="n"/>
      <c r="C1124" s="28" t="n"/>
      <c r="D1124" s="28" t="n"/>
      <c r="E1124" s="44" t="n"/>
      <c r="F1124" s="44" t="n"/>
      <c r="G1124" s="23" t="n"/>
      <c r="H1124" s="23" t="n"/>
      <c r="I1124" s="23" t="n"/>
      <c r="J1124" s="23" t="n"/>
      <c r="K1124" s="45">
        <f>IF(A1124="","",SUM(G$2:I1124)-SUM(J$2:J1124))</f>
        <v/>
      </c>
      <c r="L1124" s="46" t="n"/>
      <c r="M1124">
        <f>IF(A1124="","",IF(A1124=A1123,M1123,N(M1123)+1))</f>
        <v/>
      </c>
      <c r="N1124">
        <f>IF(E1124="",99999,E1124)</f>
        <v/>
      </c>
      <c r="O1124">
        <f>IF(E1124="",0,IF(F1124="",E1124,F1124))</f>
        <v/>
      </c>
      <c r="P1124">
        <f>IF(E1124="",1,MAX(1,(YEAR(O1124)-YEAR(N1124))*12+MONTH(O1124)-MONTH(N1124)+1))</f>
        <v/>
      </c>
      <c r="Q1124">
        <f>IF(G1124="",0,G1124/P1124)</f>
        <v/>
      </c>
      <c r="R1124">
        <f>IF(H1124="",0,H1124/P1124)</f>
        <v/>
      </c>
    </row>
    <row r="1125">
      <c r="A1125" s="43" t="n"/>
      <c r="B1125" s="28" t="n"/>
      <c r="C1125" s="28" t="n"/>
      <c r="D1125" s="28" t="n"/>
      <c r="E1125" s="44" t="n"/>
      <c r="F1125" s="44" t="n"/>
      <c r="G1125" s="23" t="n"/>
      <c r="H1125" s="23" t="n"/>
      <c r="I1125" s="23" t="n"/>
      <c r="J1125" s="23" t="n"/>
      <c r="K1125" s="45">
        <f>IF(A1125="","",SUM(G$2:I1125)-SUM(J$2:J1125))</f>
        <v/>
      </c>
      <c r="L1125" s="46" t="n"/>
      <c r="M1125">
        <f>IF(A1125="","",IF(A1125=A1124,M1124,N(M1124)+1))</f>
        <v/>
      </c>
      <c r="N1125">
        <f>IF(E1125="",99999,E1125)</f>
        <v/>
      </c>
      <c r="O1125">
        <f>IF(E1125="",0,IF(F1125="",E1125,F1125))</f>
        <v/>
      </c>
      <c r="P1125">
        <f>IF(E1125="",1,MAX(1,(YEAR(O1125)-YEAR(N1125))*12+MONTH(O1125)-MONTH(N1125)+1))</f>
        <v/>
      </c>
      <c r="Q1125">
        <f>IF(G1125="",0,G1125/P1125)</f>
        <v/>
      </c>
      <c r="R1125">
        <f>IF(H1125="",0,H1125/P1125)</f>
        <v/>
      </c>
    </row>
    <row r="1126">
      <c r="A1126" s="43" t="n"/>
      <c r="B1126" s="28" t="n"/>
      <c r="C1126" s="28" t="n"/>
      <c r="D1126" s="28" t="n"/>
      <c r="E1126" s="44" t="n"/>
      <c r="F1126" s="44" t="n"/>
      <c r="G1126" s="23" t="n"/>
      <c r="H1126" s="23" t="n"/>
      <c r="I1126" s="23" t="n"/>
      <c r="J1126" s="23" t="n"/>
      <c r="K1126" s="45">
        <f>IF(A1126="","",SUM(G$2:I1126)-SUM(J$2:J1126))</f>
        <v/>
      </c>
      <c r="L1126" s="46" t="n"/>
      <c r="M1126">
        <f>IF(A1126="","",IF(A1126=A1125,M1125,N(M1125)+1))</f>
        <v/>
      </c>
      <c r="N1126">
        <f>IF(E1126="",99999,E1126)</f>
        <v/>
      </c>
      <c r="O1126">
        <f>IF(E1126="",0,IF(F1126="",E1126,F1126))</f>
        <v/>
      </c>
      <c r="P1126">
        <f>IF(E1126="",1,MAX(1,(YEAR(O1126)-YEAR(N1126))*12+MONTH(O1126)-MONTH(N1126)+1))</f>
        <v/>
      </c>
      <c r="Q1126">
        <f>IF(G1126="",0,G1126/P1126)</f>
        <v/>
      </c>
      <c r="R1126">
        <f>IF(H1126="",0,H1126/P1126)</f>
        <v/>
      </c>
    </row>
    <row r="1127">
      <c r="A1127" s="43" t="n"/>
      <c r="B1127" s="28" t="n"/>
      <c r="C1127" s="28" t="n"/>
      <c r="D1127" s="28" t="n"/>
      <c r="E1127" s="44" t="n"/>
      <c r="F1127" s="44" t="n"/>
      <c r="G1127" s="23" t="n"/>
      <c r="H1127" s="23" t="n"/>
      <c r="I1127" s="23" t="n"/>
      <c r="J1127" s="23" t="n"/>
      <c r="K1127" s="45">
        <f>IF(A1127="","",SUM(G$2:I1127)-SUM(J$2:J1127))</f>
        <v/>
      </c>
      <c r="L1127" s="46" t="n"/>
      <c r="M1127">
        <f>IF(A1127="","",IF(A1127=A1126,M1126,N(M1126)+1))</f>
        <v/>
      </c>
      <c r="N1127">
        <f>IF(E1127="",99999,E1127)</f>
        <v/>
      </c>
      <c r="O1127">
        <f>IF(E1127="",0,IF(F1127="",E1127,F1127))</f>
        <v/>
      </c>
      <c r="P1127">
        <f>IF(E1127="",1,MAX(1,(YEAR(O1127)-YEAR(N1127))*12+MONTH(O1127)-MONTH(N1127)+1))</f>
        <v/>
      </c>
      <c r="Q1127">
        <f>IF(G1127="",0,G1127/P1127)</f>
        <v/>
      </c>
      <c r="R1127">
        <f>IF(H1127="",0,H1127/P1127)</f>
        <v/>
      </c>
    </row>
    <row r="1128">
      <c r="A1128" s="43" t="n"/>
      <c r="B1128" s="28" t="n"/>
      <c r="C1128" s="28" t="n"/>
      <c r="D1128" s="28" t="n"/>
      <c r="E1128" s="44" t="n"/>
      <c r="F1128" s="44" t="n"/>
      <c r="G1128" s="23" t="n"/>
      <c r="H1128" s="23" t="n"/>
      <c r="I1128" s="23" t="n"/>
      <c r="J1128" s="23" t="n"/>
      <c r="K1128" s="45">
        <f>IF(A1128="","",SUM(G$2:I1128)-SUM(J$2:J1128))</f>
        <v/>
      </c>
      <c r="L1128" s="46" t="n"/>
      <c r="M1128">
        <f>IF(A1128="","",IF(A1128=A1127,M1127,N(M1127)+1))</f>
        <v/>
      </c>
      <c r="N1128">
        <f>IF(E1128="",99999,E1128)</f>
        <v/>
      </c>
      <c r="O1128">
        <f>IF(E1128="",0,IF(F1128="",E1128,F1128))</f>
        <v/>
      </c>
      <c r="P1128">
        <f>IF(E1128="",1,MAX(1,(YEAR(O1128)-YEAR(N1128))*12+MONTH(O1128)-MONTH(N1128)+1))</f>
        <v/>
      </c>
      <c r="Q1128">
        <f>IF(G1128="",0,G1128/P1128)</f>
        <v/>
      </c>
      <c r="R1128">
        <f>IF(H1128="",0,H1128/P1128)</f>
        <v/>
      </c>
    </row>
    <row r="1129">
      <c r="A1129" s="43" t="n"/>
      <c r="B1129" s="28" t="n"/>
      <c r="C1129" s="28" t="n"/>
      <c r="D1129" s="28" t="n"/>
      <c r="E1129" s="44" t="n"/>
      <c r="F1129" s="44" t="n"/>
      <c r="G1129" s="23" t="n"/>
      <c r="H1129" s="23" t="n"/>
      <c r="I1129" s="23" t="n"/>
      <c r="J1129" s="23" t="n"/>
      <c r="K1129" s="45">
        <f>IF(A1129="","",SUM(G$2:I1129)-SUM(J$2:J1129))</f>
        <v/>
      </c>
      <c r="L1129" s="46" t="n"/>
      <c r="M1129">
        <f>IF(A1129="","",IF(A1129=A1128,M1128,N(M1128)+1))</f>
        <v/>
      </c>
      <c r="N1129">
        <f>IF(E1129="",99999,E1129)</f>
        <v/>
      </c>
      <c r="O1129">
        <f>IF(E1129="",0,IF(F1129="",E1129,F1129))</f>
        <v/>
      </c>
      <c r="P1129">
        <f>IF(E1129="",1,MAX(1,(YEAR(O1129)-YEAR(N1129))*12+MONTH(O1129)-MONTH(N1129)+1))</f>
        <v/>
      </c>
      <c r="Q1129">
        <f>IF(G1129="",0,G1129/P1129)</f>
        <v/>
      </c>
      <c r="R1129">
        <f>IF(H1129="",0,H1129/P1129)</f>
        <v/>
      </c>
    </row>
    <row r="1130">
      <c r="A1130" s="43" t="n"/>
      <c r="B1130" s="28" t="n"/>
      <c r="C1130" s="28" t="n"/>
      <c r="D1130" s="28" t="n"/>
      <c r="E1130" s="44" t="n"/>
      <c r="F1130" s="44" t="n"/>
      <c r="G1130" s="23" t="n"/>
      <c r="H1130" s="23" t="n"/>
      <c r="I1130" s="23" t="n"/>
      <c r="J1130" s="23" t="n"/>
      <c r="K1130" s="45">
        <f>IF(A1130="","",SUM(G$2:I1130)-SUM(J$2:J1130))</f>
        <v/>
      </c>
      <c r="L1130" s="46" t="n"/>
      <c r="M1130">
        <f>IF(A1130="","",IF(A1130=A1129,M1129,N(M1129)+1))</f>
        <v/>
      </c>
      <c r="N1130">
        <f>IF(E1130="",99999,E1130)</f>
        <v/>
      </c>
      <c r="O1130">
        <f>IF(E1130="",0,IF(F1130="",E1130,F1130))</f>
        <v/>
      </c>
      <c r="P1130">
        <f>IF(E1130="",1,MAX(1,(YEAR(O1130)-YEAR(N1130))*12+MONTH(O1130)-MONTH(N1130)+1))</f>
        <v/>
      </c>
      <c r="Q1130">
        <f>IF(G1130="",0,G1130/P1130)</f>
        <v/>
      </c>
      <c r="R1130">
        <f>IF(H1130="",0,H1130/P1130)</f>
        <v/>
      </c>
    </row>
    <row r="1131">
      <c r="A1131" s="43" t="n"/>
      <c r="B1131" s="28" t="n"/>
      <c r="C1131" s="28" t="n"/>
      <c r="D1131" s="28" t="n"/>
      <c r="E1131" s="44" t="n"/>
      <c r="F1131" s="44" t="n"/>
      <c r="G1131" s="23" t="n"/>
      <c r="H1131" s="23" t="n"/>
      <c r="I1131" s="23" t="n"/>
      <c r="J1131" s="23" t="n"/>
      <c r="K1131" s="45">
        <f>IF(A1131="","",SUM(G$2:I1131)-SUM(J$2:J1131))</f>
        <v/>
      </c>
      <c r="L1131" s="46" t="n"/>
      <c r="M1131">
        <f>IF(A1131="","",IF(A1131=A1130,M1130,N(M1130)+1))</f>
        <v/>
      </c>
      <c r="N1131">
        <f>IF(E1131="",99999,E1131)</f>
        <v/>
      </c>
      <c r="O1131">
        <f>IF(E1131="",0,IF(F1131="",E1131,F1131))</f>
        <v/>
      </c>
      <c r="P1131">
        <f>IF(E1131="",1,MAX(1,(YEAR(O1131)-YEAR(N1131))*12+MONTH(O1131)-MONTH(N1131)+1))</f>
        <v/>
      </c>
      <c r="Q1131">
        <f>IF(G1131="",0,G1131/P1131)</f>
        <v/>
      </c>
      <c r="R1131">
        <f>IF(H1131="",0,H1131/P1131)</f>
        <v/>
      </c>
    </row>
    <row r="1132">
      <c r="A1132" s="43" t="n"/>
      <c r="B1132" s="28" t="n"/>
      <c r="C1132" s="28" t="n"/>
      <c r="D1132" s="28" t="n"/>
      <c r="E1132" s="44" t="n"/>
      <c r="F1132" s="44" t="n"/>
      <c r="G1132" s="23" t="n"/>
      <c r="H1132" s="23" t="n"/>
      <c r="I1132" s="23" t="n"/>
      <c r="J1132" s="23" t="n"/>
      <c r="K1132" s="45">
        <f>IF(A1132="","",SUM(G$2:I1132)-SUM(J$2:J1132))</f>
        <v/>
      </c>
      <c r="L1132" s="46" t="n"/>
      <c r="M1132">
        <f>IF(A1132="","",IF(A1132=A1131,M1131,N(M1131)+1))</f>
        <v/>
      </c>
      <c r="N1132">
        <f>IF(E1132="",99999,E1132)</f>
        <v/>
      </c>
      <c r="O1132">
        <f>IF(E1132="",0,IF(F1132="",E1132,F1132))</f>
        <v/>
      </c>
      <c r="P1132">
        <f>IF(E1132="",1,MAX(1,(YEAR(O1132)-YEAR(N1132))*12+MONTH(O1132)-MONTH(N1132)+1))</f>
        <v/>
      </c>
      <c r="Q1132">
        <f>IF(G1132="",0,G1132/P1132)</f>
        <v/>
      </c>
      <c r="R1132">
        <f>IF(H1132="",0,H1132/P1132)</f>
        <v/>
      </c>
    </row>
    <row r="1133">
      <c r="A1133" s="43" t="n"/>
      <c r="B1133" s="28" t="n"/>
      <c r="C1133" s="28" t="n"/>
      <c r="D1133" s="28" t="n"/>
      <c r="E1133" s="44" t="n"/>
      <c r="F1133" s="44" t="n"/>
      <c r="G1133" s="23" t="n"/>
      <c r="H1133" s="23" t="n"/>
      <c r="I1133" s="23" t="n"/>
      <c r="J1133" s="23" t="n"/>
      <c r="K1133" s="45">
        <f>IF(A1133="","",SUM(G$2:I1133)-SUM(J$2:J1133))</f>
        <v/>
      </c>
      <c r="L1133" s="46" t="n"/>
      <c r="M1133">
        <f>IF(A1133="","",IF(A1133=A1132,M1132,N(M1132)+1))</f>
        <v/>
      </c>
      <c r="N1133">
        <f>IF(E1133="",99999,E1133)</f>
        <v/>
      </c>
      <c r="O1133">
        <f>IF(E1133="",0,IF(F1133="",E1133,F1133))</f>
        <v/>
      </c>
      <c r="P1133">
        <f>IF(E1133="",1,MAX(1,(YEAR(O1133)-YEAR(N1133))*12+MONTH(O1133)-MONTH(N1133)+1))</f>
        <v/>
      </c>
      <c r="Q1133">
        <f>IF(G1133="",0,G1133/P1133)</f>
        <v/>
      </c>
      <c r="R1133">
        <f>IF(H1133="",0,H1133/P1133)</f>
        <v/>
      </c>
    </row>
    <row r="1134">
      <c r="A1134" s="43" t="n"/>
      <c r="B1134" s="28" t="n"/>
      <c r="C1134" s="28" t="n"/>
      <c r="D1134" s="28" t="n"/>
      <c r="E1134" s="44" t="n"/>
      <c r="F1134" s="44" t="n"/>
      <c r="G1134" s="23" t="n"/>
      <c r="H1134" s="23" t="n"/>
      <c r="I1134" s="23" t="n"/>
      <c r="J1134" s="23" t="n"/>
      <c r="K1134" s="45">
        <f>IF(A1134="","",SUM(G$2:I1134)-SUM(J$2:J1134))</f>
        <v/>
      </c>
      <c r="L1134" s="46" t="n"/>
      <c r="M1134">
        <f>IF(A1134="","",IF(A1134=A1133,M1133,N(M1133)+1))</f>
        <v/>
      </c>
      <c r="N1134">
        <f>IF(E1134="",99999,E1134)</f>
        <v/>
      </c>
      <c r="O1134">
        <f>IF(E1134="",0,IF(F1134="",E1134,F1134))</f>
        <v/>
      </c>
      <c r="P1134">
        <f>IF(E1134="",1,MAX(1,(YEAR(O1134)-YEAR(N1134))*12+MONTH(O1134)-MONTH(N1134)+1))</f>
        <v/>
      </c>
      <c r="Q1134">
        <f>IF(G1134="",0,G1134/P1134)</f>
        <v/>
      </c>
      <c r="R1134">
        <f>IF(H1134="",0,H1134/P1134)</f>
        <v/>
      </c>
    </row>
    <row r="1135">
      <c r="A1135" s="43" t="n"/>
      <c r="B1135" s="28" t="n"/>
      <c r="C1135" s="28" t="n"/>
      <c r="D1135" s="28" t="n"/>
      <c r="E1135" s="44" t="n"/>
      <c r="F1135" s="44" t="n"/>
      <c r="G1135" s="23" t="n"/>
      <c r="H1135" s="23" t="n"/>
      <c r="I1135" s="23" t="n"/>
      <c r="J1135" s="23" t="n"/>
      <c r="K1135" s="45">
        <f>IF(A1135="","",SUM(G$2:I1135)-SUM(J$2:J1135))</f>
        <v/>
      </c>
      <c r="L1135" s="46" t="n"/>
      <c r="M1135">
        <f>IF(A1135="","",IF(A1135=A1134,M1134,N(M1134)+1))</f>
        <v/>
      </c>
      <c r="N1135">
        <f>IF(E1135="",99999,E1135)</f>
        <v/>
      </c>
      <c r="O1135">
        <f>IF(E1135="",0,IF(F1135="",E1135,F1135))</f>
        <v/>
      </c>
      <c r="P1135">
        <f>IF(E1135="",1,MAX(1,(YEAR(O1135)-YEAR(N1135))*12+MONTH(O1135)-MONTH(N1135)+1))</f>
        <v/>
      </c>
      <c r="Q1135">
        <f>IF(G1135="",0,G1135/P1135)</f>
        <v/>
      </c>
      <c r="R1135">
        <f>IF(H1135="",0,H1135/P1135)</f>
        <v/>
      </c>
    </row>
    <row r="1136">
      <c r="A1136" s="43" t="n"/>
      <c r="B1136" s="28" t="n"/>
      <c r="C1136" s="28" t="n"/>
      <c r="D1136" s="28" t="n"/>
      <c r="E1136" s="44" t="n"/>
      <c r="F1136" s="44" t="n"/>
      <c r="G1136" s="23" t="n"/>
      <c r="H1136" s="23" t="n"/>
      <c r="I1136" s="23" t="n"/>
      <c r="J1136" s="23" t="n"/>
      <c r="K1136" s="45">
        <f>IF(A1136="","",SUM(G$2:I1136)-SUM(J$2:J1136))</f>
        <v/>
      </c>
      <c r="L1136" s="46" t="n"/>
      <c r="M1136">
        <f>IF(A1136="","",IF(A1136=A1135,M1135,N(M1135)+1))</f>
        <v/>
      </c>
      <c r="N1136">
        <f>IF(E1136="",99999,E1136)</f>
        <v/>
      </c>
      <c r="O1136">
        <f>IF(E1136="",0,IF(F1136="",E1136,F1136))</f>
        <v/>
      </c>
      <c r="P1136">
        <f>IF(E1136="",1,MAX(1,(YEAR(O1136)-YEAR(N1136))*12+MONTH(O1136)-MONTH(N1136)+1))</f>
        <v/>
      </c>
      <c r="Q1136">
        <f>IF(G1136="",0,G1136/P1136)</f>
        <v/>
      </c>
      <c r="R1136">
        <f>IF(H1136="",0,H1136/P1136)</f>
        <v/>
      </c>
    </row>
    <row r="1137">
      <c r="A1137" s="43" t="n"/>
      <c r="B1137" s="28" t="n"/>
      <c r="C1137" s="28" t="n"/>
      <c r="D1137" s="28" t="n"/>
      <c r="E1137" s="44" t="n"/>
      <c r="F1137" s="44" t="n"/>
      <c r="G1137" s="23" t="n"/>
      <c r="H1137" s="23" t="n"/>
      <c r="I1137" s="23" t="n"/>
      <c r="J1137" s="23" t="n"/>
      <c r="K1137" s="45">
        <f>IF(A1137="","",SUM(G$2:I1137)-SUM(J$2:J1137))</f>
        <v/>
      </c>
      <c r="L1137" s="46" t="n"/>
      <c r="M1137">
        <f>IF(A1137="","",IF(A1137=A1136,M1136,N(M1136)+1))</f>
        <v/>
      </c>
      <c r="N1137">
        <f>IF(E1137="",99999,E1137)</f>
        <v/>
      </c>
      <c r="O1137">
        <f>IF(E1137="",0,IF(F1137="",E1137,F1137))</f>
        <v/>
      </c>
      <c r="P1137">
        <f>IF(E1137="",1,MAX(1,(YEAR(O1137)-YEAR(N1137))*12+MONTH(O1137)-MONTH(N1137)+1))</f>
        <v/>
      </c>
      <c r="Q1137">
        <f>IF(G1137="",0,G1137/P1137)</f>
        <v/>
      </c>
      <c r="R1137">
        <f>IF(H1137="",0,H1137/P1137)</f>
        <v/>
      </c>
    </row>
    <row r="1138">
      <c r="A1138" s="43" t="n"/>
      <c r="B1138" s="28" t="n"/>
      <c r="C1138" s="28" t="n"/>
      <c r="D1138" s="28" t="n"/>
      <c r="E1138" s="44" t="n"/>
      <c r="F1138" s="44" t="n"/>
      <c r="G1138" s="23" t="n"/>
      <c r="H1138" s="23" t="n"/>
      <c r="I1138" s="23" t="n"/>
      <c r="J1138" s="23" t="n"/>
      <c r="K1138" s="45">
        <f>IF(A1138="","",SUM(G$2:I1138)-SUM(J$2:J1138))</f>
        <v/>
      </c>
      <c r="L1138" s="46" t="n"/>
      <c r="M1138">
        <f>IF(A1138="","",IF(A1138=A1137,M1137,N(M1137)+1))</f>
        <v/>
      </c>
      <c r="N1138">
        <f>IF(E1138="",99999,E1138)</f>
        <v/>
      </c>
      <c r="O1138">
        <f>IF(E1138="",0,IF(F1138="",E1138,F1138))</f>
        <v/>
      </c>
      <c r="P1138">
        <f>IF(E1138="",1,MAX(1,(YEAR(O1138)-YEAR(N1138))*12+MONTH(O1138)-MONTH(N1138)+1))</f>
        <v/>
      </c>
      <c r="Q1138">
        <f>IF(G1138="",0,G1138/P1138)</f>
        <v/>
      </c>
      <c r="R1138">
        <f>IF(H1138="",0,H1138/P1138)</f>
        <v/>
      </c>
    </row>
    <row r="1139">
      <c r="A1139" s="43" t="n"/>
      <c r="B1139" s="28" t="n"/>
      <c r="C1139" s="28" t="n"/>
      <c r="D1139" s="28" t="n"/>
      <c r="E1139" s="44" t="n"/>
      <c r="F1139" s="44" t="n"/>
      <c r="G1139" s="23" t="n"/>
      <c r="H1139" s="23" t="n"/>
      <c r="I1139" s="23" t="n"/>
      <c r="J1139" s="23" t="n"/>
      <c r="K1139" s="45">
        <f>IF(A1139="","",SUM(G$2:I1139)-SUM(J$2:J1139))</f>
        <v/>
      </c>
      <c r="L1139" s="46" t="n"/>
      <c r="M1139">
        <f>IF(A1139="","",IF(A1139=A1138,M1138,N(M1138)+1))</f>
        <v/>
      </c>
      <c r="N1139">
        <f>IF(E1139="",99999,E1139)</f>
        <v/>
      </c>
      <c r="O1139">
        <f>IF(E1139="",0,IF(F1139="",E1139,F1139))</f>
        <v/>
      </c>
      <c r="P1139">
        <f>IF(E1139="",1,MAX(1,(YEAR(O1139)-YEAR(N1139))*12+MONTH(O1139)-MONTH(N1139)+1))</f>
        <v/>
      </c>
      <c r="Q1139">
        <f>IF(G1139="",0,G1139/P1139)</f>
        <v/>
      </c>
      <c r="R1139">
        <f>IF(H1139="",0,H1139/P1139)</f>
        <v/>
      </c>
    </row>
    <row r="1140">
      <c r="A1140" s="43" t="n"/>
      <c r="B1140" s="28" t="n"/>
      <c r="C1140" s="28" t="n"/>
      <c r="D1140" s="28" t="n"/>
      <c r="E1140" s="44" t="n"/>
      <c r="F1140" s="44" t="n"/>
      <c r="G1140" s="23" t="n"/>
      <c r="H1140" s="23" t="n"/>
      <c r="I1140" s="23" t="n"/>
      <c r="J1140" s="23" t="n"/>
      <c r="K1140" s="45">
        <f>IF(A1140="","",SUM(G$2:I1140)-SUM(J$2:J1140))</f>
        <v/>
      </c>
      <c r="L1140" s="46" t="n"/>
      <c r="M1140">
        <f>IF(A1140="","",IF(A1140=A1139,M1139,N(M1139)+1))</f>
        <v/>
      </c>
      <c r="N1140">
        <f>IF(E1140="",99999,E1140)</f>
        <v/>
      </c>
      <c r="O1140">
        <f>IF(E1140="",0,IF(F1140="",E1140,F1140))</f>
        <v/>
      </c>
      <c r="P1140">
        <f>IF(E1140="",1,MAX(1,(YEAR(O1140)-YEAR(N1140))*12+MONTH(O1140)-MONTH(N1140)+1))</f>
        <v/>
      </c>
      <c r="Q1140">
        <f>IF(G1140="",0,G1140/P1140)</f>
        <v/>
      </c>
      <c r="R1140">
        <f>IF(H1140="",0,H1140/P1140)</f>
        <v/>
      </c>
    </row>
    <row r="1141">
      <c r="A1141" s="43" t="n"/>
      <c r="B1141" s="28" t="n"/>
      <c r="C1141" s="28" t="n"/>
      <c r="D1141" s="28" t="n"/>
      <c r="E1141" s="44" t="n"/>
      <c r="F1141" s="44" t="n"/>
      <c r="G1141" s="23" t="n"/>
      <c r="H1141" s="23" t="n"/>
      <c r="I1141" s="23" t="n"/>
      <c r="J1141" s="23" t="n"/>
      <c r="K1141" s="45">
        <f>IF(A1141="","",SUM(G$2:I1141)-SUM(J$2:J1141))</f>
        <v/>
      </c>
      <c r="L1141" s="46" t="n"/>
      <c r="M1141">
        <f>IF(A1141="","",IF(A1141=A1140,M1140,N(M1140)+1))</f>
        <v/>
      </c>
      <c r="N1141">
        <f>IF(E1141="",99999,E1141)</f>
        <v/>
      </c>
      <c r="O1141">
        <f>IF(E1141="",0,IF(F1141="",E1141,F1141))</f>
        <v/>
      </c>
      <c r="P1141">
        <f>IF(E1141="",1,MAX(1,(YEAR(O1141)-YEAR(N1141))*12+MONTH(O1141)-MONTH(N1141)+1))</f>
        <v/>
      </c>
      <c r="Q1141">
        <f>IF(G1141="",0,G1141/P1141)</f>
        <v/>
      </c>
      <c r="R1141">
        <f>IF(H1141="",0,H1141/P1141)</f>
        <v/>
      </c>
    </row>
    <row r="1142">
      <c r="A1142" s="43" t="n"/>
      <c r="B1142" s="28" t="n"/>
      <c r="C1142" s="28" t="n"/>
      <c r="D1142" s="28" t="n"/>
      <c r="E1142" s="44" t="n"/>
      <c r="F1142" s="44" t="n"/>
      <c r="G1142" s="23" t="n"/>
      <c r="H1142" s="23" t="n"/>
      <c r="I1142" s="23" t="n"/>
      <c r="J1142" s="23" t="n"/>
      <c r="K1142" s="45">
        <f>IF(A1142="","",SUM(G$2:I1142)-SUM(J$2:J1142))</f>
        <v/>
      </c>
      <c r="L1142" s="46" t="n"/>
      <c r="M1142">
        <f>IF(A1142="","",IF(A1142=A1141,M1141,N(M1141)+1))</f>
        <v/>
      </c>
      <c r="N1142">
        <f>IF(E1142="",99999,E1142)</f>
        <v/>
      </c>
      <c r="O1142">
        <f>IF(E1142="",0,IF(F1142="",E1142,F1142))</f>
        <v/>
      </c>
      <c r="P1142">
        <f>IF(E1142="",1,MAX(1,(YEAR(O1142)-YEAR(N1142))*12+MONTH(O1142)-MONTH(N1142)+1))</f>
        <v/>
      </c>
      <c r="Q1142">
        <f>IF(G1142="",0,G1142/P1142)</f>
        <v/>
      </c>
      <c r="R1142">
        <f>IF(H1142="",0,H1142/P1142)</f>
        <v/>
      </c>
    </row>
    <row r="1143">
      <c r="A1143" s="43" t="n"/>
      <c r="B1143" s="28" t="n"/>
      <c r="C1143" s="28" t="n"/>
      <c r="D1143" s="28" t="n"/>
      <c r="E1143" s="44" t="n"/>
      <c r="F1143" s="44" t="n"/>
      <c r="G1143" s="23" t="n"/>
      <c r="H1143" s="23" t="n"/>
      <c r="I1143" s="23" t="n"/>
      <c r="J1143" s="23" t="n"/>
      <c r="K1143" s="45">
        <f>IF(A1143="","",SUM(G$2:I1143)-SUM(J$2:J1143))</f>
        <v/>
      </c>
      <c r="L1143" s="46" t="n"/>
      <c r="M1143">
        <f>IF(A1143="","",IF(A1143=A1142,M1142,N(M1142)+1))</f>
        <v/>
      </c>
      <c r="N1143">
        <f>IF(E1143="",99999,E1143)</f>
        <v/>
      </c>
      <c r="O1143">
        <f>IF(E1143="",0,IF(F1143="",E1143,F1143))</f>
        <v/>
      </c>
      <c r="P1143">
        <f>IF(E1143="",1,MAX(1,(YEAR(O1143)-YEAR(N1143))*12+MONTH(O1143)-MONTH(N1143)+1))</f>
        <v/>
      </c>
      <c r="Q1143">
        <f>IF(G1143="",0,G1143/P1143)</f>
        <v/>
      </c>
      <c r="R1143">
        <f>IF(H1143="",0,H1143/P1143)</f>
        <v/>
      </c>
    </row>
    <row r="1144">
      <c r="A1144" s="43" t="n"/>
      <c r="B1144" s="28" t="n"/>
      <c r="C1144" s="28" t="n"/>
      <c r="D1144" s="28" t="n"/>
      <c r="E1144" s="44" t="n"/>
      <c r="F1144" s="44" t="n"/>
      <c r="G1144" s="23" t="n"/>
      <c r="H1144" s="23" t="n"/>
      <c r="I1144" s="23" t="n"/>
      <c r="J1144" s="23" t="n"/>
      <c r="K1144" s="45">
        <f>IF(A1144="","",SUM(G$2:I1144)-SUM(J$2:J1144))</f>
        <v/>
      </c>
      <c r="L1144" s="46" t="n"/>
      <c r="M1144">
        <f>IF(A1144="","",IF(A1144=A1143,M1143,N(M1143)+1))</f>
        <v/>
      </c>
      <c r="N1144">
        <f>IF(E1144="",99999,E1144)</f>
        <v/>
      </c>
      <c r="O1144">
        <f>IF(E1144="",0,IF(F1144="",E1144,F1144))</f>
        <v/>
      </c>
      <c r="P1144">
        <f>IF(E1144="",1,MAX(1,(YEAR(O1144)-YEAR(N1144))*12+MONTH(O1144)-MONTH(N1144)+1))</f>
        <v/>
      </c>
      <c r="Q1144">
        <f>IF(G1144="",0,G1144/P1144)</f>
        <v/>
      </c>
      <c r="R1144">
        <f>IF(H1144="",0,H1144/P1144)</f>
        <v/>
      </c>
    </row>
    <row r="1145">
      <c r="A1145" s="43" t="n"/>
      <c r="B1145" s="28" t="n"/>
      <c r="C1145" s="28" t="n"/>
      <c r="D1145" s="28" t="n"/>
      <c r="E1145" s="44" t="n"/>
      <c r="F1145" s="44" t="n"/>
      <c r="G1145" s="23" t="n"/>
      <c r="H1145" s="23" t="n"/>
      <c r="I1145" s="23" t="n"/>
      <c r="J1145" s="23" t="n"/>
      <c r="K1145" s="45">
        <f>IF(A1145="","",SUM(G$2:I1145)-SUM(J$2:J1145))</f>
        <v/>
      </c>
      <c r="L1145" s="46" t="n"/>
      <c r="M1145">
        <f>IF(A1145="","",IF(A1145=A1144,M1144,N(M1144)+1))</f>
        <v/>
      </c>
      <c r="N1145">
        <f>IF(E1145="",99999,E1145)</f>
        <v/>
      </c>
      <c r="O1145">
        <f>IF(E1145="",0,IF(F1145="",E1145,F1145))</f>
        <v/>
      </c>
      <c r="P1145">
        <f>IF(E1145="",1,MAX(1,(YEAR(O1145)-YEAR(N1145))*12+MONTH(O1145)-MONTH(N1145)+1))</f>
        <v/>
      </c>
      <c r="Q1145">
        <f>IF(G1145="",0,G1145/P1145)</f>
        <v/>
      </c>
      <c r="R1145">
        <f>IF(H1145="",0,H1145/P1145)</f>
        <v/>
      </c>
    </row>
    <row r="1146">
      <c r="A1146" s="43" t="n"/>
      <c r="B1146" s="28" t="n"/>
      <c r="C1146" s="28" t="n"/>
      <c r="D1146" s="28" t="n"/>
      <c r="E1146" s="44" t="n"/>
      <c r="F1146" s="44" t="n"/>
      <c r="G1146" s="23" t="n"/>
      <c r="H1146" s="23" t="n"/>
      <c r="I1146" s="23" t="n"/>
      <c r="J1146" s="23" t="n"/>
      <c r="K1146" s="45">
        <f>IF(A1146="","",SUM(G$2:I1146)-SUM(J$2:J1146))</f>
        <v/>
      </c>
      <c r="L1146" s="46" t="n"/>
      <c r="M1146">
        <f>IF(A1146="","",IF(A1146=A1145,M1145,N(M1145)+1))</f>
        <v/>
      </c>
      <c r="N1146">
        <f>IF(E1146="",99999,E1146)</f>
        <v/>
      </c>
      <c r="O1146">
        <f>IF(E1146="",0,IF(F1146="",E1146,F1146))</f>
        <v/>
      </c>
      <c r="P1146">
        <f>IF(E1146="",1,MAX(1,(YEAR(O1146)-YEAR(N1146))*12+MONTH(O1146)-MONTH(N1146)+1))</f>
        <v/>
      </c>
      <c r="Q1146">
        <f>IF(G1146="",0,G1146/P1146)</f>
        <v/>
      </c>
      <c r="R1146">
        <f>IF(H1146="",0,H1146/P1146)</f>
        <v/>
      </c>
    </row>
    <row r="1147">
      <c r="A1147" s="43" t="n"/>
      <c r="B1147" s="28" t="n"/>
      <c r="C1147" s="28" t="n"/>
      <c r="D1147" s="28" t="n"/>
      <c r="E1147" s="44" t="n"/>
      <c r="F1147" s="44" t="n"/>
      <c r="G1147" s="23" t="n"/>
      <c r="H1147" s="23" t="n"/>
      <c r="I1147" s="23" t="n"/>
      <c r="J1147" s="23" t="n"/>
      <c r="K1147" s="45">
        <f>IF(A1147="","",SUM(G$2:I1147)-SUM(J$2:J1147))</f>
        <v/>
      </c>
      <c r="L1147" s="46" t="n"/>
      <c r="M1147">
        <f>IF(A1147="","",IF(A1147=A1146,M1146,N(M1146)+1))</f>
        <v/>
      </c>
      <c r="N1147">
        <f>IF(E1147="",99999,E1147)</f>
        <v/>
      </c>
      <c r="O1147">
        <f>IF(E1147="",0,IF(F1147="",E1147,F1147))</f>
        <v/>
      </c>
      <c r="P1147">
        <f>IF(E1147="",1,MAX(1,(YEAR(O1147)-YEAR(N1147))*12+MONTH(O1147)-MONTH(N1147)+1))</f>
        <v/>
      </c>
      <c r="Q1147">
        <f>IF(G1147="",0,G1147/P1147)</f>
        <v/>
      </c>
      <c r="R1147">
        <f>IF(H1147="",0,H1147/P1147)</f>
        <v/>
      </c>
    </row>
    <row r="1148">
      <c r="A1148" s="43" t="n"/>
      <c r="B1148" s="28" t="n"/>
      <c r="C1148" s="28" t="n"/>
      <c r="D1148" s="28" t="n"/>
      <c r="E1148" s="44" t="n"/>
      <c r="F1148" s="44" t="n"/>
      <c r="G1148" s="23" t="n"/>
      <c r="H1148" s="23" t="n"/>
      <c r="I1148" s="23" t="n"/>
      <c r="J1148" s="23" t="n"/>
      <c r="K1148" s="45">
        <f>IF(A1148="","",SUM(G$2:I1148)-SUM(J$2:J1148))</f>
        <v/>
      </c>
      <c r="L1148" s="46" t="n"/>
      <c r="M1148">
        <f>IF(A1148="","",IF(A1148=A1147,M1147,N(M1147)+1))</f>
        <v/>
      </c>
      <c r="N1148">
        <f>IF(E1148="",99999,E1148)</f>
        <v/>
      </c>
      <c r="O1148">
        <f>IF(E1148="",0,IF(F1148="",E1148,F1148))</f>
        <v/>
      </c>
      <c r="P1148">
        <f>IF(E1148="",1,MAX(1,(YEAR(O1148)-YEAR(N1148))*12+MONTH(O1148)-MONTH(N1148)+1))</f>
        <v/>
      </c>
      <c r="Q1148">
        <f>IF(G1148="",0,G1148/P1148)</f>
        <v/>
      </c>
      <c r="R1148">
        <f>IF(H1148="",0,H1148/P1148)</f>
        <v/>
      </c>
    </row>
    <row r="1149">
      <c r="A1149" s="43" t="n"/>
      <c r="B1149" s="28" t="n"/>
      <c r="C1149" s="28" t="n"/>
      <c r="D1149" s="28" t="n"/>
      <c r="E1149" s="44" t="n"/>
      <c r="F1149" s="44" t="n"/>
      <c r="G1149" s="23" t="n"/>
      <c r="H1149" s="23" t="n"/>
      <c r="I1149" s="23" t="n"/>
      <c r="J1149" s="23" t="n"/>
      <c r="K1149" s="45">
        <f>IF(A1149="","",SUM(G$2:I1149)-SUM(J$2:J1149))</f>
        <v/>
      </c>
      <c r="L1149" s="46" t="n"/>
      <c r="M1149">
        <f>IF(A1149="","",IF(A1149=A1148,M1148,N(M1148)+1))</f>
        <v/>
      </c>
      <c r="N1149">
        <f>IF(E1149="",99999,E1149)</f>
        <v/>
      </c>
      <c r="O1149">
        <f>IF(E1149="",0,IF(F1149="",E1149,F1149))</f>
        <v/>
      </c>
      <c r="P1149">
        <f>IF(E1149="",1,MAX(1,(YEAR(O1149)-YEAR(N1149))*12+MONTH(O1149)-MONTH(N1149)+1))</f>
        <v/>
      </c>
      <c r="Q1149">
        <f>IF(G1149="",0,G1149/P1149)</f>
        <v/>
      </c>
      <c r="R1149">
        <f>IF(H1149="",0,H1149/P1149)</f>
        <v/>
      </c>
    </row>
    <row r="1150">
      <c r="A1150" s="43" t="n"/>
      <c r="B1150" s="28" t="n"/>
      <c r="C1150" s="28" t="n"/>
      <c r="D1150" s="28" t="n"/>
      <c r="E1150" s="44" t="n"/>
      <c r="F1150" s="44" t="n"/>
      <c r="G1150" s="23" t="n"/>
      <c r="H1150" s="23" t="n"/>
      <c r="I1150" s="23" t="n"/>
      <c r="J1150" s="23" t="n"/>
      <c r="K1150" s="45">
        <f>IF(A1150="","",SUM(G$2:I1150)-SUM(J$2:J1150))</f>
        <v/>
      </c>
      <c r="L1150" s="46" t="n"/>
      <c r="M1150">
        <f>IF(A1150="","",IF(A1150=A1149,M1149,N(M1149)+1))</f>
        <v/>
      </c>
      <c r="N1150">
        <f>IF(E1150="",99999,E1150)</f>
        <v/>
      </c>
      <c r="O1150">
        <f>IF(E1150="",0,IF(F1150="",E1150,F1150))</f>
        <v/>
      </c>
      <c r="P1150">
        <f>IF(E1150="",1,MAX(1,(YEAR(O1150)-YEAR(N1150))*12+MONTH(O1150)-MONTH(N1150)+1))</f>
        <v/>
      </c>
      <c r="Q1150">
        <f>IF(G1150="",0,G1150/P1150)</f>
        <v/>
      </c>
      <c r="R1150">
        <f>IF(H1150="",0,H1150/P1150)</f>
        <v/>
      </c>
    </row>
    <row r="1151">
      <c r="A1151" s="43" t="n"/>
      <c r="B1151" s="28" t="n"/>
      <c r="C1151" s="28" t="n"/>
      <c r="D1151" s="28" t="n"/>
      <c r="E1151" s="44" t="n"/>
      <c r="F1151" s="44" t="n"/>
      <c r="G1151" s="23" t="n"/>
      <c r="H1151" s="23" t="n"/>
      <c r="I1151" s="23" t="n"/>
      <c r="J1151" s="23" t="n"/>
      <c r="K1151" s="45">
        <f>IF(A1151="","",SUM(G$2:I1151)-SUM(J$2:J1151))</f>
        <v/>
      </c>
      <c r="L1151" s="46" t="n"/>
      <c r="M1151">
        <f>IF(A1151="","",IF(A1151=A1150,M1150,N(M1150)+1))</f>
        <v/>
      </c>
      <c r="N1151">
        <f>IF(E1151="",99999,E1151)</f>
        <v/>
      </c>
      <c r="O1151">
        <f>IF(E1151="",0,IF(F1151="",E1151,F1151))</f>
        <v/>
      </c>
      <c r="P1151">
        <f>IF(E1151="",1,MAX(1,(YEAR(O1151)-YEAR(N1151))*12+MONTH(O1151)-MONTH(N1151)+1))</f>
        <v/>
      </c>
      <c r="Q1151">
        <f>IF(G1151="",0,G1151/P1151)</f>
        <v/>
      </c>
      <c r="R1151">
        <f>IF(H1151="",0,H1151/P1151)</f>
        <v/>
      </c>
    </row>
    <row r="1152">
      <c r="A1152" s="43" t="n"/>
      <c r="B1152" s="28" t="n"/>
      <c r="C1152" s="28" t="n"/>
      <c r="D1152" s="28" t="n"/>
      <c r="E1152" s="44" t="n"/>
      <c r="F1152" s="44" t="n"/>
      <c r="G1152" s="23" t="n"/>
      <c r="H1152" s="23" t="n"/>
      <c r="I1152" s="23" t="n"/>
      <c r="J1152" s="23" t="n"/>
      <c r="K1152" s="45">
        <f>IF(A1152="","",SUM(G$2:I1152)-SUM(J$2:J1152))</f>
        <v/>
      </c>
      <c r="L1152" s="46" t="n"/>
      <c r="M1152">
        <f>IF(A1152="","",IF(A1152=A1151,M1151,N(M1151)+1))</f>
        <v/>
      </c>
      <c r="N1152">
        <f>IF(E1152="",99999,E1152)</f>
        <v/>
      </c>
      <c r="O1152">
        <f>IF(E1152="",0,IF(F1152="",E1152,F1152))</f>
        <v/>
      </c>
      <c r="P1152">
        <f>IF(E1152="",1,MAX(1,(YEAR(O1152)-YEAR(N1152))*12+MONTH(O1152)-MONTH(N1152)+1))</f>
        <v/>
      </c>
      <c r="Q1152">
        <f>IF(G1152="",0,G1152/P1152)</f>
        <v/>
      </c>
      <c r="R1152">
        <f>IF(H1152="",0,H1152/P1152)</f>
        <v/>
      </c>
    </row>
    <row r="1153">
      <c r="A1153" s="43" t="n"/>
      <c r="B1153" s="28" t="n"/>
      <c r="C1153" s="28" t="n"/>
      <c r="D1153" s="28" t="n"/>
      <c r="E1153" s="44" t="n"/>
      <c r="F1153" s="44" t="n"/>
      <c r="G1153" s="23" t="n"/>
      <c r="H1153" s="23" t="n"/>
      <c r="I1153" s="23" t="n"/>
      <c r="J1153" s="23" t="n"/>
      <c r="K1153" s="45">
        <f>IF(A1153="","",SUM(G$2:I1153)-SUM(J$2:J1153))</f>
        <v/>
      </c>
      <c r="L1153" s="46" t="n"/>
      <c r="M1153">
        <f>IF(A1153="","",IF(A1153=A1152,M1152,N(M1152)+1))</f>
        <v/>
      </c>
      <c r="N1153">
        <f>IF(E1153="",99999,E1153)</f>
        <v/>
      </c>
      <c r="O1153">
        <f>IF(E1153="",0,IF(F1153="",E1153,F1153))</f>
        <v/>
      </c>
      <c r="P1153">
        <f>IF(E1153="",1,MAX(1,(YEAR(O1153)-YEAR(N1153))*12+MONTH(O1153)-MONTH(N1153)+1))</f>
        <v/>
      </c>
      <c r="Q1153">
        <f>IF(G1153="",0,G1153/P1153)</f>
        <v/>
      </c>
      <c r="R1153">
        <f>IF(H1153="",0,H1153/P1153)</f>
        <v/>
      </c>
    </row>
    <row r="1154">
      <c r="A1154" s="43" t="n"/>
      <c r="B1154" s="28" t="n"/>
      <c r="C1154" s="28" t="n"/>
      <c r="D1154" s="28" t="n"/>
      <c r="E1154" s="44" t="n"/>
      <c r="F1154" s="44" t="n"/>
      <c r="G1154" s="23" t="n"/>
      <c r="H1154" s="23" t="n"/>
      <c r="I1154" s="23" t="n"/>
      <c r="J1154" s="23" t="n"/>
      <c r="K1154" s="45">
        <f>IF(A1154="","",SUM(G$2:I1154)-SUM(J$2:J1154))</f>
        <v/>
      </c>
      <c r="L1154" s="46" t="n"/>
      <c r="M1154">
        <f>IF(A1154="","",IF(A1154=A1153,M1153,N(M1153)+1))</f>
        <v/>
      </c>
      <c r="N1154">
        <f>IF(E1154="",99999,E1154)</f>
        <v/>
      </c>
      <c r="O1154">
        <f>IF(E1154="",0,IF(F1154="",E1154,F1154))</f>
        <v/>
      </c>
      <c r="P1154">
        <f>IF(E1154="",1,MAX(1,(YEAR(O1154)-YEAR(N1154))*12+MONTH(O1154)-MONTH(N1154)+1))</f>
        <v/>
      </c>
      <c r="Q1154">
        <f>IF(G1154="",0,G1154/P1154)</f>
        <v/>
      </c>
      <c r="R1154">
        <f>IF(H1154="",0,H1154/P1154)</f>
        <v/>
      </c>
    </row>
    <row r="1155">
      <c r="A1155" s="43" t="n"/>
      <c r="B1155" s="28" t="n"/>
      <c r="C1155" s="28" t="n"/>
      <c r="D1155" s="28" t="n"/>
      <c r="E1155" s="44" t="n"/>
      <c r="F1155" s="44" t="n"/>
      <c r="G1155" s="23" t="n"/>
      <c r="H1155" s="23" t="n"/>
      <c r="I1155" s="23" t="n"/>
      <c r="J1155" s="23" t="n"/>
      <c r="K1155" s="45">
        <f>IF(A1155="","",SUM(G$2:I1155)-SUM(J$2:J1155))</f>
        <v/>
      </c>
      <c r="L1155" s="46" t="n"/>
      <c r="M1155">
        <f>IF(A1155="","",IF(A1155=A1154,M1154,N(M1154)+1))</f>
        <v/>
      </c>
      <c r="N1155">
        <f>IF(E1155="",99999,E1155)</f>
        <v/>
      </c>
      <c r="O1155">
        <f>IF(E1155="",0,IF(F1155="",E1155,F1155))</f>
        <v/>
      </c>
      <c r="P1155">
        <f>IF(E1155="",1,MAX(1,(YEAR(O1155)-YEAR(N1155))*12+MONTH(O1155)-MONTH(N1155)+1))</f>
        <v/>
      </c>
      <c r="Q1155">
        <f>IF(G1155="",0,G1155/P1155)</f>
        <v/>
      </c>
      <c r="R1155">
        <f>IF(H1155="",0,H1155/P1155)</f>
        <v/>
      </c>
    </row>
    <row r="1156">
      <c r="A1156" s="43" t="n"/>
      <c r="B1156" s="28" t="n"/>
      <c r="C1156" s="28" t="n"/>
      <c r="D1156" s="28" t="n"/>
      <c r="E1156" s="44" t="n"/>
      <c r="F1156" s="44" t="n"/>
      <c r="G1156" s="23" t="n"/>
      <c r="H1156" s="23" t="n"/>
      <c r="I1156" s="23" t="n"/>
      <c r="J1156" s="23" t="n"/>
      <c r="K1156" s="45">
        <f>IF(A1156="","",SUM(G$2:I1156)-SUM(J$2:J1156))</f>
        <v/>
      </c>
      <c r="L1156" s="46" t="n"/>
      <c r="M1156">
        <f>IF(A1156="","",IF(A1156=A1155,M1155,N(M1155)+1))</f>
        <v/>
      </c>
      <c r="N1156">
        <f>IF(E1156="",99999,E1156)</f>
        <v/>
      </c>
      <c r="O1156">
        <f>IF(E1156="",0,IF(F1156="",E1156,F1156))</f>
        <v/>
      </c>
      <c r="P1156">
        <f>IF(E1156="",1,MAX(1,(YEAR(O1156)-YEAR(N1156))*12+MONTH(O1156)-MONTH(N1156)+1))</f>
        <v/>
      </c>
      <c r="Q1156">
        <f>IF(G1156="",0,G1156/P1156)</f>
        <v/>
      </c>
      <c r="R1156">
        <f>IF(H1156="",0,H1156/P1156)</f>
        <v/>
      </c>
    </row>
    <row r="1157">
      <c r="A1157" s="43" t="n"/>
      <c r="B1157" s="28" t="n"/>
      <c r="C1157" s="28" t="n"/>
      <c r="D1157" s="28" t="n"/>
      <c r="E1157" s="44" t="n"/>
      <c r="F1157" s="44" t="n"/>
      <c r="G1157" s="23" t="n"/>
      <c r="H1157" s="23" t="n"/>
      <c r="I1157" s="23" t="n"/>
      <c r="J1157" s="23" t="n"/>
      <c r="K1157" s="45">
        <f>IF(A1157="","",SUM(G$2:I1157)-SUM(J$2:J1157))</f>
        <v/>
      </c>
      <c r="L1157" s="46" t="n"/>
      <c r="M1157">
        <f>IF(A1157="","",IF(A1157=A1156,M1156,N(M1156)+1))</f>
        <v/>
      </c>
      <c r="N1157">
        <f>IF(E1157="",99999,E1157)</f>
        <v/>
      </c>
      <c r="O1157">
        <f>IF(E1157="",0,IF(F1157="",E1157,F1157))</f>
        <v/>
      </c>
      <c r="P1157">
        <f>IF(E1157="",1,MAX(1,(YEAR(O1157)-YEAR(N1157))*12+MONTH(O1157)-MONTH(N1157)+1))</f>
        <v/>
      </c>
      <c r="Q1157">
        <f>IF(G1157="",0,G1157/P1157)</f>
        <v/>
      </c>
      <c r="R1157">
        <f>IF(H1157="",0,H1157/P1157)</f>
        <v/>
      </c>
    </row>
    <row r="1158">
      <c r="A1158" s="43" t="n"/>
      <c r="B1158" s="28" t="n"/>
      <c r="C1158" s="28" t="n"/>
      <c r="D1158" s="28" t="n"/>
      <c r="E1158" s="44" t="n"/>
      <c r="F1158" s="44" t="n"/>
      <c r="G1158" s="23" t="n"/>
      <c r="H1158" s="23" t="n"/>
      <c r="I1158" s="23" t="n"/>
      <c r="J1158" s="23" t="n"/>
      <c r="K1158" s="45">
        <f>IF(A1158="","",SUM(G$2:I1158)-SUM(J$2:J1158))</f>
        <v/>
      </c>
      <c r="L1158" s="46" t="n"/>
      <c r="M1158">
        <f>IF(A1158="","",IF(A1158=A1157,M1157,N(M1157)+1))</f>
        <v/>
      </c>
      <c r="N1158">
        <f>IF(E1158="",99999,E1158)</f>
        <v/>
      </c>
      <c r="O1158">
        <f>IF(E1158="",0,IF(F1158="",E1158,F1158))</f>
        <v/>
      </c>
      <c r="P1158">
        <f>IF(E1158="",1,MAX(1,(YEAR(O1158)-YEAR(N1158))*12+MONTH(O1158)-MONTH(N1158)+1))</f>
        <v/>
      </c>
      <c r="Q1158">
        <f>IF(G1158="",0,G1158/P1158)</f>
        <v/>
      </c>
      <c r="R1158">
        <f>IF(H1158="",0,H1158/P1158)</f>
        <v/>
      </c>
    </row>
    <row r="1159">
      <c r="A1159" s="43" t="n"/>
      <c r="B1159" s="28" t="n"/>
      <c r="C1159" s="28" t="n"/>
      <c r="D1159" s="28" t="n"/>
      <c r="E1159" s="44" t="n"/>
      <c r="F1159" s="44" t="n"/>
      <c r="G1159" s="23" t="n"/>
      <c r="H1159" s="23" t="n"/>
      <c r="I1159" s="23" t="n"/>
      <c r="J1159" s="23" t="n"/>
      <c r="K1159" s="45">
        <f>IF(A1159="","",SUM(G$2:I1159)-SUM(J$2:J1159))</f>
        <v/>
      </c>
      <c r="L1159" s="46" t="n"/>
      <c r="M1159">
        <f>IF(A1159="","",IF(A1159=A1158,M1158,N(M1158)+1))</f>
        <v/>
      </c>
      <c r="N1159">
        <f>IF(E1159="",99999,E1159)</f>
        <v/>
      </c>
      <c r="O1159">
        <f>IF(E1159="",0,IF(F1159="",E1159,F1159))</f>
        <v/>
      </c>
      <c r="P1159">
        <f>IF(E1159="",1,MAX(1,(YEAR(O1159)-YEAR(N1159))*12+MONTH(O1159)-MONTH(N1159)+1))</f>
        <v/>
      </c>
      <c r="Q1159">
        <f>IF(G1159="",0,G1159/P1159)</f>
        <v/>
      </c>
      <c r="R1159">
        <f>IF(H1159="",0,H1159/P1159)</f>
        <v/>
      </c>
    </row>
    <row r="1160">
      <c r="A1160" s="43" t="n"/>
      <c r="B1160" s="28" t="n"/>
      <c r="C1160" s="28" t="n"/>
      <c r="D1160" s="28" t="n"/>
      <c r="E1160" s="44" t="n"/>
      <c r="F1160" s="44" t="n"/>
      <c r="G1160" s="23" t="n"/>
      <c r="H1160" s="23" t="n"/>
      <c r="I1160" s="23" t="n"/>
      <c r="J1160" s="23" t="n"/>
      <c r="K1160" s="45">
        <f>IF(A1160="","",SUM(G$2:I1160)-SUM(J$2:J1160))</f>
        <v/>
      </c>
      <c r="L1160" s="46" t="n"/>
      <c r="M1160">
        <f>IF(A1160="","",IF(A1160=A1159,M1159,N(M1159)+1))</f>
        <v/>
      </c>
      <c r="N1160">
        <f>IF(E1160="",99999,E1160)</f>
        <v/>
      </c>
      <c r="O1160">
        <f>IF(E1160="",0,IF(F1160="",E1160,F1160))</f>
        <v/>
      </c>
      <c r="P1160">
        <f>IF(E1160="",1,MAX(1,(YEAR(O1160)-YEAR(N1160))*12+MONTH(O1160)-MONTH(N1160)+1))</f>
        <v/>
      </c>
      <c r="Q1160">
        <f>IF(G1160="",0,G1160/P1160)</f>
        <v/>
      </c>
      <c r="R1160">
        <f>IF(H1160="",0,H1160/P1160)</f>
        <v/>
      </c>
    </row>
    <row r="1161">
      <c r="A1161" s="43" t="n"/>
      <c r="B1161" s="28" t="n"/>
      <c r="C1161" s="28" t="n"/>
      <c r="D1161" s="28" t="n"/>
      <c r="E1161" s="44" t="n"/>
      <c r="F1161" s="44" t="n"/>
      <c r="G1161" s="23" t="n"/>
      <c r="H1161" s="23" t="n"/>
      <c r="I1161" s="23" t="n"/>
      <c r="J1161" s="23" t="n"/>
      <c r="K1161" s="45">
        <f>IF(A1161="","",SUM(G$2:I1161)-SUM(J$2:J1161))</f>
        <v/>
      </c>
      <c r="L1161" s="46" t="n"/>
      <c r="M1161">
        <f>IF(A1161="","",IF(A1161=A1160,M1160,N(M1160)+1))</f>
        <v/>
      </c>
      <c r="N1161">
        <f>IF(E1161="",99999,E1161)</f>
        <v/>
      </c>
      <c r="O1161">
        <f>IF(E1161="",0,IF(F1161="",E1161,F1161))</f>
        <v/>
      </c>
      <c r="P1161">
        <f>IF(E1161="",1,MAX(1,(YEAR(O1161)-YEAR(N1161))*12+MONTH(O1161)-MONTH(N1161)+1))</f>
        <v/>
      </c>
      <c r="Q1161">
        <f>IF(G1161="",0,G1161/P1161)</f>
        <v/>
      </c>
      <c r="R1161">
        <f>IF(H1161="",0,H1161/P1161)</f>
        <v/>
      </c>
    </row>
    <row r="1162">
      <c r="A1162" s="43" t="n"/>
      <c r="B1162" s="28" t="n"/>
      <c r="C1162" s="28" t="n"/>
      <c r="D1162" s="28" t="n"/>
      <c r="E1162" s="44" t="n"/>
      <c r="F1162" s="44" t="n"/>
      <c r="G1162" s="23" t="n"/>
      <c r="H1162" s="23" t="n"/>
      <c r="I1162" s="23" t="n"/>
      <c r="J1162" s="23" t="n"/>
      <c r="K1162" s="45">
        <f>IF(A1162="","",SUM(G$2:I1162)-SUM(J$2:J1162))</f>
        <v/>
      </c>
      <c r="L1162" s="46" t="n"/>
      <c r="M1162">
        <f>IF(A1162="","",IF(A1162=A1161,M1161,N(M1161)+1))</f>
        <v/>
      </c>
      <c r="N1162">
        <f>IF(E1162="",99999,E1162)</f>
        <v/>
      </c>
      <c r="O1162">
        <f>IF(E1162="",0,IF(F1162="",E1162,F1162))</f>
        <v/>
      </c>
      <c r="P1162">
        <f>IF(E1162="",1,MAX(1,(YEAR(O1162)-YEAR(N1162))*12+MONTH(O1162)-MONTH(N1162)+1))</f>
        <v/>
      </c>
      <c r="Q1162">
        <f>IF(G1162="",0,G1162/P1162)</f>
        <v/>
      </c>
      <c r="R1162">
        <f>IF(H1162="",0,H1162/P1162)</f>
        <v/>
      </c>
    </row>
    <row r="1163">
      <c r="A1163" s="43" t="n"/>
      <c r="B1163" s="28" t="n"/>
      <c r="C1163" s="28" t="n"/>
      <c r="D1163" s="28" t="n"/>
      <c r="E1163" s="44" t="n"/>
      <c r="F1163" s="44" t="n"/>
      <c r="G1163" s="23" t="n"/>
      <c r="H1163" s="23" t="n"/>
      <c r="I1163" s="23" t="n"/>
      <c r="J1163" s="23" t="n"/>
      <c r="K1163" s="45">
        <f>IF(A1163="","",SUM(G$2:I1163)-SUM(J$2:J1163))</f>
        <v/>
      </c>
      <c r="L1163" s="46" t="n"/>
      <c r="M1163">
        <f>IF(A1163="","",IF(A1163=A1162,M1162,N(M1162)+1))</f>
        <v/>
      </c>
      <c r="N1163">
        <f>IF(E1163="",99999,E1163)</f>
        <v/>
      </c>
      <c r="O1163">
        <f>IF(E1163="",0,IF(F1163="",E1163,F1163))</f>
        <v/>
      </c>
      <c r="P1163">
        <f>IF(E1163="",1,MAX(1,(YEAR(O1163)-YEAR(N1163))*12+MONTH(O1163)-MONTH(N1163)+1))</f>
        <v/>
      </c>
      <c r="Q1163">
        <f>IF(G1163="",0,G1163/P1163)</f>
        <v/>
      </c>
      <c r="R1163">
        <f>IF(H1163="",0,H1163/P1163)</f>
        <v/>
      </c>
    </row>
    <row r="1164">
      <c r="A1164" s="43" t="n"/>
      <c r="B1164" s="28" t="n"/>
      <c r="C1164" s="28" t="n"/>
      <c r="D1164" s="28" t="n"/>
      <c r="E1164" s="44" t="n"/>
      <c r="F1164" s="44" t="n"/>
      <c r="G1164" s="23" t="n"/>
      <c r="H1164" s="23" t="n"/>
      <c r="I1164" s="23" t="n"/>
      <c r="J1164" s="23" t="n"/>
      <c r="K1164" s="45">
        <f>IF(A1164="","",SUM(G$2:I1164)-SUM(J$2:J1164))</f>
        <v/>
      </c>
      <c r="L1164" s="46" t="n"/>
      <c r="M1164">
        <f>IF(A1164="","",IF(A1164=A1163,M1163,N(M1163)+1))</f>
        <v/>
      </c>
      <c r="N1164">
        <f>IF(E1164="",99999,E1164)</f>
        <v/>
      </c>
      <c r="O1164">
        <f>IF(E1164="",0,IF(F1164="",E1164,F1164))</f>
        <v/>
      </c>
      <c r="P1164">
        <f>IF(E1164="",1,MAX(1,(YEAR(O1164)-YEAR(N1164))*12+MONTH(O1164)-MONTH(N1164)+1))</f>
        <v/>
      </c>
      <c r="Q1164">
        <f>IF(G1164="",0,G1164/P1164)</f>
        <v/>
      </c>
      <c r="R1164">
        <f>IF(H1164="",0,H1164/P1164)</f>
        <v/>
      </c>
    </row>
    <row r="1165">
      <c r="A1165" s="43" t="n"/>
      <c r="B1165" s="28" t="n"/>
      <c r="C1165" s="28" t="n"/>
      <c r="D1165" s="28" t="n"/>
      <c r="E1165" s="44" t="n"/>
      <c r="F1165" s="44" t="n"/>
      <c r="G1165" s="23" t="n"/>
      <c r="H1165" s="23" t="n"/>
      <c r="I1165" s="23" t="n"/>
      <c r="J1165" s="23" t="n"/>
      <c r="K1165" s="45">
        <f>IF(A1165="","",SUM(G$2:I1165)-SUM(J$2:J1165))</f>
        <v/>
      </c>
      <c r="L1165" s="46" t="n"/>
      <c r="M1165">
        <f>IF(A1165="","",IF(A1165=A1164,M1164,N(M1164)+1))</f>
        <v/>
      </c>
      <c r="N1165">
        <f>IF(E1165="",99999,E1165)</f>
        <v/>
      </c>
      <c r="O1165">
        <f>IF(E1165="",0,IF(F1165="",E1165,F1165))</f>
        <v/>
      </c>
      <c r="P1165">
        <f>IF(E1165="",1,MAX(1,(YEAR(O1165)-YEAR(N1165))*12+MONTH(O1165)-MONTH(N1165)+1))</f>
        <v/>
      </c>
      <c r="Q1165">
        <f>IF(G1165="",0,G1165/P1165)</f>
        <v/>
      </c>
      <c r="R1165">
        <f>IF(H1165="",0,H1165/P1165)</f>
        <v/>
      </c>
    </row>
    <row r="1166">
      <c r="A1166" s="43" t="n"/>
      <c r="B1166" s="28" t="n"/>
      <c r="C1166" s="28" t="n"/>
      <c r="D1166" s="28" t="n"/>
      <c r="E1166" s="44" t="n"/>
      <c r="F1166" s="44" t="n"/>
      <c r="G1166" s="23" t="n"/>
      <c r="H1166" s="23" t="n"/>
      <c r="I1166" s="23" t="n"/>
      <c r="J1166" s="23" t="n"/>
      <c r="K1166" s="45">
        <f>IF(A1166="","",SUM(G$2:I1166)-SUM(J$2:J1166))</f>
        <v/>
      </c>
      <c r="L1166" s="46" t="n"/>
      <c r="M1166">
        <f>IF(A1166="","",IF(A1166=A1165,M1165,N(M1165)+1))</f>
        <v/>
      </c>
      <c r="N1166">
        <f>IF(E1166="",99999,E1166)</f>
        <v/>
      </c>
      <c r="O1166">
        <f>IF(E1166="",0,IF(F1166="",E1166,F1166))</f>
        <v/>
      </c>
      <c r="P1166">
        <f>IF(E1166="",1,MAX(1,(YEAR(O1166)-YEAR(N1166))*12+MONTH(O1166)-MONTH(N1166)+1))</f>
        <v/>
      </c>
      <c r="Q1166">
        <f>IF(G1166="",0,G1166/P1166)</f>
        <v/>
      </c>
      <c r="R1166">
        <f>IF(H1166="",0,H1166/P1166)</f>
        <v/>
      </c>
    </row>
    <row r="1167">
      <c r="A1167" s="43" t="n"/>
      <c r="B1167" s="28" t="n"/>
      <c r="C1167" s="28" t="n"/>
      <c r="D1167" s="28" t="n"/>
      <c r="E1167" s="44" t="n"/>
      <c r="F1167" s="44" t="n"/>
      <c r="G1167" s="23" t="n"/>
      <c r="H1167" s="23" t="n"/>
      <c r="I1167" s="23" t="n"/>
      <c r="J1167" s="23" t="n"/>
      <c r="K1167" s="45">
        <f>IF(A1167="","",SUM(G$2:I1167)-SUM(J$2:J1167))</f>
        <v/>
      </c>
      <c r="L1167" s="46" t="n"/>
      <c r="M1167">
        <f>IF(A1167="","",IF(A1167=A1166,M1166,N(M1166)+1))</f>
        <v/>
      </c>
      <c r="N1167">
        <f>IF(E1167="",99999,E1167)</f>
        <v/>
      </c>
      <c r="O1167">
        <f>IF(E1167="",0,IF(F1167="",E1167,F1167))</f>
        <v/>
      </c>
      <c r="P1167">
        <f>IF(E1167="",1,MAX(1,(YEAR(O1167)-YEAR(N1167))*12+MONTH(O1167)-MONTH(N1167)+1))</f>
        <v/>
      </c>
      <c r="Q1167">
        <f>IF(G1167="",0,G1167/P1167)</f>
        <v/>
      </c>
      <c r="R1167">
        <f>IF(H1167="",0,H1167/P1167)</f>
        <v/>
      </c>
    </row>
    <row r="1168">
      <c r="A1168" s="43" t="n"/>
      <c r="B1168" s="28" t="n"/>
      <c r="C1168" s="28" t="n"/>
      <c r="D1168" s="28" t="n"/>
      <c r="E1168" s="44" t="n"/>
      <c r="F1168" s="44" t="n"/>
      <c r="G1168" s="23" t="n"/>
      <c r="H1168" s="23" t="n"/>
      <c r="I1168" s="23" t="n"/>
      <c r="J1168" s="23" t="n"/>
      <c r="K1168" s="45">
        <f>IF(A1168="","",SUM(G$2:I1168)-SUM(J$2:J1168))</f>
        <v/>
      </c>
      <c r="L1168" s="46" t="n"/>
      <c r="M1168">
        <f>IF(A1168="","",IF(A1168=A1167,M1167,N(M1167)+1))</f>
        <v/>
      </c>
      <c r="N1168">
        <f>IF(E1168="",99999,E1168)</f>
        <v/>
      </c>
      <c r="O1168">
        <f>IF(E1168="",0,IF(F1168="",E1168,F1168))</f>
        <v/>
      </c>
      <c r="P1168">
        <f>IF(E1168="",1,MAX(1,(YEAR(O1168)-YEAR(N1168))*12+MONTH(O1168)-MONTH(N1168)+1))</f>
        <v/>
      </c>
      <c r="Q1168">
        <f>IF(G1168="",0,G1168/P1168)</f>
        <v/>
      </c>
      <c r="R1168">
        <f>IF(H1168="",0,H1168/P1168)</f>
        <v/>
      </c>
    </row>
    <row r="1169">
      <c r="A1169" s="43" t="n"/>
      <c r="B1169" s="28" t="n"/>
      <c r="C1169" s="28" t="n"/>
      <c r="D1169" s="28" t="n"/>
      <c r="E1169" s="44" t="n"/>
      <c r="F1169" s="44" t="n"/>
      <c r="G1169" s="23" t="n"/>
      <c r="H1169" s="23" t="n"/>
      <c r="I1169" s="23" t="n"/>
      <c r="J1169" s="23" t="n"/>
      <c r="K1169" s="45">
        <f>IF(A1169="","",SUM(G$2:I1169)-SUM(J$2:J1169))</f>
        <v/>
      </c>
      <c r="L1169" s="46" t="n"/>
      <c r="M1169">
        <f>IF(A1169="","",IF(A1169=A1168,M1168,N(M1168)+1))</f>
        <v/>
      </c>
      <c r="N1169">
        <f>IF(E1169="",99999,E1169)</f>
        <v/>
      </c>
      <c r="O1169">
        <f>IF(E1169="",0,IF(F1169="",E1169,F1169))</f>
        <v/>
      </c>
      <c r="P1169">
        <f>IF(E1169="",1,MAX(1,(YEAR(O1169)-YEAR(N1169))*12+MONTH(O1169)-MONTH(N1169)+1))</f>
        <v/>
      </c>
      <c r="Q1169">
        <f>IF(G1169="",0,G1169/P1169)</f>
        <v/>
      </c>
      <c r="R1169">
        <f>IF(H1169="",0,H1169/P1169)</f>
        <v/>
      </c>
    </row>
    <row r="1170">
      <c r="A1170" s="43" t="n"/>
      <c r="B1170" s="28" t="n"/>
      <c r="C1170" s="28" t="n"/>
      <c r="D1170" s="28" t="n"/>
      <c r="E1170" s="44" t="n"/>
      <c r="F1170" s="44" t="n"/>
      <c r="G1170" s="23" t="n"/>
      <c r="H1170" s="23" t="n"/>
      <c r="I1170" s="23" t="n"/>
      <c r="J1170" s="23" t="n"/>
      <c r="K1170" s="45">
        <f>IF(A1170="","",SUM(G$2:I1170)-SUM(J$2:J1170))</f>
        <v/>
      </c>
      <c r="L1170" s="46" t="n"/>
      <c r="M1170">
        <f>IF(A1170="","",IF(A1170=A1169,M1169,N(M1169)+1))</f>
        <v/>
      </c>
      <c r="N1170">
        <f>IF(E1170="",99999,E1170)</f>
        <v/>
      </c>
      <c r="O1170">
        <f>IF(E1170="",0,IF(F1170="",E1170,F1170))</f>
        <v/>
      </c>
      <c r="P1170">
        <f>IF(E1170="",1,MAX(1,(YEAR(O1170)-YEAR(N1170))*12+MONTH(O1170)-MONTH(N1170)+1))</f>
        <v/>
      </c>
      <c r="Q1170">
        <f>IF(G1170="",0,G1170/P1170)</f>
        <v/>
      </c>
      <c r="R1170">
        <f>IF(H1170="",0,H1170/P1170)</f>
        <v/>
      </c>
    </row>
    <row r="1171">
      <c r="A1171" s="43" t="n"/>
      <c r="B1171" s="28" t="n"/>
      <c r="C1171" s="28" t="n"/>
      <c r="D1171" s="28" t="n"/>
      <c r="E1171" s="44" t="n"/>
      <c r="F1171" s="44" t="n"/>
      <c r="G1171" s="23" t="n"/>
      <c r="H1171" s="23" t="n"/>
      <c r="I1171" s="23" t="n"/>
      <c r="J1171" s="23" t="n"/>
      <c r="K1171" s="45">
        <f>IF(A1171="","",SUM(G$2:I1171)-SUM(J$2:J1171))</f>
        <v/>
      </c>
      <c r="L1171" s="46" t="n"/>
      <c r="M1171">
        <f>IF(A1171="","",IF(A1171=A1170,M1170,N(M1170)+1))</f>
        <v/>
      </c>
      <c r="N1171">
        <f>IF(E1171="",99999,E1171)</f>
        <v/>
      </c>
      <c r="O1171">
        <f>IF(E1171="",0,IF(F1171="",E1171,F1171))</f>
        <v/>
      </c>
      <c r="P1171">
        <f>IF(E1171="",1,MAX(1,(YEAR(O1171)-YEAR(N1171))*12+MONTH(O1171)-MONTH(N1171)+1))</f>
        <v/>
      </c>
      <c r="Q1171">
        <f>IF(G1171="",0,G1171/P1171)</f>
        <v/>
      </c>
      <c r="R1171">
        <f>IF(H1171="",0,H1171/P1171)</f>
        <v/>
      </c>
    </row>
    <row r="1172">
      <c r="A1172" s="43" t="n"/>
      <c r="B1172" s="28" t="n"/>
      <c r="C1172" s="28" t="n"/>
      <c r="D1172" s="28" t="n"/>
      <c r="E1172" s="44" t="n"/>
      <c r="F1172" s="44" t="n"/>
      <c r="G1172" s="23" t="n"/>
      <c r="H1172" s="23" t="n"/>
      <c r="I1172" s="23" t="n"/>
      <c r="J1172" s="23" t="n"/>
      <c r="K1172" s="45">
        <f>IF(A1172="","",SUM(G$2:I1172)-SUM(J$2:J1172))</f>
        <v/>
      </c>
      <c r="L1172" s="46" t="n"/>
      <c r="M1172">
        <f>IF(A1172="","",IF(A1172=A1171,M1171,N(M1171)+1))</f>
        <v/>
      </c>
      <c r="N1172">
        <f>IF(E1172="",99999,E1172)</f>
        <v/>
      </c>
      <c r="O1172">
        <f>IF(E1172="",0,IF(F1172="",E1172,F1172))</f>
        <v/>
      </c>
      <c r="P1172">
        <f>IF(E1172="",1,MAX(1,(YEAR(O1172)-YEAR(N1172))*12+MONTH(O1172)-MONTH(N1172)+1))</f>
        <v/>
      </c>
      <c r="Q1172">
        <f>IF(G1172="",0,G1172/P1172)</f>
        <v/>
      </c>
      <c r="R1172">
        <f>IF(H1172="",0,H1172/P1172)</f>
        <v/>
      </c>
    </row>
    <row r="1173">
      <c r="A1173" s="43" t="n"/>
      <c r="B1173" s="28" t="n"/>
      <c r="C1173" s="28" t="n"/>
      <c r="D1173" s="28" t="n"/>
      <c r="E1173" s="44" t="n"/>
      <c r="F1173" s="44" t="n"/>
      <c r="G1173" s="23" t="n"/>
      <c r="H1173" s="23" t="n"/>
      <c r="I1173" s="23" t="n"/>
      <c r="J1173" s="23" t="n"/>
      <c r="K1173" s="45">
        <f>IF(A1173="","",SUM(G$2:I1173)-SUM(J$2:J1173))</f>
        <v/>
      </c>
      <c r="L1173" s="46" t="n"/>
      <c r="M1173">
        <f>IF(A1173="","",IF(A1173=A1172,M1172,N(M1172)+1))</f>
        <v/>
      </c>
      <c r="N1173">
        <f>IF(E1173="",99999,E1173)</f>
        <v/>
      </c>
      <c r="O1173">
        <f>IF(E1173="",0,IF(F1173="",E1173,F1173))</f>
        <v/>
      </c>
      <c r="P1173">
        <f>IF(E1173="",1,MAX(1,(YEAR(O1173)-YEAR(N1173))*12+MONTH(O1173)-MONTH(N1173)+1))</f>
        <v/>
      </c>
      <c r="Q1173">
        <f>IF(G1173="",0,G1173/P1173)</f>
        <v/>
      </c>
      <c r="R1173">
        <f>IF(H1173="",0,H1173/P1173)</f>
        <v/>
      </c>
    </row>
    <row r="1174">
      <c r="A1174" s="43" t="n"/>
      <c r="B1174" s="28" t="n"/>
      <c r="C1174" s="28" t="n"/>
      <c r="D1174" s="28" t="n"/>
      <c r="E1174" s="44" t="n"/>
      <c r="F1174" s="44" t="n"/>
      <c r="G1174" s="23" t="n"/>
      <c r="H1174" s="23" t="n"/>
      <c r="I1174" s="23" t="n"/>
      <c r="J1174" s="23" t="n"/>
      <c r="K1174" s="45">
        <f>IF(A1174="","",SUM(G$2:I1174)-SUM(J$2:J1174))</f>
        <v/>
      </c>
      <c r="L1174" s="46" t="n"/>
      <c r="M1174">
        <f>IF(A1174="","",IF(A1174=A1173,M1173,N(M1173)+1))</f>
        <v/>
      </c>
      <c r="N1174">
        <f>IF(E1174="",99999,E1174)</f>
        <v/>
      </c>
      <c r="O1174">
        <f>IF(E1174="",0,IF(F1174="",E1174,F1174))</f>
        <v/>
      </c>
      <c r="P1174">
        <f>IF(E1174="",1,MAX(1,(YEAR(O1174)-YEAR(N1174))*12+MONTH(O1174)-MONTH(N1174)+1))</f>
        <v/>
      </c>
      <c r="Q1174">
        <f>IF(G1174="",0,G1174/P1174)</f>
        <v/>
      </c>
      <c r="R1174">
        <f>IF(H1174="",0,H1174/P1174)</f>
        <v/>
      </c>
    </row>
    <row r="1175">
      <c r="A1175" s="43" t="n"/>
      <c r="B1175" s="28" t="n"/>
      <c r="C1175" s="28" t="n"/>
      <c r="D1175" s="28" t="n"/>
      <c r="E1175" s="44" t="n"/>
      <c r="F1175" s="44" t="n"/>
      <c r="G1175" s="23" t="n"/>
      <c r="H1175" s="23" t="n"/>
      <c r="I1175" s="23" t="n"/>
      <c r="J1175" s="23" t="n"/>
      <c r="K1175" s="45">
        <f>IF(A1175="","",SUM(G$2:I1175)-SUM(J$2:J1175))</f>
        <v/>
      </c>
      <c r="L1175" s="46" t="n"/>
      <c r="M1175">
        <f>IF(A1175="","",IF(A1175=A1174,M1174,N(M1174)+1))</f>
        <v/>
      </c>
      <c r="N1175">
        <f>IF(E1175="",99999,E1175)</f>
        <v/>
      </c>
      <c r="O1175">
        <f>IF(E1175="",0,IF(F1175="",E1175,F1175))</f>
        <v/>
      </c>
      <c r="P1175">
        <f>IF(E1175="",1,MAX(1,(YEAR(O1175)-YEAR(N1175))*12+MONTH(O1175)-MONTH(N1175)+1))</f>
        <v/>
      </c>
      <c r="Q1175">
        <f>IF(G1175="",0,G1175/P1175)</f>
        <v/>
      </c>
      <c r="R1175">
        <f>IF(H1175="",0,H1175/P1175)</f>
        <v/>
      </c>
    </row>
    <row r="1176">
      <c r="A1176" s="43" t="n"/>
      <c r="B1176" s="28" t="n"/>
      <c r="C1176" s="28" t="n"/>
      <c r="D1176" s="28" t="n"/>
      <c r="E1176" s="44" t="n"/>
      <c r="F1176" s="44" t="n"/>
      <c r="G1176" s="23" t="n"/>
      <c r="H1176" s="23" t="n"/>
      <c r="I1176" s="23" t="n"/>
      <c r="J1176" s="23" t="n"/>
      <c r="K1176" s="45">
        <f>IF(A1176="","",SUM(G$2:I1176)-SUM(J$2:J1176))</f>
        <v/>
      </c>
      <c r="L1176" s="46" t="n"/>
      <c r="M1176">
        <f>IF(A1176="","",IF(A1176=A1175,M1175,N(M1175)+1))</f>
        <v/>
      </c>
      <c r="N1176">
        <f>IF(E1176="",99999,E1176)</f>
        <v/>
      </c>
      <c r="O1176">
        <f>IF(E1176="",0,IF(F1176="",E1176,F1176))</f>
        <v/>
      </c>
      <c r="P1176">
        <f>IF(E1176="",1,MAX(1,(YEAR(O1176)-YEAR(N1176))*12+MONTH(O1176)-MONTH(N1176)+1))</f>
        <v/>
      </c>
      <c r="Q1176">
        <f>IF(G1176="",0,G1176/P1176)</f>
        <v/>
      </c>
      <c r="R1176">
        <f>IF(H1176="",0,H1176/P1176)</f>
        <v/>
      </c>
    </row>
    <row r="1177">
      <c r="A1177" s="43" t="n"/>
      <c r="B1177" s="28" t="n"/>
      <c r="C1177" s="28" t="n"/>
      <c r="D1177" s="28" t="n"/>
      <c r="E1177" s="44" t="n"/>
      <c r="F1177" s="44" t="n"/>
      <c r="G1177" s="23" t="n"/>
      <c r="H1177" s="23" t="n"/>
      <c r="I1177" s="23" t="n"/>
      <c r="J1177" s="23" t="n"/>
      <c r="K1177" s="45">
        <f>IF(A1177="","",SUM(G$2:I1177)-SUM(J$2:J1177))</f>
        <v/>
      </c>
      <c r="L1177" s="46" t="n"/>
      <c r="M1177">
        <f>IF(A1177="","",IF(A1177=A1176,M1176,N(M1176)+1))</f>
        <v/>
      </c>
      <c r="N1177">
        <f>IF(E1177="",99999,E1177)</f>
        <v/>
      </c>
      <c r="O1177">
        <f>IF(E1177="",0,IF(F1177="",E1177,F1177))</f>
        <v/>
      </c>
      <c r="P1177">
        <f>IF(E1177="",1,MAX(1,(YEAR(O1177)-YEAR(N1177))*12+MONTH(O1177)-MONTH(N1177)+1))</f>
        <v/>
      </c>
      <c r="Q1177">
        <f>IF(G1177="",0,G1177/P1177)</f>
        <v/>
      </c>
      <c r="R1177">
        <f>IF(H1177="",0,H1177/P1177)</f>
        <v/>
      </c>
    </row>
    <row r="1178">
      <c r="A1178" s="43" t="n"/>
      <c r="B1178" s="28" t="n"/>
      <c r="C1178" s="28" t="n"/>
      <c r="D1178" s="28" t="n"/>
      <c r="E1178" s="44" t="n"/>
      <c r="F1178" s="44" t="n"/>
      <c r="G1178" s="23" t="n"/>
      <c r="H1178" s="23" t="n"/>
      <c r="I1178" s="23" t="n"/>
      <c r="J1178" s="23" t="n"/>
      <c r="K1178" s="45">
        <f>IF(A1178="","",SUM(G$2:I1178)-SUM(J$2:J1178))</f>
        <v/>
      </c>
      <c r="L1178" s="46" t="n"/>
      <c r="M1178">
        <f>IF(A1178="","",IF(A1178=A1177,M1177,N(M1177)+1))</f>
        <v/>
      </c>
      <c r="N1178">
        <f>IF(E1178="",99999,E1178)</f>
        <v/>
      </c>
      <c r="O1178">
        <f>IF(E1178="",0,IF(F1178="",E1178,F1178))</f>
        <v/>
      </c>
      <c r="P1178">
        <f>IF(E1178="",1,MAX(1,(YEAR(O1178)-YEAR(N1178))*12+MONTH(O1178)-MONTH(N1178)+1))</f>
        <v/>
      </c>
      <c r="Q1178">
        <f>IF(G1178="",0,G1178/P1178)</f>
        <v/>
      </c>
      <c r="R1178">
        <f>IF(H1178="",0,H1178/P1178)</f>
        <v/>
      </c>
    </row>
    <row r="1179">
      <c r="A1179" s="43" t="n"/>
      <c r="B1179" s="28" t="n"/>
      <c r="C1179" s="28" t="n"/>
      <c r="D1179" s="28" t="n"/>
      <c r="E1179" s="44" t="n"/>
      <c r="F1179" s="44" t="n"/>
      <c r="G1179" s="23" t="n"/>
      <c r="H1179" s="23" t="n"/>
      <c r="I1179" s="23" t="n"/>
      <c r="J1179" s="23" t="n"/>
      <c r="K1179" s="45">
        <f>IF(A1179="","",SUM(G$2:I1179)-SUM(J$2:J1179))</f>
        <v/>
      </c>
      <c r="L1179" s="46" t="n"/>
      <c r="M1179">
        <f>IF(A1179="","",IF(A1179=A1178,M1178,N(M1178)+1))</f>
        <v/>
      </c>
      <c r="N1179">
        <f>IF(E1179="",99999,E1179)</f>
        <v/>
      </c>
      <c r="O1179">
        <f>IF(E1179="",0,IF(F1179="",E1179,F1179))</f>
        <v/>
      </c>
      <c r="P1179">
        <f>IF(E1179="",1,MAX(1,(YEAR(O1179)-YEAR(N1179))*12+MONTH(O1179)-MONTH(N1179)+1))</f>
        <v/>
      </c>
      <c r="Q1179">
        <f>IF(G1179="",0,G1179/P1179)</f>
        <v/>
      </c>
      <c r="R1179">
        <f>IF(H1179="",0,H1179/P1179)</f>
        <v/>
      </c>
    </row>
    <row r="1180">
      <c r="A1180" s="43" t="n"/>
      <c r="B1180" s="28" t="n"/>
      <c r="C1180" s="28" t="n"/>
      <c r="D1180" s="28" t="n"/>
      <c r="E1180" s="44" t="n"/>
      <c r="F1180" s="44" t="n"/>
      <c r="G1180" s="23" t="n"/>
      <c r="H1180" s="23" t="n"/>
      <c r="I1180" s="23" t="n"/>
      <c r="J1180" s="23" t="n"/>
      <c r="K1180" s="45">
        <f>IF(A1180="","",SUM(G$2:I1180)-SUM(J$2:J1180))</f>
        <v/>
      </c>
      <c r="L1180" s="46" t="n"/>
      <c r="M1180">
        <f>IF(A1180="","",IF(A1180=A1179,M1179,N(M1179)+1))</f>
        <v/>
      </c>
      <c r="N1180">
        <f>IF(E1180="",99999,E1180)</f>
        <v/>
      </c>
      <c r="O1180">
        <f>IF(E1180="",0,IF(F1180="",E1180,F1180))</f>
        <v/>
      </c>
      <c r="P1180">
        <f>IF(E1180="",1,MAX(1,(YEAR(O1180)-YEAR(N1180))*12+MONTH(O1180)-MONTH(N1180)+1))</f>
        <v/>
      </c>
      <c r="Q1180">
        <f>IF(G1180="",0,G1180/P1180)</f>
        <v/>
      </c>
      <c r="R1180">
        <f>IF(H1180="",0,H1180/P1180)</f>
        <v/>
      </c>
    </row>
    <row r="1181">
      <c r="A1181" s="43" t="n"/>
      <c r="B1181" s="28" t="n"/>
      <c r="C1181" s="28" t="n"/>
      <c r="D1181" s="28" t="n"/>
      <c r="E1181" s="44" t="n"/>
      <c r="F1181" s="44" t="n"/>
      <c r="G1181" s="23" t="n"/>
      <c r="H1181" s="23" t="n"/>
      <c r="I1181" s="23" t="n"/>
      <c r="J1181" s="23" t="n"/>
      <c r="K1181" s="45">
        <f>IF(A1181="","",SUM(G$2:I1181)-SUM(J$2:J1181))</f>
        <v/>
      </c>
      <c r="L1181" s="46" t="n"/>
      <c r="M1181">
        <f>IF(A1181="","",IF(A1181=A1180,M1180,N(M1180)+1))</f>
        <v/>
      </c>
      <c r="N1181">
        <f>IF(E1181="",99999,E1181)</f>
        <v/>
      </c>
      <c r="O1181">
        <f>IF(E1181="",0,IF(F1181="",E1181,F1181))</f>
        <v/>
      </c>
      <c r="P1181">
        <f>IF(E1181="",1,MAX(1,(YEAR(O1181)-YEAR(N1181))*12+MONTH(O1181)-MONTH(N1181)+1))</f>
        <v/>
      </c>
      <c r="Q1181">
        <f>IF(G1181="",0,G1181/P1181)</f>
        <v/>
      </c>
      <c r="R1181">
        <f>IF(H1181="",0,H1181/P1181)</f>
        <v/>
      </c>
    </row>
    <row r="1182">
      <c r="A1182" s="43" t="n"/>
      <c r="B1182" s="28" t="n"/>
      <c r="C1182" s="28" t="n"/>
      <c r="D1182" s="28" t="n"/>
      <c r="E1182" s="44" t="n"/>
      <c r="F1182" s="44" t="n"/>
      <c r="G1182" s="23" t="n"/>
      <c r="H1182" s="23" t="n"/>
      <c r="I1182" s="23" t="n"/>
      <c r="J1182" s="23" t="n"/>
      <c r="K1182" s="45">
        <f>IF(A1182="","",SUM(G$2:I1182)-SUM(J$2:J1182))</f>
        <v/>
      </c>
      <c r="L1182" s="46" t="n"/>
      <c r="M1182">
        <f>IF(A1182="","",IF(A1182=A1181,M1181,N(M1181)+1))</f>
        <v/>
      </c>
      <c r="N1182">
        <f>IF(E1182="",99999,E1182)</f>
        <v/>
      </c>
      <c r="O1182">
        <f>IF(E1182="",0,IF(F1182="",E1182,F1182))</f>
        <v/>
      </c>
      <c r="P1182">
        <f>IF(E1182="",1,MAX(1,(YEAR(O1182)-YEAR(N1182))*12+MONTH(O1182)-MONTH(N1182)+1))</f>
        <v/>
      </c>
      <c r="Q1182">
        <f>IF(G1182="",0,G1182/P1182)</f>
        <v/>
      </c>
      <c r="R1182">
        <f>IF(H1182="",0,H1182/P1182)</f>
        <v/>
      </c>
    </row>
    <row r="1183">
      <c r="A1183" s="43" t="n"/>
      <c r="B1183" s="28" t="n"/>
      <c r="C1183" s="28" t="n"/>
      <c r="D1183" s="28" t="n"/>
      <c r="E1183" s="44" t="n"/>
      <c r="F1183" s="44" t="n"/>
      <c r="G1183" s="23" t="n"/>
      <c r="H1183" s="23" t="n"/>
      <c r="I1183" s="23" t="n"/>
      <c r="J1183" s="23" t="n"/>
      <c r="K1183" s="45">
        <f>IF(A1183="","",SUM(G$2:I1183)-SUM(J$2:J1183))</f>
        <v/>
      </c>
      <c r="L1183" s="46" t="n"/>
      <c r="M1183">
        <f>IF(A1183="","",IF(A1183=A1182,M1182,N(M1182)+1))</f>
        <v/>
      </c>
      <c r="N1183">
        <f>IF(E1183="",99999,E1183)</f>
        <v/>
      </c>
      <c r="O1183">
        <f>IF(E1183="",0,IF(F1183="",E1183,F1183))</f>
        <v/>
      </c>
      <c r="P1183">
        <f>IF(E1183="",1,MAX(1,(YEAR(O1183)-YEAR(N1183))*12+MONTH(O1183)-MONTH(N1183)+1))</f>
        <v/>
      </c>
      <c r="Q1183">
        <f>IF(G1183="",0,G1183/P1183)</f>
        <v/>
      </c>
      <c r="R1183">
        <f>IF(H1183="",0,H1183/P1183)</f>
        <v/>
      </c>
    </row>
    <row r="1184">
      <c r="A1184" s="43" t="n"/>
      <c r="B1184" s="28" t="n"/>
      <c r="C1184" s="28" t="n"/>
      <c r="D1184" s="28" t="n"/>
      <c r="E1184" s="44" t="n"/>
      <c r="F1184" s="44" t="n"/>
      <c r="G1184" s="23" t="n"/>
      <c r="H1184" s="23" t="n"/>
      <c r="I1184" s="23" t="n"/>
      <c r="J1184" s="23" t="n"/>
      <c r="K1184" s="45">
        <f>IF(A1184="","",SUM(G$2:I1184)-SUM(J$2:J1184))</f>
        <v/>
      </c>
      <c r="L1184" s="46" t="n"/>
      <c r="M1184">
        <f>IF(A1184="","",IF(A1184=A1183,M1183,N(M1183)+1))</f>
        <v/>
      </c>
      <c r="N1184">
        <f>IF(E1184="",99999,E1184)</f>
        <v/>
      </c>
      <c r="O1184">
        <f>IF(E1184="",0,IF(F1184="",E1184,F1184))</f>
        <v/>
      </c>
      <c r="P1184">
        <f>IF(E1184="",1,MAX(1,(YEAR(O1184)-YEAR(N1184))*12+MONTH(O1184)-MONTH(N1184)+1))</f>
        <v/>
      </c>
      <c r="Q1184">
        <f>IF(G1184="",0,G1184/P1184)</f>
        <v/>
      </c>
      <c r="R1184">
        <f>IF(H1184="",0,H1184/P1184)</f>
        <v/>
      </c>
    </row>
    <row r="1185">
      <c r="A1185" s="43" t="n"/>
      <c r="B1185" s="28" t="n"/>
      <c r="C1185" s="28" t="n"/>
      <c r="D1185" s="28" t="n"/>
      <c r="E1185" s="44" t="n"/>
      <c r="F1185" s="44" t="n"/>
      <c r="G1185" s="23" t="n"/>
      <c r="H1185" s="23" t="n"/>
      <c r="I1185" s="23" t="n"/>
      <c r="J1185" s="23" t="n"/>
      <c r="K1185" s="45">
        <f>IF(A1185="","",SUM(G$2:I1185)-SUM(J$2:J1185))</f>
        <v/>
      </c>
      <c r="L1185" s="46" t="n"/>
      <c r="M1185">
        <f>IF(A1185="","",IF(A1185=A1184,M1184,N(M1184)+1))</f>
        <v/>
      </c>
      <c r="N1185">
        <f>IF(E1185="",99999,E1185)</f>
        <v/>
      </c>
      <c r="O1185">
        <f>IF(E1185="",0,IF(F1185="",E1185,F1185))</f>
        <v/>
      </c>
      <c r="P1185">
        <f>IF(E1185="",1,MAX(1,(YEAR(O1185)-YEAR(N1185))*12+MONTH(O1185)-MONTH(N1185)+1))</f>
        <v/>
      </c>
      <c r="Q1185">
        <f>IF(G1185="",0,G1185/P1185)</f>
        <v/>
      </c>
      <c r="R1185">
        <f>IF(H1185="",0,H1185/P1185)</f>
        <v/>
      </c>
    </row>
    <row r="1186">
      <c r="A1186" s="43" t="n"/>
      <c r="B1186" s="28" t="n"/>
      <c r="C1186" s="28" t="n"/>
      <c r="D1186" s="28" t="n"/>
      <c r="E1186" s="44" t="n"/>
      <c r="F1186" s="44" t="n"/>
      <c r="G1186" s="23" t="n"/>
      <c r="H1186" s="23" t="n"/>
      <c r="I1186" s="23" t="n"/>
      <c r="J1186" s="23" t="n"/>
      <c r="K1186" s="45">
        <f>IF(A1186="","",SUM(G$2:I1186)-SUM(J$2:J1186))</f>
        <v/>
      </c>
      <c r="L1186" s="46" t="n"/>
      <c r="M1186">
        <f>IF(A1186="","",IF(A1186=A1185,M1185,N(M1185)+1))</f>
        <v/>
      </c>
      <c r="N1186">
        <f>IF(E1186="",99999,E1186)</f>
        <v/>
      </c>
      <c r="O1186">
        <f>IF(E1186="",0,IF(F1186="",E1186,F1186))</f>
        <v/>
      </c>
      <c r="P1186">
        <f>IF(E1186="",1,MAX(1,(YEAR(O1186)-YEAR(N1186))*12+MONTH(O1186)-MONTH(N1186)+1))</f>
        <v/>
      </c>
      <c r="Q1186">
        <f>IF(G1186="",0,G1186/P1186)</f>
        <v/>
      </c>
      <c r="R1186">
        <f>IF(H1186="",0,H1186/P1186)</f>
        <v/>
      </c>
    </row>
    <row r="1187">
      <c r="A1187" s="43" t="n"/>
      <c r="B1187" s="28" t="n"/>
      <c r="C1187" s="28" t="n"/>
      <c r="D1187" s="28" t="n"/>
      <c r="E1187" s="44" t="n"/>
      <c r="F1187" s="44" t="n"/>
      <c r="G1187" s="23" t="n"/>
      <c r="H1187" s="23" t="n"/>
      <c r="I1187" s="23" t="n"/>
      <c r="J1187" s="23" t="n"/>
      <c r="K1187" s="45">
        <f>IF(A1187="","",SUM(G$2:I1187)-SUM(J$2:J1187))</f>
        <v/>
      </c>
      <c r="L1187" s="46" t="n"/>
      <c r="M1187">
        <f>IF(A1187="","",IF(A1187=A1186,M1186,N(M1186)+1))</f>
        <v/>
      </c>
      <c r="N1187">
        <f>IF(E1187="",99999,E1187)</f>
        <v/>
      </c>
      <c r="O1187">
        <f>IF(E1187="",0,IF(F1187="",E1187,F1187))</f>
        <v/>
      </c>
      <c r="P1187">
        <f>IF(E1187="",1,MAX(1,(YEAR(O1187)-YEAR(N1187))*12+MONTH(O1187)-MONTH(N1187)+1))</f>
        <v/>
      </c>
      <c r="Q1187">
        <f>IF(G1187="",0,G1187/P1187)</f>
        <v/>
      </c>
      <c r="R1187">
        <f>IF(H1187="",0,H1187/P1187)</f>
        <v/>
      </c>
    </row>
    <row r="1188">
      <c r="A1188" s="43" t="n"/>
      <c r="B1188" s="28" t="n"/>
      <c r="C1188" s="28" t="n"/>
      <c r="D1188" s="28" t="n"/>
      <c r="E1188" s="44" t="n"/>
      <c r="F1188" s="44" t="n"/>
      <c r="G1188" s="23" t="n"/>
      <c r="H1188" s="23" t="n"/>
      <c r="I1188" s="23" t="n"/>
      <c r="J1188" s="23" t="n"/>
      <c r="K1188" s="45">
        <f>IF(A1188="","",SUM(G$2:I1188)-SUM(J$2:J1188))</f>
        <v/>
      </c>
      <c r="L1188" s="46" t="n"/>
      <c r="M1188">
        <f>IF(A1188="","",IF(A1188=A1187,M1187,N(M1187)+1))</f>
        <v/>
      </c>
      <c r="N1188">
        <f>IF(E1188="",99999,E1188)</f>
        <v/>
      </c>
      <c r="O1188">
        <f>IF(E1188="",0,IF(F1188="",E1188,F1188))</f>
        <v/>
      </c>
      <c r="P1188">
        <f>IF(E1188="",1,MAX(1,(YEAR(O1188)-YEAR(N1188))*12+MONTH(O1188)-MONTH(N1188)+1))</f>
        <v/>
      </c>
      <c r="Q1188">
        <f>IF(G1188="",0,G1188/P1188)</f>
        <v/>
      </c>
      <c r="R1188">
        <f>IF(H1188="",0,H1188/P1188)</f>
        <v/>
      </c>
    </row>
    <row r="1189">
      <c r="A1189" s="43" t="n"/>
      <c r="B1189" s="28" t="n"/>
      <c r="C1189" s="28" t="n"/>
      <c r="D1189" s="28" t="n"/>
      <c r="E1189" s="44" t="n"/>
      <c r="F1189" s="44" t="n"/>
      <c r="G1189" s="23" t="n"/>
      <c r="H1189" s="23" t="n"/>
      <c r="I1189" s="23" t="n"/>
      <c r="J1189" s="23" t="n"/>
      <c r="K1189" s="45">
        <f>IF(A1189="","",SUM(G$2:I1189)-SUM(J$2:J1189))</f>
        <v/>
      </c>
      <c r="L1189" s="46" t="n"/>
      <c r="M1189">
        <f>IF(A1189="","",IF(A1189=A1188,M1188,N(M1188)+1))</f>
        <v/>
      </c>
      <c r="N1189">
        <f>IF(E1189="",99999,E1189)</f>
        <v/>
      </c>
      <c r="O1189">
        <f>IF(E1189="",0,IF(F1189="",E1189,F1189))</f>
        <v/>
      </c>
      <c r="P1189">
        <f>IF(E1189="",1,MAX(1,(YEAR(O1189)-YEAR(N1189))*12+MONTH(O1189)-MONTH(N1189)+1))</f>
        <v/>
      </c>
      <c r="Q1189">
        <f>IF(G1189="",0,G1189/P1189)</f>
        <v/>
      </c>
      <c r="R1189">
        <f>IF(H1189="",0,H1189/P1189)</f>
        <v/>
      </c>
    </row>
    <row r="1190">
      <c r="A1190" s="43" t="n"/>
      <c r="B1190" s="28" t="n"/>
      <c r="C1190" s="28" t="n"/>
      <c r="D1190" s="28" t="n"/>
      <c r="E1190" s="44" t="n"/>
      <c r="F1190" s="44" t="n"/>
      <c r="G1190" s="23" t="n"/>
      <c r="H1190" s="23" t="n"/>
      <c r="I1190" s="23" t="n"/>
      <c r="J1190" s="23" t="n"/>
      <c r="K1190" s="45">
        <f>IF(A1190="","",SUM(G$2:I1190)-SUM(J$2:J1190))</f>
        <v/>
      </c>
      <c r="L1190" s="46" t="n"/>
      <c r="M1190">
        <f>IF(A1190="","",IF(A1190=A1189,M1189,N(M1189)+1))</f>
        <v/>
      </c>
      <c r="N1190">
        <f>IF(E1190="",99999,E1190)</f>
        <v/>
      </c>
      <c r="O1190">
        <f>IF(E1190="",0,IF(F1190="",E1190,F1190))</f>
        <v/>
      </c>
      <c r="P1190">
        <f>IF(E1190="",1,MAX(1,(YEAR(O1190)-YEAR(N1190))*12+MONTH(O1190)-MONTH(N1190)+1))</f>
        <v/>
      </c>
      <c r="Q1190">
        <f>IF(G1190="",0,G1190/P1190)</f>
        <v/>
      </c>
      <c r="R1190">
        <f>IF(H1190="",0,H1190/P1190)</f>
        <v/>
      </c>
    </row>
    <row r="1191">
      <c r="A1191" s="43" t="n"/>
      <c r="B1191" s="28" t="n"/>
      <c r="C1191" s="28" t="n"/>
      <c r="D1191" s="28" t="n"/>
      <c r="E1191" s="44" t="n"/>
      <c r="F1191" s="44" t="n"/>
      <c r="G1191" s="23" t="n"/>
      <c r="H1191" s="23" t="n"/>
      <c r="I1191" s="23" t="n"/>
      <c r="J1191" s="23" t="n"/>
      <c r="K1191" s="45">
        <f>IF(A1191="","",SUM(G$2:I1191)-SUM(J$2:J1191))</f>
        <v/>
      </c>
      <c r="L1191" s="46" t="n"/>
      <c r="M1191">
        <f>IF(A1191="","",IF(A1191=A1190,M1190,N(M1190)+1))</f>
        <v/>
      </c>
      <c r="N1191">
        <f>IF(E1191="",99999,E1191)</f>
        <v/>
      </c>
      <c r="O1191">
        <f>IF(E1191="",0,IF(F1191="",E1191,F1191))</f>
        <v/>
      </c>
      <c r="P1191">
        <f>IF(E1191="",1,MAX(1,(YEAR(O1191)-YEAR(N1191))*12+MONTH(O1191)-MONTH(N1191)+1))</f>
        <v/>
      </c>
      <c r="Q1191">
        <f>IF(G1191="",0,G1191/P1191)</f>
        <v/>
      </c>
      <c r="R1191">
        <f>IF(H1191="",0,H1191/P1191)</f>
        <v/>
      </c>
    </row>
    <row r="1192">
      <c r="A1192" s="43" t="n"/>
      <c r="B1192" s="28" t="n"/>
      <c r="C1192" s="28" t="n"/>
      <c r="D1192" s="28" t="n"/>
      <c r="E1192" s="44" t="n"/>
      <c r="F1192" s="44" t="n"/>
      <c r="G1192" s="23" t="n"/>
      <c r="H1192" s="23" t="n"/>
      <c r="I1192" s="23" t="n"/>
      <c r="J1192" s="23" t="n"/>
      <c r="K1192" s="45">
        <f>IF(A1192="","",SUM(G$2:I1192)-SUM(J$2:J1192))</f>
        <v/>
      </c>
      <c r="L1192" s="46" t="n"/>
      <c r="M1192">
        <f>IF(A1192="","",IF(A1192=A1191,M1191,N(M1191)+1))</f>
        <v/>
      </c>
      <c r="N1192">
        <f>IF(E1192="",99999,E1192)</f>
        <v/>
      </c>
      <c r="O1192">
        <f>IF(E1192="",0,IF(F1192="",E1192,F1192))</f>
        <v/>
      </c>
      <c r="P1192">
        <f>IF(E1192="",1,MAX(1,(YEAR(O1192)-YEAR(N1192))*12+MONTH(O1192)-MONTH(N1192)+1))</f>
        <v/>
      </c>
      <c r="Q1192">
        <f>IF(G1192="",0,G1192/P1192)</f>
        <v/>
      </c>
      <c r="R1192">
        <f>IF(H1192="",0,H1192/P1192)</f>
        <v/>
      </c>
    </row>
    <row r="1193">
      <c r="A1193" s="43" t="n"/>
      <c r="B1193" s="28" t="n"/>
      <c r="C1193" s="28" t="n"/>
      <c r="D1193" s="28" t="n"/>
      <c r="E1193" s="44" t="n"/>
      <c r="F1193" s="44" t="n"/>
      <c r="G1193" s="23" t="n"/>
      <c r="H1193" s="23" t="n"/>
      <c r="I1193" s="23" t="n"/>
      <c r="J1193" s="23" t="n"/>
      <c r="K1193" s="45">
        <f>IF(A1193="","",SUM(G$2:I1193)-SUM(J$2:J1193))</f>
        <v/>
      </c>
      <c r="L1193" s="46" t="n"/>
      <c r="M1193">
        <f>IF(A1193="","",IF(A1193=A1192,M1192,N(M1192)+1))</f>
        <v/>
      </c>
      <c r="N1193">
        <f>IF(E1193="",99999,E1193)</f>
        <v/>
      </c>
      <c r="O1193">
        <f>IF(E1193="",0,IF(F1193="",E1193,F1193))</f>
        <v/>
      </c>
      <c r="P1193">
        <f>IF(E1193="",1,MAX(1,(YEAR(O1193)-YEAR(N1193))*12+MONTH(O1193)-MONTH(N1193)+1))</f>
        <v/>
      </c>
      <c r="Q1193">
        <f>IF(G1193="",0,G1193/P1193)</f>
        <v/>
      </c>
      <c r="R1193">
        <f>IF(H1193="",0,H1193/P1193)</f>
        <v/>
      </c>
    </row>
    <row r="1194">
      <c r="A1194" s="43" t="n"/>
      <c r="B1194" s="28" t="n"/>
      <c r="C1194" s="28" t="n"/>
      <c r="D1194" s="28" t="n"/>
      <c r="E1194" s="44" t="n"/>
      <c r="F1194" s="44" t="n"/>
      <c r="G1194" s="23" t="n"/>
      <c r="H1194" s="23" t="n"/>
      <c r="I1194" s="23" t="n"/>
      <c r="J1194" s="23" t="n"/>
      <c r="K1194" s="45">
        <f>IF(A1194="","",SUM(G$2:I1194)-SUM(J$2:J1194))</f>
        <v/>
      </c>
      <c r="L1194" s="46" t="n"/>
      <c r="M1194">
        <f>IF(A1194="","",IF(A1194=A1193,M1193,N(M1193)+1))</f>
        <v/>
      </c>
      <c r="N1194">
        <f>IF(E1194="",99999,E1194)</f>
        <v/>
      </c>
      <c r="O1194">
        <f>IF(E1194="",0,IF(F1194="",E1194,F1194))</f>
        <v/>
      </c>
      <c r="P1194">
        <f>IF(E1194="",1,MAX(1,(YEAR(O1194)-YEAR(N1194))*12+MONTH(O1194)-MONTH(N1194)+1))</f>
        <v/>
      </c>
      <c r="Q1194">
        <f>IF(G1194="",0,G1194/P1194)</f>
        <v/>
      </c>
      <c r="R1194">
        <f>IF(H1194="",0,H1194/P1194)</f>
        <v/>
      </c>
    </row>
    <row r="1195">
      <c r="A1195" s="43" t="n"/>
      <c r="B1195" s="28" t="n"/>
      <c r="C1195" s="28" t="n"/>
      <c r="D1195" s="28" t="n"/>
      <c r="E1195" s="44" t="n"/>
      <c r="F1195" s="44" t="n"/>
      <c r="G1195" s="23" t="n"/>
      <c r="H1195" s="23" t="n"/>
      <c r="I1195" s="23" t="n"/>
      <c r="J1195" s="23" t="n"/>
      <c r="K1195" s="45">
        <f>IF(A1195="","",SUM(G$2:I1195)-SUM(J$2:J1195))</f>
        <v/>
      </c>
      <c r="L1195" s="46" t="n"/>
      <c r="M1195">
        <f>IF(A1195="","",IF(A1195=A1194,M1194,N(M1194)+1))</f>
        <v/>
      </c>
      <c r="N1195">
        <f>IF(E1195="",99999,E1195)</f>
        <v/>
      </c>
      <c r="O1195">
        <f>IF(E1195="",0,IF(F1195="",E1195,F1195))</f>
        <v/>
      </c>
      <c r="P1195">
        <f>IF(E1195="",1,MAX(1,(YEAR(O1195)-YEAR(N1195))*12+MONTH(O1195)-MONTH(N1195)+1))</f>
        <v/>
      </c>
      <c r="Q1195">
        <f>IF(G1195="",0,G1195/P1195)</f>
        <v/>
      </c>
      <c r="R1195">
        <f>IF(H1195="",0,H1195/P1195)</f>
        <v/>
      </c>
    </row>
    <row r="1196">
      <c r="A1196" s="43" t="n"/>
      <c r="B1196" s="28" t="n"/>
      <c r="C1196" s="28" t="n"/>
      <c r="D1196" s="28" t="n"/>
      <c r="E1196" s="44" t="n"/>
      <c r="F1196" s="44" t="n"/>
      <c r="G1196" s="23" t="n"/>
      <c r="H1196" s="23" t="n"/>
      <c r="I1196" s="23" t="n"/>
      <c r="J1196" s="23" t="n"/>
      <c r="K1196" s="45">
        <f>IF(A1196="","",SUM(G$2:I1196)-SUM(J$2:J1196))</f>
        <v/>
      </c>
      <c r="L1196" s="46" t="n"/>
      <c r="M1196">
        <f>IF(A1196="","",IF(A1196=A1195,M1195,N(M1195)+1))</f>
        <v/>
      </c>
      <c r="N1196">
        <f>IF(E1196="",99999,E1196)</f>
        <v/>
      </c>
      <c r="O1196">
        <f>IF(E1196="",0,IF(F1196="",E1196,F1196))</f>
        <v/>
      </c>
      <c r="P1196">
        <f>IF(E1196="",1,MAX(1,(YEAR(O1196)-YEAR(N1196))*12+MONTH(O1196)-MONTH(N1196)+1))</f>
        <v/>
      </c>
      <c r="Q1196">
        <f>IF(G1196="",0,G1196/P1196)</f>
        <v/>
      </c>
      <c r="R1196">
        <f>IF(H1196="",0,H1196/P1196)</f>
        <v/>
      </c>
    </row>
    <row r="1197">
      <c r="A1197" s="43" t="n"/>
      <c r="B1197" s="28" t="n"/>
      <c r="C1197" s="28" t="n"/>
      <c r="D1197" s="28" t="n"/>
      <c r="E1197" s="44" t="n"/>
      <c r="F1197" s="44" t="n"/>
      <c r="G1197" s="23" t="n"/>
      <c r="H1197" s="23" t="n"/>
      <c r="I1197" s="23" t="n"/>
      <c r="J1197" s="23" t="n"/>
      <c r="K1197" s="45">
        <f>IF(A1197="","",SUM(G$2:I1197)-SUM(J$2:J1197))</f>
        <v/>
      </c>
      <c r="L1197" s="46" t="n"/>
      <c r="M1197">
        <f>IF(A1197="","",IF(A1197=A1196,M1196,N(M1196)+1))</f>
        <v/>
      </c>
      <c r="N1197">
        <f>IF(E1197="",99999,E1197)</f>
        <v/>
      </c>
      <c r="O1197">
        <f>IF(E1197="",0,IF(F1197="",E1197,F1197))</f>
        <v/>
      </c>
      <c r="P1197">
        <f>IF(E1197="",1,MAX(1,(YEAR(O1197)-YEAR(N1197))*12+MONTH(O1197)-MONTH(N1197)+1))</f>
        <v/>
      </c>
      <c r="Q1197">
        <f>IF(G1197="",0,G1197/P1197)</f>
        <v/>
      </c>
      <c r="R1197">
        <f>IF(H1197="",0,H1197/P1197)</f>
        <v/>
      </c>
    </row>
    <row r="1198">
      <c r="A1198" s="43" t="n"/>
      <c r="B1198" s="28" t="n"/>
      <c r="C1198" s="28" t="n"/>
      <c r="D1198" s="28" t="n"/>
      <c r="E1198" s="44" t="n"/>
      <c r="F1198" s="44" t="n"/>
      <c r="G1198" s="23" t="n"/>
      <c r="H1198" s="23" t="n"/>
      <c r="I1198" s="23" t="n"/>
      <c r="J1198" s="23" t="n"/>
      <c r="K1198" s="45">
        <f>IF(A1198="","",SUM(G$2:I1198)-SUM(J$2:J1198))</f>
        <v/>
      </c>
      <c r="L1198" s="46" t="n"/>
      <c r="M1198">
        <f>IF(A1198="","",IF(A1198=A1197,M1197,N(M1197)+1))</f>
        <v/>
      </c>
      <c r="N1198">
        <f>IF(E1198="",99999,E1198)</f>
        <v/>
      </c>
      <c r="O1198">
        <f>IF(E1198="",0,IF(F1198="",E1198,F1198))</f>
        <v/>
      </c>
      <c r="P1198">
        <f>IF(E1198="",1,MAX(1,(YEAR(O1198)-YEAR(N1198))*12+MONTH(O1198)-MONTH(N1198)+1))</f>
        <v/>
      </c>
      <c r="Q1198">
        <f>IF(G1198="",0,G1198/P1198)</f>
        <v/>
      </c>
      <c r="R1198">
        <f>IF(H1198="",0,H1198/P1198)</f>
        <v/>
      </c>
    </row>
    <row r="1199">
      <c r="A1199" s="43" t="n"/>
      <c r="B1199" s="28" t="n"/>
      <c r="C1199" s="28" t="n"/>
      <c r="D1199" s="28" t="n"/>
      <c r="E1199" s="44" t="n"/>
      <c r="F1199" s="44" t="n"/>
      <c r="G1199" s="23" t="n"/>
      <c r="H1199" s="23" t="n"/>
      <c r="I1199" s="23" t="n"/>
      <c r="J1199" s="23" t="n"/>
      <c r="K1199" s="45">
        <f>IF(A1199="","",SUM(G$2:I1199)-SUM(J$2:J1199))</f>
        <v/>
      </c>
      <c r="L1199" s="46" t="n"/>
      <c r="M1199">
        <f>IF(A1199="","",IF(A1199=A1198,M1198,N(M1198)+1))</f>
        <v/>
      </c>
      <c r="N1199">
        <f>IF(E1199="",99999,E1199)</f>
        <v/>
      </c>
      <c r="O1199">
        <f>IF(E1199="",0,IF(F1199="",E1199,F1199))</f>
        <v/>
      </c>
      <c r="P1199">
        <f>IF(E1199="",1,MAX(1,(YEAR(O1199)-YEAR(N1199))*12+MONTH(O1199)-MONTH(N1199)+1))</f>
        <v/>
      </c>
      <c r="Q1199">
        <f>IF(G1199="",0,G1199/P1199)</f>
        <v/>
      </c>
      <c r="R1199">
        <f>IF(H1199="",0,H1199/P1199)</f>
        <v/>
      </c>
    </row>
    <row r="1200">
      <c r="A1200" s="43" t="n"/>
      <c r="B1200" s="28" t="n"/>
      <c r="C1200" s="28" t="n"/>
      <c r="D1200" s="28" t="n"/>
      <c r="E1200" s="44" t="n"/>
      <c r="F1200" s="44" t="n"/>
      <c r="G1200" s="23" t="n"/>
      <c r="H1200" s="23" t="n"/>
      <c r="I1200" s="23" t="n"/>
      <c r="J1200" s="23" t="n"/>
      <c r="K1200" s="45">
        <f>IF(A1200="","",SUM(G$2:I1200)-SUM(J$2:J1200))</f>
        <v/>
      </c>
      <c r="L1200" s="46" t="n"/>
      <c r="M1200">
        <f>IF(A1200="","",IF(A1200=A1199,M1199,N(M1199)+1))</f>
        <v/>
      </c>
      <c r="N1200">
        <f>IF(E1200="",99999,E1200)</f>
        <v/>
      </c>
      <c r="O1200">
        <f>IF(E1200="",0,IF(F1200="",E1200,F1200))</f>
        <v/>
      </c>
      <c r="P1200">
        <f>IF(E1200="",1,MAX(1,(YEAR(O1200)-YEAR(N1200))*12+MONTH(O1200)-MONTH(N1200)+1))</f>
        <v/>
      </c>
      <c r="Q1200">
        <f>IF(G1200="",0,G1200/P1200)</f>
        <v/>
      </c>
      <c r="R1200">
        <f>IF(H1200="",0,H1200/P1200)</f>
        <v/>
      </c>
    </row>
    <row r="1201">
      <c r="A1201" s="43" t="n"/>
      <c r="B1201" s="28" t="n"/>
      <c r="C1201" s="28" t="n"/>
      <c r="D1201" s="28" t="n"/>
      <c r="E1201" s="44" t="n"/>
      <c r="F1201" s="44" t="n"/>
      <c r="G1201" s="23" t="n"/>
      <c r="H1201" s="23" t="n"/>
      <c r="I1201" s="23" t="n"/>
      <c r="J1201" s="23" t="n"/>
      <c r="K1201" s="45">
        <f>IF(A1201="","",SUM(G$2:I1201)-SUM(J$2:J1201))</f>
        <v/>
      </c>
      <c r="L1201" s="46" t="n"/>
      <c r="M1201">
        <f>IF(A1201="","",IF(A1201=A1200,M1200,N(M1200)+1))</f>
        <v/>
      </c>
      <c r="N1201">
        <f>IF(E1201="",99999,E1201)</f>
        <v/>
      </c>
      <c r="O1201">
        <f>IF(E1201="",0,IF(F1201="",E1201,F1201))</f>
        <v/>
      </c>
      <c r="P1201">
        <f>IF(E1201="",1,MAX(1,(YEAR(O1201)-YEAR(N1201))*12+MONTH(O1201)-MONTH(N1201)+1))</f>
        <v/>
      </c>
      <c r="Q1201">
        <f>IF(G1201="",0,G1201/P1201)</f>
        <v/>
      </c>
      <c r="R1201">
        <f>IF(H1201="",0,H1201/P1201)</f>
        <v/>
      </c>
    </row>
    <row r="1202">
      <c r="A1202" s="43" t="n"/>
      <c r="B1202" s="28" t="n"/>
      <c r="C1202" s="28" t="n"/>
      <c r="D1202" s="28" t="n"/>
      <c r="E1202" s="44" t="n"/>
      <c r="F1202" s="44" t="n"/>
      <c r="G1202" s="23" t="n"/>
      <c r="H1202" s="23" t="n"/>
      <c r="I1202" s="23" t="n"/>
      <c r="J1202" s="23" t="n"/>
      <c r="K1202" s="45">
        <f>IF(A1202="","",SUM(G$2:I1202)-SUM(J$2:J1202))</f>
        <v/>
      </c>
      <c r="L1202" s="46" t="n"/>
      <c r="M1202">
        <f>IF(A1202="","",IF(A1202=A1201,M1201,N(M1201)+1))</f>
        <v/>
      </c>
      <c r="N1202">
        <f>IF(E1202="",99999,E1202)</f>
        <v/>
      </c>
      <c r="O1202">
        <f>IF(E1202="",0,IF(F1202="",E1202,F1202))</f>
        <v/>
      </c>
      <c r="P1202">
        <f>IF(E1202="",1,MAX(1,(YEAR(O1202)-YEAR(N1202))*12+MONTH(O1202)-MONTH(N1202)+1))</f>
        <v/>
      </c>
      <c r="Q1202">
        <f>IF(G1202="",0,G1202/P1202)</f>
        <v/>
      </c>
      <c r="R1202">
        <f>IF(H1202="",0,H1202/P1202)</f>
        <v/>
      </c>
    </row>
    <row r="1203">
      <c r="A1203" s="43" t="n"/>
      <c r="B1203" s="28" t="n"/>
      <c r="C1203" s="28" t="n"/>
      <c r="D1203" s="28" t="n"/>
      <c r="E1203" s="44" t="n"/>
      <c r="F1203" s="44" t="n"/>
      <c r="G1203" s="23" t="n"/>
      <c r="H1203" s="23" t="n"/>
      <c r="I1203" s="23" t="n"/>
      <c r="J1203" s="23" t="n"/>
      <c r="K1203" s="45">
        <f>IF(A1203="","",SUM(G$2:I1203)-SUM(J$2:J1203))</f>
        <v/>
      </c>
      <c r="L1203" s="46" t="n"/>
      <c r="M1203">
        <f>IF(A1203="","",IF(A1203=A1202,M1202,N(M1202)+1))</f>
        <v/>
      </c>
      <c r="N1203">
        <f>IF(E1203="",99999,E1203)</f>
        <v/>
      </c>
      <c r="O1203">
        <f>IF(E1203="",0,IF(F1203="",E1203,F1203))</f>
        <v/>
      </c>
      <c r="P1203">
        <f>IF(E1203="",1,MAX(1,(YEAR(O1203)-YEAR(N1203))*12+MONTH(O1203)-MONTH(N1203)+1))</f>
        <v/>
      </c>
      <c r="Q1203">
        <f>IF(G1203="",0,G1203/P1203)</f>
        <v/>
      </c>
      <c r="R1203">
        <f>IF(H1203="",0,H1203/P1203)</f>
        <v/>
      </c>
    </row>
    <row r="1204">
      <c r="A1204" s="43" t="n"/>
      <c r="B1204" s="28" t="n"/>
      <c r="C1204" s="28" t="n"/>
      <c r="D1204" s="28" t="n"/>
      <c r="E1204" s="44" t="n"/>
      <c r="F1204" s="44" t="n"/>
      <c r="G1204" s="23" t="n"/>
      <c r="H1204" s="23" t="n"/>
      <c r="I1204" s="23" t="n"/>
      <c r="J1204" s="23" t="n"/>
      <c r="K1204" s="45">
        <f>IF(A1204="","",SUM(G$2:I1204)-SUM(J$2:J1204))</f>
        <v/>
      </c>
      <c r="L1204" s="46" t="n"/>
      <c r="M1204">
        <f>IF(A1204="","",IF(A1204=A1203,M1203,N(M1203)+1))</f>
        <v/>
      </c>
      <c r="N1204">
        <f>IF(E1204="",99999,E1204)</f>
        <v/>
      </c>
      <c r="O1204">
        <f>IF(E1204="",0,IF(F1204="",E1204,F1204))</f>
        <v/>
      </c>
      <c r="P1204">
        <f>IF(E1204="",1,MAX(1,(YEAR(O1204)-YEAR(N1204))*12+MONTH(O1204)-MONTH(N1204)+1))</f>
        <v/>
      </c>
      <c r="Q1204">
        <f>IF(G1204="",0,G1204/P1204)</f>
        <v/>
      </c>
      <c r="R1204">
        <f>IF(H1204="",0,H1204/P1204)</f>
        <v/>
      </c>
    </row>
    <row r="1205">
      <c r="A1205" s="43" t="n"/>
      <c r="B1205" s="28" t="n"/>
      <c r="C1205" s="28" t="n"/>
      <c r="D1205" s="28" t="n"/>
      <c r="E1205" s="44" t="n"/>
      <c r="F1205" s="44" t="n"/>
      <c r="G1205" s="23" t="n"/>
      <c r="H1205" s="23" t="n"/>
      <c r="I1205" s="23" t="n"/>
      <c r="J1205" s="23" t="n"/>
      <c r="K1205" s="45">
        <f>IF(A1205="","",SUM(G$2:I1205)-SUM(J$2:J1205))</f>
        <v/>
      </c>
      <c r="L1205" s="46" t="n"/>
      <c r="M1205">
        <f>IF(A1205="","",IF(A1205=A1204,M1204,N(M1204)+1))</f>
        <v/>
      </c>
      <c r="N1205">
        <f>IF(E1205="",99999,E1205)</f>
        <v/>
      </c>
      <c r="O1205">
        <f>IF(E1205="",0,IF(F1205="",E1205,F1205))</f>
        <v/>
      </c>
      <c r="P1205">
        <f>IF(E1205="",1,MAX(1,(YEAR(O1205)-YEAR(N1205))*12+MONTH(O1205)-MONTH(N1205)+1))</f>
        <v/>
      </c>
      <c r="Q1205">
        <f>IF(G1205="",0,G1205/P1205)</f>
        <v/>
      </c>
      <c r="R1205">
        <f>IF(H1205="",0,H1205/P1205)</f>
        <v/>
      </c>
    </row>
    <row r="1206">
      <c r="A1206" s="43" t="n"/>
      <c r="B1206" s="28" t="n"/>
      <c r="C1206" s="28" t="n"/>
      <c r="D1206" s="28" t="n"/>
      <c r="E1206" s="44" t="n"/>
      <c r="F1206" s="44" t="n"/>
      <c r="G1206" s="23" t="n"/>
      <c r="H1206" s="23" t="n"/>
      <c r="I1206" s="23" t="n"/>
      <c r="J1206" s="23" t="n"/>
      <c r="K1206" s="45">
        <f>IF(A1206="","",SUM(G$2:I1206)-SUM(J$2:J1206))</f>
        <v/>
      </c>
      <c r="L1206" s="46" t="n"/>
      <c r="M1206">
        <f>IF(A1206="","",IF(A1206=A1205,M1205,N(M1205)+1))</f>
        <v/>
      </c>
      <c r="N1206">
        <f>IF(E1206="",99999,E1206)</f>
        <v/>
      </c>
      <c r="O1206">
        <f>IF(E1206="",0,IF(F1206="",E1206,F1206))</f>
        <v/>
      </c>
      <c r="P1206">
        <f>IF(E1206="",1,MAX(1,(YEAR(O1206)-YEAR(N1206))*12+MONTH(O1206)-MONTH(N1206)+1))</f>
        <v/>
      </c>
      <c r="Q1206">
        <f>IF(G1206="",0,G1206/P1206)</f>
        <v/>
      </c>
      <c r="R1206">
        <f>IF(H1206="",0,H1206/P1206)</f>
        <v/>
      </c>
    </row>
    <row r="1207">
      <c r="A1207" s="43" t="n"/>
      <c r="B1207" s="28" t="n"/>
      <c r="C1207" s="28" t="n"/>
      <c r="D1207" s="28" t="n"/>
      <c r="E1207" s="44" t="n"/>
      <c r="F1207" s="44" t="n"/>
      <c r="G1207" s="23" t="n"/>
      <c r="H1207" s="23" t="n"/>
      <c r="I1207" s="23" t="n"/>
      <c r="J1207" s="23" t="n"/>
      <c r="K1207" s="45">
        <f>IF(A1207="","",SUM(G$2:I1207)-SUM(J$2:J1207))</f>
        <v/>
      </c>
      <c r="L1207" s="46" t="n"/>
      <c r="M1207">
        <f>IF(A1207="","",IF(A1207=A1206,M1206,N(M1206)+1))</f>
        <v/>
      </c>
      <c r="N1207">
        <f>IF(E1207="",99999,E1207)</f>
        <v/>
      </c>
      <c r="O1207">
        <f>IF(E1207="",0,IF(F1207="",E1207,F1207))</f>
        <v/>
      </c>
      <c r="P1207">
        <f>IF(E1207="",1,MAX(1,(YEAR(O1207)-YEAR(N1207))*12+MONTH(O1207)-MONTH(N1207)+1))</f>
        <v/>
      </c>
      <c r="Q1207">
        <f>IF(G1207="",0,G1207/P1207)</f>
        <v/>
      </c>
      <c r="R1207">
        <f>IF(H1207="",0,H1207/P1207)</f>
        <v/>
      </c>
    </row>
    <row r="1208">
      <c r="A1208" s="43" t="n"/>
      <c r="B1208" s="28" t="n"/>
      <c r="C1208" s="28" t="n"/>
      <c r="D1208" s="28" t="n"/>
      <c r="E1208" s="44" t="n"/>
      <c r="F1208" s="44" t="n"/>
      <c r="G1208" s="23" t="n"/>
      <c r="H1208" s="23" t="n"/>
      <c r="I1208" s="23" t="n"/>
      <c r="J1208" s="23" t="n"/>
      <c r="K1208" s="45">
        <f>IF(A1208="","",SUM(G$2:I1208)-SUM(J$2:J1208))</f>
        <v/>
      </c>
      <c r="L1208" s="46" t="n"/>
      <c r="M1208">
        <f>IF(A1208="","",IF(A1208=A1207,M1207,N(M1207)+1))</f>
        <v/>
      </c>
      <c r="N1208">
        <f>IF(E1208="",99999,E1208)</f>
        <v/>
      </c>
      <c r="O1208">
        <f>IF(E1208="",0,IF(F1208="",E1208,F1208))</f>
        <v/>
      </c>
      <c r="P1208">
        <f>IF(E1208="",1,MAX(1,(YEAR(O1208)-YEAR(N1208))*12+MONTH(O1208)-MONTH(N1208)+1))</f>
        <v/>
      </c>
      <c r="Q1208">
        <f>IF(G1208="",0,G1208/P1208)</f>
        <v/>
      </c>
      <c r="R1208">
        <f>IF(H1208="",0,H1208/P1208)</f>
        <v/>
      </c>
    </row>
    <row r="1209">
      <c r="A1209" s="43" t="n"/>
      <c r="B1209" s="28" t="n"/>
      <c r="C1209" s="28" t="n"/>
      <c r="D1209" s="28" t="n"/>
      <c r="E1209" s="44" t="n"/>
      <c r="F1209" s="44" t="n"/>
      <c r="G1209" s="23" t="n"/>
      <c r="H1209" s="23" t="n"/>
      <c r="I1209" s="23" t="n"/>
      <c r="J1209" s="23" t="n"/>
      <c r="K1209" s="45">
        <f>IF(A1209="","",SUM(G$2:I1209)-SUM(J$2:J1209))</f>
        <v/>
      </c>
      <c r="L1209" s="46" t="n"/>
      <c r="M1209">
        <f>IF(A1209="","",IF(A1209=A1208,M1208,N(M1208)+1))</f>
        <v/>
      </c>
      <c r="N1209">
        <f>IF(E1209="",99999,E1209)</f>
        <v/>
      </c>
      <c r="O1209">
        <f>IF(E1209="",0,IF(F1209="",E1209,F1209))</f>
        <v/>
      </c>
      <c r="P1209">
        <f>IF(E1209="",1,MAX(1,(YEAR(O1209)-YEAR(N1209))*12+MONTH(O1209)-MONTH(N1209)+1))</f>
        <v/>
      </c>
      <c r="Q1209">
        <f>IF(G1209="",0,G1209/P1209)</f>
        <v/>
      </c>
      <c r="R1209">
        <f>IF(H1209="",0,H1209/P1209)</f>
        <v/>
      </c>
    </row>
    <row r="1210">
      <c r="A1210" s="43" t="n"/>
      <c r="B1210" s="28" t="n"/>
      <c r="C1210" s="28" t="n"/>
      <c r="D1210" s="28" t="n"/>
      <c r="E1210" s="44" t="n"/>
      <c r="F1210" s="44" t="n"/>
      <c r="G1210" s="23" t="n"/>
      <c r="H1210" s="23" t="n"/>
      <c r="I1210" s="23" t="n"/>
      <c r="J1210" s="23" t="n"/>
      <c r="K1210" s="45">
        <f>IF(A1210="","",SUM(G$2:I1210)-SUM(J$2:J1210))</f>
        <v/>
      </c>
      <c r="L1210" s="46" t="n"/>
      <c r="M1210">
        <f>IF(A1210="","",IF(A1210=A1209,M1209,N(M1209)+1))</f>
        <v/>
      </c>
      <c r="N1210">
        <f>IF(E1210="",99999,E1210)</f>
        <v/>
      </c>
      <c r="O1210">
        <f>IF(E1210="",0,IF(F1210="",E1210,F1210))</f>
        <v/>
      </c>
      <c r="P1210">
        <f>IF(E1210="",1,MAX(1,(YEAR(O1210)-YEAR(N1210))*12+MONTH(O1210)-MONTH(N1210)+1))</f>
        <v/>
      </c>
      <c r="Q1210">
        <f>IF(G1210="",0,G1210/P1210)</f>
        <v/>
      </c>
      <c r="R1210">
        <f>IF(H1210="",0,H1210/P1210)</f>
        <v/>
      </c>
    </row>
    <row r="1211">
      <c r="A1211" s="43" t="n"/>
      <c r="B1211" s="28" t="n"/>
      <c r="C1211" s="28" t="n"/>
      <c r="D1211" s="28" t="n"/>
      <c r="E1211" s="44" t="n"/>
      <c r="F1211" s="44" t="n"/>
      <c r="G1211" s="23" t="n"/>
      <c r="H1211" s="23" t="n"/>
      <c r="I1211" s="23" t="n"/>
      <c r="J1211" s="23" t="n"/>
      <c r="K1211" s="45">
        <f>IF(A1211="","",SUM(G$2:I1211)-SUM(J$2:J1211))</f>
        <v/>
      </c>
      <c r="L1211" s="46" t="n"/>
      <c r="M1211">
        <f>IF(A1211="","",IF(A1211=A1210,M1210,N(M1210)+1))</f>
        <v/>
      </c>
      <c r="N1211">
        <f>IF(E1211="",99999,E1211)</f>
        <v/>
      </c>
      <c r="O1211">
        <f>IF(E1211="",0,IF(F1211="",E1211,F1211))</f>
        <v/>
      </c>
      <c r="P1211">
        <f>IF(E1211="",1,MAX(1,(YEAR(O1211)-YEAR(N1211))*12+MONTH(O1211)-MONTH(N1211)+1))</f>
        <v/>
      </c>
      <c r="Q1211">
        <f>IF(G1211="",0,G1211/P1211)</f>
        <v/>
      </c>
      <c r="R1211">
        <f>IF(H1211="",0,H1211/P1211)</f>
        <v/>
      </c>
    </row>
    <row r="1212">
      <c r="A1212" s="43" t="n"/>
      <c r="B1212" s="28" t="n"/>
      <c r="C1212" s="28" t="n"/>
      <c r="D1212" s="28" t="n"/>
      <c r="E1212" s="44" t="n"/>
      <c r="F1212" s="44" t="n"/>
      <c r="G1212" s="23" t="n"/>
      <c r="H1212" s="23" t="n"/>
      <c r="I1212" s="23" t="n"/>
      <c r="J1212" s="23" t="n"/>
      <c r="K1212" s="45">
        <f>IF(A1212="","",SUM(G$2:I1212)-SUM(J$2:J1212))</f>
        <v/>
      </c>
      <c r="L1212" s="46" t="n"/>
      <c r="M1212">
        <f>IF(A1212="","",IF(A1212=A1211,M1211,N(M1211)+1))</f>
        <v/>
      </c>
      <c r="N1212">
        <f>IF(E1212="",99999,E1212)</f>
        <v/>
      </c>
      <c r="O1212">
        <f>IF(E1212="",0,IF(F1212="",E1212,F1212))</f>
        <v/>
      </c>
      <c r="P1212">
        <f>IF(E1212="",1,MAX(1,(YEAR(O1212)-YEAR(N1212))*12+MONTH(O1212)-MONTH(N1212)+1))</f>
        <v/>
      </c>
      <c r="Q1212">
        <f>IF(G1212="",0,G1212/P1212)</f>
        <v/>
      </c>
      <c r="R1212">
        <f>IF(H1212="",0,H1212/P1212)</f>
        <v/>
      </c>
    </row>
    <row r="1213">
      <c r="A1213" s="43" t="n"/>
      <c r="B1213" s="28" t="n"/>
      <c r="C1213" s="28" t="n"/>
      <c r="D1213" s="28" t="n"/>
      <c r="E1213" s="44" t="n"/>
      <c r="F1213" s="44" t="n"/>
      <c r="G1213" s="23" t="n"/>
      <c r="H1213" s="23" t="n"/>
      <c r="I1213" s="23" t="n"/>
      <c r="J1213" s="23" t="n"/>
      <c r="K1213" s="45">
        <f>IF(A1213="","",SUM(G$2:I1213)-SUM(J$2:J1213))</f>
        <v/>
      </c>
      <c r="L1213" s="46" t="n"/>
      <c r="M1213">
        <f>IF(A1213="","",IF(A1213=A1212,M1212,N(M1212)+1))</f>
        <v/>
      </c>
      <c r="N1213">
        <f>IF(E1213="",99999,E1213)</f>
        <v/>
      </c>
      <c r="O1213">
        <f>IF(E1213="",0,IF(F1213="",E1213,F1213))</f>
        <v/>
      </c>
      <c r="P1213">
        <f>IF(E1213="",1,MAX(1,(YEAR(O1213)-YEAR(N1213))*12+MONTH(O1213)-MONTH(N1213)+1))</f>
        <v/>
      </c>
      <c r="Q1213">
        <f>IF(G1213="",0,G1213/P1213)</f>
        <v/>
      </c>
      <c r="R1213">
        <f>IF(H1213="",0,H1213/P1213)</f>
        <v/>
      </c>
    </row>
    <row r="1214">
      <c r="A1214" s="43" t="n"/>
      <c r="B1214" s="28" t="n"/>
      <c r="C1214" s="28" t="n"/>
      <c r="D1214" s="28" t="n"/>
      <c r="E1214" s="44" t="n"/>
      <c r="F1214" s="44" t="n"/>
      <c r="G1214" s="23" t="n"/>
      <c r="H1214" s="23" t="n"/>
      <c r="I1214" s="23" t="n"/>
      <c r="J1214" s="23" t="n"/>
      <c r="K1214" s="45">
        <f>IF(A1214="","",SUM(G$2:I1214)-SUM(J$2:J1214))</f>
        <v/>
      </c>
      <c r="L1214" s="46" t="n"/>
      <c r="M1214">
        <f>IF(A1214="","",IF(A1214=A1213,M1213,N(M1213)+1))</f>
        <v/>
      </c>
      <c r="N1214">
        <f>IF(E1214="",99999,E1214)</f>
        <v/>
      </c>
      <c r="O1214">
        <f>IF(E1214="",0,IF(F1214="",E1214,F1214))</f>
        <v/>
      </c>
      <c r="P1214">
        <f>IF(E1214="",1,MAX(1,(YEAR(O1214)-YEAR(N1214))*12+MONTH(O1214)-MONTH(N1214)+1))</f>
        <v/>
      </c>
      <c r="Q1214">
        <f>IF(G1214="",0,G1214/P1214)</f>
        <v/>
      </c>
      <c r="R1214">
        <f>IF(H1214="",0,H1214/P1214)</f>
        <v/>
      </c>
    </row>
    <row r="1215">
      <c r="A1215" s="43" t="n"/>
      <c r="B1215" s="28" t="n"/>
      <c r="C1215" s="28" t="n"/>
      <c r="D1215" s="28" t="n"/>
      <c r="E1215" s="44" t="n"/>
      <c r="F1215" s="44" t="n"/>
      <c r="G1215" s="23" t="n"/>
      <c r="H1215" s="23" t="n"/>
      <c r="I1215" s="23" t="n"/>
      <c r="J1215" s="23" t="n"/>
      <c r="K1215" s="45">
        <f>IF(A1215="","",SUM(G$2:I1215)-SUM(J$2:J1215))</f>
        <v/>
      </c>
      <c r="L1215" s="46" t="n"/>
      <c r="M1215">
        <f>IF(A1215="","",IF(A1215=A1214,M1214,N(M1214)+1))</f>
        <v/>
      </c>
      <c r="N1215">
        <f>IF(E1215="",99999,E1215)</f>
        <v/>
      </c>
      <c r="O1215">
        <f>IF(E1215="",0,IF(F1215="",E1215,F1215))</f>
        <v/>
      </c>
      <c r="P1215">
        <f>IF(E1215="",1,MAX(1,(YEAR(O1215)-YEAR(N1215))*12+MONTH(O1215)-MONTH(N1215)+1))</f>
        <v/>
      </c>
      <c r="Q1215">
        <f>IF(G1215="",0,G1215/P1215)</f>
        <v/>
      </c>
      <c r="R1215">
        <f>IF(H1215="",0,H1215/P1215)</f>
        <v/>
      </c>
    </row>
    <row r="1216">
      <c r="A1216" s="43" t="n"/>
      <c r="B1216" s="28" t="n"/>
      <c r="C1216" s="28" t="n"/>
      <c r="D1216" s="28" t="n"/>
      <c r="E1216" s="44" t="n"/>
      <c r="F1216" s="44" t="n"/>
      <c r="G1216" s="23" t="n"/>
      <c r="H1216" s="23" t="n"/>
      <c r="I1216" s="23" t="n"/>
      <c r="J1216" s="23" t="n"/>
      <c r="K1216" s="45">
        <f>IF(A1216="","",SUM(G$2:I1216)-SUM(J$2:J1216))</f>
        <v/>
      </c>
      <c r="L1216" s="46" t="n"/>
      <c r="M1216">
        <f>IF(A1216="","",IF(A1216=A1215,M1215,N(M1215)+1))</f>
        <v/>
      </c>
      <c r="N1216">
        <f>IF(E1216="",99999,E1216)</f>
        <v/>
      </c>
      <c r="O1216">
        <f>IF(E1216="",0,IF(F1216="",E1216,F1216))</f>
        <v/>
      </c>
      <c r="P1216">
        <f>IF(E1216="",1,MAX(1,(YEAR(O1216)-YEAR(N1216))*12+MONTH(O1216)-MONTH(N1216)+1))</f>
        <v/>
      </c>
      <c r="Q1216">
        <f>IF(G1216="",0,G1216/P1216)</f>
        <v/>
      </c>
      <c r="R1216">
        <f>IF(H1216="",0,H1216/P1216)</f>
        <v/>
      </c>
    </row>
    <row r="1217">
      <c r="A1217" s="43" t="n"/>
      <c r="B1217" s="28" t="n"/>
      <c r="C1217" s="28" t="n"/>
      <c r="D1217" s="28" t="n"/>
      <c r="E1217" s="44" t="n"/>
      <c r="F1217" s="44" t="n"/>
      <c r="G1217" s="23" t="n"/>
      <c r="H1217" s="23" t="n"/>
      <c r="I1217" s="23" t="n"/>
      <c r="J1217" s="23" t="n"/>
      <c r="K1217" s="45">
        <f>IF(A1217="","",SUM(G$2:I1217)-SUM(J$2:J1217))</f>
        <v/>
      </c>
      <c r="L1217" s="46" t="n"/>
      <c r="M1217">
        <f>IF(A1217="","",IF(A1217=A1216,M1216,N(M1216)+1))</f>
        <v/>
      </c>
      <c r="N1217">
        <f>IF(E1217="",99999,E1217)</f>
        <v/>
      </c>
      <c r="O1217">
        <f>IF(E1217="",0,IF(F1217="",E1217,F1217))</f>
        <v/>
      </c>
      <c r="P1217">
        <f>IF(E1217="",1,MAX(1,(YEAR(O1217)-YEAR(N1217))*12+MONTH(O1217)-MONTH(N1217)+1))</f>
        <v/>
      </c>
      <c r="Q1217">
        <f>IF(G1217="",0,G1217/P1217)</f>
        <v/>
      </c>
      <c r="R1217">
        <f>IF(H1217="",0,H1217/P1217)</f>
        <v/>
      </c>
    </row>
    <row r="1218">
      <c r="A1218" s="43" t="n"/>
      <c r="B1218" s="28" t="n"/>
      <c r="C1218" s="28" t="n"/>
      <c r="D1218" s="28" t="n"/>
      <c r="E1218" s="44" t="n"/>
      <c r="F1218" s="44" t="n"/>
      <c r="G1218" s="23" t="n"/>
      <c r="H1218" s="23" t="n"/>
      <c r="I1218" s="23" t="n"/>
      <c r="J1218" s="23" t="n"/>
      <c r="K1218" s="45">
        <f>IF(A1218="","",SUM(G$2:I1218)-SUM(J$2:J1218))</f>
        <v/>
      </c>
      <c r="L1218" s="46" t="n"/>
      <c r="M1218">
        <f>IF(A1218="","",IF(A1218=A1217,M1217,N(M1217)+1))</f>
        <v/>
      </c>
      <c r="N1218">
        <f>IF(E1218="",99999,E1218)</f>
        <v/>
      </c>
      <c r="O1218">
        <f>IF(E1218="",0,IF(F1218="",E1218,F1218))</f>
        <v/>
      </c>
      <c r="P1218">
        <f>IF(E1218="",1,MAX(1,(YEAR(O1218)-YEAR(N1218))*12+MONTH(O1218)-MONTH(N1218)+1))</f>
        <v/>
      </c>
      <c r="Q1218">
        <f>IF(G1218="",0,G1218/P1218)</f>
        <v/>
      </c>
      <c r="R1218">
        <f>IF(H1218="",0,H1218/P1218)</f>
        <v/>
      </c>
    </row>
    <row r="1219">
      <c r="A1219" s="43" t="n"/>
      <c r="B1219" s="28" t="n"/>
      <c r="C1219" s="28" t="n"/>
      <c r="D1219" s="28" t="n"/>
      <c r="E1219" s="44" t="n"/>
      <c r="F1219" s="44" t="n"/>
      <c r="G1219" s="23" t="n"/>
      <c r="H1219" s="23" t="n"/>
      <c r="I1219" s="23" t="n"/>
      <c r="J1219" s="23" t="n"/>
      <c r="K1219" s="45">
        <f>IF(A1219="","",SUM(G$2:I1219)-SUM(J$2:J1219))</f>
        <v/>
      </c>
      <c r="L1219" s="46" t="n"/>
      <c r="M1219">
        <f>IF(A1219="","",IF(A1219=A1218,M1218,N(M1218)+1))</f>
        <v/>
      </c>
      <c r="N1219">
        <f>IF(E1219="",99999,E1219)</f>
        <v/>
      </c>
      <c r="O1219">
        <f>IF(E1219="",0,IF(F1219="",E1219,F1219))</f>
        <v/>
      </c>
      <c r="P1219">
        <f>IF(E1219="",1,MAX(1,(YEAR(O1219)-YEAR(N1219))*12+MONTH(O1219)-MONTH(N1219)+1))</f>
        <v/>
      </c>
      <c r="Q1219">
        <f>IF(G1219="",0,G1219/P1219)</f>
        <v/>
      </c>
      <c r="R1219">
        <f>IF(H1219="",0,H1219/P1219)</f>
        <v/>
      </c>
    </row>
    <row r="1220">
      <c r="A1220" s="43" t="n"/>
      <c r="B1220" s="28" t="n"/>
      <c r="C1220" s="28" t="n"/>
      <c r="D1220" s="28" t="n"/>
      <c r="E1220" s="44" t="n"/>
      <c r="F1220" s="44" t="n"/>
      <c r="G1220" s="23" t="n"/>
      <c r="H1220" s="23" t="n"/>
      <c r="I1220" s="23" t="n"/>
      <c r="J1220" s="23" t="n"/>
      <c r="K1220" s="45">
        <f>IF(A1220="","",SUM(G$2:I1220)-SUM(J$2:J1220))</f>
        <v/>
      </c>
      <c r="L1220" s="46" t="n"/>
      <c r="M1220">
        <f>IF(A1220="","",IF(A1220=A1219,M1219,N(M1219)+1))</f>
        <v/>
      </c>
      <c r="N1220">
        <f>IF(E1220="",99999,E1220)</f>
        <v/>
      </c>
      <c r="O1220">
        <f>IF(E1220="",0,IF(F1220="",E1220,F1220))</f>
        <v/>
      </c>
      <c r="P1220">
        <f>IF(E1220="",1,MAX(1,(YEAR(O1220)-YEAR(N1220))*12+MONTH(O1220)-MONTH(N1220)+1))</f>
        <v/>
      </c>
      <c r="Q1220">
        <f>IF(G1220="",0,G1220/P1220)</f>
        <v/>
      </c>
      <c r="R1220">
        <f>IF(H1220="",0,H1220/P1220)</f>
        <v/>
      </c>
    </row>
    <row r="1221">
      <c r="A1221" s="43" t="n"/>
      <c r="B1221" s="28" t="n"/>
      <c r="C1221" s="28" t="n"/>
      <c r="D1221" s="28" t="n"/>
      <c r="E1221" s="44" t="n"/>
      <c r="F1221" s="44" t="n"/>
      <c r="G1221" s="23" t="n"/>
      <c r="H1221" s="23" t="n"/>
      <c r="I1221" s="23" t="n"/>
      <c r="J1221" s="23" t="n"/>
      <c r="K1221" s="45">
        <f>IF(A1221="","",SUM(G$2:I1221)-SUM(J$2:J1221))</f>
        <v/>
      </c>
      <c r="L1221" s="46" t="n"/>
      <c r="M1221">
        <f>IF(A1221="","",IF(A1221=A1220,M1220,N(M1220)+1))</f>
        <v/>
      </c>
      <c r="N1221">
        <f>IF(E1221="",99999,E1221)</f>
        <v/>
      </c>
      <c r="O1221">
        <f>IF(E1221="",0,IF(F1221="",E1221,F1221))</f>
        <v/>
      </c>
      <c r="P1221">
        <f>IF(E1221="",1,MAX(1,(YEAR(O1221)-YEAR(N1221))*12+MONTH(O1221)-MONTH(N1221)+1))</f>
        <v/>
      </c>
      <c r="Q1221">
        <f>IF(G1221="",0,G1221/P1221)</f>
        <v/>
      </c>
      <c r="R1221">
        <f>IF(H1221="",0,H1221/P1221)</f>
        <v/>
      </c>
    </row>
    <row r="1222">
      <c r="A1222" s="43" t="n"/>
      <c r="B1222" s="28" t="n"/>
      <c r="C1222" s="28" t="n"/>
      <c r="D1222" s="28" t="n"/>
      <c r="E1222" s="44" t="n"/>
      <c r="F1222" s="44" t="n"/>
      <c r="G1222" s="23" t="n"/>
      <c r="H1222" s="23" t="n"/>
      <c r="I1222" s="23" t="n"/>
      <c r="J1222" s="23" t="n"/>
      <c r="K1222" s="45">
        <f>IF(A1222="","",SUM(G$2:I1222)-SUM(J$2:J1222))</f>
        <v/>
      </c>
      <c r="L1222" s="46" t="n"/>
      <c r="M1222">
        <f>IF(A1222="","",IF(A1222=A1221,M1221,N(M1221)+1))</f>
        <v/>
      </c>
      <c r="N1222">
        <f>IF(E1222="",99999,E1222)</f>
        <v/>
      </c>
      <c r="O1222">
        <f>IF(E1222="",0,IF(F1222="",E1222,F1222))</f>
        <v/>
      </c>
      <c r="P1222">
        <f>IF(E1222="",1,MAX(1,(YEAR(O1222)-YEAR(N1222))*12+MONTH(O1222)-MONTH(N1222)+1))</f>
        <v/>
      </c>
      <c r="Q1222">
        <f>IF(G1222="",0,G1222/P1222)</f>
        <v/>
      </c>
      <c r="R1222">
        <f>IF(H1222="",0,H1222/P1222)</f>
        <v/>
      </c>
    </row>
    <row r="1223">
      <c r="A1223" s="43" t="n"/>
      <c r="B1223" s="28" t="n"/>
      <c r="C1223" s="28" t="n"/>
      <c r="D1223" s="28" t="n"/>
      <c r="E1223" s="44" t="n"/>
      <c r="F1223" s="44" t="n"/>
      <c r="G1223" s="23" t="n"/>
      <c r="H1223" s="23" t="n"/>
      <c r="I1223" s="23" t="n"/>
      <c r="J1223" s="23" t="n"/>
      <c r="K1223" s="45">
        <f>IF(A1223="","",SUM(G$2:I1223)-SUM(J$2:J1223))</f>
        <v/>
      </c>
      <c r="L1223" s="46" t="n"/>
      <c r="M1223">
        <f>IF(A1223="","",IF(A1223=A1222,M1222,N(M1222)+1))</f>
        <v/>
      </c>
      <c r="N1223">
        <f>IF(E1223="",99999,E1223)</f>
        <v/>
      </c>
      <c r="O1223">
        <f>IF(E1223="",0,IF(F1223="",E1223,F1223))</f>
        <v/>
      </c>
      <c r="P1223">
        <f>IF(E1223="",1,MAX(1,(YEAR(O1223)-YEAR(N1223))*12+MONTH(O1223)-MONTH(N1223)+1))</f>
        <v/>
      </c>
      <c r="Q1223">
        <f>IF(G1223="",0,G1223/P1223)</f>
        <v/>
      </c>
      <c r="R1223">
        <f>IF(H1223="",0,H1223/P1223)</f>
        <v/>
      </c>
    </row>
    <row r="1224">
      <c r="A1224" s="43" t="n"/>
      <c r="B1224" s="28" t="n"/>
      <c r="C1224" s="28" t="n"/>
      <c r="D1224" s="28" t="n"/>
      <c r="E1224" s="44" t="n"/>
      <c r="F1224" s="44" t="n"/>
      <c r="G1224" s="23" t="n"/>
      <c r="H1224" s="23" t="n"/>
      <c r="I1224" s="23" t="n"/>
      <c r="J1224" s="23" t="n"/>
      <c r="K1224" s="45">
        <f>IF(A1224="","",SUM(G$2:I1224)-SUM(J$2:J1224))</f>
        <v/>
      </c>
      <c r="L1224" s="46" t="n"/>
      <c r="M1224">
        <f>IF(A1224="","",IF(A1224=A1223,M1223,N(M1223)+1))</f>
        <v/>
      </c>
      <c r="N1224">
        <f>IF(E1224="",99999,E1224)</f>
        <v/>
      </c>
      <c r="O1224">
        <f>IF(E1224="",0,IF(F1224="",E1224,F1224))</f>
        <v/>
      </c>
      <c r="P1224">
        <f>IF(E1224="",1,MAX(1,(YEAR(O1224)-YEAR(N1224))*12+MONTH(O1224)-MONTH(N1224)+1))</f>
        <v/>
      </c>
      <c r="Q1224">
        <f>IF(G1224="",0,G1224/P1224)</f>
        <v/>
      </c>
      <c r="R1224">
        <f>IF(H1224="",0,H1224/P1224)</f>
        <v/>
      </c>
    </row>
    <row r="1225">
      <c r="A1225" s="43" t="n"/>
      <c r="B1225" s="28" t="n"/>
      <c r="C1225" s="28" t="n"/>
      <c r="D1225" s="28" t="n"/>
      <c r="E1225" s="44" t="n"/>
      <c r="F1225" s="44" t="n"/>
      <c r="G1225" s="23" t="n"/>
      <c r="H1225" s="23" t="n"/>
      <c r="I1225" s="23" t="n"/>
      <c r="J1225" s="23" t="n"/>
      <c r="K1225" s="45">
        <f>IF(A1225="","",SUM(G$2:I1225)-SUM(J$2:J1225))</f>
        <v/>
      </c>
      <c r="L1225" s="46" t="n"/>
      <c r="M1225">
        <f>IF(A1225="","",IF(A1225=A1224,M1224,N(M1224)+1))</f>
        <v/>
      </c>
      <c r="N1225">
        <f>IF(E1225="",99999,E1225)</f>
        <v/>
      </c>
      <c r="O1225">
        <f>IF(E1225="",0,IF(F1225="",E1225,F1225))</f>
        <v/>
      </c>
      <c r="P1225">
        <f>IF(E1225="",1,MAX(1,(YEAR(O1225)-YEAR(N1225))*12+MONTH(O1225)-MONTH(N1225)+1))</f>
        <v/>
      </c>
      <c r="Q1225">
        <f>IF(G1225="",0,G1225/P1225)</f>
        <v/>
      </c>
      <c r="R1225">
        <f>IF(H1225="",0,H1225/P1225)</f>
        <v/>
      </c>
    </row>
    <row r="1226">
      <c r="A1226" s="43" t="n"/>
      <c r="B1226" s="28" t="n"/>
      <c r="C1226" s="28" t="n"/>
      <c r="D1226" s="28" t="n"/>
      <c r="E1226" s="44" t="n"/>
      <c r="F1226" s="44" t="n"/>
      <c r="G1226" s="23" t="n"/>
      <c r="H1226" s="23" t="n"/>
      <c r="I1226" s="23" t="n"/>
      <c r="J1226" s="23" t="n"/>
      <c r="K1226" s="45">
        <f>IF(A1226="","",SUM(G$2:I1226)-SUM(J$2:J1226))</f>
        <v/>
      </c>
      <c r="L1226" s="46" t="n"/>
      <c r="M1226">
        <f>IF(A1226="","",IF(A1226=A1225,M1225,N(M1225)+1))</f>
        <v/>
      </c>
      <c r="N1226">
        <f>IF(E1226="",99999,E1226)</f>
        <v/>
      </c>
      <c r="O1226">
        <f>IF(E1226="",0,IF(F1226="",E1226,F1226))</f>
        <v/>
      </c>
      <c r="P1226">
        <f>IF(E1226="",1,MAX(1,(YEAR(O1226)-YEAR(N1226))*12+MONTH(O1226)-MONTH(N1226)+1))</f>
        <v/>
      </c>
      <c r="Q1226">
        <f>IF(G1226="",0,G1226/P1226)</f>
        <v/>
      </c>
      <c r="R1226">
        <f>IF(H1226="",0,H1226/P1226)</f>
        <v/>
      </c>
    </row>
    <row r="1227">
      <c r="A1227" s="43" t="n"/>
      <c r="B1227" s="28" t="n"/>
      <c r="C1227" s="28" t="n"/>
      <c r="D1227" s="28" t="n"/>
      <c r="E1227" s="44" t="n"/>
      <c r="F1227" s="44" t="n"/>
      <c r="G1227" s="23" t="n"/>
      <c r="H1227" s="23" t="n"/>
      <c r="I1227" s="23" t="n"/>
      <c r="J1227" s="23" t="n"/>
      <c r="K1227" s="45">
        <f>IF(A1227="","",SUM(G$2:I1227)-SUM(J$2:J1227))</f>
        <v/>
      </c>
      <c r="L1227" s="46" t="n"/>
      <c r="M1227">
        <f>IF(A1227="","",IF(A1227=A1226,M1226,N(M1226)+1))</f>
        <v/>
      </c>
      <c r="N1227">
        <f>IF(E1227="",99999,E1227)</f>
        <v/>
      </c>
      <c r="O1227">
        <f>IF(E1227="",0,IF(F1227="",E1227,F1227))</f>
        <v/>
      </c>
      <c r="P1227">
        <f>IF(E1227="",1,MAX(1,(YEAR(O1227)-YEAR(N1227))*12+MONTH(O1227)-MONTH(N1227)+1))</f>
        <v/>
      </c>
      <c r="Q1227">
        <f>IF(G1227="",0,G1227/P1227)</f>
        <v/>
      </c>
      <c r="R1227">
        <f>IF(H1227="",0,H1227/P1227)</f>
        <v/>
      </c>
    </row>
    <row r="1228">
      <c r="A1228" s="43" t="n"/>
      <c r="B1228" s="28" t="n"/>
      <c r="C1228" s="28" t="n"/>
      <c r="D1228" s="28" t="n"/>
      <c r="E1228" s="44" t="n"/>
      <c r="F1228" s="44" t="n"/>
      <c r="G1228" s="23" t="n"/>
      <c r="H1228" s="23" t="n"/>
      <c r="I1228" s="23" t="n"/>
      <c r="J1228" s="23" t="n"/>
      <c r="K1228" s="45">
        <f>IF(A1228="","",SUM(G$2:I1228)-SUM(J$2:J1228))</f>
        <v/>
      </c>
      <c r="L1228" s="46" t="n"/>
      <c r="M1228">
        <f>IF(A1228="","",IF(A1228=A1227,M1227,N(M1227)+1))</f>
        <v/>
      </c>
      <c r="N1228">
        <f>IF(E1228="",99999,E1228)</f>
        <v/>
      </c>
      <c r="O1228">
        <f>IF(E1228="",0,IF(F1228="",E1228,F1228))</f>
        <v/>
      </c>
      <c r="P1228">
        <f>IF(E1228="",1,MAX(1,(YEAR(O1228)-YEAR(N1228))*12+MONTH(O1228)-MONTH(N1228)+1))</f>
        <v/>
      </c>
      <c r="Q1228">
        <f>IF(G1228="",0,G1228/P1228)</f>
        <v/>
      </c>
      <c r="R1228">
        <f>IF(H1228="",0,H1228/P1228)</f>
        <v/>
      </c>
    </row>
    <row r="1229">
      <c r="A1229" s="43" t="n"/>
      <c r="B1229" s="28" t="n"/>
      <c r="C1229" s="28" t="n"/>
      <c r="D1229" s="28" t="n"/>
      <c r="E1229" s="44" t="n"/>
      <c r="F1229" s="44" t="n"/>
      <c r="G1229" s="23" t="n"/>
      <c r="H1229" s="23" t="n"/>
      <c r="I1229" s="23" t="n"/>
      <c r="J1229" s="23" t="n"/>
      <c r="K1229" s="45">
        <f>IF(A1229="","",SUM(G$2:I1229)-SUM(J$2:J1229))</f>
        <v/>
      </c>
      <c r="L1229" s="46" t="n"/>
      <c r="M1229">
        <f>IF(A1229="","",IF(A1229=A1228,M1228,N(M1228)+1))</f>
        <v/>
      </c>
      <c r="N1229">
        <f>IF(E1229="",99999,E1229)</f>
        <v/>
      </c>
      <c r="O1229">
        <f>IF(E1229="",0,IF(F1229="",E1229,F1229))</f>
        <v/>
      </c>
      <c r="P1229">
        <f>IF(E1229="",1,MAX(1,(YEAR(O1229)-YEAR(N1229))*12+MONTH(O1229)-MONTH(N1229)+1))</f>
        <v/>
      </c>
      <c r="Q1229">
        <f>IF(G1229="",0,G1229/P1229)</f>
        <v/>
      </c>
      <c r="R1229">
        <f>IF(H1229="",0,H1229/P1229)</f>
        <v/>
      </c>
    </row>
    <row r="1230">
      <c r="A1230" s="43" t="n"/>
      <c r="B1230" s="28" t="n"/>
      <c r="C1230" s="28" t="n"/>
      <c r="D1230" s="28" t="n"/>
      <c r="E1230" s="44" t="n"/>
      <c r="F1230" s="44" t="n"/>
      <c r="G1230" s="23" t="n"/>
      <c r="H1230" s="23" t="n"/>
      <c r="I1230" s="23" t="n"/>
      <c r="J1230" s="23" t="n"/>
      <c r="K1230" s="45">
        <f>IF(A1230="","",SUM(G$2:I1230)-SUM(J$2:J1230))</f>
        <v/>
      </c>
      <c r="L1230" s="46" t="n"/>
      <c r="M1230">
        <f>IF(A1230="","",IF(A1230=A1229,M1229,N(M1229)+1))</f>
        <v/>
      </c>
      <c r="N1230">
        <f>IF(E1230="",99999,E1230)</f>
        <v/>
      </c>
      <c r="O1230">
        <f>IF(E1230="",0,IF(F1230="",E1230,F1230))</f>
        <v/>
      </c>
      <c r="P1230">
        <f>IF(E1230="",1,MAX(1,(YEAR(O1230)-YEAR(N1230))*12+MONTH(O1230)-MONTH(N1230)+1))</f>
        <v/>
      </c>
      <c r="Q1230">
        <f>IF(G1230="",0,G1230/P1230)</f>
        <v/>
      </c>
      <c r="R1230">
        <f>IF(H1230="",0,H1230/P1230)</f>
        <v/>
      </c>
    </row>
    <row r="1231">
      <c r="A1231" s="43" t="n"/>
      <c r="B1231" s="28" t="n"/>
      <c r="C1231" s="28" t="n"/>
      <c r="D1231" s="28" t="n"/>
      <c r="E1231" s="44" t="n"/>
      <c r="F1231" s="44" t="n"/>
      <c r="G1231" s="23" t="n"/>
      <c r="H1231" s="23" t="n"/>
      <c r="I1231" s="23" t="n"/>
      <c r="J1231" s="23" t="n"/>
      <c r="K1231" s="45">
        <f>IF(A1231="","",SUM(G$2:I1231)-SUM(J$2:J1231))</f>
        <v/>
      </c>
      <c r="L1231" s="46" t="n"/>
      <c r="M1231">
        <f>IF(A1231="","",IF(A1231=A1230,M1230,N(M1230)+1))</f>
        <v/>
      </c>
      <c r="N1231">
        <f>IF(E1231="",99999,E1231)</f>
        <v/>
      </c>
      <c r="O1231">
        <f>IF(E1231="",0,IF(F1231="",E1231,F1231))</f>
        <v/>
      </c>
      <c r="P1231">
        <f>IF(E1231="",1,MAX(1,(YEAR(O1231)-YEAR(N1231))*12+MONTH(O1231)-MONTH(N1231)+1))</f>
        <v/>
      </c>
      <c r="Q1231">
        <f>IF(G1231="",0,G1231/P1231)</f>
        <v/>
      </c>
      <c r="R1231">
        <f>IF(H1231="",0,H1231/P1231)</f>
        <v/>
      </c>
    </row>
    <row r="1232">
      <c r="A1232" s="43" t="n"/>
      <c r="B1232" s="28" t="n"/>
      <c r="C1232" s="28" t="n"/>
      <c r="D1232" s="28" t="n"/>
      <c r="E1232" s="44" t="n"/>
      <c r="F1232" s="44" t="n"/>
      <c r="G1232" s="23" t="n"/>
      <c r="H1232" s="23" t="n"/>
      <c r="I1232" s="23" t="n"/>
      <c r="J1232" s="23" t="n"/>
      <c r="K1232" s="45">
        <f>IF(A1232="","",SUM(G$2:I1232)-SUM(J$2:J1232))</f>
        <v/>
      </c>
      <c r="L1232" s="46" t="n"/>
      <c r="M1232">
        <f>IF(A1232="","",IF(A1232=A1231,M1231,N(M1231)+1))</f>
        <v/>
      </c>
      <c r="N1232">
        <f>IF(E1232="",99999,E1232)</f>
        <v/>
      </c>
      <c r="O1232">
        <f>IF(E1232="",0,IF(F1232="",E1232,F1232))</f>
        <v/>
      </c>
      <c r="P1232">
        <f>IF(E1232="",1,MAX(1,(YEAR(O1232)-YEAR(N1232))*12+MONTH(O1232)-MONTH(N1232)+1))</f>
        <v/>
      </c>
      <c r="Q1232">
        <f>IF(G1232="",0,G1232/P1232)</f>
        <v/>
      </c>
      <c r="R1232">
        <f>IF(H1232="",0,H1232/P1232)</f>
        <v/>
      </c>
    </row>
    <row r="1233">
      <c r="A1233" s="43" t="n"/>
      <c r="B1233" s="28" t="n"/>
      <c r="C1233" s="28" t="n"/>
      <c r="D1233" s="28" t="n"/>
      <c r="E1233" s="44" t="n"/>
      <c r="F1233" s="44" t="n"/>
      <c r="G1233" s="23" t="n"/>
      <c r="H1233" s="23" t="n"/>
      <c r="I1233" s="23" t="n"/>
      <c r="J1233" s="23" t="n"/>
      <c r="K1233" s="45">
        <f>IF(A1233="","",SUM(G$2:I1233)-SUM(J$2:J1233))</f>
        <v/>
      </c>
      <c r="L1233" s="46" t="n"/>
      <c r="M1233">
        <f>IF(A1233="","",IF(A1233=A1232,M1232,N(M1232)+1))</f>
        <v/>
      </c>
      <c r="N1233">
        <f>IF(E1233="",99999,E1233)</f>
        <v/>
      </c>
      <c r="O1233">
        <f>IF(E1233="",0,IF(F1233="",E1233,F1233))</f>
        <v/>
      </c>
      <c r="P1233">
        <f>IF(E1233="",1,MAX(1,(YEAR(O1233)-YEAR(N1233))*12+MONTH(O1233)-MONTH(N1233)+1))</f>
        <v/>
      </c>
      <c r="Q1233">
        <f>IF(G1233="",0,G1233/P1233)</f>
        <v/>
      </c>
      <c r="R1233">
        <f>IF(H1233="",0,H1233/P1233)</f>
        <v/>
      </c>
    </row>
    <row r="1234">
      <c r="A1234" s="43" t="n"/>
      <c r="B1234" s="28" t="n"/>
      <c r="C1234" s="28" t="n"/>
      <c r="D1234" s="28" t="n"/>
      <c r="E1234" s="44" t="n"/>
      <c r="F1234" s="44" t="n"/>
      <c r="G1234" s="23" t="n"/>
      <c r="H1234" s="23" t="n"/>
      <c r="I1234" s="23" t="n"/>
      <c r="J1234" s="23" t="n"/>
      <c r="K1234" s="45">
        <f>IF(A1234="","",SUM(G$2:I1234)-SUM(J$2:J1234))</f>
        <v/>
      </c>
      <c r="L1234" s="46" t="n"/>
      <c r="M1234">
        <f>IF(A1234="","",IF(A1234=A1233,M1233,N(M1233)+1))</f>
        <v/>
      </c>
      <c r="N1234">
        <f>IF(E1234="",99999,E1234)</f>
        <v/>
      </c>
      <c r="O1234">
        <f>IF(E1234="",0,IF(F1234="",E1234,F1234))</f>
        <v/>
      </c>
      <c r="P1234">
        <f>IF(E1234="",1,MAX(1,(YEAR(O1234)-YEAR(N1234))*12+MONTH(O1234)-MONTH(N1234)+1))</f>
        <v/>
      </c>
      <c r="Q1234">
        <f>IF(G1234="",0,G1234/P1234)</f>
        <v/>
      </c>
      <c r="R1234">
        <f>IF(H1234="",0,H1234/P1234)</f>
        <v/>
      </c>
    </row>
    <row r="1235">
      <c r="A1235" s="43" t="n"/>
      <c r="B1235" s="28" t="n"/>
      <c r="C1235" s="28" t="n"/>
      <c r="D1235" s="28" t="n"/>
      <c r="E1235" s="44" t="n"/>
      <c r="F1235" s="44" t="n"/>
      <c r="G1235" s="23" t="n"/>
      <c r="H1235" s="23" t="n"/>
      <c r="I1235" s="23" t="n"/>
      <c r="J1235" s="23" t="n"/>
      <c r="K1235" s="45">
        <f>IF(A1235="","",SUM(G$2:I1235)-SUM(J$2:J1235))</f>
        <v/>
      </c>
      <c r="L1235" s="46" t="n"/>
      <c r="M1235">
        <f>IF(A1235="","",IF(A1235=A1234,M1234,N(M1234)+1))</f>
        <v/>
      </c>
      <c r="N1235">
        <f>IF(E1235="",99999,E1235)</f>
        <v/>
      </c>
      <c r="O1235">
        <f>IF(E1235="",0,IF(F1235="",E1235,F1235))</f>
        <v/>
      </c>
      <c r="P1235">
        <f>IF(E1235="",1,MAX(1,(YEAR(O1235)-YEAR(N1235))*12+MONTH(O1235)-MONTH(N1235)+1))</f>
        <v/>
      </c>
      <c r="Q1235">
        <f>IF(G1235="",0,G1235/P1235)</f>
        <v/>
      </c>
      <c r="R1235">
        <f>IF(H1235="",0,H1235/P1235)</f>
        <v/>
      </c>
    </row>
    <row r="1236">
      <c r="A1236" s="43" t="n"/>
      <c r="B1236" s="28" t="n"/>
      <c r="C1236" s="28" t="n"/>
      <c r="D1236" s="28" t="n"/>
      <c r="E1236" s="44" t="n"/>
      <c r="F1236" s="44" t="n"/>
      <c r="G1236" s="23" t="n"/>
      <c r="H1236" s="23" t="n"/>
      <c r="I1236" s="23" t="n"/>
      <c r="J1236" s="23" t="n"/>
      <c r="K1236" s="45">
        <f>IF(A1236="","",SUM(G$2:I1236)-SUM(J$2:J1236))</f>
        <v/>
      </c>
      <c r="L1236" s="46" t="n"/>
      <c r="M1236">
        <f>IF(A1236="","",IF(A1236=A1235,M1235,N(M1235)+1))</f>
        <v/>
      </c>
      <c r="N1236">
        <f>IF(E1236="",99999,E1236)</f>
        <v/>
      </c>
      <c r="O1236">
        <f>IF(E1236="",0,IF(F1236="",E1236,F1236))</f>
        <v/>
      </c>
      <c r="P1236">
        <f>IF(E1236="",1,MAX(1,(YEAR(O1236)-YEAR(N1236))*12+MONTH(O1236)-MONTH(N1236)+1))</f>
        <v/>
      </c>
      <c r="Q1236">
        <f>IF(G1236="",0,G1236/P1236)</f>
        <v/>
      </c>
      <c r="R1236">
        <f>IF(H1236="",0,H1236/P1236)</f>
        <v/>
      </c>
    </row>
    <row r="1237">
      <c r="A1237" s="43" t="n"/>
      <c r="B1237" s="28" t="n"/>
      <c r="C1237" s="28" t="n"/>
      <c r="D1237" s="28" t="n"/>
      <c r="E1237" s="44" t="n"/>
      <c r="F1237" s="44" t="n"/>
      <c r="G1237" s="23" t="n"/>
      <c r="H1237" s="23" t="n"/>
      <c r="I1237" s="23" t="n"/>
      <c r="J1237" s="23" t="n"/>
      <c r="K1237" s="45">
        <f>IF(A1237="","",SUM(G$2:I1237)-SUM(J$2:J1237))</f>
        <v/>
      </c>
      <c r="L1237" s="46" t="n"/>
      <c r="M1237">
        <f>IF(A1237="","",IF(A1237=A1236,M1236,N(M1236)+1))</f>
        <v/>
      </c>
      <c r="N1237">
        <f>IF(E1237="",99999,E1237)</f>
        <v/>
      </c>
      <c r="O1237">
        <f>IF(E1237="",0,IF(F1237="",E1237,F1237))</f>
        <v/>
      </c>
      <c r="P1237">
        <f>IF(E1237="",1,MAX(1,(YEAR(O1237)-YEAR(N1237))*12+MONTH(O1237)-MONTH(N1237)+1))</f>
        <v/>
      </c>
      <c r="Q1237">
        <f>IF(G1237="",0,G1237/P1237)</f>
        <v/>
      </c>
      <c r="R1237">
        <f>IF(H1237="",0,H1237/P1237)</f>
        <v/>
      </c>
    </row>
    <row r="1238">
      <c r="A1238" s="43" t="n"/>
      <c r="B1238" s="28" t="n"/>
      <c r="C1238" s="28" t="n"/>
      <c r="D1238" s="28" t="n"/>
      <c r="E1238" s="44" t="n"/>
      <c r="F1238" s="44" t="n"/>
      <c r="G1238" s="23" t="n"/>
      <c r="H1238" s="23" t="n"/>
      <c r="I1238" s="23" t="n"/>
      <c r="J1238" s="23" t="n"/>
      <c r="K1238" s="45">
        <f>IF(A1238="","",SUM(G$2:I1238)-SUM(J$2:J1238))</f>
        <v/>
      </c>
      <c r="L1238" s="46" t="n"/>
      <c r="M1238">
        <f>IF(A1238="","",IF(A1238=A1237,M1237,N(M1237)+1))</f>
        <v/>
      </c>
      <c r="N1238">
        <f>IF(E1238="",99999,E1238)</f>
        <v/>
      </c>
      <c r="O1238">
        <f>IF(E1238="",0,IF(F1238="",E1238,F1238))</f>
        <v/>
      </c>
      <c r="P1238">
        <f>IF(E1238="",1,MAX(1,(YEAR(O1238)-YEAR(N1238))*12+MONTH(O1238)-MONTH(N1238)+1))</f>
        <v/>
      </c>
      <c r="Q1238">
        <f>IF(G1238="",0,G1238/P1238)</f>
        <v/>
      </c>
      <c r="R1238">
        <f>IF(H1238="",0,H1238/P1238)</f>
        <v/>
      </c>
    </row>
    <row r="1239">
      <c r="A1239" s="43" t="n"/>
      <c r="B1239" s="28" t="n"/>
      <c r="C1239" s="28" t="n"/>
      <c r="D1239" s="28" t="n"/>
      <c r="E1239" s="44" t="n"/>
      <c r="F1239" s="44" t="n"/>
      <c r="G1239" s="23" t="n"/>
      <c r="H1239" s="23" t="n"/>
      <c r="I1239" s="23" t="n"/>
      <c r="J1239" s="23" t="n"/>
      <c r="K1239" s="45">
        <f>IF(A1239="","",SUM(G$2:I1239)-SUM(J$2:J1239))</f>
        <v/>
      </c>
      <c r="L1239" s="46" t="n"/>
      <c r="M1239">
        <f>IF(A1239="","",IF(A1239=A1238,M1238,N(M1238)+1))</f>
        <v/>
      </c>
      <c r="N1239">
        <f>IF(E1239="",99999,E1239)</f>
        <v/>
      </c>
      <c r="O1239">
        <f>IF(E1239="",0,IF(F1239="",E1239,F1239))</f>
        <v/>
      </c>
      <c r="P1239">
        <f>IF(E1239="",1,MAX(1,(YEAR(O1239)-YEAR(N1239))*12+MONTH(O1239)-MONTH(N1239)+1))</f>
        <v/>
      </c>
      <c r="Q1239">
        <f>IF(G1239="",0,G1239/P1239)</f>
        <v/>
      </c>
      <c r="R1239">
        <f>IF(H1239="",0,H1239/P1239)</f>
        <v/>
      </c>
    </row>
    <row r="1240">
      <c r="A1240" s="43" t="n"/>
      <c r="B1240" s="28" t="n"/>
      <c r="C1240" s="28" t="n"/>
      <c r="D1240" s="28" t="n"/>
      <c r="E1240" s="44" t="n"/>
      <c r="F1240" s="44" t="n"/>
      <c r="G1240" s="23" t="n"/>
      <c r="H1240" s="23" t="n"/>
      <c r="I1240" s="23" t="n"/>
      <c r="J1240" s="23" t="n"/>
      <c r="K1240" s="45">
        <f>IF(A1240="","",SUM(G$2:I1240)-SUM(J$2:J1240))</f>
        <v/>
      </c>
      <c r="L1240" s="46" t="n"/>
      <c r="M1240">
        <f>IF(A1240="","",IF(A1240=A1239,M1239,N(M1239)+1))</f>
        <v/>
      </c>
      <c r="N1240">
        <f>IF(E1240="",99999,E1240)</f>
        <v/>
      </c>
      <c r="O1240">
        <f>IF(E1240="",0,IF(F1240="",E1240,F1240))</f>
        <v/>
      </c>
      <c r="P1240">
        <f>IF(E1240="",1,MAX(1,(YEAR(O1240)-YEAR(N1240))*12+MONTH(O1240)-MONTH(N1240)+1))</f>
        <v/>
      </c>
      <c r="Q1240">
        <f>IF(G1240="",0,G1240/P1240)</f>
        <v/>
      </c>
      <c r="R1240">
        <f>IF(H1240="",0,H1240/P1240)</f>
        <v/>
      </c>
    </row>
    <row r="1241">
      <c r="A1241" s="43" t="n"/>
      <c r="B1241" s="28" t="n"/>
      <c r="C1241" s="28" t="n"/>
      <c r="D1241" s="28" t="n"/>
      <c r="E1241" s="44" t="n"/>
      <c r="F1241" s="44" t="n"/>
      <c r="G1241" s="23" t="n"/>
      <c r="H1241" s="23" t="n"/>
      <c r="I1241" s="23" t="n"/>
      <c r="J1241" s="23" t="n"/>
      <c r="K1241" s="45">
        <f>IF(A1241="","",SUM(G$2:I1241)-SUM(J$2:J1241))</f>
        <v/>
      </c>
      <c r="L1241" s="46" t="n"/>
      <c r="M1241">
        <f>IF(A1241="","",IF(A1241=A1240,M1240,N(M1240)+1))</f>
        <v/>
      </c>
      <c r="N1241">
        <f>IF(E1241="",99999,E1241)</f>
        <v/>
      </c>
      <c r="O1241">
        <f>IF(E1241="",0,IF(F1241="",E1241,F1241))</f>
        <v/>
      </c>
      <c r="P1241">
        <f>IF(E1241="",1,MAX(1,(YEAR(O1241)-YEAR(N1241))*12+MONTH(O1241)-MONTH(N1241)+1))</f>
        <v/>
      </c>
      <c r="Q1241">
        <f>IF(G1241="",0,G1241/P1241)</f>
        <v/>
      </c>
      <c r="R1241">
        <f>IF(H1241="",0,H1241/P1241)</f>
        <v/>
      </c>
    </row>
    <row r="1242">
      <c r="A1242" s="43" t="n"/>
      <c r="B1242" s="28" t="n"/>
      <c r="C1242" s="28" t="n"/>
      <c r="D1242" s="28" t="n"/>
      <c r="E1242" s="44" t="n"/>
      <c r="F1242" s="44" t="n"/>
      <c r="G1242" s="23" t="n"/>
      <c r="H1242" s="23" t="n"/>
      <c r="I1242" s="23" t="n"/>
      <c r="J1242" s="23" t="n"/>
      <c r="K1242" s="45">
        <f>IF(A1242="","",SUM(G$2:I1242)-SUM(J$2:J1242))</f>
        <v/>
      </c>
      <c r="L1242" s="46" t="n"/>
      <c r="M1242">
        <f>IF(A1242="","",IF(A1242=A1241,M1241,N(M1241)+1))</f>
        <v/>
      </c>
      <c r="N1242">
        <f>IF(E1242="",99999,E1242)</f>
        <v/>
      </c>
      <c r="O1242">
        <f>IF(E1242="",0,IF(F1242="",E1242,F1242))</f>
        <v/>
      </c>
      <c r="P1242">
        <f>IF(E1242="",1,MAX(1,(YEAR(O1242)-YEAR(N1242))*12+MONTH(O1242)-MONTH(N1242)+1))</f>
        <v/>
      </c>
      <c r="Q1242">
        <f>IF(G1242="",0,G1242/P1242)</f>
        <v/>
      </c>
      <c r="R1242">
        <f>IF(H1242="",0,H1242/P1242)</f>
        <v/>
      </c>
    </row>
    <row r="1243">
      <c r="A1243" s="43" t="n"/>
      <c r="B1243" s="28" t="n"/>
      <c r="C1243" s="28" t="n"/>
      <c r="D1243" s="28" t="n"/>
      <c r="E1243" s="44" t="n"/>
      <c r="F1243" s="44" t="n"/>
      <c r="G1243" s="23" t="n"/>
      <c r="H1243" s="23" t="n"/>
      <c r="I1243" s="23" t="n"/>
      <c r="J1243" s="23" t="n"/>
      <c r="K1243" s="45">
        <f>IF(A1243="","",SUM(G$2:I1243)-SUM(J$2:J1243))</f>
        <v/>
      </c>
      <c r="L1243" s="46" t="n"/>
      <c r="M1243">
        <f>IF(A1243="","",IF(A1243=A1242,M1242,N(M1242)+1))</f>
        <v/>
      </c>
      <c r="N1243">
        <f>IF(E1243="",99999,E1243)</f>
        <v/>
      </c>
      <c r="O1243">
        <f>IF(E1243="",0,IF(F1243="",E1243,F1243))</f>
        <v/>
      </c>
      <c r="P1243">
        <f>IF(E1243="",1,MAX(1,(YEAR(O1243)-YEAR(N1243))*12+MONTH(O1243)-MONTH(N1243)+1))</f>
        <v/>
      </c>
      <c r="Q1243">
        <f>IF(G1243="",0,G1243/P1243)</f>
        <v/>
      </c>
      <c r="R1243">
        <f>IF(H1243="",0,H1243/P1243)</f>
        <v/>
      </c>
    </row>
    <row r="1244">
      <c r="A1244" s="43" t="n"/>
      <c r="B1244" s="28" t="n"/>
      <c r="C1244" s="28" t="n"/>
      <c r="D1244" s="28" t="n"/>
      <c r="E1244" s="44" t="n"/>
      <c r="F1244" s="44" t="n"/>
      <c r="G1244" s="23" t="n"/>
      <c r="H1244" s="23" t="n"/>
      <c r="I1244" s="23" t="n"/>
      <c r="J1244" s="23" t="n"/>
      <c r="K1244" s="45">
        <f>IF(A1244="","",SUM(G$2:I1244)-SUM(J$2:J1244))</f>
        <v/>
      </c>
      <c r="L1244" s="46" t="n"/>
      <c r="M1244">
        <f>IF(A1244="","",IF(A1244=A1243,M1243,N(M1243)+1))</f>
        <v/>
      </c>
      <c r="N1244">
        <f>IF(E1244="",99999,E1244)</f>
        <v/>
      </c>
      <c r="O1244">
        <f>IF(E1244="",0,IF(F1244="",E1244,F1244))</f>
        <v/>
      </c>
      <c r="P1244">
        <f>IF(E1244="",1,MAX(1,(YEAR(O1244)-YEAR(N1244))*12+MONTH(O1244)-MONTH(N1244)+1))</f>
        <v/>
      </c>
      <c r="Q1244">
        <f>IF(G1244="",0,G1244/P1244)</f>
        <v/>
      </c>
      <c r="R1244">
        <f>IF(H1244="",0,H1244/P1244)</f>
        <v/>
      </c>
    </row>
    <row r="1245">
      <c r="A1245" s="43" t="n"/>
      <c r="B1245" s="28" t="n"/>
      <c r="C1245" s="28" t="n"/>
      <c r="D1245" s="28" t="n"/>
      <c r="E1245" s="44" t="n"/>
      <c r="F1245" s="44" t="n"/>
      <c r="G1245" s="23" t="n"/>
      <c r="H1245" s="23" t="n"/>
      <c r="I1245" s="23" t="n"/>
      <c r="J1245" s="23" t="n"/>
      <c r="K1245" s="45">
        <f>IF(A1245="","",SUM(G$2:I1245)-SUM(J$2:J1245))</f>
        <v/>
      </c>
      <c r="L1245" s="46" t="n"/>
      <c r="M1245">
        <f>IF(A1245="","",IF(A1245=A1244,M1244,N(M1244)+1))</f>
        <v/>
      </c>
      <c r="N1245">
        <f>IF(E1245="",99999,E1245)</f>
        <v/>
      </c>
      <c r="O1245">
        <f>IF(E1245="",0,IF(F1245="",E1245,F1245))</f>
        <v/>
      </c>
      <c r="P1245">
        <f>IF(E1245="",1,MAX(1,(YEAR(O1245)-YEAR(N1245))*12+MONTH(O1245)-MONTH(N1245)+1))</f>
        <v/>
      </c>
      <c r="Q1245">
        <f>IF(G1245="",0,G1245/P1245)</f>
        <v/>
      </c>
      <c r="R1245">
        <f>IF(H1245="",0,H1245/P1245)</f>
        <v/>
      </c>
    </row>
    <row r="1246">
      <c r="A1246" s="43" t="n"/>
      <c r="B1246" s="28" t="n"/>
      <c r="C1246" s="28" t="n"/>
      <c r="D1246" s="28" t="n"/>
      <c r="E1246" s="44" t="n"/>
      <c r="F1246" s="44" t="n"/>
      <c r="G1246" s="23" t="n"/>
      <c r="H1246" s="23" t="n"/>
      <c r="I1246" s="23" t="n"/>
      <c r="J1246" s="23" t="n"/>
      <c r="K1246" s="45">
        <f>IF(A1246="","",SUM(G$2:I1246)-SUM(J$2:J1246))</f>
        <v/>
      </c>
      <c r="L1246" s="46" t="n"/>
      <c r="M1246">
        <f>IF(A1246="","",IF(A1246=A1245,M1245,N(M1245)+1))</f>
        <v/>
      </c>
      <c r="N1246">
        <f>IF(E1246="",99999,E1246)</f>
        <v/>
      </c>
      <c r="O1246">
        <f>IF(E1246="",0,IF(F1246="",E1246,F1246))</f>
        <v/>
      </c>
      <c r="P1246">
        <f>IF(E1246="",1,MAX(1,(YEAR(O1246)-YEAR(N1246))*12+MONTH(O1246)-MONTH(N1246)+1))</f>
        <v/>
      </c>
      <c r="Q1246">
        <f>IF(G1246="",0,G1246/P1246)</f>
        <v/>
      </c>
      <c r="R1246">
        <f>IF(H1246="",0,H1246/P1246)</f>
        <v/>
      </c>
    </row>
    <row r="1247">
      <c r="A1247" s="43" t="n"/>
      <c r="B1247" s="28" t="n"/>
      <c r="C1247" s="28" t="n"/>
      <c r="D1247" s="28" t="n"/>
      <c r="E1247" s="44" t="n"/>
      <c r="F1247" s="44" t="n"/>
      <c r="G1247" s="23" t="n"/>
      <c r="H1247" s="23" t="n"/>
      <c r="I1247" s="23" t="n"/>
      <c r="J1247" s="23" t="n"/>
      <c r="K1247" s="45">
        <f>IF(A1247="","",SUM(G$2:I1247)-SUM(J$2:J1247))</f>
        <v/>
      </c>
      <c r="L1247" s="46" t="n"/>
      <c r="M1247">
        <f>IF(A1247="","",IF(A1247=A1246,M1246,N(M1246)+1))</f>
        <v/>
      </c>
      <c r="N1247">
        <f>IF(E1247="",99999,E1247)</f>
        <v/>
      </c>
      <c r="O1247">
        <f>IF(E1247="",0,IF(F1247="",E1247,F1247))</f>
        <v/>
      </c>
      <c r="P1247">
        <f>IF(E1247="",1,MAX(1,(YEAR(O1247)-YEAR(N1247))*12+MONTH(O1247)-MONTH(N1247)+1))</f>
        <v/>
      </c>
      <c r="Q1247">
        <f>IF(G1247="",0,G1247/P1247)</f>
        <v/>
      </c>
      <c r="R1247">
        <f>IF(H1247="",0,H1247/P1247)</f>
        <v/>
      </c>
    </row>
    <row r="1248">
      <c r="A1248" s="43" t="n"/>
      <c r="B1248" s="28" t="n"/>
      <c r="C1248" s="28" t="n"/>
      <c r="D1248" s="28" t="n"/>
      <c r="E1248" s="44" t="n"/>
      <c r="F1248" s="44" t="n"/>
      <c r="G1248" s="23" t="n"/>
      <c r="H1248" s="23" t="n"/>
      <c r="I1248" s="23" t="n"/>
      <c r="J1248" s="23" t="n"/>
      <c r="K1248" s="45">
        <f>IF(A1248="","",SUM(G$2:I1248)-SUM(J$2:J1248))</f>
        <v/>
      </c>
      <c r="L1248" s="46" t="n"/>
      <c r="M1248">
        <f>IF(A1248="","",IF(A1248=A1247,M1247,N(M1247)+1))</f>
        <v/>
      </c>
      <c r="N1248">
        <f>IF(E1248="",99999,E1248)</f>
        <v/>
      </c>
      <c r="O1248">
        <f>IF(E1248="",0,IF(F1248="",E1248,F1248))</f>
        <v/>
      </c>
      <c r="P1248">
        <f>IF(E1248="",1,MAX(1,(YEAR(O1248)-YEAR(N1248))*12+MONTH(O1248)-MONTH(N1248)+1))</f>
        <v/>
      </c>
      <c r="Q1248">
        <f>IF(G1248="",0,G1248/P1248)</f>
        <v/>
      </c>
      <c r="R1248">
        <f>IF(H1248="",0,H1248/P1248)</f>
        <v/>
      </c>
    </row>
    <row r="1249">
      <c r="A1249" s="43" t="n"/>
      <c r="B1249" s="28" t="n"/>
      <c r="C1249" s="28" t="n"/>
      <c r="D1249" s="28" t="n"/>
      <c r="E1249" s="44" t="n"/>
      <c r="F1249" s="44" t="n"/>
      <c r="G1249" s="23" t="n"/>
      <c r="H1249" s="23" t="n"/>
      <c r="I1249" s="23" t="n"/>
      <c r="J1249" s="23" t="n"/>
      <c r="K1249" s="45">
        <f>IF(A1249="","",SUM(G$2:I1249)-SUM(J$2:J1249))</f>
        <v/>
      </c>
      <c r="L1249" s="46" t="n"/>
      <c r="M1249">
        <f>IF(A1249="","",IF(A1249=A1248,M1248,N(M1248)+1))</f>
        <v/>
      </c>
      <c r="N1249">
        <f>IF(E1249="",99999,E1249)</f>
        <v/>
      </c>
      <c r="O1249">
        <f>IF(E1249="",0,IF(F1249="",E1249,F1249))</f>
        <v/>
      </c>
      <c r="P1249">
        <f>IF(E1249="",1,MAX(1,(YEAR(O1249)-YEAR(N1249))*12+MONTH(O1249)-MONTH(N1249)+1))</f>
        <v/>
      </c>
      <c r="Q1249">
        <f>IF(G1249="",0,G1249/P1249)</f>
        <v/>
      </c>
      <c r="R1249">
        <f>IF(H1249="",0,H1249/P1249)</f>
        <v/>
      </c>
    </row>
    <row r="1250">
      <c r="A1250" s="43" t="n"/>
      <c r="B1250" s="28" t="n"/>
      <c r="C1250" s="28" t="n"/>
      <c r="D1250" s="28" t="n"/>
      <c r="E1250" s="44" t="n"/>
      <c r="F1250" s="44" t="n"/>
      <c r="G1250" s="23" t="n"/>
      <c r="H1250" s="23" t="n"/>
      <c r="I1250" s="23" t="n"/>
      <c r="J1250" s="23" t="n"/>
      <c r="K1250" s="45">
        <f>IF(A1250="","",SUM(G$2:I1250)-SUM(J$2:J1250))</f>
        <v/>
      </c>
      <c r="L1250" s="46" t="n"/>
      <c r="M1250">
        <f>IF(A1250="","",IF(A1250=A1249,M1249,N(M1249)+1))</f>
        <v/>
      </c>
      <c r="N1250">
        <f>IF(E1250="",99999,E1250)</f>
        <v/>
      </c>
      <c r="O1250">
        <f>IF(E1250="",0,IF(F1250="",E1250,F1250))</f>
        <v/>
      </c>
      <c r="P1250">
        <f>IF(E1250="",1,MAX(1,(YEAR(O1250)-YEAR(N1250))*12+MONTH(O1250)-MONTH(N1250)+1))</f>
        <v/>
      </c>
      <c r="Q1250">
        <f>IF(G1250="",0,G1250/P1250)</f>
        <v/>
      </c>
      <c r="R1250">
        <f>IF(H1250="",0,H1250/P1250)</f>
        <v/>
      </c>
    </row>
    <row r="1251">
      <c r="A1251" s="43" t="n"/>
      <c r="B1251" s="28" t="n"/>
      <c r="C1251" s="28" t="n"/>
      <c r="D1251" s="28" t="n"/>
      <c r="E1251" s="44" t="n"/>
      <c r="F1251" s="44" t="n"/>
      <c r="G1251" s="23" t="n"/>
      <c r="H1251" s="23" t="n"/>
      <c r="I1251" s="23" t="n"/>
      <c r="J1251" s="23" t="n"/>
      <c r="K1251" s="45">
        <f>IF(A1251="","",SUM(G$2:I1251)-SUM(J$2:J1251))</f>
        <v/>
      </c>
      <c r="L1251" s="46" t="n"/>
      <c r="M1251">
        <f>IF(A1251="","",IF(A1251=A1250,M1250,N(M1250)+1))</f>
        <v/>
      </c>
      <c r="N1251">
        <f>IF(E1251="",99999,E1251)</f>
        <v/>
      </c>
      <c r="O1251">
        <f>IF(E1251="",0,IF(F1251="",E1251,F1251))</f>
        <v/>
      </c>
      <c r="P1251">
        <f>IF(E1251="",1,MAX(1,(YEAR(O1251)-YEAR(N1251))*12+MONTH(O1251)-MONTH(N1251)+1))</f>
        <v/>
      </c>
      <c r="Q1251">
        <f>IF(G1251="",0,G1251/P1251)</f>
        <v/>
      </c>
      <c r="R1251">
        <f>IF(H1251="",0,H1251/P1251)</f>
        <v/>
      </c>
    </row>
    <row r="1252">
      <c r="A1252" s="43" t="n"/>
      <c r="B1252" s="28" t="n"/>
      <c r="C1252" s="28" t="n"/>
      <c r="D1252" s="28" t="n"/>
      <c r="E1252" s="44" t="n"/>
      <c r="F1252" s="44" t="n"/>
      <c r="G1252" s="23" t="n"/>
      <c r="H1252" s="23" t="n"/>
      <c r="I1252" s="23" t="n"/>
      <c r="J1252" s="23" t="n"/>
      <c r="K1252" s="45">
        <f>IF(A1252="","",SUM(G$2:I1252)-SUM(J$2:J1252))</f>
        <v/>
      </c>
      <c r="L1252" s="46" t="n"/>
      <c r="M1252">
        <f>IF(A1252="","",IF(A1252=A1251,M1251,N(M1251)+1))</f>
        <v/>
      </c>
      <c r="N1252">
        <f>IF(E1252="",99999,E1252)</f>
        <v/>
      </c>
      <c r="O1252">
        <f>IF(E1252="",0,IF(F1252="",E1252,F1252))</f>
        <v/>
      </c>
      <c r="P1252">
        <f>IF(E1252="",1,MAX(1,(YEAR(O1252)-YEAR(N1252))*12+MONTH(O1252)-MONTH(N1252)+1))</f>
        <v/>
      </c>
      <c r="Q1252">
        <f>IF(G1252="",0,G1252/P1252)</f>
        <v/>
      </c>
      <c r="R1252">
        <f>IF(H1252="",0,H1252/P1252)</f>
        <v/>
      </c>
    </row>
    <row r="1253">
      <c r="A1253" s="43" t="n"/>
      <c r="B1253" s="28" t="n"/>
      <c r="C1253" s="28" t="n"/>
      <c r="D1253" s="28" t="n"/>
      <c r="E1253" s="44" t="n"/>
      <c r="F1253" s="44" t="n"/>
      <c r="G1253" s="23" t="n"/>
      <c r="H1253" s="23" t="n"/>
      <c r="I1253" s="23" t="n"/>
      <c r="J1253" s="23" t="n"/>
      <c r="K1253" s="45">
        <f>IF(A1253="","",SUM(G$2:I1253)-SUM(J$2:J1253))</f>
        <v/>
      </c>
      <c r="L1253" s="46" t="n"/>
      <c r="M1253">
        <f>IF(A1253="","",IF(A1253=A1252,M1252,N(M1252)+1))</f>
        <v/>
      </c>
      <c r="N1253">
        <f>IF(E1253="",99999,E1253)</f>
        <v/>
      </c>
      <c r="O1253">
        <f>IF(E1253="",0,IF(F1253="",E1253,F1253))</f>
        <v/>
      </c>
      <c r="P1253">
        <f>IF(E1253="",1,MAX(1,(YEAR(O1253)-YEAR(N1253))*12+MONTH(O1253)-MONTH(N1253)+1))</f>
        <v/>
      </c>
      <c r="Q1253">
        <f>IF(G1253="",0,G1253/P1253)</f>
        <v/>
      </c>
      <c r="R1253">
        <f>IF(H1253="",0,H1253/P1253)</f>
        <v/>
      </c>
    </row>
    <row r="1254">
      <c r="A1254" s="43" t="n"/>
      <c r="B1254" s="28" t="n"/>
      <c r="C1254" s="28" t="n"/>
      <c r="D1254" s="28" t="n"/>
      <c r="E1254" s="44" t="n"/>
      <c r="F1254" s="44" t="n"/>
      <c r="G1254" s="23" t="n"/>
      <c r="H1254" s="23" t="n"/>
      <c r="I1254" s="23" t="n"/>
      <c r="J1254" s="23" t="n"/>
      <c r="K1254" s="45">
        <f>IF(A1254="","",SUM(G$2:I1254)-SUM(J$2:J1254))</f>
        <v/>
      </c>
      <c r="L1254" s="46" t="n"/>
      <c r="M1254">
        <f>IF(A1254="","",IF(A1254=A1253,M1253,N(M1253)+1))</f>
        <v/>
      </c>
      <c r="N1254">
        <f>IF(E1254="",99999,E1254)</f>
        <v/>
      </c>
      <c r="O1254">
        <f>IF(E1254="",0,IF(F1254="",E1254,F1254))</f>
        <v/>
      </c>
      <c r="P1254">
        <f>IF(E1254="",1,MAX(1,(YEAR(O1254)-YEAR(N1254))*12+MONTH(O1254)-MONTH(N1254)+1))</f>
        <v/>
      </c>
      <c r="Q1254">
        <f>IF(G1254="",0,G1254/P1254)</f>
        <v/>
      </c>
      <c r="R1254">
        <f>IF(H1254="",0,H1254/P1254)</f>
        <v/>
      </c>
    </row>
    <row r="1255">
      <c r="A1255" s="43" t="n"/>
      <c r="B1255" s="28" t="n"/>
      <c r="C1255" s="28" t="n"/>
      <c r="D1255" s="28" t="n"/>
      <c r="E1255" s="44" t="n"/>
      <c r="F1255" s="44" t="n"/>
      <c r="G1255" s="23" t="n"/>
      <c r="H1255" s="23" t="n"/>
      <c r="I1255" s="23" t="n"/>
      <c r="J1255" s="23" t="n"/>
      <c r="K1255" s="45">
        <f>IF(A1255="","",SUM(G$2:I1255)-SUM(J$2:J1255))</f>
        <v/>
      </c>
      <c r="L1255" s="46" t="n"/>
      <c r="M1255">
        <f>IF(A1255="","",IF(A1255=A1254,M1254,N(M1254)+1))</f>
        <v/>
      </c>
      <c r="N1255">
        <f>IF(E1255="",99999,E1255)</f>
        <v/>
      </c>
      <c r="O1255">
        <f>IF(E1255="",0,IF(F1255="",E1255,F1255))</f>
        <v/>
      </c>
      <c r="P1255">
        <f>IF(E1255="",1,MAX(1,(YEAR(O1255)-YEAR(N1255))*12+MONTH(O1255)-MONTH(N1255)+1))</f>
        <v/>
      </c>
      <c r="Q1255">
        <f>IF(G1255="",0,G1255/P1255)</f>
        <v/>
      </c>
      <c r="R1255">
        <f>IF(H1255="",0,H1255/P1255)</f>
        <v/>
      </c>
    </row>
    <row r="1256">
      <c r="A1256" s="43" t="n"/>
      <c r="B1256" s="28" t="n"/>
      <c r="C1256" s="28" t="n"/>
      <c r="D1256" s="28" t="n"/>
      <c r="E1256" s="44" t="n"/>
      <c r="F1256" s="44" t="n"/>
      <c r="G1256" s="23" t="n"/>
      <c r="H1256" s="23" t="n"/>
      <c r="I1256" s="23" t="n"/>
      <c r="J1256" s="23" t="n"/>
      <c r="K1256" s="45">
        <f>IF(A1256="","",SUM(G$2:I1256)-SUM(J$2:J1256))</f>
        <v/>
      </c>
      <c r="L1256" s="46" t="n"/>
      <c r="M1256">
        <f>IF(A1256="","",IF(A1256=A1255,M1255,N(M1255)+1))</f>
        <v/>
      </c>
      <c r="N1256">
        <f>IF(E1256="",99999,E1256)</f>
        <v/>
      </c>
      <c r="O1256">
        <f>IF(E1256="",0,IF(F1256="",E1256,F1256))</f>
        <v/>
      </c>
      <c r="P1256">
        <f>IF(E1256="",1,MAX(1,(YEAR(O1256)-YEAR(N1256))*12+MONTH(O1256)-MONTH(N1256)+1))</f>
        <v/>
      </c>
      <c r="Q1256">
        <f>IF(G1256="",0,G1256/P1256)</f>
        <v/>
      </c>
      <c r="R1256">
        <f>IF(H1256="",0,H1256/P1256)</f>
        <v/>
      </c>
    </row>
    <row r="1257">
      <c r="A1257" s="43" t="n"/>
      <c r="B1257" s="28" t="n"/>
      <c r="C1257" s="28" t="n"/>
      <c r="D1257" s="28" t="n"/>
      <c r="E1257" s="44" t="n"/>
      <c r="F1257" s="44" t="n"/>
      <c r="G1257" s="23" t="n"/>
      <c r="H1257" s="23" t="n"/>
      <c r="I1257" s="23" t="n"/>
      <c r="J1257" s="23" t="n"/>
      <c r="K1257" s="45">
        <f>IF(A1257="","",SUM(G$2:I1257)-SUM(J$2:J1257))</f>
        <v/>
      </c>
      <c r="L1257" s="46" t="n"/>
      <c r="M1257">
        <f>IF(A1257="","",IF(A1257=A1256,M1256,N(M1256)+1))</f>
        <v/>
      </c>
      <c r="N1257">
        <f>IF(E1257="",99999,E1257)</f>
        <v/>
      </c>
      <c r="O1257">
        <f>IF(E1257="",0,IF(F1257="",E1257,F1257))</f>
        <v/>
      </c>
      <c r="P1257">
        <f>IF(E1257="",1,MAX(1,(YEAR(O1257)-YEAR(N1257))*12+MONTH(O1257)-MONTH(N1257)+1))</f>
        <v/>
      </c>
      <c r="Q1257">
        <f>IF(G1257="",0,G1257/P1257)</f>
        <v/>
      </c>
      <c r="R1257">
        <f>IF(H1257="",0,H1257/P1257)</f>
        <v/>
      </c>
    </row>
    <row r="1258">
      <c r="A1258" s="43" t="n"/>
      <c r="B1258" s="28" t="n"/>
      <c r="C1258" s="28" t="n"/>
      <c r="D1258" s="28" t="n"/>
      <c r="E1258" s="44" t="n"/>
      <c r="F1258" s="44" t="n"/>
      <c r="G1258" s="23" t="n"/>
      <c r="H1258" s="23" t="n"/>
      <c r="I1258" s="23" t="n"/>
      <c r="J1258" s="23" t="n"/>
      <c r="K1258" s="45">
        <f>IF(A1258="","",SUM(G$2:I1258)-SUM(J$2:J1258))</f>
        <v/>
      </c>
      <c r="L1258" s="46" t="n"/>
      <c r="M1258">
        <f>IF(A1258="","",IF(A1258=A1257,M1257,N(M1257)+1))</f>
        <v/>
      </c>
      <c r="N1258">
        <f>IF(E1258="",99999,E1258)</f>
        <v/>
      </c>
      <c r="O1258">
        <f>IF(E1258="",0,IF(F1258="",E1258,F1258))</f>
        <v/>
      </c>
      <c r="P1258">
        <f>IF(E1258="",1,MAX(1,(YEAR(O1258)-YEAR(N1258))*12+MONTH(O1258)-MONTH(N1258)+1))</f>
        <v/>
      </c>
      <c r="Q1258">
        <f>IF(G1258="",0,G1258/P1258)</f>
        <v/>
      </c>
      <c r="R1258">
        <f>IF(H1258="",0,H1258/P1258)</f>
        <v/>
      </c>
    </row>
    <row r="1259">
      <c r="A1259" s="43" t="n"/>
      <c r="B1259" s="28" t="n"/>
      <c r="C1259" s="28" t="n"/>
      <c r="D1259" s="28" t="n"/>
      <c r="E1259" s="44" t="n"/>
      <c r="F1259" s="44" t="n"/>
      <c r="G1259" s="23" t="n"/>
      <c r="H1259" s="23" t="n"/>
      <c r="I1259" s="23" t="n"/>
      <c r="J1259" s="23" t="n"/>
      <c r="K1259" s="45">
        <f>IF(A1259="","",SUM(G$2:I1259)-SUM(J$2:J1259))</f>
        <v/>
      </c>
      <c r="L1259" s="46" t="n"/>
      <c r="M1259">
        <f>IF(A1259="","",IF(A1259=A1258,M1258,N(M1258)+1))</f>
        <v/>
      </c>
      <c r="N1259">
        <f>IF(E1259="",99999,E1259)</f>
        <v/>
      </c>
      <c r="O1259">
        <f>IF(E1259="",0,IF(F1259="",E1259,F1259))</f>
        <v/>
      </c>
      <c r="P1259">
        <f>IF(E1259="",1,MAX(1,(YEAR(O1259)-YEAR(N1259))*12+MONTH(O1259)-MONTH(N1259)+1))</f>
        <v/>
      </c>
      <c r="Q1259">
        <f>IF(G1259="",0,G1259/P1259)</f>
        <v/>
      </c>
      <c r="R1259">
        <f>IF(H1259="",0,H1259/P1259)</f>
        <v/>
      </c>
    </row>
    <row r="1260">
      <c r="A1260" s="43" t="n"/>
      <c r="B1260" s="28" t="n"/>
      <c r="C1260" s="28" t="n"/>
      <c r="D1260" s="28" t="n"/>
      <c r="E1260" s="44" t="n"/>
      <c r="F1260" s="44" t="n"/>
      <c r="G1260" s="23" t="n"/>
      <c r="H1260" s="23" t="n"/>
      <c r="I1260" s="23" t="n"/>
      <c r="J1260" s="23" t="n"/>
      <c r="K1260" s="45">
        <f>IF(A1260="","",SUM(G$2:I1260)-SUM(J$2:J1260))</f>
        <v/>
      </c>
      <c r="L1260" s="46" t="n"/>
      <c r="M1260">
        <f>IF(A1260="","",IF(A1260=A1259,M1259,N(M1259)+1))</f>
        <v/>
      </c>
      <c r="N1260">
        <f>IF(E1260="",99999,E1260)</f>
        <v/>
      </c>
      <c r="O1260">
        <f>IF(E1260="",0,IF(F1260="",E1260,F1260))</f>
        <v/>
      </c>
      <c r="P1260">
        <f>IF(E1260="",1,MAX(1,(YEAR(O1260)-YEAR(N1260))*12+MONTH(O1260)-MONTH(N1260)+1))</f>
        <v/>
      </c>
      <c r="Q1260">
        <f>IF(G1260="",0,G1260/P1260)</f>
        <v/>
      </c>
      <c r="R1260">
        <f>IF(H1260="",0,H1260/P1260)</f>
        <v/>
      </c>
    </row>
    <row r="1261">
      <c r="A1261" s="43" t="n"/>
      <c r="B1261" s="28" t="n"/>
      <c r="C1261" s="28" t="n"/>
      <c r="D1261" s="28" t="n"/>
      <c r="E1261" s="44" t="n"/>
      <c r="F1261" s="44" t="n"/>
      <c r="G1261" s="23" t="n"/>
      <c r="H1261" s="23" t="n"/>
      <c r="I1261" s="23" t="n"/>
      <c r="J1261" s="23" t="n"/>
      <c r="K1261" s="45">
        <f>IF(A1261="","",SUM(G$2:I1261)-SUM(J$2:J1261))</f>
        <v/>
      </c>
      <c r="L1261" s="46" t="n"/>
      <c r="M1261">
        <f>IF(A1261="","",IF(A1261=A1260,M1260,N(M1260)+1))</f>
        <v/>
      </c>
      <c r="N1261">
        <f>IF(E1261="",99999,E1261)</f>
        <v/>
      </c>
      <c r="O1261">
        <f>IF(E1261="",0,IF(F1261="",E1261,F1261))</f>
        <v/>
      </c>
      <c r="P1261">
        <f>IF(E1261="",1,MAX(1,(YEAR(O1261)-YEAR(N1261))*12+MONTH(O1261)-MONTH(N1261)+1))</f>
        <v/>
      </c>
      <c r="Q1261">
        <f>IF(G1261="",0,G1261/P1261)</f>
        <v/>
      </c>
      <c r="R1261">
        <f>IF(H1261="",0,H1261/P1261)</f>
        <v/>
      </c>
    </row>
    <row r="1262">
      <c r="A1262" s="43" t="n"/>
      <c r="B1262" s="28" t="n"/>
      <c r="C1262" s="28" t="n"/>
      <c r="D1262" s="28" t="n"/>
      <c r="E1262" s="44" t="n"/>
      <c r="F1262" s="44" t="n"/>
      <c r="G1262" s="23" t="n"/>
      <c r="H1262" s="23" t="n"/>
      <c r="I1262" s="23" t="n"/>
      <c r="J1262" s="23" t="n"/>
      <c r="K1262" s="45">
        <f>IF(A1262="","",SUM(G$2:I1262)-SUM(J$2:J1262))</f>
        <v/>
      </c>
      <c r="L1262" s="46" t="n"/>
      <c r="M1262">
        <f>IF(A1262="","",IF(A1262=A1261,M1261,N(M1261)+1))</f>
        <v/>
      </c>
      <c r="N1262">
        <f>IF(E1262="",99999,E1262)</f>
        <v/>
      </c>
      <c r="O1262">
        <f>IF(E1262="",0,IF(F1262="",E1262,F1262))</f>
        <v/>
      </c>
      <c r="P1262">
        <f>IF(E1262="",1,MAX(1,(YEAR(O1262)-YEAR(N1262))*12+MONTH(O1262)-MONTH(N1262)+1))</f>
        <v/>
      </c>
      <c r="Q1262">
        <f>IF(G1262="",0,G1262/P1262)</f>
        <v/>
      </c>
      <c r="R1262">
        <f>IF(H1262="",0,H1262/P1262)</f>
        <v/>
      </c>
    </row>
    <row r="1263">
      <c r="A1263" s="43" t="n"/>
      <c r="B1263" s="28" t="n"/>
      <c r="C1263" s="28" t="n"/>
      <c r="D1263" s="28" t="n"/>
      <c r="E1263" s="44" t="n"/>
      <c r="F1263" s="44" t="n"/>
      <c r="G1263" s="23" t="n"/>
      <c r="H1263" s="23" t="n"/>
      <c r="I1263" s="23" t="n"/>
      <c r="J1263" s="23" t="n"/>
      <c r="K1263" s="45">
        <f>IF(A1263="","",SUM(G$2:I1263)-SUM(J$2:J1263))</f>
        <v/>
      </c>
      <c r="L1263" s="46" t="n"/>
      <c r="M1263">
        <f>IF(A1263="","",IF(A1263=A1262,M1262,N(M1262)+1))</f>
        <v/>
      </c>
      <c r="N1263">
        <f>IF(E1263="",99999,E1263)</f>
        <v/>
      </c>
      <c r="O1263">
        <f>IF(E1263="",0,IF(F1263="",E1263,F1263))</f>
        <v/>
      </c>
      <c r="P1263">
        <f>IF(E1263="",1,MAX(1,(YEAR(O1263)-YEAR(N1263))*12+MONTH(O1263)-MONTH(N1263)+1))</f>
        <v/>
      </c>
      <c r="Q1263">
        <f>IF(G1263="",0,G1263/P1263)</f>
        <v/>
      </c>
      <c r="R1263">
        <f>IF(H1263="",0,H1263/P1263)</f>
        <v/>
      </c>
    </row>
    <row r="1264">
      <c r="A1264" s="43" t="n"/>
      <c r="B1264" s="28" t="n"/>
      <c r="C1264" s="28" t="n"/>
      <c r="D1264" s="28" t="n"/>
      <c r="E1264" s="44" t="n"/>
      <c r="F1264" s="44" t="n"/>
      <c r="G1264" s="23" t="n"/>
      <c r="H1264" s="23" t="n"/>
      <c r="I1264" s="23" t="n"/>
      <c r="J1264" s="23" t="n"/>
      <c r="K1264" s="45">
        <f>IF(A1264="","",SUM(G$2:I1264)-SUM(J$2:J1264))</f>
        <v/>
      </c>
      <c r="L1264" s="46" t="n"/>
      <c r="M1264">
        <f>IF(A1264="","",IF(A1264=A1263,M1263,N(M1263)+1))</f>
        <v/>
      </c>
      <c r="N1264">
        <f>IF(E1264="",99999,E1264)</f>
        <v/>
      </c>
      <c r="O1264">
        <f>IF(E1264="",0,IF(F1264="",E1264,F1264))</f>
        <v/>
      </c>
      <c r="P1264">
        <f>IF(E1264="",1,MAX(1,(YEAR(O1264)-YEAR(N1264))*12+MONTH(O1264)-MONTH(N1264)+1))</f>
        <v/>
      </c>
      <c r="Q1264">
        <f>IF(G1264="",0,G1264/P1264)</f>
        <v/>
      </c>
      <c r="R1264">
        <f>IF(H1264="",0,H1264/P1264)</f>
        <v/>
      </c>
    </row>
    <row r="1265">
      <c r="A1265" s="43" t="n"/>
      <c r="B1265" s="28" t="n"/>
      <c r="C1265" s="28" t="n"/>
      <c r="D1265" s="28" t="n"/>
      <c r="E1265" s="44" t="n"/>
      <c r="F1265" s="44" t="n"/>
      <c r="G1265" s="23" t="n"/>
      <c r="H1265" s="23" t="n"/>
      <c r="I1265" s="23" t="n"/>
      <c r="J1265" s="23" t="n"/>
      <c r="K1265" s="45">
        <f>IF(A1265="","",SUM(G$2:I1265)-SUM(J$2:J1265))</f>
        <v/>
      </c>
      <c r="L1265" s="46" t="n"/>
      <c r="M1265">
        <f>IF(A1265="","",IF(A1265=A1264,M1264,N(M1264)+1))</f>
        <v/>
      </c>
      <c r="N1265">
        <f>IF(E1265="",99999,E1265)</f>
        <v/>
      </c>
      <c r="O1265">
        <f>IF(E1265="",0,IF(F1265="",E1265,F1265))</f>
        <v/>
      </c>
      <c r="P1265">
        <f>IF(E1265="",1,MAX(1,(YEAR(O1265)-YEAR(N1265))*12+MONTH(O1265)-MONTH(N1265)+1))</f>
        <v/>
      </c>
      <c r="Q1265">
        <f>IF(G1265="",0,G1265/P1265)</f>
        <v/>
      </c>
      <c r="R1265">
        <f>IF(H1265="",0,H1265/P1265)</f>
        <v/>
      </c>
    </row>
    <row r="1266">
      <c r="A1266" s="43" t="n"/>
      <c r="B1266" s="28" t="n"/>
      <c r="C1266" s="28" t="n"/>
      <c r="D1266" s="28" t="n"/>
      <c r="E1266" s="44" t="n"/>
      <c r="F1266" s="44" t="n"/>
      <c r="G1266" s="23" t="n"/>
      <c r="H1266" s="23" t="n"/>
      <c r="I1266" s="23" t="n"/>
      <c r="J1266" s="23" t="n"/>
      <c r="K1266" s="45">
        <f>IF(A1266="","",SUM(G$2:I1266)-SUM(J$2:J1266))</f>
        <v/>
      </c>
      <c r="L1266" s="46" t="n"/>
      <c r="M1266">
        <f>IF(A1266="","",IF(A1266=A1265,M1265,N(M1265)+1))</f>
        <v/>
      </c>
      <c r="N1266">
        <f>IF(E1266="",99999,E1266)</f>
        <v/>
      </c>
      <c r="O1266">
        <f>IF(E1266="",0,IF(F1266="",E1266,F1266))</f>
        <v/>
      </c>
      <c r="P1266">
        <f>IF(E1266="",1,MAX(1,(YEAR(O1266)-YEAR(N1266))*12+MONTH(O1266)-MONTH(N1266)+1))</f>
        <v/>
      </c>
      <c r="Q1266">
        <f>IF(G1266="",0,G1266/P1266)</f>
        <v/>
      </c>
      <c r="R1266">
        <f>IF(H1266="",0,H1266/P1266)</f>
        <v/>
      </c>
    </row>
    <row r="1267">
      <c r="A1267" s="43" t="n"/>
      <c r="B1267" s="28" t="n"/>
      <c r="C1267" s="28" t="n"/>
      <c r="D1267" s="28" t="n"/>
      <c r="E1267" s="44" t="n"/>
      <c r="F1267" s="44" t="n"/>
      <c r="G1267" s="23" t="n"/>
      <c r="H1267" s="23" t="n"/>
      <c r="I1267" s="23" t="n"/>
      <c r="J1267" s="23" t="n"/>
      <c r="K1267" s="45">
        <f>IF(A1267="","",SUM(G$2:I1267)-SUM(J$2:J1267))</f>
        <v/>
      </c>
      <c r="L1267" s="46" t="n"/>
      <c r="M1267">
        <f>IF(A1267="","",IF(A1267=A1266,M1266,N(M1266)+1))</f>
        <v/>
      </c>
      <c r="N1267">
        <f>IF(E1267="",99999,E1267)</f>
        <v/>
      </c>
      <c r="O1267">
        <f>IF(E1267="",0,IF(F1267="",E1267,F1267))</f>
        <v/>
      </c>
      <c r="P1267">
        <f>IF(E1267="",1,MAX(1,(YEAR(O1267)-YEAR(N1267))*12+MONTH(O1267)-MONTH(N1267)+1))</f>
        <v/>
      </c>
      <c r="Q1267">
        <f>IF(G1267="",0,G1267/P1267)</f>
        <v/>
      </c>
      <c r="R1267">
        <f>IF(H1267="",0,H1267/P1267)</f>
        <v/>
      </c>
    </row>
    <row r="1268">
      <c r="A1268" s="43" t="n"/>
      <c r="B1268" s="28" t="n"/>
      <c r="C1268" s="28" t="n"/>
      <c r="D1268" s="28" t="n"/>
      <c r="E1268" s="44" t="n"/>
      <c r="F1268" s="44" t="n"/>
      <c r="G1268" s="23" t="n"/>
      <c r="H1268" s="23" t="n"/>
      <c r="I1268" s="23" t="n"/>
      <c r="J1268" s="23" t="n"/>
      <c r="K1268" s="45">
        <f>IF(A1268="","",SUM(G$2:I1268)-SUM(J$2:J1268))</f>
        <v/>
      </c>
      <c r="L1268" s="46" t="n"/>
      <c r="M1268">
        <f>IF(A1268="","",IF(A1268=A1267,M1267,N(M1267)+1))</f>
        <v/>
      </c>
      <c r="N1268">
        <f>IF(E1268="",99999,E1268)</f>
        <v/>
      </c>
      <c r="O1268">
        <f>IF(E1268="",0,IF(F1268="",E1268,F1268))</f>
        <v/>
      </c>
      <c r="P1268">
        <f>IF(E1268="",1,MAX(1,(YEAR(O1268)-YEAR(N1268))*12+MONTH(O1268)-MONTH(N1268)+1))</f>
        <v/>
      </c>
      <c r="Q1268">
        <f>IF(G1268="",0,G1268/P1268)</f>
        <v/>
      </c>
      <c r="R1268">
        <f>IF(H1268="",0,H1268/P1268)</f>
        <v/>
      </c>
    </row>
    <row r="1269">
      <c r="A1269" s="43" t="n"/>
      <c r="B1269" s="28" t="n"/>
      <c r="C1269" s="28" t="n"/>
      <c r="D1269" s="28" t="n"/>
      <c r="E1269" s="44" t="n"/>
      <c r="F1269" s="44" t="n"/>
      <c r="G1269" s="23" t="n"/>
      <c r="H1269" s="23" t="n"/>
      <c r="I1269" s="23" t="n"/>
      <c r="J1269" s="23" t="n"/>
      <c r="K1269" s="45">
        <f>IF(A1269="","",SUM(G$2:I1269)-SUM(J$2:J1269))</f>
        <v/>
      </c>
      <c r="L1269" s="46" t="n"/>
      <c r="M1269">
        <f>IF(A1269="","",IF(A1269=A1268,M1268,N(M1268)+1))</f>
        <v/>
      </c>
      <c r="N1269">
        <f>IF(E1269="",99999,E1269)</f>
        <v/>
      </c>
      <c r="O1269">
        <f>IF(E1269="",0,IF(F1269="",E1269,F1269))</f>
        <v/>
      </c>
      <c r="P1269">
        <f>IF(E1269="",1,MAX(1,(YEAR(O1269)-YEAR(N1269))*12+MONTH(O1269)-MONTH(N1269)+1))</f>
        <v/>
      </c>
      <c r="Q1269">
        <f>IF(G1269="",0,G1269/P1269)</f>
        <v/>
      </c>
      <c r="R1269">
        <f>IF(H1269="",0,H1269/P1269)</f>
        <v/>
      </c>
    </row>
    <row r="1270">
      <c r="A1270" s="43" t="n"/>
      <c r="B1270" s="28" t="n"/>
      <c r="C1270" s="28" t="n"/>
      <c r="D1270" s="28" t="n"/>
      <c r="E1270" s="44" t="n"/>
      <c r="F1270" s="44" t="n"/>
      <c r="G1270" s="23" t="n"/>
      <c r="H1270" s="23" t="n"/>
      <c r="I1270" s="23" t="n"/>
      <c r="J1270" s="23" t="n"/>
      <c r="K1270" s="45">
        <f>IF(A1270="","",SUM(G$2:I1270)-SUM(J$2:J1270))</f>
        <v/>
      </c>
      <c r="L1270" s="46" t="n"/>
      <c r="M1270">
        <f>IF(A1270="","",IF(A1270=A1269,M1269,N(M1269)+1))</f>
        <v/>
      </c>
      <c r="N1270">
        <f>IF(E1270="",99999,E1270)</f>
        <v/>
      </c>
      <c r="O1270">
        <f>IF(E1270="",0,IF(F1270="",E1270,F1270))</f>
        <v/>
      </c>
      <c r="P1270">
        <f>IF(E1270="",1,MAX(1,(YEAR(O1270)-YEAR(N1270))*12+MONTH(O1270)-MONTH(N1270)+1))</f>
        <v/>
      </c>
      <c r="Q1270">
        <f>IF(G1270="",0,G1270/P1270)</f>
        <v/>
      </c>
      <c r="R1270">
        <f>IF(H1270="",0,H1270/P1270)</f>
        <v/>
      </c>
    </row>
    <row r="1271">
      <c r="A1271" s="43" t="n"/>
      <c r="B1271" s="28" t="n"/>
      <c r="C1271" s="28" t="n"/>
      <c r="D1271" s="28" t="n"/>
      <c r="E1271" s="44" t="n"/>
      <c r="F1271" s="44" t="n"/>
      <c r="G1271" s="23" t="n"/>
      <c r="H1271" s="23" t="n"/>
      <c r="I1271" s="23" t="n"/>
      <c r="J1271" s="23" t="n"/>
      <c r="K1271" s="45">
        <f>IF(A1271="","",SUM(G$2:I1271)-SUM(J$2:J1271))</f>
        <v/>
      </c>
      <c r="L1271" s="46" t="n"/>
      <c r="M1271">
        <f>IF(A1271="","",IF(A1271=A1270,M1270,N(M1270)+1))</f>
        <v/>
      </c>
      <c r="N1271">
        <f>IF(E1271="",99999,E1271)</f>
        <v/>
      </c>
      <c r="O1271">
        <f>IF(E1271="",0,IF(F1271="",E1271,F1271))</f>
        <v/>
      </c>
      <c r="P1271">
        <f>IF(E1271="",1,MAX(1,(YEAR(O1271)-YEAR(N1271))*12+MONTH(O1271)-MONTH(N1271)+1))</f>
        <v/>
      </c>
      <c r="Q1271">
        <f>IF(G1271="",0,G1271/P1271)</f>
        <v/>
      </c>
      <c r="R1271">
        <f>IF(H1271="",0,H1271/P1271)</f>
        <v/>
      </c>
    </row>
    <row r="1272">
      <c r="A1272" s="43" t="n"/>
      <c r="B1272" s="28" t="n"/>
      <c r="C1272" s="28" t="n"/>
      <c r="D1272" s="28" t="n"/>
      <c r="E1272" s="44" t="n"/>
      <c r="F1272" s="44" t="n"/>
      <c r="G1272" s="23" t="n"/>
      <c r="H1272" s="23" t="n"/>
      <c r="I1272" s="23" t="n"/>
      <c r="J1272" s="23" t="n"/>
      <c r="K1272" s="45">
        <f>IF(A1272="","",SUM(G$2:I1272)-SUM(J$2:J1272))</f>
        <v/>
      </c>
      <c r="L1272" s="46" t="n"/>
      <c r="M1272">
        <f>IF(A1272="","",IF(A1272=A1271,M1271,N(M1271)+1))</f>
        <v/>
      </c>
      <c r="N1272">
        <f>IF(E1272="",99999,E1272)</f>
        <v/>
      </c>
      <c r="O1272">
        <f>IF(E1272="",0,IF(F1272="",E1272,F1272))</f>
        <v/>
      </c>
      <c r="P1272">
        <f>IF(E1272="",1,MAX(1,(YEAR(O1272)-YEAR(N1272))*12+MONTH(O1272)-MONTH(N1272)+1))</f>
        <v/>
      </c>
      <c r="Q1272">
        <f>IF(G1272="",0,G1272/P1272)</f>
        <v/>
      </c>
      <c r="R1272">
        <f>IF(H1272="",0,H1272/P1272)</f>
        <v/>
      </c>
    </row>
    <row r="1273">
      <c r="A1273" s="43" t="n"/>
      <c r="B1273" s="28" t="n"/>
      <c r="C1273" s="28" t="n"/>
      <c r="D1273" s="28" t="n"/>
      <c r="E1273" s="44" t="n"/>
      <c r="F1273" s="44" t="n"/>
      <c r="G1273" s="23" t="n"/>
      <c r="H1273" s="23" t="n"/>
      <c r="I1273" s="23" t="n"/>
      <c r="J1273" s="23" t="n"/>
      <c r="K1273" s="45">
        <f>IF(A1273="","",SUM(G$2:I1273)-SUM(J$2:J1273))</f>
        <v/>
      </c>
      <c r="L1273" s="46" t="n"/>
      <c r="M1273">
        <f>IF(A1273="","",IF(A1273=A1272,M1272,N(M1272)+1))</f>
        <v/>
      </c>
      <c r="N1273">
        <f>IF(E1273="",99999,E1273)</f>
        <v/>
      </c>
      <c r="O1273">
        <f>IF(E1273="",0,IF(F1273="",E1273,F1273))</f>
        <v/>
      </c>
      <c r="P1273">
        <f>IF(E1273="",1,MAX(1,(YEAR(O1273)-YEAR(N1273))*12+MONTH(O1273)-MONTH(N1273)+1))</f>
        <v/>
      </c>
      <c r="Q1273">
        <f>IF(G1273="",0,G1273/P1273)</f>
        <v/>
      </c>
      <c r="R1273">
        <f>IF(H1273="",0,H1273/P1273)</f>
        <v/>
      </c>
    </row>
    <row r="1274">
      <c r="A1274" s="43" t="n"/>
      <c r="B1274" s="28" t="n"/>
      <c r="C1274" s="28" t="n"/>
      <c r="D1274" s="28" t="n"/>
      <c r="E1274" s="44" t="n"/>
      <c r="F1274" s="44" t="n"/>
      <c r="G1274" s="23" t="n"/>
      <c r="H1274" s="23" t="n"/>
      <c r="I1274" s="23" t="n"/>
      <c r="J1274" s="23" t="n"/>
      <c r="K1274" s="45">
        <f>IF(A1274="","",SUM(G$2:I1274)-SUM(J$2:J1274))</f>
        <v/>
      </c>
      <c r="L1274" s="46" t="n"/>
      <c r="M1274">
        <f>IF(A1274="","",IF(A1274=A1273,M1273,N(M1273)+1))</f>
        <v/>
      </c>
      <c r="N1274">
        <f>IF(E1274="",99999,E1274)</f>
        <v/>
      </c>
      <c r="O1274">
        <f>IF(E1274="",0,IF(F1274="",E1274,F1274))</f>
        <v/>
      </c>
      <c r="P1274">
        <f>IF(E1274="",1,MAX(1,(YEAR(O1274)-YEAR(N1274))*12+MONTH(O1274)-MONTH(N1274)+1))</f>
        <v/>
      </c>
      <c r="Q1274">
        <f>IF(G1274="",0,G1274/P1274)</f>
        <v/>
      </c>
      <c r="R1274">
        <f>IF(H1274="",0,H1274/P1274)</f>
        <v/>
      </c>
    </row>
    <row r="1275">
      <c r="A1275" s="43" t="n"/>
      <c r="B1275" s="28" t="n"/>
      <c r="C1275" s="28" t="n"/>
      <c r="D1275" s="28" t="n"/>
      <c r="E1275" s="44" t="n"/>
      <c r="F1275" s="44" t="n"/>
      <c r="G1275" s="23" t="n"/>
      <c r="H1275" s="23" t="n"/>
      <c r="I1275" s="23" t="n"/>
      <c r="J1275" s="23" t="n"/>
      <c r="K1275" s="45">
        <f>IF(A1275="","",SUM(G$2:I1275)-SUM(J$2:J1275))</f>
        <v/>
      </c>
      <c r="L1275" s="46" t="n"/>
      <c r="M1275">
        <f>IF(A1275="","",IF(A1275=A1274,M1274,N(M1274)+1))</f>
        <v/>
      </c>
      <c r="N1275">
        <f>IF(E1275="",99999,E1275)</f>
        <v/>
      </c>
      <c r="O1275">
        <f>IF(E1275="",0,IF(F1275="",E1275,F1275))</f>
        <v/>
      </c>
      <c r="P1275">
        <f>IF(E1275="",1,MAX(1,(YEAR(O1275)-YEAR(N1275))*12+MONTH(O1275)-MONTH(N1275)+1))</f>
        <v/>
      </c>
      <c r="Q1275">
        <f>IF(G1275="",0,G1275/P1275)</f>
        <v/>
      </c>
      <c r="R1275">
        <f>IF(H1275="",0,H1275/P1275)</f>
        <v/>
      </c>
    </row>
    <row r="1276">
      <c r="A1276" s="43" t="n"/>
      <c r="B1276" s="28" t="n"/>
      <c r="C1276" s="28" t="n"/>
      <c r="D1276" s="28" t="n"/>
      <c r="E1276" s="44" t="n"/>
      <c r="F1276" s="44" t="n"/>
      <c r="G1276" s="23" t="n"/>
      <c r="H1276" s="23" t="n"/>
      <c r="I1276" s="23" t="n"/>
      <c r="J1276" s="23" t="n"/>
      <c r="K1276" s="45">
        <f>IF(A1276="","",SUM(G$2:I1276)-SUM(J$2:J1276))</f>
        <v/>
      </c>
      <c r="L1276" s="46" t="n"/>
      <c r="M1276">
        <f>IF(A1276="","",IF(A1276=A1275,M1275,N(M1275)+1))</f>
        <v/>
      </c>
      <c r="N1276">
        <f>IF(E1276="",99999,E1276)</f>
        <v/>
      </c>
      <c r="O1276">
        <f>IF(E1276="",0,IF(F1276="",E1276,F1276))</f>
        <v/>
      </c>
      <c r="P1276">
        <f>IF(E1276="",1,MAX(1,(YEAR(O1276)-YEAR(N1276))*12+MONTH(O1276)-MONTH(N1276)+1))</f>
        <v/>
      </c>
      <c r="Q1276">
        <f>IF(G1276="",0,G1276/P1276)</f>
        <v/>
      </c>
      <c r="R1276">
        <f>IF(H1276="",0,H1276/P1276)</f>
        <v/>
      </c>
    </row>
    <row r="1277">
      <c r="A1277" s="43" t="n"/>
      <c r="B1277" s="28" t="n"/>
      <c r="C1277" s="28" t="n"/>
      <c r="D1277" s="28" t="n"/>
      <c r="E1277" s="44" t="n"/>
      <c r="F1277" s="44" t="n"/>
      <c r="G1277" s="23" t="n"/>
      <c r="H1277" s="23" t="n"/>
      <c r="I1277" s="23" t="n"/>
      <c r="J1277" s="23" t="n"/>
      <c r="K1277" s="45">
        <f>IF(A1277="","",SUM(G$2:I1277)-SUM(J$2:J1277))</f>
        <v/>
      </c>
      <c r="L1277" s="46" t="n"/>
      <c r="M1277">
        <f>IF(A1277="","",IF(A1277=A1276,M1276,N(M1276)+1))</f>
        <v/>
      </c>
      <c r="N1277">
        <f>IF(E1277="",99999,E1277)</f>
        <v/>
      </c>
      <c r="O1277">
        <f>IF(E1277="",0,IF(F1277="",E1277,F1277))</f>
        <v/>
      </c>
      <c r="P1277">
        <f>IF(E1277="",1,MAX(1,(YEAR(O1277)-YEAR(N1277))*12+MONTH(O1277)-MONTH(N1277)+1))</f>
        <v/>
      </c>
      <c r="Q1277">
        <f>IF(G1277="",0,G1277/P1277)</f>
        <v/>
      </c>
      <c r="R1277">
        <f>IF(H1277="",0,H1277/P1277)</f>
        <v/>
      </c>
    </row>
    <row r="1278">
      <c r="A1278" s="43" t="n"/>
      <c r="B1278" s="28" t="n"/>
      <c r="C1278" s="28" t="n"/>
      <c r="D1278" s="28" t="n"/>
      <c r="E1278" s="44" t="n"/>
      <c r="F1278" s="44" t="n"/>
      <c r="G1278" s="23" t="n"/>
      <c r="H1278" s="23" t="n"/>
      <c r="I1278" s="23" t="n"/>
      <c r="J1278" s="23" t="n"/>
      <c r="K1278" s="45">
        <f>IF(A1278="","",SUM(G$2:I1278)-SUM(J$2:J1278))</f>
        <v/>
      </c>
      <c r="L1278" s="46" t="n"/>
      <c r="M1278">
        <f>IF(A1278="","",IF(A1278=A1277,M1277,N(M1277)+1))</f>
        <v/>
      </c>
      <c r="N1278">
        <f>IF(E1278="",99999,E1278)</f>
        <v/>
      </c>
      <c r="O1278">
        <f>IF(E1278="",0,IF(F1278="",E1278,F1278))</f>
        <v/>
      </c>
      <c r="P1278">
        <f>IF(E1278="",1,MAX(1,(YEAR(O1278)-YEAR(N1278))*12+MONTH(O1278)-MONTH(N1278)+1))</f>
        <v/>
      </c>
      <c r="Q1278">
        <f>IF(G1278="",0,G1278/P1278)</f>
        <v/>
      </c>
      <c r="R1278">
        <f>IF(H1278="",0,H1278/P1278)</f>
        <v/>
      </c>
    </row>
    <row r="1279">
      <c r="A1279" s="43" t="n"/>
      <c r="B1279" s="28" t="n"/>
      <c r="C1279" s="28" t="n"/>
      <c r="D1279" s="28" t="n"/>
      <c r="E1279" s="44" t="n"/>
      <c r="F1279" s="44" t="n"/>
      <c r="G1279" s="23" t="n"/>
      <c r="H1279" s="23" t="n"/>
      <c r="I1279" s="23" t="n"/>
      <c r="J1279" s="23" t="n"/>
      <c r="K1279" s="45">
        <f>IF(A1279="","",SUM(G$2:I1279)-SUM(J$2:J1279))</f>
        <v/>
      </c>
      <c r="L1279" s="46" t="n"/>
      <c r="M1279">
        <f>IF(A1279="","",IF(A1279=A1278,M1278,N(M1278)+1))</f>
        <v/>
      </c>
      <c r="N1279">
        <f>IF(E1279="",99999,E1279)</f>
        <v/>
      </c>
      <c r="O1279">
        <f>IF(E1279="",0,IF(F1279="",E1279,F1279))</f>
        <v/>
      </c>
      <c r="P1279">
        <f>IF(E1279="",1,MAX(1,(YEAR(O1279)-YEAR(N1279))*12+MONTH(O1279)-MONTH(N1279)+1))</f>
        <v/>
      </c>
      <c r="Q1279">
        <f>IF(G1279="",0,G1279/P1279)</f>
        <v/>
      </c>
      <c r="R1279">
        <f>IF(H1279="",0,H1279/P1279)</f>
        <v/>
      </c>
    </row>
    <row r="1280">
      <c r="A1280" s="43" t="n"/>
      <c r="B1280" s="28" t="n"/>
      <c r="C1280" s="28" t="n"/>
      <c r="D1280" s="28" t="n"/>
      <c r="E1280" s="44" t="n"/>
      <c r="F1280" s="44" t="n"/>
      <c r="G1280" s="23" t="n"/>
      <c r="H1280" s="23" t="n"/>
      <c r="I1280" s="23" t="n"/>
      <c r="J1280" s="23" t="n"/>
      <c r="K1280" s="45">
        <f>IF(A1280="","",SUM(G$2:I1280)-SUM(J$2:J1280))</f>
        <v/>
      </c>
      <c r="L1280" s="46" t="n"/>
      <c r="M1280">
        <f>IF(A1280="","",IF(A1280=A1279,M1279,N(M1279)+1))</f>
        <v/>
      </c>
      <c r="N1280">
        <f>IF(E1280="",99999,E1280)</f>
        <v/>
      </c>
      <c r="O1280">
        <f>IF(E1280="",0,IF(F1280="",E1280,F1280))</f>
        <v/>
      </c>
      <c r="P1280">
        <f>IF(E1280="",1,MAX(1,(YEAR(O1280)-YEAR(N1280))*12+MONTH(O1280)-MONTH(N1280)+1))</f>
        <v/>
      </c>
      <c r="Q1280">
        <f>IF(G1280="",0,G1280/P1280)</f>
        <v/>
      </c>
      <c r="R1280">
        <f>IF(H1280="",0,H1280/P1280)</f>
        <v/>
      </c>
    </row>
    <row r="1281">
      <c r="A1281" s="43" t="n"/>
      <c r="B1281" s="28" t="n"/>
      <c r="C1281" s="28" t="n"/>
      <c r="D1281" s="28" t="n"/>
      <c r="E1281" s="44" t="n"/>
      <c r="F1281" s="44" t="n"/>
      <c r="G1281" s="23" t="n"/>
      <c r="H1281" s="23" t="n"/>
      <c r="I1281" s="23" t="n"/>
      <c r="J1281" s="23" t="n"/>
      <c r="K1281" s="45">
        <f>IF(A1281="","",SUM(G$2:I1281)-SUM(J$2:J1281))</f>
        <v/>
      </c>
      <c r="L1281" s="46" t="n"/>
      <c r="M1281">
        <f>IF(A1281="","",IF(A1281=A1280,M1280,N(M1280)+1))</f>
        <v/>
      </c>
      <c r="N1281">
        <f>IF(E1281="",99999,E1281)</f>
        <v/>
      </c>
      <c r="O1281">
        <f>IF(E1281="",0,IF(F1281="",E1281,F1281))</f>
        <v/>
      </c>
      <c r="P1281">
        <f>IF(E1281="",1,MAX(1,(YEAR(O1281)-YEAR(N1281))*12+MONTH(O1281)-MONTH(N1281)+1))</f>
        <v/>
      </c>
      <c r="Q1281">
        <f>IF(G1281="",0,G1281/P1281)</f>
        <v/>
      </c>
      <c r="R1281">
        <f>IF(H1281="",0,H1281/P1281)</f>
        <v/>
      </c>
    </row>
    <row r="1282">
      <c r="A1282" s="43" t="n"/>
      <c r="B1282" s="28" t="n"/>
      <c r="C1282" s="28" t="n"/>
      <c r="D1282" s="28" t="n"/>
      <c r="E1282" s="44" t="n"/>
      <c r="F1282" s="44" t="n"/>
      <c r="G1282" s="23" t="n"/>
      <c r="H1282" s="23" t="n"/>
      <c r="I1282" s="23" t="n"/>
      <c r="J1282" s="23" t="n"/>
      <c r="K1282" s="45">
        <f>IF(A1282="","",SUM(G$2:I1282)-SUM(J$2:J1282))</f>
        <v/>
      </c>
      <c r="L1282" s="46" t="n"/>
      <c r="M1282">
        <f>IF(A1282="","",IF(A1282=A1281,M1281,N(M1281)+1))</f>
        <v/>
      </c>
      <c r="N1282">
        <f>IF(E1282="",99999,E1282)</f>
        <v/>
      </c>
      <c r="O1282">
        <f>IF(E1282="",0,IF(F1282="",E1282,F1282))</f>
        <v/>
      </c>
      <c r="P1282">
        <f>IF(E1282="",1,MAX(1,(YEAR(O1282)-YEAR(N1282))*12+MONTH(O1282)-MONTH(N1282)+1))</f>
        <v/>
      </c>
      <c r="Q1282">
        <f>IF(G1282="",0,G1282/P1282)</f>
        <v/>
      </c>
      <c r="R1282">
        <f>IF(H1282="",0,H1282/P1282)</f>
        <v/>
      </c>
    </row>
    <row r="1283">
      <c r="A1283" s="43" t="n"/>
      <c r="B1283" s="28" t="n"/>
      <c r="C1283" s="28" t="n"/>
      <c r="D1283" s="28" t="n"/>
      <c r="E1283" s="44" t="n"/>
      <c r="F1283" s="44" t="n"/>
      <c r="G1283" s="23" t="n"/>
      <c r="H1283" s="23" t="n"/>
      <c r="I1283" s="23" t="n"/>
      <c r="J1283" s="23" t="n"/>
      <c r="K1283" s="45">
        <f>IF(A1283="","",SUM(G$2:I1283)-SUM(J$2:J1283))</f>
        <v/>
      </c>
      <c r="L1283" s="46" t="n"/>
      <c r="M1283">
        <f>IF(A1283="","",IF(A1283=A1282,M1282,N(M1282)+1))</f>
        <v/>
      </c>
      <c r="N1283">
        <f>IF(E1283="",99999,E1283)</f>
        <v/>
      </c>
      <c r="O1283">
        <f>IF(E1283="",0,IF(F1283="",E1283,F1283))</f>
        <v/>
      </c>
      <c r="P1283">
        <f>IF(E1283="",1,MAX(1,(YEAR(O1283)-YEAR(N1283))*12+MONTH(O1283)-MONTH(N1283)+1))</f>
        <v/>
      </c>
      <c r="Q1283">
        <f>IF(G1283="",0,G1283/P1283)</f>
        <v/>
      </c>
      <c r="R1283">
        <f>IF(H1283="",0,H1283/P1283)</f>
        <v/>
      </c>
    </row>
    <row r="1284">
      <c r="A1284" s="43" t="n"/>
      <c r="B1284" s="28" t="n"/>
      <c r="C1284" s="28" t="n"/>
      <c r="D1284" s="28" t="n"/>
      <c r="E1284" s="44" t="n"/>
      <c r="F1284" s="44" t="n"/>
      <c r="G1284" s="23" t="n"/>
      <c r="H1284" s="23" t="n"/>
      <c r="I1284" s="23" t="n"/>
      <c r="J1284" s="23" t="n"/>
      <c r="K1284" s="45">
        <f>IF(A1284="","",SUM(G$2:I1284)-SUM(J$2:J1284))</f>
        <v/>
      </c>
      <c r="L1284" s="46" t="n"/>
      <c r="M1284">
        <f>IF(A1284="","",IF(A1284=A1283,M1283,N(M1283)+1))</f>
        <v/>
      </c>
      <c r="N1284">
        <f>IF(E1284="",99999,E1284)</f>
        <v/>
      </c>
      <c r="O1284">
        <f>IF(E1284="",0,IF(F1284="",E1284,F1284))</f>
        <v/>
      </c>
      <c r="P1284">
        <f>IF(E1284="",1,MAX(1,(YEAR(O1284)-YEAR(N1284))*12+MONTH(O1284)-MONTH(N1284)+1))</f>
        <v/>
      </c>
      <c r="Q1284">
        <f>IF(G1284="",0,G1284/P1284)</f>
        <v/>
      </c>
      <c r="R1284">
        <f>IF(H1284="",0,H1284/P1284)</f>
        <v/>
      </c>
    </row>
    <row r="1285">
      <c r="A1285" s="43" t="n"/>
      <c r="B1285" s="28" t="n"/>
      <c r="C1285" s="28" t="n"/>
      <c r="D1285" s="28" t="n"/>
      <c r="E1285" s="44" t="n"/>
      <c r="F1285" s="44" t="n"/>
      <c r="G1285" s="23" t="n"/>
      <c r="H1285" s="23" t="n"/>
      <c r="I1285" s="23" t="n"/>
      <c r="J1285" s="23" t="n"/>
      <c r="K1285" s="45">
        <f>IF(A1285="","",SUM(G$2:I1285)-SUM(J$2:J1285))</f>
        <v/>
      </c>
      <c r="L1285" s="46" t="n"/>
      <c r="M1285">
        <f>IF(A1285="","",IF(A1285=A1284,M1284,N(M1284)+1))</f>
        <v/>
      </c>
      <c r="N1285">
        <f>IF(E1285="",99999,E1285)</f>
        <v/>
      </c>
      <c r="O1285">
        <f>IF(E1285="",0,IF(F1285="",E1285,F1285))</f>
        <v/>
      </c>
      <c r="P1285">
        <f>IF(E1285="",1,MAX(1,(YEAR(O1285)-YEAR(N1285))*12+MONTH(O1285)-MONTH(N1285)+1))</f>
        <v/>
      </c>
      <c r="Q1285">
        <f>IF(G1285="",0,G1285/P1285)</f>
        <v/>
      </c>
      <c r="R1285">
        <f>IF(H1285="",0,H1285/P1285)</f>
        <v/>
      </c>
    </row>
    <row r="1286">
      <c r="A1286" s="43" t="n"/>
      <c r="B1286" s="28" t="n"/>
      <c r="C1286" s="28" t="n"/>
      <c r="D1286" s="28" t="n"/>
      <c r="E1286" s="44" t="n"/>
      <c r="F1286" s="44" t="n"/>
      <c r="G1286" s="23" t="n"/>
      <c r="H1286" s="23" t="n"/>
      <c r="I1286" s="23" t="n"/>
      <c r="J1286" s="23" t="n"/>
      <c r="K1286" s="45">
        <f>IF(A1286="","",SUM(G$2:I1286)-SUM(J$2:J1286))</f>
        <v/>
      </c>
      <c r="L1286" s="46" t="n"/>
      <c r="M1286">
        <f>IF(A1286="","",IF(A1286=A1285,M1285,N(M1285)+1))</f>
        <v/>
      </c>
      <c r="N1286">
        <f>IF(E1286="",99999,E1286)</f>
        <v/>
      </c>
      <c r="O1286">
        <f>IF(E1286="",0,IF(F1286="",E1286,F1286))</f>
        <v/>
      </c>
      <c r="P1286">
        <f>IF(E1286="",1,MAX(1,(YEAR(O1286)-YEAR(N1286))*12+MONTH(O1286)-MONTH(N1286)+1))</f>
        <v/>
      </c>
      <c r="Q1286">
        <f>IF(G1286="",0,G1286/P1286)</f>
        <v/>
      </c>
      <c r="R1286">
        <f>IF(H1286="",0,H1286/P1286)</f>
        <v/>
      </c>
    </row>
    <row r="1287">
      <c r="A1287" s="43" t="n"/>
      <c r="B1287" s="28" t="n"/>
      <c r="C1287" s="28" t="n"/>
      <c r="D1287" s="28" t="n"/>
      <c r="E1287" s="44" t="n"/>
      <c r="F1287" s="44" t="n"/>
      <c r="G1287" s="23" t="n"/>
      <c r="H1287" s="23" t="n"/>
      <c r="I1287" s="23" t="n"/>
      <c r="J1287" s="23" t="n"/>
      <c r="K1287" s="45">
        <f>IF(A1287="","",SUM(G$2:I1287)-SUM(J$2:J1287))</f>
        <v/>
      </c>
      <c r="L1287" s="46" t="n"/>
      <c r="M1287">
        <f>IF(A1287="","",IF(A1287=A1286,M1286,N(M1286)+1))</f>
        <v/>
      </c>
      <c r="N1287">
        <f>IF(E1287="",99999,E1287)</f>
        <v/>
      </c>
      <c r="O1287">
        <f>IF(E1287="",0,IF(F1287="",E1287,F1287))</f>
        <v/>
      </c>
      <c r="P1287">
        <f>IF(E1287="",1,MAX(1,(YEAR(O1287)-YEAR(N1287))*12+MONTH(O1287)-MONTH(N1287)+1))</f>
        <v/>
      </c>
      <c r="Q1287">
        <f>IF(G1287="",0,G1287/P1287)</f>
        <v/>
      </c>
      <c r="R1287">
        <f>IF(H1287="",0,H1287/P1287)</f>
        <v/>
      </c>
    </row>
    <row r="1288">
      <c r="A1288" s="43" t="n"/>
      <c r="B1288" s="28" t="n"/>
      <c r="C1288" s="28" t="n"/>
      <c r="D1288" s="28" t="n"/>
      <c r="E1288" s="44" t="n"/>
      <c r="F1288" s="44" t="n"/>
      <c r="G1288" s="23" t="n"/>
      <c r="H1288" s="23" t="n"/>
      <c r="I1288" s="23" t="n"/>
      <c r="J1288" s="23" t="n"/>
      <c r="K1288" s="45">
        <f>IF(A1288="","",SUM(G$2:I1288)-SUM(J$2:J1288))</f>
        <v/>
      </c>
      <c r="L1288" s="46" t="n"/>
      <c r="M1288">
        <f>IF(A1288="","",IF(A1288=A1287,M1287,N(M1287)+1))</f>
        <v/>
      </c>
      <c r="N1288">
        <f>IF(E1288="",99999,E1288)</f>
        <v/>
      </c>
      <c r="O1288">
        <f>IF(E1288="",0,IF(F1288="",E1288,F1288))</f>
        <v/>
      </c>
      <c r="P1288">
        <f>IF(E1288="",1,MAX(1,(YEAR(O1288)-YEAR(N1288))*12+MONTH(O1288)-MONTH(N1288)+1))</f>
        <v/>
      </c>
      <c r="Q1288">
        <f>IF(G1288="",0,G1288/P1288)</f>
        <v/>
      </c>
      <c r="R1288">
        <f>IF(H1288="",0,H1288/P1288)</f>
        <v/>
      </c>
    </row>
    <row r="1289">
      <c r="A1289" s="43" t="n"/>
      <c r="B1289" s="28" t="n"/>
      <c r="C1289" s="28" t="n"/>
      <c r="D1289" s="28" t="n"/>
      <c r="E1289" s="44" t="n"/>
      <c r="F1289" s="44" t="n"/>
      <c r="G1289" s="23" t="n"/>
      <c r="H1289" s="23" t="n"/>
      <c r="I1289" s="23" t="n"/>
      <c r="J1289" s="23" t="n"/>
      <c r="K1289" s="45">
        <f>IF(A1289="","",SUM(G$2:I1289)-SUM(J$2:J1289))</f>
        <v/>
      </c>
      <c r="L1289" s="46" t="n"/>
      <c r="M1289">
        <f>IF(A1289="","",IF(A1289=A1288,M1288,N(M1288)+1))</f>
        <v/>
      </c>
      <c r="N1289">
        <f>IF(E1289="",99999,E1289)</f>
        <v/>
      </c>
      <c r="O1289">
        <f>IF(E1289="",0,IF(F1289="",E1289,F1289))</f>
        <v/>
      </c>
      <c r="P1289">
        <f>IF(E1289="",1,MAX(1,(YEAR(O1289)-YEAR(N1289))*12+MONTH(O1289)-MONTH(N1289)+1))</f>
        <v/>
      </c>
      <c r="Q1289">
        <f>IF(G1289="",0,G1289/P1289)</f>
        <v/>
      </c>
      <c r="R1289">
        <f>IF(H1289="",0,H1289/P1289)</f>
        <v/>
      </c>
    </row>
    <row r="1290">
      <c r="A1290" s="43" t="n"/>
      <c r="B1290" s="28" t="n"/>
      <c r="C1290" s="28" t="n"/>
      <c r="D1290" s="28" t="n"/>
      <c r="E1290" s="44" t="n"/>
      <c r="F1290" s="44" t="n"/>
      <c r="G1290" s="23" t="n"/>
      <c r="H1290" s="23" t="n"/>
      <c r="I1290" s="23" t="n"/>
      <c r="J1290" s="23" t="n"/>
      <c r="K1290" s="45">
        <f>IF(A1290="","",SUM(G$2:I1290)-SUM(J$2:J1290))</f>
        <v/>
      </c>
      <c r="L1290" s="46" t="n"/>
      <c r="M1290">
        <f>IF(A1290="","",IF(A1290=A1289,M1289,N(M1289)+1))</f>
        <v/>
      </c>
      <c r="N1290">
        <f>IF(E1290="",99999,E1290)</f>
        <v/>
      </c>
      <c r="O1290">
        <f>IF(E1290="",0,IF(F1290="",E1290,F1290))</f>
        <v/>
      </c>
      <c r="P1290">
        <f>IF(E1290="",1,MAX(1,(YEAR(O1290)-YEAR(N1290))*12+MONTH(O1290)-MONTH(N1290)+1))</f>
        <v/>
      </c>
      <c r="Q1290">
        <f>IF(G1290="",0,G1290/P1290)</f>
        <v/>
      </c>
      <c r="R1290">
        <f>IF(H1290="",0,H1290/P1290)</f>
        <v/>
      </c>
    </row>
    <row r="1291">
      <c r="A1291" s="43" t="n"/>
      <c r="B1291" s="28" t="n"/>
      <c r="C1291" s="28" t="n"/>
      <c r="D1291" s="28" t="n"/>
      <c r="E1291" s="44" t="n"/>
      <c r="F1291" s="44" t="n"/>
      <c r="G1291" s="23" t="n"/>
      <c r="H1291" s="23" t="n"/>
      <c r="I1291" s="23" t="n"/>
      <c r="J1291" s="23" t="n"/>
      <c r="K1291" s="45">
        <f>IF(A1291="","",SUM(G$2:I1291)-SUM(J$2:J1291))</f>
        <v/>
      </c>
      <c r="L1291" s="46" t="n"/>
      <c r="M1291">
        <f>IF(A1291="","",IF(A1291=A1290,M1290,N(M1290)+1))</f>
        <v/>
      </c>
      <c r="N1291">
        <f>IF(E1291="",99999,E1291)</f>
        <v/>
      </c>
      <c r="O1291">
        <f>IF(E1291="",0,IF(F1291="",E1291,F1291))</f>
        <v/>
      </c>
      <c r="P1291">
        <f>IF(E1291="",1,MAX(1,(YEAR(O1291)-YEAR(N1291))*12+MONTH(O1291)-MONTH(N1291)+1))</f>
        <v/>
      </c>
      <c r="Q1291">
        <f>IF(G1291="",0,G1291/P1291)</f>
        <v/>
      </c>
      <c r="R1291">
        <f>IF(H1291="",0,H1291/P1291)</f>
        <v/>
      </c>
    </row>
    <row r="1292">
      <c r="A1292" s="43" t="n"/>
      <c r="B1292" s="28" t="n"/>
      <c r="C1292" s="28" t="n"/>
      <c r="D1292" s="28" t="n"/>
      <c r="E1292" s="44" t="n"/>
      <c r="F1292" s="44" t="n"/>
      <c r="G1292" s="23" t="n"/>
      <c r="H1292" s="23" t="n"/>
      <c r="I1292" s="23" t="n"/>
      <c r="J1292" s="23" t="n"/>
      <c r="K1292" s="45">
        <f>IF(A1292="","",SUM(G$2:I1292)-SUM(J$2:J1292))</f>
        <v/>
      </c>
      <c r="L1292" s="46" t="n"/>
      <c r="M1292">
        <f>IF(A1292="","",IF(A1292=A1291,M1291,N(M1291)+1))</f>
        <v/>
      </c>
      <c r="N1292">
        <f>IF(E1292="",99999,E1292)</f>
        <v/>
      </c>
      <c r="O1292">
        <f>IF(E1292="",0,IF(F1292="",E1292,F1292))</f>
        <v/>
      </c>
      <c r="P1292">
        <f>IF(E1292="",1,MAX(1,(YEAR(O1292)-YEAR(N1292))*12+MONTH(O1292)-MONTH(N1292)+1))</f>
        <v/>
      </c>
      <c r="Q1292">
        <f>IF(G1292="",0,G1292/P1292)</f>
        <v/>
      </c>
      <c r="R1292">
        <f>IF(H1292="",0,H1292/P1292)</f>
        <v/>
      </c>
    </row>
    <row r="1293">
      <c r="A1293" s="43" t="n"/>
      <c r="B1293" s="28" t="n"/>
      <c r="C1293" s="28" t="n"/>
      <c r="D1293" s="28" t="n"/>
      <c r="E1293" s="44" t="n"/>
      <c r="F1293" s="44" t="n"/>
      <c r="G1293" s="23" t="n"/>
      <c r="H1293" s="23" t="n"/>
      <c r="I1293" s="23" t="n"/>
      <c r="J1293" s="23" t="n"/>
      <c r="K1293" s="45">
        <f>IF(A1293="","",SUM(G$2:I1293)-SUM(J$2:J1293))</f>
        <v/>
      </c>
      <c r="L1293" s="46" t="n"/>
      <c r="M1293">
        <f>IF(A1293="","",IF(A1293=A1292,M1292,N(M1292)+1))</f>
        <v/>
      </c>
      <c r="N1293">
        <f>IF(E1293="",99999,E1293)</f>
        <v/>
      </c>
      <c r="O1293">
        <f>IF(E1293="",0,IF(F1293="",E1293,F1293))</f>
        <v/>
      </c>
      <c r="P1293">
        <f>IF(E1293="",1,MAX(1,(YEAR(O1293)-YEAR(N1293))*12+MONTH(O1293)-MONTH(N1293)+1))</f>
        <v/>
      </c>
      <c r="Q1293">
        <f>IF(G1293="",0,G1293/P1293)</f>
        <v/>
      </c>
      <c r="R1293">
        <f>IF(H1293="",0,H1293/P1293)</f>
        <v/>
      </c>
    </row>
    <row r="1294">
      <c r="A1294" s="43" t="n"/>
      <c r="B1294" s="28" t="n"/>
      <c r="C1294" s="28" t="n"/>
      <c r="D1294" s="28" t="n"/>
      <c r="E1294" s="44" t="n"/>
      <c r="F1294" s="44" t="n"/>
      <c r="G1294" s="23" t="n"/>
      <c r="H1294" s="23" t="n"/>
      <c r="I1294" s="23" t="n"/>
      <c r="J1294" s="23" t="n"/>
      <c r="K1294" s="45">
        <f>IF(A1294="","",SUM(G$2:I1294)-SUM(J$2:J1294))</f>
        <v/>
      </c>
      <c r="L1294" s="46" t="n"/>
      <c r="M1294">
        <f>IF(A1294="","",IF(A1294=A1293,M1293,N(M1293)+1))</f>
        <v/>
      </c>
      <c r="N1294">
        <f>IF(E1294="",99999,E1294)</f>
        <v/>
      </c>
      <c r="O1294">
        <f>IF(E1294="",0,IF(F1294="",E1294,F1294))</f>
        <v/>
      </c>
      <c r="P1294">
        <f>IF(E1294="",1,MAX(1,(YEAR(O1294)-YEAR(N1294))*12+MONTH(O1294)-MONTH(N1294)+1))</f>
        <v/>
      </c>
      <c r="Q1294">
        <f>IF(G1294="",0,G1294/P1294)</f>
        <v/>
      </c>
      <c r="R1294">
        <f>IF(H1294="",0,H1294/P1294)</f>
        <v/>
      </c>
    </row>
    <row r="1295">
      <c r="A1295" s="43" t="n"/>
      <c r="B1295" s="28" t="n"/>
      <c r="C1295" s="28" t="n"/>
      <c r="D1295" s="28" t="n"/>
      <c r="E1295" s="44" t="n"/>
      <c r="F1295" s="44" t="n"/>
      <c r="G1295" s="23" t="n"/>
      <c r="H1295" s="23" t="n"/>
      <c r="I1295" s="23" t="n"/>
      <c r="J1295" s="23" t="n"/>
      <c r="K1295" s="45">
        <f>IF(A1295="","",SUM(G$2:I1295)-SUM(J$2:J1295))</f>
        <v/>
      </c>
      <c r="L1295" s="46" t="n"/>
      <c r="M1295">
        <f>IF(A1295="","",IF(A1295=A1294,M1294,N(M1294)+1))</f>
        <v/>
      </c>
      <c r="N1295">
        <f>IF(E1295="",99999,E1295)</f>
        <v/>
      </c>
      <c r="O1295">
        <f>IF(E1295="",0,IF(F1295="",E1295,F1295))</f>
        <v/>
      </c>
      <c r="P1295">
        <f>IF(E1295="",1,MAX(1,(YEAR(O1295)-YEAR(N1295))*12+MONTH(O1295)-MONTH(N1295)+1))</f>
        <v/>
      </c>
      <c r="Q1295">
        <f>IF(G1295="",0,G1295/P1295)</f>
        <v/>
      </c>
      <c r="R1295">
        <f>IF(H1295="",0,H1295/P1295)</f>
        <v/>
      </c>
    </row>
    <row r="1296">
      <c r="A1296" s="43" t="n"/>
      <c r="B1296" s="28" t="n"/>
      <c r="C1296" s="28" t="n"/>
      <c r="D1296" s="28" t="n"/>
      <c r="E1296" s="44" t="n"/>
      <c r="F1296" s="44" t="n"/>
      <c r="G1296" s="23" t="n"/>
      <c r="H1296" s="23" t="n"/>
      <c r="I1296" s="23" t="n"/>
      <c r="J1296" s="23" t="n"/>
      <c r="K1296" s="45">
        <f>IF(A1296="","",SUM(G$2:I1296)-SUM(J$2:J1296))</f>
        <v/>
      </c>
      <c r="L1296" s="46" t="n"/>
      <c r="M1296">
        <f>IF(A1296="","",IF(A1296=A1295,M1295,N(M1295)+1))</f>
        <v/>
      </c>
      <c r="N1296">
        <f>IF(E1296="",99999,E1296)</f>
        <v/>
      </c>
      <c r="O1296">
        <f>IF(E1296="",0,IF(F1296="",E1296,F1296))</f>
        <v/>
      </c>
      <c r="P1296">
        <f>IF(E1296="",1,MAX(1,(YEAR(O1296)-YEAR(N1296))*12+MONTH(O1296)-MONTH(N1296)+1))</f>
        <v/>
      </c>
      <c r="Q1296">
        <f>IF(G1296="",0,G1296/P1296)</f>
        <v/>
      </c>
      <c r="R1296">
        <f>IF(H1296="",0,H1296/P1296)</f>
        <v/>
      </c>
    </row>
    <row r="1297">
      <c r="A1297" s="43" t="n"/>
      <c r="B1297" s="28" t="n"/>
      <c r="C1297" s="28" t="n"/>
      <c r="D1297" s="28" t="n"/>
      <c r="E1297" s="44" t="n"/>
      <c r="F1297" s="44" t="n"/>
      <c r="G1297" s="23" t="n"/>
      <c r="H1297" s="23" t="n"/>
      <c r="I1297" s="23" t="n"/>
      <c r="J1297" s="23" t="n"/>
      <c r="K1297" s="45">
        <f>IF(A1297="","",SUM(G$2:I1297)-SUM(J$2:J1297))</f>
        <v/>
      </c>
      <c r="L1297" s="46" t="n"/>
      <c r="M1297">
        <f>IF(A1297="","",IF(A1297=A1296,M1296,N(M1296)+1))</f>
        <v/>
      </c>
      <c r="N1297">
        <f>IF(E1297="",99999,E1297)</f>
        <v/>
      </c>
      <c r="O1297">
        <f>IF(E1297="",0,IF(F1297="",E1297,F1297))</f>
        <v/>
      </c>
      <c r="P1297">
        <f>IF(E1297="",1,MAX(1,(YEAR(O1297)-YEAR(N1297))*12+MONTH(O1297)-MONTH(N1297)+1))</f>
        <v/>
      </c>
      <c r="Q1297">
        <f>IF(G1297="",0,G1297/P1297)</f>
        <v/>
      </c>
      <c r="R1297">
        <f>IF(H1297="",0,H1297/P1297)</f>
        <v/>
      </c>
    </row>
    <row r="1298">
      <c r="A1298" s="43" t="n"/>
      <c r="B1298" s="28" t="n"/>
      <c r="C1298" s="28" t="n"/>
      <c r="D1298" s="28" t="n"/>
      <c r="E1298" s="44" t="n"/>
      <c r="F1298" s="44" t="n"/>
      <c r="G1298" s="23" t="n"/>
      <c r="H1298" s="23" t="n"/>
      <c r="I1298" s="23" t="n"/>
      <c r="J1298" s="23" t="n"/>
      <c r="K1298" s="45">
        <f>IF(A1298="","",SUM(G$2:I1298)-SUM(J$2:J1298))</f>
        <v/>
      </c>
      <c r="L1298" s="46" t="n"/>
      <c r="M1298">
        <f>IF(A1298="","",IF(A1298=A1297,M1297,N(M1297)+1))</f>
        <v/>
      </c>
      <c r="N1298">
        <f>IF(E1298="",99999,E1298)</f>
        <v/>
      </c>
      <c r="O1298">
        <f>IF(E1298="",0,IF(F1298="",E1298,F1298))</f>
        <v/>
      </c>
      <c r="P1298">
        <f>IF(E1298="",1,MAX(1,(YEAR(O1298)-YEAR(N1298))*12+MONTH(O1298)-MONTH(N1298)+1))</f>
        <v/>
      </c>
      <c r="Q1298">
        <f>IF(G1298="",0,G1298/P1298)</f>
        <v/>
      </c>
      <c r="R1298">
        <f>IF(H1298="",0,H1298/P1298)</f>
        <v/>
      </c>
    </row>
    <row r="1299">
      <c r="A1299" s="43" t="n"/>
      <c r="B1299" s="28" t="n"/>
      <c r="C1299" s="28" t="n"/>
      <c r="D1299" s="28" t="n"/>
      <c r="E1299" s="44" t="n"/>
      <c r="F1299" s="44" t="n"/>
      <c r="G1299" s="23" t="n"/>
      <c r="H1299" s="23" t="n"/>
      <c r="I1299" s="23" t="n"/>
      <c r="J1299" s="23" t="n"/>
      <c r="K1299" s="45">
        <f>IF(A1299="","",SUM(G$2:I1299)-SUM(J$2:J1299))</f>
        <v/>
      </c>
      <c r="L1299" s="46" t="n"/>
      <c r="M1299">
        <f>IF(A1299="","",IF(A1299=A1298,M1298,N(M1298)+1))</f>
        <v/>
      </c>
      <c r="N1299">
        <f>IF(E1299="",99999,E1299)</f>
        <v/>
      </c>
      <c r="O1299">
        <f>IF(E1299="",0,IF(F1299="",E1299,F1299))</f>
        <v/>
      </c>
      <c r="P1299">
        <f>IF(E1299="",1,MAX(1,(YEAR(O1299)-YEAR(N1299))*12+MONTH(O1299)-MONTH(N1299)+1))</f>
        <v/>
      </c>
      <c r="Q1299">
        <f>IF(G1299="",0,G1299/P1299)</f>
        <v/>
      </c>
      <c r="R1299">
        <f>IF(H1299="",0,H1299/P1299)</f>
        <v/>
      </c>
    </row>
    <row r="1300">
      <c r="A1300" s="43" t="n"/>
      <c r="B1300" s="28" t="n"/>
      <c r="C1300" s="28" t="n"/>
      <c r="D1300" s="28" t="n"/>
      <c r="E1300" s="44" t="n"/>
      <c r="F1300" s="44" t="n"/>
      <c r="G1300" s="23" t="n"/>
      <c r="H1300" s="23" t="n"/>
      <c r="I1300" s="23" t="n"/>
      <c r="J1300" s="23" t="n"/>
      <c r="K1300" s="45">
        <f>IF(A1300="","",SUM(G$2:I1300)-SUM(J$2:J1300))</f>
        <v/>
      </c>
      <c r="L1300" s="46" t="n"/>
      <c r="M1300">
        <f>IF(A1300="","",IF(A1300=A1299,M1299,N(M1299)+1))</f>
        <v/>
      </c>
      <c r="N1300">
        <f>IF(E1300="",99999,E1300)</f>
        <v/>
      </c>
      <c r="O1300">
        <f>IF(E1300="",0,IF(F1300="",E1300,F1300))</f>
        <v/>
      </c>
      <c r="P1300">
        <f>IF(E1300="",1,MAX(1,(YEAR(O1300)-YEAR(N1300))*12+MONTH(O1300)-MONTH(N1300)+1))</f>
        <v/>
      </c>
      <c r="Q1300">
        <f>IF(G1300="",0,G1300/P1300)</f>
        <v/>
      </c>
      <c r="R1300">
        <f>IF(H1300="",0,H1300/P1300)</f>
        <v/>
      </c>
    </row>
    <row r="1301">
      <c r="A1301" s="43" t="n"/>
      <c r="B1301" s="28" t="n"/>
      <c r="C1301" s="28" t="n"/>
      <c r="D1301" s="28" t="n"/>
      <c r="E1301" s="44" t="n"/>
      <c r="F1301" s="44" t="n"/>
      <c r="G1301" s="23" t="n"/>
      <c r="H1301" s="23" t="n"/>
      <c r="I1301" s="23" t="n"/>
      <c r="J1301" s="23" t="n"/>
      <c r="K1301" s="45">
        <f>IF(A1301="","",SUM(G$2:I1301)-SUM(J$2:J1301))</f>
        <v/>
      </c>
      <c r="L1301" s="46" t="n"/>
      <c r="M1301">
        <f>IF(A1301="","",IF(A1301=A1300,M1300,N(M1300)+1))</f>
        <v/>
      </c>
      <c r="N1301">
        <f>IF(E1301="",99999,E1301)</f>
        <v/>
      </c>
      <c r="O1301">
        <f>IF(E1301="",0,IF(F1301="",E1301,F1301))</f>
        <v/>
      </c>
      <c r="P1301">
        <f>IF(E1301="",1,MAX(1,(YEAR(O1301)-YEAR(N1301))*12+MONTH(O1301)-MONTH(N1301)+1))</f>
        <v/>
      </c>
      <c r="Q1301">
        <f>IF(G1301="",0,G1301/P1301)</f>
        <v/>
      </c>
      <c r="R1301">
        <f>IF(H1301="",0,H1301/P1301)</f>
        <v/>
      </c>
    </row>
    <row r="1302">
      <c r="A1302" s="43" t="n"/>
      <c r="B1302" s="28" t="n"/>
      <c r="C1302" s="28" t="n"/>
      <c r="D1302" s="28" t="n"/>
      <c r="E1302" s="44" t="n"/>
      <c r="F1302" s="44" t="n"/>
      <c r="G1302" s="23" t="n"/>
      <c r="H1302" s="23" t="n"/>
      <c r="I1302" s="23" t="n"/>
      <c r="J1302" s="23" t="n"/>
      <c r="K1302" s="45">
        <f>IF(A1302="","",SUM(G$2:I1302)-SUM(J$2:J1302))</f>
        <v/>
      </c>
      <c r="L1302" s="46" t="n"/>
      <c r="M1302">
        <f>IF(A1302="","",IF(A1302=A1301,M1301,N(M1301)+1))</f>
        <v/>
      </c>
      <c r="N1302">
        <f>IF(E1302="",99999,E1302)</f>
        <v/>
      </c>
      <c r="O1302">
        <f>IF(E1302="",0,IF(F1302="",E1302,F1302))</f>
        <v/>
      </c>
      <c r="P1302">
        <f>IF(E1302="",1,MAX(1,(YEAR(O1302)-YEAR(N1302))*12+MONTH(O1302)-MONTH(N1302)+1))</f>
        <v/>
      </c>
      <c r="Q1302">
        <f>IF(G1302="",0,G1302/P1302)</f>
        <v/>
      </c>
      <c r="R1302">
        <f>IF(H1302="",0,H1302/P1302)</f>
        <v/>
      </c>
    </row>
    <row r="1303">
      <c r="A1303" s="43" t="n"/>
      <c r="B1303" s="28" t="n"/>
      <c r="C1303" s="28" t="n"/>
      <c r="D1303" s="28" t="n"/>
      <c r="E1303" s="44" t="n"/>
      <c r="F1303" s="44" t="n"/>
      <c r="G1303" s="23" t="n"/>
      <c r="H1303" s="23" t="n"/>
      <c r="I1303" s="23" t="n"/>
      <c r="J1303" s="23" t="n"/>
      <c r="K1303" s="45">
        <f>IF(A1303="","",SUM(G$2:I1303)-SUM(J$2:J1303))</f>
        <v/>
      </c>
      <c r="L1303" s="46" t="n"/>
      <c r="M1303">
        <f>IF(A1303="","",IF(A1303=A1302,M1302,N(M1302)+1))</f>
        <v/>
      </c>
      <c r="N1303">
        <f>IF(E1303="",99999,E1303)</f>
        <v/>
      </c>
      <c r="O1303">
        <f>IF(E1303="",0,IF(F1303="",E1303,F1303))</f>
        <v/>
      </c>
      <c r="P1303">
        <f>IF(E1303="",1,MAX(1,(YEAR(O1303)-YEAR(N1303))*12+MONTH(O1303)-MONTH(N1303)+1))</f>
        <v/>
      </c>
      <c r="Q1303">
        <f>IF(G1303="",0,G1303/P1303)</f>
        <v/>
      </c>
      <c r="R1303">
        <f>IF(H1303="",0,H1303/P1303)</f>
        <v/>
      </c>
    </row>
    <row r="1304">
      <c r="A1304" s="43" t="n"/>
      <c r="B1304" s="28" t="n"/>
      <c r="C1304" s="28" t="n"/>
      <c r="D1304" s="28" t="n"/>
      <c r="E1304" s="44" t="n"/>
      <c r="F1304" s="44" t="n"/>
      <c r="G1304" s="23" t="n"/>
      <c r="H1304" s="23" t="n"/>
      <c r="I1304" s="23" t="n"/>
      <c r="J1304" s="23" t="n"/>
      <c r="K1304" s="45">
        <f>IF(A1304="","",SUM(G$2:I1304)-SUM(J$2:J1304))</f>
        <v/>
      </c>
      <c r="L1304" s="46" t="n"/>
      <c r="M1304">
        <f>IF(A1304="","",IF(A1304=A1303,M1303,N(M1303)+1))</f>
        <v/>
      </c>
      <c r="N1304">
        <f>IF(E1304="",99999,E1304)</f>
        <v/>
      </c>
      <c r="O1304">
        <f>IF(E1304="",0,IF(F1304="",E1304,F1304))</f>
        <v/>
      </c>
      <c r="P1304">
        <f>IF(E1304="",1,MAX(1,(YEAR(O1304)-YEAR(N1304))*12+MONTH(O1304)-MONTH(N1304)+1))</f>
        <v/>
      </c>
      <c r="Q1304">
        <f>IF(G1304="",0,G1304/P1304)</f>
        <v/>
      </c>
      <c r="R1304">
        <f>IF(H1304="",0,H1304/P1304)</f>
        <v/>
      </c>
    </row>
    <row r="1305">
      <c r="A1305" s="43" t="n"/>
      <c r="B1305" s="28" t="n"/>
      <c r="C1305" s="28" t="n"/>
      <c r="D1305" s="28" t="n"/>
      <c r="E1305" s="44" t="n"/>
      <c r="F1305" s="44" t="n"/>
      <c r="G1305" s="23" t="n"/>
      <c r="H1305" s="23" t="n"/>
      <c r="I1305" s="23" t="n"/>
      <c r="J1305" s="23" t="n"/>
      <c r="K1305" s="45">
        <f>IF(A1305="","",SUM(G$2:I1305)-SUM(J$2:J1305))</f>
        <v/>
      </c>
      <c r="L1305" s="46" t="n"/>
      <c r="M1305">
        <f>IF(A1305="","",IF(A1305=A1304,M1304,N(M1304)+1))</f>
        <v/>
      </c>
      <c r="N1305">
        <f>IF(E1305="",99999,E1305)</f>
        <v/>
      </c>
      <c r="O1305">
        <f>IF(E1305="",0,IF(F1305="",E1305,F1305))</f>
        <v/>
      </c>
      <c r="P1305">
        <f>IF(E1305="",1,MAX(1,(YEAR(O1305)-YEAR(N1305))*12+MONTH(O1305)-MONTH(N1305)+1))</f>
        <v/>
      </c>
      <c r="Q1305">
        <f>IF(G1305="",0,G1305/P1305)</f>
        <v/>
      </c>
      <c r="R1305">
        <f>IF(H1305="",0,H1305/P1305)</f>
        <v/>
      </c>
    </row>
    <row r="1306">
      <c r="A1306" s="43" t="n"/>
      <c r="B1306" s="28" t="n"/>
      <c r="C1306" s="28" t="n"/>
      <c r="D1306" s="28" t="n"/>
      <c r="E1306" s="44" t="n"/>
      <c r="F1306" s="44" t="n"/>
      <c r="G1306" s="23" t="n"/>
      <c r="H1306" s="23" t="n"/>
      <c r="I1306" s="23" t="n"/>
      <c r="J1306" s="23" t="n"/>
      <c r="K1306" s="45">
        <f>IF(A1306="","",SUM(G$2:I1306)-SUM(J$2:J1306))</f>
        <v/>
      </c>
      <c r="L1306" s="46" t="n"/>
      <c r="M1306">
        <f>IF(A1306="","",IF(A1306=A1305,M1305,N(M1305)+1))</f>
        <v/>
      </c>
      <c r="N1306">
        <f>IF(E1306="",99999,E1306)</f>
        <v/>
      </c>
      <c r="O1306">
        <f>IF(E1306="",0,IF(F1306="",E1306,F1306))</f>
        <v/>
      </c>
      <c r="P1306">
        <f>IF(E1306="",1,MAX(1,(YEAR(O1306)-YEAR(N1306))*12+MONTH(O1306)-MONTH(N1306)+1))</f>
        <v/>
      </c>
      <c r="Q1306">
        <f>IF(G1306="",0,G1306/P1306)</f>
        <v/>
      </c>
      <c r="R1306">
        <f>IF(H1306="",0,H1306/P1306)</f>
        <v/>
      </c>
    </row>
    <row r="1307">
      <c r="A1307" s="43" t="n"/>
      <c r="B1307" s="28" t="n"/>
      <c r="C1307" s="28" t="n"/>
      <c r="D1307" s="28" t="n"/>
      <c r="E1307" s="44" t="n"/>
      <c r="F1307" s="44" t="n"/>
      <c r="G1307" s="23" t="n"/>
      <c r="H1307" s="23" t="n"/>
      <c r="I1307" s="23" t="n"/>
      <c r="J1307" s="23" t="n"/>
      <c r="K1307" s="45">
        <f>IF(A1307="","",SUM(G$2:I1307)-SUM(J$2:J1307))</f>
        <v/>
      </c>
      <c r="L1307" s="46" t="n"/>
      <c r="M1307">
        <f>IF(A1307="","",IF(A1307=A1306,M1306,N(M1306)+1))</f>
        <v/>
      </c>
      <c r="N1307">
        <f>IF(E1307="",99999,E1307)</f>
        <v/>
      </c>
      <c r="O1307">
        <f>IF(E1307="",0,IF(F1307="",E1307,F1307))</f>
        <v/>
      </c>
      <c r="P1307">
        <f>IF(E1307="",1,MAX(1,(YEAR(O1307)-YEAR(N1307))*12+MONTH(O1307)-MONTH(N1307)+1))</f>
        <v/>
      </c>
      <c r="Q1307">
        <f>IF(G1307="",0,G1307/P1307)</f>
        <v/>
      </c>
      <c r="R1307">
        <f>IF(H1307="",0,H1307/P1307)</f>
        <v/>
      </c>
    </row>
    <row r="1308">
      <c r="A1308" s="43" t="n"/>
      <c r="B1308" s="28" t="n"/>
      <c r="C1308" s="28" t="n"/>
      <c r="D1308" s="28" t="n"/>
      <c r="E1308" s="44" t="n"/>
      <c r="F1308" s="44" t="n"/>
      <c r="G1308" s="23" t="n"/>
      <c r="H1308" s="23" t="n"/>
      <c r="I1308" s="23" t="n"/>
      <c r="J1308" s="23" t="n"/>
      <c r="K1308" s="45">
        <f>IF(A1308="","",SUM(G$2:I1308)-SUM(J$2:J1308))</f>
        <v/>
      </c>
      <c r="L1308" s="46" t="n"/>
      <c r="M1308">
        <f>IF(A1308="","",IF(A1308=A1307,M1307,N(M1307)+1))</f>
        <v/>
      </c>
      <c r="N1308">
        <f>IF(E1308="",99999,E1308)</f>
        <v/>
      </c>
      <c r="O1308">
        <f>IF(E1308="",0,IF(F1308="",E1308,F1308))</f>
        <v/>
      </c>
      <c r="P1308">
        <f>IF(E1308="",1,MAX(1,(YEAR(O1308)-YEAR(N1308))*12+MONTH(O1308)-MONTH(N1308)+1))</f>
        <v/>
      </c>
      <c r="Q1308">
        <f>IF(G1308="",0,G1308/P1308)</f>
        <v/>
      </c>
      <c r="R1308">
        <f>IF(H1308="",0,H1308/P1308)</f>
        <v/>
      </c>
    </row>
    <row r="1309">
      <c r="A1309" s="43" t="n"/>
      <c r="B1309" s="28" t="n"/>
      <c r="C1309" s="28" t="n"/>
      <c r="D1309" s="28" t="n"/>
      <c r="E1309" s="44" t="n"/>
      <c r="F1309" s="44" t="n"/>
      <c r="G1309" s="23" t="n"/>
      <c r="H1309" s="23" t="n"/>
      <c r="I1309" s="23" t="n"/>
      <c r="J1309" s="23" t="n"/>
      <c r="K1309" s="45">
        <f>IF(A1309="","",SUM(G$2:I1309)-SUM(J$2:J1309))</f>
        <v/>
      </c>
      <c r="L1309" s="46" t="n"/>
      <c r="M1309">
        <f>IF(A1309="","",IF(A1309=A1308,M1308,N(M1308)+1))</f>
        <v/>
      </c>
      <c r="N1309">
        <f>IF(E1309="",99999,E1309)</f>
        <v/>
      </c>
      <c r="O1309">
        <f>IF(E1309="",0,IF(F1309="",E1309,F1309))</f>
        <v/>
      </c>
      <c r="P1309">
        <f>IF(E1309="",1,MAX(1,(YEAR(O1309)-YEAR(N1309))*12+MONTH(O1309)-MONTH(N1309)+1))</f>
        <v/>
      </c>
      <c r="Q1309">
        <f>IF(G1309="",0,G1309/P1309)</f>
        <v/>
      </c>
      <c r="R1309">
        <f>IF(H1309="",0,H1309/P1309)</f>
        <v/>
      </c>
    </row>
    <row r="1310">
      <c r="A1310" s="43" t="n"/>
      <c r="B1310" s="28" t="n"/>
      <c r="C1310" s="28" t="n"/>
      <c r="D1310" s="28" t="n"/>
      <c r="E1310" s="44" t="n"/>
      <c r="F1310" s="44" t="n"/>
      <c r="G1310" s="23" t="n"/>
      <c r="H1310" s="23" t="n"/>
      <c r="I1310" s="23" t="n"/>
      <c r="J1310" s="23" t="n"/>
      <c r="K1310" s="45">
        <f>IF(A1310="","",SUM(G$2:I1310)-SUM(J$2:J1310))</f>
        <v/>
      </c>
      <c r="L1310" s="46" t="n"/>
      <c r="M1310">
        <f>IF(A1310="","",IF(A1310=A1309,M1309,N(M1309)+1))</f>
        <v/>
      </c>
      <c r="N1310">
        <f>IF(E1310="",99999,E1310)</f>
        <v/>
      </c>
      <c r="O1310">
        <f>IF(E1310="",0,IF(F1310="",E1310,F1310))</f>
        <v/>
      </c>
      <c r="P1310">
        <f>IF(E1310="",1,MAX(1,(YEAR(O1310)-YEAR(N1310))*12+MONTH(O1310)-MONTH(N1310)+1))</f>
        <v/>
      </c>
      <c r="Q1310">
        <f>IF(G1310="",0,G1310/P1310)</f>
        <v/>
      </c>
      <c r="R1310">
        <f>IF(H1310="",0,H1310/P1310)</f>
        <v/>
      </c>
    </row>
    <row r="1311">
      <c r="A1311" s="43" t="n"/>
      <c r="B1311" s="28" t="n"/>
      <c r="C1311" s="28" t="n"/>
      <c r="D1311" s="28" t="n"/>
      <c r="E1311" s="44" t="n"/>
      <c r="F1311" s="44" t="n"/>
      <c r="G1311" s="23" t="n"/>
      <c r="H1311" s="23" t="n"/>
      <c r="I1311" s="23" t="n"/>
      <c r="J1311" s="23" t="n"/>
      <c r="K1311" s="45">
        <f>IF(A1311="","",SUM(G$2:I1311)-SUM(J$2:J1311))</f>
        <v/>
      </c>
      <c r="L1311" s="46" t="n"/>
      <c r="M1311">
        <f>IF(A1311="","",IF(A1311=A1310,M1310,N(M1310)+1))</f>
        <v/>
      </c>
      <c r="N1311">
        <f>IF(E1311="",99999,E1311)</f>
        <v/>
      </c>
      <c r="O1311">
        <f>IF(E1311="",0,IF(F1311="",E1311,F1311))</f>
        <v/>
      </c>
      <c r="P1311">
        <f>IF(E1311="",1,MAX(1,(YEAR(O1311)-YEAR(N1311))*12+MONTH(O1311)-MONTH(N1311)+1))</f>
        <v/>
      </c>
      <c r="Q1311">
        <f>IF(G1311="",0,G1311/P1311)</f>
        <v/>
      </c>
      <c r="R1311">
        <f>IF(H1311="",0,H1311/P1311)</f>
        <v/>
      </c>
    </row>
    <row r="1312">
      <c r="A1312" s="43" t="n"/>
      <c r="B1312" s="28" t="n"/>
      <c r="C1312" s="28" t="n"/>
      <c r="D1312" s="28" t="n"/>
      <c r="E1312" s="44" t="n"/>
      <c r="F1312" s="44" t="n"/>
      <c r="G1312" s="23" t="n"/>
      <c r="H1312" s="23" t="n"/>
      <c r="I1312" s="23" t="n"/>
      <c r="J1312" s="23" t="n"/>
      <c r="K1312" s="45">
        <f>IF(A1312="","",SUM(G$2:I1312)-SUM(J$2:J1312))</f>
        <v/>
      </c>
      <c r="L1312" s="46" t="n"/>
      <c r="M1312">
        <f>IF(A1312="","",IF(A1312=A1311,M1311,N(M1311)+1))</f>
        <v/>
      </c>
      <c r="N1312">
        <f>IF(E1312="",99999,E1312)</f>
        <v/>
      </c>
      <c r="O1312">
        <f>IF(E1312="",0,IF(F1312="",E1312,F1312))</f>
        <v/>
      </c>
      <c r="P1312">
        <f>IF(E1312="",1,MAX(1,(YEAR(O1312)-YEAR(N1312))*12+MONTH(O1312)-MONTH(N1312)+1))</f>
        <v/>
      </c>
      <c r="Q1312">
        <f>IF(G1312="",0,G1312/P1312)</f>
        <v/>
      </c>
      <c r="R1312">
        <f>IF(H1312="",0,H1312/P1312)</f>
        <v/>
      </c>
    </row>
    <row r="1313">
      <c r="A1313" s="43" t="n"/>
      <c r="B1313" s="28" t="n"/>
      <c r="C1313" s="28" t="n"/>
      <c r="D1313" s="28" t="n"/>
      <c r="E1313" s="44" t="n"/>
      <c r="F1313" s="44" t="n"/>
      <c r="G1313" s="23" t="n"/>
      <c r="H1313" s="23" t="n"/>
      <c r="I1313" s="23" t="n"/>
      <c r="J1313" s="23" t="n"/>
      <c r="K1313" s="45">
        <f>IF(A1313="","",SUM(G$2:I1313)-SUM(J$2:J1313))</f>
        <v/>
      </c>
      <c r="L1313" s="46" t="n"/>
      <c r="M1313">
        <f>IF(A1313="","",IF(A1313=A1312,M1312,N(M1312)+1))</f>
        <v/>
      </c>
      <c r="N1313">
        <f>IF(E1313="",99999,E1313)</f>
        <v/>
      </c>
      <c r="O1313">
        <f>IF(E1313="",0,IF(F1313="",E1313,F1313))</f>
        <v/>
      </c>
      <c r="P1313">
        <f>IF(E1313="",1,MAX(1,(YEAR(O1313)-YEAR(N1313))*12+MONTH(O1313)-MONTH(N1313)+1))</f>
        <v/>
      </c>
      <c r="Q1313">
        <f>IF(G1313="",0,G1313/P1313)</f>
        <v/>
      </c>
      <c r="R1313">
        <f>IF(H1313="",0,H1313/P1313)</f>
        <v/>
      </c>
    </row>
    <row r="1314">
      <c r="A1314" s="43" t="n"/>
      <c r="B1314" s="28" t="n"/>
      <c r="C1314" s="28" t="n"/>
      <c r="D1314" s="28" t="n"/>
      <c r="E1314" s="44" t="n"/>
      <c r="F1314" s="44" t="n"/>
      <c r="G1314" s="23" t="n"/>
      <c r="H1314" s="23" t="n"/>
      <c r="I1314" s="23" t="n"/>
      <c r="J1314" s="23" t="n"/>
      <c r="K1314" s="45">
        <f>IF(A1314="","",SUM(G$2:I1314)-SUM(J$2:J1314))</f>
        <v/>
      </c>
      <c r="L1314" s="46" t="n"/>
      <c r="M1314">
        <f>IF(A1314="","",IF(A1314=A1313,M1313,N(M1313)+1))</f>
        <v/>
      </c>
      <c r="N1314">
        <f>IF(E1314="",99999,E1314)</f>
        <v/>
      </c>
      <c r="O1314">
        <f>IF(E1314="",0,IF(F1314="",E1314,F1314))</f>
        <v/>
      </c>
      <c r="P1314">
        <f>IF(E1314="",1,MAX(1,(YEAR(O1314)-YEAR(N1314))*12+MONTH(O1314)-MONTH(N1314)+1))</f>
        <v/>
      </c>
      <c r="Q1314">
        <f>IF(G1314="",0,G1314/P1314)</f>
        <v/>
      </c>
      <c r="R1314">
        <f>IF(H1314="",0,H1314/P1314)</f>
        <v/>
      </c>
    </row>
    <row r="1315">
      <c r="A1315" s="43" t="n"/>
      <c r="B1315" s="28" t="n"/>
      <c r="C1315" s="28" t="n"/>
      <c r="D1315" s="28" t="n"/>
      <c r="E1315" s="44" t="n"/>
      <c r="F1315" s="44" t="n"/>
      <c r="G1315" s="23" t="n"/>
      <c r="H1315" s="23" t="n"/>
      <c r="I1315" s="23" t="n"/>
      <c r="J1315" s="23" t="n"/>
      <c r="K1315" s="45">
        <f>IF(A1315="","",SUM(G$2:I1315)-SUM(J$2:J1315))</f>
        <v/>
      </c>
      <c r="L1315" s="46" t="n"/>
      <c r="M1315">
        <f>IF(A1315="","",IF(A1315=A1314,M1314,N(M1314)+1))</f>
        <v/>
      </c>
      <c r="N1315">
        <f>IF(E1315="",99999,E1315)</f>
        <v/>
      </c>
      <c r="O1315">
        <f>IF(E1315="",0,IF(F1315="",E1315,F1315))</f>
        <v/>
      </c>
      <c r="P1315">
        <f>IF(E1315="",1,MAX(1,(YEAR(O1315)-YEAR(N1315))*12+MONTH(O1315)-MONTH(N1315)+1))</f>
        <v/>
      </c>
      <c r="Q1315">
        <f>IF(G1315="",0,G1315/P1315)</f>
        <v/>
      </c>
      <c r="R1315">
        <f>IF(H1315="",0,H1315/P1315)</f>
        <v/>
      </c>
    </row>
    <row r="1316">
      <c r="A1316" s="43" t="n"/>
      <c r="B1316" s="28" t="n"/>
      <c r="C1316" s="28" t="n"/>
      <c r="D1316" s="28" t="n"/>
      <c r="E1316" s="44" t="n"/>
      <c r="F1316" s="44" t="n"/>
      <c r="G1316" s="23" t="n"/>
      <c r="H1316" s="23" t="n"/>
      <c r="I1316" s="23" t="n"/>
      <c r="J1316" s="23" t="n"/>
      <c r="K1316" s="45">
        <f>IF(A1316="","",SUM(G$2:I1316)-SUM(J$2:J1316))</f>
        <v/>
      </c>
      <c r="L1316" s="46" t="n"/>
      <c r="M1316">
        <f>IF(A1316="","",IF(A1316=A1315,M1315,N(M1315)+1))</f>
        <v/>
      </c>
      <c r="N1316">
        <f>IF(E1316="",99999,E1316)</f>
        <v/>
      </c>
      <c r="O1316">
        <f>IF(E1316="",0,IF(F1316="",E1316,F1316))</f>
        <v/>
      </c>
      <c r="P1316">
        <f>IF(E1316="",1,MAX(1,(YEAR(O1316)-YEAR(N1316))*12+MONTH(O1316)-MONTH(N1316)+1))</f>
        <v/>
      </c>
      <c r="Q1316">
        <f>IF(G1316="",0,G1316/P1316)</f>
        <v/>
      </c>
      <c r="R1316">
        <f>IF(H1316="",0,H1316/P1316)</f>
        <v/>
      </c>
    </row>
    <row r="1317">
      <c r="A1317" s="43" t="n"/>
      <c r="B1317" s="28" t="n"/>
      <c r="C1317" s="28" t="n"/>
      <c r="D1317" s="28" t="n"/>
      <c r="E1317" s="44" t="n"/>
      <c r="F1317" s="44" t="n"/>
      <c r="G1317" s="23" t="n"/>
      <c r="H1317" s="23" t="n"/>
      <c r="I1317" s="23" t="n"/>
      <c r="J1317" s="23" t="n"/>
      <c r="K1317" s="45">
        <f>IF(A1317="","",SUM(G$2:I1317)-SUM(J$2:J1317))</f>
        <v/>
      </c>
      <c r="L1317" s="46" t="n"/>
      <c r="M1317">
        <f>IF(A1317="","",IF(A1317=A1316,M1316,N(M1316)+1))</f>
        <v/>
      </c>
      <c r="N1317">
        <f>IF(E1317="",99999,E1317)</f>
        <v/>
      </c>
      <c r="O1317">
        <f>IF(E1317="",0,IF(F1317="",E1317,F1317))</f>
        <v/>
      </c>
      <c r="P1317">
        <f>IF(E1317="",1,MAX(1,(YEAR(O1317)-YEAR(N1317))*12+MONTH(O1317)-MONTH(N1317)+1))</f>
        <v/>
      </c>
      <c r="Q1317">
        <f>IF(G1317="",0,G1317/P1317)</f>
        <v/>
      </c>
      <c r="R1317">
        <f>IF(H1317="",0,H1317/P1317)</f>
        <v/>
      </c>
    </row>
    <row r="1318">
      <c r="A1318" s="43" t="n"/>
      <c r="B1318" s="28" t="n"/>
      <c r="C1318" s="28" t="n"/>
      <c r="D1318" s="28" t="n"/>
      <c r="E1318" s="44" t="n"/>
      <c r="F1318" s="44" t="n"/>
      <c r="G1318" s="23" t="n"/>
      <c r="H1318" s="23" t="n"/>
      <c r="I1318" s="23" t="n"/>
      <c r="J1318" s="23" t="n"/>
      <c r="K1318" s="45">
        <f>IF(A1318="","",SUM(G$2:I1318)-SUM(J$2:J1318))</f>
        <v/>
      </c>
      <c r="L1318" s="46" t="n"/>
      <c r="M1318">
        <f>IF(A1318="","",IF(A1318=A1317,M1317,N(M1317)+1))</f>
        <v/>
      </c>
      <c r="N1318">
        <f>IF(E1318="",99999,E1318)</f>
        <v/>
      </c>
      <c r="O1318">
        <f>IF(E1318="",0,IF(F1318="",E1318,F1318))</f>
        <v/>
      </c>
      <c r="P1318">
        <f>IF(E1318="",1,MAX(1,(YEAR(O1318)-YEAR(N1318))*12+MONTH(O1318)-MONTH(N1318)+1))</f>
        <v/>
      </c>
      <c r="Q1318">
        <f>IF(G1318="",0,G1318/P1318)</f>
        <v/>
      </c>
      <c r="R1318">
        <f>IF(H1318="",0,H1318/P1318)</f>
        <v/>
      </c>
    </row>
    <row r="1319">
      <c r="A1319" s="43" t="n"/>
      <c r="B1319" s="28" t="n"/>
      <c r="C1319" s="28" t="n"/>
      <c r="D1319" s="28" t="n"/>
      <c r="E1319" s="44" t="n"/>
      <c r="F1319" s="44" t="n"/>
      <c r="G1319" s="23" t="n"/>
      <c r="H1319" s="23" t="n"/>
      <c r="I1319" s="23" t="n"/>
      <c r="J1319" s="23" t="n"/>
      <c r="K1319" s="45">
        <f>IF(A1319="","",SUM(G$2:I1319)-SUM(J$2:J1319))</f>
        <v/>
      </c>
      <c r="L1319" s="46" t="n"/>
      <c r="M1319">
        <f>IF(A1319="","",IF(A1319=A1318,M1318,N(M1318)+1))</f>
        <v/>
      </c>
      <c r="N1319">
        <f>IF(E1319="",99999,E1319)</f>
        <v/>
      </c>
      <c r="O1319">
        <f>IF(E1319="",0,IF(F1319="",E1319,F1319))</f>
        <v/>
      </c>
      <c r="P1319">
        <f>IF(E1319="",1,MAX(1,(YEAR(O1319)-YEAR(N1319))*12+MONTH(O1319)-MONTH(N1319)+1))</f>
        <v/>
      </c>
      <c r="Q1319">
        <f>IF(G1319="",0,G1319/P1319)</f>
        <v/>
      </c>
      <c r="R1319">
        <f>IF(H1319="",0,H1319/P1319)</f>
        <v/>
      </c>
    </row>
    <row r="1320">
      <c r="A1320" s="43" t="n"/>
      <c r="B1320" s="28" t="n"/>
      <c r="C1320" s="28" t="n"/>
      <c r="D1320" s="28" t="n"/>
      <c r="E1320" s="44" t="n"/>
      <c r="F1320" s="44" t="n"/>
      <c r="G1320" s="23" t="n"/>
      <c r="H1320" s="23" t="n"/>
      <c r="I1320" s="23" t="n"/>
      <c r="J1320" s="23" t="n"/>
      <c r="K1320" s="45">
        <f>IF(A1320="","",SUM(G$2:I1320)-SUM(J$2:J1320))</f>
        <v/>
      </c>
      <c r="L1320" s="46" t="n"/>
      <c r="M1320">
        <f>IF(A1320="","",IF(A1320=A1319,M1319,N(M1319)+1))</f>
        <v/>
      </c>
      <c r="N1320">
        <f>IF(E1320="",99999,E1320)</f>
        <v/>
      </c>
      <c r="O1320">
        <f>IF(E1320="",0,IF(F1320="",E1320,F1320))</f>
        <v/>
      </c>
      <c r="P1320">
        <f>IF(E1320="",1,MAX(1,(YEAR(O1320)-YEAR(N1320))*12+MONTH(O1320)-MONTH(N1320)+1))</f>
        <v/>
      </c>
      <c r="Q1320">
        <f>IF(G1320="",0,G1320/P1320)</f>
        <v/>
      </c>
      <c r="R1320">
        <f>IF(H1320="",0,H1320/P1320)</f>
        <v/>
      </c>
    </row>
    <row r="1321">
      <c r="A1321" s="43" t="n"/>
      <c r="B1321" s="28" t="n"/>
      <c r="C1321" s="28" t="n"/>
      <c r="D1321" s="28" t="n"/>
      <c r="E1321" s="44" t="n"/>
      <c r="F1321" s="44" t="n"/>
      <c r="G1321" s="23" t="n"/>
      <c r="H1321" s="23" t="n"/>
      <c r="I1321" s="23" t="n"/>
      <c r="J1321" s="23" t="n"/>
      <c r="K1321" s="45">
        <f>IF(A1321="","",SUM(G$2:I1321)-SUM(J$2:J1321))</f>
        <v/>
      </c>
      <c r="L1321" s="46" t="n"/>
      <c r="M1321">
        <f>IF(A1321="","",IF(A1321=A1320,M1320,N(M1320)+1))</f>
        <v/>
      </c>
      <c r="N1321">
        <f>IF(E1321="",99999,E1321)</f>
        <v/>
      </c>
      <c r="O1321">
        <f>IF(E1321="",0,IF(F1321="",E1321,F1321))</f>
        <v/>
      </c>
      <c r="P1321">
        <f>IF(E1321="",1,MAX(1,(YEAR(O1321)-YEAR(N1321))*12+MONTH(O1321)-MONTH(N1321)+1))</f>
        <v/>
      </c>
      <c r="Q1321">
        <f>IF(G1321="",0,G1321/P1321)</f>
        <v/>
      </c>
      <c r="R1321">
        <f>IF(H1321="",0,H1321/P1321)</f>
        <v/>
      </c>
    </row>
    <row r="1322">
      <c r="A1322" s="43" t="n"/>
      <c r="B1322" s="28" t="n"/>
      <c r="C1322" s="28" t="n"/>
      <c r="D1322" s="28" t="n"/>
      <c r="E1322" s="44" t="n"/>
      <c r="F1322" s="44" t="n"/>
      <c r="G1322" s="23" t="n"/>
      <c r="H1322" s="23" t="n"/>
      <c r="I1322" s="23" t="n"/>
      <c r="J1322" s="23" t="n"/>
      <c r="K1322" s="45">
        <f>IF(A1322="","",SUM(G$2:I1322)-SUM(J$2:J1322))</f>
        <v/>
      </c>
      <c r="L1322" s="46" t="n"/>
      <c r="M1322">
        <f>IF(A1322="","",IF(A1322=A1321,M1321,N(M1321)+1))</f>
        <v/>
      </c>
      <c r="N1322">
        <f>IF(E1322="",99999,E1322)</f>
        <v/>
      </c>
      <c r="O1322">
        <f>IF(E1322="",0,IF(F1322="",E1322,F1322))</f>
        <v/>
      </c>
      <c r="P1322">
        <f>IF(E1322="",1,MAX(1,(YEAR(O1322)-YEAR(N1322))*12+MONTH(O1322)-MONTH(N1322)+1))</f>
        <v/>
      </c>
      <c r="Q1322">
        <f>IF(G1322="",0,G1322/P1322)</f>
        <v/>
      </c>
      <c r="R1322">
        <f>IF(H1322="",0,H1322/P1322)</f>
        <v/>
      </c>
    </row>
    <row r="1323">
      <c r="A1323" s="43" t="n"/>
      <c r="B1323" s="28" t="n"/>
      <c r="C1323" s="28" t="n"/>
      <c r="D1323" s="28" t="n"/>
      <c r="E1323" s="44" t="n"/>
      <c r="F1323" s="44" t="n"/>
      <c r="G1323" s="23" t="n"/>
      <c r="H1323" s="23" t="n"/>
      <c r="I1323" s="23" t="n"/>
      <c r="J1323" s="23" t="n"/>
      <c r="K1323" s="45">
        <f>IF(A1323="","",SUM(G$2:I1323)-SUM(J$2:J1323))</f>
        <v/>
      </c>
      <c r="L1323" s="46" t="n"/>
      <c r="M1323">
        <f>IF(A1323="","",IF(A1323=A1322,M1322,N(M1322)+1))</f>
        <v/>
      </c>
      <c r="N1323">
        <f>IF(E1323="",99999,E1323)</f>
        <v/>
      </c>
      <c r="O1323">
        <f>IF(E1323="",0,IF(F1323="",E1323,F1323))</f>
        <v/>
      </c>
      <c r="P1323">
        <f>IF(E1323="",1,MAX(1,(YEAR(O1323)-YEAR(N1323))*12+MONTH(O1323)-MONTH(N1323)+1))</f>
        <v/>
      </c>
      <c r="Q1323">
        <f>IF(G1323="",0,G1323/P1323)</f>
        <v/>
      </c>
      <c r="R1323">
        <f>IF(H1323="",0,H1323/P1323)</f>
        <v/>
      </c>
    </row>
    <row r="1324">
      <c r="A1324" s="43" t="n"/>
      <c r="B1324" s="28" t="n"/>
      <c r="C1324" s="28" t="n"/>
      <c r="D1324" s="28" t="n"/>
      <c r="E1324" s="44" t="n"/>
      <c r="F1324" s="44" t="n"/>
      <c r="G1324" s="23" t="n"/>
      <c r="H1324" s="23" t="n"/>
      <c r="I1324" s="23" t="n"/>
      <c r="J1324" s="23" t="n"/>
      <c r="K1324" s="45">
        <f>IF(A1324="","",SUM(G$2:I1324)-SUM(J$2:J1324))</f>
        <v/>
      </c>
      <c r="L1324" s="46" t="n"/>
      <c r="M1324">
        <f>IF(A1324="","",IF(A1324=A1323,M1323,N(M1323)+1))</f>
        <v/>
      </c>
      <c r="N1324">
        <f>IF(E1324="",99999,E1324)</f>
        <v/>
      </c>
      <c r="O1324">
        <f>IF(E1324="",0,IF(F1324="",E1324,F1324))</f>
        <v/>
      </c>
      <c r="P1324">
        <f>IF(E1324="",1,MAX(1,(YEAR(O1324)-YEAR(N1324))*12+MONTH(O1324)-MONTH(N1324)+1))</f>
        <v/>
      </c>
      <c r="Q1324">
        <f>IF(G1324="",0,G1324/P1324)</f>
        <v/>
      </c>
      <c r="R1324">
        <f>IF(H1324="",0,H1324/P1324)</f>
        <v/>
      </c>
    </row>
    <row r="1325">
      <c r="A1325" s="43" t="n"/>
      <c r="B1325" s="28" t="n"/>
      <c r="C1325" s="28" t="n"/>
      <c r="D1325" s="28" t="n"/>
      <c r="E1325" s="44" t="n"/>
      <c r="F1325" s="44" t="n"/>
      <c r="G1325" s="23" t="n"/>
      <c r="H1325" s="23" t="n"/>
      <c r="I1325" s="23" t="n"/>
      <c r="J1325" s="23" t="n"/>
      <c r="K1325" s="45">
        <f>IF(A1325="","",SUM(G$2:I1325)-SUM(J$2:J1325))</f>
        <v/>
      </c>
      <c r="L1325" s="46" t="n"/>
      <c r="M1325">
        <f>IF(A1325="","",IF(A1325=A1324,M1324,N(M1324)+1))</f>
        <v/>
      </c>
      <c r="N1325">
        <f>IF(E1325="",99999,E1325)</f>
        <v/>
      </c>
      <c r="O1325">
        <f>IF(E1325="",0,IF(F1325="",E1325,F1325))</f>
        <v/>
      </c>
      <c r="P1325">
        <f>IF(E1325="",1,MAX(1,(YEAR(O1325)-YEAR(N1325))*12+MONTH(O1325)-MONTH(N1325)+1))</f>
        <v/>
      </c>
      <c r="Q1325">
        <f>IF(G1325="",0,G1325/P1325)</f>
        <v/>
      </c>
      <c r="R1325">
        <f>IF(H1325="",0,H1325/P1325)</f>
        <v/>
      </c>
    </row>
    <row r="1326">
      <c r="A1326" s="43" t="n"/>
      <c r="B1326" s="28" t="n"/>
      <c r="C1326" s="28" t="n"/>
      <c r="D1326" s="28" t="n"/>
      <c r="E1326" s="44" t="n"/>
      <c r="F1326" s="44" t="n"/>
      <c r="G1326" s="23" t="n"/>
      <c r="H1326" s="23" t="n"/>
      <c r="I1326" s="23" t="n"/>
      <c r="J1326" s="23" t="n"/>
      <c r="K1326" s="45">
        <f>IF(A1326="","",SUM(G$2:I1326)-SUM(J$2:J1326))</f>
        <v/>
      </c>
      <c r="L1326" s="46" t="n"/>
      <c r="M1326">
        <f>IF(A1326="","",IF(A1326=A1325,M1325,N(M1325)+1))</f>
        <v/>
      </c>
      <c r="N1326">
        <f>IF(E1326="",99999,E1326)</f>
        <v/>
      </c>
      <c r="O1326">
        <f>IF(E1326="",0,IF(F1326="",E1326,F1326))</f>
        <v/>
      </c>
      <c r="P1326">
        <f>IF(E1326="",1,MAX(1,(YEAR(O1326)-YEAR(N1326))*12+MONTH(O1326)-MONTH(N1326)+1))</f>
        <v/>
      </c>
      <c r="Q1326">
        <f>IF(G1326="",0,G1326/P1326)</f>
        <v/>
      </c>
      <c r="R1326">
        <f>IF(H1326="",0,H1326/P1326)</f>
        <v/>
      </c>
    </row>
    <row r="1327">
      <c r="A1327" s="43" t="n"/>
      <c r="B1327" s="28" t="n"/>
      <c r="C1327" s="28" t="n"/>
      <c r="D1327" s="28" t="n"/>
      <c r="E1327" s="44" t="n"/>
      <c r="F1327" s="44" t="n"/>
      <c r="G1327" s="23" t="n"/>
      <c r="H1327" s="23" t="n"/>
      <c r="I1327" s="23" t="n"/>
      <c r="J1327" s="23" t="n"/>
      <c r="K1327" s="45">
        <f>IF(A1327="","",SUM(G$2:I1327)-SUM(J$2:J1327))</f>
        <v/>
      </c>
      <c r="L1327" s="46" t="n"/>
      <c r="M1327">
        <f>IF(A1327="","",IF(A1327=A1326,M1326,N(M1326)+1))</f>
        <v/>
      </c>
      <c r="N1327">
        <f>IF(E1327="",99999,E1327)</f>
        <v/>
      </c>
      <c r="O1327">
        <f>IF(E1327="",0,IF(F1327="",E1327,F1327))</f>
        <v/>
      </c>
      <c r="P1327">
        <f>IF(E1327="",1,MAX(1,(YEAR(O1327)-YEAR(N1327))*12+MONTH(O1327)-MONTH(N1327)+1))</f>
        <v/>
      </c>
      <c r="Q1327">
        <f>IF(G1327="",0,G1327/P1327)</f>
        <v/>
      </c>
      <c r="R1327">
        <f>IF(H1327="",0,H1327/P1327)</f>
        <v/>
      </c>
    </row>
    <row r="1328">
      <c r="A1328" s="43" t="n"/>
      <c r="B1328" s="28" t="n"/>
      <c r="C1328" s="28" t="n"/>
      <c r="D1328" s="28" t="n"/>
      <c r="E1328" s="44" t="n"/>
      <c r="F1328" s="44" t="n"/>
      <c r="G1328" s="23" t="n"/>
      <c r="H1328" s="23" t="n"/>
      <c r="I1328" s="23" t="n"/>
      <c r="J1328" s="23" t="n"/>
      <c r="K1328" s="45">
        <f>IF(A1328="","",SUM(G$2:I1328)-SUM(J$2:J1328))</f>
        <v/>
      </c>
      <c r="L1328" s="46" t="n"/>
      <c r="M1328">
        <f>IF(A1328="","",IF(A1328=A1327,M1327,N(M1327)+1))</f>
        <v/>
      </c>
      <c r="N1328">
        <f>IF(E1328="",99999,E1328)</f>
        <v/>
      </c>
      <c r="O1328">
        <f>IF(E1328="",0,IF(F1328="",E1328,F1328))</f>
        <v/>
      </c>
      <c r="P1328">
        <f>IF(E1328="",1,MAX(1,(YEAR(O1328)-YEAR(N1328))*12+MONTH(O1328)-MONTH(N1328)+1))</f>
        <v/>
      </c>
      <c r="Q1328">
        <f>IF(G1328="",0,G1328/P1328)</f>
        <v/>
      </c>
      <c r="R1328">
        <f>IF(H1328="",0,H1328/P1328)</f>
        <v/>
      </c>
    </row>
    <row r="1329">
      <c r="A1329" s="43" t="n"/>
      <c r="B1329" s="28" t="n"/>
      <c r="C1329" s="28" t="n"/>
      <c r="D1329" s="28" t="n"/>
      <c r="E1329" s="44" t="n"/>
      <c r="F1329" s="44" t="n"/>
      <c r="G1329" s="23" t="n"/>
      <c r="H1329" s="23" t="n"/>
      <c r="I1329" s="23" t="n"/>
      <c r="J1329" s="23" t="n"/>
      <c r="K1329" s="45">
        <f>IF(A1329="","",SUM(G$2:I1329)-SUM(J$2:J1329))</f>
        <v/>
      </c>
      <c r="L1329" s="46" t="n"/>
      <c r="M1329">
        <f>IF(A1329="","",IF(A1329=A1328,M1328,N(M1328)+1))</f>
        <v/>
      </c>
      <c r="N1329">
        <f>IF(E1329="",99999,E1329)</f>
        <v/>
      </c>
      <c r="O1329">
        <f>IF(E1329="",0,IF(F1329="",E1329,F1329))</f>
        <v/>
      </c>
      <c r="P1329">
        <f>IF(E1329="",1,MAX(1,(YEAR(O1329)-YEAR(N1329))*12+MONTH(O1329)-MONTH(N1329)+1))</f>
        <v/>
      </c>
      <c r="Q1329">
        <f>IF(G1329="",0,G1329/P1329)</f>
        <v/>
      </c>
      <c r="R1329">
        <f>IF(H1329="",0,H1329/P1329)</f>
        <v/>
      </c>
    </row>
    <row r="1330">
      <c r="A1330" s="43" t="n"/>
      <c r="B1330" s="28" t="n"/>
      <c r="C1330" s="28" t="n"/>
      <c r="D1330" s="28" t="n"/>
      <c r="E1330" s="44" t="n"/>
      <c r="F1330" s="44" t="n"/>
      <c r="G1330" s="23" t="n"/>
      <c r="H1330" s="23" t="n"/>
      <c r="I1330" s="23" t="n"/>
      <c r="J1330" s="23" t="n"/>
      <c r="K1330" s="45">
        <f>IF(A1330="","",SUM(G$2:I1330)-SUM(J$2:J1330))</f>
        <v/>
      </c>
      <c r="L1330" s="46" t="n"/>
      <c r="M1330">
        <f>IF(A1330="","",IF(A1330=A1329,M1329,N(M1329)+1))</f>
        <v/>
      </c>
      <c r="N1330">
        <f>IF(E1330="",99999,E1330)</f>
        <v/>
      </c>
      <c r="O1330">
        <f>IF(E1330="",0,IF(F1330="",E1330,F1330))</f>
        <v/>
      </c>
      <c r="P1330">
        <f>IF(E1330="",1,MAX(1,(YEAR(O1330)-YEAR(N1330))*12+MONTH(O1330)-MONTH(N1330)+1))</f>
        <v/>
      </c>
      <c r="Q1330">
        <f>IF(G1330="",0,G1330/P1330)</f>
        <v/>
      </c>
      <c r="R1330">
        <f>IF(H1330="",0,H1330/P1330)</f>
        <v/>
      </c>
    </row>
    <row r="1331">
      <c r="A1331" s="43" t="n"/>
      <c r="B1331" s="28" t="n"/>
      <c r="C1331" s="28" t="n"/>
      <c r="D1331" s="28" t="n"/>
      <c r="E1331" s="44" t="n"/>
      <c r="F1331" s="44" t="n"/>
      <c r="G1331" s="23" t="n"/>
      <c r="H1331" s="23" t="n"/>
      <c r="I1331" s="23" t="n"/>
      <c r="J1331" s="23" t="n"/>
      <c r="K1331" s="45">
        <f>IF(A1331="","",SUM(G$2:I1331)-SUM(J$2:J1331))</f>
        <v/>
      </c>
      <c r="L1331" s="46" t="n"/>
      <c r="M1331">
        <f>IF(A1331="","",IF(A1331=A1330,M1330,N(M1330)+1))</f>
        <v/>
      </c>
      <c r="N1331">
        <f>IF(E1331="",99999,E1331)</f>
        <v/>
      </c>
      <c r="O1331">
        <f>IF(E1331="",0,IF(F1331="",E1331,F1331))</f>
        <v/>
      </c>
      <c r="P1331">
        <f>IF(E1331="",1,MAX(1,(YEAR(O1331)-YEAR(N1331))*12+MONTH(O1331)-MONTH(N1331)+1))</f>
        <v/>
      </c>
      <c r="Q1331">
        <f>IF(G1331="",0,G1331/P1331)</f>
        <v/>
      </c>
      <c r="R1331">
        <f>IF(H1331="",0,H1331/P1331)</f>
        <v/>
      </c>
    </row>
    <row r="1332">
      <c r="A1332" s="43" t="n"/>
      <c r="B1332" s="28" t="n"/>
      <c r="C1332" s="28" t="n"/>
      <c r="D1332" s="28" t="n"/>
      <c r="E1332" s="44" t="n"/>
      <c r="F1332" s="44" t="n"/>
      <c r="G1332" s="23" t="n"/>
      <c r="H1332" s="23" t="n"/>
      <c r="I1332" s="23" t="n"/>
      <c r="J1332" s="23" t="n"/>
      <c r="K1332" s="45">
        <f>IF(A1332="","",SUM(G$2:I1332)-SUM(J$2:J1332))</f>
        <v/>
      </c>
      <c r="L1332" s="46" t="n"/>
      <c r="M1332">
        <f>IF(A1332="","",IF(A1332=A1331,M1331,N(M1331)+1))</f>
        <v/>
      </c>
      <c r="N1332">
        <f>IF(E1332="",99999,E1332)</f>
        <v/>
      </c>
      <c r="O1332">
        <f>IF(E1332="",0,IF(F1332="",E1332,F1332))</f>
        <v/>
      </c>
      <c r="P1332">
        <f>IF(E1332="",1,MAX(1,(YEAR(O1332)-YEAR(N1332))*12+MONTH(O1332)-MONTH(N1332)+1))</f>
        <v/>
      </c>
      <c r="Q1332">
        <f>IF(G1332="",0,G1332/P1332)</f>
        <v/>
      </c>
      <c r="R1332">
        <f>IF(H1332="",0,H1332/P1332)</f>
        <v/>
      </c>
    </row>
    <row r="1333">
      <c r="A1333" s="43" t="n"/>
      <c r="B1333" s="28" t="n"/>
      <c r="C1333" s="28" t="n"/>
      <c r="D1333" s="28" t="n"/>
      <c r="E1333" s="44" t="n"/>
      <c r="F1333" s="44" t="n"/>
      <c r="G1333" s="23" t="n"/>
      <c r="H1333" s="23" t="n"/>
      <c r="I1333" s="23" t="n"/>
      <c r="J1333" s="23" t="n"/>
      <c r="K1333" s="45">
        <f>IF(A1333="","",SUM(G$2:I1333)-SUM(J$2:J1333))</f>
        <v/>
      </c>
      <c r="L1333" s="46" t="n"/>
      <c r="M1333">
        <f>IF(A1333="","",IF(A1333=A1332,M1332,N(M1332)+1))</f>
        <v/>
      </c>
      <c r="N1333">
        <f>IF(E1333="",99999,E1333)</f>
        <v/>
      </c>
      <c r="O1333">
        <f>IF(E1333="",0,IF(F1333="",E1333,F1333))</f>
        <v/>
      </c>
      <c r="P1333">
        <f>IF(E1333="",1,MAX(1,(YEAR(O1333)-YEAR(N1333))*12+MONTH(O1333)-MONTH(N1333)+1))</f>
        <v/>
      </c>
      <c r="Q1333">
        <f>IF(G1333="",0,G1333/P1333)</f>
        <v/>
      </c>
      <c r="R1333">
        <f>IF(H1333="",0,H1333/P1333)</f>
        <v/>
      </c>
    </row>
    <row r="1334">
      <c r="A1334" s="43" t="n"/>
      <c r="B1334" s="28" t="n"/>
      <c r="C1334" s="28" t="n"/>
      <c r="D1334" s="28" t="n"/>
      <c r="E1334" s="44" t="n"/>
      <c r="F1334" s="44" t="n"/>
      <c r="G1334" s="23" t="n"/>
      <c r="H1334" s="23" t="n"/>
      <c r="I1334" s="23" t="n"/>
      <c r="J1334" s="23" t="n"/>
      <c r="K1334" s="45">
        <f>IF(A1334="","",SUM(G$2:I1334)-SUM(J$2:J1334))</f>
        <v/>
      </c>
      <c r="L1334" s="46" t="n"/>
      <c r="M1334">
        <f>IF(A1334="","",IF(A1334=A1333,M1333,N(M1333)+1))</f>
        <v/>
      </c>
      <c r="N1334">
        <f>IF(E1334="",99999,E1334)</f>
        <v/>
      </c>
      <c r="O1334">
        <f>IF(E1334="",0,IF(F1334="",E1334,F1334))</f>
        <v/>
      </c>
      <c r="P1334">
        <f>IF(E1334="",1,MAX(1,(YEAR(O1334)-YEAR(N1334))*12+MONTH(O1334)-MONTH(N1334)+1))</f>
        <v/>
      </c>
      <c r="Q1334">
        <f>IF(G1334="",0,G1334/P1334)</f>
        <v/>
      </c>
      <c r="R1334">
        <f>IF(H1334="",0,H1334/P1334)</f>
        <v/>
      </c>
    </row>
    <row r="1335">
      <c r="A1335" s="43" t="n"/>
      <c r="B1335" s="28" t="n"/>
      <c r="C1335" s="28" t="n"/>
      <c r="D1335" s="28" t="n"/>
      <c r="E1335" s="44" t="n"/>
      <c r="F1335" s="44" t="n"/>
      <c r="G1335" s="23" t="n"/>
      <c r="H1335" s="23" t="n"/>
      <c r="I1335" s="23" t="n"/>
      <c r="J1335" s="23" t="n"/>
      <c r="K1335" s="45">
        <f>IF(A1335="","",SUM(G$2:I1335)-SUM(J$2:J1335))</f>
        <v/>
      </c>
      <c r="L1335" s="46" t="n"/>
      <c r="M1335">
        <f>IF(A1335="","",IF(A1335=A1334,M1334,N(M1334)+1))</f>
        <v/>
      </c>
      <c r="N1335">
        <f>IF(E1335="",99999,E1335)</f>
        <v/>
      </c>
      <c r="O1335">
        <f>IF(E1335="",0,IF(F1335="",E1335,F1335))</f>
        <v/>
      </c>
      <c r="P1335">
        <f>IF(E1335="",1,MAX(1,(YEAR(O1335)-YEAR(N1335))*12+MONTH(O1335)-MONTH(N1335)+1))</f>
        <v/>
      </c>
      <c r="Q1335">
        <f>IF(G1335="",0,G1335/P1335)</f>
        <v/>
      </c>
      <c r="R1335">
        <f>IF(H1335="",0,H1335/P1335)</f>
        <v/>
      </c>
    </row>
    <row r="1336">
      <c r="A1336" s="43" t="n"/>
      <c r="B1336" s="28" t="n"/>
      <c r="C1336" s="28" t="n"/>
      <c r="D1336" s="28" t="n"/>
      <c r="E1336" s="44" t="n"/>
      <c r="F1336" s="44" t="n"/>
      <c r="G1336" s="23" t="n"/>
      <c r="H1336" s="23" t="n"/>
      <c r="I1336" s="23" t="n"/>
      <c r="J1336" s="23" t="n"/>
      <c r="K1336" s="45">
        <f>IF(A1336="","",SUM(G$2:I1336)-SUM(J$2:J1336))</f>
        <v/>
      </c>
      <c r="L1336" s="46" t="n"/>
      <c r="M1336">
        <f>IF(A1336="","",IF(A1336=A1335,M1335,N(M1335)+1))</f>
        <v/>
      </c>
      <c r="N1336">
        <f>IF(E1336="",99999,E1336)</f>
        <v/>
      </c>
      <c r="O1336">
        <f>IF(E1336="",0,IF(F1336="",E1336,F1336))</f>
        <v/>
      </c>
      <c r="P1336">
        <f>IF(E1336="",1,MAX(1,(YEAR(O1336)-YEAR(N1336))*12+MONTH(O1336)-MONTH(N1336)+1))</f>
        <v/>
      </c>
      <c r="Q1336">
        <f>IF(G1336="",0,G1336/P1336)</f>
        <v/>
      </c>
      <c r="R1336">
        <f>IF(H1336="",0,H1336/P1336)</f>
        <v/>
      </c>
    </row>
    <row r="1337">
      <c r="A1337" s="43" t="n"/>
      <c r="B1337" s="28" t="n"/>
      <c r="C1337" s="28" t="n"/>
      <c r="D1337" s="28" t="n"/>
      <c r="E1337" s="44" t="n"/>
      <c r="F1337" s="44" t="n"/>
      <c r="G1337" s="23" t="n"/>
      <c r="H1337" s="23" t="n"/>
      <c r="I1337" s="23" t="n"/>
      <c r="J1337" s="23" t="n"/>
      <c r="K1337" s="45">
        <f>IF(A1337="","",SUM(G$2:I1337)-SUM(J$2:J1337))</f>
        <v/>
      </c>
      <c r="L1337" s="46" t="n"/>
      <c r="M1337">
        <f>IF(A1337="","",IF(A1337=A1336,M1336,N(M1336)+1))</f>
        <v/>
      </c>
      <c r="N1337">
        <f>IF(E1337="",99999,E1337)</f>
        <v/>
      </c>
      <c r="O1337">
        <f>IF(E1337="",0,IF(F1337="",E1337,F1337))</f>
        <v/>
      </c>
      <c r="P1337">
        <f>IF(E1337="",1,MAX(1,(YEAR(O1337)-YEAR(N1337))*12+MONTH(O1337)-MONTH(N1337)+1))</f>
        <v/>
      </c>
      <c r="Q1337">
        <f>IF(G1337="",0,G1337/P1337)</f>
        <v/>
      </c>
      <c r="R1337">
        <f>IF(H1337="",0,H1337/P1337)</f>
        <v/>
      </c>
    </row>
    <row r="1338">
      <c r="A1338" s="43" t="n"/>
      <c r="B1338" s="28" t="n"/>
      <c r="C1338" s="28" t="n"/>
      <c r="D1338" s="28" t="n"/>
      <c r="E1338" s="44" t="n"/>
      <c r="F1338" s="44" t="n"/>
      <c r="G1338" s="23" t="n"/>
      <c r="H1338" s="23" t="n"/>
      <c r="I1338" s="23" t="n"/>
      <c r="J1338" s="23" t="n"/>
      <c r="K1338" s="45">
        <f>IF(A1338="","",SUM(G$2:I1338)-SUM(J$2:J1338))</f>
        <v/>
      </c>
      <c r="L1338" s="46" t="n"/>
      <c r="M1338">
        <f>IF(A1338="","",IF(A1338=A1337,M1337,N(M1337)+1))</f>
        <v/>
      </c>
      <c r="N1338">
        <f>IF(E1338="",99999,E1338)</f>
        <v/>
      </c>
      <c r="O1338">
        <f>IF(E1338="",0,IF(F1338="",E1338,F1338))</f>
        <v/>
      </c>
      <c r="P1338">
        <f>IF(E1338="",1,MAX(1,(YEAR(O1338)-YEAR(N1338))*12+MONTH(O1338)-MONTH(N1338)+1))</f>
        <v/>
      </c>
      <c r="Q1338">
        <f>IF(G1338="",0,G1338/P1338)</f>
        <v/>
      </c>
      <c r="R1338">
        <f>IF(H1338="",0,H1338/P1338)</f>
        <v/>
      </c>
    </row>
    <row r="1339">
      <c r="A1339" s="43" t="n"/>
      <c r="B1339" s="28" t="n"/>
      <c r="C1339" s="28" t="n"/>
      <c r="D1339" s="28" t="n"/>
      <c r="E1339" s="44" t="n"/>
      <c r="F1339" s="44" t="n"/>
      <c r="G1339" s="23" t="n"/>
      <c r="H1339" s="23" t="n"/>
      <c r="I1339" s="23" t="n"/>
      <c r="J1339" s="23" t="n"/>
      <c r="K1339" s="45">
        <f>IF(A1339="","",SUM(G$2:I1339)-SUM(J$2:J1339))</f>
        <v/>
      </c>
      <c r="L1339" s="46" t="n"/>
      <c r="M1339">
        <f>IF(A1339="","",IF(A1339=A1338,M1338,N(M1338)+1))</f>
        <v/>
      </c>
      <c r="N1339">
        <f>IF(E1339="",99999,E1339)</f>
        <v/>
      </c>
      <c r="O1339">
        <f>IF(E1339="",0,IF(F1339="",E1339,F1339))</f>
        <v/>
      </c>
      <c r="P1339">
        <f>IF(E1339="",1,MAX(1,(YEAR(O1339)-YEAR(N1339))*12+MONTH(O1339)-MONTH(N1339)+1))</f>
        <v/>
      </c>
      <c r="Q1339">
        <f>IF(G1339="",0,G1339/P1339)</f>
        <v/>
      </c>
      <c r="R1339">
        <f>IF(H1339="",0,H1339/P1339)</f>
        <v/>
      </c>
    </row>
    <row r="1340">
      <c r="A1340" s="43" t="n"/>
      <c r="B1340" s="28" t="n"/>
      <c r="C1340" s="28" t="n"/>
      <c r="D1340" s="28" t="n"/>
      <c r="E1340" s="44" t="n"/>
      <c r="F1340" s="44" t="n"/>
      <c r="G1340" s="23" t="n"/>
      <c r="H1340" s="23" t="n"/>
      <c r="I1340" s="23" t="n"/>
      <c r="J1340" s="23" t="n"/>
      <c r="K1340" s="45">
        <f>IF(A1340="","",SUM(G$2:I1340)-SUM(J$2:J1340))</f>
        <v/>
      </c>
      <c r="L1340" s="46" t="n"/>
      <c r="M1340">
        <f>IF(A1340="","",IF(A1340=A1339,M1339,N(M1339)+1))</f>
        <v/>
      </c>
      <c r="N1340">
        <f>IF(E1340="",99999,E1340)</f>
        <v/>
      </c>
      <c r="O1340">
        <f>IF(E1340="",0,IF(F1340="",E1340,F1340))</f>
        <v/>
      </c>
      <c r="P1340">
        <f>IF(E1340="",1,MAX(1,(YEAR(O1340)-YEAR(N1340))*12+MONTH(O1340)-MONTH(N1340)+1))</f>
        <v/>
      </c>
      <c r="Q1340">
        <f>IF(G1340="",0,G1340/P1340)</f>
        <v/>
      </c>
      <c r="R1340">
        <f>IF(H1340="",0,H1340/P1340)</f>
        <v/>
      </c>
    </row>
    <row r="1341">
      <c r="A1341" s="43" t="n"/>
      <c r="B1341" s="28" t="n"/>
      <c r="C1341" s="28" t="n"/>
      <c r="D1341" s="28" t="n"/>
      <c r="E1341" s="44" t="n"/>
      <c r="F1341" s="44" t="n"/>
      <c r="G1341" s="23" t="n"/>
      <c r="H1341" s="23" t="n"/>
      <c r="I1341" s="23" t="n"/>
      <c r="J1341" s="23" t="n"/>
      <c r="K1341" s="45">
        <f>IF(A1341="","",SUM(G$2:I1341)-SUM(J$2:J1341))</f>
        <v/>
      </c>
      <c r="L1341" s="46" t="n"/>
      <c r="M1341">
        <f>IF(A1341="","",IF(A1341=A1340,M1340,N(M1340)+1))</f>
        <v/>
      </c>
      <c r="N1341">
        <f>IF(E1341="",99999,E1341)</f>
        <v/>
      </c>
      <c r="O1341">
        <f>IF(E1341="",0,IF(F1341="",E1341,F1341))</f>
        <v/>
      </c>
      <c r="P1341">
        <f>IF(E1341="",1,MAX(1,(YEAR(O1341)-YEAR(N1341))*12+MONTH(O1341)-MONTH(N1341)+1))</f>
        <v/>
      </c>
      <c r="Q1341">
        <f>IF(G1341="",0,G1341/P1341)</f>
        <v/>
      </c>
      <c r="R1341">
        <f>IF(H1341="",0,H1341/P1341)</f>
        <v/>
      </c>
    </row>
    <row r="1342">
      <c r="A1342" s="43" t="n"/>
      <c r="B1342" s="28" t="n"/>
      <c r="C1342" s="28" t="n"/>
      <c r="D1342" s="28" t="n"/>
      <c r="E1342" s="44" t="n"/>
      <c r="F1342" s="44" t="n"/>
      <c r="G1342" s="23" t="n"/>
      <c r="H1342" s="23" t="n"/>
      <c r="I1342" s="23" t="n"/>
      <c r="J1342" s="23" t="n"/>
      <c r="K1342" s="45">
        <f>IF(A1342="","",SUM(G$2:I1342)-SUM(J$2:J1342))</f>
        <v/>
      </c>
      <c r="L1342" s="46" t="n"/>
      <c r="M1342">
        <f>IF(A1342="","",IF(A1342=A1341,M1341,N(M1341)+1))</f>
        <v/>
      </c>
      <c r="N1342">
        <f>IF(E1342="",99999,E1342)</f>
        <v/>
      </c>
      <c r="O1342">
        <f>IF(E1342="",0,IF(F1342="",E1342,F1342))</f>
        <v/>
      </c>
      <c r="P1342">
        <f>IF(E1342="",1,MAX(1,(YEAR(O1342)-YEAR(N1342))*12+MONTH(O1342)-MONTH(N1342)+1))</f>
        <v/>
      </c>
      <c r="Q1342">
        <f>IF(G1342="",0,G1342/P1342)</f>
        <v/>
      </c>
      <c r="R1342">
        <f>IF(H1342="",0,H1342/P1342)</f>
        <v/>
      </c>
    </row>
    <row r="1343">
      <c r="A1343" s="43" t="n"/>
      <c r="B1343" s="28" t="n"/>
      <c r="C1343" s="28" t="n"/>
      <c r="D1343" s="28" t="n"/>
      <c r="E1343" s="44" t="n"/>
      <c r="F1343" s="44" t="n"/>
      <c r="G1343" s="23" t="n"/>
      <c r="H1343" s="23" t="n"/>
      <c r="I1343" s="23" t="n"/>
      <c r="J1343" s="23" t="n"/>
      <c r="K1343" s="45">
        <f>IF(A1343="","",SUM(G$2:I1343)-SUM(J$2:J1343))</f>
        <v/>
      </c>
      <c r="L1343" s="46" t="n"/>
      <c r="M1343">
        <f>IF(A1343="","",IF(A1343=A1342,M1342,N(M1342)+1))</f>
        <v/>
      </c>
      <c r="N1343">
        <f>IF(E1343="",99999,E1343)</f>
        <v/>
      </c>
      <c r="O1343">
        <f>IF(E1343="",0,IF(F1343="",E1343,F1343))</f>
        <v/>
      </c>
      <c r="P1343">
        <f>IF(E1343="",1,MAX(1,(YEAR(O1343)-YEAR(N1343))*12+MONTH(O1343)-MONTH(N1343)+1))</f>
        <v/>
      </c>
      <c r="Q1343">
        <f>IF(G1343="",0,G1343/P1343)</f>
        <v/>
      </c>
      <c r="R1343">
        <f>IF(H1343="",0,H1343/P1343)</f>
        <v/>
      </c>
    </row>
    <row r="1344">
      <c r="A1344" s="43" t="n"/>
      <c r="B1344" s="28" t="n"/>
      <c r="C1344" s="28" t="n"/>
      <c r="D1344" s="28" t="n"/>
      <c r="E1344" s="44" t="n"/>
      <c r="F1344" s="44" t="n"/>
      <c r="G1344" s="23" t="n"/>
      <c r="H1344" s="23" t="n"/>
      <c r="I1344" s="23" t="n"/>
      <c r="J1344" s="23" t="n"/>
      <c r="K1344" s="45">
        <f>IF(A1344="","",SUM(G$2:I1344)-SUM(J$2:J1344))</f>
        <v/>
      </c>
      <c r="L1344" s="46" t="n"/>
      <c r="M1344">
        <f>IF(A1344="","",IF(A1344=A1343,M1343,N(M1343)+1))</f>
        <v/>
      </c>
      <c r="N1344">
        <f>IF(E1344="",99999,E1344)</f>
        <v/>
      </c>
      <c r="O1344">
        <f>IF(E1344="",0,IF(F1344="",E1344,F1344))</f>
        <v/>
      </c>
      <c r="P1344">
        <f>IF(E1344="",1,MAX(1,(YEAR(O1344)-YEAR(N1344))*12+MONTH(O1344)-MONTH(N1344)+1))</f>
        <v/>
      </c>
      <c r="Q1344">
        <f>IF(G1344="",0,G1344/P1344)</f>
        <v/>
      </c>
      <c r="R1344">
        <f>IF(H1344="",0,H1344/P1344)</f>
        <v/>
      </c>
    </row>
    <row r="1345">
      <c r="A1345" s="43" t="n"/>
      <c r="B1345" s="28" t="n"/>
      <c r="C1345" s="28" t="n"/>
      <c r="D1345" s="28" t="n"/>
      <c r="E1345" s="44" t="n"/>
      <c r="F1345" s="44" t="n"/>
      <c r="G1345" s="23" t="n"/>
      <c r="H1345" s="23" t="n"/>
      <c r="I1345" s="23" t="n"/>
      <c r="J1345" s="23" t="n"/>
      <c r="K1345" s="45">
        <f>IF(A1345="","",SUM(G$2:I1345)-SUM(J$2:J1345))</f>
        <v/>
      </c>
      <c r="L1345" s="46" t="n"/>
      <c r="M1345">
        <f>IF(A1345="","",IF(A1345=A1344,M1344,N(M1344)+1))</f>
        <v/>
      </c>
      <c r="N1345">
        <f>IF(E1345="",99999,E1345)</f>
        <v/>
      </c>
      <c r="O1345">
        <f>IF(E1345="",0,IF(F1345="",E1345,F1345))</f>
        <v/>
      </c>
      <c r="P1345">
        <f>IF(E1345="",1,MAX(1,(YEAR(O1345)-YEAR(N1345))*12+MONTH(O1345)-MONTH(N1345)+1))</f>
        <v/>
      </c>
      <c r="Q1345">
        <f>IF(G1345="",0,G1345/P1345)</f>
        <v/>
      </c>
      <c r="R1345">
        <f>IF(H1345="",0,H1345/P1345)</f>
        <v/>
      </c>
    </row>
    <row r="1346">
      <c r="A1346" s="43" t="n"/>
      <c r="B1346" s="28" t="n"/>
      <c r="C1346" s="28" t="n"/>
      <c r="D1346" s="28" t="n"/>
      <c r="E1346" s="44" t="n"/>
      <c r="F1346" s="44" t="n"/>
      <c r="G1346" s="23" t="n"/>
      <c r="H1346" s="23" t="n"/>
      <c r="I1346" s="23" t="n"/>
      <c r="J1346" s="23" t="n"/>
      <c r="K1346" s="45">
        <f>IF(A1346="","",SUM(G$2:I1346)-SUM(J$2:J1346))</f>
        <v/>
      </c>
      <c r="L1346" s="46" t="n"/>
      <c r="M1346">
        <f>IF(A1346="","",IF(A1346=A1345,M1345,N(M1345)+1))</f>
        <v/>
      </c>
      <c r="N1346">
        <f>IF(E1346="",99999,E1346)</f>
        <v/>
      </c>
      <c r="O1346">
        <f>IF(E1346="",0,IF(F1346="",E1346,F1346))</f>
        <v/>
      </c>
      <c r="P1346">
        <f>IF(E1346="",1,MAX(1,(YEAR(O1346)-YEAR(N1346))*12+MONTH(O1346)-MONTH(N1346)+1))</f>
        <v/>
      </c>
      <c r="Q1346">
        <f>IF(G1346="",0,G1346/P1346)</f>
        <v/>
      </c>
      <c r="R1346">
        <f>IF(H1346="",0,H1346/P1346)</f>
        <v/>
      </c>
    </row>
    <row r="1347">
      <c r="A1347" s="43" t="n"/>
      <c r="B1347" s="28" t="n"/>
      <c r="C1347" s="28" t="n"/>
      <c r="D1347" s="28" t="n"/>
      <c r="E1347" s="44" t="n"/>
      <c r="F1347" s="44" t="n"/>
      <c r="G1347" s="23" t="n"/>
      <c r="H1347" s="23" t="n"/>
      <c r="I1347" s="23" t="n"/>
      <c r="J1347" s="23" t="n"/>
      <c r="K1347" s="45">
        <f>IF(A1347="","",SUM(G$2:I1347)-SUM(J$2:J1347))</f>
        <v/>
      </c>
      <c r="L1347" s="46" t="n"/>
      <c r="M1347">
        <f>IF(A1347="","",IF(A1347=A1346,M1346,N(M1346)+1))</f>
        <v/>
      </c>
      <c r="N1347">
        <f>IF(E1347="",99999,E1347)</f>
        <v/>
      </c>
      <c r="O1347">
        <f>IF(E1347="",0,IF(F1347="",E1347,F1347))</f>
        <v/>
      </c>
      <c r="P1347">
        <f>IF(E1347="",1,MAX(1,(YEAR(O1347)-YEAR(N1347))*12+MONTH(O1347)-MONTH(N1347)+1))</f>
        <v/>
      </c>
      <c r="Q1347">
        <f>IF(G1347="",0,G1347/P1347)</f>
        <v/>
      </c>
      <c r="R1347">
        <f>IF(H1347="",0,H1347/P1347)</f>
        <v/>
      </c>
    </row>
    <row r="1348">
      <c r="A1348" s="43" t="n"/>
      <c r="B1348" s="28" t="n"/>
      <c r="C1348" s="28" t="n"/>
      <c r="D1348" s="28" t="n"/>
      <c r="E1348" s="44" t="n"/>
      <c r="F1348" s="44" t="n"/>
      <c r="G1348" s="23" t="n"/>
      <c r="H1348" s="23" t="n"/>
      <c r="I1348" s="23" t="n"/>
      <c r="J1348" s="23" t="n"/>
      <c r="K1348" s="45">
        <f>IF(A1348="","",SUM(G$2:I1348)-SUM(J$2:J1348))</f>
        <v/>
      </c>
      <c r="L1348" s="46" t="n"/>
      <c r="M1348">
        <f>IF(A1348="","",IF(A1348=A1347,M1347,N(M1347)+1))</f>
        <v/>
      </c>
      <c r="N1348">
        <f>IF(E1348="",99999,E1348)</f>
        <v/>
      </c>
      <c r="O1348">
        <f>IF(E1348="",0,IF(F1348="",E1348,F1348))</f>
        <v/>
      </c>
      <c r="P1348">
        <f>IF(E1348="",1,MAX(1,(YEAR(O1348)-YEAR(N1348))*12+MONTH(O1348)-MONTH(N1348)+1))</f>
        <v/>
      </c>
      <c r="Q1348">
        <f>IF(G1348="",0,G1348/P1348)</f>
        <v/>
      </c>
      <c r="R1348">
        <f>IF(H1348="",0,H1348/P1348)</f>
        <v/>
      </c>
    </row>
    <row r="1349">
      <c r="A1349" s="43" t="n"/>
      <c r="B1349" s="28" t="n"/>
      <c r="C1349" s="28" t="n"/>
      <c r="D1349" s="28" t="n"/>
      <c r="E1349" s="44" t="n"/>
      <c r="F1349" s="44" t="n"/>
      <c r="G1349" s="23" t="n"/>
      <c r="H1349" s="23" t="n"/>
      <c r="I1349" s="23" t="n"/>
      <c r="J1349" s="23" t="n"/>
      <c r="K1349" s="45">
        <f>IF(A1349="","",SUM(G$2:I1349)-SUM(J$2:J1349))</f>
        <v/>
      </c>
      <c r="L1349" s="46" t="n"/>
      <c r="M1349">
        <f>IF(A1349="","",IF(A1349=A1348,M1348,N(M1348)+1))</f>
        <v/>
      </c>
      <c r="N1349">
        <f>IF(E1349="",99999,E1349)</f>
        <v/>
      </c>
      <c r="O1349">
        <f>IF(E1349="",0,IF(F1349="",E1349,F1349))</f>
        <v/>
      </c>
      <c r="P1349">
        <f>IF(E1349="",1,MAX(1,(YEAR(O1349)-YEAR(N1349))*12+MONTH(O1349)-MONTH(N1349)+1))</f>
        <v/>
      </c>
      <c r="Q1349">
        <f>IF(G1349="",0,G1349/P1349)</f>
        <v/>
      </c>
      <c r="R1349">
        <f>IF(H1349="",0,H1349/P1349)</f>
        <v/>
      </c>
    </row>
    <row r="1350">
      <c r="A1350" s="43" t="n"/>
      <c r="B1350" s="28" t="n"/>
      <c r="C1350" s="28" t="n"/>
      <c r="D1350" s="28" t="n"/>
      <c r="E1350" s="44" t="n"/>
      <c r="F1350" s="44" t="n"/>
      <c r="G1350" s="23" t="n"/>
      <c r="H1350" s="23" t="n"/>
      <c r="I1350" s="23" t="n"/>
      <c r="J1350" s="23" t="n"/>
      <c r="K1350" s="45">
        <f>IF(A1350="","",SUM(G$2:I1350)-SUM(J$2:J1350))</f>
        <v/>
      </c>
      <c r="L1350" s="46" t="n"/>
      <c r="M1350">
        <f>IF(A1350="","",IF(A1350=A1349,M1349,N(M1349)+1))</f>
        <v/>
      </c>
      <c r="N1350">
        <f>IF(E1350="",99999,E1350)</f>
        <v/>
      </c>
      <c r="O1350">
        <f>IF(E1350="",0,IF(F1350="",E1350,F1350))</f>
        <v/>
      </c>
      <c r="P1350">
        <f>IF(E1350="",1,MAX(1,(YEAR(O1350)-YEAR(N1350))*12+MONTH(O1350)-MONTH(N1350)+1))</f>
        <v/>
      </c>
      <c r="Q1350">
        <f>IF(G1350="",0,G1350/P1350)</f>
        <v/>
      </c>
      <c r="R1350">
        <f>IF(H1350="",0,H1350/P1350)</f>
        <v/>
      </c>
    </row>
    <row r="1351">
      <c r="A1351" s="43" t="n"/>
      <c r="B1351" s="28" t="n"/>
      <c r="C1351" s="28" t="n"/>
      <c r="D1351" s="28" t="n"/>
      <c r="E1351" s="44" t="n"/>
      <c r="F1351" s="44" t="n"/>
      <c r="G1351" s="23" t="n"/>
      <c r="H1351" s="23" t="n"/>
      <c r="I1351" s="23" t="n"/>
      <c r="J1351" s="23" t="n"/>
      <c r="K1351" s="45">
        <f>IF(A1351="","",SUM(G$2:I1351)-SUM(J$2:J1351))</f>
        <v/>
      </c>
      <c r="L1351" s="46" t="n"/>
      <c r="M1351">
        <f>IF(A1351="","",IF(A1351=A1350,M1350,N(M1350)+1))</f>
        <v/>
      </c>
      <c r="N1351">
        <f>IF(E1351="",99999,E1351)</f>
        <v/>
      </c>
      <c r="O1351">
        <f>IF(E1351="",0,IF(F1351="",E1351,F1351))</f>
        <v/>
      </c>
      <c r="P1351">
        <f>IF(E1351="",1,MAX(1,(YEAR(O1351)-YEAR(N1351))*12+MONTH(O1351)-MONTH(N1351)+1))</f>
        <v/>
      </c>
      <c r="Q1351">
        <f>IF(G1351="",0,G1351/P1351)</f>
        <v/>
      </c>
      <c r="R1351">
        <f>IF(H1351="",0,H1351/P1351)</f>
        <v/>
      </c>
    </row>
    <row r="1352">
      <c r="A1352" s="43" t="n"/>
      <c r="B1352" s="28" t="n"/>
      <c r="C1352" s="28" t="n"/>
      <c r="D1352" s="28" t="n"/>
      <c r="E1352" s="44" t="n"/>
      <c r="F1352" s="44" t="n"/>
      <c r="G1352" s="23" t="n"/>
      <c r="H1352" s="23" t="n"/>
      <c r="I1352" s="23" t="n"/>
      <c r="J1352" s="23" t="n"/>
      <c r="K1352" s="45">
        <f>IF(A1352="","",SUM(G$2:I1352)-SUM(J$2:J1352))</f>
        <v/>
      </c>
      <c r="L1352" s="46" t="n"/>
      <c r="M1352">
        <f>IF(A1352="","",IF(A1352=A1351,M1351,N(M1351)+1))</f>
        <v/>
      </c>
      <c r="N1352">
        <f>IF(E1352="",99999,E1352)</f>
        <v/>
      </c>
      <c r="O1352">
        <f>IF(E1352="",0,IF(F1352="",E1352,F1352))</f>
        <v/>
      </c>
      <c r="P1352">
        <f>IF(E1352="",1,MAX(1,(YEAR(O1352)-YEAR(N1352))*12+MONTH(O1352)-MONTH(N1352)+1))</f>
        <v/>
      </c>
      <c r="Q1352">
        <f>IF(G1352="",0,G1352/P1352)</f>
        <v/>
      </c>
      <c r="R1352">
        <f>IF(H1352="",0,H1352/P1352)</f>
        <v/>
      </c>
    </row>
    <row r="1353">
      <c r="A1353" s="43" t="n"/>
      <c r="B1353" s="28" t="n"/>
      <c r="C1353" s="28" t="n"/>
      <c r="D1353" s="28" t="n"/>
      <c r="E1353" s="44" t="n"/>
      <c r="F1353" s="44" t="n"/>
      <c r="G1353" s="23" t="n"/>
      <c r="H1353" s="23" t="n"/>
      <c r="I1353" s="23" t="n"/>
      <c r="J1353" s="23" t="n"/>
      <c r="K1353" s="45">
        <f>IF(A1353="","",SUM(G$2:I1353)-SUM(J$2:J1353))</f>
        <v/>
      </c>
      <c r="L1353" s="46" t="n"/>
      <c r="M1353">
        <f>IF(A1353="","",IF(A1353=A1352,M1352,N(M1352)+1))</f>
        <v/>
      </c>
      <c r="N1353">
        <f>IF(E1353="",99999,E1353)</f>
        <v/>
      </c>
      <c r="O1353">
        <f>IF(E1353="",0,IF(F1353="",E1353,F1353))</f>
        <v/>
      </c>
      <c r="P1353">
        <f>IF(E1353="",1,MAX(1,(YEAR(O1353)-YEAR(N1353))*12+MONTH(O1353)-MONTH(N1353)+1))</f>
        <v/>
      </c>
      <c r="Q1353">
        <f>IF(G1353="",0,G1353/P1353)</f>
        <v/>
      </c>
      <c r="R1353">
        <f>IF(H1353="",0,H1353/P1353)</f>
        <v/>
      </c>
    </row>
    <row r="1354">
      <c r="A1354" s="43" t="n"/>
      <c r="B1354" s="28" t="n"/>
      <c r="C1354" s="28" t="n"/>
      <c r="D1354" s="28" t="n"/>
      <c r="E1354" s="44" t="n"/>
      <c r="F1354" s="44" t="n"/>
      <c r="G1354" s="23" t="n"/>
      <c r="H1354" s="23" t="n"/>
      <c r="I1354" s="23" t="n"/>
      <c r="J1354" s="23" t="n"/>
      <c r="K1354" s="45">
        <f>IF(A1354="","",SUM(G$2:I1354)-SUM(J$2:J1354))</f>
        <v/>
      </c>
      <c r="L1354" s="46" t="n"/>
      <c r="M1354">
        <f>IF(A1354="","",IF(A1354=A1353,M1353,N(M1353)+1))</f>
        <v/>
      </c>
      <c r="N1354">
        <f>IF(E1354="",99999,E1354)</f>
        <v/>
      </c>
      <c r="O1354">
        <f>IF(E1354="",0,IF(F1354="",E1354,F1354))</f>
        <v/>
      </c>
      <c r="P1354">
        <f>IF(E1354="",1,MAX(1,(YEAR(O1354)-YEAR(N1354))*12+MONTH(O1354)-MONTH(N1354)+1))</f>
        <v/>
      </c>
      <c r="Q1354">
        <f>IF(G1354="",0,G1354/P1354)</f>
        <v/>
      </c>
      <c r="R1354">
        <f>IF(H1354="",0,H1354/P1354)</f>
        <v/>
      </c>
    </row>
    <row r="1355">
      <c r="A1355" s="43" t="n"/>
      <c r="B1355" s="28" t="n"/>
      <c r="C1355" s="28" t="n"/>
      <c r="D1355" s="28" t="n"/>
      <c r="E1355" s="44" t="n"/>
      <c r="F1355" s="44" t="n"/>
      <c r="G1355" s="23" t="n"/>
      <c r="H1355" s="23" t="n"/>
      <c r="I1355" s="23" t="n"/>
      <c r="J1355" s="23" t="n"/>
      <c r="K1355" s="45">
        <f>IF(A1355="","",SUM(G$2:I1355)-SUM(J$2:J1355))</f>
        <v/>
      </c>
      <c r="L1355" s="46" t="n"/>
      <c r="M1355">
        <f>IF(A1355="","",IF(A1355=A1354,M1354,N(M1354)+1))</f>
        <v/>
      </c>
      <c r="N1355">
        <f>IF(E1355="",99999,E1355)</f>
        <v/>
      </c>
      <c r="O1355">
        <f>IF(E1355="",0,IF(F1355="",E1355,F1355))</f>
        <v/>
      </c>
      <c r="P1355">
        <f>IF(E1355="",1,MAX(1,(YEAR(O1355)-YEAR(N1355))*12+MONTH(O1355)-MONTH(N1355)+1))</f>
        <v/>
      </c>
      <c r="Q1355">
        <f>IF(G1355="",0,G1355/P1355)</f>
        <v/>
      </c>
      <c r="R1355">
        <f>IF(H1355="",0,H1355/P1355)</f>
        <v/>
      </c>
    </row>
    <row r="1356">
      <c r="A1356" s="43" t="n"/>
      <c r="B1356" s="28" t="n"/>
      <c r="C1356" s="28" t="n"/>
      <c r="D1356" s="28" t="n"/>
      <c r="E1356" s="44" t="n"/>
      <c r="F1356" s="44" t="n"/>
      <c r="G1356" s="23" t="n"/>
      <c r="H1356" s="23" t="n"/>
      <c r="I1356" s="23" t="n"/>
      <c r="J1356" s="23" t="n"/>
      <c r="K1356" s="45">
        <f>IF(A1356="","",SUM(G$2:I1356)-SUM(J$2:J1356))</f>
        <v/>
      </c>
      <c r="L1356" s="46" t="n"/>
      <c r="M1356">
        <f>IF(A1356="","",IF(A1356=A1355,M1355,N(M1355)+1))</f>
        <v/>
      </c>
      <c r="N1356">
        <f>IF(E1356="",99999,E1356)</f>
        <v/>
      </c>
      <c r="O1356">
        <f>IF(E1356="",0,IF(F1356="",E1356,F1356))</f>
        <v/>
      </c>
      <c r="P1356">
        <f>IF(E1356="",1,MAX(1,(YEAR(O1356)-YEAR(N1356))*12+MONTH(O1356)-MONTH(N1356)+1))</f>
        <v/>
      </c>
      <c r="Q1356">
        <f>IF(G1356="",0,G1356/P1356)</f>
        <v/>
      </c>
      <c r="R1356">
        <f>IF(H1356="",0,H1356/P1356)</f>
        <v/>
      </c>
    </row>
    <row r="1357">
      <c r="A1357" s="43" t="n"/>
      <c r="B1357" s="28" t="n"/>
      <c r="C1357" s="28" t="n"/>
      <c r="D1357" s="28" t="n"/>
      <c r="E1357" s="44" t="n"/>
      <c r="F1357" s="44" t="n"/>
      <c r="G1357" s="23" t="n"/>
      <c r="H1357" s="23" t="n"/>
      <c r="I1357" s="23" t="n"/>
      <c r="J1357" s="23" t="n"/>
      <c r="K1357" s="45">
        <f>IF(A1357="","",SUM(G$2:I1357)-SUM(J$2:J1357))</f>
        <v/>
      </c>
      <c r="L1357" s="46" t="n"/>
      <c r="M1357">
        <f>IF(A1357="","",IF(A1357=A1356,M1356,N(M1356)+1))</f>
        <v/>
      </c>
      <c r="N1357">
        <f>IF(E1357="",99999,E1357)</f>
        <v/>
      </c>
      <c r="O1357">
        <f>IF(E1357="",0,IF(F1357="",E1357,F1357))</f>
        <v/>
      </c>
      <c r="P1357">
        <f>IF(E1357="",1,MAX(1,(YEAR(O1357)-YEAR(N1357))*12+MONTH(O1357)-MONTH(N1357)+1))</f>
        <v/>
      </c>
      <c r="Q1357">
        <f>IF(G1357="",0,G1357/P1357)</f>
        <v/>
      </c>
      <c r="R1357">
        <f>IF(H1357="",0,H1357/P1357)</f>
        <v/>
      </c>
    </row>
    <row r="1358">
      <c r="A1358" s="43" t="n"/>
      <c r="B1358" s="28" t="n"/>
      <c r="C1358" s="28" t="n"/>
      <c r="D1358" s="28" t="n"/>
      <c r="E1358" s="44" t="n"/>
      <c r="F1358" s="44" t="n"/>
      <c r="G1358" s="23" t="n"/>
      <c r="H1358" s="23" t="n"/>
      <c r="I1358" s="23" t="n"/>
      <c r="J1358" s="23" t="n"/>
      <c r="K1358" s="45">
        <f>IF(A1358="","",SUM(G$2:I1358)-SUM(J$2:J1358))</f>
        <v/>
      </c>
      <c r="L1358" s="46" t="n"/>
      <c r="M1358">
        <f>IF(A1358="","",IF(A1358=A1357,M1357,N(M1357)+1))</f>
        <v/>
      </c>
      <c r="N1358">
        <f>IF(E1358="",99999,E1358)</f>
        <v/>
      </c>
      <c r="O1358">
        <f>IF(E1358="",0,IF(F1358="",E1358,F1358))</f>
        <v/>
      </c>
      <c r="P1358">
        <f>IF(E1358="",1,MAX(1,(YEAR(O1358)-YEAR(N1358))*12+MONTH(O1358)-MONTH(N1358)+1))</f>
        <v/>
      </c>
      <c r="Q1358">
        <f>IF(G1358="",0,G1358/P1358)</f>
        <v/>
      </c>
      <c r="R1358">
        <f>IF(H1358="",0,H1358/P1358)</f>
        <v/>
      </c>
    </row>
    <row r="1359">
      <c r="A1359" s="43" t="n"/>
      <c r="B1359" s="28" t="n"/>
      <c r="C1359" s="28" t="n"/>
      <c r="D1359" s="28" t="n"/>
      <c r="E1359" s="44" t="n"/>
      <c r="F1359" s="44" t="n"/>
      <c r="G1359" s="23" t="n"/>
      <c r="H1359" s="23" t="n"/>
      <c r="I1359" s="23" t="n"/>
      <c r="J1359" s="23" t="n"/>
      <c r="K1359" s="45">
        <f>IF(A1359="","",SUM(G$2:I1359)-SUM(J$2:J1359))</f>
        <v/>
      </c>
      <c r="L1359" s="46" t="n"/>
      <c r="M1359">
        <f>IF(A1359="","",IF(A1359=A1358,M1358,N(M1358)+1))</f>
        <v/>
      </c>
      <c r="N1359">
        <f>IF(E1359="",99999,E1359)</f>
        <v/>
      </c>
      <c r="O1359">
        <f>IF(E1359="",0,IF(F1359="",E1359,F1359))</f>
        <v/>
      </c>
      <c r="P1359">
        <f>IF(E1359="",1,MAX(1,(YEAR(O1359)-YEAR(N1359))*12+MONTH(O1359)-MONTH(N1359)+1))</f>
        <v/>
      </c>
      <c r="Q1359">
        <f>IF(G1359="",0,G1359/P1359)</f>
        <v/>
      </c>
      <c r="R1359">
        <f>IF(H1359="",0,H1359/P1359)</f>
        <v/>
      </c>
    </row>
    <row r="1360">
      <c r="A1360" s="43" t="n"/>
      <c r="B1360" s="28" t="n"/>
      <c r="C1360" s="28" t="n"/>
      <c r="D1360" s="28" t="n"/>
      <c r="E1360" s="44" t="n"/>
      <c r="F1360" s="44" t="n"/>
      <c r="G1360" s="23" t="n"/>
      <c r="H1360" s="23" t="n"/>
      <c r="I1360" s="23" t="n"/>
      <c r="J1360" s="23" t="n"/>
      <c r="K1360" s="45">
        <f>IF(A1360="","",SUM(G$2:I1360)-SUM(J$2:J1360))</f>
        <v/>
      </c>
      <c r="L1360" s="46" t="n"/>
      <c r="M1360">
        <f>IF(A1360="","",IF(A1360=A1359,M1359,N(M1359)+1))</f>
        <v/>
      </c>
      <c r="N1360">
        <f>IF(E1360="",99999,E1360)</f>
        <v/>
      </c>
      <c r="O1360">
        <f>IF(E1360="",0,IF(F1360="",E1360,F1360))</f>
        <v/>
      </c>
      <c r="P1360">
        <f>IF(E1360="",1,MAX(1,(YEAR(O1360)-YEAR(N1360))*12+MONTH(O1360)-MONTH(N1360)+1))</f>
        <v/>
      </c>
      <c r="Q1360">
        <f>IF(G1360="",0,G1360/P1360)</f>
        <v/>
      </c>
      <c r="R1360">
        <f>IF(H1360="",0,H1360/P1360)</f>
        <v/>
      </c>
    </row>
    <row r="1361">
      <c r="A1361" s="43" t="n"/>
      <c r="B1361" s="28" t="n"/>
      <c r="C1361" s="28" t="n"/>
      <c r="D1361" s="28" t="n"/>
      <c r="E1361" s="44" t="n"/>
      <c r="F1361" s="44" t="n"/>
      <c r="G1361" s="23" t="n"/>
      <c r="H1361" s="23" t="n"/>
      <c r="I1361" s="23" t="n"/>
      <c r="J1361" s="23" t="n"/>
      <c r="K1361" s="45">
        <f>IF(A1361="","",SUM(G$2:I1361)-SUM(J$2:J1361))</f>
        <v/>
      </c>
      <c r="L1361" s="46" t="n"/>
      <c r="M1361">
        <f>IF(A1361="","",IF(A1361=A1360,M1360,N(M1360)+1))</f>
        <v/>
      </c>
      <c r="N1361">
        <f>IF(E1361="",99999,E1361)</f>
        <v/>
      </c>
      <c r="O1361">
        <f>IF(E1361="",0,IF(F1361="",E1361,F1361))</f>
        <v/>
      </c>
      <c r="P1361">
        <f>IF(E1361="",1,MAX(1,(YEAR(O1361)-YEAR(N1361))*12+MONTH(O1361)-MONTH(N1361)+1))</f>
        <v/>
      </c>
      <c r="Q1361">
        <f>IF(G1361="",0,G1361/P1361)</f>
        <v/>
      </c>
      <c r="R1361">
        <f>IF(H1361="",0,H1361/P1361)</f>
        <v/>
      </c>
    </row>
    <row r="1362">
      <c r="A1362" s="43" t="n"/>
      <c r="B1362" s="28" t="n"/>
      <c r="C1362" s="28" t="n"/>
      <c r="D1362" s="28" t="n"/>
      <c r="E1362" s="44" t="n"/>
      <c r="F1362" s="44" t="n"/>
      <c r="G1362" s="23" t="n"/>
      <c r="H1362" s="23" t="n"/>
      <c r="I1362" s="23" t="n"/>
      <c r="J1362" s="23" t="n"/>
      <c r="K1362" s="45">
        <f>IF(A1362="","",SUM(G$2:I1362)-SUM(J$2:J1362))</f>
        <v/>
      </c>
      <c r="L1362" s="46" t="n"/>
      <c r="M1362">
        <f>IF(A1362="","",IF(A1362=A1361,M1361,N(M1361)+1))</f>
        <v/>
      </c>
      <c r="N1362">
        <f>IF(E1362="",99999,E1362)</f>
        <v/>
      </c>
      <c r="O1362">
        <f>IF(E1362="",0,IF(F1362="",E1362,F1362))</f>
        <v/>
      </c>
      <c r="P1362">
        <f>IF(E1362="",1,MAX(1,(YEAR(O1362)-YEAR(N1362))*12+MONTH(O1362)-MONTH(N1362)+1))</f>
        <v/>
      </c>
      <c r="Q1362">
        <f>IF(G1362="",0,G1362/P1362)</f>
        <v/>
      </c>
      <c r="R1362">
        <f>IF(H1362="",0,H1362/P1362)</f>
        <v/>
      </c>
    </row>
    <row r="1363">
      <c r="A1363" s="43" t="n"/>
      <c r="B1363" s="28" t="n"/>
      <c r="C1363" s="28" t="n"/>
      <c r="D1363" s="28" t="n"/>
      <c r="E1363" s="44" t="n"/>
      <c r="F1363" s="44" t="n"/>
      <c r="G1363" s="23" t="n"/>
      <c r="H1363" s="23" t="n"/>
      <c r="I1363" s="23" t="n"/>
      <c r="J1363" s="23" t="n"/>
      <c r="K1363" s="45">
        <f>IF(A1363="","",SUM(G$2:I1363)-SUM(J$2:J1363))</f>
        <v/>
      </c>
      <c r="L1363" s="46" t="n"/>
      <c r="M1363">
        <f>IF(A1363="","",IF(A1363=A1362,M1362,N(M1362)+1))</f>
        <v/>
      </c>
      <c r="N1363">
        <f>IF(E1363="",99999,E1363)</f>
        <v/>
      </c>
      <c r="O1363">
        <f>IF(E1363="",0,IF(F1363="",E1363,F1363))</f>
        <v/>
      </c>
      <c r="P1363">
        <f>IF(E1363="",1,MAX(1,(YEAR(O1363)-YEAR(N1363))*12+MONTH(O1363)-MONTH(N1363)+1))</f>
        <v/>
      </c>
      <c r="Q1363">
        <f>IF(G1363="",0,G1363/P1363)</f>
        <v/>
      </c>
      <c r="R1363">
        <f>IF(H1363="",0,H1363/P1363)</f>
        <v/>
      </c>
    </row>
    <row r="1364">
      <c r="A1364" s="43" t="n"/>
      <c r="B1364" s="28" t="n"/>
      <c r="C1364" s="28" t="n"/>
      <c r="D1364" s="28" t="n"/>
      <c r="E1364" s="44" t="n"/>
      <c r="F1364" s="44" t="n"/>
      <c r="G1364" s="23" t="n"/>
      <c r="H1364" s="23" t="n"/>
      <c r="I1364" s="23" t="n"/>
      <c r="J1364" s="23" t="n"/>
      <c r="K1364" s="45">
        <f>IF(A1364="","",SUM(G$2:I1364)-SUM(J$2:J1364))</f>
        <v/>
      </c>
      <c r="L1364" s="46" t="n"/>
      <c r="M1364">
        <f>IF(A1364="","",IF(A1364=A1363,M1363,N(M1363)+1))</f>
        <v/>
      </c>
      <c r="N1364">
        <f>IF(E1364="",99999,E1364)</f>
        <v/>
      </c>
      <c r="O1364">
        <f>IF(E1364="",0,IF(F1364="",E1364,F1364))</f>
        <v/>
      </c>
      <c r="P1364">
        <f>IF(E1364="",1,MAX(1,(YEAR(O1364)-YEAR(N1364))*12+MONTH(O1364)-MONTH(N1364)+1))</f>
        <v/>
      </c>
      <c r="Q1364">
        <f>IF(G1364="",0,G1364/P1364)</f>
        <v/>
      </c>
      <c r="R1364">
        <f>IF(H1364="",0,H1364/P1364)</f>
        <v/>
      </c>
    </row>
    <row r="1365">
      <c r="A1365" s="43" t="n"/>
      <c r="B1365" s="28" t="n"/>
      <c r="C1365" s="28" t="n"/>
      <c r="D1365" s="28" t="n"/>
      <c r="E1365" s="44" t="n"/>
      <c r="F1365" s="44" t="n"/>
      <c r="G1365" s="23" t="n"/>
      <c r="H1365" s="23" t="n"/>
      <c r="I1365" s="23" t="n"/>
      <c r="J1365" s="23" t="n"/>
      <c r="K1365" s="45">
        <f>IF(A1365="","",SUM(G$2:I1365)-SUM(J$2:J1365))</f>
        <v/>
      </c>
      <c r="L1365" s="46" t="n"/>
      <c r="M1365">
        <f>IF(A1365="","",IF(A1365=A1364,M1364,N(M1364)+1))</f>
        <v/>
      </c>
      <c r="N1365">
        <f>IF(E1365="",99999,E1365)</f>
        <v/>
      </c>
      <c r="O1365">
        <f>IF(E1365="",0,IF(F1365="",E1365,F1365))</f>
        <v/>
      </c>
      <c r="P1365">
        <f>IF(E1365="",1,MAX(1,(YEAR(O1365)-YEAR(N1365))*12+MONTH(O1365)-MONTH(N1365)+1))</f>
        <v/>
      </c>
      <c r="Q1365">
        <f>IF(G1365="",0,G1365/P1365)</f>
        <v/>
      </c>
      <c r="R1365">
        <f>IF(H1365="",0,H1365/P1365)</f>
        <v/>
      </c>
    </row>
    <row r="1366">
      <c r="A1366" s="43" t="n"/>
      <c r="B1366" s="28" t="n"/>
      <c r="C1366" s="28" t="n"/>
      <c r="D1366" s="28" t="n"/>
      <c r="E1366" s="44" t="n"/>
      <c r="F1366" s="44" t="n"/>
      <c r="G1366" s="23" t="n"/>
      <c r="H1366" s="23" t="n"/>
      <c r="I1366" s="23" t="n"/>
      <c r="J1366" s="23" t="n"/>
      <c r="K1366" s="45">
        <f>IF(A1366="","",SUM(G$2:I1366)-SUM(J$2:J1366))</f>
        <v/>
      </c>
      <c r="L1366" s="46" t="n"/>
      <c r="M1366">
        <f>IF(A1366="","",IF(A1366=A1365,M1365,N(M1365)+1))</f>
        <v/>
      </c>
      <c r="N1366">
        <f>IF(E1366="",99999,E1366)</f>
        <v/>
      </c>
      <c r="O1366">
        <f>IF(E1366="",0,IF(F1366="",E1366,F1366))</f>
        <v/>
      </c>
      <c r="P1366">
        <f>IF(E1366="",1,MAX(1,(YEAR(O1366)-YEAR(N1366))*12+MONTH(O1366)-MONTH(N1366)+1))</f>
        <v/>
      </c>
      <c r="Q1366">
        <f>IF(G1366="",0,G1366/P1366)</f>
        <v/>
      </c>
      <c r="R1366">
        <f>IF(H1366="",0,H1366/P1366)</f>
        <v/>
      </c>
    </row>
    <row r="1367">
      <c r="A1367" s="43" t="n"/>
      <c r="B1367" s="28" t="n"/>
      <c r="C1367" s="28" t="n"/>
      <c r="D1367" s="28" t="n"/>
      <c r="E1367" s="44" t="n"/>
      <c r="F1367" s="44" t="n"/>
      <c r="G1367" s="23" t="n"/>
      <c r="H1367" s="23" t="n"/>
      <c r="I1367" s="23" t="n"/>
      <c r="J1367" s="23" t="n"/>
      <c r="K1367" s="45">
        <f>IF(A1367="","",SUM(G$2:I1367)-SUM(J$2:J1367))</f>
        <v/>
      </c>
      <c r="L1367" s="46" t="n"/>
      <c r="M1367">
        <f>IF(A1367="","",IF(A1367=A1366,M1366,N(M1366)+1))</f>
        <v/>
      </c>
      <c r="N1367">
        <f>IF(E1367="",99999,E1367)</f>
        <v/>
      </c>
      <c r="O1367">
        <f>IF(E1367="",0,IF(F1367="",E1367,F1367))</f>
        <v/>
      </c>
      <c r="P1367">
        <f>IF(E1367="",1,MAX(1,(YEAR(O1367)-YEAR(N1367))*12+MONTH(O1367)-MONTH(N1367)+1))</f>
        <v/>
      </c>
      <c r="Q1367">
        <f>IF(G1367="",0,G1367/P1367)</f>
        <v/>
      </c>
      <c r="R1367">
        <f>IF(H1367="",0,H1367/P1367)</f>
        <v/>
      </c>
    </row>
    <row r="1368">
      <c r="A1368" s="43" t="n"/>
      <c r="B1368" s="28" t="n"/>
      <c r="C1368" s="28" t="n"/>
      <c r="D1368" s="28" t="n"/>
      <c r="E1368" s="44" t="n"/>
      <c r="F1368" s="44" t="n"/>
      <c r="G1368" s="23" t="n"/>
      <c r="H1368" s="23" t="n"/>
      <c r="I1368" s="23" t="n"/>
      <c r="J1368" s="23" t="n"/>
      <c r="K1368" s="45">
        <f>IF(A1368="","",SUM(G$2:I1368)-SUM(J$2:J1368))</f>
        <v/>
      </c>
      <c r="L1368" s="46" t="n"/>
      <c r="M1368">
        <f>IF(A1368="","",IF(A1368=A1367,M1367,N(M1367)+1))</f>
        <v/>
      </c>
      <c r="N1368">
        <f>IF(E1368="",99999,E1368)</f>
        <v/>
      </c>
      <c r="O1368">
        <f>IF(E1368="",0,IF(F1368="",E1368,F1368))</f>
        <v/>
      </c>
      <c r="P1368">
        <f>IF(E1368="",1,MAX(1,(YEAR(O1368)-YEAR(N1368))*12+MONTH(O1368)-MONTH(N1368)+1))</f>
        <v/>
      </c>
      <c r="Q1368">
        <f>IF(G1368="",0,G1368/P1368)</f>
        <v/>
      </c>
      <c r="R1368">
        <f>IF(H1368="",0,H1368/P1368)</f>
        <v/>
      </c>
    </row>
    <row r="1369">
      <c r="A1369" s="43" t="n"/>
      <c r="B1369" s="28" t="n"/>
      <c r="C1369" s="28" t="n"/>
      <c r="D1369" s="28" t="n"/>
      <c r="E1369" s="44" t="n"/>
      <c r="F1369" s="44" t="n"/>
      <c r="G1369" s="23" t="n"/>
      <c r="H1369" s="23" t="n"/>
      <c r="I1369" s="23" t="n"/>
      <c r="J1369" s="23" t="n"/>
      <c r="K1369" s="45">
        <f>IF(A1369="","",SUM(G$2:I1369)-SUM(J$2:J1369))</f>
        <v/>
      </c>
      <c r="L1369" s="46" t="n"/>
      <c r="M1369">
        <f>IF(A1369="","",IF(A1369=A1368,M1368,N(M1368)+1))</f>
        <v/>
      </c>
      <c r="N1369">
        <f>IF(E1369="",99999,E1369)</f>
        <v/>
      </c>
      <c r="O1369">
        <f>IF(E1369="",0,IF(F1369="",E1369,F1369))</f>
        <v/>
      </c>
      <c r="P1369">
        <f>IF(E1369="",1,MAX(1,(YEAR(O1369)-YEAR(N1369))*12+MONTH(O1369)-MONTH(N1369)+1))</f>
        <v/>
      </c>
      <c r="Q1369">
        <f>IF(G1369="",0,G1369/P1369)</f>
        <v/>
      </c>
      <c r="R1369">
        <f>IF(H1369="",0,H1369/P1369)</f>
        <v/>
      </c>
    </row>
    <row r="1370">
      <c r="A1370" s="43" t="n"/>
      <c r="B1370" s="28" t="n"/>
      <c r="C1370" s="28" t="n"/>
      <c r="D1370" s="28" t="n"/>
      <c r="E1370" s="44" t="n"/>
      <c r="F1370" s="44" t="n"/>
      <c r="G1370" s="23" t="n"/>
      <c r="H1370" s="23" t="n"/>
      <c r="I1370" s="23" t="n"/>
      <c r="J1370" s="23" t="n"/>
      <c r="K1370" s="45">
        <f>IF(A1370="","",SUM(G$2:I1370)-SUM(J$2:J1370))</f>
        <v/>
      </c>
      <c r="L1370" s="46" t="n"/>
      <c r="M1370">
        <f>IF(A1370="","",IF(A1370=A1369,M1369,N(M1369)+1))</f>
        <v/>
      </c>
      <c r="N1370">
        <f>IF(E1370="",99999,E1370)</f>
        <v/>
      </c>
      <c r="O1370">
        <f>IF(E1370="",0,IF(F1370="",E1370,F1370))</f>
        <v/>
      </c>
      <c r="P1370">
        <f>IF(E1370="",1,MAX(1,(YEAR(O1370)-YEAR(N1370))*12+MONTH(O1370)-MONTH(N1370)+1))</f>
        <v/>
      </c>
      <c r="Q1370">
        <f>IF(G1370="",0,G1370/P1370)</f>
        <v/>
      </c>
      <c r="R1370">
        <f>IF(H1370="",0,H1370/P1370)</f>
        <v/>
      </c>
    </row>
    <row r="1371">
      <c r="A1371" s="43" t="n"/>
      <c r="B1371" s="28" t="n"/>
      <c r="C1371" s="28" t="n"/>
      <c r="D1371" s="28" t="n"/>
      <c r="E1371" s="44" t="n"/>
      <c r="F1371" s="44" t="n"/>
      <c r="G1371" s="23" t="n"/>
      <c r="H1371" s="23" t="n"/>
      <c r="I1371" s="23" t="n"/>
      <c r="J1371" s="23" t="n"/>
      <c r="K1371" s="45">
        <f>IF(A1371="","",SUM(G$2:I1371)-SUM(J$2:J1371))</f>
        <v/>
      </c>
      <c r="L1371" s="46" t="n"/>
      <c r="M1371">
        <f>IF(A1371="","",IF(A1371=A1370,M1370,N(M1370)+1))</f>
        <v/>
      </c>
      <c r="N1371">
        <f>IF(E1371="",99999,E1371)</f>
        <v/>
      </c>
      <c r="O1371">
        <f>IF(E1371="",0,IF(F1371="",E1371,F1371))</f>
        <v/>
      </c>
      <c r="P1371">
        <f>IF(E1371="",1,MAX(1,(YEAR(O1371)-YEAR(N1371))*12+MONTH(O1371)-MONTH(N1371)+1))</f>
        <v/>
      </c>
      <c r="Q1371">
        <f>IF(G1371="",0,G1371/P1371)</f>
        <v/>
      </c>
      <c r="R1371">
        <f>IF(H1371="",0,H1371/P1371)</f>
        <v/>
      </c>
    </row>
    <row r="1372">
      <c r="A1372" s="43" t="n"/>
      <c r="B1372" s="28" t="n"/>
      <c r="C1372" s="28" t="n"/>
      <c r="D1372" s="28" t="n"/>
      <c r="E1372" s="44" t="n"/>
      <c r="F1372" s="44" t="n"/>
      <c r="G1372" s="23" t="n"/>
      <c r="H1372" s="23" t="n"/>
      <c r="I1372" s="23" t="n"/>
      <c r="J1372" s="23" t="n"/>
      <c r="K1372" s="45">
        <f>IF(A1372="","",SUM(G$2:I1372)-SUM(J$2:J1372))</f>
        <v/>
      </c>
      <c r="L1372" s="46" t="n"/>
      <c r="M1372">
        <f>IF(A1372="","",IF(A1372=A1371,M1371,N(M1371)+1))</f>
        <v/>
      </c>
      <c r="N1372">
        <f>IF(E1372="",99999,E1372)</f>
        <v/>
      </c>
      <c r="O1372">
        <f>IF(E1372="",0,IF(F1372="",E1372,F1372))</f>
        <v/>
      </c>
      <c r="P1372">
        <f>IF(E1372="",1,MAX(1,(YEAR(O1372)-YEAR(N1372))*12+MONTH(O1372)-MONTH(N1372)+1))</f>
        <v/>
      </c>
      <c r="Q1372">
        <f>IF(G1372="",0,G1372/P1372)</f>
        <v/>
      </c>
      <c r="R1372">
        <f>IF(H1372="",0,H1372/P1372)</f>
        <v/>
      </c>
    </row>
    <row r="1373">
      <c r="A1373" s="43" t="n"/>
      <c r="B1373" s="28" t="n"/>
      <c r="C1373" s="28" t="n"/>
      <c r="D1373" s="28" t="n"/>
      <c r="E1373" s="44" t="n"/>
      <c r="F1373" s="44" t="n"/>
      <c r="G1373" s="23" t="n"/>
      <c r="H1373" s="23" t="n"/>
      <c r="I1373" s="23" t="n"/>
      <c r="J1373" s="23" t="n"/>
      <c r="K1373" s="45">
        <f>IF(A1373="","",SUM(G$2:I1373)-SUM(J$2:J1373))</f>
        <v/>
      </c>
      <c r="L1373" s="46" t="n"/>
      <c r="M1373">
        <f>IF(A1373="","",IF(A1373=A1372,M1372,N(M1372)+1))</f>
        <v/>
      </c>
      <c r="N1373">
        <f>IF(E1373="",99999,E1373)</f>
        <v/>
      </c>
      <c r="O1373">
        <f>IF(E1373="",0,IF(F1373="",E1373,F1373))</f>
        <v/>
      </c>
      <c r="P1373">
        <f>IF(E1373="",1,MAX(1,(YEAR(O1373)-YEAR(N1373))*12+MONTH(O1373)-MONTH(N1373)+1))</f>
        <v/>
      </c>
      <c r="Q1373">
        <f>IF(G1373="",0,G1373/P1373)</f>
        <v/>
      </c>
      <c r="R1373">
        <f>IF(H1373="",0,H1373/P1373)</f>
        <v/>
      </c>
    </row>
    <row r="1374">
      <c r="A1374" s="43" t="n"/>
      <c r="B1374" s="28" t="n"/>
      <c r="C1374" s="28" t="n"/>
      <c r="D1374" s="28" t="n"/>
      <c r="E1374" s="44" t="n"/>
      <c r="F1374" s="44" t="n"/>
      <c r="G1374" s="23" t="n"/>
      <c r="H1374" s="23" t="n"/>
      <c r="I1374" s="23" t="n"/>
      <c r="J1374" s="23" t="n"/>
      <c r="K1374" s="45">
        <f>IF(A1374="","",SUM(G$2:I1374)-SUM(J$2:J1374))</f>
        <v/>
      </c>
      <c r="L1374" s="46" t="n"/>
      <c r="M1374">
        <f>IF(A1374="","",IF(A1374=A1373,M1373,N(M1373)+1))</f>
        <v/>
      </c>
      <c r="N1374">
        <f>IF(E1374="",99999,E1374)</f>
        <v/>
      </c>
      <c r="O1374">
        <f>IF(E1374="",0,IF(F1374="",E1374,F1374))</f>
        <v/>
      </c>
      <c r="P1374">
        <f>IF(E1374="",1,MAX(1,(YEAR(O1374)-YEAR(N1374))*12+MONTH(O1374)-MONTH(N1374)+1))</f>
        <v/>
      </c>
      <c r="Q1374">
        <f>IF(G1374="",0,G1374/P1374)</f>
        <v/>
      </c>
      <c r="R1374">
        <f>IF(H1374="",0,H1374/P1374)</f>
        <v/>
      </c>
    </row>
    <row r="1375">
      <c r="A1375" s="43" t="n"/>
      <c r="B1375" s="28" t="n"/>
      <c r="C1375" s="28" t="n"/>
      <c r="D1375" s="28" t="n"/>
      <c r="E1375" s="44" t="n"/>
      <c r="F1375" s="44" t="n"/>
      <c r="G1375" s="23" t="n"/>
      <c r="H1375" s="23" t="n"/>
      <c r="I1375" s="23" t="n"/>
      <c r="J1375" s="23" t="n"/>
      <c r="K1375" s="45">
        <f>IF(A1375="","",SUM(G$2:I1375)-SUM(J$2:J1375))</f>
        <v/>
      </c>
      <c r="L1375" s="46" t="n"/>
      <c r="M1375">
        <f>IF(A1375="","",IF(A1375=A1374,M1374,N(M1374)+1))</f>
        <v/>
      </c>
      <c r="N1375">
        <f>IF(E1375="",99999,E1375)</f>
        <v/>
      </c>
      <c r="O1375">
        <f>IF(E1375="",0,IF(F1375="",E1375,F1375))</f>
        <v/>
      </c>
      <c r="P1375">
        <f>IF(E1375="",1,MAX(1,(YEAR(O1375)-YEAR(N1375))*12+MONTH(O1375)-MONTH(N1375)+1))</f>
        <v/>
      </c>
      <c r="Q1375">
        <f>IF(G1375="",0,G1375/P1375)</f>
        <v/>
      </c>
      <c r="R1375">
        <f>IF(H1375="",0,H1375/P1375)</f>
        <v/>
      </c>
    </row>
    <row r="1376">
      <c r="A1376" s="43" t="n"/>
      <c r="B1376" s="28" t="n"/>
      <c r="C1376" s="28" t="n"/>
      <c r="D1376" s="28" t="n"/>
      <c r="E1376" s="44" t="n"/>
      <c r="F1376" s="44" t="n"/>
      <c r="G1376" s="23" t="n"/>
      <c r="H1376" s="23" t="n"/>
      <c r="I1376" s="23" t="n"/>
      <c r="J1376" s="23" t="n"/>
      <c r="K1376" s="45">
        <f>IF(A1376="","",SUM(G$2:I1376)-SUM(J$2:J1376))</f>
        <v/>
      </c>
      <c r="L1376" s="46" t="n"/>
      <c r="M1376">
        <f>IF(A1376="","",IF(A1376=A1375,M1375,N(M1375)+1))</f>
        <v/>
      </c>
      <c r="N1376">
        <f>IF(E1376="",99999,E1376)</f>
        <v/>
      </c>
      <c r="O1376">
        <f>IF(E1376="",0,IF(F1376="",E1376,F1376))</f>
        <v/>
      </c>
      <c r="P1376">
        <f>IF(E1376="",1,MAX(1,(YEAR(O1376)-YEAR(N1376))*12+MONTH(O1376)-MONTH(N1376)+1))</f>
        <v/>
      </c>
      <c r="Q1376">
        <f>IF(G1376="",0,G1376/P1376)</f>
        <v/>
      </c>
      <c r="R1376">
        <f>IF(H1376="",0,H1376/P1376)</f>
        <v/>
      </c>
    </row>
    <row r="1377">
      <c r="A1377" s="43" t="n"/>
      <c r="B1377" s="28" t="n"/>
      <c r="C1377" s="28" t="n"/>
      <c r="D1377" s="28" t="n"/>
      <c r="E1377" s="44" t="n"/>
      <c r="F1377" s="44" t="n"/>
      <c r="G1377" s="23" t="n"/>
      <c r="H1377" s="23" t="n"/>
      <c r="I1377" s="23" t="n"/>
      <c r="J1377" s="23" t="n"/>
      <c r="K1377" s="45">
        <f>IF(A1377="","",SUM(G$2:I1377)-SUM(J$2:J1377))</f>
        <v/>
      </c>
      <c r="L1377" s="46" t="n"/>
      <c r="M1377">
        <f>IF(A1377="","",IF(A1377=A1376,M1376,N(M1376)+1))</f>
        <v/>
      </c>
      <c r="N1377">
        <f>IF(E1377="",99999,E1377)</f>
        <v/>
      </c>
      <c r="O1377">
        <f>IF(E1377="",0,IF(F1377="",E1377,F1377))</f>
        <v/>
      </c>
      <c r="P1377">
        <f>IF(E1377="",1,MAX(1,(YEAR(O1377)-YEAR(N1377))*12+MONTH(O1377)-MONTH(N1377)+1))</f>
        <v/>
      </c>
      <c r="Q1377">
        <f>IF(G1377="",0,G1377/P1377)</f>
        <v/>
      </c>
      <c r="R1377">
        <f>IF(H1377="",0,H1377/P1377)</f>
        <v/>
      </c>
    </row>
    <row r="1378">
      <c r="A1378" s="43" t="n"/>
      <c r="B1378" s="28" t="n"/>
      <c r="C1378" s="28" t="n"/>
      <c r="D1378" s="28" t="n"/>
      <c r="E1378" s="44" t="n"/>
      <c r="F1378" s="44" t="n"/>
      <c r="G1378" s="23" t="n"/>
      <c r="H1378" s="23" t="n"/>
      <c r="I1378" s="23" t="n"/>
      <c r="J1378" s="23" t="n"/>
      <c r="K1378" s="45">
        <f>IF(A1378="","",SUM(G$2:I1378)-SUM(J$2:J1378))</f>
        <v/>
      </c>
      <c r="L1378" s="46" t="n"/>
      <c r="M1378">
        <f>IF(A1378="","",IF(A1378=A1377,M1377,N(M1377)+1))</f>
        <v/>
      </c>
      <c r="N1378">
        <f>IF(E1378="",99999,E1378)</f>
        <v/>
      </c>
      <c r="O1378">
        <f>IF(E1378="",0,IF(F1378="",E1378,F1378))</f>
        <v/>
      </c>
      <c r="P1378">
        <f>IF(E1378="",1,MAX(1,(YEAR(O1378)-YEAR(N1378))*12+MONTH(O1378)-MONTH(N1378)+1))</f>
        <v/>
      </c>
      <c r="Q1378">
        <f>IF(G1378="",0,G1378/P1378)</f>
        <v/>
      </c>
      <c r="R1378">
        <f>IF(H1378="",0,H1378/P1378)</f>
        <v/>
      </c>
    </row>
    <row r="1379">
      <c r="A1379" s="43" t="n"/>
      <c r="B1379" s="28" t="n"/>
      <c r="C1379" s="28" t="n"/>
      <c r="D1379" s="28" t="n"/>
      <c r="E1379" s="44" t="n"/>
      <c r="F1379" s="44" t="n"/>
      <c r="G1379" s="23" t="n"/>
      <c r="H1379" s="23" t="n"/>
      <c r="I1379" s="23" t="n"/>
      <c r="J1379" s="23" t="n"/>
      <c r="K1379" s="45">
        <f>IF(A1379="","",SUM(G$2:I1379)-SUM(J$2:J1379))</f>
        <v/>
      </c>
      <c r="L1379" s="46" t="n"/>
      <c r="M1379">
        <f>IF(A1379="","",IF(A1379=A1378,M1378,N(M1378)+1))</f>
        <v/>
      </c>
      <c r="N1379">
        <f>IF(E1379="",99999,E1379)</f>
        <v/>
      </c>
      <c r="O1379">
        <f>IF(E1379="",0,IF(F1379="",E1379,F1379))</f>
        <v/>
      </c>
      <c r="P1379">
        <f>IF(E1379="",1,MAX(1,(YEAR(O1379)-YEAR(N1379))*12+MONTH(O1379)-MONTH(N1379)+1))</f>
        <v/>
      </c>
      <c r="Q1379">
        <f>IF(G1379="",0,G1379/P1379)</f>
        <v/>
      </c>
      <c r="R1379">
        <f>IF(H1379="",0,H1379/P1379)</f>
        <v/>
      </c>
    </row>
    <row r="1380">
      <c r="A1380" s="43" t="n"/>
      <c r="B1380" s="28" t="n"/>
      <c r="C1380" s="28" t="n"/>
      <c r="D1380" s="28" t="n"/>
      <c r="E1380" s="44" t="n"/>
      <c r="F1380" s="44" t="n"/>
      <c r="G1380" s="23" t="n"/>
      <c r="H1380" s="23" t="n"/>
      <c r="I1380" s="23" t="n"/>
      <c r="J1380" s="23" t="n"/>
      <c r="K1380" s="45">
        <f>IF(A1380="","",SUM(G$2:I1380)-SUM(J$2:J1380))</f>
        <v/>
      </c>
      <c r="L1380" s="46" t="n"/>
      <c r="M1380">
        <f>IF(A1380="","",IF(A1380=A1379,M1379,N(M1379)+1))</f>
        <v/>
      </c>
      <c r="N1380">
        <f>IF(E1380="",99999,E1380)</f>
        <v/>
      </c>
      <c r="O1380">
        <f>IF(E1380="",0,IF(F1380="",E1380,F1380))</f>
        <v/>
      </c>
      <c r="P1380">
        <f>IF(E1380="",1,MAX(1,(YEAR(O1380)-YEAR(N1380))*12+MONTH(O1380)-MONTH(N1380)+1))</f>
        <v/>
      </c>
      <c r="Q1380">
        <f>IF(G1380="",0,G1380/P1380)</f>
        <v/>
      </c>
      <c r="R1380">
        <f>IF(H1380="",0,H1380/P1380)</f>
        <v/>
      </c>
    </row>
    <row r="1381">
      <c r="A1381" s="43" t="n"/>
      <c r="B1381" s="28" t="n"/>
      <c r="C1381" s="28" t="n"/>
      <c r="D1381" s="28" t="n"/>
      <c r="E1381" s="44" t="n"/>
      <c r="F1381" s="44" t="n"/>
      <c r="G1381" s="23" t="n"/>
      <c r="H1381" s="23" t="n"/>
      <c r="I1381" s="23" t="n"/>
      <c r="J1381" s="23" t="n"/>
      <c r="K1381" s="45">
        <f>IF(A1381="","",SUM(G$2:I1381)-SUM(J$2:J1381))</f>
        <v/>
      </c>
      <c r="L1381" s="46" t="n"/>
      <c r="M1381">
        <f>IF(A1381="","",IF(A1381=A1380,M1380,N(M1380)+1))</f>
        <v/>
      </c>
      <c r="N1381">
        <f>IF(E1381="",99999,E1381)</f>
        <v/>
      </c>
      <c r="O1381">
        <f>IF(E1381="",0,IF(F1381="",E1381,F1381))</f>
        <v/>
      </c>
      <c r="P1381">
        <f>IF(E1381="",1,MAX(1,(YEAR(O1381)-YEAR(N1381))*12+MONTH(O1381)-MONTH(N1381)+1))</f>
        <v/>
      </c>
      <c r="Q1381">
        <f>IF(G1381="",0,G1381/P1381)</f>
        <v/>
      </c>
      <c r="R1381">
        <f>IF(H1381="",0,H1381/P1381)</f>
        <v/>
      </c>
    </row>
    <row r="1382">
      <c r="A1382" s="43" t="n"/>
      <c r="B1382" s="28" t="n"/>
      <c r="C1382" s="28" t="n"/>
      <c r="D1382" s="28" t="n"/>
      <c r="E1382" s="44" t="n"/>
      <c r="F1382" s="44" t="n"/>
      <c r="G1382" s="23" t="n"/>
      <c r="H1382" s="23" t="n"/>
      <c r="I1382" s="23" t="n"/>
      <c r="J1382" s="23" t="n"/>
      <c r="K1382" s="45">
        <f>IF(A1382="","",SUM(G$2:I1382)-SUM(J$2:J1382))</f>
        <v/>
      </c>
      <c r="L1382" s="46" t="n"/>
      <c r="M1382">
        <f>IF(A1382="","",IF(A1382=A1381,M1381,N(M1381)+1))</f>
        <v/>
      </c>
      <c r="N1382">
        <f>IF(E1382="",99999,E1382)</f>
        <v/>
      </c>
      <c r="O1382">
        <f>IF(E1382="",0,IF(F1382="",E1382,F1382))</f>
        <v/>
      </c>
      <c r="P1382">
        <f>IF(E1382="",1,MAX(1,(YEAR(O1382)-YEAR(N1382))*12+MONTH(O1382)-MONTH(N1382)+1))</f>
        <v/>
      </c>
      <c r="Q1382">
        <f>IF(G1382="",0,G1382/P1382)</f>
        <v/>
      </c>
      <c r="R1382">
        <f>IF(H1382="",0,H1382/P1382)</f>
        <v/>
      </c>
    </row>
    <row r="1383">
      <c r="A1383" s="43" t="n"/>
      <c r="B1383" s="28" t="n"/>
      <c r="C1383" s="28" t="n"/>
      <c r="D1383" s="28" t="n"/>
      <c r="E1383" s="44" t="n"/>
      <c r="F1383" s="44" t="n"/>
      <c r="G1383" s="23" t="n"/>
      <c r="H1383" s="23" t="n"/>
      <c r="I1383" s="23" t="n"/>
      <c r="J1383" s="23" t="n"/>
      <c r="K1383" s="45">
        <f>IF(A1383="","",SUM(G$2:I1383)-SUM(J$2:J1383))</f>
        <v/>
      </c>
      <c r="L1383" s="46" t="n"/>
      <c r="M1383">
        <f>IF(A1383="","",IF(A1383=A1382,M1382,N(M1382)+1))</f>
        <v/>
      </c>
      <c r="N1383">
        <f>IF(E1383="",99999,E1383)</f>
        <v/>
      </c>
      <c r="O1383">
        <f>IF(E1383="",0,IF(F1383="",E1383,F1383))</f>
        <v/>
      </c>
      <c r="P1383">
        <f>IF(E1383="",1,MAX(1,(YEAR(O1383)-YEAR(N1383))*12+MONTH(O1383)-MONTH(N1383)+1))</f>
        <v/>
      </c>
      <c r="Q1383">
        <f>IF(G1383="",0,G1383/P1383)</f>
        <v/>
      </c>
      <c r="R1383">
        <f>IF(H1383="",0,H1383/P1383)</f>
        <v/>
      </c>
    </row>
    <row r="1384">
      <c r="A1384" s="43" t="n"/>
      <c r="B1384" s="28" t="n"/>
      <c r="C1384" s="28" t="n"/>
      <c r="D1384" s="28" t="n"/>
      <c r="E1384" s="44" t="n"/>
      <c r="F1384" s="44" t="n"/>
      <c r="G1384" s="23" t="n"/>
      <c r="H1384" s="23" t="n"/>
      <c r="I1384" s="23" t="n"/>
      <c r="J1384" s="23" t="n"/>
      <c r="K1384" s="45">
        <f>IF(A1384="","",SUM(G$2:I1384)-SUM(J$2:J1384))</f>
        <v/>
      </c>
      <c r="L1384" s="46" t="n"/>
      <c r="M1384">
        <f>IF(A1384="","",IF(A1384=A1383,M1383,N(M1383)+1))</f>
        <v/>
      </c>
      <c r="N1384">
        <f>IF(E1384="",99999,E1384)</f>
        <v/>
      </c>
      <c r="O1384">
        <f>IF(E1384="",0,IF(F1384="",E1384,F1384))</f>
        <v/>
      </c>
      <c r="P1384">
        <f>IF(E1384="",1,MAX(1,(YEAR(O1384)-YEAR(N1384))*12+MONTH(O1384)-MONTH(N1384)+1))</f>
        <v/>
      </c>
      <c r="Q1384">
        <f>IF(G1384="",0,G1384/P1384)</f>
        <v/>
      </c>
      <c r="R1384">
        <f>IF(H1384="",0,H1384/P1384)</f>
        <v/>
      </c>
    </row>
    <row r="1385">
      <c r="A1385" s="43" t="n"/>
      <c r="B1385" s="28" t="n"/>
      <c r="C1385" s="28" t="n"/>
      <c r="D1385" s="28" t="n"/>
      <c r="E1385" s="44" t="n"/>
      <c r="F1385" s="44" t="n"/>
      <c r="G1385" s="23" t="n"/>
      <c r="H1385" s="23" t="n"/>
      <c r="I1385" s="23" t="n"/>
      <c r="J1385" s="23" t="n"/>
      <c r="K1385" s="45">
        <f>IF(A1385="","",SUM(G$2:I1385)-SUM(J$2:J1385))</f>
        <v/>
      </c>
      <c r="L1385" s="46" t="n"/>
      <c r="M1385">
        <f>IF(A1385="","",IF(A1385=A1384,M1384,N(M1384)+1))</f>
        <v/>
      </c>
      <c r="N1385">
        <f>IF(E1385="",99999,E1385)</f>
        <v/>
      </c>
      <c r="O1385">
        <f>IF(E1385="",0,IF(F1385="",E1385,F1385))</f>
        <v/>
      </c>
      <c r="P1385">
        <f>IF(E1385="",1,MAX(1,(YEAR(O1385)-YEAR(N1385))*12+MONTH(O1385)-MONTH(N1385)+1))</f>
        <v/>
      </c>
      <c r="Q1385">
        <f>IF(G1385="",0,G1385/P1385)</f>
        <v/>
      </c>
      <c r="R1385">
        <f>IF(H1385="",0,H1385/P1385)</f>
        <v/>
      </c>
    </row>
    <row r="1386">
      <c r="A1386" s="43" t="n"/>
      <c r="B1386" s="28" t="n"/>
      <c r="C1386" s="28" t="n"/>
      <c r="D1386" s="28" t="n"/>
      <c r="E1386" s="44" t="n"/>
      <c r="F1386" s="44" t="n"/>
      <c r="G1386" s="23" t="n"/>
      <c r="H1386" s="23" t="n"/>
      <c r="I1386" s="23" t="n"/>
      <c r="J1386" s="23" t="n"/>
      <c r="K1386" s="45">
        <f>IF(A1386="","",SUM(G$2:I1386)-SUM(J$2:J1386))</f>
        <v/>
      </c>
      <c r="L1386" s="46" t="n"/>
      <c r="M1386">
        <f>IF(A1386="","",IF(A1386=A1385,M1385,N(M1385)+1))</f>
        <v/>
      </c>
      <c r="N1386">
        <f>IF(E1386="",99999,E1386)</f>
        <v/>
      </c>
      <c r="O1386">
        <f>IF(E1386="",0,IF(F1386="",E1386,F1386))</f>
        <v/>
      </c>
      <c r="P1386">
        <f>IF(E1386="",1,MAX(1,(YEAR(O1386)-YEAR(N1386))*12+MONTH(O1386)-MONTH(N1386)+1))</f>
        <v/>
      </c>
      <c r="Q1386">
        <f>IF(G1386="",0,G1386/P1386)</f>
        <v/>
      </c>
      <c r="R1386">
        <f>IF(H1386="",0,H1386/P1386)</f>
        <v/>
      </c>
    </row>
    <row r="1387">
      <c r="A1387" s="43" t="n"/>
      <c r="B1387" s="28" t="n"/>
      <c r="C1387" s="28" t="n"/>
      <c r="D1387" s="28" t="n"/>
      <c r="E1387" s="44" t="n"/>
      <c r="F1387" s="44" t="n"/>
      <c r="G1387" s="23" t="n"/>
      <c r="H1387" s="23" t="n"/>
      <c r="I1387" s="23" t="n"/>
      <c r="J1387" s="23" t="n"/>
      <c r="K1387" s="45">
        <f>IF(A1387="","",SUM(G$2:I1387)-SUM(J$2:J1387))</f>
        <v/>
      </c>
      <c r="L1387" s="46" t="n"/>
      <c r="M1387">
        <f>IF(A1387="","",IF(A1387=A1386,M1386,N(M1386)+1))</f>
        <v/>
      </c>
      <c r="N1387">
        <f>IF(E1387="",99999,E1387)</f>
        <v/>
      </c>
      <c r="O1387">
        <f>IF(E1387="",0,IF(F1387="",E1387,F1387))</f>
        <v/>
      </c>
      <c r="P1387">
        <f>IF(E1387="",1,MAX(1,(YEAR(O1387)-YEAR(N1387))*12+MONTH(O1387)-MONTH(N1387)+1))</f>
        <v/>
      </c>
      <c r="Q1387">
        <f>IF(G1387="",0,G1387/P1387)</f>
        <v/>
      </c>
      <c r="R1387">
        <f>IF(H1387="",0,H1387/P1387)</f>
        <v/>
      </c>
    </row>
    <row r="1388">
      <c r="A1388" s="43" t="n"/>
      <c r="B1388" s="28" t="n"/>
      <c r="C1388" s="28" t="n"/>
      <c r="D1388" s="28" t="n"/>
      <c r="E1388" s="44" t="n"/>
      <c r="F1388" s="44" t="n"/>
      <c r="G1388" s="23" t="n"/>
      <c r="H1388" s="23" t="n"/>
      <c r="I1388" s="23" t="n"/>
      <c r="J1388" s="23" t="n"/>
      <c r="K1388" s="45">
        <f>IF(A1388="","",SUM(G$2:I1388)-SUM(J$2:J1388))</f>
        <v/>
      </c>
      <c r="L1388" s="46" t="n"/>
      <c r="M1388">
        <f>IF(A1388="","",IF(A1388=A1387,M1387,N(M1387)+1))</f>
        <v/>
      </c>
      <c r="N1388">
        <f>IF(E1388="",99999,E1388)</f>
        <v/>
      </c>
      <c r="O1388">
        <f>IF(E1388="",0,IF(F1388="",E1388,F1388))</f>
        <v/>
      </c>
      <c r="P1388">
        <f>IF(E1388="",1,MAX(1,(YEAR(O1388)-YEAR(N1388))*12+MONTH(O1388)-MONTH(N1388)+1))</f>
        <v/>
      </c>
      <c r="Q1388">
        <f>IF(G1388="",0,G1388/P1388)</f>
        <v/>
      </c>
      <c r="R1388">
        <f>IF(H1388="",0,H1388/P1388)</f>
        <v/>
      </c>
    </row>
    <row r="1389">
      <c r="A1389" s="43" t="n"/>
      <c r="B1389" s="28" t="n"/>
      <c r="C1389" s="28" t="n"/>
      <c r="D1389" s="28" t="n"/>
      <c r="E1389" s="44" t="n"/>
      <c r="F1389" s="44" t="n"/>
      <c r="G1389" s="23" t="n"/>
      <c r="H1389" s="23" t="n"/>
      <c r="I1389" s="23" t="n"/>
      <c r="J1389" s="23" t="n"/>
      <c r="K1389" s="45">
        <f>IF(A1389="","",SUM(G$2:I1389)-SUM(J$2:J1389))</f>
        <v/>
      </c>
      <c r="L1389" s="46" t="n"/>
      <c r="M1389">
        <f>IF(A1389="","",IF(A1389=A1388,M1388,N(M1388)+1))</f>
        <v/>
      </c>
      <c r="N1389">
        <f>IF(E1389="",99999,E1389)</f>
        <v/>
      </c>
      <c r="O1389">
        <f>IF(E1389="",0,IF(F1389="",E1389,F1389))</f>
        <v/>
      </c>
      <c r="P1389">
        <f>IF(E1389="",1,MAX(1,(YEAR(O1389)-YEAR(N1389))*12+MONTH(O1389)-MONTH(N1389)+1))</f>
        <v/>
      </c>
      <c r="Q1389">
        <f>IF(G1389="",0,G1389/P1389)</f>
        <v/>
      </c>
      <c r="R1389">
        <f>IF(H1389="",0,H1389/P1389)</f>
        <v/>
      </c>
    </row>
    <row r="1390">
      <c r="A1390" s="43" t="n"/>
      <c r="B1390" s="28" t="n"/>
      <c r="C1390" s="28" t="n"/>
      <c r="D1390" s="28" t="n"/>
      <c r="E1390" s="44" t="n"/>
      <c r="F1390" s="44" t="n"/>
      <c r="G1390" s="23" t="n"/>
      <c r="H1390" s="23" t="n"/>
      <c r="I1390" s="23" t="n"/>
      <c r="J1390" s="23" t="n"/>
      <c r="K1390" s="45">
        <f>IF(A1390="","",SUM(G$2:I1390)-SUM(J$2:J1390))</f>
        <v/>
      </c>
      <c r="L1390" s="46" t="n"/>
      <c r="M1390">
        <f>IF(A1390="","",IF(A1390=A1389,M1389,N(M1389)+1))</f>
        <v/>
      </c>
      <c r="N1390">
        <f>IF(E1390="",99999,E1390)</f>
        <v/>
      </c>
      <c r="O1390">
        <f>IF(E1390="",0,IF(F1390="",E1390,F1390))</f>
        <v/>
      </c>
      <c r="P1390">
        <f>IF(E1390="",1,MAX(1,(YEAR(O1390)-YEAR(N1390))*12+MONTH(O1390)-MONTH(N1390)+1))</f>
        <v/>
      </c>
      <c r="Q1390">
        <f>IF(G1390="",0,G1390/P1390)</f>
        <v/>
      </c>
      <c r="R1390">
        <f>IF(H1390="",0,H1390/P1390)</f>
        <v/>
      </c>
    </row>
    <row r="1391">
      <c r="A1391" s="43" t="n"/>
      <c r="B1391" s="28" t="n"/>
      <c r="C1391" s="28" t="n"/>
      <c r="D1391" s="28" t="n"/>
      <c r="E1391" s="44" t="n"/>
      <c r="F1391" s="44" t="n"/>
      <c r="G1391" s="23" t="n"/>
      <c r="H1391" s="23" t="n"/>
      <c r="I1391" s="23" t="n"/>
      <c r="J1391" s="23" t="n"/>
      <c r="K1391" s="45">
        <f>IF(A1391="","",SUM(G$2:I1391)-SUM(J$2:J1391))</f>
        <v/>
      </c>
      <c r="L1391" s="46" t="n"/>
      <c r="M1391">
        <f>IF(A1391="","",IF(A1391=A1390,M1390,N(M1390)+1))</f>
        <v/>
      </c>
      <c r="N1391">
        <f>IF(E1391="",99999,E1391)</f>
        <v/>
      </c>
      <c r="O1391">
        <f>IF(E1391="",0,IF(F1391="",E1391,F1391))</f>
        <v/>
      </c>
      <c r="P1391">
        <f>IF(E1391="",1,MAX(1,(YEAR(O1391)-YEAR(N1391))*12+MONTH(O1391)-MONTH(N1391)+1))</f>
        <v/>
      </c>
      <c r="Q1391">
        <f>IF(G1391="",0,G1391/P1391)</f>
        <v/>
      </c>
      <c r="R1391">
        <f>IF(H1391="",0,H1391/P1391)</f>
        <v/>
      </c>
    </row>
    <row r="1392">
      <c r="A1392" s="43" t="n"/>
      <c r="B1392" s="28" t="n"/>
      <c r="C1392" s="28" t="n"/>
      <c r="D1392" s="28" t="n"/>
      <c r="E1392" s="44" t="n"/>
      <c r="F1392" s="44" t="n"/>
      <c r="G1392" s="23" t="n"/>
      <c r="H1392" s="23" t="n"/>
      <c r="I1392" s="23" t="n"/>
      <c r="J1392" s="23" t="n"/>
      <c r="K1392" s="45">
        <f>IF(A1392="","",SUM(G$2:I1392)-SUM(J$2:J1392))</f>
        <v/>
      </c>
      <c r="L1392" s="46" t="n"/>
      <c r="M1392">
        <f>IF(A1392="","",IF(A1392=A1391,M1391,N(M1391)+1))</f>
        <v/>
      </c>
      <c r="N1392">
        <f>IF(E1392="",99999,E1392)</f>
        <v/>
      </c>
      <c r="O1392">
        <f>IF(E1392="",0,IF(F1392="",E1392,F1392))</f>
        <v/>
      </c>
      <c r="P1392">
        <f>IF(E1392="",1,MAX(1,(YEAR(O1392)-YEAR(N1392))*12+MONTH(O1392)-MONTH(N1392)+1))</f>
        <v/>
      </c>
      <c r="Q1392">
        <f>IF(G1392="",0,G1392/P1392)</f>
        <v/>
      </c>
      <c r="R1392">
        <f>IF(H1392="",0,H1392/P1392)</f>
        <v/>
      </c>
    </row>
    <row r="1393">
      <c r="A1393" s="43" t="n"/>
      <c r="B1393" s="28" t="n"/>
      <c r="C1393" s="28" t="n"/>
      <c r="D1393" s="28" t="n"/>
      <c r="E1393" s="44" t="n"/>
      <c r="F1393" s="44" t="n"/>
      <c r="G1393" s="23" t="n"/>
      <c r="H1393" s="23" t="n"/>
      <c r="I1393" s="23" t="n"/>
      <c r="J1393" s="23" t="n"/>
      <c r="K1393" s="45">
        <f>IF(A1393="","",SUM(G$2:I1393)-SUM(J$2:J1393))</f>
        <v/>
      </c>
      <c r="L1393" s="46" t="n"/>
      <c r="M1393">
        <f>IF(A1393="","",IF(A1393=A1392,M1392,N(M1392)+1))</f>
        <v/>
      </c>
      <c r="N1393">
        <f>IF(E1393="",99999,E1393)</f>
        <v/>
      </c>
      <c r="O1393">
        <f>IF(E1393="",0,IF(F1393="",E1393,F1393))</f>
        <v/>
      </c>
      <c r="P1393">
        <f>IF(E1393="",1,MAX(1,(YEAR(O1393)-YEAR(N1393))*12+MONTH(O1393)-MONTH(N1393)+1))</f>
        <v/>
      </c>
      <c r="Q1393">
        <f>IF(G1393="",0,G1393/P1393)</f>
        <v/>
      </c>
      <c r="R1393">
        <f>IF(H1393="",0,H1393/P1393)</f>
        <v/>
      </c>
    </row>
    <row r="1394">
      <c r="A1394" s="43" t="n"/>
      <c r="B1394" s="28" t="n"/>
      <c r="C1394" s="28" t="n"/>
      <c r="D1394" s="28" t="n"/>
      <c r="E1394" s="44" t="n"/>
      <c r="F1394" s="44" t="n"/>
      <c r="G1394" s="23" t="n"/>
      <c r="H1394" s="23" t="n"/>
      <c r="I1394" s="23" t="n"/>
      <c r="J1394" s="23" t="n"/>
      <c r="K1394" s="45">
        <f>IF(A1394="","",SUM(G$2:I1394)-SUM(J$2:J1394))</f>
        <v/>
      </c>
      <c r="L1394" s="46" t="n"/>
      <c r="M1394">
        <f>IF(A1394="","",IF(A1394=A1393,M1393,N(M1393)+1))</f>
        <v/>
      </c>
      <c r="N1394">
        <f>IF(E1394="",99999,E1394)</f>
        <v/>
      </c>
      <c r="O1394">
        <f>IF(E1394="",0,IF(F1394="",E1394,F1394))</f>
        <v/>
      </c>
      <c r="P1394">
        <f>IF(E1394="",1,MAX(1,(YEAR(O1394)-YEAR(N1394))*12+MONTH(O1394)-MONTH(N1394)+1))</f>
        <v/>
      </c>
      <c r="Q1394">
        <f>IF(G1394="",0,G1394/P1394)</f>
        <v/>
      </c>
      <c r="R1394">
        <f>IF(H1394="",0,H1394/P1394)</f>
        <v/>
      </c>
    </row>
    <row r="1395">
      <c r="A1395" s="43" t="n"/>
      <c r="B1395" s="28" t="n"/>
      <c r="C1395" s="28" t="n"/>
      <c r="D1395" s="28" t="n"/>
      <c r="E1395" s="44" t="n"/>
      <c r="F1395" s="44" t="n"/>
      <c r="G1395" s="23" t="n"/>
      <c r="H1395" s="23" t="n"/>
      <c r="I1395" s="23" t="n"/>
      <c r="J1395" s="23" t="n"/>
      <c r="K1395" s="45">
        <f>IF(A1395="","",SUM(G$2:I1395)-SUM(J$2:J1395))</f>
        <v/>
      </c>
      <c r="L1395" s="46" t="n"/>
      <c r="M1395">
        <f>IF(A1395="","",IF(A1395=A1394,M1394,N(M1394)+1))</f>
        <v/>
      </c>
      <c r="N1395">
        <f>IF(E1395="",99999,E1395)</f>
        <v/>
      </c>
      <c r="O1395">
        <f>IF(E1395="",0,IF(F1395="",E1395,F1395))</f>
        <v/>
      </c>
      <c r="P1395">
        <f>IF(E1395="",1,MAX(1,(YEAR(O1395)-YEAR(N1395))*12+MONTH(O1395)-MONTH(N1395)+1))</f>
        <v/>
      </c>
      <c r="Q1395">
        <f>IF(G1395="",0,G1395/P1395)</f>
        <v/>
      </c>
      <c r="R1395">
        <f>IF(H1395="",0,H1395/P1395)</f>
        <v/>
      </c>
    </row>
    <row r="1396">
      <c r="A1396" s="43" t="n"/>
      <c r="B1396" s="28" t="n"/>
      <c r="C1396" s="28" t="n"/>
      <c r="D1396" s="28" t="n"/>
      <c r="E1396" s="44" t="n"/>
      <c r="F1396" s="44" t="n"/>
      <c r="G1396" s="23" t="n"/>
      <c r="H1396" s="23" t="n"/>
      <c r="I1396" s="23" t="n"/>
      <c r="J1396" s="23" t="n"/>
      <c r="K1396" s="45">
        <f>IF(A1396="","",SUM(G$2:I1396)-SUM(J$2:J1396))</f>
        <v/>
      </c>
      <c r="L1396" s="46" t="n"/>
      <c r="M1396">
        <f>IF(A1396="","",IF(A1396=A1395,M1395,N(M1395)+1))</f>
        <v/>
      </c>
      <c r="N1396">
        <f>IF(E1396="",99999,E1396)</f>
        <v/>
      </c>
      <c r="O1396">
        <f>IF(E1396="",0,IF(F1396="",E1396,F1396))</f>
        <v/>
      </c>
      <c r="P1396">
        <f>IF(E1396="",1,MAX(1,(YEAR(O1396)-YEAR(N1396))*12+MONTH(O1396)-MONTH(N1396)+1))</f>
        <v/>
      </c>
      <c r="Q1396">
        <f>IF(G1396="",0,G1396/P1396)</f>
        <v/>
      </c>
      <c r="R1396">
        <f>IF(H1396="",0,H1396/P1396)</f>
        <v/>
      </c>
    </row>
    <row r="1397">
      <c r="A1397" s="43" t="n"/>
      <c r="B1397" s="28" t="n"/>
      <c r="C1397" s="28" t="n"/>
      <c r="D1397" s="28" t="n"/>
      <c r="E1397" s="44" t="n"/>
      <c r="F1397" s="44" t="n"/>
      <c r="G1397" s="23" t="n"/>
      <c r="H1397" s="23" t="n"/>
      <c r="I1397" s="23" t="n"/>
      <c r="J1397" s="23" t="n"/>
      <c r="K1397" s="45">
        <f>IF(A1397="","",SUM(G$2:I1397)-SUM(J$2:J1397))</f>
        <v/>
      </c>
      <c r="L1397" s="46" t="n"/>
      <c r="M1397">
        <f>IF(A1397="","",IF(A1397=A1396,M1396,N(M1396)+1))</f>
        <v/>
      </c>
      <c r="N1397">
        <f>IF(E1397="",99999,E1397)</f>
        <v/>
      </c>
      <c r="O1397">
        <f>IF(E1397="",0,IF(F1397="",E1397,F1397))</f>
        <v/>
      </c>
      <c r="P1397">
        <f>IF(E1397="",1,MAX(1,(YEAR(O1397)-YEAR(N1397))*12+MONTH(O1397)-MONTH(N1397)+1))</f>
        <v/>
      </c>
      <c r="Q1397">
        <f>IF(G1397="",0,G1397/P1397)</f>
        <v/>
      </c>
      <c r="R1397">
        <f>IF(H1397="",0,H1397/P1397)</f>
        <v/>
      </c>
    </row>
    <row r="1398">
      <c r="A1398" s="43" t="n"/>
      <c r="B1398" s="28" t="n"/>
      <c r="C1398" s="28" t="n"/>
      <c r="D1398" s="28" t="n"/>
      <c r="E1398" s="44" t="n"/>
      <c r="F1398" s="44" t="n"/>
      <c r="G1398" s="23" t="n"/>
      <c r="H1398" s="23" t="n"/>
      <c r="I1398" s="23" t="n"/>
      <c r="J1398" s="23" t="n"/>
      <c r="K1398" s="45">
        <f>IF(A1398="","",SUM(G$2:I1398)-SUM(J$2:J1398))</f>
        <v/>
      </c>
      <c r="L1398" s="46" t="n"/>
      <c r="M1398">
        <f>IF(A1398="","",IF(A1398=A1397,M1397,N(M1397)+1))</f>
        <v/>
      </c>
      <c r="N1398">
        <f>IF(E1398="",99999,E1398)</f>
        <v/>
      </c>
      <c r="O1398">
        <f>IF(E1398="",0,IF(F1398="",E1398,F1398))</f>
        <v/>
      </c>
      <c r="P1398">
        <f>IF(E1398="",1,MAX(1,(YEAR(O1398)-YEAR(N1398))*12+MONTH(O1398)-MONTH(N1398)+1))</f>
        <v/>
      </c>
      <c r="Q1398">
        <f>IF(G1398="",0,G1398/P1398)</f>
        <v/>
      </c>
      <c r="R1398">
        <f>IF(H1398="",0,H1398/P1398)</f>
        <v/>
      </c>
    </row>
    <row r="1399">
      <c r="A1399" s="43" t="n"/>
      <c r="B1399" s="28" t="n"/>
      <c r="C1399" s="28" t="n"/>
      <c r="D1399" s="28" t="n"/>
      <c r="E1399" s="44" t="n"/>
      <c r="F1399" s="44" t="n"/>
      <c r="G1399" s="23" t="n"/>
      <c r="H1399" s="23" t="n"/>
      <c r="I1399" s="23" t="n"/>
      <c r="J1399" s="23" t="n"/>
      <c r="K1399" s="45">
        <f>IF(A1399="","",SUM(G$2:I1399)-SUM(J$2:J1399))</f>
        <v/>
      </c>
      <c r="L1399" s="46" t="n"/>
      <c r="M1399">
        <f>IF(A1399="","",IF(A1399=A1398,M1398,N(M1398)+1))</f>
        <v/>
      </c>
      <c r="N1399">
        <f>IF(E1399="",99999,E1399)</f>
        <v/>
      </c>
      <c r="O1399">
        <f>IF(E1399="",0,IF(F1399="",E1399,F1399))</f>
        <v/>
      </c>
      <c r="P1399">
        <f>IF(E1399="",1,MAX(1,(YEAR(O1399)-YEAR(N1399))*12+MONTH(O1399)-MONTH(N1399)+1))</f>
        <v/>
      </c>
      <c r="Q1399">
        <f>IF(G1399="",0,G1399/P1399)</f>
        <v/>
      </c>
      <c r="R1399">
        <f>IF(H1399="",0,H1399/P1399)</f>
        <v/>
      </c>
    </row>
    <row r="1400">
      <c r="A1400" s="43" t="n"/>
      <c r="B1400" s="28" t="n"/>
      <c r="C1400" s="28" t="n"/>
      <c r="D1400" s="28" t="n"/>
      <c r="E1400" s="44" t="n"/>
      <c r="F1400" s="44" t="n"/>
      <c r="G1400" s="23" t="n"/>
      <c r="H1400" s="23" t="n"/>
      <c r="I1400" s="23" t="n"/>
      <c r="J1400" s="23" t="n"/>
      <c r="K1400" s="45">
        <f>IF(A1400="","",SUM(G$2:I1400)-SUM(J$2:J1400))</f>
        <v/>
      </c>
      <c r="L1400" s="46" t="n"/>
      <c r="M1400">
        <f>IF(A1400="","",IF(A1400=A1399,M1399,N(M1399)+1))</f>
        <v/>
      </c>
      <c r="N1400">
        <f>IF(E1400="",99999,E1400)</f>
        <v/>
      </c>
      <c r="O1400">
        <f>IF(E1400="",0,IF(F1400="",E1400,F1400))</f>
        <v/>
      </c>
      <c r="P1400">
        <f>IF(E1400="",1,MAX(1,(YEAR(O1400)-YEAR(N1400))*12+MONTH(O1400)-MONTH(N1400)+1))</f>
        <v/>
      </c>
      <c r="Q1400">
        <f>IF(G1400="",0,G1400/P1400)</f>
        <v/>
      </c>
      <c r="R1400">
        <f>IF(H1400="",0,H1400/P1400)</f>
        <v/>
      </c>
    </row>
    <row r="1401">
      <c r="A1401" s="43" t="n"/>
      <c r="B1401" s="28" t="n"/>
      <c r="C1401" s="28" t="n"/>
      <c r="D1401" s="28" t="n"/>
      <c r="E1401" s="44" t="n"/>
      <c r="F1401" s="44" t="n"/>
      <c r="G1401" s="23" t="n"/>
      <c r="H1401" s="23" t="n"/>
      <c r="I1401" s="23" t="n"/>
      <c r="J1401" s="23" t="n"/>
      <c r="K1401" s="45">
        <f>IF(A1401="","",SUM(G$2:I1401)-SUM(J$2:J1401))</f>
        <v/>
      </c>
      <c r="L1401" s="46" t="n"/>
      <c r="M1401">
        <f>IF(A1401="","",IF(A1401=A1400,M1400,N(M1400)+1))</f>
        <v/>
      </c>
      <c r="N1401">
        <f>IF(E1401="",99999,E1401)</f>
        <v/>
      </c>
      <c r="O1401">
        <f>IF(E1401="",0,IF(F1401="",E1401,F1401))</f>
        <v/>
      </c>
      <c r="P1401">
        <f>IF(E1401="",1,MAX(1,(YEAR(O1401)-YEAR(N1401))*12+MONTH(O1401)-MONTH(N1401)+1))</f>
        <v/>
      </c>
      <c r="Q1401">
        <f>IF(G1401="",0,G1401/P1401)</f>
        <v/>
      </c>
      <c r="R1401">
        <f>IF(H1401="",0,H1401/P1401)</f>
        <v/>
      </c>
    </row>
    <row r="1402">
      <c r="A1402" s="43" t="n"/>
      <c r="B1402" s="28" t="n"/>
      <c r="C1402" s="28" t="n"/>
      <c r="D1402" s="28" t="n"/>
      <c r="E1402" s="44" t="n"/>
      <c r="F1402" s="44" t="n"/>
      <c r="G1402" s="23" t="n"/>
      <c r="H1402" s="23" t="n"/>
      <c r="I1402" s="23" t="n"/>
      <c r="J1402" s="23" t="n"/>
      <c r="K1402" s="45">
        <f>IF(A1402="","",SUM(G$2:I1402)-SUM(J$2:J1402))</f>
        <v/>
      </c>
      <c r="L1402" s="46" t="n"/>
      <c r="M1402">
        <f>IF(A1402="","",IF(A1402=A1401,M1401,N(M1401)+1))</f>
        <v/>
      </c>
      <c r="N1402">
        <f>IF(E1402="",99999,E1402)</f>
        <v/>
      </c>
      <c r="O1402">
        <f>IF(E1402="",0,IF(F1402="",E1402,F1402))</f>
        <v/>
      </c>
      <c r="P1402">
        <f>IF(E1402="",1,MAX(1,(YEAR(O1402)-YEAR(N1402))*12+MONTH(O1402)-MONTH(N1402)+1))</f>
        <v/>
      </c>
      <c r="Q1402">
        <f>IF(G1402="",0,G1402/P1402)</f>
        <v/>
      </c>
      <c r="R1402">
        <f>IF(H1402="",0,H1402/P1402)</f>
        <v/>
      </c>
    </row>
    <row r="1403">
      <c r="A1403" s="43" t="n"/>
      <c r="B1403" s="28" t="n"/>
      <c r="C1403" s="28" t="n"/>
      <c r="D1403" s="28" t="n"/>
      <c r="E1403" s="44" t="n"/>
      <c r="F1403" s="44" t="n"/>
      <c r="G1403" s="23" t="n"/>
      <c r="H1403" s="23" t="n"/>
      <c r="I1403" s="23" t="n"/>
      <c r="J1403" s="23" t="n"/>
      <c r="K1403" s="45">
        <f>IF(A1403="","",SUM(G$2:I1403)-SUM(J$2:J1403))</f>
        <v/>
      </c>
      <c r="L1403" s="46" t="n"/>
      <c r="M1403">
        <f>IF(A1403="","",IF(A1403=A1402,M1402,N(M1402)+1))</f>
        <v/>
      </c>
      <c r="N1403">
        <f>IF(E1403="",99999,E1403)</f>
        <v/>
      </c>
      <c r="O1403">
        <f>IF(E1403="",0,IF(F1403="",E1403,F1403))</f>
        <v/>
      </c>
      <c r="P1403">
        <f>IF(E1403="",1,MAX(1,(YEAR(O1403)-YEAR(N1403))*12+MONTH(O1403)-MONTH(N1403)+1))</f>
        <v/>
      </c>
      <c r="Q1403">
        <f>IF(G1403="",0,G1403/P1403)</f>
        <v/>
      </c>
      <c r="R1403">
        <f>IF(H1403="",0,H1403/P1403)</f>
        <v/>
      </c>
    </row>
    <row r="1404">
      <c r="A1404" s="43" t="n"/>
      <c r="B1404" s="28" t="n"/>
      <c r="C1404" s="28" t="n"/>
      <c r="D1404" s="28" t="n"/>
      <c r="E1404" s="44" t="n"/>
      <c r="F1404" s="44" t="n"/>
      <c r="G1404" s="23" t="n"/>
      <c r="H1404" s="23" t="n"/>
      <c r="I1404" s="23" t="n"/>
      <c r="J1404" s="23" t="n"/>
      <c r="K1404" s="45">
        <f>IF(A1404="","",SUM(G$2:I1404)-SUM(J$2:J1404))</f>
        <v/>
      </c>
      <c r="L1404" s="46" t="n"/>
      <c r="M1404">
        <f>IF(A1404="","",IF(A1404=A1403,M1403,N(M1403)+1))</f>
        <v/>
      </c>
      <c r="N1404">
        <f>IF(E1404="",99999,E1404)</f>
        <v/>
      </c>
      <c r="O1404">
        <f>IF(E1404="",0,IF(F1404="",E1404,F1404))</f>
        <v/>
      </c>
      <c r="P1404">
        <f>IF(E1404="",1,MAX(1,(YEAR(O1404)-YEAR(N1404))*12+MONTH(O1404)-MONTH(N1404)+1))</f>
        <v/>
      </c>
      <c r="Q1404">
        <f>IF(G1404="",0,G1404/P1404)</f>
        <v/>
      </c>
      <c r="R1404">
        <f>IF(H1404="",0,H1404/P1404)</f>
        <v/>
      </c>
    </row>
    <row r="1405">
      <c r="A1405" s="43" t="n"/>
      <c r="B1405" s="28" t="n"/>
      <c r="C1405" s="28" t="n"/>
      <c r="D1405" s="28" t="n"/>
      <c r="E1405" s="44" t="n"/>
      <c r="F1405" s="44" t="n"/>
      <c r="G1405" s="23" t="n"/>
      <c r="H1405" s="23" t="n"/>
      <c r="I1405" s="23" t="n"/>
      <c r="J1405" s="23" t="n"/>
      <c r="K1405" s="45">
        <f>IF(A1405="","",SUM(G$2:I1405)-SUM(J$2:J1405))</f>
        <v/>
      </c>
      <c r="L1405" s="46" t="n"/>
      <c r="M1405">
        <f>IF(A1405="","",IF(A1405=A1404,M1404,N(M1404)+1))</f>
        <v/>
      </c>
      <c r="N1405">
        <f>IF(E1405="",99999,E1405)</f>
        <v/>
      </c>
      <c r="O1405">
        <f>IF(E1405="",0,IF(F1405="",E1405,F1405))</f>
        <v/>
      </c>
      <c r="P1405">
        <f>IF(E1405="",1,MAX(1,(YEAR(O1405)-YEAR(N1405))*12+MONTH(O1405)-MONTH(N1405)+1))</f>
        <v/>
      </c>
      <c r="Q1405">
        <f>IF(G1405="",0,G1405/P1405)</f>
        <v/>
      </c>
      <c r="R1405">
        <f>IF(H1405="",0,H1405/P1405)</f>
        <v/>
      </c>
    </row>
    <row r="1406">
      <c r="A1406" s="43" t="n"/>
      <c r="B1406" s="28" t="n"/>
      <c r="C1406" s="28" t="n"/>
      <c r="D1406" s="28" t="n"/>
      <c r="E1406" s="44" t="n"/>
      <c r="F1406" s="44" t="n"/>
      <c r="G1406" s="23" t="n"/>
      <c r="H1406" s="23" t="n"/>
      <c r="I1406" s="23" t="n"/>
      <c r="J1406" s="23" t="n"/>
      <c r="K1406" s="45">
        <f>IF(A1406="","",SUM(G$2:I1406)-SUM(J$2:J1406))</f>
        <v/>
      </c>
      <c r="L1406" s="46" t="n"/>
      <c r="M1406">
        <f>IF(A1406="","",IF(A1406=A1405,M1405,N(M1405)+1))</f>
        <v/>
      </c>
      <c r="N1406">
        <f>IF(E1406="",99999,E1406)</f>
        <v/>
      </c>
      <c r="O1406">
        <f>IF(E1406="",0,IF(F1406="",E1406,F1406))</f>
        <v/>
      </c>
      <c r="P1406">
        <f>IF(E1406="",1,MAX(1,(YEAR(O1406)-YEAR(N1406))*12+MONTH(O1406)-MONTH(N1406)+1))</f>
        <v/>
      </c>
      <c r="Q1406">
        <f>IF(G1406="",0,G1406/P1406)</f>
        <v/>
      </c>
      <c r="R1406">
        <f>IF(H1406="",0,H1406/P1406)</f>
        <v/>
      </c>
    </row>
    <row r="1407">
      <c r="A1407" s="43" t="n"/>
      <c r="B1407" s="28" t="n"/>
      <c r="C1407" s="28" t="n"/>
      <c r="D1407" s="28" t="n"/>
      <c r="E1407" s="44" t="n"/>
      <c r="F1407" s="44" t="n"/>
      <c r="G1407" s="23" t="n"/>
      <c r="H1407" s="23" t="n"/>
      <c r="I1407" s="23" t="n"/>
      <c r="J1407" s="23" t="n"/>
      <c r="K1407" s="45">
        <f>IF(A1407="","",SUM(G$2:I1407)-SUM(J$2:J1407))</f>
        <v/>
      </c>
      <c r="L1407" s="46" t="n"/>
      <c r="M1407">
        <f>IF(A1407="","",IF(A1407=A1406,M1406,N(M1406)+1))</f>
        <v/>
      </c>
      <c r="N1407">
        <f>IF(E1407="",99999,E1407)</f>
        <v/>
      </c>
      <c r="O1407">
        <f>IF(E1407="",0,IF(F1407="",E1407,F1407))</f>
        <v/>
      </c>
      <c r="P1407">
        <f>IF(E1407="",1,MAX(1,(YEAR(O1407)-YEAR(N1407))*12+MONTH(O1407)-MONTH(N1407)+1))</f>
        <v/>
      </c>
      <c r="Q1407">
        <f>IF(G1407="",0,G1407/P1407)</f>
        <v/>
      </c>
      <c r="R1407">
        <f>IF(H1407="",0,H1407/P1407)</f>
        <v/>
      </c>
    </row>
    <row r="1408">
      <c r="A1408" s="43" t="n"/>
      <c r="B1408" s="28" t="n"/>
      <c r="C1408" s="28" t="n"/>
      <c r="D1408" s="28" t="n"/>
      <c r="E1408" s="44" t="n"/>
      <c r="F1408" s="44" t="n"/>
      <c r="G1408" s="23" t="n"/>
      <c r="H1408" s="23" t="n"/>
      <c r="I1408" s="23" t="n"/>
      <c r="J1408" s="23" t="n"/>
      <c r="K1408" s="45">
        <f>IF(A1408="","",SUM(G$2:I1408)-SUM(J$2:J1408))</f>
        <v/>
      </c>
      <c r="L1408" s="46" t="n"/>
      <c r="M1408">
        <f>IF(A1408="","",IF(A1408=A1407,M1407,N(M1407)+1))</f>
        <v/>
      </c>
      <c r="N1408">
        <f>IF(E1408="",99999,E1408)</f>
        <v/>
      </c>
      <c r="O1408">
        <f>IF(E1408="",0,IF(F1408="",E1408,F1408))</f>
        <v/>
      </c>
      <c r="P1408">
        <f>IF(E1408="",1,MAX(1,(YEAR(O1408)-YEAR(N1408))*12+MONTH(O1408)-MONTH(N1408)+1))</f>
        <v/>
      </c>
      <c r="Q1408">
        <f>IF(G1408="",0,G1408/P1408)</f>
        <v/>
      </c>
      <c r="R1408">
        <f>IF(H1408="",0,H1408/P1408)</f>
        <v/>
      </c>
    </row>
    <row r="1409">
      <c r="A1409" s="43" t="n"/>
      <c r="B1409" s="28" t="n"/>
      <c r="C1409" s="28" t="n"/>
      <c r="D1409" s="28" t="n"/>
      <c r="E1409" s="44" t="n"/>
      <c r="F1409" s="44" t="n"/>
      <c r="G1409" s="23" t="n"/>
      <c r="H1409" s="23" t="n"/>
      <c r="I1409" s="23" t="n"/>
      <c r="J1409" s="23" t="n"/>
      <c r="K1409" s="45">
        <f>IF(A1409="","",SUM(G$2:I1409)-SUM(J$2:J1409))</f>
        <v/>
      </c>
      <c r="L1409" s="46" t="n"/>
      <c r="M1409">
        <f>IF(A1409="","",IF(A1409=A1408,M1408,N(M1408)+1))</f>
        <v/>
      </c>
      <c r="N1409">
        <f>IF(E1409="",99999,E1409)</f>
        <v/>
      </c>
      <c r="O1409">
        <f>IF(E1409="",0,IF(F1409="",E1409,F1409))</f>
        <v/>
      </c>
      <c r="P1409">
        <f>IF(E1409="",1,MAX(1,(YEAR(O1409)-YEAR(N1409))*12+MONTH(O1409)-MONTH(N1409)+1))</f>
        <v/>
      </c>
      <c r="Q1409">
        <f>IF(G1409="",0,G1409/P1409)</f>
        <v/>
      </c>
      <c r="R1409">
        <f>IF(H1409="",0,H1409/P1409)</f>
        <v/>
      </c>
    </row>
    <row r="1410">
      <c r="A1410" s="43" t="n"/>
      <c r="B1410" s="28" t="n"/>
      <c r="C1410" s="28" t="n"/>
      <c r="D1410" s="28" t="n"/>
      <c r="E1410" s="44" t="n"/>
      <c r="F1410" s="44" t="n"/>
      <c r="G1410" s="23" t="n"/>
      <c r="H1410" s="23" t="n"/>
      <c r="I1410" s="23" t="n"/>
      <c r="J1410" s="23" t="n"/>
      <c r="K1410" s="45">
        <f>IF(A1410="","",SUM(G$2:I1410)-SUM(J$2:J1410))</f>
        <v/>
      </c>
      <c r="L1410" s="46" t="n"/>
      <c r="M1410">
        <f>IF(A1410="","",IF(A1410=A1409,M1409,N(M1409)+1))</f>
        <v/>
      </c>
      <c r="N1410">
        <f>IF(E1410="",99999,E1410)</f>
        <v/>
      </c>
      <c r="O1410">
        <f>IF(E1410="",0,IF(F1410="",E1410,F1410))</f>
        <v/>
      </c>
      <c r="P1410">
        <f>IF(E1410="",1,MAX(1,(YEAR(O1410)-YEAR(N1410))*12+MONTH(O1410)-MONTH(N1410)+1))</f>
        <v/>
      </c>
      <c r="Q1410">
        <f>IF(G1410="",0,G1410/P1410)</f>
        <v/>
      </c>
      <c r="R1410">
        <f>IF(H1410="",0,H1410/P1410)</f>
        <v/>
      </c>
    </row>
    <row r="1411">
      <c r="A1411" s="43" t="n"/>
      <c r="B1411" s="28" t="n"/>
      <c r="C1411" s="28" t="n"/>
      <c r="D1411" s="28" t="n"/>
      <c r="E1411" s="44" t="n"/>
      <c r="F1411" s="44" t="n"/>
      <c r="G1411" s="23" t="n"/>
      <c r="H1411" s="23" t="n"/>
      <c r="I1411" s="23" t="n"/>
      <c r="J1411" s="23" t="n"/>
      <c r="K1411" s="45">
        <f>IF(A1411="","",SUM(G$2:I1411)-SUM(J$2:J1411))</f>
        <v/>
      </c>
      <c r="L1411" s="46" t="n"/>
      <c r="M1411">
        <f>IF(A1411="","",IF(A1411=A1410,M1410,N(M1410)+1))</f>
        <v/>
      </c>
      <c r="N1411">
        <f>IF(E1411="",99999,E1411)</f>
        <v/>
      </c>
      <c r="O1411">
        <f>IF(E1411="",0,IF(F1411="",E1411,F1411))</f>
        <v/>
      </c>
      <c r="P1411">
        <f>IF(E1411="",1,MAX(1,(YEAR(O1411)-YEAR(N1411))*12+MONTH(O1411)-MONTH(N1411)+1))</f>
        <v/>
      </c>
      <c r="Q1411">
        <f>IF(G1411="",0,G1411/P1411)</f>
        <v/>
      </c>
      <c r="R1411">
        <f>IF(H1411="",0,H1411/P1411)</f>
        <v/>
      </c>
    </row>
    <row r="1412">
      <c r="A1412" s="43" t="n"/>
      <c r="B1412" s="28" t="n"/>
      <c r="C1412" s="28" t="n"/>
      <c r="D1412" s="28" t="n"/>
      <c r="E1412" s="44" t="n"/>
      <c r="F1412" s="44" t="n"/>
      <c r="G1412" s="23" t="n"/>
      <c r="H1412" s="23" t="n"/>
      <c r="I1412" s="23" t="n"/>
      <c r="J1412" s="23" t="n"/>
      <c r="K1412" s="45">
        <f>IF(A1412="","",SUM(G$2:I1412)-SUM(J$2:J1412))</f>
        <v/>
      </c>
      <c r="L1412" s="46" t="n"/>
      <c r="M1412">
        <f>IF(A1412="","",IF(A1412=A1411,M1411,N(M1411)+1))</f>
        <v/>
      </c>
      <c r="N1412">
        <f>IF(E1412="",99999,E1412)</f>
        <v/>
      </c>
      <c r="O1412">
        <f>IF(E1412="",0,IF(F1412="",E1412,F1412))</f>
        <v/>
      </c>
      <c r="P1412">
        <f>IF(E1412="",1,MAX(1,(YEAR(O1412)-YEAR(N1412))*12+MONTH(O1412)-MONTH(N1412)+1))</f>
        <v/>
      </c>
      <c r="Q1412">
        <f>IF(G1412="",0,G1412/P1412)</f>
        <v/>
      </c>
      <c r="R1412">
        <f>IF(H1412="",0,H1412/P1412)</f>
        <v/>
      </c>
    </row>
    <row r="1413">
      <c r="A1413" s="43" t="n"/>
      <c r="B1413" s="28" t="n"/>
      <c r="C1413" s="28" t="n"/>
      <c r="D1413" s="28" t="n"/>
      <c r="E1413" s="44" t="n"/>
      <c r="F1413" s="44" t="n"/>
      <c r="G1413" s="23" t="n"/>
      <c r="H1413" s="23" t="n"/>
      <c r="I1413" s="23" t="n"/>
      <c r="J1413" s="23" t="n"/>
      <c r="K1413" s="45">
        <f>IF(A1413="","",SUM(G$2:I1413)-SUM(J$2:J1413))</f>
        <v/>
      </c>
      <c r="L1413" s="46" t="n"/>
      <c r="M1413">
        <f>IF(A1413="","",IF(A1413=A1412,M1412,N(M1412)+1))</f>
        <v/>
      </c>
      <c r="N1413">
        <f>IF(E1413="",99999,E1413)</f>
        <v/>
      </c>
      <c r="O1413">
        <f>IF(E1413="",0,IF(F1413="",E1413,F1413))</f>
        <v/>
      </c>
      <c r="P1413">
        <f>IF(E1413="",1,MAX(1,(YEAR(O1413)-YEAR(N1413))*12+MONTH(O1413)-MONTH(N1413)+1))</f>
        <v/>
      </c>
      <c r="Q1413">
        <f>IF(G1413="",0,G1413/P1413)</f>
        <v/>
      </c>
      <c r="R1413">
        <f>IF(H1413="",0,H1413/P1413)</f>
        <v/>
      </c>
    </row>
    <row r="1414">
      <c r="A1414" s="43" t="n"/>
      <c r="B1414" s="28" t="n"/>
      <c r="C1414" s="28" t="n"/>
      <c r="D1414" s="28" t="n"/>
      <c r="E1414" s="44" t="n"/>
      <c r="F1414" s="44" t="n"/>
      <c r="G1414" s="23" t="n"/>
      <c r="H1414" s="23" t="n"/>
      <c r="I1414" s="23" t="n"/>
      <c r="J1414" s="23" t="n"/>
      <c r="K1414" s="45">
        <f>IF(A1414="","",SUM(G$2:I1414)-SUM(J$2:J1414))</f>
        <v/>
      </c>
      <c r="L1414" s="46" t="n"/>
      <c r="M1414">
        <f>IF(A1414="","",IF(A1414=A1413,M1413,N(M1413)+1))</f>
        <v/>
      </c>
      <c r="N1414">
        <f>IF(E1414="",99999,E1414)</f>
        <v/>
      </c>
      <c r="O1414">
        <f>IF(E1414="",0,IF(F1414="",E1414,F1414))</f>
        <v/>
      </c>
      <c r="P1414">
        <f>IF(E1414="",1,MAX(1,(YEAR(O1414)-YEAR(N1414))*12+MONTH(O1414)-MONTH(N1414)+1))</f>
        <v/>
      </c>
      <c r="Q1414">
        <f>IF(G1414="",0,G1414/P1414)</f>
        <v/>
      </c>
      <c r="R1414">
        <f>IF(H1414="",0,H1414/P1414)</f>
        <v/>
      </c>
    </row>
    <row r="1415">
      <c r="A1415" s="43" t="n"/>
      <c r="B1415" s="28" t="n"/>
      <c r="C1415" s="28" t="n"/>
      <c r="D1415" s="28" t="n"/>
      <c r="E1415" s="44" t="n"/>
      <c r="F1415" s="44" t="n"/>
      <c r="G1415" s="23" t="n"/>
      <c r="H1415" s="23" t="n"/>
      <c r="I1415" s="23" t="n"/>
      <c r="J1415" s="23" t="n"/>
      <c r="K1415" s="45">
        <f>IF(A1415="","",SUM(G$2:I1415)-SUM(J$2:J1415))</f>
        <v/>
      </c>
      <c r="L1415" s="46" t="n"/>
      <c r="M1415">
        <f>IF(A1415="","",IF(A1415=A1414,M1414,N(M1414)+1))</f>
        <v/>
      </c>
      <c r="N1415">
        <f>IF(E1415="",99999,E1415)</f>
        <v/>
      </c>
      <c r="O1415">
        <f>IF(E1415="",0,IF(F1415="",E1415,F1415))</f>
        <v/>
      </c>
      <c r="P1415">
        <f>IF(E1415="",1,MAX(1,(YEAR(O1415)-YEAR(N1415))*12+MONTH(O1415)-MONTH(N1415)+1))</f>
        <v/>
      </c>
      <c r="Q1415">
        <f>IF(G1415="",0,G1415/P1415)</f>
        <v/>
      </c>
      <c r="R1415">
        <f>IF(H1415="",0,H1415/P1415)</f>
        <v/>
      </c>
    </row>
    <row r="1416">
      <c r="A1416" s="43" t="n"/>
      <c r="B1416" s="28" t="n"/>
      <c r="C1416" s="28" t="n"/>
      <c r="D1416" s="28" t="n"/>
      <c r="E1416" s="44" t="n"/>
      <c r="F1416" s="44" t="n"/>
      <c r="G1416" s="23" t="n"/>
      <c r="H1416" s="23" t="n"/>
      <c r="I1416" s="23" t="n"/>
      <c r="J1416" s="23" t="n"/>
      <c r="K1416" s="45">
        <f>IF(A1416="","",SUM(G$2:I1416)-SUM(J$2:J1416))</f>
        <v/>
      </c>
      <c r="L1416" s="46" t="n"/>
      <c r="M1416">
        <f>IF(A1416="","",IF(A1416=A1415,M1415,N(M1415)+1))</f>
        <v/>
      </c>
      <c r="N1416">
        <f>IF(E1416="",99999,E1416)</f>
        <v/>
      </c>
      <c r="O1416">
        <f>IF(E1416="",0,IF(F1416="",E1416,F1416))</f>
        <v/>
      </c>
      <c r="P1416">
        <f>IF(E1416="",1,MAX(1,(YEAR(O1416)-YEAR(N1416))*12+MONTH(O1416)-MONTH(N1416)+1))</f>
        <v/>
      </c>
      <c r="Q1416">
        <f>IF(G1416="",0,G1416/P1416)</f>
        <v/>
      </c>
      <c r="R1416">
        <f>IF(H1416="",0,H1416/P1416)</f>
        <v/>
      </c>
    </row>
    <row r="1417">
      <c r="A1417" s="43" t="n"/>
      <c r="B1417" s="28" t="n"/>
      <c r="C1417" s="28" t="n"/>
      <c r="D1417" s="28" t="n"/>
      <c r="E1417" s="44" t="n"/>
      <c r="F1417" s="44" t="n"/>
      <c r="G1417" s="23" t="n"/>
      <c r="H1417" s="23" t="n"/>
      <c r="I1417" s="23" t="n"/>
      <c r="J1417" s="23" t="n"/>
      <c r="K1417" s="45">
        <f>IF(A1417="","",SUM(G$2:I1417)-SUM(J$2:J1417))</f>
        <v/>
      </c>
      <c r="L1417" s="46" t="n"/>
      <c r="M1417">
        <f>IF(A1417="","",IF(A1417=A1416,M1416,N(M1416)+1))</f>
        <v/>
      </c>
      <c r="N1417">
        <f>IF(E1417="",99999,E1417)</f>
        <v/>
      </c>
      <c r="O1417">
        <f>IF(E1417="",0,IF(F1417="",E1417,F1417))</f>
        <v/>
      </c>
      <c r="P1417">
        <f>IF(E1417="",1,MAX(1,(YEAR(O1417)-YEAR(N1417))*12+MONTH(O1417)-MONTH(N1417)+1))</f>
        <v/>
      </c>
      <c r="Q1417">
        <f>IF(G1417="",0,G1417/P1417)</f>
        <v/>
      </c>
      <c r="R1417">
        <f>IF(H1417="",0,H1417/P1417)</f>
        <v/>
      </c>
    </row>
    <row r="1418">
      <c r="A1418" s="43" t="n"/>
      <c r="B1418" s="28" t="n"/>
      <c r="C1418" s="28" t="n"/>
      <c r="D1418" s="28" t="n"/>
      <c r="E1418" s="44" t="n"/>
      <c r="F1418" s="44" t="n"/>
      <c r="G1418" s="23" t="n"/>
      <c r="H1418" s="23" t="n"/>
      <c r="I1418" s="23" t="n"/>
      <c r="J1418" s="23" t="n"/>
      <c r="K1418" s="45">
        <f>IF(A1418="","",SUM(G$2:I1418)-SUM(J$2:J1418))</f>
        <v/>
      </c>
      <c r="L1418" s="46" t="n"/>
      <c r="M1418">
        <f>IF(A1418="","",IF(A1418=A1417,M1417,N(M1417)+1))</f>
        <v/>
      </c>
      <c r="N1418">
        <f>IF(E1418="",99999,E1418)</f>
        <v/>
      </c>
      <c r="O1418">
        <f>IF(E1418="",0,IF(F1418="",E1418,F1418))</f>
        <v/>
      </c>
      <c r="P1418">
        <f>IF(E1418="",1,MAX(1,(YEAR(O1418)-YEAR(N1418))*12+MONTH(O1418)-MONTH(N1418)+1))</f>
        <v/>
      </c>
      <c r="Q1418">
        <f>IF(G1418="",0,G1418/P1418)</f>
        <v/>
      </c>
      <c r="R1418">
        <f>IF(H1418="",0,H1418/P1418)</f>
        <v/>
      </c>
    </row>
    <row r="1419">
      <c r="A1419" s="43" t="n"/>
      <c r="B1419" s="28" t="n"/>
      <c r="C1419" s="28" t="n"/>
      <c r="D1419" s="28" t="n"/>
      <c r="E1419" s="44" t="n"/>
      <c r="F1419" s="44" t="n"/>
      <c r="G1419" s="23" t="n"/>
      <c r="H1419" s="23" t="n"/>
      <c r="I1419" s="23" t="n"/>
      <c r="J1419" s="23" t="n"/>
      <c r="K1419" s="45">
        <f>IF(A1419="","",SUM(G$2:I1419)-SUM(J$2:J1419))</f>
        <v/>
      </c>
      <c r="L1419" s="46" t="n"/>
      <c r="M1419">
        <f>IF(A1419="","",IF(A1419=A1418,M1418,N(M1418)+1))</f>
        <v/>
      </c>
      <c r="N1419">
        <f>IF(E1419="",99999,E1419)</f>
        <v/>
      </c>
      <c r="O1419">
        <f>IF(E1419="",0,IF(F1419="",E1419,F1419))</f>
        <v/>
      </c>
      <c r="P1419">
        <f>IF(E1419="",1,MAX(1,(YEAR(O1419)-YEAR(N1419))*12+MONTH(O1419)-MONTH(N1419)+1))</f>
        <v/>
      </c>
      <c r="Q1419">
        <f>IF(G1419="",0,G1419/P1419)</f>
        <v/>
      </c>
      <c r="R1419">
        <f>IF(H1419="",0,H1419/P1419)</f>
        <v/>
      </c>
    </row>
    <row r="1420">
      <c r="A1420" s="43" t="n"/>
      <c r="B1420" s="28" t="n"/>
      <c r="C1420" s="28" t="n"/>
      <c r="D1420" s="28" t="n"/>
      <c r="E1420" s="44" t="n"/>
      <c r="F1420" s="44" t="n"/>
      <c r="G1420" s="23" t="n"/>
      <c r="H1420" s="23" t="n"/>
      <c r="I1420" s="23" t="n"/>
      <c r="J1420" s="23" t="n"/>
      <c r="K1420" s="45">
        <f>IF(A1420="","",SUM(G$2:I1420)-SUM(J$2:J1420))</f>
        <v/>
      </c>
      <c r="L1420" s="46" t="n"/>
      <c r="M1420">
        <f>IF(A1420="","",IF(A1420=A1419,M1419,N(M1419)+1))</f>
        <v/>
      </c>
      <c r="N1420">
        <f>IF(E1420="",99999,E1420)</f>
        <v/>
      </c>
      <c r="O1420">
        <f>IF(E1420="",0,IF(F1420="",E1420,F1420))</f>
        <v/>
      </c>
      <c r="P1420">
        <f>IF(E1420="",1,MAX(1,(YEAR(O1420)-YEAR(N1420))*12+MONTH(O1420)-MONTH(N1420)+1))</f>
        <v/>
      </c>
      <c r="Q1420">
        <f>IF(G1420="",0,G1420/P1420)</f>
        <v/>
      </c>
      <c r="R1420">
        <f>IF(H1420="",0,H1420/P1420)</f>
        <v/>
      </c>
    </row>
    <row r="1421">
      <c r="A1421" s="43" t="n"/>
      <c r="B1421" s="28" t="n"/>
      <c r="C1421" s="28" t="n"/>
      <c r="D1421" s="28" t="n"/>
      <c r="E1421" s="44" t="n"/>
      <c r="F1421" s="44" t="n"/>
      <c r="G1421" s="23" t="n"/>
      <c r="H1421" s="23" t="n"/>
      <c r="I1421" s="23" t="n"/>
      <c r="J1421" s="23" t="n"/>
      <c r="K1421" s="45">
        <f>IF(A1421="","",SUM(G$2:I1421)-SUM(J$2:J1421))</f>
        <v/>
      </c>
      <c r="L1421" s="46" t="n"/>
      <c r="M1421">
        <f>IF(A1421="","",IF(A1421=A1420,M1420,N(M1420)+1))</f>
        <v/>
      </c>
      <c r="N1421">
        <f>IF(E1421="",99999,E1421)</f>
        <v/>
      </c>
      <c r="O1421">
        <f>IF(E1421="",0,IF(F1421="",E1421,F1421))</f>
        <v/>
      </c>
      <c r="P1421">
        <f>IF(E1421="",1,MAX(1,(YEAR(O1421)-YEAR(N1421))*12+MONTH(O1421)-MONTH(N1421)+1))</f>
        <v/>
      </c>
      <c r="Q1421">
        <f>IF(G1421="",0,G1421/P1421)</f>
        <v/>
      </c>
      <c r="R1421">
        <f>IF(H1421="",0,H1421/P1421)</f>
        <v/>
      </c>
    </row>
    <row r="1422">
      <c r="A1422" s="43" t="n"/>
      <c r="B1422" s="28" t="n"/>
      <c r="C1422" s="28" t="n"/>
      <c r="D1422" s="28" t="n"/>
      <c r="E1422" s="44" t="n"/>
      <c r="F1422" s="44" t="n"/>
      <c r="G1422" s="23" t="n"/>
      <c r="H1422" s="23" t="n"/>
      <c r="I1422" s="23" t="n"/>
      <c r="J1422" s="23" t="n"/>
      <c r="K1422" s="45">
        <f>IF(A1422="","",SUM(G$2:I1422)-SUM(J$2:J1422))</f>
        <v/>
      </c>
      <c r="L1422" s="46" t="n"/>
      <c r="M1422">
        <f>IF(A1422="","",IF(A1422=A1421,M1421,N(M1421)+1))</f>
        <v/>
      </c>
      <c r="N1422">
        <f>IF(E1422="",99999,E1422)</f>
        <v/>
      </c>
      <c r="O1422">
        <f>IF(E1422="",0,IF(F1422="",E1422,F1422))</f>
        <v/>
      </c>
      <c r="P1422">
        <f>IF(E1422="",1,MAX(1,(YEAR(O1422)-YEAR(N1422))*12+MONTH(O1422)-MONTH(N1422)+1))</f>
        <v/>
      </c>
      <c r="Q1422">
        <f>IF(G1422="",0,G1422/P1422)</f>
        <v/>
      </c>
      <c r="R1422">
        <f>IF(H1422="",0,H1422/P1422)</f>
        <v/>
      </c>
    </row>
    <row r="1423">
      <c r="A1423" s="43" t="n"/>
      <c r="B1423" s="28" t="n"/>
      <c r="C1423" s="28" t="n"/>
      <c r="D1423" s="28" t="n"/>
      <c r="E1423" s="44" t="n"/>
      <c r="F1423" s="44" t="n"/>
      <c r="G1423" s="23" t="n"/>
      <c r="H1423" s="23" t="n"/>
      <c r="I1423" s="23" t="n"/>
      <c r="J1423" s="23" t="n"/>
      <c r="K1423" s="45">
        <f>IF(A1423="","",SUM(G$2:I1423)-SUM(J$2:J1423))</f>
        <v/>
      </c>
      <c r="L1423" s="46" t="n"/>
      <c r="M1423">
        <f>IF(A1423="","",IF(A1423=A1422,M1422,N(M1422)+1))</f>
        <v/>
      </c>
      <c r="N1423">
        <f>IF(E1423="",99999,E1423)</f>
        <v/>
      </c>
      <c r="O1423">
        <f>IF(E1423="",0,IF(F1423="",E1423,F1423))</f>
        <v/>
      </c>
      <c r="P1423">
        <f>IF(E1423="",1,MAX(1,(YEAR(O1423)-YEAR(N1423))*12+MONTH(O1423)-MONTH(N1423)+1))</f>
        <v/>
      </c>
      <c r="Q1423">
        <f>IF(G1423="",0,G1423/P1423)</f>
        <v/>
      </c>
      <c r="R1423">
        <f>IF(H1423="",0,H1423/P1423)</f>
        <v/>
      </c>
    </row>
    <row r="1424">
      <c r="A1424" s="43" t="n"/>
      <c r="B1424" s="28" t="n"/>
      <c r="C1424" s="28" t="n"/>
      <c r="D1424" s="28" t="n"/>
      <c r="E1424" s="44" t="n"/>
      <c r="F1424" s="44" t="n"/>
      <c r="G1424" s="23" t="n"/>
      <c r="H1424" s="23" t="n"/>
      <c r="I1424" s="23" t="n"/>
      <c r="J1424" s="23" t="n"/>
      <c r="K1424" s="45">
        <f>IF(A1424="","",SUM(G$2:I1424)-SUM(J$2:J1424))</f>
        <v/>
      </c>
      <c r="L1424" s="46" t="n"/>
      <c r="M1424">
        <f>IF(A1424="","",IF(A1424=A1423,M1423,N(M1423)+1))</f>
        <v/>
      </c>
      <c r="N1424">
        <f>IF(E1424="",99999,E1424)</f>
        <v/>
      </c>
      <c r="O1424">
        <f>IF(E1424="",0,IF(F1424="",E1424,F1424))</f>
        <v/>
      </c>
      <c r="P1424">
        <f>IF(E1424="",1,MAX(1,(YEAR(O1424)-YEAR(N1424))*12+MONTH(O1424)-MONTH(N1424)+1))</f>
        <v/>
      </c>
      <c r="Q1424">
        <f>IF(G1424="",0,G1424/P1424)</f>
        <v/>
      </c>
      <c r="R1424">
        <f>IF(H1424="",0,H1424/P1424)</f>
        <v/>
      </c>
    </row>
    <row r="1425">
      <c r="A1425" s="43" t="n"/>
      <c r="B1425" s="28" t="n"/>
      <c r="C1425" s="28" t="n"/>
      <c r="D1425" s="28" t="n"/>
      <c r="E1425" s="44" t="n"/>
      <c r="F1425" s="44" t="n"/>
      <c r="G1425" s="23" t="n"/>
      <c r="H1425" s="23" t="n"/>
      <c r="I1425" s="23" t="n"/>
      <c r="J1425" s="23" t="n"/>
      <c r="K1425" s="45">
        <f>IF(A1425="","",SUM(G$2:I1425)-SUM(J$2:J1425))</f>
        <v/>
      </c>
      <c r="L1425" s="46" t="n"/>
      <c r="M1425">
        <f>IF(A1425="","",IF(A1425=A1424,M1424,N(M1424)+1))</f>
        <v/>
      </c>
      <c r="N1425">
        <f>IF(E1425="",99999,E1425)</f>
        <v/>
      </c>
      <c r="O1425">
        <f>IF(E1425="",0,IF(F1425="",E1425,F1425))</f>
        <v/>
      </c>
      <c r="P1425">
        <f>IF(E1425="",1,MAX(1,(YEAR(O1425)-YEAR(N1425))*12+MONTH(O1425)-MONTH(N1425)+1))</f>
        <v/>
      </c>
      <c r="Q1425">
        <f>IF(G1425="",0,G1425/P1425)</f>
        <v/>
      </c>
      <c r="R1425">
        <f>IF(H1425="",0,H1425/P1425)</f>
        <v/>
      </c>
    </row>
    <row r="1426">
      <c r="A1426" s="43" t="n"/>
      <c r="B1426" s="28" t="n"/>
      <c r="C1426" s="28" t="n"/>
      <c r="D1426" s="28" t="n"/>
      <c r="E1426" s="44" t="n"/>
      <c r="F1426" s="44" t="n"/>
      <c r="G1426" s="23" t="n"/>
      <c r="H1426" s="23" t="n"/>
      <c r="I1426" s="23" t="n"/>
      <c r="J1426" s="23" t="n"/>
      <c r="K1426" s="45">
        <f>IF(A1426="","",SUM(G$2:I1426)-SUM(J$2:J1426))</f>
        <v/>
      </c>
      <c r="L1426" s="46" t="n"/>
      <c r="M1426">
        <f>IF(A1426="","",IF(A1426=A1425,M1425,N(M1425)+1))</f>
        <v/>
      </c>
      <c r="N1426">
        <f>IF(E1426="",99999,E1426)</f>
        <v/>
      </c>
      <c r="O1426">
        <f>IF(E1426="",0,IF(F1426="",E1426,F1426))</f>
        <v/>
      </c>
      <c r="P1426">
        <f>IF(E1426="",1,MAX(1,(YEAR(O1426)-YEAR(N1426))*12+MONTH(O1426)-MONTH(N1426)+1))</f>
        <v/>
      </c>
      <c r="Q1426">
        <f>IF(G1426="",0,G1426/P1426)</f>
        <v/>
      </c>
      <c r="R1426">
        <f>IF(H1426="",0,H1426/P1426)</f>
        <v/>
      </c>
    </row>
    <row r="1427">
      <c r="A1427" s="43" t="n"/>
      <c r="B1427" s="28" t="n"/>
      <c r="C1427" s="28" t="n"/>
      <c r="D1427" s="28" t="n"/>
      <c r="E1427" s="44" t="n"/>
      <c r="F1427" s="44" t="n"/>
      <c r="G1427" s="23" t="n"/>
      <c r="H1427" s="23" t="n"/>
      <c r="I1427" s="23" t="n"/>
      <c r="J1427" s="23" t="n"/>
      <c r="K1427" s="45">
        <f>IF(A1427="","",SUM(G$2:I1427)-SUM(J$2:J1427))</f>
        <v/>
      </c>
      <c r="L1427" s="46" t="n"/>
      <c r="M1427">
        <f>IF(A1427="","",IF(A1427=A1426,M1426,N(M1426)+1))</f>
        <v/>
      </c>
      <c r="N1427">
        <f>IF(E1427="",99999,E1427)</f>
        <v/>
      </c>
      <c r="O1427">
        <f>IF(E1427="",0,IF(F1427="",E1427,F1427))</f>
        <v/>
      </c>
      <c r="P1427">
        <f>IF(E1427="",1,MAX(1,(YEAR(O1427)-YEAR(N1427))*12+MONTH(O1427)-MONTH(N1427)+1))</f>
        <v/>
      </c>
      <c r="Q1427">
        <f>IF(G1427="",0,G1427/P1427)</f>
        <v/>
      </c>
      <c r="R1427">
        <f>IF(H1427="",0,H1427/P1427)</f>
        <v/>
      </c>
    </row>
    <row r="1428">
      <c r="A1428" s="43" t="n"/>
      <c r="B1428" s="28" t="n"/>
      <c r="C1428" s="28" t="n"/>
      <c r="D1428" s="28" t="n"/>
      <c r="E1428" s="44" t="n"/>
      <c r="F1428" s="44" t="n"/>
      <c r="G1428" s="23" t="n"/>
      <c r="H1428" s="23" t="n"/>
      <c r="I1428" s="23" t="n"/>
      <c r="J1428" s="23" t="n"/>
      <c r="K1428" s="45">
        <f>IF(A1428="","",SUM(G$2:I1428)-SUM(J$2:J1428))</f>
        <v/>
      </c>
      <c r="L1428" s="46" t="n"/>
      <c r="M1428">
        <f>IF(A1428="","",IF(A1428=A1427,M1427,N(M1427)+1))</f>
        <v/>
      </c>
      <c r="N1428">
        <f>IF(E1428="",99999,E1428)</f>
        <v/>
      </c>
      <c r="O1428">
        <f>IF(E1428="",0,IF(F1428="",E1428,F1428))</f>
        <v/>
      </c>
      <c r="P1428">
        <f>IF(E1428="",1,MAX(1,(YEAR(O1428)-YEAR(N1428))*12+MONTH(O1428)-MONTH(N1428)+1))</f>
        <v/>
      </c>
      <c r="Q1428">
        <f>IF(G1428="",0,G1428/P1428)</f>
        <v/>
      </c>
      <c r="R1428">
        <f>IF(H1428="",0,H1428/P1428)</f>
        <v/>
      </c>
    </row>
    <row r="1429">
      <c r="A1429" s="43" t="n"/>
      <c r="B1429" s="28" t="n"/>
      <c r="C1429" s="28" t="n"/>
      <c r="D1429" s="28" t="n"/>
      <c r="E1429" s="44" t="n"/>
      <c r="F1429" s="44" t="n"/>
      <c r="G1429" s="23" t="n"/>
      <c r="H1429" s="23" t="n"/>
      <c r="I1429" s="23" t="n"/>
      <c r="J1429" s="23" t="n"/>
      <c r="K1429" s="45">
        <f>IF(A1429="","",SUM(G$2:I1429)-SUM(J$2:J1429))</f>
        <v/>
      </c>
      <c r="L1429" s="46" t="n"/>
      <c r="M1429">
        <f>IF(A1429="","",IF(A1429=A1428,M1428,N(M1428)+1))</f>
        <v/>
      </c>
      <c r="N1429">
        <f>IF(E1429="",99999,E1429)</f>
        <v/>
      </c>
      <c r="O1429">
        <f>IF(E1429="",0,IF(F1429="",E1429,F1429))</f>
        <v/>
      </c>
      <c r="P1429">
        <f>IF(E1429="",1,MAX(1,(YEAR(O1429)-YEAR(N1429))*12+MONTH(O1429)-MONTH(N1429)+1))</f>
        <v/>
      </c>
      <c r="Q1429">
        <f>IF(G1429="",0,G1429/P1429)</f>
        <v/>
      </c>
      <c r="R1429">
        <f>IF(H1429="",0,H1429/P1429)</f>
        <v/>
      </c>
    </row>
    <row r="1430">
      <c r="A1430" s="43" t="n"/>
      <c r="B1430" s="28" t="n"/>
      <c r="C1430" s="28" t="n"/>
      <c r="D1430" s="28" t="n"/>
      <c r="E1430" s="44" t="n"/>
      <c r="F1430" s="44" t="n"/>
      <c r="G1430" s="23" t="n"/>
      <c r="H1430" s="23" t="n"/>
      <c r="I1430" s="23" t="n"/>
      <c r="J1430" s="23" t="n"/>
      <c r="K1430" s="45">
        <f>IF(A1430="","",SUM(G$2:I1430)-SUM(J$2:J1430))</f>
        <v/>
      </c>
      <c r="L1430" s="46" t="n"/>
      <c r="M1430">
        <f>IF(A1430="","",IF(A1430=A1429,M1429,N(M1429)+1))</f>
        <v/>
      </c>
      <c r="N1430">
        <f>IF(E1430="",99999,E1430)</f>
        <v/>
      </c>
      <c r="O1430">
        <f>IF(E1430="",0,IF(F1430="",E1430,F1430))</f>
        <v/>
      </c>
      <c r="P1430">
        <f>IF(E1430="",1,MAX(1,(YEAR(O1430)-YEAR(N1430))*12+MONTH(O1430)-MONTH(N1430)+1))</f>
        <v/>
      </c>
      <c r="Q1430">
        <f>IF(G1430="",0,G1430/P1430)</f>
        <v/>
      </c>
      <c r="R1430">
        <f>IF(H1430="",0,H1430/P1430)</f>
        <v/>
      </c>
    </row>
    <row r="1431">
      <c r="A1431" s="43" t="n"/>
      <c r="B1431" s="28" t="n"/>
      <c r="C1431" s="28" t="n"/>
      <c r="D1431" s="28" t="n"/>
      <c r="E1431" s="44" t="n"/>
      <c r="F1431" s="44" t="n"/>
      <c r="G1431" s="23" t="n"/>
      <c r="H1431" s="23" t="n"/>
      <c r="I1431" s="23" t="n"/>
      <c r="J1431" s="23" t="n"/>
      <c r="K1431" s="45">
        <f>IF(A1431="","",SUM(G$2:I1431)-SUM(J$2:J1431))</f>
        <v/>
      </c>
      <c r="L1431" s="46" t="n"/>
      <c r="M1431">
        <f>IF(A1431="","",IF(A1431=A1430,M1430,N(M1430)+1))</f>
        <v/>
      </c>
      <c r="N1431">
        <f>IF(E1431="",99999,E1431)</f>
        <v/>
      </c>
      <c r="O1431">
        <f>IF(E1431="",0,IF(F1431="",E1431,F1431))</f>
        <v/>
      </c>
      <c r="P1431">
        <f>IF(E1431="",1,MAX(1,(YEAR(O1431)-YEAR(N1431))*12+MONTH(O1431)-MONTH(N1431)+1))</f>
        <v/>
      </c>
      <c r="Q1431">
        <f>IF(G1431="",0,G1431/P1431)</f>
        <v/>
      </c>
      <c r="R1431">
        <f>IF(H1431="",0,H1431/P1431)</f>
        <v/>
      </c>
    </row>
    <row r="1432">
      <c r="A1432" s="43" t="n"/>
      <c r="B1432" s="28" t="n"/>
      <c r="C1432" s="28" t="n"/>
      <c r="D1432" s="28" t="n"/>
      <c r="E1432" s="44" t="n"/>
      <c r="F1432" s="44" t="n"/>
      <c r="G1432" s="23" t="n"/>
      <c r="H1432" s="23" t="n"/>
      <c r="I1432" s="23" t="n"/>
      <c r="J1432" s="23" t="n"/>
      <c r="K1432" s="45">
        <f>IF(A1432="","",SUM(G$2:I1432)-SUM(J$2:J1432))</f>
        <v/>
      </c>
      <c r="L1432" s="46" t="n"/>
      <c r="M1432">
        <f>IF(A1432="","",IF(A1432=A1431,M1431,N(M1431)+1))</f>
        <v/>
      </c>
      <c r="N1432">
        <f>IF(E1432="",99999,E1432)</f>
        <v/>
      </c>
      <c r="O1432">
        <f>IF(E1432="",0,IF(F1432="",E1432,F1432))</f>
        <v/>
      </c>
      <c r="P1432">
        <f>IF(E1432="",1,MAX(1,(YEAR(O1432)-YEAR(N1432))*12+MONTH(O1432)-MONTH(N1432)+1))</f>
        <v/>
      </c>
      <c r="Q1432">
        <f>IF(G1432="",0,G1432/P1432)</f>
        <v/>
      </c>
      <c r="R1432">
        <f>IF(H1432="",0,H1432/P1432)</f>
        <v/>
      </c>
    </row>
    <row r="1433">
      <c r="A1433" s="43" t="n"/>
      <c r="B1433" s="28" t="n"/>
      <c r="C1433" s="28" t="n"/>
      <c r="D1433" s="28" t="n"/>
      <c r="E1433" s="44" t="n"/>
      <c r="F1433" s="44" t="n"/>
      <c r="G1433" s="23" t="n"/>
      <c r="H1433" s="23" t="n"/>
      <c r="I1433" s="23" t="n"/>
      <c r="J1433" s="23" t="n"/>
      <c r="K1433" s="45">
        <f>IF(A1433="","",SUM(G$2:I1433)-SUM(J$2:J1433))</f>
        <v/>
      </c>
      <c r="L1433" s="46" t="n"/>
      <c r="M1433">
        <f>IF(A1433="","",IF(A1433=A1432,M1432,N(M1432)+1))</f>
        <v/>
      </c>
      <c r="N1433">
        <f>IF(E1433="",99999,E1433)</f>
        <v/>
      </c>
      <c r="O1433">
        <f>IF(E1433="",0,IF(F1433="",E1433,F1433))</f>
        <v/>
      </c>
      <c r="P1433">
        <f>IF(E1433="",1,MAX(1,(YEAR(O1433)-YEAR(N1433))*12+MONTH(O1433)-MONTH(N1433)+1))</f>
        <v/>
      </c>
      <c r="Q1433">
        <f>IF(G1433="",0,G1433/P1433)</f>
        <v/>
      </c>
      <c r="R1433">
        <f>IF(H1433="",0,H1433/P1433)</f>
        <v/>
      </c>
    </row>
    <row r="1434">
      <c r="A1434" s="43" t="n"/>
      <c r="B1434" s="28" t="n"/>
      <c r="C1434" s="28" t="n"/>
      <c r="D1434" s="28" t="n"/>
      <c r="E1434" s="44" t="n"/>
      <c r="F1434" s="44" t="n"/>
      <c r="G1434" s="23" t="n"/>
      <c r="H1434" s="23" t="n"/>
      <c r="I1434" s="23" t="n"/>
      <c r="J1434" s="23" t="n"/>
      <c r="K1434" s="45">
        <f>IF(A1434="","",SUM(G$2:I1434)-SUM(J$2:J1434))</f>
        <v/>
      </c>
      <c r="L1434" s="46" t="n"/>
      <c r="M1434">
        <f>IF(A1434="","",IF(A1434=A1433,M1433,N(M1433)+1))</f>
        <v/>
      </c>
      <c r="N1434">
        <f>IF(E1434="",99999,E1434)</f>
        <v/>
      </c>
      <c r="O1434">
        <f>IF(E1434="",0,IF(F1434="",E1434,F1434))</f>
        <v/>
      </c>
      <c r="P1434">
        <f>IF(E1434="",1,MAX(1,(YEAR(O1434)-YEAR(N1434))*12+MONTH(O1434)-MONTH(N1434)+1))</f>
        <v/>
      </c>
      <c r="Q1434">
        <f>IF(G1434="",0,G1434/P1434)</f>
        <v/>
      </c>
      <c r="R1434">
        <f>IF(H1434="",0,H1434/P1434)</f>
        <v/>
      </c>
    </row>
    <row r="1435">
      <c r="A1435" s="43" t="n"/>
      <c r="B1435" s="28" t="n"/>
      <c r="C1435" s="28" t="n"/>
      <c r="D1435" s="28" t="n"/>
      <c r="E1435" s="44" t="n"/>
      <c r="F1435" s="44" t="n"/>
      <c r="G1435" s="23" t="n"/>
      <c r="H1435" s="23" t="n"/>
      <c r="I1435" s="23" t="n"/>
      <c r="J1435" s="23" t="n"/>
      <c r="K1435" s="45">
        <f>IF(A1435="","",SUM(G$2:I1435)-SUM(J$2:J1435))</f>
        <v/>
      </c>
      <c r="L1435" s="46" t="n"/>
      <c r="M1435">
        <f>IF(A1435="","",IF(A1435=A1434,M1434,N(M1434)+1))</f>
        <v/>
      </c>
      <c r="N1435">
        <f>IF(E1435="",99999,E1435)</f>
        <v/>
      </c>
      <c r="O1435">
        <f>IF(E1435="",0,IF(F1435="",E1435,F1435))</f>
        <v/>
      </c>
      <c r="P1435">
        <f>IF(E1435="",1,MAX(1,(YEAR(O1435)-YEAR(N1435))*12+MONTH(O1435)-MONTH(N1435)+1))</f>
        <v/>
      </c>
      <c r="Q1435">
        <f>IF(G1435="",0,G1435/P1435)</f>
        <v/>
      </c>
      <c r="R1435">
        <f>IF(H1435="",0,H1435/P1435)</f>
        <v/>
      </c>
    </row>
    <row r="1436">
      <c r="A1436" s="43" t="n"/>
      <c r="B1436" s="28" t="n"/>
      <c r="C1436" s="28" t="n"/>
      <c r="D1436" s="28" t="n"/>
      <c r="E1436" s="44" t="n"/>
      <c r="F1436" s="44" t="n"/>
      <c r="G1436" s="23" t="n"/>
      <c r="H1436" s="23" t="n"/>
      <c r="I1436" s="23" t="n"/>
      <c r="J1436" s="23" t="n"/>
      <c r="K1436" s="45">
        <f>IF(A1436="","",SUM(G$2:I1436)-SUM(J$2:J1436))</f>
        <v/>
      </c>
      <c r="L1436" s="46" t="n"/>
      <c r="M1436">
        <f>IF(A1436="","",IF(A1436=A1435,M1435,N(M1435)+1))</f>
        <v/>
      </c>
      <c r="N1436">
        <f>IF(E1436="",99999,E1436)</f>
        <v/>
      </c>
      <c r="O1436">
        <f>IF(E1436="",0,IF(F1436="",E1436,F1436))</f>
        <v/>
      </c>
      <c r="P1436">
        <f>IF(E1436="",1,MAX(1,(YEAR(O1436)-YEAR(N1436))*12+MONTH(O1436)-MONTH(N1436)+1))</f>
        <v/>
      </c>
      <c r="Q1436">
        <f>IF(G1436="",0,G1436/P1436)</f>
        <v/>
      </c>
      <c r="R1436">
        <f>IF(H1436="",0,H1436/P1436)</f>
        <v/>
      </c>
    </row>
    <row r="1437">
      <c r="A1437" s="43" t="n"/>
      <c r="B1437" s="28" t="n"/>
      <c r="C1437" s="28" t="n"/>
      <c r="D1437" s="28" t="n"/>
      <c r="E1437" s="44" t="n"/>
      <c r="F1437" s="44" t="n"/>
      <c r="G1437" s="23" t="n"/>
      <c r="H1437" s="23" t="n"/>
      <c r="I1437" s="23" t="n"/>
      <c r="J1437" s="23" t="n"/>
      <c r="K1437" s="45">
        <f>IF(A1437="","",SUM(G$2:I1437)-SUM(J$2:J1437))</f>
        <v/>
      </c>
      <c r="L1437" s="46" t="n"/>
      <c r="M1437">
        <f>IF(A1437="","",IF(A1437=A1436,M1436,N(M1436)+1))</f>
        <v/>
      </c>
      <c r="N1437">
        <f>IF(E1437="",99999,E1437)</f>
        <v/>
      </c>
      <c r="O1437">
        <f>IF(E1437="",0,IF(F1437="",E1437,F1437))</f>
        <v/>
      </c>
      <c r="P1437">
        <f>IF(E1437="",1,MAX(1,(YEAR(O1437)-YEAR(N1437))*12+MONTH(O1437)-MONTH(N1437)+1))</f>
        <v/>
      </c>
      <c r="Q1437">
        <f>IF(G1437="",0,G1437/P1437)</f>
        <v/>
      </c>
      <c r="R1437">
        <f>IF(H1437="",0,H1437/P1437)</f>
        <v/>
      </c>
    </row>
    <row r="1438">
      <c r="A1438" s="43" t="n"/>
      <c r="B1438" s="28" t="n"/>
      <c r="C1438" s="28" t="n"/>
      <c r="D1438" s="28" t="n"/>
      <c r="E1438" s="44" t="n"/>
      <c r="F1438" s="44" t="n"/>
      <c r="G1438" s="23" t="n"/>
      <c r="H1438" s="23" t="n"/>
      <c r="I1438" s="23" t="n"/>
      <c r="J1438" s="23" t="n"/>
      <c r="K1438" s="45">
        <f>IF(A1438="","",SUM(G$2:I1438)-SUM(J$2:J1438))</f>
        <v/>
      </c>
      <c r="L1438" s="46" t="n"/>
      <c r="M1438">
        <f>IF(A1438="","",IF(A1438=A1437,M1437,N(M1437)+1))</f>
        <v/>
      </c>
      <c r="N1438">
        <f>IF(E1438="",99999,E1438)</f>
        <v/>
      </c>
      <c r="O1438">
        <f>IF(E1438="",0,IF(F1438="",E1438,F1438))</f>
        <v/>
      </c>
      <c r="P1438">
        <f>IF(E1438="",1,MAX(1,(YEAR(O1438)-YEAR(N1438))*12+MONTH(O1438)-MONTH(N1438)+1))</f>
        <v/>
      </c>
      <c r="Q1438">
        <f>IF(G1438="",0,G1438/P1438)</f>
        <v/>
      </c>
      <c r="R1438">
        <f>IF(H1438="",0,H1438/P1438)</f>
        <v/>
      </c>
    </row>
    <row r="1439">
      <c r="A1439" s="43" t="n"/>
      <c r="B1439" s="28" t="n"/>
      <c r="C1439" s="28" t="n"/>
      <c r="D1439" s="28" t="n"/>
      <c r="E1439" s="44" t="n"/>
      <c r="F1439" s="44" t="n"/>
      <c r="G1439" s="23" t="n"/>
      <c r="H1439" s="23" t="n"/>
      <c r="I1439" s="23" t="n"/>
      <c r="J1439" s="23" t="n"/>
      <c r="K1439" s="45">
        <f>IF(A1439="","",SUM(G$2:I1439)-SUM(J$2:J1439))</f>
        <v/>
      </c>
      <c r="L1439" s="46" t="n"/>
      <c r="M1439">
        <f>IF(A1439="","",IF(A1439=A1438,M1438,N(M1438)+1))</f>
        <v/>
      </c>
      <c r="N1439">
        <f>IF(E1439="",99999,E1439)</f>
        <v/>
      </c>
      <c r="O1439">
        <f>IF(E1439="",0,IF(F1439="",E1439,F1439))</f>
        <v/>
      </c>
      <c r="P1439">
        <f>IF(E1439="",1,MAX(1,(YEAR(O1439)-YEAR(N1439))*12+MONTH(O1439)-MONTH(N1439)+1))</f>
        <v/>
      </c>
      <c r="Q1439">
        <f>IF(G1439="",0,G1439/P1439)</f>
        <v/>
      </c>
      <c r="R1439">
        <f>IF(H1439="",0,H1439/P1439)</f>
        <v/>
      </c>
    </row>
    <row r="1440">
      <c r="A1440" s="43" t="n"/>
      <c r="B1440" s="28" t="n"/>
      <c r="C1440" s="28" t="n"/>
      <c r="D1440" s="28" t="n"/>
      <c r="E1440" s="44" t="n"/>
      <c r="F1440" s="44" t="n"/>
      <c r="G1440" s="23" t="n"/>
      <c r="H1440" s="23" t="n"/>
      <c r="I1440" s="23" t="n"/>
      <c r="J1440" s="23" t="n"/>
      <c r="K1440" s="45">
        <f>IF(A1440="","",SUM(G$2:I1440)-SUM(J$2:J1440))</f>
        <v/>
      </c>
      <c r="L1440" s="46" t="n"/>
      <c r="M1440">
        <f>IF(A1440="","",IF(A1440=A1439,M1439,N(M1439)+1))</f>
        <v/>
      </c>
      <c r="N1440">
        <f>IF(E1440="",99999,E1440)</f>
        <v/>
      </c>
      <c r="O1440">
        <f>IF(E1440="",0,IF(F1440="",E1440,F1440))</f>
        <v/>
      </c>
      <c r="P1440">
        <f>IF(E1440="",1,MAX(1,(YEAR(O1440)-YEAR(N1440))*12+MONTH(O1440)-MONTH(N1440)+1))</f>
        <v/>
      </c>
      <c r="Q1440">
        <f>IF(G1440="",0,G1440/P1440)</f>
        <v/>
      </c>
      <c r="R1440">
        <f>IF(H1440="",0,H1440/P1440)</f>
        <v/>
      </c>
    </row>
    <row r="1441">
      <c r="A1441" s="43" t="n"/>
      <c r="B1441" s="28" t="n"/>
      <c r="C1441" s="28" t="n"/>
      <c r="D1441" s="28" t="n"/>
      <c r="E1441" s="44" t="n"/>
      <c r="F1441" s="44" t="n"/>
      <c r="G1441" s="23" t="n"/>
      <c r="H1441" s="23" t="n"/>
      <c r="I1441" s="23" t="n"/>
      <c r="J1441" s="23" t="n"/>
      <c r="K1441" s="45">
        <f>IF(A1441="","",SUM(G$2:I1441)-SUM(J$2:J1441))</f>
        <v/>
      </c>
      <c r="L1441" s="46" t="n"/>
      <c r="M1441">
        <f>IF(A1441="","",IF(A1441=A1440,M1440,N(M1440)+1))</f>
        <v/>
      </c>
      <c r="N1441">
        <f>IF(E1441="",99999,E1441)</f>
        <v/>
      </c>
      <c r="O1441">
        <f>IF(E1441="",0,IF(F1441="",E1441,F1441))</f>
        <v/>
      </c>
      <c r="P1441">
        <f>IF(E1441="",1,MAX(1,(YEAR(O1441)-YEAR(N1441))*12+MONTH(O1441)-MONTH(N1441)+1))</f>
        <v/>
      </c>
      <c r="Q1441">
        <f>IF(G1441="",0,G1441/P1441)</f>
        <v/>
      </c>
      <c r="R1441">
        <f>IF(H1441="",0,H1441/P1441)</f>
        <v/>
      </c>
    </row>
    <row r="1442">
      <c r="A1442" s="43" t="n"/>
      <c r="B1442" s="28" t="n"/>
      <c r="C1442" s="28" t="n"/>
      <c r="D1442" s="28" t="n"/>
      <c r="E1442" s="44" t="n"/>
      <c r="F1442" s="44" t="n"/>
      <c r="G1442" s="23" t="n"/>
      <c r="H1442" s="23" t="n"/>
      <c r="I1442" s="23" t="n"/>
      <c r="J1442" s="23" t="n"/>
      <c r="K1442" s="45">
        <f>IF(A1442="","",SUM(G$2:I1442)-SUM(J$2:J1442))</f>
        <v/>
      </c>
      <c r="L1442" s="46" t="n"/>
      <c r="M1442">
        <f>IF(A1442="","",IF(A1442=A1441,M1441,N(M1441)+1))</f>
        <v/>
      </c>
      <c r="N1442">
        <f>IF(E1442="",99999,E1442)</f>
        <v/>
      </c>
      <c r="O1442">
        <f>IF(E1442="",0,IF(F1442="",E1442,F1442))</f>
        <v/>
      </c>
      <c r="P1442">
        <f>IF(E1442="",1,MAX(1,(YEAR(O1442)-YEAR(N1442))*12+MONTH(O1442)-MONTH(N1442)+1))</f>
        <v/>
      </c>
      <c r="Q1442">
        <f>IF(G1442="",0,G1442/P1442)</f>
        <v/>
      </c>
      <c r="R1442">
        <f>IF(H1442="",0,H1442/P1442)</f>
        <v/>
      </c>
    </row>
    <row r="1443">
      <c r="A1443" s="43" t="n"/>
      <c r="B1443" s="28" t="n"/>
      <c r="C1443" s="28" t="n"/>
      <c r="D1443" s="28" t="n"/>
      <c r="E1443" s="44" t="n"/>
      <c r="F1443" s="44" t="n"/>
      <c r="G1443" s="23" t="n"/>
      <c r="H1443" s="23" t="n"/>
      <c r="I1443" s="23" t="n"/>
      <c r="J1443" s="23" t="n"/>
      <c r="K1443" s="45">
        <f>IF(A1443="","",SUM(G$2:I1443)-SUM(J$2:J1443))</f>
        <v/>
      </c>
      <c r="L1443" s="46" t="n"/>
      <c r="M1443">
        <f>IF(A1443="","",IF(A1443=A1442,M1442,N(M1442)+1))</f>
        <v/>
      </c>
      <c r="N1443">
        <f>IF(E1443="",99999,E1443)</f>
        <v/>
      </c>
      <c r="O1443">
        <f>IF(E1443="",0,IF(F1443="",E1443,F1443))</f>
        <v/>
      </c>
      <c r="P1443">
        <f>IF(E1443="",1,MAX(1,(YEAR(O1443)-YEAR(N1443))*12+MONTH(O1443)-MONTH(N1443)+1))</f>
        <v/>
      </c>
      <c r="Q1443">
        <f>IF(G1443="",0,G1443/P1443)</f>
        <v/>
      </c>
      <c r="R1443">
        <f>IF(H1443="",0,H1443/P1443)</f>
        <v/>
      </c>
    </row>
    <row r="1444">
      <c r="A1444" s="43" t="n"/>
      <c r="B1444" s="28" t="n"/>
      <c r="C1444" s="28" t="n"/>
      <c r="D1444" s="28" t="n"/>
      <c r="E1444" s="44" t="n"/>
      <c r="F1444" s="44" t="n"/>
      <c r="G1444" s="23" t="n"/>
      <c r="H1444" s="23" t="n"/>
      <c r="I1444" s="23" t="n"/>
      <c r="J1444" s="23" t="n"/>
      <c r="K1444" s="45">
        <f>IF(A1444="","",SUM(G$2:I1444)-SUM(J$2:J1444))</f>
        <v/>
      </c>
      <c r="L1444" s="46" t="n"/>
      <c r="M1444">
        <f>IF(A1444="","",IF(A1444=A1443,M1443,N(M1443)+1))</f>
        <v/>
      </c>
      <c r="N1444">
        <f>IF(E1444="",99999,E1444)</f>
        <v/>
      </c>
      <c r="O1444">
        <f>IF(E1444="",0,IF(F1444="",E1444,F1444))</f>
        <v/>
      </c>
      <c r="P1444">
        <f>IF(E1444="",1,MAX(1,(YEAR(O1444)-YEAR(N1444))*12+MONTH(O1444)-MONTH(N1444)+1))</f>
        <v/>
      </c>
      <c r="Q1444">
        <f>IF(G1444="",0,G1444/P1444)</f>
        <v/>
      </c>
      <c r="R1444">
        <f>IF(H1444="",0,H1444/P1444)</f>
        <v/>
      </c>
    </row>
    <row r="1445">
      <c r="A1445" s="43" t="n"/>
      <c r="B1445" s="28" t="n"/>
      <c r="C1445" s="28" t="n"/>
      <c r="D1445" s="28" t="n"/>
      <c r="E1445" s="44" t="n"/>
      <c r="F1445" s="44" t="n"/>
      <c r="G1445" s="23" t="n"/>
      <c r="H1445" s="23" t="n"/>
      <c r="I1445" s="23" t="n"/>
      <c r="J1445" s="23" t="n"/>
      <c r="K1445" s="45">
        <f>IF(A1445="","",SUM(G$2:I1445)-SUM(J$2:J1445))</f>
        <v/>
      </c>
      <c r="L1445" s="46" t="n"/>
      <c r="M1445">
        <f>IF(A1445="","",IF(A1445=A1444,M1444,N(M1444)+1))</f>
        <v/>
      </c>
      <c r="N1445">
        <f>IF(E1445="",99999,E1445)</f>
        <v/>
      </c>
      <c r="O1445">
        <f>IF(E1445="",0,IF(F1445="",E1445,F1445))</f>
        <v/>
      </c>
      <c r="P1445">
        <f>IF(E1445="",1,MAX(1,(YEAR(O1445)-YEAR(N1445))*12+MONTH(O1445)-MONTH(N1445)+1))</f>
        <v/>
      </c>
      <c r="Q1445">
        <f>IF(G1445="",0,G1445/P1445)</f>
        <v/>
      </c>
      <c r="R1445">
        <f>IF(H1445="",0,H1445/P1445)</f>
        <v/>
      </c>
    </row>
    <row r="1446">
      <c r="A1446" s="43" t="n"/>
      <c r="B1446" s="28" t="n"/>
      <c r="C1446" s="28" t="n"/>
      <c r="D1446" s="28" t="n"/>
      <c r="E1446" s="44" t="n"/>
      <c r="F1446" s="44" t="n"/>
      <c r="G1446" s="23" t="n"/>
      <c r="H1446" s="23" t="n"/>
      <c r="I1446" s="23" t="n"/>
      <c r="J1446" s="23" t="n"/>
      <c r="K1446" s="45">
        <f>IF(A1446="","",SUM(G$2:I1446)-SUM(J$2:J1446))</f>
        <v/>
      </c>
      <c r="L1446" s="46" t="n"/>
      <c r="M1446">
        <f>IF(A1446="","",IF(A1446=A1445,M1445,N(M1445)+1))</f>
        <v/>
      </c>
      <c r="N1446">
        <f>IF(E1446="",99999,E1446)</f>
        <v/>
      </c>
      <c r="O1446">
        <f>IF(E1446="",0,IF(F1446="",E1446,F1446))</f>
        <v/>
      </c>
      <c r="P1446">
        <f>IF(E1446="",1,MAX(1,(YEAR(O1446)-YEAR(N1446))*12+MONTH(O1446)-MONTH(N1446)+1))</f>
        <v/>
      </c>
      <c r="Q1446">
        <f>IF(G1446="",0,G1446/P1446)</f>
        <v/>
      </c>
      <c r="R1446">
        <f>IF(H1446="",0,H1446/P1446)</f>
        <v/>
      </c>
    </row>
    <row r="1447">
      <c r="A1447" s="43" t="n"/>
      <c r="B1447" s="28" t="n"/>
      <c r="C1447" s="28" t="n"/>
      <c r="D1447" s="28" t="n"/>
      <c r="E1447" s="44" t="n"/>
      <c r="F1447" s="44" t="n"/>
      <c r="G1447" s="23" t="n"/>
      <c r="H1447" s="23" t="n"/>
      <c r="I1447" s="23" t="n"/>
      <c r="J1447" s="23" t="n"/>
      <c r="K1447" s="45">
        <f>IF(A1447="","",SUM(G$2:I1447)-SUM(J$2:J1447))</f>
        <v/>
      </c>
      <c r="L1447" s="46" t="n"/>
      <c r="M1447">
        <f>IF(A1447="","",IF(A1447=A1446,M1446,N(M1446)+1))</f>
        <v/>
      </c>
      <c r="N1447">
        <f>IF(E1447="",99999,E1447)</f>
        <v/>
      </c>
      <c r="O1447">
        <f>IF(E1447="",0,IF(F1447="",E1447,F1447))</f>
        <v/>
      </c>
      <c r="P1447">
        <f>IF(E1447="",1,MAX(1,(YEAR(O1447)-YEAR(N1447))*12+MONTH(O1447)-MONTH(N1447)+1))</f>
        <v/>
      </c>
      <c r="Q1447">
        <f>IF(G1447="",0,G1447/P1447)</f>
        <v/>
      </c>
      <c r="R1447">
        <f>IF(H1447="",0,H1447/P1447)</f>
        <v/>
      </c>
    </row>
    <row r="1448">
      <c r="A1448" s="43" t="n"/>
      <c r="B1448" s="28" t="n"/>
      <c r="C1448" s="28" t="n"/>
      <c r="D1448" s="28" t="n"/>
      <c r="E1448" s="44" t="n"/>
      <c r="F1448" s="44" t="n"/>
      <c r="G1448" s="23" t="n"/>
      <c r="H1448" s="23" t="n"/>
      <c r="I1448" s="23" t="n"/>
      <c r="J1448" s="23" t="n"/>
      <c r="K1448" s="45">
        <f>IF(A1448="","",SUM(G$2:I1448)-SUM(J$2:J1448))</f>
        <v/>
      </c>
      <c r="L1448" s="46" t="n"/>
      <c r="M1448">
        <f>IF(A1448="","",IF(A1448=A1447,M1447,N(M1447)+1))</f>
        <v/>
      </c>
      <c r="N1448">
        <f>IF(E1448="",99999,E1448)</f>
        <v/>
      </c>
      <c r="O1448">
        <f>IF(E1448="",0,IF(F1448="",E1448,F1448))</f>
        <v/>
      </c>
      <c r="P1448">
        <f>IF(E1448="",1,MAX(1,(YEAR(O1448)-YEAR(N1448))*12+MONTH(O1448)-MONTH(N1448)+1))</f>
        <v/>
      </c>
      <c r="Q1448">
        <f>IF(G1448="",0,G1448/P1448)</f>
        <v/>
      </c>
      <c r="R1448">
        <f>IF(H1448="",0,H1448/P1448)</f>
        <v/>
      </c>
    </row>
    <row r="1449">
      <c r="A1449" s="43" t="n"/>
      <c r="B1449" s="28" t="n"/>
      <c r="C1449" s="28" t="n"/>
      <c r="D1449" s="28" t="n"/>
      <c r="E1449" s="44" t="n"/>
      <c r="F1449" s="44" t="n"/>
      <c r="G1449" s="23" t="n"/>
      <c r="H1449" s="23" t="n"/>
      <c r="I1449" s="23" t="n"/>
      <c r="J1449" s="23" t="n"/>
      <c r="K1449" s="45">
        <f>IF(A1449="","",SUM(G$2:I1449)-SUM(J$2:J1449))</f>
        <v/>
      </c>
      <c r="L1449" s="46" t="n"/>
      <c r="M1449">
        <f>IF(A1449="","",IF(A1449=A1448,M1448,N(M1448)+1))</f>
        <v/>
      </c>
      <c r="N1449">
        <f>IF(E1449="",99999,E1449)</f>
        <v/>
      </c>
      <c r="O1449">
        <f>IF(E1449="",0,IF(F1449="",E1449,F1449))</f>
        <v/>
      </c>
      <c r="P1449">
        <f>IF(E1449="",1,MAX(1,(YEAR(O1449)-YEAR(N1449))*12+MONTH(O1449)-MONTH(N1449)+1))</f>
        <v/>
      </c>
      <c r="Q1449">
        <f>IF(G1449="",0,G1449/P1449)</f>
        <v/>
      </c>
      <c r="R1449">
        <f>IF(H1449="",0,H1449/P1449)</f>
        <v/>
      </c>
    </row>
    <row r="1450">
      <c r="A1450" s="43" t="n"/>
      <c r="B1450" s="28" t="n"/>
      <c r="C1450" s="28" t="n"/>
      <c r="D1450" s="28" t="n"/>
      <c r="E1450" s="44" t="n"/>
      <c r="F1450" s="44" t="n"/>
      <c r="G1450" s="23" t="n"/>
      <c r="H1450" s="23" t="n"/>
      <c r="I1450" s="23" t="n"/>
      <c r="J1450" s="23" t="n"/>
      <c r="K1450" s="45">
        <f>IF(A1450="","",SUM(G$2:I1450)-SUM(J$2:J1450))</f>
        <v/>
      </c>
      <c r="L1450" s="46" t="n"/>
      <c r="M1450">
        <f>IF(A1450="","",IF(A1450=A1449,M1449,N(M1449)+1))</f>
        <v/>
      </c>
      <c r="N1450">
        <f>IF(E1450="",99999,E1450)</f>
        <v/>
      </c>
      <c r="O1450">
        <f>IF(E1450="",0,IF(F1450="",E1450,F1450))</f>
        <v/>
      </c>
      <c r="P1450">
        <f>IF(E1450="",1,MAX(1,(YEAR(O1450)-YEAR(N1450))*12+MONTH(O1450)-MONTH(N1450)+1))</f>
        <v/>
      </c>
      <c r="Q1450">
        <f>IF(G1450="",0,G1450/P1450)</f>
        <v/>
      </c>
      <c r="R1450">
        <f>IF(H1450="",0,H1450/P1450)</f>
        <v/>
      </c>
    </row>
    <row r="1451">
      <c r="A1451" s="43" t="n"/>
      <c r="B1451" s="28" t="n"/>
      <c r="C1451" s="28" t="n"/>
      <c r="D1451" s="28" t="n"/>
      <c r="E1451" s="44" t="n"/>
      <c r="F1451" s="44" t="n"/>
      <c r="G1451" s="23" t="n"/>
      <c r="H1451" s="23" t="n"/>
      <c r="I1451" s="23" t="n"/>
      <c r="J1451" s="23" t="n"/>
      <c r="K1451" s="45">
        <f>IF(A1451="","",SUM(G$2:I1451)-SUM(J$2:J1451))</f>
        <v/>
      </c>
      <c r="L1451" s="46" t="n"/>
      <c r="M1451">
        <f>IF(A1451="","",IF(A1451=A1450,M1450,N(M1450)+1))</f>
        <v/>
      </c>
      <c r="N1451">
        <f>IF(E1451="",99999,E1451)</f>
        <v/>
      </c>
      <c r="O1451">
        <f>IF(E1451="",0,IF(F1451="",E1451,F1451))</f>
        <v/>
      </c>
      <c r="P1451">
        <f>IF(E1451="",1,MAX(1,(YEAR(O1451)-YEAR(N1451))*12+MONTH(O1451)-MONTH(N1451)+1))</f>
        <v/>
      </c>
      <c r="Q1451">
        <f>IF(G1451="",0,G1451/P1451)</f>
        <v/>
      </c>
      <c r="R1451">
        <f>IF(H1451="",0,H1451/P1451)</f>
        <v/>
      </c>
    </row>
    <row r="1452">
      <c r="A1452" s="43" t="n"/>
      <c r="B1452" s="28" t="n"/>
      <c r="C1452" s="28" t="n"/>
      <c r="D1452" s="28" t="n"/>
      <c r="E1452" s="44" t="n"/>
      <c r="F1452" s="44" t="n"/>
      <c r="G1452" s="23" t="n"/>
      <c r="H1452" s="23" t="n"/>
      <c r="I1452" s="23" t="n"/>
      <c r="J1452" s="23" t="n"/>
      <c r="K1452" s="45">
        <f>IF(A1452="","",SUM(G$2:I1452)-SUM(J$2:J1452))</f>
        <v/>
      </c>
      <c r="L1452" s="46" t="n"/>
      <c r="M1452">
        <f>IF(A1452="","",IF(A1452=A1451,M1451,N(M1451)+1))</f>
        <v/>
      </c>
      <c r="N1452">
        <f>IF(E1452="",99999,E1452)</f>
        <v/>
      </c>
      <c r="O1452">
        <f>IF(E1452="",0,IF(F1452="",E1452,F1452))</f>
        <v/>
      </c>
      <c r="P1452">
        <f>IF(E1452="",1,MAX(1,(YEAR(O1452)-YEAR(N1452))*12+MONTH(O1452)-MONTH(N1452)+1))</f>
        <v/>
      </c>
      <c r="Q1452">
        <f>IF(G1452="",0,G1452/P1452)</f>
        <v/>
      </c>
      <c r="R1452">
        <f>IF(H1452="",0,H1452/P1452)</f>
        <v/>
      </c>
    </row>
    <row r="1453">
      <c r="A1453" s="43" t="n"/>
      <c r="B1453" s="28" t="n"/>
      <c r="C1453" s="28" t="n"/>
      <c r="D1453" s="28" t="n"/>
      <c r="E1453" s="44" t="n"/>
      <c r="F1453" s="44" t="n"/>
      <c r="G1453" s="23" t="n"/>
      <c r="H1453" s="23" t="n"/>
      <c r="I1453" s="23" t="n"/>
      <c r="J1453" s="23" t="n"/>
      <c r="K1453" s="45">
        <f>IF(A1453="","",SUM(G$2:I1453)-SUM(J$2:J1453))</f>
        <v/>
      </c>
      <c r="L1453" s="46" t="n"/>
      <c r="M1453">
        <f>IF(A1453="","",IF(A1453=A1452,M1452,N(M1452)+1))</f>
        <v/>
      </c>
      <c r="N1453">
        <f>IF(E1453="",99999,E1453)</f>
        <v/>
      </c>
      <c r="O1453">
        <f>IF(E1453="",0,IF(F1453="",E1453,F1453))</f>
        <v/>
      </c>
      <c r="P1453">
        <f>IF(E1453="",1,MAX(1,(YEAR(O1453)-YEAR(N1453))*12+MONTH(O1453)-MONTH(N1453)+1))</f>
        <v/>
      </c>
      <c r="Q1453">
        <f>IF(G1453="",0,G1453/P1453)</f>
        <v/>
      </c>
      <c r="R1453">
        <f>IF(H1453="",0,H1453/P1453)</f>
        <v/>
      </c>
    </row>
    <row r="1454">
      <c r="A1454" s="43" t="n"/>
      <c r="B1454" s="28" t="n"/>
      <c r="C1454" s="28" t="n"/>
      <c r="D1454" s="28" t="n"/>
      <c r="E1454" s="44" t="n"/>
      <c r="F1454" s="44" t="n"/>
      <c r="G1454" s="23" t="n"/>
      <c r="H1454" s="23" t="n"/>
      <c r="I1454" s="23" t="n"/>
      <c r="J1454" s="23" t="n"/>
      <c r="K1454" s="45">
        <f>IF(A1454="","",SUM(G$2:I1454)-SUM(J$2:J1454))</f>
        <v/>
      </c>
      <c r="L1454" s="46" t="n"/>
      <c r="M1454">
        <f>IF(A1454="","",IF(A1454=A1453,M1453,N(M1453)+1))</f>
        <v/>
      </c>
      <c r="N1454">
        <f>IF(E1454="",99999,E1454)</f>
        <v/>
      </c>
      <c r="O1454">
        <f>IF(E1454="",0,IF(F1454="",E1454,F1454))</f>
        <v/>
      </c>
      <c r="P1454">
        <f>IF(E1454="",1,MAX(1,(YEAR(O1454)-YEAR(N1454))*12+MONTH(O1454)-MONTH(N1454)+1))</f>
        <v/>
      </c>
      <c r="Q1454">
        <f>IF(G1454="",0,G1454/P1454)</f>
        <v/>
      </c>
      <c r="R1454">
        <f>IF(H1454="",0,H1454/P1454)</f>
        <v/>
      </c>
    </row>
    <row r="1455">
      <c r="A1455" s="43" t="n"/>
      <c r="B1455" s="28" t="n"/>
      <c r="C1455" s="28" t="n"/>
      <c r="D1455" s="28" t="n"/>
      <c r="E1455" s="44" t="n"/>
      <c r="F1455" s="44" t="n"/>
      <c r="G1455" s="23" t="n"/>
      <c r="H1455" s="23" t="n"/>
      <c r="I1455" s="23" t="n"/>
      <c r="J1455" s="23" t="n"/>
      <c r="K1455" s="45">
        <f>IF(A1455="","",SUM(G$2:I1455)-SUM(J$2:J1455))</f>
        <v/>
      </c>
      <c r="L1455" s="46" t="n"/>
      <c r="M1455">
        <f>IF(A1455="","",IF(A1455=A1454,M1454,N(M1454)+1))</f>
        <v/>
      </c>
      <c r="N1455">
        <f>IF(E1455="",99999,E1455)</f>
        <v/>
      </c>
      <c r="O1455">
        <f>IF(E1455="",0,IF(F1455="",E1455,F1455))</f>
        <v/>
      </c>
      <c r="P1455">
        <f>IF(E1455="",1,MAX(1,(YEAR(O1455)-YEAR(N1455))*12+MONTH(O1455)-MONTH(N1455)+1))</f>
        <v/>
      </c>
      <c r="Q1455">
        <f>IF(G1455="",0,G1455/P1455)</f>
        <v/>
      </c>
      <c r="R1455">
        <f>IF(H1455="",0,H1455/P1455)</f>
        <v/>
      </c>
    </row>
    <row r="1456">
      <c r="A1456" s="43" t="n"/>
      <c r="B1456" s="28" t="n"/>
      <c r="C1456" s="28" t="n"/>
      <c r="D1456" s="28" t="n"/>
      <c r="E1456" s="44" t="n"/>
      <c r="F1456" s="44" t="n"/>
      <c r="G1456" s="23" t="n"/>
      <c r="H1456" s="23" t="n"/>
      <c r="I1456" s="23" t="n"/>
      <c r="J1456" s="23" t="n"/>
      <c r="K1456" s="45">
        <f>IF(A1456="","",SUM(G$2:I1456)-SUM(J$2:J1456))</f>
        <v/>
      </c>
      <c r="L1456" s="46" t="n"/>
      <c r="M1456">
        <f>IF(A1456="","",IF(A1456=A1455,M1455,N(M1455)+1))</f>
        <v/>
      </c>
      <c r="N1456">
        <f>IF(E1456="",99999,E1456)</f>
        <v/>
      </c>
      <c r="O1456">
        <f>IF(E1456="",0,IF(F1456="",E1456,F1456))</f>
        <v/>
      </c>
      <c r="P1456">
        <f>IF(E1456="",1,MAX(1,(YEAR(O1456)-YEAR(N1456))*12+MONTH(O1456)-MONTH(N1456)+1))</f>
        <v/>
      </c>
      <c r="Q1456">
        <f>IF(G1456="",0,G1456/P1456)</f>
        <v/>
      </c>
      <c r="R1456">
        <f>IF(H1456="",0,H1456/P1456)</f>
        <v/>
      </c>
    </row>
    <row r="1457">
      <c r="A1457" s="43" t="n"/>
      <c r="B1457" s="28" t="n"/>
      <c r="C1457" s="28" t="n"/>
      <c r="D1457" s="28" t="n"/>
      <c r="E1457" s="44" t="n"/>
      <c r="F1457" s="44" t="n"/>
      <c r="G1457" s="23" t="n"/>
      <c r="H1457" s="23" t="n"/>
      <c r="I1457" s="23" t="n"/>
      <c r="J1457" s="23" t="n"/>
      <c r="K1457" s="45">
        <f>IF(A1457="","",SUM(G$2:I1457)-SUM(J$2:J1457))</f>
        <v/>
      </c>
      <c r="L1457" s="46" t="n"/>
      <c r="M1457">
        <f>IF(A1457="","",IF(A1457=A1456,M1456,N(M1456)+1))</f>
        <v/>
      </c>
      <c r="N1457">
        <f>IF(E1457="",99999,E1457)</f>
        <v/>
      </c>
      <c r="O1457">
        <f>IF(E1457="",0,IF(F1457="",E1457,F1457))</f>
        <v/>
      </c>
      <c r="P1457">
        <f>IF(E1457="",1,MAX(1,(YEAR(O1457)-YEAR(N1457))*12+MONTH(O1457)-MONTH(N1457)+1))</f>
        <v/>
      </c>
      <c r="Q1457">
        <f>IF(G1457="",0,G1457/P1457)</f>
        <v/>
      </c>
      <c r="R1457">
        <f>IF(H1457="",0,H1457/P1457)</f>
        <v/>
      </c>
    </row>
    <row r="1458">
      <c r="A1458" s="43" t="n"/>
      <c r="B1458" s="28" t="n"/>
      <c r="C1458" s="28" t="n"/>
      <c r="D1458" s="28" t="n"/>
      <c r="E1458" s="44" t="n"/>
      <c r="F1458" s="44" t="n"/>
      <c r="G1458" s="23" t="n"/>
      <c r="H1458" s="23" t="n"/>
      <c r="I1458" s="23" t="n"/>
      <c r="J1458" s="23" t="n"/>
      <c r="K1458" s="45">
        <f>IF(A1458="","",SUM(G$2:I1458)-SUM(J$2:J1458))</f>
        <v/>
      </c>
      <c r="L1458" s="46" t="n"/>
      <c r="M1458">
        <f>IF(A1458="","",IF(A1458=A1457,M1457,N(M1457)+1))</f>
        <v/>
      </c>
      <c r="N1458">
        <f>IF(E1458="",99999,E1458)</f>
        <v/>
      </c>
      <c r="O1458">
        <f>IF(E1458="",0,IF(F1458="",E1458,F1458))</f>
        <v/>
      </c>
      <c r="P1458">
        <f>IF(E1458="",1,MAX(1,(YEAR(O1458)-YEAR(N1458))*12+MONTH(O1458)-MONTH(N1458)+1))</f>
        <v/>
      </c>
      <c r="Q1458">
        <f>IF(G1458="",0,G1458/P1458)</f>
        <v/>
      </c>
      <c r="R1458">
        <f>IF(H1458="",0,H1458/P1458)</f>
        <v/>
      </c>
    </row>
    <row r="1459">
      <c r="A1459" s="43" t="n"/>
      <c r="B1459" s="28" t="n"/>
      <c r="C1459" s="28" t="n"/>
      <c r="D1459" s="28" t="n"/>
      <c r="E1459" s="44" t="n"/>
      <c r="F1459" s="44" t="n"/>
      <c r="G1459" s="23" t="n"/>
      <c r="H1459" s="23" t="n"/>
      <c r="I1459" s="23" t="n"/>
      <c r="J1459" s="23" t="n"/>
      <c r="K1459" s="45">
        <f>IF(A1459="","",SUM(G$2:I1459)-SUM(J$2:J1459))</f>
        <v/>
      </c>
      <c r="L1459" s="46" t="n"/>
      <c r="M1459">
        <f>IF(A1459="","",IF(A1459=A1458,M1458,N(M1458)+1))</f>
        <v/>
      </c>
      <c r="N1459">
        <f>IF(E1459="",99999,E1459)</f>
        <v/>
      </c>
      <c r="O1459">
        <f>IF(E1459="",0,IF(F1459="",E1459,F1459))</f>
        <v/>
      </c>
      <c r="P1459">
        <f>IF(E1459="",1,MAX(1,(YEAR(O1459)-YEAR(N1459))*12+MONTH(O1459)-MONTH(N1459)+1))</f>
        <v/>
      </c>
      <c r="Q1459">
        <f>IF(G1459="",0,G1459/P1459)</f>
        <v/>
      </c>
      <c r="R1459">
        <f>IF(H1459="",0,H1459/P1459)</f>
        <v/>
      </c>
    </row>
    <row r="1460">
      <c r="A1460" s="43" t="n"/>
      <c r="B1460" s="28" t="n"/>
      <c r="C1460" s="28" t="n"/>
      <c r="D1460" s="28" t="n"/>
      <c r="E1460" s="44" t="n"/>
      <c r="F1460" s="44" t="n"/>
      <c r="G1460" s="23" t="n"/>
      <c r="H1460" s="23" t="n"/>
      <c r="I1460" s="23" t="n"/>
      <c r="J1460" s="23" t="n"/>
      <c r="K1460" s="45">
        <f>IF(A1460="","",SUM(G$2:I1460)-SUM(J$2:J1460))</f>
        <v/>
      </c>
      <c r="L1460" s="46" t="n"/>
      <c r="M1460">
        <f>IF(A1460="","",IF(A1460=A1459,M1459,N(M1459)+1))</f>
        <v/>
      </c>
      <c r="N1460">
        <f>IF(E1460="",99999,E1460)</f>
        <v/>
      </c>
      <c r="O1460">
        <f>IF(E1460="",0,IF(F1460="",E1460,F1460))</f>
        <v/>
      </c>
      <c r="P1460">
        <f>IF(E1460="",1,MAX(1,(YEAR(O1460)-YEAR(N1460))*12+MONTH(O1460)-MONTH(N1460)+1))</f>
        <v/>
      </c>
      <c r="Q1460">
        <f>IF(G1460="",0,G1460/P1460)</f>
        <v/>
      </c>
      <c r="R1460">
        <f>IF(H1460="",0,H1460/P1460)</f>
        <v/>
      </c>
    </row>
    <row r="1461">
      <c r="A1461" s="43" t="n"/>
      <c r="B1461" s="28" t="n"/>
      <c r="C1461" s="28" t="n"/>
      <c r="D1461" s="28" t="n"/>
      <c r="E1461" s="44" t="n"/>
      <c r="F1461" s="44" t="n"/>
      <c r="G1461" s="23" t="n"/>
      <c r="H1461" s="23" t="n"/>
      <c r="I1461" s="23" t="n"/>
      <c r="J1461" s="23" t="n"/>
      <c r="K1461" s="45">
        <f>IF(A1461="","",SUM(G$2:I1461)-SUM(J$2:J1461))</f>
        <v/>
      </c>
      <c r="L1461" s="46" t="n"/>
      <c r="M1461">
        <f>IF(A1461="","",IF(A1461=A1460,M1460,N(M1460)+1))</f>
        <v/>
      </c>
      <c r="N1461">
        <f>IF(E1461="",99999,E1461)</f>
        <v/>
      </c>
      <c r="O1461">
        <f>IF(E1461="",0,IF(F1461="",E1461,F1461))</f>
        <v/>
      </c>
      <c r="P1461">
        <f>IF(E1461="",1,MAX(1,(YEAR(O1461)-YEAR(N1461))*12+MONTH(O1461)-MONTH(N1461)+1))</f>
        <v/>
      </c>
      <c r="Q1461">
        <f>IF(G1461="",0,G1461/P1461)</f>
        <v/>
      </c>
      <c r="R1461">
        <f>IF(H1461="",0,H1461/P1461)</f>
        <v/>
      </c>
    </row>
    <row r="1462">
      <c r="A1462" s="43" t="n"/>
      <c r="B1462" s="28" t="n"/>
      <c r="C1462" s="28" t="n"/>
      <c r="D1462" s="28" t="n"/>
      <c r="E1462" s="44" t="n"/>
      <c r="F1462" s="44" t="n"/>
      <c r="G1462" s="23" t="n"/>
      <c r="H1462" s="23" t="n"/>
      <c r="I1462" s="23" t="n"/>
      <c r="J1462" s="23" t="n"/>
      <c r="K1462" s="45">
        <f>IF(A1462="","",SUM(G$2:I1462)-SUM(J$2:J1462))</f>
        <v/>
      </c>
      <c r="L1462" s="46" t="n"/>
      <c r="M1462">
        <f>IF(A1462="","",IF(A1462=A1461,M1461,N(M1461)+1))</f>
        <v/>
      </c>
      <c r="N1462">
        <f>IF(E1462="",99999,E1462)</f>
        <v/>
      </c>
      <c r="O1462">
        <f>IF(E1462="",0,IF(F1462="",E1462,F1462))</f>
        <v/>
      </c>
      <c r="P1462">
        <f>IF(E1462="",1,MAX(1,(YEAR(O1462)-YEAR(N1462))*12+MONTH(O1462)-MONTH(N1462)+1))</f>
        <v/>
      </c>
      <c r="Q1462">
        <f>IF(G1462="",0,G1462/P1462)</f>
        <v/>
      </c>
      <c r="R1462">
        <f>IF(H1462="",0,H1462/P1462)</f>
        <v/>
      </c>
    </row>
    <row r="1463">
      <c r="A1463" s="43" t="n"/>
      <c r="B1463" s="28" t="n"/>
      <c r="C1463" s="28" t="n"/>
      <c r="D1463" s="28" t="n"/>
      <c r="E1463" s="44" t="n"/>
      <c r="F1463" s="44" t="n"/>
      <c r="G1463" s="23" t="n"/>
      <c r="H1463" s="23" t="n"/>
      <c r="I1463" s="23" t="n"/>
      <c r="J1463" s="23" t="n"/>
      <c r="K1463" s="45">
        <f>IF(A1463="","",SUM(G$2:I1463)-SUM(J$2:J1463))</f>
        <v/>
      </c>
      <c r="L1463" s="46" t="n"/>
      <c r="M1463">
        <f>IF(A1463="","",IF(A1463=A1462,M1462,N(M1462)+1))</f>
        <v/>
      </c>
      <c r="N1463">
        <f>IF(E1463="",99999,E1463)</f>
        <v/>
      </c>
      <c r="O1463">
        <f>IF(E1463="",0,IF(F1463="",E1463,F1463))</f>
        <v/>
      </c>
      <c r="P1463">
        <f>IF(E1463="",1,MAX(1,(YEAR(O1463)-YEAR(N1463))*12+MONTH(O1463)-MONTH(N1463)+1))</f>
        <v/>
      </c>
      <c r="Q1463">
        <f>IF(G1463="",0,G1463/P1463)</f>
        <v/>
      </c>
      <c r="R1463">
        <f>IF(H1463="",0,H1463/P1463)</f>
        <v/>
      </c>
    </row>
    <row r="1464">
      <c r="A1464" s="43" t="n"/>
      <c r="B1464" s="28" t="n"/>
      <c r="C1464" s="28" t="n"/>
      <c r="D1464" s="28" t="n"/>
      <c r="E1464" s="44" t="n"/>
      <c r="F1464" s="44" t="n"/>
      <c r="G1464" s="23" t="n"/>
      <c r="H1464" s="23" t="n"/>
      <c r="I1464" s="23" t="n"/>
      <c r="J1464" s="23" t="n"/>
      <c r="K1464" s="45">
        <f>IF(A1464="","",SUM(G$2:I1464)-SUM(J$2:J1464))</f>
        <v/>
      </c>
      <c r="L1464" s="46" t="n"/>
      <c r="M1464">
        <f>IF(A1464="","",IF(A1464=A1463,M1463,N(M1463)+1))</f>
        <v/>
      </c>
      <c r="N1464">
        <f>IF(E1464="",99999,E1464)</f>
        <v/>
      </c>
      <c r="O1464">
        <f>IF(E1464="",0,IF(F1464="",E1464,F1464))</f>
        <v/>
      </c>
      <c r="P1464">
        <f>IF(E1464="",1,MAX(1,(YEAR(O1464)-YEAR(N1464))*12+MONTH(O1464)-MONTH(N1464)+1))</f>
        <v/>
      </c>
      <c r="Q1464">
        <f>IF(G1464="",0,G1464/P1464)</f>
        <v/>
      </c>
      <c r="R1464">
        <f>IF(H1464="",0,H1464/P1464)</f>
        <v/>
      </c>
    </row>
    <row r="1465">
      <c r="A1465" s="43" t="n"/>
      <c r="B1465" s="28" t="n"/>
      <c r="C1465" s="28" t="n"/>
      <c r="D1465" s="28" t="n"/>
      <c r="E1465" s="44" t="n"/>
      <c r="F1465" s="44" t="n"/>
      <c r="G1465" s="23" t="n"/>
      <c r="H1465" s="23" t="n"/>
      <c r="I1465" s="23" t="n"/>
      <c r="J1465" s="23" t="n"/>
      <c r="K1465" s="45">
        <f>IF(A1465="","",SUM(G$2:I1465)-SUM(J$2:J1465))</f>
        <v/>
      </c>
      <c r="L1465" s="46" t="n"/>
      <c r="M1465">
        <f>IF(A1465="","",IF(A1465=A1464,M1464,N(M1464)+1))</f>
        <v/>
      </c>
      <c r="N1465">
        <f>IF(E1465="",99999,E1465)</f>
        <v/>
      </c>
      <c r="O1465">
        <f>IF(E1465="",0,IF(F1465="",E1465,F1465))</f>
        <v/>
      </c>
      <c r="P1465">
        <f>IF(E1465="",1,MAX(1,(YEAR(O1465)-YEAR(N1465))*12+MONTH(O1465)-MONTH(N1465)+1))</f>
        <v/>
      </c>
      <c r="Q1465">
        <f>IF(G1465="",0,G1465/P1465)</f>
        <v/>
      </c>
      <c r="R1465">
        <f>IF(H1465="",0,H1465/P1465)</f>
        <v/>
      </c>
    </row>
    <row r="1466">
      <c r="A1466" s="43" t="n"/>
      <c r="B1466" s="28" t="n"/>
      <c r="C1466" s="28" t="n"/>
      <c r="D1466" s="28" t="n"/>
      <c r="E1466" s="44" t="n"/>
      <c r="F1466" s="44" t="n"/>
      <c r="G1466" s="23" t="n"/>
      <c r="H1466" s="23" t="n"/>
      <c r="I1466" s="23" t="n"/>
      <c r="J1466" s="23" t="n"/>
      <c r="K1466" s="45">
        <f>IF(A1466="","",SUM(G$2:I1466)-SUM(J$2:J1466))</f>
        <v/>
      </c>
      <c r="L1466" s="46" t="n"/>
      <c r="M1466">
        <f>IF(A1466="","",IF(A1466=A1465,M1465,N(M1465)+1))</f>
        <v/>
      </c>
      <c r="N1466">
        <f>IF(E1466="",99999,E1466)</f>
        <v/>
      </c>
      <c r="O1466">
        <f>IF(E1466="",0,IF(F1466="",E1466,F1466))</f>
        <v/>
      </c>
      <c r="P1466">
        <f>IF(E1466="",1,MAX(1,(YEAR(O1466)-YEAR(N1466))*12+MONTH(O1466)-MONTH(N1466)+1))</f>
        <v/>
      </c>
      <c r="Q1466">
        <f>IF(G1466="",0,G1466/P1466)</f>
        <v/>
      </c>
      <c r="R1466">
        <f>IF(H1466="",0,H1466/P1466)</f>
        <v/>
      </c>
    </row>
    <row r="1467">
      <c r="A1467" s="43" t="n"/>
      <c r="B1467" s="28" t="n"/>
      <c r="C1467" s="28" t="n"/>
      <c r="D1467" s="28" t="n"/>
      <c r="E1467" s="44" t="n"/>
      <c r="F1467" s="44" t="n"/>
      <c r="G1467" s="23" t="n"/>
      <c r="H1467" s="23" t="n"/>
      <c r="I1467" s="23" t="n"/>
      <c r="J1467" s="23" t="n"/>
      <c r="K1467" s="45">
        <f>IF(A1467="","",SUM(G$2:I1467)-SUM(J$2:J1467))</f>
        <v/>
      </c>
      <c r="L1467" s="46" t="n"/>
      <c r="M1467">
        <f>IF(A1467="","",IF(A1467=A1466,M1466,N(M1466)+1))</f>
        <v/>
      </c>
      <c r="N1467">
        <f>IF(E1467="",99999,E1467)</f>
        <v/>
      </c>
      <c r="O1467">
        <f>IF(E1467="",0,IF(F1467="",E1467,F1467))</f>
        <v/>
      </c>
      <c r="P1467">
        <f>IF(E1467="",1,MAX(1,(YEAR(O1467)-YEAR(N1467))*12+MONTH(O1467)-MONTH(N1467)+1))</f>
        <v/>
      </c>
      <c r="Q1467">
        <f>IF(G1467="",0,G1467/P1467)</f>
        <v/>
      </c>
      <c r="R1467">
        <f>IF(H1467="",0,H1467/P1467)</f>
        <v/>
      </c>
    </row>
    <row r="1468">
      <c r="A1468" s="43" t="n"/>
      <c r="B1468" s="28" t="n"/>
      <c r="C1468" s="28" t="n"/>
      <c r="D1468" s="28" t="n"/>
      <c r="E1468" s="44" t="n"/>
      <c r="F1468" s="44" t="n"/>
      <c r="G1468" s="23" t="n"/>
      <c r="H1468" s="23" t="n"/>
      <c r="I1468" s="23" t="n"/>
      <c r="J1468" s="23" t="n"/>
      <c r="K1468" s="45">
        <f>IF(A1468="","",SUM(G$2:I1468)-SUM(J$2:J1468))</f>
        <v/>
      </c>
      <c r="L1468" s="46" t="n"/>
      <c r="M1468">
        <f>IF(A1468="","",IF(A1468=A1467,M1467,N(M1467)+1))</f>
        <v/>
      </c>
      <c r="N1468">
        <f>IF(E1468="",99999,E1468)</f>
        <v/>
      </c>
      <c r="O1468">
        <f>IF(E1468="",0,IF(F1468="",E1468,F1468))</f>
        <v/>
      </c>
      <c r="P1468">
        <f>IF(E1468="",1,MAX(1,(YEAR(O1468)-YEAR(N1468))*12+MONTH(O1468)-MONTH(N1468)+1))</f>
        <v/>
      </c>
      <c r="Q1468">
        <f>IF(G1468="",0,G1468/P1468)</f>
        <v/>
      </c>
      <c r="R1468">
        <f>IF(H1468="",0,H1468/P1468)</f>
        <v/>
      </c>
    </row>
    <row r="1469">
      <c r="A1469" s="43" t="n"/>
      <c r="B1469" s="28" t="n"/>
      <c r="C1469" s="28" t="n"/>
      <c r="D1469" s="28" t="n"/>
      <c r="E1469" s="44" t="n"/>
      <c r="F1469" s="44" t="n"/>
      <c r="G1469" s="23" t="n"/>
      <c r="H1469" s="23" t="n"/>
      <c r="I1469" s="23" t="n"/>
      <c r="J1469" s="23" t="n"/>
      <c r="K1469" s="45">
        <f>IF(A1469="","",SUM(G$2:I1469)-SUM(J$2:J1469))</f>
        <v/>
      </c>
      <c r="L1469" s="46" t="n"/>
      <c r="M1469">
        <f>IF(A1469="","",IF(A1469=A1468,M1468,N(M1468)+1))</f>
        <v/>
      </c>
      <c r="N1469">
        <f>IF(E1469="",99999,E1469)</f>
        <v/>
      </c>
      <c r="O1469">
        <f>IF(E1469="",0,IF(F1469="",E1469,F1469))</f>
        <v/>
      </c>
      <c r="P1469">
        <f>IF(E1469="",1,MAX(1,(YEAR(O1469)-YEAR(N1469))*12+MONTH(O1469)-MONTH(N1469)+1))</f>
        <v/>
      </c>
      <c r="Q1469">
        <f>IF(G1469="",0,G1469/P1469)</f>
        <v/>
      </c>
      <c r="R1469">
        <f>IF(H1469="",0,H1469/P1469)</f>
        <v/>
      </c>
    </row>
    <row r="1470">
      <c r="A1470" s="43" t="n"/>
      <c r="B1470" s="28" t="n"/>
      <c r="C1470" s="28" t="n"/>
      <c r="D1470" s="28" t="n"/>
      <c r="E1470" s="44" t="n"/>
      <c r="F1470" s="44" t="n"/>
      <c r="G1470" s="23" t="n"/>
      <c r="H1470" s="23" t="n"/>
      <c r="I1470" s="23" t="n"/>
      <c r="J1470" s="23" t="n"/>
      <c r="K1470" s="45">
        <f>IF(A1470="","",SUM(G$2:I1470)-SUM(J$2:J1470))</f>
        <v/>
      </c>
      <c r="L1470" s="46" t="n"/>
      <c r="M1470">
        <f>IF(A1470="","",IF(A1470=A1469,M1469,N(M1469)+1))</f>
        <v/>
      </c>
      <c r="N1470">
        <f>IF(E1470="",99999,E1470)</f>
        <v/>
      </c>
      <c r="O1470">
        <f>IF(E1470="",0,IF(F1470="",E1470,F1470))</f>
        <v/>
      </c>
      <c r="P1470">
        <f>IF(E1470="",1,MAX(1,(YEAR(O1470)-YEAR(N1470))*12+MONTH(O1470)-MONTH(N1470)+1))</f>
        <v/>
      </c>
      <c r="Q1470">
        <f>IF(G1470="",0,G1470/P1470)</f>
        <v/>
      </c>
      <c r="R1470">
        <f>IF(H1470="",0,H1470/P1470)</f>
        <v/>
      </c>
    </row>
    <row r="1471">
      <c r="A1471" s="43" t="n"/>
      <c r="B1471" s="28" t="n"/>
      <c r="C1471" s="28" t="n"/>
      <c r="D1471" s="28" t="n"/>
      <c r="E1471" s="44" t="n"/>
      <c r="F1471" s="44" t="n"/>
      <c r="G1471" s="23" t="n"/>
      <c r="H1471" s="23" t="n"/>
      <c r="I1471" s="23" t="n"/>
      <c r="J1471" s="23" t="n"/>
      <c r="K1471" s="45">
        <f>IF(A1471="","",SUM(G$2:I1471)-SUM(J$2:J1471))</f>
        <v/>
      </c>
      <c r="L1471" s="46" t="n"/>
      <c r="M1471">
        <f>IF(A1471="","",IF(A1471=A1470,M1470,N(M1470)+1))</f>
        <v/>
      </c>
      <c r="N1471">
        <f>IF(E1471="",99999,E1471)</f>
        <v/>
      </c>
      <c r="O1471">
        <f>IF(E1471="",0,IF(F1471="",E1471,F1471))</f>
        <v/>
      </c>
      <c r="P1471">
        <f>IF(E1471="",1,MAX(1,(YEAR(O1471)-YEAR(N1471))*12+MONTH(O1471)-MONTH(N1471)+1))</f>
        <v/>
      </c>
      <c r="Q1471">
        <f>IF(G1471="",0,G1471/P1471)</f>
        <v/>
      </c>
      <c r="R1471">
        <f>IF(H1471="",0,H1471/P1471)</f>
        <v/>
      </c>
    </row>
    <row r="1472">
      <c r="A1472" s="43" t="n"/>
      <c r="B1472" s="28" t="n"/>
      <c r="C1472" s="28" t="n"/>
      <c r="D1472" s="28" t="n"/>
      <c r="E1472" s="44" t="n"/>
      <c r="F1472" s="44" t="n"/>
      <c r="G1472" s="23" t="n"/>
      <c r="H1472" s="23" t="n"/>
      <c r="I1472" s="23" t="n"/>
      <c r="J1472" s="23" t="n"/>
      <c r="K1472" s="45">
        <f>IF(A1472="","",SUM(G$2:I1472)-SUM(J$2:J1472))</f>
        <v/>
      </c>
      <c r="L1472" s="46" t="n"/>
      <c r="M1472">
        <f>IF(A1472="","",IF(A1472=A1471,M1471,N(M1471)+1))</f>
        <v/>
      </c>
      <c r="N1472">
        <f>IF(E1472="",99999,E1472)</f>
        <v/>
      </c>
      <c r="O1472">
        <f>IF(E1472="",0,IF(F1472="",E1472,F1472))</f>
        <v/>
      </c>
      <c r="P1472">
        <f>IF(E1472="",1,MAX(1,(YEAR(O1472)-YEAR(N1472))*12+MONTH(O1472)-MONTH(N1472)+1))</f>
        <v/>
      </c>
      <c r="Q1472">
        <f>IF(G1472="",0,G1472/P1472)</f>
        <v/>
      </c>
      <c r="R1472">
        <f>IF(H1472="",0,H1472/P1472)</f>
        <v/>
      </c>
    </row>
    <row r="1473">
      <c r="A1473" s="43" t="n"/>
      <c r="B1473" s="28" t="n"/>
      <c r="C1473" s="28" t="n"/>
      <c r="D1473" s="28" t="n"/>
      <c r="E1473" s="44" t="n"/>
      <c r="F1473" s="44" t="n"/>
      <c r="G1473" s="23" t="n"/>
      <c r="H1473" s="23" t="n"/>
      <c r="I1473" s="23" t="n"/>
      <c r="J1473" s="23" t="n"/>
      <c r="K1473" s="45">
        <f>IF(A1473="","",SUM(G$2:I1473)-SUM(J$2:J1473))</f>
        <v/>
      </c>
      <c r="L1473" s="46" t="n"/>
      <c r="M1473">
        <f>IF(A1473="","",IF(A1473=A1472,M1472,N(M1472)+1))</f>
        <v/>
      </c>
      <c r="N1473">
        <f>IF(E1473="",99999,E1473)</f>
        <v/>
      </c>
      <c r="O1473">
        <f>IF(E1473="",0,IF(F1473="",E1473,F1473))</f>
        <v/>
      </c>
      <c r="P1473">
        <f>IF(E1473="",1,MAX(1,(YEAR(O1473)-YEAR(N1473))*12+MONTH(O1473)-MONTH(N1473)+1))</f>
        <v/>
      </c>
      <c r="Q1473">
        <f>IF(G1473="",0,G1473/P1473)</f>
        <v/>
      </c>
      <c r="R1473">
        <f>IF(H1473="",0,H1473/P1473)</f>
        <v/>
      </c>
    </row>
    <row r="1474">
      <c r="A1474" s="43" t="n"/>
      <c r="B1474" s="28" t="n"/>
      <c r="C1474" s="28" t="n"/>
      <c r="D1474" s="28" t="n"/>
      <c r="E1474" s="44" t="n"/>
      <c r="F1474" s="44" t="n"/>
      <c r="G1474" s="23" t="n"/>
      <c r="H1474" s="23" t="n"/>
      <c r="I1474" s="23" t="n"/>
      <c r="J1474" s="23" t="n"/>
      <c r="K1474" s="45">
        <f>IF(A1474="","",SUM(G$2:I1474)-SUM(J$2:J1474))</f>
        <v/>
      </c>
      <c r="L1474" s="46" t="n"/>
      <c r="M1474">
        <f>IF(A1474="","",IF(A1474=A1473,M1473,N(M1473)+1))</f>
        <v/>
      </c>
      <c r="N1474">
        <f>IF(E1474="",99999,E1474)</f>
        <v/>
      </c>
      <c r="O1474">
        <f>IF(E1474="",0,IF(F1474="",E1474,F1474))</f>
        <v/>
      </c>
      <c r="P1474">
        <f>IF(E1474="",1,MAX(1,(YEAR(O1474)-YEAR(N1474))*12+MONTH(O1474)-MONTH(N1474)+1))</f>
        <v/>
      </c>
      <c r="Q1474">
        <f>IF(G1474="",0,G1474/P1474)</f>
        <v/>
      </c>
      <c r="R1474">
        <f>IF(H1474="",0,H1474/P1474)</f>
        <v/>
      </c>
    </row>
    <row r="1475">
      <c r="A1475" s="43" t="n"/>
      <c r="B1475" s="28" t="n"/>
      <c r="C1475" s="28" t="n"/>
      <c r="D1475" s="28" t="n"/>
      <c r="E1475" s="44" t="n"/>
      <c r="F1475" s="44" t="n"/>
      <c r="G1475" s="23" t="n"/>
      <c r="H1475" s="23" t="n"/>
      <c r="I1475" s="23" t="n"/>
      <c r="J1475" s="23" t="n"/>
      <c r="K1475" s="45">
        <f>IF(A1475="","",SUM(G$2:I1475)-SUM(J$2:J1475))</f>
        <v/>
      </c>
      <c r="L1475" s="46" t="n"/>
      <c r="M1475">
        <f>IF(A1475="","",IF(A1475=A1474,M1474,N(M1474)+1))</f>
        <v/>
      </c>
      <c r="N1475">
        <f>IF(E1475="",99999,E1475)</f>
        <v/>
      </c>
      <c r="O1475">
        <f>IF(E1475="",0,IF(F1475="",E1475,F1475))</f>
        <v/>
      </c>
      <c r="P1475">
        <f>IF(E1475="",1,MAX(1,(YEAR(O1475)-YEAR(N1475))*12+MONTH(O1475)-MONTH(N1475)+1))</f>
        <v/>
      </c>
      <c r="Q1475">
        <f>IF(G1475="",0,G1475/P1475)</f>
        <v/>
      </c>
      <c r="R1475">
        <f>IF(H1475="",0,H1475/P1475)</f>
        <v/>
      </c>
    </row>
    <row r="1476">
      <c r="A1476" s="43" t="n"/>
      <c r="B1476" s="28" t="n"/>
      <c r="C1476" s="28" t="n"/>
      <c r="D1476" s="28" t="n"/>
      <c r="E1476" s="44" t="n"/>
      <c r="F1476" s="44" t="n"/>
      <c r="G1476" s="23" t="n"/>
      <c r="H1476" s="23" t="n"/>
      <c r="I1476" s="23" t="n"/>
      <c r="J1476" s="23" t="n"/>
      <c r="K1476" s="45">
        <f>IF(A1476="","",SUM(G$2:I1476)-SUM(J$2:J1476))</f>
        <v/>
      </c>
      <c r="L1476" s="46" t="n"/>
      <c r="M1476">
        <f>IF(A1476="","",IF(A1476=A1475,M1475,N(M1475)+1))</f>
        <v/>
      </c>
      <c r="N1476">
        <f>IF(E1476="",99999,E1476)</f>
        <v/>
      </c>
      <c r="O1476">
        <f>IF(E1476="",0,IF(F1476="",E1476,F1476))</f>
        <v/>
      </c>
      <c r="P1476">
        <f>IF(E1476="",1,MAX(1,(YEAR(O1476)-YEAR(N1476))*12+MONTH(O1476)-MONTH(N1476)+1))</f>
        <v/>
      </c>
      <c r="Q1476">
        <f>IF(G1476="",0,G1476/P1476)</f>
        <v/>
      </c>
      <c r="R1476">
        <f>IF(H1476="",0,H1476/P1476)</f>
        <v/>
      </c>
    </row>
    <row r="1477">
      <c r="A1477" s="43" t="n"/>
      <c r="B1477" s="28" t="n"/>
      <c r="C1477" s="28" t="n"/>
      <c r="D1477" s="28" t="n"/>
      <c r="E1477" s="44" t="n"/>
      <c r="F1477" s="44" t="n"/>
      <c r="G1477" s="23" t="n"/>
      <c r="H1477" s="23" t="n"/>
      <c r="I1477" s="23" t="n"/>
      <c r="J1477" s="23" t="n"/>
      <c r="K1477" s="45">
        <f>IF(A1477="","",SUM(G$2:I1477)-SUM(J$2:J1477))</f>
        <v/>
      </c>
      <c r="L1477" s="46" t="n"/>
      <c r="M1477">
        <f>IF(A1477="","",IF(A1477=A1476,M1476,N(M1476)+1))</f>
        <v/>
      </c>
      <c r="N1477">
        <f>IF(E1477="",99999,E1477)</f>
        <v/>
      </c>
      <c r="O1477">
        <f>IF(E1477="",0,IF(F1477="",E1477,F1477))</f>
        <v/>
      </c>
      <c r="P1477">
        <f>IF(E1477="",1,MAX(1,(YEAR(O1477)-YEAR(N1477))*12+MONTH(O1477)-MONTH(N1477)+1))</f>
        <v/>
      </c>
      <c r="Q1477">
        <f>IF(G1477="",0,G1477/P1477)</f>
        <v/>
      </c>
      <c r="R1477">
        <f>IF(H1477="",0,H1477/P1477)</f>
        <v/>
      </c>
    </row>
    <row r="1478">
      <c r="A1478" s="43" t="n"/>
      <c r="B1478" s="28" t="n"/>
      <c r="C1478" s="28" t="n"/>
      <c r="D1478" s="28" t="n"/>
      <c r="E1478" s="44" t="n"/>
      <c r="F1478" s="44" t="n"/>
      <c r="G1478" s="23" t="n"/>
      <c r="H1478" s="23" t="n"/>
      <c r="I1478" s="23" t="n"/>
      <c r="J1478" s="23" t="n"/>
      <c r="K1478" s="45">
        <f>IF(A1478="","",SUM(G$2:I1478)-SUM(J$2:J1478))</f>
        <v/>
      </c>
      <c r="L1478" s="46" t="n"/>
      <c r="M1478">
        <f>IF(A1478="","",IF(A1478=A1477,M1477,N(M1477)+1))</f>
        <v/>
      </c>
      <c r="N1478">
        <f>IF(E1478="",99999,E1478)</f>
        <v/>
      </c>
      <c r="O1478">
        <f>IF(E1478="",0,IF(F1478="",E1478,F1478))</f>
        <v/>
      </c>
      <c r="P1478">
        <f>IF(E1478="",1,MAX(1,(YEAR(O1478)-YEAR(N1478))*12+MONTH(O1478)-MONTH(N1478)+1))</f>
        <v/>
      </c>
      <c r="Q1478">
        <f>IF(G1478="",0,G1478/P1478)</f>
        <v/>
      </c>
      <c r="R1478">
        <f>IF(H1478="",0,H1478/P1478)</f>
        <v/>
      </c>
    </row>
    <row r="1479">
      <c r="A1479" s="43" t="n"/>
      <c r="B1479" s="28" t="n"/>
      <c r="C1479" s="28" t="n"/>
      <c r="D1479" s="28" t="n"/>
      <c r="E1479" s="44" t="n"/>
      <c r="F1479" s="44" t="n"/>
      <c r="G1479" s="23" t="n"/>
      <c r="H1479" s="23" t="n"/>
      <c r="I1479" s="23" t="n"/>
      <c r="J1479" s="23" t="n"/>
      <c r="K1479" s="45">
        <f>IF(A1479="","",SUM(G$2:I1479)-SUM(J$2:J1479))</f>
        <v/>
      </c>
      <c r="L1479" s="46" t="n"/>
      <c r="M1479">
        <f>IF(A1479="","",IF(A1479=A1478,M1478,N(M1478)+1))</f>
        <v/>
      </c>
      <c r="N1479">
        <f>IF(E1479="",99999,E1479)</f>
        <v/>
      </c>
      <c r="O1479">
        <f>IF(E1479="",0,IF(F1479="",E1479,F1479))</f>
        <v/>
      </c>
      <c r="P1479">
        <f>IF(E1479="",1,MAX(1,(YEAR(O1479)-YEAR(N1479))*12+MONTH(O1479)-MONTH(N1479)+1))</f>
        <v/>
      </c>
      <c r="Q1479">
        <f>IF(G1479="",0,G1479/P1479)</f>
        <v/>
      </c>
      <c r="R1479">
        <f>IF(H1479="",0,H1479/P1479)</f>
        <v/>
      </c>
    </row>
    <row r="1480">
      <c r="A1480" s="43" t="n"/>
      <c r="B1480" s="28" t="n"/>
      <c r="C1480" s="28" t="n"/>
      <c r="D1480" s="28" t="n"/>
      <c r="E1480" s="44" t="n"/>
      <c r="F1480" s="44" t="n"/>
      <c r="G1480" s="23" t="n"/>
      <c r="H1480" s="23" t="n"/>
      <c r="I1480" s="23" t="n"/>
      <c r="J1480" s="23" t="n"/>
      <c r="K1480" s="45">
        <f>IF(A1480="","",SUM(G$2:I1480)-SUM(J$2:J1480))</f>
        <v/>
      </c>
      <c r="L1480" s="46" t="n"/>
      <c r="M1480">
        <f>IF(A1480="","",IF(A1480=A1479,M1479,N(M1479)+1))</f>
        <v/>
      </c>
      <c r="N1480">
        <f>IF(E1480="",99999,E1480)</f>
        <v/>
      </c>
      <c r="O1480">
        <f>IF(E1480="",0,IF(F1480="",E1480,F1480))</f>
        <v/>
      </c>
      <c r="P1480">
        <f>IF(E1480="",1,MAX(1,(YEAR(O1480)-YEAR(N1480))*12+MONTH(O1480)-MONTH(N1480)+1))</f>
        <v/>
      </c>
      <c r="Q1480">
        <f>IF(G1480="",0,G1480/P1480)</f>
        <v/>
      </c>
      <c r="R1480">
        <f>IF(H1480="",0,H1480/P1480)</f>
        <v/>
      </c>
    </row>
    <row r="1481">
      <c r="A1481" s="43" t="n"/>
      <c r="B1481" s="28" t="n"/>
      <c r="C1481" s="28" t="n"/>
      <c r="D1481" s="28" t="n"/>
      <c r="E1481" s="44" t="n"/>
      <c r="F1481" s="44" t="n"/>
      <c r="G1481" s="23" t="n"/>
      <c r="H1481" s="23" t="n"/>
      <c r="I1481" s="23" t="n"/>
      <c r="J1481" s="23" t="n"/>
      <c r="K1481" s="45">
        <f>IF(A1481="","",SUM(G$2:I1481)-SUM(J$2:J1481))</f>
        <v/>
      </c>
      <c r="L1481" s="46" t="n"/>
      <c r="M1481">
        <f>IF(A1481="","",IF(A1481=A1480,M1480,N(M1480)+1))</f>
        <v/>
      </c>
      <c r="N1481">
        <f>IF(E1481="",99999,E1481)</f>
        <v/>
      </c>
      <c r="O1481">
        <f>IF(E1481="",0,IF(F1481="",E1481,F1481))</f>
        <v/>
      </c>
      <c r="P1481">
        <f>IF(E1481="",1,MAX(1,(YEAR(O1481)-YEAR(N1481))*12+MONTH(O1481)-MONTH(N1481)+1))</f>
        <v/>
      </c>
      <c r="Q1481">
        <f>IF(G1481="",0,G1481/P1481)</f>
        <v/>
      </c>
      <c r="R1481">
        <f>IF(H1481="",0,H1481/P1481)</f>
        <v/>
      </c>
    </row>
    <row r="1482">
      <c r="A1482" s="43" t="n"/>
      <c r="B1482" s="28" t="n"/>
      <c r="C1482" s="28" t="n"/>
      <c r="D1482" s="28" t="n"/>
      <c r="E1482" s="44" t="n"/>
      <c r="F1482" s="44" t="n"/>
      <c r="G1482" s="23" t="n"/>
      <c r="H1482" s="23" t="n"/>
      <c r="I1482" s="23" t="n"/>
      <c r="J1482" s="23" t="n"/>
      <c r="K1482" s="45">
        <f>IF(A1482="","",SUM(G$2:I1482)-SUM(J$2:J1482))</f>
        <v/>
      </c>
      <c r="L1482" s="46" t="n"/>
      <c r="M1482">
        <f>IF(A1482="","",IF(A1482=A1481,M1481,N(M1481)+1))</f>
        <v/>
      </c>
      <c r="N1482">
        <f>IF(E1482="",99999,E1482)</f>
        <v/>
      </c>
      <c r="O1482">
        <f>IF(E1482="",0,IF(F1482="",E1482,F1482))</f>
        <v/>
      </c>
      <c r="P1482">
        <f>IF(E1482="",1,MAX(1,(YEAR(O1482)-YEAR(N1482))*12+MONTH(O1482)-MONTH(N1482)+1))</f>
        <v/>
      </c>
      <c r="Q1482">
        <f>IF(G1482="",0,G1482/P1482)</f>
        <v/>
      </c>
      <c r="R1482">
        <f>IF(H1482="",0,H1482/P1482)</f>
        <v/>
      </c>
    </row>
    <row r="1483">
      <c r="A1483" s="43" t="n"/>
      <c r="B1483" s="28" t="n"/>
      <c r="C1483" s="28" t="n"/>
      <c r="D1483" s="28" t="n"/>
      <c r="E1483" s="44" t="n"/>
      <c r="F1483" s="44" t="n"/>
      <c r="G1483" s="23" t="n"/>
      <c r="H1483" s="23" t="n"/>
      <c r="I1483" s="23" t="n"/>
      <c r="J1483" s="23" t="n"/>
      <c r="K1483" s="45">
        <f>IF(A1483="","",SUM(G$2:I1483)-SUM(J$2:J1483))</f>
        <v/>
      </c>
      <c r="L1483" s="46" t="n"/>
      <c r="M1483">
        <f>IF(A1483="","",IF(A1483=A1482,M1482,N(M1482)+1))</f>
        <v/>
      </c>
      <c r="N1483">
        <f>IF(E1483="",99999,E1483)</f>
        <v/>
      </c>
      <c r="O1483">
        <f>IF(E1483="",0,IF(F1483="",E1483,F1483))</f>
        <v/>
      </c>
      <c r="P1483">
        <f>IF(E1483="",1,MAX(1,(YEAR(O1483)-YEAR(N1483))*12+MONTH(O1483)-MONTH(N1483)+1))</f>
        <v/>
      </c>
      <c r="Q1483">
        <f>IF(G1483="",0,G1483/P1483)</f>
        <v/>
      </c>
      <c r="R1483">
        <f>IF(H1483="",0,H1483/P1483)</f>
        <v/>
      </c>
    </row>
    <row r="1484">
      <c r="A1484" s="43" t="n"/>
      <c r="B1484" s="28" t="n"/>
      <c r="C1484" s="28" t="n"/>
      <c r="D1484" s="28" t="n"/>
      <c r="E1484" s="44" t="n"/>
      <c r="F1484" s="44" t="n"/>
      <c r="G1484" s="23" t="n"/>
      <c r="H1484" s="23" t="n"/>
      <c r="I1484" s="23" t="n"/>
      <c r="J1484" s="23" t="n"/>
      <c r="K1484" s="45">
        <f>IF(A1484="","",SUM(G$2:I1484)-SUM(J$2:J1484))</f>
        <v/>
      </c>
      <c r="L1484" s="46" t="n"/>
      <c r="M1484">
        <f>IF(A1484="","",IF(A1484=A1483,M1483,N(M1483)+1))</f>
        <v/>
      </c>
      <c r="N1484">
        <f>IF(E1484="",99999,E1484)</f>
        <v/>
      </c>
      <c r="O1484">
        <f>IF(E1484="",0,IF(F1484="",E1484,F1484))</f>
        <v/>
      </c>
      <c r="P1484">
        <f>IF(E1484="",1,MAX(1,(YEAR(O1484)-YEAR(N1484))*12+MONTH(O1484)-MONTH(N1484)+1))</f>
        <v/>
      </c>
      <c r="Q1484">
        <f>IF(G1484="",0,G1484/P1484)</f>
        <v/>
      </c>
      <c r="R1484">
        <f>IF(H1484="",0,H1484/P1484)</f>
        <v/>
      </c>
    </row>
    <row r="1485">
      <c r="A1485" s="43" t="n"/>
      <c r="B1485" s="28" t="n"/>
      <c r="C1485" s="28" t="n"/>
      <c r="D1485" s="28" t="n"/>
      <c r="E1485" s="44" t="n"/>
      <c r="F1485" s="44" t="n"/>
      <c r="G1485" s="23" t="n"/>
      <c r="H1485" s="23" t="n"/>
      <c r="I1485" s="23" t="n"/>
      <c r="J1485" s="23" t="n"/>
      <c r="K1485" s="45">
        <f>IF(A1485="","",SUM(G$2:I1485)-SUM(J$2:J1485))</f>
        <v/>
      </c>
      <c r="L1485" s="46" t="n"/>
      <c r="M1485">
        <f>IF(A1485="","",IF(A1485=A1484,M1484,N(M1484)+1))</f>
        <v/>
      </c>
      <c r="N1485">
        <f>IF(E1485="",99999,E1485)</f>
        <v/>
      </c>
      <c r="O1485">
        <f>IF(E1485="",0,IF(F1485="",E1485,F1485))</f>
        <v/>
      </c>
      <c r="P1485">
        <f>IF(E1485="",1,MAX(1,(YEAR(O1485)-YEAR(N1485))*12+MONTH(O1485)-MONTH(N1485)+1))</f>
        <v/>
      </c>
      <c r="Q1485">
        <f>IF(G1485="",0,G1485/P1485)</f>
        <v/>
      </c>
      <c r="R1485">
        <f>IF(H1485="",0,H1485/P1485)</f>
        <v/>
      </c>
    </row>
    <row r="1486">
      <c r="A1486" s="43" t="n"/>
      <c r="B1486" s="28" t="n"/>
      <c r="C1486" s="28" t="n"/>
      <c r="D1486" s="28" t="n"/>
      <c r="E1486" s="44" t="n"/>
      <c r="F1486" s="44" t="n"/>
      <c r="G1486" s="23" t="n"/>
      <c r="H1486" s="23" t="n"/>
      <c r="I1486" s="23" t="n"/>
      <c r="J1486" s="23" t="n"/>
      <c r="K1486" s="45">
        <f>IF(A1486="","",SUM(G$2:I1486)-SUM(J$2:J1486))</f>
        <v/>
      </c>
      <c r="L1486" s="46" t="n"/>
      <c r="M1486">
        <f>IF(A1486="","",IF(A1486=A1485,M1485,N(M1485)+1))</f>
        <v/>
      </c>
      <c r="N1486">
        <f>IF(E1486="",99999,E1486)</f>
        <v/>
      </c>
      <c r="O1486">
        <f>IF(E1486="",0,IF(F1486="",E1486,F1486))</f>
        <v/>
      </c>
      <c r="P1486">
        <f>IF(E1486="",1,MAX(1,(YEAR(O1486)-YEAR(N1486))*12+MONTH(O1486)-MONTH(N1486)+1))</f>
        <v/>
      </c>
      <c r="Q1486">
        <f>IF(G1486="",0,G1486/P1486)</f>
        <v/>
      </c>
      <c r="R1486">
        <f>IF(H1486="",0,H1486/P1486)</f>
        <v/>
      </c>
    </row>
    <row r="1487">
      <c r="A1487" s="43" t="n"/>
      <c r="B1487" s="28" t="n"/>
      <c r="C1487" s="28" t="n"/>
      <c r="D1487" s="28" t="n"/>
      <c r="E1487" s="44" t="n"/>
      <c r="F1487" s="44" t="n"/>
      <c r="G1487" s="23" t="n"/>
      <c r="H1487" s="23" t="n"/>
      <c r="I1487" s="23" t="n"/>
      <c r="J1487" s="23" t="n"/>
      <c r="K1487" s="45">
        <f>IF(A1487="","",SUM(G$2:I1487)-SUM(J$2:J1487))</f>
        <v/>
      </c>
      <c r="L1487" s="46" t="n"/>
      <c r="M1487">
        <f>IF(A1487="","",IF(A1487=A1486,M1486,N(M1486)+1))</f>
        <v/>
      </c>
      <c r="N1487">
        <f>IF(E1487="",99999,E1487)</f>
        <v/>
      </c>
      <c r="O1487">
        <f>IF(E1487="",0,IF(F1487="",E1487,F1487))</f>
        <v/>
      </c>
      <c r="P1487">
        <f>IF(E1487="",1,MAX(1,(YEAR(O1487)-YEAR(N1487))*12+MONTH(O1487)-MONTH(N1487)+1))</f>
        <v/>
      </c>
      <c r="Q1487">
        <f>IF(G1487="",0,G1487/P1487)</f>
        <v/>
      </c>
      <c r="R1487">
        <f>IF(H1487="",0,H1487/P1487)</f>
        <v/>
      </c>
    </row>
    <row r="1488">
      <c r="A1488" s="43" t="n"/>
      <c r="B1488" s="28" t="n"/>
      <c r="C1488" s="28" t="n"/>
      <c r="D1488" s="28" t="n"/>
      <c r="E1488" s="44" t="n"/>
      <c r="F1488" s="44" t="n"/>
      <c r="G1488" s="23" t="n"/>
      <c r="H1488" s="23" t="n"/>
      <c r="I1488" s="23" t="n"/>
      <c r="J1488" s="23" t="n"/>
      <c r="K1488" s="45">
        <f>IF(A1488="","",SUM(G$2:I1488)-SUM(J$2:J1488))</f>
        <v/>
      </c>
      <c r="L1488" s="46" t="n"/>
      <c r="M1488">
        <f>IF(A1488="","",IF(A1488=A1487,M1487,N(M1487)+1))</f>
        <v/>
      </c>
      <c r="N1488">
        <f>IF(E1488="",99999,E1488)</f>
        <v/>
      </c>
      <c r="O1488">
        <f>IF(E1488="",0,IF(F1488="",E1488,F1488))</f>
        <v/>
      </c>
      <c r="P1488">
        <f>IF(E1488="",1,MAX(1,(YEAR(O1488)-YEAR(N1488))*12+MONTH(O1488)-MONTH(N1488)+1))</f>
        <v/>
      </c>
      <c r="Q1488">
        <f>IF(G1488="",0,G1488/P1488)</f>
        <v/>
      </c>
      <c r="R1488">
        <f>IF(H1488="",0,H1488/P1488)</f>
        <v/>
      </c>
    </row>
    <row r="1489">
      <c r="A1489" s="43" t="n"/>
      <c r="B1489" s="28" t="n"/>
      <c r="C1489" s="28" t="n"/>
      <c r="D1489" s="28" t="n"/>
      <c r="E1489" s="44" t="n"/>
      <c r="F1489" s="44" t="n"/>
      <c r="G1489" s="23" t="n"/>
      <c r="H1489" s="23" t="n"/>
      <c r="I1489" s="23" t="n"/>
      <c r="J1489" s="23" t="n"/>
      <c r="K1489" s="45">
        <f>IF(A1489="","",SUM(G$2:I1489)-SUM(J$2:J1489))</f>
        <v/>
      </c>
      <c r="L1489" s="46" t="n"/>
      <c r="M1489">
        <f>IF(A1489="","",IF(A1489=A1488,M1488,N(M1488)+1))</f>
        <v/>
      </c>
      <c r="N1489">
        <f>IF(E1489="",99999,E1489)</f>
        <v/>
      </c>
      <c r="O1489">
        <f>IF(E1489="",0,IF(F1489="",E1489,F1489))</f>
        <v/>
      </c>
      <c r="P1489">
        <f>IF(E1489="",1,MAX(1,(YEAR(O1489)-YEAR(N1489))*12+MONTH(O1489)-MONTH(N1489)+1))</f>
        <v/>
      </c>
      <c r="Q1489">
        <f>IF(G1489="",0,G1489/P1489)</f>
        <v/>
      </c>
      <c r="R1489">
        <f>IF(H1489="",0,H1489/P1489)</f>
        <v/>
      </c>
    </row>
    <row r="1490">
      <c r="A1490" s="43" t="n"/>
      <c r="B1490" s="28" t="n"/>
      <c r="C1490" s="28" t="n"/>
      <c r="D1490" s="28" t="n"/>
      <c r="E1490" s="44" t="n"/>
      <c r="F1490" s="44" t="n"/>
      <c r="G1490" s="23" t="n"/>
      <c r="H1490" s="23" t="n"/>
      <c r="I1490" s="23" t="n"/>
      <c r="J1490" s="23" t="n"/>
      <c r="K1490" s="45">
        <f>IF(A1490="","",SUM(G$2:I1490)-SUM(J$2:J1490))</f>
        <v/>
      </c>
      <c r="L1490" s="46" t="n"/>
      <c r="M1490">
        <f>IF(A1490="","",IF(A1490=A1489,M1489,N(M1489)+1))</f>
        <v/>
      </c>
      <c r="N1490">
        <f>IF(E1490="",99999,E1490)</f>
        <v/>
      </c>
      <c r="O1490">
        <f>IF(E1490="",0,IF(F1490="",E1490,F1490))</f>
        <v/>
      </c>
      <c r="P1490">
        <f>IF(E1490="",1,MAX(1,(YEAR(O1490)-YEAR(N1490))*12+MONTH(O1490)-MONTH(N1490)+1))</f>
        <v/>
      </c>
      <c r="Q1490">
        <f>IF(G1490="",0,G1490/P1490)</f>
        <v/>
      </c>
      <c r="R1490">
        <f>IF(H1490="",0,H1490/P1490)</f>
        <v/>
      </c>
    </row>
    <row r="1491">
      <c r="A1491" s="43" t="n"/>
      <c r="B1491" s="28" t="n"/>
      <c r="C1491" s="28" t="n"/>
      <c r="D1491" s="28" t="n"/>
      <c r="E1491" s="44" t="n"/>
      <c r="F1491" s="44" t="n"/>
      <c r="G1491" s="23" t="n"/>
      <c r="H1491" s="23" t="n"/>
      <c r="I1491" s="23" t="n"/>
      <c r="J1491" s="23" t="n"/>
      <c r="K1491" s="45">
        <f>IF(A1491="","",SUM(G$2:I1491)-SUM(J$2:J1491))</f>
        <v/>
      </c>
      <c r="L1491" s="46" t="n"/>
      <c r="M1491">
        <f>IF(A1491="","",IF(A1491=A1490,M1490,N(M1490)+1))</f>
        <v/>
      </c>
      <c r="N1491">
        <f>IF(E1491="",99999,E1491)</f>
        <v/>
      </c>
      <c r="O1491">
        <f>IF(E1491="",0,IF(F1491="",E1491,F1491))</f>
        <v/>
      </c>
      <c r="P1491">
        <f>IF(E1491="",1,MAX(1,(YEAR(O1491)-YEAR(N1491))*12+MONTH(O1491)-MONTH(N1491)+1))</f>
        <v/>
      </c>
      <c r="Q1491">
        <f>IF(G1491="",0,G1491/P1491)</f>
        <v/>
      </c>
      <c r="R1491">
        <f>IF(H1491="",0,H1491/P1491)</f>
        <v/>
      </c>
    </row>
    <row r="1492">
      <c r="A1492" s="43" t="n"/>
      <c r="B1492" s="28" t="n"/>
      <c r="C1492" s="28" t="n"/>
      <c r="D1492" s="28" t="n"/>
      <c r="E1492" s="44" t="n"/>
      <c r="F1492" s="44" t="n"/>
      <c r="G1492" s="23" t="n"/>
      <c r="H1492" s="23" t="n"/>
      <c r="I1492" s="23" t="n"/>
      <c r="J1492" s="23" t="n"/>
      <c r="K1492" s="45">
        <f>IF(A1492="","",SUM(G$2:I1492)-SUM(J$2:J1492))</f>
        <v/>
      </c>
      <c r="L1492" s="46" t="n"/>
      <c r="M1492">
        <f>IF(A1492="","",IF(A1492=A1491,M1491,N(M1491)+1))</f>
        <v/>
      </c>
      <c r="N1492">
        <f>IF(E1492="",99999,E1492)</f>
        <v/>
      </c>
      <c r="O1492">
        <f>IF(E1492="",0,IF(F1492="",E1492,F1492))</f>
        <v/>
      </c>
      <c r="P1492">
        <f>IF(E1492="",1,MAX(1,(YEAR(O1492)-YEAR(N1492))*12+MONTH(O1492)-MONTH(N1492)+1))</f>
        <v/>
      </c>
      <c r="Q1492">
        <f>IF(G1492="",0,G1492/P1492)</f>
        <v/>
      </c>
      <c r="R1492">
        <f>IF(H1492="",0,H1492/P1492)</f>
        <v/>
      </c>
    </row>
    <row r="1493">
      <c r="A1493" s="43" t="n"/>
      <c r="B1493" s="28" t="n"/>
      <c r="C1493" s="28" t="n"/>
      <c r="D1493" s="28" t="n"/>
      <c r="E1493" s="44" t="n"/>
      <c r="F1493" s="44" t="n"/>
      <c r="G1493" s="23" t="n"/>
      <c r="H1493" s="23" t="n"/>
      <c r="I1493" s="23" t="n"/>
      <c r="J1493" s="23" t="n"/>
      <c r="K1493" s="45">
        <f>IF(A1493="","",SUM(G$2:I1493)-SUM(J$2:J1493))</f>
        <v/>
      </c>
      <c r="L1493" s="46" t="n"/>
      <c r="M1493">
        <f>IF(A1493="","",IF(A1493=A1492,M1492,N(M1492)+1))</f>
        <v/>
      </c>
      <c r="N1493">
        <f>IF(E1493="",99999,E1493)</f>
        <v/>
      </c>
      <c r="O1493">
        <f>IF(E1493="",0,IF(F1493="",E1493,F1493))</f>
        <v/>
      </c>
      <c r="P1493">
        <f>IF(E1493="",1,MAX(1,(YEAR(O1493)-YEAR(N1493))*12+MONTH(O1493)-MONTH(N1493)+1))</f>
        <v/>
      </c>
      <c r="Q1493">
        <f>IF(G1493="",0,G1493/P1493)</f>
        <v/>
      </c>
      <c r="R1493">
        <f>IF(H1493="",0,H1493/P1493)</f>
        <v/>
      </c>
    </row>
    <row r="1494">
      <c r="A1494" s="43" t="n"/>
      <c r="B1494" s="28" t="n"/>
      <c r="C1494" s="28" t="n"/>
      <c r="D1494" s="28" t="n"/>
      <c r="E1494" s="44" t="n"/>
      <c r="F1494" s="44" t="n"/>
      <c r="G1494" s="23" t="n"/>
      <c r="H1494" s="23" t="n"/>
      <c r="I1494" s="23" t="n"/>
      <c r="J1494" s="23" t="n"/>
      <c r="K1494" s="45">
        <f>IF(A1494="","",SUM(G$2:I1494)-SUM(J$2:J1494))</f>
        <v/>
      </c>
      <c r="L1494" s="46" t="n"/>
      <c r="M1494">
        <f>IF(A1494="","",IF(A1494=A1493,M1493,N(M1493)+1))</f>
        <v/>
      </c>
      <c r="N1494">
        <f>IF(E1494="",99999,E1494)</f>
        <v/>
      </c>
      <c r="O1494">
        <f>IF(E1494="",0,IF(F1494="",E1494,F1494))</f>
        <v/>
      </c>
      <c r="P1494">
        <f>IF(E1494="",1,MAX(1,(YEAR(O1494)-YEAR(N1494))*12+MONTH(O1494)-MONTH(N1494)+1))</f>
        <v/>
      </c>
      <c r="Q1494">
        <f>IF(G1494="",0,G1494/P1494)</f>
        <v/>
      </c>
      <c r="R1494">
        <f>IF(H1494="",0,H1494/P1494)</f>
        <v/>
      </c>
    </row>
    <row r="1495">
      <c r="A1495" s="43" t="n"/>
      <c r="B1495" s="28" t="n"/>
      <c r="C1495" s="28" t="n"/>
      <c r="D1495" s="28" t="n"/>
      <c r="E1495" s="44" t="n"/>
      <c r="F1495" s="44" t="n"/>
      <c r="G1495" s="23" t="n"/>
      <c r="H1495" s="23" t="n"/>
      <c r="I1495" s="23" t="n"/>
      <c r="J1495" s="23" t="n"/>
      <c r="K1495" s="45">
        <f>IF(A1495="","",SUM(G$2:I1495)-SUM(J$2:J1495))</f>
        <v/>
      </c>
      <c r="L1495" s="46" t="n"/>
      <c r="M1495">
        <f>IF(A1495="","",IF(A1495=A1494,M1494,N(M1494)+1))</f>
        <v/>
      </c>
      <c r="N1495">
        <f>IF(E1495="",99999,E1495)</f>
        <v/>
      </c>
      <c r="O1495">
        <f>IF(E1495="",0,IF(F1495="",E1495,F1495))</f>
        <v/>
      </c>
      <c r="P1495">
        <f>IF(E1495="",1,MAX(1,(YEAR(O1495)-YEAR(N1495))*12+MONTH(O1495)-MONTH(N1495)+1))</f>
        <v/>
      </c>
      <c r="Q1495">
        <f>IF(G1495="",0,G1495/P1495)</f>
        <v/>
      </c>
      <c r="R1495">
        <f>IF(H1495="",0,H1495/P1495)</f>
        <v/>
      </c>
    </row>
    <row r="1496">
      <c r="A1496" s="43" t="n"/>
      <c r="B1496" s="28" t="n"/>
      <c r="C1496" s="28" t="n"/>
      <c r="D1496" s="28" t="n"/>
      <c r="E1496" s="44" t="n"/>
      <c r="F1496" s="44" t="n"/>
      <c r="G1496" s="23" t="n"/>
      <c r="H1496" s="23" t="n"/>
      <c r="I1496" s="23" t="n"/>
      <c r="J1496" s="23" t="n"/>
      <c r="K1496" s="45">
        <f>IF(A1496="","",SUM(G$2:I1496)-SUM(J$2:J1496))</f>
        <v/>
      </c>
      <c r="L1496" s="46" t="n"/>
      <c r="M1496">
        <f>IF(A1496="","",IF(A1496=A1495,M1495,N(M1495)+1))</f>
        <v/>
      </c>
      <c r="N1496">
        <f>IF(E1496="",99999,E1496)</f>
        <v/>
      </c>
      <c r="O1496">
        <f>IF(E1496="",0,IF(F1496="",E1496,F1496))</f>
        <v/>
      </c>
      <c r="P1496">
        <f>IF(E1496="",1,MAX(1,(YEAR(O1496)-YEAR(N1496))*12+MONTH(O1496)-MONTH(N1496)+1))</f>
        <v/>
      </c>
      <c r="Q1496">
        <f>IF(G1496="",0,G1496/P1496)</f>
        <v/>
      </c>
      <c r="R1496">
        <f>IF(H1496="",0,H1496/P1496)</f>
        <v/>
      </c>
    </row>
    <row r="1497">
      <c r="A1497" s="43" t="n"/>
      <c r="B1497" s="28" t="n"/>
      <c r="C1497" s="28" t="n"/>
      <c r="D1497" s="28" t="n"/>
      <c r="E1497" s="44" t="n"/>
      <c r="F1497" s="44" t="n"/>
      <c r="G1497" s="23" t="n"/>
      <c r="H1497" s="23" t="n"/>
      <c r="I1497" s="23" t="n"/>
      <c r="J1497" s="23" t="n"/>
      <c r="K1497" s="45">
        <f>IF(A1497="","",SUM(G$2:I1497)-SUM(J$2:J1497))</f>
        <v/>
      </c>
      <c r="L1497" s="46" t="n"/>
      <c r="M1497">
        <f>IF(A1497="","",IF(A1497=A1496,M1496,N(M1496)+1))</f>
        <v/>
      </c>
      <c r="N1497">
        <f>IF(E1497="",99999,E1497)</f>
        <v/>
      </c>
      <c r="O1497">
        <f>IF(E1497="",0,IF(F1497="",E1497,F1497))</f>
        <v/>
      </c>
      <c r="P1497">
        <f>IF(E1497="",1,MAX(1,(YEAR(O1497)-YEAR(N1497))*12+MONTH(O1497)-MONTH(N1497)+1))</f>
        <v/>
      </c>
      <c r="Q1497">
        <f>IF(G1497="",0,G1497/P1497)</f>
        <v/>
      </c>
      <c r="R1497">
        <f>IF(H1497="",0,H1497/P1497)</f>
        <v/>
      </c>
    </row>
    <row r="1498">
      <c r="A1498" s="43" t="n"/>
      <c r="B1498" s="28" t="n"/>
      <c r="C1498" s="28" t="n"/>
      <c r="D1498" s="28" t="n"/>
      <c r="E1498" s="44" t="n"/>
      <c r="F1498" s="44" t="n"/>
      <c r="G1498" s="23" t="n"/>
      <c r="H1498" s="23" t="n"/>
      <c r="I1498" s="23" t="n"/>
      <c r="J1498" s="23" t="n"/>
      <c r="K1498" s="45">
        <f>IF(A1498="","",SUM(G$2:I1498)-SUM(J$2:J1498))</f>
        <v/>
      </c>
      <c r="L1498" s="46" t="n"/>
      <c r="M1498">
        <f>IF(A1498="","",IF(A1498=A1497,M1497,N(M1497)+1))</f>
        <v/>
      </c>
      <c r="N1498">
        <f>IF(E1498="",99999,E1498)</f>
        <v/>
      </c>
      <c r="O1498">
        <f>IF(E1498="",0,IF(F1498="",E1498,F1498))</f>
        <v/>
      </c>
      <c r="P1498">
        <f>IF(E1498="",1,MAX(1,(YEAR(O1498)-YEAR(N1498))*12+MONTH(O1498)-MONTH(N1498)+1))</f>
        <v/>
      </c>
      <c r="Q1498">
        <f>IF(G1498="",0,G1498/P1498)</f>
        <v/>
      </c>
      <c r="R1498">
        <f>IF(H1498="",0,H1498/P1498)</f>
        <v/>
      </c>
    </row>
    <row r="1499">
      <c r="A1499" s="43" t="n"/>
      <c r="B1499" s="28" t="n"/>
      <c r="C1499" s="28" t="n"/>
      <c r="D1499" s="28" t="n"/>
      <c r="E1499" s="44" t="n"/>
      <c r="F1499" s="44" t="n"/>
      <c r="G1499" s="23" t="n"/>
      <c r="H1499" s="23" t="n"/>
      <c r="I1499" s="23" t="n"/>
      <c r="J1499" s="23" t="n"/>
      <c r="K1499" s="45">
        <f>IF(A1499="","",SUM(G$2:I1499)-SUM(J$2:J1499))</f>
        <v/>
      </c>
      <c r="L1499" s="46" t="n"/>
      <c r="M1499">
        <f>IF(A1499="","",IF(A1499=A1498,M1498,N(M1498)+1))</f>
        <v/>
      </c>
      <c r="N1499">
        <f>IF(E1499="",99999,E1499)</f>
        <v/>
      </c>
      <c r="O1499">
        <f>IF(E1499="",0,IF(F1499="",E1499,F1499))</f>
        <v/>
      </c>
      <c r="P1499">
        <f>IF(E1499="",1,MAX(1,(YEAR(O1499)-YEAR(N1499))*12+MONTH(O1499)-MONTH(N1499)+1))</f>
        <v/>
      </c>
      <c r="Q1499">
        <f>IF(G1499="",0,G1499/P1499)</f>
        <v/>
      </c>
      <c r="R1499">
        <f>IF(H1499="",0,H1499/P1499)</f>
        <v/>
      </c>
    </row>
    <row r="1500">
      <c r="A1500" s="43" t="n"/>
      <c r="B1500" s="28" t="n"/>
      <c r="C1500" s="28" t="n"/>
      <c r="D1500" s="28" t="n"/>
      <c r="E1500" s="44" t="n"/>
      <c r="F1500" s="44" t="n"/>
      <c r="G1500" s="23" t="n"/>
      <c r="H1500" s="23" t="n"/>
      <c r="I1500" s="23" t="n"/>
      <c r="J1500" s="23" t="n"/>
      <c r="K1500" s="45">
        <f>IF(A1500="","",SUM(G$2:I1500)-SUM(J$2:J1500))</f>
        <v/>
      </c>
      <c r="L1500" s="46" t="n"/>
      <c r="M1500">
        <f>IF(A1500="","",IF(A1500=A1499,M1499,N(M1499)+1))</f>
        <v/>
      </c>
      <c r="N1500">
        <f>IF(E1500="",99999,E1500)</f>
        <v/>
      </c>
      <c r="O1500">
        <f>IF(E1500="",0,IF(F1500="",E1500,F1500))</f>
        <v/>
      </c>
      <c r="P1500">
        <f>IF(E1500="",1,MAX(1,(YEAR(O1500)-YEAR(N1500))*12+MONTH(O1500)-MONTH(N1500)+1))</f>
        <v/>
      </c>
      <c r="Q1500">
        <f>IF(G1500="",0,G1500/P1500)</f>
        <v/>
      </c>
      <c r="R1500">
        <f>IF(H1500="",0,H1500/P1500)</f>
        <v/>
      </c>
    </row>
    <row r="1501">
      <c r="A1501" s="43" t="n"/>
      <c r="B1501" s="28" t="n"/>
      <c r="C1501" s="28" t="n"/>
      <c r="D1501" s="28" t="n"/>
      <c r="E1501" s="44" t="n"/>
      <c r="F1501" s="44" t="n"/>
      <c r="G1501" s="23" t="n"/>
      <c r="H1501" s="23" t="n"/>
      <c r="I1501" s="23" t="n"/>
      <c r="J1501" s="23" t="n"/>
      <c r="K1501" s="45">
        <f>IF(A1501="","",SUM(G$2:I1501)-SUM(J$2:J1501))</f>
        <v/>
      </c>
      <c r="L1501" s="46" t="n"/>
      <c r="M1501">
        <f>IF(A1501="","",IF(A1501=A1500,M1500,N(M1500)+1))</f>
        <v/>
      </c>
      <c r="N1501">
        <f>IF(E1501="",99999,E1501)</f>
        <v/>
      </c>
      <c r="O1501">
        <f>IF(E1501="",0,IF(F1501="",E1501,F1501))</f>
        <v/>
      </c>
      <c r="P1501">
        <f>IF(E1501="",1,MAX(1,(YEAR(O1501)-YEAR(N1501))*12+MONTH(O1501)-MONTH(N1501)+1))</f>
        <v/>
      </c>
      <c r="Q1501">
        <f>IF(G1501="",0,G1501/P1501)</f>
        <v/>
      </c>
      <c r="R1501">
        <f>IF(H1501="",0,H1501/P1501)</f>
        <v/>
      </c>
    </row>
    <row r="1502">
      <c r="A1502" s="43" t="n"/>
      <c r="B1502" s="28" t="n"/>
      <c r="C1502" s="28" t="n"/>
      <c r="D1502" s="28" t="n"/>
      <c r="E1502" s="44" t="n"/>
      <c r="F1502" s="44" t="n"/>
      <c r="G1502" s="23" t="n"/>
      <c r="H1502" s="23" t="n"/>
      <c r="I1502" s="23" t="n"/>
      <c r="J1502" s="23" t="n"/>
      <c r="K1502" s="45">
        <f>IF(A1502="","",SUM(G$2:I1502)-SUM(J$2:J1502))</f>
        <v/>
      </c>
      <c r="L1502" s="46" t="n"/>
      <c r="M1502">
        <f>IF(A1502="","",IF(A1502=A1501,M1501,N(M1501)+1))</f>
        <v/>
      </c>
      <c r="N1502">
        <f>IF(E1502="",99999,E1502)</f>
        <v/>
      </c>
      <c r="O1502">
        <f>IF(E1502="",0,IF(F1502="",E1502,F1502))</f>
        <v/>
      </c>
      <c r="P1502">
        <f>IF(E1502="",1,MAX(1,(YEAR(O1502)-YEAR(N1502))*12+MONTH(O1502)-MONTH(N1502)+1))</f>
        <v/>
      </c>
      <c r="Q1502">
        <f>IF(G1502="",0,G1502/P1502)</f>
        <v/>
      </c>
      <c r="R1502">
        <f>IF(H1502="",0,H1502/P1502)</f>
        <v/>
      </c>
    </row>
    <row r="1503">
      <c r="A1503" s="43" t="n"/>
      <c r="B1503" s="28" t="n"/>
      <c r="C1503" s="28" t="n"/>
      <c r="D1503" s="28" t="n"/>
      <c r="E1503" s="44" t="n"/>
      <c r="F1503" s="44" t="n"/>
      <c r="G1503" s="23" t="n"/>
      <c r="H1503" s="23" t="n"/>
      <c r="I1503" s="23" t="n"/>
      <c r="J1503" s="23" t="n"/>
      <c r="K1503" s="45">
        <f>IF(A1503="","",SUM(G$2:I1503)-SUM(J$2:J1503))</f>
        <v/>
      </c>
      <c r="L1503" s="46" t="n"/>
      <c r="M1503">
        <f>IF(A1503="","",IF(A1503=A1502,M1502,N(M1502)+1))</f>
        <v/>
      </c>
      <c r="N1503">
        <f>IF(E1503="",99999,E1503)</f>
        <v/>
      </c>
      <c r="O1503">
        <f>IF(E1503="",0,IF(F1503="",E1503,F1503))</f>
        <v/>
      </c>
      <c r="P1503">
        <f>IF(E1503="",1,MAX(1,(YEAR(O1503)-YEAR(N1503))*12+MONTH(O1503)-MONTH(N1503)+1))</f>
        <v/>
      </c>
      <c r="Q1503">
        <f>IF(G1503="",0,G1503/P1503)</f>
        <v/>
      </c>
      <c r="R1503">
        <f>IF(H1503="",0,H1503/P1503)</f>
        <v/>
      </c>
    </row>
    <row r="1504">
      <c r="A1504" s="43" t="n"/>
      <c r="B1504" s="28" t="n"/>
      <c r="C1504" s="28" t="n"/>
      <c r="D1504" s="28" t="n"/>
      <c r="E1504" s="44" t="n"/>
      <c r="F1504" s="44" t="n"/>
      <c r="G1504" s="23" t="n"/>
      <c r="H1504" s="23" t="n"/>
      <c r="I1504" s="23" t="n"/>
      <c r="J1504" s="23" t="n"/>
      <c r="K1504" s="45">
        <f>IF(A1504="","",SUM(G$2:I1504)-SUM(J$2:J1504))</f>
        <v/>
      </c>
      <c r="L1504" s="46" t="n"/>
      <c r="M1504">
        <f>IF(A1504="","",IF(A1504=A1503,M1503,N(M1503)+1))</f>
        <v/>
      </c>
      <c r="N1504">
        <f>IF(E1504="",99999,E1504)</f>
        <v/>
      </c>
      <c r="O1504">
        <f>IF(E1504="",0,IF(F1504="",E1504,F1504))</f>
        <v/>
      </c>
      <c r="P1504">
        <f>IF(E1504="",1,MAX(1,(YEAR(O1504)-YEAR(N1504))*12+MONTH(O1504)-MONTH(N1504)+1))</f>
        <v/>
      </c>
      <c r="Q1504">
        <f>IF(G1504="",0,G1504/P1504)</f>
        <v/>
      </c>
      <c r="R1504">
        <f>IF(H1504="",0,H1504/P1504)</f>
        <v/>
      </c>
    </row>
    <row r="1505">
      <c r="A1505" s="43" t="n"/>
      <c r="B1505" s="28" t="n"/>
      <c r="C1505" s="28" t="n"/>
      <c r="D1505" s="28" t="n"/>
      <c r="E1505" s="44" t="n"/>
      <c r="F1505" s="44" t="n"/>
      <c r="G1505" s="23" t="n"/>
      <c r="H1505" s="23" t="n"/>
      <c r="I1505" s="23" t="n"/>
      <c r="J1505" s="23" t="n"/>
      <c r="K1505" s="45">
        <f>IF(A1505="","",SUM(G$2:I1505)-SUM(J$2:J1505))</f>
        <v/>
      </c>
      <c r="L1505" s="46" t="n"/>
      <c r="M1505">
        <f>IF(A1505="","",IF(A1505=A1504,M1504,N(M1504)+1))</f>
        <v/>
      </c>
      <c r="N1505">
        <f>IF(E1505="",99999,E1505)</f>
        <v/>
      </c>
      <c r="O1505">
        <f>IF(E1505="",0,IF(F1505="",E1505,F1505))</f>
        <v/>
      </c>
      <c r="P1505">
        <f>IF(E1505="",1,MAX(1,(YEAR(O1505)-YEAR(N1505))*12+MONTH(O1505)-MONTH(N1505)+1))</f>
        <v/>
      </c>
      <c r="Q1505">
        <f>IF(G1505="",0,G1505/P1505)</f>
        <v/>
      </c>
      <c r="R1505">
        <f>IF(H1505="",0,H1505/P1505)</f>
        <v/>
      </c>
    </row>
    <row r="1506">
      <c r="A1506" s="43" t="n"/>
      <c r="B1506" s="28" t="n"/>
      <c r="C1506" s="28" t="n"/>
      <c r="D1506" s="28" t="n"/>
      <c r="E1506" s="44" t="n"/>
      <c r="F1506" s="44" t="n"/>
      <c r="G1506" s="23" t="n"/>
      <c r="H1506" s="23" t="n"/>
      <c r="I1506" s="23" t="n"/>
      <c r="J1506" s="23" t="n"/>
      <c r="K1506" s="45">
        <f>IF(A1506="","",SUM(G$2:I1506)-SUM(J$2:J1506))</f>
        <v/>
      </c>
      <c r="L1506" s="46" t="n"/>
      <c r="M1506">
        <f>IF(A1506="","",IF(A1506=A1505,M1505,N(M1505)+1))</f>
        <v/>
      </c>
      <c r="N1506">
        <f>IF(E1506="",99999,E1506)</f>
        <v/>
      </c>
      <c r="O1506">
        <f>IF(E1506="",0,IF(F1506="",E1506,F1506))</f>
        <v/>
      </c>
      <c r="P1506">
        <f>IF(E1506="",1,MAX(1,(YEAR(O1506)-YEAR(N1506))*12+MONTH(O1506)-MONTH(N1506)+1))</f>
        <v/>
      </c>
      <c r="Q1506">
        <f>IF(G1506="",0,G1506/P1506)</f>
        <v/>
      </c>
      <c r="R1506">
        <f>IF(H1506="",0,H1506/P1506)</f>
        <v/>
      </c>
    </row>
    <row r="1507">
      <c r="A1507" s="43" t="n"/>
      <c r="B1507" s="28" t="n"/>
      <c r="C1507" s="28" t="n"/>
      <c r="D1507" s="28" t="n"/>
      <c r="E1507" s="44" t="n"/>
      <c r="F1507" s="44" t="n"/>
      <c r="G1507" s="23" t="n"/>
      <c r="H1507" s="23" t="n"/>
      <c r="I1507" s="23" t="n"/>
      <c r="J1507" s="23" t="n"/>
      <c r="K1507" s="45">
        <f>IF(A1507="","",SUM(G$2:I1507)-SUM(J$2:J1507))</f>
        <v/>
      </c>
      <c r="L1507" s="46" t="n"/>
      <c r="M1507">
        <f>IF(A1507="","",IF(A1507=A1506,M1506,N(M1506)+1))</f>
        <v/>
      </c>
      <c r="N1507">
        <f>IF(E1507="",99999,E1507)</f>
        <v/>
      </c>
      <c r="O1507">
        <f>IF(E1507="",0,IF(F1507="",E1507,F1507))</f>
        <v/>
      </c>
      <c r="P1507">
        <f>IF(E1507="",1,MAX(1,(YEAR(O1507)-YEAR(N1507))*12+MONTH(O1507)-MONTH(N1507)+1))</f>
        <v/>
      </c>
      <c r="Q1507">
        <f>IF(G1507="",0,G1507/P1507)</f>
        <v/>
      </c>
      <c r="R1507">
        <f>IF(H1507="",0,H1507/P1507)</f>
        <v/>
      </c>
    </row>
    <row r="1508">
      <c r="A1508" s="43" t="n"/>
      <c r="B1508" s="28" t="n"/>
      <c r="C1508" s="28" t="n"/>
      <c r="D1508" s="28" t="n"/>
      <c r="E1508" s="44" t="n"/>
      <c r="F1508" s="44" t="n"/>
      <c r="G1508" s="23" t="n"/>
      <c r="H1508" s="23" t="n"/>
      <c r="I1508" s="23" t="n"/>
      <c r="J1508" s="23" t="n"/>
      <c r="K1508" s="45">
        <f>IF(A1508="","",SUM(G$2:I1508)-SUM(J$2:J1508))</f>
        <v/>
      </c>
      <c r="L1508" s="46" t="n"/>
      <c r="M1508">
        <f>IF(A1508="","",IF(A1508=A1507,M1507,N(M1507)+1))</f>
        <v/>
      </c>
      <c r="N1508">
        <f>IF(E1508="",99999,E1508)</f>
        <v/>
      </c>
      <c r="O1508">
        <f>IF(E1508="",0,IF(F1508="",E1508,F1508))</f>
        <v/>
      </c>
      <c r="P1508">
        <f>IF(E1508="",1,MAX(1,(YEAR(O1508)-YEAR(N1508))*12+MONTH(O1508)-MONTH(N1508)+1))</f>
        <v/>
      </c>
      <c r="Q1508">
        <f>IF(G1508="",0,G1508/P1508)</f>
        <v/>
      </c>
      <c r="R1508">
        <f>IF(H1508="",0,H1508/P1508)</f>
        <v/>
      </c>
    </row>
    <row r="1509">
      <c r="A1509" s="43" t="n"/>
      <c r="B1509" s="28" t="n"/>
      <c r="C1509" s="28" t="n"/>
      <c r="D1509" s="28" t="n"/>
      <c r="E1509" s="44" t="n"/>
      <c r="F1509" s="44" t="n"/>
      <c r="G1509" s="23" t="n"/>
      <c r="H1509" s="23" t="n"/>
      <c r="I1509" s="23" t="n"/>
      <c r="J1509" s="23" t="n"/>
      <c r="K1509" s="45">
        <f>IF(A1509="","",SUM(G$2:I1509)-SUM(J$2:J1509))</f>
        <v/>
      </c>
      <c r="L1509" s="46" t="n"/>
      <c r="M1509">
        <f>IF(A1509="","",IF(A1509=A1508,M1508,N(M1508)+1))</f>
        <v/>
      </c>
      <c r="N1509">
        <f>IF(E1509="",99999,E1509)</f>
        <v/>
      </c>
      <c r="O1509">
        <f>IF(E1509="",0,IF(F1509="",E1509,F1509))</f>
        <v/>
      </c>
      <c r="P1509">
        <f>IF(E1509="",1,MAX(1,(YEAR(O1509)-YEAR(N1509))*12+MONTH(O1509)-MONTH(N1509)+1))</f>
        <v/>
      </c>
      <c r="Q1509">
        <f>IF(G1509="",0,G1509/P1509)</f>
        <v/>
      </c>
      <c r="R1509">
        <f>IF(H1509="",0,H1509/P1509)</f>
        <v/>
      </c>
    </row>
    <row r="1510">
      <c r="A1510" s="43" t="n"/>
      <c r="B1510" s="28" t="n"/>
      <c r="C1510" s="28" t="n"/>
      <c r="D1510" s="28" t="n"/>
      <c r="E1510" s="44" t="n"/>
      <c r="F1510" s="44" t="n"/>
      <c r="G1510" s="23" t="n"/>
      <c r="H1510" s="23" t="n"/>
      <c r="I1510" s="23" t="n"/>
      <c r="J1510" s="23" t="n"/>
      <c r="K1510" s="45">
        <f>IF(A1510="","",SUM(G$2:I1510)-SUM(J$2:J1510))</f>
        <v/>
      </c>
      <c r="L1510" s="46" t="n"/>
      <c r="M1510">
        <f>IF(A1510="","",IF(A1510=A1509,M1509,N(M1509)+1))</f>
        <v/>
      </c>
      <c r="N1510">
        <f>IF(E1510="",99999,E1510)</f>
        <v/>
      </c>
      <c r="O1510">
        <f>IF(E1510="",0,IF(F1510="",E1510,F1510))</f>
        <v/>
      </c>
      <c r="P1510">
        <f>IF(E1510="",1,MAX(1,(YEAR(O1510)-YEAR(N1510))*12+MONTH(O1510)-MONTH(N1510)+1))</f>
        <v/>
      </c>
      <c r="Q1510">
        <f>IF(G1510="",0,G1510/P1510)</f>
        <v/>
      </c>
      <c r="R1510">
        <f>IF(H1510="",0,H1510/P1510)</f>
        <v/>
      </c>
    </row>
    <row r="1511">
      <c r="A1511" s="43" t="n"/>
      <c r="B1511" s="28" t="n"/>
      <c r="C1511" s="28" t="n"/>
      <c r="D1511" s="28" t="n"/>
      <c r="E1511" s="44" t="n"/>
      <c r="F1511" s="44" t="n"/>
      <c r="G1511" s="23" t="n"/>
      <c r="H1511" s="23" t="n"/>
      <c r="I1511" s="23" t="n"/>
      <c r="J1511" s="23" t="n"/>
      <c r="K1511" s="45">
        <f>IF(A1511="","",SUM(G$2:I1511)-SUM(J$2:J1511))</f>
        <v/>
      </c>
      <c r="L1511" s="46" t="n"/>
      <c r="M1511">
        <f>IF(A1511="","",IF(A1511=A1510,M1510,N(M1510)+1))</f>
        <v/>
      </c>
      <c r="N1511">
        <f>IF(E1511="",99999,E1511)</f>
        <v/>
      </c>
      <c r="O1511">
        <f>IF(E1511="",0,IF(F1511="",E1511,F1511))</f>
        <v/>
      </c>
      <c r="P1511">
        <f>IF(E1511="",1,MAX(1,(YEAR(O1511)-YEAR(N1511))*12+MONTH(O1511)-MONTH(N1511)+1))</f>
        <v/>
      </c>
      <c r="Q1511">
        <f>IF(G1511="",0,G1511/P1511)</f>
        <v/>
      </c>
      <c r="R1511">
        <f>IF(H1511="",0,H1511/P1511)</f>
        <v/>
      </c>
    </row>
    <row r="1512">
      <c r="A1512" s="43" t="n"/>
      <c r="B1512" s="28" t="n"/>
      <c r="C1512" s="28" t="n"/>
      <c r="D1512" s="28" t="n"/>
      <c r="E1512" s="44" t="n"/>
      <c r="F1512" s="44" t="n"/>
      <c r="G1512" s="23" t="n"/>
      <c r="H1512" s="23" t="n"/>
      <c r="I1512" s="23" t="n"/>
      <c r="J1512" s="23" t="n"/>
      <c r="K1512" s="45">
        <f>IF(A1512="","",SUM(G$2:I1512)-SUM(J$2:J1512))</f>
        <v/>
      </c>
      <c r="L1512" s="46" t="n"/>
      <c r="M1512">
        <f>IF(A1512="","",IF(A1512=A1511,M1511,N(M1511)+1))</f>
        <v/>
      </c>
      <c r="N1512">
        <f>IF(E1512="",99999,E1512)</f>
        <v/>
      </c>
      <c r="O1512">
        <f>IF(E1512="",0,IF(F1512="",E1512,F1512))</f>
        <v/>
      </c>
      <c r="P1512">
        <f>IF(E1512="",1,MAX(1,(YEAR(O1512)-YEAR(N1512))*12+MONTH(O1512)-MONTH(N1512)+1))</f>
        <v/>
      </c>
      <c r="Q1512">
        <f>IF(G1512="",0,G1512/P1512)</f>
        <v/>
      </c>
      <c r="R1512">
        <f>IF(H1512="",0,H1512/P1512)</f>
        <v/>
      </c>
    </row>
    <row r="1513">
      <c r="A1513" s="43" t="n"/>
      <c r="B1513" s="28" t="n"/>
      <c r="C1513" s="28" t="n"/>
      <c r="D1513" s="28" t="n"/>
      <c r="E1513" s="44" t="n"/>
      <c r="F1513" s="44" t="n"/>
      <c r="G1513" s="23" t="n"/>
      <c r="H1513" s="23" t="n"/>
      <c r="I1513" s="23" t="n"/>
      <c r="J1513" s="23" t="n"/>
      <c r="K1513" s="45">
        <f>IF(A1513="","",SUM(G$2:I1513)-SUM(J$2:J1513))</f>
        <v/>
      </c>
      <c r="L1513" s="46" t="n"/>
      <c r="M1513">
        <f>IF(A1513="","",IF(A1513=A1512,M1512,N(M1512)+1))</f>
        <v/>
      </c>
      <c r="N1513">
        <f>IF(E1513="",99999,E1513)</f>
        <v/>
      </c>
      <c r="O1513">
        <f>IF(E1513="",0,IF(F1513="",E1513,F1513))</f>
        <v/>
      </c>
      <c r="P1513">
        <f>IF(E1513="",1,MAX(1,(YEAR(O1513)-YEAR(N1513))*12+MONTH(O1513)-MONTH(N1513)+1))</f>
        <v/>
      </c>
      <c r="Q1513">
        <f>IF(G1513="",0,G1513/P1513)</f>
        <v/>
      </c>
      <c r="R1513">
        <f>IF(H1513="",0,H1513/P1513)</f>
        <v/>
      </c>
    </row>
    <row r="1514">
      <c r="A1514" s="43" t="n"/>
      <c r="B1514" s="28" t="n"/>
      <c r="C1514" s="28" t="n"/>
      <c r="D1514" s="28" t="n"/>
      <c r="E1514" s="44" t="n"/>
      <c r="F1514" s="44" t="n"/>
      <c r="G1514" s="23" t="n"/>
      <c r="H1514" s="23" t="n"/>
      <c r="I1514" s="23" t="n"/>
      <c r="J1514" s="23" t="n"/>
      <c r="K1514" s="45">
        <f>IF(A1514="","",SUM(G$2:I1514)-SUM(J$2:J1514))</f>
        <v/>
      </c>
      <c r="L1514" s="46" t="n"/>
      <c r="M1514">
        <f>IF(A1514="","",IF(A1514=A1513,M1513,N(M1513)+1))</f>
        <v/>
      </c>
      <c r="N1514">
        <f>IF(E1514="",99999,E1514)</f>
        <v/>
      </c>
      <c r="O1514">
        <f>IF(E1514="",0,IF(F1514="",E1514,F1514))</f>
        <v/>
      </c>
      <c r="P1514">
        <f>IF(E1514="",1,MAX(1,(YEAR(O1514)-YEAR(N1514))*12+MONTH(O1514)-MONTH(N1514)+1))</f>
        <v/>
      </c>
      <c r="Q1514">
        <f>IF(G1514="",0,G1514/P1514)</f>
        <v/>
      </c>
      <c r="R1514">
        <f>IF(H1514="",0,H1514/P1514)</f>
        <v/>
      </c>
    </row>
    <row r="1515">
      <c r="A1515" s="43" t="n"/>
      <c r="B1515" s="28" t="n"/>
      <c r="C1515" s="28" t="n"/>
      <c r="D1515" s="28" t="n"/>
      <c r="E1515" s="44" t="n"/>
      <c r="F1515" s="44" t="n"/>
      <c r="G1515" s="23" t="n"/>
      <c r="H1515" s="23" t="n"/>
      <c r="I1515" s="23" t="n"/>
      <c r="J1515" s="23" t="n"/>
      <c r="K1515" s="45">
        <f>IF(A1515="","",SUM(G$2:I1515)-SUM(J$2:J1515))</f>
        <v/>
      </c>
      <c r="L1515" s="46" t="n"/>
      <c r="M1515">
        <f>IF(A1515="","",IF(A1515=A1514,M1514,N(M1514)+1))</f>
        <v/>
      </c>
      <c r="N1515">
        <f>IF(E1515="",99999,E1515)</f>
        <v/>
      </c>
      <c r="O1515">
        <f>IF(E1515="",0,IF(F1515="",E1515,F1515))</f>
        <v/>
      </c>
      <c r="P1515">
        <f>IF(E1515="",1,MAX(1,(YEAR(O1515)-YEAR(N1515))*12+MONTH(O1515)-MONTH(N1515)+1))</f>
        <v/>
      </c>
      <c r="Q1515">
        <f>IF(G1515="",0,G1515/P1515)</f>
        <v/>
      </c>
      <c r="R1515">
        <f>IF(H1515="",0,H1515/P1515)</f>
        <v/>
      </c>
    </row>
    <row r="1516">
      <c r="A1516" s="43" t="n"/>
      <c r="B1516" s="28" t="n"/>
      <c r="C1516" s="28" t="n"/>
      <c r="D1516" s="28" t="n"/>
      <c r="E1516" s="44" t="n"/>
      <c r="F1516" s="44" t="n"/>
      <c r="G1516" s="23" t="n"/>
      <c r="H1516" s="23" t="n"/>
      <c r="I1516" s="23" t="n"/>
      <c r="J1516" s="23" t="n"/>
      <c r="K1516" s="45">
        <f>IF(A1516="","",SUM(G$2:I1516)-SUM(J$2:J1516))</f>
        <v/>
      </c>
      <c r="L1516" s="46" t="n"/>
      <c r="M1516">
        <f>IF(A1516="","",IF(A1516=A1515,M1515,N(M1515)+1))</f>
        <v/>
      </c>
      <c r="N1516">
        <f>IF(E1516="",99999,E1516)</f>
        <v/>
      </c>
      <c r="O1516">
        <f>IF(E1516="",0,IF(F1516="",E1516,F1516))</f>
        <v/>
      </c>
      <c r="P1516">
        <f>IF(E1516="",1,MAX(1,(YEAR(O1516)-YEAR(N1516))*12+MONTH(O1516)-MONTH(N1516)+1))</f>
        <v/>
      </c>
      <c r="Q1516">
        <f>IF(G1516="",0,G1516/P1516)</f>
        <v/>
      </c>
      <c r="R1516">
        <f>IF(H1516="",0,H1516/P1516)</f>
        <v/>
      </c>
    </row>
    <row r="1517">
      <c r="A1517" s="43" t="n"/>
      <c r="B1517" s="28" t="n"/>
      <c r="C1517" s="28" t="n"/>
      <c r="D1517" s="28" t="n"/>
      <c r="E1517" s="44" t="n"/>
      <c r="F1517" s="44" t="n"/>
      <c r="G1517" s="23" t="n"/>
      <c r="H1517" s="23" t="n"/>
      <c r="I1517" s="23" t="n"/>
      <c r="J1517" s="23" t="n"/>
      <c r="K1517" s="45">
        <f>IF(A1517="","",SUM(G$2:I1517)-SUM(J$2:J1517))</f>
        <v/>
      </c>
      <c r="L1517" s="46" t="n"/>
      <c r="M1517">
        <f>IF(A1517="","",IF(A1517=A1516,M1516,N(M1516)+1))</f>
        <v/>
      </c>
      <c r="N1517">
        <f>IF(E1517="",99999,E1517)</f>
        <v/>
      </c>
      <c r="O1517">
        <f>IF(E1517="",0,IF(F1517="",E1517,F1517))</f>
        <v/>
      </c>
      <c r="P1517">
        <f>IF(E1517="",1,MAX(1,(YEAR(O1517)-YEAR(N1517))*12+MONTH(O1517)-MONTH(N1517)+1))</f>
        <v/>
      </c>
      <c r="Q1517">
        <f>IF(G1517="",0,G1517/P1517)</f>
        <v/>
      </c>
      <c r="R1517">
        <f>IF(H1517="",0,H1517/P1517)</f>
        <v/>
      </c>
    </row>
    <row r="1518">
      <c r="A1518" s="43" t="n"/>
      <c r="B1518" s="28" t="n"/>
      <c r="C1518" s="28" t="n"/>
      <c r="D1518" s="28" t="n"/>
      <c r="E1518" s="44" t="n"/>
      <c r="F1518" s="44" t="n"/>
      <c r="G1518" s="23" t="n"/>
      <c r="H1518" s="23" t="n"/>
      <c r="I1518" s="23" t="n"/>
      <c r="J1518" s="23" t="n"/>
      <c r="K1518" s="45">
        <f>IF(A1518="","",SUM(G$2:I1518)-SUM(J$2:J1518))</f>
        <v/>
      </c>
      <c r="L1518" s="46" t="n"/>
      <c r="M1518">
        <f>IF(A1518="","",IF(A1518=A1517,M1517,N(M1517)+1))</f>
        <v/>
      </c>
      <c r="N1518">
        <f>IF(E1518="",99999,E1518)</f>
        <v/>
      </c>
      <c r="O1518">
        <f>IF(E1518="",0,IF(F1518="",E1518,F1518))</f>
        <v/>
      </c>
      <c r="P1518">
        <f>IF(E1518="",1,MAX(1,(YEAR(O1518)-YEAR(N1518))*12+MONTH(O1518)-MONTH(N1518)+1))</f>
        <v/>
      </c>
      <c r="Q1518">
        <f>IF(G1518="",0,G1518/P1518)</f>
        <v/>
      </c>
      <c r="R1518">
        <f>IF(H1518="",0,H1518/P1518)</f>
        <v/>
      </c>
    </row>
    <row r="1519">
      <c r="A1519" s="43" t="n"/>
      <c r="B1519" s="28" t="n"/>
      <c r="C1519" s="28" t="n"/>
      <c r="D1519" s="28" t="n"/>
      <c r="E1519" s="44" t="n"/>
      <c r="F1519" s="44" t="n"/>
      <c r="G1519" s="23" t="n"/>
      <c r="H1519" s="23" t="n"/>
      <c r="I1519" s="23" t="n"/>
      <c r="J1519" s="23" t="n"/>
      <c r="K1519" s="45">
        <f>IF(A1519="","",SUM(G$2:I1519)-SUM(J$2:J1519))</f>
        <v/>
      </c>
      <c r="L1519" s="46" t="n"/>
      <c r="M1519">
        <f>IF(A1519="","",IF(A1519=A1518,M1518,N(M1518)+1))</f>
        <v/>
      </c>
      <c r="N1519">
        <f>IF(E1519="",99999,E1519)</f>
        <v/>
      </c>
      <c r="O1519">
        <f>IF(E1519="",0,IF(F1519="",E1519,F1519))</f>
        <v/>
      </c>
      <c r="P1519">
        <f>IF(E1519="",1,MAX(1,(YEAR(O1519)-YEAR(N1519))*12+MONTH(O1519)-MONTH(N1519)+1))</f>
        <v/>
      </c>
      <c r="Q1519">
        <f>IF(G1519="",0,G1519/P1519)</f>
        <v/>
      </c>
      <c r="R1519">
        <f>IF(H1519="",0,H1519/P1519)</f>
        <v/>
      </c>
    </row>
    <row r="1520">
      <c r="A1520" s="43" t="n"/>
      <c r="B1520" s="28" t="n"/>
      <c r="C1520" s="28" t="n"/>
      <c r="D1520" s="28" t="n"/>
      <c r="E1520" s="44" t="n"/>
      <c r="F1520" s="44" t="n"/>
      <c r="G1520" s="23" t="n"/>
      <c r="H1520" s="23" t="n"/>
      <c r="I1520" s="23" t="n"/>
      <c r="J1520" s="23" t="n"/>
      <c r="K1520" s="45">
        <f>IF(A1520="","",SUM(G$2:I1520)-SUM(J$2:J1520))</f>
        <v/>
      </c>
      <c r="L1520" s="46" t="n"/>
      <c r="M1520">
        <f>IF(A1520="","",IF(A1520=A1519,M1519,N(M1519)+1))</f>
        <v/>
      </c>
      <c r="N1520">
        <f>IF(E1520="",99999,E1520)</f>
        <v/>
      </c>
      <c r="O1520">
        <f>IF(E1520="",0,IF(F1520="",E1520,F1520))</f>
        <v/>
      </c>
      <c r="P1520">
        <f>IF(E1520="",1,MAX(1,(YEAR(O1520)-YEAR(N1520))*12+MONTH(O1520)-MONTH(N1520)+1))</f>
        <v/>
      </c>
      <c r="Q1520">
        <f>IF(G1520="",0,G1520/P1520)</f>
        <v/>
      </c>
      <c r="R1520">
        <f>IF(H1520="",0,H1520/P1520)</f>
        <v/>
      </c>
    </row>
    <row r="1521">
      <c r="A1521" s="43" t="n"/>
      <c r="B1521" s="28" t="n"/>
      <c r="C1521" s="28" t="n"/>
      <c r="D1521" s="28" t="n"/>
      <c r="E1521" s="44" t="n"/>
      <c r="F1521" s="44" t="n"/>
      <c r="G1521" s="23" t="n"/>
      <c r="H1521" s="23" t="n"/>
      <c r="I1521" s="23" t="n"/>
      <c r="J1521" s="23" t="n"/>
      <c r="K1521" s="45">
        <f>IF(A1521="","",SUM(G$2:I1521)-SUM(J$2:J1521))</f>
        <v/>
      </c>
      <c r="L1521" s="46" t="n"/>
      <c r="M1521">
        <f>IF(A1521="","",IF(A1521=A1520,M1520,N(M1520)+1))</f>
        <v/>
      </c>
      <c r="N1521">
        <f>IF(E1521="",99999,E1521)</f>
        <v/>
      </c>
      <c r="O1521">
        <f>IF(E1521="",0,IF(F1521="",E1521,F1521))</f>
        <v/>
      </c>
      <c r="P1521">
        <f>IF(E1521="",1,MAX(1,(YEAR(O1521)-YEAR(N1521))*12+MONTH(O1521)-MONTH(N1521)+1))</f>
        <v/>
      </c>
      <c r="Q1521">
        <f>IF(G1521="",0,G1521/P1521)</f>
        <v/>
      </c>
      <c r="R1521">
        <f>IF(H1521="",0,H1521/P1521)</f>
        <v/>
      </c>
    </row>
    <row r="1522">
      <c r="A1522" s="43" t="n"/>
      <c r="B1522" s="28" t="n"/>
      <c r="C1522" s="28" t="n"/>
      <c r="D1522" s="28" t="n"/>
      <c r="E1522" s="44" t="n"/>
      <c r="F1522" s="44" t="n"/>
      <c r="G1522" s="23" t="n"/>
      <c r="H1522" s="23" t="n"/>
      <c r="I1522" s="23" t="n"/>
      <c r="J1522" s="23" t="n"/>
      <c r="K1522" s="45">
        <f>IF(A1522="","",SUM(G$2:I1522)-SUM(J$2:J1522))</f>
        <v/>
      </c>
      <c r="L1522" s="46" t="n"/>
      <c r="M1522">
        <f>IF(A1522="","",IF(A1522=A1521,M1521,N(M1521)+1))</f>
        <v/>
      </c>
      <c r="N1522">
        <f>IF(E1522="",99999,E1522)</f>
        <v/>
      </c>
      <c r="O1522">
        <f>IF(E1522="",0,IF(F1522="",E1522,F1522))</f>
        <v/>
      </c>
      <c r="P1522">
        <f>IF(E1522="",1,MAX(1,(YEAR(O1522)-YEAR(N1522))*12+MONTH(O1522)-MONTH(N1522)+1))</f>
        <v/>
      </c>
      <c r="Q1522">
        <f>IF(G1522="",0,G1522/P1522)</f>
        <v/>
      </c>
      <c r="R1522">
        <f>IF(H1522="",0,H1522/P1522)</f>
        <v/>
      </c>
    </row>
    <row r="1523">
      <c r="A1523" s="43" t="n"/>
      <c r="B1523" s="28" t="n"/>
      <c r="C1523" s="28" t="n"/>
      <c r="D1523" s="28" t="n"/>
      <c r="E1523" s="44" t="n"/>
      <c r="F1523" s="44" t="n"/>
      <c r="G1523" s="23" t="n"/>
      <c r="H1523" s="23" t="n"/>
      <c r="I1523" s="23" t="n"/>
      <c r="J1523" s="23" t="n"/>
      <c r="K1523" s="45">
        <f>IF(A1523="","",SUM(G$2:I1523)-SUM(J$2:J1523))</f>
        <v/>
      </c>
      <c r="L1523" s="46" t="n"/>
      <c r="M1523">
        <f>IF(A1523="","",IF(A1523=A1522,M1522,N(M1522)+1))</f>
        <v/>
      </c>
      <c r="N1523">
        <f>IF(E1523="",99999,E1523)</f>
        <v/>
      </c>
      <c r="O1523">
        <f>IF(E1523="",0,IF(F1523="",E1523,F1523))</f>
        <v/>
      </c>
      <c r="P1523">
        <f>IF(E1523="",1,MAX(1,(YEAR(O1523)-YEAR(N1523))*12+MONTH(O1523)-MONTH(N1523)+1))</f>
        <v/>
      </c>
      <c r="Q1523">
        <f>IF(G1523="",0,G1523/P1523)</f>
        <v/>
      </c>
      <c r="R1523">
        <f>IF(H1523="",0,H1523/P1523)</f>
        <v/>
      </c>
    </row>
    <row r="1524">
      <c r="A1524" s="43" t="n"/>
      <c r="B1524" s="28" t="n"/>
      <c r="C1524" s="28" t="n"/>
      <c r="D1524" s="28" t="n"/>
      <c r="E1524" s="44" t="n"/>
      <c r="F1524" s="44" t="n"/>
      <c r="G1524" s="23" t="n"/>
      <c r="H1524" s="23" t="n"/>
      <c r="I1524" s="23" t="n"/>
      <c r="J1524" s="23" t="n"/>
      <c r="K1524" s="45">
        <f>IF(A1524="","",SUM(G$2:I1524)-SUM(J$2:J1524))</f>
        <v/>
      </c>
      <c r="L1524" s="46" t="n"/>
      <c r="M1524">
        <f>IF(A1524="","",IF(A1524=A1523,M1523,N(M1523)+1))</f>
        <v/>
      </c>
      <c r="N1524">
        <f>IF(E1524="",99999,E1524)</f>
        <v/>
      </c>
      <c r="O1524">
        <f>IF(E1524="",0,IF(F1524="",E1524,F1524))</f>
        <v/>
      </c>
      <c r="P1524">
        <f>IF(E1524="",1,MAX(1,(YEAR(O1524)-YEAR(N1524))*12+MONTH(O1524)-MONTH(N1524)+1))</f>
        <v/>
      </c>
      <c r="Q1524">
        <f>IF(G1524="",0,G1524/P1524)</f>
        <v/>
      </c>
      <c r="R1524">
        <f>IF(H1524="",0,H1524/P1524)</f>
        <v/>
      </c>
    </row>
    <row r="1525">
      <c r="A1525" s="43" t="n"/>
      <c r="B1525" s="28" t="n"/>
      <c r="C1525" s="28" t="n"/>
      <c r="D1525" s="28" t="n"/>
      <c r="E1525" s="44" t="n"/>
      <c r="F1525" s="44" t="n"/>
      <c r="G1525" s="23" t="n"/>
      <c r="H1525" s="23" t="n"/>
      <c r="I1525" s="23" t="n"/>
      <c r="J1525" s="23" t="n"/>
      <c r="K1525" s="45">
        <f>IF(A1525="","",SUM(G$2:I1525)-SUM(J$2:J1525))</f>
        <v/>
      </c>
      <c r="L1525" s="46" t="n"/>
      <c r="M1525">
        <f>IF(A1525="","",IF(A1525=A1524,M1524,N(M1524)+1))</f>
        <v/>
      </c>
      <c r="N1525">
        <f>IF(E1525="",99999,E1525)</f>
        <v/>
      </c>
      <c r="O1525">
        <f>IF(E1525="",0,IF(F1525="",E1525,F1525))</f>
        <v/>
      </c>
      <c r="P1525">
        <f>IF(E1525="",1,MAX(1,(YEAR(O1525)-YEAR(N1525))*12+MONTH(O1525)-MONTH(N1525)+1))</f>
        <v/>
      </c>
      <c r="Q1525">
        <f>IF(G1525="",0,G1525/P1525)</f>
        <v/>
      </c>
      <c r="R1525">
        <f>IF(H1525="",0,H1525/P1525)</f>
        <v/>
      </c>
    </row>
    <row r="1526">
      <c r="A1526" s="43" t="n"/>
      <c r="B1526" s="28" t="n"/>
      <c r="C1526" s="28" t="n"/>
      <c r="D1526" s="28" t="n"/>
      <c r="E1526" s="44" t="n"/>
      <c r="F1526" s="44" t="n"/>
      <c r="G1526" s="23" t="n"/>
      <c r="H1526" s="23" t="n"/>
      <c r="I1526" s="23" t="n"/>
      <c r="J1526" s="23" t="n"/>
      <c r="K1526" s="45">
        <f>IF(A1526="","",SUM(G$2:I1526)-SUM(J$2:J1526))</f>
        <v/>
      </c>
      <c r="L1526" s="46" t="n"/>
      <c r="M1526">
        <f>IF(A1526="","",IF(A1526=A1525,M1525,N(M1525)+1))</f>
        <v/>
      </c>
      <c r="N1526">
        <f>IF(E1526="",99999,E1526)</f>
        <v/>
      </c>
      <c r="O1526">
        <f>IF(E1526="",0,IF(F1526="",E1526,F1526))</f>
        <v/>
      </c>
      <c r="P1526">
        <f>IF(E1526="",1,MAX(1,(YEAR(O1526)-YEAR(N1526))*12+MONTH(O1526)-MONTH(N1526)+1))</f>
        <v/>
      </c>
      <c r="Q1526">
        <f>IF(G1526="",0,G1526/P1526)</f>
        <v/>
      </c>
      <c r="R1526">
        <f>IF(H1526="",0,H1526/P1526)</f>
        <v/>
      </c>
    </row>
    <row r="1527">
      <c r="A1527" s="43" t="n"/>
      <c r="B1527" s="28" t="n"/>
      <c r="C1527" s="28" t="n"/>
      <c r="D1527" s="28" t="n"/>
      <c r="E1527" s="44" t="n"/>
      <c r="F1527" s="44" t="n"/>
      <c r="G1527" s="23" t="n"/>
      <c r="H1527" s="23" t="n"/>
      <c r="I1527" s="23" t="n"/>
      <c r="J1527" s="23" t="n"/>
      <c r="K1527" s="45">
        <f>IF(A1527="","",SUM(G$2:I1527)-SUM(J$2:J1527))</f>
        <v/>
      </c>
      <c r="L1527" s="46" t="n"/>
      <c r="M1527">
        <f>IF(A1527="","",IF(A1527=A1526,M1526,N(M1526)+1))</f>
        <v/>
      </c>
      <c r="N1527">
        <f>IF(E1527="",99999,E1527)</f>
        <v/>
      </c>
      <c r="O1527">
        <f>IF(E1527="",0,IF(F1527="",E1527,F1527))</f>
        <v/>
      </c>
      <c r="P1527">
        <f>IF(E1527="",1,MAX(1,(YEAR(O1527)-YEAR(N1527))*12+MONTH(O1527)-MONTH(N1527)+1))</f>
        <v/>
      </c>
      <c r="Q1527">
        <f>IF(G1527="",0,G1527/P1527)</f>
        <v/>
      </c>
      <c r="R1527">
        <f>IF(H1527="",0,H1527/P1527)</f>
        <v/>
      </c>
    </row>
    <row r="1528">
      <c r="A1528" s="43" t="n"/>
      <c r="B1528" s="28" t="n"/>
      <c r="C1528" s="28" t="n"/>
      <c r="D1528" s="28" t="n"/>
      <c r="E1528" s="44" t="n"/>
      <c r="F1528" s="44" t="n"/>
      <c r="G1528" s="23" t="n"/>
      <c r="H1528" s="23" t="n"/>
      <c r="I1528" s="23" t="n"/>
      <c r="J1528" s="23" t="n"/>
      <c r="K1528" s="45">
        <f>IF(A1528="","",SUM(G$2:I1528)-SUM(J$2:J1528))</f>
        <v/>
      </c>
      <c r="L1528" s="46" t="n"/>
      <c r="M1528">
        <f>IF(A1528="","",IF(A1528=A1527,M1527,N(M1527)+1))</f>
        <v/>
      </c>
      <c r="N1528">
        <f>IF(E1528="",99999,E1528)</f>
        <v/>
      </c>
      <c r="O1528">
        <f>IF(E1528="",0,IF(F1528="",E1528,F1528))</f>
        <v/>
      </c>
      <c r="P1528">
        <f>IF(E1528="",1,MAX(1,(YEAR(O1528)-YEAR(N1528))*12+MONTH(O1528)-MONTH(N1528)+1))</f>
        <v/>
      </c>
      <c r="Q1528">
        <f>IF(G1528="",0,G1528/P1528)</f>
        <v/>
      </c>
      <c r="R1528">
        <f>IF(H1528="",0,H1528/P1528)</f>
        <v/>
      </c>
    </row>
    <row r="1529">
      <c r="A1529" s="43" t="n"/>
      <c r="B1529" s="28" t="n"/>
      <c r="C1529" s="28" t="n"/>
      <c r="D1529" s="28" t="n"/>
      <c r="E1529" s="44" t="n"/>
      <c r="F1529" s="44" t="n"/>
      <c r="G1529" s="23" t="n"/>
      <c r="H1529" s="23" t="n"/>
      <c r="I1529" s="23" t="n"/>
      <c r="J1529" s="23" t="n"/>
      <c r="K1529" s="45">
        <f>IF(A1529="","",SUM(G$2:I1529)-SUM(J$2:J1529))</f>
        <v/>
      </c>
      <c r="L1529" s="46" t="n"/>
      <c r="M1529">
        <f>IF(A1529="","",IF(A1529=A1528,M1528,N(M1528)+1))</f>
        <v/>
      </c>
      <c r="N1529">
        <f>IF(E1529="",99999,E1529)</f>
        <v/>
      </c>
      <c r="O1529">
        <f>IF(E1529="",0,IF(F1529="",E1529,F1529))</f>
        <v/>
      </c>
      <c r="P1529">
        <f>IF(E1529="",1,MAX(1,(YEAR(O1529)-YEAR(N1529))*12+MONTH(O1529)-MONTH(N1529)+1))</f>
        <v/>
      </c>
      <c r="Q1529">
        <f>IF(G1529="",0,G1529/P1529)</f>
        <v/>
      </c>
      <c r="R1529">
        <f>IF(H1529="",0,H1529/P1529)</f>
        <v/>
      </c>
    </row>
    <row r="1530">
      <c r="A1530" s="43" t="n"/>
      <c r="B1530" s="28" t="n"/>
      <c r="C1530" s="28" t="n"/>
      <c r="D1530" s="28" t="n"/>
      <c r="E1530" s="44" t="n"/>
      <c r="F1530" s="44" t="n"/>
      <c r="G1530" s="23" t="n"/>
      <c r="H1530" s="23" t="n"/>
      <c r="I1530" s="23" t="n"/>
      <c r="J1530" s="23" t="n"/>
      <c r="K1530" s="45">
        <f>IF(A1530="","",SUM(G$2:I1530)-SUM(J$2:J1530))</f>
        <v/>
      </c>
      <c r="L1530" s="46" t="n"/>
      <c r="M1530">
        <f>IF(A1530="","",IF(A1530=A1529,M1529,N(M1529)+1))</f>
        <v/>
      </c>
      <c r="N1530">
        <f>IF(E1530="",99999,E1530)</f>
        <v/>
      </c>
      <c r="O1530">
        <f>IF(E1530="",0,IF(F1530="",E1530,F1530))</f>
        <v/>
      </c>
      <c r="P1530">
        <f>IF(E1530="",1,MAX(1,(YEAR(O1530)-YEAR(N1530))*12+MONTH(O1530)-MONTH(N1530)+1))</f>
        <v/>
      </c>
      <c r="Q1530">
        <f>IF(G1530="",0,G1530/P1530)</f>
        <v/>
      </c>
      <c r="R1530">
        <f>IF(H1530="",0,H1530/P1530)</f>
        <v/>
      </c>
    </row>
    <row r="1531">
      <c r="A1531" s="43" t="n"/>
      <c r="B1531" s="28" t="n"/>
      <c r="C1531" s="28" t="n"/>
      <c r="D1531" s="28" t="n"/>
      <c r="E1531" s="44" t="n"/>
      <c r="F1531" s="44" t="n"/>
      <c r="G1531" s="23" t="n"/>
      <c r="H1531" s="23" t="n"/>
      <c r="I1531" s="23" t="n"/>
      <c r="J1531" s="23" t="n"/>
      <c r="K1531" s="45">
        <f>IF(A1531="","",SUM(G$2:I1531)-SUM(J$2:J1531))</f>
        <v/>
      </c>
      <c r="L1531" s="46" t="n"/>
      <c r="M1531">
        <f>IF(A1531="","",IF(A1531=A1530,M1530,N(M1530)+1))</f>
        <v/>
      </c>
      <c r="N1531">
        <f>IF(E1531="",99999,E1531)</f>
        <v/>
      </c>
      <c r="O1531">
        <f>IF(E1531="",0,IF(F1531="",E1531,F1531))</f>
        <v/>
      </c>
      <c r="P1531">
        <f>IF(E1531="",1,MAX(1,(YEAR(O1531)-YEAR(N1531))*12+MONTH(O1531)-MONTH(N1531)+1))</f>
        <v/>
      </c>
      <c r="Q1531">
        <f>IF(G1531="",0,G1531/P1531)</f>
        <v/>
      </c>
      <c r="R1531">
        <f>IF(H1531="",0,H1531/P1531)</f>
        <v/>
      </c>
    </row>
    <row r="1532">
      <c r="A1532" s="43" t="n"/>
      <c r="B1532" s="28" t="n"/>
      <c r="C1532" s="28" t="n"/>
      <c r="D1532" s="28" t="n"/>
      <c r="E1532" s="44" t="n"/>
      <c r="F1532" s="44" t="n"/>
      <c r="G1532" s="23" t="n"/>
      <c r="H1532" s="23" t="n"/>
      <c r="I1532" s="23" t="n"/>
      <c r="J1532" s="23" t="n"/>
      <c r="K1532" s="45">
        <f>IF(A1532="","",SUM(G$2:I1532)-SUM(J$2:J1532))</f>
        <v/>
      </c>
      <c r="L1532" s="46" t="n"/>
      <c r="M1532">
        <f>IF(A1532="","",IF(A1532=A1531,M1531,N(M1531)+1))</f>
        <v/>
      </c>
      <c r="N1532">
        <f>IF(E1532="",99999,E1532)</f>
        <v/>
      </c>
      <c r="O1532">
        <f>IF(E1532="",0,IF(F1532="",E1532,F1532))</f>
        <v/>
      </c>
      <c r="P1532">
        <f>IF(E1532="",1,MAX(1,(YEAR(O1532)-YEAR(N1532))*12+MONTH(O1532)-MONTH(N1532)+1))</f>
        <v/>
      </c>
      <c r="Q1532">
        <f>IF(G1532="",0,G1532/P1532)</f>
        <v/>
      </c>
      <c r="R1532">
        <f>IF(H1532="",0,H1532/P1532)</f>
        <v/>
      </c>
    </row>
    <row r="1533">
      <c r="A1533" s="43" t="n"/>
      <c r="B1533" s="28" t="n"/>
      <c r="C1533" s="28" t="n"/>
      <c r="D1533" s="28" t="n"/>
      <c r="E1533" s="44" t="n"/>
      <c r="F1533" s="44" t="n"/>
      <c r="G1533" s="23" t="n"/>
      <c r="H1533" s="23" t="n"/>
      <c r="I1533" s="23" t="n"/>
      <c r="J1533" s="23" t="n"/>
      <c r="K1533" s="45">
        <f>IF(A1533="","",SUM(G$2:I1533)-SUM(J$2:J1533))</f>
        <v/>
      </c>
      <c r="L1533" s="46" t="n"/>
      <c r="M1533">
        <f>IF(A1533="","",IF(A1533=A1532,M1532,N(M1532)+1))</f>
        <v/>
      </c>
      <c r="N1533">
        <f>IF(E1533="",99999,E1533)</f>
        <v/>
      </c>
      <c r="O1533">
        <f>IF(E1533="",0,IF(F1533="",E1533,F1533))</f>
        <v/>
      </c>
      <c r="P1533">
        <f>IF(E1533="",1,MAX(1,(YEAR(O1533)-YEAR(N1533))*12+MONTH(O1533)-MONTH(N1533)+1))</f>
        <v/>
      </c>
      <c r="Q1533">
        <f>IF(G1533="",0,G1533/P1533)</f>
        <v/>
      </c>
      <c r="R1533">
        <f>IF(H1533="",0,H1533/P1533)</f>
        <v/>
      </c>
    </row>
    <row r="1534">
      <c r="A1534" s="43" t="n"/>
      <c r="B1534" s="28" t="n"/>
      <c r="C1534" s="28" t="n"/>
      <c r="D1534" s="28" t="n"/>
      <c r="E1534" s="44" t="n"/>
      <c r="F1534" s="44" t="n"/>
      <c r="G1534" s="23" t="n"/>
      <c r="H1534" s="23" t="n"/>
      <c r="I1534" s="23" t="n"/>
      <c r="J1534" s="23" t="n"/>
      <c r="K1534" s="45">
        <f>IF(A1534="","",SUM(G$2:I1534)-SUM(J$2:J1534))</f>
        <v/>
      </c>
      <c r="L1534" s="46" t="n"/>
      <c r="M1534">
        <f>IF(A1534="","",IF(A1534=A1533,M1533,N(M1533)+1))</f>
        <v/>
      </c>
      <c r="N1534">
        <f>IF(E1534="",99999,E1534)</f>
        <v/>
      </c>
      <c r="O1534">
        <f>IF(E1534="",0,IF(F1534="",E1534,F1534))</f>
        <v/>
      </c>
      <c r="P1534">
        <f>IF(E1534="",1,MAX(1,(YEAR(O1534)-YEAR(N1534))*12+MONTH(O1534)-MONTH(N1534)+1))</f>
        <v/>
      </c>
      <c r="Q1534">
        <f>IF(G1534="",0,G1534/P1534)</f>
        <v/>
      </c>
      <c r="R1534">
        <f>IF(H1534="",0,H1534/P1534)</f>
        <v/>
      </c>
    </row>
    <row r="1535">
      <c r="A1535" s="43" t="n"/>
      <c r="B1535" s="28" t="n"/>
      <c r="C1535" s="28" t="n"/>
      <c r="D1535" s="28" t="n"/>
      <c r="E1535" s="44" t="n"/>
      <c r="F1535" s="44" t="n"/>
      <c r="G1535" s="23" t="n"/>
      <c r="H1535" s="23" t="n"/>
      <c r="I1535" s="23" t="n"/>
      <c r="J1535" s="23" t="n"/>
      <c r="K1535" s="45">
        <f>IF(A1535="","",SUM(G$2:I1535)-SUM(J$2:J1535))</f>
        <v/>
      </c>
      <c r="L1535" s="46" t="n"/>
      <c r="M1535">
        <f>IF(A1535="","",IF(A1535=A1534,M1534,N(M1534)+1))</f>
        <v/>
      </c>
      <c r="N1535">
        <f>IF(E1535="",99999,E1535)</f>
        <v/>
      </c>
      <c r="O1535">
        <f>IF(E1535="",0,IF(F1535="",E1535,F1535))</f>
        <v/>
      </c>
      <c r="P1535">
        <f>IF(E1535="",1,MAX(1,(YEAR(O1535)-YEAR(N1535))*12+MONTH(O1535)-MONTH(N1535)+1))</f>
        <v/>
      </c>
      <c r="Q1535">
        <f>IF(G1535="",0,G1535/P1535)</f>
        <v/>
      </c>
      <c r="R1535">
        <f>IF(H1535="",0,H1535/P1535)</f>
        <v/>
      </c>
    </row>
    <row r="1536">
      <c r="A1536" s="43" t="n"/>
      <c r="B1536" s="28" t="n"/>
      <c r="C1536" s="28" t="n"/>
      <c r="D1536" s="28" t="n"/>
      <c r="E1536" s="44" t="n"/>
      <c r="F1536" s="44" t="n"/>
      <c r="G1536" s="23" t="n"/>
      <c r="H1536" s="23" t="n"/>
      <c r="I1536" s="23" t="n"/>
      <c r="J1536" s="23" t="n"/>
      <c r="K1536" s="45">
        <f>IF(A1536="","",SUM(G$2:I1536)-SUM(J$2:J1536))</f>
        <v/>
      </c>
      <c r="L1536" s="46" t="n"/>
      <c r="M1536">
        <f>IF(A1536="","",IF(A1536=A1535,M1535,N(M1535)+1))</f>
        <v/>
      </c>
      <c r="N1536">
        <f>IF(E1536="",99999,E1536)</f>
        <v/>
      </c>
      <c r="O1536">
        <f>IF(E1536="",0,IF(F1536="",E1536,F1536))</f>
        <v/>
      </c>
      <c r="P1536">
        <f>IF(E1536="",1,MAX(1,(YEAR(O1536)-YEAR(N1536))*12+MONTH(O1536)-MONTH(N1536)+1))</f>
        <v/>
      </c>
      <c r="Q1536">
        <f>IF(G1536="",0,G1536/P1536)</f>
        <v/>
      </c>
      <c r="R1536">
        <f>IF(H1536="",0,H1536/P1536)</f>
        <v/>
      </c>
    </row>
    <row r="1537">
      <c r="A1537" s="43" t="n"/>
      <c r="B1537" s="28" t="n"/>
      <c r="C1537" s="28" t="n"/>
      <c r="D1537" s="28" t="n"/>
      <c r="E1537" s="44" t="n"/>
      <c r="F1537" s="44" t="n"/>
      <c r="G1537" s="23" t="n"/>
      <c r="H1537" s="23" t="n"/>
      <c r="I1537" s="23" t="n"/>
      <c r="J1537" s="23" t="n"/>
      <c r="K1537" s="45">
        <f>IF(A1537="","",SUM(G$2:I1537)-SUM(J$2:J1537))</f>
        <v/>
      </c>
      <c r="L1537" s="46" t="n"/>
      <c r="M1537">
        <f>IF(A1537="","",IF(A1537=A1536,M1536,N(M1536)+1))</f>
        <v/>
      </c>
      <c r="N1537">
        <f>IF(E1537="",99999,E1537)</f>
        <v/>
      </c>
      <c r="O1537">
        <f>IF(E1537="",0,IF(F1537="",E1537,F1537))</f>
        <v/>
      </c>
      <c r="P1537">
        <f>IF(E1537="",1,MAX(1,(YEAR(O1537)-YEAR(N1537))*12+MONTH(O1537)-MONTH(N1537)+1))</f>
        <v/>
      </c>
      <c r="Q1537">
        <f>IF(G1537="",0,G1537/P1537)</f>
        <v/>
      </c>
      <c r="R1537">
        <f>IF(H1537="",0,H1537/P1537)</f>
        <v/>
      </c>
    </row>
    <row r="1538">
      <c r="A1538" s="43" t="n"/>
      <c r="B1538" s="28" t="n"/>
      <c r="C1538" s="28" t="n"/>
      <c r="D1538" s="28" t="n"/>
      <c r="E1538" s="44" t="n"/>
      <c r="F1538" s="44" t="n"/>
      <c r="G1538" s="23" t="n"/>
      <c r="H1538" s="23" t="n"/>
      <c r="I1538" s="23" t="n"/>
      <c r="J1538" s="23" t="n"/>
      <c r="K1538" s="45">
        <f>IF(A1538="","",SUM(G$2:I1538)-SUM(J$2:J1538))</f>
        <v/>
      </c>
      <c r="L1538" s="46" t="n"/>
      <c r="M1538">
        <f>IF(A1538="","",IF(A1538=A1537,M1537,N(M1537)+1))</f>
        <v/>
      </c>
      <c r="N1538">
        <f>IF(E1538="",99999,E1538)</f>
        <v/>
      </c>
      <c r="O1538">
        <f>IF(E1538="",0,IF(F1538="",E1538,F1538))</f>
        <v/>
      </c>
      <c r="P1538">
        <f>IF(E1538="",1,MAX(1,(YEAR(O1538)-YEAR(N1538))*12+MONTH(O1538)-MONTH(N1538)+1))</f>
        <v/>
      </c>
      <c r="Q1538">
        <f>IF(G1538="",0,G1538/P1538)</f>
        <v/>
      </c>
      <c r="R1538">
        <f>IF(H1538="",0,H1538/P1538)</f>
        <v/>
      </c>
    </row>
    <row r="1539">
      <c r="A1539" s="43" t="n"/>
      <c r="B1539" s="28" t="n"/>
      <c r="C1539" s="28" t="n"/>
      <c r="D1539" s="28" t="n"/>
      <c r="E1539" s="44" t="n"/>
      <c r="F1539" s="44" t="n"/>
      <c r="G1539" s="23" t="n"/>
      <c r="H1539" s="23" t="n"/>
      <c r="I1539" s="23" t="n"/>
      <c r="J1539" s="23" t="n"/>
      <c r="K1539" s="45">
        <f>IF(A1539="","",SUM(G$2:I1539)-SUM(J$2:J1539))</f>
        <v/>
      </c>
      <c r="L1539" s="46" t="n"/>
      <c r="M1539">
        <f>IF(A1539="","",IF(A1539=A1538,M1538,N(M1538)+1))</f>
        <v/>
      </c>
      <c r="N1539">
        <f>IF(E1539="",99999,E1539)</f>
        <v/>
      </c>
      <c r="O1539">
        <f>IF(E1539="",0,IF(F1539="",E1539,F1539))</f>
        <v/>
      </c>
      <c r="P1539">
        <f>IF(E1539="",1,MAX(1,(YEAR(O1539)-YEAR(N1539))*12+MONTH(O1539)-MONTH(N1539)+1))</f>
        <v/>
      </c>
      <c r="Q1539">
        <f>IF(G1539="",0,G1539/P1539)</f>
        <v/>
      </c>
      <c r="R1539">
        <f>IF(H1539="",0,H1539/P1539)</f>
        <v/>
      </c>
    </row>
    <row r="1540">
      <c r="A1540" s="43" t="n"/>
      <c r="B1540" s="28" t="n"/>
      <c r="C1540" s="28" t="n"/>
      <c r="D1540" s="28" t="n"/>
      <c r="E1540" s="44" t="n"/>
      <c r="F1540" s="44" t="n"/>
      <c r="G1540" s="23" t="n"/>
      <c r="H1540" s="23" t="n"/>
      <c r="I1540" s="23" t="n"/>
      <c r="J1540" s="23" t="n"/>
      <c r="K1540" s="45">
        <f>IF(A1540="","",SUM(G$2:I1540)-SUM(J$2:J1540))</f>
        <v/>
      </c>
      <c r="L1540" s="46" t="n"/>
      <c r="M1540">
        <f>IF(A1540="","",IF(A1540=A1539,M1539,N(M1539)+1))</f>
        <v/>
      </c>
      <c r="N1540">
        <f>IF(E1540="",99999,E1540)</f>
        <v/>
      </c>
      <c r="O1540">
        <f>IF(E1540="",0,IF(F1540="",E1540,F1540))</f>
        <v/>
      </c>
      <c r="P1540">
        <f>IF(E1540="",1,MAX(1,(YEAR(O1540)-YEAR(N1540))*12+MONTH(O1540)-MONTH(N1540)+1))</f>
        <v/>
      </c>
      <c r="Q1540">
        <f>IF(G1540="",0,G1540/P1540)</f>
        <v/>
      </c>
      <c r="R1540">
        <f>IF(H1540="",0,H1540/P1540)</f>
        <v/>
      </c>
    </row>
    <row r="1541">
      <c r="A1541" s="43" t="n"/>
      <c r="B1541" s="28" t="n"/>
      <c r="C1541" s="28" t="n"/>
      <c r="D1541" s="28" t="n"/>
      <c r="E1541" s="44" t="n"/>
      <c r="F1541" s="44" t="n"/>
      <c r="G1541" s="23" t="n"/>
      <c r="H1541" s="23" t="n"/>
      <c r="I1541" s="23" t="n"/>
      <c r="J1541" s="23" t="n"/>
      <c r="K1541" s="45">
        <f>IF(A1541="","",SUM(G$2:I1541)-SUM(J$2:J1541))</f>
        <v/>
      </c>
      <c r="L1541" s="46" t="n"/>
      <c r="M1541">
        <f>IF(A1541="","",IF(A1541=A1540,M1540,N(M1540)+1))</f>
        <v/>
      </c>
      <c r="N1541">
        <f>IF(E1541="",99999,E1541)</f>
        <v/>
      </c>
      <c r="O1541">
        <f>IF(E1541="",0,IF(F1541="",E1541,F1541))</f>
        <v/>
      </c>
      <c r="P1541">
        <f>IF(E1541="",1,MAX(1,(YEAR(O1541)-YEAR(N1541))*12+MONTH(O1541)-MONTH(N1541)+1))</f>
        <v/>
      </c>
      <c r="Q1541">
        <f>IF(G1541="",0,G1541/P1541)</f>
        <v/>
      </c>
      <c r="R1541">
        <f>IF(H1541="",0,H1541/P1541)</f>
        <v/>
      </c>
    </row>
    <row r="1542">
      <c r="A1542" s="43" t="n"/>
      <c r="B1542" s="28" t="n"/>
      <c r="C1542" s="28" t="n"/>
      <c r="D1542" s="28" t="n"/>
      <c r="E1542" s="44" t="n"/>
      <c r="F1542" s="44" t="n"/>
      <c r="G1542" s="23" t="n"/>
      <c r="H1542" s="23" t="n"/>
      <c r="I1542" s="23" t="n"/>
      <c r="J1542" s="23" t="n"/>
      <c r="K1542" s="45">
        <f>IF(A1542="","",SUM(G$2:I1542)-SUM(J$2:J1542))</f>
        <v/>
      </c>
      <c r="L1542" s="46" t="n"/>
      <c r="M1542">
        <f>IF(A1542="","",IF(A1542=A1541,M1541,N(M1541)+1))</f>
        <v/>
      </c>
      <c r="N1542">
        <f>IF(E1542="",99999,E1542)</f>
        <v/>
      </c>
      <c r="O1542">
        <f>IF(E1542="",0,IF(F1542="",E1542,F1542))</f>
        <v/>
      </c>
      <c r="P1542">
        <f>IF(E1542="",1,MAX(1,(YEAR(O1542)-YEAR(N1542))*12+MONTH(O1542)-MONTH(N1542)+1))</f>
        <v/>
      </c>
      <c r="Q1542">
        <f>IF(G1542="",0,G1542/P1542)</f>
        <v/>
      </c>
      <c r="R1542">
        <f>IF(H1542="",0,H1542/P1542)</f>
        <v/>
      </c>
    </row>
    <row r="1543">
      <c r="A1543" s="43" t="n"/>
      <c r="B1543" s="28" t="n"/>
      <c r="C1543" s="28" t="n"/>
      <c r="D1543" s="28" t="n"/>
      <c r="E1543" s="44" t="n"/>
      <c r="F1543" s="44" t="n"/>
      <c r="G1543" s="23" t="n"/>
      <c r="H1543" s="23" t="n"/>
      <c r="I1543" s="23" t="n"/>
      <c r="J1543" s="23" t="n"/>
      <c r="K1543" s="45">
        <f>IF(A1543="","",SUM(G$2:I1543)-SUM(J$2:J1543))</f>
        <v/>
      </c>
      <c r="L1543" s="46" t="n"/>
      <c r="M1543">
        <f>IF(A1543="","",IF(A1543=A1542,M1542,N(M1542)+1))</f>
        <v/>
      </c>
      <c r="N1543">
        <f>IF(E1543="",99999,E1543)</f>
        <v/>
      </c>
      <c r="O1543">
        <f>IF(E1543="",0,IF(F1543="",E1543,F1543))</f>
        <v/>
      </c>
      <c r="P1543">
        <f>IF(E1543="",1,MAX(1,(YEAR(O1543)-YEAR(N1543))*12+MONTH(O1543)-MONTH(N1543)+1))</f>
        <v/>
      </c>
      <c r="Q1543">
        <f>IF(G1543="",0,G1543/P1543)</f>
        <v/>
      </c>
      <c r="R1543">
        <f>IF(H1543="",0,H1543/P1543)</f>
        <v/>
      </c>
    </row>
    <row r="1544">
      <c r="A1544" s="43" t="n"/>
      <c r="B1544" s="28" t="n"/>
      <c r="C1544" s="28" t="n"/>
      <c r="D1544" s="28" t="n"/>
      <c r="E1544" s="44" t="n"/>
      <c r="F1544" s="44" t="n"/>
      <c r="G1544" s="23" t="n"/>
      <c r="H1544" s="23" t="n"/>
      <c r="I1544" s="23" t="n"/>
      <c r="J1544" s="23" t="n"/>
      <c r="K1544" s="45">
        <f>IF(A1544="","",SUM(G$2:I1544)-SUM(J$2:J1544))</f>
        <v/>
      </c>
      <c r="L1544" s="46" t="n"/>
      <c r="M1544">
        <f>IF(A1544="","",IF(A1544=A1543,M1543,N(M1543)+1))</f>
        <v/>
      </c>
      <c r="N1544">
        <f>IF(E1544="",99999,E1544)</f>
        <v/>
      </c>
      <c r="O1544">
        <f>IF(E1544="",0,IF(F1544="",E1544,F1544))</f>
        <v/>
      </c>
      <c r="P1544">
        <f>IF(E1544="",1,MAX(1,(YEAR(O1544)-YEAR(N1544))*12+MONTH(O1544)-MONTH(N1544)+1))</f>
        <v/>
      </c>
      <c r="Q1544">
        <f>IF(G1544="",0,G1544/P1544)</f>
        <v/>
      </c>
      <c r="R1544">
        <f>IF(H1544="",0,H1544/P1544)</f>
        <v/>
      </c>
    </row>
    <row r="1545">
      <c r="A1545" s="43" t="n"/>
      <c r="B1545" s="28" t="n"/>
      <c r="C1545" s="28" t="n"/>
      <c r="D1545" s="28" t="n"/>
      <c r="E1545" s="44" t="n"/>
      <c r="F1545" s="44" t="n"/>
      <c r="G1545" s="23" t="n"/>
      <c r="H1545" s="23" t="n"/>
      <c r="I1545" s="23" t="n"/>
      <c r="J1545" s="23" t="n"/>
      <c r="K1545" s="45">
        <f>IF(A1545="","",SUM(G$2:I1545)-SUM(J$2:J1545))</f>
        <v/>
      </c>
      <c r="L1545" s="46" t="n"/>
      <c r="M1545">
        <f>IF(A1545="","",IF(A1545=A1544,M1544,N(M1544)+1))</f>
        <v/>
      </c>
      <c r="N1545">
        <f>IF(E1545="",99999,E1545)</f>
        <v/>
      </c>
      <c r="O1545">
        <f>IF(E1545="",0,IF(F1545="",E1545,F1545))</f>
        <v/>
      </c>
      <c r="P1545">
        <f>IF(E1545="",1,MAX(1,(YEAR(O1545)-YEAR(N1545))*12+MONTH(O1545)-MONTH(N1545)+1))</f>
        <v/>
      </c>
      <c r="Q1545">
        <f>IF(G1545="",0,G1545/P1545)</f>
        <v/>
      </c>
      <c r="R1545">
        <f>IF(H1545="",0,H1545/P1545)</f>
        <v/>
      </c>
    </row>
    <row r="1546">
      <c r="A1546" s="43" t="n"/>
      <c r="B1546" s="28" t="n"/>
      <c r="C1546" s="28" t="n"/>
      <c r="D1546" s="28" t="n"/>
      <c r="E1546" s="44" t="n"/>
      <c r="F1546" s="44" t="n"/>
      <c r="G1546" s="23" t="n"/>
      <c r="H1546" s="23" t="n"/>
      <c r="I1546" s="23" t="n"/>
      <c r="J1546" s="23" t="n"/>
      <c r="K1546" s="45">
        <f>IF(A1546="","",SUM(G$2:I1546)-SUM(J$2:J1546))</f>
        <v/>
      </c>
      <c r="L1546" s="46" t="n"/>
      <c r="M1546">
        <f>IF(A1546="","",IF(A1546=A1545,M1545,N(M1545)+1))</f>
        <v/>
      </c>
      <c r="N1546">
        <f>IF(E1546="",99999,E1546)</f>
        <v/>
      </c>
      <c r="O1546">
        <f>IF(E1546="",0,IF(F1546="",E1546,F1546))</f>
        <v/>
      </c>
      <c r="P1546">
        <f>IF(E1546="",1,MAX(1,(YEAR(O1546)-YEAR(N1546))*12+MONTH(O1546)-MONTH(N1546)+1))</f>
        <v/>
      </c>
      <c r="Q1546">
        <f>IF(G1546="",0,G1546/P1546)</f>
        <v/>
      </c>
      <c r="R1546">
        <f>IF(H1546="",0,H1546/P1546)</f>
        <v/>
      </c>
    </row>
    <row r="1547">
      <c r="A1547" s="43" t="n"/>
      <c r="B1547" s="28" t="n"/>
      <c r="C1547" s="28" t="n"/>
      <c r="D1547" s="28" t="n"/>
      <c r="E1547" s="44" t="n"/>
      <c r="F1547" s="44" t="n"/>
      <c r="G1547" s="23" t="n"/>
      <c r="H1547" s="23" t="n"/>
      <c r="I1547" s="23" t="n"/>
      <c r="J1547" s="23" t="n"/>
      <c r="K1547" s="45">
        <f>IF(A1547="","",SUM(G$2:I1547)-SUM(J$2:J1547))</f>
        <v/>
      </c>
      <c r="L1547" s="46" t="n"/>
      <c r="M1547">
        <f>IF(A1547="","",IF(A1547=A1546,M1546,N(M1546)+1))</f>
        <v/>
      </c>
      <c r="N1547">
        <f>IF(E1547="",99999,E1547)</f>
        <v/>
      </c>
      <c r="O1547">
        <f>IF(E1547="",0,IF(F1547="",E1547,F1547))</f>
        <v/>
      </c>
      <c r="P1547">
        <f>IF(E1547="",1,MAX(1,(YEAR(O1547)-YEAR(N1547))*12+MONTH(O1547)-MONTH(N1547)+1))</f>
        <v/>
      </c>
      <c r="Q1547">
        <f>IF(G1547="",0,G1547/P1547)</f>
        <v/>
      </c>
      <c r="R1547">
        <f>IF(H1547="",0,H1547/P1547)</f>
        <v/>
      </c>
    </row>
    <row r="1548">
      <c r="A1548" s="43" t="n"/>
      <c r="B1548" s="28" t="n"/>
      <c r="C1548" s="28" t="n"/>
      <c r="D1548" s="28" t="n"/>
      <c r="E1548" s="44" t="n"/>
      <c r="F1548" s="44" t="n"/>
      <c r="G1548" s="23" t="n"/>
      <c r="H1548" s="23" t="n"/>
      <c r="I1548" s="23" t="n"/>
      <c r="J1548" s="23" t="n"/>
      <c r="K1548" s="45">
        <f>IF(A1548="","",SUM(G$2:I1548)-SUM(J$2:J1548))</f>
        <v/>
      </c>
      <c r="L1548" s="46" t="n"/>
      <c r="M1548">
        <f>IF(A1548="","",IF(A1548=A1547,M1547,N(M1547)+1))</f>
        <v/>
      </c>
      <c r="N1548">
        <f>IF(E1548="",99999,E1548)</f>
        <v/>
      </c>
      <c r="O1548">
        <f>IF(E1548="",0,IF(F1548="",E1548,F1548))</f>
        <v/>
      </c>
      <c r="P1548">
        <f>IF(E1548="",1,MAX(1,(YEAR(O1548)-YEAR(N1548))*12+MONTH(O1548)-MONTH(N1548)+1))</f>
        <v/>
      </c>
      <c r="Q1548">
        <f>IF(G1548="",0,G1548/P1548)</f>
        <v/>
      </c>
      <c r="R1548">
        <f>IF(H1548="",0,H1548/P1548)</f>
        <v/>
      </c>
    </row>
    <row r="1549">
      <c r="A1549" s="43" t="n"/>
      <c r="B1549" s="28" t="n"/>
      <c r="C1549" s="28" t="n"/>
      <c r="D1549" s="28" t="n"/>
      <c r="E1549" s="44" t="n"/>
      <c r="F1549" s="44" t="n"/>
      <c r="G1549" s="23" t="n"/>
      <c r="H1549" s="23" t="n"/>
      <c r="I1549" s="23" t="n"/>
      <c r="J1549" s="23" t="n"/>
      <c r="K1549" s="45">
        <f>IF(A1549="","",SUM(G$2:I1549)-SUM(J$2:J1549))</f>
        <v/>
      </c>
      <c r="L1549" s="46" t="n"/>
      <c r="M1549">
        <f>IF(A1549="","",IF(A1549=A1548,M1548,N(M1548)+1))</f>
        <v/>
      </c>
      <c r="N1549">
        <f>IF(E1549="",99999,E1549)</f>
        <v/>
      </c>
      <c r="O1549">
        <f>IF(E1549="",0,IF(F1549="",E1549,F1549))</f>
        <v/>
      </c>
      <c r="P1549">
        <f>IF(E1549="",1,MAX(1,(YEAR(O1549)-YEAR(N1549))*12+MONTH(O1549)-MONTH(N1549)+1))</f>
        <v/>
      </c>
      <c r="Q1549">
        <f>IF(G1549="",0,G1549/P1549)</f>
        <v/>
      </c>
      <c r="R1549">
        <f>IF(H1549="",0,H1549/P1549)</f>
        <v/>
      </c>
    </row>
    <row r="1550">
      <c r="A1550" s="43" t="n"/>
      <c r="B1550" s="28" t="n"/>
      <c r="C1550" s="28" t="n"/>
      <c r="D1550" s="28" t="n"/>
      <c r="E1550" s="44" t="n"/>
      <c r="F1550" s="44" t="n"/>
      <c r="G1550" s="23" t="n"/>
      <c r="H1550" s="23" t="n"/>
      <c r="I1550" s="23" t="n"/>
      <c r="J1550" s="23" t="n"/>
      <c r="K1550" s="45">
        <f>IF(A1550="","",SUM(G$2:I1550)-SUM(J$2:J1550))</f>
        <v/>
      </c>
      <c r="L1550" s="46" t="n"/>
      <c r="M1550">
        <f>IF(A1550="","",IF(A1550=A1549,M1549,N(M1549)+1))</f>
        <v/>
      </c>
      <c r="N1550">
        <f>IF(E1550="",99999,E1550)</f>
        <v/>
      </c>
      <c r="O1550">
        <f>IF(E1550="",0,IF(F1550="",E1550,F1550))</f>
        <v/>
      </c>
      <c r="P1550">
        <f>IF(E1550="",1,MAX(1,(YEAR(O1550)-YEAR(N1550))*12+MONTH(O1550)-MONTH(N1550)+1))</f>
        <v/>
      </c>
      <c r="Q1550">
        <f>IF(G1550="",0,G1550/P1550)</f>
        <v/>
      </c>
      <c r="R1550">
        <f>IF(H1550="",0,H1550/P1550)</f>
        <v/>
      </c>
    </row>
    <row r="1551">
      <c r="A1551" s="43" t="n"/>
      <c r="B1551" s="28" t="n"/>
      <c r="C1551" s="28" t="n"/>
      <c r="D1551" s="28" t="n"/>
      <c r="E1551" s="44" t="n"/>
      <c r="F1551" s="44" t="n"/>
      <c r="G1551" s="23" t="n"/>
      <c r="H1551" s="23" t="n"/>
      <c r="I1551" s="23" t="n"/>
      <c r="J1551" s="23" t="n"/>
      <c r="K1551" s="45">
        <f>IF(A1551="","",SUM(G$2:I1551)-SUM(J$2:J1551))</f>
        <v/>
      </c>
      <c r="L1551" s="46" t="n"/>
      <c r="M1551">
        <f>IF(A1551="","",IF(A1551=A1550,M1550,N(M1550)+1))</f>
        <v/>
      </c>
      <c r="N1551">
        <f>IF(E1551="",99999,E1551)</f>
        <v/>
      </c>
      <c r="O1551">
        <f>IF(E1551="",0,IF(F1551="",E1551,F1551))</f>
        <v/>
      </c>
      <c r="P1551">
        <f>IF(E1551="",1,MAX(1,(YEAR(O1551)-YEAR(N1551))*12+MONTH(O1551)-MONTH(N1551)+1))</f>
        <v/>
      </c>
      <c r="Q1551">
        <f>IF(G1551="",0,G1551/P1551)</f>
        <v/>
      </c>
      <c r="R1551">
        <f>IF(H1551="",0,H1551/P1551)</f>
        <v/>
      </c>
    </row>
    <row r="1552">
      <c r="A1552" s="43" t="n"/>
      <c r="B1552" s="28" t="n"/>
      <c r="C1552" s="28" t="n"/>
      <c r="D1552" s="28" t="n"/>
      <c r="E1552" s="44" t="n"/>
      <c r="F1552" s="44" t="n"/>
      <c r="G1552" s="23" t="n"/>
      <c r="H1552" s="23" t="n"/>
      <c r="I1552" s="23" t="n"/>
      <c r="J1552" s="23" t="n"/>
      <c r="K1552" s="45">
        <f>IF(A1552="","",SUM(G$2:I1552)-SUM(J$2:J1552))</f>
        <v/>
      </c>
      <c r="L1552" s="46" t="n"/>
      <c r="M1552">
        <f>IF(A1552="","",IF(A1552=A1551,M1551,N(M1551)+1))</f>
        <v/>
      </c>
      <c r="N1552">
        <f>IF(E1552="",99999,E1552)</f>
        <v/>
      </c>
      <c r="O1552">
        <f>IF(E1552="",0,IF(F1552="",E1552,F1552))</f>
        <v/>
      </c>
      <c r="P1552">
        <f>IF(E1552="",1,MAX(1,(YEAR(O1552)-YEAR(N1552))*12+MONTH(O1552)-MONTH(N1552)+1))</f>
        <v/>
      </c>
      <c r="Q1552">
        <f>IF(G1552="",0,G1552/P1552)</f>
        <v/>
      </c>
      <c r="R1552">
        <f>IF(H1552="",0,H1552/P1552)</f>
        <v/>
      </c>
    </row>
    <row r="1553">
      <c r="A1553" s="43" t="n"/>
      <c r="B1553" s="28" t="n"/>
      <c r="C1553" s="28" t="n"/>
      <c r="D1553" s="28" t="n"/>
      <c r="E1553" s="44" t="n"/>
      <c r="F1553" s="44" t="n"/>
      <c r="G1553" s="23" t="n"/>
      <c r="H1553" s="23" t="n"/>
      <c r="I1553" s="23" t="n"/>
      <c r="J1553" s="23" t="n"/>
      <c r="K1553" s="45">
        <f>IF(A1553="","",SUM(G$2:I1553)-SUM(J$2:J1553))</f>
        <v/>
      </c>
      <c r="L1553" s="46" t="n"/>
      <c r="M1553">
        <f>IF(A1553="","",IF(A1553=A1552,M1552,N(M1552)+1))</f>
        <v/>
      </c>
      <c r="N1553">
        <f>IF(E1553="",99999,E1553)</f>
        <v/>
      </c>
      <c r="O1553">
        <f>IF(E1553="",0,IF(F1553="",E1553,F1553))</f>
        <v/>
      </c>
      <c r="P1553">
        <f>IF(E1553="",1,MAX(1,(YEAR(O1553)-YEAR(N1553))*12+MONTH(O1553)-MONTH(N1553)+1))</f>
        <v/>
      </c>
      <c r="Q1553">
        <f>IF(G1553="",0,G1553/P1553)</f>
        <v/>
      </c>
      <c r="R1553">
        <f>IF(H1553="",0,H1553/P1553)</f>
        <v/>
      </c>
    </row>
    <row r="1554">
      <c r="A1554" s="43" t="n"/>
      <c r="B1554" s="28" t="n"/>
      <c r="C1554" s="28" t="n"/>
      <c r="D1554" s="28" t="n"/>
      <c r="E1554" s="44" t="n"/>
      <c r="F1554" s="44" t="n"/>
      <c r="G1554" s="23" t="n"/>
      <c r="H1554" s="23" t="n"/>
      <c r="I1554" s="23" t="n"/>
      <c r="J1554" s="23" t="n"/>
      <c r="K1554" s="45">
        <f>IF(A1554="","",SUM(G$2:I1554)-SUM(J$2:J1554))</f>
        <v/>
      </c>
      <c r="L1554" s="46" t="n"/>
      <c r="M1554">
        <f>IF(A1554="","",IF(A1554=A1553,M1553,N(M1553)+1))</f>
        <v/>
      </c>
      <c r="N1554">
        <f>IF(E1554="",99999,E1554)</f>
        <v/>
      </c>
      <c r="O1554">
        <f>IF(E1554="",0,IF(F1554="",E1554,F1554))</f>
        <v/>
      </c>
      <c r="P1554">
        <f>IF(E1554="",1,MAX(1,(YEAR(O1554)-YEAR(N1554))*12+MONTH(O1554)-MONTH(N1554)+1))</f>
        <v/>
      </c>
      <c r="Q1554">
        <f>IF(G1554="",0,G1554/P1554)</f>
        <v/>
      </c>
      <c r="R1554">
        <f>IF(H1554="",0,H1554/P1554)</f>
        <v/>
      </c>
    </row>
    <row r="1555">
      <c r="A1555" s="43" t="n"/>
      <c r="B1555" s="28" t="n"/>
      <c r="C1555" s="28" t="n"/>
      <c r="D1555" s="28" t="n"/>
      <c r="E1555" s="44" t="n"/>
      <c r="F1555" s="44" t="n"/>
      <c r="G1555" s="23" t="n"/>
      <c r="H1555" s="23" t="n"/>
      <c r="I1555" s="23" t="n"/>
      <c r="J1555" s="23" t="n"/>
      <c r="K1555" s="45">
        <f>IF(A1555="","",SUM(G$2:I1555)-SUM(J$2:J1555))</f>
        <v/>
      </c>
      <c r="L1555" s="46" t="n"/>
      <c r="M1555">
        <f>IF(A1555="","",IF(A1555=A1554,M1554,N(M1554)+1))</f>
        <v/>
      </c>
      <c r="N1555">
        <f>IF(E1555="",99999,E1555)</f>
        <v/>
      </c>
      <c r="O1555">
        <f>IF(E1555="",0,IF(F1555="",E1555,F1555))</f>
        <v/>
      </c>
      <c r="P1555">
        <f>IF(E1555="",1,MAX(1,(YEAR(O1555)-YEAR(N1555))*12+MONTH(O1555)-MONTH(N1555)+1))</f>
        <v/>
      </c>
      <c r="Q1555">
        <f>IF(G1555="",0,G1555/P1555)</f>
        <v/>
      </c>
      <c r="R1555">
        <f>IF(H1555="",0,H1555/P1555)</f>
        <v/>
      </c>
    </row>
    <row r="1556">
      <c r="A1556" s="43" t="n"/>
      <c r="B1556" s="28" t="n"/>
      <c r="C1556" s="28" t="n"/>
      <c r="D1556" s="28" t="n"/>
      <c r="E1556" s="44" t="n"/>
      <c r="F1556" s="44" t="n"/>
      <c r="G1556" s="23" t="n"/>
      <c r="H1556" s="23" t="n"/>
      <c r="I1556" s="23" t="n"/>
      <c r="J1556" s="23" t="n"/>
      <c r="K1556" s="45">
        <f>IF(A1556="","",SUM(G$2:I1556)-SUM(J$2:J1556))</f>
        <v/>
      </c>
      <c r="L1556" s="46" t="n"/>
      <c r="M1556">
        <f>IF(A1556="","",IF(A1556=A1555,M1555,N(M1555)+1))</f>
        <v/>
      </c>
      <c r="N1556">
        <f>IF(E1556="",99999,E1556)</f>
        <v/>
      </c>
      <c r="O1556">
        <f>IF(E1556="",0,IF(F1556="",E1556,F1556))</f>
        <v/>
      </c>
      <c r="P1556">
        <f>IF(E1556="",1,MAX(1,(YEAR(O1556)-YEAR(N1556))*12+MONTH(O1556)-MONTH(N1556)+1))</f>
        <v/>
      </c>
      <c r="Q1556">
        <f>IF(G1556="",0,G1556/P1556)</f>
        <v/>
      </c>
      <c r="R1556">
        <f>IF(H1556="",0,H1556/P1556)</f>
        <v/>
      </c>
    </row>
    <row r="1557">
      <c r="A1557" s="43" t="n"/>
      <c r="B1557" s="28" t="n"/>
      <c r="C1557" s="28" t="n"/>
      <c r="D1557" s="28" t="n"/>
      <c r="E1557" s="44" t="n"/>
      <c r="F1557" s="44" t="n"/>
      <c r="G1557" s="23" t="n"/>
      <c r="H1557" s="23" t="n"/>
      <c r="I1557" s="23" t="n"/>
      <c r="J1557" s="23" t="n"/>
      <c r="K1557" s="45">
        <f>IF(A1557="","",SUM(G$2:I1557)-SUM(J$2:J1557))</f>
        <v/>
      </c>
      <c r="L1557" s="46" t="n"/>
      <c r="M1557">
        <f>IF(A1557="","",IF(A1557=A1556,M1556,N(M1556)+1))</f>
        <v/>
      </c>
      <c r="N1557">
        <f>IF(E1557="",99999,E1557)</f>
        <v/>
      </c>
      <c r="O1557">
        <f>IF(E1557="",0,IF(F1557="",E1557,F1557))</f>
        <v/>
      </c>
      <c r="P1557">
        <f>IF(E1557="",1,MAX(1,(YEAR(O1557)-YEAR(N1557))*12+MONTH(O1557)-MONTH(N1557)+1))</f>
        <v/>
      </c>
      <c r="Q1557">
        <f>IF(G1557="",0,G1557/P1557)</f>
        <v/>
      </c>
      <c r="R1557">
        <f>IF(H1557="",0,H1557/P1557)</f>
        <v/>
      </c>
    </row>
    <row r="1558">
      <c r="A1558" s="43" t="n"/>
      <c r="B1558" s="28" t="n"/>
      <c r="C1558" s="28" t="n"/>
      <c r="D1558" s="28" t="n"/>
      <c r="E1558" s="44" t="n"/>
      <c r="F1558" s="44" t="n"/>
      <c r="G1558" s="23" t="n"/>
      <c r="H1558" s="23" t="n"/>
      <c r="I1558" s="23" t="n"/>
      <c r="J1558" s="23" t="n"/>
      <c r="K1558" s="45">
        <f>IF(A1558="","",SUM(G$2:I1558)-SUM(J$2:J1558))</f>
        <v/>
      </c>
      <c r="L1558" s="46" t="n"/>
      <c r="M1558">
        <f>IF(A1558="","",IF(A1558=A1557,M1557,N(M1557)+1))</f>
        <v/>
      </c>
      <c r="N1558">
        <f>IF(E1558="",99999,E1558)</f>
        <v/>
      </c>
      <c r="O1558">
        <f>IF(E1558="",0,IF(F1558="",E1558,F1558))</f>
        <v/>
      </c>
      <c r="P1558">
        <f>IF(E1558="",1,MAX(1,(YEAR(O1558)-YEAR(N1558))*12+MONTH(O1558)-MONTH(N1558)+1))</f>
        <v/>
      </c>
      <c r="Q1558">
        <f>IF(G1558="",0,G1558/P1558)</f>
        <v/>
      </c>
      <c r="R1558">
        <f>IF(H1558="",0,H1558/P1558)</f>
        <v/>
      </c>
    </row>
    <row r="1559">
      <c r="A1559" s="43" t="n"/>
      <c r="B1559" s="28" t="n"/>
      <c r="C1559" s="28" t="n"/>
      <c r="D1559" s="28" t="n"/>
      <c r="E1559" s="44" t="n"/>
      <c r="F1559" s="44" t="n"/>
      <c r="G1559" s="23" t="n"/>
      <c r="H1559" s="23" t="n"/>
      <c r="I1559" s="23" t="n"/>
      <c r="J1559" s="23" t="n"/>
      <c r="K1559" s="45">
        <f>IF(A1559="","",SUM(G$2:I1559)-SUM(J$2:J1559))</f>
        <v/>
      </c>
      <c r="L1559" s="46" t="n"/>
      <c r="M1559">
        <f>IF(A1559="","",IF(A1559=A1558,M1558,N(M1558)+1))</f>
        <v/>
      </c>
      <c r="N1559">
        <f>IF(E1559="",99999,E1559)</f>
        <v/>
      </c>
      <c r="O1559">
        <f>IF(E1559="",0,IF(F1559="",E1559,F1559))</f>
        <v/>
      </c>
      <c r="P1559">
        <f>IF(E1559="",1,MAX(1,(YEAR(O1559)-YEAR(N1559))*12+MONTH(O1559)-MONTH(N1559)+1))</f>
        <v/>
      </c>
      <c r="Q1559">
        <f>IF(G1559="",0,G1559/P1559)</f>
        <v/>
      </c>
      <c r="R1559">
        <f>IF(H1559="",0,H1559/P1559)</f>
        <v/>
      </c>
    </row>
    <row r="1560">
      <c r="A1560" s="43" t="n"/>
      <c r="B1560" s="28" t="n"/>
      <c r="C1560" s="28" t="n"/>
      <c r="D1560" s="28" t="n"/>
      <c r="E1560" s="44" t="n"/>
      <c r="F1560" s="44" t="n"/>
      <c r="G1560" s="23" t="n"/>
      <c r="H1560" s="23" t="n"/>
      <c r="I1560" s="23" t="n"/>
      <c r="J1560" s="23" t="n"/>
      <c r="K1560" s="45">
        <f>IF(A1560="","",SUM(G$2:I1560)-SUM(J$2:J1560))</f>
        <v/>
      </c>
      <c r="L1560" s="46" t="n"/>
      <c r="M1560">
        <f>IF(A1560="","",IF(A1560=A1559,M1559,N(M1559)+1))</f>
        <v/>
      </c>
      <c r="N1560">
        <f>IF(E1560="",99999,E1560)</f>
        <v/>
      </c>
      <c r="O1560">
        <f>IF(E1560="",0,IF(F1560="",E1560,F1560))</f>
        <v/>
      </c>
      <c r="P1560">
        <f>IF(E1560="",1,MAX(1,(YEAR(O1560)-YEAR(N1560))*12+MONTH(O1560)-MONTH(N1560)+1))</f>
        <v/>
      </c>
      <c r="Q1560">
        <f>IF(G1560="",0,G1560/P1560)</f>
        <v/>
      </c>
      <c r="R1560">
        <f>IF(H1560="",0,H1560/P1560)</f>
        <v/>
      </c>
    </row>
    <row r="1561">
      <c r="A1561" s="43" t="n"/>
      <c r="B1561" s="28" t="n"/>
      <c r="C1561" s="28" t="n"/>
      <c r="D1561" s="28" t="n"/>
      <c r="E1561" s="44" t="n"/>
      <c r="F1561" s="44" t="n"/>
      <c r="G1561" s="23" t="n"/>
      <c r="H1561" s="23" t="n"/>
      <c r="I1561" s="23" t="n"/>
      <c r="J1561" s="23" t="n"/>
      <c r="K1561" s="45">
        <f>IF(A1561="","",SUM(G$2:I1561)-SUM(J$2:J1561))</f>
        <v/>
      </c>
      <c r="L1561" s="46" t="n"/>
      <c r="M1561">
        <f>IF(A1561="","",IF(A1561=A1560,M1560,N(M1560)+1))</f>
        <v/>
      </c>
      <c r="N1561">
        <f>IF(E1561="",99999,E1561)</f>
        <v/>
      </c>
      <c r="O1561">
        <f>IF(E1561="",0,IF(F1561="",E1561,F1561))</f>
        <v/>
      </c>
      <c r="P1561">
        <f>IF(E1561="",1,MAX(1,(YEAR(O1561)-YEAR(N1561))*12+MONTH(O1561)-MONTH(N1561)+1))</f>
        <v/>
      </c>
      <c r="Q1561">
        <f>IF(G1561="",0,G1561/P1561)</f>
        <v/>
      </c>
      <c r="R1561">
        <f>IF(H1561="",0,H1561/P1561)</f>
        <v/>
      </c>
    </row>
    <row r="1562">
      <c r="A1562" s="43" t="n"/>
      <c r="B1562" s="28" t="n"/>
      <c r="C1562" s="28" t="n"/>
      <c r="D1562" s="28" t="n"/>
      <c r="E1562" s="44" t="n"/>
      <c r="F1562" s="44" t="n"/>
      <c r="G1562" s="23" t="n"/>
      <c r="H1562" s="23" t="n"/>
      <c r="I1562" s="23" t="n"/>
      <c r="J1562" s="23" t="n"/>
      <c r="K1562" s="45">
        <f>IF(A1562="","",SUM(G$2:I1562)-SUM(J$2:J1562))</f>
        <v/>
      </c>
      <c r="L1562" s="46" t="n"/>
      <c r="M1562">
        <f>IF(A1562="","",IF(A1562=A1561,M1561,N(M1561)+1))</f>
        <v/>
      </c>
      <c r="N1562">
        <f>IF(E1562="",99999,E1562)</f>
        <v/>
      </c>
      <c r="O1562">
        <f>IF(E1562="",0,IF(F1562="",E1562,F1562))</f>
        <v/>
      </c>
      <c r="P1562">
        <f>IF(E1562="",1,MAX(1,(YEAR(O1562)-YEAR(N1562))*12+MONTH(O1562)-MONTH(N1562)+1))</f>
        <v/>
      </c>
      <c r="Q1562">
        <f>IF(G1562="",0,G1562/P1562)</f>
        <v/>
      </c>
      <c r="R1562">
        <f>IF(H1562="",0,H1562/P1562)</f>
        <v/>
      </c>
    </row>
    <row r="1563">
      <c r="A1563" s="43" t="n"/>
      <c r="B1563" s="28" t="n"/>
      <c r="C1563" s="28" t="n"/>
      <c r="D1563" s="28" t="n"/>
      <c r="E1563" s="44" t="n"/>
      <c r="F1563" s="44" t="n"/>
      <c r="G1563" s="23" t="n"/>
      <c r="H1563" s="23" t="n"/>
      <c r="I1563" s="23" t="n"/>
      <c r="J1563" s="23" t="n"/>
      <c r="K1563" s="45">
        <f>IF(A1563="","",SUM(G$2:I1563)-SUM(J$2:J1563))</f>
        <v/>
      </c>
      <c r="L1563" s="46" t="n"/>
      <c r="M1563">
        <f>IF(A1563="","",IF(A1563=A1562,M1562,N(M1562)+1))</f>
        <v/>
      </c>
      <c r="N1563">
        <f>IF(E1563="",99999,E1563)</f>
        <v/>
      </c>
      <c r="O1563">
        <f>IF(E1563="",0,IF(F1563="",E1563,F1563))</f>
        <v/>
      </c>
      <c r="P1563">
        <f>IF(E1563="",1,MAX(1,(YEAR(O1563)-YEAR(N1563))*12+MONTH(O1563)-MONTH(N1563)+1))</f>
        <v/>
      </c>
      <c r="Q1563">
        <f>IF(G1563="",0,G1563/P1563)</f>
        <v/>
      </c>
      <c r="R1563">
        <f>IF(H1563="",0,H1563/P1563)</f>
        <v/>
      </c>
    </row>
    <row r="1564">
      <c r="A1564" s="43" t="n"/>
      <c r="B1564" s="28" t="n"/>
      <c r="C1564" s="28" t="n"/>
      <c r="D1564" s="28" t="n"/>
      <c r="E1564" s="44" t="n"/>
      <c r="F1564" s="44" t="n"/>
      <c r="G1564" s="23" t="n"/>
      <c r="H1564" s="23" t="n"/>
      <c r="I1564" s="23" t="n"/>
      <c r="J1564" s="23" t="n"/>
      <c r="K1564" s="45">
        <f>IF(A1564="","",SUM(G$2:I1564)-SUM(J$2:J1564))</f>
        <v/>
      </c>
      <c r="L1564" s="46" t="n"/>
      <c r="M1564">
        <f>IF(A1564="","",IF(A1564=A1563,M1563,N(M1563)+1))</f>
        <v/>
      </c>
      <c r="N1564">
        <f>IF(E1564="",99999,E1564)</f>
        <v/>
      </c>
      <c r="O1564">
        <f>IF(E1564="",0,IF(F1564="",E1564,F1564))</f>
        <v/>
      </c>
      <c r="P1564">
        <f>IF(E1564="",1,MAX(1,(YEAR(O1564)-YEAR(N1564))*12+MONTH(O1564)-MONTH(N1564)+1))</f>
        <v/>
      </c>
      <c r="Q1564">
        <f>IF(G1564="",0,G1564/P1564)</f>
        <v/>
      </c>
      <c r="R1564">
        <f>IF(H1564="",0,H1564/P1564)</f>
        <v/>
      </c>
    </row>
    <row r="1565">
      <c r="A1565" s="43" t="n"/>
      <c r="B1565" s="28" t="n"/>
      <c r="C1565" s="28" t="n"/>
      <c r="D1565" s="28" t="n"/>
      <c r="E1565" s="44" t="n"/>
      <c r="F1565" s="44" t="n"/>
      <c r="G1565" s="23" t="n"/>
      <c r="H1565" s="23" t="n"/>
      <c r="I1565" s="23" t="n"/>
      <c r="J1565" s="23" t="n"/>
      <c r="K1565" s="45">
        <f>IF(A1565="","",SUM(G$2:I1565)-SUM(J$2:J1565))</f>
        <v/>
      </c>
      <c r="L1565" s="46" t="n"/>
      <c r="M1565">
        <f>IF(A1565="","",IF(A1565=A1564,M1564,N(M1564)+1))</f>
        <v/>
      </c>
      <c r="N1565">
        <f>IF(E1565="",99999,E1565)</f>
        <v/>
      </c>
      <c r="O1565">
        <f>IF(E1565="",0,IF(F1565="",E1565,F1565))</f>
        <v/>
      </c>
      <c r="P1565">
        <f>IF(E1565="",1,MAX(1,(YEAR(O1565)-YEAR(N1565))*12+MONTH(O1565)-MONTH(N1565)+1))</f>
        <v/>
      </c>
      <c r="Q1565">
        <f>IF(G1565="",0,G1565/P1565)</f>
        <v/>
      </c>
      <c r="R1565">
        <f>IF(H1565="",0,H1565/P1565)</f>
        <v/>
      </c>
    </row>
    <row r="1566">
      <c r="A1566" s="43" t="n"/>
      <c r="B1566" s="28" t="n"/>
      <c r="C1566" s="28" t="n"/>
      <c r="D1566" s="28" t="n"/>
      <c r="E1566" s="44" t="n"/>
      <c r="F1566" s="44" t="n"/>
      <c r="G1566" s="23" t="n"/>
      <c r="H1566" s="23" t="n"/>
      <c r="I1566" s="23" t="n"/>
      <c r="J1566" s="23" t="n"/>
      <c r="K1566" s="45">
        <f>IF(A1566="","",SUM(G$2:I1566)-SUM(J$2:J1566))</f>
        <v/>
      </c>
      <c r="L1566" s="46" t="n"/>
      <c r="M1566">
        <f>IF(A1566="","",IF(A1566=A1565,M1565,N(M1565)+1))</f>
        <v/>
      </c>
      <c r="N1566">
        <f>IF(E1566="",99999,E1566)</f>
        <v/>
      </c>
      <c r="O1566">
        <f>IF(E1566="",0,IF(F1566="",E1566,F1566))</f>
        <v/>
      </c>
      <c r="P1566">
        <f>IF(E1566="",1,MAX(1,(YEAR(O1566)-YEAR(N1566))*12+MONTH(O1566)-MONTH(N1566)+1))</f>
        <v/>
      </c>
      <c r="Q1566">
        <f>IF(G1566="",0,G1566/P1566)</f>
        <v/>
      </c>
      <c r="R1566">
        <f>IF(H1566="",0,H1566/P1566)</f>
        <v/>
      </c>
    </row>
    <row r="1567">
      <c r="A1567" s="43" t="n"/>
      <c r="B1567" s="28" t="n"/>
      <c r="C1567" s="28" t="n"/>
      <c r="D1567" s="28" t="n"/>
      <c r="E1567" s="44" t="n"/>
      <c r="F1567" s="44" t="n"/>
      <c r="G1567" s="23" t="n"/>
      <c r="H1567" s="23" t="n"/>
      <c r="I1567" s="23" t="n"/>
      <c r="J1567" s="23" t="n"/>
      <c r="K1567" s="45">
        <f>IF(A1567="","",SUM(G$2:I1567)-SUM(J$2:J1567))</f>
        <v/>
      </c>
      <c r="L1567" s="46" t="n"/>
      <c r="M1567">
        <f>IF(A1567="","",IF(A1567=A1566,M1566,N(M1566)+1))</f>
        <v/>
      </c>
      <c r="N1567">
        <f>IF(E1567="",99999,E1567)</f>
        <v/>
      </c>
      <c r="O1567">
        <f>IF(E1567="",0,IF(F1567="",E1567,F1567))</f>
        <v/>
      </c>
      <c r="P1567">
        <f>IF(E1567="",1,MAX(1,(YEAR(O1567)-YEAR(N1567))*12+MONTH(O1567)-MONTH(N1567)+1))</f>
        <v/>
      </c>
      <c r="Q1567">
        <f>IF(G1567="",0,G1567/P1567)</f>
        <v/>
      </c>
      <c r="R1567">
        <f>IF(H1567="",0,H1567/P1567)</f>
        <v/>
      </c>
    </row>
    <row r="1568">
      <c r="A1568" s="43" t="n"/>
      <c r="B1568" s="28" t="n"/>
      <c r="C1568" s="28" t="n"/>
      <c r="D1568" s="28" t="n"/>
      <c r="E1568" s="44" t="n"/>
      <c r="F1568" s="44" t="n"/>
      <c r="G1568" s="23" t="n"/>
      <c r="H1568" s="23" t="n"/>
      <c r="I1568" s="23" t="n"/>
      <c r="J1568" s="23" t="n"/>
      <c r="K1568" s="45">
        <f>IF(A1568="","",SUM(G$2:I1568)-SUM(J$2:J1568))</f>
        <v/>
      </c>
      <c r="L1568" s="46" t="n"/>
      <c r="M1568">
        <f>IF(A1568="","",IF(A1568=A1567,M1567,N(M1567)+1))</f>
        <v/>
      </c>
      <c r="N1568">
        <f>IF(E1568="",99999,E1568)</f>
        <v/>
      </c>
      <c r="O1568">
        <f>IF(E1568="",0,IF(F1568="",E1568,F1568))</f>
        <v/>
      </c>
      <c r="P1568">
        <f>IF(E1568="",1,MAX(1,(YEAR(O1568)-YEAR(N1568))*12+MONTH(O1568)-MONTH(N1568)+1))</f>
        <v/>
      </c>
      <c r="Q1568">
        <f>IF(G1568="",0,G1568/P1568)</f>
        <v/>
      </c>
      <c r="R1568">
        <f>IF(H1568="",0,H1568/P1568)</f>
        <v/>
      </c>
    </row>
    <row r="1569">
      <c r="A1569" s="43" t="n"/>
      <c r="B1569" s="28" t="n"/>
      <c r="C1569" s="28" t="n"/>
      <c r="D1569" s="28" t="n"/>
      <c r="E1569" s="44" t="n"/>
      <c r="F1569" s="44" t="n"/>
      <c r="G1569" s="23" t="n"/>
      <c r="H1569" s="23" t="n"/>
      <c r="I1569" s="23" t="n"/>
      <c r="J1569" s="23" t="n"/>
      <c r="K1569" s="45">
        <f>IF(A1569="","",SUM(G$2:I1569)-SUM(J$2:J1569))</f>
        <v/>
      </c>
      <c r="L1569" s="46" t="n"/>
      <c r="M1569">
        <f>IF(A1569="","",IF(A1569=A1568,M1568,N(M1568)+1))</f>
        <v/>
      </c>
      <c r="N1569">
        <f>IF(E1569="",99999,E1569)</f>
        <v/>
      </c>
      <c r="O1569">
        <f>IF(E1569="",0,IF(F1569="",E1569,F1569))</f>
        <v/>
      </c>
      <c r="P1569">
        <f>IF(E1569="",1,MAX(1,(YEAR(O1569)-YEAR(N1569))*12+MONTH(O1569)-MONTH(N1569)+1))</f>
        <v/>
      </c>
      <c r="Q1569">
        <f>IF(G1569="",0,G1569/P1569)</f>
        <v/>
      </c>
      <c r="R1569">
        <f>IF(H1569="",0,H1569/P1569)</f>
        <v/>
      </c>
    </row>
    <row r="1570">
      <c r="A1570" s="43" t="n"/>
      <c r="B1570" s="28" t="n"/>
      <c r="C1570" s="28" t="n"/>
      <c r="D1570" s="28" t="n"/>
      <c r="E1570" s="44" t="n"/>
      <c r="F1570" s="44" t="n"/>
      <c r="G1570" s="23" t="n"/>
      <c r="H1570" s="23" t="n"/>
      <c r="I1570" s="23" t="n"/>
      <c r="J1570" s="23" t="n"/>
      <c r="K1570" s="45">
        <f>IF(A1570="","",SUM(G$2:I1570)-SUM(J$2:J1570))</f>
        <v/>
      </c>
      <c r="L1570" s="46" t="n"/>
      <c r="M1570">
        <f>IF(A1570="","",IF(A1570=A1569,M1569,N(M1569)+1))</f>
        <v/>
      </c>
      <c r="N1570">
        <f>IF(E1570="",99999,E1570)</f>
        <v/>
      </c>
      <c r="O1570">
        <f>IF(E1570="",0,IF(F1570="",E1570,F1570))</f>
        <v/>
      </c>
      <c r="P1570">
        <f>IF(E1570="",1,MAX(1,(YEAR(O1570)-YEAR(N1570))*12+MONTH(O1570)-MONTH(N1570)+1))</f>
        <v/>
      </c>
      <c r="Q1570">
        <f>IF(G1570="",0,G1570/P1570)</f>
        <v/>
      </c>
      <c r="R1570">
        <f>IF(H1570="",0,H1570/P1570)</f>
        <v/>
      </c>
    </row>
    <row r="1571">
      <c r="A1571" s="43" t="n"/>
      <c r="B1571" s="28" t="n"/>
      <c r="C1571" s="28" t="n"/>
      <c r="D1571" s="28" t="n"/>
      <c r="E1571" s="44" t="n"/>
      <c r="F1571" s="44" t="n"/>
      <c r="G1571" s="23" t="n"/>
      <c r="H1571" s="23" t="n"/>
      <c r="I1571" s="23" t="n"/>
      <c r="J1571" s="23" t="n"/>
      <c r="K1571" s="45">
        <f>IF(A1571="","",SUM(G$2:I1571)-SUM(J$2:J1571))</f>
        <v/>
      </c>
      <c r="L1571" s="46" t="n"/>
      <c r="M1571">
        <f>IF(A1571="","",IF(A1571=A1570,M1570,N(M1570)+1))</f>
        <v/>
      </c>
      <c r="N1571">
        <f>IF(E1571="",99999,E1571)</f>
        <v/>
      </c>
      <c r="O1571">
        <f>IF(E1571="",0,IF(F1571="",E1571,F1571))</f>
        <v/>
      </c>
      <c r="P1571">
        <f>IF(E1571="",1,MAX(1,(YEAR(O1571)-YEAR(N1571))*12+MONTH(O1571)-MONTH(N1571)+1))</f>
        <v/>
      </c>
      <c r="Q1571">
        <f>IF(G1571="",0,G1571/P1571)</f>
        <v/>
      </c>
      <c r="R1571">
        <f>IF(H1571="",0,H1571/P1571)</f>
        <v/>
      </c>
    </row>
    <row r="1572">
      <c r="A1572" s="43" t="n"/>
      <c r="B1572" s="28" t="n"/>
      <c r="C1572" s="28" t="n"/>
      <c r="D1572" s="28" t="n"/>
      <c r="E1572" s="44" t="n"/>
      <c r="F1572" s="44" t="n"/>
      <c r="G1572" s="23" t="n"/>
      <c r="H1572" s="23" t="n"/>
      <c r="I1572" s="23" t="n"/>
      <c r="J1572" s="23" t="n"/>
      <c r="K1572" s="45">
        <f>IF(A1572="","",SUM(G$2:I1572)-SUM(J$2:J1572))</f>
        <v/>
      </c>
      <c r="L1572" s="46" t="n"/>
      <c r="M1572">
        <f>IF(A1572="","",IF(A1572=A1571,M1571,N(M1571)+1))</f>
        <v/>
      </c>
      <c r="N1572">
        <f>IF(E1572="",99999,E1572)</f>
        <v/>
      </c>
      <c r="O1572">
        <f>IF(E1572="",0,IF(F1572="",E1572,F1572))</f>
        <v/>
      </c>
      <c r="P1572">
        <f>IF(E1572="",1,MAX(1,(YEAR(O1572)-YEAR(N1572))*12+MONTH(O1572)-MONTH(N1572)+1))</f>
        <v/>
      </c>
      <c r="Q1572">
        <f>IF(G1572="",0,G1572/P1572)</f>
        <v/>
      </c>
      <c r="R1572">
        <f>IF(H1572="",0,H1572/P1572)</f>
        <v/>
      </c>
    </row>
    <row r="1573">
      <c r="A1573" s="43" t="n"/>
      <c r="B1573" s="28" t="n"/>
      <c r="C1573" s="28" t="n"/>
      <c r="D1573" s="28" t="n"/>
      <c r="E1573" s="44" t="n"/>
      <c r="F1573" s="44" t="n"/>
      <c r="G1573" s="23" t="n"/>
      <c r="H1573" s="23" t="n"/>
      <c r="I1573" s="23" t="n"/>
      <c r="J1573" s="23" t="n"/>
      <c r="K1573" s="45">
        <f>IF(A1573="","",SUM(G$2:I1573)-SUM(J$2:J1573))</f>
        <v/>
      </c>
      <c r="L1573" s="46" t="n"/>
      <c r="M1573">
        <f>IF(A1573="","",IF(A1573=A1572,M1572,N(M1572)+1))</f>
        <v/>
      </c>
      <c r="N1573">
        <f>IF(E1573="",99999,E1573)</f>
        <v/>
      </c>
      <c r="O1573">
        <f>IF(E1573="",0,IF(F1573="",E1573,F1573))</f>
        <v/>
      </c>
      <c r="P1573">
        <f>IF(E1573="",1,MAX(1,(YEAR(O1573)-YEAR(N1573))*12+MONTH(O1573)-MONTH(N1573)+1))</f>
        <v/>
      </c>
      <c r="Q1573">
        <f>IF(G1573="",0,G1573/P1573)</f>
        <v/>
      </c>
      <c r="R1573">
        <f>IF(H1573="",0,H1573/P1573)</f>
        <v/>
      </c>
    </row>
    <row r="1574">
      <c r="A1574" s="43" t="n"/>
      <c r="B1574" s="28" t="n"/>
      <c r="C1574" s="28" t="n"/>
      <c r="D1574" s="28" t="n"/>
      <c r="E1574" s="44" t="n"/>
      <c r="F1574" s="44" t="n"/>
      <c r="G1574" s="23" t="n"/>
      <c r="H1574" s="23" t="n"/>
      <c r="I1574" s="23" t="n"/>
      <c r="J1574" s="23" t="n"/>
      <c r="K1574" s="45">
        <f>IF(A1574="","",SUM(G$2:I1574)-SUM(J$2:J1574))</f>
        <v/>
      </c>
      <c r="L1574" s="46" t="n"/>
      <c r="M1574">
        <f>IF(A1574="","",IF(A1574=A1573,M1573,N(M1573)+1))</f>
        <v/>
      </c>
      <c r="N1574">
        <f>IF(E1574="",99999,E1574)</f>
        <v/>
      </c>
      <c r="O1574">
        <f>IF(E1574="",0,IF(F1574="",E1574,F1574))</f>
        <v/>
      </c>
      <c r="P1574">
        <f>IF(E1574="",1,MAX(1,(YEAR(O1574)-YEAR(N1574))*12+MONTH(O1574)-MONTH(N1574)+1))</f>
        <v/>
      </c>
      <c r="Q1574">
        <f>IF(G1574="",0,G1574/P1574)</f>
        <v/>
      </c>
      <c r="R1574">
        <f>IF(H1574="",0,H1574/P1574)</f>
        <v/>
      </c>
    </row>
    <row r="1575">
      <c r="A1575" s="43" t="n"/>
      <c r="B1575" s="28" t="n"/>
      <c r="C1575" s="28" t="n"/>
      <c r="D1575" s="28" t="n"/>
      <c r="E1575" s="44" t="n"/>
      <c r="F1575" s="44" t="n"/>
      <c r="G1575" s="23" t="n"/>
      <c r="H1575" s="23" t="n"/>
      <c r="I1575" s="23" t="n"/>
      <c r="J1575" s="23" t="n"/>
      <c r="K1575" s="45">
        <f>IF(A1575="","",SUM(G$2:I1575)-SUM(J$2:J1575))</f>
        <v/>
      </c>
      <c r="L1575" s="46" t="n"/>
      <c r="M1575">
        <f>IF(A1575="","",IF(A1575=A1574,M1574,N(M1574)+1))</f>
        <v/>
      </c>
      <c r="N1575">
        <f>IF(E1575="",99999,E1575)</f>
        <v/>
      </c>
      <c r="O1575">
        <f>IF(E1575="",0,IF(F1575="",E1575,F1575))</f>
        <v/>
      </c>
      <c r="P1575">
        <f>IF(E1575="",1,MAX(1,(YEAR(O1575)-YEAR(N1575))*12+MONTH(O1575)-MONTH(N1575)+1))</f>
        <v/>
      </c>
      <c r="Q1575">
        <f>IF(G1575="",0,G1575/P1575)</f>
        <v/>
      </c>
      <c r="R1575">
        <f>IF(H1575="",0,H1575/P1575)</f>
        <v/>
      </c>
    </row>
    <row r="1576">
      <c r="A1576" s="43" t="n"/>
      <c r="B1576" s="28" t="n"/>
      <c r="C1576" s="28" t="n"/>
      <c r="D1576" s="28" t="n"/>
      <c r="E1576" s="44" t="n"/>
      <c r="F1576" s="44" t="n"/>
      <c r="G1576" s="23" t="n"/>
      <c r="H1576" s="23" t="n"/>
      <c r="I1576" s="23" t="n"/>
      <c r="J1576" s="23" t="n"/>
      <c r="K1576" s="45">
        <f>IF(A1576="","",SUM(G$2:I1576)-SUM(J$2:J1576))</f>
        <v/>
      </c>
      <c r="L1576" s="46" t="n"/>
      <c r="M1576">
        <f>IF(A1576="","",IF(A1576=A1575,M1575,N(M1575)+1))</f>
        <v/>
      </c>
      <c r="N1576">
        <f>IF(E1576="",99999,E1576)</f>
        <v/>
      </c>
      <c r="O1576">
        <f>IF(E1576="",0,IF(F1576="",E1576,F1576))</f>
        <v/>
      </c>
      <c r="P1576">
        <f>IF(E1576="",1,MAX(1,(YEAR(O1576)-YEAR(N1576))*12+MONTH(O1576)-MONTH(N1576)+1))</f>
        <v/>
      </c>
      <c r="Q1576">
        <f>IF(G1576="",0,G1576/P1576)</f>
        <v/>
      </c>
      <c r="R1576">
        <f>IF(H1576="",0,H1576/P1576)</f>
        <v/>
      </c>
    </row>
    <row r="1577">
      <c r="A1577" s="43" t="n"/>
      <c r="B1577" s="28" t="n"/>
      <c r="C1577" s="28" t="n"/>
      <c r="D1577" s="28" t="n"/>
      <c r="E1577" s="44" t="n"/>
      <c r="F1577" s="44" t="n"/>
      <c r="G1577" s="23" t="n"/>
      <c r="H1577" s="23" t="n"/>
      <c r="I1577" s="23" t="n"/>
      <c r="J1577" s="23" t="n"/>
      <c r="K1577" s="45">
        <f>IF(A1577="","",SUM(G$2:I1577)-SUM(J$2:J1577))</f>
        <v/>
      </c>
      <c r="L1577" s="46" t="n"/>
      <c r="M1577">
        <f>IF(A1577="","",IF(A1577=A1576,M1576,N(M1576)+1))</f>
        <v/>
      </c>
      <c r="N1577">
        <f>IF(E1577="",99999,E1577)</f>
        <v/>
      </c>
      <c r="O1577">
        <f>IF(E1577="",0,IF(F1577="",E1577,F1577))</f>
        <v/>
      </c>
      <c r="P1577">
        <f>IF(E1577="",1,MAX(1,(YEAR(O1577)-YEAR(N1577))*12+MONTH(O1577)-MONTH(N1577)+1))</f>
        <v/>
      </c>
      <c r="Q1577">
        <f>IF(G1577="",0,G1577/P1577)</f>
        <v/>
      </c>
      <c r="R1577">
        <f>IF(H1577="",0,H1577/P1577)</f>
        <v/>
      </c>
    </row>
    <row r="1578">
      <c r="A1578" s="43" t="n"/>
      <c r="B1578" s="28" t="n"/>
      <c r="C1578" s="28" t="n"/>
      <c r="D1578" s="28" t="n"/>
      <c r="E1578" s="44" t="n"/>
      <c r="F1578" s="44" t="n"/>
      <c r="G1578" s="23" t="n"/>
      <c r="H1578" s="23" t="n"/>
      <c r="I1578" s="23" t="n"/>
      <c r="J1578" s="23" t="n"/>
      <c r="K1578" s="45">
        <f>IF(A1578="","",SUM(G$2:I1578)-SUM(J$2:J1578))</f>
        <v/>
      </c>
      <c r="L1578" s="46" t="n"/>
      <c r="M1578">
        <f>IF(A1578="","",IF(A1578=A1577,M1577,N(M1577)+1))</f>
        <v/>
      </c>
      <c r="N1578">
        <f>IF(E1578="",99999,E1578)</f>
        <v/>
      </c>
      <c r="O1578">
        <f>IF(E1578="",0,IF(F1578="",E1578,F1578))</f>
        <v/>
      </c>
      <c r="P1578">
        <f>IF(E1578="",1,MAX(1,(YEAR(O1578)-YEAR(N1578))*12+MONTH(O1578)-MONTH(N1578)+1))</f>
        <v/>
      </c>
      <c r="Q1578">
        <f>IF(G1578="",0,G1578/P1578)</f>
        <v/>
      </c>
      <c r="R1578">
        <f>IF(H1578="",0,H1578/P1578)</f>
        <v/>
      </c>
    </row>
    <row r="1579">
      <c r="A1579" s="43" t="n"/>
      <c r="B1579" s="28" t="n"/>
      <c r="C1579" s="28" t="n"/>
      <c r="D1579" s="28" t="n"/>
      <c r="E1579" s="44" t="n"/>
      <c r="F1579" s="44" t="n"/>
      <c r="G1579" s="23" t="n"/>
      <c r="H1579" s="23" t="n"/>
      <c r="I1579" s="23" t="n"/>
      <c r="J1579" s="23" t="n"/>
      <c r="K1579" s="45">
        <f>IF(A1579="","",SUM(G$2:I1579)-SUM(J$2:J1579))</f>
        <v/>
      </c>
      <c r="L1579" s="46" t="n"/>
      <c r="M1579">
        <f>IF(A1579="","",IF(A1579=A1578,M1578,N(M1578)+1))</f>
        <v/>
      </c>
      <c r="N1579">
        <f>IF(E1579="",99999,E1579)</f>
        <v/>
      </c>
      <c r="O1579">
        <f>IF(E1579="",0,IF(F1579="",E1579,F1579))</f>
        <v/>
      </c>
      <c r="P1579">
        <f>IF(E1579="",1,MAX(1,(YEAR(O1579)-YEAR(N1579))*12+MONTH(O1579)-MONTH(N1579)+1))</f>
        <v/>
      </c>
      <c r="Q1579">
        <f>IF(G1579="",0,G1579/P1579)</f>
        <v/>
      </c>
      <c r="R1579">
        <f>IF(H1579="",0,H1579/P1579)</f>
        <v/>
      </c>
    </row>
    <row r="1580">
      <c r="A1580" s="43" t="n"/>
      <c r="B1580" s="28" t="n"/>
      <c r="C1580" s="28" t="n"/>
      <c r="D1580" s="28" t="n"/>
      <c r="E1580" s="44" t="n"/>
      <c r="F1580" s="44" t="n"/>
      <c r="G1580" s="23" t="n"/>
      <c r="H1580" s="23" t="n"/>
      <c r="I1580" s="23" t="n"/>
      <c r="J1580" s="23" t="n"/>
      <c r="K1580" s="45">
        <f>IF(A1580="","",SUM(G$2:I1580)-SUM(J$2:J1580))</f>
        <v/>
      </c>
      <c r="L1580" s="46" t="n"/>
      <c r="M1580">
        <f>IF(A1580="","",IF(A1580=A1579,M1579,N(M1579)+1))</f>
        <v/>
      </c>
      <c r="N1580">
        <f>IF(E1580="",99999,E1580)</f>
        <v/>
      </c>
      <c r="O1580">
        <f>IF(E1580="",0,IF(F1580="",E1580,F1580))</f>
        <v/>
      </c>
      <c r="P1580">
        <f>IF(E1580="",1,MAX(1,(YEAR(O1580)-YEAR(N1580))*12+MONTH(O1580)-MONTH(N1580)+1))</f>
        <v/>
      </c>
      <c r="Q1580">
        <f>IF(G1580="",0,G1580/P1580)</f>
        <v/>
      </c>
      <c r="R1580">
        <f>IF(H1580="",0,H1580/P1580)</f>
        <v/>
      </c>
    </row>
    <row r="1581">
      <c r="A1581" s="43" t="n"/>
      <c r="B1581" s="28" t="n"/>
      <c r="C1581" s="28" t="n"/>
      <c r="D1581" s="28" t="n"/>
      <c r="E1581" s="44" t="n"/>
      <c r="F1581" s="44" t="n"/>
      <c r="G1581" s="23" t="n"/>
      <c r="H1581" s="23" t="n"/>
      <c r="I1581" s="23" t="n"/>
      <c r="J1581" s="23" t="n"/>
      <c r="K1581" s="45">
        <f>IF(A1581="","",SUM(G$2:I1581)-SUM(J$2:J1581))</f>
        <v/>
      </c>
      <c r="L1581" s="46" t="n"/>
      <c r="M1581">
        <f>IF(A1581="","",IF(A1581=A1580,M1580,N(M1580)+1))</f>
        <v/>
      </c>
      <c r="N1581">
        <f>IF(E1581="",99999,E1581)</f>
        <v/>
      </c>
      <c r="O1581">
        <f>IF(E1581="",0,IF(F1581="",E1581,F1581))</f>
        <v/>
      </c>
      <c r="P1581">
        <f>IF(E1581="",1,MAX(1,(YEAR(O1581)-YEAR(N1581))*12+MONTH(O1581)-MONTH(N1581)+1))</f>
        <v/>
      </c>
      <c r="Q1581">
        <f>IF(G1581="",0,G1581/P1581)</f>
        <v/>
      </c>
      <c r="R1581">
        <f>IF(H1581="",0,H1581/P1581)</f>
        <v/>
      </c>
    </row>
    <row r="1582">
      <c r="A1582" s="43" t="n"/>
      <c r="B1582" s="28" t="n"/>
      <c r="C1582" s="28" t="n"/>
      <c r="D1582" s="28" t="n"/>
      <c r="E1582" s="44" t="n"/>
      <c r="F1582" s="44" t="n"/>
      <c r="G1582" s="23" t="n"/>
      <c r="H1582" s="23" t="n"/>
      <c r="I1582" s="23" t="n"/>
      <c r="J1582" s="23" t="n"/>
      <c r="K1582" s="45">
        <f>IF(A1582="","",SUM(G$2:I1582)-SUM(J$2:J1582))</f>
        <v/>
      </c>
      <c r="L1582" s="46" t="n"/>
      <c r="M1582">
        <f>IF(A1582="","",IF(A1582=A1581,M1581,N(M1581)+1))</f>
        <v/>
      </c>
      <c r="N1582">
        <f>IF(E1582="",99999,E1582)</f>
        <v/>
      </c>
      <c r="O1582">
        <f>IF(E1582="",0,IF(F1582="",E1582,F1582))</f>
        <v/>
      </c>
      <c r="P1582">
        <f>IF(E1582="",1,MAX(1,(YEAR(O1582)-YEAR(N1582))*12+MONTH(O1582)-MONTH(N1582)+1))</f>
        <v/>
      </c>
      <c r="Q1582">
        <f>IF(G1582="",0,G1582/P1582)</f>
        <v/>
      </c>
      <c r="R1582">
        <f>IF(H1582="",0,H1582/P1582)</f>
        <v/>
      </c>
    </row>
    <row r="1583">
      <c r="A1583" s="43" t="n"/>
      <c r="B1583" s="28" t="n"/>
      <c r="C1583" s="28" t="n"/>
      <c r="D1583" s="28" t="n"/>
      <c r="E1583" s="44" t="n"/>
      <c r="F1583" s="44" t="n"/>
      <c r="G1583" s="23" t="n"/>
      <c r="H1583" s="23" t="n"/>
      <c r="I1583" s="23" t="n"/>
      <c r="J1583" s="23" t="n"/>
      <c r="K1583" s="45">
        <f>IF(A1583="","",SUM(G$2:I1583)-SUM(J$2:J1583))</f>
        <v/>
      </c>
      <c r="L1583" s="46" t="n"/>
      <c r="M1583">
        <f>IF(A1583="","",IF(A1583=A1582,M1582,N(M1582)+1))</f>
        <v/>
      </c>
      <c r="N1583">
        <f>IF(E1583="",99999,E1583)</f>
        <v/>
      </c>
      <c r="O1583">
        <f>IF(E1583="",0,IF(F1583="",E1583,F1583))</f>
        <v/>
      </c>
      <c r="P1583">
        <f>IF(E1583="",1,MAX(1,(YEAR(O1583)-YEAR(N1583))*12+MONTH(O1583)-MONTH(N1583)+1))</f>
        <v/>
      </c>
      <c r="Q1583">
        <f>IF(G1583="",0,G1583/P1583)</f>
        <v/>
      </c>
      <c r="R1583">
        <f>IF(H1583="",0,H1583/P1583)</f>
        <v/>
      </c>
    </row>
    <row r="1584">
      <c r="A1584" s="43" t="n"/>
      <c r="B1584" s="28" t="n"/>
      <c r="C1584" s="28" t="n"/>
      <c r="D1584" s="28" t="n"/>
      <c r="E1584" s="44" t="n"/>
      <c r="F1584" s="44" t="n"/>
      <c r="G1584" s="23" t="n"/>
      <c r="H1584" s="23" t="n"/>
      <c r="I1584" s="23" t="n"/>
      <c r="J1584" s="23" t="n"/>
      <c r="K1584" s="45">
        <f>IF(A1584="","",SUM(G$2:I1584)-SUM(J$2:J1584))</f>
        <v/>
      </c>
      <c r="L1584" s="46" t="n"/>
      <c r="M1584">
        <f>IF(A1584="","",IF(A1584=A1583,M1583,N(M1583)+1))</f>
        <v/>
      </c>
      <c r="N1584">
        <f>IF(E1584="",99999,E1584)</f>
        <v/>
      </c>
      <c r="O1584">
        <f>IF(E1584="",0,IF(F1584="",E1584,F1584))</f>
        <v/>
      </c>
      <c r="P1584">
        <f>IF(E1584="",1,MAX(1,(YEAR(O1584)-YEAR(N1584))*12+MONTH(O1584)-MONTH(N1584)+1))</f>
        <v/>
      </c>
      <c r="Q1584">
        <f>IF(G1584="",0,G1584/P1584)</f>
        <v/>
      </c>
      <c r="R1584">
        <f>IF(H1584="",0,H1584/P1584)</f>
        <v/>
      </c>
    </row>
    <row r="1585">
      <c r="A1585" s="43" t="n"/>
      <c r="B1585" s="28" t="n"/>
      <c r="C1585" s="28" t="n"/>
      <c r="D1585" s="28" t="n"/>
      <c r="E1585" s="44" t="n"/>
      <c r="F1585" s="44" t="n"/>
      <c r="G1585" s="23" t="n"/>
      <c r="H1585" s="23" t="n"/>
      <c r="I1585" s="23" t="n"/>
      <c r="J1585" s="23" t="n"/>
      <c r="K1585" s="45">
        <f>IF(A1585="","",SUM(G$2:I1585)-SUM(J$2:J1585))</f>
        <v/>
      </c>
      <c r="L1585" s="46" t="n"/>
      <c r="M1585">
        <f>IF(A1585="","",IF(A1585=A1584,M1584,N(M1584)+1))</f>
        <v/>
      </c>
      <c r="N1585">
        <f>IF(E1585="",99999,E1585)</f>
        <v/>
      </c>
      <c r="O1585">
        <f>IF(E1585="",0,IF(F1585="",E1585,F1585))</f>
        <v/>
      </c>
      <c r="P1585">
        <f>IF(E1585="",1,MAX(1,(YEAR(O1585)-YEAR(N1585))*12+MONTH(O1585)-MONTH(N1585)+1))</f>
        <v/>
      </c>
      <c r="Q1585">
        <f>IF(G1585="",0,G1585/P1585)</f>
        <v/>
      </c>
      <c r="R1585">
        <f>IF(H1585="",0,H1585/P1585)</f>
        <v/>
      </c>
    </row>
    <row r="1586">
      <c r="A1586" s="43" t="n"/>
      <c r="B1586" s="28" t="n"/>
      <c r="C1586" s="28" t="n"/>
      <c r="D1586" s="28" t="n"/>
      <c r="E1586" s="44" t="n"/>
      <c r="F1586" s="44" t="n"/>
      <c r="G1586" s="23" t="n"/>
      <c r="H1586" s="23" t="n"/>
      <c r="I1586" s="23" t="n"/>
      <c r="J1586" s="23" t="n"/>
      <c r="K1586" s="45">
        <f>IF(A1586="","",SUM(G$2:I1586)-SUM(J$2:J1586))</f>
        <v/>
      </c>
      <c r="L1586" s="46" t="n"/>
      <c r="M1586">
        <f>IF(A1586="","",IF(A1586=A1585,M1585,N(M1585)+1))</f>
        <v/>
      </c>
      <c r="N1586">
        <f>IF(E1586="",99999,E1586)</f>
        <v/>
      </c>
      <c r="O1586">
        <f>IF(E1586="",0,IF(F1586="",E1586,F1586))</f>
        <v/>
      </c>
      <c r="P1586">
        <f>IF(E1586="",1,MAX(1,(YEAR(O1586)-YEAR(N1586))*12+MONTH(O1586)-MONTH(N1586)+1))</f>
        <v/>
      </c>
      <c r="Q1586">
        <f>IF(G1586="",0,G1586/P1586)</f>
        <v/>
      </c>
      <c r="R1586">
        <f>IF(H1586="",0,H1586/P1586)</f>
        <v/>
      </c>
    </row>
    <row r="1587">
      <c r="A1587" s="43" t="n"/>
      <c r="B1587" s="28" t="n"/>
      <c r="C1587" s="28" t="n"/>
      <c r="D1587" s="28" t="n"/>
      <c r="E1587" s="44" t="n"/>
      <c r="F1587" s="44" t="n"/>
      <c r="G1587" s="23" t="n"/>
      <c r="H1587" s="23" t="n"/>
      <c r="I1587" s="23" t="n"/>
      <c r="J1587" s="23" t="n"/>
      <c r="K1587" s="45">
        <f>IF(A1587="","",SUM(G$2:I1587)-SUM(J$2:J1587))</f>
        <v/>
      </c>
      <c r="L1587" s="46" t="n"/>
      <c r="M1587">
        <f>IF(A1587="","",IF(A1587=A1586,M1586,N(M1586)+1))</f>
        <v/>
      </c>
      <c r="N1587">
        <f>IF(E1587="",99999,E1587)</f>
        <v/>
      </c>
      <c r="O1587">
        <f>IF(E1587="",0,IF(F1587="",E1587,F1587))</f>
        <v/>
      </c>
      <c r="P1587">
        <f>IF(E1587="",1,MAX(1,(YEAR(O1587)-YEAR(N1587))*12+MONTH(O1587)-MONTH(N1587)+1))</f>
        <v/>
      </c>
      <c r="Q1587">
        <f>IF(G1587="",0,G1587/P1587)</f>
        <v/>
      </c>
      <c r="R1587">
        <f>IF(H1587="",0,H1587/P1587)</f>
        <v/>
      </c>
    </row>
    <row r="1588">
      <c r="A1588" s="43" t="n"/>
      <c r="B1588" s="28" t="n"/>
      <c r="C1588" s="28" t="n"/>
      <c r="D1588" s="28" t="n"/>
      <c r="E1588" s="44" t="n"/>
      <c r="F1588" s="44" t="n"/>
      <c r="G1588" s="23" t="n"/>
      <c r="H1588" s="23" t="n"/>
      <c r="I1588" s="23" t="n"/>
      <c r="J1588" s="23" t="n"/>
      <c r="K1588" s="45">
        <f>IF(A1588="","",SUM(G$2:I1588)-SUM(J$2:J1588))</f>
        <v/>
      </c>
      <c r="L1588" s="46" t="n"/>
      <c r="M1588">
        <f>IF(A1588="","",IF(A1588=A1587,M1587,N(M1587)+1))</f>
        <v/>
      </c>
      <c r="N1588">
        <f>IF(E1588="",99999,E1588)</f>
        <v/>
      </c>
      <c r="O1588">
        <f>IF(E1588="",0,IF(F1588="",E1588,F1588))</f>
        <v/>
      </c>
      <c r="P1588">
        <f>IF(E1588="",1,MAX(1,(YEAR(O1588)-YEAR(N1588))*12+MONTH(O1588)-MONTH(N1588)+1))</f>
        <v/>
      </c>
      <c r="Q1588">
        <f>IF(G1588="",0,G1588/P1588)</f>
        <v/>
      </c>
      <c r="R1588">
        <f>IF(H1588="",0,H1588/P1588)</f>
        <v/>
      </c>
    </row>
    <row r="1589">
      <c r="A1589" s="43" t="n"/>
      <c r="B1589" s="28" t="n"/>
      <c r="C1589" s="28" t="n"/>
      <c r="D1589" s="28" t="n"/>
      <c r="E1589" s="44" t="n"/>
      <c r="F1589" s="44" t="n"/>
      <c r="G1589" s="23" t="n"/>
      <c r="H1589" s="23" t="n"/>
      <c r="I1589" s="23" t="n"/>
      <c r="J1589" s="23" t="n"/>
      <c r="K1589" s="45">
        <f>IF(A1589="","",SUM(G$2:I1589)-SUM(J$2:J1589))</f>
        <v/>
      </c>
      <c r="L1589" s="46" t="n"/>
      <c r="M1589">
        <f>IF(A1589="","",IF(A1589=A1588,M1588,N(M1588)+1))</f>
        <v/>
      </c>
      <c r="N1589">
        <f>IF(E1589="",99999,E1589)</f>
        <v/>
      </c>
      <c r="O1589">
        <f>IF(E1589="",0,IF(F1589="",E1589,F1589))</f>
        <v/>
      </c>
      <c r="P1589">
        <f>IF(E1589="",1,MAX(1,(YEAR(O1589)-YEAR(N1589))*12+MONTH(O1589)-MONTH(N1589)+1))</f>
        <v/>
      </c>
      <c r="Q1589">
        <f>IF(G1589="",0,G1589/P1589)</f>
        <v/>
      </c>
      <c r="R1589">
        <f>IF(H1589="",0,H1589/P1589)</f>
        <v/>
      </c>
    </row>
    <row r="1590">
      <c r="A1590" s="43" t="n"/>
      <c r="B1590" s="28" t="n"/>
      <c r="C1590" s="28" t="n"/>
      <c r="D1590" s="28" t="n"/>
      <c r="E1590" s="44" t="n"/>
      <c r="F1590" s="44" t="n"/>
      <c r="G1590" s="23" t="n"/>
      <c r="H1590" s="23" t="n"/>
      <c r="I1590" s="23" t="n"/>
      <c r="J1590" s="23" t="n"/>
      <c r="K1590" s="45">
        <f>IF(A1590="","",SUM(G$2:I1590)-SUM(J$2:J1590))</f>
        <v/>
      </c>
      <c r="L1590" s="46" t="n"/>
      <c r="M1590">
        <f>IF(A1590="","",IF(A1590=A1589,M1589,N(M1589)+1))</f>
        <v/>
      </c>
      <c r="N1590">
        <f>IF(E1590="",99999,E1590)</f>
        <v/>
      </c>
      <c r="O1590">
        <f>IF(E1590="",0,IF(F1590="",E1590,F1590))</f>
        <v/>
      </c>
      <c r="P1590">
        <f>IF(E1590="",1,MAX(1,(YEAR(O1590)-YEAR(N1590))*12+MONTH(O1590)-MONTH(N1590)+1))</f>
        <v/>
      </c>
      <c r="Q1590">
        <f>IF(G1590="",0,G1590/P1590)</f>
        <v/>
      </c>
      <c r="R1590">
        <f>IF(H1590="",0,H1590/P1590)</f>
        <v/>
      </c>
    </row>
    <row r="1591">
      <c r="A1591" s="43" t="n"/>
      <c r="B1591" s="28" t="n"/>
      <c r="C1591" s="28" t="n"/>
      <c r="D1591" s="28" t="n"/>
      <c r="E1591" s="44" t="n"/>
      <c r="F1591" s="44" t="n"/>
      <c r="G1591" s="23" t="n"/>
      <c r="H1591" s="23" t="n"/>
      <c r="I1591" s="23" t="n"/>
      <c r="J1591" s="23" t="n"/>
      <c r="K1591" s="45">
        <f>IF(A1591="","",SUM(G$2:I1591)-SUM(J$2:J1591))</f>
        <v/>
      </c>
      <c r="L1591" s="46" t="n"/>
      <c r="M1591">
        <f>IF(A1591="","",IF(A1591=A1590,M1590,N(M1590)+1))</f>
        <v/>
      </c>
      <c r="N1591">
        <f>IF(E1591="",99999,E1591)</f>
        <v/>
      </c>
      <c r="O1591">
        <f>IF(E1591="",0,IF(F1591="",E1591,F1591))</f>
        <v/>
      </c>
      <c r="P1591">
        <f>IF(E1591="",1,MAX(1,(YEAR(O1591)-YEAR(N1591))*12+MONTH(O1591)-MONTH(N1591)+1))</f>
        <v/>
      </c>
      <c r="Q1591">
        <f>IF(G1591="",0,G1591/P1591)</f>
        <v/>
      </c>
      <c r="R1591">
        <f>IF(H1591="",0,H1591/P1591)</f>
        <v/>
      </c>
    </row>
    <row r="1592">
      <c r="A1592" s="43" t="n"/>
      <c r="B1592" s="28" t="n"/>
      <c r="C1592" s="28" t="n"/>
      <c r="D1592" s="28" t="n"/>
      <c r="E1592" s="44" t="n"/>
      <c r="F1592" s="44" t="n"/>
      <c r="G1592" s="23" t="n"/>
      <c r="H1592" s="23" t="n"/>
      <c r="I1592" s="23" t="n"/>
      <c r="J1592" s="23" t="n"/>
      <c r="K1592" s="45">
        <f>IF(A1592="","",SUM(G$2:I1592)-SUM(J$2:J1592))</f>
        <v/>
      </c>
      <c r="L1592" s="46" t="n"/>
      <c r="M1592">
        <f>IF(A1592="","",IF(A1592=A1591,M1591,N(M1591)+1))</f>
        <v/>
      </c>
      <c r="N1592">
        <f>IF(E1592="",99999,E1592)</f>
        <v/>
      </c>
      <c r="O1592">
        <f>IF(E1592="",0,IF(F1592="",E1592,F1592))</f>
        <v/>
      </c>
      <c r="P1592">
        <f>IF(E1592="",1,MAX(1,(YEAR(O1592)-YEAR(N1592))*12+MONTH(O1592)-MONTH(N1592)+1))</f>
        <v/>
      </c>
      <c r="Q1592">
        <f>IF(G1592="",0,G1592/P1592)</f>
        <v/>
      </c>
      <c r="R1592">
        <f>IF(H1592="",0,H1592/P1592)</f>
        <v/>
      </c>
    </row>
    <row r="1593">
      <c r="A1593" s="43" t="n"/>
      <c r="B1593" s="28" t="n"/>
      <c r="C1593" s="28" t="n"/>
      <c r="D1593" s="28" t="n"/>
      <c r="E1593" s="44" t="n"/>
      <c r="F1593" s="44" t="n"/>
      <c r="G1593" s="23" t="n"/>
      <c r="H1593" s="23" t="n"/>
      <c r="I1593" s="23" t="n"/>
      <c r="J1593" s="23" t="n"/>
      <c r="K1593" s="45">
        <f>IF(A1593="","",SUM(G$2:I1593)-SUM(J$2:J1593))</f>
        <v/>
      </c>
      <c r="L1593" s="46" t="n"/>
      <c r="M1593">
        <f>IF(A1593="","",IF(A1593=A1592,M1592,N(M1592)+1))</f>
        <v/>
      </c>
      <c r="N1593">
        <f>IF(E1593="",99999,E1593)</f>
        <v/>
      </c>
      <c r="O1593">
        <f>IF(E1593="",0,IF(F1593="",E1593,F1593))</f>
        <v/>
      </c>
      <c r="P1593">
        <f>IF(E1593="",1,MAX(1,(YEAR(O1593)-YEAR(N1593))*12+MONTH(O1593)-MONTH(N1593)+1))</f>
        <v/>
      </c>
      <c r="Q1593">
        <f>IF(G1593="",0,G1593/P1593)</f>
        <v/>
      </c>
      <c r="R1593">
        <f>IF(H1593="",0,H1593/P1593)</f>
        <v/>
      </c>
    </row>
    <row r="1594">
      <c r="A1594" s="43" t="n"/>
      <c r="B1594" s="28" t="n"/>
      <c r="C1594" s="28" t="n"/>
      <c r="D1594" s="28" t="n"/>
      <c r="E1594" s="44" t="n"/>
      <c r="F1594" s="44" t="n"/>
      <c r="G1594" s="23" t="n"/>
      <c r="H1594" s="23" t="n"/>
      <c r="I1594" s="23" t="n"/>
      <c r="J1594" s="23" t="n"/>
      <c r="K1594" s="45">
        <f>IF(A1594="","",SUM(G$2:I1594)-SUM(J$2:J1594))</f>
        <v/>
      </c>
      <c r="L1594" s="46" t="n"/>
      <c r="M1594">
        <f>IF(A1594="","",IF(A1594=A1593,M1593,N(M1593)+1))</f>
        <v/>
      </c>
      <c r="N1594">
        <f>IF(E1594="",99999,E1594)</f>
        <v/>
      </c>
      <c r="O1594">
        <f>IF(E1594="",0,IF(F1594="",E1594,F1594))</f>
        <v/>
      </c>
      <c r="P1594">
        <f>IF(E1594="",1,MAX(1,(YEAR(O1594)-YEAR(N1594))*12+MONTH(O1594)-MONTH(N1594)+1))</f>
        <v/>
      </c>
      <c r="Q1594">
        <f>IF(G1594="",0,G1594/P1594)</f>
        <v/>
      </c>
      <c r="R1594">
        <f>IF(H1594="",0,H1594/P1594)</f>
        <v/>
      </c>
    </row>
    <row r="1595">
      <c r="A1595" s="43" t="n"/>
      <c r="B1595" s="28" t="n"/>
      <c r="C1595" s="28" t="n"/>
      <c r="D1595" s="28" t="n"/>
      <c r="E1595" s="44" t="n"/>
      <c r="F1595" s="44" t="n"/>
      <c r="G1595" s="23" t="n"/>
      <c r="H1595" s="23" t="n"/>
      <c r="I1595" s="23" t="n"/>
      <c r="J1595" s="23" t="n"/>
      <c r="K1595" s="45">
        <f>IF(A1595="","",SUM(G$2:I1595)-SUM(J$2:J1595))</f>
        <v/>
      </c>
      <c r="L1595" s="46" t="n"/>
      <c r="M1595">
        <f>IF(A1595="","",IF(A1595=A1594,M1594,N(M1594)+1))</f>
        <v/>
      </c>
      <c r="N1595">
        <f>IF(E1595="",99999,E1595)</f>
        <v/>
      </c>
      <c r="O1595">
        <f>IF(E1595="",0,IF(F1595="",E1595,F1595))</f>
        <v/>
      </c>
      <c r="P1595">
        <f>IF(E1595="",1,MAX(1,(YEAR(O1595)-YEAR(N1595))*12+MONTH(O1595)-MONTH(N1595)+1))</f>
        <v/>
      </c>
      <c r="Q1595">
        <f>IF(G1595="",0,G1595/P1595)</f>
        <v/>
      </c>
      <c r="R1595">
        <f>IF(H1595="",0,H1595/P1595)</f>
        <v/>
      </c>
    </row>
    <row r="1596">
      <c r="A1596" s="43" t="n"/>
      <c r="B1596" s="28" t="n"/>
      <c r="C1596" s="28" t="n"/>
      <c r="D1596" s="28" t="n"/>
      <c r="E1596" s="44" t="n"/>
      <c r="F1596" s="44" t="n"/>
      <c r="G1596" s="23" t="n"/>
      <c r="H1596" s="23" t="n"/>
      <c r="I1596" s="23" t="n"/>
      <c r="J1596" s="23" t="n"/>
      <c r="K1596" s="45">
        <f>IF(A1596="","",SUM(G$2:I1596)-SUM(J$2:J1596))</f>
        <v/>
      </c>
      <c r="L1596" s="46" t="n"/>
      <c r="M1596">
        <f>IF(A1596="","",IF(A1596=A1595,M1595,N(M1595)+1))</f>
        <v/>
      </c>
      <c r="N1596">
        <f>IF(E1596="",99999,E1596)</f>
        <v/>
      </c>
      <c r="O1596">
        <f>IF(E1596="",0,IF(F1596="",E1596,F1596))</f>
        <v/>
      </c>
      <c r="P1596">
        <f>IF(E1596="",1,MAX(1,(YEAR(O1596)-YEAR(N1596))*12+MONTH(O1596)-MONTH(N1596)+1))</f>
        <v/>
      </c>
      <c r="Q1596">
        <f>IF(G1596="",0,G1596/P1596)</f>
        <v/>
      </c>
      <c r="R1596">
        <f>IF(H1596="",0,H1596/P1596)</f>
        <v/>
      </c>
    </row>
    <row r="1597">
      <c r="A1597" s="43" t="n"/>
      <c r="B1597" s="28" t="n"/>
      <c r="C1597" s="28" t="n"/>
      <c r="D1597" s="28" t="n"/>
      <c r="E1597" s="44" t="n"/>
      <c r="F1597" s="44" t="n"/>
      <c r="G1597" s="23" t="n"/>
      <c r="H1597" s="23" t="n"/>
      <c r="I1597" s="23" t="n"/>
      <c r="J1597" s="23" t="n"/>
      <c r="K1597" s="45">
        <f>IF(A1597="","",SUM(G$2:I1597)-SUM(J$2:J1597))</f>
        <v/>
      </c>
      <c r="L1597" s="46" t="n"/>
      <c r="M1597">
        <f>IF(A1597="","",IF(A1597=A1596,M1596,N(M1596)+1))</f>
        <v/>
      </c>
      <c r="N1597">
        <f>IF(E1597="",99999,E1597)</f>
        <v/>
      </c>
      <c r="O1597">
        <f>IF(E1597="",0,IF(F1597="",E1597,F1597))</f>
        <v/>
      </c>
      <c r="P1597">
        <f>IF(E1597="",1,MAX(1,(YEAR(O1597)-YEAR(N1597))*12+MONTH(O1597)-MONTH(N1597)+1))</f>
        <v/>
      </c>
      <c r="Q1597">
        <f>IF(G1597="",0,G1597/P1597)</f>
        <v/>
      </c>
      <c r="R1597">
        <f>IF(H1597="",0,H1597/P1597)</f>
        <v/>
      </c>
    </row>
    <row r="1598">
      <c r="A1598" s="43" t="n"/>
      <c r="B1598" s="28" t="n"/>
      <c r="C1598" s="28" t="n"/>
      <c r="D1598" s="28" t="n"/>
      <c r="E1598" s="44" t="n"/>
      <c r="F1598" s="44" t="n"/>
      <c r="G1598" s="23" t="n"/>
      <c r="H1598" s="23" t="n"/>
      <c r="I1598" s="23" t="n"/>
      <c r="J1598" s="23" t="n"/>
      <c r="K1598" s="45">
        <f>IF(A1598="","",SUM(G$2:I1598)-SUM(J$2:J1598))</f>
        <v/>
      </c>
      <c r="L1598" s="46" t="n"/>
      <c r="M1598">
        <f>IF(A1598="","",IF(A1598=A1597,M1597,N(M1597)+1))</f>
        <v/>
      </c>
      <c r="N1598">
        <f>IF(E1598="",99999,E1598)</f>
        <v/>
      </c>
      <c r="O1598">
        <f>IF(E1598="",0,IF(F1598="",E1598,F1598))</f>
        <v/>
      </c>
      <c r="P1598">
        <f>IF(E1598="",1,MAX(1,(YEAR(O1598)-YEAR(N1598))*12+MONTH(O1598)-MONTH(N1598)+1))</f>
        <v/>
      </c>
      <c r="Q1598">
        <f>IF(G1598="",0,G1598/P1598)</f>
        <v/>
      </c>
      <c r="R1598">
        <f>IF(H1598="",0,H1598/P1598)</f>
        <v/>
      </c>
    </row>
    <row r="1599">
      <c r="A1599" s="43" t="n"/>
      <c r="B1599" s="28" t="n"/>
      <c r="C1599" s="28" t="n"/>
      <c r="D1599" s="28" t="n"/>
      <c r="E1599" s="44" t="n"/>
      <c r="F1599" s="44" t="n"/>
      <c r="G1599" s="23" t="n"/>
      <c r="H1599" s="23" t="n"/>
      <c r="I1599" s="23" t="n"/>
      <c r="J1599" s="23" t="n"/>
      <c r="K1599" s="45">
        <f>IF(A1599="","",SUM(G$2:I1599)-SUM(J$2:J1599))</f>
        <v/>
      </c>
      <c r="L1599" s="46" t="n"/>
      <c r="M1599">
        <f>IF(A1599="","",IF(A1599=A1598,M1598,N(M1598)+1))</f>
        <v/>
      </c>
      <c r="N1599">
        <f>IF(E1599="",99999,E1599)</f>
        <v/>
      </c>
      <c r="O1599">
        <f>IF(E1599="",0,IF(F1599="",E1599,F1599))</f>
        <v/>
      </c>
      <c r="P1599">
        <f>IF(E1599="",1,MAX(1,(YEAR(O1599)-YEAR(N1599))*12+MONTH(O1599)-MONTH(N1599)+1))</f>
        <v/>
      </c>
      <c r="Q1599">
        <f>IF(G1599="",0,G1599/P1599)</f>
        <v/>
      </c>
      <c r="R1599">
        <f>IF(H1599="",0,H1599/P1599)</f>
        <v/>
      </c>
    </row>
    <row r="1600">
      <c r="A1600" s="43" t="n"/>
      <c r="B1600" s="28" t="n"/>
      <c r="C1600" s="28" t="n"/>
      <c r="D1600" s="28" t="n"/>
      <c r="E1600" s="44" t="n"/>
      <c r="F1600" s="44" t="n"/>
      <c r="G1600" s="23" t="n"/>
      <c r="H1600" s="23" t="n"/>
      <c r="I1600" s="23" t="n"/>
      <c r="J1600" s="23" t="n"/>
      <c r="K1600" s="45">
        <f>IF(A1600="","",SUM(G$2:I1600)-SUM(J$2:J1600))</f>
        <v/>
      </c>
      <c r="L1600" s="46" t="n"/>
      <c r="M1600">
        <f>IF(A1600="","",IF(A1600=A1599,M1599,N(M1599)+1))</f>
        <v/>
      </c>
      <c r="N1600">
        <f>IF(E1600="",99999,E1600)</f>
        <v/>
      </c>
      <c r="O1600">
        <f>IF(E1600="",0,IF(F1600="",E1600,F1600))</f>
        <v/>
      </c>
      <c r="P1600">
        <f>IF(E1600="",1,MAX(1,(YEAR(O1600)-YEAR(N1600))*12+MONTH(O1600)-MONTH(N1600)+1))</f>
        <v/>
      </c>
      <c r="Q1600">
        <f>IF(G1600="",0,G1600/P1600)</f>
        <v/>
      </c>
      <c r="R1600">
        <f>IF(H1600="",0,H1600/P1600)</f>
        <v/>
      </c>
    </row>
    <row r="1601">
      <c r="A1601" s="43" t="n"/>
      <c r="B1601" s="28" t="n"/>
      <c r="C1601" s="28" t="n"/>
      <c r="D1601" s="28" t="n"/>
      <c r="E1601" s="44" t="n"/>
      <c r="F1601" s="44" t="n"/>
      <c r="G1601" s="23" t="n"/>
      <c r="H1601" s="23" t="n"/>
      <c r="I1601" s="23" t="n"/>
      <c r="J1601" s="23" t="n"/>
      <c r="K1601" s="45">
        <f>IF(A1601="","",SUM(G$2:I1601)-SUM(J$2:J1601))</f>
        <v/>
      </c>
      <c r="L1601" s="46" t="n"/>
      <c r="M1601">
        <f>IF(A1601="","",IF(A1601=A1600,M1600,N(M1600)+1))</f>
        <v/>
      </c>
      <c r="N1601">
        <f>IF(E1601="",99999,E1601)</f>
        <v/>
      </c>
      <c r="O1601">
        <f>IF(E1601="",0,IF(F1601="",E1601,F1601))</f>
        <v/>
      </c>
      <c r="P1601">
        <f>IF(E1601="",1,MAX(1,(YEAR(O1601)-YEAR(N1601))*12+MONTH(O1601)-MONTH(N1601)+1))</f>
        <v/>
      </c>
      <c r="Q1601">
        <f>IF(G1601="",0,G1601/P1601)</f>
        <v/>
      </c>
      <c r="R1601">
        <f>IF(H1601="",0,H1601/P1601)</f>
        <v/>
      </c>
    </row>
    <row r="1602">
      <c r="A1602" s="43" t="n"/>
      <c r="B1602" s="28" t="n"/>
      <c r="C1602" s="28" t="n"/>
      <c r="D1602" s="28" t="n"/>
      <c r="E1602" s="44" t="n"/>
      <c r="F1602" s="44" t="n"/>
      <c r="G1602" s="23" t="n"/>
      <c r="H1602" s="23" t="n"/>
      <c r="I1602" s="23" t="n"/>
      <c r="J1602" s="23" t="n"/>
      <c r="K1602" s="45">
        <f>IF(A1602="","",SUM(G$2:I1602)-SUM(J$2:J1602))</f>
        <v/>
      </c>
      <c r="L1602" s="46" t="n"/>
      <c r="M1602">
        <f>IF(A1602="","",IF(A1602=A1601,M1601,N(M1601)+1))</f>
        <v/>
      </c>
      <c r="N1602">
        <f>IF(E1602="",99999,E1602)</f>
        <v/>
      </c>
      <c r="O1602">
        <f>IF(E1602="",0,IF(F1602="",E1602,F1602))</f>
        <v/>
      </c>
      <c r="P1602">
        <f>IF(E1602="",1,MAX(1,(YEAR(O1602)-YEAR(N1602))*12+MONTH(O1602)-MONTH(N1602)+1))</f>
        <v/>
      </c>
      <c r="Q1602">
        <f>IF(G1602="",0,G1602/P1602)</f>
        <v/>
      </c>
      <c r="R1602">
        <f>IF(H1602="",0,H1602/P1602)</f>
        <v/>
      </c>
    </row>
    <row r="1603">
      <c r="A1603" s="43" t="n"/>
      <c r="B1603" s="28" t="n"/>
      <c r="C1603" s="28" t="n"/>
      <c r="D1603" s="28" t="n"/>
      <c r="E1603" s="44" t="n"/>
      <c r="F1603" s="44" t="n"/>
      <c r="G1603" s="23" t="n"/>
      <c r="H1603" s="23" t="n"/>
      <c r="I1603" s="23" t="n"/>
      <c r="J1603" s="23" t="n"/>
      <c r="K1603" s="45">
        <f>IF(A1603="","",SUM(G$2:I1603)-SUM(J$2:J1603))</f>
        <v/>
      </c>
      <c r="L1603" s="46" t="n"/>
      <c r="M1603">
        <f>IF(A1603="","",IF(A1603=A1602,M1602,N(M1602)+1))</f>
        <v/>
      </c>
      <c r="N1603">
        <f>IF(E1603="",99999,E1603)</f>
        <v/>
      </c>
      <c r="O1603">
        <f>IF(E1603="",0,IF(F1603="",E1603,F1603))</f>
        <v/>
      </c>
      <c r="P1603">
        <f>IF(E1603="",1,MAX(1,(YEAR(O1603)-YEAR(N1603))*12+MONTH(O1603)-MONTH(N1603)+1))</f>
        <v/>
      </c>
      <c r="Q1603">
        <f>IF(G1603="",0,G1603/P1603)</f>
        <v/>
      </c>
      <c r="R1603">
        <f>IF(H1603="",0,H1603/P1603)</f>
        <v/>
      </c>
    </row>
    <row r="1604">
      <c r="A1604" s="43" t="n"/>
      <c r="B1604" s="28" t="n"/>
      <c r="C1604" s="28" t="n"/>
      <c r="D1604" s="28" t="n"/>
      <c r="E1604" s="44" t="n"/>
      <c r="F1604" s="44" t="n"/>
      <c r="G1604" s="23" t="n"/>
      <c r="H1604" s="23" t="n"/>
      <c r="I1604" s="23" t="n"/>
      <c r="J1604" s="23" t="n"/>
      <c r="K1604" s="45">
        <f>IF(A1604="","",SUM(G$2:I1604)-SUM(J$2:J1604))</f>
        <v/>
      </c>
      <c r="L1604" s="46" t="n"/>
      <c r="M1604">
        <f>IF(A1604="","",IF(A1604=A1603,M1603,N(M1603)+1))</f>
        <v/>
      </c>
      <c r="N1604">
        <f>IF(E1604="",99999,E1604)</f>
        <v/>
      </c>
      <c r="O1604">
        <f>IF(E1604="",0,IF(F1604="",E1604,F1604))</f>
        <v/>
      </c>
      <c r="P1604">
        <f>IF(E1604="",1,MAX(1,(YEAR(O1604)-YEAR(N1604))*12+MONTH(O1604)-MONTH(N1604)+1))</f>
        <v/>
      </c>
      <c r="Q1604">
        <f>IF(G1604="",0,G1604/P1604)</f>
        <v/>
      </c>
      <c r="R1604">
        <f>IF(H1604="",0,H1604/P1604)</f>
        <v/>
      </c>
    </row>
    <row r="1605">
      <c r="A1605" s="43" t="n"/>
      <c r="B1605" s="28" t="n"/>
      <c r="C1605" s="28" t="n"/>
      <c r="D1605" s="28" t="n"/>
      <c r="E1605" s="44" t="n"/>
      <c r="F1605" s="44" t="n"/>
      <c r="G1605" s="23" t="n"/>
      <c r="H1605" s="23" t="n"/>
      <c r="I1605" s="23" t="n"/>
      <c r="J1605" s="23" t="n"/>
      <c r="K1605" s="45">
        <f>IF(A1605="","",SUM(G$2:I1605)-SUM(J$2:J1605))</f>
        <v/>
      </c>
      <c r="L1605" s="46" t="n"/>
      <c r="M1605">
        <f>IF(A1605="","",IF(A1605=A1604,M1604,N(M1604)+1))</f>
        <v/>
      </c>
      <c r="N1605">
        <f>IF(E1605="",99999,E1605)</f>
        <v/>
      </c>
      <c r="O1605">
        <f>IF(E1605="",0,IF(F1605="",E1605,F1605))</f>
        <v/>
      </c>
      <c r="P1605">
        <f>IF(E1605="",1,MAX(1,(YEAR(O1605)-YEAR(N1605))*12+MONTH(O1605)-MONTH(N1605)+1))</f>
        <v/>
      </c>
      <c r="Q1605">
        <f>IF(G1605="",0,G1605/P1605)</f>
        <v/>
      </c>
      <c r="R1605">
        <f>IF(H1605="",0,H1605/P1605)</f>
        <v/>
      </c>
    </row>
    <row r="1606">
      <c r="A1606" s="43" t="n"/>
      <c r="B1606" s="28" t="n"/>
      <c r="C1606" s="28" t="n"/>
      <c r="D1606" s="28" t="n"/>
      <c r="E1606" s="44" t="n"/>
      <c r="F1606" s="44" t="n"/>
      <c r="G1606" s="23" t="n"/>
      <c r="H1606" s="23" t="n"/>
      <c r="I1606" s="23" t="n"/>
      <c r="J1606" s="23" t="n"/>
      <c r="K1606" s="45">
        <f>IF(A1606="","",SUM(G$2:I1606)-SUM(J$2:J1606))</f>
        <v/>
      </c>
      <c r="L1606" s="46" t="n"/>
      <c r="M1606">
        <f>IF(A1606="","",IF(A1606=A1605,M1605,N(M1605)+1))</f>
        <v/>
      </c>
      <c r="N1606">
        <f>IF(E1606="",99999,E1606)</f>
        <v/>
      </c>
      <c r="O1606">
        <f>IF(E1606="",0,IF(F1606="",E1606,F1606))</f>
        <v/>
      </c>
      <c r="P1606">
        <f>IF(E1606="",1,MAX(1,(YEAR(O1606)-YEAR(N1606))*12+MONTH(O1606)-MONTH(N1606)+1))</f>
        <v/>
      </c>
      <c r="Q1606">
        <f>IF(G1606="",0,G1606/P1606)</f>
        <v/>
      </c>
      <c r="R1606">
        <f>IF(H1606="",0,H1606/P1606)</f>
        <v/>
      </c>
    </row>
    <row r="1607">
      <c r="A1607" s="43" t="n"/>
      <c r="B1607" s="28" t="n"/>
      <c r="C1607" s="28" t="n"/>
      <c r="D1607" s="28" t="n"/>
      <c r="E1607" s="44" t="n"/>
      <c r="F1607" s="44" t="n"/>
      <c r="G1607" s="23" t="n"/>
      <c r="H1607" s="23" t="n"/>
      <c r="I1607" s="23" t="n"/>
      <c r="J1607" s="23" t="n"/>
      <c r="K1607" s="45">
        <f>IF(A1607="","",SUM(G$2:I1607)-SUM(J$2:J1607))</f>
        <v/>
      </c>
      <c r="L1607" s="46" t="n"/>
      <c r="M1607">
        <f>IF(A1607="","",IF(A1607=A1606,M1606,N(M1606)+1))</f>
        <v/>
      </c>
      <c r="N1607">
        <f>IF(E1607="",99999,E1607)</f>
        <v/>
      </c>
      <c r="O1607">
        <f>IF(E1607="",0,IF(F1607="",E1607,F1607))</f>
        <v/>
      </c>
      <c r="P1607">
        <f>IF(E1607="",1,MAX(1,(YEAR(O1607)-YEAR(N1607))*12+MONTH(O1607)-MONTH(N1607)+1))</f>
        <v/>
      </c>
      <c r="Q1607">
        <f>IF(G1607="",0,G1607/P1607)</f>
        <v/>
      </c>
      <c r="R1607">
        <f>IF(H1607="",0,H1607/P1607)</f>
        <v/>
      </c>
    </row>
    <row r="1608">
      <c r="A1608" s="43" t="n"/>
      <c r="B1608" s="28" t="n"/>
      <c r="C1608" s="28" t="n"/>
      <c r="D1608" s="28" t="n"/>
      <c r="E1608" s="44" t="n"/>
      <c r="F1608" s="44" t="n"/>
      <c r="G1608" s="23" t="n"/>
      <c r="H1608" s="23" t="n"/>
      <c r="I1608" s="23" t="n"/>
      <c r="J1608" s="23" t="n"/>
      <c r="K1608" s="45">
        <f>IF(A1608="","",SUM(G$2:I1608)-SUM(J$2:J1608))</f>
        <v/>
      </c>
      <c r="L1608" s="46" t="n"/>
      <c r="M1608">
        <f>IF(A1608="","",IF(A1608=A1607,M1607,N(M1607)+1))</f>
        <v/>
      </c>
      <c r="N1608">
        <f>IF(E1608="",99999,E1608)</f>
        <v/>
      </c>
      <c r="O1608">
        <f>IF(E1608="",0,IF(F1608="",E1608,F1608))</f>
        <v/>
      </c>
      <c r="P1608">
        <f>IF(E1608="",1,MAX(1,(YEAR(O1608)-YEAR(N1608))*12+MONTH(O1608)-MONTH(N1608)+1))</f>
        <v/>
      </c>
      <c r="Q1608">
        <f>IF(G1608="",0,G1608/P1608)</f>
        <v/>
      </c>
      <c r="R1608">
        <f>IF(H1608="",0,H1608/P1608)</f>
        <v/>
      </c>
    </row>
    <row r="1609">
      <c r="A1609" s="43" t="n"/>
      <c r="B1609" s="28" t="n"/>
      <c r="C1609" s="28" t="n"/>
      <c r="D1609" s="28" t="n"/>
      <c r="E1609" s="44" t="n"/>
      <c r="F1609" s="44" t="n"/>
      <c r="G1609" s="23" t="n"/>
      <c r="H1609" s="23" t="n"/>
      <c r="I1609" s="23" t="n"/>
      <c r="J1609" s="23" t="n"/>
      <c r="K1609" s="45">
        <f>IF(A1609="","",SUM(G$2:I1609)-SUM(J$2:J1609))</f>
        <v/>
      </c>
      <c r="L1609" s="46" t="n"/>
      <c r="M1609">
        <f>IF(A1609="","",IF(A1609=A1608,M1608,N(M1608)+1))</f>
        <v/>
      </c>
      <c r="N1609">
        <f>IF(E1609="",99999,E1609)</f>
        <v/>
      </c>
      <c r="O1609">
        <f>IF(E1609="",0,IF(F1609="",E1609,F1609))</f>
        <v/>
      </c>
      <c r="P1609">
        <f>IF(E1609="",1,MAX(1,(YEAR(O1609)-YEAR(N1609))*12+MONTH(O1609)-MONTH(N1609)+1))</f>
        <v/>
      </c>
      <c r="Q1609">
        <f>IF(G1609="",0,G1609/P1609)</f>
        <v/>
      </c>
      <c r="R1609">
        <f>IF(H1609="",0,H1609/P1609)</f>
        <v/>
      </c>
    </row>
    <row r="1610">
      <c r="A1610" s="43" t="n"/>
      <c r="B1610" s="28" t="n"/>
      <c r="C1610" s="28" t="n"/>
      <c r="D1610" s="28" t="n"/>
      <c r="E1610" s="44" t="n"/>
      <c r="F1610" s="44" t="n"/>
      <c r="G1610" s="23" t="n"/>
      <c r="H1610" s="23" t="n"/>
      <c r="I1610" s="23" t="n"/>
      <c r="J1610" s="23" t="n"/>
      <c r="K1610" s="45">
        <f>IF(A1610="","",SUM(G$2:I1610)-SUM(J$2:J1610))</f>
        <v/>
      </c>
      <c r="L1610" s="46" t="n"/>
      <c r="M1610">
        <f>IF(A1610="","",IF(A1610=A1609,M1609,N(M1609)+1))</f>
        <v/>
      </c>
      <c r="N1610">
        <f>IF(E1610="",99999,E1610)</f>
        <v/>
      </c>
      <c r="O1610">
        <f>IF(E1610="",0,IF(F1610="",E1610,F1610))</f>
        <v/>
      </c>
      <c r="P1610">
        <f>IF(E1610="",1,MAX(1,(YEAR(O1610)-YEAR(N1610))*12+MONTH(O1610)-MONTH(N1610)+1))</f>
        <v/>
      </c>
      <c r="Q1610">
        <f>IF(G1610="",0,G1610/P1610)</f>
        <v/>
      </c>
      <c r="R1610">
        <f>IF(H1610="",0,H1610/P1610)</f>
        <v/>
      </c>
    </row>
    <row r="1611">
      <c r="A1611" s="43" t="n"/>
      <c r="B1611" s="28" t="n"/>
      <c r="C1611" s="28" t="n"/>
      <c r="D1611" s="28" t="n"/>
      <c r="E1611" s="44" t="n"/>
      <c r="F1611" s="44" t="n"/>
      <c r="G1611" s="23" t="n"/>
      <c r="H1611" s="23" t="n"/>
      <c r="I1611" s="23" t="n"/>
      <c r="J1611" s="23" t="n"/>
      <c r="K1611" s="45">
        <f>IF(A1611="","",SUM(G$2:I1611)-SUM(J$2:J1611))</f>
        <v/>
      </c>
      <c r="L1611" s="46" t="n"/>
      <c r="M1611">
        <f>IF(A1611="","",IF(A1611=A1610,M1610,N(M1610)+1))</f>
        <v/>
      </c>
      <c r="N1611">
        <f>IF(E1611="",99999,E1611)</f>
        <v/>
      </c>
      <c r="O1611">
        <f>IF(E1611="",0,IF(F1611="",E1611,F1611))</f>
        <v/>
      </c>
      <c r="P1611">
        <f>IF(E1611="",1,MAX(1,(YEAR(O1611)-YEAR(N1611))*12+MONTH(O1611)-MONTH(N1611)+1))</f>
        <v/>
      </c>
      <c r="Q1611">
        <f>IF(G1611="",0,G1611/P1611)</f>
        <v/>
      </c>
      <c r="R1611">
        <f>IF(H1611="",0,H1611/P1611)</f>
        <v/>
      </c>
    </row>
    <row r="1612">
      <c r="A1612" s="43" t="n"/>
      <c r="B1612" s="28" t="n"/>
      <c r="C1612" s="28" t="n"/>
      <c r="D1612" s="28" t="n"/>
      <c r="E1612" s="44" t="n"/>
      <c r="F1612" s="44" t="n"/>
      <c r="G1612" s="23" t="n"/>
      <c r="H1612" s="23" t="n"/>
      <c r="I1612" s="23" t="n"/>
      <c r="J1612" s="23" t="n"/>
      <c r="K1612" s="45">
        <f>IF(A1612="","",SUM(G$2:I1612)-SUM(J$2:J1612))</f>
        <v/>
      </c>
      <c r="L1612" s="46" t="n"/>
      <c r="M1612">
        <f>IF(A1612="","",IF(A1612=A1611,M1611,N(M1611)+1))</f>
        <v/>
      </c>
      <c r="N1612">
        <f>IF(E1612="",99999,E1612)</f>
        <v/>
      </c>
      <c r="O1612">
        <f>IF(E1612="",0,IF(F1612="",E1612,F1612))</f>
        <v/>
      </c>
      <c r="P1612">
        <f>IF(E1612="",1,MAX(1,(YEAR(O1612)-YEAR(N1612))*12+MONTH(O1612)-MONTH(N1612)+1))</f>
        <v/>
      </c>
      <c r="Q1612">
        <f>IF(G1612="",0,G1612/P1612)</f>
        <v/>
      </c>
      <c r="R1612">
        <f>IF(H1612="",0,H1612/P1612)</f>
        <v/>
      </c>
    </row>
    <row r="1613">
      <c r="A1613" s="43" t="n"/>
      <c r="B1613" s="28" t="n"/>
      <c r="C1613" s="28" t="n"/>
      <c r="D1613" s="28" t="n"/>
      <c r="E1613" s="44" t="n"/>
      <c r="F1613" s="44" t="n"/>
      <c r="G1613" s="23" t="n"/>
      <c r="H1613" s="23" t="n"/>
      <c r="I1613" s="23" t="n"/>
      <c r="J1613" s="23" t="n"/>
      <c r="K1613" s="45">
        <f>IF(A1613="","",SUM(G$2:I1613)-SUM(J$2:J1613))</f>
        <v/>
      </c>
      <c r="L1613" s="46" t="n"/>
      <c r="M1613">
        <f>IF(A1613="","",IF(A1613=A1612,M1612,N(M1612)+1))</f>
        <v/>
      </c>
      <c r="N1613">
        <f>IF(E1613="",99999,E1613)</f>
        <v/>
      </c>
      <c r="O1613">
        <f>IF(E1613="",0,IF(F1613="",E1613,F1613))</f>
        <v/>
      </c>
      <c r="P1613">
        <f>IF(E1613="",1,MAX(1,(YEAR(O1613)-YEAR(N1613))*12+MONTH(O1613)-MONTH(N1613)+1))</f>
        <v/>
      </c>
      <c r="Q1613">
        <f>IF(G1613="",0,G1613/P1613)</f>
        <v/>
      </c>
      <c r="R1613">
        <f>IF(H1613="",0,H1613/P1613)</f>
        <v/>
      </c>
    </row>
    <row r="1614">
      <c r="A1614" s="43" t="n"/>
      <c r="B1614" s="28" t="n"/>
      <c r="C1614" s="28" t="n"/>
      <c r="D1614" s="28" t="n"/>
      <c r="E1614" s="44" t="n"/>
      <c r="F1614" s="44" t="n"/>
      <c r="G1614" s="23" t="n"/>
      <c r="H1614" s="23" t="n"/>
      <c r="I1614" s="23" t="n"/>
      <c r="J1614" s="23" t="n"/>
      <c r="K1614" s="45">
        <f>IF(A1614="","",SUM(G$2:I1614)-SUM(J$2:J1614))</f>
        <v/>
      </c>
      <c r="L1614" s="46" t="n"/>
      <c r="M1614">
        <f>IF(A1614="","",IF(A1614=A1613,M1613,N(M1613)+1))</f>
        <v/>
      </c>
      <c r="N1614">
        <f>IF(E1614="",99999,E1614)</f>
        <v/>
      </c>
      <c r="O1614">
        <f>IF(E1614="",0,IF(F1614="",E1614,F1614))</f>
        <v/>
      </c>
      <c r="P1614">
        <f>IF(E1614="",1,MAX(1,(YEAR(O1614)-YEAR(N1614))*12+MONTH(O1614)-MONTH(N1614)+1))</f>
        <v/>
      </c>
      <c r="Q1614">
        <f>IF(G1614="",0,G1614/P1614)</f>
        <v/>
      </c>
      <c r="R1614">
        <f>IF(H1614="",0,H1614/P1614)</f>
        <v/>
      </c>
    </row>
    <row r="1615">
      <c r="A1615" s="43" t="n"/>
      <c r="B1615" s="28" t="n"/>
      <c r="C1615" s="28" t="n"/>
      <c r="D1615" s="28" t="n"/>
      <c r="E1615" s="44" t="n"/>
      <c r="F1615" s="44" t="n"/>
      <c r="G1615" s="23" t="n"/>
      <c r="H1615" s="23" t="n"/>
      <c r="I1615" s="23" t="n"/>
      <c r="J1615" s="23" t="n"/>
      <c r="K1615" s="45">
        <f>IF(A1615="","",SUM(G$2:I1615)-SUM(J$2:J1615))</f>
        <v/>
      </c>
      <c r="L1615" s="46" t="n"/>
      <c r="M1615">
        <f>IF(A1615="","",IF(A1615=A1614,M1614,N(M1614)+1))</f>
        <v/>
      </c>
      <c r="N1615">
        <f>IF(E1615="",99999,E1615)</f>
        <v/>
      </c>
      <c r="O1615">
        <f>IF(E1615="",0,IF(F1615="",E1615,F1615))</f>
        <v/>
      </c>
      <c r="P1615">
        <f>IF(E1615="",1,MAX(1,(YEAR(O1615)-YEAR(N1615))*12+MONTH(O1615)-MONTH(N1615)+1))</f>
        <v/>
      </c>
      <c r="Q1615">
        <f>IF(G1615="",0,G1615/P1615)</f>
        <v/>
      </c>
      <c r="R1615">
        <f>IF(H1615="",0,H1615/P1615)</f>
        <v/>
      </c>
    </row>
    <row r="1616">
      <c r="A1616" s="43" t="n"/>
      <c r="B1616" s="28" t="n"/>
      <c r="C1616" s="28" t="n"/>
      <c r="D1616" s="28" t="n"/>
      <c r="E1616" s="44" t="n"/>
      <c r="F1616" s="44" t="n"/>
      <c r="G1616" s="23" t="n"/>
      <c r="H1616" s="23" t="n"/>
      <c r="I1616" s="23" t="n"/>
      <c r="J1616" s="23" t="n"/>
      <c r="K1616" s="45">
        <f>IF(A1616="","",SUM(G$2:I1616)-SUM(J$2:J1616))</f>
        <v/>
      </c>
      <c r="L1616" s="46" t="n"/>
      <c r="M1616">
        <f>IF(A1616="","",IF(A1616=A1615,M1615,N(M1615)+1))</f>
        <v/>
      </c>
      <c r="N1616">
        <f>IF(E1616="",99999,E1616)</f>
        <v/>
      </c>
      <c r="O1616">
        <f>IF(E1616="",0,IF(F1616="",E1616,F1616))</f>
        <v/>
      </c>
      <c r="P1616">
        <f>IF(E1616="",1,MAX(1,(YEAR(O1616)-YEAR(N1616))*12+MONTH(O1616)-MONTH(N1616)+1))</f>
        <v/>
      </c>
      <c r="Q1616">
        <f>IF(G1616="",0,G1616/P1616)</f>
        <v/>
      </c>
      <c r="R1616">
        <f>IF(H1616="",0,H1616/P1616)</f>
        <v/>
      </c>
    </row>
    <row r="1617">
      <c r="A1617" s="43" t="n"/>
      <c r="B1617" s="28" t="n"/>
      <c r="C1617" s="28" t="n"/>
      <c r="D1617" s="28" t="n"/>
      <c r="E1617" s="44" t="n"/>
      <c r="F1617" s="44" t="n"/>
      <c r="G1617" s="23" t="n"/>
      <c r="H1617" s="23" t="n"/>
      <c r="I1617" s="23" t="n"/>
      <c r="J1617" s="23" t="n"/>
      <c r="K1617" s="45">
        <f>IF(A1617="","",SUM(G$2:I1617)-SUM(J$2:J1617))</f>
        <v/>
      </c>
      <c r="L1617" s="46" t="n"/>
      <c r="M1617">
        <f>IF(A1617="","",IF(A1617=A1616,M1616,N(M1616)+1))</f>
        <v/>
      </c>
      <c r="N1617">
        <f>IF(E1617="",99999,E1617)</f>
        <v/>
      </c>
      <c r="O1617">
        <f>IF(E1617="",0,IF(F1617="",E1617,F1617))</f>
        <v/>
      </c>
      <c r="P1617">
        <f>IF(E1617="",1,MAX(1,(YEAR(O1617)-YEAR(N1617))*12+MONTH(O1617)-MONTH(N1617)+1))</f>
        <v/>
      </c>
      <c r="Q1617">
        <f>IF(G1617="",0,G1617/P1617)</f>
        <v/>
      </c>
      <c r="R1617">
        <f>IF(H1617="",0,H1617/P1617)</f>
        <v/>
      </c>
    </row>
    <row r="1618">
      <c r="A1618" s="43" t="n"/>
      <c r="B1618" s="28" t="n"/>
      <c r="C1618" s="28" t="n"/>
      <c r="D1618" s="28" t="n"/>
      <c r="E1618" s="44" t="n"/>
      <c r="F1618" s="44" t="n"/>
      <c r="G1618" s="23" t="n"/>
      <c r="H1618" s="23" t="n"/>
      <c r="I1618" s="23" t="n"/>
      <c r="J1618" s="23" t="n"/>
      <c r="K1618" s="45">
        <f>IF(A1618="","",SUM(G$2:I1618)-SUM(J$2:J1618))</f>
        <v/>
      </c>
      <c r="L1618" s="46" t="n"/>
      <c r="M1618">
        <f>IF(A1618="","",IF(A1618=A1617,M1617,N(M1617)+1))</f>
        <v/>
      </c>
      <c r="N1618">
        <f>IF(E1618="",99999,E1618)</f>
        <v/>
      </c>
      <c r="O1618">
        <f>IF(E1618="",0,IF(F1618="",E1618,F1618))</f>
        <v/>
      </c>
      <c r="P1618">
        <f>IF(E1618="",1,MAX(1,(YEAR(O1618)-YEAR(N1618))*12+MONTH(O1618)-MONTH(N1618)+1))</f>
        <v/>
      </c>
      <c r="Q1618">
        <f>IF(G1618="",0,G1618/P1618)</f>
        <v/>
      </c>
      <c r="R1618">
        <f>IF(H1618="",0,H1618/P1618)</f>
        <v/>
      </c>
    </row>
    <row r="1619">
      <c r="A1619" s="43" t="n"/>
      <c r="B1619" s="28" t="n"/>
      <c r="C1619" s="28" t="n"/>
      <c r="D1619" s="28" t="n"/>
      <c r="E1619" s="44" t="n"/>
      <c r="F1619" s="44" t="n"/>
      <c r="G1619" s="23" t="n"/>
      <c r="H1619" s="23" t="n"/>
      <c r="I1619" s="23" t="n"/>
      <c r="J1619" s="23" t="n"/>
      <c r="K1619" s="45">
        <f>IF(A1619="","",SUM(G$2:I1619)-SUM(J$2:J1619))</f>
        <v/>
      </c>
      <c r="L1619" s="46" t="n"/>
      <c r="M1619">
        <f>IF(A1619="","",IF(A1619=A1618,M1618,N(M1618)+1))</f>
        <v/>
      </c>
      <c r="N1619">
        <f>IF(E1619="",99999,E1619)</f>
        <v/>
      </c>
      <c r="O1619">
        <f>IF(E1619="",0,IF(F1619="",E1619,F1619))</f>
        <v/>
      </c>
      <c r="P1619">
        <f>IF(E1619="",1,MAX(1,(YEAR(O1619)-YEAR(N1619))*12+MONTH(O1619)-MONTH(N1619)+1))</f>
        <v/>
      </c>
      <c r="Q1619">
        <f>IF(G1619="",0,G1619/P1619)</f>
        <v/>
      </c>
      <c r="R1619">
        <f>IF(H1619="",0,H1619/P1619)</f>
        <v/>
      </c>
    </row>
    <row r="1620">
      <c r="A1620" s="43" t="n"/>
      <c r="B1620" s="28" t="n"/>
      <c r="C1620" s="28" t="n"/>
      <c r="D1620" s="28" t="n"/>
      <c r="E1620" s="44" t="n"/>
      <c r="F1620" s="44" t="n"/>
      <c r="G1620" s="23" t="n"/>
      <c r="H1620" s="23" t="n"/>
      <c r="I1620" s="23" t="n"/>
      <c r="J1620" s="23" t="n"/>
      <c r="K1620" s="45">
        <f>IF(A1620="","",SUM(G$2:I1620)-SUM(J$2:J1620))</f>
        <v/>
      </c>
      <c r="L1620" s="46" t="n"/>
      <c r="M1620">
        <f>IF(A1620="","",IF(A1620=A1619,M1619,N(M1619)+1))</f>
        <v/>
      </c>
      <c r="N1620">
        <f>IF(E1620="",99999,E1620)</f>
        <v/>
      </c>
      <c r="O1620">
        <f>IF(E1620="",0,IF(F1620="",E1620,F1620))</f>
        <v/>
      </c>
      <c r="P1620">
        <f>IF(E1620="",1,MAX(1,(YEAR(O1620)-YEAR(N1620))*12+MONTH(O1620)-MONTH(N1620)+1))</f>
        <v/>
      </c>
      <c r="Q1620">
        <f>IF(G1620="",0,G1620/P1620)</f>
        <v/>
      </c>
      <c r="R1620">
        <f>IF(H1620="",0,H1620/P1620)</f>
        <v/>
      </c>
    </row>
    <row r="1621">
      <c r="A1621" s="43" t="n"/>
      <c r="B1621" s="28" t="n"/>
      <c r="C1621" s="28" t="n"/>
      <c r="D1621" s="28" t="n"/>
      <c r="E1621" s="44" t="n"/>
      <c r="F1621" s="44" t="n"/>
      <c r="G1621" s="23" t="n"/>
      <c r="H1621" s="23" t="n"/>
      <c r="I1621" s="23" t="n"/>
      <c r="J1621" s="23" t="n"/>
      <c r="K1621" s="45">
        <f>IF(A1621="","",SUM(G$2:I1621)-SUM(J$2:J1621))</f>
        <v/>
      </c>
      <c r="L1621" s="46" t="n"/>
      <c r="M1621">
        <f>IF(A1621="","",IF(A1621=A1620,M1620,N(M1620)+1))</f>
        <v/>
      </c>
      <c r="N1621">
        <f>IF(E1621="",99999,E1621)</f>
        <v/>
      </c>
      <c r="O1621">
        <f>IF(E1621="",0,IF(F1621="",E1621,F1621))</f>
        <v/>
      </c>
      <c r="P1621">
        <f>IF(E1621="",1,MAX(1,(YEAR(O1621)-YEAR(N1621))*12+MONTH(O1621)-MONTH(N1621)+1))</f>
        <v/>
      </c>
      <c r="Q1621">
        <f>IF(G1621="",0,G1621/P1621)</f>
        <v/>
      </c>
      <c r="R1621">
        <f>IF(H1621="",0,H1621/P1621)</f>
        <v/>
      </c>
    </row>
    <row r="1622">
      <c r="A1622" s="43" t="n"/>
      <c r="B1622" s="28" t="n"/>
      <c r="C1622" s="28" t="n"/>
      <c r="D1622" s="28" t="n"/>
      <c r="E1622" s="44" t="n"/>
      <c r="F1622" s="44" t="n"/>
      <c r="G1622" s="23" t="n"/>
      <c r="H1622" s="23" t="n"/>
      <c r="I1622" s="23" t="n"/>
      <c r="J1622" s="23" t="n"/>
      <c r="K1622" s="45">
        <f>IF(A1622="","",SUM(G$2:I1622)-SUM(J$2:J1622))</f>
        <v/>
      </c>
      <c r="L1622" s="46" t="n"/>
      <c r="M1622">
        <f>IF(A1622="","",IF(A1622=A1621,M1621,N(M1621)+1))</f>
        <v/>
      </c>
      <c r="N1622">
        <f>IF(E1622="",99999,E1622)</f>
        <v/>
      </c>
      <c r="O1622">
        <f>IF(E1622="",0,IF(F1622="",E1622,F1622))</f>
        <v/>
      </c>
      <c r="P1622">
        <f>IF(E1622="",1,MAX(1,(YEAR(O1622)-YEAR(N1622))*12+MONTH(O1622)-MONTH(N1622)+1))</f>
        <v/>
      </c>
      <c r="Q1622">
        <f>IF(G1622="",0,G1622/P1622)</f>
        <v/>
      </c>
      <c r="R1622">
        <f>IF(H1622="",0,H1622/P1622)</f>
        <v/>
      </c>
    </row>
    <row r="1623">
      <c r="A1623" s="43" t="n"/>
      <c r="B1623" s="28" t="n"/>
      <c r="C1623" s="28" t="n"/>
      <c r="D1623" s="28" t="n"/>
      <c r="E1623" s="44" t="n"/>
      <c r="F1623" s="44" t="n"/>
      <c r="G1623" s="23" t="n"/>
      <c r="H1623" s="23" t="n"/>
      <c r="I1623" s="23" t="n"/>
      <c r="J1623" s="23" t="n"/>
      <c r="K1623" s="45">
        <f>IF(A1623="","",SUM(G$2:I1623)-SUM(J$2:J1623))</f>
        <v/>
      </c>
      <c r="L1623" s="46" t="n"/>
      <c r="M1623">
        <f>IF(A1623="","",IF(A1623=A1622,M1622,N(M1622)+1))</f>
        <v/>
      </c>
      <c r="N1623">
        <f>IF(E1623="",99999,E1623)</f>
        <v/>
      </c>
      <c r="O1623">
        <f>IF(E1623="",0,IF(F1623="",E1623,F1623))</f>
        <v/>
      </c>
      <c r="P1623">
        <f>IF(E1623="",1,MAX(1,(YEAR(O1623)-YEAR(N1623))*12+MONTH(O1623)-MONTH(N1623)+1))</f>
        <v/>
      </c>
      <c r="Q1623">
        <f>IF(G1623="",0,G1623/P1623)</f>
        <v/>
      </c>
      <c r="R1623">
        <f>IF(H1623="",0,H1623/P1623)</f>
        <v/>
      </c>
    </row>
    <row r="1624">
      <c r="A1624" s="43" t="n"/>
      <c r="B1624" s="28" t="n"/>
      <c r="C1624" s="28" t="n"/>
      <c r="D1624" s="28" t="n"/>
      <c r="E1624" s="44" t="n"/>
      <c r="F1624" s="44" t="n"/>
      <c r="G1624" s="23" t="n"/>
      <c r="H1624" s="23" t="n"/>
      <c r="I1624" s="23" t="n"/>
      <c r="J1624" s="23" t="n"/>
      <c r="K1624" s="45">
        <f>IF(A1624="","",SUM(G$2:I1624)-SUM(J$2:J1624))</f>
        <v/>
      </c>
      <c r="L1624" s="46" t="n"/>
      <c r="M1624">
        <f>IF(A1624="","",IF(A1624=A1623,M1623,N(M1623)+1))</f>
        <v/>
      </c>
      <c r="N1624">
        <f>IF(E1624="",99999,E1624)</f>
        <v/>
      </c>
      <c r="O1624">
        <f>IF(E1624="",0,IF(F1624="",E1624,F1624))</f>
        <v/>
      </c>
      <c r="P1624">
        <f>IF(E1624="",1,MAX(1,(YEAR(O1624)-YEAR(N1624))*12+MONTH(O1624)-MONTH(N1624)+1))</f>
        <v/>
      </c>
      <c r="Q1624">
        <f>IF(G1624="",0,G1624/P1624)</f>
        <v/>
      </c>
      <c r="R1624">
        <f>IF(H1624="",0,H1624/P1624)</f>
        <v/>
      </c>
    </row>
    <row r="1625">
      <c r="A1625" s="43" t="n"/>
      <c r="B1625" s="28" t="n"/>
      <c r="C1625" s="28" t="n"/>
      <c r="D1625" s="28" t="n"/>
      <c r="E1625" s="44" t="n"/>
      <c r="F1625" s="44" t="n"/>
      <c r="G1625" s="23" t="n"/>
      <c r="H1625" s="23" t="n"/>
      <c r="I1625" s="23" t="n"/>
      <c r="J1625" s="23" t="n"/>
      <c r="K1625" s="45">
        <f>IF(A1625="","",SUM(G$2:I1625)-SUM(J$2:J1625))</f>
        <v/>
      </c>
      <c r="L1625" s="46" t="n"/>
      <c r="M1625">
        <f>IF(A1625="","",IF(A1625=A1624,M1624,N(M1624)+1))</f>
        <v/>
      </c>
      <c r="N1625">
        <f>IF(E1625="",99999,E1625)</f>
        <v/>
      </c>
      <c r="O1625">
        <f>IF(E1625="",0,IF(F1625="",E1625,F1625))</f>
        <v/>
      </c>
      <c r="P1625">
        <f>IF(E1625="",1,MAX(1,(YEAR(O1625)-YEAR(N1625))*12+MONTH(O1625)-MONTH(N1625)+1))</f>
        <v/>
      </c>
      <c r="Q1625">
        <f>IF(G1625="",0,G1625/P1625)</f>
        <v/>
      </c>
      <c r="R1625">
        <f>IF(H1625="",0,H1625/P1625)</f>
        <v/>
      </c>
    </row>
    <row r="1626">
      <c r="A1626" s="43" t="n"/>
      <c r="B1626" s="28" t="n"/>
      <c r="C1626" s="28" t="n"/>
      <c r="D1626" s="28" t="n"/>
      <c r="E1626" s="44" t="n"/>
      <c r="F1626" s="44" t="n"/>
      <c r="G1626" s="23" t="n"/>
      <c r="H1626" s="23" t="n"/>
      <c r="I1626" s="23" t="n"/>
      <c r="J1626" s="23" t="n"/>
      <c r="K1626" s="45">
        <f>IF(A1626="","",SUM(G$2:I1626)-SUM(J$2:J1626))</f>
        <v/>
      </c>
      <c r="L1626" s="46" t="n"/>
      <c r="M1626">
        <f>IF(A1626="","",IF(A1626=A1625,M1625,N(M1625)+1))</f>
        <v/>
      </c>
      <c r="N1626">
        <f>IF(E1626="",99999,E1626)</f>
        <v/>
      </c>
      <c r="O1626">
        <f>IF(E1626="",0,IF(F1626="",E1626,F1626))</f>
        <v/>
      </c>
      <c r="P1626">
        <f>IF(E1626="",1,MAX(1,(YEAR(O1626)-YEAR(N1626))*12+MONTH(O1626)-MONTH(N1626)+1))</f>
        <v/>
      </c>
      <c r="Q1626">
        <f>IF(G1626="",0,G1626/P1626)</f>
        <v/>
      </c>
      <c r="R1626">
        <f>IF(H1626="",0,H1626/P1626)</f>
        <v/>
      </c>
    </row>
    <row r="1627">
      <c r="A1627" s="43" t="n"/>
      <c r="B1627" s="28" t="n"/>
      <c r="C1627" s="28" t="n"/>
      <c r="D1627" s="28" t="n"/>
      <c r="E1627" s="44" t="n"/>
      <c r="F1627" s="44" t="n"/>
      <c r="G1627" s="23" t="n"/>
      <c r="H1627" s="23" t="n"/>
      <c r="I1627" s="23" t="n"/>
      <c r="J1627" s="23" t="n"/>
      <c r="K1627" s="45">
        <f>IF(A1627="","",SUM(G$2:I1627)-SUM(J$2:J1627))</f>
        <v/>
      </c>
      <c r="L1627" s="46" t="n"/>
      <c r="M1627">
        <f>IF(A1627="","",IF(A1627=A1626,M1626,N(M1626)+1))</f>
        <v/>
      </c>
      <c r="N1627">
        <f>IF(E1627="",99999,E1627)</f>
        <v/>
      </c>
      <c r="O1627">
        <f>IF(E1627="",0,IF(F1627="",E1627,F1627))</f>
        <v/>
      </c>
      <c r="P1627">
        <f>IF(E1627="",1,MAX(1,(YEAR(O1627)-YEAR(N1627))*12+MONTH(O1627)-MONTH(N1627)+1))</f>
        <v/>
      </c>
      <c r="Q1627">
        <f>IF(G1627="",0,G1627/P1627)</f>
        <v/>
      </c>
      <c r="R1627">
        <f>IF(H1627="",0,H1627/P1627)</f>
        <v/>
      </c>
    </row>
    <row r="1628">
      <c r="A1628" s="43" t="n"/>
      <c r="B1628" s="28" t="n"/>
      <c r="C1628" s="28" t="n"/>
      <c r="D1628" s="28" t="n"/>
      <c r="E1628" s="44" t="n"/>
      <c r="F1628" s="44" t="n"/>
      <c r="G1628" s="23" t="n"/>
      <c r="H1628" s="23" t="n"/>
      <c r="I1628" s="23" t="n"/>
      <c r="J1628" s="23" t="n"/>
      <c r="K1628" s="45">
        <f>IF(A1628="","",SUM(G$2:I1628)-SUM(J$2:J1628))</f>
        <v/>
      </c>
      <c r="L1628" s="46" t="n"/>
      <c r="M1628">
        <f>IF(A1628="","",IF(A1628=A1627,M1627,N(M1627)+1))</f>
        <v/>
      </c>
      <c r="N1628">
        <f>IF(E1628="",99999,E1628)</f>
        <v/>
      </c>
      <c r="O1628">
        <f>IF(E1628="",0,IF(F1628="",E1628,F1628))</f>
        <v/>
      </c>
      <c r="P1628">
        <f>IF(E1628="",1,MAX(1,(YEAR(O1628)-YEAR(N1628))*12+MONTH(O1628)-MONTH(N1628)+1))</f>
        <v/>
      </c>
      <c r="Q1628">
        <f>IF(G1628="",0,G1628/P1628)</f>
        <v/>
      </c>
      <c r="R1628">
        <f>IF(H1628="",0,H1628/P1628)</f>
        <v/>
      </c>
    </row>
    <row r="1629">
      <c r="A1629" s="43" t="n"/>
      <c r="B1629" s="28" t="n"/>
      <c r="C1629" s="28" t="n"/>
      <c r="D1629" s="28" t="n"/>
      <c r="E1629" s="44" t="n"/>
      <c r="F1629" s="44" t="n"/>
      <c r="G1629" s="23" t="n"/>
      <c r="H1629" s="23" t="n"/>
      <c r="I1629" s="23" t="n"/>
      <c r="J1629" s="23" t="n"/>
      <c r="K1629" s="45">
        <f>IF(A1629="","",SUM(G$2:I1629)-SUM(J$2:J1629))</f>
        <v/>
      </c>
      <c r="L1629" s="46" t="n"/>
      <c r="M1629">
        <f>IF(A1629="","",IF(A1629=A1628,M1628,N(M1628)+1))</f>
        <v/>
      </c>
      <c r="N1629">
        <f>IF(E1629="",99999,E1629)</f>
        <v/>
      </c>
      <c r="O1629">
        <f>IF(E1629="",0,IF(F1629="",E1629,F1629))</f>
        <v/>
      </c>
      <c r="P1629">
        <f>IF(E1629="",1,MAX(1,(YEAR(O1629)-YEAR(N1629))*12+MONTH(O1629)-MONTH(N1629)+1))</f>
        <v/>
      </c>
      <c r="Q1629">
        <f>IF(G1629="",0,G1629/P1629)</f>
        <v/>
      </c>
      <c r="R1629">
        <f>IF(H1629="",0,H1629/P1629)</f>
        <v/>
      </c>
    </row>
    <row r="1630">
      <c r="A1630" s="43" t="n"/>
      <c r="B1630" s="28" t="n"/>
      <c r="C1630" s="28" t="n"/>
      <c r="D1630" s="28" t="n"/>
      <c r="E1630" s="44" t="n"/>
      <c r="F1630" s="44" t="n"/>
      <c r="G1630" s="23" t="n"/>
      <c r="H1630" s="23" t="n"/>
      <c r="I1630" s="23" t="n"/>
      <c r="J1630" s="23" t="n"/>
      <c r="K1630" s="45">
        <f>IF(A1630="","",SUM(G$2:I1630)-SUM(J$2:J1630))</f>
        <v/>
      </c>
      <c r="L1630" s="46" t="n"/>
      <c r="M1630">
        <f>IF(A1630="","",IF(A1630=A1629,M1629,N(M1629)+1))</f>
        <v/>
      </c>
      <c r="N1630">
        <f>IF(E1630="",99999,E1630)</f>
        <v/>
      </c>
      <c r="O1630">
        <f>IF(E1630="",0,IF(F1630="",E1630,F1630))</f>
        <v/>
      </c>
      <c r="P1630">
        <f>IF(E1630="",1,MAX(1,(YEAR(O1630)-YEAR(N1630))*12+MONTH(O1630)-MONTH(N1630)+1))</f>
        <v/>
      </c>
      <c r="Q1630">
        <f>IF(G1630="",0,G1630/P1630)</f>
        <v/>
      </c>
      <c r="R1630">
        <f>IF(H1630="",0,H1630/P1630)</f>
        <v/>
      </c>
    </row>
    <row r="1631">
      <c r="A1631" s="43" t="n"/>
      <c r="B1631" s="28" t="n"/>
      <c r="C1631" s="28" t="n"/>
      <c r="D1631" s="28" t="n"/>
      <c r="E1631" s="44" t="n"/>
      <c r="F1631" s="44" t="n"/>
      <c r="G1631" s="23" t="n"/>
      <c r="H1631" s="23" t="n"/>
      <c r="I1631" s="23" t="n"/>
      <c r="J1631" s="23" t="n"/>
      <c r="K1631" s="45">
        <f>IF(A1631="","",SUM(G$2:I1631)-SUM(J$2:J1631))</f>
        <v/>
      </c>
      <c r="L1631" s="46" t="n"/>
      <c r="M1631">
        <f>IF(A1631="","",IF(A1631=A1630,M1630,N(M1630)+1))</f>
        <v/>
      </c>
      <c r="N1631">
        <f>IF(E1631="",99999,E1631)</f>
        <v/>
      </c>
      <c r="O1631">
        <f>IF(E1631="",0,IF(F1631="",E1631,F1631))</f>
        <v/>
      </c>
      <c r="P1631">
        <f>IF(E1631="",1,MAX(1,(YEAR(O1631)-YEAR(N1631))*12+MONTH(O1631)-MONTH(N1631)+1))</f>
        <v/>
      </c>
      <c r="Q1631">
        <f>IF(G1631="",0,G1631/P1631)</f>
        <v/>
      </c>
      <c r="R1631">
        <f>IF(H1631="",0,H1631/P1631)</f>
        <v/>
      </c>
    </row>
    <row r="1632">
      <c r="A1632" s="43" t="n"/>
      <c r="B1632" s="28" t="n"/>
      <c r="C1632" s="28" t="n"/>
      <c r="D1632" s="28" t="n"/>
      <c r="E1632" s="44" t="n"/>
      <c r="F1632" s="44" t="n"/>
      <c r="G1632" s="23" t="n"/>
      <c r="H1632" s="23" t="n"/>
      <c r="I1632" s="23" t="n"/>
      <c r="J1632" s="23" t="n"/>
      <c r="K1632" s="45">
        <f>IF(A1632="","",SUM(G$2:I1632)-SUM(J$2:J1632))</f>
        <v/>
      </c>
      <c r="L1632" s="46" t="n"/>
      <c r="M1632">
        <f>IF(A1632="","",IF(A1632=A1631,M1631,N(M1631)+1))</f>
        <v/>
      </c>
      <c r="N1632">
        <f>IF(E1632="",99999,E1632)</f>
        <v/>
      </c>
      <c r="O1632">
        <f>IF(E1632="",0,IF(F1632="",E1632,F1632))</f>
        <v/>
      </c>
      <c r="P1632">
        <f>IF(E1632="",1,MAX(1,(YEAR(O1632)-YEAR(N1632))*12+MONTH(O1632)-MONTH(N1632)+1))</f>
        <v/>
      </c>
      <c r="Q1632">
        <f>IF(G1632="",0,G1632/P1632)</f>
        <v/>
      </c>
      <c r="R1632">
        <f>IF(H1632="",0,H1632/P1632)</f>
        <v/>
      </c>
    </row>
    <row r="1633">
      <c r="A1633" s="43" t="n"/>
      <c r="B1633" s="28" t="n"/>
      <c r="C1633" s="28" t="n"/>
      <c r="D1633" s="28" t="n"/>
      <c r="E1633" s="44" t="n"/>
      <c r="F1633" s="44" t="n"/>
      <c r="G1633" s="23" t="n"/>
      <c r="H1633" s="23" t="n"/>
      <c r="I1633" s="23" t="n"/>
      <c r="J1633" s="23" t="n"/>
      <c r="K1633" s="45">
        <f>IF(A1633="","",SUM(G$2:I1633)-SUM(J$2:J1633))</f>
        <v/>
      </c>
      <c r="L1633" s="46" t="n"/>
      <c r="M1633">
        <f>IF(A1633="","",IF(A1633=A1632,M1632,N(M1632)+1))</f>
        <v/>
      </c>
      <c r="N1633">
        <f>IF(E1633="",99999,E1633)</f>
        <v/>
      </c>
      <c r="O1633">
        <f>IF(E1633="",0,IF(F1633="",E1633,F1633))</f>
        <v/>
      </c>
      <c r="P1633">
        <f>IF(E1633="",1,MAX(1,(YEAR(O1633)-YEAR(N1633))*12+MONTH(O1633)-MONTH(N1633)+1))</f>
        <v/>
      </c>
      <c r="Q1633">
        <f>IF(G1633="",0,G1633/P1633)</f>
        <v/>
      </c>
      <c r="R1633">
        <f>IF(H1633="",0,H1633/P1633)</f>
        <v/>
      </c>
    </row>
    <row r="1634">
      <c r="A1634" s="43" t="n"/>
      <c r="B1634" s="28" t="n"/>
      <c r="C1634" s="28" t="n"/>
      <c r="D1634" s="28" t="n"/>
      <c r="E1634" s="44" t="n"/>
      <c r="F1634" s="44" t="n"/>
      <c r="G1634" s="23" t="n"/>
      <c r="H1634" s="23" t="n"/>
      <c r="I1634" s="23" t="n"/>
      <c r="J1634" s="23" t="n"/>
      <c r="K1634" s="45">
        <f>IF(A1634="","",SUM(G$2:I1634)-SUM(J$2:J1634))</f>
        <v/>
      </c>
      <c r="L1634" s="46" t="n"/>
      <c r="M1634">
        <f>IF(A1634="","",IF(A1634=A1633,M1633,N(M1633)+1))</f>
        <v/>
      </c>
      <c r="N1634">
        <f>IF(E1634="",99999,E1634)</f>
        <v/>
      </c>
      <c r="O1634">
        <f>IF(E1634="",0,IF(F1634="",E1634,F1634))</f>
        <v/>
      </c>
      <c r="P1634">
        <f>IF(E1634="",1,MAX(1,(YEAR(O1634)-YEAR(N1634))*12+MONTH(O1634)-MONTH(N1634)+1))</f>
        <v/>
      </c>
      <c r="Q1634">
        <f>IF(G1634="",0,G1634/P1634)</f>
        <v/>
      </c>
      <c r="R1634">
        <f>IF(H1634="",0,H1634/P1634)</f>
        <v/>
      </c>
    </row>
    <row r="1635">
      <c r="A1635" s="43" t="n"/>
      <c r="B1635" s="28" t="n"/>
      <c r="C1635" s="28" t="n"/>
      <c r="D1635" s="28" t="n"/>
      <c r="E1635" s="44" t="n"/>
      <c r="F1635" s="44" t="n"/>
      <c r="G1635" s="23" t="n"/>
      <c r="H1635" s="23" t="n"/>
      <c r="I1635" s="23" t="n"/>
      <c r="J1635" s="23" t="n"/>
      <c r="K1635" s="45">
        <f>IF(A1635="","",SUM(G$2:I1635)-SUM(J$2:J1635))</f>
        <v/>
      </c>
      <c r="L1635" s="46" t="n"/>
      <c r="M1635">
        <f>IF(A1635="","",IF(A1635=A1634,M1634,N(M1634)+1))</f>
        <v/>
      </c>
      <c r="N1635">
        <f>IF(E1635="",99999,E1635)</f>
        <v/>
      </c>
      <c r="O1635">
        <f>IF(E1635="",0,IF(F1635="",E1635,F1635))</f>
        <v/>
      </c>
      <c r="P1635">
        <f>IF(E1635="",1,MAX(1,(YEAR(O1635)-YEAR(N1635))*12+MONTH(O1635)-MONTH(N1635)+1))</f>
        <v/>
      </c>
      <c r="Q1635">
        <f>IF(G1635="",0,G1635/P1635)</f>
        <v/>
      </c>
      <c r="R1635">
        <f>IF(H1635="",0,H1635/P1635)</f>
        <v/>
      </c>
    </row>
    <row r="1636">
      <c r="A1636" s="43" t="n"/>
      <c r="B1636" s="28" t="n"/>
      <c r="C1636" s="28" t="n"/>
      <c r="D1636" s="28" t="n"/>
      <c r="E1636" s="44" t="n"/>
      <c r="F1636" s="44" t="n"/>
      <c r="G1636" s="23" t="n"/>
      <c r="H1636" s="23" t="n"/>
      <c r="I1636" s="23" t="n"/>
      <c r="J1636" s="23" t="n"/>
      <c r="K1636" s="45">
        <f>IF(A1636="","",SUM(G$2:I1636)-SUM(J$2:J1636))</f>
        <v/>
      </c>
      <c r="L1636" s="46" t="n"/>
      <c r="M1636">
        <f>IF(A1636="","",IF(A1636=A1635,M1635,N(M1635)+1))</f>
        <v/>
      </c>
      <c r="N1636">
        <f>IF(E1636="",99999,E1636)</f>
        <v/>
      </c>
      <c r="O1636">
        <f>IF(E1636="",0,IF(F1636="",E1636,F1636))</f>
        <v/>
      </c>
      <c r="P1636">
        <f>IF(E1636="",1,MAX(1,(YEAR(O1636)-YEAR(N1636))*12+MONTH(O1636)-MONTH(N1636)+1))</f>
        <v/>
      </c>
      <c r="Q1636">
        <f>IF(G1636="",0,G1636/P1636)</f>
        <v/>
      </c>
      <c r="R1636">
        <f>IF(H1636="",0,H1636/P1636)</f>
        <v/>
      </c>
    </row>
    <row r="1637">
      <c r="A1637" s="43" t="n"/>
      <c r="B1637" s="28" t="n"/>
      <c r="C1637" s="28" t="n"/>
      <c r="D1637" s="28" t="n"/>
      <c r="E1637" s="44" t="n"/>
      <c r="F1637" s="44" t="n"/>
      <c r="G1637" s="23" t="n"/>
      <c r="H1637" s="23" t="n"/>
      <c r="I1637" s="23" t="n"/>
      <c r="J1637" s="23" t="n"/>
      <c r="K1637" s="45">
        <f>IF(A1637="","",SUM(G$2:I1637)-SUM(J$2:J1637))</f>
        <v/>
      </c>
      <c r="L1637" s="46" t="n"/>
      <c r="M1637">
        <f>IF(A1637="","",IF(A1637=A1636,M1636,N(M1636)+1))</f>
        <v/>
      </c>
      <c r="N1637">
        <f>IF(E1637="",99999,E1637)</f>
        <v/>
      </c>
      <c r="O1637">
        <f>IF(E1637="",0,IF(F1637="",E1637,F1637))</f>
        <v/>
      </c>
      <c r="P1637">
        <f>IF(E1637="",1,MAX(1,(YEAR(O1637)-YEAR(N1637))*12+MONTH(O1637)-MONTH(N1637)+1))</f>
        <v/>
      </c>
      <c r="Q1637">
        <f>IF(G1637="",0,G1637/P1637)</f>
        <v/>
      </c>
      <c r="R1637">
        <f>IF(H1637="",0,H1637/P1637)</f>
        <v/>
      </c>
    </row>
    <row r="1638">
      <c r="A1638" s="43" t="n"/>
      <c r="B1638" s="28" t="n"/>
      <c r="C1638" s="28" t="n"/>
      <c r="D1638" s="28" t="n"/>
      <c r="E1638" s="44" t="n"/>
      <c r="F1638" s="44" t="n"/>
      <c r="G1638" s="23" t="n"/>
      <c r="H1638" s="23" t="n"/>
      <c r="I1638" s="23" t="n"/>
      <c r="J1638" s="23" t="n"/>
      <c r="K1638" s="45">
        <f>IF(A1638="","",SUM(G$2:I1638)-SUM(J$2:J1638))</f>
        <v/>
      </c>
      <c r="L1638" s="46" t="n"/>
      <c r="M1638">
        <f>IF(A1638="","",IF(A1638=A1637,M1637,N(M1637)+1))</f>
        <v/>
      </c>
      <c r="N1638">
        <f>IF(E1638="",99999,E1638)</f>
        <v/>
      </c>
      <c r="O1638">
        <f>IF(E1638="",0,IF(F1638="",E1638,F1638))</f>
        <v/>
      </c>
      <c r="P1638">
        <f>IF(E1638="",1,MAX(1,(YEAR(O1638)-YEAR(N1638))*12+MONTH(O1638)-MONTH(N1638)+1))</f>
        <v/>
      </c>
      <c r="Q1638">
        <f>IF(G1638="",0,G1638/P1638)</f>
        <v/>
      </c>
      <c r="R1638">
        <f>IF(H1638="",0,H1638/P1638)</f>
        <v/>
      </c>
    </row>
    <row r="1639">
      <c r="A1639" s="43" t="n"/>
      <c r="B1639" s="28" t="n"/>
      <c r="C1639" s="28" t="n"/>
      <c r="D1639" s="28" t="n"/>
      <c r="E1639" s="44" t="n"/>
      <c r="F1639" s="44" t="n"/>
      <c r="G1639" s="23" t="n"/>
      <c r="H1639" s="23" t="n"/>
      <c r="I1639" s="23" t="n"/>
      <c r="J1639" s="23" t="n"/>
      <c r="K1639" s="45">
        <f>IF(A1639="","",SUM(G$2:I1639)-SUM(J$2:J1639))</f>
        <v/>
      </c>
      <c r="L1639" s="46" t="n"/>
      <c r="M1639">
        <f>IF(A1639="","",IF(A1639=A1638,M1638,N(M1638)+1))</f>
        <v/>
      </c>
      <c r="N1639">
        <f>IF(E1639="",99999,E1639)</f>
        <v/>
      </c>
      <c r="O1639">
        <f>IF(E1639="",0,IF(F1639="",E1639,F1639))</f>
        <v/>
      </c>
      <c r="P1639">
        <f>IF(E1639="",1,MAX(1,(YEAR(O1639)-YEAR(N1639))*12+MONTH(O1639)-MONTH(N1639)+1))</f>
        <v/>
      </c>
      <c r="Q1639">
        <f>IF(G1639="",0,G1639/P1639)</f>
        <v/>
      </c>
      <c r="R1639">
        <f>IF(H1639="",0,H1639/P1639)</f>
        <v/>
      </c>
    </row>
    <row r="1640">
      <c r="A1640" s="43" t="n"/>
      <c r="B1640" s="28" t="n"/>
      <c r="C1640" s="28" t="n"/>
      <c r="D1640" s="28" t="n"/>
      <c r="E1640" s="44" t="n"/>
      <c r="F1640" s="44" t="n"/>
      <c r="G1640" s="23" t="n"/>
      <c r="H1640" s="23" t="n"/>
      <c r="I1640" s="23" t="n"/>
      <c r="J1640" s="23" t="n"/>
      <c r="K1640" s="45">
        <f>IF(A1640="","",SUM(G$2:I1640)-SUM(J$2:J1640))</f>
        <v/>
      </c>
      <c r="L1640" s="46" t="n"/>
      <c r="M1640">
        <f>IF(A1640="","",IF(A1640=A1639,M1639,N(M1639)+1))</f>
        <v/>
      </c>
      <c r="N1640">
        <f>IF(E1640="",99999,E1640)</f>
        <v/>
      </c>
      <c r="O1640">
        <f>IF(E1640="",0,IF(F1640="",E1640,F1640))</f>
        <v/>
      </c>
      <c r="P1640">
        <f>IF(E1640="",1,MAX(1,(YEAR(O1640)-YEAR(N1640))*12+MONTH(O1640)-MONTH(N1640)+1))</f>
        <v/>
      </c>
      <c r="Q1640">
        <f>IF(G1640="",0,G1640/P1640)</f>
        <v/>
      </c>
      <c r="R1640">
        <f>IF(H1640="",0,H1640/P1640)</f>
        <v/>
      </c>
    </row>
    <row r="1641">
      <c r="A1641" s="43" t="n"/>
      <c r="B1641" s="28" t="n"/>
      <c r="C1641" s="28" t="n"/>
      <c r="D1641" s="28" t="n"/>
      <c r="E1641" s="44" t="n"/>
      <c r="F1641" s="44" t="n"/>
      <c r="G1641" s="23" t="n"/>
      <c r="H1641" s="23" t="n"/>
      <c r="I1641" s="23" t="n"/>
      <c r="J1641" s="23" t="n"/>
      <c r="K1641" s="45">
        <f>IF(A1641="","",SUM(G$2:I1641)-SUM(J$2:J1641))</f>
        <v/>
      </c>
      <c r="L1641" s="46" t="n"/>
      <c r="M1641">
        <f>IF(A1641="","",IF(A1641=A1640,M1640,N(M1640)+1))</f>
        <v/>
      </c>
      <c r="N1641">
        <f>IF(E1641="",99999,E1641)</f>
        <v/>
      </c>
      <c r="O1641">
        <f>IF(E1641="",0,IF(F1641="",E1641,F1641))</f>
        <v/>
      </c>
      <c r="P1641">
        <f>IF(E1641="",1,MAX(1,(YEAR(O1641)-YEAR(N1641))*12+MONTH(O1641)-MONTH(N1641)+1))</f>
        <v/>
      </c>
      <c r="Q1641">
        <f>IF(G1641="",0,G1641/P1641)</f>
        <v/>
      </c>
      <c r="R1641">
        <f>IF(H1641="",0,H1641/P1641)</f>
        <v/>
      </c>
    </row>
    <row r="1642">
      <c r="A1642" s="43" t="n"/>
      <c r="B1642" s="28" t="n"/>
      <c r="C1642" s="28" t="n"/>
      <c r="D1642" s="28" t="n"/>
      <c r="E1642" s="44" t="n"/>
      <c r="F1642" s="44" t="n"/>
      <c r="G1642" s="23" t="n"/>
      <c r="H1642" s="23" t="n"/>
      <c r="I1642" s="23" t="n"/>
      <c r="J1642" s="23" t="n"/>
      <c r="K1642" s="45">
        <f>IF(A1642="","",SUM(G$2:I1642)-SUM(J$2:J1642))</f>
        <v/>
      </c>
      <c r="L1642" s="46" t="n"/>
      <c r="M1642">
        <f>IF(A1642="","",IF(A1642=A1641,M1641,N(M1641)+1))</f>
        <v/>
      </c>
      <c r="N1642">
        <f>IF(E1642="",99999,E1642)</f>
        <v/>
      </c>
      <c r="O1642">
        <f>IF(E1642="",0,IF(F1642="",E1642,F1642))</f>
        <v/>
      </c>
      <c r="P1642">
        <f>IF(E1642="",1,MAX(1,(YEAR(O1642)-YEAR(N1642))*12+MONTH(O1642)-MONTH(N1642)+1))</f>
        <v/>
      </c>
      <c r="Q1642">
        <f>IF(G1642="",0,G1642/P1642)</f>
        <v/>
      </c>
      <c r="R1642">
        <f>IF(H1642="",0,H1642/P1642)</f>
        <v/>
      </c>
    </row>
    <row r="1643">
      <c r="A1643" s="43" t="n"/>
      <c r="B1643" s="28" t="n"/>
      <c r="C1643" s="28" t="n"/>
      <c r="D1643" s="28" t="n"/>
      <c r="E1643" s="44" t="n"/>
      <c r="F1643" s="44" t="n"/>
      <c r="G1643" s="23" t="n"/>
      <c r="H1643" s="23" t="n"/>
      <c r="I1643" s="23" t="n"/>
      <c r="J1643" s="23" t="n"/>
      <c r="K1643" s="45">
        <f>IF(A1643="","",SUM(G$2:I1643)-SUM(J$2:J1643))</f>
        <v/>
      </c>
      <c r="L1643" s="46" t="n"/>
      <c r="M1643">
        <f>IF(A1643="","",IF(A1643=A1642,M1642,N(M1642)+1))</f>
        <v/>
      </c>
      <c r="N1643">
        <f>IF(E1643="",99999,E1643)</f>
        <v/>
      </c>
      <c r="O1643">
        <f>IF(E1643="",0,IF(F1643="",E1643,F1643))</f>
        <v/>
      </c>
      <c r="P1643">
        <f>IF(E1643="",1,MAX(1,(YEAR(O1643)-YEAR(N1643))*12+MONTH(O1643)-MONTH(N1643)+1))</f>
        <v/>
      </c>
      <c r="Q1643">
        <f>IF(G1643="",0,G1643/P1643)</f>
        <v/>
      </c>
      <c r="R1643">
        <f>IF(H1643="",0,H1643/P1643)</f>
        <v/>
      </c>
    </row>
    <row r="1644">
      <c r="A1644" s="43" t="n"/>
      <c r="B1644" s="28" t="n"/>
      <c r="C1644" s="28" t="n"/>
      <c r="D1644" s="28" t="n"/>
      <c r="E1644" s="44" t="n"/>
      <c r="F1644" s="44" t="n"/>
      <c r="G1644" s="23" t="n"/>
      <c r="H1644" s="23" t="n"/>
      <c r="I1644" s="23" t="n"/>
      <c r="J1644" s="23" t="n"/>
      <c r="K1644" s="45">
        <f>IF(A1644="","",SUM(G$2:I1644)-SUM(J$2:J1644))</f>
        <v/>
      </c>
      <c r="L1644" s="46" t="n"/>
      <c r="M1644">
        <f>IF(A1644="","",IF(A1644=A1643,M1643,N(M1643)+1))</f>
        <v/>
      </c>
      <c r="N1644">
        <f>IF(E1644="",99999,E1644)</f>
        <v/>
      </c>
      <c r="O1644">
        <f>IF(E1644="",0,IF(F1644="",E1644,F1644))</f>
        <v/>
      </c>
      <c r="P1644">
        <f>IF(E1644="",1,MAX(1,(YEAR(O1644)-YEAR(N1644))*12+MONTH(O1644)-MONTH(N1644)+1))</f>
        <v/>
      </c>
      <c r="Q1644">
        <f>IF(G1644="",0,G1644/P1644)</f>
        <v/>
      </c>
      <c r="R1644">
        <f>IF(H1644="",0,H1644/P1644)</f>
        <v/>
      </c>
    </row>
    <row r="1645">
      <c r="A1645" s="43" t="n"/>
      <c r="B1645" s="28" t="n"/>
      <c r="C1645" s="28" t="n"/>
      <c r="D1645" s="28" t="n"/>
      <c r="E1645" s="44" t="n"/>
      <c r="F1645" s="44" t="n"/>
      <c r="G1645" s="23" t="n"/>
      <c r="H1645" s="23" t="n"/>
      <c r="I1645" s="23" t="n"/>
      <c r="J1645" s="23" t="n"/>
      <c r="K1645" s="45">
        <f>IF(A1645="","",SUM(G$2:I1645)-SUM(J$2:J1645))</f>
        <v/>
      </c>
      <c r="L1645" s="46" t="n"/>
      <c r="M1645">
        <f>IF(A1645="","",IF(A1645=A1644,M1644,N(M1644)+1))</f>
        <v/>
      </c>
      <c r="N1645">
        <f>IF(E1645="",99999,E1645)</f>
        <v/>
      </c>
      <c r="O1645">
        <f>IF(E1645="",0,IF(F1645="",E1645,F1645))</f>
        <v/>
      </c>
      <c r="P1645">
        <f>IF(E1645="",1,MAX(1,(YEAR(O1645)-YEAR(N1645))*12+MONTH(O1645)-MONTH(N1645)+1))</f>
        <v/>
      </c>
      <c r="Q1645">
        <f>IF(G1645="",0,G1645/P1645)</f>
        <v/>
      </c>
      <c r="R1645">
        <f>IF(H1645="",0,H1645/P1645)</f>
        <v/>
      </c>
    </row>
    <row r="1646">
      <c r="A1646" s="43" t="n"/>
      <c r="B1646" s="28" t="n"/>
      <c r="C1646" s="28" t="n"/>
      <c r="D1646" s="28" t="n"/>
      <c r="E1646" s="44" t="n"/>
      <c r="F1646" s="44" t="n"/>
      <c r="G1646" s="23" t="n"/>
      <c r="H1646" s="23" t="n"/>
      <c r="I1646" s="23" t="n"/>
      <c r="J1646" s="23" t="n"/>
      <c r="K1646" s="45">
        <f>IF(A1646="","",SUM(G$2:I1646)-SUM(J$2:J1646))</f>
        <v/>
      </c>
      <c r="L1646" s="46" t="n"/>
      <c r="M1646">
        <f>IF(A1646="","",IF(A1646=A1645,M1645,N(M1645)+1))</f>
        <v/>
      </c>
      <c r="N1646">
        <f>IF(E1646="",99999,E1646)</f>
        <v/>
      </c>
      <c r="O1646">
        <f>IF(E1646="",0,IF(F1646="",E1646,F1646))</f>
        <v/>
      </c>
      <c r="P1646">
        <f>IF(E1646="",1,MAX(1,(YEAR(O1646)-YEAR(N1646))*12+MONTH(O1646)-MONTH(N1646)+1))</f>
        <v/>
      </c>
      <c r="Q1646">
        <f>IF(G1646="",0,G1646/P1646)</f>
        <v/>
      </c>
      <c r="R1646">
        <f>IF(H1646="",0,H1646/P1646)</f>
        <v/>
      </c>
    </row>
    <row r="1647">
      <c r="A1647" s="43" t="n"/>
      <c r="B1647" s="28" t="n"/>
      <c r="C1647" s="28" t="n"/>
      <c r="D1647" s="28" t="n"/>
      <c r="E1647" s="44" t="n"/>
      <c r="F1647" s="44" t="n"/>
      <c r="G1647" s="23" t="n"/>
      <c r="H1647" s="23" t="n"/>
      <c r="I1647" s="23" t="n"/>
      <c r="J1647" s="23" t="n"/>
      <c r="K1647" s="45">
        <f>IF(A1647="","",SUM(G$2:I1647)-SUM(J$2:J1647))</f>
        <v/>
      </c>
      <c r="L1647" s="46" t="n"/>
      <c r="M1647">
        <f>IF(A1647="","",IF(A1647=A1646,M1646,N(M1646)+1))</f>
        <v/>
      </c>
      <c r="N1647">
        <f>IF(E1647="",99999,E1647)</f>
        <v/>
      </c>
      <c r="O1647">
        <f>IF(E1647="",0,IF(F1647="",E1647,F1647))</f>
        <v/>
      </c>
      <c r="P1647">
        <f>IF(E1647="",1,MAX(1,(YEAR(O1647)-YEAR(N1647))*12+MONTH(O1647)-MONTH(N1647)+1))</f>
        <v/>
      </c>
      <c r="Q1647">
        <f>IF(G1647="",0,G1647/P1647)</f>
        <v/>
      </c>
      <c r="R1647">
        <f>IF(H1647="",0,H1647/P1647)</f>
        <v/>
      </c>
    </row>
    <row r="1648">
      <c r="A1648" s="43" t="n"/>
      <c r="B1648" s="28" t="n"/>
      <c r="C1648" s="28" t="n"/>
      <c r="D1648" s="28" t="n"/>
      <c r="E1648" s="44" t="n"/>
      <c r="F1648" s="44" t="n"/>
      <c r="G1648" s="23" t="n"/>
      <c r="H1648" s="23" t="n"/>
      <c r="I1648" s="23" t="n"/>
      <c r="J1648" s="23" t="n"/>
      <c r="K1648" s="45">
        <f>IF(A1648="","",SUM(G$2:I1648)-SUM(J$2:J1648))</f>
        <v/>
      </c>
      <c r="L1648" s="46" t="n"/>
      <c r="M1648">
        <f>IF(A1648="","",IF(A1648=A1647,M1647,N(M1647)+1))</f>
        <v/>
      </c>
      <c r="N1648">
        <f>IF(E1648="",99999,E1648)</f>
        <v/>
      </c>
      <c r="O1648">
        <f>IF(E1648="",0,IF(F1648="",E1648,F1648))</f>
        <v/>
      </c>
      <c r="P1648">
        <f>IF(E1648="",1,MAX(1,(YEAR(O1648)-YEAR(N1648))*12+MONTH(O1648)-MONTH(N1648)+1))</f>
        <v/>
      </c>
      <c r="Q1648">
        <f>IF(G1648="",0,G1648/P1648)</f>
        <v/>
      </c>
      <c r="R1648">
        <f>IF(H1648="",0,H1648/P1648)</f>
        <v/>
      </c>
    </row>
    <row r="1649">
      <c r="A1649" s="43" t="n"/>
      <c r="B1649" s="28" t="n"/>
      <c r="C1649" s="28" t="n"/>
      <c r="D1649" s="28" t="n"/>
      <c r="E1649" s="44" t="n"/>
      <c r="F1649" s="44" t="n"/>
      <c r="G1649" s="23" t="n"/>
      <c r="H1649" s="23" t="n"/>
      <c r="I1649" s="23" t="n"/>
      <c r="J1649" s="23" t="n"/>
      <c r="K1649" s="45">
        <f>IF(A1649="","",SUM(G$2:I1649)-SUM(J$2:J1649))</f>
        <v/>
      </c>
      <c r="L1649" s="46" t="n"/>
      <c r="M1649">
        <f>IF(A1649="","",IF(A1649=A1648,M1648,N(M1648)+1))</f>
        <v/>
      </c>
      <c r="N1649">
        <f>IF(E1649="",99999,E1649)</f>
        <v/>
      </c>
      <c r="O1649">
        <f>IF(E1649="",0,IF(F1649="",E1649,F1649))</f>
        <v/>
      </c>
      <c r="P1649">
        <f>IF(E1649="",1,MAX(1,(YEAR(O1649)-YEAR(N1649))*12+MONTH(O1649)-MONTH(N1649)+1))</f>
        <v/>
      </c>
      <c r="Q1649">
        <f>IF(G1649="",0,G1649/P1649)</f>
        <v/>
      </c>
      <c r="R1649">
        <f>IF(H1649="",0,H1649/P1649)</f>
        <v/>
      </c>
    </row>
    <row r="1650">
      <c r="A1650" s="43" t="n"/>
      <c r="B1650" s="28" t="n"/>
      <c r="C1650" s="28" t="n"/>
      <c r="D1650" s="28" t="n"/>
      <c r="E1650" s="44" t="n"/>
      <c r="F1650" s="44" t="n"/>
      <c r="G1650" s="23" t="n"/>
      <c r="H1650" s="23" t="n"/>
      <c r="I1650" s="23" t="n"/>
      <c r="J1650" s="23" t="n"/>
      <c r="K1650" s="45">
        <f>IF(A1650="","",SUM(G$2:I1650)-SUM(J$2:J1650))</f>
        <v/>
      </c>
      <c r="L1650" s="46" t="n"/>
      <c r="M1650">
        <f>IF(A1650="","",IF(A1650=A1649,M1649,N(M1649)+1))</f>
        <v/>
      </c>
      <c r="N1650">
        <f>IF(E1650="",99999,E1650)</f>
        <v/>
      </c>
      <c r="O1650">
        <f>IF(E1650="",0,IF(F1650="",E1650,F1650))</f>
        <v/>
      </c>
      <c r="P1650">
        <f>IF(E1650="",1,MAX(1,(YEAR(O1650)-YEAR(N1650))*12+MONTH(O1650)-MONTH(N1650)+1))</f>
        <v/>
      </c>
      <c r="Q1650">
        <f>IF(G1650="",0,G1650/P1650)</f>
        <v/>
      </c>
      <c r="R1650">
        <f>IF(H1650="",0,H1650/P1650)</f>
        <v/>
      </c>
    </row>
    <row r="1651">
      <c r="A1651" s="43" t="n"/>
      <c r="B1651" s="28" t="n"/>
      <c r="C1651" s="28" t="n"/>
      <c r="D1651" s="28" t="n"/>
      <c r="E1651" s="44" t="n"/>
      <c r="F1651" s="44" t="n"/>
      <c r="G1651" s="23" t="n"/>
      <c r="H1651" s="23" t="n"/>
      <c r="I1651" s="23" t="n"/>
      <c r="J1651" s="23" t="n"/>
      <c r="K1651" s="45">
        <f>IF(A1651="","",SUM(G$2:I1651)-SUM(J$2:J1651))</f>
        <v/>
      </c>
      <c r="L1651" s="46" t="n"/>
      <c r="M1651">
        <f>IF(A1651="","",IF(A1651=A1650,M1650,N(M1650)+1))</f>
        <v/>
      </c>
      <c r="N1651">
        <f>IF(E1651="",99999,E1651)</f>
        <v/>
      </c>
      <c r="O1651">
        <f>IF(E1651="",0,IF(F1651="",E1651,F1651))</f>
        <v/>
      </c>
      <c r="P1651">
        <f>IF(E1651="",1,MAX(1,(YEAR(O1651)-YEAR(N1651))*12+MONTH(O1651)-MONTH(N1651)+1))</f>
        <v/>
      </c>
      <c r="Q1651">
        <f>IF(G1651="",0,G1651/P1651)</f>
        <v/>
      </c>
      <c r="R1651">
        <f>IF(H1651="",0,H1651/P1651)</f>
        <v/>
      </c>
    </row>
    <row r="1652">
      <c r="A1652" s="43" t="n"/>
      <c r="B1652" s="28" t="n"/>
      <c r="C1652" s="28" t="n"/>
      <c r="D1652" s="28" t="n"/>
      <c r="E1652" s="44" t="n"/>
      <c r="F1652" s="44" t="n"/>
      <c r="G1652" s="23" t="n"/>
      <c r="H1652" s="23" t="n"/>
      <c r="I1652" s="23" t="n"/>
      <c r="J1652" s="23" t="n"/>
      <c r="K1652" s="45">
        <f>IF(A1652="","",SUM(G$2:I1652)-SUM(J$2:J1652))</f>
        <v/>
      </c>
      <c r="L1652" s="46" t="n"/>
      <c r="M1652">
        <f>IF(A1652="","",IF(A1652=A1651,M1651,N(M1651)+1))</f>
        <v/>
      </c>
      <c r="N1652">
        <f>IF(E1652="",99999,E1652)</f>
        <v/>
      </c>
      <c r="O1652">
        <f>IF(E1652="",0,IF(F1652="",E1652,F1652))</f>
        <v/>
      </c>
      <c r="P1652">
        <f>IF(E1652="",1,MAX(1,(YEAR(O1652)-YEAR(N1652))*12+MONTH(O1652)-MONTH(N1652)+1))</f>
        <v/>
      </c>
      <c r="Q1652">
        <f>IF(G1652="",0,G1652/P1652)</f>
        <v/>
      </c>
      <c r="R1652">
        <f>IF(H1652="",0,H1652/P1652)</f>
        <v/>
      </c>
    </row>
    <row r="1653">
      <c r="A1653" s="43" t="n"/>
      <c r="B1653" s="28" t="n"/>
      <c r="C1653" s="28" t="n"/>
      <c r="D1653" s="28" t="n"/>
      <c r="E1653" s="44" t="n"/>
      <c r="F1653" s="44" t="n"/>
      <c r="G1653" s="23" t="n"/>
      <c r="H1653" s="23" t="n"/>
      <c r="I1653" s="23" t="n"/>
      <c r="J1653" s="23" t="n"/>
      <c r="K1653" s="45">
        <f>IF(A1653="","",SUM(G$2:I1653)-SUM(J$2:J1653))</f>
        <v/>
      </c>
      <c r="L1653" s="46" t="n"/>
      <c r="M1653">
        <f>IF(A1653="","",IF(A1653=A1652,M1652,N(M1652)+1))</f>
        <v/>
      </c>
      <c r="N1653">
        <f>IF(E1653="",99999,E1653)</f>
        <v/>
      </c>
      <c r="O1653">
        <f>IF(E1653="",0,IF(F1653="",E1653,F1653))</f>
        <v/>
      </c>
      <c r="P1653">
        <f>IF(E1653="",1,MAX(1,(YEAR(O1653)-YEAR(N1653))*12+MONTH(O1653)-MONTH(N1653)+1))</f>
        <v/>
      </c>
      <c r="Q1653">
        <f>IF(G1653="",0,G1653/P1653)</f>
        <v/>
      </c>
      <c r="R1653">
        <f>IF(H1653="",0,H1653/P1653)</f>
        <v/>
      </c>
    </row>
    <row r="1654">
      <c r="A1654" s="43" t="n"/>
      <c r="B1654" s="28" t="n"/>
      <c r="C1654" s="28" t="n"/>
      <c r="D1654" s="28" t="n"/>
      <c r="E1654" s="44" t="n"/>
      <c r="F1654" s="44" t="n"/>
      <c r="G1654" s="23" t="n"/>
      <c r="H1654" s="23" t="n"/>
      <c r="I1654" s="23" t="n"/>
      <c r="J1654" s="23" t="n"/>
      <c r="K1654" s="45">
        <f>IF(A1654="","",SUM(G$2:I1654)-SUM(J$2:J1654))</f>
        <v/>
      </c>
      <c r="L1654" s="46" t="n"/>
      <c r="M1654">
        <f>IF(A1654="","",IF(A1654=A1653,M1653,N(M1653)+1))</f>
        <v/>
      </c>
      <c r="N1654">
        <f>IF(E1654="",99999,E1654)</f>
        <v/>
      </c>
      <c r="O1654">
        <f>IF(E1654="",0,IF(F1654="",E1654,F1654))</f>
        <v/>
      </c>
      <c r="P1654">
        <f>IF(E1654="",1,MAX(1,(YEAR(O1654)-YEAR(N1654))*12+MONTH(O1654)-MONTH(N1654)+1))</f>
        <v/>
      </c>
      <c r="Q1654">
        <f>IF(G1654="",0,G1654/P1654)</f>
        <v/>
      </c>
      <c r="R1654">
        <f>IF(H1654="",0,H1654/P1654)</f>
        <v/>
      </c>
    </row>
    <row r="1655">
      <c r="A1655" s="43" t="n"/>
      <c r="B1655" s="28" t="n"/>
      <c r="C1655" s="28" t="n"/>
      <c r="D1655" s="28" t="n"/>
      <c r="E1655" s="44" t="n"/>
      <c r="F1655" s="44" t="n"/>
      <c r="G1655" s="23" t="n"/>
      <c r="H1655" s="23" t="n"/>
      <c r="I1655" s="23" t="n"/>
      <c r="J1655" s="23" t="n"/>
      <c r="K1655" s="45">
        <f>IF(A1655="","",SUM(G$2:I1655)-SUM(J$2:J1655))</f>
        <v/>
      </c>
      <c r="L1655" s="46" t="n"/>
      <c r="M1655">
        <f>IF(A1655="","",IF(A1655=A1654,M1654,N(M1654)+1))</f>
        <v/>
      </c>
      <c r="N1655">
        <f>IF(E1655="",99999,E1655)</f>
        <v/>
      </c>
      <c r="O1655">
        <f>IF(E1655="",0,IF(F1655="",E1655,F1655))</f>
        <v/>
      </c>
      <c r="P1655">
        <f>IF(E1655="",1,MAX(1,(YEAR(O1655)-YEAR(N1655))*12+MONTH(O1655)-MONTH(N1655)+1))</f>
        <v/>
      </c>
      <c r="Q1655">
        <f>IF(G1655="",0,G1655/P1655)</f>
        <v/>
      </c>
      <c r="R1655">
        <f>IF(H1655="",0,H1655/P1655)</f>
        <v/>
      </c>
    </row>
    <row r="1656">
      <c r="A1656" s="43" t="n"/>
      <c r="B1656" s="28" t="n"/>
      <c r="C1656" s="28" t="n"/>
      <c r="D1656" s="28" t="n"/>
      <c r="E1656" s="44" t="n"/>
      <c r="F1656" s="44" t="n"/>
      <c r="G1656" s="23" t="n"/>
      <c r="H1656" s="23" t="n"/>
      <c r="I1656" s="23" t="n"/>
      <c r="J1656" s="23" t="n"/>
      <c r="K1656" s="45">
        <f>IF(A1656="","",SUM(G$2:I1656)-SUM(J$2:J1656))</f>
        <v/>
      </c>
      <c r="L1656" s="46" t="n"/>
      <c r="M1656">
        <f>IF(A1656="","",IF(A1656=A1655,M1655,N(M1655)+1))</f>
        <v/>
      </c>
      <c r="N1656">
        <f>IF(E1656="",99999,E1656)</f>
        <v/>
      </c>
      <c r="O1656">
        <f>IF(E1656="",0,IF(F1656="",E1656,F1656))</f>
        <v/>
      </c>
      <c r="P1656">
        <f>IF(E1656="",1,MAX(1,(YEAR(O1656)-YEAR(N1656))*12+MONTH(O1656)-MONTH(N1656)+1))</f>
        <v/>
      </c>
      <c r="Q1656">
        <f>IF(G1656="",0,G1656/P1656)</f>
        <v/>
      </c>
      <c r="R1656">
        <f>IF(H1656="",0,H1656/P1656)</f>
        <v/>
      </c>
    </row>
    <row r="1657">
      <c r="A1657" s="43" t="n"/>
      <c r="B1657" s="28" t="n"/>
      <c r="C1657" s="28" t="n"/>
      <c r="D1657" s="28" t="n"/>
      <c r="E1657" s="44" t="n"/>
      <c r="F1657" s="44" t="n"/>
      <c r="G1657" s="23" t="n"/>
      <c r="H1657" s="23" t="n"/>
      <c r="I1657" s="23" t="n"/>
      <c r="J1657" s="23" t="n"/>
      <c r="K1657" s="45">
        <f>IF(A1657="","",SUM(G$2:I1657)-SUM(J$2:J1657))</f>
        <v/>
      </c>
      <c r="L1657" s="46" t="n"/>
      <c r="M1657">
        <f>IF(A1657="","",IF(A1657=A1656,M1656,N(M1656)+1))</f>
        <v/>
      </c>
      <c r="N1657">
        <f>IF(E1657="",99999,E1657)</f>
        <v/>
      </c>
      <c r="O1657">
        <f>IF(E1657="",0,IF(F1657="",E1657,F1657))</f>
        <v/>
      </c>
      <c r="P1657">
        <f>IF(E1657="",1,MAX(1,(YEAR(O1657)-YEAR(N1657))*12+MONTH(O1657)-MONTH(N1657)+1))</f>
        <v/>
      </c>
      <c r="Q1657">
        <f>IF(G1657="",0,G1657/P1657)</f>
        <v/>
      </c>
      <c r="R1657">
        <f>IF(H1657="",0,H1657/P1657)</f>
        <v/>
      </c>
    </row>
    <row r="1658">
      <c r="A1658" s="43" t="n"/>
      <c r="B1658" s="28" t="n"/>
      <c r="C1658" s="28" t="n"/>
      <c r="D1658" s="28" t="n"/>
      <c r="E1658" s="44" t="n"/>
      <c r="F1658" s="44" t="n"/>
      <c r="G1658" s="23" t="n"/>
      <c r="H1658" s="23" t="n"/>
      <c r="I1658" s="23" t="n"/>
      <c r="J1658" s="23" t="n"/>
      <c r="K1658" s="45">
        <f>IF(A1658="","",SUM(G$2:I1658)-SUM(J$2:J1658))</f>
        <v/>
      </c>
      <c r="L1658" s="46" t="n"/>
      <c r="M1658">
        <f>IF(A1658="","",IF(A1658=A1657,M1657,N(M1657)+1))</f>
        <v/>
      </c>
      <c r="N1658">
        <f>IF(E1658="",99999,E1658)</f>
        <v/>
      </c>
      <c r="O1658">
        <f>IF(E1658="",0,IF(F1658="",E1658,F1658))</f>
        <v/>
      </c>
      <c r="P1658">
        <f>IF(E1658="",1,MAX(1,(YEAR(O1658)-YEAR(N1658))*12+MONTH(O1658)-MONTH(N1658)+1))</f>
        <v/>
      </c>
      <c r="Q1658">
        <f>IF(G1658="",0,G1658/P1658)</f>
        <v/>
      </c>
      <c r="R1658">
        <f>IF(H1658="",0,H1658/P1658)</f>
        <v/>
      </c>
    </row>
    <row r="1659">
      <c r="A1659" s="43" t="n"/>
      <c r="B1659" s="28" t="n"/>
      <c r="C1659" s="28" t="n"/>
      <c r="D1659" s="28" t="n"/>
      <c r="E1659" s="44" t="n"/>
      <c r="F1659" s="44" t="n"/>
      <c r="G1659" s="23" t="n"/>
      <c r="H1659" s="23" t="n"/>
      <c r="I1659" s="23" t="n"/>
      <c r="J1659" s="23" t="n"/>
      <c r="K1659" s="45">
        <f>IF(A1659="","",SUM(G$2:I1659)-SUM(J$2:J1659))</f>
        <v/>
      </c>
      <c r="L1659" s="46" t="n"/>
      <c r="M1659">
        <f>IF(A1659="","",IF(A1659=A1658,M1658,N(M1658)+1))</f>
        <v/>
      </c>
      <c r="N1659">
        <f>IF(E1659="",99999,E1659)</f>
        <v/>
      </c>
      <c r="O1659">
        <f>IF(E1659="",0,IF(F1659="",E1659,F1659))</f>
        <v/>
      </c>
      <c r="P1659">
        <f>IF(E1659="",1,MAX(1,(YEAR(O1659)-YEAR(N1659))*12+MONTH(O1659)-MONTH(N1659)+1))</f>
        <v/>
      </c>
      <c r="Q1659">
        <f>IF(G1659="",0,G1659/P1659)</f>
        <v/>
      </c>
      <c r="R1659">
        <f>IF(H1659="",0,H1659/P1659)</f>
        <v/>
      </c>
    </row>
    <row r="1660">
      <c r="A1660" s="43" t="n"/>
      <c r="B1660" s="28" t="n"/>
      <c r="C1660" s="28" t="n"/>
      <c r="D1660" s="28" t="n"/>
      <c r="E1660" s="44" t="n"/>
      <c r="F1660" s="44" t="n"/>
      <c r="G1660" s="23" t="n"/>
      <c r="H1660" s="23" t="n"/>
      <c r="I1660" s="23" t="n"/>
      <c r="J1660" s="23" t="n"/>
      <c r="K1660" s="45">
        <f>IF(A1660="","",SUM(G$2:I1660)-SUM(J$2:J1660))</f>
        <v/>
      </c>
      <c r="L1660" s="46" t="n"/>
      <c r="M1660">
        <f>IF(A1660="","",IF(A1660=A1659,M1659,N(M1659)+1))</f>
        <v/>
      </c>
      <c r="N1660">
        <f>IF(E1660="",99999,E1660)</f>
        <v/>
      </c>
      <c r="O1660">
        <f>IF(E1660="",0,IF(F1660="",E1660,F1660))</f>
        <v/>
      </c>
      <c r="P1660">
        <f>IF(E1660="",1,MAX(1,(YEAR(O1660)-YEAR(N1660))*12+MONTH(O1660)-MONTH(N1660)+1))</f>
        <v/>
      </c>
      <c r="Q1660">
        <f>IF(G1660="",0,G1660/P1660)</f>
        <v/>
      </c>
      <c r="R1660">
        <f>IF(H1660="",0,H1660/P1660)</f>
        <v/>
      </c>
    </row>
    <row r="1661">
      <c r="A1661" s="43" t="n"/>
      <c r="B1661" s="28" t="n"/>
      <c r="C1661" s="28" t="n"/>
      <c r="D1661" s="28" t="n"/>
      <c r="E1661" s="44" t="n"/>
      <c r="F1661" s="44" t="n"/>
      <c r="G1661" s="23" t="n"/>
      <c r="H1661" s="23" t="n"/>
      <c r="I1661" s="23" t="n"/>
      <c r="J1661" s="23" t="n"/>
      <c r="K1661" s="45">
        <f>IF(A1661="","",SUM(G$2:I1661)-SUM(J$2:J1661))</f>
        <v/>
      </c>
      <c r="L1661" s="46" t="n"/>
      <c r="M1661">
        <f>IF(A1661="","",IF(A1661=A1660,M1660,N(M1660)+1))</f>
        <v/>
      </c>
      <c r="N1661">
        <f>IF(E1661="",99999,E1661)</f>
        <v/>
      </c>
      <c r="O1661">
        <f>IF(E1661="",0,IF(F1661="",E1661,F1661))</f>
        <v/>
      </c>
      <c r="P1661">
        <f>IF(E1661="",1,MAX(1,(YEAR(O1661)-YEAR(N1661))*12+MONTH(O1661)-MONTH(N1661)+1))</f>
        <v/>
      </c>
      <c r="Q1661">
        <f>IF(G1661="",0,G1661/P1661)</f>
        <v/>
      </c>
      <c r="R1661">
        <f>IF(H1661="",0,H1661/P1661)</f>
        <v/>
      </c>
    </row>
    <row r="1662">
      <c r="A1662" s="43" t="n"/>
      <c r="B1662" s="28" t="n"/>
      <c r="C1662" s="28" t="n"/>
      <c r="D1662" s="28" t="n"/>
      <c r="E1662" s="44" t="n"/>
      <c r="F1662" s="44" t="n"/>
      <c r="G1662" s="23" t="n"/>
      <c r="H1662" s="23" t="n"/>
      <c r="I1662" s="23" t="n"/>
      <c r="J1662" s="23" t="n"/>
      <c r="K1662" s="45">
        <f>IF(A1662="","",SUM(G$2:I1662)-SUM(J$2:J1662))</f>
        <v/>
      </c>
      <c r="L1662" s="46" t="n"/>
      <c r="M1662">
        <f>IF(A1662="","",IF(A1662=A1661,M1661,N(M1661)+1))</f>
        <v/>
      </c>
      <c r="N1662">
        <f>IF(E1662="",99999,E1662)</f>
        <v/>
      </c>
      <c r="O1662">
        <f>IF(E1662="",0,IF(F1662="",E1662,F1662))</f>
        <v/>
      </c>
      <c r="P1662">
        <f>IF(E1662="",1,MAX(1,(YEAR(O1662)-YEAR(N1662))*12+MONTH(O1662)-MONTH(N1662)+1))</f>
        <v/>
      </c>
      <c r="Q1662">
        <f>IF(G1662="",0,G1662/P1662)</f>
        <v/>
      </c>
      <c r="R1662">
        <f>IF(H1662="",0,H1662/P1662)</f>
        <v/>
      </c>
    </row>
    <row r="1663">
      <c r="A1663" s="43" t="n"/>
      <c r="B1663" s="28" t="n"/>
      <c r="C1663" s="28" t="n"/>
      <c r="D1663" s="28" t="n"/>
      <c r="E1663" s="44" t="n"/>
      <c r="F1663" s="44" t="n"/>
      <c r="G1663" s="23" t="n"/>
      <c r="H1663" s="23" t="n"/>
      <c r="I1663" s="23" t="n"/>
      <c r="J1663" s="23" t="n"/>
      <c r="K1663" s="45">
        <f>IF(A1663="","",SUM(G$2:I1663)-SUM(J$2:J1663))</f>
        <v/>
      </c>
      <c r="L1663" s="46" t="n"/>
      <c r="M1663">
        <f>IF(A1663="","",IF(A1663=A1662,M1662,N(M1662)+1))</f>
        <v/>
      </c>
      <c r="N1663">
        <f>IF(E1663="",99999,E1663)</f>
        <v/>
      </c>
      <c r="O1663">
        <f>IF(E1663="",0,IF(F1663="",E1663,F1663))</f>
        <v/>
      </c>
      <c r="P1663">
        <f>IF(E1663="",1,MAX(1,(YEAR(O1663)-YEAR(N1663))*12+MONTH(O1663)-MONTH(N1663)+1))</f>
        <v/>
      </c>
      <c r="Q1663">
        <f>IF(G1663="",0,G1663/P1663)</f>
        <v/>
      </c>
      <c r="R1663">
        <f>IF(H1663="",0,H1663/P1663)</f>
        <v/>
      </c>
    </row>
    <row r="1664">
      <c r="A1664" s="43" t="n"/>
      <c r="B1664" s="28" t="n"/>
      <c r="C1664" s="28" t="n"/>
      <c r="D1664" s="28" t="n"/>
      <c r="E1664" s="44" t="n"/>
      <c r="F1664" s="44" t="n"/>
      <c r="G1664" s="23" t="n"/>
      <c r="H1664" s="23" t="n"/>
      <c r="I1664" s="23" t="n"/>
      <c r="J1664" s="23" t="n"/>
      <c r="K1664" s="45">
        <f>IF(A1664="","",SUM(G$2:I1664)-SUM(J$2:J1664))</f>
        <v/>
      </c>
      <c r="L1664" s="46" t="n"/>
      <c r="M1664">
        <f>IF(A1664="","",IF(A1664=A1663,M1663,N(M1663)+1))</f>
        <v/>
      </c>
      <c r="N1664">
        <f>IF(E1664="",99999,E1664)</f>
        <v/>
      </c>
      <c r="O1664">
        <f>IF(E1664="",0,IF(F1664="",E1664,F1664))</f>
        <v/>
      </c>
      <c r="P1664">
        <f>IF(E1664="",1,MAX(1,(YEAR(O1664)-YEAR(N1664))*12+MONTH(O1664)-MONTH(N1664)+1))</f>
        <v/>
      </c>
      <c r="Q1664">
        <f>IF(G1664="",0,G1664/P1664)</f>
        <v/>
      </c>
      <c r="R1664">
        <f>IF(H1664="",0,H1664/P1664)</f>
        <v/>
      </c>
    </row>
    <row r="1665">
      <c r="A1665" s="43" t="n"/>
      <c r="B1665" s="28" t="n"/>
      <c r="C1665" s="28" t="n"/>
      <c r="D1665" s="28" t="n"/>
      <c r="E1665" s="44" t="n"/>
      <c r="F1665" s="44" t="n"/>
      <c r="G1665" s="23" t="n"/>
      <c r="H1665" s="23" t="n"/>
      <c r="I1665" s="23" t="n"/>
      <c r="J1665" s="23" t="n"/>
      <c r="K1665" s="45">
        <f>IF(A1665="","",SUM(G$2:I1665)-SUM(J$2:J1665))</f>
        <v/>
      </c>
      <c r="L1665" s="46" t="n"/>
      <c r="M1665">
        <f>IF(A1665="","",IF(A1665=A1664,M1664,N(M1664)+1))</f>
        <v/>
      </c>
      <c r="N1665">
        <f>IF(E1665="",99999,E1665)</f>
        <v/>
      </c>
      <c r="O1665">
        <f>IF(E1665="",0,IF(F1665="",E1665,F1665))</f>
        <v/>
      </c>
      <c r="P1665">
        <f>IF(E1665="",1,MAX(1,(YEAR(O1665)-YEAR(N1665))*12+MONTH(O1665)-MONTH(N1665)+1))</f>
        <v/>
      </c>
      <c r="Q1665">
        <f>IF(G1665="",0,G1665/P1665)</f>
        <v/>
      </c>
      <c r="R1665">
        <f>IF(H1665="",0,H1665/P1665)</f>
        <v/>
      </c>
    </row>
    <row r="1666">
      <c r="A1666" s="43" t="n"/>
      <c r="B1666" s="28" t="n"/>
      <c r="C1666" s="28" t="n"/>
      <c r="D1666" s="28" t="n"/>
      <c r="E1666" s="44" t="n"/>
      <c r="F1666" s="44" t="n"/>
      <c r="G1666" s="23" t="n"/>
      <c r="H1666" s="23" t="n"/>
      <c r="I1666" s="23" t="n"/>
      <c r="J1666" s="23" t="n"/>
      <c r="K1666" s="45">
        <f>IF(A1666="","",SUM(G$2:I1666)-SUM(J$2:J1666))</f>
        <v/>
      </c>
      <c r="L1666" s="46" t="n"/>
      <c r="M1666">
        <f>IF(A1666="","",IF(A1666=A1665,M1665,N(M1665)+1))</f>
        <v/>
      </c>
      <c r="N1666">
        <f>IF(E1666="",99999,E1666)</f>
        <v/>
      </c>
      <c r="O1666">
        <f>IF(E1666="",0,IF(F1666="",E1666,F1666))</f>
        <v/>
      </c>
      <c r="P1666">
        <f>IF(E1666="",1,MAX(1,(YEAR(O1666)-YEAR(N1666))*12+MONTH(O1666)-MONTH(N1666)+1))</f>
        <v/>
      </c>
      <c r="Q1666">
        <f>IF(G1666="",0,G1666/P1666)</f>
        <v/>
      </c>
      <c r="R1666">
        <f>IF(H1666="",0,H1666/P1666)</f>
        <v/>
      </c>
    </row>
    <row r="1667">
      <c r="A1667" s="43" t="n"/>
      <c r="B1667" s="28" t="n"/>
      <c r="C1667" s="28" t="n"/>
      <c r="D1667" s="28" t="n"/>
      <c r="E1667" s="44" t="n"/>
      <c r="F1667" s="44" t="n"/>
      <c r="G1667" s="23" t="n"/>
      <c r="H1667" s="23" t="n"/>
      <c r="I1667" s="23" t="n"/>
      <c r="J1667" s="23" t="n"/>
      <c r="K1667" s="45">
        <f>IF(A1667="","",SUM(G$2:I1667)-SUM(J$2:J1667))</f>
        <v/>
      </c>
      <c r="L1667" s="46" t="n"/>
      <c r="M1667">
        <f>IF(A1667="","",IF(A1667=A1666,M1666,N(M1666)+1))</f>
        <v/>
      </c>
      <c r="N1667">
        <f>IF(E1667="",99999,E1667)</f>
        <v/>
      </c>
      <c r="O1667">
        <f>IF(E1667="",0,IF(F1667="",E1667,F1667))</f>
        <v/>
      </c>
      <c r="P1667">
        <f>IF(E1667="",1,MAX(1,(YEAR(O1667)-YEAR(N1667))*12+MONTH(O1667)-MONTH(N1667)+1))</f>
        <v/>
      </c>
      <c r="Q1667">
        <f>IF(G1667="",0,G1667/P1667)</f>
        <v/>
      </c>
      <c r="R1667">
        <f>IF(H1667="",0,H1667/P1667)</f>
        <v/>
      </c>
    </row>
    <row r="1668">
      <c r="A1668" s="43" t="n"/>
      <c r="B1668" s="28" t="n"/>
      <c r="C1668" s="28" t="n"/>
      <c r="D1668" s="28" t="n"/>
      <c r="E1668" s="44" t="n"/>
      <c r="F1668" s="44" t="n"/>
      <c r="G1668" s="23" t="n"/>
      <c r="H1668" s="23" t="n"/>
      <c r="I1668" s="23" t="n"/>
      <c r="J1668" s="23" t="n"/>
      <c r="K1668" s="45">
        <f>IF(A1668="","",SUM(G$2:I1668)-SUM(J$2:J1668))</f>
        <v/>
      </c>
      <c r="L1668" s="46" t="n"/>
      <c r="M1668">
        <f>IF(A1668="","",IF(A1668=A1667,M1667,N(M1667)+1))</f>
        <v/>
      </c>
      <c r="N1668">
        <f>IF(E1668="",99999,E1668)</f>
        <v/>
      </c>
      <c r="O1668">
        <f>IF(E1668="",0,IF(F1668="",E1668,F1668))</f>
        <v/>
      </c>
      <c r="P1668">
        <f>IF(E1668="",1,MAX(1,(YEAR(O1668)-YEAR(N1668))*12+MONTH(O1668)-MONTH(N1668)+1))</f>
        <v/>
      </c>
      <c r="Q1668">
        <f>IF(G1668="",0,G1668/P1668)</f>
        <v/>
      </c>
      <c r="R1668">
        <f>IF(H1668="",0,H1668/P1668)</f>
        <v/>
      </c>
    </row>
    <row r="1669">
      <c r="A1669" s="43" t="n"/>
      <c r="B1669" s="28" t="n"/>
      <c r="C1669" s="28" t="n"/>
      <c r="D1669" s="28" t="n"/>
      <c r="E1669" s="44" t="n"/>
      <c r="F1669" s="44" t="n"/>
      <c r="G1669" s="23" t="n"/>
      <c r="H1669" s="23" t="n"/>
      <c r="I1669" s="23" t="n"/>
      <c r="J1669" s="23" t="n"/>
      <c r="K1669" s="45">
        <f>IF(A1669="","",SUM(G$2:I1669)-SUM(J$2:J1669))</f>
        <v/>
      </c>
      <c r="L1669" s="46" t="n"/>
      <c r="M1669">
        <f>IF(A1669="","",IF(A1669=A1668,M1668,N(M1668)+1))</f>
        <v/>
      </c>
      <c r="N1669">
        <f>IF(E1669="",99999,E1669)</f>
        <v/>
      </c>
      <c r="O1669">
        <f>IF(E1669="",0,IF(F1669="",E1669,F1669))</f>
        <v/>
      </c>
      <c r="P1669">
        <f>IF(E1669="",1,MAX(1,(YEAR(O1669)-YEAR(N1669))*12+MONTH(O1669)-MONTH(N1669)+1))</f>
        <v/>
      </c>
      <c r="Q1669">
        <f>IF(G1669="",0,G1669/P1669)</f>
        <v/>
      </c>
      <c r="R1669">
        <f>IF(H1669="",0,H1669/P1669)</f>
        <v/>
      </c>
    </row>
    <row r="1670">
      <c r="A1670" s="43" t="n"/>
      <c r="B1670" s="28" t="n"/>
      <c r="C1670" s="28" t="n"/>
      <c r="D1670" s="28" t="n"/>
      <c r="E1670" s="44" t="n"/>
      <c r="F1670" s="44" t="n"/>
      <c r="G1670" s="23" t="n"/>
      <c r="H1670" s="23" t="n"/>
      <c r="I1670" s="23" t="n"/>
      <c r="J1670" s="23" t="n"/>
      <c r="K1670" s="45">
        <f>IF(A1670="","",SUM(G$2:I1670)-SUM(J$2:J1670))</f>
        <v/>
      </c>
      <c r="L1670" s="46" t="n"/>
      <c r="M1670">
        <f>IF(A1670="","",IF(A1670=A1669,M1669,N(M1669)+1))</f>
        <v/>
      </c>
      <c r="N1670">
        <f>IF(E1670="",99999,E1670)</f>
        <v/>
      </c>
      <c r="O1670">
        <f>IF(E1670="",0,IF(F1670="",E1670,F1670))</f>
        <v/>
      </c>
      <c r="P1670">
        <f>IF(E1670="",1,MAX(1,(YEAR(O1670)-YEAR(N1670))*12+MONTH(O1670)-MONTH(N1670)+1))</f>
        <v/>
      </c>
      <c r="Q1670">
        <f>IF(G1670="",0,G1670/P1670)</f>
        <v/>
      </c>
      <c r="R1670">
        <f>IF(H1670="",0,H1670/P1670)</f>
        <v/>
      </c>
    </row>
    <row r="1671">
      <c r="A1671" s="43" t="n"/>
      <c r="B1671" s="28" t="n"/>
      <c r="C1671" s="28" t="n"/>
      <c r="D1671" s="28" t="n"/>
      <c r="E1671" s="44" t="n"/>
      <c r="F1671" s="44" t="n"/>
      <c r="G1671" s="23" t="n"/>
      <c r="H1671" s="23" t="n"/>
      <c r="I1671" s="23" t="n"/>
      <c r="J1671" s="23" t="n"/>
      <c r="K1671" s="45">
        <f>IF(A1671="","",SUM(G$2:I1671)-SUM(J$2:J1671))</f>
        <v/>
      </c>
      <c r="L1671" s="46" t="n"/>
      <c r="M1671">
        <f>IF(A1671="","",IF(A1671=A1670,M1670,N(M1670)+1))</f>
        <v/>
      </c>
      <c r="N1671">
        <f>IF(E1671="",99999,E1671)</f>
        <v/>
      </c>
      <c r="O1671">
        <f>IF(E1671="",0,IF(F1671="",E1671,F1671))</f>
        <v/>
      </c>
      <c r="P1671">
        <f>IF(E1671="",1,MAX(1,(YEAR(O1671)-YEAR(N1671))*12+MONTH(O1671)-MONTH(N1671)+1))</f>
        <v/>
      </c>
      <c r="Q1671">
        <f>IF(G1671="",0,G1671/P1671)</f>
        <v/>
      </c>
      <c r="R1671">
        <f>IF(H1671="",0,H1671/P1671)</f>
        <v/>
      </c>
    </row>
    <row r="1672">
      <c r="A1672" s="43" t="n"/>
      <c r="B1672" s="28" t="n"/>
      <c r="C1672" s="28" t="n"/>
      <c r="D1672" s="28" t="n"/>
      <c r="E1672" s="44" t="n"/>
      <c r="F1672" s="44" t="n"/>
      <c r="G1672" s="23" t="n"/>
      <c r="H1672" s="23" t="n"/>
      <c r="I1672" s="23" t="n"/>
      <c r="J1672" s="23" t="n"/>
      <c r="K1672" s="45">
        <f>IF(A1672="","",SUM(G$2:I1672)-SUM(J$2:J1672))</f>
        <v/>
      </c>
      <c r="L1672" s="46" t="n"/>
      <c r="M1672">
        <f>IF(A1672="","",IF(A1672=A1671,M1671,N(M1671)+1))</f>
        <v/>
      </c>
      <c r="N1672">
        <f>IF(E1672="",99999,E1672)</f>
        <v/>
      </c>
      <c r="O1672">
        <f>IF(E1672="",0,IF(F1672="",E1672,F1672))</f>
        <v/>
      </c>
      <c r="P1672">
        <f>IF(E1672="",1,MAX(1,(YEAR(O1672)-YEAR(N1672))*12+MONTH(O1672)-MONTH(N1672)+1))</f>
        <v/>
      </c>
      <c r="Q1672">
        <f>IF(G1672="",0,G1672/P1672)</f>
        <v/>
      </c>
      <c r="R1672">
        <f>IF(H1672="",0,H1672/P1672)</f>
        <v/>
      </c>
    </row>
    <row r="1673">
      <c r="A1673" s="43" t="n"/>
      <c r="B1673" s="28" t="n"/>
      <c r="C1673" s="28" t="n"/>
      <c r="D1673" s="28" t="n"/>
      <c r="E1673" s="44" t="n"/>
      <c r="F1673" s="44" t="n"/>
      <c r="G1673" s="23" t="n"/>
      <c r="H1673" s="23" t="n"/>
      <c r="I1673" s="23" t="n"/>
      <c r="J1673" s="23" t="n"/>
      <c r="K1673" s="45">
        <f>IF(A1673="","",SUM(G$2:I1673)-SUM(J$2:J1673))</f>
        <v/>
      </c>
      <c r="L1673" s="46" t="n"/>
      <c r="M1673">
        <f>IF(A1673="","",IF(A1673=A1672,M1672,N(M1672)+1))</f>
        <v/>
      </c>
      <c r="N1673">
        <f>IF(E1673="",99999,E1673)</f>
        <v/>
      </c>
      <c r="O1673">
        <f>IF(E1673="",0,IF(F1673="",E1673,F1673))</f>
        <v/>
      </c>
      <c r="P1673">
        <f>IF(E1673="",1,MAX(1,(YEAR(O1673)-YEAR(N1673))*12+MONTH(O1673)-MONTH(N1673)+1))</f>
        <v/>
      </c>
      <c r="Q1673">
        <f>IF(G1673="",0,G1673/P1673)</f>
        <v/>
      </c>
      <c r="R1673">
        <f>IF(H1673="",0,H1673/P1673)</f>
        <v/>
      </c>
    </row>
    <row r="1674">
      <c r="A1674" s="43" t="n"/>
      <c r="B1674" s="28" t="n"/>
      <c r="C1674" s="28" t="n"/>
      <c r="D1674" s="28" t="n"/>
      <c r="E1674" s="44" t="n"/>
      <c r="F1674" s="44" t="n"/>
      <c r="G1674" s="23" t="n"/>
      <c r="H1674" s="23" t="n"/>
      <c r="I1674" s="23" t="n"/>
      <c r="J1674" s="23" t="n"/>
      <c r="K1674" s="45">
        <f>IF(A1674="","",SUM(G$2:I1674)-SUM(J$2:J1674))</f>
        <v/>
      </c>
      <c r="L1674" s="46" t="n"/>
      <c r="M1674">
        <f>IF(A1674="","",IF(A1674=A1673,M1673,N(M1673)+1))</f>
        <v/>
      </c>
      <c r="N1674">
        <f>IF(E1674="",99999,E1674)</f>
        <v/>
      </c>
      <c r="O1674">
        <f>IF(E1674="",0,IF(F1674="",E1674,F1674))</f>
        <v/>
      </c>
      <c r="P1674">
        <f>IF(E1674="",1,MAX(1,(YEAR(O1674)-YEAR(N1674))*12+MONTH(O1674)-MONTH(N1674)+1))</f>
        <v/>
      </c>
      <c r="Q1674">
        <f>IF(G1674="",0,G1674/P1674)</f>
        <v/>
      </c>
      <c r="R1674">
        <f>IF(H1674="",0,H1674/P1674)</f>
        <v/>
      </c>
    </row>
    <row r="1675">
      <c r="A1675" s="43" t="n"/>
      <c r="B1675" s="28" t="n"/>
      <c r="C1675" s="28" t="n"/>
      <c r="D1675" s="28" t="n"/>
      <c r="E1675" s="44" t="n"/>
      <c r="F1675" s="44" t="n"/>
      <c r="G1675" s="23" t="n"/>
      <c r="H1675" s="23" t="n"/>
      <c r="I1675" s="23" t="n"/>
      <c r="J1675" s="23" t="n"/>
      <c r="K1675" s="45">
        <f>IF(A1675="","",SUM(G$2:I1675)-SUM(J$2:J1675))</f>
        <v/>
      </c>
      <c r="L1675" s="46" t="n"/>
      <c r="M1675">
        <f>IF(A1675="","",IF(A1675=A1674,M1674,N(M1674)+1))</f>
        <v/>
      </c>
      <c r="N1675">
        <f>IF(E1675="",99999,E1675)</f>
        <v/>
      </c>
      <c r="O1675">
        <f>IF(E1675="",0,IF(F1675="",E1675,F1675))</f>
        <v/>
      </c>
      <c r="P1675">
        <f>IF(E1675="",1,MAX(1,(YEAR(O1675)-YEAR(N1675))*12+MONTH(O1675)-MONTH(N1675)+1))</f>
        <v/>
      </c>
      <c r="Q1675">
        <f>IF(G1675="",0,G1675/P1675)</f>
        <v/>
      </c>
      <c r="R1675">
        <f>IF(H1675="",0,H1675/P1675)</f>
        <v/>
      </c>
    </row>
    <row r="1676">
      <c r="A1676" s="43" t="n"/>
      <c r="B1676" s="28" t="n"/>
      <c r="C1676" s="28" t="n"/>
      <c r="D1676" s="28" t="n"/>
      <c r="E1676" s="44" t="n"/>
      <c r="F1676" s="44" t="n"/>
      <c r="G1676" s="23" t="n"/>
      <c r="H1676" s="23" t="n"/>
      <c r="I1676" s="23" t="n"/>
      <c r="J1676" s="23" t="n"/>
      <c r="K1676" s="45">
        <f>IF(A1676="","",SUM(G$2:I1676)-SUM(J$2:J1676))</f>
        <v/>
      </c>
      <c r="L1676" s="46" t="n"/>
      <c r="M1676">
        <f>IF(A1676="","",IF(A1676=A1675,M1675,N(M1675)+1))</f>
        <v/>
      </c>
      <c r="N1676">
        <f>IF(E1676="",99999,E1676)</f>
        <v/>
      </c>
      <c r="O1676">
        <f>IF(E1676="",0,IF(F1676="",E1676,F1676))</f>
        <v/>
      </c>
      <c r="P1676">
        <f>IF(E1676="",1,MAX(1,(YEAR(O1676)-YEAR(N1676))*12+MONTH(O1676)-MONTH(N1676)+1))</f>
        <v/>
      </c>
      <c r="Q1676">
        <f>IF(G1676="",0,G1676/P1676)</f>
        <v/>
      </c>
      <c r="R1676">
        <f>IF(H1676="",0,H1676/P1676)</f>
        <v/>
      </c>
    </row>
    <row r="1677">
      <c r="A1677" s="43" t="n"/>
      <c r="B1677" s="28" t="n"/>
      <c r="C1677" s="28" t="n"/>
      <c r="D1677" s="28" t="n"/>
      <c r="E1677" s="44" t="n"/>
      <c r="F1677" s="44" t="n"/>
      <c r="G1677" s="23" t="n"/>
      <c r="H1677" s="23" t="n"/>
      <c r="I1677" s="23" t="n"/>
      <c r="J1677" s="23" t="n"/>
      <c r="K1677" s="45">
        <f>IF(A1677="","",SUM(G$2:I1677)-SUM(J$2:J1677))</f>
        <v/>
      </c>
      <c r="L1677" s="46" t="n"/>
      <c r="M1677">
        <f>IF(A1677="","",IF(A1677=A1676,M1676,N(M1676)+1))</f>
        <v/>
      </c>
      <c r="N1677">
        <f>IF(E1677="",99999,E1677)</f>
        <v/>
      </c>
      <c r="O1677">
        <f>IF(E1677="",0,IF(F1677="",E1677,F1677))</f>
        <v/>
      </c>
      <c r="P1677">
        <f>IF(E1677="",1,MAX(1,(YEAR(O1677)-YEAR(N1677))*12+MONTH(O1677)-MONTH(N1677)+1))</f>
        <v/>
      </c>
      <c r="Q1677">
        <f>IF(G1677="",0,G1677/P1677)</f>
        <v/>
      </c>
      <c r="R1677">
        <f>IF(H1677="",0,H1677/P1677)</f>
        <v/>
      </c>
    </row>
    <row r="1678">
      <c r="A1678" s="43" t="n"/>
      <c r="B1678" s="28" t="n"/>
      <c r="C1678" s="28" t="n"/>
      <c r="D1678" s="28" t="n"/>
      <c r="E1678" s="44" t="n"/>
      <c r="F1678" s="44" t="n"/>
      <c r="G1678" s="23" t="n"/>
      <c r="H1678" s="23" t="n"/>
      <c r="I1678" s="23" t="n"/>
      <c r="J1678" s="23" t="n"/>
      <c r="K1678" s="45">
        <f>IF(A1678="","",SUM(G$2:I1678)-SUM(J$2:J1678))</f>
        <v/>
      </c>
      <c r="L1678" s="46" t="n"/>
      <c r="M1678">
        <f>IF(A1678="","",IF(A1678=A1677,M1677,N(M1677)+1))</f>
        <v/>
      </c>
      <c r="N1678">
        <f>IF(E1678="",99999,E1678)</f>
        <v/>
      </c>
      <c r="O1678">
        <f>IF(E1678="",0,IF(F1678="",E1678,F1678))</f>
        <v/>
      </c>
      <c r="P1678">
        <f>IF(E1678="",1,MAX(1,(YEAR(O1678)-YEAR(N1678))*12+MONTH(O1678)-MONTH(N1678)+1))</f>
        <v/>
      </c>
      <c r="Q1678">
        <f>IF(G1678="",0,G1678/P1678)</f>
        <v/>
      </c>
      <c r="R1678">
        <f>IF(H1678="",0,H1678/P1678)</f>
        <v/>
      </c>
    </row>
    <row r="1679">
      <c r="A1679" s="43" t="n"/>
      <c r="B1679" s="28" t="n"/>
      <c r="C1679" s="28" t="n"/>
      <c r="D1679" s="28" t="n"/>
      <c r="E1679" s="44" t="n"/>
      <c r="F1679" s="44" t="n"/>
      <c r="G1679" s="23" t="n"/>
      <c r="H1679" s="23" t="n"/>
      <c r="I1679" s="23" t="n"/>
      <c r="J1679" s="23" t="n"/>
      <c r="K1679" s="45">
        <f>IF(A1679="","",SUM(G$2:I1679)-SUM(J$2:J1679))</f>
        <v/>
      </c>
      <c r="L1679" s="46" t="n"/>
      <c r="M1679">
        <f>IF(A1679="","",IF(A1679=A1678,M1678,N(M1678)+1))</f>
        <v/>
      </c>
      <c r="N1679">
        <f>IF(E1679="",99999,E1679)</f>
        <v/>
      </c>
      <c r="O1679">
        <f>IF(E1679="",0,IF(F1679="",E1679,F1679))</f>
        <v/>
      </c>
      <c r="P1679">
        <f>IF(E1679="",1,MAX(1,(YEAR(O1679)-YEAR(N1679))*12+MONTH(O1679)-MONTH(N1679)+1))</f>
        <v/>
      </c>
      <c r="Q1679">
        <f>IF(G1679="",0,G1679/P1679)</f>
        <v/>
      </c>
      <c r="R1679">
        <f>IF(H1679="",0,H1679/P1679)</f>
        <v/>
      </c>
    </row>
    <row r="1680">
      <c r="A1680" s="43" t="n"/>
      <c r="B1680" s="28" t="n"/>
      <c r="C1680" s="28" t="n"/>
      <c r="D1680" s="28" t="n"/>
      <c r="E1680" s="44" t="n"/>
      <c r="F1680" s="44" t="n"/>
      <c r="G1680" s="23" t="n"/>
      <c r="H1680" s="23" t="n"/>
      <c r="I1680" s="23" t="n"/>
      <c r="J1680" s="23" t="n"/>
      <c r="K1680" s="45">
        <f>IF(A1680="","",SUM(G$2:I1680)-SUM(J$2:J1680))</f>
        <v/>
      </c>
      <c r="L1680" s="46" t="n"/>
      <c r="M1680">
        <f>IF(A1680="","",IF(A1680=A1679,M1679,N(M1679)+1))</f>
        <v/>
      </c>
      <c r="N1680">
        <f>IF(E1680="",99999,E1680)</f>
        <v/>
      </c>
      <c r="O1680">
        <f>IF(E1680="",0,IF(F1680="",E1680,F1680))</f>
        <v/>
      </c>
      <c r="P1680">
        <f>IF(E1680="",1,MAX(1,(YEAR(O1680)-YEAR(N1680))*12+MONTH(O1680)-MONTH(N1680)+1))</f>
        <v/>
      </c>
      <c r="Q1680">
        <f>IF(G1680="",0,G1680/P1680)</f>
        <v/>
      </c>
      <c r="R1680">
        <f>IF(H1680="",0,H1680/P1680)</f>
        <v/>
      </c>
    </row>
    <row r="1681">
      <c r="A1681" s="43" t="n"/>
      <c r="B1681" s="28" t="n"/>
      <c r="C1681" s="28" t="n"/>
      <c r="D1681" s="28" t="n"/>
      <c r="E1681" s="44" t="n"/>
      <c r="F1681" s="44" t="n"/>
      <c r="G1681" s="23" t="n"/>
      <c r="H1681" s="23" t="n"/>
      <c r="I1681" s="23" t="n"/>
      <c r="J1681" s="23" t="n"/>
      <c r="K1681" s="45">
        <f>IF(A1681="","",SUM(G$2:I1681)-SUM(J$2:J1681))</f>
        <v/>
      </c>
      <c r="L1681" s="46" t="n"/>
      <c r="M1681">
        <f>IF(A1681="","",IF(A1681=A1680,M1680,N(M1680)+1))</f>
        <v/>
      </c>
      <c r="N1681">
        <f>IF(E1681="",99999,E1681)</f>
        <v/>
      </c>
      <c r="O1681">
        <f>IF(E1681="",0,IF(F1681="",E1681,F1681))</f>
        <v/>
      </c>
      <c r="P1681">
        <f>IF(E1681="",1,MAX(1,(YEAR(O1681)-YEAR(N1681))*12+MONTH(O1681)-MONTH(N1681)+1))</f>
        <v/>
      </c>
      <c r="Q1681">
        <f>IF(G1681="",0,G1681/P1681)</f>
        <v/>
      </c>
      <c r="R1681">
        <f>IF(H1681="",0,H1681/P1681)</f>
        <v/>
      </c>
    </row>
    <row r="1682">
      <c r="A1682" s="43" t="n"/>
      <c r="B1682" s="28" t="n"/>
      <c r="C1682" s="28" t="n"/>
      <c r="D1682" s="28" t="n"/>
      <c r="E1682" s="44" t="n"/>
      <c r="F1682" s="44" t="n"/>
      <c r="G1682" s="23" t="n"/>
      <c r="H1682" s="23" t="n"/>
      <c r="I1682" s="23" t="n"/>
      <c r="J1682" s="23" t="n"/>
      <c r="K1682" s="45">
        <f>IF(A1682="","",SUM(G$2:I1682)-SUM(J$2:J1682))</f>
        <v/>
      </c>
      <c r="L1682" s="46" t="n"/>
      <c r="M1682">
        <f>IF(A1682="","",IF(A1682=A1681,M1681,N(M1681)+1))</f>
        <v/>
      </c>
      <c r="N1682">
        <f>IF(E1682="",99999,E1682)</f>
        <v/>
      </c>
      <c r="O1682">
        <f>IF(E1682="",0,IF(F1682="",E1682,F1682))</f>
        <v/>
      </c>
      <c r="P1682">
        <f>IF(E1682="",1,MAX(1,(YEAR(O1682)-YEAR(N1682))*12+MONTH(O1682)-MONTH(N1682)+1))</f>
        <v/>
      </c>
      <c r="Q1682">
        <f>IF(G1682="",0,G1682/P1682)</f>
        <v/>
      </c>
      <c r="R1682">
        <f>IF(H1682="",0,H1682/P1682)</f>
        <v/>
      </c>
    </row>
    <row r="1683">
      <c r="A1683" s="43" t="n"/>
      <c r="B1683" s="28" t="n"/>
      <c r="C1683" s="28" t="n"/>
      <c r="D1683" s="28" t="n"/>
      <c r="E1683" s="44" t="n"/>
      <c r="F1683" s="44" t="n"/>
      <c r="G1683" s="23" t="n"/>
      <c r="H1683" s="23" t="n"/>
      <c r="I1683" s="23" t="n"/>
      <c r="J1683" s="23" t="n"/>
      <c r="K1683" s="45">
        <f>IF(A1683="","",SUM(G$2:I1683)-SUM(J$2:J1683))</f>
        <v/>
      </c>
      <c r="L1683" s="46" t="n"/>
      <c r="M1683">
        <f>IF(A1683="","",IF(A1683=A1682,M1682,N(M1682)+1))</f>
        <v/>
      </c>
      <c r="N1683">
        <f>IF(E1683="",99999,E1683)</f>
        <v/>
      </c>
      <c r="O1683">
        <f>IF(E1683="",0,IF(F1683="",E1683,F1683))</f>
        <v/>
      </c>
      <c r="P1683">
        <f>IF(E1683="",1,MAX(1,(YEAR(O1683)-YEAR(N1683))*12+MONTH(O1683)-MONTH(N1683)+1))</f>
        <v/>
      </c>
      <c r="Q1683">
        <f>IF(G1683="",0,G1683/P1683)</f>
        <v/>
      </c>
      <c r="R1683">
        <f>IF(H1683="",0,H1683/P1683)</f>
        <v/>
      </c>
    </row>
    <row r="1684">
      <c r="A1684" s="43" t="n"/>
      <c r="B1684" s="28" t="n"/>
      <c r="C1684" s="28" t="n"/>
      <c r="D1684" s="28" t="n"/>
      <c r="E1684" s="44" t="n"/>
      <c r="F1684" s="44" t="n"/>
      <c r="G1684" s="23" t="n"/>
      <c r="H1684" s="23" t="n"/>
      <c r="I1684" s="23" t="n"/>
      <c r="J1684" s="23" t="n"/>
      <c r="K1684" s="45">
        <f>IF(A1684="","",SUM(G$2:I1684)-SUM(J$2:J1684))</f>
        <v/>
      </c>
      <c r="L1684" s="46" t="n"/>
      <c r="M1684">
        <f>IF(A1684="","",IF(A1684=A1683,M1683,N(M1683)+1))</f>
        <v/>
      </c>
      <c r="N1684">
        <f>IF(E1684="",99999,E1684)</f>
        <v/>
      </c>
      <c r="O1684">
        <f>IF(E1684="",0,IF(F1684="",E1684,F1684))</f>
        <v/>
      </c>
      <c r="P1684">
        <f>IF(E1684="",1,MAX(1,(YEAR(O1684)-YEAR(N1684))*12+MONTH(O1684)-MONTH(N1684)+1))</f>
        <v/>
      </c>
      <c r="Q1684">
        <f>IF(G1684="",0,G1684/P1684)</f>
        <v/>
      </c>
      <c r="R1684">
        <f>IF(H1684="",0,H1684/P1684)</f>
        <v/>
      </c>
    </row>
    <row r="1685">
      <c r="A1685" s="43" t="n"/>
      <c r="B1685" s="28" t="n"/>
      <c r="C1685" s="28" t="n"/>
      <c r="D1685" s="28" t="n"/>
      <c r="E1685" s="44" t="n"/>
      <c r="F1685" s="44" t="n"/>
      <c r="G1685" s="23" t="n"/>
      <c r="H1685" s="23" t="n"/>
      <c r="I1685" s="23" t="n"/>
      <c r="J1685" s="23" t="n"/>
      <c r="K1685" s="45">
        <f>IF(A1685="","",SUM(G$2:I1685)-SUM(J$2:J1685))</f>
        <v/>
      </c>
      <c r="L1685" s="46" t="n"/>
      <c r="M1685">
        <f>IF(A1685="","",IF(A1685=A1684,M1684,N(M1684)+1))</f>
        <v/>
      </c>
      <c r="N1685">
        <f>IF(E1685="",99999,E1685)</f>
        <v/>
      </c>
      <c r="O1685">
        <f>IF(E1685="",0,IF(F1685="",E1685,F1685))</f>
        <v/>
      </c>
      <c r="P1685">
        <f>IF(E1685="",1,MAX(1,(YEAR(O1685)-YEAR(N1685))*12+MONTH(O1685)-MONTH(N1685)+1))</f>
        <v/>
      </c>
      <c r="Q1685">
        <f>IF(G1685="",0,G1685/P1685)</f>
        <v/>
      </c>
      <c r="R1685">
        <f>IF(H1685="",0,H1685/P1685)</f>
        <v/>
      </c>
    </row>
    <row r="1686">
      <c r="A1686" s="43" t="n"/>
      <c r="B1686" s="28" t="n"/>
      <c r="C1686" s="28" t="n"/>
      <c r="D1686" s="28" t="n"/>
      <c r="E1686" s="44" t="n"/>
      <c r="F1686" s="44" t="n"/>
      <c r="G1686" s="23" t="n"/>
      <c r="H1686" s="23" t="n"/>
      <c r="I1686" s="23" t="n"/>
      <c r="J1686" s="23" t="n"/>
      <c r="K1686" s="45">
        <f>IF(A1686="","",SUM(G$2:I1686)-SUM(J$2:J1686))</f>
        <v/>
      </c>
      <c r="L1686" s="46" t="n"/>
      <c r="M1686">
        <f>IF(A1686="","",IF(A1686=A1685,M1685,N(M1685)+1))</f>
        <v/>
      </c>
      <c r="N1686">
        <f>IF(E1686="",99999,E1686)</f>
        <v/>
      </c>
      <c r="O1686">
        <f>IF(E1686="",0,IF(F1686="",E1686,F1686))</f>
        <v/>
      </c>
      <c r="P1686">
        <f>IF(E1686="",1,MAX(1,(YEAR(O1686)-YEAR(N1686))*12+MONTH(O1686)-MONTH(N1686)+1))</f>
        <v/>
      </c>
      <c r="Q1686">
        <f>IF(G1686="",0,G1686/P1686)</f>
        <v/>
      </c>
      <c r="R1686">
        <f>IF(H1686="",0,H1686/P1686)</f>
        <v/>
      </c>
    </row>
    <row r="1687">
      <c r="A1687" s="43" t="n"/>
      <c r="B1687" s="28" t="n"/>
      <c r="C1687" s="28" t="n"/>
      <c r="D1687" s="28" t="n"/>
      <c r="E1687" s="44" t="n"/>
      <c r="F1687" s="44" t="n"/>
      <c r="G1687" s="23" t="n"/>
      <c r="H1687" s="23" t="n"/>
      <c r="I1687" s="23" t="n"/>
      <c r="J1687" s="23" t="n"/>
      <c r="K1687" s="45">
        <f>IF(A1687="","",SUM(G$2:I1687)-SUM(J$2:J1687))</f>
        <v/>
      </c>
      <c r="L1687" s="46" t="n"/>
      <c r="M1687">
        <f>IF(A1687="","",IF(A1687=A1686,M1686,N(M1686)+1))</f>
        <v/>
      </c>
      <c r="N1687">
        <f>IF(E1687="",99999,E1687)</f>
        <v/>
      </c>
      <c r="O1687">
        <f>IF(E1687="",0,IF(F1687="",E1687,F1687))</f>
        <v/>
      </c>
      <c r="P1687">
        <f>IF(E1687="",1,MAX(1,(YEAR(O1687)-YEAR(N1687))*12+MONTH(O1687)-MONTH(N1687)+1))</f>
        <v/>
      </c>
      <c r="Q1687">
        <f>IF(G1687="",0,G1687/P1687)</f>
        <v/>
      </c>
      <c r="R1687">
        <f>IF(H1687="",0,H1687/P1687)</f>
        <v/>
      </c>
    </row>
    <row r="1688">
      <c r="A1688" s="43" t="n"/>
      <c r="B1688" s="28" t="n"/>
      <c r="C1688" s="28" t="n"/>
      <c r="D1688" s="28" t="n"/>
      <c r="E1688" s="44" t="n"/>
      <c r="F1688" s="44" t="n"/>
      <c r="G1688" s="23" t="n"/>
      <c r="H1688" s="23" t="n"/>
      <c r="I1688" s="23" t="n"/>
      <c r="J1688" s="23" t="n"/>
      <c r="K1688" s="45">
        <f>IF(A1688="","",SUM(G$2:I1688)-SUM(J$2:J1688))</f>
        <v/>
      </c>
      <c r="L1688" s="46" t="n"/>
      <c r="M1688">
        <f>IF(A1688="","",IF(A1688=A1687,M1687,N(M1687)+1))</f>
        <v/>
      </c>
      <c r="N1688">
        <f>IF(E1688="",99999,E1688)</f>
        <v/>
      </c>
      <c r="O1688">
        <f>IF(E1688="",0,IF(F1688="",E1688,F1688))</f>
        <v/>
      </c>
      <c r="P1688">
        <f>IF(E1688="",1,MAX(1,(YEAR(O1688)-YEAR(N1688))*12+MONTH(O1688)-MONTH(N1688)+1))</f>
        <v/>
      </c>
      <c r="Q1688">
        <f>IF(G1688="",0,G1688/P1688)</f>
        <v/>
      </c>
      <c r="R1688">
        <f>IF(H1688="",0,H1688/P1688)</f>
        <v/>
      </c>
    </row>
    <row r="1689">
      <c r="A1689" s="43" t="n"/>
      <c r="B1689" s="28" t="n"/>
      <c r="C1689" s="28" t="n"/>
      <c r="D1689" s="28" t="n"/>
      <c r="E1689" s="44" t="n"/>
      <c r="F1689" s="44" t="n"/>
      <c r="G1689" s="23" t="n"/>
      <c r="H1689" s="23" t="n"/>
      <c r="I1689" s="23" t="n"/>
      <c r="J1689" s="23" t="n"/>
      <c r="K1689" s="45">
        <f>IF(A1689="","",SUM(G$2:I1689)-SUM(J$2:J1689))</f>
        <v/>
      </c>
      <c r="L1689" s="46" t="n"/>
      <c r="M1689">
        <f>IF(A1689="","",IF(A1689=A1688,M1688,N(M1688)+1))</f>
        <v/>
      </c>
      <c r="N1689">
        <f>IF(E1689="",99999,E1689)</f>
        <v/>
      </c>
      <c r="O1689">
        <f>IF(E1689="",0,IF(F1689="",E1689,F1689))</f>
        <v/>
      </c>
      <c r="P1689">
        <f>IF(E1689="",1,MAX(1,(YEAR(O1689)-YEAR(N1689))*12+MONTH(O1689)-MONTH(N1689)+1))</f>
        <v/>
      </c>
      <c r="Q1689">
        <f>IF(G1689="",0,G1689/P1689)</f>
        <v/>
      </c>
      <c r="R1689">
        <f>IF(H1689="",0,H1689/P1689)</f>
        <v/>
      </c>
    </row>
    <row r="1690">
      <c r="A1690" s="43" t="n"/>
      <c r="B1690" s="28" t="n"/>
      <c r="C1690" s="28" t="n"/>
      <c r="D1690" s="28" t="n"/>
      <c r="E1690" s="44" t="n"/>
      <c r="F1690" s="44" t="n"/>
      <c r="G1690" s="23" t="n"/>
      <c r="H1690" s="23" t="n"/>
      <c r="I1690" s="23" t="n"/>
      <c r="J1690" s="23" t="n"/>
      <c r="K1690" s="45">
        <f>IF(A1690="","",SUM(G$2:I1690)-SUM(J$2:J1690))</f>
        <v/>
      </c>
      <c r="L1690" s="46" t="n"/>
      <c r="M1690">
        <f>IF(A1690="","",IF(A1690=A1689,M1689,N(M1689)+1))</f>
        <v/>
      </c>
      <c r="N1690">
        <f>IF(E1690="",99999,E1690)</f>
        <v/>
      </c>
      <c r="O1690">
        <f>IF(E1690="",0,IF(F1690="",E1690,F1690))</f>
        <v/>
      </c>
      <c r="P1690">
        <f>IF(E1690="",1,MAX(1,(YEAR(O1690)-YEAR(N1690))*12+MONTH(O1690)-MONTH(N1690)+1))</f>
        <v/>
      </c>
      <c r="Q1690">
        <f>IF(G1690="",0,G1690/P1690)</f>
        <v/>
      </c>
      <c r="R1690">
        <f>IF(H1690="",0,H1690/P1690)</f>
        <v/>
      </c>
    </row>
    <row r="1691">
      <c r="A1691" s="43" t="n"/>
      <c r="B1691" s="28" t="n"/>
      <c r="C1691" s="28" t="n"/>
      <c r="D1691" s="28" t="n"/>
      <c r="E1691" s="44" t="n"/>
      <c r="F1691" s="44" t="n"/>
      <c r="G1691" s="23" t="n"/>
      <c r="H1691" s="23" t="n"/>
      <c r="I1691" s="23" t="n"/>
      <c r="J1691" s="23" t="n"/>
      <c r="K1691" s="45">
        <f>IF(A1691="","",SUM(G$2:I1691)-SUM(J$2:J1691))</f>
        <v/>
      </c>
      <c r="L1691" s="46" t="n"/>
      <c r="M1691">
        <f>IF(A1691="","",IF(A1691=A1690,M1690,N(M1690)+1))</f>
        <v/>
      </c>
      <c r="N1691">
        <f>IF(E1691="",99999,E1691)</f>
        <v/>
      </c>
      <c r="O1691">
        <f>IF(E1691="",0,IF(F1691="",E1691,F1691))</f>
        <v/>
      </c>
      <c r="P1691">
        <f>IF(E1691="",1,MAX(1,(YEAR(O1691)-YEAR(N1691))*12+MONTH(O1691)-MONTH(N1691)+1))</f>
        <v/>
      </c>
      <c r="Q1691">
        <f>IF(G1691="",0,G1691/P1691)</f>
        <v/>
      </c>
      <c r="R1691">
        <f>IF(H1691="",0,H1691/P1691)</f>
        <v/>
      </c>
    </row>
    <row r="1692">
      <c r="A1692" s="43" t="n"/>
      <c r="B1692" s="28" t="n"/>
      <c r="C1692" s="28" t="n"/>
      <c r="D1692" s="28" t="n"/>
      <c r="E1692" s="44" t="n"/>
      <c r="F1692" s="44" t="n"/>
      <c r="G1692" s="23" t="n"/>
      <c r="H1692" s="23" t="n"/>
      <c r="I1692" s="23" t="n"/>
      <c r="J1692" s="23" t="n"/>
      <c r="K1692" s="45">
        <f>IF(A1692="","",SUM(G$2:I1692)-SUM(J$2:J1692))</f>
        <v/>
      </c>
      <c r="L1692" s="46" t="n"/>
      <c r="M1692">
        <f>IF(A1692="","",IF(A1692=A1691,M1691,N(M1691)+1))</f>
        <v/>
      </c>
      <c r="N1692">
        <f>IF(E1692="",99999,E1692)</f>
        <v/>
      </c>
      <c r="O1692">
        <f>IF(E1692="",0,IF(F1692="",E1692,F1692))</f>
        <v/>
      </c>
      <c r="P1692">
        <f>IF(E1692="",1,MAX(1,(YEAR(O1692)-YEAR(N1692))*12+MONTH(O1692)-MONTH(N1692)+1))</f>
        <v/>
      </c>
      <c r="Q1692">
        <f>IF(G1692="",0,G1692/P1692)</f>
        <v/>
      </c>
      <c r="R1692">
        <f>IF(H1692="",0,H1692/P1692)</f>
        <v/>
      </c>
    </row>
    <row r="1693">
      <c r="A1693" s="43" t="n"/>
      <c r="B1693" s="28" t="n"/>
      <c r="C1693" s="28" t="n"/>
      <c r="D1693" s="28" t="n"/>
      <c r="E1693" s="44" t="n"/>
      <c r="F1693" s="44" t="n"/>
      <c r="G1693" s="23" t="n"/>
      <c r="H1693" s="23" t="n"/>
      <c r="I1693" s="23" t="n"/>
      <c r="J1693" s="23" t="n"/>
      <c r="K1693" s="45">
        <f>IF(A1693="","",SUM(G$2:I1693)-SUM(J$2:J1693))</f>
        <v/>
      </c>
      <c r="L1693" s="46" t="n"/>
      <c r="M1693">
        <f>IF(A1693="","",IF(A1693=A1692,M1692,N(M1692)+1))</f>
        <v/>
      </c>
      <c r="N1693">
        <f>IF(E1693="",99999,E1693)</f>
        <v/>
      </c>
      <c r="O1693">
        <f>IF(E1693="",0,IF(F1693="",E1693,F1693))</f>
        <v/>
      </c>
      <c r="P1693">
        <f>IF(E1693="",1,MAX(1,(YEAR(O1693)-YEAR(N1693))*12+MONTH(O1693)-MONTH(N1693)+1))</f>
        <v/>
      </c>
      <c r="Q1693">
        <f>IF(G1693="",0,G1693/P1693)</f>
        <v/>
      </c>
      <c r="R1693">
        <f>IF(H1693="",0,H1693/P1693)</f>
        <v/>
      </c>
    </row>
    <row r="1694">
      <c r="A1694" s="43" t="n"/>
      <c r="B1694" s="28" t="n"/>
      <c r="C1694" s="28" t="n"/>
      <c r="D1694" s="28" t="n"/>
      <c r="E1694" s="44" t="n"/>
      <c r="F1694" s="44" t="n"/>
      <c r="G1694" s="23" t="n"/>
      <c r="H1694" s="23" t="n"/>
      <c r="I1694" s="23" t="n"/>
      <c r="J1694" s="23" t="n"/>
      <c r="K1694" s="45">
        <f>IF(A1694="","",SUM(G$2:I1694)-SUM(J$2:J1694))</f>
        <v/>
      </c>
      <c r="L1694" s="46" t="n"/>
      <c r="M1694">
        <f>IF(A1694="","",IF(A1694=A1693,M1693,N(M1693)+1))</f>
        <v/>
      </c>
      <c r="N1694">
        <f>IF(E1694="",99999,E1694)</f>
        <v/>
      </c>
      <c r="O1694">
        <f>IF(E1694="",0,IF(F1694="",E1694,F1694))</f>
        <v/>
      </c>
      <c r="P1694">
        <f>IF(E1694="",1,MAX(1,(YEAR(O1694)-YEAR(N1694))*12+MONTH(O1694)-MONTH(N1694)+1))</f>
        <v/>
      </c>
      <c r="Q1694">
        <f>IF(G1694="",0,G1694/P1694)</f>
        <v/>
      </c>
      <c r="R1694">
        <f>IF(H1694="",0,H1694/P1694)</f>
        <v/>
      </c>
    </row>
    <row r="1695">
      <c r="A1695" s="43" t="n"/>
      <c r="B1695" s="28" t="n"/>
      <c r="C1695" s="28" t="n"/>
      <c r="D1695" s="28" t="n"/>
      <c r="E1695" s="44" t="n"/>
      <c r="F1695" s="44" t="n"/>
      <c r="G1695" s="23" t="n"/>
      <c r="H1695" s="23" t="n"/>
      <c r="I1695" s="23" t="n"/>
      <c r="J1695" s="23" t="n"/>
      <c r="K1695" s="45">
        <f>IF(A1695="","",SUM(G$2:I1695)-SUM(J$2:J1695))</f>
        <v/>
      </c>
      <c r="L1695" s="46" t="n"/>
      <c r="M1695">
        <f>IF(A1695="","",IF(A1695=A1694,M1694,N(M1694)+1))</f>
        <v/>
      </c>
      <c r="N1695">
        <f>IF(E1695="",99999,E1695)</f>
        <v/>
      </c>
      <c r="O1695">
        <f>IF(E1695="",0,IF(F1695="",E1695,F1695))</f>
        <v/>
      </c>
      <c r="P1695">
        <f>IF(E1695="",1,MAX(1,(YEAR(O1695)-YEAR(N1695))*12+MONTH(O1695)-MONTH(N1695)+1))</f>
        <v/>
      </c>
      <c r="Q1695">
        <f>IF(G1695="",0,G1695/P1695)</f>
        <v/>
      </c>
      <c r="R1695">
        <f>IF(H1695="",0,H1695/P1695)</f>
        <v/>
      </c>
    </row>
    <row r="1696">
      <c r="A1696" s="43" t="n"/>
      <c r="B1696" s="28" t="n"/>
      <c r="C1696" s="28" t="n"/>
      <c r="D1696" s="28" t="n"/>
      <c r="E1696" s="44" t="n"/>
      <c r="F1696" s="44" t="n"/>
      <c r="G1696" s="23" t="n"/>
      <c r="H1696" s="23" t="n"/>
      <c r="I1696" s="23" t="n"/>
      <c r="J1696" s="23" t="n"/>
      <c r="K1696" s="45">
        <f>IF(A1696="","",SUM(G$2:I1696)-SUM(J$2:J1696))</f>
        <v/>
      </c>
      <c r="L1696" s="46" t="n"/>
      <c r="M1696">
        <f>IF(A1696="","",IF(A1696=A1695,M1695,N(M1695)+1))</f>
        <v/>
      </c>
      <c r="N1696">
        <f>IF(E1696="",99999,E1696)</f>
        <v/>
      </c>
      <c r="O1696">
        <f>IF(E1696="",0,IF(F1696="",E1696,F1696))</f>
        <v/>
      </c>
      <c r="P1696">
        <f>IF(E1696="",1,MAX(1,(YEAR(O1696)-YEAR(N1696))*12+MONTH(O1696)-MONTH(N1696)+1))</f>
        <v/>
      </c>
      <c r="Q1696">
        <f>IF(G1696="",0,G1696/P1696)</f>
        <v/>
      </c>
      <c r="R1696">
        <f>IF(H1696="",0,H1696/P1696)</f>
        <v/>
      </c>
    </row>
    <row r="1697">
      <c r="A1697" s="43" t="n"/>
      <c r="B1697" s="28" t="n"/>
      <c r="C1697" s="28" t="n"/>
      <c r="D1697" s="28" t="n"/>
      <c r="E1697" s="44" t="n"/>
      <c r="F1697" s="44" t="n"/>
      <c r="G1697" s="23" t="n"/>
      <c r="H1697" s="23" t="n"/>
      <c r="I1697" s="23" t="n"/>
      <c r="J1697" s="23" t="n"/>
      <c r="K1697" s="45">
        <f>IF(A1697="","",SUM(G$2:I1697)-SUM(J$2:J1697))</f>
        <v/>
      </c>
      <c r="L1697" s="46" t="n"/>
      <c r="M1697">
        <f>IF(A1697="","",IF(A1697=A1696,M1696,N(M1696)+1))</f>
        <v/>
      </c>
      <c r="N1697">
        <f>IF(E1697="",99999,E1697)</f>
        <v/>
      </c>
      <c r="O1697">
        <f>IF(E1697="",0,IF(F1697="",E1697,F1697))</f>
        <v/>
      </c>
      <c r="P1697">
        <f>IF(E1697="",1,MAX(1,(YEAR(O1697)-YEAR(N1697))*12+MONTH(O1697)-MONTH(N1697)+1))</f>
        <v/>
      </c>
      <c r="Q1697">
        <f>IF(G1697="",0,G1697/P1697)</f>
        <v/>
      </c>
      <c r="R1697">
        <f>IF(H1697="",0,H1697/P1697)</f>
        <v/>
      </c>
    </row>
    <row r="1698">
      <c r="A1698" s="43" t="n"/>
      <c r="B1698" s="28" t="n"/>
      <c r="C1698" s="28" t="n"/>
      <c r="D1698" s="28" t="n"/>
      <c r="E1698" s="44" t="n"/>
      <c r="F1698" s="44" t="n"/>
      <c r="G1698" s="23" t="n"/>
      <c r="H1698" s="23" t="n"/>
      <c r="I1698" s="23" t="n"/>
      <c r="J1698" s="23" t="n"/>
      <c r="K1698" s="45">
        <f>IF(A1698="","",SUM(G$2:I1698)-SUM(J$2:J1698))</f>
        <v/>
      </c>
      <c r="L1698" s="46" t="n"/>
      <c r="M1698">
        <f>IF(A1698="","",IF(A1698=A1697,M1697,N(M1697)+1))</f>
        <v/>
      </c>
      <c r="N1698">
        <f>IF(E1698="",99999,E1698)</f>
        <v/>
      </c>
      <c r="O1698">
        <f>IF(E1698="",0,IF(F1698="",E1698,F1698))</f>
        <v/>
      </c>
      <c r="P1698">
        <f>IF(E1698="",1,MAX(1,(YEAR(O1698)-YEAR(N1698))*12+MONTH(O1698)-MONTH(N1698)+1))</f>
        <v/>
      </c>
      <c r="Q1698">
        <f>IF(G1698="",0,G1698/P1698)</f>
        <v/>
      </c>
      <c r="R1698">
        <f>IF(H1698="",0,H1698/P1698)</f>
        <v/>
      </c>
    </row>
    <row r="1699">
      <c r="A1699" s="43" t="n"/>
      <c r="B1699" s="28" t="n"/>
      <c r="C1699" s="28" t="n"/>
      <c r="D1699" s="28" t="n"/>
      <c r="E1699" s="44" t="n"/>
      <c r="F1699" s="44" t="n"/>
      <c r="G1699" s="23" t="n"/>
      <c r="H1699" s="23" t="n"/>
      <c r="I1699" s="23" t="n"/>
      <c r="J1699" s="23" t="n"/>
      <c r="K1699" s="45">
        <f>IF(A1699="","",SUM(G$2:I1699)-SUM(J$2:J1699))</f>
        <v/>
      </c>
      <c r="L1699" s="46" t="n"/>
      <c r="M1699">
        <f>IF(A1699="","",IF(A1699=A1698,M1698,N(M1698)+1))</f>
        <v/>
      </c>
      <c r="N1699">
        <f>IF(E1699="",99999,E1699)</f>
        <v/>
      </c>
      <c r="O1699">
        <f>IF(E1699="",0,IF(F1699="",E1699,F1699))</f>
        <v/>
      </c>
      <c r="P1699">
        <f>IF(E1699="",1,MAX(1,(YEAR(O1699)-YEAR(N1699))*12+MONTH(O1699)-MONTH(N1699)+1))</f>
        <v/>
      </c>
      <c r="Q1699">
        <f>IF(G1699="",0,G1699/P1699)</f>
        <v/>
      </c>
      <c r="R1699">
        <f>IF(H1699="",0,H1699/P1699)</f>
        <v/>
      </c>
    </row>
    <row r="1700">
      <c r="A1700" s="43" t="n"/>
      <c r="B1700" s="28" t="n"/>
      <c r="C1700" s="28" t="n"/>
      <c r="D1700" s="28" t="n"/>
      <c r="E1700" s="44" t="n"/>
      <c r="F1700" s="44" t="n"/>
      <c r="G1700" s="23" t="n"/>
      <c r="H1700" s="23" t="n"/>
      <c r="I1700" s="23" t="n"/>
      <c r="J1700" s="23" t="n"/>
      <c r="K1700" s="45">
        <f>IF(A1700="","",SUM(G$2:I1700)-SUM(J$2:J1700))</f>
        <v/>
      </c>
      <c r="L1700" s="46" t="n"/>
      <c r="M1700">
        <f>IF(A1700="","",IF(A1700=A1699,M1699,N(M1699)+1))</f>
        <v/>
      </c>
      <c r="N1700">
        <f>IF(E1700="",99999,E1700)</f>
        <v/>
      </c>
      <c r="O1700">
        <f>IF(E1700="",0,IF(F1700="",E1700,F1700))</f>
        <v/>
      </c>
      <c r="P1700">
        <f>IF(E1700="",1,MAX(1,(YEAR(O1700)-YEAR(N1700))*12+MONTH(O1700)-MONTH(N1700)+1))</f>
        <v/>
      </c>
      <c r="Q1700">
        <f>IF(G1700="",0,G1700/P1700)</f>
        <v/>
      </c>
      <c r="R1700">
        <f>IF(H1700="",0,H1700/P1700)</f>
        <v/>
      </c>
    </row>
    <row r="1701">
      <c r="A1701" s="43" t="n"/>
      <c r="B1701" s="28" t="n"/>
      <c r="C1701" s="28" t="n"/>
      <c r="D1701" s="28" t="n"/>
      <c r="E1701" s="44" t="n"/>
      <c r="F1701" s="44" t="n"/>
      <c r="G1701" s="23" t="n"/>
      <c r="H1701" s="23" t="n"/>
      <c r="I1701" s="23" t="n"/>
      <c r="J1701" s="23" t="n"/>
      <c r="K1701" s="45">
        <f>IF(A1701="","",SUM(G$2:I1701)-SUM(J$2:J1701))</f>
        <v/>
      </c>
      <c r="L1701" s="46" t="n"/>
      <c r="M1701">
        <f>IF(A1701="","",IF(A1701=A1700,M1700,N(M1700)+1))</f>
        <v/>
      </c>
      <c r="N1701">
        <f>IF(E1701="",99999,E1701)</f>
        <v/>
      </c>
      <c r="O1701">
        <f>IF(E1701="",0,IF(F1701="",E1701,F1701))</f>
        <v/>
      </c>
      <c r="P1701">
        <f>IF(E1701="",1,MAX(1,(YEAR(O1701)-YEAR(N1701))*12+MONTH(O1701)-MONTH(N1701)+1))</f>
        <v/>
      </c>
      <c r="Q1701">
        <f>IF(G1701="",0,G1701/P1701)</f>
        <v/>
      </c>
      <c r="R1701">
        <f>IF(H1701="",0,H1701/P1701)</f>
        <v/>
      </c>
    </row>
    <row r="1702">
      <c r="A1702" s="43" t="n"/>
      <c r="B1702" s="28" t="n"/>
      <c r="C1702" s="28" t="n"/>
      <c r="D1702" s="28" t="n"/>
      <c r="E1702" s="44" t="n"/>
      <c r="F1702" s="44" t="n"/>
      <c r="G1702" s="23" t="n"/>
      <c r="H1702" s="23" t="n"/>
      <c r="I1702" s="23" t="n"/>
      <c r="J1702" s="23" t="n"/>
      <c r="K1702" s="45">
        <f>IF(A1702="","",SUM(G$2:I1702)-SUM(J$2:J1702))</f>
        <v/>
      </c>
      <c r="L1702" s="46" t="n"/>
      <c r="M1702">
        <f>IF(A1702="","",IF(A1702=A1701,M1701,N(M1701)+1))</f>
        <v/>
      </c>
      <c r="N1702">
        <f>IF(E1702="",99999,E1702)</f>
        <v/>
      </c>
      <c r="O1702">
        <f>IF(E1702="",0,IF(F1702="",E1702,F1702))</f>
        <v/>
      </c>
      <c r="P1702">
        <f>IF(E1702="",1,MAX(1,(YEAR(O1702)-YEAR(N1702))*12+MONTH(O1702)-MONTH(N1702)+1))</f>
        <v/>
      </c>
      <c r="Q1702">
        <f>IF(G1702="",0,G1702/P1702)</f>
        <v/>
      </c>
      <c r="R1702">
        <f>IF(H1702="",0,H1702/P1702)</f>
        <v/>
      </c>
    </row>
    <row r="1703">
      <c r="A1703" s="43" t="n"/>
      <c r="B1703" s="28" t="n"/>
      <c r="C1703" s="28" t="n"/>
      <c r="D1703" s="28" t="n"/>
      <c r="E1703" s="44" t="n"/>
      <c r="F1703" s="44" t="n"/>
      <c r="G1703" s="23" t="n"/>
      <c r="H1703" s="23" t="n"/>
      <c r="I1703" s="23" t="n"/>
      <c r="J1703" s="23" t="n"/>
      <c r="K1703" s="45">
        <f>IF(A1703="","",SUM(G$2:I1703)-SUM(J$2:J1703))</f>
        <v/>
      </c>
      <c r="L1703" s="46" t="n"/>
      <c r="M1703">
        <f>IF(A1703="","",IF(A1703=A1702,M1702,N(M1702)+1))</f>
        <v/>
      </c>
      <c r="N1703">
        <f>IF(E1703="",99999,E1703)</f>
        <v/>
      </c>
      <c r="O1703">
        <f>IF(E1703="",0,IF(F1703="",E1703,F1703))</f>
        <v/>
      </c>
      <c r="P1703">
        <f>IF(E1703="",1,MAX(1,(YEAR(O1703)-YEAR(N1703))*12+MONTH(O1703)-MONTH(N1703)+1))</f>
        <v/>
      </c>
      <c r="Q1703">
        <f>IF(G1703="",0,G1703/P1703)</f>
        <v/>
      </c>
      <c r="R1703">
        <f>IF(H1703="",0,H1703/P1703)</f>
        <v/>
      </c>
    </row>
    <row r="1704">
      <c r="A1704" s="43" t="n"/>
      <c r="B1704" s="28" t="n"/>
      <c r="C1704" s="28" t="n"/>
      <c r="D1704" s="28" t="n"/>
      <c r="E1704" s="44" t="n"/>
      <c r="F1704" s="44" t="n"/>
      <c r="G1704" s="23" t="n"/>
      <c r="H1704" s="23" t="n"/>
      <c r="I1704" s="23" t="n"/>
      <c r="J1704" s="23" t="n"/>
      <c r="K1704" s="45">
        <f>IF(A1704="","",SUM(G$2:I1704)-SUM(J$2:J1704))</f>
        <v/>
      </c>
      <c r="L1704" s="46" t="n"/>
      <c r="M1704">
        <f>IF(A1704="","",IF(A1704=A1703,M1703,N(M1703)+1))</f>
        <v/>
      </c>
      <c r="N1704">
        <f>IF(E1704="",99999,E1704)</f>
        <v/>
      </c>
      <c r="O1704">
        <f>IF(E1704="",0,IF(F1704="",E1704,F1704))</f>
        <v/>
      </c>
      <c r="P1704">
        <f>IF(E1704="",1,MAX(1,(YEAR(O1704)-YEAR(N1704))*12+MONTH(O1704)-MONTH(N1704)+1))</f>
        <v/>
      </c>
      <c r="Q1704">
        <f>IF(G1704="",0,G1704/P1704)</f>
        <v/>
      </c>
      <c r="R1704">
        <f>IF(H1704="",0,H1704/P1704)</f>
        <v/>
      </c>
    </row>
    <row r="1705">
      <c r="A1705" s="43" t="n"/>
      <c r="B1705" s="28" t="n"/>
      <c r="C1705" s="28" t="n"/>
      <c r="D1705" s="28" t="n"/>
      <c r="E1705" s="44" t="n"/>
      <c r="F1705" s="44" t="n"/>
      <c r="G1705" s="23" t="n"/>
      <c r="H1705" s="23" t="n"/>
      <c r="I1705" s="23" t="n"/>
      <c r="J1705" s="23" t="n"/>
      <c r="K1705" s="45">
        <f>IF(A1705="","",SUM(G$2:I1705)-SUM(J$2:J1705))</f>
        <v/>
      </c>
      <c r="L1705" s="46" t="n"/>
      <c r="M1705">
        <f>IF(A1705="","",IF(A1705=A1704,M1704,N(M1704)+1))</f>
        <v/>
      </c>
      <c r="N1705">
        <f>IF(E1705="",99999,E1705)</f>
        <v/>
      </c>
      <c r="O1705">
        <f>IF(E1705="",0,IF(F1705="",E1705,F1705))</f>
        <v/>
      </c>
      <c r="P1705">
        <f>IF(E1705="",1,MAX(1,(YEAR(O1705)-YEAR(N1705))*12+MONTH(O1705)-MONTH(N1705)+1))</f>
        <v/>
      </c>
      <c r="Q1705">
        <f>IF(G1705="",0,G1705/P1705)</f>
        <v/>
      </c>
      <c r="R1705">
        <f>IF(H1705="",0,H1705/P1705)</f>
        <v/>
      </c>
    </row>
    <row r="1706">
      <c r="A1706" s="43" t="n"/>
      <c r="B1706" s="28" t="n"/>
      <c r="C1706" s="28" t="n"/>
      <c r="D1706" s="28" t="n"/>
      <c r="E1706" s="44" t="n"/>
      <c r="F1706" s="44" t="n"/>
      <c r="G1706" s="23" t="n"/>
      <c r="H1706" s="23" t="n"/>
      <c r="I1706" s="23" t="n"/>
      <c r="J1706" s="23" t="n"/>
      <c r="K1706" s="45">
        <f>IF(A1706="","",SUM(G$2:I1706)-SUM(J$2:J1706))</f>
        <v/>
      </c>
      <c r="L1706" s="46" t="n"/>
      <c r="M1706">
        <f>IF(A1706="","",IF(A1706=A1705,M1705,N(M1705)+1))</f>
        <v/>
      </c>
      <c r="N1706">
        <f>IF(E1706="",99999,E1706)</f>
        <v/>
      </c>
      <c r="O1706">
        <f>IF(E1706="",0,IF(F1706="",E1706,F1706))</f>
        <v/>
      </c>
      <c r="P1706">
        <f>IF(E1706="",1,MAX(1,(YEAR(O1706)-YEAR(N1706))*12+MONTH(O1706)-MONTH(N1706)+1))</f>
        <v/>
      </c>
      <c r="Q1706">
        <f>IF(G1706="",0,G1706/P1706)</f>
        <v/>
      </c>
      <c r="R1706">
        <f>IF(H1706="",0,H1706/P1706)</f>
        <v/>
      </c>
    </row>
    <row r="1707">
      <c r="A1707" s="43" t="n"/>
      <c r="B1707" s="28" t="n"/>
      <c r="C1707" s="28" t="n"/>
      <c r="D1707" s="28" t="n"/>
      <c r="E1707" s="44" t="n"/>
      <c r="F1707" s="44" t="n"/>
      <c r="G1707" s="23" t="n"/>
      <c r="H1707" s="23" t="n"/>
      <c r="I1707" s="23" t="n"/>
      <c r="J1707" s="23" t="n"/>
      <c r="K1707" s="45">
        <f>IF(A1707="","",SUM(G$2:I1707)-SUM(J$2:J1707))</f>
        <v/>
      </c>
      <c r="L1707" s="46" t="n"/>
      <c r="M1707">
        <f>IF(A1707="","",IF(A1707=A1706,M1706,N(M1706)+1))</f>
        <v/>
      </c>
      <c r="N1707">
        <f>IF(E1707="",99999,E1707)</f>
        <v/>
      </c>
      <c r="O1707">
        <f>IF(E1707="",0,IF(F1707="",E1707,F1707))</f>
        <v/>
      </c>
      <c r="P1707">
        <f>IF(E1707="",1,MAX(1,(YEAR(O1707)-YEAR(N1707))*12+MONTH(O1707)-MONTH(N1707)+1))</f>
        <v/>
      </c>
      <c r="Q1707">
        <f>IF(G1707="",0,G1707/P1707)</f>
        <v/>
      </c>
      <c r="R1707">
        <f>IF(H1707="",0,H1707/P1707)</f>
        <v/>
      </c>
    </row>
    <row r="1708">
      <c r="A1708" s="43" t="n"/>
      <c r="B1708" s="28" t="n"/>
      <c r="C1708" s="28" t="n"/>
      <c r="D1708" s="28" t="n"/>
      <c r="E1708" s="44" t="n"/>
      <c r="F1708" s="44" t="n"/>
      <c r="G1708" s="23" t="n"/>
      <c r="H1708" s="23" t="n"/>
      <c r="I1708" s="23" t="n"/>
      <c r="J1708" s="23" t="n"/>
      <c r="K1708" s="45">
        <f>IF(A1708="","",SUM(G$2:I1708)-SUM(J$2:J1708))</f>
        <v/>
      </c>
      <c r="L1708" s="46" t="n"/>
      <c r="M1708">
        <f>IF(A1708="","",IF(A1708=A1707,M1707,N(M1707)+1))</f>
        <v/>
      </c>
      <c r="N1708">
        <f>IF(E1708="",99999,E1708)</f>
        <v/>
      </c>
      <c r="O1708">
        <f>IF(E1708="",0,IF(F1708="",E1708,F1708))</f>
        <v/>
      </c>
      <c r="P1708">
        <f>IF(E1708="",1,MAX(1,(YEAR(O1708)-YEAR(N1708))*12+MONTH(O1708)-MONTH(N1708)+1))</f>
        <v/>
      </c>
      <c r="Q1708">
        <f>IF(G1708="",0,G1708/P1708)</f>
        <v/>
      </c>
      <c r="R1708">
        <f>IF(H1708="",0,H1708/P1708)</f>
        <v/>
      </c>
    </row>
    <row r="1709">
      <c r="A1709" s="43" t="n"/>
      <c r="B1709" s="28" t="n"/>
      <c r="C1709" s="28" t="n"/>
      <c r="D1709" s="28" t="n"/>
      <c r="E1709" s="44" t="n"/>
      <c r="F1709" s="44" t="n"/>
      <c r="G1709" s="23" t="n"/>
      <c r="H1709" s="23" t="n"/>
      <c r="I1709" s="23" t="n"/>
      <c r="J1709" s="23" t="n"/>
      <c r="K1709" s="45">
        <f>IF(A1709="","",SUM(G$2:I1709)-SUM(J$2:J1709))</f>
        <v/>
      </c>
      <c r="L1709" s="46" t="n"/>
      <c r="M1709">
        <f>IF(A1709="","",IF(A1709=A1708,M1708,N(M1708)+1))</f>
        <v/>
      </c>
      <c r="N1709">
        <f>IF(E1709="",99999,E1709)</f>
        <v/>
      </c>
      <c r="O1709">
        <f>IF(E1709="",0,IF(F1709="",E1709,F1709))</f>
        <v/>
      </c>
      <c r="P1709">
        <f>IF(E1709="",1,MAX(1,(YEAR(O1709)-YEAR(N1709))*12+MONTH(O1709)-MONTH(N1709)+1))</f>
        <v/>
      </c>
      <c r="Q1709">
        <f>IF(G1709="",0,G1709/P1709)</f>
        <v/>
      </c>
      <c r="R1709">
        <f>IF(H1709="",0,H1709/P1709)</f>
        <v/>
      </c>
    </row>
    <row r="1710">
      <c r="A1710" s="43" t="n"/>
      <c r="B1710" s="28" t="n"/>
      <c r="C1710" s="28" t="n"/>
      <c r="D1710" s="28" t="n"/>
      <c r="E1710" s="44" t="n"/>
      <c r="F1710" s="44" t="n"/>
      <c r="G1710" s="23" t="n"/>
      <c r="H1710" s="23" t="n"/>
      <c r="I1710" s="23" t="n"/>
      <c r="J1710" s="23" t="n"/>
      <c r="K1710" s="45">
        <f>IF(A1710="","",SUM(G$2:I1710)-SUM(J$2:J1710))</f>
        <v/>
      </c>
      <c r="L1710" s="46" t="n"/>
      <c r="M1710">
        <f>IF(A1710="","",IF(A1710=A1709,M1709,N(M1709)+1))</f>
        <v/>
      </c>
      <c r="N1710">
        <f>IF(E1710="",99999,E1710)</f>
        <v/>
      </c>
      <c r="O1710">
        <f>IF(E1710="",0,IF(F1710="",E1710,F1710))</f>
        <v/>
      </c>
      <c r="P1710">
        <f>IF(E1710="",1,MAX(1,(YEAR(O1710)-YEAR(N1710))*12+MONTH(O1710)-MONTH(N1710)+1))</f>
        <v/>
      </c>
      <c r="Q1710">
        <f>IF(G1710="",0,G1710/P1710)</f>
        <v/>
      </c>
      <c r="R1710">
        <f>IF(H1710="",0,H1710/P1710)</f>
        <v/>
      </c>
    </row>
    <row r="1711">
      <c r="A1711" s="43" t="n"/>
      <c r="B1711" s="28" t="n"/>
      <c r="C1711" s="28" t="n"/>
      <c r="D1711" s="28" t="n"/>
      <c r="E1711" s="44" t="n"/>
      <c r="F1711" s="44" t="n"/>
      <c r="G1711" s="23" t="n"/>
      <c r="H1711" s="23" t="n"/>
      <c r="I1711" s="23" t="n"/>
      <c r="J1711" s="23" t="n"/>
      <c r="K1711" s="45">
        <f>IF(A1711="","",SUM(G$2:I1711)-SUM(J$2:J1711))</f>
        <v/>
      </c>
      <c r="L1711" s="46" t="n"/>
      <c r="M1711">
        <f>IF(A1711="","",IF(A1711=A1710,M1710,N(M1710)+1))</f>
        <v/>
      </c>
      <c r="N1711">
        <f>IF(E1711="",99999,E1711)</f>
        <v/>
      </c>
      <c r="O1711">
        <f>IF(E1711="",0,IF(F1711="",E1711,F1711))</f>
        <v/>
      </c>
      <c r="P1711">
        <f>IF(E1711="",1,MAX(1,(YEAR(O1711)-YEAR(N1711))*12+MONTH(O1711)-MONTH(N1711)+1))</f>
        <v/>
      </c>
      <c r="Q1711">
        <f>IF(G1711="",0,G1711/P1711)</f>
        <v/>
      </c>
      <c r="R1711">
        <f>IF(H1711="",0,H1711/P1711)</f>
        <v/>
      </c>
    </row>
    <row r="1712">
      <c r="A1712" s="43" t="n"/>
      <c r="B1712" s="28" t="n"/>
      <c r="C1712" s="28" t="n"/>
      <c r="D1712" s="28" t="n"/>
      <c r="E1712" s="44" t="n"/>
      <c r="F1712" s="44" t="n"/>
      <c r="G1712" s="23" t="n"/>
      <c r="H1712" s="23" t="n"/>
      <c r="I1712" s="23" t="n"/>
      <c r="J1712" s="23" t="n"/>
      <c r="K1712" s="45">
        <f>IF(A1712="","",SUM(G$2:I1712)-SUM(J$2:J1712))</f>
        <v/>
      </c>
      <c r="L1712" s="46" t="n"/>
      <c r="M1712">
        <f>IF(A1712="","",IF(A1712=A1711,M1711,N(M1711)+1))</f>
        <v/>
      </c>
      <c r="N1712">
        <f>IF(E1712="",99999,E1712)</f>
        <v/>
      </c>
      <c r="O1712">
        <f>IF(E1712="",0,IF(F1712="",E1712,F1712))</f>
        <v/>
      </c>
      <c r="P1712">
        <f>IF(E1712="",1,MAX(1,(YEAR(O1712)-YEAR(N1712))*12+MONTH(O1712)-MONTH(N1712)+1))</f>
        <v/>
      </c>
      <c r="Q1712">
        <f>IF(G1712="",0,G1712/P1712)</f>
        <v/>
      </c>
      <c r="R1712">
        <f>IF(H1712="",0,H1712/P1712)</f>
        <v/>
      </c>
    </row>
    <row r="1713">
      <c r="A1713" s="43" t="n"/>
      <c r="B1713" s="28" t="n"/>
      <c r="C1713" s="28" t="n"/>
      <c r="D1713" s="28" t="n"/>
      <c r="E1713" s="44" t="n"/>
      <c r="F1713" s="44" t="n"/>
      <c r="G1713" s="23" t="n"/>
      <c r="H1713" s="23" t="n"/>
      <c r="I1713" s="23" t="n"/>
      <c r="J1713" s="23" t="n"/>
      <c r="K1713" s="45">
        <f>IF(A1713="","",SUM(G$2:I1713)-SUM(J$2:J1713))</f>
        <v/>
      </c>
      <c r="L1713" s="46" t="n"/>
      <c r="M1713">
        <f>IF(A1713="","",IF(A1713=A1712,M1712,N(M1712)+1))</f>
        <v/>
      </c>
      <c r="N1713">
        <f>IF(E1713="",99999,E1713)</f>
        <v/>
      </c>
      <c r="O1713">
        <f>IF(E1713="",0,IF(F1713="",E1713,F1713))</f>
        <v/>
      </c>
      <c r="P1713">
        <f>IF(E1713="",1,MAX(1,(YEAR(O1713)-YEAR(N1713))*12+MONTH(O1713)-MONTH(N1713)+1))</f>
        <v/>
      </c>
      <c r="Q1713">
        <f>IF(G1713="",0,G1713/P1713)</f>
        <v/>
      </c>
      <c r="R1713">
        <f>IF(H1713="",0,H1713/P1713)</f>
        <v/>
      </c>
    </row>
    <row r="1714">
      <c r="A1714" s="43" t="n"/>
      <c r="B1714" s="28" t="n"/>
      <c r="C1714" s="28" t="n"/>
      <c r="D1714" s="28" t="n"/>
      <c r="E1714" s="44" t="n"/>
      <c r="F1714" s="44" t="n"/>
      <c r="G1714" s="23" t="n"/>
      <c r="H1714" s="23" t="n"/>
      <c r="I1714" s="23" t="n"/>
      <c r="J1714" s="23" t="n"/>
      <c r="K1714" s="45">
        <f>IF(A1714="","",SUM(G$2:I1714)-SUM(J$2:J1714))</f>
        <v/>
      </c>
      <c r="L1714" s="46" t="n"/>
      <c r="M1714">
        <f>IF(A1714="","",IF(A1714=A1713,M1713,N(M1713)+1))</f>
        <v/>
      </c>
      <c r="N1714">
        <f>IF(E1714="",99999,E1714)</f>
        <v/>
      </c>
      <c r="O1714">
        <f>IF(E1714="",0,IF(F1714="",E1714,F1714))</f>
        <v/>
      </c>
      <c r="P1714">
        <f>IF(E1714="",1,MAX(1,(YEAR(O1714)-YEAR(N1714))*12+MONTH(O1714)-MONTH(N1714)+1))</f>
        <v/>
      </c>
      <c r="Q1714">
        <f>IF(G1714="",0,G1714/P1714)</f>
        <v/>
      </c>
      <c r="R1714">
        <f>IF(H1714="",0,H1714/P1714)</f>
        <v/>
      </c>
    </row>
    <row r="1715">
      <c r="A1715" s="43" t="n"/>
      <c r="B1715" s="28" t="n"/>
      <c r="C1715" s="28" t="n"/>
      <c r="D1715" s="28" t="n"/>
      <c r="E1715" s="44" t="n"/>
      <c r="F1715" s="44" t="n"/>
      <c r="G1715" s="23" t="n"/>
      <c r="H1715" s="23" t="n"/>
      <c r="I1715" s="23" t="n"/>
      <c r="J1715" s="23" t="n"/>
      <c r="K1715" s="45">
        <f>IF(A1715="","",SUM(G$2:I1715)-SUM(J$2:J1715))</f>
        <v/>
      </c>
      <c r="L1715" s="46" t="n"/>
      <c r="M1715">
        <f>IF(A1715="","",IF(A1715=A1714,M1714,N(M1714)+1))</f>
        <v/>
      </c>
      <c r="N1715">
        <f>IF(E1715="",99999,E1715)</f>
        <v/>
      </c>
      <c r="O1715">
        <f>IF(E1715="",0,IF(F1715="",E1715,F1715))</f>
        <v/>
      </c>
      <c r="P1715">
        <f>IF(E1715="",1,MAX(1,(YEAR(O1715)-YEAR(N1715))*12+MONTH(O1715)-MONTH(N1715)+1))</f>
        <v/>
      </c>
      <c r="Q1715">
        <f>IF(G1715="",0,G1715/P1715)</f>
        <v/>
      </c>
      <c r="R1715">
        <f>IF(H1715="",0,H1715/P1715)</f>
        <v/>
      </c>
    </row>
    <row r="1716">
      <c r="A1716" s="43" t="n"/>
      <c r="B1716" s="28" t="n"/>
      <c r="C1716" s="28" t="n"/>
      <c r="D1716" s="28" t="n"/>
      <c r="E1716" s="44" t="n"/>
      <c r="F1716" s="44" t="n"/>
      <c r="G1716" s="23" t="n"/>
      <c r="H1716" s="23" t="n"/>
      <c r="I1716" s="23" t="n"/>
      <c r="J1716" s="23" t="n"/>
      <c r="K1716" s="45">
        <f>IF(A1716="","",SUM(G$2:I1716)-SUM(J$2:J1716))</f>
        <v/>
      </c>
      <c r="L1716" s="46" t="n"/>
      <c r="M1716">
        <f>IF(A1716="","",IF(A1716=A1715,M1715,N(M1715)+1))</f>
        <v/>
      </c>
      <c r="N1716">
        <f>IF(E1716="",99999,E1716)</f>
        <v/>
      </c>
      <c r="O1716">
        <f>IF(E1716="",0,IF(F1716="",E1716,F1716))</f>
        <v/>
      </c>
      <c r="P1716">
        <f>IF(E1716="",1,MAX(1,(YEAR(O1716)-YEAR(N1716))*12+MONTH(O1716)-MONTH(N1716)+1))</f>
        <v/>
      </c>
      <c r="Q1716">
        <f>IF(G1716="",0,G1716/P1716)</f>
        <v/>
      </c>
      <c r="R1716">
        <f>IF(H1716="",0,H1716/P1716)</f>
        <v/>
      </c>
    </row>
    <row r="1717">
      <c r="A1717" s="43" t="n"/>
      <c r="B1717" s="28" t="n"/>
      <c r="C1717" s="28" t="n"/>
      <c r="D1717" s="28" t="n"/>
      <c r="E1717" s="44" t="n"/>
      <c r="F1717" s="44" t="n"/>
      <c r="G1717" s="23" t="n"/>
      <c r="H1717" s="23" t="n"/>
      <c r="I1717" s="23" t="n"/>
      <c r="J1717" s="23" t="n"/>
      <c r="K1717" s="45">
        <f>IF(A1717="","",SUM(G$2:I1717)-SUM(J$2:J1717))</f>
        <v/>
      </c>
      <c r="L1717" s="46" t="n"/>
      <c r="M1717">
        <f>IF(A1717="","",IF(A1717=A1716,M1716,N(M1716)+1))</f>
        <v/>
      </c>
      <c r="N1717">
        <f>IF(E1717="",99999,E1717)</f>
        <v/>
      </c>
      <c r="O1717">
        <f>IF(E1717="",0,IF(F1717="",E1717,F1717))</f>
        <v/>
      </c>
      <c r="P1717">
        <f>IF(E1717="",1,MAX(1,(YEAR(O1717)-YEAR(N1717))*12+MONTH(O1717)-MONTH(N1717)+1))</f>
        <v/>
      </c>
      <c r="Q1717">
        <f>IF(G1717="",0,G1717/P1717)</f>
        <v/>
      </c>
      <c r="R1717">
        <f>IF(H1717="",0,H1717/P1717)</f>
        <v/>
      </c>
    </row>
    <row r="1718">
      <c r="A1718" s="43" t="n"/>
      <c r="B1718" s="28" t="n"/>
      <c r="C1718" s="28" t="n"/>
      <c r="D1718" s="28" t="n"/>
      <c r="E1718" s="44" t="n"/>
      <c r="F1718" s="44" t="n"/>
      <c r="G1718" s="23" t="n"/>
      <c r="H1718" s="23" t="n"/>
      <c r="I1718" s="23" t="n"/>
      <c r="J1718" s="23" t="n"/>
      <c r="K1718" s="45">
        <f>IF(A1718="","",SUM(G$2:I1718)-SUM(J$2:J1718))</f>
        <v/>
      </c>
      <c r="L1718" s="46" t="n"/>
      <c r="M1718">
        <f>IF(A1718="","",IF(A1718=A1717,M1717,N(M1717)+1))</f>
        <v/>
      </c>
      <c r="N1718">
        <f>IF(E1718="",99999,E1718)</f>
        <v/>
      </c>
      <c r="O1718">
        <f>IF(E1718="",0,IF(F1718="",E1718,F1718))</f>
        <v/>
      </c>
      <c r="P1718">
        <f>IF(E1718="",1,MAX(1,(YEAR(O1718)-YEAR(N1718))*12+MONTH(O1718)-MONTH(N1718)+1))</f>
        <v/>
      </c>
      <c r="Q1718">
        <f>IF(G1718="",0,G1718/P1718)</f>
        <v/>
      </c>
      <c r="R1718">
        <f>IF(H1718="",0,H1718/P1718)</f>
        <v/>
      </c>
    </row>
    <row r="1719">
      <c r="A1719" s="43" t="n"/>
      <c r="B1719" s="28" t="n"/>
      <c r="C1719" s="28" t="n"/>
      <c r="D1719" s="28" t="n"/>
      <c r="E1719" s="44" t="n"/>
      <c r="F1719" s="44" t="n"/>
      <c r="G1719" s="23" t="n"/>
      <c r="H1719" s="23" t="n"/>
      <c r="I1719" s="23" t="n"/>
      <c r="J1719" s="23" t="n"/>
      <c r="K1719" s="45">
        <f>IF(A1719="","",SUM(G$2:I1719)-SUM(J$2:J1719))</f>
        <v/>
      </c>
      <c r="L1719" s="46" t="n"/>
      <c r="M1719">
        <f>IF(A1719="","",IF(A1719=A1718,M1718,N(M1718)+1))</f>
        <v/>
      </c>
      <c r="N1719">
        <f>IF(E1719="",99999,E1719)</f>
        <v/>
      </c>
      <c r="O1719">
        <f>IF(E1719="",0,IF(F1719="",E1719,F1719))</f>
        <v/>
      </c>
      <c r="P1719">
        <f>IF(E1719="",1,MAX(1,(YEAR(O1719)-YEAR(N1719))*12+MONTH(O1719)-MONTH(N1719)+1))</f>
        <v/>
      </c>
      <c r="Q1719">
        <f>IF(G1719="",0,G1719/P1719)</f>
        <v/>
      </c>
      <c r="R1719">
        <f>IF(H1719="",0,H1719/P1719)</f>
        <v/>
      </c>
    </row>
    <row r="1720">
      <c r="A1720" s="43" t="n"/>
      <c r="B1720" s="28" t="n"/>
      <c r="C1720" s="28" t="n"/>
      <c r="D1720" s="28" t="n"/>
      <c r="E1720" s="44" t="n"/>
      <c r="F1720" s="44" t="n"/>
      <c r="G1720" s="23" t="n"/>
      <c r="H1720" s="23" t="n"/>
      <c r="I1720" s="23" t="n"/>
      <c r="J1720" s="23" t="n"/>
      <c r="K1720" s="45">
        <f>IF(A1720="","",SUM(G$2:I1720)-SUM(J$2:J1720))</f>
        <v/>
      </c>
      <c r="L1720" s="46" t="n"/>
      <c r="M1720">
        <f>IF(A1720="","",IF(A1720=A1719,M1719,N(M1719)+1))</f>
        <v/>
      </c>
      <c r="N1720">
        <f>IF(E1720="",99999,E1720)</f>
        <v/>
      </c>
      <c r="O1720">
        <f>IF(E1720="",0,IF(F1720="",E1720,F1720))</f>
        <v/>
      </c>
      <c r="P1720">
        <f>IF(E1720="",1,MAX(1,(YEAR(O1720)-YEAR(N1720))*12+MONTH(O1720)-MONTH(N1720)+1))</f>
        <v/>
      </c>
      <c r="Q1720">
        <f>IF(G1720="",0,G1720/P1720)</f>
        <v/>
      </c>
      <c r="R1720">
        <f>IF(H1720="",0,H1720/P1720)</f>
        <v/>
      </c>
    </row>
    <row r="1721">
      <c r="A1721" s="43" t="n"/>
      <c r="B1721" s="28" t="n"/>
      <c r="C1721" s="28" t="n"/>
      <c r="D1721" s="28" t="n"/>
      <c r="E1721" s="44" t="n"/>
      <c r="F1721" s="44" t="n"/>
      <c r="G1721" s="23" t="n"/>
      <c r="H1721" s="23" t="n"/>
      <c r="I1721" s="23" t="n"/>
      <c r="J1721" s="23" t="n"/>
      <c r="K1721" s="45">
        <f>IF(A1721="","",SUM(G$2:I1721)-SUM(J$2:J1721))</f>
        <v/>
      </c>
      <c r="L1721" s="46" t="n"/>
      <c r="M1721">
        <f>IF(A1721="","",IF(A1721=A1720,M1720,N(M1720)+1))</f>
        <v/>
      </c>
      <c r="N1721">
        <f>IF(E1721="",99999,E1721)</f>
        <v/>
      </c>
      <c r="O1721">
        <f>IF(E1721="",0,IF(F1721="",E1721,F1721))</f>
        <v/>
      </c>
      <c r="P1721">
        <f>IF(E1721="",1,MAX(1,(YEAR(O1721)-YEAR(N1721))*12+MONTH(O1721)-MONTH(N1721)+1))</f>
        <v/>
      </c>
      <c r="Q1721">
        <f>IF(G1721="",0,G1721/P1721)</f>
        <v/>
      </c>
      <c r="R1721">
        <f>IF(H1721="",0,H1721/P1721)</f>
        <v/>
      </c>
    </row>
    <row r="1722">
      <c r="A1722" s="43" t="n"/>
      <c r="B1722" s="28" t="n"/>
      <c r="C1722" s="28" t="n"/>
      <c r="D1722" s="28" t="n"/>
      <c r="E1722" s="44" t="n"/>
      <c r="F1722" s="44" t="n"/>
      <c r="G1722" s="23" t="n"/>
      <c r="H1722" s="23" t="n"/>
      <c r="I1722" s="23" t="n"/>
      <c r="J1722" s="23" t="n"/>
      <c r="K1722" s="45">
        <f>IF(A1722="","",SUM(G$2:I1722)-SUM(J$2:J1722))</f>
        <v/>
      </c>
      <c r="L1722" s="46" t="n"/>
      <c r="M1722">
        <f>IF(A1722="","",IF(A1722=A1721,M1721,N(M1721)+1))</f>
        <v/>
      </c>
      <c r="N1722">
        <f>IF(E1722="",99999,E1722)</f>
        <v/>
      </c>
      <c r="O1722">
        <f>IF(E1722="",0,IF(F1722="",E1722,F1722))</f>
        <v/>
      </c>
      <c r="P1722">
        <f>IF(E1722="",1,MAX(1,(YEAR(O1722)-YEAR(N1722))*12+MONTH(O1722)-MONTH(N1722)+1))</f>
        <v/>
      </c>
      <c r="Q1722">
        <f>IF(G1722="",0,G1722/P1722)</f>
        <v/>
      </c>
      <c r="R1722">
        <f>IF(H1722="",0,H1722/P1722)</f>
        <v/>
      </c>
    </row>
    <row r="1723">
      <c r="A1723" s="43" t="n"/>
      <c r="B1723" s="28" t="n"/>
      <c r="C1723" s="28" t="n"/>
      <c r="D1723" s="28" t="n"/>
      <c r="E1723" s="44" t="n"/>
      <c r="F1723" s="44" t="n"/>
      <c r="G1723" s="23" t="n"/>
      <c r="H1723" s="23" t="n"/>
      <c r="I1723" s="23" t="n"/>
      <c r="J1723" s="23" t="n"/>
      <c r="K1723" s="45">
        <f>IF(A1723="","",SUM(G$2:I1723)-SUM(J$2:J1723))</f>
        <v/>
      </c>
      <c r="L1723" s="46" t="n"/>
      <c r="M1723">
        <f>IF(A1723="","",IF(A1723=A1722,M1722,N(M1722)+1))</f>
        <v/>
      </c>
      <c r="N1723">
        <f>IF(E1723="",99999,E1723)</f>
        <v/>
      </c>
      <c r="O1723">
        <f>IF(E1723="",0,IF(F1723="",E1723,F1723))</f>
        <v/>
      </c>
      <c r="P1723">
        <f>IF(E1723="",1,MAX(1,(YEAR(O1723)-YEAR(N1723))*12+MONTH(O1723)-MONTH(N1723)+1))</f>
        <v/>
      </c>
      <c r="Q1723">
        <f>IF(G1723="",0,G1723/P1723)</f>
        <v/>
      </c>
      <c r="R1723">
        <f>IF(H1723="",0,H1723/P1723)</f>
        <v/>
      </c>
    </row>
    <row r="1724">
      <c r="A1724" s="43" t="n"/>
      <c r="B1724" s="28" t="n"/>
      <c r="C1724" s="28" t="n"/>
      <c r="D1724" s="28" t="n"/>
      <c r="E1724" s="44" t="n"/>
      <c r="F1724" s="44" t="n"/>
      <c r="G1724" s="23" t="n"/>
      <c r="H1724" s="23" t="n"/>
      <c r="I1724" s="23" t="n"/>
      <c r="J1724" s="23" t="n"/>
      <c r="K1724" s="45">
        <f>IF(A1724="","",SUM(G$2:I1724)-SUM(J$2:J1724))</f>
        <v/>
      </c>
      <c r="L1724" s="46" t="n"/>
      <c r="M1724">
        <f>IF(A1724="","",IF(A1724=A1723,M1723,N(M1723)+1))</f>
        <v/>
      </c>
      <c r="N1724">
        <f>IF(E1724="",99999,E1724)</f>
        <v/>
      </c>
      <c r="O1724">
        <f>IF(E1724="",0,IF(F1724="",E1724,F1724))</f>
        <v/>
      </c>
      <c r="P1724">
        <f>IF(E1724="",1,MAX(1,(YEAR(O1724)-YEAR(N1724))*12+MONTH(O1724)-MONTH(N1724)+1))</f>
        <v/>
      </c>
      <c r="Q1724">
        <f>IF(G1724="",0,G1724/P1724)</f>
        <v/>
      </c>
      <c r="R1724">
        <f>IF(H1724="",0,H1724/P1724)</f>
        <v/>
      </c>
    </row>
    <row r="1725">
      <c r="A1725" s="43" t="n"/>
      <c r="B1725" s="28" t="n"/>
      <c r="C1725" s="28" t="n"/>
      <c r="D1725" s="28" t="n"/>
      <c r="E1725" s="44" t="n"/>
      <c r="F1725" s="44" t="n"/>
      <c r="G1725" s="23" t="n"/>
      <c r="H1725" s="23" t="n"/>
      <c r="I1725" s="23" t="n"/>
      <c r="J1725" s="23" t="n"/>
      <c r="K1725" s="45">
        <f>IF(A1725="","",SUM(G$2:I1725)-SUM(J$2:J1725))</f>
        <v/>
      </c>
      <c r="L1725" s="46" t="n"/>
      <c r="M1725">
        <f>IF(A1725="","",IF(A1725=A1724,M1724,N(M1724)+1))</f>
        <v/>
      </c>
      <c r="N1725">
        <f>IF(E1725="",99999,E1725)</f>
        <v/>
      </c>
      <c r="O1725">
        <f>IF(E1725="",0,IF(F1725="",E1725,F1725))</f>
        <v/>
      </c>
      <c r="P1725">
        <f>IF(E1725="",1,MAX(1,(YEAR(O1725)-YEAR(N1725))*12+MONTH(O1725)-MONTH(N1725)+1))</f>
        <v/>
      </c>
      <c r="Q1725">
        <f>IF(G1725="",0,G1725/P1725)</f>
        <v/>
      </c>
      <c r="R1725">
        <f>IF(H1725="",0,H1725/P1725)</f>
        <v/>
      </c>
    </row>
    <row r="1726">
      <c r="A1726" s="43" t="n"/>
      <c r="B1726" s="28" t="n"/>
      <c r="C1726" s="28" t="n"/>
      <c r="D1726" s="28" t="n"/>
      <c r="E1726" s="44" t="n"/>
      <c r="F1726" s="44" t="n"/>
      <c r="G1726" s="23" t="n"/>
      <c r="H1726" s="23" t="n"/>
      <c r="I1726" s="23" t="n"/>
      <c r="J1726" s="23" t="n"/>
      <c r="K1726" s="45">
        <f>IF(A1726="","",SUM(G$2:I1726)-SUM(J$2:J1726))</f>
        <v/>
      </c>
      <c r="L1726" s="46" t="n"/>
      <c r="M1726">
        <f>IF(A1726="","",IF(A1726=A1725,M1725,N(M1725)+1))</f>
        <v/>
      </c>
      <c r="N1726">
        <f>IF(E1726="",99999,E1726)</f>
        <v/>
      </c>
      <c r="O1726">
        <f>IF(E1726="",0,IF(F1726="",E1726,F1726))</f>
        <v/>
      </c>
      <c r="P1726">
        <f>IF(E1726="",1,MAX(1,(YEAR(O1726)-YEAR(N1726))*12+MONTH(O1726)-MONTH(N1726)+1))</f>
        <v/>
      </c>
      <c r="Q1726">
        <f>IF(G1726="",0,G1726/P1726)</f>
        <v/>
      </c>
      <c r="R1726">
        <f>IF(H1726="",0,H1726/P1726)</f>
        <v/>
      </c>
    </row>
    <row r="1727">
      <c r="A1727" s="43" t="n"/>
      <c r="B1727" s="28" t="n"/>
      <c r="C1727" s="28" t="n"/>
      <c r="D1727" s="28" t="n"/>
      <c r="E1727" s="44" t="n"/>
      <c r="F1727" s="44" t="n"/>
      <c r="G1727" s="23" t="n"/>
      <c r="H1727" s="23" t="n"/>
      <c r="I1727" s="23" t="n"/>
      <c r="J1727" s="23" t="n"/>
      <c r="K1727" s="45">
        <f>IF(A1727="","",SUM(G$2:I1727)-SUM(J$2:J1727))</f>
        <v/>
      </c>
      <c r="L1727" s="46" t="n"/>
      <c r="M1727">
        <f>IF(A1727="","",IF(A1727=A1726,M1726,N(M1726)+1))</f>
        <v/>
      </c>
      <c r="N1727">
        <f>IF(E1727="",99999,E1727)</f>
        <v/>
      </c>
      <c r="O1727">
        <f>IF(E1727="",0,IF(F1727="",E1727,F1727))</f>
        <v/>
      </c>
      <c r="P1727">
        <f>IF(E1727="",1,MAX(1,(YEAR(O1727)-YEAR(N1727))*12+MONTH(O1727)-MONTH(N1727)+1))</f>
        <v/>
      </c>
      <c r="Q1727">
        <f>IF(G1727="",0,G1727/P1727)</f>
        <v/>
      </c>
      <c r="R1727">
        <f>IF(H1727="",0,H1727/P1727)</f>
        <v/>
      </c>
    </row>
    <row r="1728">
      <c r="A1728" s="43" t="n"/>
      <c r="B1728" s="28" t="n"/>
      <c r="C1728" s="28" t="n"/>
      <c r="D1728" s="28" t="n"/>
      <c r="E1728" s="44" t="n"/>
      <c r="F1728" s="44" t="n"/>
      <c r="G1728" s="23" t="n"/>
      <c r="H1728" s="23" t="n"/>
      <c r="I1728" s="23" t="n"/>
      <c r="J1728" s="23" t="n"/>
      <c r="K1728" s="45">
        <f>IF(A1728="","",SUM(G$2:I1728)-SUM(J$2:J1728))</f>
        <v/>
      </c>
      <c r="L1728" s="46" t="n"/>
      <c r="M1728">
        <f>IF(A1728="","",IF(A1728=A1727,M1727,N(M1727)+1))</f>
        <v/>
      </c>
      <c r="N1728">
        <f>IF(E1728="",99999,E1728)</f>
        <v/>
      </c>
      <c r="O1728">
        <f>IF(E1728="",0,IF(F1728="",E1728,F1728))</f>
        <v/>
      </c>
      <c r="P1728">
        <f>IF(E1728="",1,MAX(1,(YEAR(O1728)-YEAR(N1728))*12+MONTH(O1728)-MONTH(N1728)+1))</f>
        <v/>
      </c>
      <c r="Q1728">
        <f>IF(G1728="",0,G1728/P1728)</f>
        <v/>
      </c>
      <c r="R1728">
        <f>IF(H1728="",0,H1728/P1728)</f>
        <v/>
      </c>
    </row>
    <row r="1729">
      <c r="A1729" s="43" t="n"/>
      <c r="B1729" s="28" t="n"/>
      <c r="C1729" s="28" t="n"/>
      <c r="D1729" s="28" t="n"/>
      <c r="E1729" s="44" t="n"/>
      <c r="F1729" s="44" t="n"/>
      <c r="G1729" s="23" t="n"/>
      <c r="H1729" s="23" t="n"/>
      <c r="I1729" s="23" t="n"/>
      <c r="J1729" s="23" t="n"/>
      <c r="K1729" s="45">
        <f>IF(A1729="","",SUM(G$2:I1729)-SUM(J$2:J1729))</f>
        <v/>
      </c>
      <c r="L1729" s="46" t="n"/>
      <c r="M1729">
        <f>IF(A1729="","",IF(A1729=A1728,M1728,N(M1728)+1))</f>
        <v/>
      </c>
      <c r="N1729">
        <f>IF(E1729="",99999,E1729)</f>
        <v/>
      </c>
      <c r="O1729">
        <f>IF(E1729="",0,IF(F1729="",E1729,F1729))</f>
        <v/>
      </c>
      <c r="P1729">
        <f>IF(E1729="",1,MAX(1,(YEAR(O1729)-YEAR(N1729))*12+MONTH(O1729)-MONTH(N1729)+1))</f>
        <v/>
      </c>
      <c r="Q1729">
        <f>IF(G1729="",0,G1729/P1729)</f>
        <v/>
      </c>
      <c r="R1729">
        <f>IF(H1729="",0,H1729/P1729)</f>
        <v/>
      </c>
    </row>
    <row r="1730">
      <c r="A1730" s="43" t="n"/>
      <c r="B1730" s="28" t="n"/>
      <c r="C1730" s="28" t="n"/>
      <c r="D1730" s="28" t="n"/>
      <c r="E1730" s="44" t="n"/>
      <c r="F1730" s="44" t="n"/>
      <c r="G1730" s="23" t="n"/>
      <c r="H1730" s="23" t="n"/>
      <c r="I1730" s="23" t="n"/>
      <c r="J1730" s="23" t="n"/>
      <c r="K1730" s="45">
        <f>IF(A1730="","",SUM(G$2:I1730)-SUM(J$2:J1730))</f>
        <v/>
      </c>
      <c r="L1730" s="46" t="n"/>
      <c r="M1730">
        <f>IF(A1730="","",IF(A1730=A1729,M1729,N(M1729)+1))</f>
        <v/>
      </c>
      <c r="N1730">
        <f>IF(E1730="",99999,E1730)</f>
        <v/>
      </c>
      <c r="O1730">
        <f>IF(E1730="",0,IF(F1730="",E1730,F1730))</f>
        <v/>
      </c>
      <c r="P1730">
        <f>IF(E1730="",1,MAX(1,(YEAR(O1730)-YEAR(N1730))*12+MONTH(O1730)-MONTH(N1730)+1))</f>
        <v/>
      </c>
      <c r="Q1730">
        <f>IF(G1730="",0,G1730/P1730)</f>
        <v/>
      </c>
      <c r="R1730">
        <f>IF(H1730="",0,H1730/P1730)</f>
        <v/>
      </c>
    </row>
    <row r="1731">
      <c r="A1731" s="43" t="n"/>
      <c r="B1731" s="28" t="n"/>
      <c r="C1731" s="28" t="n"/>
      <c r="D1731" s="28" t="n"/>
      <c r="E1731" s="44" t="n"/>
      <c r="F1731" s="44" t="n"/>
      <c r="G1731" s="23" t="n"/>
      <c r="H1731" s="23" t="n"/>
      <c r="I1731" s="23" t="n"/>
      <c r="J1731" s="23" t="n"/>
      <c r="K1731" s="45">
        <f>IF(A1731="","",SUM(G$2:I1731)-SUM(J$2:J1731))</f>
        <v/>
      </c>
      <c r="L1731" s="46" t="n"/>
      <c r="M1731">
        <f>IF(A1731="","",IF(A1731=A1730,M1730,N(M1730)+1))</f>
        <v/>
      </c>
      <c r="N1731">
        <f>IF(E1731="",99999,E1731)</f>
        <v/>
      </c>
      <c r="O1731">
        <f>IF(E1731="",0,IF(F1731="",E1731,F1731))</f>
        <v/>
      </c>
      <c r="P1731">
        <f>IF(E1731="",1,MAX(1,(YEAR(O1731)-YEAR(N1731))*12+MONTH(O1731)-MONTH(N1731)+1))</f>
        <v/>
      </c>
      <c r="Q1731">
        <f>IF(G1731="",0,G1731/P1731)</f>
        <v/>
      </c>
      <c r="R1731">
        <f>IF(H1731="",0,H1731/P1731)</f>
        <v/>
      </c>
    </row>
    <row r="1732">
      <c r="A1732" s="43" t="n"/>
      <c r="B1732" s="28" t="n"/>
      <c r="C1732" s="28" t="n"/>
      <c r="D1732" s="28" t="n"/>
      <c r="E1732" s="44" t="n"/>
      <c r="F1732" s="44" t="n"/>
      <c r="G1732" s="23" t="n"/>
      <c r="H1732" s="23" t="n"/>
      <c r="I1732" s="23" t="n"/>
      <c r="J1732" s="23" t="n"/>
      <c r="K1732" s="45">
        <f>IF(A1732="","",SUM(G$2:I1732)-SUM(J$2:J1732))</f>
        <v/>
      </c>
      <c r="L1732" s="46" t="n"/>
      <c r="M1732">
        <f>IF(A1732="","",IF(A1732=A1731,M1731,N(M1731)+1))</f>
        <v/>
      </c>
      <c r="N1732">
        <f>IF(E1732="",99999,E1732)</f>
        <v/>
      </c>
      <c r="O1732">
        <f>IF(E1732="",0,IF(F1732="",E1732,F1732))</f>
        <v/>
      </c>
      <c r="P1732">
        <f>IF(E1732="",1,MAX(1,(YEAR(O1732)-YEAR(N1732))*12+MONTH(O1732)-MONTH(N1732)+1))</f>
        <v/>
      </c>
      <c r="Q1732">
        <f>IF(G1732="",0,G1732/P1732)</f>
        <v/>
      </c>
      <c r="R1732">
        <f>IF(H1732="",0,H1732/P1732)</f>
        <v/>
      </c>
    </row>
    <row r="1733">
      <c r="A1733" s="43" t="n"/>
      <c r="B1733" s="28" t="n"/>
      <c r="C1733" s="28" t="n"/>
      <c r="D1733" s="28" t="n"/>
      <c r="E1733" s="44" t="n"/>
      <c r="F1733" s="44" t="n"/>
      <c r="G1733" s="23" t="n"/>
      <c r="H1733" s="23" t="n"/>
      <c r="I1733" s="23" t="n"/>
      <c r="J1733" s="23" t="n"/>
      <c r="K1733" s="45">
        <f>IF(A1733="","",SUM(G$2:I1733)-SUM(J$2:J1733))</f>
        <v/>
      </c>
      <c r="L1733" s="46" t="n"/>
      <c r="M1733">
        <f>IF(A1733="","",IF(A1733=A1732,M1732,N(M1732)+1))</f>
        <v/>
      </c>
      <c r="N1733">
        <f>IF(E1733="",99999,E1733)</f>
        <v/>
      </c>
      <c r="O1733">
        <f>IF(E1733="",0,IF(F1733="",E1733,F1733))</f>
        <v/>
      </c>
      <c r="P1733">
        <f>IF(E1733="",1,MAX(1,(YEAR(O1733)-YEAR(N1733))*12+MONTH(O1733)-MONTH(N1733)+1))</f>
        <v/>
      </c>
      <c r="Q1733">
        <f>IF(G1733="",0,G1733/P1733)</f>
        <v/>
      </c>
      <c r="R1733">
        <f>IF(H1733="",0,H1733/P1733)</f>
        <v/>
      </c>
    </row>
    <row r="1734">
      <c r="A1734" s="43" t="n"/>
      <c r="B1734" s="28" t="n"/>
      <c r="C1734" s="28" t="n"/>
      <c r="D1734" s="28" t="n"/>
      <c r="E1734" s="44" t="n"/>
      <c r="F1734" s="44" t="n"/>
      <c r="G1734" s="23" t="n"/>
      <c r="H1734" s="23" t="n"/>
      <c r="I1734" s="23" t="n"/>
      <c r="J1734" s="23" t="n"/>
      <c r="K1734" s="45">
        <f>IF(A1734="","",SUM(G$2:I1734)-SUM(J$2:J1734))</f>
        <v/>
      </c>
      <c r="L1734" s="46" t="n"/>
      <c r="M1734">
        <f>IF(A1734="","",IF(A1734=A1733,M1733,N(M1733)+1))</f>
        <v/>
      </c>
      <c r="N1734">
        <f>IF(E1734="",99999,E1734)</f>
        <v/>
      </c>
      <c r="O1734">
        <f>IF(E1734="",0,IF(F1734="",E1734,F1734))</f>
        <v/>
      </c>
      <c r="P1734">
        <f>IF(E1734="",1,MAX(1,(YEAR(O1734)-YEAR(N1734))*12+MONTH(O1734)-MONTH(N1734)+1))</f>
        <v/>
      </c>
      <c r="Q1734">
        <f>IF(G1734="",0,G1734/P1734)</f>
        <v/>
      </c>
      <c r="R1734">
        <f>IF(H1734="",0,H1734/P1734)</f>
        <v/>
      </c>
    </row>
    <row r="1735">
      <c r="A1735" s="43" t="n"/>
      <c r="B1735" s="28" t="n"/>
      <c r="C1735" s="28" t="n"/>
      <c r="D1735" s="28" t="n"/>
      <c r="E1735" s="44" t="n"/>
      <c r="F1735" s="44" t="n"/>
      <c r="G1735" s="23" t="n"/>
      <c r="H1735" s="23" t="n"/>
      <c r="I1735" s="23" t="n"/>
      <c r="J1735" s="23" t="n"/>
      <c r="K1735" s="45">
        <f>IF(A1735="","",SUM(G$2:I1735)-SUM(J$2:J1735))</f>
        <v/>
      </c>
      <c r="L1735" s="46" t="n"/>
      <c r="M1735">
        <f>IF(A1735="","",IF(A1735=A1734,M1734,N(M1734)+1))</f>
        <v/>
      </c>
      <c r="N1735">
        <f>IF(E1735="",99999,E1735)</f>
        <v/>
      </c>
      <c r="O1735">
        <f>IF(E1735="",0,IF(F1735="",E1735,F1735))</f>
        <v/>
      </c>
      <c r="P1735">
        <f>IF(E1735="",1,MAX(1,(YEAR(O1735)-YEAR(N1735))*12+MONTH(O1735)-MONTH(N1735)+1))</f>
        <v/>
      </c>
      <c r="Q1735">
        <f>IF(G1735="",0,G1735/P1735)</f>
        <v/>
      </c>
      <c r="R1735">
        <f>IF(H1735="",0,H1735/P1735)</f>
        <v/>
      </c>
    </row>
    <row r="1736">
      <c r="A1736" s="43" t="n"/>
      <c r="B1736" s="28" t="n"/>
      <c r="C1736" s="28" t="n"/>
      <c r="D1736" s="28" t="n"/>
      <c r="E1736" s="44" t="n"/>
      <c r="F1736" s="44" t="n"/>
      <c r="G1736" s="23" t="n"/>
      <c r="H1736" s="23" t="n"/>
      <c r="I1736" s="23" t="n"/>
      <c r="J1736" s="23" t="n"/>
      <c r="K1736" s="45">
        <f>IF(A1736="","",SUM(G$2:I1736)-SUM(J$2:J1736))</f>
        <v/>
      </c>
      <c r="L1736" s="46" t="n"/>
      <c r="M1736">
        <f>IF(A1736="","",IF(A1736=A1735,M1735,N(M1735)+1))</f>
        <v/>
      </c>
      <c r="N1736">
        <f>IF(E1736="",99999,E1736)</f>
        <v/>
      </c>
      <c r="O1736">
        <f>IF(E1736="",0,IF(F1736="",E1736,F1736))</f>
        <v/>
      </c>
      <c r="P1736">
        <f>IF(E1736="",1,MAX(1,(YEAR(O1736)-YEAR(N1736))*12+MONTH(O1736)-MONTH(N1736)+1))</f>
        <v/>
      </c>
      <c r="Q1736">
        <f>IF(G1736="",0,G1736/P1736)</f>
        <v/>
      </c>
      <c r="R1736">
        <f>IF(H1736="",0,H1736/P1736)</f>
        <v/>
      </c>
    </row>
    <row r="1737">
      <c r="A1737" s="43" t="n"/>
      <c r="B1737" s="28" t="n"/>
      <c r="C1737" s="28" t="n"/>
      <c r="D1737" s="28" t="n"/>
      <c r="E1737" s="44" t="n"/>
      <c r="F1737" s="44" t="n"/>
      <c r="G1737" s="23" t="n"/>
      <c r="H1737" s="23" t="n"/>
      <c r="I1737" s="23" t="n"/>
      <c r="J1737" s="23" t="n"/>
      <c r="K1737" s="45">
        <f>IF(A1737="","",SUM(G$2:I1737)-SUM(J$2:J1737))</f>
        <v/>
      </c>
      <c r="L1737" s="46" t="n"/>
      <c r="M1737">
        <f>IF(A1737="","",IF(A1737=A1736,M1736,N(M1736)+1))</f>
        <v/>
      </c>
      <c r="N1737">
        <f>IF(E1737="",99999,E1737)</f>
        <v/>
      </c>
      <c r="O1737">
        <f>IF(E1737="",0,IF(F1737="",E1737,F1737))</f>
        <v/>
      </c>
      <c r="P1737">
        <f>IF(E1737="",1,MAX(1,(YEAR(O1737)-YEAR(N1737))*12+MONTH(O1737)-MONTH(N1737)+1))</f>
        <v/>
      </c>
      <c r="Q1737">
        <f>IF(G1737="",0,G1737/P1737)</f>
        <v/>
      </c>
      <c r="R1737">
        <f>IF(H1737="",0,H1737/P1737)</f>
        <v/>
      </c>
    </row>
    <row r="1738">
      <c r="A1738" s="43" t="n"/>
      <c r="B1738" s="28" t="n"/>
      <c r="C1738" s="28" t="n"/>
      <c r="D1738" s="28" t="n"/>
      <c r="E1738" s="44" t="n"/>
      <c r="F1738" s="44" t="n"/>
      <c r="G1738" s="23" t="n"/>
      <c r="H1738" s="23" t="n"/>
      <c r="I1738" s="23" t="n"/>
      <c r="J1738" s="23" t="n"/>
      <c r="K1738" s="45">
        <f>IF(A1738="","",SUM(G$2:I1738)-SUM(J$2:J1738))</f>
        <v/>
      </c>
      <c r="L1738" s="46" t="n"/>
      <c r="M1738">
        <f>IF(A1738="","",IF(A1738=A1737,M1737,N(M1737)+1))</f>
        <v/>
      </c>
      <c r="N1738">
        <f>IF(E1738="",99999,E1738)</f>
        <v/>
      </c>
      <c r="O1738">
        <f>IF(E1738="",0,IF(F1738="",E1738,F1738))</f>
        <v/>
      </c>
      <c r="P1738">
        <f>IF(E1738="",1,MAX(1,(YEAR(O1738)-YEAR(N1738))*12+MONTH(O1738)-MONTH(N1738)+1))</f>
        <v/>
      </c>
      <c r="Q1738">
        <f>IF(G1738="",0,G1738/P1738)</f>
        <v/>
      </c>
      <c r="R1738">
        <f>IF(H1738="",0,H1738/P1738)</f>
        <v/>
      </c>
    </row>
    <row r="1739">
      <c r="A1739" s="43" t="n"/>
      <c r="B1739" s="28" t="n"/>
      <c r="C1739" s="28" t="n"/>
      <c r="D1739" s="28" t="n"/>
      <c r="E1739" s="44" t="n"/>
      <c r="F1739" s="44" t="n"/>
      <c r="G1739" s="23" t="n"/>
      <c r="H1739" s="23" t="n"/>
      <c r="I1739" s="23" t="n"/>
      <c r="J1739" s="23" t="n"/>
      <c r="K1739" s="45">
        <f>IF(A1739="","",SUM(G$2:I1739)-SUM(J$2:J1739))</f>
        <v/>
      </c>
      <c r="L1739" s="46" t="n"/>
      <c r="M1739">
        <f>IF(A1739="","",IF(A1739=A1738,M1738,N(M1738)+1))</f>
        <v/>
      </c>
      <c r="N1739">
        <f>IF(E1739="",99999,E1739)</f>
        <v/>
      </c>
      <c r="O1739">
        <f>IF(E1739="",0,IF(F1739="",E1739,F1739))</f>
        <v/>
      </c>
      <c r="P1739">
        <f>IF(E1739="",1,MAX(1,(YEAR(O1739)-YEAR(N1739))*12+MONTH(O1739)-MONTH(N1739)+1))</f>
        <v/>
      </c>
      <c r="Q1739">
        <f>IF(G1739="",0,G1739/P1739)</f>
        <v/>
      </c>
      <c r="R1739">
        <f>IF(H1739="",0,H1739/P1739)</f>
        <v/>
      </c>
    </row>
    <row r="1740">
      <c r="A1740" s="43" t="n"/>
      <c r="B1740" s="28" t="n"/>
      <c r="C1740" s="28" t="n"/>
      <c r="D1740" s="28" t="n"/>
      <c r="E1740" s="44" t="n"/>
      <c r="F1740" s="44" t="n"/>
      <c r="G1740" s="23" t="n"/>
      <c r="H1740" s="23" t="n"/>
      <c r="I1740" s="23" t="n"/>
      <c r="J1740" s="23" t="n"/>
      <c r="K1740" s="45">
        <f>IF(A1740="","",SUM(G$2:I1740)-SUM(J$2:J1740))</f>
        <v/>
      </c>
      <c r="L1740" s="46" t="n"/>
      <c r="M1740">
        <f>IF(A1740="","",IF(A1740=A1739,M1739,N(M1739)+1))</f>
        <v/>
      </c>
      <c r="N1740">
        <f>IF(E1740="",99999,E1740)</f>
        <v/>
      </c>
      <c r="O1740">
        <f>IF(E1740="",0,IF(F1740="",E1740,F1740))</f>
        <v/>
      </c>
      <c r="P1740">
        <f>IF(E1740="",1,MAX(1,(YEAR(O1740)-YEAR(N1740))*12+MONTH(O1740)-MONTH(N1740)+1))</f>
        <v/>
      </c>
      <c r="Q1740">
        <f>IF(G1740="",0,G1740/P1740)</f>
        <v/>
      </c>
      <c r="R1740">
        <f>IF(H1740="",0,H1740/P1740)</f>
        <v/>
      </c>
    </row>
    <row r="1741">
      <c r="A1741" s="43" t="n"/>
      <c r="B1741" s="28" t="n"/>
      <c r="C1741" s="28" t="n"/>
      <c r="D1741" s="28" t="n"/>
      <c r="E1741" s="44" t="n"/>
      <c r="F1741" s="44" t="n"/>
      <c r="G1741" s="23" t="n"/>
      <c r="H1741" s="23" t="n"/>
      <c r="I1741" s="23" t="n"/>
      <c r="J1741" s="23" t="n"/>
      <c r="K1741" s="45">
        <f>IF(A1741="","",SUM(G$2:I1741)-SUM(J$2:J1741))</f>
        <v/>
      </c>
      <c r="L1741" s="46" t="n"/>
      <c r="M1741">
        <f>IF(A1741="","",IF(A1741=A1740,M1740,N(M1740)+1))</f>
        <v/>
      </c>
      <c r="N1741">
        <f>IF(E1741="",99999,E1741)</f>
        <v/>
      </c>
      <c r="O1741">
        <f>IF(E1741="",0,IF(F1741="",E1741,F1741))</f>
        <v/>
      </c>
      <c r="P1741">
        <f>IF(E1741="",1,MAX(1,(YEAR(O1741)-YEAR(N1741))*12+MONTH(O1741)-MONTH(N1741)+1))</f>
        <v/>
      </c>
      <c r="Q1741">
        <f>IF(G1741="",0,G1741/P1741)</f>
        <v/>
      </c>
      <c r="R1741">
        <f>IF(H1741="",0,H1741/P1741)</f>
        <v/>
      </c>
    </row>
    <row r="1742">
      <c r="A1742" s="43" t="n"/>
      <c r="B1742" s="28" t="n"/>
      <c r="C1742" s="28" t="n"/>
      <c r="D1742" s="28" t="n"/>
      <c r="E1742" s="44" t="n"/>
      <c r="F1742" s="44" t="n"/>
      <c r="G1742" s="23" t="n"/>
      <c r="H1742" s="23" t="n"/>
      <c r="I1742" s="23" t="n"/>
      <c r="J1742" s="23" t="n"/>
      <c r="K1742" s="45">
        <f>IF(A1742="","",SUM(G$2:I1742)-SUM(J$2:J1742))</f>
        <v/>
      </c>
      <c r="L1742" s="46" t="n"/>
      <c r="M1742">
        <f>IF(A1742="","",IF(A1742=A1741,M1741,N(M1741)+1))</f>
        <v/>
      </c>
      <c r="N1742">
        <f>IF(E1742="",99999,E1742)</f>
        <v/>
      </c>
      <c r="O1742">
        <f>IF(E1742="",0,IF(F1742="",E1742,F1742))</f>
        <v/>
      </c>
      <c r="P1742">
        <f>IF(E1742="",1,MAX(1,(YEAR(O1742)-YEAR(N1742))*12+MONTH(O1742)-MONTH(N1742)+1))</f>
        <v/>
      </c>
      <c r="Q1742">
        <f>IF(G1742="",0,G1742/P1742)</f>
        <v/>
      </c>
      <c r="R1742">
        <f>IF(H1742="",0,H1742/P1742)</f>
        <v/>
      </c>
    </row>
    <row r="1743">
      <c r="A1743" s="43" t="n"/>
      <c r="B1743" s="28" t="n"/>
      <c r="C1743" s="28" t="n"/>
      <c r="D1743" s="28" t="n"/>
      <c r="E1743" s="44" t="n"/>
      <c r="F1743" s="44" t="n"/>
      <c r="G1743" s="23" t="n"/>
      <c r="H1743" s="23" t="n"/>
      <c r="I1743" s="23" t="n"/>
      <c r="J1743" s="23" t="n"/>
      <c r="K1743" s="45">
        <f>IF(A1743="","",SUM(G$2:I1743)-SUM(J$2:J1743))</f>
        <v/>
      </c>
      <c r="L1743" s="46" t="n"/>
      <c r="M1743">
        <f>IF(A1743="","",IF(A1743=A1742,M1742,N(M1742)+1))</f>
        <v/>
      </c>
      <c r="N1743">
        <f>IF(E1743="",99999,E1743)</f>
        <v/>
      </c>
      <c r="O1743">
        <f>IF(E1743="",0,IF(F1743="",E1743,F1743))</f>
        <v/>
      </c>
      <c r="P1743">
        <f>IF(E1743="",1,MAX(1,(YEAR(O1743)-YEAR(N1743))*12+MONTH(O1743)-MONTH(N1743)+1))</f>
        <v/>
      </c>
      <c r="Q1743">
        <f>IF(G1743="",0,G1743/P1743)</f>
        <v/>
      </c>
      <c r="R1743">
        <f>IF(H1743="",0,H1743/P1743)</f>
        <v/>
      </c>
    </row>
    <row r="1744">
      <c r="A1744" s="43" t="n"/>
      <c r="B1744" s="28" t="n"/>
      <c r="C1744" s="28" t="n"/>
      <c r="D1744" s="28" t="n"/>
      <c r="E1744" s="44" t="n"/>
      <c r="F1744" s="44" t="n"/>
      <c r="G1744" s="23" t="n"/>
      <c r="H1744" s="23" t="n"/>
      <c r="I1744" s="23" t="n"/>
      <c r="J1744" s="23" t="n"/>
      <c r="K1744" s="45">
        <f>IF(A1744="","",SUM(G$2:I1744)-SUM(J$2:J1744))</f>
        <v/>
      </c>
      <c r="L1744" s="46" t="n"/>
      <c r="M1744">
        <f>IF(A1744="","",IF(A1744=A1743,M1743,N(M1743)+1))</f>
        <v/>
      </c>
      <c r="N1744">
        <f>IF(E1744="",99999,E1744)</f>
        <v/>
      </c>
      <c r="O1744">
        <f>IF(E1744="",0,IF(F1744="",E1744,F1744))</f>
        <v/>
      </c>
      <c r="P1744">
        <f>IF(E1744="",1,MAX(1,(YEAR(O1744)-YEAR(N1744))*12+MONTH(O1744)-MONTH(N1744)+1))</f>
        <v/>
      </c>
      <c r="Q1744">
        <f>IF(G1744="",0,G1744/P1744)</f>
        <v/>
      </c>
      <c r="R1744">
        <f>IF(H1744="",0,H1744/P1744)</f>
        <v/>
      </c>
    </row>
    <row r="1745">
      <c r="A1745" s="43" t="n"/>
      <c r="B1745" s="28" t="n"/>
      <c r="C1745" s="28" t="n"/>
      <c r="D1745" s="28" t="n"/>
      <c r="E1745" s="44" t="n"/>
      <c r="F1745" s="44" t="n"/>
      <c r="G1745" s="23" t="n"/>
      <c r="H1745" s="23" t="n"/>
      <c r="I1745" s="23" t="n"/>
      <c r="J1745" s="23" t="n"/>
      <c r="K1745" s="45">
        <f>IF(A1745="","",SUM(G$2:I1745)-SUM(J$2:J1745))</f>
        <v/>
      </c>
      <c r="L1745" s="46" t="n"/>
      <c r="M1745">
        <f>IF(A1745="","",IF(A1745=A1744,M1744,N(M1744)+1))</f>
        <v/>
      </c>
      <c r="N1745">
        <f>IF(E1745="",99999,E1745)</f>
        <v/>
      </c>
      <c r="O1745">
        <f>IF(E1745="",0,IF(F1745="",E1745,F1745))</f>
        <v/>
      </c>
      <c r="P1745">
        <f>IF(E1745="",1,MAX(1,(YEAR(O1745)-YEAR(N1745))*12+MONTH(O1745)-MONTH(N1745)+1))</f>
        <v/>
      </c>
      <c r="Q1745">
        <f>IF(G1745="",0,G1745/P1745)</f>
        <v/>
      </c>
      <c r="R1745">
        <f>IF(H1745="",0,H1745/P1745)</f>
        <v/>
      </c>
    </row>
    <row r="1746">
      <c r="A1746" s="43" t="n"/>
      <c r="B1746" s="28" t="n"/>
      <c r="C1746" s="28" t="n"/>
      <c r="D1746" s="28" t="n"/>
      <c r="E1746" s="44" t="n"/>
      <c r="F1746" s="44" t="n"/>
      <c r="G1746" s="23" t="n"/>
      <c r="H1746" s="23" t="n"/>
      <c r="I1746" s="23" t="n"/>
      <c r="J1746" s="23" t="n"/>
      <c r="K1746" s="45">
        <f>IF(A1746="","",SUM(G$2:I1746)-SUM(J$2:J1746))</f>
        <v/>
      </c>
      <c r="L1746" s="46" t="n"/>
      <c r="M1746">
        <f>IF(A1746="","",IF(A1746=A1745,M1745,N(M1745)+1))</f>
        <v/>
      </c>
      <c r="N1746">
        <f>IF(E1746="",99999,E1746)</f>
        <v/>
      </c>
      <c r="O1746">
        <f>IF(E1746="",0,IF(F1746="",E1746,F1746))</f>
        <v/>
      </c>
      <c r="P1746">
        <f>IF(E1746="",1,MAX(1,(YEAR(O1746)-YEAR(N1746))*12+MONTH(O1746)-MONTH(N1746)+1))</f>
        <v/>
      </c>
      <c r="Q1746">
        <f>IF(G1746="",0,G1746/P1746)</f>
        <v/>
      </c>
      <c r="R1746">
        <f>IF(H1746="",0,H1746/P1746)</f>
        <v/>
      </c>
    </row>
    <row r="1747">
      <c r="A1747" s="43" t="n"/>
      <c r="B1747" s="28" t="n"/>
      <c r="C1747" s="28" t="n"/>
      <c r="D1747" s="28" t="n"/>
      <c r="E1747" s="44" t="n"/>
      <c r="F1747" s="44" t="n"/>
      <c r="G1747" s="23" t="n"/>
      <c r="H1747" s="23" t="n"/>
      <c r="I1747" s="23" t="n"/>
      <c r="J1747" s="23" t="n"/>
      <c r="K1747" s="45">
        <f>IF(A1747="","",SUM(G$2:I1747)-SUM(J$2:J1747))</f>
        <v/>
      </c>
      <c r="L1747" s="46" t="n"/>
      <c r="M1747">
        <f>IF(A1747="","",IF(A1747=A1746,M1746,N(M1746)+1))</f>
        <v/>
      </c>
      <c r="N1747">
        <f>IF(E1747="",99999,E1747)</f>
        <v/>
      </c>
      <c r="O1747">
        <f>IF(E1747="",0,IF(F1747="",E1747,F1747))</f>
        <v/>
      </c>
      <c r="P1747">
        <f>IF(E1747="",1,MAX(1,(YEAR(O1747)-YEAR(N1747))*12+MONTH(O1747)-MONTH(N1747)+1))</f>
        <v/>
      </c>
      <c r="Q1747">
        <f>IF(G1747="",0,G1747/P1747)</f>
        <v/>
      </c>
      <c r="R1747">
        <f>IF(H1747="",0,H1747/P1747)</f>
        <v/>
      </c>
    </row>
    <row r="1748">
      <c r="A1748" s="43" t="n"/>
      <c r="B1748" s="28" t="n"/>
      <c r="C1748" s="28" t="n"/>
      <c r="D1748" s="28" t="n"/>
      <c r="E1748" s="44" t="n"/>
      <c r="F1748" s="44" t="n"/>
      <c r="G1748" s="23" t="n"/>
      <c r="H1748" s="23" t="n"/>
      <c r="I1748" s="23" t="n"/>
      <c r="J1748" s="23" t="n"/>
      <c r="K1748" s="45">
        <f>IF(A1748="","",SUM(G$2:I1748)-SUM(J$2:J1748))</f>
        <v/>
      </c>
      <c r="L1748" s="46" t="n"/>
      <c r="M1748">
        <f>IF(A1748="","",IF(A1748=A1747,M1747,N(M1747)+1))</f>
        <v/>
      </c>
      <c r="N1748">
        <f>IF(E1748="",99999,E1748)</f>
        <v/>
      </c>
      <c r="O1748">
        <f>IF(E1748="",0,IF(F1748="",E1748,F1748))</f>
        <v/>
      </c>
      <c r="P1748">
        <f>IF(E1748="",1,MAX(1,(YEAR(O1748)-YEAR(N1748))*12+MONTH(O1748)-MONTH(N1748)+1))</f>
        <v/>
      </c>
      <c r="Q1748">
        <f>IF(G1748="",0,G1748/P1748)</f>
        <v/>
      </c>
      <c r="R1748">
        <f>IF(H1748="",0,H1748/P1748)</f>
        <v/>
      </c>
    </row>
    <row r="1749">
      <c r="A1749" s="43" t="n"/>
      <c r="B1749" s="28" t="n"/>
      <c r="C1749" s="28" t="n"/>
      <c r="D1749" s="28" t="n"/>
      <c r="E1749" s="44" t="n"/>
      <c r="F1749" s="44" t="n"/>
      <c r="G1749" s="23" t="n"/>
      <c r="H1749" s="23" t="n"/>
      <c r="I1749" s="23" t="n"/>
      <c r="J1749" s="23" t="n"/>
      <c r="K1749" s="45">
        <f>IF(A1749="","",SUM(G$2:I1749)-SUM(J$2:J1749))</f>
        <v/>
      </c>
      <c r="L1749" s="46" t="n"/>
      <c r="M1749">
        <f>IF(A1749="","",IF(A1749=A1748,M1748,N(M1748)+1))</f>
        <v/>
      </c>
      <c r="N1749">
        <f>IF(E1749="",99999,E1749)</f>
        <v/>
      </c>
      <c r="O1749">
        <f>IF(E1749="",0,IF(F1749="",E1749,F1749))</f>
        <v/>
      </c>
      <c r="P1749">
        <f>IF(E1749="",1,MAX(1,(YEAR(O1749)-YEAR(N1749))*12+MONTH(O1749)-MONTH(N1749)+1))</f>
        <v/>
      </c>
      <c r="Q1749">
        <f>IF(G1749="",0,G1749/P1749)</f>
        <v/>
      </c>
      <c r="R1749">
        <f>IF(H1749="",0,H1749/P1749)</f>
        <v/>
      </c>
    </row>
    <row r="1750">
      <c r="A1750" s="43" t="n"/>
      <c r="B1750" s="28" t="n"/>
      <c r="C1750" s="28" t="n"/>
      <c r="D1750" s="28" t="n"/>
      <c r="E1750" s="44" t="n"/>
      <c r="F1750" s="44" t="n"/>
      <c r="G1750" s="23" t="n"/>
      <c r="H1750" s="23" t="n"/>
      <c r="I1750" s="23" t="n"/>
      <c r="J1750" s="23" t="n"/>
      <c r="K1750" s="45">
        <f>IF(A1750="","",SUM(G$2:I1750)-SUM(J$2:J1750))</f>
        <v/>
      </c>
      <c r="L1750" s="46" t="n"/>
      <c r="M1750">
        <f>IF(A1750="","",IF(A1750=A1749,M1749,N(M1749)+1))</f>
        <v/>
      </c>
      <c r="N1750">
        <f>IF(E1750="",99999,E1750)</f>
        <v/>
      </c>
      <c r="O1750">
        <f>IF(E1750="",0,IF(F1750="",E1750,F1750))</f>
        <v/>
      </c>
      <c r="P1750">
        <f>IF(E1750="",1,MAX(1,(YEAR(O1750)-YEAR(N1750))*12+MONTH(O1750)-MONTH(N1750)+1))</f>
        <v/>
      </c>
      <c r="Q1750">
        <f>IF(G1750="",0,G1750/P1750)</f>
        <v/>
      </c>
      <c r="R1750">
        <f>IF(H1750="",0,H1750/P1750)</f>
        <v/>
      </c>
    </row>
    <row r="1751">
      <c r="A1751" s="43" t="n"/>
      <c r="B1751" s="28" t="n"/>
      <c r="C1751" s="28" t="n"/>
      <c r="D1751" s="28" t="n"/>
      <c r="E1751" s="44" t="n"/>
      <c r="F1751" s="44" t="n"/>
      <c r="G1751" s="23" t="n"/>
      <c r="H1751" s="23" t="n"/>
      <c r="I1751" s="23" t="n"/>
      <c r="J1751" s="23" t="n"/>
      <c r="K1751" s="45">
        <f>IF(A1751="","",SUM(G$2:I1751)-SUM(J$2:J1751))</f>
        <v/>
      </c>
      <c r="L1751" s="46" t="n"/>
      <c r="M1751">
        <f>IF(A1751="","",IF(A1751=A1750,M1750,N(M1750)+1))</f>
        <v/>
      </c>
      <c r="N1751">
        <f>IF(E1751="",99999,E1751)</f>
        <v/>
      </c>
      <c r="O1751">
        <f>IF(E1751="",0,IF(F1751="",E1751,F1751))</f>
        <v/>
      </c>
      <c r="P1751">
        <f>IF(E1751="",1,MAX(1,(YEAR(O1751)-YEAR(N1751))*12+MONTH(O1751)-MONTH(N1751)+1))</f>
        <v/>
      </c>
      <c r="Q1751">
        <f>IF(G1751="",0,G1751/P1751)</f>
        <v/>
      </c>
      <c r="R1751">
        <f>IF(H1751="",0,H1751/P1751)</f>
        <v/>
      </c>
    </row>
    <row r="1752">
      <c r="A1752" s="43" t="n"/>
      <c r="B1752" s="28" t="n"/>
      <c r="C1752" s="28" t="n"/>
      <c r="D1752" s="28" t="n"/>
      <c r="E1752" s="44" t="n"/>
      <c r="F1752" s="44" t="n"/>
      <c r="G1752" s="23" t="n"/>
      <c r="H1752" s="23" t="n"/>
      <c r="I1752" s="23" t="n"/>
      <c r="J1752" s="23" t="n"/>
      <c r="K1752" s="45">
        <f>IF(A1752="","",SUM(G$2:I1752)-SUM(J$2:J1752))</f>
        <v/>
      </c>
      <c r="L1752" s="46" t="n"/>
      <c r="M1752">
        <f>IF(A1752="","",IF(A1752=A1751,M1751,N(M1751)+1))</f>
        <v/>
      </c>
      <c r="N1752">
        <f>IF(E1752="",99999,E1752)</f>
        <v/>
      </c>
      <c r="O1752">
        <f>IF(E1752="",0,IF(F1752="",E1752,F1752))</f>
        <v/>
      </c>
      <c r="P1752">
        <f>IF(E1752="",1,MAX(1,(YEAR(O1752)-YEAR(N1752))*12+MONTH(O1752)-MONTH(N1752)+1))</f>
        <v/>
      </c>
      <c r="Q1752">
        <f>IF(G1752="",0,G1752/P1752)</f>
        <v/>
      </c>
      <c r="R1752">
        <f>IF(H1752="",0,H1752/P1752)</f>
        <v/>
      </c>
    </row>
    <row r="1753">
      <c r="A1753" s="43" t="n"/>
      <c r="B1753" s="28" t="n"/>
      <c r="C1753" s="28" t="n"/>
      <c r="D1753" s="28" t="n"/>
      <c r="E1753" s="44" t="n"/>
      <c r="F1753" s="44" t="n"/>
      <c r="G1753" s="23" t="n"/>
      <c r="H1753" s="23" t="n"/>
      <c r="I1753" s="23" t="n"/>
      <c r="J1753" s="23" t="n"/>
      <c r="K1753" s="45">
        <f>IF(A1753="","",SUM(G$2:I1753)-SUM(J$2:J1753))</f>
        <v/>
      </c>
      <c r="L1753" s="46" t="n"/>
      <c r="M1753">
        <f>IF(A1753="","",IF(A1753=A1752,M1752,N(M1752)+1))</f>
        <v/>
      </c>
      <c r="N1753">
        <f>IF(E1753="",99999,E1753)</f>
        <v/>
      </c>
      <c r="O1753">
        <f>IF(E1753="",0,IF(F1753="",E1753,F1753))</f>
        <v/>
      </c>
      <c r="P1753">
        <f>IF(E1753="",1,MAX(1,(YEAR(O1753)-YEAR(N1753))*12+MONTH(O1753)-MONTH(N1753)+1))</f>
        <v/>
      </c>
      <c r="Q1753">
        <f>IF(G1753="",0,G1753/P1753)</f>
        <v/>
      </c>
      <c r="R1753">
        <f>IF(H1753="",0,H1753/P1753)</f>
        <v/>
      </c>
    </row>
    <row r="1754">
      <c r="A1754" s="43" t="n"/>
      <c r="B1754" s="28" t="n"/>
      <c r="C1754" s="28" t="n"/>
      <c r="D1754" s="28" t="n"/>
      <c r="E1754" s="44" t="n"/>
      <c r="F1754" s="44" t="n"/>
      <c r="G1754" s="23" t="n"/>
      <c r="H1754" s="23" t="n"/>
      <c r="I1754" s="23" t="n"/>
      <c r="J1754" s="23" t="n"/>
      <c r="K1754" s="45">
        <f>IF(A1754="","",SUM(G$2:I1754)-SUM(J$2:J1754))</f>
        <v/>
      </c>
      <c r="L1754" s="46" t="n"/>
      <c r="M1754">
        <f>IF(A1754="","",IF(A1754=A1753,M1753,N(M1753)+1))</f>
        <v/>
      </c>
      <c r="N1754">
        <f>IF(E1754="",99999,E1754)</f>
        <v/>
      </c>
      <c r="O1754">
        <f>IF(E1754="",0,IF(F1754="",E1754,F1754))</f>
        <v/>
      </c>
      <c r="P1754">
        <f>IF(E1754="",1,MAX(1,(YEAR(O1754)-YEAR(N1754))*12+MONTH(O1754)-MONTH(N1754)+1))</f>
        <v/>
      </c>
      <c r="Q1754">
        <f>IF(G1754="",0,G1754/P1754)</f>
        <v/>
      </c>
      <c r="R1754">
        <f>IF(H1754="",0,H1754/P1754)</f>
        <v/>
      </c>
    </row>
    <row r="1755">
      <c r="A1755" s="43" t="n"/>
      <c r="B1755" s="28" t="n"/>
      <c r="C1755" s="28" t="n"/>
      <c r="D1755" s="28" t="n"/>
      <c r="E1755" s="44" t="n"/>
      <c r="F1755" s="44" t="n"/>
      <c r="G1755" s="23" t="n"/>
      <c r="H1755" s="23" t="n"/>
      <c r="I1755" s="23" t="n"/>
      <c r="J1755" s="23" t="n"/>
      <c r="K1755" s="45">
        <f>IF(A1755="","",SUM(G$2:I1755)-SUM(J$2:J1755))</f>
        <v/>
      </c>
      <c r="L1755" s="46" t="n"/>
      <c r="M1755">
        <f>IF(A1755="","",IF(A1755=A1754,M1754,N(M1754)+1))</f>
        <v/>
      </c>
      <c r="N1755">
        <f>IF(E1755="",99999,E1755)</f>
        <v/>
      </c>
      <c r="O1755">
        <f>IF(E1755="",0,IF(F1755="",E1755,F1755))</f>
        <v/>
      </c>
      <c r="P1755">
        <f>IF(E1755="",1,MAX(1,(YEAR(O1755)-YEAR(N1755))*12+MONTH(O1755)-MONTH(N1755)+1))</f>
        <v/>
      </c>
      <c r="Q1755">
        <f>IF(G1755="",0,G1755/P1755)</f>
        <v/>
      </c>
      <c r="R1755">
        <f>IF(H1755="",0,H1755/P1755)</f>
        <v/>
      </c>
    </row>
    <row r="1756">
      <c r="A1756" s="43" t="n"/>
      <c r="B1756" s="28" t="n"/>
      <c r="C1756" s="28" t="n"/>
      <c r="D1756" s="28" t="n"/>
      <c r="E1756" s="44" t="n"/>
      <c r="F1756" s="44" t="n"/>
      <c r="G1756" s="23" t="n"/>
      <c r="H1756" s="23" t="n"/>
      <c r="I1756" s="23" t="n"/>
      <c r="J1756" s="23" t="n"/>
      <c r="K1756" s="45">
        <f>IF(A1756="","",SUM(G$2:I1756)-SUM(J$2:J1756))</f>
        <v/>
      </c>
      <c r="L1756" s="46" t="n"/>
      <c r="M1756">
        <f>IF(A1756="","",IF(A1756=A1755,M1755,N(M1755)+1))</f>
        <v/>
      </c>
      <c r="N1756">
        <f>IF(E1756="",99999,E1756)</f>
        <v/>
      </c>
      <c r="O1756">
        <f>IF(E1756="",0,IF(F1756="",E1756,F1756))</f>
        <v/>
      </c>
      <c r="P1756">
        <f>IF(E1756="",1,MAX(1,(YEAR(O1756)-YEAR(N1756))*12+MONTH(O1756)-MONTH(N1756)+1))</f>
        <v/>
      </c>
      <c r="Q1756">
        <f>IF(G1756="",0,G1756/P1756)</f>
        <v/>
      </c>
      <c r="R1756">
        <f>IF(H1756="",0,H1756/P1756)</f>
        <v/>
      </c>
    </row>
    <row r="1757">
      <c r="A1757" s="43" t="n"/>
      <c r="B1757" s="28" t="n"/>
      <c r="C1757" s="28" t="n"/>
      <c r="D1757" s="28" t="n"/>
      <c r="E1757" s="44" t="n"/>
      <c r="F1757" s="44" t="n"/>
      <c r="G1757" s="23" t="n"/>
      <c r="H1757" s="23" t="n"/>
      <c r="I1757" s="23" t="n"/>
      <c r="J1757" s="23" t="n"/>
      <c r="K1757" s="45">
        <f>IF(A1757="","",SUM(G$2:I1757)-SUM(J$2:J1757))</f>
        <v/>
      </c>
      <c r="L1757" s="46" t="n"/>
      <c r="M1757">
        <f>IF(A1757="","",IF(A1757=A1756,M1756,N(M1756)+1))</f>
        <v/>
      </c>
      <c r="N1757">
        <f>IF(E1757="",99999,E1757)</f>
        <v/>
      </c>
      <c r="O1757">
        <f>IF(E1757="",0,IF(F1757="",E1757,F1757))</f>
        <v/>
      </c>
      <c r="P1757">
        <f>IF(E1757="",1,MAX(1,(YEAR(O1757)-YEAR(N1757))*12+MONTH(O1757)-MONTH(N1757)+1))</f>
        <v/>
      </c>
      <c r="Q1757">
        <f>IF(G1757="",0,G1757/P1757)</f>
        <v/>
      </c>
      <c r="R1757">
        <f>IF(H1757="",0,H1757/P1757)</f>
        <v/>
      </c>
    </row>
    <row r="1758">
      <c r="A1758" s="43" t="n"/>
      <c r="B1758" s="28" t="n"/>
      <c r="C1758" s="28" t="n"/>
      <c r="D1758" s="28" t="n"/>
      <c r="E1758" s="44" t="n"/>
      <c r="F1758" s="44" t="n"/>
      <c r="G1758" s="23" t="n"/>
      <c r="H1758" s="23" t="n"/>
      <c r="I1758" s="23" t="n"/>
      <c r="J1758" s="23" t="n"/>
      <c r="K1758" s="45">
        <f>IF(A1758="","",SUM(G$2:I1758)-SUM(J$2:J1758))</f>
        <v/>
      </c>
      <c r="L1758" s="46" t="n"/>
      <c r="M1758">
        <f>IF(A1758="","",IF(A1758=A1757,M1757,N(M1757)+1))</f>
        <v/>
      </c>
      <c r="N1758">
        <f>IF(E1758="",99999,E1758)</f>
        <v/>
      </c>
      <c r="O1758">
        <f>IF(E1758="",0,IF(F1758="",E1758,F1758))</f>
        <v/>
      </c>
      <c r="P1758">
        <f>IF(E1758="",1,MAX(1,(YEAR(O1758)-YEAR(N1758))*12+MONTH(O1758)-MONTH(N1758)+1))</f>
        <v/>
      </c>
      <c r="Q1758">
        <f>IF(G1758="",0,G1758/P1758)</f>
        <v/>
      </c>
      <c r="R1758">
        <f>IF(H1758="",0,H1758/P1758)</f>
        <v/>
      </c>
    </row>
    <row r="1759">
      <c r="A1759" s="43" t="n"/>
      <c r="B1759" s="28" t="n"/>
      <c r="C1759" s="28" t="n"/>
      <c r="D1759" s="28" t="n"/>
      <c r="E1759" s="44" t="n"/>
      <c r="F1759" s="44" t="n"/>
      <c r="G1759" s="23" t="n"/>
      <c r="H1759" s="23" t="n"/>
      <c r="I1759" s="23" t="n"/>
      <c r="J1759" s="23" t="n"/>
      <c r="K1759" s="45">
        <f>IF(A1759="","",SUM(G$2:I1759)-SUM(J$2:J1759))</f>
        <v/>
      </c>
      <c r="L1759" s="46" t="n"/>
      <c r="M1759">
        <f>IF(A1759="","",IF(A1759=A1758,M1758,N(M1758)+1))</f>
        <v/>
      </c>
      <c r="N1759">
        <f>IF(E1759="",99999,E1759)</f>
        <v/>
      </c>
      <c r="O1759">
        <f>IF(E1759="",0,IF(F1759="",E1759,F1759))</f>
        <v/>
      </c>
      <c r="P1759">
        <f>IF(E1759="",1,MAX(1,(YEAR(O1759)-YEAR(N1759))*12+MONTH(O1759)-MONTH(N1759)+1))</f>
        <v/>
      </c>
      <c r="Q1759">
        <f>IF(G1759="",0,G1759/P1759)</f>
        <v/>
      </c>
      <c r="R1759">
        <f>IF(H1759="",0,H1759/P1759)</f>
        <v/>
      </c>
    </row>
    <row r="1760">
      <c r="A1760" s="43" t="n"/>
      <c r="B1760" s="28" t="n"/>
      <c r="C1760" s="28" t="n"/>
      <c r="D1760" s="28" t="n"/>
      <c r="E1760" s="44" t="n"/>
      <c r="F1760" s="44" t="n"/>
      <c r="G1760" s="23" t="n"/>
      <c r="H1760" s="23" t="n"/>
      <c r="I1760" s="23" t="n"/>
      <c r="J1760" s="23" t="n"/>
      <c r="K1760" s="45">
        <f>IF(A1760="","",SUM(G$2:I1760)-SUM(J$2:J1760))</f>
        <v/>
      </c>
      <c r="L1760" s="46" t="n"/>
      <c r="M1760">
        <f>IF(A1760="","",IF(A1760=A1759,M1759,N(M1759)+1))</f>
        <v/>
      </c>
      <c r="N1760">
        <f>IF(E1760="",99999,E1760)</f>
        <v/>
      </c>
      <c r="O1760">
        <f>IF(E1760="",0,IF(F1760="",E1760,F1760))</f>
        <v/>
      </c>
      <c r="P1760">
        <f>IF(E1760="",1,MAX(1,(YEAR(O1760)-YEAR(N1760))*12+MONTH(O1760)-MONTH(N1760)+1))</f>
        <v/>
      </c>
      <c r="Q1760">
        <f>IF(G1760="",0,G1760/P1760)</f>
        <v/>
      </c>
      <c r="R1760">
        <f>IF(H1760="",0,H1760/P1760)</f>
        <v/>
      </c>
    </row>
    <row r="1761">
      <c r="A1761" s="43" t="n"/>
      <c r="B1761" s="28" t="n"/>
      <c r="C1761" s="28" t="n"/>
      <c r="D1761" s="28" t="n"/>
      <c r="E1761" s="44" t="n"/>
      <c r="F1761" s="44" t="n"/>
      <c r="G1761" s="23" t="n"/>
      <c r="H1761" s="23" t="n"/>
      <c r="I1761" s="23" t="n"/>
      <c r="J1761" s="23" t="n"/>
      <c r="K1761" s="45">
        <f>IF(A1761="","",SUM(G$2:I1761)-SUM(J$2:J1761))</f>
        <v/>
      </c>
      <c r="L1761" s="46" t="n"/>
      <c r="M1761">
        <f>IF(A1761="","",IF(A1761=A1760,M1760,N(M1760)+1))</f>
        <v/>
      </c>
      <c r="N1761">
        <f>IF(E1761="",99999,E1761)</f>
        <v/>
      </c>
      <c r="O1761">
        <f>IF(E1761="",0,IF(F1761="",E1761,F1761))</f>
        <v/>
      </c>
      <c r="P1761">
        <f>IF(E1761="",1,MAX(1,(YEAR(O1761)-YEAR(N1761))*12+MONTH(O1761)-MONTH(N1761)+1))</f>
        <v/>
      </c>
      <c r="Q1761">
        <f>IF(G1761="",0,G1761/P1761)</f>
        <v/>
      </c>
      <c r="R1761">
        <f>IF(H1761="",0,H1761/P1761)</f>
        <v/>
      </c>
    </row>
    <row r="1762">
      <c r="A1762" s="43" t="n"/>
      <c r="B1762" s="28" t="n"/>
      <c r="C1762" s="28" t="n"/>
      <c r="D1762" s="28" t="n"/>
      <c r="E1762" s="44" t="n"/>
      <c r="F1762" s="44" t="n"/>
      <c r="G1762" s="23" t="n"/>
      <c r="H1762" s="23" t="n"/>
      <c r="I1762" s="23" t="n"/>
      <c r="J1762" s="23" t="n"/>
      <c r="K1762" s="45">
        <f>IF(A1762="","",SUM(G$2:I1762)-SUM(J$2:J1762))</f>
        <v/>
      </c>
      <c r="L1762" s="46" t="n"/>
      <c r="M1762">
        <f>IF(A1762="","",IF(A1762=A1761,M1761,N(M1761)+1))</f>
        <v/>
      </c>
      <c r="N1762">
        <f>IF(E1762="",99999,E1762)</f>
        <v/>
      </c>
      <c r="O1762">
        <f>IF(E1762="",0,IF(F1762="",E1762,F1762))</f>
        <v/>
      </c>
      <c r="P1762">
        <f>IF(E1762="",1,MAX(1,(YEAR(O1762)-YEAR(N1762))*12+MONTH(O1762)-MONTH(N1762)+1))</f>
        <v/>
      </c>
      <c r="Q1762">
        <f>IF(G1762="",0,G1762/P1762)</f>
        <v/>
      </c>
      <c r="R1762">
        <f>IF(H1762="",0,H1762/P1762)</f>
        <v/>
      </c>
    </row>
    <row r="1763">
      <c r="A1763" s="43" t="n"/>
      <c r="B1763" s="28" t="n"/>
      <c r="C1763" s="28" t="n"/>
      <c r="D1763" s="28" t="n"/>
      <c r="E1763" s="44" t="n"/>
      <c r="F1763" s="44" t="n"/>
      <c r="G1763" s="23" t="n"/>
      <c r="H1763" s="23" t="n"/>
      <c r="I1763" s="23" t="n"/>
      <c r="J1763" s="23" t="n"/>
      <c r="K1763" s="45">
        <f>IF(A1763="","",SUM(G$2:I1763)-SUM(J$2:J1763))</f>
        <v/>
      </c>
      <c r="L1763" s="46" t="n"/>
      <c r="M1763">
        <f>IF(A1763="","",IF(A1763=A1762,M1762,N(M1762)+1))</f>
        <v/>
      </c>
      <c r="N1763">
        <f>IF(E1763="",99999,E1763)</f>
        <v/>
      </c>
      <c r="O1763">
        <f>IF(E1763="",0,IF(F1763="",E1763,F1763))</f>
        <v/>
      </c>
      <c r="P1763">
        <f>IF(E1763="",1,MAX(1,(YEAR(O1763)-YEAR(N1763))*12+MONTH(O1763)-MONTH(N1763)+1))</f>
        <v/>
      </c>
      <c r="Q1763">
        <f>IF(G1763="",0,G1763/P1763)</f>
        <v/>
      </c>
      <c r="R1763">
        <f>IF(H1763="",0,H1763/P1763)</f>
        <v/>
      </c>
    </row>
    <row r="1764">
      <c r="A1764" s="43" t="n"/>
      <c r="B1764" s="28" t="n"/>
      <c r="C1764" s="28" t="n"/>
      <c r="D1764" s="28" t="n"/>
      <c r="E1764" s="44" t="n"/>
      <c r="F1764" s="44" t="n"/>
      <c r="G1764" s="23" t="n"/>
      <c r="H1764" s="23" t="n"/>
      <c r="I1764" s="23" t="n"/>
      <c r="J1764" s="23" t="n"/>
      <c r="K1764" s="45">
        <f>IF(A1764="","",SUM(G$2:I1764)-SUM(J$2:J1764))</f>
        <v/>
      </c>
      <c r="L1764" s="46" t="n"/>
      <c r="M1764">
        <f>IF(A1764="","",IF(A1764=A1763,M1763,N(M1763)+1))</f>
        <v/>
      </c>
      <c r="N1764">
        <f>IF(E1764="",99999,E1764)</f>
        <v/>
      </c>
      <c r="O1764">
        <f>IF(E1764="",0,IF(F1764="",E1764,F1764))</f>
        <v/>
      </c>
      <c r="P1764">
        <f>IF(E1764="",1,MAX(1,(YEAR(O1764)-YEAR(N1764))*12+MONTH(O1764)-MONTH(N1764)+1))</f>
        <v/>
      </c>
      <c r="Q1764">
        <f>IF(G1764="",0,G1764/P1764)</f>
        <v/>
      </c>
      <c r="R1764">
        <f>IF(H1764="",0,H1764/P1764)</f>
        <v/>
      </c>
    </row>
    <row r="1765">
      <c r="A1765" s="43" t="n"/>
      <c r="B1765" s="28" t="n"/>
      <c r="C1765" s="28" t="n"/>
      <c r="D1765" s="28" t="n"/>
      <c r="E1765" s="44" t="n"/>
      <c r="F1765" s="44" t="n"/>
      <c r="G1765" s="23" t="n"/>
      <c r="H1765" s="23" t="n"/>
      <c r="I1765" s="23" t="n"/>
      <c r="J1765" s="23" t="n"/>
      <c r="K1765" s="45">
        <f>IF(A1765="","",SUM(G$2:I1765)-SUM(J$2:J1765))</f>
        <v/>
      </c>
      <c r="L1765" s="46" t="n"/>
      <c r="M1765">
        <f>IF(A1765="","",IF(A1765=A1764,M1764,N(M1764)+1))</f>
        <v/>
      </c>
      <c r="N1765">
        <f>IF(E1765="",99999,E1765)</f>
        <v/>
      </c>
      <c r="O1765">
        <f>IF(E1765="",0,IF(F1765="",E1765,F1765))</f>
        <v/>
      </c>
      <c r="P1765">
        <f>IF(E1765="",1,MAX(1,(YEAR(O1765)-YEAR(N1765))*12+MONTH(O1765)-MONTH(N1765)+1))</f>
        <v/>
      </c>
      <c r="Q1765">
        <f>IF(G1765="",0,G1765/P1765)</f>
        <v/>
      </c>
      <c r="R1765">
        <f>IF(H1765="",0,H1765/P1765)</f>
        <v/>
      </c>
    </row>
    <row r="1766">
      <c r="A1766" s="43" t="n"/>
      <c r="B1766" s="28" t="n"/>
      <c r="C1766" s="28" t="n"/>
      <c r="D1766" s="28" t="n"/>
      <c r="E1766" s="44" t="n"/>
      <c r="F1766" s="44" t="n"/>
      <c r="G1766" s="23" t="n"/>
      <c r="H1766" s="23" t="n"/>
      <c r="I1766" s="23" t="n"/>
      <c r="J1766" s="23" t="n"/>
      <c r="K1766" s="45">
        <f>IF(A1766="","",SUM(G$2:I1766)-SUM(J$2:J1766))</f>
        <v/>
      </c>
      <c r="L1766" s="46" t="n"/>
      <c r="M1766">
        <f>IF(A1766="","",IF(A1766=A1765,M1765,N(M1765)+1))</f>
        <v/>
      </c>
      <c r="N1766">
        <f>IF(E1766="",99999,E1766)</f>
        <v/>
      </c>
      <c r="O1766">
        <f>IF(E1766="",0,IF(F1766="",E1766,F1766))</f>
        <v/>
      </c>
      <c r="P1766">
        <f>IF(E1766="",1,MAX(1,(YEAR(O1766)-YEAR(N1766))*12+MONTH(O1766)-MONTH(N1766)+1))</f>
        <v/>
      </c>
      <c r="Q1766">
        <f>IF(G1766="",0,G1766/P1766)</f>
        <v/>
      </c>
      <c r="R1766">
        <f>IF(H1766="",0,H1766/P1766)</f>
        <v/>
      </c>
    </row>
    <row r="1767">
      <c r="A1767" s="43" t="n"/>
      <c r="B1767" s="28" t="n"/>
      <c r="C1767" s="28" t="n"/>
      <c r="D1767" s="28" t="n"/>
      <c r="E1767" s="44" t="n"/>
      <c r="F1767" s="44" t="n"/>
      <c r="G1767" s="23" t="n"/>
      <c r="H1767" s="23" t="n"/>
      <c r="I1767" s="23" t="n"/>
      <c r="J1767" s="23" t="n"/>
      <c r="K1767" s="45">
        <f>IF(A1767="","",SUM(G$2:I1767)-SUM(J$2:J1767))</f>
        <v/>
      </c>
      <c r="L1767" s="46" t="n"/>
      <c r="M1767">
        <f>IF(A1767="","",IF(A1767=A1766,M1766,N(M1766)+1))</f>
        <v/>
      </c>
      <c r="N1767">
        <f>IF(E1767="",99999,E1767)</f>
        <v/>
      </c>
      <c r="O1767">
        <f>IF(E1767="",0,IF(F1767="",E1767,F1767))</f>
        <v/>
      </c>
      <c r="P1767">
        <f>IF(E1767="",1,MAX(1,(YEAR(O1767)-YEAR(N1767))*12+MONTH(O1767)-MONTH(N1767)+1))</f>
        <v/>
      </c>
      <c r="Q1767">
        <f>IF(G1767="",0,G1767/P1767)</f>
        <v/>
      </c>
      <c r="R1767">
        <f>IF(H1767="",0,H1767/P1767)</f>
        <v/>
      </c>
    </row>
    <row r="1768">
      <c r="A1768" s="43" t="n"/>
      <c r="B1768" s="28" t="n"/>
      <c r="C1768" s="28" t="n"/>
      <c r="D1768" s="28" t="n"/>
      <c r="E1768" s="44" t="n"/>
      <c r="F1768" s="44" t="n"/>
      <c r="G1768" s="23" t="n"/>
      <c r="H1768" s="23" t="n"/>
      <c r="I1768" s="23" t="n"/>
      <c r="J1768" s="23" t="n"/>
      <c r="K1768" s="45">
        <f>IF(A1768="","",SUM(G$2:I1768)-SUM(J$2:J1768))</f>
        <v/>
      </c>
      <c r="L1768" s="46" t="n"/>
      <c r="M1768">
        <f>IF(A1768="","",IF(A1768=A1767,M1767,N(M1767)+1))</f>
        <v/>
      </c>
      <c r="N1768">
        <f>IF(E1768="",99999,E1768)</f>
        <v/>
      </c>
      <c r="O1768">
        <f>IF(E1768="",0,IF(F1768="",E1768,F1768))</f>
        <v/>
      </c>
      <c r="P1768">
        <f>IF(E1768="",1,MAX(1,(YEAR(O1768)-YEAR(N1768))*12+MONTH(O1768)-MONTH(N1768)+1))</f>
        <v/>
      </c>
      <c r="Q1768">
        <f>IF(G1768="",0,G1768/P1768)</f>
        <v/>
      </c>
      <c r="R1768">
        <f>IF(H1768="",0,H1768/P1768)</f>
        <v/>
      </c>
    </row>
    <row r="1769">
      <c r="A1769" s="43" t="n"/>
      <c r="B1769" s="28" t="n"/>
      <c r="C1769" s="28" t="n"/>
      <c r="D1769" s="28" t="n"/>
      <c r="E1769" s="44" t="n"/>
      <c r="F1769" s="44" t="n"/>
      <c r="G1769" s="23" t="n"/>
      <c r="H1769" s="23" t="n"/>
      <c r="I1769" s="23" t="n"/>
      <c r="J1769" s="23" t="n"/>
      <c r="K1769" s="45">
        <f>IF(A1769="","",SUM(G$2:I1769)-SUM(J$2:J1769))</f>
        <v/>
      </c>
      <c r="L1769" s="46" t="n"/>
      <c r="M1769">
        <f>IF(A1769="","",IF(A1769=A1768,M1768,N(M1768)+1))</f>
        <v/>
      </c>
      <c r="N1769">
        <f>IF(E1769="",99999,E1769)</f>
        <v/>
      </c>
      <c r="O1769">
        <f>IF(E1769="",0,IF(F1769="",E1769,F1769))</f>
        <v/>
      </c>
      <c r="P1769">
        <f>IF(E1769="",1,MAX(1,(YEAR(O1769)-YEAR(N1769))*12+MONTH(O1769)-MONTH(N1769)+1))</f>
        <v/>
      </c>
      <c r="Q1769">
        <f>IF(G1769="",0,G1769/P1769)</f>
        <v/>
      </c>
      <c r="R1769">
        <f>IF(H1769="",0,H1769/P1769)</f>
        <v/>
      </c>
    </row>
    <row r="1770">
      <c r="A1770" s="43" t="n"/>
      <c r="B1770" s="28" t="n"/>
      <c r="C1770" s="28" t="n"/>
      <c r="D1770" s="28" t="n"/>
      <c r="E1770" s="44" t="n"/>
      <c r="F1770" s="44" t="n"/>
      <c r="G1770" s="23" t="n"/>
      <c r="H1770" s="23" t="n"/>
      <c r="I1770" s="23" t="n"/>
      <c r="J1770" s="23" t="n"/>
      <c r="K1770" s="45">
        <f>IF(A1770="","",SUM(G$2:I1770)-SUM(J$2:J1770))</f>
        <v/>
      </c>
      <c r="L1770" s="46" t="n"/>
      <c r="M1770">
        <f>IF(A1770="","",IF(A1770=A1769,M1769,N(M1769)+1))</f>
        <v/>
      </c>
      <c r="N1770">
        <f>IF(E1770="",99999,E1770)</f>
        <v/>
      </c>
      <c r="O1770">
        <f>IF(E1770="",0,IF(F1770="",E1770,F1770))</f>
        <v/>
      </c>
      <c r="P1770">
        <f>IF(E1770="",1,MAX(1,(YEAR(O1770)-YEAR(N1770))*12+MONTH(O1770)-MONTH(N1770)+1))</f>
        <v/>
      </c>
      <c r="Q1770">
        <f>IF(G1770="",0,G1770/P1770)</f>
        <v/>
      </c>
      <c r="R1770">
        <f>IF(H1770="",0,H1770/P1770)</f>
        <v/>
      </c>
    </row>
    <row r="1771">
      <c r="A1771" s="43" t="n"/>
      <c r="B1771" s="28" t="n"/>
      <c r="C1771" s="28" t="n"/>
      <c r="D1771" s="28" t="n"/>
      <c r="E1771" s="44" t="n"/>
      <c r="F1771" s="44" t="n"/>
      <c r="G1771" s="23" t="n"/>
      <c r="H1771" s="23" t="n"/>
      <c r="I1771" s="23" t="n"/>
      <c r="J1771" s="23" t="n"/>
      <c r="K1771" s="45">
        <f>IF(A1771="","",SUM(G$2:I1771)-SUM(J$2:J1771))</f>
        <v/>
      </c>
      <c r="L1771" s="46" t="n"/>
      <c r="M1771">
        <f>IF(A1771="","",IF(A1771=A1770,M1770,N(M1770)+1))</f>
        <v/>
      </c>
      <c r="N1771">
        <f>IF(E1771="",99999,E1771)</f>
        <v/>
      </c>
      <c r="O1771">
        <f>IF(E1771="",0,IF(F1771="",E1771,F1771))</f>
        <v/>
      </c>
      <c r="P1771">
        <f>IF(E1771="",1,MAX(1,(YEAR(O1771)-YEAR(N1771))*12+MONTH(O1771)-MONTH(N1771)+1))</f>
        <v/>
      </c>
      <c r="Q1771">
        <f>IF(G1771="",0,G1771/P1771)</f>
        <v/>
      </c>
      <c r="R1771">
        <f>IF(H1771="",0,H1771/P1771)</f>
        <v/>
      </c>
    </row>
    <row r="1772">
      <c r="A1772" s="43" t="n"/>
      <c r="B1772" s="28" t="n"/>
      <c r="C1772" s="28" t="n"/>
      <c r="D1772" s="28" t="n"/>
      <c r="E1772" s="44" t="n"/>
      <c r="F1772" s="44" t="n"/>
      <c r="G1772" s="23" t="n"/>
      <c r="H1772" s="23" t="n"/>
      <c r="I1772" s="23" t="n"/>
      <c r="J1772" s="23" t="n"/>
      <c r="K1772" s="45">
        <f>IF(A1772="","",SUM(G$2:I1772)-SUM(J$2:J1772))</f>
        <v/>
      </c>
      <c r="L1772" s="46" t="n"/>
      <c r="M1772">
        <f>IF(A1772="","",IF(A1772=A1771,M1771,N(M1771)+1))</f>
        <v/>
      </c>
      <c r="N1772">
        <f>IF(E1772="",99999,E1772)</f>
        <v/>
      </c>
      <c r="O1772">
        <f>IF(E1772="",0,IF(F1772="",E1772,F1772))</f>
        <v/>
      </c>
      <c r="P1772">
        <f>IF(E1772="",1,MAX(1,(YEAR(O1772)-YEAR(N1772))*12+MONTH(O1772)-MONTH(N1772)+1))</f>
        <v/>
      </c>
      <c r="Q1772">
        <f>IF(G1772="",0,G1772/P1772)</f>
        <v/>
      </c>
      <c r="R1772">
        <f>IF(H1772="",0,H1772/P1772)</f>
        <v/>
      </c>
    </row>
    <row r="1773">
      <c r="A1773" s="43" t="n"/>
      <c r="B1773" s="28" t="n"/>
      <c r="C1773" s="28" t="n"/>
      <c r="D1773" s="28" t="n"/>
      <c r="E1773" s="44" t="n"/>
      <c r="F1773" s="44" t="n"/>
      <c r="G1773" s="23" t="n"/>
      <c r="H1773" s="23" t="n"/>
      <c r="I1773" s="23" t="n"/>
      <c r="J1773" s="23" t="n"/>
      <c r="K1773" s="45">
        <f>IF(A1773="","",SUM(G$2:I1773)-SUM(J$2:J1773))</f>
        <v/>
      </c>
      <c r="L1773" s="46" t="n"/>
      <c r="M1773">
        <f>IF(A1773="","",IF(A1773=A1772,M1772,N(M1772)+1))</f>
        <v/>
      </c>
      <c r="N1773">
        <f>IF(E1773="",99999,E1773)</f>
        <v/>
      </c>
      <c r="O1773">
        <f>IF(E1773="",0,IF(F1773="",E1773,F1773))</f>
        <v/>
      </c>
      <c r="P1773">
        <f>IF(E1773="",1,MAX(1,(YEAR(O1773)-YEAR(N1773))*12+MONTH(O1773)-MONTH(N1773)+1))</f>
        <v/>
      </c>
      <c r="Q1773">
        <f>IF(G1773="",0,G1773/P1773)</f>
        <v/>
      </c>
      <c r="R1773">
        <f>IF(H1773="",0,H1773/P1773)</f>
        <v/>
      </c>
    </row>
    <row r="1774">
      <c r="A1774" s="43" t="n"/>
      <c r="B1774" s="28" t="n"/>
      <c r="C1774" s="28" t="n"/>
      <c r="D1774" s="28" t="n"/>
      <c r="E1774" s="44" t="n"/>
      <c r="F1774" s="44" t="n"/>
      <c r="G1774" s="23" t="n"/>
      <c r="H1774" s="23" t="n"/>
      <c r="I1774" s="23" t="n"/>
      <c r="J1774" s="23" t="n"/>
      <c r="K1774" s="45">
        <f>IF(A1774="","",SUM(G$2:I1774)-SUM(J$2:J1774))</f>
        <v/>
      </c>
      <c r="L1774" s="46" t="n"/>
      <c r="M1774">
        <f>IF(A1774="","",IF(A1774=A1773,M1773,N(M1773)+1))</f>
        <v/>
      </c>
      <c r="N1774">
        <f>IF(E1774="",99999,E1774)</f>
        <v/>
      </c>
      <c r="O1774">
        <f>IF(E1774="",0,IF(F1774="",E1774,F1774))</f>
        <v/>
      </c>
      <c r="P1774">
        <f>IF(E1774="",1,MAX(1,(YEAR(O1774)-YEAR(N1774))*12+MONTH(O1774)-MONTH(N1774)+1))</f>
        <v/>
      </c>
      <c r="Q1774">
        <f>IF(G1774="",0,G1774/P1774)</f>
        <v/>
      </c>
      <c r="R1774">
        <f>IF(H1774="",0,H1774/P1774)</f>
        <v/>
      </c>
    </row>
    <row r="1775">
      <c r="A1775" s="43" t="n"/>
      <c r="B1775" s="28" t="n"/>
      <c r="C1775" s="28" t="n"/>
      <c r="D1775" s="28" t="n"/>
      <c r="E1775" s="44" t="n"/>
      <c r="F1775" s="44" t="n"/>
      <c r="G1775" s="23" t="n"/>
      <c r="H1775" s="23" t="n"/>
      <c r="I1775" s="23" t="n"/>
      <c r="J1775" s="23" t="n"/>
      <c r="K1775" s="45">
        <f>IF(A1775="","",SUM(G$2:I1775)-SUM(J$2:J1775))</f>
        <v/>
      </c>
      <c r="L1775" s="46" t="n"/>
      <c r="M1775">
        <f>IF(A1775="","",IF(A1775=A1774,M1774,N(M1774)+1))</f>
        <v/>
      </c>
      <c r="N1775">
        <f>IF(E1775="",99999,E1775)</f>
        <v/>
      </c>
      <c r="O1775">
        <f>IF(E1775="",0,IF(F1775="",E1775,F1775))</f>
        <v/>
      </c>
      <c r="P1775">
        <f>IF(E1775="",1,MAX(1,(YEAR(O1775)-YEAR(N1775))*12+MONTH(O1775)-MONTH(N1775)+1))</f>
        <v/>
      </c>
      <c r="Q1775">
        <f>IF(G1775="",0,G1775/P1775)</f>
        <v/>
      </c>
      <c r="R1775">
        <f>IF(H1775="",0,H1775/P1775)</f>
        <v/>
      </c>
    </row>
    <row r="1776">
      <c r="A1776" s="43" t="n"/>
      <c r="B1776" s="28" t="n"/>
      <c r="C1776" s="28" t="n"/>
      <c r="D1776" s="28" t="n"/>
      <c r="E1776" s="44" t="n"/>
      <c r="F1776" s="44" t="n"/>
      <c r="G1776" s="23" t="n"/>
      <c r="H1776" s="23" t="n"/>
      <c r="I1776" s="23" t="n"/>
      <c r="J1776" s="23" t="n"/>
      <c r="K1776" s="45">
        <f>IF(A1776="","",SUM(G$2:I1776)-SUM(J$2:J1776))</f>
        <v/>
      </c>
      <c r="L1776" s="46" t="n"/>
      <c r="M1776">
        <f>IF(A1776="","",IF(A1776=A1775,M1775,N(M1775)+1))</f>
        <v/>
      </c>
      <c r="N1776">
        <f>IF(E1776="",99999,E1776)</f>
        <v/>
      </c>
      <c r="O1776">
        <f>IF(E1776="",0,IF(F1776="",E1776,F1776))</f>
        <v/>
      </c>
      <c r="P1776">
        <f>IF(E1776="",1,MAX(1,(YEAR(O1776)-YEAR(N1776))*12+MONTH(O1776)-MONTH(N1776)+1))</f>
        <v/>
      </c>
      <c r="Q1776">
        <f>IF(G1776="",0,G1776/P1776)</f>
        <v/>
      </c>
      <c r="R1776">
        <f>IF(H1776="",0,H1776/P1776)</f>
        <v/>
      </c>
    </row>
    <row r="1777">
      <c r="A1777" s="43" t="n"/>
      <c r="B1777" s="28" t="n"/>
      <c r="C1777" s="28" t="n"/>
      <c r="D1777" s="28" t="n"/>
      <c r="E1777" s="44" t="n"/>
      <c r="F1777" s="44" t="n"/>
      <c r="G1777" s="23" t="n"/>
      <c r="H1777" s="23" t="n"/>
      <c r="I1777" s="23" t="n"/>
      <c r="J1777" s="23" t="n"/>
      <c r="K1777" s="45">
        <f>IF(A1777="","",SUM(G$2:I1777)-SUM(J$2:J1777))</f>
        <v/>
      </c>
      <c r="L1777" s="46" t="n"/>
      <c r="M1777">
        <f>IF(A1777="","",IF(A1777=A1776,M1776,N(M1776)+1))</f>
        <v/>
      </c>
      <c r="N1777">
        <f>IF(E1777="",99999,E1777)</f>
        <v/>
      </c>
      <c r="O1777">
        <f>IF(E1777="",0,IF(F1777="",E1777,F1777))</f>
        <v/>
      </c>
      <c r="P1777">
        <f>IF(E1777="",1,MAX(1,(YEAR(O1777)-YEAR(N1777))*12+MONTH(O1777)-MONTH(N1777)+1))</f>
        <v/>
      </c>
      <c r="Q1777">
        <f>IF(G1777="",0,G1777/P1777)</f>
        <v/>
      </c>
      <c r="R1777">
        <f>IF(H1777="",0,H1777/P1777)</f>
        <v/>
      </c>
    </row>
    <row r="1778">
      <c r="A1778" s="43" t="n"/>
      <c r="B1778" s="28" t="n"/>
      <c r="C1778" s="28" t="n"/>
      <c r="D1778" s="28" t="n"/>
      <c r="E1778" s="44" t="n"/>
      <c r="F1778" s="44" t="n"/>
      <c r="G1778" s="23" t="n"/>
      <c r="H1778" s="23" t="n"/>
      <c r="I1778" s="23" t="n"/>
      <c r="J1778" s="23" t="n"/>
      <c r="K1778" s="45">
        <f>IF(A1778="","",SUM(G$2:I1778)-SUM(J$2:J1778))</f>
        <v/>
      </c>
      <c r="L1778" s="46" t="n"/>
      <c r="M1778">
        <f>IF(A1778="","",IF(A1778=A1777,M1777,N(M1777)+1))</f>
        <v/>
      </c>
      <c r="N1778">
        <f>IF(E1778="",99999,E1778)</f>
        <v/>
      </c>
      <c r="O1778">
        <f>IF(E1778="",0,IF(F1778="",E1778,F1778))</f>
        <v/>
      </c>
      <c r="P1778">
        <f>IF(E1778="",1,MAX(1,(YEAR(O1778)-YEAR(N1778))*12+MONTH(O1778)-MONTH(N1778)+1))</f>
        <v/>
      </c>
      <c r="Q1778">
        <f>IF(G1778="",0,G1778/P1778)</f>
        <v/>
      </c>
      <c r="R1778">
        <f>IF(H1778="",0,H1778/P1778)</f>
        <v/>
      </c>
    </row>
    <row r="1779">
      <c r="A1779" s="43" t="n"/>
      <c r="B1779" s="28" t="n"/>
      <c r="C1779" s="28" t="n"/>
      <c r="D1779" s="28" t="n"/>
      <c r="E1779" s="44" t="n"/>
      <c r="F1779" s="44" t="n"/>
      <c r="G1779" s="23" t="n"/>
      <c r="H1779" s="23" t="n"/>
      <c r="I1779" s="23" t="n"/>
      <c r="J1779" s="23" t="n"/>
      <c r="K1779" s="45">
        <f>IF(A1779="","",SUM(G$2:I1779)-SUM(J$2:J1779))</f>
        <v/>
      </c>
      <c r="L1779" s="46" t="n"/>
      <c r="M1779">
        <f>IF(A1779="","",IF(A1779=A1778,M1778,N(M1778)+1))</f>
        <v/>
      </c>
      <c r="N1779">
        <f>IF(E1779="",99999,E1779)</f>
        <v/>
      </c>
      <c r="O1779">
        <f>IF(E1779="",0,IF(F1779="",E1779,F1779))</f>
        <v/>
      </c>
      <c r="P1779">
        <f>IF(E1779="",1,MAX(1,(YEAR(O1779)-YEAR(N1779))*12+MONTH(O1779)-MONTH(N1779)+1))</f>
        <v/>
      </c>
      <c r="Q1779">
        <f>IF(G1779="",0,G1779/P1779)</f>
        <v/>
      </c>
      <c r="R1779">
        <f>IF(H1779="",0,H1779/P1779)</f>
        <v/>
      </c>
    </row>
    <row r="1780">
      <c r="A1780" s="43" t="n"/>
      <c r="B1780" s="28" t="n"/>
      <c r="C1780" s="28" t="n"/>
      <c r="D1780" s="28" t="n"/>
      <c r="E1780" s="44" t="n"/>
      <c r="F1780" s="44" t="n"/>
      <c r="G1780" s="23" t="n"/>
      <c r="H1780" s="23" t="n"/>
      <c r="I1780" s="23" t="n"/>
      <c r="J1780" s="23" t="n"/>
      <c r="K1780" s="45">
        <f>IF(A1780="","",SUM(G$2:I1780)-SUM(J$2:J1780))</f>
        <v/>
      </c>
      <c r="L1780" s="46" t="n"/>
      <c r="M1780">
        <f>IF(A1780="","",IF(A1780=A1779,M1779,N(M1779)+1))</f>
        <v/>
      </c>
      <c r="N1780">
        <f>IF(E1780="",99999,E1780)</f>
        <v/>
      </c>
      <c r="O1780">
        <f>IF(E1780="",0,IF(F1780="",E1780,F1780))</f>
        <v/>
      </c>
      <c r="P1780">
        <f>IF(E1780="",1,MAX(1,(YEAR(O1780)-YEAR(N1780))*12+MONTH(O1780)-MONTH(N1780)+1))</f>
        <v/>
      </c>
      <c r="Q1780">
        <f>IF(G1780="",0,G1780/P1780)</f>
        <v/>
      </c>
      <c r="R1780">
        <f>IF(H1780="",0,H1780/P1780)</f>
        <v/>
      </c>
    </row>
    <row r="1781">
      <c r="A1781" s="43" t="n"/>
      <c r="B1781" s="28" t="n"/>
      <c r="C1781" s="28" t="n"/>
      <c r="D1781" s="28" t="n"/>
      <c r="E1781" s="44" t="n"/>
      <c r="F1781" s="44" t="n"/>
      <c r="G1781" s="23" t="n"/>
      <c r="H1781" s="23" t="n"/>
      <c r="I1781" s="23" t="n"/>
      <c r="J1781" s="23" t="n"/>
      <c r="K1781" s="45">
        <f>IF(A1781="","",SUM(G$2:I1781)-SUM(J$2:J1781))</f>
        <v/>
      </c>
      <c r="L1781" s="46" t="n"/>
      <c r="M1781">
        <f>IF(A1781="","",IF(A1781=A1780,M1780,N(M1780)+1))</f>
        <v/>
      </c>
      <c r="N1781">
        <f>IF(E1781="",99999,E1781)</f>
        <v/>
      </c>
      <c r="O1781">
        <f>IF(E1781="",0,IF(F1781="",E1781,F1781))</f>
        <v/>
      </c>
      <c r="P1781">
        <f>IF(E1781="",1,MAX(1,(YEAR(O1781)-YEAR(N1781))*12+MONTH(O1781)-MONTH(N1781)+1))</f>
        <v/>
      </c>
      <c r="Q1781">
        <f>IF(G1781="",0,G1781/P1781)</f>
        <v/>
      </c>
      <c r="R1781">
        <f>IF(H1781="",0,H1781/P1781)</f>
        <v/>
      </c>
    </row>
    <row r="1782">
      <c r="A1782" s="43" t="n"/>
      <c r="B1782" s="28" t="n"/>
      <c r="C1782" s="28" t="n"/>
      <c r="D1782" s="28" t="n"/>
      <c r="E1782" s="44" t="n"/>
      <c r="F1782" s="44" t="n"/>
      <c r="G1782" s="23" t="n"/>
      <c r="H1782" s="23" t="n"/>
      <c r="I1782" s="23" t="n"/>
      <c r="J1782" s="23" t="n"/>
      <c r="K1782" s="45">
        <f>IF(A1782="","",SUM(G$2:I1782)-SUM(J$2:J1782))</f>
        <v/>
      </c>
      <c r="L1782" s="46" t="n"/>
      <c r="M1782">
        <f>IF(A1782="","",IF(A1782=A1781,M1781,N(M1781)+1))</f>
        <v/>
      </c>
      <c r="N1782">
        <f>IF(E1782="",99999,E1782)</f>
        <v/>
      </c>
      <c r="O1782">
        <f>IF(E1782="",0,IF(F1782="",E1782,F1782))</f>
        <v/>
      </c>
      <c r="P1782">
        <f>IF(E1782="",1,MAX(1,(YEAR(O1782)-YEAR(N1782))*12+MONTH(O1782)-MONTH(N1782)+1))</f>
        <v/>
      </c>
      <c r="Q1782">
        <f>IF(G1782="",0,G1782/P1782)</f>
        <v/>
      </c>
      <c r="R1782">
        <f>IF(H1782="",0,H1782/P1782)</f>
        <v/>
      </c>
    </row>
    <row r="1783">
      <c r="A1783" s="43" t="n"/>
      <c r="B1783" s="28" t="n"/>
      <c r="C1783" s="28" t="n"/>
      <c r="D1783" s="28" t="n"/>
      <c r="E1783" s="44" t="n"/>
      <c r="F1783" s="44" t="n"/>
      <c r="G1783" s="23" t="n"/>
      <c r="H1783" s="23" t="n"/>
      <c r="I1783" s="23" t="n"/>
      <c r="J1783" s="23" t="n"/>
      <c r="K1783" s="45">
        <f>IF(A1783="","",SUM(G$2:I1783)-SUM(J$2:J1783))</f>
        <v/>
      </c>
      <c r="L1783" s="46" t="n"/>
      <c r="M1783">
        <f>IF(A1783="","",IF(A1783=A1782,M1782,N(M1782)+1))</f>
        <v/>
      </c>
      <c r="N1783">
        <f>IF(E1783="",99999,E1783)</f>
        <v/>
      </c>
      <c r="O1783">
        <f>IF(E1783="",0,IF(F1783="",E1783,F1783))</f>
        <v/>
      </c>
      <c r="P1783">
        <f>IF(E1783="",1,MAX(1,(YEAR(O1783)-YEAR(N1783))*12+MONTH(O1783)-MONTH(N1783)+1))</f>
        <v/>
      </c>
      <c r="Q1783">
        <f>IF(G1783="",0,G1783/P1783)</f>
        <v/>
      </c>
      <c r="R1783">
        <f>IF(H1783="",0,H1783/P1783)</f>
        <v/>
      </c>
    </row>
    <row r="1784">
      <c r="A1784" s="43" t="n"/>
      <c r="B1784" s="28" t="n"/>
      <c r="C1784" s="28" t="n"/>
      <c r="D1784" s="28" t="n"/>
      <c r="E1784" s="44" t="n"/>
      <c r="F1784" s="44" t="n"/>
      <c r="G1784" s="23" t="n"/>
      <c r="H1784" s="23" t="n"/>
      <c r="I1784" s="23" t="n"/>
      <c r="J1784" s="23" t="n"/>
      <c r="K1784" s="45">
        <f>IF(A1784="","",SUM(G$2:I1784)-SUM(J$2:J1784))</f>
        <v/>
      </c>
      <c r="L1784" s="46" t="n"/>
      <c r="M1784">
        <f>IF(A1784="","",IF(A1784=A1783,M1783,N(M1783)+1))</f>
        <v/>
      </c>
      <c r="N1784">
        <f>IF(E1784="",99999,E1784)</f>
        <v/>
      </c>
      <c r="O1784">
        <f>IF(E1784="",0,IF(F1784="",E1784,F1784))</f>
        <v/>
      </c>
      <c r="P1784">
        <f>IF(E1784="",1,MAX(1,(YEAR(O1784)-YEAR(N1784))*12+MONTH(O1784)-MONTH(N1784)+1))</f>
        <v/>
      </c>
      <c r="Q1784">
        <f>IF(G1784="",0,G1784/P1784)</f>
        <v/>
      </c>
      <c r="R1784">
        <f>IF(H1784="",0,H1784/P1784)</f>
        <v/>
      </c>
    </row>
    <row r="1785">
      <c r="A1785" s="43" t="n"/>
      <c r="B1785" s="28" t="n"/>
      <c r="C1785" s="28" t="n"/>
      <c r="D1785" s="28" t="n"/>
      <c r="E1785" s="44" t="n"/>
      <c r="F1785" s="44" t="n"/>
      <c r="G1785" s="23" t="n"/>
      <c r="H1785" s="23" t="n"/>
      <c r="I1785" s="23" t="n"/>
      <c r="J1785" s="23" t="n"/>
      <c r="K1785" s="45">
        <f>IF(A1785="","",SUM(G$2:I1785)-SUM(J$2:J1785))</f>
        <v/>
      </c>
      <c r="L1785" s="46" t="n"/>
      <c r="M1785">
        <f>IF(A1785="","",IF(A1785=A1784,M1784,N(M1784)+1))</f>
        <v/>
      </c>
      <c r="N1785">
        <f>IF(E1785="",99999,E1785)</f>
        <v/>
      </c>
      <c r="O1785">
        <f>IF(E1785="",0,IF(F1785="",E1785,F1785))</f>
        <v/>
      </c>
      <c r="P1785">
        <f>IF(E1785="",1,MAX(1,(YEAR(O1785)-YEAR(N1785))*12+MONTH(O1785)-MONTH(N1785)+1))</f>
        <v/>
      </c>
      <c r="Q1785">
        <f>IF(G1785="",0,G1785/P1785)</f>
        <v/>
      </c>
      <c r="R1785">
        <f>IF(H1785="",0,H1785/P1785)</f>
        <v/>
      </c>
    </row>
    <row r="1786">
      <c r="A1786" s="43" t="n"/>
      <c r="B1786" s="28" t="n"/>
      <c r="C1786" s="28" t="n"/>
      <c r="D1786" s="28" t="n"/>
      <c r="E1786" s="44" t="n"/>
      <c r="F1786" s="44" t="n"/>
      <c r="G1786" s="23" t="n"/>
      <c r="H1786" s="23" t="n"/>
      <c r="I1786" s="23" t="n"/>
      <c r="J1786" s="23" t="n"/>
      <c r="K1786" s="45">
        <f>IF(A1786="","",SUM(G$2:I1786)-SUM(J$2:J1786))</f>
        <v/>
      </c>
      <c r="L1786" s="46" t="n"/>
      <c r="M1786">
        <f>IF(A1786="","",IF(A1786=A1785,M1785,N(M1785)+1))</f>
        <v/>
      </c>
      <c r="N1786">
        <f>IF(E1786="",99999,E1786)</f>
        <v/>
      </c>
      <c r="O1786">
        <f>IF(E1786="",0,IF(F1786="",E1786,F1786))</f>
        <v/>
      </c>
      <c r="P1786">
        <f>IF(E1786="",1,MAX(1,(YEAR(O1786)-YEAR(N1786))*12+MONTH(O1786)-MONTH(N1786)+1))</f>
        <v/>
      </c>
      <c r="Q1786">
        <f>IF(G1786="",0,G1786/P1786)</f>
        <v/>
      </c>
      <c r="R1786">
        <f>IF(H1786="",0,H1786/P1786)</f>
        <v/>
      </c>
    </row>
    <row r="1787">
      <c r="A1787" s="43" t="n"/>
      <c r="B1787" s="28" t="n"/>
      <c r="C1787" s="28" t="n"/>
      <c r="D1787" s="28" t="n"/>
      <c r="E1787" s="44" t="n"/>
      <c r="F1787" s="44" t="n"/>
      <c r="G1787" s="23" t="n"/>
      <c r="H1787" s="23" t="n"/>
      <c r="I1787" s="23" t="n"/>
      <c r="J1787" s="23" t="n"/>
      <c r="K1787" s="45">
        <f>IF(A1787="","",SUM(G$2:I1787)-SUM(J$2:J1787))</f>
        <v/>
      </c>
      <c r="L1787" s="46" t="n"/>
      <c r="M1787">
        <f>IF(A1787="","",IF(A1787=A1786,M1786,N(M1786)+1))</f>
        <v/>
      </c>
      <c r="N1787">
        <f>IF(E1787="",99999,E1787)</f>
        <v/>
      </c>
      <c r="O1787">
        <f>IF(E1787="",0,IF(F1787="",E1787,F1787))</f>
        <v/>
      </c>
      <c r="P1787">
        <f>IF(E1787="",1,MAX(1,(YEAR(O1787)-YEAR(N1787))*12+MONTH(O1787)-MONTH(N1787)+1))</f>
        <v/>
      </c>
      <c r="Q1787">
        <f>IF(G1787="",0,G1787/P1787)</f>
        <v/>
      </c>
      <c r="R1787">
        <f>IF(H1787="",0,H1787/P1787)</f>
        <v/>
      </c>
    </row>
    <row r="1788">
      <c r="A1788" s="43" t="n"/>
      <c r="B1788" s="28" t="n"/>
      <c r="C1788" s="28" t="n"/>
      <c r="D1788" s="28" t="n"/>
      <c r="E1788" s="44" t="n"/>
      <c r="F1788" s="44" t="n"/>
      <c r="G1788" s="23" t="n"/>
      <c r="H1788" s="23" t="n"/>
      <c r="I1788" s="23" t="n"/>
      <c r="J1788" s="23" t="n"/>
      <c r="K1788" s="45">
        <f>IF(A1788="","",SUM(G$2:I1788)-SUM(J$2:J1788))</f>
        <v/>
      </c>
      <c r="L1788" s="46" t="n"/>
      <c r="M1788">
        <f>IF(A1788="","",IF(A1788=A1787,M1787,N(M1787)+1))</f>
        <v/>
      </c>
      <c r="N1788">
        <f>IF(E1788="",99999,E1788)</f>
        <v/>
      </c>
      <c r="O1788">
        <f>IF(E1788="",0,IF(F1788="",E1788,F1788))</f>
        <v/>
      </c>
      <c r="P1788">
        <f>IF(E1788="",1,MAX(1,(YEAR(O1788)-YEAR(N1788))*12+MONTH(O1788)-MONTH(N1788)+1))</f>
        <v/>
      </c>
      <c r="Q1788">
        <f>IF(G1788="",0,G1788/P1788)</f>
        <v/>
      </c>
      <c r="R1788">
        <f>IF(H1788="",0,H1788/P1788)</f>
        <v/>
      </c>
    </row>
    <row r="1789">
      <c r="A1789" s="43" t="n"/>
      <c r="B1789" s="28" t="n"/>
      <c r="C1789" s="28" t="n"/>
      <c r="D1789" s="28" t="n"/>
      <c r="E1789" s="44" t="n"/>
      <c r="F1789" s="44" t="n"/>
      <c r="G1789" s="23" t="n"/>
      <c r="H1789" s="23" t="n"/>
      <c r="I1789" s="23" t="n"/>
      <c r="J1789" s="23" t="n"/>
      <c r="K1789" s="45">
        <f>IF(A1789="","",SUM(G$2:I1789)-SUM(J$2:J1789))</f>
        <v/>
      </c>
      <c r="L1789" s="46" t="n"/>
      <c r="M1789">
        <f>IF(A1789="","",IF(A1789=A1788,M1788,N(M1788)+1))</f>
        <v/>
      </c>
      <c r="N1789">
        <f>IF(E1789="",99999,E1789)</f>
        <v/>
      </c>
      <c r="O1789">
        <f>IF(E1789="",0,IF(F1789="",E1789,F1789))</f>
        <v/>
      </c>
      <c r="P1789">
        <f>IF(E1789="",1,MAX(1,(YEAR(O1789)-YEAR(N1789))*12+MONTH(O1789)-MONTH(N1789)+1))</f>
        <v/>
      </c>
      <c r="Q1789">
        <f>IF(G1789="",0,G1789/P1789)</f>
        <v/>
      </c>
      <c r="R1789">
        <f>IF(H1789="",0,H1789/P1789)</f>
        <v/>
      </c>
    </row>
    <row r="1790">
      <c r="A1790" s="43" t="n"/>
      <c r="B1790" s="28" t="n"/>
      <c r="C1790" s="28" t="n"/>
      <c r="D1790" s="28" t="n"/>
      <c r="E1790" s="44" t="n"/>
      <c r="F1790" s="44" t="n"/>
      <c r="G1790" s="23" t="n"/>
      <c r="H1790" s="23" t="n"/>
      <c r="I1790" s="23" t="n"/>
      <c r="J1790" s="23" t="n"/>
      <c r="K1790" s="45">
        <f>IF(A1790="","",SUM(G$2:I1790)-SUM(J$2:J1790))</f>
        <v/>
      </c>
      <c r="L1790" s="46" t="n"/>
      <c r="M1790">
        <f>IF(A1790="","",IF(A1790=A1789,M1789,N(M1789)+1))</f>
        <v/>
      </c>
      <c r="N1790">
        <f>IF(E1790="",99999,E1790)</f>
        <v/>
      </c>
      <c r="O1790">
        <f>IF(E1790="",0,IF(F1790="",E1790,F1790))</f>
        <v/>
      </c>
      <c r="P1790">
        <f>IF(E1790="",1,MAX(1,(YEAR(O1790)-YEAR(N1790))*12+MONTH(O1790)-MONTH(N1790)+1))</f>
        <v/>
      </c>
      <c r="Q1790">
        <f>IF(G1790="",0,G1790/P1790)</f>
        <v/>
      </c>
      <c r="R1790">
        <f>IF(H1790="",0,H1790/P1790)</f>
        <v/>
      </c>
    </row>
    <row r="1791">
      <c r="A1791" s="43" t="n"/>
      <c r="B1791" s="28" t="n"/>
      <c r="C1791" s="28" t="n"/>
      <c r="D1791" s="28" t="n"/>
      <c r="E1791" s="44" t="n"/>
      <c r="F1791" s="44" t="n"/>
      <c r="G1791" s="23" t="n"/>
      <c r="H1791" s="23" t="n"/>
      <c r="I1791" s="23" t="n"/>
      <c r="J1791" s="23" t="n"/>
      <c r="K1791" s="45">
        <f>IF(A1791="","",SUM(G$2:I1791)-SUM(J$2:J1791))</f>
        <v/>
      </c>
      <c r="L1791" s="46" t="n"/>
      <c r="M1791">
        <f>IF(A1791="","",IF(A1791=A1790,M1790,N(M1790)+1))</f>
        <v/>
      </c>
      <c r="N1791">
        <f>IF(E1791="",99999,E1791)</f>
        <v/>
      </c>
      <c r="O1791">
        <f>IF(E1791="",0,IF(F1791="",E1791,F1791))</f>
        <v/>
      </c>
      <c r="P1791">
        <f>IF(E1791="",1,MAX(1,(YEAR(O1791)-YEAR(N1791))*12+MONTH(O1791)-MONTH(N1791)+1))</f>
        <v/>
      </c>
      <c r="Q1791">
        <f>IF(G1791="",0,G1791/P1791)</f>
        <v/>
      </c>
      <c r="R1791">
        <f>IF(H1791="",0,H1791/P1791)</f>
        <v/>
      </c>
    </row>
    <row r="1792">
      <c r="A1792" s="43" t="n"/>
      <c r="B1792" s="28" t="n"/>
      <c r="C1792" s="28" t="n"/>
      <c r="D1792" s="28" t="n"/>
      <c r="E1792" s="44" t="n"/>
      <c r="F1792" s="44" t="n"/>
      <c r="G1792" s="23" t="n"/>
      <c r="H1792" s="23" t="n"/>
      <c r="I1792" s="23" t="n"/>
      <c r="J1792" s="23" t="n"/>
      <c r="K1792" s="45">
        <f>IF(A1792="","",SUM(G$2:I1792)-SUM(J$2:J1792))</f>
        <v/>
      </c>
      <c r="L1792" s="46" t="n"/>
      <c r="M1792">
        <f>IF(A1792="","",IF(A1792=A1791,M1791,N(M1791)+1))</f>
        <v/>
      </c>
      <c r="N1792">
        <f>IF(E1792="",99999,E1792)</f>
        <v/>
      </c>
      <c r="O1792">
        <f>IF(E1792="",0,IF(F1792="",E1792,F1792))</f>
        <v/>
      </c>
      <c r="P1792">
        <f>IF(E1792="",1,MAX(1,(YEAR(O1792)-YEAR(N1792))*12+MONTH(O1792)-MONTH(N1792)+1))</f>
        <v/>
      </c>
      <c r="Q1792">
        <f>IF(G1792="",0,G1792/P1792)</f>
        <v/>
      </c>
      <c r="R1792">
        <f>IF(H1792="",0,H1792/P1792)</f>
        <v/>
      </c>
    </row>
    <row r="1793">
      <c r="A1793" s="43" t="n"/>
      <c r="B1793" s="28" t="n"/>
      <c r="C1793" s="28" t="n"/>
      <c r="D1793" s="28" t="n"/>
      <c r="E1793" s="44" t="n"/>
      <c r="F1793" s="44" t="n"/>
      <c r="G1793" s="23" t="n"/>
      <c r="H1793" s="23" t="n"/>
      <c r="I1793" s="23" t="n"/>
      <c r="J1793" s="23" t="n"/>
      <c r="K1793" s="45">
        <f>IF(A1793="","",SUM(G$2:I1793)-SUM(J$2:J1793))</f>
        <v/>
      </c>
      <c r="L1793" s="46" t="n"/>
      <c r="M1793">
        <f>IF(A1793="","",IF(A1793=A1792,M1792,N(M1792)+1))</f>
        <v/>
      </c>
      <c r="N1793">
        <f>IF(E1793="",99999,E1793)</f>
        <v/>
      </c>
      <c r="O1793">
        <f>IF(E1793="",0,IF(F1793="",E1793,F1793))</f>
        <v/>
      </c>
      <c r="P1793">
        <f>IF(E1793="",1,MAX(1,(YEAR(O1793)-YEAR(N1793))*12+MONTH(O1793)-MONTH(N1793)+1))</f>
        <v/>
      </c>
      <c r="Q1793">
        <f>IF(G1793="",0,G1793/P1793)</f>
        <v/>
      </c>
      <c r="R1793">
        <f>IF(H1793="",0,H1793/P1793)</f>
        <v/>
      </c>
    </row>
    <row r="1794">
      <c r="A1794" s="43" t="n"/>
      <c r="B1794" s="28" t="n"/>
      <c r="C1794" s="28" t="n"/>
      <c r="D1794" s="28" t="n"/>
      <c r="E1794" s="44" t="n"/>
      <c r="F1794" s="44" t="n"/>
      <c r="G1794" s="23" t="n"/>
      <c r="H1794" s="23" t="n"/>
      <c r="I1794" s="23" t="n"/>
      <c r="J1794" s="23" t="n"/>
      <c r="K1794" s="45">
        <f>IF(A1794="","",SUM(G$2:I1794)-SUM(J$2:J1794))</f>
        <v/>
      </c>
      <c r="L1794" s="46" t="n"/>
      <c r="M1794">
        <f>IF(A1794="","",IF(A1794=A1793,M1793,N(M1793)+1))</f>
        <v/>
      </c>
      <c r="N1794">
        <f>IF(E1794="",99999,E1794)</f>
        <v/>
      </c>
      <c r="O1794">
        <f>IF(E1794="",0,IF(F1794="",E1794,F1794))</f>
        <v/>
      </c>
      <c r="P1794">
        <f>IF(E1794="",1,MAX(1,(YEAR(O1794)-YEAR(N1794))*12+MONTH(O1794)-MONTH(N1794)+1))</f>
        <v/>
      </c>
      <c r="Q1794">
        <f>IF(G1794="",0,G1794/P1794)</f>
        <v/>
      </c>
      <c r="R1794">
        <f>IF(H1794="",0,H1794/P1794)</f>
        <v/>
      </c>
    </row>
    <row r="1795">
      <c r="A1795" s="43" t="n"/>
      <c r="B1795" s="28" t="n"/>
      <c r="C1795" s="28" t="n"/>
      <c r="D1795" s="28" t="n"/>
      <c r="E1795" s="44" t="n"/>
      <c r="F1795" s="44" t="n"/>
      <c r="G1795" s="23" t="n"/>
      <c r="H1795" s="23" t="n"/>
      <c r="I1795" s="23" t="n"/>
      <c r="J1795" s="23" t="n"/>
      <c r="K1795" s="45">
        <f>IF(A1795="","",SUM(G$2:I1795)-SUM(J$2:J1795))</f>
        <v/>
      </c>
      <c r="L1795" s="46" t="n"/>
      <c r="M1795">
        <f>IF(A1795="","",IF(A1795=A1794,M1794,N(M1794)+1))</f>
        <v/>
      </c>
      <c r="N1795">
        <f>IF(E1795="",99999,E1795)</f>
        <v/>
      </c>
      <c r="O1795">
        <f>IF(E1795="",0,IF(F1795="",E1795,F1795))</f>
        <v/>
      </c>
      <c r="P1795">
        <f>IF(E1795="",1,MAX(1,(YEAR(O1795)-YEAR(N1795))*12+MONTH(O1795)-MONTH(N1795)+1))</f>
        <v/>
      </c>
      <c r="Q1795">
        <f>IF(G1795="",0,G1795/P1795)</f>
        <v/>
      </c>
      <c r="R1795">
        <f>IF(H1795="",0,H1795/P1795)</f>
        <v/>
      </c>
    </row>
    <row r="1796">
      <c r="A1796" s="43" t="n"/>
      <c r="B1796" s="28" t="n"/>
      <c r="C1796" s="28" t="n"/>
      <c r="D1796" s="28" t="n"/>
      <c r="E1796" s="44" t="n"/>
      <c r="F1796" s="44" t="n"/>
      <c r="G1796" s="23" t="n"/>
      <c r="H1796" s="23" t="n"/>
      <c r="I1796" s="23" t="n"/>
      <c r="J1796" s="23" t="n"/>
      <c r="K1796" s="45">
        <f>IF(A1796="","",SUM(G$2:I1796)-SUM(J$2:J1796))</f>
        <v/>
      </c>
      <c r="L1796" s="46" t="n"/>
      <c r="M1796">
        <f>IF(A1796="","",IF(A1796=A1795,M1795,N(M1795)+1))</f>
        <v/>
      </c>
      <c r="N1796">
        <f>IF(E1796="",99999,E1796)</f>
        <v/>
      </c>
      <c r="O1796">
        <f>IF(E1796="",0,IF(F1796="",E1796,F1796))</f>
        <v/>
      </c>
      <c r="P1796">
        <f>IF(E1796="",1,MAX(1,(YEAR(O1796)-YEAR(N1796))*12+MONTH(O1796)-MONTH(N1796)+1))</f>
        <v/>
      </c>
      <c r="Q1796">
        <f>IF(G1796="",0,G1796/P1796)</f>
        <v/>
      </c>
      <c r="R1796">
        <f>IF(H1796="",0,H1796/P1796)</f>
        <v/>
      </c>
    </row>
    <row r="1797">
      <c r="A1797" s="43" t="n"/>
      <c r="B1797" s="28" t="n"/>
      <c r="C1797" s="28" t="n"/>
      <c r="D1797" s="28" t="n"/>
      <c r="E1797" s="44" t="n"/>
      <c r="F1797" s="44" t="n"/>
      <c r="G1797" s="23" t="n"/>
      <c r="H1797" s="23" t="n"/>
      <c r="I1797" s="23" t="n"/>
      <c r="J1797" s="23" t="n"/>
      <c r="K1797" s="45">
        <f>IF(A1797="","",SUM(G$2:I1797)-SUM(J$2:J1797))</f>
        <v/>
      </c>
      <c r="L1797" s="46" t="n"/>
      <c r="M1797">
        <f>IF(A1797="","",IF(A1797=A1796,M1796,N(M1796)+1))</f>
        <v/>
      </c>
      <c r="N1797">
        <f>IF(E1797="",99999,E1797)</f>
        <v/>
      </c>
      <c r="O1797">
        <f>IF(E1797="",0,IF(F1797="",E1797,F1797))</f>
        <v/>
      </c>
      <c r="P1797">
        <f>IF(E1797="",1,MAX(1,(YEAR(O1797)-YEAR(N1797))*12+MONTH(O1797)-MONTH(N1797)+1))</f>
        <v/>
      </c>
      <c r="Q1797">
        <f>IF(G1797="",0,G1797/P1797)</f>
        <v/>
      </c>
      <c r="R1797">
        <f>IF(H1797="",0,H1797/P1797)</f>
        <v/>
      </c>
    </row>
    <row r="1798">
      <c r="A1798" s="43" t="n"/>
      <c r="B1798" s="28" t="n"/>
      <c r="C1798" s="28" t="n"/>
      <c r="D1798" s="28" t="n"/>
      <c r="E1798" s="44" t="n"/>
      <c r="F1798" s="44" t="n"/>
      <c r="G1798" s="23" t="n"/>
      <c r="H1798" s="23" t="n"/>
      <c r="I1798" s="23" t="n"/>
      <c r="J1798" s="23" t="n"/>
      <c r="K1798" s="45">
        <f>IF(A1798="","",SUM(G$2:I1798)-SUM(J$2:J1798))</f>
        <v/>
      </c>
      <c r="L1798" s="46" t="n"/>
      <c r="M1798">
        <f>IF(A1798="","",IF(A1798=A1797,M1797,N(M1797)+1))</f>
        <v/>
      </c>
      <c r="N1798">
        <f>IF(E1798="",99999,E1798)</f>
        <v/>
      </c>
      <c r="O1798">
        <f>IF(E1798="",0,IF(F1798="",E1798,F1798))</f>
        <v/>
      </c>
      <c r="P1798">
        <f>IF(E1798="",1,MAX(1,(YEAR(O1798)-YEAR(N1798))*12+MONTH(O1798)-MONTH(N1798)+1))</f>
        <v/>
      </c>
      <c r="Q1798">
        <f>IF(G1798="",0,G1798/P1798)</f>
        <v/>
      </c>
      <c r="R1798">
        <f>IF(H1798="",0,H1798/P1798)</f>
        <v/>
      </c>
    </row>
    <row r="1799">
      <c r="A1799" s="43" t="n"/>
      <c r="B1799" s="28" t="n"/>
      <c r="C1799" s="28" t="n"/>
      <c r="D1799" s="28" t="n"/>
      <c r="E1799" s="44" t="n"/>
      <c r="F1799" s="44" t="n"/>
      <c r="G1799" s="23" t="n"/>
      <c r="H1799" s="23" t="n"/>
      <c r="I1799" s="23" t="n"/>
      <c r="J1799" s="23" t="n"/>
      <c r="K1799" s="45">
        <f>IF(A1799="","",SUM(G$2:I1799)-SUM(J$2:J1799))</f>
        <v/>
      </c>
      <c r="L1799" s="46" t="n"/>
      <c r="M1799">
        <f>IF(A1799="","",IF(A1799=A1798,M1798,N(M1798)+1))</f>
        <v/>
      </c>
      <c r="N1799">
        <f>IF(E1799="",99999,E1799)</f>
        <v/>
      </c>
      <c r="O1799">
        <f>IF(E1799="",0,IF(F1799="",E1799,F1799))</f>
        <v/>
      </c>
      <c r="P1799">
        <f>IF(E1799="",1,MAX(1,(YEAR(O1799)-YEAR(N1799))*12+MONTH(O1799)-MONTH(N1799)+1))</f>
        <v/>
      </c>
      <c r="Q1799">
        <f>IF(G1799="",0,G1799/P1799)</f>
        <v/>
      </c>
      <c r="R1799">
        <f>IF(H1799="",0,H1799/P1799)</f>
        <v/>
      </c>
    </row>
    <row r="1800">
      <c r="A1800" s="43" t="n"/>
      <c r="B1800" s="28" t="n"/>
      <c r="C1800" s="28" t="n"/>
      <c r="D1800" s="28" t="n"/>
      <c r="E1800" s="44" t="n"/>
      <c r="F1800" s="44" t="n"/>
      <c r="G1800" s="23" t="n"/>
      <c r="H1800" s="23" t="n"/>
      <c r="I1800" s="23" t="n"/>
      <c r="J1800" s="23" t="n"/>
      <c r="K1800" s="45">
        <f>IF(A1800="","",SUM(G$2:I1800)-SUM(J$2:J1800))</f>
        <v/>
      </c>
      <c r="L1800" s="46" t="n"/>
      <c r="M1800">
        <f>IF(A1800="","",IF(A1800=A1799,M1799,N(M1799)+1))</f>
        <v/>
      </c>
      <c r="N1800">
        <f>IF(E1800="",99999,E1800)</f>
        <v/>
      </c>
      <c r="O1800">
        <f>IF(E1800="",0,IF(F1800="",E1800,F1800))</f>
        <v/>
      </c>
      <c r="P1800">
        <f>IF(E1800="",1,MAX(1,(YEAR(O1800)-YEAR(N1800))*12+MONTH(O1800)-MONTH(N1800)+1))</f>
        <v/>
      </c>
      <c r="Q1800">
        <f>IF(G1800="",0,G1800/P1800)</f>
        <v/>
      </c>
      <c r="R1800">
        <f>IF(H1800="",0,H1800/P1800)</f>
        <v/>
      </c>
    </row>
    <row r="1801">
      <c r="A1801" s="43" t="n"/>
      <c r="B1801" s="28" t="n"/>
      <c r="C1801" s="28" t="n"/>
      <c r="D1801" s="28" t="n"/>
      <c r="E1801" s="44" t="n"/>
      <c r="F1801" s="44" t="n"/>
      <c r="G1801" s="23" t="n"/>
      <c r="H1801" s="23" t="n"/>
      <c r="I1801" s="23" t="n"/>
      <c r="J1801" s="23" t="n"/>
      <c r="K1801" s="45">
        <f>IF(A1801="","",SUM(G$2:I1801)-SUM(J$2:J1801))</f>
        <v/>
      </c>
      <c r="L1801" s="46" t="n"/>
      <c r="M1801">
        <f>IF(A1801="","",IF(A1801=A1800,M1800,N(M1800)+1))</f>
        <v/>
      </c>
      <c r="N1801">
        <f>IF(E1801="",99999,E1801)</f>
        <v/>
      </c>
      <c r="O1801">
        <f>IF(E1801="",0,IF(F1801="",E1801,F1801))</f>
        <v/>
      </c>
      <c r="P1801">
        <f>IF(E1801="",1,MAX(1,(YEAR(O1801)-YEAR(N1801))*12+MONTH(O1801)-MONTH(N1801)+1))</f>
        <v/>
      </c>
      <c r="Q1801">
        <f>IF(G1801="",0,G1801/P1801)</f>
        <v/>
      </c>
      <c r="R1801">
        <f>IF(H1801="",0,H1801/P1801)</f>
        <v/>
      </c>
    </row>
    <row r="1802">
      <c r="A1802" s="43" t="n"/>
      <c r="B1802" s="28" t="n"/>
      <c r="C1802" s="28" t="n"/>
      <c r="D1802" s="28" t="n"/>
      <c r="E1802" s="44" t="n"/>
      <c r="F1802" s="44" t="n"/>
      <c r="G1802" s="23" t="n"/>
      <c r="H1802" s="23" t="n"/>
      <c r="I1802" s="23" t="n"/>
      <c r="J1802" s="23" t="n"/>
      <c r="K1802" s="45">
        <f>IF(A1802="","",SUM(G$2:I1802)-SUM(J$2:J1802))</f>
        <v/>
      </c>
      <c r="L1802" s="46" t="n"/>
      <c r="M1802">
        <f>IF(A1802="","",IF(A1802=A1801,M1801,N(M1801)+1))</f>
        <v/>
      </c>
      <c r="N1802">
        <f>IF(E1802="",99999,E1802)</f>
        <v/>
      </c>
      <c r="O1802">
        <f>IF(E1802="",0,IF(F1802="",E1802,F1802))</f>
        <v/>
      </c>
      <c r="P1802">
        <f>IF(E1802="",1,MAX(1,(YEAR(O1802)-YEAR(N1802))*12+MONTH(O1802)-MONTH(N1802)+1))</f>
        <v/>
      </c>
      <c r="Q1802">
        <f>IF(G1802="",0,G1802/P1802)</f>
        <v/>
      </c>
      <c r="R1802">
        <f>IF(H1802="",0,H1802/P1802)</f>
        <v/>
      </c>
    </row>
    <row r="1803">
      <c r="A1803" s="43" t="n"/>
      <c r="B1803" s="28" t="n"/>
      <c r="C1803" s="28" t="n"/>
      <c r="D1803" s="28" t="n"/>
      <c r="E1803" s="44" t="n"/>
      <c r="F1803" s="44" t="n"/>
      <c r="G1803" s="23" t="n"/>
      <c r="H1803" s="23" t="n"/>
      <c r="I1803" s="23" t="n"/>
      <c r="J1803" s="23" t="n"/>
      <c r="K1803" s="45">
        <f>IF(A1803="","",SUM(G$2:I1803)-SUM(J$2:J1803))</f>
        <v/>
      </c>
      <c r="L1803" s="46" t="n"/>
      <c r="M1803">
        <f>IF(A1803="","",IF(A1803=A1802,M1802,N(M1802)+1))</f>
        <v/>
      </c>
      <c r="N1803">
        <f>IF(E1803="",99999,E1803)</f>
        <v/>
      </c>
      <c r="O1803">
        <f>IF(E1803="",0,IF(F1803="",E1803,F1803))</f>
        <v/>
      </c>
      <c r="P1803">
        <f>IF(E1803="",1,MAX(1,(YEAR(O1803)-YEAR(N1803))*12+MONTH(O1803)-MONTH(N1803)+1))</f>
        <v/>
      </c>
      <c r="Q1803">
        <f>IF(G1803="",0,G1803/P1803)</f>
        <v/>
      </c>
      <c r="R1803">
        <f>IF(H1803="",0,H1803/P1803)</f>
        <v/>
      </c>
    </row>
    <row r="1804">
      <c r="A1804" s="43" t="n"/>
      <c r="B1804" s="28" t="n"/>
      <c r="C1804" s="28" t="n"/>
      <c r="D1804" s="28" t="n"/>
      <c r="E1804" s="44" t="n"/>
      <c r="F1804" s="44" t="n"/>
      <c r="G1804" s="23" t="n"/>
      <c r="H1804" s="23" t="n"/>
      <c r="I1804" s="23" t="n"/>
      <c r="J1804" s="23" t="n"/>
      <c r="K1804" s="45">
        <f>IF(A1804="","",SUM(G$2:I1804)-SUM(J$2:J1804))</f>
        <v/>
      </c>
      <c r="L1804" s="46" t="n"/>
      <c r="M1804">
        <f>IF(A1804="","",IF(A1804=A1803,M1803,N(M1803)+1))</f>
        <v/>
      </c>
      <c r="N1804">
        <f>IF(E1804="",99999,E1804)</f>
        <v/>
      </c>
      <c r="O1804">
        <f>IF(E1804="",0,IF(F1804="",E1804,F1804))</f>
        <v/>
      </c>
      <c r="P1804">
        <f>IF(E1804="",1,MAX(1,(YEAR(O1804)-YEAR(N1804))*12+MONTH(O1804)-MONTH(N1804)+1))</f>
        <v/>
      </c>
      <c r="Q1804">
        <f>IF(G1804="",0,G1804/P1804)</f>
        <v/>
      </c>
      <c r="R1804">
        <f>IF(H1804="",0,H1804/P1804)</f>
        <v/>
      </c>
    </row>
    <row r="1805">
      <c r="A1805" s="43" t="n"/>
      <c r="B1805" s="28" t="n"/>
      <c r="C1805" s="28" t="n"/>
      <c r="D1805" s="28" t="n"/>
      <c r="E1805" s="44" t="n"/>
      <c r="F1805" s="44" t="n"/>
      <c r="G1805" s="23" t="n"/>
      <c r="H1805" s="23" t="n"/>
      <c r="I1805" s="23" t="n"/>
      <c r="J1805" s="23" t="n"/>
      <c r="K1805" s="45">
        <f>IF(A1805="","",SUM(G$2:I1805)-SUM(J$2:J1805))</f>
        <v/>
      </c>
      <c r="L1805" s="46" t="n"/>
      <c r="M1805">
        <f>IF(A1805="","",IF(A1805=A1804,M1804,N(M1804)+1))</f>
        <v/>
      </c>
      <c r="N1805">
        <f>IF(E1805="",99999,E1805)</f>
        <v/>
      </c>
      <c r="O1805">
        <f>IF(E1805="",0,IF(F1805="",E1805,F1805))</f>
        <v/>
      </c>
      <c r="P1805">
        <f>IF(E1805="",1,MAX(1,(YEAR(O1805)-YEAR(N1805))*12+MONTH(O1805)-MONTH(N1805)+1))</f>
        <v/>
      </c>
      <c r="Q1805">
        <f>IF(G1805="",0,G1805/P1805)</f>
        <v/>
      </c>
      <c r="R1805">
        <f>IF(H1805="",0,H1805/P1805)</f>
        <v/>
      </c>
    </row>
    <row r="1806">
      <c r="A1806" s="43" t="n"/>
      <c r="B1806" s="28" t="n"/>
      <c r="C1806" s="28" t="n"/>
      <c r="D1806" s="28" t="n"/>
      <c r="E1806" s="44" t="n"/>
      <c r="F1806" s="44" t="n"/>
      <c r="G1806" s="23" t="n"/>
      <c r="H1806" s="23" t="n"/>
      <c r="I1806" s="23" t="n"/>
      <c r="J1806" s="23" t="n"/>
      <c r="K1806" s="45">
        <f>IF(A1806="","",SUM(G$2:I1806)-SUM(J$2:J1806))</f>
        <v/>
      </c>
      <c r="L1806" s="46" t="n"/>
      <c r="M1806">
        <f>IF(A1806="","",IF(A1806=A1805,M1805,N(M1805)+1))</f>
        <v/>
      </c>
      <c r="N1806">
        <f>IF(E1806="",99999,E1806)</f>
        <v/>
      </c>
      <c r="O1806">
        <f>IF(E1806="",0,IF(F1806="",E1806,F1806))</f>
        <v/>
      </c>
      <c r="P1806">
        <f>IF(E1806="",1,MAX(1,(YEAR(O1806)-YEAR(N1806))*12+MONTH(O1806)-MONTH(N1806)+1))</f>
        <v/>
      </c>
      <c r="Q1806">
        <f>IF(G1806="",0,G1806/P1806)</f>
        <v/>
      </c>
      <c r="R1806">
        <f>IF(H1806="",0,H1806/P1806)</f>
        <v/>
      </c>
    </row>
    <row r="1807">
      <c r="A1807" s="43" t="n"/>
      <c r="B1807" s="28" t="n"/>
      <c r="C1807" s="28" t="n"/>
      <c r="D1807" s="28" t="n"/>
      <c r="E1807" s="44" t="n"/>
      <c r="F1807" s="44" t="n"/>
      <c r="G1807" s="23" t="n"/>
      <c r="H1807" s="23" t="n"/>
      <c r="I1807" s="23" t="n"/>
      <c r="J1807" s="23" t="n"/>
      <c r="K1807" s="45">
        <f>IF(A1807="","",SUM(G$2:I1807)-SUM(J$2:J1807))</f>
        <v/>
      </c>
      <c r="L1807" s="46" t="n"/>
      <c r="M1807">
        <f>IF(A1807="","",IF(A1807=A1806,M1806,N(M1806)+1))</f>
        <v/>
      </c>
      <c r="N1807">
        <f>IF(E1807="",99999,E1807)</f>
        <v/>
      </c>
      <c r="O1807">
        <f>IF(E1807="",0,IF(F1807="",E1807,F1807))</f>
        <v/>
      </c>
      <c r="P1807">
        <f>IF(E1807="",1,MAX(1,(YEAR(O1807)-YEAR(N1807))*12+MONTH(O1807)-MONTH(N1807)+1))</f>
        <v/>
      </c>
      <c r="Q1807">
        <f>IF(G1807="",0,G1807/P1807)</f>
        <v/>
      </c>
      <c r="R1807">
        <f>IF(H1807="",0,H1807/P1807)</f>
        <v/>
      </c>
    </row>
    <row r="1808">
      <c r="A1808" s="43" t="n"/>
      <c r="B1808" s="28" t="n"/>
      <c r="C1808" s="28" t="n"/>
      <c r="D1808" s="28" t="n"/>
      <c r="E1808" s="44" t="n"/>
      <c r="F1808" s="44" t="n"/>
      <c r="G1808" s="23" t="n"/>
      <c r="H1808" s="23" t="n"/>
      <c r="I1808" s="23" t="n"/>
      <c r="J1808" s="23" t="n"/>
      <c r="K1808" s="45">
        <f>IF(A1808="","",SUM(G$2:I1808)-SUM(J$2:J1808))</f>
        <v/>
      </c>
      <c r="L1808" s="46" t="n"/>
      <c r="M1808">
        <f>IF(A1808="","",IF(A1808=A1807,M1807,N(M1807)+1))</f>
        <v/>
      </c>
      <c r="N1808">
        <f>IF(E1808="",99999,E1808)</f>
        <v/>
      </c>
      <c r="O1808">
        <f>IF(E1808="",0,IF(F1808="",E1808,F1808))</f>
        <v/>
      </c>
      <c r="P1808">
        <f>IF(E1808="",1,MAX(1,(YEAR(O1808)-YEAR(N1808))*12+MONTH(O1808)-MONTH(N1808)+1))</f>
        <v/>
      </c>
      <c r="Q1808">
        <f>IF(G1808="",0,G1808/P1808)</f>
        <v/>
      </c>
      <c r="R1808">
        <f>IF(H1808="",0,H1808/P1808)</f>
        <v/>
      </c>
    </row>
    <row r="1809">
      <c r="A1809" s="43" t="n"/>
      <c r="B1809" s="28" t="n"/>
      <c r="C1809" s="28" t="n"/>
      <c r="D1809" s="28" t="n"/>
      <c r="E1809" s="44" t="n"/>
      <c r="F1809" s="44" t="n"/>
      <c r="G1809" s="23" t="n"/>
      <c r="H1809" s="23" t="n"/>
      <c r="I1809" s="23" t="n"/>
      <c r="J1809" s="23" t="n"/>
      <c r="K1809" s="45">
        <f>IF(A1809="","",SUM(G$2:I1809)-SUM(J$2:J1809))</f>
        <v/>
      </c>
      <c r="L1809" s="46" t="n"/>
      <c r="M1809">
        <f>IF(A1809="","",IF(A1809=A1808,M1808,N(M1808)+1))</f>
        <v/>
      </c>
      <c r="N1809">
        <f>IF(E1809="",99999,E1809)</f>
        <v/>
      </c>
      <c r="O1809">
        <f>IF(E1809="",0,IF(F1809="",E1809,F1809))</f>
        <v/>
      </c>
      <c r="P1809">
        <f>IF(E1809="",1,MAX(1,(YEAR(O1809)-YEAR(N1809))*12+MONTH(O1809)-MONTH(N1809)+1))</f>
        <v/>
      </c>
      <c r="Q1809">
        <f>IF(G1809="",0,G1809/P1809)</f>
        <v/>
      </c>
      <c r="R1809">
        <f>IF(H1809="",0,H1809/P1809)</f>
        <v/>
      </c>
    </row>
    <row r="1810">
      <c r="A1810" s="43" t="n"/>
      <c r="B1810" s="28" t="n"/>
      <c r="C1810" s="28" t="n"/>
      <c r="D1810" s="28" t="n"/>
      <c r="E1810" s="44" t="n"/>
      <c r="F1810" s="44" t="n"/>
      <c r="G1810" s="23" t="n"/>
      <c r="H1810" s="23" t="n"/>
      <c r="I1810" s="23" t="n"/>
      <c r="J1810" s="23" t="n"/>
      <c r="K1810" s="45">
        <f>IF(A1810="","",SUM(G$2:I1810)-SUM(J$2:J1810))</f>
        <v/>
      </c>
      <c r="L1810" s="46" t="n"/>
      <c r="M1810">
        <f>IF(A1810="","",IF(A1810=A1809,M1809,N(M1809)+1))</f>
        <v/>
      </c>
      <c r="N1810">
        <f>IF(E1810="",99999,E1810)</f>
        <v/>
      </c>
      <c r="O1810">
        <f>IF(E1810="",0,IF(F1810="",E1810,F1810))</f>
        <v/>
      </c>
      <c r="P1810">
        <f>IF(E1810="",1,MAX(1,(YEAR(O1810)-YEAR(N1810))*12+MONTH(O1810)-MONTH(N1810)+1))</f>
        <v/>
      </c>
      <c r="Q1810">
        <f>IF(G1810="",0,G1810/P1810)</f>
        <v/>
      </c>
      <c r="R1810">
        <f>IF(H1810="",0,H1810/P1810)</f>
        <v/>
      </c>
    </row>
    <row r="1811">
      <c r="A1811" s="43" t="n"/>
      <c r="B1811" s="28" t="n"/>
      <c r="C1811" s="28" t="n"/>
      <c r="D1811" s="28" t="n"/>
      <c r="E1811" s="44" t="n"/>
      <c r="F1811" s="44" t="n"/>
      <c r="G1811" s="23" t="n"/>
      <c r="H1811" s="23" t="n"/>
      <c r="I1811" s="23" t="n"/>
      <c r="J1811" s="23" t="n"/>
      <c r="K1811" s="45">
        <f>IF(A1811="","",SUM(G$2:I1811)-SUM(J$2:J1811))</f>
        <v/>
      </c>
      <c r="L1811" s="46" t="n"/>
      <c r="M1811">
        <f>IF(A1811="","",IF(A1811=A1810,M1810,N(M1810)+1))</f>
        <v/>
      </c>
      <c r="N1811">
        <f>IF(E1811="",99999,E1811)</f>
        <v/>
      </c>
      <c r="O1811">
        <f>IF(E1811="",0,IF(F1811="",E1811,F1811))</f>
        <v/>
      </c>
      <c r="P1811">
        <f>IF(E1811="",1,MAX(1,(YEAR(O1811)-YEAR(N1811))*12+MONTH(O1811)-MONTH(N1811)+1))</f>
        <v/>
      </c>
      <c r="Q1811">
        <f>IF(G1811="",0,G1811/P1811)</f>
        <v/>
      </c>
      <c r="R1811">
        <f>IF(H1811="",0,H1811/P1811)</f>
        <v/>
      </c>
    </row>
    <row r="1812">
      <c r="A1812" s="43" t="n"/>
      <c r="B1812" s="28" t="n"/>
      <c r="C1812" s="28" t="n"/>
      <c r="D1812" s="28" t="n"/>
      <c r="E1812" s="44" t="n"/>
      <c r="F1812" s="44" t="n"/>
      <c r="G1812" s="23" t="n"/>
      <c r="H1812" s="23" t="n"/>
      <c r="I1812" s="23" t="n"/>
      <c r="J1812" s="23" t="n"/>
      <c r="K1812" s="45">
        <f>IF(A1812="","",SUM(G$2:I1812)-SUM(J$2:J1812))</f>
        <v/>
      </c>
      <c r="L1812" s="46" t="n"/>
      <c r="M1812">
        <f>IF(A1812="","",IF(A1812=A1811,M1811,N(M1811)+1))</f>
        <v/>
      </c>
      <c r="N1812">
        <f>IF(E1812="",99999,E1812)</f>
        <v/>
      </c>
      <c r="O1812">
        <f>IF(E1812="",0,IF(F1812="",E1812,F1812))</f>
        <v/>
      </c>
      <c r="P1812">
        <f>IF(E1812="",1,MAX(1,(YEAR(O1812)-YEAR(N1812))*12+MONTH(O1812)-MONTH(N1812)+1))</f>
        <v/>
      </c>
      <c r="Q1812">
        <f>IF(G1812="",0,G1812/P1812)</f>
        <v/>
      </c>
      <c r="R1812">
        <f>IF(H1812="",0,H1812/P1812)</f>
        <v/>
      </c>
    </row>
    <row r="1813">
      <c r="A1813" s="43" t="n"/>
      <c r="B1813" s="28" t="n"/>
      <c r="C1813" s="28" t="n"/>
      <c r="D1813" s="28" t="n"/>
      <c r="E1813" s="44" t="n"/>
      <c r="F1813" s="44" t="n"/>
      <c r="G1813" s="23" t="n"/>
      <c r="H1813" s="23" t="n"/>
      <c r="I1813" s="23" t="n"/>
      <c r="J1813" s="23" t="n"/>
      <c r="K1813" s="45">
        <f>IF(A1813="","",SUM(G$2:I1813)-SUM(J$2:J1813))</f>
        <v/>
      </c>
      <c r="L1813" s="46" t="n"/>
      <c r="M1813">
        <f>IF(A1813="","",IF(A1813=A1812,M1812,N(M1812)+1))</f>
        <v/>
      </c>
      <c r="N1813">
        <f>IF(E1813="",99999,E1813)</f>
        <v/>
      </c>
      <c r="O1813">
        <f>IF(E1813="",0,IF(F1813="",E1813,F1813))</f>
        <v/>
      </c>
      <c r="P1813">
        <f>IF(E1813="",1,MAX(1,(YEAR(O1813)-YEAR(N1813))*12+MONTH(O1813)-MONTH(N1813)+1))</f>
        <v/>
      </c>
      <c r="Q1813">
        <f>IF(G1813="",0,G1813/P1813)</f>
        <v/>
      </c>
      <c r="R1813">
        <f>IF(H1813="",0,H1813/P1813)</f>
        <v/>
      </c>
    </row>
    <row r="1814">
      <c r="A1814" s="43" t="n"/>
      <c r="B1814" s="28" t="n"/>
      <c r="C1814" s="28" t="n"/>
      <c r="D1814" s="28" t="n"/>
      <c r="E1814" s="44" t="n"/>
      <c r="F1814" s="44" t="n"/>
      <c r="G1814" s="23" t="n"/>
      <c r="H1814" s="23" t="n"/>
      <c r="I1814" s="23" t="n"/>
      <c r="J1814" s="23" t="n"/>
      <c r="K1814" s="45">
        <f>IF(A1814="","",SUM(G$2:I1814)-SUM(J$2:J1814))</f>
        <v/>
      </c>
      <c r="L1814" s="46" t="n"/>
      <c r="M1814">
        <f>IF(A1814="","",IF(A1814=A1813,M1813,N(M1813)+1))</f>
        <v/>
      </c>
      <c r="N1814">
        <f>IF(E1814="",99999,E1814)</f>
        <v/>
      </c>
      <c r="O1814">
        <f>IF(E1814="",0,IF(F1814="",E1814,F1814))</f>
        <v/>
      </c>
      <c r="P1814">
        <f>IF(E1814="",1,MAX(1,(YEAR(O1814)-YEAR(N1814))*12+MONTH(O1814)-MONTH(N1814)+1))</f>
        <v/>
      </c>
      <c r="Q1814">
        <f>IF(G1814="",0,G1814/P1814)</f>
        <v/>
      </c>
      <c r="R1814">
        <f>IF(H1814="",0,H1814/P1814)</f>
        <v/>
      </c>
    </row>
    <row r="1815">
      <c r="A1815" s="43" t="n"/>
      <c r="B1815" s="28" t="n"/>
      <c r="C1815" s="28" t="n"/>
      <c r="D1815" s="28" t="n"/>
      <c r="E1815" s="44" t="n"/>
      <c r="F1815" s="44" t="n"/>
      <c r="G1815" s="23" t="n"/>
      <c r="H1815" s="23" t="n"/>
      <c r="I1815" s="23" t="n"/>
      <c r="J1815" s="23" t="n"/>
      <c r="K1815" s="45">
        <f>IF(A1815="","",SUM(G$2:I1815)-SUM(J$2:J1815))</f>
        <v/>
      </c>
      <c r="L1815" s="46" t="n"/>
      <c r="M1815">
        <f>IF(A1815="","",IF(A1815=A1814,M1814,N(M1814)+1))</f>
        <v/>
      </c>
      <c r="N1815">
        <f>IF(E1815="",99999,E1815)</f>
        <v/>
      </c>
      <c r="O1815">
        <f>IF(E1815="",0,IF(F1815="",E1815,F1815))</f>
        <v/>
      </c>
      <c r="P1815">
        <f>IF(E1815="",1,MAX(1,(YEAR(O1815)-YEAR(N1815))*12+MONTH(O1815)-MONTH(N1815)+1))</f>
        <v/>
      </c>
      <c r="Q1815">
        <f>IF(G1815="",0,G1815/P1815)</f>
        <v/>
      </c>
      <c r="R1815">
        <f>IF(H1815="",0,H1815/P1815)</f>
        <v/>
      </c>
    </row>
    <row r="1816">
      <c r="A1816" s="43" t="n"/>
      <c r="B1816" s="28" t="n"/>
      <c r="C1816" s="28" t="n"/>
      <c r="D1816" s="28" t="n"/>
      <c r="E1816" s="44" t="n"/>
      <c r="F1816" s="44" t="n"/>
      <c r="G1816" s="23" t="n"/>
      <c r="H1816" s="23" t="n"/>
      <c r="I1816" s="23" t="n"/>
      <c r="J1816" s="23" t="n"/>
      <c r="K1816" s="45">
        <f>IF(A1816="","",SUM(G$2:I1816)-SUM(J$2:J1816))</f>
        <v/>
      </c>
      <c r="L1816" s="46" t="n"/>
      <c r="M1816">
        <f>IF(A1816="","",IF(A1816=A1815,M1815,N(M1815)+1))</f>
        <v/>
      </c>
      <c r="N1816">
        <f>IF(E1816="",99999,E1816)</f>
        <v/>
      </c>
      <c r="O1816">
        <f>IF(E1816="",0,IF(F1816="",E1816,F1816))</f>
        <v/>
      </c>
      <c r="P1816">
        <f>IF(E1816="",1,MAX(1,(YEAR(O1816)-YEAR(N1816))*12+MONTH(O1816)-MONTH(N1816)+1))</f>
        <v/>
      </c>
      <c r="Q1816">
        <f>IF(G1816="",0,G1816/P1816)</f>
        <v/>
      </c>
      <c r="R1816">
        <f>IF(H1816="",0,H1816/P1816)</f>
        <v/>
      </c>
    </row>
    <row r="1817">
      <c r="A1817" s="43" t="n"/>
      <c r="B1817" s="28" t="n"/>
      <c r="C1817" s="28" t="n"/>
      <c r="D1817" s="28" t="n"/>
      <c r="E1817" s="44" t="n"/>
      <c r="F1817" s="44" t="n"/>
      <c r="G1817" s="23" t="n"/>
      <c r="H1817" s="23" t="n"/>
      <c r="I1817" s="23" t="n"/>
      <c r="J1817" s="23" t="n"/>
      <c r="K1817" s="45">
        <f>IF(A1817="","",SUM(G$2:I1817)-SUM(J$2:J1817))</f>
        <v/>
      </c>
      <c r="L1817" s="46" t="n"/>
      <c r="M1817">
        <f>IF(A1817="","",IF(A1817=A1816,M1816,N(M1816)+1))</f>
        <v/>
      </c>
      <c r="N1817">
        <f>IF(E1817="",99999,E1817)</f>
        <v/>
      </c>
      <c r="O1817">
        <f>IF(E1817="",0,IF(F1817="",E1817,F1817))</f>
        <v/>
      </c>
      <c r="P1817">
        <f>IF(E1817="",1,MAX(1,(YEAR(O1817)-YEAR(N1817))*12+MONTH(O1817)-MONTH(N1817)+1))</f>
        <v/>
      </c>
      <c r="Q1817">
        <f>IF(G1817="",0,G1817/P1817)</f>
        <v/>
      </c>
      <c r="R1817">
        <f>IF(H1817="",0,H1817/P1817)</f>
        <v/>
      </c>
    </row>
    <row r="1818">
      <c r="A1818" s="43" t="n"/>
      <c r="B1818" s="28" t="n"/>
      <c r="C1818" s="28" t="n"/>
      <c r="D1818" s="28" t="n"/>
      <c r="E1818" s="44" t="n"/>
      <c r="F1818" s="44" t="n"/>
      <c r="G1818" s="23" t="n"/>
      <c r="H1818" s="23" t="n"/>
      <c r="I1818" s="23" t="n"/>
      <c r="J1818" s="23" t="n"/>
      <c r="K1818" s="45">
        <f>IF(A1818="","",SUM(G$2:I1818)-SUM(J$2:J1818))</f>
        <v/>
      </c>
      <c r="L1818" s="46" t="n"/>
      <c r="M1818">
        <f>IF(A1818="","",IF(A1818=A1817,M1817,N(M1817)+1))</f>
        <v/>
      </c>
      <c r="N1818">
        <f>IF(E1818="",99999,E1818)</f>
        <v/>
      </c>
      <c r="O1818">
        <f>IF(E1818="",0,IF(F1818="",E1818,F1818))</f>
        <v/>
      </c>
      <c r="P1818">
        <f>IF(E1818="",1,MAX(1,(YEAR(O1818)-YEAR(N1818))*12+MONTH(O1818)-MONTH(N1818)+1))</f>
        <v/>
      </c>
      <c r="Q1818">
        <f>IF(G1818="",0,G1818/P1818)</f>
        <v/>
      </c>
      <c r="R1818">
        <f>IF(H1818="",0,H1818/P1818)</f>
        <v/>
      </c>
    </row>
    <row r="1819">
      <c r="A1819" s="43" t="n"/>
      <c r="B1819" s="28" t="n"/>
      <c r="C1819" s="28" t="n"/>
      <c r="D1819" s="28" t="n"/>
      <c r="E1819" s="44" t="n"/>
      <c r="F1819" s="44" t="n"/>
      <c r="G1819" s="23" t="n"/>
      <c r="H1819" s="23" t="n"/>
      <c r="I1819" s="23" t="n"/>
      <c r="J1819" s="23" t="n"/>
      <c r="K1819" s="45">
        <f>IF(A1819="","",SUM(G$2:I1819)-SUM(J$2:J1819))</f>
        <v/>
      </c>
      <c r="L1819" s="46" t="n"/>
      <c r="M1819">
        <f>IF(A1819="","",IF(A1819=A1818,M1818,N(M1818)+1))</f>
        <v/>
      </c>
      <c r="N1819">
        <f>IF(E1819="",99999,E1819)</f>
        <v/>
      </c>
      <c r="O1819">
        <f>IF(E1819="",0,IF(F1819="",E1819,F1819))</f>
        <v/>
      </c>
      <c r="P1819">
        <f>IF(E1819="",1,MAX(1,(YEAR(O1819)-YEAR(N1819))*12+MONTH(O1819)-MONTH(N1819)+1))</f>
        <v/>
      </c>
      <c r="Q1819">
        <f>IF(G1819="",0,G1819/P1819)</f>
        <v/>
      </c>
      <c r="R1819">
        <f>IF(H1819="",0,H1819/P1819)</f>
        <v/>
      </c>
    </row>
    <row r="1820">
      <c r="A1820" s="43" t="n"/>
      <c r="B1820" s="28" t="n"/>
      <c r="C1820" s="28" t="n"/>
      <c r="D1820" s="28" t="n"/>
      <c r="E1820" s="44" t="n"/>
      <c r="F1820" s="44" t="n"/>
      <c r="G1820" s="23" t="n"/>
      <c r="H1820" s="23" t="n"/>
      <c r="I1820" s="23" t="n"/>
      <c r="J1820" s="23" t="n"/>
      <c r="K1820" s="45">
        <f>IF(A1820="","",SUM(G$2:I1820)-SUM(J$2:J1820))</f>
        <v/>
      </c>
      <c r="L1820" s="46" t="n"/>
      <c r="M1820">
        <f>IF(A1820="","",IF(A1820=A1819,M1819,N(M1819)+1))</f>
        <v/>
      </c>
      <c r="N1820">
        <f>IF(E1820="",99999,E1820)</f>
        <v/>
      </c>
      <c r="O1820">
        <f>IF(E1820="",0,IF(F1820="",E1820,F1820))</f>
        <v/>
      </c>
      <c r="P1820">
        <f>IF(E1820="",1,MAX(1,(YEAR(O1820)-YEAR(N1820))*12+MONTH(O1820)-MONTH(N1820)+1))</f>
        <v/>
      </c>
      <c r="Q1820">
        <f>IF(G1820="",0,G1820/P1820)</f>
        <v/>
      </c>
      <c r="R1820">
        <f>IF(H1820="",0,H1820/P1820)</f>
        <v/>
      </c>
    </row>
    <row r="1821">
      <c r="A1821" s="43" t="n"/>
      <c r="B1821" s="28" t="n"/>
      <c r="C1821" s="28" t="n"/>
      <c r="D1821" s="28" t="n"/>
      <c r="E1821" s="44" t="n"/>
      <c r="F1821" s="44" t="n"/>
      <c r="G1821" s="23" t="n"/>
      <c r="H1821" s="23" t="n"/>
      <c r="I1821" s="23" t="n"/>
      <c r="J1821" s="23" t="n"/>
      <c r="K1821" s="45">
        <f>IF(A1821="","",SUM(G$2:I1821)-SUM(J$2:J1821))</f>
        <v/>
      </c>
      <c r="L1821" s="46" t="n"/>
      <c r="M1821">
        <f>IF(A1821="","",IF(A1821=A1820,M1820,N(M1820)+1))</f>
        <v/>
      </c>
      <c r="N1821">
        <f>IF(E1821="",99999,E1821)</f>
        <v/>
      </c>
      <c r="O1821">
        <f>IF(E1821="",0,IF(F1821="",E1821,F1821))</f>
        <v/>
      </c>
      <c r="P1821">
        <f>IF(E1821="",1,MAX(1,(YEAR(O1821)-YEAR(N1821))*12+MONTH(O1821)-MONTH(N1821)+1))</f>
        <v/>
      </c>
      <c r="Q1821">
        <f>IF(G1821="",0,G1821/P1821)</f>
        <v/>
      </c>
      <c r="R1821">
        <f>IF(H1821="",0,H1821/P1821)</f>
        <v/>
      </c>
    </row>
    <row r="1822">
      <c r="A1822" s="43" t="n"/>
      <c r="B1822" s="28" t="n"/>
      <c r="C1822" s="28" t="n"/>
      <c r="D1822" s="28" t="n"/>
      <c r="E1822" s="44" t="n"/>
      <c r="F1822" s="44" t="n"/>
      <c r="G1822" s="23" t="n"/>
      <c r="H1822" s="23" t="n"/>
      <c r="I1822" s="23" t="n"/>
      <c r="J1822" s="23" t="n"/>
      <c r="K1822" s="45">
        <f>IF(A1822="","",SUM(G$2:I1822)-SUM(J$2:J1822))</f>
        <v/>
      </c>
      <c r="L1822" s="46" t="n"/>
      <c r="M1822">
        <f>IF(A1822="","",IF(A1822=A1821,M1821,N(M1821)+1))</f>
        <v/>
      </c>
      <c r="N1822">
        <f>IF(E1822="",99999,E1822)</f>
        <v/>
      </c>
      <c r="O1822">
        <f>IF(E1822="",0,IF(F1822="",E1822,F1822))</f>
        <v/>
      </c>
      <c r="P1822">
        <f>IF(E1822="",1,MAX(1,(YEAR(O1822)-YEAR(N1822))*12+MONTH(O1822)-MONTH(N1822)+1))</f>
        <v/>
      </c>
      <c r="Q1822">
        <f>IF(G1822="",0,G1822/P1822)</f>
        <v/>
      </c>
      <c r="R1822">
        <f>IF(H1822="",0,H1822/P1822)</f>
        <v/>
      </c>
    </row>
    <row r="1823">
      <c r="A1823" s="43" t="n"/>
      <c r="B1823" s="28" t="n"/>
      <c r="C1823" s="28" t="n"/>
      <c r="D1823" s="28" t="n"/>
      <c r="E1823" s="44" t="n"/>
      <c r="F1823" s="44" t="n"/>
      <c r="G1823" s="23" t="n"/>
      <c r="H1823" s="23" t="n"/>
      <c r="I1823" s="23" t="n"/>
      <c r="J1823" s="23" t="n"/>
      <c r="K1823" s="45">
        <f>IF(A1823="","",SUM(G$2:I1823)-SUM(J$2:J1823))</f>
        <v/>
      </c>
      <c r="L1823" s="46" t="n"/>
      <c r="M1823">
        <f>IF(A1823="","",IF(A1823=A1822,M1822,N(M1822)+1))</f>
        <v/>
      </c>
      <c r="N1823">
        <f>IF(E1823="",99999,E1823)</f>
        <v/>
      </c>
      <c r="O1823">
        <f>IF(E1823="",0,IF(F1823="",E1823,F1823))</f>
        <v/>
      </c>
      <c r="P1823">
        <f>IF(E1823="",1,MAX(1,(YEAR(O1823)-YEAR(N1823))*12+MONTH(O1823)-MONTH(N1823)+1))</f>
        <v/>
      </c>
      <c r="Q1823">
        <f>IF(G1823="",0,G1823/P1823)</f>
        <v/>
      </c>
      <c r="R1823">
        <f>IF(H1823="",0,H1823/P1823)</f>
        <v/>
      </c>
    </row>
    <row r="1824">
      <c r="A1824" s="43" t="n"/>
      <c r="B1824" s="28" t="n"/>
      <c r="C1824" s="28" t="n"/>
      <c r="D1824" s="28" t="n"/>
      <c r="E1824" s="44" t="n"/>
      <c r="F1824" s="44" t="n"/>
      <c r="G1824" s="23" t="n"/>
      <c r="H1824" s="23" t="n"/>
      <c r="I1824" s="23" t="n"/>
      <c r="J1824" s="23" t="n"/>
      <c r="K1824" s="45">
        <f>IF(A1824="","",SUM(G$2:I1824)-SUM(J$2:J1824))</f>
        <v/>
      </c>
      <c r="L1824" s="46" t="n"/>
      <c r="M1824">
        <f>IF(A1824="","",IF(A1824=A1823,M1823,N(M1823)+1))</f>
        <v/>
      </c>
      <c r="N1824">
        <f>IF(E1824="",99999,E1824)</f>
        <v/>
      </c>
      <c r="O1824">
        <f>IF(E1824="",0,IF(F1824="",E1824,F1824))</f>
        <v/>
      </c>
      <c r="P1824">
        <f>IF(E1824="",1,MAX(1,(YEAR(O1824)-YEAR(N1824))*12+MONTH(O1824)-MONTH(N1824)+1))</f>
        <v/>
      </c>
      <c r="Q1824">
        <f>IF(G1824="",0,G1824/P1824)</f>
        <v/>
      </c>
      <c r="R1824">
        <f>IF(H1824="",0,H1824/P1824)</f>
        <v/>
      </c>
    </row>
    <row r="1825">
      <c r="A1825" s="43" t="n"/>
      <c r="B1825" s="28" t="n"/>
      <c r="C1825" s="28" t="n"/>
      <c r="D1825" s="28" t="n"/>
      <c r="E1825" s="44" t="n"/>
      <c r="F1825" s="44" t="n"/>
      <c r="G1825" s="23" t="n"/>
      <c r="H1825" s="23" t="n"/>
      <c r="I1825" s="23" t="n"/>
      <c r="J1825" s="23" t="n"/>
      <c r="K1825" s="45">
        <f>IF(A1825="","",SUM(G$2:I1825)-SUM(J$2:J1825))</f>
        <v/>
      </c>
      <c r="L1825" s="46" t="n"/>
      <c r="M1825">
        <f>IF(A1825="","",IF(A1825=A1824,M1824,N(M1824)+1))</f>
        <v/>
      </c>
      <c r="N1825">
        <f>IF(E1825="",99999,E1825)</f>
        <v/>
      </c>
      <c r="O1825">
        <f>IF(E1825="",0,IF(F1825="",E1825,F1825))</f>
        <v/>
      </c>
      <c r="P1825">
        <f>IF(E1825="",1,MAX(1,(YEAR(O1825)-YEAR(N1825))*12+MONTH(O1825)-MONTH(N1825)+1))</f>
        <v/>
      </c>
      <c r="Q1825">
        <f>IF(G1825="",0,G1825/P1825)</f>
        <v/>
      </c>
      <c r="R1825">
        <f>IF(H1825="",0,H1825/P1825)</f>
        <v/>
      </c>
    </row>
    <row r="1826">
      <c r="A1826" s="43" t="n"/>
      <c r="B1826" s="28" t="n"/>
      <c r="C1826" s="28" t="n"/>
      <c r="D1826" s="28" t="n"/>
      <c r="E1826" s="44" t="n"/>
      <c r="F1826" s="44" t="n"/>
      <c r="G1826" s="23" t="n"/>
      <c r="H1826" s="23" t="n"/>
      <c r="I1826" s="23" t="n"/>
      <c r="J1826" s="23" t="n"/>
      <c r="K1826" s="45">
        <f>IF(A1826="","",SUM(G$2:I1826)-SUM(J$2:J1826))</f>
        <v/>
      </c>
      <c r="L1826" s="46" t="n"/>
      <c r="M1826">
        <f>IF(A1826="","",IF(A1826=A1825,M1825,N(M1825)+1))</f>
        <v/>
      </c>
      <c r="N1826">
        <f>IF(E1826="",99999,E1826)</f>
        <v/>
      </c>
      <c r="O1826">
        <f>IF(E1826="",0,IF(F1826="",E1826,F1826))</f>
        <v/>
      </c>
      <c r="P1826">
        <f>IF(E1826="",1,MAX(1,(YEAR(O1826)-YEAR(N1826))*12+MONTH(O1826)-MONTH(N1826)+1))</f>
        <v/>
      </c>
      <c r="Q1826">
        <f>IF(G1826="",0,G1826/P1826)</f>
        <v/>
      </c>
      <c r="R1826">
        <f>IF(H1826="",0,H1826/P1826)</f>
        <v/>
      </c>
    </row>
    <row r="1827">
      <c r="A1827" s="43" t="n"/>
      <c r="B1827" s="28" t="n"/>
      <c r="C1827" s="28" t="n"/>
      <c r="D1827" s="28" t="n"/>
      <c r="E1827" s="44" t="n"/>
      <c r="F1827" s="44" t="n"/>
      <c r="G1827" s="23" t="n"/>
      <c r="H1827" s="23" t="n"/>
      <c r="I1827" s="23" t="n"/>
      <c r="J1827" s="23" t="n"/>
      <c r="K1827" s="45">
        <f>IF(A1827="","",SUM(G$2:I1827)-SUM(J$2:J1827))</f>
        <v/>
      </c>
      <c r="L1827" s="46" t="n"/>
      <c r="M1827">
        <f>IF(A1827="","",IF(A1827=A1826,M1826,N(M1826)+1))</f>
        <v/>
      </c>
      <c r="N1827">
        <f>IF(E1827="",99999,E1827)</f>
        <v/>
      </c>
      <c r="O1827">
        <f>IF(E1827="",0,IF(F1827="",E1827,F1827))</f>
        <v/>
      </c>
      <c r="P1827">
        <f>IF(E1827="",1,MAX(1,(YEAR(O1827)-YEAR(N1827))*12+MONTH(O1827)-MONTH(N1827)+1))</f>
        <v/>
      </c>
      <c r="Q1827">
        <f>IF(G1827="",0,G1827/P1827)</f>
        <v/>
      </c>
      <c r="R1827">
        <f>IF(H1827="",0,H1827/P1827)</f>
        <v/>
      </c>
    </row>
    <row r="1828">
      <c r="A1828" s="43" t="n"/>
      <c r="B1828" s="28" t="n"/>
      <c r="C1828" s="28" t="n"/>
      <c r="D1828" s="28" t="n"/>
      <c r="E1828" s="44" t="n"/>
      <c r="F1828" s="44" t="n"/>
      <c r="G1828" s="23" t="n"/>
      <c r="H1828" s="23" t="n"/>
      <c r="I1828" s="23" t="n"/>
      <c r="J1828" s="23" t="n"/>
      <c r="K1828" s="45">
        <f>IF(A1828="","",SUM(G$2:I1828)-SUM(J$2:J1828))</f>
        <v/>
      </c>
      <c r="L1828" s="46" t="n"/>
      <c r="M1828">
        <f>IF(A1828="","",IF(A1828=A1827,M1827,N(M1827)+1))</f>
        <v/>
      </c>
      <c r="N1828">
        <f>IF(E1828="",99999,E1828)</f>
        <v/>
      </c>
      <c r="O1828">
        <f>IF(E1828="",0,IF(F1828="",E1828,F1828))</f>
        <v/>
      </c>
      <c r="P1828">
        <f>IF(E1828="",1,MAX(1,(YEAR(O1828)-YEAR(N1828))*12+MONTH(O1828)-MONTH(N1828)+1))</f>
        <v/>
      </c>
      <c r="Q1828">
        <f>IF(G1828="",0,G1828/P1828)</f>
        <v/>
      </c>
      <c r="R1828">
        <f>IF(H1828="",0,H1828/P1828)</f>
        <v/>
      </c>
    </row>
    <row r="1829">
      <c r="A1829" s="43" t="n"/>
      <c r="B1829" s="28" t="n"/>
      <c r="C1829" s="28" t="n"/>
      <c r="D1829" s="28" t="n"/>
      <c r="E1829" s="44" t="n"/>
      <c r="F1829" s="44" t="n"/>
      <c r="G1829" s="23" t="n"/>
      <c r="H1829" s="23" t="n"/>
      <c r="I1829" s="23" t="n"/>
      <c r="J1829" s="23" t="n"/>
      <c r="K1829" s="45">
        <f>IF(A1829="","",SUM(G$2:I1829)-SUM(J$2:J1829))</f>
        <v/>
      </c>
      <c r="L1829" s="46" t="n"/>
      <c r="M1829">
        <f>IF(A1829="","",IF(A1829=A1828,M1828,N(M1828)+1))</f>
        <v/>
      </c>
      <c r="N1829">
        <f>IF(E1829="",99999,E1829)</f>
        <v/>
      </c>
      <c r="O1829">
        <f>IF(E1829="",0,IF(F1829="",E1829,F1829))</f>
        <v/>
      </c>
      <c r="P1829">
        <f>IF(E1829="",1,MAX(1,(YEAR(O1829)-YEAR(N1829))*12+MONTH(O1829)-MONTH(N1829)+1))</f>
        <v/>
      </c>
      <c r="Q1829">
        <f>IF(G1829="",0,G1829/P1829)</f>
        <v/>
      </c>
      <c r="R1829">
        <f>IF(H1829="",0,H1829/P1829)</f>
        <v/>
      </c>
    </row>
    <row r="1830">
      <c r="A1830" s="43" t="n"/>
      <c r="B1830" s="28" t="n"/>
      <c r="C1830" s="28" t="n"/>
      <c r="D1830" s="28" t="n"/>
      <c r="E1830" s="44" t="n"/>
      <c r="F1830" s="44" t="n"/>
      <c r="G1830" s="23" t="n"/>
      <c r="H1830" s="23" t="n"/>
      <c r="I1830" s="23" t="n"/>
      <c r="J1830" s="23" t="n"/>
      <c r="K1830" s="45">
        <f>IF(A1830="","",SUM(G$2:I1830)-SUM(J$2:J1830))</f>
        <v/>
      </c>
      <c r="L1830" s="46" t="n"/>
      <c r="M1830">
        <f>IF(A1830="","",IF(A1830=A1829,M1829,N(M1829)+1))</f>
        <v/>
      </c>
      <c r="N1830">
        <f>IF(E1830="",99999,E1830)</f>
        <v/>
      </c>
      <c r="O1830">
        <f>IF(E1830="",0,IF(F1830="",E1830,F1830))</f>
        <v/>
      </c>
      <c r="P1830">
        <f>IF(E1830="",1,MAX(1,(YEAR(O1830)-YEAR(N1830))*12+MONTH(O1830)-MONTH(N1830)+1))</f>
        <v/>
      </c>
      <c r="Q1830">
        <f>IF(G1830="",0,G1830/P1830)</f>
        <v/>
      </c>
      <c r="R1830">
        <f>IF(H1830="",0,H1830/P1830)</f>
        <v/>
      </c>
    </row>
    <row r="1831">
      <c r="A1831" s="43" t="n"/>
      <c r="B1831" s="28" t="n"/>
      <c r="C1831" s="28" t="n"/>
      <c r="D1831" s="28" t="n"/>
      <c r="E1831" s="44" t="n"/>
      <c r="F1831" s="44" t="n"/>
      <c r="G1831" s="23" t="n"/>
      <c r="H1831" s="23" t="n"/>
      <c r="I1831" s="23" t="n"/>
      <c r="J1831" s="23" t="n"/>
      <c r="K1831" s="45">
        <f>IF(A1831="","",SUM(G$2:I1831)-SUM(J$2:J1831))</f>
        <v/>
      </c>
      <c r="L1831" s="46" t="n"/>
      <c r="M1831">
        <f>IF(A1831="","",IF(A1831=A1830,M1830,N(M1830)+1))</f>
        <v/>
      </c>
      <c r="N1831">
        <f>IF(E1831="",99999,E1831)</f>
        <v/>
      </c>
      <c r="O1831">
        <f>IF(E1831="",0,IF(F1831="",E1831,F1831))</f>
        <v/>
      </c>
      <c r="P1831">
        <f>IF(E1831="",1,MAX(1,(YEAR(O1831)-YEAR(N1831))*12+MONTH(O1831)-MONTH(N1831)+1))</f>
        <v/>
      </c>
      <c r="Q1831">
        <f>IF(G1831="",0,G1831/P1831)</f>
        <v/>
      </c>
      <c r="R1831">
        <f>IF(H1831="",0,H1831/P1831)</f>
        <v/>
      </c>
    </row>
    <row r="1832">
      <c r="A1832" s="43" t="n"/>
      <c r="B1832" s="28" t="n"/>
      <c r="C1832" s="28" t="n"/>
      <c r="D1832" s="28" t="n"/>
      <c r="E1832" s="44" t="n"/>
      <c r="F1832" s="44" t="n"/>
      <c r="G1832" s="23" t="n"/>
      <c r="H1832" s="23" t="n"/>
      <c r="I1832" s="23" t="n"/>
      <c r="J1832" s="23" t="n"/>
      <c r="K1832" s="45">
        <f>IF(A1832="","",SUM(G$2:I1832)-SUM(J$2:J1832))</f>
        <v/>
      </c>
      <c r="L1832" s="46" t="n"/>
      <c r="M1832">
        <f>IF(A1832="","",IF(A1832=A1831,M1831,N(M1831)+1))</f>
        <v/>
      </c>
      <c r="N1832">
        <f>IF(E1832="",99999,E1832)</f>
        <v/>
      </c>
      <c r="O1832">
        <f>IF(E1832="",0,IF(F1832="",E1832,F1832))</f>
        <v/>
      </c>
      <c r="P1832">
        <f>IF(E1832="",1,MAX(1,(YEAR(O1832)-YEAR(N1832))*12+MONTH(O1832)-MONTH(N1832)+1))</f>
        <v/>
      </c>
      <c r="Q1832">
        <f>IF(G1832="",0,G1832/P1832)</f>
        <v/>
      </c>
      <c r="R1832">
        <f>IF(H1832="",0,H1832/P1832)</f>
        <v/>
      </c>
    </row>
    <row r="1833">
      <c r="A1833" s="43" t="n"/>
      <c r="B1833" s="28" t="n"/>
      <c r="C1833" s="28" t="n"/>
      <c r="D1833" s="28" t="n"/>
      <c r="E1833" s="44" t="n"/>
      <c r="F1833" s="44" t="n"/>
      <c r="G1833" s="23" t="n"/>
      <c r="H1833" s="23" t="n"/>
      <c r="I1833" s="23" t="n"/>
      <c r="J1833" s="23" t="n"/>
      <c r="K1833" s="45">
        <f>IF(A1833="","",SUM(G$2:I1833)-SUM(J$2:J1833))</f>
        <v/>
      </c>
      <c r="L1833" s="46" t="n"/>
      <c r="M1833">
        <f>IF(A1833="","",IF(A1833=A1832,M1832,N(M1832)+1))</f>
        <v/>
      </c>
      <c r="N1833">
        <f>IF(E1833="",99999,E1833)</f>
        <v/>
      </c>
      <c r="O1833">
        <f>IF(E1833="",0,IF(F1833="",E1833,F1833))</f>
        <v/>
      </c>
      <c r="P1833">
        <f>IF(E1833="",1,MAX(1,(YEAR(O1833)-YEAR(N1833))*12+MONTH(O1833)-MONTH(N1833)+1))</f>
        <v/>
      </c>
      <c r="Q1833">
        <f>IF(G1833="",0,G1833/P1833)</f>
        <v/>
      </c>
      <c r="R1833">
        <f>IF(H1833="",0,H1833/P1833)</f>
        <v/>
      </c>
    </row>
    <row r="1834">
      <c r="A1834" s="43" t="n"/>
      <c r="B1834" s="28" t="n"/>
      <c r="C1834" s="28" t="n"/>
      <c r="D1834" s="28" t="n"/>
      <c r="E1834" s="44" t="n"/>
      <c r="F1834" s="44" t="n"/>
      <c r="G1834" s="23" t="n"/>
      <c r="H1834" s="23" t="n"/>
      <c r="I1834" s="23" t="n"/>
      <c r="J1834" s="23" t="n"/>
      <c r="K1834" s="45">
        <f>IF(A1834="","",SUM(G$2:I1834)-SUM(J$2:J1834))</f>
        <v/>
      </c>
      <c r="L1834" s="46" t="n"/>
      <c r="M1834">
        <f>IF(A1834="","",IF(A1834=A1833,M1833,N(M1833)+1))</f>
        <v/>
      </c>
      <c r="N1834">
        <f>IF(E1834="",99999,E1834)</f>
        <v/>
      </c>
      <c r="O1834">
        <f>IF(E1834="",0,IF(F1834="",E1834,F1834))</f>
        <v/>
      </c>
      <c r="P1834">
        <f>IF(E1834="",1,MAX(1,(YEAR(O1834)-YEAR(N1834))*12+MONTH(O1834)-MONTH(N1834)+1))</f>
        <v/>
      </c>
      <c r="Q1834">
        <f>IF(G1834="",0,G1834/P1834)</f>
        <v/>
      </c>
      <c r="R1834">
        <f>IF(H1834="",0,H1834/P1834)</f>
        <v/>
      </c>
    </row>
    <row r="1835">
      <c r="A1835" s="43" t="n"/>
      <c r="B1835" s="28" t="n"/>
      <c r="C1835" s="28" t="n"/>
      <c r="D1835" s="28" t="n"/>
      <c r="E1835" s="44" t="n"/>
      <c r="F1835" s="44" t="n"/>
      <c r="G1835" s="23" t="n"/>
      <c r="H1835" s="23" t="n"/>
      <c r="I1835" s="23" t="n"/>
      <c r="J1835" s="23" t="n"/>
      <c r="K1835" s="45">
        <f>IF(A1835="","",SUM(G$2:I1835)-SUM(J$2:J1835))</f>
        <v/>
      </c>
      <c r="L1835" s="46" t="n"/>
      <c r="M1835">
        <f>IF(A1835="","",IF(A1835=A1834,M1834,N(M1834)+1))</f>
        <v/>
      </c>
      <c r="N1835">
        <f>IF(E1835="",99999,E1835)</f>
        <v/>
      </c>
      <c r="O1835">
        <f>IF(E1835="",0,IF(F1835="",E1835,F1835))</f>
        <v/>
      </c>
      <c r="P1835">
        <f>IF(E1835="",1,MAX(1,(YEAR(O1835)-YEAR(N1835))*12+MONTH(O1835)-MONTH(N1835)+1))</f>
        <v/>
      </c>
      <c r="Q1835">
        <f>IF(G1835="",0,G1835/P1835)</f>
        <v/>
      </c>
      <c r="R1835">
        <f>IF(H1835="",0,H1835/P1835)</f>
        <v/>
      </c>
    </row>
    <row r="1836">
      <c r="A1836" s="43" t="n"/>
      <c r="B1836" s="28" t="n"/>
      <c r="C1836" s="28" t="n"/>
      <c r="D1836" s="28" t="n"/>
      <c r="E1836" s="44" t="n"/>
      <c r="F1836" s="44" t="n"/>
      <c r="G1836" s="23" t="n"/>
      <c r="H1836" s="23" t="n"/>
      <c r="I1836" s="23" t="n"/>
      <c r="J1836" s="23" t="n"/>
      <c r="K1836" s="45">
        <f>IF(A1836="","",SUM(G$2:I1836)-SUM(J$2:J1836))</f>
        <v/>
      </c>
      <c r="L1836" s="46" t="n"/>
      <c r="M1836">
        <f>IF(A1836="","",IF(A1836=A1835,M1835,N(M1835)+1))</f>
        <v/>
      </c>
      <c r="N1836">
        <f>IF(E1836="",99999,E1836)</f>
        <v/>
      </c>
      <c r="O1836">
        <f>IF(E1836="",0,IF(F1836="",E1836,F1836))</f>
        <v/>
      </c>
      <c r="P1836">
        <f>IF(E1836="",1,MAX(1,(YEAR(O1836)-YEAR(N1836))*12+MONTH(O1836)-MONTH(N1836)+1))</f>
        <v/>
      </c>
      <c r="Q1836">
        <f>IF(G1836="",0,G1836/P1836)</f>
        <v/>
      </c>
      <c r="R1836">
        <f>IF(H1836="",0,H1836/P1836)</f>
        <v/>
      </c>
    </row>
    <row r="1837">
      <c r="A1837" s="43" t="n"/>
      <c r="B1837" s="28" t="n"/>
      <c r="C1837" s="28" t="n"/>
      <c r="D1837" s="28" t="n"/>
      <c r="E1837" s="44" t="n"/>
      <c r="F1837" s="44" t="n"/>
      <c r="G1837" s="23" t="n"/>
      <c r="H1837" s="23" t="n"/>
      <c r="I1837" s="23" t="n"/>
      <c r="J1837" s="23" t="n"/>
      <c r="K1837" s="45">
        <f>IF(A1837="","",SUM(G$2:I1837)-SUM(J$2:J1837))</f>
        <v/>
      </c>
      <c r="L1837" s="46" t="n"/>
      <c r="M1837">
        <f>IF(A1837="","",IF(A1837=A1836,M1836,N(M1836)+1))</f>
        <v/>
      </c>
      <c r="N1837">
        <f>IF(E1837="",99999,E1837)</f>
        <v/>
      </c>
      <c r="O1837">
        <f>IF(E1837="",0,IF(F1837="",E1837,F1837))</f>
        <v/>
      </c>
      <c r="P1837">
        <f>IF(E1837="",1,MAX(1,(YEAR(O1837)-YEAR(N1837))*12+MONTH(O1837)-MONTH(N1837)+1))</f>
        <v/>
      </c>
      <c r="Q1837">
        <f>IF(G1837="",0,G1837/P1837)</f>
        <v/>
      </c>
      <c r="R1837">
        <f>IF(H1837="",0,H1837/P1837)</f>
        <v/>
      </c>
    </row>
    <row r="1838">
      <c r="A1838" s="43" t="n"/>
      <c r="B1838" s="28" t="n"/>
      <c r="C1838" s="28" t="n"/>
      <c r="D1838" s="28" t="n"/>
      <c r="E1838" s="44" t="n"/>
      <c r="F1838" s="44" t="n"/>
      <c r="G1838" s="23" t="n"/>
      <c r="H1838" s="23" t="n"/>
      <c r="I1838" s="23" t="n"/>
      <c r="J1838" s="23" t="n"/>
      <c r="K1838" s="45">
        <f>IF(A1838="","",SUM(G$2:I1838)-SUM(J$2:J1838))</f>
        <v/>
      </c>
      <c r="L1838" s="46" t="n"/>
      <c r="M1838">
        <f>IF(A1838="","",IF(A1838=A1837,M1837,N(M1837)+1))</f>
        <v/>
      </c>
      <c r="N1838">
        <f>IF(E1838="",99999,E1838)</f>
        <v/>
      </c>
      <c r="O1838">
        <f>IF(E1838="",0,IF(F1838="",E1838,F1838))</f>
        <v/>
      </c>
      <c r="P1838">
        <f>IF(E1838="",1,MAX(1,(YEAR(O1838)-YEAR(N1838))*12+MONTH(O1838)-MONTH(N1838)+1))</f>
        <v/>
      </c>
      <c r="Q1838">
        <f>IF(G1838="",0,G1838/P1838)</f>
        <v/>
      </c>
      <c r="R1838">
        <f>IF(H1838="",0,H1838/P1838)</f>
        <v/>
      </c>
    </row>
    <row r="1839">
      <c r="A1839" s="43" t="n"/>
      <c r="B1839" s="28" t="n"/>
      <c r="C1839" s="28" t="n"/>
      <c r="D1839" s="28" t="n"/>
      <c r="E1839" s="44" t="n"/>
      <c r="F1839" s="44" t="n"/>
      <c r="G1839" s="23" t="n"/>
      <c r="H1839" s="23" t="n"/>
      <c r="I1839" s="23" t="n"/>
      <c r="J1839" s="23" t="n"/>
      <c r="K1839" s="45">
        <f>IF(A1839="","",SUM(G$2:I1839)-SUM(J$2:J1839))</f>
        <v/>
      </c>
      <c r="L1839" s="46" t="n"/>
      <c r="M1839">
        <f>IF(A1839="","",IF(A1839=A1838,M1838,N(M1838)+1))</f>
        <v/>
      </c>
      <c r="N1839">
        <f>IF(E1839="",99999,E1839)</f>
        <v/>
      </c>
      <c r="O1839">
        <f>IF(E1839="",0,IF(F1839="",E1839,F1839))</f>
        <v/>
      </c>
      <c r="P1839">
        <f>IF(E1839="",1,MAX(1,(YEAR(O1839)-YEAR(N1839))*12+MONTH(O1839)-MONTH(N1839)+1))</f>
        <v/>
      </c>
      <c r="Q1839">
        <f>IF(G1839="",0,G1839/P1839)</f>
        <v/>
      </c>
      <c r="R1839">
        <f>IF(H1839="",0,H1839/P1839)</f>
        <v/>
      </c>
    </row>
    <row r="1840">
      <c r="A1840" s="43" t="n"/>
      <c r="B1840" s="28" t="n"/>
      <c r="C1840" s="28" t="n"/>
      <c r="D1840" s="28" t="n"/>
      <c r="E1840" s="44" t="n"/>
      <c r="F1840" s="44" t="n"/>
      <c r="G1840" s="23" t="n"/>
      <c r="H1840" s="23" t="n"/>
      <c r="I1840" s="23" t="n"/>
      <c r="J1840" s="23" t="n"/>
      <c r="K1840" s="45">
        <f>IF(A1840="","",SUM(G$2:I1840)-SUM(J$2:J1840))</f>
        <v/>
      </c>
      <c r="L1840" s="46" t="n"/>
      <c r="M1840">
        <f>IF(A1840="","",IF(A1840=A1839,M1839,N(M1839)+1))</f>
        <v/>
      </c>
      <c r="N1840">
        <f>IF(E1840="",99999,E1840)</f>
        <v/>
      </c>
      <c r="O1840">
        <f>IF(E1840="",0,IF(F1840="",E1840,F1840))</f>
        <v/>
      </c>
      <c r="P1840">
        <f>IF(E1840="",1,MAX(1,(YEAR(O1840)-YEAR(N1840))*12+MONTH(O1840)-MONTH(N1840)+1))</f>
        <v/>
      </c>
      <c r="Q1840">
        <f>IF(G1840="",0,G1840/P1840)</f>
        <v/>
      </c>
      <c r="R1840">
        <f>IF(H1840="",0,H1840/P1840)</f>
        <v/>
      </c>
    </row>
    <row r="1841">
      <c r="A1841" s="43" t="n"/>
      <c r="B1841" s="28" t="n"/>
      <c r="C1841" s="28" t="n"/>
      <c r="D1841" s="28" t="n"/>
      <c r="E1841" s="44" t="n"/>
      <c r="F1841" s="44" t="n"/>
      <c r="G1841" s="23" t="n"/>
      <c r="H1841" s="23" t="n"/>
      <c r="I1841" s="23" t="n"/>
      <c r="J1841" s="23" t="n"/>
      <c r="K1841" s="45">
        <f>IF(A1841="","",SUM(G$2:I1841)-SUM(J$2:J1841))</f>
        <v/>
      </c>
      <c r="L1841" s="46" t="n"/>
      <c r="M1841">
        <f>IF(A1841="","",IF(A1841=A1840,M1840,N(M1840)+1))</f>
        <v/>
      </c>
      <c r="N1841">
        <f>IF(E1841="",99999,E1841)</f>
        <v/>
      </c>
      <c r="O1841">
        <f>IF(E1841="",0,IF(F1841="",E1841,F1841))</f>
        <v/>
      </c>
      <c r="P1841">
        <f>IF(E1841="",1,MAX(1,(YEAR(O1841)-YEAR(N1841))*12+MONTH(O1841)-MONTH(N1841)+1))</f>
        <v/>
      </c>
      <c r="Q1841">
        <f>IF(G1841="",0,G1841/P1841)</f>
        <v/>
      </c>
      <c r="R1841">
        <f>IF(H1841="",0,H1841/P1841)</f>
        <v/>
      </c>
    </row>
    <row r="1842">
      <c r="A1842" s="43" t="n"/>
      <c r="B1842" s="28" t="n"/>
      <c r="C1842" s="28" t="n"/>
      <c r="D1842" s="28" t="n"/>
      <c r="E1842" s="44" t="n"/>
      <c r="F1842" s="44" t="n"/>
      <c r="G1842" s="23" t="n"/>
      <c r="H1842" s="23" t="n"/>
      <c r="I1842" s="23" t="n"/>
      <c r="J1842" s="23" t="n"/>
      <c r="K1842" s="45">
        <f>IF(A1842="","",SUM(G$2:I1842)-SUM(J$2:J1842))</f>
        <v/>
      </c>
      <c r="L1842" s="46" t="n"/>
      <c r="M1842">
        <f>IF(A1842="","",IF(A1842=A1841,M1841,N(M1841)+1))</f>
        <v/>
      </c>
      <c r="N1842">
        <f>IF(E1842="",99999,E1842)</f>
        <v/>
      </c>
      <c r="O1842">
        <f>IF(E1842="",0,IF(F1842="",E1842,F1842))</f>
        <v/>
      </c>
      <c r="P1842">
        <f>IF(E1842="",1,MAX(1,(YEAR(O1842)-YEAR(N1842))*12+MONTH(O1842)-MONTH(N1842)+1))</f>
        <v/>
      </c>
      <c r="Q1842">
        <f>IF(G1842="",0,G1842/P1842)</f>
        <v/>
      </c>
      <c r="R1842">
        <f>IF(H1842="",0,H1842/P1842)</f>
        <v/>
      </c>
    </row>
    <row r="1843">
      <c r="A1843" s="43" t="n"/>
      <c r="B1843" s="28" t="n"/>
      <c r="C1843" s="28" t="n"/>
      <c r="D1843" s="28" t="n"/>
      <c r="E1843" s="44" t="n"/>
      <c r="F1843" s="44" t="n"/>
      <c r="G1843" s="23" t="n"/>
      <c r="H1843" s="23" t="n"/>
      <c r="I1843" s="23" t="n"/>
      <c r="J1843" s="23" t="n"/>
      <c r="K1843" s="45">
        <f>IF(A1843="","",SUM(G$2:I1843)-SUM(J$2:J1843))</f>
        <v/>
      </c>
      <c r="L1843" s="46" t="n"/>
      <c r="M1843">
        <f>IF(A1843="","",IF(A1843=A1842,M1842,N(M1842)+1))</f>
        <v/>
      </c>
      <c r="N1843">
        <f>IF(E1843="",99999,E1843)</f>
        <v/>
      </c>
      <c r="O1843">
        <f>IF(E1843="",0,IF(F1843="",E1843,F1843))</f>
        <v/>
      </c>
      <c r="P1843">
        <f>IF(E1843="",1,MAX(1,(YEAR(O1843)-YEAR(N1843))*12+MONTH(O1843)-MONTH(N1843)+1))</f>
        <v/>
      </c>
      <c r="Q1843">
        <f>IF(G1843="",0,G1843/P1843)</f>
        <v/>
      </c>
      <c r="R1843">
        <f>IF(H1843="",0,H1843/P1843)</f>
        <v/>
      </c>
    </row>
    <row r="1844">
      <c r="A1844" s="43" t="n"/>
      <c r="B1844" s="28" t="n"/>
      <c r="C1844" s="28" t="n"/>
      <c r="D1844" s="28" t="n"/>
      <c r="E1844" s="44" t="n"/>
      <c r="F1844" s="44" t="n"/>
      <c r="G1844" s="23" t="n"/>
      <c r="H1844" s="23" t="n"/>
      <c r="I1844" s="23" t="n"/>
      <c r="J1844" s="23" t="n"/>
      <c r="K1844" s="45">
        <f>IF(A1844="","",SUM(G$2:I1844)-SUM(J$2:J1844))</f>
        <v/>
      </c>
      <c r="L1844" s="46" t="n"/>
      <c r="M1844">
        <f>IF(A1844="","",IF(A1844=A1843,M1843,N(M1843)+1))</f>
        <v/>
      </c>
      <c r="N1844">
        <f>IF(E1844="",99999,E1844)</f>
        <v/>
      </c>
      <c r="O1844">
        <f>IF(E1844="",0,IF(F1844="",E1844,F1844))</f>
        <v/>
      </c>
      <c r="P1844">
        <f>IF(E1844="",1,MAX(1,(YEAR(O1844)-YEAR(N1844))*12+MONTH(O1844)-MONTH(N1844)+1))</f>
        <v/>
      </c>
      <c r="Q1844">
        <f>IF(G1844="",0,G1844/P1844)</f>
        <v/>
      </c>
      <c r="R1844">
        <f>IF(H1844="",0,H1844/P1844)</f>
        <v/>
      </c>
    </row>
    <row r="1845">
      <c r="A1845" s="43" t="n"/>
      <c r="B1845" s="28" t="n"/>
      <c r="C1845" s="28" t="n"/>
      <c r="D1845" s="28" t="n"/>
      <c r="E1845" s="44" t="n"/>
      <c r="F1845" s="44" t="n"/>
      <c r="G1845" s="23" t="n"/>
      <c r="H1845" s="23" t="n"/>
      <c r="I1845" s="23" t="n"/>
      <c r="J1845" s="23" t="n"/>
      <c r="K1845" s="45">
        <f>IF(A1845="","",SUM(G$2:I1845)-SUM(J$2:J1845))</f>
        <v/>
      </c>
      <c r="L1845" s="46" t="n"/>
      <c r="M1845">
        <f>IF(A1845="","",IF(A1845=A1844,M1844,N(M1844)+1))</f>
        <v/>
      </c>
      <c r="N1845">
        <f>IF(E1845="",99999,E1845)</f>
        <v/>
      </c>
      <c r="O1845">
        <f>IF(E1845="",0,IF(F1845="",E1845,F1845))</f>
        <v/>
      </c>
      <c r="P1845">
        <f>IF(E1845="",1,MAX(1,(YEAR(O1845)-YEAR(N1845))*12+MONTH(O1845)-MONTH(N1845)+1))</f>
        <v/>
      </c>
      <c r="Q1845">
        <f>IF(G1845="",0,G1845/P1845)</f>
        <v/>
      </c>
      <c r="R1845">
        <f>IF(H1845="",0,H1845/P1845)</f>
        <v/>
      </c>
    </row>
    <row r="1846">
      <c r="A1846" s="43" t="n"/>
      <c r="B1846" s="28" t="n"/>
      <c r="C1846" s="28" t="n"/>
      <c r="D1846" s="28" t="n"/>
      <c r="E1846" s="44" t="n"/>
      <c r="F1846" s="44" t="n"/>
      <c r="G1846" s="23" t="n"/>
      <c r="H1846" s="23" t="n"/>
      <c r="I1846" s="23" t="n"/>
      <c r="J1846" s="23" t="n"/>
      <c r="K1846" s="45">
        <f>IF(A1846="","",SUM(G$2:I1846)-SUM(J$2:J1846))</f>
        <v/>
      </c>
      <c r="L1846" s="46" t="n"/>
      <c r="M1846">
        <f>IF(A1846="","",IF(A1846=A1845,M1845,N(M1845)+1))</f>
        <v/>
      </c>
      <c r="N1846">
        <f>IF(E1846="",99999,E1846)</f>
        <v/>
      </c>
      <c r="O1846">
        <f>IF(E1846="",0,IF(F1846="",E1846,F1846))</f>
        <v/>
      </c>
      <c r="P1846">
        <f>IF(E1846="",1,MAX(1,(YEAR(O1846)-YEAR(N1846))*12+MONTH(O1846)-MONTH(N1846)+1))</f>
        <v/>
      </c>
      <c r="Q1846">
        <f>IF(G1846="",0,G1846/P1846)</f>
        <v/>
      </c>
      <c r="R1846">
        <f>IF(H1846="",0,H1846/P1846)</f>
        <v/>
      </c>
    </row>
    <row r="1847">
      <c r="A1847" s="43" t="n"/>
      <c r="B1847" s="28" t="n"/>
      <c r="C1847" s="28" t="n"/>
      <c r="D1847" s="28" t="n"/>
      <c r="E1847" s="44" t="n"/>
      <c r="F1847" s="44" t="n"/>
      <c r="G1847" s="23" t="n"/>
      <c r="H1847" s="23" t="n"/>
      <c r="I1847" s="23" t="n"/>
      <c r="J1847" s="23" t="n"/>
      <c r="K1847" s="45">
        <f>IF(A1847="","",SUM(G$2:I1847)-SUM(J$2:J1847))</f>
        <v/>
      </c>
      <c r="L1847" s="46" t="n"/>
      <c r="M1847">
        <f>IF(A1847="","",IF(A1847=A1846,M1846,N(M1846)+1))</f>
        <v/>
      </c>
      <c r="N1847">
        <f>IF(E1847="",99999,E1847)</f>
        <v/>
      </c>
      <c r="O1847">
        <f>IF(E1847="",0,IF(F1847="",E1847,F1847))</f>
        <v/>
      </c>
      <c r="P1847">
        <f>IF(E1847="",1,MAX(1,(YEAR(O1847)-YEAR(N1847))*12+MONTH(O1847)-MONTH(N1847)+1))</f>
        <v/>
      </c>
      <c r="Q1847">
        <f>IF(G1847="",0,G1847/P1847)</f>
        <v/>
      </c>
      <c r="R1847">
        <f>IF(H1847="",0,H1847/P1847)</f>
        <v/>
      </c>
    </row>
    <row r="1848">
      <c r="A1848" s="43" t="n"/>
      <c r="B1848" s="28" t="n"/>
      <c r="C1848" s="28" t="n"/>
      <c r="D1848" s="28" t="n"/>
      <c r="E1848" s="44" t="n"/>
      <c r="F1848" s="44" t="n"/>
      <c r="G1848" s="23" t="n"/>
      <c r="H1848" s="23" t="n"/>
      <c r="I1848" s="23" t="n"/>
      <c r="J1848" s="23" t="n"/>
      <c r="K1848" s="45">
        <f>IF(A1848="","",SUM(G$2:I1848)-SUM(J$2:J1848))</f>
        <v/>
      </c>
      <c r="L1848" s="46" t="n"/>
      <c r="M1848">
        <f>IF(A1848="","",IF(A1848=A1847,M1847,N(M1847)+1))</f>
        <v/>
      </c>
      <c r="N1848">
        <f>IF(E1848="",99999,E1848)</f>
        <v/>
      </c>
      <c r="O1848">
        <f>IF(E1848="",0,IF(F1848="",E1848,F1848))</f>
        <v/>
      </c>
      <c r="P1848">
        <f>IF(E1848="",1,MAX(1,(YEAR(O1848)-YEAR(N1848))*12+MONTH(O1848)-MONTH(N1848)+1))</f>
        <v/>
      </c>
      <c r="Q1848">
        <f>IF(G1848="",0,G1848/P1848)</f>
        <v/>
      </c>
      <c r="R1848">
        <f>IF(H1848="",0,H1848/P1848)</f>
        <v/>
      </c>
    </row>
    <row r="1849">
      <c r="A1849" s="43" t="n"/>
      <c r="B1849" s="28" t="n"/>
      <c r="C1849" s="28" t="n"/>
      <c r="D1849" s="28" t="n"/>
      <c r="E1849" s="44" t="n"/>
      <c r="F1849" s="44" t="n"/>
      <c r="G1849" s="23" t="n"/>
      <c r="H1849" s="23" t="n"/>
      <c r="I1849" s="23" t="n"/>
      <c r="J1849" s="23" t="n"/>
      <c r="K1849" s="45">
        <f>IF(A1849="","",SUM(G$2:I1849)-SUM(J$2:J1849))</f>
        <v/>
      </c>
      <c r="L1849" s="46" t="n"/>
      <c r="M1849">
        <f>IF(A1849="","",IF(A1849=A1848,M1848,N(M1848)+1))</f>
        <v/>
      </c>
      <c r="N1849">
        <f>IF(E1849="",99999,E1849)</f>
        <v/>
      </c>
      <c r="O1849">
        <f>IF(E1849="",0,IF(F1849="",E1849,F1849))</f>
        <v/>
      </c>
      <c r="P1849">
        <f>IF(E1849="",1,MAX(1,(YEAR(O1849)-YEAR(N1849))*12+MONTH(O1849)-MONTH(N1849)+1))</f>
        <v/>
      </c>
      <c r="Q1849">
        <f>IF(G1849="",0,G1849/P1849)</f>
        <v/>
      </c>
      <c r="R1849">
        <f>IF(H1849="",0,H1849/P1849)</f>
        <v/>
      </c>
    </row>
    <row r="1850">
      <c r="A1850" s="43" t="n"/>
      <c r="B1850" s="28" t="n"/>
      <c r="C1850" s="28" t="n"/>
      <c r="D1850" s="28" t="n"/>
      <c r="E1850" s="44" t="n"/>
      <c r="F1850" s="44" t="n"/>
      <c r="G1850" s="23" t="n"/>
      <c r="H1850" s="23" t="n"/>
      <c r="I1850" s="23" t="n"/>
      <c r="J1850" s="23" t="n"/>
      <c r="K1850" s="45">
        <f>IF(A1850="","",SUM(G$2:I1850)-SUM(J$2:J1850))</f>
        <v/>
      </c>
      <c r="L1850" s="46" t="n"/>
      <c r="M1850">
        <f>IF(A1850="","",IF(A1850=A1849,M1849,N(M1849)+1))</f>
        <v/>
      </c>
      <c r="N1850">
        <f>IF(E1850="",99999,E1850)</f>
        <v/>
      </c>
      <c r="O1850">
        <f>IF(E1850="",0,IF(F1850="",E1850,F1850))</f>
        <v/>
      </c>
      <c r="P1850">
        <f>IF(E1850="",1,MAX(1,(YEAR(O1850)-YEAR(N1850))*12+MONTH(O1850)-MONTH(N1850)+1))</f>
        <v/>
      </c>
      <c r="Q1850">
        <f>IF(G1850="",0,G1850/P1850)</f>
        <v/>
      </c>
      <c r="R1850">
        <f>IF(H1850="",0,H1850/P1850)</f>
        <v/>
      </c>
    </row>
    <row r="1851">
      <c r="A1851" s="43" t="n"/>
      <c r="B1851" s="28" t="n"/>
      <c r="C1851" s="28" t="n"/>
      <c r="D1851" s="28" t="n"/>
      <c r="E1851" s="44" t="n"/>
      <c r="F1851" s="44" t="n"/>
      <c r="G1851" s="23" t="n"/>
      <c r="H1851" s="23" t="n"/>
      <c r="I1851" s="23" t="n"/>
      <c r="J1851" s="23" t="n"/>
      <c r="K1851" s="45">
        <f>IF(A1851="","",SUM(G$2:I1851)-SUM(J$2:J1851))</f>
        <v/>
      </c>
      <c r="L1851" s="46" t="n"/>
      <c r="M1851">
        <f>IF(A1851="","",IF(A1851=A1850,M1850,N(M1850)+1))</f>
        <v/>
      </c>
      <c r="N1851">
        <f>IF(E1851="",99999,E1851)</f>
        <v/>
      </c>
      <c r="O1851">
        <f>IF(E1851="",0,IF(F1851="",E1851,F1851))</f>
        <v/>
      </c>
      <c r="P1851">
        <f>IF(E1851="",1,MAX(1,(YEAR(O1851)-YEAR(N1851))*12+MONTH(O1851)-MONTH(N1851)+1))</f>
        <v/>
      </c>
      <c r="Q1851">
        <f>IF(G1851="",0,G1851/P1851)</f>
        <v/>
      </c>
      <c r="R1851">
        <f>IF(H1851="",0,H1851/P1851)</f>
        <v/>
      </c>
    </row>
    <row r="1852">
      <c r="A1852" s="43" t="n"/>
      <c r="B1852" s="28" t="n"/>
      <c r="C1852" s="28" t="n"/>
      <c r="D1852" s="28" t="n"/>
      <c r="E1852" s="44" t="n"/>
      <c r="F1852" s="44" t="n"/>
      <c r="G1852" s="23" t="n"/>
      <c r="H1852" s="23" t="n"/>
      <c r="I1852" s="23" t="n"/>
      <c r="J1852" s="23" t="n"/>
      <c r="K1852" s="45">
        <f>IF(A1852="","",SUM(G$2:I1852)-SUM(J$2:J1852))</f>
        <v/>
      </c>
      <c r="L1852" s="46" t="n"/>
      <c r="M1852">
        <f>IF(A1852="","",IF(A1852=A1851,M1851,N(M1851)+1))</f>
        <v/>
      </c>
      <c r="N1852">
        <f>IF(E1852="",99999,E1852)</f>
        <v/>
      </c>
      <c r="O1852">
        <f>IF(E1852="",0,IF(F1852="",E1852,F1852))</f>
        <v/>
      </c>
      <c r="P1852">
        <f>IF(E1852="",1,MAX(1,(YEAR(O1852)-YEAR(N1852))*12+MONTH(O1852)-MONTH(N1852)+1))</f>
        <v/>
      </c>
      <c r="Q1852">
        <f>IF(G1852="",0,G1852/P1852)</f>
        <v/>
      </c>
      <c r="R1852">
        <f>IF(H1852="",0,H1852/P1852)</f>
        <v/>
      </c>
    </row>
    <row r="1853">
      <c r="A1853" s="43" t="n"/>
      <c r="B1853" s="28" t="n"/>
      <c r="C1853" s="28" t="n"/>
      <c r="D1853" s="28" t="n"/>
      <c r="E1853" s="44" t="n"/>
      <c r="F1853" s="44" t="n"/>
      <c r="G1853" s="23" t="n"/>
      <c r="H1853" s="23" t="n"/>
      <c r="I1853" s="23" t="n"/>
      <c r="J1853" s="23" t="n"/>
      <c r="K1853" s="45">
        <f>IF(A1853="","",SUM(G$2:I1853)-SUM(J$2:J1853))</f>
        <v/>
      </c>
      <c r="L1853" s="46" t="n"/>
      <c r="M1853">
        <f>IF(A1853="","",IF(A1853=A1852,M1852,N(M1852)+1))</f>
        <v/>
      </c>
      <c r="N1853">
        <f>IF(E1853="",99999,E1853)</f>
        <v/>
      </c>
      <c r="O1853">
        <f>IF(E1853="",0,IF(F1853="",E1853,F1853))</f>
        <v/>
      </c>
      <c r="P1853">
        <f>IF(E1853="",1,MAX(1,(YEAR(O1853)-YEAR(N1853))*12+MONTH(O1853)-MONTH(N1853)+1))</f>
        <v/>
      </c>
      <c r="Q1853">
        <f>IF(G1853="",0,G1853/P1853)</f>
        <v/>
      </c>
      <c r="R1853">
        <f>IF(H1853="",0,H1853/P1853)</f>
        <v/>
      </c>
    </row>
    <row r="1854">
      <c r="A1854" s="43" t="n"/>
      <c r="B1854" s="28" t="n"/>
      <c r="C1854" s="28" t="n"/>
      <c r="D1854" s="28" t="n"/>
      <c r="E1854" s="44" t="n"/>
      <c r="F1854" s="44" t="n"/>
      <c r="G1854" s="23" t="n"/>
      <c r="H1854" s="23" t="n"/>
      <c r="I1854" s="23" t="n"/>
      <c r="J1854" s="23" t="n"/>
      <c r="K1854" s="45">
        <f>IF(A1854="","",SUM(G$2:I1854)-SUM(J$2:J1854))</f>
        <v/>
      </c>
      <c r="L1854" s="46" t="n"/>
      <c r="M1854">
        <f>IF(A1854="","",IF(A1854=A1853,M1853,N(M1853)+1))</f>
        <v/>
      </c>
      <c r="N1854">
        <f>IF(E1854="",99999,E1854)</f>
        <v/>
      </c>
      <c r="O1854">
        <f>IF(E1854="",0,IF(F1854="",E1854,F1854))</f>
        <v/>
      </c>
      <c r="P1854">
        <f>IF(E1854="",1,MAX(1,(YEAR(O1854)-YEAR(N1854))*12+MONTH(O1854)-MONTH(N1854)+1))</f>
        <v/>
      </c>
      <c r="Q1854">
        <f>IF(G1854="",0,G1854/P1854)</f>
        <v/>
      </c>
      <c r="R1854">
        <f>IF(H1854="",0,H1854/P1854)</f>
        <v/>
      </c>
    </row>
    <row r="1855">
      <c r="A1855" s="43" t="n"/>
      <c r="B1855" s="28" t="n"/>
      <c r="C1855" s="28" t="n"/>
      <c r="D1855" s="28" t="n"/>
      <c r="E1855" s="44" t="n"/>
      <c r="F1855" s="44" t="n"/>
      <c r="G1855" s="23" t="n"/>
      <c r="H1855" s="23" t="n"/>
      <c r="I1855" s="23" t="n"/>
      <c r="J1855" s="23" t="n"/>
      <c r="K1855" s="45">
        <f>IF(A1855="","",SUM(G$2:I1855)-SUM(J$2:J1855))</f>
        <v/>
      </c>
      <c r="L1855" s="46" t="n"/>
      <c r="M1855">
        <f>IF(A1855="","",IF(A1855=A1854,M1854,N(M1854)+1))</f>
        <v/>
      </c>
      <c r="N1855">
        <f>IF(E1855="",99999,E1855)</f>
        <v/>
      </c>
      <c r="O1855">
        <f>IF(E1855="",0,IF(F1855="",E1855,F1855))</f>
        <v/>
      </c>
      <c r="P1855">
        <f>IF(E1855="",1,MAX(1,(YEAR(O1855)-YEAR(N1855))*12+MONTH(O1855)-MONTH(N1855)+1))</f>
        <v/>
      </c>
      <c r="Q1855">
        <f>IF(G1855="",0,G1855/P1855)</f>
        <v/>
      </c>
      <c r="R1855">
        <f>IF(H1855="",0,H1855/P1855)</f>
        <v/>
      </c>
    </row>
    <row r="1856">
      <c r="A1856" s="43" t="n"/>
      <c r="B1856" s="28" t="n"/>
      <c r="C1856" s="28" t="n"/>
      <c r="D1856" s="28" t="n"/>
      <c r="E1856" s="44" t="n"/>
      <c r="F1856" s="44" t="n"/>
      <c r="G1856" s="23" t="n"/>
      <c r="H1856" s="23" t="n"/>
      <c r="I1856" s="23" t="n"/>
      <c r="J1856" s="23" t="n"/>
      <c r="K1856" s="45">
        <f>IF(A1856="","",SUM(G$2:I1856)-SUM(J$2:J1856))</f>
        <v/>
      </c>
      <c r="L1856" s="46" t="n"/>
      <c r="M1856">
        <f>IF(A1856="","",IF(A1856=A1855,M1855,N(M1855)+1))</f>
        <v/>
      </c>
      <c r="N1856">
        <f>IF(E1856="",99999,E1856)</f>
        <v/>
      </c>
      <c r="O1856">
        <f>IF(E1856="",0,IF(F1856="",E1856,F1856))</f>
        <v/>
      </c>
      <c r="P1856">
        <f>IF(E1856="",1,MAX(1,(YEAR(O1856)-YEAR(N1856))*12+MONTH(O1856)-MONTH(N1856)+1))</f>
        <v/>
      </c>
      <c r="Q1856">
        <f>IF(G1856="",0,G1856/P1856)</f>
        <v/>
      </c>
      <c r="R1856">
        <f>IF(H1856="",0,H1856/P1856)</f>
        <v/>
      </c>
    </row>
    <row r="1857">
      <c r="A1857" s="43" t="n"/>
      <c r="B1857" s="28" t="n"/>
      <c r="C1857" s="28" t="n"/>
      <c r="D1857" s="28" t="n"/>
      <c r="E1857" s="44" t="n"/>
      <c r="F1857" s="44" t="n"/>
      <c r="G1857" s="23" t="n"/>
      <c r="H1857" s="23" t="n"/>
      <c r="I1857" s="23" t="n"/>
      <c r="J1857" s="23" t="n"/>
      <c r="K1857" s="45">
        <f>IF(A1857="","",SUM(G$2:I1857)-SUM(J$2:J1857))</f>
        <v/>
      </c>
      <c r="L1857" s="46" t="n"/>
      <c r="M1857">
        <f>IF(A1857="","",IF(A1857=A1856,M1856,N(M1856)+1))</f>
        <v/>
      </c>
      <c r="N1857">
        <f>IF(E1857="",99999,E1857)</f>
        <v/>
      </c>
      <c r="O1857">
        <f>IF(E1857="",0,IF(F1857="",E1857,F1857))</f>
        <v/>
      </c>
      <c r="P1857">
        <f>IF(E1857="",1,MAX(1,(YEAR(O1857)-YEAR(N1857))*12+MONTH(O1857)-MONTH(N1857)+1))</f>
        <v/>
      </c>
      <c r="Q1857">
        <f>IF(G1857="",0,G1857/P1857)</f>
        <v/>
      </c>
      <c r="R1857">
        <f>IF(H1857="",0,H1857/P1857)</f>
        <v/>
      </c>
    </row>
    <row r="1858">
      <c r="A1858" s="43" t="n"/>
      <c r="B1858" s="28" t="n"/>
      <c r="C1858" s="28" t="n"/>
      <c r="D1858" s="28" t="n"/>
      <c r="E1858" s="44" t="n"/>
      <c r="F1858" s="44" t="n"/>
      <c r="G1858" s="23" t="n"/>
      <c r="H1858" s="23" t="n"/>
      <c r="I1858" s="23" t="n"/>
      <c r="J1858" s="23" t="n"/>
      <c r="K1858" s="45">
        <f>IF(A1858="","",SUM(G$2:I1858)-SUM(J$2:J1858))</f>
        <v/>
      </c>
      <c r="L1858" s="46" t="n"/>
      <c r="M1858">
        <f>IF(A1858="","",IF(A1858=A1857,M1857,N(M1857)+1))</f>
        <v/>
      </c>
      <c r="N1858">
        <f>IF(E1858="",99999,E1858)</f>
        <v/>
      </c>
      <c r="O1858">
        <f>IF(E1858="",0,IF(F1858="",E1858,F1858))</f>
        <v/>
      </c>
      <c r="P1858">
        <f>IF(E1858="",1,MAX(1,(YEAR(O1858)-YEAR(N1858))*12+MONTH(O1858)-MONTH(N1858)+1))</f>
        <v/>
      </c>
      <c r="Q1858">
        <f>IF(G1858="",0,G1858/P1858)</f>
        <v/>
      </c>
      <c r="R1858">
        <f>IF(H1858="",0,H1858/P1858)</f>
        <v/>
      </c>
    </row>
    <row r="1859">
      <c r="A1859" s="43" t="n"/>
      <c r="B1859" s="28" t="n"/>
      <c r="C1859" s="28" t="n"/>
      <c r="D1859" s="28" t="n"/>
      <c r="E1859" s="44" t="n"/>
      <c r="F1859" s="44" t="n"/>
      <c r="G1859" s="23" t="n"/>
      <c r="H1859" s="23" t="n"/>
      <c r="I1859" s="23" t="n"/>
      <c r="J1859" s="23" t="n"/>
      <c r="K1859" s="45">
        <f>IF(A1859="","",SUM(G$2:I1859)-SUM(J$2:J1859))</f>
        <v/>
      </c>
      <c r="L1859" s="46" t="n"/>
      <c r="M1859">
        <f>IF(A1859="","",IF(A1859=A1858,M1858,N(M1858)+1))</f>
        <v/>
      </c>
      <c r="N1859">
        <f>IF(E1859="",99999,E1859)</f>
        <v/>
      </c>
      <c r="O1859">
        <f>IF(E1859="",0,IF(F1859="",E1859,F1859))</f>
        <v/>
      </c>
      <c r="P1859">
        <f>IF(E1859="",1,MAX(1,(YEAR(O1859)-YEAR(N1859))*12+MONTH(O1859)-MONTH(N1859)+1))</f>
        <v/>
      </c>
      <c r="Q1859">
        <f>IF(G1859="",0,G1859/P1859)</f>
        <v/>
      </c>
      <c r="R1859">
        <f>IF(H1859="",0,H1859/P1859)</f>
        <v/>
      </c>
    </row>
    <row r="1860">
      <c r="A1860" s="43" t="n"/>
      <c r="B1860" s="28" t="n"/>
      <c r="C1860" s="28" t="n"/>
      <c r="D1860" s="28" t="n"/>
      <c r="E1860" s="44" t="n"/>
      <c r="F1860" s="44" t="n"/>
      <c r="G1860" s="23" t="n"/>
      <c r="H1860" s="23" t="n"/>
      <c r="I1860" s="23" t="n"/>
      <c r="J1860" s="23" t="n"/>
      <c r="K1860" s="45">
        <f>IF(A1860="","",SUM(G$2:I1860)-SUM(J$2:J1860))</f>
        <v/>
      </c>
      <c r="L1860" s="46" t="n"/>
      <c r="M1860">
        <f>IF(A1860="","",IF(A1860=A1859,M1859,N(M1859)+1))</f>
        <v/>
      </c>
      <c r="N1860">
        <f>IF(E1860="",99999,E1860)</f>
        <v/>
      </c>
      <c r="O1860">
        <f>IF(E1860="",0,IF(F1860="",E1860,F1860))</f>
        <v/>
      </c>
      <c r="P1860">
        <f>IF(E1860="",1,MAX(1,(YEAR(O1860)-YEAR(N1860))*12+MONTH(O1860)-MONTH(N1860)+1))</f>
        <v/>
      </c>
      <c r="Q1860">
        <f>IF(G1860="",0,G1860/P1860)</f>
        <v/>
      </c>
      <c r="R1860">
        <f>IF(H1860="",0,H1860/P1860)</f>
        <v/>
      </c>
    </row>
    <row r="1861">
      <c r="A1861" s="43" t="n"/>
      <c r="B1861" s="28" t="n"/>
      <c r="C1861" s="28" t="n"/>
      <c r="D1861" s="28" t="n"/>
      <c r="E1861" s="44" t="n"/>
      <c r="F1861" s="44" t="n"/>
      <c r="G1861" s="23" t="n"/>
      <c r="H1861" s="23" t="n"/>
      <c r="I1861" s="23" t="n"/>
      <c r="J1861" s="23" t="n"/>
      <c r="K1861" s="45">
        <f>IF(A1861="","",SUM(G$2:I1861)-SUM(J$2:J1861))</f>
        <v/>
      </c>
      <c r="L1861" s="46" t="n"/>
      <c r="M1861">
        <f>IF(A1861="","",IF(A1861=A1860,M1860,N(M1860)+1))</f>
        <v/>
      </c>
      <c r="N1861">
        <f>IF(E1861="",99999,E1861)</f>
        <v/>
      </c>
      <c r="O1861">
        <f>IF(E1861="",0,IF(F1861="",E1861,F1861))</f>
        <v/>
      </c>
      <c r="P1861">
        <f>IF(E1861="",1,MAX(1,(YEAR(O1861)-YEAR(N1861))*12+MONTH(O1861)-MONTH(N1861)+1))</f>
        <v/>
      </c>
      <c r="Q1861">
        <f>IF(G1861="",0,G1861/P1861)</f>
        <v/>
      </c>
      <c r="R1861">
        <f>IF(H1861="",0,H1861/P1861)</f>
        <v/>
      </c>
    </row>
    <row r="1862">
      <c r="A1862" s="43" t="n"/>
      <c r="B1862" s="28" t="n"/>
      <c r="C1862" s="28" t="n"/>
      <c r="D1862" s="28" t="n"/>
      <c r="E1862" s="44" t="n"/>
      <c r="F1862" s="44" t="n"/>
      <c r="G1862" s="23" t="n"/>
      <c r="H1862" s="23" t="n"/>
      <c r="I1862" s="23" t="n"/>
      <c r="J1862" s="23" t="n"/>
      <c r="K1862" s="45">
        <f>IF(A1862="","",SUM(G$2:I1862)-SUM(J$2:J1862))</f>
        <v/>
      </c>
      <c r="L1862" s="46" t="n"/>
      <c r="M1862">
        <f>IF(A1862="","",IF(A1862=A1861,M1861,N(M1861)+1))</f>
        <v/>
      </c>
      <c r="N1862">
        <f>IF(E1862="",99999,E1862)</f>
        <v/>
      </c>
      <c r="O1862">
        <f>IF(E1862="",0,IF(F1862="",E1862,F1862))</f>
        <v/>
      </c>
      <c r="P1862">
        <f>IF(E1862="",1,MAX(1,(YEAR(O1862)-YEAR(N1862))*12+MONTH(O1862)-MONTH(N1862)+1))</f>
        <v/>
      </c>
      <c r="Q1862">
        <f>IF(G1862="",0,G1862/P1862)</f>
        <v/>
      </c>
      <c r="R1862">
        <f>IF(H1862="",0,H1862/P1862)</f>
        <v/>
      </c>
    </row>
    <row r="1863">
      <c r="A1863" s="43" t="n"/>
      <c r="B1863" s="28" t="n"/>
      <c r="C1863" s="28" t="n"/>
      <c r="D1863" s="28" t="n"/>
      <c r="E1863" s="44" t="n"/>
      <c r="F1863" s="44" t="n"/>
      <c r="G1863" s="23" t="n"/>
      <c r="H1863" s="23" t="n"/>
      <c r="I1863" s="23" t="n"/>
      <c r="J1863" s="23" t="n"/>
      <c r="K1863" s="45">
        <f>IF(A1863="","",SUM(G$2:I1863)-SUM(J$2:J1863))</f>
        <v/>
      </c>
      <c r="L1863" s="46" t="n"/>
      <c r="M1863">
        <f>IF(A1863="","",IF(A1863=A1862,M1862,N(M1862)+1))</f>
        <v/>
      </c>
      <c r="N1863">
        <f>IF(E1863="",99999,E1863)</f>
        <v/>
      </c>
      <c r="O1863">
        <f>IF(E1863="",0,IF(F1863="",E1863,F1863))</f>
        <v/>
      </c>
      <c r="P1863">
        <f>IF(E1863="",1,MAX(1,(YEAR(O1863)-YEAR(N1863))*12+MONTH(O1863)-MONTH(N1863)+1))</f>
        <v/>
      </c>
      <c r="Q1863">
        <f>IF(G1863="",0,G1863/P1863)</f>
        <v/>
      </c>
      <c r="R1863">
        <f>IF(H1863="",0,H1863/P1863)</f>
        <v/>
      </c>
    </row>
    <row r="1864">
      <c r="A1864" s="43" t="n"/>
      <c r="B1864" s="28" t="n"/>
      <c r="C1864" s="28" t="n"/>
      <c r="D1864" s="28" t="n"/>
      <c r="E1864" s="44" t="n"/>
      <c r="F1864" s="44" t="n"/>
      <c r="G1864" s="23" t="n"/>
      <c r="H1864" s="23" t="n"/>
      <c r="I1864" s="23" t="n"/>
      <c r="J1864" s="23" t="n"/>
      <c r="K1864" s="45">
        <f>IF(A1864="","",SUM(G$2:I1864)-SUM(J$2:J1864))</f>
        <v/>
      </c>
      <c r="L1864" s="46" t="n"/>
      <c r="M1864">
        <f>IF(A1864="","",IF(A1864=A1863,M1863,N(M1863)+1))</f>
        <v/>
      </c>
      <c r="N1864">
        <f>IF(E1864="",99999,E1864)</f>
        <v/>
      </c>
      <c r="O1864">
        <f>IF(E1864="",0,IF(F1864="",E1864,F1864))</f>
        <v/>
      </c>
      <c r="P1864">
        <f>IF(E1864="",1,MAX(1,(YEAR(O1864)-YEAR(N1864))*12+MONTH(O1864)-MONTH(N1864)+1))</f>
        <v/>
      </c>
      <c r="Q1864">
        <f>IF(G1864="",0,G1864/P1864)</f>
        <v/>
      </c>
      <c r="R1864">
        <f>IF(H1864="",0,H1864/P1864)</f>
        <v/>
      </c>
    </row>
    <row r="1865">
      <c r="A1865" s="43" t="n"/>
      <c r="B1865" s="28" t="n"/>
      <c r="C1865" s="28" t="n"/>
      <c r="D1865" s="28" t="n"/>
      <c r="E1865" s="44" t="n"/>
      <c r="F1865" s="44" t="n"/>
      <c r="G1865" s="23" t="n"/>
      <c r="H1865" s="23" t="n"/>
      <c r="I1865" s="23" t="n"/>
      <c r="J1865" s="23" t="n"/>
      <c r="K1865" s="45">
        <f>IF(A1865="","",SUM(G$2:I1865)-SUM(J$2:J1865))</f>
        <v/>
      </c>
      <c r="L1865" s="46" t="n"/>
      <c r="M1865">
        <f>IF(A1865="","",IF(A1865=A1864,M1864,N(M1864)+1))</f>
        <v/>
      </c>
      <c r="N1865">
        <f>IF(E1865="",99999,E1865)</f>
        <v/>
      </c>
      <c r="O1865">
        <f>IF(E1865="",0,IF(F1865="",E1865,F1865))</f>
        <v/>
      </c>
      <c r="P1865">
        <f>IF(E1865="",1,MAX(1,(YEAR(O1865)-YEAR(N1865))*12+MONTH(O1865)-MONTH(N1865)+1))</f>
        <v/>
      </c>
      <c r="Q1865">
        <f>IF(G1865="",0,G1865/P1865)</f>
        <v/>
      </c>
      <c r="R1865">
        <f>IF(H1865="",0,H1865/P1865)</f>
        <v/>
      </c>
    </row>
    <row r="1866">
      <c r="A1866" s="43" t="n"/>
      <c r="B1866" s="28" t="n"/>
      <c r="C1866" s="28" t="n"/>
      <c r="D1866" s="28" t="n"/>
      <c r="E1866" s="44" t="n"/>
      <c r="F1866" s="44" t="n"/>
      <c r="G1866" s="23" t="n"/>
      <c r="H1866" s="23" t="n"/>
      <c r="I1866" s="23" t="n"/>
      <c r="J1866" s="23" t="n"/>
      <c r="K1866" s="45">
        <f>IF(A1866="","",SUM(G$2:I1866)-SUM(J$2:J1866))</f>
        <v/>
      </c>
      <c r="L1866" s="46" t="n"/>
      <c r="M1866">
        <f>IF(A1866="","",IF(A1866=A1865,M1865,N(M1865)+1))</f>
        <v/>
      </c>
      <c r="N1866">
        <f>IF(E1866="",99999,E1866)</f>
        <v/>
      </c>
      <c r="O1866">
        <f>IF(E1866="",0,IF(F1866="",E1866,F1866))</f>
        <v/>
      </c>
      <c r="P1866">
        <f>IF(E1866="",1,MAX(1,(YEAR(O1866)-YEAR(N1866))*12+MONTH(O1866)-MONTH(N1866)+1))</f>
        <v/>
      </c>
      <c r="Q1866">
        <f>IF(G1866="",0,G1866/P1866)</f>
        <v/>
      </c>
      <c r="R1866">
        <f>IF(H1866="",0,H1866/P1866)</f>
        <v/>
      </c>
    </row>
    <row r="1867">
      <c r="A1867" s="43" t="n"/>
      <c r="B1867" s="28" t="n"/>
      <c r="C1867" s="28" t="n"/>
      <c r="D1867" s="28" t="n"/>
      <c r="E1867" s="44" t="n"/>
      <c r="F1867" s="44" t="n"/>
      <c r="G1867" s="23" t="n"/>
      <c r="H1867" s="23" t="n"/>
      <c r="I1867" s="23" t="n"/>
      <c r="J1867" s="23" t="n"/>
      <c r="K1867" s="45">
        <f>IF(A1867="","",SUM(G$2:I1867)-SUM(J$2:J1867))</f>
        <v/>
      </c>
      <c r="L1867" s="46" t="n"/>
      <c r="M1867">
        <f>IF(A1867="","",IF(A1867=A1866,M1866,N(M1866)+1))</f>
        <v/>
      </c>
      <c r="N1867">
        <f>IF(E1867="",99999,E1867)</f>
        <v/>
      </c>
      <c r="O1867">
        <f>IF(E1867="",0,IF(F1867="",E1867,F1867))</f>
        <v/>
      </c>
      <c r="P1867">
        <f>IF(E1867="",1,MAX(1,(YEAR(O1867)-YEAR(N1867))*12+MONTH(O1867)-MONTH(N1867)+1))</f>
        <v/>
      </c>
      <c r="Q1867">
        <f>IF(G1867="",0,G1867/P1867)</f>
        <v/>
      </c>
      <c r="R1867">
        <f>IF(H1867="",0,H1867/P1867)</f>
        <v/>
      </c>
    </row>
    <row r="1868">
      <c r="A1868" s="43" t="n"/>
      <c r="B1868" s="28" t="n"/>
      <c r="C1868" s="28" t="n"/>
      <c r="D1868" s="28" t="n"/>
      <c r="E1868" s="44" t="n"/>
      <c r="F1868" s="44" t="n"/>
      <c r="G1868" s="23" t="n"/>
      <c r="H1868" s="23" t="n"/>
      <c r="I1868" s="23" t="n"/>
      <c r="J1868" s="23" t="n"/>
      <c r="K1868" s="45">
        <f>IF(A1868="","",SUM(G$2:I1868)-SUM(J$2:J1868))</f>
        <v/>
      </c>
      <c r="L1868" s="46" t="n"/>
      <c r="M1868">
        <f>IF(A1868="","",IF(A1868=A1867,M1867,N(M1867)+1))</f>
        <v/>
      </c>
      <c r="N1868">
        <f>IF(E1868="",99999,E1868)</f>
        <v/>
      </c>
      <c r="O1868">
        <f>IF(E1868="",0,IF(F1868="",E1868,F1868))</f>
        <v/>
      </c>
      <c r="P1868">
        <f>IF(E1868="",1,MAX(1,(YEAR(O1868)-YEAR(N1868))*12+MONTH(O1868)-MONTH(N1868)+1))</f>
        <v/>
      </c>
      <c r="Q1868">
        <f>IF(G1868="",0,G1868/P1868)</f>
        <v/>
      </c>
      <c r="R1868">
        <f>IF(H1868="",0,H1868/P1868)</f>
        <v/>
      </c>
    </row>
    <row r="1869">
      <c r="A1869" s="43" t="n"/>
      <c r="B1869" s="28" t="n"/>
      <c r="C1869" s="28" t="n"/>
      <c r="D1869" s="28" t="n"/>
      <c r="E1869" s="44" t="n"/>
      <c r="F1869" s="44" t="n"/>
      <c r="G1869" s="23" t="n"/>
      <c r="H1869" s="23" t="n"/>
      <c r="I1869" s="23" t="n"/>
      <c r="J1869" s="23" t="n"/>
      <c r="K1869" s="45">
        <f>IF(A1869="","",SUM(G$2:I1869)-SUM(J$2:J1869))</f>
        <v/>
      </c>
      <c r="L1869" s="46" t="n"/>
      <c r="M1869">
        <f>IF(A1869="","",IF(A1869=A1868,M1868,N(M1868)+1))</f>
        <v/>
      </c>
      <c r="N1869">
        <f>IF(E1869="",99999,E1869)</f>
        <v/>
      </c>
      <c r="O1869">
        <f>IF(E1869="",0,IF(F1869="",E1869,F1869))</f>
        <v/>
      </c>
      <c r="P1869">
        <f>IF(E1869="",1,MAX(1,(YEAR(O1869)-YEAR(N1869))*12+MONTH(O1869)-MONTH(N1869)+1))</f>
        <v/>
      </c>
      <c r="Q1869">
        <f>IF(G1869="",0,G1869/P1869)</f>
        <v/>
      </c>
      <c r="R1869">
        <f>IF(H1869="",0,H1869/P1869)</f>
        <v/>
      </c>
    </row>
    <row r="1870">
      <c r="A1870" s="43" t="n"/>
      <c r="B1870" s="28" t="n"/>
      <c r="C1870" s="28" t="n"/>
      <c r="D1870" s="28" t="n"/>
      <c r="E1870" s="44" t="n"/>
      <c r="F1870" s="44" t="n"/>
      <c r="G1870" s="23" t="n"/>
      <c r="H1870" s="23" t="n"/>
      <c r="I1870" s="23" t="n"/>
      <c r="J1870" s="23" t="n"/>
      <c r="K1870" s="45">
        <f>IF(A1870="","",SUM(G$2:I1870)-SUM(J$2:J1870))</f>
        <v/>
      </c>
      <c r="L1870" s="46" t="n"/>
      <c r="M1870">
        <f>IF(A1870="","",IF(A1870=A1869,M1869,N(M1869)+1))</f>
        <v/>
      </c>
      <c r="N1870">
        <f>IF(E1870="",99999,E1870)</f>
        <v/>
      </c>
      <c r="O1870">
        <f>IF(E1870="",0,IF(F1870="",E1870,F1870))</f>
        <v/>
      </c>
      <c r="P1870">
        <f>IF(E1870="",1,MAX(1,(YEAR(O1870)-YEAR(N1870))*12+MONTH(O1870)-MONTH(N1870)+1))</f>
        <v/>
      </c>
      <c r="Q1870">
        <f>IF(G1870="",0,G1870/P1870)</f>
        <v/>
      </c>
      <c r="R1870">
        <f>IF(H1870="",0,H1870/P1870)</f>
        <v/>
      </c>
    </row>
    <row r="1871">
      <c r="A1871" s="43" t="n"/>
      <c r="B1871" s="28" t="n"/>
      <c r="C1871" s="28" t="n"/>
      <c r="D1871" s="28" t="n"/>
      <c r="E1871" s="44" t="n"/>
      <c r="F1871" s="44" t="n"/>
      <c r="G1871" s="23" t="n"/>
      <c r="H1871" s="23" t="n"/>
      <c r="I1871" s="23" t="n"/>
      <c r="J1871" s="23" t="n"/>
      <c r="K1871" s="45">
        <f>IF(A1871="","",SUM(G$2:I1871)-SUM(J$2:J1871))</f>
        <v/>
      </c>
      <c r="L1871" s="46" t="n"/>
      <c r="M1871">
        <f>IF(A1871="","",IF(A1871=A1870,M1870,N(M1870)+1))</f>
        <v/>
      </c>
      <c r="N1871">
        <f>IF(E1871="",99999,E1871)</f>
        <v/>
      </c>
      <c r="O1871">
        <f>IF(E1871="",0,IF(F1871="",E1871,F1871))</f>
        <v/>
      </c>
      <c r="P1871">
        <f>IF(E1871="",1,MAX(1,(YEAR(O1871)-YEAR(N1871))*12+MONTH(O1871)-MONTH(N1871)+1))</f>
        <v/>
      </c>
      <c r="Q1871">
        <f>IF(G1871="",0,G1871/P1871)</f>
        <v/>
      </c>
      <c r="R1871">
        <f>IF(H1871="",0,H1871/P1871)</f>
        <v/>
      </c>
    </row>
    <row r="1872">
      <c r="A1872" s="43" t="n"/>
      <c r="B1872" s="28" t="n"/>
      <c r="C1872" s="28" t="n"/>
      <c r="D1872" s="28" t="n"/>
      <c r="E1872" s="44" t="n"/>
      <c r="F1872" s="44" t="n"/>
      <c r="G1872" s="23" t="n"/>
      <c r="H1872" s="23" t="n"/>
      <c r="I1872" s="23" t="n"/>
      <c r="J1872" s="23" t="n"/>
      <c r="K1872" s="45">
        <f>IF(A1872="","",SUM(G$2:I1872)-SUM(J$2:J1872))</f>
        <v/>
      </c>
      <c r="L1872" s="46" t="n"/>
      <c r="M1872">
        <f>IF(A1872="","",IF(A1872=A1871,M1871,N(M1871)+1))</f>
        <v/>
      </c>
      <c r="N1872">
        <f>IF(E1872="",99999,E1872)</f>
        <v/>
      </c>
      <c r="O1872">
        <f>IF(E1872="",0,IF(F1872="",E1872,F1872))</f>
        <v/>
      </c>
      <c r="P1872">
        <f>IF(E1872="",1,MAX(1,(YEAR(O1872)-YEAR(N1872))*12+MONTH(O1872)-MONTH(N1872)+1))</f>
        <v/>
      </c>
      <c r="Q1872">
        <f>IF(G1872="",0,G1872/P1872)</f>
        <v/>
      </c>
      <c r="R1872">
        <f>IF(H1872="",0,H1872/P1872)</f>
        <v/>
      </c>
    </row>
    <row r="1873">
      <c r="A1873" s="43" t="n"/>
      <c r="B1873" s="28" t="n"/>
      <c r="C1873" s="28" t="n"/>
      <c r="D1873" s="28" t="n"/>
      <c r="E1873" s="44" t="n"/>
      <c r="F1873" s="44" t="n"/>
      <c r="G1873" s="23" t="n"/>
      <c r="H1873" s="23" t="n"/>
      <c r="I1873" s="23" t="n"/>
      <c r="J1873" s="23" t="n"/>
      <c r="K1873" s="45">
        <f>IF(A1873="","",SUM(G$2:I1873)-SUM(J$2:J1873))</f>
        <v/>
      </c>
      <c r="L1873" s="46" t="n"/>
      <c r="M1873">
        <f>IF(A1873="","",IF(A1873=A1872,M1872,N(M1872)+1))</f>
        <v/>
      </c>
      <c r="N1873">
        <f>IF(E1873="",99999,E1873)</f>
        <v/>
      </c>
      <c r="O1873">
        <f>IF(E1873="",0,IF(F1873="",E1873,F1873))</f>
        <v/>
      </c>
      <c r="P1873">
        <f>IF(E1873="",1,MAX(1,(YEAR(O1873)-YEAR(N1873))*12+MONTH(O1873)-MONTH(N1873)+1))</f>
        <v/>
      </c>
      <c r="Q1873">
        <f>IF(G1873="",0,G1873/P1873)</f>
        <v/>
      </c>
      <c r="R1873">
        <f>IF(H1873="",0,H1873/P1873)</f>
        <v/>
      </c>
    </row>
    <row r="1874">
      <c r="A1874" s="43" t="n"/>
      <c r="B1874" s="28" t="n"/>
      <c r="C1874" s="28" t="n"/>
      <c r="D1874" s="28" t="n"/>
      <c r="E1874" s="44" t="n"/>
      <c r="F1874" s="44" t="n"/>
      <c r="G1874" s="23" t="n"/>
      <c r="H1874" s="23" t="n"/>
      <c r="I1874" s="23" t="n"/>
      <c r="J1874" s="23" t="n"/>
      <c r="K1874" s="45">
        <f>IF(A1874="","",SUM(G$2:I1874)-SUM(J$2:J1874))</f>
        <v/>
      </c>
      <c r="L1874" s="46" t="n"/>
      <c r="M1874">
        <f>IF(A1874="","",IF(A1874=A1873,M1873,N(M1873)+1))</f>
        <v/>
      </c>
      <c r="N1874">
        <f>IF(E1874="",99999,E1874)</f>
        <v/>
      </c>
      <c r="O1874">
        <f>IF(E1874="",0,IF(F1874="",E1874,F1874))</f>
        <v/>
      </c>
      <c r="P1874">
        <f>IF(E1874="",1,MAX(1,(YEAR(O1874)-YEAR(N1874))*12+MONTH(O1874)-MONTH(N1874)+1))</f>
        <v/>
      </c>
      <c r="Q1874">
        <f>IF(G1874="",0,G1874/P1874)</f>
        <v/>
      </c>
      <c r="R1874">
        <f>IF(H1874="",0,H1874/P1874)</f>
        <v/>
      </c>
    </row>
    <row r="1875">
      <c r="A1875" s="43" t="n"/>
      <c r="B1875" s="28" t="n"/>
      <c r="C1875" s="28" t="n"/>
      <c r="D1875" s="28" t="n"/>
      <c r="E1875" s="44" t="n"/>
      <c r="F1875" s="44" t="n"/>
      <c r="G1875" s="23" t="n"/>
      <c r="H1875" s="23" t="n"/>
      <c r="I1875" s="23" t="n"/>
      <c r="J1875" s="23" t="n"/>
      <c r="K1875" s="45">
        <f>IF(A1875="","",SUM(G$2:I1875)-SUM(J$2:J1875))</f>
        <v/>
      </c>
      <c r="L1875" s="46" t="n"/>
      <c r="M1875">
        <f>IF(A1875="","",IF(A1875=A1874,M1874,N(M1874)+1))</f>
        <v/>
      </c>
      <c r="N1875">
        <f>IF(E1875="",99999,E1875)</f>
        <v/>
      </c>
      <c r="O1875">
        <f>IF(E1875="",0,IF(F1875="",E1875,F1875))</f>
        <v/>
      </c>
      <c r="P1875">
        <f>IF(E1875="",1,MAX(1,(YEAR(O1875)-YEAR(N1875))*12+MONTH(O1875)-MONTH(N1875)+1))</f>
        <v/>
      </c>
      <c r="Q1875">
        <f>IF(G1875="",0,G1875/P1875)</f>
        <v/>
      </c>
      <c r="R1875">
        <f>IF(H1875="",0,H1875/P1875)</f>
        <v/>
      </c>
    </row>
    <row r="1876">
      <c r="A1876" s="43" t="n"/>
      <c r="B1876" s="28" t="n"/>
      <c r="C1876" s="28" t="n"/>
      <c r="D1876" s="28" t="n"/>
      <c r="E1876" s="44" t="n"/>
      <c r="F1876" s="44" t="n"/>
      <c r="G1876" s="23" t="n"/>
      <c r="H1876" s="23" t="n"/>
      <c r="I1876" s="23" t="n"/>
      <c r="J1876" s="23" t="n"/>
      <c r="K1876" s="45">
        <f>IF(A1876="","",SUM(G$2:I1876)-SUM(J$2:J1876))</f>
        <v/>
      </c>
      <c r="L1876" s="46" t="n"/>
      <c r="M1876">
        <f>IF(A1876="","",IF(A1876=A1875,M1875,N(M1875)+1))</f>
        <v/>
      </c>
      <c r="N1876">
        <f>IF(E1876="",99999,E1876)</f>
        <v/>
      </c>
      <c r="O1876">
        <f>IF(E1876="",0,IF(F1876="",E1876,F1876))</f>
        <v/>
      </c>
      <c r="P1876">
        <f>IF(E1876="",1,MAX(1,(YEAR(O1876)-YEAR(N1876))*12+MONTH(O1876)-MONTH(N1876)+1))</f>
        <v/>
      </c>
      <c r="Q1876">
        <f>IF(G1876="",0,G1876/P1876)</f>
        <v/>
      </c>
      <c r="R1876">
        <f>IF(H1876="",0,H1876/P1876)</f>
        <v/>
      </c>
    </row>
    <row r="1877">
      <c r="A1877" s="43" t="n"/>
      <c r="B1877" s="28" t="n"/>
      <c r="C1877" s="28" t="n"/>
      <c r="D1877" s="28" t="n"/>
      <c r="E1877" s="44" t="n"/>
      <c r="F1877" s="44" t="n"/>
      <c r="G1877" s="23" t="n"/>
      <c r="H1877" s="23" t="n"/>
      <c r="I1877" s="23" t="n"/>
      <c r="J1877" s="23" t="n"/>
      <c r="K1877" s="45">
        <f>IF(A1877="","",SUM(G$2:I1877)-SUM(J$2:J1877))</f>
        <v/>
      </c>
      <c r="L1877" s="46" t="n"/>
      <c r="M1877">
        <f>IF(A1877="","",IF(A1877=A1876,M1876,N(M1876)+1))</f>
        <v/>
      </c>
      <c r="N1877">
        <f>IF(E1877="",99999,E1877)</f>
        <v/>
      </c>
      <c r="O1877">
        <f>IF(E1877="",0,IF(F1877="",E1877,F1877))</f>
        <v/>
      </c>
      <c r="P1877">
        <f>IF(E1877="",1,MAX(1,(YEAR(O1877)-YEAR(N1877))*12+MONTH(O1877)-MONTH(N1877)+1))</f>
        <v/>
      </c>
      <c r="Q1877">
        <f>IF(G1877="",0,G1877/P1877)</f>
        <v/>
      </c>
      <c r="R1877">
        <f>IF(H1877="",0,H1877/P1877)</f>
        <v/>
      </c>
    </row>
    <row r="1878">
      <c r="A1878" s="43" t="n"/>
      <c r="B1878" s="28" t="n"/>
      <c r="C1878" s="28" t="n"/>
      <c r="D1878" s="28" t="n"/>
      <c r="E1878" s="44" t="n"/>
      <c r="F1878" s="44" t="n"/>
      <c r="G1878" s="23" t="n"/>
      <c r="H1878" s="23" t="n"/>
      <c r="I1878" s="23" t="n"/>
      <c r="J1878" s="23" t="n"/>
      <c r="K1878" s="45">
        <f>IF(A1878="","",SUM(G$2:I1878)-SUM(J$2:J1878))</f>
        <v/>
      </c>
      <c r="L1878" s="46" t="n"/>
      <c r="M1878">
        <f>IF(A1878="","",IF(A1878=A1877,M1877,N(M1877)+1))</f>
        <v/>
      </c>
      <c r="N1878">
        <f>IF(E1878="",99999,E1878)</f>
        <v/>
      </c>
      <c r="O1878">
        <f>IF(E1878="",0,IF(F1878="",E1878,F1878))</f>
        <v/>
      </c>
      <c r="P1878">
        <f>IF(E1878="",1,MAX(1,(YEAR(O1878)-YEAR(N1878))*12+MONTH(O1878)-MONTH(N1878)+1))</f>
        <v/>
      </c>
      <c r="Q1878">
        <f>IF(G1878="",0,G1878/P1878)</f>
        <v/>
      </c>
      <c r="R1878">
        <f>IF(H1878="",0,H1878/P1878)</f>
        <v/>
      </c>
    </row>
    <row r="1879">
      <c r="A1879" s="43" t="n"/>
      <c r="B1879" s="28" t="n"/>
      <c r="C1879" s="28" t="n"/>
      <c r="D1879" s="28" t="n"/>
      <c r="E1879" s="44" t="n"/>
      <c r="F1879" s="44" t="n"/>
      <c r="G1879" s="23" t="n"/>
      <c r="H1879" s="23" t="n"/>
      <c r="I1879" s="23" t="n"/>
      <c r="J1879" s="23" t="n"/>
      <c r="K1879" s="45">
        <f>IF(A1879="","",SUM(G$2:I1879)-SUM(J$2:J1879))</f>
        <v/>
      </c>
      <c r="L1879" s="46" t="n"/>
      <c r="M1879">
        <f>IF(A1879="","",IF(A1879=A1878,M1878,N(M1878)+1))</f>
        <v/>
      </c>
      <c r="N1879">
        <f>IF(E1879="",99999,E1879)</f>
        <v/>
      </c>
      <c r="O1879">
        <f>IF(E1879="",0,IF(F1879="",E1879,F1879))</f>
        <v/>
      </c>
      <c r="P1879">
        <f>IF(E1879="",1,MAX(1,(YEAR(O1879)-YEAR(N1879))*12+MONTH(O1879)-MONTH(N1879)+1))</f>
        <v/>
      </c>
      <c r="Q1879">
        <f>IF(G1879="",0,G1879/P1879)</f>
        <v/>
      </c>
      <c r="R1879">
        <f>IF(H1879="",0,H1879/P1879)</f>
        <v/>
      </c>
    </row>
    <row r="1880">
      <c r="A1880" s="43" t="n"/>
      <c r="B1880" s="28" t="n"/>
      <c r="C1880" s="28" t="n"/>
      <c r="D1880" s="28" t="n"/>
      <c r="E1880" s="44" t="n"/>
      <c r="F1880" s="44" t="n"/>
      <c r="G1880" s="23" t="n"/>
      <c r="H1880" s="23" t="n"/>
      <c r="I1880" s="23" t="n"/>
      <c r="J1880" s="23" t="n"/>
      <c r="K1880" s="45">
        <f>IF(A1880="","",SUM(G$2:I1880)-SUM(J$2:J1880))</f>
        <v/>
      </c>
      <c r="L1880" s="46" t="n"/>
      <c r="M1880">
        <f>IF(A1880="","",IF(A1880=A1879,M1879,N(M1879)+1))</f>
        <v/>
      </c>
      <c r="N1880">
        <f>IF(E1880="",99999,E1880)</f>
        <v/>
      </c>
      <c r="O1880">
        <f>IF(E1880="",0,IF(F1880="",E1880,F1880))</f>
        <v/>
      </c>
      <c r="P1880">
        <f>IF(E1880="",1,MAX(1,(YEAR(O1880)-YEAR(N1880))*12+MONTH(O1880)-MONTH(N1880)+1))</f>
        <v/>
      </c>
      <c r="Q1880">
        <f>IF(G1880="",0,G1880/P1880)</f>
        <v/>
      </c>
      <c r="R1880">
        <f>IF(H1880="",0,H1880/P1880)</f>
        <v/>
      </c>
    </row>
    <row r="1881">
      <c r="A1881" s="43" t="n"/>
      <c r="B1881" s="28" t="n"/>
      <c r="C1881" s="28" t="n"/>
      <c r="D1881" s="28" t="n"/>
      <c r="E1881" s="44" t="n"/>
      <c r="F1881" s="44" t="n"/>
      <c r="G1881" s="23" t="n"/>
      <c r="H1881" s="23" t="n"/>
      <c r="I1881" s="23" t="n"/>
      <c r="J1881" s="23" t="n"/>
      <c r="K1881" s="45">
        <f>IF(A1881="","",SUM(G$2:I1881)-SUM(J$2:J1881))</f>
        <v/>
      </c>
      <c r="L1881" s="46" t="n"/>
      <c r="M1881">
        <f>IF(A1881="","",IF(A1881=A1880,M1880,N(M1880)+1))</f>
        <v/>
      </c>
      <c r="N1881">
        <f>IF(E1881="",99999,E1881)</f>
        <v/>
      </c>
      <c r="O1881">
        <f>IF(E1881="",0,IF(F1881="",E1881,F1881))</f>
        <v/>
      </c>
      <c r="P1881">
        <f>IF(E1881="",1,MAX(1,(YEAR(O1881)-YEAR(N1881))*12+MONTH(O1881)-MONTH(N1881)+1))</f>
        <v/>
      </c>
      <c r="Q1881">
        <f>IF(G1881="",0,G1881/P1881)</f>
        <v/>
      </c>
      <c r="R1881">
        <f>IF(H1881="",0,H1881/P1881)</f>
        <v/>
      </c>
    </row>
    <row r="1882">
      <c r="A1882" s="43" t="n"/>
      <c r="B1882" s="28" t="n"/>
      <c r="C1882" s="28" t="n"/>
      <c r="D1882" s="28" t="n"/>
      <c r="E1882" s="44" t="n"/>
      <c r="F1882" s="44" t="n"/>
      <c r="G1882" s="23" t="n"/>
      <c r="H1882" s="23" t="n"/>
      <c r="I1882" s="23" t="n"/>
      <c r="J1882" s="23" t="n"/>
      <c r="K1882" s="45">
        <f>IF(A1882="","",SUM(G$2:I1882)-SUM(J$2:J1882))</f>
        <v/>
      </c>
      <c r="L1882" s="46" t="n"/>
      <c r="M1882">
        <f>IF(A1882="","",IF(A1882=A1881,M1881,N(M1881)+1))</f>
        <v/>
      </c>
      <c r="N1882">
        <f>IF(E1882="",99999,E1882)</f>
        <v/>
      </c>
      <c r="O1882">
        <f>IF(E1882="",0,IF(F1882="",E1882,F1882))</f>
        <v/>
      </c>
      <c r="P1882">
        <f>IF(E1882="",1,MAX(1,(YEAR(O1882)-YEAR(N1882))*12+MONTH(O1882)-MONTH(N1882)+1))</f>
        <v/>
      </c>
      <c r="Q1882">
        <f>IF(G1882="",0,G1882/P1882)</f>
        <v/>
      </c>
      <c r="R1882">
        <f>IF(H1882="",0,H1882/P1882)</f>
        <v/>
      </c>
    </row>
    <row r="1883">
      <c r="A1883" s="43" t="n"/>
      <c r="B1883" s="28" t="n"/>
      <c r="C1883" s="28" t="n"/>
      <c r="D1883" s="28" t="n"/>
      <c r="E1883" s="44" t="n"/>
      <c r="F1883" s="44" t="n"/>
      <c r="G1883" s="23" t="n"/>
      <c r="H1883" s="23" t="n"/>
      <c r="I1883" s="23" t="n"/>
      <c r="J1883" s="23" t="n"/>
      <c r="K1883" s="45">
        <f>IF(A1883="","",SUM(G$2:I1883)-SUM(J$2:J1883))</f>
        <v/>
      </c>
      <c r="L1883" s="46" t="n"/>
      <c r="M1883">
        <f>IF(A1883="","",IF(A1883=A1882,M1882,N(M1882)+1))</f>
        <v/>
      </c>
      <c r="N1883">
        <f>IF(E1883="",99999,E1883)</f>
        <v/>
      </c>
      <c r="O1883">
        <f>IF(E1883="",0,IF(F1883="",E1883,F1883))</f>
        <v/>
      </c>
      <c r="P1883">
        <f>IF(E1883="",1,MAX(1,(YEAR(O1883)-YEAR(N1883))*12+MONTH(O1883)-MONTH(N1883)+1))</f>
        <v/>
      </c>
      <c r="Q1883">
        <f>IF(G1883="",0,G1883/P1883)</f>
        <v/>
      </c>
      <c r="R1883">
        <f>IF(H1883="",0,H1883/P1883)</f>
        <v/>
      </c>
    </row>
    <row r="1884">
      <c r="A1884" s="43" t="n"/>
      <c r="B1884" s="28" t="n"/>
      <c r="C1884" s="28" t="n"/>
      <c r="D1884" s="28" t="n"/>
      <c r="E1884" s="44" t="n"/>
      <c r="F1884" s="44" t="n"/>
      <c r="G1884" s="23" t="n"/>
      <c r="H1884" s="23" t="n"/>
      <c r="I1884" s="23" t="n"/>
      <c r="J1884" s="23" t="n"/>
      <c r="K1884" s="45">
        <f>IF(A1884="","",SUM(G$2:I1884)-SUM(J$2:J1884))</f>
        <v/>
      </c>
      <c r="L1884" s="46" t="n"/>
      <c r="M1884">
        <f>IF(A1884="","",IF(A1884=A1883,M1883,N(M1883)+1))</f>
        <v/>
      </c>
      <c r="N1884">
        <f>IF(E1884="",99999,E1884)</f>
        <v/>
      </c>
      <c r="O1884">
        <f>IF(E1884="",0,IF(F1884="",E1884,F1884))</f>
        <v/>
      </c>
      <c r="P1884">
        <f>IF(E1884="",1,MAX(1,(YEAR(O1884)-YEAR(N1884))*12+MONTH(O1884)-MONTH(N1884)+1))</f>
        <v/>
      </c>
      <c r="Q1884">
        <f>IF(G1884="",0,G1884/P1884)</f>
        <v/>
      </c>
      <c r="R1884">
        <f>IF(H1884="",0,H1884/P1884)</f>
        <v/>
      </c>
    </row>
    <row r="1885">
      <c r="A1885" s="43" t="n"/>
      <c r="B1885" s="28" t="n"/>
      <c r="C1885" s="28" t="n"/>
      <c r="D1885" s="28" t="n"/>
      <c r="E1885" s="44" t="n"/>
      <c r="F1885" s="44" t="n"/>
      <c r="G1885" s="23" t="n"/>
      <c r="H1885" s="23" t="n"/>
      <c r="I1885" s="23" t="n"/>
      <c r="J1885" s="23" t="n"/>
      <c r="K1885" s="45">
        <f>IF(A1885="","",SUM(G$2:I1885)-SUM(J$2:J1885))</f>
        <v/>
      </c>
      <c r="L1885" s="46" t="n"/>
      <c r="M1885">
        <f>IF(A1885="","",IF(A1885=A1884,M1884,N(M1884)+1))</f>
        <v/>
      </c>
      <c r="N1885">
        <f>IF(E1885="",99999,E1885)</f>
        <v/>
      </c>
      <c r="O1885">
        <f>IF(E1885="",0,IF(F1885="",E1885,F1885))</f>
        <v/>
      </c>
      <c r="P1885">
        <f>IF(E1885="",1,MAX(1,(YEAR(O1885)-YEAR(N1885))*12+MONTH(O1885)-MONTH(N1885)+1))</f>
        <v/>
      </c>
      <c r="Q1885">
        <f>IF(G1885="",0,G1885/P1885)</f>
        <v/>
      </c>
      <c r="R1885">
        <f>IF(H1885="",0,H1885/P1885)</f>
        <v/>
      </c>
    </row>
    <row r="1886">
      <c r="A1886" s="43" t="n"/>
      <c r="B1886" s="28" t="n"/>
      <c r="C1886" s="28" t="n"/>
      <c r="D1886" s="28" t="n"/>
      <c r="E1886" s="44" t="n"/>
      <c r="F1886" s="44" t="n"/>
      <c r="G1886" s="23" t="n"/>
      <c r="H1886" s="23" t="n"/>
      <c r="I1886" s="23" t="n"/>
      <c r="J1886" s="23" t="n"/>
      <c r="K1886" s="45">
        <f>IF(A1886="","",SUM(G$2:I1886)-SUM(J$2:J1886))</f>
        <v/>
      </c>
      <c r="L1886" s="46" t="n"/>
      <c r="M1886">
        <f>IF(A1886="","",IF(A1886=A1885,M1885,N(M1885)+1))</f>
        <v/>
      </c>
      <c r="N1886">
        <f>IF(E1886="",99999,E1886)</f>
        <v/>
      </c>
      <c r="O1886">
        <f>IF(E1886="",0,IF(F1886="",E1886,F1886))</f>
        <v/>
      </c>
      <c r="P1886">
        <f>IF(E1886="",1,MAX(1,(YEAR(O1886)-YEAR(N1886))*12+MONTH(O1886)-MONTH(N1886)+1))</f>
        <v/>
      </c>
      <c r="Q1886">
        <f>IF(G1886="",0,G1886/P1886)</f>
        <v/>
      </c>
      <c r="R1886">
        <f>IF(H1886="",0,H1886/P1886)</f>
        <v/>
      </c>
    </row>
    <row r="1887">
      <c r="A1887" s="43" t="n"/>
      <c r="B1887" s="28" t="n"/>
      <c r="C1887" s="28" t="n"/>
      <c r="D1887" s="28" t="n"/>
      <c r="E1887" s="44" t="n"/>
      <c r="F1887" s="44" t="n"/>
      <c r="G1887" s="23" t="n"/>
      <c r="H1887" s="23" t="n"/>
      <c r="I1887" s="23" t="n"/>
      <c r="J1887" s="23" t="n"/>
      <c r="K1887" s="45">
        <f>IF(A1887="","",SUM(G$2:I1887)-SUM(J$2:J1887))</f>
        <v/>
      </c>
      <c r="L1887" s="46" t="n"/>
      <c r="M1887">
        <f>IF(A1887="","",IF(A1887=A1886,M1886,N(M1886)+1))</f>
        <v/>
      </c>
      <c r="N1887">
        <f>IF(E1887="",99999,E1887)</f>
        <v/>
      </c>
      <c r="O1887">
        <f>IF(E1887="",0,IF(F1887="",E1887,F1887))</f>
        <v/>
      </c>
      <c r="P1887">
        <f>IF(E1887="",1,MAX(1,(YEAR(O1887)-YEAR(N1887))*12+MONTH(O1887)-MONTH(N1887)+1))</f>
        <v/>
      </c>
      <c r="Q1887">
        <f>IF(G1887="",0,G1887/P1887)</f>
        <v/>
      </c>
      <c r="R1887">
        <f>IF(H1887="",0,H1887/P1887)</f>
        <v/>
      </c>
    </row>
    <row r="1888">
      <c r="A1888" s="43" t="n"/>
      <c r="B1888" s="28" t="n"/>
      <c r="C1888" s="28" t="n"/>
      <c r="D1888" s="28" t="n"/>
      <c r="E1888" s="44" t="n"/>
      <c r="F1888" s="44" t="n"/>
      <c r="G1888" s="23" t="n"/>
      <c r="H1888" s="23" t="n"/>
      <c r="I1888" s="23" t="n"/>
      <c r="J1888" s="23" t="n"/>
      <c r="K1888" s="45">
        <f>IF(A1888="","",SUM(G$2:I1888)-SUM(J$2:J1888))</f>
        <v/>
      </c>
      <c r="L1888" s="46" t="n"/>
      <c r="M1888">
        <f>IF(A1888="","",IF(A1888=A1887,M1887,N(M1887)+1))</f>
        <v/>
      </c>
      <c r="N1888">
        <f>IF(E1888="",99999,E1888)</f>
        <v/>
      </c>
      <c r="O1888">
        <f>IF(E1888="",0,IF(F1888="",E1888,F1888))</f>
        <v/>
      </c>
      <c r="P1888">
        <f>IF(E1888="",1,MAX(1,(YEAR(O1888)-YEAR(N1888))*12+MONTH(O1888)-MONTH(N1888)+1))</f>
        <v/>
      </c>
      <c r="Q1888">
        <f>IF(G1888="",0,G1888/P1888)</f>
        <v/>
      </c>
      <c r="R1888">
        <f>IF(H1888="",0,H1888/P1888)</f>
        <v/>
      </c>
    </row>
    <row r="1889">
      <c r="A1889" s="43" t="n"/>
      <c r="B1889" s="28" t="n"/>
      <c r="C1889" s="28" t="n"/>
      <c r="D1889" s="28" t="n"/>
      <c r="E1889" s="44" t="n"/>
      <c r="F1889" s="44" t="n"/>
      <c r="G1889" s="23" t="n"/>
      <c r="H1889" s="23" t="n"/>
      <c r="I1889" s="23" t="n"/>
      <c r="J1889" s="23" t="n"/>
      <c r="K1889" s="45">
        <f>IF(A1889="","",SUM(G$2:I1889)-SUM(J$2:J1889))</f>
        <v/>
      </c>
      <c r="L1889" s="46" t="n"/>
      <c r="M1889">
        <f>IF(A1889="","",IF(A1889=A1888,M1888,N(M1888)+1))</f>
        <v/>
      </c>
      <c r="N1889">
        <f>IF(E1889="",99999,E1889)</f>
        <v/>
      </c>
      <c r="O1889">
        <f>IF(E1889="",0,IF(F1889="",E1889,F1889))</f>
        <v/>
      </c>
      <c r="P1889">
        <f>IF(E1889="",1,MAX(1,(YEAR(O1889)-YEAR(N1889))*12+MONTH(O1889)-MONTH(N1889)+1))</f>
        <v/>
      </c>
      <c r="Q1889">
        <f>IF(G1889="",0,G1889/P1889)</f>
        <v/>
      </c>
      <c r="R1889">
        <f>IF(H1889="",0,H1889/P1889)</f>
        <v/>
      </c>
    </row>
    <row r="1890">
      <c r="A1890" s="43" t="n"/>
      <c r="B1890" s="28" t="n"/>
      <c r="C1890" s="28" t="n"/>
      <c r="D1890" s="28" t="n"/>
      <c r="E1890" s="44" t="n"/>
      <c r="F1890" s="44" t="n"/>
      <c r="G1890" s="23" t="n"/>
      <c r="H1890" s="23" t="n"/>
      <c r="I1890" s="23" t="n"/>
      <c r="J1890" s="23" t="n"/>
      <c r="K1890" s="45">
        <f>IF(A1890="","",SUM(G$2:I1890)-SUM(J$2:J1890))</f>
        <v/>
      </c>
      <c r="L1890" s="46" t="n"/>
      <c r="M1890">
        <f>IF(A1890="","",IF(A1890=A1889,M1889,N(M1889)+1))</f>
        <v/>
      </c>
      <c r="N1890">
        <f>IF(E1890="",99999,E1890)</f>
        <v/>
      </c>
      <c r="O1890">
        <f>IF(E1890="",0,IF(F1890="",E1890,F1890))</f>
        <v/>
      </c>
      <c r="P1890">
        <f>IF(E1890="",1,MAX(1,(YEAR(O1890)-YEAR(N1890))*12+MONTH(O1890)-MONTH(N1890)+1))</f>
        <v/>
      </c>
      <c r="Q1890">
        <f>IF(G1890="",0,G1890/P1890)</f>
        <v/>
      </c>
      <c r="R1890">
        <f>IF(H1890="",0,H1890/P1890)</f>
        <v/>
      </c>
    </row>
    <row r="1891">
      <c r="A1891" s="43" t="n"/>
      <c r="B1891" s="28" t="n"/>
      <c r="C1891" s="28" t="n"/>
      <c r="D1891" s="28" t="n"/>
      <c r="E1891" s="44" t="n"/>
      <c r="F1891" s="44" t="n"/>
      <c r="G1891" s="23" t="n"/>
      <c r="H1891" s="23" t="n"/>
      <c r="I1891" s="23" t="n"/>
      <c r="J1891" s="23" t="n"/>
      <c r="K1891" s="45">
        <f>IF(A1891="","",SUM(G$2:I1891)-SUM(J$2:J1891))</f>
        <v/>
      </c>
      <c r="L1891" s="46" t="n"/>
      <c r="M1891">
        <f>IF(A1891="","",IF(A1891=A1890,M1890,N(M1890)+1))</f>
        <v/>
      </c>
      <c r="N1891">
        <f>IF(E1891="",99999,E1891)</f>
        <v/>
      </c>
      <c r="O1891">
        <f>IF(E1891="",0,IF(F1891="",E1891,F1891))</f>
        <v/>
      </c>
      <c r="P1891">
        <f>IF(E1891="",1,MAX(1,(YEAR(O1891)-YEAR(N1891))*12+MONTH(O1891)-MONTH(N1891)+1))</f>
        <v/>
      </c>
      <c r="Q1891">
        <f>IF(G1891="",0,G1891/P1891)</f>
        <v/>
      </c>
      <c r="R1891">
        <f>IF(H1891="",0,H1891/P1891)</f>
        <v/>
      </c>
    </row>
    <row r="1892">
      <c r="A1892" s="43" t="n"/>
      <c r="B1892" s="28" t="n"/>
      <c r="C1892" s="28" t="n"/>
      <c r="D1892" s="28" t="n"/>
      <c r="E1892" s="44" t="n"/>
      <c r="F1892" s="44" t="n"/>
      <c r="G1892" s="23" t="n"/>
      <c r="H1892" s="23" t="n"/>
      <c r="I1892" s="23" t="n"/>
      <c r="J1892" s="23" t="n"/>
      <c r="K1892" s="45">
        <f>IF(A1892="","",SUM(G$2:I1892)-SUM(J$2:J1892))</f>
        <v/>
      </c>
      <c r="L1892" s="46" t="n"/>
      <c r="M1892">
        <f>IF(A1892="","",IF(A1892=A1891,M1891,N(M1891)+1))</f>
        <v/>
      </c>
      <c r="N1892">
        <f>IF(E1892="",99999,E1892)</f>
        <v/>
      </c>
      <c r="O1892">
        <f>IF(E1892="",0,IF(F1892="",E1892,F1892))</f>
        <v/>
      </c>
      <c r="P1892">
        <f>IF(E1892="",1,MAX(1,(YEAR(O1892)-YEAR(N1892))*12+MONTH(O1892)-MONTH(N1892)+1))</f>
        <v/>
      </c>
      <c r="Q1892">
        <f>IF(G1892="",0,G1892/P1892)</f>
        <v/>
      </c>
      <c r="R1892">
        <f>IF(H1892="",0,H1892/P1892)</f>
        <v/>
      </c>
    </row>
    <row r="1893">
      <c r="A1893" s="43" t="n"/>
      <c r="B1893" s="28" t="n"/>
      <c r="C1893" s="28" t="n"/>
      <c r="D1893" s="28" t="n"/>
      <c r="E1893" s="44" t="n"/>
      <c r="F1893" s="44" t="n"/>
      <c r="G1893" s="23" t="n"/>
      <c r="H1893" s="23" t="n"/>
      <c r="I1893" s="23" t="n"/>
      <c r="J1893" s="23" t="n"/>
      <c r="K1893" s="45">
        <f>IF(A1893="","",SUM(G$2:I1893)-SUM(J$2:J1893))</f>
        <v/>
      </c>
      <c r="L1893" s="46" t="n"/>
      <c r="M1893">
        <f>IF(A1893="","",IF(A1893=A1892,M1892,N(M1892)+1))</f>
        <v/>
      </c>
      <c r="N1893">
        <f>IF(E1893="",99999,E1893)</f>
        <v/>
      </c>
      <c r="O1893">
        <f>IF(E1893="",0,IF(F1893="",E1893,F1893))</f>
        <v/>
      </c>
      <c r="P1893">
        <f>IF(E1893="",1,MAX(1,(YEAR(O1893)-YEAR(N1893))*12+MONTH(O1893)-MONTH(N1893)+1))</f>
        <v/>
      </c>
      <c r="Q1893">
        <f>IF(G1893="",0,G1893/P1893)</f>
        <v/>
      </c>
      <c r="R1893">
        <f>IF(H1893="",0,H1893/P1893)</f>
        <v/>
      </c>
    </row>
    <row r="1894">
      <c r="A1894" s="43" t="n"/>
      <c r="B1894" s="28" t="n"/>
      <c r="C1894" s="28" t="n"/>
      <c r="D1894" s="28" t="n"/>
      <c r="E1894" s="44" t="n"/>
      <c r="F1894" s="44" t="n"/>
      <c r="G1894" s="23" t="n"/>
      <c r="H1894" s="23" t="n"/>
      <c r="I1894" s="23" t="n"/>
      <c r="J1894" s="23" t="n"/>
      <c r="K1894" s="45">
        <f>IF(A1894="","",SUM(G$2:I1894)-SUM(J$2:J1894))</f>
        <v/>
      </c>
      <c r="L1894" s="46" t="n"/>
      <c r="M1894">
        <f>IF(A1894="","",IF(A1894=A1893,M1893,N(M1893)+1))</f>
        <v/>
      </c>
      <c r="N1894">
        <f>IF(E1894="",99999,E1894)</f>
        <v/>
      </c>
      <c r="O1894">
        <f>IF(E1894="",0,IF(F1894="",E1894,F1894))</f>
        <v/>
      </c>
      <c r="P1894">
        <f>IF(E1894="",1,MAX(1,(YEAR(O1894)-YEAR(N1894))*12+MONTH(O1894)-MONTH(N1894)+1))</f>
        <v/>
      </c>
      <c r="Q1894">
        <f>IF(G1894="",0,G1894/P1894)</f>
        <v/>
      </c>
      <c r="R1894">
        <f>IF(H1894="",0,H1894/P1894)</f>
        <v/>
      </c>
    </row>
    <row r="1895">
      <c r="A1895" s="43" t="n"/>
      <c r="B1895" s="28" t="n"/>
      <c r="C1895" s="28" t="n"/>
      <c r="D1895" s="28" t="n"/>
      <c r="E1895" s="44" t="n"/>
      <c r="F1895" s="44" t="n"/>
      <c r="G1895" s="23" t="n"/>
      <c r="H1895" s="23" t="n"/>
      <c r="I1895" s="23" t="n"/>
      <c r="J1895" s="23" t="n"/>
      <c r="K1895" s="45">
        <f>IF(A1895="","",SUM(G$2:I1895)-SUM(J$2:J1895))</f>
        <v/>
      </c>
      <c r="L1895" s="46" t="n"/>
      <c r="M1895">
        <f>IF(A1895="","",IF(A1895=A1894,M1894,N(M1894)+1))</f>
        <v/>
      </c>
      <c r="N1895">
        <f>IF(E1895="",99999,E1895)</f>
        <v/>
      </c>
      <c r="O1895">
        <f>IF(E1895="",0,IF(F1895="",E1895,F1895))</f>
        <v/>
      </c>
      <c r="P1895">
        <f>IF(E1895="",1,MAX(1,(YEAR(O1895)-YEAR(N1895))*12+MONTH(O1895)-MONTH(N1895)+1))</f>
        <v/>
      </c>
      <c r="Q1895">
        <f>IF(G1895="",0,G1895/P1895)</f>
        <v/>
      </c>
      <c r="R1895">
        <f>IF(H1895="",0,H1895/P1895)</f>
        <v/>
      </c>
    </row>
    <row r="1896">
      <c r="A1896" s="43" t="n"/>
      <c r="B1896" s="28" t="n"/>
      <c r="C1896" s="28" t="n"/>
      <c r="D1896" s="28" t="n"/>
      <c r="E1896" s="44" t="n"/>
      <c r="F1896" s="44" t="n"/>
      <c r="G1896" s="23" t="n"/>
      <c r="H1896" s="23" t="n"/>
      <c r="I1896" s="23" t="n"/>
      <c r="J1896" s="23" t="n"/>
      <c r="K1896" s="45">
        <f>IF(A1896="","",SUM(G$2:I1896)-SUM(J$2:J1896))</f>
        <v/>
      </c>
      <c r="L1896" s="46" t="n"/>
      <c r="M1896">
        <f>IF(A1896="","",IF(A1896=A1895,M1895,N(M1895)+1))</f>
        <v/>
      </c>
      <c r="N1896">
        <f>IF(E1896="",99999,E1896)</f>
        <v/>
      </c>
      <c r="O1896">
        <f>IF(E1896="",0,IF(F1896="",E1896,F1896))</f>
        <v/>
      </c>
      <c r="P1896">
        <f>IF(E1896="",1,MAX(1,(YEAR(O1896)-YEAR(N1896))*12+MONTH(O1896)-MONTH(N1896)+1))</f>
        <v/>
      </c>
      <c r="Q1896">
        <f>IF(G1896="",0,G1896/P1896)</f>
        <v/>
      </c>
      <c r="R1896">
        <f>IF(H1896="",0,H1896/P1896)</f>
        <v/>
      </c>
    </row>
    <row r="1897">
      <c r="A1897" s="43" t="n"/>
      <c r="B1897" s="28" t="n"/>
      <c r="C1897" s="28" t="n"/>
      <c r="D1897" s="28" t="n"/>
      <c r="E1897" s="44" t="n"/>
      <c r="F1897" s="44" t="n"/>
      <c r="G1897" s="23" t="n"/>
      <c r="H1897" s="23" t="n"/>
      <c r="I1897" s="23" t="n"/>
      <c r="J1897" s="23" t="n"/>
      <c r="K1897" s="45">
        <f>IF(A1897="","",SUM(G$2:I1897)-SUM(J$2:J1897))</f>
        <v/>
      </c>
      <c r="L1897" s="46" t="n"/>
      <c r="M1897">
        <f>IF(A1897="","",IF(A1897=A1896,M1896,N(M1896)+1))</f>
        <v/>
      </c>
      <c r="N1897">
        <f>IF(E1897="",99999,E1897)</f>
        <v/>
      </c>
      <c r="O1897">
        <f>IF(E1897="",0,IF(F1897="",E1897,F1897))</f>
        <v/>
      </c>
      <c r="P1897">
        <f>IF(E1897="",1,MAX(1,(YEAR(O1897)-YEAR(N1897))*12+MONTH(O1897)-MONTH(N1897)+1))</f>
        <v/>
      </c>
      <c r="Q1897">
        <f>IF(G1897="",0,G1897/P1897)</f>
        <v/>
      </c>
      <c r="R1897">
        <f>IF(H1897="",0,H1897/P1897)</f>
        <v/>
      </c>
    </row>
    <row r="1898">
      <c r="A1898" s="43" t="n"/>
      <c r="B1898" s="28" t="n"/>
      <c r="C1898" s="28" t="n"/>
      <c r="D1898" s="28" t="n"/>
      <c r="E1898" s="44" t="n"/>
      <c r="F1898" s="44" t="n"/>
      <c r="G1898" s="23" t="n"/>
      <c r="H1898" s="23" t="n"/>
      <c r="I1898" s="23" t="n"/>
      <c r="J1898" s="23" t="n"/>
      <c r="K1898" s="45">
        <f>IF(A1898="","",SUM(G$2:I1898)-SUM(J$2:J1898))</f>
        <v/>
      </c>
      <c r="L1898" s="46" t="n"/>
      <c r="M1898">
        <f>IF(A1898="","",IF(A1898=A1897,M1897,N(M1897)+1))</f>
        <v/>
      </c>
      <c r="N1898">
        <f>IF(E1898="",99999,E1898)</f>
        <v/>
      </c>
      <c r="O1898">
        <f>IF(E1898="",0,IF(F1898="",E1898,F1898))</f>
        <v/>
      </c>
      <c r="P1898">
        <f>IF(E1898="",1,MAX(1,(YEAR(O1898)-YEAR(N1898))*12+MONTH(O1898)-MONTH(N1898)+1))</f>
        <v/>
      </c>
      <c r="Q1898">
        <f>IF(G1898="",0,G1898/P1898)</f>
        <v/>
      </c>
      <c r="R1898">
        <f>IF(H1898="",0,H1898/P1898)</f>
        <v/>
      </c>
    </row>
    <row r="1899">
      <c r="A1899" s="43" t="n"/>
      <c r="B1899" s="28" t="n"/>
      <c r="C1899" s="28" t="n"/>
      <c r="D1899" s="28" t="n"/>
      <c r="E1899" s="44" t="n"/>
      <c r="F1899" s="44" t="n"/>
      <c r="G1899" s="23" t="n"/>
      <c r="H1899" s="23" t="n"/>
      <c r="I1899" s="23" t="n"/>
      <c r="J1899" s="23" t="n"/>
      <c r="K1899" s="45">
        <f>IF(A1899="","",SUM(G$2:I1899)-SUM(J$2:J1899))</f>
        <v/>
      </c>
      <c r="L1899" s="46" t="n"/>
      <c r="M1899">
        <f>IF(A1899="","",IF(A1899=A1898,M1898,N(M1898)+1))</f>
        <v/>
      </c>
      <c r="N1899">
        <f>IF(E1899="",99999,E1899)</f>
        <v/>
      </c>
      <c r="O1899">
        <f>IF(E1899="",0,IF(F1899="",E1899,F1899))</f>
        <v/>
      </c>
      <c r="P1899">
        <f>IF(E1899="",1,MAX(1,(YEAR(O1899)-YEAR(N1899))*12+MONTH(O1899)-MONTH(N1899)+1))</f>
        <v/>
      </c>
      <c r="Q1899">
        <f>IF(G1899="",0,G1899/P1899)</f>
        <v/>
      </c>
      <c r="R1899">
        <f>IF(H1899="",0,H1899/P1899)</f>
        <v/>
      </c>
    </row>
    <row r="1900">
      <c r="A1900" s="43" t="n"/>
      <c r="B1900" s="28" t="n"/>
      <c r="C1900" s="28" t="n"/>
      <c r="D1900" s="28" t="n"/>
      <c r="E1900" s="44" t="n"/>
      <c r="F1900" s="44" t="n"/>
      <c r="G1900" s="23" t="n"/>
      <c r="H1900" s="23" t="n"/>
      <c r="I1900" s="23" t="n"/>
      <c r="J1900" s="23" t="n"/>
      <c r="K1900" s="45">
        <f>IF(A1900="","",SUM(G$2:I1900)-SUM(J$2:J1900))</f>
        <v/>
      </c>
      <c r="L1900" s="46" t="n"/>
      <c r="M1900">
        <f>IF(A1900="","",IF(A1900=A1899,M1899,N(M1899)+1))</f>
        <v/>
      </c>
      <c r="N1900">
        <f>IF(E1900="",99999,E1900)</f>
        <v/>
      </c>
      <c r="O1900">
        <f>IF(E1900="",0,IF(F1900="",E1900,F1900))</f>
        <v/>
      </c>
      <c r="P1900">
        <f>IF(E1900="",1,MAX(1,(YEAR(O1900)-YEAR(N1900))*12+MONTH(O1900)-MONTH(N1900)+1))</f>
        <v/>
      </c>
      <c r="Q1900">
        <f>IF(G1900="",0,G1900/P1900)</f>
        <v/>
      </c>
      <c r="R1900">
        <f>IF(H1900="",0,H1900/P1900)</f>
        <v/>
      </c>
    </row>
    <row r="1901">
      <c r="A1901" s="43" t="n"/>
      <c r="B1901" s="28" t="n"/>
      <c r="C1901" s="28" t="n"/>
      <c r="D1901" s="28" t="n"/>
      <c r="E1901" s="44" t="n"/>
      <c r="F1901" s="44" t="n"/>
      <c r="G1901" s="23" t="n"/>
      <c r="H1901" s="23" t="n"/>
      <c r="I1901" s="23" t="n"/>
      <c r="J1901" s="23" t="n"/>
      <c r="K1901" s="45">
        <f>IF(A1901="","",SUM(G$2:I1901)-SUM(J$2:J1901))</f>
        <v/>
      </c>
      <c r="L1901" s="46" t="n"/>
      <c r="M1901">
        <f>IF(A1901="","",IF(A1901=A1900,M1900,N(M1900)+1))</f>
        <v/>
      </c>
      <c r="N1901">
        <f>IF(E1901="",99999,E1901)</f>
        <v/>
      </c>
      <c r="O1901">
        <f>IF(E1901="",0,IF(F1901="",E1901,F1901))</f>
        <v/>
      </c>
      <c r="P1901">
        <f>IF(E1901="",1,MAX(1,(YEAR(O1901)-YEAR(N1901))*12+MONTH(O1901)-MONTH(N1901)+1))</f>
        <v/>
      </c>
      <c r="Q1901">
        <f>IF(G1901="",0,G1901/P1901)</f>
        <v/>
      </c>
      <c r="R1901">
        <f>IF(H1901="",0,H1901/P1901)</f>
        <v/>
      </c>
    </row>
    <row r="1902">
      <c r="A1902" s="43" t="n"/>
      <c r="B1902" s="28" t="n"/>
      <c r="C1902" s="28" t="n"/>
      <c r="D1902" s="28" t="n"/>
      <c r="E1902" s="44" t="n"/>
      <c r="F1902" s="44" t="n"/>
      <c r="G1902" s="23" t="n"/>
      <c r="H1902" s="23" t="n"/>
      <c r="I1902" s="23" t="n"/>
      <c r="J1902" s="23" t="n"/>
      <c r="K1902" s="45">
        <f>IF(A1902="","",SUM(G$2:I1902)-SUM(J$2:J1902))</f>
        <v/>
      </c>
      <c r="L1902" s="46" t="n"/>
      <c r="M1902">
        <f>IF(A1902="","",IF(A1902=A1901,M1901,N(M1901)+1))</f>
        <v/>
      </c>
      <c r="N1902">
        <f>IF(E1902="",99999,E1902)</f>
        <v/>
      </c>
      <c r="O1902">
        <f>IF(E1902="",0,IF(F1902="",E1902,F1902))</f>
        <v/>
      </c>
      <c r="P1902">
        <f>IF(E1902="",1,MAX(1,(YEAR(O1902)-YEAR(N1902))*12+MONTH(O1902)-MONTH(N1902)+1))</f>
        <v/>
      </c>
      <c r="Q1902">
        <f>IF(G1902="",0,G1902/P1902)</f>
        <v/>
      </c>
      <c r="R1902">
        <f>IF(H1902="",0,H1902/P1902)</f>
        <v/>
      </c>
    </row>
    <row r="1903">
      <c r="A1903" s="43" t="n"/>
      <c r="B1903" s="28" t="n"/>
      <c r="C1903" s="28" t="n"/>
      <c r="D1903" s="28" t="n"/>
      <c r="E1903" s="44" t="n"/>
      <c r="F1903" s="44" t="n"/>
      <c r="G1903" s="23" t="n"/>
      <c r="H1903" s="23" t="n"/>
      <c r="I1903" s="23" t="n"/>
      <c r="J1903" s="23" t="n"/>
      <c r="K1903" s="45">
        <f>IF(A1903="","",SUM(G$2:I1903)-SUM(J$2:J1903))</f>
        <v/>
      </c>
      <c r="L1903" s="46" t="n"/>
      <c r="M1903">
        <f>IF(A1903="","",IF(A1903=A1902,M1902,N(M1902)+1))</f>
        <v/>
      </c>
      <c r="N1903">
        <f>IF(E1903="",99999,E1903)</f>
        <v/>
      </c>
      <c r="O1903">
        <f>IF(E1903="",0,IF(F1903="",E1903,F1903))</f>
        <v/>
      </c>
      <c r="P1903">
        <f>IF(E1903="",1,MAX(1,(YEAR(O1903)-YEAR(N1903))*12+MONTH(O1903)-MONTH(N1903)+1))</f>
        <v/>
      </c>
      <c r="Q1903">
        <f>IF(G1903="",0,G1903/P1903)</f>
        <v/>
      </c>
      <c r="R1903">
        <f>IF(H1903="",0,H1903/P1903)</f>
        <v/>
      </c>
    </row>
    <row r="1904">
      <c r="A1904" s="43" t="n"/>
      <c r="B1904" s="28" t="n"/>
      <c r="C1904" s="28" t="n"/>
      <c r="D1904" s="28" t="n"/>
      <c r="E1904" s="44" t="n"/>
      <c r="F1904" s="44" t="n"/>
      <c r="G1904" s="23" t="n"/>
      <c r="H1904" s="23" t="n"/>
      <c r="I1904" s="23" t="n"/>
      <c r="J1904" s="23" t="n"/>
      <c r="K1904" s="45">
        <f>IF(A1904="","",SUM(G$2:I1904)-SUM(J$2:J1904))</f>
        <v/>
      </c>
      <c r="L1904" s="46" t="n"/>
      <c r="M1904">
        <f>IF(A1904="","",IF(A1904=A1903,M1903,N(M1903)+1))</f>
        <v/>
      </c>
      <c r="N1904">
        <f>IF(E1904="",99999,E1904)</f>
        <v/>
      </c>
      <c r="O1904">
        <f>IF(E1904="",0,IF(F1904="",E1904,F1904))</f>
        <v/>
      </c>
      <c r="P1904">
        <f>IF(E1904="",1,MAX(1,(YEAR(O1904)-YEAR(N1904))*12+MONTH(O1904)-MONTH(N1904)+1))</f>
        <v/>
      </c>
      <c r="Q1904">
        <f>IF(G1904="",0,G1904/P1904)</f>
        <v/>
      </c>
      <c r="R1904">
        <f>IF(H1904="",0,H1904/P1904)</f>
        <v/>
      </c>
    </row>
    <row r="1905">
      <c r="A1905" s="43" t="n"/>
      <c r="B1905" s="28" t="n"/>
      <c r="C1905" s="28" t="n"/>
      <c r="D1905" s="28" t="n"/>
      <c r="E1905" s="44" t="n"/>
      <c r="F1905" s="44" t="n"/>
      <c r="G1905" s="23" t="n"/>
      <c r="H1905" s="23" t="n"/>
      <c r="I1905" s="23" t="n"/>
      <c r="J1905" s="23" t="n"/>
      <c r="K1905" s="45">
        <f>IF(A1905="","",SUM(G$2:I1905)-SUM(J$2:J1905))</f>
        <v/>
      </c>
      <c r="L1905" s="46" t="n"/>
      <c r="M1905">
        <f>IF(A1905="","",IF(A1905=A1904,M1904,N(M1904)+1))</f>
        <v/>
      </c>
      <c r="N1905">
        <f>IF(E1905="",99999,E1905)</f>
        <v/>
      </c>
      <c r="O1905">
        <f>IF(E1905="",0,IF(F1905="",E1905,F1905))</f>
        <v/>
      </c>
      <c r="P1905">
        <f>IF(E1905="",1,MAX(1,(YEAR(O1905)-YEAR(N1905))*12+MONTH(O1905)-MONTH(N1905)+1))</f>
        <v/>
      </c>
      <c r="Q1905">
        <f>IF(G1905="",0,G1905/P1905)</f>
        <v/>
      </c>
      <c r="R1905">
        <f>IF(H1905="",0,H1905/P1905)</f>
        <v/>
      </c>
    </row>
    <row r="1906">
      <c r="A1906" s="43" t="n"/>
      <c r="B1906" s="28" t="n"/>
      <c r="C1906" s="28" t="n"/>
      <c r="D1906" s="28" t="n"/>
      <c r="E1906" s="44" t="n"/>
      <c r="F1906" s="44" t="n"/>
      <c r="G1906" s="23" t="n"/>
      <c r="H1906" s="23" t="n"/>
      <c r="I1906" s="23" t="n"/>
      <c r="J1906" s="23" t="n"/>
      <c r="K1906" s="45">
        <f>IF(A1906="","",SUM(G$2:I1906)-SUM(J$2:J1906))</f>
        <v/>
      </c>
      <c r="L1906" s="46" t="n"/>
      <c r="M1906">
        <f>IF(A1906="","",IF(A1906=A1905,M1905,N(M1905)+1))</f>
        <v/>
      </c>
      <c r="N1906">
        <f>IF(E1906="",99999,E1906)</f>
        <v/>
      </c>
      <c r="O1906">
        <f>IF(E1906="",0,IF(F1906="",E1906,F1906))</f>
        <v/>
      </c>
      <c r="P1906">
        <f>IF(E1906="",1,MAX(1,(YEAR(O1906)-YEAR(N1906))*12+MONTH(O1906)-MONTH(N1906)+1))</f>
        <v/>
      </c>
      <c r="Q1906">
        <f>IF(G1906="",0,G1906/P1906)</f>
        <v/>
      </c>
      <c r="R1906">
        <f>IF(H1906="",0,H1906/P1906)</f>
        <v/>
      </c>
    </row>
    <row r="1907">
      <c r="A1907" s="43" t="n"/>
      <c r="B1907" s="28" t="n"/>
      <c r="C1907" s="28" t="n"/>
      <c r="D1907" s="28" t="n"/>
      <c r="E1907" s="44" t="n"/>
      <c r="F1907" s="44" t="n"/>
      <c r="G1907" s="23" t="n"/>
      <c r="H1907" s="23" t="n"/>
      <c r="I1907" s="23" t="n"/>
      <c r="J1907" s="23" t="n"/>
      <c r="K1907" s="45">
        <f>IF(A1907="","",SUM(G$2:I1907)-SUM(J$2:J1907))</f>
        <v/>
      </c>
      <c r="L1907" s="46" t="n"/>
      <c r="M1907">
        <f>IF(A1907="","",IF(A1907=A1906,M1906,N(M1906)+1))</f>
        <v/>
      </c>
      <c r="N1907">
        <f>IF(E1907="",99999,E1907)</f>
        <v/>
      </c>
      <c r="O1907">
        <f>IF(E1907="",0,IF(F1907="",E1907,F1907))</f>
        <v/>
      </c>
      <c r="P1907">
        <f>IF(E1907="",1,MAX(1,(YEAR(O1907)-YEAR(N1907))*12+MONTH(O1907)-MONTH(N1907)+1))</f>
        <v/>
      </c>
      <c r="Q1907">
        <f>IF(G1907="",0,G1907/P1907)</f>
        <v/>
      </c>
      <c r="R1907">
        <f>IF(H1907="",0,H1907/P1907)</f>
        <v/>
      </c>
    </row>
    <row r="1908">
      <c r="A1908" s="43" t="n"/>
      <c r="B1908" s="28" t="n"/>
      <c r="C1908" s="28" t="n"/>
      <c r="D1908" s="28" t="n"/>
      <c r="E1908" s="44" t="n"/>
      <c r="F1908" s="44" t="n"/>
      <c r="G1908" s="23" t="n"/>
      <c r="H1908" s="23" t="n"/>
      <c r="I1908" s="23" t="n"/>
      <c r="J1908" s="23" t="n"/>
      <c r="K1908" s="45">
        <f>IF(A1908="","",SUM(G$2:I1908)-SUM(J$2:J1908))</f>
        <v/>
      </c>
      <c r="L1908" s="46" t="n"/>
      <c r="M1908">
        <f>IF(A1908="","",IF(A1908=A1907,M1907,N(M1907)+1))</f>
        <v/>
      </c>
      <c r="N1908">
        <f>IF(E1908="",99999,E1908)</f>
        <v/>
      </c>
      <c r="O1908">
        <f>IF(E1908="",0,IF(F1908="",E1908,F1908))</f>
        <v/>
      </c>
      <c r="P1908">
        <f>IF(E1908="",1,MAX(1,(YEAR(O1908)-YEAR(N1908))*12+MONTH(O1908)-MONTH(N1908)+1))</f>
        <v/>
      </c>
      <c r="Q1908">
        <f>IF(G1908="",0,G1908/P1908)</f>
        <v/>
      </c>
      <c r="R1908">
        <f>IF(H1908="",0,H1908/P1908)</f>
        <v/>
      </c>
    </row>
    <row r="1909">
      <c r="A1909" s="43" t="n"/>
      <c r="B1909" s="28" t="n"/>
      <c r="C1909" s="28" t="n"/>
      <c r="D1909" s="28" t="n"/>
      <c r="E1909" s="44" t="n"/>
      <c r="F1909" s="44" t="n"/>
      <c r="G1909" s="23" t="n"/>
      <c r="H1909" s="23" t="n"/>
      <c r="I1909" s="23" t="n"/>
      <c r="J1909" s="23" t="n"/>
      <c r="K1909" s="45">
        <f>IF(A1909="","",SUM(G$2:I1909)-SUM(J$2:J1909))</f>
        <v/>
      </c>
      <c r="L1909" s="46" t="n"/>
      <c r="M1909">
        <f>IF(A1909="","",IF(A1909=A1908,M1908,N(M1908)+1))</f>
        <v/>
      </c>
      <c r="N1909">
        <f>IF(E1909="",99999,E1909)</f>
        <v/>
      </c>
      <c r="O1909">
        <f>IF(E1909="",0,IF(F1909="",E1909,F1909))</f>
        <v/>
      </c>
      <c r="P1909">
        <f>IF(E1909="",1,MAX(1,(YEAR(O1909)-YEAR(N1909))*12+MONTH(O1909)-MONTH(N1909)+1))</f>
        <v/>
      </c>
      <c r="Q1909">
        <f>IF(G1909="",0,G1909/P1909)</f>
        <v/>
      </c>
      <c r="R1909">
        <f>IF(H1909="",0,H1909/P1909)</f>
        <v/>
      </c>
    </row>
    <row r="1910">
      <c r="A1910" s="43" t="n"/>
      <c r="B1910" s="28" t="n"/>
      <c r="C1910" s="28" t="n"/>
      <c r="D1910" s="28" t="n"/>
      <c r="E1910" s="44" t="n"/>
      <c r="F1910" s="44" t="n"/>
      <c r="G1910" s="23" t="n"/>
      <c r="H1910" s="23" t="n"/>
      <c r="I1910" s="23" t="n"/>
      <c r="J1910" s="23" t="n"/>
      <c r="K1910" s="45">
        <f>IF(A1910="","",SUM(G$2:I1910)-SUM(J$2:J1910))</f>
        <v/>
      </c>
      <c r="L1910" s="46" t="n"/>
      <c r="M1910">
        <f>IF(A1910="","",IF(A1910=A1909,M1909,N(M1909)+1))</f>
        <v/>
      </c>
      <c r="N1910">
        <f>IF(E1910="",99999,E1910)</f>
        <v/>
      </c>
      <c r="O1910">
        <f>IF(E1910="",0,IF(F1910="",E1910,F1910))</f>
        <v/>
      </c>
      <c r="P1910">
        <f>IF(E1910="",1,MAX(1,(YEAR(O1910)-YEAR(N1910))*12+MONTH(O1910)-MONTH(N1910)+1))</f>
        <v/>
      </c>
      <c r="Q1910">
        <f>IF(G1910="",0,G1910/P1910)</f>
        <v/>
      </c>
      <c r="R1910">
        <f>IF(H1910="",0,H1910/P1910)</f>
        <v/>
      </c>
    </row>
    <row r="1911">
      <c r="A1911" s="43" t="n"/>
      <c r="B1911" s="28" t="n"/>
      <c r="C1911" s="28" t="n"/>
      <c r="D1911" s="28" t="n"/>
      <c r="E1911" s="44" t="n"/>
      <c r="F1911" s="44" t="n"/>
      <c r="G1911" s="23" t="n"/>
      <c r="H1911" s="23" t="n"/>
      <c r="I1911" s="23" t="n"/>
      <c r="J1911" s="23" t="n"/>
      <c r="K1911" s="45">
        <f>IF(A1911="","",SUM(G$2:I1911)-SUM(J$2:J1911))</f>
        <v/>
      </c>
      <c r="L1911" s="46" t="n"/>
      <c r="M1911">
        <f>IF(A1911="","",IF(A1911=A1910,M1910,N(M1910)+1))</f>
        <v/>
      </c>
      <c r="N1911">
        <f>IF(E1911="",99999,E1911)</f>
        <v/>
      </c>
      <c r="O1911">
        <f>IF(E1911="",0,IF(F1911="",E1911,F1911))</f>
        <v/>
      </c>
      <c r="P1911">
        <f>IF(E1911="",1,MAX(1,(YEAR(O1911)-YEAR(N1911))*12+MONTH(O1911)-MONTH(N1911)+1))</f>
        <v/>
      </c>
      <c r="Q1911">
        <f>IF(G1911="",0,G1911/P1911)</f>
        <v/>
      </c>
      <c r="R1911">
        <f>IF(H1911="",0,H1911/P1911)</f>
        <v/>
      </c>
    </row>
    <row r="1912">
      <c r="A1912" s="43" t="n"/>
      <c r="B1912" s="28" t="n"/>
      <c r="C1912" s="28" t="n"/>
      <c r="D1912" s="28" t="n"/>
      <c r="E1912" s="44" t="n"/>
      <c r="F1912" s="44" t="n"/>
      <c r="G1912" s="23" t="n"/>
      <c r="H1912" s="23" t="n"/>
      <c r="I1912" s="23" t="n"/>
      <c r="J1912" s="23" t="n"/>
      <c r="K1912" s="45">
        <f>IF(A1912="","",SUM(G$2:I1912)-SUM(J$2:J1912))</f>
        <v/>
      </c>
      <c r="L1912" s="46" t="n"/>
      <c r="M1912">
        <f>IF(A1912="","",IF(A1912=A1911,M1911,N(M1911)+1))</f>
        <v/>
      </c>
      <c r="N1912">
        <f>IF(E1912="",99999,E1912)</f>
        <v/>
      </c>
      <c r="O1912">
        <f>IF(E1912="",0,IF(F1912="",E1912,F1912))</f>
        <v/>
      </c>
      <c r="P1912">
        <f>IF(E1912="",1,MAX(1,(YEAR(O1912)-YEAR(N1912))*12+MONTH(O1912)-MONTH(N1912)+1))</f>
        <v/>
      </c>
      <c r="Q1912">
        <f>IF(G1912="",0,G1912/P1912)</f>
        <v/>
      </c>
      <c r="R1912">
        <f>IF(H1912="",0,H1912/P1912)</f>
        <v/>
      </c>
    </row>
    <row r="1913">
      <c r="A1913" s="43" t="n"/>
      <c r="B1913" s="28" t="n"/>
      <c r="C1913" s="28" t="n"/>
      <c r="D1913" s="28" t="n"/>
      <c r="E1913" s="44" t="n"/>
      <c r="F1913" s="44" t="n"/>
      <c r="G1913" s="23" t="n"/>
      <c r="H1913" s="23" t="n"/>
      <c r="I1913" s="23" t="n"/>
      <c r="J1913" s="23" t="n"/>
      <c r="K1913" s="45">
        <f>IF(A1913="","",SUM(G$2:I1913)-SUM(J$2:J1913))</f>
        <v/>
      </c>
      <c r="L1913" s="46" t="n"/>
      <c r="M1913">
        <f>IF(A1913="","",IF(A1913=A1912,M1912,N(M1912)+1))</f>
        <v/>
      </c>
      <c r="N1913">
        <f>IF(E1913="",99999,E1913)</f>
        <v/>
      </c>
      <c r="O1913">
        <f>IF(E1913="",0,IF(F1913="",E1913,F1913))</f>
        <v/>
      </c>
      <c r="P1913">
        <f>IF(E1913="",1,MAX(1,(YEAR(O1913)-YEAR(N1913))*12+MONTH(O1913)-MONTH(N1913)+1))</f>
        <v/>
      </c>
      <c r="Q1913">
        <f>IF(G1913="",0,G1913/P1913)</f>
        <v/>
      </c>
      <c r="R1913">
        <f>IF(H1913="",0,H1913/P1913)</f>
        <v/>
      </c>
    </row>
    <row r="1914">
      <c r="A1914" s="43" t="n"/>
      <c r="B1914" s="28" t="n"/>
      <c r="C1914" s="28" t="n"/>
      <c r="D1914" s="28" t="n"/>
      <c r="E1914" s="44" t="n"/>
      <c r="F1914" s="44" t="n"/>
      <c r="G1914" s="23" t="n"/>
      <c r="H1914" s="23" t="n"/>
      <c r="I1914" s="23" t="n"/>
      <c r="J1914" s="23" t="n"/>
      <c r="K1914" s="45">
        <f>IF(A1914="","",SUM(G$2:I1914)-SUM(J$2:J1914))</f>
        <v/>
      </c>
      <c r="L1914" s="46" t="n"/>
      <c r="M1914">
        <f>IF(A1914="","",IF(A1914=A1913,M1913,N(M1913)+1))</f>
        <v/>
      </c>
      <c r="N1914">
        <f>IF(E1914="",99999,E1914)</f>
        <v/>
      </c>
      <c r="O1914">
        <f>IF(E1914="",0,IF(F1914="",E1914,F1914))</f>
        <v/>
      </c>
      <c r="P1914">
        <f>IF(E1914="",1,MAX(1,(YEAR(O1914)-YEAR(N1914))*12+MONTH(O1914)-MONTH(N1914)+1))</f>
        <v/>
      </c>
      <c r="Q1914">
        <f>IF(G1914="",0,G1914/P1914)</f>
        <v/>
      </c>
      <c r="R1914">
        <f>IF(H1914="",0,H1914/P1914)</f>
        <v/>
      </c>
    </row>
    <row r="1915">
      <c r="A1915" s="43" t="n"/>
      <c r="B1915" s="28" t="n"/>
      <c r="C1915" s="28" t="n"/>
      <c r="D1915" s="28" t="n"/>
      <c r="E1915" s="44" t="n"/>
      <c r="F1915" s="44" t="n"/>
      <c r="G1915" s="23" t="n"/>
      <c r="H1915" s="23" t="n"/>
      <c r="I1915" s="23" t="n"/>
      <c r="J1915" s="23" t="n"/>
      <c r="K1915" s="45">
        <f>IF(A1915="","",SUM(G$2:I1915)-SUM(J$2:J1915))</f>
        <v/>
      </c>
      <c r="L1915" s="46" t="n"/>
      <c r="M1915">
        <f>IF(A1915="","",IF(A1915=A1914,M1914,N(M1914)+1))</f>
        <v/>
      </c>
      <c r="N1915">
        <f>IF(E1915="",99999,E1915)</f>
        <v/>
      </c>
      <c r="O1915">
        <f>IF(E1915="",0,IF(F1915="",E1915,F1915))</f>
        <v/>
      </c>
      <c r="P1915">
        <f>IF(E1915="",1,MAX(1,(YEAR(O1915)-YEAR(N1915))*12+MONTH(O1915)-MONTH(N1915)+1))</f>
        <v/>
      </c>
      <c r="Q1915">
        <f>IF(G1915="",0,G1915/P1915)</f>
        <v/>
      </c>
      <c r="R1915">
        <f>IF(H1915="",0,H1915/P1915)</f>
        <v/>
      </c>
    </row>
    <row r="1916">
      <c r="A1916" s="43" t="n"/>
      <c r="B1916" s="28" t="n"/>
      <c r="C1916" s="28" t="n"/>
      <c r="D1916" s="28" t="n"/>
      <c r="E1916" s="44" t="n"/>
      <c r="F1916" s="44" t="n"/>
      <c r="G1916" s="23" t="n"/>
      <c r="H1916" s="23" t="n"/>
      <c r="I1916" s="23" t="n"/>
      <c r="J1916" s="23" t="n"/>
      <c r="K1916" s="45">
        <f>IF(A1916="","",SUM(G$2:I1916)-SUM(J$2:J1916))</f>
        <v/>
      </c>
      <c r="L1916" s="46" t="n"/>
      <c r="M1916">
        <f>IF(A1916="","",IF(A1916=A1915,M1915,N(M1915)+1))</f>
        <v/>
      </c>
      <c r="N1916">
        <f>IF(E1916="",99999,E1916)</f>
        <v/>
      </c>
      <c r="O1916">
        <f>IF(E1916="",0,IF(F1916="",E1916,F1916))</f>
        <v/>
      </c>
      <c r="P1916">
        <f>IF(E1916="",1,MAX(1,(YEAR(O1916)-YEAR(N1916))*12+MONTH(O1916)-MONTH(N1916)+1))</f>
        <v/>
      </c>
      <c r="Q1916">
        <f>IF(G1916="",0,G1916/P1916)</f>
        <v/>
      </c>
      <c r="R1916">
        <f>IF(H1916="",0,H1916/P1916)</f>
        <v/>
      </c>
    </row>
    <row r="1917">
      <c r="A1917" s="43" t="n"/>
      <c r="B1917" s="28" t="n"/>
      <c r="C1917" s="28" t="n"/>
      <c r="D1917" s="28" t="n"/>
      <c r="E1917" s="44" t="n"/>
      <c r="F1917" s="44" t="n"/>
      <c r="G1917" s="23" t="n"/>
      <c r="H1917" s="23" t="n"/>
      <c r="I1917" s="23" t="n"/>
      <c r="J1917" s="23" t="n"/>
      <c r="K1917" s="45">
        <f>IF(A1917="","",SUM(G$2:I1917)-SUM(J$2:J1917))</f>
        <v/>
      </c>
      <c r="L1917" s="46" t="n"/>
      <c r="M1917">
        <f>IF(A1917="","",IF(A1917=A1916,M1916,N(M1916)+1))</f>
        <v/>
      </c>
      <c r="N1917">
        <f>IF(E1917="",99999,E1917)</f>
        <v/>
      </c>
      <c r="O1917">
        <f>IF(E1917="",0,IF(F1917="",E1917,F1917))</f>
        <v/>
      </c>
      <c r="P1917">
        <f>IF(E1917="",1,MAX(1,(YEAR(O1917)-YEAR(N1917))*12+MONTH(O1917)-MONTH(N1917)+1))</f>
        <v/>
      </c>
      <c r="Q1917">
        <f>IF(G1917="",0,G1917/P1917)</f>
        <v/>
      </c>
      <c r="R1917">
        <f>IF(H1917="",0,H1917/P1917)</f>
        <v/>
      </c>
    </row>
    <row r="1918">
      <c r="A1918" s="43" t="n"/>
      <c r="B1918" s="28" t="n"/>
      <c r="C1918" s="28" t="n"/>
      <c r="D1918" s="28" t="n"/>
      <c r="E1918" s="44" t="n"/>
      <c r="F1918" s="44" t="n"/>
      <c r="G1918" s="23" t="n"/>
      <c r="H1918" s="23" t="n"/>
      <c r="I1918" s="23" t="n"/>
      <c r="J1918" s="23" t="n"/>
      <c r="K1918" s="45">
        <f>IF(A1918="","",SUM(G$2:I1918)-SUM(J$2:J1918))</f>
        <v/>
      </c>
      <c r="L1918" s="46" t="n"/>
      <c r="M1918">
        <f>IF(A1918="","",IF(A1918=A1917,M1917,N(M1917)+1))</f>
        <v/>
      </c>
      <c r="N1918">
        <f>IF(E1918="",99999,E1918)</f>
        <v/>
      </c>
      <c r="O1918">
        <f>IF(E1918="",0,IF(F1918="",E1918,F1918))</f>
        <v/>
      </c>
      <c r="P1918">
        <f>IF(E1918="",1,MAX(1,(YEAR(O1918)-YEAR(N1918))*12+MONTH(O1918)-MONTH(N1918)+1))</f>
        <v/>
      </c>
      <c r="Q1918">
        <f>IF(G1918="",0,G1918/P1918)</f>
        <v/>
      </c>
      <c r="R1918">
        <f>IF(H1918="",0,H1918/P1918)</f>
        <v/>
      </c>
    </row>
    <row r="1919">
      <c r="A1919" s="43" t="n"/>
      <c r="B1919" s="28" t="n"/>
      <c r="C1919" s="28" t="n"/>
      <c r="D1919" s="28" t="n"/>
      <c r="E1919" s="44" t="n"/>
      <c r="F1919" s="44" t="n"/>
      <c r="G1919" s="23" t="n"/>
      <c r="H1919" s="23" t="n"/>
      <c r="I1919" s="23" t="n"/>
      <c r="J1919" s="23" t="n"/>
      <c r="K1919" s="45">
        <f>IF(A1919="","",SUM(G$2:I1919)-SUM(J$2:J1919))</f>
        <v/>
      </c>
      <c r="L1919" s="46" t="n"/>
      <c r="M1919">
        <f>IF(A1919="","",IF(A1919=A1918,M1918,N(M1918)+1))</f>
        <v/>
      </c>
      <c r="N1919">
        <f>IF(E1919="",99999,E1919)</f>
        <v/>
      </c>
      <c r="O1919">
        <f>IF(E1919="",0,IF(F1919="",E1919,F1919))</f>
        <v/>
      </c>
      <c r="P1919">
        <f>IF(E1919="",1,MAX(1,(YEAR(O1919)-YEAR(N1919))*12+MONTH(O1919)-MONTH(N1919)+1))</f>
        <v/>
      </c>
      <c r="Q1919">
        <f>IF(G1919="",0,G1919/P1919)</f>
        <v/>
      </c>
      <c r="R1919">
        <f>IF(H1919="",0,H1919/P1919)</f>
        <v/>
      </c>
    </row>
    <row r="1920">
      <c r="A1920" s="43" t="n"/>
      <c r="B1920" s="28" t="n"/>
      <c r="C1920" s="28" t="n"/>
      <c r="D1920" s="28" t="n"/>
      <c r="E1920" s="44" t="n"/>
      <c r="F1920" s="44" t="n"/>
      <c r="G1920" s="23" t="n"/>
      <c r="H1920" s="23" t="n"/>
      <c r="I1920" s="23" t="n"/>
      <c r="J1920" s="23" t="n"/>
      <c r="K1920" s="45">
        <f>IF(A1920="","",SUM(G$2:I1920)-SUM(J$2:J1920))</f>
        <v/>
      </c>
      <c r="L1920" s="46" t="n"/>
      <c r="M1920">
        <f>IF(A1920="","",IF(A1920=A1919,M1919,N(M1919)+1))</f>
        <v/>
      </c>
      <c r="N1920">
        <f>IF(E1920="",99999,E1920)</f>
        <v/>
      </c>
      <c r="O1920">
        <f>IF(E1920="",0,IF(F1920="",E1920,F1920))</f>
        <v/>
      </c>
      <c r="P1920">
        <f>IF(E1920="",1,MAX(1,(YEAR(O1920)-YEAR(N1920))*12+MONTH(O1920)-MONTH(N1920)+1))</f>
        <v/>
      </c>
      <c r="Q1920">
        <f>IF(G1920="",0,G1920/P1920)</f>
        <v/>
      </c>
      <c r="R1920">
        <f>IF(H1920="",0,H1920/P1920)</f>
        <v/>
      </c>
    </row>
    <row r="1921">
      <c r="A1921" s="43" t="n"/>
      <c r="B1921" s="28" t="n"/>
      <c r="C1921" s="28" t="n"/>
      <c r="D1921" s="28" t="n"/>
      <c r="E1921" s="44" t="n"/>
      <c r="F1921" s="44" t="n"/>
      <c r="G1921" s="23" t="n"/>
      <c r="H1921" s="23" t="n"/>
      <c r="I1921" s="23" t="n"/>
      <c r="J1921" s="23" t="n"/>
      <c r="K1921" s="45">
        <f>IF(A1921="","",SUM(G$2:I1921)-SUM(J$2:J1921))</f>
        <v/>
      </c>
      <c r="L1921" s="46" t="n"/>
      <c r="M1921">
        <f>IF(A1921="","",IF(A1921=A1920,M1920,N(M1920)+1))</f>
        <v/>
      </c>
      <c r="N1921">
        <f>IF(E1921="",99999,E1921)</f>
        <v/>
      </c>
      <c r="O1921">
        <f>IF(E1921="",0,IF(F1921="",E1921,F1921))</f>
        <v/>
      </c>
      <c r="P1921">
        <f>IF(E1921="",1,MAX(1,(YEAR(O1921)-YEAR(N1921))*12+MONTH(O1921)-MONTH(N1921)+1))</f>
        <v/>
      </c>
      <c r="Q1921">
        <f>IF(G1921="",0,G1921/P1921)</f>
        <v/>
      </c>
      <c r="R1921">
        <f>IF(H1921="",0,H1921/P1921)</f>
        <v/>
      </c>
    </row>
    <row r="1922">
      <c r="A1922" s="43" t="n"/>
      <c r="B1922" s="28" t="n"/>
      <c r="C1922" s="28" t="n"/>
      <c r="D1922" s="28" t="n"/>
      <c r="E1922" s="44" t="n"/>
      <c r="F1922" s="44" t="n"/>
      <c r="G1922" s="23" t="n"/>
      <c r="H1922" s="23" t="n"/>
      <c r="I1922" s="23" t="n"/>
      <c r="J1922" s="23" t="n"/>
      <c r="K1922" s="45">
        <f>IF(A1922="","",SUM(G$2:I1922)-SUM(J$2:J1922))</f>
        <v/>
      </c>
      <c r="L1922" s="46" t="n"/>
      <c r="M1922">
        <f>IF(A1922="","",IF(A1922=A1921,M1921,N(M1921)+1))</f>
        <v/>
      </c>
      <c r="N1922">
        <f>IF(E1922="",99999,E1922)</f>
        <v/>
      </c>
      <c r="O1922">
        <f>IF(E1922="",0,IF(F1922="",E1922,F1922))</f>
        <v/>
      </c>
      <c r="P1922">
        <f>IF(E1922="",1,MAX(1,(YEAR(O1922)-YEAR(N1922))*12+MONTH(O1922)-MONTH(N1922)+1))</f>
        <v/>
      </c>
      <c r="Q1922">
        <f>IF(G1922="",0,G1922/P1922)</f>
        <v/>
      </c>
      <c r="R1922">
        <f>IF(H1922="",0,H1922/P1922)</f>
        <v/>
      </c>
    </row>
    <row r="1923">
      <c r="A1923" s="43" t="n"/>
      <c r="B1923" s="28" t="n"/>
      <c r="C1923" s="28" t="n"/>
      <c r="D1923" s="28" t="n"/>
      <c r="E1923" s="44" t="n"/>
      <c r="F1923" s="44" t="n"/>
      <c r="G1923" s="23" t="n"/>
      <c r="H1923" s="23" t="n"/>
      <c r="I1923" s="23" t="n"/>
      <c r="J1923" s="23" t="n"/>
      <c r="K1923" s="45">
        <f>IF(A1923="","",SUM(G$2:I1923)-SUM(J$2:J1923))</f>
        <v/>
      </c>
      <c r="L1923" s="46" t="n"/>
      <c r="M1923">
        <f>IF(A1923="","",IF(A1923=A1922,M1922,N(M1922)+1))</f>
        <v/>
      </c>
      <c r="N1923">
        <f>IF(E1923="",99999,E1923)</f>
        <v/>
      </c>
      <c r="O1923">
        <f>IF(E1923="",0,IF(F1923="",E1923,F1923))</f>
        <v/>
      </c>
      <c r="P1923">
        <f>IF(E1923="",1,MAX(1,(YEAR(O1923)-YEAR(N1923))*12+MONTH(O1923)-MONTH(N1923)+1))</f>
        <v/>
      </c>
      <c r="Q1923">
        <f>IF(G1923="",0,G1923/P1923)</f>
        <v/>
      </c>
      <c r="R1923">
        <f>IF(H1923="",0,H1923/P1923)</f>
        <v/>
      </c>
    </row>
    <row r="1924">
      <c r="A1924" s="43" t="n"/>
      <c r="B1924" s="28" t="n"/>
      <c r="C1924" s="28" t="n"/>
      <c r="D1924" s="28" t="n"/>
      <c r="E1924" s="44" t="n"/>
      <c r="F1924" s="44" t="n"/>
      <c r="G1924" s="23" t="n"/>
      <c r="H1924" s="23" t="n"/>
      <c r="I1924" s="23" t="n"/>
      <c r="J1924" s="23" t="n"/>
      <c r="K1924" s="45">
        <f>IF(A1924="","",SUM(G$2:I1924)-SUM(J$2:J1924))</f>
        <v/>
      </c>
      <c r="L1924" s="46" t="n"/>
      <c r="M1924">
        <f>IF(A1924="","",IF(A1924=A1923,M1923,N(M1923)+1))</f>
        <v/>
      </c>
      <c r="N1924">
        <f>IF(E1924="",99999,E1924)</f>
        <v/>
      </c>
      <c r="O1924">
        <f>IF(E1924="",0,IF(F1924="",E1924,F1924))</f>
        <v/>
      </c>
      <c r="P1924">
        <f>IF(E1924="",1,MAX(1,(YEAR(O1924)-YEAR(N1924))*12+MONTH(O1924)-MONTH(N1924)+1))</f>
        <v/>
      </c>
      <c r="Q1924">
        <f>IF(G1924="",0,G1924/P1924)</f>
        <v/>
      </c>
      <c r="R1924">
        <f>IF(H1924="",0,H1924/P1924)</f>
        <v/>
      </c>
    </row>
    <row r="1925">
      <c r="A1925" s="43" t="n"/>
      <c r="B1925" s="28" t="n"/>
      <c r="C1925" s="28" t="n"/>
      <c r="D1925" s="28" t="n"/>
      <c r="E1925" s="44" t="n"/>
      <c r="F1925" s="44" t="n"/>
      <c r="G1925" s="23" t="n"/>
      <c r="H1925" s="23" t="n"/>
      <c r="I1925" s="23" t="n"/>
      <c r="J1925" s="23" t="n"/>
      <c r="K1925" s="45">
        <f>IF(A1925="","",SUM(G$2:I1925)-SUM(J$2:J1925))</f>
        <v/>
      </c>
      <c r="L1925" s="46" t="n"/>
      <c r="M1925">
        <f>IF(A1925="","",IF(A1925=A1924,M1924,N(M1924)+1))</f>
        <v/>
      </c>
      <c r="N1925">
        <f>IF(E1925="",99999,E1925)</f>
        <v/>
      </c>
      <c r="O1925">
        <f>IF(E1925="",0,IF(F1925="",E1925,F1925))</f>
        <v/>
      </c>
      <c r="P1925">
        <f>IF(E1925="",1,MAX(1,(YEAR(O1925)-YEAR(N1925))*12+MONTH(O1925)-MONTH(N1925)+1))</f>
        <v/>
      </c>
      <c r="Q1925">
        <f>IF(G1925="",0,G1925/P1925)</f>
        <v/>
      </c>
      <c r="R1925">
        <f>IF(H1925="",0,H1925/P1925)</f>
        <v/>
      </c>
    </row>
    <row r="1926">
      <c r="A1926" s="43" t="n"/>
      <c r="B1926" s="28" t="n"/>
      <c r="C1926" s="28" t="n"/>
      <c r="D1926" s="28" t="n"/>
      <c r="E1926" s="44" t="n"/>
      <c r="F1926" s="44" t="n"/>
      <c r="G1926" s="23" t="n"/>
      <c r="H1926" s="23" t="n"/>
      <c r="I1926" s="23" t="n"/>
      <c r="J1926" s="23" t="n"/>
      <c r="K1926" s="45">
        <f>IF(A1926="","",SUM(G$2:I1926)-SUM(J$2:J1926))</f>
        <v/>
      </c>
      <c r="L1926" s="46" t="n"/>
      <c r="M1926">
        <f>IF(A1926="","",IF(A1926=A1925,M1925,N(M1925)+1))</f>
        <v/>
      </c>
      <c r="N1926">
        <f>IF(E1926="",99999,E1926)</f>
        <v/>
      </c>
      <c r="O1926">
        <f>IF(E1926="",0,IF(F1926="",E1926,F1926))</f>
        <v/>
      </c>
      <c r="P1926">
        <f>IF(E1926="",1,MAX(1,(YEAR(O1926)-YEAR(N1926))*12+MONTH(O1926)-MONTH(N1926)+1))</f>
        <v/>
      </c>
      <c r="Q1926">
        <f>IF(G1926="",0,G1926/P1926)</f>
        <v/>
      </c>
      <c r="R1926">
        <f>IF(H1926="",0,H1926/P1926)</f>
        <v/>
      </c>
    </row>
    <row r="1927">
      <c r="A1927" s="43" t="n"/>
      <c r="B1927" s="28" t="n"/>
      <c r="C1927" s="28" t="n"/>
      <c r="D1927" s="28" t="n"/>
      <c r="E1927" s="44" t="n"/>
      <c r="F1927" s="44" t="n"/>
      <c r="G1927" s="23" t="n"/>
      <c r="H1927" s="23" t="n"/>
      <c r="I1927" s="23" t="n"/>
      <c r="J1927" s="23" t="n"/>
      <c r="K1927" s="45">
        <f>IF(A1927="","",SUM(G$2:I1927)-SUM(J$2:J1927))</f>
        <v/>
      </c>
      <c r="L1927" s="46" t="n"/>
      <c r="M1927">
        <f>IF(A1927="","",IF(A1927=A1926,M1926,N(M1926)+1))</f>
        <v/>
      </c>
      <c r="N1927">
        <f>IF(E1927="",99999,E1927)</f>
        <v/>
      </c>
      <c r="O1927">
        <f>IF(E1927="",0,IF(F1927="",E1927,F1927))</f>
        <v/>
      </c>
      <c r="P1927">
        <f>IF(E1927="",1,MAX(1,(YEAR(O1927)-YEAR(N1927))*12+MONTH(O1927)-MONTH(N1927)+1))</f>
        <v/>
      </c>
      <c r="Q1927">
        <f>IF(G1927="",0,G1927/P1927)</f>
        <v/>
      </c>
      <c r="R1927">
        <f>IF(H1927="",0,H1927/P1927)</f>
        <v/>
      </c>
    </row>
    <row r="1928">
      <c r="A1928" s="43" t="n"/>
      <c r="B1928" s="28" t="n"/>
      <c r="C1928" s="28" t="n"/>
      <c r="D1928" s="28" t="n"/>
      <c r="E1928" s="44" t="n"/>
      <c r="F1928" s="44" t="n"/>
      <c r="G1928" s="23" t="n"/>
      <c r="H1928" s="23" t="n"/>
      <c r="I1928" s="23" t="n"/>
      <c r="J1928" s="23" t="n"/>
      <c r="K1928" s="45">
        <f>IF(A1928="","",SUM(G$2:I1928)-SUM(J$2:J1928))</f>
        <v/>
      </c>
      <c r="L1928" s="46" t="n"/>
      <c r="M1928">
        <f>IF(A1928="","",IF(A1928=A1927,M1927,N(M1927)+1))</f>
        <v/>
      </c>
      <c r="N1928">
        <f>IF(E1928="",99999,E1928)</f>
        <v/>
      </c>
      <c r="O1928">
        <f>IF(E1928="",0,IF(F1928="",E1928,F1928))</f>
        <v/>
      </c>
      <c r="P1928">
        <f>IF(E1928="",1,MAX(1,(YEAR(O1928)-YEAR(N1928))*12+MONTH(O1928)-MONTH(N1928)+1))</f>
        <v/>
      </c>
      <c r="Q1928">
        <f>IF(G1928="",0,G1928/P1928)</f>
        <v/>
      </c>
      <c r="R1928">
        <f>IF(H1928="",0,H1928/P1928)</f>
        <v/>
      </c>
    </row>
    <row r="1929">
      <c r="A1929" s="43" t="n"/>
      <c r="B1929" s="28" t="n"/>
      <c r="C1929" s="28" t="n"/>
      <c r="D1929" s="28" t="n"/>
      <c r="E1929" s="44" t="n"/>
      <c r="F1929" s="44" t="n"/>
      <c r="G1929" s="23" t="n"/>
      <c r="H1929" s="23" t="n"/>
      <c r="I1929" s="23" t="n"/>
      <c r="J1929" s="23" t="n"/>
      <c r="K1929" s="45">
        <f>IF(A1929="","",SUM(G$2:I1929)-SUM(J$2:J1929))</f>
        <v/>
      </c>
      <c r="L1929" s="46" t="n"/>
      <c r="M1929">
        <f>IF(A1929="","",IF(A1929=A1928,M1928,N(M1928)+1))</f>
        <v/>
      </c>
      <c r="N1929">
        <f>IF(E1929="",99999,E1929)</f>
        <v/>
      </c>
      <c r="O1929">
        <f>IF(E1929="",0,IF(F1929="",E1929,F1929))</f>
        <v/>
      </c>
      <c r="P1929">
        <f>IF(E1929="",1,MAX(1,(YEAR(O1929)-YEAR(N1929))*12+MONTH(O1929)-MONTH(N1929)+1))</f>
        <v/>
      </c>
      <c r="Q1929">
        <f>IF(G1929="",0,G1929/P1929)</f>
        <v/>
      </c>
      <c r="R1929">
        <f>IF(H1929="",0,H1929/P1929)</f>
        <v/>
      </c>
    </row>
    <row r="1930">
      <c r="A1930" s="43" t="n"/>
      <c r="B1930" s="28" t="n"/>
      <c r="C1930" s="28" t="n"/>
      <c r="D1930" s="28" t="n"/>
      <c r="E1930" s="44" t="n"/>
      <c r="F1930" s="44" t="n"/>
      <c r="G1930" s="23" t="n"/>
      <c r="H1930" s="23" t="n"/>
      <c r="I1930" s="23" t="n"/>
      <c r="J1930" s="23" t="n"/>
      <c r="K1930" s="45">
        <f>IF(A1930="","",SUM(G$2:I1930)-SUM(J$2:J1930))</f>
        <v/>
      </c>
      <c r="L1930" s="46" t="n"/>
      <c r="M1930">
        <f>IF(A1930="","",IF(A1930=A1929,M1929,N(M1929)+1))</f>
        <v/>
      </c>
      <c r="N1930">
        <f>IF(E1930="",99999,E1930)</f>
        <v/>
      </c>
      <c r="O1930">
        <f>IF(E1930="",0,IF(F1930="",E1930,F1930))</f>
        <v/>
      </c>
      <c r="P1930">
        <f>IF(E1930="",1,MAX(1,(YEAR(O1930)-YEAR(N1930))*12+MONTH(O1930)-MONTH(N1930)+1))</f>
        <v/>
      </c>
      <c r="Q1930">
        <f>IF(G1930="",0,G1930/P1930)</f>
        <v/>
      </c>
      <c r="R1930">
        <f>IF(H1930="",0,H1930/P1930)</f>
        <v/>
      </c>
    </row>
    <row r="1931">
      <c r="A1931" s="43" t="n"/>
      <c r="B1931" s="28" t="n"/>
      <c r="C1931" s="28" t="n"/>
      <c r="D1931" s="28" t="n"/>
      <c r="E1931" s="44" t="n"/>
      <c r="F1931" s="44" t="n"/>
      <c r="G1931" s="23" t="n"/>
      <c r="H1931" s="23" t="n"/>
      <c r="I1931" s="23" t="n"/>
      <c r="J1931" s="23" t="n"/>
      <c r="K1931" s="45">
        <f>IF(A1931="","",SUM(G$2:I1931)-SUM(J$2:J1931))</f>
        <v/>
      </c>
      <c r="L1931" s="46" t="n"/>
      <c r="M1931">
        <f>IF(A1931="","",IF(A1931=A1930,M1930,N(M1930)+1))</f>
        <v/>
      </c>
      <c r="N1931">
        <f>IF(E1931="",99999,E1931)</f>
        <v/>
      </c>
      <c r="O1931">
        <f>IF(E1931="",0,IF(F1931="",E1931,F1931))</f>
        <v/>
      </c>
      <c r="P1931">
        <f>IF(E1931="",1,MAX(1,(YEAR(O1931)-YEAR(N1931))*12+MONTH(O1931)-MONTH(N1931)+1))</f>
        <v/>
      </c>
      <c r="Q1931">
        <f>IF(G1931="",0,G1931/P1931)</f>
        <v/>
      </c>
      <c r="R1931">
        <f>IF(H1931="",0,H1931/P1931)</f>
        <v/>
      </c>
    </row>
    <row r="1932">
      <c r="A1932" s="43" t="n"/>
      <c r="B1932" s="28" t="n"/>
      <c r="C1932" s="28" t="n"/>
      <c r="D1932" s="28" t="n"/>
      <c r="E1932" s="44" t="n"/>
      <c r="F1932" s="44" t="n"/>
      <c r="G1932" s="23" t="n"/>
      <c r="H1932" s="23" t="n"/>
      <c r="I1932" s="23" t="n"/>
      <c r="J1932" s="23" t="n"/>
      <c r="K1932" s="45">
        <f>IF(A1932="","",SUM(G$2:I1932)-SUM(J$2:J1932))</f>
        <v/>
      </c>
      <c r="L1932" s="46" t="n"/>
      <c r="M1932">
        <f>IF(A1932="","",IF(A1932=A1931,M1931,N(M1931)+1))</f>
        <v/>
      </c>
      <c r="N1932">
        <f>IF(E1932="",99999,E1932)</f>
        <v/>
      </c>
      <c r="O1932">
        <f>IF(E1932="",0,IF(F1932="",E1932,F1932))</f>
        <v/>
      </c>
      <c r="P1932">
        <f>IF(E1932="",1,MAX(1,(YEAR(O1932)-YEAR(N1932))*12+MONTH(O1932)-MONTH(N1932)+1))</f>
        <v/>
      </c>
      <c r="Q1932">
        <f>IF(G1932="",0,G1932/P1932)</f>
        <v/>
      </c>
      <c r="R1932">
        <f>IF(H1932="",0,H1932/P1932)</f>
        <v/>
      </c>
    </row>
    <row r="1933">
      <c r="A1933" s="43" t="n"/>
      <c r="B1933" s="28" t="n"/>
      <c r="C1933" s="28" t="n"/>
      <c r="D1933" s="28" t="n"/>
      <c r="E1933" s="44" t="n"/>
      <c r="F1933" s="44" t="n"/>
      <c r="G1933" s="23" t="n"/>
      <c r="H1933" s="23" t="n"/>
      <c r="I1933" s="23" t="n"/>
      <c r="J1933" s="23" t="n"/>
      <c r="K1933" s="45">
        <f>IF(A1933="","",SUM(G$2:I1933)-SUM(J$2:J1933))</f>
        <v/>
      </c>
      <c r="L1933" s="46" t="n"/>
      <c r="M1933">
        <f>IF(A1933="","",IF(A1933=A1932,M1932,N(M1932)+1))</f>
        <v/>
      </c>
      <c r="N1933">
        <f>IF(E1933="",99999,E1933)</f>
        <v/>
      </c>
      <c r="O1933">
        <f>IF(E1933="",0,IF(F1933="",E1933,F1933))</f>
        <v/>
      </c>
      <c r="P1933">
        <f>IF(E1933="",1,MAX(1,(YEAR(O1933)-YEAR(N1933))*12+MONTH(O1933)-MONTH(N1933)+1))</f>
        <v/>
      </c>
      <c r="Q1933">
        <f>IF(G1933="",0,G1933/P1933)</f>
        <v/>
      </c>
      <c r="R1933">
        <f>IF(H1933="",0,H1933/P1933)</f>
        <v/>
      </c>
    </row>
    <row r="1934">
      <c r="A1934" s="43" t="n"/>
      <c r="B1934" s="28" t="n"/>
      <c r="C1934" s="28" t="n"/>
      <c r="D1934" s="28" t="n"/>
      <c r="E1934" s="44" t="n"/>
      <c r="F1934" s="44" t="n"/>
      <c r="G1934" s="23" t="n"/>
      <c r="H1934" s="23" t="n"/>
      <c r="I1934" s="23" t="n"/>
      <c r="J1934" s="23" t="n"/>
      <c r="K1934" s="45">
        <f>IF(A1934="","",SUM(G$2:I1934)-SUM(J$2:J1934))</f>
        <v/>
      </c>
      <c r="L1934" s="46" t="n"/>
      <c r="M1934">
        <f>IF(A1934="","",IF(A1934=A1933,M1933,N(M1933)+1))</f>
        <v/>
      </c>
      <c r="N1934">
        <f>IF(E1934="",99999,E1934)</f>
        <v/>
      </c>
      <c r="O1934">
        <f>IF(E1934="",0,IF(F1934="",E1934,F1934))</f>
        <v/>
      </c>
      <c r="P1934">
        <f>IF(E1934="",1,MAX(1,(YEAR(O1934)-YEAR(N1934))*12+MONTH(O1934)-MONTH(N1934)+1))</f>
        <v/>
      </c>
      <c r="Q1934">
        <f>IF(G1934="",0,G1934/P1934)</f>
        <v/>
      </c>
      <c r="R1934">
        <f>IF(H1934="",0,H1934/P1934)</f>
        <v/>
      </c>
    </row>
    <row r="1935">
      <c r="A1935" s="43" t="n"/>
      <c r="B1935" s="28" t="n"/>
      <c r="C1935" s="28" t="n"/>
      <c r="D1935" s="28" t="n"/>
      <c r="E1935" s="44" t="n"/>
      <c r="F1935" s="44" t="n"/>
      <c r="G1935" s="23" t="n"/>
      <c r="H1935" s="23" t="n"/>
      <c r="I1935" s="23" t="n"/>
      <c r="J1935" s="23" t="n"/>
      <c r="K1935" s="45">
        <f>IF(A1935="","",SUM(G$2:I1935)-SUM(J$2:J1935))</f>
        <v/>
      </c>
      <c r="L1935" s="46" t="n"/>
      <c r="M1935">
        <f>IF(A1935="","",IF(A1935=A1934,M1934,N(M1934)+1))</f>
        <v/>
      </c>
      <c r="N1935">
        <f>IF(E1935="",99999,E1935)</f>
        <v/>
      </c>
      <c r="O1935">
        <f>IF(E1935="",0,IF(F1935="",E1935,F1935))</f>
        <v/>
      </c>
      <c r="P1935">
        <f>IF(E1935="",1,MAX(1,(YEAR(O1935)-YEAR(N1935))*12+MONTH(O1935)-MONTH(N1935)+1))</f>
        <v/>
      </c>
      <c r="Q1935">
        <f>IF(G1935="",0,G1935/P1935)</f>
        <v/>
      </c>
      <c r="R1935">
        <f>IF(H1935="",0,H1935/P1935)</f>
        <v/>
      </c>
    </row>
    <row r="1936">
      <c r="A1936" s="43" t="n"/>
      <c r="B1936" s="28" t="n"/>
      <c r="C1936" s="28" t="n"/>
      <c r="D1936" s="28" t="n"/>
      <c r="E1936" s="44" t="n"/>
      <c r="F1936" s="44" t="n"/>
      <c r="G1936" s="23" t="n"/>
      <c r="H1936" s="23" t="n"/>
      <c r="I1936" s="23" t="n"/>
      <c r="J1936" s="23" t="n"/>
      <c r="K1936" s="45">
        <f>IF(A1936="","",SUM(G$2:I1936)-SUM(J$2:J1936))</f>
        <v/>
      </c>
      <c r="L1936" s="46" t="n"/>
      <c r="M1936">
        <f>IF(A1936="","",IF(A1936=A1935,M1935,N(M1935)+1))</f>
        <v/>
      </c>
      <c r="N1936">
        <f>IF(E1936="",99999,E1936)</f>
        <v/>
      </c>
      <c r="O1936">
        <f>IF(E1936="",0,IF(F1936="",E1936,F1936))</f>
        <v/>
      </c>
      <c r="P1936">
        <f>IF(E1936="",1,MAX(1,(YEAR(O1936)-YEAR(N1936))*12+MONTH(O1936)-MONTH(N1936)+1))</f>
        <v/>
      </c>
      <c r="Q1936">
        <f>IF(G1936="",0,G1936/P1936)</f>
        <v/>
      </c>
      <c r="R1936">
        <f>IF(H1936="",0,H1936/P1936)</f>
        <v/>
      </c>
    </row>
    <row r="1937">
      <c r="A1937" s="43" t="n"/>
      <c r="B1937" s="28" t="n"/>
      <c r="C1937" s="28" t="n"/>
      <c r="D1937" s="28" t="n"/>
      <c r="E1937" s="44" t="n"/>
      <c r="F1937" s="44" t="n"/>
      <c r="G1937" s="23" t="n"/>
      <c r="H1937" s="23" t="n"/>
      <c r="I1937" s="23" t="n"/>
      <c r="J1937" s="23" t="n"/>
      <c r="K1937" s="45">
        <f>IF(A1937="","",SUM(G$2:I1937)-SUM(J$2:J1937))</f>
        <v/>
      </c>
      <c r="L1937" s="46" t="n"/>
      <c r="M1937">
        <f>IF(A1937="","",IF(A1937=A1936,M1936,N(M1936)+1))</f>
        <v/>
      </c>
      <c r="N1937">
        <f>IF(E1937="",99999,E1937)</f>
        <v/>
      </c>
      <c r="O1937">
        <f>IF(E1937="",0,IF(F1937="",E1937,F1937))</f>
        <v/>
      </c>
      <c r="P1937">
        <f>IF(E1937="",1,MAX(1,(YEAR(O1937)-YEAR(N1937))*12+MONTH(O1937)-MONTH(N1937)+1))</f>
        <v/>
      </c>
      <c r="Q1937">
        <f>IF(G1937="",0,G1937/P1937)</f>
        <v/>
      </c>
      <c r="R1937">
        <f>IF(H1937="",0,H1937/P1937)</f>
        <v/>
      </c>
    </row>
    <row r="1938">
      <c r="A1938" s="43" t="n"/>
      <c r="B1938" s="28" t="n"/>
      <c r="C1938" s="28" t="n"/>
      <c r="D1938" s="28" t="n"/>
      <c r="E1938" s="44" t="n"/>
      <c r="F1938" s="44" t="n"/>
      <c r="G1938" s="23" t="n"/>
      <c r="H1938" s="23" t="n"/>
      <c r="I1938" s="23" t="n"/>
      <c r="J1938" s="23" t="n"/>
      <c r="K1938" s="45">
        <f>IF(A1938="","",SUM(G$2:I1938)-SUM(J$2:J1938))</f>
        <v/>
      </c>
      <c r="L1938" s="46" t="n"/>
      <c r="M1938">
        <f>IF(A1938="","",IF(A1938=A1937,M1937,N(M1937)+1))</f>
        <v/>
      </c>
      <c r="N1938">
        <f>IF(E1938="",99999,E1938)</f>
        <v/>
      </c>
      <c r="O1938">
        <f>IF(E1938="",0,IF(F1938="",E1938,F1938))</f>
        <v/>
      </c>
      <c r="P1938">
        <f>IF(E1938="",1,MAX(1,(YEAR(O1938)-YEAR(N1938))*12+MONTH(O1938)-MONTH(N1938)+1))</f>
        <v/>
      </c>
      <c r="Q1938">
        <f>IF(G1938="",0,G1938/P1938)</f>
        <v/>
      </c>
      <c r="R1938">
        <f>IF(H1938="",0,H1938/P1938)</f>
        <v/>
      </c>
    </row>
    <row r="1939">
      <c r="A1939" s="43" t="n"/>
      <c r="B1939" s="28" t="n"/>
      <c r="C1939" s="28" t="n"/>
      <c r="D1939" s="28" t="n"/>
      <c r="E1939" s="44" t="n"/>
      <c r="F1939" s="44" t="n"/>
      <c r="G1939" s="23" t="n"/>
      <c r="H1939" s="23" t="n"/>
      <c r="I1939" s="23" t="n"/>
      <c r="J1939" s="23" t="n"/>
      <c r="K1939" s="45">
        <f>IF(A1939="","",SUM(G$2:I1939)-SUM(J$2:J1939))</f>
        <v/>
      </c>
      <c r="L1939" s="46" t="n"/>
      <c r="M1939">
        <f>IF(A1939="","",IF(A1939=A1938,M1938,N(M1938)+1))</f>
        <v/>
      </c>
      <c r="N1939">
        <f>IF(E1939="",99999,E1939)</f>
        <v/>
      </c>
      <c r="O1939">
        <f>IF(E1939="",0,IF(F1939="",E1939,F1939))</f>
        <v/>
      </c>
      <c r="P1939">
        <f>IF(E1939="",1,MAX(1,(YEAR(O1939)-YEAR(N1939))*12+MONTH(O1939)-MONTH(N1939)+1))</f>
        <v/>
      </c>
      <c r="Q1939">
        <f>IF(G1939="",0,G1939/P1939)</f>
        <v/>
      </c>
      <c r="R1939">
        <f>IF(H1939="",0,H1939/P1939)</f>
        <v/>
      </c>
    </row>
    <row r="1940">
      <c r="A1940" s="43" t="n"/>
      <c r="B1940" s="28" t="n"/>
      <c r="C1940" s="28" t="n"/>
      <c r="D1940" s="28" t="n"/>
      <c r="E1940" s="44" t="n"/>
      <c r="F1940" s="44" t="n"/>
      <c r="G1940" s="23" t="n"/>
      <c r="H1940" s="23" t="n"/>
      <c r="I1940" s="23" t="n"/>
      <c r="J1940" s="23" t="n"/>
      <c r="K1940" s="45">
        <f>IF(A1940="","",SUM(G$2:I1940)-SUM(J$2:J1940))</f>
        <v/>
      </c>
      <c r="L1940" s="46" t="n"/>
      <c r="M1940">
        <f>IF(A1940="","",IF(A1940=A1939,M1939,N(M1939)+1))</f>
        <v/>
      </c>
      <c r="N1940">
        <f>IF(E1940="",99999,E1940)</f>
        <v/>
      </c>
      <c r="O1940">
        <f>IF(E1940="",0,IF(F1940="",E1940,F1940))</f>
        <v/>
      </c>
      <c r="P1940">
        <f>IF(E1940="",1,MAX(1,(YEAR(O1940)-YEAR(N1940))*12+MONTH(O1940)-MONTH(N1940)+1))</f>
        <v/>
      </c>
      <c r="Q1940">
        <f>IF(G1940="",0,G1940/P1940)</f>
        <v/>
      </c>
      <c r="R1940">
        <f>IF(H1940="",0,H1940/P1940)</f>
        <v/>
      </c>
    </row>
    <row r="1941">
      <c r="A1941" s="43" t="n"/>
      <c r="B1941" s="28" t="n"/>
      <c r="C1941" s="28" t="n"/>
      <c r="D1941" s="28" t="n"/>
      <c r="E1941" s="44" t="n"/>
      <c r="F1941" s="44" t="n"/>
      <c r="G1941" s="23" t="n"/>
      <c r="H1941" s="23" t="n"/>
      <c r="I1941" s="23" t="n"/>
      <c r="J1941" s="23" t="n"/>
      <c r="K1941" s="45">
        <f>IF(A1941="","",SUM(G$2:I1941)-SUM(J$2:J1941))</f>
        <v/>
      </c>
      <c r="L1941" s="46" t="n"/>
      <c r="M1941">
        <f>IF(A1941="","",IF(A1941=A1940,M1940,N(M1940)+1))</f>
        <v/>
      </c>
      <c r="N1941">
        <f>IF(E1941="",99999,E1941)</f>
        <v/>
      </c>
      <c r="O1941">
        <f>IF(E1941="",0,IF(F1941="",E1941,F1941))</f>
        <v/>
      </c>
      <c r="P1941">
        <f>IF(E1941="",1,MAX(1,(YEAR(O1941)-YEAR(N1941))*12+MONTH(O1941)-MONTH(N1941)+1))</f>
        <v/>
      </c>
      <c r="Q1941">
        <f>IF(G1941="",0,G1941/P1941)</f>
        <v/>
      </c>
      <c r="R1941">
        <f>IF(H1941="",0,H1941/P1941)</f>
        <v/>
      </c>
    </row>
    <row r="1942">
      <c r="A1942" s="43" t="n"/>
      <c r="B1942" s="28" t="n"/>
      <c r="C1942" s="28" t="n"/>
      <c r="D1942" s="28" t="n"/>
      <c r="E1942" s="44" t="n"/>
      <c r="F1942" s="44" t="n"/>
      <c r="G1942" s="23" t="n"/>
      <c r="H1942" s="23" t="n"/>
      <c r="I1942" s="23" t="n"/>
      <c r="J1942" s="23" t="n"/>
      <c r="K1942" s="45">
        <f>IF(A1942="","",SUM(G$2:I1942)-SUM(J$2:J1942))</f>
        <v/>
      </c>
      <c r="L1942" s="46" t="n"/>
      <c r="M1942">
        <f>IF(A1942="","",IF(A1942=A1941,M1941,N(M1941)+1))</f>
        <v/>
      </c>
      <c r="N1942">
        <f>IF(E1942="",99999,E1942)</f>
        <v/>
      </c>
      <c r="O1942">
        <f>IF(E1942="",0,IF(F1942="",E1942,F1942))</f>
        <v/>
      </c>
      <c r="P1942">
        <f>IF(E1942="",1,MAX(1,(YEAR(O1942)-YEAR(N1942))*12+MONTH(O1942)-MONTH(N1942)+1))</f>
        <v/>
      </c>
      <c r="Q1942">
        <f>IF(G1942="",0,G1942/P1942)</f>
        <v/>
      </c>
      <c r="R1942">
        <f>IF(H1942="",0,H1942/P1942)</f>
        <v/>
      </c>
    </row>
    <row r="1943">
      <c r="A1943" s="43" t="n"/>
      <c r="B1943" s="28" t="n"/>
      <c r="C1943" s="28" t="n"/>
      <c r="D1943" s="28" t="n"/>
      <c r="E1943" s="44" t="n"/>
      <c r="F1943" s="44" t="n"/>
      <c r="G1943" s="23" t="n"/>
      <c r="H1943" s="23" t="n"/>
      <c r="I1943" s="23" t="n"/>
      <c r="J1943" s="23" t="n"/>
      <c r="K1943" s="45">
        <f>IF(A1943="","",SUM(G$2:I1943)-SUM(J$2:J1943))</f>
        <v/>
      </c>
      <c r="L1943" s="46" t="n"/>
      <c r="M1943">
        <f>IF(A1943="","",IF(A1943=A1942,M1942,N(M1942)+1))</f>
        <v/>
      </c>
      <c r="N1943">
        <f>IF(E1943="",99999,E1943)</f>
        <v/>
      </c>
      <c r="O1943">
        <f>IF(E1943="",0,IF(F1943="",E1943,F1943))</f>
        <v/>
      </c>
      <c r="P1943">
        <f>IF(E1943="",1,MAX(1,(YEAR(O1943)-YEAR(N1943))*12+MONTH(O1943)-MONTH(N1943)+1))</f>
        <v/>
      </c>
      <c r="Q1943">
        <f>IF(G1943="",0,G1943/P1943)</f>
        <v/>
      </c>
      <c r="R1943">
        <f>IF(H1943="",0,H1943/P1943)</f>
        <v/>
      </c>
    </row>
    <row r="1944">
      <c r="A1944" s="43" t="n"/>
      <c r="B1944" s="28" t="n"/>
      <c r="C1944" s="28" t="n"/>
      <c r="D1944" s="28" t="n"/>
      <c r="E1944" s="44" t="n"/>
      <c r="F1944" s="44" t="n"/>
      <c r="G1944" s="23" t="n"/>
      <c r="H1944" s="23" t="n"/>
      <c r="I1944" s="23" t="n"/>
      <c r="J1944" s="23" t="n"/>
      <c r="K1944" s="45">
        <f>IF(A1944="","",SUM(G$2:I1944)-SUM(J$2:J1944))</f>
        <v/>
      </c>
      <c r="L1944" s="46" t="n"/>
      <c r="M1944">
        <f>IF(A1944="","",IF(A1944=A1943,M1943,N(M1943)+1))</f>
        <v/>
      </c>
      <c r="N1944">
        <f>IF(E1944="",99999,E1944)</f>
        <v/>
      </c>
      <c r="O1944">
        <f>IF(E1944="",0,IF(F1944="",E1944,F1944))</f>
        <v/>
      </c>
      <c r="P1944">
        <f>IF(E1944="",1,MAX(1,(YEAR(O1944)-YEAR(N1944))*12+MONTH(O1944)-MONTH(N1944)+1))</f>
        <v/>
      </c>
      <c r="Q1944">
        <f>IF(G1944="",0,G1944/P1944)</f>
        <v/>
      </c>
      <c r="R1944">
        <f>IF(H1944="",0,H1944/P1944)</f>
        <v/>
      </c>
    </row>
    <row r="1945">
      <c r="A1945" s="43" t="n"/>
      <c r="B1945" s="28" t="n"/>
      <c r="C1945" s="28" t="n"/>
      <c r="D1945" s="28" t="n"/>
      <c r="E1945" s="44" t="n"/>
      <c r="F1945" s="44" t="n"/>
      <c r="G1945" s="23" t="n"/>
      <c r="H1945" s="23" t="n"/>
      <c r="I1945" s="23" t="n"/>
      <c r="J1945" s="23" t="n"/>
      <c r="K1945" s="45">
        <f>IF(A1945="","",SUM(G$2:I1945)-SUM(J$2:J1945))</f>
        <v/>
      </c>
      <c r="L1945" s="46" t="n"/>
      <c r="M1945">
        <f>IF(A1945="","",IF(A1945=A1944,M1944,N(M1944)+1))</f>
        <v/>
      </c>
      <c r="N1945">
        <f>IF(E1945="",99999,E1945)</f>
        <v/>
      </c>
      <c r="O1945">
        <f>IF(E1945="",0,IF(F1945="",E1945,F1945))</f>
        <v/>
      </c>
      <c r="P1945">
        <f>IF(E1945="",1,MAX(1,(YEAR(O1945)-YEAR(N1945))*12+MONTH(O1945)-MONTH(N1945)+1))</f>
        <v/>
      </c>
      <c r="Q1945">
        <f>IF(G1945="",0,G1945/P1945)</f>
        <v/>
      </c>
      <c r="R1945">
        <f>IF(H1945="",0,H1945/P1945)</f>
        <v/>
      </c>
    </row>
    <row r="1946">
      <c r="A1946" s="43" t="n"/>
      <c r="B1946" s="28" t="n"/>
      <c r="C1946" s="28" t="n"/>
      <c r="D1946" s="28" t="n"/>
      <c r="E1946" s="44" t="n"/>
      <c r="F1946" s="44" t="n"/>
      <c r="G1946" s="23" t="n"/>
      <c r="H1946" s="23" t="n"/>
      <c r="I1946" s="23" t="n"/>
      <c r="J1946" s="23" t="n"/>
      <c r="K1946" s="45">
        <f>IF(A1946="","",SUM(G$2:I1946)-SUM(J$2:J1946))</f>
        <v/>
      </c>
      <c r="L1946" s="46" t="n"/>
      <c r="M1946">
        <f>IF(A1946="","",IF(A1946=A1945,M1945,N(M1945)+1))</f>
        <v/>
      </c>
      <c r="N1946">
        <f>IF(E1946="",99999,E1946)</f>
        <v/>
      </c>
      <c r="O1946">
        <f>IF(E1946="",0,IF(F1946="",E1946,F1946))</f>
        <v/>
      </c>
      <c r="P1946">
        <f>IF(E1946="",1,MAX(1,(YEAR(O1946)-YEAR(N1946))*12+MONTH(O1946)-MONTH(N1946)+1))</f>
        <v/>
      </c>
      <c r="Q1946">
        <f>IF(G1946="",0,G1946/P1946)</f>
        <v/>
      </c>
      <c r="R1946">
        <f>IF(H1946="",0,H1946/P1946)</f>
        <v/>
      </c>
    </row>
    <row r="1947">
      <c r="A1947" s="43" t="n"/>
      <c r="B1947" s="28" t="n"/>
      <c r="C1947" s="28" t="n"/>
      <c r="D1947" s="28" t="n"/>
      <c r="E1947" s="44" t="n"/>
      <c r="F1947" s="44" t="n"/>
      <c r="G1947" s="23" t="n"/>
      <c r="H1947" s="23" t="n"/>
      <c r="I1947" s="23" t="n"/>
      <c r="J1947" s="23" t="n"/>
      <c r="K1947" s="45">
        <f>IF(A1947="","",SUM(G$2:I1947)-SUM(J$2:J1947))</f>
        <v/>
      </c>
      <c r="L1947" s="46" t="n"/>
      <c r="M1947">
        <f>IF(A1947="","",IF(A1947=A1946,M1946,N(M1946)+1))</f>
        <v/>
      </c>
      <c r="N1947">
        <f>IF(E1947="",99999,E1947)</f>
        <v/>
      </c>
      <c r="O1947">
        <f>IF(E1947="",0,IF(F1947="",E1947,F1947))</f>
        <v/>
      </c>
      <c r="P1947">
        <f>IF(E1947="",1,MAX(1,(YEAR(O1947)-YEAR(N1947))*12+MONTH(O1947)-MONTH(N1947)+1))</f>
        <v/>
      </c>
      <c r="Q1947">
        <f>IF(G1947="",0,G1947/P1947)</f>
        <v/>
      </c>
      <c r="R1947">
        <f>IF(H1947="",0,H1947/P1947)</f>
        <v/>
      </c>
    </row>
    <row r="1948">
      <c r="A1948" s="43" t="n"/>
      <c r="B1948" s="28" t="n"/>
      <c r="C1948" s="28" t="n"/>
      <c r="D1948" s="28" t="n"/>
      <c r="E1948" s="44" t="n"/>
      <c r="F1948" s="44" t="n"/>
      <c r="G1948" s="23" t="n"/>
      <c r="H1948" s="23" t="n"/>
      <c r="I1948" s="23" t="n"/>
      <c r="J1948" s="23" t="n"/>
      <c r="K1948" s="45">
        <f>IF(A1948="","",SUM(G$2:I1948)-SUM(J$2:J1948))</f>
        <v/>
      </c>
      <c r="L1948" s="46" t="n"/>
      <c r="M1948">
        <f>IF(A1948="","",IF(A1948=A1947,M1947,N(M1947)+1))</f>
        <v/>
      </c>
      <c r="N1948">
        <f>IF(E1948="",99999,E1948)</f>
        <v/>
      </c>
      <c r="O1948">
        <f>IF(E1948="",0,IF(F1948="",E1948,F1948))</f>
        <v/>
      </c>
      <c r="P1948">
        <f>IF(E1948="",1,MAX(1,(YEAR(O1948)-YEAR(N1948))*12+MONTH(O1948)-MONTH(N1948)+1))</f>
        <v/>
      </c>
      <c r="Q1948">
        <f>IF(G1948="",0,G1948/P1948)</f>
        <v/>
      </c>
      <c r="R1948">
        <f>IF(H1948="",0,H1948/P1948)</f>
        <v/>
      </c>
    </row>
    <row r="1949">
      <c r="A1949" s="43" t="n"/>
      <c r="B1949" s="28" t="n"/>
      <c r="C1949" s="28" t="n"/>
      <c r="D1949" s="28" t="n"/>
      <c r="E1949" s="44" t="n"/>
      <c r="F1949" s="44" t="n"/>
      <c r="G1949" s="23" t="n"/>
      <c r="H1949" s="23" t="n"/>
      <c r="I1949" s="23" t="n"/>
      <c r="J1949" s="23" t="n"/>
      <c r="K1949" s="45">
        <f>IF(A1949="","",SUM(G$2:I1949)-SUM(J$2:J1949))</f>
        <v/>
      </c>
      <c r="L1949" s="46" t="n"/>
      <c r="M1949">
        <f>IF(A1949="","",IF(A1949=A1948,M1948,N(M1948)+1))</f>
        <v/>
      </c>
      <c r="N1949">
        <f>IF(E1949="",99999,E1949)</f>
        <v/>
      </c>
      <c r="O1949">
        <f>IF(E1949="",0,IF(F1949="",E1949,F1949))</f>
        <v/>
      </c>
      <c r="P1949">
        <f>IF(E1949="",1,MAX(1,(YEAR(O1949)-YEAR(N1949))*12+MONTH(O1949)-MONTH(N1949)+1))</f>
        <v/>
      </c>
      <c r="Q1949">
        <f>IF(G1949="",0,G1949/P1949)</f>
        <v/>
      </c>
      <c r="R1949">
        <f>IF(H1949="",0,H1949/P1949)</f>
        <v/>
      </c>
    </row>
    <row r="1950">
      <c r="A1950" s="43" t="n"/>
      <c r="B1950" s="28" t="n"/>
      <c r="C1950" s="28" t="n"/>
      <c r="D1950" s="28" t="n"/>
      <c r="E1950" s="44" t="n"/>
      <c r="F1950" s="44" t="n"/>
      <c r="G1950" s="23" t="n"/>
      <c r="H1950" s="23" t="n"/>
      <c r="I1950" s="23" t="n"/>
      <c r="J1950" s="23" t="n"/>
      <c r="K1950" s="45">
        <f>IF(A1950="","",SUM(G$2:I1950)-SUM(J$2:J1950))</f>
        <v/>
      </c>
      <c r="L1950" s="46" t="n"/>
      <c r="M1950">
        <f>IF(A1950="","",IF(A1950=A1949,M1949,N(M1949)+1))</f>
        <v/>
      </c>
      <c r="N1950">
        <f>IF(E1950="",99999,E1950)</f>
        <v/>
      </c>
      <c r="O1950">
        <f>IF(E1950="",0,IF(F1950="",E1950,F1950))</f>
        <v/>
      </c>
      <c r="P1950">
        <f>IF(E1950="",1,MAX(1,(YEAR(O1950)-YEAR(N1950))*12+MONTH(O1950)-MONTH(N1950)+1))</f>
        <v/>
      </c>
      <c r="Q1950">
        <f>IF(G1950="",0,G1950/P1950)</f>
        <v/>
      </c>
      <c r="R1950">
        <f>IF(H1950="",0,H1950/P1950)</f>
        <v/>
      </c>
    </row>
    <row r="1951">
      <c r="A1951" s="43" t="n"/>
      <c r="B1951" s="28" t="n"/>
      <c r="C1951" s="28" t="n"/>
      <c r="D1951" s="28" t="n"/>
      <c r="E1951" s="44" t="n"/>
      <c r="F1951" s="44" t="n"/>
      <c r="G1951" s="23" t="n"/>
      <c r="H1951" s="23" t="n"/>
      <c r="I1951" s="23" t="n"/>
      <c r="J1951" s="23" t="n"/>
      <c r="K1951" s="45">
        <f>IF(A1951="","",SUM(G$2:I1951)-SUM(J$2:J1951))</f>
        <v/>
      </c>
      <c r="L1951" s="46" t="n"/>
      <c r="M1951">
        <f>IF(A1951="","",IF(A1951=A1950,M1950,N(M1950)+1))</f>
        <v/>
      </c>
      <c r="N1951">
        <f>IF(E1951="",99999,E1951)</f>
        <v/>
      </c>
      <c r="O1951">
        <f>IF(E1951="",0,IF(F1951="",E1951,F1951))</f>
        <v/>
      </c>
      <c r="P1951">
        <f>IF(E1951="",1,MAX(1,(YEAR(O1951)-YEAR(N1951))*12+MONTH(O1951)-MONTH(N1951)+1))</f>
        <v/>
      </c>
      <c r="Q1951">
        <f>IF(G1951="",0,G1951/P1951)</f>
        <v/>
      </c>
      <c r="R1951">
        <f>IF(H1951="",0,H1951/P1951)</f>
        <v/>
      </c>
    </row>
    <row r="1952">
      <c r="A1952" s="43" t="n"/>
      <c r="B1952" s="28" t="n"/>
      <c r="C1952" s="28" t="n"/>
      <c r="D1952" s="28" t="n"/>
      <c r="E1952" s="44" t="n"/>
      <c r="F1952" s="44" t="n"/>
      <c r="G1952" s="23" t="n"/>
      <c r="H1952" s="23" t="n"/>
      <c r="I1952" s="23" t="n"/>
      <c r="J1952" s="23" t="n"/>
      <c r="K1952" s="45">
        <f>IF(A1952="","",SUM(G$2:I1952)-SUM(J$2:J1952))</f>
        <v/>
      </c>
      <c r="L1952" s="46" t="n"/>
      <c r="M1952">
        <f>IF(A1952="","",IF(A1952=A1951,M1951,N(M1951)+1))</f>
        <v/>
      </c>
      <c r="N1952">
        <f>IF(E1952="",99999,E1952)</f>
        <v/>
      </c>
      <c r="O1952">
        <f>IF(E1952="",0,IF(F1952="",E1952,F1952))</f>
        <v/>
      </c>
      <c r="P1952">
        <f>IF(E1952="",1,MAX(1,(YEAR(O1952)-YEAR(N1952))*12+MONTH(O1952)-MONTH(N1952)+1))</f>
        <v/>
      </c>
      <c r="Q1952">
        <f>IF(G1952="",0,G1952/P1952)</f>
        <v/>
      </c>
      <c r="R1952">
        <f>IF(H1952="",0,H1952/P1952)</f>
        <v/>
      </c>
    </row>
    <row r="1953">
      <c r="A1953" s="43" t="n"/>
      <c r="B1953" s="28" t="n"/>
      <c r="C1953" s="28" t="n"/>
      <c r="D1953" s="28" t="n"/>
      <c r="E1953" s="44" t="n"/>
      <c r="F1953" s="44" t="n"/>
      <c r="G1953" s="23" t="n"/>
      <c r="H1953" s="23" t="n"/>
      <c r="I1953" s="23" t="n"/>
      <c r="J1953" s="23" t="n"/>
      <c r="K1953" s="45">
        <f>IF(A1953="","",SUM(G$2:I1953)-SUM(J$2:J1953))</f>
        <v/>
      </c>
      <c r="L1953" s="46" t="n"/>
      <c r="M1953">
        <f>IF(A1953="","",IF(A1953=A1952,M1952,N(M1952)+1))</f>
        <v/>
      </c>
      <c r="N1953">
        <f>IF(E1953="",99999,E1953)</f>
        <v/>
      </c>
      <c r="O1953">
        <f>IF(E1953="",0,IF(F1953="",E1953,F1953))</f>
        <v/>
      </c>
      <c r="P1953">
        <f>IF(E1953="",1,MAX(1,(YEAR(O1953)-YEAR(N1953))*12+MONTH(O1953)-MONTH(N1953)+1))</f>
        <v/>
      </c>
      <c r="Q1953">
        <f>IF(G1953="",0,G1953/P1953)</f>
        <v/>
      </c>
      <c r="R1953">
        <f>IF(H1953="",0,H1953/P1953)</f>
        <v/>
      </c>
    </row>
    <row r="1954">
      <c r="A1954" s="43" t="n"/>
      <c r="B1954" s="28" t="n"/>
      <c r="C1954" s="28" t="n"/>
      <c r="D1954" s="28" t="n"/>
      <c r="E1954" s="44" t="n"/>
      <c r="F1954" s="44" t="n"/>
      <c r="G1954" s="23" t="n"/>
      <c r="H1954" s="23" t="n"/>
      <c r="I1954" s="23" t="n"/>
      <c r="J1954" s="23" t="n"/>
      <c r="K1954" s="45">
        <f>IF(A1954="","",SUM(G$2:I1954)-SUM(J$2:J1954))</f>
        <v/>
      </c>
      <c r="L1954" s="46" t="n"/>
      <c r="M1954">
        <f>IF(A1954="","",IF(A1954=A1953,M1953,N(M1953)+1))</f>
        <v/>
      </c>
      <c r="N1954">
        <f>IF(E1954="",99999,E1954)</f>
        <v/>
      </c>
      <c r="O1954">
        <f>IF(E1954="",0,IF(F1954="",E1954,F1954))</f>
        <v/>
      </c>
      <c r="P1954">
        <f>IF(E1954="",1,MAX(1,(YEAR(O1954)-YEAR(N1954))*12+MONTH(O1954)-MONTH(N1954)+1))</f>
        <v/>
      </c>
      <c r="Q1954">
        <f>IF(G1954="",0,G1954/P1954)</f>
        <v/>
      </c>
      <c r="R1954">
        <f>IF(H1954="",0,H1954/P1954)</f>
        <v/>
      </c>
    </row>
    <row r="1955">
      <c r="A1955" s="43" t="n"/>
      <c r="B1955" s="28" t="n"/>
      <c r="C1955" s="28" t="n"/>
      <c r="D1955" s="28" t="n"/>
      <c r="E1955" s="44" t="n"/>
      <c r="F1955" s="44" t="n"/>
      <c r="G1955" s="23" t="n"/>
      <c r="H1955" s="23" t="n"/>
      <c r="I1955" s="23" t="n"/>
      <c r="J1955" s="23" t="n"/>
      <c r="K1955" s="45">
        <f>IF(A1955="","",SUM(G$2:I1955)-SUM(J$2:J1955))</f>
        <v/>
      </c>
      <c r="L1955" s="46" t="n"/>
      <c r="M1955">
        <f>IF(A1955="","",IF(A1955=A1954,M1954,N(M1954)+1))</f>
        <v/>
      </c>
      <c r="N1955">
        <f>IF(E1955="",99999,E1955)</f>
        <v/>
      </c>
      <c r="O1955">
        <f>IF(E1955="",0,IF(F1955="",E1955,F1955))</f>
        <v/>
      </c>
      <c r="P1955">
        <f>IF(E1955="",1,MAX(1,(YEAR(O1955)-YEAR(N1955))*12+MONTH(O1955)-MONTH(N1955)+1))</f>
        <v/>
      </c>
      <c r="Q1955">
        <f>IF(G1955="",0,G1955/P1955)</f>
        <v/>
      </c>
      <c r="R1955">
        <f>IF(H1955="",0,H1955/P1955)</f>
        <v/>
      </c>
    </row>
    <row r="1956">
      <c r="A1956" s="43" t="n"/>
      <c r="B1956" s="28" t="n"/>
      <c r="C1956" s="28" t="n"/>
      <c r="D1956" s="28" t="n"/>
      <c r="E1956" s="44" t="n"/>
      <c r="F1956" s="44" t="n"/>
      <c r="G1956" s="23" t="n"/>
      <c r="H1956" s="23" t="n"/>
      <c r="I1956" s="23" t="n"/>
      <c r="J1956" s="23" t="n"/>
      <c r="K1956" s="45">
        <f>IF(A1956="","",SUM(G$2:I1956)-SUM(J$2:J1956))</f>
        <v/>
      </c>
      <c r="L1956" s="46" t="n"/>
      <c r="M1956">
        <f>IF(A1956="","",IF(A1956=A1955,M1955,N(M1955)+1))</f>
        <v/>
      </c>
      <c r="N1956">
        <f>IF(E1956="",99999,E1956)</f>
        <v/>
      </c>
      <c r="O1956">
        <f>IF(E1956="",0,IF(F1956="",E1956,F1956))</f>
        <v/>
      </c>
      <c r="P1956">
        <f>IF(E1956="",1,MAX(1,(YEAR(O1956)-YEAR(N1956))*12+MONTH(O1956)-MONTH(N1956)+1))</f>
        <v/>
      </c>
      <c r="Q1956">
        <f>IF(G1956="",0,G1956/P1956)</f>
        <v/>
      </c>
      <c r="R1956">
        <f>IF(H1956="",0,H1956/P1956)</f>
        <v/>
      </c>
    </row>
    <row r="1957">
      <c r="A1957" s="43" t="n"/>
      <c r="B1957" s="28" t="n"/>
      <c r="C1957" s="28" t="n"/>
      <c r="D1957" s="28" t="n"/>
      <c r="E1957" s="44" t="n"/>
      <c r="F1957" s="44" t="n"/>
      <c r="G1957" s="23" t="n"/>
      <c r="H1957" s="23" t="n"/>
      <c r="I1957" s="23" t="n"/>
      <c r="J1957" s="23" t="n"/>
      <c r="K1957" s="45">
        <f>IF(A1957="","",SUM(G$2:I1957)-SUM(J$2:J1957))</f>
        <v/>
      </c>
      <c r="L1957" s="46" t="n"/>
      <c r="M1957">
        <f>IF(A1957="","",IF(A1957=A1956,M1956,N(M1956)+1))</f>
        <v/>
      </c>
      <c r="N1957">
        <f>IF(E1957="",99999,E1957)</f>
        <v/>
      </c>
      <c r="O1957">
        <f>IF(E1957="",0,IF(F1957="",E1957,F1957))</f>
        <v/>
      </c>
      <c r="P1957">
        <f>IF(E1957="",1,MAX(1,(YEAR(O1957)-YEAR(N1957))*12+MONTH(O1957)-MONTH(N1957)+1))</f>
        <v/>
      </c>
      <c r="Q1957">
        <f>IF(G1957="",0,G1957/P1957)</f>
        <v/>
      </c>
      <c r="R1957">
        <f>IF(H1957="",0,H1957/P1957)</f>
        <v/>
      </c>
    </row>
    <row r="1958">
      <c r="A1958" s="43" t="n"/>
      <c r="B1958" s="28" t="n"/>
      <c r="C1958" s="28" t="n"/>
      <c r="D1958" s="28" t="n"/>
      <c r="E1958" s="44" t="n"/>
      <c r="F1958" s="44" t="n"/>
      <c r="G1958" s="23" t="n"/>
      <c r="H1958" s="23" t="n"/>
      <c r="I1958" s="23" t="n"/>
      <c r="J1958" s="23" t="n"/>
      <c r="K1958" s="45">
        <f>IF(A1958="","",SUM(G$2:I1958)-SUM(J$2:J1958))</f>
        <v/>
      </c>
      <c r="L1958" s="46" t="n"/>
      <c r="M1958">
        <f>IF(A1958="","",IF(A1958=A1957,M1957,N(M1957)+1))</f>
        <v/>
      </c>
      <c r="N1958">
        <f>IF(E1958="",99999,E1958)</f>
        <v/>
      </c>
      <c r="O1958">
        <f>IF(E1958="",0,IF(F1958="",E1958,F1958))</f>
        <v/>
      </c>
      <c r="P1958">
        <f>IF(E1958="",1,MAX(1,(YEAR(O1958)-YEAR(N1958))*12+MONTH(O1958)-MONTH(N1958)+1))</f>
        <v/>
      </c>
      <c r="Q1958">
        <f>IF(G1958="",0,G1958/P1958)</f>
        <v/>
      </c>
      <c r="R1958">
        <f>IF(H1958="",0,H1958/P1958)</f>
        <v/>
      </c>
    </row>
    <row r="1959">
      <c r="A1959" s="43" t="n"/>
      <c r="B1959" s="28" t="n"/>
      <c r="C1959" s="28" t="n"/>
      <c r="D1959" s="28" t="n"/>
      <c r="E1959" s="44" t="n"/>
      <c r="F1959" s="44" t="n"/>
      <c r="G1959" s="23" t="n"/>
      <c r="H1959" s="23" t="n"/>
      <c r="I1959" s="23" t="n"/>
      <c r="J1959" s="23" t="n"/>
      <c r="K1959" s="45">
        <f>IF(A1959="","",SUM(G$2:I1959)-SUM(J$2:J1959))</f>
        <v/>
      </c>
      <c r="L1959" s="46" t="n"/>
      <c r="M1959">
        <f>IF(A1959="","",IF(A1959=A1958,M1958,N(M1958)+1))</f>
        <v/>
      </c>
      <c r="N1959">
        <f>IF(E1959="",99999,E1959)</f>
        <v/>
      </c>
      <c r="O1959">
        <f>IF(E1959="",0,IF(F1959="",E1959,F1959))</f>
        <v/>
      </c>
      <c r="P1959">
        <f>IF(E1959="",1,MAX(1,(YEAR(O1959)-YEAR(N1959))*12+MONTH(O1959)-MONTH(N1959)+1))</f>
        <v/>
      </c>
      <c r="Q1959">
        <f>IF(G1959="",0,G1959/P1959)</f>
        <v/>
      </c>
      <c r="R1959">
        <f>IF(H1959="",0,H1959/P1959)</f>
        <v/>
      </c>
    </row>
    <row r="1960">
      <c r="A1960" s="43" t="n"/>
      <c r="B1960" s="28" t="n"/>
      <c r="C1960" s="28" t="n"/>
      <c r="D1960" s="28" t="n"/>
      <c r="E1960" s="44" t="n"/>
      <c r="F1960" s="44" t="n"/>
      <c r="G1960" s="23" t="n"/>
      <c r="H1960" s="23" t="n"/>
      <c r="I1960" s="23" t="n"/>
      <c r="J1960" s="23" t="n"/>
      <c r="K1960" s="45">
        <f>IF(A1960="","",SUM(G$2:I1960)-SUM(J$2:J1960))</f>
        <v/>
      </c>
      <c r="L1960" s="46" t="n"/>
      <c r="M1960">
        <f>IF(A1960="","",IF(A1960=A1959,M1959,N(M1959)+1))</f>
        <v/>
      </c>
      <c r="N1960">
        <f>IF(E1960="",99999,E1960)</f>
        <v/>
      </c>
      <c r="O1960">
        <f>IF(E1960="",0,IF(F1960="",E1960,F1960))</f>
        <v/>
      </c>
      <c r="P1960">
        <f>IF(E1960="",1,MAX(1,(YEAR(O1960)-YEAR(N1960))*12+MONTH(O1960)-MONTH(N1960)+1))</f>
        <v/>
      </c>
      <c r="Q1960">
        <f>IF(G1960="",0,G1960/P1960)</f>
        <v/>
      </c>
      <c r="R1960">
        <f>IF(H1960="",0,H1960/P1960)</f>
        <v/>
      </c>
    </row>
    <row r="1961">
      <c r="A1961" s="43" t="n"/>
      <c r="B1961" s="28" t="n"/>
      <c r="C1961" s="28" t="n"/>
      <c r="D1961" s="28" t="n"/>
      <c r="E1961" s="44" t="n"/>
      <c r="F1961" s="44" t="n"/>
      <c r="G1961" s="23" t="n"/>
      <c r="H1961" s="23" t="n"/>
      <c r="I1961" s="23" t="n"/>
      <c r="J1961" s="23" t="n"/>
      <c r="K1961" s="45">
        <f>IF(A1961="","",SUM(G$2:I1961)-SUM(J$2:J1961))</f>
        <v/>
      </c>
      <c r="L1961" s="46" t="n"/>
      <c r="M1961">
        <f>IF(A1961="","",IF(A1961=A1960,M1960,N(M1960)+1))</f>
        <v/>
      </c>
      <c r="N1961">
        <f>IF(E1961="",99999,E1961)</f>
        <v/>
      </c>
      <c r="O1961">
        <f>IF(E1961="",0,IF(F1961="",E1961,F1961))</f>
        <v/>
      </c>
      <c r="P1961">
        <f>IF(E1961="",1,MAX(1,(YEAR(O1961)-YEAR(N1961))*12+MONTH(O1961)-MONTH(N1961)+1))</f>
        <v/>
      </c>
      <c r="Q1961">
        <f>IF(G1961="",0,G1961/P1961)</f>
        <v/>
      </c>
      <c r="R1961">
        <f>IF(H1961="",0,H1961/P1961)</f>
        <v/>
      </c>
    </row>
    <row r="1962">
      <c r="A1962" s="43" t="n"/>
      <c r="B1962" s="28" t="n"/>
      <c r="C1962" s="28" t="n"/>
      <c r="D1962" s="28" t="n"/>
      <c r="E1962" s="44" t="n"/>
      <c r="F1962" s="44" t="n"/>
      <c r="G1962" s="23" t="n"/>
      <c r="H1962" s="23" t="n"/>
      <c r="I1962" s="23" t="n"/>
      <c r="J1962" s="23" t="n"/>
      <c r="K1962" s="45">
        <f>IF(A1962="","",SUM(G$2:I1962)-SUM(J$2:J1962))</f>
        <v/>
      </c>
      <c r="L1962" s="46" t="n"/>
      <c r="M1962">
        <f>IF(A1962="","",IF(A1962=A1961,M1961,N(M1961)+1))</f>
        <v/>
      </c>
      <c r="N1962">
        <f>IF(E1962="",99999,E1962)</f>
        <v/>
      </c>
      <c r="O1962">
        <f>IF(E1962="",0,IF(F1962="",E1962,F1962))</f>
        <v/>
      </c>
      <c r="P1962">
        <f>IF(E1962="",1,MAX(1,(YEAR(O1962)-YEAR(N1962))*12+MONTH(O1962)-MONTH(N1962)+1))</f>
        <v/>
      </c>
      <c r="Q1962">
        <f>IF(G1962="",0,G1962/P1962)</f>
        <v/>
      </c>
      <c r="R1962">
        <f>IF(H1962="",0,H1962/P1962)</f>
        <v/>
      </c>
    </row>
    <row r="1963">
      <c r="A1963" s="43" t="n"/>
      <c r="B1963" s="28" t="n"/>
      <c r="C1963" s="28" t="n"/>
      <c r="D1963" s="28" t="n"/>
      <c r="E1963" s="44" t="n"/>
      <c r="F1963" s="44" t="n"/>
      <c r="G1963" s="23" t="n"/>
      <c r="H1963" s="23" t="n"/>
      <c r="I1963" s="23" t="n"/>
      <c r="J1963" s="23" t="n"/>
      <c r="K1963" s="45">
        <f>IF(A1963="","",SUM(G$2:I1963)-SUM(J$2:J1963))</f>
        <v/>
      </c>
      <c r="L1963" s="46" t="n"/>
      <c r="M1963">
        <f>IF(A1963="","",IF(A1963=A1962,M1962,N(M1962)+1))</f>
        <v/>
      </c>
      <c r="N1963">
        <f>IF(E1963="",99999,E1963)</f>
        <v/>
      </c>
      <c r="O1963">
        <f>IF(E1963="",0,IF(F1963="",E1963,F1963))</f>
        <v/>
      </c>
      <c r="P1963">
        <f>IF(E1963="",1,MAX(1,(YEAR(O1963)-YEAR(N1963))*12+MONTH(O1963)-MONTH(N1963)+1))</f>
        <v/>
      </c>
      <c r="Q1963">
        <f>IF(G1963="",0,G1963/P1963)</f>
        <v/>
      </c>
      <c r="R1963">
        <f>IF(H1963="",0,H1963/P1963)</f>
        <v/>
      </c>
    </row>
    <row r="1964">
      <c r="A1964" s="43" t="n"/>
      <c r="B1964" s="28" t="n"/>
      <c r="C1964" s="28" t="n"/>
      <c r="D1964" s="28" t="n"/>
      <c r="E1964" s="44" t="n"/>
      <c r="F1964" s="44" t="n"/>
      <c r="G1964" s="23" t="n"/>
      <c r="H1964" s="23" t="n"/>
      <c r="I1964" s="23" t="n"/>
      <c r="J1964" s="23" t="n"/>
      <c r="K1964" s="45">
        <f>IF(A1964="","",SUM(G$2:I1964)-SUM(J$2:J1964))</f>
        <v/>
      </c>
      <c r="L1964" s="46" t="n"/>
      <c r="M1964">
        <f>IF(A1964="","",IF(A1964=A1963,M1963,N(M1963)+1))</f>
        <v/>
      </c>
      <c r="N1964">
        <f>IF(E1964="",99999,E1964)</f>
        <v/>
      </c>
      <c r="O1964">
        <f>IF(E1964="",0,IF(F1964="",E1964,F1964))</f>
        <v/>
      </c>
      <c r="P1964">
        <f>IF(E1964="",1,MAX(1,(YEAR(O1964)-YEAR(N1964))*12+MONTH(O1964)-MONTH(N1964)+1))</f>
        <v/>
      </c>
      <c r="Q1964">
        <f>IF(G1964="",0,G1964/P1964)</f>
        <v/>
      </c>
      <c r="R1964">
        <f>IF(H1964="",0,H1964/P1964)</f>
        <v/>
      </c>
    </row>
    <row r="1965">
      <c r="A1965" s="43" t="n"/>
      <c r="B1965" s="28" t="n"/>
      <c r="C1965" s="28" t="n"/>
      <c r="D1965" s="28" t="n"/>
      <c r="E1965" s="44" t="n"/>
      <c r="F1965" s="44" t="n"/>
      <c r="G1965" s="23" t="n"/>
      <c r="H1965" s="23" t="n"/>
      <c r="I1965" s="23" t="n"/>
      <c r="J1965" s="23" t="n"/>
      <c r="K1965" s="45">
        <f>IF(A1965="","",SUM(G$2:I1965)-SUM(J$2:J1965))</f>
        <v/>
      </c>
      <c r="L1965" s="46" t="n"/>
      <c r="M1965">
        <f>IF(A1965="","",IF(A1965=A1964,M1964,N(M1964)+1))</f>
        <v/>
      </c>
      <c r="N1965">
        <f>IF(E1965="",99999,E1965)</f>
        <v/>
      </c>
      <c r="O1965">
        <f>IF(E1965="",0,IF(F1965="",E1965,F1965))</f>
        <v/>
      </c>
      <c r="P1965">
        <f>IF(E1965="",1,MAX(1,(YEAR(O1965)-YEAR(N1965))*12+MONTH(O1965)-MONTH(N1965)+1))</f>
        <v/>
      </c>
      <c r="Q1965">
        <f>IF(G1965="",0,G1965/P1965)</f>
        <v/>
      </c>
      <c r="R1965">
        <f>IF(H1965="",0,H1965/P1965)</f>
        <v/>
      </c>
    </row>
    <row r="1966">
      <c r="A1966" s="43" t="n"/>
      <c r="B1966" s="28" t="n"/>
      <c r="C1966" s="28" t="n"/>
      <c r="D1966" s="28" t="n"/>
      <c r="E1966" s="44" t="n"/>
      <c r="F1966" s="44" t="n"/>
      <c r="G1966" s="23" t="n"/>
      <c r="H1966" s="23" t="n"/>
      <c r="I1966" s="23" t="n"/>
      <c r="J1966" s="23" t="n"/>
      <c r="K1966" s="45">
        <f>IF(A1966="","",SUM(G$2:I1966)-SUM(J$2:J1966))</f>
        <v/>
      </c>
      <c r="L1966" s="46" t="n"/>
      <c r="M1966">
        <f>IF(A1966="","",IF(A1966=A1965,M1965,N(M1965)+1))</f>
        <v/>
      </c>
      <c r="N1966">
        <f>IF(E1966="",99999,E1966)</f>
        <v/>
      </c>
      <c r="O1966">
        <f>IF(E1966="",0,IF(F1966="",E1966,F1966))</f>
        <v/>
      </c>
      <c r="P1966">
        <f>IF(E1966="",1,MAX(1,(YEAR(O1966)-YEAR(N1966))*12+MONTH(O1966)-MONTH(N1966)+1))</f>
        <v/>
      </c>
      <c r="Q1966">
        <f>IF(G1966="",0,G1966/P1966)</f>
        <v/>
      </c>
      <c r="R1966">
        <f>IF(H1966="",0,H1966/P1966)</f>
        <v/>
      </c>
    </row>
    <row r="1967">
      <c r="A1967" s="43" t="n"/>
      <c r="B1967" s="28" t="n"/>
      <c r="C1967" s="28" t="n"/>
      <c r="D1967" s="28" t="n"/>
      <c r="E1967" s="44" t="n"/>
      <c r="F1967" s="44" t="n"/>
      <c r="G1967" s="23" t="n"/>
      <c r="H1967" s="23" t="n"/>
      <c r="I1967" s="23" t="n"/>
      <c r="J1967" s="23" t="n"/>
      <c r="K1967" s="45">
        <f>IF(A1967="","",SUM(G$2:I1967)-SUM(J$2:J1967))</f>
        <v/>
      </c>
      <c r="L1967" s="46" t="n"/>
      <c r="M1967">
        <f>IF(A1967="","",IF(A1967=A1966,M1966,N(M1966)+1))</f>
        <v/>
      </c>
      <c r="N1967">
        <f>IF(E1967="",99999,E1967)</f>
        <v/>
      </c>
      <c r="O1967">
        <f>IF(E1967="",0,IF(F1967="",E1967,F1967))</f>
        <v/>
      </c>
      <c r="P1967">
        <f>IF(E1967="",1,MAX(1,(YEAR(O1967)-YEAR(N1967))*12+MONTH(O1967)-MONTH(N1967)+1))</f>
        <v/>
      </c>
      <c r="Q1967">
        <f>IF(G1967="",0,G1967/P1967)</f>
        <v/>
      </c>
      <c r="R1967">
        <f>IF(H1967="",0,H1967/P1967)</f>
        <v/>
      </c>
    </row>
    <row r="1968">
      <c r="A1968" s="43" t="n"/>
      <c r="B1968" s="28" t="n"/>
      <c r="C1968" s="28" t="n"/>
      <c r="D1968" s="28" t="n"/>
      <c r="E1968" s="44" t="n"/>
      <c r="F1968" s="44" t="n"/>
      <c r="G1968" s="23" t="n"/>
      <c r="H1968" s="23" t="n"/>
      <c r="I1968" s="23" t="n"/>
      <c r="J1968" s="23" t="n"/>
      <c r="K1968" s="45">
        <f>IF(A1968="","",SUM(G$2:I1968)-SUM(J$2:J1968))</f>
        <v/>
      </c>
      <c r="L1968" s="46" t="n"/>
      <c r="M1968">
        <f>IF(A1968="","",IF(A1968=A1967,M1967,N(M1967)+1))</f>
        <v/>
      </c>
      <c r="N1968">
        <f>IF(E1968="",99999,E1968)</f>
        <v/>
      </c>
      <c r="O1968">
        <f>IF(E1968="",0,IF(F1968="",E1968,F1968))</f>
        <v/>
      </c>
      <c r="P1968">
        <f>IF(E1968="",1,MAX(1,(YEAR(O1968)-YEAR(N1968))*12+MONTH(O1968)-MONTH(N1968)+1))</f>
        <v/>
      </c>
      <c r="Q1968">
        <f>IF(G1968="",0,G1968/P1968)</f>
        <v/>
      </c>
      <c r="R1968">
        <f>IF(H1968="",0,H1968/P1968)</f>
        <v/>
      </c>
    </row>
    <row r="1969">
      <c r="A1969" s="43" t="n"/>
      <c r="B1969" s="28" t="n"/>
      <c r="C1969" s="28" t="n"/>
      <c r="D1969" s="28" t="n"/>
      <c r="E1969" s="44" t="n"/>
      <c r="F1969" s="44" t="n"/>
      <c r="G1969" s="23" t="n"/>
      <c r="H1969" s="23" t="n"/>
      <c r="I1969" s="23" t="n"/>
      <c r="J1969" s="23" t="n"/>
      <c r="K1969" s="45">
        <f>IF(A1969="","",SUM(G$2:I1969)-SUM(J$2:J1969))</f>
        <v/>
      </c>
      <c r="L1969" s="46" t="n"/>
      <c r="M1969">
        <f>IF(A1969="","",IF(A1969=A1968,M1968,N(M1968)+1))</f>
        <v/>
      </c>
      <c r="N1969">
        <f>IF(E1969="",99999,E1969)</f>
        <v/>
      </c>
      <c r="O1969">
        <f>IF(E1969="",0,IF(F1969="",E1969,F1969))</f>
        <v/>
      </c>
      <c r="P1969">
        <f>IF(E1969="",1,MAX(1,(YEAR(O1969)-YEAR(N1969))*12+MONTH(O1969)-MONTH(N1969)+1))</f>
        <v/>
      </c>
      <c r="Q1969">
        <f>IF(G1969="",0,G1969/P1969)</f>
        <v/>
      </c>
      <c r="R1969">
        <f>IF(H1969="",0,H1969/P1969)</f>
        <v/>
      </c>
    </row>
    <row r="1970">
      <c r="A1970" s="43" t="n"/>
      <c r="B1970" s="28" t="n"/>
      <c r="C1970" s="28" t="n"/>
      <c r="D1970" s="28" t="n"/>
      <c r="E1970" s="44" t="n"/>
      <c r="F1970" s="44" t="n"/>
      <c r="G1970" s="23" t="n"/>
      <c r="H1970" s="23" t="n"/>
      <c r="I1970" s="23" t="n"/>
      <c r="J1970" s="23" t="n"/>
      <c r="K1970" s="45">
        <f>IF(A1970="","",SUM(G$2:I1970)-SUM(J$2:J1970))</f>
        <v/>
      </c>
      <c r="L1970" s="46" t="n"/>
      <c r="M1970">
        <f>IF(A1970="","",IF(A1970=A1969,M1969,N(M1969)+1))</f>
        <v/>
      </c>
      <c r="N1970">
        <f>IF(E1970="",99999,E1970)</f>
        <v/>
      </c>
      <c r="O1970">
        <f>IF(E1970="",0,IF(F1970="",E1970,F1970))</f>
        <v/>
      </c>
      <c r="P1970">
        <f>IF(E1970="",1,MAX(1,(YEAR(O1970)-YEAR(N1970))*12+MONTH(O1970)-MONTH(N1970)+1))</f>
        <v/>
      </c>
      <c r="Q1970">
        <f>IF(G1970="",0,G1970/P1970)</f>
        <v/>
      </c>
      <c r="R1970">
        <f>IF(H1970="",0,H1970/P1970)</f>
        <v/>
      </c>
    </row>
    <row r="1971">
      <c r="A1971" s="43" t="n"/>
      <c r="B1971" s="28" t="n"/>
      <c r="C1971" s="28" t="n"/>
      <c r="D1971" s="28" t="n"/>
      <c r="E1971" s="44" t="n"/>
      <c r="F1971" s="44" t="n"/>
      <c r="G1971" s="23" t="n"/>
      <c r="H1971" s="23" t="n"/>
      <c r="I1971" s="23" t="n"/>
      <c r="J1971" s="23" t="n"/>
      <c r="K1971" s="45">
        <f>IF(A1971="","",SUM(G$2:I1971)-SUM(J$2:J1971))</f>
        <v/>
      </c>
      <c r="L1971" s="46" t="n"/>
      <c r="M1971">
        <f>IF(A1971="","",IF(A1971=A1970,M1970,N(M1970)+1))</f>
        <v/>
      </c>
      <c r="N1971">
        <f>IF(E1971="",99999,E1971)</f>
        <v/>
      </c>
      <c r="O1971">
        <f>IF(E1971="",0,IF(F1971="",E1971,F1971))</f>
        <v/>
      </c>
      <c r="P1971">
        <f>IF(E1971="",1,MAX(1,(YEAR(O1971)-YEAR(N1971))*12+MONTH(O1971)-MONTH(N1971)+1))</f>
        <v/>
      </c>
      <c r="Q1971">
        <f>IF(G1971="",0,G1971/P1971)</f>
        <v/>
      </c>
      <c r="R1971">
        <f>IF(H1971="",0,H1971/P1971)</f>
        <v/>
      </c>
    </row>
    <row r="1972">
      <c r="A1972" s="43" t="n"/>
      <c r="B1972" s="28" t="n"/>
      <c r="C1972" s="28" t="n"/>
      <c r="D1972" s="28" t="n"/>
      <c r="E1972" s="44" t="n"/>
      <c r="F1972" s="44" t="n"/>
      <c r="G1972" s="23" t="n"/>
      <c r="H1972" s="23" t="n"/>
      <c r="I1972" s="23" t="n"/>
      <c r="J1972" s="23" t="n"/>
      <c r="K1972" s="45">
        <f>IF(A1972="","",SUM(G$2:I1972)-SUM(J$2:J1972))</f>
        <v/>
      </c>
      <c r="L1972" s="46" t="n"/>
      <c r="M1972">
        <f>IF(A1972="","",IF(A1972=A1971,M1971,N(M1971)+1))</f>
        <v/>
      </c>
      <c r="N1972">
        <f>IF(E1972="",99999,E1972)</f>
        <v/>
      </c>
      <c r="O1972">
        <f>IF(E1972="",0,IF(F1972="",E1972,F1972))</f>
        <v/>
      </c>
      <c r="P1972">
        <f>IF(E1972="",1,MAX(1,(YEAR(O1972)-YEAR(N1972))*12+MONTH(O1972)-MONTH(N1972)+1))</f>
        <v/>
      </c>
      <c r="Q1972">
        <f>IF(G1972="",0,G1972/P1972)</f>
        <v/>
      </c>
      <c r="R1972">
        <f>IF(H1972="",0,H1972/P1972)</f>
        <v/>
      </c>
    </row>
    <row r="1973">
      <c r="A1973" s="43" t="n"/>
      <c r="B1973" s="28" t="n"/>
      <c r="C1973" s="28" t="n"/>
      <c r="D1973" s="28" t="n"/>
      <c r="E1973" s="44" t="n"/>
      <c r="F1973" s="44" t="n"/>
      <c r="G1973" s="23" t="n"/>
      <c r="H1973" s="23" t="n"/>
      <c r="I1973" s="23" t="n"/>
      <c r="J1973" s="23" t="n"/>
      <c r="K1973" s="45">
        <f>IF(A1973="","",SUM(G$2:I1973)-SUM(J$2:J1973))</f>
        <v/>
      </c>
      <c r="L1973" s="46" t="n"/>
      <c r="M1973">
        <f>IF(A1973="","",IF(A1973=A1972,M1972,N(M1972)+1))</f>
        <v/>
      </c>
      <c r="N1973">
        <f>IF(E1973="",99999,E1973)</f>
        <v/>
      </c>
      <c r="O1973">
        <f>IF(E1973="",0,IF(F1973="",E1973,F1973))</f>
        <v/>
      </c>
      <c r="P1973">
        <f>IF(E1973="",1,MAX(1,(YEAR(O1973)-YEAR(N1973))*12+MONTH(O1973)-MONTH(N1973)+1))</f>
        <v/>
      </c>
      <c r="Q1973">
        <f>IF(G1973="",0,G1973/P1973)</f>
        <v/>
      </c>
      <c r="R1973">
        <f>IF(H1973="",0,H1973/P1973)</f>
        <v/>
      </c>
    </row>
    <row r="1974">
      <c r="A1974" s="43" t="n"/>
      <c r="B1974" s="28" t="n"/>
      <c r="C1974" s="28" t="n"/>
      <c r="D1974" s="28" t="n"/>
      <c r="E1974" s="44" t="n"/>
      <c r="F1974" s="44" t="n"/>
      <c r="G1974" s="23" t="n"/>
      <c r="H1974" s="23" t="n"/>
      <c r="I1974" s="23" t="n"/>
      <c r="J1974" s="23" t="n"/>
      <c r="K1974" s="45">
        <f>IF(A1974="","",SUM(G$2:I1974)-SUM(J$2:J1974))</f>
        <v/>
      </c>
      <c r="L1974" s="46" t="n"/>
      <c r="M1974">
        <f>IF(A1974="","",IF(A1974=A1973,M1973,N(M1973)+1))</f>
        <v/>
      </c>
      <c r="N1974">
        <f>IF(E1974="",99999,E1974)</f>
        <v/>
      </c>
      <c r="O1974">
        <f>IF(E1974="",0,IF(F1974="",E1974,F1974))</f>
        <v/>
      </c>
      <c r="P1974">
        <f>IF(E1974="",1,MAX(1,(YEAR(O1974)-YEAR(N1974))*12+MONTH(O1974)-MONTH(N1974)+1))</f>
        <v/>
      </c>
      <c r="Q1974">
        <f>IF(G1974="",0,G1974/P1974)</f>
        <v/>
      </c>
      <c r="R1974">
        <f>IF(H1974="",0,H1974/P1974)</f>
        <v/>
      </c>
    </row>
    <row r="1975">
      <c r="A1975" s="43" t="n"/>
      <c r="B1975" s="28" t="n"/>
      <c r="C1975" s="28" t="n"/>
      <c r="D1975" s="28" t="n"/>
      <c r="E1975" s="44" t="n"/>
      <c r="F1975" s="44" t="n"/>
      <c r="G1975" s="23" t="n"/>
      <c r="H1975" s="23" t="n"/>
      <c r="I1975" s="23" t="n"/>
      <c r="J1975" s="23" t="n"/>
      <c r="K1975" s="45">
        <f>IF(A1975="","",SUM(G$2:I1975)-SUM(J$2:J1975))</f>
        <v/>
      </c>
      <c r="L1975" s="46" t="n"/>
      <c r="M1975">
        <f>IF(A1975="","",IF(A1975=A1974,M1974,N(M1974)+1))</f>
        <v/>
      </c>
      <c r="N1975">
        <f>IF(E1975="",99999,E1975)</f>
        <v/>
      </c>
      <c r="O1975">
        <f>IF(E1975="",0,IF(F1975="",E1975,F1975))</f>
        <v/>
      </c>
      <c r="P1975">
        <f>IF(E1975="",1,MAX(1,(YEAR(O1975)-YEAR(N1975))*12+MONTH(O1975)-MONTH(N1975)+1))</f>
        <v/>
      </c>
      <c r="Q1975">
        <f>IF(G1975="",0,G1975/P1975)</f>
        <v/>
      </c>
      <c r="R1975">
        <f>IF(H1975="",0,H1975/P1975)</f>
        <v/>
      </c>
    </row>
    <row r="1976">
      <c r="A1976" s="43" t="n"/>
      <c r="B1976" s="28" t="n"/>
      <c r="C1976" s="28" t="n"/>
      <c r="D1976" s="28" t="n"/>
      <c r="E1976" s="44" t="n"/>
      <c r="F1976" s="44" t="n"/>
      <c r="G1976" s="23" t="n"/>
      <c r="H1976" s="23" t="n"/>
      <c r="I1976" s="23" t="n"/>
      <c r="J1976" s="23" t="n"/>
      <c r="K1976" s="45">
        <f>IF(A1976="","",SUM(G$2:I1976)-SUM(J$2:J1976))</f>
        <v/>
      </c>
      <c r="L1976" s="46" t="n"/>
      <c r="M1976">
        <f>IF(A1976="","",IF(A1976=A1975,M1975,N(M1975)+1))</f>
        <v/>
      </c>
      <c r="N1976">
        <f>IF(E1976="",99999,E1976)</f>
        <v/>
      </c>
      <c r="O1976">
        <f>IF(E1976="",0,IF(F1976="",E1976,F1976))</f>
        <v/>
      </c>
      <c r="P1976">
        <f>IF(E1976="",1,MAX(1,(YEAR(O1976)-YEAR(N1976))*12+MONTH(O1976)-MONTH(N1976)+1))</f>
        <v/>
      </c>
      <c r="Q1976">
        <f>IF(G1976="",0,G1976/P1976)</f>
        <v/>
      </c>
      <c r="R1976">
        <f>IF(H1976="",0,H1976/P1976)</f>
        <v/>
      </c>
    </row>
    <row r="1977">
      <c r="A1977" s="43" t="n"/>
      <c r="B1977" s="28" t="n"/>
      <c r="C1977" s="28" t="n"/>
      <c r="D1977" s="28" t="n"/>
      <c r="E1977" s="44" t="n"/>
      <c r="F1977" s="44" t="n"/>
      <c r="G1977" s="23" t="n"/>
      <c r="H1977" s="23" t="n"/>
      <c r="I1977" s="23" t="n"/>
      <c r="J1977" s="23" t="n"/>
      <c r="K1977" s="45">
        <f>IF(A1977="","",SUM(G$2:I1977)-SUM(J$2:J1977))</f>
        <v/>
      </c>
      <c r="L1977" s="46" t="n"/>
      <c r="M1977">
        <f>IF(A1977="","",IF(A1977=A1976,M1976,N(M1976)+1))</f>
        <v/>
      </c>
      <c r="N1977">
        <f>IF(E1977="",99999,E1977)</f>
        <v/>
      </c>
      <c r="O1977">
        <f>IF(E1977="",0,IF(F1977="",E1977,F1977))</f>
        <v/>
      </c>
      <c r="P1977">
        <f>IF(E1977="",1,MAX(1,(YEAR(O1977)-YEAR(N1977))*12+MONTH(O1977)-MONTH(N1977)+1))</f>
        <v/>
      </c>
      <c r="Q1977">
        <f>IF(G1977="",0,G1977/P1977)</f>
        <v/>
      </c>
      <c r="R1977">
        <f>IF(H1977="",0,H1977/P1977)</f>
        <v/>
      </c>
    </row>
    <row r="1978">
      <c r="A1978" s="43" t="n"/>
      <c r="B1978" s="28" t="n"/>
      <c r="C1978" s="28" t="n"/>
      <c r="D1978" s="28" t="n"/>
      <c r="E1978" s="44" t="n"/>
      <c r="F1978" s="44" t="n"/>
      <c r="G1978" s="23" t="n"/>
      <c r="H1978" s="23" t="n"/>
      <c r="I1978" s="23" t="n"/>
      <c r="J1978" s="23" t="n"/>
      <c r="K1978" s="45">
        <f>IF(A1978="","",SUM(G$2:I1978)-SUM(J$2:J1978))</f>
        <v/>
      </c>
      <c r="L1978" s="46" t="n"/>
      <c r="M1978">
        <f>IF(A1978="","",IF(A1978=A1977,M1977,N(M1977)+1))</f>
        <v/>
      </c>
      <c r="N1978">
        <f>IF(E1978="",99999,E1978)</f>
        <v/>
      </c>
      <c r="O1978">
        <f>IF(E1978="",0,IF(F1978="",E1978,F1978))</f>
        <v/>
      </c>
      <c r="P1978">
        <f>IF(E1978="",1,MAX(1,(YEAR(O1978)-YEAR(N1978))*12+MONTH(O1978)-MONTH(N1978)+1))</f>
        <v/>
      </c>
      <c r="Q1978">
        <f>IF(G1978="",0,G1978/P1978)</f>
        <v/>
      </c>
      <c r="R1978">
        <f>IF(H1978="",0,H1978/P1978)</f>
        <v/>
      </c>
    </row>
    <row r="1979">
      <c r="A1979" s="43" t="n"/>
      <c r="B1979" s="28" t="n"/>
      <c r="C1979" s="28" t="n"/>
      <c r="D1979" s="28" t="n"/>
      <c r="E1979" s="44" t="n"/>
      <c r="F1979" s="44" t="n"/>
      <c r="G1979" s="23" t="n"/>
      <c r="H1979" s="23" t="n"/>
      <c r="I1979" s="23" t="n"/>
      <c r="J1979" s="23" t="n"/>
      <c r="K1979" s="45">
        <f>IF(A1979="","",SUM(G$2:I1979)-SUM(J$2:J1979))</f>
        <v/>
      </c>
      <c r="L1979" s="46" t="n"/>
      <c r="M1979">
        <f>IF(A1979="","",IF(A1979=A1978,M1978,N(M1978)+1))</f>
        <v/>
      </c>
      <c r="N1979">
        <f>IF(E1979="",99999,E1979)</f>
        <v/>
      </c>
      <c r="O1979">
        <f>IF(E1979="",0,IF(F1979="",E1979,F1979))</f>
        <v/>
      </c>
      <c r="P1979">
        <f>IF(E1979="",1,MAX(1,(YEAR(O1979)-YEAR(N1979))*12+MONTH(O1979)-MONTH(N1979)+1))</f>
        <v/>
      </c>
      <c r="Q1979">
        <f>IF(G1979="",0,G1979/P1979)</f>
        <v/>
      </c>
      <c r="R1979">
        <f>IF(H1979="",0,H1979/P1979)</f>
        <v/>
      </c>
    </row>
    <row r="1980">
      <c r="A1980" s="43" t="n"/>
      <c r="B1980" s="28" t="n"/>
      <c r="C1980" s="28" t="n"/>
      <c r="D1980" s="28" t="n"/>
      <c r="E1980" s="44" t="n"/>
      <c r="F1980" s="44" t="n"/>
      <c r="G1980" s="23" t="n"/>
      <c r="H1980" s="23" t="n"/>
      <c r="I1980" s="23" t="n"/>
      <c r="J1980" s="23" t="n"/>
      <c r="K1980" s="45">
        <f>IF(A1980="","",SUM(G$2:I1980)-SUM(J$2:J1980))</f>
        <v/>
      </c>
      <c r="L1980" s="46" t="n"/>
      <c r="M1980">
        <f>IF(A1980="","",IF(A1980=A1979,M1979,N(M1979)+1))</f>
        <v/>
      </c>
      <c r="N1980">
        <f>IF(E1980="",99999,E1980)</f>
        <v/>
      </c>
      <c r="O1980">
        <f>IF(E1980="",0,IF(F1980="",E1980,F1980))</f>
        <v/>
      </c>
      <c r="P1980">
        <f>IF(E1980="",1,MAX(1,(YEAR(O1980)-YEAR(N1980))*12+MONTH(O1980)-MONTH(N1980)+1))</f>
        <v/>
      </c>
      <c r="Q1980">
        <f>IF(G1980="",0,G1980/P1980)</f>
        <v/>
      </c>
      <c r="R1980">
        <f>IF(H1980="",0,H1980/P1980)</f>
        <v/>
      </c>
    </row>
    <row r="1981">
      <c r="A1981" s="43" t="n"/>
      <c r="B1981" s="28" t="n"/>
      <c r="C1981" s="28" t="n"/>
      <c r="D1981" s="28" t="n"/>
      <c r="E1981" s="44" t="n"/>
      <c r="F1981" s="44" t="n"/>
      <c r="G1981" s="23" t="n"/>
      <c r="H1981" s="23" t="n"/>
      <c r="I1981" s="23" t="n"/>
      <c r="J1981" s="23" t="n"/>
      <c r="K1981" s="45">
        <f>IF(A1981="","",SUM(G$2:I1981)-SUM(J$2:J1981))</f>
        <v/>
      </c>
      <c r="L1981" s="46" t="n"/>
      <c r="M1981">
        <f>IF(A1981="","",IF(A1981=A1980,M1980,N(M1980)+1))</f>
        <v/>
      </c>
      <c r="N1981">
        <f>IF(E1981="",99999,E1981)</f>
        <v/>
      </c>
      <c r="O1981">
        <f>IF(E1981="",0,IF(F1981="",E1981,F1981))</f>
        <v/>
      </c>
      <c r="P1981">
        <f>IF(E1981="",1,MAX(1,(YEAR(O1981)-YEAR(N1981))*12+MONTH(O1981)-MONTH(N1981)+1))</f>
        <v/>
      </c>
      <c r="Q1981">
        <f>IF(G1981="",0,G1981/P1981)</f>
        <v/>
      </c>
      <c r="R1981">
        <f>IF(H1981="",0,H1981/P1981)</f>
        <v/>
      </c>
    </row>
    <row r="1982">
      <c r="A1982" s="43" t="n"/>
      <c r="B1982" s="28" t="n"/>
      <c r="C1982" s="28" t="n"/>
      <c r="D1982" s="28" t="n"/>
      <c r="E1982" s="44" t="n"/>
      <c r="F1982" s="44" t="n"/>
      <c r="G1982" s="23" t="n"/>
      <c r="H1982" s="23" t="n"/>
      <c r="I1982" s="23" t="n"/>
      <c r="J1982" s="23" t="n"/>
      <c r="K1982" s="45">
        <f>IF(A1982="","",SUM(G$2:I1982)-SUM(J$2:J1982))</f>
        <v/>
      </c>
      <c r="L1982" s="46" t="n"/>
      <c r="M1982">
        <f>IF(A1982="","",IF(A1982=A1981,M1981,N(M1981)+1))</f>
        <v/>
      </c>
      <c r="N1982">
        <f>IF(E1982="",99999,E1982)</f>
        <v/>
      </c>
      <c r="O1982">
        <f>IF(E1982="",0,IF(F1982="",E1982,F1982))</f>
        <v/>
      </c>
      <c r="P1982">
        <f>IF(E1982="",1,MAX(1,(YEAR(O1982)-YEAR(N1982))*12+MONTH(O1982)-MONTH(N1982)+1))</f>
        <v/>
      </c>
      <c r="Q1982">
        <f>IF(G1982="",0,G1982/P1982)</f>
        <v/>
      </c>
      <c r="R1982">
        <f>IF(H1982="",0,H1982/P1982)</f>
        <v/>
      </c>
    </row>
    <row r="1983">
      <c r="A1983" s="43" t="n"/>
      <c r="B1983" s="28" t="n"/>
      <c r="C1983" s="28" t="n"/>
      <c r="D1983" s="28" t="n"/>
      <c r="E1983" s="44" t="n"/>
      <c r="F1983" s="44" t="n"/>
      <c r="G1983" s="23" t="n"/>
      <c r="H1983" s="23" t="n"/>
      <c r="I1983" s="23" t="n"/>
      <c r="J1983" s="23" t="n"/>
      <c r="K1983" s="45">
        <f>IF(A1983="","",SUM(G$2:I1983)-SUM(J$2:J1983))</f>
        <v/>
      </c>
      <c r="L1983" s="46" t="n"/>
      <c r="M1983">
        <f>IF(A1983="","",IF(A1983=A1982,M1982,N(M1982)+1))</f>
        <v/>
      </c>
      <c r="N1983">
        <f>IF(E1983="",99999,E1983)</f>
        <v/>
      </c>
      <c r="O1983">
        <f>IF(E1983="",0,IF(F1983="",E1983,F1983))</f>
        <v/>
      </c>
      <c r="P1983">
        <f>IF(E1983="",1,MAX(1,(YEAR(O1983)-YEAR(N1983))*12+MONTH(O1983)-MONTH(N1983)+1))</f>
        <v/>
      </c>
      <c r="Q1983">
        <f>IF(G1983="",0,G1983/P1983)</f>
        <v/>
      </c>
      <c r="R1983">
        <f>IF(H1983="",0,H1983/P1983)</f>
        <v/>
      </c>
    </row>
    <row r="1984">
      <c r="A1984" s="43" t="n"/>
      <c r="B1984" s="28" t="n"/>
      <c r="C1984" s="28" t="n"/>
      <c r="D1984" s="28" t="n"/>
      <c r="E1984" s="44" t="n"/>
      <c r="F1984" s="44" t="n"/>
      <c r="G1984" s="23" t="n"/>
      <c r="H1984" s="23" t="n"/>
      <c r="I1984" s="23" t="n"/>
      <c r="J1984" s="23" t="n"/>
      <c r="K1984" s="45">
        <f>IF(A1984="","",SUM(G$2:I1984)-SUM(J$2:J1984))</f>
        <v/>
      </c>
      <c r="L1984" s="46" t="n"/>
      <c r="M1984">
        <f>IF(A1984="","",IF(A1984=A1983,M1983,N(M1983)+1))</f>
        <v/>
      </c>
      <c r="N1984">
        <f>IF(E1984="",99999,E1984)</f>
        <v/>
      </c>
      <c r="O1984">
        <f>IF(E1984="",0,IF(F1984="",E1984,F1984))</f>
        <v/>
      </c>
      <c r="P1984">
        <f>IF(E1984="",1,MAX(1,(YEAR(O1984)-YEAR(N1984))*12+MONTH(O1984)-MONTH(N1984)+1))</f>
        <v/>
      </c>
      <c r="Q1984">
        <f>IF(G1984="",0,G1984/P1984)</f>
        <v/>
      </c>
      <c r="R1984">
        <f>IF(H1984="",0,H1984/P1984)</f>
        <v/>
      </c>
    </row>
    <row r="1985">
      <c r="A1985" s="43" t="n"/>
      <c r="B1985" s="28" t="n"/>
      <c r="C1985" s="28" t="n"/>
      <c r="D1985" s="28" t="n"/>
      <c r="E1985" s="44" t="n"/>
      <c r="F1985" s="44" t="n"/>
      <c r="G1985" s="23" t="n"/>
      <c r="H1985" s="23" t="n"/>
      <c r="I1985" s="23" t="n"/>
      <c r="J1985" s="23" t="n"/>
      <c r="K1985" s="45">
        <f>IF(A1985="","",SUM(G$2:I1985)-SUM(J$2:J1985))</f>
        <v/>
      </c>
      <c r="L1985" s="46" t="n"/>
      <c r="M1985">
        <f>IF(A1985="","",IF(A1985=A1984,M1984,N(M1984)+1))</f>
        <v/>
      </c>
      <c r="N1985">
        <f>IF(E1985="",99999,E1985)</f>
        <v/>
      </c>
      <c r="O1985">
        <f>IF(E1985="",0,IF(F1985="",E1985,F1985))</f>
        <v/>
      </c>
      <c r="P1985">
        <f>IF(E1985="",1,MAX(1,(YEAR(O1985)-YEAR(N1985))*12+MONTH(O1985)-MONTH(N1985)+1))</f>
        <v/>
      </c>
      <c r="Q1985">
        <f>IF(G1985="",0,G1985/P1985)</f>
        <v/>
      </c>
      <c r="R1985">
        <f>IF(H1985="",0,H1985/P1985)</f>
        <v/>
      </c>
    </row>
    <row r="1986">
      <c r="A1986" s="43" t="n"/>
      <c r="B1986" s="28" t="n"/>
      <c r="C1986" s="28" t="n"/>
      <c r="D1986" s="28" t="n"/>
      <c r="E1986" s="44" t="n"/>
      <c r="F1986" s="44" t="n"/>
      <c r="G1986" s="23" t="n"/>
      <c r="H1986" s="23" t="n"/>
      <c r="I1986" s="23" t="n"/>
      <c r="J1986" s="23" t="n"/>
      <c r="K1986" s="45">
        <f>IF(A1986="","",SUM(G$2:I1986)-SUM(J$2:J1986))</f>
        <v/>
      </c>
      <c r="L1986" s="46" t="n"/>
      <c r="M1986">
        <f>IF(A1986="","",IF(A1986=A1985,M1985,N(M1985)+1))</f>
        <v/>
      </c>
      <c r="N1986">
        <f>IF(E1986="",99999,E1986)</f>
        <v/>
      </c>
      <c r="O1986">
        <f>IF(E1986="",0,IF(F1986="",E1986,F1986))</f>
        <v/>
      </c>
      <c r="P1986">
        <f>IF(E1986="",1,MAX(1,(YEAR(O1986)-YEAR(N1986))*12+MONTH(O1986)-MONTH(N1986)+1))</f>
        <v/>
      </c>
      <c r="Q1986">
        <f>IF(G1986="",0,G1986/P1986)</f>
        <v/>
      </c>
      <c r="R1986">
        <f>IF(H1986="",0,H1986/P1986)</f>
        <v/>
      </c>
    </row>
    <row r="1987">
      <c r="A1987" s="43" t="n"/>
      <c r="B1987" s="28" t="n"/>
      <c r="C1987" s="28" t="n"/>
      <c r="D1987" s="28" t="n"/>
      <c r="E1987" s="44" t="n"/>
      <c r="F1987" s="44" t="n"/>
      <c r="G1987" s="23" t="n"/>
      <c r="H1987" s="23" t="n"/>
      <c r="I1987" s="23" t="n"/>
      <c r="J1987" s="23" t="n"/>
      <c r="K1987" s="45">
        <f>IF(A1987="","",SUM(G$2:I1987)-SUM(J$2:J1987))</f>
        <v/>
      </c>
      <c r="L1987" s="46" t="n"/>
      <c r="M1987">
        <f>IF(A1987="","",IF(A1987=A1986,M1986,N(M1986)+1))</f>
        <v/>
      </c>
      <c r="N1987">
        <f>IF(E1987="",99999,E1987)</f>
        <v/>
      </c>
      <c r="O1987">
        <f>IF(E1987="",0,IF(F1987="",E1987,F1987))</f>
        <v/>
      </c>
      <c r="P1987">
        <f>IF(E1987="",1,MAX(1,(YEAR(O1987)-YEAR(N1987))*12+MONTH(O1987)-MONTH(N1987)+1))</f>
        <v/>
      </c>
      <c r="Q1987">
        <f>IF(G1987="",0,G1987/P1987)</f>
        <v/>
      </c>
      <c r="R1987">
        <f>IF(H1987="",0,H1987/P1987)</f>
        <v/>
      </c>
    </row>
    <row r="1988">
      <c r="A1988" s="43" t="n"/>
      <c r="B1988" s="28" t="n"/>
      <c r="C1988" s="28" t="n"/>
      <c r="D1988" s="28" t="n"/>
      <c r="E1988" s="44" t="n"/>
      <c r="F1988" s="44" t="n"/>
      <c r="G1988" s="23" t="n"/>
      <c r="H1988" s="23" t="n"/>
      <c r="I1988" s="23" t="n"/>
      <c r="J1988" s="23" t="n"/>
      <c r="K1988" s="45">
        <f>IF(A1988="","",SUM(G$2:I1988)-SUM(J$2:J1988))</f>
        <v/>
      </c>
      <c r="L1988" s="46" t="n"/>
      <c r="M1988">
        <f>IF(A1988="","",IF(A1988=A1987,M1987,N(M1987)+1))</f>
        <v/>
      </c>
      <c r="N1988">
        <f>IF(E1988="",99999,E1988)</f>
        <v/>
      </c>
      <c r="O1988">
        <f>IF(E1988="",0,IF(F1988="",E1988,F1988))</f>
        <v/>
      </c>
      <c r="P1988">
        <f>IF(E1988="",1,MAX(1,(YEAR(O1988)-YEAR(N1988))*12+MONTH(O1988)-MONTH(N1988)+1))</f>
        <v/>
      </c>
      <c r="Q1988">
        <f>IF(G1988="",0,G1988/P1988)</f>
        <v/>
      </c>
      <c r="R1988">
        <f>IF(H1988="",0,H1988/P1988)</f>
        <v/>
      </c>
    </row>
    <row r="1989">
      <c r="A1989" s="43" t="n"/>
      <c r="B1989" s="28" t="n"/>
      <c r="C1989" s="28" t="n"/>
      <c r="D1989" s="28" t="n"/>
      <c r="E1989" s="44" t="n"/>
      <c r="F1989" s="44" t="n"/>
      <c r="G1989" s="23" t="n"/>
      <c r="H1989" s="23" t="n"/>
      <c r="I1989" s="23" t="n"/>
      <c r="J1989" s="23" t="n"/>
      <c r="K1989" s="45">
        <f>IF(A1989="","",SUM(G$2:I1989)-SUM(J$2:J1989))</f>
        <v/>
      </c>
      <c r="L1989" s="46" t="n"/>
      <c r="M1989">
        <f>IF(A1989="","",IF(A1989=A1988,M1988,N(M1988)+1))</f>
        <v/>
      </c>
      <c r="N1989">
        <f>IF(E1989="",99999,E1989)</f>
        <v/>
      </c>
      <c r="O1989">
        <f>IF(E1989="",0,IF(F1989="",E1989,F1989))</f>
        <v/>
      </c>
      <c r="P1989">
        <f>IF(E1989="",1,MAX(1,(YEAR(O1989)-YEAR(N1989))*12+MONTH(O1989)-MONTH(N1989)+1))</f>
        <v/>
      </c>
      <c r="Q1989">
        <f>IF(G1989="",0,G1989/P1989)</f>
        <v/>
      </c>
      <c r="R1989">
        <f>IF(H1989="",0,H1989/P1989)</f>
        <v/>
      </c>
    </row>
    <row r="1990">
      <c r="A1990" s="43" t="n"/>
      <c r="B1990" s="28" t="n"/>
      <c r="C1990" s="28" t="n"/>
      <c r="D1990" s="28" t="n"/>
      <c r="E1990" s="44" t="n"/>
      <c r="F1990" s="44" t="n"/>
      <c r="G1990" s="23" t="n"/>
      <c r="H1990" s="23" t="n"/>
      <c r="I1990" s="23" t="n"/>
      <c r="J1990" s="23" t="n"/>
      <c r="K1990" s="45">
        <f>IF(A1990="","",SUM(G$2:I1990)-SUM(J$2:J1990))</f>
        <v/>
      </c>
      <c r="L1990" s="46" t="n"/>
      <c r="M1990">
        <f>IF(A1990="","",IF(A1990=A1989,M1989,N(M1989)+1))</f>
        <v/>
      </c>
      <c r="N1990">
        <f>IF(E1990="",99999,E1990)</f>
        <v/>
      </c>
      <c r="O1990">
        <f>IF(E1990="",0,IF(F1990="",E1990,F1990))</f>
        <v/>
      </c>
      <c r="P1990">
        <f>IF(E1990="",1,MAX(1,(YEAR(O1990)-YEAR(N1990))*12+MONTH(O1990)-MONTH(N1990)+1))</f>
        <v/>
      </c>
      <c r="Q1990">
        <f>IF(G1990="",0,G1990/P1990)</f>
        <v/>
      </c>
      <c r="R1990">
        <f>IF(H1990="",0,H1990/P1990)</f>
        <v/>
      </c>
    </row>
    <row r="1991">
      <c r="A1991" s="43" t="n"/>
      <c r="B1991" s="28" t="n"/>
      <c r="C1991" s="28" t="n"/>
      <c r="D1991" s="28" t="n"/>
      <c r="E1991" s="44" t="n"/>
      <c r="F1991" s="44" t="n"/>
      <c r="G1991" s="23" t="n"/>
      <c r="H1991" s="23" t="n"/>
      <c r="I1991" s="23" t="n"/>
      <c r="J1991" s="23" t="n"/>
      <c r="K1991" s="45">
        <f>IF(A1991="","",SUM(G$2:I1991)-SUM(J$2:J1991))</f>
        <v/>
      </c>
      <c r="L1991" s="46" t="n"/>
      <c r="M1991">
        <f>IF(A1991="","",IF(A1991=A1990,M1990,N(M1990)+1))</f>
        <v/>
      </c>
      <c r="N1991">
        <f>IF(E1991="",99999,E1991)</f>
        <v/>
      </c>
      <c r="O1991">
        <f>IF(E1991="",0,IF(F1991="",E1991,F1991))</f>
        <v/>
      </c>
      <c r="P1991">
        <f>IF(E1991="",1,MAX(1,(YEAR(O1991)-YEAR(N1991))*12+MONTH(O1991)-MONTH(N1991)+1))</f>
        <v/>
      </c>
      <c r="Q1991">
        <f>IF(G1991="",0,G1991/P1991)</f>
        <v/>
      </c>
      <c r="R1991">
        <f>IF(H1991="",0,H1991/P1991)</f>
        <v/>
      </c>
    </row>
    <row r="1992">
      <c r="A1992" s="43" t="n"/>
      <c r="B1992" s="28" t="n"/>
      <c r="C1992" s="28" t="n"/>
      <c r="D1992" s="28" t="n"/>
      <c r="E1992" s="44" t="n"/>
      <c r="F1992" s="44" t="n"/>
      <c r="G1992" s="23" t="n"/>
      <c r="H1992" s="23" t="n"/>
      <c r="I1992" s="23" t="n"/>
      <c r="J1992" s="23" t="n"/>
      <c r="K1992" s="45">
        <f>IF(A1992="","",SUM(G$2:I1992)-SUM(J$2:J1992))</f>
        <v/>
      </c>
      <c r="L1992" s="46" t="n"/>
      <c r="M1992">
        <f>IF(A1992="","",IF(A1992=A1991,M1991,N(M1991)+1))</f>
        <v/>
      </c>
      <c r="N1992">
        <f>IF(E1992="",99999,E1992)</f>
        <v/>
      </c>
      <c r="O1992">
        <f>IF(E1992="",0,IF(F1992="",E1992,F1992))</f>
        <v/>
      </c>
      <c r="P1992">
        <f>IF(E1992="",1,MAX(1,(YEAR(O1992)-YEAR(N1992))*12+MONTH(O1992)-MONTH(N1992)+1))</f>
        <v/>
      </c>
      <c r="Q1992">
        <f>IF(G1992="",0,G1992/P1992)</f>
        <v/>
      </c>
      <c r="R1992">
        <f>IF(H1992="",0,H1992/P1992)</f>
        <v/>
      </c>
    </row>
    <row r="1993">
      <c r="A1993" s="43" t="n"/>
      <c r="B1993" s="28" t="n"/>
      <c r="C1993" s="28" t="n"/>
      <c r="D1993" s="28" t="n"/>
      <c r="E1993" s="44" t="n"/>
      <c r="F1993" s="44" t="n"/>
      <c r="G1993" s="23" t="n"/>
      <c r="H1993" s="23" t="n"/>
      <c r="I1993" s="23" t="n"/>
      <c r="J1993" s="23" t="n"/>
      <c r="K1993" s="45">
        <f>IF(A1993="","",SUM(G$2:I1993)-SUM(J$2:J1993))</f>
        <v/>
      </c>
      <c r="L1993" s="46" t="n"/>
      <c r="M1993">
        <f>IF(A1993="","",IF(A1993=A1992,M1992,N(M1992)+1))</f>
        <v/>
      </c>
      <c r="N1993">
        <f>IF(E1993="",99999,E1993)</f>
        <v/>
      </c>
      <c r="O1993">
        <f>IF(E1993="",0,IF(F1993="",E1993,F1993))</f>
        <v/>
      </c>
      <c r="P1993">
        <f>IF(E1993="",1,MAX(1,(YEAR(O1993)-YEAR(N1993))*12+MONTH(O1993)-MONTH(N1993)+1))</f>
        <v/>
      </c>
      <c r="Q1993">
        <f>IF(G1993="",0,G1993/P1993)</f>
        <v/>
      </c>
      <c r="R1993">
        <f>IF(H1993="",0,H1993/P1993)</f>
        <v/>
      </c>
    </row>
    <row r="1994">
      <c r="A1994" s="43" t="n"/>
      <c r="B1994" s="28" t="n"/>
      <c r="C1994" s="28" t="n"/>
      <c r="D1994" s="28" t="n"/>
      <c r="E1994" s="44" t="n"/>
      <c r="F1994" s="44" t="n"/>
      <c r="G1994" s="23" t="n"/>
      <c r="H1994" s="23" t="n"/>
      <c r="I1994" s="23" t="n"/>
      <c r="J1994" s="23" t="n"/>
      <c r="K1994" s="45">
        <f>IF(A1994="","",SUM(G$2:I1994)-SUM(J$2:J1994))</f>
        <v/>
      </c>
      <c r="L1994" s="46" t="n"/>
      <c r="M1994">
        <f>IF(A1994="","",IF(A1994=A1993,M1993,N(M1993)+1))</f>
        <v/>
      </c>
      <c r="N1994">
        <f>IF(E1994="",99999,E1994)</f>
        <v/>
      </c>
      <c r="O1994">
        <f>IF(E1994="",0,IF(F1994="",E1994,F1994))</f>
        <v/>
      </c>
      <c r="P1994">
        <f>IF(E1994="",1,MAX(1,(YEAR(O1994)-YEAR(N1994))*12+MONTH(O1994)-MONTH(N1994)+1))</f>
        <v/>
      </c>
      <c r="Q1994">
        <f>IF(G1994="",0,G1994/P1994)</f>
        <v/>
      </c>
      <c r="R1994">
        <f>IF(H1994="",0,H1994/P1994)</f>
        <v/>
      </c>
    </row>
    <row r="1995">
      <c r="A1995" s="43" t="n"/>
      <c r="B1995" s="28" t="n"/>
      <c r="C1995" s="28" t="n"/>
      <c r="D1995" s="28" t="n"/>
      <c r="E1995" s="44" t="n"/>
      <c r="F1995" s="44" t="n"/>
      <c r="G1995" s="23" t="n"/>
      <c r="H1995" s="23" t="n"/>
      <c r="I1995" s="23" t="n"/>
      <c r="J1995" s="23" t="n"/>
      <c r="K1995" s="45">
        <f>IF(A1995="","",SUM(G$2:I1995)-SUM(J$2:J1995))</f>
        <v/>
      </c>
      <c r="L1995" s="46" t="n"/>
      <c r="M1995">
        <f>IF(A1995="","",IF(A1995=A1994,M1994,N(M1994)+1))</f>
        <v/>
      </c>
      <c r="N1995">
        <f>IF(E1995="",99999,E1995)</f>
        <v/>
      </c>
      <c r="O1995">
        <f>IF(E1995="",0,IF(F1995="",E1995,F1995))</f>
        <v/>
      </c>
      <c r="P1995">
        <f>IF(E1995="",1,MAX(1,(YEAR(O1995)-YEAR(N1995))*12+MONTH(O1995)-MONTH(N1995)+1))</f>
        <v/>
      </c>
      <c r="Q1995">
        <f>IF(G1995="",0,G1995/P1995)</f>
        <v/>
      </c>
      <c r="R1995">
        <f>IF(H1995="",0,H1995/P1995)</f>
        <v/>
      </c>
    </row>
    <row r="1996">
      <c r="A1996" s="43" t="n"/>
      <c r="B1996" s="28" t="n"/>
      <c r="C1996" s="28" t="n"/>
      <c r="D1996" s="28" t="n"/>
      <c r="E1996" s="44" t="n"/>
      <c r="F1996" s="44" t="n"/>
      <c r="G1996" s="23" t="n"/>
      <c r="H1996" s="23" t="n"/>
      <c r="I1996" s="23" t="n"/>
      <c r="J1996" s="23" t="n"/>
      <c r="K1996" s="45">
        <f>IF(A1996="","",SUM(G$2:I1996)-SUM(J$2:J1996))</f>
        <v/>
      </c>
      <c r="L1996" s="46" t="n"/>
      <c r="M1996">
        <f>IF(A1996="","",IF(A1996=A1995,M1995,N(M1995)+1))</f>
        <v/>
      </c>
      <c r="N1996">
        <f>IF(E1996="",99999,E1996)</f>
        <v/>
      </c>
      <c r="O1996">
        <f>IF(E1996="",0,IF(F1996="",E1996,F1996))</f>
        <v/>
      </c>
      <c r="P1996">
        <f>IF(E1996="",1,MAX(1,(YEAR(O1996)-YEAR(N1996))*12+MONTH(O1996)-MONTH(N1996)+1))</f>
        <v/>
      </c>
      <c r="Q1996">
        <f>IF(G1996="",0,G1996/P1996)</f>
        <v/>
      </c>
      <c r="R1996">
        <f>IF(H1996="",0,H1996/P1996)</f>
        <v/>
      </c>
    </row>
    <row r="1997">
      <c r="A1997" s="43" t="n"/>
      <c r="B1997" s="28" t="n"/>
      <c r="C1997" s="28" t="n"/>
      <c r="D1997" s="28" t="n"/>
      <c r="E1997" s="44" t="n"/>
      <c r="F1997" s="44" t="n"/>
      <c r="G1997" s="23" t="n"/>
      <c r="H1997" s="23" t="n"/>
      <c r="I1997" s="23" t="n"/>
      <c r="J1997" s="23" t="n"/>
      <c r="K1997" s="45">
        <f>IF(A1997="","",SUM(G$2:I1997)-SUM(J$2:J1997))</f>
        <v/>
      </c>
      <c r="L1997" s="46" t="n"/>
      <c r="M1997">
        <f>IF(A1997="","",IF(A1997=A1996,M1996,N(M1996)+1))</f>
        <v/>
      </c>
      <c r="N1997">
        <f>IF(E1997="",99999,E1997)</f>
        <v/>
      </c>
      <c r="O1997">
        <f>IF(E1997="",0,IF(F1997="",E1997,F1997))</f>
        <v/>
      </c>
      <c r="P1997">
        <f>IF(E1997="",1,MAX(1,(YEAR(O1997)-YEAR(N1997))*12+MONTH(O1997)-MONTH(N1997)+1))</f>
        <v/>
      </c>
      <c r="Q1997">
        <f>IF(G1997="",0,G1997/P1997)</f>
        <v/>
      </c>
      <c r="R1997">
        <f>IF(H1997="",0,H1997/P1997)</f>
        <v/>
      </c>
    </row>
    <row r="1998">
      <c r="A1998" s="43" t="n"/>
      <c r="B1998" s="28" t="n"/>
      <c r="C1998" s="28" t="n"/>
      <c r="D1998" s="28" t="n"/>
      <c r="E1998" s="44" t="n"/>
      <c r="F1998" s="44" t="n"/>
      <c r="G1998" s="23" t="n"/>
      <c r="H1998" s="23" t="n"/>
      <c r="I1998" s="23" t="n"/>
      <c r="J1998" s="23" t="n"/>
      <c r="K1998" s="45">
        <f>IF(A1998="","",SUM(G$2:I1998)-SUM(J$2:J1998))</f>
        <v/>
      </c>
      <c r="L1998" s="46" t="n"/>
      <c r="M1998">
        <f>IF(A1998="","",IF(A1998=A1997,M1997,N(M1997)+1))</f>
        <v/>
      </c>
      <c r="N1998">
        <f>IF(E1998="",99999,E1998)</f>
        <v/>
      </c>
      <c r="O1998">
        <f>IF(E1998="",0,IF(F1998="",E1998,F1998))</f>
        <v/>
      </c>
      <c r="P1998">
        <f>IF(E1998="",1,MAX(1,(YEAR(O1998)-YEAR(N1998))*12+MONTH(O1998)-MONTH(N1998)+1))</f>
        <v/>
      </c>
      <c r="Q1998">
        <f>IF(G1998="",0,G1998/P1998)</f>
        <v/>
      </c>
      <c r="R1998">
        <f>IF(H1998="",0,H1998/P1998)</f>
        <v/>
      </c>
    </row>
    <row r="1999">
      <c r="A1999" s="43" t="n"/>
      <c r="B1999" s="28" t="n"/>
      <c r="C1999" s="28" t="n"/>
      <c r="D1999" s="28" t="n"/>
      <c r="E1999" s="44" t="n"/>
      <c r="F1999" s="44" t="n"/>
      <c r="G1999" s="23" t="n"/>
      <c r="H1999" s="23" t="n"/>
      <c r="I1999" s="23" t="n"/>
      <c r="J1999" s="23" t="n"/>
      <c r="K1999" s="45">
        <f>IF(A1999="","",SUM(G$2:I1999)-SUM(J$2:J1999))</f>
        <v/>
      </c>
      <c r="L1999" s="46" t="n"/>
      <c r="M1999">
        <f>IF(A1999="","",IF(A1999=A1998,M1998,N(M1998)+1))</f>
        <v/>
      </c>
      <c r="N1999">
        <f>IF(E1999="",99999,E1999)</f>
        <v/>
      </c>
      <c r="O1999">
        <f>IF(E1999="",0,IF(F1999="",E1999,F1999))</f>
        <v/>
      </c>
      <c r="P1999">
        <f>IF(E1999="",1,MAX(1,(YEAR(O1999)-YEAR(N1999))*12+MONTH(O1999)-MONTH(N1999)+1))</f>
        <v/>
      </c>
      <c r="Q1999">
        <f>IF(G1999="",0,G1999/P1999)</f>
        <v/>
      </c>
      <c r="R1999">
        <f>IF(H1999="",0,H1999/P1999)</f>
        <v/>
      </c>
    </row>
    <row r="2000">
      <c r="A2000" s="43" t="n"/>
      <c r="B2000" s="28" t="n"/>
      <c r="C2000" s="28" t="n"/>
      <c r="D2000" s="28" t="n"/>
      <c r="E2000" s="44" t="n"/>
      <c r="F2000" s="44" t="n"/>
      <c r="G2000" s="23" t="n"/>
      <c r="H2000" s="23" t="n"/>
      <c r="I2000" s="23" t="n"/>
      <c r="J2000" s="23" t="n"/>
      <c r="K2000" s="45">
        <f>IF(A2000="","",SUM(G$2:I2000)-SUM(J$2:J2000))</f>
        <v/>
      </c>
      <c r="L2000" s="46" t="n"/>
      <c r="M2000">
        <f>IF(A2000="","",IF(A2000=A1999,M1999,N(M1999)+1))</f>
        <v/>
      </c>
      <c r="N2000">
        <f>IF(E2000="",99999,E2000)</f>
        <v/>
      </c>
      <c r="O2000">
        <f>IF(E2000="",0,IF(F2000="",E2000,F2000))</f>
        <v/>
      </c>
      <c r="P2000">
        <f>IF(E2000="",1,MAX(1,(YEAR(O2000)-YEAR(N2000))*12+MONTH(O2000)-MONTH(N2000)+1))</f>
        <v/>
      </c>
      <c r="Q2000">
        <f>IF(G2000="",0,G2000/P2000)</f>
        <v/>
      </c>
      <c r="R2000">
        <f>IF(H2000="",0,H2000/P2000)</f>
        <v/>
      </c>
    </row>
    <row r="2001">
      <c r="A2001" s="43" t="n"/>
      <c r="B2001" s="28" t="n"/>
      <c r="C2001" s="28" t="n"/>
      <c r="D2001" s="28" t="n"/>
      <c r="E2001" s="44" t="n"/>
      <c r="F2001" s="44" t="n"/>
      <c r="G2001" s="23" t="n"/>
      <c r="H2001" s="23" t="n"/>
      <c r="I2001" s="23" t="n"/>
      <c r="J2001" s="23" t="n"/>
      <c r="K2001" s="45">
        <f>IF(A2001="","",SUM(G$2:I2001)-SUM(J$2:J2001))</f>
        <v/>
      </c>
      <c r="L2001" s="46" t="n"/>
      <c r="M2001">
        <f>IF(A2001="","",IF(A2001=A2000,M2000,N(M2000)+1))</f>
        <v/>
      </c>
      <c r="N2001">
        <f>IF(E2001="",99999,E2001)</f>
        <v/>
      </c>
      <c r="O2001">
        <f>IF(E2001="",0,IF(F2001="",E2001,F2001))</f>
        <v/>
      </c>
      <c r="P2001">
        <f>IF(E2001="",1,MAX(1,(YEAR(O2001)-YEAR(N2001))*12+MONTH(O2001)-MONTH(N2001)+1))</f>
        <v/>
      </c>
      <c r="Q2001">
        <f>IF(G2001="",0,G2001/P2001)</f>
        <v/>
      </c>
      <c r="R2001">
        <f>IF(H2001="",0,H2001/P2001)</f>
        <v/>
      </c>
    </row>
  </sheetData>
  <autoFilter ref="A1:L2001"/>
  <conditionalFormatting sqref="A2:L2001">
    <cfRule type="expression" priority="1" dxfId="12">
      <formula>AND($M2&lt;&gt;"",ISEVEN($M2))</formula>
    </cfRule>
  </conditionalFormatting>
  <conditionalFormatting sqref="A2:A2001">
    <cfRule type="expression" priority="2" dxfId="11">
      <formula>AND($A2&lt;&gt;"",$A2=$A1)</formula>
    </cfRule>
    <cfRule type="expression" priority="3" dxfId="13">
      <formula>AND($A2&lt;&gt;"",$A2&lt;&gt;$A1)</formula>
    </cfRule>
  </conditionalFormatting>
  <conditionalFormatting sqref="G2:I2001">
    <cfRule type="cellIs" priority="4" operator="greaterThan" dxfId="3">
      <formula>0</formula>
    </cfRule>
  </conditionalFormatting>
  <conditionalFormatting sqref="J2:J2001">
    <cfRule type="cellIs" priority="5" operator="greaterThan" dxfId="4">
      <formula>0</formula>
    </cfRule>
  </conditionalFormatting>
  <conditionalFormatting sqref="E2:F2001">
    <cfRule type="expression" priority="6" dxfId="14">
      <formula>AND($D2="Yuran",$E2="")</formula>
    </cfRule>
  </conditionalFormatting>
  <conditionalFormatting sqref="L2:L2001">
    <cfRule type="expression" priority="7" dxfId="15">
      <formula>$L2&lt;&gt;""</formula>
    </cfRule>
  </conditionalFormatting>
  <dataValidations count="2">
    <dataValidation sqref="D2:D2001" showDropDown="0" showInputMessage="0" showErrorMessage="0" allowBlank="1" type="list">
      <formula1>=Tetapan!$H$5:$H$15</formula1>
    </dataValidation>
    <dataValidation sqref="C2:C2001" showDropDown="0" showInputMessage="0" showErrorMessage="0" allowBlank="1" type="list">
      <formula1>=Tetapan!$A$5:$A$24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4748B"/>
    <outlinePr summaryBelow="1" summaryRight="1"/>
    <pageSetUpPr/>
  </sheetPr>
  <dimension ref="A1:I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4" customWidth="1" min="4" max="4"/>
    <col width="16" customWidth="1" min="5" max="5"/>
    <col width="52" customWidth="1" min="6" max="6"/>
    <col width="3" customWidth="1" min="7" max="7"/>
    <col width="20" customWidth="1" min="8" max="8"/>
    <col width="8" customWidth="1" min="9" max="9"/>
  </cols>
  <sheetData>
    <row r="1" ht="30" customHeight="1">
      <c r="A1" s="1" t="inlineStr">
        <is>
          <t>Tetapan</t>
        </is>
      </c>
    </row>
    <row r="2">
      <c r="A2" s="2" t="inlineStr">
        <is>
          <t>Senarai ahli, kadar dan kategori. Tab lain membaca helaian ini. Sel kuning boleh diubah.</t>
        </is>
      </c>
    </row>
    <row r="4" ht="22" customHeight="1">
      <c r="A4" s="18" t="inlineStr">
        <is>
          <t>Ahli</t>
        </is>
      </c>
      <c r="B4" s="19" t="inlineStr">
        <is>
          <t>Mula</t>
        </is>
      </c>
      <c r="C4" s="19" t="inlineStr">
        <is>
          <t>Tamat</t>
        </is>
      </c>
      <c r="D4" s="19" t="inlineStr">
        <is>
          <t>Kelab / bulan</t>
        </is>
      </c>
      <c r="E4" s="19" t="inlineStr">
        <is>
          <t>Lawatan / bulan</t>
        </is>
      </c>
      <c r="F4" s="19" t="inlineStr">
        <is>
          <t>Catatan</t>
        </is>
      </c>
      <c r="H4" s="18" t="inlineStr">
        <is>
          <t>Kategori</t>
        </is>
      </c>
    </row>
    <row r="5">
      <c r="A5" s="28" t="inlineStr">
        <is>
          <t>Amir</t>
        </is>
      </c>
      <c r="B5" s="47" t="n">
        <v>45809</v>
      </c>
      <c r="C5" s="47" t="n"/>
      <c r="D5" s="48" t="n">
        <v>35</v>
      </c>
      <c r="E5" s="48" t="n">
        <v>50</v>
      </c>
      <c r="F5" s="46" t="inlineStr"/>
      <c r="H5" s="28" t="inlineStr">
        <is>
          <t>Yuran</t>
        </is>
      </c>
      <c r="I5" s="12" t="inlineStr">
        <is>
          <t>masuk</t>
        </is>
      </c>
    </row>
    <row r="6">
      <c r="A6" s="28" t="inlineStr">
        <is>
          <t>Asnawi</t>
        </is>
      </c>
      <c r="B6" s="47" t="n">
        <v>45809</v>
      </c>
      <c r="C6" s="47" t="n"/>
      <c r="D6" s="48" t="n">
        <v>35</v>
      </c>
      <c r="E6" s="48" t="n">
        <v>50</v>
      </c>
      <c r="F6" s="46" t="inlineStr"/>
      <c r="H6" s="28" t="inlineStr">
        <is>
          <t>Majlis</t>
        </is>
      </c>
    </row>
    <row r="7">
      <c r="A7" s="28" t="inlineStr">
        <is>
          <t>Bang Mie</t>
        </is>
      </c>
      <c r="B7" s="47" t="n">
        <v>45809</v>
      </c>
      <c r="C7" s="47" t="n"/>
      <c r="D7" s="48" t="n">
        <v>35</v>
      </c>
      <c r="E7" s="48" t="n">
        <v>50</v>
      </c>
      <c r="F7" s="46" t="inlineStr"/>
      <c r="H7" s="28" t="inlineStr">
        <is>
          <t>Sumbangan</t>
        </is>
      </c>
    </row>
    <row r="8">
      <c r="A8" s="28" t="inlineStr">
        <is>
          <t>Boss Khairil</t>
        </is>
      </c>
      <c r="B8" s="47" t="n">
        <v>45809</v>
      </c>
      <c r="C8" s="47" t="n">
        <v>45901</v>
      </c>
      <c r="D8" s="48" t="n">
        <v>35</v>
      </c>
      <c r="E8" s="48" t="n">
        <v>50</v>
      </c>
      <c r="F8" s="46" t="inlineStr">
        <is>
          <t>Pindah Sep 2025 (tab Conclusion)</t>
        </is>
      </c>
      <c r="H8" s="28" t="inlineStr">
        <is>
          <t>Lain-lain</t>
        </is>
      </c>
    </row>
    <row r="9">
      <c r="A9" s="28" t="inlineStr">
        <is>
          <t>Boss Wan</t>
        </is>
      </c>
      <c r="B9" s="47" t="n">
        <v>45809</v>
      </c>
      <c r="C9" s="47" t="n"/>
      <c r="D9" s="48" t="n">
        <v>35</v>
      </c>
      <c r="E9" s="48" t="n">
        <v>50</v>
      </c>
      <c r="F9" s="46" t="inlineStr"/>
      <c r="H9" s="28" t="inlineStr">
        <is>
          <t>Duit Pantri</t>
        </is>
      </c>
      <c r="I9" s="12" t="inlineStr">
        <is>
          <t>keluar</t>
        </is>
      </c>
    </row>
    <row r="10">
      <c r="A10" s="28" t="inlineStr">
        <is>
          <t>Chang</t>
        </is>
      </c>
      <c r="B10" s="47" t="n">
        <v>45809</v>
      </c>
      <c r="C10" s="47" t="n"/>
      <c r="D10" s="48" t="n">
        <v>35</v>
      </c>
      <c r="E10" s="48" t="n">
        <v>50</v>
      </c>
      <c r="F10" s="46" t="inlineStr"/>
      <c r="H10" s="28" t="inlineStr">
        <is>
          <t>Lawatan / Trip</t>
        </is>
      </c>
    </row>
    <row r="11">
      <c r="A11" s="28" t="inlineStr">
        <is>
          <t>Hadi</t>
        </is>
      </c>
      <c r="B11" s="47" t="n">
        <v>45809</v>
      </c>
      <c r="C11" s="47" t="n"/>
      <c r="D11" s="48" t="n">
        <v>35</v>
      </c>
      <c r="E11" s="48" t="n">
        <v>50</v>
      </c>
      <c r="F11" s="46" t="inlineStr"/>
      <c r="H11" s="28" t="inlineStr">
        <is>
          <t>Majlis &amp; Hadiah</t>
        </is>
      </c>
    </row>
    <row r="12">
      <c r="A12" s="28" t="inlineStr">
        <is>
          <t>Hasnol</t>
        </is>
      </c>
      <c r="B12" s="47" t="n">
        <v>45809</v>
      </c>
      <c r="C12" s="47" t="n"/>
      <c r="D12" s="48" t="n">
        <v>35</v>
      </c>
      <c r="E12" s="48" t="n">
        <v>50</v>
      </c>
      <c r="F12" s="46" t="inlineStr"/>
      <c r="H12" s="28" t="inlineStr">
        <is>
          <t>Pakaian</t>
        </is>
      </c>
    </row>
    <row r="13">
      <c r="A13" s="28" t="inlineStr">
        <is>
          <t>Joe</t>
        </is>
      </c>
      <c r="B13" s="47" t="n">
        <v>45809</v>
      </c>
      <c r="C13" s="47" t="n"/>
      <c r="D13" s="48" t="n">
        <v>35</v>
      </c>
      <c r="E13" s="48" t="n">
        <v>50</v>
      </c>
      <c r="F13" s="46" t="inlineStr"/>
      <c r="H13" s="28" t="inlineStr">
        <is>
          <t>Langganan / Bahan</t>
        </is>
      </c>
    </row>
    <row r="14">
      <c r="A14" s="28" t="inlineStr">
        <is>
          <t>Khairiri</t>
        </is>
      </c>
      <c r="B14" s="47" t="n">
        <v>45809</v>
      </c>
      <c r="C14" s="47" t="n"/>
      <c r="D14" s="48" t="n">
        <v>35</v>
      </c>
      <c r="E14" s="48" t="n">
        <v>50</v>
      </c>
      <c r="F14" s="46" t="inlineStr"/>
      <c r="H14" s="28" t="inlineStr">
        <is>
          <t>Refund</t>
        </is>
      </c>
    </row>
    <row r="15">
      <c r="A15" s="28" t="inlineStr">
        <is>
          <t>Kuchai</t>
        </is>
      </c>
      <c r="B15" s="47" t="n">
        <v>45809</v>
      </c>
      <c r="C15" s="47" t="n"/>
      <c r="D15" s="48" t="n">
        <v>35</v>
      </c>
      <c r="E15" s="48" t="n">
        <v>0</v>
      </c>
      <c r="F15" s="46" t="inlineStr">
        <is>
          <t>Lawatan = 0: refund RM400 Jan 2026. Semak</t>
        </is>
      </c>
      <c r="H15" s="28" t="inlineStr">
        <is>
          <t>Pelbagai</t>
        </is>
      </c>
    </row>
    <row r="16">
      <c r="A16" s="28" t="inlineStr">
        <is>
          <t>Suhaimi</t>
        </is>
      </c>
      <c r="B16" s="47" t="n">
        <v>45809</v>
      </c>
      <c r="C16" s="47" t="n">
        <v>45870</v>
      </c>
      <c r="D16" s="48" t="n">
        <v>35</v>
      </c>
      <c r="E16" s="48" t="n">
        <v>50</v>
      </c>
      <c r="F16" s="46" t="inlineStr">
        <is>
          <t>Majlis perpisahan. Tamat anggaran</t>
        </is>
      </c>
    </row>
    <row r="17">
      <c r="A17" s="28" t="inlineStr">
        <is>
          <t>Ustaz</t>
        </is>
      </c>
      <c r="B17" s="47" t="n">
        <v>45809</v>
      </c>
      <c r="C17" s="47" t="n"/>
      <c r="D17" s="48" t="n">
        <v>35</v>
      </c>
      <c r="E17" s="48" t="n">
        <v>50</v>
      </c>
      <c r="F17" s="46" t="inlineStr"/>
    </row>
    <row r="18">
      <c r="A18" s="28" t="inlineStr">
        <is>
          <t>Wafi</t>
        </is>
      </c>
      <c r="B18" s="47" t="n">
        <v>45809</v>
      </c>
      <c r="C18" s="47" t="n">
        <v>46082</v>
      </c>
      <c r="D18" s="48" t="n">
        <v>35</v>
      </c>
      <c r="E18" s="48" t="n">
        <v>0</v>
      </c>
      <c r="F18" s="46" t="inlineStr">
        <is>
          <t>Perpisahan Mac 2026. Lawatan = 0, semak</t>
        </is>
      </c>
    </row>
    <row r="19">
      <c r="A19" s="28" t="inlineStr">
        <is>
          <t>Aiman</t>
        </is>
      </c>
      <c r="B19" s="47" t="n">
        <v>45992</v>
      </c>
      <c r="C19" s="47" t="n"/>
      <c r="D19" s="48" t="n">
        <v>35</v>
      </c>
      <c r="E19" s="48" t="n">
        <v>50</v>
      </c>
      <c r="F19" s="46" t="inlineStr">
        <is>
          <t>Masuk bulan 12 (tab Conclusion)</t>
        </is>
      </c>
    </row>
    <row r="20">
      <c r="A20" s="28" t="inlineStr">
        <is>
          <t>Yusuf</t>
        </is>
      </c>
      <c r="B20" s="47" t="n">
        <v>46266</v>
      </c>
      <c r="C20" s="47" t="n"/>
      <c r="D20" s="48" t="n">
        <v>35</v>
      </c>
      <c r="E20" s="48" t="n">
        <v>50</v>
      </c>
      <c r="F20" s="46" t="inlineStr">
        <is>
          <t>Ahli baru dalam tab Yuran Kelab lama. Semak mula &amp; kadar</t>
        </is>
      </c>
    </row>
    <row r="21">
      <c r="A21" s="28" t="inlineStr">
        <is>
          <t>Fairuz</t>
        </is>
      </c>
      <c r="B21" s="47" t="n">
        <v>46296</v>
      </c>
      <c r="C21" s="47" t="n"/>
      <c r="D21" s="48" t="n">
        <v>35</v>
      </c>
      <c r="E21" s="48" t="n">
        <v>50</v>
      </c>
      <c r="F21" s="46" t="inlineStr">
        <is>
          <t>Ahli baru dalam tab Yuran Kelab lama. Semak mula &amp; kadar</t>
        </is>
      </c>
    </row>
    <row r="22">
      <c r="A22" s="28" t="n"/>
      <c r="B22" s="44" t="n"/>
      <c r="C22" s="44" t="n"/>
      <c r="D22" s="48" t="n"/>
      <c r="E22" s="48" t="n"/>
      <c r="F22" s="46" t="n"/>
    </row>
    <row r="23">
      <c r="A23" s="28" t="n"/>
      <c r="B23" s="44" t="n"/>
      <c r="C23" s="44" t="n"/>
      <c r="D23" s="48" t="n"/>
      <c r="E23" s="48" t="n"/>
      <c r="F23" s="46" t="n"/>
    </row>
    <row r="24">
      <c r="A24" s="28" t="n"/>
      <c r="B24" s="44" t="n"/>
      <c r="C24" s="44" t="n"/>
      <c r="D24" s="48" t="n"/>
      <c r="E24" s="48" t="n"/>
      <c r="F24" s="46" t="n"/>
    </row>
    <row r="27">
      <c r="A27" s="49" t="inlineStr">
        <is>
          <t>Lawatan dikutip sehingga</t>
        </is>
      </c>
      <c r="B27" s="50" t="n">
        <v>46054</v>
      </c>
    </row>
    <row r="28">
      <c r="A28" s="49" t="inlineStr">
        <is>
          <t>Mula rekod</t>
        </is>
      </c>
      <c r="B28" s="50" t="n">
        <v>45809</v>
      </c>
    </row>
    <row r="30">
      <c r="A30" s="51" t="inlineStr">
        <is>
          <t>Tamat kosong = masih aktif. Kadar 0 = dikecualikan. Tambah ahli baru pada baris kosong (sehingga 20 ahli).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BD5E1"/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" t="inlineStr">
        <is>
          <t>Panduan ringkas</t>
        </is>
      </c>
    </row>
    <row r="2">
      <c r="A2" s="2" t="inlineStr">
        <is>
          <t>Lima perkara yang perlu diingat.</t>
        </is>
      </c>
    </row>
    <row r="4" ht="32" customHeight="1">
      <c r="A4" s="52" t="inlineStr">
        <is>
          <t>1. Tambah rekod</t>
        </is>
      </c>
      <c r="B4" s="53" t="inlineStr">
        <is>
          <t>Hanya di tab Transaksi: isi baris kosong paling bawah (Tarikh, Butiran, Ahli, Kategori, jumlah). Selebihnya auto.</t>
        </is>
      </c>
    </row>
    <row r="6" ht="32" customHeight="1">
      <c r="A6" s="52" t="inlineStr">
        <is>
          <t>2. Wang masuk / keluar</t>
        </is>
      </c>
      <c r="B6" s="53" t="inlineStr">
        <is>
          <t>Yuran → lajur Kelab / Lawatan. Majlis, sumbangan → Masuk lain. Perbelanjaan → Keluar.</t>
        </is>
      </c>
    </row>
    <row r="8" ht="32" customHeight="1">
      <c r="A8" s="52" t="inlineStr">
        <is>
          <t>3. Bayaran yuran</t>
        </is>
      </c>
      <c r="B8" s="53" t="inlineStr">
        <is>
          <t>Isi Bulan mula dan Bulan akhir (cth. Mac 2026 hingga Apr 2026). Satu bulan sahaja: kosongkan Bulan akhir. Bulan tidak berturutan: guna dua baris.</t>
        </is>
      </c>
    </row>
    <row r="10" ht="32" customHeight="1">
      <c r="A10" s="52" t="inlineStr">
        <is>
          <t>4. Bayaran separa</t>
        </is>
      </c>
      <c r="B10" s="53" t="inlineStr">
        <is>
          <t>Satu baris satu bulan dengan jumlah kurang daripada kadar. Tab Yuran menunjukkan ½.</t>
        </is>
      </c>
    </row>
    <row r="12" ht="32" customHeight="1">
      <c r="A12" s="52" t="inlineStr">
        <is>
          <t>5. Susunan</t>
        </is>
      </c>
      <c r="B12" s="53" t="inlineStr">
        <is>
          <t>Pastikan baris tersusun ikut tarikh (Data → Sort range A→Z pada lajur Tarikh) supaya tab Harian tepat.</t>
        </is>
      </c>
    </row>
    <row r="14" ht="32" customHeight="1">
      <c r="A14" s="52" t="inlineStr">
        <is>
          <t>Sel amber</t>
        </is>
      </c>
      <c r="B14" s="53" t="inlineStr">
        <is>
          <t>Lajur Bulan mula berwarna amber = bayaran yuran tanpa bulan. Isi bulan supaya tab Yuran mengira bayaran itu.</t>
        </is>
      </c>
    </row>
    <row r="16" ht="32" customHeight="1">
      <c r="A16" s="52" t="inlineStr">
        <is>
          <t>Tetapan</t>
        </is>
      </c>
      <c r="B16" s="53" t="inlineStr">
        <is>
          <t>Tambah ahli, tukar kadar atau tarikh Mula/Tamat di tab Tetapan.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2026-10-10T09:17:27Z</dcterms:created>
  <dcterms:modified xmlns:dcterms="http://purl.org/dc/terms/" xmlns:xsi="http://www.w3.org/2001/XMLSchema-instance" xsi:type="dcterms:W3CDTF">2026-10-10T09:17:29Z</dcterms:modified>
</cp:coreProperties>
</file>