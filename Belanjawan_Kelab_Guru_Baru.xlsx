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Harian" sheetId="2" state="visible" r:id="rId2"/>
    <sheet xmlns:r="http://schemas.openxmlformats.org/officeDocument/2006/relationships" name="Transaksi" sheetId="3" state="visible" r:id="rId3"/>
    <sheet xmlns:r="http://schemas.openxmlformats.org/officeDocument/2006/relationships" name="Yuran Ahli" sheetId="4" state="visible" r:id="rId4"/>
    <sheet xmlns:r="http://schemas.openxmlformats.org/officeDocument/2006/relationships" name="Tetapan" sheetId="5" state="visible" r:id="rId5"/>
  </sheets>
  <definedNames>
    <definedName name="_xlnm._FilterDatabase" localSheetId="2" hidden="1">'Transaksi'!$A$1:$L$3000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mmm yyyy"/>
    <numFmt numFmtId="166" formatCode="&quot;RM&quot;#,##0.00;[Red]-&quot;RM&quot;#,##0.00"/>
    <numFmt numFmtId="167" formatCode="ddd, dd mmm yyyy"/>
    <numFmt numFmtId="168" formatCode="#,##0.00;[Red]-#,##0.00;&quot;-&quot;"/>
    <numFmt numFmtId="169" formatCode="dd mmm yyyy"/>
    <numFmt numFmtId="170" formatCode="mmm yy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CCFBF1"/>
      <sz val="10"/>
    </font>
    <font>
      <name val="Arial"/>
      <b val="1"/>
      <color rgb="00FFFFFF"/>
      <sz val="10"/>
    </font>
    <font>
      <name val="Arial"/>
      <color rgb="000F172A"/>
      <sz val="10"/>
    </font>
    <font>
      <name val="Arial"/>
      <b val="1"/>
      <color rgb="000F172A"/>
      <sz val="10"/>
    </font>
    <font>
      <name val="Arial"/>
      <i val="1"/>
      <color rgb="0064748B"/>
      <sz val="10"/>
    </font>
    <font>
      <name val="Arial"/>
      <i val="1"/>
      <color rgb="0064748B"/>
      <sz val="9"/>
    </font>
    <font>
      <name val="Arial"/>
      <color rgb="0064748B"/>
      <sz val="9"/>
    </font>
    <font>
      <name val="Arial"/>
      <color rgb="0064748B"/>
      <sz val="10"/>
    </font>
    <font>
      <name val="Arial"/>
      <color rgb="0015803D"/>
      <sz val="10"/>
    </font>
    <font>
      <name val="Arial"/>
      <color rgb="00B91C1C"/>
      <sz val="10"/>
    </font>
    <font>
      <name val="Arial"/>
      <b val="1"/>
      <color rgb="00134E4A"/>
      <sz val="13"/>
    </font>
    <font>
      <name val="Arial"/>
      <b val="1"/>
      <color rgb="00FFFFFF"/>
      <sz val="9"/>
    </font>
    <font>
      <name val="Arial"/>
      <b val="1"/>
      <color rgb="000F172A"/>
      <sz val="11"/>
    </font>
    <font>
      <name val="Arial"/>
      <color rgb="0064748B"/>
      <sz val="8"/>
    </font>
    <font>
      <name val="Arial"/>
      <b val="1"/>
      <color rgb="0064748B"/>
      <sz val="9"/>
    </font>
    <font>
      <name val="Arial"/>
      <b val="1"/>
      <color rgb="000F766E"/>
      <sz val="18"/>
    </font>
    <font>
      <name val="Arial"/>
      <b val="1"/>
      <color rgb="0015803D"/>
      <sz val="18"/>
    </font>
    <font>
      <name val="Arial"/>
      <b val="1"/>
      <color rgb="00B91C1C"/>
      <sz val="18"/>
    </font>
    <font>
      <name val="Arial"/>
      <b val="1"/>
      <color rgb="00B45309"/>
      <sz val="18"/>
    </font>
  </fonts>
  <fills count="7">
    <fill>
      <patternFill/>
    </fill>
    <fill>
      <patternFill patternType="gray125"/>
    </fill>
    <fill>
      <patternFill patternType="solid">
        <fgColor rgb="000F766E"/>
        <bgColor rgb="000F766E"/>
      </patternFill>
    </fill>
    <fill>
      <patternFill patternType="solid">
        <fgColor rgb="00134E4A"/>
        <bgColor rgb="00134E4A"/>
      </patternFill>
    </fill>
    <fill>
      <patternFill patternType="solid">
        <fgColor rgb="00FEF9C3"/>
        <bgColor rgb="00FEF9C3"/>
      </patternFill>
    </fill>
    <fill>
      <patternFill patternType="solid">
        <fgColor rgb="00F1F5F9"/>
        <bgColor rgb="00F1F5F9"/>
      </patternFill>
    </fill>
    <fill>
      <patternFill patternType="solid">
        <fgColor rgb="00F0FDFA"/>
        <bgColor rgb="00F0FDFA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E2E8F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indent="1"/>
    </xf>
    <xf numFmtId="0" fontId="16" fillId="5" borderId="0" applyAlignment="1" pivotButton="0" quotePrefix="0" xfId="0">
      <alignment vertical="bottom" indent="1"/>
    </xf>
    <xf numFmtId="0" fontId="0" fillId="5" borderId="0" pivotButton="0" quotePrefix="0" xfId="0"/>
    <xf numFmtId="166" fontId="17" fillId="5" borderId="0" applyAlignment="1" pivotButton="0" quotePrefix="0" xfId="0">
      <alignment horizontal="left" vertical="center" indent="1"/>
    </xf>
    <xf numFmtId="166" fontId="18" fillId="5" borderId="0" applyAlignment="1" pivotButton="0" quotePrefix="0" xfId="0">
      <alignment horizontal="left" vertical="center" indent="1"/>
    </xf>
    <xf numFmtId="166" fontId="19" fillId="5" borderId="0" applyAlignment="1" pivotButton="0" quotePrefix="0" xfId="0">
      <alignment horizontal="left" vertical="center" indent="1"/>
    </xf>
    <xf numFmtId="166" fontId="20" fillId="5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5" fontId="4" fillId="0" borderId="2" pivotButton="0" quotePrefix="0" xfId="0"/>
    <xf numFmtId="166" fontId="10" fillId="0" borderId="2" pivotButton="0" quotePrefix="0" xfId="0"/>
    <xf numFmtId="166" fontId="11" fillId="0" borderId="2" pivotButton="0" quotePrefix="0" xfId="0"/>
    <xf numFmtId="166" fontId="4" fillId="0" borderId="2" pivotButton="0" quotePrefix="0" xfId="0"/>
    <xf numFmtId="166" fontId="5" fillId="0" borderId="2" pivotButton="0" quotePrefix="0" xfId="0"/>
    <xf numFmtId="0" fontId="4" fillId="0" borderId="2" pivotButton="0" quotePrefix="0" xfId="0"/>
    <xf numFmtId="9" fontId="4" fillId="0" borderId="2" pivotButton="0" quotePrefix="0" xfId="0"/>
    <xf numFmtId="0" fontId="5" fillId="6" borderId="0" pivotButton="0" quotePrefix="0" xfId="0"/>
    <xf numFmtId="166" fontId="5" fillId="6" borderId="0" pivotButton="0" quotePrefix="0" xfId="0"/>
    <xf numFmtId="0" fontId="0" fillId="6" borderId="0" pivotButton="0" quotePrefix="0" xfId="0"/>
    <xf numFmtId="0" fontId="8" fillId="0" borderId="2" pivotButton="0" quotePrefix="0" xfId="0"/>
    <xf numFmtId="169" fontId="4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7" fillId="0" borderId="0" pivotButton="0" quotePrefix="0" xfId="0"/>
    <xf numFmtId="167" fontId="4" fillId="0" borderId="2" applyAlignment="1" pivotButton="0" quotePrefix="0" xfId="0">
      <alignment horizontal="left"/>
    </xf>
    <xf numFmtId="0" fontId="9" fillId="0" borderId="2" pivotButton="0" quotePrefix="0" xfId="0"/>
    <xf numFmtId="168" fontId="4" fillId="0" borderId="2" pivotButton="0" quotePrefix="0" xfId="0"/>
    <xf numFmtId="168" fontId="9" fillId="0" borderId="2" pivotButton="0" quotePrefix="0" xfId="0"/>
    <xf numFmtId="0" fontId="8" fillId="0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170" fontId="13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/>
    </xf>
    <xf numFmtId="0" fontId="15" fillId="0" borderId="0" pivotButton="0" quotePrefix="0" xfId="0"/>
    <xf numFmtId="0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165" fontId="4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B91C1C"/>
      </font>
    </dxf>
    <dxf>
      <fill>
        <patternFill patternType="solid">
          <fgColor rgb="00F0FDFA"/>
          <bgColor rgb="00F0FDFA"/>
        </patternFill>
      </fill>
    </dxf>
    <dxf>
      <font>
        <name val="Arial"/>
        <color rgb="00CBD5E1"/>
      </font>
    </dxf>
    <dxf>
      <font>
        <name val="Arial"/>
        <b val="1"/>
        <color rgb="00134E4A"/>
      </font>
    </dxf>
    <dxf>
      <font>
        <name val="Arial"/>
        <color rgb="0015803D"/>
      </font>
    </dxf>
    <dxf>
      <font>
        <name val="Arial"/>
        <b val="1"/>
        <color rgb="00B91C1C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15803D"/>
      </font>
      <fill>
        <patternFill patternType="solid">
          <fgColor rgb="00DCFCE7"/>
          <bgColor rgb="00DCFCE7"/>
        </patternFill>
      </fill>
    </dxf>
    <dxf>
      <font>
        <name val="Arial"/>
        <b val="1"/>
        <color rgb="00B45309"/>
      </font>
      <fill>
        <patternFill patternType="solid">
          <fgColor rgb="00FEF3C7"/>
          <b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Masuk vs Keluar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'Ringkasan'!B8</f>
            </strRef>
          </tx>
          <spPr>
            <a:solidFill xmlns:a="http://schemas.openxmlformats.org/drawingml/2006/main">
              <a:srgbClr val="15803D"/>
            </a:solidFill>
            <a:ln xmlns:a="http://schemas.openxmlformats.org/drawingml/2006/main">
              <a:prstDash val="solid"/>
            </a:ln>
          </spPr>
          <cat>
            <numRef>
              <f>'Ringkasan'!$A$9:$A$27</f>
            </numRef>
          </cat>
          <val>
            <numRef>
              <f>'Ringkasan'!$B$9:$B$27</f>
            </numRef>
          </val>
        </ser>
        <ser>
          <idx val="1"/>
          <order val="1"/>
          <tx>
            <strRef>
              <f>'Ringkasan'!C8</f>
            </strRef>
          </tx>
          <spPr>
            <a:solidFill xmlns:a="http://schemas.openxmlformats.org/drawingml/2006/main">
              <a:srgbClr val="B91C1C"/>
            </a:solidFill>
            <a:ln xmlns:a="http://schemas.openxmlformats.org/drawingml/2006/main">
              <a:prstDash val="solid"/>
            </a:ln>
          </spPr>
          <cat>
            <numRef>
              <f>'Ringkasan'!$A$9:$A$27</f>
            </numRef>
          </cat>
          <val>
            <numRef>
              <f>'Ringkasan'!$C$9:$C$27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Baki akhir</a:t>
            </a:r>
          </a:p>
        </rich>
      </tx>
    </title>
    <plotArea>
      <lineChart>
        <grouping val="standard"/>
        <ser>
          <idx val="0"/>
          <order val="0"/>
          <tx>
            <strRef>
              <f>'Ringkasan'!E8</f>
            </strRef>
          </tx>
          <spPr>
            <a:ln xmlns:a="http://schemas.openxmlformats.org/drawingml/2006/main" w="28000">
              <a:solidFill>
                <a:srgbClr val="0F76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'Ringkasan'!$A$9:$A$27</f>
            </numRef>
          </cat>
          <val>
            <numRef>
              <f>'Ringkasan'!$E$9:$E$27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34</row>
      <rowOff>0</rowOff>
    </from>
    <ext cx="612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766E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15" customWidth="1" min="4" max="4"/>
    <col width="16" customWidth="1" min="5" max="5"/>
    <col width="3" customWidth="1" min="6" max="6"/>
    <col width="24" customWidth="1" min="7" max="7"/>
    <col width="15" customWidth="1" min="8" max="8"/>
    <col width="8" customWidth="1" min="9" max="9"/>
  </cols>
  <sheetData>
    <row r="1" ht="36" customHeight="1">
      <c r="A1" s="1" t="inlineStr">
        <is>
          <t>Belanjawan Kelab Guru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A2" s="3" t="inlineStr">
        <is>
          <t>Ringkasan kewangan - dikemas kini automatik daripada helaian Transaksi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 ht="22" customHeight="1">
      <c r="A4" s="4" t="inlineStr">
        <is>
          <t>BAKI SEMASA</t>
        </is>
      </c>
      <c r="B4" s="5" t="n"/>
      <c r="D4" s="4" t="inlineStr">
        <is>
          <t>JUMLAH MASUK</t>
        </is>
      </c>
      <c r="E4" s="5" t="n"/>
      <c r="G4" s="4" t="inlineStr">
        <is>
          <t>JUMLAH KELUAR</t>
        </is>
      </c>
      <c r="H4" s="5" t="n"/>
      <c r="J4" s="4" t="inlineStr">
        <is>
          <t>BULAN INI (BERSIH)</t>
        </is>
      </c>
      <c r="K4" s="5" t="n"/>
    </row>
    <row r="5" ht="34" customHeight="1">
      <c r="A5" s="6">
        <f>SUM(Transaksi!G2:I3000)-SUM(Transaksi!J2:J3000)</f>
        <v/>
      </c>
      <c r="B5" s="5" t="n"/>
      <c r="D5" s="7">
        <f>SUM(Transaksi!G2:I3000)</f>
        <v/>
      </c>
      <c r="E5" s="5" t="n"/>
      <c r="G5" s="8">
        <f>SUM(Transaksi!J2:J3000)</f>
        <v/>
      </c>
      <c r="H5" s="5" t="n"/>
      <c r="J5" s="9">
        <f>SUMIFS(Transaksi!G2:G3000,Transaksi!B2:B3000,"&gt;="&amp;DATE(YEAR(TODAY()),MONTH(TODAY()),1))+SUMIFS(Transaksi!H2:H3000,Transaksi!B2:B3000,"&gt;="&amp;DATE(YEAR(TODAY()),MONTH(TODAY()),1))+SUMIFS(Transaksi!I2:I3000,Transaksi!B2:B3000,"&gt;="&amp;DATE(YEAR(TODAY()),MONTH(TODAY()),1))-(SUMIFS(Transaksi!J2:J3000,Transaksi!B2:B3000,"&gt;="&amp;DATE(YEAR(TODAY()),MONTH(TODAY()),1)))</f>
        <v/>
      </c>
      <c r="K5" s="5" t="n"/>
    </row>
    <row r="7">
      <c r="A7" s="10" t="inlineStr">
        <is>
          <t>Pergerakan bulanan</t>
        </is>
      </c>
      <c r="G7" s="10" t="inlineStr">
        <is>
          <t>Perbelanjaan mengikut kategori</t>
        </is>
      </c>
    </row>
    <row r="8" ht="28" customHeight="1">
      <c r="A8" s="11" t="inlineStr">
        <is>
          <t>Bulan</t>
        </is>
      </c>
      <c r="B8" s="11" t="inlineStr">
        <is>
          <t>Masuk</t>
        </is>
      </c>
      <c r="C8" s="11" t="inlineStr">
        <is>
          <t>Keluar</t>
        </is>
      </c>
      <c r="D8" s="11" t="inlineStr">
        <is>
          <t>Bersih</t>
        </is>
      </c>
      <c r="E8" s="11" t="inlineStr">
        <is>
          <t>Baki akhir</t>
        </is>
      </c>
      <c r="G8" s="11" t="inlineStr">
        <is>
          <t>Kategori</t>
        </is>
      </c>
      <c r="H8" s="11" t="inlineStr">
        <is>
          <t>Jumlah</t>
        </is>
      </c>
      <c r="I8" s="11" t="inlineStr">
        <is>
          <t>%</t>
        </is>
      </c>
    </row>
    <row r="9">
      <c r="A9" s="12">
        <f>EDATE(Tetapan!$B$22,0)</f>
        <v/>
      </c>
      <c r="B9" s="13">
        <f>SUMIFS(Transaksi!G2:G3000,Transaksi!B2:B3000,"&gt;="&amp;A9,Transaksi!B2:B3000,"&lt;"&amp;EDATE(A9,1))+SUMIFS(Transaksi!H2:H3000,Transaksi!B2:B3000,"&gt;="&amp;A9,Transaksi!B2:B3000,"&lt;"&amp;EDATE(A9,1))+SUMIFS(Transaksi!I2:I3000,Transaksi!B2:B3000,"&gt;="&amp;A9,Transaksi!B2:B3000,"&lt;"&amp;EDATE(A9,1))</f>
        <v/>
      </c>
      <c r="C9" s="14">
        <f>SUMIFS(Transaksi!J2:J3000,Transaksi!B2:B3000,"&gt;="&amp;A9,Transaksi!B2:B3000,"&lt;"&amp;EDATE(A9,1))</f>
        <v/>
      </c>
      <c r="D9" s="15">
        <f>B9-C9</f>
        <v/>
      </c>
      <c r="E9" s="16">
        <f>SUM(D$9:D9)</f>
        <v/>
      </c>
      <c r="G9" s="17">
        <f>Tetapan!I9</f>
        <v/>
      </c>
      <c r="H9" s="15">
        <f>SUMIFS(Transaksi!J2:J3000,Transaksi!E2:E3000,G9)</f>
        <v/>
      </c>
      <c r="I9" s="18">
        <f>IF($C$28=0,0,H9/$C$28)</f>
        <v/>
      </c>
    </row>
    <row r="10">
      <c r="A10" s="12">
        <f>EDATE(Tetapan!$B$22,1)</f>
        <v/>
      </c>
      <c r="B10" s="13">
        <f>SUMIFS(Transaksi!G2:G3000,Transaksi!B2:B3000,"&gt;="&amp;A10,Transaksi!B2:B3000,"&lt;"&amp;EDATE(A10,1))+SUMIFS(Transaksi!H2:H3000,Transaksi!B2:B3000,"&gt;="&amp;A10,Transaksi!B2:B3000,"&lt;"&amp;EDATE(A10,1))+SUMIFS(Transaksi!I2:I3000,Transaksi!B2:B3000,"&gt;="&amp;A10,Transaksi!B2:B3000,"&lt;"&amp;EDATE(A10,1))</f>
        <v/>
      </c>
      <c r="C10" s="14">
        <f>SUMIFS(Transaksi!J2:J3000,Transaksi!B2:B3000,"&gt;="&amp;A10,Transaksi!B2:B3000,"&lt;"&amp;EDATE(A10,1))</f>
        <v/>
      </c>
      <c r="D10" s="15">
        <f>B10-C10</f>
        <v/>
      </c>
      <c r="E10" s="16">
        <f>SUM(D$9:D10)</f>
        <v/>
      </c>
      <c r="G10" s="17">
        <f>Tetapan!I10</f>
        <v/>
      </c>
      <c r="H10" s="15">
        <f>SUMIFS(Transaksi!J2:J3000,Transaksi!E2:E3000,G10)</f>
        <v/>
      </c>
      <c r="I10" s="18">
        <f>IF($C$28=0,0,H10/$C$28)</f>
        <v/>
      </c>
    </row>
    <row r="11">
      <c r="A11" s="12">
        <f>EDATE(Tetapan!$B$22,2)</f>
        <v/>
      </c>
      <c r="B11" s="13">
        <f>SUMIFS(Transaksi!G2:G3000,Transaksi!B2:B3000,"&gt;="&amp;A11,Transaksi!B2:B3000,"&lt;"&amp;EDATE(A11,1))+SUMIFS(Transaksi!H2:H3000,Transaksi!B2:B3000,"&gt;="&amp;A11,Transaksi!B2:B3000,"&lt;"&amp;EDATE(A11,1))+SUMIFS(Transaksi!I2:I3000,Transaksi!B2:B3000,"&gt;="&amp;A11,Transaksi!B2:B3000,"&lt;"&amp;EDATE(A11,1))</f>
        <v/>
      </c>
      <c r="C11" s="14">
        <f>SUMIFS(Transaksi!J2:J3000,Transaksi!B2:B3000,"&gt;="&amp;A11,Transaksi!B2:B3000,"&lt;"&amp;EDATE(A11,1))</f>
        <v/>
      </c>
      <c r="D11" s="15">
        <f>B11-C11</f>
        <v/>
      </c>
      <c r="E11" s="16">
        <f>SUM(D$9:D11)</f>
        <v/>
      </c>
      <c r="G11" s="17">
        <f>Tetapan!I11</f>
        <v/>
      </c>
      <c r="H11" s="15">
        <f>SUMIFS(Transaksi!J2:J3000,Transaksi!E2:E3000,G11)</f>
        <v/>
      </c>
      <c r="I11" s="18">
        <f>IF($C$28=0,0,H11/$C$28)</f>
        <v/>
      </c>
    </row>
    <row r="12">
      <c r="A12" s="12">
        <f>EDATE(Tetapan!$B$22,3)</f>
        <v/>
      </c>
      <c r="B12" s="13">
        <f>SUMIFS(Transaksi!G2:G3000,Transaksi!B2:B3000,"&gt;="&amp;A12,Transaksi!B2:B3000,"&lt;"&amp;EDATE(A12,1))+SUMIFS(Transaksi!H2:H3000,Transaksi!B2:B3000,"&gt;="&amp;A12,Transaksi!B2:B3000,"&lt;"&amp;EDATE(A12,1))+SUMIFS(Transaksi!I2:I3000,Transaksi!B2:B3000,"&gt;="&amp;A12,Transaksi!B2:B3000,"&lt;"&amp;EDATE(A12,1))</f>
        <v/>
      </c>
      <c r="C12" s="14">
        <f>SUMIFS(Transaksi!J2:J3000,Transaksi!B2:B3000,"&gt;="&amp;A12,Transaksi!B2:B3000,"&lt;"&amp;EDATE(A12,1))</f>
        <v/>
      </c>
      <c r="D12" s="15">
        <f>B12-C12</f>
        <v/>
      </c>
      <c r="E12" s="16">
        <f>SUM(D$9:D12)</f>
        <v/>
      </c>
      <c r="G12" s="17">
        <f>Tetapan!I12</f>
        <v/>
      </c>
      <c r="H12" s="15">
        <f>SUMIFS(Transaksi!J2:J3000,Transaksi!E2:E3000,G12)</f>
        <v/>
      </c>
      <c r="I12" s="18">
        <f>IF($C$28=0,0,H12/$C$28)</f>
        <v/>
      </c>
    </row>
    <row r="13">
      <c r="A13" s="12">
        <f>EDATE(Tetapan!$B$22,4)</f>
        <v/>
      </c>
      <c r="B13" s="13">
        <f>SUMIFS(Transaksi!G2:G3000,Transaksi!B2:B3000,"&gt;="&amp;A13,Transaksi!B2:B3000,"&lt;"&amp;EDATE(A13,1))+SUMIFS(Transaksi!H2:H3000,Transaksi!B2:B3000,"&gt;="&amp;A13,Transaksi!B2:B3000,"&lt;"&amp;EDATE(A13,1))+SUMIFS(Transaksi!I2:I3000,Transaksi!B2:B3000,"&gt;="&amp;A13,Transaksi!B2:B3000,"&lt;"&amp;EDATE(A13,1))</f>
        <v/>
      </c>
      <c r="C13" s="14">
        <f>SUMIFS(Transaksi!J2:J3000,Transaksi!B2:B3000,"&gt;="&amp;A13,Transaksi!B2:B3000,"&lt;"&amp;EDATE(A13,1))</f>
        <v/>
      </c>
      <c r="D13" s="15">
        <f>B13-C13</f>
        <v/>
      </c>
      <c r="E13" s="16">
        <f>SUM(D$9:D13)</f>
        <v/>
      </c>
      <c r="G13" s="17">
        <f>Tetapan!I13</f>
        <v/>
      </c>
      <c r="H13" s="15">
        <f>SUMIFS(Transaksi!J2:J3000,Transaksi!E2:E3000,G13)</f>
        <v/>
      </c>
      <c r="I13" s="18">
        <f>IF($C$28=0,0,H13/$C$28)</f>
        <v/>
      </c>
    </row>
    <row r="14">
      <c r="A14" s="12">
        <f>EDATE(Tetapan!$B$22,5)</f>
        <v/>
      </c>
      <c r="B14" s="13">
        <f>SUMIFS(Transaksi!G2:G3000,Transaksi!B2:B3000,"&gt;="&amp;A14,Transaksi!B2:B3000,"&lt;"&amp;EDATE(A14,1))+SUMIFS(Transaksi!H2:H3000,Transaksi!B2:B3000,"&gt;="&amp;A14,Transaksi!B2:B3000,"&lt;"&amp;EDATE(A14,1))+SUMIFS(Transaksi!I2:I3000,Transaksi!B2:B3000,"&gt;="&amp;A14,Transaksi!B2:B3000,"&lt;"&amp;EDATE(A14,1))</f>
        <v/>
      </c>
      <c r="C14" s="14">
        <f>SUMIFS(Transaksi!J2:J3000,Transaksi!B2:B3000,"&gt;="&amp;A14,Transaksi!B2:B3000,"&lt;"&amp;EDATE(A14,1))</f>
        <v/>
      </c>
      <c r="D14" s="15">
        <f>B14-C14</f>
        <v/>
      </c>
      <c r="E14" s="16">
        <f>SUM(D$9:D14)</f>
        <v/>
      </c>
      <c r="G14" s="17">
        <f>Tetapan!I14</f>
        <v/>
      </c>
      <c r="H14" s="15">
        <f>SUMIFS(Transaksi!J2:J3000,Transaksi!E2:E3000,G14)</f>
        <v/>
      </c>
      <c r="I14" s="18">
        <f>IF($C$28=0,0,H14/$C$28)</f>
        <v/>
      </c>
    </row>
    <row r="15">
      <c r="A15" s="12">
        <f>EDATE(Tetapan!$B$22,6)</f>
        <v/>
      </c>
      <c r="B15" s="13">
        <f>SUMIFS(Transaksi!G2:G3000,Transaksi!B2:B3000,"&gt;="&amp;A15,Transaksi!B2:B3000,"&lt;"&amp;EDATE(A15,1))+SUMIFS(Transaksi!H2:H3000,Transaksi!B2:B3000,"&gt;="&amp;A15,Transaksi!B2:B3000,"&lt;"&amp;EDATE(A15,1))+SUMIFS(Transaksi!I2:I3000,Transaksi!B2:B3000,"&gt;="&amp;A15,Transaksi!B2:B3000,"&lt;"&amp;EDATE(A15,1))</f>
        <v/>
      </c>
      <c r="C15" s="14">
        <f>SUMIFS(Transaksi!J2:J3000,Transaksi!B2:B3000,"&gt;="&amp;A15,Transaksi!B2:B3000,"&lt;"&amp;EDATE(A15,1))</f>
        <v/>
      </c>
      <c r="D15" s="15">
        <f>B15-C15</f>
        <v/>
      </c>
      <c r="E15" s="16">
        <f>SUM(D$9:D15)</f>
        <v/>
      </c>
      <c r="G15" s="17">
        <f>Tetapan!I15</f>
        <v/>
      </c>
      <c r="H15" s="15">
        <f>SUMIFS(Transaksi!J2:J3000,Transaksi!E2:E3000,G15)</f>
        <v/>
      </c>
      <c r="I15" s="18">
        <f>IF($C$28=0,0,H15/$C$28)</f>
        <v/>
      </c>
    </row>
    <row r="16">
      <c r="A16" s="12">
        <f>EDATE(Tetapan!$B$22,7)</f>
        <v/>
      </c>
      <c r="B16" s="13">
        <f>SUMIFS(Transaksi!G2:G3000,Transaksi!B2:B3000,"&gt;="&amp;A16,Transaksi!B2:B3000,"&lt;"&amp;EDATE(A16,1))+SUMIFS(Transaksi!H2:H3000,Transaksi!B2:B3000,"&gt;="&amp;A16,Transaksi!B2:B3000,"&lt;"&amp;EDATE(A16,1))+SUMIFS(Transaksi!I2:I3000,Transaksi!B2:B3000,"&gt;="&amp;A16,Transaksi!B2:B3000,"&lt;"&amp;EDATE(A16,1))</f>
        <v/>
      </c>
      <c r="C16" s="14">
        <f>SUMIFS(Transaksi!J2:J3000,Transaksi!B2:B3000,"&gt;="&amp;A16,Transaksi!B2:B3000,"&lt;"&amp;EDATE(A16,1))</f>
        <v/>
      </c>
      <c r="D16" s="15">
        <f>B16-C16</f>
        <v/>
      </c>
      <c r="E16" s="16">
        <f>SUM(D$9:D16)</f>
        <v/>
      </c>
    </row>
    <row r="17">
      <c r="A17" s="12">
        <f>EDATE(Tetapan!$B$22,8)</f>
        <v/>
      </c>
      <c r="B17" s="13">
        <f>SUMIFS(Transaksi!G2:G3000,Transaksi!B2:B3000,"&gt;="&amp;A17,Transaksi!B2:B3000,"&lt;"&amp;EDATE(A17,1))+SUMIFS(Transaksi!H2:H3000,Transaksi!B2:B3000,"&gt;="&amp;A17,Transaksi!B2:B3000,"&lt;"&amp;EDATE(A17,1))+SUMIFS(Transaksi!I2:I3000,Transaksi!B2:B3000,"&gt;="&amp;A17,Transaksi!B2:B3000,"&lt;"&amp;EDATE(A17,1))</f>
        <v/>
      </c>
      <c r="C17" s="14">
        <f>SUMIFS(Transaksi!J2:J3000,Transaksi!B2:B3000,"&gt;="&amp;A17,Transaksi!B2:B3000,"&lt;"&amp;EDATE(A17,1))</f>
        <v/>
      </c>
      <c r="D17" s="15">
        <f>B17-C17</f>
        <v/>
      </c>
      <c r="E17" s="16">
        <f>SUM(D$9:D17)</f>
        <v/>
      </c>
    </row>
    <row r="18">
      <c r="A18" s="12">
        <f>EDATE(Tetapan!$B$22,9)</f>
        <v/>
      </c>
      <c r="B18" s="13">
        <f>SUMIFS(Transaksi!G2:G3000,Transaksi!B2:B3000,"&gt;="&amp;A18,Transaksi!B2:B3000,"&lt;"&amp;EDATE(A18,1))+SUMIFS(Transaksi!H2:H3000,Transaksi!B2:B3000,"&gt;="&amp;A18,Transaksi!B2:B3000,"&lt;"&amp;EDATE(A18,1))+SUMIFS(Transaksi!I2:I3000,Transaksi!B2:B3000,"&gt;="&amp;A18,Transaksi!B2:B3000,"&lt;"&amp;EDATE(A18,1))</f>
        <v/>
      </c>
      <c r="C18" s="14">
        <f>SUMIFS(Transaksi!J2:J3000,Transaksi!B2:B3000,"&gt;="&amp;A18,Transaksi!B2:B3000,"&lt;"&amp;EDATE(A18,1))</f>
        <v/>
      </c>
      <c r="D18" s="15">
        <f>B18-C18</f>
        <v/>
      </c>
      <c r="E18" s="16">
        <f>SUM(D$9:D18)</f>
        <v/>
      </c>
    </row>
    <row r="19">
      <c r="A19" s="12">
        <f>EDATE(Tetapan!$B$22,10)</f>
        <v/>
      </c>
      <c r="B19" s="13">
        <f>SUMIFS(Transaksi!G2:G3000,Transaksi!B2:B3000,"&gt;="&amp;A19,Transaksi!B2:B3000,"&lt;"&amp;EDATE(A19,1))+SUMIFS(Transaksi!H2:H3000,Transaksi!B2:B3000,"&gt;="&amp;A19,Transaksi!B2:B3000,"&lt;"&amp;EDATE(A19,1))+SUMIFS(Transaksi!I2:I3000,Transaksi!B2:B3000,"&gt;="&amp;A19,Transaksi!B2:B3000,"&lt;"&amp;EDATE(A19,1))</f>
        <v/>
      </c>
      <c r="C19" s="14">
        <f>SUMIFS(Transaksi!J2:J3000,Transaksi!B2:B3000,"&gt;="&amp;A19,Transaksi!B2:B3000,"&lt;"&amp;EDATE(A19,1))</f>
        <v/>
      </c>
      <c r="D19" s="15">
        <f>B19-C19</f>
        <v/>
      </c>
      <c r="E19" s="16">
        <f>SUM(D$9:D19)</f>
        <v/>
      </c>
    </row>
    <row r="20">
      <c r="A20" s="12">
        <f>EDATE(Tetapan!$B$22,11)</f>
        <v/>
      </c>
      <c r="B20" s="13">
        <f>SUMIFS(Transaksi!G2:G3000,Transaksi!B2:B3000,"&gt;="&amp;A20,Transaksi!B2:B3000,"&lt;"&amp;EDATE(A20,1))+SUMIFS(Transaksi!H2:H3000,Transaksi!B2:B3000,"&gt;="&amp;A20,Transaksi!B2:B3000,"&lt;"&amp;EDATE(A20,1))+SUMIFS(Transaksi!I2:I3000,Transaksi!B2:B3000,"&gt;="&amp;A20,Transaksi!B2:B3000,"&lt;"&amp;EDATE(A20,1))</f>
        <v/>
      </c>
      <c r="C20" s="14">
        <f>SUMIFS(Transaksi!J2:J3000,Transaksi!B2:B3000,"&gt;="&amp;A20,Transaksi!B2:B3000,"&lt;"&amp;EDATE(A20,1))</f>
        <v/>
      </c>
      <c r="D20" s="15">
        <f>B20-C20</f>
        <v/>
      </c>
      <c r="E20" s="16">
        <f>SUM(D$9:D20)</f>
        <v/>
      </c>
    </row>
    <row r="21">
      <c r="A21" s="12">
        <f>EDATE(Tetapan!$B$22,12)</f>
        <v/>
      </c>
      <c r="B21" s="13">
        <f>SUMIFS(Transaksi!G2:G3000,Transaksi!B2:B3000,"&gt;="&amp;A21,Transaksi!B2:B3000,"&lt;"&amp;EDATE(A21,1))+SUMIFS(Transaksi!H2:H3000,Transaksi!B2:B3000,"&gt;="&amp;A21,Transaksi!B2:B3000,"&lt;"&amp;EDATE(A21,1))+SUMIFS(Transaksi!I2:I3000,Transaksi!B2:B3000,"&gt;="&amp;A21,Transaksi!B2:B3000,"&lt;"&amp;EDATE(A21,1))</f>
        <v/>
      </c>
      <c r="C21" s="14">
        <f>SUMIFS(Transaksi!J2:J3000,Transaksi!B2:B3000,"&gt;="&amp;A21,Transaksi!B2:B3000,"&lt;"&amp;EDATE(A21,1))</f>
        <v/>
      </c>
      <c r="D21" s="15">
        <f>B21-C21</f>
        <v/>
      </c>
      <c r="E21" s="16">
        <f>SUM(D$9:D21)</f>
        <v/>
      </c>
    </row>
    <row r="22">
      <c r="A22" s="12">
        <f>EDATE(Tetapan!$B$22,13)</f>
        <v/>
      </c>
      <c r="B22" s="13">
        <f>SUMIFS(Transaksi!G2:G3000,Transaksi!B2:B3000,"&gt;="&amp;A22,Transaksi!B2:B3000,"&lt;"&amp;EDATE(A22,1))+SUMIFS(Transaksi!H2:H3000,Transaksi!B2:B3000,"&gt;="&amp;A22,Transaksi!B2:B3000,"&lt;"&amp;EDATE(A22,1))+SUMIFS(Transaksi!I2:I3000,Transaksi!B2:B3000,"&gt;="&amp;A22,Transaksi!B2:B3000,"&lt;"&amp;EDATE(A22,1))</f>
        <v/>
      </c>
      <c r="C22" s="14">
        <f>SUMIFS(Transaksi!J2:J3000,Transaksi!B2:B3000,"&gt;="&amp;A22,Transaksi!B2:B3000,"&lt;"&amp;EDATE(A22,1))</f>
        <v/>
      </c>
      <c r="D22" s="15">
        <f>B22-C22</f>
        <v/>
      </c>
      <c r="E22" s="16">
        <f>SUM(D$9:D22)</f>
        <v/>
      </c>
    </row>
    <row r="23">
      <c r="A23" s="12">
        <f>EDATE(Tetapan!$B$22,14)</f>
        <v/>
      </c>
      <c r="B23" s="13">
        <f>SUMIFS(Transaksi!G2:G3000,Transaksi!B2:B3000,"&gt;="&amp;A23,Transaksi!B2:B3000,"&lt;"&amp;EDATE(A23,1))+SUMIFS(Transaksi!H2:H3000,Transaksi!B2:B3000,"&gt;="&amp;A23,Transaksi!B2:B3000,"&lt;"&amp;EDATE(A23,1))+SUMIFS(Transaksi!I2:I3000,Transaksi!B2:B3000,"&gt;="&amp;A23,Transaksi!B2:B3000,"&lt;"&amp;EDATE(A23,1))</f>
        <v/>
      </c>
      <c r="C23" s="14">
        <f>SUMIFS(Transaksi!J2:J3000,Transaksi!B2:B3000,"&gt;="&amp;A23,Transaksi!B2:B3000,"&lt;"&amp;EDATE(A23,1))</f>
        <v/>
      </c>
      <c r="D23" s="15">
        <f>B23-C23</f>
        <v/>
      </c>
      <c r="E23" s="16">
        <f>SUM(D$9:D23)</f>
        <v/>
      </c>
    </row>
    <row r="24">
      <c r="A24" s="12">
        <f>EDATE(Tetapan!$B$22,15)</f>
        <v/>
      </c>
      <c r="B24" s="13">
        <f>SUMIFS(Transaksi!G2:G3000,Transaksi!B2:B3000,"&gt;="&amp;A24,Transaksi!B2:B3000,"&lt;"&amp;EDATE(A24,1))+SUMIFS(Transaksi!H2:H3000,Transaksi!B2:B3000,"&gt;="&amp;A24,Transaksi!B2:B3000,"&lt;"&amp;EDATE(A24,1))+SUMIFS(Transaksi!I2:I3000,Transaksi!B2:B3000,"&gt;="&amp;A24,Transaksi!B2:B3000,"&lt;"&amp;EDATE(A24,1))</f>
        <v/>
      </c>
      <c r="C24" s="14">
        <f>SUMIFS(Transaksi!J2:J3000,Transaksi!B2:B3000,"&gt;="&amp;A24,Transaksi!B2:B3000,"&lt;"&amp;EDATE(A24,1))</f>
        <v/>
      </c>
      <c r="D24" s="15">
        <f>B24-C24</f>
        <v/>
      </c>
      <c r="E24" s="16">
        <f>SUM(D$9:D24)</f>
        <v/>
      </c>
    </row>
    <row r="25">
      <c r="A25" s="12">
        <f>EDATE(Tetapan!$B$22,16)</f>
        <v/>
      </c>
      <c r="B25" s="13">
        <f>SUMIFS(Transaksi!G2:G3000,Transaksi!B2:B3000,"&gt;="&amp;A25,Transaksi!B2:B3000,"&lt;"&amp;EDATE(A25,1))+SUMIFS(Transaksi!H2:H3000,Transaksi!B2:B3000,"&gt;="&amp;A25,Transaksi!B2:B3000,"&lt;"&amp;EDATE(A25,1))+SUMIFS(Transaksi!I2:I3000,Transaksi!B2:B3000,"&gt;="&amp;A25,Transaksi!B2:B3000,"&lt;"&amp;EDATE(A25,1))</f>
        <v/>
      </c>
      <c r="C25" s="14">
        <f>SUMIFS(Transaksi!J2:J3000,Transaksi!B2:B3000,"&gt;="&amp;A25,Transaksi!B2:B3000,"&lt;"&amp;EDATE(A25,1))</f>
        <v/>
      </c>
      <c r="D25" s="15">
        <f>B25-C25</f>
        <v/>
      </c>
      <c r="E25" s="16">
        <f>SUM(D$9:D25)</f>
        <v/>
      </c>
    </row>
    <row r="26">
      <c r="A26" s="12">
        <f>EDATE(Tetapan!$B$22,17)</f>
        <v/>
      </c>
      <c r="B26" s="13">
        <f>SUMIFS(Transaksi!G2:G3000,Transaksi!B2:B3000,"&gt;="&amp;A26,Transaksi!B2:B3000,"&lt;"&amp;EDATE(A26,1))+SUMIFS(Transaksi!H2:H3000,Transaksi!B2:B3000,"&gt;="&amp;A26,Transaksi!B2:B3000,"&lt;"&amp;EDATE(A26,1))+SUMIFS(Transaksi!I2:I3000,Transaksi!B2:B3000,"&gt;="&amp;A26,Transaksi!B2:B3000,"&lt;"&amp;EDATE(A26,1))</f>
        <v/>
      </c>
      <c r="C26" s="14">
        <f>SUMIFS(Transaksi!J2:J3000,Transaksi!B2:B3000,"&gt;="&amp;A26,Transaksi!B2:B3000,"&lt;"&amp;EDATE(A26,1))</f>
        <v/>
      </c>
      <c r="D26" s="15">
        <f>B26-C26</f>
        <v/>
      </c>
      <c r="E26" s="16">
        <f>SUM(D$9:D26)</f>
        <v/>
      </c>
    </row>
    <row r="27">
      <c r="A27" s="12">
        <f>EDATE(Tetapan!$B$22,18)</f>
        <v/>
      </c>
      <c r="B27" s="13">
        <f>SUMIFS(Transaksi!G2:G3000,Transaksi!B2:B3000,"&gt;="&amp;A27,Transaksi!B2:B3000,"&lt;"&amp;EDATE(A27,1))+SUMIFS(Transaksi!H2:H3000,Transaksi!B2:B3000,"&gt;="&amp;A27,Transaksi!B2:B3000,"&lt;"&amp;EDATE(A27,1))+SUMIFS(Transaksi!I2:I3000,Transaksi!B2:B3000,"&gt;="&amp;A27,Transaksi!B2:B3000,"&lt;"&amp;EDATE(A27,1))</f>
        <v/>
      </c>
      <c r="C27" s="14">
        <f>SUMIFS(Transaksi!J2:J3000,Transaksi!B2:B3000,"&gt;="&amp;A27,Transaksi!B2:B3000,"&lt;"&amp;EDATE(A27,1))</f>
        <v/>
      </c>
      <c r="D27" s="15">
        <f>B27-C27</f>
        <v/>
      </c>
      <c r="E27" s="16">
        <f>SUM(D$9:D27)</f>
        <v/>
      </c>
    </row>
    <row r="28">
      <c r="A28" s="19" t="inlineStr">
        <is>
          <t>Jumlah</t>
        </is>
      </c>
      <c r="B28" s="20">
        <f>SUM(B9:B27)</f>
        <v/>
      </c>
      <c r="C28" s="20">
        <f>SUM(C9:C27)</f>
        <v/>
      </c>
      <c r="D28" s="20">
        <f>SUM(D9:D27)</f>
        <v/>
      </c>
      <c r="E28" s="21" t="n"/>
    </row>
  </sheetData>
  <mergeCells count="10">
    <mergeCell ref="A4:B4"/>
    <mergeCell ref="G4:H4"/>
    <mergeCell ref="A2:L2"/>
    <mergeCell ref="J4:K4"/>
    <mergeCell ref="J5:K5"/>
    <mergeCell ref="A1:L1"/>
    <mergeCell ref="D5:E5"/>
    <mergeCell ref="A5:B5"/>
    <mergeCell ref="G5:H5"/>
    <mergeCell ref="D4:E4"/>
  </mergeCells>
  <conditionalFormatting sqref="D9:D27">
    <cfRule type="cellIs" priority="1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B5CF6"/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0" customWidth="1" min="3" max="3"/>
    <col width="10" customWidth="1" min="4" max="4"/>
    <col width="15" customWidth="1" min="5" max="5"/>
    <col width="15" customWidth="1" min="6" max="6"/>
    <col width="15" customWidth="1" min="7" max="7"/>
    <col width="18" customWidth="1" min="8" max="8"/>
  </cols>
  <sheetData>
    <row r="1" ht="36" customHeight="1">
      <c r="A1" s="1" t="inlineStr">
        <is>
          <t>Rekod Harian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Satu baris = satu hari. Terbaru di atas. Dikemas kini automatik daripada Transaksi.</t>
        </is>
      </c>
      <c r="B2" s="2" t="n"/>
      <c r="C2" s="2" t="n"/>
      <c r="D2" s="2" t="n"/>
      <c r="E2" s="2" t="n"/>
      <c r="F2" s="2" t="n"/>
      <c r="G2" s="2" t="n"/>
      <c r="H2" s="2" t="n"/>
    </row>
    <row r="4" ht="28" customHeight="1">
      <c r="A4" s="11" t="inlineStr">
        <is>
          <t>Hari #</t>
        </is>
      </c>
      <c r="B4" s="11" t="inlineStr">
        <is>
          <t>Tarikh</t>
        </is>
      </c>
      <c r="C4" s="11" t="inlineStr">
        <is>
          <t>Hari</t>
        </is>
      </c>
      <c r="D4" s="11" t="inlineStr">
        <is>
          <t>Bil. rekod</t>
        </is>
      </c>
      <c r="E4" s="11" t="inlineStr">
        <is>
          <t>Masuk</t>
        </is>
      </c>
      <c r="F4" s="11" t="inlineStr">
        <is>
          <t>Keluar</t>
        </is>
      </c>
      <c r="G4" s="11" t="inlineStr">
        <is>
          <t>Bersih</t>
        </is>
      </c>
      <c r="H4" s="11" t="inlineStr">
        <is>
          <t>Baki hujung hari</t>
        </is>
      </c>
    </row>
    <row r="5">
      <c r="A5" s="22">
        <f>IF(1&lt;=MAX(Transaksi!$L$2:$L$3000),MAX(Transaksi!$L$2:$L$3000)-0,"")</f>
        <v/>
      </c>
      <c r="B5" s="23">
        <f>IF(A5="","",INDEX(Transaksi!$B$2:$B$3000,MATCH(A5,Transaksi!$L$2:$L$3000,0)))</f>
        <v/>
      </c>
      <c r="C5" s="24">
        <f>IF(A5="","",CHOOSE(WEEKDAY(B5,2),"Isnin","Selasa","Rabu","Khamis","Jumaat","Sabtu","Ahad"))</f>
        <v/>
      </c>
      <c r="D5" s="25">
        <f>IF(A5="","",COUNTIF(Transaksi!$L$2:$L$3000,A5))</f>
        <v/>
      </c>
      <c r="E5" s="13">
        <f>IF(A5="","",SUMIFS(Transaksi!$G$2:$G$3000,Transaksi!$L$2:$L$3000,A5)+SUMIFS(Transaksi!$H$2:$H$3000,Transaksi!$L$2:$L$3000,A5)+SUMIFS(Transaksi!$I$2:$I$3000,Transaksi!$L$2:$L$3000,A5))</f>
        <v/>
      </c>
      <c r="F5" s="14">
        <f>IF(A5="","",SUMIFS(Transaksi!$J$2:$J$3000,Transaksi!$L$2:$L$3000,A5))</f>
        <v/>
      </c>
      <c r="G5" s="15">
        <f>IF(A5="","",E5-F5)</f>
        <v/>
      </c>
      <c r="H5" s="16">
        <f>IF(A5="","",SUMIFS(Transaksi!$G$2:$G$3000,Transaksi!$L$2:$L$3000,"&lt;="&amp;A5)+SUMIFS(Transaksi!$H$2:$H$3000,Transaksi!$L$2:$L$3000,"&lt;="&amp;A5)+SUMIFS(Transaksi!$I$2:$I$3000,Transaksi!$L$2:$L$3000,"&lt;="&amp;A5)-(SUMIFS(Transaksi!$J$2:$J$3000,Transaksi!$L$2:$L$3000,"&lt;="&amp;A5)))</f>
        <v/>
      </c>
    </row>
    <row r="6">
      <c r="A6" s="22">
        <f>IF(2&lt;=MAX(Transaksi!$L$2:$L$3000),MAX(Transaksi!$L$2:$L$3000)-1,"")</f>
        <v/>
      </c>
      <c r="B6" s="23">
        <f>IF(A6="","",INDEX(Transaksi!$B$2:$B$3000,MATCH(A6,Transaksi!$L$2:$L$3000,0)))</f>
        <v/>
      </c>
      <c r="C6" s="24">
        <f>IF(A6="","",CHOOSE(WEEKDAY(B6,2),"Isnin","Selasa","Rabu","Khamis","Jumaat","Sabtu","Ahad"))</f>
        <v/>
      </c>
      <c r="D6" s="25">
        <f>IF(A6="","",COUNTIF(Transaksi!$L$2:$L$3000,A6))</f>
        <v/>
      </c>
      <c r="E6" s="13">
        <f>IF(A6="","",SUMIFS(Transaksi!$G$2:$G$3000,Transaksi!$L$2:$L$3000,A6)+SUMIFS(Transaksi!$H$2:$H$3000,Transaksi!$L$2:$L$3000,A6)+SUMIFS(Transaksi!$I$2:$I$3000,Transaksi!$L$2:$L$3000,A6))</f>
        <v/>
      </c>
      <c r="F6" s="14">
        <f>IF(A6="","",SUMIFS(Transaksi!$J$2:$J$3000,Transaksi!$L$2:$L$3000,A6))</f>
        <v/>
      </c>
      <c r="G6" s="15">
        <f>IF(A6="","",E6-F6)</f>
        <v/>
      </c>
      <c r="H6" s="16">
        <f>IF(A6="","",SUMIFS(Transaksi!$G$2:$G$3000,Transaksi!$L$2:$L$3000,"&lt;="&amp;A6)+SUMIFS(Transaksi!$H$2:$H$3000,Transaksi!$L$2:$L$3000,"&lt;="&amp;A6)+SUMIFS(Transaksi!$I$2:$I$3000,Transaksi!$L$2:$L$3000,"&lt;="&amp;A6)-(SUMIFS(Transaksi!$J$2:$J$3000,Transaksi!$L$2:$L$3000,"&lt;="&amp;A6)))</f>
        <v/>
      </c>
    </row>
    <row r="7">
      <c r="A7" s="22">
        <f>IF(3&lt;=MAX(Transaksi!$L$2:$L$3000),MAX(Transaksi!$L$2:$L$3000)-2,"")</f>
        <v/>
      </c>
      <c r="B7" s="23">
        <f>IF(A7="","",INDEX(Transaksi!$B$2:$B$3000,MATCH(A7,Transaksi!$L$2:$L$3000,0)))</f>
        <v/>
      </c>
      <c r="C7" s="24">
        <f>IF(A7="","",CHOOSE(WEEKDAY(B7,2),"Isnin","Selasa","Rabu","Khamis","Jumaat","Sabtu","Ahad"))</f>
        <v/>
      </c>
      <c r="D7" s="25">
        <f>IF(A7="","",COUNTIF(Transaksi!$L$2:$L$3000,A7))</f>
        <v/>
      </c>
      <c r="E7" s="13">
        <f>IF(A7="","",SUMIFS(Transaksi!$G$2:$G$3000,Transaksi!$L$2:$L$3000,A7)+SUMIFS(Transaksi!$H$2:$H$3000,Transaksi!$L$2:$L$3000,A7)+SUMIFS(Transaksi!$I$2:$I$3000,Transaksi!$L$2:$L$3000,A7))</f>
        <v/>
      </c>
      <c r="F7" s="14">
        <f>IF(A7="","",SUMIFS(Transaksi!$J$2:$J$3000,Transaksi!$L$2:$L$3000,A7))</f>
        <v/>
      </c>
      <c r="G7" s="15">
        <f>IF(A7="","",E7-F7)</f>
        <v/>
      </c>
      <c r="H7" s="16">
        <f>IF(A7="","",SUMIFS(Transaksi!$G$2:$G$3000,Transaksi!$L$2:$L$3000,"&lt;="&amp;A7)+SUMIFS(Transaksi!$H$2:$H$3000,Transaksi!$L$2:$L$3000,"&lt;="&amp;A7)+SUMIFS(Transaksi!$I$2:$I$3000,Transaksi!$L$2:$L$3000,"&lt;="&amp;A7)-(SUMIFS(Transaksi!$J$2:$J$3000,Transaksi!$L$2:$L$3000,"&lt;="&amp;A7)))</f>
        <v/>
      </c>
    </row>
    <row r="8">
      <c r="A8" s="22">
        <f>IF(4&lt;=MAX(Transaksi!$L$2:$L$3000),MAX(Transaksi!$L$2:$L$3000)-3,"")</f>
        <v/>
      </c>
      <c r="B8" s="23">
        <f>IF(A8="","",INDEX(Transaksi!$B$2:$B$3000,MATCH(A8,Transaksi!$L$2:$L$3000,0)))</f>
        <v/>
      </c>
      <c r="C8" s="24">
        <f>IF(A8="","",CHOOSE(WEEKDAY(B8,2),"Isnin","Selasa","Rabu","Khamis","Jumaat","Sabtu","Ahad"))</f>
        <v/>
      </c>
      <c r="D8" s="25">
        <f>IF(A8="","",COUNTIF(Transaksi!$L$2:$L$3000,A8))</f>
        <v/>
      </c>
      <c r="E8" s="13">
        <f>IF(A8="","",SUMIFS(Transaksi!$G$2:$G$3000,Transaksi!$L$2:$L$3000,A8)+SUMIFS(Transaksi!$H$2:$H$3000,Transaksi!$L$2:$L$3000,A8)+SUMIFS(Transaksi!$I$2:$I$3000,Transaksi!$L$2:$L$3000,A8))</f>
        <v/>
      </c>
      <c r="F8" s="14">
        <f>IF(A8="","",SUMIFS(Transaksi!$J$2:$J$3000,Transaksi!$L$2:$L$3000,A8))</f>
        <v/>
      </c>
      <c r="G8" s="15">
        <f>IF(A8="","",E8-F8)</f>
        <v/>
      </c>
      <c r="H8" s="16">
        <f>IF(A8="","",SUMIFS(Transaksi!$G$2:$G$3000,Transaksi!$L$2:$L$3000,"&lt;="&amp;A8)+SUMIFS(Transaksi!$H$2:$H$3000,Transaksi!$L$2:$L$3000,"&lt;="&amp;A8)+SUMIFS(Transaksi!$I$2:$I$3000,Transaksi!$L$2:$L$3000,"&lt;="&amp;A8)-(SUMIFS(Transaksi!$J$2:$J$3000,Transaksi!$L$2:$L$3000,"&lt;="&amp;A8)))</f>
        <v/>
      </c>
    </row>
    <row r="9">
      <c r="A9" s="22">
        <f>IF(5&lt;=MAX(Transaksi!$L$2:$L$3000),MAX(Transaksi!$L$2:$L$3000)-4,"")</f>
        <v/>
      </c>
      <c r="B9" s="23">
        <f>IF(A9="","",INDEX(Transaksi!$B$2:$B$3000,MATCH(A9,Transaksi!$L$2:$L$3000,0)))</f>
        <v/>
      </c>
      <c r="C9" s="24">
        <f>IF(A9="","",CHOOSE(WEEKDAY(B9,2),"Isnin","Selasa","Rabu","Khamis","Jumaat","Sabtu","Ahad"))</f>
        <v/>
      </c>
      <c r="D9" s="25">
        <f>IF(A9="","",COUNTIF(Transaksi!$L$2:$L$3000,A9))</f>
        <v/>
      </c>
      <c r="E9" s="13">
        <f>IF(A9="","",SUMIFS(Transaksi!$G$2:$G$3000,Transaksi!$L$2:$L$3000,A9)+SUMIFS(Transaksi!$H$2:$H$3000,Transaksi!$L$2:$L$3000,A9)+SUMIFS(Transaksi!$I$2:$I$3000,Transaksi!$L$2:$L$3000,A9))</f>
        <v/>
      </c>
      <c r="F9" s="14">
        <f>IF(A9="","",SUMIFS(Transaksi!$J$2:$J$3000,Transaksi!$L$2:$L$3000,A9))</f>
        <v/>
      </c>
      <c r="G9" s="15">
        <f>IF(A9="","",E9-F9)</f>
        <v/>
      </c>
      <c r="H9" s="16">
        <f>IF(A9="","",SUMIFS(Transaksi!$G$2:$G$3000,Transaksi!$L$2:$L$3000,"&lt;="&amp;A9)+SUMIFS(Transaksi!$H$2:$H$3000,Transaksi!$L$2:$L$3000,"&lt;="&amp;A9)+SUMIFS(Transaksi!$I$2:$I$3000,Transaksi!$L$2:$L$3000,"&lt;="&amp;A9)-(SUMIFS(Transaksi!$J$2:$J$3000,Transaksi!$L$2:$L$3000,"&lt;="&amp;A9)))</f>
        <v/>
      </c>
    </row>
    <row r="10">
      <c r="A10" s="22">
        <f>IF(6&lt;=MAX(Transaksi!$L$2:$L$3000),MAX(Transaksi!$L$2:$L$3000)-5,"")</f>
        <v/>
      </c>
      <c r="B10" s="23">
        <f>IF(A10="","",INDEX(Transaksi!$B$2:$B$3000,MATCH(A10,Transaksi!$L$2:$L$3000,0)))</f>
        <v/>
      </c>
      <c r="C10" s="24">
        <f>IF(A10="","",CHOOSE(WEEKDAY(B10,2),"Isnin","Selasa","Rabu","Khamis","Jumaat","Sabtu","Ahad"))</f>
        <v/>
      </c>
      <c r="D10" s="25">
        <f>IF(A10="","",COUNTIF(Transaksi!$L$2:$L$3000,A10))</f>
        <v/>
      </c>
      <c r="E10" s="13">
        <f>IF(A10="","",SUMIFS(Transaksi!$G$2:$G$3000,Transaksi!$L$2:$L$3000,A10)+SUMIFS(Transaksi!$H$2:$H$3000,Transaksi!$L$2:$L$3000,A10)+SUMIFS(Transaksi!$I$2:$I$3000,Transaksi!$L$2:$L$3000,A10))</f>
        <v/>
      </c>
      <c r="F10" s="14">
        <f>IF(A10="","",SUMIFS(Transaksi!$J$2:$J$3000,Transaksi!$L$2:$L$3000,A10))</f>
        <v/>
      </c>
      <c r="G10" s="15">
        <f>IF(A10="","",E10-F10)</f>
        <v/>
      </c>
      <c r="H10" s="16">
        <f>IF(A10="","",SUMIFS(Transaksi!$G$2:$G$3000,Transaksi!$L$2:$L$3000,"&lt;="&amp;A10)+SUMIFS(Transaksi!$H$2:$H$3000,Transaksi!$L$2:$L$3000,"&lt;="&amp;A10)+SUMIFS(Transaksi!$I$2:$I$3000,Transaksi!$L$2:$L$3000,"&lt;="&amp;A10)-(SUMIFS(Transaksi!$J$2:$J$3000,Transaksi!$L$2:$L$3000,"&lt;="&amp;A10)))</f>
        <v/>
      </c>
    </row>
    <row r="11">
      <c r="A11" s="22">
        <f>IF(7&lt;=MAX(Transaksi!$L$2:$L$3000),MAX(Transaksi!$L$2:$L$3000)-6,"")</f>
        <v/>
      </c>
      <c r="B11" s="23">
        <f>IF(A11="","",INDEX(Transaksi!$B$2:$B$3000,MATCH(A11,Transaksi!$L$2:$L$3000,0)))</f>
        <v/>
      </c>
      <c r="C11" s="24">
        <f>IF(A11="","",CHOOSE(WEEKDAY(B11,2),"Isnin","Selasa","Rabu","Khamis","Jumaat","Sabtu","Ahad"))</f>
        <v/>
      </c>
      <c r="D11" s="25">
        <f>IF(A11="","",COUNTIF(Transaksi!$L$2:$L$3000,A11))</f>
        <v/>
      </c>
      <c r="E11" s="13">
        <f>IF(A11="","",SUMIFS(Transaksi!$G$2:$G$3000,Transaksi!$L$2:$L$3000,A11)+SUMIFS(Transaksi!$H$2:$H$3000,Transaksi!$L$2:$L$3000,A11)+SUMIFS(Transaksi!$I$2:$I$3000,Transaksi!$L$2:$L$3000,A11))</f>
        <v/>
      </c>
      <c r="F11" s="14">
        <f>IF(A11="","",SUMIFS(Transaksi!$J$2:$J$3000,Transaksi!$L$2:$L$3000,A11))</f>
        <v/>
      </c>
      <c r="G11" s="15">
        <f>IF(A11="","",E11-F11)</f>
        <v/>
      </c>
      <c r="H11" s="16">
        <f>IF(A11="","",SUMIFS(Transaksi!$G$2:$G$3000,Transaksi!$L$2:$L$3000,"&lt;="&amp;A11)+SUMIFS(Transaksi!$H$2:$H$3000,Transaksi!$L$2:$L$3000,"&lt;="&amp;A11)+SUMIFS(Transaksi!$I$2:$I$3000,Transaksi!$L$2:$L$3000,"&lt;="&amp;A11)-(SUMIFS(Transaksi!$J$2:$J$3000,Transaksi!$L$2:$L$3000,"&lt;="&amp;A11)))</f>
        <v/>
      </c>
    </row>
    <row r="12">
      <c r="A12" s="22">
        <f>IF(8&lt;=MAX(Transaksi!$L$2:$L$3000),MAX(Transaksi!$L$2:$L$3000)-7,"")</f>
        <v/>
      </c>
      <c r="B12" s="23">
        <f>IF(A12="","",INDEX(Transaksi!$B$2:$B$3000,MATCH(A12,Transaksi!$L$2:$L$3000,0)))</f>
        <v/>
      </c>
      <c r="C12" s="24">
        <f>IF(A12="","",CHOOSE(WEEKDAY(B12,2),"Isnin","Selasa","Rabu","Khamis","Jumaat","Sabtu","Ahad"))</f>
        <v/>
      </c>
      <c r="D12" s="25">
        <f>IF(A12="","",COUNTIF(Transaksi!$L$2:$L$3000,A12))</f>
        <v/>
      </c>
      <c r="E12" s="13">
        <f>IF(A12="","",SUMIFS(Transaksi!$G$2:$G$3000,Transaksi!$L$2:$L$3000,A12)+SUMIFS(Transaksi!$H$2:$H$3000,Transaksi!$L$2:$L$3000,A12)+SUMIFS(Transaksi!$I$2:$I$3000,Transaksi!$L$2:$L$3000,A12))</f>
        <v/>
      </c>
      <c r="F12" s="14">
        <f>IF(A12="","",SUMIFS(Transaksi!$J$2:$J$3000,Transaksi!$L$2:$L$3000,A12))</f>
        <v/>
      </c>
      <c r="G12" s="15">
        <f>IF(A12="","",E12-F12)</f>
        <v/>
      </c>
      <c r="H12" s="16">
        <f>IF(A12="","",SUMIFS(Transaksi!$G$2:$G$3000,Transaksi!$L$2:$L$3000,"&lt;="&amp;A12)+SUMIFS(Transaksi!$H$2:$H$3000,Transaksi!$L$2:$L$3000,"&lt;="&amp;A12)+SUMIFS(Transaksi!$I$2:$I$3000,Transaksi!$L$2:$L$3000,"&lt;="&amp;A12)-(SUMIFS(Transaksi!$J$2:$J$3000,Transaksi!$L$2:$L$3000,"&lt;="&amp;A12)))</f>
        <v/>
      </c>
    </row>
    <row r="13">
      <c r="A13" s="22">
        <f>IF(9&lt;=MAX(Transaksi!$L$2:$L$3000),MAX(Transaksi!$L$2:$L$3000)-8,"")</f>
        <v/>
      </c>
      <c r="B13" s="23">
        <f>IF(A13="","",INDEX(Transaksi!$B$2:$B$3000,MATCH(A13,Transaksi!$L$2:$L$3000,0)))</f>
        <v/>
      </c>
      <c r="C13" s="24">
        <f>IF(A13="","",CHOOSE(WEEKDAY(B13,2),"Isnin","Selasa","Rabu","Khamis","Jumaat","Sabtu","Ahad"))</f>
        <v/>
      </c>
      <c r="D13" s="25">
        <f>IF(A13="","",COUNTIF(Transaksi!$L$2:$L$3000,A13))</f>
        <v/>
      </c>
      <c r="E13" s="13">
        <f>IF(A13="","",SUMIFS(Transaksi!$G$2:$G$3000,Transaksi!$L$2:$L$3000,A13)+SUMIFS(Transaksi!$H$2:$H$3000,Transaksi!$L$2:$L$3000,A13)+SUMIFS(Transaksi!$I$2:$I$3000,Transaksi!$L$2:$L$3000,A13))</f>
        <v/>
      </c>
      <c r="F13" s="14">
        <f>IF(A13="","",SUMIFS(Transaksi!$J$2:$J$3000,Transaksi!$L$2:$L$3000,A13))</f>
        <v/>
      </c>
      <c r="G13" s="15">
        <f>IF(A13="","",E13-F13)</f>
        <v/>
      </c>
      <c r="H13" s="16">
        <f>IF(A13="","",SUMIFS(Transaksi!$G$2:$G$3000,Transaksi!$L$2:$L$3000,"&lt;="&amp;A13)+SUMIFS(Transaksi!$H$2:$H$3000,Transaksi!$L$2:$L$3000,"&lt;="&amp;A13)+SUMIFS(Transaksi!$I$2:$I$3000,Transaksi!$L$2:$L$3000,"&lt;="&amp;A13)-(SUMIFS(Transaksi!$J$2:$J$3000,Transaksi!$L$2:$L$3000,"&lt;="&amp;A13)))</f>
        <v/>
      </c>
    </row>
    <row r="14">
      <c r="A14" s="22">
        <f>IF(10&lt;=MAX(Transaksi!$L$2:$L$3000),MAX(Transaksi!$L$2:$L$3000)-9,"")</f>
        <v/>
      </c>
      <c r="B14" s="23">
        <f>IF(A14="","",INDEX(Transaksi!$B$2:$B$3000,MATCH(A14,Transaksi!$L$2:$L$3000,0)))</f>
        <v/>
      </c>
      <c r="C14" s="24">
        <f>IF(A14="","",CHOOSE(WEEKDAY(B14,2),"Isnin","Selasa","Rabu","Khamis","Jumaat","Sabtu","Ahad"))</f>
        <v/>
      </c>
      <c r="D14" s="25">
        <f>IF(A14="","",COUNTIF(Transaksi!$L$2:$L$3000,A14))</f>
        <v/>
      </c>
      <c r="E14" s="13">
        <f>IF(A14="","",SUMIFS(Transaksi!$G$2:$G$3000,Transaksi!$L$2:$L$3000,A14)+SUMIFS(Transaksi!$H$2:$H$3000,Transaksi!$L$2:$L$3000,A14)+SUMIFS(Transaksi!$I$2:$I$3000,Transaksi!$L$2:$L$3000,A14))</f>
        <v/>
      </c>
      <c r="F14" s="14">
        <f>IF(A14="","",SUMIFS(Transaksi!$J$2:$J$3000,Transaksi!$L$2:$L$3000,A14))</f>
        <v/>
      </c>
      <c r="G14" s="15">
        <f>IF(A14="","",E14-F14)</f>
        <v/>
      </c>
      <c r="H14" s="16">
        <f>IF(A14="","",SUMIFS(Transaksi!$G$2:$G$3000,Transaksi!$L$2:$L$3000,"&lt;="&amp;A14)+SUMIFS(Transaksi!$H$2:$H$3000,Transaksi!$L$2:$L$3000,"&lt;="&amp;A14)+SUMIFS(Transaksi!$I$2:$I$3000,Transaksi!$L$2:$L$3000,"&lt;="&amp;A14)-(SUMIFS(Transaksi!$J$2:$J$3000,Transaksi!$L$2:$L$3000,"&lt;="&amp;A14)))</f>
        <v/>
      </c>
    </row>
    <row r="15">
      <c r="A15" s="22">
        <f>IF(11&lt;=MAX(Transaksi!$L$2:$L$3000),MAX(Transaksi!$L$2:$L$3000)-10,"")</f>
        <v/>
      </c>
      <c r="B15" s="23">
        <f>IF(A15="","",INDEX(Transaksi!$B$2:$B$3000,MATCH(A15,Transaksi!$L$2:$L$3000,0)))</f>
        <v/>
      </c>
      <c r="C15" s="24">
        <f>IF(A15="","",CHOOSE(WEEKDAY(B15,2),"Isnin","Selasa","Rabu","Khamis","Jumaat","Sabtu","Ahad"))</f>
        <v/>
      </c>
      <c r="D15" s="25">
        <f>IF(A15="","",COUNTIF(Transaksi!$L$2:$L$3000,A15))</f>
        <v/>
      </c>
      <c r="E15" s="13">
        <f>IF(A15="","",SUMIFS(Transaksi!$G$2:$G$3000,Transaksi!$L$2:$L$3000,A15)+SUMIFS(Transaksi!$H$2:$H$3000,Transaksi!$L$2:$L$3000,A15)+SUMIFS(Transaksi!$I$2:$I$3000,Transaksi!$L$2:$L$3000,A15))</f>
        <v/>
      </c>
      <c r="F15" s="14">
        <f>IF(A15="","",SUMIFS(Transaksi!$J$2:$J$3000,Transaksi!$L$2:$L$3000,A15))</f>
        <v/>
      </c>
      <c r="G15" s="15">
        <f>IF(A15="","",E15-F15)</f>
        <v/>
      </c>
      <c r="H15" s="16">
        <f>IF(A15="","",SUMIFS(Transaksi!$G$2:$G$3000,Transaksi!$L$2:$L$3000,"&lt;="&amp;A15)+SUMIFS(Transaksi!$H$2:$H$3000,Transaksi!$L$2:$L$3000,"&lt;="&amp;A15)+SUMIFS(Transaksi!$I$2:$I$3000,Transaksi!$L$2:$L$3000,"&lt;="&amp;A15)-(SUMIFS(Transaksi!$J$2:$J$3000,Transaksi!$L$2:$L$3000,"&lt;="&amp;A15)))</f>
        <v/>
      </c>
    </row>
    <row r="16">
      <c r="A16" s="22">
        <f>IF(12&lt;=MAX(Transaksi!$L$2:$L$3000),MAX(Transaksi!$L$2:$L$3000)-11,"")</f>
        <v/>
      </c>
      <c r="B16" s="23">
        <f>IF(A16="","",INDEX(Transaksi!$B$2:$B$3000,MATCH(A16,Transaksi!$L$2:$L$3000,0)))</f>
        <v/>
      </c>
      <c r="C16" s="24">
        <f>IF(A16="","",CHOOSE(WEEKDAY(B16,2),"Isnin","Selasa","Rabu","Khamis","Jumaat","Sabtu","Ahad"))</f>
        <v/>
      </c>
      <c r="D16" s="25">
        <f>IF(A16="","",COUNTIF(Transaksi!$L$2:$L$3000,A16))</f>
        <v/>
      </c>
      <c r="E16" s="13">
        <f>IF(A16="","",SUMIFS(Transaksi!$G$2:$G$3000,Transaksi!$L$2:$L$3000,A16)+SUMIFS(Transaksi!$H$2:$H$3000,Transaksi!$L$2:$L$3000,A16)+SUMIFS(Transaksi!$I$2:$I$3000,Transaksi!$L$2:$L$3000,A16))</f>
        <v/>
      </c>
      <c r="F16" s="14">
        <f>IF(A16="","",SUMIFS(Transaksi!$J$2:$J$3000,Transaksi!$L$2:$L$3000,A16))</f>
        <v/>
      </c>
      <c r="G16" s="15">
        <f>IF(A16="","",E16-F16)</f>
        <v/>
      </c>
      <c r="H16" s="16">
        <f>IF(A16="","",SUMIFS(Transaksi!$G$2:$G$3000,Transaksi!$L$2:$L$3000,"&lt;="&amp;A16)+SUMIFS(Transaksi!$H$2:$H$3000,Transaksi!$L$2:$L$3000,"&lt;="&amp;A16)+SUMIFS(Transaksi!$I$2:$I$3000,Transaksi!$L$2:$L$3000,"&lt;="&amp;A16)-(SUMIFS(Transaksi!$J$2:$J$3000,Transaksi!$L$2:$L$3000,"&lt;="&amp;A16)))</f>
        <v/>
      </c>
    </row>
    <row r="17">
      <c r="A17" s="22">
        <f>IF(13&lt;=MAX(Transaksi!$L$2:$L$3000),MAX(Transaksi!$L$2:$L$3000)-12,"")</f>
        <v/>
      </c>
      <c r="B17" s="23">
        <f>IF(A17="","",INDEX(Transaksi!$B$2:$B$3000,MATCH(A17,Transaksi!$L$2:$L$3000,0)))</f>
        <v/>
      </c>
      <c r="C17" s="24">
        <f>IF(A17="","",CHOOSE(WEEKDAY(B17,2),"Isnin","Selasa","Rabu","Khamis","Jumaat","Sabtu","Ahad"))</f>
        <v/>
      </c>
      <c r="D17" s="25">
        <f>IF(A17="","",COUNTIF(Transaksi!$L$2:$L$3000,A17))</f>
        <v/>
      </c>
      <c r="E17" s="13">
        <f>IF(A17="","",SUMIFS(Transaksi!$G$2:$G$3000,Transaksi!$L$2:$L$3000,A17)+SUMIFS(Transaksi!$H$2:$H$3000,Transaksi!$L$2:$L$3000,A17)+SUMIFS(Transaksi!$I$2:$I$3000,Transaksi!$L$2:$L$3000,A17))</f>
        <v/>
      </c>
      <c r="F17" s="14">
        <f>IF(A17="","",SUMIFS(Transaksi!$J$2:$J$3000,Transaksi!$L$2:$L$3000,A17))</f>
        <v/>
      </c>
      <c r="G17" s="15">
        <f>IF(A17="","",E17-F17)</f>
        <v/>
      </c>
      <c r="H17" s="16">
        <f>IF(A17="","",SUMIFS(Transaksi!$G$2:$G$3000,Transaksi!$L$2:$L$3000,"&lt;="&amp;A17)+SUMIFS(Transaksi!$H$2:$H$3000,Transaksi!$L$2:$L$3000,"&lt;="&amp;A17)+SUMIFS(Transaksi!$I$2:$I$3000,Transaksi!$L$2:$L$3000,"&lt;="&amp;A17)-(SUMIFS(Transaksi!$J$2:$J$3000,Transaksi!$L$2:$L$3000,"&lt;="&amp;A17)))</f>
        <v/>
      </c>
    </row>
    <row r="18">
      <c r="A18" s="22">
        <f>IF(14&lt;=MAX(Transaksi!$L$2:$L$3000),MAX(Transaksi!$L$2:$L$3000)-13,"")</f>
        <v/>
      </c>
      <c r="B18" s="23">
        <f>IF(A18="","",INDEX(Transaksi!$B$2:$B$3000,MATCH(A18,Transaksi!$L$2:$L$3000,0)))</f>
        <v/>
      </c>
      <c r="C18" s="24">
        <f>IF(A18="","",CHOOSE(WEEKDAY(B18,2),"Isnin","Selasa","Rabu","Khamis","Jumaat","Sabtu","Ahad"))</f>
        <v/>
      </c>
      <c r="D18" s="25">
        <f>IF(A18="","",COUNTIF(Transaksi!$L$2:$L$3000,A18))</f>
        <v/>
      </c>
      <c r="E18" s="13">
        <f>IF(A18="","",SUMIFS(Transaksi!$G$2:$G$3000,Transaksi!$L$2:$L$3000,A18)+SUMIFS(Transaksi!$H$2:$H$3000,Transaksi!$L$2:$L$3000,A18)+SUMIFS(Transaksi!$I$2:$I$3000,Transaksi!$L$2:$L$3000,A18))</f>
        <v/>
      </c>
      <c r="F18" s="14">
        <f>IF(A18="","",SUMIFS(Transaksi!$J$2:$J$3000,Transaksi!$L$2:$L$3000,A18))</f>
        <v/>
      </c>
      <c r="G18" s="15">
        <f>IF(A18="","",E18-F18)</f>
        <v/>
      </c>
      <c r="H18" s="16">
        <f>IF(A18="","",SUMIFS(Transaksi!$G$2:$G$3000,Transaksi!$L$2:$L$3000,"&lt;="&amp;A18)+SUMIFS(Transaksi!$H$2:$H$3000,Transaksi!$L$2:$L$3000,"&lt;="&amp;A18)+SUMIFS(Transaksi!$I$2:$I$3000,Transaksi!$L$2:$L$3000,"&lt;="&amp;A18)-(SUMIFS(Transaksi!$J$2:$J$3000,Transaksi!$L$2:$L$3000,"&lt;="&amp;A18)))</f>
        <v/>
      </c>
    </row>
    <row r="19">
      <c r="A19" s="22">
        <f>IF(15&lt;=MAX(Transaksi!$L$2:$L$3000),MAX(Transaksi!$L$2:$L$3000)-14,"")</f>
        <v/>
      </c>
      <c r="B19" s="23">
        <f>IF(A19="","",INDEX(Transaksi!$B$2:$B$3000,MATCH(A19,Transaksi!$L$2:$L$3000,0)))</f>
        <v/>
      </c>
      <c r="C19" s="24">
        <f>IF(A19="","",CHOOSE(WEEKDAY(B19,2),"Isnin","Selasa","Rabu","Khamis","Jumaat","Sabtu","Ahad"))</f>
        <v/>
      </c>
      <c r="D19" s="25">
        <f>IF(A19="","",COUNTIF(Transaksi!$L$2:$L$3000,A19))</f>
        <v/>
      </c>
      <c r="E19" s="13">
        <f>IF(A19="","",SUMIFS(Transaksi!$G$2:$G$3000,Transaksi!$L$2:$L$3000,A19)+SUMIFS(Transaksi!$H$2:$H$3000,Transaksi!$L$2:$L$3000,A19)+SUMIFS(Transaksi!$I$2:$I$3000,Transaksi!$L$2:$L$3000,A19))</f>
        <v/>
      </c>
      <c r="F19" s="14">
        <f>IF(A19="","",SUMIFS(Transaksi!$J$2:$J$3000,Transaksi!$L$2:$L$3000,A19))</f>
        <v/>
      </c>
      <c r="G19" s="15">
        <f>IF(A19="","",E19-F19)</f>
        <v/>
      </c>
      <c r="H19" s="16">
        <f>IF(A19="","",SUMIFS(Transaksi!$G$2:$G$3000,Transaksi!$L$2:$L$3000,"&lt;="&amp;A19)+SUMIFS(Transaksi!$H$2:$H$3000,Transaksi!$L$2:$L$3000,"&lt;="&amp;A19)+SUMIFS(Transaksi!$I$2:$I$3000,Transaksi!$L$2:$L$3000,"&lt;="&amp;A19)-(SUMIFS(Transaksi!$J$2:$J$3000,Transaksi!$L$2:$L$3000,"&lt;="&amp;A19)))</f>
        <v/>
      </c>
    </row>
    <row r="20">
      <c r="A20" s="22">
        <f>IF(16&lt;=MAX(Transaksi!$L$2:$L$3000),MAX(Transaksi!$L$2:$L$3000)-15,"")</f>
        <v/>
      </c>
      <c r="B20" s="23">
        <f>IF(A20="","",INDEX(Transaksi!$B$2:$B$3000,MATCH(A20,Transaksi!$L$2:$L$3000,0)))</f>
        <v/>
      </c>
      <c r="C20" s="24">
        <f>IF(A20="","",CHOOSE(WEEKDAY(B20,2),"Isnin","Selasa","Rabu","Khamis","Jumaat","Sabtu","Ahad"))</f>
        <v/>
      </c>
      <c r="D20" s="25">
        <f>IF(A20="","",COUNTIF(Transaksi!$L$2:$L$3000,A20))</f>
        <v/>
      </c>
      <c r="E20" s="13">
        <f>IF(A20="","",SUMIFS(Transaksi!$G$2:$G$3000,Transaksi!$L$2:$L$3000,A20)+SUMIFS(Transaksi!$H$2:$H$3000,Transaksi!$L$2:$L$3000,A20)+SUMIFS(Transaksi!$I$2:$I$3000,Transaksi!$L$2:$L$3000,A20))</f>
        <v/>
      </c>
      <c r="F20" s="14">
        <f>IF(A20="","",SUMIFS(Transaksi!$J$2:$J$3000,Transaksi!$L$2:$L$3000,A20))</f>
        <v/>
      </c>
      <c r="G20" s="15">
        <f>IF(A20="","",E20-F20)</f>
        <v/>
      </c>
      <c r="H20" s="16">
        <f>IF(A20="","",SUMIFS(Transaksi!$G$2:$G$3000,Transaksi!$L$2:$L$3000,"&lt;="&amp;A20)+SUMIFS(Transaksi!$H$2:$H$3000,Transaksi!$L$2:$L$3000,"&lt;="&amp;A20)+SUMIFS(Transaksi!$I$2:$I$3000,Transaksi!$L$2:$L$3000,"&lt;="&amp;A20)-(SUMIFS(Transaksi!$J$2:$J$3000,Transaksi!$L$2:$L$3000,"&lt;="&amp;A20)))</f>
        <v/>
      </c>
    </row>
    <row r="21">
      <c r="A21" s="22">
        <f>IF(17&lt;=MAX(Transaksi!$L$2:$L$3000),MAX(Transaksi!$L$2:$L$3000)-16,"")</f>
        <v/>
      </c>
      <c r="B21" s="23">
        <f>IF(A21="","",INDEX(Transaksi!$B$2:$B$3000,MATCH(A21,Transaksi!$L$2:$L$3000,0)))</f>
        <v/>
      </c>
      <c r="C21" s="24">
        <f>IF(A21="","",CHOOSE(WEEKDAY(B21,2),"Isnin","Selasa","Rabu","Khamis","Jumaat","Sabtu","Ahad"))</f>
        <v/>
      </c>
      <c r="D21" s="25">
        <f>IF(A21="","",COUNTIF(Transaksi!$L$2:$L$3000,A21))</f>
        <v/>
      </c>
      <c r="E21" s="13">
        <f>IF(A21="","",SUMIFS(Transaksi!$G$2:$G$3000,Transaksi!$L$2:$L$3000,A21)+SUMIFS(Transaksi!$H$2:$H$3000,Transaksi!$L$2:$L$3000,A21)+SUMIFS(Transaksi!$I$2:$I$3000,Transaksi!$L$2:$L$3000,A21))</f>
        <v/>
      </c>
      <c r="F21" s="14">
        <f>IF(A21="","",SUMIFS(Transaksi!$J$2:$J$3000,Transaksi!$L$2:$L$3000,A21))</f>
        <v/>
      </c>
      <c r="G21" s="15">
        <f>IF(A21="","",E21-F21)</f>
        <v/>
      </c>
      <c r="H21" s="16">
        <f>IF(A21="","",SUMIFS(Transaksi!$G$2:$G$3000,Transaksi!$L$2:$L$3000,"&lt;="&amp;A21)+SUMIFS(Transaksi!$H$2:$H$3000,Transaksi!$L$2:$L$3000,"&lt;="&amp;A21)+SUMIFS(Transaksi!$I$2:$I$3000,Transaksi!$L$2:$L$3000,"&lt;="&amp;A21)-(SUMIFS(Transaksi!$J$2:$J$3000,Transaksi!$L$2:$L$3000,"&lt;="&amp;A21)))</f>
        <v/>
      </c>
    </row>
    <row r="22">
      <c r="A22" s="22">
        <f>IF(18&lt;=MAX(Transaksi!$L$2:$L$3000),MAX(Transaksi!$L$2:$L$3000)-17,"")</f>
        <v/>
      </c>
      <c r="B22" s="23">
        <f>IF(A22="","",INDEX(Transaksi!$B$2:$B$3000,MATCH(A22,Transaksi!$L$2:$L$3000,0)))</f>
        <v/>
      </c>
      <c r="C22" s="24">
        <f>IF(A22="","",CHOOSE(WEEKDAY(B22,2),"Isnin","Selasa","Rabu","Khamis","Jumaat","Sabtu","Ahad"))</f>
        <v/>
      </c>
      <c r="D22" s="25">
        <f>IF(A22="","",COUNTIF(Transaksi!$L$2:$L$3000,A22))</f>
        <v/>
      </c>
      <c r="E22" s="13">
        <f>IF(A22="","",SUMIFS(Transaksi!$G$2:$G$3000,Transaksi!$L$2:$L$3000,A22)+SUMIFS(Transaksi!$H$2:$H$3000,Transaksi!$L$2:$L$3000,A22)+SUMIFS(Transaksi!$I$2:$I$3000,Transaksi!$L$2:$L$3000,A22))</f>
        <v/>
      </c>
      <c r="F22" s="14">
        <f>IF(A22="","",SUMIFS(Transaksi!$J$2:$J$3000,Transaksi!$L$2:$L$3000,A22))</f>
        <v/>
      </c>
      <c r="G22" s="15">
        <f>IF(A22="","",E22-F22)</f>
        <v/>
      </c>
      <c r="H22" s="16">
        <f>IF(A22="","",SUMIFS(Transaksi!$G$2:$G$3000,Transaksi!$L$2:$L$3000,"&lt;="&amp;A22)+SUMIFS(Transaksi!$H$2:$H$3000,Transaksi!$L$2:$L$3000,"&lt;="&amp;A22)+SUMIFS(Transaksi!$I$2:$I$3000,Transaksi!$L$2:$L$3000,"&lt;="&amp;A22)-(SUMIFS(Transaksi!$J$2:$J$3000,Transaksi!$L$2:$L$3000,"&lt;="&amp;A22)))</f>
        <v/>
      </c>
    </row>
    <row r="23">
      <c r="A23" s="22">
        <f>IF(19&lt;=MAX(Transaksi!$L$2:$L$3000),MAX(Transaksi!$L$2:$L$3000)-18,"")</f>
        <v/>
      </c>
      <c r="B23" s="23">
        <f>IF(A23="","",INDEX(Transaksi!$B$2:$B$3000,MATCH(A23,Transaksi!$L$2:$L$3000,0)))</f>
        <v/>
      </c>
      <c r="C23" s="24">
        <f>IF(A23="","",CHOOSE(WEEKDAY(B23,2),"Isnin","Selasa","Rabu","Khamis","Jumaat","Sabtu","Ahad"))</f>
        <v/>
      </c>
      <c r="D23" s="25">
        <f>IF(A23="","",COUNTIF(Transaksi!$L$2:$L$3000,A23))</f>
        <v/>
      </c>
      <c r="E23" s="13">
        <f>IF(A23="","",SUMIFS(Transaksi!$G$2:$G$3000,Transaksi!$L$2:$L$3000,A23)+SUMIFS(Transaksi!$H$2:$H$3000,Transaksi!$L$2:$L$3000,A23)+SUMIFS(Transaksi!$I$2:$I$3000,Transaksi!$L$2:$L$3000,A23))</f>
        <v/>
      </c>
      <c r="F23" s="14">
        <f>IF(A23="","",SUMIFS(Transaksi!$J$2:$J$3000,Transaksi!$L$2:$L$3000,A23))</f>
        <v/>
      </c>
      <c r="G23" s="15">
        <f>IF(A23="","",E23-F23)</f>
        <v/>
      </c>
      <c r="H23" s="16">
        <f>IF(A23="","",SUMIFS(Transaksi!$G$2:$G$3000,Transaksi!$L$2:$L$3000,"&lt;="&amp;A23)+SUMIFS(Transaksi!$H$2:$H$3000,Transaksi!$L$2:$L$3000,"&lt;="&amp;A23)+SUMIFS(Transaksi!$I$2:$I$3000,Transaksi!$L$2:$L$3000,"&lt;="&amp;A23)-(SUMIFS(Transaksi!$J$2:$J$3000,Transaksi!$L$2:$L$3000,"&lt;="&amp;A23)))</f>
        <v/>
      </c>
    </row>
    <row r="24">
      <c r="A24" s="22">
        <f>IF(20&lt;=MAX(Transaksi!$L$2:$L$3000),MAX(Transaksi!$L$2:$L$3000)-19,"")</f>
        <v/>
      </c>
      <c r="B24" s="23">
        <f>IF(A24="","",INDEX(Transaksi!$B$2:$B$3000,MATCH(A24,Transaksi!$L$2:$L$3000,0)))</f>
        <v/>
      </c>
      <c r="C24" s="24">
        <f>IF(A24="","",CHOOSE(WEEKDAY(B24,2),"Isnin","Selasa","Rabu","Khamis","Jumaat","Sabtu","Ahad"))</f>
        <v/>
      </c>
      <c r="D24" s="25">
        <f>IF(A24="","",COUNTIF(Transaksi!$L$2:$L$3000,A24))</f>
        <v/>
      </c>
      <c r="E24" s="13">
        <f>IF(A24="","",SUMIFS(Transaksi!$G$2:$G$3000,Transaksi!$L$2:$L$3000,A24)+SUMIFS(Transaksi!$H$2:$H$3000,Transaksi!$L$2:$L$3000,A24)+SUMIFS(Transaksi!$I$2:$I$3000,Transaksi!$L$2:$L$3000,A24))</f>
        <v/>
      </c>
      <c r="F24" s="14">
        <f>IF(A24="","",SUMIFS(Transaksi!$J$2:$J$3000,Transaksi!$L$2:$L$3000,A24))</f>
        <v/>
      </c>
      <c r="G24" s="15">
        <f>IF(A24="","",E24-F24)</f>
        <v/>
      </c>
      <c r="H24" s="16">
        <f>IF(A24="","",SUMIFS(Transaksi!$G$2:$G$3000,Transaksi!$L$2:$L$3000,"&lt;="&amp;A24)+SUMIFS(Transaksi!$H$2:$H$3000,Transaksi!$L$2:$L$3000,"&lt;="&amp;A24)+SUMIFS(Transaksi!$I$2:$I$3000,Transaksi!$L$2:$L$3000,"&lt;="&amp;A24)-(SUMIFS(Transaksi!$J$2:$J$3000,Transaksi!$L$2:$L$3000,"&lt;="&amp;A24)))</f>
        <v/>
      </c>
    </row>
    <row r="25">
      <c r="A25" s="22">
        <f>IF(21&lt;=MAX(Transaksi!$L$2:$L$3000),MAX(Transaksi!$L$2:$L$3000)-20,"")</f>
        <v/>
      </c>
      <c r="B25" s="23">
        <f>IF(A25="","",INDEX(Transaksi!$B$2:$B$3000,MATCH(A25,Transaksi!$L$2:$L$3000,0)))</f>
        <v/>
      </c>
      <c r="C25" s="24">
        <f>IF(A25="","",CHOOSE(WEEKDAY(B25,2),"Isnin","Selasa","Rabu","Khamis","Jumaat","Sabtu","Ahad"))</f>
        <v/>
      </c>
      <c r="D25" s="25">
        <f>IF(A25="","",COUNTIF(Transaksi!$L$2:$L$3000,A25))</f>
        <v/>
      </c>
      <c r="E25" s="13">
        <f>IF(A25="","",SUMIFS(Transaksi!$G$2:$G$3000,Transaksi!$L$2:$L$3000,A25)+SUMIFS(Transaksi!$H$2:$H$3000,Transaksi!$L$2:$L$3000,A25)+SUMIFS(Transaksi!$I$2:$I$3000,Transaksi!$L$2:$L$3000,A25))</f>
        <v/>
      </c>
      <c r="F25" s="14">
        <f>IF(A25="","",SUMIFS(Transaksi!$J$2:$J$3000,Transaksi!$L$2:$L$3000,A25))</f>
        <v/>
      </c>
      <c r="G25" s="15">
        <f>IF(A25="","",E25-F25)</f>
        <v/>
      </c>
      <c r="H25" s="16">
        <f>IF(A25="","",SUMIFS(Transaksi!$G$2:$G$3000,Transaksi!$L$2:$L$3000,"&lt;="&amp;A25)+SUMIFS(Transaksi!$H$2:$H$3000,Transaksi!$L$2:$L$3000,"&lt;="&amp;A25)+SUMIFS(Transaksi!$I$2:$I$3000,Transaksi!$L$2:$L$3000,"&lt;="&amp;A25)-(SUMIFS(Transaksi!$J$2:$J$3000,Transaksi!$L$2:$L$3000,"&lt;="&amp;A25)))</f>
        <v/>
      </c>
    </row>
    <row r="26">
      <c r="A26" s="22">
        <f>IF(22&lt;=MAX(Transaksi!$L$2:$L$3000),MAX(Transaksi!$L$2:$L$3000)-21,"")</f>
        <v/>
      </c>
      <c r="B26" s="23">
        <f>IF(A26="","",INDEX(Transaksi!$B$2:$B$3000,MATCH(A26,Transaksi!$L$2:$L$3000,0)))</f>
        <v/>
      </c>
      <c r="C26" s="24">
        <f>IF(A26="","",CHOOSE(WEEKDAY(B26,2),"Isnin","Selasa","Rabu","Khamis","Jumaat","Sabtu","Ahad"))</f>
        <v/>
      </c>
      <c r="D26" s="25">
        <f>IF(A26="","",COUNTIF(Transaksi!$L$2:$L$3000,A26))</f>
        <v/>
      </c>
      <c r="E26" s="13">
        <f>IF(A26="","",SUMIFS(Transaksi!$G$2:$G$3000,Transaksi!$L$2:$L$3000,A26)+SUMIFS(Transaksi!$H$2:$H$3000,Transaksi!$L$2:$L$3000,A26)+SUMIFS(Transaksi!$I$2:$I$3000,Transaksi!$L$2:$L$3000,A26))</f>
        <v/>
      </c>
      <c r="F26" s="14">
        <f>IF(A26="","",SUMIFS(Transaksi!$J$2:$J$3000,Transaksi!$L$2:$L$3000,A26))</f>
        <v/>
      </c>
      <c r="G26" s="15">
        <f>IF(A26="","",E26-F26)</f>
        <v/>
      </c>
      <c r="H26" s="16">
        <f>IF(A26="","",SUMIFS(Transaksi!$G$2:$G$3000,Transaksi!$L$2:$L$3000,"&lt;="&amp;A26)+SUMIFS(Transaksi!$H$2:$H$3000,Transaksi!$L$2:$L$3000,"&lt;="&amp;A26)+SUMIFS(Transaksi!$I$2:$I$3000,Transaksi!$L$2:$L$3000,"&lt;="&amp;A26)-(SUMIFS(Transaksi!$J$2:$J$3000,Transaksi!$L$2:$L$3000,"&lt;="&amp;A26)))</f>
        <v/>
      </c>
    </row>
    <row r="27">
      <c r="A27" s="22">
        <f>IF(23&lt;=MAX(Transaksi!$L$2:$L$3000),MAX(Transaksi!$L$2:$L$3000)-22,"")</f>
        <v/>
      </c>
      <c r="B27" s="23">
        <f>IF(A27="","",INDEX(Transaksi!$B$2:$B$3000,MATCH(A27,Transaksi!$L$2:$L$3000,0)))</f>
        <v/>
      </c>
      <c r="C27" s="24">
        <f>IF(A27="","",CHOOSE(WEEKDAY(B27,2),"Isnin","Selasa","Rabu","Khamis","Jumaat","Sabtu","Ahad"))</f>
        <v/>
      </c>
      <c r="D27" s="25">
        <f>IF(A27="","",COUNTIF(Transaksi!$L$2:$L$3000,A27))</f>
        <v/>
      </c>
      <c r="E27" s="13">
        <f>IF(A27="","",SUMIFS(Transaksi!$G$2:$G$3000,Transaksi!$L$2:$L$3000,A27)+SUMIFS(Transaksi!$H$2:$H$3000,Transaksi!$L$2:$L$3000,A27)+SUMIFS(Transaksi!$I$2:$I$3000,Transaksi!$L$2:$L$3000,A27))</f>
        <v/>
      </c>
      <c r="F27" s="14">
        <f>IF(A27="","",SUMIFS(Transaksi!$J$2:$J$3000,Transaksi!$L$2:$L$3000,A27))</f>
        <v/>
      </c>
      <c r="G27" s="15">
        <f>IF(A27="","",E27-F27)</f>
        <v/>
      </c>
      <c r="H27" s="16">
        <f>IF(A27="","",SUMIFS(Transaksi!$G$2:$G$3000,Transaksi!$L$2:$L$3000,"&lt;="&amp;A27)+SUMIFS(Transaksi!$H$2:$H$3000,Transaksi!$L$2:$L$3000,"&lt;="&amp;A27)+SUMIFS(Transaksi!$I$2:$I$3000,Transaksi!$L$2:$L$3000,"&lt;="&amp;A27)-(SUMIFS(Transaksi!$J$2:$J$3000,Transaksi!$L$2:$L$3000,"&lt;="&amp;A27)))</f>
        <v/>
      </c>
    </row>
    <row r="28">
      <c r="A28" s="22">
        <f>IF(24&lt;=MAX(Transaksi!$L$2:$L$3000),MAX(Transaksi!$L$2:$L$3000)-23,"")</f>
        <v/>
      </c>
      <c r="B28" s="23">
        <f>IF(A28="","",INDEX(Transaksi!$B$2:$B$3000,MATCH(A28,Transaksi!$L$2:$L$3000,0)))</f>
        <v/>
      </c>
      <c r="C28" s="24">
        <f>IF(A28="","",CHOOSE(WEEKDAY(B28,2),"Isnin","Selasa","Rabu","Khamis","Jumaat","Sabtu","Ahad"))</f>
        <v/>
      </c>
      <c r="D28" s="25">
        <f>IF(A28="","",COUNTIF(Transaksi!$L$2:$L$3000,A28))</f>
        <v/>
      </c>
      <c r="E28" s="13">
        <f>IF(A28="","",SUMIFS(Transaksi!$G$2:$G$3000,Transaksi!$L$2:$L$3000,A28)+SUMIFS(Transaksi!$H$2:$H$3000,Transaksi!$L$2:$L$3000,A28)+SUMIFS(Transaksi!$I$2:$I$3000,Transaksi!$L$2:$L$3000,A28))</f>
        <v/>
      </c>
      <c r="F28" s="14">
        <f>IF(A28="","",SUMIFS(Transaksi!$J$2:$J$3000,Transaksi!$L$2:$L$3000,A28))</f>
        <v/>
      </c>
      <c r="G28" s="15">
        <f>IF(A28="","",E28-F28)</f>
        <v/>
      </c>
      <c r="H28" s="16">
        <f>IF(A28="","",SUMIFS(Transaksi!$G$2:$G$3000,Transaksi!$L$2:$L$3000,"&lt;="&amp;A28)+SUMIFS(Transaksi!$H$2:$H$3000,Transaksi!$L$2:$L$3000,"&lt;="&amp;A28)+SUMIFS(Transaksi!$I$2:$I$3000,Transaksi!$L$2:$L$3000,"&lt;="&amp;A28)-(SUMIFS(Transaksi!$J$2:$J$3000,Transaksi!$L$2:$L$3000,"&lt;="&amp;A28)))</f>
        <v/>
      </c>
    </row>
    <row r="29">
      <c r="A29" s="22">
        <f>IF(25&lt;=MAX(Transaksi!$L$2:$L$3000),MAX(Transaksi!$L$2:$L$3000)-24,"")</f>
        <v/>
      </c>
      <c r="B29" s="23">
        <f>IF(A29="","",INDEX(Transaksi!$B$2:$B$3000,MATCH(A29,Transaksi!$L$2:$L$3000,0)))</f>
        <v/>
      </c>
      <c r="C29" s="24">
        <f>IF(A29="","",CHOOSE(WEEKDAY(B29,2),"Isnin","Selasa","Rabu","Khamis","Jumaat","Sabtu","Ahad"))</f>
        <v/>
      </c>
      <c r="D29" s="25">
        <f>IF(A29="","",COUNTIF(Transaksi!$L$2:$L$3000,A29))</f>
        <v/>
      </c>
      <c r="E29" s="13">
        <f>IF(A29="","",SUMIFS(Transaksi!$G$2:$G$3000,Transaksi!$L$2:$L$3000,A29)+SUMIFS(Transaksi!$H$2:$H$3000,Transaksi!$L$2:$L$3000,A29)+SUMIFS(Transaksi!$I$2:$I$3000,Transaksi!$L$2:$L$3000,A29))</f>
        <v/>
      </c>
      <c r="F29" s="14">
        <f>IF(A29="","",SUMIFS(Transaksi!$J$2:$J$3000,Transaksi!$L$2:$L$3000,A29))</f>
        <v/>
      </c>
      <c r="G29" s="15">
        <f>IF(A29="","",E29-F29)</f>
        <v/>
      </c>
      <c r="H29" s="16">
        <f>IF(A29="","",SUMIFS(Transaksi!$G$2:$G$3000,Transaksi!$L$2:$L$3000,"&lt;="&amp;A29)+SUMIFS(Transaksi!$H$2:$H$3000,Transaksi!$L$2:$L$3000,"&lt;="&amp;A29)+SUMIFS(Transaksi!$I$2:$I$3000,Transaksi!$L$2:$L$3000,"&lt;="&amp;A29)-(SUMIFS(Transaksi!$J$2:$J$3000,Transaksi!$L$2:$L$3000,"&lt;="&amp;A29)))</f>
        <v/>
      </c>
    </row>
    <row r="30">
      <c r="A30" s="22">
        <f>IF(26&lt;=MAX(Transaksi!$L$2:$L$3000),MAX(Transaksi!$L$2:$L$3000)-25,"")</f>
        <v/>
      </c>
      <c r="B30" s="23">
        <f>IF(A30="","",INDEX(Transaksi!$B$2:$B$3000,MATCH(A30,Transaksi!$L$2:$L$3000,0)))</f>
        <v/>
      </c>
      <c r="C30" s="24">
        <f>IF(A30="","",CHOOSE(WEEKDAY(B30,2),"Isnin","Selasa","Rabu","Khamis","Jumaat","Sabtu","Ahad"))</f>
        <v/>
      </c>
      <c r="D30" s="25">
        <f>IF(A30="","",COUNTIF(Transaksi!$L$2:$L$3000,A30))</f>
        <v/>
      </c>
      <c r="E30" s="13">
        <f>IF(A30="","",SUMIFS(Transaksi!$G$2:$G$3000,Transaksi!$L$2:$L$3000,A30)+SUMIFS(Transaksi!$H$2:$H$3000,Transaksi!$L$2:$L$3000,A30)+SUMIFS(Transaksi!$I$2:$I$3000,Transaksi!$L$2:$L$3000,A30))</f>
        <v/>
      </c>
      <c r="F30" s="14">
        <f>IF(A30="","",SUMIFS(Transaksi!$J$2:$J$3000,Transaksi!$L$2:$L$3000,A30))</f>
        <v/>
      </c>
      <c r="G30" s="15">
        <f>IF(A30="","",E30-F30)</f>
        <v/>
      </c>
      <c r="H30" s="16">
        <f>IF(A30="","",SUMIFS(Transaksi!$G$2:$G$3000,Transaksi!$L$2:$L$3000,"&lt;="&amp;A30)+SUMIFS(Transaksi!$H$2:$H$3000,Transaksi!$L$2:$L$3000,"&lt;="&amp;A30)+SUMIFS(Transaksi!$I$2:$I$3000,Transaksi!$L$2:$L$3000,"&lt;="&amp;A30)-(SUMIFS(Transaksi!$J$2:$J$3000,Transaksi!$L$2:$L$3000,"&lt;="&amp;A30)))</f>
        <v/>
      </c>
    </row>
    <row r="31">
      <c r="A31" s="22">
        <f>IF(27&lt;=MAX(Transaksi!$L$2:$L$3000),MAX(Transaksi!$L$2:$L$3000)-26,"")</f>
        <v/>
      </c>
      <c r="B31" s="23">
        <f>IF(A31="","",INDEX(Transaksi!$B$2:$B$3000,MATCH(A31,Transaksi!$L$2:$L$3000,0)))</f>
        <v/>
      </c>
      <c r="C31" s="24">
        <f>IF(A31="","",CHOOSE(WEEKDAY(B31,2),"Isnin","Selasa","Rabu","Khamis","Jumaat","Sabtu","Ahad"))</f>
        <v/>
      </c>
      <c r="D31" s="25">
        <f>IF(A31="","",COUNTIF(Transaksi!$L$2:$L$3000,A31))</f>
        <v/>
      </c>
      <c r="E31" s="13">
        <f>IF(A31="","",SUMIFS(Transaksi!$G$2:$G$3000,Transaksi!$L$2:$L$3000,A31)+SUMIFS(Transaksi!$H$2:$H$3000,Transaksi!$L$2:$L$3000,A31)+SUMIFS(Transaksi!$I$2:$I$3000,Transaksi!$L$2:$L$3000,A31))</f>
        <v/>
      </c>
      <c r="F31" s="14">
        <f>IF(A31="","",SUMIFS(Transaksi!$J$2:$J$3000,Transaksi!$L$2:$L$3000,A31))</f>
        <v/>
      </c>
      <c r="G31" s="15">
        <f>IF(A31="","",E31-F31)</f>
        <v/>
      </c>
      <c r="H31" s="16">
        <f>IF(A31="","",SUMIFS(Transaksi!$G$2:$G$3000,Transaksi!$L$2:$L$3000,"&lt;="&amp;A31)+SUMIFS(Transaksi!$H$2:$H$3000,Transaksi!$L$2:$L$3000,"&lt;="&amp;A31)+SUMIFS(Transaksi!$I$2:$I$3000,Transaksi!$L$2:$L$3000,"&lt;="&amp;A31)-(SUMIFS(Transaksi!$J$2:$J$3000,Transaksi!$L$2:$L$3000,"&lt;="&amp;A31)))</f>
        <v/>
      </c>
    </row>
    <row r="32">
      <c r="A32" s="22">
        <f>IF(28&lt;=MAX(Transaksi!$L$2:$L$3000),MAX(Transaksi!$L$2:$L$3000)-27,"")</f>
        <v/>
      </c>
      <c r="B32" s="23">
        <f>IF(A32="","",INDEX(Transaksi!$B$2:$B$3000,MATCH(A32,Transaksi!$L$2:$L$3000,0)))</f>
        <v/>
      </c>
      <c r="C32" s="24">
        <f>IF(A32="","",CHOOSE(WEEKDAY(B32,2),"Isnin","Selasa","Rabu","Khamis","Jumaat","Sabtu","Ahad"))</f>
        <v/>
      </c>
      <c r="D32" s="25">
        <f>IF(A32="","",COUNTIF(Transaksi!$L$2:$L$3000,A32))</f>
        <v/>
      </c>
      <c r="E32" s="13">
        <f>IF(A32="","",SUMIFS(Transaksi!$G$2:$G$3000,Transaksi!$L$2:$L$3000,A32)+SUMIFS(Transaksi!$H$2:$H$3000,Transaksi!$L$2:$L$3000,A32)+SUMIFS(Transaksi!$I$2:$I$3000,Transaksi!$L$2:$L$3000,A32))</f>
        <v/>
      </c>
      <c r="F32" s="14">
        <f>IF(A32="","",SUMIFS(Transaksi!$J$2:$J$3000,Transaksi!$L$2:$L$3000,A32))</f>
        <v/>
      </c>
      <c r="G32" s="15">
        <f>IF(A32="","",E32-F32)</f>
        <v/>
      </c>
      <c r="H32" s="16">
        <f>IF(A32="","",SUMIFS(Transaksi!$G$2:$G$3000,Transaksi!$L$2:$L$3000,"&lt;="&amp;A32)+SUMIFS(Transaksi!$H$2:$H$3000,Transaksi!$L$2:$L$3000,"&lt;="&amp;A32)+SUMIFS(Transaksi!$I$2:$I$3000,Transaksi!$L$2:$L$3000,"&lt;="&amp;A32)-(SUMIFS(Transaksi!$J$2:$J$3000,Transaksi!$L$2:$L$3000,"&lt;="&amp;A32)))</f>
        <v/>
      </c>
    </row>
    <row r="33">
      <c r="A33" s="22">
        <f>IF(29&lt;=MAX(Transaksi!$L$2:$L$3000),MAX(Transaksi!$L$2:$L$3000)-28,"")</f>
        <v/>
      </c>
      <c r="B33" s="23">
        <f>IF(A33="","",INDEX(Transaksi!$B$2:$B$3000,MATCH(A33,Transaksi!$L$2:$L$3000,0)))</f>
        <v/>
      </c>
      <c r="C33" s="24">
        <f>IF(A33="","",CHOOSE(WEEKDAY(B33,2),"Isnin","Selasa","Rabu","Khamis","Jumaat","Sabtu","Ahad"))</f>
        <v/>
      </c>
      <c r="D33" s="25">
        <f>IF(A33="","",COUNTIF(Transaksi!$L$2:$L$3000,A33))</f>
        <v/>
      </c>
      <c r="E33" s="13">
        <f>IF(A33="","",SUMIFS(Transaksi!$G$2:$G$3000,Transaksi!$L$2:$L$3000,A33)+SUMIFS(Transaksi!$H$2:$H$3000,Transaksi!$L$2:$L$3000,A33)+SUMIFS(Transaksi!$I$2:$I$3000,Transaksi!$L$2:$L$3000,A33))</f>
        <v/>
      </c>
      <c r="F33" s="14">
        <f>IF(A33="","",SUMIFS(Transaksi!$J$2:$J$3000,Transaksi!$L$2:$L$3000,A33))</f>
        <v/>
      </c>
      <c r="G33" s="15">
        <f>IF(A33="","",E33-F33)</f>
        <v/>
      </c>
      <c r="H33" s="16">
        <f>IF(A33="","",SUMIFS(Transaksi!$G$2:$G$3000,Transaksi!$L$2:$L$3000,"&lt;="&amp;A33)+SUMIFS(Transaksi!$H$2:$H$3000,Transaksi!$L$2:$L$3000,"&lt;="&amp;A33)+SUMIFS(Transaksi!$I$2:$I$3000,Transaksi!$L$2:$L$3000,"&lt;="&amp;A33)-(SUMIFS(Transaksi!$J$2:$J$3000,Transaksi!$L$2:$L$3000,"&lt;="&amp;A33)))</f>
        <v/>
      </c>
    </row>
    <row r="34">
      <c r="A34" s="22">
        <f>IF(30&lt;=MAX(Transaksi!$L$2:$L$3000),MAX(Transaksi!$L$2:$L$3000)-29,"")</f>
        <v/>
      </c>
      <c r="B34" s="23">
        <f>IF(A34="","",INDEX(Transaksi!$B$2:$B$3000,MATCH(A34,Transaksi!$L$2:$L$3000,0)))</f>
        <v/>
      </c>
      <c r="C34" s="24">
        <f>IF(A34="","",CHOOSE(WEEKDAY(B34,2),"Isnin","Selasa","Rabu","Khamis","Jumaat","Sabtu","Ahad"))</f>
        <v/>
      </c>
      <c r="D34" s="25">
        <f>IF(A34="","",COUNTIF(Transaksi!$L$2:$L$3000,A34))</f>
        <v/>
      </c>
      <c r="E34" s="13">
        <f>IF(A34="","",SUMIFS(Transaksi!$G$2:$G$3000,Transaksi!$L$2:$L$3000,A34)+SUMIFS(Transaksi!$H$2:$H$3000,Transaksi!$L$2:$L$3000,A34)+SUMIFS(Transaksi!$I$2:$I$3000,Transaksi!$L$2:$L$3000,A34))</f>
        <v/>
      </c>
      <c r="F34" s="14">
        <f>IF(A34="","",SUMIFS(Transaksi!$J$2:$J$3000,Transaksi!$L$2:$L$3000,A34))</f>
        <v/>
      </c>
      <c r="G34" s="15">
        <f>IF(A34="","",E34-F34)</f>
        <v/>
      </c>
      <c r="H34" s="16">
        <f>IF(A34="","",SUMIFS(Transaksi!$G$2:$G$3000,Transaksi!$L$2:$L$3000,"&lt;="&amp;A34)+SUMIFS(Transaksi!$H$2:$H$3000,Transaksi!$L$2:$L$3000,"&lt;="&amp;A34)+SUMIFS(Transaksi!$I$2:$I$3000,Transaksi!$L$2:$L$3000,"&lt;="&amp;A34)-(SUMIFS(Transaksi!$J$2:$J$3000,Transaksi!$L$2:$L$3000,"&lt;="&amp;A34)))</f>
        <v/>
      </c>
    </row>
    <row r="35">
      <c r="A35" s="22">
        <f>IF(31&lt;=MAX(Transaksi!$L$2:$L$3000),MAX(Transaksi!$L$2:$L$3000)-30,"")</f>
        <v/>
      </c>
      <c r="B35" s="23">
        <f>IF(A35="","",INDEX(Transaksi!$B$2:$B$3000,MATCH(A35,Transaksi!$L$2:$L$3000,0)))</f>
        <v/>
      </c>
      <c r="C35" s="24">
        <f>IF(A35="","",CHOOSE(WEEKDAY(B35,2),"Isnin","Selasa","Rabu","Khamis","Jumaat","Sabtu","Ahad"))</f>
        <v/>
      </c>
      <c r="D35" s="25">
        <f>IF(A35="","",COUNTIF(Transaksi!$L$2:$L$3000,A35))</f>
        <v/>
      </c>
      <c r="E35" s="13">
        <f>IF(A35="","",SUMIFS(Transaksi!$G$2:$G$3000,Transaksi!$L$2:$L$3000,A35)+SUMIFS(Transaksi!$H$2:$H$3000,Transaksi!$L$2:$L$3000,A35)+SUMIFS(Transaksi!$I$2:$I$3000,Transaksi!$L$2:$L$3000,A35))</f>
        <v/>
      </c>
      <c r="F35" s="14">
        <f>IF(A35="","",SUMIFS(Transaksi!$J$2:$J$3000,Transaksi!$L$2:$L$3000,A35))</f>
        <v/>
      </c>
      <c r="G35" s="15">
        <f>IF(A35="","",E35-F35)</f>
        <v/>
      </c>
      <c r="H35" s="16">
        <f>IF(A35="","",SUMIFS(Transaksi!$G$2:$G$3000,Transaksi!$L$2:$L$3000,"&lt;="&amp;A35)+SUMIFS(Transaksi!$H$2:$H$3000,Transaksi!$L$2:$L$3000,"&lt;="&amp;A35)+SUMIFS(Transaksi!$I$2:$I$3000,Transaksi!$L$2:$L$3000,"&lt;="&amp;A35)-(SUMIFS(Transaksi!$J$2:$J$3000,Transaksi!$L$2:$L$3000,"&lt;="&amp;A35)))</f>
        <v/>
      </c>
    </row>
    <row r="36">
      <c r="A36" s="22">
        <f>IF(32&lt;=MAX(Transaksi!$L$2:$L$3000),MAX(Transaksi!$L$2:$L$3000)-31,"")</f>
        <v/>
      </c>
      <c r="B36" s="23">
        <f>IF(A36="","",INDEX(Transaksi!$B$2:$B$3000,MATCH(A36,Transaksi!$L$2:$L$3000,0)))</f>
        <v/>
      </c>
      <c r="C36" s="24">
        <f>IF(A36="","",CHOOSE(WEEKDAY(B36,2),"Isnin","Selasa","Rabu","Khamis","Jumaat","Sabtu","Ahad"))</f>
        <v/>
      </c>
      <c r="D36" s="25">
        <f>IF(A36="","",COUNTIF(Transaksi!$L$2:$L$3000,A36))</f>
        <v/>
      </c>
      <c r="E36" s="13">
        <f>IF(A36="","",SUMIFS(Transaksi!$G$2:$G$3000,Transaksi!$L$2:$L$3000,A36)+SUMIFS(Transaksi!$H$2:$H$3000,Transaksi!$L$2:$L$3000,A36)+SUMIFS(Transaksi!$I$2:$I$3000,Transaksi!$L$2:$L$3000,A36))</f>
        <v/>
      </c>
      <c r="F36" s="14">
        <f>IF(A36="","",SUMIFS(Transaksi!$J$2:$J$3000,Transaksi!$L$2:$L$3000,A36))</f>
        <v/>
      </c>
      <c r="G36" s="15">
        <f>IF(A36="","",E36-F36)</f>
        <v/>
      </c>
      <c r="H36" s="16">
        <f>IF(A36="","",SUMIFS(Transaksi!$G$2:$G$3000,Transaksi!$L$2:$L$3000,"&lt;="&amp;A36)+SUMIFS(Transaksi!$H$2:$H$3000,Transaksi!$L$2:$L$3000,"&lt;="&amp;A36)+SUMIFS(Transaksi!$I$2:$I$3000,Transaksi!$L$2:$L$3000,"&lt;="&amp;A36)-(SUMIFS(Transaksi!$J$2:$J$3000,Transaksi!$L$2:$L$3000,"&lt;="&amp;A36)))</f>
        <v/>
      </c>
    </row>
    <row r="37">
      <c r="A37" s="22">
        <f>IF(33&lt;=MAX(Transaksi!$L$2:$L$3000),MAX(Transaksi!$L$2:$L$3000)-32,"")</f>
        <v/>
      </c>
      <c r="B37" s="23">
        <f>IF(A37="","",INDEX(Transaksi!$B$2:$B$3000,MATCH(A37,Transaksi!$L$2:$L$3000,0)))</f>
        <v/>
      </c>
      <c r="C37" s="24">
        <f>IF(A37="","",CHOOSE(WEEKDAY(B37,2),"Isnin","Selasa","Rabu","Khamis","Jumaat","Sabtu","Ahad"))</f>
        <v/>
      </c>
      <c r="D37" s="25">
        <f>IF(A37="","",COUNTIF(Transaksi!$L$2:$L$3000,A37))</f>
        <v/>
      </c>
      <c r="E37" s="13">
        <f>IF(A37="","",SUMIFS(Transaksi!$G$2:$G$3000,Transaksi!$L$2:$L$3000,A37)+SUMIFS(Transaksi!$H$2:$H$3000,Transaksi!$L$2:$L$3000,A37)+SUMIFS(Transaksi!$I$2:$I$3000,Transaksi!$L$2:$L$3000,A37))</f>
        <v/>
      </c>
      <c r="F37" s="14">
        <f>IF(A37="","",SUMIFS(Transaksi!$J$2:$J$3000,Transaksi!$L$2:$L$3000,A37))</f>
        <v/>
      </c>
      <c r="G37" s="15">
        <f>IF(A37="","",E37-F37)</f>
        <v/>
      </c>
      <c r="H37" s="16">
        <f>IF(A37="","",SUMIFS(Transaksi!$G$2:$G$3000,Transaksi!$L$2:$L$3000,"&lt;="&amp;A37)+SUMIFS(Transaksi!$H$2:$H$3000,Transaksi!$L$2:$L$3000,"&lt;="&amp;A37)+SUMIFS(Transaksi!$I$2:$I$3000,Transaksi!$L$2:$L$3000,"&lt;="&amp;A37)-(SUMIFS(Transaksi!$J$2:$J$3000,Transaksi!$L$2:$L$3000,"&lt;="&amp;A37)))</f>
        <v/>
      </c>
    </row>
    <row r="38">
      <c r="A38" s="22">
        <f>IF(34&lt;=MAX(Transaksi!$L$2:$L$3000),MAX(Transaksi!$L$2:$L$3000)-33,"")</f>
        <v/>
      </c>
      <c r="B38" s="23">
        <f>IF(A38="","",INDEX(Transaksi!$B$2:$B$3000,MATCH(A38,Transaksi!$L$2:$L$3000,0)))</f>
        <v/>
      </c>
      <c r="C38" s="24">
        <f>IF(A38="","",CHOOSE(WEEKDAY(B38,2),"Isnin","Selasa","Rabu","Khamis","Jumaat","Sabtu","Ahad"))</f>
        <v/>
      </c>
      <c r="D38" s="25">
        <f>IF(A38="","",COUNTIF(Transaksi!$L$2:$L$3000,A38))</f>
        <v/>
      </c>
      <c r="E38" s="13">
        <f>IF(A38="","",SUMIFS(Transaksi!$G$2:$G$3000,Transaksi!$L$2:$L$3000,A38)+SUMIFS(Transaksi!$H$2:$H$3000,Transaksi!$L$2:$L$3000,A38)+SUMIFS(Transaksi!$I$2:$I$3000,Transaksi!$L$2:$L$3000,A38))</f>
        <v/>
      </c>
      <c r="F38" s="14">
        <f>IF(A38="","",SUMIFS(Transaksi!$J$2:$J$3000,Transaksi!$L$2:$L$3000,A38))</f>
        <v/>
      </c>
      <c r="G38" s="15">
        <f>IF(A38="","",E38-F38)</f>
        <v/>
      </c>
      <c r="H38" s="16">
        <f>IF(A38="","",SUMIFS(Transaksi!$G$2:$G$3000,Transaksi!$L$2:$L$3000,"&lt;="&amp;A38)+SUMIFS(Transaksi!$H$2:$H$3000,Transaksi!$L$2:$L$3000,"&lt;="&amp;A38)+SUMIFS(Transaksi!$I$2:$I$3000,Transaksi!$L$2:$L$3000,"&lt;="&amp;A38)-(SUMIFS(Transaksi!$J$2:$J$3000,Transaksi!$L$2:$L$3000,"&lt;="&amp;A38)))</f>
        <v/>
      </c>
    </row>
    <row r="39">
      <c r="A39" s="22">
        <f>IF(35&lt;=MAX(Transaksi!$L$2:$L$3000),MAX(Transaksi!$L$2:$L$3000)-34,"")</f>
        <v/>
      </c>
      <c r="B39" s="23">
        <f>IF(A39="","",INDEX(Transaksi!$B$2:$B$3000,MATCH(A39,Transaksi!$L$2:$L$3000,0)))</f>
        <v/>
      </c>
      <c r="C39" s="24">
        <f>IF(A39="","",CHOOSE(WEEKDAY(B39,2),"Isnin","Selasa","Rabu","Khamis","Jumaat","Sabtu","Ahad"))</f>
        <v/>
      </c>
      <c r="D39" s="25">
        <f>IF(A39="","",COUNTIF(Transaksi!$L$2:$L$3000,A39))</f>
        <v/>
      </c>
      <c r="E39" s="13">
        <f>IF(A39="","",SUMIFS(Transaksi!$G$2:$G$3000,Transaksi!$L$2:$L$3000,A39)+SUMIFS(Transaksi!$H$2:$H$3000,Transaksi!$L$2:$L$3000,A39)+SUMIFS(Transaksi!$I$2:$I$3000,Transaksi!$L$2:$L$3000,A39))</f>
        <v/>
      </c>
      <c r="F39" s="14">
        <f>IF(A39="","",SUMIFS(Transaksi!$J$2:$J$3000,Transaksi!$L$2:$L$3000,A39))</f>
        <v/>
      </c>
      <c r="G39" s="15">
        <f>IF(A39="","",E39-F39)</f>
        <v/>
      </c>
      <c r="H39" s="16">
        <f>IF(A39="","",SUMIFS(Transaksi!$G$2:$G$3000,Transaksi!$L$2:$L$3000,"&lt;="&amp;A39)+SUMIFS(Transaksi!$H$2:$H$3000,Transaksi!$L$2:$L$3000,"&lt;="&amp;A39)+SUMIFS(Transaksi!$I$2:$I$3000,Transaksi!$L$2:$L$3000,"&lt;="&amp;A39)-(SUMIFS(Transaksi!$J$2:$J$3000,Transaksi!$L$2:$L$3000,"&lt;="&amp;A39)))</f>
        <v/>
      </c>
    </row>
    <row r="40">
      <c r="A40" s="22">
        <f>IF(36&lt;=MAX(Transaksi!$L$2:$L$3000),MAX(Transaksi!$L$2:$L$3000)-35,"")</f>
        <v/>
      </c>
      <c r="B40" s="23">
        <f>IF(A40="","",INDEX(Transaksi!$B$2:$B$3000,MATCH(A40,Transaksi!$L$2:$L$3000,0)))</f>
        <v/>
      </c>
      <c r="C40" s="24">
        <f>IF(A40="","",CHOOSE(WEEKDAY(B40,2),"Isnin","Selasa","Rabu","Khamis","Jumaat","Sabtu","Ahad"))</f>
        <v/>
      </c>
      <c r="D40" s="25">
        <f>IF(A40="","",COUNTIF(Transaksi!$L$2:$L$3000,A40))</f>
        <v/>
      </c>
      <c r="E40" s="13">
        <f>IF(A40="","",SUMIFS(Transaksi!$G$2:$G$3000,Transaksi!$L$2:$L$3000,A40)+SUMIFS(Transaksi!$H$2:$H$3000,Transaksi!$L$2:$L$3000,A40)+SUMIFS(Transaksi!$I$2:$I$3000,Transaksi!$L$2:$L$3000,A40))</f>
        <v/>
      </c>
      <c r="F40" s="14">
        <f>IF(A40="","",SUMIFS(Transaksi!$J$2:$J$3000,Transaksi!$L$2:$L$3000,A40))</f>
        <v/>
      </c>
      <c r="G40" s="15">
        <f>IF(A40="","",E40-F40)</f>
        <v/>
      </c>
      <c r="H40" s="16">
        <f>IF(A40="","",SUMIFS(Transaksi!$G$2:$G$3000,Transaksi!$L$2:$L$3000,"&lt;="&amp;A40)+SUMIFS(Transaksi!$H$2:$H$3000,Transaksi!$L$2:$L$3000,"&lt;="&amp;A40)+SUMIFS(Transaksi!$I$2:$I$3000,Transaksi!$L$2:$L$3000,"&lt;="&amp;A40)-(SUMIFS(Transaksi!$J$2:$J$3000,Transaksi!$L$2:$L$3000,"&lt;="&amp;A40)))</f>
        <v/>
      </c>
    </row>
    <row r="41">
      <c r="A41" s="22">
        <f>IF(37&lt;=MAX(Transaksi!$L$2:$L$3000),MAX(Transaksi!$L$2:$L$3000)-36,"")</f>
        <v/>
      </c>
      <c r="B41" s="23">
        <f>IF(A41="","",INDEX(Transaksi!$B$2:$B$3000,MATCH(A41,Transaksi!$L$2:$L$3000,0)))</f>
        <v/>
      </c>
      <c r="C41" s="24">
        <f>IF(A41="","",CHOOSE(WEEKDAY(B41,2),"Isnin","Selasa","Rabu","Khamis","Jumaat","Sabtu","Ahad"))</f>
        <v/>
      </c>
      <c r="D41" s="25">
        <f>IF(A41="","",COUNTIF(Transaksi!$L$2:$L$3000,A41))</f>
        <v/>
      </c>
      <c r="E41" s="13">
        <f>IF(A41="","",SUMIFS(Transaksi!$G$2:$G$3000,Transaksi!$L$2:$L$3000,A41)+SUMIFS(Transaksi!$H$2:$H$3000,Transaksi!$L$2:$L$3000,A41)+SUMIFS(Transaksi!$I$2:$I$3000,Transaksi!$L$2:$L$3000,A41))</f>
        <v/>
      </c>
      <c r="F41" s="14">
        <f>IF(A41="","",SUMIFS(Transaksi!$J$2:$J$3000,Transaksi!$L$2:$L$3000,A41))</f>
        <v/>
      </c>
      <c r="G41" s="15">
        <f>IF(A41="","",E41-F41)</f>
        <v/>
      </c>
      <c r="H41" s="16">
        <f>IF(A41="","",SUMIFS(Transaksi!$G$2:$G$3000,Transaksi!$L$2:$L$3000,"&lt;="&amp;A41)+SUMIFS(Transaksi!$H$2:$H$3000,Transaksi!$L$2:$L$3000,"&lt;="&amp;A41)+SUMIFS(Transaksi!$I$2:$I$3000,Transaksi!$L$2:$L$3000,"&lt;="&amp;A41)-(SUMIFS(Transaksi!$J$2:$J$3000,Transaksi!$L$2:$L$3000,"&lt;="&amp;A41)))</f>
        <v/>
      </c>
    </row>
    <row r="42">
      <c r="A42" s="22">
        <f>IF(38&lt;=MAX(Transaksi!$L$2:$L$3000),MAX(Transaksi!$L$2:$L$3000)-37,"")</f>
        <v/>
      </c>
      <c r="B42" s="23">
        <f>IF(A42="","",INDEX(Transaksi!$B$2:$B$3000,MATCH(A42,Transaksi!$L$2:$L$3000,0)))</f>
        <v/>
      </c>
      <c r="C42" s="24">
        <f>IF(A42="","",CHOOSE(WEEKDAY(B42,2),"Isnin","Selasa","Rabu","Khamis","Jumaat","Sabtu","Ahad"))</f>
        <v/>
      </c>
      <c r="D42" s="25">
        <f>IF(A42="","",COUNTIF(Transaksi!$L$2:$L$3000,A42))</f>
        <v/>
      </c>
      <c r="E42" s="13">
        <f>IF(A42="","",SUMIFS(Transaksi!$G$2:$G$3000,Transaksi!$L$2:$L$3000,A42)+SUMIFS(Transaksi!$H$2:$H$3000,Transaksi!$L$2:$L$3000,A42)+SUMIFS(Transaksi!$I$2:$I$3000,Transaksi!$L$2:$L$3000,A42))</f>
        <v/>
      </c>
      <c r="F42" s="14">
        <f>IF(A42="","",SUMIFS(Transaksi!$J$2:$J$3000,Transaksi!$L$2:$L$3000,A42))</f>
        <v/>
      </c>
      <c r="G42" s="15">
        <f>IF(A42="","",E42-F42)</f>
        <v/>
      </c>
      <c r="H42" s="16">
        <f>IF(A42="","",SUMIFS(Transaksi!$G$2:$G$3000,Transaksi!$L$2:$L$3000,"&lt;="&amp;A42)+SUMIFS(Transaksi!$H$2:$H$3000,Transaksi!$L$2:$L$3000,"&lt;="&amp;A42)+SUMIFS(Transaksi!$I$2:$I$3000,Transaksi!$L$2:$L$3000,"&lt;="&amp;A42)-(SUMIFS(Transaksi!$J$2:$J$3000,Transaksi!$L$2:$L$3000,"&lt;="&amp;A42)))</f>
        <v/>
      </c>
    </row>
    <row r="43">
      <c r="A43" s="22">
        <f>IF(39&lt;=MAX(Transaksi!$L$2:$L$3000),MAX(Transaksi!$L$2:$L$3000)-38,"")</f>
        <v/>
      </c>
      <c r="B43" s="23">
        <f>IF(A43="","",INDEX(Transaksi!$B$2:$B$3000,MATCH(A43,Transaksi!$L$2:$L$3000,0)))</f>
        <v/>
      </c>
      <c r="C43" s="24">
        <f>IF(A43="","",CHOOSE(WEEKDAY(B43,2),"Isnin","Selasa","Rabu","Khamis","Jumaat","Sabtu","Ahad"))</f>
        <v/>
      </c>
      <c r="D43" s="25">
        <f>IF(A43="","",COUNTIF(Transaksi!$L$2:$L$3000,A43))</f>
        <v/>
      </c>
      <c r="E43" s="13">
        <f>IF(A43="","",SUMIFS(Transaksi!$G$2:$G$3000,Transaksi!$L$2:$L$3000,A43)+SUMIFS(Transaksi!$H$2:$H$3000,Transaksi!$L$2:$L$3000,A43)+SUMIFS(Transaksi!$I$2:$I$3000,Transaksi!$L$2:$L$3000,A43))</f>
        <v/>
      </c>
      <c r="F43" s="14">
        <f>IF(A43="","",SUMIFS(Transaksi!$J$2:$J$3000,Transaksi!$L$2:$L$3000,A43))</f>
        <v/>
      </c>
      <c r="G43" s="15">
        <f>IF(A43="","",E43-F43)</f>
        <v/>
      </c>
      <c r="H43" s="16">
        <f>IF(A43="","",SUMIFS(Transaksi!$G$2:$G$3000,Transaksi!$L$2:$L$3000,"&lt;="&amp;A43)+SUMIFS(Transaksi!$H$2:$H$3000,Transaksi!$L$2:$L$3000,"&lt;="&amp;A43)+SUMIFS(Transaksi!$I$2:$I$3000,Transaksi!$L$2:$L$3000,"&lt;="&amp;A43)-(SUMIFS(Transaksi!$J$2:$J$3000,Transaksi!$L$2:$L$3000,"&lt;="&amp;A43)))</f>
        <v/>
      </c>
    </row>
    <row r="44">
      <c r="A44" s="22">
        <f>IF(40&lt;=MAX(Transaksi!$L$2:$L$3000),MAX(Transaksi!$L$2:$L$3000)-39,"")</f>
        <v/>
      </c>
      <c r="B44" s="23">
        <f>IF(A44="","",INDEX(Transaksi!$B$2:$B$3000,MATCH(A44,Transaksi!$L$2:$L$3000,0)))</f>
        <v/>
      </c>
      <c r="C44" s="24">
        <f>IF(A44="","",CHOOSE(WEEKDAY(B44,2),"Isnin","Selasa","Rabu","Khamis","Jumaat","Sabtu","Ahad"))</f>
        <v/>
      </c>
      <c r="D44" s="25">
        <f>IF(A44="","",COUNTIF(Transaksi!$L$2:$L$3000,A44))</f>
        <v/>
      </c>
      <c r="E44" s="13">
        <f>IF(A44="","",SUMIFS(Transaksi!$G$2:$G$3000,Transaksi!$L$2:$L$3000,A44)+SUMIFS(Transaksi!$H$2:$H$3000,Transaksi!$L$2:$L$3000,A44)+SUMIFS(Transaksi!$I$2:$I$3000,Transaksi!$L$2:$L$3000,A44))</f>
        <v/>
      </c>
      <c r="F44" s="14">
        <f>IF(A44="","",SUMIFS(Transaksi!$J$2:$J$3000,Transaksi!$L$2:$L$3000,A44))</f>
        <v/>
      </c>
      <c r="G44" s="15">
        <f>IF(A44="","",E44-F44)</f>
        <v/>
      </c>
      <c r="H44" s="16">
        <f>IF(A44="","",SUMIFS(Transaksi!$G$2:$G$3000,Transaksi!$L$2:$L$3000,"&lt;="&amp;A44)+SUMIFS(Transaksi!$H$2:$H$3000,Transaksi!$L$2:$L$3000,"&lt;="&amp;A44)+SUMIFS(Transaksi!$I$2:$I$3000,Transaksi!$L$2:$L$3000,"&lt;="&amp;A44)-(SUMIFS(Transaksi!$J$2:$J$3000,Transaksi!$L$2:$L$3000,"&lt;="&amp;A44)))</f>
        <v/>
      </c>
    </row>
    <row r="45">
      <c r="A45" s="22">
        <f>IF(41&lt;=MAX(Transaksi!$L$2:$L$3000),MAX(Transaksi!$L$2:$L$3000)-40,"")</f>
        <v/>
      </c>
      <c r="B45" s="23">
        <f>IF(A45="","",INDEX(Transaksi!$B$2:$B$3000,MATCH(A45,Transaksi!$L$2:$L$3000,0)))</f>
        <v/>
      </c>
      <c r="C45" s="24">
        <f>IF(A45="","",CHOOSE(WEEKDAY(B45,2),"Isnin","Selasa","Rabu","Khamis","Jumaat","Sabtu","Ahad"))</f>
        <v/>
      </c>
      <c r="D45" s="25">
        <f>IF(A45="","",COUNTIF(Transaksi!$L$2:$L$3000,A45))</f>
        <v/>
      </c>
      <c r="E45" s="13">
        <f>IF(A45="","",SUMIFS(Transaksi!$G$2:$G$3000,Transaksi!$L$2:$L$3000,A45)+SUMIFS(Transaksi!$H$2:$H$3000,Transaksi!$L$2:$L$3000,A45)+SUMIFS(Transaksi!$I$2:$I$3000,Transaksi!$L$2:$L$3000,A45))</f>
        <v/>
      </c>
      <c r="F45" s="14">
        <f>IF(A45="","",SUMIFS(Transaksi!$J$2:$J$3000,Transaksi!$L$2:$L$3000,A45))</f>
        <v/>
      </c>
      <c r="G45" s="15">
        <f>IF(A45="","",E45-F45)</f>
        <v/>
      </c>
      <c r="H45" s="16">
        <f>IF(A45="","",SUMIFS(Transaksi!$G$2:$G$3000,Transaksi!$L$2:$L$3000,"&lt;="&amp;A45)+SUMIFS(Transaksi!$H$2:$H$3000,Transaksi!$L$2:$L$3000,"&lt;="&amp;A45)+SUMIFS(Transaksi!$I$2:$I$3000,Transaksi!$L$2:$L$3000,"&lt;="&amp;A45)-(SUMIFS(Transaksi!$J$2:$J$3000,Transaksi!$L$2:$L$3000,"&lt;="&amp;A45)))</f>
        <v/>
      </c>
    </row>
    <row r="46">
      <c r="A46" s="22">
        <f>IF(42&lt;=MAX(Transaksi!$L$2:$L$3000),MAX(Transaksi!$L$2:$L$3000)-41,"")</f>
        <v/>
      </c>
      <c r="B46" s="23">
        <f>IF(A46="","",INDEX(Transaksi!$B$2:$B$3000,MATCH(A46,Transaksi!$L$2:$L$3000,0)))</f>
        <v/>
      </c>
      <c r="C46" s="24">
        <f>IF(A46="","",CHOOSE(WEEKDAY(B46,2),"Isnin","Selasa","Rabu","Khamis","Jumaat","Sabtu","Ahad"))</f>
        <v/>
      </c>
      <c r="D46" s="25">
        <f>IF(A46="","",COUNTIF(Transaksi!$L$2:$L$3000,A46))</f>
        <v/>
      </c>
      <c r="E46" s="13">
        <f>IF(A46="","",SUMIFS(Transaksi!$G$2:$G$3000,Transaksi!$L$2:$L$3000,A46)+SUMIFS(Transaksi!$H$2:$H$3000,Transaksi!$L$2:$L$3000,A46)+SUMIFS(Transaksi!$I$2:$I$3000,Transaksi!$L$2:$L$3000,A46))</f>
        <v/>
      </c>
      <c r="F46" s="14">
        <f>IF(A46="","",SUMIFS(Transaksi!$J$2:$J$3000,Transaksi!$L$2:$L$3000,A46))</f>
        <v/>
      </c>
      <c r="G46" s="15">
        <f>IF(A46="","",E46-F46)</f>
        <v/>
      </c>
      <c r="H46" s="16">
        <f>IF(A46="","",SUMIFS(Transaksi!$G$2:$G$3000,Transaksi!$L$2:$L$3000,"&lt;="&amp;A46)+SUMIFS(Transaksi!$H$2:$H$3000,Transaksi!$L$2:$L$3000,"&lt;="&amp;A46)+SUMIFS(Transaksi!$I$2:$I$3000,Transaksi!$L$2:$L$3000,"&lt;="&amp;A46)-(SUMIFS(Transaksi!$J$2:$J$3000,Transaksi!$L$2:$L$3000,"&lt;="&amp;A46)))</f>
        <v/>
      </c>
    </row>
    <row r="47">
      <c r="A47" s="22">
        <f>IF(43&lt;=MAX(Transaksi!$L$2:$L$3000),MAX(Transaksi!$L$2:$L$3000)-42,"")</f>
        <v/>
      </c>
      <c r="B47" s="23">
        <f>IF(A47="","",INDEX(Transaksi!$B$2:$B$3000,MATCH(A47,Transaksi!$L$2:$L$3000,0)))</f>
        <v/>
      </c>
      <c r="C47" s="24">
        <f>IF(A47="","",CHOOSE(WEEKDAY(B47,2),"Isnin","Selasa","Rabu","Khamis","Jumaat","Sabtu","Ahad"))</f>
        <v/>
      </c>
      <c r="D47" s="25">
        <f>IF(A47="","",COUNTIF(Transaksi!$L$2:$L$3000,A47))</f>
        <v/>
      </c>
      <c r="E47" s="13">
        <f>IF(A47="","",SUMIFS(Transaksi!$G$2:$G$3000,Transaksi!$L$2:$L$3000,A47)+SUMIFS(Transaksi!$H$2:$H$3000,Transaksi!$L$2:$L$3000,A47)+SUMIFS(Transaksi!$I$2:$I$3000,Transaksi!$L$2:$L$3000,A47))</f>
        <v/>
      </c>
      <c r="F47" s="14">
        <f>IF(A47="","",SUMIFS(Transaksi!$J$2:$J$3000,Transaksi!$L$2:$L$3000,A47))</f>
        <v/>
      </c>
      <c r="G47" s="15">
        <f>IF(A47="","",E47-F47)</f>
        <v/>
      </c>
      <c r="H47" s="16">
        <f>IF(A47="","",SUMIFS(Transaksi!$G$2:$G$3000,Transaksi!$L$2:$L$3000,"&lt;="&amp;A47)+SUMIFS(Transaksi!$H$2:$H$3000,Transaksi!$L$2:$L$3000,"&lt;="&amp;A47)+SUMIFS(Transaksi!$I$2:$I$3000,Transaksi!$L$2:$L$3000,"&lt;="&amp;A47)-(SUMIFS(Transaksi!$J$2:$J$3000,Transaksi!$L$2:$L$3000,"&lt;="&amp;A47)))</f>
        <v/>
      </c>
    </row>
    <row r="48">
      <c r="A48" s="22">
        <f>IF(44&lt;=MAX(Transaksi!$L$2:$L$3000),MAX(Transaksi!$L$2:$L$3000)-43,"")</f>
        <v/>
      </c>
      <c r="B48" s="23">
        <f>IF(A48="","",INDEX(Transaksi!$B$2:$B$3000,MATCH(A48,Transaksi!$L$2:$L$3000,0)))</f>
        <v/>
      </c>
      <c r="C48" s="24">
        <f>IF(A48="","",CHOOSE(WEEKDAY(B48,2),"Isnin","Selasa","Rabu","Khamis","Jumaat","Sabtu","Ahad"))</f>
        <v/>
      </c>
      <c r="D48" s="25">
        <f>IF(A48="","",COUNTIF(Transaksi!$L$2:$L$3000,A48))</f>
        <v/>
      </c>
      <c r="E48" s="13">
        <f>IF(A48="","",SUMIFS(Transaksi!$G$2:$G$3000,Transaksi!$L$2:$L$3000,A48)+SUMIFS(Transaksi!$H$2:$H$3000,Transaksi!$L$2:$L$3000,A48)+SUMIFS(Transaksi!$I$2:$I$3000,Transaksi!$L$2:$L$3000,A48))</f>
        <v/>
      </c>
      <c r="F48" s="14">
        <f>IF(A48="","",SUMIFS(Transaksi!$J$2:$J$3000,Transaksi!$L$2:$L$3000,A48))</f>
        <v/>
      </c>
      <c r="G48" s="15">
        <f>IF(A48="","",E48-F48)</f>
        <v/>
      </c>
      <c r="H48" s="16">
        <f>IF(A48="","",SUMIFS(Transaksi!$G$2:$G$3000,Transaksi!$L$2:$L$3000,"&lt;="&amp;A48)+SUMIFS(Transaksi!$H$2:$H$3000,Transaksi!$L$2:$L$3000,"&lt;="&amp;A48)+SUMIFS(Transaksi!$I$2:$I$3000,Transaksi!$L$2:$L$3000,"&lt;="&amp;A48)-(SUMIFS(Transaksi!$J$2:$J$3000,Transaksi!$L$2:$L$3000,"&lt;="&amp;A48)))</f>
        <v/>
      </c>
    </row>
    <row r="49">
      <c r="A49" s="22">
        <f>IF(45&lt;=MAX(Transaksi!$L$2:$L$3000),MAX(Transaksi!$L$2:$L$3000)-44,"")</f>
        <v/>
      </c>
      <c r="B49" s="23">
        <f>IF(A49="","",INDEX(Transaksi!$B$2:$B$3000,MATCH(A49,Transaksi!$L$2:$L$3000,0)))</f>
        <v/>
      </c>
      <c r="C49" s="24">
        <f>IF(A49="","",CHOOSE(WEEKDAY(B49,2),"Isnin","Selasa","Rabu","Khamis","Jumaat","Sabtu","Ahad"))</f>
        <v/>
      </c>
      <c r="D49" s="25">
        <f>IF(A49="","",COUNTIF(Transaksi!$L$2:$L$3000,A49))</f>
        <v/>
      </c>
      <c r="E49" s="13">
        <f>IF(A49="","",SUMIFS(Transaksi!$G$2:$G$3000,Transaksi!$L$2:$L$3000,A49)+SUMIFS(Transaksi!$H$2:$H$3000,Transaksi!$L$2:$L$3000,A49)+SUMIFS(Transaksi!$I$2:$I$3000,Transaksi!$L$2:$L$3000,A49))</f>
        <v/>
      </c>
      <c r="F49" s="14">
        <f>IF(A49="","",SUMIFS(Transaksi!$J$2:$J$3000,Transaksi!$L$2:$L$3000,A49))</f>
        <v/>
      </c>
      <c r="G49" s="15">
        <f>IF(A49="","",E49-F49)</f>
        <v/>
      </c>
      <c r="H49" s="16">
        <f>IF(A49="","",SUMIFS(Transaksi!$G$2:$G$3000,Transaksi!$L$2:$L$3000,"&lt;="&amp;A49)+SUMIFS(Transaksi!$H$2:$H$3000,Transaksi!$L$2:$L$3000,"&lt;="&amp;A49)+SUMIFS(Transaksi!$I$2:$I$3000,Transaksi!$L$2:$L$3000,"&lt;="&amp;A49)-(SUMIFS(Transaksi!$J$2:$J$3000,Transaksi!$L$2:$L$3000,"&lt;="&amp;A49)))</f>
        <v/>
      </c>
    </row>
    <row r="50">
      <c r="A50" s="22">
        <f>IF(46&lt;=MAX(Transaksi!$L$2:$L$3000),MAX(Transaksi!$L$2:$L$3000)-45,"")</f>
        <v/>
      </c>
      <c r="B50" s="23">
        <f>IF(A50="","",INDEX(Transaksi!$B$2:$B$3000,MATCH(A50,Transaksi!$L$2:$L$3000,0)))</f>
        <v/>
      </c>
      <c r="C50" s="24">
        <f>IF(A50="","",CHOOSE(WEEKDAY(B50,2),"Isnin","Selasa","Rabu","Khamis","Jumaat","Sabtu","Ahad"))</f>
        <v/>
      </c>
      <c r="D50" s="25">
        <f>IF(A50="","",COUNTIF(Transaksi!$L$2:$L$3000,A50))</f>
        <v/>
      </c>
      <c r="E50" s="13">
        <f>IF(A50="","",SUMIFS(Transaksi!$G$2:$G$3000,Transaksi!$L$2:$L$3000,A50)+SUMIFS(Transaksi!$H$2:$H$3000,Transaksi!$L$2:$L$3000,A50)+SUMIFS(Transaksi!$I$2:$I$3000,Transaksi!$L$2:$L$3000,A50))</f>
        <v/>
      </c>
      <c r="F50" s="14">
        <f>IF(A50="","",SUMIFS(Transaksi!$J$2:$J$3000,Transaksi!$L$2:$L$3000,A50))</f>
        <v/>
      </c>
      <c r="G50" s="15">
        <f>IF(A50="","",E50-F50)</f>
        <v/>
      </c>
      <c r="H50" s="16">
        <f>IF(A50="","",SUMIFS(Transaksi!$G$2:$G$3000,Transaksi!$L$2:$L$3000,"&lt;="&amp;A50)+SUMIFS(Transaksi!$H$2:$H$3000,Transaksi!$L$2:$L$3000,"&lt;="&amp;A50)+SUMIFS(Transaksi!$I$2:$I$3000,Transaksi!$L$2:$L$3000,"&lt;="&amp;A50)-(SUMIFS(Transaksi!$J$2:$J$3000,Transaksi!$L$2:$L$3000,"&lt;="&amp;A50)))</f>
        <v/>
      </c>
    </row>
    <row r="51">
      <c r="A51" s="22">
        <f>IF(47&lt;=MAX(Transaksi!$L$2:$L$3000),MAX(Transaksi!$L$2:$L$3000)-46,"")</f>
        <v/>
      </c>
      <c r="B51" s="23">
        <f>IF(A51="","",INDEX(Transaksi!$B$2:$B$3000,MATCH(A51,Transaksi!$L$2:$L$3000,0)))</f>
        <v/>
      </c>
      <c r="C51" s="24">
        <f>IF(A51="","",CHOOSE(WEEKDAY(B51,2),"Isnin","Selasa","Rabu","Khamis","Jumaat","Sabtu","Ahad"))</f>
        <v/>
      </c>
      <c r="D51" s="25">
        <f>IF(A51="","",COUNTIF(Transaksi!$L$2:$L$3000,A51))</f>
        <v/>
      </c>
      <c r="E51" s="13">
        <f>IF(A51="","",SUMIFS(Transaksi!$G$2:$G$3000,Transaksi!$L$2:$L$3000,A51)+SUMIFS(Transaksi!$H$2:$H$3000,Transaksi!$L$2:$L$3000,A51)+SUMIFS(Transaksi!$I$2:$I$3000,Transaksi!$L$2:$L$3000,A51))</f>
        <v/>
      </c>
      <c r="F51" s="14">
        <f>IF(A51="","",SUMIFS(Transaksi!$J$2:$J$3000,Transaksi!$L$2:$L$3000,A51))</f>
        <v/>
      </c>
      <c r="G51" s="15">
        <f>IF(A51="","",E51-F51)</f>
        <v/>
      </c>
      <c r="H51" s="16">
        <f>IF(A51="","",SUMIFS(Transaksi!$G$2:$G$3000,Transaksi!$L$2:$L$3000,"&lt;="&amp;A51)+SUMIFS(Transaksi!$H$2:$H$3000,Transaksi!$L$2:$L$3000,"&lt;="&amp;A51)+SUMIFS(Transaksi!$I$2:$I$3000,Transaksi!$L$2:$L$3000,"&lt;="&amp;A51)-(SUMIFS(Transaksi!$J$2:$J$3000,Transaksi!$L$2:$L$3000,"&lt;="&amp;A51)))</f>
        <v/>
      </c>
    </row>
    <row r="52">
      <c r="A52" s="22">
        <f>IF(48&lt;=MAX(Transaksi!$L$2:$L$3000),MAX(Transaksi!$L$2:$L$3000)-47,"")</f>
        <v/>
      </c>
      <c r="B52" s="23">
        <f>IF(A52="","",INDEX(Transaksi!$B$2:$B$3000,MATCH(A52,Transaksi!$L$2:$L$3000,0)))</f>
        <v/>
      </c>
      <c r="C52" s="24">
        <f>IF(A52="","",CHOOSE(WEEKDAY(B52,2),"Isnin","Selasa","Rabu","Khamis","Jumaat","Sabtu","Ahad"))</f>
        <v/>
      </c>
      <c r="D52" s="25">
        <f>IF(A52="","",COUNTIF(Transaksi!$L$2:$L$3000,A52))</f>
        <v/>
      </c>
      <c r="E52" s="13">
        <f>IF(A52="","",SUMIFS(Transaksi!$G$2:$G$3000,Transaksi!$L$2:$L$3000,A52)+SUMIFS(Transaksi!$H$2:$H$3000,Transaksi!$L$2:$L$3000,A52)+SUMIFS(Transaksi!$I$2:$I$3000,Transaksi!$L$2:$L$3000,A52))</f>
        <v/>
      </c>
      <c r="F52" s="14">
        <f>IF(A52="","",SUMIFS(Transaksi!$J$2:$J$3000,Transaksi!$L$2:$L$3000,A52))</f>
        <v/>
      </c>
      <c r="G52" s="15">
        <f>IF(A52="","",E52-F52)</f>
        <v/>
      </c>
      <c r="H52" s="16">
        <f>IF(A52="","",SUMIFS(Transaksi!$G$2:$G$3000,Transaksi!$L$2:$L$3000,"&lt;="&amp;A52)+SUMIFS(Transaksi!$H$2:$H$3000,Transaksi!$L$2:$L$3000,"&lt;="&amp;A52)+SUMIFS(Transaksi!$I$2:$I$3000,Transaksi!$L$2:$L$3000,"&lt;="&amp;A52)-(SUMIFS(Transaksi!$J$2:$J$3000,Transaksi!$L$2:$L$3000,"&lt;="&amp;A52)))</f>
        <v/>
      </c>
    </row>
    <row r="53">
      <c r="A53" s="22">
        <f>IF(49&lt;=MAX(Transaksi!$L$2:$L$3000),MAX(Transaksi!$L$2:$L$3000)-48,"")</f>
        <v/>
      </c>
      <c r="B53" s="23">
        <f>IF(A53="","",INDEX(Transaksi!$B$2:$B$3000,MATCH(A53,Transaksi!$L$2:$L$3000,0)))</f>
        <v/>
      </c>
      <c r="C53" s="24">
        <f>IF(A53="","",CHOOSE(WEEKDAY(B53,2),"Isnin","Selasa","Rabu","Khamis","Jumaat","Sabtu","Ahad"))</f>
        <v/>
      </c>
      <c r="D53" s="25">
        <f>IF(A53="","",COUNTIF(Transaksi!$L$2:$L$3000,A53))</f>
        <v/>
      </c>
      <c r="E53" s="13">
        <f>IF(A53="","",SUMIFS(Transaksi!$G$2:$G$3000,Transaksi!$L$2:$L$3000,A53)+SUMIFS(Transaksi!$H$2:$H$3000,Transaksi!$L$2:$L$3000,A53)+SUMIFS(Transaksi!$I$2:$I$3000,Transaksi!$L$2:$L$3000,A53))</f>
        <v/>
      </c>
      <c r="F53" s="14">
        <f>IF(A53="","",SUMIFS(Transaksi!$J$2:$J$3000,Transaksi!$L$2:$L$3000,A53))</f>
        <v/>
      </c>
      <c r="G53" s="15">
        <f>IF(A53="","",E53-F53)</f>
        <v/>
      </c>
      <c r="H53" s="16">
        <f>IF(A53="","",SUMIFS(Transaksi!$G$2:$G$3000,Transaksi!$L$2:$L$3000,"&lt;="&amp;A53)+SUMIFS(Transaksi!$H$2:$H$3000,Transaksi!$L$2:$L$3000,"&lt;="&amp;A53)+SUMIFS(Transaksi!$I$2:$I$3000,Transaksi!$L$2:$L$3000,"&lt;="&amp;A53)-(SUMIFS(Transaksi!$J$2:$J$3000,Transaksi!$L$2:$L$3000,"&lt;="&amp;A53)))</f>
        <v/>
      </c>
    </row>
    <row r="54">
      <c r="A54" s="22">
        <f>IF(50&lt;=MAX(Transaksi!$L$2:$L$3000),MAX(Transaksi!$L$2:$L$3000)-49,"")</f>
        <v/>
      </c>
      <c r="B54" s="23">
        <f>IF(A54="","",INDEX(Transaksi!$B$2:$B$3000,MATCH(A54,Transaksi!$L$2:$L$3000,0)))</f>
        <v/>
      </c>
      <c r="C54" s="24">
        <f>IF(A54="","",CHOOSE(WEEKDAY(B54,2),"Isnin","Selasa","Rabu","Khamis","Jumaat","Sabtu","Ahad"))</f>
        <v/>
      </c>
      <c r="D54" s="25">
        <f>IF(A54="","",COUNTIF(Transaksi!$L$2:$L$3000,A54))</f>
        <v/>
      </c>
      <c r="E54" s="13">
        <f>IF(A54="","",SUMIFS(Transaksi!$G$2:$G$3000,Transaksi!$L$2:$L$3000,A54)+SUMIFS(Transaksi!$H$2:$H$3000,Transaksi!$L$2:$L$3000,A54)+SUMIFS(Transaksi!$I$2:$I$3000,Transaksi!$L$2:$L$3000,A54))</f>
        <v/>
      </c>
      <c r="F54" s="14">
        <f>IF(A54="","",SUMIFS(Transaksi!$J$2:$J$3000,Transaksi!$L$2:$L$3000,A54))</f>
        <v/>
      </c>
      <c r="G54" s="15">
        <f>IF(A54="","",E54-F54)</f>
        <v/>
      </c>
      <c r="H54" s="16">
        <f>IF(A54="","",SUMIFS(Transaksi!$G$2:$G$3000,Transaksi!$L$2:$L$3000,"&lt;="&amp;A54)+SUMIFS(Transaksi!$H$2:$H$3000,Transaksi!$L$2:$L$3000,"&lt;="&amp;A54)+SUMIFS(Transaksi!$I$2:$I$3000,Transaksi!$L$2:$L$3000,"&lt;="&amp;A54)-(SUMIFS(Transaksi!$J$2:$J$3000,Transaksi!$L$2:$L$3000,"&lt;="&amp;A54)))</f>
        <v/>
      </c>
    </row>
    <row r="55">
      <c r="A55" s="22">
        <f>IF(51&lt;=MAX(Transaksi!$L$2:$L$3000),MAX(Transaksi!$L$2:$L$3000)-50,"")</f>
        <v/>
      </c>
      <c r="B55" s="23">
        <f>IF(A55="","",INDEX(Transaksi!$B$2:$B$3000,MATCH(A55,Transaksi!$L$2:$L$3000,0)))</f>
        <v/>
      </c>
      <c r="C55" s="24">
        <f>IF(A55="","",CHOOSE(WEEKDAY(B55,2),"Isnin","Selasa","Rabu","Khamis","Jumaat","Sabtu","Ahad"))</f>
        <v/>
      </c>
      <c r="D55" s="25">
        <f>IF(A55="","",COUNTIF(Transaksi!$L$2:$L$3000,A55))</f>
        <v/>
      </c>
      <c r="E55" s="13">
        <f>IF(A55="","",SUMIFS(Transaksi!$G$2:$G$3000,Transaksi!$L$2:$L$3000,A55)+SUMIFS(Transaksi!$H$2:$H$3000,Transaksi!$L$2:$L$3000,A55)+SUMIFS(Transaksi!$I$2:$I$3000,Transaksi!$L$2:$L$3000,A55))</f>
        <v/>
      </c>
      <c r="F55" s="14">
        <f>IF(A55="","",SUMIFS(Transaksi!$J$2:$J$3000,Transaksi!$L$2:$L$3000,A55))</f>
        <v/>
      </c>
      <c r="G55" s="15">
        <f>IF(A55="","",E55-F55)</f>
        <v/>
      </c>
      <c r="H55" s="16">
        <f>IF(A55="","",SUMIFS(Transaksi!$G$2:$G$3000,Transaksi!$L$2:$L$3000,"&lt;="&amp;A55)+SUMIFS(Transaksi!$H$2:$H$3000,Transaksi!$L$2:$L$3000,"&lt;="&amp;A55)+SUMIFS(Transaksi!$I$2:$I$3000,Transaksi!$L$2:$L$3000,"&lt;="&amp;A55)-(SUMIFS(Transaksi!$J$2:$J$3000,Transaksi!$L$2:$L$3000,"&lt;="&amp;A55)))</f>
        <v/>
      </c>
    </row>
    <row r="56">
      <c r="A56" s="22">
        <f>IF(52&lt;=MAX(Transaksi!$L$2:$L$3000),MAX(Transaksi!$L$2:$L$3000)-51,"")</f>
        <v/>
      </c>
      <c r="B56" s="23">
        <f>IF(A56="","",INDEX(Transaksi!$B$2:$B$3000,MATCH(A56,Transaksi!$L$2:$L$3000,0)))</f>
        <v/>
      </c>
      <c r="C56" s="24">
        <f>IF(A56="","",CHOOSE(WEEKDAY(B56,2),"Isnin","Selasa","Rabu","Khamis","Jumaat","Sabtu","Ahad"))</f>
        <v/>
      </c>
      <c r="D56" s="25">
        <f>IF(A56="","",COUNTIF(Transaksi!$L$2:$L$3000,A56))</f>
        <v/>
      </c>
      <c r="E56" s="13">
        <f>IF(A56="","",SUMIFS(Transaksi!$G$2:$G$3000,Transaksi!$L$2:$L$3000,A56)+SUMIFS(Transaksi!$H$2:$H$3000,Transaksi!$L$2:$L$3000,A56)+SUMIFS(Transaksi!$I$2:$I$3000,Transaksi!$L$2:$L$3000,A56))</f>
        <v/>
      </c>
      <c r="F56" s="14">
        <f>IF(A56="","",SUMIFS(Transaksi!$J$2:$J$3000,Transaksi!$L$2:$L$3000,A56))</f>
        <v/>
      </c>
      <c r="G56" s="15">
        <f>IF(A56="","",E56-F56)</f>
        <v/>
      </c>
      <c r="H56" s="16">
        <f>IF(A56="","",SUMIFS(Transaksi!$G$2:$G$3000,Transaksi!$L$2:$L$3000,"&lt;="&amp;A56)+SUMIFS(Transaksi!$H$2:$H$3000,Transaksi!$L$2:$L$3000,"&lt;="&amp;A56)+SUMIFS(Transaksi!$I$2:$I$3000,Transaksi!$L$2:$L$3000,"&lt;="&amp;A56)-(SUMIFS(Transaksi!$J$2:$J$3000,Transaksi!$L$2:$L$3000,"&lt;="&amp;A56)))</f>
        <v/>
      </c>
    </row>
    <row r="57">
      <c r="A57" s="22">
        <f>IF(53&lt;=MAX(Transaksi!$L$2:$L$3000),MAX(Transaksi!$L$2:$L$3000)-52,"")</f>
        <v/>
      </c>
      <c r="B57" s="23">
        <f>IF(A57="","",INDEX(Transaksi!$B$2:$B$3000,MATCH(A57,Transaksi!$L$2:$L$3000,0)))</f>
        <v/>
      </c>
      <c r="C57" s="24">
        <f>IF(A57="","",CHOOSE(WEEKDAY(B57,2),"Isnin","Selasa","Rabu","Khamis","Jumaat","Sabtu","Ahad"))</f>
        <v/>
      </c>
      <c r="D57" s="25">
        <f>IF(A57="","",COUNTIF(Transaksi!$L$2:$L$3000,A57))</f>
        <v/>
      </c>
      <c r="E57" s="13">
        <f>IF(A57="","",SUMIFS(Transaksi!$G$2:$G$3000,Transaksi!$L$2:$L$3000,A57)+SUMIFS(Transaksi!$H$2:$H$3000,Transaksi!$L$2:$L$3000,A57)+SUMIFS(Transaksi!$I$2:$I$3000,Transaksi!$L$2:$L$3000,A57))</f>
        <v/>
      </c>
      <c r="F57" s="14">
        <f>IF(A57="","",SUMIFS(Transaksi!$J$2:$J$3000,Transaksi!$L$2:$L$3000,A57))</f>
        <v/>
      </c>
      <c r="G57" s="15">
        <f>IF(A57="","",E57-F57)</f>
        <v/>
      </c>
      <c r="H57" s="16">
        <f>IF(A57="","",SUMIFS(Transaksi!$G$2:$G$3000,Transaksi!$L$2:$L$3000,"&lt;="&amp;A57)+SUMIFS(Transaksi!$H$2:$H$3000,Transaksi!$L$2:$L$3000,"&lt;="&amp;A57)+SUMIFS(Transaksi!$I$2:$I$3000,Transaksi!$L$2:$L$3000,"&lt;="&amp;A57)-(SUMIFS(Transaksi!$J$2:$J$3000,Transaksi!$L$2:$L$3000,"&lt;="&amp;A57)))</f>
        <v/>
      </c>
    </row>
    <row r="58">
      <c r="A58" s="22">
        <f>IF(54&lt;=MAX(Transaksi!$L$2:$L$3000),MAX(Transaksi!$L$2:$L$3000)-53,"")</f>
        <v/>
      </c>
      <c r="B58" s="23">
        <f>IF(A58="","",INDEX(Transaksi!$B$2:$B$3000,MATCH(A58,Transaksi!$L$2:$L$3000,0)))</f>
        <v/>
      </c>
      <c r="C58" s="24">
        <f>IF(A58="","",CHOOSE(WEEKDAY(B58,2),"Isnin","Selasa","Rabu","Khamis","Jumaat","Sabtu","Ahad"))</f>
        <v/>
      </c>
      <c r="D58" s="25">
        <f>IF(A58="","",COUNTIF(Transaksi!$L$2:$L$3000,A58))</f>
        <v/>
      </c>
      <c r="E58" s="13">
        <f>IF(A58="","",SUMIFS(Transaksi!$G$2:$G$3000,Transaksi!$L$2:$L$3000,A58)+SUMIFS(Transaksi!$H$2:$H$3000,Transaksi!$L$2:$L$3000,A58)+SUMIFS(Transaksi!$I$2:$I$3000,Transaksi!$L$2:$L$3000,A58))</f>
        <v/>
      </c>
      <c r="F58" s="14">
        <f>IF(A58="","",SUMIFS(Transaksi!$J$2:$J$3000,Transaksi!$L$2:$L$3000,A58))</f>
        <v/>
      </c>
      <c r="G58" s="15">
        <f>IF(A58="","",E58-F58)</f>
        <v/>
      </c>
      <c r="H58" s="16">
        <f>IF(A58="","",SUMIFS(Transaksi!$G$2:$G$3000,Transaksi!$L$2:$L$3000,"&lt;="&amp;A58)+SUMIFS(Transaksi!$H$2:$H$3000,Transaksi!$L$2:$L$3000,"&lt;="&amp;A58)+SUMIFS(Transaksi!$I$2:$I$3000,Transaksi!$L$2:$L$3000,"&lt;="&amp;A58)-(SUMIFS(Transaksi!$J$2:$J$3000,Transaksi!$L$2:$L$3000,"&lt;="&amp;A58)))</f>
        <v/>
      </c>
    </row>
    <row r="59">
      <c r="A59" s="22">
        <f>IF(55&lt;=MAX(Transaksi!$L$2:$L$3000),MAX(Transaksi!$L$2:$L$3000)-54,"")</f>
        <v/>
      </c>
      <c r="B59" s="23">
        <f>IF(A59="","",INDEX(Transaksi!$B$2:$B$3000,MATCH(A59,Transaksi!$L$2:$L$3000,0)))</f>
        <v/>
      </c>
      <c r="C59" s="24">
        <f>IF(A59="","",CHOOSE(WEEKDAY(B59,2),"Isnin","Selasa","Rabu","Khamis","Jumaat","Sabtu","Ahad"))</f>
        <v/>
      </c>
      <c r="D59" s="25">
        <f>IF(A59="","",COUNTIF(Transaksi!$L$2:$L$3000,A59))</f>
        <v/>
      </c>
      <c r="E59" s="13">
        <f>IF(A59="","",SUMIFS(Transaksi!$G$2:$G$3000,Transaksi!$L$2:$L$3000,A59)+SUMIFS(Transaksi!$H$2:$H$3000,Transaksi!$L$2:$L$3000,A59)+SUMIFS(Transaksi!$I$2:$I$3000,Transaksi!$L$2:$L$3000,A59))</f>
        <v/>
      </c>
      <c r="F59" s="14">
        <f>IF(A59="","",SUMIFS(Transaksi!$J$2:$J$3000,Transaksi!$L$2:$L$3000,A59))</f>
        <v/>
      </c>
      <c r="G59" s="15">
        <f>IF(A59="","",E59-F59)</f>
        <v/>
      </c>
      <c r="H59" s="16">
        <f>IF(A59="","",SUMIFS(Transaksi!$G$2:$G$3000,Transaksi!$L$2:$L$3000,"&lt;="&amp;A59)+SUMIFS(Transaksi!$H$2:$H$3000,Transaksi!$L$2:$L$3000,"&lt;="&amp;A59)+SUMIFS(Transaksi!$I$2:$I$3000,Transaksi!$L$2:$L$3000,"&lt;="&amp;A59)-(SUMIFS(Transaksi!$J$2:$J$3000,Transaksi!$L$2:$L$3000,"&lt;="&amp;A59)))</f>
        <v/>
      </c>
    </row>
    <row r="60">
      <c r="A60" s="22">
        <f>IF(56&lt;=MAX(Transaksi!$L$2:$L$3000),MAX(Transaksi!$L$2:$L$3000)-55,"")</f>
        <v/>
      </c>
      <c r="B60" s="23">
        <f>IF(A60="","",INDEX(Transaksi!$B$2:$B$3000,MATCH(A60,Transaksi!$L$2:$L$3000,0)))</f>
        <v/>
      </c>
      <c r="C60" s="24">
        <f>IF(A60="","",CHOOSE(WEEKDAY(B60,2),"Isnin","Selasa","Rabu","Khamis","Jumaat","Sabtu","Ahad"))</f>
        <v/>
      </c>
      <c r="D60" s="25">
        <f>IF(A60="","",COUNTIF(Transaksi!$L$2:$L$3000,A60))</f>
        <v/>
      </c>
      <c r="E60" s="13">
        <f>IF(A60="","",SUMIFS(Transaksi!$G$2:$G$3000,Transaksi!$L$2:$L$3000,A60)+SUMIFS(Transaksi!$H$2:$H$3000,Transaksi!$L$2:$L$3000,A60)+SUMIFS(Transaksi!$I$2:$I$3000,Transaksi!$L$2:$L$3000,A60))</f>
        <v/>
      </c>
      <c r="F60" s="14">
        <f>IF(A60="","",SUMIFS(Transaksi!$J$2:$J$3000,Transaksi!$L$2:$L$3000,A60))</f>
        <v/>
      </c>
      <c r="G60" s="15">
        <f>IF(A60="","",E60-F60)</f>
        <v/>
      </c>
      <c r="H60" s="16">
        <f>IF(A60="","",SUMIFS(Transaksi!$G$2:$G$3000,Transaksi!$L$2:$L$3000,"&lt;="&amp;A60)+SUMIFS(Transaksi!$H$2:$H$3000,Transaksi!$L$2:$L$3000,"&lt;="&amp;A60)+SUMIFS(Transaksi!$I$2:$I$3000,Transaksi!$L$2:$L$3000,"&lt;="&amp;A60)-(SUMIFS(Transaksi!$J$2:$J$3000,Transaksi!$L$2:$L$3000,"&lt;="&amp;A60)))</f>
        <v/>
      </c>
    </row>
    <row r="61">
      <c r="A61" s="22">
        <f>IF(57&lt;=MAX(Transaksi!$L$2:$L$3000),MAX(Transaksi!$L$2:$L$3000)-56,"")</f>
        <v/>
      </c>
      <c r="B61" s="23">
        <f>IF(A61="","",INDEX(Transaksi!$B$2:$B$3000,MATCH(A61,Transaksi!$L$2:$L$3000,0)))</f>
        <v/>
      </c>
      <c r="C61" s="24">
        <f>IF(A61="","",CHOOSE(WEEKDAY(B61,2),"Isnin","Selasa","Rabu","Khamis","Jumaat","Sabtu","Ahad"))</f>
        <v/>
      </c>
      <c r="D61" s="25">
        <f>IF(A61="","",COUNTIF(Transaksi!$L$2:$L$3000,A61))</f>
        <v/>
      </c>
      <c r="E61" s="13">
        <f>IF(A61="","",SUMIFS(Transaksi!$G$2:$G$3000,Transaksi!$L$2:$L$3000,A61)+SUMIFS(Transaksi!$H$2:$H$3000,Transaksi!$L$2:$L$3000,A61)+SUMIFS(Transaksi!$I$2:$I$3000,Transaksi!$L$2:$L$3000,A61))</f>
        <v/>
      </c>
      <c r="F61" s="14">
        <f>IF(A61="","",SUMIFS(Transaksi!$J$2:$J$3000,Transaksi!$L$2:$L$3000,A61))</f>
        <v/>
      </c>
      <c r="G61" s="15">
        <f>IF(A61="","",E61-F61)</f>
        <v/>
      </c>
      <c r="H61" s="16">
        <f>IF(A61="","",SUMIFS(Transaksi!$G$2:$G$3000,Transaksi!$L$2:$L$3000,"&lt;="&amp;A61)+SUMIFS(Transaksi!$H$2:$H$3000,Transaksi!$L$2:$L$3000,"&lt;="&amp;A61)+SUMIFS(Transaksi!$I$2:$I$3000,Transaksi!$L$2:$L$3000,"&lt;="&amp;A61)-(SUMIFS(Transaksi!$J$2:$J$3000,Transaksi!$L$2:$L$3000,"&lt;="&amp;A61)))</f>
        <v/>
      </c>
    </row>
    <row r="62">
      <c r="A62" s="22">
        <f>IF(58&lt;=MAX(Transaksi!$L$2:$L$3000),MAX(Transaksi!$L$2:$L$3000)-57,"")</f>
        <v/>
      </c>
      <c r="B62" s="23">
        <f>IF(A62="","",INDEX(Transaksi!$B$2:$B$3000,MATCH(A62,Transaksi!$L$2:$L$3000,0)))</f>
        <v/>
      </c>
      <c r="C62" s="24">
        <f>IF(A62="","",CHOOSE(WEEKDAY(B62,2),"Isnin","Selasa","Rabu","Khamis","Jumaat","Sabtu","Ahad"))</f>
        <v/>
      </c>
      <c r="D62" s="25">
        <f>IF(A62="","",COUNTIF(Transaksi!$L$2:$L$3000,A62))</f>
        <v/>
      </c>
      <c r="E62" s="13">
        <f>IF(A62="","",SUMIFS(Transaksi!$G$2:$G$3000,Transaksi!$L$2:$L$3000,A62)+SUMIFS(Transaksi!$H$2:$H$3000,Transaksi!$L$2:$L$3000,A62)+SUMIFS(Transaksi!$I$2:$I$3000,Transaksi!$L$2:$L$3000,A62))</f>
        <v/>
      </c>
      <c r="F62" s="14">
        <f>IF(A62="","",SUMIFS(Transaksi!$J$2:$J$3000,Transaksi!$L$2:$L$3000,A62))</f>
        <v/>
      </c>
      <c r="G62" s="15">
        <f>IF(A62="","",E62-F62)</f>
        <v/>
      </c>
      <c r="H62" s="16">
        <f>IF(A62="","",SUMIFS(Transaksi!$G$2:$G$3000,Transaksi!$L$2:$L$3000,"&lt;="&amp;A62)+SUMIFS(Transaksi!$H$2:$H$3000,Transaksi!$L$2:$L$3000,"&lt;="&amp;A62)+SUMIFS(Transaksi!$I$2:$I$3000,Transaksi!$L$2:$L$3000,"&lt;="&amp;A62)-(SUMIFS(Transaksi!$J$2:$J$3000,Transaksi!$L$2:$L$3000,"&lt;="&amp;A62)))</f>
        <v/>
      </c>
    </row>
    <row r="63">
      <c r="A63" s="22">
        <f>IF(59&lt;=MAX(Transaksi!$L$2:$L$3000),MAX(Transaksi!$L$2:$L$3000)-58,"")</f>
        <v/>
      </c>
      <c r="B63" s="23">
        <f>IF(A63="","",INDEX(Transaksi!$B$2:$B$3000,MATCH(A63,Transaksi!$L$2:$L$3000,0)))</f>
        <v/>
      </c>
      <c r="C63" s="24">
        <f>IF(A63="","",CHOOSE(WEEKDAY(B63,2),"Isnin","Selasa","Rabu","Khamis","Jumaat","Sabtu","Ahad"))</f>
        <v/>
      </c>
      <c r="D63" s="25">
        <f>IF(A63="","",COUNTIF(Transaksi!$L$2:$L$3000,A63))</f>
        <v/>
      </c>
      <c r="E63" s="13">
        <f>IF(A63="","",SUMIFS(Transaksi!$G$2:$G$3000,Transaksi!$L$2:$L$3000,A63)+SUMIFS(Transaksi!$H$2:$H$3000,Transaksi!$L$2:$L$3000,A63)+SUMIFS(Transaksi!$I$2:$I$3000,Transaksi!$L$2:$L$3000,A63))</f>
        <v/>
      </c>
      <c r="F63" s="14">
        <f>IF(A63="","",SUMIFS(Transaksi!$J$2:$J$3000,Transaksi!$L$2:$L$3000,A63))</f>
        <v/>
      </c>
      <c r="G63" s="15">
        <f>IF(A63="","",E63-F63)</f>
        <v/>
      </c>
      <c r="H63" s="16">
        <f>IF(A63="","",SUMIFS(Transaksi!$G$2:$G$3000,Transaksi!$L$2:$L$3000,"&lt;="&amp;A63)+SUMIFS(Transaksi!$H$2:$H$3000,Transaksi!$L$2:$L$3000,"&lt;="&amp;A63)+SUMIFS(Transaksi!$I$2:$I$3000,Transaksi!$L$2:$L$3000,"&lt;="&amp;A63)-(SUMIFS(Transaksi!$J$2:$J$3000,Transaksi!$L$2:$L$3000,"&lt;="&amp;A63)))</f>
        <v/>
      </c>
    </row>
    <row r="64">
      <c r="A64" s="22">
        <f>IF(60&lt;=MAX(Transaksi!$L$2:$L$3000),MAX(Transaksi!$L$2:$L$3000)-59,"")</f>
        <v/>
      </c>
      <c r="B64" s="23">
        <f>IF(A64="","",INDEX(Transaksi!$B$2:$B$3000,MATCH(A64,Transaksi!$L$2:$L$3000,0)))</f>
        <v/>
      </c>
      <c r="C64" s="24">
        <f>IF(A64="","",CHOOSE(WEEKDAY(B64,2),"Isnin","Selasa","Rabu","Khamis","Jumaat","Sabtu","Ahad"))</f>
        <v/>
      </c>
      <c r="D64" s="25">
        <f>IF(A64="","",COUNTIF(Transaksi!$L$2:$L$3000,A64))</f>
        <v/>
      </c>
      <c r="E64" s="13">
        <f>IF(A64="","",SUMIFS(Transaksi!$G$2:$G$3000,Transaksi!$L$2:$L$3000,A64)+SUMIFS(Transaksi!$H$2:$H$3000,Transaksi!$L$2:$L$3000,A64)+SUMIFS(Transaksi!$I$2:$I$3000,Transaksi!$L$2:$L$3000,A64))</f>
        <v/>
      </c>
      <c r="F64" s="14">
        <f>IF(A64="","",SUMIFS(Transaksi!$J$2:$J$3000,Transaksi!$L$2:$L$3000,A64))</f>
        <v/>
      </c>
      <c r="G64" s="15">
        <f>IF(A64="","",E64-F64)</f>
        <v/>
      </c>
      <c r="H64" s="16">
        <f>IF(A64="","",SUMIFS(Transaksi!$G$2:$G$3000,Transaksi!$L$2:$L$3000,"&lt;="&amp;A64)+SUMIFS(Transaksi!$H$2:$H$3000,Transaksi!$L$2:$L$3000,"&lt;="&amp;A64)+SUMIFS(Transaksi!$I$2:$I$3000,Transaksi!$L$2:$L$3000,"&lt;="&amp;A64)-(SUMIFS(Transaksi!$J$2:$J$3000,Transaksi!$L$2:$L$3000,"&lt;="&amp;A64)))</f>
        <v/>
      </c>
    </row>
    <row r="65">
      <c r="A65" s="22">
        <f>IF(61&lt;=MAX(Transaksi!$L$2:$L$3000),MAX(Transaksi!$L$2:$L$3000)-60,"")</f>
        <v/>
      </c>
      <c r="B65" s="23">
        <f>IF(A65="","",INDEX(Transaksi!$B$2:$B$3000,MATCH(A65,Transaksi!$L$2:$L$3000,0)))</f>
        <v/>
      </c>
      <c r="C65" s="24">
        <f>IF(A65="","",CHOOSE(WEEKDAY(B65,2),"Isnin","Selasa","Rabu","Khamis","Jumaat","Sabtu","Ahad"))</f>
        <v/>
      </c>
      <c r="D65" s="25">
        <f>IF(A65="","",COUNTIF(Transaksi!$L$2:$L$3000,A65))</f>
        <v/>
      </c>
      <c r="E65" s="13">
        <f>IF(A65="","",SUMIFS(Transaksi!$G$2:$G$3000,Transaksi!$L$2:$L$3000,A65)+SUMIFS(Transaksi!$H$2:$H$3000,Transaksi!$L$2:$L$3000,A65)+SUMIFS(Transaksi!$I$2:$I$3000,Transaksi!$L$2:$L$3000,A65))</f>
        <v/>
      </c>
      <c r="F65" s="14">
        <f>IF(A65="","",SUMIFS(Transaksi!$J$2:$J$3000,Transaksi!$L$2:$L$3000,A65))</f>
        <v/>
      </c>
      <c r="G65" s="15">
        <f>IF(A65="","",E65-F65)</f>
        <v/>
      </c>
      <c r="H65" s="16">
        <f>IF(A65="","",SUMIFS(Transaksi!$G$2:$G$3000,Transaksi!$L$2:$L$3000,"&lt;="&amp;A65)+SUMIFS(Transaksi!$H$2:$H$3000,Transaksi!$L$2:$L$3000,"&lt;="&amp;A65)+SUMIFS(Transaksi!$I$2:$I$3000,Transaksi!$L$2:$L$3000,"&lt;="&amp;A65)-(SUMIFS(Transaksi!$J$2:$J$3000,Transaksi!$L$2:$L$3000,"&lt;="&amp;A65)))</f>
        <v/>
      </c>
    </row>
    <row r="66">
      <c r="A66" s="22">
        <f>IF(62&lt;=MAX(Transaksi!$L$2:$L$3000),MAX(Transaksi!$L$2:$L$3000)-61,"")</f>
        <v/>
      </c>
      <c r="B66" s="23">
        <f>IF(A66="","",INDEX(Transaksi!$B$2:$B$3000,MATCH(A66,Transaksi!$L$2:$L$3000,0)))</f>
        <v/>
      </c>
      <c r="C66" s="24">
        <f>IF(A66="","",CHOOSE(WEEKDAY(B66,2),"Isnin","Selasa","Rabu","Khamis","Jumaat","Sabtu","Ahad"))</f>
        <v/>
      </c>
      <c r="D66" s="25">
        <f>IF(A66="","",COUNTIF(Transaksi!$L$2:$L$3000,A66))</f>
        <v/>
      </c>
      <c r="E66" s="13">
        <f>IF(A66="","",SUMIFS(Transaksi!$G$2:$G$3000,Transaksi!$L$2:$L$3000,A66)+SUMIFS(Transaksi!$H$2:$H$3000,Transaksi!$L$2:$L$3000,A66)+SUMIFS(Transaksi!$I$2:$I$3000,Transaksi!$L$2:$L$3000,A66))</f>
        <v/>
      </c>
      <c r="F66" s="14">
        <f>IF(A66="","",SUMIFS(Transaksi!$J$2:$J$3000,Transaksi!$L$2:$L$3000,A66))</f>
        <v/>
      </c>
      <c r="G66" s="15">
        <f>IF(A66="","",E66-F66)</f>
        <v/>
      </c>
      <c r="H66" s="16">
        <f>IF(A66="","",SUMIFS(Transaksi!$G$2:$G$3000,Transaksi!$L$2:$L$3000,"&lt;="&amp;A66)+SUMIFS(Transaksi!$H$2:$H$3000,Transaksi!$L$2:$L$3000,"&lt;="&amp;A66)+SUMIFS(Transaksi!$I$2:$I$3000,Transaksi!$L$2:$L$3000,"&lt;="&amp;A66)-(SUMIFS(Transaksi!$J$2:$J$3000,Transaksi!$L$2:$L$3000,"&lt;="&amp;A66)))</f>
        <v/>
      </c>
    </row>
    <row r="67">
      <c r="A67" s="22">
        <f>IF(63&lt;=MAX(Transaksi!$L$2:$L$3000),MAX(Transaksi!$L$2:$L$3000)-62,"")</f>
        <v/>
      </c>
      <c r="B67" s="23">
        <f>IF(A67="","",INDEX(Transaksi!$B$2:$B$3000,MATCH(A67,Transaksi!$L$2:$L$3000,0)))</f>
        <v/>
      </c>
      <c r="C67" s="24">
        <f>IF(A67="","",CHOOSE(WEEKDAY(B67,2),"Isnin","Selasa","Rabu","Khamis","Jumaat","Sabtu","Ahad"))</f>
        <v/>
      </c>
      <c r="D67" s="25">
        <f>IF(A67="","",COUNTIF(Transaksi!$L$2:$L$3000,A67))</f>
        <v/>
      </c>
      <c r="E67" s="13">
        <f>IF(A67="","",SUMIFS(Transaksi!$G$2:$G$3000,Transaksi!$L$2:$L$3000,A67)+SUMIFS(Transaksi!$H$2:$H$3000,Transaksi!$L$2:$L$3000,A67)+SUMIFS(Transaksi!$I$2:$I$3000,Transaksi!$L$2:$L$3000,A67))</f>
        <v/>
      </c>
      <c r="F67" s="14">
        <f>IF(A67="","",SUMIFS(Transaksi!$J$2:$J$3000,Transaksi!$L$2:$L$3000,A67))</f>
        <v/>
      </c>
      <c r="G67" s="15">
        <f>IF(A67="","",E67-F67)</f>
        <v/>
      </c>
      <c r="H67" s="16">
        <f>IF(A67="","",SUMIFS(Transaksi!$G$2:$G$3000,Transaksi!$L$2:$L$3000,"&lt;="&amp;A67)+SUMIFS(Transaksi!$H$2:$H$3000,Transaksi!$L$2:$L$3000,"&lt;="&amp;A67)+SUMIFS(Transaksi!$I$2:$I$3000,Transaksi!$L$2:$L$3000,"&lt;="&amp;A67)-(SUMIFS(Transaksi!$J$2:$J$3000,Transaksi!$L$2:$L$3000,"&lt;="&amp;A67)))</f>
        <v/>
      </c>
    </row>
    <row r="68">
      <c r="A68" s="22">
        <f>IF(64&lt;=MAX(Transaksi!$L$2:$L$3000),MAX(Transaksi!$L$2:$L$3000)-63,"")</f>
        <v/>
      </c>
      <c r="B68" s="23">
        <f>IF(A68="","",INDEX(Transaksi!$B$2:$B$3000,MATCH(A68,Transaksi!$L$2:$L$3000,0)))</f>
        <v/>
      </c>
      <c r="C68" s="24">
        <f>IF(A68="","",CHOOSE(WEEKDAY(B68,2),"Isnin","Selasa","Rabu","Khamis","Jumaat","Sabtu","Ahad"))</f>
        <v/>
      </c>
      <c r="D68" s="25">
        <f>IF(A68="","",COUNTIF(Transaksi!$L$2:$L$3000,A68))</f>
        <v/>
      </c>
      <c r="E68" s="13">
        <f>IF(A68="","",SUMIFS(Transaksi!$G$2:$G$3000,Transaksi!$L$2:$L$3000,A68)+SUMIFS(Transaksi!$H$2:$H$3000,Transaksi!$L$2:$L$3000,A68)+SUMIFS(Transaksi!$I$2:$I$3000,Transaksi!$L$2:$L$3000,A68))</f>
        <v/>
      </c>
      <c r="F68" s="14">
        <f>IF(A68="","",SUMIFS(Transaksi!$J$2:$J$3000,Transaksi!$L$2:$L$3000,A68))</f>
        <v/>
      </c>
      <c r="G68" s="15">
        <f>IF(A68="","",E68-F68)</f>
        <v/>
      </c>
      <c r="H68" s="16">
        <f>IF(A68="","",SUMIFS(Transaksi!$G$2:$G$3000,Transaksi!$L$2:$L$3000,"&lt;="&amp;A68)+SUMIFS(Transaksi!$H$2:$H$3000,Transaksi!$L$2:$L$3000,"&lt;="&amp;A68)+SUMIFS(Transaksi!$I$2:$I$3000,Transaksi!$L$2:$L$3000,"&lt;="&amp;A68)-(SUMIFS(Transaksi!$J$2:$J$3000,Transaksi!$L$2:$L$3000,"&lt;="&amp;A68)))</f>
        <v/>
      </c>
    </row>
    <row r="69">
      <c r="A69" s="22">
        <f>IF(65&lt;=MAX(Transaksi!$L$2:$L$3000),MAX(Transaksi!$L$2:$L$3000)-64,"")</f>
        <v/>
      </c>
      <c r="B69" s="23">
        <f>IF(A69="","",INDEX(Transaksi!$B$2:$B$3000,MATCH(A69,Transaksi!$L$2:$L$3000,0)))</f>
        <v/>
      </c>
      <c r="C69" s="24">
        <f>IF(A69="","",CHOOSE(WEEKDAY(B69,2),"Isnin","Selasa","Rabu","Khamis","Jumaat","Sabtu","Ahad"))</f>
        <v/>
      </c>
      <c r="D69" s="25">
        <f>IF(A69="","",COUNTIF(Transaksi!$L$2:$L$3000,A69))</f>
        <v/>
      </c>
      <c r="E69" s="13">
        <f>IF(A69="","",SUMIFS(Transaksi!$G$2:$G$3000,Transaksi!$L$2:$L$3000,A69)+SUMIFS(Transaksi!$H$2:$H$3000,Transaksi!$L$2:$L$3000,A69)+SUMIFS(Transaksi!$I$2:$I$3000,Transaksi!$L$2:$L$3000,A69))</f>
        <v/>
      </c>
      <c r="F69" s="14">
        <f>IF(A69="","",SUMIFS(Transaksi!$J$2:$J$3000,Transaksi!$L$2:$L$3000,A69))</f>
        <v/>
      </c>
      <c r="G69" s="15">
        <f>IF(A69="","",E69-F69)</f>
        <v/>
      </c>
      <c r="H69" s="16">
        <f>IF(A69="","",SUMIFS(Transaksi!$G$2:$G$3000,Transaksi!$L$2:$L$3000,"&lt;="&amp;A69)+SUMIFS(Transaksi!$H$2:$H$3000,Transaksi!$L$2:$L$3000,"&lt;="&amp;A69)+SUMIFS(Transaksi!$I$2:$I$3000,Transaksi!$L$2:$L$3000,"&lt;="&amp;A69)-(SUMIFS(Transaksi!$J$2:$J$3000,Transaksi!$L$2:$L$3000,"&lt;="&amp;A69)))</f>
        <v/>
      </c>
    </row>
    <row r="70">
      <c r="A70" s="22">
        <f>IF(66&lt;=MAX(Transaksi!$L$2:$L$3000),MAX(Transaksi!$L$2:$L$3000)-65,"")</f>
        <v/>
      </c>
      <c r="B70" s="23">
        <f>IF(A70="","",INDEX(Transaksi!$B$2:$B$3000,MATCH(A70,Transaksi!$L$2:$L$3000,0)))</f>
        <v/>
      </c>
      <c r="C70" s="24">
        <f>IF(A70="","",CHOOSE(WEEKDAY(B70,2),"Isnin","Selasa","Rabu","Khamis","Jumaat","Sabtu","Ahad"))</f>
        <v/>
      </c>
      <c r="D70" s="25">
        <f>IF(A70="","",COUNTIF(Transaksi!$L$2:$L$3000,A70))</f>
        <v/>
      </c>
      <c r="E70" s="13">
        <f>IF(A70="","",SUMIFS(Transaksi!$G$2:$G$3000,Transaksi!$L$2:$L$3000,A70)+SUMIFS(Transaksi!$H$2:$H$3000,Transaksi!$L$2:$L$3000,A70)+SUMIFS(Transaksi!$I$2:$I$3000,Transaksi!$L$2:$L$3000,A70))</f>
        <v/>
      </c>
      <c r="F70" s="14">
        <f>IF(A70="","",SUMIFS(Transaksi!$J$2:$J$3000,Transaksi!$L$2:$L$3000,A70))</f>
        <v/>
      </c>
      <c r="G70" s="15">
        <f>IF(A70="","",E70-F70)</f>
        <v/>
      </c>
      <c r="H70" s="16">
        <f>IF(A70="","",SUMIFS(Transaksi!$G$2:$G$3000,Transaksi!$L$2:$L$3000,"&lt;="&amp;A70)+SUMIFS(Transaksi!$H$2:$H$3000,Transaksi!$L$2:$L$3000,"&lt;="&amp;A70)+SUMIFS(Transaksi!$I$2:$I$3000,Transaksi!$L$2:$L$3000,"&lt;="&amp;A70)-(SUMIFS(Transaksi!$J$2:$J$3000,Transaksi!$L$2:$L$3000,"&lt;="&amp;A70)))</f>
        <v/>
      </c>
    </row>
    <row r="71">
      <c r="A71" s="22">
        <f>IF(67&lt;=MAX(Transaksi!$L$2:$L$3000),MAX(Transaksi!$L$2:$L$3000)-66,"")</f>
        <v/>
      </c>
      <c r="B71" s="23">
        <f>IF(A71="","",INDEX(Transaksi!$B$2:$B$3000,MATCH(A71,Transaksi!$L$2:$L$3000,0)))</f>
        <v/>
      </c>
      <c r="C71" s="24">
        <f>IF(A71="","",CHOOSE(WEEKDAY(B71,2),"Isnin","Selasa","Rabu","Khamis","Jumaat","Sabtu","Ahad"))</f>
        <v/>
      </c>
      <c r="D71" s="25">
        <f>IF(A71="","",COUNTIF(Transaksi!$L$2:$L$3000,A71))</f>
        <v/>
      </c>
      <c r="E71" s="13">
        <f>IF(A71="","",SUMIFS(Transaksi!$G$2:$G$3000,Transaksi!$L$2:$L$3000,A71)+SUMIFS(Transaksi!$H$2:$H$3000,Transaksi!$L$2:$L$3000,A71)+SUMIFS(Transaksi!$I$2:$I$3000,Transaksi!$L$2:$L$3000,A71))</f>
        <v/>
      </c>
      <c r="F71" s="14">
        <f>IF(A71="","",SUMIFS(Transaksi!$J$2:$J$3000,Transaksi!$L$2:$L$3000,A71))</f>
        <v/>
      </c>
      <c r="G71" s="15">
        <f>IF(A71="","",E71-F71)</f>
        <v/>
      </c>
      <c r="H71" s="16">
        <f>IF(A71="","",SUMIFS(Transaksi!$G$2:$G$3000,Transaksi!$L$2:$L$3000,"&lt;="&amp;A71)+SUMIFS(Transaksi!$H$2:$H$3000,Transaksi!$L$2:$L$3000,"&lt;="&amp;A71)+SUMIFS(Transaksi!$I$2:$I$3000,Transaksi!$L$2:$L$3000,"&lt;="&amp;A71)-(SUMIFS(Transaksi!$J$2:$J$3000,Transaksi!$L$2:$L$3000,"&lt;="&amp;A71)))</f>
        <v/>
      </c>
    </row>
    <row r="72">
      <c r="A72" s="22">
        <f>IF(68&lt;=MAX(Transaksi!$L$2:$L$3000),MAX(Transaksi!$L$2:$L$3000)-67,"")</f>
        <v/>
      </c>
      <c r="B72" s="23">
        <f>IF(A72="","",INDEX(Transaksi!$B$2:$B$3000,MATCH(A72,Transaksi!$L$2:$L$3000,0)))</f>
        <v/>
      </c>
      <c r="C72" s="24">
        <f>IF(A72="","",CHOOSE(WEEKDAY(B72,2),"Isnin","Selasa","Rabu","Khamis","Jumaat","Sabtu","Ahad"))</f>
        <v/>
      </c>
      <c r="D72" s="25">
        <f>IF(A72="","",COUNTIF(Transaksi!$L$2:$L$3000,A72))</f>
        <v/>
      </c>
      <c r="E72" s="13">
        <f>IF(A72="","",SUMIFS(Transaksi!$G$2:$G$3000,Transaksi!$L$2:$L$3000,A72)+SUMIFS(Transaksi!$H$2:$H$3000,Transaksi!$L$2:$L$3000,A72)+SUMIFS(Transaksi!$I$2:$I$3000,Transaksi!$L$2:$L$3000,A72))</f>
        <v/>
      </c>
      <c r="F72" s="14">
        <f>IF(A72="","",SUMIFS(Transaksi!$J$2:$J$3000,Transaksi!$L$2:$L$3000,A72))</f>
        <v/>
      </c>
      <c r="G72" s="15">
        <f>IF(A72="","",E72-F72)</f>
        <v/>
      </c>
      <c r="H72" s="16">
        <f>IF(A72="","",SUMIFS(Transaksi!$G$2:$G$3000,Transaksi!$L$2:$L$3000,"&lt;="&amp;A72)+SUMIFS(Transaksi!$H$2:$H$3000,Transaksi!$L$2:$L$3000,"&lt;="&amp;A72)+SUMIFS(Transaksi!$I$2:$I$3000,Transaksi!$L$2:$L$3000,"&lt;="&amp;A72)-(SUMIFS(Transaksi!$J$2:$J$3000,Transaksi!$L$2:$L$3000,"&lt;="&amp;A72)))</f>
        <v/>
      </c>
    </row>
    <row r="73">
      <c r="A73" s="22">
        <f>IF(69&lt;=MAX(Transaksi!$L$2:$L$3000),MAX(Transaksi!$L$2:$L$3000)-68,"")</f>
        <v/>
      </c>
      <c r="B73" s="23">
        <f>IF(A73="","",INDEX(Transaksi!$B$2:$B$3000,MATCH(A73,Transaksi!$L$2:$L$3000,0)))</f>
        <v/>
      </c>
      <c r="C73" s="24">
        <f>IF(A73="","",CHOOSE(WEEKDAY(B73,2),"Isnin","Selasa","Rabu","Khamis","Jumaat","Sabtu","Ahad"))</f>
        <v/>
      </c>
      <c r="D73" s="25">
        <f>IF(A73="","",COUNTIF(Transaksi!$L$2:$L$3000,A73))</f>
        <v/>
      </c>
      <c r="E73" s="13">
        <f>IF(A73="","",SUMIFS(Transaksi!$G$2:$G$3000,Transaksi!$L$2:$L$3000,A73)+SUMIFS(Transaksi!$H$2:$H$3000,Transaksi!$L$2:$L$3000,A73)+SUMIFS(Transaksi!$I$2:$I$3000,Transaksi!$L$2:$L$3000,A73))</f>
        <v/>
      </c>
      <c r="F73" s="14">
        <f>IF(A73="","",SUMIFS(Transaksi!$J$2:$J$3000,Transaksi!$L$2:$L$3000,A73))</f>
        <v/>
      </c>
      <c r="G73" s="15">
        <f>IF(A73="","",E73-F73)</f>
        <v/>
      </c>
      <c r="H73" s="16">
        <f>IF(A73="","",SUMIFS(Transaksi!$G$2:$G$3000,Transaksi!$L$2:$L$3000,"&lt;="&amp;A73)+SUMIFS(Transaksi!$H$2:$H$3000,Transaksi!$L$2:$L$3000,"&lt;="&amp;A73)+SUMIFS(Transaksi!$I$2:$I$3000,Transaksi!$L$2:$L$3000,"&lt;="&amp;A73)-(SUMIFS(Transaksi!$J$2:$J$3000,Transaksi!$L$2:$L$3000,"&lt;="&amp;A73)))</f>
        <v/>
      </c>
    </row>
    <row r="74">
      <c r="A74" s="22">
        <f>IF(70&lt;=MAX(Transaksi!$L$2:$L$3000),MAX(Transaksi!$L$2:$L$3000)-69,"")</f>
        <v/>
      </c>
      <c r="B74" s="23">
        <f>IF(A74="","",INDEX(Transaksi!$B$2:$B$3000,MATCH(A74,Transaksi!$L$2:$L$3000,0)))</f>
        <v/>
      </c>
      <c r="C74" s="24">
        <f>IF(A74="","",CHOOSE(WEEKDAY(B74,2),"Isnin","Selasa","Rabu","Khamis","Jumaat","Sabtu","Ahad"))</f>
        <v/>
      </c>
      <c r="D74" s="25">
        <f>IF(A74="","",COUNTIF(Transaksi!$L$2:$L$3000,A74))</f>
        <v/>
      </c>
      <c r="E74" s="13">
        <f>IF(A74="","",SUMIFS(Transaksi!$G$2:$G$3000,Transaksi!$L$2:$L$3000,A74)+SUMIFS(Transaksi!$H$2:$H$3000,Transaksi!$L$2:$L$3000,A74)+SUMIFS(Transaksi!$I$2:$I$3000,Transaksi!$L$2:$L$3000,A74))</f>
        <v/>
      </c>
      <c r="F74" s="14">
        <f>IF(A74="","",SUMIFS(Transaksi!$J$2:$J$3000,Transaksi!$L$2:$L$3000,A74))</f>
        <v/>
      </c>
      <c r="G74" s="15">
        <f>IF(A74="","",E74-F74)</f>
        <v/>
      </c>
      <c r="H74" s="16">
        <f>IF(A74="","",SUMIFS(Transaksi!$G$2:$G$3000,Transaksi!$L$2:$L$3000,"&lt;="&amp;A74)+SUMIFS(Transaksi!$H$2:$H$3000,Transaksi!$L$2:$L$3000,"&lt;="&amp;A74)+SUMIFS(Transaksi!$I$2:$I$3000,Transaksi!$L$2:$L$3000,"&lt;="&amp;A74)-(SUMIFS(Transaksi!$J$2:$J$3000,Transaksi!$L$2:$L$3000,"&lt;="&amp;A74)))</f>
        <v/>
      </c>
    </row>
    <row r="75">
      <c r="A75" s="22">
        <f>IF(71&lt;=MAX(Transaksi!$L$2:$L$3000),MAX(Transaksi!$L$2:$L$3000)-70,"")</f>
        <v/>
      </c>
      <c r="B75" s="23">
        <f>IF(A75="","",INDEX(Transaksi!$B$2:$B$3000,MATCH(A75,Transaksi!$L$2:$L$3000,0)))</f>
        <v/>
      </c>
      <c r="C75" s="24">
        <f>IF(A75="","",CHOOSE(WEEKDAY(B75,2),"Isnin","Selasa","Rabu","Khamis","Jumaat","Sabtu","Ahad"))</f>
        <v/>
      </c>
      <c r="D75" s="25">
        <f>IF(A75="","",COUNTIF(Transaksi!$L$2:$L$3000,A75))</f>
        <v/>
      </c>
      <c r="E75" s="13">
        <f>IF(A75="","",SUMIFS(Transaksi!$G$2:$G$3000,Transaksi!$L$2:$L$3000,A75)+SUMIFS(Transaksi!$H$2:$H$3000,Transaksi!$L$2:$L$3000,A75)+SUMIFS(Transaksi!$I$2:$I$3000,Transaksi!$L$2:$L$3000,A75))</f>
        <v/>
      </c>
      <c r="F75" s="14">
        <f>IF(A75="","",SUMIFS(Transaksi!$J$2:$J$3000,Transaksi!$L$2:$L$3000,A75))</f>
        <v/>
      </c>
      <c r="G75" s="15">
        <f>IF(A75="","",E75-F75)</f>
        <v/>
      </c>
      <c r="H75" s="16">
        <f>IF(A75="","",SUMIFS(Transaksi!$G$2:$G$3000,Transaksi!$L$2:$L$3000,"&lt;="&amp;A75)+SUMIFS(Transaksi!$H$2:$H$3000,Transaksi!$L$2:$L$3000,"&lt;="&amp;A75)+SUMIFS(Transaksi!$I$2:$I$3000,Transaksi!$L$2:$L$3000,"&lt;="&amp;A75)-(SUMIFS(Transaksi!$J$2:$J$3000,Transaksi!$L$2:$L$3000,"&lt;="&amp;A75)))</f>
        <v/>
      </c>
    </row>
    <row r="76">
      <c r="A76" s="22">
        <f>IF(72&lt;=MAX(Transaksi!$L$2:$L$3000),MAX(Transaksi!$L$2:$L$3000)-71,"")</f>
        <v/>
      </c>
      <c r="B76" s="23">
        <f>IF(A76="","",INDEX(Transaksi!$B$2:$B$3000,MATCH(A76,Transaksi!$L$2:$L$3000,0)))</f>
        <v/>
      </c>
      <c r="C76" s="24">
        <f>IF(A76="","",CHOOSE(WEEKDAY(B76,2),"Isnin","Selasa","Rabu","Khamis","Jumaat","Sabtu","Ahad"))</f>
        <v/>
      </c>
      <c r="D76" s="25">
        <f>IF(A76="","",COUNTIF(Transaksi!$L$2:$L$3000,A76))</f>
        <v/>
      </c>
      <c r="E76" s="13">
        <f>IF(A76="","",SUMIFS(Transaksi!$G$2:$G$3000,Transaksi!$L$2:$L$3000,A76)+SUMIFS(Transaksi!$H$2:$H$3000,Transaksi!$L$2:$L$3000,A76)+SUMIFS(Transaksi!$I$2:$I$3000,Transaksi!$L$2:$L$3000,A76))</f>
        <v/>
      </c>
      <c r="F76" s="14">
        <f>IF(A76="","",SUMIFS(Transaksi!$J$2:$J$3000,Transaksi!$L$2:$L$3000,A76))</f>
        <v/>
      </c>
      <c r="G76" s="15">
        <f>IF(A76="","",E76-F76)</f>
        <v/>
      </c>
      <c r="H76" s="16">
        <f>IF(A76="","",SUMIFS(Transaksi!$G$2:$G$3000,Transaksi!$L$2:$L$3000,"&lt;="&amp;A76)+SUMIFS(Transaksi!$H$2:$H$3000,Transaksi!$L$2:$L$3000,"&lt;="&amp;A76)+SUMIFS(Transaksi!$I$2:$I$3000,Transaksi!$L$2:$L$3000,"&lt;="&amp;A76)-(SUMIFS(Transaksi!$J$2:$J$3000,Transaksi!$L$2:$L$3000,"&lt;="&amp;A76)))</f>
        <v/>
      </c>
    </row>
    <row r="77">
      <c r="A77" s="22">
        <f>IF(73&lt;=MAX(Transaksi!$L$2:$L$3000),MAX(Transaksi!$L$2:$L$3000)-72,"")</f>
        <v/>
      </c>
      <c r="B77" s="23">
        <f>IF(A77="","",INDEX(Transaksi!$B$2:$B$3000,MATCH(A77,Transaksi!$L$2:$L$3000,0)))</f>
        <v/>
      </c>
      <c r="C77" s="24">
        <f>IF(A77="","",CHOOSE(WEEKDAY(B77,2),"Isnin","Selasa","Rabu","Khamis","Jumaat","Sabtu","Ahad"))</f>
        <v/>
      </c>
      <c r="D77" s="25">
        <f>IF(A77="","",COUNTIF(Transaksi!$L$2:$L$3000,A77))</f>
        <v/>
      </c>
      <c r="E77" s="13">
        <f>IF(A77="","",SUMIFS(Transaksi!$G$2:$G$3000,Transaksi!$L$2:$L$3000,A77)+SUMIFS(Transaksi!$H$2:$H$3000,Transaksi!$L$2:$L$3000,A77)+SUMIFS(Transaksi!$I$2:$I$3000,Transaksi!$L$2:$L$3000,A77))</f>
        <v/>
      </c>
      <c r="F77" s="14">
        <f>IF(A77="","",SUMIFS(Transaksi!$J$2:$J$3000,Transaksi!$L$2:$L$3000,A77))</f>
        <v/>
      </c>
      <c r="G77" s="15">
        <f>IF(A77="","",E77-F77)</f>
        <v/>
      </c>
      <c r="H77" s="16">
        <f>IF(A77="","",SUMIFS(Transaksi!$G$2:$G$3000,Transaksi!$L$2:$L$3000,"&lt;="&amp;A77)+SUMIFS(Transaksi!$H$2:$H$3000,Transaksi!$L$2:$L$3000,"&lt;="&amp;A77)+SUMIFS(Transaksi!$I$2:$I$3000,Transaksi!$L$2:$L$3000,"&lt;="&amp;A77)-(SUMIFS(Transaksi!$J$2:$J$3000,Transaksi!$L$2:$L$3000,"&lt;="&amp;A77)))</f>
        <v/>
      </c>
    </row>
    <row r="78">
      <c r="A78" s="22">
        <f>IF(74&lt;=MAX(Transaksi!$L$2:$L$3000),MAX(Transaksi!$L$2:$L$3000)-73,"")</f>
        <v/>
      </c>
      <c r="B78" s="23">
        <f>IF(A78="","",INDEX(Transaksi!$B$2:$B$3000,MATCH(A78,Transaksi!$L$2:$L$3000,0)))</f>
        <v/>
      </c>
      <c r="C78" s="24">
        <f>IF(A78="","",CHOOSE(WEEKDAY(B78,2),"Isnin","Selasa","Rabu","Khamis","Jumaat","Sabtu","Ahad"))</f>
        <v/>
      </c>
      <c r="D78" s="25">
        <f>IF(A78="","",COUNTIF(Transaksi!$L$2:$L$3000,A78))</f>
        <v/>
      </c>
      <c r="E78" s="13">
        <f>IF(A78="","",SUMIFS(Transaksi!$G$2:$G$3000,Transaksi!$L$2:$L$3000,A78)+SUMIFS(Transaksi!$H$2:$H$3000,Transaksi!$L$2:$L$3000,A78)+SUMIFS(Transaksi!$I$2:$I$3000,Transaksi!$L$2:$L$3000,A78))</f>
        <v/>
      </c>
      <c r="F78" s="14">
        <f>IF(A78="","",SUMIFS(Transaksi!$J$2:$J$3000,Transaksi!$L$2:$L$3000,A78))</f>
        <v/>
      </c>
      <c r="G78" s="15">
        <f>IF(A78="","",E78-F78)</f>
        <v/>
      </c>
      <c r="H78" s="16">
        <f>IF(A78="","",SUMIFS(Transaksi!$G$2:$G$3000,Transaksi!$L$2:$L$3000,"&lt;="&amp;A78)+SUMIFS(Transaksi!$H$2:$H$3000,Transaksi!$L$2:$L$3000,"&lt;="&amp;A78)+SUMIFS(Transaksi!$I$2:$I$3000,Transaksi!$L$2:$L$3000,"&lt;="&amp;A78)-(SUMIFS(Transaksi!$J$2:$J$3000,Transaksi!$L$2:$L$3000,"&lt;="&amp;A78)))</f>
        <v/>
      </c>
    </row>
    <row r="79">
      <c r="A79" s="22">
        <f>IF(75&lt;=MAX(Transaksi!$L$2:$L$3000),MAX(Transaksi!$L$2:$L$3000)-74,"")</f>
        <v/>
      </c>
      <c r="B79" s="23">
        <f>IF(A79="","",INDEX(Transaksi!$B$2:$B$3000,MATCH(A79,Transaksi!$L$2:$L$3000,0)))</f>
        <v/>
      </c>
      <c r="C79" s="24">
        <f>IF(A79="","",CHOOSE(WEEKDAY(B79,2),"Isnin","Selasa","Rabu","Khamis","Jumaat","Sabtu","Ahad"))</f>
        <v/>
      </c>
      <c r="D79" s="25">
        <f>IF(A79="","",COUNTIF(Transaksi!$L$2:$L$3000,A79))</f>
        <v/>
      </c>
      <c r="E79" s="13">
        <f>IF(A79="","",SUMIFS(Transaksi!$G$2:$G$3000,Transaksi!$L$2:$L$3000,A79)+SUMIFS(Transaksi!$H$2:$H$3000,Transaksi!$L$2:$L$3000,A79)+SUMIFS(Transaksi!$I$2:$I$3000,Transaksi!$L$2:$L$3000,A79))</f>
        <v/>
      </c>
      <c r="F79" s="14">
        <f>IF(A79="","",SUMIFS(Transaksi!$J$2:$J$3000,Transaksi!$L$2:$L$3000,A79))</f>
        <v/>
      </c>
      <c r="G79" s="15">
        <f>IF(A79="","",E79-F79)</f>
        <v/>
      </c>
      <c r="H79" s="16">
        <f>IF(A79="","",SUMIFS(Transaksi!$G$2:$G$3000,Transaksi!$L$2:$L$3000,"&lt;="&amp;A79)+SUMIFS(Transaksi!$H$2:$H$3000,Transaksi!$L$2:$L$3000,"&lt;="&amp;A79)+SUMIFS(Transaksi!$I$2:$I$3000,Transaksi!$L$2:$L$3000,"&lt;="&amp;A79)-(SUMIFS(Transaksi!$J$2:$J$3000,Transaksi!$L$2:$L$3000,"&lt;="&amp;A79)))</f>
        <v/>
      </c>
    </row>
    <row r="80">
      <c r="A80" s="22">
        <f>IF(76&lt;=MAX(Transaksi!$L$2:$L$3000),MAX(Transaksi!$L$2:$L$3000)-75,"")</f>
        <v/>
      </c>
      <c r="B80" s="23">
        <f>IF(A80="","",INDEX(Transaksi!$B$2:$B$3000,MATCH(A80,Transaksi!$L$2:$L$3000,0)))</f>
        <v/>
      </c>
      <c r="C80" s="24">
        <f>IF(A80="","",CHOOSE(WEEKDAY(B80,2),"Isnin","Selasa","Rabu","Khamis","Jumaat","Sabtu","Ahad"))</f>
        <v/>
      </c>
      <c r="D80" s="25">
        <f>IF(A80="","",COUNTIF(Transaksi!$L$2:$L$3000,A80))</f>
        <v/>
      </c>
      <c r="E80" s="13">
        <f>IF(A80="","",SUMIFS(Transaksi!$G$2:$G$3000,Transaksi!$L$2:$L$3000,A80)+SUMIFS(Transaksi!$H$2:$H$3000,Transaksi!$L$2:$L$3000,A80)+SUMIFS(Transaksi!$I$2:$I$3000,Transaksi!$L$2:$L$3000,A80))</f>
        <v/>
      </c>
      <c r="F80" s="14">
        <f>IF(A80="","",SUMIFS(Transaksi!$J$2:$J$3000,Transaksi!$L$2:$L$3000,A80))</f>
        <v/>
      </c>
      <c r="G80" s="15">
        <f>IF(A80="","",E80-F80)</f>
        <v/>
      </c>
      <c r="H80" s="16">
        <f>IF(A80="","",SUMIFS(Transaksi!$G$2:$G$3000,Transaksi!$L$2:$L$3000,"&lt;="&amp;A80)+SUMIFS(Transaksi!$H$2:$H$3000,Transaksi!$L$2:$L$3000,"&lt;="&amp;A80)+SUMIFS(Transaksi!$I$2:$I$3000,Transaksi!$L$2:$L$3000,"&lt;="&amp;A80)-(SUMIFS(Transaksi!$J$2:$J$3000,Transaksi!$L$2:$L$3000,"&lt;="&amp;A80)))</f>
        <v/>
      </c>
    </row>
    <row r="81">
      <c r="A81" s="22">
        <f>IF(77&lt;=MAX(Transaksi!$L$2:$L$3000),MAX(Transaksi!$L$2:$L$3000)-76,"")</f>
        <v/>
      </c>
      <c r="B81" s="23">
        <f>IF(A81="","",INDEX(Transaksi!$B$2:$B$3000,MATCH(A81,Transaksi!$L$2:$L$3000,0)))</f>
        <v/>
      </c>
      <c r="C81" s="24">
        <f>IF(A81="","",CHOOSE(WEEKDAY(B81,2),"Isnin","Selasa","Rabu","Khamis","Jumaat","Sabtu","Ahad"))</f>
        <v/>
      </c>
      <c r="D81" s="25">
        <f>IF(A81="","",COUNTIF(Transaksi!$L$2:$L$3000,A81))</f>
        <v/>
      </c>
      <c r="E81" s="13">
        <f>IF(A81="","",SUMIFS(Transaksi!$G$2:$G$3000,Transaksi!$L$2:$L$3000,A81)+SUMIFS(Transaksi!$H$2:$H$3000,Transaksi!$L$2:$L$3000,A81)+SUMIFS(Transaksi!$I$2:$I$3000,Transaksi!$L$2:$L$3000,A81))</f>
        <v/>
      </c>
      <c r="F81" s="14">
        <f>IF(A81="","",SUMIFS(Transaksi!$J$2:$J$3000,Transaksi!$L$2:$L$3000,A81))</f>
        <v/>
      </c>
      <c r="G81" s="15">
        <f>IF(A81="","",E81-F81)</f>
        <v/>
      </c>
      <c r="H81" s="16">
        <f>IF(A81="","",SUMIFS(Transaksi!$G$2:$G$3000,Transaksi!$L$2:$L$3000,"&lt;="&amp;A81)+SUMIFS(Transaksi!$H$2:$H$3000,Transaksi!$L$2:$L$3000,"&lt;="&amp;A81)+SUMIFS(Transaksi!$I$2:$I$3000,Transaksi!$L$2:$L$3000,"&lt;="&amp;A81)-(SUMIFS(Transaksi!$J$2:$J$3000,Transaksi!$L$2:$L$3000,"&lt;="&amp;A81)))</f>
        <v/>
      </c>
    </row>
    <row r="82">
      <c r="A82" s="22">
        <f>IF(78&lt;=MAX(Transaksi!$L$2:$L$3000),MAX(Transaksi!$L$2:$L$3000)-77,"")</f>
        <v/>
      </c>
      <c r="B82" s="23">
        <f>IF(A82="","",INDEX(Transaksi!$B$2:$B$3000,MATCH(A82,Transaksi!$L$2:$L$3000,0)))</f>
        <v/>
      </c>
      <c r="C82" s="24">
        <f>IF(A82="","",CHOOSE(WEEKDAY(B82,2),"Isnin","Selasa","Rabu","Khamis","Jumaat","Sabtu","Ahad"))</f>
        <v/>
      </c>
      <c r="D82" s="25">
        <f>IF(A82="","",COUNTIF(Transaksi!$L$2:$L$3000,A82))</f>
        <v/>
      </c>
      <c r="E82" s="13">
        <f>IF(A82="","",SUMIFS(Transaksi!$G$2:$G$3000,Transaksi!$L$2:$L$3000,A82)+SUMIFS(Transaksi!$H$2:$H$3000,Transaksi!$L$2:$L$3000,A82)+SUMIFS(Transaksi!$I$2:$I$3000,Transaksi!$L$2:$L$3000,A82))</f>
        <v/>
      </c>
      <c r="F82" s="14">
        <f>IF(A82="","",SUMIFS(Transaksi!$J$2:$J$3000,Transaksi!$L$2:$L$3000,A82))</f>
        <v/>
      </c>
      <c r="G82" s="15">
        <f>IF(A82="","",E82-F82)</f>
        <v/>
      </c>
      <c r="H82" s="16">
        <f>IF(A82="","",SUMIFS(Transaksi!$G$2:$G$3000,Transaksi!$L$2:$L$3000,"&lt;="&amp;A82)+SUMIFS(Transaksi!$H$2:$H$3000,Transaksi!$L$2:$L$3000,"&lt;="&amp;A82)+SUMIFS(Transaksi!$I$2:$I$3000,Transaksi!$L$2:$L$3000,"&lt;="&amp;A82)-(SUMIFS(Transaksi!$J$2:$J$3000,Transaksi!$L$2:$L$3000,"&lt;="&amp;A82)))</f>
        <v/>
      </c>
    </row>
    <row r="83">
      <c r="A83" s="22">
        <f>IF(79&lt;=MAX(Transaksi!$L$2:$L$3000),MAX(Transaksi!$L$2:$L$3000)-78,"")</f>
        <v/>
      </c>
      <c r="B83" s="23">
        <f>IF(A83="","",INDEX(Transaksi!$B$2:$B$3000,MATCH(A83,Transaksi!$L$2:$L$3000,0)))</f>
        <v/>
      </c>
      <c r="C83" s="24">
        <f>IF(A83="","",CHOOSE(WEEKDAY(B83,2),"Isnin","Selasa","Rabu","Khamis","Jumaat","Sabtu","Ahad"))</f>
        <v/>
      </c>
      <c r="D83" s="25">
        <f>IF(A83="","",COUNTIF(Transaksi!$L$2:$L$3000,A83))</f>
        <v/>
      </c>
      <c r="E83" s="13">
        <f>IF(A83="","",SUMIFS(Transaksi!$G$2:$G$3000,Transaksi!$L$2:$L$3000,A83)+SUMIFS(Transaksi!$H$2:$H$3000,Transaksi!$L$2:$L$3000,A83)+SUMIFS(Transaksi!$I$2:$I$3000,Transaksi!$L$2:$L$3000,A83))</f>
        <v/>
      </c>
      <c r="F83" s="14">
        <f>IF(A83="","",SUMIFS(Transaksi!$J$2:$J$3000,Transaksi!$L$2:$L$3000,A83))</f>
        <v/>
      </c>
      <c r="G83" s="15">
        <f>IF(A83="","",E83-F83)</f>
        <v/>
      </c>
      <c r="H83" s="16">
        <f>IF(A83="","",SUMIFS(Transaksi!$G$2:$G$3000,Transaksi!$L$2:$L$3000,"&lt;="&amp;A83)+SUMIFS(Transaksi!$H$2:$H$3000,Transaksi!$L$2:$L$3000,"&lt;="&amp;A83)+SUMIFS(Transaksi!$I$2:$I$3000,Transaksi!$L$2:$L$3000,"&lt;="&amp;A83)-(SUMIFS(Transaksi!$J$2:$J$3000,Transaksi!$L$2:$L$3000,"&lt;="&amp;A83)))</f>
        <v/>
      </c>
    </row>
    <row r="84">
      <c r="A84" s="22">
        <f>IF(80&lt;=MAX(Transaksi!$L$2:$L$3000),MAX(Transaksi!$L$2:$L$3000)-79,"")</f>
        <v/>
      </c>
      <c r="B84" s="23">
        <f>IF(A84="","",INDEX(Transaksi!$B$2:$B$3000,MATCH(A84,Transaksi!$L$2:$L$3000,0)))</f>
        <v/>
      </c>
      <c r="C84" s="24">
        <f>IF(A84="","",CHOOSE(WEEKDAY(B84,2),"Isnin","Selasa","Rabu","Khamis","Jumaat","Sabtu","Ahad"))</f>
        <v/>
      </c>
      <c r="D84" s="25">
        <f>IF(A84="","",COUNTIF(Transaksi!$L$2:$L$3000,A84))</f>
        <v/>
      </c>
      <c r="E84" s="13">
        <f>IF(A84="","",SUMIFS(Transaksi!$G$2:$G$3000,Transaksi!$L$2:$L$3000,A84)+SUMIFS(Transaksi!$H$2:$H$3000,Transaksi!$L$2:$L$3000,A84)+SUMIFS(Transaksi!$I$2:$I$3000,Transaksi!$L$2:$L$3000,A84))</f>
        <v/>
      </c>
      <c r="F84" s="14">
        <f>IF(A84="","",SUMIFS(Transaksi!$J$2:$J$3000,Transaksi!$L$2:$L$3000,A84))</f>
        <v/>
      </c>
      <c r="G84" s="15">
        <f>IF(A84="","",E84-F84)</f>
        <v/>
      </c>
      <c r="H84" s="16">
        <f>IF(A84="","",SUMIFS(Transaksi!$G$2:$G$3000,Transaksi!$L$2:$L$3000,"&lt;="&amp;A84)+SUMIFS(Transaksi!$H$2:$H$3000,Transaksi!$L$2:$L$3000,"&lt;="&amp;A84)+SUMIFS(Transaksi!$I$2:$I$3000,Transaksi!$L$2:$L$3000,"&lt;="&amp;A84)-(SUMIFS(Transaksi!$J$2:$J$3000,Transaksi!$L$2:$L$3000,"&lt;="&amp;A84)))</f>
        <v/>
      </c>
    </row>
    <row r="85">
      <c r="A85" s="22">
        <f>IF(81&lt;=MAX(Transaksi!$L$2:$L$3000),MAX(Transaksi!$L$2:$L$3000)-80,"")</f>
        <v/>
      </c>
      <c r="B85" s="23">
        <f>IF(A85="","",INDEX(Transaksi!$B$2:$B$3000,MATCH(A85,Transaksi!$L$2:$L$3000,0)))</f>
        <v/>
      </c>
      <c r="C85" s="24">
        <f>IF(A85="","",CHOOSE(WEEKDAY(B85,2),"Isnin","Selasa","Rabu","Khamis","Jumaat","Sabtu","Ahad"))</f>
        <v/>
      </c>
      <c r="D85" s="25">
        <f>IF(A85="","",COUNTIF(Transaksi!$L$2:$L$3000,A85))</f>
        <v/>
      </c>
      <c r="E85" s="13">
        <f>IF(A85="","",SUMIFS(Transaksi!$G$2:$G$3000,Transaksi!$L$2:$L$3000,A85)+SUMIFS(Transaksi!$H$2:$H$3000,Transaksi!$L$2:$L$3000,A85)+SUMIFS(Transaksi!$I$2:$I$3000,Transaksi!$L$2:$L$3000,A85))</f>
        <v/>
      </c>
      <c r="F85" s="14">
        <f>IF(A85="","",SUMIFS(Transaksi!$J$2:$J$3000,Transaksi!$L$2:$L$3000,A85))</f>
        <v/>
      </c>
      <c r="G85" s="15">
        <f>IF(A85="","",E85-F85)</f>
        <v/>
      </c>
      <c r="H85" s="16">
        <f>IF(A85="","",SUMIFS(Transaksi!$G$2:$G$3000,Transaksi!$L$2:$L$3000,"&lt;="&amp;A85)+SUMIFS(Transaksi!$H$2:$H$3000,Transaksi!$L$2:$L$3000,"&lt;="&amp;A85)+SUMIFS(Transaksi!$I$2:$I$3000,Transaksi!$L$2:$L$3000,"&lt;="&amp;A85)-(SUMIFS(Transaksi!$J$2:$J$3000,Transaksi!$L$2:$L$3000,"&lt;="&amp;A85)))</f>
        <v/>
      </c>
    </row>
    <row r="86">
      <c r="A86" s="22">
        <f>IF(82&lt;=MAX(Transaksi!$L$2:$L$3000),MAX(Transaksi!$L$2:$L$3000)-81,"")</f>
        <v/>
      </c>
      <c r="B86" s="23">
        <f>IF(A86="","",INDEX(Transaksi!$B$2:$B$3000,MATCH(A86,Transaksi!$L$2:$L$3000,0)))</f>
        <v/>
      </c>
      <c r="C86" s="24">
        <f>IF(A86="","",CHOOSE(WEEKDAY(B86,2),"Isnin","Selasa","Rabu","Khamis","Jumaat","Sabtu","Ahad"))</f>
        <v/>
      </c>
      <c r="D86" s="25">
        <f>IF(A86="","",COUNTIF(Transaksi!$L$2:$L$3000,A86))</f>
        <v/>
      </c>
      <c r="E86" s="13">
        <f>IF(A86="","",SUMIFS(Transaksi!$G$2:$G$3000,Transaksi!$L$2:$L$3000,A86)+SUMIFS(Transaksi!$H$2:$H$3000,Transaksi!$L$2:$L$3000,A86)+SUMIFS(Transaksi!$I$2:$I$3000,Transaksi!$L$2:$L$3000,A86))</f>
        <v/>
      </c>
      <c r="F86" s="14">
        <f>IF(A86="","",SUMIFS(Transaksi!$J$2:$J$3000,Transaksi!$L$2:$L$3000,A86))</f>
        <v/>
      </c>
      <c r="G86" s="15">
        <f>IF(A86="","",E86-F86)</f>
        <v/>
      </c>
      <c r="H86" s="16">
        <f>IF(A86="","",SUMIFS(Transaksi!$G$2:$G$3000,Transaksi!$L$2:$L$3000,"&lt;="&amp;A86)+SUMIFS(Transaksi!$H$2:$H$3000,Transaksi!$L$2:$L$3000,"&lt;="&amp;A86)+SUMIFS(Transaksi!$I$2:$I$3000,Transaksi!$L$2:$L$3000,"&lt;="&amp;A86)-(SUMIFS(Transaksi!$J$2:$J$3000,Transaksi!$L$2:$L$3000,"&lt;="&amp;A86)))</f>
        <v/>
      </c>
    </row>
    <row r="87">
      <c r="A87" s="22">
        <f>IF(83&lt;=MAX(Transaksi!$L$2:$L$3000),MAX(Transaksi!$L$2:$L$3000)-82,"")</f>
        <v/>
      </c>
      <c r="B87" s="23">
        <f>IF(A87="","",INDEX(Transaksi!$B$2:$B$3000,MATCH(A87,Transaksi!$L$2:$L$3000,0)))</f>
        <v/>
      </c>
      <c r="C87" s="24">
        <f>IF(A87="","",CHOOSE(WEEKDAY(B87,2),"Isnin","Selasa","Rabu","Khamis","Jumaat","Sabtu","Ahad"))</f>
        <v/>
      </c>
      <c r="D87" s="25">
        <f>IF(A87="","",COUNTIF(Transaksi!$L$2:$L$3000,A87))</f>
        <v/>
      </c>
      <c r="E87" s="13">
        <f>IF(A87="","",SUMIFS(Transaksi!$G$2:$G$3000,Transaksi!$L$2:$L$3000,A87)+SUMIFS(Transaksi!$H$2:$H$3000,Transaksi!$L$2:$L$3000,A87)+SUMIFS(Transaksi!$I$2:$I$3000,Transaksi!$L$2:$L$3000,A87))</f>
        <v/>
      </c>
      <c r="F87" s="14">
        <f>IF(A87="","",SUMIFS(Transaksi!$J$2:$J$3000,Transaksi!$L$2:$L$3000,A87))</f>
        <v/>
      </c>
      <c r="G87" s="15">
        <f>IF(A87="","",E87-F87)</f>
        <v/>
      </c>
      <c r="H87" s="16">
        <f>IF(A87="","",SUMIFS(Transaksi!$G$2:$G$3000,Transaksi!$L$2:$L$3000,"&lt;="&amp;A87)+SUMIFS(Transaksi!$H$2:$H$3000,Transaksi!$L$2:$L$3000,"&lt;="&amp;A87)+SUMIFS(Transaksi!$I$2:$I$3000,Transaksi!$L$2:$L$3000,"&lt;="&amp;A87)-(SUMIFS(Transaksi!$J$2:$J$3000,Transaksi!$L$2:$L$3000,"&lt;="&amp;A87)))</f>
        <v/>
      </c>
    </row>
    <row r="88">
      <c r="A88" s="22">
        <f>IF(84&lt;=MAX(Transaksi!$L$2:$L$3000),MAX(Transaksi!$L$2:$L$3000)-83,"")</f>
        <v/>
      </c>
      <c r="B88" s="23">
        <f>IF(A88="","",INDEX(Transaksi!$B$2:$B$3000,MATCH(A88,Transaksi!$L$2:$L$3000,0)))</f>
        <v/>
      </c>
      <c r="C88" s="24">
        <f>IF(A88="","",CHOOSE(WEEKDAY(B88,2),"Isnin","Selasa","Rabu","Khamis","Jumaat","Sabtu","Ahad"))</f>
        <v/>
      </c>
      <c r="D88" s="25">
        <f>IF(A88="","",COUNTIF(Transaksi!$L$2:$L$3000,A88))</f>
        <v/>
      </c>
      <c r="E88" s="13">
        <f>IF(A88="","",SUMIFS(Transaksi!$G$2:$G$3000,Transaksi!$L$2:$L$3000,A88)+SUMIFS(Transaksi!$H$2:$H$3000,Transaksi!$L$2:$L$3000,A88)+SUMIFS(Transaksi!$I$2:$I$3000,Transaksi!$L$2:$L$3000,A88))</f>
        <v/>
      </c>
      <c r="F88" s="14">
        <f>IF(A88="","",SUMIFS(Transaksi!$J$2:$J$3000,Transaksi!$L$2:$L$3000,A88))</f>
        <v/>
      </c>
      <c r="G88" s="15">
        <f>IF(A88="","",E88-F88)</f>
        <v/>
      </c>
      <c r="H88" s="16">
        <f>IF(A88="","",SUMIFS(Transaksi!$G$2:$G$3000,Transaksi!$L$2:$L$3000,"&lt;="&amp;A88)+SUMIFS(Transaksi!$H$2:$H$3000,Transaksi!$L$2:$L$3000,"&lt;="&amp;A88)+SUMIFS(Transaksi!$I$2:$I$3000,Transaksi!$L$2:$L$3000,"&lt;="&amp;A88)-(SUMIFS(Transaksi!$J$2:$J$3000,Transaksi!$L$2:$L$3000,"&lt;="&amp;A88)))</f>
        <v/>
      </c>
    </row>
    <row r="89">
      <c r="A89" s="22">
        <f>IF(85&lt;=MAX(Transaksi!$L$2:$L$3000),MAX(Transaksi!$L$2:$L$3000)-84,"")</f>
        <v/>
      </c>
      <c r="B89" s="23">
        <f>IF(A89="","",INDEX(Transaksi!$B$2:$B$3000,MATCH(A89,Transaksi!$L$2:$L$3000,0)))</f>
        <v/>
      </c>
      <c r="C89" s="24">
        <f>IF(A89="","",CHOOSE(WEEKDAY(B89,2),"Isnin","Selasa","Rabu","Khamis","Jumaat","Sabtu","Ahad"))</f>
        <v/>
      </c>
      <c r="D89" s="25">
        <f>IF(A89="","",COUNTIF(Transaksi!$L$2:$L$3000,A89))</f>
        <v/>
      </c>
      <c r="E89" s="13">
        <f>IF(A89="","",SUMIFS(Transaksi!$G$2:$G$3000,Transaksi!$L$2:$L$3000,A89)+SUMIFS(Transaksi!$H$2:$H$3000,Transaksi!$L$2:$L$3000,A89)+SUMIFS(Transaksi!$I$2:$I$3000,Transaksi!$L$2:$L$3000,A89))</f>
        <v/>
      </c>
      <c r="F89" s="14">
        <f>IF(A89="","",SUMIFS(Transaksi!$J$2:$J$3000,Transaksi!$L$2:$L$3000,A89))</f>
        <v/>
      </c>
      <c r="G89" s="15">
        <f>IF(A89="","",E89-F89)</f>
        <v/>
      </c>
      <c r="H89" s="16">
        <f>IF(A89="","",SUMIFS(Transaksi!$G$2:$G$3000,Transaksi!$L$2:$L$3000,"&lt;="&amp;A89)+SUMIFS(Transaksi!$H$2:$H$3000,Transaksi!$L$2:$L$3000,"&lt;="&amp;A89)+SUMIFS(Transaksi!$I$2:$I$3000,Transaksi!$L$2:$L$3000,"&lt;="&amp;A89)-(SUMIFS(Transaksi!$J$2:$J$3000,Transaksi!$L$2:$L$3000,"&lt;="&amp;A89)))</f>
        <v/>
      </c>
    </row>
    <row r="90">
      <c r="A90" s="22">
        <f>IF(86&lt;=MAX(Transaksi!$L$2:$L$3000),MAX(Transaksi!$L$2:$L$3000)-85,"")</f>
        <v/>
      </c>
      <c r="B90" s="23">
        <f>IF(A90="","",INDEX(Transaksi!$B$2:$B$3000,MATCH(A90,Transaksi!$L$2:$L$3000,0)))</f>
        <v/>
      </c>
      <c r="C90" s="24">
        <f>IF(A90="","",CHOOSE(WEEKDAY(B90,2),"Isnin","Selasa","Rabu","Khamis","Jumaat","Sabtu","Ahad"))</f>
        <v/>
      </c>
      <c r="D90" s="25">
        <f>IF(A90="","",COUNTIF(Transaksi!$L$2:$L$3000,A90))</f>
        <v/>
      </c>
      <c r="E90" s="13">
        <f>IF(A90="","",SUMIFS(Transaksi!$G$2:$G$3000,Transaksi!$L$2:$L$3000,A90)+SUMIFS(Transaksi!$H$2:$H$3000,Transaksi!$L$2:$L$3000,A90)+SUMIFS(Transaksi!$I$2:$I$3000,Transaksi!$L$2:$L$3000,A90))</f>
        <v/>
      </c>
      <c r="F90" s="14">
        <f>IF(A90="","",SUMIFS(Transaksi!$J$2:$J$3000,Transaksi!$L$2:$L$3000,A90))</f>
        <v/>
      </c>
      <c r="G90" s="15">
        <f>IF(A90="","",E90-F90)</f>
        <v/>
      </c>
      <c r="H90" s="16">
        <f>IF(A90="","",SUMIFS(Transaksi!$G$2:$G$3000,Transaksi!$L$2:$L$3000,"&lt;="&amp;A90)+SUMIFS(Transaksi!$H$2:$H$3000,Transaksi!$L$2:$L$3000,"&lt;="&amp;A90)+SUMIFS(Transaksi!$I$2:$I$3000,Transaksi!$L$2:$L$3000,"&lt;="&amp;A90)-(SUMIFS(Transaksi!$J$2:$J$3000,Transaksi!$L$2:$L$3000,"&lt;="&amp;A90)))</f>
        <v/>
      </c>
    </row>
    <row r="91">
      <c r="A91" s="22">
        <f>IF(87&lt;=MAX(Transaksi!$L$2:$L$3000),MAX(Transaksi!$L$2:$L$3000)-86,"")</f>
        <v/>
      </c>
      <c r="B91" s="23">
        <f>IF(A91="","",INDEX(Transaksi!$B$2:$B$3000,MATCH(A91,Transaksi!$L$2:$L$3000,0)))</f>
        <v/>
      </c>
      <c r="C91" s="24">
        <f>IF(A91="","",CHOOSE(WEEKDAY(B91,2),"Isnin","Selasa","Rabu","Khamis","Jumaat","Sabtu","Ahad"))</f>
        <v/>
      </c>
      <c r="D91" s="25">
        <f>IF(A91="","",COUNTIF(Transaksi!$L$2:$L$3000,A91))</f>
        <v/>
      </c>
      <c r="E91" s="13">
        <f>IF(A91="","",SUMIFS(Transaksi!$G$2:$G$3000,Transaksi!$L$2:$L$3000,A91)+SUMIFS(Transaksi!$H$2:$H$3000,Transaksi!$L$2:$L$3000,A91)+SUMIFS(Transaksi!$I$2:$I$3000,Transaksi!$L$2:$L$3000,A91))</f>
        <v/>
      </c>
      <c r="F91" s="14">
        <f>IF(A91="","",SUMIFS(Transaksi!$J$2:$J$3000,Transaksi!$L$2:$L$3000,A91))</f>
        <v/>
      </c>
      <c r="G91" s="15">
        <f>IF(A91="","",E91-F91)</f>
        <v/>
      </c>
      <c r="H91" s="16">
        <f>IF(A91="","",SUMIFS(Transaksi!$G$2:$G$3000,Transaksi!$L$2:$L$3000,"&lt;="&amp;A91)+SUMIFS(Transaksi!$H$2:$H$3000,Transaksi!$L$2:$L$3000,"&lt;="&amp;A91)+SUMIFS(Transaksi!$I$2:$I$3000,Transaksi!$L$2:$L$3000,"&lt;="&amp;A91)-(SUMIFS(Transaksi!$J$2:$J$3000,Transaksi!$L$2:$L$3000,"&lt;="&amp;A91)))</f>
        <v/>
      </c>
    </row>
    <row r="92">
      <c r="A92" s="22">
        <f>IF(88&lt;=MAX(Transaksi!$L$2:$L$3000),MAX(Transaksi!$L$2:$L$3000)-87,"")</f>
        <v/>
      </c>
      <c r="B92" s="23">
        <f>IF(A92="","",INDEX(Transaksi!$B$2:$B$3000,MATCH(A92,Transaksi!$L$2:$L$3000,0)))</f>
        <v/>
      </c>
      <c r="C92" s="24">
        <f>IF(A92="","",CHOOSE(WEEKDAY(B92,2),"Isnin","Selasa","Rabu","Khamis","Jumaat","Sabtu","Ahad"))</f>
        <v/>
      </c>
      <c r="D92" s="25">
        <f>IF(A92="","",COUNTIF(Transaksi!$L$2:$L$3000,A92))</f>
        <v/>
      </c>
      <c r="E92" s="13">
        <f>IF(A92="","",SUMIFS(Transaksi!$G$2:$G$3000,Transaksi!$L$2:$L$3000,A92)+SUMIFS(Transaksi!$H$2:$H$3000,Transaksi!$L$2:$L$3000,A92)+SUMIFS(Transaksi!$I$2:$I$3000,Transaksi!$L$2:$L$3000,A92))</f>
        <v/>
      </c>
      <c r="F92" s="14">
        <f>IF(A92="","",SUMIFS(Transaksi!$J$2:$J$3000,Transaksi!$L$2:$L$3000,A92))</f>
        <v/>
      </c>
      <c r="G92" s="15">
        <f>IF(A92="","",E92-F92)</f>
        <v/>
      </c>
      <c r="H92" s="16">
        <f>IF(A92="","",SUMIFS(Transaksi!$G$2:$G$3000,Transaksi!$L$2:$L$3000,"&lt;="&amp;A92)+SUMIFS(Transaksi!$H$2:$H$3000,Transaksi!$L$2:$L$3000,"&lt;="&amp;A92)+SUMIFS(Transaksi!$I$2:$I$3000,Transaksi!$L$2:$L$3000,"&lt;="&amp;A92)-(SUMIFS(Transaksi!$J$2:$J$3000,Transaksi!$L$2:$L$3000,"&lt;="&amp;A92)))</f>
        <v/>
      </c>
    </row>
    <row r="93">
      <c r="A93" s="22">
        <f>IF(89&lt;=MAX(Transaksi!$L$2:$L$3000),MAX(Transaksi!$L$2:$L$3000)-88,"")</f>
        <v/>
      </c>
      <c r="B93" s="23">
        <f>IF(A93="","",INDEX(Transaksi!$B$2:$B$3000,MATCH(A93,Transaksi!$L$2:$L$3000,0)))</f>
        <v/>
      </c>
      <c r="C93" s="24">
        <f>IF(A93="","",CHOOSE(WEEKDAY(B93,2),"Isnin","Selasa","Rabu","Khamis","Jumaat","Sabtu","Ahad"))</f>
        <v/>
      </c>
      <c r="D93" s="25">
        <f>IF(A93="","",COUNTIF(Transaksi!$L$2:$L$3000,A93))</f>
        <v/>
      </c>
      <c r="E93" s="13">
        <f>IF(A93="","",SUMIFS(Transaksi!$G$2:$G$3000,Transaksi!$L$2:$L$3000,A93)+SUMIFS(Transaksi!$H$2:$H$3000,Transaksi!$L$2:$L$3000,A93)+SUMIFS(Transaksi!$I$2:$I$3000,Transaksi!$L$2:$L$3000,A93))</f>
        <v/>
      </c>
      <c r="F93" s="14">
        <f>IF(A93="","",SUMIFS(Transaksi!$J$2:$J$3000,Transaksi!$L$2:$L$3000,A93))</f>
        <v/>
      </c>
      <c r="G93" s="15">
        <f>IF(A93="","",E93-F93)</f>
        <v/>
      </c>
      <c r="H93" s="16">
        <f>IF(A93="","",SUMIFS(Transaksi!$G$2:$G$3000,Transaksi!$L$2:$L$3000,"&lt;="&amp;A93)+SUMIFS(Transaksi!$H$2:$H$3000,Transaksi!$L$2:$L$3000,"&lt;="&amp;A93)+SUMIFS(Transaksi!$I$2:$I$3000,Transaksi!$L$2:$L$3000,"&lt;="&amp;A93)-(SUMIFS(Transaksi!$J$2:$J$3000,Transaksi!$L$2:$L$3000,"&lt;="&amp;A93)))</f>
        <v/>
      </c>
    </row>
    <row r="94">
      <c r="A94" s="22">
        <f>IF(90&lt;=MAX(Transaksi!$L$2:$L$3000),MAX(Transaksi!$L$2:$L$3000)-89,"")</f>
        <v/>
      </c>
      <c r="B94" s="23">
        <f>IF(A94="","",INDEX(Transaksi!$B$2:$B$3000,MATCH(A94,Transaksi!$L$2:$L$3000,0)))</f>
        <v/>
      </c>
      <c r="C94" s="24">
        <f>IF(A94="","",CHOOSE(WEEKDAY(B94,2),"Isnin","Selasa","Rabu","Khamis","Jumaat","Sabtu","Ahad"))</f>
        <v/>
      </c>
      <c r="D94" s="25">
        <f>IF(A94="","",COUNTIF(Transaksi!$L$2:$L$3000,A94))</f>
        <v/>
      </c>
      <c r="E94" s="13">
        <f>IF(A94="","",SUMIFS(Transaksi!$G$2:$G$3000,Transaksi!$L$2:$L$3000,A94)+SUMIFS(Transaksi!$H$2:$H$3000,Transaksi!$L$2:$L$3000,A94)+SUMIFS(Transaksi!$I$2:$I$3000,Transaksi!$L$2:$L$3000,A94))</f>
        <v/>
      </c>
      <c r="F94" s="14">
        <f>IF(A94="","",SUMIFS(Transaksi!$J$2:$J$3000,Transaksi!$L$2:$L$3000,A94))</f>
        <v/>
      </c>
      <c r="G94" s="15">
        <f>IF(A94="","",E94-F94)</f>
        <v/>
      </c>
      <c r="H94" s="16">
        <f>IF(A94="","",SUMIFS(Transaksi!$G$2:$G$3000,Transaksi!$L$2:$L$3000,"&lt;="&amp;A94)+SUMIFS(Transaksi!$H$2:$H$3000,Transaksi!$L$2:$L$3000,"&lt;="&amp;A94)+SUMIFS(Transaksi!$I$2:$I$3000,Transaksi!$L$2:$L$3000,"&lt;="&amp;A94)-(SUMIFS(Transaksi!$J$2:$J$3000,Transaksi!$L$2:$L$3000,"&lt;="&amp;A94)))</f>
        <v/>
      </c>
    </row>
    <row r="95">
      <c r="A95" s="22">
        <f>IF(91&lt;=MAX(Transaksi!$L$2:$L$3000),MAX(Transaksi!$L$2:$L$3000)-90,"")</f>
        <v/>
      </c>
      <c r="B95" s="23">
        <f>IF(A95="","",INDEX(Transaksi!$B$2:$B$3000,MATCH(A95,Transaksi!$L$2:$L$3000,0)))</f>
        <v/>
      </c>
      <c r="C95" s="24">
        <f>IF(A95="","",CHOOSE(WEEKDAY(B95,2),"Isnin","Selasa","Rabu","Khamis","Jumaat","Sabtu","Ahad"))</f>
        <v/>
      </c>
      <c r="D95" s="25">
        <f>IF(A95="","",COUNTIF(Transaksi!$L$2:$L$3000,A95))</f>
        <v/>
      </c>
      <c r="E95" s="13">
        <f>IF(A95="","",SUMIFS(Transaksi!$G$2:$G$3000,Transaksi!$L$2:$L$3000,A95)+SUMIFS(Transaksi!$H$2:$H$3000,Transaksi!$L$2:$L$3000,A95)+SUMIFS(Transaksi!$I$2:$I$3000,Transaksi!$L$2:$L$3000,A95))</f>
        <v/>
      </c>
      <c r="F95" s="14">
        <f>IF(A95="","",SUMIFS(Transaksi!$J$2:$J$3000,Transaksi!$L$2:$L$3000,A95))</f>
        <v/>
      </c>
      <c r="G95" s="15">
        <f>IF(A95="","",E95-F95)</f>
        <v/>
      </c>
      <c r="H95" s="16">
        <f>IF(A95="","",SUMIFS(Transaksi!$G$2:$G$3000,Transaksi!$L$2:$L$3000,"&lt;="&amp;A95)+SUMIFS(Transaksi!$H$2:$H$3000,Transaksi!$L$2:$L$3000,"&lt;="&amp;A95)+SUMIFS(Transaksi!$I$2:$I$3000,Transaksi!$L$2:$L$3000,"&lt;="&amp;A95)-(SUMIFS(Transaksi!$J$2:$J$3000,Transaksi!$L$2:$L$3000,"&lt;="&amp;A95)))</f>
        <v/>
      </c>
    </row>
    <row r="96">
      <c r="A96" s="22">
        <f>IF(92&lt;=MAX(Transaksi!$L$2:$L$3000),MAX(Transaksi!$L$2:$L$3000)-91,"")</f>
        <v/>
      </c>
      <c r="B96" s="23">
        <f>IF(A96="","",INDEX(Transaksi!$B$2:$B$3000,MATCH(A96,Transaksi!$L$2:$L$3000,0)))</f>
        <v/>
      </c>
      <c r="C96" s="24">
        <f>IF(A96="","",CHOOSE(WEEKDAY(B96,2),"Isnin","Selasa","Rabu","Khamis","Jumaat","Sabtu","Ahad"))</f>
        <v/>
      </c>
      <c r="D96" s="25">
        <f>IF(A96="","",COUNTIF(Transaksi!$L$2:$L$3000,A96))</f>
        <v/>
      </c>
      <c r="E96" s="13">
        <f>IF(A96="","",SUMIFS(Transaksi!$G$2:$G$3000,Transaksi!$L$2:$L$3000,A96)+SUMIFS(Transaksi!$H$2:$H$3000,Transaksi!$L$2:$L$3000,A96)+SUMIFS(Transaksi!$I$2:$I$3000,Transaksi!$L$2:$L$3000,A96))</f>
        <v/>
      </c>
      <c r="F96" s="14">
        <f>IF(A96="","",SUMIFS(Transaksi!$J$2:$J$3000,Transaksi!$L$2:$L$3000,A96))</f>
        <v/>
      </c>
      <c r="G96" s="15">
        <f>IF(A96="","",E96-F96)</f>
        <v/>
      </c>
      <c r="H96" s="16">
        <f>IF(A96="","",SUMIFS(Transaksi!$G$2:$G$3000,Transaksi!$L$2:$L$3000,"&lt;="&amp;A96)+SUMIFS(Transaksi!$H$2:$H$3000,Transaksi!$L$2:$L$3000,"&lt;="&amp;A96)+SUMIFS(Transaksi!$I$2:$I$3000,Transaksi!$L$2:$L$3000,"&lt;="&amp;A96)-(SUMIFS(Transaksi!$J$2:$J$3000,Transaksi!$L$2:$L$3000,"&lt;="&amp;A96)))</f>
        <v/>
      </c>
    </row>
    <row r="97">
      <c r="A97" s="22">
        <f>IF(93&lt;=MAX(Transaksi!$L$2:$L$3000),MAX(Transaksi!$L$2:$L$3000)-92,"")</f>
        <v/>
      </c>
      <c r="B97" s="23">
        <f>IF(A97="","",INDEX(Transaksi!$B$2:$B$3000,MATCH(A97,Transaksi!$L$2:$L$3000,0)))</f>
        <v/>
      </c>
      <c r="C97" s="24">
        <f>IF(A97="","",CHOOSE(WEEKDAY(B97,2),"Isnin","Selasa","Rabu","Khamis","Jumaat","Sabtu","Ahad"))</f>
        <v/>
      </c>
      <c r="D97" s="25">
        <f>IF(A97="","",COUNTIF(Transaksi!$L$2:$L$3000,A97))</f>
        <v/>
      </c>
      <c r="E97" s="13">
        <f>IF(A97="","",SUMIFS(Transaksi!$G$2:$G$3000,Transaksi!$L$2:$L$3000,A97)+SUMIFS(Transaksi!$H$2:$H$3000,Transaksi!$L$2:$L$3000,A97)+SUMIFS(Transaksi!$I$2:$I$3000,Transaksi!$L$2:$L$3000,A97))</f>
        <v/>
      </c>
      <c r="F97" s="14">
        <f>IF(A97="","",SUMIFS(Transaksi!$J$2:$J$3000,Transaksi!$L$2:$L$3000,A97))</f>
        <v/>
      </c>
      <c r="G97" s="15">
        <f>IF(A97="","",E97-F97)</f>
        <v/>
      </c>
      <c r="H97" s="16">
        <f>IF(A97="","",SUMIFS(Transaksi!$G$2:$G$3000,Transaksi!$L$2:$L$3000,"&lt;="&amp;A97)+SUMIFS(Transaksi!$H$2:$H$3000,Transaksi!$L$2:$L$3000,"&lt;="&amp;A97)+SUMIFS(Transaksi!$I$2:$I$3000,Transaksi!$L$2:$L$3000,"&lt;="&amp;A97)-(SUMIFS(Transaksi!$J$2:$J$3000,Transaksi!$L$2:$L$3000,"&lt;="&amp;A97)))</f>
        <v/>
      </c>
    </row>
    <row r="98">
      <c r="A98" s="22">
        <f>IF(94&lt;=MAX(Transaksi!$L$2:$L$3000),MAX(Transaksi!$L$2:$L$3000)-93,"")</f>
        <v/>
      </c>
      <c r="B98" s="23">
        <f>IF(A98="","",INDEX(Transaksi!$B$2:$B$3000,MATCH(A98,Transaksi!$L$2:$L$3000,0)))</f>
        <v/>
      </c>
      <c r="C98" s="24">
        <f>IF(A98="","",CHOOSE(WEEKDAY(B98,2),"Isnin","Selasa","Rabu","Khamis","Jumaat","Sabtu","Ahad"))</f>
        <v/>
      </c>
      <c r="D98" s="25">
        <f>IF(A98="","",COUNTIF(Transaksi!$L$2:$L$3000,A98))</f>
        <v/>
      </c>
      <c r="E98" s="13">
        <f>IF(A98="","",SUMIFS(Transaksi!$G$2:$G$3000,Transaksi!$L$2:$L$3000,A98)+SUMIFS(Transaksi!$H$2:$H$3000,Transaksi!$L$2:$L$3000,A98)+SUMIFS(Transaksi!$I$2:$I$3000,Transaksi!$L$2:$L$3000,A98))</f>
        <v/>
      </c>
      <c r="F98" s="14">
        <f>IF(A98="","",SUMIFS(Transaksi!$J$2:$J$3000,Transaksi!$L$2:$L$3000,A98))</f>
        <v/>
      </c>
      <c r="G98" s="15">
        <f>IF(A98="","",E98-F98)</f>
        <v/>
      </c>
      <c r="H98" s="16">
        <f>IF(A98="","",SUMIFS(Transaksi!$G$2:$G$3000,Transaksi!$L$2:$L$3000,"&lt;="&amp;A98)+SUMIFS(Transaksi!$H$2:$H$3000,Transaksi!$L$2:$L$3000,"&lt;="&amp;A98)+SUMIFS(Transaksi!$I$2:$I$3000,Transaksi!$L$2:$L$3000,"&lt;="&amp;A98)-(SUMIFS(Transaksi!$J$2:$J$3000,Transaksi!$L$2:$L$3000,"&lt;="&amp;A98)))</f>
        <v/>
      </c>
    </row>
    <row r="99">
      <c r="A99" s="22">
        <f>IF(95&lt;=MAX(Transaksi!$L$2:$L$3000),MAX(Transaksi!$L$2:$L$3000)-94,"")</f>
        <v/>
      </c>
      <c r="B99" s="23">
        <f>IF(A99="","",INDEX(Transaksi!$B$2:$B$3000,MATCH(A99,Transaksi!$L$2:$L$3000,0)))</f>
        <v/>
      </c>
      <c r="C99" s="24">
        <f>IF(A99="","",CHOOSE(WEEKDAY(B99,2),"Isnin","Selasa","Rabu","Khamis","Jumaat","Sabtu","Ahad"))</f>
        <v/>
      </c>
      <c r="D99" s="25">
        <f>IF(A99="","",COUNTIF(Transaksi!$L$2:$L$3000,A99))</f>
        <v/>
      </c>
      <c r="E99" s="13">
        <f>IF(A99="","",SUMIFS(Transaksi!$G$2:$G$3000,Transaksi!$L$2:$L$3000,A99)+SUMIFS(Transaksi!$H$2:$H$3000,Transaksi!$L$2:$L$3000,A99)+SUMIFS(Transaksi!$I$2:$I$3000,Transaksi!$L$2:$L$3000,A99))</f>
        <v/>
      </c>
      <c r="F99" s="14">
        <f>IF(A99="","",SUMIFS(Transaksi!$J$2:$J$3000,Transaksi!$L$2:$L$3000,A99))</f>
        <v/>
      </c>
      <c r="G99" s="15">
        <f>IF(A99="","",E99-F99)</f>
        <v/>
      </c>
      <c r="H99" s="16">
        <f>IF(A99="","",SUMIFS(Transaksi!$G$2:$G$3000,Transaksi!$L$2:$L$3000,"&lt;="&amp;A99)+SUMIFS(Transaksi!$H$2:$H$3000,Transaksi!$L$2:$L$3000,"&lt;="&amp;A99)+SUMIFS(Transaksi!$I$2:$I$3000,Transaksi!$L$2:$L$3000,"&lt;="&amp;A99)-(SUMIFS(Transaksi!$J$2:$J$3000,Transaksi!$L$2:$L$3000,"&lt;="&amp;A99)))</f>
        <v/>
      </c>
    </row>
    <row r="100">
      <c r="A100" s="22">
        <f>IF(96&lt;=MAX(Transaksi!$L$2:$L$3000),MAX(Transaksi!$L$2:$L$3000)-95,"")</f>
        <v/>
      </c>
      <c r="B100" s="23">
        <f>IF(A100="","",INDEX(Transaksi!$B$2:$B$3000,MATCH(A100,Transaksi!$L$2:$L$3000,0)))</f>
        <v/>
      </c>
      <c r="C100" s="24">
        <f>IF(A100="","",CHOOSE(WEEKDAY(B100,2),"Isnin","Selasa","Rabu","Khamis","Jumaat","Sabtu","Ahad"))</f>
        <v/>
      </c>
      <c r="D100" s="25">
        <f>IF(A100="","",COUNTIF(Transaksi!$L$2:$L$3000,A100))</f>
        <v/>
      </c>
      <c r="E100" s="13">
        <f>IF(A100="","",SUMIFS(Transaksi!$G$2:$G$3000,Transaksi!$L$2:$L$3000,A100)+SUMIFS(Transaksi!$H$2:$H$3000,Transaksi!$L$2:$L$3000,A100)+SUMIFS(Transaksi!$I$2:$I$3000,Transaksi!$L$2:$L$3000,A100))</f>
        <v/>
      </c>
      <c r="F100" s="14">
        <f>IF(A100="","",SUMIFS(Transaksi!$J$2:$J$3000,Transaksi!$L$2:$L$3000,A100))</f>
        <v/>
      </c>
      <c r="G100" s="15">
        <f>IF(A100="","",E100-F100)</f>
        <v/>
      </c>
      <c r="H100" s="16">
        <f>IF(A100="","",SUMIFS(Transaksi!$G$2:$G$3000,Transaksi!$L$2:$L$3000,"&lt;="&amp;A100)+SUMIFS(Transaksi!$H$2:$H$3000,Transaksi!$L$2:$L$3000,"&lt;="&amp;A100)+SUMIFS(Transaksi!$I$2:$I$3000,Transaksi!$L$2:$L$3000,"&lt;="&amp;A100)-(SUMIFS(Transaksi!$J$2:$J$3000,Transaksi!$L$2:$L$3000,"&lt;="&amp;A100)))</f>
        <v/>
      </c>
    </row>
    <row r="101">
      <c r="A101" s="22">
        <f>IF(97&lt;=MAX(Transaksi!$L$2:$L$3000),MAX(Transaksi!$L$2:$L$3000)-96,"")</f>
        <v/>
      </c>
      <c r="B101" s="23">
        <f>IF(A101="","",INDEX(Transaksi!$B$2:$B$3000,MATCH(A101,Transaksi!$L$2:$L$3000,0)))</f>
        <v/>
      </c>
      <c r="C101" s="24">
        <f>IF(A101="","",CHOOSE(WEEKDAY(B101,2),"Isnin","Selasa","Rabu","Khamis","Jumaat","Sabtu","Ahad"))</f>
        <v/>
      </c>
      <c r="D101" s="25">
        <f>IF(A101="","",COUNTIF(Transaksi!$L$2:$L$3000,A101))</f>
        <v/>
      </c>
      <c r="E101" s="13">
        <f>IF(A101="","",SUMIFS(Transaksi!$G$2:$G$3000,Transaksi!$L$2:$L$3000,A101)+SUMIFS(Transaksi!$H$2:$H$3000,Transaksi!$L$2:$L$3000,A101)+SUMIFS(Transaksi!$I$2:$I$3000,Transaksi!$L$2:$L$3000,A101))</f>
        <v/>
      </c>
      <c r="F101" s="14">
        <f>IF(A101="","",SUMIFS(Transaksi!$J$2:$J$3000,Transaksi!$L$2:$L$3000,A101))</f>
        <v/>
      </c>
      <c r="G101" s="15">
        <f>IF(A101="","",E101-F101)</f>
        <v/>
      </c>
      <c r="H101" s="16">
        <f>IF(A101="","",SUMIFS(Transaksi!$G$2:$G$3000,Transaksi!$L$2:$L$3000,"&lt;="&amp;A101)+SUMIFS(Transaksi!$H$2:$H$3000,Transaksi!$L$2:$L$3000,"&lt;="&amp;A101)+SUMIFS(Transaksi!$I$2:$I$3000,Transaksi!$L$2:$L$3000,"&lt;="&amp;A101)-(SUMIFS(Transaksi!$J$2:$J$3000,Transaksi!$L$2:$L$3000,"&lt;="&amp;A101)))</f>
        <v/>
      </c>
    </row>
    <row r="102">
      <c r="A102" s="22">
        <f>IF(98&lt;=MAX(Transaksi!$L$2:$L$3000),MAX(Transaksi!$L$2:$L$3000)-97,"")</f>
        <v/>
      </c>
      <c r="B102" s="23">
        <f>IF(A102="","",INDEX(Transaksi!$B$2:$B$3000,MATCH(A102,Transaksi!$L$2:$L$3000,0)))</f>
        <v/>
      </c>
      <c r="C102" s="24">
        <f>IF(A102="","",CHOOSE(WEEKDAY(B102,2),"Isnin","Selasa","Rabu","Khamis","Jumaat","Sabtu","Ahad"))</f>
        <v/>
      </c>
      <c r="D102" s="25">
        <f>IF(A102="","",COUNTIF(Transaksi!$L$2:$L$3000,A102))</f>
        <v/>
      </c>
      <c r="E102" s="13">
        <f>IF(A102="","",SUMIFS(Transaksi!$G$2:$G$3000,Transaksi!$L$2:$L$3000,A102)+SUMIFS(Transaksi!$H$2:$H$3000,Transaksi!$L$2:$L$3000,A102)+SUMIFS(Transaksi!$I$2:$I$3000,Transaksi!$L$2:$L$3000,A102))</f>
        <v/>
      </c>
      <c r="F102" s="14">
        <f>IF(A102="","",SUMIFS(Transaksi!$J$2:$J$3000,Transaksi!$L$2:$L$3000,A102))</f>
        <v/>
      </c>
      <c r="G102" s="15">
        <f>IF(A102="","",E102-F102)</f>
        <v/>
      </c>
      <c r="H102" s="16">
        <f>IF(A102="","",SUMIFS(Transaksi!$G$2:$G$3000,Transaksi!$L$2:$L$3000,"&lt;="&amp;A102)+SUMIFS(Transaksi!$H$2:$H$3000,Transaksi!$L$2:$L$3000,"&lt;="&amp;A102)+SUMIFS(Transaksi!$I$2:$I$3000,Transaksi!$L$2:$L$3000,"&lt;="&amp;A102)-(SUMIFS(Transaksi!$J$2:$J$3000,Transaksi!$L$2:$L$3000,"&lt;="&amp;A102)))</f>
        <v/>
      </c>
    </row>
    <row r="103">
      <c r="A103" s="22">
        <f>IF(99&lt;=MAX(Transaksi!$L$2:$L$3000),MAX(Transaksi!$L$2:$L$3000)-98,"")</f>
        <v/>
      </c>
      <c r="B103" s="23">
        <f>IF(A103="","",INDEX(Transaksi!$B$2:$B$3000,MATCH(A103,Transaksi!$L$2:$L$3000,0)))</f>
        <v/>
      </c>
      <c r="C103" s="24">
        <f>IF(A103="","",CHOOSE(WEEKDAY(B103,2),"Isnin","Selasa","Rabu","Khamis","Jumaat","Sabtu","Ahad"))</f>
        <v/>
      </c>
      <c r="D103" s="25">
        <f>IF(A103="","",COUNTIF(Transaksi!$L$2:$L$3000,A103))</f>
        <v/>
      </c>
      <c r="E103" s="13">
        <f>IF(A103="","",SUMIFS(Transaksi!$G$2:$G$3000,Transaksi!$L$2:$L$3000,A103)+SUMIFS(Transaksi!$H$2:$H$3000,Transaksi!$L$2:$L$3000,A103)+SUMIFS(Transaksi!$I$2:$I$3000,Transaksi!$L$2:$L$3000,A103))</f>
        <v/>
      </c>
      <c r="F103" s="14">
        <f>IF(A103="","",SUMIFS(Transaksi!$J$2:$J$3000,Transaksi!$L$2:$L$3000,A103))</f>
        <v/>
      </c>
      <c r="G103" s="15">
        <f>IF(A103="","",E103-F103)</f>
        <v/>
      </c>
      <c r="H103" s="16">
        <f>IF(A103="","",SUMIFS(Transaksi!$G$2:$G$3000,Transaksi!$L$2:$L$3000,"&lt;="&amp;A103)+SUMIFS(Transaksi!$H$2:$H$3000,Transaksi!$L$2:$L$3000,"&lt;="&amp;A103)+SUMIFS(Transaksi!$I$2:$I$3000,Transaksi!$L$2:$L$3000,"&lt;="&amp;A103)-(SUMIFS(Transaksi!$J$2:$J$3000,Transaksi!$L$2:$L$3000,"&lt;="&amp;A103)))</f>
        <v/>
      </c>
    </row>
    <row r="104">
      <c r="A104" s="22">
        <f>IF(100&lt;=MAX(Transaksi!$L$2:$L$3000),MAX(Transaksi!$L$2:$L$3000)-99,"")</f>
        <v/>
      </c>
      <c r="B104" s="23">
        <f>IF(A104="","",INDEX(Transaksi!$B$2:$B$3000,MATCH(A104,Transaksi!$L$2:$L$3000,0)))</f>
        <v/>
      </c>
      <c r="C104" s="24">
        <f>IF(A104="","",CHOOSE(WEEKDAY(B104,2),"Isnin","Selasa","Rabu","Khamis","Jumaat","Sabtu","Ahad"))</f>
        <v/>
      </c>
      <c r="D104" s="25">
        <f>IF(A104="","",COUNTIF(Transaksi!$L$2:$L$3000,A104))</f>
        <v/>
      </c>
      <c r="E104" s="13">
        <f>IF(A104="","",SUMIFS(Transaksi!$G$2:$G$3000,Transaksi!$L$2:$L$3000,A104)+SUMIFS(Transaksi!$H$2:$H$3000,Transaksi!$L$2:$L$3000,A104)+SUMIFS(Transaksi!$I$2:$I$3000,Transaksi!$L$2:$L$3000,A104))</f>
        <v/>
      </c>
      <c r="F104" s="14">
        <f>IF(A104="","",SUMIFS(Transaksi!$J$2:$J$3000,Transaksi!$L$2:$L$3000,A104))</f>
        <v/>
      </c>
      <c r="G104" s="15">
        <f>IF(A104="","",E104-F104)</f>
        <v/>
      </c>
      <c r="H104" s="16">
        <f>IF(A104="","",SUMIFS(Transaksi!$G$2:$G$3000,Transaksi!$L$2:$L$3000,"&lt;="&amp;A104)+SUMIFS(Transaksi!$H$2:$H$3000,Transaksi!$L$2:$L$3000,"&lt;="&amp;A104)+SUMIFS(Transaksi!$I$2:$I$3000,Transaksi!$L$2:$L$3000,"&lt;="&amp;A104)-(SUMIFS(Transaksi!$J$2:$J$3000,Transaksi!$L$2:$L$3000,"&lt;="&amp;A104)))</f>
        <v/>
      </c>
    </row>
    <row r="105">
      <c r="A105" s="22">
        <f>IF(101&lt;=MAX(Transaksi!$L$2:$L$3000),MAX(Transaksi!$L$2:$L$3000)-100,"")</f>
        <v/>
      </c>
      <c r="B105" s="23">
        <f>IF(A105="","",INDEX(Transaksi!$B$2:$B$3000,MATCH(A105,Transaksi!$L$2:$L$3000,0)))</f>
        <v/>
      </c>
      <c r="C105" s="24">
        <f>IF(A105="","",CHOOSE(WEEKDAY(B105,2),"Isnin","Selasa","Rabu","Khamis","Jumaat","Sabtu","Ahad"))</f>
        <v/>
      </c>
      <c r="D105" s="25">
        <f>IF(A105="","",COUNTIF(Transaksi!$L$2:$L$3000,A105))</f>
        <v/>
      </c>
      <c r="E105" s="13">
        <f>IF(A105="","",SUMIFS(Transaksi!$G$2:$G$3000,Transaksi!$L$2:$L$3000,A105)+SUMIFS(Transaksi!$H$2:$H$3000,Transaksi!$L$2:$L$3000,A105)+SUMIFS(Transaksi!$I$2:$I$3000,Transaksi!$L$2:$L$3000,A105))</f>
        <v/>
      </c>
      <c r="F105" s="14">
        <f>IF(A105="","",SUMIFS(Transaksi!$J$2:$J$3000,Transaksi!$L$2:$L$3000,A105))</f>
        <v/>
      </c>
      <c r="G105" s="15">
        <f>IF(A105="","",E105-F105)</f>
        <v/>
      </c>
      <c r="H105" s="16">
        <f>IF(A105="","",SUMIFS(Transaksi!$G$2:$G$3000,Transaksi!$L$2:$L$3000,"&lt;="&amp;A105)+SUMIFS(Transaksi!$H$2:$H$3000,Transaksi!$L$2:$L$3000,"&lt;="&amp;A105)+SUMIFS(Transaksi!$I$2:$I$3000,Transaksi!$L$2:$L$3000,"&lt;="&amp;A105)-(SUMIFS(Transaksi!$J$2:$J$3000,Transaksi!$L$2:$L$3000,"&lt;="&amp;A105)))</f>
        <v/>
      </c>
    </row>
    <row r="106">
      <c r="A106" s="22">
        <f>IF(102&lt;=MAX(Transaksi!$L$2:$L$3000),MAX(Transaksi!$L$2:$L$3000)-101,"")</f>
        <v/>
      </c>
      <c r="B106" s="23">
        <f>IF(A106="","",INDEX(Transaksi!$B$2:$B$3000,MATCH(A106,Transaksi!$L$2:$L$3000,0)))</f>
        <v/>
      </c>
      <c r="C106" s="24">
        <f>IF(A106="","",CHOOSE(WEEKDAY(B106,2),"Isnin","Selasa","Rabu","Khamis","Jumaat","Sabtu","Ahad"))</f>
        <v/>
      </c>
      <c r="D106" s="25">
        <f>IF(A106="","",COUNTIF(Transaksi!$L$2:$L$3000,A106))</f>
        <v/>
      </c>
      <c r="E106" s="13">
        <f>IF(A106="","",SUMIFS(Transaksi!$G$2:$G$3000,Transaksi!$L$2:$L$3000,A106)+SUMIFS(Transaksi!$H$2:$H$3000,Transaksi!$L$2:$L$3000,A106)+SUMIFS(Transaksi!$I$2:$I$3000,Transaksi!$L$2:$L$3000,A106))</f>
        <v/>
      </c>
      <c r="F106" s="14">
        <f>IF(A106="","",SUMIFS(Transaksi!$J$2:$J$3000,Transaksi!$L$2:$L$3000,A106))</f>
        <v/>
      </c>
      <c r="G106" s="15">
        <f>IF(A106="","",E106-F106)</f>
        <v/>
      </c>
      <c r="H106" s="16">
        <f>IF(A106="","",SUMIFS(Transaksi!$G$2:$G$3000,Transaksi!$L$2:$L$3000,"&lt;="&amp;A106)+SUMIFS(Transaksi!$H$2:$H$3000,Transaksi!$L$2:$L$3000,"&lt;="&amp;A106)+SUMIFS(Transaksi!$I$2:$I$3000,Transaksi!$L$2:$L$3000,"&lt;="&amp;A106)-(SUMIFS(Transaksi!$J$2:$J$3000,Transaksi!$L$2:$L$3000,"&lt;="&amp;A106)))</f>
        <v/>
      </c>
    </row>
    <row r="107">
      <c r="A107" s="22">
        <f>IF(103&lt;=MAX(Transaksi!$L$2:$L$3000),MAX(Transaksi!$L$2:$L$3000)-102,"")</f>
        <v/>
      </c>
      <c r="B107" s="23">
        <f>IF(A107="","",INDEX(Transaksi!$B$2:$B$3000,MATCH(A107,Transaksi!$L$2:$L$3000,0)))</f>
        <v/>
      </c>
      <c r="C107" s="24">
        <f>IF(A107="","",CHOOSE(WEEKDAY(B107,2),"Isnin","Selasa","Rabu","Khamis","Jumaat","Sabtu","Ahad"))</f>
        <v/>
      </c>
      <c r="D107" s="25">
        <f>IF(A107="","",COUNTIF(Transaksi!$L$2:$L$3000,A107))</f>
        <v/>
      </c>
      <c r="E107" s="13">
        <f>IF(A107="","",SUMIFS(Transaksi!$G$2:$G$3000,Transaksi!$L$2:$L$3000,A107)+SUMIFS(Transaksi!$H$2:$H$3000,Transaksi!$L$2:$L$3000,A107)+SUMIFS(Transaksi!$I$2:$I$3000,Transaksi!$L$2:$L$3000,A107))</f>
        <v/>
      </c>
      <c r="F107" s="14">
        <f>IF(A107="","",SUMIFS(Transaksi!$J$2:$J$3000,Transaksi!$L$2:$L$3000,A107))</f>
        <v/>
      </c>
      <c r="G107" s="15">
        <f>IF(A107="","",E107-F107)</f>
        <v/>
      </c>
      <c r="H107" s="16">
        <f>IF(A107="","",SUMIFS(Transaksi!$G$2:$G$3000,Transaksi!$L$2:$L$3000,"&lt;="&amp;A107)+SUMIFS(Transaksi!$H$2:$H$3000,Transaksi!$L$2:$L$3000,"&lt;="&amp;A107)+SUMIFS(Transaksi!$I$2:$I$3000,Transaksi!$L$2:$L$3000,"&lt;="&amp;A107)-(SUMIFS(Transaksi!$J$2:$J$3000,Transaksi!$L$2:$L$3000,"&lt;="&amp;A107)))</f>
        <v/>
      </c>
    </row>
    <row r="108">
      <c r="A108" s="22">
        <f>IF(104&lt;=MAX(Transaksi!$L$2:$L$3000),MAX(Transaksi!$L$2:$L$3000)-103,"")</f>
        <v/>
      </c>
      <c r="B108" s="23">
        <f>IF(A108="","",INDEX(Transaksi!$B$2:$B$3000,MATCH(A108,Transaksi!$L$2:$L$3000,0)))</f>
        <v/>
      </c>
      <c r="C108" s="24">
        <f>IF(A108="","",CHOOSE(WEEKDAY(B108,2),"Isnin","Selasa","Rabu","Khamis","Jumaat","Sabtu","Ahad"))</f>
        <v/>
      </c>
      <c r="D108" s="25">
        <f>IF(A108="","",COUNTIF(Transaksi!$L$2:$L$3000,A108))</f>
        <v/>
      </c>
      <c r="E108" s="13">
        <f>IF(A108="","",SUMIFS(Transaksi!$G$2:$G$3000,Transaksi!$L$2:$L$3000,A108)+SUMIFS(Transaksi!$H$2:$H$3000,Transaksi!$L$2:$L$3000,A108)+SUMIFS(Transaksi!$I$2:$I$3000,Transaksi!$L$2:$L$3000,A108))</f>
        <v/>
      </c>
      <c r="F108" s="14">
        <f>IF(A108="","",SUMIFS(Transaksi!$J$2:$J$3000,Transaksi!$L$2:$L$3000,A108))</f>
        <v/>
      </c>
      <c r="G108" s="15">
        <f>IF(A108="","",E108-F108)</f>
        <v/>
      </c>
      <c r="H108" s="16">
        <f>IF(A108="","",SUMIFS(Transaksi!$G$2:$G$3000,Transaksi!$L$2:$L$3000,"&lt;="&amp;A108)+SUMIFS(Transaksi!$H$2:$H$3000,Transaksi!$L$2:$L$3000,"&lt;="&amp;A108)+SUMIFS(Transaksi!$I$2:$I$3000,Transaksi!$L$2:$L$3000,"&lt;="&amp;A108)-(SUMIFS(Transaksi!$J$2:$J$3000,Transaksi!$L$2:$L$3000,"&lt;="&amp;A108)))</f>
        <v/>
      </c>
    </row>
    <row r="109">
      <c r="A109" s="22">
        <f>IF(105&lt;=MAX(Transaksi!$L$2:$L$3000),MAX(Transaksi!$L$2:$L$3000)-104,"")</f>
        <v/>
      </c>
      <c r="B109" s="23">
        <f>IF(A109="","",INDEX(Transaksi!$B$2:$B$3000,MATCH(A109,Transaksi!$L$2:$L$3000,0)))</f>
        <v/>
      </c>
      <c r="C109" s="24">
        <f>IF(A109="","",CHOOSE(WEEKDAY(B109,2),"Isnin","Selasa","Rabu","Khamis","Jumaat","Sabtu","Ahad"))</f>
        <v/>
      </c>
      <c r="D109" s="25">
        <f>IF(A109="","",COUNTIF(Transaksi!$L$2:$L$3000,A109))</f>
        <v/>
      </c>
      <c r="E109" s="13">
        <f>IF(A109="","",SUMIFS(Transaksi!$G$2:$G$3000,Transaksi!$L$2:$L$3000,A109)+SUMIFS(Transaksi!$H$2:$H$3000,Transaksi!$L$2:$L$3000,A109)+SUMIFS(Transaksi!$I$2:$I$3000,Transaksi!$L$2:$L$3000,A109))</f>
        <v/>
      </c>
      <c r="F109" s="14">
        <f>IF(A109="","",SUMIFS(Transaksi!$J$2:$J$3000,Transaksi!$L$2:$L$3000,A109))</f>
        <v/>
      </c>
      <c r="G109" s="15">
        <f>IF(A109="","",E109-F109)</f>
        <v/>
      </c>
      <c r="H109" s="16">
        <f>IF(A109="","",SUMIFS(Transaksi!$G$2:$G$3000,Transaksi!$L$2:$L$3000,"&lt;="&amp;A109)+SUMIFS(Transaksi!$H$2:$H$3000,Transaksi!$L$2:$L$3000,"&lt;="&amp;A109)+SUMIFS(Transaksi!$I$2:$I$3000,Transaksi!$L$2:$L$3000,"&lt;="&amp;A109)-(SUMIFS(Transaksi!$J$2:$J$3000,Transaksi!$L$2:$L$3000,"&lt;="&amp;A109)))</f>
        <v/>
      </c>
    </row>
    <row r="110">
      <c r="A110" s="22">
        <f>IF(106&lt;=MAX(Transaksi!$L$2:$L$3000),MAX(Transaksi!$L$2:$L$3000)-105,"")</f>
        <v/>
      </c>
      <c r="B110" s="23">
        <f>IF(A110="","",INDEX(Transaksi!$B$2:$B$3000,MATCH(A110,Transaksi!$L$2:$L$3000,0)))</f>
        <v/>
      </c>
      <c r="C110" s="24">
        <f>IF(A110="","",CHOOSE(WEEKDAY(B110,2),"Isnin","Selasa","Rabu","Khamis","Jumaat","Sabtu","Ahad"))</f>
        <v/>
      </c>
      <c r="D110" s="25">
        <f>IF(A110="","",COUNTIF(Transaksi!$L$2:$L$3000,A110))</f>
        <v/>
      </c>
      <c r="E110" s="13">
        <f>IF(A110="","",SUMIFS(Transaksi!$G$2:$G$3000,Transaksi!$L$2:$L$3000,A110)+SUMIFS(Transaksi!$H$2:$H$3000,Transaksi!$L$2:$L$3000,A110)+SUMIFS(Transaksi!$I$2:$I$3000,Transaksi!$L$2:$L$3000,A110))</f>
        <v/>
      </c>
      <c r="F110" s="14">
        <f>IF(A110="","",SUMIFS(Transaksi!$J$2:$J$3000,Transaksi!$L$2:$L$3000,A110))</f>
        <v/>
      </c>
      <c r="G110" s="15">
        <f>IF(A110="","",E110-F110)</f>
        <v/>
      </c>
      <c r="H110" s="16">
        <f>IF(A110="","",SUMIFS(Transaksi!$G$2:$G$3000,Transaksi!$L$2:$L$3000,"&lt;="&amp;A110)+SUMIFS(Transaksi!$H$2:$H$3000,Transaksi!$L$2:$L$3000,"&lt;="&amp;A110)+SUMIFS(Transaksi!$I$2:$I$3000,Transaksi!$L$2:$L$3000,"&lt;="&amp;A110)-(SUMIFS(Transaksi!$J$2:$J$3000,Transaksi!$L$2:$L$3000,"&lt;="&amp;A110)))</f>
        <v/>
      </c>
    </row>
    <row r="111">
      <c r="A111" s="22">
        <f>IF(107&lt;=MAX(Transaksi!$L$2:$L$3000),MAX(Transaksi!$L$2:$L$3000)-106,"")</f>
        <v/>
      </c>
      <c r="B111" s="23">
        <f>IF(A111="","",INDEX(Transaksi!$B$2:$B$3000,MATCH(A111,Transaksi!$L$2:$L$3000,0)))</f>
        <v/>
      </c>
      <c r="C111" s="24">
        <f>IF(A111="","",CHOOSE(WEEKDAY(B111,2),"Isnin","Selasa","Rabu","Khamis","Jumaat","Sabtu","Ahad"))</f>
        <v/>
      </c>
      <c r="D111" s="25">
        <f>IF(A111="","",COUNTIF(Transaksi!$L$2:$L$3000,A111))</f>
        <v/>
      </c>
      <c r="E111" s="13">
        <f>IF(A111="","",SUMIFS(Transaksi!$G$2:$G$3000,Transaksi!$L$2:$L$3000,A111)+SUMIFS(Transaksi!$H$2:$H$3000,Transaksi!$L$2:$L$3000,A111)+SUMIFS(Transaksi!$I$2:$I$3000,Transaksi!$L$2:$L$3000,A111))</f>
        <v/>
      </c>
      <c r="F111" s="14">
        <f>IF(A111="","",SUMIFS(Transaksi!$J$2:$J$3000,Transaksi!$L$2:$L$3000,A111))</f>
        <v/>
      </c>
      <c r="G111" s="15">
        <f>IF(A111="","",E111-F111)</f>
        <v/>
      </c>
      <c r="H111" s="16">
        <f>IF(A111="","",SUMIFS(Transaksi!$G$2:$G$3000,Transaksi!$L$2:$L$3000,"&lt;="&amp;A111)+SUMIFS(Transaksi!$H$2:$H$3000,Transaksi!$L$2:$L$3000,"&lt;="&amp;A111)+SUMIFS(Transaksi!$I$2:$I$3000,Transaksi!$L$2:$L$3000,"&lt;="&amp;A111)-(SUMIFS(Transaksi!$J$2:$J$3000,Transaksi!$L$2:$L$3000,"&lt;="&amp;A111)))</f>
        <v/>
      </c>
    </row>
    <row r="112">
      <c r="A112" s="22">
        <f>IF(108&lt;=MAX(Transaksi!$L$2:$L$3000),MAX(Transaksi!$L$2:$L$3000)-107,"")</f>
        <v/>
      </c>
      <c r="B112" s="23">
        <f>IF(A112="","",INDEX(Transaksi!$B$2:$B$3000,MATCH(A112,Transaksi!$L$2:$L$3000,0)))</f>
        <v/>
      </c>
      <c r="C112" s="24">
        <f>IF(A112="","",CHOOSE(WEEKDAY(B112,2),"Isnin","Selasa","Rabu","Khamis","Jumaat","Sabtu","Ahad"))</f>
        <v/>
      </c>
      <c r="D112" s="25">
        <f>IF(A112="","",COUNTIF(Transaksi!$L$2:$L$3000,A112))</f>
        <v/>
      </c>
      <c r="E112" s="13">
        <f>IF(A112="","",SUMIFS(Transaksi!$G$2:$G$3000,Transaksi!$L$2:$L$3000,A112)+SUMIFS(Transaksi!$H$2:$H$3000,Transaksi!$L$2:$L$3000,A112)+SUMIFS(Transaksi!$I$2:$I$3000,Transaksi!$L$2:$L$3000,A112))</f>
        <v/>
      </c>
      <c r="F112" s="14">
        <f>IF(A112="","",SUMIFS(Transaksi!$J$2:$J$3000,Transaksi!$L$2:$L$3000,A112))</f>
        <v/>
      </c>
      <c r="G112" s="15">
        <f>IF(A112="","",E112-F112)</f>
        <v/>
      </c>
      <c r="H112" s="16">
        <f>IF(A112="","",SUMIFS(Transaksi!$G$2:$G$3000,Transaksi!$L$2:$L$3000,"&lt;="&amp;A112)+SUMIFS(Transaksi!$H$2:$H$3000,Transaksi!$L$2:$L$3000,"&lt;="&amp;A112)+SUMIFS(Transaksi!$I$2:$I$3000,Transaksi!$L$2:$L$3000,"&lt;="&amp;A112)-(SUMIFS(Transaksi!$J$2:$J$3000,Transaksi!$L$2:$L$3000,"&lt;="&amp;A112)))</f>
        <v/>
      </c>
    </row>
    <row r="113">
      <c r="A113" s="22">
        <f>IF(109&lt;=MAX(Transaksi!$L$2:$L$3000),MAX(Transaksi!$L$2:$L$3000)-108,"")</f>
        <v/>
      </c>
      <c r="B113" s="23">
        <f>IF(A113="","",INDEX(Transaksi!$B$2:$B$3000,MATCH(A113,Transaksi!$L$2:$L$3000,0)))</f>
        <v/>
      </c>
      <c r="C113" s="24">
        <f>IF(A113="","",CHOOSE(WEEKDAY(B113,2),"Isnin","Selasa","Rabu","Khamis","Jumaat","Sabtu","Ahad"))</f>
        <v/>
      </c>
      <c r="D113" s="25">
        <f>IF(A113="","",COUNTIF(Transaksi!$L$2:$L$3000,A113))</f>
        <v/>
      </c>
      <c r="E113" s="13">
        <f>IF(A113="","",SUMIFS(Transaksi!$G$2:$G$3000,Transaksi!$L$2:$L$3000,A113)+SUMIFS(Transaksi!$H$2:$H$3000,Transaksi!$L$2:$L$3000,A113)+SUMIFS(Transaksi!$I$2:$I$3000,Transaksi!$L$2:$L$3000,A113))</f>
        <v/>
      </c>
      <c r="F113" s="14">
        <f>IF(A113="","",SUMIFS(Transaksi!$J$2:$J$3000,Transaksi!$L$2:$L$3000,A113))</f>
        <v/>
      </c>
      <c r="G113" s="15">
        <f>IF(A113="","",E113-F113)</f>
        <v/>
      </c>
      <c r="H113" s="16">
        <f>IF(A113="","",SUMIFS(Transaksi!$G$2:$G$3000,Transaksi!$L$2:$L$3000,"&lt;="&amp;A113)+SUMIFS(Transaksi!$H$2:$H$3000,Transaksi!$L$2:$L$3000,"&lt;="&amp;A113)+SUMIFS(Transaksi!$I$2:$I$3000,Transaksi!$L$2:$L$3000,"&lt;="&amp;A113)-(SUMIFS(Transaksi!$J$2:$J$3000,Transaksi!$L$2:$L$3000,"&lt;="&amp;A113)))</f>
        <v/>
      </c>
    </row>
    <row r="114">
      <c r="A114" s="22">
        <f>IF(110&lt;=MAX(Transaksi!$L$2:$L$3000),MAX(Transaksi!$L$2:$L$3000)-109,"")</f>
        <v/>
      </c>
      <c r="B114" s="23">
        <f>IF(A114="","",INDEX(Transaksi!$B$2:$B$3000,MATCH(A114,Transaksi!$L$2:$L$3000,0)))</f>
        <v/>
      </c>
      <c r="C114" s="24">
        <f>IF(A114="","",CHOOSE(WEEKDAY(B114,2),"Isnin","Selasa","Rabu","Khamis","Jumaat","Sabtu","Ahad"))</f>
        <v/>
      </c>
      <c r="D114" s="25">
        <f>IF(A114="","",COUNTIF(Transaksi!$L$2:$L$3000,A114))</f>
        <v/>
      </c>
      <c r="E114" s="13">
        <f>IF(A114="","",SUMIFS(Transaksi!$G$2:$G$3000,Transaksi!$L$2:$L$3000,A114)+SUMIFS(Transaksi!$H$2:$H$3000,Transaksi!$L$2:$L$3000,A114)+SUMIFS(Transaksi!$I$2:$I$3000,Transaksi!$L$2:$L$3000,A114))</f>
        <v/>
      </c>
      <c r="F114" s="14">
        <f>IF(A114="","",SUMIFS(Transaksi!$J$2:$J$3000,Transaksi!$L$2:$L$3000,A114))</f>
        <v/>
      </c>
      <c r="G114" s="15">
        <f>IF(A114="","",E114-F114)</f>
        <v/>
      </c>
      <c r="H114" s="16">
        <f>IF(A114="","",SUMIFS(Transaksi!$G$2:$G$3000,Transaksi!$L$2:$L$3000,"&lt;="&amp;A114)+SUMIFS(Transaksi!$H$2:$H$3000,Transaksi!$L$2:$L$3000,"&lt;="&amp;A114)+SUMIFS(Transaksi!$I$2:$I$3000,Transaksi!$L$2:$L$3000,"&lt;="&amp;A114)-(SUMIFS(Transaksi!$J$2:$J$3000,Transaksi!$L$2:$L$3000,"&lt;="&amp;A114)))</f>
        <v/>
      </c>
    </row>
    <row r="115">
      <c r="A115" s="22">
        <f>IF(111&lt;=MAX(Transaksi!$L$2:$L$3000),MAX(Transaksi!$L$2:$L$3000)-110,"")</f>
        <v/>
      </c>
      <c r="B115" s="23">
        <f>IF(A115="","",INDEX(Transaksi!$B$2:$B$3000,MATCH(A115,Transaksi!$L$2:$L$3000,0)))</f>
        <v/>
      </c>
      <c r="C115" s="24">
        <f>IF(A115="","",CHOOSE(WEEKDAY(B115,2),"Isnin","Selasa","Rabu","Khamis","Jumaat","Sabtu","Ahad"))</f>
        <v/>
      </c>
      <c r="D115" s="25">
        <f>IF(A115="","",COUNTIF(Transaksi!$L$2:$L$3000,A115))</f>
        <v/>
      </c>
      <c r="E115" s="13">
        <f>IF(A115="","",SUMIFS(Transaksi!$G$2:$G$3000,Transaksi!$L$2:$L$3000,A115)+SUMIFS(Transaksi!$H$2:$H$3000,Transaksi!$L$2:$L$3000,A115)+SUMIFS(Transaksi!$I$2:$I$3000,Transaksi!$L$2:$L$3000,A115))</f>
        <v/>
      </c>
      <c r="F115" s="14">
        <f>IF(A115="","",SUMIFS(Transaksi!$J$2:$J$3000,Transaksi!$L$2:$L$3000,A115))</f>
        <v/>
      </c>
      <c r="G115" s="15">
        <f>IF(A115="","",E115-F115)</f>
        <v/>
      </c>
      <c r="H115" s="16">
        <f>IF(A115="","",SUMIFS(Transaksi!$G$2:$G$3000,Transaksi!$L$2:$L$3000,"&lt;="&amp;A115)+SUMIFS(Transaksi!$H$2:$H$3000,Transaksi!$L$2:$L$3000,"&lt;="&amp;A115)+SUMIFS(Transaksi!$I$2:$I$3000,Transaksi!$L$2:$L$3000,"&lt;="&amp;A115)-(SUMIFS(Transaksi!$J$2:$J$3000,Transaksi!$L$2:$L$3000,"&lt;="&amp;A115)))</f>
        <v/>
      </c>
    </row>
    <row r="116">
      <c r="A116" s="22">
        <f>IF(112&lt;=MAX(Transaksi!$L$2:$L$3000),MAX(Transaksi!$L$2:$L$3000)-111,"")</f>
        <v/>
      </c>
      <c r="B116" s="23">
        <f>IF(A116="","",INDEX(Transaksi!$B$2:$B$3000,MATCH(A116,Transaksi!$L$2:$L$3000,0)))</f>
        <v/>
      </c>
      <c r="C116" s="24">
        <f>IF(A116="","",CHOOSE(WEEKDAY(B116,2),"Isnin","Selasa","Rabu","Khamis","Jumaat","Sabtu","Ahad"))</f>
        <v/>
      </c>
      <c r="D116" s="25">
        <f>IF(A116="","",COUNTIF(Transaksi!$L$2:$L$3000,A116))</f>
        <v/>
      </c>
      <c r="E116" s="13">
        <f>IF(A116="","",SUMIFS(Transaksi!$G$2:$G$3000,Transaksi!$L$2:$L$3000,A116)+SUMIFS(Transaksi!$H$2:$H$3000,Transaksi!$L$2:$L$3000,A116)+SUMIFS(Transaksi!$I$2:$I$3000,Transaksi!$L$2:$L$3000,A116))</f>
        <v/>
      </c>
      <c r="F116" s="14">
        <f>IF(A116="","",SUMIFS(Transaksi!$J$2:$J$3000,Transaksi!$L$2:$L$3000,A116))</f>
        <v/>
      </c>
      <c r="G116" s="15">
        <f>IF(A116="","",E116-F116)</f>
        <v/>
      </c>
      <c r="H116" s="16">
        <f>IF(A116="","",SUMIFS(Transaksi!$G$2:$G$3000,Transaksi!$L$2:$L$3000,"&lt;="&amp;A116)+SUMIFS(Transaksi!$H$2:$H$3000,Transaksi!$L$2:$L$3000,"&lt;="&amp;A116)+SUMIFS(Transaksi!$I$2:$I$3000,Transaksi!$L$2:$L$3000,"&lt;="&amp;A116)-(SUMIFS(Transaksi!$J$2:$J$3000,Transaksi!$L$2:$L$3000,"&lt;="&amp;A116)))</f>
        <v/>
      </c>
    </row>
    <row r="117">
      <c r="A117" s="22">
        <f>IF(113&lt;=MAX(Transaksi!$L$2:$L$3000),MAX(Transaksi!$L$2:$L$3000)-112,"")</f>
        <v/>
      </c>
      <c r="B117" s="23">
        <f>IF(A117="","",INDEX(Transaksi!$B$2:$B$3000,MATCH(A117,Transaksi!$L$2:$L$3000,0)))</f>
        <v/>
      </c>
      <c r="C117" s="24">
        <f>IF(A117="","",CHOOSE(WEEKDAY(B117,2),"Isnin","Selasa","Rabu","Khamis","Jumaat","Sabtu","Ahad"))</f>
        <v/>
      </c>
      <c r="D117" s="25">
        <f>IF(A117="","",COUNTIF(Transaksi!$L$2:$L$3000,A117))</f>
        <v/>
      </c>
      <c r="E117" s="13">
        <f>IF(A117="","",SUMIFS(Transaksi!$G$2:$G$3000,Transaksi!$L$2:$L$3000,A117)+SUMIFS(Transaksi!$H$2:$H$3000,Transaksi!$L$2:$L$3000,A117)+SUMIFS(Transaksi!$I$2:$I$3000,Transaksi!$L$2:$L$3000,A117))</f>
        <v/>
      </c>
      <c r="F117" s="14">
        <f>IF(A117="","",SUMIFS(Transaksi!$J$2:$J$3000,Transaksi!$L$2:$L$3000,A117))</f>
        <v/>
      </c>
      <c r="G117" s="15">
        <f>IF(A117="","",E117-F117)</f>
        <v/>
      </c>
      <c r="H117" s="16">
        <f>IF(A117="","",SUMIFS(Transaksi!$G$2:$G$3000,Transaksi!$L$2:$L$3000,"&lt;="&amp;A117)+SUMIFS(Transaksi!$H$2:$H$3000,Transaksi!$L$2:$L$3000,"&lt;="&amp;A117)+SUMIFS(Transaksi!$I$2:$I$3000,Transaksi!$L$2:$L$3000,"&lt;="&amp;A117)-(SUMIFS(Transaksi!$J$2:$J$3000,Transaksi!$L$2:$L$3000,"&lt;="&amp;A117)))</f>
        <v/>
      </c>
    </row>
    <row r="118">
      <c r="A118" s="22">
        <f>IF(114&lt;=MAX(Transaksi!$L$2:$L$3000),MAX(Transaksi!$L$2:$L$3000)-113,"")</f>
        <v/>
      </c>
      <c r="B118" s="23">
        <f>IF(A118="","",INDEX(Transaksi!$B$2:$B$3000,MATCH(A118,Transaksi!$L$2:$L$3000,0)))</f>
        <v/>
      </c>
      <c r="C118" s="24">
        <f>IF(A118="","",CHOOSE(WEEKDAY(B118,2),"Isnin","Selasa","Rabu","Khamis","Jumaat","Sabtu","Ahad"))</f>
        <v/>
      </c>
      <c r="D118" s="25">
        <f>IF(A118="","",COUNTIF(Transaksi!$L$2:$L$3000,A118))</f>
        <v/>
      </c>
      <c r="E118" s="13">
        <f>IF(A118="","",SUMIFS(Transaksi!$G$2:$G$3000,Transaksi!$L$2:$L$3000,A118)+SUMIFS(Transaksi!$H$2:$H$3000,Transaksi!$L$2:$L$3000,A118)+SUMIFS(Transaksi!$I$2:$I$3000,Transaksi!$L$2:$L$3000,A118))</f>
        <v/>
      </c>
      <c r="F118" s="14">
        <f>IF(A118="","",SUMIFS(Transaksi!$J$2:$J$3000,Transaksi!$L$2:$L$3000,A118))</f>
        <v/>
      </c>
      <c r="G118" s="15">
        <f>IF(A118="","",E118-F118)</f>
        <v/>
      </c>
      <c r="H118" s="16">
        <f>IF(A118="","",SUMIFS(Transaksi!$G$2:$G$3000,Transaksi!$L$2:$L$3000,"&lt;="&amp;A118)+SUMIFS(Transaksi!$H$2:$H$3000,Transaksi!$L$2:$L$3000,"&lt;="&amp;A118)+SUMIFS(Transaksi!$I$2:$I$3000,Transaksi!$L$2:$L$3000,"&lt;="&amp;A118)-(SUMIFS(Transaksi!$J$2:$J$3000,Transaksi!$L$2:$L$3000,"&lt;="&amp;A118)))</f>
        <v/>
      </c>
    </row>
    <row r="119">
      <c r="A119" s="22">
        <f>IF(115&lt;=MAX(Transaksi!$L$2:$L$3000),MAX(Transaksi!$L$2:$L$3000)-114,"")</f>
        <v/>
      </c>
      <c r="B119" s="23">
        <f>IF(A119="","",INDEX(Transaksi!$B$2:$B$3000,MATCH(A119,Transaksi!$L$2:$L$3000,0)))</f>
        <v/>
      </c>
      <c r="C119" s="24">
        <f>IF(A119="","",CHOOSE(WEEKDAY(B119,2),"Isnin","Selasa","Rabu","Khamis","Jumaat","Sabtu","Ahad"))</f>
        <v/>
      </c>
      <c r="D119" s="25">
        <f>IF(A119="","",COUNTIF(Transaksi!$L$2:$L$3000,A119))</f>
        <v/>
      </c>
      <c r="E119" s="13">
        <f>IF(A119="","",SUMIFS(Transaksi!$G$2:$G$3000,Transaksi!$L$2:$L$3000,A119)+SUMIFS(Transaksi!$H$2:$H$3000,Transaksi!$L$2:$L$3000,A119)+SUMIFS(Transaksi!$I$2:$I$3000,Transaksi!$L$2:$L$3000,A119))</f>
        <v/>
      </c>
      <c r="F119" s="14">
        <f>IF(A119="","",SUMIFS(Transaksi!$J$2:$J$3000,Transaksi!$L$2:$L$3000,A119))</f>
        <v/>
      </c>
      <c r="G119" s="15">
        <f>IF(A119="","",E119-F119)</f>
        <v/>
      </c>
      <c r="H119" s="16">
        <f>IF(A119="","",SUMIFS(Transaksi!$G$2:$G$3000,Transaksi!$L$2:$L$3000,"&lt;="&amp;A119)+SUMIFS(Transaksi!$H$2:$H$3000,Transaksi!$L$2:$L$3000,"&lt;="&amp;A119)+SUMIFS(Transaksi!$I$2:$I$3000,Transaksi!$L$2:$L$3000,"&lt;="&amp;A119)-(SUMIFS(Transaksi!$J$2:$J$3000,Transaksi!$L$2:$L$3000,"&lt;="&amp;A119)))</f>
        <v/>
      </c>
    </row>
    <row r="120">
      <c r="A120" s="22">
        <f>IF(116&lt;=MAX(Transaksi!$L$2:$L$3000),MAX(Transaksi!$L$2:$L$3000)-115,"")</f>
        <v/>
      </c>
      <c r="B120" s="23">
        <f>IF(A120="","",INDEX(Transaksi!$B$2:$B$3000,MATCH(A120,Transaksi!$L$2:$L$3000,0)))</f>
        <v/>
      </c>
      <c r="C120" s="24">
        <f>IF(A120="","",CHOOSE(WEEKDAY(B120,2),"Isnin","Selasa","Rabu","Khamis","Jumaat","Sabtu","Ahad"))</f>
        <v/>
      </c>
      <c r="D120" s="25">
        <f>IF(A120="","",COUNTIF(Transaksi!$L$2:$L$3000,A120))</f>
        <v/>
      </c>
      <c r="E120" s="13">
        <f>IF(A120="","",SUMIFS(Transaksi!$G$2:$G$3000,Transaksi!$L$2:$L$3000,A120)+SUMIFS(Transaksi!$H$2:$H$3000,Transaksi!$L$2:$L$3000,A120)+SUMIFS(Transaksi!$I$2:$I$3000,Transaksi!$L$2:$L$3000,A120))</f>
        <v/>
      </c>
      <c r="F120" s="14">
        <f>IF(A120="","",SUMIFS(Transaksi!$J$2:$J$3000,Transaksi!$L$2:$L$3000,A120))</f>
        <v/>
      </c>
      <c r="G120" s="15">
        <f>IF(A120="","",E120-F120)</f>
        <v/>
      </c>
      <c r="H120" s="16">
        <f>IF(A120="","",SUMIFS(Transaksi!$G$2:$G$3000,Transaksi!$L$2:$L$3000,"&lt;="&amp;A120)+SUMIFS(Transaksi!$H$2:$H$3000,Transaksi!$L$2:$L$3000,"&lt;="&amp;A120)+SUMIFS(Transaksi!$I$2:$I$3000,Transaksi!$L$2:$L$3000,"&lt;="&amp;A120)-(SUMIFS(Transaksi!$J$2:$J$3000,Transaksi!$L$2:$L$3000,"&lt;="&amp;A120)))</f>
        <v/>
      </c>
    </row>
    <row r="121">
      <c r="A121" s="22">
        <f>IF(117&lt;=MAX(Transaksi!$L$2:$L$3000),MAX(Transaksi!$L$2:$L$3000)-116,"")</f>
        <v/>
      </c>
      <c r="B121" s="23">
        <f>IF(A121="","",INDEX(Transaksi!$B$2:$B$3000,MATCH(A121,Transaksi!$L$2:$L$3000,0)))</f>
        <v/>
      </c>
      <c r="C121" s="24">
        <f>IF(A121="","",CHOOSE(WEEKDAY(B121,2),"Isnin","Selasa","Rabu","Khamis","Jumaat","Sabtu","Ahad"))</f>
        <v/>
      </c>
      <c r="D121" s="25">
        <f>IF(A121="","",COUNTIF(Transaksi!$L$2:$L$3000,A121))</f>
        <v/>
      </c>
      <c r="E121" s="13">
        <f>IF(A121="","",SUMIFS(Transaksi!$G$2:$G$3000,Transaksi!$L$2:$L$3000,A121)+SUMIFS(Transaksi!$H$2:$H$3000,Transaksi!$L$2:$L$3000,A121)+SUMIFS(Transaksi!$I$2:$I$3000,Transaksi!$L$2:$L$3000,A121))</f>
        <v/>
      </c>
      <c r="F121" s="14">
        <f>IF(A121="","",SUMIFS(Transaksi!$J$2:$J$3000,Transaksi!$L$2:$L$3000,A121))</f>
        <v/>
      </c>
      <c r="G121" s="15">
        <f>IF(A121="","",E121-F121)</f>
        <v/>
      </c>
      <c r="H121" s="16">
        <f>IF(A121="","",SUMIFS(Transaksi!$G$2:$G$3000,Transaksi!$L$2:$L$3000,"&lt;="&amp;A121)+SUMIFS(Transaksi!$H$2:$H$3000,Transaksi!$L$2:$L$3000,"&lt;="&amp;A121)+SUMIFS(Transaksi!$I$2:$I$3000,Transaksi!$L$2:$L$3000,"&lt;="&amp;A121)-(SUMIFS(Transaksi!$J$2:$J$3000,Transaksi!$L$2:$L$3000,"&lt;="&amp;A121)))</f>
        <v/>
      </c>
    </row>
    <row r="122">
      <c r="A122" s="22">
        <f>IF(118&lt;=MAX(Transaksi!$L$2:$L$3000),MAX(Transaksi!$L$2:$L$3000)-117,"")</f>
        <v/>
      </c>
      <c r="B122" s="23">
        <f>IF(A122="","",INDEX(Transaksi!$B$2:$B$3000,MATCH(A122,Transaksi!$L$2:$L$3000,0)))</f>
        <v/>
      </c>
      <c r="C122" s="24">
        <f>IF(A122="","",CHOOSE(WEEKDAY(B122,2),"Isnin","Selasa","Rabu","Khamis","Jumaat","Sabtu","Ahad"))</f>
        <v/>
      </c>
      <c r="D122" s="25">
        <f>IF(A122="","",COUNTIF(Transaksi!$L$2:$L$3000,A122))</f>
        <v/>
      </c>
      <c r="E122" s="13">
        <f>IF(A122="","",SUMIFS(Transaksi!$G$2:$G$3000,Transaksi!$L$2:$L$3000,A122)+SUMIFS(Transaksi!$H$2:$H$3000,Transaksi!$L$2:$L$3000,A122)+SUMIFS(Transaksi!$I$2:$I$3000,Transaksi!$L$2:$L$3000,A122))</f>
        <v/>
      </c>
      <c r="F122" s="14">
        <f>IF(A122="","",SUMIFS(Transaksi!$J$2:$J$3000,Transaksi!$L$2:$L$3000,A122))</f>
        <v/>
      </c>
      <c r="G122" s="15">
        <f>IF(A122="","",E122-F122)</f>
        <v/>
      </c>
      <c r="H122" s="16">
        <f>IF(A122="","",SUMIFS(Transaksi!$G$2:$G$3000,Transaksi!$L$2:$L$3000,"&lt;="&amp;A122)+SUMIFS(Transaksi!$H$2:$H$3000,Transaksi!$L$2:$L$3000,"&lt;="&amp;A122)+SUMIFS(Transaksi!$I$2:$I$3000,Transaksi!$L$2:$L$3000,"&lt;="&amp;A122)-(SUMIFS(Transaksi!$J$2:$J$3000,Transaksi!$L$2:$L$3000,"&lt;="&amp;A122)))</f>
        <v/>
      </c>
    </row>
    <row r="123">
      <c r="A123" s="22">
        <f>IF(119&lt;=MAX(Transaksi!$L$2:$L$3000),MAX(Transaksi!$L$2:$L$3000)-118,"")</f>
        <v/>
      </c>
      <c r="B123" s="23">
        <f>IF(A123="","",INDEX(Transaksi!$B$2:$B$3000,MATCH(A123,Transaksi!$L$2:$L$3000,0)))</f>
        <v/>
      </c>
      <c r="C123" s="24">
        <f>IF(A123="","",CHOOSE(WEEKDAY(B123,2),"Isnin","Selasa","Rabu","Khamis","Jumaat","Sabtu","Ahad"))</f>
        <v/>
      </c>
      <c r="D123" s="25">
        <f>IF(A123="","",COUNTIF(Transaksi!$L$2:$L$3000,A123))</f>
        <v/>
      </c>
      <c r="E123" s="13">
        <f>IF(A123="","",SUMIFS(Transaksi!$G$2:$G$3000,Transaksi!$L$2:$L$3000,A123)+SUMIFS(Transaksi!$H$2:$H$3000,Transaksi!$L$2:$L$3000,A123)+SUMIFS(Transaksi!$I$2:$I$3000,Transaksi!$L$2:$L$3000,A123))</f>
        <v/>
      </c>
      <c r="F123" s="14">
        <f>IF(A123="","",SUMIFS(Transaksi!$J$2:$J$3000,Transaksi!$L$2:$L$3000,A123))</f>
        <v/>
      </c>
      <c r="G123" s="15">
        <f>IF(A123="","",E123-F123)</f>
        <v/>
      </c>
      <c r="H123" s="16">
        <f>IF(A123="","",SUMIFS(Transaksi!$G$2:$G$3000,Transaksi!$L$2:$L$3000,"&lt;="&amp;A123)+SUMIFS(Transaksi!$H$2:$H$3000,Transaksi!$L$2:$L$3000,"&lt;="&amp;A123)+SUMIFS(Transaksi!$I$2:$I$3000,Transaksi!$L$2:$L$3000,"&lt;="&amp;A123)-(SUMIFS(Transaksi!$J$2:$J$3000,Transaksi!$L$2:$L$3000,"&lt;="&amp;A123)))</f>
        <v/>
      </c>
    </row>
    <row r="124">
      <c r="A124" s="22">
        <f>IF(120&lt;=MAX(Transaksi!$L$2:$L$3000),MAX(Transaksi!$L$2:$L$3000)-119,"")</f>
        <v/>
      </c>
      <c r="B124" s="23">
        <f>IF(A124="","",INDEX(Transaksi!$B$2:$B$3000,MATCH(A124,Transaksi!$L$2:$L$3000,0)))</f>
        <v/>
      </c>
      <c r="C124" s="24">
        <f>IF(A124="","",CHOOSE(WEEKDAY(B124,2),"Isnin","Selasa","Rabu","Khamis","Jumaat","Sabtu","Ahad"))</f>
        <v/>
      </c>
      <c r="D124" s="25">
        <f>IF(A124="","",COUNTIF(Transaksi!$L$2:$L$3000,A124))</f>
        <v/>
      </c>
      <c r="E124" s="13">
        <f>IF(A124="","",SUMIFS(Transaksi!$G$2:$G$3000,Transaksi!$L$2:$L$3000,A124)+SUMIFS(Transaksi!$H$2:$H$3000,Transaksi!$L$2:$L$3000,A124)+SUMIFS(Transaksi!$I$2:$I$3000,Transaksi!$L$2:$L$3000,A124))</f>
        <v/>
      </c>
      <c r="F124" s="14">
        <f>IF(A124="","",SUMIFS(Transaksi!$J$2:$J$3000,Transaksi!$L$2:$L$3000,A124))</f>
        <v/>
      </c>
      <c r="G124" s="15">
        <f>IF(A124="","",E124-F124)</f>
        <v/>
      </c>
      <c r="H124" s="16">
        <f>IF(A124="","",SUMIFS(Transaksi!$G$2:$G$3000,Transaksi!$L$2:$L$3000,"&lt;="&amp;A124)+SUMIFS(Transaksi!$H$2:$H$3000,Transaksi!$L$2:$L$3000,"&lt;="&amp;A124)+SUMIFS(Transaksi!$I$2:$I$3000,Transaksi!$L$2:$L$3000,"&lt;="&amp;A124)-(SUMIFS(Transaksi!$J$2:$J$3000,Transaksi!$L$2:$L$3000,"&lt;="&amp;A124)))</f>
        <v/>
      </c>
    </row>
    <row r="125">
      <c r="A125" s="22">
        <f>IF(121&lt;=MAX(Transaksi!$L$2:$L$3000),MAX(Transaksi!$L$2:$L$3000)-120,"")</f>
        <v/>
      </c>
      <c r="B125" s="23">
        <f>IF(A125="","",INDEX(Transaksi!$B$2:$B$3000,MATCH(A125,Transaksi!$L$2:$L$3000,0)))</f>
        <v/>
      </c>
      <c r="C125" s="24">
        <f>IF(A125="","",CHOOSE(WEEKDAY(B125,2),"Isnin","Selasa","Rabu","Khamis","Jumaat","Sabtu","Ahad"))</f>
        <v/>
      </c>
      <c r="D125" s="25">
        <f>IF(A125="","",COUNTIF(Transaksi!$L$2:$L$3000,A125))</f>
        <v/>
      </c>
      <c r="E125" s="13">
        <f>IF(A125="","",SUMIFS(Transaksi!$G$2:$G$3000,Transaksi!$L$2:$L$3000,A125)+SUMIFS(Transaksi!$H$2:$H$3000,Transaksi!$L$2:$L$3000,A125)+SUMIFS(Transaksi!$I$2:$I$3000,Transaksi!$L$2:$L$3000,A125))</f>
        <v/>
      </c>
      <c r="F125" s="14">
        <f>IF(A125="","",SUMIFS(Transaksi!$J$2:$J$3000,Transaksi!$L$2:$L$3000,A125))</f>
        <v/>
      </c>
      <c r="G125" s="15">
        <f>IF(A125="","",E125-F125)</f>
        <v/>
      </c>
      <c r="H125" s="16">
        <f>IF(A125="","",SUMIFS(Transaksi!$G$2:$G$3000,Transaksi!$L$2:$L$3000,"&lt;="&amp;A125)+SUMIFS(Transaksi!$H$2:$H$3000,Transaksi!$L$2:$L$3000,"&lt;="&amp;A125)+SUMIFS(Transaksi!$I$2:$I$3000,Transaksi!$L$2:$L$3000,"&lt;="&amp;A125)-(SUMIFS(Transaksi!$J$2:$J$3000,Transaksi!$L$2:$L$3000,"&lt;="&amp;A125)))</f>
        <v/>
      </c>
    </row>
    <row r="126">
      <c r="A126" s="22">
        <f>IF(122&lt;=MAX(Transaksi!$L$2:$L$3000),MAX(Transaksi!$L$2:$L$3000)-121,"")</f>
        <v/>
      </c>
      <c r="B126" s="23">
        <f>IF(A126="","",INDEX(Transaksi!$B$2:$B$3000,MATCH(A126,Transaksi!$L$2:$L$3000,0)))</f>
        <v/>
      </c>
      <c r="C126" s="24">
        <f>IF(A126="","",CHOOSE(WEEKDAY(B126,2),"Isnin","Selasa","Rabu","Khamis","Jumaat","Sabtu","Ahad"))</f>
        <v/>
      </c>
      <c r="D126" s="25">
        <f>IF(A126="","",COUNTIF(Transaksi!$L$2:$L$3000,A126))</f>
        <v/>
      </c>
      <c r="E126" s="13">
        <f>IF(A126="","",SUMIFS(Transaksi!$G$2:$G$3000,Transaksi!$L$2:$L$3000,A126)+SUMIFS(Transaksi!$H$2:$H$3000,Transaksi!$L$2:$L$3000,A126)+SUMIFS(Transaksi!$I$2:$I$3000,Transaksi!$L$2:$L$3000,A126))</f>
        <v/>
      </c>
      <c r="F126" s="14">
        <f>IF(A126="","",SUMIFS(Transaksi!$J$2:$J$3000,Transaksi!$L$2:$L$3000,A126))</f>
        <v/>
      </c>
      <c r="G126" s="15">
        <f>IF(A126="","",E126-F126)</f>
        <v/>
      </c>
      <c r="H126" s="16">
        <f>IF(A126="","",SUMIFS(Transaksi!$G$2:$G$3000,Transaksi!$L$2:$L$3000,"&lt;="&amp;A126)+SUMIFS(Transaksi!$H$2:$H$3000,Transaksi!$L$2:$L$3000,"&lt;="&amp;A126)+SUMIFS(Transaksi!$I$2:$I$3000,Transaksi!$L$2:$L$3000,"&lt;="&amp;A126)-(SUMIFS(Transaksi!$J$2:$J$3000,Transaksi!$L$2:$L$3000,"&lt;="&amp;A126)))</f>
        <v/>
      </c>
    </row>
    <row r="127">
      <c r="A127" s="22">
        <f>IF(123&lt;=MAX(Transaksi!$L$2:$L$3000),MAX(Transaksi!$L$2:$L$3000)-122,"")</f>
        <v/>
      </c>
      <c r="B127" s="23">
        <f>IF(A127="","",INDEX(Transaksi!$B$2:$B$3000,MATCH(A127,Transaksi!$L$2:$L$3000,0)))</f>
        <v/>
      </c>
      <c r="C127" s="24">
        <f>IF(A127="","",CHOOSE(WEEKDAY(B127,2),"Isnin","Selasa","Rabu","Khamis","Jumaat","Sabtu","Ahad"))</f>
        <v/>
      </c>
      <c r="D127" s="25">
        <f>IF(A127="","",COUNTIF(Transaksi!$L$2:$L$3000,A127))</f>
        <v/>
      </c>
      <c r="E127" s="13">
        <f>IF(A127="","",SUMIFS(Transaksi!$G$2:$G$3000,Transaksi!$L$2:$L$3000,A127)+SUMIFS(Transaksi!$H$2:$H$3000,Transaksi!$L$2:$L$3000,A127)+SUMIFS(Transaksi!$I$2:$I$3000,Transaksi!$L$2:$L$3000,A127))</f>
        <v/>
      </c>
      <c r="F127" s="14">
        <f>IF(A127="","",SUMIFS(Transaksi!$J$2:$J$3000,Transaksi!$L$2:$L$3000,A127))</f>
        <v/>
      </c>
      <c r="G127" s="15">
        <f>IF(A127="","",E127-F127)</f>
        <v/>
      </c>
      <c r="H127" s="16">
        <f>IF(A127="","",SUMIFS(Transaksi!$G$2:$G$3000,Transaksi!$L$2:$L$3000,"&lt;="&amp;A127)+SUMIFS(Transaksi!$H$2:$H$3000,Transaksi!$L$2:$L$3000,"&lt;="&amp;A127)+SUMIFS(Transaksi!$I$2:$I$3000,Transaksi!$L$2:$L$3000,"&lt;="&amp;A127)-(SUMIFS(Transaksi!$J$2:$J$3000,Transaksi!$L$2:$L$3000,"&lt;="&amp;A127)))</f>
        <v/>
      </c>
    </row>
    <row r="128">
      <c r="A128" s="22">
        <f>IF(124&lt;=MAX(Transaksi!$L$2:$L$3000),MAX(Transaksi!$L$2:$L$3000)-123,"")</f>
        <v/>
      </c>
      <c r="B128" s="23">
        <f>IF(A128="","",INDEX(Transaksi!$B$2:$B$3000,MATCH(A128,Transaksi!$L$2:$L$3000,0)))</f>
        <v/>
      </c>
      <c r="C128" s="24">
        <f>IF(A128="","",CHOOSE(WEEKDAY(B128,2),"Isnin","Selasa","Rabu","Khamis","Jumaat","Sabtu","Ahad"))</f>
        <v/>
      </c>
      <c r="D128" s="25">
        <f>IF(A128="","",COUNTIF(Transaksi!$L$2:$L$3000,A128))</f>
        <v/>
      </c>
      <c r="E128" s="13">
        <f>IF(A128="","",SUMIFS(Transaksi!$G$2:$G$3000,Transaksi!$L$2:$L$3000,A128)+SUMIFS(Transaksi!$H$2:$H$3000,Transaksi!$L$2:$L$3000,A128)+SUMIFS(Transaksi!$I$2:$I$3000,Transaksi!$L$2:$L$3000,A128))</f>
        <v/>
      </c>
      <c r="F128" s="14">
        <f>IF(A128="","",SUMIFS(Transaksi!$J$2:$J$3000,Transaksi!$L$2:$L$3000,A128))</f>
        <v/>
      </c>
      <c r="G128" s="15">
        <f>IF(A128="","",E128-F128)</f>
        <v/>
      </c>
      <c r="H128" s="16">
        <f>IF(A128="","",SUMIFS(Transaksi!$G$2:$G$3000,Transaksi!$L$2:$L$3000,"&lt;="&amp;A128)+SUMIFS(Transaksi!$H$2:$H$3000,Transaksi!$L$2:$L$3000,"&lt;="&amp;A128)+SUMIFS(Transaksi!$I$2:$I$3000,Transaksi!$L$2:$L$3000,"&lt;="&amp;A128)-(SUMIFS(Transaksi!$J$2:$J$3000,Transaksi!$L$2:$L$3000,"&lt;="&amp;A128)))</f>
        <v/>
      </c>
    </row>
    <row r="129">
      <c r="A129" s="22">
        <f>IF(125&lt;=MAX(Transaksi!$L$2:$L$3000),MAX(Transaksi!$L$2:$L$3000)-124,"")</f>
        <v/>
      </c>
      <c r="B129" s="23">
        <f>IF(A129="","",INDEX(Transaksi!$B$2:$B$3000,MATCH(A129,Transaksi!$L$2:$L$3000,0)))</f>
        <v/>
      </c>
      <c r="C129" s="24">
        <f>IF(A129="","",CHOOSE(WEEKDAY(B129,2),"Isnin","Selasa","Rabu","Khamis","Jumaat","Sabtu","Ahad"))</f>
        <v/>
      </c>
      <c r="D129" s="25">
        <f>IF(A129="","",COUNTIF(Transaksi!$L$2:$L$3000,A129))</f>
        <v/>
      </c>
      <c r="E129" s="13">
        <f>IF(A129="","",SUMIFS(Transaksi!$G$2:$G$3000,Transaksi!$L$2:$L$3000,A129)+SUMIFS(Transaksi!$H$2:$H$3000,Transaksi!$L$2:$L$3000,A129)+SUMIFS(Transaksi!$I$2:$I$3000,Transaksi!$L$2:$L$3000,A129))</f>
        <v/>
      </c>
      <c r="F129" s="14">
        <f>IF(A129="","",SUMIFS(Transaksi!$J$2:$J$3000,Transaksi!$L$2:$L$3000,A129))</f>
        <v/>
      </c>
      <c r="G129" s="15">
        <f>IF(A129="","",E129-F129)</f>
        <v/>
      </c>
      <c r="H129" s="16">
        <f>IF(A129="","",SUMIFS(Transaksi!$G$2:$G$3000,Transaksi!$L$2:$L$3000,"&lt;="&amp;A129)+SUMIFS(Transaksi!$H$2:$H$3000,Transaksi!$L$2:$L$3000,"&lt;="&amp;A129)+SUMIFS(Transaksi!$I$2:$I$3000,Transaksi!$L$2:$L$3000,"&lt;="&amp;A129)-(SUMIFS(Transaksi!$J$2:$J$3000,Transaksi!$L$2:$L$3000,"&lt;="&amp;A129)))</f>
        <v/>
      </c>
    </row>
    <row r="130">
      <c r="A130" s="22">
        <f>IF(126&lt;=MAX(Transaksi!$L$2:$L$3000),MAX(Transaksi!$L$2:$L$3000)-125,"")</f>
        <v/>
      </c>
      <c r="B130" s="23">
        <f>IF(A130="","",INDEX(Transaksi!$B$2:$B$3000,MATCH(A130,Transaksi!$L$2:$L$3000,0)))</f>
        <v/>
      </c>
      <c r="C130" s="24">
        <f>IF(A130="","",CHOOSE(WEEKDAY(B130,2),"Isnin","Selasa","Rabu","Khamis","Jumaat","Sabtu","Ahad"))</f>
        <v/>
      </c>
      <c r="D130" s="25">
        <f>IF(A130="","",COUNTIF(Transaksi!$L$2:$L$3000,A130))</f>
        <v/>
      </c>
      <c r="E130" s="13">
        <f>IF(A130="","",SUMIFS(Transaksi!$G$2:$G$3000,Transaksi!$L$2:$L$3000,A130)+SUMIFS(Transaksi!$H$2:$H$3000,Transaksi!$L$2:$L$3000,A130)+SUMIFS(Transaksi!$I$2:$I$3000,Transaksi!$L$2:$L$3000,A130))</f>
        <v/>
      </c>
      <c r="F130" s="14">
        <f>IF(A130="","",SUMIFS(Transaksi!$J$2:$J$3000,Transaksi!$L$2:$L$3000,A130))</f>
        <v/>
      </c>
      <c r="G130" s="15">
        <f>IF(A130="","",E130-F130)</f>
        <v/>
      </c>
      <c r="H130" s="16">
        <f>IF(A130="","",SUMIFS(Transaksi!$G$2:$G$3000,Transaksi!$L$2:$L$3000,"&lt;="&amp;A130)+SUMIFS(Transaksi!$H$2:$H$3000,Transaksi!$L$2:$L$3000,"&lt;="&amp;A130)+SUMIFS(Transaksi!$I$2:$I$3000,Transaksi!$L$2:$L$3000,"&lt;="&amp;A130)-(SUMIFS(Transaksi!$J$2:$J$3000,Transaksi!$L$2:$L$3000,"&lt;="&amp;A130)))</f>
        <v/>
      </c>
    </row>
    <row r="131">
      <c r="A131" s="22">
        <f>IF(127&lt;=MAX(Transaksi!$L$2:$L$3000),MAX(Transaksi!$L$2:$L$3000)-126,"")</f>
        <v/>
      </c>
      <c r="B131" s="23">
        <f>IF(A131="","",INDEX(Transaksi!$B$2:$B$3000,MATCH(A131,Transaksi!$L$2:$L$3000,0)))</f>
        <v/>
      </c>
      <c r="C131" s="24">
        <f>IF(A131="","",CHOOSE(WEEKDAY(B131,2),"Isnin","Selasa","Rabu","Khamis","Jumaat","Sabtu","Ahad"))</f>
        <v/>
      </c>
      <c r="D131" s="25">
        <f>IF(A131="","",COUNTIF(Transaksi!$L$2:$L$3000,A131))</f>
        <v/>
      </c>
      <c r="E131" s="13">
        <f>IF(A131="","",SUMIFS(Transaksi!$G$2:$G$3000,Transaksi!$L$2:$L$3000,A131)+SUMIFS(Transaksi!$H$2:$H$3000,Transaksi!$L$2:$L$3000,A131)+SUMIFS(Transaksi!$I$2:$I$3000,Transaksi!$L$2:$L$3000,A131))</f>
        <v/>
      </c>
      <c r="F131" s="14">
        <f>IF(A131="","",SUMIFS(Transaksi!$J$2:$J$3000,Transaksi!$L$2:$L$3000,A131))</f>
        <v/>
      </c>
      <c r="G131" s="15">
        <f>IF(A131="","",E131-F131)</f>
        <v/>
      </c>
      <c r="H131" s="16">
        <f>IF(A131="","",SUMIFS(Transaksi!$G$2:$G$3000,Transaksi!$L$2:$L$3000,"&lt;="&amp;A131)+SUMIFS(Transaksi!$H$2:$H$3000,Transaksi!$L$2:$L$3000,"&lt;="&amp;A131)+SUMIFS(Transaksi!$I$2:$I$3000,Transaksi!$L$2:$L$3000,"&lt;="&amp;A131)-(SUMIFS(Transaksi!$J$2:$J$3000,Transaksi!$L$2:$L$3000,"&lt;="&amp;A131)))</f>
        <v/>
      </c>
    </row>
    <row r="132">
      <c r="A132" s="22">
        <f>IF(128&lt;=MAX(Transaksi!$L$2:$L$3000),MAX(Transaksi!$L$2:$L$3000)-127,"")</f>
        <v/>
      </c>
      <c r="B132" s="23">
        <f>IF(A132="","",INDEX(Transaksi!$B$2:$B$3000,MATCH(A132,Transaksi!$L$2:$L$3000,0)))</f>
        <v/>
      </c>
      <c r="C132" s="24">
        <f>IF(A132="","",CHOOSE(WEEKDAY(B132,2),"Isnin","Selasa","Rabu","Khamis","Jumaat","Sabtu","Ahad"))</f>
        <v/>
      </c>
      <c r="D132" s="25">
        <f>IF(A132="","",COUNTIF(Transaksi!$L$2:$L$3000,A132))</f>
        <v/>
      </c>
      <c r="E132" s="13">
        <f>IF(A132="","",SUMIFS(Transaksi!$G$2:$G$3000,Transaksi!$L$2:$L$3000,A132)+SUMIFS(Transaksi!$H$2:$H$3000,Transaksi!$L$2:$L$3000,A132)+SUMIFS(Transaksi!$I$2:$I$3000,Transaksi!$L$2:$L$3000,A132))</f>
        <v/>
      </c>
      <c r="F132" s="14">
        <f>IF(A132="","",SUMIFS(Transaksi!$J$2:$J$3000,Transaksi!$L$2:$L$3000,A132))</f>
        <v/>
      </c>
      <c r="G132" s="15">
        <f>IF(A132="","",E132-F132)</f>
        <v/>
      </c>
      <c r="H132" s="16">
        <f>IF(A132="","",SUMIFS(Transaksi!$G$2:$G$3000,Transaksi!$L$2:$L$3000,"&lt;="&amp;A132)+SUMIFS(Transaksi!$H$2:$H$3000,Transaksi!$L$2:$L$3000,"&lt;="&amp;A132)+SUMIFS(Transaksi!$I$2:$I$3000,Transaksi!$L$2:$L$3000,"&lt;="&amp;A132)-(SUMIFS(Transaksi!$J$2:$J$3000,Transaksi!$L$2:$L$3000,"&lt;="&amp;A132)))</f>
        <v/>
      </c>
    </row>
    <row r="133">
      <c r="A133" s="22">
        <f>IF(129&lt;=MAX(Transaksi!$L$2:$L$3000),MAX(Transaksi!$L$2:$L$3000)-128,"")</f>
        <v/>
      </c>
      <c r="B133" s="23">
        <f>IF(A133="","",INDEX(Transaksi!$B$2:$B$3000,MATCH(A133,Transaksi!$L$2:$L$3000,0)))</f>
        <v/>
      </c>
      <c r="C133" s="24">
        <f>IF(A133="","",CHOOSE(WEEKDAY(B133,2),"Isnin","Selasa","Rabu","Khamis","Jumaat","Sabtu","Ahad"))</f>
        <v/>
      </c>
      <c r="D133" s="25">
        <f>IF(A133="","",COUNTIF(Transaksi!$L$2:$L$3000,A133))</f>
        <v/>
      </c>
      <c r="E133" s="13">
        <f>IF(A133="","",SUMIFS(Transaksi!$G$2:$G$3000,Transaksi!$L$2:$L$3000,A133)+SUMIFS(Transaksi!$H$2:$H$3000,Transaksi!$L$2:$L$3000,A133)+SUMIFS(Transaksi!$I$2:$I$3000,Transaksi!$L$2:$L$3000,A133))</f>
        <v/>
      </c>
      <c r="F133" s="14">
        <f>IF(A133="","",SUMIFS(Transaksi!$J$2:$J$3000,Transaksi!$L$2:$L$3000,A133))</f>
        <v/>
      </c>
      <c r="G133" s="15">
        <f>IF(A133="","",E133-F133)</f>
        <v/>
      </c>
      <c r="H133" s="16">
        <f>IF(A133="","",SUMIFS(Transaksi!$G$2:$G$3000,Transaksi!$L$2:$L$3000,"&lt;="&amp;A133)+SUMIFS(Transaksi!$H$2:$H$3000,Transaksi!$L$2:$L$3000,"&lt;="&amp;A133)+SUMIFS(Transaksi!$I$2:$I$3000,Transaksi!$L$2:$L$3000,"&lt;="&amp;A133)-(SUMIFS(Transaksi!$J$2:$J$3000,Transaksi!$L$2:$L$3000,"&lt;="&amp;A133)))</f>
        <v/>
      </c>
    </row>
    <row r="134">
      <c r="A134" s="22">
        <f>IF(130&lt;=MAX(Transaksi!$L$2:$L$3000),MAX(Transaksi!$L$2:$L$3000)-129,"")</f>
        <v/>
      </c>
      <c r="B134" s="23">
        <f>IF(A134="","",INDEX(Transaksi!$B$2:$B$3000,MATCH(A134,Transaksi!$L$2:$L$3000,0)))</f>
        <v/>
      </c>
      <c r="C134" s="24">
        <f>IF(A134="","",CHOOSE(WEEKDAY(B134,2),"Isnin","Selasa","Rabu","Khamis","Jumaat","Sabtu","Ahad"))</f>
        <v/>
      </c>
      <c r="D134" s="25">
        <f>IF(A134="","",COUNTIF(Transaksi!$L$2:$L$3000,A134))</f>
        <v/>
      </c>
      <c r="E134" s="13">
        <f>IF(A134="","",SUMIFS(Transaksi!$G$2:$G$3000,Transaksi!$L$2:$L$3000,A134)+SUMIFS(Transaksi!$H$2:$H$3000,Transaksi!$L$2:$L$3000,A134)+SUMIFS(Transaksi!$I$2:$I$3000,Transaksi!$L$2:$L$3000,A134))</f>
        <v/>
      </c>
      <c r="F134" s="14">
        <f>IF(A134="","",SUMIFS(Transaksi!$J$2:$J$3000,Transaksi!$L$2:$L$3000,A134))</f>
        <v/>
      </c>
      <c r="G134" s="15">
        <f>IF(A134="","",E134-F134)</f>
        <v/>
      </c>
      <c r="H134" s="16">
        <f>IF(A134="","",SUMIFS(Transaksi!$G$2:$G$3000,Transaksi!$L$2:$L$3000,"&lt;="&amp;A134)+SUMIFS(Transaksi!$H$2:$H$3000,Transaksi!$L$2:$L$3000,"&lt;="&amp;A134)+SUMIFS(Transaksi!$I$2:$I$3000,Transaksi!$L$2:$L$3000,"&lt;="&amp;A134)-(SUMIFS(Transaksi!$J$2:$J$3000,Transaksi!$L$2:$L$3000,"&lt;="&amp;A134)))</f>
        <v/>
      </c>
    </row>
    <row r="135">
      <c r="A135" s="22">
        <f>IF(131&lt;=MAX(Transaksi!$L$2:$L$3000),MAX(Transaksi!$L$2:$L$3000)-130,"")</f>
        <v/>
      </c>
      <c r="B135" s="23">
        <f>IF(A135="","",INDEX(Transaksi!$B$2:$B$3000,MATCH(A135,Transaksi!$L$2:$L$3000,0)))</f>
        <v/>
      </c>
      <c r="C135" s="24">
        <f>IF(A135="","",CHOOSE(WEEKDAY(B135,2),"Isnin","Selasa","Rabu","Khamis","Jumaat","Sabtu","Ahad"))</f>
        <v/>
      </c>
      <c r="D135" s="25">
        <f>IF(A135="","",COUNTIF(Transaksi!$L$2:$L$3000,A135))</f>
        <v/>
      </c>
      <c r="E135" s="13">
        <f>IF(A135="","",SUMIFS(Transaksi!$G$2:$G$3000,Transaksi!$L$2:$L$3000,A135)+SUMIFS(Transaksi!$H$2:$H$3000,Transaksi!$L$2:$L$3000,A135)+SUMIFS(Transaksi!$I$2:$I$3000,Transaksi!$L$2:$L$3000,A135))</f>
        <v/>
      </c>
      <c r="F135" s="14">
        <f>IF(A135="","",SUMIFS(Transaksi!$J$2:$J$3000,Transaksi!$L$2:$L$3000,A135))</f>
        <v/>
      </c>
      <c r="G135" s="15">
        <f>IF(A135="","",E135-F135)</f>
        <v/>
      </c>
      <c r="H135" s="16">
        <f>IF(A135="","",SUMIFS(Transaksi!$G$2:$G$3000,Transaksi!$L$2:$L$3000,"&lt;="&amp;A135)+SUMIFS(Transaksi!$H$2:$H$3000,Transaksi!$L$2:$L$3000,"&lt;="&amp;A135)+SUMIFS(Transaksi!$I$2:$I$3000,Transaksi!$L$2:$L$3000,"&lt;="&amp;A135)-(SUMIFS(Transaksi!$J$2:$J$3000,Transaksi!$L$2:$L$3000,"&lt;="&amp;A135)))</f>
        <v/>
      </c>
    </row>
    <row r="136">
      <c r="A136" s="22">
        <f>IF(132&lt;=MAX(Transaksi!$L$2:$L$3000),MAX(Transaksi!$L$2:$L$3000)-131,"")</f>
        <v/>
      </c>
      <c r="B136" s="23">
        <f>IF(A136="","",INDEX(Transaksi!$B$2:$B$3000,MATCH(A136,Transaksi!$L$2:$L$3000,0)))</f>
        <v/>
      </c>
      <c r="C136" s="24">
        <f>IF(A136="","",CHOOSE(WEEKDAY(B136,2),"Isnin","Selasa","Rabu","Khamis","Jumaat","Sabtu","Ahad"))</f>
        <v/>
      </c>
      <c r="D136" s="25">
        <f>IF(A136="","",COUNTIF(Transaksi!$L$2:$L$3000,A136))</f>
        <v/>
      </c>
      <c r="E136" s="13">
        <f>IF(A136="","",SUMIFS(Transaksi!$G$2:$G$3000,Transaksi!$L$2:$L$3000,A136)+SUMIFS(Transaksi!$H$2:$H$3000,Transaksi!$L$2:$L$3000,A136)+SUMIFS(Transaksi!$I$2:$I$3000,Transaksi!$L$2:$L$3000,A136))</f>
        <v/>
      </c>
      <c r="F136" s="14">
        <f>IF(A136="","",SUMIFS(Transaksi!$J$2:$J$3000,Transaksi!$L$2:$L$3000,A136))</f>
        <v/>
      </c>
      <c r="G136" s="15">
        <f>IF(A136="","",E136-F136)</f>
        <v/>
      </c>
      <c r="H136" s="16">
        <f>IF(A136="","",SUMIFS(Transaksi!$G$2:$G$3000,Transaksi!$L$2:$L$3000,"&lt;="&amp;A136)+SUMIFS(Transaksi!$H$2:$H$3000,Transaksi!$L$2:$L$3000,"&lt;="&amp;A136)+SUMIFS(Transaksi!$I$2:$I$3000,Transaksi!$L$2:$L$3000,"&lt;="&amp;A136)-(SUMIFS(Transaksi!$J$2:$J$3000,Transaksi!$L$2:$L$3000,"&lt;="&amp;A136)))</f>
        <v/>
      </c>
    </row>
    <row r="137">
      <c r="A137" s="22">
        <f>IF(133&lt;=MAX(Transaksi!$L$2:$L$3000),MAX(Transaksi!$L$2:$L$3000)-132,"")</f>
        <v/>
      </c>
      <c r="B137" s="23">
        <f>IF(A137="","",INDEX(Transaksi!$B$2:$B$3000,MATCH(A137,Transaksi!$L$2:$L$3000,0)))</f>
        <v/>
      </c>
      <c r="C137" s="24">
        <f>IF(A137="","",CHOOSE(WEEKDAY(B137,2),"Isnin","Selasa","Rabu","Khamis","Jumaat","Sabtu","Ahad"))</f>
        <v/>
      </c>
      <c r="D137" s="25">
        <f>IF(A137="","",COUNTIF(Transaksi!$L$2:$L$3000,A137))</f>
        <v/>
      </c>
      <c r="E137" s="13">
        <f>IF(A137="","",SUMIFS(Transaksi!$G$2:$G$3000,Transaksi!$L$2:$L$3000,A137)+SUMIFS(Transaksi!$H$2:$H$3000,Transaksi!$L$2:$L$3000,A137)+SUMIFS(Transaksi!$I$2:$I$3000,Transaksi!$L$2:$L$3000,A137))</f>
        <v/>
      </c>
      <c r="F137" s="14">
        <f>IF(A137="","",SUMIFS(Transaksi!$J$2:$J$3000,Transaksi!$L$2:$L$3000,A137))</f>
        <v/>
      </c>
      <c r="G137" s="15">
        <f>IF(A137="","",E137-F137)</f>
        <v/>
      </c>
      <c r="H137" s="16">
        <f>IF(A137="","",SUMIFS(Transaksi!$G$2:$G$3000,Transaksi!$L$2:$L$3000,"&lt;="&amp;A137)+SUMIFS(Transaksi!$H$2:$H$3000,Transaksi!$L$2:$L$3000,"&lt;="&amp;A137)+SUMIFS(Transaksi!$I$2:$I$3000,Transaksi!$L$2:$L$3000,"&lt;="&amp;A137)-(SUMIFS(Transaksi!$J$2:$J$3000,Transaksi!$L$2:$L$3000,"&lt;="&amp;A137)))</f>
        <v/>
      </c>
    </row>
    <row r="138">
      <c r="A138" s="22">
        <f>IF(134&lt;=MAX(Transaksi!$L$2:$L$3000),MAX(Transaksi!$L$2:$L$3000)-133,"")</f>
        <v/>
      </c>
      <c r="B138" s="23">
        <f>IF(A138="","",INDEX(Transaksi!$B$2:$B$3000,MATCH(A138,Transaksi!$L$2:$L$3000,0)))</f>
        <v/>
      </c>
      <c r="C138" s="24">
        <f>IF(A138="","",CHOOSE(WEEKDAY(B138,2),"Isnin","Selasa","Rabu","Khamis","Jumaat","Sabtu","Ahad"))</f>
        <v/>
      </c>
      <c r="D138" s="25">
        <f>IF(A138="","",COUNTIF(Transaksi!$L$2:$L$3000,A138))</f>
        <v/>
      </c>
      <c r="E138" s="13">
        <f>IF(A138="","",SUMIFS(Transaksi!$G$2:$G$3000,Transaksi!$L$2:$L$3000,A138)+SUMIFS(Transaksi!$H$2:$H$3000,Transaksi!$L$2:$L$3000,A138)+SUMIFS(Transaksi!$I$2:$I$3000,Transaksi!$L$2:$L$3000,A138))</f>
        <v/>
      </c>
      <c r="F138" s="14">
        <f>IF(A138="","",SUMIFS(Transaksi!$J$2:$J$3000,Transaksi!$L$2:$L$3000,A138))</f>
        <v/>
      </c>
      <c r="G138" s="15">
        <f>IF(A138="","",E138-F138)</f>
        <v/>
      </c>
      <c r="H138" s="16">
        <f>IF(A138="","",SUMIFS(Transaksi!$G$2:$G$3000,Transaksi!$L$2:$L$3000,"&lt;="&amp;A138)+SUMIFS(Transaksi!$H$2:$H$3000,Transaksi!$L$2:$L$3000,"&lt;="&amp;A138)+SUMIFS(Transaksi!$I$2:$I$3000,Transaksi!$L$2:$L$3000,"&lt;="&amp;A138)-(SUMIFS(Transaksi!$J$2:$J$3000,Transaksi!$L$2:$L$3000,"&lt;="&amp;A138)))</f>
        <v/>
      </c>
    </row>
    <row r="139">
      <c r="A139" s="22">
        <f>IF(135&lt;=MAX(Transaksi!$L$2:$L$3000),MAX(Transaksi!$L$2:$L$3000)-134,"")</f>
        <v/>
      </c>
      <c r="B139" s="23">
        <f>IF(A139="","",INDEX(Transaksi!$B$2:$B$3000,MATCH(A139,Transaksi!$L$2:$L$3000,0)))</f>
        <v/>
      </c>
      <c r="C139" s="24">
        <f>IF(A139="","",CHOOSE(WEEKDAY(B139,2),"Isnin","Selasa","Rabu","Khamis","Jumaat","Sabtu","Ahad"))</f>
        <v/>
      </c>
      <c r="D139" s="25">
        <f>IF(A139="","",COUNTIF(Transaksi!$L$2:$L$3000,A139))</f>
        <v/>
      </c>
      <c r="E139" s="13">
        <f>IF(A139="","",SUMIFS(Transaksi!$G$2:$G$3000,Transaksi!$L$2:$L$3000,A139)+SUMIFS(Transaksi!$H$2:$H$3000,Transaksi!$L$2:$L$3000,A139)+SUMIFS(Transaksi!$I$2:$I$3000,Transaksi!$L$2:$L$3000,A139))</f>
        <v/>
      </c>
      <c r="F139" s="14">
        <f>IF(A139="","",SUMIFS(Transaksi!$J$2:$J$3000,Transaksi!$L$2:$L$3000,A139))</f>
        <v/>
      </c>
      <c r="G139" s="15">
        <f>IF(A139="","",E139-F139)</f>
        <v/>
      </c>
      <c r="H139" s="16">
        <f>IF(A139="","",SUMIFS(Transaksi!$G$2:$G$3000,Transaksi!$L$2:$L$3000,"&lt;="&amp;A139)+SUMIFS(Transaksi!$H$2:$H$3000,Transaksi!$L$2:$L$3000,"&lt;="&amp;A139)+SUMIFS(Transaksi!$I$2:$I$3000,Transaksi!$L$2:$L$3000,"&lt;="&amp;A139)-(SUMIFS(Transaksi!$J$2:$J$3000,Transaksi!$L$2:$L$3000,"&lt;="&amp;A139)))</f>
        <v/>
      </c>
    </row>
    <row r="140">
      <c r="A140" s="22">
        <f>IF(136&lt;=MAX(Transaksi!$L$2:$L$3000),MAX(Transaksi!$L$2:$L$3000)-135,"")</f>
        <v/>
      </c>
      <c r="B140" s="23">
        <f>IF(A140="","",INDEX(Transaksi!$B$2:$B$3000,MATCH(A140,Transaksi!$L$2:$L$3000,0)))</f>
        <v/>
      </c>
      <c r="C140" s="24">
        <f>IF(A140="","",CHOOSE(WEEKDAY(B140,2),"Isnin","Selasa","Rabu","Khamis","Jumaat","Sabtu","Ahad"))</f>
        <v/>
      </c>
      <c r="D140" s="25">
        <f>IF(A140="","",COUNTIF(Transaksi!$L$2:$L$3000,A140))</f>
        <v/>
      </c>
      <c r="E140" s="13">
        <f>IF(A140="","",SUMIFS(Transaksi!$G$2:$G$3000,Transaksi!$L$2:$L$3000,A140)+SUMIFS(Transaksi!$H$2:$H$3000,Transaksi!$L$2:$L$3000,A140)+SUMIFS(Transaksi!$I$2:$I$3000,Transaksi!$L$2:$L$3000,A140))</f>
        <v/>
      </c>
      <c r="F140" s="14">
        <f>IF(A140="","",SUMIFS(Transaksi!$J$2:$J$3000,Transaksi!$L$2:$L$3000,A140))</f>
        <v/>
      </c>
      <c r="G140" s="15">
        <f>IF(A140="","",E140-F140)</f>
        <v/>
      </c>
      <c r="H140" s="16">
        <f>IF(A140="","",SUMIFS(Transaksi!$G$2:$G$3000,Transaksi!$L$2:$L$3000,"&lt;="&amp;A140)+SUMIFS(Transaksi!$H$2:$H$3000,Transaksi!$L$2:$L$3000,"&lt;="&amp;A140)+SUMIFS(Transaksi!$I$2:$I$3000,Transaksi!$L$2:$L$3000,"&lt;="&amp;A140)-(SUMIFS(Transaksi!$J$2:$J$3000,Transaksi!$L$2:$L$3000,"&lt;="&amp;A140)))</f>
        <v/>
      </c>
    </row>
    <row r="141">
      <c r="A141" s="22">
        <f>IF(137&lt;=MAX(Transaksi!$L$2:$L$3000),MAX(Transaksi!$L$2:$L$3000)-136,"")</f>
        <v/>
      </c>
      <c r="B141" s="23">
        <f>IF(A141="","",INDEX(Transaksi!$B$2:$B$3000,MATCH(A141,Transaksi!$L$2:$L$3000,0)))</f>
        <v/>
      </c>
      <c r="C141" s="24">
        <f>IF(A141="","",CHOOSE(WEEKDAY(B141,2),"Isnin","Selasa","Rabu","Khamis","Jumaat","Sabtu","Ahad"))</f>
        <v/>
      </c>
      <c r="D141" s="25">
        <f>IF(A141="","",COUNTIF(Transaksi!$L$2:$L$3000,A141))</f>
        <v/>
      </c>
      <c r="E141" s="13">
        <f>IF(A141="","",SUMIFS(Transaksi!$G$2:$G$3000,Transaksi!$L$2:$L$3000,A141)+SUMIFS(Transaksi!$H$2:$H$3000,Transaksi!$L$2:$L$3000,A141)+SUMIFS(Transaksi!$I$2:$I$3000,Transaksi!$L$2:$L$3000,A141))</f>
        <v/>
      </c>
      <c r="F141" s="14">
        <f>IF(A141="","",SUMIFS(Transaksi!$J$2:$J$3000,Transaksi!$L$2:$L$3000,A141))</f>
        <v/>
      </c>
      <c r="G141" s="15">
        <f>IF(A141="","",E141-F141)</f>
        <v/>
      </c>
      <c r="H141" s="16">
        <f>IF(A141="","",SUMIFS(Transaksi!$G$2:$G$3000,Transaksi!$L$2:$L$3000,"&lt;="&amp;A141)+SUMIFS(Transaksi!$H$2:$H$3000,Transaksi!$L$2:$L$3000,"&lt;="&amp;A141)+SUMIFS(Transaksi!$I$2:$I$3000,Transaksi!$L$2:$L$3000,"&lt;="&amp;A141)-(SUMIFS(Transaksi!$J$2:$J$3000,Transaksi!$L$2:$L$3000,"&lt;="&amp;A141)))</f>
        <v/>
      </c>
    </row>
    <row r="142">
      <c r="A142" s="22">
        <f>IF(138&lt;=MAX(Transaksi!$L$2:$L$3000),MAX(Transaksi!$L$2:$L$3000)-137,"")</f>
        <v/>
      </c>
      <c r="B142" s="23">
        <f>IF(A142="","",INDEX(Transaksi!$B$2:$B$3000,MATCH(A142,Transaksi!$L$2:$L$3000,0)))</f>
        <v/>
      </c>
      <c r="C142" s="24">
        <f>IF(A142="","",CHOOSE(WEEKDAY(B142,2),"Isnin","Selasa","Rabu","Khamis","Jumaat","Sabtu","Ahad"))</f>
        <v/>
      </c>
      <c r="D142" s="25">
        <f>IF(A142="","",COUNTIF(Transaksi!$L$2:$L$3000,A142))</f>
        <v/>
      </c>
      <c r="E142" s="13">
        <f>IF(A142="","",SUMIFS(Transaksi!$G$2:$G$3000,Transaksi!$L$2:$L$3000,A142)+SUMIFS(Transaksi!$H$2:$H$3000,Transaksi!$L$2:$L$3000,A142)+SUMIFS(Transaksi!$I$2:$I$3000,Transaksi!$L$2:$L$3000,A142))</f>
        <v/>
      </c>
      <c r="F142" s="14">
        <f>IF(A142="","",SUMIFS(Transaksi!$J$2:$J$3000,Transaksi!$L$2:$L$3000,A142))</f>
        <v/>
      </c>
      <c r="G142" s="15">
        <f>IF(A142="","",E142-F142)</f>
        <v/>
      </c>
      <c r="H142" s="16">
        <f>IF(A142="","",SUMIFS(Transaksi!$G$2:$G$3000,Transaksi!$L$2:$L$3000,"&lt;="&amp;A142)+SUMIFS(Transaksi!$H$2:$H$3000,Transaksi!$L$2:$L$3000,"&lt;="&amp;A142)+SUMIFS(Transaksi!$I$2:$I$3000,Transaksi!$L$2:$L$3000,"&lt;="&amp;A142)-(SUMIFS(Transaksi!$J$2:$J$3000,Transaksi!$L$2:$L$3000,"&lt;="&amp;A142)))</f>
        <v/>
      </c>
    </row>
    <row r="143">
      <c r="A143" s="22">
        <f>IF(139&lt;=MAX(Transaksi!$L$2:$L$3000),MAX(Transaksi!$L$2:$L$3000)-138,"")</f>
        <v/>
      </c>
      <c r="B143" s="23">
        <f>IF(A143="","",INDEX(Transaksi!$B$2:$B$3000,MATCH(A143,Transaksi!$L$2:$L$3000,0)))</f>
        <v/>
      </c>
      <c r="C143" s="24">
        <f>IF(A143="","",CHOOSE(WEEKDAY(B143,2),"Isnin","Selasa","Rabu","Khamis","Jumaat","Sabtu","Ahad"))</f>
        <v/>
      </c>
      <c r="D143" s="25">
        <f>IF(A143="","",COUNTIF(Transaksi!$L$2:$L$3000,A143))</f>
        <v/>
      </c>
      <c r="E143" s="13">
        <f>IF(A143="","",SUMIFS(Transaksi!$G$2:$G$3000,Transaksi!$L$2:$L$3000,A143)+SUMIFS(Transaksi!$H$2:$H$3000,Transaksi!$L$2:$L$3000,A143)+SUMIFS(Transaksi!$I$2:$I$3000,Transaksi!$L$2:$L$3000,A143))</f>
        <v/>
      </c>
      <c r="F143" s="14">
        <f>IF(A143="","",SUMIFS(Transaksi!$J$2:$J$3000,Transaksi!$L$2:$L$3000,A143))</f>
        <v/>
      </c>
      <c r="G143" s="15">
        <f>IF(A143="","",E143-F143)</f>
        <v/>
      </c>
      <c r="H143" s="16">
        <f>IF(A143="","",SUMIFS(Transaksi!$G$2:$G$3000,Transaksi!$L$2:$L$3000,"&lt;="&amp;A143)+SUMIFS(Transaksi!$H$2:$H$3000,Transaksi!$L$2:$L$3000,"&lt;="&amp;A143)+SUMIFS(Transaksi!$I$2:$I$3000,Transaksi!$L$2:$L$3000,"&lt;="&amp;A143)-(SUMIFS(Transaksi!$J$2:$J$3000,Transaksi!$L$2:$L$3000,"&lt;="&amp;A143)))</f>
        <v/>
      </c>
    </row>
    <row r="144">
      <c r="A144" s="22">
        <f>IF(140&lt;=MAX(Transaksi!$L$2:$L$3000),MAX(Transaksi!$L$2:$L$3000)-139,"")</f>
        <v/>
      </c>
      <c r="B144" s="23">
        <f>IF(A144="","",INDEX(Transaksi!$B$2:$B$3000,MATCH(A144,Transaksi!$L$2:$L$3000,0)))</f>
        <v/>
      </c>
      <c r="C144" s="24">
        <f>IF(A144="","",CHOOSE(WEEKDAY(B144,2),"Isnin","Selasa","Rabu","Khamis","Jumaat","Sabtu","Ahad"))</f>
        <v/>
      </c>
      <c r="D144" s="25">
        <f>IF(A144="","",COUNTIF(Transaksi!$L$2:$L$3000,A144))</f>
        <v/>
      </c>
      <c r="E144" s="13">
        <f>IF(A144="","",SUMIFS(Transaksi!$G$2:$G$3000,Transaksi!$L$2:$L$3000,A144)+SUMIFS(Transaksi!$H$2:$H$3000,Transaksi!$L$2:$L$3000,A144)+SUMIFS(Transaksi!$I$2:$I$3000,Transaksi!$L$2:$L$3000,A144))</f>
        <v/>
      </c>
      <c r="F144" s="14">
        <f>IF(A144="","",SUMIFS(Transaksi!$J$2:$J$3000,Transaksi!$L$2:$L$3000,A144))</f>
        <v/>
      </c>
      <c r="G144" s="15">
        <f>IF(A144="","",E144-F144)</f>
        <v/>
      </c>
      <c r="H144" s="16">
        <f>IF(A144="","",SUMIFS(Transaksi!$G$2:$G$3000,Transaksi!$L$2:$L$3000,"&lt;="&amp;A144)+SUMIFS(Transaksi!$H$2:$H$3000,Transaksi!$L$2:$L$3000,"&lt;="&amp;A144)+SUMIFS(Transaksi!$I$2:$I$3000,Transaksi!$L$2:$L$3000,"&lt;="&amp;A144)-(SUMIFS(Transaksi!$J$2:$J$3000,Transaksi!$L$2:$L$3000,"&lt;="&amp;A144)))</f>
        <v/>
      </c>
    </row>
    <row r="145">
      <c r="A145" s="22">
        <f>IF(141&lt;=MAX(Transaksi!$L$2:$L$3000),MAX(Transaksi!$L$2:$L$3000)-140,"")</f>
        <v/>
      </c>
      <c r="B145" s="23">
        <f>IF(A145="","",INDEX(Transaksi!$B$2:$B$3000,MATCH(A145,Transaksi!$L$2:$L$3000,0)))</f>
        <v/>
      </c>
      <c r="C145" s="24">
        <f>IF(A145="","",CHOOSE(WEEKDAY(B145,2),"Isnin","Selasa","Rabu","Khamis","Jumaat","Sabtu","Ahad"))</f>
        <v/>
      </c>
      <c r="D145" s="25">
        <f>IF(A145="","",COUNTIF(Transaksi!$L$2:$L$3000,A145))</f>
        <v/>
      </c>
      <c r="E145" s="13">
        <f>IF(A145="","",SUMIFS(Transaksi!$G$2:$G$3000,Transaksi!$L$2:$L$3000,A145)+SUMIFS(Transaksi!$H$2:$H$3000,Transaksi!$L$2:$L$3000,A145)+SUMIFS(Transaksi!$I$2:$I$3000,Transaksi!$L$2:$L$3000,A145))</f>
        <v/>
      </c>
      <c r="F145" s="14">
        <f>IF(A145="","",SUMIFS(Transaksi!$J$2:$J$3000,Transaksi!$L$2:$L$3000,A145))</f>
        <v/>
      </c>
      <c r="G145" s="15">
        <f>IF(A145="","",E145-F145)</f>
        <v/>
      </c>
      <c r="H145" s="16">
        <f>IF(A145="","",SUMIFS(Transaksi!$G$2:$G$3000,Transaksi!$L$2:$L$3000,"&lt;="&amp;A145)+SUMIFS(Transaksi!$H$2:$H$3000,Transaksi!$L$2:$L$3000,"&lt;="&amp;A145)+SUMIFS(Transaksi!$I$2:$I$3000,Transaksi!$L$2:$L$3000,"&lt;="&amp;A145)-(SUMIFS(Transaksi!$J$2:$J$3000,Transaksi!$L$2:$L$3000,"&lt;="&amp;A145)))</f>
        <v/>
      </c>
    </row>
    <row r="146">
      <c r="A146" s="22">
        <f>IF(142&lt;=MAX(Transaksi!$L$2:$L$3000),MAX(Transaksi!$L$2:$L$3000)-141,"")</f>
        <v/>
      </c>
      <c r="B146" s="23">
        <f>IF(A146="","",INDEX(Transaksi!$B$2:$B$3000,MATCH(A146,Transaksi!$L$2:$L$3000,0)))</f>
        <v/>
      </c>
      <c r="C146" s="24">
        <f>IF(A146="","",CHOOSE(WEEKDAY(B146,2),"Isnin","Selasa","Rabu","Khamis","Jumaat","Sabtu","Ahad"))</f>
        <v/>
      </c>
      <c r="D146" s="25">
        <f>IF(A146="","",COUNTIF(Transaksi!$L$2:$L$3000,A146))</f>
        <v/>
      </c>
      <c r="E146" s="13">
        <f>IF(A146="","",SUMIFS(Transaksi!$G$2:$G$3000,Transaksi!$L$2:$L$3000,A146)+SUMIFS(Transaksi!$H$2:$H$3000,Transaksi!$L$2:$L$3000,A146)+SUMIFS(Transaksi!$I$2:$I$3000,Transaksi!$L$2:$L$3000,A146))</f>
        <v/>
      </c>
      <c r="F146" s="14">
        <f>IF(A146="","",SUMIFS(Transaksi!$J$2:$J$3000,Transaksi!$L$2:$L$3000,A146))</f>
        <v/>
      </c>
      <c r="G146" s="15">
        <f>IF(A146="","",E146-F146)</f>
        <v/>
      </c>
      <c r="H146" s="16">
        <f>IF(A146="","",SUMIFS(Transaksi!$G$2:$G$3000,Transaksi!$L$2:$L$3000,"&lt;="&amp;A146)+SUMIFS(Transaksi!$H$2:$H$3000,Transaksi!$L$2:$L$3000,"&lt;="&amp;A146)+SUMIFS(Transaksi!$I$2:$I$3000,Transaksi!$L$2:$L$3000,"&lt;="&amp;A146)-(SUMIFS(Transaksi!$J$2:$J$3000,Transaksi!$L$2:$L$3000,"&lt;="&amp;A146)))</f>
        <v/>
      </c>
    </row>
    <row r="147">
      <c r="A147" s="22">
        <f>IF(143&lt;=MAX(Transaksi!$L$2:$L$3000),MAX(Transaksi!$L$2:$L$3000)-142,"")</f>
        <v/>
      </c>
      <c r="B147" s="23">
        <f>IF(A147="","",INDEX(Transaksi!$B$2:$B$3000,MATCH(A147,Transaksi!$L$2:$L$3000,0)))</f>
        <v/>
      </c>
      <c r="C147" s="24">
        <f>IF(A147="","",CHOOSE(WEEKDAY(B147,2),"Isnin","Selasa","Rabu","Khamis","Jumaat","Sabtu","Ahad"))</f>
        <v/>
      </c>
      <c r="D147" s="25">
        <f>IF(A147="","",COUNTIF(Transaksi!$L$2:$L$3000,A147))</f>
        <v/>
      </c>
      <c r="E147" s="13">
        <f>IF(A147="","",SUMIFS(Transaksi!$G$2:$G$3000,Transaksi!$L$2:$L$3000,A147)+SUMIFS(Transaksi!$H$2:$H$3000,Transaksi!$L$2:$L$3000,A147)+SUMIFS(Transaksi!$I$2:$I$3000,Transaksi!$L$2:$L$3000,A147))</f>
        <v/>
      </c>
      <c r="F147" s="14">
        <f>IF(A147="","",SUMIFS(Transaksi!$J$2:$J$3000,Transaksi!$L$2:$L$3000,A147))</f>
        <v/>
      </c>
      <c r="G147" s="15">
        <f>IF(A147="","",E147-F147)</f>
        <v/>
      </c>
      <c r="H147" s="16">
        <f>IF(A147="","",SUMIFS(Transaksi!$G$2:$G$3000,Transaksi!$L$2:$L$3000,"&lt;="&amp;A147)+SUMIFS(Transaksi!$H$2:$H$3000,Transaksi!$L$2:$L$3000,"&lt;="&amp;A147)+SUMIFS(Transaksi!$I$2:$I$3000,Transaksi!$L$2:$L$3000,"&lt;="&amp;A147)-(SUMIFS(Transaksi!$J$2:$J$3000,Transaksi!$L$2:$L$3000,"&lt;="&amp;A147)))</f>
        <v/>
      </c>
    </row>
    <row r="148">
      <c r="A148" s="22">
        <f>IF(144&lt;=MAX(Transaksi!$L$2:$L$3000),MAX(Transaksi!$L$2:$L$3000)-143,"")</f>
        <v/>
      </c>
      <c r="B148" s="23">
        <f>IF(A148="","",INDEX(Transaksi!$B$2:$B$3000,MATCH(A148,Transaksi!$L$2:$L$3000,0)))</f>
        <v/>
      </c>
      <c r="C148" s="24">
        <f>IF(A148="","",CHOOSE(WEEKDAY(B148,2),"Isnin","Selasa","Rabu","Khamis","Jumaat","Sabtu","Ahad"))</f>
        <v/>
      </c>
      <c r="D148" s="25">
        <f>IF(A148="","",COUNTIF(Transaksi!$L$2:$L$3000,A148))</f>
        <v/>
      </c>
      <c r="E148" s="13">
        <f>IF(A148="","",SUMIFS(Transaksi!$G$2:$G$3000,Transaksi!$L$2:$L$3000,A148)+SUMIFS(Transaksi!$H$2:$H$3000,Transaksi!$L$2:$L$3000,A148)+SUMIFS(Transaksi!$I$2:$I$3000,Transaksi!$L$2:$L$3000,A148))</f>
        <v/>
      </c>
      <c r="F148" s="14">
        <f>IF(A148="","",SUMIFS(Transaksi!$J$2:$J$3000,Transaksi!$L$2:$L$3000,A148))</f>
        <v/>
      </c>
      <c r="G148" s="15">
        <f>IF(A148="","",E148-F148)</f>
        <v/>
      </c>
      <c r="H148" s="16">
        <f>IF(A148="","",SUMIFS(Transaksi!$G$2:$G$3000,Transaksi!$L$2:$L$3000,"&lt;="&amp;A148)+SUMIFS(Transaksi!$H$2:$H$3000,Transaksi!$L$2:$L$3000,"&lt;="&amp;A148)+SUMIFS(Transaksi!$I$2:$I$3000,Transaksi!$L$2:$L$3000,"&lt;="&amp;A148)-(SUMIFS(Transaksi!$J$2:$J$3000,Transaksi!$L$2:$L$3000,"&lt;="&amp;A148)))</f>
        <v/>
      </c>
    </row>
    <row r="149">
      <c r="A149" s="22">
        <f>IF(145&lt;=MAX(Transaksi!$L$2:$L$3000),MAX(Transaksi!$L$2:$L$3000)-144,"")</f>
        <v/>
      </c>
      <c r="B149" s="23">
        <f>IF(A149="","",INDEX(Transaksi!$B$2:$B$3000,MATCH(A149,Transaksi!$L$2:$L$3000,0)))</f>
        <v/>
      </c>
      <c r="C149" s="24">
        <f>IF(A149="","",CHOOSE(WEEKDAY(B149,2),"Isnin","Selasa","Rabu","Khamis","Jumaat","Sabtu","Ahad"))</f>
        <v/>
      </c>
      <c r="D149" s="25">
        <f>IF(A149="","",COUNTIF(Transaksi!$L$2:$L$3000,A149))</f>
        <v/>
      </c>
      <c r="E149" s="13">
        <f>IF(A149="","",SUMIFS(Transaksi!$G$2:$G$3000,Transaksi!$L$2:$L$3000,A149)+SUMIFS(Transaksi!$H$2:$H$3000,Transaksi!$L$2:$L$3000,A149)+SUMIFS(Transaksi!$I$2:$I$3000,Transaksi!$L$2:$L$3000,A149))</f>
        <v/>
      </c>
      <c r="F149" s="14">
        <f>IF(A149="","",SUMIFS(Transaksi!$J$2:$J$3000,Transaksi!$L$2:$L$3000,A149))</f>
        <v/>
      </c>
      <c r="G149" s="15">
        <f>IF(A149="","",E149-F149)</f>
        <v/>
      </c>
      <c r="H149" s="16">
        <f>IF(A149="","",SUMIFS(Transaksi!$G$2:$G$3000,Transaksi!$L$2:$L$3000,"&lt;="&amp;A149)+SUMIFS(Transaksi!$H$2:$H$3000,Transaksi!$L$2:$L$3000,"&lt;="&amp;A149)+SUMIFS(Transaksi!$I$2:$I$3000,Transaksi!$L$2:$L$3000,"&lt;="&amp;A149)-(SUMIFS(Transaksi!$J$2:$J$3000,Transaksi!$L$2:$L$3000,"&lt;="&amp;A149)))</f>
        <v/>
      </c>
    </row>
    <row r="150">
      <c r="A150" s="22">
        <f>IF(146&lt;=MAX(Transaksi!$L$2:$L$3000),MAX(Transaksi!$L$2:$L$3000)-145,"")</f>
        <v/>
      </c>
      <c r="B150" s="23">
        <f>IF(A150="","",INDEX(Transaksi!$B$2:$B$3000,MATCH(A150,Transaksi!$L$2:$L$3000,0)))</f>
        <v/>
      </c>
      <c r="C150" s="24">
        <f>IF(A150="","",CHOOSE(WEEKDAY(B150,2),"Isnin","Selasa","Rabu","Khamis","Jumaat","Sabtu","Ahad"))</f>
        <v/>
      </c>
      <c r="D150" s="25">
        <f>IF(A150="","",COUNTIF(Transaksi!$L$2:$L$3000,A150))</f>
        <v/>
      </c>
      <c r="E150" s="13">
        <f>IF(A150="","",SUMIFS(Transaksi!$G$2:$G$3000,Transaksi!$L$2:$L$3000,A150)+SUMIFS(Transaksi!$H$2:$H$3000,Transaksi!$L$2:$L$3000,A150)+SUMIFS(Transaksi!$I$2:$I$3000,Transaksi!$L$2:$L$3000,A150))</f>
        <v/>
      </c>
      <c r="F150" s="14">
        <f>IF(A150="","",SUMIFS(Transaksi!$J$2:$J$3000,Transaksi!$L$2:$L$3000,A150))</f>
        <v/>
      </c>
      <c r="G150" s="15">
        <f>IF(A150="","",E150-F150)</f>
        <v/>
      </c>
      <c r="H150" s="16">
        <f>IF(A150="","",SUMIFS(Transaksi!$G$2:$G$3000,Transaksi!$L$2:$L$3000,"&lt;="&amp;A150)+SUMIFS(Transaksi!$H$2:$H$3000,Transaksi!$L$2:$L$3000,"&lt;="&amp;A150)+SUMIFS(Transaksi!$I$2:$I$3000,Transaksi!$L$2:$L$3000,"&lt;="&amp;A150)-(SUMIFS(Transaksi!$J$2:$J$3000,Transaksi!$L$2:$L$3000,"&lt;="&amp;A150)))</f>
        <v/>
      </c>
    </row>
    <row r="151">
      <c r="A151" s="22">
        <f>IF(147&lt;=MAX(Transaksi!$L$2:$L$3000),MAX(Transaksi!$L$2:$L$3000)-146,"")</f>
        <v/>
      </c>
      <c r="B151" s="23">
        <f>IF(A151="","",INDEX(Transaksi!$B$2:$B$3000,MATCH(A151,Transaksi!$L$2:$L$3000,0)))</f>
        <v/>
      </c>
      <c r="C151" s="24">
        <f>IF(A151="","",CHOOSE(WEEKDAY(B151,2),"Isnin","Selasa","Rabu","Khamis","Jumaat","Sabtu","Ahad"))</f>
        <v/>
      </c>
      <c r="D151" s="25">
        <f>IF(A151="","",COUNTIF(Transaksi!$L$2:$L$3000,A151))</f>
        <v/>
      </c>
      <c r="E151" s="13">
        <f>IF(A151="","",SUMIFS(Transaksi!$G$2:$G$3000,Transaksi!$L$2:$L$3000,A151)+SUMIFS(Transaksi!$H$2:$H$3000,Transaksi!$L$2:$L$3000,A151)+SUMIFS(Transaksi!$I$2:$I$3000,Transaksi!$L$2:$L$3000,A151))</f>
        <v/>
      </c>
      <c r="F151" s="14">
        <f>IF(A151="","",SUMIFS(Transaksi!$J$2:$J$3000,Transaksi!$L$2:$L$3000,A151))</f>
        <v/>
      </c>
      <c r="G151" s="15">
        <f>IF(A151="","",E151-F151)</f>
        <v/>
      </c>
      <c r="H151" s="16">
        <f>IF(A151="","",SUMIFS(Transaksi!$G$2:$G$3000,Transaksi!$L$2:$L$3000,"&lt;="&amp;A151)+SUMIFS(Transaksi!$H$2:$H$3000,Transaksi!$L$2:$L$3000,"&lt;="&amp;A151)+SUMIFS(Transaksi!$I$2:$I$3000,Transaksi!$L$2:$L$3000,"&lt;="&amp;A151)-(SUMIFS(Transaksi!$J$2:$J$3000,Transaksi!$L$2:$L$3000,"&lt;="&amp;A151)))</f>
        <v/>
      </c>
    </row>
    <row r="152">
      <c r="A152" s="22">
        <f>IF(148&lt;=MAX(Transaksi!$L$2:$L$3000),MAX(Transaksi!$L$2:$L$3000)-147,"")</f>
        <v/>
      </c>
      <c r="B152" s="23">
        <f>IF(A152="","",INDEX(Transaksi!$B$2:$B$3000,MATCH(A152,Transaksi!$L$2:$L$3000,0)))</f>
        <v/>
      </c>
      <c r="C152" s="24">
        <f>IF(A152="","",CHOOSE(WEEKDAY(B152,2),"Isnin","Selasa","Rabu","Khamis","Jumaat","Sabtu","Ahad"))</f>
        <v/>
      </c>
      <c r="D152" s="25">
        <f>IF(A152="","",COUNTIF(Transaksi!$L$2:$L$3000,A152))</f>
        <v/>
      </c>
      <c r="E152" s="13">
        <f>IF(A152="","",SUMIFS(Transaksi!$G$2:$G$3000,Transaksi!$L$2:$L$3000,A152)+SUMIFS(Transaksi!$H$2:$H$3000,Transaksi!$L$2:$L$3000,A152)+SUMIFS(Transaksi!$I$2:$I$3000,Transaksi!$L$2:$L$3000,A152))</f>
        <v/>
      </c>
      <c r="F152" s="14">
        <f>IF(A152="","",SUMIFS(Transaksi!$J$2:$J$3000,Transaksi!$L$2:$L$3000,A152))</f>
        <v/>
      </c>
      <c r="G152" s="15">
        <f>IF(A152="","",E152-F152)</f>
        <v/>
      </c>
      <c r="H152" s="16">
        <f>IF(A152="","",SUMIFS(Transaksi!$G$2:$G$3000,Transaksi!$L$2:$L$3000,"&lt;="&amp;A152)+SUMIFS(Transaksi!$H$2:$H$3000,Transaksi!$L$2:$L$3000,"&lt;="&amp;A152)+SUMIFS(Transaksi!$I$2:$I$3000,Transaksi!$L$2:$L$3000,"&lt;="&amp;A152)-(SUMIFS(Transaksi!$J$2:$J$3000,Transaksi!$L$2:$L$3000,"&lt;="&amp;A152)))</f>
        <v/>
      </c>
    </row>
    <row r="153">
      <c r="A153" s="22">
        <f>IF(149&lt;=MAX(Transaksi!$L$2:$L$3000),MAX(Transaksi!$L$2:$L$3000)-148,"")</f>
        <v/>
      </c>
      <c r="B153" s="23">
        <f>IF(A153="","",INDEX(Transaksi!$B$2:$B$3000,MATCH(A153,Transaksi!$L$2:$L$3000,0)))</f>
        <v/>
      </c>
      <c r="C153" s="24">
        <f>IF(A153="","",CHOOSE(WEEKDAY(B153,2),"Isnin","Selasa","Rabu","Khamis","Jumaat","Sabtu","Ahad"))</f>
        <v/>
      </c>
      <c r="D153" s="25">
        <f>IF(A153="","",COUNTIF(Transaksi!$L$2:$L$3000,A153))</f>
        <v/>
      </c>
      <c r="E153" s="13">
        <f>IF(A153="","",SUMIFS(Transaksi!$G$2:$G$3000,Transaksi!$L$2:$L$3000,A153)+SUMIFS(Transaksi!$H$2:$H$3000,Transaksi!$L$2:$L$3000,A153)+SUMIFS(Transaksi!$I$2:$I$3000,Transaksi!$L$2:$L$3000,A153))</f>
        <v/>
      </c>
      <c r="F153" s="14">
        <f>IF(A153="","",SUMIFS(Transaksi!$J$2:$J$3000,Transaksi!$L$2:$L$3000,A153))</f>
        <v/>
      </c>
      <c r="G153" s="15">
        <f>IF(A153="","",E153-F153)</f>
        <v/>
      </c>
      <c r="H153" s="16">
        <f>IF(A153="","",SUMIFS(Transaksi!$G$2:$G$3000,Transaksi!$L$2:$L$3000,"&lt;="&amp;A153)+SUMIFS(Transaksi!$H$2:$H$3000,Transaksi!$L$2:$L$3000,"&lt;="&amp;A153)+SUMIFS(Transaksi!$I$2:$I$3000,Transaksi!$L$2:$L$3000,"&lt;="&amp;A153)-(SUMIFS(Transaksi!$J$2:$J$3000,Transaksi!$L$2:$L$3000,"&lt;="&amp;A153)))</f>
        <v/>
      </c>
    </row>
    <row r="154">
      <c r="A154" s="22">
        <f>IF(150&lt;=MAX(Transaksi!$L$2:$L$3000),MAX(Transaksi!$L$2:$L$3000)-149,"")</f>
        <v/>
      </c>
      <c r="B154" s="23">
        <f>IF(A154="","",INDEX(Transaksi!$B$2:$B$3000,MATCH(A154,Transaksi!$L$2:$L$3000,0)))</f>
        <v/>
      </c>
      <c r="C154" s="24">
        <f>IF(A154="","",CHOOSE(WEEKDAY(B154,2),"Isnin","Selasa","Rabu","Khamis","Jumaat","Sabtu","Ahad"))</f>
        <v/>
      </c>
      <c r="D154" s="25">
        <f>IF(A154="","",COUNTIF(Transaksi!$L$2:$L$3000,A154))</f>
        <v/>
      </c>
      <c r="E154" s="13">
        <f>IF(A154="","",SUMIFS(Transaksi!$G$2:$G$3000,Transaksi!$L$2:$L$3000,A154)+SUMIFS(Transaksi!$H$2:$H$3000,Transaksi!$L$2:$L$3000,A154)+SUMIFS(Transaksi!$I$2:$I$3000,Transaksi!$L$2:$L$3000,A154))</f>
        <v/>
      </c>
      <c r="F154" s="14">
        <f>IF(A154="","",SUMIFS(Transaksi!$J$2:$J$3000,Transaksi!$L$2:$L$3000,A154))</f>
        <v/>
      </c>
      <c r="G154" s="15">
        <f>IF(A154="","",E154-F154)</f>
        <v/>
      </c>
      <c r="H154" s="16">
        <f>IF(A154="","",SUMIFS(Transaksi!$G$2:$G$3000,Transaksi!$L$2:$L$3000,"&lt;="&amp;A154)+SUMIFS(Transaksi!$H$2:$H$3000,Transaksi!$L$2:$L$3000,"&lt;="&amp;A154)+SUMIFS(Transaksi!$I$2:$I$3000,Transaksi!$L$2:$L$3000,"&lt;="&amp;A154)-(SUMIFS(Transaksi!$J$2:$J$3000,Transaksi!$L$2:$L$3000,"&lt;="&amp;A154)))</f>
        <v/>
      </c>
    </row>
    <row r="155">
      <c r="A155" s="22">
        <f>IF(151&lt;=MAX(Transaksi!$L$2:$L$3000),MAX(Transaksi!$L$2:$L$3000)-150,"")</f>
        <v/>
      </c>
      <c r="B155" s="23">
        <f>IF(A155="","",INDEX(Transaksi!$B$2:$B$3000,MATCH(A155,Transaksi!$L$2:$L$3000,0)))</f>
        <v/>
      </c>
      <c r="C155" s="24">
        <f>IF(A155="","",CHOOSE(WEEKDAY(B155,2),"Isnin","Selasa","Rabu","Khamis","Jumaat","Sabtu","Ahad"))</f>
        <v/>
      </c>
      <c r="D155" s="25">
        <f>IF(A155="","",COUNTIF(Transaksi!$L$2:$L$3000,A155))</f>
        <v/>
      </c>
      <c r="E155" s="13">
        <f>IF(A155="","",SUMIFS(Transaksi!$G$2:$G$3000,Transaksi!$L$2:$L$3000,A155)+SUMIFS(Transaksi!$H$2:$H$3000,Transaksi!$L$2:$L$3000,A155)+SUMIFS(Transaksi!$I$2:$I$3000,Transaksi!$L$2:$L$3000,A155))</f>
        <v/>
      </c>
      <c r="F155" s="14">
        <f>IF(A155="","",SUMIFS(Transaksi!$J$2:$J$3000,Transaksi!$L$2:$L$3000,A155))</f>
        <v/>
      </c>
      <c r="G155" s="15">
        <f>IF(A155="","",E155-F155)</f>
        <v/>
      </c>
      <c r="H155" s="16">
        <f>IF(A155="","",SUMIFS(Transaksi!$G$2:$G$3000,Transaksi!$L$2:$L$3000,"&lt;="&amp;A155)+SUMIFS(Transaksi!$H$2:$H$3000,Transaksi!$L$2:$L$3000,"&lt;="&amp;A155)+SUMIFS(Transaksi!$I$2:$I$3000,Transaksi!$L$2:$L$3000,"&lt;="&amp;A155)-(SUMIFS(Transaksi!$J$2:$J$3000,Transaksi!$L$2:$L$3000,"&lt;="&amp;A155)))</f>
        <v/>
      </c>
    </row>
    <row r="156">
      <c r="A156" s="22">
        <f>IF(152&lt;=MAX(Transaksi!$L$2:$L$3000),MAX(Transaksi!$L$2:$L$3000)-151,"")</f>
        <v/>
      </c>
      <c r="B156" s="23">
        <f>IF(A156="","",INDEX(Transaksi!$B$2:$B$3000,MATCH(A156,Transaksi!$L$2:$L$3000,0)))</f>
        <v/>
      </c>
      <c r="C156" s="24">
        <f>IF(A156="","",CHOOSE(WEEKDAY(B156,2),"Isnin","Selasa","Rabu","Khamis","Jumaat","Sabtu","Ahad"))</f>
        <v/>
      </c>
      <c r="D156" s="25">
        <f>IF(A156="","",COUNTIF(Transaksi!$L$2:$L$3000,A156))</f>
        <v/>
      </c>
      <c r="E156" s="13">
        <f>IF(A156="","",SUMIFS(Transaksi!$G$2:$G$3000,Transaksi!$L$2:$L$3000,A156)+SUMIFS(Transaksi!$H$2:$H$3000,Transaksi!$L$2:$L$3000,A156)+SUMIFS(Transaksi!$I$2:$I$3000,Transaksi!$L$2:$L$3000,A156))</f>
        <v/>
      </c>
      <c r="F156" s="14">
        <f>IF(A156="","",SUMIFS(Transaksi!$J$2:$J$3000,Transaksi!$L$2:$L$3000,A156))</f>
        <v/>
      </c>
      <c r="G156" s="15">
        <f>IF(A156="","",E156-F156)</f>
        <v/>
      </c>
      <c r="H156" s="16">
        <f>IF(A156="","",SUMIFS(Transaksi!$G$2:$G$3000,Transaksi!$L$2:$L$3000,"&lt;="&amp;A156)+SUMIFS(Transaksi!$H$2:$H$3000,Transaksi!$L$2:$L$3000,"&lt;="&amp;A156)+SUMIFS(Transaksi!$I$2:$I$3000,Transaksi!$L$2:$L$3000,"&lt;="&amp;A156)-(SUMIFS(Transaksi!$J$2:$J$3000,Transaksi!$L$2:$L$3000,"&lt;="&amp;A156)))</f>
        <v/>
      </c>
    </row>
    <row r="157">
      <c r="A157" s="22">
        <f>IF(153&lt;=MAX(Transaksi!$L$2:$L$3000),MAX(Transaksi!$L$2:$L$3000)-152,"")</f>
        <v/>
      </c>
      <c r="B157" s="23">
        <f>IF(A157="","",INDEX(Transaksi!$B$2:$B$3000,MATCH(A157,Transaksi!$L$2:$L$3000,0)))</f>
        <v/>
      </c>
      <c r="C157" s="24">
        <f>IF(A157="","",CHOOSE(WEEKDAY(B157,2),"Isnin","Selasa","Rabu","Khamis","Jumaat","Sabtu","Ahad"))</f>
        <v/>
      </c>
      <c r="D157" s="25">
        <f>IF(A157="","",COUNTIF(Transaksi!$L$2:$L$3000,A157))</f>
        <v/>
      </c>
      <c r="E157" s="13">
        <f>IF(A157="","",SUMIFS(Transaksi!$G$2:$G$3000,Transaksi!$L$2:$L$3000,A157)+SUMIFS(Transaksi!$H$2:$H$3000,Transaksi!$L$2:$L$3000,A157)+SUMIFS(Transaksi!$I$2:$I$3000,Transaksi!$L$2:$L$3000,A157))</f>
        <v/>
      </c>
      <c r="F157" s="14">
        <f>IF(A157="","",SUMIFS(Transaksi!$J$2:$J$3000,Transaksi!$L$2:$L$3000,A157))</f>
        <v/>
      </c>
      <c r="G157" s="15">
        <f>IF(A157="","",E157-F157)</f>
        <v/>
      </c>
      <c r="H157" s="16">
        <f>IF(A157="","",SUMIFS(Transaksi!$G$2:$G$3000,Transaksi!$L$2:$L$3000,"&lt;="&amp;A157)+SUMIFS(Transaksi!$H$2:$H$3000,Transaksi!$L$2:$L$3000,"&lt;="&amp;A157)+SUMIFS(Transaksi!$I$2:$I$3000,Transaksi!$L$2:$L$3000,"&lt;="&amp;A157)-(SUMIFS(Transaksi!$J$2:$J$3000,Transaksi!$L$2:$L$3000,"&lt;="&amp;A157)))</f>
        <v/>
      </c>
    </row>
    <row r="158">
      <c r="A158" s="22">
        <f>IF(154&lt;=MAX(Transaksi!$L$2:$L$3000),MAX(Transaksi!$L$2:$L$3000)-153,"")</f>
        <v/>
      </c>
      <c r="B158" s="23">
        <f>IF(A158="","",INDEX(Transaksi!$B$2:$B$3000,MATCH(A158,Transaksi!$L$2:$L$3000,0)))</f>
        <v/>
      </c>
      <c r="C158" s="24">
        <f>IF(A158="","",CHOOSE(WEEKDAY(B158,2),"Isnin","Selasa","Rabu","Khamis","Jumaat","Sabtu","Ahad"))</f>
        <v/>
      </c>
      <c r="D158" s="25">
        <f>IF(A158="","",COUNTIF(Transaksi!$L$2:$L$3000,A158))</f>
        <v/>
      </c>
      <c r="E158" s="13">
        <f>IF(A158="","",SUMIFS(Transaksi!$G$2:$G$3000,Transaksi!$L$2:$L$3000,A158)+SUMIFS(Transaksi!$H$2:$H$3000,Transaksi!$L$2:$L$3000,A158)+SUMIFS(Transaksi!$I$2:$I$3000,Transaksi!$L$2:$L$3000,A158))</f>
        <v/>
      </c>
      <c r="F158" s="14">
        <f>IF(A158="","",SUMIFS(Transaksi!$J$2:$J$3000,Transaksi!$L$2:$L$3000,A158))</f>
        <v/>
      </c>
      <c r="G158" s="15">
        <f>IF(A158="","",E158-F158)</f>
        <v/>
      </c>
      <c r="H158" s="16">
        <f>IF(A158="","",SUMIFS(Transaksi!$G$2:$G$3000,Transaksi!$L$2:$L$3000,"&lt;="&amp;A158)+SUMIFS(Transaksi!$H$2:$H$3000,Transaksi!$L$2:$L$3000,"&lt;="&amp;A158)+SUMIFS(Transaksi!$I$2:$I$3000,Transaksi!$L$2:$L$3000,"&lt;="&amp;A158)-(SUMIFS(Transaksi!$J$2:$J$3000,Transaksi!$L$2:$L$3000,"&lt;="&amp;A158)))</f>
        <v/>
      </c>
    </row>
    <row r="159">
      <c r="A159" s="22">
        <f>IF(155&lt;=MAX(Transaksi!$L$2:$L$3000),MAX(Transaksi!$L$2:$L$3000)-154,"")</f>
        <v/>
      </c>
      <c r="B159" s="23">
        <f>IF(A159="","",INDEX(Transaksi!$B$2:$B$3000,MATCH(A159,Transaksi!$L$2:$L$3000,0)))</f>
        <v/>
      </c>
      <c r="C159" s="24">
        <f>IF(A159="","",CHOOSE(WEEKDAY(B159,2),"Isnin","Selasa","Rabu","Khamis","Jumaat","Sabtu","Ahad"))</f>
        <v/>
      </c>
      <c r="D159" s="25">
        <f>IF(A159="","",COUNTIF(Transaksi!$L$2:$L$3000,A159))</f>
        <v/>
      </c>
      <c r="E159" s="13">
        <f>IF(A159="","",SUMIFS(Transaksi!$G$2:$G$3000,Transaksi!$L$2:$L$3000,A159)+SUMIFS(Transaksi!$H$2:$H$3000,Transaksi!$L$2:$L$3000,A159)+SUMIFS(Transaksi!$I$2:$I$3000,Transaksi!$L$2:$L$3000,A159))</f>
        <v/>
      </c>
      <c r="F159" s="14">
        <f>IF(A159="","",SUMIFS(Transaksi!$J$2:$J$3000,Transaksi!$L$2:$L$3000,A159))</f>
        <v/>
      </c>
      <c r="G159" s="15">
        <f>IF(A159="","",E159-F159)</f>
        <v/>
      </c>
      <c r="H159" s="16">
        <f>IF(A159="","",SUMIFS(Transaksi!$G$2:$G$3000,Transaksi!$L$2:$L$3000,"&lt;="&amp;A159)+SUMIFS(Transaksi!$H$2:$H$3000,Transaksi!$L$2:$L$3000,"&lt;="&amp;A159)+SUMIFS(Transaksi!$I$2:$I$3000,Transaksi!$L$2:$L$3000,"&lt;="&amp;A159)-(SUMIFS(Transaksi!$J$2:$J$3000,Transaksi!$L$2:$L$3000,"&lt;="&amp;A159)))</f>
        <v/>
      </c>
    </row>
    <row r="160">
      <c r="A160" s="22">
        <f>IF(156&lt;=MAX(Transaksi!$L$2:$L$3000),MAX(Transaksi!$L$2:$L$3000)-155,"")</f>
        <v/>
      </c>
      <c r="B160" s="23">
        <f>IF(A160="","",INDEX(Transaksi!$B$2:$B$3000,MATCH(A160,Transaksi!$L$2:$L$3000,0)))</f>
        <v/>
      </c>
      <c r="C160" s="24">
        <f>IF(A160="","",CHOOSE(WEEKDAY(B160,2),"Isnin","Selasa","Rabu","Khamis","Jumaat","Sabtu","Ahad"))</f>
        <v/>
      </c>
      <c r="D160" s="25">
        <f>IF(A160="","",COUNTIF(Transaksi!$L$2:$L$3000,A160))</f>
        <v/>
      </c>
      <c r="E160" s="13">
        <f>IF(A160="","",SUMIFS(Transaksi!$G$2:$G$3000,Transaksi!$L$2:$L$3000,A160)+SUMIFS(Transaksi!$H$2:$H$3000,Transaksi!$L$2:$L$3000,A160)+SUMIFS(Transaksi!$I$2:$I$3000,Transaksi!$L$2:$L$3000,A160))</f>
        <v/>
      </c>
      <c r="F160" s="14">
        <f>IF(A160="","",SUMIFS(Transaksi!$J$2:$J$3000,Transaksi!$L$2:$L$3000,A160))</f>
        <v/>
      </c>
      <c r="G160" s="15">
        <f>IF(A160="","",E160-F160)</f>
        <v/>
      </c>
      <c r="H160" s="16">
        <f>IF(A160="","",SUMIFS(Transaksi!$G$2:$G$3000,Transaksi!$L$2:$L$3000,"&lt;="&amp;A160)+SUMIFS(Transaksi!$H$2:$H$3000,Transaksi!$L$2:$L$3000,"&lt;="&amp;A160)+SUMIFS(Transaksi!$I$2:$I$3000,Transaksi!$L$2:$L$3000,"&lt;="&amp;A160)-(SUMIFS(Transaksi!$J$2:$J$3000,Transaksi!$L$2:$L$3000,"&lt;="&amp;A160)))</f>
        <v/>
      </c>
    </row>
    <row r="161">
      <c r="A161" s="22">
        <f>IF(157&lt;=MAX(Transaksi!$L$2:$L$3000),MAX(Transaksi!$L$2:$L$3000)-156,"")</f>
        <v/>
      </c>
      <c r="B161" s="23">
        <f>IF(A161="","",INDEX(Transaksi!$B$2:$B$3000,MATCH(A161,Transaksi!$L$2:$L$3000,0)))</f>
        <v/>
      </c>
      <c r="C161" s="24">
        <f>IF(A161="","",CHOOSE(WEEKDAY(B161,2),"Isnin","Selasa","Rabu","Khamis","Jumaat","Sabtu","Ahad"))</f>
        <v/>
      </c>
      <c r="D161" s="25">
        <f>IF(A161="","",COUNTIF(Transaksi!$L$2:$L$3000,A161))</f>
        <v/>
      </c>
      <c r="E161" s="13">
        <f>IF(A161="","",SUMIFS(Transaksi!$G$2:$G$3000,Transaksi!$L$2:$L$3000,A161)+SUMIFS(Transaksi!$H$2:$H$3000,Transaksi!$L$2:$L$3000,A161)+SUMIFS(Transaksi!$I$2:$I$3000,Transaksi!$L$2:$L$3000,A161))</f>
        <v/>
      </c>
      <c r="F161" s="14">
        <f>IF(A161="","",SUMIFS(Transaksi!$J$2:$J$3000,Transaksi!$L$2:$L$3000,A161))</f>
        <v/>
      </c>
      <c r="G161" s="15">
        <f>IF(A161="","",E161-F161)</f>
        <v/>
      </c>
      <c r="H161" s="16">
        <f>IF(A161="","",SUMIFS(Transaksi!$G$2:$G$3000,Transaksi!$L$2:$L$3000,"&lt;="&amp;A161)+SUMIFS(Transaksi!$H$2:$H$3000,Transaksi!$L$2:$L$3000,"&lt;="&amp;A161)+SUMIFS(Transaksi!$I$2:$I$3000,Transaksi!$L$2:$L$3000,"&lt;="&amp;A161)-(SUMIFS(Transaksi!$J$2:$J$3000,Transaksi!$L$2:$L$3000,"&lt;="&amp;A161)))</f>
        <v/>
      </c>
    </row>
    <row r="162">
      <c r="A162" s="22">
        <f>IF(158&lt;=MAX(Transaksi!$L$2:$L$3000),MAX(Transaksi!$L$2:$L$3000)-157,"")</f>
        <v/>
      </c>
      <c r="B162" s="23">
        <f>IF(A162="","",INDEX(Transaksi!$B$2:$B$3000,MATCH(A162,Transaksi!$L$2:$L$3000,0)))</f>
        <v/>
      </c>
      <c r="C162" s="24">
        <f>IF(A162="","",CHOOSE(WEEKDAY(B162,2),"Isnin","Selasa","Rabu","Khamis","Jumaat","Sabtu","Ahad"))</f>
        <v/>
      </c>
      <c r="D162" s="25">
        <f>IF(A162="","",COUNTIF(Transaksi!$L$2:$L$3000,A162))</f>
        <v/>
      </c>
      <c r="E162" s="13">
        <f>IF(A162="","",SUMIFS(Transaksi!$G$2:$G$3000,Transaksi!$L$2:$L$3000,A162)+SUMIFS(Transaksi!$H$2:$H$3000,Transaksi!$L$2:$L$3000,A162)+SUMIFS(Transaksi!$I$2:$I$3000,Transaksi!$L$2:$L$3000,A162))</f>
        <v/>
      </c>
      <c r="F162" s="14">
        <f>IF(A162="","",SUMIFS(Transaksi!$J$2:$J$3000,Transaksi!$L$2:$L$3000,A162))</f>
        <v/>
      </c>
      <c r="G162" s="15">
        <f>IF(A162="","",E162-F162)</f>
        <v/>
      </c>
      <c r="H162" s="16">
        <f>IF(A162="","",SUMIFS(Transaksi!$G$2:$G$3000,Transaksi!$L$2:$L$3000,"&lt;="&amp;A162)+SUMIFS(Transaksi!$H$2:$H$3000,Transaksi!$L$2:$L$3000,"&lt;="&amp;A162)+SUMIFS(Transaksi!$I$2:$I$3000,Transaksi!$L$2:$L$3000,"&lt;="&amp;A162)-(SUMIFS(Transaksi!$J$2:$J$3000,Transaksi!$L$2:$L$3000,"&lt;="&amp;A162)))</f>
        <v/>
      </c>
    </row>
    <row r="163">
      <c r="A163" s="22">
        <f>IF(159&lt;=MAX(Transaksi!$L$2:$L$3000),MAX(Transaksi!$L$2:$L$3000)-158,"")</f>
        <v/>
      </c>
      <c r="B163" s="23">
        <f>IF(A163="","",INDEX(Transaksi!$B$2:$B$3000,MATCH(A163,Transaksi!$L$2:$L$3000,0)))</f>
        <v/>
      </c>
      <c r="C163" s="24">
        <f>IF(A163="","",CHOOSE(WEEKDAY(B163,2),"Isnin","Selasa","Rabu","Khamis","Jumaat","Sabtu","Ahad"))</f>
        <v/>
      </c>
      <c r="D163" s="25">
        <f>IF(A163="","",COUNTIF(Transaksi!$L$2:$L$3000,A163))</f>
        <v/>
      </c>
      <c r="E163" s="13">
        <f>IF(A163="","",SUMIFS(Transaksi!$G$2:$G$3000,Transaksi!$L$2:$L$3000,A163)+SUMIFS(Transaksi!$H$2:$H$3000,Transaksi!$L$2:$L$3000,A163)+SUMIFS(Transaksi!$I$2:$I$3000,Transaksi!$L$2:$L$3000,A163))</f>
        <v/>
      </c>
      <c r="F163" s="14">
        <f>IF(A163="","",SUMIFS(Transaksi!$J$2:$J$3000,Transaksi!$L$2:$L$3000,A163))</f>
        <v/>
      </c>
      <c r="G163" s="15">
        <f>IF(A163="","",E163-F163)</f>
        <v/>
      </c>
      <c r="H163" s="16">
        <f>IF(A163="","",SUMIFS(Transaksi!$G$2:$G$3000,Transaksi!$L$2:$L$3000,"&lt;="&amp;A163)+SUMIFS(Transaksi!$H$2:$H$3000,Transaksi!$L$2:$L$3000,"&lt;="&amp;A163)+SUMIFS(Transaksi!$I$2:$I$3000,Transaksi!$L$2:$L$3000,"&lt;="&amp;A163)-(SUMIFS(Transaksi!$J$2:$J$3000,Transaksi!$L$2:$L$3000,"&lt;="&amp;A163)))</f>
        <v/>
      </c>
    </row>
    <row r="164">
      <c r="A164" s="22">
        <f>IF(160&lt;=MAX(Transaksi!$L$2:$L$3000),MAX(Transaksi!$L$2:$L$3000)-159,"")</f>
        <v/>
      </c>
      <c r="B164" s="23">
        <f>IF(A164="","",INDEX(Transaksi!$B$2:$B$3000,MATCH(A164,Transaksi!$L$2:$L$3000,0)))</f>
        <v/>
      </c>
      <c r="C164" s="24">
        <f>IF(A164="","",CHOOSE(WEEKDAY(B164,2),"Isnin","Selasa","Rabu","Khamis","Jumaat","Sabtu","Ahad"))</f>
        <v/>
      </c>
      <c r="D164" s="25">
        <f>IF(A164="","",COUNTIF(Transaksi!$L$2:$L$3000,A164))</f>
        <v/>
      </c>
      <c r="E164" s="13">
        <f>IF(A164="","",SUMIFS(Transaksi!$G$2:$G$3000,Transaksi!$L$2:$L$3000,A164)+SUMIFS(Transaksi!$H$2:$H$3000,Transaksi!$L$2:$L$3000,A164)+SUMIFS(Transaksi!$I$2:$I$3000,Transaksi!$L$2:$L$3000,A164))</f>
        <v/>
      </c>
      <c r="F164" s="14">
        <f>IF(A164="","",SUMIFS(Transaksi!$J$2:$J$3000,Transaksi!$L$2:$L$3000,A164))</f>
        <v/>
      </c>
      <c r="G164" s="15">
        <f>IF(A164="","",E164-F164)</f>
        <v/>
      </c>
      <c r="H164" s="16">
        <f>IF(A164="","",SUMIFS(Transaksi!$G$2:$G$3000,Transaksi!$L$2:$L$3000,"&lt;="&amp;A164)+SUMIFS(Transaksi!$H$2:$H$3000,Transaksi!$L$2:$L$3000,"&lt;="&amp;A164)+SUMIFS(Transaksi!$I$2:$I$3000,Transaksi!$L$2:$L$3000,"&lt;="&amp;A164)-(SUMIFS(Transaksi!$J$2:$J$3000,Transaksi!$L$2:$L$3000,"&lt;="&amp;A164)))</f>
        <v/>
      </c>
    </row>
    <row r="165">
      <c r="A165" s="22">
        <f>IF(161&lt;=MAX(Transaksi!$L$2:$L$3000),MAX(Transaksi!$L$2:$L$3000)-160,"")</f>
        <v/>
      </c>
      <c r="B165" s="23">
        <f>IF(A165="","",INDEX(Transaksi!$B$2:$B$3000,MATCH(A165,Transaksi!$L$2:$L$3000,0)))</f>
        <v/>
      </c>
      <c r="C165" s="24">
        <f>IF(A165="","",CHOOSE(WEEKDAY(B165,2),"Isnin","Selasa","Rabu","Khamis","Jumaat","Sabtu","Ahad"))</f>
        <v/>
      </c>
      <c r="D165" s="25">
        <f>IF(A165="","",COUNTIF(Transaksi!$L$2:$L$3000,A165))</f>
        <v/>
      </c>
      <c r="E165" s="13">
        <f>IF(A165="","",SUMIFS(Transaksi!$G$2:$G$3000,Transaksi!$L$2:$L$3000,A165)+SUMIFS(Transaksi!$H$2:$H$3000,Transaksi!$L$2:$L$3000,A165)+SUMIFS(Transaksi!$I$2:$I$3000,Transaksi!$L$2:$L$3000,A165))</f>
        <v/>
      </c>
      <c r="F165" s="14">
        <f>IF(A165="","",SUMIFS(Transaksi!$J$2:$J$3000,Transaksi!$L$2:$L$3000,A165))</f>
        <v/>
      </c>
      <c r="G165" s="15">
        <f>IF(A165="","",E165-F165)</f>
        <v/>
      </c>
      <c r="H165" s="16">
        <f>IF(A165="","",SUMIFS(Transaksi!$G$2:$G$3000,Transaksi!$L$2:$L$3000,"&lt;="&amp;A165)+SUMIFS(Transaksi!$H$2:$H$3000,Transaksi!$L$2:$L$3000,"&lt;="&amp;A165)+SUMIFS(Transaksi!$I$2:$I$3000,Transaksi!$L$2:$L$3000,"&lt;="&amp;A165)-(SUMIFS(Transaksi!$J$2:$J$3000,Transaksi!$L$2:$L$3000,"&lt;="&amp;A165)))</f>
        <v/>
      </c>
    </row>
    <row r="166">
      <c r="A166" s="22">
        <f>IF(162&lt;=MAX(Transaksi!$L$2:$L$3000),MAX(Transaksi!$L$2:$L$3000)-161,"")</f>
        <v/>
      </c>
      <c r="B166" s="23">
        <f>IF(A166="","",INDEX(Transaksi!$B$2:$B$3000,MATCH(A166,Transaksi!$L$2:$L$3000,0)))</f>
        <v/>
      </c>
      <c r="C166" s="24">
        <f>IF(A166="","",CHOOSE(WEEKDAY(B166,2),"Isnin","Selasa","Rabu","Khamis","Jumaat","Sabtu","Ahad"))</f>
        <v/>
      </c>
      <c r="D166" s="25">
        <f>IF(A166="","",COUNTIF(Transaksi!$L$2:$L$3000,A166))</f>
        <v/>
      </c>
      <c r="E166" s="13">
        <f>IF(A166="","",SUMIFS(Transaksi!$G$2:$G$3000,Transaksi!$L$2:$L$3000,A166)+SUMIFS(Transaksi!$H$2:$H$3000,Transaksi!$L$2:$L$3000,A166)+SUMIFS(Transaksi!$I$2:$I$3000,Transaksi!$L$2:$L$3000,A166))</f>
        <v/>
      </c>
      <c r="F166" s="14">
        <f>IF(A166="","",SUMIFS(Transaksi!$J$2:$J$3000,Transaksi!$L$2:$L$3000,A166))</f>
        <v/>
      </c>
      <c r="G166" s="15">
        <f>IF(A166="","",E166-F166)</f>
        <v/>
      </c>
      <c r="H166" s="16">
        <f>IF(A166="","",SUMIFS(Transaksi!$G$2:$G$3000,Transaksi!$L$2:$L$3000,"&lt;="&amp;A166)+SUMIFS(Transaksi!$H$2:$H$3000,Transaksi!$L$2:$L$3000,"&lt;="&amp;A166)+SUMIFS(Transaksi!$I$2:$I$3000,Transaksi!$L$2:$L$3000,"&lt;="&amp;A166)-(SUMIFS(Transaksi!$J$2:$J$3000,Transaksi!$L$2:$L$3000,"&lt;="&amp;A166)))</f>
        <v/>
      </c>
    </row>
    <row r="167">
      <c r="A167" s="22">
        <f>IF(163&lt;=MAX(Transaksi!$L$2:$L$3000),MAX(Transaksi!$L$2:$L$3000)-162,"")</f>
        <v/>
      </c>
      <c r="B167" s="23">
        <f>IF(A167="","",INDEX(Transaksi!$B$2:$B$3000,MATCH(A167,Transaksi!$L$2:$L$3000,0)))</f>
        <v/>
      </c>
      <c r="C167" s="24">
        <f>IF(A167="","",CHOOSE(WEEKDAY(B167,2),"Isnin","Selasa","Rabu","Khamis","Jumaat","Sabtu","Ahad"))</f>
        <v/>
      </c>
      <c r="D167" s="25">
        <f>IF(A167="","",COUNTIF(Transaksi!$L$2:$L$3000,A167))</f>
        <v/>
      </c>
      <c r="E167" s="13">
        <f>IF(A167="","",SUMIFS(Transaksi!$G$2:$G$3000,Transaksi!$L$2:$L$3000,A167)+SUMIFS(Transaksi!$H$2:$H$3000,Transaksi!$L$2:$L$3000,A167)+SUMIFS(Transaksi!$I$2:$I$3000,Transaksi!$L$2:$L$3000,A167))</f>
        <v/>
      </c>
      <c r="F167" s="14">
        <f>IF(A167="","",SUMIFS(Transaksi!$J$2:$J$3000,Transaksi!$L$2:$L$3000,A167))</f>
        <v/>
      </c>
      <c r="G167" s="15">
        <f>IF(A167="","",E167-F167)</f>
        <v/>
      </c>
      <c r="H167" s="16">
        <f>IF(A167="","",SUMIFS(Transaksi!$G$2:$G$3000,Transaksi!$L$2:$L$3000,"&lt;="&amp;A167)+SUMIFS(Transaksi!$H$2:$H$3000,Transaksi!$L$2:$L$3000,"&lt;="&amp;A167)+SUMIFS(Transaksi!$I$2:$I$3000,Transaksi!$L$2:$L$3000,"&lt;="&amp;A167)-(SUMIFS(Transaksi!$J$2:$J$3000,Transaksi!$L$2:$L$3000,"&lt;="&amp;A167)))</f>
        <v/>
      </c>
    </row>
    <row r="168">
      <c r="A168" s="22">
        <f>IF(164&lt;=MAX(Transaksi!$L$2:$L$3000),MAX(Transaksi!$L$2:$L$3000)-163,"")</f>
        <v/>
      </c>
      <c r="B168" s="23">
        <f>IF(A168="","",INDEX(Transaksi!$B$2:$B$3000,MATCH(A168,Transaksi!$L$2:$L$3000,0)))</f>
        <v/>
      </c>
      <c r="C168" s="24">
        <f>IF(A168="","",CHOOSE(WEEKDAY(B168,2),"Isnin","Selasa","Rabu","Khamis","Jumaat","Sabtu","Ahad"))</f>
        <v/>
      </c>
      <c r="D168" s="25">
        <f>IF(A168="","",COUNTIF(Transaksi!$L$2:$L$3000,A168))</f>
        <v/>
      </c>
      <c r="E168" s="13">
        <f>IF(A168="","",SUMIFS(Transaksi!$G$2:$G$3000,Transaksi!$L$2:$L$3000,A168)+SUMIFS(Transaksi!$H$2:$H$3000,Transaksi!$L$2:$L$3000,A168)+SUMIFS(Transaksi!$I$2:$I$3000,Transaksi!$L$2:$L$3000,A168))</f>
        <v/>
      </c>
      <c r="F168" s="14">
        <f>IF(A168="","",SUMIFS(Transaksi!$J$2:$J$3000,Transaksi!$L$2:$L$3000,A168))</f>
        <v/>
      </c>
      <c r="G168" s="15">
        <f>IF(A168="","",E168-F168)</f>
        <v/>
      </c>
      <c r="H168" s="16">
        <f>IF(A168="","",SUMIFS(Transaksi!$G$2:$G$3000,Transaksi!$L$2:$L$3000,"&lt;="&amp;A168)+SUMIFS(Transaksi!$H$2:$H$3000,Transaksi!$L$2:$L$3000,"&lt;="&amp;A168)+SUMIFS(Transaksi!$I$2:$I$3000,Transaksi!$L$2:$L$3000,"&lt;="&amp;A168)-(SUMIFS(Transaksi!$J$2:$J$3000,Transaksi!$L$2:$L$3000,"&lt;="&amp;A168)))</f>
        <v/>
      </c>
    </row>
    <row r="169">
      <c r="A169" s="22">
        <f>IF(165&lt;=MAX(Transaksi!$L$2:$L$3000),MAX(Transaksi!$L$2:$L$3000)-164,"")</f>
        <v/>
      </c>
      <c r="B169" s="23">
        <f>IF(A169="","",INDEX(Transaksi!$B$2:$B$3000,MATCH(A169,Transaksi!$L$2:$L$3000,0)))</f>
        <v/>
      </c>
      <c r="C169" s="24">
        <f>IF(A169="","",CHOOSE(WEEKDAY(B169,2),"Isnin","Selasa","Rabu","Khamis","Jumaat","Sabtu","Ahad"))</f>
        <v/>
      </c>
      <c r="D169" s="25">
        <f>IF(A169="","",COUNTIF(Transaksi!$L$2:$L$3000,A169))</f>
        <v/>
      </c>
      <c r="E169" s="13">
        <f>IF(A169="","",SUMIFS(Transaksi!$G$2:$G$3000,Transaksi!$L$2:$L$3000,A169)+SUMIFS(Transaksi!$H$2:$H$3000,Transaksi!$L$2:$L$3000,A169)+SUMIFS(Transaksi!$I$2:$I$3000,Transaksi!$L$2:$L$3000,A169))</f>
        <v/>
      </c>
      <c r="F169" s="14">
        <f>IF(A169="","",SUMIFS(Transaksi!$J$2:$J$3000,Transaksi!$L$2:$L$3000,A169))</f>
        <v/>
      </c>
      <c r="G169" s="15">
        <f>IF(A169="","",E169-F169)</f>
        <v/>
      </c>
      <c r="H169" s="16">
        <f>IF(A169="","",SUMIFS(Transaksi!$G$2:$G$3000,Transaksi!$L$2:$L$3000,"&lt;="&amp;A169)+SUMIFS(Transaksi!$H$2:$H$3000,Transaksi!$L$2:$L$3000,"&lt;="&amp;A169)+SUMIFS(Transaksi!$I$2:$I$3000,Transaksi!$L$2:$L$3000,"&lt;="&amp;A169)-(SUMIFS(Transaksi!$J$2:$J$3000,Transaksi!$L$2:$L$3000,"&lt;="&amp;A169)))</f>
        <v/>
      </c>
    </row>
    <row r="170">
      <c r="A170" s="22">
        <f>IF(166&lt;=MAX(Transaksi!$L$2:$L$3000),MAX(Transaksi!$L$2:$L$3000)-165,"")</f>
        <v/>
      </c>
      <c r="B170" s="23">
        <f>IF(A170="","",INDEX(Transaksi!$B$2:$B$3000,MATCH(A170,Transaksi!$L$2:$L$3000,0)))</f>
        <v/>
      </c>
      <c r="C170" s="24">
        <f>IF(A170="","",CHOOSE(WEEKDAY(B170,2),"Isnin","Selasa","Rabu","Khamis","Jumaat","Sabtu","Ahad"))</f>
        <v/>
      </c>
      <c r="D170" s="25">
        <f>IF(A170="","",COUNTIF(Transaksi!$L$2:$L$3000,A170))</f>
        <v/>
      </c>
      <c r="E170" s="13">
        <f>IF(A170="","",SUMIFS(Transaksi!$G$2:$G$3000,Transaksi!$L$2:$L$3000,A170)+SUMIFS(Transaksi!$H$2:$H$3000,Transaksi!$L$2:$L$3000,A170)+SUMIFS(Transaksi!$I$2:$I$3000,Transaksi!$L$2:$L$3000,A170))</f>
        <v/>
      </c>
      <c r="F170" s="14">
        <f>IF(A170="","",SUMIFS(Transaksi!$J$2:$J$3000,Transaksi!$L$2:$L$3000,A170))</f>
        <v/>
      </c>
      <c r="G170" s="15">
        <f>IF(A170="","",E170-F170)</f>
        <v/>
      </c>
      <c r="H170" s="16">
        <f>IF(A170="","",SUMIFS(Transaksi!$G$2:$G$3000,Transaksi!$L$2:$L$3000,"&lt;="&amp;A170)+SUMIFS(Transaksi!$H$2:$H$3000,Transaksi!$L$2:$L$3000,"&lt;="&amp;A170)+SUMIFS(Transaksi!$I$2:$I$3000,Transaksi!$L$2:$L$3000,"&lt;="&amp;A170)-(SUMIFS(Transaksi!$J$2:$J$3000,Transaksi!$L$2:$L$3000,"&lt;="&amp;A170)))</f>
        <v/>
      </c>
    </row>
    <row r="171">
      <c r="A171" s="22">
        <f>IF(167&lt;=MAX(Transaksi!$L$2:$L$3000),MAX(Transaksi!$L$2:$L$3000)-166,"")</f>
        <v/>
      </c>
      <c r="B171" s="23">
        <f>IF(A171="","",INDEX(Transaksi!$B$2:$B$3000,MATCH(A171,Transaksi!$L$2:$L$3000,0)))</f>
        <v/>
      </c>
      <c r="C171" s="24">
        <f>IF(A171="","",CHOOSE(WEEKDAY(B171,2),"Isnin","Selasa","Rabu","Khamis","Jumaat","Sabtu","Ahad"))</f>
        <v/>
      </c>
      <c r="D171" s="25">
        <f>IF(A171="","",COUNTIF(Transaksi!$L$2:$L$3000,A171))</f>
        <v/>
      </c>
      <c r="E171" s="13">
        <f>IF(A171="","",SUMIFS(Transaksi!$G$2:$G$3000,Transaksi!$L$2:$L$3000,A171)+SUMIFS(Transaksi!$H$2:$H$3000,Transaksi!$L$2:$L$3000,A171)+SUMIFS(Transaksi!$I$2:$I$3000,Transaksi!$L$2:$L$3000,A171))</f>
        <v/>
      </c>
      <c r="F171" s="14">
        <f>IF(A171="","",SUMIFS(Transaksi!$J$2:$J$3000,Transaksi!$L$2:$L$3000,A171))</f>
        <v/>
      </c>
      <c r="G171" s="15">
        <f>IF(A171="","",E171-F171)</f>
        <v/>
      </c>
      <c r="H171" s="16">
        <f>IF(A171="","",SUMIFS(Transaksi!$G$2:$G$3000,Transaksi!$L$2:$L$3000,"&lt;="&amp;A171)+SUMIFS(Transaksi!$H$2:$H$3000,Transaksi!$L$2:$L$3000,"&lt;="&amp;A171)+SUMIFS(Transaksi!$I$2:$I$3000,Transaksi!$L$2:$L$3000,"&lt;="&amp;A171)-(SUMIFS(Transaksi!$J$2:$J$3000,Transaksi!$L$2:$L$3000,"&lt;="&amp;A171)))</f>
        <v/>
      </c>
    </row>
    <row r="172">
      <c r="A172" s="22">
        <f>IF(168&lt;=MAX(Transaksi!$L$2:$L$3000),MAX(Transaksi!$L$2:$L$3000)-167,"")</f>
        <v/>
      </c>
      <c r="B172" s="23">
        <f>IF(A172="","",INDEX(Transaksi!$B$2:$B$3000,MATCH(A172,Transaksi!$L$2:$L$3000,0)))</f>
        <v/>
      </c>
      <c r="C172" s="24">
        <f>IF(A172="","",CHOOSE(WEEKDAY(B172,2),"Isnin","Selasa","Rabu","Khamis","Jumaat","Sabtu","Ahad"))</f>
        <v/>
      </c>
      <c r="D172" s="25">
        <f>IF(A172="","",COUNTIF(Transaksi!$L$2:$L$3000,A172))</f>
        <v/>
      </c>
      <c r="E172" s="13">
        <f>IF(A172="","",SUMIFS(Transaksi!$G$2:$G$3000,Transaksi!$L$2:$L$3000,A172)+SUMIFS(Transaksi!$H$2:$H$3000,Transaksi!$L$2:$L$3000,A172)+SUMIFS(Transaksi!$I$2:$I$3000,Transaksi!$L$2:$L$3000,A172))</f>
        <v/>
      </c>
      <c r="F172" s="14">
        <f>IF(A172="","",SUMIFS(Transaksi!$J$2:$J$3000,Transaksi!$L$2:$L$3000,A172))</f>
        <v/>
      </c>
      <c r="G172" s="15">
        <f>IF(A172="","",E172-F172)</f>
        <v/>
      </c>
      <c r="H172" s="16">
        <f>IF(A172="","",SUMIFS(Transaksi!$G$2:$G$3000,Transaksi!$L$2:$L$3000,"&lt;="&amp;A172)+SUMIFS(Transaksi!$H$2:$H$3000,Transaksi!$L$2:$L$3000,"&lt;="&amp;A172)+SUMIFS(Transaksi!$I$2:$I$3000,Transaksi!$L$2:$L$3000,"&lt;="&amp;A172)-(SUMIFS(Transaksi!$J$2:$J$3000,Transaksi!$L$2:$L$3000,"&lt;="&amp;A172)))</f>
        <v/>
      </c>
    </row>
    <row r="173">
      <c r="A173" s="22">
        <f>IF(169&lt;=MAX(Transaksi!$L$2:$L$3000),MAX(Transaksi!$L$2:$L$3000)-168,"")</f>
        <v/>
      </c>
      <c r="B173" s="23">
        <f>IF(A173="","",INDEX(Transaksi!$B$2:$B$3000,MATCH(A173,Transaksi!$L$2:$L$3000,0)))</f>
        <v/>
      </c>
      <c r="C173" s="24">
        <f>IF(A173="","",CHOOSE(WEEKDAY(B173,2),"Isnin","Selasa","Rabu","Khamis","Jumaat","Sabtu","Ahad"))</f>
        <v/>
      </c>
      <c r="D173" s="25">
        <f>IF(A173="","",COUNTIF(Transaksi!$L$2:$L$3000,A173))</f>
        <v/>
      </c>
      <c r="E173" s="13">
        <f>IF(A173="","",SUMIFS(Transaksi!$G$2:$G$3000,Transaksi!$L$2:$L$3000,A173)+SUMIFS(Transaksi!$H$2:$H$3000,Transaksi!$L$2:$L$3000,A173)+SUMIFS(Transaksi!$I$2:$I$3000,Transaksi!$L$2:$L$3000,A173))</f>
        <v/>
      </c>
      <c r="F173" s="14">
        <f>IF(A173="","",SUMIFS(Transaksi!$J$2:$J$3000,Transaksi!$L$2:$L$3000,A173))</f>
        <v/>
      </c>
      <c r="G173" s="15">
        <f>IF(A173="","",E173-F173)</f>
        <v/>
      </c>
      <c r="H173" s="16">
        <f>IF(A173="","",SUMIFS(Transaksi!$G$2:$G$3000,Transaksi!$L$2:$L$3000,"&lt;="&amp;A173)+SUMIFS(Transaksi!$H$2:$H$3000,Transaksi!$L$2:$L$3000,"&lt;="&amp;A173)+SUMIFS(Transaksi!$I$2:$I$3000,Transaksi!$L$2:$L$3000,"&lt;="&amp;A173)-(SUMIFS(Transaksi!$J$2:$J$3000,Transaksi!$L$2:$L$3000,"&lt;="&amp;A173)))</f>
        <v/>
      </c>
    </row>
    <row r="174">
      <c r="A174" s="22">
        <f>IF(170&lt;=MAX(Transaksi!$L$2:$L$3000),MAX(Transaksi!$L$2:$L$3000)-169,"")</f>
        <v/>
      </c>
      <c r="B174" s="23">
        <f>IF(A174="","",INDEX(Transaksi!$B$2:$B$3000,MATCH(A174,Transaksi!$L$2:$L$3000,0)))</f>
        <v/>
      </c>
      <c r="C174" s="24">
        <f>IF(A174="","",CHOOSE(WEEKDAY(B174,2),"Isnin","Selasa","Rabu","Khamis","Jumaat","Sabtu","Ahad"))</f>
        <v/>
      </c>
      <c r="D174" s="25">
        <f>IF(A174="","",COUNTIF(Transaksi!$L$2:$L$3000,A174))</f>
        <v/>
      </c>
      <c r="E174" s="13">
        <f>IF(A174="","",SUMIFS(Transaksi!$G$2:$G$3000,Transaksi!$L$2:$L$3000,A174)+SUMIFS(Transaksi!$H$2:$H$3000,Transaksi!$L$2:$L$3000,A174)+SUMIFS(Transaksi!$I$2:$I$3000,Transaksi!$L$2:$L$3000,A174))</f>
        <v/>
      </c>
      <c r="F174" s="14">
        <f>IF(A174="","",SUMIFS(Transaksi!$J$2:$J$3000,Transaksi!$L$2:$L$3000,A174))</f>
        <v/>
      </c>
      <c r="G174" s="15">
        <f>IF(A174="","",E174-F174)</f>
        <v/>
      </c>
      <c r="H174" s="16">
        <f>IF(A174="","",SUMIFS(Transaksi!$G$2:$G$3000,Transaksi!$L$2:$L$3000,"&lt;="&amp;A174)+SUMIFS(Transaksi!$H$2:$H$3000,Transaksi!$L$2:$L$3000,"&lt;="&amp;A174)+SUMIFS(Transaksi!$I$2:$I$3000,Transaksi!$L$2:$L$3000,"&lt;="&amp;A174)-(SUMIFS(Transaksi!$J$2:$J$3000,Transaksi!$L$2:$L$3000,"&lt;="&amp;A174)))</f>
        <v/>
      </c>
    </row>
    <row r="175">
      <c r="A175" s="22">
        <f>IF(171&lt;=MAX(Transaksi!$L$2:$L$3000),MAX(Transaksi!$L$2:$L$3000)-170,"")</f>
        <v/>
      </c>
      <c r="B175" s="23">
        <f>IF(A175="","",INDEX(Transaksi!$B$2:$B$3000,MATCH(A175,Transaksi!$L$2:$L$3000,0)))</f>
        <v/>
      </c>
      <c r="C175" s="24">
        <f>IF(A175="","",CHOOSE(WEEKDAY(B175,2),"Isnin","Selasa","Rabu","Khamis","Jumaat","Sabtu","Ahad"))</f>
        <v/>
      </c>
      <c r="D175" s="25">
        <f>IF(A175="","",COUNTIF(Transaksi!$L$2:$L$3000,A175))</f>
        <v/>
      </c>
      <c r="E175" s="13">
        <f>IF(A175="","",SUMIFS(Transaksi!$G$2:$G$3000,Transaksi!$L$2:$L$3000,A175)+SUMIFS(Transaksi!$H$2:$H$3000,Transaksi!$L$2:$L$3000,A175)+SUMIFS(Transaksi!$I$2:$I$3000,Transaksi!$L$2:$L$3000,A175))</f>
        <v/>
      </c>
      <c r="F175" s="14">
        <f>IF(A175="","",SUMIFS(Transaksi!$J$2:$J$3000,Transaksi!$L$2:$L$3000,A175))</f>
        <v/>
      </c>
      <c r="G175" s="15">
        <f>IF(A175="","",E175-F175)</f>
        <v/>
      </c>
      <c r="H175" s="16">
        <f>IF(A175="","",SUMIFS(Transaksi!$G$2:$G$3000,Transaksi!$L$2:$L$3000,"&lt;="&amp;A175)+SUMIFS(Transaksi!$H$2:$H$3000,Transaksi!$L$2:$L$3000,"&lt;="&amp;A175)+SUMIFS(Transaksi!$I$2:$I$3000,Transaksi!$L$2:$L$3000,"&lt;="&amp;A175)-(SUMIFS(Transaksi!$J$2:$J$3000,Transaksi!$L$2:$L$3000,"&lt;="&amp;A175)))</f>
        <v/>
      </c>
    </row>
    <row r="176">
      <c r="A176" s="22">
        <f>IF(172&lt;=MAX(Transaksi!$L$2:$L$3000),MAX(Transaksi!$L$2:$L$3000)-171,"")</f>
        <v/>
      </c>
      <c r="B176" s="23">
        <f>IF(A176="","",INDEX(Transaksi!$B$2:$B$3000,MATCH(A176,Transaksi!$L$2:$L$3000,0)))</f>
        <v/>
      </c>
      <c r="C176" s="24">
        <f>IF(A176="","",CHOOSE(WEEKDAY(B176,2),"Isnin","Selasa","Rabu","Khamis","Jumaat","Sabtu","Ahad"))</f>
        <v/>
      </c>
      <c r="D176" s="25">
        <f>IF(A176="","",COUNTIF(Transaksi!$L$2:$L$3000,A176))</f>
        <v/>
      </c>
      <c r="E176" s="13">
        <f>IF(A176="","",SUMIFS(Transaksi!$G$2:$G$3000,Transaksi!$L$2:$L$3000,A176)+SUMIFS(Transaksi!$H$2:$H$3000,Transaksi!$L$2:$L$3000,A176)+SUMIFS(Transaksi!$I$2:$I$3000,Transaksi!$L$2:$L$3000,A176))</f>
        <v/>
      </c>
      <c r="F176" s="14">
        <f>IF(A176="","",SUMIFS(Transaksi!$J$2:$J$3000,Transaksi!$L$2:$L$3000,A176))</f>
        <v/>
      </c>
      <c r="G176" s="15">
        <f>IF(A176="","",E176-F176)</f>
        <v/>
      </c>
      <c r="H176" s="16">
        <f>IF(A176="","",SUMIFS(Transaksi!$G$2:$G$3000,Transaksi!$L$2:$L$3000,"&lt;="&amp;A176)+SUMIFS(Transaksi!$H$2:$H$3000,Transaksi!$L$2:$L$3000,"&lt;="&amp;A176)+SUMIFS(Transaksi!$I$2:$I$3000,Transaksi!$L$2:$L$3000,"&lt;="&amp;A176)-(SUMIFS(Transaksi!$J$2:$J$3000,Transaksi!$L$2:$L$3000,"&lt;="&amp;A176)))</f>
        <v/>
      </c>
    </row>
    <row r="177">
      <c r="A177" s="22">
        <f>IF(173&lt;=MAX(Transaksi!$L$2:$L$3000),MAX(Transaksi!$L$2:$L$3000)-172,"")</f>
        <v/>
      </c>
      <c r="B177" s="23">
        <f>IF(A177="","",INDEX(Transaksi!$B$2:$B$3000,MATCH(A177,Transaksi!$L$2:$L$3000,0)))</f>
        <v/>
      </c>
      <c r="C177" s="24">
        <f>IF(A177="","",CHOOSE(WEEKDAY(B177,2),"Isnin","Selasa","Rabu","Khamis","Jumaat","Sabtu","Ahad"))</f>
        <v/>
      </c>
      <c r="D177" s="25">
        <f>IF(A177="","",COUNTIF(Transaksi!$L$2:$L$3000,A177))</f>
        <v/>
      </c>
      <c r="E177" s="13">
        <f>IF(A177="","",SUMIFS(Transaksi!$G$2:$G$3000,Transaksi!$L$2:$L$3000,A177)+SUMIFS(Transaksi!$H$2:$H$3000,Transaksi!$L$2:$L$3000,A177)+SUMIFS(Transaksi!$I$2:$I$3000,Transaksi!$L$2:$L$3000,A177))</f>
        <v/>
      </c>
      <c r="F177" s="14">
        <f>IF(A177="","",SUMIFS(Transaksi!$J$2:$J$3000,Transaksi!$L$2:$L$3000,A177))</f>
        <v/>
      </c>
      <c r="G177" s="15">
        <f>IF(A177="","",E177-F177)</f>
        <v/>
      </c>
      <c r="H177" s="16">
        <f>IF(A177="","",SUMIFS(Transaksi!$G$2:$G$3000,Transaksi!$L$2:$L$3000,"&lt;="&amp;A177)+SUMIFS(Transaksi!$H$2:$H$3000,Transaksi!$L$2:$L$3000,"&lt;="&amp;A177)+SUMIFS(Transaksi!$I$2:$I$3000,Transaksi!$L$2:$L$3000,"&lt;="&amp;A177)-(SUMIFS(Transaksi!$J$2:$J$3000,Transaksi!$L$2:$L$3000,"&lt;="&amp;A177)))</f>
        <v/>
      </c>
    </row>
    <row r="178">
      <c r="A178" s="22">
        <f>IF(174&lt;=MAX(Transaksi!$L$2:$L$3000),MAX(Transaksi!$L$2:$L$3000)-173,"")</f>
        <v/>
      </c>
      <c r="B178" s="23">
        <f>IF(A178="","",INDEX(Transaksi!$B$2:$B$3000,MATCH(A178,Transaksi!$L$2:$L$3000,0)))</f>
        <v/>
      </c>
      <c r="C178" s="24">
        <f>IF(A178="","",CHOOSE(WEEKDAY(B178,2),"Isnin","Selasa","Rabu","Khamis","Jumaat","Sabtu","Ahad"))</f>
        <v/>
      </c>
      <c r="D178" s="25">
        <f>IF(A178="","",COUNTIF(Transaksi!$L$2:$L$3000,A178))</f>
        <v/>
      </c>
      <c r="E178" s="13">
        <f>IF(A178="","",SUMIFS(Transaksi!$G$2:$G$3000,Transaksi!$L$2:$L$3000,A178)+SUMIFS(Transaksi!$H$2:$H$3000,Transaksi!$L$2:$L$3000,A178)+SUMIFS(Transaksi!$I$2:$I$3000,Transaksi!$L$2:$L$3000,A178))</f>
        <v/>
      </c>
      <c r="F178" s="14">
        <f>IF(A178="","",SUMIFS(Transaksi!$J$2:$J$3000,Transaksi!$L$2:$L$3000,A178))</f>
        <v/>
      </c>
      <c r="G178" s="15">
        <f>IF(A178="","",E178-F178)</f>
        <v/>
      </c>
      <c r="H178" s="16">
        <f>IF(A178="","",SUMIFS(Transaksi!$G$2:$G$3000,Transaksi!$L$2:$L$3000,"&lt;="&amp;A178)+SUMIFS(Transaksi!$H$2:$H$3000,Transaksi!$L$2:$L$3000,"&lt;="&amp;A178)+SUMIFS(Transaksi!$I$2:$I$3000,Transaksi!$L$2:$L$3000,"&lt;="&amp;A178)-(SUMIFS(Transaksi!$J$2:$J$3000,Transaksi!$L$2:$L$3000,"&lt;="&amp;A178)))</f>
        <v/>
      </c>
    </row>
    <row r="179">
      <c r="A179" s="22">
        <f>IF(175&lt;=MAX(Transaksi!$L$2:$L$3000),MAX(Transaksi!$L$2:$L$3000)-174,"")</f>
        <v/>
      </c>
      <c r="B179" s="23">
        <f>IF(A179="","",INDEX(Transaksi!$B$2:$B$3000,MATCH(A179,Transaksi!$L$2:$L$3000,0)))</f>
        <v/>
      </c>
      <c r="C179" s="24">
        <f>IF(A179="","",CHOOSE(WEEKDAY(B179,2),"Isnin","Selasa","Rabu","Khamis","Jumaat","Sabtu","Ahad"))</f>
        <v/>
      </c>
      <c r="D179" s="25">
        <f>IF(A179="","",COUNTIF(Transaksi!$L$2:$L$3000,A179))</f>
        <v/>
      </c>
      <c r="E179" s="13">
        <f>IF(A179="","",SUMIFS(Transaksi!$G$2:$G$3000,Transaksi!$L$2:$L$3000,A179)+SUMIFS(Transaksi!$H$2:$H$3000,Transaksi!$L$2:$L$3000,A179)+SUMIFS(Transaksi!$I$2:$I$3000,Transaksi!$L$2:$L$3000,A179))</f>
        <v/>
      </c>
      <c r="F179" s="14">
        <f>IF(A179="","",SUMIFS(Transaksi!$J$2:$J$3000,Transaksi!$L$2:$L$3000,A179))</f>
        <v/>
      </c>
      <c r="G179" s="15">
        <f>IF(A179="","",E179-F179)</f>
        <v/>
      </c>
      <c r="H179" s="16">
        <f>IF(A179="","",SUMIFS(Transaksi!$G$2:$G$3000,Transaksi!$L$2:$L$3000,"&lt;="&amp;A179)+SUMIFS(Transaksi!$H$2:$H$3000,Transaksi!$L$2:$L$3000,"&lt;="&amp;A179)+SUMIFS(Transaksi!$I$2:$I$3000,Transaksi!$L$2:$L$3000,"&lt;="&amp;A179)-(SUMIFS(Transaksi!$J$2:$J$3000,Transaksi!$L$2:$L$3000,"&lt;="&amp;A179)))</f>
        <v/>
      </c>
    </row>
    <row r="180">
      <c r="A180" s="22">
        <f>IF(176&lt;=MAX(Transaksi!$L$2:$L$3000),MAX(Transaksi!$L$2:$L$3000)-175,"")</f>
        <v/>
      </c>
      <c r="B180" s="23">
        <f>IF(A180="","",INDEX(Transaksi!$B$2:$B$3000,MATCH(A180,Transaksi!$L$2:$L$3000,0)))</f>
        <v/>
      </c>
      <c r="C180" s="24">
        <f>IF(A180="","",CHOOSE(WEEKDAY(B180,2),"Isnin","Selasa","Rabu","Khamis","Jumaat","Sabtu","Ahad"))</f>
        <v/>
      </c>
      <c r="D180" s="25">
        <f>IF(A180="","",COUNTIF(Transaksi!$L$2:$L$3000,A180))</f>
        <v/>
      </c>
      <c r="E180" s="13">
        <f>IF(A180="","",SUMIFS(Transaksi!$G$2:$G$3000,Transaksi!$L$2:$L$3000,A180)+SUMIFS(Transaksi!$H$2:$H$3000,Transaksi!$L$2:$L$3000,A180)+SUMIFS(Transaksi!$I$2:$I$3000,Transaksi!$L$2:$L$3000,A180))</f>
        <v/>
      </c>
      <c r="F180" s="14">
        <f>IF(A180="","",SUMIFS(Transaksi!$J$2:$J$3000,Transaksi!$L$2:$L$3000,A180))</f>
        <v/>
      </c>
      <c r="G180" s="15">
        <f>IF(A180="","",E180-F180)</f>
        <v/>
      </c>
      <c r="H180" s="16">
        <f>IF(A180="","",SUMIFS(Transaksi!$G$2:$G$3000,Transaksi!$L$2:$L$3000,"&lt;="&amp;A180)+SUMIFS(Transaksi!$H$2:$H$3000,Transaksi!$L$2:$L$3000,"&lt;="&amp;A180)+SUMIFS(Transaksi!$I$2:$I$3000,Transaksi!$L$2:$L$3000,"&lt;="&amp;A180)-(SUMIFS(Transaksi!$J$2:$J$3000,Transaksi!$L$2:$L$3000,"&lt;="&amp;A180)))</f>
        <v/>
      </c>
    </row>
    <row r="181">
      <c r="A181" s="22">
        <f>IF(177&lt;=MAX(Transaksi!$L$2:$L$3000),MAX(Transaksi!$L$2:$L$3000)-176,"")</f>
        <v/>
      </c>
      <c r="B181" s="23">
        <f>IF(A181="","",INDEX(Transaksi!$B$2:$B$3000,MATCH(A181,Transaksi!$L$2:$L$3000,0)))</f>
        <v/>
      </c>
      <c r="C181" s="24">
        <f>IF(A181="","",CHOOSE(WEEKDAY(B181,2),"Isnin","Selasa","Rabu","Khamis","Jumaat","Sabtu","Ahad"))</f>
        <v/>
      </c>
      <c r="D181" s="25">
        <f>IF(A181="","",COUNTIF(Transaksi!$L$2:$L$3000,A181))</f>
        <v/>
      </c>
      <c r="E181" s="13">
        <f>IF(A181="","",SUMIFS(Transaksi!$G$2:$G$3000,Transaksi!$L$2:$L$3000,A181)+SUMIFS(Transaksi!$H$2:$H$3000,Transaksi!$L$2:$L$3000,A181)+SUMIFS(Transaksi!$I$2:$I$3000,Transaksi!$L$2:$L$3000,A181))</f>
        <v/>
      </c>
      <c r="F181" s="14">
        <f>IF(A181="","",SUMIFS(Transaksi!$J$2:$J$3000,Transaksi!$L$2:$L$3000,A181))</f>
        <v/>
      </c>
      <c r="G181" s="15">
        <f>IF(A181="","",E181-F181)</f>
        <v/>
      </c>
      <c r="H181" s="16">
        <f>IF(A181="","",SUMIFS(Transaksi!$G$2:$G$3000,Transaksi!$L$2:$L$3000,"&lt;="&amp;A181)+SUMIFS(Transaksi!$H$2:$H$3000,Transaksi!$L$2:$L$3000,"&lt;="&amp;A181)+SUMIFS(Transaksi!$I$2:$I$3000,Transaksi!$L$2:$L$3000,"&lt;="&amp;A181)-(SUMIFS(Transaksi!$J$2:$J$3000,Transaksi!$L$2:$L$3000,"&lt;="&amp;A181)))</f>
        <v/>
      </c>
    </row>
    <row r="182">
      <c r="A182" s="22">
        <f>IF(178&lt;=MAX(Transaksi!$L$2:$L$3000),MAX(Transaksi!$L$2:$L$3000)-177,"")</f>
        <v/>
      </c>
      <c r="B182" s="23">
        <f>IF(A182="","",INDEX(Transaksi!$B$2:$B$3000,MATCH(A182,Transaksi!$L$2:$L$3000,0)))</f>
        <v/>
      </c>
      <c r="C182" s="24">
        <f>IF(A182="","",CHOOSE(WEEKDAY(B182,2),"Isnin","Selasa","Rabu","Khamis","Jumaat","Sabtu","Ahad"))</f>
        <v/>
      </c>
      <c r="D182" s="25">
        <f>IF(A182="","",COUNTIF(Transaksi!$L$2:$L$3000,A182))</f>
        <v/>
      </c>
      <c r="E182" s="13">
        <f>IF(A182="","",SUMIFS(Transaksi!$G$2:$G$3000,Transaksi!$L$2:$L$3000,A182)+SUMIFS(Transaksi!$H$2:$H$3000,Transaksi!$L$2:$L$3000,A182)+SUMIFS(Transaksi!$I$2:$I$3000,Transaksi!$L$2:$L$3000,A182))</f>
        <v/>
      </c>
      <c r="F182" s="14">
        <f>IF(A182="","",SUMIFS(Transaksi!$J$2:$J$3000,Transaksi!$L$2:$L$3000,A182))</f>
        <v/>
      </c>
      <c r="G182" s="15">
        <f>IF(A182="","",E182-F182)</f>
        <v/>
      </c>
      <c r="H182" s="16">
        <f>IF(A182="","",SUMIFS(Transaksi!$G$2:$G$3000,Transaksi!$L$2:$L$3000,"&lt;="&amp;A182)+SUMIFS(Transaksi!$H$2:$H$3000,Transaksi!$L$2:$L$3000,"&lt;="&amp;A182)+SUMIFS(Transaksi!$I$2:$I$3000,Transaksi!$L$2:$L$3000,"&lt;="&amp;A182)-(SUMIFS(Transaksi!$J$2:$J$3000,Transaksi!$L$2:$L$3000,"&lt;="&amp;A182)))</f>
        <v/>
      </c>
    </row>
    <row r="183">
      <c r="A183" s="22">
        <f>IF(179&lt;=MAX(Transaksi!$L$2:$L$3000),MAX(Transaksi!$L$2:$L$3000)-178,"")</f>
        <v/>
      </c>
      <c r="B183" s="23">
        <f>IF(A183="","",INDEX(Transaksi!$B$2:$B$3000,MATCH(A183,Transaksi!$L$2:$L$3000,0)))</f>
        <v/>
      </c>
      <c r="C183" s="24">
        <f>IF(A183="","",CHOOSE(WEEKDAY(B183,2),"Isnin","Selasa","Rabu","Khamis","Jumaat","Sabtu","Ahad"))</f>
        <v/>
      </c>
      <c r="D183" s="25">
        <f>IF(A183="","",COUNTIF(Transaksi!$L$2:$L$3000,A183))</f>
        <v/>
      </c>
      <c r="E183" s="13">
        <f>IF(A183="","",SUMIFS(Transaksi!$G$2:$G$3000,Transaksi!$L$2:$L$3000,A183)+SUMIFS(Transaksi!$H$2:$H$3000,Transaksi!$L$2:$L$3000,A183)+SUMIFS(Transaksi!$I$2:$I$3000,Transaksi!$L$2:$L$3000,A183))</f>
        <v/>
      </c>
      <c r="F183" s="14">
        <f>IF(A183="","",SUMIFS(Transaksi!$J$2:$J$3000,Transaksi!$L$2:$L$3000,A183))</f>
        <v/>
      </c>
      <c r="G183" s="15">
        <f>IF(A183="","",E183-F183)</f>
        <v/>
      </c>
      <c r="H183" s="16">
        <f>IF(A183="","",SUMIFS(Transaksi!$G$2:$G$3000,Transaksi!$L$2:$L$3000,"&lt;="&amp;A183)+SUMIFS(Transaksi!$H$2:$H$3000,Transaksi!$L$2:$L$3000,"&lt;="&amp;A183)+SUMIFS(Transaksi!$I$2:$I$3000,Transaksi!$L$2:$L$3000,"&lt;="&amp;A183)-(SUMIFS(Transaksi!$J$2:$J$3000,Transaksi!$L$2:$L$3000,"&lt;="&amp;A183)))</f>
        <v/>
      </c>
    </row>
    <row r="184">
      <c r="A184" s="22">
        <f>IF(180&lt;=MAX(Transaksi!$L$2:$L$3000),MAX(Transaksi!$L$2:$L$3000)-179,"")</f>
        <v/>
      </c>
      <c r="B184" s="23">
        <f>IF(A184="","",INDEX(Transaksi!$B$2:$B$3000,MATCH(A184,Transaksi!$L$2:$L$3000,0)))</f>
        <v/>
      </c>
      <c r="C184" s="24">
        <f>IF(A184="","",CHOOSE(WEEKDAY(B184,2),"Isnin","Selasa","Rabu","Khamis","Jumaat","Sabtu","Ahad"))</f>
        <v/>
      </c>
      <c r="D184" s="25">
        <f>IF(A184="","",COUNTIF(Transaksi!$L$2:$L$3000,A184))</f>
        <v/>
      </c>
      <c r="E184" s="13">
        <f>IF(A184="","",SUMIFS(Transaksi!$G$2:$G$3000,Transaksi!$L$2:$L$3000,A184)+SUMIFS(Transaksi!$H$2:$H$3000,Transaksi!$L$2:$L$3000,A184)+SUMIFS(Transaksi!$I$2:$I$3000,Transaksi!$L$2:$L$3000,A184))</f>
        <v/>
      </c>
      <c r="F184" s="14">
        <f>IF(A184="","",SUMIFS(Transaksi!$J$2:$J$3000,Transaksi!$L$2:$L$3000,A184))</f>
        <v/>
      </c>
      <c r="G184" s="15">
        <f>IF(A184="","",E184-F184)</f>
        <v/>
      </c>
      <c r="H184" s="16">
        <f>IF(A184="","",SUMIFS(Transaksi!$G$2:$G$3000,Transaksi!$L$2:$L$3000,"&lt;="&amp;A184)+SUMIFS(Transaksi!$H$2:$H$3000,Transaksi!$L$2:$L$3000,"&lt;="&amp;A184)+SUMIFS(Transaksi!$I$2:$I$3000,Transaksi!$L$2:$L$3000,"&lt;="&amp;A184)-(SUMIFS(Transaksi!$J$2:$J$3000,Transaksi!$L$2:$L$3000,"&lt;="&amp;A184)))</f>
        <v/>
      </c>
    </row>
    <row r="185">
      <c r="A185" s="22">
        <f>IF(181&lt;=MAX(Transaksi!$L$2:$L$3000),MAX(Transaksi!$L$2:$L$3000)-180,"")</f>
        <v/>
      </c>
      <c r="B185" s="23">
        <f>IF(A185="","",INDEX(Transaksi!$B$2:$B$3000,MATCH(A185,Transaksi!$L$2:$L$3000,0)))</f>
        <v/>
      </c>
      <c r="C185" s="24">
        <f>IF(A185="","",CHOOSE(WEEKDAY(B185,2),"Isnin","Selasa","Rabu","Khamis","Jumaat","Sabtu","Ahad"))</f>
        <v/>
      </c>
      <c r="D185" s="25">
        <f>IF(A185="","",COUNTIF(Transaksi!$L$2:$L$3000,A185))</f>
        <v/>
      </c>
      <c r="E185" s="13">
        <f>IF(A185="","",SUMIFS(Transaksi!$G$2:$G$3000,Transaksi!$L$2:$L$3000,A185)+SUMIFS(Transaksi!$H$2:$H$3000,Transaksi!$L$2:$L$3000,A185)+SUMIFS(Transaksi!$I$2:$I$3000,Transaksi!$L$2:$L$3000,A185))</f>
        <v/>
      </c>
      <c r="F185" s="14">
        <f>IF(A185="","",SUMIFS(Transaksi!$J$2:$J$3000,Transaksi!$L$2:$L$3000,A185))</f>
        <v/>
      </c>
      <c r="G185" s="15">
        <f>IF(A185="","",E185-F185)</f>
        <v/>
      </c>
      <c r="H185" s="16">
        <f>IF(A185="","",SUMIFS(Transaksi!$G$2:$G$3000,Transaksi!$L$2:$L$3000,"&lt;="&amp;A185)+SUMIFS(Transaksi!$H$2:$H$3000,Transaksi!$L$2:$L$3000,"&lt;="&amp;A185)+SUMIFS(Transaksi!$I$2:$I$3000,Transaksi!$L$2:$L$3000,"&lt;="&amp;A185)-(SUMIFS(Transaksi!$J$2:$J$3000,Transaksi!$L$2:$L$3000,"&lt;="&amp;A185)))</f>
        <v/>
      </c>
    </row>
    <row r="186">
      <c r="A186" s="22">
        <f>IF(182&lt;=MAX(Transaksi!$L$2:$L$3000),MAX(Transaksi!$L$2:$L$3000)-181,"")</f>
        <v/>
      </c>
      <c r="B186" s="23">
        <f>IF(A186="","",INDEX(Transaksi!$B$2:$B$3000,MATCH(A186,Transaksi!$L$2:$L$3000,0)))</f>
        <v/>
      </c>
      <c r="C186" s="24">
        <f>IF(A186="","",CHOOSE(WEEKDAY(B186,2),"Isnin","Selasa","Rabu","Khamis","Jumaat","Sabtu","Ahad"))</f>
        <v/>
      </c>
      <c r="D186" s="25">
        <f>IF(A186="","",COUNTIF(Transaksi!$L$2:$L$3000,A186))</f>
        <v/>
      </c>
      <c r="E186" s="13">
        <f>IF(A186="","",SUMIFS(Transaksi!$G$2:$G$3000,Transaksi!$L$2:$L$3000,A186)+SUMIFS(Transaksi!$H$2:$H$3000,Transaksi!$L$2:$L$3000,A186)+SUMIFS(Transaksi!$I$2:$I$3000,Transaksi!$L$2:$L$3000,A186))</f>
        <v/>
      </c>
      <c r="F186" s="14">
        <f>IF(A186="","",SUMIFS(Transaksi!$J$2:$J$3000,Transaksi!$L$2:$L$3000,A186))</f>
        <v/>
      </c>
      <c r="G186" s="15">
        <f>IF(A186="","",E186-F186)</f>
        <v/>
      </c>
      <c r="H186" s="16">
        <f>IF(A186="","",SUMIFS(Transaksi!$G$2:$G$3000,Transaksi!$L$2:$L$3000,"&lt;="&amp;A186)+SUMIFS(Transaksi!$H$2:$H$3000,Transaksi!$L$2:$L$3000,"&lt;="&amp;A186)+SUMIFS(Transaksi!$I$2:$I$3000,Transaksi!$L$2:$L$3000,"&lt;="&amp;A186)-(SUMIFS(Transaksi!$J$2:$J$3000,Transaksi!$L$2:$L$3000,"&lt;="&amp;A186)))</f>
        <v/>
      </c>
    </row>
    <row r="187">
      <c r="A187" s="22">
        <f>IF(183&lt;=MAX(Transaksi!$L$2:$L$3000),MAX(Transaksi!$L$2:$L$3000)-182,"")</f>
        <v/>
      </c>
      <c r="B187" s="23">
        <f>IF(A187="","",INDEX(Transaksi!$B$2:$B$3000,MATCH(A187,Transaksi!$L$2:$L$3000,0)))</f>
        <v/>
      </c>
      <c r="C187" s="24">
        <f>IF(A187="","",CHOOSE(WEEKDAY(B187,2),"Isnin","Selasa","Rabu","Khamis","Jumaat","Sabtu","Ahad"))</f>
        <v/>
      </c>
      <c r="D187" s="25">
        <f>IF(A187="","",COUNTIF(Transaksi!$L$2:$L$3000,A187))</f>
        <v/>
      </c>
      <c r="E187" s="13">
        <f>IF(A187="","",SUMIFS(Transaksi!$G$2:$G$3000,Transaksi!$L$2:$L$3000,A187)+SUMIFS(Transaksi!$H$2:$H$3000,Transaksi!$L$2:$L$3000,A187)+SUMIFS(Transaksi!$I$2:$I$3000,Transaksi!$L$2:$L$3000,A187))</f>
        <v/>
      </c>
      <c r="F187" s="14">
        <f>IF(A187="","",SUMIFS(Transaksi!$J$2:$J$3000,Transaksi!$L$2:$L$3000,A187))</f>
        <v/>
      </c>
      <c r="G187" s="15">
        <f>IF(A187="","",E187-F187)</f>
        <v/>
      </c>
      <c r="H187" s="16">
        <f>IF(A187="","",SUMIFS(Transaksi!$G$2:$G$3000,Transaksi!$L$2:$L$3000,"&lt;="&amp;A187)+SUMIFS(Transaksi!$H$2:$H$3000,Transaksi!$L$2:$L$3000,"&lt;="&amp;A187)+SUMIFS(Transaksi!$I$2:$I$3000,Transaksi!$L$2:$L$3000,"&lt;="&amp;A187)-(SUMIFS(Transaksi!$J$2:$J$3000,Transaksi!$L$2:$L$3000,"&lt;="&amp;A187)))</f>
        <v/>
      </c>
    </row>
    <row r="188">
      <c r="A188" s="22">
        <f>IF(184&lt;=MAX(Transaksi!$L$2:$L$3000),MAX(Transaksi!$L$2:$L$3000)-183,"")</f>
        <v/>
      </c>
      <c r="B188" s="23">
        <f>IF(A188="","",INDEX(Transaksi!$B$2:$B$3000,MATCH(A188,Transaksi!$L$2:$L$3000,0)))</f>
        <v/>
      </c>
      <c r="C188" s="24">
        <f>IF(A188="","",CHOOSE(WEEKDAY(B188,2),"Isnin","Selasa","Rabu","Khamis","Jumaat","Sabtu","Ahad"))</f>
        <v/>
      </c>
      <c r="D188" s="25">
        <f>IF(A188="","",COUNTIF(Transaksi!$L$2:$L$3000,A188))</f>
        <v/>
      </c>
      <c r="E188" s="13">
        <f>IF(A188="","",SUMIFS(Transaksi!$G$2:$G$3000,Transaksi!$L$2:$L$3000,A188)+SUMIFS(Transaksi!$H$2:$H$3000,Transaksi!$L$2:$L$3000,A188)+SUMIFS(Transaksi!$I$2:$I$3000,Transaksi!$L$2:$L$3000,A188))</f>
        <v/>
      </c>
      <c r="F188" s="14">
        <f>IF(A188="","",SUMIFS(Transaksi!$J$2:$J$3000,Transaksi!$L$2:$L$3000,A188))</f>
        <v/>
      </c>
      <c r="G188" s="15">
        <f>IF(A188="","",E188-F188)</f>
        <v/>
      </c>
      <c r="H188" s="16">
        <f>IF(A188="","",SUMIFS(Transaksi!$G$2:$G$3000,Transaksi!$L$2:$L$3000,"&lt;="&amp;A188)+SUMIFS(Transaksi!$H$2:$H$3000,Transaksi!$L$2:$L$3000,"&lt;="&amp;A188)+SUMIFS(Transaksi!$I$2:$I$3000,Transaksi!$L$2:$L$3000,"&lt;="&amp;A188)-(SUMIFS(Transaksi!$J$2:$J$3000,Transaksi!$L$2:$L$3000,"&lt;="&amp;A188)))</f>
        <v/>
      </c>
    </row>
    <row r="189">
      <c r="A189" s="22">
        <f>IF(185&lt;=MAX(Transaksi!$L$2:$L$3000),MAX(Transaksi!$L$2:$L$3000)-184,"")</f>
        <v/>
      </c>
      <c r="B189" s="23">
        <f>IF(A189="","",INDEX(Transaksi!$B$2:$B$3000,MATCH(A189,Transaksi!$L$2:$L$3000,0)))</f>
        <v/>
      </c>
      <c r="C189" s="24">
        <f>IF(A189="","",CHOOSE(WEEKDAY(B189,2),"Isnin","Selasa","Rabu","Khamis","Jumaat","Sabtu","Ahad"))</f>
        <v/>
      </c>
      <c r="D189" s="25">
        <f>IF(A189="","",COUNTIF(Transaksi!$L$2:$L$3000,A189))</f>
        <v/>
      </c>
      <c r="E189" s="13">
        <f>IF(A189="","",SUMIFS(Transaksi!$G$2:$G$3000,Transaksi!$L$2:$L$3000,A189)+SUMIFS(Transaksi!$H$2:$H$3000,Transaksi!$L$2:$L$3000,A189)+SUMIFS(Transaksi!$I$2:$I$3000,Transaksi!$L$2:$L$3000,A189))</f>
        <v/>
      </c>
      <c r="F189" s="14">
        <f>IF(A189="","",SUMIFS(Transaksi!$J$2:$J$3000,Transaksi!$L$2:$L$3000,A189))</f>
        <v/>
      </c>
      <c r="G189" s="15">
        <f>IF(A189="","",E189-F189)</f>
        <v/>
      </c>
      <c r="H189" s="16">
        <f>IF(A189="","",SUMIFS(Transaksi!$G$2:$G$3000,Transaksi!$L$2:$L$3000,"&lt;="&amp;A189)+SUMIFS(Transaksi!$H$2:$H$3000,Transaksi!$L$2:$L$3000,"&lt;="&amp;A189)+SUMIFS(Transaksi!$I$2:$I$3000,Transaksi!$L$2:$L$3000,"&lt;="&amp;A189)-(SUMIFS(Transaksi!$J$2:$J$3000,Transaksi!$L$2:$L$3000,"&lt;="&amp;A189)))</f>
        <v/>
      </c>
    </row>
    <row r="190">
      <c r="A190" s="22">
        <f>IF(186&lt;=MAX(Transaksi!$L$2:$L$3000),MAX(Transaksi!$L$2:$L$3000)-185,"")</f>
        <v/>
      </c>
      <c r="B190" s="23">
        <f>IF(A190="","",INDEX(Transaksi!$B$2:$B$3000,MATCH(A190,Transaksi!$L$2:$L$3000,0)))</f>
        <v/>
      </c>
      <c r="C190" s="24">
        <f>IF(A190="","",CHOOSE(WEEKDAY(B190,2),"Isnin","Selasa","Rabu","Khamis","Jumaat","Sabtu","Ahad"))</f>
        <v/>
      </c>
      <c r="D190" s="25">
        <f>IF(A190="","",COUNTIF(Transaksi!$L$2:$L$3000,A190))</f>
        <v/>
      </c>
      <c r="E190" s="13">
        <f>IF(A190="","",SUMIFS(Transaksi!$G$2:$G$3000,Transaksi!$L$2:$L$3000,A190)+SUMIFS(Transaksi!$H$2:$H$3000,Transaksi!$L$2:$L$3000,A190)+SUMIFS(Transaksi!$I$2:$I$3000,Transaksi!$L$2:$L$3000,A190))</f>
        <v/>
      </c>
      <c r="F190" s="14">
        <f>IF(A190="","",SUMIFS(Transaksi!$J$2:$J$3000,Transaksi!$L$2:$L$3000,A190))</f>
        <v/>
      </c>
      <c r="G190" s="15">
        <f>IF(A190="","",E190-F190)</f>
        <v/>
      </c>
      <c r="H190" s="16">
        <f>IF(A190="","",SUMIFS(Transaksi!$G$2:$G$3000,Transaksi!$L$2:$L$3000,"&lt;="&amp;A190)+SUMIFS(Transaksi!$H$2:$H$3000,Transaksi!$L$2:$L$3000,"&lt;="&amp;A190)+SUMIFS(Transaksi!$I$2:$I$3000,Transaksi!$L$2:$L$3000,"&lt;="&amp;A190)-(SUMIFS(Transaksi!$J$2:$J$3000,Transaksi!$L$2:$L$3000,"&lt;="&amp;A190)))</f>
        <v/>
      </c>
    </row>
    <row r="191">
      <c r="A191" s="22">
        <f>IF(187&lt;=MAX(Transaksi!$L$2:$L$3000),MAX(Transaksi!$L$2:$L$3000)-186,"")</f>
        <v/>
      </c>
      <c r="B191" s="23">
        <f>IF(A191="","",INDEX(Transaksi!$B$2:$B$3000,MATCH(A191,Transaksi!$L$2:$L$3000,0)))</f>
        <v/>
      </c>
      <c r="C191" s="24">
        <f>IF(A191="","",CHOOSE(WEEKDAY(B191,2),"Isnin","Selasa","Rabu","Khamis","Jumaat","Sabtu","Ahad"))</f>
        <v/>
      </c>
      <c r="D191" s="25">
        <f>IF(A191="","",COUNTIF(Transaksi!$L$2:$L$3000,A191))</f>
        <v/>
      </c>
      <c r="E191" s="13">
        <f>IF(A191="","",SUMIFS(Transaksi!$G$2:$G$3000,Transaksi!$L$2:$L$3000,A191)+SUMIFS(Transaksi!$H$2:$H$3000,Transaksi!$L$2:$L$3000,A191)+SUMIFS(Transaksi!$I$2:$I$3000,Transaksi!$L$2:$L$3000,A191))</f>
        <v/>
      </c>
      <c r="F191" s="14">
        <f>IF(A191="","",SUMIFS(Transaksi!$J$2:$J$3000,Transaksi!$L$2:$L$3000,A191))</f>
        <v/>
      </c>
      <c r="G191" s="15">
        <f>IF(A191="","",E191-F191)</f>
        <v/>
      </c>
      <c r="H191" s="16">
        <f>IF(A191="","",SUMIFS(Transaksi!$G$2:$G$3000,Transaksi!$L$2:$L$3000,"&lt;="&amp;A191)+SUMIFS(Transaksi!$H$2:$H$3000,Transaksi!$L$2:$L$3000,"&lt;="&amp;A191)+SUMIFS(Transaksi!$I$2:$I$3000,Transaksi!$L$2:$L$3000,"&lt;="&amp;A191)-(SUMIFS(Transaksi!$J$2:$J$3000,Transaksi!$L$2:$L$3000,"&lt;="&amp;A191)))</f>
        <v/>
      </c>
    </row>
    <row r="192">
      <c r="A192" s="22">
        <f>IF(188&lt;=MAX(Transaksi!$L$2:$L$3000),MAX(Transaksi!$L$2:$L$3000)-187,"")</f>
        <v/>
      </c>
      <c r="B192" s="23">
        <f>IF(A192="","",INDEX(Transaksi!$B$2:$B$3000,MATCH(A192,Transaksi!$L$2:$L$3000,0)))</f>
        <v/>
      </c>
      <c r="C192" s="24">
        <f>IF(A192="","",CHOOSE(WEEKDAY(B192,2),"Isnin","Selasa","Rabu","Khamis","Jumaat","Sabtu","Ahad"))</f>
        <v/>
      </c>
      <c r="D192" s="25">
        <f>IF(A192="","",COUNTIF(Transaksi!$L$2:$L$3000,A192))</f>
        <v/>
      </c>
      <c r="E192" s="13">
        <f>IF(A192="","",SUMIFS(Transaksi!$G$2:$G$3000,Transaksi!$L$2:$L$3000,A192)+SUMIFS(Transaksi!$H$2:$H$3000,Transaksi!$L$2:$L$3000,A192)+SUMIFS(Transaksi!$I$2:$I$3000,Transaksi!$L$2:$L$3000,A192))</f>
        <v/>
      </c>
      <c r="F192" s="14">
        <f>IF(A192="","",SUMIFS(Transaksi!$J$2:$J$3000,Transaksi!$L$2:$L$3000,A192))</f>
        <v/>
      </c>
      <c r="G192" s="15">
        <f>IF(A192="","",E192-F192)</f>
        <v/>
      </c>
      <c r="H192" s="16">
        <f>IF(A192="","",SUMIFS(Transaksi!$G$2:$G$3000,Transaksi!$L$2:$L$3000,"&lt;="&amp;A192)+SUMIFS(Transaksi!$H$2:$H$3000,Transaksi!$L$2:$L$3000,"&lt;="&amp;A192)+SUMIFS(Transaksi!$I$2:$I$3000,Transaksi!$L$2:$L$3000,"&lt;="&amp;A192)-(SUMIFS(Transaksi!$J$2:$J$3000,Transaksi!$L$2:$L$3000,"&lt;="&amp;A192)))</f>
        <v/>
      </c>
    </row>
    <row r="193">
      <c r="A193" s="22">
        <f>IF(189&lt;=MAX(Transaksi!$L$2:$L$3000),MAX(Transaksi!$L$2:$L$3000)-188,"")</f>
        <v/>
      </c>
      <c r="B193" s="23">
        <f>IF(A193="","",INDEX(Transaksi!$B$2:$B$3000,MATCH(A193,Transaksi!$L$2:$L$3000,0)))</f>
        <v/>
      </c>
      <c r="C193" s="24">
        <f>IF(A193="","",CHOOSE(WEEKDAY(B193,2),"Isnin","Selasa","Rabu","Khamis","Jumaat","Sabtu","Ahad"))</f>
        <v/>
      </c>
      <c r="D193" s="25">
        <f>IF(A193="","",COUNTIF(Transaksi!$L$2:$L$3000,A193))</f>
        <v/>
      </c>
      <c r="E193" s="13">
        <f>IF(A193="","",SUMIFS(Transaksi!$G$2:$G$3000,Transaksi!$L$2:$L$3000,A193)+SUMIFS(Transaksi!$H$2:$H$3000,Transaksi!$L$2:$L$3000,A193)+SUMIFS(Transaksi!$I$2:$I$3000,Transaksi!$L$2:$L$3000,A193))</f>
        <v/>
      </c>
      <c r="F193" s="14">
        <f>IF(A193="","",SUMIFS(Transaksi!$J$2:$J$3000,Transaksi!$L$2:$L$3000,A193))</f>
        <v/>
      </c>
      <c r="G193" s="15">
        <f>IF(A193="","",E193-F193)</f>
        <v/>
      </c>
      <c r="H193" s="16">
        <f>IF(A193="","",SUMIFS(Transaksi!$G$2:$G$3000,Transaksi!$L$2:$L$3000,"&lt;="&amp;A193)+SUMIFS(Transaksi!$H$2:$H$3000,Transaksi!$L$2:$L$3000,"&lt;="&amp;A193)+SUMIFS(Transaksi!$I$2:$I$3000,Transaksi!$L$2:$L$3000,"&lt;="&amp;A193)-(SUMIFS(Transaksi!$J$2:$J$3000,Transaksi!$L$2:$L$3000,"&lt;="&amp;A193)))</f>
        <v/>
      </c>
    </row>
    <row r="194">
      <c r="A194" s="22">
        <f>IF(190&lt;=MAX(Transaksi!$L$2:$L$3000),MAX(Transaksi!$L$2:$L$3000)-189,"")</f>
        <v/>
      </c>
      <c r="B194" s="23">
        <f>IF(A194="","",INDEX(Transaksi!$B$2:$B$3000,MATCH(A194,Transaksi!$L$2:$L$3000,0)))</f>
        <v/>
      </c>
      <c r="C194" s="24">
        <f>IF(A194="","",CHOOSE(WEEKDAY(B194,2),"Isnin","Selasa","Rabu","Khamis","Jumaat","Sabtu","Ahad"))</f>
        <v/>
      </c>
      <c r="D194" s="25">
        <f>IF(A194="","",COUNTIF(Transaksi!$L$2:$L$3000,A194))</f>
        <v/>
      </c>
      <c r="E194" s="13">
        <f>IF(A194="","",SUMIFS(Transaksi!$G$2:$G$3000,Transaksi!$L$2:$L$3000,A194)+SUMIFS(Transaksi!$H$2:$H$3000,Transaksi!$L$2:$L$3000,A194)+SUMIFS(Transaksi!$I$2:$I$3000,Transaksi!$L$2:$L$3000,A194))</f>
        <v/>
      </c>
      <c r="F194" s="14">
        <f>IF(A194="","",SUMIFS(Transaksi!$J$2:$J$3000,Transaksi!$L$2:$L$3000,A194))</f>
        <v/>
      </c>
      <c r="G194" s="15">
        <f>IF(A194="","",E194-F194)</f>
        <v/>
      </c>
      <c r="H194" s="16">
        <f>IF(A194="","",SUMIFS(Transaksi!$G$2:$G$3000,Transaksi!$L$2:$L$3000,"&lt;="&amp;A194)+SUMIFS(Transaksi!$H$2:$H$3000,Transaksi!$L$2:$L$3000,"&lt;="&amp;A194)+SUMIFS(Transaksi!$I$2:$I$3000,Transaksi!$L$2:$L$3000,"&lt;="&amp;A194)-(SUMIFS(Transaksi!$J$2:$J$3000,Transaksi!$L$2:$L$3000,"&lt;="&amp;A194)))</f>
        <v/>
      </c>
    </row>
    <row r="195">
      <c r="A195" s="22">
        <f>IF(191&lt;=MAX(Transaksi!$L$2:$L$3000),MAX(Transaksi!$L$2:$L$3000)-190,"")</f>
        <v/>
      </c>
      <c r="B195" s="23">
        <f>IF(A195="","",INDEX(Transaksi!$B$2:$B$3000,MATCH(A195,Transaksi!$L$2:$L$3000,0)))</f>
        <v/>
      </c>
      <c r="C195" s="24">
        <f>IF(A195="","",CHOOSE(WEEKDAY(B195,2),"Isnin","Selasa","Rabu","Khamis","Jumaat","Sabtu","Ahad"))</f>
        <v/>
      </c>
      <c r="D195" s="25">
        <f>IF(A195="","",COUNTIF(Transaksi!$L$2:$L$3000,A195))</f>
        <v/>
      </c>
      <c r="E195" s="13">
        <f>IF(A195="","",SUMIFS(Transaksi!$G$2:$G$3000,Transaksi!$L$2:$L$3000,A195)+SUMIFS(Transaksi!$H$2:$H$3000,Transaksi!$L$2:$L$3000,A195)+SUMIFS(Transaksi!$I$2:$I$3000,Transaksi!$L$2:$L$3000,A195))</f>
        <v/>
      </c>
      <c r="F195" s="14">
        <f>IF(A195="","",SUMIFS(Transaksi!$J$2:$J$3000,Transaksi!$L$2:$L$3000,A195))</f>
        <v/>
      </c>
      <c r="G195" s="15">
        <f>IF(A195="","",E195-F195)</f>
        <v/>
      </c>
      <c r="H195" s="16">
        <f>IF(A195="","",SUMIFS(Transaksi!$G$2:$G$3000,Transaksi!$L$2:$L$3000,"&lt;="&amp;A195)+SUMIFS(Transaksi!$H$2:$H$3000,Transaksi!$L$2:$L$3000,"&lt;="&amp;A195)+SUMIFS(Transaksi!$I$2:$I$3000,Transaksi!$L$2:$L$3000,"&lt;="&amp;A195)-(SUMIFS(Transaksi!$J$2:$J$3000,Transaksi!$L$2:$L$3000,"&lt;="&amp;A195)))</f>
        <v/>
      </c>
    </row>
    <row r="196">
      <c r="A196" s="22">
        <f>IF(192&lt;=MAX(Transaksi!$L$2:$L$3000),MAX(Transaksi!$L$2:$L$3000)-191,"")</f>
        <v/>
      </c>
      <c r="B196" s="23">
        <f>IF(A196="","",INDEX(Transaksi!$B$2:$B$3000,MATCH(A196,Transaksi!$L$2:$L$3000,0)))</f>
        <v/>
      </c>
      <c r="C196" s="24">
        <f>IF(A196="","",CHOOSE(WEEKDAY(B196,2),"Isnin","Selasa","Rabu","Khamis","Jumaat","Sabtu","Ahad"))</f>
        <v/>
      </c>
      <c r="D196" s="25">
        <f>IF(A196="","",COUNTIF(Transaksi!$L$2:$L$3000,A196))</f>
        <v/>
      </c>
      <c r="E196" s="13">
        <f>IF(A196="","",SUMIFS(Transaksi!$G$2:$G$3000,Transaksi!$L$2:$L$3000,A196)+SUMIFS(Transaksi!$H$2:$H$3000,Transaksi!$L$2:$L$3000,A196)+SUMIFS(Transaksi!$I$2:$I$3000,Transaksi!$L$2:$L$3000,A196))</f>
        <v/>
      </c>
      <c r="F196" s="14">
        <f>IF(A196="","",SUMIFS(Transaksi!$J$2:$J$3000,Transaksi!$L$2:$L$3000,A196))</f>
        <v/>
      </c>
      <c r="G196" s="15">
        <f>IF(A196="","",E196-F196)</f>
        <v/>
      </c>
      <c r="H196" s="16">
        <f>IF(A196="","",SUMIFS(Transaksi!$G$2:$G$3000,Transaksi!$L$2:$L$3000,"&lt;="&amp;A196)+SUMIFS(Transaksi!$H$2:$H$3000,Transaksi!$L$2:$L$3000,"&lt;="&amp;A196)+SUMIFS(Transaksi!$I$2:$I$3000,Transaksi!$L$2:$L$3000,"&lt;="&amp;A196)-(SUMIFS(Transaksi!$J$2:$J$3000,Transaksi!$L$2:$L$3000,"&lt;="&amp;A196)))</f>
        <v/>
      </c>
    </row>
    <row r="197">
      <c r="A197" s="22">
        <f>IF(193&lt;=MAX(Transaksi!$L$2:$L$3000),MAX(Transaksi!$L$2:$L$3000)-192,"")</f>
        <v/>
      </c>
      <c r="B197" s="23">
        <f>IF(A197="","",INDEX(Transaksi!$B$2:$B$3000,MATCH(A197,Transaksi!$L$2:$L$3000,0)))</f>
        <v/>
      </c>
      <c r="C197" s="24">
        <f>IF(A197="","",CHOOSE(WEEKDAY(B197,2),"Isnin","Selasa","Rabu","Khamis","Jumaat","Sabtu","Ahad"))</f>
        <v/>
      </c>
      <c r="D197" s="25">
        <f>IF(A197="","",COUNTIF(Transaksi!$L$2:$L$3000,A197))</f>
        <v/>
      </c>
      <c r="E197" s="13">
        <f>IF(A197="","",SUMIFS(Transaksi!$G$2:$G$3000,Transaksi!$L$2:$L$3000,A197)+SUMIFS(Transaksi!$H$2:$H$3000,Transaksi!$L$2:$L$3000,A197)+SUMIFS(Transaksi!$I$2:$I$3000,Transaksi!$L$2:$L$3000,A197))</f>
        <v/>
      </c>
      <c r="F197" s="14">
        <f>IF(A197="","",SUMIFS(Transaksi!$J$2:$J$3000,Transaksi!$L$2:$L$3000,A197))</f>
        <v/>
      </c>
      <c r="G197" s="15">
        <f>IF(A197="","",E197-F197)</f>
        <v/>
      </c>
      <c r="H197" s="16">
        <f>IF(A197="","",SUMIFS(Transaksi!$G$2:$G$3000,Transaksi!$L$2:$L$3000,"&lt;="&amp;A197)+SUMIFS(Transaksi!$H$2:$H$3000,Transaksi!$L$2:$L$3000,"&lt;="&amp;A197)+SUMIFS(Transaksi!$I$2:$I$3000,Transaksi!$L$2:$L$3000,"&lt;="&amp;A197)-(SUMIFS(Transaksi!$J$2:$J$3000,Transaksi!$L$2:$L$3000,"&lt;="&amp;A197)))</f>
        <v/>
      </c>
    </row>
    <row r="198">
      <c r="A198" s="22">
        <f>IF(194&lt;=MAX(Transaksi!$L$2:$L$3000),MAX(Transaksi!$L$2:$L$3000)-193,"")</f>
        <v/>
      </c>
      <c r="B198" s="23">
        <f>IF(A198="","",INDEX(Transaksi!$B$2:$B$3000,MATCH(A198,Transaksi!$L$2:$L$3000,0)))</f>
        <v/>
      </c>
      <c r="C198" s="24">
        <f>IF(A198="","",CHOOSE(WEEKDAY(B198,2),"Isnin","Selasa","Rabu","Khamis","Jumaat","Sabtu","Ahad"))</f>
        <v/>
      </c>
      <c r="D198" s="25">
        <f>IF(A198="","",COUNTIF(Transaksi!$L$2:$L$3000,A198))</f>
        <v/>
      </c>
      <c r="E198" s="13">
        <f>IF(A198="","",SUMIFS(Transaksi!$G$2:$G$3000,Transaksi!$L$2:$L$3000,A198)+SUMIFS(Transaksi!$H$2:$H$3000,Transaksi!$L$2:$L$3000,A198)+SUMIFS(Transaksi!$I$2:$I$3000,Transaksi!$L$2:$L$3000,A198))</f>
        <v/>
      </c>
      <c r="F198" s="14">
        <f>IF(A198="","",SUMIFS(Transaksi!$J$2:$J$3000,Transaksi!$L$2:$L$3000,A198))</f>
        <v/>
      </c>
      <c r="G198" s="15">
        <f>IF(A198="","",E198-F198)</f>
        <v/>
      </c>
      <c r="H198" s="16">
        <f>IF(A198="","",SUMIFS(Transaksi!$G$2:$G$3000,Transaksi!$L$2:$L$3000,"&lt;="&amp;A198)+SUMIFS(Transaksi!$H$2:$H$3000,Transaksi!$L$2:$L$3000,"&lt;="&amp;A198)+SUMIFS(Transaksi!$I$2:$I$3000,Transaksi!$L$2:$L$3000,"&lt;="&amp;A198)-(SUMIFS(Transaksi!$J$2:$J$3000,Transaksi!$L$2:$L$3000,"&lt;="&amp;A198)))</f>
        <v/>
      </c>
    </row>
    <row r="199">
      <c r="A199" s="22">
        <f>IF(195&lt;=MAX(Transaksi!$L$2:$L$3000),MAX(Transaksi!$L$2:$L$3000)-194,"")</f>
        <v/>
      </c>
      <c r="B199" s="23">
        <f>IF(A199="","",INDEX(Transaksi!$B$2:$B$3000,MATCH(A199,Transaksi!$L$2:$L$3000,0)))</f>
        <v/>
      </c>
      <c r="C199" s="24">
        <f>IF(A199="","",CHOOSE(WEEKDAY(B199,2),"Isnin","Selasa","Rabu","Khamis","Jumaat","Sabtu","Ahad"))</f>
        <v/>
      </c>
      <c r="D199" s="25">
        <f>IF(A199="","",COUNTIF(Transaksi!$L$2:$L$3000,A199))</f>
        <v/>
      </c>
      <c r="E199" s="13">
        <f>IF(A199="","",SUMIFS(Transaksi!$G$2:$G$3000,Transaksi!$L$2:$L$3000,A199)+SUMIFS(Transaksi!$H$2:$H$3000,Transaksi!$L$2:$L$3000,A199)+SUMIFS(Transaksi!$I$2:$I$3000,Transaksi!$L$2:$L$3000,A199))</f>
        <v/>
      </c>
      <c r="F199" s="14">
        <f>IF(A199="","",SUMIFS(Transaksi!$J$2:$J$3000,Transaksi!$L$2:$L$3000,A199))</f>
        <v/>
      </c>
      <c r="G199" s="15">
        <f>IF(A199="","",E199-F199)</f>
        <v/>
      </c>
      <c r="H199" s="16">
        <f>IF(A199="","",SUMIFS(Transaksi!$G$2:$G$3000,Transaksi!$L$2:$L$3000,"&lt;="&amp;A199)+SUMIFS(Transaksi!$H$2:$H$3000,Transaksi!$L$2:$L$3000,"&lt;="&amp;A199)+SUMIFS(Transaksi!$I$2:$I$3000,Transaksi!$L$2:$L$3000,"&lt;="&amp;A199)-(SUMIFS(Transaksi!$J$2:$J$3000,Transaksi!$L$2:$L$3000,"&lt;="&amp;A199)))</f>
        <v/>
      </c>
    </row>
    <row r="200">
      <c r="A200" s="22">
        <f>IF(196&lt;=MAX(Transaksi!$L$2:$L$3000),MAX(Transaksi!$L$2:$L$3000)-195,"")</f>
        <v/>
      </c>
      <c r="B200" s="23">
        <f>IF(A200="","",INDEX(Transaksi!$B$2:$B$3000,MATCH(A200,Transaksi!$L$2:$L$3000,0)))</f>
        <v/>
      </c>
      <c r="C200" s="24">
        <f>IF(A200="","",CHOOSE(WEEKDAY(B200,2),"Isnin","Selasa","Rabu","Khamis","Jumaat","Sabtu","Ahad"))</f>
        <v/>
      </c>
      <c r="D200" s="25">
        <f>IF(A200="","",COUNTIF(Transaksi!$L$2:$L$3000,A200))</f>
        <v/>
      </c>
      <c r="E200" s="13">
        <f>IF(A200="","",SUMIFS(Transaksi!$G$2:$G$3000,Transaksi!$L$2:$L$3000,A200)+SUMIFS(Transaksi!$H$2:$H$3000,Transaksi!$L$2:$L$3000,A200)+SUMIFS(Transaksi!$I$2:$I$3000,Transaksi!$L$2:$L$3000,A200))</f>
        <v/>
      </c>
      <c r="F200" s="14">
        <f>IF(A200="","",SUMIFS(Transaksi!$J$2:$J$3000,Transaksi!$L$2:$L$3000,A200))</f>
        <v/>
      </c>
      <c r="G200" s="15">
        <f>IF(A200="","",E200-F200)</f>
        <v/>
      </c>
      <c r="H200" s="16">
        <f>IF(A200="","",SUMIFS(Transaksi!$G$2:$G$3000,Transaksi!$L$2:$L$3000,"&lt;="&amp;A200)+SUMIFS(Transaksi!$H$2:$H$3000,Transaksi!$L$2:$L$3000,"&lt;="&amp;A200)+SUMIFS(Transaksi!$I$2:$I$3000,Transaksi!$L$2:$L$3000,"&lt;="&amp;A200)-(SUMIFS(Transaksi!$J$2:$J$3000,Transaksi!$L$2:$L$3000,"&lt;="&amp;A200)))</f>
        <v/>
      </c>
    </row>
    <row r="201">
      <c r="A201" s="22">
        <f>IF(197&lt;=MAX(Transaksi!$L$2:$L$3000),MAX(Transaksi!$L$2:$L$3000)-196,"")</f>
        <v/>
      </c>
      <c r="B201" s="23">
        <f>IF(A201="","",INDEX(Transaksi!$B$2:$B$3000,MATCH(A201,Transaksi!$L$2:$L$3000,0)))</f>
        <v/>
      </c>
      <c r="C201" s="24">
        <f>IF(A201="","",CHOOSE(WEEKDAY(B201,2),"Isnin","Selasa","Rabu","Khamis","Jumaat","Sabtu","Ahad"))</f>
        <v/>
      </c>
      <c r="D201" s="25">
        <f>IF(A201="","",COUNTIF(Transaksi!$L$2:$L$3000,A201))</f>
        <v/>
      </c>
      <c r="E201" s="13">
        <f>IF(A201="","",SUMIFS(Transaksi!$G$2:$G$3000,Transaksi!$L$2:$L$3000,A201)+SUMIFS(Transaksi!$H$2:$H$3000,Transaksi!$L$2:$L$3000,A201)+SUMIFS(Transaksi!$I$2:$I$3000,Transaksi!$L$2:$L$3000,A201))</f>
        <v/>
      </c>
      <c r="F201" s="14">
        <f>IF(A201="","",SUMIFS(Transaksi!$J$2:$J$3000,Transaksi!$L$2:$L$3000,A201))</f>
        <v/>
      </c>
      <c r="G201" s="15">
        <f>IF(A201="","",E201-F201)</f>
        <v/>
      </c>
      <c r="H201" s="16">
        <f>IF(A201="","",SUMIFS(Transaksi!$G$2:$G$3000,Transaksi!$L$2:$L$3000,"&lt;="&amp;A201)+SUMIFS(Transaksi!$H$2:$H$3000,Transaksi!$L$2:$L$3000,"&lt;="&amp;A201)+SUMIFS(Transaksi!$I$2:$I$3000,Transaksi!$L$2:$L$3000,"&lt;="&amp;A201)-(SUMIFS(Transaksi!$J$2:$J$3000,Transaksi!$L$2:$L$3000,"&lt;="&amp;A201)))</f>
        <v/>
      </c>
    </row>
    <row r="202">
      <c r="A202" s="22">
        <f>IF(198&lt;=MAX(Transaksi!$L$2:$L$3000),MAX(Transaksi!$L$2:$L$3000)-197,"")</f>
        <v/>
      </c>
      <c r="B202" s="23">
        <f>IF(A202="","",INDEX(Transaksi!$B$2:$B$3000,MATCH(A202,Transaksi!$L$2:$L$3000,0)))</f>
        <v/>
      </c>
      <c r="C202" s="24">
        <f>IF(A202="","",CHOOSE(WEEKDAY(B202,2),"Isnin","Selasa","Rabu","Khamis","Jumaat","Sabtu","Ahad"))</f>
        <v/>
      </c>
      <c r="D202" s="25">
        <f>IF(A202="","",COUNTIF(Transaksi!$L$2:$L$3000,A202))</f>
        <v/>
      </c>
      <c r="E202" s="13">
        <f>IF(A202="","",SUMIFS(Transaksi!$G$2:$G$3000,Transaksi!$L$2:$L$3000,A202)+SUMIFS(Transaksi!$H$2:$H$3000,Transaksi!$L$2:$L$3000,A202)+SUMIFS(Transaksi!$I$2:$I$3000,Transaksi!$L$2:$L$3000,A202))</f>
        <v/>
      </c>
      <c r="F202" s="14">
        <f>IF(A202="","",SUMIFS(Transaksi!$J$2:$J$3000,Transaksi!$L$2:$L$3000,A202))</f>
        <v/>
      </c>
      <c r="G202" s="15">
        <f>IF(A202="","",E202-F202)</f>
        <v/>
      </c>
      <c r="H202" s="16">
        <f>IF(A202="","",SUMIFS(Transaksi!$G$2:$G$3000,Transaksi!$L$2:$L$3000,"&lt;="&amp;A202)+SUMIFS(Transaksi!$H$2:$H$3000,Transaksi!$L$2:$L$3000,"&lt;="&amp;A202)+SUMIFS(Transaksi!$I$2:$I$3000,Transaksi!$L$2:$L$3000,"&lt;="&amp;A202)-(SUMIFS(Transaksi!$J$2:$J$3000,Transaksi!$L$2:$L$3000,"&lt;="&amp;A202)))</f>
        <v/>
      </c>
    </row>
    <row r="203">
      <c r="A203" s="22">
        <f>IF(199&lt;=MAX(Transaksi!$L$2:$L$3000),MAX(Transaksi!$L$2:$L$3000)-198,"")</f>
        <v/>
      </c>
      <c r="B203" s="23">
        <f>IF(A203="","",INDEX(Transaksi!$B$2:$B$3000,MATCH(A203,Transaksi!$L$2:$L$3000,0)))</f>
        <v/>
      </c>
      <c r="C203" s="24">
        <f>IF(A203="","",CHOOSE(WEEKDAY(B203,2),"Isnin","Selasa","Rabu","Khamis","Jumaat","Sabtu","Ahad"))</f>
        <v/>
      </c>
      <c r="D203" s="25">
        <f>IF(A203="","",COUNTIF(Transaksi!$L$2:$L$3000,A203))</f>
        <v/>
      </c>
      <c r="E203" s="13">
        <f>IF(A203="","",SUMIFS(Transaksi!$G$2:$G$3000,Transaksi!$L$2:$L$3000,A203)+SUMIFS(Transaksi!$H$2:$H$3000,Transaksi!$L$2:$L$3000,A203)+SUMIFS(Transaksi!$I$2:$I$3000,Transaksi!$L$2:$L$3000,A203))</f>
        <v/>
      </c>
      <c r="F203" s="14">
        <f>IF(A203="","",SUMIFS(Transaksi!$J$2:$J$3000,Transaksi!$L$2:$L$3000,A203))</f>
        <v/>
      </c>
      <c r="G203" s="15">
        <f>IF(A203="","",E203-F203)</f>
        <v/>
      </c>
      <c r="H203" s="16">
        <f>IF(A203="","",SUMIFS(Transaksi!$G$2:$G$3000,Transaksi!$L$2:$L$3000,"&lt;="&amp;A203)+SUMIFS(Transaksi!$H$2:$H$3000,Transaksi!$L$2:$L$3000,"&lt;="&amp;A203)+SUMIFS(Transaksi!$I$2:$I$3000,Transaksi!$L$2:$L$3000,"&lt;="&amp;A203)-(SUMIFS(Transaksi!$J$2:$J$3000,Transaksi!$L$2:$L$3000,"&lt;="&amp;A203)))</f>
        <v/>
      </c>
    </row>
    <row r="204">
      <c r="A204" s="22">
        <f>IF(200&lt;=MAX(Transaksi!$L$2:$L$3000),MAX(Transaksi!$L$2:$L$3000)-199,"")</f>
        <v/>
      </c>
      <c r="B204" s="23">
        <f>IF(A204="","",INDEX(Transaksi!$B$2:$B$3000,MATCH(A204,Transaksi!$L$2:$L$3000,0)))</f>
        <v/>
      </c>
      <c r="C204" s="24">
        <f>IF(A204="","",CHOOSE(WEEKDAY(B204,2),"Isnin","Selasa","Rabu","Khamis","Jumaat","Sabtu","Ahad"))</f>
        <v/>
      </c>
      <c r="D204" s="25">
        <f>IF(A204="","",COUNTIF(Transaksi!$L$2:$L$3000,A204))</f>
        <v/>
      </c>
      <c r="E204" s="13">
        <f>IF(A204="","",SUMIFS(Transaksi!$G$2:$G$3000,Transaksi!$L$2:$L$3000,A204)+SUMIFS(Transaksi!$H$2:$H$3000,Transaksi!$L$2:$L$3000,A204)+SUMIFS(Transaksi!$I$2:$I$3000,Transaksi!$L$2:$L$3000,A204))</f>
        <v/>
      </c>
      <c r="F204" s="14">
        <f>IF(A204="","",SUMIFS(Transaksi!$J$2:$J$3000,Transaksi!$L$2:$L$3000,A204))</f>
        <v/>
      </c>
      <c r="G204" s="15">
        <f>IF(A204="","",E204-F204)</f>
        <v/>
      </c>
      <c r="H204" s="16">
        <f>IF(A204="","",SUMIFS(Transaksi!$G$2:$G$3000,Transaksi!$L$2:$L$3000,"&lt;="&amp;A204)+SUMIFS(Transaksi!$H$2:$H$3000,Transaksi!$L$2:$L$3000,"&lt;="&amp;A204)+SUMIFS(Transaksi!$I$2:$I$3000,Transaksi!$L$2:$L$3000,"&lt;="&amp;A204)-(SUMIFS(Transaksi!$J$2:$J$3000,Transaksi!$L$2:$L$3000,"&lt;="&amp;A204)))</f>
        <v/>
      </c>
    </row>
    <row r="205">
      <c r="A205" s="22">
        <f>IF(201&lt;=MAX(Transaksi!$L$2:$L$3000),MAX(Transaksi!$L$2:$L$3000)-200,"")</f>
        <v/>
      </c>
      <c r="B205" s="23">
        <f>IF(A205="","",INDEX(Transaksi!$B$2:$B$3000,MATCH(A205,Transaksi!$L$2:$L$3000,0)))</f>
        <v/>
      </c>
      <c r="C205" s="24">
        <f>IF(A205="","",CHOOSE(WEEKDAY(B205,2),"Isnin","Selasa","Rabu","Khamis","Jumaat","Sabtu","Ahad"))</f>
        <v/>
      </c>
      <c r="D205" s="25">
        <f>IF(A205="","",COUNTIF(Transaksi!$L$2:$L$3000,A205))</f>
        <v/>
      </c>
      <c r="E205" s="13">
        <f>IF(A205="","",SUMIFS(Transaksi!$G$2:$G$3000,Transaksi!$L$2:$L$3000,A205)+SUMIFS(Transaksi!$H$2:$H$3000,Transaksi!$L$2:$L$3000,A205)+SUMIFS(Transaksi!$I$2:$I$3000,Transaksi!$L$2:$L$3000,A205))</f>
        <v/>
      </c>
      <c r="F205" s="14">
        <f>IF(A205="","",SUMIFS(Transaksi!$J$2:$J$3000,Transaksi!$L$2:$L$3000,A205))</f>
        <v/>
      </c>
      <c r="G205" s="15">
        <f>IF(A205="","",E205-F205)</f>
        <v/>
      </c>
      <c r="H205" s="16">
        <f>IF(A205="","",SUMIFS(Transaksi!$G$2:$G$3000,Transaksi!$L$2:$L$3000,"&lt;="&amp;A205)+SUMIFS(Transaksi!$H$2:$H$3000,Transaksi!$L$2:$L$3000,"&lt;="&amp;A205)+SUMIFS(Transaksi!$I$2:$I$3000,Transaksi!$L$2:$L$3000,"&lt;="&amp;A205)-(SUMIFS(Transaksi!$J$2:$J$3000,Transaksi!$L$2:$L$3000,"&lt;="&amp;A205)))</f>
        <v/>
      </c>
    </row>
    <row r="206">
      <c r="A206" s="22">
        <f>IF(202&lt;=MAX(Transaksi!$L$2:$L$3000),MAX(Transaksi!$L$2:$L$3000)-201,"")</f>
        <v/>
      </c>
      <c r="B206" s="23">
        <f>IF(A206="","",INDEX(Transaksi!$B$2:$B$3000,MATCH(A206,Transaksi!$L$2:$L$3000,0)))</f>
        <v/>
      </c>
      <c r="C206" s="24">
        <f>IF(A206="","",CHOOSE(WEEKDAY(B206,2),"Isnin","Selasa","Rabu","Khamis","Jumaat","Sabtu","Ahad"))</f>
        <v/>
      </c>
      <c r="D206" s="25">
        <f>IF(A206="","",COUNTIF(Transaksi!$L$2:$L$3000,A206))</f>
        <v/>
      </c>
      <c r="E206" s="13">
        <f>IF(A206="","",SUMIFS(Transaksi!$G$2:$G$3000,Transaksi!$L$2:$L$3000,A206)+SUMIFS(Transaksi!$H$2:$H$3000,Transaksi!$L$2:$L$3000,A206)+SUMIFS(Transaksi!$I$2:$I$3000,Transaksi!$L$2:$L$3000,A206))</f>
        <v/>
      </c>
      <c r="F206" s="14">
        <f>IF(A206="","",SUMIFS(Transaksi!$J$2:$J$3000,Transaksi!$L$2:$L$3000,A206))</f>
        <v/>
      </c>
      <c r="G206" s="15">
        <f>IF(A206="","",E206-F206)</f>
        <v/>
      </c>
      <c r="H206" s="16">
        <f>IF(A206="","",SUMIFS(Transaksi!$G$2:$G$3000,Transaksi!$L$2:$L$3000,"&lt;="&amp;A206)+SUMIFS(Transaksi!$H$2:$H$3000,Transaksi!$L$2:$L$3000,"&lt;="&amp;A206)+SUMIFS(Transaksi!$I$2:$I$3000,Transaksi!$L$2:$L$3000,"&lt;="&amp;A206)-(SUMIFS(Transaksi!$J$2:$J$3000,Transaksi!$L$2:$L$3000,"&lt;="&amp;A206)))</f>
        <v/>
      </c>
    </row>
    <row r="207">
      <c r="A207" s="22">
        <f>IF(203&lt;=MAX(Transaksi!$L$2:$L$3000),MAX(Transaksi!$L$2:$L$3000)-202,"")</f>
        <v/>
      </c>
      <c r="B207" s="23">
        <f>IF(A207="","",INDEX(Transaksi!$B$2:$B$3000,MATCH(A207,Transaksi!$L$2:$L$3000,0)))</f>
        <v/>
      </c>
      <c r="C207" s="24">
        <f>IF(A207="","",CHOOSE(WEEKDAY(B207,2),"Isnin","Selasa","Rabu","Khamis","Jumaat","Sabtu","Ahad"))</f>
        <v/>
      </c>
      <c r="D207" s="25">
        <f>IF(A207="","",COUNTIF(Transaksi!$L$2:$L$3000,A207))</f>
        <v/>
      </c>
      <c r="E207" s="13">
        <f>IF(A207="","",SUMIFS(Transaksi!$G$2:$G$3000,Transaksi!$L$2:$L$3000,A207)+SUMIFS(Transaksi!$H$2:$H$3000,Transaksi!$L$2:$L$3000,A207)+SUMIFS(Transaksi!$I$2:$I$3000,Transaksi!$L$2:$L$3000,A207))</f>
        <v/>
      </c>
      <c r="F207" s="14">
        <f>IF(A207="","",SUMIFS(Transaksi!$J$2:$J$3000,Transaksi!$L$2:$L$3000,A207))</f>
        <v/>
      </c>
      <c r="G207" s="15">
        <f>IF(A207="","",E207-F207)</f>
        <v/>
      </c>
      <c r="H207" s="16">
        <f>IF(A207="","",SUMIFS(Transaksi!$G$2:$G$3000,Transaksi!$L$2:$L$3000,"&lt;="&amp;A207)+SUMIFS(Transaksi!$H$2:$H$3000,Transaksi!$L$2:$L$3000,"&lt;="&amp;A207)+SUMIFS(Transaksi!$I$2:$I$3000,Transaksi!$L$2:$L$3000,"&lt;="&amp;A207)-(SUMIFS(Transaksi!$J$2:$J$3000,Transaksi!$L$2:$L$3000,"&lt;="&amp;A207)))</f>
        <v/>
      </c>
    </row>
    <row r="208">
      <c r="A208" s="22">
        <f>IF(204&lt;=MAX(Transaksi!$L$2:$L$3000),MAX(Transaksi!$L$2:$L$3000)-203,"")</f>
        <v/>
      </c>
      <c r="B208" s="23">
        <f>IF(A208="","",INDEX(Transaksi!$B$2:$B$3000,MATCH(A208,Transaksi!$L$2:$L$3000,0)))</f>
        <v/>
      </c>
      <c r="C208" s="24">
        <f>IF(A208="","",CHOOSE(WEEKDAY(B208,2),"Isnin","Selasa","Rabu","Khamis","Jumaat","Sabtu","Ahad"))</f>
        <v/>
      </c>
      <c r="D208" s="25">
        <f>IF(A208="","",COUNTIF(Transaksi!$L$2:$L$3000,A208))</f>
        <v/>
      </c>
      <c r="E208" s="13">
        <f>IF(A208="","",SUMIFS(Transaksi!$G$2:$G$3000,Transaksi!$L$2:$L$3000,A208)+SUMIFS(Transaksi!$H$2:$H$3000,Transaksi!$L$2:$L$3000,A208)+SUMIFS(Transaksi!$I$2:$I$3000,Transaksi!$L$2:$L$3000,A208))</f>
        <v/>
      </c>
      <c r="F208" s="14">
        <f>IF(A208="","",SUMIFS(Transaksi!$J$2:$J$3000,Transaksi!$L$2:$L$3000,A208))</f>
        <v/>
      </c>
      <c r="G208" s="15">
        <f>IF(A208="","",E208-F208)</f>
        <v/>
      </c>
      <c r="H208" s="16">
        <f>IF(A208="","",SUMIFS(Transaksi!$G$2:$G$3000,Transaksi!$L$2:$L$3000,"&lt;="&amp;A208)+SUMIFS(Transaksi!$H$2:$H$3000,Transaksi!$L$2:$L$3000,"&lt;="&amp;A208)+SUMIFS(Transaksi!$I$2:$I$3000,Transaksi!$L$2:$L$3000,"&lt;="&amp;A208)-(SUMIFS(Transaksi!$J$2:$J$3000,Transaksi!$L$2:$L$3000,"&lt;="&amp;A208)))</f>
        <v/>
      </c>
    </row>
    <row r="209">
      <c r="A209" s="22">
        <f>IF(205&lt;=MAX(Transaksi!$L$2:$L$3000),MAX(Transaksi!$L$2:$L$3000)-204,"")</f>
        <v/>
      </c>
      <c r="B209" s="23">
        <f>IF(A209="","",INDEX(Transaksi!$B$2:$B$3000,MATCH(A209,Transaksi!$L$2:$L$3000,0)))</f>
        <v/>
      </c>
      <c r="C209" s="24">
        <f>IF(A209="","",CHOOSE(WEEKDAY(B209,2),"Isnin","Selasa","Rabu","Khamis","Jumaat","Sabtu","Ahad"))</f>
        <v/>
      </c>
      <c r="D209" s="25">
        <f>IF(A209="","",COUNTIF(Transaksi!$L$2:$L$3000,A209))</f>
        <v/>
      </c>
      <c r="E209" s="13">
        <f>IF(A209="","",SUMIFS(Transaksi!$G$2:$G$3000,Transaksi!$L$2:$L$3000,A209)+SUMIFS(Transaksi!$H$2:$H$3000,Transaksi!$L$2:$L$3000,A209)+SUMIFS(Transaksi!$I$2:$I$3000,Transaksi!$L$2:$L$3000,A209))</f>
        <v/>
      </c>
      <c r="F209" s="14">
        <f>IF(A209="","",SUMIFS(Transaksi!$J$2:$J$3000,Transaksi!$L$2:$L$3000,A209))</f>
        <v/>
      </c>
      <c r="G209" s="15">
        <f>IF(A209="","",E209-F209)</f>
        <v/>
      </c>
      <c r="H209" s="16">
        <f>IF(A209="","",SUMIFS(Transaksi!$G$2:$G$3000,Transaksi!$L$2:$L$3000,"&lt;="&amp;A209)+SUMIFS(Transaksi!$H$2:$H$3000,Transaksi!$L$2:$L$3000,"&lt;="&amp;A209)+SUMIFS(Transaksi!$I$2:$I$3000,Transaksi!$L$2:$L$3000,"&lt;="&amp;A209)-(SUMIFS(Transaksi!$J$2:$J$3000,Transaksi!$L$2:$L$3000,"&lt;="&amp;A209)))</f>
        <v/>
      </c>
    </row>
    <row r="210">
      <c r="A210" s="22">
        <f>IF(206&lt;=MAX(Transaksi!$L$2:$L$3000),MAX(Transaksi!$L$2:$L$3000)-205,"")</f>
        <v/>
      </c>
      <c r="B210" s="23">
        <f>IF(A210="","",INDEX(Transaksi!$B$2:$B$3000,MATCH(A210,Transaksi!$L$2:$L$3000,0)))</f>
        <v/>
      </c>
      <c r="C210" s="24">
        <f>IF(A210="","",CHOOSE(WEEKDAY(B210,2),"Isnin","Selasa","Rabu","Khamis","Jumaat","Sabtu","Ahad"))</f>
        <v/>
      </c>
      <c r="D210" s="25">
        <f>IF(A210="","",COUNTIF(Transaksi!$L$2:$L$3000,A210))</f>
        <v/>
      </c>
      <c r="E210" s="13">
        <f>IF(A210="","",SUMIFS(Transaksi!$G$2:$G$3000,Transaksi!$L$2:$L$3000,A210)+SUMIFS(Transaksi!$H$2:$H$3000,Transaksi!$L$2:$L$3000,A210)+SUMIFS(Transaksi!$I$2:$I$3000,Transaksi!$L$2:$L$3000,A210))</f>
        <v/>
      </c>
      <c r="F210" s="14">
        <f>IF(A210="","",SUMIFS(Transaksi!$J$2:$J$3000,Transaksi!$L$2:$L$3000,A210))</f>
        <v/>
      </c>
      <c r="G210" s="15">
        <f>IF(A210="","",E210-F210)</f>
        <v/>
      </c>
      <c r="H210" s="16">
        <f>IF(A210="","",SUMIFS(Transaksi!$G$2:$G$3000,Transaksi!$L$2:$L$3000,"&lt;="&amp;A210)+SUMIFS(Transaksi!$H$2:$H$3000,Transaksi!$L$2:$L$3000,"&lt;="&amp;A210)+SUMIFS(Transaksi!$I$2:$I$3000,Transaksi!$L$2:$L$3000,"&lt;="&amp;A210)-(SUMIFS(Transaksi!$J$2:$J$3000,Transaksi!$L$2:$L$3000,"&lt;="&amp;A210)))</f>
        <v/>
      </c>
    </row>
    <row r="211">
      <c r="A211" s="22">
        <f>IF(207&lt;=MAX(Transaksi!$L$2:$L$3000),MAX(Transaksi!$L$2:$L$3000)-206,"")</f>
        <v/>
      </c>
      <c r="B211" s="23">
        <f>IF(A211="","",INDEX(Transaksi!$B$2:$B$3000,MATCH(A211,Transaksi!$L$2:$L$3000,0)))</f>
        <v/>
      </c>
      <c r="C211" s="24">
        <f>IF(A211="","",CHOOSE(WEEKDAY(B211,2),"Isnin","Selasa","Rabu","Khamis","Jumaat","Sabtu","Ahad"))</f>
        <v/>
      </c>
      <c r="D211" s="25">
        <f>IF(A211="","",COUNTIF(Transaksi!$L$2:$L$3000,A211))</f>
        <v/>
      </c>
      <c r="E211" s="13">
        <f>IF(A211="","",SUMIFS(Transaksi!$G$2:$G$3000,Transaksi!$L$2:$L$3000,A211)+SUMIFS(Transaksi!$H$2:$H$3000,Transaksi!$L$2:$L$3000,A211)+SUMIFS(Transaksi!$I$2:$I$3000,Transaksi!$L$2:$L$3000,A211))</f>
        <v/>
      </c>
      <c r="F211" s="14">
        <f>IF(A211="","",SUMIFS(Transaksi!$J$2:$J$3000,Transaksi!$L$2:$L$3000,A211))</f>
        <v/>
      </c>
      <c r="G211" s="15">
        <f>IF(A211="","",E211-F211)</f>
        <v/>
      </c>
      <c r="H211" s="16">
        <f>IF(A211="","",SUMIFS(Transaksi!$G$2:$G$3000,Transaksi!$L$2:$L$3000,"&lt;="&amp;A211)+SUMIFS(Transaksi!$H$2:$H$3000,Transaksi!$L$2:$L$3000,"&lt;="&amp;A211)+SUMIFS(Transaksi!$I$2:$I$3000,Transaksi!$L$2:$L$3000,"&lt;="&amp;A211)-(SUMIFS(Transaksi!$J$2:$J$3000,Transaksi!$L$2:$L$3000,"&lt;="&amp;A211)))</f>
        <v/>
      </c>
    </row>
    <row r="212">
      <c r="A212" s="22">
        <f>IF(208&lt;=MAX(Transaksi!$L$2:$L$3000),MAX(Transaksi!$L$2:$L$3000)-207,"")</f>
        <v/>
      </c>
      <c r="B212" s="23">
        <f>IF(A212="","",INDEX(Transaksi!$B$2:$B$3000,MATCH(A212,Transaksi!$L$2:$L$3000,0)))</f>
        <v/>
      </c>
      <c r="C212" s="24">
        <f>IF(A212="","",CHOOSE(WEEKDAY(B212,2),"Isnin","Selasa","Rabu","Khamis","Jumaat","Sabtu","Ahad"))</f>
        <v/>
      </c>
      <c r="D212" s="25">
        <f>IF(A212="","",COUNTIF(Transaksi!$L$2:$L$3000,A212))</f>
        <v/>
      </c>
      <c r="E212" s="13">
        <f>IF(A212="","",SUMIFS(Transaksi!$G$2:$G$3000,Transaksi!$L$2:$L$3000,A212)+SUMIFS(Transaksi!$H$2:$H$3000,Transaksi!$L$2:$L$3000,A212)+SUMIFS(Transaksi!$I$2:$I$3000,Transaksi!$L$2:$L$3000,A212))</f>
        <v/>
      </c>
      <c r="F212" s="14">
        <f>IF(A212="","",SUMIFS(Transaksi!$J$2:$J$3000,Transaksi!$L$2:$L$3000,A212))</f>
        <v/>
      </c>
      <c r="G212" s="15">
        <f>IF(A212="","",E212-F212)</f>
        <v/>
      </c>
      <c r="H212" s="16">
        <f>IF(A212="","",SUMIFS(Transaksi!$G$2:$G$3000,Transaksi!$L$2:$L$3000,"&lt;="&amp;A212)+SUMIFS(Transaksi!$H$2:$H$3000,Transaksi!$L$2:$L$3000,"&lt;="&amp;A212)+SUMIFS(Transaksi!$I$2:$I$3000,Transaksi!$L$2:$L$3000,"&lt;="&amp;A212)-(SUMIFS(Transaksi!$J$2:$J$3000,Transaksi!$L$2:$L$3000,"&lt;="&amp;A212)))</f>
        <v/>
      </c>
    </row>
    <row r="213">
      <c r="A213" s="22">
        <f>IF(209&lt;=MAX(Transaksi!$L$2:$L$3000),MAX(Transaksi!$L$2:$L$3000)-208,"")</f>
        <v/>
      </c>
      <c r="B213" s="23">
        <f>IF(A213="","",INDEX(Transaksi!$B$2:$B$3000,MATCH(A213,Transaksi!$L$2:$L$3000,0)))</f>
        <v/>
      </c>
      <c r="C213" s="24">
        <f>IF(A213="","",CHOOSE(WEEKDAY(B213,2),"Isnin","Selasa","Rabu","Khamis","Jumaat","Sabtu","Ahad"))</f>
        <v/>
      </c>
      <c r="D213" s="25">
        <f>IF(A213="","",COUNTIF(Transaksi!$L$2:$L$3000,A213))</f>
        <v/>
      </c>
      <c r="E213" s="13">
        <f>IF(A213="","",SUMIFS(Transaksi!$G$2:$G$3000,Transaksi!$L$2:$L$3000,A213)+SUMIFS(Transaksi!$H$2:$H$3000,Transaksi!$L$2:$L$3000,A213)+SUMIFS(Transaksi!$I$2:$I$3000,Transaksi!$L$2:$L$3000,A213))</f>
        <v/>
      </c>
      <c r="F213" s="14">
        <f>IF(A213="","",SUMIFS(Transaksi!$J$2:$J$3000,Transaksi!$L$2:$L$3000,A213))</f>
        <v/>
      </c>
      <c r="G213" s="15">
        <f>IF(A213="","",E213-F213)</f>
        <v/>
      </c>
      <c r="H213" s="16">
        <f>IF(A213="","",SUMIFS(Transaksi!$G$2:$G$3000,Transaksi!$L$2:$L$3000,"&lt;="&amp;A213)+SUMIFS(Transaksi!$H$2:$H$3000,Transaksi!$L$2:$L$3000,"&lt;="&amp;A213)+SUMIFS(Transaksi!$I$2:$I$3000,Transaksi!$L$2:$L$3000,"&lt;="&amp;A213)-(SUMIFS(Transaksi!$J$2:$J$3000,Transaksi!$L$2:$L$3000,"&lt;="&amp;A213)))</f>
        <v/>
      </c>
    </row>
    <row r="214">
      <c r="A214" s="22">
        <f>IF(210&lt;=MAX(Transaksi!$L$2:$L$3000),MAX(Transaksi!$L$2:$L$3000)-209,"")</f>
        <v/>
      </c>
      <c r="B214" s="23">
        <f>IF(A214="","",INDEX(Transaksi!$B$2:$B$3000,MATCH(A214,Transaksi!$L$2:$L$3000,0)))</f>
        <v/>
      </c>
      <c r="C214" s="24">
        <f>IF(A214="","",CHOOSE(WEEKDAY(B214,2),"Isnin","Selasa","Rabu","Khamis","Jumaat","Sabtu","Ahad"))</f>
        <v/>
      </c>
      <c r="D214" s="25">
        <f>IF(A214="","",COUNTIF(Transaksi!$L$2:$L$3000,A214))</f>
        <v/>
      </c>
      <c r="E214" s="13">
        <f>IF(A214="","",SUMIFS(Transaksi!$G$2:$G$3000,Transaksi!$L$2:$L$3000,A214)+SUMIFS(Transaksi!$H$2:$H$3000,Transaksi!$L$2:$L$3000,A214)+SUMIFS(Transaksi!$I$2:$I$3000,Transaksi!$L$2:$L$3000,A214))</f>
        <v/>
      </c>
      <c r="F214" s="14">
        <f>IF(A214="","",SUMIFS(Transaksi!$J$2:$J$3000,Transaksi!$L$2:$L$3000,A214))</f>
        <v/>
      </c>
      <c r="G214" s="15">
        <f>IF(A214="","",E214-F214)</f>
        <v/>
      </c>
      <c r="H214" s="16">
        <f>IF(A214="","",SUMIFS(Transaksi!$G$2:$G$3000,Transaksi!$L$2:$L$3000,"&lt;="&amp;A214)+SUMIFS(Transaksi!$H$2:$H$3000,Transaksi!$L$2:$L$3000,"&lt;="&amp;A214)+SUMIFS(Transaksi!$I$2:$I$3000,Transaksi!$L$2:$L$3000,"&lt;="&amp;A214)-(SUMIFS(Transaksi!$J$2:$J$3000,Transaksi!$L$2:$L$3000,"&lt;="&amp;A214)))</f>
        <v/>
      </c>
    </row>
    <row r="215">
      <c r="A215" s="22">
        <f>IF(211&lt;=MAX(Transaksi!$L$2:$L$3000),MAX(Transaksi!$L$2:$L$3000)-210,"")</f>
        <v/>
      </c>
      <c r="B215" s="23">
        <f>IF(A215="","",INDEX(Transaksi!$B$2:$B$3000,MATCH(A215,Transaksi!$L$2:$L$3000,0)))</f>
        <v/>
      </c>
      <c r="C215" s="24">
        <f>IF(A215="","",CHOOSE(WEEKDAY(B215,2),"Isnin","Selasa","Rabu","Khamis","Jumaat","Sabtu","Ahad"))</f>
        <v/>
      </c>
      <c r="D215" s="25">
        <f>IF(A215="","",COUNTIF(Transaksi!$L$2:$L$3000,A215))</f>
        <v/>
      </c>
      <c r="E215" s="13">
        <f>IF(A215="","",SUMIFS(Transaksi!$G$2:$G$3000,Transaksi!$L$2:$L$3000,A215)+SUMIFS(Transaksi!$H$2:$H$3000,Transaksi!$L$2:$L$3000,A215)+SUMIFS(Transaksi!$I$2:$I$3000,Transaksi!$L$2:$L$3000,A215))</f>
        <v/>
      </c>
      <c r="F215" s="14">
        <f>IF(A215="","",SUMIFS(Transaksi!$J$2:$J$3000,Transaksi!$L$2:$L$3000,A215))</f>
        <v/>
      </c>
      <c r="G215" s="15">
        <f>IF(A215="","",E215-F215)</f>
        <v/>
      </c>
      <c r="H215" s="16">
        <f>IF(A215="","",SUMIFS(Transaksi!$G$2:$G$3000,Transaksi!$L$2:$L$3000,"&lt;="&amp;A215)+SUMIFS(Transaksi!$H$2:$H$3000,Transaksi!$L$2:$L$3000,"&lt;="&amp;A215)+SUMIFS(Transaksi!$I$2:$I$3000,Transaksi!$L$2:$L$3000,"&lt;="&amp;A215)-(SUMIFS(Transaksi!$J$2:$J$3000,Transaksi!$L$2:$L$3000,"&lt;="&amp;A215)))</f>
        <v/>
      </c>
    </row>
    <row r="216">
      <c r="A216" s="22">
        <f>IF(212&lt;=MAX(Transaksi!$L$2:$L$3000),MAX(Transaksi!$L$2:$L$3000)-211,"")</f>
        <v/>
      </c>
      <c r="B216" s="23">
        <f>IF(A216="","",INDEX(Transaksi!$B$2:$B$3000,MATCH(A216,Transaksi!$L$2:$L$3000,0)))</f>
        <v/>
      </c>
      <c r="C216" s="24">
        <f>IF(A216="","",CHOOSE(WEEKDAY(B216,2),"Isnin","Selasa","Rabu","Khamis","Jumaat","Sabtu","Ahad"))</f>
        <v/>
      </c>
      <c r="D216" s="25">
        <f>IF(A216="","",COUNTIF(Transaksi!$L$2:$L$3000,A216))</f>
        <v/>
      </c>
      <c r="E216" s="13">
        <f>IF(A216="","",SUMIFS(Transaksi!$G$2:$G$3000,Transaksi!$L$2:$L$3000,A216)+SUMIFS(Transaksi!$H$2:$H$3000,Transaksi!$L$2:$L$3000,A216)+SUMIFS(Transaksi!$I$2:$I$3000,Transaksi!$L$2:$L$3000,A216))</f>
        <v/>
      </c>
      <c r="F216" s="14">
        <f>IF(A216="","",SUMIFS(Transaksi!$J$2:$J$3000,Transaksi!$L$2:$L$3000,A216))</f>
        <v/>
      </c>
      <c r="G216" s="15">
        <f>IF(A216="","",E216-F216)</f>
        <v/>
      </c>
      <c r="H216" s="16">
        <f>IF(A216="","",SUMIFS(Transaksi!$G$2:$G$3000,Transaksi!$L$2:$L$3000,"&lt;="&amp;A216)+SUMIFS(Transaksi!$H$2:$H$3000,Transaksi!$L$2:$L$3000,"&lt;="&amp;A216)+SUMIFS(Transaksi!$I$2:$I$3000,Transaksi!$L$2:$L$3000,"&lt;="&amp;A216)-(SUMIFS(Transaksi!$J$2:$J$3000,Transaksi!$L$2:$L$3000,"&lt;="&amp;A216)))</f>
        <v/>
      </c>
    </row>
    <row r="217">
      <c r="A217" s="22">
        <f>IF(213&lt;=MAX(Transaksi!$L$2:$L$3000),MAX(Transaksi!$L$2:$L$3000)-212,"")</f>
        <v/>
      </c>
      <c r="B217" s="23">
        <f>IF(A217="","",INDEX(Transaksi!$B$2:$B$3000,MATCH(A217,Transaksi!$L$2:$L$3000,0)))</f>
        <v/>
      </c>
      <c r="C217" s="24">
        <f>IF(A217="","",CHOOSE(WEEKDAY(B217,2),"Isnin","Selasa","Rabu","Khamis","Jumaat","Sabtu","Ahad"))</f>
        <v/>
      </c>
      <c r="D217" s="25">
        <f>IF(A217="","",COUNTIF(Transaksi!$L$2:$L$3000,A217))</f>
        <v/>
      </c>
      <c r="E217" s="13">
        <f>IF(A217="","",SUMIFS(Transaksi!$G$2:$G$3000,Transaksi!$L$2:$L$3000,A217)+SUMIFS(Transaksi!$H$2:$H$3000,Transaksi!$L$2:$L$3000,A217)+SUMIFS(Transaksi!$I$2:$I$3000,Transaksi!$L$2:$L$3000,A217))</f>
        <v/>
      </c>
      <c r="F217" s="14">
        <f>IF(A217="","",SUMIFS(Transaksi!$J$2:$J$3000,Transaksi!$L$2:$L$3000,A217))</f>
        <v/>
      </c>
      <c r="G217" s="15">
        <f>IF(A217="","",E217-F217)</f>
        <v/>
      </c>
      <c r="H217" s="16">
        <f>IF(A217="","",SUMIFS(Transaksi!$G$2:$G$3000,Transaksi!$L$2:$L$3000,"&lt;="&amp;A217)+SUMIFS(Transaksi!$H$2:$H$3000,Transaksi!$L$2:$L$3000,"&lt;="&amp;A217)+SUMIFS(Transaksi!$I$2:$I$3000,Transaksi!$L$2:$L$3000,"&lt;="&amp;A217)-(SUMIFS(Transaksi!$J$2:$J$3000,Transaksi!$L$2:$L$3000,"&lt;="&amp;A217)))</f>
        <v/>
      </c>
    </row>
    <row r="218">
      <c r="A218" s="22">
        <f>IF(214&lt;=MAX(Transaksi!$L$2:$L$3000),MAX(Transaksi!$L$2:$L$3000)-213,"")</f>
        <v/>
      </c>
      <c r="B218" s="23">
        <f>IF(A218="","",INDEX(Transaksi!$B$2:$B$3000,MATCH(A218,Transaksi!$L$2:$L$3000,0)))</f>
        <v/>
      </c>
      <c r="C218" s="24">
        <f>IF(A218="","",CHOOSE(WEEKDAY(B218,2),"Isnin","Selasa","Rabu","Khamis","Jumaat","Sabtu","Ahad"))</f>
        <v/>
      </c>
      <c r="D218" s="25">
        <f>IF(A218="","",COUNTIF(Transaksi!$L$2:$L$3000,A218))</f>
        <v/>
      </c>
      <c r="E218" s="13">
        <f>IF(A218="","",SUMIFS(Transaksi!$G$2:$G$3000,Transaksi!$L$2:$L$3000,A218)+SUMIFS(Transaksi!$H$2:$H$3000,Transaksi!$L$2:$L$3000,A218)+SUMIFS(Transaksi!$I$2:$I$3000,Transaksi!$L$2:$L$3000,A218))</f>
        <v/>
      </c>
      <c r="F218" s="14">
        <f>IF(A218="","",SUMIFS(Transaksi!$J$2:$J$3000,Transaksi!$L$2:$L$3000,A218))</f>
        <v/>
      </c>
      <c r="G218" s="15">
        <f>IF(A218="","",E218-F218)</f>
        <v/>
      </c>
      <c r="H218" s="16">
        <f>IF(A218="","",SUMIFS(Transaksi!$G$2:$G$3000,Transaksi!$L$2:$L$3000,"&lt;="&amp;A218)+SUMIFS(Transaksi!$H$2:$H$3000,Transaksi!$L$2:$L$3000,"&lt;="&amp;A218)+SUMIFS(Transaksi!$I$2:$I$3000,Transaksi!$L$2:$L$3000,"&lt;="&amp;A218)-(SUMIFS(Transaksi!$J$2:$J$3000,Transaksi!$L$2:$L$3000,"&lt;="&amp;A218)))</f>
        <v/>
      </c>
    </row>
    <row r="219">
      <c r="A219" s="22">
        <f>IF(215&lt;=MAX(Transaksi!$L$2:$L$3000),MAX(Transaksi!$L$2:$L$3000)-214,"")</f>
        <v/>
      </c>
      <c r="B219" s="23">
        <f>IF(A219="","",INDEX(Transaksi!$B$2:$B$3000,MATCH(A219,Transaksi!$L$2:$L$3000,0)))</f>
        <v/>
      </c>
      <c r="C219" s="24">
        <f>IF(A219="","",CHOOSE(WEEKDAY(B219,2),"Isnin","Selasa","Rabu","Khamis","Jumaat","Sabtu","Ahad"))</f>
        <v/>
      </c>
      <c r="D219" s="25">
        <f>IF(A219="","",COUNTIF(Transaksi!$L$2:$L$3000,A219))</f>
        <v/>
      </c>
      <c r="E219" s="13">
        <f>IF(A219="","",SUMIFS(Transaksi!$G$2:$G$3000,Transaksi!$L$2:$L$3000,A219)+SUMIFS(Transaksi!$H$2:$H$3000,Transaksi!$L$2:$L$3000,A219)+SUMIFS(Transaksi!$I$2:$I$3000,Transaksi!$L$2:$L$3000,A219))</f>
        <v/>
      </c>
      <c r="F219" s="14">
        <f>IF(A219="","",SUMIFS(Transaksi!$J$2:$J$3000,Transaksi!$L$2:$L$3000,A219))</f>
        <v/>
      </c>
      <c r="G219" s="15">
        <f>IF(A219="","",E219-F219)</f>
        <v/>
      </c>
      <c r="H219" s="16">
        <f>IF(A219="","",SUMIFS(Transaksi!$G$2:$G$3000,Transaksi!$L$2:$L$3000,"&lt;="&amp;A219)+SUMIFS(Transaksi!$H$2:$H$3000,Transaksi!$L$2:$L$3000,"&lt;="&amp;A219)+SUMIFS(Transaksi!$I$2:$I$3000,Transaksi!$L$2:$L$3000,"&lt;="&amp;A219)-(SUMIFS(Transaksi!$J$2:$J$3000,Transaksi!$L$2:$L$3000,"&lt;="&amp;A219)))</f>
        <v/>
      </c>
    </row>
    <row r="220">
      <c r="A220" s="22">
        <f>IF(216&lt;=MAX(Transaksi!$L$2:$L$3000),MAX(Transaksi!$L$2:$L$3000)-215,"")</f>
        <v/>
      </c>
      <c r="B220" s="23">
        <f>IF(A220="","",INDEX(Transaksi!$B$2:$B$3000,MATCH(A220,Transaksi!$L$2:$L$3000,0)))</f>
        <v/>
      </c>
      <c r="C220" s="24">
        <f>IF(A220="","",CHOOSE(WEEKDAY(B220,2),"Isnin","Selasa","Rabu","Khamis","Jumaat","Sabtu","Ahad"))</f>
        <v/>
      </c>
      <c r="D220" s="25">
        <f>IF(A220="","",COUNTIF(Transaksi!$L$2:$L$3000,A220))</f>
        <v/>
      </c>
      <c r="E220" s="13">
        <f>IF(A220="","",SUMIFS(Transaksi!$G$2:$G$3000,Transaksi!$L$2:$L$3000,A220)+SUMIFS(Transaksi!$H$2:$H$3000,Transaksi!$L$2:$L$3000,A220)+SUMIFS(Transaksi!$I$2:$I$3000,Transaksi!$L$2:$L$3000,A220))</f>
        <v/>
      </c>
      <c r="F220" s="14">
        <f>IF(A220="","",SUMIFS(Transaksi!$J$2:$J$3000,Transaksi!$L$2:$L$3000,A220))</f>
        <v/>
      </c>
      <c r="G220" s="15">
        <f>IF(A220="","",E220-F220)</f>
        <v/>
      </c>
      <c r="H220" s="16">
        <f>IF(A220="","",SUMIFS(Transaksi!$G$2:$G$3000,Transaksi!$L$2:$L$3000,"&lt;="&amp;A220)+SUMIFS(Transaksi!$H$2:$H$3000,Transaksi!$L$2:$L$3000,"&lt;="&amp;A220)+SUMIFS(Transaksi!$I$2:$I$3000,Transaksi!$L$2:$L$3000,"&lt;="&amp;A220)-(SUMIFS(Transaksi!$J$2:$J$3000,Transaksi!$L$2:$L$3000,"&lt;="&amp;A220)))</f>
        <v/>
      </c>
    </row>
    <row r="221">
      <c r="A221" s="22">
        <f>IF(217&lt;=MAX(Transaksi!$L$2:$L$3000),MAX(Transaksi!$L$2:$L$3000)-216,"")</f>
        <v/>
      </c>
      <c r="B221" s="23">
        <f>IF(A221="","",INDEX(Transaksi!$B$2:$B$3000,MATCH(A221,Transaksi!$L$2:$L$3000,0)))</f>
        <v/>
      </c>
      <c r="C221" s="24">
        <f>IF(A221="","",CHOOSE(WEEKDAY(B221,2),"Isnin","Selasa","Rabu","Khamis","Jumaat","Sabtu","Ahad"))</f>
        <v/>
      </c>
      <c r="D221" s="25">
        <f>IF(A221="","",COUNTIF(Transaksi!$L$2:$L$3000,A221))</f>
        <v/>
      </c>
      <c r="E221" s="13">
        <f>IF(A221="","",SUMIFS(Transaksi!$G$2:$G$3000,Transaksi!$L$2:$L$3000,A221)+SUMIFS(Transaksi!$H$2:$H$3000,Transaksi!$L$2:$L$3000,A221)+SUMIFS(Transaksi!$I$2:$I$3000,Transaksi!$L$2:$L$3000,A221))</f>
        <v/>
      </c>
      <c r="F221" s="14">
        <f>IF(A221="","",SUMIFS(Transaksi!$J$2:$J$3000,Transaksi!$L$2:$L$3000,A221))</f>
        <v/>
      </c>
      <c r="G221" s="15">
        <f>IF(A221="","",E221-F221)</f>
        <v/>
      </c>
      <c r="H221" s="16">
        <f>IF(A221="","",SUMIFS(Transaksi!$G$2:$G$3000,Transaksi!$L$2:$L$3000,"&lt;="&amp;A221)+SUMIFS(Transaksi!$H$2:$H$3000,Transaksi!$L$2:$L$3000,"&lt;="&amp;A221)+SUMIFS(Transaksi!$I$2:$I$3000,Transaksi!$L$2:$L$3000,"&lt;="&amp;A221)-(SUMIFS(Transaksi!$J$2:$J$3000,Transaksi!$L$2:$L$3000,"&lt;="&amp;A221)))</f>
        <v/>
      </c>
    </row>
    <row r="222">
      <c r="A222" s="22">
        <f>IF(218&lt;=MAX(Transaksi!$L$2:$L$3000),MAX(Transaksi!$L$2:$L$3000)-217,"")</f>
        <v/>
      </c>
      <c r="B222" s="23">
        <f>IF(A222="","",INDEX(Transaksi!$B$2:$B$3000,MATCH(A222,Transaksi!$L$2:$L$3000,0)))</f>
        <v/>
      </c>
      <c r="C222" s="24">
        <f>IF(A222="","",CHOOSE(WEEKDAY(B222,2),"Isnin","Selasa","Rabu","Khamis","Jumaat","Sabtu","Ahad"))</f>
        <v/>
      </c>
      <c r="D222" s="25">
        <f>IF(A222="","",COUNTIF(Transaksi!$L$2:$L$3000,A222))</f>
        <v/>
      </c>
      <c r="E222" s="13">
        <f>IF(A222="","",SUMIFS(Transaksi!$G$2:$G$3000,Transaksi!$L$2:$L$3000,A222)+SUMIFS(Transaksi!$H$2:$H$3000,Transaksi!$L$2:$L$3000,A222)+SUMIFS(Transaksi!$I$2:$I$3000,Transaksi!$L$2:$L$3000,A222))</f>
        <v/>
      </c>
      <c r="F222" s="14">
        <f>IF(A222="","",SUMIFS(Transaksi!$J$2:$J$3000,Transaksi!$L$2:$L$3000,A222))</f>
        <v/>
      </c>
      <c r="G222" s="15">
        <f>IF(A222="","",E222-F222)</f>
        <v/>
      </c>
      <c r="H222" s="16">
        <f>IF(A222="","",SUMIFS(Transaksi!$G$2:$G$3000,Transaksi!$L$2:$L$3000,"&lt;="&amp;A222)+SUMIFS(Transaksi!$H$2:$H$3000,Transaksi!$L$2:$L$3000,"&lt;="&amp;A222)+SUMIFS(Transaksi!$I$2:$I$3000,Transaksi!$L$2:$L$3000,"&lt;="&amp;A222)-(SUMIFS(Transaksi!$J$2:$J$3000,Transaksi!$L$2:$L$3000,"&lt;="&amp;A222)))</f>
        <v/>
      </c>
    </row>
    <row r="223">
      <c r="A223" s="22">
        <f>IF(219&lt;=MAX(Transaksi!$L$2:$L$3000),MAX(Transaksi!$L$2:$L$3000)-218,"")</f>
        <v/>
      </c>
      <c r="B223" s="23">
        <f>IF(A223="","",INDEX(Transaksi!$B$2:$B$3000,MATCH(A223,Transaksi!$L$2:$L$3000,0)))</f>
        <v/>
      </c>
      <c r="C223" s="24">
        <f>IF(A223="","",CHOOSE(WEEKDAY(B223,2),"Isnin","Selasa","Rabu","Khamis","Jumaat","Sabtu","Ahad"))</f>
        <v/>
      </c>
      <c r="D223" s="25">
        <f>IF(A223="","",COUNTIF(Transaksi!$L$2:$L$3000,A223))</f>
        <v/>
      </c>
      <c r="E223" s="13">
        <f>IF(A223="","",SUMIFS(Transaksi!$G$2:$G$3000,Transaksi!$L$2:$L$3000,A223)+SUMIFS(Transaksi!$H$2:$H$3000,Transaksi!$L$2:$L$3000,A223)+SUMIFS(Transaksi!$I$2:$I$3000,Transaksi!$L$2:$L$3000,A223))</f>
        <v/>
      </c>
      <c r="F223" s="14">
        <f>IF(A223="","",SUMIFS(Transaksi!$J$2:$J$3000,Transaksi!$L$2:$L$3000,A223))</f>
        <v/>
      </c>
      <c r="G223" s="15">
        <f>IF(A223="","",E223-F223)</f>
        <v/>
      </c>
      <c r="H223" s="16">
        <f>IF(A223="","",SUMIFS(Transaksi!$G$2:$G$3000,Transaksi!$L$2:$L$3000,"&lt;="&amp;A223)+SUMIFS(Transaksi!$H$2:$H$3000,Transaksi!$L$2:$L$3000,"&lt;="&amp;A223)+SUMIFS(Transaksi!$I$2:$I$3000,Transaksi!$L$2:$L$3000,"&lt;="&amp;A223)-(SUMIFS(Transaksi!$J$2:$J$3000,Transaksi!$L$2:$L$3000,"&lt;="&amp;A223)))</f>
        <v/>
      </c>
    </row>
    <row r="224">
      <c r="A224" s="22">
        <f>IF(220&lt;=MAX(Transaksi!$L$2:$L$3000),MAX(Transaksi!$L$2:$L$3000)-219,"")</f>
        <v/>
      </c>
      <c r="B224" s="23">
        <f>IF(A224="","",INDEX(Transaksi!$B$2:$B$3000,MATCH(A224,Transaksi!$L$2:$L$3000,0)))</f>
        <v/>
      </c>
      <c r="C224" s="24">
        <f>IF(A224="","",CHOOSE(WEEKDAY(B224,2),"Isnin","Selasa","Rabu","Khamis","Jumaat","Sabtu","Ahad"))</f>
        <v/>
      </c>
      <c r="D224" s="25">
        <f>IF(A224="","",COUNTIF(Transaksi!$L$2:$L$3000,A224))</f>
        <v/>
      </c>
      <c r="E224" s="13">
        <f>IF(A224="","",SUMIFS(Transaksi!$G$2:$G$3000,Transaksi!$L$2:$L$3000,A224)+SUMIFS(Transaksi!$H$2:$H$3000,Transaksi!$L$2:$L$3000,A224)+SUMIFS(Transaksi!$I$2:$I$3000,Transaksi!$L$2:$L$3000,A224))</f>
        <v/>
      </c>
      <c r="F224" s="14">
        <f>IF(A224="","",SUMIFS(Transaksi!$J$2:$J$3000,Transaksi!$L$2:$L$3000,A224))</f>
        <v/>
      </c>
      <c r="G224" s="15">
        <f>IF(A224="","",E224-F224)</f>
        <v/>
      </c>
      <c r="H224" s="16">
        <f>IF(A224="","",SUMIFS(Transaksi!$G$2:$G$3000,Transaksi!$L$2:$L$3000,"&lt;="&amp;A224)+SUMIFS(Transaksi!$H$2:$H$3000,Transaksi!$L$2:$L$3000,"&lt;="&amp;A224)+SUMIFS(Transaksi!$I$2:$I$3000,Transaksi!$L$2:$L$3000,"&lt;="&amp;A224)-(SUMIFS(Transaksi!$J$2:$J$3000,Transaksi!$L$2:$L$3000,"&lt;="&amp;A224)))</f>
        <v/>
      </c>
    </row>
    <row r="225">
      <c r="A225" s="22">
        <f>IF(221&lt;=MAX(Transaksi!$L$2:$L$3000),MAX(Transaksi!$L$2:$L$3000)-220,"")</f>
        <v/>
      </c>
      <c r="B225" s="23">
        <f>IF(A225="","",INDEX(Transaksi!$B$2:$B$3000,MATCH(A225,Transaksi!$L$2:$L$3000,0)))</f>
        <v/>
      </c>
      <c r="C225" s="24">
        <f>IF(A225="","",CHOOSE(WEEKDAY(B225,2),"Isnin","Selasa","Rabu","Khamis","Jumaat","Sabtu","Ahad"))</f>
        <v/>
      </c>
      <c r="D225" s="25">
        <f>IF(A225="","",COUNTIF(Transaksi!$L$2:$L$3000,A225))</f>
        <v/>
      </c>
      <c r="E225" s="13">
        <f>IF(A225="","",SUMIFS(Transaksi!$G$2:$G$3000,Transaksi!$L$2:$L$3000,A225)+SUMIFS(Transaksi!$H$2:$H$3000,Transaksi!$L$2:$L$3000,A225)+SUMIFS(Transaksi!$I$2:$I$3000,Transaksi!$L$2:$L$3000,A225))</f>
        <v/>
      </c>
      <c r="F225" s="14">
        <f>IF(A225="","",SUMIFS(Transaksi!$J$2:$J$3000,Transaksi!$L$2:$L$3000,A225))</f>
        <v/>
      </c>
      <c r="G225" s="15">
        <f>IF(A225="","",E225-F225)</f>
        <v/>
      </c>
      <c r="H225" s="16">
        <f>IF(A225="","",SUMIFS(Transaksi!$G$2:$G$3000,Transaksi!$L$2:$L$3000,"&lt;="&amp;A225)+SUMIFS(Transaksi!$H$2:$H$3000,Transaksi!$L$2:$L$3000,"&lt;="&amp;A225)+SUMIFS(Transaksi!$I$2:$I$3000,Transaksi!$L$2:$L$3000,"&lt;="&amp;A225)-(SUMIFS(Transaksi!$J$2:$J$3000,Transaksi!$L$2:$L$3000,"&lt;="&amp;A225)))</f>
        <v/>
      </c>
    </row>
    <row r="226">
      <c r="A226" s="22">
        <f>IF(222&lt;=MAX(Transaksi!$L$2:$L$3000),MAX(Transaksi!$L$2:$L$3000)-221,"")</f>
        <v/>
      </c>
      <c r="B226" s="23">
        <f>IF(A226="","",INDEX(Transaksi!$B$2:$B$3000,MATCH(A226,Transaksi!$L$2:$L$3000,0)))</f>
        <v/>
      </c>
      <c r="C226" s="24">
        <f>IF(A226="","",CHOOSE(WEEKDAY(B226,2),"Isnin","Selasa","Rabu","Khamis","Jumaat","Sabtu","Ahad"))</f>
        <v/>
      </c>
      <c r="D226" s="25">
        <f>IF(A226="","",COUNTIF(Transaksi!$L$2:$L$3000,A226))</f>
        <v/>
      </c>
      <c r="E226" s="13">
        <f>IF(A226="","",SUMIFS(Transaksi!$G$2:$G$3000,Transaksi!$L$2:$L$3000,A226)+SUMIFS(Transaksi!$H$2:$H$3000,Transaksi!$L$2:$L$3000,A226)+SUMIFS(Transaksi!$I$2:$I$3000,Transaksi!$L$2:$L$3000,A226))</f>
        <v/>
      </c>
      <c r="F226" s="14">
        <f>IF(A226="","",SUMIFS(Transaksi!$J$2:$J$3000,Transaksi!$L$2:$L$3000,A226))</f>
        <v/>
      </c>
      <c r="G226" s="15">
        <f>IF(A226="","",E226-F226)</f>
        <v/>
      </c>
      <c r="H226" s="16">
        <f>IF(A226="","",SUMIFS(Transaksi!$G$2:$G$3000,Transaksi!$L$2:$L$3000,"&lt;="&amp;A226)+SUMIFS(Transaksi!$H$2:$H$3000,Transaksi!$L$2:$L$3000,"&lt;="&amp;A226)+SUMIFS(Transaksi!$I$2:$I$3000,Transaksi!$L$2:$L$3000,"&lt;="&amp;A226)-(SUMIFS(Transaksi!$J$2:$J$3000,Transaksi!$L$2:$L$3000,"&lt;="&amp;A226)))</f>
        <v/>
      </c>
    </row>
    <row r="227">
      <c r="A227" s="22">
        <f>IF(223&lt;=MAX(Transaksi!$L$2:$L$3000),MAX(Transaksi!$L$2:$L$3000)-222,"")</f>
        <v/>
      </c>
      <c r="B227" s="23">
        <f>IF(A227="","",INDEX(Transaksi!$B$2:$B$3000,MATCH(A227,Transaksi!$L$2:$L$3000,0)))</f>
        <v/>
      </c>
      <c r="C227" s="24">
        <f>IF(A227="","",CHOOSE(WEEKDAY(B227,2),"Isnin","Selasa","Rabu","Khamis","Jumaat","Sabtu","Ahad"))</f>
        <v/>
      </c>
      <c r="D227" s="25">
        <f>IF(A227="","",COUNTIF(Transaksi!$L$2:$L$3000,A227))</f>
        <v/>
      </c>
      <c r="E227" s="13">
        <f>IF(A227="","",SUMIFS(Transaksi!$G$2:$G$3000,Transaksi!$L$2:$L$3000,A227)+SUMIFS(Transaksi!$H$2:$H$3000,Transaksi!$L$2:$L$3000,A227)+SUMIFS(Transaksi!$I$2:$I$3000,Transaksi!$L$2:$L$3000,A227))</f>
        <v/>
      </c>
      <c r="F227" s="14">
        <f>IF(A227="","",SUMIFS(Transaksi!$J$2:$J$3000,Transaksi!$L$2:$L$3000,A227))</f>
        <v/>
      </c>
      <c r="G227" s="15">
        <f>IF(A227="","",E227-F227)</f>
        <v/>
      </c>
      <c r="H227" s="16">
        <f>IF(A227="","",SUMIFS(Transaksi!$G$2:$G$3000,Transaksi!$L$2:$L$3000,"&lt;="&amp;A227)+SUMIFS(Transaksi!$H$2:$H$3000,Transaksi!$L$2:$L$3000,"&lt;="&amp;A227)+SUMIFS(Transaksi!$I$2:$I$3000,Transaksi!$L$2:$L$3000,"&lt;="&amp;A227)-(SUMIFS(Transaksi!$J$2:$J$3000,Transaksi!$L$2:$L$3000,"&lt;="&amp;A227)))</f>
        <v/>
      </c>
    </row>
    <row r="228">
      <c r="A228" s="22">
        <f>IF(224&lt;=MAX(Transaksi!$L$2:$L$3000),MAX(Transaksi!$L$2:$L$3000)-223,"")</f>
        <v/>
      </c>
      <c r="B228" s="23">
        <f>IF(A228="","",INDEX(Transaksi!$B$2:$B$3000,MATCH(A228,Transaksi!$L$2:$L$3000,0)))</f>
        <v/>
      </c>
      <c r="C228" s="24">
        <f>IF(A228="","",CHOOSE(WEEKDAY(B228,2),"Isnin","Selasa","Rabu","Khamis","Jumaat","Sabtu","Ahad"))</f>
        <v/>
      </c>
      <c r="D228" s="25">
        <f>IF(A228="","",COUNTIF(Transaksi!$L$2:$L$3000,A228))</f>
        <v/>
      </c>
      <c r="E228" s="13">
        <f>IF(A228="","",SUMIFS(Transaksi!$G$2:$G$3000,Transaksi!$L$2:$L$3000,A228)+SUMIFS(Transaksi!$H$2:$H$3000,Transaksi!$L$2:$L$3000,A228)+SUMIFS(Transaksi!$I$2:$I$3000,Transaksi!$L$2:$L$3000,A228))</f>
        <v/>
      </c>
      <c r="F228" s="14">
        <f>IF(A228="","",SUMIFS(Transaksi!$J$2:$J$3000,Transaksi!$L$2:$L$3000,A228))</f>
        <v/>
      </c>
      <c r="G228" s="15">
        <f>IF(A228="","",E228-F228)</f>
        <v/>
      </c>
      <c r="H228" s="16">
        <f>IF(A228="","",SUMIFS(Transaksi!$G$2:$G$3000,Transaksi!$L$2:$L$3000,"&lt;="&amp;A228)+SUMIFS(Transaksi!$H$2:$H$3000,Transaksi!$L$2:$L$3000,"&lt;="&amp;A228)+SUMIFS(Transaksi!$I$2:$I$3000,Transaksi!$L$2:$L$3000,"&lt;="&amp;A228)-(SUMIFS(Transaksi!$J$2:$J$3000,Transaksi!$L$2:$L$3000,"&lt;="&amp;A228)))</f>
        <v/>
      </c>
    </row>
    <row r="229">
      <c r="A229" s="22">
        <f>IF(225&lt;=MAX(Transaksi!$L$2:$L$3000),MAX(Transaksi!$L$2:$L$3000)-224,"")</f>
        <v/>
      </c>
      <c r="B229" s="23">
        <f>IF(A229="","",INDEX(Transaksi!$B$2:$B$3000,MATCH(A229,Transaksi!$L$2:$L$3000,0)))</f>
        <v/>
      </c>
      <c r="C229" s="24">
        <f>IF(A229="","",CHOOSE(WEEKDAY(B229,2),"Isnin","Selasa","Rabu","Khamis","Jumaat","Sabtu","Ahad"))</f>
        <v/>
      </c>
      <c r="D229" s="25">
        <f>IF(A229="","",COUNTIF(Transaksi!$L$2:$L$3000,A229))</f>
        <v/>
      </c>
      <c r="E229" s="13">
        <f>IF(A229="","",SUMIFS(Transaksi!$G$2:$G$3000,Transaksi!$L$2:$L$3000,A229)+SUMIFS(Transaksi!$H$2:$H$3000,Transaksi!$L$2:$L$3000,A229)+SUMIFS(Transaksi!$I$2:$I$3000,Transaksi!$L$2:$L$3000,A229))</f>
        <v/>
      </c>
      <c r="F229" s="14">
        <f>IF(A229="","",SUMIFS(Transaksi!$J$2:$J$3000,Transaksi!$L$2:$L$3000,A229))</f>
        <v/>
      </c>
      <c r="G229" s="15">
        <f>IF(A229="","",E229-F229)</f>
        <v/>
      </c>
      <c r="H229" s="16">
        <f>IF(A229="","",SUMIFS(Transaksi!$G$2:$G$3000,Transaksi!$L$2:$L$3000,"&lt;="&amp;A229)+SUMIFS(Transaksi!$H$2:$H$3000,Transaksi!$L$2:$L$3000,"&lt;="&amp;A229)+SUMIFS(Transaksi!$I$2:$I$3000,Transaksi!$L$2:$L$3000,"&lt;="&amp;A229)-(SUMIFS(Transaksi!$J$2:$J$3000,Transaksi!$L$2:$L$3000,"&lt;="&amp;A229)))</f>
        <v/>
      </c>
    </row>
    <row r="230">
      <c r="A230" s="22">
        <f>IF(226&lt;=MAX(Transaksi!$L$2:$L$3000),MAX(Transaksi!$L$2:$L$3000)-225,"")</f>
        <v/>
      </c>
      <c r="B230" s="23">
        <f>IF(A230="","",INDEX(Transaksi!$B$2:$B$3000,MATCH(A230,Transaksi!$L$2:$L$3000,0)))</f>
        <v/>
      </c>
      <c r="C230" s="24">
        <f>IF(A230="","",CHOOSE(WEEKDAY(B230,2),"Isnin","Selasa","Rabu","Khamis","Jumaat","Sabtu","Ahad"))</f>
        <v/>
      </c>
      <c r="D230" s="25">
        <f>IF(A230="","",COUNTIF(Transaksi!$L$2:$L$3000,A230))</f>
        <v/>
      </c>
      <c r="E230" s="13">
        <f>IF(A230="","",SUMIFS(Transaksi!$G$2:$G$3000,Transaksi!$L$2:$L$3000,A230)+SUMIFS(Transaksi!$H$2:$H$3000,Transaksi!$L$2:$L$3000,A230)+SUMIFS(Transaksi!$I$2:$I$3000,Transaksi!$L$2:$L$3000,A230))</f>
        <v/>
      </c>
      <c r="F230" s="14">
        <f>IF(A230="","",SUMIFS(Transaksi!$J$2:$J$3000,Transaksi!$L$2:$L$3000,A230))</f>
        <v/>
      </c>
      <c r="G230" s="15">
        <f>IF(A230="","",E230-F230)</f>
        <v/>
      </c>
      <c r="H230" s="16">
        <f>IF(A230="","",SUMIFS(Transaksi!$G$2:$G$3000,Transaksi!$L$2:$L$3000,"&lt;="&amp;A230)+SUMIFS(Transaksi!$H$2:$H$3000,Transaksi!$L$2:$L$3000,"&lt;="&amp;A230)+SUMIFS(Transaksi!$I$2:$I$3000,Transaksi!$L$2:$L$3000,"&lt;="&amp;A230)-(SUMIFS(Transaksi!$J$2:$J$3000,Transaksi!$L$2:$L$3000,"&lt;="&amp;A230)))</f>
        <v/>
      </c>
    </row>
    <row r="231">
      <c r="A231" s="22">
        <f>IF(227&lt;=MAX(Transaksi!$L$2:$L$3000),MAX(Transaksi!$L$2:$L$3000)-226,"")</f>
        <v/>
      </c>
      <c r="B231" s="23">
        <f>IF(A231="","",INDEX(Transaksi!$B$2:$B$3000,MATCH(A231,Transaksi!$L$2:$L$3000,0)))</f>
        <v/>
      </c>
      <c r="C231" s="24">
        <f>IF(A231="","",CHOOSE(WEEKDAY(B231,2),"Isnin","Selasa","Rabu","Khamis","Jumaat","Sabtu","Ahad"))</f>
        <v/>
      </c>
      <c r="D231" s="25">
        <f>IF(A231="","",COUNTIF(Transaksi!$L$2:$L$3000,A231))</f>
        <v/>
      </c>
      <c r="E231" s="13">
        <f>IF(A231="","",SUMIFS(Transaksi!$G$2:$G$3000,Transaksi!$L$2:$L$3000,A231)+SUMIFS(Transaksi!$H$2:$H$3000,Transaksi!$L$2:$L$3000,A231)+SUMIFS(Transaksi!$I$2:$I$3000,Transaksi!$L$2:$L$3000,A231))</f>
        <v/>
      </c>
      <c r="F231" s="14">
        <f>IF(A231="","",SUMIFS(Transaksi!$J$2:$J$3000,Transaksi!$L$2:$L$3000,A231))</f>
        <v/>
      </c>
      <c r="G231" s="15">
        <f>IF(A231="","",E231-F231)</f>
        <v/>
      </c>
      <c r="H231" s="16">
        <f>IF(A231="","",SUMIFS(Transaksi!$G$2:$G$3000,Transaksi!$L$2:$L$3000,"&lt;="&amp;A231)+SUMIFS(Transaksi!$H$2:$H$3000,Transaksi!$L$2:$L$3000,"&lt;="&amp;A231)+SUMIFS(Transaksi!$I$2:$I$3000,Transaksi!$L$2:$L$3000,"&lt;="&amp;A231)-(SUMIFS(Transaksi!$J$2:$J$3000,Transaksi!$L$2:$L$3000,"&lt;="&amp;A231)))</f>
        <v/>
      </c>
    </row>
    <row r="232">
      <c r="A232" s="22">
        <f>IF(228&lt;=MAX(Transaksi!$L$2:$L$3000),MAX(Transaksi!$L$2:$L$3000)-227,"")</f>
        <v/>
      </c>
      <c r="B232" s="23">
        <f>IF(A232="","",INDEX(Transaksi!$B$2:$B$3000,MATCH(A232,Transaksi!$L$2:$L$3000,0)))</f>
        <v/>
      </c>
      <c r="C232" s="24">
        <f>IF(A232="","",CHOOSE(WEEKDAY(B232,2),"Isnin","Selasa","Rabu","Khamis","Jumaat","Sabtu","Ahad"))</f>
        <v/>
      </c>
      <c r="D232" s="25">
        <f>IF(A232="","",COUNTIF(Transaksi!$L$2:$L$3000,A232))</f>
        <v/>
      </c>
      <c r="E232" s="13">
        <f>IF(A232="","",SUMIFS(Transaksi!$G$2:$G$3000,Transaksi!$L$2:$L$3000,A232)+SUMIFS(Transaksi!$H$2:$H$3000,Transaksi!$L$2:$L$3000,A232)+SUMIFS(Transaksi!$I$2:$I$3000,Transaksi!$L$2:$L$3000,A232))</f>
        <v/>
      </c>
      <c r="F232" s="14">
        <f>IF(A232="","",SUMIFS(Transaksi!$J$2:$J$3000,Transaksi!$L$2:$L$3000,A232))</f>
        <v/>
      </c>
      <c r="G232" s="15">
        <f>IF(A232="","",E232-F232)</f>
        <v/>
      </c>
      <c r="H232" s="16">
        <f>IF(A232="","",SUMIFS(Transaksi!$G$2:$G$3000,Transaksi!$L$2:$L$3000,"&lt;="&amp;A232)+SUMIFS(Transaksi!$H$2:$H$3000,Transaksi!$L$2:$L$3000,"&lt;="&amp;A232)+SUMIFS(Transaksi!$I$2:$I$3000,Transaksi!$L$2:$L$3000,"&lt;="&amp;A232)-(SUMIFS(Transaksi!$J$2:$J$3000,Transaksi!$L$2:$L$3000,"&lt;="&amp;A232)))</f>
        <v/>
      </c>
    </row>
    <row r="233">
      <c r="A233" s="22">
        <f>IF(229&lt;=MAX(Transaksi!$L$2:$L$3000),MAX(Transaksi!$L$2:$L$3000)-228,"")</f>
        <v/>
      </c>
      <c r="B233" s="23">
        <f>IF(A233="","",INDEX(Transaksi!$B$2:$B$3000,MATCH(A233,Transaksi!$L$2:$L$3000,0)))</f>
        <v/>
      </c>
      <c r="C233" s="24">
        <f>IF(A233="","",CHOOSE(WEEKDAY(B233,2),"Isnin","Selasa","Rabu","Khamis","Jumaat","Sabtu","Ahad"))</f>
        <v/>
      </c>
      <c r="D233" s="25">
        <f>IF(A233="","",COUNTIF(Transaksi!$L$2:$L$3000,A233))</f>
        <v/>
      </c>
      <c r="E233" s="13">
        <f>IF(A233="","",SUMIFS(Transaksi!$G$2:$G$3000,Transaksi!$L$2:$L$3000,A233)+SUMIFS(Transaksi!$H$2:$H$3000,Transaksi!$L$2:$L$3000,A233)+SUMIFS(Transaksi!$I$2:$I$3000,Transaksi!$L$2:$L$3000,A233))</f>
        <v/>
      </c>
      <c r="F233" s="14">
        <f>IF(A233="","",SUMIFS(Transaksi!$J$2:$J$3000,Transaksi!$L$2:$L$3000,A233))</f>
        <v/>
      </c>
      <c r="G233" s="15">
        <f>IF(A233="","",E233-F233)</f>
        <v/>
      </c>
      <c r="H233" s="16">
        <f>IF(A233="","",SUMIFS(Transaksi!$G$2:$G$3000,Transaksi!$L$2:$L$3000,"&lt;="&amp;A233)+SUMIFS(Transaksi!$H$2:$H$3000,Transaksi!$L$2:$L$3000,"&lt;="&amp;A233)+SUMIFS(Transaksi!$I$2:$I$3000,Transaksi!$L$2:$L$3000,"&lt;="&amp;A233)-(SUMIFS(Transaksi!$J$2:$J$3000,Transaksi!$L$2:$L$3000,"&lt;="&amp;A233)))</f>
        <v/>
      </c>
    </row>
    <row r="234">
      <c r="A234" s="22">
        <f>IF(230&lt;=MAX(Transaksi!$L$2:$L$3000),MAX(Transaksi!$L$2:$L$3000)-229,"")</f>
        <v/>
      </c>
      <c r="B234" s="23">
        <f>IF(A234="","",INDEX(Transaksi!$B$2:$B$3000,MATCH(A234,Transaksi!$L$2:$L$3000,0)))</f>
        <v/>
      </c>
      <c r="C234" s="24">
        <f>IF(A234="","",CHOOSE(WEEKDAY(B234,2),"Isnin","Selasa","Rabu","Khamis","Jumaat","Sabtu","Ahad"))</f>
        <v/>
      </c>
      <c r="D234" s="25">
        <f>IF(A234="","",COUNTIF(Transaksi!$L$2:$L$3000,A234))</f>
        <v/>
      </c>
      <c r="E234" s="13">
        <f>IF(A234="","",SUMIFS(Transaksi!$G$2:$G$3000,Transaksi!$L$2:$L$3000,A234)+SUMIFS(Transaksi!$H$2:$H$3000,Transaksi!$L$2:$L$3000,A234)+SUMIFS(Transaksi!$I$2:$I$3000,Transaksi!$L$2:$L$3000,A234))</f>
        <v/>
      </c>
      <c r="F234" s="14">
        <f>IF(A234="","",SUMIFS(Transaksi!$J$2:$J$3000,Transaksi!$L$2:$L$3000,A234))</f>
        <v/>
      </c>
      <c r="G234" s="15">
        <f>IF(A234="","",E234-F234)</f>
        <v/>
      </c>
      <c r="H234" s="16">
        <f>IF(A234="","",SUMIFS(Transaksi!$G$2:$G$3000,Transaksi!$L$2:$L$3000,"&lt;="&amp;A234)+SUMIFS(Transaksi!$H$2:$H$3000,Transaksi!$L$2:$L$3000,"&lt;="&amp;A234)+SUMIFS(Transaksi!$I$2:$I$3000,Transaksi!$L$2:$L$3000,"&lt;="&amp;A234)-(SUMIFS(Transaksi!$J$2:$J$3000,Transaksi!$L$2:$L$3000,"&lt;="&amp;A234)))</f>
        <v/>
      </c>
    </row>
    <row r="235">
      <c r="A235" s="22">
        <f>IF(231&lt;=MAX(Transaksi!$L$2:$L$3000),MAX(Transaksi!$L$2:$L$3000)-230,"")</f>
        <v/>
      </c>
      <c r="B235" s="23">
        <f>IF(A235="","",INDEX(Transaksi!$B$2:$B$3000,MATCH(A235,Transaksi!$L$2:$L$3000,0)))</f>
        <v/>
      </c>
      <c r="C235" s="24">
        <f>IF(A235="","",CHOOSE(WEEKDAY(B235,2),"Isnin","Selasa","Rabu","Khamis","Jumaat","Sabtu","Ahad"))</f>
        <v/>
      </c>
      <c r="D235" s="25">
        <f>IF(A235="","",COUNTIF(Transaksi!$L$2:$L$3000,A235))</f>
        <v/>
      </c>
      <c r="E235" s="13">
        <f>IF(A235="","",SUMIFS(Transaksi!$G$2:$G$3000,Transaksi!$L$2:$L$3000,A235)+SUMIFS(Transaksi!$H$2:$H$3000,Transaksi!$L$2:$L$3000,A235)+SUMIFS(Transaksi!$I$2:$I$3000,Transaksi!$L$2:$L$3000,A235))</f>
        <v/>
      </c>
      <c r="F235" s="14">
        <f>IF(A235="","",SUMIFS(Transaksi!$J$2:$J$3000,Transaksi!$L$2:$L$3000,A235))</f>
        <v/>
      </c>
      <c r="G235" s="15">
        <f>IF(A235="","",E235-F235)</f>
        <v/>
      </c>
      <c r="H235" s="16">
        <f>IF(A235="","",SUMIFS(Transaksi!$G$2:$G$3000,Transaksi!$L$2:$L$3000,"&lt;="&amp;A235)+SUMIFS(Transaksi!$H$2:$H$3000,Transaksi!$L$2:$L$3000,"&lt;="&amp;A235)+SUMIFS(Transaksi!$I$2:$I$3000,Transaksi!$L$2:$L$3000,"&lt;="&amp;A235)-(SUMIFS(Transaksi!$J$2:$J$3000,Transaksi!$L$2:$L$3000,"&lt;="&amp;A235)))</f>
        <v/>
      </c>
    </row>
    <row r="236">
      <c r="A236" s="22">
        <f>IF(232&lt;=MAX(Transaksi!$L$2:$L$3000),MAX(Transaksi!$L$2:$L$3000)-231,"")</f>
        <v/>
      </c>
      <c r="B236" s="23">
        <f>IF(A236="","",INDEX(Transaksi!$B$2:$B$3000,MATCH(A236,Transaksi!$L$2:$L$3000,0)))</f>
        <v/>
      </c>
      <c r="C236" s="24">
        <f>IF(A236="","",CHOOSE(WEEKDAY(B236,2),"Isnin","Selasa","Rabu","Khamis","Jumaat","Sabtu","Ahad"))</f>
        <v/>
      </c>
      <c r="D236" s="25">
        <f>IF(A236="","",COUNTIF(Transaksi!$L$2:$L$3000,A236))</f>
        <v/>
      </c>
      <c r="E236" s="13">
        <f>IF(A236="","",SUMIFS(Transaksi!$G$2:$G$3000,Transaksi!$L$2:$L$3000,A236)+SUMIFS(Transaksi!$H$2:$H$3000,Transaksi!$L$2:$L$3000,A236)+SUMIFS(Transaksi!$I$2:$I$3000,Transaksi!$L$2:$L$3000,A236))</f>
        <v/>
      </c>
      <c r="F236" s="14">
        <f>IF(A236="","",SUMIFS(Transaksi!$J$2:$J$3000,Transaksi!$L$2:$L$3000,A236))</f>
        <v/>
      </c>
      <c r="G236" s="15">
        <f>IF(A236="","",E236-F236)</f>
        <v/>
      </c>
      <c r="H236" s="16">
        <f>IF(A236="","",SUMIFS(Transaksi!$G$2:$G$3000,Transaksi!$L$2:$L$3000,"&lt;="&amp;A236)+SUMIFS(Transaksi!$H$2:$H$3000,Transaksi!$L$2:$L$3000,"&lt;="&amp;A236)+SUMIFS(Transaksi!$I$2:$I$3000,Transaksi!$L$2:$L$3000,"&lt;="&amp;A236)-(SUMIFS(Transaksi!$J$2:$J$3000,Transaksi!$L$2:$L$3000,"&lt;="&amp;A236)))</f>
        <v/>
      </c>
    </row>
    <row r="237">
      <c r="A237" s="22">
        <f>IF(233&lt;=MAX(Transaksi!$L$2:$L$3000),MAX(Transaksi!$L$2:$L$3000)-232,"")</f>
        <v/>
      </c>
      <c r="B237" s="23">
        <f>IF(A237="","",INDEX(Transaksi!$B$2:$B$3000,MATCH(A237,Transaksi!$L$2:$L$3000,0)))</f>
        <v/>
      </c>
      <c r="C237" s="24">
        <f>IF(A237="","",CHOOSE(WEEKDAY(B237,2),"Isnin","Selasa","Rabu","Khamis","Jumaat","Sabtu","Ahad"))</f>
        <v/>
      </c>
      <c r="D237" s="25">
        <f>IF(A237="","",COUNTIF(Transaksi!$L$2:$L$3000,A237))</f>
        <v/>
      </c>
      <c r="E237" s="13">
        <f>IF(A237="","",SUMIFS(Transaksi!$G$2:$G$3000,Transaksi!$L$2:$L$3000,A237)+SUMIFS(Transaksi!$H$2:$H$3000,Transaksi!$L$2:$L$3000,A237)+SUMIFS(Transaksi!$I$2:$I$3000,Transaksi!$L$2:$L$3000,A237))</f>
        <v/>
      </c>
      <c r="F237" s="14">
        <f>IF(A237="","",SUMIFS(Transaksi!$J$2:$J$3000,Transaksi!$L$2:$L$3000,A237))</f>
        <v/>
      </c>
      <c r="G237" s="15">
        <f>IF(A237="","",E237-F237)</f>
        <v/>
      </c>
      <c r="H237" s="16">
        <f>IF(A237="","",SUMIFS(Transaksi!$G$2:$G$3000,Transaksi!$L$2:$L$3000,"&lt;="&amp;A237)+SUMIFS(Transaksi!$H$2:$H$3000,Transaksi!$L$2:$L$3000,"&lt;="&amp;A237)+SUMIFS(Transaksi!$I$2:$I$3000,Transaksi!$L$2:$L$3000,"&lt;="&amp;A237)-(SUMIFS(Transaksi!$J$2:$J$3000,Transaksi!$L$2:$L$3000,"&lt;="&amp;A237)))</f>
        <v/>
      </c>
    </row>
    <row r="238">
      <c r="A238" s="22">
        <f>IF(234&lt;=MAX(Transaksi!$L$2:$L$3000),MAX(Transaksi!$L$2:$L$3000)-233,"")</f>
        <v/>
      </c>
      <c r="B238" s="23">
        <f>IF(A238="","",INDEX(Transaksi!$B$2:$B$3000,MATCH(A238,Transaksi!$L$2:$L$3000,0)))</f>
        <v/>
      </c>
      <c r="C238" s="24">
        <f>IF(A238="","",CHOOSE(WEEKDAY(B238,2),"Isnin","Selasa","Rabu","Khamis","Jumaat","Sabtu","Ahad"))</f>
        <v/>
      </c>
      <c r="D238" s="25">
        <f>IF(A238="","",COUNTIF(Transaksi!$L$2:$L$3000,A238))</f>
        <v/>
      </c>
      <c r="E238" s="13">
        <f>IF(A238="","",SUMIFS(Transaksi!$G$2:$G$3000,Transaksi!$L$2:$L$3000,A238)+SUMIFS(Transaksi!$H$2:$H$3000,Transaksi!$L$2:$L$3000,A238)+SUMIFS(Transaksi!$I$2:$I$3000,Transaksi!$L$2:$L$3000,A238))</f>
        <v/>
      </c>
      <c r="F238" s="14">
        <f>IF(A238="","",SUMIFS(Transaksi!$J$2:$J$3000,Transaksi!$L$2:$L$3000,A238))</f>
        <v/>
      </c>
      <c r="G238" s="15">
        <f>IF(A238="","",E238-F238)</f>
        <v/>
      </c>
      <c r="H238" s="16">
        <f>IF(A238="","",SUMIFS(Transaksi!$G$2:$G$3000,Transaksi!$L$2:$L$3000,"&lt;="&amp;A238)+SUMIFS(Transaksi!$H$2:$H$3000,Transaksi!$L$2:$L$3000,"&lt;="&amp;A238)+SUMIFS(Transaksi!$I$2:$I$3000,Transaksi!$L$2:$L$3000,"&lt;="&amp;A238)-(SUMIFS(Transaksi!$J$2:$J$3000,Transaksi!$L$2:$L$3000,"&lt;="&amp;A238)))</f>
        <v/>
      </c>
    </row>
    <row r="239">
      <c r="A239" s="22">
        <f>IF(235&lt;=MAX(Transaksi!$L$2:$L$3000),MAX(Transaksi!$L$2:$L$3000)-234,"")</f>
        <v/>
      </c>
      <c r="B239" s="23">
        <f>IF(A239="","",INDEX(Transaksi!$B$2:$B$3000,MATCH(A239,Transaksi!$L$2:$L$3000,0)))</f>
        <v/>
      </c>
      <c r="C239" s="24">
        <f>IF(A239="","",CHOOSE(WEEKDAY(B239,2),"Isnin","Selasa","Rabu","Khamis","Jumaat","Sabtu","Ahad"))</f>
        <v/>
      </c>
      <c r="D239" s="25">
        <f>IF(A239="","",COUNTIF(Transaksi!$L$2:$L$3000,A239))</f>
        <v/>
      </c>
      <c r="E239" s="13">
        <f>IF(A239="","",SUMIFS(Transaksi!$G$2:$G$3000,Transaksi!$L$2:$L$3000,A239)+SUMIFS(Transaksi!$H$2:$H$3000,Transaksi!$L$2:$L$3000,A239)+SUMIFS(Transaksi!$I$2:$I$3000,Transaksi!$L$2:$L$3000,A239))</f>
        <v/>
      </c>
      <c r="F239" s="14">
        <f>IF(A239="","",SUMIFS(Transaksi!$J$2:$J$3000,Transaksi!$L$2:$L$3000,A239))</f>
        <v/>
      </c>
      <c r="G239" s="15">
        <f>IF(A239="","",E239-F239)</f>
        <v/>
      </c>
      <c r="H239" s="16">
        <f>IF(A239="","",SUMIFS(Transaksi!$G$2:$G$3000,Transaksi!$L$2:$L$3000,"&lt;="&amp;A239)+SUMIFS(Transaksi!$H$2:$H$3000,Transaksi!$L$2:$L$3000,"&lt;="&amp;A239)+SUMIFS(Transaksi!$I$2:$I$3000,Transaksi!$L$2:$L$3000,"&lt;="&amp;A239)-(SUMIFS(Transaksi!$J$2:$J$3000,Transaksi!$L$2:$L$3000,"&lt;="&amp;A239)))</f>
        <v/>
      </c>
    </row>
    <row r="240">
      <c r="A240" s="22">
        <f>IF(236&lt;=MAX(Transaksi!$L$2:$L$3000),MAX(Transaksi!$L$2:$L$3000)-235,"")</f>
        <v/>
      </c>
      <c r="B240" s="23">
        <f>IF(A240="","",INDEX(Transaksi!$B$2:$B$3000,MATCH(A240,Transaksi!$L$2:$L$3000,0)))</f>
        <v/>
      </c>
      <c r="C240" s="24">
        <f>IF(A240="","",CHOOSE(WEEKDAY(B240,2),"Isnin","Selasa","Rabu","Khamis","Jumaat","Sabtu","Ahad"))</f>
        <v/>
      </c>
      <c r="D240" s="25">
        <f>IF(A240="","",COUNTIF(Transaksi!$L$2:$L$3000,A240))</f>
        <v/>
      </c>
      <c r="E240" s="13">
        <f>IF(A240="","",SUMIFS(Transaksi!$G$2:$G$3000,Transaksi!$L$2:$L$3000,A240)+SUMIFS(Transaksi!$H$2:$H$3000,Transaksi!$L$2:$L$3000,A240)+SUMIFS(Transaksi!$I$2:$I$3000,Transaksi!$L$2:$L$3000,A240))</f>
        <v/>
      </c>
      <c r="F240" s="14">
        <f>IF(A240="","",SUMIFS(Transaksi!$J$2:$J$3000,Transaksi!$L$2:$L$3000,A240))</f>
        <v/>
      </c>
      <c r="G240" s="15">
        <f>IF(A240="","",E240-F240)</f>
        <v/>
      </c>
      <c r="H240" s="16">
        <f>IF(A240="","",SUMIFS(Transaksi!$G$2:$G$3000,Transaksi!$L$2:$L$3000,"&lt;="&amp;A240)+SUMIFS(Transaksi!$H$2:$H$3000,Transaksi!$L$2:$L$3000,"&lt;="&amp;A240)+SUMIFS(Transaksi!$I$2:$I$3000,Transaksi!$L$2:$L$3000,"&lt;="&amp;A240)-(SUMIFS(Transaksi!$J$2:$J$3000,Transaksi!$L$2:$L$3000,"&lt;="&amp;A240)))</f>
        <v/>
      </c>
    </row>
    <row r="241">
      <c r="A241" s="22">
        <f>IF(237&lt;=MAX(Transaksi!$L$2:$L$3000),MAX(Transaksi!$L$2:$L$3000)-236,"")</f>
        <v/>
      </c>
      <c r="B241" s="23">
        <f>IF(A241="","",INDEX(Transaksi!$B$2:$B$3000,MATCH(A241,Transaksi!$L$2:$L$3000,0)))</f>
        <v/>
      </c>
      <c r="C241" s="24">
        <f>IF(A241="","",CHOOSE(WEEKDAY(B241,2),"Isnin","Selasa","Rabu","Khamis","Jumaat","Sabtu","Ahad"))</f>
        <v/>
      </c>
      <c r="D241" s="25">
        <f>IF(A241="","",COUNTIF(Transaksi!$L$2:$L$3000,A241))</f>
        <v/>
      </c>
      <c r="E241" s="13">
        <f>IF(A241="","",SUMIFS(Transaksi!$G$2:$G$3000,Transaksi!$L$2:$L$3000,A241)+SUMIFS(Transaksi!$H$2:$H$3000,Transaksi!$L$2:$L$3000,A241)+SUMIFS(Transaksi!$I$2:$I$3000,Transaksi!$L$2:$L$3000,A241))</f>
        <v/>
      </c>
      <c r="F241" s="14">
        <f>IF(A241="","",SUMIFS(Transaksi!$J$2:$J$3000,Transaksi!$L$2:$L$3000,A241))</f>
        <v/>
      </c>
      <c r="G241" s="15">
        <f>IF(A241="","",E241-F241)</f>
        <v/>
      </c>
      <c r="H241" s="16">
        <f>IF(A241="","",SUMIFS(Transaksi!$G$2:$G$3000,Transaksi!$L$2:$L$3000,"&lt;="&amp;A241)+SUMIFS(Transaksi!$H$2:$H$3000,Transaksi!$L$2:$L$3000,"&lt;="&amp;A241)+SUMIFS(Transaksi!$I$2:$I$3000,Transaksi!$L$2:$L$3000,"&lt;="&amp;A241)-(SUMIFS(Transaksi!$J$2:$J$3000,Transaksi!$L$2:$L$3000,"&lt;="&amp;A241)))</f>
        <v/>
      </c>
    </row>
    <row r="242">
      <c r="A242" s="22">
        <f>IF(238&lt;=MAX(Transaksi!$L$2:$L$3000),MAX(Transaksi!$L$2:$L$3000)-237,"")</f>
        <v/>
      </c>
      <c r="B242" s="23">
        <f>IF(A242="","",INDEX(Transaksi!$B$2:$B$3000,MATCH(A242,Transaksi!$L$2:$L$3000,0)))</f>
        <v/>
      </c>
      <c r="C242" s="24">
        <f>IF(A242="","",CHOOSE(WEEKDAY(B242,2),"Isnin","Selasa","Rabu","Khamis","Jumaat","Sabtu","Ahad"))</f>
        <v/>
      </c>
      <c r="D242" s="25">
        <f>IF(A242="","",COUNTIF(Transaksi!$L$2:$L$3000,A242))</f>
        <v/>
      </c>
      <c r="E242" s="13">
        <f>IF(A242="","",SUMIFS(Transaksi!$G$2:$G$3000,Transaksi!$L$2:$L$3000,A242)+SUMIFS(Transaksi!$H$2:$H$3000,Transaksi!$L$2:$L$3000,A242)+SUMIFS(Transaksi!$I$2:$I$3000,Transaksi!$L$2:$L$3000,A242))</f>
        <v/>
      </c>
      <c r="F242" s="14">
        <f>IF(A242="","",SUMIFS(Transaksi!$J$2:$J$3000,Transaksi!$L$2:$L$3000,A242))</f>
        <v/>
      </c>
      <c r="G242" s="15">
        <f>IF(A242="","",E242-F242)</f>
        <v/>
      </c>
      <c r="H242" s="16">
        <f>IF(A242="","",SUMIFS(Transaksi!$G$2:$G$3000,Transaksi!$L$2:$L$3000,"&lt;="&amp;A242)+SUMIFS(Transaksi!$H$2:$H$3000,Transaksi!$L$2:$L$3000,"&lt;="&amp;A242)+SUMIFS(Transaksi!$I$2:$I$3000,Transaksi!$L$2:$L$3000,"&lt;="&amp;A242)-(SUMIFS(Transaksi!$J$2:$J$3000,Transaksi!$L$2:$L$3000,"&lt;="&amp;A242)))</f>
        <v/>
      </c>
    </row>
    <row r="243">
      <c r="A243" s="22">
        <f>IF(239&lt;=MAX(Transaksi!$L$2:$L$3000),MAX(Transaksi!$L$2:$L$3000)-238,"")</f>
        <v/>
      </c>
      <c r="B243" s="23">
        <f>IF(A243="","",INDEX(Transaksi!$B$2:$B$3000,MATCH(A243,Transaksi!$L$2:$L$3000,0)))</f>
        <v/>
      </c>
      <c r="C243" s="24">
        <f>IF(A243="","",CHOOSE(WEEKDAY(B243,2),"Isnin","Selasa","Rabu","Khamis","Jumaat","Sabtu","Ahad"))</f>
        <v/>
      </c>
      <c r="D243" s="25">
        <f>IF(A243="","",COUNTIF(Transaksi!$L$2:$L$3000,A243))</f>
        <v/>
      </c>
      <c r="E243" s="13">
        <f>IF(A243="","",SUMIFS(Transaksi!$G$2:$G$3000,Transaksi!$L$2:$L$3000,A243)+SUMIFS(Transaksi!$H$2:$H$3000,Transaksi!$L$2:$L$3000,A243)+SUMIFS(Transaksi!$I$2:$I$3000,Transaksi!$L$2:$L$3000,A243))</f>
        <v/>
      </c>
      <c r="F243" s="14">
        <f>IF(A243="","",SUMIFS(Transaksi!$J$2:$J$3000,Transaksi!$L$2:$L$3000,A243))</f>
        <v/>
      </c>
      <c r="G243" s="15">
        <f>IF(A243="","",E243-F243)</f>
        <v/>
      </c>
      <c r="H243" s="16">
        <f>IF(A243="","",SUMIFS(Transaksi!$G$2:$G$3000,Transaksi!$L$2:$L$3000,"&lt;="&amp;A243)+SUMIFS(Transaksi!$H$2:$H$3000,Transaksi!$L$2:$L$3000,"&lt;="&amp;A243)+SUMIFS(Transaksi!$I$2:$I$3000,Transaksi!$L$2:$L$3000,"&lt;="&amp;A243)-(SUMIFS(Transaksi!$J$2:$J$3000,Transaksi!$L$2:$L$3000,"&lt;="&amp;A243)))</f>
        <v/>
      </c>
    </row>
    <row r="244">
      <c r="A244" s="22">
        <f>IF(240&lt;=MAX(Transaksi!$L$2:$L$3000),MAX(Transaksi!$L$2:$L$3000)-239,"")</f>
        <v/>
      </c>
      <c r="B244" s="23">
        <f>IF(A244="","",INDEX(Transaksi!$B$2:$B$3000,MATCH(A244,Transaksi!$L$2:$L$3000,0)))</f>
        <v/>
      </c>
      <c r="C244" s="24">
        <f>IF(A244="","",CHOOSE(WEEKDAY(B244,2),"Isnin","Selasa","Rabu","Khamis","Jumaat","Sabtu","Ahad"))</f>
        <v/>
      </c>
      <c r="D244" s="25">
        <f>IF(A244="","",COUNTIF(Transaksi!$L$2:$L$3000,A244))</f>
        <v/>
      </c>
      <c r="E244" s="13">
        <f>IF(A244="","",SUMIFS(Transaksi!$G$2:$G$3000,Transaksi!$L$2:$L$3000,A244)+SUMIFS(Transaksi!$H$2:$H$3000,Transaksi!$L$2:$L$3000,A244)+SUMIFS(Transaksi!$I$2:$I$3000,Transaksi!$L$2:$L$3000,A244))</f>
        <v/>
      </c>
      <c r="F244" s="14">
        <f>IF(A244="","",SUMIFS(Transaksi!$J$2:$J$3000,Transaksi!$L$2:$L$3000,A244))</f>
        <v/>
      </c>
      <c r="G244" s="15">
        <f>IF(A244="","",E244-F244)</f>
        <v/>
      </c>
      <c r="H244" s="16">
        <f>IF(A244="","",SUMIFS(Transaksi!$G$2:$G$3000,Transaksi!$L$2:$L$3000,"&lt;="&amp;A244)+SUMIFS(Transaksi!$H$2:$H$3000,Transaksi!$L$2:$L$3000,"&lt;="&amp;A244)+SUMIFS(Transaksi!$I$2:$I$3000,Transaksi!$L$2:$L$3000,"&lt;="&amp;A244)-(SUMIFS(Transaksi!$J$2:$J$3000,Transaksi!$L$2:$L$3000,"&lt;="&amp;A244)))</f>
        <v/>
      </c>
    </row>
    <row r="245">
      <c r="A245" s="22">
        <f>IF(241&lt;=MAX(Transaksi!$L$2:$L$3000),MAX(Transaksi!$L$2:$L$3000)-240,"")</f>
        <v/>
      </c>
      <c r="B245" s="23">
        <f>IF(A245="","",INDEX(Transaksi!$B$2:$B$3000,MATCH(A245,Transaksi!$L$2:$L$3000,0)))</f>
        <v/>
      </c>
      <c r="C245" s="24">
        <f>IF(A245="","",CHOOSE(WEEKDAY(B245,2),"Isnin","Selasa","Rabu","Khamis","Jumaat","Sabtu","Ahad"))</f>
        <v/>
      </c>
      <c r="D245" s="25">
        <f>IF(A245="","",COUNTIF(Transaksi!$L$2:$L$3000,A245))</f>
        <v/>
      </c>
      <c r="E245" s="13">
        <f>IF(A245="","",SUMIFS(Transaksi!$G$2:$G$3000,Transaksi!$L$2:$L$3000,A245)+SUMIFS(Transaksi!$H$2:$H$3000,Transaksi!$L$2:$L$3000,A245)+SUMIFS(Transaksi!$I$2:$I$3000,Transaksi!$L$2:$L$3000,A245))</f>
        <v/>
      </c>
      <c r="F245" s="14">
        <f>IF(A245="","",SUMIFS(Transaksi!$J$2:$J$3000,Transaksi!$L$2:$L$3000,A245))</f>
        <v/>
      </c>
      <c r="G245" s="15">
        <f>IF(A245="","",E245-F245)</f>
        <v/>
      </c>
      <c r="H245" s="16">
        <f>IF(A245="","",SUMIFS(Transaksi!$G$2:$G$3000,Transaksi!$L$2:$L$3000,"&lt;="&amp;A245)+SUMIFS(Transaksi!$H$2:$H$3000,Transaksi!$L$2:$L$3000,"&lt;="&amp;A245)+SUMIFS(Transaksi!$I$2:$I$3000,Transaksi!$L$2:$L$3000,"&lt;="&amp;A245)-(SUMIFS(Transaksi!$J$2:$J$3000,Transaksi!$L$2:$L$3000,"&lt;="&amp;A245)))</f>
        <v/>
      </c>
    </row>
    <row r="246">
      <c r="A246" s="22">
        <f>IF(242&lt;=MAX(Transaksi!$L$2:$L$3000),MAX(Transaksi!$L$2:$L$3000)-241,"")</f>
        <v/>
      </c>
      <c r="B246" s="23">
        <f>IF(A246="","",INDEX(Transaksi!$B$2:$B$3000,MATCH(A246,Transaksi!$L$2:$L$3000,0)))</f>
        <v/>
      </c>
      <c r="C246" s="24">
        <f>IF(A246="","",CHOOSE(WEEKDAY(B246,2),"Isnin","Selasa","Rabu","Khamis","Jumaat","Sabtu","Ahad"))</f>
        <v/>
      </c>
      <c r="D246" s="25">
        <f>IF(A246="","",COUNTIF(Transaksi!$L$2:$L$3000,A246))</f>
        <v/>
      </c>
      <c r="E246" s="13">
        <f>IF(A246="","",SUMIFS(Transaksi!$G$2:$G$3000,Transaksi!$L$2:$L$3000,A246)+SUMIFS(Transaksi!$H$2:$H$3000,Transaksi!$L$2:$L$3000,A246)+SUMIFS(Transaksi!$I$2:$I$3000,Transaksi!$L$2:$L$3000,A246))</f>
        <v/>
      </c>
      <c r="F246" s="14">
        <f>IF(A246="","",SUMIFS(Transaksi!$J$2:$J$3000,Transaksi!$L$2:$L$3000,A246))</f>
        <v/>
      </c>
      <c r="G246" s="15">
        <f>IF(A246="","",E246-F246)</f>
        <v/>
      </c>
      <c r="H246" s="16">
        <f>IF(A246="","",SUMIFS(Transaksi!$G$2:$G$3000,Transaksi!$L$2:$L$3000,"&lt;="&amp;A246)+SUMIFS(Transaksi!$H$2:$H$3000,Transaksi!$L$2:$L$3000,"&lt;="&amp;A246)+SUMIFS(Transaksi!$I$2:$I$3000,Transaksi!$L$2:$L$3000,"&lt;="&amp;A246)-(SUMIFS(Transaksi!$J$2:$J$3000,Transaksi!$L$2:$L$3000,"&lt;="&amp;A246)))</f>
        <v/>
      </c>
    </row>
    <row r="247">
      <c r="A247" s="22">
        <f>IF(243&lt;=MAX(Transaksi!$L$2:$L$3000),MAX(Transaksi!$L$2:$L$3000)-242,"")</f>
        <v/>
      </c>
      <c r="B247" s="23">
        <f>IF(A247="","",INDEX(Transaksi!$B$2:$B$3000,MATCH(A247,Transaksi!$L$2:$L$3000,0)))</f>
        <v/>
      </c>
      <c r="C247" s="24">
        <f>IF(A247="","",CHOOSE(WEEKDAY(B247,2),"Isnin","Selasa","Rabu","Khamis","Jumaat","Sabtu","Ahad"))</f>
        <v/>
      </c>
      <c r="D247" s="25">
        <f>IF(A247="","",COUNTIF(Transaksi!$L$2:$L$3000,A247))</f>
        <v/>
      </c>
      <c r="E247" s="13">
        <f>IF(A247="","",SUMIFS(Transaksi!$G$2:$G$3000,Transaksi!$L$2:$L$3000,A247)+SUMIFS(Transaksi!$H$2:$H$3000,Transaksi!$L$2:$L$3000,A247)+SUMIFS(Transaksi!$I$2:$I$3000,Transaksi!$L$2:$L$3000,A247))</f>
        <v/>
      </c>
      <c r="F247" s="14">
        <f>IF(A247="","",SUMIFS(Transaksi!$J$2:$J$3000,Transaksi!$L$2:$L$3000,A247))</f>
        <v/>
      </c>
      <c r="G247" s="15">
        <f>IF(A247="","",E247-F247)</f>
        <v/>
      </c>
      <c r="H247" s="16">
        <f>IF(A247="","",SUMIFS(Transaksi!$G$2:$G$3000,Transaksi!$L$2:$L$3000,"&lt;="&amp;A247)+SUMIFS(Transaksi!$H$2:$H$3000,Transaksi!$L$2:$L$3000,"&lt;="&amp;A247)+SUMIFS(Transaksi!$I$2:$I$3000,Transaksi!$L$2:$L$3000,"&lt;="&amp;A247)-(SUMIFS(Transaksi!$J$2:$J$3000,Transaksi!$L$2:$L$3000,"&lt;="&amp;A247)))</f>
        <v/>
      </c>
    </row>
    <row r="248">
      <c r="A248" s="22">
        <f>IF(244&lt;=MAX(Transaksi!$L$2:$L$3000),MAX(Transaksi!$L$2:$L$3000)-243,"")</f>
        <v/>
      </c>
      <c r="B248" s="23">
        <f>IF(A248="","",INDEX(Transaksi!$B$2:$B$3000,MATCH(A248,Transaksi!$L$2:$L$3000,0)))</f>
        <v/>
      </c>
      <c r="C248" s="24">
        <f>IF(A248="","",CHOOSE(WEEKDAY(B248,2),"Isnin","Selasa","Rabu","Khamis","Jumaat","Sabtu","Ahad"))</f>
        <v/>
      </c>
      <c r="D248" s="25">
        <f>IF(A248="","",COUNTIF(Transaksi!$L$2:$L$3000,A248))</f>
        <v/>
      </c>
      <c r="E248" s="13">
        <f>IF(A248="","",SUMIFS(Transaksi!$G$2:$G$3000,Transaksi!$L$2:$L$3000,A248)+SUMIFS(Transaksi!$H$2:$H$3000,Transaksi!$L$2:$L$3000,A248)+SUMIFS(Transaksi!$I$2:$I$3000,Transaksi!$L$2:$L$3000,A248))</f>
        <v/>
      </c>
      <c r="F248" s="14">
        <f>IF(A248="","",SUMIFS(Transaksi!$J$2:$J$3000,Transaksi!$L$2:$L$3000,A248))</f>
        <v/>
      </c>
      <c r="G248" s="15">
        <f>IF(A248="","",E248-F248)</f>
        <v/>
      </c>
      <c r="H248" s="16">
        <f>IF(A248="","",SUMIFS(Transaksi!$G$2:$G$3000,Transaksi!$L$2:$L$3000,"&lt;="&amp;A248)+SUMIFS(Transaksi!$H$2:$H$3000,Transaksi!$L$2:$L$3000,"&lt;="&amp;A248)+SUMIFS(Transaksi!$I$2:$I$3000,Transaksi!$L$2:$L$3000,"&lt;="&amp;A248)-(SUMIFS(Transaksi!$J$2:$J$3000,Transaksi!$L$2:$L$3000,"&lt;="&amp;A248)))</f>
        <v/>
      </c>
    </row>
    <row r="249">
      <c r="A249" s="22">
        <f>IF(245&lt;=MAX(Transaksi!$L$2:$L$3000),MAX(Transaksi!$L$2:$L$3000)-244,"")</f>
        <v/>
      </c>
      <c r="B249" s="23">
        <f>IF(A249="","",INDEX(Transaksi!$B$2:$B$3000,MATCH(A249,Transaksi!$L$2:$L$3000,0)))</f>
        <v/>
      </c>
      <c r="C249" s="24">
        <f>IF(A249="","",CHOOSE(WEEKDAY(B249,2),"Isnin","Selasa","Rabu","Khamis","Jumaat","Sabtu","Ahad"))</f>
        <v/>
      </c>
      <c r="D249" s="25">
        <f>IF(A249="","",COUNTIF(Transaksi!$L$2:$L$3000,A249))</f>
        <v/>
      </c>
      <c r="E249" s="13">
        <f>IF(A249="","",SUMIFS(Transaksi!$G$2:$G$3000,Transaksi!$L$2:$L$3000,A249)+SUMIFS(Transaksi!$H$2:$H$3000,Transaksi!$L$2:$L$3000,A249)+SUMIFS(Transaksi!$I$2:$I$3000,Transaksi!$L$2:$L$3000,A249))</f>
        <v/>
      </c>
      <c r="F249" s="14">
        <f>IF(A249="","",SUMIFS(Transaksi!$J$2:$J$3000,Transaksi!$L$2:$L$3000,A249))</f>
        <v/>
      </c>
      <c r="G249" s="15">
        <f>IF(A249="","",E249-F249)</f>
        <v/>
      </c>
      <c r="H249" s="16">
        <f>IF(A249="","",SUMIFS(Transaksi!$G$2:$G$3000,Transaksi!$L$2:$L$3000,"&lt;="&amp;A249)+SUMIFS(Transaksi!$H$2:$H$3000,Transaksi!$L$2:$L$3000,"&lt;="&amp;A249)+SUMIFS(Transaksi!$I$2:$I$3000,Transaksi!$L$2:$L$3000,"&lt;="&amp;A249)-(SUMIFS(Transaksi!$J$2:$J$3000,Transaksi!$L$2:$L$3000,"&lt;="&amp;A249)))</f>
        <v/>
      </c>
    </row>
    <row r="250">
      <c r="A250" s="22">
        <f>IF(246&lt;=MAX(Transaksi!$L$2:$L$3000),MAX(Transaksi!$L$2:$L$3000)-245,"")</f>
        <v/>
      </c>
      <c r="B250" s="23">
        <f>IF(A250="","",INDEX(Transaksi!$B$2:$B$3000,MATCH(A250,Transaksi!$L$2:$L$3000,0)))</f>
        <v/>
      </c>
      <c r="C250" s="24">
        <f>IF(A250="","",CHOOSE(WEEKDAY(B250,2),"Isnin","Selasa","Rabu","Khamis","Jumaat","Sabtu","Ahad"))</f>
        <v/>
      </c>
      <c r="D250" s="25">
        <f>IF(A250="","",COUNTIF(Transaksi!$L$2:$L$3000,A250))</f>
        <v/>
      </c>
      <c r="E250" s="13">
        <f>IF(A250="","",SUMIFS(Transaksi!$G$2:$G$3000,Transaksi!$L$2:$L$3000,A250)+SUMIFS(Transaksi!$H$2:$H$3000,Transaksi!$L$2:$L$3000,A250)+SUMIFS(Transaksi!$I$2:$I$3000,Transaksi!$L$2:$L$3000,A250))</f>
        <v/>
      </c>
      <c r="F250" s="14">
        <f>IF(A250="","",SUMIFS(Transaksi!$J$2:$J$3000,Transaksi!$L$2:$L$3000,A250))</f>
        <v/>
      </c>
      <c r="G250" s="15">
        <f>IF(A250="","",E250-F250)</f>
        <v/>
      </c>
      <c r="H250" s="16">
        <f>IF(A250="","",SUMIFS(Transaksi!$G$2:$G$3000,Transaksi!$L$2:$L$3000,"&lt;="&amp;A250)+SUMIFS(Transaksi!$H$2:$H$3000,Transaksi!$L$2:$L$3000,"&lt;="&amp;A250)+SUMIFS(Transaksi!$I$2:$I$3000,Transaksi!$L$2:$L$3000,"&lt;="&amp;A250)-(SUMIFS(Transaksi!$J$2:$J$3000,Transaksi!$L$2:$L$3000,"&lt;="&amp;A250)))</f>
        <v/>
      </c>
    </row>
    <row r="251">
      <c r="A251" s="22">
        <f>IF(247&lt;=MAX(Transaksi!$L$2:$L$3000),MAX(Transaksi!$L$2:$L$3000)-246,"")</f>
        <v/>
      </c>
      <c r="B251" s="23">
        <f>IF(A251="","",INDEX(Transaksi!$B$2:$B$3000,MATCH(A251,Transaksi!$L$2:$L$3000,0)))</f>
        <v/>
      </c>
      <c r="C251" s="24">
        <f>IF(A251="","",CHOOSE(WEEKDAY(B251,2),"Isnin","Selasa","Rabu","Khamis","Jumaat","Sabtu","Ahad"))</f>
        <v/>
      </c>
      <c r="D251" s="25">
        <f>IF(A251="","",COUNTIF(Transaksi!$L$2:$L$3000,A251))</f>
        <v/>
      </c>
      <c r="E251" s="13">
        <f>IF(A251="","",SUMIFS(Transaksi!$G$2:$G$3000,Transaksi!$L$2:$L$3000,A251)+SUMIFS(Transaksi!$H$2:$H$3000,Transaksi!$L$2:$L$3000,A251)+SUMIFS(Transaksi!$I$2:$I$3000,Transaksi!$L$2:$L$3000,A251))</f>
        <v/>
      </c>
      <c r="F251" s="14">
        <f>IF(A251="","",SUMIFS(Transaksi!$J$2:$J$3000,Transaksi!$L$2:$L$3000,A251))</f>
        <v/>
      </c>
      <c r="G251" s="15">
        <f>IF(A251="","",E251-F251)</f>
        <v/>
      </c>
      <c r="H251" s="16">
        <f>IF(A251="","",SUMIFS(Transaksi!$G$2:$G$3000,Transaksi!$L$2:$L$3000,"&lt;="&amp;A251)+SUMIFS(Transaksi!$H$2:$H$3000,Transaksi!$L$2:$L$3000,"&lt;="&amp;A251)+SUMIFS(Transaksi!$I$2:$I$3000,Transaksi!$L$2:$L$3000,"&lt;="&amp;A251)-(SUMIFS(Transaksi!$J$2:$J$3000,Transaksi!$L$2:$L$3000,"&lt;="&amp;A251)))</f>
        <v/>
      </c>
    </row>
    <row r="252">
      <c r="A252" s="22">
        <f>IF(248&lt;=MAX(Transaksi!$L$2:$L$3000),MAX(Transaksi!$L$2:$L$3000)-247,"")</f>
        <v/>
      </c>
      <c r="B252" s="23">
        <f>IF(A252="","",INDEX(Transaksi!$B$2:$B$3000,MATCH(A252,Transaksi!$L$2:$L$3000,0)))</f>
        <v/>
      </c>
      <c r="C252" s="24">
        <f>IF(A252="","",CHOOSE(WEEKDAY(B252,2),"Isnin","Selasa","Rabu","Khamis","Jumaat","Sabtu","Ahad"))</f>
        <v/>
      </c>
      <c r="D252" s="25">
        <f>IF(A252="","",COUNTIF(Transaksi!$L$2:$L$3000,A252))</f>
        <v/>
      </c>
      <c r="E252" s="13">
        <f>IF(A252="","",SUMIFS(Transaksi!$G$2:$G$3000,Transaksi!$L$2:$L$3000,A252)+SUMIFS(Transaksi!$H$2:$H$3000,Transaksi!$L$2:$L$3000,A252)+SUMIFS(Transaksi!$I$2:$I$3000,Transaksi!$L$2:$L$3000,A252))</f>
        <v/>
      </c>
      <c r="F252" s="14">
        <f>IF(A252="","",SUMIFS(Transaksi!$J$2:$J$3000,Transaksi!$L$2:$L$3000,A252))</f>
        <v/>
      </c>
      <c r="G252" s="15">
        <f>IF(A252="","",E252-F252)</f>
        <v/>
      </c>
      <c r="H252" s="16">
        <f>IF(A252="","",SUMIFS(Transaksi!$G$2:$G$3000,Transaksi!$L$2:$L$3000,"&lt;="&amp;A252)+SUMIFS(Transaksi!$H$2:$H$3000,Transaksi!$L$2:$L$3000,"&lt;="&amp;A252)+SUMIFS(Transaksi!$I$2:$I$3000,Transaksi!$L$2:$L$3000,"&lt;="&amp;A252)-(SUMIFS(Transaksi!$J$2:$J$3000,Transaksi!$L$2:$L$3000,"&lt;="&amp;A252)))</f>
        <v/>
      </c>
    </row>
    <row r="253">
      <c r="A253" s="22">
        <f>IF(249&lt;=MAX(Transaksi!$L$2:$L$3000),MAX(Transaksi!$L$2:$L$3000)-248,"")</f>
        <v/>
      </c>
      <c r="B253" s="23">
        <f>IF(A253="","",INDEX(Transaksi!$B$2:$B$3000,MATCH(A253,Transaksi!$L$2:$L$3000,0)))</f>
        <v/>
      </c>
      <c r="C253" s="24">
        <f>IF(A253="","",CHOOSE(WEEKDAY(B253,2),"Isnin","Selasa","Rabu","Khamis","Jumaat","Sabtu","Ahad"))</f>
        <v/>
      </c>
      <c r="D253" s="25">
        <f>IF(A253="","",COUNTIF(Transaksi!$L$2:$L$3000,A253))</f>
        <v/>
      </c>
      <c r="E253" s="13">
        <f>IF(A253="","",SUMIFS(Transaksi!$G$2:$G$3000,Transaksi!$L$2:$L$3000,A253)+SUMIFS(Transaksi!$H$2:$H$3000,Transaksi!$L$2:$L$3000,A253)+SUMIFS(Transaksi!$I$2:$I$3000,Transaksi!$L$2:$L$3000,A253))</f>
        <v/>
      </c>
      <c r="F253" s="14">
        <f>IF(A253="","",SUMIFS(Transaksi!$J$2:$J$3000,Transaksi!$L$2:$L$3000,A253))</f>
        <v/>
      </c>
      <c r="G253" s="15">
        <f>IF(A253="","",E253-F253)</f>
        <v/>
      </c>
      <c r="H253" s="16">
        <f>IF(A253="","",SUMIFS(Transaksi!$G$2:$G$3000,Transaksi!$L$2:$L$3000,"&lt;="&amp;A253)+SUMIFS(Transaksi!$H$2:$H$3000,Transaksi!$L$2:$L$3000,"&lt;="&amp;A253)+SUMIFS(Transaksi!$I$2:$I$3000,Transaksi!$L$2:$L$3000,"&lt;="&amp;A253)-(SUMIFS(Transaksi!$J$2:$J$3000,Transaksi!$L$2:$L$3000,"&lt;="&amp;A253)))</f>
        <v/>
      </c>
    </row>
    <row r="254">
      <c r="A254" s="22">
        <f>IF(250&lt;=MAX(Transaksi!$L$2:$L$3000),MAX(Transaksi!$L$2:$L$3000)-249,"")</f>
        <v/>
      </c>
      <c r="B254" s="23">
        <f>IF(A254="","",INDEX(Transaksi!$B$2:$B$3000,MATCH(A254,Transaksi!$L$2:$L$3000,0)))</f>
        <v/>
      </c>
      <c r="C254" s="24">
        <f>IF(A254="","",CHOOSE(WEEKDAY(B254,2),"Isnin","Selasa","Rabu","Khamis","Jumaat","Sabtu","Ahad"))</f>
        <v/>
      </c>
      <c r="D254" s="25">
        <f>IF(A254="","",COUNTIF(Transaksi!$L$2:$L$3000,A254))</f>
        <v/>
      </c>
      <c r="E254" s="13">
        <f>IF(A254="","",SUMIFS(Transaksi!$G$2:$G$3000,Transaksi!$L$2:$L$3000,A254)+SUMIFS(Transaksi!$H$2:$H$3000,Transaksi!$L$2:$L$3000,A254)+SUMIFS(Transaksi!$I$2:$I$3000,Transaksi!$L$2:$L$3000,A254))</f>
        <v/>
      </c>
      <c r="F254" s="14">
        <f>IF(A254="","",SUMIFS(Transaksi!$J$2:$J$3000,Transaksi!$L$2:$L$3000,A254))</f>
        <v/>
      </c>
      <c r="G254" s="15">
        <f>IF(A254="","",E254-F254)</f>
        <v/>
      </c>
      <c r="H254" s="16">
        <f>IF(A254="","",SUMIFS(Transaksi!$G$2:$G$3000,Transaksi!$L$2:$L$3000,"&lt;="&amp;A254)+SUMIFS(Transaksi!$H$2:$H$3000,Transaksi!$L$2:$L$3000,"&lt;="&amp;A254)+SUMIFS(Transaksi!$I$2:$I$3000,Transaksi!$L$2:$L$3000,"&lt;="&amp;A254)-(SUMIFS(Transaksi!$J$2:$J$3000,Transaksi!$L$2:$L$3000,"&lt;="&amp;A254)))</f>
        <v/>
      </c>
    </row>
    <row r="255">
      <c r="A255" s="22">
        <f>IF(251&lt;=MAX(Transaksi!$L$2:$L$3000),MAX(Transaksi!$L$2:$L$3000)-250,"")</f>
        <v/>
      </c>
      <c r="B255" s="23">
        <f>IF(A255="","",INDEX(Transaksi!$B$2:$B$3000,MATCH(A255,Transaksi!$L$2:$L$3000,0)))</f>
        <v/>
      </c>
      <c r="C255" s="24">
        <f>IF(A255="","",CHOOSE(WEEKDAY(B255,2),"Isnin","Selasa","Rabu","Khamis","Jumaat","Sabtu","Ahad"))</f>
        <v/>
      </c>
      <c r="D255" s="25">
        <f>IF(A255="","",COUNTIF(Transaksi!$L$2:$L$3000,A255))</f>
        <v/>
      </c>
      <c r="E255" s="13">
        <f>IF(A255="","",SUMIFS(Transaksi!$G$2:$G$3000,Transaksi!$L$2:$L$3000,A255)+SUMIFS(Transaksi!$H$2:$H$3000,Transaksi!$L$2:$L$3000,A255)+SUMIFS(Transaksi!$I$2:$I$3000,Transaksi!$L$2:$L$3000,A255))</f>
        <v/>
      </c>
      <c r="F255" s="14">
        <f>IF(A255="","",SUMIFS(Transaksi!$J$2:$J$3000,Transaksi!$L$2:$L$3000,A255))</f>
        <v/>
      </c>
      <c r="G255" s="15">
        <f>IF(A255="","",E255-F255)</f>
        <v/>
      </c>
      <c r="H255" s="16">
        <f>IF(A255="","",SUMIFS(Transaksi!$G$2:$G$3000,Transaksi!$L$2:$L$3000,"&lt;="&amp;A255)+SUMIFS(Transaksi!$H$2:$H$3000,Transaksi!$L$2:$L$3000,"&lt;="&amp;A255)+SUMIFS(Transaksi!$I$2:$I$3000,Transaksi!$L$2:$L$3000,"&lt;="&amp;A255)-(SUMIFS(Transaksi!$J$2:$J$3000,Transaksi!$L$2:$L$3000,"&lt;="&amp;A255)))</f>
        <v/>
      </c>
    </row>
    <row r="256">
      <c r="A256" s="22">
        <f>IF(252&lt;=MAX(Transaksi!$L$2:$L$3000),MAX(Transaksi!$L$2:$L$3000)-251,"")</f>
        <v/>
      </c>
      <c r="B256" s="23">
        <f>IF(A256="","",INDEX(Transaksi!$B$2:$B$3000,MATCH(A256,Transaksi!$L$2:$L$3000,0)))</f>
        <v/>
      </c>
      <c r="C256" s="24">
        <f>IF(A256="","",CHOOSE(WEEKDAY(B256,2),"Isnin","Selasa","Rabu","Khamis","Jumaat","Sabtu","Ahad"))</f>
        <v/>
      </c>
      <c r="D256" s="25">
        <f>IF(A256="","",COUNTIF(Transaksi!$L$2:$L$3000,A256))</f>
        <v/>
      </c>
      <c r="E256" s="13">
        <f>IF(A256="","",SUMIFS(Transaksi!$G$2:$G$3000,Transaksi!$L$2:$L$3000,A256)+SUMIFS(Transaksi!$H$2:$H$3000,Transaksi!$L$2:$L$3000,A256)+SUMIFS(Transaksi!$I$2:$I$3000,Transaksi!$L$2:$L$3000,A256))</f>
        <v/>
      </c>
      <c r="F256" s="14">
        <f>IF(A256="","",SUMIFS(Transaksi!$J$2:$J$3000,Transaksi!$L$2:$L$3000,A256))</f>
        <v/>
      </c>
      <c r="G256" s="15">
        <f>IF(A256="","",E256-F256)</f>
        <v/>
      </c>
      <c r="H256" s="16">
        <f>IF(A256="","",SUMIFS(Transaksi!$G$2:$G$3000,Transaksi!$L$2:$L$3000,"&lt;="&amp;A256)+SUMIFS(Transaksi!$H$2:$H$3000,Transaksi!$L$2:$L$3000,"&lt;="&amp;A256)+SUMIFS(Transaksi!$I$2:$I$3000,Transaksi!$L$2:$L$3000,"&lt;="&amp;A256)-(SUMIFS(Transaksi!$J$2:$J$3000,Transaksi!$L$2:$L$3000,"&lt;="&amp;A256)))</f>
        <v/>
      </c>
    </row>
    <row r="257">
      <c r="A257" s="22">
        <f>IF(253&lt;=MAX(Transaksi!$L$2:$L$3000),MAX(Transaksi!$L$2:$L$3000)-252,"")</f>
        <v/>
      </c>
      <c r="B257" s="23">
        <f>IF(A257="","",INDEX(Transaksi!$B$2:$B$3000,MATCH(A257,Transaksi!$L$2:$L$3000,0)))</f>
        <v/>
      </c>
      <c r="C257" s="24">
        <f>IF(A257="","",CHOOSE(WEEKDAY(B257,2),"Isnin","Selasa","Rabu","Khamis","Jumaat","Sabtu","Ahad"))</f>
        <v/>
      </c>
      <c r="D257" s="25">
        <f>IF(A257="","",COUNTIF(Transaksi!$L$2:$L$3000,A257))</f>
        <v/>
      </c>
      <c r="E257" s="13">
        <f>IF(A257="","",SUMIFS(Transaksi!$G$2:$G$3000,Transaksi!$L$2:$L$3000,A257)+SUMIFS(Transaksi!$H$2:$H$3000,Transaksi!$L$2:$L$3000,A257)+SUMIFS(Transaksi!$I$2:$I$3000,Transaksi!$L$2:$L$3000,A257))</f>
        <v/>
      </c>
      <c r="F257" s="14">
        <f>IF(A257="","",SUMIFS(Transaksi!$J$2:$J$3000,Transaksi!$L$2:$L$3000,A257))</f>
        <v/>
      </c>
      <c r="G257" s="15">
        <f>IF(A257="","",E257-F257)</f>
        <v/>
      </c>
      <c r="H257" s="16">
        <f>IF(A257="","",SUMIFS(Transaksi!$G$2:$G$3000,Transaksi!$L$2:$L$3000,"&lt;="&amp;A257)+SUMIFS(Transaksi!$H$2:$H$3000,Transaksi!$L$2:$L$3000,"&lt;="&amp;A257)+SUMIFS(Transaksi!$I$2:$I$3000,Transaksi!$L$2:$L$3000,"&lt;="&amp;A257)-(SUMIFS(Transaksi!$J$2:$J$3000,Transaksi!$L$2:$L$3000,"&lt;="&amp;A257)))</f>
        <v/>
      </c>
    </row>
    <row r="258">
      <c r="A258" s="22">
        <f>IF(254&lt;=MAX(Transaksi!$L$2:$L$3000),MAX(Transaksi!$L$2:$L$3000)-253,"")</f>
        <v/>
      </c>
      <c r="B258" s="23">
        <f>IF(A258="","",INDEX(Transaksi!$B$2:$B$3000,MATCH(A258,Transaksi!$L$2:$L$3000,0)))</f>
        <v/>
      </c>
      <c r="C258" s="24">
        <f>IF(A258="","",CHOOSE(WEEKDAY(B258,2),"Isnin","Selasa","Rabu","Khamis","Jumaat","Sabtu","Ahad"))</f>
        <v/>
      </c>
      <c r="D258" s="25">
        <f>IF(A258="","",COUNTIF(Transaksi!$L$2:$L$3000,A258))</f>
        <v/>
      </c>
      <c r="E258" s="13">
        <f>IF(A258="","",SUMIFS(Transaksi!$G$2:$G$3000,Transaksi!$L$2:$L$3000,A258)+SUMIFS(Transaksi!$H$2:$H$3000,Transaksi!$L$2:$L$3000,A258)+SUMIFS(Transaksi!$I$2:$I$3000,Transaksi!$L$2:$L$3000,A258))</f>
        <v/>
      </c>
      <c r="F258" s="14">
        <f>IF(A258="","",SUMIFS(Transaksi!$J$2:$J$3000,Transaksi!$L$2:$L$3000,A258))</f>
        <v/>
      </c>
      <c r="G258" s="15">
        <f>IF(A258="","",E258-F258)</f>
        <v/>
      </c>
      <c r="H258" s="16">
        <f>IF(A258="","",SUMIFS(Transaksi!$G$2:$G$3000,Transaksi!$L$2:$L$3000,"&lt;="&amp;A258)+SUMIFS(Transaksi!$H$2:$H$3000,Transaksi!$L$2:$L$3000,"&lt;="&amp;A258)+SUMIFS(Transaksi!$I$2:$I$3000,Transaksi!$L$2:$L$3000,"&lt;="&amp;A258)-(SUMIFS(Transaksi!$J$2:$J$3000,Transaksi!$L$2:$L$3000,"&lt;="&amp;A258)))</f>
        <v/>
      </c>
    </row>
    <row r="259">
      <c r="A259" s="22">
        <f>IF(255&lt;=MAX(Transaksi!$L$2:$L$3000),MAX(Transaksi!$L$2:$L$3000)-254,"")</f>
        <v/>
      </c>
      <c r="B259" s="23">
        <f>IF(A259="","",INDEX(Transaksi!$B$2:$B$3000,MATCH(A259,Transaksi!$L$2:$L$3000,0)))</f>
        <v/>
      </c>
      <c r="C259" s="24">
        <f>IF(A259="","",CHOOSE(WEEKDAY(B259,2),"Isnin","Selasa","Rabu","Khamis","Jumaat","Sabtu","Ahad"))</f>
        <v/>
      </c>
      <c r="D259" s="25">
        <f>IF(A259="","",COUNTIF(Transaksi!$L$2:$L$3000,A259))</f>
        <v/>
      </c>
      <c r="E259" s="13">
        <f>IF(A259="","",SUMIFS(Transaksi!$G$2:$G$3000,Transaksi!$L$2:$L$3000,A259)+SUMIFS(Transaksi!$H$2:$H$3000,Transaksi!$L$2:$L$3000,A259)+SUMIFS(Transaksi!$I$2:$I$3000,Transaksi!$L$2:$L$3000,A259))</f>
        <v/>
      </c>
      <c r="F259" s="14">
        <f>IF(A259="","",SUMIFS(Transaksi!$J$2:$J$3000,Transaksi!$L$2:$L$3000,A259))</f>
        <v/>
      </c>
      <c r="G259" s="15">
        <f>IF(A259="","",E259-F259)</f>
        <v/>
      </c>
      <c r="H259" s="16">
        <f>IF(A259="","",SUMIFS(Transaksi!$G$2:$G$3000,Transaksi!$L$2:$L$3000,"&lt;="&amp;A259)+SUMIFS(Transaksi!$H$2:$H$3000,Transaksi!$L$2:$L$3000,"&lt;="&amp;A259)+SUMIFS(Transaksi!$I$2:$I$3000,Transaksi!$L$2:$L$3000,"&lt;="&amp;A259)-(SUMIFS(Transaksi!$J$2:$J$3000,Transaksi!$L$2:$L$3000,"&lt;="&amp;A259)))</f>
        <v/>
      </c>
    </row>
    <row r="260">
      <c r="A260" s="22">
        <f>IF(256&lt;=MAX(Transaksi!$L$2:$L$3000),MAX(Transaksi!$L$2:$L$3000)-255,"")</f>
        <v/>
      </c>
      <c r="B260" s="23">
        <f>IF(A260="","",INDEX(Transaksi!$B$2:$B$3000,MATCH(A260,Transaksi!$L$2:$L$3000,0)))</f>
        <v/>
      </c>
      <c r="C260" s="24">
        <f>IF(A260="","",CHOOSE(WEEKDAY(B260,2),"Isnin","Selasa","Rabu","Khamis","Jumaat","Sabtu","Ahad"))</f>
        <v/>
      </c>
      <c r="D260" s="25">
        <f>IF(A260="","",COUNTIF(Transaksi!$L$2:$L$3000,A260))</f>
        <v/>
      </c>
      <c r="E260" s="13">
        <f>IF(A260="","",SUMIFS(Transaksi!$G$2:$G$3000,Transaksi!$L$2:$L$3000,A260)+SUMIFS(Transaksi!$H$2:$H$3000,Transaksi!$L$2:$L$3000,A260)+SUMIFS(Transaksi!$I$2:$I$3000,Transaksi!$L$2:$L$3000,A260))</f>
        <v/>
      </c>
      <c r="F260" s="14">
        <f>IF(A260="","",SUMIFS(Transaksi!$J$2:$J$3000,Transaksi!$L$2:$L$3000,A260))</f>
        <v/>
      </c>
      <c r="G260" s="15">
        <f>IF(A260="","",E260-F260)</f>
        <v/>
      </c>
      <c r="H260" s="16">
        <f>IF(A260="","",SUMIFS(Transaksi!$G$2:$G$3000,Transaksi!$L$2:$L$3000,"&lt;="&amp;A260)+SUMIFS(Transaksi!$H$2:$H$3000,Transaksi!$L$2:$L$3000,"&lt;="&amp;A260)+SUMIFS(Transaksi!$I$2:$I$3000,Transaksi!$L$2:$L$3000,"&lt;="&amp;A260)-(SUMIFS(Transaksi!$J$2:$J$3000,Transaksi!$L$2:$L$3000,"&lt;="&amp;A260)))</f>
        <v/>
      </c>
    </row>
    <row r="261">
      <c r="A261" s="22">
        <f>IF(257&lt;=MAX(Transaksi!$L$2:$L$3000),MAX(Transaksi!$L$2:$L$3000)-256,"")</f>
        <v/>
      </c>
      <c r="B261" s="23">
        <f>IF(A261="","",INDEX(Transaksi!$B$2:$B$3000,MATCH(A261,Transaksi!$L$2:$L$3000,0)))</f>
        <v/>
      </c>
      <c r="C261" s="24">
        <f>IF(A261="","",CHOOSE(WEEKDAY(B261,2),"Isnin","Selasa","Rabu","Khamis","Jumaat","Sabtu","Ahad"))</f>
        <v/>
      </c>
      <c r="D261" s="25">
        <f>IF(A261="","",COUNTIF(Transaksi!$L$2:$L$3000,A261))</f>
        <v/>
      </c>
      <c r="E261" s="13">
        <f>IF(A261="","",SUMIFS(Transaksi!$G$2:$G$3000,Transaksi!$L$2:$L$3000,A261)+SUMIFS(Transaksi!$H$2:$H$3000,Transaksi!$L$2:$L$3000,A261)+SUMIFS(Transaksi!$I$2:$I$3000,Transaksi!$L$2:$L$3000,A261))</f>
        <v/>
      </c>
      <c r="F261" s="14">
        <f>IF(A261="","",SUMIFS(Transaksi!$J$2:$J$3000,Transaksi!$L$2:$L$3000,A261))</f>
        <v/>
      </c>
      <c r="G261" s="15">
        <f>IF(A261="","",E261-F261)</f>
        <v/>
      </c>
      <c r="H261" s="16">
        <f>IF(A261="","",SUMIFS(Transaksi!$G$2:$G$3000,Transaksi!$L$2:$L$3000,"&lt;="&amp;A261)+SUMIFS(Transaksi!$H$2:$H$3000,Transaksi!$L$2:$L$3000,"&lt;="&amp;A261)+SUMIFS(Transaksi!$I$2:$I$3000,Transaksi!$L$2:$L$3000,"&lt;="&amp;A261)-(SUMIFS(Transaksi!$J$2:$J$3000,Transaksi!$L$2:$L$3000,"&lt;="&amp;A261)))</f>
        <v/>
      </c>
    </row>
    <row r="262">
      <c r="A262" s="22">
        <f>IF(258&lt;=MAX(Transaksi!$L$2:$L$3000),MAX(Transaksi!$L$2:$L$3000)-257,"")</f>
        <v/>
      </c>
      <c r="B262" s="23">
        <f>IF(A262="","",INDEX(Transaksi!$B$2:$B$3000,MATCH(A262,Transaksi!$L$2:$L$3000,0)))</f>
        <v/>
      </c>
      <c r="C262" s="24">
        <f>IF(A262="","",CHOOSE(WEEKDAY(B262,2),"Isnin","Selasa","Rabu","Khamis","Jumaat","Sabtu","Ahad"))</f>
        <v/>
      </c>
      <c r="D262" s="25">
        <f>IF(A262="","",COUNTIF(Transaksi!$L$2:$L$3000,A262))</f>
        <v/>
      </c>
      <c r="E262" s="13">
        <f>IF(A262="","",SUMIFS(Transaksi!$G$2:$G$3000,Transaksi!$L$2:$L$3000,A262)+SUMIFS(Transaksi!$H$2:$H$3000,Transaksi!$L$2:$L$3000,A262)+SUMIFS(Transaksi!$I$2:$I$3000,Transaksi!$L$2:$L$3000,A262))</f>
        <v/>
      </c>
      <c r="F262" s="14">
        <f>IF(A262="","",SUMIFS(Transaksi!$J$2:$J$3000,Transaksi!$L$2:$L$3000,A262))</f>
        <v/>
      </c>
      <c r="G262" s="15">
        <f>IF(A262="","",E262-F262)</f>
        <v/>
      </c>
      <c r="H262" s="16">
        <f>IF(A262="","",SUMIFS(Transaksi!$G$2:$G$3000,Transaksi!$L$2:$L$3000,"&lt;="&amp;A262)+SUMIFS(Transaksi!$H$2:$H$3000,Transaksi!$L$2:$L$3000,"&lt;="&amp;A262)+SUMIFS(Transaksi!$I$2:$I$3000,Transaksi!$L$2:$L$3000,"&lt;="&amp;A262)-(SUMIFS(Transaksi!$J$2:$J$3000,Transaksi!$L$2:$L$3000,"&lt;="&amp;A262)))</f>
        <v/>
      </c>
    </row>
    <row r="263">
      <c r="A263" s="22">
        <f>IF(259&lt;=MAX(Transaksi!$L$2:$L$3000),MAX(Transaksi!$L$2:$L$3000)-258,"")</f>
        <v/>
      </c>
      <c r="B263" s="23">
        <f>IF(A263="","",INDEX(Transaksi!$B$2:$B$3000,MATCH(A263,Transaksi!$L$2:$L$3000,0)))</f>
        <v/>
      </c>
      <c r="C263" s="24">
        <f>IF(A263="","",CHOOSE(WEEKDAY(B263,2),"Isnin","Selasa","Rabu","Khamis","Jumaat","Sabtu","Ahad"))</f>
        <v/>
      </c>
      <c r="D263" s="25">
        <f>IF(A263="","",COUNTIF(Transaksi!$L$2:$L$3000,A263))</f>
        <v/>
      </c>
      <c r="E263" s="13">
        <f>IF(A263="","",SUMIFS(Transaksi!$G$2:$G$3000,Transaksi!$L$2:$L$3000,A263)+SUMIFS(Transaksi!$H$2:$H$3000,Transaksi!$L$2:$L$3000,A263)+SUMIFS(Transaksi!$I$2:$I$3000,Transaksi!$L$2:$L$3000,A263))</f>
        <v/>
      </c>
      <c r="F263" s="14">
        <f>IF(A263="","",SUMIFS(Transaksi!$J$2:$J$3000,Transaksi!$L$2:$L$3000,A263))</f>
        <v/>
      </c>
      <c r="G263" s="15">
        <f>IF(A263="","",E263-F263)</f>
        <v/>
      </c>
      <c r="H263" s="16">
        <f>IF(A263="","",SUMIFS(Transaksi!$G$2:$G$3000,Transaksi!$L$2:$L$3000,"&lt;="&amp;A263)+SUMIFS(Transaksi!$H$2:$H$3000,Transaksi!$L$2:$L$3000,"&lt;="&amp;A263)+SUMIFS(Transaksi!$I$2:$I$3000,Transaksi!$L$2:$L$3000,"&lt;="&amp;A263)-(SUMIFS(Transaksi!$J$2:$J$3000,Transaksi!$L$2:$L$3000,"&lt;="&amp;A263)))</f>
        <v/>
      </c>
    </row>
    <row r="264">
      <c r="A264" s="22">
        <f>IF(260&lt;=MAX(Transaksi!$L$2:$L$3000),MAX(Transaksi!$L$2:$L$3000)-259,"")</f>
        <v/>
      </c>
      <c r="B264" s="23">
        <f>IF(A264="","",INDEX(Transaksi!$B$2:$B$3000,MATCH(A264,Transaksi!$L$2:$L$3000,0)))</f>
        <v/>
      </c>
      <c r="C264" s="24">
        <f>IF(A264="","",CHOOSE(WEEKDAY(B264,2),"Isnin","Selasa","Rabu","Khamis","Jumaat","Sabtu","Ahad"))</f>
        <v/>
      </c>
      <c r="D264" s="25">
        <f>IF(A264="","",COUNTIF(Transaksi!$L$2:$L$3000,A264))</f>
        <v/>
      </c>
      <c r="E264" s="13">
        <f>IF(A264="","",SUMIFS(Transaksi!$G$2:$G$3000,Transaksi!$L$2:$L$3000,A264)+SUMIFS(Transaksi!$H$2:$H$3000,Transaksi!$L$2:$L$3000,A264)+SUMIFS(Transaksi!$I$2:$I$3000,Transaksi!$L$2:$L$3000,A264))</f>
        <v/>
      </c>
      <c r="F264" s="14">
        <f>IF(A264="","",SUMIFS(Transaksi!$J$2:$J$3000,Transaksi!$L$2:$L$3000,A264))</f>
        <v/>
      </c>
      <c r="G264" s="15">
        <f>IF(A264="","",E264-F264)</f>
        <v/>
      </c>
      <c r="H264" s="16">
        <f>IF(A264="","",SUMIFS(Transaksi!$G$2:$G$3000,Transaksi!$L$2:$L$3000,"&lt;="&amp;A264)+SUMIFS(Transaksi!$H$2:$H$3000,Transaksi!$L$2:$L$3000,"&lt;="&amp;A264)+SUMIFS(Transaksi!$I$2:$I$3000,Transaksi!$L$2:$L$3000,"&lt;="&amp;A264)-(SUMIFS(Transaksi!$J$2:$J$3000,Transaksi!$L$2:$L$3000,"&lt;="&amp;A264)))</f>
        <v/>
      </c>
    </row>
    <row r="265">
      <c r="A265" s="22">
        <f>IF(261&lt;=MAX(Transaksi!$L$2:$L$3000),MAX(Transaksi!$L$2:$L$3000)-260,"")</f>
        <v/>
      </c>
      <c r="B265" s="23">
        <f>IF(A265="","",INDEX(Transaksi!$B$2:$B$3000,MATCH(A265,Transaksi!$L$2:$L$3000,0)))</f>
        <v/>
      </c>
      <c r="C265" s="24">
        <f>IF(A265="","",CHOOSE(WEEKDAY(B265,2),"Isnin","Selasa","Rabu","Khamis","Jumaat","Sabtu","Ahad"))</f>
        <v/>
      </c>
      <c r="D265" s="25">
        <f>IF(A265="","",COUNTIF(Transaksi!$L$2:$L$3000,A265))</f>
        <v/>
      </c>
      <c r="E265" s="13">
        <f>IF(A265="","",SUMIFS(Transaksi!$G$2:$G$3000,Transaksi!$L$2:$L$3000,A265)+SUMIFS(Transaksi!$H$2:$H$3000,Transaksi!$L$2:$L$3000,A265)+SUMIFS(Transaksi!$I$2:$I$3000,Transaksi!$L$2:$L$3000,A265))</f>
        <v/>
      </c>
      <c r="F265" s="14">
        <f>IF(A265="","",SUMIFS(Transaksi!$J$2:$J$3000,Transaksi!$L$2:$L$3000,A265))</f>
        <v/>
      </c>
      <c r="G265" s="15">
        <f>IF(A265="","",E265-F265)</f>
        <v/>
      </c>
      <c r="H265" s="16">
        <f>IF(A265="","",SUMIFS(Transaksi!$G$2:$G$3000,Transaksi!$L$2:$L$3000,"&lt;="&amp;A265)+SUMIFS(Transaksi!$H$2:$H$3000,Transaksi!$L$2:$L$3000,"&lt;="&amp;A265)+SUMIFS(Transaksi!$I$2:$I$3000,Transaksi!$L$2:$L$3000,"&lt;="&amp;A265)-(SUMIFS(Transaksi!$J$2:$J$3000,Transaksi!$L$2:$L$3000,"&lt;="&amp;A265)))</f>
        <v/>
      </c>
    </row>
    <row r="266">
      <c r="A266" s="22">
        <f>IF(262&lt;=MAX(Transaksi!$L$2:$L$3000),MAX(Transaksi!$L$2:$L$3000)-261,"")</f>
        <v/>
      </c>
      <c r="B266" s="23">
        <f>IF(A266="","",INDEX(Transaksi!$B$2:$B$3000,MATCH(A266,Transaksi!$L$2:$L$3000,0)))</f>
        <v/>
      </c>
      <c r="C266" s="24">
        <f>IF(A266="","",CHOOSE(WEEKDAY(B266,2),"Isnin","Selasa","Rabu","Khamis","Jumaat","Sabtu","Ahad"))</f>
        <v/>
      </c>
      <c r="D266" s="25">
        <f>IF(A266="","",COUNTIF(Transaksi!$L$2:$L$3000,A266))</f>
        <v/>
      </c>
      <c r="E266" s="13">
        <f>IF(A266="","",SUMIFS(Transaksi!$G$2:$G$3000,Transaksi!$L$2:$L$3000,A266)+SUMIFS(Transaksi!$H$2:$H$3000,Transaksi!$L$2:$L$3000,A266)+SUMIFS(Transaksi!$I$2:$I$3000,Transaksi!$L$2:$L$3000,A266))</f>
        <v/>
      </c>
      <c r="F266" s="14">
        <f>IF(A266="","",SUMIFS(Transaksi!$J$2:$J$3000,Transaksi!$L$2:$L$3000,A266))</f>
        <v/>
      </c>
      <c r="G266" s="15">
        <f>IF(A266="","",E266-F266)</f>
        <v/>
      </c>
      <c r="H266" s="16">
        <f>IF(A266="","",SUMIFS(Transaksi!$G$2:$G$3000,Transaksi!$L$2:$L$3000,"&lt;="&amp;A266)+SUMIFS(Transaksi!$H$2:$H$3000,Transaksi!$L$2:$L$3000,"&lt;="&amp;A266)+SUMIFS(Transaksi!$I$2:$I$3000,Transaksi!$L$2:$L$3000,"&lt;="&amp;A266)-(SUMIFS(Transaksi!$J$2:$J$3000,Transaksi!$L$2:$L$3000,"&lt;="&amp;A266)))</f>
        <v/>
      </c>
    </row>
    <row r="267">
      <c r="A267" s="22">
        <f>IF(263&lt;=MAX(Transaksi!$L$2:$L$3000),MAX(Transaksi!$L$2:$L$3000)-262,"")</f>
        <v/>
      </c>
      <c r="B267" s="23">
        <f>IF(A267="","",INDEX(Transaksi!$B$2:$B$3000,MATCH(A267,Transaksi!$L$2:$L$3000,0)))</f>
        <v/>
      </c>
      <c r="C267" s="24">
        <f>IF(A267="","",CHOOSE(WEEKDAY(B267,2),"Isnin","Selasa","Rabu","Khamis","Jumaat","Sabtu","Ahad"))</f>
        <v/>
      </c>
      <c r="D267" s="25">
        <f>IF(A267="","",COUNTIF(Transaksi!$L$2:$L$3000,A267))</f>
        <v/>
      </c>
      <c r="E267" s="13">
        <f>IF(A267="","",SUMIFS(Transaksi!$G$2:$G$3000,Transaksi!$L$2:$L$3000,A267)+SUMIFS(Transaksi!$H$2:$H$3000,Transaksi!$L$2:$L$3000,A267)+SUMIFS(Transaksi!$I$2:$I$3000,Transaksi!$L$2:$L$3000,A267))</f>
        <v/>
      </c>
      <c r="F267" s="14">
        <f>IF(A267="","",SUMIFS(Transaksi!$J$2:$J$3000,Transaksi!$L$2:$L$3000,A267))</f>
        <v/>
      </c>
      <c r="G267" s="15">
        <f>IF(A267="","",E267-F267)</f>
        <v/>
      </c>
      <c r="H267" s="16">
        <f>IF(A267="","",SUMIFS(Transaksi!$G$2:$G$3000,Transaksi!$L$2:$L$3000,"&lt;="&amp;A267)+SUMIFS(Transaksi!$H$2:$H$3000,Transaksi!$L$2:$L$3000,"&lt;="&amp;A267)+SUMIFS(Transaksi!$I$2:$I$3000,Transaksi!$L$2:$L$3000,"&lt;="&amp;A267)-(SUMIFS(Transaksi!$J$2:$J$3000,Transaksi!$L$2:$L$3000,"&lt;="&amp;A267)))</f>
        <v/>
      </c>
    </row>
    <row r="268">
      <c r="A268" s="22">
        <f>IF(264&lt;=MAX(Transaksi!$L$2:$L$3000),MAX(Transaksi!$L$2:$L$3000)-263,"")</f>
        <v/>
      </c>
      <c r="B268" s="23">
        <f>IF(A268="","",INDEX(Transaksi!$B$2:$B$3000,MATCH(A268,Transaksi!$L$2:$L$3000,0)))</f>
        <v/>
      </c>
      <c r="C268" s="24">
        <f>IF(A268="","",CHOOSE(WEEKDAY(B268,2),"Isnin","Selasa","Rabu","Khamis","Jumaat","Sabtu","Ahad"))</f>
        <v/>
      </c>
      <c r="D268" s="25">
        <f>IF(A268="","",COUNTIF(Transaksi!$L$2:$L$3000,A268))</f>
        <v/>
      </c>
      <c r="E268" s="13">
        <f>IF(A268="","",SUMIFS(Transaksi!$G$2:$G$3000,Transaksi!$L$2:$L$3000,A268)+SUMIFS(Transaksi!$H$2:$H$3000,Transaksi!$L$2:$L$3000,A268)+SUMIFS(Transaksi!$I$2:$I$3000,Transaksi!$L$2:$L$3000,A268))</f>
        <v/>
      </c>
      <c r="F268" s="14">
        <f>IF(A268="","",SUMIFS(Transaksi!$J$2:$J$3000,Transaksi!$L$2:$L$3000,A268))</f>
        <v/>
      </c>
      <c r="G268" s="15">
        <f>IF(A268="","",E268-F268)</f>
        <v/>
      </c>
      <c r="H268" s="16">
        <f>IF(A268="","",SUMIFS(Transaksi!$G$2:$G$3000,Transaksi!$L$2:$L$3000,"&lt;="&amp;A268)+SUMIFS(Transaksi!$H$2:$H$3000,Transaksi!$L$2:$L$3000,"&lt;="&amp;A268)+SUMIFS(Transaksi!$I$2:$I$3000,Transaksi!$L$2:$L$3000,"&lt;="&amp;A268)-(SUMIFS(Transaksi!$J$2:$J$3000,Transaksi!$L$2:$L$3000,"&lt;="&amp;A268)))</f>
        <v/>
      </c>
    </row>
    <row r="269">
      <c r="A269" s="22">
        <f>IF(265&lt;=MAX(Transaksi!$L$2:$L$3000),MAX(Transaksi!$L$2:$L$3000)-264,"")</f>
        <v/>
      </c>
      <c r="B269" s="23">
        <f>IF(A269="","",INDEX(Transaksi!$B$2:$B$3000,MATCH(A269,Transaksi!$L$2:$L$3000,0)))</f>
        <v/>
      </c>
      <c r="C269" s="24">
        <f>IF(A269="","",CHOOSE(WEEKDAY(B269,2),"Isnin","Selasa","Rabu","Khamis","Jumaat","Sabtu","Ahad"))</f>
        <v/>
      </c>
      <c r="D269" s="25">
        <f>IF(A269="","",COUNTIF(Transaksi!$L$2:$L$3000,A269))</f>
        <v/>
      </c>
      <c r="E269" s="13">
        <f>IF(A269="","",SUMIFS(Transaksi!$G$2:$G$3000,Transaksi!$L$2:$L$3000,A269)+SUMIFS(Transaksi!$H$2:$H$3000,Transaksi!$L$2:$L$3000,A269)+SUMIFS(Transaksi!$I$2:$I$3000,Transaksi!$L$2:$L$3000,A269))</f>
        <v/>
      </c>
      <c r="F269" s="14">
        <f>IF(A269="","",SUMIFS(Transaksi!$J$2:$J$3000,Transaksi!$L$2:$L$3000,A269))</f>
        <v/>
      </c>
      <c r="G269" s="15">
        <f>IF(A269="","",E269-F269)</f>
        <v/>
      </c>
      <c r="H269" s="16">
        <f>IF(A269="","",SUMIFS(Transaksi!$G$2:$G$3000,Transaksi!$L$2:$L$3000,"&lt;="&amp;A269)+SUMIFS(Transaksi!$H$2:$H$3000,Transaksi!$L$2:$L$3000,"&lt;="&amp;A269)+SUMIFS(Transaksi!$I$2:$I$3000,Transaksi!$L$2:$L$3000,"&lt;="&amp;A269)-(SUMIFS(Transaksi!$J$2:$J$3000,Transaksi!$L$2:$L$3000,"&lt;="&amp;A269)))</f>
        <v/>
      </c>
    </row>
    <row r="270">
      <c r="A270" s="22">
        <f>IF(266&lt;=MAX(Transaksi!$L$2:$L$3000),MAX(Transaksi!$L$2:$L$3000)-265,"")</f>
        <v/>
      </c>
      <c r="B270" s="23">
        <f>IF(A270="","",INDEX(Transaksi!$B$2:$B$3000,MATCH(A270,Transaksi!$L$2:$L$3000,0)))</f>
        <v/>
      </c>
      <c r="C270" s="24">
        <f>IF(A270="","",CHOOSE(WEEKDAY(B270,2),"Isnin","Selasa","Rabu","Khamis","Jumaat","Sabtu","Ahad"))</f>
        <v/>
      </c>
      <c r="D270" s="25">
        <f>IF(A270="","",COUNTIF(Transaksi!$L$2:$L$3000,A270))</f>
        <v/>
      </c>
      <c r="E270" s="13">
        <f>IF(A270="","",SUMIFS(Transaksi!$G$2:$G$3000,Transaksi!$L$2:$L$3000,A270)+SUMIFS(Transaksi!$H$2:$H$3000,Transaksi!$L$2:$L$3000,A270)+SUMIFS(Transaksi!$I$2:$I$3000,Transaksi!$L$2:$L$3000,A270))</f>
        <v/>
      </c>
      <c r="F270" s="14">
        <f>IF(A270="","",SUMIFS(Transaksi!$J$2:$J$3000,Transaksi!$L$2:$L$3000,A270))</f>
        <v/>
      </c>
      <c r="G270" s="15">
        <f>IF(A270="","",E270-F270)</f>
        <v/>
      </c>
      <c r="H270" s="16">
        <f>IF(A270="","",SUMIFS(Transaksi!$G$2:$G$3000,Transaksi!$L$2:$L$3000,"&lt;="&amp;A270)+SUMIFS(Transaksi!$H$2:$H$3000,Transaksi!$L$2:$L$3000,"&lt;="&amp;A270)+SUMIFS(Transaksi!$I$2:$I$3000,Transaksi!$L$2:$L$3000,"&lt;="&amp;A270)-(SUMIFS(Transaksi!$J$2:$J$3000,Transaksi!$L$2:$L$3000,"&lt;="&amp;A270)))</f>
        <v/>
      </c>
    </row>
    <row r="271">
      <c r="A271" s="22">
        <f>IF(267&lt;=MAX(Transaksi!$L$2:$L$3000),MAX(Transaksi!$L$2:$L$3000)-266,"")</f>
        <v/>
      </c>
      <c r="B271" s="23">
        <f>IF(A271="","",INDEX(Transaksi!$B$2:$B$3000,MATCH(A271,Transaksi!$L$2:$L$3000,0)))</f>
        <v/>
      </c>
      <c r="C271" s="24">
        <f>IF(A271="","",CHOOSE(WEEKDAY(B271,2),"Isnin","Selasa","Rabu","Khamis","Jumaat","Sabtu","Ahad"))</f>
        <v/>
      </c>
      <c r="D271" s="25">
        <f>IF(A271="","",COUNTIF(Transaksi!$L$2:$L$3000,A271))</f>
        <v/>
      </c>
      <c r="E271" s="13">
        <f>IF(A271="","",SUMIFS(Transaksi!$G$2:$G$3000,Transaksi!$L$2:$L$3000,A271)+SUMIFS(Transaksi!$H$2:$H$3000,Transaksi!$L$2:$L$3000,A271)+SUMIFS(Transaksi!$I$2:$I$3000,Transaksi!$L$2:$L$3000,A271))</f>
        <v/>
      </c>
      <c r="F271" s="14">
        <f>IF(A271="","",SUMIFS(Transaksi!$J$2:$J$3000,Transaksi!$L$2:$L$3000,A271))</f>
        <v/>
      </c>
      <c r="G271" s="15">
        <f>IF(A271="","",E271-F271)</f>
        <v/>
      </c>
      <c r="H271" s="16">
        <f>IF(A271="","",SUMIFS(Transaksi!$G$2:$G$3000,Transaksi!$L$2:$L$3000,"&lt;="&amp;A271)+SUMIFS(Transaksi!$H$2:$H$3000,Transaksi!$L$2:$L$3000,"&lt;="&amp;A271)+SUMIFS(Transaksi!$I$2:$I$3000,Transaksi!$L$2:$L$3000,"&lt;="&amp;A271)-(SUMIFS(Transaksi!$J$2:$J$3000,Transaksi!$L$2:$L$3000,"&lt;="&amp;A271)))</f>
        <v/>
      </c>
    </row>
    <row r="272">
      <c r="A272" s="22">
        <f>IF(268&lt;=MAX(Transaksi!$L$2:$L$3000),MAX(Transaksi!$L$2:$L$3000)-267,"")</f>
        <v/>
      </c>
      <c r="B272" s="23">
        <f>IF(A272="","",INDEX(Transaksi!$B$2:$B$3000,MATCH(A272,Transaksi!$L$2:$L$3000,0)))</f>
        <v/>
      </c>
      <c r="C272" s="24">
        <f>IF(A272="","",CHOOSE(WEEKDAY(B272,2),"Isnin","Selasa","Rabu","Khamis","Jumaat","Sabtu","Ahad"))</f>
        <v/>
      </c>
      <c r="D272" s="25">
        <f>IF(A272="","",COUNTIF(Transaksi!$L$2:$L$3000,A272))</f>
        <v/>
      </c>
      <c r="E272" s="13">
        <f>IF(A272="","",SUMIFS(Transaksi!$G$2:$G$3000,Transaksi!$L$2:$L$3000,A272)+SUMIFS(Transaksi!$H$2:$H$3000,Transaksi!$L$2:$L$3000,A272)+SUMIFS(Transaksi!$I$2:$I$3000,Transaksi!$L$2:$L$3000,A272))</f>
        <v/>
      </c>
      <c r="F272" s="14">
        <f>IF(A272="","",SUMIFS(Transaksi!$J$2:$J$3000,Transaksi!$L$2:$L$3000,A272))</f>
        <v/>
      </c>
      <c r="G272" s="15">
        <f>IF(A272="","",E272-F272)</f>
        <v/>
      </c>
      <c r="H272" s="16">
        <f>IF(A272="","",SUMIFS(Transaksi!$G$2:$G$3000,Transaksi!$L$2:$L$3000,"&lt;="&amp;A272)+SUMIFS(Transaksi!$H$2:$H$3000,Transaksi!$L$2:$L$3000,"&lt;="&amp;A272)+SUMIFS(Transaksi!$I$2:$I$3000,Transaksi!$L$2:$L$3000,"&lt;="&amp;A272)-(SUMIFS(Transaksi!$J$2:$J$3000,Transaksi!$L$2:$L$3000,"&lt;="&amp;A272)))</f>
        <v/>
      </c>
    </row>
    <row r="273">
      <c r="A273" s="22">
        <f>IF(269&lt;=MAX(Transaksi!$L$2:$L$3000),MAX(Transaksi!$L$2:$L$3000)-268,"")</f>
        <v/>
      </c>
      <c r="B273" s="23">
        <f>IF(A273="","",INDEX(Transaksi!$B$2:$B$3000,MATCH(A273,Transaksi!$L$2:$L$3000,0)))</f>
        <v/>
      </c>
      <c r="C273" s="24">
        <f>IF(A273="","",CHOOSE(WEEKDAY(B273,2),"Isnin","Selasa","Rabu","Khamis","Jumaat","Sabtu","Ahad"))</f>
        <v/>
      </c>
      <c r="D273" s="25">
        <f>IF(A273="","",COUNTIF(Transaksi!$L$2:$L$3000,A273))</f>
        <v/>
      </c>
      <c r="E273" s="13">
        <f>IF(A273="","",SUMIFS(Transaksi!$G$2:$G$3000,Transaksi!$L$2:$L$3000,A273)+SUMIFS(Transaksi!$H$2:$H$3000,Transaksi!$L$2:$L$3000,A273)+SUMIFS(Transaksi!$I$2:$I$3000,Transaksi!$L$2:$L$3000,A273))</f>
        <v/>
      </c>
      <c r="F273" s="14">
        <f>IF(A273="","",SUMIFS(Transaksi!$J$2:$J$3000,Transaksi!$L$2:$L$3000,A273))</f>
        <v/>
      </c>
      <c r="G273" s="15">
        <f>IF(A273="","",E273-F273)</f>
        <v/>
      </c>
      <c r="H273" s="16">
        <f>IF(A273="","",SUMIFS(Transaksi!$G$2:$G$3000,Transaksi!$L$2:$L$3000,"&lt;="&amp;A273)+SUMIFS(Transaksi!$H$2:$H$3000,Transaksi!$L$2:$L$3000,"&lt;="&amp;A273)+SUMIFS(Transaksi!$I$2:$I$3000,Transaksi!$L$2:$L$3000,"&lt;="&amp;A273)-(SUMIFS(Transaksi!$J$2:$J$3000,Transaksi!$L$2:$L$3000,"&lt;="&amp;A273)))</f>
        <v/>
      </c>
    </row>
    <row r="274">
      <c r="A274" s="22">
        <f>IF(270&lt;=MAX(Transaksi!$L$2:$L$3000),MAX(Transaksi!$L$2:$L$3000)-269,"")</f>
        <v/>
      </c>
      <c r="B274" s="23">
        <f>IF(A274="","",INDEX(Transaksi!$B$2:$B$3000,MATCH(A274,Transaksi!$L$2:$L$3000,0)))</f>
        <v/>
      </c>
      <c r="C274" s="24">
        <f>IF(A274="","",CHOOSE(WEEKDAY(B274,2),"Isnin","Selasa","Rabu","Khamis","Jumaat","Sabtu","Ahad"))</f>
        <v/>
      </c>
      <c r="D274" s="25">
        <f>IF(A274="","",COUNTIF(Transaksi!$L$2:$L$3000,A274))</f>
        <v/>
      </c>
      <c r="E274" s="13">
        <f>IF(A274="","",SUMIFS(Transaksi!$G$2:$G$3000,Transaksi!$L$2:$L$3000,A274)+SUMIFS(Transaksi!$H$2:$H$3000,Transaksi!$L$2:$L$3000,A274)+SUMIFS(Transaksi!$I$2:$I$3000,Transaksi!$L$2:$L$3000,A274))</f>
        <v/>
      </c>
      <c r="F274" s="14">
        <f>IF(A274="","",SUMIFS(Transaksi!$J$2:$J$3000,Transaksi!$L$2:$L$3000,A274))</f>
        <v/>
      </c>
      <c r="G274" s="15">
        <f>IF(A274="","",E274-F274)</f>
        <v/>
      </c>
      <c r="H274" s="16">
        <f>IF(A274="","",SUMIFS(Transaksi!$G$2:$G$3000,Transaksi!$L$2:$L$3000,"&lt;="&amp;A274)+SUMIFS(Transaksi!$H$2:$H$3000,Transaksi!$L$2:$L$3000,"&lt;="&amp;A274)+SUMIFS(Transaksi!$I$2:$I$3000,Transaksi!$L$2:$L$3000,"&lt;="&amp;A274)-(SUMIFS(Transaksi!$J$2:$J$3000,Transaksi!$L$2:$L$3000,"&lt;="&amp;A274)))</f>
        <v/>
      </c>
    </row>
    <row r="275">
      <c r="A275" s="22">
        <f>IF(271&lt;=MAX(Transaksi!$L$2:$L$3000),MAX(Transaksi!$L$2:$L$3000)-270,"")</f>
        <v/>
      </c>
      <c r="B275" s="23">
        <f>IF(A275="","",INDEX(Transaksi!$B$2:$B$3000,MATCH(A275,Transaksi!$L$2:$L$3000,0)))</f>
        <v/>
      </c>
      <c r="C275" s="24">
        <f>IF(A275="","",CHOOSE(WEEKDAY(B275,2),"Isnin","Selasa","Rabu","Khamis","Jumaat","Sabtu","Ahad"))</f>
        <v/>
      </c>
      <c r="D275" s="25">
        <f>IF(A275="","",COUNTIF(Transaksi!$L$2:$L$3000,A275))</f>
        <v/>
      </c>
      <c r="E275" s="13">
        <f>IF(A275="","",SUMIFS(Transaksi!$G$2:$G$3000,Transaksi!$L$2:$L$3000,A275)+SUMIFS(Transaksi!$H$2:$H$3000,Transaksi!$L$2:$L$3000,A275)+SUMIFS(Transaksi!$I$2:$I$3000,Transaksi!$L$2:$L$3000,A275))</f>
        <v/>
      </c>
      <c r="F275" s="14">
        <f>IF(A275="","",SUMIFS(Transaksi!$J$2:$J$3000,Transaksi!$L$2:$L$3000,A275))</f>
        <v/>
      </c>
      <c r="G275" s="15">
        <f>IF(A275="","",E275-F275)</f>
        <v/>
      </c>
      <c r="H275" s="16">
        <f>IF(A275="","",SUMIFS(Transaksi!$G$2:$G$3000,Transaksi!$L$2:$L$3000,"&lt;="&amp;A275)+SUMIFS(Transaksi!$H$2:$H$3000,Transaksi!$L$2:$L$3000,"&lt;="&amp;A275)+SUMIFS(Transaksi!$I$2:$I$3000,Transaksi!$L$2:$L$3000,"&lt;="&amp;A275)-(SUMIFS(Transaksi!$J$2:$J$3000,Transaksi!$L$2:$L$3000,"&lt;="&amp;A275)))</f>
        <v/>
      </c>
    </row>
    <row r="276">
      <c r="A276" s="22">
        <f>IF(272&lt;=MAX(Transaksi!$L$2:$L$3000),MAX(Transaksi!$L$2:$L$3000)-271,"")</f>
        <v/>
      </c>
      <c r="B276" s="23">
        <f>IF(A276="","",INDEX(Transaksi!$B$2:$B$3000,MATCH(A276,Transaksi!$L$2:$L$3000,0)))</f>
        <v/>
      </c>
      <c r="C276" s="24">
        <f>IF(A276="","",CHOOSE(WEEKDAY(B276,2),"Isnin","Selasa","Rabu","Khamis","Jumaat","Sabtu","Ahad"))</f>
        <v/>
      </c>
      <c r="D276" s="25">
        <f>IF(A276="","",COUNTIF(Transaksi!$L$2:$L$3000,A276))</f>
        <v/>
      </c>
      <c r="E276" s="13">
        <f>IF(A276="","",SUMIFS(Transaksi!$G$2:$G$3000,Transaksi!$L$2:$L$3000,A276)+SUMIFS(Transaksi!$H$2:$H$3000,Transaksi!$L$2:$L$3000,A276)+SUMIFS(Transaksi!$I$2:$I$3000,Transaksi!$L$2:$L$3000,A276))</f>
        <v/>
      </c>
      <c r="F276" s="14">
        <f>IF(A276="","",SUMIFS(Transaksi!$J$2:$J$3000,Transaksi!$L$2:$L$3000,A276))</f>
        <v/>
      </c>
      <c r="G276" s="15">
        <f>IF(A276="","",E276-F276)</f>
        <v/>
      </c>
      <c r="H276" s="16">
        <f>IF(A276="","",SUMIFS(Transaksi!$G$2:$G$3000,Transaksi!$L$2:$L$3000,"&lt;="&amp;A276)+SUMIFS(Transaksi!$H$2:$H$3000,Transaksi!$L$2:$L$3000,"&lt;="&amp;A276)+SUMIFS(Transaksi!$I$2:$I$3000,Transaksi!$L$2:$L$3000,"&lt;="&amp;A276)-(SUMIFS(Transaksi!$J$2:$J$3000,Transaksi!$L$2:$L$3000,"&lt;="&amp;A276)))</f>
        <v/>
      </c>
    </row>
    <row r="277">
      <c r="A277" s="22">
        <f>IF(273&lt;=MAX(Transaksi!$L$2:$L$3000),MAX(Transaksi!$L$2:$L$3000)-272,"")</f>
        <v/>
      </c>
      <c r="B277" s="23">
        <f>IF(A277="","",INDEX(Transaksi!$B$2:$B$3000,MATCH(A277,Transaksi!$L$2:$L$3000,0)))</f>
        <v/>
      </c>
      <c r="C277" s="24">
        <f>IF(A277="","",CHOOSE(WEEKDAY(B277,2),"Isnin","Selasa","Rabu","Khamis","Jumaat","Sabtu","Ahad"))</f>
        <v/>
      </c>
      <c r="D277" s="25">
        <f>IF(A277="","",COUNTIF(Transaksi!$L$2:$L$3000,A277))</f>
        <v/>
      </c>
      <c r="E277" s="13">
        <f>IF(A277="","",SUMIFS(Transaksi!$G$2:$G$3000,Transaksi!$L$2:$L$3000,A277)+SUMIFS(Transaksi!$H$2:$H$3000,Transaksi!$L$2:$L$3000,A277)+SUMIFS(Transaksi!$I$2:$I$3000,Transaksi!$L$2:$L$3000,A277))</f>
        <v/>
      </c>
      <c r="F277" s="14">
        <f>IF(A277="","",SUMIFS(Transaksi!$J$2:$J$3000,Transaksi!$L$2:$L$3000,A277))</f>
        <v/>
      </c>
      <c r="G277" s="15">
        <f>IF(A277="","",E277-F277)</f>
        <v/>
      </c>
      <c r="H277" s="16">
        <f>IF(A277="","",SUMIFS(Transaksi!$G$2:$G$3000,Transaksi!$L$2:$L$3000,"&lt;="&amp;A277)+SUMIFS(Transaksi!$H$2:$H$3000,Transaksi!$L$2:$L$3000,"&lt;="&amp;A277)+SUMIFS(Transaksi!$I$2:$I$3000,Transaksi!$L$2:$L$3000,"&lt;="&amp;A277)-(SUMIFS(Transaksi!$J$2:$J$3000,Transaksi!$L$2:$L$3000,"&lt;="&amp;A277)))</f>
        <v/>
      </c>
    </row>
    <row r="278">
      <c r="A278" s="22">
        <f>IF(274&lt;=MAX(Transaksi!$L$2:$L$3000),MAX(Transaksi!$L$2:$L$3000)-273,"")</f>
        <v/>
      </c>
      <c r="B278" s="23">
        <f>IF(A278="","",INDEX(Transaksi!$B$2:$B$3000,MATCH(A278,Transaksi!$L$2:$L$3000,0)))</f>
        <v/>
      </c>
      <c r="C278" s="24">
        <f>IF(A278="","",CHOOSE(WEEKDAY(B278,2),"Isnin","Selasa","Rabu","Khamis","Jumaat","Sabtu","Ahad"))</f>
        <v/>
      </c>
      <c r="D278" s="25">
        <f>IF(A278="","",COUNTIF(Transaksi!$L$2:$L$3000,A278))</f>
        <v/>
      </c>
      <c r="E278" s="13">
        <f>IF(A278="","",SUMIFS(Transaksi!$G$2:$G$3000,Transaksi!$L$2:$L$3000,A278)+SUMIFS(Transaksi!$H$2:$H$3000,Transaksi!$L$2:$L$3000,A278)+SUMIFS(Transaksi!$I$2:$I$3000,Transaksi!$L$2:$L$3000,A278))</f>
        <v/>
      </c>
      <c r="F278" s="14">
        <f>IF(A278="","",SUMIFS(Transaksi!$J$2:$J$3000,Transaksi!$L$2:$L$3000,A278))</f>
        <v/>
      </c>
      <c r="G278" s="15">
        <f>IF(A278="","",E278-F278)</f>
        <v/>
      </c>
      <c r="H278" s="16">
        <f>IF(A278="","",SUMIFS(Transaksi!$G$2:$G$3000,Transaksi!$L$2:$L$3000,"&lt;="&amp;A278)+SUMIFS(Transaksi!$H$2:$H$3000,Transaksi!$L$2:$L$3000,"&lt;="&amp;A278)+SUMIFS(Transaksi!$I$2:$I$3000,Transaksi!$L$2:$L$3000,"&lt;="&amp;A278)-(SUMIFS(Transaksi!$J$2:$J$3000,Transaksi!$L$2:$L$3000,"&lt;="&amp;A278)))</f>
        <v/>
      </c>
    </row>
    <row r="279">
      <c r="A279" s="22">
        <f>IF(275&lt;=MAX(Transaksi!$L$2:$L$3000),MAX(Transaksi!$L$2:$L$3000)-274,"")</f>
        <v/>
      </c>
      <c r="B279" s="23">
        <f>IF(A279="","",INDEX(Transaksi!$B$2:$B$3000,MATCH(A279,Transaksi!$L$2:$L$3000,0)))</f>
        <v/>
      </c>
      <c r="C279" s="24">
        <f>IF(A279="","",CHOOSE(WEEKDAY(B279,2),"Isnin","Selasa","Rabu","Khamis","Jumaat","Sabtu","Ahad"))</f>
        <v/>
      </c>
      <c r="D279" s="25">
        <f>IF(A279="","",COUNTIF(Transaksi!$L$2:$L$3000,A279))</f>
        <v/>
      </c>
      <c r="E279" s="13">
        <f>IF(A279="","",SUMIFS(Transaksi!$G$2:$G$3000,Transaksi!$L$2:$L$3000,A279)+SUMIFS(Transaksi!$H$2:$H$3000,Transaksi!$L$2:$L$3000,A279)+SUMIFS(Transaksi!$I$2:$I$3000,Transaksi!$L$2:$L$3000,A279))</f>
        <v/>
      </c>
      <c r="F279" s="14">
        <f>IF(A279="","",SUMIFS(Transaksi!$J$2:$J$3000,Transaksi!$L$2:$L$3000,A279))</f>
        <v/>
      </c>
      <c r="G279" s="15">
        <f>IF(A279="","",E279-F279)</f>
        <v/>
      </c>
      <c r="H279" s="16">
        <f>IF(A279="","",SUMIFS(Transaksi!$G$2:$G$3000,Transaksi!$L$2:$L$3000,"&lt;="&amp;A279)+SUMIFS(Transaksi!$H$2:$H$3000,Transaksi!$L$2:$L$3000,"&lt;="&amp;A279)+SUMIFS(Transaksi!$I$2:$I$3000,Transaksi!$L$2:$L$3000,"&lt;="&amp;A279)-(SUMIFS(Transaksi!$J$2:$J$3000,Transaksi!$L$2:$L$3000,"&lt;="&amp;A279)))</f>
        <v/>
      </c>
    </row>
    <row r="280">
      <c r="A280" s="22">
        <f>IF(276&lt;=MAX(Transaksi!$L$2:$L$3000),MAX(Transaksi!$L$2:$L$3000)-275,"")</f>
        <v/>
      </c>
      <c r="B280" s="23">
        <f>IF(A280="","",INDEX(Transaksi!$B$2:$B$3000,MATCH(A280,Transaksi!$L$2:$L$3000,0)))</f>
        <v/>
      </c>
      <c r="C280" s="24">
        <f>IF(A280="","",CHOOSE(WEEKDAY(B280,2),"Isnin","Selasa","Rabu","Khamis","Jumaat","Sabtu","Ahad"))</f>
        <v/>
      </c>
      <c r="D280" s="25">
        <f>IF(A280="","",COUNTIF(Transaksi!$L$2:$L$3000,A280))</f>
        <v/>
      </c>
      <c r="E280" s="13">
        <f>IF(A280="","",SUMIFS(Transaksi!$G$2:$G$3000,Transaksi!$L$2:$L$3000,A280)+SUMIFS(Transaksi!$H$2:$H$3000,Transaksi!$L$2:$L$3000,A280)+SUMIFS(Transaksi!$I$2:$I$3000,Transaksi!$L$2:$L$3000,A280))</f>
        <v/>
      </c>
      <c r="F280" s="14">
        <f>IF(A280="","",SUMIFS(Transaksi!$J$2:$J$3000,Transaksi!$L$2:$L$3000,A280))</f>
        <v/>
      </c>
      <c r="G280" s="15">
        <f>IF(A280="","",E280-F280)</f>
        <v/>
      </c>
      <c r="H280" s="16">
        <f>IF(A280="","",SUMIFS(Transaksi!$G$2:$G$3000,Transaksi!$L$2:$L$3000,"&lt;="&amp;A280)+SUMIFS(Transaksi!$H$2:$H$3000,Transaksi!$L$2:$L$3000,"&lt;="&amp;A280)+SUMIFS(Transaksi!$I$2:$I$3000,Transaksi!$L$2:$L$3000,"&lt;="&amp;A280)-(SUMIFS(Transaksi!$J$2:$J$3000,Transaksi!$L$2:$L$3000,"&lt;="&amp;A280)))</f>
        <v/>
      </c>
    </row>
    <row r="281">
      <c r="A281" s="22">
        <f>IF(277&lt;=MAX(Transaksi!$L$2:$L$3000),MAX(Transaksi!$L$2:$L$3000)-276,"")</f>
        <v/>
      </c>
      <c r="B281" s="23">
        <f>IF(A281="","",INDEX(Transaksi!$B$2:$B$3000,MATCH(A281,Transaksi!$L$2:$L$3000,0)))</f>
        <v/>
      </c>
      <c r="C281" s="24">
        <f>IF(A281="","",CHOOSE(WEEKDAY(B281,2),"Isnin","Selasa","Rabu","Khamis","Jumaat","Sabtu","Ahad"))</f>
        <v/>
      </c>
      <c r="D281" s="25">
        <f>IF(A281="","",COUNTIF(Transaksi!$L$2:$L$3000,A281))</f>
        <v/>
      </c>
      <c r="E281" s="13">
        <f>IF(A281="","",SUMIFS(Transaksi!$G$2:$G$3000,Transaksi!$L$2:$L$3000,A281)+SUMIFS(Transaksi!$H$2:$H$3000,Transaksi!$L$2:$L$3000,A281)+SUMIFS(Transaksi!$I$2:$I$3000,Transaksi!$L$2:$L$3000,A281))</f>
        <v/>
      </c>
      <c r="F281" s="14">
        <f>IF(A281="","",SUMIFS(Transaksi!$J$2:$J$3000,Transaksi!$L$2:$L$3000,A281))</f>
        <v/>
      </c>
      <c r="G281" s="15">
        <f>IF(A281="","",E281-F281)</f>
        <v/>
      </c>
      <c r="H281" s="16">
        <f>IF(A281="","",SUMIFS(Transaksi!$G$2:$G$3000,Transaksi!$L$2:$L$3000,"&lt;="&amp;A281)+SUMIFS(Transaksi!$H$2:$H$3000,Transaksi!$L$2:$L$3000,"&lt;="&amp;A281)+SUMIFS(Transaksi!$I$2:$I$3000,Transaksi!$L$2:$L$3000,"&lt;="&amp;A281)-(SUMIFS(Transaksi!$J$2:$J$3000,Transaksi!$L$2:$L$3000,"&lt;="&amp;A281)))</f>
        <v/>
      </c>
    </row>
    <row r="282">
      <c r="A282" s="22">
        <f>IF(278&lt;=MAX(Transaksi!$L$2:$L$3000),MAX(Transaksi!$L$2:$L$3000)-277,"")</f>
        <v/>
      </c>
      <c r="B282" s="23">
        <f>IF(A282="","",INDEX(Transaksi!$B$2:$B$3000,MATCH(A282,Transaksi!$L$2:$L$3000,0)))</f>
        <v/>
      </c>
      <c r="C282" s="24">
        <f>IF(A282="","",CHOOSE(WEEKDAY(B282,2),"Isnin","Selasa","Rabu","Khamis","Jumaat","Sabtu","Ahad"))</f>
        <v/>
      </c>
      <c r="D282" s="25">
        <f>IF(A282="","",COUNTIF(Transaksi!$L$2:$L$3000,A282))</f>
        <v/>
      </c>
      <c r="E282" s="13">
        <f>IF(A282="","",SUMIFS(Transaksi!$G$2:$G$3000,Transaksi!$L$2:$L$3000,A282)+SUMIFS(Transaksi!$H$2:$H$3000,Transaksi!$L$2:$L$3000,A282)+SUMIFS(Transaksi!$I$2:$I$3000,Transaksi!$L$2:$L$3000,A282))</f>
        <v/>
      </c>
      <c r="F282" s="14">
        <f>IF(A282="","",SUMIFS(Transaksi!$J$2:$J$3000,Transaksi!$L$2:$L$3000,A282))</f>
        <v/>
      </c>
      <c r="G282" s="15">
        <f>IF(A282="","",E282-F282)</f>
        <v/>
      </c>
      <c r="H282" s="16">
        <f>IF(A282="","",SUMIFS(Transaksi!$G$2:$G$3000,Transaksi!$L$2:$L$3000,"&lt;="&amp;A282)+SUMIFS(Transaksi!$H$2:$H$3000,Transaksi!$L$2:$L$3000,"&lt;="&amp;A282)+SUMIFS(Transaksi!$I$2:$I$3000,Transaksi!$L$2:$L$3000,"&lt;="&amp;A282)-(SUMIFS(Transaksi!$J$2:$J$3000,Transaksi!$L$2:$L$3000,"&lt;="&amp;A282)))</f>
        <v/>
      </c>
    </row>
    <row r="283">
      <c r="A283" s="22">
        <f>IF(279&lt;=MAX(Transaksi!$L$2:$L$3000),MAX(Transaksi!$L$2:$L$3000)-278,"")</f>
        <v/>
      </c>
      <c r="B283" s="23">
        <f>IF(A283="","",INDEX(Transaksi!$B$2:$B$3000,MATCH(A283,Transaksi!$L$2:$L$3000,0)))</f>
        <v/>
      </c>
      <c r="C283" s="24">
        <f>IF(A283="","",CHOOSE(WEEKDAY(B283,2),"Isnin","Selasa","Rabu","Khamis","Jumaat","Sabtu","Ahad"))</f>
        <v/>
      </c>
      <c r="D283" s="25">
        <f>IF(A283="","",COUNTIF(Transaksi!$L$2:$L$3000,A283))</f>
        <v/>
      </c>
      <c r="E283" s="13">
        <f>IF(A283="","",SUMIFS(Transaksi!$G$2:$G$3000,Transaksi!$L$2:$L$3000,A283)+SUMIFS(Transaksi!$H$2:$H$3000,Transaksi!$L$2:$L$3000,A283)+SUMIFS(Transaksi!$I$2:$I$3000,Transaksi!$L$2:$L$3000,A283))</f>
        <v/>
      </c>
      <c r="F283" s="14">
        <f>IF(A283="","",SUMIFS(Transaksi!$J$2:$J$3000,Transaksi!$L$2:$L$3000,A283))</f>
        <v/>
      </c>
      <c r="G283" s="15">
        <f>IF(A283="","",E283-F283)</f>
        <v/>
      </c>
      <c r="H283" s="16">
        <f>IF(A283="","",SUMIFS(Transaksi!$G$2:$G$3000,Transaksi!$L$2:$L$3000,"&lt;="&amp;A283)+SUMIFS(Transaksi!$H$2:$H$3000,Transaksi!$L$2:$L$3000,"&lt;="&amp;A283)+SUMIFS(Transaksi!$I$2:$I$3000,Transaksi!$L$2:$L$3000,"&lt;="&amp;A283)-(SUMIFS(Transaksi!$J$2:$J$3000,Transaksi!$L$2:$L$3000,"&lt;="&amp;A283)))</f>
        <v/>
      </c>
    </row>
    <row r="284">
      <c r="A284" s="22">
        <f>IF(280&lt;=MAX(Transaksi!$L$2:$L$3000),MAX(Transaksi!$L$2:$L$3000)-279,"")</f>
        <v/>
      </c>
      <c r="B284" s="23">
        <f>IF(A284="","",INDEX(Transaksi!$B$2:$B$3000,MATCH(A284,Transaksi!$L$2:$L$3000,0)))</f>
        <v/>
      </c>
      <c r="C284" s="24">
        <f>IF(A284="","",CHOOSE(WEEKDAY(B284,2),"Isnin","Selasa","Rabu","Khamis","Jumaat","Sabtu","Ahad"))</f>
        <v/>
      </c>
      <c r="D284" s="25">
        <f>IF(A284="","",COUNTIF(Transaksi!$L$2:$L$3000,A284))</f>
        <v/>
      </c>
      <c r="E284" s="13">
        <f>IF(A284="","",SUMIFS(Transaksi!$G$2:$G$3000,Transaksi!$L$2:$L$3000,A284)+SUMIFS(Transaksi!$H$2:$H$3000,Transaksi!$L$2:$L$3000,A284)+SUMIFS(Transaksi!$I$2:$I$3000,Transaksi!$L$2:$L$3000,A284))</f>
        <v/>
      </c>
      <c r="F284" s="14">
        <f>IF(A284="","",SUMIFS(Transaksi!$J$2:$J$3000,Transaksi!$L$2:$L$3000,A284))</f>
        <v/>
      </c>
      <c r="G284" s="15">
        <f>IF(A284="","",E284-F284)</f>
        <v/>
      </c>
      <c r="H284" s="16">
        <f>IF(A284="","",SUMIFS(Transaksi!$G$2:$G$3000,Transaksi!$L$2:$L$3000,"&lt;="&amp;A284)+SUMIFS(Transaksi!$H$2:$H$3000,Transaksi!$L$2:$L$3000,"&lt;="&amp;A284)+SUMIFS(Transaksi!$I$2:$I$3000,Transaksi!$L$2:$L$3000,"&lt;="&amp;A284)-(SUMIFS(Transaksi!$J$2:$J$3000,Transaksi!$L$2:$L$3000,"&lt;="&amp;A284)))</f>
        <v/>
      </c>
    </row>
    <row r="285">
      <c r="A285" s="22">
        <f>IF(281&lt;=MAX(Transaksi!$L$2:$L$3000),MAX(Transaksi!$L$2:$L$3000)-280,"")</f>
        <v/>
      </c>
      <c r="B285" s="23">
        <f>IF(A285="","",INDEX(Transaksi!$B$2:$B$3000,MATCH(A285,Transaksi!$L$2:$L$3000,0)))</f>
        <v/>
      </c>
      <c r="C285" s="24">
        <f>IF(A285="","",CHOOSE(WEEKDAY(B285,2),"Isnin","Selasa","Rabu","Khamis","Jumaat","Sabtu","Ahad"))</f>
        <v/>
      </c>
      <c r="D285" s="25">
        <f>IF(A285="","",COUNTIF(Transaksi!$L$2:$L$3000,A285))</f>
        <v/>
      </c>
      <c r="E285" s="13">
        <f>IF(A285="","",SUMIFS(Transaksi!$G$2:$G$3000,Transaksi!$L$2:$L$3000,A285)+SUMIFS(Transaksi!$H$2:$H$3000,Transaksi!$L$2:$L$3000,A285)+SUMIFS(Transaksi!$I$2:$I$3000,Transaksi!$L$2:$L$3000,A285))</f>
        <v/>
      </c>
      <c r="F285" s="14">
        <f>IF(A285="","",SUMIFS(Transaksi!$J$2:$J$3000,Transaksi!$L$2:$L$3000,A285))</f>
        <v/>
      </c>
      <c r="G285" s="15">
        <f>IF(A285="","",E285-F285)</f>
        <v/>
      </c>
      <c r="H285" s="16">
        <f>IF(A285="","",SUMIFS(Transaksi!$G$2:$G$3000,Transaksi!$L$2:$L$3000,"&lt;="&amp;A285)+SUMIFS(Transaksi!$H$2:$H$3000,Transaksi!$L$2:$L$3000,"&lt;="&amp;A285)+SUMIFS(Transaksi!$I$2:$I$3000,Transaksi!$L$2:$L$3000,"&lt;="&amp;A285)-(SUMIFS(Transaksi!$J$2:$J$3000,Transaksi!$L$2:$L$3000,"&lt;="&amp;A285)))</f>
        <v/>
      </c>
    </row>
    <row r="286">
      <c r="A286" s="22">
        <f>IF(282&lt;=MAX(Transaksi!$L$2:$L$3000),MAX(Transaksi!$L$2:$L$3000)-281,"")</f>
        <v/>
      </c>
      <c r="B286" s="23">
        <f>IF(A286="","",INDEX(Transaksi!$B$2:$B$3000,MATCH(A286,Transaksi!$L$2:$L$3000,0)))</f>
        <v/>
      </c>
      <c r="C286" s="24">
        <f>IF(A286="","",CHOOSE(WEEKDAY(B286,2),"Isnin","Selasa","Rabu","Khamis","Jumaat","Sabtu","Ahad"))</f>
        <v/>
      </c>
      <c r="D286" s="25">
        <f>IF(A286="","",COUNTIF(Transaksi!$L$2:$L$3000,A286))</f>
        <v/>
      </c>
      <c r="E286" s="13">
        <f>IF(A286="","",SUMIFS(Transaksi!$G$2:$G$3000,Transaksi!$L$2:$L$3000,A286)+SUMIFS(Transaksi!$H$2:$H$3000,Transaksi!$L$2:$L$3000,A286)+SUMIFS(Transaksi!$I$2:$I$3000,Transaksi!$L$2:$L$3000,A286))</f>
        <v/>
      </c>
      <c r="F286" s="14">
        <f>IF(A286="","",SUMIFS(Transaksi!$J$2:$J$3000,Transaksi!$L$2:$L$3000,A286))</f>
        <v/>
      </c>
      <c r="G286" s="15">
        <f>IF(A286="","",E286-F286)</f>
        <v/>
      </c>
      <c r="H286" s="16">
        <f>IF(A286="","",SUMIFS(Transaksi!$G$2:$G$3000,Transaksi!$L$2:$L$3000,"&lt;="&amp;A286)+SUMIFS(Transaksi!$H$2:$H$3000,Transaksi!$L$2:$L$3000,"&lt;="&amp;A286)+SUMIFS(Transaksi!$I$2:$I$3000,Transaksi!$L$2:$L$3000,"&lt;="&amp;A286)-(SUMIFS(Transaksi!$J$2:$J$3000,Transaksi!$L$2:$L$3000,"&lt;="&amp;A286)))</f>
        <v/>
      </c>
    </row>
    <row r="287">
      <c r="A287" s="22">
        <f>IF(283&lt;=MAX(Transaksi!$L$2:$L$3000),MAX(Transaksi!$L$2:$L$3000)-282,"")</f>
        <v/>
      </c>
      <c r="B287" s="23">
        <f>IF(A287="","",INDEX(Transaksi!$B$2:$B$3000,MATCH(A287,Transaksi!$L$2:$L$3000,0)))</f>
        <v/>
      </c>
      <c r="C287" s="24">
        <f>IF(A287="","",CHOOSE(WEEKDAY(B287,2),"Isnin","Selasa","Rabu","Khamis","Jumaat","Sabtu","Ahad"))</f>
        <v/>
      </c>
      <c r="D287" s="25">
        <f>IF(A287="","",COUNTIF(Transaksi!$L$2:$L$3000,A287))</f>
        <v/>
      </c>
      <c r="E287" s="13">
        <f>IF(A287="","",SUMIFS(Transaksi!$G$2:$G$3000,Transaksi!$L$2:$L$3000,A287)+SUMIFS(Transaksi!$H$2:$H$3000,Transaksi!$L$2:$L$3000,A287)+SUMIFS(Transaksi!$I$2:$I$3000,Transaksi!$L$2:$L$3000,A287))</f>
        <v/>
      </c>
      <c r="F287" s="14">
        <f>IF(A287="","",SUMIFS(Transaksi!$J$2:$J$3000,Transaksi!$L$2:$L$3000,A287))</f>
        <v/>
      </c>
      <c r="G287" s="15">
        <f>IF(A287="","",E287-F287)</f>
        <v/>
      </c>
      <c r="H287" s="16">
        <f>IF(A287="","",SUMIFS(Transaksi!$G$2:$G$3000,Transaksi!$L$2:$L$3000,"&lt;="&amp;A287)+SUMIFS(Transaksi!$H$2:$H$3000,Transaksi!$L$2:$L$3000,"&lt;="&amp;A287)+SUMIFS(Transaksi!$I$2:$I$3000,Transaksi!$L$2:$L$3000,"&lt;="&amp;A287)-(SUMIFS(Transaksi!$J$2:$J$3000,Transaksi!$L$2:$L$3000,"&lt;="&amp;A287)))</f>
        <v/>
      </c>
    </row>
    <row r="288">
      <c r="A288" s="22">
        <f>IF(284&lt;=MAX(Transaksi!$L$2:$L$3000),MAX(Transaksi!$L$2:$L$3000)-283,"")</f>
        <v/>
      </c>
      <c r="B288" s="23">
        <f>IF(A288="","",INDEX(Transaksi!$B$2:$B$3000,MATCH(A288,Transaksi!$L$2:$L$3000,0)))</f>
        <v/>
      </c>
      <c r="C288" s="24">
        <f>IF(A288="","",CHOOSE(WEEKDAY(B288,2),"Isnin","Selasa","Rabu","Khamis","Jumaat","Sabtu","Ahad"))</f>
        <v/>
      </c>
      <c r="D288" s="25">
        <f>IF(A288="","",COUNTIF(Transaksi!$L$2:$L$3000,A288))</f>
        <v/>
      </c>
      <c r="E288" s="13">
        <f>IF(A288="","",SUMIFS(Transaksi!$G$2:$G$3000,Transaksi!$L$2:$L$3000,A288)+SUMIFS(Transaksi!$H$2:$H$3000,Transaksi!$L$2:$L$3000,A288)+SUMIFS(Transaksi!$I$2:$I$3000,Transaksi!$L$2:$L$3000,A288))</f>
        <v/>
      </c>
      <c r="F288" s="14">
        <f>IF(A288="","",SUMIFS(Transaksi!$J$2:$J$3000,Transaksi!$L$2:$L$3000,A288))</f>
        <v/>
      </c>
      <c r="G288" s="15">
        <f>IF(A288="","",E288-F288)</f>
        <v/>
      </c>
      <c r="H288" s="16">
        <f>IF(A288="","",SUMIFS(Transaksi!$G$2:$G$3000,Transaksi!$L$2:$L$3000,"&lt;="&amp;A288)+SUMIFS(Transaksi!$H$2:$H$3000,Transaksi!$L$2:$L$3000,"&lt;="&amp;A288)+SUMIFS(Transaksi!$I$2:$I$3000,Transaksi!$L$2:$L$3000,"&lt;="&amp;A288)-(SUMIFS(Transaksi!$J$2:$J$3000,Transaksi!$L$2:$L$3000,"&lt;="&amp;A288)))</f>
        <v/>
      </c>
    </row>
    <row r="289">
      <c r="A289" s="22">
        <f>IF(285&lt;=MAX(Transaksi!$L$2:$L$3000),MAX(Transaksi!$L$2:$L$3000)-284,"")</f>
        <v/>
      </c>
      <c r="B289" s="23">
        <f>IF(A289="","",INDEX(Transaksi!$B$2:$B$3000,MATCH(A289,Transaksi!$L$2:$L$3000,0)))</f>
        <v/>
      </c>
      <c r="C289" s="24">
        <f>IF(A289="","",CHOOSE(WEEKDAY(B289,2),"Isnin","Selasa","Rabu","Khamis","Jumaat","Sabtu","Ahad"))</f>
        <v/>
      </c>
      <c r="D289" s="25">
        <f>IF(A289="","",COUNTIF(Transaksi!$L$2:$L$3000,A289))</f>
        <v/>
      </c>
      <c r="E289" s="13">
        <f>IF(A289="","",SUMIFS(Transaksi!$G$2:$G$3000,Transaksi!$L$2:$L$3000,A289)+SUMIFS(Transaksi!$H$2:$H$3000,Transaksi!$L$2:$L$3000,A289)+SUMIFS(Transaksi!$I$2:$I$3000,Transaksi!$L$2:$L$3000,A289))</f>
        <v/>
      </c>
      <c r="F289" s="14">
        <f>IF(A289="","",SUMIFS(Transaksi!$J$2:$J$3000,Transaksi!$L$2:$L$3000,A289))</f>
        <v/>
      </c>
      <c r="G289" s="15">
        <f>IF(A289="","",E289-F289)</f>
        <v/>
      </c>
      <c r="H289" s="16">
        <f>IF(A289="","",SUMIFS(Transaksi!$G$2:$G$3000,Transaksi!$L$2:$L$3000,"&lt;="&amp;A289)+SUMIFS(Transaksi!$H$2:$H$3000,Transaksi!$L$2:$L$3000,"&lt;="&amp;A289)+SUMIFS(Transaksi!$I$2:$I$3000,Transaksi!$L$2:$L$3000,"&lt;="&amp;A289)-(SUMIFS(Transaksi!$J$2:$J$3000,Transaksi!$L$2:$L$3000,"&lt;="&amp;A289)))</f>
        <v/>
      </c>
    </row>
    <row r="290">
      <c r="A290" s="22">
        <f>IF(286&lt;=MAX(Transaksi!$L$2:$L$3000),MAX(Transaksi!$L$2:$L$3000)-285,"")</f>
        <v/>
      </c>
      <c r="B290" s="23">
        <f>IF(A290="","",INDEX(Transaksi!$B$2:$B$3000,MATCH(A290,Transaksi!$L$2:$L$3000,0)))</f>
        <v/>
      </c>
      <c r="C290" s="24">
        <f>IF(A290="","",CHOOSE(WEEKDAY(B290,2),"Isnin","Selasa","Rabu","Khamis","Jumaat","Sabtu","Ahad"))</f>
        <v/>
      </c>
      <c r="D290" s="25">
        <f>IF(A290="","",COUNTIF(Transaksi!$L$2:$L$3000,A290))</f>
        <v/>
      </c>
      <c r="E290" s="13">
        <f>IF(A290="","",SUMIFS(Transaksi!$G$2:$G$3000,Transaksi!$L$2:$L$3000,A290)+SUMIFS(Transaksi!$H$2:$H$3000,Transaksi!$L$2:$L$3000,A290)+SUMIFS(Transaksi!$I$2:$I$3000,Transaksi!$L$2:$L$3000,A290))</f>
        <v/>
      </c>
      <c r="F290" s="14">
        <f>IF(A290="","",SUMIFS(Transaksi!$J$2:$J$3000,Transaksi!$L$2:$L$3000,A290))</f>
        <v/>
      </c>
      <c r="G290" s="15">
        <f>IF(A290="","",E290-F290)</f>
        <v/>
      </c>
      <c r="H290" s="16">
        <f>IF(A290="","",SUMIFS(Transaksi!$G$2:$G$3000,Transaksi!$L$2:$L$3000,"&lt;="&amp;A290)+SUMIFS(Transaksi!$H$2:$H$3000,Transaksi!$L$2:$L$3000,"&lt;="&amp;A290)+SUMIFS(Transaksi!$I$2:$I$3000,Transaksi!$L$2:$L$3000,"&lt;="&amp;A290)-(SUMIFS(Transaksi!$J$2:$J$3000,Transaksi!$L$2:$L$3000,"&lt;="&amp;A290)))</f>
        <v/>
      </c>
    </row>
    <row r="291">
      <c r="A291" s="22">
        <f>IF(287&lt;=MAX(Transaksi!$L$2:$L$3000),MAX(Transaksi!$L$2:$L$3000)-286,"")</f>
        <v/>
      </c>
      <c r="B291" s="23">
        <f>IF(A291="","",INDEX(Transaksi!$B$2:$B$3000,MATCH(A291,Transaksi!$L$2:$L$3000,0)))</f>
        <v/>
      </c>
      <c r="C291" s="24">
        <f>IF(A291="","",CHOOSE(WEEKDAY(B291,2),"Isnin","Selasa","Rabu","Khamis","Jumaat","Sabtu","Ahad"))</f>
        <v/>
      </c>
      <c r="D291" s="25">
        <f>IF(A291="","",COUNTIF(Transaksi!$L$2:$L$3000,A291))</f>
        <v/>
      </c>
      <c r="E291" s="13">
        <f>IF(A291="","",SUMIFS(Transaksi!$G$2:$G$3000,Transaksi!$L$2:$L$3000,A291)+SUMIFS(Transaksi!$H$2:$H$3000,Transaksi!$L$2:$L$3000,A291)+SUMIFS(Transaksi!$I$2:$I$3000,Transaksi!$L$2:$L$3000,A291))</f>
        <v/>
      </c>
      <c r="F291" s="14">
        <f>IF(A291="","",SUMIFS(Transaksi!$J$2:$J$3000,Transaksi!$L$2:$L$3000,A291))</f>
        <v/>
      </c>
      <c r="G291" s="15">
        <f>IF(A291="","",E291-F291)</f>
        <v/>
      </c>
      <c r="H291" s="16">
        <f>IF(A291="","",SUMIFS(Transaksi!$G$2:$G$3000,Transaksi!$L$2:$L$3000,"&lt;="&amp;A291)+SUMIFS(Transaksi!$H$2:$H$3000,Transaksi!$L$2:$L$3000,"&lt;="&amp;A291)+SUMIFS(Transaksi!$I$2:$I$3000,Transaksi!$L$2:$L$3000,"&lt;="&amp;A291)-(SUMIFS(Transaksi!$J$2:$J$3000,Transaksi!$L$2:$L$3000,"&lt;="&amp;A291)))</f>
        <v/>
      </c>
    </row>
    <row r="292">
      <c r="A292" s="22">
        <f>IF(288&lt;=MAX(Transaksi!$L$2:$L$3000),MAX(Transaksi!$L$2:$L$3000)-287,"")</f>
        <v/>
      </c>
      <c r="B292" s="23">
        <f>IF(A292="","",INDEX(Transaksi!$B$2:$B$3000,MATCH(A292,Transaksi!$L$2:$L$3000,0)))</f>
        <v/>
      </c>
      <c r="C292" s="24">
        <f>IF(A292="","",CHOOSE(WEEKDAY(B292,2),"Isnin","Selasa","Rabu","Khamis","Jumaat","Sabtu","Ahad"))</f>
        <v/>
      </c>
      <c r="D292" s="25">
        <f>IF(A292="","",COUNTIF(Transaksi!$L$2:$L$3000,A292))</f>
        <v/>
      </c>
      <c r="E292" s="13">
        <f>IF(A292="","",SUMIFS(Transaksi!$G$2:$G$3000,Transaksi!$L$2:$L$3000,A292)+SUMIFS(Transaksi!$H$2:$H$3000,Transaksi!$L$2:$L$3000,A292)+SUMIFS(Transaksi!$I$2:$I$3000,Transaksi!$L$2:$L$3000,A292))</f>
        <v/>
      </c>
      <c r="F292" s="14">
        <f>IF(A292="","",SUMIFS(Transaksi!$J$2:$J$3000,Transaksi!$L$2:$L$3000,A292))</f>
        <v/>
      </c>
      <c r="G292" s="15">
        <f>IF(A292="","",E292-F292)</f>
        <v/>
      </c>
      <c r="H292" s="16">
        <f>IF(A292="","",SUMIFS(Transaksi!$G$2:$G$3000,Transaksi!$L$2:$L$3000,"&lt;="&amp;A292)+SUMIFS(Transaksi!$H$2:$H$3000,Transaksi!$L$2:$L$3000,"&lt;="&amp;A292)+SUMIFS(Transaksi!$I$2:$I$3000,Transaksi!$L$2:$L$3000,"&lt;="&amp;A292)-(SUMIFS(Transaksi!$J$2:$J$3000,Transaksi!$L$2:$L$3000,"&lt;="&amp;A292)))</f>
        <v/>
      </c>
    </row>
    <row r="293">
      <c r="A293" s="22">
        <f>IF(289&lt;=MAX(Transaksi!$L$2:$L$3000),MAX(Transaksi!$L$2:$L$3000)-288,"")</f>
        <v/>
      </c>
      <c r="B293" s="23">
        <f>IF(A293="","",INDEX(Transaksi!$B$2:$B$3000,MATCH(A293,Transaksi!$L$2:$L$3000,0)))</f>
        <v/>
      </c>
      <c r="C293" s="24">
        <f>IF(A293="","",CHOOSE(WEEKDAY(B293,2),"Isnin","Selasa","Rabu","Khamis","Jumaat","Sabtu","Ahad"))</f>
        <v/>
      </c>
      <c r="D293" s="25">
        <f>IF(A293="","",COUNTIF(Transaksi!$L$2:$L$3000,A293))</f>
        <v/>
      </c>
      <c r="E293" s="13">
        <f>IF(A293="","",SUMIFS(Transaksi!$G$2:$G$3000,Transaksi!$L$2:$L$3000,A293)+SUMIFS(Transaksi!$H$2:$H$3000,Transaksi!$L$2:$L$3000,A293)+SUMIFS(Transaksi!$I$2:$I$3000,Transaksi!$L$2:$L$3000,A293))</f>
        <v/>
      </c>
      <c r="F293" s="14">
        <f>IF(A293="","",SUMIFS(Transaksi!$J$2:$J$3000,Transaksi!$L$2:$L$3000,A293))</f>
        <v/>
      </c>
      <c r="G293" s="15">
        <f>IF(A293="","",E293-F293)</f>
        <v/>
      </c>
      <c r="H293" s="16">
        <f>IF(A293="","",SUMIFS(Transaksi!$G$2:$G$3000,Transaksi!$L$2:$L$3000,"&lt;="&amp;A293)+SUMIFS(Transaksi!$H$2:$H$3000,Transaksi!$L$2:$L$3000,"&lt;="&amp;A293)+SUMIFS(Transaksi!$I$2:$I$3000,Transaksi!$L$2:$L$3000,"&lt;="&amp;A293)-(SUMIFS(Transaksi!$J$2:$J$3000,Transaksi!$L$2:$L$3000,"&lt;="&amp;A293)))</f>
        <v/>
      </c>
    </row>
    <row r="294">
      <c r="A294" s="22">
        <f>IF(290&lt;=MAX(Transaksi!$L$2:$L$3000),MAX(Transaksi!$L$2:$L$3000)-289,"")</f>
        <v/>
      </c>
      <c r="B294" s="23">
        <f>IF(A294="","",INDEX(Transaksi!$B$2:$B$3000,MATCH(A294,Transaksi!$L$2:$L$3000,0)))</f>
        <v/>
      </c>
      <c r="C294" s="24">
        <f>IF(A294="","",CHOOSE(WEEKDAY(B294,2),"Isnin","Selasa","Rabu","Khamis","Jumaat","Sabtu","Ahad"))</f>
        <v/>
      </c>
      <c r="D294" s="25">
        <f>IF(A294="","",COUNTIF(Transaksi!$L$2:$L$3000,A294))</f>
        <v/>
      </c>
      <c r="E294" s="13">
        <f>IF(A294="","",SUMIFS(Transaksi!$G$2:$G$3000,Transaksi!$L$2:$L$3000,A294)+SUMIFS(Transaksi!$H$2:$H$3000,Transaksi!$L$2:$L$3000,A294)+SUMIFS(Transaksi!$I$2:$I$3000,Transaksi!$L$2:$L$3000,A294))</f>
        <v/>
      </c>
      <c r="F294" s="14">
        <f>IF(A294="","",SUMIFS(Transaksi!$J$2:$J$3000,Transaksi!$L$2:$L$3000,A294))</f>
        <v/>
      </c>
      <c r="G294" s="15">
        <f>IF(A294="","",E294-F294)</f>
        <v/>
      </c>
      <c r="H294" s="16">
        <f>IF(A294="","",SUMIFS(Transaksi!$G$2:$G$3000,Transaksi!$L$2:$L$3000,"&lt;="&amp;A294)+SUMIFS(Transaksi!$H$2:$H$3000,Transaksi!$L$2:$L$3000,"&lt;="&amp;A294)+SUMIFS(Transaksi!$I$2:$I$3000,Transaksi!$L$2:$L$3000,"&lt;="&amp;A294)-(SUMIFS(Transaksi!$J$2:$J$3000,Transaksi!$L$2:$L$3000,"&lt;="&amp;A294)))</f>
        <v/>
      </c>
    </row>
    <row r="295">
      <c r="A295" s="22">
        <f>IF(291&lt;=MAX(Transaksi!$L$2:$L$3000),MAX(Transaksi!$L$2:$L$3000)-290,"")</f>
        <v/>
      </c>
      <c r="B295" s="23">
        <f>IF(A295="","",INDEX(Transaksi!$B$2:$B$3000,MATCH(A295,Transaksi!$L$2:$L$3000,0)))</f>
        <v/>
      </c>
      <c r="C295" s="24">
        <f>IF(A295="","",CHOOSE(WEEKDAY(B295,2),"Isnin","Selasa","Rabu","Khamis","Jumaat","Sabtu","Ahad"))</f>
        <v/>
      </c>
      <c r="D295" s="25">
        <f>IF(A295="","",COUNTIF(Transaksi!$L$2:$L$3000,A295))</f>
        <v/>
      </c>
      <c r="E295" s="13">
        <f>IF(A295="","",SUMIFS(Transaksi!$G$2:$G$3000,Transaksi!$L$2:$L$3000,A295)+SUMIFS(Transaksi!$H$2:$H$3000,Transaksi!$L$2:$L$3000,A295)+SUMIFS(Transaksi!$I$2:$I$3000,Transaksi!$L$2:$L$3000,A295))</f>
        <v/>
      </c>
      <c r="F295" s="14">
        <f>IF(A295="","",SUMIFS(Transaksi!$J$2:$J$3000,Transaksi!$L$2:$L$3000,A295))</f>
        <v/>
      </c>
      <c r="G295" s="15">
        <f>IF(A295="","",E295-F295)</f>
        <v/>
      </c>
      <c r="H295" s="16">
        <f>IF(A295="","",SUMIFS(Transaksi!$G$2:$G$3000,Transaksi!$L$2:$L$3000,"&lt;="&amp;A295)+SUMIFS(Transaksi!$H$2:$H$3000,Transaksi!$L$2:$L$3000,"&lt;="&amp;A295)+SUMIFS(Transaksi!$I$2:$I$3000,Transaksi!$L$2:$L$3000,"&lt;="&amp;A295)-(SUMIFS(Transaksi!$J$2:$J$3000,Transaksi!$L$2:$L$3000,"&lt;="&amp;A295)))</f>
        <v/>
      </c>
    </row>
    <row r="296">
      <c r="A296" s="22">
        <f>IF(292&lt;=MAX(Transaksi!$L$2:$L$3000),MAX(Transaksi!$L$2:$L$3000)-291,"")</f>
        <v/>
      </c>
      <c r="B296" s="23">
        <f>IF(A296="","",INDEX(Transaksi!$B$2:$B$3000,MATCH(A296,Transaksi!$L$2:$L$3000,0)))</f>
        <v/>
      </c>
      <c r="C296" s="24">
        <f>IF(A296="","",CHOOSE(WEEKDAY(B296,2),"Isnin","Selasa","Rabu","Khamis","Jumaat","Sabtu","Ahad"))</f>
        <v/>
      </c>
      <c r="D296" s="25">
        <f>IF(A296="","",COUNTIF(Transaksi!$L$2:$L$3000,A296))</f>
        <v/>
      </c>
      <c r="E296" s="13">
        <f>IF(A296="","",SUMIFS(Transaksi!$G$2:$G$3000,Transaksi!$L$2:$L$3000,A296)+SUMIFS(Transaksi!$H$2:$H$3000,Transaksi!$L$2:$L$3000,A296)+SUMIFS(Transaksi!$I$2:$I$3000,Transaksi!$L$2:$L$3000,A296))</f>
        <v/>
      </c>
      <c r="F296" s="14">
        <f>IF(A296="","",SUMIFS(Transaksi!$J$2:$J$3000,Transaksi!$L$2:$L$3000,A296))</f>
        <v/>
      </c>
      <c r="G296" s="15">
        <f>IF(A296="","",E296-F296)</f>
        <v/>
      </c>
      <c r="H296" s="16">
        <f>IF(A296="","",SUMIFS(Transaksi!$G$2:$G$3000,Transaksi!$L$2:$L$3000,"&lt;="&amp;A296)+SUMIFS(Transaksi!$H$2:$H$3000,Transaksi!$L$2:$L$3000,"&lt;="&amp;A296)+SUMIFS(Transaksi!$I$2:$I$3000,Transaksi!$L$2:$L$3000,"&lt;="&amp;A296)-(SUMIFS(Transaksi!$J$2:$J$3000,Transaksi!$L$2:$L$3000,"&lt;="&amp;A296)))</f>
        <v/>
      </c>
    </row>
    <row r="297">
      <c r="A297" s="22">
        <f>IF(293&lt;=MAX(Transaksi!$L$2:$L$3000),MAX(Transaksi!$L$2:$L$3000)-292,"")</f>
        <v/>
      </c>
      <c r="B297" s="23">
        <f>IF(A297="","",INDEX(Transaksi!$B$2:$B$3000,MATCH(A297,Transaksi!$L$2:$L$3000,0)))</f>
        <v/>
      </c>
      <c r="C297" s="24">
        <f>IF(A297="","",CHOOSE(WEEKDAY(B297,2),"Isnin","Selasa","Rabu","Khamis","Jumaat","Sabtu","Ahad"))</f>
        <v/>
      </c>
      <c r="D297" s="25">
        <f>IF(A297="","",COUNTIF(Transaksi!$L$2:$L$3000,A297))</f>
        <v/>
      </c>
      <c r="E297" s="13">
        <f>IF(A297="","",SUMIFS(Transaksi!$G$2:$G$3000,Transaksi!$L$2:$L$3000,A297)+SUMIFS(Transaksi!$H$2:$H$3000,Transaksi!$L$2:$L$3000,A297)+SUMIFS(Transaksi!$I$2:$I$3000,Transaksi!$L$2:$L$3000,A297))</f>
        <v/>
      </c>
      <c r="F297" s="14">
        <f>IF(A297="","",SUMIFS(Transaksi!$J$2:$J$3000,Transaksi!$L$2:$L$3000,A297))</f>
        <v/>
      </c>
      <c r="G297" s="15">
        <f>IF(A297="","",E297-F297)</f>
        <v/>
      </c>
      <c r="H297" s="16">
        <f>IF(A297="","",SUMIFS(Transaksi!$G$2:$G$3000,Transaksi!$L$2:$L$3000,"&lt;="&amp;A297)+SUMIFS(Transaksi!$H$2:$H$3000,Transaksi!$L$2:$L$3000,"&lt;="&amp;A297)+SUMIFS(Transaksi!$I$2:$I$3000,Transaksi!$L$2:$L$3000,"&lt;="&amp;A297)-(SUMIFS(Transaksi!$J$2:$J$3000,Transaksi!$L$2:$L$3000,"&lt;="&amp;A297)))</f>
        <v/>
      </c>
    </row>
    <row r="298">
      <c r="A298" s="22">
        <f>IF(294&lt;=MAX(Transaksi!$L$2:$L$3000),MAX(Transaksi!$L$2:$L$3000)-293,"")</f>
        <v/>
      </c>
      <c r="B298" s="23">
        <f>IF(A298="","",INDEX(Transaksi!$B$2:$B$3000,MATCH(A298,Transaksi!$L$2:$L$3000,0)))</f>
        <v/>
      </c>
      <c r="C298" s="24">
        <f>IF(A298="","",CHOOSE(WEEKDAY(B298,2),"Isnin","Selasa","Rabu","Khamis","Jumaat","Sabtu","Ahad"))</f>
        <v/>
      </c>
      <c r="D298" s="25">
        <f>IF(A298="","",COUNTIF(Transaksi!$L$2:$L$3000,A298))</f>
        <v/>
      </c>
      <c r="E298" s="13">
        <f>IF(A298="","",SUMIFS(Transaksi!$G$2:$G$3000,Transaksi!$L$2:$L$3000,A298)+SUMIFS(Transaksi!$H$2:$H$3000,Transaksi!$L$2:$L$3000,A298)+SUMIFS(Transaksi!$I$2:$I$3000,Transaksi!$L$2:$L$3000,A298))</f>
        <v/>
      </c>
      <c r="F298" s="14">
        <f>IF(A298="","",SUMIFS(Transaksi!$J$2:$J$3000,Transaksi!$L$2:$L$3000,A298))</f>
        <v/>
      </c>
      <c r="G298" s="15">
        <f>IF(A298="","",E298-F298)</f>
        <v/>
      </c>
      <c r="H298" s="16">
        <f>IF(A298="","",SUMIFS(Transaksi!$G$2:$G$3000,Transaksi!$L$2:$L$3000,"&lt;="&amp;A298)+SUMIFS(Transaksi!$H$2:$H$3000,Transaksi!$L$2:$L$3000,"&lt;="&amp;A298)+SUMIFS(Transaksi!$I$2:$I$3000,Transaksi!$L$2:$L$3000,"&lt;="&amp;A298)-(SUMIFS(Transaksi!$J$2:$J$3000,Transaksi!$L$2:$L$3000,"&lt;="&amp;A298)))</f>
        <v/>
      </c>
    </row>
    <row r="299">
      <c r="A299" s="22">
        <f>IF(295&lt;=MAX(Transaksi!$L$2:$L$3000),MAX(Transaksi!$L$2:$L$3000)-294,"")</f>
        <v/>
      </c>
      <c r="B299" s="23">
        <f>IF(A299="","",INDEX(Transaksi!$B$2:$B$3000,MATCH(A299,Transaksi!$L$2:$L$3000,0)))</f>
        <v/>
      </c>
      <c r="C299" s="24">
        <f>IF(A299="","",CHOOSE(WEEKDAY(B299,2),"Isnin","Selasa","Rabu","Khamis","Jumaat","Sabtu","Ahad"))</f>
        <v/>
      </c>
      <c r="D299" s="25">
        <f>IF(A299="","",COUNTIF(Transaksi!$L$2:$L$3000,A299))</f>
        <v/>
      </c>
      <c r="E299" s="13">
        <f>IF(A299="","",SUMIFS(Transaksi!$G$2:$G$3000,Transaksi!$L$2:$L$3000,A299)+SUMIFS(Transaksi!$H$2:$H$3000,Transaksi!$L$2:$L$3000,A299)+SUMIFS(Transaksi!$I$2:$I$3000,Transaksi!$L$2:$L$3000,A299))</f>
        <v/>
      </c>
      <c r="F299" s="14">
        <f>IF(A299="","",SUMIFS(Transaksi!$J$2:$J$3000,Transaksi!$L$2:$L$3000,A299))</f>
        <v/>
      </c>
      <c r="G299" s="15">
        <f>IF(A299="","",E299-F299)</f>
        <v/>
      </c>
      <c r="H299" s="16">
        <f>IF(A299="","",SUMIFS(Transaksi!$G$2:$G$3000,Transaksi!$L$2:$L$3000,"&lt;="&amp;A299)+SUMIFS(Transaksi!$H$2:$H$3000,Transaksi!$L$2:$L$3000,"&lt;="&amp;A299)+SUMIFS(Transaksi!$I$2:$I$3000,Transaksi!$L$2:$L$3000,"&lt;="&amp;A299)-(SUMIFS(Transaksi!$J$2:$J$3000,Transaksi!$L$2:$L$3000,"&lt;="&amp;A299)))</f>
        <v/>
      </c>
    </row>
    <row r="300">
      <c r="A300" s="22">
        <f>IF(296&lt;=MAX(Transaksi!$L$2:$L$3000),MAX(Transaksi!$L$2:$L$3000)-295,"")</f>
        <v/>
      </c>
      <c r="B300" s="23">
        <f>IF(A300="","",INDEX(Transaksi!$B$2:$B$3000,MATCH(A300,Transaksi!$L$2:$L$3000,0)))</f>
        <v/>
      </c>
      <c r="C300" s="24">
        <f>IF(A300="","",CHOOSE(WEEKDAY(B300,2),"Isnin","Selasa","Rabu","Khamis","Jumaat","Sabtu","Ahad"))</f>
        <v/>
      </c>
      <c r="D300" s="25">
        <f>IF(A300="","",COUNTIF(Transaksi!$L$2:$L$3000,A300))</f>
        <v/>
      </c>
      <c r="E300" s="13">
        <f>IF(A300="","",SUMIFS(Transaksi!$G$2:$G$3000,Transaksi!$L$2:$L$3000,A300)+SUMIFS(Transaksi!$H$2:$H$3000,Transaksi!$L$2:$L$3000,A300)+SUMIFS(Transaksi!$I$2:$I$3000,Transaksi!$L$2:$L$3000,A300))</f>
        <v/>
      </c>
      <c r="F300" s="14">
        <f>IF(A300="","",SUMIFS(Transaksi!$J$2:$J$3000,Transaksi!$L$2:$L$3000,A300))</f>
        <v/>
      </c>
      <c r="G300" s="15">
        <f>IF(A300="","",E300-F300)</f>
        <v/>
      </c>
      <c r="H300" s="16">
        <f>IF(A300="","",SUMIFS(Transaksi!$G$2:$G$3000,Transaksi!$L$2:$L$3000,"&lt;="&amp;A300)+SUMIFS(Transaksi!$H$2:$H$3000,Transaksi!$L$2:$L$3000,"&lt;="&amp;A300)+SUMIFS(Transaksi!$I$2:$I$3000,Transaksi!$L$2:$L$3000,"&lt;="&amp;A300)-(SUMIFS(Transaksi!$J$2:$J$3000,Transaksi!$L$2:$L$3000,"&lt;="&amp;A300)))</f>
        <v/>
      </c>
    </row>
    <row r="301">
      <c r="A301" s="22">
        <f>IF(297&lt;=MAX(Transaksi!$L$2:$L$3000),MAX(Transaksi!$L$2:$L$3000)-296,"")</f>
        <v/>
      </c>
      <c r="B301" s="23">
        <f>IF(A301="","",INDEX(Transaksi!$B$2:$B$3000,MATCH(A301,Transaksi!$L$2:$L$3000,0)))</f>
        <v/>
      </c>
      <c r="C301" s="24">
        <f>IF(A301="","",CHOOSE(WEEKDAY(B301,2),"Isnin","Selasa","Rabu","Khamis","Jumaat","Sabtu","Ahad"))</f>
        <v/>
      </c>
      <c r="D301" s="25">
        <f>IF(A301="","",COUNTIF(Transaksi!$L$2:$L$3000,A301))</f>
        <v/>
      </c>
      <c r="E301" s="13">
        <f>IF(A301="","",SUMIFS(Transaksi!$G$2:$G$3000,Transaksi!$L$2:$L$3000,A301)+SUMIFS(Transaksi!$H$2:$H$3000,Transaksi!$L$2:$L$3000,A301)+SUMIFS(Transaksi!$I$2:$I$3000,Transaksi!$L$2:$L$3000,A301))</f>
        <v/>
      </c>
      <c r="F301" s="14">
        <f>IF(A301="","",SUMIFS(Transaksi!$J$2:$J$3000,Transaksi!$L$2:$L$3000,A301))</f>
        <v/>
      </c>
      <c r="G301" s="15">
        <f>IF(A301="","",E301-F301)</f>
        <v/>
      </c>
      <c r="H301" s="16">
        <f>IF(A301="","",SUMIFS(Transaksi!$G$2:$G$3000,Transaksi!$L$2:$L$3000,"&lt;="&amp;A301)+SUMIFS(Transaksi!$H$2:$H$3000,Transaksi!$L$2:$L$3000,"&lt;="&amp;A301)+SUMIFS(Transaksi!$I$2:$I$3000,Transaksi!$L$2:$L$3000,"&lt;="&amp;A301)-(SUMIFS(Transaksi!$J$2:$J$3000,Transaksi!$L$2:$L$3000,"&lt;="&amp;A301)))</f>
        <v/>
      </c>
    </row>
    <row r="302">
      <c r="A302" s="22">
        <f>IF(298&lt;=MAX(Transaksi!$L$2:$L$3000),MAX(Transaksi!$L$2:$L$3000)-297,"")</f>
        <v/>
      </c>
      <c r="B302" s="23">
        <f>IF(A302="","",INDEX(Transaksi!$B$2:$B$3000,MATCH(A302,Transaksi!$L$2:$L$3000,0)))</f>
        <v/>
      </c>
      <c r="C302" s="24">
        <f>IF(A302="","",CHOOSE(WEEKDAY(B302,2),"Isnin","Selasa","Rabu","Khamis","Jumaat","Sabtu","Ahad"))</f>
        <v/>
      </c>
      <c r="D302" s="25">
        <f>IF(A302="","",COUNTIF(Transaksi!$L$2:$L$3000,A302))</f>
        <v/>
      </c>
      <c r="E302" s="13">
        <f>IF(A302="","",SUMIFS(Transaksi!$G$2:$G$3000,Transaksi!$L$2:$L$3000,A302)+SUMIFS(Transaksi!$H$2:$H$3000,Transaksi!$L$2:$L$3000,A302)+SUMIFS(Transaksi!$I$2:$I$3000,Transaksi!$L$2:$L$3000,A302))</f>
        <v/>
      </c>
      <c r="F302" s="14">
        <f>IF(A302="","",SUMIFS(Transaksi!$J$2:$J$3000,Transaksi!$L$2:$L$3000,A302))</f>
        <v/>
      </c>
      <c r="G302" s="15">
        <f>IF(A302="","",E302-F302)</f>
        <v/>
      </c>
      <c r="H302" s="16">
        <f>IF(A302="","",SUMIFS(Transaksi!$G$2:$G$3000,Transaksi!$L$2:$L$3000,"&lt;="&amp;A302)+SUMIFS(Transaksi!$H$2:$H$3000,Transaksi!$L$2:$L$3000,"&lt;="&amp;A302)+SUMIFS(Transaksi!$I$2:$I$3000,Transaksi!$L$2:$L$3000,"&lt;="&amp;A302)-(SUMIFS(Transaksi!$J$2:$J$3000,Transaksi!$L$2:$L$3000,"&lt;="&amp;A302)))</f>
        <v/>
      </c>
    </row>
    <row r="303">
      <c r="A303" s="22">
        <f>IF(299&lt;=MAX(Transaksi!$L$2:$L$3000),MAX(Transaksi!$L$2:$L$3000)-298,"")</f>
        <v/>
      </c>
      <c r="B303" s="23">
        <f>IF(A303="","",INDEX(Transaksi!$B$2:$B$3000,MATCH(A303,Transaksi!$L$2:$L$3000,0)))</f>
        <v/>
      </c>
      <c r="C303" s="24">
        <f>IF(A303="","",CHOOSE(WEEKDAY(B303,2),"Isnin","Selasa","Rabu","Khamis","Jumaat","Sabtu","Ahad"))</f>
        <v/>
      </c>
      <c r="D303" s="25">
        <f>IF(A303="","",COUNTIF(Transaksi!$L$2:$L$3000,A303))</f>
        <v/>
      </c>
      <c r="E303" s="13">
        <f>IF(A303="","",SUMIFS(Transaksi!$G$2:$G$3000,Transaksi!$L$2:$L$3000,A303)+SUMIFS(Transaksi!$H$2:$H$3000,Transaksi!$L$2:$L$3000,A303)+SUMIFS(Transaksi!$I$2:$I$3000,Transaksi!$L$2:$L$3000,A303))</f>
        <v/>
      </c>
      <c r="F303" s="14">
        <f>IF(A303="","",SUMIFS(Transaksi!$J$2:$J$3000,Transaksi!$L$2:$L$3000,A303))</f>
        <v/>
      </c>
      <c r="G303" s="15">
        <f>IF(A303="","",E303-F303)</f>
        <v/>
      </c>
      <c r="H303" s="16">
        <f>IF(A303="","",SUMIFS(Transaksi!$G$2:$G$3000,Transaksi!$L$2:$L$3000,"&lt;="&amp;A303)+SUMIFS(Transaksi!$H$2:$H$3000,Transaksi!$L$2:$L$3000,"&lt;="&amp;A303)+SUMIFS(Transaksi!$I$2:$I$3000,Transaksi!$L$2:$L$3000,"&lt;="&amp;A303)-(SUMIFS(Transaksi!$J$2:$J$3000,Transaksi!$L$2:$L$3000,"&lt;="&amp;A303)))</f>
        <v/>
      </c>
    </row>
    <row r="304">
      <c r="A304" s="22">
        <f>IF(300&lt;=MAX(Transaksi!$L$2:$L$3000),MAX(Transaksi!$L$2:$L$3000)-299,"")</f>
        <v/>
      </c>
      <c r="B304" s="23">
        <f>IF(A304="","",INDEX(Transaksi!$B$2:$B$3000,MATCH(A304,Transaksi!$L$2:$L$3000,0)))</f>
        <v/>
      </c>
      <c r="C304" s="24">
        <f>IF(A304="","",CHOOSE(WEEKDAY(B304,2),"Isnin","Selasa","Rabu","Khamis","Jumaat","Sabtu","Ahad"))</f>
        <v/>
      </c>
      <c r="D304" s="25">
        <f>IF(A304="","",COUNTIF(Transaksi!$L$2:$L$3000,A304))</f>
        <v/>
      </c>
      <c r="E304" s="13">
        <f>IF(A304="","",SUMIFS(Transaksi!$G$2:$G$3000,Transaksi!$L$2:$L$3000,A304)+SUMIFS(Transaksi!$H$2:$H$3000,Transaksi!$L$2:$L$3000,A304)+SUMIFS(Transaksi!$I$2:$I$3000,Transaksi!$L$2:$L$3000,A304))</f>
        <v/>
      </c>
      <c r="F304" s="14">
        <f>IF(A304="","",SUMIFS(Transaksi!$J$2:$J$3000,Transaksi!$L$2:$L$3000,A304))</f>
        <v/>
      </c>
      <c r="G304" s="15">
        <f>IF(A304="","",E304-F304)</f>
        <v/>
      </c>
      <c r="H304" s="16">
        <f>IF(A304="","",SUMIFS(Transaksi!$G$2:$G$3000,Transaksi!$L$2:$L$3000,"&lt;="&amp;A304)+SUMIFS(Transaksi!$H$2:$H$3000,Transaksi!$L$2:$L$3000,"&lt;="&amp;A304)+SUMIFS(Transaksi!$I$2:$I$3000,Transaksi!$L$2:$L$3000,"&lt;="&amp;A304)-(SUMIFS(Transaksi!$J$2:$J$3000,Transaksi!$L$2:$L$3000,"&lt;="&amp;A304)))</f>
        <v/>
      </c>
    </row>
    <row r="305">
      <c r="A305" s="22">
        <f>IF(301&lt;=MAX(Transaksi!$L$2:$L$3000),MAX(Transaksi!$L$2:$L$3000)-300,"")</f>
        <v/>
      </c>
      <c r="B305" s="23">
        <f>IF(A305="","",INDEX(Transaksi!$B$2:$B$3000,MATCH(A305,Transaksi!$L$2:$L$3000,0)))</f>
        <v/>
      </c>
      <c r="C305" s="24">
        <f>IF(A305="","",CHOOSE(WEEKDAY(B305,2),"Isnin","Selasa","Rabu","Khamis","Jumaat","Sabtu","Ahad"))</f>
        <v/>
      </c>
      <c r="D305" s="25">
        <f>IF(A305="","",COUNTIF(Transaksi!$L$2:$L$3000,A305))</f>
        <v/>
      </c>
      <c r="E305" s="13">
        <f>IF(A305="","",SUMIFS(Transaksi!$G$2:$G$3000,Transaksi!$L$2:$L$3000,A305)+SUMIFS(Transaksi!$H$2:$H$3000,Transaksi!$L$2:$L$3000,A305)+SUMIFS(Transaksi!$I$2:$I$3000,Transaksi!$L$2:$L$3000,A305))</f>
        <v/>
      </c>
      <c r="F305" s="14">
        <f>IF(A305="","",SUMIFS(Transaksi!$J$2:$J$3000,Transaksi!$L$2:$L$3000,A305))</f>
        <v/>
      </c>
      <c r="G305" s="15">
        <f>IF(A305="","",E305-F305)</f>
        <v/>
      </c>
      <c r="H305" s="16">
        <f>IF(A305="","",SUMIFS(Transaksi!$G$2:$G$3000,Transaksi!$L$2:$L$3000,"&lt;="&amp;A305)+SUMIFS(Transaksi!$H$2:$H$3000,Transaksi!$L$2:$L$3000,"&lt;="&amp;A305)+SUMIFS(Transaksi!$I$2:$I$3000,Transaksi!$L$2:$L$3000,"&lt;="&amp;A305)-(SUMIFS(Transaksi!$J$2:$J$3000,Transaksi!$L$2:$L$3000,"&lt;="&amp;A305)))</f>
        <v/>
      </c>
    </row>
    <row r="306">
      <c r="A306" s="22">
        <f>IF(302&lt;=MAX(Transaksi!$L$2:$L$3000),MAX(Transaksi!$L$2:$L$3000)-301,"")</f>
        <v/>
      </c>
      <c r="B306" s="23">
        <f>IF(A306="","",INDEX(Transaksi!$B$2:$B$3000,MATCH(A306,Transaksi!$L$2:$L$3000,0)))</f>
        <v/>
      </c>
      <c r="C306" s="24">
        <f>IF(A306="","",CHOOSE(WEEKDAY(B306,2),"Isnin","Selasa","Rabu","Khamis","Jumaat","Sabtu","Ahad"))</f>
        <v/>
      </c>
      <c r="D306" s="25">
        <f>IF(A306="","",COUNTIF(Transaksi!$L$2:$L$3000,A306))</f>
        <v/>
      </c>
      <c r="E306" s="13">
        <f>IF(A306="","",SUMIFS(Transaksi!$G$2:$G$3000,Transaksi!$L$2:$L$3000,A306)+SUMIFS(Transaksi!$H$2:$H$3000,Transaksi!$L$2:$L$3000,A306)+SUMIFS(Transaksi!$I$2:$I$3000,Transaksi!$L$2:$L$3000,A306))</f>
        <v/>
      </c>
      <c r="F306" s="14">
        <f>IF(A306="","",SUMIFS(Transaksi!$J$2:$J$3000,Transaksi!$L$2:$L$3000,A306))</f>
        <v/>
      </c>
      <c r="G306" s="15">
        <f>IF(A306="","",E306-F306)</f>
        <v/>
      </c>
      <c r="H306" s="16">
        <f>IF(A306="","",SUMIFS(Transaksi!$G$2:$G$3000,Transaksi!$L$2:$L$3000,"&lt;="&amp;A306)+SUMIFS(Transaksi!$H$2:$H$3000,Transaksi!$L$2:$L$3000,"&lt;="&amp;A306)+SUMIFS(Transaksi!$I$2:$I$3000,Transaksi!$L$2:$L$3000,"&lt;="&amp;A306)-(SUMIFS(Transaksi!$J$2:$J$3000,Transaksi!$L$2:$L$3000,"&lt;="&amp;A306)))</f>
        <v/>
      </c>
    </row>
    <row r="307">
      <c r="A307" s="22">
        <f>IF(303&lt;=MAX(Transaksi!$L$2:$L$3000),MAX(Transaksi!$L$2:$L$3000)-302,"")</f>
        <v/>
      </c>
      <c r="B307" s="23">
        <f>IF(A307="","",INDEX(Transaksi!$B$2:$B$3000,MATCH(A307,Transaksi!$L$2:$L$3000,0)))</f>
        <v/>
      </c>
      <c r="C307" s="24">
        <f>IF(A307="","",CHOOSE(WEEKDAY(B307,2),"Isnin","Selasa","Rabu","Khamis","Jumaat","Sabtu","Ahad"))</f>
        <v/>
      </c>
      <c r="D307" s="25">
        <f>IF(A307="","",COUNTIF(Transaksi!$L$2:$L$3000,A307))</f>
        <v/>
      </c>
      <c r="E307" s="13">
        <f>IF(A307="","",SUMIFS(Transaksi!$G$2:$G$3000,Transaksi!$L$2:$L$3000,A307)+SUMIFS(Transaksi!$H$2:$H$3000,Transaksi!$L$2:$L$3000,A307)+SUMIFS(Transaksi!$I$2:$I$3000,Transaksi!$L$2:$L$3000,A307))</f>
        <v/>
      </c>
      <c r="F307" s="14">
        <f>IF(A307="","",SUMIFS(Transaksi!$J$2:$J$3000,Transaksi!$L$2:$L$3000,A307))</f>
        <v/>
      </c>
      <c r="G307" s="15">
        <f>IF(A307="","",E307-F307)</f>
        <v/>
      </c>
      <c r="H307" s="16">
        <f>IF(A307="","",SUMIFS(Transaksi!$G$2:$G$3000,Transaksi!$L$2:$L$3000,"&lt;="&amp;A307)+SUMIFS(Transaksi!$H$2:$H$3000,Transaksi!$L$2:$L$3000,"&lt;="&amp;A307)+SUMIFS(Transaksi!$I$2:$I$3000,Transaksi!$L$2:$L$3000,"&lt;="&amp;A307)-(SUMIFS(Transaksi!$J$2:$J$3000,Transaksi!$L$2:$L$3000,"&lt;="&amp;A307)))</f>
        <v/>
      </c>
    </row>
    <row r="308">
      <c r="A308" s="22">
        <f>IF(304&lt;=MAX(Transaksi!$L$2:$L$3000),MAX(Transaksi!$L$2:$L$3000)-303,"")</f>
        <v/>
      </c>
      <c r="B308" s="23">
        <f>IF(A308="","",INDEX(Transaksi!$B$2:$B$3000,MATCH(A308,Transaksi!$L$2:$L$3000,0)))</f>
        <v/>
      </c>
      <c r="C308" s="24">
        <f>IF(A308="","",CHOOSE(WEEKDAY(B308,2),"Isnin","Selasa","Rabu","Khamis","Jumaat","Sabtu","Ahad"))</f>
        <v/>
      </c>
      <c r="D308" s="25">
        <f>IF(A308="","",COUNTIF(Transaksi!$L$2:$L$3000,A308))</f>
        <v/>
      </c>
      <c r="E308" s="13">
        <f>IF(A308="","",SUMIFS(Transaksi!$G$2:$G$3000,Transaksi!$L$2:$L$3000,A308)+SUMIFS(Transaksi!$H$2:$H$3000,Transaksi!$L$2:$L$3000,A308)+SUMIFS(Transaksi!$I$2:$I$3000,Transaksi!$L$2:$L$3000,A308))</f>
        <v/>
      </c>
      <c r="F308" s="14">
        <f>IF(A308="","",SUMIFS(Transaksi!$J$2:$J$3000,Transaksi!$L$2:$L$3000,A308))</f>
        <v/>
      </c>
      <c r="G308" s="15">
        <f>IF(A308="","",E308-F308)</f>
        <v/>
      </c>
      <c r="H308" s="16">
        <f>IF(A308="","",SUMIFS(Transaksi!$G$2:$G$3000,Transaksi!$L$2:$L$3000,"&lt;="&amp;A308)+SUMIFS(Transaksi!$H$2:$H$3000,Transaksi!$L$2:$L$3000,"&lt;="&amp;A308)+SUMIFS(Transaksi!$I$2:$I$3000,Transaksi!$L$2:$L$3000,"&lt;="&amp;A308)-(SUMIFS(Transaksi!$J$2:$J$3000,Transaksi!$L$2:$L$3000,"&lt;="&amp;A308)))</f>
        <v/>
      </c>
    </row>
    <row r="309">
      <c r="A309" s="22">
        <f>IF(305&lt;=MAX(Transaksi!$L$2:$L$3000),MAX(Transaksi!$L$2:$L$3000)-304,"")</f>
        <v/>
      </c>
      <c r="B309" s="23">
        <f>IF(A309="","",INDEX(Transaksi!$B$2:$B$3000,MATCH(A309,Transaksi!$L$2:$L$3000,0)))</f>
        <v/>
      </c>
      <c r="C309" s="24">
        <f>IF(A309="","",CHOOSE(WEEKDAY(B309,2),"Isnin","Selasa","Rabu","Khamis","Jumaat","Sabtu","Ahad"))</f>
        <v/>
      </c>
      <c r="D309" s="25">
        <f>IF(A309="","",COUNTIF(Transaksi!$L$2:$L$3000,A309))</f>
        <v/>
      </c>
      <c r="E309" s="13">
        <f>IF(A309="","",SUMIFS(Transaksi!$G$2:$G$3000,Transaksi!$L$2:$L$3000,A309)+SUMIFS(Transaksi!$H$2:$H$3000,Transaksi!$L$2:$L$3000,A309)+SUMIFS(Transaksi!$I$2:$I$3000,Transaksi!$L$2:$L$3000,A309))</f>
        <v/>
      </c>
      <c r="F309" s="14">
        <f>IF(A309="","",SUMIFS(Transaksi!$J$2:$J$3000,Transaksi!$L$2:$L$3000,A309))</f>
        <v/>
      </c>
      <c r="G309" s="15">
        <f>IF(A309="","",E309-F309)</f>
        <v/>
      </c>
      <c r="H309" s="16">
        <f>IF(A309="","",SUMIFS(Transaksi!$G$2:$G$3000,Transaksi!$L$2:$L$3000,"&lt;="&amp;A309)+SUMIFS(Transaksi!$H$2:$H$3000,Transaksi!$L$2:$L$3000,"&lt;="&amp;A309)+SUMIFS(Transaksi!$I$2:$I$3000,Transaksi!$L$2:$L$3000,"&lt;="&amp;A309)-(SUMIFS(Transaksi!$J$2:$J$3000,Transaksi!$L$2:$L$3000,"&lt;="&amp;A309)))</f>
        <v/>
      </c>
    </row>
    <row r="310">
      <c r="A310" s="22">
        <f>IF(306&lt;=MAX(Transaksi!$L$2:$L$3000),MAX(Transaksi!$L$2:$L$3000)-305,"")</f>
        <v/>
      </c>
      <c r="B310" s="23">
        <f>IF(A310="","",INDEX(Transaksi!$B$2:$B$3000,MATCH(A310,Transaksi!$L$2:$L$3000,0)))</f>
        <v/>
      </c>
      <c r="C310" s="24">
        <f>IF(A310="","",CHOOSE(WEEKDAY(B310,2),"Isnin","Selasa","Rabu","Khamis","Jumaat","Sabtu","Ahad"))</f>
        <v/>
      </c>
      <c r="D310" s="25">
        <f>IF(A310="","",COUNTIF(Transaksi!$L$2:$L$3000,A310))</f>
        <v/>
      </c>
      <c r="E310" s="13">
        <f>IF(A310="","",SUMIFS(Transaksi!$G$2:$G$3000,Transaksi!$L$2:$L$3000,A310)+SUMIFS(Transaksi!$H$2:$H$3000,Transaksi!$L$2:$L$3000,A310)+SUMIFS(Transaksi!$I$2:$I$3000,Transaksi!$L$2:$L$3000,A310))</f>
        <v/>
      </c>
      <c r="F310" s="14">
        <f>IF(A310="","",SUMIFS(Transaksi!$J$2:$J$3000,Transaksi!$L$2:$L$3000,A310))</f>
        <v/>
      </c>
      <c r="G310" s="15">
        <f>IF(A310="","",E310-F310)</f>
        <v/>
      </c>
      <c r="H310" s="16">
        <f>IF(A310="","",SUMIFS(Transaksi!$G$2:$G$3000,Transaksi!$L$2:$L$3000,"&lt;="&amp;A310)+SUMIFS(Transaksi!$H$2:$H$3000,Transaksi!$L$2:$L$3000,"&lt;="&amp;A310)+SUMIFS(Transaksi!$I$2:$I$3000,Transaksi!$L$2:$L$3000,"&lt;="&amp;A310)-(SUMIFS(Transaksi!$J$2:$J$3000,Transaksi!$L$2:$L$3000,"&lt;="&amp;A310)))</f>
        <v/>
      </c>
    </row>
    <row r="311">
      <c r="A311" s="22">
        <f>IF(307&lt;=MAX(Transaksi!$L$2:$L$3000),MAX(Transaksi!$L$2:$L$3000)-306,"")</f>
        <v/>
      </c>
      <c r="B311" s="23">
        <f>IF(A311="","",INDEX(Transaksi!$B$2:$B$3000,MATCH(A311,Transaksi!$L$2:$L$3000,0)))</f>
        <v/>
      </c>
      <c r="C311" s="24">
        <f>IF(A311="","",CHOOSE(WEEKDAY(B311,2),"Isnin","Selasa","Rabu","Khamis","Jumaat","Sabtu","Ahad"))</f>
        <v/>
      </c>
      <c r="D311" s="25">
        <f>IF(A311="","",COUNTIF(Transaksi!$L$2:$L$3000,A311))</f>
        <v/>
      </c>
      <c r="E311" s="13">
        <f>IF(A311="","",SUMIFS(Transaksi!$G$2:$G$3000,Transaksi!$L$2:$L$3000,A311)+SUMIFS(Transaksi!$H$2:$H$3000,Transaksi!$L$2:$L$3000,A311)+SUMIFS(Transaksi!$I$2:$I$3000,Transaksi!$L$2:$L$3000,A311))</f>
        <v/>
      </c>
      <c r="F311" s="14">
        <f>IF(A311="","",SUMIFS(Transaksi!$J$2:$J$3000,Transaksi!$L$2:$L$3000,A311))</f>
        <v/>
      </c>
      <c r="G311" s="15">
        <f>IF(A311="","",E311-F311)</f>
        <v/>
      </c>
      <c r="H311" s="16">
        <f>IF(A311="","",SUMIFS(Transaksi!$G$2:$G$3000,Transaksi!$L$2:$L$3000,"&lt;="&amp;A311)+SUMIFS(Transaksi!$H$2:$H$3000,Transaksi!$L$2:$L$3000,"&lt;="&amp;A311)+SUMIFS(Transaksi!$I$2:$I$3000,Transaksi!$L$2:$L$3000,"&lt;="&amp;A311)-(SUMIFS(Transaksi!$J$2:$J$3000,Transaksi!$L$2:$L$3000,"&lt;="&amp;A311)))</f>
        <v/>
      </c>
    </row>
    <row r="312">
      <c r="A312" s="22">
        <f>IF(308&lt;=MAX(Transaksi!$L$2:$L$3000),MAX(Transaksi!$L$2:$L$3000)-307,"")</f>
        <v/>
      </c>
      <c r="B312" s="23">
        <f>IF(A312="","",INDEX(Transaksi!$B$2:$B$3000,MATCH(A312,Transaksi!$L$2:$L$3000,0)))</f>
        <v/>
      </c>
      <c r="C312" s="24">
        <f>IF(A312="","",CHOOSE(WEEKDAY(B312,2),"Isnin","Selasa","Rabu","Khamis","Jumaat","Sabtu","Ahad"))</f>
        <v/>
      </c>
      <c r="D312" s="25">
        <f>IF(A312="","",COUNTIF(Transaksi!$L$2:$L$3000,A312))</f>
        <v/>
      </c>
      <c r="E312" s="13">
        <f>IF(A312="","",SUMIFS(Transaksi!$G$2:$G$3000,Transaksi!$L$2:$L$3000,A312)+SUMIFS(Transaksi!$H$2:$H$3000,Transaksi!$L$2:$L$3000,A312)+SUMIFS(Transaksi!$I$2:$I$3000,Transaksi!$L$2:$L$3000,A312))</f>
        <v/>
      </c>
      <c r="F312" s="14">
        <f>IF(A312="","",SUMIFS(Transaksi!$J$2:$J$3000,Transaksi!$L$2:$L$3000,A312))</f>
        <v/>
      </c>
      <c r="G312" s="15">
        <f>IF(A312="","",E312-F312)</f>
        <v/>
      </c>
      <c r="H312" s="16">
        <f>IF(A312="","",SUMIFS(Transaksi!$G$2:$G$3000,Transaksi!$L$2:$L$3000,"&lt;="&amp;A312)+SUMIFS(Transaksi!$H$2:$H$3000,Transaksi!$L$2:$L$3000,"&lt;="&amp;A312)+SUMIFS(Transaksi!$I$2:$I$3000,Transaksi!$L$2:$L$3000,"&lt;="&amp;A312)-(SUMIFS(Transaksi!$J$2:$J$3000,Transaksi!$L$2:$L$3000,"&lt;="&amp;A312)))</f>
        <v/>
      </c>
    </row>
    <row r="313">
      <c r="A313" s="22">
        <f>IF(309&lt;=MAX(Transaksi!$L$2:$L$3000),MAX(Transaksi!$L$2:$L$3000)-308,"")</f>
        <v/>
      </c>
      <c r="B313" s="23">
        <f>IF(A313="","",INDEX(Transaksi!$B$2:$B$3000,MATCH(A313,Transaksi!$L$2:$L$3000,0)))</f>
        <v/>
      </c>
      <c r="C313" s="24">
        <f>IF(A313="","",CHOOSE(WEEKDAY(B313,2),"Isnin","Selasa","Rabu","Khamis","Jumaat","Sabtu","Ahad"))</f>
        <v/>
      </c>
      <c r="D313" s="25">
        <f>IF(A313="","",COUNTIF(Transaksi!$L$2:$L$3000,A313))</f>
        <v/>
      </c>
      <c r="E313" s="13">
        <f>IF(A313="","",SUMIFS(Transaksi!$G$2:$G$3000,Transaksi!$L$2:$L$3000,A313)+SUMIFS(Transaksi!$H$2:$H$3000,Transaksi!$L$2:$L$3000,A313)+SUMIFS(Transaksi!$I$2:$I$3000,Transaksi!$L$2:$L$3000,A313))</f>
        <v/>
      </c>
      <c r="F313" s="14">
        <f>IF(A313="","",SUMIFS(Transaksi!$J$2:$J$3000,Transaksi!$L$2:$L$3000,A313))</f>
        <v/>
      </c>
      <c r="G313" s="15">
        <f>IF(A313="","",E313-F313)</f>
        <v/>
      </c>
      <c r="H313" s="16">
        <f>IF(A313="","",SUMIFS(Transaksi!$G$2:$G$3000,Transaksi!$L$2:$L$3000,"&lt;="&amp;A313)+SUMIFS(Transaksi!$H$2:$H$3000,Transaksi!$L$2:$L$3000,"&lt;="&amp;A313)+SUMIFS(Transaksi!$I$2:$I$3000,Transaksi!$L$2:$L$3000,"&lt;="&amp;A313)-(SUMIFS(Transaksi!$J$2:$J$3000,Transaksi!$L$2:$L$3000,"&lt;="&amp;A313)))</f>
        <v/>
      </c>
    </row>
    <row r="314">
      <c r="A314" s="22">
        <f>IF(310&lt;=MAX(Transaksi!$L$2:$L$3000),MAX(Transaksi!$L$2:$L$3000)-309,"")</f>
        <v/>
      </c>
      <c r="B314" s="23">
        <f>IF(A314="","",INDEX(Transaksi!$B$2:$B$3000,MATCH(A314,Transaksi!$L$2:$L$3000,0)))</f>
        <v/>
      </c>
      <c r="C314" s="24">
        <f>IF(A314="","",CHOOSE(WEEKDAY(B314,2),"Isnin","Selasa","Rabu","Khamis","Jumaat","Sabtu","Ahad"))</f>
        <v/>
      </c>
      <c r="D314" s="25">
        <f>IF(A314="","",COUNTIF(Transaksi!$L$2:$L$3000,A314))</f>
        <v/>
      </c>
      <c r="E314" s="13">
        <f>IF(A314="","",SUMIFS(Transaksi!$G$2:$G$3000,Transaksi!$L$2:$L$3000,A314)+SUMIFS(Transaksi!$H$2:$H$3000,Transaksi!$L$2:$L$3000,A314)+SUMIFS(Transaksi!$I$2:$I$3000,Transaksi!$L$2:$L$3000,A314))</f>
        <v/>
      </c>
      <c r="F314" s="14">
        <f>IF(A314="","",SUMIFS(Transaksi!$J$2:$J$3000,Transaksi!$L$2:$L$3000,A314))</f>
        <v/>
      </c>
      <c r="G314" s="15">
        <f>IF(A314="","",E314-F314)</f>
        <v/>
      </c>
      <c r="H314" s="16">
        <f>IF(A314="","",SUMIFS(Transaksi!$G$2:$G$3000,Transaksi!$L$2:$L$3000,"&lt;="&amp;A314)+SUMIFS(Transaksi!$H$2:$H$3000,Transaksi!$L$2:$L$3000,"&lt;="&amp;A314)+SUMIFS(Transaksi!$I$2:$I$3000,Transaksi!$L$2:$L$3000,"&lt;="&amp;A314)-(SUMIFS(Transaksi!$J$2:$J$3000,Transaksi!$L$2:$L$3000,"&lt;="&amp;A314)))</f>
        <v/>
      </c>
    </row>
    <row r="315">
      <c r="A315" s="22">
        <f>IF(311&lt;=MAX(Transaksi!$L$2:$L$3000),MAX(Transaksi!$L$2:$L$3000)-310,"")</f>
        <v/>
      </c>
      <c r="B315" s="23">
        <f>IF(A315="","",INDEX(Transaksi!$B$2:$B$3000,MATCH(A315,Transaksi!$L$2:$L$3000,0)))</f>
        <v/>
      </c>
      <c r="C315" s="24">
        <f>IF(A315="","",CHOOSE(WEEKDAY(B315,2),"Isnin","Selasa","Rabu","Khamis","Jumaat","Sabtu","Ahad"))</f>
        <v/>
      </c>
      <c r="D315" s="25">
        <f>IF(A315="","",COUNTIF(Transaksi!$L$2:$L$3000,A315))</f>
        <v/>
      </c>
      <c r="E315" s="13">
        <f>IF(A315="","",SUMIFS(Transaksi!$G$2:$G$3000,Transaksi!$L$2:$L$3000,A315)+SUMIFS(Transaksi!$H$2:$H$3000,Transaksi!$L$2:$L$3000,A315)+SUMIFS(Transaksi!$I$2:$I$3000,Transaksi!$L$2:$L$3000,A315))</f>
        <v/>
      </c>
      <c r="F315" s="14">
        <f>IF(A315="","",SUMIFS(Transaksi!$J$2:$J$3000,Transaksi!$L$2:$L$3000,A315))</f>
        <v/>
      </c>
      <c r="G315" s="15">
        <f>IF(A315="","",E315-F315)</f>
        <v/>
      </c>
      <c r="H315" s="16">
        <f>IF(A315="","",SUMIFS(Transaksi!$G$2:$G$3000,Transaksi!$L$2:$L$3000,"&lt;="&amp;A315)+SUMIFS(Transaksi!$H$2:$H$3000,Transaksi!$L$2:$L$3000,"&lt;="&amp;A315)+SUMIFS(Transaksi!$I$2:$I$3000,Transaksi!$L$2:$L$3000,"&lt;="&amp;A315)-(SUMIFS(Transaksi!$J$2:$J$3000,Transaksi!$L$2:$L$3000,"&lt;="&amp;A315)))</f>
        <v/>
      </c>
    </row>
    <row r="316">
      <c r="A316" s="22">
        <f>IF(312&lt;=MAX(Transaksi!$L$2:$L$3000),MAX(Transaksi!$L$2:$L$3000)-311,"")</f>
        <v/>
      </c>
      <c r="B316" s="23">
        <f>IF(A316="","",INDEX(Transaksi!$B$2:$B$3000,MATCH(A316,Transaksi!$L$2:$L$3000,0)))</f>
        <v/>
      </c>
      <c r="C316" s="24">
        <f>IF(A316="","",CHOOSE(WEEKDAY(B316,2),"Isnin","Selasa","Rabu","Khamis","Jumaat","Sabtu","Ahad"))</f>
        <v/>
      </c>
      <c r="D316" s="25">
        <f>IF(A316="","",COUNTIF(Transaksi!$L$2:$L$3000,A316))</f>
        <v/>
      </c>
      <c r="E316" s="13">
        <f>IF(A316="","",SUMIFS(Transaksi!$G$2:$G$3000,Transaksi!$L$2:$L$3000,A316)+SUMIFS(Transaksi!$H$2:$H$3000,Transaksi!$L$2:$L$3000,A316)+SUMIFS(Transaksi!$I$2:$I$3000,Transaksi!$L$2:$L$3000,A316))</f>
        <v/>
      </c>
      <c r="F316" s="14">
        <f>IF(A316="","",SUMIFS(Transaksi!$J$2:$J$3000,Transaksi!$L$2:$L$3000,A316))</f>
        <v/>
      </c>
      <c r="G316" s="15">
        <f>IF(A316="","",E316-F316)</f>
        <v/>
      </c>
      <c r="H316" s="16">
        <f>IF(A316="","",SUMIFS(Transaksi!$G$2:$G$3000,Transaksi!$L$2:$L$3000,"&lt;="&amp;A316)+SUMIFS(Transaksi!$H$2:$H$3000,Transaksi!$L$2:$L$3000,"&lt;="&amp;A316)+SUMIFS(Transaksi!$I$2:$I$3000,Transaksi!$L$2:$L$3000,"&lt;="&amp;A316)-(SUMIFS(Transaksi!$J$2:$J$3000,Transaksi!$L$2:$L$3000,"&lt;="&amp;A316)))</f>
        <v/>
      </c>
    </row>
    <row r="317">
      <c r="A317" s="22">
        <f>IF(313&lt;=MAX(Transaksi!$L$2:$L$3000),MAX(Transaksi!$L$2:$L$3000)-312,"")</f>
        <v/>
      </c>
      <c r="B317" s="23">
        <f>IF(A317="","",INDEX(Transaksi!$B$2:$B$3000,MATCH(A317,Transaksi!$L$2:$L$3000,0)))</f>
        <v/>
      </c>
      <c r="C317" s="24">
        <f>IF(A317="","",CHOOSE(WEEKDAY(B317,2),"Isnin","Selasa","Rabu","Khamis","Jumaat","Sabtu","Ahad"))</f>
        <v/>
      </c>
      <c r="D317" s="25">
        <f>IF(A317="","",COUNTIF(Transaksi!$L$2:$L$3000,A317))</f>
        <v/>
      </c>
      <c r="E317" s="13">
        <f>IF(A317="","",SUMIFS(Transaksi!$G$2:$G$3000,Transaksi!$L$2:$L$3000,A317)+SUMIFS(Transaksi!$H$2:$H$3000,Transaksi!$L$2:$L$3000,A317)+SUMIFS(Transaksi!$I$2:$I$3000,Transaksi!$L$2:$L$3000,A317))</f>
        <v/>
      </c>
      <c r="F317" s="14">
        <f>IF(A317="","",SUMIFS(Transaksi!$J$2:$J$3000,Transaksi!$L$2:$L$3000,A317))</f>
        <v/>
      </c>
      <c r="G317" s="15">
        <f>IF(A317="","",E317-F317)</f>
        <v/>
      </c>
      <c r="H317" s="16">
        <f>IF(A317="","",SUMIFS(Transaksi!$G$2:$G$3000,Transaksi!$L$2:$L$3000,"&lt;="&amp;A317)+SUMIFS(Transaksi!$H$2:$H$3000,Transaksi!$L$2:$L$3000,"&lt;="&amp;A317)+SUMIFS(Transaksi!$I$2:$I$3000,Transaksi!$L$2:$L$3000,"&lt;="&amp;A317)-(SUMIFS(Transaksi!$J$2:$J$3000,Transaksi!$L$2:$L$3000,"&lt;="&amp;A317)))</f>
        <v/>
      </c>
    </row>
    <row r="318">
      <c r="A318" s="22">
        <f>IF(314&lt;=MAX(Transaksi!$L$2:$L$3000),MAX(Transaksi!$L$2:$L$3000)-313,"")</f>
        <v/>
      </c>
      <c r="B318" s="23">
        <f>IF(A318="","",INDEX(Transaksi!$B$2:$B$3000,MATCH(A318,Transaksi!$L$2:$L$3000,0)))</f>
        <v/>
      </c>
      <c r="C318" s="24">
        <f>IF(A318="","",CHOOSE(WEEKDAY(B318,2),"Isnin","Selasa","Rabu","Khamis","Jumaat","Sabtu","Ahad"))</f>
        <v/>
      </c>
      <c r="D318" s="25">
        <f>IF(A318="","",COUNTIF(Transaksi!$L$2:$L$3000,A318))</f>
        <v/>
      </c>
      <c r="E318" s="13">
        <f>IF(A318="","",SUMIFS(Transaksi!$G$2:$G$3000,Transaksi!$L$2:$L$3000,A318)+SUMIFS(Transaksi!$H$2:$H$3000,Transaksi!$L$2:$L$3000,A318)+SUMIFS(Transaksi!$I$2:$I$3000,Transaksi!$L$2:$L$3000,A318))</f>
        <v/>
      </c>
      <c r="F318" s="14">
        <f>IF(A318="","",SUMIFS(Transaksi!$J$2:$J$3000,Transaksi!$L$2:$L$3000,A318))</f>
        <v/>
      </c>
      <c r="G318" s="15">
        <f>IF(A318="","",E318-F318)</f>
        <v/>
      </c>
      <c r="H318" s="16">
        <f>IF(A318="","",SUMIFS(Transaksi!$G$2:$G$3000,Transaksi!$L$2:$L$3000,"&lt;="&amp;A318)+SUMIFS(Transaksi!$H$2:$H$3000,Transaksi!$L$2:$L$3000,"&lt;="&amp;A318)+SUMIFS(Transaksi!$I$2:$I$3000,Transaksi!$L$2:$L$3000,"&lt;="&amp;A318)-(SUMIFS(Transaksi!$J$2:$J$3000,Transaksi!$L$2:$L$3000,"&lt;="&amp;A318)))</f>
        <v/>
      </c>
    </row>
    <row r="319">
      <c r="A319" s="22">
        <f>IF(315&lt;=MAX(Transaksi!$L$2:$L$3000),MAX(Transaksi!$L$2:$L$3000)-314,"")</f>
        <v/>
      </c>
      <c r="B319" s="23">
        <f>IF(A319="","",INDEX(Transaksi!$B$2:$B$3000,MATCH(A319,Transaksi!$L$2:$L$3000,0)))</f>
        <v/>
      </c>
      <c r="C319" s="24">
        <f>IF(A319="","",CHOOSE(WEEKDAY(B319,2),"Isnin","Selasa","Rabu","Khamis","Jumaat","Sabtu","Ahad"))</f>
        <v/>
      </c>
      <c r="D319" s="25">
        <f>IF(A319="","",COUNTIF(Transaksi!$L$2:$L$3000,A319))</f>
        <v/>
      </c>
      <c r="E319" s="13">
        <f>IF(A319="","",SUMIFS(Transaksi!$G$2:$G$3000,Transaksi!$L$2:$L$3000,A319)+SUMIFS(Transaksi!$H$2:$H$3000,Transaksi!$L$2:$L$3000,A319)+SUMIFS(Transaksi!$I$2:$I$3000,Transaksi!$L$2:$L$3000,A319))</f>
        <v/>
      </c>
      <c r="F319" s="14">
        <f>IF(A319="","",SUMIFS(Transaksi!$J$2:$J$3000,Transaksi!$L$2:$L$3000,A319))</f>
        <v/>
      </c>
      <c r="G319" s="15">
        <f>IF(A319="","",E319-F319)</f>
        <v/>
      </c>
      <c r="H319" s="16">
        <f>IF(A319="","",SUMIFS(Transaksi!$G$2:$G$3000,Transaksi!$L$2:$L$3000,"&lt;="&amp;A319)+SUMIFS(Transaksi!$H$2:$H$3000,Transaksi!$L$2:$L$3000,"&lt;="&amp;A319)+SUMIFS(Transaksi!$I$2:$I$3000,Transaksi!$L$2:$L$3000,"&lt;="&amp;A319)-(SUMIFS(Transaksi!$J$2:$J$3000,Transaksi!$L$2:$L$3000,"&lt;="&amp;A319)))</f>
        <v/>
      </c>
    </row>
    <row r="320">
      <c r="A320" s="22">
        <f>IF(316&lt;=MAX(Transaksi!$L$2:$L$3000),MAX(Transaksi!$L$2:$L$3000)-315,"")</f>
        <v/>
      </c>
      <c r="B320" s="23">
        <f>IF(A320="","",INDEX(Transaksi!$B$2:$B$3000,MATCH(A320,Transaksi!$L$2:$L$3000,0)))</f>
        <v/>
      </c>
      <c r="C320" s="24">
        <f>IF(A320="","",CHOOSE(WEEKDAY(B320,2),"Isnin","Selasa","Rabu","Khamis","Jumaat","Sabtu","Ahad"))</f>
        <v/>
      </c>
      <c r="D320" s="25">
        <f>IF(A320="","",COUNTIF(Transaksi!$L$2:$L$3000,A320))</f>
        <v/>
      </c>
      <c r="E320" s="13">
        <f>IF(A320="","",SUMIFS(Transaksi!$G$2:$G$3000,Transaksi!$L$2:$L$3000,A320)+SUMIFS(Transaksi!$H$2:$H$3000,Transaksi!$L$2:$L$3000,A320)+SUMIFS(Transaksi!$I$2:$I$3000,Transaksi!$L$2:$L$3000,A320))</f>
        <v/>
      </c>
      <c r="F320" s="14">
        <f>IF(A320="","",SUMIFS(Transaksi!$J$2:$J$3000,Transaksi!$L$2:$L$3000,A320))</f>
        <v/>
      </c>
      <c r="G320" s="15">
        <f>IF(A320="","",E320-F320)</f>
        <v/>
      </c>
      <c r="H320" s="16">
        <f>IF(A320="","",SUMIFS(Transaksi!$G$2:$G$3000,Transaksi!$L$2:$L$3000,"&lt;="&amp;A320)+SUMIFS(Transaksi!$H$2:$H$3000,Transaksi!$L$2:$L$3000,"&lt;="&amp;A320)+SUMIFS(Transaksi!$I$2:$I$3000,Transaksi!$L$2:$L$3000,"&lt;="&amp;A320)-(SUMIFS(Transaksi!$J$2:$J$3000,Transaksi!$L$2:$L$3000,"&lt;="&amp;A320)))</f>
        <v/>
      </c>
    </row>
    <row r="321">
      <c r="A321" s="22">
        <f>IF(317&lt;=MAX(Transaksi!$L$2:$L$3000),MAX(Transaksi!$L$2:$L$3000)-316,"")</f>
        <v/>
      </c>
      <c r="B321" s="23">
        <f>IF(A321="","",INDEX(Transaksi!$B$2:$B$3000,MATCH(A321,Transaksi!$L$2:$L$3000,0)))</f>
        <v/>
      </c>
      <c r="C321" s="24">
        <f>IF(A321="","",CHOOSE(WEEKDAY(B321,2),"Isnin","Selasa","Rabu","Khamis","Jumaat","Sabtu","Ahad"))</f>
        <v/>
      </c>
      <c r="D321" s="25">
        <f>IF(A321="","",COUNTIF(Transaksi!$L$2:$L$3000,A321))</f>
        <v/>
      </c>
      <c r="E321" s="13">
        <f>IF(A321="","",SUMIFS(Transaksi!$G$2:$G$3000,Transaksi!$L$2:$L$3000,A321)+SUMIFS(Transaksi!$H$2:$H$3000,Transaksi!$L$2:$L$3000,A321)+SUMIFS(Transaksi!$I$2:$I$3000,Transaksi!$L$2:$L$3000,A321))</f>
        <v/>
      </c>
      <c r="F321" s="14">
        <f>IF(A321="","",SUMIFS(Transaksi!$J$2:$J$3000,Transaksi!$L$2:$L$3000,A321))</f>
        <v/>
      </c>
      <c r="G321" s="15">
        <f>IF(A321="","",E321-F321)</f>
        <v/>
      </c>
      <c r="H321" s="16">
        <f>IF(A321="","",SUMIFS(Transaksi!$G$2:$G$3000,Transaksi!$L$2:$L$3000,"&lt;="&amp;A321)+SUMIFS(Transaksi!$H$2:$H$3000,Transaksi!$L$2:$L$3000,"&lt;="&amp;A321)+SUMIFS(Transaksi!$I$2:$I$3000,Transaksi!$L$2:$L$3000,"&lt;="&amp;A321)-(SUMIFS(Transaksi!$J$2:$J$3000,Transaksi!$L$2:$L$3000,"&lt;="&amp;A321)))</f>
        <v/>
      </c>
    </row>
    <row r="322">
      <c r="A322" s="22">
        <f>IF(318&lt;=MAX(Transaksi!$L$2:$L$3000),MAX(Transaksi!$L$2:$L$3000)-317,"")</f>
        <v/>
      </c>
      <c r="B322" s="23">
        <f>IF(A322="","",INDEX(Transaksi!$B$2:$B$3000,MATCH(A322,Transaksi!$L$2:$L$3000,0)))</f>
        <v/>
      </c>
      <c r="C322" s="24">
        <f>IF(A322="","",CHOOSE(WEEKDAY(B322,2),"Isnin","Selasa","Rabu","Khamis","Jumaat","Sabtu","Ahad"))</f>
        <v/>
      </c>
      <c r="D322" s="25">
        <f>IF(A322="","",COUNTIF(Transaksi!$L$2:$L$3000,A322))</f>
        <v/>
      </c>
      <c r="E322" s="13">
        <f>IF(A322="","",SUMIFS(Transaksi!$G$2:$G$3000,Transaksi!$L$2:$L$3000,A322)+SUMIFS(Transaksi!$H$2:$H$3000,Transaksi!$L$2:$L$3000,A322)+SUMIFS(Transaksi!$I$2:$I$3000,Transaksi!$L$2:$L$3000,A322))</f>
        <v/>
      </c>
      <c r="F322" s="14">
        <f>IF(A322="","",SUMIFS(Transaksi!$J$2:$J$3000,Transaksi!$L$2:$L$3000,A322))</f>
        <v/>
      </c>
      <c r="G322" s="15">
        <f>IF(A322="","",E322-F322)</f>
        <v/>
      </c>
      <c r="H322" s="16">
        <f>IF(A322="","",SUMIFS(Transaksi!$G$2:$G$3000,Transaksi!$L$2:$L$3000,"&lt;="&amp;A322)+SUMIFS(Transaksi!$H$2:$H$3000,Transaksi!$L$2:$L$3000,"&lt;="&amp;A322)+SUMIFS(Transaksi!$I$2:$I$3000,Transaksi!$L$2:$L$3000,"&lt;="&amp;A322)-(SUMIFS(Transaksi!$J$2:$J$3000,Transaksi!$L$2:$L$3000,"&lt;="&amp;A322)))</f>
        <v/>
      </c>
    </row>
    <row r="323">
      <c r="A323" s="22">
        <f>IF(319&lt;=MAX(Transaksi!$L$2:$L$3000),MAX(Transaksi!$L$2:$L$3000)-318,"")</f>
        <v/>
      </c>
      <c r="B323" s="23">
        <f>IF(A323="","",INDEX(Transaksi!$B$2:$B$3000,MATCH(A323,Transaksi!$L$2:$L$3000,0)))</f>
        <v/>
      </c>
      <c r="C323" s="24">
        <f>IF(A323="","",CHOOSE(WEEKDAY(B323,2),"Isnin","Selasa","Rabu","Khamis","Jumaat","Sabtu","Ahad"))</f>
        <v/>
      </c>
      <c r="D323" s="25">
        <f>IF(A323="","",COUNTIF(Transaksi!$L$2:$L$3000,A323))</f>
        <v/>
      </c>
      <c r="E323" s="13">
        <f>IF(A323="","",SUMIFS(Transaksi!$G$2:$G$3000,Transaksi!$L$2:$L$3000,A323)+SUMIFS(Transaksi!$H$2:$H$3000,Transaksi!$L$2:$L$3000,A323)+SUMIFS(Transaksi!$I$2:$I$3000,Transaksi!$L$2:$L$3000,A323))</f>
        <v/>
      </c>
      <c r="F323" s="14">
        <f>IF(A323="","",SUMIFS(Transaksi!$J$2:$J$3000,Transaksi!$L$2:$L$3000,A323))</f>
        <v/>
      </c>
      <c r="G323" s="15">
        <f>IF(A323="","",E323-F323)</f>
        <v/>
      </c>
      <c r="H323" s="16">
        <f>IF(A323="","",SUMIFS(Transaksi!$G$2:$G$3000,Transaksi!$L$2:$L$3000,"&lt;="&amp;A323)+SUMIFS(Transaksi!$H$2:$H$3000,Transaksi!$L$2:$L$3000,"&lt;="&amp;A323)+SUMIFS(Transaksi!$I$2:$I$3000,Transaksi!$L$2:$L$3000,"&lt;="&amp;A323)-(SUMIFS(Transaksi!$J$2:$J$3000,Transaksi!$L$2:$L$3000,"&lt;="&amp;A323)))</f>
        <v/>
      </c>
    </row>
    <row r="324">
      <c r="A324" s="22">
        <f>IF(320&lt;=MAX(Transaksi!$L$2:$L$3000),MAX(Transaksi!$L$2:$L$3000)-319,"")</f>
        <v/>
      </c>
      <c r="B324" s="23">
        <f>IF(A324="","",INDEX(Transaksi!$B$2:$B$3000,MATCH(A324,Transaksi!$L$2:$L$3000,0)))</f>
        <v/>
      </c>
      <c r="C324" s="24">
        <f>IF(A324="","",CHOOSE(WEEKDAY(B324,2),"Isnin","Selasa","Rabu","Khamis","Jumaat","Sabtu","Ahad"))</f>
        <v/>
      </c>
      <c r="D324" s="25">
        <f>IF(A324="","",COUNTIF(Transaksi!$L$2:$L$3000,A324))</f>
        <v/>
      </c>
      <c r="E324" s="13">
        <f>IF(A324="","",SUMIFS(Transaksi!$G$2:$G$3000,Transaksi!$L$2:$L$3000,A324)+SUMIFS(Transaksi!$H$2:$H$3000,Transaksi!$L$2:$L$3000,A324)+SUMIFS(Transaksi!$I$2:$I$3000,Transaksi!$L$2:$L$3000,A324))</f>
        <v/>
      </c>
      <c r="F324" s="14">
        <f>IF(A324="","",SUMIFS(Transaksi!$J$2:$J$3000,Transaksi!$L$2:$L$3000,A324))</f>
        <v/>
      </c>
      <c r="G324" s="15">
        <f>IF(A324="","",E324-F324)</f>
        <v/>
      </c>
      <c r="H324" s="16">
        <f>IF(A324="","",SUMIFS(Transaksi!$G$2:$G$3000,Transaksi!$L$2:$L$3000,"&lt;="&amp;A324)+SUMIFS(Transaksi!$H$2:$H$3000,Transaksi!$L$2:$L$3000,"&lt;="&amp;A324)+SUMIFS(Transaksi!$I$2:$I$3000,Transaksi!$L$2:$L$3000,"&lt;="&amp;A324)-(SUMIFS(Transaksi!$J$2:$J$3000,Transaksi!$L$2:$L$3000,"&lt;="&amp;A324)))</f>
        <v/>
      </c>
    </row>
    <row r="325">
      <c r="A325" s="22">
        <f>IF(321&lt;=MAX(Transaksi!$L$2:$L$3000),MAX(Transaksi!$L$2:$L$3000)-320,"")</f>
        <v/>
      </c>
      <c r="B325" s="23">
        <f>IF(A325="","",INDEX(Transaksi!$B$2:$B$3000,MATCH(A325,Transaksi!$L$2:$L$3000,0)))</f>
        <v/>
      </c>
      <c r="C325" s="24">
        <f>IF(A325="","",CHOOSE(WEEKDAY(B325,2),"Isnin","Selasa","Rabu","Khamis","Jumaat","Sabtu","Ahad"))</f>
        <v/>
      </c>
      <c r="D325" s="25">
        <f>IF(A325="","",COUNTIF(Transaksi!$L$2:$L$3000,A325))</f>
        <v/>
      </c>
      <c r="E325" s="13">
        <f>IF(A325="","",SUMIFS(Transaksi!$G$2:$G$3000,Transaksi!$L$2:$L$3000,A325)+SUMIFS(Transaksi!$H$2:$H$3000,Transaksi!$L$2:$L$3000,A325)+SUMIFS(Transaksi!$I$2:$I$3000,Transaksi!$L$2:$L$3000,A325))</f>
        <v/>
      </c>
      <c r="F325" s="14">
        <f>IF(A325="","",SUMIFS(Transaksi!$J$2:$J$3000,Transaksi!$L$2:$L$3000,A325))</f>
        <v/>
      </c>
      <c r="G325" s="15">
        <f>IF(A325="","",E325-F325)</f>
        <v/>
      </c>
      <c r="H325" s="16">
        <f>IF(A325="","",SUMIFS(Transaksi!$G$2:$G$3000,Transaksi!$L$2:$L$3000,"&lt;="&amp;A325)+SUMIFS(Transaksi!$H$2:$H$3000,Transaksi!$L$2:$L$3000,"&lt;="&amp;A325)+SUMIFS(Transaksi!$I$2:$I$3000,Transaksi!$L$2:$L$3000,"&lt;="&amp;A325)-(SUMIFS(Transaksi!$J$2:$J$3000,Transaksi!$L$2:$L$3000,"&lt;="&amp;A325)))</f>
        <v/>
      </c>
    </row>
    <row r="326">
      <c r="A326" s="22">
        <f>IF(322&lt;=MAX(Transaksi!$L$2:$L$3000),MAX(Transaksi!$L$2:$L$3000)-321,"")</f>
        <v/>
      </c>
      <c r="B326" s="23">
        <f>IF(A326="","",INDEX(Transaksi!$B$2:$B$3000,MATCH(A326,Transaksi!$L$2:$L$3000,0)))</f>
        <v/>
      </c>
      <c r="C326" s="24">
        <f>IF(A326="","",CHOOSE(WEEKDAY(B326,2),"Isnin","Selasa","Rabu","Khamis","Jumaat","Sabtu","Ahad"))</f>
        <v/>
      </c>
      <c r="D326" s="25">
        <f>IF(A326="","",COUNTIF(Transaksi!$L$2:$L$3000,A326))</f>
        <v/>
      </c>
      <c r="E326" s="13">
        <f>IF(A326="","",SUMIFS(Transaksi!$G$2:$G$3000,Transaksi!$L$2:$L$3000,A326)+SUMIFS(Transaksi!$H$2:$H$3000,Transaksi!$L$2:$L$3000,A326)+SUMIFS(Transaksi!$I$2:$I$3000,Transaksi!$L$2:$L$3000,A326))</f>
        <v/>
      </c>
      <c r="F326" s="14">
        <f>IF(A326="","",SUMIFS(Transaksi!$J$2:$J$3000,Transaksi!$L$2:$L$3000,A326))</f>
        <v/>
      </c>
      <c r="G326" s="15">
        <f>IF(A326="","",E326-F326)</f>
        <v/>
      </c>
      <c r="H326" s="16">
        <f>IF(A326="","",SUMIFS(Transaksi!$G$2:$G$3000,Transaksi!$L$2:$L$3000,"&lt;="&amp;A326)+SUMIFS(Transaksi!$H$2:$H$3000,Transaksi!$L$2:$L$3000,"&lt;="&amp;A326)+SUMIFS(Transaksi!$I$2:$I$3000,Transaksi!$L$2:$L$3000,"&lt;="&amp;A326)-(SUMIFS(Transaksi!$J$2:$J$3000,Transaksi!$L$2:$L$3000,"&lt;="&amp;A326)))</f>
        <v/>
      </c>
    </row>
    <row r="327">
      <c r="A327" s="22">
        <f>IF(323&lt;=MAX(Transaksi!$L$2:$L$3000),MAX(Transaksi!$L$2:$L$3000)-322,"")</f>
        <v/>
      </c>
      <c r="B327" s="23">
        <f>IF(A327="","",INDEX(Transaksi!$B$2:$B$3000,MATCH(A327,Transaksi!$L$2:$L$3000,0)))</f>
        <v/>
      </c>
      <c r="C327" s="24">
        <f>IF(A327="","",CHOOSE(WEEKDAY(B327,2),"Isnin","Selasa","Rabu","Khamis","Jumaat","Sabtu","Ahad"))</f>
        <v/>
      </c>
      <c r="D327" s="25">
        <f>IF(A327="","",COUNTIF(Transaksi!$L$2:$L$3000,A327))</f>
        <v/>
      </c>
      <c r="E327" s="13">
        <f>IF(A327="","",SUMIFS(Transaksi!$G$2:$G$3000,Transaksi!$L$2:$L$3000,A327)+SUMIFS(Transaksi!$H$2:$H$3000,Transaksi!$L$2:$L$3000,A327)+SUMIFS(Transaksi!$I$2:$I$3000,Transaksi!$L$2:$L$3000,A327))</f>
        <v/>
      </c>
      <c r="F327" s="14">
        <f>IF(A327="","",SUMIFS(Transaksi!$J$2:$J$3000,Transaksi!$L$2:$L$3000,A327))</f>
        <v/>
      </c>
      <c r="G327" s="15">
        <f>IF(A327="","",E327-F327)</f>
        <v/>
      </c>
      <c r="H327" s="16">
        <f>IF(A327="","",SUMIFS(Transaksi!$G$2:$G$3000,Transaksi!$L$2:$L$3000,"&lt;="&amp;A327)+SUMIFS(Transaksi!$H$2:$H$3000,Transaksi!$L$2:$L$3000,"&lt;="&amp;A327)+SUMIFS(Transaksi!$I$2:$I$3000,Transaksi!$L$2:$L$3000,"&lt;="&amp;A327)-(SUMIFS(Transaksi!$J$2:$J$3000,Transaksi!$L$2:$L$3000,"&lt;="&amp;A327)))</f>
        <v/>
      </c>
    </row>
    <row r="328">
      <c r="A328" s="22">
        <f>IF(324&lt;=MAX(Transaksi!$L$2:$L$3000),MAX(Transaksi!$L$2:$L$3000)-323,"")</f>
        <v/>
      </c>
      <c r="B328" s="23">
        <f>IF(A328="","",INDEX(Transaksi!$B$2:$B$3000,MATCH(A328,Transaksi!$L$2:$L$3000,0)))</f>
        <v/>
      </c>
      <c r="C328" s="24">
        <f>IF(A328="","",CHOOSE(WEEKDAY(B328,2),"Isnin","Selasa","Rabu","Khamis","Jumaat","Sabtu","Ahad"))</f>
        <v/>
      </c>
      <c r="D328" s="25">
        <f>IF(A328="","",COUNTIF(Transaksi!$L$2:$L$3000,A328))</f>
        <v/>
      </c>
      <c r="E328" s="13">
        <f>IF(A328="","",SUMIFS(Transaksi!$G$2:$G$3000,Transaksi!$L$2:$L$3000,A328)+SUMIFS(Transaksi!$H$2:$H$3000,Transaksi!$L$2:$L$3000,A328)+SUMIFS(Transaksi!$I$2:$I$3000,Transaksi!$L$2:$L$3000,A328))</f>
        <v/>
      </c>
      <c r="F328" s="14">
        <f>IF(A328="","",SUMIFS(Transaksi!$J$2:$J$3000,Transaksi!$L$2:$L$3000,A328))</f>
        <v/>
      </c>
      <c r="G328" s="15">
        <f>IF(A328="","",E328-F328)</f>
        <v/>
      </c>
      <c r="H328" s="16">
        <f>IF(A328="","",SUMIFS(Transaksi!$G$2:$G$3000,Transaksi!$L$2:$L$3000,"&lt;="&amp;A328)+SUMIFS(Transaksi!$H$2:$H$3000,Transaksi!$L$2:$L$3000,"&lt;="&amp;A328)+SUMIFS(Transaksi!$I$2:$I$3000,Transaksi!$L$2:$L$3000,"&lt;="&amp;A328)-(SUMIFS(Transaksi!$J$2:$J$3000,Transaksi!$L$2:$L$3000,"&lt;="&amp;A328)))</f>
        <v/>
      </c>
    </row>
    <row r="329">
      <c r="A329" s="22">
        <f>IF(325&lt;=MAX(Transaksi!$L$2:$L$3000),MAX(Transaksi!$L$2:$L$3000)-324,"")</f>
        <v/>
      </c>
      <c r="B329" s="23">
        <f>IF(A329="","",INDEX(Transaksi!$B$2:$B$3000,MATCH(A329,Transaksi!$L$2:$L$3000,0)))</f>
        <v/>
      </c>
      <c r="C329" s="24">
        <f>IF(A329="","",CHOOSE(WEEKDAY(B329,2),"Isnin","Selasa","Rabu","Khamis","Jumaat","Sabtu","Ahad"))</f>
        <v/>
      </c>
      <c r="D329" s="25">
        <f>IF(A329="","",COUNTIF(Transaksi!$L$2:$L$3000,A329))</f>
        <v/>
      </c>
      <c r="E329" s="13">
        <f>IF(A329="","",SUMIFS(Transaksi!$G$2:$G$3000,Transaksi!$L$2:$L$3000,A329)+SUMIFS(Transaksi!$H$2:$H$3000,Transaksi!$L$2:$L$3000,A329)+SUMIFS(Transaksi!$I$2:$I$3000,Transaksi!$L$2:$L$3000,A329))</f>
        <v/>
      </c>
      <c r="F329" s="14">
        <f>IF(A329="","",SUMIFS(Transaksi!$J$2:$J$3000,Transaksi!$L$2:$L$3000,A329))</f>
        <v/>
      </c>
      <c r="G329" s="15">
        <f>IF(A329="","",E329-F329)</f>
        <v/>
      </c>
      <c r="H329" s="16">
        <f>IF(A329="","",SUMIFS(Transaksi!$G$2:$G$3000,Transaksi!$L$2:$L$3000,"&lt;="&amp;A329)+SUMIFS(Transaksi!$H$2:$H$3000,Transaksi!$L$2:$L$3000,"&lt;="&amp;A329)+SUMIFS(Transaksi!$I$2:$I$3000,Transaksi!$L$2:$L$3000,"&lt;="&amp;A329)-(SUMIFS(Transaksi!$J$2:$J$3000,Transaksi!$L$2:$L$3000,"&lt;="&amp;A329)))</f>
        <v/>
      </c>
    </row>
    <row r="330">
      <c r="A330" s="22">
        <f>IF(326&lt;=MAX(Transaksi!$L$2:$L$3000),MAX(Transaksi!$L$2:$L$3000)-325,"")</f>
        <v/>
      </c>
      <c r="B330" s="23">
        <f>IF(A330="","",INDEX(Transaksi!$B$2:$B$3000,MATCH(A330,Transaksi!$L$2:$L$3000,0)))</f>
        <v/>
      </c>
      <c r="C330" s="24">
        <f>IF(A330="","",CHOOSE(WEEKDAY(B330,2),"Isnin","Selasa","Rabu","Khamis","Jumaat","Sabtu","Ahad"))</f>
        <v/>
      </c>
      <c r="D330" s="25">
        <f>IF(A330="","",COUNTIF(Transaksi!$L$2:$L$3000,A330))</f>
        <v/>
      </c>
      <c r="E330" s="13">
        <f>IF(A330="","",SUMIFS(Transaksi!$G$2:$G$3000,Transaksi!$L$2:$L$3000,A330)+SUMIFS(Transaksi!$H$2:$H$3000,Transaksi!$L$2:$L$3000,A330)+SUMIFS(Transaksi!$I$2:$I$3000,Transaksi!$L$2:$L$3000,A330))</f>
        <v/>
      </c>
      <c r="F330" s="14">
        <f>IF(A330="","",SUMIFS(Transaksi!$J$2:$J$3000,Transaksi!$L$2:$L$3000,A330))</f>
        <v/>
      </c>
      <c r="G330" s="15">
        <f>IF(A330="","",E330-F330)</f>
        <v/>
      </c>
      <c r="H330" s="16">
        <f>IF(A330="","",SUMIFS(Transaksi!$G$2:$G$3000,Transaksi!$L$2:$L$3000,"&lt;="&amp;A330)+SUMIFS(Transaksi!$H$2:$H$3000,Transaksi!$L$2:$L$3000,"&lt;="&amp;A330)+SUMIFS(Transaksi!$I$2:$I$3000,Transaksi!$L$2:$L$3000,"&lt;="&amp;A330)-(SUMIFS(Transaksi!$J$2:$J$3000,Transaksi!$L$2:$L$3000,"&lt;="&amp;A330)))</f>
        <v/>
      </c>
    </row>
    <row r="331">
      <c r="A331" s="22">
        <f>IF(327&lt;=MAX(Transaksi!$L$2:$L$3000),MAX(Transaksi!$L$2:$L$3000)-326,"")</f>
        <v/>
      </c>
      <c r="B331" s="23">
        <f>IF(A331="","",INDEX(Transaksi!$B$2:$B$3000,MATCH(A331,Transaksi!$L$2:$L$3000,0)))</f>
        <v/>
      </c>
      <c r="C331" s="24">
        <f>IF(A331="","",CHOOSE(WEEKDAY(B331,2),"Isnin","Selasa","Rabu","Khamis","Jumaat","Sabtu","Ahad"))</f>
        <v/>
      </c>
      <c r="D331" s="25">
        <f>IF(A331="","",COUNTIF(Transaksi!$L$2:$L$3000,A331))</f>
        <v/>
      </c>
      <c r="E331" s="13">
        <f>IF(A331="","",SUMIFS(Transaksi!$G$2:$G$3000,Transaksi!$L$2:$L$3000,A331)+SUMIFS(Transaksi!$H$2:$H$3000,Transaksi!$L$2:$L$3000,A331)+SUMIFS(Transaksi!$I$2:$I$3000,Transaksi!$L$2:$L$3000,A331))</f>
        <v/>
      </c>
      <c r="F331" s="14">
        <f>IF(A331="","",SUMIFS(Transaksi!$J$2:$J$3000,Transaksi!$L$2:$L$3000,A331))</f>
        <v/>
      </c>
      <c r="G331" s="15">
        <f>IF(A331="","",E331-F331)</f>
        <v/>
      </c>
      <c r="H331" s="16">
        <f>IF(A331="","",SUMIFS(Transaksi!$G$2:$G$3000,Transaksi!$L$2:$L$3000,"&lt;="&amp;A331)+SUMIFS(Transaksi!$H$2:$H$3000,Transaksi!$L$2:$L$3000,"&lt;="&amp;A331)+SUMIFS(Transaksi!$I$2:$I$3000,Transaksi!$L$2:$L$3000,"&lt;="&amp;A331)-(SUMIFS(Transaksi!$J$2:$J$3000,Transaksi!$L$2:$L$3000,"&lt;="&amp;A331)))</f>
        <v/>
      </c>
    </row>
    <row r="332">
      <c r="A332" s="22">
        <f>IF(328&lt;=MAX(Transaksi!$L$2:$L$3000),MAX(Transaksi!$L$2:$L$3000)-327,"")</f>
        <v/>
      </c>
      <c r="B332" s="23">
        <f>IF(A332="","",INDEX(Transaksi!$B$2:$B$3000,MATCH(A332,Transaksi!$L$2:$L$3000,0)))</f>
        <v/>
      </c>
      <c r="C332" s="24">
        <f>IF(A332="","",CHOOSE(WEEKDAY(B332,2),"Isnin","Selasa","Rabu","Khamis","Jumaat","Sabtu","Ahad"))</f>
        <v/>
      </c>
      <c r="D332" s="25">
        <f>IF(A332="","",COUNTIF(Transaksi!$L$2:$L$3000,A332))</f>
        <v/>
      </c>
      <c r="E332" s="13">
        <f>IF(A332="","",SUMIFS(Transaksi!$G$2:$G$3000,Transaksi!$L$2:$L$3000,A332)+SUMIFS(Transaksi!$H$2:$H$3000,Transaksi!$L$2:$L$3000,A332)+SUMIFS(Transaksi!$I$2:$I$3000,Transaksi!$L$2:$L$3000,A332))</f>
        <v/>
      </c>
      <c r="F332" s="14">
        <f>IF(A332="","",SUMIFS(Transaksi!$J$2:$J$3000,Transaksi!$L$2:$L$3000,A332))</f>
        <v/>
      </c>
      <c r="G332" s="15">
        <f>IF(A332="","",E332-F332)</f>
        <v/>
      </c>
      <c r="H332" s="16">
        <f>IF(A332="","",SUMIFS(Transaksi!$G$2:$G$3000,Transaksi!$L$2:$L$3000,"&lt;="&amp;A332)+SUMIFS(Transaksi!$H$2:$H$3000,Transaksi!$L$2:$L$3000,"&lt;="&amp;A332)+SUMIFS(Transaksi!$I$2:$I$3000,Transaksi!$L$2:$L$3000,"&lt;="&amp;A332)-(SUMIFS(Transaksi!$J$2:$J$3000,Transaksi!$L$2:$L$3000,"&lt;="&amp;A332)))</f>
        <v/>
      </c>
    </row>
    <row r="333">
      <c r="A333" s="22">
        <f>IF(329&lt;=MAX(Transaksi!$L$2:$L$3000),MAX(Transaksi!$L$2:$L$3000)-328,"")</f>
        <v/>
      </c>
      <c r="B333" s="23">
        <f>IF(A333="","",INDEX(Transaksi!$B$2:$B$3000,MATCH(A333,Transaksi!$L$2:$L$3000,0)))</f>
        <v/>
      </c>
      <c r="C333" s="24">
        <f>IF(A333="","",CHOOSE(WEEKDAY(B333,2),"Isnin","Selasa","Rabu","Khamis","Jumaat","Sabtu","Ahad"))</f>
        <v/>
      </c>
      <c r="D333" s="25">
        <f>IF(A333="","",COUNTIF(Transaksi!$L$2:$L$3000,A333))</f>
        <v/>
      </c>
      <c r="E333" s="13">
        <f>IF(A333="","",SUMIFS(Transaksi!$G$2:$G$3000,Transaksi!$L$2:$L$3000,A333)+SUMIFS(Transaksi!$H$2:$H$3000,Transaksi!$L$2:$L$3000,A333)+SUMIFS(Transaksi!$I$2:$I$3000,Transaksi!$L$2:$L$3000,A333))</f>
        <v/>
      </c>
      <c r="F333" s="14">
        <f>IF(A333="","",SUMIFS(Transaksi!$J$2:$J$3000,Transaksi!$L$2:$L$3000,A333))</f>
        <v/>
      </c>
      <c r="G333" s="15">
        <f>IF(A333="","",E333-F333)</f>
        <v/>
      </c>
      <c r="H333" s="16">
        <f>IF(A333="","",SUMIFS(Transaksi!$G$2:$G$3000,Transaksi!$L$2:$L$3000,"&lt;="&amp;A333)+SUMIFS(Transaksi!$H$2:$H$3000,Transaksi!$L$2:$L$3000,"&lt;="&amp;A333)+SUMIFS(Transaksi!$I$2:$I$3000,Transaksi!$L$2:$L$3000,"&lt;="&amp;A333)-(SUMIFS(Transaksi!$J$2:$J$3000,Transaksi!$L$2:$L$3000,"&lt;="&amp;A333)))</f>
        <v/>
      </c>
    </row>
    <row r="334">
      <c r="A334" s="22">
        <f>IF(330&lt;=MAX(Transaksi!$L$2:$L$3000),MAX(Transaksi!$L$2:$L$3000)-329,"")</f>
        <v/>
      </c>
      <c r="B334" s="23">
        <f>IF(A334="","",INDEX(Transaksi!$B$2:$B$3000,MATCH(A334,Transaksi!$L$2:$L$3000,0)))</f>
        <v/>
      </c>
      <c r="C334" s="24">
        <f>IF(A334="","",CHOOSE(WEEKDAY(B334,2),"Isnin","Selasa","Rabu","Khamis","Jumaat","Sabtu","Ahad"))</f>
        <v/>
      </c>
      <c r="D334" s="25">
        <f>IF(A334="","",COUNTIF(Transaksi!$L$2:$L$3000,A334))</f>
        <v/>
      </c>
      <c r="E334" s="13">
        <f>IF(A334="","",SUMIFS(Transaksi!$G$2:$G$3000,Transaksi!$L$2:$L$3000,A334)+SUMIFS(Transaksi!$H$2:$H$3000,Transaksi!$L$2:$L$3000,A334)+SUMIFS(Transaksi!$I$2:$I$3000,Transaksi!$L$2:$L$3000,A334))</f>
        <v/>
      </c>
      <c r="F334" s="14">
        <f>IF(A334="","",SUMIFS(Transaksi!$J$2:$J$3000,Transaksi!$L$2:$L$3000,A334))</f>
        <v/>
      </c>
      <c r="G334" s="15">
        <f>IF(A334="","",E334-F334)</f>
        <v/>
      </c>
      <c r="H334" s="16">
        <f>IF(A334="","",SUMIFS(Transaksi!$G$2:$G$3000,Transaksi!$L$2:$L$3000,"&lt;="&amp;A334)+SUMIFS(Transaksi!$H$2:$H$3000,Transaksi!$L$2:$L$3000,"&lt;="&amp;A334)+SUMIFS(Transaksi!$I$2:$I$3000,Transaksi!$L$2:$L$3000,"&lt;="&amp;A334)-(SUMIFS(Transaksi!$J$2:$J$3000,Transaksi!$L$2:$L$3000,"&lt;="&amp;A334)))</f>
        <v/>
      </c>
    </row>
    <row r="335">
      <c r="A335" s="22">
        <f>IF(331&lt;=MAX(Transaksi!$L$2:$L$3000),MAX(Transaksi!$L$2:$L$3000)-330,"")</f>
        <v/>
      </c>
      <c r="B335" s="23">
        <f>IF(A335="","",INDEX(Transaksi!$B$2:$B$3000,MATCH(A335,Transaksi!$L$2:$L$3000,0)))</f>
        <v/>
      </c>
      <c r="C335" s="24">
        <f>IF(A335="","",CHOOSE(WEEKDAY(B335,2),"Isnin","Selasa","Rabu","Khamis","Jumaat","Sabtu","Ahad"))</f>
        <v/>
      </c>
      <c r="D335" s="25">
        <f>IF(A335="","",COUNTIF(Transaksi!$L$2:$L$3000,A335))</f>
        <v/>
      </c>
      <c r="E335" s="13">
        <f>IF(A335="","",SUMIFS(Transaksi!$G$2:$G$3000,Transaksi!$L$2:$L$3000,A335)+SUMIFS(Transaksi!$H$2:$H$3000,Transaksi!$L$2:$L$3000,A335)+SUMIFS(Transaksi!$I$2:$I$3000,Transaksi!$L$2:$L$3000,A335))</f>
        <v/>
      </c>
      <c r="F335" s="14">
        <f>IF(A335="","",SUMIFS(Transaksi!$J$2:$J$3000,Transaksi!$L$2:$L$3000,A335))</f>
        <v/>
      </c>
      <c r="G335" s="15">
        <f>IF(A335="","",E335-F335)</f>
        <v/>
      </c>
      <c r="H335" s="16">
        <f>IF(A335="","",SUMIFS(Transaksi!$G$2:$G$3000,Transaksi!$L$2:$L$3000,"&lt;="&amp;A335)+SUMIFS(Transaksi!$H$2:$H$3000,Transaksi!$L$2:$L$3000,"&lt;="&amp;A335)+SUMIFS(Transaksi!$I$2:$I$3000,Transaksi!$L$2:$L$3000,"&lt;="&amp;A335)-(SUMIFS(Transaksi!$J$2:$J$3000,Transaksi!$L$2:$L$3000,"&lt;="&amp;A335)))</f>
        <v/>
      </c>
    </row>
    <row r="336">
      <c r="A336" s="22">
        <f>IF(332&lt;=MAX(Transaksi!$L$2:$L$3000),MAX(Transaksi!$L$2:$L$3000)-331,"")</f>
        <v/>
      </c>
      <c r="B336" s="23">
        <f>IF(A336="","",INDEX(Transaksi!$B$2:$B$3000,MATCH(A336,Transaksi!$L$2:$L$3000,0)))</f>
        <v/>
      </c>
      <c r="C336" s="24">
        <f>IF(A336="","",CHOOSE(WEEKDAY(B336,2),"Isnin","Selasa","Rabu","Khamis","Jumaat","Sabtu","Ahad"))</f>
        <v/>
      </c>
      <c r="D336" s="25">
        <f>IF(A336="","",COUNTIF(Transaksi!$L$2:$L$3000,A336))</f>
        <v/>
      </c>
      <c r="E336" s="13">
        <f>IF(A336="","",SUMIFS(Transaksi!$G$2:$G$3000,Transaksi!$L$2:$L$3000,A336)+SUMIFS(Transaksi!$H$2:$H$3000,Transaksi!$L$2:$L$3000,A336)+SUMIFS(Transaksi!$I$2:$I$3000,Transaksi!$L$2:$L$3000,A336))</f>
        <v/>
      </c>
      <c r="F336" s="14">
        <f>IF(A336="","",SUMIFS(Transaksi!$J$2:$J$3000,Transaksi!$L$2:$L$3000,A336))</f>
        <v/>
      </c>
      <c r="G336" s="15">
        <f>IF(A336="","",E336-F336)</f>
        <v/>
      </c>
      <c r="H336" s="16">
        <f>IF(A336="","",SUMIFS(Transaksi!$G$2:$G$3000,Transaksi!$L$2:$L$3000,"&lt;="&amp;A336)+SUMIFS(Transaksi!$H$2:$H$3000,Transaksi!$L$2:$L$3000,"&lt;="&amp;A336)+SUMIFS(Transaksi!$I$2:$I$3000,Transaksi!$L$2:$L$3000,"&lt;="&amp;A336)-(SUMIFS(Transaksi!$J$2:$J$3000,Transaksi!$L$2:$L$3000,"&lt;="&amp;A336)))</f>
        <v/>
      </c>
    </row>
    <row r="337">
      <c r="A337" s="22">
        <f>IF(333&lt;=MAX(Transaksi!$L$2:$L$3000),MAX(Transaksi!$L$2:$L$3000)-332,"")</f>
        <v/>
      </c>
      <c r="B337" s="23">
        <f>IF(A337="","",INDEX(Transaksi!$B$2:$B$3000,MATCH(A337,Transaksi!$L$2:$L$3000,0)))</f>
        <v/>
      </c>
      <c r="C337" s="24">
        <f>IF(A337="","",CHOOSE(WEEKDAY(B337,2),"Isnin","Selasa","Rabu","Khamis","Jumaat","Sabtu","Ahad"))</f>
        <v/>
      </c>
      <c r="D337" s="25">
        <f>IF(A337="","",COUNTIF(Transaksi!$L$2:$L$3000,A337))</f>
        <v/>
      </c>
      <c r="E337" s="13">
        <f>IF(A337="","",SUMIFS(Transaksi!$G$2:$G$3000,Transaksi!$L$2:$L$3000,A337)+SUMIFS(Transaksi!$H$2:$H$3000,Transaksi!$L$2:$L$3000,A337)+SUMIFS(Transaksi!$I$2:$I$3000,Transaksi!$L$2:$L$3000,A337))</f>
        <v/>
      </c>
      <c r="F337" s="14">
        <f>IF(A337="","",SUMIFS(Transaksi!$J$2:$J$3000,Transaksi!$L$2:$L$3000,A337))</f>
        <v/>
      </c>
      <c r="G337" s="15">
        <f>IF(A337="","",E337-F337)</f>
        <v/>
      </c>
      <c r="H337" s="16">
        <f>IF(A337="","",SUMIFS(Transaksi!$G$2:$G$3000,Transaksi!$L$2:$L$3000,"&lt;="&amp;A337)+SUMIFS(Transaksi!$H$2:$H$3000,Transaksi!$L$2:$L$3000,"&lt;="&amp;A337)+SUMIFS(Transaksi!$I$2:$I$3000,Transaksi!$L$2:$L$3000,"&lt;="&amp;A337)-(SUMIFS(Transaksi!$J$2:$J$3000,Transaksi!$L$2:$L$3000,"&lt;="&amp;A337)))</f>
        <v/>
      </c>
    </row>
    <row r="338">
      <c r="A338" s="22">
        <f>IF(334&lt;=MAX(Transaksi!$L$2:$L$3000),MAX(Transaksi!$L$2:$L$3000)-333,"")</f>
        <v/>
      </c>
      <c r="B338" s="23">
        <f>IF(A338="","",INDEX(Transaksi!$B$2:$B$3000,MATCH(A338,Transaksi!$L$2:$L$3000,0)))</f>
        <v/>
      </c>
      <c r="C338" s="24">
        <f>IF(A338="","",CHOOSE(WEEKDAY(B338,2),"Isnin","Selasa","Rabu","Khamis","Jumaat","Sabtu","Ahad"))</f>
        <v/>
      </c>
      <c r="D338" s="25">
        <f>IF(A338="","",COUNTIF(Transaksi!$L$2:$L$3000,A338))</f>
        <v/>
      </c>
      <c r="E338" s="13">
        <f>IF(A338="","",SUMIFS(Transaksi!$G$2:$G$3000,Transaksi!$L$2:$L$3000,A338)+SUMIFS(Transaksi!$H$2:$H$3000,Transaksi!$L$2:$L$3000,A338)+SUMIFS(Transaksi!$I$2:$I$3000,Transaksi!$L$2:$L$3000,A338))</f>
        <v/>
      </c>
      <c r="F338" s="14">
        <f>IF(A338="","",SUMIFS(Transaksi!$J$2:$J$3000,Transaksi!$L$2:$L$3000,A338))</f>
        <v/>
      </c>
      <c r="G338" s="15">
        <f>IF(A338="","",E338-F338)</f>
        <v/>
      </c>
      <c r="H338" s="16">
        <f>IF(A338="","",SUMIFS(Transaksi!$G$2:$G$3000,Transaksi!$L$2:$L$3000,"&lt;="&amp;A338)+SUMIFS(Transaksi!$H$2:$H$3000,Transaksi!$L$2:$L$3000,"&lt;="&amp;A338)+SUMIFS(Transaksi!$I$2:$I$3000,Transaksi!$L$2:$L$3000,"&lt;="&amp;A338)-(SUMIFS(Transaksi!$J$2:$J$3000,Transaksi!$L$2:$L$3000,"&lt;="&amp;A338)))</f>
        <v/>
      </c>
    </row>
    <row r="339">
      <c r="A339" s="22">
        <f>IF(335&lt;=MAX(Transaksi!$L$2:$L$3000),MAX(Transaksi!$L$2:$L$3000)-334,"")</f>
        <v/>
      </c>
      <c r="B339" s="23">
        <f>IF(A339="","",INDEX(Transaksi!$B$2:$B$3000,MATCH(A339,Transaksi!$L$2:$L$3000,0)))</f>
        <v/>
      </c>
      <c r="C339" s="24">
        <f>IF(A339="","",CHOOSE(WEEKDAY(B339,2),"Isnin","Selasa","Rabu","Khamis","Jumaat","Sabtu","Ahad"))</f>
        <v/>
      </c>
      <c r="D339" s="25">
        <f>IF(A339="","",COUNTIF(Transaksi!$L$2:$L$3000,A339))</f>
        <v/>
      </c>
      <c r="E339" s="13">
        <f>IF(A339="","",SUMIFS(Transaksi!$G$2:$G$3000,Transaksi!$L$2:$L$3000,A339)+SUMIFS(Transaksi!$H$2:$H$3000,Transaksi!$L$2:$L$3000,A339)+SUMIFS(Transaksi!$I$2:$I$3000,Transaksi!$L$2:$L$3000,A339))</f>
        <v/>
      </c>
      <c r="F339" s="14">
        <f>IF(A339="","",SUMIFS(Transaksi!$J$2:$J$3000,Transaksi!$L$2:$L$3000,A339))</f>
        <v/>
      </c>
      <c r="G339" s="15">
        <f>IF(A339="","",E339-F339)</f>
        <v/>
      </c>
      <c r="H339" s="16">
        <f>IF(A339="","",SUMIFS(Transaksi!$G$2:$G$3000,Transaksi!$L$2:$L$3000,"&lt;="&amp;A339)+SUMIFS(Transaksi!$H$2:$H$3000,Transaksi!$L$2:$L$3000,"&lt;="&amp;A339)+SUMIFS(Transaksi!$I$2:$I$3000,Transaksi!$L$2:$L$3000,"&lt;="&amp;A339)-(SUMIFS(Transaksi!$J$2:$J$3000,Transaksi!$L$2:$L$3000,"&lt;="&amp;A339)))</f>
        <v/>
      </c>
    </row>
    <row r="340">
      <c r="A340" s="22">
        <f>IF(336&lt;=MAX(Transaksi!$L$2:$L$3000),MAX(Transaksi!$L$2:$L$3000)-335,"")</f>
        <v/>
      </c>
      <c r="B340" s="23">
        <f>IF(A340="","",INDEX(Transaksi!$B$2:$B$3000,MATCH(A340,Transaksi!$L$2:$L$3000,0)))</f>
        <v/>
      </c>
      <c r="C340" s="24">
        <f>IF(A340="","",CHOOSE(WEEKDAY(B340,2),"Isnin","Selasa","Rabu","Khamis","Jumaat","Sabtu","Ahad"))</f>
        <v/>
      </c>
      <c r="D340" s="25">
        <f>IF(A340="","",COUNTIF(Transaksi!$L$2:$L$3000,A340))</f>
        <v/>
      </c>
      <c r="E340" s="13">
        <f>IF(A340="","",SUMIFS(Transaksi!$G$2:$G$3000,Transaksi!$L$2:$L$3000,A340)+SUMIFS(Transaksi!$H$2:$H$3000,Transaksi!$L$2:$L$3000,A340)+SUMIFS(Transaksi!$I$2:$I$3000,Transaksi!$L$2:$L$3000,A340))</f>
        <v/>
      </c>
      <c r="F340" s="14">
        <f>IF(A340="","",SUMIFS(Transaksi!$J$2:$J$3000,Transaksi!$L$2:$L$3000,A340))</f>
        <v/>
      </c>
      <c r="G340" s="15">
        <f>IF(A340="","",E340-F340)</f>
        <v/>
      </c>
      <c r="H340" s="16">
        <f>IF(A340="","",SUMIFS(Transaksi!$G$2:$G$3000,Transaksi!$L$2:$L$3000,"&lt;="&amp;A340)+SUMIFS(Transaksi!$H$2:$H$3000,Transaksi!$L$2:$L$3000,"&lt;="&amp;A340)+SUMIFS(Transaksi!$I$2:$I$3000,Transaksi!$L$2:$L$3000,"&lt;="&amp;A340)-(SUMIFS(Transaksi!$J$2:$J$3000,Transaksi!$L$2:$L$3000,"&lt;="&amp;A340)))</f>
        <v/>
      </c>
    </row>
    <row r="341">
      <c r="A341" s="22">
        <f>IF(337&lt;=MAX(Transaksi!$L$2:$L$3000),MAX(Transaksi!$L$2:$L$3000)-336,"")</f>
        <v/>
      </c>
      <c r="B341" s="23">
        <f>IF(A341="","",INDEX(Transaksi!$B$2:$B$3000,MATCH(A341,Transaksi!$L$2:$L$3000,0)))</f>
        <v/>
      </c>
      <c r="C341" s="24">
        <f>IF(A341="","",CHOOSE(WEEKDAY(B341,2),"Isnin","Selasa","Rabu","Khamis","Jumaat","Sabtu","Ahad"))</f>
        <v/>
      </c>
      <c r="D341" s="25">
        <f>IF(A341="","",COUNTIF(Transaksi!$L$2:$L$3000,A341))</f>
        <v/>
      </c>
      <c r="E341" s="13">
        <f>IF(A341="","",SUMIFS(Transaksi!$G$2:$G$3000,Transaksi!$L$2:$L$3000,A341)+SUMIFS(Transaksi!$H$2:$H$3000,Transaksi!$L$2:$L$3000,A341)+SUMIFS(Transaksi!$I$2:$I$3000,Transaksi!$L$2:$L$3000,A341))</f>
        <v/>
      </c>
      <c r="F341" s="14">
        <f>IF(A341="","",SUMIFS(Transaksi!$J$2:$J$3000,Transaksi!$L$2:$L$3000,A341))</f>
        <v/>
      </c>
      <c r="G341" s="15">
        <f>IF(A341="","",E341-F341)</f>
        <v/>
      </c>
      <c r="H341" s="16">
        <f>IF(A341="","",SUMIFS(Transaksi!$G$2:$G$3000,Transaksi!$L$2:$L$3000,"&lt;="&amp;A341)+SUMIFS(Transaksi!$H$2:$H$3000,Transaksi!$L$2:$L$3000,"&lt;="&amp;A341)+SUMIFS(Transaksi!$I$2:$I$3000,Transaksi!$L$2:$L$3000,"&lt;="&amp;A341)-(SUMIFS(Transaksi!$J$2:$J$3000,Transaksi!$L$2:$L$3000,"&lt;="&amp;A341)))</f>
        <v/>
      </c>
    </row>
    <row r="342">
      <c r="A342" s="22">
        <f>IF(338&lt;=MAX(Transaksi!$L$2:$L$3000),MAX(Transaksi!$L$2:$L$3000)-337,"")</f>
        <v/>
      </c>
      <c r="B342" s="23">
        <f>IF(A342="","",INDEX(Transaksi!$B$2:$B$3000,MATCH(A342,Transaksi!$L$2:$L$3000,0)))</f>
        <v/>
      </c>
      <c r="C342" s="24">
        <f>IF(A342="","",CHOOSE(WEEKDAY(B342,2),"Isnin","Selasa","Rabu","Khamis","Jumaat","Sabtu","Ahad"))</f>
        <v/>
      </c>
      <c r="D342" s="25">
        <f>IF(A342="","",COUNTIF(Transaksi!$L$2:$L$3000,A342))</f>
        <v/>
      </c>
      <c r="E342" s="13">
        <f>IF(A342="","",SUMIFS(Transaksi!$G$2:$G$3000,Transaksi!$L$2:$L$3000,A342)+SUMIFS(Transaksi!$H$2:$H$3000,Transaksi!$L$2:$L$3000,A342)+SUMIFS(Transaksi!$I$2:$I$3000,Transaksi!$L$2:$L$3000,A342))</f>
        <v/>
      </c>
      <c r="F342" s="14">
        <f>IF(A342="","",SUMIFS(Transaksi!$J$2:$J$3000,Transaksi!$L$2:$L$3000,A342))</f>
        <v/>
      </c>
      <c r="G342" s="15">
        <f>IF(A342="","",E342-F342)</f>
        <v/>
      </c>
      <c r="H342" s="16">
        <f>IF(A342="","",SUMIFS(Transaksi!$G$2:$G$3000,Transaksi!$L$2:$L$3000,"&lt;="&amp;A342)+SUMIFS(Transaksi!$H$2:$H$3000,Transaksi!$L$2:$L$3000,"&lt;="&amp;A342)+SUMIFS(Transaksi!$I$2:$I$3000,Transaksi!$L$2:$L$3000,"&lt;="&amp;A342)-(SUMIFS(Transaksi!$J$2:$J$3000,Transaksi!$L$2:$L$3000,"&lt;="&amp;A342)))</f>
        <v/>
      </c>
    </row>
    <row r="343">
      <c r="A343" s="22">
        <f>IF(339&lt;=MAX(Transaksi!$L$2:$L$3000),MAX(Transaksi!$L$2:$L$3000)-338,"")</f>
        <v/>
      </c>
      <c r="B343" s="23">
        <f>IF(A343="","",INDEX(Transaksi!$B$2:$B$3000,MATCH(A343,Transaksi!$L$2:$L$3000,0)))</f>
        <v/>
      </c>
      <c r="C343" s="24">
        <f>IF(A343="","",CHOOSE(WEEKDAY(B343,2),"Isnin","Selasa","Rabu","Khamis","Jumaat","Sabtu","Ahad"))</f>
        <v/>
      </c>
      <c r="D343" s="25">
        <f>IF(A343="","",COUNTIF(Transaksi!$L$2:$L$3000,A343))</f>
        <v/>
      </c>
      <c r="E343" s="13">
        <f>IF(A343="","",SUMIFS(Transaksi!$G$2:$G$3000,Transaksi!$L$2:$L$3000,A343)+SUMIFS(Transaksi!$H$2:$H$3000,Transaksi!$L$2:$L$3000,A343)+SUMIFS(Transaksi!$I$2:$I$3000,Transaksi!$L$2:$L$3000,A343))</f>
        <v/>
      </c>
      <c r="F343" s="14">
        <f>IF(A343="","",SUMIFS(Transaksi!$J$2:$J$3000,Transaksi!$L$2:$L$3000,A343))</f>
        <v/>
      </c>
      <c r="G343" s="15">
        <f>IF(A343="","",E343-F343)</f>
        <v/>
      </c>
      <c r="H343" s="16">
        <f>IF(A343="","",SUMIFS(Transaksi!$G$2:$G$3000,Transaksi!$L$2:$L$3000,"&lt;="&amp;A343)+SUMIFS(Transaksi!$H$2:$H$3000,Transaksi!$L$2:$L$3000,"&lt;="&amp;A343)+SUMIFS(Transaksi!$I$2:$I$3000,Transaksi!$L$2:$L$3000,"&lt;="&amp;A343)-(SUMIFS(Transaksi!$J$2:$J$3000,Transaksi!$L$2:$L$3000,"&lt;="&amp;A343)))</f>
        <v/>
      </c>
    </row>
    <row r="344">
      <c r="A344" s="22">
        <f>IF(340&lt;=MAX(Transaksi!$L$2:$L$3000),MAX(Transaksi!$L$2:$L$3000)-339,"")</f>
        <v/>
      </c>
      <c r="B344" s="23">
        <f>IF(A344="","",INDEX(Transaksi!$B$2:$B$3000,MATCH(A344,Transaksi!$L$2:$L$3000,0)))</f>
        <v/>
      </c>
      <c r="C344" s="24">
        <f>IF(A344="","",CHOOSE(WEEKDAY(B344,2),"Isnin","Selasa","Rabu","Khamis","Jumaat","Sabtu","Ahad"))</f>
        <v/>
      </c>
      <c r="D344" s="25">
        <f>IF(A344="","",COUNTIF(Transaksi!$L$2:$L$3000,A344))</f>
        <v/>
      </c>
      <c r="E344" s="13">
        <f>IF(A344="","",SUMIFS(Transaksi!$G$2:$G$3000,Transaksi!$L$2:$L$3000,A344)+SUMIFS(Transaksi!$H$2:$H$3000,Transaksi!$L$2:$L$3000,A344)+SUMIFS(Transaksi!$I$2:$I$3000,Transaksi!$L$2:$L$3000,A344))</f>
        <v/>
      </c>
      <c r="F344" s="14">
        <f>IF(A344="","",SUMIFS(Transaksi!$J$2:$J$3000,Transaksi!$L$2:$L$3000,A344))</f>
        <v/>
      </c>
      <c r="G344" s="15">
        <f>IF(A344="","",E344-F344)</f>
        <v/>
      </c>
      <c r="H344" s="16">
        <f>IF(A344="","",SUMIFS(Transaksi!$G$2:$G$3000,Transaksi!$L$2:$L$3000,"&lt;="&amp;A344)+SUMIFS(Transaksi!$H$2:$H$3000,Transaksi!$L$2:$L$3000,"&lt;="&amp;A344)+SUMIFS(Transaksi!$I$2:$I$3000,Transaksi!$L$2:$L$3000,"&lt;="&amp;A344)-(SUMIFS(Transaksi!$J$2:$J$3000,Transaksi!$L$2:$L$3000,"&lt;="&amp;A344)))</f>
        <v/>
      </c>
    </row>
    <row r="345">
      <c r="A345" s="22">
        <f>IF(341&lt;=MAX(Transaksi!$L$2:$L$3000),MAX(Transaksi!$L$2:$L$3000)-340,"")</f>
        <v/>
      </c>
      <c r="B345" s="23">
        <f>IF(A345="","",INDEX(Transaksi!$B$2:$B$3000,MATCH(A345,Transaksi!$L$2:$L$3000,0)))</f>
        <v/>
      </c>
      <c r="C345" s="24">
        <f>IF(A345="","",CHOOSE(WEEKDAY(B345,2),"Isnin","Selasa","Rabu","Khamis","Jumaat","Sabtu","Ahad"))</f>
        <v/>
      </c>
      <c r="D345" s="25">
        <f>IF(A345="","",COUNTIF(Transaksi!$L$2:$L$3000,A345))</f>
        <v/>
      </c>
      <c r="E345" s="13">
        <f>IF(A345="","",SUMIFS(Transaksi!$G$2:$G$3000,Transaksi!$L$2:$L$3000,A345)+SUMIFS(Transaksi!$H$2:$H$3000,Transaksi!$L$2:$L$3000,A345)+SUMIFS(Transaksi!$I$2:$I$3000,Transaksi!$L$2:$L$3000,A345))</f>
        <v/>
      </c>
      <c r="F345" s="14">
        <f>IF(A345="","",SUMIFS(Transaksi!$J$2:$J$3000,Transaksi!$L$2:$L$3000,A345))</f>
        <v/>
      </c>
      <c r="G345" s="15">
        <f>IF(A345="","",E345-F345)</f>
        <v/>
      </c>
      <c r="H345" s="16">
        <f>IF(A345="","",SUMIFS(Transaksi!$G$2:$G$3000,Transaksi!$L$2:$L$3000,"&lt;="&amp;A345)+SUMIFS(Transaksi!$H$2:$H$3000,Transaksi!$L$2:$L$3000,"&lt;="&amp;A345)+SUMIFS(Transaksi!$I$2:$I$3000,Transaksi!$L$2:$L$3000,"&lt;="&amp;A345)-(SUMIFS(Transaksi!$J$2:$J$3000,Transaksi!$L$2:$L$3000,"&lt;="&amp;A345)))</f>
        <v/>
      </c>
    </row>
    <row r="346">
      <c r="A346" s="22">
        <f>IF(342&lt;=MAX(Transaksi!$L$2:$L$3000),MAX(Transaksi!$L$2:$L$3000)-341,"")</f>
        <v/>
      </c>
      <c r="B346" s="23">
        <f>IF(A346="","",INDEX(Transaksi!$B$2:$B$3000,MATCH(A346,Transaksi!$L$2:$L$3000,0)))</f>
        <v/>
      </c>
      <c r="C346" s="24">
        <f>IF(A346="","",CHOOSE(WEEKDAY(B346,2),"Isnin","Selasa","Rabu","Khamis","Jumaat","Sabtu","Ahad"))</f>
        <v/>
      </c>
      <c r="D346" s="25">
        <f>IF(A346="","",COUNTIF(Transaksi!$L$2:$L$3000,A346))</f>
        <v/>
      </c>
      <c r="E346" s="13">
        <f>IF(A346="","",SUMIFS(Transaksi!$G$2:$G$3000,Transaksi!$L$2:$L$3000,A346)+SUMIFS(Transaksi!$H$2:$H$3000,Transaksi!$L$2:$L$3000,A346)+SUMIFS(Transaksi!$I$2:$I$3000,Transaksi!$L$2:$L$3000,A346))</f>
        <v/>
      </c>
      <c r="F346" s="14">
        <f>IF(A346="","",SUMIFS(Transaksi!$J$2:$J$3000,Transaksi!$L$2:$L$3000,A346))</f>
        <v/>
      </c>
      <c r="G346" s="15">
        <f>IF(A346="","",E346-F346)</f>
        <v/>
      </c>
      <c r="H346" s="16">
        <f>IF(A346="","",SUMIFS(Transaksi!$G$2:$G$3000,Transaksi!$L$2:$L$3000,"&lt;="&amp;A346)+SUMIFS(Transaksi!$H$2:$H$3000,Transaksi!$L$2:$L$3000,"&lt;="&amp;A346)+SUMIFS(Transaksi!$I$2:$I$3000,Transaksi!$L$2:$L$3000,"&lt;="&amp;A346)-(SUMIFS(Transaksi!$J$2:$J$3000,Transaksi!$L$2:$L$3000,"&lt;="&amp;A346)))</f>
        <v/>
      </c>
    </row>
    <row r="347">
      <c r="A347" s="22">
        <f>IF(343&lt;=MAX(Transaksi!$L$2:$L$3000),MAX(Transaksi!$L$2:$L$3000)-342,"")</f>
        <v/>
      </c>
      <c r="B347" s="23">
        <f>IF(A347="","",INDEX(Transaksi!$B$2:$B$3000,MATCH(A347,Transaksi!$L$2:$L$3000,0)))</f>
        <v/>
      </c>
      <c r="C347" s="24">
        <f>IF(A347="","",CHOOSE(WEEKDAY(B347,2),"Isnin","Selasa","Rabu","Khamis","Jumaat","Sabtu","Ahad"))</f>
        <v/>
      </c>
      <c r="D347" s="25">
        <f>IF(A347="","",COUNTIF(Transaksi!$L$2:$L$3000,A347))</f>
        <v/>
      </c>
      <c r="E347" s="13">
        <f>IF(A347="","",SUMIFS(Transaksi!$G$2:$G$3000,Transaksi!$L$2:$L$3000,A347)+SUMIFS(Transaksi!$H$2:$H$3000,Transaksi!$L$2:$L$3000,A347)+SUMIFS(Transaksi!$I$2:$I$3000,Transaksi!$L$2:$L$3000,A347))</f>
        <v/>
      </c>
      <c r="F347" s="14">
        <f>IF(A347="","",SUMIFS(Transaksi!$J$2:$J$3000,Transaksi!$L$2:$L$3000,A347))</f>
        <v/>
      </c>
      <c r="G347" s="15">
        <f>IF(A347="","",E347-F347)</f>
        <v/>
      </c>
      <c r="H347" s="16">
        <f>IF(A347="","",SUMIFS(Transaksi!$G$2:$G$3000,Transaksi!$L$2:$L$3000,"&lt;="&amp;A347)+SUMIFS(Transaksi!$H$2:$H$3000,Transaksi!$L$2:$L$3000,"&lt;="&amp;A347)+SUMIFS(Transaksi!$I$2:$I$3000,Transaksi!$L$2:$L$3000,"&lt;="&amp;A347)-(SUMIFS(Transaksi!$J$2:$J$3000,Transaksi!$L$2:$L$3000,"&lt;="&amp;A347)))</f>
        <v/>
      </c>
    </row>
    <row r="348">
      <c r="A348" s="22">
        <f>IF(344&lt;=MAX(Transaksi!$L$2:$L$3000),MAX(Transaksi!$L$2:$L$3000)-343,"")</f>
        <v/>
      </c>
      <c r="B348" s="23">
        <f>IF(A348="","",INDEX(Transaksi!$B$2:$B$3000,MATCH(A348,Transaksi!$L$2:$L$3000,0)))</f>
        <v/>
      </c>
      <c r="C348" s="24">
        <f>IF(A348="","",CHOOSE(WEEKDAY(B348,2),"Isnin","Selasa","Rabu","Khamis","Jumaat","Sabtu","Ahad"))</f>
        <v/>
      </c>
      <c r="D348" s="25">
        <f>IF(A348="","",COUNTIF(Transaksi!$L$2:$L$3000,A348))</f>
        <v/>
      </c>
      <c r="E348" s="13">
        <f>IF(A348="","",SUMIFS(Transaksi!$G$2:$G$3000,Transaksi!$L$2:$L$3000,A348)+SUMIFS(Transaksi!$H$2:$H$3000,Transaksi!$L$2:$L$3000,A348)+SUMIFS(Transaksi!$I$2:$I$3000,Transaksi!$L$2:$L$3000,A348))</f>
        <v/>
      </c>
      <c r="F348" s="14">
        <f>IF(A348="","",SUMIFS(Transaksi!$J$2:$J$3000,Transaksi!$L$2:$L$3000,A348))</f>
        <v/>
      </c>
      <c r="G348" s="15">
        <f>IF(A348="","",E348-F348)</f>
        <v/>
      </c>
      <c r="H348" s="16">
        <f>IF(A348="","",SUMIFS(Transaksi!$G$2:$G$3000,Transaksi!$L$2:$L$3000,"&lt;="&amp;A348)+SUMIFS(Transaksi!$H$2:$H$3000,Transaksi!$L$2:$L$3000,"&lt;="&amp;A348)+SUMIFS(Transaksi!$I$2:$I$3000,Transaksi!$L$2:$L$3000,"&lt;="&amp;A348)-(SUMIFS(Transaksi!$J$2:$J$3000,Transaksi!$L$2:$L$3000,"&lt;="&amp;A348)))</f>
        <v/>
      </c>
    </row>
    <row r="349">
      <c r="A349" s="22">
        <f>IF(345&lt;=MAX(Transaksi!$L$2:$L$3000),MAX(Transaksi!$L$2:$L$3000)-344,"")</f>
        <v/>
      </c>
      <c r="B349" s="23">
        <f>IF(A349="","",INDEX(Transaksi!$B$2:$B$3000,MATCH(A349,Transaksi!$L$2:$L$3000,0)))</f>
        <v/>
      </c>
      <c r="C349" s="24">
        <f>IF(A349="","",CHOOSE(WEEKDAY(B349,2),"Isnin","Selasa","Rabu","Khamis","Jumaat","Sabtu","Ahad"))</f>
        <v/>
      </c>
      <c r="D349" s="25">
        <f>IF(A349="","",COUNTIF(Transaksi!$L$2:$L$3000,A349))</f>
        <v/>
      </c>
      <c r="E349" s="13">
        <f>IF(A349="","",SUMIFS(Transaksi!$G$2:$G$3000,Transaksi!$L$2:$L$3000,A349)+SUMIFS(Transaksi!$H$2:$H$3000,Transaksi!$L$2:$L$3000,A349)+SUMIFS(Transaksi!$I$2:$I$3000,Transaksi!$L$2:$L$3000,A349))</f>
        <v/>
      </c>
      <c r="F349" s="14">
        <f>IF(A349="","",SUMIFS(Transaksi!$J$2:$J$3000,Transaksi!$L$2:$L$3000,A349))</f>
        <v/>
      </c>
      <c r="G349" s="15">
        <f>IF(A349="","",E349-F349)</f>
        <v/>
      </c>
      <c r="H349" s="16">
        <f>IF(A349="","",SUMIFS(Transaksi!$G$2:$G$3000,Transaksi!$L$2:$L$3000,"&lt;="&amp;A349)+SUMIFS(Transaksi!$H$2:$H$3000,Transaksi!$L$2:$L$3000,"&lt;="&amp;A349)+SUMIFS(Transaksi!$I$2:$I$3000,Transaksi!$L$2:$L$3000,"&lt;="&amp;A349)-(SUMIFS(Transaksi!$J$2:$J$3000,Transaksi!$L$2:$L$3000,"&lt;="&amp;A349)))</f>
        <v/>
      </c>
    </row>
    <row r="350">
      <c r="A350" s="22">
        <f>IF(346&lt;=MAX(Transaksi!$L$2:$L$3000),MAX(Transaksi!$L$2:$L$3000)-345,"")</f>
        <v/>
      </c>
      <c r="B350" s="23">
        <f>IF(A350="","",INDEX(Transaksi!$B$2:$B$3000,MATCH(A350,Transaksi!$L$2:$L$3000,0)))</f>
        <v/>
      </c>
      <c r="C350" s="24">
        <f>IF(A350="","",CHOOSE(WEEKDAY(B350,2),"Isnin","Selasa","Rabu","Khamis","Jumaat","Sabtu","Ahad"))</f>
        <v/>
      </c>
      <c r="D350" s="25">
        <f>IF(A350="","",COUNTIF(Transaksi!$L$2:$L$3000,A350))</f>
        <v/>
      </c>
      <c r="E350" s="13">
        <f>IF(A350="","",SUMIFS(Transaksi!$G$2:$G$3000,Transaksi!$L$2:$L$3000,A350)+SUMIFS(Transaksi!$H$2:$H$3000,Transaksi!$L$2:$L$3000,A350)+SUMIFS(Transaksi!$I$2:$I$3000,Transaksi!$L$2:$L$3000,A350))</f>
        <v/>
      </c>
      <c r="F350" s="14">
        <f>IF(A350="","",SUMIFS(Transaksi!$J$2:$J$3000,Transaksi!$L$2:$L$3000,A350))</f>
        <v/>
      </c>
      <c r="G350" s="15">
        <f>IF(A350="","",E350-F350)</f>
        <v/>
      </c>
      <c r="H350" s="16">
        <f>IF(A350="","",SUMIFS(Transaksi!$G$2:$G$3000,Transaksi!$L$2:$L$3000,"&lt;="&amp;A350)+SUMIFS(Transaksi!$H$2:$H$3000,Transaksi!$L$2:$L$3000,"&lt;="&amp;A350)+SUMIFS(Transaksi!$I$2:$I$3000,Transaksi!$L$2:$L$3000,"&lt;="&amp;A350)-(SUMIFS(Transaksi!$J$2:$J$3000,Transaksi!$L$2:$L$3000,"&lt;="&amp;A350)))</f>
        <v/>
      </c>
    </row>
    <row r="351">
      <c r="A351" s="22">
        <f>IF(347&lt;=MAX(Transaksi!$L$2:$L$3000),MAX(Transaksi!$L$2:$L$3000)-346,"")</f>
        <v/>
      </c>
      <c r="B351" s="23">
        <f>IF(A351="","",INDEX(Transaksi!$B$2:$B$3000,MATCH(A351,Transaksi!$L$2:$L$3000,0)))</f>
        <v/>
      </c>
      <c r="C351" s="24">
        <f>IF(A351="","",CHOOSE(WEEKDAY(B351,2),"Isnin","Selasa","Rabu","Khamis","Jumaat","Sabtu","Ahad"))</f>
        <v/>
      </c>
      <c r="D351" s="25">
        <f>IF(A351="","",COUNTIF(Transaksi!$L$2:$L$3000,A351))</f>
        <v/>
      </c>
      <c r="E351" s="13">
        <f>IF(A351="","",SUMIFS(Transaksi!$G$2:$G$3000,Transaksi!$L$2:$L$3000,A351)+SUMIFS(Transaksi!$H$2:$H$3000,Transaksi!$L$2:$L$3000,A351)+SUMIFS(Transaksi!$I$2:$I$3000,Transaksi!$L$2:$L$3000,A351))</f>
        <v/>
      </c>
      <c r="F351" s="14">
        <f>IF(A351="","",SUMIFS(Transaksi!$J$2:$J$3000,Transaksi!$L$2:$L$3000,A351))</f>
        <v/>
      </c>
      <c r="G351" s="15">
        <f>IF(A351="","",E351-F351)</f>
        <v/>
      </c>
      <c r="H351" s="16">
        <f>IF(A351="","",SUMIFS(Transaksi!$G$2:$G$3000,Transaksi!$L$2:$L$3000,"&lt;="&amp;A351)+SUMIFS(Transaksi!$H$2:$H$3000,Transaksi!$L$2:$L$3000,"&lt;="&amp;A351)+SUMIFS(Transaksi!$I$2:$I$3000,Transaksi!$L$2:$L$3000,"&lt;="&amp;A351)-(SUMIFS(Transaksi!$J$2:$J$3000,Transaksi!$L$2:$L$3000,"&lt;="&amp;A351)))</f>
        <v/>
      </c>
    </row>
    <row r="352">
      <c r="A352" s="22">
        <f>IF(348&lt;=MAX(Transaksi!$L$2:$L$3000),MAX(Transaksi!$L$2:$L$3000)-347,"")</f>
        <v/>
      </c>
      <c r="B352" s="23">
        <f>IF(A352="","",INDEX(Transaksi!$B$2:$B$3000,MATCH(A352,Transaksi!$L$2:$L$3000,0)))</f>
        <v/>
      </c>
      <c r="C352" s="24">
        <f>IF(A352="","",CHOOSE(WEEKDAY(B352,2),"Isnin","Selasa","Rabu","Khamis","Jumaat","Sabtu","Ahad"))</f>
        <v/>
      </c>
      <c r="D352" s="25">
        <f>IF(A352="","",COUNTIF(Transaksi!$L$2:$L$3000,A352))</f>
        <v/>
      </c>
      <c r="E352" s="13">
        <f>IF(A352="","",SUMIFS(Transaksi!$G$2:$G$3000,Transaksi!$L$2:$L$3000,A352)+SUMIFS(Transaksi!$H$2:$H$3000,Transaksi!$L$2:$L$3000,A352)+SUMIFS(Transaksi!$I$2:$I$3000,Transaksi!$L$2:$L$3000,A352))</f>
        <v/>
      </c>
      <c r="F352" s="14">
        <f>IF(A352="","",SUMIFS(Transaksi!$J$2:$J$3000,Transaksi!$L$2:$L$3000,A352))</f>
        <v/>
      </c>
      <c r="G352" s="15">
        <f>IF(A352="","",E352-F352)</f>
        <v/>
      </c>
      <c r="H352" s="16">
        <f>IF(A352="","",SUMIFS(Transaksi!$G$2:$G$3000,Transaksi!$L$2:$L$3000,"&lt;="&amp;A352)+SUMIFS(Transaksi!$H$2:$H$3000,Transaksi!$L$2:$L$3000,"&lt;="&amp;A352)+SUMIFS(Transaksi!$I$2:$I$3000,Transaksi!$L$2:$L$3000,"&lt;="&amp;A352)-(SUMIFS(Transaksi!$J$2:$J$3000,Transaksi!$L$2:$L$3000,"&lt;="&amp;A352)))</f>
        <v/>
      </c>
    </row>
    <row r="353">
      <c r="A353" s="22">
        <f>IF(349&lt;=MAX(Transaksi!$L$2:$L$3000),MAX(Transaksi!$L$2:$L$3000)-348,"")</f>
        <v/>
      </c>
      <c r="B353" s="23">
        <f>IF(A353="","",INDEX(Transaksi!$B$2:$B$3000,MATCH(A353,Transaksi!$L$2:$L$3000,0)))</f>
        <v/>
      </c>
      <c r="C353" s="24">
        <f>IF(A353="","",CHOOSE(WEEKDAY(B353,2),"Isnin","Selasa","Rabu","Khamis","Jumaat","Sabtu","Ahad"))</f>
        <v/>
      </c>
      <c r="D353" s="25">
        <f>IF(A353="","",COUNTIF(Transaksi!$L$2:$L$3000,A353))</f>
        <v/>
      </c>
      <c r="E353" s="13">
        <f>IF(A353="","",SUMIFS(Transaksi!$G$2:$G$3000,Transaksi!$L$2:$L$3000,A353)+SUMIFS(Transaksi!$H$2:$H$3000,Transaksi!$L$2:$L$3000,A353)+SUMIFS(Transaksi!$I$2:$I$3000,Transaksi!$L$2:$L$3000,A353))</f>
        <v/>
      </c>
      <c r="F353" s="14">
        <f>IF(A353="","",SUMIFS(Transaksi!$J$2:$J$3000,Transaksi!$L$2:$L$3000,A353))</f>
        <v/>
      </c>
      <c r="G353" s="15">
        <f>IF(A353="","",E353-F353)</f>
        <v/>
      </c>
      <c r="H353" s="16">
        <f>IF(A353="","",SUMIFS(Transaksi!$G$2:$G$3000,Transaksi!$L$2:$L$3000,"&lt;="&amp;A353)+SUMIFS(Transaksi!$H$2:$H$3000,Transaksi!$L$2:$L$3000,"&lt;="&amp;A353)+SUMIFS(Transaksi!$I$2:$I$3000,Transaksi!$L$2:$L$3000,"&lt;="&amp;A353)-(SUMIFS(Transaksi!$J$2:$J$3000,Transaksi!$L$2:$L$3000,"&lt;="&amp;A353)))</f>
        <v/>
      </c>
    </row>
    <row r="354">
      <c r="A354" s="22">
        <f>IF(350&lt;=MAX(Transaksi!$L$2:$L$3000),MAX(Transaksi!$L$2:$L$3000)-349,"")</f>
        <v/>
      </c>
      <c r="B354" s="23">
        <f>IF(A354="","",INDEX(Transaksi!$B$2:$B$3000,MATCH(A354,Transaksi!$L$2:$L$3000,0)))</f>
        <v/>
      </c>
      <c r="C354" s="24">
        <f>IF(A354="","",CHOOSE(WEEKDAY(B354,2),"Isnin","Selasa","Rabu","Khamis","Jumaat","Sabtu","Ahad"))</f>
        <v/>
      </c>
      <c r="D354" s="25">
        <f>IF(A354="","",COUNTIF(Transaksi!$L$2:$L$3000,A354))</f>
        <v/>
      </c>
      <c r="E354" s="13">
        <f>IF(A354="","",SUMIFS(Transaksi!$G$2:$G$3000,Transaksi!$L$2:$L$3000,A354)+SUMIFS(Transaksi!$H$2:$H$3000,Transaksi!$L$2:$L$3000,A354)+SUMIFS(Transaksi!$I$2:$I$3000,Transaksi!$L$2:$L$3000,A354))</f>
        <v/>
      </c>
      <c r="F354" s="14">
        <f>IF(A354="","",SUMIFS(Transaksi!$J$2:$J$3000,Transaksi!$L$2:$L$3000,A354))</f>
        <v/>
      </c>
      <c r="G354" s="15">
        <f>IF(A354="","",E354-F354)</f>
        <v/>
      </c>
      <c r="H354" s="16">
        <f>IF(A354="","",SUMIFS(Transaksi!$G$2:$G$3000,Transaksi!$L$2:$L$3000,"&lt;="&amp;A354)+SUMIFS(Transaksi!$H$2:$H$3000,Transaksi!$L$2:$L$3000,"&lt;="&amp;A354)+SUMIFS(Transaksi!$I$2:$I$3000,Transaksi!$L$2:$L$3000,"&lt;="&amp;A354)-(SUMIFS(Transaksi!$J$2:$J$3000,Transaksi!$L$2:$L$3000,"&lt;="&amp;A354)))</f>
        <v/>
      </c>
    </row>
    <row r="355">
      <c r="A355" s="22">
        <f>IF(351&lt;=MAX(Transaksi!$L$2:$L$3000),MAX(Transaksi!$L$2:$L$3000)-350,"")</f>
        <v/>
      </c>
      <c r="B355" s="23">
        <f>IF(A355="","",INDEX(Transaksi!$B$2:$B$3000,MATCH(A355,Transaksi!$L$2:$L$3000,0)))</f>
        <v/>
      </c>
      <c r="C355" s="24">
        <f>IF(A355="","",CHOOSE(WEEKDAY(B355,2),"Isnin","Selasa","Rabu","Khamis","Jumaat","Sabtu","Ahad"))</f>
        <v/>
      </c>
      <c r="D355" s="25">
        <f>IF(A355="","",COUNTIF(Transaksi!$L$2:$L$3000,A355))</f>
        <v/>
      </c>
      <c r="E355" s="13">
        <f>IF(A355="","",SUMIFS(Transaksi!$G$2:$G$3000,Transaksi!$L$2:$L$3000,A355)+SUMIFS(Transaksi!$H$2:$H$3000,Transaksi!$L$2:$L$3000,A355)+SUMIFS(Transaksi!$I$2:$I$3000,Transaksi!$L$2:$L$3000,A355))</f>
        <v/>
      </c>
      <c r="F355" s="14">
        <f>IF(A355="","",SUMIFS(Transaksi!$J$2:$J$3000,Transaksi!$L$2:$L$3000,A355))</f>
        <v/>
      </c>
      <c r="G355" s="15">
        <f>IF(A355="","",E355-F355)</f>
        <v/>
      </c>
      <c r="H355" s="16">
        <f>IF(A355="","",SUMIFS(Transaksi!$G$2:$G$3000,Transaksi!$L$2:$L$3000,"&lt;="&amp;A355)+SUMIFS(Transaksi!$H$2:$H$3000,Transaksi!$L$2:$L$3000,"&lt;="&amp;A355)+SUMIFS(Transaksi!$I$2:$I$3000,Transaksi!$L$2:$L$3000,"&lt;="&amp;A355)-(SUMIFS(Transaksi!$J$2:$J$3000,Transaksi!$L$2:$L$3000,"&lt;="&amp;A355)))</f>
        <v/>
      </c>
    </row>
    <row r="356">
      <c r="A356" s="22">
        <f>IF(352&lt;=MAX(Transaksi!$L$2:$L$3000),MAX(Transaksi!$L$2:$L$3000)-351,"")</f>
        <v/>
      </c>
      <c r="B356" s="23">
        <f>IF(A356="","",INDEX(Transaksi!$B$2:$B$3000,MATCH(A356,Transaksi!$L$2:$L$3000,0)))</f>
        <v/>
      </c>
      <c r="C356" s="24">
        <f>IF(A356="","",CHOOSE(WEEKDAY(B356,2),"Isnin","Selasa","Rabu","Khamis","Jumaat","Sabtu","Ahad"))</f>
        <v/>
      </c>
      <c r="D356" s="25">
        <f>IF(A356="","",COUNTIF(Transaksi!$L$2:$L$3000,A356))</f>
        <v/>
      </c>
      <c r="E356" s="13">
        <f>IF(A356="","",SUMIFS(Transaksi!$G$2:$G$3000,Transaksi!$L$2:$L$3000,A356)+SUMIFS(Transaksi!$H$2:$H$3000,Transaksi!$L$2:$L$3000,A356)+SUMIFS(Transaksi!$I$2:$I$3000,Transaksi!$L$2:$L$3000,A356))</f>
        <v/>
      </c>
      <c r="F356" s="14">
        <f>IF(A356="","",SUMIFS(Transaksi!$J$2:$J$3000,Transaksi!$L$2:$L$3000,A356))</f>
        <v/>
      </c>
      <c r="G356" s="15">
        <f>IF(A356="","",E356-F356)</f>
        <v/>
      </c>
      <c r="H356" s="16">
        <f>IF(A356="","",SUMIFS(Transaksi!$G$2:$G$3000,Transaksi!$L$2:$L$3000,"&lt;="&amp;A356)+SUMIFS(Transaksi!$H$2:$H$3000,Transaksi!$L$2:$L$3000,"&lt;="&amp;A356)+SUMIFS(Transaksi!$I$2:$I$3000,Transaksi!$L$2:$L$3000,"&lt;="&amp;A356)-(SUMIFS(Transaksi!$J$2:$J$3000,Transaksi!$L$2:$L$3000,"&lt;="&amp;A356)))</f>
        <v/>
      </c>
    </row>
    <row r="357">
      <c r="A357" s="22">
        <f>IF(353&lt;=MAX(Transaksi!$L$2:$L$3000),MAX(Transaksi!$L$2:$L$3000)-352,"")</f>
        <v/>
      </c>
      <c r="B357" s="23">
        <f>IF(A357="","",INDEX(Transaksi!$B$2:$B$3000,MATCH(A357,Transaksi!$L$2:$L$3000,0)))</f>
        <v/>
      </c>
      <c r="C357" s="24">
        <f>IF(A357="","",CHOOSE(WEEKDAY(B357,2),"Isnin","Selasa","Rabu","Khamis","Jumaat","Sabtu","Ahad"))</f>
        <v/>
      </c>
      <c r="D357" s="25">
        <f>IF(A357="","",COUNTIF(Transaksi!$L$2:$L$3000,A357))</f>
        <v/>
      </c>
      <c r="E357" s="13">
        <f>IF(A357="","",SUMIFS(Transaksi!$G$2:$G$3000,Transaksi!$L$2:$L$3000,A357)+SUMIFS(Transaksi!$H$2:$H$3000,Transaksi!$L$2:$L$3000,A357)+SUMIFS(Transaksi!$I$2:$I$3000,Transaksi!$L$2:$L$3000,A357))</f>
        <v/>
      </c>
      <c r="F357" s="14">
        <f>IF(A357="","",SUMIFS(Transaksi!$J$2:$J$3000,Transaksi!$L$2:$L$3000,A357))</f>
        <v/>
      </c>
      <c r="G357" s="15">
        <f>IF(A357="","",E357-F357)</f>
        <v/>
      </c>
      <c r="H357" s="16">
        <f>IF(A357="","",SUMIFS(Transaksi!$G$2:$G$3000,Transaksi!$L$2:$L$3000,"&lt;="&amp;A357)+SUMIFS(Transaksi!$H$2:$H$3000,Transaksi!$L$2:$L$3000,"&lt;="&amp;A357)+SUMIFS(Transaksi!$I$2:$I$3000,Transaksi!$L$2:$L$3000,"&lt;="&amp;A357)-(SUMIFS(Transaksi!$J$2:$J$3000,Transaksi!$L$2:$L$3000,"&lt;="&amp;A357)))</f>
        <v/>
      </c>
    </row>
    <row r="358">
      <c r="A358" s="22">
        <f>IF(354&lt;=MAX(Transaksi!$L$2:$L$3000),MAX(Transaksi!$L$2:$L$3000)-353,"")</f>
        <v/>
      </c>
      <c r="B358" s="23">
        <f>IF(A358="","",INDEX(Transaksi!$B$2:$B$3000,MATCH(A358,Transaksi!$L$2:$L$3000,0)))</f>
        <v/>
      </c>
      <c r="C358" s="24">
        <f>IF(A358="","",CHOOSE(WEEKDAY(B358,2),"Isnin","Selasa","Rabu","Khamis","Jumaat","Sabtu","Ahad"))</f>
        <v/>
      </c>
      <c r="D358" s="25">
        <f>IF(A358="","",COUNTIF(Transaksi!$L$2:$L$3000,A358))</f>
        <v/>
      </c>
      <c r="E358" s="13">
        <f>IF(A358="","",SUMIFS(Transaksi!$G$2:$G$3000,Transaksi!$L$2:$L$3000,A358)+SUMIFS(Transaksi!$H$2:$H$3000,Transaksi!$L$2:$L$3000,A358)+SUMIFS(Transaksi!$I$2:$I$3000,Transaksi!$L$2:$L$3000,A358))</f>
        <v/>
      </c>
      <c r="F358" s="14">
        <f>IF(A358="","",SUMIFS(Transaksi!$J$2:$J$3000,Transaksi!$L$2:$L$3000,A358))</f>
        <v/>
      </c>
      <c r="G358" s="15">
        <f>IF(A358="","",E358-F358)</f>
        <v/>
      </c>
      <c r="H358" s="16">
        <f>IF(A358="","",SUMIFS(Transaksi!$G$2:$G$3000,Transaksi!$L$2:$L$3000,"&lt;="&amp;A358)+SUMIFS(Transaksi!$H$2:$H$3000,Transaksi!$L$2:$L$3000,"&lt;="&amp;A358)+SUMIFS(Transaksi!$I$2:$I$3000,Transaksi!$L$2:$L$3000,"&lt;="&amp;A358)-(SUMIFS(Transaksi!$J$2:$J$3000,Transaksi!$L$2:$L$3000,"&lt;="&amp;A358)))</f>
        <v/>
      </c>
    </row>
    <row r="359">
      <c r="A359" s="22">
        <f>IF(355&lt;=MAX(Transaksi!$L$2:$L$3000),MAX(Transaksi!$L$2:$L$3000)-354,"")</f>
        <v/>
      </c>
      <c r="B359" s="23">
        <f>IF(A359="","",INDEX(Transaksi!$B$2:$B$3000,MATCH(A359,Transaksi!$L$2:$L$3000,0)))</f>
        <v/>
      </c>
      <c r="C359" s="24">
        <f>IF(A359="","",CHOOSE(WEEKDAY(B359,2),"Isnin","Selasa","Rabu","Khamis","Jumaat","Sabtu","Ahad"))</f>
        <v/>
      </c>
      <c r="D359" s="25">
        <f>IF(A359="","",COUNTIF(Transaksi!$L$2:$L$3000,A359))</f>
        <v/>
      </c>
      <c r="E359" s="13">
        <f>IF(A359="","",SUMIFS(Transaksi!$G$2:$G$3000,Transaksi!$L$2:$L$3000,A359)+SUMIFS(Transaksi!$H$2:$H$3000,Transaksi!$L$2:$L$3000,A359)+SUMIFS(Transaksi!$I$2:$I$3000,Transaksi!$L$2:$L$3000,A359))</f>
        <v/>
      </c>
      <c r="F359" s="14">
        <f>IF(A359="","",SUMIFS(Transaksi!$J$2:$J$3000,Transaksi!$L$2:$L$3000,A359))</f>
        <v/>
      </c>
      <c r="G359" s="15">
        <f>IF(A359="","",E359-F359)</f>
        <v/>
      </c>
      <c r="H359" s="16">
        <f>IF(A359="","",SUMIFS(Transaksi!$G$2:$G$3000,Transaksi!$L$2:$L$3000,"&lt;="&amp;A359)+SUMIFS(Transaksi!$H$2:$H$3000,Transaksi!$L$2:$L$3000,"&lt;="&amp;A359)+SUMIFS(Transaksi!$I$2:$I$3000,Transaksi!$L$2:$L$3000,"&lt;="&amp;A359)-(SUMIFS(Transaksi!$J$2:$J$3000,Transaksi!$L$2:$L$3000,"&lt;="&amp;A359)))</f>
        <v/>
      </c>
    </row>
    <row r="360">
      <c r="A360" s="22">
        <f>IF(356&lt;=MAX(Transaksi!$L$2:$L$3000),MAX(Transaksi!$L$2:$L$3000)-355,"")</f>
        <v/>
      </c>
      <c r="B360" s="23">
        <f>IF(A360="","",INDEX(Transaksi!$B$2:$B$3000,MATCH(A360,Transaksi!$L$2:$L$3000,0)))</f>
        <v/>
      </c>
      <c r="C360" s="24">
        <f>IF(A360="","",CHOOSE(WEEKDAY(B360,2),"Isnin","Selasa","Rabu","Khamis","Jumaat","Sabtu","Ahad"))</f>
        <v/>
      </c>
      <c r="D360" s="25">
        <f>IF(A360="","",COUNTIF(Transaksi!$L$2:$L$3000,A360))</f>
        <v/>
      </c>
      <c r="E360" s="13">
        <f>IF(A360="","",SUMIFS(Transaksi!$G$2:$G$3000,Transaksi!$L$2:$L$3000,A360)+SUMIFS(Transaksi!$H$2:$H$3000,Transaksi!$L$2:$L$3000,A360)+SUMIFS(Transaksi!$I$2:$I$3000,Transaksi!$L$2:$L$3000,A360))</f>
        <v/>
      </c>
      <c r="F360" s="14">
        <f>IF(A360="","",SUMIFS(Transaksi!$J$2:$J$3000,Transaksi!$L$2:$L$3000,A360))</f>
        <v/>
      </c>
      <c r="G360" s="15">
        <f>IF(A360="","",E360-F360)</f>
        <v/>
      </c>
      <c r="H360" s="16">
        <f>IF(A360="","",SUMIFS(Transaksi!$G$2:$G$3000,Transaksi!$L$2:$L$3000,"&lt;="&amp;A360)+SUMIFS(Transaksi!$H$2:$H$3000,Transaksi!$L$2:$L$3000,"&lt;="&amp;A360)+SUMIFS(Transaksi!$I$2:$I$3000,Transaksi!$L$2:$L$3000,"&lt;="&amp;A360)-(SUMIFS(Transaksi!$J$2:$J$3000,Transaksi!$L$2:$L$3000,"&lt;="&amp;A360)))</f>
        <v/>
      </c>
    </row>
    <row r="361">
      <c r="A361" s="22">
        <f>IF(357&lt;=MAX(Transaksi!$L$2:$L$3000),MAX(Transaksi!$L$2:$L$3000)-356,"")</f>
        <v/>
      </c>
      <c r="B361" s="23">
        <f>IF(A361="","",INDEX(Transaksi!$B$2:$B$3000,MATCH(A361,Transaksi!$L$2:$L$3000,0)))</f>
        <v/>
      </c>
      <c r="C361" s="24">
        <f>IF(A361="","",CHOOSE(WEEKDAY(B361,2),"Isnin","Selasa","Rabu","Khamis","Jumaat","Sabtu","Ahad"))</f>
        <v/>
      </c>
      <c r="D361" s="25">
        <f>IF(A361="","",COUNTIF(Transaksi!$L$2:$L$3000,A361))</f>
        <v/>
      </c>
      <c r="E361" s="13">
        <f>IF(A361="","",SUMIFS(Transaksi!$G$2:$G$3000,Transaksi!$L$2:$L$3000,A361)+SUMIFS(Transaksi!$H$2:$H$3000,Transaksi!$L$2:$L$3000,A361)+SUMIFS(Transaksi!$I$2:$I$3000,Transaksi!$L$2:$L$3000,A361))</f>
        <v/>
      </c>
      <c r="F361" s="14">
        <f>IF(A361="","",SUMIFS(Transaksi!$J$2:$J$3000,Transaksi!$L$2:$L$3000,A361))</f>
        <v/>
      </c>
      <c r="G361" s="15">
        <f>IF(A361="","",E361-F361)</f>
        <v/>
      </c>
      <c r="H361" s="16">
        <f>IF(A361="","",SUMIFS(Transaksi!$G$2:$G$3000,Transaksi!$L$2:$L$3000,"&lt;="&amp;A361)+SUMIFS(Transaksi!$H$2:$H$3000,Transaksi!$L$2:$L$3000,"&lt;="&amp;A361)+SUMIFS(Transaksi!$I$2:$I$3000,Transaksi!$L$2:$L$3000,"&lt;="&amp;A361)-(SUMIFS(Transaksi!$J$2:$J$3000,Transaksi!$L$2:$L$3000,"&lt;="&amp;A361)))</f>
        <v/>
      </c>
    </row>
    <row r="362">
      <c r="A362" s="22">
        <f>IF(358&lt;=MAX(Transaksi!$L$2:$L$3000),MAX(Transaksi!$L$2:$L$3000)-357,"")</f>
        <v/>
      </c>
      <c r="B362" s="23">
        <f>IF(A362="","",INDEX(Transaksi!$B$2:$B$3000,MATCH(A362,Transaksi!$L$2:$L$3000,0)))</f>
        <v/>
      </c>
      <c r="C362" s="24">
        <f>IF(A362="","",CHOOSE(WEEKDAY(B362,2),"Isnin","Selasa","Rabu","Khamis","Jumaat","Sabtu","Ahad"))</f>
        <v/>
      </c>
      <c r="D362" s="25">
        <f>IF(A362="","",COUNTIF(Transaksi!$L$2:$L$3000,A362))</f>
        <v/>
      </c>
      <c r="E362" s="13">
        <f>IF(A362="","",SUMIFS(Transaksi!$G$2:$G$3000,Transaksi!$L$2:$L$3000,A362)+SUMIFS(Transaksi!$H$2:$H$3000,Transaksi!$L$2:$L$3000,A362)+SUMIFS(Transaksi!$I$2:$I$3000,Transaksi!$L$2:$L$3000,A362))</f>
        <v/>
      </c>
      <c r="F362" s="14">
        <f>IF(A362="","",SUMIFS(Transaksi!$J$2:$J$3000,Transaksi!$L$2:$L$3000,A362))</f>
        <v/>
      </c>
      <c r="G362" s="15">
        <f>IF(A362="","",E362-F362)</f>
        <v/>
      </c>
      <c r="H362" s="16">
        <f>IF(A362="","",SUMIFS(Transaksi!$G$2:$G$3000,Transaksi!$L$2:$L$3000,"&lt;="&amp;A362)+SUMIFS(Transaksi!$H$2:$H$3000,Transaksi!$L$2:$L$3000,"&lt;="&amp;A362)+SUMIFS(Transaksi!$I$2:$I$3000,Transaksi!$L$2:$L$3000,"&lt;="&amp;A362)-(SUMIFS(Transaksi!$J$2:$J$3000,Transaksi!$L$2:$L$3000,"&lt;="&amp;A362)))</f>
        <v/>
      </c>
    </row>
    <row r="363">
      <c r="A363" s="22">
        <f>IF(359&lt;=MAX(Transaksi!$L$2:$L$3000),MAX(Transaksi!$L$2:$L$3000)-358,"")</f>
        <v/>
      </c>
      <c r="B363" s="23">
        <f>IF(A363="","",INDEX(Transaksi!$B$2:$B$3000,MATCH(A363,Transaksi!$L$2:$L$3000,0)))</f>
        <v/>
      </c>
      <c r="C363" s="24">
        <f>IF(A363="","",CHOOSE(WEEKDAY(B363,2),"Isnin","Selasa","Rabu","Khamis","Jumaat","Sabtu","Ahad"))</f>
        <v/>
      </c>
      <c r="D363" s="25">
        <f>IF(A363="","",COUNTIF(Transaksi!$L$2:$L$3000,A363))</f>
        <v/>
      </c>
      <c r="E363" s="13">
        <f>IF(A363="","",SUMIFS(Transaksi!$G$2:$G$3000,Transaksi!$L$2:$L$3000,A363)+SUMIFS(Transaksi!$H$2:$H$3000,Transaksi!$L$2:$L$3000,A363)+SUMIFS(Transaksi!$I$2:$I$3000,Transaksi!$L$2:$L$3000,A363))</f>
        <v/>
      </c>
      <c r="F363" s="14">
        <f>IF(A363="","",SUMIFS(Transaksi!$J$2:$J$3000,Transaksi!$L$2:$L$3000,A363))</f>
        <v/>
      </c>
      <c r="G363" s="15">
        <f>IF(A363="","",E363-F363)</f>
        <v/>
      </c>
      <c r="H363" s="16">
        <f>IF(A363="","",SUMIFS(Transaksi!$G$2:$G$3000,Transaksi!$L$2:$L$3000,"&lt;="&amp;A363)+SUMIFS(Transaksi!$H$2:$H$3000,Transaksi!$L$2:$L$3000,"&lt;="&amp;A363)+SUMIFS(Transaksi!$I$2:$I$3000,Transaksi!$L$2:$L$3000,"&lt;="&amp;A363)-(SUMIFS(Transaksi!$J$2:$J$3000,Transaksi!$L$2:$L$3000,"&lt;="&amp;A363)))</f>
        <v/>
      </c>
    </row>
    <row r="364">
      <c r="A364" s="22">
        <f>IF(360&lt;=MAX(Transaksi!$L$2:$L$3000),MAX(Transaksi!$L$2:$L$3000)-359,"")</f>
        <v/>
      </c>
      <c r="B364" s="23">
        <f>IF(A364="","",INDEX(Transaksi!$B$2:$B$3000,MATCH(A364,Transaksi!$L$2:$L$3000,0)))</f>
        <v/>
      </c>
      <c r="C364" s="24">
        <f>IF(A364="","",CHOOSE(WEEKDAY(B364,2),"Isnin","Selasa","Rabu","Khamis","Jumaat","Sabtu","Ahad"))</f>
        <v/>
      </c>
      <c r="D364" s="25">
        <f>IF(A364="","",COUNTIF(Transaksi!$L$2:$L$3000,A364))</f>
        <v/>
      </c>
      <c r="E364" s="13">
        <f>IF(A364="","",SUMIFS(Transaksi!$G$2:$G$3000,Transaksi!$L$2:$L$3000,A364)+SUMIFS(Transaksi!$H$2:$H$3000,Transaksi!$L$2:$L$3000,A364)+SUMIFS(Transaksi!$I$2:$I$3000,Transaksi!$L$2:$L$3000,A364))</f>
        <v/>
      </c>
      <c r="F364" s="14">
        <f>IF(A364="","",SUMIFS(Transaksi!$J$2:$J$3000,Transaksi!$L$2:$L$3000,A364))</f>
        <v/>
      </c>
      <c r="G364" s="15">
        <f>IF(A364="","",E364-F364)</f>
        <v/>
      </c>
      <c r="H364" s="16">
        <f>IF(A364="","",SUMIFS(Transaksi!$G$2:$G$3000,Transaksi!$L$2:$L$3000,"&lt;="&amp;A364)+SUMIFS(Transaksi!$H$2:$H$3000,Transaksi!$L$2:$L$3000,"&lt;="&amp;A364)+SUMIFS(Transaksi!$I$2:$I$3000,Transaksi!$L$2:$L$3000,"&lt;="&amp;A364)-(SUMIFS(Transaksi!$J$2:$J$3000,Transaksi!$L$2:$L$3000,"&lt;="&amp;A364)))</f>
        <v/>
      </c>
    </row>
    <row r="365">
      <c r="A365" s="22">
        <f>IF(361&lt;=MAX(Transaksi!$L$2:$L$3000),MAX(Transaksi!$L$2:$L$3000)-360,"")</f>
        <v/>
      </c>
      <c r="B365" s="23">
        <f>IF(A365="","",INDEX(Transaksi!$B$2:$B$3000,MATCH(A365,Transaksi!$L$2:$L$3000,0)))</f>
        <v/>
      </c>
      <c r="C365" s="24">
        <f>IF(A365="","",CHOOSE(WEEKDAY(B365,2),"Isnin","Selasa","Rabu","Khamis","Jumaat","Sabtu","Ahad"))</f>
        <v/>
      </c>
      <c r="D365" s="25">
        <f>IF(A365="","",COUNTIF(Transaksi!$L$2:$L$3000,A365))</f>
        <v/>
      </c>
      <c r="E365" s="13">
        <f>IF(A365="","",SUMIFS(Transaksi!$G$2:$G$3000,Transaksi!$L$2:$L$3000,A365)+SUMIFS(Transaksi!$H$2:$H$3000,Transaksi!$L$2:$L$3000,A365)+SUMIFS(Transaksi!$I$2:$I$3000,Transaksi!$L$2:$L$3000,A365))</f>
        <v/>
      </c>
      <c r="F365" s="14">
        <f>IF(A365="","",SUMIFS(Transaksi!$J$2:$J$3000,Transaksi!$L$2:$L$3000,A365))</f>
        <v/>
      </c>
      <c r="G365" s="15">
        <f>IF(A365="","",E365-F365)</f>
        <v/>
      </c>
      <c r="H365" s="16">
        <f>IF(A365="","",SUMIFS(Transaksi!$G$2:$G$3000,Transaksi!$L$2:$L$3000,"&lt;="&amp;A365)+SUMIFS(Transaksi!$H$2:$H$3000,Transaksi!$L$2:$L$3000,"&lt;="&amp;A365)+SUMIFS(Transaksi!$I$2:$I$3000,Transaksi!$L$2:$L$3000,"&lt;="&amp;A365)-(SUMIFS(Transaksi!$J$2:$J$3000,Transaksi!$L$2:$L$3000,"&lt;="&amp;A365)))</f>
        <v/>
      </c>
    </row>
    <row r="366">
      <c r="A366" s="22">
        <f>IF(362&lt;=MAX(Transaksi!$L$2:$L$3000),MAX(Transaksi!$L$2:$L$3000)-361,"")</f>
        <v/>
      </c>
      <c r="B366" s="23">
        <f>IF(A366="","",INDEX(Transaksi!$B$2:$B$3000,MATCH(A366,Transaksi!$L$2:$L$3000,0)))</f>
        <v/>
      </c>
      <c r="C366" s="24">
        <f>IF(A366="","",CHOOSE(WEEKDAY(B366,2),"Isnin","Selasa","Rabu","Khamis","Jumaat","Sabtu","Ahad"))</f>
        <v/>
      </c>
      <c r="D366" s="25">
        <f>IF(A366="","",COUNTIF(Transaksi!$L$2:$L$3000,A366))</f>
        <v/>
      </c>
      <c r="E366" s="13">
        <f>IF(A366="","",SUMIFS(Transaksi!$G$2:$G$3000,Transaksi!$L$2:$L$3000,A366)+SUMIFS(Transaksi!$H$2:$H$3000,Transaksi!$L$2:$L$3000,A366)+SUMIFS(Transaksi!$I$2:$I$3000,Transaksi!$L$2:$L$3000,A366))</f>
        <v/>
      </c>
      <c r="F366" s="14">
        <f>IF(A366="","",SUMIFS(Transaksi!$J$2:$J$3000,Transaksi!$L$2:$L$3000,A366))</f>
        <v/>
      </c>
      <c r="G366" s="15">
        <f>IF(A366="","",E366-F366)</f>
        <v/>
      </c>
      <c r="H366" s="16">
        <f>IF(A366="","",SUMIFS(Transaksi!$G$2:$G$3000,Transaksi!$L$2:$L$3000,"&lt;="&amp;A366)+SUMIFS(Transaksi!$H$2:$H$3000,Transaksi!$L$2:$L$3000,"&lt;="&amp;A366)+SUMIFS(Transaksi!$I$2:$I$3000,Transaksi!$L$2:$L$3000,"&lt;="&amp;A366)-(SUMIFS(Transaksi!$J$2:$J$3000,Transaksi!$L$2:$L$3000,"&lt;="&amp;A366)))</f>
        <v/>
      </c>
    </row>
    <row r="367">
      <c r="A367" s="22">
        <f>IF(363&lt;=MAX(Transaksi!$L$2:$L$3000),MAX(Transaksi!$L$2:$L$3000)-362,"")</f>
        <v/>
      </c>
      <c r="B367" s="23">
        <f>IF(A367="","",INDEX(Transaksi!$B$2:$B$3000,MATCH(A367,Transaksi!$L$2:$L$3000,0)))</f>
        <v/>
      </c>
      <c r="C367" s="24">
        <f>IF(A367="","",CHOOSE(WEEKDAY(B367,2),"Isnin","Selasa","Rabu","Khamis","Jumaat","Sabtu","Ahad"))</f>
        <v/>
      </c>
      <c r="D367" s="25">
        <f>IF(A367="","",COUNTIF(Transaksi!$L$2:$L$3000,A367))</f>
        <v/>
      </c>
      <c r="E367" s="13">
        <f>IF(A367="","",SUMIFS(Transaksi!$G$2:$G$3000,Transaksi!$L$2:$L$3000,A367)+SUMIFS(Transaksi!$H$2:$H$3000,Transaksi!$L$2:$L$3000,A367)+SUMIFS(Transaksi!$I$2:$I$3000,Transaksi!$L$2:$L$3000,A367))</f>
        <v/>
      </c>
      <c r="F367" s="14">
        <f>IF(A367="","",SUMIFS(Transaksi!$J$2:$J$3000,Transaksi!$L$2:$L$3000,A367))</f>
        <v/>
      </c>
      <c r="G367" s="15">
        <f>IF(A367="","",E367-F367)</f>
        <v/>
      </c>
      <c r="H367" s="16">
        <f>IF(A367="","",SUMIFS(Transaksi!$G$2:$G$3000,Transaksi!$L$2:$L$3000,"&lt;="&amp;A367)+SUMIFS(Transaksi!$H$2:$H$3000,Transaksi!$L$2:$L$3000,"&lt;="&amp;A367)+SUMIFS(Transaksi!$I$2:$I$3000,Transaksi!$L$2:$L$3000,"&lt;="&amp;A367)-(SUMIFS(Transaksi!$J$2:$J$3000,Transaksi!$L$2:$L$3000,"&lt;="&amp;A367)))</f>
        <v/>
      </c>
    </row>
    <row r="368">
      <c r="A368" s="22">
        <f>IF(364&lt;=MAX(Transaksi!$L$2:$L$3000),MAX(Transaksi!$L$2:$L$3000)-363,"")</f>
        <v/>
      </c>
      <c r="B368" s="23">
        <f>IF(A368="","",INDEX(Transaksi!$B$2:$B$3000,MATCH(A368,Transaksi!$L$2:$L$3000,0)))</f>
        <v/>
      </c>
      <c r="C368" s="24">
        <f>IF(A368="","",CHOOSE(WEEKDAY(B368,2),"Isnin","Selasa","Rabu","Khamis","Jumaat","Sabtu","Ahad"))</f>
        <v/>
      </c>
      <c r="D368" s="25">
        <f>IF(A368="","",COUNTIF(Transaksi!$L$2:$L$3000,A368))</f>
        <v/>
      </c>
      <c r="E368" s="13">
        <f>IF(A368="","",SUMIFS(Transaksi!$G$2:$G$3000,Transaksi!$L$2:$L$3000,A368)+SUMIFS(Transaksi!$H$2:$H$3000,Transaksi!$L$2:$L$3000,A368)+SUMIFS(Transaksi!$I$2:$I$3000,Transaksi!$L$2:$L$3000,A368))</f>
        <v/>
      </c>
      <c r="F368" s="14">
        <f>IF(A368="","",SUMIFS(Transaksi!$J$2:$J$3000,Transaksi!$L$2:$L$3000,A368))</f>
        <v/>
      </c>
      <c r="G368" s="15">
        <f>IF(A368="","",E368-F368)</f>
        <v/>
      </c>
      <c r="H368" s="16">
        <f>IF(A368="","",SUMIFS(Transaksi!$G$2:$G$3000,Transaksi!$L$2:$L$3000,"&lt;="&amp;A368)+SUMIFS(Transaksi!$H$2:$H$3000,Transaksi!$L$2:$L$3000,"&lt;="&amp;A368)+SUMIFS(Transaksi!$I$2:$I$3000,Transaksi!$L$2:$L$3000,"&lt;="&amp;A368)-(SUMIFS(Transaksi!$J$2:$J$3000,Transaksi!$L$2:$L$3000,"&lt;="&amp;A368)))</f>
        <v/>
      </c>
    </row>
    <row r="369">
      <c r="A369" s="22">
        <f>IF(365&lt;=MAX(Transaksi!$L$2:$L$3000),MAX(Transaksi!$L$2:$L$3000)-364,"")</f>
        <v/>
      </c>
      <c r="B369" s="23">
        <f>IF(A369="","",INDEX(Transaksi!$B$2:$B$3000,MATCH(A369,Transaksi!$L$2:$L$3000,0)))</f>
        <v/>
      </c>
      <c r="C369" s="24">
        <f>IF(A369="","",CHOOSE(WEEKDAY(B369,2),"Isnin","Selasa","Rabu","Khamis","Jumaat","Sabtu","Ahad"))</f>
        <v/>
      </c>
      <c r="D369" s="25">
        <f>IF(A369="","",COUNTIF(Transaksi!$L$2:$L$3000,A369))</f>
        <v/>
      </c>
      <c r="E369" s="13">
        <f>IF(A369="","",SUMIFS(Transaksi!$G$2:$G$3000,Transaksi!$L$2:$L$3000,A369)+SUMIFS(Transaksi!$H$2:$H$3000,Transaksi!$L$2:$L$3000,A369)+SUMIFS(Transaksi!$I$2:$I$3000,Transaksi!$L$2:$L$3000,A369))</f>
        <v/>
      </c>
      <c r="F369" s="14">
        <f>IF(A369="","",SUMIFS(Transaksi!$J$2:$J$3000,Transaksi!$L$2:$L$3000,A369))</f>
        <v/>
      </c>
      <c r="G369" s="15">
        <f>IF(A369="","",E369-F369)</f>
        <v/>
      </c>
      <c r="H369" s="16">
        <f>IF(A369="","",SUMIFS(Transaksi!$G$2:$G$3000,Transaksi!$L$2:$L$3000,"&lt;="&amp;A369)+SUMIFS(Transaksi!$H$2:$H$3000,Transaksi!$L$2:$L$3000,"&lt;="&amp;A369)+SUMIFS(Transaksi!$I$2:$I$3000,Transaksi!$L$2:$L$3000,"&lt;="&amp;A369)-(SUMIFS(Transaksi!$J$2:$J$3000,Transaksi!$L$2:$L$3000,"&lt;="&amp;A369)))</f>
        <v/>
      </c>
    </row>
    <row r="370">
      <c r="A370" s="22">
        <f>IF(366&lt;=MAX(Transaksi!$L$2:$L$3000),MAX(Transaksi!$L$2:$L$3000)-365,"")</f>
        <v/>
      </c>
      <c r="B370" s="23">
        <f>IF(A370="","",INDEX(Transaksi!$B$2:$B$3000,MATCH(A370,Transaksi!$L$2:$L$3000,0)))</f>
        <v/>
      </c>
      <c r="C370" s="24">
        <f>IF(A370="","",CHOOSE(WEEKDAY(B370,2),"Isnin","Selasa","Rabu","Khamis","Jumaat","Sabtu","Ahad"))</f>
        <v/>
      </c>
      <c r="D370" s="25">
        <f>IF(A370="","",COUNTIF(Transaksi!$L$2:$L$3000,A370))</f>
        <v/>
      </c>
      <c r="E370" s="13">
        <f>IF(A370="","",SUMIFS(Transaksi!$G$2:$G$3000,Transaksi!$L$2:$L$3000,A370)+SUMIFS(Transaksi!$H$2:$H$3000,Transaksi!$L$2:$L$3000,A370)+SUMIFS(Transaksi!$I$2:$I$3000,Transaksi!$L$2:$L$3000,A370))</f>
        <v/>
      </c>
      <c r="F370" s="14">
        <f>IF(A370="","",SUMIFS(Transaksi!$J$2:$J$3000,Transaksi!$L$2:$L$3000,A370))</f>
        <v/>
      </c>
      <c r="G370" s="15">
        <f>IF(A370="","",E370-F370)</f>
        <v/>
      </c>
      <c r="H370" s="16">
        <f>IF(A370="","",SUMIFS(Transaksi!$G$2:$G$3000,Transaksi!$L$2:$L$3000,"&lt;="&amp;A370)+SUMIFS(Transaksi!$H$2:$H$3000,Transaksi!$L$2:$L$3000,"&lt;="&amp;A370)+SUMIFS(Transaksi!$I$2:$I$3000,Transaksi!$L$2:$L$3000,"&lt;="&amp;A370)-(SUMIFS(Transaksi!$J$2:$J$3000,Transaksi!$L$2:$L$3000,"&lt;="&amp;A370)))</f>
        <v/>
      </c>
    </row>
    <row r="371">
      <c r="A371" s="22">
        <f>IF(367&lt;=MAX(Transaksi!$L$2:$L$3000),MAX(Transaksi!$L$2:$L$3000)-366,"")</f>
        <v/>
      </c>
      <c r="B371" s="23">
        <f>IF(A371="","",INDEX(Transaksi!$B$2:$B$3000,MATCH(A371,Transaksi!$L$2:$L$3000,0)))</f>
        <v/>
      </c>
      <c r="C371" s="24">
        <f>IF(A371="","",CHOOSE(WEEKDAY(B371,2),"Isnin","Selasa","Rabu","Khamis","Jumaat","Sabtu","Ahad"))</f>
        <v/>
      </c>
      <c r="D371" s="25">
        <f>IF(A371="","",COUNTIF(Transaksi!$L$2:$L$3000,A371))</f>
        <v/>
      </c>
      <c r="E371" s="13">
        <f>IF(A371="","",SUMIFS(Transaksi!$G$2:$G$3000,Transaksi!$L$2:$L$3000,A371)+SUMIFS(Transaksi!$H$2:$H$3000,Transaksi!$L$2:$L$3000,A371)+SUMIFS(Transaksi!$I$2:$I$3000,Transaksi!$L$2:$L$3000,A371))</f>
        <v/>
      </c>
      <c r="F371" s="14">
        <f>IF(A371="","",SUMIFS(Transaksi!$J$2:$J$3000,Transaksi!$L$2:$L$3000,A371))</f>
        <v/>
      </c>
      <c r="G371" s="15">
        <f>IF(A371="","",E371-F371)</f>
        <v/>
      </c>
      <c r="H371" s="16">
        <f>IF(A371="","",SUMIFS(Transaksi!$G$2:$G$3000,Transaksi!$L$2:$L$3000,"&lt;="&amp;A371)+SUMIFS(Transaksi!$H$2:$H$3000,Transaksi!$L$2:$L$3000,"&lt;="&amp;A371)+SUMIFS(Transaksi!$I$2:$I$3000,Transaksi!$L$2:$L$3000,"&lt;="&amp;A371)-(SUMIFS(Transaksi!$J$2:$J$3000,Transaksi!$L$2:$L$3000,"&lt;="&amp;A371)))</f>
        <v/>
      </c>
    </row>
    <row r="372">
      <c r="A372" s="22">
        <f>IF(368&lt;=MAX(Transaksi!$L$2:$L$3000),MAX(Transaksi!$L$2:$L$3000)-367,"")</f>
        <v/>
      </c>
      <c r="B372" s="23">
        <f>IF(A372="","",INDEX(Transaksi!$B$2:$B$3000,MATCH(A372,Transaksi!$L$2:$L$3000,0)))</f>
        <v/>
      </c>
      <c r="C372" s="24">
        <f>IF(A372="","",CHOOSE(WEEKDAY(B372,2),"Isnin","Selasa","Rabu","Khamis","Jumaat","Sabtu","Ahad"))</f>
        <v/>
      </c>
      <c r="D372" s="25">
        <f>IF(A372="","",COUNTIF(Transaksi!$L$2:$L$3000,A372))</f>
        <v/>
      </c>
      <c r="E372" s="13">
        <f>IF(A372="","",SUMIFS(Transaksi!$G$2:$G$3000,Transaksi!$L$2:$L$3000,A372)+SUMIFS(Transaksi!$H$2:$H$3000,Transaksi!$L$2:$L$3000,A372)+SUMIFS(Transaksi!$I$2:$I$3000,Transaksi!$L$2:$L$3000,A372))</f>
        <v/>
      </c>
      <c r="F372" s="14">
        <f>IF(A372="","",SUMIFS(Transaksi!$J$2:$J$3000,Transaksi!$L$2:$L$3000,A372))</f>
        <v/>
      </c>
      <c r="G372" s="15">
        <f>IF(A372="","",E372-F372)</f>
        <v/>
      </c>
      <c r="H372" s="16">
        <f>IF(A372="","",SUMIFS(Transaksi!$G$2:$G$3000,Transaksi!$L$2:$L$3000,"&lt;="&amp;A372)+SUMIFS(Transaksi!$H$2:$H$3000,Transaksi!$L$2:$L$3000,"&lt;="&amp;A372)+SUMIFS(Transaksi!$I$2:$I$3000,Transaksi!$L$2:$L$3000,"&lt;="&amp;A372)-(SUMIFS(Transaksi!$J$2:$J$3000,Transaksi!$L$2:$L$3000,"&lt;="&amp;A372)))</f>
        <v/>
      </c>
    </row>
    <row r="373">
      <c r="A373" s="22">
        <f>IF(369&lt;=MAX(Transaksi!$L$2:$L$3000),MAX(Transaksi!$L$2:$L$3000)-368,"")</f>
        <v/>
      </c>
      <c r="B373" s="23">
        <f>IF(A373="","",INDEX(Transaksi!$B$2:$B$3000,MATCH(A373,Transaksi!$L$2:$L$3000,0)))</f>
        <v/>
      </c>
      <c r="C373" s="24">
        <f>IF(A373="","",CHOOSE(WEEKDAY(B373,2),"Isnin","Selasa","Rabu","Khamis","Jumaat","Sabtu","Ahad"))</f>
        <v/>
      </c>
      <c r="D373" s="25">
        <f>IF(A373="","",COUNTIF(Transaksi!$L$2:$L$3000,A373))</f>
        <v/>
      </c>
      <c r="E373" s="13">
        <f>IF(A373="","",SUMIFS(Transaksi!$G$2:$G$3000,Transaksi!$L$2:$L$3000,A373)+SUMIFS(Transaksi!$H$2:$H$3000,Transaksi!$L$2:$L$3000,A373)+SUMIFS(Transaksi!$I$2:$I$3000,Transaksi!$L$2:$L$3000,A373))</f>
        <v/>
      </c>
      <c r="F373" s="14">
        <f>IF(A373="","",SUMIFS(Transaksi!$J$2:$J$3000,Transaksi!$L$2:$L$3000,A373))</f>
        <v/>
      </c>
      <c r="G373" s="15">
        <f>IF(A373="","",E373-F373)</f>
        <v/>
      </c>
      <c r="H373" s="16">
        <f>IF(A373="","",SUMIFS(Transaksi!$G$2:$G$3000,Transaksi!$L$2:$L$3000,"&lt;="&amp;A373)+SUMIFS(Transaksi!$H$2:$H$3000,Transaksi!$L$2:$L$3000,"&lt;="&amp;A373)+SUMIFS(Transaksi!$I$2:$I$3000,Transaksi!$L$2:$L$3000,"&lt;="&amp;A373)-(SUMIFS(Transaksi!$J$2:$J$3000,Transaksi!$L$2:$L$3000,"&lt;="&amp;A373)))</f>
        <v/>
      </c>
    </row>
    <row r="374">
      <c r="A374" s="22">
        <f>IF(370&lt;=MAX(Transaksi!$L$2:$L$3000),MAX(Transaksi!$L$2:$L$3000)-369,"")</f>
        <v/>
      </c>
      <c r="B374" s="23">
        <f>IF(A374="","",INDEX(Transaksi!$B$2:$B$3000,MATCH(A374,Transaksi!$L$2:$L$3000,0)))</f>
        <v/>
      </c>
      <c r="C374" s="24">
        <f>IF(A374="","",CHOOSE(WEEKDAY(B374,2),"Isnin","Selasa","Rabu","Khamis","Jumaat","Sabtu","Ahad"))</f>
        <v/>
      </c>
      <c r="D374" s="25">
        <f>IF(A374="","",COUNTIF(Transaksi!$L$2:$L$3000,A374))</f>
        <v/>
      </c>
      <c r="E374" s="13">
        <f>IF(A374="","",SUMIFS(Transaksi!$G$2:$G$3000,Transaksi!$L$2:$L$3000,A374)+SUMIFS(Transaksi!$H$2:$H$3000,Transaksi!$L$2:$L$3000,A374)+SUMIFS(Transaksi!$I$2:$I$3000,Transaksi!$L$2:$L$3000,A374))</f>
        <v/>
      </c>
      <c r="F374" s="14">
        <f>IF(A374="","",SUMIFS(Transaksi!$J$2:$J$3000,Transaksi!$L$2:$L$3000,A374))</f>
        <v/>
      </c>
      <c r="G374" s="15">
        <f>IF(A374="","",E374-F374)</f>
        <v/>
      </c>
      <c r="H374" s="16">
        <f>IF(A374="","",SUMIFS(Transaksi!$G$2:$G$3000,Transaksi!$L$2:$L$3000,"&lt;="&amp;A374)+SUMIFS(Transaksi!$H$2:$H$3000,Transaksi!$L$2:$L$3000,"&lt;="&amp;A374)+SUMIFS(Transaksi!$I$2:$I$3000,Transaksi!$L$2:$L$3000,"&lt;="&amp;A374)-(SUMIFS(Transaksi!$J$2:$J$3000,Transaksi!$L$2:$L$3000,"&lt;="&amp;A374)))</f>
        <v/>
      </c>
    </row>
    <row r="375">
      <c r="A375" s="22">
        <f>IF(371&lt;=MAX(Transaksi!$L$2:$L$3000),MAX(Transaksi!$L$2:$L$3000)-370,"")</f>
        <v/>
      </c>
      <c r="B375" s="23">
        <f>IF(A375="","",INDEX(Transaksi!$B$2:$B$3000,MATCH(A375,Transaksi!$L$2:$L$3000,0)))</f>
        <v/>
      </c>
      <c r="C375" s="24">
        <f>IF(A375="","",CHOOSE(WEEKDAY(B375,2),"Isnin","Selasa","Rabu","Khamis","Jumaat","Sabtu","Ahad"))</f>
        <v/>
      </c>
      <c r="D375" s="25">
        <f>IF(A375="","",COUNTIF(Transaksi!$L$2:$L$3000,A375))</f>
        <v/>
      </c>
      <c r="E375" s="13">
        <f>IF(A375="","",SUMIFS(Transaksi!$G$2:$G$3000,Transaksi!$L$2:$L$3000,A375)+SUMIFS(Transaksi!$H$2:$H$3000,Transaksi!$L$2:$L$3000,A375)+SUMIFS(Transaksi!$I$2:$I$3000,Transaksi!$L$2:$L$3000,A375))</f>
        <v/>
      </c>
      <c r="F375" s="14">
        <f>IF(A375="","",SUMIFS(Transaksi!$J$2:$J$3000,Transaksi!$L$2:$L$3000,A375))</f>
        <v/>
      </c>
      <c r="G375" s="15">
        <f>IF(A375="","",E375-F375)</f>
        <v/>
      </c>
      <c r="H375" s="16">
        <f>IF(A375="","",SUMIFS(Transaksi!$G$2:$G$3000,Transaksi!$L$2:$L$3000,"&lt;="&amp;A375)+SUMIFS(Transaksi!$H$2:$H$3000,Transaksi!$L$2:$L$3000,"&lt;="&amp;A375)+SUMIFS(Transaksi!$I$2:$I$3000,Transaksi!$L$2:$L$3000,"&lt;="&amp;A375)-(SUMIFS(Transaksi!$J$2:$J$3000,Transaksi!$L$2:$L$3000,"&lt;="&amp;A375)))</f>
        <v/>
      </c>
    </row>
    <row r="376">
      <c r="A376" s="22">
        <f>IF(372&lt;=MAX(Transaksi!$L$2:$L$3000),MAX(Transaksi!$L$2:$L$3000)-371,"")</f>
        <v/>
      </c>
      <c r="B376" s="23">
        <f>IF(A376="","",INDEX(Transaksi!$B$2:$B$3000,MATCH(A376,Transaksi!$L$2:$L$3000,0)))</f>
        <v/>
      </c>
      <c r="C376" s="24">
        <f>IF(A376="","",CHOOSE(WEEKDAY(B376,2),"Isnin","Selasa","Rabu","Khamis","Jumaat","Sabtu","Ahad"))</f>
        <v/>
      </c>
      <c r="D376" s="25">
        <f>IF(A376="","",COUNTIF(Transaksi!$L$2:$L$3000,A376))</f>
        <v/>
      </c>
      <c r="E376" s="13">
        <f>IF(A376="","",SUMIFS(Transaksi!$G$2:$G$3000,Transaksi!$L$2:$L$3000,A376)+SUMIFS(Transaksi!$H$2:$H$3000,Transaksi!$L$2:$L$3000,A376)+SUMIFS(Transaksi!$I$2:$I$3000,Transaksi!$L$2:$L$3000,A376))</f>
        <v/>
      </c>
      <c r="F376" s="14">
        <f>IF(A376="","",SUMIFS(Transaksi!$J$2:$J$3000,Transaksi!$L$2:$L$3000,A376))</f>
        <v/>
      </c>
      <c r="G376" s="15">
        <f>IF(A376="","",E376-F376)</f>
        <v/>
      </c>
      <c r="H376" s="16">
        <f>IF(A376="","",SUMIFS(Transaksi!$G$2:$G$3000,Transaksi!$L$2:$L$3000,"&lt;="&amp;A376)+SUMIFS(Transaksi!$H$2:$H$3000,Transaksi!$L$2:$L$3000,"&lt;="&amp;A376)+SUMIFS(Transaksi!$I$2:$I$3000,Transaksi!$L$2:$L$3000,"&lt;="&amp;A376)-(SUMIFS(Transaksi!$J$2:$J$3000,Transaksi!$L$2:$L$3000,"&lt;="&amp;A376)))</f>
        <v/>
      </c>
    </row>
    <row r="377">
      <c r="A377" s="22">
        <f>IF(373&lt;=MAX(Transaksi!$L$2:$L$3000),MAX(Transaksi!$L$2:$L$3000)-372,"")</f>
        <v/>
      </c>
      <c r="B377" s="23">
        <f>IF(A377="","",INDEX(Transaksi!$B$2:$B$3000,MATCH(A377,Transaksi!$L$2:$L$3000,0)))</f>
        <v/>
      </c>
      <c r="C377" s="24">
        <f>IF(A377="","",CHOOSE(WEEKDAY(B377,2),"Isnin","Selasa","Rabu","Khamis","Jumaat","Sabtu","Ahad"))</f>
        <v/>
      </c>
      <c r="D377" s="25">
        <f>IF(A377="","",COUNTIF(Transaksi!$L$2:$L$3000,A377))</f>
        <v/>
      </c>
      <c r="E377" s="13">
        <f>IF(A377="","",SUMIFS(Transaksi!$G$2:$G$3000,Transaksi!$L$2:$L$3000,A377)+SUMIFS(Transaksi!$H$2:$H$3000,Transaksi!$L$2:$L$3000,A377)+SUMIFS(Transaksi!$I$2:$I$3000,Transaksi!$L$2:$L$3000,A377))</f>
        <v/>
      </c>
      <c r="F377" s="14">
        <f>IF(A377="","",SUMIFS(Transaksi!$J$2:$J$3000,Transaksi!$L$2:$L$3000,A377))</f>
        <v/>
      </c>
      <c r="G377" s="15">
        <f>IF(A377="","",E377-F377)</f>
        <v/>
      </c>
      <c r="H377" s="16">
        <f>IF(A377="","",SUMIFS(Transaksi!$G$2:$G$3000,Transaksi!$L$2:$L$3000,"&lt;="&amp;A377)+SUMIFS(Transaksi!$H$2:$H$3000,Transaksi!$L$2:$L$3000,"&lt;="&amp;A377)+SUMIFS(Transaksi!$I$2:$I$3000,Transaksi!$L$2:$L$3000,"&lt;="&amp;A377)-(SUMIFS(Transaksi!$J$2:$J$3000,Transaksi!$L$2:$L$3000,"&lt;="&amp;A377)))</f>
        <v/>
      </c>
    </row>
    <row r="378">
      <c r="A378" s="22">
        <f>IF(374&lt;=MAX(Transaksi!$L$2:$L$3000),MAX(Transaksi!$L$2:$L$3000)-373,"")</f>
        <v/>
      </c>
      <c r="B378" s="23">
        <f>IF(A378="","",INDEX(Transaksi!$B$2:$B$3000,MATCH(A378,Transaksi!$L$2:$L$3000,0)))</f>
        <v/>
      </c>
      <c r="C378" s="24">
        <f>IF(A378="","",CHOOSE(WEEKDAY(B378,2),"Isnin","Selasa","Rabu","Khamis","Jumaat","Sabtu","Ahad"))</f>
        <v/>
      </c>
      <c r="D378" s="25">
        <f>IF(A378="","",COUNTIF(Transaksi!$L$2:$L$3000,A378))</f>
        <v/>
      </c>
      <c r="E378" s="13">
        <f>IF(A378="","",SUMIFS(Transaksi!$G$2:$G$3000,Transaksi!$L$2:$L$3000,A378)+SUMIFS(Transaksi!$H$2:$H$3000,Transaksi!$L$2:$L$3000,A378)+SUMIFS(Transaksi!$I$2:$I$3000,Transaksi!$L$2:$L$3000,A378))</f>
        <v/>
      </c>
      <c r="F378" s="14">
        <f>IF(A378="","",SUMIFS(Transaksi!$J$2:$J$3000,Transaksi!$L$2:$L$3000,A378))</f>
        <v/>
      </c>
      <c r="G378" s="15">
        <f>IF(A378="","",E378-F378)</f>
        <v/>
      </c>
      <c r="H378" s="16">
        <f>IF(A378="","",SUMIFS(Transaksi!$G$2:$G$3000,Transaksi!$L$2:$L$3000,"&lt;="&amp;A378)+SUMIFS(Transaksi!$H$2:$H$3000,Transaksi!$L$2:$L$3000,"&lt;="&amp;A378)+SUMIFS(Transaksi!$I$2:$I$3000,Transaksi!$L$2:$L$3000,"&lt;="&amp;A378)-(SUMIFS(Transaksi!$J$2:$J$3000,Transaksi!$L$2:$L$3000,"&lt;="&amp;A378)))</f>
        <v/>
      </c>
    </row>
    <row r="379">
      <c r="A379" s="22">
        <f>IF(375&lt;=MAX(Transaksi!$L$2:$L$3000),MAX(Transaksi!$L$2:$L$3000)-374,"")</f>
        <v/>
      </c>
      <c r="B379" s="23">
        <f>IF(A379="","",INDEX(Transaksi!$B$2:$B$3000,MATCH(A379,Transaksi!$L$2:$L$3000,0)))</f>
        <v/>
      </c>
      <c r="C379" s="24">
        <f>IF(A379="","",CHOOSE(WEEKDAY(B379,2),"Isnin","Selasa","Rabu","Khamis","Jumaat","Sabtu","Ahad"))</f>
        <v/>
      </c>
      <c r="D379" s="25">
        <f>IF(A379="","",COUNTIF(Transaksi!$L$2:$L$3000,A379))</f>
        <v/>
      </c>
      <c r="E379" s="13">
        <f>IF(A379="","",SUMIFS(Transaksi!$G$2:$G$3000,Transaksi!$L$2:$L$3000,A379)+SUMIFS(Transaksi!$H$2:$H$3000,Transaksi!$L$2:$L$3000,A379)+SUMIFS(Transaksi!$I$2:$I$3000,Transaksi!$L$2:$L$3000,A379))</f>
        <v/>
      </c>
      <c r="F379" s="14">
        <f>IF(A379="","",SUMIFS(Transaksi!$J$2:$J$3000,Transaksi!$L$2:$L$3000,A379))</f>
        <v/>
      </c>
      <c r="G379" s="15">
        <f>IF(A379="","",E379-F379)</f>
        <v/>
      </c>
      <c r="H379" s="16">
        <f>IF(A379="","",SUMIFS(Transaksi!$G$2:$G$3000,Transaksi!$L$2:$L$3000,"&lt;="&amp;A379)+SUMIFS(Transaksi!$H$2:$H$3000,Transaksi!$L$2:$L$3000,"&lt;="&amp;A379)+SUMIFS(Transaksi!$I$2:$I$3000,Transaksi!$L$2:$L$3000,"&lt;="&amp;A379)-(SUMIFS(Transaksi!$J$2:$J$3000,Transaksi!$L$2:$L$3000,"&lt;="&amp;A379)))</f>
        <v/>
      </c>
    </row>
    <row r="380">
      <c r="A380" s="22">
        <f>IF(376&lt;=MAX(Transaksi!$L$2:$L$3000),MAX(Transaksi!$L$2:$L$3000)-375,"")</f>
        <v/>
      </c>
      <c r="B380" s="23">
        <f>IF(A380="","",INDEX(Transaksi!$B$2:$B$3000,MATCH(A380,Transaksi!$L$2:$L$3000,0)))</f>
        <v/>
      </c>
      <c r="C380" s="24">
        <f>IF(A380="","",CHOOSE(WEEKDAY(B380,2),"Isnin","Selasa","Rabu","Khamis","Jumaat","Sabtu","Ahad"))</f>
        <v/>
      </c>
      <c r="D380" s="25">
        <f>IF(A380="","",COUNTIF(Transaksi!$L$2:$L$3000,A380))</f>
        <v/>
      </c>
      <c r="E380" s="13">
        <f>IF(A380="","",SUMIFS(Transaksi!$G$2:$G$3000,Transaksi!$L$2:$L$3000,A380)+SUMIFS(Transaksi!$H$2:$H$3000,Transaksi!$L$2:$L$3000,A380)+SUMIFS(Transaksi!$I$2:$I$3000,Transaksi!$L$2:$L$3000,A380))</f>
        <v/>
      </c>
      <c r="F380" s="14">
        <f>IF(A380="","",SUMIFS(Transaksi!$J$2:$J$3000,Transaksi!$L$2:$L$3000,A380))</f>
        <v/>
      </c>
      <c r="G380" s="15">
        <f>IF(A380="","",E380-F380)</f>
        <v/>
      </c>
      <c r="H380" s="16">
        <f>IF(A380="","",SUMIFS(Transaksi!$G$2:$G$3000,Transaksi!$L$2:$L$3000,"&lt;="&amp;A380)+SUMIFS(Transaksi!$H$2:$H$3000,Transaksi!$L$2:$L$3000,"&lt;="&amp;A380)+SUMIFS(Transaksi!$I$2:$I$3000,Transaksi!$L$2:$L$3000,"&lt;="&amp;A380)-(SUMIFS(Transaksi!$J$2:$J$3000,Transaksi!$L$2:$L$3000,"&lt;="&amp;A380)))</f>
        <v/>
      </c>
    </row>
    <row r="381">
      <c r="A381" s="22">
        <f>IF(377&lt;=MAX(Transaksi!$L$2:$L$3000),MAX(Transaksi!$L$2:$L$3000)-376,"")</f>
        <v/>
      </c>
      <c r="B381" s="23">
        <f>IF(A381="","",INDEX(Transaksi!$B$2:$B$3000,MATCH(A381,Transaksi!$L$2:$L$3000,0)))</f>
        <v/>
      </c>
      <c r="C381" s="24">
        <f>IF(A381="","",CHOOSE(WEEKDAY(B381,2),"Isnin","Selasa","Rabu","Khamis","Jumaat","Sabtu","Ahad"))</f>
        <v/>
      </c>
      <c r="D381" s="25">
        <f>IF(A381="","",COUNTIF(Transaksi!$L$2:$L$3000,A381))</f>
        <v/>
      </c>
      <c r="E381" s="13">
        <f>IF(A381="","",SUMIFS(Transaksi!$G$2:$G$3000,Transaksi!$L$2:$L$3000,A381)+SUMIFS(Transaksi!$H$2:$H$3000,Transaksi!$L$2:$L$3000,A381)+SUMIFS(Transaksi!$I$2:$I$3000,Transaksi!$L$2:$L$3000,A381))</f>
        <v/>
      </c>
      <c r="F381" s="14">
        <f>IF(A381="","",SUMIFS(Transaksi!$J$2:$J$3000,Transaksi!$L$2:$L$3000,A381))</f>
        <v/>
      </c>
      <c r="G381" s="15">
        <f>IF(A381="","",E381-F381)</f>
        <v/>
      </c>
      <c r="H381" s="16">
        <f>IF(A381="","",SUMIFS(Transaksi!$G$2:$G$3000,Transaksi!$L$2:$L$3000,"&lt;="&amp;A381)+SUMIFS(Transaksi!$H$2:$H$3000,Transaksi!$L$2:$L$3000,"&lt;="&amp;A381)+SUMIFS(Transaksi!$I$2:$I$3000,Transaksi!$L$2:$L$3000,"&lt;="&amp;A381)-(SUMIFS(Transaksi!$J$2:$J$3000,Transaksi!$L$2:$L$3000,"&lt;="&amp;A381)))</f>
        <v/>
      </c>
    </row>
    <row r="382">
      <c r="A382" s="22">
        <f>IF(378&lt;=MAX(Transaksi!$L$2:$L$3000),MAX(Transaksi!$L$2:$L$3000)-377,"")</f>
        <v/>
      </c>
      <c r="B382" s="23">
        <f>IF(A382="","",INDEX(Transaksi!$B$2:$B$3000,MATCH(A382,Transaksi!$L$2:$L$3000,0)))</f>
        <v/>
      </c>
      <c r="C382" s="24">
        <f>IF(A382="","",CHOOSE(WEEKDAY(B382,2),"Isnin","Selasa","Rabu","Khamis","Jumaat","Sabtu","Ahad"))</f>
        <v/>
      </c>
      <c r="D382" s="25">
        <f>IF(A382="","",COUNTIF(Transaksi!$L$2:$L$3000,A382))</f>
        <v/>
      </c>
      <c r="E382" s="13">
        <f>IF(A382="","",SUMIFS(Transaksi!$G$2:$G$3000,Transaksi!$L$2:$L$3000,A382)+SUMIFS(Transaksi!$H$2:$H$3000,Transaksi!$L$2:$L$3000,A382)+SUMIFS(Transaksi!$I$2:$I$3000,Transaksi!$L$2:$L$3000,A382))</f>
        <v/>
      </c>
      <c r="F382" s="14">
        <f>IF(A382="","",SUMIFS(Transaksi!$J$2:$J$3000,Transaksi!$L$2:$L$3000,A382))</f>
        <v/>
      </c>
      <c r="G382" s="15">
        <f>IF(A382="","",E382-F382)</f>
        <v/>
      </c>
      <c r="H382" s="16">
        <f>IF(A382="","",SUMIFS(Transaksi!$G$2:$G$3000,Transaksi!$L$2:$L$3000,"&lt;="&amp;A382)+SUMIFS(Transaksi!$H$2:$H$3000,Transaksi!$L$2:$L$3000,"&lt;="&amp;A382)+SUMIFS(Transaksi!$I$2:$I$3000,Transaksi!$L$2:$L$3000,"&lt;="&amp;A382)-(SUMIFS(Transaksi!$J$2:$J$3000,Transaksi!$L$2:$L$3000,"&lt;="&amp;A382)))</f>
        <v/>
      </c>
    </row>
    <row r="383">
      <c r="A383" s="22">
        <f>IF(379&lt;=MAX(Transaksi!$L$2:$L$3000),MAX(Transaksi!$L$2:$L$3000)-378,"")</f>
        <v/>
      </c>
      <c r="B383" s="23">
        <f>IF(A383="","",INDEX(Transaksi!$B$2:$B$3000,MATCH(A383,Transaksi!$L$2:$L$3000,0)))</f>
        <v/>
      </c>
      <c r="C383" s="24">
        <f>IF(A383="","",CHOOSE(WEEKDAY(B383,2),"Isnin","Selasa","Rabu","Khamis","Jumaat","Sabtu","Ahad"))</f>
        <v/>
      </c>
      <c r="D383" s="25">
        <f>IF(A383="","",COUNTIF(Transaksi!$L$2:$L$3000,A383))</f>
        <v/>
      </c>
      <c r="E383" s="13">
        <f>IF(A383="","",SUMIFS(Transaksi!$G$2:$G$3000,Transaksi!$L$2:$L$3000,A383)+SUMIFS(Transaksi!$H$2:$H$3000,Transaksi!$L$2:$L$3000,A383)+SUMIFS(Transaksi!$I$2:$I$3000,Transaksi!$L$2:$L$3000,A383))</f>
        <v/>
      </c>
      <c r="F383" s="14">
        <f>IF(A383="","",SUMIFS(Transaksi!$J$2:$J$3000,Transaksi!$L$2:$L$3000,A383))</f>
        <v/>
      </c>
      <c r="G383" s="15">
        <f>IF(A383="","",E383-F383)</f>
        <v/>
      </c>
      <c r="H383" s="16">
        <f>IF(A383="","",SUMIFS(Transaksi!$G$2:$G$3000,Transaksi!$L$2:$L$3000,"&lt;="&amp;A383)+SUMIFS(Transaksi!$H$2:$H$3000,Transaksi!$L$2:$L$3000,"&lt;="&amp;A383)+SUMIFS(Transaksi!$I$2:$I$3000,Transaksi!$L$2:$L$3000,"&lt;="&amp;A383)-(SUMIFS(Transaksi!$J$2:$J$3000,Transaksi!$L$2:$L$3000,"&lt;="&amp;A383)))</f>
        <v/>
      </c>
    </row>
    <row r="384">
      <c r="A384" s="22">
        <f>IF(380&lt;=MAX(Transaksi!$L$2:$L$3000),MAX(Transaksi!$L$2:$L$3000)-379,"")</f>
        <v/>
      </c>
      <c r="B384" s="23">
        <f>IF(A384="","",INDEX(Transaksi!$B$2:$B$3000,MATCH(A384,Transaksi!$L$2:$L$3000,0)))</f>
        <v/>
      </c>
      <c r="C384" s="24">
        <f>IF(A384="","",CHOOSE(WEEKDAY(B384,2),"Isnin","Selasa","Rabu","Khamis","Jumaat","Sabtu","Ahad"))</f>
        <v/>
      </c>
      <c r="D384" s="25">
        <f>IF(A384="","",COUNTIF(Transaksi!$L$2:$L$3000,A384))</f>
        <v/>
      </c>
      <c r="E384" s="13">
        <f>IF(A384="","",SUMIFS(Transaksi!$G$2:$G$3000,Transaksi!$L$2:$L$3000,A384)+SUMIFS(Transaksi!$H$2:$H$3000,Transaksi!$L$2:$L$3000,A384)+SUMIFS(Transaksi!$I$2:$I$3000,Transaksi!$L$2:$L$3000,A384))</f>
        <v/>
      </c>
      <c r="F384" s="14">
        <f>IF(A384="","",SUMIFS(Transaksi!$J$2:$J$3000,Transaksi!$L$2:$L$3000,A384))</f>
        <v/>
      </c>
      <c r="G384" s="15">
        <f>IF(A384="","",E384-F384)</f>
        <v/>
      </c>
      <c r="H384" s="16">
        <f>IF(A384="","",SUMIFS(Transaksi!$G$2:$G$3000,Transaksi!$L$2:$L$3000,"&lt;="&amp;A384)+SUMIFS(Transaksi!$H$2:$H$3000,Transaksi!$L$2:$L$3000,"&lt;="&amp;A384)+SUMIFS(Transaksi!$I$2:$I$3000,Transaksi!$L$2:$L$3000,"&lt;="&amp;A384)-(SUMIFS(Transaksi!$J$2:$J$3000,Transaksi!$L$2:$L$3000,"&lt;="&amp;A384)))</f>
        <v/>
      </c>
    </row>
    <row r="385">
      <c r="A385" s="22">
        <f>IF(381&lt;=MAX(Transaksi!$L$2:$L$3000),MAX(Transaksi!$L$2:$L$3000)-380,"")</f>
        <v/>
      </c>
      <c r="B385" s="23">
        <f>IF(A385="","",INDEX(Transaksi!$B$2:$B$3000,MATCH(A385,Transaksi!$L$2:$L$3000,0)))</f>
        <v/>
      </c>
      <c r="C385" s="24">
        <f>IF(A385="","",CHOOSE(WEEKDAY(B385,2),"Isnin","Selasa","Rabu","Khamis","Jumaat","Sabtu","Ahad"))</f>
        <v/>
      </c>
      <c r="D385" s="25">
        <f>IF(A385="","",COUNTIF(Transaksi!$L$2:$L$3000,A385))</f>
        <v/>
      </c>
      <c r="E385" s="13">
        <f>IF(A385="","",SUMIFS(Transaksi!$G$2:$G$3000,Transaksi!$L$2:$L$3000,A385)+SUMIFS(Transaksi!$H$2:$H$3000,Transaksi!$L$2:$L$3000,A385)+SUMIFS(Transaksi!$I$2:$I$3000,Transaksi!$L$2:$L$3000,A385))</f>
        <v/>
      </c>
      <c r="F385" s="14">
        <f>IF(A385="","",SUMIFS(Transaksi!$J$2:$J$3000,Transaksi!$L$2:$L$3000,A385))</f>
        <v/>
      </c>
      <c r="G385" s="15">
        <f>IF(A385="","",E385-F385)</f>
        <v/>
      </c>
      <c r="H385" s="16">
        <f>IF(A385="","",SUMIFS(Transaksi!$G$2:$G$3000,Transaksi!$L$2:$L$3000,"&lt;="&amp;A385)+SUMIFS(Transaksi!$H$2:$H$3000,Transaksi!$L$2:$L$3000,"&lt;="&amp;A385)+SUMIFS(Transaksi!$I$2:$I$3000,Transaksi!$L$2:$L$3000,"&lt;="&amp;A385)-(SUMIFS(Transaksi!$J$2:$J$3000,Transaksi!$L$2:$L$3000,"&lt;="&amp;A385)))</f>
        <v/>
      </c>
    </row>
    <row r="386">
      <c r="A386" s="22">
        <f>IF(382&lt;=MAX(Transaksi!$L$2:$L$3000),MAX(Transaksi!$L$2:$L$3000)-381,"")</f>
        <v/>
      </c>
      <c r="B386" s="23">
        <f>IF(A386="","",INDEX(Transaksi!$B$2:$B$3000,MATCH(A386,Transaksi!$L$2:$L$3000,0)))</f>
        <v/>
      </c>
      <c r="C386" s="24">
        <f>IF(A386="","",CHOOSE(WEEKDAY(B386,2),"Isnin","Selasa","Rabu","Khamis","Jumaat","Sabtu","Ahad"))</f>
        <v/>
      </c>
      <c r="D386" s="25">
        <f>IF(A386="","",COUNTIF(Transaksi!$L$2:$L$3000,A386))</f>
        <v/>
      </c>
      <c r="E386" s="13">
        <f>IF(A386="","",SUMIFS(Transaksi!$G$2:$G$3000,Transaksi!$L$2:$L$3000,A386)+SUMIFS(Transaksi!$H$2:$H$3000,Transaksi!$L$2:$L$3000,A386)+SUMIFS(Transaksi!$I$2:$I$3000,Transaksi!$L$2:$L$3000,A386))</f>
        <v/>
      </c>
      <c r="F386" s="14">
        <f>IF(A386="","",SUMIFS(Transaksi!$J$2:$J$3000,Transaksi!$L$2:$L$3000,A386))</f>
        <v/>
      </c>
      <c r="G386" s="15">
        <f>IF(A386="","",E386-F386)</f>
        <v/>
      </c>
      <c r="H386" s="16">
        <f>IF(A386="","",SUMIFS(Transaksi!$G$2:$G$3000,Transaksi!$L$2:$L$3000,"&lt;="&amp;A386)+SUMIFS(Transaksi!$H$2:$H$3000,Transaksi!$L$2:$L$3000,"&lt;="&amp;A386)+SUMIFS(Transaksi!$I$2:$I$3000,Transaksi!$L$2:$L$3000,"&lt;="&amp;A386)-(SUMIFS(Transaksi!$J$2:$J$3000,Transaksi!$L$2:$L$3000,"&lt;="&amp;A386)))</f>
        <v/>
      </c>
    </row>
    <row r="387">
      <c r="A387" s="22">
        <f>IF(383&lt;=MAX(Transaksi!$L$2:$L$3000),MAX(Transaksi!$L$2:$L$3000)-382,"")</f>
        <v/>
      </c>
      <c r="B387" s="23">
        <f>IF(A387="","",INDEX(Transaksi!$B$2:$B$3000,MATCH(A387,Transaksi!$L$2:$L$3000,0)))</f>
        <v/>
      </c>
      <c r="C387" s="24">
        <f>IF(A387="","",CHOOSE(WEEKDAY(B387,2),"Isnin","Selasa","Rabu","Khamis","Jumaat","Sabtu","Ahad"))</f>
        <v/>
      </c>
      <c r="D387" s="25">
        <f>IF(A387="","",COUNTIF(Transaksi!$L$2:$L$3000,A387))</f>
        <v/>
      </c>
      <c r="E387" s="13">
        <f>IF(A387="","",SUMIFS(Transaksi!$G$2:$G$3000,Transaksi!$L$2:$L$3000,A387)+SUMIFS(Transaksi!$H$2:$H$3000,Transaksi!$L$2:$L$3000,A387)+SUMIFS(Transaksi!$I$2:$I$3000,Transaksi!$L$2:$L$3000,A387))</f>
        <v/>
      </c>
      <c r="F387" s="14">
        <f>IF(A387="","",SUMIFS(Transaksi!$J$2:$J$3000,Transaksi!$L$2:$L$3000,A387))</f>
        <v/>
      </c>
      <c r="G387" s="15">
        <f>IF(A387="","",E387-F387)</f>
        <v/>
      </c>
      <c r="H387" s="16">
        <f>IF(A387="","",SUMIFS(Transaksi!$G$2:$G$3000,Transaksi!$L$2:$L$3000,"&lt;="&amp;A387)+SUMIFS(Transaksi!$H$2:$H$3000,Transaksi!$L$2:$L$3000,"&lt;="&amp;A387)+SUMIFS(Transaksi!$I$2:$I$3000,Transaksi!$L$2:$L$3000,"&lt;="&amp;A387)-(SUMIFS(Transaksi!$J$2:$J$3000,Transaksi!$L$2:$L$3000,"&lt;="&amp;A387)))</f>
        <v/>
      </c>
    </row>
    <row r="388">
      <c r="A388" s="22">
        <f>IF(384&lt;=MAX(Transaksi!$L$2:$L$3000),MAX(Transaksi!$L$2:$L$3000)-383,"")</f>
        <v/>
      </c>
      <c r="B388" s="23">
        <f>IF(A388="","",INDEX(Transaksi!$B$2:$B$3000,MATCH(A388,Transaksi!$L$2:$L$3000,0)))</f>
        <v/>
      </c>
      <c r="C388" s="24">
        <f>IF(A388="","",CHOOSE(WEEKDAY(B388,2),"Isnin","Selasa","Rabu","Khamis","Jumaat","Sabtu","Ahad"))</f>
        <v/>
      </c>
      <c r="D388" s="25">
        <f>IF(A388="","",COUNTIF(Transaksi!$L$2:$L$3000,A388))</f>
        <v/>
      </c>
      <c r="E388" s="13">
        <f>IF(A388="","",SUMIFS(Transaksi!$G$2:$G$3000,Transaksi!$L$2:$L$3000,A388)+SUMIFS(Transaksi!$H$2:$H$3000,Transaksi!$L$2:$L$3000,A388)+SUMIFS(Transaksi!$I$2:$I$3000,Transaksi!$L$2:$L$3000,A388))</f>
        <v/>
      </c>
      <c r="F388" s="14">
        <f>IF(A388="","",SUMIFS(Transaksi!$J$2:$J$3000,Transaksi!$L$2:$L$3000,A388))</f>
        <v/>
      </c>
      <c r="G388" s="15">
        <f>IF(A388="","",E388-F388)</f>
        <v/>
      </c>
      <c r="H388" s="16">
        <f>IF(A388="","",SUMIFS(Transaksi!$G$2:$G$3000,Transaksi!$L$2:$L$3000,"&lt;="&amp;A388)+SUMIFS(Transaksi!$H$2:$H$3000,Transaksi!$L$2:$L$3000,"&lt;="&amp;A388)+SUMIFS(Transaksi!$I$2:$I$3000,Transaksi!$L$2:$L$3000,"&lt;="&amp;A388)-(SUMIFS(Transaksi!$J$2:$J$3000,Transaksi!$L$2:$L$3000,"&lt;="&amp;A388)))</f>
        <v/>
      </c>
    </row>
    <row r="389">
      <c r="A389" s="22">
        <f>IF(385&lt;=MAX(Transaksi!$L$2:$L$3000),MAX(Transaksi!$L$2:$L$3000)-384,"")</f>
        <v/>
      </c>
      <c r="B389" s="23">
        <f>IF(A389="","",INDEX(Transaksi!$B$2:$B$3000,MATCH(A389,Transaksi!$L$2:$L$3000,0)))</f>
        <v/>
      </c>
      <c r="C389" s="24">
        <f>IF(A389="","",CHOOSE(WEEKDAY(B389,2),"Isnin","Selasa","Rabu","Khamis","Jumaat","Sabtu","Ahad"))</f>
        <v/>
      </c>
      <c r="D389" s="25">
        <f>IF(A389="","",COUNTIF(Transaksi!$L$2:$L$3000,A389))</f>
        <v/>
      </c>
      <c r="E389" s="13">
        <f>IF(A389="","",SUMIFS(Transaksi!$G$2:$G$3000,Transaksi!$L$2:$L$3000,A389)+SUMIFS(Transaksi!$H$2:$H$3000,Transaksi!$L$2:$L$3000,A389)+SUMIFS(Transaksi!$I$2:$I$3000,Transaksi!$L$2:$L$3000,A389))</f>
        <v/>
      </c>
      <c r="F389" s="14">
        <f>IF(A389="","",SUMIFS(Transaksi!$J$2:$J$3000,Transaksi!$L$2:$L$3000,A389))</f>
        <v/>
      </c>
      <c r="G389" s="15">
        <f>IF(A389="","",E389-F389)</f>
        <v/>
      </c>
      <c r="H389" s="16">
        <f>IF(A389="","",SUMIFS(Transaksi!$G$2:$G$3000,Transaksi!$L$2:$L$3000,"&lt;="&amp;A389)+SUMIFS(Transaksi!$H$2:$H$3000,Transaksi!$L$2:$L$3000,"&lt;="&amp;A389)+SUMIFS(Transaksi!$I$2:$I$3000,Transaksi!$L$2:$L$3000,"&lt;="&amp;A389)-(SUMIFS(Transaksi!$J$2:$J$3000,Transaksi!$L$2:$L$3000,"&lt;="&amp;A389)))</f>
        <v/>
      </c>
    </row>
    <row r="390">
      <c r="A390" s="22">
        <f>IF(386&lt;=MAX(Transaksi!$L$2:$L$3000),MAX(Transaksi!$L$2:$L$3000)-385,"")</f>
        <v/>
      </c>
      <c r="B390" s="23">
        <f>IF(A390="","",INDEX(Transaksi!$B$2:$B$3000,MATCH(A390,Transaksi!$L$2:$L$3000,0)))</f>
        <v/>
      </c>
      <c r="C390" s="24">
        <f>IF(A390="","",CHOOSE(WEEKDAY(B390,2),"Isnin","Selasa","Rabu","Khamis","Jumaat","Sabtu","Ahad"))</f>
        <v/>
      </c>
      <c r="D390" s="25">
        <f>IF(A390="","",COUNTIF(Transaksi!$L$2:$L$3000,A390))</f>
        <v/>
      </c>
      <c r="E390" s="13">
        <f>IF(A390="","",SUMIFS(Transaksi!$G$2:$G$3000,Transaksi!$L$2:$L$3000,A390)+SUMIFS(Transaksi!$H$2:$H$3000,Transaksi!$L$2:$L$3000,A390)+SUMIFS(Transaksi!$I$2:$I$3000,Transaksi!$L$2:$L$3000,A390))</f>
        <v/>
      </c>
      <c r="F390" s="14">
        <f>IF(A390="","",SUMIFS(Transaksi!$J$2:$J$3000,Transaksi!$L$2:$L$3000,A390))</f>
        <v/>
      </c>
      <c r="G390" s="15">
        <f>IF(A390="","",E390-F390)</f>
        <v/>
      </c>
      <c r="H390" s="16">
        <f>IF(A390="","",SUMIFS(Transaksi!$G$2:$G$3000,Transaksi!$L$2:$L$3000,"&lt;="&amp;A390)+SUMIFS(Transaksi!$H$2:$H$3000,Transaksi!$L$2:$L$3000,"&lt;="&amp;A390)+SUMIFS(Transaksi!$I$2:$I$3000,Transaksi!$L$2:$L$3000,"&lt;="&amp;A390)-(SUMIFS(Transaksi!$J$2:$J$3000,Transaksi!$L$2:$L$3000,"&lt;="&amp;A390)))</f>
        <v/>
      </c>
    </row>
    <row r="391">
      <c r="A391" s="22">
        <f>IF(387&lt;=MAX(Transaksi!$L$2:$L$3000),MAX(Transaksi!$L$2:$L$3000)-386,"")</f>
        <v/>
      </c>
      <c r="B391" s="23">
        <f>IF(A391="","",INDEX(Transaksi!$B$2:$B$3000,MATCH(A391,Transaksi!$L$2:$L$3000,0)))</f>
        <v/>
      </c>
      <c r="C391" s="24">
        <f>IF(A391="","",CHOOSE(WEEKDAY(B391,2),"Isnin","Selasa","Rabu","Khamis","Jumaat","Sabtu","Ahad"))</f>
        <v/>
      </c>
      <c r="D391" s="25">
        <f>IF(A391="","",COUNTIF(Transaksi!$L$2:$L$3000,A391))</f>
        <v/>
      </c>
      <c r="E391" s="13">
        <f>IF(A391="","",SUMIFS(Transaksi!$G$2:$G$3000,Transaksi!$L$2:$L$3000,A391)+SUMIFS(Transaksi!$H$2:$H$3000,Transaksi!$L$2:$L$3000,A391)+SUMIFS(Transaksi!$I$2:$I$3000,Transaksi!$L$2:$L$3000,A391))</f>
        <v/>
      </c>
      <c r="F391" s="14">
        <f>IF(A391="","",SUMIFS(Transaksi!$J$2:$J$3000,Transaksi!$L$2:$L$3000,A391))</f>
        <v/>
      </c>
      <c r="G391" s="15">
        <f>IF(A391="","",E391-F391)</f>
        <v/>
      </c>
      <c r="H391" s="16">
        <f>IF(A391="","",SUMIFS(Transaksi!$G$2:$G$3000,Transaksi!$L$2:$L$3000,"&lt;="&amp;A391)+SUMIFS(Transaksi!$H$2:$H$3000,Transaksi!$L$2:$L$3000,"&lt;="&amp;A391)+SUMIFS(Transaksi!$I$2:$I$3000,Transaksi!$L$2:$L$3000,"&lt;="&amp;A391)-(SUMIFS(Transaksi!$J$2:$J$3000,Transaksi!$L$2:$L$3000,"&lt;="&amp;A391)))</f>
        <v/>
      </c>
    </row>
    <row r="392">
      <c r="A392" s="22">
        <f>IF(388&lt;=MAX(Transaksi!$L$2:$L$3000),MAX(Transaksi!$L$2:$L$3000)-387,"")</f>
        <v/>
      </c>
      <c r="B392" s="23">
        <f>IF(A392="","",INDEX(Transaksi!$B$2:$B$3000,MATCH(A392,Transaksi!$L$2:$L$3000,0)))</f>
        <v/>
      </c>
      <c r="C392" s="24">
        <f>IF(A392="","",CHOOSE(WEEKDAY(B392,2),"Isnin","Selasa","Rabu","Khamis","Jumaat","Sabtu","Ahad"))</f>
        <v/>
      </c>
      <c r="D392" s="25">
        <f>IF(A392="","",COUNTIF(Transaksi!$L$2:$L$3000,A392))</f>
        <v/>
      </c>
      <c r="E392" s="13">
        <f>IF(A392="","",SUMIFS(Transaksi!$G$2:$G$3000,Transaksi!$L$2:$L$3000,A392)+SUMIFS(Transaksi!$H$2:$H$3000,Transaksi!$L$2:$L$3000,A392)+SUMIFS(Transaksi!$I$2:$I$3000,Transaksi!$L$2:$L$3000,A392))</f>
        <v/>
      </c>
      <c r="F392" s="14">
        <f>IF(A392="","",SUMIFS(Transaksi!$J$2:$J$3000,Transaksi!$L$2:$L$3000,A392))</f>
        <v/>
      </c>
      <c r="G392" s="15">
        <f>IF(A392="","",E392-F392)</f>
        <v/>
      </c>
      <c r="H392" s="16">
        <f>IF(A392="","",SUMIFS(Transaksi!$G$2:$G$3000,Transaksi!$L$2:$L$3000,"&lt;="&amp;A392)+SUMIFS(Transaksi!$H$2:$H$3000,Transaksi!$L$2:$L$3000,"&lt;="&amp;A392)+SUMIFS(Transaksi!$I$2:$I$3000,Transaksi!$L$2:$L$3000,"&lt;="&amp;A392)-(SUMIFS(Transaksi!$J$2:$J$3000,Transaksi!$L$2:$L$3000,"&lt;="&amp;A392)))</f>
        <v/>
      </c>
    </row>
    <row r="393">
      <c r="A393" s="22">
        <f>IF(389&lt;=MAX(Transaksi!$L$2:$L$3000),MAX(Transaksi!$L$2:$L$3000)-388,"")</f>
        <v/>
      </c>
      <c r="B393" s="23">
        <f>IF(A393="","",INDEX(Transaksi!$B$2:$B$3000,MATCH(A393,Transaksi!$L$2:$L$3000,0)))</f>
        <v/>
      </c>
      <c r="C393" s="24">
        <f>IF(A393="","",CHOOSE(WEEKDAY(B393,2),"Isnin","Selasa","Rabu","Khamis","Jumaat","Sabtu","Ahad"))</f>
        <v/>
      </c>
      <c r="D393" s="25">
        <f>IF(A393="","",COUNTIF(Transaksi!$L$2:$L$3000,A393))</f>
        <v/>
      </c>
      <c r="E393" s="13">
        <f>IF(A393="","",SUMIFS(Transaksi!$G$2:$G$3000,Transaksi!$L$2:$L$3000,A393)+SUMIFS(Transaksi!$H$2:$H$3000,Transaksi!$L$2:$L$3000,A393)+SUMIFS(Transaksi!$I$2:$I$3000,Transaksi!$L$2:$L$3000,A393))</f>
        <v/>
      </c>
      <c r="F393" s="14">
        <f>IF(A393="","",SUMIFS(Transaksi!$J$2:$J$3000,Transaksi!$L$2:$L$3000,A393))</f>
        <v/>
      </c>
      <c r="G393" s="15">
        <f>IF(A393="","",E393-F393)</f>
        <v/>
      </c>
      <c r="H393" s="16">
        <f>IF(A393="","",SUMIFS(Transaksi!$G$2:$G$3000,Transaksi!$L$2:$L$3000,"&lt;="&amp;A393)+SUMIFS(Transaksi!$H$2:$H$3000,Transaksi!$L$2:$L$3000,"&lt;="&amp;A393)+SUMIFS(Transaksi!$I$2:$I$3000,Transaksi!$L$2:$L$3000,"&lt;="&amp;A393)-(SUMIFS(Transaksi!$J$2:$J$3000,Transaksi!$L$2:$L$3000,"&lt;="&amp;A393)))</f>
        <v/>
      </c>
    </row>
    <row r="394">
      <c r="A394" s="22">
        <f>IF(390&lt;=MAX(Transaksi!$L$2:$L$3000),MAX(Transaksi!$L$2:$L$3000)-389,"")</f>
        <v/>
      </c>
      <c r="B394" s="23">
        <f>IF(A394="","",INDEX(Transaksi!$B$2:$B$3000,MATCH(A394,Transaksi!$L$2:$L$3000,0)))</f>
        <v/>
      </c>
      <c r="C394" s="24">
        <f>IF(A394="","",CHOOSE(WEEKDAY(B394,2),"Isnin","Selasa","Rabu","Khamis","Jumaat","Sabtu","Ahad"))</f>
        <v/>
      </c>
      <c r="D394" s="25">
        <f>IF(A394="","",COUNTIF(Transaksi!$L$2:$L$3000,A394))</f>
        <v/>
      </c>
      <c r="E394" s="13">
        <f>IF(A394="","",SUMIFS(Transaksi!$G$2:$G$3000,Transaksi!$L$2:$L$3000,A394)+SUMIFS(Transaksi!$H$2:$H$3000,Transaksi!$L$2:$L$3000,A394)+SUMIFS(Transaksi!$I$2:$I$3000,Transaksi!$L$2:$L$3000,A394))</f>
        <v/>
      </c>
      <c r="F394" s="14">
        <f>IF(A394="","",SUMIFS(Transaksi!$J$2:$J$3000,Transaksi!$L$2:$L$3000,A394))</f>
        <v/>
      </c>
      <c r="G394" s="15">
        <f>IF(A394="","",E394-F394)</f>
        <v/>
      </c>
      <c r="H394" s="16">
        <f>IF(A394="","",SUMIFS(Transaksi!$G$2:$G$3000,Transaksi!$L$2:$L$3000,"&lt;="&amp;A394)+SUMIFS(Transaksi!$H$2:$H$3000,Transaksi!$L$2:$L$3000,"&lt;="&amp;A394)+SUMIFS(Transaksi!$I$2:$I$3000,Transaksi!$L$2:$L$3000,"&lt;="&amp;A394)-(SUMIFS(Transaksi!$J$2:$J$3000,Transaksi!$L$2:$L$3000,"&lt;="&amp;A394)))</f>
        <v/>
      </c>
    </row>
    <row r="395">
      <c r="A395" s="22">
        <f>IF(391&lt;=MAX(Transaksi!$L$2:$L$3000),MAX(Transaksi!$L$2:$L$3000)-390,"")</f>
        <v/>
      </c>
      <c r="B395" s="23">
        <f>IF(A395="","",INDEX(Transaksi!$B$2:$B$3000,MATCH(A395,Transaksi!$L$2:$L$3000,0)))</f>
        <v/>
      </c>
      <c r="C395" s="24">
        <f>IF(A395="","",CHOOSE(WEEKDAY(B395,2),"Isnin","Selasa","Rabu","Khamis","Jumaat","Sabtu","Ahad"))</f>
        <v/>
      </c>
      <c r="D395" s="25">
        <f>IF(A395="","",COUNTIF(Transaksi!$L$2:$L$3000,A395))</f>
        <v/>
      </c>
      <c r="E395" s="13">
        <f>IF(A395="","",SUMIFS(Transaksi!$G$2:$G$3000,Transaksi!$L$2:$L$3000,A395)+SUMIFS(Transaksi!$H$2:$H$3000,Transaksi!$L$2:$L$3000,A395)+SUMIFS(Transaksi!$I$2:$I$3000,Transaksi!$L$2:$L$3000,A395))</f>
        <v/>
      </c>
      <c r="F395" s="14">
        <f>IF(A395="","",SUMIFS(Transaksi!$J$2:$J$3000,Transaksi!$L$2:$L$3000,A395))</f>
        <v/>
      </c>
      <c r="G395" s="15">
        <f>IF(A395="","",E395-F395)</f>
        <v/>
      </c>
      <c r="H395" s="16">
        <f>IF(A395="","",SUMIFS(Transaksi!$G$2:$G$3000,Transaksi!$L$2:$L$3000,"&lt;="&amp;A395)+SUMIFS(Transaksi!$H$2:$H$3000,Transaksi!$L$2:$L$3000,"&lt;="&amp;A395)+SUMIFS(Transaksi!$I$2:$I$3000,Transaksi!$L$2:$L$3000,"&lt;="&amp;A395)-(SUMIFS(Transaksi!$J$2:$J$3000,Transaksi!$L$2:$L$3000,"&lt;="&amp;A395)))</f>
        <v/>
      </c>
    </row>
    <row r="396">
      <c r="A396" s="22">
        <f>IF(392&lt;=MAX(Transaksi!$L$2:$L$3000),MAX(Transaksi!$L$2:$L$3000)-391,"")</f>
        <v/>
      </c>
      <c r="B396" s="23">
        <f>IF(A396="","",INDEX(Transaksi!$B$2:$B$3000,MATCH(A396,Transaksi!$L$2:$L$3000,0)))</f>
        <v/>
      </c>
      <c r="C396" s="24">
        <f>IF(A396="","",CHOOSE(WEEKDAY(B396,2),"Isnin","Selasa","Rabu","Khamis","Jumaat","Sabtu","Ahad"))</f>
        <v/>
      </c>
      <c r="D396" s="25">
        <f>IF(A396="","",COUNTIF(Transaksi!$L$2:$L$3000,A396))</f>
        <v/>
      </c>
      <c r="E396" s="13">
        <f>IF(A396="","",SUMIFS(Transaksi!$G$2:$G$3000,Transaksi!$L$2:$L$3000,A396)+SUMIFS(Transaksi!$H$2:$H$3000,Transaksi!$L$2:$L$3000,A396)+SUMIFS(Transaksi!$I$2:$I$3000,Transaksi!$L$2:$L$3000,A396))</f>
        <v/>
      </c>
      <c r="F396" s="14">
        <f>IF(A396="","",SUMIFS(Transaksi!$J$2:$J$3000,Transaksi!$L$2:$L$3000,A396))</f>
        <v/>
      </c>
      <c r="G396" s="15">
        <f>IF(A396="","",E396-F396)</f>
        <v/>
      </c>
      <c r="H396" s="16">
        <f>IF(A396="","",SUMIFS(Transaksi!$G$2:$G$3000,Transaksi!$L$2:$L$3000,"&lt;="&amp;A396)+SUMIFS(Transaksi!$H$2:$H$3000,Transaksi!$L$2:$L$3000,"&lt;="&amp;A396)+SUMIFS(Transaksi!$I$2:$I$3000,Transaksi!$L$2:$L$3000,"&lt;="&amp;A396)-(SUMIFS(Transaksi!$J$2:$J$3000,Transaksi!$L$2:$L$3000,"&lt;="&amp;A396)))</f>
        <v/>
      </c>
    </row>
    <row r="397">
      <c r="A397" s="22">
        <f>IF(393&lt;=MAX(Transaksi!$L$2:$L$3000),MAX(Transaksi!$L$2:$L$3000)-392,"")</f>
        <v/>
      </c>
      <c r="B397" s="23">
        <f>IF(A397="","",INDEX(Transaksi!$B$2:$B$3000,MATCH(A397,Transaksi!$L$2:$L$3000,0)))</f>
        <v/>
      </c>
      <c r="C397" s="24">
        <f>IF(A397="","",CHOOSE(WEEKDAY(B397,2),"Isnin","Selasa","Rabu","Khamis","Jumaat","Sabtu","Ahad"))</f>
        <v/>
      </c>
      <c r="D397" s="25">
        <f>IF(A397="","",COUNTIF(Transaksi!$L$2:$L$3000,A397))</f>
        <v/>
      </c>
      <c r="E397" s="13">
        <f>IF(A397="","",SUMIFS(Transaksi!$G$2:$G$3000,Transaksi!$L$2:$L$3000,A397)+SUMIFS(Transaksi!$H$2:$H$3000,Transaksi!$L$2:$L$3000,A397)+SUMIFS(Transaksi!$I$2:$I$3000,Transaksi!$L$2:$L$3000,A397))</f>
        <v/>
      </c>
      <c r="F397" s="14">
        <f>IF(A397="","",SUMIFS(Transaksi!$J$2:$J$3000,Transaksi!$L$2:$L$3000,A397))</f>
        <v/>
      </c>
      <c r="G397" s="15">
        <f>IF(A397="","",E397-F397)</f>
        <v/>
      </c>
      <c r="H397" s="16">
        <f>IF(A397="","",SUMIFS(Transaksi!$G$2:$G$3000,Transaksi!$L$2:$L$3000,"&lt;="&amp;A397)+SUMIFS(Transaksi!$H$2:$H$3000,Transaksi!$L$2:$L$3000,"&lt;="&amp;A397)+SUMIFS(Transaksi!$I$2:$I$3000,Transaksi!$L$2:$L$3000,"&lt;="&amp;A397)-(SUMIFS(Transaksi!$J$2:$J$3000,Transaksi!$L$2:$L$3000,"&lt;="&amp;A397)))</f>
        <v/>
      </c>
    </row>
    <row r="398">
      <c r="A398" s="22">
        <f>IF(394&lt;=MAX(Transaksi!$L$2:$L$3000),MAX(Transaksi!$L$2:$L$3000)-393,"")</f>
        <v/>
      </c>
      <c r="B398" s="23">
        <f>IF(A398="","",INDEX(Transaksi!$B$2:$B$3000,MATCH(A398,Transaksi!$L$2:$L$3000,0)))</f>
        <v/>
      </c>
      <c r="C398" s="24">
        <f>IF(A398="","",CHOOSE(WEEKDAY(B398,2),"Isnin","Selasa","Rabu","Khamis","Jumaat","Sabtu","Ahad"))</f>
        <v/>
      </c>
      <c r="D398" s="25">
        <f>IF(A398="","",COUNTIF(Transaksi!$L$2:$L$3000,A398))</f>
        <v/>
      </c>
      <c r="E398" s="13">
        <f>IF(A398="","",SUMIFS(Transaksi!$G$2:$G$3000,Transaksi!$L$2:$L$3000,A398)+SUMIFS(Transaksi!$H$2:$H$3000,Transaksi!$L$2:$L$3000,A398)+SUMIFS(Transaksi!$I$2:$I$3000,Transaksi!$L$2:$L$3000,A398))</f>
        <v/>
      </c>
      <c r="F398" s="14">
        <f>IF(A398="","",SUMIFS(Transaksi!$J$2:$J$3000,Transaksi!$L$2:$L$3000,A398))</f>
        <v/>
      </c>
      <c r="G398" s="15">
        <f>IF(A398="","",E398-F398)</f>
        <v/>
      </c>
      <c r="H398" s="16">
        <f>IF(A398="","",SUMIFS(Transaksi!$G$2:$G$3000,Transaksi!$L$2:$L$3000,"&lt;="&amp;A398)+SUMIFS(Transaksi!$H$2:$H$3000,Transaksi!$L$2:$L$3000,"&lt;="&amp;A398)+SUMIFS(Transaksi!$I$2:$I$3000,Transaksi!$L$2:$L$3000,"&lt;="&amp;A398)-(SUMIFS(Transaksi!$J$2:$J$3000,Transaksi!$L$2:$L$3000,"&lt;="&amp;A398)))</f>
        <v/>
      </c>
    </row>
    <row r="399">
      <c r="A399" s="22">
        <f>IF(395&lt;=MAX(Transaksi!$L$2:$L$3000),MAX(Transaksi!$L$2:$L$3000)-394,"")</f>
        <v/>
      </c>
      <c r="B399" s="23">
        <f>IF(A399="","",INDEX(Transaksi!$B$2:$B$3000,MATCH(A399,Transaksi!$L$2:$L$3000,0)))</f>
        <v/>
      </c>
      <c r="C399" s="24">
        <f>IF(A399="","",CHOOSE(WEEKDAY(B399,2),"Isnin","Selasa","Rabu","Khamis","Jumaat","Sabtu","Ahad"))</f>
        <v/>
      </c>
      <c r="D399" s="25">
        <f>IF(A399="","",COUNTIF(Transaksi!$L$2:$L$3000,A399))</f>
        <v/>
      </c>
      <c r="E399" s="13">
        <f>IF(A399="","",SUMIFS(Transaksi!$G$2:$G$3000,Transaksi!$L$2:$L$3000,A399)+SUMIFS(Transaksi!$H$2:$H$3000,Transaksi!$L$2:$L$3000,A399)+SUMIFS(Transaksi!$I$2:$I$3000,Transaksi!$L$2:$L$3000,A399))</f>
        <v/>
      </c>
      <c r="F399" s="14">
        <f>IF(A399="","",SUMIFS(Transaksi!$J$2:$J$3000,Transaksi!$L$2:$L$3000,A399))</f>
        <v/>
      </c>
      <c r="G399" s="15">
        <f>IF(A399="","",E399-F399)</f>
        <v/>
      </c>
      <c r="H399" s="16">
        <f>IF(A399="","",SUMIFS(Transaksi!$G$2:$G$3000,Transaksi!$L$2:$L$3000,"&lt;="&amp;A399)+SUMIFS(Transaksi!$H$2:$H$3000,Transaksi!$L$2:$L$3000,"&lt;="&amp;A399)+SUMIFS(Transaksi!$I$2:$I$3000,Transaksi!$L$2:$L$3000,"&lt;="&amp;A399)-(SUMIFS(Transaksi!$J$2:$J$3000,Transaksi!$L$2:$L$3000,"&lt;="&amp;A399)))</f>
        <v/>
      </c>
    </row>
    <row r="400">
      <c r="A400" s="22">
        <f>IF(396&lt;=MAX(Transaksi!$L$2:$L$3000),MAX(Transaksi!$L$2:$L$3000)-395,"")</f>
        <v/>
      </c>
      <c r="B400" s="23">
        <f>IF(A400="","",INDEX(Transaksi!$B$2:$B$3000,MATCH(A400,Transaksi!$L$2:$L$3000,0)))</f>
        <v/>
      </c>
      <c r="C400" s="24">
        <f>IF(A400="","",CHOOSE(WEEKDAY(B400,2),"Isnin","Selasa","Rabu","Khamis","Jumaat","Sabtu","Ahad"))</f>
        <v/>
      </c>
      <c r="D400" s="25">
        <f>IF(A400="","",COUNTIF(Transaksi!$L$2:$L$3000,A400))</f>
        <v/>
      </c>
      <c r="E400" s="13">
        <f>IF(A400="","",SUMIFS(Transaksi!$G$2:$G$3000,Transaksi!$L$2:$L$3000,A400)+SUMIFS(Transaksi!$H$2:$H$3000,Transaksi!$L$2:$L$3000,A400)+SUMIFS(Transaksi!$I$2:$I$3000,Transaksi!$L$2:$L$3000,A400))</f>
        <v/>
      </c>
      <c r="F400" s="14">
        <f>IF(A400="","",SUMIFS(Transaksi!$J$2:$J$3000,Transaksi!$L$2:$L$3000,A400))</f>
        <v/>
      </c>
      <c r="G400" s="15">
        <f>IF(A400="","",E400-F400)</f>
        <v/>
      </c>
      <c r="H400" s="16">
        <f>IF(A400="","",SUMIFS(Transaksi!$G$2:$G$3000,Transaksi!$L$2:$L$3000,"&lt;="&amp;A400)+SUMIFS(Transaksi!$H$2:$H$3000,Transaksi!$L$2:$L$3000,"&lt;="&amp;A400)+SUMIFS(Transaksi!$I$2:$I$3000,Transaksi!$L$2:$L$3000,"&lt;="&amp;A400)-(SUMIFS(Transaksi!$J$2:$J$3000,Transaksi!$L$2:$L$3000,"&lt;="&amp;A400)))</f>
        <v/>
      </c>
    </row>
    <row r="401">
      <c r="A401" s="22">
        <f>IF(397&lt;=MAX(Transaksi!$L$2:$L$3000),MAX(Transaksi!$L$2:$L$3000)-396,"")</f>
        <v/>
      </c>
      <c r="B401" s="23">
        <f>IF(A401="","",INDEX(Transaksi!$B$2:$B$3000,MATCH(A401,Transaksi!$L$2:$L$3000,0)))</f>
        <v/>
      </c>
      <c r="C401" s="24">
        <f>IF(A401="","",CHOOSE(WEEKDAY(B401,2),"Isnin","Selasa","Rabu","Khamis","Jumaat","Sabtu","Ahad"))</f>
        <v/>
      </c>
      <c r="D401" s="25">
        <f>IF(A401="","",COUNTIF(Transaksi!$L$2:$L$3000,A401))</f>
        <v/>
      </c>
      <c r="E401" s="13">
        <f>IF(A401="","",SUMIFS(Transaksi!$G$2:$G$3000,Transaksi!$L$2:$L$3000,A401)+SUMIFS(Transaksi!$H$2:$H$3000,Transaksi!$L$2:$L$3000,A401)+SUMIFS(Transaksi!$I$2:$I$3000,Transaksi!$L$2:$L$3000,A401))</f>
        <v/>
      </c>
      <c r="F401" s="14">
        <f>IF(A401="","",SUMIFS(Transaksi!$J$2:$J$3000,Transaksi!$L$2:$L$3000,A401))</f>
        <v/>
      </c>
      <c r="G401" s="15">
        <f>IF(A401="","",E401-F401)</f>
        <v/>
      </c>
      <c r="H401" s="16">
        <f>IF(A401="","",SUMIFS(Transaksi!$G$2:$G$3000,Transaksi!$L$2:$L$3000,"&lt;="&amp;A401)+SUMIFS(Transaksi!$H$2:$H$3000,Transaksi!$L$2:$L$3000,"&lt;="&amp;A401)+SUMIFS(Transaksi!$I$2:$I$3000,Transaksi!$L$2:$L$3000,"&lt;="&amp;A401)-(SUMIFS(Transaksi!$J$2:$J$3000,Transaksi!$L$2:$L$3000,"&lt;="&amp;A401)))</f>
        <v/>
      </c>
    </row>
    <row r="402">
      <c r="A402" s="22">
        <f>IF(398&lt;=MAX(Transaksi!$L$2:$L$3000),MAX(Transaksi!$L$2:$L$3000)-397,"")</f>
        <v/>
      </c>
      <c r="B402" s="23">
        <f>IF(A402="","",INDEX(Transaksi!$B$2:$B$3000,MATCH(A402,Transaksi!$L$2:$L$3000,0)))</f>
        <v/>
      </c>
      <c r="C402" s="24">
        <f>IF(A402="","",CHOOSE(WEEKDAY(B402,2),"Isnin","Selasa","Rabu","Khamis","Jumaat","Sabtu","Ahad"))</f>
        <v/>
      </c>
      <c r="D402" s="25">
        <f>IF(A402="","",COUNTIF(Transaksi!$L$2:$L$3000,A402))</f>
        <v/>
      </c>
      <c r="E402" s="13">
        <f>IF(A402="","",SUMIFS(Transaksi!$G$2:$G$3000,Transaksi!$L$2:$L$3000,A402)+SUMIFS(Transaksi!$H$2:$H$3000,Transaksi!$L$2:$L$3000,A402)+SUMIFS(Transaksi!$I$2:$I$3000,Transaksi!$L$2:$L$3000,A402))</f>
        <v/>
      </c>
      <c r="F402" s="14">
        <f>IF(A402="","",SUMIFS(Transaksi!$J$2:$J$3000,Transaksi!$L$2:$L$3000,A402))</f>
        <v/>
      </c>
      <c r="G402" s="15">
        <f>IF(A402="","",E402-F402)</f>
        <v/>
      </c>
      <c r="H402" s="16">
        <f>IF(A402="","",SUMIFS(Transaksi!$G$2:$G$3000,Transaksi!$L$2:$L$3000,"&lt;="&amp;A402)+SUMIFS(Transaksi!$H$2:$H$3000,Transaksi!$L$2:$L$3000,"&lt;="&amp;A402)+SUMIFS(Transaksi!$I$2:$I$3000,Transaksi!$L$2:$L$3000,"&lt;="&amp;A402)-(SUMIFS(Transaksi!$J$2:$J$3000,Transaksi!$L$2:$L$3000,"&lt;="&amp;A402)))</f>
        <v/>
      </c>
    </row>
    <row r="403">
      <c r="A403" s="22">
        <f>IF(399&lt;=MAX(Transaksi!$L$2:$L$3000),MAX(Transaksi!$L$2:$L$3000)-398,"")</f>
        <v/>
      </c>
      <c r="B403" s="23">
        <f>IF(A403="","",INDEX(Transaksi!$B$2:$B$3000,MATCH(A403,Transaksi!$L$2:$L$3000,0)))</f>
        <v/>
      </c>
      <c r="C403" s="24">
        <f>IF(A403="","",CHOOSE(WEEKDAY(B403,2),"Isnin","Selasa","Rabu","Khamis","Jumaat","Sabtu","Ahad"))</f>
        <v/>
      </c>
      <c r="D403" s="25">
        <f>IF(A403="","",COUNTIF(Transaksi!$L$2:$L$3000,A403))</f>
        <v/>
      </c>
      <c r="E403" s="13">
        <f>IF(A403="","",SUMIFS(Transaksi!$G$2:$G$3000,Transaksi!$L$2:$L$3000,A403)+SUMIFS(Transaksi!$H$2:$H$3000,Transaksi!$L$2:$L$3000,A403)+SUMIFS(Transaksi!$I$2:$I$3000,Transaksi!$L$2:$L$3000,A403))</f>
        <v/>
      </c>
      <c r="F403" s="14">
        <f>IF(A403="","",SUMIFS(Transaksi!$J$2:$J$3000,Transaksi!$L$2:$L$3000,A403))</f>
        <v/>
      </c>
      <c r="G403" s="15">
        <f>IF(A403="","",E403-F403)</f>
        <v/>
      </c>
      <c r="H403" s="16">
        <f>IF(A403="","",SUMIFS(Transaksi!$G$2:$G$3000,Transaksi!$L$2:$L$3000,"&lt;="&amp;A403)+SUMIFS(Transaksi!$H$2:$H$3000,Transaksi!$L$2:$L$3000,"&lt;="&amp;A403)+SUMIFS(Transaksi!$I$2:$I$3000,Transaksi!$L$2:$L$3000,"&lt;="&amp;A403)-(SUMIFS(Transaksi!$J$2:$J$3000,Transaksi!$L$2:$L$3000,"&lt;="&amp;A403)))</f>
        <v/>
      </c>
    </row>
    <row r="404">
      <c r="A404" s="22">
        <f>IF(400&lt;=MAX(Transaksi!$L$2:$L$3000),MAX(Transaksi!$L$2:$L$3000)-399,"")</f>
        <v/>
      </c>
      <c r="B404" s="23">
        <f>IF(A404="","",INDEX(Transaksi!$B$2:$B$3000,MATCH(A404,Transaksi!$L$2:$L$3000,0)))</f>
        <v/>
      </c>
      <c r="C404" s="24">
        <f>IF(A404="","",CHOOSE(WEEKDAY(B404,2),"Isnin","Selasa","Rabu","Khamis","Jumaat","Sabtu","Ahad"))</f>
        <v/>
      </c>
      <c r="D404" s="25">
        <f>IF(A404="","",COUNTIF(Transaksi!$L$2:$L$3000,A404))</f>
        <v/>
      </c>
      <c r="E404" s="13">
        <f>IF(A404="","",SUMIFS(Transaksi!$G$2:$G$3000,Transaksi!$L$2:$L$3000,A404)+SUMIFS(Transaksi!$H$2:$H$3000,Transaksi!$L$2:$L$3000,A404)+SUMIFS(Transaksi!$I$2:$I$3000,Transaksi!$L$2:$L$3000,A404))</f>
        <v/>
      </c>
      <c r="F404" s="14">
        <f>IF(A404="","",SUMIFS(Transaksi!$J$2:$J$3000,Transaksi!$L$2:$L$3000,A404))</f>
        <v/>
      </c>
      <c r="G404" s="15">
        <f>IF(A404="","",E404-F404)</f>
        <v/>
      </c>
      <c r="H404" s="16">
        <f>IF(A404="","",SUMIFS(Transaksi!$G$2:$G$3000,Transaksi!$L$2:$L$3000,"&lt;="&amp;A404)+SUMIFS(Transaksi!$H$2:$H$3000,Transaksi!$L$2:$L$3000,"&lt;="&amp;A404)+SUMIFS(Transaksi!$I$2:$I$3000,Transaksi!$L$2:$L$3000,"&lt;="&amp;A404)-(SUMIFS(Transaksi!$J$2:$J$3000,Transaksi!$L$2:$L$3000,"&lt;="&amp;A404)))</f>
        <v/>
      </c>
    </row>
  </sheetData>
  <mergeCells count="2">
    <mergeCell ref="A2:H2"/>
    <mergeCell ref="A1:H1"/>
  </mergeCells>
  <conditionalFormatting sqref="A5:H404">
    <cfRule type="expression" priority="1" dxfId="1">
      <formula>AND($A5&lt;&gt;"",ISEVEN($A5))</formula>
    </cfRule>
  </conditionalFormatting>
  <conditionalFormatting sqref="G5:G404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N30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7" customWidth="1" min="2" max="2"/>
    <col width="15" customWidth="1" min="3" max="3"/>
    <col width="44" customWidth="1" min="4" max="4"/>
    <col width="16" customWidth="1" min="5" max="5"/>
    <col width="24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7" customWidth="1" min="12" max="12"/>
  </cols>
  <sheetData>
    <row r="1" ht="32" customHeight="1">
      <c r="A1" s="11" t="inlineStr">
        <is>
          <t>ID</t>
        </is>
      </c>
      <c r="B1" s="11" t="inlineStr">
        <is>
          <t>Tarikh</t>
        </is>
      </c>
      <c r="C1" s="11" t="inlineStr">
        <is>
          <t>Ahli / Pihak</t>
        </is>
      </c>
      <c r="D1" s="11" t="inlineStr">
        <is>
          <t>Butiran</t>
        </is>
      </c>
      <c r="E1" s="11" t="inlineStr">
        <is>
          <t>Kategori</t>
        </is>
      </c>
      <c r="F1" s="11" t="inlineStr">
        <is>
          <t>Bulan Yuran</t>
        </is>
      </c>
      <c r="G1" s="11" t="inlineStr">
        <is>
          <t>Kelab (RM)</t>
        </is>
      </c>
      <c r="H1" s="11" t="inlineStr">
        <is>
          <t>Lawatan (RM)</t>
        </is>
      </c>
      <c r="I1" s="11" t="inlineStr">
        <is>
          <t>Masuk Lain (RM)</t>
        </is>
      </c>
      <c r="J1" s="11" t="inlineStr">
        <is>
          <t>Keluar (RM)</t>
        </is>
      </c>
      <c r="K1" s="11" t="inlineStr">
        <is>
          <t>Baki (RM)</t>
        </is>
      </c>
      <c r="L1" s="11" t="inlineStr">
        <is>
          <t>Hari #</t>
        </is>
      </c>
      <c r="N1" s="26" t="inlineStr">
        <is>
          <t>Bulan Yuran = bulan yang dibayar, format 2026-03, 2026-04. Bayaran separa: 2025-12:30 (RM30).</t>
        </is>
      </c>
    </row>
    <row r="2">
      <c r="A2" s="22" t="inlineStr">
        <is>
          <t>M0001</t>
        </is>
      </c>
      <c r="B2" s="27" t="n">
        <v>45833</v>
      </c>
      <c r="C2" s="17" t="inlineStr">
        <is>
          <t>Joe</t>
        </is>
      </c>
      <c r="D2" s="17" t="inlineStr">
        <is>
          <t>Joe (6)</t>
        </is>
      </c>
      <c r="E2" s="17" t="inlineStr">
        <is>
          <t>Yuran</t>
        </is>
      </c>
      <c r="F2" s="28" t="inlineStr">
        <is>
          <t>2025-06</t>
        </is>
      </c>
      <c r="G2" s="29" t="n">
        <v>35</v>
      </c>
      <c r="H2" s="29" t="n">
        <v>50</v>
      </c>
      <c r="I2" s="29" t="n"/>
      <c r="J2" s="29" t="n"/>
      <c r="K2" s="30">
        <f>IF(B2="","",SUM(G$2:I2)-SUM(J$2:J2))</f>
        <v/>
      </c>
      <c r="L2" s="22">
        <f>IF(B2="","",IF(B2=B1,L1,N(L1)+1))</f>
        <v/>
      </c>
    </row>
    <row r="3">
      <c r="A3" s="22" t="inlineStr">
        <is>
          <t>M0002</t>
        </is>
      </c>
      <c r="B3" s="27" t="n">
        <v>45833</v>
      </c>
      <c r="C3" s="17" t="inlineStr">
        <is>
          <t>Wafi</t>
        </is>
      </c>
      <c r="D3" s="17" t="inlineStr">
        <is>
          <t>Wafi (6)</t>
        </is>
      </c>
      <c r="E3" s="17" t="inlineStr">
        <is>
          <t>Yuran</t>
        </is>
      </c>
      <c r="F3" s="28" t="inlineStr">
        <is>
          <t>2025-06</t>
        </is>
      </c>
      <c r="G3" s="29" t="n">
        <v>35</v>
      </c>
      <c r="H3" s="29" t="n">
        <v>50</v>
      </c>
      <c r="I3" s="29" t="n"/>
      <c r="J3" s="29" t="n"/>
      <c r="K3" s="30">
        <f>IF(B3="","",SUM(G$2:I3)-SUM(J$2:J3))</f>
        <v/>
      </c>
      <c r="L3" s="22">
        <f>IF(B3="","",IF(B3=B2,L2,N(L2)+1))</f>
        <v/>
      </c>
    </row>
    <row r="4">
      <c r="A4" s="22" t="inlineStr">
        <is>
          <t>M0003</t>
        </is>
      </c>
      <c r="B4" s="27" t="n">
        <v>45833</v>
      </c>
      <c r="C4" s="17" t="inlineStr">
        <is>
          <t>Boss Wan</t>
        </is>
      </c>
      <c r="D4" s="17" t="inlineStr">
        <is>
          <t>Boss (6)</t>
        </is>
      </c>
      <c r="E4" s="17" t="inlineStr">
        <is>
          <t>Yuran</t>
        </is>
      </c>
      <c r="F4" s="28" t="inlineStr">
        <is>
          <t>2025-06</t>
        </is>
      </c>
      <c r="G4" s="29" t="n">
        <v>35</v>
      </c>
      <c r="H4" s="29" t="n">
        <v>50</v>
      </c>
      <c r="I4" s="29" t="n"/>
      <c r="J4" s="29" t="n"/>
      <c r="K4" s="30">
        <f>IF(B4="","",SUM(G$2:I4)-SUM(J$2:J4))</f>
        <v/>
      </c>
      <c r="L4" s="22">
        <f>IF(B4="","",IF(B4=B3,L3,N(L3)+1))</f>
        <v/>
      </c>
    </row>
    <row r="5">
      <c r="A5" s="22" t="inlineStr">
        <is>
          <t>M0004</t>
        </is>
      </c>
      <c r="B5" s="27" t="n">
        <v>45833</v>
      </c>
      <c r="C5" s="17" t="inlineStr">
        <is>
          <t>Kuchai</t>
        </is>
      </c>
      <c r="D5" s="17" t="inlineStr">
        <is>
          <t>Kuchai (6)</t>
        </is>
      </c>
      <c r="E5" s="17" t="inlineStr">
        <is>
          <t>Yuran</t>
        </is>
      </c>
      <c r="F5" s="28" t="inlineStr">
        <is>
          <t>2025-06</t>
        </is>
      </c>
      <c r="G5" s="29" t="n">
        <v>35</v>
      </c>
      <c r="H5" s="29" t="n">
        <v>50</v>
      </c>
      <c r="I5" s="29" t="n"/>
      <c r="J5" s="29" t="n"/>
      <c r="K5" s="30">
        <f>IF(B5="","",SUM(G$2:I5)-SUM(J$2:J5))</f>
        <v/>
      </c>
      <c r="L5" s="22">
        <f>IF(B5="","",IF(B5=B4,L4,N(L4)+1))</f>
        <v/>
      </c>
    </row>
    <row r="6">
      <c r="A6" s="22" t="inlineStr">
        <is>
          <t>M0005</t>
        </is>
      </c>
      <c r="B6" s="27" t="n">
        <v>45833</v>
      </c>
      <c r="C6" s="17" t="inlineStr">
        <is>
          <t>Chang</t>
        </is>
      </c>
      <c r="D6" s="17" t="inlineStr">
        <is>
          <t>Chang (6)</t>
        </is>
      </c>
      <c r="E6" s="17" t="inlineStr">
        <is>
          <t>Yuran</t>
        </is>
      </c>
      <c r="F6" s="28" t="inlineStr">
        <is>
          <t>2025-06</t>
        </is>
      </c>
      <c r="G6" s="29" t="n">
        <v>35</v>
      </c>
      <c r="H6" s="29" t="n">
        <v>50</v>
      </c>
      <c r="I6" s="29" t="n"/>
      <c r="J6" s="29" t="n"/>
      <c r="K6" s="30">
        <f>IF(B6="","",SUM(G$2:I6)-SUM(J$2:J6))</f>
        <v/>
      </c>
      <c r="L6" s="22">
        <f>IF(B6="","",IF(B6=B5,L5,N(L5)+1))</f>
        <v/>
      </c>
    </row>
    <row r="7">
      <c r="A7" s="22" t="inlineStr">
        <is>
          <t>M0006</t>
        </is>
      </c>
      <c r="B7" s="27" t="n">
        <v>45833</v>
      </c>
      <c r="C7" s="17" t="inlineStr">
        <is>
          <t>Asnawi</t>
        </is>
      </c>
      <c r="D7" s="17" t="inlineStr">
        <is>
          <t>Asnawi (6)</t>
        </is>
      </c>
      <c r="E7" s="17" t="inlineStr">
        <is>
          <t>Yuran</t>
        </is>
      </c>
      <c r="F7" s="28" t="inlineStr">
        <is>
          <t>2025-06</t>
        </is>
      </c>
      <c r="G7" s="29" t="n">
        <v>35</v>
      </c>
      <c r="H7" s="29" t="n">
        <v>50</v>
      </c>
      <c r="I7" s="29" t="n"/>
      <c r="J7" s="29" t="n"/>
      <c r="K7" s="30">
        <f>IF(B7="","",SUM(G$2:I7)-SUM(J$2:J7))</f>
        <v/>
      </c>
      <c r="L7" s="22">
        <f>IF(B7="","",IF(B7=B6,L6,N(L6)+1))</f>
        <v/>
      </c>
    </row>
    <row r="8">
      <c r="A8" s="22" t="inlineStr">
        <is>
          <t>M0007</t>
        </is>
      </c>
      <c r="B8" s="27" t="n">
        <v>45833</v>
      </c>
      <c r="C8" s="17" t="inlineStr">
        <is>
          <t>Amir</t>
        </is>
      </c>
      <c r="D8" s="17" t="inlineStr">
        <is>
          <t>Amir (6)</t>
        </is>
      </c>
      <c r="E8" s="17" t="inlineStr">
        <is>
          <t>Yuran</t>
        </is>
      </c>
      <c r="F8" s="28" t="inlineStr">
        <is>
          <t>2025-06</t>
        </is>
      </c>
      <c r="G8" s="29" t="n">
        <v>35</v>
      </c>
      <c r="H8" s="29" t="n">
        <v>50</v>
      </c>
      <c r="I8" s="29" t="n"/>
      <c r="J8" s="29" t="n"/>
      <c r="K8" s="30">
        <f>IF(B8="","",SUM(G$2:I8)-SUM(J$2:J8))</f>
        <v/>
      </c>
      <c r="L8" s="22">
        <f>IF(B8="","",IF(B8=B7,L7,N(L7)+1))</f>
        <v/>
      </c>
    </row>
    <row r="9">
      <c r="A9" s="22" t="inlineStr">
        <is>
          <t>M0008</t>
        </is>
      </c>
      <c r="B9" s="27" t="n">
        <v>45833</v>
      </c>
      <c r="C9" s="17" t="inlineStr">
        <is>
          <t>Asnawi</t>
        </is>
      </c>
      <c r="D9" s="17" t="inlineStr">
        <is>
          <t>Bayaran Duit Pantri - Asnawi</t>
        </is>
      </c>
      <c r="E9" s="17" t="inlineStr">
        <is>
          <t>Duit Pantri</t>
        </is>
      </c>
      <c r="F9" s="28" t="inlineStr"/>
      <c r="G9" s="29" t="n"/>
      <c r="H9" s="29" t="n"/>
      <c r="I9" s="29" t="n"/>
      <c r="J9" s="29" t="n">
        <v>65</v>
      </c>
      <c r="K9" s="30">
        <f>IF(B9="","",SUM(G$2:I9)-SUM(J$2:J9))</f>
        <v/>
      </c>
      <c r="L9" s="22">
        <f>IF(B9="","",IF(B9=B8,L8,N(L8)+1))</f>
        <v/>
      </c>
    </row>
    <row r="10">
      <c r="A10" s="22" t="inlineStr">
        <is>
          <t>M0009</t>
        </is>
      </c>
      <c r="B10" s="27" t="n">
        <v>45834</v>
      </c>
      <c r="C10" s="17" t="inlineStr">
        <is>
          <t>Bang Mie</t>
        </is>
      </c>
      <c r="D10" s="17" t="inlineStr">
        <is>
          <t>Bang Mie (6)</t>
        </is>
      </c>
      <c r="E10" s="17" t="inlineStr">
        <is>
          <t>Yuran</t>
        </is>
      </c>
      <c r="F10" s="28" t="inlineStr">
        <is>
          <t>2025-06</t>
        </is>
      </c>
      <c r="G10" s="29" t="n">
        <v>35</v>
      </c>
      <c r="H10" s="29" t="n">
        <v>50</v>
      </c>
      <c r="I10" s="29" t="n"/>
      <c r="J10" s="29" t="n"/>
      <c r="K10" s="30">
        <f>IF(B10="","",SUM(G$2:I10)-SUM(J$2:J10))</f>
        <v/>
      </c>
      <c r="L10" s="22">
        <f>IF(B10="","",IF(B10=B9,L9,N(L9)+1))</f>
        <v/>
      </c>
    </row>
    <row r="11">
      <c r="A11" s="22" t="inlineStr">
        <is>
          <t>M0010</t>
        </is>
      </c>
      <c r="B11" s="27" t="n">
        <v>45834</v>
      </c>
      <c r="C11" s="17" t="inlineStr">
        <is>
          <t>Ustaz</t>
        </is>
      </c>
      <c r="D11" s="17" t="inlineStr">
        <is>
          <t>Ustaz (6)</t>
        </is>
      </c>
      <c r="E11" s="17" t="inlineStr">
        <is>
          <t>Yuran</t>
        </is>
      </c>
      <c r="F11" s="28" t="inlineStr">
        <is>
          <t>2025-06</t>
        </is>
      </c>
      <c r="G11" s="29" t="n">
        <v>35</v>
      </c>
      <c r="H11" s="29" t="n">
        <v>50</v>
      </c>
      <c r="I11" s="29" t="n"/>
      <c r="J11" s="29" t="n"/>
      <c r="K11" s="30">
        <f>IF(B11="","",SUM(G$2:I11)-SUM(J$2:J11))</f>
        <v/>
      </c>
      <c r="L11" s="22">
        <f>IF(B11="","",IF(B11=B10,L10,N(L10)+1))</f>
        <v/>
      </c>
    </row>
    <row r="12">
      <c r="A12" s="22" t="inlineStr">
        <is>
          <t>M0011</t>
        </is>
      </c>
      <c r="B12" s="27" t="n">
        <v>45834</v>
      </c>
      <c r="C12" s="17" t="inlineStr">
        <is>
          <t>Suhaimi</t>
        </is>
      </c>
      <c r="D12" s="17" t="inlineStr">
        <is>
          <t>Suhaimi (6)</t>
        </is>
      </c>
      <c r="E12" s="17" t="inlineStr">
        <is>
          <t>Yuran</t>
        </is>
      </c>
      <c r="F12" s="28" t="inlineStr">
        <is>
          <t>2025-06</t>
        </is>
      </c>
      <c r="G12" s="29" t="n">
        <v>35</v>
      </c>
      <c r="H12" s="29" t="n">
        <v>50</v>
      </c>
      <c r="I12" s="29" t="n"/>
      <c r="J12" s="29" t="n"/>
      <c r="K12" s="30">
        <f>IF(B12="","",SUM(G$2:I12)-SUM(J$2:J12))</f>
        <v/>
      </c>
      <c r="L12" s="22">
        <f>IF(B12="","",IF(B12=B11,L11,N(L11)+1))</f>
        <v/>
      </c>
    </row>
    <row r="13">
      <c r="A13" s="22" t="inlineStr">
        <is>
          <t>M0012</t>
        </is>
      </c>
      <c r="B13" s="27" t="n">
        <v>45862</v>
      </c>
      <c r="C13" s="17" t="inlineStr">
        <is>
          <t>Suhaimi</t>
        </is>
      </c>
      <c r="D13" s="17" t="inlineStr">
        <is>
          <t>Suhaimi (7)</t>
        </is>
      </c>
      <c r="E13" s="17" t="inlineStr">
        <is>
          <t>Yuran</t>
        </is>
      </c>
      <c r="F13" s="28" t="inlineStr">
        <is>
          <t>2025-07</t>
        </is>
      </c>
      <c r="G13" s="29" t="n">
        <v>35</v>
      </c>
      <c r="H13" s="29" t="n">
        <v>50</v>
      </c>
      <c r="I13" s="29" t="n"/>
      <c r="J13" s="29" t="n"/>
      <c r="K13" s="30">
        <f>IF(B13="","",SUM(G$2:I13)-SUM(J$2:J13))</f>
        <v/>
      </c>
      <c r="L13" s="22">
        <f>IF(B13="","",IF(B13=B12,L12,N(L12)+1))</f>
        <v/>
      </c>
    </row>
    <row r="14">
      <c r="A14" s="22" t="inlineStr">
        <is>
          <t>M0013</t>
        </is>
      </c>
      <c r="B14" s="27" t="n">
        <v>45862</v>
      </c>
      <c r="C14" s="17" t="inlineStr">
        <is>
          <t>Kuchai</t>
        </is>
      </c>
      <c r="D14" s="17" t="inlineStr">
        <is>
          <t>Kuchai (7)</t>
        </is>
      </c>
      <c r="E14" s="17" t="inlineStr">
        <is>
          <t>Yuran</t>
        </is>
      </c>
      <c r="F14" s="28" t="inlineStr">
        <is>
          <t>2025-07</t>
        </is>
      </c>
      <c r="G14" s="29" t="n">
        <v>35</v>
      </c>
      <c r="H14" s="29" t="n">
        <v>50</v>
      </c>
      <c r="I14" s="29" t="n"/>
      <c r="J14" s="29" t="n"/>
      <c r="K14" s="30">
        <f>IF(B14="","",SUM(G$2:I14)-SUM(J$2:J14))</f>
        <v/>
      </c>
      <c r="L14" s="22">
        <f>IF(B14="","",IF(B14=B13,L13,N(L13)+1))</f>
        <v/>
      </c>
    </row>
    <row r="15">
      <c r="A15" s="22" t="inlineStr">
        <is>
          <t>M0014</t>
        </is>
      </c>
      <c r="B15" s="27" t="n">
        <v>45862</v>
      </c>
      <c r="C15" s="17" t="inlineStr">
        <is>
          <t>Bang Mie</t>
        </is>
      </c>
      <c r="D15" s="17" t="inlineStr">
        <is>
          <t>Bang Mie (7)</t>
        </is>
      </c>
      <c r="E15" s="17" t="inlineStr">
        <is>
          <t>Yuran</t>
        </is>
      </c>
      <c r="F15" s="28" t="inlineStr">
        <is>
          <t>2025-07</t>
        </is>
      </c>
      <c r="G15" s="29" t="n">
        <v>35</v>
      </c>
      <c r="H15" s="29" t="n">
        <v>50</v>
      </c>
      <c r="I15" s="29" t="n"/>
      <c r="J15" s="29" t="n"/>
      <c r="K15" s="30">
        <f>IF(B15="","",SUM(G$2:I15)-SUM(J$2:J15))</f>
        <v/>
      </c>
      <c r="L15" s="22">
        <f>IF(B15="","",IF(B15=B14,L14,N(L14)+1))</f>
        <v/>
      </c>
    </row>
    <row r="16">
      <c r="A16" s="22" t="inlineStr">
        <is>
          <t>M0015</t>
        </is>
      </c>
      <c r="B16" s="27" t="n">
        <v>45862</v>
      </c>
      <c r="C16" s="17" t="inlineStr">
        <is>
          <t>Khairiri</t>
        </is>
      </c>
      <c r="D16" s="17" t="inlineStr">
        <is>
          <t>Khairiri (Kelab 6 &amp; 7)</t>
        </is>
      </c>
      <c r="E16" s="17" t="inlineStr">
        <is>
          <t>Yuran</t>
        </is>
      </c>
      <c r="F16" s="28" t="inlineStr">
        <is>
          <t>2025-06, 2025-07</t>
        </is>
      </c>
      <c r="G16" s="29" t="n">
        <v>70</v>
      </c>
      <c r="H16" s="29" t="n"/>
      <c r="I16" s="29" t="n"/>
      <c r="J16" s="29" t="n"/>
      <c r="K16" s="30">
        <f>IF(B16="","",SUM(G$2:I16)-SUM(J$2:J16))</f>
        <v/>
      </c>
      <c r="L16" s="22">
        <f>IF(B16="","",IF(B16=B15,L15,N(L15)+1))</f>
        <v/>
      </c>
    </row>
    <row r="17">
      <c r="A17" s="22" t="inlineStr">
        <is>
          <t>M0016</t>
        </is>
      </c>
      <c r="B17" s="27" t="n">
        <v>45862</v>
      </c>
      <c r="C17" s="17" t="inlineStr">
        <is>
          <t>Hadi</t>
        </is>
      </c>
      <c r="D17" s="17" t="inlineStr">
        <is>
          <t>Hadi (Yuran 6 &amp; 7)</t>
        </is>
      </c>
      <c r="E17" s="17" t="inlineStr">
        <is>
          <t>Yuran</t>
        </is>
      </c>
      <c r="F17" s="28" t="inlineStr">
        <is>
          <t>2025-06, 2025-07</t>
        </is>
      </c>
      <c r="G17" s="29" t="n">
        <v>70</v>
      </c>
      <c r="H17" s="29" t="n">
        <v>100</v>
      </c>
      <c r="I17" s="29" t="n"/>
      <c r="J17" s="29" t="n"/>
      <c r="K17" s="30">
        <f>IF(B17="","",SUM(G$2:I17)-SUM(J$2:J17))</f>
        <v/>
      </c>
      <c r="L17" s="22">
        <f>IF(B17="","",IF(B17=B16,L16,N(L16)+1))</f>
        <v/>
      </c>
    </row>
    <row r="18">
      <c r="A18" s="22" t="inlineStr">
        <is>
          <t>M0017</t>
        </is>
      </c>
      <c r="B18" s="27" t="n">
        <v>45862</v>
      </c>
      <c r="C18" s="17" t="inlineStr">
        <is>
          <t>Asnawi</t>
        </is>
      </c>
      <c r="D18" s="17" t="inlineStr">
        <is>
          <t>Asnawi (7)</t>
        </is>
      </c>
      <c r="E18" s="17" t="inlineStr">
        <is>
          <t>Yuran</t>
        </is>
      </c>
      <c r="F18" s="28" t="inlineStr">
        <is>
          <t>2025-07</t>
        </is>
      </c>
      <c r="G18" s="29" t="n">
        <v>35</v>
      </c>
      <c r="H18" s="29" t="n">
        <v>50</v>
      </c>
      <c r="I18" s="29" t="n"/>
      <c r="J18" s="29" t="n"/>
      <c r="K18" s="30">
        <f>IF(B18="","",SUM(G$2:I18)-SUM(J$2:J18))</f>
        <v/>
      </c>
      <c r="L18" s="22">
        <f>IF(B18="","",IF(B18=B17,L17,N(L17)+1))</f>
        <v/>
      </c>
    </row>
    <row r="19">
      <c r="A19" s="22" t="inlineStr">
        <is>
          <t>M0018</t>
        </is>
      </c>
      <c r="B19" s="27" t="n">
        <v>45862</v>
      </c>
      <c r="C19" s="17" t="inlineStr">
        <is>
          <t>Chang</t>
        </is>
      </c>
      <c r="D19" s="17" t="inlineStr">
        <is>
          <t>Chang (7)</t>
        </is>
      </c>
      <c r="E19" s="17" t="inlineStr">
        <is>
          <t>Yuran</t>
        </is>
      </c>
      <c r="F19" s="28" t="inlineStr">
        <is>
          <t>2025-07</t>
        </is>
      </c>
      <c r="G19" s="29" t="n">
        <v>35</v>
      </c>
      <c r="H19" s="29" t="n">
        <v>50</v>
      </c>
      <c r="I19" s="29" t="n"/>
      <c r="J19" s="29" t="n"/>
      <c r="K19" s="30">
        <f>IF(B19="","",SUM(G$2:I19)-SUM(J$2:J19))</f>
        <v/>
      </c>
      <c r="L19" s="22">
        <f>IF(B19="","",IF(B19=B18,L18,N(L18)+1))</f>
        <v/>
      </c>
    </row>
    <row r="20">
      <c r="A20" s="22" t="inlineStr">
        <is>
          <t>M0019</t>
        </is>
      </c>
      <c r="B20" s="27" t="n">
        <v>45862</v>
      </c>
      <c r="C20" s="17" t="inlineStr">
        <is>
          <t>Wafi</t>
        </is>
      </c>
      <c r="D20" s="17" t="inlineStr">
        <is>
          <t>Bayaran PSKPP - Wafi</t>
        </is>
      </c>
      <c r="E20" s="17" t="inlineStr">
        <is>
          <t>Langganan / Bahan</t>
        </is>
      </c>
      <c r="F20" s="28" t="inlineStr"/>
      <c r="G20" s="29" t="n"/>
      <c r="H20" s="29" t="n"/>
      <c r="I20" s="29" t="n"/>
      <c r="J20" s="29" t="n">
        <v>130</v>
      </c>
      <c r="K20" s="30">
        <f>IF(B20="","",SUM(G$2:I20)-SUM(J$2:J20))</f>
        <v/>
      </c>
      <c r="L20" s="22">
        <f>IF(B20="","",IF(B20=B19,L19,N(L19)+1))</f>
        <v/>
      </c>
    </row>
    <row r="21">
      <c r="A21" s="22" t="inlineStr">
        <is>
          <t>M0020</t>
        </is>
      </c>
      <c r="B21" s="27" t="n">
        <v>45870</v>
      </c>
      <c r="C21" s="17" t="inlineStr">
        <is>
          <t>Joe</t>
        </is>
      </c>
      <c r="D21" s="17" t="inlineStr">
        <is>
          <t>Joe (7)</t>
        </is>
      </c>
      <c r="E21" s="17" t="inlineStr">
        <is>
          <t>Yuran</t>
        </is>
      </c>
      <c r="F21" s="28" t="inlineStr">
        <is>
          <t>2025-07</t>
        </is>
      </c>
      <c r="G21" s="29" t="n">
        <v>35</v>
      </c>
      <c r="H21" s="29" t="n">
        <v>50</v>
      </c>
      <c r="I21" s="29" t="n"/>
      <c r="J21" s="29" t="n"/>
      <c r="K21" s="30">
        <f>IF(B21="","",SUM(G$2:I21)-SUM(J$2:J21))</f>
        <v/>
      </c>
      <c r="L21" s="22">
        <f>IF(B21="","",IF(B21=B20,L20,N(L20)+1))</f>
        <v/>
      </c>
    </row>
    <row r="22">
      <c r="A22" s="22" t="inlineStr">
        <is>
          <t>M0021</t>
        </is>
      </c>
      <c r="B22" s="27" t="n">
        <v>45870</v>
      </c>
      <c r="C22" s="17" t="inlineStr">
        <is>
          <t>Asnawi</t>
        </is>
      </c>
      <c r="D22" s="17" t="inlineStr">
        <is>
          <t>Bayaran Duit Pantri - Asnawi</t>
        </is>
      </c>
      <c r="E22" s="17" t="inlineStr">
        <is>
          <t>Duit Pantri</t>
        </is>
      </c>
      <c r="F22" s="28" t="inlineStr"/>
      <c r="G22" s="29" t="n"/>
      <c r="H22" s="29" t="n"/>
      <c r="I22" s="29" t="n"/>
      <c r="J22" s="29" t="n">
        <v>65</v>
      </c>
      <c r="K22" s="30">
        <f>IF(B22="","",SUM(G$2:I22)-SUM(J$2:J22))</f>
        <v/>
      </c>
      <c r="L22" s="22">
        <f>IF(B22="","",IF(B22=B21,L21,N(L21)+1))</f>
        <v/>
      </c>
    </row>
    <row r="23">
      <c r="A23" s="22" t="inlineStr">
        <is>
          <t>M0022</t>
        </is>
      </c>
      <c r="B23" s="27" t="n">
        <v>45873</v>
      </c>
      <c r="C23" s="17" t="inlineStr">
        <is>
          <t>Ustaz</t>
        </is>
      </c>
      <c r="D23" s="17" t="inlineStr">
        <is>
          <t>Ustaz (Kelab 7)</t>
        </is>
      </c>
      <c r="E23" s="17" t="inlineStr">
        <is>
          <t>Yuran</t>
        </is>
      </c>
      <c r="F23" s="28" t="inlineStr">
        <is>
          <t>2025-07</t>
        </is>
      </c>
      <c r="G23" s="29" t="n">
        <v>35</v>
      </c>
      <c r="H23" s="29" t="n"/>
      <c r="I23" s="29" t="n"/>
      <c r="J23" s="29" t="n"/>
      <c r="K23" s="30">
        <f>IF(B23="","",SUM(G$2:I23)-SUM(J$2:J23))</f>
        <v/>
      </c>
      <c r="L23" s="22">
        <f>IF(B23="","",IF(B23=B22,L22,N(L22)+1))</f>
        <v/>
      </c>
    </row>
    <row r="24">
      <c r="A24" s="22" t="inlineStr">
        <is>
          <t>M0023</t>
        </is>
      </c>
      <c r="B24" s="27" t="n">
        <v>45873</v>
      </c>
      <c r="C24" s="17" t="inlineStr">
        <is>
          <t>Amir</t>
        </is>
      </c>
      <c r="D24" s="17" t="inlineStr">
        <is>
          <t>Amir (7)</t>
        </is>
      </c>
      <c r="E24" s="17" t="inlineStr">
        <is>
          <t>Yuran</t>
        </is>
      </c>
      <c r="F24" s="28" t="inlineStr">
        <is>
          <t>2025-07</t>
        </is>
      </c>
      <c r="G24" s="29" t="n">
        <v>35</v>
      </c>
      <c r="H24" s="29" t="n">
        <v>50</v>
      </c>
      <c r="I24" s="29" t="n"/>
      <c r="J24" s="29" t="n"/>
      <c r="K24" s="30">
        <f>IF(B24="","",SUM(G$2:I24)-SUM(J$2:J24))</f>
        <v/>
      </c>
      <c r="L24" s="22">
        <f>IF(B24="","",IF(B24=B23,L23,N(L23)+1))</f>
        <v/>
      </c>
    </row>
    <row r="25">
      <c r="A25" s="22" t="inlineStr">
        <is>
          <t>M0024</t>
        </is>
      </c>
      <c r="B25" s="27" t="n">
        <v>45877</v>
      </c>
      <c r="C25" s="17" t="inlineStr">
        <is>
          <t>Boss Wan</t>
        </is>
      </c>
      <c r="D25" s="17" t="inlineStr">
        <is>
          <t>Boss (7)</t>
        </is>
      </c>
      <c r="E25" s="17" t="inlineStr">
        <is>
          <t>Yuran</t>
        </is>
      </c>
      <c r="F25" s="28" t="inlineStr">
        <is>
          <t>2025-07</t>
        </is>
      </c>
      <c r="G25" s="29" t="n">
        <v>35</v>
      </c>
      <c r="H25" s="29" t="n">
        <v>50</v>
      </c>
      <c r="I25" s="29" t="n"/>
      <c r="J25" s="29" t="n"/>
      <c r="K25" s="30">
        <f>IF(B25="","",SUM(G$2:I25)-SUM(J$2:J25))</f>
        <v/>
      </c>
      <c r="L25" s="22">
        <f>IF(B25="","",IF(B25=B24,L24,N(L24)+1))</f>
        <v/>
      </c>
    </row>
    <row r="26">
      <c r="A26" s="22" t="inlineStr">
        <is>
          <t>M0025</t>
        </is>
      </c>
      <c r="B26" s="27" t="n">
        <v>45894</v>
      </c>
      <c r="C26" s="17" t="inlineStr">
        <is>
          <t>Ustaz</t>
        </is>
      </c>
      <c r="D26" s="17" t="inlineStr">
        <is>
          <t>Ustaz (Lawatan 7)</t>
        </is>
      </c>
      <c r="E26" s="17" t="inlineStr">
        <is>
          <t>Yuran</t>
        </is>
      </c>
      <c r="F26" s="28" t="inlineStr">
        <is>
          <t>2025-07</t>
        </is>
      </c>
      <c r="G26" s="29" t="n"/>
      <c r="H26" s="29" t="n">
        <v>50</v>
      </c>
      <c r="I26" s="29" t="n"/>
      <c r="J26" s="29" t="n"/>
      <c r="K26" s="30">
        <f>IF(B26="","",SUM(G$2:I26)-SUM(J$2:J26))</f>
        <v/>
      </c>
      <c r="L26" s="22">
        <f>IF(B26="","",IF(B26=B25,L25,N(L25)+1))</f>
        <v/>
      </c>
    </row>
    <row r="27">
      <c r="A27" s="22" t="inlineStr">
        <is>
          <t>M0026</t>
        </is>
      </c>
      <c r="B27" s="27" t="n">
        <v>45894</v>
      </c>
      <c r="C27" s="17" t="inlineStr">
        <is>
          <t>Boss Wan</t>
        </is>
      </c>
      <c r="D27" s="17" t="inlineStr">
        <is>
          <t>Boss (Lawatan 8)</t>
        </is>
      </c>
      <c r="E27" s="17" t="inlineStr">
        <is>
          <t>Yuran</t>
        </is>
      </c>
      <c r="F27" s="28" t="inlineStr">
        <is>
          <t>2025-08</t>
        </is>
      </c>
      <c r="G27" s="29" t="n"/>
      <c r="H27" s="29" t="n">
        <v>50</v>
      </c>
      <c r="I27" s="29" t="n"/>
      <c r="J27" s="29" t="n"/>
      <c r="K27" s="30">
        <f>IF(B27="","",SUM(G$2:I27)-SUM(J$2:J27))</f>
        <v/>
      </c>
      <c r="L27" s="22">
        <f>IF(B27="","",IF(B27=B26,L26,N(L26)+1))</f>
        <v/>
      </c>
    </row>
    <row r="28">
      <c r="A28" s="22" t="inlineStr">
        <is>
          <t>M0027</t>
        </is>
      </c>
      <c r="B28" s="27" t="n">
        <v>45894</v>
      </c>
      <c r="C28" s="17" t="inlineStr">
        <is>
          <t>Suhaimi</t>
        </is>
      </c>
      <c r="D28" s="17" t="inlineStr">
        <is>
          <t>Suhaimi (8)</t>
        </is>
      </c>
      <c r="E28" s="17" t="inlineStr">
        <is>
          <t>Yuran</t>
        </is>
      </c>
      <c r="F28" s="28" t="inlineStr">
        <is>
          <t>2025-08</t>
        </is>
      </c>
      <c r="G28" s="29" t="n">
        <v>35</v>
      </c>
      <c r="H28" s="29" t="n">
        <v>50</v>
      </c>
      <c r="I28" s="29" t="n"/>
      <c r="J28" s="29" t="n"/>
      <c r="K28" s="30">
        <f>IF(B28="","",SUM(G$2:I28)-SUM(J$2:J28))</f>
        <v/>
      </c>
      <c r="L28" s="22">
        <f>IF(B28="","",IF(B28=B27,L27,N(L27)+1))</f>
        <v/>
      </c>
    </row>
    <row r="29">
      <c r="A29" s="22" t="inlineStr">
        <is>
          <t>M0028</t>
        </is>
      </c>
      <c r="B29" s="27" t="n">
        <v>45894</v>
      </c>
      <c r="C29" s="17" t="inlineStr">
        <is>
          <t>Bang Mie</t>
        </is>
      </c>
      <c r="D29" s="17" t="inlineStr">
        <is>
          <t>Bang Mie (8)</t>
        </is>
      </c>
      <c r="E29" s="17" t="inlineStr">
        <is>
          <t>Yuran</t>
        </is>
      </c>
      <c r="F29" s="28" t="inlineStr">
        <is>
          <t>2025-08</t>
        </is>
      </c>
      <c r="G29" s="29" t="n">
        <v>35</v>
      </c>
      <c r="H29" s="29" t="n">
        <v>50</v>
      </c>
      <c r="I29" s="29" t="n"/>
      <c r="J29" s="29" t="n"/>
      <c r="K29" s="30">
        <f>IF(B29="","",SUM(G$2:I29)-SUM(J$2:J29))</f>
        <v/>
      </c>
      <c r="L29" s="22">
        <f>IF(B29="","",IF(B29=B28,L28,N(L28)+1))</f>
        <v/>
      </c>
    </row>
    <row r="30">
      <c r="A30" s="22" t="inlineStr">
        <is>
          <t>M0029</t>
        </is>
      </c>
      <c r="B30" s="27" t="n">
        <v>45896</v>
      </c>
      <c r="C30" s="17" t="inlineStr">
        <is>
          <t>Asnawi</t>
        </is>
      </c>
      <c r="D30" s="17" t="inlineStr">
        <is>
          <t>Asnawi (8)</t>
        </is>
      </c>
      <c r="E30" s="17" t="inlineStr">
        <is>
          <t>Yuran</t>
        </is>
      </c>
      <c r="F30" s="28" t="inlineStr">
        <is>
          <t>2025-08</t>
        </is>
      </c>
      <c r="G30" s="29" t="n">
        <v>35</v>
      </c>
      <c r="H30" s="29" t="n">
        <v>50</v>
      </c>
      <c r="I30" s="29" t="n"/>
      <c r="J30" s="29" t="n"/>
      <c r="K30" s="30">
        <f>IF(B30="","",SUM(G$2:I30)-SUM(J$2:J30))</f>
        <v/>
      </c>
      <c r="L30" s="22">
        <f>IF(B30="","",IF(B30=B29,L29,N(L29)+1))</f>
        <v/>
      </c>
    </row>
    <row r="31">
      <c r="A31" s="22" t="inlineStr">
        <is>
          <t>M0030</t>
        </is>
      </c>
      <c r="B31" s="27" t="n">
        <v>45899</v>
      </c>
      <c r="C31" s="17" t="inlineStr">
        <is>
          <t>Chang</t>
        </is>
      </c>
      <c r="D31" s="17" t="inlineStr">
        <is>
          <t>Chang (8)</t>
        </is>
      </c>
      <c r="E31" s="17" t="inlineStr">
        <is>
          <t>Yuran</t>
        </is>
      </c>
      <c r="F31" s="28" t="inlineStr">
        <is>
          <t>2025-08</t>
        </is>
      </c>
      <c r="G31" s="29" t="n">
        <v>35</v>
      </c>
      <c r="H31" s="29" t="n">
        <v>50</v>
      </c>
      <c r="I31" s="29" t="n"/>
      <c r="J31" s="29" t="n"/>
      <c r="K31" s="30">
        <f>IF(B31="","",SUM(G$2:I31)-SUM(J$2:J31))</f>
        <v/>
      </c>
      <c r="L31" s="22">
        <f>IF(B31="","",IF(B31=B30,L30,N(L30)+1))</f>
        <v/>
      </c>
    </row>
    <row r="32">
      <c r="A32" s="22" t="inlineStr">
        <is>
          <t>M0031</t>
        </is>
      </c>
      <c r="B32" s="27" t="n">
        <v>45908</v>
      </c>
      <c r="C32" s="17" t="inlineStr">
        <is>
          <t>Amir</t>
        </is>
      </c>
      <c r="D32" s="17" t="inlineStr">
        <is>
          <t>Amir (8)</t>
        </is>
      </c>
      <c r="E32" s="17" t="inlineStr">
        <is>
          <t>Yuran</t>
        </is>
      </c>
      <c r="F32" s="28" t="inlineStr">
        <is>
          <t>2025-08</t>
        </is>
      </c>
      <c r="G32" s="29" t="n">
        <v>35</v>
      </c>
      <c r="H32" s="29" t="n">
        <v>50</v>
      </c>
      <c r="I32" s="29" t="n"/>
      <c r="J32" s="29" t="n"/>
      <c r="K32" s="30">
        <f>IF(B32="","",SUM(G$2:I32)-SUM(J$2:J32))</f>
        <v/>
      </c>
      <c r="L32" s="22">
        <f>IF(B32="","",IF(B32=B31,L31,N(L31)+1))</f>
        <v/>
      </c>
    </row>
    <row r="33">
      <c r="A33" s="22" t="inlineStr">
        <is>
          <t>M0032</t>
        </is>
      </c>
      <c r="B33" s="27" t="n">
        <v>45908</v>
      </c>
      <c r="C33" s="17" t="inlineStr">
        <is>
          <t>Khairiri</t>
        </is>
      </c>
      <c r="D33" s="17" t="inlineStr">
        <is>
          <t>Khairiri (8)</t>
        </is>
      </c>
      <c r="E33" s="17" t="inlineStr">
        <is>
          <t>Yuran</t>
        </is>
      </c>
      <c r="F33" s="28" t="inlineStr">
        <is>
          <t>2025-08</t>
        </is>
      </c>
      <c r="G33" s="29" t="n">
        <v>35</v>
      </c>
      <c r="H33" s="29" t="n">
        <v>50</v>
      </c>
      <c r="I33" s="29" t="n"/>
      <c r="J33" s="29" t="n"/>
      <c r="K33" s="30">
        <f>IF(B33="","",SUM(G$2:I33)-SUM(J$2:J33))</f>
        <v/>
      </c>
      <c r="L33" s="22">
        <f>IF(B33="","",IF(B33=B32,L32,N(L32)+1))</f>
        <v/>
      </c>
    </row>
    <row r="34">
      <c r="A34" s="22" t="inlineStr">
        <is>
          <t>M0033</t>
        </is>
      </c>
      <c r="B34" s="27" t="n">
        <v>45908</v>
      </c>
      <c r="C34" s="17" t="inlineStr">
        <is>
          <t>Hadi</t>
        </is>
      </c>
      <c r="D34" s="17" t="inlineStr">
        <is>
          <t>Hadi (8)</t>
        </is>
      </c>
      <c r="E34" s="17" t="inlineStr">
        <is>
          <t>Yuran</t>
        </is>
      </c>
      <c r="F34" s="28" t="inlineStr">
        <is>
          <t>2025-08</t>
        </is>
      </c>
      <c r="G34" s="29" t="n">
        <v>35</v>
      </c>
      <c r="H34" s="29" t="n">
        <v>50</v>
      </c>
      <c r="I34" s="29" t="n"/>
      <c r="J34" s="29" t="n"/>
      <c r="K34" s="30">
        <f>IF(B34="","",SUM(G$2:I34)-SUM(J$2:J34))</f>
        <v/>
      </c>
      <c r="L34" s="22">
        <f>IF(B34="","",IF(B34=B33,L33,N(L33)+1))</f>
        <v/>
      </c>
    </row>
    <row r="35">
      <c r="A35" s="22" t="inlineStr">
        <is>
          <t>M0034</t>
        </is>
      </c>
      <c r="B35" s="27" t="n">
        <v>45908</v>
      </c>
      <c r="C35" s="17" t="inlineStr">
        <is>
          <t>Kuchai</t>
        </is>
      </c>
      <c r="D35" s="17" t="inlineStr">
        <is>
          <t>Kuchai (8)</t>
        </is>
      </c>
      <c r="E35" s="17" t="inlineStr">
        <is>
          <t>Yuran</t>
        </is>
      </c>
      <c r="F35" s="28" t="inlineStr">
        <is>
          <t>2025-08</t>
        </is>
      </c>
      <c r="G35" s="29" t="n">
        <v>35</v>
      </c>
      <c r="H35" s="29" t="n">
        <v>50</v>
      </c>
      <c r="I35" s="29" t="n"/>
      <c r="J35" s="29" t="n"/>
      <c r="K35" s="30">
        <f>IF(B35="","",SUM(G$2:I35)-SUM(J$2:J35))</f>
        <v/>
      </c>
      <c r="L35" s="22">
        <f>IF(B35="","",IF(B35=B34,L34,N(L34)+1))</f>
        <v/>
      </c>
    </row>
    <row r="36">
      <c r="A36" s="22" t="inlineStr">
        <is>
          <t>M0035</t>
        </is>
      </c>
      <c r="B36" s="27" t="n">
        <v>45908</v>
      </c>
      <c r="C36" s="17" t="inlineStr">
        <is>
          <t>Bang Mie</t>
        </is>
      </c>
      <c r="D36" s="17" t="inlineStr">
        <is>
          <t>Majlis Mie - Bang Mie</t>
        </is>
      </c>
      <c r="E36" s="17" t="inlineStr">
        <is>
          <t>Majlis</t>
        </is>
      </c>
      <c r="F36" s="28" t="inlineStr"/>
      <c r="G36" s="29" t="n"/>
      <c r="H36" s="29" t="n"/>
      <c r="I36" s="29" t="n">
        <v>40</v>
      </c>
      <c r="J36" s="29" t="n"/>
      <c r="K36" s="30">
        <f>IF(B36="","",SUM(G$2:I36)-SUM(J$2:J36))</f>
        <v/>
      </c>
      <c r="L36" s="22">
        <f>IF(B36="","",IF(B36=B35,L35,N(L35)+1))</f>
        <v/>
      </c>
    </row>
    <row r="37">
      <c r="A37" s="22" t="inlineStr">
        <is>
          <t>M0036</t>
        </is>
      </c>
      <c r="B37" s="27" t="n">
        <v>45908</v>
      </c>
      <c r="C37" s="17" t="inlineStr">
        <is>
          <t>Hasnol</t>
        </is>
      </c>
      <c r="D37" s="17" t="inlineStr">
        <is>
          <t>Majlis Mie - Hasnol</t>
        </is>
      </c>
      <c r="E37" s="17" t="inlineStr">
        <is>
          <t>Majlis</t>
        </is>
      </c>
      <c r="F37" s="28" t="inlineStr"/>
      <c r="G37" s="29" t="n"/>
      <c r="H37" s="29" t="n"/>
      <c r="I37" s="29" t="n">
        <v>40</v>
      </c>
      <c r="J37" s="29" t="n"/>
      <c r="K37" s="30">
        <f>IF(B37="","",SUM(G$2:I37)-SUM(J$2:J37))</f>
        <v/>
      </c>
      <c r="L37" s="22">
        <f>IF(B37="","",IF(B37=B36,L36,N(L36)+1))</f>
        <v/>
      </c>
    </row>
    <row r="38">
      <c r="A38" s="22" t="inlineStr">
        <is>
          <t>M0037</t>
        </is>
      </c>
      <c r="B38" s="27" t="n">
        <v>45908</v>
      </c>
      <c r="C38" s="17" t="inlineStr">
        <is>
          <t>Ustaz</t>
        </is>
      </c>
      <c r="D38" s="17" t="inlineStr">
        <is>
          <t>Majlis Mie - Ustaz</t>
        </is>
      </c>
      <c r="E38" s="17" t="inlineStr">
        <is>
          <t>Majlis</t>
        </is>
      </c>
      <c r="F38" s="28" t="inlineStr"/>
      <c r="G38" s="29" t="n"/>
      <c r="H38" s="29" t="n"/>
      <c r="I38" s="29" t="n">
        <v>40</v>
      </c>
      <c r="J38" s="29" t="n"/>
      <c r="K38" s="30">
        <f>IF(B38="","",SUM(G$2:I38)-SUM(J$2:J38))</f>
        <v/>
      </c>
      <c r="L38" s="22">
        <f>IF(B38="","",IF(B38=B37,L37,N(L37)+1))</f>
        <v/>
      </c>
    </row>
    <row r="39">
      <c r="A39" s="22" t="inlineStr">
        <is>
          <t>M0038</t>
        </is>
      </c>
      <c r="B39" s="27" t="n">
        <v>45908</v>
      </c>
      <c r="C39" s="17" t="inlineStr">
        <is>
          <t>Hadi</t>
        </is>
      </c>
      <c r="D39" s="17" t="inlineStr">
        <is>
          <t>Majlis Mie - Hadi</t>
        </is>
      </c>
      <c r="E39" s="17" t="inlineStr">
        <is>
          <t>Majlis</t>
        </is>
      </c>
      <c r="F39" s="28" t="inlineStr"/>
      <c r="G39" s="29" t="n"/>
      <c r="H39" s="29" t="n"/>
      <c r="I39" s="29" t="n">
        <v>40</v>
      </c>
      <c r="J39" s="29" t="n"/>
      <c r="K39" s="30">
        <f>IF(B39="","",SUM(G$2:I39)-SUM(J$2:J39))</f>
        <v/>
      </c>
      <c r="L39" s="22">
        <f>IF(B39="","",IF(B39=B38,L38,N(L38)+1))</f>
        <v/>
      </c>
    </row>
    <row r="40">
      <c r="A40" s="22" t="inlineStr">
        <is>
          <t>M0039</t>
        </is>
      </c>
      <c r="B40" s="27" t="n">
        <v>45908</v>
      </c>
      <c r="C40" s="17" t="inlineStr">
        <is>
          <t>Wafi</t>
        </is>
      </c>
      <c r="D40" s="17" t="inlineStr">
        <is>
          <t>Majlis Mie - Wafi</t>
        </is>
      </c>
      <c r="E40" s="17" t="inlineStr">
        <is>
          <t>Majlis</t>
        </is>
      </c>
      <c r="F40" s="28" t="inlineStr"/>
      <c r="G40" s="29" t="n"/>
      <c r="H40" s="29" t="n"/>
      <c r="I40" s="29" t="n">
        <v>40</v>
      </c>
      <c r="J40" s="29" t="n"/>
      <c r="K40" s="30">
        <f>IF(B40="","",SUM(G$2:I40)-SUM(J$2:J40))</f>
        <v/>
      </c>
      <c r="L40" s="22">
        <f>IF(B40="","",IF(B40=B39,L39,N(L39)+1))</f>
        <v/>
      </c>
    </row>
    <row r="41">
      <c r="A41" s="22" t="inlineStr">
        <is>
          <t>M0040</t>
        </is>
      </c>
      <c r="B41" s="27" t="n">
        <v>45908</v>
      </c>
      <c r="C41" s="17" t="inlineStr">
        <is>
          <t>Amir</t>
        </is>
      </c>
      <c r="D41" s="17" t="inlineStr">
        <is>
          <t>Majlis Mie - Amir</t>
        </is>
      </c>
      <c r="E41" s="17" t="inlineStr">
        <is>
          <t>Majlis</t>
        </is>
      </c>
      <c r="F41" s="28" t="inlineStr"/>
      <c r="G41" s="29" t="n"/>
      <c r="H41" s="29" t="n"/>
      <c r="I41" s="29" t="n">
        <v>40</v>
      </c>
      <c r="J41" s="29" t="n"/>
      <c r="K41" s="30">
        <f>IF(B41="","",SUM(G$2:I41)-SUM(J$2:J41))</f>
        <v/>
      </c>
      <c r="L41" s="22">
        <f>IF(B41="","",IF(B41=B40,L40,N(L40)+1))</f>
        <v/>
      </c>
    </row>
    <row r="42">
      <c r="A42" s="22" t="inlineStr">
        <is>
          <t>M0041</t>
        </is>
      </c>
      <c r="B42" s="27" t="n">
        <v>45908</v>
      </c>
      <c r="C42" s="17" t="inlineStr">
        <is>
          <t>Joe</t>
        </is>
      </c>
      <c r="D42" s="17" t="inlineStr">
        <is>
          <t>Majlis Mie - Joe</t>
        </is>
      </c>
      <c r="E42" s="17" t="inlineStr">
        <is>
          <t>Majlis</t>
        </is>
      </c>
      <c r="F42" s="28" t="inlineStr"/>
      <c r="G42" s="29" t="n"/>
      <c r="H42" s="29" t="n"/>
      <c r="I42" s="29" t="n">
        <v>40</v>
      </c>
      <c r="J42" s="29" t="n"/>
      <c r="K42" s="30">
        <f>IF(B42="","",SUM(G$2:I42)-SUM(J$2:J42))</f>
        <v/>
      </c>
      <c r="L42" s="22">
        <f>IF(B42="","",IF(B42=B41,L41,N(L41)+1))</f>
        <v/>
      </c>
    </row>
    <row r="43">
      <c r="A43" s="22" t="inlineStr">
        <is>
          <t>M0042</t>
        </is>
      </c>
      <c r="B43" s="27" t="n">
        <v>45908</v>
      </c>
      <c r="C43" s="17" t="inlineStr">
        <is>
          <t>Chang</t>
        </is>
      </c>
      <c r="D43" s="17" t="inlineStr">
        <is>
          <t>Majlis Mie - Chang</t>
        </is>
      </c>
      <c r="E43" s="17" t="inlineStr">
        <is>
          <t>Majlis</t>
        </is>
      </c>
      <c r="F43" s="28" t="inlineStr"/>
      <c r="G43" s="29" t="n"/>
      <c r="H43" s="29" t="n"/>
      <c r="I43" s="29" t="n">
        <v>40</v>
      </c>
      <c r="J43" s="29" t="n"/>
      <c r="K43" s="30">
        <f>IF(B43="","",SUM(G$2:I43)-SUM(J$2:J43))</f>
        <v/>
      </c>
      <c r="L43" s="22">
        <f>IF(B43="","",IF(B43=B42,L42,N(L42)+1))</f>
        <v/>
      </c>
    </row>
    <row r="44">
      <c r="A44" s="22" t="inlineStr">
        <is>
          <t>M0043</t>
        </is>
      </c>
      <c r="B44" s="27" t="n">
        <v>45908</v>
      </c>
      <c r="C44" s="17" t="inlineStr">
        <is>
          <t>Kuchai</t>
        </is>
      </c>
      <c r="D44" s="17" t="inlineStr">
        <is>
          <t>Majlis Mie - Kuchai</t>
        </is>
      </c>
      <c r="E44" s="17" t="inlineStr">
        <is>
          <t>Majlis</t>
        </is>
      </c>
      <c r="F44" s="28" t="inlineStr"/>
      <c r="G44" s="29" t="n"/>
      <c r="H44" s="29" t="n"/>
      <c r="I44" s="29" t="n">
        <v>40</v>
      </c>
      <c r="J44" s="29" t="n"/>
      <c r="K44" s="30">
        <f>IF(B44="","",SUM(G$2:I44)-SUM(J$2:J44))</f>
        <v/>
      </c>
      <c r="L44" s="22">
        <f>IF(B44="","",IF(B44=B43,L43,N(L43)+1))</f>
        <v/>
      </c>
    </row>
    <row r="45">
      <c r="A45" s="22" t="inlineStr">
        <is>
          <t>M0044</t>
        </is>
      </c>
      <c r="B45" s="27" t="n">
        <v>45908</v>
      </c>
      <c r="C45" s="17" t="inlineStr">
        <is>
          <t>Boss Wan</t>
        </is>
      </c>
      <c r="D45" s="17" t="inlineStr">
        <is>
          <t>Majlis Mie - Boss Wan</t>
        </is>
      </c>
      <c r="E45" s="17" t="inlineStr">
        <is>
          <t>Majlis</t>
        </is>
      </c>
      <c r="F45" s="28" t="inlineStr"/>
      <c r="G45" s="29" t="n"/>
      <c r="H45" s="29" t="n"/>
      <c r="I45" s="29" t="n">
        <v>40</v>
      </c>
      <c r="J45" s="29" t="n"/>
      <c r="K45" s="30">
        <f>IF(B45="","",SUM(G$2:I45)-SUM(J$2:J45))</f>
        <v/>
      </c>
      <c r="L45" s="22">
        <f>IF(B45="","",IF(B45=B44,L44,N(L44)+1))</f>
        <v/>
      </c>
    </row>
    <row r="46">
      <c r="A46" s="22" t="inlineStr">
        <is>
          <t>M0045</t>
        </is>
      </c>
      <c r="B46" s="27" t="n">
        <v>45909</v>
      </c>
      <c r="C46" s="17" t="inlineStr">
        <is>
          <t>Asnawi</t>
        </is>
      </c>
      <c r="D46" s="17" t="inlineStr">
        <is>
          <t>Bayaran Majlis Mie - Asnawi</t>
        </is>
      </c>
      <c r="E46" s="17" t="inlineStr">
        <is>
          <t>Majlis &amp; Hadiah</t>
        </is>
      </c>
      <c r="F46" s="28" t="inlineStr"/>
      <c r="G46" s="29" t="n"/>
      <c r="H46" s="29" t="n"/>
      <c r="I46" s="29" t="n"/>
      <c r="J46" s="29" t="n">
        <v>500</v>
      </c>
      <c r="K46" s="30">
        <f>IF(B46="","",SUM(G$2:I46)-SUM(J$2:J46))</f>
        <v/>
      </c>
      <c r="L46" s="22">
        <f>IF(B46="","",IF(B46=B45,L45,N(L45)+1))</f>
        <v/>
      </c>
    </row>
    <row r="47">
      <c r="A47" s="22" t="inlineStr">
        <is>
          <t>M0046</t>
        </is>
      </c>
      <c r="B47" s="27" t="n">
        <v>45910</v>
      </c>
      <c r="C47" s="17" t="inlineStr">
        <is>
          <t>Kuchai</t>
        </is>
      </c>
      <c r="D47" s="17" t="inlineStr">
        <is>
          <t>Kuchai (9, 10, 11, 12)</t>
        </is>
      </c>
      <c r="E47" s="17" t="inlineStr">
        <is>
          <t>Yuran</t>
        </is>
      </c>
      <c r="F47" s="28" t="inlineStr">
        <is>
          <t>2025-09, 2025-10, 2025-11, 2025-12</t>
        </is>
      </c>
      <c r="G47" s="29" t="n">
        <v>140</v>
      </c>
      <c r="H47" s="29" t="n">
        <v>200</v>
      </c>
      <c r="I47" s="29" t="n"/>
      <c r="J47" s="29" t="n"/>
      <c r="K47" s="30">
        <f>IF(B47="","",SUM(G$2:I47)-SUM(J$2:J47))</f>
        <v/>
      </c>
      <c r="L47" s="22">
        <f>IF(B47="","",IF(B47=B46,L46,N(L46)+1))</f>
        <v/>
      </c>
    </row>
    <row r="48">
      <c r="A48" s="22" t="inlineStr">
        <is>
          <t>M0047</t>
        </is>
      </c>
      <c r="B48" s="27" t="n">
        <v>45923</v>
      </c>
      <c r="C48" s="17" t="inlineStr">
        <is>
          <t>Hasnol</t>
        </is>
      </c>
      <c r="D48" s="17" t="inlineStr">
        <is>
          <t>Hasnol (Kelab 6, 7, 8, 9)</t>
        </is>
      </c>
      <c r="E48" s="17" t="inlineStr">
        <is>
          <t>Yuran</t>
        </is>
      </c>
      <c r="F48" s="28" t="inlineStr">
        <is>
          <t>2025-06, 2025-07, 2025-08, 2025-09</t>
        </is>
      </c>
      <c r="G48" s="29" t="n">
        <v>140</v>
      </c>
      <c r="H48" s="29" t="n"/>
      <c r="I48" s="29" t="n"/>
      <c r="J48" s="29" t="n"/>
      <c r="K48" s="30">
        <f>IF(B48="","",SUM(G$2:I48)-SUM(J$2:J48))</f>
        <v/>
      </c>
      <c r="L48" s="22">
        <f>IF(B48="","",IF(B48=B47,L47,N(L47)+1))</f>
        <v/>
      </c>
    </row>
    <row r="49">
      <c r="A49" s="22" t="inlineStr">
        <is>
          <t>M0048</t>
        </is>
      </c>
      <c r="B49" s="27" t="n">
        <v>45925</v>
      </c>
      <c r="C49" s="17" t="inlineStr">
        <is>
          <t>Chang</t>
        </is>
      </c>
      <c r="D49" s="17" t="inlineStr">
        <is>
          <t>Chang (9)</t>
        </is>
      </c>
      <c r="E49" s="17" t="inlineStr">
        <is>
          <t>Yuran</t>
        </is>
      </c>
      <c r="F49" s="28" t="inlineStr">
        <is>
          <t>2025-09</t>
        </is>
      </c>
      <c r="G49" s="29" t="n">
        <v>35</v>
      </c>
      <c r="H49" s="29" t="n">
        <v>50</v>
      </c>
      <c r="I49" s="29" t="n"/>
      <c r="J49" s="29" t="n"/>
      <c r="K49" s="30">
        <f>IF(B49="","",SUM(G$2:I49)-SUM(J$2:J49))</f>
        <v/>
      </c>
      <c r="L49" s="22">
        <f>IF(B49="","",IF(B49=B48,L48,N(L48)+1))</f>
        <v/>
      </c>
    </row>
    <row r="50">
      <c r="A50" s="22" t="inlineStr">
        <is>
          <t>M0049</t>
        </is>
      </c>
      <c r="B50" s="27" t="n">
        <v>45925</v>
      </c>
      <c r="C50" s="17" t="inlineStr">
        <is>
          <t>Ustaz</t>
        </is>
      </c>
      <c r="D50" s="17" t="inlineStr">
        <is>
          <t>Ustaz (Lawatan 8)</t>
        </is>
      </c>
      <c r="E50" s="17" t="inlineStr">
        <is>
          <t>Yuran</t>
        </is>
      </c>
      <c r="F50" s="28" t="inlineStr">
        <is>
          <t>2025-08</t>
        </is>
      </c>
      <c r="G50" s="29" t="n"/>
      <c r="H50" s="29" t="n">
        <v>50</v>
      </c>
      <c r="I50" s="29" t="n"/>
      <c r="J50" s="29" t="n"/>
      <c r="K50" s="30">
        <f>IF(B50="","",SUM(G$2:I50)-SUM(J$2:J50))</f>
        <v/>
      </c>
      <c r="L50" s="22">
        <f>IF(B50="","",IF(B50=B49,L49,N(L49)+1))</f>
        <v/>
      </c>
    </row>
    <row r="51">
      <c r="A51" s="22" t="inlineStr">
        <is>
          <t>M0050</t>
        </is>
      </c>
      <c r="B51" s="27" t="n">
        <v>45926</v>
      </c>
      <c r="C51" s="17" t="inlineStr">
        <is>
          <t>Joe</t>
        </is>
      </c>
      <c r="D51" s="17" t="inlineStr">
        <is>
          <t>Joe (8, 9)</t>
        </is>
      </c>
      <c r="E51" s="17" t="inlineStr">
        <is>
          <t>Yuran</t>
        </is>
      </c>
      <c r="F51" s="28" t="inlineStr">
        <is>
          <t>2025-08, 2025-09</t>
        </is>
      </c>
      <c r="G51" s="29" t="n">
        <v>70</v>
      </c>
      <c r="H51" s="29" t="n">
        <v>100</v>
      </c>
      <c r="I51" s="29" t="n"/>
      <c r="J51" s="29" t="n"/>
      <c r="K51" s="30">
        <f>IF(B51="","",SUM(G$2:I51)-SUM(J$2:J51))</f>
        <v/>
      </c>
      <c r="L51" s="22">
        <f>IF(B51="","",IF(B51=B50,L50,N(L50)+1))</f>
        <v/>
      </c>
    </row>
    <row r="52">
      <c r="A52" s="22" t="inlineStr">
        <is>
          <t>M0051</t>
        </is>
      </c>
      <c r="B52" s="27" t="n">
        <v>45926</v>
      </c>
      <c r="C52" s="17" t="inlineStr">
        <is>
          <t>Khairiri</t>
        </is>
      </c>
      <c r="D52" s="17" t="inlineStr">
        <is>
          <t>Khairiri (9)</t>
        </is>
      </c>
      <c r="E52" s="17" t="inlineStr">
        <is>
          <t>Yuran</t>
        </is>
      </c>
      <c r="F52" s="28" t="inlineStr">
        <is>
          <t>2025-09</t>
        </is>
      </c>
      <c r="G52" s="29" t="n">
        <v>35</v>
      </c>
      <c r="H52" s="29" t="n">
        <v>50</v>
      </c>
      <c r="I52" s="29" t="n"/>
      <c r="J52" s="29" t="n"/>
      <c r="K52" s="30">
        <f>IF(B52="","",SUM(G$2:I52)-SUM(J$2:J52))</f>
        <v/>
      </c>
      <c r="L52" s="22">
        <f>IF(B52="","",IF(B52=B51,L51,N(L51)+1))</f>
        <v/>
      </c>
    </row>
    <row r="53">
      <c r="A53" s="22" t="inlineStr">
        <is>
          <t>M0052</t>
        </is>
      </c>
      <c r="B53" s="27" t="n">
        <v>45926</v>
      </c>
      <c r="C53" s="17" t="inlineStr">
        <is>
          <t>Asnawi</t>
        </is>
      </c>
      <c r="D53" s="17" t="inlineStr">
        <is>
          <t>Asnawi (9)</t>
        </is>
      </c>
      <c r="E53" s="17" t="inlineStr">
        <is>
          <t>Yuran</t>
        </is>
      </c>
      <c r="F53" s="28" t="inlineStr">
        <is>
          <t>2025-09</t>
        </is>
      </c>
      <c r="G53" s="29" t="n">
        <v>35</v>
      </c>
      <c r="H53" s="29" t="n">
        <v>50</v>
      </c>
      <c r="I53" s="29" t="n"/>
      <c r="J53" s="29" t="n"/>
      <c r="K53" s="30">
        <f>IF(B53="","",SUM(G$2:I53)-SUM(J$2:J53))</f>
        <v/>
      </c>
      <c r="L53" s="22">
        <f>IF(B53="","",IF(B53=B52,L52,N(L52)+1))</f>
        <v/>
      </c>
    </row>
    <row r="54">
      <c r="A54" s="22" t="inlineStr">
        <is>
          <t>M0053</t>
        </is>
      </c>
      <c r="B54" s="27" t="n">
        <v>45926</v>
      </c>
      <c r="C54" s="17" t="inlineStr">
        <is>
          <t>Hasnol</t>
        </is>
      </c>
      <c r="D54" s="17" t="inlineStr">
        <is>
          <t>Hasnol (Lawatan 6)</t>
        </is>
      </c>
      <c r="E54" s="17" t="inlineStr">
        <is>
          <t>Yuran</t>
        </is>
      </c>
      <c r="F54" s="28" t="inlineStr">
        <is>
          <t>2025-06</t>
        </is>
      </c>
      <c r="G54" s="29" t="n"/>
      <c r="H54" s="29" t="n">
        <v>80</v>
      </c>
      <c r="I54" s="29" t="n"/>
      <c r="J54" s="29" t="n"/>
      <c r="K54" s="30">
        <f>IF(B54="","",SUM(G$2:I54)-SUM(J$2:J54))</f>
        <v/>
      </c>
      <c r="L54" s="22">
        <f>IF(B54="","",IF(B54=B53,L53,N(L53)+1))</f>
        <v/>
      </c>
    </row>
    <row r="55">
      <c r="A55" s="22" t="inlineStr">
        <is>
          <t>M0054</t>
        </is>
      </c>
      <c r="B55" s="27" t="n">
        <v>45926</v>
      </c>
      <c r="C55" s="17" t="inlineStr">
        <is>
          <t>Bang Mie</t>
        </is>
      </c>
      <c r="D55" s="17" t="inlineStr">
        <is>
          <t>Bang Mie (9)</t>
        </is>
      </c>
      <c r="E55" s="17" t="inlineStr">
        <is>
          <t>Yuran</t>
        </is>
      </c>
      <c r="F55" s="28" t="inlineStr">
        <is>
          <t>2025-09</t>
        </is>
      </c>
      <c r="G55" s="29" t="n">
        <v>35</v>
      </c>
      <c r="H55" s="29" t="n">
        <v>50</v>
      </c>
      <c r="I55" s="29" t="n"/>
      <c r="J55" s="29" t="n"/>
      <c r="K55" s="30">
        <f>IF(B55="","",SUM(G$2:I55)-SUM(J$2:J55))</f>
        <v/>
      </c>
      <c r="L55" s="22">
        <f>IF(B55="","",IF(B55=B54,L54,N(L54)+1))</f>
        <v/>
      </c>
    </row>
    <row r="56">
      <c r="A56" s="22" t="inlineStr">
        <is>
          <t>M0055</t>
        </is>
      </c>
      <c r="B56" s="27" t="n">
        <v>45926</v>
      </c>
      <c r="C56" s="17" t="inlineStr">
        <is>
          <t>Boss Wan</t>
        </is>
      </c>
      <c r="D56" s="17" t="inlineStr">
        <is>
          <t>Boss Wan (9)</t>
        </is>
      </c>
      <c r="E56" s="17" t="inlineStr">
        <is>
          <t>Yuran</t>
        </is>
      </c>
      <c r="F56" s="28" t="inlineStr">
        <is>
          <t>2025-09</t>
        </is>
      </c>
      <c r="G56" s="29" t="n">
        <v>35</v>
      </c>
      <c r="H56" s="29" t="n">
        <v>50</v>
      </c>
      <c r="I56" s="29" t="n"/>
      <c r="J56" s="29" t="n"/>
      <c r="K56" s="30">
        <f>IF(B56="","",SUM(G$2:I56)-SUM(J$2:J56))</f>
        <v/>
      </c>
      <c r="L56" s="22">
        <f>IF(B56="","",IF(B56=B55,L55,N(L55)+1))</f>
        <v/>
      </c>
    </row>
    <row r="57">
      <c r="A57" s="22" t="inlineStr">
        <is>
          <t>M0056</t>
        </is>
      </c>
      <c r="B57" s="27" t="n">
        <v>45928</v>
      </c>
      <c r="C57" s="17" t="inlineStr">
        <is>
          <t>Asnawi</t>
        </is>
      </c>
      <c r="D57" s="17" t="inlineStr">
        <is>
          <t>Bayaran Duit Pantri - Asnawi</t>
        </is>
      </c>
      <c r="E57" s="17" t="inlineStr">
        <is>
          <t>Duit Pantri</t>
        </is>
      </c>
      <c r="F57" s="28" t="inlineStr"/>
      <c r="G57" s="29" t="n"/>
      <c r="H57" s="29" t="n"/>
      <c r="I57" s="29" t="n"/>
      <c r="J57" s="29" t="n">
        <v>60</v>
      </c>
      <c r="K57" s="30">
        <f>IF(B57="","",SUM(G$2:I57)-SUM(J$2:J57))</f>
        <v/>
      </c>
      <c r="L57" s="22">
        <f>IF(B57="","",IF(B57=B56,L56,N(L56)+1))</f>
        <v/>
      </c>
    </row>
    <row r="58">
      <c r="A58" s="22" t="inlineStr">
        <is>
          <t>M0057</t>
        </is>
      </c>
      <c r="B58" s="27" t="n">
        <v>45929</v>
      </c>
      <c r="C58" s="17" t="inlineStr">
        <is>
          <t>Hasnol</t>
        </is>
      </c>
      <c r="D58" s="17" t="inlineStr">
        <is>
          <t>Sumbangan Ustaz - Hasnol (Diambil daripada duit)</t>
        </is>
      </c>
      <c r="E58" s="17" t="inlineStr">
        <is>
          <t>Sumbangan</t>
        </is>
      </c>
      <c r="F58" s="28" t="inlineStr"/>
      <c r="G58" s="29" t="n"/>
      <c r="H58" s="29" t="n"/>
      <c r="I58" s="29" t="n">
        <v>10</v>
      </c>
      <c r="J58" s="29" t="n"/>
      <c r="K58" s="30">
        <f>IF(B58="","",SUM(G$2:I58)-SUM(J$2:J58))</f>
        <v/>
      </c>
      <c r="L58" s="22">
        <f>IF(B58="","",IF(B58=B57,L57,N(L57)+1))</f>
        <v/>
      </c>
    </row>
    <row r="59">
      <c r="A59" s="22" t="inlineStr">
        <is>
          <t>M0058</t>
        </is>
      </c>
      <c r="B59" s="27" t="n">
        <v>45932</v>
      </c>
      <c r="C59" s="17" t="inlineStr">
        <is>
          <t>Boss Khairil</t>
        </is>
      </c>
      <c r="D59" s="17" t="inlineStr">
        <is>
          <t>Boss Khairil (9)</t>
        </is>
      </c>
      <c r="E59" s="17" t="inlineStr">
        <is>
          <t>Yuran</t>
        </is>
      </c>
      <c r="F59" s="28" t="inlineStr">
        <is>
          <t>2025-09</t>
        </is>
      </c>
      <c r="G59" s="29" t="n"/>
      <c r="H59" s="29" t="n">
        <v>50</v>
      </c>
      <c r="I59" s="29" t="n"/>
      <c r="J59" s="29" t="n"/>
      <c r="K59" s="30">
        <f>IF(B59="","",SUM(G$2:I59)-SUM(J$2:J59))</f>
        <v/>
      </c>
      <c r="L59" s="22">
        <f>IF(B59="","",IF(B59=B58,L58,N(L58)+1))</f>
        <v/>
      </c>
    </row>
    <row r="60">
      <c r="A60" s="22" t="inlineStr">
        <is>
          <t>M0059</t>
        </is>
      </c>
      <c r="B60" s="27" t="n">
        <v>45944</v>
      </c>
      <c r="C60" s="17" t="inlineStr">
        <is>
          <t>Hadi</t>
        </is>
      </c>
      <c r="D60" s="17" t="inlineStr">
        <is>
          <t>Hadi (9)</t>
        </is>
      </c>
      <c r="E60" s="17" t="inlineStr">
        <is>
          <t>Yuran</t>
        </is>
      </c>
      <c r="F60" s="28" t="inlineStr">
        <is>
          <t>2025-09</t>
        </is>
      </c>
      <c r="G60" s="29" t="n">
        <v>35</v>
      </c>
      <c r="H60" s="29" t="n">
        <v>50</v>
      </c>
      <c r="I60" s="29" t="n"/>
      <c r="J60" s="29" t="n"/>
      <c r="K60" s="30">
        <f>IF(B60="","",SUM(G$2:I60)-SUM(J$2:J60))</f>
        <v/>
      </c>
      <c r="L60" s="22">
        <f>IF(B60="","",IF(B60=B59,L59,N(L59)+1))</f>
        <v/>
      </c>
    </row>
    <row r="61">
      <c r="A61" s="22" t="inlineStr">
        <is>
          <t>M0060</t>
        </is>
      </c>
      <c r="B61" s="27" t="n">
        <v>45946</v>
      </c>
      <c r="C61" s="17" t="inlineStr">
        <is>
          <t>Bang Mie</t>
        </is>
      </c>
      <c r="D61" s="17" t="inlineStr">
        <is>
          <t>Bang Mie (10)</t>
        </is>
      </c>
      <c r="E61" s="17" t="inlineStr">
        <is>
          <t>Yuran</t>
        </is>
      </c>
      <c r="F61" s="28" t="inlineStr">
        <is>
          <t>2025-10</t>
        </is>
      </c>
      <c r="G61" s="29" t="n">
        <v>35</v>
      </c>
      <c r="H61" s="29" t="n">
        <v>50</v>
      </c>
      <c r="I61" s="29" t="n"/>
      <c r="J61" s="29" t="n"/>
      <c r="K61" s="30">
        <f>IF(B61="","",SUM(G$2:I61)-SUM(J$2:J61))</f>
        <v/>
      </c>
      <c r="L61" s="22">
        <f>IF(B61="","",IF(B61=B60,L60,N(L60)+1))</f>
        <v/>
      </c>
    </row>
    <row r="62">
      <c r="A62" s="22" t="inlineStr">
        <is>
          <t>M0061</t>
        </is>
      </c>
      <c r="B62" s="27" t="n">
        <v>45946</v>
      </c>
      <c r="C62" s="17" t="inlineStr">
        <is>
          <t>Asnawi</t>
        </is>
      </c>
      <c r="D62" s="17" t="inlineStr">
        <is>
          <t>Asnawi (10)</t>
        </is>
      </c>
      <c r="E62" s="17" t="inlineStr">
        <is>
          <t>Yuran</t>
        </is>
      </c>
      <c r="F62" s="28" t="inlineStr">
        <is>
          <t>2025-10</t>
        </is>
      </c>
      <c r="G62" s="29" t="n">
        <v>35</v>
      </c>
      <c r="H62" s="29" t="n">
        <v>50</v>
      </c>
      <c r="I62" s="29" t="n"/>
      <c r="J62" s="29" t="n"/>
      <c r="K62" s="30">
        <f>IF(B62="","",SUM(G$2:I62)-SUM(J$2:J62))</f>
        <v/>
      </c>
      <c r="L62" s="22">
        <f>IF(B62="","",IF(B62=B61,L61,N(L61)+1))</f>
        <v/>
      </c>
    </row>
    <row r="63">
      <c r="A63" s="22" t="inlineStr">
        <is>
          <t>M0062</t>
        </is>
      </c>
      <c r="B63" s="27" t="n">
        <v>45946</v>
      </c>
      <c r="C63" s="17" t="inlineStr">
        <is>
          <t>Boss Wan</t>
        </is>
      </c>
      <c r="D63" s="17" t="inlineStr">
        <is>
          <t>Boss Wan (10)</t>
        </is>
      </c>
      <c r="E63" s="17" t="inlineStr">
        <is>
          <t>Yuran</t>
        </is>
      </c>
      <c r="F63" s="28" t="inlineStr">
        <is>
          <t>2025-10</t>
        </is>
      </c>
      <c r="G63" s="29" t="n">
        <v>35</v>
      </c>
      <c r="H63" s="29" t="n">
        <v>50</v>
      </c>
      <c r="I63" s="29" t="n"/>
      <c r="J63" s="29" t="n"/>
      <c r="K63" s="30">
        <f>IF(B63="","",SUM(G$2:I63)-SUM(J$2:J63))</f>
        <v/>
      </c>
      <c r="L63" s="22">
        <f>IF(B63="","",IF(B63=B62,L62,N(L62)+1))</f>
        <v/>
      </c>
    </row>
    <row r="64">
      <c r="A64" s="22" t="inlineStr">
        <is>
          <t>M0063</t>
        </is>
      </c>
      <c r="B64" s="27" t="n">
        <v>45947</v>
      </c>
      <c r="C64" s="17" t="inlineStr">
        <is>
          <t>Khairiri</t>
        </is>
      </c>
      <c r="D64" s="17" t="inlineStr">
        <is>
          <t>Khairiri (10)</t>
        </is>
      </c>
      <c r="E64" s="17" t="inlineStr">
        <is>
          <t>Yuran</t>
        </is>
      </c>
      <c r="F64" s="28" t="inlineStr">
        <is>
          <t>2025-10</t>
        </is>
      </c>
      <c r="G64" s="29" t="n">
        <v>35</v>
      </c>
      <c r="H64" s="29" t="n">
        <v>50</v>
      </c>
      <c r="I64" s="29" t="n"/>
      <c r="J64" s="29" t="n"/>
      <c r="K64" s="30">
        <f>IF(B64="","",SUM(G$2:I64)-SUM(J$2:J64))</f>
        <v/>
      </c>
      <c r="L64" s="22">
        <f>IF(B64="","",IF(B64=B63,L63,N(L63)+1))</f>
        <v/>
      </c>
    </row>
    <row r="65">
      <c r="A65" s="22" t="inlineStr">
        <is>
          <t>M0064</t>
        </is>
      </c>
      <c r="B65" s="27" t="n">
        <v>45949</v>
      </c>
      <c r="C65" s="17" t="inlineStr">
        <is>
          <t>Chang</t>
        </is>
      </c>
      <c r="D65" s="17" t="inlineStr">
        <is>
          <t>Chang (10)</t>
        </is>
      </c>
      <c r="E65" s="17" t="inlineStr">
        <is>
          <t>Yuran</t>
        </is>
      </c>
      <c r="F65" s="28" t="inlineStr">
        <is>
          <t>2025-10</t>
        </is>
      </c>
      <c r="G65" s="29" t="n">
        <v>35</v>
      </c>
      <c r="H65" s="29" t="n">
        <v>50</v>
      </c>
      <c r="I65" s="29" t="n"/>
      <c r="J65" s="29" t="n"/>
      <c r="K65" s="30">
        <f>IF(B65="","",SUM(G$2:I65)-SUM(J$2:J65))</f>
        <v/>
      </c>
      <c r="L65" s="22">
        <f>IF(B65="","",IF(B65=B64,L64,N(L64)+1))</f>
        <v/>
      </c>
    </row>
    <row r="66">
      <c r="A66" s="22" t="inlineStr">
        <is>
          <t>M0065</t>
        </is>
      </c>
      <c r="B66" s="27" t="n">
        <v>45954</v>
      </c>
      <c r="C66" s="17" t="inlineStr">
        <is>
          <t>Boss Khairil</t>
        </is>
      </c>
      <c r="D66" s="17" t="inlineStr">
        <is>
          <t>Boss Khairil (Lawatan 10)</t>
        </is>
      </c>
      <c r="E66" s="17" t="inlineStr">
        <is>
          <t>Yuran</t>
        </is>
      </c>
      <c r="F66" s="28" t="inlineStr">
        <is>
          <t>2025-10</t>
        </is>
      </c>
      <c r="G66" s="29" t="n"/>
      <c r="H66" s="29" t="n">
        <v>50</v>
      </c>
      <c r="I66" s="29" t="n"/>
      <c r="J66" s="29" t="n"/>
      <c r="K66" s="30">
        <f>IF(B66="","",SUM(G$2:I66)-SUM(J$2:J66))</f>
        <v/>
      </c>
      <c r="L66" s="22">
        <f>IF(B66="","",IF(B66=B65,L65,N(L65)+1))</f>
        <v/>
      </c>
    </row>
    <row r="67">
      <c r="A67" s="22" t="inlineStr">
        <is>
          <t>M0066</t>
        </is>
      </c>
      <c r="B67" s="27" t="n">
        <v>45955</v>
      </c>
      <c r="C67" s="17" t="inlineStr">
        <is>
          <t>Ustaz</t>
        </is>
      </c>
      <c r="D67" s="17" t="inlineStr">
        <is>
          <t>Ustaz (Lawatan 10)</t>
        </is>
      </c>
      <c r="E67" s="17" t="inlineStr">
        <is>
          <t>Yuran</t>
        </is>
      </c>
      <c r="F67" s="28" t="inlineStr">
        <is>
          <t>2025-10</t>
        </is>
      </c>
      <c r="G67" s="29" t="n"/>
      <c r="H67" s="29" t="n">
        <v>50</v>
      </c>
      <c r="I67" s="29" t="n"/>
      <c r="J67" s="29" t="n"/>
      <c r="K67" s="30">
        <f>IF(B67="","",SUM(G$2:I67)-SUM(J$2:J67))</f>
        <v/>
      </c>
      <c r="L67" s="22">
        <f>IF(B67="","",IF(B67=B66,L66,N(L66)+1))</f>
        <v/>
      </c>
    </row>
    <row r="68">
      <c r="A68" s="22" t="inlineStr">
        <is>
          <t>M0067</t>
        </is>
      </c>
      <c r="B68" s="27" t="n">
        <v>45958</v>
      </c>
      <c r="C68" s="17" t="inlineStr">
        <is>
          <t>Asnawi</t>
        </is>
      </c>
      <c r="D68" s="17" t="inlineStr">
        <is>
          <t>Bayaran Duit Pantri - Asnawi</t>
        </is>
      </c>
      <c r="E68" s="17" t="inlineStr">
        <is>
          <t>Duit Pantri</t>
        </is>
      </c>
      <c r="F68" s="28" t="inlineStr"/>
      <c r="G68" s="29" t="n"/>
      <c r="H68" s="29" t="n"/>
      <c r="I68" s="29" t="n"/>
      <c r="J68" s="29" t="n">
        <v>60</v>
      </c>
      <c r="K68" s="30">
        <f>IF(B68="","",SUM(G$2:I68)-SUM(J$2:J68))</f>
        <v/>
      </c>
      <c r="L68" s="22">
        <f>IF(B68="","",IF(B68=B67,L67,N(L67)+1))</f>
        <v/>
      </c>
    </row>
    <row r="69">
      <c r="A69" s="22" t="inlineStr">
        <is>
          <t>M0068</t>
        </is>
      </c>
      <c r="B69" s="27" t="n">
        <v>45981</v>
      </c>
      <c r="C69" s="17" t="inlineStr">
        <is>
          <t>Bang Mie</t>
        </is>
      </c>
      <c r="D69" s="17" t="inlineStr">
        <is>
          <t>Bang Mie (11)</t>
        </is>
      </c>
      <c r="E69" s="17" t="inlineStr">
        <is>
          <t>Yuran</t>
        </is>
      </c>
      <c r="F69" s="28" t="inlineStr">
        <is>
          <t>2025-11</t>
        </is>
      </c>
      <c r="G69" s="29" t="n">
        <v>35</v>
      </c>
      <c r="H69" s="29" t="n">
        <v>50</v>
      </c>
      <c r="I69" s="29" t="n"/>
      <c r="J69" s="29" t="n"/>
      <c r="K69" s="30">
        <f>IF(B69="","",SUM(G$2:I69)-SUM(J$2:J69))</f>
        <v/>
      </c>
      <c r="L69" s="22">
        <f>IF(B69="","",IF(B69=B68,L68,N(L68)+1))</f>
        <v/>
      </c>
    </row>
    <row r="70">
      <c r="A70" s="22" t="inlineStr">
        <is>
          <t>M0069</t>
        </is>
      </c>
      <c r="B70" s="27" t="n">
        <v>45981</v>
      </c>
      <c r="C70" s="17" t="inlineStr">
        <is>
          <t>Khairiri</t>
        </is>
      </c>
      <c r="D70" s="17" t="inlineStr">
        <is>
          <t>Khairiri (11)</t>
        </is>
      </c>
      <c r="E70" s="17" t="inlineStr">
        <is>
          <t>Yuran</t>
        </is>
      </c>
      <c r="F70" s="28" t="inlineStr">
        <is>
          <t>2025-11</t>
        </is>
      </c>
      <c r="G70" s="29" t="n">
        <v>35</v>
      </c>
      <c r="H70" s="29" t="n">
        <v>50</v>
      </c>
      <c r="I70" s="29" t="n"/>
      <c r="J70" s="29" t="n"/>
      <c r="K70" s="30">
        <f>IF(B70="","",SUM(G$2:I70)-SUM(J$2:J70))</f>
        <v/>
      </c>
      <c r="L70" s="22">
        <f>IF(B70="","",IF(B70=B69,L69,N(L69)+1))</f>
        <v/>
      </c>
    </row>
    <row r="71">
      <c r="A71" s="22" t="inlineStr">
        <is>
          <t>M0070</t>
        </is>
      </c>
      <c r="B71" s="27" t="n">
        <v>45981</v>
      </c>
      <c r="C71" s="17" t="inlineStr">
        <is>
          <t>Ustaz</t>
        </is>
      </c>
      <c r="D71" s="17" t="inlineStr">
        <is>
          <t>Ustaz (Lawatan 11)</t>
        </is>
      </c>
      <c r="E71" s="17" t="inlineStr">
        <is>
          <t>Yuran</t>
        </is>
      </c>
      <c r="F71" s="28" t="inlineStr">
        <is>
          <t>2025-11</t>
        </is>
      </c>
      <c r="G71" s="29" t="n"/>
      <c r="H71" s="29" t="n">
        <v>50</v>
      </c>
      <c r="I71" s="29" t="n"/>
      <c r="J71" s="29" t="n"/>
      <c r="K71" s="30">
        <f>IF(B71="","",SUM(G$2:I71)-SUM(J$2:J71))</f>
        <v/>
      </c>
      <c r="L71" s="22">
        <f>IF(B71="","",IF(B71=B70,L70,N(L70)+1))</f>
        <v/>
      </c>
    </row>
    <row r="72">
      <c r="A72" s="22" t="inlineStr">
        <is>
          <t>M0071</t>
        </is>
      </c>
      <c r="B72" s="27" t="n">
        <v>45982</v>
      </c>
      <c r="C72" s="17" t="inlineStr">
        <is>
          <t>Asnawi</t>
        </is>
      </c>
      <c r="D72" s="17" t="inlineStr">
        <is>
          <t>Asnawi (11)</t>
        </is>
      </c>
      <c r="E72" s="17" t="inlineStr">
        <is>
          <t>Yuran</t>
        </is>
      </c>
      <c r="F72" s="28" t="inlineStr">
        <is>
          <t>2025-11</t>
        </is>
      </c>
      <c r="G72" s="29" t="n">
        <v>35</v>
      </c>
      <c r="H72" s="29" t="n">
        <v>50</v>
      </c>
      <c r="I72" s="29" t="n"/>
      <c r="J72" s="29" t="n"/>
      <c r="K72" s="30">
        <f>IF(B72="","",SUM(G$2:I72)-SUM(J$2:J72))</f>
        <v/>
      </c>
      <c r="L72" s="22">
        <f>IF(B72="","",IF(B72=B71,L71,N(L71)+1))</f>
        <v/>
      </c>
    </row>
    <row r="73">
      <c r="A73" s="22" t="inlineStr">
        <is>
          <t>M0072</t>
        </is>
      </c>
      <c r="B73" s="27" t="n">
        <v>45987</v>
      </c>
      <c r="C73" s="17" t="inlineStr">
        <is>
          <t>Hadi</t>
        </is>
      </c>
      <c r="D73" s="17" t="inlineStr">
        <is>
          <t>Hadi (10, 11)</t>
        </is>
      </c>
      <c r="E73" s="17" t="inlineStr">
        <is>
          <t>Yuran</t>
        </is>
      </c>
      <c r="F73" s="28" t="inlineStr">
        <is>
          <t>2025-10, 2025-11</t>
        </is>
      </c>
      <c r="G73" s="29" t="n">
        <v>70</v>
      </c>
      <c r="H73" s="29" t="n">
        <v>100</v>
      </c>
      <c r="I73" s="29" t="n"/>
      <c r="J73" s="29" t="n"/>
      <c r="K73" s="30">
        <f>IF(B73="","",SUM(G$2:I73)-SUM(J$2:J73))</f>
        <v/>
      </c>
      <c r="L73" s="22">
        <f>IF(B73="","",IF(B73=B72,L72,N(L72)+1))</f>
        <v/>
      </c>
    </row>
    <row r="74">
      <c r="A74" s="22" t="inlineStr">
        <is>
          <t>M0073</t>
        </is>
      </c>
      <c r="B74" s="27" t="n">
        <v>45987</v>
      </c>
      <c r="C74" s="17" t="inlineStr">
        <is>
          <t>Hasnol</t>
        </is>
      </c>
      <c r="D74" s="17" t="inlineStr">
        <is>
          <t>Hasnol (Kelab 10, 11, 12)</t>
        </is>
      </c>
      <c r="E74" s="17" t="inlineStr">
        <is>
          <t>Yuran</t>
        </is>
      </c>
      <c r="F74" s="28" t="inlineStr">
        <is>
          <t>2025-10, 2025-11, 2025-12</t>
        </is>
      </c>
      <c r="G74" s="29" t="n">
        <v>105</v>
      </c>
      <c r="H74" s="29" t="n"/>
      <c r="I74" s="29" t="n"/>
      <c r="J74" s="29" t="n"/>
      <c r="K74" s="30">
        <f>IF(B74="","",SUM(G$2:I74)-SUM(J$2:J74))</f>
        <v/>
      </c>
      <c r="L74" s="22">
        <f>IF(B74="","",IF(B74=B73,L73,N(L73)+1))</f>
        <v/>
      </c>
    </row>
    <row r="75">
      <c r="A75" s="22" t="inlineStr">
        <is>
          <t>M0074</t>
        </is>
      </c>
      <c r="B75" s="27" t="n">
        <v>45987</v>
      </c>
      <c r="C75" s="17" t="inlineStr">
        <is>
          <t>Wafi</t>
        </is>
      </c>
      <c r="D75" s="17" t="inlineStr">
        <is>
          <t>Wafi (Kelab 7, 8, 9, 10)</t>
        </is>
      </c>
      <c r="E75" s="17" t="inlineStr">
        <is>
          <t>Yuran</t>
        </is>
      </c>
      <c r="F75" s="28" t="inlineStr">
        <is>
          <t>2025-07, 2025-08, 2025-09, 2025-10</t>
        </is>
      </c>
      <c r="G75" s="29" t="n">
        <v>140</v>
      </c>
      <c r="H75" s="29" t="n"/>
      <c r="I75" s="29" t="n"/>
      <c r="J75" s="29" t="n"/>
      <c r="K75" s="30">
        <f>IF(B75="","",SUM(G$2:I75)-SUM(J$2:J75))</f>
        <v/>
      </c>
      <c r="L75" s="22">
        <f>IF(B75="","",IF(B75=B74,L74,N(L74)+1))</f>
        <v/>
      </c>
    </row>
    <row r="76">
      <c r="A76" s="22" t="inlineStr">
        <is>
          <t>M0075</t>
        </is>
      </c>
      <c r="B76" s="27" t="n">
        <v>45987</v>
      </c>
      <c r="C76" s="17" t="inlineStr">
        <is>
          <t>Boss Wan</t>
        </is>
      </c>
      <c r="D76" s="17" t="inlineStr">
        <is>
          <t>Boss Wan (11)</t>
        </is>
      </c>
      <c r="E76" s="17" t="inlineStr">
        <is>
          <t>Yuran</t>
        </is>
      </c>
      <c r="F76" s="28" t="inlineStr">
        <is>
          <t>2025-11</t>
        </is>
      </c>
      <c r="G76" s="29" t="n">
        <v>35</v>
      </c>
      <c r="H76" s="29" t="n">
        <v>50</v>
      </c>
      <c r="I76" s="29" t="n"/>
      <c r="J76" s="29" t="n"/>
      <c r="K76" s="30">
        <f>IF(B76="","",SUM(G$2:I76)-SUM(J$2:J76))</f>
        <v/>
      </c>
      <c r="L76" s="22">
        <f>IF(B76="","",IF(B76=B75,L75,N(L75)+1))</f>
        <v/>
      </c>
    </row>
    <row r="77">
      <c r="A77" s="22" t="inlineStr">
        <is>
          <t>M0076</t>
        </is>
      </c>
      <c r="B77" s="27" t="n">
        <v>45987</v>
      </c>
      <c r="C77" s="17" t="inlineStr">
        <is>
          <t>Chang</t>
        </is>
      </c>
      <c r="D77" s="17" t="inlineStr">
        <is>
          <t>Chang (11)</t>
        </is>
      </c>
      <c r="E77" s="17" t="inlineStr">
        <is>
          <t>Yuran</t>
        </is>
      </c>
      <c r="F77" s="28" t="inlineStr">
        <is>
          <t>2025-11</t>
        </is>
      </c>
      <c r="G77" s="29" t="n">
        <v>35</v>
      </c>
      <c r="H77" s="29" t="n">
        <v>50</v>
      </c>
      <c r="I77" s="29" t="n"/>
      <c r="J77" s="29" t="n"/>
      <c r="K77" s="30">
        <f>IF(B77="","",SUM(G$2:I77)-SUM(J$2:J77))</f>
        <v/>
      </c>
      <c r="L77" s="22">
        <f>IF(B77="","",IF(B77=B76,L76,N(L76)+1))</f>
        <v/>
      </c>
    </row>
    <row r="78">
      <c r="A78" s="22" t="inlineStr">
        <is>
          <t>M0077</t>
        </is>
      </c>
      <c r="B78" s="27" t="n">
        <v>45989</v>
      </c>
      <c r="C78" s="17" t="inlineStr"/>
      <c r="D78" s="17" t="inlineStr">
        <is>
          <t>Bayaran Duit Pantri - Pembelian Filter Air</t>
        </is>
      </c>
      <c r="E78" s="17" t="inlineStr">
        <is>
          <t>Duit Pantri</t>
        </is>
      </c>
      <c r="F78" s="28" t="inlineStr"/>
      <c r="G78" s="29" t="n"/>
      <c r="H78" s="29" t="n"/>
      <c r="I78" s="29" t="n"/>
      <c r="J78" s="29" t="n">
        <v>20</v>
      </c>
      <c r="K78" s="30">
        <f>IF(B78="","",SUM(G$2:I78)-SUM(J$2:J78))</f>
        <v/>
      </c>
      <c r="L78" s="22">
        <f>IF(B78="","",IF(B78=B77,L77,N(L77)+1))</f>
        <v/>
      </c>
    </row>
    <row r="79">
      <c r="A79" s="22" t="inlineStr">
        <is>
          <t>M0078</t>
        </is>
      </c>
      <c r="B79" s="27" t="n">
        <v>45989</v>
      </c>
      <c r="C79" s="17" t="inlineStr">
        <is>
          <t>Asnawi</t>
        </is>
      </c>
      <c r="D79" s="17" t="inlineStr">
        <is>
          <t>Bayaran Duit Pantri Lebihan - Asnawi</t>
        </is>
      </c>
      <c r="E79" s="17" t="inlineStr">
        <is>
          <t>Duit Pantri</t>
        </is>
      </c>
      <c r="F79" s="28" t="inlineStr"/>
      <c r="G79" s="29" t="n"/>
      <c r="H79" s="29" t="n"/>
      <c r="I79" s="29" t="n"/>
      <c r="J79" s="29" t="n">
        <v>40</v>
      </c>
      <c r="K79" s="30">
        <f>IF(B79="","",SUM(G$2:I79)-SUM(J$2:J79))</f>
        <v/>
      </c>
      <c r="L79" s="22">
        <f>IF(B79="","",IF(B79=B78,L78,N(L78)+1))</f>
        <v/>
      </c>
    </row>
    <row r="80">
      <c r="A80" s="22" t="inlineStr">
        <is>
          <t>M0079</t>
        </is>
      </c>
      <c r="B80" s="27" t="n">
        <v>45992</v>
      </c>
      <c r="C80" s="17" t="inlineStr">
        <is>
          <t>Aiman</t>
        </is>
      </c>
      <c r="D80" s="17" t="inlineStr">
        <is>
          <t>Majlis KKGS - Aiman (Boling + Makan)</t>
        </is>
      </c>
      <c r="E80" s="17" t="inlineStr">
        <is>
          <t>Majlis</t>
        </is>
      </c>
      <c r="F80" s="28" t="inlineStr"/>
      <c r="G80" s="29" t="n"/>
      <c r="H80" s="29" t="n"/>
      <c r="I80" s="29" t="n">
        <v>60</v>
      </c>
      <c r="J80" s="29" t="n"/>
      <c r="K80" s="30">
        <f>IF(B80="","",SUM(G$2:I80)-SUM(J$2:J80))</f>
        <v/>
      </c>
      <c r="L80" s="22">
        <f>IF(B80="","",IF(B80=B79,L79,N(L79)+1))</f>
        <v/>
      </c>
    </row>
    <row r="81">
      <c r="A81" s="22" t="inlineStr">
        <is>
          <t>M0080</t>
        </is>
      </c>
      <c r="B81" s="27" t="n">
        <v>45992</v>
      </c>
      <c r="C81" s="17" t="inlineStr">
        <is>
          <t>Asnawi</t>
        </is>
      </c>
      <c r="D81" s="17" t="inlineStr">
        <is>
          <t>Majlis KKGS - Asnawi</t>
        </is>
      </c>
      <c r="E81" s="17" t="inlineStr">
        <is>
          <t>Majlis</t>
        </is>
      </c>
      <c r="F81" s="28" t="inlineStr"/>
      <c r="G81" s="29" t="n"/>
      <c r="H81" s="29" t="n"/>
      <c r="I81" s="29" t="n">
        <v>20</v>
      </c>
      <c r="J81" s="29" t="n"/>
      <c r="K81" s="30">
        <f>IF(B81="","",SUM(G$2:I81)-SUM(J$2:J81))</f>
        <v/>
      </c>
      <c r="L81" s="22">
        <f>IF(B81="","",IF(B81=B80,L80,N(L80)+1))</f>
        <v/>
      </c>
    </row>
    <row r="82">
      <c r="A82" s="22" t="inlineStr">
        <is>
          <t>M0081</t>
        </is>
      </c>
      <c r="B82" s="27" t="n">
        <v>45992</v>
      </c>
      <c r="C82" s="17" t="inlineStr">
        <is>
          <t>Ustaz</t>
        </is>
      </c>
      <c r="D82" s="17" t="inlineStr">
        <is>
          <t>Majlis KKGS - Ustaz</t>
        </is>
      </c>
      <c r="E82" s="17" t="inlineStr">
        <is>
          <t>Majlis</t>
        </is>
      </c>
      <c r="F82" s="28" t="inlineStr"/>
      <c r="G82" s="29" t="n"/>
      <c r="H82" s="29" t="n"/>
      <c r="I82" s="29" t="n">
        <v>20</v>
      </c>
      <c r="J82" s="29" t="n"/>
      <c r="K82" s="30">
        <f>IF(B82="","",SUM(G$2:I82)-SUM(J$2:J82))</f>
        <v/>
      </c>
      <c r="L82" s="22">
        <f>IF(B82="","",IF(B82=B81,L81,N(L81)+1))</f>
        <v/>
      </c>
    </row>
    <row r="83">
      <c r="A83" s="22" t="inlineStr">
        <is>
          <t>M0082</t>
        </is>
      </c>
      <c r="B83" s="27" t="n">
        <v>45992</v>
      </c>
      <c r="C83" s="17" t="inlineStr">
        <is>
          <t>Boss Wan</t>
        </is>
      </c>
      <c r="D83" s="17" t="inlineStr">
        <is>
          <t>Majlis KKGS - Boss Wan</t>
        </is>
      </c>
      <c r="E83" s="17" t="inlineStr">
        <is>
          <t>Majlis</t>
        </is>
      </c>
      <c r="F83" s="28" t="inlineStr"/>
      <c r="G83" s="29" t="n"/>
      <c r="H83" s="29" t="n"/>
      <c r="I83" s="29" t="n">
        <v>20</v>
      </c>
      <c r="J83" s="29" t="n"/>
      <c r="K83" s="30">
        <f>IF(B83="","",SUM(G$2:I83)-SUM(J$2:J83))</f>
        <v/>
      </c>
      <c r="L83" s="22">
        <f>IF(B83="","",IF(B83=B82,L82,N(L82)+1))</f>
        <v/>
      </c>
    </row>
    <row r="84">
      <c r="A84" s="22" t="inlineStr">
        <is>
          <t>M0083</t>
        </is>
      </c>
      <c r="B84" s="27" t="n">
        <v>45992</v>
      </c>
      <c r="C84" s="17" t="inlineStr">
        <is>
          <t>Chang</t>
        </is>
      </c>
      <c r="D84" s="17" t="inlineStr">
        <is>
          <t>Majlis KKGS - Chang</t>
        </is>
      </c>
      <c r="E84" s="17" t="inlineStr">
        <is>
          <t>Majlis</t>
        </is>
      </c>
      <c r="F84" s="28" t="inlineStr"/>
      <c r="G84" s="29" t="n"/>
      <c r="H84" s="29" t="n"/>
      <c r="I84" s="29" t="n">
        <v>20</v>
      </c>
      <c r="J84" s="29" t="n"/>
      <c r="K84" s="30">
        <f>IF(B84="","",SUM(G$2:I84)-SUM(J$2:J84))</f>
        <v/>
      </c>
      <c r="L84" s="22">
        <f>IF(B84="","",IF(B84=B83,L83,N(L83)+1))</f>
        <v/>
      </c>
    </row>
    <row r="85">
      <c r="A85" s="22" t="inlineStr">
        <is>
          <t>M0084</t>
        </is>
      </c>
      <c r="B85" s="27" t="n">
        <v>45992</v>
      </c>
      <c r="C85" s="17" t="inlineStr">
        <is>
          <t>Hadi</t>
        </is>
      </c>
      <c r="D85" s="17" t="inlineStr">
        <is>
          <t>Majlis KKGS - Hadi</t>
        </is>
      </c>
      <c r="E85" s="17" t="inlineStr">
        <is>
          <t>Majlis</t>
        </is>
      </c>
      <c r="F85" s="28" t="inlineStr"/>
      <c r="G85" s="29" t="n"/>
      <c r="H85" s="29" t="n"/>
      <c r="I85" s="29" t="n">
        <v>20</v>
      </c>
      <c r="J85" s="29" t="n"/>
      <c r="K85" s="30">
        <f>IF(B85="","",SUM(G$2:I85)-SUM(J$2:J85))</f>
        <v/>
      </c>
      <c r="L85" s="22">
        <f>IF(B85="","",IF(B85=B84,L84,N(L84)+1))</f>
        <v/>
      </c>
    </row>
    <row r="86">
      <c r="A86" s="22" t="inlineStr">
        <is>
          <t>M0085</t>
        </is>
      </c>
      <c r="B86" s="27" t="n">
        <v>45992</v>
      </c>
      <c r="C86" s="17" t="inlineStr">
        <is>
          <t>Boss Khairil</t>
        </is>
      </c>
      <c r="D86" s="17" t="inlineStr">
        <is>
          <t>Majlis KKGS - Boss Khairil</t>
        </is>
      </c>
      <c r="E86" s="17" t="inlineStr">
        <is>
          <t>Majlis</t>
        </is>
      </c>
      <c r="F86" s="28" t="inlineStr"/>
      <c r="G86" s="29" t="n"/>
      <c r="H86" s="29" t="n"/>
      <c r="I86" s="29" t="n">
        <v>20</v>
      </c>
      <c r="J86" s="29" t="n"/>
      <c r="K86" s="30">
        <f>IF(B86="","",SUM(G$2:I86)-SUM(J$2:J86))</f>
        <v/>
      </c>
      <c r="L86" s="22">
        <f>IF(B86="","",IF(B86=B85,L85,N(L85)+1))</f>
        <v/>
      </c>
    </row>
    <row r="87">
      <c r="A87" s="22" t="inlineStr">
        <is>
          <t>M0086</t>
        </is>
      </c>
      <c r="B87" s="27" t="n">
        <v>45993</v>
      </c>
      <c r="C87" s="17" t="inlineStr">
        <is>
          <t>Hasnol</t>
        </is>
      </c>
      <c r="D87" s="17" t="inlineStr">
        <is>
          <t>Majlis KKGS - Hasnol</t>
        </is>
      </c>
      <c r="E87" s="17" t="inlineStr">
        <is>
          <t>Majlis</t>
        </is>
      </c>
      <c r="F87" s="28" t="inlineStr"/>
      <c r="G87" s="29" t="n"/>
      <c r="H87" s="29" t="n"/>
      <c r="I87" s="29" t="n">
        <v>20</v>
      </c>
      <c r="J87" s="29" t="n"/>
      <c r="K87" s="30">
        <f>IF(B87="","",SUM(G$2:I87)-SUM(J$2:J87))</f>
        <v/>
      </c>
      <c r="L87" s="22">
        <f>IF(B87="","",IF(B87=B86,L86,N(L86)+1))</f>
        <v/>
      </c>
    </row>
    <row r="88">
      <c r="A88" s="22" t="inlineStr">
        <is>
          <t>M0087</t>
        </is>
      </c>
      <c r="B88" s="27" t="n">
        <v>45993</v>
      </c>
      <c r="C88" s="17" t="inlineStr">
        <is>
          <t>Asnawi</t>
        </is>
      </c>
      <c r="D88" s="17" t="inlineStr">
        <is>
          <t>Hamper Boling - Asnawi</t>
        </is>
      </c>
      <c r="E88" s="17" t="inlineStr">
        <is>
          <t>Majlis &amp; Hadiah</t>
        </is>
      </c>
      <c r="F88" s="28" t="inlineStr"/>
      <c r="G88" s="29" t="n"/>
      <c r="H88" s="29" t="n"/>
      <c r="I88" s="29" t="n"/>
      <c r="J88" s="29" t="n">
        <v>100</v>
      </c>
      <c r="K88" s="30">
        <f>IF(B88="","",SUM(G$2:I88)-SUM(J$2:J88))</f>
        <v/>
      </c>
      <c r="L88" s="22">
        <f>IF(B88="","",IF(B88=B87,L87,N(L87)+1))</f>
        <v/>
      </c>
    </row>
    <row r="89">
      <c r="A89" s="22" t="inlineStr">
        <is>
          <t>M0088</t>
        </is>
      </c>
      <c r="B89" s="27" t="n">
        <v>45994</v>
      </c>
      <c r="C89" s="17" t="inlineStr"/>
      <c r="D89" s="17" t="inlineStr">
        <is>
          <t>Bayaran Boling + Makan (Majlis KKGS)</t>
        </is>
      </c>
      <c r="E89" s="17" t="inlineStr">
        <is>
          <t>Majlis &amp; Hadiah</t>
        </is>
      </c>
      <c r="F89" s="28" t="inlineStr"/>
      <c r="G89" s="29" t="n"/>
      <c r="H89" s="29" t="n"/>
      <c r="I89" s="29" t="n"/>
      <c r="J89" s="29" t="n">
        <v>900</v>
      </c>
      <c r="K89" s="30">
        <f>IF(B89="","",SUM(G$2:I89)-SUM(J$2:J89))</f>
        <v/>
      </c>
      <c r="L89" s="22">
        <f>IF(B89="","",IF(B89=B88,L88,N(L88)+1))</f>
        <v/>
      </c>
    </row>
    <row r="90">
      <c r="A90" s="22" t="inlineStr">
        <is>
          <t>M0089</t>
        </is>
      </c>
      <c r="B90" s="27" t="n">
        <v>45994</v>
      </c>
      <c r="C90" s="17" t="inlineStr">
        <is>
          <t>Joe</t>
        </is>
      </c>
      <c r="D90" s="17" t="inlineStr">
        <is>
          <t>Majlis KKGS - Joe</t>
        </is>
      </c>
      <c r="E90" s="17" t="inlineStr">
        <is>
          <t>Majlis</t>
        </is>
      </c>
      <c r="F90" s="28" t="inlineStr"/>
      <c r="G90" s="29" t="n"/>
      <c r="H90" s="29" t="n"/>
      <c r="I90" s="29" t="n">
        <v>20</v>
      </c>
      <c r="J90" s="29" t="n"/>
      <c r="K90" s="30">
        <f>IF(B90="","",SUM(G$2:I90)-SUM(J$2:J90))</f>
        <v/>
      </c>
      <c r="L90" s="22">
        <f>IF(B90="","",IF(B90=B89,L89,N(L89)+1))</f>
        <v/>
      </c>
    </row>
    <row r="91">
      <c r="A91" s="22" t="inlineStr">
        <is>
          <t>M0090</t>
        </is>
      </c>
      <c r="B91" s="27" t="n">
        <v>45994</v>
      </c>
      <c r="C91" s="17" t="inlineStr">
        <is>
          <t>Wafi</t>
        </is>
      </c>
      <c r="D91" s="17" t="inlineStr">
        <is>
          <t>Majlis KKGS - Wafi</t>
        </is>
      </c>
      <c r="E91" s="17" t="inlineStr">
        <is>
          <t>Majlis</t>
        </is>
      </c>
      <c r="F91" s="28" t="inlineStr"/>
      <c r="G91" s="29" t="n"/>
      <c r="H91" s="29" t="n"/>
      <c r="I91" s="29" t="n">
        <v>20</v>
      </c>
      <c r="J91" s="29" t="n"/>
      <c r="K91" s="30">
        <f>IF(B91="","",SUM(G$2:I91)-SUM(J$2:J91))</f>
        <v/>
      </c>
      <c r="L91" s="22">
        <f>IF(B91="","",IF(B91=B90,L90,N(L90)+1))</f>
        <v/>
      </c>
    </row>
    <row r="92">
      <c r="A92" s="22" t="inlineStr">
        <is>
          <t>M0091</t>
        </is>
      </c>
      <c r="B92" s="27" t="n">
        <v>45994</v>
      </c>
      <c r="C92" s="17" t="inlineStr">
        <is>
          <t>Amir</t>
        </is>
      </c>
      <c r="D92" s="17" t="inlineStr">
        <is>
          <t>Majlis KKGS - Amir</t>
        </is>
      </c>
      <c r="E92" s="17" t="inlineStr">
        <is>
          <t>Majlis</t>
        </is>
      </c>
      <c r="F92" s="28" t="inlineStr"/>
      <c r="G92" s="29" t="n"/>
      <c r="H92" s="29" t="n"/>
      <c r="I92" s="29" t="n">
        <v>20</v>
      </c>
      <c r="J92" s="29" t="n"/>
      <c r="K92" s="30">
        <f>IF(B92="","",SUM(G$2:I92)-SUM(J$2:J92))</f>
        <v/>
      </c>
      <c r="L92" s="22">
        <f>IF(B92="","",IF(B92=B91,L91,N(L91)+1))</f>
        <v/>
      </c>
    </row>
    <row r="93">
      <c r="A93" s="22" t="inlineStr">
        <is>
          <t>M0092</t>
        </is>
      </c>
      <c r="B93" s="27" t="n">
        <v>45994</v>
      </c>
      <c r="C93" s="17" t="inlineStr">
        <is>
          <t>Khairiri</t>
        </is>
      </c>
      <c r="D93" s="17" t="inlineStr">
        <is>
          <t>Majlis KKGS - Khairiri</t>
        </is>
      </c>
      <c r="E93" s="17" t="inlineStr">
        <is>
          <t>Majlis</t>
        </is>
      </c>
      <c r="F93" s="28" t="inlineStr"/>
      <c r="G93" s="29" t="n"/>
      <c r="H93" s="29" t="n"/>
      <c r="I93" s="29" t="n">
        <v>20</v>
      </c>
      <c r="J93" s="29" t="n"/>
      <c r="K93" s="30">
        <f>IF(B93="","",SUM(G$2:I93)-SUM(J$2:J93))</f>
        <v/>
      </c>
      <c r="L93" s="22">
        <f>IF(B93="","",IF(B93=B92,L92,N(L92)+1))</f>
        <v/>
      </c>
    </row>
    <row r="94">
      <c r="A94" s="22" t="inlineStr">
        <is>
          <t>M0093</t>
        </is>
      </c>
      <c r="B94" s="27" t="n">
        <v>45994</v>
      </c>
      <c r="C94" s="17" t="inlineStr">
        <is>
          <t>Kuchai</t>
        </is>
      </c>
      <c r="D94" s="17" t="inlineStr">
        <is>
          <t>Majlis KKGS - Kuchai (Lamb Chop)</t>
        </is>
      </c>
      <c r="E94" s="17" t="inlineStr">
        <is>
          <t>Majlis</t>
        </is>
      </c>
      <c r="F94" s="28" t="inlineStr"/>
      <c r="G94" s="29" t="n"/>
      <c r="H94" s="29" t="n"/>
      <c r="I94" s="29" t="n">
        <v>30</v>
      </c>
      <c r="J94" s="29" t="n"/>
      <c r="K94" s="30">
        <f>IF(B94="","",SUM(G$2:I94)-SUM(J$2:J94))</f>
        <v/>
      </c>
      <c r="L94" s="22">
        <f>IF(B94="","",IF(B94=B93,L93,N(L93)+1))</f>
        <v/>
      </c>
    </row>
    <row r="95">
      <c r="A95" s="22" t="inlineStr">
        <is>
          <t>M0094</t>
        </is>
      </c>
      <c r="B95" s="27" t="n">
        <v>45994</v>
      </c>
      <c r="C95" s="17" t="inlineStr">
        <is>
          <t>Hasnol</t>
        </is>
      </c>
      <c r="D95" s="17" t="inlineStr">
        <is>
          <t>Majlis KKGS - Hasnol (Lamb Chop)</t>
        </is>
      </c>
      <c r="E95" s="17" t="inlineStr">
        <is>
          <t>Majlis</t>
        </is>
      </c>
      <c r="F95" s="28" t="inlineStr"/>
      <c r="G95" s="29" t="n"/>
      <c r="H95" s="29" t="n"/>
      <c r="I95" s="29" t="n">
        <v>10</v>
      </c>
      <c r="J95" s="29" t="n"/>
      <c r="K95" s="30">
        <f>IF(B95="","",SUM(G$2:I95)-SUM(J$2:J95))</f>
        <v/>
      </c>
      <c r="L95" s="22">
        <f>IF(B95="","",IF(B95=B94,L94,N(L94)+1))</f>
        <v/>
      </c>
    </row>
    <row r="96">
      <c r="A96" s="22" t="inlineStr">
        <is>
          <t>M0095</t>
        </is>
      </c>
      <c r="B96" s="27" t="n">
        <v>45994</v>
      </c>
      <c r="C96" s="17" t="inlineStr">
        <is>
          <t>Joe</t>
        </is>
      </c>
      <c r="D96" s="17" t="inlineStr">
        <is>
          <t>Joe (10, 11)</t>
        </is>
      </c>
      <c r="E96" s="17" t="inlineStr">
        <is>
          <t>Yuran</t>
        </is>
      </c>
      <c r="F96" s="28" t="inlineStr">
        <is>
          <t>2025-10, 2025-11</t>
        </is>
      </c>
      <c r="G96" s="29" t="n">
        <v>70</v>
      </c>
      <c r="H96" s="29" t="n">
        <v>100</v>
      </c>
      <c r="I96" s="29" t="n"/>
      <c r="J96" s="29" t="n"/>
      <c r="K96" s="30">
        <f>IF(B96="","",SUM(G$2:I96)-SUM(J$2:J96))</f>
        <v/>
      </c>
      <c r="L96" s="22">
        <f>IF(B96="","",IF(B96=B95,L95,N(L95)+1))</f>
        <v/>
      </c>
    </row>
    <row r="97">
      <c r="A97" s="22" t="inlineStr">
        <is>
          <t>M0096</t>
        </is>
      </c>
      <c r="B97" s="27" t="n">
        <v>45995</v>
      </c>
      <c r="C97" s="17" t="inlineStr">
        <is>
          <t>Asnawi</t>
        </is>
      </c>
      <c r="D97" s="17" t="inlineStr">
        <is>
          <t>Majlis KKGS - Asnawi</t>
        </is>
      </c>
      <c r="E97" s="17" t="inlineStr">
        <is>
          <t>Majlis</t>
        </is>
      </c>
      <c r="F97" s="28" t="inlineStr"/>
      <c r="G97" s="29" t="n"/>
      <c r="H97" s="29" t="n"/>
      <c r="I97" s="29" t="n">
        <v>20</v>
      </c>
      <c r="J97" s="29" t="n"/>
      <c r="K97" s="30">
        <f>IF(B97="","",SUM(G$2:I97)-SUM(J$2:J97))</f>
        <v/>
      </c>
      <c r="L97" s="22">
        <f>IF(B97="","",IF(B97=B96,L96,N(L96)+1))</f>
        <v/>
      </c>
    </row>
    <row r="98">
      <c r="A98" s="22" t="inlineStr">
        <is>
          <t>M0097</t>
        </is>
      </c>
      <c r="B98" s="27" t="n">
        <v>46003</v>
      </c>
      <c r="C98" s="17" t="inlineStr">
        <is>
          <t>Bang Mie</t>
        </is>
      </c>
      <c r="D98" s="17" t="inlineStr">
        <is>
          <t>Majlis KKGS - Bang Mie (Lamb Chop)</t>
        </is>
      </c>
      <c r="E98" s="17" t="inlineStr">
        <is>
          <t>Majlis</t>
        </is>
      </c>
      <c r="F98" s="28" t="inlineStr"/>
      <c r="G98" s="29" t="n"/>
      <c r="H98" s="29" t="n"/>
      <c r="I98" s="29" t="n">
        <v>10</v>
      </c>
      <c r="J98" s="29" t="n"/>
      <c r="K98" s="30">
        <f>IF(B98="","",SUM(G$2:I98)-SUM(J$2:J98))</f>
        <v/>
      </c>
      <c r="L98" s="22">
        <f>IF(B98="","",IF(B98=B97,L97,N(L97)+1))</f>
        <v/>
      </c>
    </row>
    <row r="99">
      <c r="A99" s="22" t="inlineStr">
        <is>
          <t>M0098</t>
        </is>
      </c>
      <c r="B99" s="27" t="n">
        <v>46003</v>
      </c>
      <c r="C99" s="17" t="inlineStr">
        <is>
          <t>Kuchai</t>
        </is>
      </c>
      <c r="D99" s="17" t="inlineStr">
        <is>
          <t>Majlis KKGS - Kuchai (Lamb Chop)</t>
        </is>
      </c>
      <c r="E99" s="17" t="inlineStr">
        <is>
          <t>Majlis</t>
        </is>
      </c>
      <c r="F99" s="28" t="inlineStr"/>
      <c r="G99" s="29" t="n"/>
      <c r="H99" s="29" t="n"/>
      <c r="I99" s="29" t="n">
        <v>10</v>
      </c>
      <c r="J99" s="29" t="n"/>
      <c r="K99" s="30">
        <f>IF(B99="","",SUM(G$2:I99)-SUM(J$2:J99))</f>
        <v/>
      </c>
      <c r="L99" s="22">
        <f>IF(B99="","",IF(B99=B98,L98,N(L98)+1))</f>
        <v/>
      </c>
    </row>
    <row r="100">
      <c r="A100" s="22" t="inlineStr">
        <is>
          <t>M0099</t>
        </is>
      </c>
      <c r="B100" s="27" t="n">
        <v>46003</v>
      </c>
      <c r="C100" s="17" t="inlineStr">
        <is>
          <t>Chang</t>
        </is>
      </c>
      <c r="D100" s="17" t="inlineStr">
        <is>
          <t>Majlis KKGS - Chang (Lamb Chop)</t>
        </is>
      </c>
      <c r="E100" s="17" t="inlineStr">
        <is>
          <t>Majlis</t>
        </is>
      </c>
      <c r="F100" s="28" t="inlineStr"/>
      <c r="G100" s="29" t="n"/>
      <c r="H100" s="29" t="n"/>
      <c r="I100" s="29" t="n">
        <v>10</v>
      </c>
      <c r="J100" s="29" t="n"/>
      <c r="K100" s="30">
        <f>IF(B100="","",SUM(G$2:I100)-SUM(J$2:J100))</f>
        <v/>
      </c>
      <c r="L100" s="22">
        <f>IF(B100="","",IF(B100=B99,L99,N(L99)+1))</f>
        <v/>
      </c>
    </row>
    <row r="101">
      <c r="A101" s="22" t="inlineStr">
        <is>
          <t>M0100</t>
        </is>
      </c>
      <c r="B101" s="27" t="n">
        <v>46003</v>
      </c>
      <c r="C101" s="17" t="inlineStr">
        <is>
          <t>Kuchai</t>
        </is>
      </c>
      <c r="D101" s="17" t="inlineStr">
        <is>
          <t>Sumbangan Ustaz - Kuchai</t>
        </is>
      </c>
      <c r="E101" s="17" t="inlineStr">
        <is>
          <t>Sumbangan</t>
        </is>
      </c>
      <c r="F101" s="28" t="inlineStr"/>
      <c r="G101" s="29" t="n"/>
      <c r="H101" s="29" t="n"/>
      <c r="I101" s="29" t="n">
        <v>60</v>
      </c>
      <c r="J101" s="29" t="n"/>
      <c r="K101" s="30">
        <f>IF(B101="","",SUM(G$2:I101)-SUM(J$2:J101))</f>
        <v/>
      </c>
      <c r="L101" s="22">
        <f>IF(B101="","",IF(B101=B100,L100,N(L100)+1))</f>
        <v/>
      </c>
    </row>
    <row r="102">
      <c r="A102" s="22" t="inlineStr">
        <is>
          <t>M0101</t>
        </is>
      </c>
      <c r="B102" s="27" t="n">
        <v>46003</v>
      </c>
      <c r="C102" s="17" t="inlineStr"/>
      <c r="D102" s="17" t="inlineStr">
        <is>
          <t>Sumbangan Ustaz (Ke Asnawi daripada Kuchai)</t>
        </is>
      </c>
      <c r="E102" s="17" t="inlineStr">
        <is>
          <t>Majlis &amp; Hadiah</t>
        </is>
      </c>
      <c r="F102" s="28" t="inlineStr"/>
      <c r="G102" s="29" t="n"/>
      <c r="H102" s="29" t="n"/>
      <c r="I102" s="29" t="n"/>
      <c r="J102" s="29" t="n">
        <v>70</v>
      </c>
      <c r="K102" s="30">
        <f>IF(B102="","",SUM(G$2:I102)-SUM(J$2:J102))</f>
        <v/>
      </c>
      <c r="L102" s="22">
        <f>IF(B102="","",IF(B102=B101,L101,N(L101)+1))</f>
        <v/>
      </c>
    </row>
    <row r="103">
      <c r="A103" s="22" t="inlineStr">
        <is>
          <t>M0102</t>
        </is>
      </c>
      <c r="B103" s="27" t="n">
        <v>46003</v>
      </c>
      <c r="C103" s="17" t="inlineStr">
        <is>
          <t>Hadi</t>
        </is>
      </c>
      <c r="D103" s="17" t="inlineStr">
        <is>
          <t>Majlis KKGS - Hadi (Lamb Chop)</t>
        </is>
      </c>
      <c r="E103" s="17" t="inlineStr">
        <is>
          <t>Majlis</t>
        </is>
      </c>
      <c r="F103" s="28" t="inlineStr"/>
      <c r="G103" s="29" t="n"/>
      <c r="H103" s="29" t="n"/>
      <c r="I103" s="29" t="n">
        <v>10</v>
      </c>
      <c r="J103" s="29" t="n"/>
      <c r="K103" s="30">
        <f>IF(B103="","",SUM(G$2:I103)-SUM(J$2:J103))</f>
        <v/>
      </c>
      <c r="L103" s="22">
        <f>IF(B103="","",IF(B103=B102,L102,N(L102)+1))</f>
        <v/>
      </c>
    </row>
    <row r="104">
      <c r="A104" s="22" t="inlineStr">
        <is>
          <t>M0103</t>
        </is>
      </c>
      <c r="B104" s="27" t="n">
        <v>46003</v>
      </c>
      <c r="C104" s="17" t="inlineStr"/>
      <c r="D104" s="17" t="inlineStr">
        <is>
          <t>Sumbangan Ustaz (Ke Asnawi daripada KKGS)</t>
        </is>
      </c>
      <c r="E104" s="17" t="inlineStr">
        <is>
          <t>Majlis &amp; Hadiah</t>
        </is>
      </c>
      <c r="F104" s="28" t="inlineStr"/>
      <c r="G104" s="29" t="n"/>
      <c r="H104" s="29" t="n"/>
      <c r="I104" s="29" t="n"/>
      <c r="J104" s="29" t="n">
        <v>200</v>
      </c>
      <c r="K104" s="30">
        <f>IF(B104="","",SUM(G$2:I104)-SUM(J$2:J104))</f>
        <v/>
      </c>
      <c r="L104" s="22">
        <f>IF(B104="","",IF(B104=B103,L103,N(L103)+1))</f>
        <v/>
      </c>
    </row>
    <row r="105">
      <c r="A105" s="22" t="inlineStr">
        <is>
          <t>M0104</t>
        </is>
      </c>
      <c r="B105" s="27" t="n">
        <v>46009</v>
      </c>
      <c r="C105" s="17" t="inlineStr">
        <is>
          <t>Asnawi</t>
        </is>
      </c>
      <c r="D105" s="17" t="inlineStr">
        <is>
          <t>Asnawi (12)</t>
        </is>
      </c>
      <c r="E105" s="17" t="inlineStr">
        <is>
          <t>Yuran</t>
        </is>
      </c>
      <c r="F105" s="28" t="inlineStr">
        <is>
          <t>2025-12</t>
        </is>
      </c>
      <c r="G105" s="29" t="n">
        <v>35</v>
      </c>
      <c r="H105" s="29" t="n">
        <v>50</v>
      </c>
      <c r="I105" s="29" t="n"/>
      <c r="J105" s="29" t="n"/>
      <c r="K105" s="30">
        <f>IF(B105="","",SUM(G$2:I105)-SUM(J$2:J105))</f>
        <v/>
      </c>
      <c r="L105" s="22">
        <f>IF(B105="","",IF(B105=B104,L104,N(L104)+1))</f>
        <v/>
      </c>
    </row>
    <row r="106">
      <c r="A106" s="22" t="inlineStr">
        <is>
          <t>M0105</t>
        </is>
      </c>
      <c r="B106" s="27" t="n">
        <v>46009</v>
      </c>
      <c r="C106" s="17" t="inlineStr">
        <is>
          <t>Boss Wan</t>
        </is>
      </c>
      <c r="D106" s="17" t="inlineStr">
        <is>
          <t>Boss Wan (12)</t>
        </is>
      </c>
      <c r="E106" s="17" t="inlineStr">
        <is>
          <t>Yuran</t>
        </is>
      </c>
      <c r="F106" s="28" t="inlineStr">
        <is>
          <t>2025-12</t>
        </is>
      </c>
      <c r="G106" s="29" t="n">
        <v>35</v>
      </c>
      <c r="H106" s="29" t="n">
        <v>50</v>
      </c>
      <c r="I106" s="29" t="n"/>
      <c r="J106" s="29" t="n"/>
      <c r="K106" s="30">
        <f>IF(B106="","",SUM(G$2:I106)-SUM(J$2:J106))</f>
        <v/>
      </c>
      <c r="L106" s="22">
        <f>IF(B106="","",IF(B106=B105,L105,N(L105)+1))</f>
        <v/>
      </c>
    </row>
    <row r="107">
      <c r="A107" s="22" t="inlineStr">
        <is>
          <t>M0106</t>
        </is>
      </c>
      <c r="B107" s="27" t="n">
        <v>46010</v>
      </c>
      <c r="C107" s="17" t="inlineStr">
        <is>
          <t>Chang</t>
        </is>
      </c>
      <c r="D107" s="17" t="inlineStr">
        <is>
          <t>Chang (12)</t>
        </is>
      </c>
      <c r="E107" s="17" t="inlineStr">
        <is>
          <t>Yuran</t>
        </is>
      </c>
      <c r="F107" s="28" t="inlineStr">
        <is>
          <t>2025-12</t>
        </is>
      </c>
      <c r="G107" s="29" t="n">
        <v>35</v>
      </c>
      <c r="H107" s="29" t="n">
        <v>50</v>
      </c>
      <c r="I107" s="29" t="n"/>
      <c r="J107" s="29" t="n"/>
      <c r="K107" s="30">
        <f>IF(B107="","",SUM(G$2:I107)-SUM(J$2:J107))</f>
        <v/>
      </c>
      <c r="L107" s="22">
        <f>IF(B107="","",IF(B107=B106,L106,N(L106)+1))</f>
        <v/>
      </c>
    </row>
    <row r="108">
      <c r="A108" s="22" t="inlineStr">
        <is>
          <t>M0107</t>
        </is>
      </c>
      <c r="B108" s="27" t="n">
        <v>46011</v>
      </c>
      <c r="C108" s="17" t="inlineStr">
        <is>
          <t>Khairiri</t>
        </is>
      </c>
      <c r="D108" s="17" t="inlineStr">
        <is>
          <t>Khairiri (12)</t>
        </is>
      </c>
      <c r="E108" s="17" t="inlineStr">
        <is>
          <t>Yuran</t>
        </is>
      </c>
      <c r="F108" s="28" t="inlineStr">
        <is>
          <t>2025-12</t>
        </is>
      </c>
      <c r="G108" s="29" t="n">
        <v>35</v>
      </c>
      <c r="H108" s="29" t="n">
        <v>50</v>
      </c>
      <c r="I108" s="29" t="n"/>
      <c r="J108" s="29" t="n"/>
      <c r="K108" s="30">
        <f>IF(B108="","",SUM(G$2:I108)-SUM(J$2:J108))</f>
        <v/>
      </c>
      <c r="L108" s="22">
        <f>IF(B108="","",IF(B108=B107,L107,N(L107)+1))</f>
        <v/>
      </c>
    </row>
    <row r="109">
      <c r="A109" s="22" t="inlineStr">
        <is>
          <t>M0108</t>
        </is>
      </c>
      <c r="B109" s="27" t="n">
        <v>46012</v>
      </c>
      <c r="C109" s="17" t="inlineStr">
        <is>
          <t>Ustaz</t>
        </is>
      </c>
      <c r="D109" s="17" t="inlineStr">
        <is>
          <t>Ustaz (12)</t>
        </is>
      </c>
      <c r="E109" s="17" t="inlineStr">
        <is>
          <t>Yuran</t>
        </is>
      </c>
      <c r="F109" s="28" t="inlineStr">
        <is>
          <t>2025-12</t>
        </is>
      </c>
      <c r="G109" s="29" t="n"/>
      <c r="H109" s="29" t="n">
        <v>50</v>
      </c>
      <c r="I109" s="29" t="n"/>
      <c r="J109" s="29" t="n"/>
      <c r="K109" s="30">
        <f>IF(B109="","",SUM(G$2:I109)-SUM(J$2:J109))</f>
        <v/>
      </c>
      <c r="L109" s="22">
        <f>IF(B109="","",IF(B109=B108,L108,N(L108)+1))</f>
        <v/>
      </c>
    </row>
    <row r="110">
      <c r="A110" s="22" t="inlineStr">
        <is>
          <t>M0109</t>
        </is>
      </c>
      <c r="B110" s="27" t="n">
        <v>46027</v>
      </c>
      <c r="C110" s="17" t="inlineStr">
        <is>
          <t>Khairiri</t>
        </is>
      </c>
      <c r="D110" s="17" t="inlineStr">
        <is>
          <t>Majlis KKGS - Khairiri (Lamb Chop)</t>
        </is>
      </c>
      <c r="E110" s="17" t="inlineStr">
        <is>
          <t>Majlis</t>
        </is>
      </c>
      <c r="F110" s="28" t="inlineStr"/>
      <c r="G110" s="29" t="n"/>
      <c r="H110" s="29" t="n"/>
      <c r="I110" s="29" t="n">
        <v>10</v>
      </c>
      <c r="J110" s="29" t="n"/>
      <c r="K110" s="30">
        <f>IF(B110="","",SUM(G$2:I110)-SUM(J$2:J110))</f>
        <v/>
      </c>
      <c r="L110" s="22">
        <f>IF(B110="","",IF(B110=B109,L109,N(L109)+1))</f>
        <v/>
      </c>
    </row>
    <row r="111">
      <c r="A111" s="22" t="inlineStr">
        <is>
          <t>M0110</t>
        </is>
      </c>
      <c r="B111" s="27" t="n">
        <v>46027</v>
      </c>
      <c r="C111" s="17" t="inlineStr">
        <is>
          <t>Amir</t>
        </is>
      </c>
      <c r="D111" s="17" t="inlineStr">
        <is>
          <t>Amir (9, 10, 11, 12)</t>
        </is>
      </c>
      <c r="E111" s="17" t="inlineStr">
        <is>
          <t>Yuran</t>
        </is>
      </c>
      <c r="F111" s="28" t="inlineStr">
        <is>
          <t>2025-09, 2025-10, 2025-11, 2025-12</t>
        </is>
      </c>
      <c r="G111" s="29" t="n">
        <v>140</v>
      </c>
      <c r="H111" s="29" t="n">
        <v>200</v>
      </c>
      <c r="I111" s="29" t="n"/>
      <c r="J111" s="29" t="n"/>
      <c r="K111" s="30">
        <f>IF(B111="","",SUM(G$2:I111)-SUM(J$2:J111))</f>
        <v/>
      </c>
      <c r="L111" s="22">
        <f>IF(B111="","",IF(B111=B110,L110,N(L110)+1))</f>
        <v/>
      </c>
    </row>
    <row r="112">
      <c r="A112" s="22" t="inlineStr">
        <is>
          <t>M0111</t>
        </is>
      </c>
      <c r="B112" s="27" t="n">
        <v>46028</v>
      </c>
      <c r="C112" s="17" t="inlineStr">
        <is>
          <t>Aiman</t>
        </is>
      </c>
      <c r="D112" s="17" t="inlineStr">
        <is>
          <t>Aiman (12)</t>
        </is>
      </c>
      <c r="E112" s="17" t="inlineStr">
        <is>
          <t>Yuran</t>
        </is>
      </c>
      <c r="F112" s="28" t="inlineStr">
        <is>
          <t>2025-12</t>
        </is>
      </c>
      <c r="G112" s="29" t="n">
        <v>35</v>
      </c>
      <c r="H112" s="29" t="n">
        <v>50</v>
      </c>
      <c r="I112" s="29" t="n"/>
      <c r="J112" s="29" t="n"/>
      <c r="K112" s="30">
        <f>IF(B112="","",SUM(G$2:I112)-SUM(J$2:J112))</f>
        <v/>
      </c>
      <c r="L112" s="22">
        <f>IF(B112="","",IF(B112=B111,L111,N(L111)+1))</f>
        <v/>
      </c>
    </row>
    <row r="113">
      <c r="A113" s="22" t="inlineStr">
        <is>
          <t>M0112</t>
        </is>
      </c>
      <c r="B113" s="27" t="n">
        <v>46034</v>
      </c>
      <c r="C113" s="17" t="inlineStr">
        <is>
          <t>Asnawi</t>
        </is>
      </c>
      <c r="D113" s="17" t="inlineStr">
        <is>
          <t>Bayaran Duit Pantri - Asnawi</t>
        </is>
      </c>
      <c r="E113" s="17" t="inlineStr">
        <is>
          <t>Duit Pantri</t>
        </is>
      </c>
      <c r="F113" s="28" t="inlineStr"/>
      <c r="G113" s="29" t="n"/>
      <c r="H113" s="29" t="n"/>
      <c r="I113" s="29" t="n"/>
      <c r="J113" s="29" t="n">
        <v>65</v>
      </c>
      <c r="K113" s="30">
        <f>IF(B113="","",SUM(G$2:I113)-SUM(J$2:J113))</f>
        <v/>
      </c>
      <c r="L113" s="22">
        <f>IF(B113="","",IF(B113=B112,L112,N(L112)+1))</f>
        <v/>
      </c>
    </row>
    <row r="114">
      <c r="A114" s="22" t="inlineStr">
        <is>
          <t>M0113</t>
        </is>
      </c>
      <c r="B114" s="27" t="n">
        <v>46044</v>
      </c>
      <c r="C114" s="17" t="inlineStr">
        <is>
          <t>Kuchai</t>
        </is>
      </c>
      <c r="D114" s="17" t="inlineStr">
        <is>
          <t>Kuchai (1)</t>
        </is>
      </c>
      <c r="E114" s="17" t="inlineStr">
        <is>
          <t>Yuran</t>
        </is>
      </c>
      <c r="F114" s="28" t="inlineStr">
        <is>
          <t>2026-01</t>
        </is>
      </c>
      <c r="G114" s="29" t="n">
        <v>35</v>
      </c>
      <c r="H114" s="29" t="n">
        <v>50</v>
      </c>
      <c r="I114" s="29" t="n"/>
      <c r="J114" s="29" t="n"/>
      <c r="K114" s="30">
        <f>IF(B114="","",SUM(G$2:I114)-SUM(J$2:J114))</f>
        <v/>
      </c>
      <c r="L114" s="22">
        <f>IF(B114="","",IF(B114=B113,L113,N(L113)+1))</f>
        <v/>
      </c>
    </row>
    <row r="115">
      <c r="A115" s="22" t="inlineStr">
        <is>
          <t>M0114</t>
        </is>
      </c>
      <c r="B115" s="27" t="n">
        <v>46044</v>
      </c>
      <c r="C115" s="17" t="inlineStr">
        <is>
          <t>Amir</t>
        </is>
      </c>
      <c r="D115" s="17" t="inlineStr">
        <is>
          <t>Amir (1)</t>
        </is>
      </c>
      <c r="E115" s="17" t="inlineStr">
        <is>
          <t>Yuran</t>
        </is>
      </c>
      <c r="F115" s="28" t="inlineStr">
        <is>
          <t>2026-01</t>
        </is>
      </c>
      <c r="G115" s="29" t="n">
        <v>35</v>
      </c>
      <c r="H115" s="29" t="n">
        <v>50</v>
      </c>
      <c r="I115" s="29" t="n"/>
      <c r="J115" s="29" t="n"/>
      <c r="K115" s="30">
        <f>IF(B115="","",SUM(G$2:I115)-SUM(J$2:J115))</f>
        <v/>
      </c>
      <c r="L115" s="22">
        <f>IF(B115="","",IF(B115=B114,L114,N(L114)+1))</f>
        <v/>
      </c>
    </row>
    <row r="116">
      <c r="A116" s="22" t="inlineStr">
        <is>
          <t>M0115</t>
        </is>
      </c>
      <c r="B116" s="27" t="n">
        <v>46044</v>
      </c>
      <c r="C116" s="17" t="inlineStr">
        <is>
          <t>Boss Wan</t>
        </is>
      </c>
      <c r="D116" s="17" t="inlineStr">
        <is>
          <t>Boss Wan (1, 2)</t>
        </is>
      </c>
      <c r="E116" s="17" t="inlineStr">
        <is>
          <t>Yuran</t>
        </is>
      </c>
      <c r="F116" s="28" t="inlineStr">
        <is>
          <t>2026-01, 2026-02</t>
        </is>
      </c>
      <c r="G116" s="29" t="n">
        <v>70</v>
      </c>
      <c r="H116" s="29" t="n">
        <v>100</v>
      </c>
      <c r="I116" s="29" t="n"/>
      <c r="J116" s="29" t="n"/>
      <c r="K116" s="30">
        <f>IF(B116="","",SUM(G$2:I116)-SUM(J$2:J116))</f>
        <v/>
      </c>
      <c r="L116" s="22">
        <f>IF(B116="","",IF(B116=B115,L115,N(L115)+1))</f>
        <v/>
      </c>
    </row>
    <row r="117">
      <c r="A117" s="22" t="inlineStr">
        <is>
          <t>M0116</t>
        </is>
      </c>
      <c r="B117" s="27" t="n">
        <v>46044</v>
      </c>
      <c r="C117" s="17" t="inlineStr">
        <is>
          <t>Chang</t>
        </is>
      </c>
      <c r="D117" s="17" t="inlineStr">
        <is>
          <t>Chang (1)</t>
        </is>
      </c>
      <c r="E117" s="17" t="inlineStr">
        <is>
          <t>Yuran</t>
        </is>
      </c>
      <c r="F117" s="28" t="inlineStr">
        <is>
          <t>2026-01</t>
        </is>
      </c>
      <c r="G117" s="29" t="n">
        <v>35</v>
      </c>
      <c r="H117" s="29" t="n">
        <v>50</v>
      </c>
      <c r="I117" s="29" t="n"/>
      <c r="J117" s="29" t="n"/>
      <c r="K117" s="30">
        <f>IF(B117="","",SUM(G$2:I117)-SUM(J$2:J117))</f>
        <v/>
      </c>
      <c r="L117" s="22">
        <f>IF(B117="","",IF(B117=B116,L116,N(L116)+1))</f>
        <v/>
      </c>
    </row>
    <row r="118">
      <c r="A118" s="22" t="inlineStr">
        <is>
          <t>M0117</t>
        </is>
      </c>
      <c r="B118" s="27" t="n">
        <v>46044</v>
      </c>
      <c r="C118" s="17" t="inlineStr">
        <is>
          <t>Khairiri</t>
        </is>
      </c>
      <c r="D118" s="17" t="inlineStr">
        <is>
          <t>Khairiri (1)</t>
        </is>
      </c>
      <c r="E118" s="17" t="inlineStr">
        <is>
          <t>Yuran</t>
        </is>
      </c>
      <c r="F118" s="28" t="inlineStr">
        <is>
          <t>2026-01</t>
        </is>
      </c>
      <c r="G118" s="29" t="n">
        <v>35</v>
      </c>
      <c r="H118" s="29" t="n">
        <v>50</v>
      </c>
      <c r="I118" s="29" t="n"/>
      <c r="J118" s="29" t="n"/>
      <c r="K118" s="30">
        <f>IF(B118="","",SUM(G$2:I118)-SUM(J$2:J118))</f>
        <v/>
      </c>
      <c r="L118" s="22">
        <f>IF(B118="","",IF(B118=B117,L117,N(L117)+1))</f>
        <v/>
      </c>
    </row>
    <row r="119">
      <c r="A119" s="22" t="inlineStr">
        <is>
          <t>M0118</t>
        </is>
      </c>
      <c r="B119" s="27" t="n">
        <v>46044</v>
      </c>
      <c r="C119" s="17" t="inlineStr">
        <is>
          <t>Boss Wan</t>
        </is>
      </c>
      <c r="D119" s="17" t="inlineStr">
        <is>
          <t>Sumbangan Luar - Boss Wan (Lebihan duit hadiah Program Minggu Pertama)</t>
        </is>
      </c>
      <c r="E119" s="17" t="inlineStr">
        <is>
          <t>Sumbangan</t>
        </is>
      </c>
      <c r="F119" s="28" t="inlineStr"/>
      <c r="G119" s="29" t="n"/>
      <c r="H119" s="29" t="n"/>
      <c r="I119" s="29" t="n">
        <v>5</v>
      </c>
      <c r="J119" s="29" t="n"/>
      <c r="K119" s="30">
        <f>IF(B119="","",SUM(G$2:I119)-SUM(J$2:J119))</f>
        <v/>
      </c>
      <c r="L119" s="22">
        <f>IF(B119="","",IF(B119=B118,L118,N(L118)+1))</f>
        <v/>
      </c>
    </row>
    <row r="120">
      <c r="A120" s="22" t="inlineStr">
        <is>
          <t>M0119</t>
        </is>
      </c>
      <c r="B120" s="27" t="n">
        <v>46045</v>
      </c>
      <c r="C120" s="17" t="inlineStr">
        <is>
          <t>Bang Mie</t>
        </is>
      </c>
      <c r="D120" s="17" t="inlineStr">
        <is>
          <t>Bang Mie (1)</t>
        </is>
      </c>
      <c r="E120" s="17" t="inlineStr">
        <is>
          <t>Yuran</t>
        </is>
      </c>
      <c r="F120" s="28" t="inlineStr">
        <is>
          <t>2026-01</t>
        </is>
      </c>
      <c r="G120" s="29" t="n">
        <v>35</v>
      </c>
      <c r="H120" s="29" t="n">
        <v>50</v>
      </c>
      <c r="I120" s="29" t="n"/>
      <c r="J120" s="29" t="n"/>
      <c r="K120" s="30">
        <f>IF(B120="","",SUM(G$2:I120)-SUM(J$2:J120))</f>
        <v/>
      </c>
      <c r="L120" s="22">
        <f>IF(B120="","",IF(B120=B119,L119,N(L119)+1))</f>
        <v/>
      </c>
    </row>
    <row r="121">
      <c r="A121" s="22" t="inlineStr">
        <is>
          <t>M0120</t>
        </is>
      </c>
      <c r="B121" s="27" t="n">
        <v>46048</v>
      </c>
      <c r="C121" s="17" t="inlineStr">
        <is>
          <t>Asnawi</t>
        </is>
      </c>
      <c r="D121" s="17" t="inlineStr">
        <is>
          <t>Asnawi (1)</t>
        </is>
      </c>
      <c r="E121" s="17" t="inlineStr">
        <is>
          <t>Yuran</t>
        </is>
      </c>
      <c r="F121" s="28" t="inlineStr">
        <is>
          <t>2026-01</t>
        </is>
      </c>
      <c r="G121" s="29" t="n">
        <v>35</v>
      </c>
      <c r="H121" s="29" t="n">
        <v>50</v>
      </c>
      <c r="I121" s="29" t="n"/>
      <c r="J121" s="29" t="n"/>
      <c r="K121" s="30">
        <f>IF(B121="","",SUM(G$2:I121)-SUM(J$2:J121))</f>
        <v/>
      </c>
      <c r="L121" s="22">
        <f>IF(B121="","",IF(B121=B120,L120,N(L120)+1))</f>
        <v/>
      </c>
    </row>
    <row r="122">
      <c r="A122" s="22" t="inlineStr">
        <is>
          <t>M0121</t>
        </is>
      </c>
      <c r="B122" s="27" t="n">
        <v>46050</v>
      </c>
      <c r="C122" s="17" t="inlineStr">
        <is>
          <t>Aiman</t>
        </is>
      </c>
      <c r="D122" s="17" t="inlineStr">
        <is>
          <t>Aiman (1)</t>
        </is>
      </c>
      <c r="E122" s="17" t="inlineStr">
        <is>
          <t>Yuran</t>
        </is>
      </c>
      <c r="F122" s="28" t="inlineStr">
        <is>
          <t>2026-01</t>
        </is>
      </c>
      <c r="G122" s="29" t="n">
        <v>35</v>
      </c>
      <c r="H122" s="29" t="n">
        <v>50</v>
      </c>
      <c r="I122" s="29" t="n"/>
      <c r="J122" s="29" t="n"/>
      <c r="K122" s="30">
        <f>IF(B122="","",SUM(G$2:I122)-SUM(J$2:J122))</f>
        <v/>
      </c>
      <c r="L122" s="22">
        <f>IF(B122="","",IF(B122=B121,L121,N(L121)+1))</f>
        <v/>
      </c>
    </row>
    <row r="123">
      <c r="A123" s="22" t="inlineStr">
        <is>
          <t>M0122</t>
        </is>
      </c>
      <c r="B123" s="27" t="n">
        <v>46050</v>
      </c>
      <c r="C123" s="17" t="inlineStr">
        <is>
          <t>Wafi</t>
        </is>
      </c>
      <c r="D123" s="17" t="inlineStr">
        <is>
          <t>Wafi (11, 12, 1)</t>
        </is>
      </c>
      <c r="E123" s="17" t="inlineStr">
        <is>
          <t>Yuran</t>
        </is>
      </c>
      <c r="F123" s="28" t="inlineStr">
        <is>
          <t>2025-11, 2025-12, 2026-01</t>
        </is>
      </c>
      <c r="G123" s="29" t="n">
        <v>105</v>
      </c>
      <c r="H123" s="29" t="n"/>
      <c r="I123" s="29" t="n"/>
      <c r="J123" s="29" t="n"/>
      <c r="K123" s="30">
        <f>IF(B123="","",SUM(G$2:I123)-SUM(J$2:J123))</f>
        <v/>
      </c>
      <c r="L123" s="22">
        <f>IF(B123="","",IF(B123=B122,L122,N(L122)+1))</f>
        <v/>
      </c>
    </row>
    <row r="124">
      <c r="A124" s="22" t="inlineStr">
        <is>
          <t>M0123</t>
        </is>
      </c>
      <c r="B124" s="27" t="n">
        <v>46050</v>
      </c>
      <c r="C124" s="17" t="inlineStr">
        <is>
          <t>Joe</t>
        </is>
      </c>
      <c r="D124" s="17" t="inlineStr">
        <is>
          <t>Joe (12, 1)</t>
        </is>
      </c>
      <c r="E124" s="17" t="inlineStr">
        <is>
          <t>Yuran</t>
        </is>
      </c>
      <c r="F124" s="28" t="inlineStr">
        <is>
          <t>2025-12, 2026-01</t>
        </is>
      </c>
      <c r="G124" s="29" t="n">
        <v>70</v>
      </c>
      <c r="H124" s="29" t="n">
        <v>100</v>
      </c>
      <c r="I124" s="29" t="n"/>
      <c r="J124" s="29" t="n"/>
      <c r="K124" s="30">
        <f>IF(B124="","",SUM(G$2:I124)-SUM(J$2:J124))</f>
        <v/>
      </c>
      <c r="L124" s="22">
        <f>IF(B124="","",IF(B124=B123,L123,N(L123)+1))</f>
        <v/>
      </c>
    </row>
    <row r="125">
      <c r="A125" s="22" t="inlineStr">
        <is>
          <t>M0124</t>
        </is>
      </c>
      <c r="B125" s="27" t="n">
        <v>46050</v>
      </c>
      <c r="C125" s="17" t="inlineStr">
        <is>
          <t>Kuchai</t>
        </is>
      </c>
      <c r="D125" s="17" t="inlineStr">
        <is>
          <t>Refund Duit Lawatan - Kuchai</t>
        </is>
      </c>
      <c r="E125" s="17" t="inlineStr">
        <is>
          <t>Refund</t>
        </is>
      </c>
      <c r="F125" s="28" t="inlineStr"/>
      <c r="G125" s="29" t="n"/>
      <c r="H125" s="29" t="n"/>
      <c r="I125" s="29" t="n"/>
      <c r="J125" s="29" t="n">
        <v>400</v>
      </c>
      <c r="K125" s="30">
        <f>IF(B125="","",SUM(G$2:I125)-SUM(J$2:J125))</f>
        <v/>
      </c>
      <c r="L125" s="22">
        <f>IF(B125="","",IF(B125=B124,L124,N(L124)+1))</f>
        <v/>
      </c>
    </row>
    <row r="126">
      <c r="A126" s="22" t="inlineStr">
        <is>
          <t>M0125</t>
        </is>
      </c>
      <c r="B126" s="27" t="n">
        <v>46051</v>
      </c>
      <c r="C126" s="17" t="inlineStr">
        <is>
          <t>Ustaz</t>
        </is>
      </c>
      <c r="D126" s="17" t="inlineStr">
        <is>
          <t>Ustaz (Lawatan 12, 1)</t>
        </is>
      </c>
      <c r="E126" s="17" t="inlineStr">
        <is>
          <t>Yuran</t>
        </is>
      </c>
      <c r="F126" s="28" t="inlineStr">
        <is>
          <t>2026-12, 2026-01</t>
        </is>
      </c>
      <c r="G126" s="29" t="n"/>
      <c r="H126" s="29" t="n">
        <v>100</v>
      </c>
      <c r="I126" s="29" t="n"/>
      <c r="J126" s="29" t="n"/>
      <c r="K126" s="30">
        <f>IF(B126="","",SUM(G$2:I126)-SUM(J$2:J126))</f>
        <v/>
      </c>
      <c r="L126" s="22">
        <f>IF(B126="","",IF(B126=B125,L125,N(L125)+1))</f>
        <v/>
      </c>
    </row>
    <row r="127">
      <c r="A127" s="22" t="inlineStr">
        <is>
          <t>M0126</t>
        </is>
      </c>
      <c r="B127" s="27" t="n">
        <v>46065</v>
      </c>
      <c r="C127" s="17" t="inlineStr">
        <is>
          <t>Bang Mie</t>
        </is>
      </c>
      <c r="D127" s="17" t="inlineStr">
        <is>
          <t>Bang Mie (2)</t>
        </is>
      </c>
      <c r="E127" s="17" t="inlineStr">
        <is>
          <t>Yuran</t>
        </is>
      </c>
      <c r="F127" s="28" t="inlineStr">
        <is>
          <t>2026-02</t>
        </is>
      </c>
      <c r="G127" s="29" t="n">
        <v>35</v>
      </c>
      <c r="H127" s="29" t="n">
        <v>50</v>
      </c>
      <c r="I127" s="29" t="n"/>
      <c r="J127" s="29" t="n"/>
      <c r="K127" s="30">
        <f>IF(B127="","",SUM(G$2:I127)-SUM(J$2:J127))</f>
        <v/>
      </c>
      <c r="L127" s="22">
        <f>IF(B127="","",IF(B127=B126,L126,N(L126)+1))</f>
        <v/>
      </c>
    </row>
    <row r="128">
      <c r="A128" s="22" t="inlineStr">
        <is>
          <t>M0127</t>
        </is>
      </c>
      <c r="B128" s="27" t="n">
        <v>46065</v>
      </c>
      <c r="C128" s="17" t="inlineStr">
        <is>
          <t>Hadi</t>
        </is>
      </c>
      <c r="D128" s="17" t="inlineStr">
        <is>
          <t>Hadi (12, 1, 2)</t>
        </is>
      </c>
      <c r="E128" s="17" t="inlineStr">
        <is>
          <t>Yuran</t>
        </is>
      </c>
      <c r="F128" s="28" t="inlineStr">
        <is>
          <t>2025-12, 2026-01, 2026-02</t>
        </is>
      </c>
      <c r="G128" s="29" t="n">
        <v>105</v>
      </c>
      <c r="H128" s="29" t="n">
        <v>150</v>
      </c>
      <c r="I128" s="29" t="n"/>
      <c r="J128" s="29" t="n"/>
      <c r="K128" s="30">
        <f>IF(B128="","",SUM(G$2:I128)-SUM(J$2:J128))</f>
        <v/>
      </c>
      <c r="L128" s="22">
        <f>IF(B128="","",IF(B128=B127,L127,N(L127)+1))</f>
        <v/>
      </c>
    </row>
    <row r="129">
      <c r="A129" s="22" t="inlineStr">
        <is>
          <t>M0128</t>
        </is>
      </c>
      <c r="B129" s="27" t="n">
        <v>46065</v>
      </c>
      <c r="C129" s="17" t="inlineStr">
        <is>
          <t>Boss Wan</t>
        </is>
      </c>
      <c r="D129" s="17" t="inlineStr">
        <is>
          <t>Boss Wan (3)</t>
        </is>
      </c>
      <c r="E129" s="17" t="inlineStr">
        <is>
          <t>Yuran</t>
        </is>
      </c>
      <c r="F129" s="28" t="inlineStr">
        <is>
          <t>2026-03</t>
        </is>
      </c>
      <c r="G129" s="29" t="n">
        <v>35</v>
      </c>
      <c r="H129" s="29" t="n"/>
      <c r="I129" s="29" t="n"/>
      <c r="J129" s="29" t="n"/>
      <c r="K129" s="30">
        <f>IF(B129="","",SUM(G$2:I129)-SUM(J$2:J129))</f>
        <v/>
      </c>
      <c r="L129" s="22">
        <f>IF(B129="","",IF(B129=B128,L128,N(L128)+1))</f>
        <v/>
      </c>
    </row>
    <row r="130">
      <c r="A130" s="22" t="inlineStr">
        <is>
          <t>M0129</t>
        </is>
      </c>
      <c r="B130" s="27" t="n">
        <v>46065</v>
      </c>
      <c r="C130" s="17" t="inlineStr">
        <is>
          <t>Boss Wan</t>
        </is>
      </c>
      <c r="D130" s="17" t="inlineStr">
        <is>
          <t>Boss Wan (Lawatan 6)</t>
        </is>
      </c>
      <c r="E130" s="17" t="inlineStr">
        <is>
          <t>Yuran</t>
        </is>
      </c>
      <c r="F130" s="28" t="inlineStr">
        <is>
          <t>2026-06</t>
        </is>
      </c>
      <c r="G130" s="29" t="n"/>
      <c r="H130" s="29" t="n">
        <v>50</v>
      </c>
      <c r="I130" s="29" t="n"/>
      <c r="J130" s="29" t="n"/>
      <c r="K130" s="30">
        <f>IF(B130="","",SUM(G$2:I130)-SUM(J$2:J130))</f>
        <v/>
      </c>
      <c r="L130" s="22">
        <f>IF(B130="","",IF(B130=B129,L129,N(L129)+1))</f>
        <v/>
      </c>
    </row>
    <row r="131">
      <c r="A131" s="22" t="inlineStr">
        <is>
          <t>M0130</t>
        </is>
      </c>
      <c r="B131" s="27" t="n">
        <v>46065</v>
      </c>
      <c r="C131" s="17" t="inlineStr">
        <is>
          <t>Chang</t>
        </is>
      </c>
      <c r="D131" s="17" t="inlineStr">
        <is>
          <t>Chang (2)</t>
        </is>
      </c>
      <c r="E131" s="17" t="inlineStr">
        <is>
          <t>Yuran</t>
        </is>
      </c>
      <c r="F131" s="28" t="inlineStr">
        <is>
          <t>2026-02</t>
        </is>
      </c>
      <c r="G131" s="29" t="n">
        <v>35</v>
      </c>
      <c r="H131" s="29" t="n">
        <v>50</v>
      </c>
      <c r="I131" s="29" t="n"/>
      <c r="J131" s="29" t="n"/>
      <c r="K131" s="30">
        <f>IF(B131="","",SUM(G$2:I131)-SUM(J$2:J131))</f>
        <v/>
      </c>
      <c r="L131" s="22">
        <f>IF(B131="","",IF(B131=B130,L130,N(L130)+1))</f>
        <v/>
      </c>
    </row>
    <row r="132">
      <c r="A132" s="22" t="inlineStr">
        <is>
          <t>M0131</t>
        </is>
      </c>
      <c r="B132" s="27" t="n">
        <v>46065</v>
      </c>
      <c r="C132" s="17" t="inlineStr"/>
      <c r="D132" s="17" t="inlineStr">
        <is>
          <t>Deposit Trip ke Satun</t>
        </is>
      </c>
      <c r="E132" s="17" t="inlineStr">
        <is>
          <t>Lawatan / Trip</t>
        </is>
      </c>
      <c r="F132" s="28" t="inlineStr"/>
      <c r="G132" s="29" t="n"/>
      <c r="H132" s="29" t="n"/>
      <c r="I132" s="29" t="n"/>
      <c r="J132" s="29" t="n">
        <v>1500</v>
      </c>
      <c r="K132" s="30">
        <f>IF(B132="","",SUM(G$2:I132)-SUM(J$2:J132))</f>
        <v/>
      </c>
      <c r="L132" s="22">
        <f>IF(B132="","",IF(B132=B131,L131,N(L131)+1))</f>
        <v/>
      </c>
    </row>
    <row r="133">
      <c r="A133" s="22" t="inlineStr">
        <is>
          <t>M0132</t>
        </is>
      </c>
      <c r="B133" s="27" t="n">
        <v>46066</v>
      </c>
      <c r="C133" s="17" t="inlineStr">
        <is>
          <t>Aiman</t>
        </is>
      </c>
      <c r="D133" s="17" t="inlineStr">
        <is>
          <t>Aiman (2)</t>
        </is>
      </c>
      <c r="E133" s="17" t="inlineStr">
        <is>
          <t>Yuran</t>
        </is>
      </c>
      <c r="F133" s="28" t="inlineStr">
        <is>
          <t>2026-02</t>
        </is>
      </c>
      <c r="G133" s="29" t="n">
        <v>35</v>
      </c>
      <c r="H133" s="29" t="n">
        <v>50</v>
      </c>
      <c r="I133" s="29" t="n"/>
      <c r="J133" s="29" t="n"/>
      <c r="K133" s="30">
        <f>IF(B133="","",SUM(G$2:I133)-SUM(J$2:J133))</f>
        <v/>
      </c>
      <c r="L133" s="22">
        <f>IF(B133="","",IF(B133=B132,L132,N(L132)+1))</f>
        <v/>
      </c>
    </row>
    <row r="134">
      <c r="A134" s="22" t="inlineStr">
        <is>
          <t>M0133</t>
        </is>
      </c>
      <c r="B134" s="27" t="n">
        <v>46067</v>
      </c>
      <c r="C134" s="17" t="inlineStr">
        <is>
          <t>Asnawi</t>
        </is>
      </c>
      <c r="D134" s="17" t="inlineStr">
        <is>
          <t>Asnawi (2)</t>
        </is>
      </c>
      <c r="E134" s="17" t="inlineStr">
        <is>
          <t>Yuran</t>
        </is>
      </c>
      <c r="F134" s="28" t="inlineStr">
        <is>
          <t>2026-02</t>
        </is>
      </c>
      <c r="G134" s="29" t="n">
        <v>35</v>
      </c>
      <c r="H134" s="29" t="n">
        <v>50</v>
      </c>
      <c r="I134" s="29" t="n"/>
      <c r="J134" s="29" t="n"/>
      <c r="K134" s="30">
        <f>IF(B134="","",SUM(G$2:I134)-SUM(J$2:J134))</f>
        <v/>
      </c>
      <c r="L134" s="22">
        <f>IF(B134="","",IF(B134=B133,L133,N(L133)+1))</f>
        <v/>
      </c>
    </row>
    <row r="135">
      <c r="A135" s="22" t="inlineStr">
        <is>
          <t>M0134</t>
        </is>
      </c>
      <c r="B135" s="27" t="n">
        <v>46076</v>
      </c>
      <c r="C135" s="17" t="inlineStr">
        <is>
          <t>Hasnol</t>
        </is>
      </c>
      <c r="D135" s="17" t="inlineStr">
        <is>
          <t>Hasnol (Lawatan 7, 8, 9, 10, 11, setengah bulan 12)</t>
        </is>
      </c>
      <c r="E135" s="17" t="inlineStr">
        <is>
          <t>Yuran</t>
        </is>
      </c>
      <c r="F135" s="28" t="inlineStr">
        <is>
          <t>2025-07, 2025-08, 2025-09, 2025-10, 2025-11, 2025-12:25</t>
        </is>
      </c>
      <c r="G135" s="29" t="n"/>
      <c r="H135" s="29" t="n">
        <v>225</v>
      </c>
      <c r="I135" s="29" t="n"/>
      <c r="J135" s="29" t="n"/>
      <c r="K135" s="30">
        <f>IF(B135="","",SUM(G$2:I135)-SUM(J$2:J135))</f>
        <v/>
      </c>
      <c r="L135" s="22">
        <f>IF(B135="","",IF(B135=B134,L134,N(L134)+1))</f>
        <v/>
      </c>
    </row>
    <row r="136">
      <c r="A136" s="22" t="inlineStr">
        <is>
          <t>M0135</t>
        </is>
      </c>
      <c r="B136" s="27" t="n">
        <v>46076</v>
      </c>
      <c r="C136" s="17" t="inlineStr">
        <is>
          <t>Ustaz</t>
        </is>
      </c>
      <c r="D136" s="17" t="inlineStr">
        <is>
          <t>Ustaz (Lawatan 1, 2)</t>
        </is>
      </c>
      <c r="E136" s="17" t="inlineStr">
        <is>
          <t>Yuran</t>
        </is>
      </c>
      <c r="F136" s="28" t="inlineStr">
        <is>
          <t>2027-01, 2026-02</t>
        </is>
      </c>
      <c r="G136" s="29" t="n"/>
      <c r="H136" s="29" t="n">
        <v>100</v>
      </c>
      <c r="I136" s="29" t="n"/>
      <c r="J136" s="29" t="n"/>
      <c r="K136" s="30">
        <f>IF(B136="","",SUM(G$2:I136)-SUM(J$2:J136))</f>
        <v/>
      </c>
      <c r="L136" s="22">
        <f>IF(B136="","",IF(B136=B135,L135,N(L135)+1))</f>
        <v/>
      </c>
    </row>
    <row r="137">
      <c r="A137" s="22" t="inlineStr">
        <is>
          <t>M0136</t>
        </is>
      </c>
      <c r="B137" s="27" t="n">
        <v>46078</v>
      </c>
      <c r="C137" s="17" t="inlineStr"/>
      <c r="D137" s="17" t="inlineStr">
        <is>
          <t>Deposit Trip ke Satun</t>
        </is>
      </c>
      <c r="E137" s="17" t="inlineStr">
        <is>
          <t>Lawatan / Trip</t>
        </is>
      </c>
      <c r="F137" s="28" t="inlineStr"/>
      <c r="G137" s="29" t="n"/>
      <c r="H137" s="29" t="n"/>
      <c r="I137" s="29" t="n"/>
      <c r="J137" s="29" t="n">
        <v>750</v>
      </c>
      <c r="K137" s="30">
        <f>IF(B137="","",SUM(G$2:I137)-SUM(J$2:J137))</f>
        <v/>
      </c>
      <c r="L137" s="22">
        <f>IF(B137="","",IF(B137=B136,L136,N(L136)+1))</f>
        <v/>
      </c>
    </row>
    <row r="138">
      <c r="A138" s="22" t="inlineStr">
        <is>
          <t>M0137</t>
        </is>
      </c>
      <c r="B138" s="27" t="n">
        <v>46078</v>
      </c>
      <c r="C138" s="17" t="inlineStr"/>
      <c r="D138" s="17" t="inlineStr">
        <is>
          <t>Buku Perancangan Rasmi JPN Perak</t>
        </is>
      </c>
      <c r="E138" s="17" t="inlineStr">
        <is>
          <t>Langganan / Bahan</t>
        </is>
      </c>
      <c r="F138" s="28" t="inlineStr"/>
      <c r="G138" s="29" t="n"/>
      <c r="H138" s="29" t="n"/>
      <c r="I138" s="29" t="n"/>
      <c r="J138" s="29" t="n">
        <v>325</v>
      </c>
      <c r="K138" s="30">
        <f>IF(B138="","",SUM(G$2:I138)-SUM(J$2:J138))</f>
        <v/>
      </c>
      <c r="L138" s="22">
        <f>IF(B138="","",IF(B138=B137,L137,N(L137)+1))</f>
        <v/>
      </c>
    </row>
    <row r="139">
      <c r="A139" s="22" t="inlineStr">
        <is>
          <t>M0138</t>
        </is>
      </c>
      <c r="B139" s="27" t="n">
        <v>46079</v>
      </c>
      <c r="C139" s="17" t="inlineStr">
        <is>
          <t>Khairiri</t>
        </is>
      </c>
      <c r="D139" s="17" t="inlineStr">
        <is>
          <t>Khairiri (2)</t>
        </is>
      </c>
      <c r="E139" s="17" t="inlineStr">
        <is>
          <t>Yuran</t>
        </is>
      </c>
      <c r="F139" s="28" t="inlineStr">
        <is>
          <t>2026-02</t>
        </is>
      </c>
      <c r="G139" s="29" t="n">
        <v>35</v>
      </c>
      <c r="H139" s="29" t="n">
        <v>50</v>
      </c>
      <c r="I139" s="29" t="n"/>
      <c r="J139" s="29" t="n"/>
      <c r="K139" s="30">
        <f>IF(B139="","",SUM(G$2:I139)-SUM(J$2:J139))</f>
        <v/>
      </c>
      <c r="L139" s="22">
        <f>IF(B139="","",IF(B139=B138,L138,N(L138)+1))</f>
        <v/>
      </c>
    </row>
    <row r="140">
      <c r="A140" s="22" t="inlineStr">
        <is>
          <t>M0139</t>
        </is>
      </c>
      <c r="B140" s="27" t="n">
        <v>46086</v>
      </c>
      <c r="C140" s="17" t="inlineStr">
        <is>
          <t>Amir</t>
        </is>
      </c>
      <c r="D140" s="17" t="inlineStr">
        <is>
          <t>Amir (2)</t>
        </is>
      </c>
      <c r="E140" s="17" t="inlineStr">
        <is>
          <t>Yuran</t>
        </is>
      </c>
      <c r="F140" s="28" t="inlineStr">
        <is>
          <t>2026-02</t>
        </is>
      </c>
      <c r="G140" s="29" t="n">
        <v>35</v>
      </c>
      <c r="H140" s="29" t="n">
        <v>50</v>
      </c>
      <c r="I140" s="29" t="n"/>
      <c r="J140" s="29" t="n"/>
      <c r="K140" s="30">
        <f>IF(B140="","",SUM(G$2:I140)-SUM(J$2:J140))</f>
        <v/>
      </c>
      <c r="L140" s="22">
        <f>IF(B140="","",IF(B140=B139,L139,N(L139)+1))</f>
        <v/>
      </c>
    </row>
    <row r="141">
      <c r="A141" s="22" t="inlineStr">
        <is>
          <t>M0140</t>
        </is>
      </c>
      <c r="B141" s="27" t="n">
        <v>46086</v>
      </c>
      <c r="C141" s="17" t="inlineStr"/>
      <c r="D141" s="17" t="inlineStr">
        <is>
          <t>Sumbangan kepada Anak BangMie</t>
        </is>
      </c>
      <c r="E141" s="17" t="inlineStr">
        <is>
          <t>Majlis &amp; Hadiah</t>
        </is>
      </c>
      <c r="F141" s="28" t="inlineStr"/>
      <c r="G141" s="29" t="n"/>
      <c r="H141" s="29" t="n"/>
      <c r="I141" s="29" t="n"/>
      <c r="J141" s="29" t="n">
        <v>50</v>
      </c>
      <c r="K141" s="30">
        <f>IF(B141="","",SUM(G$2:I141)-SUM(J$2:J141))</f>
        <v/>
      </c>
      <c r="L141" s="22">
        <f>IF(B141="","",IF(B141=B140,L140,N(L140)+1))</f>
        <v/>
      </c>
    </row>
    <row r="142">
      <c r="A142" s="22" t="inlineStr">
        <is>
          <t>M0141</t>
        </is>
      </c>
      <c r="B142" s="27" t="n">
        <v>46090</v>
      </c>
      <c r="C142" s="17" t="inlineStr">
        <is>
          <t>Asnawi</t>
        </is>
      </c>
      <c r="D142" s="17" t="inlineStr">
        <is>
          <t>Bayaran Semua Lawatan - Asnawi</t>
        </is>
      </c>
      <c r="E142" s="17" t="inlineStr">
        <is>
          <t>Lawatan / Trip</t>
        </is>
      </c>
      <c r="F142" s="28" t="inlineStr"/>
      <c r="G142" s="29" t="n"/>
      <c r="H142" s="29" t="n"/>
      <c r="I142" s="29" t="n"/>
      <c r="J142" s="29" t="n">
        <v>2355</v>
      </c>
      <c r="K142" s="30">
        <f>IF(B142="","",SUM(G$2:I142)-SUM(J$2:J142))</f>
        <v/>
      </c>
      <c r="L142" s="22">
        <f>IF(B142="","",IF(B142=B141,L141,N(L141)+1))</f>
        <v/>
      </c>
    </row>
    <row r="143">
      <c r="A143" s="22" t="inlineStr">
        <is>
          <t>M0142</t>
        </is>
      </c>
      <c r="B143" s="27" t="n">
        <v>46092</v>
      </c>
      <c r="C143" s="17" t="inlineStr">
        <is>
          <t>Asnawi</t>
        </is>
      </c>
      <c r="D143" s="17" t="inlineStr">
        <is>
          <t>Sumbangan Kahwin Aiman - Asnawi</t>
        </is>
      </c>
      <c r="E143" s="17" t="inlineStr">
        <is>
          <t>Majlis &amp; Hadiah</t>
        </is>
      </c>
      <c r="F143" s="28" t="inlineStr"/>
      <c r="G143" s="29" t="n"/>
      <c r="H143" s="29" t="n"/>
      <c r="I143" s="29" t="n"/>
      <c r="J143" s="29" t="n">
        <v>200</v>
      </c>
      <c r="K143" s="30">
        <f>IF(B143="","",SUM(G$2:I143)-SUM(J$2:J143))</f>
        <v/>
      </c>
      <c r="L143" s="22">
        <f>IF(B143="","",IF(B143=B142,L142,N(L142)+1))</f>
        <v/>
      </c>
    </row>
    <row r="144">
      <c r="A144" s="22" t="inlineStr">
        <is>
          <t>M0143</t>
        </is>
      </c>
      <c r="B144" s="27" t="n">
        <v>46094</v>
      </c>
      <c r="C144" s="17" t="inlineStr">
        <is>
          <t>Asnawi</t>
        </is>
      </c>
      <c r="D144" s="17" t="inlineStr">
        <is>
          <t>Asnawi (3)</t>
        </is>
      </c>
      <c r="E144" s="17" t="inlineStr">
        <is>
          <t>Yuran</t>
        </is>
      </c>
      <c r="F144" s="28" t="inlineStr">
        <is>
          <t>2026-03</t>
        </is>
      </c>
      <c r="G144" s="29" t="n">
        <v>35</v>
      </c>
      <c r="H144" s="29" t="n"/>
      <c r="I144" s="29" t="n"/>
      <c r="J144" s="29" t="n"/>
      <c r="K144" s="30">
        <f>IF(B144="","",SUM(G$2:I144)-SUM(J$2:J144))</f>
        <v/>
      </c>
      <c r="L144" s="22">
        <f>IF(B144="","",IF(B144=B143,L143,N(L143)+1))</f>
        <v/>
      </c>
    </row>
    <row r="145">
      <c r="A145" s="22" t="inlineStr">
        <is>
          <t>M0144</t>
        </is>
      </c>
      <c r="B145" s="27" t="n">
        <v>46094</v>
      </c>
      <c r="C145" s="17" t="inlineStr">
        <is>
          <t>Khairiri</t>
        </is>
      </c>
      <c r="D145" s="17" t="inlineStr">
        <is>
          <t>Khairiri (3) (Hutang Lawatan)</t>
        </is>
      </c>
      <c r="E145" s="17" t="inlineStr">
        <is>
          <t>Yuran</t>
        </is>
      </c>
      <c r="F145" s="28" t="inlineStr">
        <is>
          <t>2026-03</t>
        </is>
      </c>
      <c r="G145" s="29" t="n">
        <v>35</v>
      </c>
      <c r="H145" s="29" t="n">
        <v>100</v>
      </c>
      <c r="I145" s="29" t="n"/>
      <c r="J145" s="29" t="n"/>
      <c r="K145" s="30">
        <f>IF(B145="","",SUM(G$2:I145)-SUM(J$2:J145))</f>
        <v/>
      </c>
      <c r="L145" s="22">
        <f>IF(B145="","",IF(B145=B144,L144,N(L144)+1))</f>
        <v/>
      </c>
    </row>
    <row r="146">
      <c r="A146" s="22" t="inlineStr">
        <is>
          <t>M0145</t>
        </is>
      </c>
      <c r="B146" s="27" t="n">
        <v>46094</v>
      </c>
      <c r="C146" s="17" t="inlineStr">
        <is>
          <t>Amir</t>
        </is>
      </c>
      <c r="D146" s="17" t="inlineStr">
        <is>
          <t>Amir (3)</t>
        </is>
      </c>
      <c r="E146" s="17" t="inlineStr">
        <is>
          <t>Yuran</t>
        </is>
      </c>
      <c r="F146" s="28" t="inlineStr">
        <is>
          <t>2026-03</t>
        </is>
      </c>
      <c r="G146" s="29" t="n">
        <v>35</v>
      </c>
      <c r="H146" s="29" t="n"/>
      <c r="I146" s="29" t="n"/>
      <c r="J146" s="29" t="n"/>
      <c r="K146" s="30">
        <f>IF(B146="","",SUM(G$2:I146)-SUM(J$2:J146))</f>
        <v/>
      </c>
      <c r="L146" s="22">
        <f>IF(B146="","",IF(B146=B145,L145,N(L145)+1))</f>
        <v/>
      </c>
    </row>
    <row r="147">
      <c r="A147" s="22" t="inlineStr">
        <is>
          <t>M0146</t>
        </is>
      </c>
      <c r="B147" s="27" t="n">
        <v>46094</v>
      </c>
      <c r="C147" s="17" t="inlineStr">
        <is>
          <t>Chang</t>
        </is>
      </c>
      <c r="D147" s="17" t="inlineStr">
        <is>
          <t>Chang (3)</t>
        </is>
      </c>
      <c r="E147" s="17" t="inlineStr">
        <is>
          <t>Yuran</t>
        </is>
      </c>
      <c r="F147" s="28" t="inlineStr">
        <is>
          <t>2026-03</t>
        </is>
      </c>
      <c r="G147" s="29" t="n">
        <v>35</v>
      </c>
      <c r="H147" s="29" t="n"/>
      <c r="I147" s="29" t="n"/>
      <c r="J147" s="29" t="n"/>
      <c r="K147" s="30">
        <f>IF(B147="","",SUM(G$2:I147)-SUM(J$2:J147))</f>
        <v/>
      </c>
      <c r="L147" s="22">
        <f>IF(B147="","",IF(B147=B146,L146,N(L146)+1))</f>
        <v/>
      </c>
    </row>
    <row r="148">
      <c r="A148" s="22" t="inlineStr">
        <is>
          <t>M0147</t>
        </is>
      </c>
      <c r="B148" s="27" t="n">
        <v>46094</v>
      </c>
      <c r="C148" s="17" t="inlineStr">
        <is>
          <t>Kuchai</t>
        </is>
      </c>
      <c r="D148" s="17" t="inlineStr">
        <is>
          <t>Kuchai (3)</t>
        </is>
      </c>
      <c r="E148" s="17" t="inlineStr">
        <is>
          <t>Yuran</t>
        </is>
      </c>
      <c r="F148" s="28" t="inlineStr">
        <is>
          <t>2026-03</t>
        </is>
      </c>
      <c r="G148" s="29" t="n">
        <v>35</v>
      </c>
      <c r="H148" s="29" t="n"/>
      <c r="I148" s="29" t="n"/>
      <c r="J148" s="29" t="n"/>
      <c r="K148" s="30">
        <f>IF(B148="","",SUM(G$2:I148)-SUM(J$2:J148))</f>
        <v/>
      </c>
      <c r="L148" s="22">
        <f>IF(B148="","",IF(B148=B147,L147,N(L147)+1))</f>
        <v/>
      </c>
    </row>
    <row r="149">
      <c r="A149" s="22" t="inlineStr">
        <is>
          <t>M0148</t>
        </is>
      </c>
      <c r="B149" s="27" t="n">
        <v>46094</v>
      </c>
      <c r="C149" s="17" t="inlineStr">
        <is>
          <t>Joe</t>
        </is>
      </c>
      <c r="D149" s="17" t="inlineStr">
        <is>
          <t>Joe (2, 3)</t>
        </is>
      </c>
      <c r="E149" s="17" t="inlineStr">
        <is>
          <t>Yuran</t>
        </is>
      </c>
      <c r="F149" s="28" t="inlineStr">
        <is>
          <t>2026-02, 2026-03</t>
        </is>
      </c>
      <c r="G149" s="29" t="n">
        <v>70</v>
      </c>
      <c r="H149" s="29" t="n"/>
      <c r="I149" s="29" t="n"/>
      <c r="J149" s="29" t="n"/>
      <c r="K149" s="30">
        <f>IF(B149="","",SUM(G$2:I149)-SUM(J$2:J149))</f>
        <v/>
      </c>
      <c r="L149" s="22">
        <f>IF(B149="","",IF(B149=B148,L148,N(L148)+1))</f>
        <v/>
      </c>
    </row>
    <row r="150">
      <c r="A150" s="22" t="inlineStr">
        <is>
          <t>M0149</t>
        </is>
      </c>
      <c r="B150" s="27" t="n">
        <v>46094</v>
      </c>
      <c r="C150" s="17" t="inlineStr">
        <is>
          <t>Ustaz</t>
        </is>
      </c>
      <c r="D150" s="17" t="inlineStr">
        <is>
          <t>Ustaz (3, 8, 9)</t>
        </is>
      </c>
      <c r="E150" s="17" t="inlineStr">
        <is>
          <t>Yuran</t>
        </is>
      </c>
      <c r="F150" s="28" t="inlineStr">
        <is>
          <t>2026-03, 2025-08, 2025-09</t>
        </is>
      </c>
      <c r="G150" s="29" t="n">
        <v>105</v>
      </c>
      <c r="H150" s="29" t="n"/>
      <c r="I150" s="29" t="n"/>
      <c r="J150" s="29" t="n"/>
      <c r="K150" s="30">
        <f>IF(B150="","",SUM(G$2:I150)-SUM(J$2:J150))</f>
        <v/>
      </c>
      <c r="L150" s="22">
        <f>IF(B150="","",IF(B150=B149,L149,N(L149)+1))</f>
        <v/>
      </c>
    </row>
    <row r="151">
      <c r="A151" s="22" t="inlineStr">
        <is>
          <t>M0150</t>
        </is>
      </c>
      <c r="B151" s="27" t="n">
        <v>46094</v>
      </c>
      <c r="C151" s="17" t="inlineStr">
        <is>
          <t>Boss Wan</t>
        </is>
      </c>
      <c r="D151" s="17" t="inlineStr">
        <is>
          <t>Boss Wan (4)</t>
        </is>
      </c>
      <c r="E151" s="17" t="inlineStr">
        <is>
          <t>Yuran</t>
        </is>
      </c>
      <c r="F151" s="28" t="inlineStr">
        <is>
          <t>2026-04</t>
        </is>
      </c>
      <c r="G151" s="29" t="n">
        <v>35</v>
      </c>
      <c r="H151" s="29" t="n"/>
      <c r="I151" s="29" t="n"/>
      <c r="J151" s="29" t="n"/>
      <c r="K151" s="30">
        <f>IF(B151="","",SUM(G$2:I151)-SUM(J$2:J151))</f>
        <v/>
      </c>
      <c r="L151" s="22">
        <f>IF(B151="","",IF(B151=B150,L150,N(L150)+1))</f>
        <v/>
      </c>
    </row>
    <row r="152">
      <c r="A152" s="22" t="inlineStr">
        <is>
          <t>M0151</t>
        </is>
      </c>
      <c r="B152" s="27" t="n">
        <v>46094</v>
      </c>
      <c r="C152" s="17" t="inlineStr">
        <is>
          <t>Khairiri</t>
        </is>
      </c>
      <c r="D152" s="17" t="inlineStr">
        <is>
          <t>Khairiri (Hutang Lawatan)</t>
        </is>
      </c>
      <c r="E152" s="17" t="inlineStr">
        <is>
          <t>Lawatan / Trip</t>
        </is>
      </c>
      <c r="F152" s="28" t="inlineStr"/>
      <c r="G152" s="29" t="n"/>
      <c r="H152" s="29" t="n"/>
      <c r="I152" s="29" t="n"/>
      <c r="J152" s="29" t="n">
        <v>100</v>
      </c>
      <c r="K152" s="30">
        <f>IF(B152="","",SUM(G$2:I152)-SUM(J$2:J152))</f>
        <v/>
      </c>
      <c r="L152" s="22">
        <f>IF(B152="","",IF(B152=B151,L151,N(L151)+1))</f>
        <v/>
      </c>
    </row>
    <row r="153">
      <c r="A153" s="22" t="inlineStr">
        <is>
          <t>M0152</t>
        </is>
      </c>
      <c r="B153" s="27" t="n">
        <v>46098</v>
      </c>
      <c r="C153" s="17" t="inlineStr">
        <is>
          <t>Wafi</t>
        </is>
      </c>
      <c r="D153" s="17" t="inlineStr">
        <is>
          <t>Makanan Jamuan Raya - Wafi</t>
        </is>
      </c>
      <c r="E153" s="17" t="inlineStr">
        <is>
          <t>Majlis &amp; Hadiah</t>
        </is>
      </c>
      <c r="F153" s="28" t="inlineStr"/>
      <c r="G153" s="29" t="n"/>
      <c r="H153" s="29" t="n"/>
      <c r="I153" s="29" t="n"/>
      <c r="J153" s="29" t="n">
        <v>600</v>
      </c>
      <c r="K153" s="30">
        <f>IF(B153="","",SUM(G$2:I153)-SUM(J$2:J153))</f>
        <v/>
      </c>
      <c r="L153" s="22">
        <f>IF(B153="","",IF(B153=B152,L152,N(L152)+1))</f>
        <v/>
      </c>
    </row>
    <row r="154">
      <c r="A154" s="22" t="inlineStr">
        <is>
          <t>M0153</t>
        </is>
      </c>
      <c r="B154" s="27" t="n">
        <v>46112</v>
      </c>
      <c r="C154" s="17" t="inlineStr">
        <is>
          <t>Hadi</t>
        </is>
      </c>
      <c r="D154" s="17" t="inlineStr">
        <is>
          <t>Hadi (3, 8)</t>
        </is>
      </c>
      <c r="E154" s="17" t="inlineStr">
        <is>
          <t>Yuran</t>
        </is>
      </c>
      <c r="F154" s="28" t="inlineStr">
        <is>
          <t>2026-03, 2026-08</t>
        </is>
      </c>
      <c r="G154" s="29" t="n">
        <v>70</v>
      </c>
      <c r="H154" s="29" t="n"/>
      <c r="I154" s="29" t="n"/>
      <c r="J154" s="29" t="n"/>
      <c r="K154" s="30">
        <f>IF(B154="","",SUM(G$2:I154)-SUM(J$2:J154))</f>
        <v/>
      </c>
      <c r="L154" s="22">
        <f>IF(B154="","",IF(B154=B153,L153,N(L153)+1))</f>
        <v/>
      </c>
    </row>
    <row r="155">
      <c r="A155" s="22" t="inlineStr">
        <is>
          <t>M0154</t>
        </is>
      </c>
      <c r="B155" s="27" t="n">
        <v>46112</v>
      </c>
      <c r="C155" s="17" t="inlineStr">
        <is>
          <t>Ustaz</t>
        </is>
      </c>
      <c r="D155" s="17" t="inlineStr">
        <is>
          <t>Ustaz</t>
        </is>
      </c>
      <c r="E155" s="17" t="inlineStr">
        <is>
          <t>Yuran</t>
        </is>
      </c>
      <c r="F155" s="28" t="inlineStr">
        <is>
          <t>2025-09, 2026-03</t>
        </is>
      </c>
      <c r="G155" s="29" t="n"/>
      <c r="H155" s="29" t="n">
        <v>100</v>
      </c>
      <c r="I155" s="29" t="n"/>
      <c r="J155" s="29" t="n"/>
      <c r="K155" s="30">
        <f>IF(B155="","",SUM(G$2:I155)-SUM(J$2:J155))</f>
        <v/>
      </c>
      <c r="L155" s="22">
        <f>IF(B155="","",IF(B155=B154,L154,N(L154)+1))</f>
        <v/>
      </c>
    </row>
    <row r="156">
      <c r="A156" s="22" t="inlineStr">
        <is>
          <t>M0155</t>
        </is>
      </c>
      <c r="B156" s="27" t="n">
        <v>46112</v>
      </c>
      <c r="C156" s="17" t="inlineStr">
        <is>
          <t>Asnawi</t>
        </is>
      </c>
      <c r="D156" s="17" t="inlineStr">
        <is>
          <t>Majlis Perpisahan Wafi - Asnawi</t>
        </is>
      </c>
      <c r="E156" s="17" t="inlineStr">
        <is>
          <t>Majlis &amp; Hadiah</t>
        </is>
      </c>
      <c r="F156" s="28" t="inlineStr"/>
      <c r="G156" s="29" t="n"/>
      <c r="H156" s="29" t="n"/>
      <c r="I156" s="29" t="n"/>
      <c r="J156" s="29" t="n">
        <v>260</v>
      </c>
      <c r="K156" s="30">
        <f>IF(B156="","",SUM(G$2:I156)-SUM(J$2:J156))</f>
        <v/>
      </c>
      <c r="L156" s="22">
        <f>IF(B156="","",IF(B156=B155,L155,N(L155)+1))</f>
        <v/>
      </c>
    </row>
    <row r="157">
      <c r="A157" s="22" t="inlineStr">
        <is>
          <t>M0156</t>
        </is>
      </c>
      <c r="B157" s="27" t="n">
        <v>46112</v>
      </c>
      <c r="C157" s="17" t="inlineStr">
        <is>
          <t>Hadi</t>
        </is>
      </c>
      <c r="D157" s="17" t="inlineStr">
        <is>
          <t>Hadiah Perpisahan Wafi - Hadi</t>
        </is>
      </c>
      <c r="E157" s="17" t="inlineStr">
        <is>
          <t>Majlis &amp; Hadiah</t>
        </is>
      </c>
      <c r="F157" s="28" t="inlineStr"/>
      <c r="G157" s="29" t="n"/>
      <c r="H157" s="29" t="n"/>
      <c r="I157" s="29" t="n"/>
      <c r="J157" s="29" t="n">
        <v>273</v>
      </c>
      <c r="K157" s="30">
        <f>IF(B157="","",SUM(G$2:I157)-SUM(J$2:J157))</f>
        <v/>
      </c>
      <c r="L157" s="22">
        <f>IF(B157="","",IF(B157=B156,L156,N(L156)+1))</f>
        <v/>
      </c>
    </row>
    <row r="158">
      <c r="A158" s="22" t="inlineStr">
        <is>
          <t>M0157</t>
        </is>
      </c>
      <c r="B158" s="27" t="n">
        <v>46112</v>
      </c>
      <c r="C158" s="17" t="inlineStr">
        <is>
          <t>Asnawi</t>
        </is>
      </c>
      <c r="D158" s="17" t="inlineStr">
        <is>
          <t>Hadiah Perpisahan Wafi - Asnawi</t>
        </is>
      </c>
      <c r="E158" s="17" t="inlineStr">
        <is>
          <t>Majlis &amp; Hadiah</t>
        </is>
      </c>
      <c r="F158" s="28" t="inlineStr"/>
      <c r="G158" s="29" t="n"/>
      <c r="H158" s="29" t="n"/>
      <c r="I158" s="29" t="n"/>
      <c r="J158" s="29" t="n">
        <v>27</v>
      </c>
      <c r="K158" s="30">
        <f>IF(B158="","",SUM(G$2:I158)-SUM(J$2:J158))</f>
        <v/>
      </c>
      <c r="L158" s="22">
        <f>IF(B158="","",IF(B158=B157,L157,N(L157)+1))</f>
        <v/>
      </c>
    </row>
    <row r="159">
      <c r="A159" s="22" t="inlineStr">
        <is>
          <t>M0158</t>
        </is>
      </c>
      <c r="B159" s="27" t="n">
        <v>46112</v>
      </c>
      <c r="C159" s="17" t="inlineStr">
        <is>
          <t>Hadi</t>
        </is>
      </c>
      <c r="D159" s="17" t="inlineStr">
        <is>
          <t>Minuman Jamuan Raya - Hadi</t>
        </is>
      </c>
      <c r="E159" s="17" t="inlineStr">
        <is>
          <t>Majlis &amp; Hadiah</t>
        </is>
      </c>
      <c r="F159" s="28" t="inlineStr"/>
      <c r="G159" s="29" t="n"/>
      <c r="H159" s="29" t="n"/>
      <c r="I159" s="29" t="n"/>
      <c r="J159" s="29" t="n">
        <v>20</v>
      </c>
      <c r="K159" s="30">
        <f>IF(B159="","",SUM(G$2:I159)-SUM(J$2:J159))</f>
        <v/>
      </c>
      <c r="L159" s="22">
        <f>IF(B159="","",IF(B159=B158,L158,N(L158)+1))</f>
        <v/>
      </c>
    </row>
    <row r="160">
      <c r="A160" s="22" t="inlineStr">
        <is>
          <t>M0159</t>
        </is>
      </c>
      <c r="B160" s="27" t="n">
        <v>46112</v>
      </c>
      <c r="C160" s="17" t="inlineStr"/>
      <c r="D160" s="17" t="inlineStr">
        <is>
          <t>Pelbagai</t>
        </is>
      </c>
      <c r="E160" s="17" t="inlineStr">
        <is>
          <t>Pelbagai</t>
        </is>
      </c>
      <c r="F160" s="28" t="inlineStr"/>
      <c r="G160" s="29" t="n"/>
      <c r="H160" s="29" t="n"/>
      <c r="I160" s="29" t="n"/>
      <c r="J160" s="29" t="n">
        <v>76</v>
      </c>
      <c r="K160" s="30">
        <f>IF(B160="","",SUM(G$2:I160)-SUM(J$2:J160))</f>
        <v/>
      </c>
      <c r="L160" s="22">
        <f>IF(B160="","",IF(B160=B159,L159,N(L159)+1))</f>
        <v/>
      </c>
    </row>
    <row r="161">
      <c r="A161" s="22" t="inlineStr">
        <is>
          <t>M0160</t>
        </is>
      </c>
      <c r="B161" s="27" t="n">
        <v>46113</v>
      </c>
      <c r="C161" s="17" t="inlineStr">
        <is>
          <t>Wafi</t>
        </is>
      </c>
      <c r="D161" s="17" t="inlineStr">
        <is>
          <t>Wafi (11, 12, 2, 3)</t>
        </is>
      </c>
      <c r="E161" s="17" t="inlineStr">
        <is>
          <t>Yuran</t>
        </is>
      </c>
      <c r="F161" s="28" t="inlineStr">
        <is>
          <t>2026-11, 2026-12, 2026-02, 2026-03</t>
        </is>
      </c>
      <c r="G161" s="29" t="n">
        <v>140</v>
      </c>
      <c r="H161" s="29" t="n"/>
      <c r="I161" s="29" t="n"/>
      <c r="J161" s="29" t="n"/>
      <c r="K161" s="30">
        <f>IF(B161="","",SUM(G$2:I161)-SUM(J$2:J161))</f>
        <v/>
      </c>
      <c r="L161" s="22">
        <f>IF(B161="","",IF(B161=B160,L160,N(L160)+1))</f>
        <v/>
      </c>
    </row>
    <row r="162">
      <c r="A162" s="22" t="inlineStr">
        <is>
          <t>M0161</t>
        </is>
      </c>
      <c r="B162" s="27" t="n">
        <v>46113</v>
      </c>
      <c r="C162" s="17" t="inlineStr"/>
      <c r="D162" s="17" t="inlineStr">
        <is>
          <t>Pelbagai</t>
        </is>
      </c>
      <c r="E162" s="17" t="inlineStr">
        <is>
          <t>Pelbagai</t>
        </is>
      </c>
      <c r="F162" s="28" t="inlineStr"/>
      <c r="G162" s="29" t="n"/>
      <c r="H162" s="29" t="n"/>
      <c r="I162" s="29" t="n"/>
      <c r="J162" s="29" t="n">
        <v>96</v>
      </c>
      <c r="K162" s="30">
        <f>IF(B162="","",SUM(G$2:I162)-SUM(J$2:J162))</f>
        <v/>
      </c>
      <c r="L162" s="22">
        <f>IF(B162="","",IF(B162=B161,L161,N(L161)+1))</f>
        <v/>
      </c>
    </row>
    <row r="163">
      <c r="A163" s="22" t="inlineStr">
        <is>
          <t>M0162</t>
        </is>
      </c>
      <c r="B163" s="27" t="n">
        <v>46128</v>
      </c>
      <c r="C163" s="17" t="inlineStr">
        <is>
          <t>Boss Wan</t>
        </is>
      </c>
      <c r="D163" s="17" t="inlineStr">
        <is>
          <t>Boss Wan (5)</t>
        </is>
      </c>
      <c r="E163" s="17" t="inlineStr">
        <is>
          <t>Yuran</t>
        </is>
      </c>
      <c r="F163" s="28" t="inlineStr">
        <is>
          <t>2026-05</t>
        </is>
      </c>
      <c r="G163" s="29" t="n">
        <v>35</v>
      </c>
      <c r="H163" s="29" t="n"/>
      <c r="I163" s="29" t="n"/>
      <c r="J163" s="29" t="n"/>
      <c r="K163" s="30">
        <f>IF(B163="","",SUM(G$2:I163)-SUM(J$2:J163))</f>
        <v/>
      </c>
      <c r="L163" s="22">
        <f>IF(B163="","",IF(B163=B162,L162,N(L162)+1))</f>
        <v/>
      </c>
    </row>
    <row r="164">
      <c r="A164" s="22" t="inlineStr">
        <is>
          <t>M0163</t>
        </is>
      </c>
      <c r="B164" s="27" t="n">
        <v>46128</v>
      </c>
      <c r="C164" s="17" t="inlineStr">
        <is>
          <t>Bang Mie</t>
        </is>
      </c>
      <c r="D164" s="17" t="inlineStr">
        <is>
          <t>Bang Mie (3)</t>
        </is>
      </c>
      <c r="E164" s="17" t="inlineStr">
        <is>
          <t>Yuran</t>
        </is>
      </c>
      <c r="F164" s="28" t="inlineStr">
        <is>
          <t>2026-03</t>
        </is>
      </c>
      <c r="G164" s="29" t="n">
        <v>35</v>
      </c>
      <c r="H164" s="29" t="n"/>
      <c r="I164" s="29" t="n"/>
      <c r="J164" s="29" t="n"/>
      <c r="K164" s="30">
        <f>IF(B164="","",SUM(G$2:I164)-SUM(J$2:J164))</f>
        <v/>
      </c>
      <c r="L164" s="22">
        <f>IF(B164="","",IF(B164=B163,L163,N(L163)+1))</f>
        <v/>
      </c>
    </row>
    <row r="165">
      <c r="A165" s="22" t="inlineStr">
        <is>
          <t>M0164</t>
        </is>
      </c>
      <c r="B165" s="27" t="n">
        <v>46128</v>
      </c>
      <c r="C165" s="17" t="inlineStr">
        <is>
          <t>Hasnol</t>
        </is>
      </c>
      <c r="D165" s="17" t="inlineStr">
        <is>
          <t>Hasnol</t>
        </is>
      </c>
      <c r="E165" s="17" t="inlineStr">
        <is>
          <t>Yuran</t>
        </is>
      </c>
      <c r="F165" s="28" t="inlineStr">
        <is>
          <t>2026-01, 2026-02, 2026-03, 2026-04, 2026-05, 2026-06, 2026-07:15</t>
        </is>
      </c>
      <c r="G165" s="29" t="n">
        <v>225</v>
      </c>
      <c r="H165" s="29" t="n"/>
      <c r="I165" s="29" t="n"/>
      <c r="J165" s="29" t="n"/>
      <c r="K165" s="30">
        <f>IF(B165="","",SUM(G$2:I165)-SUM(J$2:J165))</f>
        <v/>
      </c>
      <c r="L165" s="22">
        <f>IF(B165="","",IF(B165=B164,L164,N(L164)+1))</f>
        <v/>
      </c>
    </row>
    <row r="166">
      <c r="A166" s="22" t="inlineStr">
        <is>
          <t>M0165</t>
        </is>
      </c>
      <c r="B166" s="27" t="n">
        <v>46128</v>
      </c>
      <c r="C166" s="17" t="inlineStr">
        <is>
          <t>Aiman</t>
        </is>
      </c>
      <c r="D166" s="17" t="inlineStr">
        <is>
          <t>Aiman (3)</t>
        </is>
      </c>
      <c r="E166" s="17" t="inlineStr">
        <is>
          <t>Yuran</t>
        </is>
      </c>
      <c r="F166" s="28" t="inlineStr">
        <is>
          <t>2026-03</t>
        </is>
      </c>
      <c r="G166" s="29" t="n">
        <v>35</v>
      </c>
      <c r="H166" s="29" t="n"/>
      <c r="I166" s="29" t="n"/>
      <c r="J166" s="29" t="n"/>
      <c r="K166" s="30">
        <f>IF(B166="","",SUM(G$2:I166)-SUM(J$2:J166))</f>
        <v/>
      </c>
      <c r="L166" s="22">
        <f>IF(B166="","",IF(B166=B165,L165,N(L165)+1))</f>
        <v/>
      </c>
    </row>
    <row r="167">
      <c r="A167" s="22" t="inlineStr">
        <is>
          <t>M0166</t>
        </is>
      </c>
      <c r="B167" s="27" t="n">
        <v>46128</v>
      </c>
      <c r="C167" s="17" t="inlineStr">
        <is>
          <t>Khairiri</t>
        </is>
      </c>
      <c r="D167" s="17" t="inlineStr">
        <is>
          <t>Khairiri (4)</t>
        </is>
      </c>
      <c r="E167" s="17" t="inlineStr">
        <is>
          <t>Yuran</t>
        </is>
      </c>
      <c r="F167" s="28" t="inlineStr">
        <is>
          <t>2026-04</t>
        </is>
      </c>
      <c r="G167" s="29" t="n">
        <v>35</v>
      </c>
      <c r="H167" s="29" t="n"/>
      <c r="I167" s="29" t="n"/>
      <c r="J167" s="29" t="n"/>
      <c r="K167" s="30">
        <f>IF(B167="","",SUM(G$2:I167)-SUM(J$2:J167))</f>
        <v/>
      </c>
      <c r="L167" s="22">
        <f>IF(B167="","",IF(B167=B166,L166,N(L166)+1))</f>
        <v/>
      </c>
    </row>
    <row r="168">
      <c r="A168" s="22" t="inlineStr">
        <is>
          <t>M0167</t>
        </is>
      </c>
      <c r="B168" s="27" t="n">
        <v>46128</v>
      </c>
      <c r="C168" s="17" t="inlineStr">
        <is>
          <t>Hadi</t>
        </is>
      </c>
      <c r="D168" s="17" t="inlineStr">
        <is>
          <t>Hadi (4)</t>
        </is>
      </c>
      <c r="E168" s="17" t="inlineStr">
        <is>
          <t>Yuran</t>
        </is>
      </c>
      <c r="F168" s="28" t="inlineStr">
        <is>
          <t>2026-04</t>
        </is>
      </c>
      <c r="G168" s="29" t="n">
        <v>35</v>
      </c>
      <c r="H168" s="29" t="n"/>
      <c r="I168" s="29" t="n"/>
      <c r="J168" s="29" t="n"/>
      <c r="K168" s="30">
        <f>IF(B168="","",SUM(G$2:I168)-SUM(J$2:J168))</f>
        <v/>
      </c>
      <c r="L168" s="22">
        <f>IF(B168="","",IF(B168=B167,L167,N(L167)+1))</f>
        <v/>
      </c>
    </row>
    <row r="169">
      <c r="A169" s="22" t="inlineStr">
        <is>
          <t>M0168</t>
        </is>
      </c>
      <c r="B169" s="27" t="n">
        <v>46128</v>
      </c>
      <c r="C169" s="17" t="inlineStr">
        <is>
          <t>Asnawi</t>
        </is>
      </c>
      <c r="D169" s="17" t="inlineStr">
        <is>
          <t>Asnawi (4)</t>
        </is>
      </c>
      <c r="E169" s="17" t="inlineStr">
        <is>
          <t>Yuran</t>
        </is>
      </c>
      <c r="F169" s="28" t="inlineStr">
        <is>
          <t>2026-04</t>
        </is>
      </c>
      <c r="G169" s="29" t="n">
        <v>35</v>
      </c>
      <c r="H169" s="29" t="n"/>
      <c r="I169" s="29" t="n"/>
      <c r="J169" s="29" t="n"/>
      <c r="K169" s="30">
        <f>IF(B169="","",SUM(G$2:I169)-SUM(J$2:J169))</f>
        <v/>
      </c>
      <c r="L169" s="22">
        <f>IF(B169="","",IF(B169=B168,L168,N(L168)+1))</f>
        <v/>
      </c>
    </row>
    <row r="170">
      <c r="A170" s="22" t="inlineStr">
        <is>
          <t>M0169</t>
        </is>
      </c>
      <c r="B170" s="27" t="n">
        <v>46128</v>
      </c>
      <c r="C170" s="17" t="inlineStr">
        <is>
          <t>Chang</t>
        </is>
      </c>
      <c r="D170" s="17" t="inlineStr">
        <is>
          <t>Chang (4)</t>
        </is>
      </c>
      <c r="E170" s="17" t="inlineStr">
        <is>
          <t>Yuran</t>
        </is>
      </c>
      <c r="F170" s="28" t="inlineStr">
        <is>
          <t>2026-04</t>
        </is>
      </c>
      <c r="G170" s="29" t="n">
        <v>35</v>
      </c>
      <c r="H170" s="29" t="n"/>
      <c r="I170" s="29" t="n"/>
      <c r="J170" s="29" t="n"/>
      <c r="K170" s="30">
        <f>IF(B170="","",SUM(G$2:I170)-SUM(J$2:J170))</f>
        <v/>
      </c>
      <c r="L170" s="22">
        <f>IF(B170="","",IF(B170=B169,L169,N(L169)+1))</f>
        <v/>
      </c>
    </row>
    <row r="171">
      <c r="A171" s="22" t="inlineStr">
        <is>
          <t>M0170</t>
        </is>
      </c>
      <c r="B171" s="27" t="n">
        <v>46129</v>
      </c>
      <c r="C171" s="17" t="inlineStr"/>
      <c r="D171" s="17" t="inlineStr">
        <is>
          <t>Pelbagai Asnawi</t>
        </is>
      </c>
      <c r="E171" s="17" t="inlineStr">
        <is>
          <t>Pelbagai</t>
        </is>
      </c>
      <c r="F171" s="28" t="inlineStr"/>
      <c r="G171" s="29" t="n"/>
      <c r="H171" s="29" t="n"/>
      <c r="I171" s="29" t="n"/>
      <c r="J171" s="29" t="n">
        <v>125</v>
      </c>
      <c r="K171" s="30">
        <f>IF(B171="","",SUM(G$2:I171)-SUM(J$2:J171))</f>
        <v/>
      </c>
      <c r="L171" s="22">
        <f>IF(B171="","",IF(B171=B170,L170,N(L170)+1))</f>
        <v/>
      </c>
    </row>
    <row r="172">
      <c r="A172" s="22" t="inlineStr">
        <is>
          <t>M0171</t>
        </is>
      </c>
      <c r="B172" s="27" t="n">
        <v>46130</v>
      </c>
      <c r="C172" s="17" t="inlineStr">
        <is>
          <t>Asnawi</t>
        </is>
      </c>
      <c r="D172" s="17" t="inlineStr">
        <is>
          <t>Bayaran Lawatan Hasnol - Asnawi</t>
        </is>
      </c>
      <c r="E172" s="17" t="inlineStr">
        <is>
          <t>Lawatan / Trip</t>
        </is>
      </c>
      <c r="F172" s="28" t="inlineStr"/>
      <c r="G172" s="29" t="n"/>
      <c r="H172" s="29" t="n"/>
      <c r="I172" s="29" t="n"/>
      <c r="J172" s="29" t="n">
        <v>95</v>
      </c>
      <c r="K172" s="30">
        <f>IF(B172="","",SUM(G$2:I172)-SUM(J$2:J172))</f>
        <v/>
      </c>
      <c r="L172" s="22">
        <f>IF(B172="","",IF(B172=B171,L171,N(L171)+1))</f>
        <v/>
      </c>
    </row>
    <row r="173">
      <c r="A173" s="22" t="inlineStr">
        <is>
          <t>M0172</t>
        </is>
      </c>
      <c r="B173" s="27" t="n">
        <v>46135</v>
      </c>
      <c r="C173" s="17" t="inlineStr">
        <is>
          <t>Joe</t>
        </is>
      </c>
      <c r="D173" s="17" t="inlineStr">
        <is>
          <t>Joe (4)</t>
        </is>
      </c>
      <c r="E173" s="17" t="inlineStr">
        <is>
          <t>Yuran</t>
        </is>
      </c>
      <c r="F173" s="28" t="inlineStr">
        <is>
          <t>2026-04</t>
        </is>
      </c>
      <c r="G173" s="29" t="n">
        <v>35</v>
      </c>
      <c r="H173" s="29" t="n"/>
      <c r="I173" s="29" t="n"/>
      <c r="J173" s="29" t="n"/>
      <c r="K173" s="30">
        <f>IF(B173="","",SUM(G$2:I173)-SUM(J$2:J173))</f>
        <v/>
      </c>
      <c r="L173" s="22">
        <f>IF(B173="","",IF(B173=B172,L172,N(L172)+1))</f>
        <v/>
      </c>
    </row>
    <row r="174">
      <c r="A174" s="22" t="inlineStr">
        <is>
          <t>M0173</t>
        </is>
      </c>
      <c r="B174" s="27" t="n">
        <v>46136</v>
      </c>
      <c r="C174" s="17" t="inlineStr">
        <is>
          <t>Ustaz</t>
        </is>
      </c>
      <c r="D174" s="17" t="inlineStr">
        <is>
          <t>Ustaz (10, 11, 12[30])</t>
        </is>
      </c>
      <c r="E174" s="17" t="inlineStr">
        <is>
          <t>Yuran</t>
        </is>
      </c>
      <c r="F174" s="28" t="inlineStr">
        <is>
          <t>2025-10, 2025-11, 2025-12:30</t>
        </is>
      </c>
      <c r="G174" s="29" t="n">
        <v>100</v>
      </c>
      <c r="H174" s="29" t="n"/>
      <c r="I174" s="29" t="n"/>
      <c r="J174" s="29" t="n"/>
      <c r="K174" s="30">
        <f>IF(B174="","",SUM(G$2:I174)-SUM(J$2:J174))</f>
        <v/>
      </c>
      <c r="L174" s="22">
        <f>IF(B174="","",IF(B174=B173,L173,N(L173)+1))</f>
        <v/>
      </c>
    </row>
    <row r="175">
      <c r="A175" s="22" t="inlineStr">
        <is>
          <t>M0174</t>
        </is>
      </c>
      <c r="B175" s="27" t="n">
        <v>46140</v>
      </c>
      <c r="C175" s="17" t="inlineStr">
        <is>
          <t>Kuchai</t>
        </is>
      </c>
      <c r="D175" s="17" t="inlineStr">
        <is>
          <t>Kuchai</t>
        </is>
      </c>
      <c r="E175" s="17" t="inlineStr">
        <is>
          <t>Yuran</t>
        </is>
      </c>
      <c r="F175" s="28" t="inlineStr">
        <is>
          <t>2026-02, 2026-04, 2026-05, 2026-06, 2026-07, 2026-08, 2026-09, 2026-10, 2026-11</t>
        </is>
      </c>
      <c r="G175" s="29" t="n">
        <v>315</v>
      </c>
      <c r="H175" s="29" t="n"/>
      <c r="I175" s="29" t="n"/>
      <c r="J175" s="29" t="n"/>
      <c r="K175" s="30">
        <f>IF(B175="","",SUM(G$2:I175)-SUM(J$2:J175))</f>
        <v/>
      </c>
      <c r="L175" s="22">
        <f>IF(B175="","",IF(B175=B174,L174,N(L174)+1))</f>
        <v/>
      </c>
    </row>
    <row r="176">
      <c r="A176" s="22" t="inlineStr">
        <is>
          <t>M0175</t>
        </is>
      </c>
      <c r="B176" s="27" t="n">
        <v>46144</v>
      </c>
      <c r="C176" s="17" t="inlineStr">
        <is>
          <t>Wafi</t>
        </is>
      </c>
      <c r="D176" s="17" t="inlineStr">
        <is>
          <t>Bayaran Lebih Lawatan - Wafi</t>
        </is>
      </c>
      <c r="E176" s="17" t="inlineStr">
        <is>
          <t>Lawatan / Trip</t>
        </is>
      </c>
      <c r="F176" s="28" t="inlineStr"/>
      <c r="G176" s="29" t="n"/>
      <c r="H176" s="29" t="n"/>
      <c r="I176" s="29" t="n"/>
      <c r="J176" s="29" t="n">
        <v>500</v>
      </c>
      <c r="K176" s="30">
        <f>IF(B176="","",SUM(G$2:I176)-SUM(J$2:J176))</f>
        <v/>
      </c>
      <c r="L176" s="22">
        <f>IF(B176="","",IF(B176=B175,L175,N(L175)+1))</f>
        <v/>
      </c>
    </row>
    <row r="177">
      <c r="A177" s="22" t="inlineStr">
        <is>
          <t>M0176</t>
        </is>
      </c>
      <c r="B177" s="27" t="n">
        <v>46147</v>
      </c>
      <c r="C177" s="17" t="inlineStr">
        <is>
          <t>Amir</t>
        </is>
      </c>
      <c r="D177" s="17" t="inlineStr">
        <is>
          <t>Hari Guru KEDAP - Amir</t>
        </is>
      </c>
      <c r="E177" s="17" t="inlineStr">
        <is>
          <t>Majlis &amp; Hadiah</t>
        </is>
      </c>
      <c r="F177" s="28" t="inlineStr"/>
      <c r="G177" s="29" t="n"/>
      <c r="H177" s="29" t="n"/>
      <c r="I177" s="29" t="n"/>
      <c r="J177" s="29" t="n">
        <v>360</v>
      </c>
      <c r="K177" s="30">
        <f>IF(B177="","",SUM(G$2:I177)-SUM(J$2:J177))</f>
        <v/>
      </c>
      <c r="L177" s="22">
        <f>IF(B177="","",IF(B177=B176,L176,N(L176)+1))</f>
        <v/>
      </c>
    </row>
    <row r="178">
      <c r="A178" s="22" t="inlineStr">
        <is>
          <t>M0177</t>
        </is>
      </c>
      <c r="B178" s="27" t="n">
        <v>46151</v>
      </c>
      <c r="C178" s="17" t="inlineStr">
        <is>
          <t>Amir</t>
        </is>
      </c>
      <c r="D178" s="17" t="inlineStr">
        <is>
          <t>Hari Guru - Amir</t>
        </is>
      </c>
      <c r="E178" s="17" t="inlineStr">
        <is>
          <t>Majlis &amp; Hadiah</t>
        </is>
      </c>
      <c r="F178" s="28" t="inlineStr"/>
      <c r="G178" s="29" t="n"/>
      <c r="H178" s="29" t="n"/>
      <c r="I178" s="29" t="n"/>
      <c r="J178" s="29" t="n">
        <v>91</v>
      </c>
      <c r="K178" s="30">
        <f>IF(B178="","",SUM(G$2:I178)-SUM(J$2:J178))</f>
        <v/>
      </c>
      <c r="L178" s="22">
        <f>IF(B178="","",IF(B178=B177,L177,N(L177)+1))</f>
        <v/>
      </c>
    </row>
    <row r="179">
      <c r="A179" s="22" t="inlineStr">
        <is>
          <t>M0178</t>
        </is>
      </c>
      <c r="B179" s="27" t="n">
        <v>46158</v>
      </c>
      <c r="C179" s="17" t="inlineStr">
        <is>
          <t>Asnawi</t>
        </is>
      </c>
      <c r="D179" s="17" t="inlineStr">
        <is>
          <t>Pelbagai - Asnawi</t>
        </is>
      </c>
      <c r="E179" s="17" t="inlineStr">
        <is>
          <t>Pelbagai</t>
        </is>
      </c>
      <c r="F179" s="28" t="inlineStr"/>
      <c r="G179" s="29" t="n"/>
      <c r="H179" s="29" t="n"/>
      <c r="I179" s="29" t="n"/>
      <c r="J179" s="29" t="n">
        <v>150</v>
      </c>
      <c r="K179" s="30">
        <f>IF(B179="","",SUM(G$2:I179)-SUM(J$2:J179))</f>
        <v/>
      </c>
      <c r="L179" s="22">
        <f>IF(B179="","",IF(B179=B178,L178,N(L178)+1))</f>
        <v/>
      </c>
    </row>
    <row r="180">
      <c r="A180" s="22" t="inlineStr">
        <is>
          <t>M0179</t>
        </is>
      </c>
      <c r="B180" s="27" t="n">
        <v>46163</v>
      </c>
      <c r="C180" s="17" t="inlineStr">
        <is>
          <t>Bang Mie</t>
        </is>
      </c>
      <c r="D180" s="17" t="inlineStr">
        <is>
          <t>Bang Mie (4)</t>
        </is>
      </c>
      <c r="E180" s="17" t="inlineStr">
        <is>
          <t>Yuran</t>
        </is>
      </c>
      <c r="F180" s="28" t="inlineStr">
        <is>
          <t>2026-04</t>
        </is>
      </c>
      <c r="G180" s="29" t="n">
        <v>35</v>
      </c>
      <c r="H180" s="29" t="n"/>
      <c r="I180" s="29" t="n"/>
      <c r="J180" s="29" t="n"/>
      <c r="K180" s="30">
        <f>IF(B180="","",SUM(G$2:I180)-SUM(J$2:J180))</f>
        <v/>
      </c>
      <c r="L180" s="22">
        <f>IF(B180="","",IF(B180=B179,L179,N(L179)+1))</f>
        <v/>
      </c>
    </row>
    <row r="181">
      <c r="A181" s="22" t="inlineStr">
        <is>
          <t>M0180</t>
        </is>
      </c>
      <c r="B181" s="27" t="n">
        <v>46163</v>
      </c>
      <c r="C181" s="17" t="inlineStr">
        <is>
          <t>Ustaz</t>
        </is>
      </c>
      <c r="D181" s="17" t="inlineStr">
        <is>
          <t>Ustaz (12[5], 1, 2, 4[30])</t>
        </is>
      </c>
      <c r="E181" s="17" t="inlineStr">
        <is>
          <t>Yuran</t>
        </is>
      </c>
      <c r="F181" s="28" t="inlineStr">
        <is>
          <t>2026-12:5, 2026-01, 2026-02, 2026-04:30</t>
        </is>
      </c>
      <c r="G181" s="29" t="n">
        <v>105</v>
      </c>
      <c r="H181" s="29" t="n"/>
      <c r="I181" s="29" t="n"/>
      <c r="J181" s="29" t="n"/>
      <c r="K181" s="30">
        <f>IF(B181="","",SUM(G$2:I181)-SUM(J$2:J181))</f>
        <v/>
      </c>
      <c r="L181" s="22">
        <f>IF(B181="","",IF(B181=B180,L180,N(L180)+1))</f>
        <v/>
      </c>
    </row>
    <row r="182">
      <c r="A182" s="22" t="inlineStr">
        <is>
          <t>M0181</t>
        </is>
      </c>
      <c r="B182" s="27" t="n">
        <v>46164</v>
      </c>
      <c r="C182" s="17" t="inlineStr">
        <is>
          <t>Asnawi</t>
        </is>
      </c>
      <c r="D182" s="17" t="inlineStr">
        <is>
          <t>Asnawi (5)</t>
        </is>
      </c>
      <c r="E182" s="17" t="inlineStr">
        <is>
          <t>Yuran</t>
        </is>
      </c>
      <c r="F182" s="28" t="inlineStr">
        <is>
          <t>2026-05</t>
        </is>
      </c>
      <c r="G182" s="29" t="n">
        <v>35</v>
      </c>
      <c r="H182" s="29" t="n"/>
      <c r="I182" s="29" t="n"/>
      <c r="J182" s="29" t="n"/>
      <c r="K182" s="30">
        <f>IF(B182="","",SUM(G$2:I182)-SUM(J$2:J182))</f>
        <v/>
      </c>
      <c r="L182" s="22">
        <f>IF(B182="","",IF(B182=B181,L181,N(L181)+1))</f>
        <v/>
      </c>
    </row>
    <row r="183">
      <c r="A183" s="22" t="inlineStr">
        <is>
          <t>M0182</t>
        </is>
      </c>
      <c r="B183" s="27" t="n">
        <v>46164</v>
      </c>
      <c r="C183" s="17" t="inlineStr">
        <is>
          <t>Aiman</t>
        </is>
      </c>
      <c r="D183" s="17" t="inlineStr">
        <is>
          <t>Aiman (4)</t>
        </is>
      </c>
      <c r="E183" s="17" t="inlineStr">
        <is>
          <t>Yuran</t>
        </is>
      </c>
      <c r="F183" s="28" t="inlineStr">
        <is>
          <t>2026-04</t>
        </is>
      </c>
      <c r="G183" s="29" t="n">
        <v>35</v>
      </c>
      <c r="H183" s="29" t="n"/>
      <c r="I183" s="29" t="n"/>
      <c r="J183" s="29" t="n"/>
      <c r="K183" s="30">
        <f>IF(B183="","",SUM(G$2:I183)-SUM(J$2:J183))</f>
        <v/>
      </c>
      <c r="L183" s="22">
        <f>IF(B183="","",IF(B183=B182,L182,N(L182)+1))</f>
        <v/>
      </c>
    </row>
    <row r="184">
      <c r="A184" s="22" t="inlineStr">
        <is>
          <t>M0183</t>
        </is>
      </c>
      <c r="B184" s="27" t="n">
        <v>46164</v>
      </c>
      <c r="C184" s="17" t="inlineStr">
        <is>
          <t>Hadi</t>
        </is>
      </c>
      <c r="D184" s="17" t="inlineStr">
        <is>
          <t>Hadi (5)</t>
        </is>
      </c>
      <c r="E184" s="17" t="inlineStr">
        <is>
          <t>Yuran</t>
        </is>
      </c>
      <c r="F184" s="28" t="inlineStr">
        <is>
          <t>2026-05</t>
        </is>
      </c>
      <c r="G184" s="29" t="n">
        <v>35</v>
      </c>
      <c r="H184" s="29" t="n"/>
      <c r="I184" s="29" t="n"/>
      <c r="J184" s="29" t="n"/>
      <c r="K184" s="30">
        <f>IF(B184="","",SUM(G$2:I184)-SUM(J$2:J184))</f>
        <v/>
      </c>
      <c r="L184" s="22">
        <f>IF(B184="","",IF(B184=B183,L183,N(L183)+1))</f>
        <v/>
      </c>
    </row>
    <row r="185">
      <c r="A185" s="22" t="inlineStr">
        <is>
          <t>M0184</t>
        </is>
      </c>
      <c r="B185" s="27" t="n">
        <v>46164</v>
      </c>
      <c r="C185" s="17" t="inlineStr">
        <is>
          <t>Asnawi</t>
        </is>
      </c>
      <c r="D185" s="17" t="inlineStr">
        <is>
          <t>Bayaran Duit Pantri - Asnawi</t>
        </is>
      </c>
      <c r="E185" s="17" t="inlineStr">
        <is>
          <t>Duit Pantri</t>
        </is>
      </c>
      <c r="F185" s="28" t="inlineStr"/>
      <c r="G185" s="29" t="n"/>
      <c r="H185" s="29" t="n"/>
      <c r="I185" s="29" t="n"/>
      <c r="J185" s="29" t="n">
        <v>60</v>
      </c>
      <c r="K185" s="30">
        <f>IF(B185="","",SUM(G$2:I185)-SUM(J$2:J185))</f>
        <v/>
      </c>
      <c r="L185" s="22">
        <f>IF(B185="","",IF(B185=B184,L184,N(L184)+1))</f>
        <v/>
      </c>
    </row>
    <row r="186">
      <c r="A186" s="22" t="inlineStr">
        <is>
          <t>M0185</t>
        </is>
      </c>
      <c r="B186" s="27" t="n">
        <v>46164</v>
      </c>
      <c r="C186" s="17" t="inlineStr">
        <is>
          <t>Asnawi</t>
        </is>
      </c>
      <c r="D186" s="17" t="inlineStr">
        <is>
          <t>Pelbagai (Mungkin Pantri Lama) - Asnawi</t>
        </is>
      </c>
      <c r="E186" s="17" t="inlineStr">
        <is>
          <t>Duit Pantri</t>
        </is>
      </c>
      <c r="F186" s="28" t="inlineStr"/>
      <c r="G186" s="29" t="n"/>
      <c r="H186" s="29" t="n"/>
      <c r="I186" s="29" t="n"/>
      <c r="J186" s="29" t="n">
        <v>240</v>
      </c>
      <c r="K186" s="30">
        <f>IF(B186="","",SUM(G$2:I186)-SUM(J$2:J186))</f>
        <v/>
      </c>
      <c r="L186" s="22">
        <f>IF(B186="","",IF(B186=B185,L185,N(L185)+1))</f>
        <v/>
      </c>
    </row>
    <row r="187">
      <c r="A187" s="22" t="inlineStr">
        <is>
          <t>M0186</t>
        </is>
      </c>
      <c r="B187" s="27" t="n">
        <v>46167</v>
      </c>
      <c r="C187" s="17" t="inlineStr">
        <is>
          <t>Chang</t>
        </is>
      </c>
      <c r="D187" s="17" t="inlineStr">
        <is>
          <t>Chang (5)</t>
        </is>
      </c>
      <c r="E187" s="17" t="inlineStr">
        <is>
          <t>Yuran</t>
        </is>
      </c>
      <c r="F187" s="28" t="inlineStr">
        <is>
          <t>2026-05</t>
        </is>
      </c>
      <c r="G187" s="29" t="n">
        <v>35</v>
      </c>
      <c r="H187" s="29" t="n"/>
      <c r="I187" s="29" t="n"/>
      <c r="J187" s="29" t="n"/>
      <c r="K187" s="30">
        <f>IF(B187="","",SUM(G$2:I187)-SUM(J$2:J187))</f>
        <v/>
      </c>
      <c r="L187" s="22">
        <f>IF(B187="","",IF(B187=B186,L186,N(L186)+1))</f>
        <v/>
      </c>
    </row>
    <row r="188">
      <c r="A188" s="22" t="inlineStr">
        <is>
          <t>M0187</t>
        </is>
      </c>
      <c r="B188" s="27" t="n">
        <v>46198</v>
      </c>
      <c r="C188" s="17" t="inlineStr">
        <is>
          <t>Chang</t>
        </is>
      </c>
      <c r="D188" s="17" t="inlineStr">
        <is>
          <t>Chang (6)</t>
        </is>
      </c>
      <c r="E188" s="17" t="inlineStr">
        <is>
          <t>Yuran</t>
        </is>
      </c>
      <c r="F188" s="28" t="inlineStr">
        <is>
          <t>2026-06</t>
        </is>
      </c>
      <c r="G188" s="29" t="n">
        <v>35</v>
      </c>
      <c r="H188" s="29" t="n"/>
      <c r="I188" s="29" t="n"/>
      <c r="J188" s="29" t="n"/>
      <c r="K188" s="30">
        <f>IF(B188="","",SUM(G$2:I188)-SUM(J$2:J188))</f>
        <v/>
      </c>
      <c r="L188" s="22">
        <f>IF(B188="","",IF(B188=B187,L187,N(L187)+1))</f>
        <v/>
      </c>
    </row>
    <row r="189">
      <c r="A189" s="22" t="inlineStr">
        <is>
          <t>M0188</t>
        </is>
      </c>
      <c r="B189" s="27" t="n">
        <v>46198</v>
      </c>
      <c r="C189" s="17" t="inlineStr">
        <is>
          <t>Asnawi</t>
        </is>
      </c>
      <c r="D189" s="17" t="inlineStr">
        <is>
          <t>Asnawi (6)</t>
        </is>
      </c>
      <c r="E189" s="17" t="inlineStr">
        <is>
          <t>Yuran</t>
        </is>
      </c>
      <c r="F189" s="28" t="inlineStr">
        <is>
          <t>2026-06</t>
        </is>
      </c>
      <c r="G189" s="29" t="n">
        <v>35</v>
      </c>
      <c r="H189" s="29" t="n"/>
      <c r="I189" s="29" t="n"/>
      <c r="J189" s="29" t="n"/>
      <c r="K189" s="30">
        <f>IF(B189="","",SUM(G$2:I189)-SUM(J$2:J189))</f>
        <v/>
      </c>
      <c r="L189" s="22">
        <f>IF(B189="","",IF(B189=B188,L188,N(L188)+1))</f>
        <v/>
      </c>
    </row>
    <row r="190">
      <c r="A190" s="22" t="inlineStr">
        <is>
          <t>M0189</t>
        </is>
      </c>
      <c r="B190" s="27" t="n">
        <v>46199</v>
      </c>
      <c r="C190" s="17" t="inlineStr">
        <is>
          <t>Boss Wan</t>
        </is>
      </c>
      <c r="D190" s="17" t="inlineStr">
        <is>
          <t>Boss Wan (6)</t>
        </is>
      </c>
      <c r="E190" s="17" t="inlineStr">
        <is>
          <t>Yuran</t>
        </is>
      </c>
      <c r="F190" s="28" t="inlineStr">
        <is>
          <t>2026-06</t>
        </is>
      </c>
      <c r="G190" s="29" t="n">
        <v>35</v>
      </c>
      <c r="H190" s="29" t="n"/>
      <c r="I190" s="29" t="n"/>
      <c r="J190" s="29" t="n"/>
      <c r="K190" s="30">
        <f>IF(B190="","",SUM(G$2:I190)-SUM(J$2:J190))</f>
        <v/>
      </c>
      <c r="L190" s="22">
        <f>IF(B190="","",IF(B190=B189,L189,N(L189)+1))</f>
        <v/>
      </c>
    </row>
    <row r="191">
      <c r="A191" s="22" t="inlineStr">
        <is>
          <t>M0190</t>
        </is>
      </c>
      <c r="B191" s="27" t="n">
        <v>46202</v>
      </c>
      <c r="C191" s="17" t="inlineStr"/>
      <c r="D191" s="17" t="inlineStr">
        <is>
          <t>Bayaran Filter Shopee</t>
        </is>
      </c>
      <c r="E191" s="17" t="inlineStr">
        <is>
          <t>Pelbagai</t>
        </is>
      </c>
      <c r="F191" s="28" t="inlineStr"/>
      <c r="G191" s="29" t="n"/>
      <c r="H191" s="29" t="n"/>
      <c r="I191" s="29" t="n"/>
      <c r="J191" s="29" t="n">
        <v>41.98</v>
      </c>
      <c r="K191" s="30">
        <f>IF(B191="","",SUM(G$2:I191)-SUM(J$2:J191))</f>
        <v/>
      </c>
      <c r="L191" s="22">
        <f>IF(B191="","",IF(B191=B190,L190,N(L190)+1))</f>
        <v/>
      </c>
    </row>
    <row r="192">
      <c r="A192" s="22" t="inlineStr">
        <is>
          <t>M0191</t>
        </is>
      </c>
      <c r="B192" s="27" t="n">
        <v>46202</v>
      </c>
      <c r="C192" s="17" t="inlineStr">
        <is>
          <t>Asnawi</t>
        </is>
      </c>
      <c r="D192" s="17" t="inlineStr">
        <is>
          <t>Pelbagai - Asnawi</t>
        </is>
      </c>
      <c r="E192" s="17" t="inlineStr">
        <is>
          <t>Pelbagai</t>
        </is>
      </c>
      <c r="F192" s="28" t="inlineStr"/>
      <c r="G192" s="29" t="n"/>
      <c r="H192" s="29" t="n"/>
      <c r="I192" s="29" t="n"/>
      <c r="J192" s="29" t="n">
        <v>18</v>
      </c>
      <c r="K192" s="30">
        <f>IF(B192="","",SUM(G$2:I192)-SUM(J$2:J192))</f>
        <v/>
      </c>
      <c r="L192" s="22">
        <f>IF(B192="","",IF(B192=B191,L191,N(L191)+1))</f>
        <v/>
      </c>
    </row>
    <row r="193">
      <c r="A193" s="22" t="inlineStr">
        <is>
          <t>M0192</t>
        </is>
      </c>
      <c r="B193" s="27" t="n">
        <v>46203</v>
      </c>
      <c r="C193" s="17" t="inlineStr">
        <is>
          <t>Joe</t>
        </is>
      </c>
      <c r="D193" s="17" t="inlineStr">
        <is>
          <t>Joe (5, 6)</t>
        </is>
      </c>
      <c r="E193" s="17" t="inlineStr">
        <is>
          <t>Yuran</t>
        </is>
      </c>
      <c r="F193" s="28" t="inlineStr">
        <is>
          <t>2026-05, 2026-06</t>
        </is>
      </c>
      <c r="G193" s="29" t="n">
        <v>70</v>
      </c>
      <c r="H193" s="29" t="n"/>
      <c r="I193" s="29" t="n"/>
      <c r="J193" s="29" t="n"/>
      <c r="K193" s="30">
        <f>IF(B193="","",SUM(G$2:I193)-SUM(J$2:J193))</f>
        <v/>
      </c>
      <c r="L193" s="22">
        <f>IF(B193="","",IF(B193=B192,L192,N(L192)+1))</f>
        <v/>
      </c>
    </row>
    <row r="194">
      <c r="A194" s="22" t="inlineStr">
        <is>
          <t>M0193</t>
        </is>
      </c>
      <c r="B194" s="27" t="n">
        <v>46209</v>
      </c>
      <c r="C194" s="17" t="inlineStr">
        <is>
          <t>Bang Mie</t>
        </is>
      </c>
      <c r="D194" s="17" t="inlineStr">
        <is>
          <t>Bang Mie (5)</t>
        </is>
      </c>
      <c r="E194" s="17" t="inlineStr">
        <is>
          <t>Yuran</t>
        </is>
      </c>
      <c r="F194" s="28" t="inlineStr">
        <is>
          <t>2026-05</t>
        </is>
      </c>
      <c r="G194" s="29" t="n">
        <v>35</v>
      </c>
      <c r="H194" s="29" t="n"/>
      <c r="I194" s="29" t="n"/>
      <c r="J194" s="29" t="n"/>
      <c r="K194" s="30">
        <f>IF(B194="","",SUM(G$2:I194)-SUM(J$2:J194))</f>
        <v/>
      </c>
      <c r="L194" s="22">
        <f>IF(B194="","",IF(B194=B193,L193,N(L193)+1))</f>
        <v/>
      </c>
    </row>
    <row r="195">
      <c r="A195" s="22" t="inlineStr">
        <is>
          <t>M0194</t>
        </is>
      </c>
      <c r="B195" s="27" t="n">
        <v>46225</v>
      </c>
      <c r="C195" s="17" t="inlineStr">
        <is>
          <t>Khairiri</t>
        </is>
      </c>
      <c r="D195" s="17" t="inlineStr">
        <is>
          <t>Khairiri (5, 6, 7)</t>
        </is>
      </c>
      <c r="E195" s="17" t="inlineStr">
        <is>
          <t>Yuran</t>
        </is>
      </c>
      <c r="F195" s="28" t="inlineStr">
        <is>
          <t>2026-05, 2026-06, 2026-07</t>
        </is>
      </c>
      <c r="G195" s="29" t="n">
        <v>105</v>
      </c>
      <c r="H195" s="29" t="n"/>
      <c r="I195" s="29" t="n"/>
      <c r="J195" s="29" t="n"/>
      <c r="K195" s="30">
        <f>IF(B195="","",SUM(G$2:I195)-SUM(J$2:J195))</f>
        <v/>
      </c>
      <c r="L195" s="22">
        <f>IF(B195="","",IF(B195=B194,L194,N(L194)+1))</f>
        <v/>
      </c>
    </row>
    <row r="196">
      <c r="A196" s="22" t="inlineStr">
        <is>
          <t>M0195</t>
        </is>
      </c>
      <c r="B196" s="27" t="n">
        <v>46225</v>
      </c>
      <c r="C196" s="17" t="inlineStr">
        <is>
          <t>Hadi</t>
        </is>
      </c>
      <c r="D196" s="17" t="inlineStr">
        <is>
          <t>Hadi (6)</t>
        </is>
      </c>
      <c r="E196" s="17" t="inlineStr">
        <is>
          <t>Yuran</t>
        </is>
      </c>
      <c r="F196" s="28" t="inlineStr">
        <is>
          <t>2026-06</t>
        </is>
      </c>
      <c r="G196" s="29" t="n">
        <v>140</v>
      </c>
      <c r="H196" s="29" t="n"/>
      <c r="I196" s="29" t="n"/>
      <c r="J196" s="29" t="n"/>
      <c r="K196" s="30">
        <f>IF(B196="","",SUM(G$2:I196)-SUM(J$2:J196))</f>
        <v/>
      </c>
      <c r="L196" s="22">
        <f>IF(B196="","",IF(B196=B195,L195,N(L195)+1))</f>
        <v/>
      </c>
    </row>
    <row r="197">
      <c r="A197" s="22" t="inlineStr">
        <is>
          <t>M0196</t>
        </is>
      </c>
      <c r="B197" s="27" t="n">
        <v>46226</v>
      </c>
      <c r="C197" s="17" t="inlineStr">
        <is>
          <t>Aiman</t>
        </is>
      </c>
      <c r="D197" s="17" t="inlineStr">
        <is>
          <t>Aiman (5, 6, 7)</t>
        </is>
      </c>
      <c r="E197" s="17" t="inlineStr">
        <is>
          <t>Yuran</t>
        </is>
      </c>
      <c r="F197" s="28" t="inlineStr">
        <is>
          <t>2026-05, 2025-06, 2025-07</t>
        </is>
      </c>
      <c r="G197" s="29" t="n">
        <v>105</v>
      </c>
      <c r="H197" s="29" t="n"/>
      <c r="I197" s="29" t="n"/>
      <c r="J197" s="29" t="n"/>
      <c r="K197" s="30">
        <f>IF(B197="","",SUM(G$2:I197)-SUM(J$2:J197))</f>
        <v/>
      </c>
      <c r="L197" s="22">
        <f>IF(B197="","",IF(B197=B196,L196,N(L196)+1))</f>
        <v/>
      </c>
    </row>
    <row r="198">
      <c r="A198" s="22" t="inlineStr">
        <is>
          <t>M0197</t>
        </is>
      </c>
      <c r="B198" s="27" t="n">
        <v>46226</v>
      </c>
      <c r="C198" s="17" t="inlineStr">
        <is>
          <t>Asnawi</t>
        </is>
      </c>
      <c r="D198" s="17" t="inlineStr">
        <is>
          <t>Asnawi (7)</t>
        </is>
      </c>
      <c r="E198" s="17" t="inlineStr">
        <is>
          <t>Yuran</t>
        </is>
      </c>
      <c r="F198" s="28" t="inlineStr">
        <is>
          <t>2026-07</t>
        </is>
      </c>
      <c r="G198" s="29" t="n">
        <v>35</v>
      </c>
      <c r="H198" s="29" t="n"/>
      <c r="I198" s="29" t="n"/>
      <c r="J198" s="29" t="n"/>
      <c r="K198" s="30">
        <f>IF(B198="","",SUM(G$2:I198)-SUM(J$2:J198))</f>
        <v/>
      </c>
      <c r="L198" s="22">
        <f>IF(B198="","",IF(B198=B197,L197,N(L197)+1))</f>
        <v/>
      </c>
    </row>
    <row r="199">
      <c r="A199" s="22" t="inlineStr">
        <is>
          <t>M0198</t>
        </is>
      </c>
      <c r="B199" s="27" t="n">
        <v>46232</v>
      </c>
      <c r="C199" s="17" t="inlineStr">
        <is>
          <t>Chang</t>
        </is>
      </c>
      <c r="D199" s="17" t="inlineStr">
        <is>
          <t>Chang (7)</t>
        </is>
      </c>
      <c r="E199" s="17" t="inlineStr">
        <is>
          <t>Yuran</t>
        </is>
      </c>
      <c r="F199" s="28" t="inlineStr">
        <is>
          <t>2026-07</t>
        </is>
      </c>
      <c r="G199" s="29" t="n">
        <v>35</v>
      </c>
      <c r="H199" s="29" t="n"/>
      <c r="I199" s="29" t="n"/>
      <c r="J199" s="29" t="n"/>
      <c r="K199" s="30">
        <f>IF(B199="","",SUM(G$2:I199)-SUM(J$2:J199))</f>
        <v/>
      </c>
      <c r="L199" s="22">
        <f>IF(B199="","",IF(B199=B198,L198,N(L198)+1))</f>
        <v/>
      </c>
    </row>
    <row r="200">
      <c r="A200" s="22" t="inlineStr">
        <is>
          <t>M0199</t>
        </is>
      </c>
      <c r="B200" s="27" t="n">
        <v>46232</v>
      </c>
      <c r="C200" s="17" t="inlineStr">
        <is>
          <t>Bang Mie</t>
        </is>
      </c>
      <c r="D200" s="17" t="inlineStr">
        <is>
          <t>Bang Mie (6, 7, 8, 9, 10, 11)</t>
        </is>
      </c>
      <c r="E200" s="17" t="inlineStr">
        <is>
          <t>Yuran</t>
        </is>
      </c>
      <c r="F200" s="28" t="inlineStr">
        <is>
          <t>2026-06, 2026-07, 2026-08, 2026-09, 2026-10, 2026-11</t>
        </is>
      </c>
      <c r="G200" s="29" t="n">
        <v>210</v>
      </c>
      <c r="H200" s="29" t="n"/>
      <c r="I200" s="29" t="n"/>
      <c r="J200" s="29" t="n"/>
      <c r="K200" s="30">
        <f>IF(B200="","",SUM(G$2:I200)-SUM(J$2:J200))</f>
        <v/>
      </c>
      <c r="L200" s="22">
        <f>IF(B200="","",IF(B200=B199,L199,N(L199)+1))</f>
        <v/>
      </c>
    </row>
    <row r="201">
      <c r="A201" s="22" t="inlineStr">
        <is>
          <t>M0200</t>
        </is>
      </c>
      <c r="B201" s="27" t="n">
        <v>46247</v>
      </c>
      <c r="C201" s="17" t="inlineStr"/>
      <c r="D201" s="17" t="inlineStr">
        <is>
          <t>Bayaran PSKPP</t>
        </is>
      </c>
      <c r="E201" s="17" t="inlineStr">
        <is>
          <t>Langganan / Bahan</t>
        </is>
      </c>
      <c r="F201" s="28" t="inlineStr"/>
      <c r="G201" s="29" t="n"/>
      <c r="H201" s="29" t="n"/>
      <c r="I201" s="29" t="n"/>
      <c r="J201" s="29" t="n">
        <v>120</v>
      </c>
      <c r="K201" s="30">
        <f>IF(B201="","",SUM(G$2:I201)-SUM(J$2:J201))</f>
        <v/>
      </c>
      <c r="L201" s="22">
        <f>IF(B201="","",IF(B201=B200,L200,N(L200)+1))</f>
        <v/>
      </c>
    </row>
    <row r="202">
      <c r="A202" s="22" t="inlineStr">
        <is>
          <t>M0201</t>
        </is>
      </c>
      <c r="B202" s="27" t="n">
        <v>46259</v>
      </c>
      <c r="C202" s="17" t="inlineStr">
        <is>
          <t>Joe</t>
        </is>
      </c>
      <c r="D202" s="17" t="inlineStr">
        <is>
          <t>Joe (7, 8)</t>
        </is>
      </c>
      <c r="E202" s="17" t="inlineStr">
        <is>
          <t>Yuran</t>
        </is>
      </c>
      <c r="F202" s="28" t="inlineStr">
        <is>
          <t>2026-07, 2026-08</t>
        </is>
      </c>
      <c r="G202" s="29" t="n">
        <v>70</v>
      </c>
      <c r="H202" s="29" t="n"/>
      <c r="I202" s="29" t="n"/>
      <c r="J202" s="29" t="n"/>
      <c r="K202" s="30">
        <f>IF(B202="","",SUM(G$2:I202)-SUM(J$2:J202))</f>
        <v/>
      </c>
      <c r="L202" s="22">
        <f>IF(B202="","",IF(B202=B201,L201,N(L201)+1))</f>
        <v/>
      </c>
    </row>
    <row r="203">
      <c r="A203" s="22" t="inlineStr">
        <is>
          <t>M0202</t>
        </is>
      </c>
      <c r="B203" s="27" t="n">
        <v>46259</v>
      </c>
      <c r="C203" s="17" t="inlineStr"/>
      <c r="D203" s="17" t="inlineStr">
        <is>
          <t>Baju Korporat (13 orang)</t>
        </is>
      </c>
      <c r="E203" s="17" t="inlineStr">
        <is>
          <t>Pakaian</t>
        </is>
      </c>
      <c r="F203" s="28" t="inlineStr"/>
      <c r="G203" s="29" t="n"/>
      <c r="H203" s="29" t="n"/>
      <c r="I203" s="29" t="n"/>
      <c r="J203" s="29" t="n">
        <v>670</v>
      </c>
      <c r="K203" s="30">
        <f>IF(B203="","",SUM(G$2:I203)-SUM(J$2:J203))</f>
        <v/>
      </c>
      <c r="L203" s="22">
        <f>IF(B203="","",IF(B203=B202,L202,N(L202)+1))</f>
        <v/>
      </c>
    </row>
    <row r="204">
      <c r="A204" s="22" t="inlineStr">
        <is>
          <t>M0203</t>
        </is>
      </c>
      <c r="B204" s="27" t="n">
        <v>46260</v>
      </c>
      <c r="C204" s="17" t="inlineStr">
        <is>
          <t>Aiman</t>
        </is>
      </c>
      <c r="D204" s="17" t="inlineStr">
        <is>
          <t>Aiman (8)</t>
        </is>
      </c>
      <c r="E204" s="17" t="inlineStr">
        <is>
          <t>Yuran</t>
        </is>
      </c>
      <c r="F204" s="28" t="inlineStr">
        <is>
          <t>2025-08</t>
        </is>
      </c>
      <c r="G204" s="29" t="n">
        <v>35</v>
      </c>
      <c r="H204" s="29" t="n"/>
      <c r="I204" s="29" t="n"/>
      <c r="J204" s="29" t="n"/>
      <c r="K204" s="30">
        <f>IF(B204="","",SUM(G$2:I204)-SUM(J$2:J204))</f>
        <v/>
      </c>
      <c r="L204" s="22">
        <f>IF(B204="","",IF(B204=B203,L203,N(L203)+1))</f>
        <v/>
      </c>
    </row>
    <row r="205">
      <c r="A205" s="22" t="inlineStr">
        <is>
          <t>M0204</t>
        </is>
      </c>
      <c r="B205" s="27" t="n">
        <v>46272</v>
      </c>
      <c r="C205" s="17" t="inlineStr">
        <is>
          <t>Ustaz</t>
        </is>
      </c>
      <c r="D205" s="17" t="inlineStr">
        <is>
          <t>Ustaz (4[5], 5, 6[20])</t>
        </is>
      </c>
      <c r="E205" s="17" t="inlineStr">
        <is>
          <t>Yuran</t>
        </is>
      </c>
      <c r="F205" s="28" t="inlineStr">
        <is>
          <t>2027-04:5, 2026-05, 2026-06:20</t>
        </is>
      </c>
      <c r="G205" s="29" t="n">
        <v>60</v>
      </c>
      <c r="H205" s="29" t="n"/>
      <c r="I205" s="29" t="n"/>
      <c r="J205" s="29" t="n"/>
      <c r="K205" s="30">
        <f>IF(B205="","",SUM(G$2:I205)-SUM(J$2:J205))</f>
        <v/>
      </c>
      <c r="L205" s="22">
        <f>IF(B205="","",IF(B205=B204,L204,N(L204)+1))</f>
        <v/>
      </c>
    </row>
    <row r="206">
      <c r="A206" s="22" t="inlineStr">
        <is>
          <t>M0205</t>
        </is>
      </c>
      <c r="B206" s="27" t="n">
        <v>46272</v>
      </c>
      <c r="C206" s="17" t="inlineStr">
        <is>
          <t>Asnawi</t>
        </is>
      </c>
      <c r="D206" s="17" t="inlineStr">
        <is>
          <t>Asnawi (8)</t>
        </is>
      </c>
      <c r="E206" s="17" t="inlineStr">
        <is>
          <t>Yuran</t>
        </is>
      </c>
      <c r="F206" s="28" t="inlineStr">
        <is>
          <t>2026-08</t>
        </is>
      </c>
      <c r="G206" s="29" t="n">
        <v>35</v>
      </c>
      <c r="H206" s="29" t="n"/>
      <c r="I206" s="29" t="n"/>
      <c r="J206" s="29" t="n"/>
      <c r="K206" s="30">
        <f>IF(B206="","",SUM(G$2:I206)-SUM(J$2:J206))</f>
        <v/>
      </c>
      <c r="L206" s="22">
        <f>IF(B206="","",IF(B206=B205,L205,N(L205)+1))</f>
        <v/>
      </c>
    </row>
    <row r="207">
      <c r="A207" s="22" t="inlineStr">
        <is>
          <t>M0206</t>
        </is>
      </c>
      <c r="B207" s="27" t="n">
        <v>46272</v>
      </c>
      <c r="C207" s="17" t="inlineStr">
        <is>
          <t>Asnawi</t>
        </is>
      </c>
      <c r="D207" s="17" t="inlineStr">
        <is>
          <t>Bayaran Duit Pantri - Asnawi</t>
        </is>
      </c>
      <c r="E207" s="17" t="inlineStr">
        <is>
          <t>Duit Pantri</t>
        </is>
      </c>
      <c r="F207" s="28" t="inlineStr"/>
      <c r="G207" s="29" t="n"/>
      <c r="H207" s="29" t="n"/>
      <c r="I207" s="29" t="n"/>
      <c r="J207" s="29" t="n">
        <v>60</v>
      </c>
      <c r="K207" s="30">
        <f>IF(B207="","",SUM(G$2:I207)-SUM(J$2:J207))</f>
        <v/>
      </c>
      <c r="L207" s="22">
        <f>IF(B207="","",IF(B207=B206,L206,N(L206)+1))</f>
        <v/>
      </c>
    </row>
    <row r="208">
      <c r="A208" s="22" t="inlineStr">
        <is>
          <t>M0207</t>
        </is>
      </c>
      <c r="B208" s="27" t="n">
        <v>46289</v>
      </c>
      <c r="C208" s="17" t="inlineStr">
        <is>
          <t>Boss Wan</t>
        </is>
      </c>
      <c r="D208" s="17" t="inlineStr">
        <is>
          <t>Boss Wan (7, 8)</t>
        </is>
      </c>
      <c r="E208" s="17" t="inlineStr">
        <is>
          <t>Yuran</t>
        </is>
      </c>
      <c r="F208" s="28" t="inlineStr">
        <is>
          <t>2026-07, 2025-08</t>
        </is>
      </c>
      <c r="G208" s="29" t="n">
        <v>70</v>
      </c>
      <c r="H208" s="29" t="n"/>
      <c r="I208" s="29" t="n"/>
      <c r="J208" s="29" t="n"/>
      <c r="K208" s="30">
        <f>IF(B208="","",SUM(G$2:I208)-SUM(J$2:J208))</f>
        <v/>
      </c>
      <c r="L208" s="22">
        <f>IF(B208="","",IF(B208=B207,L207,N(L207)+1))</f>
        <v/>
      </c>
    </row>
    <row r="209">
      <c r="A209" s="22" t="inlineStr">
        <is>
          <t>M0208</t>
        </is>
      </c>
      <c r="B209" s="27" t="n">
        <v>46289</v>
      </c>
      <c r="C209" s="17" t="inlineStr">
        <is>
          <t>Chang</t>
        </is>
      </c>
      <c r="D209" s="17" t="inlineStr">
        <is>
          <t>Chang (8)</t>
        </is>
      </c>
      <c r="E209" s="17" t="inlineStr">
        <is>
          <t>Yuran</t>
        </is>
      </c>
      <c r="F209" s="28" t="inlineStr">
        <is>
          <t>2026-08</t>
        </is>
      </c>
      <c r="G209" s="29" t="n">
        <v>35</v>
      </c>
      <c r="H209" s="29" t="n"/>
      <c r="I209" s="29" t="n"/>
      <c r="J209" s="29" t="n"/>
      <c r="K209" s="30">
        <f>IF(B209="","",SUM(G$2:I209)-SUM(J$2:J209))</f>
        <v/>
      </c>
      <c r="L209" s="22">
        <f>IF(B209="","",IF(B209=B208,L208,N(L208)+1))</f>
        <v/>
      </c>
    </row>
    <row r="210">
      <c r="A210" s="22" t="inlineStr">
        <is>
          <t>M0209</t>
        </is>
      </c>
      <c r="B210" s="27" t="n">
        <v>46290</v>
      </c>
      <c r="C210" s="17" t="inlineStr">
        <is>
          <t>Asnawi</t>
        </is>
      </c>
      <c r="D210" s="17" t="inlineStr">
        <is>
          <t>Asnawi (9)</t>
        </is>
      </c>
      <c r="E210" s="17" t="inlineStr">
        <is>
          <t>Yuran</t>
        </is>
      </c>
      <c r="F210" s="28" t="inlineStr">
        <is>
          <t>2026-09</t>
        </is>
      </c>
      <c r="G210" s="29" t="n">
        <v>35</v>
      </c>
      <c r="H210" s="29" t="n"/>
      <c r="I210" s="29" t="n"/>
      <c r="J210" s="29" t="n"/>
      <c r="K210" s="30">
        <f>IF(B210="","",SUM(G$2:I210)-SUM(J$2:J210))</f>
        <v/>
      </c>
      <c r="L210" s="22">
        <f>IF(B210="","",IF(B210=B209,L209,N(L209)+1))</f>
        <v/>
      </c>
    </row>
    <row r="211">
      <c r="A211" s="22" t="inlineStr">
        <is>
          <t>M0210</t>
        </is>
      </c>
      <c r="B211" s="27" t="n">
        <v>46296</v>
      </c>
      <c r="C211" s="17" t="inlineStr"/>
      <c r="D211" s="17" t="inlineStr">
        <is>
          <t>Baju Korporat Fairuz</t>
        </is>
      </c>
      <c r="E211" s="17" t="inlineStr">
        <is>
          <t>Pakaian</t>
        </is>
      </c>
      <c r="F211" s="28" t="inlineStr"/>
      <c r="G211" s="29" t="n"/>
      <c r="H211" s="29" t="n"/>
      <c r="I211" s="29" t="n"/>
      <c r="J211" s="29" t="n">
        <v>60</v>
      </c>
      <c r="K211" s="30">
        <f>IF(B211="","",SUM(G$2:I211)-SUM(J$2:J211))</f>
        <v/>
      </c>
      <c r="L211" s="22">
        <f>IF(B211="","",IF(B211=B210,L210,N(L210)+1))</f>
        <v/>
      </c>
    </row>
    <row r="212">
      <c r="A212" s="22" t="inlineStr">
        <is>
          <t>M0211</t>
        </is>
      </c>
      <c r="B212" s="27" t="n">
        <v>46303</v>
      </c>
      <c r="C212" s="17" t="inlineStr">
        <is>
          <t>Aiman</t>
        </is>
      </c>
      <c r="D212" s="17" t="inlineStr">
        <is>
          <t>Aiman (9, 10)</t>
        </is>
      </c>
      <c r="E212" s="17" t="inlineStr">
        <is>
          <t>Yuran</t>
        </is>
      </c>
      <c r="F212" s="28" t="inlineStr">
        <is>
          <t>2025-09, 2025-10</t>
        </is>
      </c>
      <c r="G212" s="29" t="n">
        <v>70</v>
      </c>
      <c r="H212" s="29" t="n"/>
      <c r="I212" s="29" t="n"/>
      <c r="J212" s="29" t="n"/>
      <c r="K212" s="30">
        <f>IF(B212="","",SUM(G$2:I212)-SUM(J$2:J212))</f>
        <v/>
      </c>
      <c r="L212" s="22">
        <f>IF(B212="","",IF(B212=B211,L211,N(L211)+1))</f>
        <v/>
      </c>
    </row>
    <row r="213">
      <c r="A213" s="22" t="inlineStr">
        <is>
          <t>M0212</t>
        </is>
      </c>
      <c r="B213" s="27" t="n">
        <v>46303</v>
      </c>
      <c r="C213" s="17" t="inlineStr">
        <is>
          <t>Joe</t>
        </is>
      </c>
      <c r="D213" s="17" t="inlineStr">
        <is>
          <t>Joe (9)</t>
        </is>
      </c>
      <c r="E213" s="17" t="inlineStr">
        <is>
          <t>Yuran</t>
        </is>
      </c>
      <c r="F213" s="28" t="inlineStr">
        <is>
          <t>2026-09</t>
        </is>
      </c>
      <c r="G213" s="29" t="n">
        <v>35</v>
      </c>
      <c r="H213" s="29" t="n"/>
      <c r="I213" s="29" t="n"/>
      <c r="J213" s="29" t="n"/>
      <c r="K213" s="30">
        <f>IF(B213="","",SUM(G$2:I213)-SUM(J$2:J213))</f>
        <v/>
      </c>
      <c r="L213" s="22">
        <f>IF(B213="","",IF(B213=B212,L212,N(L212)+1))</f>
        <v/>
      </c>
    </row>
    <row r="214">
      <c r="A214" s="22" t="n"/>
      <c r="B214" s="27" t="n"/>
      <c r="C214" s="17" t="n"/>
      <c r="D214" s="17" t="n"/>
      <c r="E214" s="17" t="n"/>
      <c r="F214" s="28" t="n"/>
      <c r="G214" s="29" t="n"/>
      <c r="H214" s="29" t="n"/>
      <c r="I214" s="29" t="n"/>
      <c r="J214" s="29" t="n"/>
      <c r="K214" s="30">
        <f>IF(B214="","",SUM(G$2:I214)-SUM(J$2:J214))</f>
        <v/>
      </c>
      <c r="L214" s="22">
        <f>IF(B214="","",IF(B214=B213,L213,N(L213)+1))</f>
        <v/>
      </c>
    </row>
    <row r="215">
      <c r="A215" s="22" t="n"/>
      <c r="B215" s="27" t="n"/>
      <c r="C215" s="17" t="n"/>
      <c r="D215" s="17" t="n"/>
      <c r="E215" s="17" t="n"/>
      <c r="F215" s="28" t="n"/>
      <c r="G215" s="29" t="n"/>
      <c r="H215" s="29" t="n"/>
      <c r="I215" s="29" t="n"/>
      <c r="J215" s="29" t="n"/>
      <c r="K215" s="30">
        <f>IF(B215="","",SUM(G$2:I215)-SUM(J$2:J215))</f>
        <v/>
      </c>
      <c r="L215" s="22">
        <f>IF(B215="","",IF(B215=B214,L214,N(L214)+1))</f>
        <v/>
      </c>
    </row>
    <row r="216">
      <c r="A216" s="22" t="n"/>
      <c r="B216" s="27" t="n"/>
      <c r="C216" s="17" t="n"/>
      <c r="D216" s="17" t="n"/>
      <c r="E216" s="17" t="n"/>
      <c r="F216" s="28" t="n"/>
      <c r="G216" s="29" t="n"/>
      <c r="H216" s="29" t="n"/>
      <c r="I216" s="29" t="n"/>
      <c r="J216" s="29" t="n"/>
      <c r="K216" s="30">
        <f>IF(B216="","",SUM(G$2:I216)-SUM(J$2:J216))</f>
        <v/>
      </c>
      <c r="L216" s="22">
        <f>IF(B216="","",IF(B216=B215,L215,N(L215)+1))</f>
        <v/>
      </c>
    </row>
    <row r="217">
      <c r="A217" s="22" t="n"/>
      <c r="B217" s="27" t="n"/>
      <c r="C217" s="17" t="n"/>
      <c r="D217" s="17" t="n"/>
      <c r="E217" s="17" t="n"/>
      <c r="F217" s="28" t="n"/>
      <c r="G217" s="29" t="n"/>
      <c r="H217" s="29" t="n"/>
      <c r="I217" s="29" t="n"/>
      <c r="J217" s="29" t="n"/>
      <c r="K217" s="30">
        <f>IF(B217="","",SUM(G$2:I217)-SUM(J$2:J217))</f>
        <v/>
      </c>
      <c r="L217" s="22">
        <f>IF(B217="","",IF(B217=B216,L216,N(L216)+1))</f>
        <v/>
      </c>
    </row>
    <row r="218">
      <c r="A218" s="22" t="n"/>
      <c r="B218" s="27" t="n"/>
      <c r="C218" s="17" t="n"/>
      <c r="D218" s="17" t="n"/>
      <c r="E218" s="17" t="n"/>
      <c r="F218" s="28" t="n"/>
      <c r="G218" s="29" t="n"/>
      <c r="H218" s="29" t="n"/>
      <c r="I218" s="29" t="n"/>
      <c r="J218" s="29" t="n"/>
      <c r="K218" s="30">
        <f>IF(B218="","",SUM(G$2:I218)-SUM(J$2:J218))</f>
        <v/>
      </c>
      <c r="L218" s="22">
        <f>IF(B218="","",IF(B218=B217,L217,N(L217)+1))</f>
        <v/>
      </c>
    </row>
    <row r="219">
      <c r="A219" s="22" t="n"/>
      <c r="B219" s="27" t="n"/>
      <c r="C219" s="17" t="n"/>
      <c r="D219" s="17" t="n"/>
      <c r="E219" s="17" t="n"/>
      <c r="F219" s="28" t="n"/>
      <c r="G219" s="29" t="n"/>
      <c r="H219" s="29" t="n"/>
      <c r="I219" s="29" t="n"/>
      <c r="J219" s="29" t="n"/>
      <c r="K219" s="30">
        <f>IF(B219="","",SUM(G$2:I219)-SUM(J$2:J219))</f>
        <v/>
      </c>
      <c r="L219" s="22">
        <f>IF(B219="","",IF(B219=B218,L218,N(L218)+1))</f>
        <v/>
      </c>
    </row>
    <row r="220">
      <c r="A220" s="22" t="n"/>
      <c r="B220" s="27" t="n"/>
      <c r="C220" s="17" t="n"/>
      <c r="D220" s="17" t="n"/>
      <c r="E220" s="17" t="n"/>
      <c r="F220" s="28" t="n"/>
      <c r="G220" s="29" t="n"/>
      <c r="H220" s="29" t="n"/>
      <c r="I220" s="29" t="n"/>
      <c r="J220" s="29" t="n"/>
      <c r="K220" s="30">
        <f>IF(B220="","",SUM(G$2:I220)-SUM(J$2:J220))</f>
        <v/>
      </c>
      <c r="L220" s="22">
        <f>IF(B220="","",IF(B220=B219,L219,N(L219)+1))</f>
        <v/>
      </c>
    </row>
    <row r="221">
      <c r="A221" s="22" t="n"/>
      <c r="B221" s="27" t="n"/>
      <c r="C221" s="17" t="n"/>
      <c r="D221" s="17" t="n"/>
      <c r="E221" s="17" t="n"/>
      <c r="F221" s="28" t="n"/>
      <c r="G221" s="29" t="n"/>
      <c r="H221" s="29" t="n"/>
      <c r="I221" s="29" t="n"/>
      <c r="J221" s="29" t="n"/>
      <c r="K221" s="30">
        <f>IF(B221="","",SUM(G$2:I221)-SUM(J$2:J221))</f>
        <v/>
      </c>
      <c r="L221" s="22">
        <f>IF(B221="","",IF(B221=B220,L220,N(L220)+1))</f>
        <v/>
      </c>
    </row>
    <row r="222">
      <c r="A222" s="22" t="n"/>
      <c r="B222" s="27" t="n"/>
      <c r="C222" s="17" t="n"/>
      <c r="D222" s="17" t="n"/>
      <c r="E222" s="17" t="n"/>
      <c r="F222" s="28" t="n"/>
      <c r="G222" s="29" t="n"/>
      <c r="H222" s="29" t="n"/>
      <c r="I222" s="29" t="n"/>
      <c r="J222" s="29" t="n"/>
      <c r="K222" s="30">
        <f>IF(B222="","",SUM(G$2:I222)-SUM(J$2:J222))</f>
        <v/>
      </c>
      <c r="L222" s="22">
        <f>IF(B222="","",IF(B222=B221,L221,N(L221)+1))</f>
        <v/>
      </c>
    </row>
    <row r="223">
      <c r="A223" s="22" t="n"/>
      <c r="B223" s="27" t="n"/>
      <c r="C223" s="17" t="n"/>
      <c r="D223" s="17" t="n"/>
      <c r="E223" s="17" t="n"/>
      <c r="F223" s="28" t="n"/>
      <c r="G223" s="29" t="n"/>
      <c r="H223" s="29" t="n"/>
      <c r="I223" s="29" t="n"/>
      <c r="J223" s="29" t="n"/>
      <c r="K223" s="30">
        <f>IF(B223="","",SUM(G$2:I223)-SUM(J$2:J223))</f>
        <v/>
      </c>
      <c r="L223" s="22">
        <f>IF(B223="","",IF(B223=B222,L222,N(L222)+1))</f>
        <v/>
      </c>
    </row>
    <row r="224">
      <c r="A224" s="22" t="n"/>
      <c r="B224" s="27" t="n"/>
      <c r="C224" s="17" t="n"/>
      <c r="D224" s="17" t="n"/>
      <c r="E224" s="17" t="n"/>
      <c r="F224" s="28" t="n"/>
      <c r="G224" s="29" t="n"/>
      <c r="H224" s="29" t="n"/>
      <c r="I224" s="29" t="n"/>
      <c r="J224" s="29" t="n"/>
      <c r="K224" s="30">
        <f>IF(B224="","",SUM(G$2:I224)-SUM(J$2:J224))</f>
        <v/>
      </c>
      <c r="L224" s="22">
        <f>IF(B224="","",IF(B224=B223,L223,N(L223)+1))</f>
        <v/>
      </c>
    </row>
    <row r="225">
      <c r="A225" s="22" t="n"/>
      <c r="B225" s="27" t="n"/>
      <c r="C225" s="17" t="n"/>
      <c r="D225" s="17" t="n"/>
      <c r="E225" s="17" t="n"/>
      <c r="F225" s="28" t="n"/>
      <c r="G225" s="29" t="n"/>
      <c r="H225" s="29" t="n"/>
      <c r="I225" s="29" t="n"/>
      <c r="J225" s="29" t="n"/>
      <c r="K225" s="30">
        <f>IF(B225="","",SUM(G$2:I225)-SUM(J$2:J225))</f>
        <v/>
      </c>
      <c r="L225" s="22">
        <f>IF(B225="","",IF(B225=B224,L224,N(L224)+1))</f>
        <v/>
      </c>
    </row>
    <row r="226">
      <c r="A226" s="22" t="n"/>
      <c r="B226" s="27" t="n"/>
      <c r="C226" s="17" t="n"/>
      <c r="D226" s="17" t="n"/>
      <c r="E226" s="17" t="n"/>
      <c r="F226" s="28" t="n"/>
      <c r="G226" s="29" t="n"/>
      <c r="H226" s="29" t="n"/>
      <c r="I226" s="29" t="n"/>
      <c r="J226" s="29" t="n"/>
      <c r="K226" s="30">
        <f>IF(B226="","",SUM(G$2:I226)-SUM(J$2:J226))</f>
        <v/>
      </c>
      <c r="L226" s="22">
        <f>IF(B226="","",IF(B226=B225,L225,N(L225)+1))</f>
        <v/>
      </c>
    </row>
    <row r="227">
      <c r="A227" s="22" t="n"/>
      <c r="B227" s="27" t="n"/>
      <c r="C227" s="17" t="n"/>
      <c r="D227" s="17" t="n"/>
      <c r="E227" s="17" t="n"/>
      <c r="F227" s="28" t="n"/>
      <c r="G227" s="29" t="n"/>
      <c r="H227" s="29" t="n"/>
      <c r="I227" s="29" t="n"/>
      <c r="J227" s="29" t="n"/>
      <c r="K227" s="30">
        <f>IF(B227="","",SUM(G$2:I227)-SUM(J$2:J227))</f>
        <v/>
      </c>
      <c r="L227" s="22">
        <f>IF(B227="","",IF(B227=B226,L226,N(L226)+1))</f>
        <v/>
      </c>
    </row>
    <row r="228">
      <c r="A228" s="22" t="n"/>
      <c r="B228" s="27" t="n"/>
      <c r="C228" s="17" t="n"/>
      <c r="D228" s="17" t="n"/>
      <c r="E228" s="17" t="n"/>
      <c r="F228" s="28" t="n"/>
      <c r="G228" s="29" t="n"/>
      <c r="H228" s="29" t="n"/>
      <c r="I228" s="29" t="n"/>
      <c r="J228" s="29" t="n"/>
      <c r="K228" s="30">
        <f>IF(B228="","",SUM(G$2:I228)-SUM(J$2:J228))</f>
        <v/>
      </c>
      <c r="L228" s="22">
        <f>IF(B228="","",IF(B228=B227,L227,N(L227)+1))</f>
        <v/>
      </c>
    </row>
    <row r="229">
      <c r="A229" s="22" t="n"/>
      <c r="B229" s="27" t="n"/>
      <c r="C229" s="17" t="n"/>
      <c r="D229" s="17" t="n"/>
      <c r="E229" s="17" t="n"/>
      <c r="F229" s="28" t="n"/>
      <c r="G229" s="29" t="n"/>
      <c r="H229" s="29" t="n"/>
      <c r="I229" s="29" t="n"/>
      <c r="J229" s="29" t="n"/>
      <c r="K229" s="30">
        <f>IF(B229="","",SUM(G$2:I229)-SUM(J$2:J229))</f>
        <v/>
      </c>
      <c r="L229" s="22">
        <f>IF(B229="","",IF(B229=B228,L228,N(L228)+1))</f>
        <v/>
      </c>
    </row>
    <row r="230">
      <c r="A230" s="22" t="n"/>
      <c r="B230" s="27" t="n"/>
      <c r="C230" s="17" t="n"/>
      <c r="D230" s="17" t="n"/>
      <c r="E230" s="17" t="n"/>
      <c r="F230" s="28" t="n"/>
      <c r="G230" s="29" t="n"/>
      <c r="H230" s="29" t="n"/>
      <c r="I230" s="29" t="n"/>
      <c r="J230" s="29" t="n"/>
      <c r="K230" s="30">
        <f>IF(B230="","",SUM(G$2:I230)-SUM(J$2:J230))</f>
        <v/>
      </c>
      <c r="L230" s="22">
        <f>IF(B230="","",IF(B230=B229,L229,N(L229)+1))</f>
        <v/>
      </c>
    </row>
    <row r="231">
      <c r="A231" s="22" t="n"/>
      <c r="B231" s="27" t="n"/>
      <c r="C231" s="17" t="n"/>
      <c r="D231" s="17" t="n"/>
      <c r="E231" s="17" t="n"/>
      <c r="F231" s="28" t="n"/>
      <c r="G231" s="29" t="n"/>
      <c r="H231" s="29" t="n"/>
      <c r="I231" s="29" t="n"/>
      <c r="J231" s="29" t="n"/>
      <c r="K231" s="30">
        <f>IF(B231="","",SUM(G$2:I231)-SUM(J$2:J231))</f>
        <v/>
      </c>
      <c r="L231" s="22">
        <f>IF(B231="","",IF(B231=B230,L230,N(L230)+1))</f>
        <v/>
      </c>
    </row>
    <row r="232">
      <c r="A232" s="22" t="n"/>
      <c r="B232" s="27" t="n"/>
      <c r="C232" s="17" t="n"/>
      <c r="D232" s="17" t="n"/>
      <c r="E232" s="17" t="n"/>
      <c r="F232" s="28" t="n"/>
      <c r="G232" s="29" t="n"/>
      <c r="H232" s="29" t="n"/>
      <c r="I232" s="29" t="n"/>
      <c r="J232" s="29" t="n"/>
      <c r="K232" s="30">
        <f>IF(B232="","",SUM(G$2:I232)-SUM(J$2:J232))</f>
        <v/>
      </c>
      <c r="L232" s="22">
        <f>IF(B232="","",IF(B232=B231,L231,N(L231)+1))</f>
        <v/>
      </c>
    </row>
    <row r="233">
      <c r="A233" s="22" t="n"/>
      <c r="B233" s="27" t="n"/>
      <c r="C233" s="17" t="n"/>
      <c r="D233" s="17" t="n"/>
      <c r="E233" s="17" t="n"/>
      <c r="F233" s="28" t="n"/>
      <c r="G233" s="29" t="n"/>
      <c r="H233" s="29" t="n"/>
      <c r="I233" s="29" t="n"/>
      <c r="J233" s="29" t="n"/>
      <c r="K233" s="30">
        <f>IF(B233="","",SUM(G$2:I233)-SUM(J$2:J233))</f>
        <v/>
      </c>
      <c r="L233" s="22">
        <f>IF(B233="","",IF(B233=B232,L232,N(L232)+1))</f>
        <v/>
      </c>
    </row>
    <row r="234">
      <c r="A234" s="22" t="n"/>
      <c r="B234" s="27" t="n"/>
      <c r="C234" s="17" t="n"/>
      <c r="D234" s="17" t="n"/>
      <c r="E234" s="17" t="n"/>
      <c r="F234" s="28" t="n"/>
      <c r="G234" s="29" t="n"/>
      <c r="H234" s="29" t="n"/>
      <c r="I234" s="29" t="n"/>
      <c r="J234" s="29" t="n"/>
      <c r="K234" s="30">
        <f>IF(B234="","",SUM(G$2:I234)-SUM(J$2:J234))</f>
        <v/>
      </c>
      <c r="L234" s="22">
        <f>IF(B234="","",IF(B234=B233,L233,N(L233)+1))</f>
        <v/>
      </c>
    </row>
    <row r="235">
      <c r="A235" s="22" t="n"/>
      <c r="B235" s="27" t="n"/>
      <c r="C235" s="17" t="n"/>
      <c r="D235" s="17" t="n"/>
      <c r="E235" s="17" t="n"/>
      <c r="F235" s="28" t="n"/>
      <c r="G235" s="29" t="n"/>
      <c r="H235" s="29" t="n"/>
      <c r="I235" s="29" t="n"/>
      <c r="J235" s="29" t="n"/>
      <c r="K235" s="30">
        <f>IF(B235="","",SUM(G$2:I235)-SUM(J$2:J235))</f>
        <v/>
      </c>
      <c r="L235" s="22">
        <f>IF(B235="","",IF(B235=B234,L234,N(L234)+1))</f>
        <v/>
      </c>
    </row>
    <row r="236">
      <c r="A236" s="22" t="n"/>
      <c r="B236" s="27" t="n"/>
      <c r="C236" s="17" t="n"/>
      <c r="D236" s="17" t="n"/>
      <c r="E236" s="17" t="n"/>
      <c r="F236" s="28" t="n"/>
      <c r="G236" s="29" t="n"/>
      <c r="H236" s="29" t="n"/>
      <c r="I236" s="29" t="n"/>
      <c r="J236" s="29" t="n"/>
      <c r="K236" s="30">
        <f>IF(B236="","",SUM(G$2:I236)-SUM(J$2:J236))</f>
        <v/>
      </c>
      <c r="L236" s="22">
        <f>IF(B236="","",IF(B236=B235,L235,N(L235)+1))</f>
        <v/>
      </c>
    </row>
    <row r="237">
      <c r="A237" s="22" t="n"/>
      <c r="B237" s="27" t="n"/>
      <c r="C237" s="17" t="n"/>
      <c r="D237" s="17" t="n"/>
      <c r="E237" s="17" t="n"/>
      <c r="F237" s="28" t="n"/>
      <c r="G237" s="29" t="n"/>
      <c r="H237" s="29" t="n"/>
      <c r="I237" s="29" t="n"/>
      <c r="J237" s="29" t="n"/>
      <c r="K237" s="30">
        <f>IF(B237="","",SUM(G$2:I237)-SUM(J$2:J237))</f>
        <v/>
      </c>
      <c r="L237" s="22">
        <f>IF(B237="","",IF(B237=B236,L236,N(L236)+1))</f>
        <v/>
      </c>
    </row>
    <row r="238">
      <c r="A238" s="22" t="n"/>
      <c r="B238" s="27" t="n"/>
      <c r="C238" s="17" t="n"/>
      <c r="D238" s="17" t="n"/>
      <c r="E238" s="17" t="n"/>
      <c r="F238" s="28" t="n"/>
      <c r="G238" s="29" t="n"/>
      <c r="H238" s="29" t="n"/>
      <c r="I238" s="29" t="n"/>
      <c r="J238" s="29" t="n"/>
      <c r="K238" s="30">
        <f>IF(B238="","",SUM(G$2:I238)-SUM(J$2:J238))</f>
        <v/>
      </c>
      <c r="L238" s="22">
        <f>IF(B238="","",IF(B238=B237,L237,N(L237)+1))</f>
        <v/>
      </c>
    </row>
    <row r="239">
      <c r="A239" s="22" t="n"/>
      <c r="B239" s="27" t="n"/>
      <c r="C239" s="17" t="n"/>
      <c r="D239" s="17" t="n"/>
      <c r="E239" s="17" t="n"/>
      <c r="F239" s="28" t="n"/>
      <c r="G239" s="29" t="n"/>
      <c r="H239" s="29" t="n"/>
      <c r="I239" s="29" t="n"/>
      <c r="J239" s="29" t="n"/>
      <c r="K239" s="30">
        <f>IF(B239="","",SUM(G$2:I239)-SUM(J$2:J239))</f>
        <v/>
      </c>
      <c r="L239" s="22">
        <f>IF(B239="","",IF(B239=B238,L238,N(L238)+1))</f>
        <v/>
      </c>
    </row>
    <row r="240">
      <c r="A240" s="22" t="n"/>
      <c r="B240" s="27" t="n"/>
      <c r="C240" s="17" t="n"/>
      <c r="D240" s="17" t="n"/>
      <c r="E240" s="17" t="n"/>
      <c r="F240" s="28" t="n"/>
      <c r="G240" s="29" t="n"/>
      <c r="H240" s="29" t="n"/>
      <c r="I240" s="29" t="n"/>
      <c r="J240" s="29" t="n"/>
      <c r="K240" s="30">
        <f>IF(B240="","",SUM(G$2:I240)-SUM(J$2:J240))</f>
        <v/>
      </c>
      <c r="L240" s="22">
        <f>IF(B240="","",IF(B240=B239,L239,N(L239)+1))</f>
        <v/>
      </c>
    </row>
    <row r="241">
      <c r="A241" s="22" t="n"/>
      <c r="B241" s="27" t="n"/>
      <c r="C241" s="17" t="n"/>
      <c r="D241" s="17" t="n"/>
      <c r="E241" s="17" t="n"/>
      <c r="F241" s="28" t="n"/>
      <c r="G241" s="29" t="n"/>
      <c r="H241" s="29" t="n"/>
      <c r="I241" s="29" t="n"/>
      <c r="J241" s="29" t="n"/>
      <c r="K241" s="30">
        <f>IF(B241="","",SUM(G$2:I241)-SUM(J$2:J241))</f>
        <v/>
      </c>
      <c r="L241" s="22">
        <f>IF(B241="","",IF(B241=B240,L240,N(L240)+1))</f>
        <v/>
      </c>
    </row>
    <row r="242">
      <c r="A242" s="22" t="n"/>
      <c r="B242" s="27" t="n"/>
      <c r="C242" s="17" t="n"/>
      <c r="D242" s="17" t="n"/>
      <c r="E242" s="17" t="n"/>
      <c r="F242" s="28" t="n"/>
      <c r="G242" s="29" t="n"/>
      <c r="H242" s="29" t="n"/>
      <c r="I242" s="29" t="n"/>
      <c r="J242" s="29" t="n"/>
      <c r="K242" s="30">
        <f>IF(B242="","",SUM(G$2:I242)-SUM(J$2:J242))</f>
        <v/>
      </c>
      <c r="L242" s="22">
        <f>IF(B242="","",IF(B242=B241,L241,N(L241)+1))</f>
        <v/>
      </c>
    </row>
    <row r="243">
      <c r="A243" s="22" t="n"/>
      <c r="B243" s="27" t="n"/>
      <c r="C243" s="17" t="n"/>
      <c r="D243" s="17" t="n"/>
      <c r="E243" s="17" t="n"/>
      <c r="F243" s="28" t="n"/>
      <c r="G243" s="29" t="n"/>
      <c r="H243" s="29" t="n"/>
      <c r="I243" s="29" t="n"/>
      <c r="J243" s="29" t="n"/>
      <c r="K243" s="30">
        <f>IF(B243="","",SUM(G$2:I243)-SUM(J$2:J243))</f>
        <v/>
      </c>
      <c r="L243" s="22">
        <f>IF(B243="","",IF(B243=B242,L242,N(L242)+1))</f>
        <v/>
      </c>
    </row>
    <row r="244">
      <c r="A244" s="22" t="n"/>
      <c r="B244" s="27" t="n"/>
      <c r="C244" s="17" t="n"/>
      <c r="D244" s="17" t="n"/>
      <c r="E244" s="17" t="n"/>
      <c r="F244" s="28" t="n"/>
      <c r="G244" s="29" t="n"/>
      <c r="H244" s="29" t="n"/>
      <c r="I244" s="29" t="n"/>
      <c r="J244" s="29" t="n"/>
      <c r="K244" s="30">
        <f>IF(B244="","",SUM(G$2:I244)-SUM(J$2:J244))</f>
        <v/>
      </c>
      <c r="L244" s="22">
        <f>IF(B244="","",IF(B244=B243,L243,N(L243)+1))</f>
        <v/>
      </c>
    </row>
    <row r="245">
      <c r="A245" s="22" t="n"/>
      <c r="B245" s="27" t="n"/>
      <c r="C245" s="17" t="n"/>
      <c r="D245" s="17" t="n"/>
      <c r="E245" s="17" t="n"/>
      <c r="F245" s="28" t="n"/>
      <c r="G245" s="29" t="n"/>
      <c r="H245" s="29" t="n"/>
      <c r="I245" s="29" t="n"/>
      <c r="J245" s="29" t="n"/>
      <c r="K245" s="30">
        <f>IF(B245="","",SUM(G$2:I245)-SUM(J$2:J245))</f>
        <v/>
      </c>
      <c r="L245" s="22">
        <f>IF(B245="","",IF(B245=B244,L244,N(L244)+1))</f>
        <v/>
      </c>
    </row>
    <row r="246">
      <c r="A246" s="22" t="n"/>
      <c r="B246" s="27" t="n"/>
      <c r="C246" s="17" t="n"/>
      <c r="D246" s="17" t="n"/>
      <c r="E246" s="17" t="n"/>
      <c r="F246" s="28" t="n"/>
      <c r="G246" s="29" t="n"/>
      <c r="H246" s="29" t="n"/>
      <c r="I246" s="29" t="n"/>
      <c r="J246" s="29" t="n"/>
      <c r="K246" s="30">
        <f>IF(B246="","",SUM(G$2:I246)-SUM(J$2:J246))</f>
        <v/>
      </c>
      <c r="L246" s="22">
        <f>IF(B246="","",IF(B246=B245,L245,N(L245)+1))</f>
        <v/>
      </c>
    </row>
    <row r="247">
      <c r="A247" s="22" t="n"/>
      <c r="B247" s="27" t="n"/>
      <c r="C247" s="17" t="n"/>
      <c r="D247" s="17" t="n"/>
      <c r="E247" s="17" t="n"/>
      <c r="F247" s="28" t="n"/>
      <c r="G247" s="29" t="n"/>
      <c r="H247" s="29" t="n"/>
      <c r="I247" s="29" t="n"/>
      <c r="J247" s="29" t="n"/>
      <c r="K247" s="30">
        <f>IF(B247="","",SUM(G$2:I247)-SUM(J$2:J247))</f>
        <v/>
      </c>
      <c r="L247" s="22">
        <f>IF(B247="","",IF(B247=B246,L246,N(L246)+1))</f>
        <v/>
      </c>
    </row>
    <row r="248">
      <c r="A248" s="22" t="n"/>
      <c r="B248" s="27" t="n"/>
      <c r="C248" s="17" t="n"/>
      <c r="D248" s="17" t="n"/>
      <c r="E248" s="17" t="n"/>
      <c r="F248" s="28" t="n"/>
      <c r="G248" s="29" t="n"/>
      <c r="H248" s="29" t="n"/>
      <c r="I248" s="29" t="n"/>
      <c r="J248" s="29" t="n"/>
      <c r="K248" s="30">
        <f>IF(B248="","",SUM(G$2:I248)-SUM(J$2:J248))</f>
        <v/>
      </c>
      <c r="L248" s="22">
        <f>IF(B248="","",IF(B248=B247,L247,N(L247)+1))</f>
        <v/>
      </c>
    </row>
    <row r="249">
      <c r="A249" s="22" t="n"/>
      <c r="B249" s="27" t="n"/>
      <c r="C249" s="17" t="n"/>
      <c r="D249" s="17" t="n"/>
      <c r="E249" s="17" t="n"/>
      <c r="F249" s="28" t="n"/>
      <c r="G249" s="29" t="n"/>
      <c r="H249" s="29" t="n"/>
      <c r="I249" s="29" t="n"/>
      <c r="J249" s="29" t="n"/>
      <c r="K249" s="30">
        <f>IF(B249="","",SUM(G$2:I249)-SUM(J$2:J249))</f>
        <v/>
      </c>
      <c r="L249" s="22">
        <f>IF(B249="","",IF(B249=B248,L248,N(L248)+1))</f>
        <v/>
      </c>
    </row>
    <row r="250">
      <c r="A250" s="22" t="n"/>
      <c r="B250" s="27" t="n"/>
      <c r="C250" s="17" t="n"/>
      <c r="D250" s="17" t="n"/>
      <c r="E250" s="17" t="n"/>
      <c r="F250" s="28" t="n"/>
      <c r="G250" s="29" t="n"/>
      <c r="H250" s="29" t="n"/>
      <c r="I250" s="29" t="n"/>
      <c r="J250" s="29" t="n"/>
      <c r="K250" s="30">
        <f>IF(B250="","",SUM(G$2:I250)-SUM(J$2:J250))</f>
        <v/>
      </c>
      <c r="L250" s="22">
        <f>IF(B250="","",IF(B250=B249,L249,N(L249)+1))</f>
        <v/>
      </c>
    </row>
    <row r="251">
      <c r="A251" s="22" t="n"/>
      <c r="B251" s="27" t="n"/>
      <c r="C251" s="17" t="n"/>
      <c r="D251" s="17" t="n"/>
      <c r="E251" s="17" t="n"/>
      <c r="F251" s="28" t="n"/>
      <c r="G251" s="29" t="n"/>
      <c r="H251" s="29" t="n"/>
      <c r="I251" s="29" t="n"/>
      <c r="J251" s="29" t="n"/>
      <c r="K251" s="30">
        <f>IF(B251="","",SUM(G$2:I251)-SUM(J$2:J251))</f>
        <v/>
      </c>
      <c r="L251" s="22">
        <f>IF(B251="","",IF(B251=B250,L250,N(L250)+1))</f>
        <v/>
      </c>
    </row>
    <row r="252">
      <c r="A252" s="22" t="n"/>
      <c r="B252" s="27" t="n"/>
      <c r="C252" s="17" t="n"/>
      <c r="D252" s="17" t="n"/>
      <c r="E252" s="17" t="n"/>
      <c r="F252" s="28" t="n"/>
      <c r="G252" s="29" t="n"/>
      <c r="H252" s="29" t="n"/>
      <c r="I252" s="29" t="n"/>
      <c r="J252" s="29" t="n"/>
      <c r="K252" s="30">
        <f>IF(B252="","",SUM(G$2:I252)-SUM(J$2:J252))</f>
        <v/>
      </c>
      <c r="L252" s="22">
        <f>IF(B252="","",IF(B252=B251,L251,N(L251)+1))</f>
        <v/>
      </c>
    </row>
    <row r="253">
      <c r="A253" s="22" t="n"/>
      <c r="B253" s="27" t="n"/>
      <c r="C253" s="17" t="n"/>
      <c r="D253" s="17" t="n"/>
      <c r="E253" s="17" t="n"/>
      <c r="F253" s="28" t="n"/>
      <c r="G253" s="29" t="n"/>
      <c r="H253" s="29" t="n"/>
      <c r="I253" s="29" t="n"/>
      <c r="J253" s="29" t="n"/>
      <c r="K253" s="30">
        <f>IF(B253="","",SUM(G$2:I253)-SUM(J$2:J253))</f>
        <v/>
      </c>
      <c r="L253" s="22">
        <f>IF(B253="","",IF(B253=B252,L252,N(L252)+1))</f>
        <v/>
      </c>
    </row>
    <row r="254">
      <c r="A254" s="22" t="n"/>
      <c r="B254" s="27" t="n"/>
      <c r="C254" s="17" t="n"/>
      <c r="D254" s="17" t="n"/>
      <c r="E254" s="17" t="n"/>
      <c r="F254" s="28" t="n"/>
      <c r="G254" s="29" t="n"/>
      <c r="H254" s="29" t="n"/>
      <c r="I254" s="29" t="n"/>
      <c r="J254" s="29" t="n"/>
      <c r="K254" s="30">
        <f>IF(B254="","",SUM(G$2:I254)-SUM(J$2:J254))</f>
        <v/>
      </c>
      <c r="L254" s="22">
        <f>IF(B254="","",IF(B254=B253,L253,N(L253)+1))</f>
        <v/>
      </c>
    </row>
    <row r="255">
      <c r="A255" s="22" t="n"/>
      <c r="B255" s="27" t="n"/>
      <c r="C255" s="17" t="n"/>
      <c r="D255" s="17" t="n"/>
      <c r="E255" s="17" t="n"/>
      <c r="F255" s="28" t="n"/>
      <c r="G255" s="29" t="n"/>
      <c r="H255" s="29" t="n"/>
      <c r="I255" s="29" t="n"/>
      <c r="J255" s="29" t="n"/>
      <c r="K255" s="30">
        <f>IF(B255="","",SUM(G$2:I255)-SUM(J$2:J255))</f>
        <v/>
      </c>
      <c r="L255" s="22">
        <f>IF(B255="","",IF(B255=B254,L254,N(L254)+1))</f>
        <v/>
      </c>
    </row>
    <row r="256">
      <c r="A256" s="22" t="n"/>
      <c r="B256" s="27" t="n"/>
      <c r="C256" s="17" t="n"/>
      <c r="D256" s="17" t="n"/>
      <c r="E256" s="17" t="n"/>
      <c r="F256" s="28" t="n"/>
      <c r="G256" s="29" t="n"/>
      <c r="H256" s="29" t="n"/>
      <c r="I256" s="29" t="n"/>
      <c r="J256" s="29" t="n"/>
      <c r="K256" s="30">
        <f>IF(B256="","",SUM(G$2:I256)-SUM(J$2:J256))</f>
        <v/>
      </c>
      <c r="L256" s="22">
        <f>IF(B256="","",IF(B256=B255,L255,N(L255)+1))</f>
        <v/>
      </c>
    </row>
    <row r="257">
      <c r="A257" s="22" t="n"/>
      <c r="B257" s="27" t="n"/>
      <c r="C257" s="17" t="n"/>
      <c r="D257" s="17" t="n"/>
      <c r="E257" s="17" t="n"/>
      <c r="F257" s="28" t="n"/>
      <c r="G257" s="29" t="n"/>
      <c r="H257" s="29" t="n"/>
      <c r="I257" s="29" t="n"/>
      <c r="J257" s="29" t="n"/>
      <c r="K257" s="30">
        <f>IF(B257="","",SUM(G$2:I257)-SUM(J$2:J257))</f>
        <v/>
      </c>
      <c r="L257" s="22">
        <f>IF(B257="","",IF(B257=B256,L256,N(L256)+1))</f>
        <v/>
      </c>
    </row>
    <row r="258">
      <c r="A258" s="22" t="n"/>
      <c r="B258" s="27" t="n"/>
      <c r="C258" s="17" t="n"/>
      <c r="D258" s="17" t="n"/>
      <c r="E258" s="17" t="n"/>
      <c r="F258" s="28" t="n"/>
      <c r="G258" s="29" t="n"/>
      <c r="H258" s="29" t="n"/>
      <c r="I258" s="29" t="n"/>
      <c r="J258" s="29" t="n"/>
      <c r="K258" s="30">
        <f>IF(B258="","",SUM(G$2:I258)-SUM(J$2:J258))</f>
        <v/>
      </c>
      <c r="L258" s="22">
        <f>IF(B258="","",IF(B258=B257,L257,N(L257)+1))</f>
        <v/>
      </c>
    </row>
    <row r="259">
      <c r="A259" s="22" t="n"/>
      <c r="B259" s="27" t="n"/>
      <c r="C259" s="17" t="n"/>
      <c r="D259" s="17" t="n"/>
      <c r="E259" s="17" t="n"/>
      <c r="F259" s="28" t="n"/>
      <c r="G259" s="29" t="n"/>
      <c r="H259" s="29" t="n"/>
      <c r="I259" s="29" t="n"/>
      <c r="J259" s="29" t="n"/>
      <c r="K259" s="30">
        <f>IF(B259="","",SUM(G$2:I259)-SUM(J$2:J259))</f>
        <v/>
      </c>
      <c r="L259" s="22">
        <f>IF(B259="","",IF(B259=B258,L258,N(L258)+1))</f>
        <v/>
      </c>
    </row>
    <row r="260">
      <c r="A260" s="22" t="n"/>
      <c r="B260" s="27" t="n"/>
      <c r="C260" s="17" t="n"/>
      <c r="D260" s="17" t="n"/>
      <c r="E260" s="17" t="n"/>
      <c r="F260" s="28" t="n"/>
      <c r="G260" s="29" t="n"/>
      <c r="H260" s="29" t="n"/>
      <c r="I260" s="29" t="n"/>
      <c r="J260" s="29" t="n"/>
      <c r="K260" s="30">
        <f>IF(B260="","",SUM(G$2:I260)-SUM(J$2:J260))</f>
        <v/>
      </c>
      <c r="L260" s="22">
        <f>IF(B260="","",IF(B260=B259,L259,N(L259)+1))</f>
        <v/>
      </c>
    </row>
    <row r="261">
      <c r="A261" s="22" t="n"/>
      <c r="B261" s="27" t="n"/>
      <c r="C261" s="17" t="n"/>
      <c r="D261" s="17" t="n"/>
      <c r="E261" s="17" t="n"/>
      <c r="F261" s="28" t="n"/>
      <c r="G261" s="29" t="n"/>
      <c r="H261" s="29" t="n"/>
      <c r="I261" s="29" t="n"/>
      <c r="J261" s="29" t="n"/>
      <c r="K261" s="30">
        <f>IF(B261="","",SUM(G$2:I261)-SUM(J$2:J261))</f>
        <v/>
      </c>
      <c r="L261" s="22">
        <f>IF(B261="","",IF(B261=B260,L260,N(L260)+1))</f>
        <v/>
      </c>
    </row>
    <row r="262">
      <c r="A262" s="22" t="n"/>
      <c r="B262" s="27" t="n"/>
      <c r="C262" s="17" t="n"/>
      <c r="D262" s="17" t="n"/>
      <c r="E262" s="17" t="n"/>
      <c r="F262" s="28" t="n"/>
      <c r="G262" s="29" t="n"/>
      <c r="H262" s="29" t="n"/>
      <c r="I262" s="29" t="n"/>
      <c r="J262" s="29" t="n"/>
      <c r="K262" s="30">
        <f>IF(B262="","",SUM(G$2:I262)-SUM(J$2:J262))</f>
        <v/>
      </c>
      <c r="L262" s="22">
        <f>IF(B262="","",IF(B262=B261,L261,N(L261)+1))</f>
        <v/>
      </c>
    </row>
    <row r="263">
      <c r="A263" s="22" t="n"/>
      <c r="B263" s="27" t="n"/>
      <c r="C263" s="17" t="n"/>
      <c r="D263" s="17" t="n"/>
      <c r="E263" s="17" t="n"/>
      <c r="F263" s="28" t="n"/>
      <c r="G263" s="29" t="n"/>
      <c r="H263" s="29" t="n"/>
      <c r="I263" s="29" t="n"/>
      <c r="J263" s="29" t="n"/>
      <c r="K263" s="30">
        <f>IF(B263="","",SUM(G$2:I263)-SUM(J$2:J263))</f>
        <v/>
      </c>
      <c r="L263" s="22">
        <f>IF(B263="","",IF(B263=B262,L262,N(L262)+1))</f>
        <v/>
      </c>
    </row>
    <row r="264">
      <c r="A264" s="22" t="n"/>
      <c r="B264" s="27" t="n"/>
      <c r="C264" s="17" t="n"/>
      <c r="D264" s="17" t="n"/>
      <c r="E264" s="17" t="n"/>
      <c r="F264" s="28" t="n"/>
      <c r="G264" s="29" t="n"/>
      <c r="H264" s="29" t="n"/>
      <c r="I264" s="29" t="n"/>
      <c r="J264" s="29" t="n"/>
      <c r="K264" s="30">
        <f>IF(B264="","",SUM(G$2:I264)-SUM(J$2:J264))</f>
        <v/>
      </c>
      <c r="L264" s="22">
        <f>IF(B264="","",IF(B264=B263,L263,N(L263)+1))</f>
        <v/>
      </c>
    </row>
    <row r="265">
      <c r="A265" s="22" t="n"/>
      <c r="B265" s="27" t="n"/>
      <c r="C265" s="17" t="n"/>
      <c r="D265" s="17" t="n"/>
      <c r="E265" s="17" t="n"/>
      <c r="F265" s="28" t="n"/>
      <c r="G265" s="29" t="n"/>
      <c r="H265" s="29" t="n"/>
      <c r="I265" s="29" t="n"/>
      <c r="J265" s="29" t="n"/>
      <c r="K265" s="30">
        <f>IF(B265="","",SUM(G$2:I265)-SUM(J$2:J265))</f>
        <v/>
      </c>
      <c r="L265" s="22">
        <f>IF(B265="","",IF(B265=B264,L264,N(L264)+1))</f>
        <v/>
      </c>
    </row>
    <row r="266">
      <c r="A266" s="22" t="n"/>
      <c r="B266" s="27" t="n"/>
      <c r="C266" s="17" t="n"/>
      <c r="D266" s="17" t="n"/>
      <c r="E266" s="17" t="n"/>
      <c r="F266" s="28" t="n"/>
      <c r="G266" s="29" t="n"/>
      <c r="H266" s="29" t="n"/>
      <c r="I266" s="29" t="n"/>
      <c r="J266" s="29" t="n"/>
      <c r="K266" s="30">
        <f>IF(B266="","",SUM(G$2:I266)-SUM(J$2:J266))</f>
        <v/>
      </c>
      <c r="L266" s="22">
        <f>IF(B266="","",IF(B266=B265,L265,N(L265)+1))</f>
        <v/>
      </c>
    </row>
    <row r="267">
      <c r="A267" s="22" t="n"/>
      <c r="B267" s="27" t="n"/>
      <c r="C267" s="17" t="n"/>
      <c r="D267" s="17" t="n"/>
      <c r="E267" s="17" t="n"/>
      <c r="F267" s="28" t="n"/>
      <c r="G267" s="29" t="n"/>
      <c r="H267" s="29" t="n"/>
      <c r="I267" s="29" t="n"/>
      <c r="J267" s="29" t="n"/>
      <c r="K267" s="30">
        <f>IF(B267="","",SUM(G$2:I267)-SUM(J$2:J267))</f>
        <v/>
      </c>
      <c r="L267" s="22">
        <f>IF(B267="","",IF(B267=B266,L266,N(L266)+1))</f>
        <v/>
      </c>
    </row>
    <row r="268">
      <c r="A268" s="22" t="n"/>
      <c r="B268" s="27" t="n"/>
      <c r="C268" s="17" t="n"/>
      <c r="D268" s="17" t="n"/>
      <c r="E268" s="17" t="n"/>
      <c r="F268" s="28" t="n"/>
      <c r="G268" s="29" t="n"/>
      <c r="H268" s="29" t="n"/>
      <c r="I268" s="29" t="n"/>
      <c r="J268" s="29" t="n"/>
      <c r="K268" s="30">
        <f>IF(B268="","",SUM(G$2:I268)-SUM(J$2:J268))</f>
        <v/>
      </c>
      <c r="L268" s="22">
        <f>IF(B268="","",IF(B268=B267,L267,N(L267)+1))</f>
        <v/>
      </c>
    </row>
    <row r="269">
      <c r="A269" s="22" t="n"/>
      <c r="B269" s="27" t="n"/>
      <c r="C269" s="17" t="n"/>
      <c r="D269" s="17" t="n"/>
      <c r="E269" s="17" t="n"/>
      <c r="F269" s="28" t="n"/>
      <c r="G269" s="29" t="n"/>
      <c r="H269" s="29" t="n"/>
      <c r="I269" s="29" t="n"/>
      <c r="J269" s="29" t="n"/>
      <c r="K269" s="30">
        <f>IF(B269="","",SUM(G$2:I269)-SUM(J$2:J269))</f>
        <v/>
      </c>
      <c r="L269" s="22">
        <f>IF(B269="","",IF(B269=B268,L268,N(L268)+1))</f>
        <v/>
      </c>
    </row>
    <row r="270">
      <c r="A270" s="22" t="n"/>
      <c r="B270" s="27" t="n"/>
      <c r="C270" s="17" t="n"/>
      <c r="D270" s="17" t="n"/>
      <c r="E270" s="17" t="n"/>
      <c r="F270" s="28" t="n"/>
      <c r="G270" s="29" t="n"/>
      <c r="H270" s="29" t="n"/>
      <c r="I270" s="29" t="n"/>
      <c r="J270" s="29" t="n"/>
      <c r="K270" s="30">
        <f>IF(B270="","",SUM(G$2:I270)-SUM(J$2:J270))</f>
        <v/>
      </c>
      <c r="L270" s="22">
        <f>IF(B270="","",IF(B270=B269,L269,N(L269)+1))</f>
        <v/>
      </c>
    </row>
    <row r="271">
      <c r="A271" s="22" t="n"/>
      <c r="B271" s="27" t="n"/>
      <c r="C271" s="17" t="n"/>
      <c r="D271" s="17" t="n"/>
      <c r="E271" s="17" t="n"/>
      <c r="F271" s="28" t="n"/>
      <c r="G271" s="29" t="n"/>
      <c r="H271" s="29" t="n"/>
      <c r="I271" s="29" t="n"/>
      <c r="J271" s="29" t="n"/>
      <c r="K271" s="30">
        <f>IF(B271="","",SUM(G$2:I271)-SUM(J$2:J271))</f>
        <v/>
      </c>
      <c r="L271" s="22">
        <f>IF(B271="","",IF(B271=B270,L270,N(L270)+1))</f>
        <v/>
      </c>
    </row>
    <row r="272">
      <c r="A272" s="22" t="n"/>
      <c r="B272" s="27" t="n"/>
      <c r="C272" s="17" t="n"/>
      <c r="D272" s="17" t="n"/>
      <c r="E272" s="17" t="n"/>
      <c r="F272" s="28" t="n"/>
      <c r="G272" s="29" t="n"/>
      <c r="H272" s="29" t="n"/>
      <c r="I272" s="29" t="n"/>
      <c r="J272" s="29" t="n"/>
      <c r="K272" s="30">
        <f>IF(B272="","",SUM(G$2:I272)-SUM(J$2:J272))</f>
        <v/>
      </c>
      <c r="L272" s="22">
        <f>IF(B272="","",IF(B272=B271,L271,N(L271)+1))</f>
        <v/>
      </c>
    </row>
    <row r="273">
      <c r="A273" s="22" t="n"/>
      <c r="B273" s="27" t="n"/>
      <c r="C273" s="17" t="n"/>
      <c r="D273" s="17" t="n"/>
      <c r="E273" s="17" t="n"/>
      <c r="F273" s="28" t="n"/>
      <c r="G273" s="29" t="n"/>
      <c r="H273" s="29" t="n"/>
      <c r="I273" s="29" t="n"/>
      <c r="J273" s="29" t="n"/>
      <c r="K273" s="30">
        <f>IF(B273="","",SUM(G$2:I273)-SUM(J$2:J273))</f>
        <v/>
      </c>
      <c r="L273" s="22">
        <f>IF(B273="","",IF(B273=B272,L272,N(L272)+1))</f>
        <v/>
      </c>
    </row>
    <row r="274">
      <c r="A274" s="22" t="n"/>
      <c r="B274" s="27" t="n"/>
      <c r="C274" s="17" t="n"/>
      <c r="D274" s="17" t="n"/>
      <c r="E274" s="17" t="n"/>
      <c r="F274" s="28" t="n"/>
      <c r="G274" s="29" t="n"/>
      <c r="H274" s="29" t="n"/>
      <c r="I274" s="29" t="n"/>
      <c r="J274" s="29" t="n"/>
      <c r="K274" s="30">
        <f>IF(B274="","",SUM(G$2:I274)-SUM(J$2:J274))</f>
        <v/>
      </c>
      <c r="L274" s="22">
        <f>IF(B274="","",IF(B274=B273,L273,N(L273)+1))</f>
        <v/>
      </c>
    </row>
    <row r="275">
      <c r="A275" s="22" t="n"/>
      <c r="B275" s="27" t="n"/>
      <c r="C275" s="17" t="n"/>
      <c r="D275" s="17" t="n"/>
      <c r="E275" s="17" t="n"/>
      <c r="F275" s="28" t="n"/>
      <c r="G275" s="29" t="n"/>
      <c r="H275" s="29" t="n"/>
      <c r="I275" s="29" t="n"/>
      <c r="J275" s="29" t="n"/>
      <c r="K275" s="30">
        <f>IF(B275="","",SUM(G$2:I275)-SUM(J$2:J275))</f>
        <v/>
      </c>
      <c r="L275" s="22">
        <f>IF(B275="","",IF(B275=B274,L274,N(L274)+1))</f>
        <v/>
      </c>
    </row>
    <row r="276">
      <c r="A276" s="22" t="n"/>
      <c r="B276" s="27" t="n"/>
      <c r="C276" s="17" t="n"/>
      <c r="D276" s="17" t="n"/>
      <c r="E276" s="17" t="n"/>
      <c r="F276" s="28" t="n"/>
      <c r="G276" s="29" t="n"/>
      <c r="H276" s="29" t="n"/>
      <c r="I276" s="29" t="n"/>
      <c r="J276" s="29" t="n"/>
      <c r="K276" s="30">
        <f>IF(B276="","",SUM(G$2:I276)-SUM(J$2:J276))</f>
        <v/>
      </c>
      <c r="L276" s="22">
        <f>IF(B276="","",IF(B276=B275,L275,N(L275)+1))</f>
        <v/>
      </c>
    </row>
    <row r="277">
      <c r="A277" s="22" t="n"/>
      <c r="B277" s="27" t="n"/>
      <c r="C277" s="17" t="n"/>
      <c r="D277" s="17" t="n"/>
      <c r="E277" s="17" t="n"/>
      <c r="F277" s="28" t="n"/>
      <c r="G277" s="29" t="n"/>
      <c r="H277" s="29" t="n"/>
      <c r="I277" s="29" t="n"/>
      <c r="J277" s="29" t="n"/>
      <c r="K277" s="30">
        <f>IF(B277="","",SUM(G$2:I277)-SUM(J$2:J277))</f>
        <v/>
      </c>
      <c r="L277" s="22">
        <f>IF(B277="","",IF(B277=B276,L276,N(L276)+1))</f>
        <v/>
      </c>
    </row>
    <row r="278">
      <c r="A278" s="22" t="n"/>
      <c r="B278" s="27" t="n"/>
      <c r="C278" s="17" t="n"/>
      <c r="D278" s="17" t="n"/>
      <c r="E278" s="17" t="n"/>
      <c r="F278" s="28" t="n"/>
      <c r="G278" s="29" t="n"/>
      <c r="H278" s="29" t="n"/>
      <c r="I278" s="29" t="n"/>
      <c r="J278" s="29" t="n"/>
      <c r="K278" s="30">
        <f>IF(B278="","",SUM(G$2:I278)-SUM(J$2:J278))</f>
        <v/>
      </c>
      <c r="L278" s="22">
        <f>IF(B278="","",IF(B278=B277,L277,N(L277)+1))</f>
        <v/>
      </c>
    </row>
    <row r="279">
      <c r="A279" s="22" t="n"/>
      <c r="B279" s="27" t="n"/>
      <c r="C279" s="17" t="n"/>
      <c r="D279" s="17" t="n"/>
      <c r="E279" s="17" t="n"/>
      <c r="F279" s="28" t="n"/>
      <c r="G279" s="29" t="n"/>
      <c r="H279" s="29" t="n"/>
      <c r="I279" s="29" t="n"/>
      <c r="J279" s="29" t="n"/>
      <c r="K279" s="30">
        <f>IF(B279="","",SUM(G$2:I279)-SUM(J$2:J279))</f>
        <v/>
      </c>
      <c r="L279" s="22">
        <f>IF(B279="","",IF(B279=B278,L278,N(L278)+1))</f>
        <v/>
      </c>
    </row>
    <row r="280">
      <c r="A280" s="22" t="n"/>
      <c r="B280" s="27" t="n"/>
      <c r="C280" s="17" t="n"/>
      <c r="D280" s="17" t="n"/>
      <c r="E280" s="17" t="n"/>
      <c r="F280" s="28" t="n"/>
      <c r="G280" s="29" t="n"/>
      <c r="H280" s="29" t="n"/>
      <c r="I280" s="29" t="n"/>
      <c r="J280" s="29" t="n"/>
      <c r="K280" s="30">
        <f>IF(B280="","",SUM(G$2:I280)-SUM(J$2:J280))</f>
        <v/>
      </c>
      <c r="L280" s="22">
        <f>IF(B280="","",IF(B280=B279,L279,N(L279)+1))</f>
        <v/>
      </c>
    </row>
    <row r="281">
      <c r="A281" s="22" t="n"/>
      <c r="B281" s="27" t="n"/>
      <c r="C281" s="17" t="n"/>
      <c r="D281" s="17" t="n"/>
      <c r="E281" s="17" t="n"/>
      <c r="F281" s="28" t="n"/>
      <c r="G281" s="29" t="n"/>
      <c r="H281" s="29" t="n"/>
      <c r="I281" s="29" t="n"/>
      <c r="J281" s="29" t="n"/>
      <c r="K281" s="30">
        <f>IF(B281="","",SUM(G$2:I281)-SUM(J$2:J281))</f>
        <v/>
      </c>
      <c r="L281" s="22">
        <f>IF(B281="","",IF(B281=B280,L280,N(L280)+1))</f>
        <v/>
      </c>
    </row>
    <row r="282">
      <c r="A282" s="22" t="n"/>
      <c r="B282" s="27" t="n"/>
      <c r="C282" s="17" t="n"/>
      <c r="D282" s="17" t="n"/>
      <c r="E282" s="17" t="n"/>
      <c r="F282" s="28" t="n"/>
      <c r="G282" s="29" t="n"/>
      <c r="H282" s="29" t="n"/>
      <c r="I282" s="29" t="n"/>
      <c r="J282" s="29" t="n"/>
      <c r="K282" s="30">
        <f>IF(B282="","",SUM(G$2:I282)-SUM(J$2:J282))</f>
        <v/>
      </c>
      <c r="L282" s="22">
        <f>IF(B282="","",IF(B282=B281,L281,N(L281)+1))</f>
        <v/>
      </c>
    </row>
    <row r="283">
      <c r="A283" s="22" t="n"/>
      <c r="B283" s="27" t="n"/>
      <c r="C283" s="17" t="n"/>
      <c r="D283" s="17" t="n"/>
      <c r="E283" s="17" t="n"/>
      <c r="F283" s="28" t="n"/>
      <c r="G283" s="29" t="n"/>
      <c r="H283" s="29" t="n"/>
      <c r="I283" s="29" t="n"/>
      <c r="J283" s="29" t="n"/>
      <c r="K283" s="30">
        <f>IF(B283="","",SUM(G$2:I283)-SUM(J$2:J283))</f>
        <v/>
      </c>
      <c r="L283" s="22">
        <f>IF(B283="","",IF(B283=B282,L282,N(L282)+1))</f>
        <v/>
      </c>
    </row>
    <row r="284">
      <c r="A284" s="22" t="n"/>
      <c r="B284" s="27" t="n"/>
      <c r="C284" s="17" t="n"/>
      <c r="D284" s="17" t="n"/>
      <c r="E284" s="17" t="n"/>
      <c r="F284" s="28" t="n"/>
      <c r="G284" s="29" t="n"/>
      <c r="H284" s="29" t="n"/>
      <c r="I284" s="29" t="n"/>
      <c r="J284" s="29" t="n"/>
      <c r="K284" s="30">
        <f>IF(B284="","",SUM(G$2:I284)-SUM(J$2:J284))</f>
        <v/>
      </c>
      <c r="L284" s="22">
        <f>IF(B284="","",IF(B284=B283,L283,N(L283)+1))</f>
        <v/>
      </c>
    </row>
    <row r="285">
      <c r="A285" s="22" t="n"/>
      <c r="B285" s="27" t="n"/>
      <c r="C285" s="17" t="n"/>
      <c r="D285" s="17" t="n"/>
      <c r="E285" s="17" t="n"/>
      <c r="F285" s="28" t="n"/>
      <c r="G285" s="29" t="n"/>
      <c r="H285" s="29" t="n"/>
      <c r="I285" s="29" t="n"/>
      <c r="J285" s="29" t="n"/>
      <c r="K285" s="30">
        <f>IF(B285="","",SUM(G$2:I285)-SUM(J$2:J285))</f>
        <v/>
      </c>
      <c r="L285" s="22">
        <f>IF(B285="","",IF(B285=B284,L284,N(L284)+1))</f>
        <v/>
      </c>
    </row>
    <row r="286">
      <c r="A286" s="22" t="n"/>
      <c r="B286" s="27" t="n"/>
      <c r="C286" s="17" t="n"/>
      <c r="D286" s="17" t="n"/>
      <c r="E286" s="17" t="n"/>
      <c r="F286" s="28" t="n"/>
      <c r="G286" s="29" t="n"/>
      <c r="H286" s="29" t="n"/>
      <c r="I286" s="29" t="n"/>
      <c r="J286" s="29" t="n"/>
      <c r="K286" s="30">
        <f>IF(B286="","",SUM(G$2:I286)-SUM(J$2:J286))</f>
        <v/>
      </c>
      <c r="L286" s="22">
        <f>IF(B286="","",IF(B286=B285,L285,N(L285)+1))</f>
        <v/>
      </c>
    </row>
    <row r="287">
      <c r="A287" s="22" t="n"/>
      <c r="B287" s="27" t="n"/>
      <c r="C287" s="17" t="n"/>
      <c r="D287" s="17" t="n"/>
      <c r="E287" s="17" t="n"/>
      <c r="F287" s="28" t="n"/>
      <c r="G287" s="29" t="n"/>
      <c r="H287" s="29" t="n"/>
      <c r="I287" s="29" t="n"/>
      <c r="J287" s="29" t="n"/>
      <c r="K287" s="30">
        <f>IF(B287="","",SUM(G$2:I287)-SUM(J$2:J287))</f>
        <v/>
      </c>
      <c r="L287" s="22">
        <f>IF(B287="","",IF(B287=B286,L286,N(L286)+1))</f>
        <v/>
      </c>
    </row>
    <row r="288">
      <c r="A288" s="22" t="n"/>
      <c r="B288" s="27" t="n"/>
      <c r="C288" s="17" t="n"/>
      <c r="D288" s="17" t="n"/>
      <c r="E288" s="17" t="n"/>
      <c r="F288" s="28" t="n"/>
      <c r="G288" s="29" t="n"/>
      <c r="H288" s="29" t="n"/>
      <c r="I288" s="29" t="n"/>
      <c r="J288" s="29" t="n"/>
      <c r="K288" s="30">
        <f>IF(B288="","",SUM(G$2:I288)-SUM(J$2:J288))</f>
        <v/>
      </c>
      <c r="L288" s="22">
        <f>IF(B288="","",IF(B288=B287,L287,N(L287)+1))</f>
        <v/>
      </c>
    </row>
    <row r="289">
      <c r="A289" s="22" t="n"/>
      <c r="B289" s="27" t="n"/>
      <c r="C289" s="17" t="n"/>
      <c r="D289" s="17" t="n"/>
      <c r="E289" s="17" t="n"/>
      <c r="F289" s="28" t="n"/>
      <c r="G289" s="29" t="n"/>
      <c r="H289" s="29" t="n"/>
      <c r="I289" s="29" t="n"/>
      <c r="J289" s="29" t="n"/>
      <c r="K289" s="30">
        <f>IF(B289="","",SUM(G$2:I289)-SUM(J$2:J289))</f>
        <v/>
      </c>
      <c r="L289" s="22">
        <f>IF(B289="","",IF(B289=B288,L288,N(L288)+1))</f>
        <v/>
      </c>
    </row>
    <row r="290">
      <c r="A290" s="22" t="n"/>
      <c r="B290" s="27" t="n"/>
      <c r="C290" s="17" t="n"/>
      <c r="D290" s="17" t="n"/>
      <c r="E290" s="17" t="n"/>
      <c r="F290" s="28" t="n"/>
      <c r="G290" s="29" t="n"/>
      <c r="H290" s="29" t="n"/>
      <c r="I290" s="29" t="n"/>
      <c r="J290" s="29" t="n"/>
      <c r="K290" s="30">
        <f>IF(B290="","",SUM(G$2:I290)-SUM(J$2:J290))</f>
        <v/>
      </c>
      <c r="L290" s="22">
        <f>IF(B290="","",IF(B290=B289,L289,N(L289)+1))</f>
        <v/>
      </c>
    </row>
    <row r="291">
      <c r="A291" s="22" t="n"/>
      <c r="B291" s="27" t="n"/>
      <c r="C291" s="17" t="n"/>
      <c r="D291" s="17" t="n"/>
      <c r="E291" s="17" t="n"/>
      <c r="F291" s="28" t="n"/>
      <c r="G291" s="29" t="n"/>
      <c r="H291" s="29" t="n"/>
      <c r="I291" s="29" t="n"/>
      <c r="J291" s="29" t="n"/>
      <c r="K291" s="30">
        <f>IF(B291="","",SUM(G$2:I291)-SUM(J$2:J291))</f>
        <v/>
      </c>
      <c r="L291" s="22">
        <f>IF(B291="","",IF(B291=B290,L290,N(L290)+1))</f>
        <v/>
      </c>
    </row>
    <row r="292">
      <c r="A292" s="22" t="n"/>
      <c r="B292" s="27" t="n"/>
      <c r="C292" s="17" t="n"/>
      <c r="D292" s="17" t="n"/>
      <c r="E292" s="17" t="n"/>
      <c r="F292" s="28" t="n"/>
      <c r="G292" s="29" t="n"/>
      <c r="H292" s="29" t="n"/>
      <c r="I292" s="29" t="n"/>
      <c r="J292" s="29" t="n"/>
      <c r="K292" s="30">
        <f>IF(B292="","",SUM(G$2:I292)-SUM(J$2:J292))</f>
        <v/>
      </c>
      <c r="L292" s="22">
        <f>IF(B292="","",IF(B292=B291,L291,N(L291)+1))</f>
        <v/>
      </c>
    </row>
    <row r="293">
      <c r="A293" s="22" t="n"/>
      <c r="B293" s="27" t="n"/>
      <c r="C293" s="17" t="n"/>
      <c r="D293" s="17" t="n"/>
      <c r="E293" s="17" t="n"/>
      <c r="F293" s="28" t="n"/>
      <c r="G293" s="29" t="n"/>
      <c r="H293" s="29" t="n"/>
      <c r="I293" s="29" t="n"/>
      <c r="J293" s="29" t="n"/>
      <c r="K293" s="30">
        <f>IF(B293="","",SUM(G$2:I293)-SUM(J$2:J293))</f>
        <v/>
      </c>
      <c r="L293" s="22">
        <f>IF(B293="","",IF(B293=B292,L292,N(L292)+1))</f>
        <v/>
      </c>
    </row>
    <row r="294">
      <c r="A294" s="22" t="n"/>
      <c r="B294" s="27" t="n"/>
      <c r="C294" s="17" t="n"/>
      <c r="D294" s="17" t="n"/>
      <c r="E294" s="17" t="n"/>
      <c r="F294" s="28" t="n"/>
      <c r="G294" s="29" t="n"/>
      <c r="H294" s="29" t="n"/>
      <c r="I294" s="29" t="n"/>
      <c r="J294" s="29" t="n"/>
      <c r="K294" s="30">
        <f>IF(B294="","",SUM(G$2:I294)-SUM(J$2:J294))</f>
        <v/>
      </c>
      <c r="L294" s="22">
        <f>IF(B294="","",IF(B294=B293,L293,N(L293)+1))</f>
        <v/>
      </c>
    </row>
    <row r="295">
      <c r="A295" s="22" t="n"/>
      <c r="B295" s="27" t="n"/>
      <c r="C295" s="17" t="n"/>
      <c r="D295" s="17" t="n"/>
      <c r="E295" s="17" t="n"/>
      <c r="F295" s="28" t="n"/>
      <c r="G295" s="29" t="n"/>
      <c r="H295" s="29" t="n"/>
      <c r="I295" s="29" t="n"/>
      <c r="J295" s="29" t="n"/>
      <c r="K295" s="30">
        <f>IF(B295="","",SUM(G$2:I295)-SUM(J$2:J295))</f>
        <v/>
      </c>
      <c r="L295" s="22">
        <f>IF(B295="","",IF(B295=B294,L294,N(L294)+1))</f>
        <v/>
      </c>
    </row>
    <row r="296">
      <c r="A296" s="22" t="n"/>
      <c r="B296" s="27" t="n"/>
      <c r="C296" s="17" t="n"/>
      <c r="D296" s="17" t="n"/>
      <c r="E296" s="17" t="n"/>
      <c r="F296" s="28" t="n"/>
      <c r="G296" s="29" t="n"/>
      <c r="H296" s="29" t="n"/>
      <c r="I296" s="29" t="n"/>
      <c r="J296" s="29" t="n"/>
      <c r="K296" s="30">
        <f>IF(B296="","",SUM(G$2:I296)-SUM(J$2:J296))</f>
        <v/>
      </c>
      <c r="L296" s="22">
        <f>IF(B296="","",IF(B296=B295,L295,N(L295)+1))</f>
        <v/>
      </c>
    </row>
    <row r="297">
      <c r="A297" s="22" t="n"/>
      <c r="B297" s="27" t="n"/>
      <c r="C297" s="17" t="n"/>
      <c r="D297" s="17" t="n"/>
      <c r="E297" s="17" t="n"/>
      <c r="F297" s="28" t="n"/>
      <c r="G297" s="29" t="n"/>
      <c r="H297" s="29" t="n"/>
      <c r="I297" s="29" t="n"/>
      <c r="J297" s="29" t="n"/>
      <c r="K297" s="30">
        <f>IF(B297="","",SUM(G$2:I297)-SUM(J$2:J297))</f>
        <v/>
      </c>
      <c r="L297" s="22">
        <f>IF(B297="","",IF(B297=B296,L296,N(L296)+1))</f>
        <v/>
      </c>
    </row>
    <row r="298">
      <c r="A298" s="22" t="n"/>
      <c r="B298" s="27" t="n"/>
      <c r="C298" s="17" t="n"/>
      <c r="D298" s="17" t="n"/>
      <c r="E298" s="17" t="n"/>
      <c r="F298" s="28" t="n"/>
      <c r="G298" s="29" t="n"/>
      <c r="H298" s="29" t="n"/>
      <c r="I298" s="29" t="n"/>
      <c r="J298" s="29" t="n"/>
      <c r="K298" s="30">
        <f>IF(B298="","",SUM(G$2:I298)-SUM(J$2:J298))</f>
        <v/>
      </c>
      <c r="L298" s="22">
        <f>IF(B298="","",IF(B298=B297,L297,N(L297)+1))</f>
        <v/>
      </c>
    </row>
    <row r="299">
      <c r="A299" s="22" t="n"/>
      <c r="B299" s="27" t="n"/>
      <c r="C299" s="17" t="n"/>
      <c r="D299" s="17" t="n"/>
      <c r="E299" s="17" t="n"/>
      <c r="F299" s="28" t="n"/>
      <c r="G299" s="29" t="n"/>
      <c r="H299" s="29" t="n"/>
      <c r="I299" s="29" t="n"/>
      <c r="J299" s="29" t="n"/>
      <c r="K299" s="30">
        <f>IF(B299="","",SUM(G$2:I299)-SUM(J$2:J299))</f>
        <v/>
      </c>
      <c r="L299" s="22">
        <f>IF(B299="","",IF(B299=B298,L298,N(L298)+1))</f>
        <v/>
      </c>
    </row>
    <row r="300">
      <c r="A300" s="22" t="n"/>
      <c r="B300" s="27" t="n"/>
      <c r="C300" s="17" t="n"/>
      <c r="D300" s="17" t="n"/>
      <c r="E300" s="17" t="n"/>
      <c r="F300" s="28" t="n"/>
      <c r="G300" s="29" t="n"/>
      <c r="H300" s="29" t="n"/>
      <c r="I300" s="29" t="n"/>
      <c r="J300" s="29" t="n"/>
      <c r="K300" s="30">
        <f>IF(B300="","",SUM(G$2:I300)-SUM(J$2:J300))</f>
        <v/>
      </c>
      <c r="L300" s="22">
        <f>IF(B300="","",IF(B300=B299,L299,N(L299)+1))</f>
        <v/>
      </c>
    </row>
    <row r="301">
      <c r="A301" s="22" t="n"/>
      <c r="B301" s="27" t="n"/>
      <c r="C301" s="17" t="n"/>
      <c r="D301" s="17" t="n"/>
      <c r="E301" s="17" t="n"/>
      <c r="F301" s="28" t="n"/>
      <c r="G301" s="29" t="n"/>
      <c r="H301" s="29" t="n"/>
      <c r="I301" s="29" t="n"/>
      <c r="J301" s="29" t="n"/>
      <c r="K301" s="30">
        <f>IF(B301="","",SUM(G$2:I301)-SUM(J$2:J301))</f>
        <v/>
      </c>
      <c r="L301" s="22">
        <f>IF(B301="","",IF(B301=B300,L300,N(L300)+1))</f>
        <v/>
      </c>
    </row>
    <row r="302">
      <c r="A302" s="22" t="n"/>
      <c r="B302" s="27" t="n"/>
      <c r="C302" s="17" t="n"/>
      <c r="D302" s="17" t="n"/>
      <c r="E302" s="17" t="n"/>
      <c r="F302" s="28" t="n"/>
      <c r="G302" s="29" t="n"/>
      <c r="H302" s="29" t="n"/>
      <c r="I302" s="29" t="n"/>
      <c r="J302" s="29" t="n"/>
      <c r="K302" s="30">
        <f>IF(B302="","",SUM(G$2:I302)-SUM(J$2:J302))</f>
        <v/>
      </c>
      <c r="L302" s="22">
        <f>IF(B302="","",IF(B302=B301,L301,N(L301)+1))</f>
        <v/>
      </c>
    </row>
    <row r="303">
      <c r="A303" s="22" t="n"/>
      <c r="B303" s="27" t="n"/>
      <c r="C303" s="17" t="n"/>
      <c r="D303" s="17" t="n"/>
      <c r="E303" s="17" t="n"/>
      <c r="F303" s="28" t="n"/>
      <c r="G303" s="29" t="n"/>
      <c r="H303" s="29" t="n"/>
      <c r="I303" s="29" t="n"/>
      <c r="J303" s="29" t="n"/>
      <c r="K303" s="30">
        <f>IF(B303="","",SUM(G$2:I303)-SUM(J$2:J303))</f>
        <v/>
      </c>
      <c r="L303" s="22">
        <f>IF(B303="","",IF(B303=B302,L302,N(L302)+1))</f>
        <v/>
      </c>
    </row>
    <row r="304">
      <c r="A304" s="22" t="n"/>
      <c r="B304" s="27" t="n"/>
      <c r="C304" s="17" t="n"/>
      <c r="D304" s="17" t="n"/>
      <c r="E304" s="17" t="n"/>
      <c r="F304" s="28" t="n"/>
      <c r="G304" s="29" t="n"/>
      <c r="H304" s="29" t="n"/>
      <c r="I304" s="29" t="n"/>
      <c r="J304" s="29" t="n"/>
      <c r="K304" s="30">
        <f>IF(B304="","",SUM(G$2:I304)-SUM(J$2:J304))</f>
        <v/>
      </c>
      <c r="L304" s="22">
        <f>IF(B304="","",IF(B304=B303,L303,N(L303)+1))</f>
        <v/>
      </c>
    </row>
    <row r="305">
      <c r="A305" s="22" t="n"/>
      <c r="B305" s="27" t="n"/>
      <c r="C305" s="17" t="n"/>
      <c r="D305" s="17" t="n"/>
      <c r="E305" s="17" t="n"/>
      <c r="F305" s="28" t="n"/>
      <c r="G305" s="29" t="n"/>
      <c r="H305" s="29" t="n"/>
      <c r="I305" s="29" t="n"/>
      <c r="J305" s="29" t="n"/>
      <c r="K305" s="30">
        <f>IF(B305="","",SUM(G$2:I305)-SUM(J$2:J305))</f>
        <v/>
      </c>
      <c r="L305" s="22">
        <f>IF(B305="","",IF(B305=B304,L304,N(L304)+1))</f>
        <v/>
      </c>
    </row>
    <row r="306">
      <c r="A306" s="22" t="n"/>
      <c r="B306" s="27" t="n"/>
      <c r="C306" s="17" t="n"/>
      <c r="D306" s="17" t="n"/>
      <c r="E306" s="17" t="n"/>
      <c r="F306" s="28" t="n"/>
      <c r="G306" s="29" t="n"/>
      <c r="H306" s="29" t="n"/>
      <c r="I306" s="29" t="n"/>
      <c r="J306" s="29" t="n"/>
      <c r="K306" s="30">
        <f>IF(B306="","",SUM(G$2:I306)-SUM(J$2:J306))</f>
        <v/>
      </c>
      <c r="L306" s="22">
        <f>IF(B306="","",IF(B306=B305,L305,N(L305)+1))</f>
        <v/>
      </c>
    </row>
    <row r="307">
      <c r="A307" s="22" t="n"/>
      <c r="B307" s="27" t="n"/>
      <c r="C307" s="17" t="n"/>
      <c r="D307" s="17" t="n"/>
      <c r="E307" s="17" t="n"/>
      <c r="F307" s="28" t="n"/>
      <c r="G307" s="29" t="n"/>
      <c r="H307" s="29" t="n"/>
      <c r="I307" s="29" t="n"/>
      <c r="J307" s="29" t="n"/>
      <c r="K307" s="30">
        <f>IF(B307="","",SUM(G$2:I307)-SUM(J$2:J307))</f>
        <v/>
      </c>
      <c r="L307" s="22">
        <f>IF(B307="","",IF(B307=B306,L306,N(L306)+1))</f>
        <v/>
      </c>
    </row>
    <row r="308">
      <c r="A308" s="22" t="n"/>
      <c r="B308" s="27" t="n"/>
      <c r="C308" s="17" t="n"/>
      <c r="D308" s="17" t="n"/>
      <c r="E308" s="17" t="n"/>
      <c r="F308" s="28" t="n"/>
      <c r="G308" s="29" t="n"/>
      <c r="H308" s="29" t="n"/>
      <c r="I308" s="29" t="n"/>
      <c r="J308" s="29" t="n"/>
      <c r="K308" s="30">
        <f>IF(B308="","",SUM(G$2:I308)-SUM(J$2:J308))</f>
        <v/>
      </c>
      <c r="L308" s="22">
        <f>IF(B308="","",IF(B308=B307,L307,N(L307)+1))</f>
        <v/>
      </c>
    </row>
    <row r="309">
      <c r="A309" s="22" t="n"/>
      <c r="B309" s="27" t="n"/>
      <c r="C309" s="17" t="n"/>
      <c r="D309" s="17" t="n"/>
      <c r="E309" s="17" t="n"/>
      <c r="F309" s="28" t="n"/>
      <c r="G309" s="29" t="n"/>
      <c r="H309" s="29" t="n"/>
      <c r="I309" s="29" t="n"/>
      <c r="J309" s="29" t="n"/>
      <c r="K309" s="30">
        <f>IF(B309="","",SUM(G$2:I309)-SUM(J$2:J309))</f>
        <v/>
      </c>
      <c r="L309" s="22">
        <f>IF(B309="","",IF(B309=B308,L308,N(L308)+1))</f>
        <v/>
      </c>
    </row>
    <row r="310">
      <c r="A310" s="22" t="n"/>
      <c r="B310" s="27" t="n"/>
      <c r="C310" s="17" t="n"/>
      <c r="D310" s="17" t="n"/>
      <c r="E310" s="17" t="n"/>
      <c r="F310" s="28" t="n"/>
      <c r="G310" s="29" t="n"/>
      <c r="H310" s="29" t="n"/>
      <c r="I310" s="29" t="n"/>
      <c r="J310" s="29" t="n"/>
      <c r="K310" s="30">
        <f>IF(B310="","",SUM(G$2:I310)-SUM(J$2:J310))</f>
        <v/>
      </c>
      <c r="L310" s="22">
        <f>IF(B310="","",IF(B310=B309,L309,N(L309)+1))</f>
        <v/>
      </c>
    </row>
    <row r="311">
      <c r="A311" s="22" t="n"/>
      <c r="B311" s="27" t="n"/>
      <c r="C311" s="17" t="n"/>
      <c r="D311" s="17" t="n"/>
      <c r="E311" s="17" t="n"/>
      <c r="F311" s="28" t="n"/>
      <c r="G311" s="29" t="n"/>
      <c r="H311" s="29" t="n"/>
      <c r="I311" s="29" t="n"/>
      <c r="J311" s="29" t="n"/>
      <c r="K311" s="30">
        <f>IF(B311="","",SUM(G$2:I311)-SUM(J$2:J311))</f>
        <v/>
      </c>
      <c r="L311" s="22">
        <f>IF(B311="","",IF(B311=B310,L310,N(L310)+1))</f>
        <v/>
      </c>
    </row>
    <row r="312">
      <c r="A312" s="22" t="n"/>
      <c r="B312" s="27" t="n"/>
      <c r="C312" s="17" t="n"/>
      <c r="D312" s="17" t="n"/>
      <c r="E312" s="17" t="n"/>
      <c r="F312" s="28" t="n"/>
      <c r="G312" s="29" t="n"/>
      <c r="H312" s="29" t="n"/>
      <c r="I312" s="29" t="n"/>
      <c r="J312" s="29" t="n"/>
      <c r="K312" s="30">
        <f>IF(B312="","",SUM(G$2:I312)-SUM(J$2:J312))</f>
        <v/>
      </c>
      <c r="L312" s="22">
        <f>IF(B312="","",IF(B312=B311,L311,N(L311)+1))</f>
        <v/>
      </c>
    </row>
    <row r="313">
      <c r="A313" s="22" t="n"/>
      <c r="B313" s="27" t="n"/>
      <c r="C313" s="17" t="n"/>
      <c r="D313" s="17" t="n"/>
      <c r="E313" s="17" t="n"/>
      <c r="F313" s="28" t="n"/>
      <c r="G313" s="29" t="n"/>
      <c r="H313" s="29" t="n"/>
      <c r="I313" s="29" t="n"/>
      <c r="J313" s="29" t="n"/>
      <c r="K313" s="30">
        <f>IF(B313="","",SUM(G$2:I313)-SUM(J$2:J313))</f>
        <v/>
      </c>
      <c r="L313" s="22">
        <f>IF(B313="","",IF(B313=B312,L312,N(L312)+1))</f>
        <v/>
      </c>
    </row>
    <row r="314">
      <c r="A314" s="22" t="n"/>
      <c r="B314" s="27" t="n"/>
      <c r="C314" s="17" t="n"/>
      <c r="D314" s="17" t="n"/>
      <c r="E314" s="17" t="n"/>
      <c r="F314" s="28" t="n"/>
      <c r="G314" s="29" t="n"/>
      <c r="H314" s="29" t="n"/>
      <c r="I314" s="29" t="n"/>
      <c r="J314" s="29" t="n"/>
      <c r="K314" s="30">
        <f>IF(B314="","",SUM(G$2:I314)-SUM(J$2:J314))</f>
        <v/>
      </c>
      <c r="L314" s="22">
        <f>IF(B314="","",IF(B314=B313,L313,N(L313)+1))</f>
        <v/>
      </c>
    </row>
    <row r="315">
      <c r="A315" s="22" t="n"/>
      <c r="B315" s="27" t="n"/>
      <c r="C315" s="17" t="n"/>
      <c r="D315" s="17" t="n"/>
      <c r="E315" s="17" t="n"/>
      <c r="F315" s="28" t="n"/>
      <c r="G315" s="29" t="n"/>
      <c r="H315" s="29" t="n"/>
      <c r="I315" s="29" t="n"/>
      <c r="J315" s="29" t="n"/>
      <c r="K315" s="30">
        <f>IF(B315="","",SUM(G$2:I315)-SUM(J$2:J315))</f>
        <v/>
      </c>
      <c r="L315" s="22">
        <f>IF(B315="","",IF(B315=B314,L314,N(L314)+1))</f>
        <v/>
      </c>
    </row>
    <row r="316">
      <c r="A316" s="22" t="n"/>
      <c r="B316" s="27" t="n"/>
      <c r="C316" s="17" t="n"/>
      <c r="D316" s="17" t="n"/>
      <c r="E316" s="17" t="n"/>
      <c r="F316" s="28" t="n"/>
      <c r="G316" s="29" t="n"/>
      <c r="H316" s="29" t="n"/>
      <c r="I316" s="29" t="n"/>
      <c r="J316" s="29" t="n"/>
      <c r="K316" s="30">
        <f>IF(B316="","",SUM(G$2:I316)-SUM(J$2:J316))</f>
        <v/>
      </c>
      <c r="L316" s="22">
        <f>IF(B316="","",IF(B316=B315,L315,N(L315)+1))</f>
        <v/>
      </c>
    </row>
    <row r="317">
      <c r="A317" s="22" t="n"/>
      <c r="B317" s="27" t="n"/>
      <c r="C317" s="17" t="n"/>
      <c r="D317" s="17" t="n"/>
      <c r="E317" s="17" t="n"/>
      <c r="F317" s="28" t="n"/>
      <c r="G317" s="29" t="n"/>
      <c r="H317" s="29" t="n"/>
      <c r="I317" s="29" t="n"/>
      <c r="J317" s="29" t="n"/>
      <c r="K317" s="30">
        <f>IF(B317="","",SUM(G$2:I317)-SUM(J$2:J317))</f>
        <v/>
      </c>
      <c r="L317" s="22">
        <f>IF(B317="","",IF(B317=B316,L316,N(L316)+1))</f>
        <v/>
      </c>
    </row>
    <row r="318">
      <c r="A318" s="22" t="n"/>
      <c r="B318" s="27" t="n"/>
      <c r="C318" s="17" t="n"/>
      <c r="D318" s="17" t="n"/>
      <c r="E318" s="17" t="n"/>
      <c r="F318" s="28" t="n"/>
      <c r="G318" s="29" t="n"/>
      <c r="H318" s="29" t="n"/>
      <c r="I318" s="29" t="n"/>
      <c r="J318" s="29" t="n"/>
      <c r="K318" s="30">
        <f>IF(B318="","",SUM(G$2:I318)-SUM(J$2:J318))</f>
        <v/>
      </c>
      <c r="L318" s="22">
        <f>IF(B318="","",IF(B318=B317,L317,N(L317)+1))</f>
        <v/>
      </c>
    </row>
    <row r="319">
      <c r="A319" s="22" t="n"/>
      <c r="B319" s="27" t="n"/>
      <c r="C319" s="17" t="n"/>
      <c r="D319" s="17" t="n"/>
      <c r="E319" s="17" t="n"/>
      <c r="F319" s="28" t="n"/>
      <c r="G319" s="29" t="n"/>
      <c r="H319" s="29" t="n"/>
      <c r="I319" s="29" t="n"/>
      <c r="J319" s="29" t="n"/>
      <c r="K319" s="30">
        <f>IF(B319="","",SUM(G$2:I319)-SUM(J$2:J319))</f>
        <v/>
      </c>
      <c r="L319" s="22">
        <f>IF(B319="","",IF(B319=B318,L318,N(L318)+1))</f>
        <v/>
      </c>
    </row>
    <row r="320">
      <c r="A320" s="22" t="n"/>
      <c r="B320" s="27" t="n"/>
      <c r="C320" s="17" t="n"/>
      <c r="D320" s="17" t="n"/>
      <c r="E320" s="17" t="n"/>
      <c r="F320" s="28" t="n"/>
      <c r="G320" s="29" t="n"/>
      <c r="H320" s="29" t="n"/>
      <c r="I320" s="29" t="n"/>
      <c r="J320" s="29" t="n"/>
      <c r="K320" s="30">
        <f>IF(B320="","",SUM(G$2:I320)-SUM(J$2:J320))</f>
        <v/>
      </c>
      <c r="L320" s="22">
        <f>IF(B320="","",IF(B320=B319,L319,N(L319)+1))</f>
        <v/>
      </c>
    </row>
    <row r="321">
      <c r="A321" s="22" t="n"/>
      <c r="B321" s="27" t="n"/>
      <c r="C321" s="17" t="n"/>
      <c r="D321" s="17" t="n"/>
      <c r="E321" s="17" t="n"/>
      <c r="F321" s="28" t="n"/>
      <c r="G321" s="29" t="n"/>
      <c r="H321" s="29" t="n"/>
      <c r="I321" s="29" t="n"/>
      <c r="J321" s="29" t="n"/>
      <c r="K321" s="30">
        <f>IF(B321="","",SUM(G$2:I321)-SUM(J$2:J321))</f>
        <v/>
      </c>
      <c r="L321" s="22">
        <f>IF(B321="","",IF(B321=B320,L320,N(L320)+1))</f>
        <v/>
      </c>
    </row>
    <row r="322">
      <c r="A322" s="22" t="n"/>
      <c r="B322" s="27" t="n"/>
      <c r="C322" s="17" t="n"/>
      <c r="D322" s="17" t="n"/>
      <c r="E322" s="17" t="n"/>
      <c r="F322" s="28" t="n"/>
      <c r="G322" s="29" t="n"/>
      <c r="H322" s="29" t="n"/>
      <c r="I322" s="29" t="n"/>
      <c r="J322" s="29" t="n"/>
      <c r="K322" s="30">
        <f>IF(B322="","",SUM(G$2:I322)-SUM(J$2:J322))</f>
        <v/>
      </c>
      <c r="L322" s="22">
        <f>IF(B322="","",IF(B322=B321,L321,N(L321)+1))</f>
        <v/>
      </c>
    </row>
    <row r="323">
      <c r="A323" s="22" t="n"/>
      <c r="B323" s="27" t="n"/>
      <c r="C323" s="17" t="n"/>
      <c r="D323" s="17" t="n"/>
      <c r="E323" s="17" t="n"/>
      <c r="F323" s="28" t="n"/>
      <c r="G323" s="29" t="n"/>
      <c r="H323" s="29" t="n"/>
      <c r="I323" s="29" t="n"/>
      <c r="J323" s="29" t="n"/>
      <c r="K323" s="30">
        <f>IF(B323="","",SUM(G$2:I323)-SUM(J$2:J323))</f>
        <v/>
      </c>
      <c r="L323" s="22">
        <f>IF(B323="","",IF(B323=B322,L322,N(L322)+1))</f>
        <v/>
      </c>
    </row>
    <row r="324">
      <c r="A324" s="22" t="n"/>
      <c r="B324" s="27" t="n"/>
      <c r="C324" s="17" t="n"/>
      <c r="D324" s="17" t="n"/>
      <c r="E324" s="17" t="n"/>
      <c r="F324" s="28" t="n"/>
      <c r="G324" s="29" t="n"/>
      <c r="H324" s="29" t="n"/>
      <c r="I324" s="29" t="n"/>
      <c r="J324" s="29" t="n"/>
      <c r="K324" s="30">
        <f>IF(B324="","",SUM(G$2:I324)-SUM(J$2:J324))</f>
        <v/>
      </c>
      <c r="L324" s="22">
        <f>IF(B324="","",IF(B324=B323,L323,N(L323)+1))</f>
        <v/>
      </c>
    </row>
    <row r="325">
      <c r="A325" s="22" t="n"/>
      <c r="B325" s="27" t="n"/>
      <c r="C325" s="17" t="n"/>
      <c r="D325" s="17" t="n"/>
      <c r="E325" s="17" t="n"/>
      <c r="F325" s="28" t="n"/>
      <c r="G325" s="29" t="n"/>
      <c r="H325" s="29" t="n"/>
      <c r="I325" s="29" t="n"/>
      <c r="J325" s="29" t="n"/>
      <c r="K325" s="30">
        <f>IF(B325="","",SUM(G$2:I325)-SUM(J$2:J325))</f>
        <v/>
      </c>
      <c r="L325" s="22">
        <f>IF(B325="","",IF(B325=B324,L324,N(L324)+1))</f>
        <v/>
      </c>
    </row>
    <row r="326">
      <c r="A326" s="22" t="n"/>
      <c r="B326" s="27" t="n"/>
      <c r="C326" s="17" t="n"/>
      <c r="D326" s="17" t="n"/>
      <c r="E326" s="17" t="n"/>
      <c r="F326" s="28" t="n"/>
      <c r="G326" s="29" t="n"/>
      <c r="H326" s="29" t="n"/>
      <c r="I326" s="29" t="n"/>
      <c r="J326" s="29" t="n"/>
      <c r="K326" s="30">
        <f>IF(B326="","",SUM(G$2:I326)-SUM(J$2:J326))</f>
        <v/>
      </c>
      <c r="L326" s="22">
        <f>IF(B326="","",IF(B326=B325,L325,N(L325)+1))</f>
        <v/>
      </c>
    </row>
    <row r="327">
      <c r="A327" s="22" t="n"/>
      <c r="B327" s="27" t="n"/>
      <c r="C327" s="17" t="n"/>
      <c r="D327" s="17" t="n"/>
      <c r="E327" s="17" t="n"/>
      <c r="F327" s="28" t="n"/>
      <c r="G327" s="29" t="n"/>
      <c r="H327" s="29" t="n"/>
      <c r="I327" s="29" t="n"/>
      <c r="J327" s="29" t="n"/>
      <c r="K327" s="30">
        <f>IF(B327="","",SUM(G$2:I327)-SUM(J$2:J327))</f>
        <v/>
      </c>
      <c r="L327" s="22">
        <f>IF(B327="","",IF(B327=B326,L326,N(L326)+1))</f>
        <v/>
      </c>
    </row>
    <row r="328">
      <c r="A328" s="22" t="n"/>
      <c r="B328" s="27" t="n"/>
      <c r="C328" s="17" t="n"/>
      <c r="D328" s="17" t="n"/>
      <c r="E328" s="17" t="n"/>
      <c r="F328" s="28" t="n"/>
      <c r="G328" s="29" t="n"/>
      <c r="H328" s="29" t="n"/>
      <c r="I328" s="29" t="n"/>
      <c r="J328" s="29" t="n"/>
      <c r="K328" s="30">
        <f>IF(B328="","",SUM(G$2:I328)-SUM(J$2:J328))</f>
        <v/>
      </c>
      <c r="L328" s="22">
        <f>IF(B328="","",IF(B328=B327,L327,N(L327)+1))</f>
        <v/>
      </c>
    </row>
    <row r="329">
      <c r="A329" s="22" t="n"/>
      <c r="B329" s="27" t="n"/>
      <c r="C329" s="17" t="n"/>
      <c r="D329" s="17" t="n"/>
      <c r="E329" s="17" t="n"/>
      <c r="F329" s="28" t="n"/>
      <c r="G329" s="29" t="n"/>
      <c r="H329" s="29" t="n"/>
      <c r="I329" s="29" t="n"/>
      <c r="J329" s="29" t="n"/>
      <c r="K329" s="30">
        <f>IF(B329="","",SUM(G$2:I329)-SUM(J$2:J329))</f>
        <v/>
      </c>
      <c r="L329" s="22">
        <f>IF(B329="","",IF(B329=B328,L328,N(L328)+1))</f>
        <v/>
      </c>
    </row>
    <row r="330">
      <c r="A330" s="22" t="n"/>
      <c r="B330" s="27" t="n"/>
      <c r="C330" s="17" t="n"/>
      <c r="D330" s="17" t="n"/>
      <c r="E330" s="17" t="n"/>
      <c r="F330" s="28" t="n"/>
      <c r="G330" s="29" t="n"/>
      <c r="H330" s="29" t="n"/>
      <c r="I330" s="29" t="n"/>
      <c r="J330" s="29" t="n"/>
      <c r="K330" s="30">
        <f>IF(B330="","",SUM(G$2:I330)-SUM(J$2:J330))</f>
        <v/>
      </c>
      <c r="L330" s="22">
        <f>IF(B330="","",IF(B330=B329,L329,N(L329)+1))</f>
        <v/>
      </c>
    </row>
    <row r="331">
      <c r="A331" s="22" t="n"/>
      <c r="B331" s="27" t="n"/>
      <c r="C331" s="17" t="n"/>
      <c r="D331" s="17" t="n"/>
      <c r="E331" s="17" t="n"/>
      <c r="F331" s="28" t="n"/>
      <c r="G331" s="29" t="n"/>
      <c r="H331" s="29" t="n"/>
      <c r="I331" s="29" t="n"/>
      <c r="J331" s="29" t="n"/>
      <c r="K331" s="30">
        <f>IF(B331="","",SUM(G$2:I331)-SUM(J$2:J331))</f>
        <v/>
      </c>
      <c r="L331" s="22">
        <f>IF(B331="","",IF(B331=B330,L330,N(L330)+1))</f>
        <v/>
      </c>
    </row>
    <row r="332">
      <c r="A332" s="22" t="n"/>
      <c r="B332" s="27" t="n"/>
      <c r="C332" s="17" t="n"/>
      <c r="D332" s="17" t="n"/>
      <c r="E332" s="17" t="n"/>
      <c r="F332" s="28" t="n"/>
      <c r="G332" s="29" t="n"/>
      <c r="H332" s="29" t="n"/>
      <c r="I332" s="29" t="n"/>
      <c r="J332" s="29" t="n"/>
      <c r="K332" s="30">
        <f>IF(B332="","",SUM(G$2:I332)-SUM(J$2:J332))</f>
        <v/>
      </c>
      <c r="L332" s="22">
        <f>IF(B332="","",IF(B332=B331,L331,N(L331)+1))</f>
        <v/>
      </c>
    </row>
    <row r="333">
      <c r="A333" s="22" t="n"/>
      <c r="B333" s="27" t="n"/>
      <c r="C333" s="17" t="n"/>
      <c r="D333" s="17" t="n"/>
      <c r="E333" s="17" t="n"/>
      <c r="F333" s="28" t="n"/>
      <c r="G333" s="29" t="n"/>
      <c r="H333" s="29" t="n"/>
      <c r="I333" s="29" t="n"/>
      <c r="J333" s="29" t="n"/>
      <c r="K333" s="30">
        <f>IF(B333="","",SUM(G$2:I333)-SUM(J$2:J333))</f>
        <v/>
      </c>
      <c r="L333" s="22">
        <f>IF(B333="","",IF(B333=B332,L332,N(L332)+1))</f>
        <v/>
      </c>
    </row>
    <row r="334">
      <c r="A334" s="22" t="n"/>
      <c r="B334" s="27" t="n"/>
      <c r="C334" s="17" t="n"/>
      <c r="D334" s="17" t="n"/>
      <c r="E334" s="17" t="n"/>
      <c r="F334" s="28" t="n"/>
      <c r="G334" s="29" t="n"/>
      <c r="H334" s="29" t="n"/>
      <c r="I334" s="29" t="n"/>
      <c r="J334" s="29" t="n"/>
      <c r="K334" s="30">
        <f>IF(B334="","",SUM(G$2:I334)-SUM(J$2:J334))</f>
        <v/>
      </c>
      <c r="L334" s="22">
        <f>IF(B334="","",IF(B334=B333,L333,N(L333)+1))</f>
        <v/>
      </c>
    </row>
    <row r="335">
      <c r="A335" s="22" t="n"/>
      <c r="B335" s="27" t="n"/>
      <c r="C335" s="17" t="n"/>
      <c r="D335" s="17" t="n"/>
      <c r="E335" s="17" t="n"/>
      <c r="F335" s="28" t="n"/>
      <c r="G335" s="29" t="n"/>
      <c r="H335" s="29" t="n"/>
      <c r="I335" s="29" t="n"/>
      <c r="J335" s="29" t="n"/>
      <c r="K335" s="30">
        <f>IF(B335="","",SUM(G$2:I335)-SUM(J$2:J335))</f>
        <v/>
      </c>
      <c r="L335" s="22">
        <f>IF(B335="","",IF(B335=B334,L334,N(L334)+1))</f>
        <v/>
      </c>
    </row>
    <row r="336">
      <c r="A336" s="22" t="n"/>
      <c r="B336" s="27" t="n"/>
      <c r="C336" s="17" t="n"/>
      <c r="D336" s="17" t="n"/>
      <c r="E336" s="17" t="n"/>
      <c r="F336" s="28" t="n"/>
      <c r="G336" s="29" t="n"/>
      <c r="H336" s="29" t="n"/>
      <c r="I336" s="29" t="n"/>
      <c r="J336" s="29" t="n"/>
      <c r="K336" s="30">
        <f>IF(B336="","",SUM(G$2:I336)-SUM(J$2:J336))</f>
        <v/>
      </c>
      <c r="L336" s="22">
        <f>IF(B336="","",IF(B336=B335,L335,N(L335)+1))</f>
        <v/>
      </c>
    </row>
    <row r="337">
      <c r="A337" s="22" t="n"/>
      <c r="B337" s="27" t="n"/>
      <c r="C337" s="17" t="n"/>
      <c r="D337" s="17" t="n"/>
      <c r="E337" s="17" t="n"/>
      <c r="F337" s="28" t="n"/>
      <c r="G337" s="29" t="n"/>
      <c r="H337" s="29" t="n"/>
      <c r="I337" s="29" t="n"/>
      <c r="J337" s="29" t="n"/>
      <c r="K337" s="30">
        <f>IF(B337="","",SUM(G$2:I337)-SUM(J$2:J337))</f>
        <v/>
      </c>
      <c r="L337" s="22">
        <f>IF(B337="","",IF(B337=B336,L336,N(L336)+1))</f>
        <v/>
      </c>
    </row>
    <row r="338">
      <c r="A338" s="22" t="n"/>
      <c r="B338" s="27" t="n"/>
      <c r="C338" s="17" t="n"/>
      <c r="D338" s="17" t="n"/>
      <c r="E338" s="17" t="n"/>
      <c r="F338" s="28" t="n"/>
      <c r="G338" s="29" t="n"/>
      <c r="H338" s="29" t="n"/>
      <c r="I338" s="29" t="n"/>
      <c r="J338" s="29" t="n"/>
      <c r="K338" s="30">
        <f>IF(B338="","",SUM(G$2:I338)-SUM(J$2:J338))</f>
        <v/>
      </c>
      <c r="L338" s="22">
        <f>IF(B338="","",IF(B338=B337,L337,N(L337)+1))</f>
        <v/>
      </c>
    </row>
    <row r="339">
      <c r="A339" s="22" t="n"/>
      <c r="B339" s="27" t="n"/>
      <c r="C339" s="17" t="n"/>
      <c r="D339" s="17" t="n"/>
      <c r="E339" s="17" t="n"/>
      <c r="F339" s="28" t="n"/>
      <c r="G339" s="29" t="n"/>
      <c r="H339" s="29" t="n"/>
      <c r="I339" s="29" t="n"/>
      <c r="J339" s="29" t="n"/>
      <c r="K339" s="30">
        <f>IF(B339="","",SUM(G$2:I339)-SUM(J$2:J339))</f>
        <v/>
      </c>
      <c r="L339" s="22">
        <f>IF(B339="","",IF(B339=B338,L338,N(L338)+1))</f>
        <v/>
      </c>
    </row>
    <row r="340">
      <c r="A340" s="22" t="n"/>
      <c r="B340" s="27" t="n"/>
      <c r="C340" s="17" t="n"/>
      <c r="D340" s="17" t="n"/>
      <c r="E340" s="17" t="n"/>
      <c r="F340" s="28" t="n"/>
      <c r="G340" s="29" t="n"/>
      <c r="H340" s="29" t="n"/>
      <c r="I340" s="29" t="n"/>
      <c r="J340" s="29" t="n"/>
      <c r="K340" s="30">
        <f>IF(B340="","",SUM(G$2:I340)-SUM(J$2:J340))</f>
        <v/>
      </c>
      <c r="L340" s="22">
        <f>IF(B340="","",IF(B340=B339,L339,N(L339)+1))</f>
        <v/>
      </c>
    </row>
    <row r="341">
      <c r="A341" s="22" t="n"/>
      <c r="B341" s="27" t="n"/>
      <c r="C341" s="17" t="n"/>
      <c r="D341" s="17" t="n"/>
      <c r="E341" s="17" t="n"/>
      <c r="F341" s="28" t="n"/>
      <c r="G341" s="29" t="n"/>
      <c r="H341" s="29" t="n"/>
      <c r="I341" s="29" t="n"/>
      <c r="J341" s="29" t="n"/>
      <c r="K341" s="30">
        <f>IF(B341="","",SUM(G$2:I341)-SUM(J$2:J341))</f>
        <v/>
      </c>
      <c r="L341" s="22">
        <f>IF(B341="","",IF(B341=B340,L340,N(L340)+1))</f>
        <v/>
      </c>
    </row>
    <row r="342">
      <c r="A342" s="22" t="n"/>
      <c r="B342" s="27" t="n"/>
      <c r="C342" s="17" t="n"/>
      <c r="D342" s="17" t="n"/>
      <c r="E342" s="17" t="n"/>
      <c r="F342" s="28" t="n"/>
      <c r="G342" s="29" t="n"/>
      <c r="H342" s="29" t="n"/>
      <c r="I342" s="29" t="n"/>
      <c r="J342" s="29" t="n"/>
      <c r="K342" s="30">
        <f>IF(B342="","",SUM(G$2:I342)-SUM(J$2:J342))</f>
        <v/>
      </c>
      <c r="L342" s="22">
        <f>IF(B342="","",IF(B342=B341,L341,N(L341)+1))</f>
        <v/>
      </c>
    </row>
    <row r="343">
      <c r="A343" s="22" t="n"/>
      <c r="B343" s="27" t="n"/>
      <c r="C343" s="17" t="n"/>
      <c r="D343" s="17" t="n"/>
      <c r="E343" s="17" t="n"/>
      <c r="F343" s="28" t="n"/>
      <c r="G343" s="29" t="n"/>
      <c r="H343" s="29" t="n"/>
      <c r="I343" s="29" t="n"/>
      <c r="J343" s="29" t="n"/>
      <c r="K343" s="30">
        <f>IF(B343="","",SUM(G$2:I343)-SUM(J$2:J343))</f>
        <v/>
      </c>
      <c r="L343" s="22">
        <f>IF(B343="","",IF(B343=B342,L342,N(L342)+1))</f>
        <v/>
      </c>
    </row>
    <row r="344">
      <c r="A344" s="22" t="n"/>
      <c r="B344" s="27" t="n"/>
      <c r="C344" s="17" t="n"/>
      <c r="D344" s="17" t="n"/>
      <c r="E344" s="17" t="n"/>
      <c r="F344" s="28" t="n"/>
      <c r="G344" s="29" t="n"/>
      <c r="H344" s="29" t="n"/>
      <c r="I344" s="29" t="n"/>
      <c r="J344" s="29" t="n"/>
      <c r="K344" s="30">
        <f>IF(B344="","",SUM(G$2:I344)-SUM(J$2:J344))</f>
        <v/>
      </c>
      <c r="L344" s="22">
        <f>IF(B344="","",IF(B344=B343,L343,N(L343)+1))</f>
        <v/>
      </c>
    </row>
    <row r="345">
      <c r="A345" s="22" t="n"/>
      <c r="B345" s="27" t="n"/>
      <c r="C345" s="17" t="n"/>
      <c r="D345" s="17" t="n"/>
      <c r="E345" s="17" t="n"/>
      <c r="F345" s="28" t="n"/>
      <c r="G345" s="29" t="n"/>
      <c r="H345" s="29" t="n"/>
      <c r="I345" s="29" t="n"/>
      <c r="J345" s="29" t="n"/>
      <c r="K345" s="30">
        <f>IF(B345="","",SUM(G$2:I345)-SUM(J$2:J345))</f>
        <v/>
      </c>
      <c r="L345" s="22">
        <f>IF(B345="","",IF(B345=B344,L344,N(L344)+1))</f>
        <v/>
      </c>
    </row>
    <row r="346">
      <c r="A346" s="22" t="n"/>
      <c r="B346" s="27" t="n"/>
      <c r="C346" s="17" t="n"/>
      <c r="D346" s="17" t="n"/>
      <c r="E346" s="17" t="n"/>
      <c r="F346" s="28" t="n"/>
      <c r="G346" s="29" t="n"/>
      <c r="H346" s="29" t="n"/>
      <c r="I346" s="29" t="n"/>
      <c r="J346" s="29" t="n"/>
      <c r="K346" s="30">
        <f>IF(B346="","",SUM(G$2:I346)-SUM(J$2:J346))</f>
        <v/>
      </c>
      <c r="L346" s="22">
        <f>IF(B346="","",IF(B346=B345,L345,N(L345)+1))</f>
        <v/>
      </c>
    </row>
    <row r="347">
      <c r="A347" s="22" t="n"/>
      <c r="B347" s="27" t="n"/>
      <c r="C347" s="17" t="n"/>
      <c r="D347" s="17" t="n"/>
      <c r="E347" s="17" t="n"/>
      <c r="F347" s="28" t="n"/>
      <c r="G347" s="29" t="n"/>
      <c r="H347" s="29" t="n"/>
      <c r="I347" s="29" t="n"/>
      <c r="J347" s="29" t="n"/>
      <c r="K347" s="30">
        <f>IF(B347="","",SUM(G$2:I347)-SUM(J$2:J347))</f>
        <v/>
      </c>
      <c r="L347" s="22">
        <f>IF(B347="","",IF(B347=B346,L346,N(L346)+1))</f>
        <v/>
      </c>
    </row>
    <row r="348">
      <c r="A348" s="22" t="n"/>
      <c r="B348" s="27" t="n"/>
      <c r="C348" s="17" t="n"/>
      <c r="D348" s="17" t="n"/>
      <c r="E348" s="17" t="n"/>
      <c r="F348" s="28" t="n"/>
      <c r="G348" s="29" t="n"/>
      <c r="H348" s="29" t="n"/>
      <c r="I348" s="29" t="n"/>
      <c r="J348" s="29" t="n"/>
      <c r="K348" s="30">
        <f>IF(B348="","",SUM(G$2:I348)-SUM(J$2:J348))</f>
        <v/>
      </c>
      <c r="L348" s="22">
        <f>IF(B348="","",IF(B348=B347,L347,N(L347)+1))</f>
        <v/>
      </c>
    </row>
    <row r="349">
      <c r="A349" s="22" t="n"/>
      <c r="B349" s="27" t="n"/>
      <c r="C349" s="17" t="n"/>
      <c r="D349" s="17" t="n"/>
      <c r="E349" s="17" t="n"/>
      <c r="F349" s="28" t="n"/>
      <c r="G349" s="29" t="n"/>
      <c r="H349" s="29" t="n"/>
      <c r="I349" s="29" t="n"/>
      <c r="J349" s="29" t="n"/>
      <c r="K349" s="30">
        <f>IF(B349="","",SUM(G$2:I349)-SUM(J$2:J349))</f>
        <v/>
      </c>
      <c r="L349" s="22">
        <f>IF(B349="","",IF(B349=B348,L348,N(L348)+1))</f>
        <v/>
      </c>
    </row>
    <row r="350">
      <c r="A350" s="22" t="n"/>
      <c r="B350" s="27" t="n"/>
      <c r="C350" s="17" t="n"/>
      <c r="D350" s="17" t="n"/>
      <c r="E350" s="17" t="n"/>
      <c r="F350" s="28" t="n"/>
      <c r="G350" s="29" t="n"/>
      <c r="H350" s="29" t="n"/>
      <c r="I350" s="29" t="n"/>
      <c r="J350" s="29" t="n"/>
      <c r="K350" s="30">
        <f>IF(B350="","",SUM(G$2:I350)-SUM(J$2:J350))</f>
        <v/>
      </c>
      <c r="L350" s="22">
        <f>IF(B350="","",IF(B350=B349,L349,N(L349)+1))</f>
        <v/>
      </c>
    </row>
    <row r="351">
      <c r="A351" s="22" t="n"/>
      <c r="B351" s="27" t="n"/>
      <c r="C351" s="17" t="n"/>
      <c r="D351" s="17" t="n"/>
      <c r="E351" s="17" t="n"/>
      <c r="F351" s="28" t="n"/>
      <c r="G351" s="29" t="n"/>
      <c r="H351" s="29" t="n"/>
      <c r="I351" s="29" t="n"/>
      <c r="J351" s="29" t="n"/>
      <c r="K351" s="30">
        <f>IF(B351="","",SUM(G$2:I351)-SUM(J$2:J351))</f>
        <v/>
      </c>
      <c r="L351" s="22">
        <f>IF(B351="","",IF(B351=B350,L350,N(L350)+1))</f>
        <v/>
      </c>
    </row>
    <row r="352">
      <c r="A352" s="22" t="n"/>
      <c r="B352" s="27" t="n"/>
      <c r="C352" s="17" t="n"/>
      <c r="D352" s="17" t="n"/>
      <c r="E352" s="17" t="n"/>
      <c r="F352" s="28" t="n"/>
      <c r="G352" s="29" t="n"/>
      <c r="H352" s="29" t="n"/>
      <c r="I352" s="29" t="n"/>
      <c r="J352" s="29" t="n"/>
      <c r="K352" s="30">
        <f>IF(B352="","",SUM(G$2:I352)-SUM(J$2:J352))</f>
        <v/>
      </c>
      <c r="L352" s="22">
        <f>IF(B352="","",IF(B352=B351,L351,N(L351)+1))</f>
        <v/>
      </c>
    </row>
    <row r="353">
      <c r="A353" s="22" t="n"/>
      <c r="B353" s="27" t="n"/>
      <c r="C353" s="17" t="n"/>
      <c r="D353" s="17" t="n"/>
      <c r="E353" s="17" t="n"/>
      <c r="F353" s="28" t="n"/>
      <c r="G353" s="29" t="n"/>
      <c r="H353" s="29" t="n"/>
      <c r="I353" s="29" t="n"/>
      <c r="J353" s="29" t="n"/>
      <c r="K353" s="30">
        <f>IF(B353="","",SUM(G$2:I353)-SUM(J$2:J353))</f>
        <v/>
      </c>
      <c r="L353" s="22">
        <f>IF(B353="","",IF(B353=B352,L352,N(L352)+1))</f>
        <v/>
      </c>
    </row>
    <row r="354">
      <c r="A354" s="22" t="n"/>
      <c r="B354" s="27" t="n"/>
      <c r="C354" s="17" t="n"/>
      <c r="D354" s="17" t="n"/>
      <c r="E354" s="17" t="n"/>
      <c r="F354" s="28" t="n"/>
      <c r="G354" s="29" t="n"/>
      <c r="H354" s="29" t="n"/>
      <c r="I354" s="29" t="n"/>
      <c r="J354" s="29" t="n"/>
      <c r="K354" s="30">
        <f>IF(B354="","",SUM(G$2:I354)-SUM(J$2:J354))</f>
        <v/>
      </c>
      <c r="L354" s="22">
        <f>IF(B354="","",IF(B354=B353,L353,N(L353)+1))</f>
        <v/>
      </c>
    </row>
    <row r="355">
      <c r="A355" s="22" t="n"/>
      <c r="B355" s="27" t="n"/>
      <c r="C355" s="17" t="n"/>
      <c r="D355" s="17" t="n"/>
      <c r="E355" s="17" t="n"/>
      <c r="F355" s="28" t="n"/>
      <c r="G355" s="29" t="n"/>
      <c r="H355" s="29" t="n"/>
      <c r="I355" s="29" t="n"/>
      <c r="J355" s="29" t="n"/>
      <c r="K355" s="30">
        <f>IF(B355="","",SUM(G$2:I355)-SUM(J$2:J355))</f>
        <v/>
      </c>
      <c r="L355" s="22">
        <f>IF(B355="","",IF(B355=B354,L354,N(L354)+1))</f>
        <v/>
      </c>
    </row>
    <row r="356">
      <c r="A356" s="22" t="n"/>
      <c r="B356" s="27" t="n"/>
      <c r="C356" s="17" t="n"/>
      <c r="D356" s="17" t="n"/>
      <c r="E356" s="17" t="n"/>
      <c r="F356" s="28" t="n"/>
      <c r="G356" s="29" t="n"/>
      <c r="H356" s="29" t="n"/>
      <c r="I356" s="29" t="n"/>
      <c r="J356" s="29" t="n"/>
      <c r="K356" s="30">
        <f>IF(B356="","",SUM(G$2:I356)-SUM(J$2:J356))</f>
        <v/>
      </c>
      <c r="L356" s="22">
        <f>IF(B356="","",IF(B356=B355,L355,N(L355)+1))</f>
        <v/>
      </c>
    </row>
    <row r="357">
      <c r="A357" s="22" t="n"/>
      <c r="B357" s="27" t="n"/>
      <c r="C357" s="17" t="n"/>
      <c r="D357" s="17" t="n"/>
      <c r="E357" s="17" t="n"/>
      <c r="F357" s="28" t="n"/>
      <c r="G357" s="29" t="n"/>
      <c r="H357" s="29" t="n"/>
      <c r="I357" s="29" t="n"/>
      <c r="J357" s="29" t="n"/>
      <c r="K357" s="30">
        <f>IF(B357="","",SUM(G$2:I357)-SUM(J$2:J357))</f>
        <v/>
      </c>
      <c r="L357" s="22">
        <f>IF(B357="","",IF(B357=B356,L356,N(L356)+1))</f>
        <v/>
      </c>
    </row>
    <row r="358">
      <c r="A358" s="22" t="n"/>
      <c r="B358" s="27" t="n"/>
      <c r="C358" s="17" t="n"/>
      <c r="D358" s="17" t="n"/>
      <c r="E358" s="17" t="n"/>
      <c r="F358" s="28" t="n"/>
      <c r="G358" s="29" t="n"/>
      <c r="H358" s="29" t="n"/>
      <c r="I358" s="29" t="n"/>
      <c r="J358" s="29" t="n"/>
      <c r="K358" s="30">
        <f>IF(B358="","",SUM(G$2:I358)-SUM(J$2:J358))</f>
        <v/>
      </c>
      <c r="L358" s="22">
        <f>IF(B358="","",IF(B358=B357,L357,N(L357)+1))</f>
        <v/>
      </c>
    </row>
    <row r="359">
      <c r="A359" s="22" t="n"/>
      <c r="B359" s="27" t="n"/>
      <c r="C359" s="17" t="n"/>
      <c r="D359" s="17" t="n"/>
      <c r="E359" s="17" t="n"/>
      <c r="F359" s="28" t="n"/>
      <c r="G359" s="29" t="n"/>
      <c r="H359" s="29" t="n"/>
      <c r="I359" s="29" t="n"/>
      <c r="J359" s="29" t="n"/>
      <c r="K359" s="30">
        <f>IF(B359="","",SUM(G$2:I359)-SUM(J$2:J359))</f>
        <v/>
      </c>
      <c r="L359" s="22">
        <f>IF(B359="","",IF(B359=B358,L358,N(L358)+1))</f>
        <v/>
      </c>
    </row>
    <row r="360">
      <c r="A360" s="22" t="n"/>
      <c r="B360" s="27" t="n"/>
      <c r="C360" s="17" t="n"/>
      <c r="D360" s="17" t="n"/>
      <c r="E360" s="17" t="n"/>
      <c r="F360" s="28" t="n"/>
      <c r="G360" s="29" t="n"/>
      <c r="H360" s="29" t="n"/>
      <c r="I360" s="29" t="n"/>
      <c r="J360" s="29" t="n"/>
      <c r="K360" s="30">
        <f>IF(B360="","",SUM(G$2:I360)-SUM(J$2:J360))</f>
        <v/>
      </c>
      <c r="L360" s="22">
        <f>IF(B360="","",IF(B360=B359,L359,N(L359)+1))</f>
        <v/>
      </c>
    </row>
    <row r="361">
      <c r="A361" s="22" t="n"/>
      <c r="B361" s="27" t="n"/>
      <c r="C361" s="17" t="n"/>
      <c r="D361" s="17" t="n"/>
      <c r="E361" s="17" t="n"/>
      <c r="F361" s="28" t="n"/>
      <c r="G361" s="29" t="n"/>
      <c r="H361" s="29" t="n"/>
      <c r="I361" s="29" t="n"/>
      <c r="J361" s="29" t="n"/>
      <c r="K361" s="30">
        <f>IF(B361="","",SUM(G$2:I361)-SUM(J$2:J361))</f>
        <v/>
      </c>
      <c r="L361" s="22">
        <f>IF(B361="","",IF(B361=B360,L360,N(L360)+1))</f>
        <v/>
      </c>
    </row>
    <row r="362">
      <c r="A362" s="22" t="n"/>
      <c r="B362" s="27" t="n"/>
      <c r="C362" s="17" t="n"/>
      <c r="D362" s="17" t="n"/>
      <c r="E362" s="17" t="n"/>
      <c r="F362" s="28" t="n"/>
      <c r="G362" s="29" t="n"/>
      <c r="H362" s="29" t="n"/>
      <c r="I362" s="29" t="n"/>
      <c r="J362" s="29" t="n"/>
      <c r="K362" s="30">
        <f>IF(B362="","",SUM(G$2:I362)-SUM(J$2:J362))</f>
        <v/>
      </c>
      <c r="L362" s="22">
        <f>IF(B362="","",IF(B362=B361,L361,N(L361)+1))</f>
        <v/>
      </c>
    </row>
    <row r="363">
      <c r="A363" s="22" t="n"/>
      <c r="B363" s="27" t="n"/>
      <c r="C363" s="17" t="n"/>
      <c r="D363" s="17" t="n"/>
      <c r="E363" s="17" t="n"/>
      <c r="F363" s="28" t="n"/>
      <c r="G363" s="29" t="n"/>
      <c r="H363" s="29" t="n"/>
      <c r="I363" s="29" t="n"/>
      <c r="J363" s="29" t="n"/>
      <c r="K363" s="30">
        <f>IF(B363="","",SUM(G$2:I363)-SUM(J$2:J363))</f>
        <v/>
      </c>
      <c r="L363" s="22">
        <f>IF(B363="","",IF(B363=B362,L362,N(L362)+1))</f>
        <v/>
      </c>
    </row>
    <row r="364">
      <c r="A364" s="22" t="n"/>
      <c r="B364" s="27" t="n"/>
      <c r="C364" s="17" t="n"/>
      <c r="D364" s="17" t="n"/>
      <c r="E364" s="17" t="n"/>
      <c r="F364" s="28" t="n"/>
      <c r="G364" s="29" t="n"/>
      <c r="H364" s="29" t="n"/>
      <c r="I364" s="29" t="n"/>
      <c r="J364" s="29" t="n"/>
      <c r="K364" s="30">
        <f>IF(B364="","",SUM(G$2:I364)-SUM(J$2:J364))</f>
        <v/>
      </c>
      <c r="L364" s="22">
        <f>IF(B364="","",IF(B364=B363,L363,N(L363)+1))</f>
        <v/>
      </c>
    </row>
    <row r="365">
      <c r="A365" s="22" t="n"/>
      <c r="B365" s="27" t="n"/>
      <c r="C365" s="17" t="n"/>
      <c r="D365" s="17" t="n"/>
      <c r="E365" s="17" t="n"/>
      <c r="F365" s="28" t="n"/>
      <c r="G365" s="29" t="n"/>
      <c r="H365" s="29" t="n"/>
      <c r="I365" s="29" t="n"/>
      <c r="J365" s="29" t="n"/>
      <c r="K365" s="30">
        <f>IF(B365="","",SUM(G$2:I365)-SUM(J$2:J365))</f>
        <v/>
      </c>
      <c r="L365" s="22">
        <f>IF(B365="","",IF(B365=B364,L364,N(L364)+1))</f>
        <v/>
      </c>
    </row>
    <row r="366">
      <c r="A366" s="22" t="n"/>
      <c r="B366" s="27" t="n"/>
      <c r="C366" s="17" t="n"/>
      <c r="D366" s="17" t="n"/>
      <c r="E366" s="17" t="n"/>
      <c r="F366" s="28" t="n"/>
      <c r="G366" s="29" t="n"/>
      <c r="H366" s="29" t="n"/>
      <c r="I366" s="29" t="n"/>
      <c r="J366" s="29" t="n"/>
      <c r="K366" s="30">
        <f>IF(B366="","",SUM(G$2:I366)-SUM(J$2:J366))</f>
        <v/>
      </c>
      <c r="L366" s="22">
        <f>IF(B366="","",IF(B366=B365,L365,N(L365)+1))</f>
        <v/>
      </c>
    </row>
    <row r="367">
      <c r="A367" s="22" t="n"/>
      <c r="B367" s="27" t="n"/>
      <c r="C367" s="17" t="n"/>
      <c r="D367" s="17" t="n"/>
      <c r="E367" s="17" t="n"/>
      <c r="F367" s="28" t="n"/>
      <c r="G367" s="29" t="n"/>
      <c r="H367" s="29" t="n"/>
      <c r="I367" s="29" t="n"/>
      <c r="J367" s="29" t="n"/>
      <c r="K367" s="30">
        <f>IF(B367="","",SUM(G$2:I367)-SUM(J$2:J367))</f>
        <v/>
      </c>
      <c r="L367" s="22">
        <f>IF(B367="","",IF(B367=B366,L366,N(L366)+1))</f>
        <v/>
      </c>
    </row>
    <row r="368">
      <c r="A368" s="22" t="n"/>
      <c r="B368" s="27" t="n"/>
      <c r="C368" s="17" t="n"/>
      <c r="D368" s="17" t="n"/>
      <c r="E368" s="17" t="n"/>
      <c r="F368" s="28" t="n"/>
      <c r="G368" s="29" t="n"/>
      <c r="H368" s="29" t="n"/>
      <c r="I368" s="29" t="n"/>
      <c r="J368" s="29" t="n"/>
      <c r="K368" s="30">
        <f>IF(B368="","",SUM(G$2:I368)-SUM(J$2:J368))</f>
        <v/>
      </c>
      <c r="L368" s="22">
        <f>IF(B368="","",IF(B368=B367,L367,N(L367)+1))</f>
        <v/>
      </c>
    </row>
    <row r="369">
      <c r="A369" s="22" t="n"/>
      <c r="B369" s="27" t="n"/>
      <c r="C369" s="17" t="n"/>
      <c r="D369" s="17" t="n"/>
      <c r="E369" s="17" t="n"/>
      <c r="F369" s="28" t="n"/>
      <c r="G369" s="29" t="n"/>
      <c r="H369" s="29" t="n"/>
      <c r="I369" s="29" t="n"/>
      <c r="J369" s="29" t="n"/>
      <c r="K369" s="30">
        <f>IF(B369="","",SUM(G$2:I369)-SUM(J$2:J369))</f>
        <v/>
      </c>
      <c r="L369" s="22">
        <f>IF(B369="","",IF(B369=B368,L368,N(L368)+1))</f>
        <v/>
      </c>
    </row>
    <row r="370">
      <c r="A370" s="22" t="n"/>
      <c r="B370" s="27" t="n"/>
      <c r="C370" s="17" t="n"/>
      <c r="D370" s="17" t="n"/>
      <c r="E370" s="17" t="n"/>
      <c r="F370" s="28" t="n"/>
      <c r="G370" s="29" t="n"/>
      <c r="H370" s="29" t="n"/>
      <c r="I370" s="29" t="n"/>
      <c r="J370" s="29" t="n"/>
      <c r="K370" s="30">
        <f>IF(B370="","",SUM(G$2:I370)-SUM(J$2:J370))</f>
        <v/>
      </c>
      <c r="L370" s="22">
        <f>IF(B370="","",IF(B370=B369,L369,N(L369)+1))</f>
        <v/>
      </c>
    </row>
    <row r="371">
      <c r="A371" s="22" t="n"/>
      <c r="B371" s="27" t="n"/>
      <c r="C371" s="17" t="n"/>
      <c r="D371" s="17" t="n"/>
      <c r="E371" s="17" t="n"/>
      <c r="F371" s="28" t="n"/>
      <c r="G371" s="29" t="n"/>
      <c r="H371" s="29" t="n"/>
      <c r="I371" s="29" t="n"/>
      <c r="J371" s="29" t="n"/>
      <c r="K371" s="30">
        <f>IF(B371="","",SUM(G$2:I371)-SUM(J$2:J371))</f>
        <v/>
      </c>
      <c r="L371" s="22">
        <f>IF(B371="","",IF(B371=B370,L370,N(L370)+1))</f>
        <v/>
      </c>
    </row>
    <row r="372">
      <c r="A372" s="22" t="n"/>
      <c r="B372" s="27" t="n"/>
      <c r="C372" s="17" t="n"/>
      <c r="D372" s="17" t="n"/>
      <c r="E372" s="17" t="n"/>
      <c r="F372" s="28" t="n"/>
      <c r="G372" s="29" t="n"/>
      <c r="H372" s="29" t="n"/>
      <c r="I372" s="29" t="n"/>
      <c r="J372" s="29" t="n"/>
      <c r="K372" s="30">
        <f>IF(B372="","",SUM(G$2:I372)-SUM(J$2:J372))</f>
        <v/>
      </c>
      <c r="L372" s="22">
        <f>IF(B372="","",IF(B372=B371,L371,N(L371)+1))</f>
        <v/>
      </c>
    </row>
    <row r="373">
      <c r="A373" s="22" t="n"/>
      <c r="B373" s="27" t="n"/>
      <c r="C373" s="17" t="n"/>
      <c r="D373" s="17" t="n"/>
      <c r="E373" s="17" t="n"/>
      <c r="F373" s="28" t="n"/>
      <c r="G373" s="29" t="n"/>
      <c r="H373" s="29" t="n"/>
      <c r="I373" s="29" t="n"/>
      <c r="J373" s="29" t="n"/>
      <c r="K373" s="30">
        <f>IF(B373="","",SUM(G$2:I373)-SUM(J$2:J373))</f>
        <v/>
      </c>
      <c r="L373" s="22">
        <f>IF(B373="","",IF(B373=B372,L372,N(L372)+1))</f>
        <v/>
      </c>
    </row>
    <row r="374">
      <c r="A374" s="22" t="n"/>
      <c r="B374" s="27" t="n"/>
      <c r="C374" s="17" t="n"/>
      <c r="D374" s="17" t="n"/>
      <c r="E374" s="17" t="n"/>
      <c r="F374" s="28" t="n"/>
      <c r="G374" s="29" t="n"/>
      <c r="H374" s="29" t="n"/>
      <c r="I374" s="29" t="n"/>
      <c r="J374" s="29" t="n"/>
      <c r="K374" s="30">
        <f>IF(B374="","",SUM(G$2:I374)-SUM(J$2:J374))</f>
        <v/>
      </c>
      <c r="L374" s="22">
        <f>IF(B374="","",IF(B374=B373,L373,N(L373)+1))</f>
        <v/>
      </c>
    </row>
    <row r="375">
      <c r="A375" s="22" t="n"/>
      <c r="B375" s="27" t="n"/>
      <c r="C375" s="17" t="n"/>
      <c r="D375" s="17" t="n"/>
      <c r="E375" s="17" t="n"/>
      <c r="F375" s="28" t="n"/>
      <c r="G375" s="29" t="n"/>
      <c r="H375" s="29" t="n"/>
      <c r="I375" s="29" t="n"/>
      <c r="J375" s="29" t="n"/>
      <c r="K375" s="30">
        <f>IF(B375="","",SUM(G$2:I375)-SUM(J$2:J375))</f>
        <v/>
      </c>
      <c r="L375" s="22">
        <f>IF(B375="","",IF(B375=B374,L374,N(L374)+1))</f>
        <v/>
      </c>
    </row>
    <row r="376">
      <c r="A376" s="22" t="n"/>
      <c r="B376" s="27" t="n"/>
      <c r="C376" s="17" t="n"/>
      <c r="D376" s="17" t="n"/>
      <c r="E376" s="17" t="n"/>
      <c r="F376" s="28" t="n"/>
      <c r="G376" s="29" t="n"/>
      <c r="H376" s="29" t="n"/>
      <c r="I376" s="29" t="n"/>
      <c r="J376" s="29" t="n"/>
      <c r="K376" s="30">
        <f>IF(B376="","",SUM(G$2:I376)-SUM(J$2:J376))</f>
        <v/>
      </c>
      <c r="L376" s="22">
        <f>IF(B376="","",IF(B376=B375,L375,N(L375)+1))</f>
        <v/>
      </c>
    </row>
    <row r="377">
      <c r="A377" s="22" t="n"/>
      <c r="B377" s="27" t="n"/>
      <c r="C377" s="17" t="n"/>
      <c r="D377" s="17" t="n"/>
      <c r="E377" s="17" t="n"/>
      <c r="F377" s="28" t="n"/>
      <c r="G377" s="29" t="n"/>
      <c r="H377" s="29" t="n"/>
      <c r="I377" s="29" t="n"/>
      <c r="J377" s="29" t="n"/>
      <c r="K377" s="30">
        <f>IF(B377="","",SUM(G$2:I377)-SUM(J$2:J377))</f>
        <v/>
      </c>
      <c r="L377" s="22">
        <f>IF(B377="","",IF(B377=B376,L376,N(L376)+1))</f>
        <v/>
      </c>
    </row>
    <row r="378">
      <c r="A378" s="22" t="n"/>
      <c r="B378" s="27" t="n"/>
      <c r="C378" s="17" t="n"/>
      <c r="D378" s="17" t="n"/>
      <c r="E378" s="17" t="n"/>
      <c r="F378" s="28" t="n"/>
      <c r="G378" s="29" t="n"/>
      <c r="H378" s="29" t="n"/>
      <c r="I378" s="29" t="n"/>
      <c r="J378" s="29" t="n"/>
      <c r="K378" s="30">
        <f>IF(B378="","",SUM(G$2:I378)-SUM(J$2:J378))</f>
        <v/>
      </c>
      <c r="L378" s="22">
        <f>IF(B378="","",IF(B378=B377,L377,N(L377)+1))</f>
        <v/>
      </c>
    </row>
    <row r="379">
      <c r="A379" s="22" t="n"/>
      <c r="B379" s="27" t="n"/>
      <c r="C379" s="17" t="n"/>
      <c r="D379" s="17" t="n"/>
      <c r="E379" s="17" t="n"/>
      <c r="F379" s="28" t="n"/>
      <c r="G379" s="29" t="n"/>
      <c r="H379" s="29" t="n"/>
      <c r="I379" s="29" t="n"/>
      <c r="J379" s="29" t="n"/>
      <c r="K379" s="30">
        <f>IF(B379="","",SUM(G$2:I379)-SUM(J$2:J379))</f>
        <v/>
      </c>
      <c r="L379" s="22">
        <f>IF(B379="","",IF(B379=B378,L378,N(L378)+1))</f>
        <v/>
      </c>
    </row>
    <row r="380">
      <c r="A380" s="22" t="n"/>
      <c r="B380" s="27" t="n"/>
      <c r="C380" s="17" t="n"/>
      <c r="D380" s="17" t="n"/>
      <c r="E380" s="17" t="n"/>
      <c r="F380" s="28" t="n"/>
      <c r="G380" s="29" t="n"/>
      <c r="H380" s="29" t="n"/>
      <c r="I380" s="29" t="n"/>
      <c r="J380" s="29" t="n"/>
      <c r="K380" s="30">
        <f>IF(B380="","",SUM(G$2:I380)-SUM(J$2:J380))</f>
        <v/>
      </c>
      <c r="L380" s="22">
        <f>IF(B380="","",IF(B380=B379,L379,N(L379)+1))</f>
        <v/>
      </c>
    </row>
    <row r="381">
      <c r="A381" s="22" t="n"/>
      <c r="B381" s="27" t="n"/>
      <c r="C381" s="17" t="n"/>
      <c r="D381" s="17" t="n"/>
      <c r="E381" s="17" t="n"/>
      <c r="F381" s="28" t="n"/>
      <c r="G381" s="29" t="n"/>
      <c r="H381" s="29" t="n"/>
      <c r="I381" s="29" t="n"/>
      <c r="J381" s="29" t="n"/>
      <c r="K381" s="30">
        <f>IF(B381="","",SUM(G$2:I381)-SUM(J$2:J381))</f>
        <v/>
      </c>
      <c r="L381" s="22">
        <f>IF(B381="","",IF(B381=B380,L380,N(L380)+1))</f>
        <v/>
      </c>
    </row>
    <row r="382">
      <c r="A382" s="22" t="n"/>
      <c r="B382" s="27" t="n"/>
      <c r="C382" s="17" t="n"/>
      <c r="D382" s="17" t="n"/>
      <c r="E382" s="17" t="n"/>
      <c r="F382" s="28" t="n"/>
      <c r="G382" s="29" t="n"/>
      <c r="H382" s="29" t="n"/>
      <c r="I382" s="29" t="n"/>
      <c r="J382" s="29" t="n"/>
      <c r="K382" s="30">
        <f>IF(B382="","",SUM(G$2:I382)-SUM(J$2:J382))</f>
        <v/>
      </c>
      <c r="L382" s="22">
        <f>IF(B382="","",IF(B382=B381,L381,N(L381)+1))</f>
        <v/>
      </c>
    </row>
    <row r="383">
      <c r="A383" s="22" t="n"/>
      <c r="B383" s="27" t="n"/>
      <c r="C383" s="17" t="n"/>
      <c r="D383" s="17" t="n"/>
      <c r="E383" s="17" t="n"/>
      <c r="F383" s="28" t="n"/>
      <c r="G383" s="29" t="n"/>
      <c r="H383" s="29" t="n"/>
      <c r="I383" s="29" t="n"/>
      <c r="J383" s="29" t="n"/>
      <c r="K383" s="30">
        <f>IF(B383="","",SUM(G$2:I383)-SUM(J$2:J383))</f>
        <v/>
      </c>
      <c r="L383" s="22">
        <f>IF(B383="","",IF(B383=B382,L382,N(L382)+1))</f>
        <v/>
      </c>
    </row>
    <row r="384">
      <c r="A384" s="22" t="n"/>
      <c r="B384" s="27" t="n"/>
      <c r="C384" s="17" t="n"/>
      <c r="D384" s="17" t="n"/>
      <c r="E384" s="17" t="n"/>
      <c r="F384" s="28" t="n"/>
      <c r="G384" s="29" t="n"/>
      <c r="H384" s="29" t="n"/>
      <c r="I384" s="29" t="n"/>
      <c r="J384" s="29" t="n"/>
      <c r="K384" s="30">
        <f>IF(B384="","",SUM(G$2:I384)-SUM(J$2:J384))</f>
        <v/>
      </c>
      <c r="L384" s="22">
        <f>IF(B384="","",IF(B384=B383,L383,N(L383)+1))</f>
        <v/>
      </c>
    </row>
    <row r="385">
      <c r="A385" s="22" t="n"/>
      <c r="B385" s="27" t="n"/>
      <c r="C385" s="17" t="n"/>
      <c r="D385" s="17" t="n"/>
      <c r="E385" s="17" t="n"/>
      <c r="F385" s="28" t="n"/>
      <c r="G385" s="29" t="n"/>
      <c r="H385" s="29" t="n"/>
      <c r="I385" s="29" t="n"/>
      <c r="J385" s="29" t="n"/>
      <c r="K385" s="30">
        <f>IF(B385="","",SUM(G$2:I385)-SUM(J$2:J385))</f>
        <v/>
      </c>
      <c r="L385" s="22">
        <f>IF(B385="","",IF(B385=B384,L384,N(L384)+1))</f>
        <v/>
      </c>
    </row>
    <row r="386">
      <c r="A386" s="22" t="n"/>
      <c r="B386" s="27" t="n"/>
      <c r="C386" s="17" t="n"/>
      <c r="D386" s="17" t="n"/>
      <c r="E386" s="17" t="n"/>
      <c r="F386" s="28" t="n"/>
      <c r="G386" s="29" t="n"/>
      <c r="H386" s="29" t="n"/>
      <c r="I386" s="29" t="n"/>
      <c r="J386" s="29" t="n"/>
      <c r="K386" s="30">
        <f>IF(B386="","",SUM(G$2:I386)-SUM(J$2:J386))</f>
        <v/>
      </c>
      <c r="L386" s="22">
        <f>IF(B386="","",IF(B386=B385,L385,N(L385)+1))</f>
        <v/>
      </c>
    </row>
    <row r="387">
      <c r="A387" s="22" t="n"/>
      <c r="B387" s="27" t="n"/>
      <c r="C387" s="17" t="n"/>
      <c r="D387" s="17" t="n"/>
      <c r="E387" s="17" t="n"/>
      <c r="F387" s="28" t="n"/>
      <c r="G387" s="29" t="n"/>
      <c r="H387" s="29" t="n"/>
      <c r="I387" s="29" t="n"/>
      <c r="J387" s="29" t="n"/>
      <c r="K387" s="30">
        <f>IF(B387="","",SUM(G$2:I387)-SUM(J$2:J387))</f>
        <v/>
      </c>
      <c r="L387" s="22">
        <f>IF(B387="","",IF(B387=B386,L386,N(L386)+1))</f>
        <v/>
      </c>
    </row>
    <row r="388">
      <c r="A388" s="22" t="n"/>
      <c r="B388" s="27" t="n"/>
      <c r="C388" s="17" t="n"/>
      <c r="D388" s="17" t="n"/>
      <c r="E388" s="17" t="n"/>
      <c r="F388" s="28" t="n"/>
      <c r="G388" s="29" t="n"/>
      <c r="H388" s="29" t="n"/>
      <c r="I388" s="29" t="n"/>
      <c r="J388" s="29" t="n"/>
      <c r="K388" s="30">
        <f>IF(B388="","",SUM(G$2:I388)-SUM(J$2:J388))</f>
        <v/>
      </c>
      <c r="L388" s="22">
        <f>IF(B388="","",IF(B388=B387,L387,N(L387)+1))</f>
        <v/>
      </c>
    </row>
    <row r="389">
      <c r="A389" s="22" t="n"/>
      <c r="B389" s="27" t="n"/>
      <c r="C389" s="17" t="n"/>
      <c r="D389" s="17" t="n"/>
      <c r="E389" s="17" t="n"/>
      <c r="F389" s="28" t="n"/>
      <c r="G389" s="29" t="n"/>
      <c r="H389" s="29" t="n"/>
      <c r="I389" s="29" t="n"/>
      <c r="J389" s="29" t="n"/>
      <c r="K389" s="30">
        <f>IF(B389="","",SUM(G$2:I389)-SUM(J$2:J389))</f>
        <v/>
      </c>
      <c r="L389" s="22">
        <f>IF(B389="","",IF(B389=B388,L388,N(L388)+1))</f>
        <v/>
      </c>
    </row>
    <row r="390">
      <c r="A390" s="22" t="n"/>
      <c r="B390" s="27" t="n"/>
      <c r="C390" s="17" t="n"/>
      <c r="D390" s="17" t="n"/>
      <c r="E390" s="17" t="n"/>
      <c r="F390" s="28" t="n"/>
      <c r="G390" s="29" t="n"/>
      <c r="H390" s="29" t="n"/>
      <c r="I390" s="29" t="n"/>
      <c r="J390" s="29" t="n"/>
      <c r="K390" s="30">
        <f>IF(B390="","",SUM(G$2:I390)-SUM(J$2:J390))</f>
        <v/>
      </c>
      <c r="L390" s="22">
        <f>IF(B390="","",IF(B390=B389,L389,N(L389)+1))</f>
        <v/>
      </c>
    </row>
    <row r="391">
      <c r="A391" s="22" t="n"/>
      <c r="B391" s="27" t="n"/>
      <c r="C391" s="17" t="n"/>
      <c r="D391" s="17" t="n"/>
      <c r="E391" s="17" t="n"/>
      <c r="F391" s="28" t="n"/>
      <c r="G391" s="29" t="n"/>
      <c r="H391" s="29" t="n"/>
      <c r="I391" s="29" t="n"/>
      <c r="J391" s="29" t="n"/>
      <c r="K391" s="30">
        <f>IF(B391="","",SUM(G$2:I391)-SUM(J$2:J391))</f>
        <v/>
      </c>
      <c r="L391" s="22">
        <f>IF(B391="","",IF(B391=B390,L390,N(L390)+1))</f>
        <v/>
      </c>
    </row>
    <row r="392">
      <c r="A392" s="22" t="n"/>
      <c r="B392" s="27" t="n"/>
      <c r="C392" s="17" t="n"/>
      <c r="D392" s="17" t="n"/>
      <c r="E392" s="17" t="n"/>
      <c r="F392" s="28" t="n"/>
      <c r="G392" s="29" t="n"/>
      <c r="H392" s="29" t="n"/>
      <c r="I392" s="29" t="n"/>
      <c r="J392" s="29" t="n"/>
      <c r="K392" s="30">
        <f>IF(B392="","",SUM(G$2:I392)-SUM(J$2:J392))</f>
        <v/>
      </c>
      <c r="L392" s="22">
        <f>IF(B392="","",IF(B392=B391,L391,N(L391)+1))</f>
        <v/>
      </c>
    </row>
    <row r="393">
      <c r="A393" s="22" t="n"/>
      <c r="B393" s="27" t="n"/>
      <c r="C393" s="17" t="n"/>
      <c r="D393" s="17" t="n"/>
      <c r="E393" s="17" t="n"/>
      <c r="F393" s="28" t="n"/>
      <c r="G393" s="29" t="n"/>
      <c r="H393" s="29" t="n"/>
      <c r="I393" s="29" t="n"/>
      <c r="J393" s="29" t="n"/>
      <c r="K393" s="30">
        <f>IF(B393="","",SUM(G$2:I393)-SUM(J$2:J393))</f>
        <v/>
      </c>
      <c r="L393" s="22">
        <f>IF(B393="","",IF(B393=B392,L392,N(L392)+1))</f>
        <v/>
      </c>
    </row>
    <row r="394">
      <c r="A394" s="22" t="n"/>
      <c r="B394" s="27" t="n"/>
      <c r="C394" s="17" t="n"/>
      <c r="D394" s="17" t="n"/>
      <c r="E394" s="17" t="n"/>
      <c r="F394" s="28" t="n"/>
      <c r="G394" s="29" t="n"/>
      <c r="H394" s="29" t="n"/>
      <c r="I394" s="29" t="n"/>
      <c r="J394" s="29" t="n"/>
      <c r="K394" s="30">
        <f>IF(B394="","",SUM(G$2:I394)-SUM(J$2:J394))</f>
        <v/>
      </c>
      <c r="L394" s="22">
        <f>IF(B394="","",IF(B394=B393,L393,N(L393)+1))</f>
        <v/>
      </c>
    </row>
    <row r="395">
      <c r="A395" s="22" t="n"/>
      <c r="B395" s="27" t="n"/>
      <c r="C395" s="17" t="n"/>
      <c r="D395" s="17" t="n"/>
      <c r="E395" s="17" t="n"/>
      <c r="F395" s="28" t="n"/>
      <c r="G395" s="29" t="n"/>
      <c r="H395" s="29" t="n"/>
      <c r="I395" s="29" t="n"/>
      <c r="J395" s="29" t="n"/>
      <c r="K395" s="30">
        <f>IF(B395="","",SUM(G$2:I395)-SUM(J$2:J395))</f>
        <v/>
      </c>
      <c r="L395" s="22">
        <f>IF(B395="","",IF(B395=B394,L394,N(L394)+1))</f>
        <v/>
      </c>
    </row>
    <row r="396">
      <c r="A396" s="22" t="n"/>
      <c r="B396" s="27" t="n"/>
      <c r="C396" s="17" t="n"/>
      <c r="D396" s="17" t="n"/>
      <c r="E396" s="17" t="n"/>
      <c r="F396" s="28" t="n"/>
      <c r="G396" s="29" t="n"/>
      <c r="H396" s="29" t="n"/>
      <c r="I396" s="29" t="n"/>
      <c r="J396" s="29" t="n"/>
      <c r="K396" s="30">
        <f>IF(B396="","",SUM(G$2:I396)-SUM(J$2:J396))</f>
        <v/>
      </c>
      <c r="L396" s="22">
        <f>IF(B396="","",IF(B396=B395,L395,N(L395)+1))</f>
        <v/>
      </c>
    </row>
    <row r="397">
      <c r="A397" s="22" t="n"/>
      <c r="B397" s="27" t="n"/>
      <c r="C397" s="17" t="n"/>
      <c r="D397" s="17" t="n"/>
      <c r="E397" s="17" t="n"/>
      <c r="F397" s="28" t="n"/>
      <c r="G397" s="29" t="n"/>
      <c r="H397" s="29" t="n"/>
      <c r="I397" s="29" t="n"/>
      <c r="J397" s="29" t="n"/>
      <c r="K397" s="30">
        <f>IF(B397="","",SUM(G$2:I397)-SUM(J$2:J397))</f>
        <v/>
      </c>
      <c r="L397" s="22">
        <f>IF(B397="","",IF(B397=B396,L396,N(L396)+1))</f>
        <v/>
      </c>
    </row>
    <row r="398">
      <c r="A398" s="22" t="n"/>
      <c r="B398" s="27" t="n"/>
      <c r="C398" s="17" t="n"/>
      <c r="D398" s="17" t="n"/>
      <c r="E398" s="17" t="n"/>
      <c r="F398" s="28" t="n"/>
      <c r="G398" s="29" t="n"/>
      <c r="H398" s="29" t="n"/>
      <c r="I398" s="29" t="n"/>
      <c r="J398" s="29" t="n"/>
      <c r="K398" s="30">
        <f>IF(B398="","",SUM(G$2:I398)-SUM(J$2:J398))</f>
        <v/>
      </c>
      <c r="L398" s="22">
        <f>IF(B398="","",IF(B398=B397,L397,N(L397)+1))</f>
        <v/>
      </c>
    </row>
    <row r="399">
      <c r="A399" s="22" t="n"/>
      <c r="B399" s="27" t="n"/>
      <c r="C399" s="17" t="n"/>
      <c r="D399" s="17" t="n"/>
      <c r="E399" s="17" t="n"/>
      <c r="F399" s="28" t="n"/>
      <c r="G399" s="29" t="n"/>
      <c r="H399" s="29" t="n"/>
      <c r="I399" s="29" t="n"/>
      <c r="J399" s="29" t="n"/>
      <c r="K399" s="30">
        <f>IF(B399="","",SUM(G$2:I399)-SUM(J$2:J399))</f>
        <v/>
      </c>
      <c r="L399" s="22">
        <f>IF(B399="","",IF(B399=B398,L398,N(L398)+1))</f>
        <v/>
      </c>
    </row>
    <row r="400">
      <c r="A400" s="22" t="n"/>
      <c r="B400" s="27" t="n"/>
      <c r="C400" s="17" t="n"/>
      <c r="D400" s="17" t="n"/>
      <c r="E400" s="17" t="n"/>
      <c r="F400" s="28" t="n"/>
      <c r="G400" s="29" t="n"/>
      <c r="H400" s="29" t="n"/>
      <c r="I400" s="29" t="n"/>
      <c r="J400" s="29" t="n"/>
      <c r="K400" s="30">
        <f>IF(B400="","",SUM(G$2:I400)-SUM(J$2:J400))</f>
        <v/>
      </c>
      <c r="L400" s="22">
        <f>IF(B400="","",IF(B400=B399,L399,N(L399)+1))</f>
        <v/>
      </c>
    </row>
    <row r="401">
      <c r="A401" s="22" t="n"/>
      <c r="B401" s="27" t="n"/>
      <c r="C401" s="17" t="n"/>
      <c r="D401" s="17" t="n"/>
      <c r="E401" s="17" t="n"/>
      <c r="F401" s="28" t="n"/>
      <c r="G401" s="29" t="n"/>
      <c r="H401" s="29" t="n"/>
      <c r="I401" s="29" t="n"/>
      <c r="J401" s="29" t="n"/>
      <c r="K401" s="30">
        <f>IF(B401="","",SUM(G$2:I401)-SUM(J$2:J401))</f>
        <v/>
      </c>
      <c r="L401" s="22">
        <f>IF(B401="","",IF(B401=B400,L400,N(L400)+1))</f>
        <v/>
      </c>
    </row>
    <row r="402">
      <c r="A402" s="22" t="n"/>
      <c r="B402" s="27" t="n"/>
      <c r="C402" s="17" t="n"/>
      <c r="D402" s="17" t="n"/>
      <c r="E402" s="17" t="n"/>
      <c r="F402" s="28" t="n"/>
      <c r="G402" s="29" t="n"/>
      <c r="H402" s="29" t="n"/>
      <c r="I402" s="29" t="n"/>
      <c r="J402" s="29" t="n"/>
      <c r="K402" s="30">
        <f>IF(B402="","",SUM(G$2:I402)-SUM(J$2:J402))</f>
        <v/>
      </c>
      <c r="L402" s="22">
        <f>IF(B402="","",IF(B402=B401,L401,N(L401)+1))</f>
        <v/>
      </c>
    </row>
    <row r="403">
      <c r="A403" s="22" t="n"/>
      <c r="B403" s="27" t="n"/>
      <c r="C403" s="17" t="n"/>
      <c r="D403" s="17" t="n"/>
      <c r="E403" s="17" t="n"/>
      <c r="F403" s="28" t="n"/>
      <c r="G403" s="29" t="n"/>
      <c r="H403" s="29" t="n"/>
      <c r="I403" s="29" t="n"/>
      <c r="J403" s="29" t="n"/>
      <c r="K403" s="30">
        <f>IF(B403="","",SUM(G$2:I403)-SUM(J$2:J403))</f>
        <v/>
      </c>
      <c r="L403" s="22">
        <f>IF(B403="","",IF(B403=B402,L402,N(L402)+1))</f>
        <v/>
      </c>
    </row>
    <row r="404">
      <c r="A404" s="22" t="n"/>
      <c r="B404" s="27" t="n"/>
      <c r="C404" s="17" t="n"/>
      <c r="D404" s="17" t="n"/>
      <c r="E404" s="17" t="n"/>
      <c r="F404" s="28" t="n"/>
      <c r="G404" s="29" t="n"/>
      <c r="H404" s="29" t="n"/>
      <c r="I404" s="29" t="n"/>
      <c r="J404" s="29" t="n"/>
      <c r="K404" s="30">
        <f>IF(B404="","",SUM(G$2:I404)-SUM(J$2:J404))</f>
        <v/>
      </c>
      <c r="L404" s="22">
        <f>IF(B404="","",IF(B404=B403,L403,N(L403)+1))</f>
        <v/>
      </c>
    </row>
    <row r="405">
      <c r="A405" s="22" t="n"/>
      <c r="B405" s="27" t="n"/>
      <c r="C405" s="17" t="n"/>
      <c r="D405" s="17" t="n"/>
      <c r="E405" s="17" t="n"/>
      <c r="F405" s="28" t="n"/>
      <c r="G405" s="29" t="n"/>
      <c r="H405" s="29" t="n"/>
      <c r="I405" s="29" t="n"/>
      <c r="J405" s="29" t="n"/>
      <c r="K405" s="30">
        <f>IF(B405="","",SUM(G$2:I405)-SUM(J$2:J405))</f>
        <v/>
      </c>
      <c r="L405" s="22">
        <f>IF(B405="","",IF(B405=B404,L404,N(L404)+1))</f>
        <v/>
      </c>
    </row>
    <row r="406">
      <c r="A406" s="22" t="n"/>
      <c r="B406" s="27" t="n"/>
      <c r="C406" s="17" t="n"/>
      <c r="D406" s="17" t="n"/>
      <c r="E406" s="17" t="n"/>
      <c r="F406" s="28" t="n"/>
      <c r="G406" s="29" t="n"/>
      <c r="H406" s="29" t="n"/>
      <c r="I406" s="29" t="n"/>
      <c r="J406" s="29" t="n"/>
      <c r="K406" s="30">
        <f>IF(B406="","",SUM(G$2:I406)-SUM(J$2:J406))</f>
        <v/>
      </c>
      <c r="L406" s="22">
        <f>IF(B406="","",IF(B406=B405,L405,N(L405)+1))</f>
        <v/>
      </c>
    </row>
    <row r="407">
      <c r="A407" s="22" t="n"/>
      <c r="B407" s="27" t="n"/>
      <c r="C407" s="17" t="n"/>
      <c r="D407" s="17" t="n"/>
      <c r="E407" s="17" t="n"/>
      <c r="F407" s="28" t="n"/>
      <c r="G407" s="29" t="n"/>
      <c r="H407" s="29" t="n"/>
      <c r="I407" s="29" t="n"/>
      <c r="J407" s="29" t="n"/>
      <c r="K407" s="30">
        <f>IF(B407="","",SUM(G$2:I407)-SUM(J$2:J407))</f>
        <v/>
      </c>
      <c r="L407" s="22">
        <f>IF(B407="","",IF(B407=B406,L406,N(L406)+1))</f>
        <v/>
      </c>
    </row>
    <row r="408">
      <c r="A408" s="22" t="n"/>
      <c r="B408" s="27" t="n"/>
      <c r="C408" s="17" t="n"/>
      <c r="D408" s="17" t="n"/>
      <c r="E408" s="17" t="n"/>
      <c r="F408" s="28" t="n"/>
      <c r="G408" s="29" t="n"/>
      <c r="H408" s="29" t="n"/>
      <c r="I408" s="29" t="n"/>
      <c r="J408" s="29" t="n"/>
      <c r="K408" s="30">
        <f>IF(B408="","",SUM(G$2:I408)-SUM(J$2:J408))</f>
        <v/>
      </c>
      <c r="L408" s="22">
        <f>IF(B408="","",IF(B408=B407,L407,N(L407)+1))</f>
        <v/>
      </c>
    </row>
    <row r="409">
      <c r="A409" s="22" t="n"/>
      <c r="B409" s="27" t="n"/>
      <c r="C409" s="17" t="n"/>
      <c r="D409" s="17" t="n"/>
      <c r="E409" s="17" t="n"/>
      <c r="F409" s="28" t="n"/>
      <c r="G409" s="29" t="n"/>
      <c r="H409" s="29" t="n"/>
      <c r="I409" s="29" t="n"/>
      <c r="J409" s="29" t="n"/>
      <c r="K409" s="30">
        <f>IF(B409="","",SUM(G$2:I409)-SUM(J$2:J409))</f>
        <v/>
      </c>
      <c r="L409" s="22">
        <f>IF(B409="","",IF(B409=B408,L408,N(L408)+1))</f>
        <v/>
      </c>
    </row>
    <row r="410">
      <c r="A410" s="22" t="n"/>
      <c r="B410" s="27" t="n"/>
      <c r="C410" s="17" t="n"/>
      <c r="D410" s="17" t="n"/>
      <c r="E410" s="17" t="n"/>
      <c r="F410" s="28" t="n"/>
      <c r="G410" s="29" t="n"/>
      <c r="H410" s="29" t="n"/>
      <c r="I410" s="29" t="n"/>
      <c r="J410" s="29" t="n"/>
      <c r="K410" s="30">
        <f>IF(B410="","",SUM(G$2:I410)-SUM(J$2:J410))</f>
        <v/>
      </c>
      <c r="L410" s="22">
        <f>IF(B410="","",IF(B410=B409,L409,N(L409)+1))</f>
        <v/>
      </c>
    </row>
    <row r="411">
      <c r="A411" s="22" t="n"/>
      <c r="B411" s="27" t="n"/>
      <c r="C411" s="17" t="n"/>
      <c r="D411" s="17" t="n"/>
      <c r="E411" s="17" t="n"/>
      <c r="F411" s="28" t="n"/>
      <c r="G411" s="29" t="n"/>
      <c r="H411" s="29" t="n"/>
      <c r="I411" s="29" t="n"/>
      <c r="J411" s="29" t="n"/>
      <c r="K411" s="30">
        <f>IF(B411="","",SUM(G$2:I411)-SUM(J$2:J411))</f>
        <v/>
      </c>
      <c r="L411" s="22">
        <f>IF(B411="","",IF(B411=B410,L410,N(L410)+1))</f>
        <v/>
      </c>
    </row>
    <row r="412">
      <c r="A412" s="22" t="n"/>
      <c r="B412" s="27" t="n"/>
      <c r="C412" s="17" t="n"/>
      <c r="D412" s="17" t="n"/>
      <c r="E412" s="17" t="n"/>
      <c r="F412" s="28" t="n"/>
      <c r="G412" s="29" t="n"/>
      <c r="H412" s="29" t="n"/>
      <c r="I412" s="29" t="n"/>
      <c r="J412" s="29" t="n"/>
      <c r="K412" s="30">
        <f>IF(B412="","",SUM(G$2:I412)-SUM(J$2:J412))</f>
        <v/>
      </c>
      <c r="L412" s="22">
        <f>IF(B412="","",IF(B412=B411,L411,N(L411)+1))</f>
        <v/>
      </c>
    </row>
    <row r="413">
      <c r="A413" s="22" t="n"/>
      <c r="B413" s="27" t="n"/>
      <c r="C413" s="17" t="n"/>
      <c r="D413" s="17" t="n"/>
      <c r="E413" s="17" t="n"/>
      <c r="F413" s="28" t="n"/>
      <c r="G413" s="29" t="n"/>
      <c r="H413" s="29" t="n"/>
      <c r="I413" s="29" t="n"/>
      <c r="J413" s="29" t="n"/>
      <c r="K413" s="30">
        <f>IF(B413="","",SUM(G$2:I413)-SUM(J$2:J413))</f>
        <v/>
      </c>
      <c r="L413" s="22">
        <f>IF(B413="","",IF(B413=B412,L412,N(L412)+1))</f>
        <v/>
      </c>
    </row>
    <row r="414">
      <c r="A414" s="22" t="n"/>
      <c r="B414" s="27" t="n"/>
      <c r="C414" s="17" t="n"/>
      <c r="D414" s="17" t="n"/>
      <c r="E414" s="17" t="n"/>
      <c r="F414" s="28" t="n"/>
      <c r="G414" s="29" t="n"/>
      <c r="H414" s="29" t="n"/>
      <c r="I414" s="29" t="n"/>
      <c r="J414" s="29" t="n"/>
      <c r="K414" s="30">
        <f>IF(B414="","",SUM(G$2:I414)-SUM(J$2:J414))</f>
        <v/>
      </c>
      <c r="L414" s="22">
        <f>IF(B414="","",IF(B414=B413,L413,N(L413)+1))</f>
        <v/>
      </c>
    </row>
    <row r="415">
      <c r="A415" s="22" t="n"/>
      <c r="B415" s="27" t="n"/>
      <c r="C415" s="17" t="n"/>
      <c r="D415" s="17" t="n"/>
      <c r="E415" s="17" t="n"/>
      <c r="F415" s="28" t="n"/>
      <c r="G415" s="29" t="n"/>
      <c r="H415" s="29" t="n"/>
      <c r="I415" s="29" t="n"/>
      <c r="J415" s="29" t="n"/>
      <c r="K415" s="30">
        <f>IF(B415="","",SUM(G$2:I415)-SUM(J$2:J415))</f>
        <v/>
      </c>
      <c r="L415" s="22">
        <f>IF(B415="","",IF(B415=B414,L414,N(L414)+1))</f>
        <v/>
      </c>
    </row>
    <row r="416">
      <c r="A416" s="22" t="n"/>
      <c r="B416" s="27" t="n"/>
      <c r="C416" s="17" t="n"/>
      <c r="D416" s="17" t="n"/>
      <c r="E416" s="17" t="n"/>
      <c r="F416" s="28" t="n"/>
      <c r="G416" s="29" t="n"/>
      <c r="H416" s="29" t="n"/>
      <c r="I416" s="29" t="n"/>
      <c r="J416" s="29" t="n"/>
      <c r="K416" s="30">
        <f>IF(B416="","",SUM(G$2:I416)-SUM(J$2:J416))</f>
        <v/>
      </c>
      <c r="L416" s="22">
        <f>IF(B416="","",IF(B416=B415,L415,N(L415)+1))</f>
        <v/>
      </c>
    </row>
    <row r="417">
      <c r="A417" s="22" t="n"/>
      <c r="B417" s="27" t="n"/>
      <c r="C417" s="17" t="n"/>
      <c r="D417" s="17" t="n"/>
      <c r="E417" s="17" t="n"/>
      <c r="F417" s="28" t="n"/>
      <c r="G417" s="29" t="n"/>
      <c r="H417" s="29" t="n"/>
      <c r="I417" s="29" t="n"/>
      <c r="J417" s="29" t="n"/>
      <c r="K417" s="30">
        <f>IF(B417="","",SUM(G$2:I417)-SUM(J$2:J417))</f>
        <v/>
      </c>
      <c r="L417" s="22">
        <f>IF(B417="","",IF(B417=B416,L416,N(L416)+1))</f>
        <v/>
      </c>
    </row>
    <row r="418">
      <c r="A418" s="22" t="n"/>
      <c r="B418" s="27" t="n"/>
      <c r="C418" s="17" t="n"/>
      <c r="D418" s="17" t="n"/>
      <c r="E418" s="17" t="n"/>
      <c r="F418" s="28" t="n"/>
      <c r="G418" s="29" t="n"/>
      <c r="H418" s="29" t="n"/>
      <c r="I418" s="29" t="n"/>
      <c r="J418" s="29" t="n"/>
      <c r="K418" s="30">
        <f>IF(B418="","",SUM(G$2:I418)-SUM(J$2:J418))</f>
        <v/>
      </c>
      <c r="L418" s="22">
        <f>IF(B418="","",IF(B418=B417,L417,N(L417)+1))</f>
        <v/>
      </c>
    </row>
    <row r="419">
      <c r="A419" s="22" t="n"/>
      <c r="B419" s="27" t="n"/>
      <c r="C419" s="17" t="n"/>
      <c r="D419" s="17" t="n"/>
      <c r="E419" s="17" t="n"/>
      <c r="F419" s="28" t="n"/>
      <c r="G419" s="29" t="n"/>
      <c r="H419" s="29" t="n"/>
      <c r="I419" s="29" t="n"/>
      <c r="J419" s="29" t="n"/>
      <c r="K419" s="30">
        <f>IF(B419="","",SUM(G$2:I419)-SUM(J$2:J419))</f>
        <v/>
      </c>
      <c r="L419" s="22">
        <f>IF(B419="","",IF(B419=B418,L418,N(L418)+1))</f>
        <v/>
      </c>
    </row>
    <row r="420">
      <c r="A420" s="22" t="n"/>
      <c r="B420" s="27" t="n"/>
      <c r="C420" s="17" t="n"/>
      <c r="D420" s="17" t="n"/>
      <c r="E420" s="17" t="n"/>
      <c r="F420" s="28" t="n"/>
      <c r="G420" s="29" t="n"/>
      <c r="H420" s="29" t="n"/>
      <c r="I420" s="29" t="n"/>
      <c r="J420" s="29" t="n"/>
      <c r="K420" s="30">
        <f>IF(B420="","",SUM(G$2:I420)-SUM(J$2:J420))</f>
        <v/>
      </c>
      <c r="L420" s="22">
        <f>IF(B420="","",IF(B420=B419,L419,N(L419)+1))</f>
        <v/>
      </c>
    </row>
    <row r="421">
      <c r="A421" s="22" t="n"/>
      <c r="B421" s="27" t="n"/>
      <c r="C421" s="17" t="n"/>
      <c r="D421" s="17" t="n"/>
      <c r="E421" s="17" t="n"/>
      <c r="F421" s="28" t="n"/>
      <c r="G421" s="29" t="n"/>
      <c r="H421" s="29" t="n"/>
      <c r="I421" s="29" t="n"/>
      <c r="J421" s="29" t="n"/>
      <c r="K421" s="30">
        <f>IF(B421="","",SUM(G$2:I421)-SUM(J$2:J421))</f>
        <v/>
      </c>
      <c r="L421" s="22">
        <f>IF(B421="","",IF(B421=B420,L420,N(L420)+1))</f>
        <v/>
      </c>
    </row>
    <row r="422">
      <c r="A422" s="22" t="n"/>
      <c r="B422" s="27" t="n"/>
      <c r="C422" s="17" t="n"/>
      <c r="D422" s="17" t="n"/>
      <c r="E422" s="17" t="n"/>
      <c r="F422" s="28" t="n"/>
      <c r="G422" s="29" t="n"/>
      <c r="H422" s="29" t="n"/>
      <c r="I422" s="29" t="n"/>
      <c r="J422" s="29" t="n"/>
      <c r="K422" s="30">
        <f>IF(B422="","",SUM(G$2:I422)-SUM(J$2:J422))</f>
        <v/>
      </c>
      <c r="L422" s="22">
        <f>IF(B422="","",IF(B422=B421,L421,N(L421)+1))</f>
        <v/>
      </c>
    </row>
    <row r="423">
      <c r="A423" s="22" t="n"/>
      <c r="B423" s="27" t="n"/>
      <c r="C423" s="17" t="n"/>
      <c r="D423" s="17" t="n"/>
      <c r="E423" s="17" t="n"/>
      <c r="F423" s="28" t="n"/>
      <c r="G423" s="29" t="n"/>
      <c r="H423" s="29" t="n"/>
      <c r="I423" s="29" t="n"/>
      <c r="J423" s="29" t="n"/>
      <c r="K423" s="30">
        <f>IF(B423="","",SUM(G$2:I423)-SUM(J$2:J423))</f>
        <v/>
      </c>
      <c r="L423" s="22">
        <f>IF(B423="","",IF(B423=B422,L422,N(L422)+1))</f>
        <v/>
      </c>
    </row>
    <row r="424">
      <c r="A424" s="22" t="n"/>
      <c r="B424" s="27" t="n"/>
      <c r="C424" s="17" t="n"/>
      <c r="D424" s="17" t="n"/>
      <c r="E424" s="17" t="n"/>
      <c r="F424" s="28" t="n"/>
      <c r="G424" s="29" t="n"/>
      <c r="H424" s="29" t="n"/>
      <c r="I424" s="29" t="n"/>
      <c r="J424" s="29" t="n"/>
      <c r="K424" s="30">
        <f>IF(B424="","",SUM(G$2:I424)-SUM(J$2:J424))</f>
        <v/>
      </c>
      <c r="L424" s="22">
        <f>IF(B424="","",IF(B424=B423,L423,N(L423)+1))</f>
        <v/>
      </c>
    </row>
    <row r="425">
      <c r="A425" s="22" t="n"/>
      <c r="B425" s="27" t="n"/>
      <c r="C425" s="17" t="n"/>
      <c r="D425" s="17" t="n"/>
      <c r="E425" s="17" t="n"/>
      <c r="F425" s="28" t="n"/>
      <c r="G425" s="29" t="n"/>
      <c r="H425" s="29" t="n"/>
      <c r="I425" s="29" t="n"/>
      <c r="J425" s="29" t="n"/>
      <c r="K425" s="30">
        <f>IF(B425="","",SUM(G$2:I425)-SUM(J$2:J425))</f>
        <v/>
      </c>
      <c r="L425" s="22">
        <f>IF(B425="","",IF(B425=B424,L424,N(L424)+1))</f>
        <v/>
      </c>
    </row>
    <row r="426">
      <c r="A426" s="22" t="n"/>
      <c r="B426" s="27" t="n"/>
      <c r="C426" s="17" t="n"/>
      <c r="D426" s="17" t="n"/>
      <c r="E426" s="17" t="n"/>
      <c r="F426" s="28" t="n"/>
      <c r="G426" s="29" t="n"/>
      <c r="H426" s="29" t="n"/>
      <c r="I426" s="29" t="n"/>
      <c r="J426" s="29" t="n"/>
      <c r="K426" s="30">
        <f>IF(B426="","",SUM(G$2:I426)-SUM(J$2:J426))</f>
        <v/>
      </c>
      <c r="L426" s="22">
        <f>IF(B426="","",IF(B426=B425,L425,N(L425)+1))</f>
        <v/>
      </c>
    </row>
    <row r="427">
      <c r="A427" s="22" t="n"/>
      <c r="B427" s="27" t="n"/>
      <c r="C427" s="17" t="n"/>
      <c r="D427" s="17" t="n"/>
      <c r="E427" s="17" t="n"/>
      <c r="F427" s="28" t="n"/>
      <c r="G427" s="29" t="n"/>
      <c r="H427" s="29" t="n"/>
      <c r="I427" s="29" t="n"/>
      <c r="J427" s="29" t="n"/>
      <c r="K427" s="30">
        <f>IF(B427="","",SUM(G$2:I427)-SUM(J$2:J427))</f>
        <v/>
      </c>
      <c r="L427" s="22">
        <f>IF(B427="","",IF(B427=B426,L426,N(L426)+1))</f>
        <v/>
      </c>
    </row>
    <row r="428">
      <c r="A428" s="22" t="n"/>
      <c r="B428" s="27" t="n"/>
      <c r="C428" s="17" t="n"/>
      <c r="D428" s="17" t="n"/>
      <c r="E428" s="17" t="n"/>
      <c r="F428" s="28" t="n"/>
      <c r="G428" s="29" t="n"/>
      <c r="H428" s="29" t="n"/>
      <c r="I428" s="29" t="n"/>
      <c r="J428" s="29" t="n"/>
      <c r="K428" s="30">
        <f>IF(B428="","",SUM(G$2:I428)-SUM(J$2:J428))</f>
        <v/>
      </c>
      <c r="L428" s="22">
        <f>IF(B428="","",IF(B428=B427,L427,N(L427)+1))</f>
        <v/>
      </c>
    </row>
    <row r="429">
      <c r="A429" s="22" t="n"/>
      <c r="B429" s="27" t="n"/>
      <c r="C429" s="17" t="n"/>
      <c r="D429" s="17" t="n"/>
      <c r="E429" s="17" t="n"/>
      <c r="F429" s="28" t="n"/>
      <c r="G429" s="29" t="n"/>
      <c r="H429" s="29" t="n"/>
      <c r="I429" s="29" t="n"/>
      <c r="J429" s="29" t="n"/>
      <c r="K429" s="30">
        <f>IF(B429="","",SUM(G$2:I429)-SUM(J$2:J429))</f>
        <v/>
      </c>
      <c r="L429" s="22">
        <f>IF(B429="","",IF(B429=B428,L428,N(L428)+1))</f>
        <v/>
      </c>
    </row>
    <row r="430">
      <c r="A430" s="22" t="n"/>
      <c r="B430" s="27" t="n"/>
      <c r="C430" s="17" t="n"/>
      <c r="D430" s="17" t="n"/>
      <c r="E430" s="17" t="n"/>
      <c r="F430" s="28" t="n"/>
      <c r="G430" s="29" t="n"/>
      <c r="H430" s="29" t="n"/>
      <c r="I430" s="29" t="n"/>
      <c r="J430" s="29" t="n"/>
      <c r="K430" s="30">
        <f>IF(B430="","",SUM(G$2:I430)-SUM(J$2:J430))</f>
        <v/>
      </c>
      <c r="L430" s="22">
        <f>IF(B430="","",IF(B430=B429,L429,N(L429)+1))</f>
        <v/>
      </c>
    </row>
    <row r="431">
      <c r="A431" s="22" t="n"/>
      <c r="B431" s="27" t="n"/>
      <c r="C431" s="17" t="n"/>
      <c r="D431" s="17" t="n"/>
      <c r="E431" s="17" t="n"/>
      <c r="F431" s="28" t="n"/>
      <c r="G431" s="29" t="n"/>
      <c r="H431" s="29" t="n"/>
      <c r="I431" s="29" t="n"/>
      <c r="J431" s="29" t="n"/>
      <c r="K431" s="30">
        <f>IF(B431="","",SUM(G$2:I431)-SUM(J$2:J431))</f>
        <v/>
      </c>
      <c r="L431" s="22">
        <f>IF(B431="","",IF(B431=B430,L430,N(L430)+1))</f>
        <v/>
      </c>
    </row>
    <row r="432">
      <c r="A432" s="22" t="n"/>
      <c r="B432" s="27" t="n"/>
      <c r="C432" s="17" t="n"/>
      <c r="D432" s="17" t="n"/>
      <c r="E432" s="17" t="n"/>
      <c r="F432" s="28" t="n"/>
      <c r="G432" s="29" t="n"/>
      <c r="H432" s="29" t="n"/>
      <c r="I432" s="29" t="n"/>
      <c r="J432" s="29" t="n"/>
      <c r="K432" s="30">
        <f>IF(B432="","",SUM(G$2:I432)-SUM(J$2:J432))</f>
        <v/>
      </c>
      <c r="L432" s="22">
        <f>IF(B432="","",IF(B432=B431,L431,N(L431)+1))</f>
        <v/>
      </c>
    </row>
    <row r="433">
      <c r="A433" s="22" t="n"/>
      <c r="B433" s="27" t="n"/>
      <c r="C433" s="17" t="n"/>
      <c r="D433" s="17" t="n"/>
      <c r="E433" s="17" t="n"/>
      <c r="F433" s="28" t="n"/>
      <c r="G433" s="29" t="n"/>
      <c r="H433" s="29" t="n"/>
      <c r="I433" s="29" t="n"/>
      <c r="J433" s="29" t="n"/>
      <c r="K433" s="30">
        <f>IF(B433="","",SUM(G$2:I433)-SUM(J$2:J433))</f>
        <v/>
      </c>
      <c r="L433" s="22">
        <f>IF(B433="","",IF(B433=B432,L432,N(L432)+1))</f>
        <v/>
      </c>
    </row>
    <row r="434">
      <c r="A434" s="22" t="n"/>
      <c r="B434" s="27" t="n"/>
      <c r="C434" s="17" t="n"/>
      <c r="D434" s="17" t="n"/>
      <c r="E434" s="17" t="n"/>
      <c r="F434" s="28" t="n"/>
      <c r="G434" s="29" t="n"/>
      <c r="H434" s="29" t="n"/>
      <c r="I434" s="29" t="n"/>
      <c r="J434" s="29" t="n"/>
      <c r="K434" s="30">
        <f>IF(B434="","",SUM(G$2:I434)-SUM(J$2:J434))</f>
        <v/>
      </c>
      <c r="L434" s="22">
        <f>IF(B434="","",IF(B434=B433,L433,N(L433)+1))</f>
        <v/>
      </c>
    </row>
    <row r="435">
      <c r="A435" s="22" t="n"/>
      <c r="B435" s="27" t="n"/>
      <c r="C435" s="17" t="n"/>
      <c r="D435" s="17" t="n"/>
      <c r="E435" s="17" t="n"/>
      <c r="F435" s="28" t="n"/>
      <c r="G435" s="29" t="n"/>
      <c r="H435" s="29" t="n"/>
      <c r="I435" s="29" t="n"/>
      <c r="J435" s="29" t="n"/>
      <c r="K435" s="30">
        <f>IF(B435="","",SUM(G$2:I435)-SUM(J$2:J435))</f>
        <v/>
      </c>
      <c r="L435" s="22">
        <f>IF(B435="","",IF(B435=B434,L434,N(L434)+1))</f>
        <v/>
      </c>
    </row>
    <row r="436">
      <c r="A436" s="22" t="n"/>
      <c r="B436" s="27" t="n"/>
      <c r="C436" s="17" t="n"/>
      <c r="D436" s="17" t="n"/>
      <c r="E436" s="17" t="n"/>
      <c r="F436" s="28" t="n"/>
      <c r="G436" s="29" t="n"/>
      <c r="H436" s="29" t="n"/>
      <c r="I436" s="29" t="n"/>
      <c r="J436" s="29" t="n"/>
      <c r="K436" s="30">
        <f>IF(B436="","",SUM(G$2:I436)-SUM(J$2:J436))</f>
        <v/>
      </c>
      <c r="L436" s="22">
        <f>IF(B436="","",IF(B436=B435,L435,N(L435)+1))</f>
        <v/>
      </c>
    </row>
    <row r="437">
      <c r="A437" s="22" t="n"/>
      <c r="B437" s="27" t="n"/>
      <c r="C437" s="17" t="n"/>
      <c r="D437" s="17" t="n"/>
      <c r="E437" s="17" t="n"/>
      <c r="F437" s="28" t="n"/>
      <c r="G437" s="29" t="n"/>
      <c r="H437" s="29" t="n"/>
      <c r="I437" s="29" t="n"/>
      <c r="J437" s="29" t="n"/>
      <c r="K437" s="30">
        <f>IF(B437="","",SUM(G$2:I437)-SUM(J$2:J437))</f>
        <v/>
      </c>
      <c r="L437" s="22">
        <f>IF(B437="","",IF(B437=B436,L436,N(L436)+1))</f>
        <v/>
      </c>
    </row>
    <row r="438">
      <c r="A438" s="22" t="n"/>
      <c r="B438" s="27" t="n"/>
      <c r="C438" s="17" t="n"/>
      <c r="D438" s="17" t="n"/>
      <c r="E438" s="17" t="n"/>
      <c r="F438" s="28" t="n"/>
      <c r="G438" s="29" t="n"/>
      <c r="H438" s="29" t="n"/>
      <c r="I438" s="29" t="n"/>
      <c r="J438" s="29" t="n"/>
      <c r="K438" s="30">
        <f>IF(B438="","",SUM(G$2:I438)-SUM(J$2:J438))</f>
        <v/>
      </c>
      <c r="L438" s="22">
        <f>IF(B438="","",IF(B438=B437,L437,N(L437)+1))</f>
        <v/>
      </c>
    </row>
    <row r="439">
      <c r="A439" s="22" t="n"/>
      <c r="B439" s="27" t="n"/>
      <c r="C439" s="17" t="n"/>
      <c r="D439" s="17" t="n"/>
      <c r="E439" s="17" t="n"/>
      <c r="F439" s="28" t="n"/>
      <c r="G439" s="29" t="n"/>
      <c r="H439" s="29" t="n"/>
      <c r="I439" s="29" t="n"/>
      <c r="J439" s="29" t="n"/>
      <c r="K439" s="30">
        <f>IF(B439="","",SUM(G$2:I439)-SUM(J$2:J439))</f>
        <v/>
      </c>
      <c r="L439" s="22">
        <f>IF(B439="","",IF(B439=B438,L438,N(L438)+1))</f>
        <v/>
      </c>
    </row>
    <row r="440">
      <c r="A440" s="22" t="n"/>
      <c r="B440" s="27" t="n"/>
      <c r="C440" s="17" t="n"/>
      <c r="D440" s="17" t="n"/>
      <c r="E440" s="17" t="n"/>
      <c r="F440" s="28" t="n"/>
      <c r="G440" s="29" t="n"/>
      <c r="H440" s="29" t="n"/>
      <c r="I440" s="29" t="n"/>
      <c r="J440" s="29" t="n"/>
      <c r="K440" s="30">
        <f>IF(B440="","",SUM(G$2:I440)-SUM(J$2:J440))</f>
        <v/>
      </c>
      <c r="L440" s="22">
        <f>IF(B440="","",IF(B440=B439,L439,N(L439)+1))</f>
        <v/>
      </c>
    </row>
    <row r="441">
      <c r="A441" s="22" t="n"/>
      <c r="B441" s="27" t="n"/>
      <c r="C441" s="17" t="n"/>
      <c r="D441" s="17" t="n"/>
      <c r="E441" s="17" t="n"/>
      <c r="F441" s="28" t="n"/>
      <c r="G441" s="29" t="n"/>
      <c r="H441" s="29" t="n"/>
      <c r="I441" s="29" t="n"/>
      <c r="J441" s="29" t="n"/>
      <c r="K441" s="30">
        <f>IF(B441="","",SUM(G$2:I441)-SUM(J$2:J441))</f>
        <v/>
      </c>
      <c r="L441" s="22">
        <f>IF(B441="","",IF(B441=B440,L440,N(L440)+1))</f>
        <v/>
      </c>
    </row>
    <row r="442">
      <c r="A442" s="22" t="n"/>
      <c r="B442" s="27" t="n"/>
      <c r="C442" s="17" t="n"/>
      <c r="D442" s="17" t="n"/>
      <c r="E442" s="17" t="n"/>
      <c r="F442" s="28" t="n"/>
      <c r="G442" s="29" t="n"/>
      <c r="H442" s="29" t="n"/>
      <c r="I442" s="29" t="n"/>
      <c r="J442" s="29" t="n"/>
      <c r="K442" s="30">
        <f>IF(B442="","",SUM(G$2:I442)-SUM(J$2:J442))</f>
        <v/>
      </c>
      <c r="L442" s="22">
        <f>IF(B442="","",IF(B442=B441,L441,N(L441)+1))</f>
        <v/>
      </c>
    </row>
    <row r="443">
      <c r="A443" s="22" t="n"/>
      <c r="B443" s="27" t="n"/>
      <c r="C443" s="17" t="n"/>
      <c r="D443" s="17" t="n"/>
      <c r="E443" s="17" t="n"/>
      <c r="F443" s="28" t="n"/>
      <c r="G443" s="29" t="n"/>
      <c r="H443" s="29" t="n"/>
      <c r="I443" s="29" t="n"/>
      <c r="J443" s="29" t="n"/>
      <c r="K443" s="30">
        <f>IF(B443="","",SUM(G$2:I443)-SUM(J$2:J443))</f>
        <v/>
      </c>
      <c r="L443" s="22">
        <f>IF(B443="","",IF(B443=B442,L442,N(L442)+1))</f>
        <v/>
      </c>
    </row>
    <row r="444">
      <c r="A444" s="22" t="n"/>
      <c r="B444" s="27" t="n"/>
      <c r="C444" s="17" t="n"/>
      <c r="D444" s="17" t="n"/>
      <c r="E444" s="17" t="n"/>
      <c r="F444" s="28" t="n"/>
      <c r="G444" s="29" t="n"/>
      <c r="H444" s="29" t="n"/>
      <c r="I444" s="29" t="n"/>
      <c r="J444" s="29" t="n"/>
      <c r="K444" s="30">
        <f>IF(B444="","",SUM(G$2:I444)-SUM(J$2:J444))</f>
        <v/>
      </c>
      <c r="L444" s="22">
        <f>IF(B444="","",IF(B444=B443,L443,N(L443)+1))</f>
        <v/>
      </c>
    </row>
    <row r="445">
      <c r="A445" s="22" t="n"/>
      <c r="B445" s="27" t="n"/>
      <c r="C445" s="17" t="n"/>
      <c r="D445" s="17" t="n"/>
      <c r="E445" s="17" t="n"/>
      <c r="F445" s="28" t="n"/>
      <c r="G445" s="29" t="n"/>
      <c r="H445" s="29" t="n"/>
      <c r="I445" s="29" t="n"/>
      <c r="J445" s="29" t="n"/>
      <c r="K445" s="30">
        <f>IF(B445="","",SUM(G$2:I445)-SUM(J$2:J445))</f>
        <v/>
      </c>
      <c r="L445" s="22">
        <f>IF(B445="","",IF(B445=B444,L444,N(L444)+1))</f>
        <v/>
      </c>
    </row>
    <row r="446">
      <c r="A446" s="22" t="n"/>
      <c r="B446" s="27" t="n"/>
      <c r="C446" s="17" t="n"/>
      <c r="D446" s="17" t="n"/>
      <c r="E446" s="17" t="n"/>
      <c r="F446" s="28" t="n"/>
      <c r="G446" s="29" t="n"/>
      <c r="H446" s="29" t="n"/>
      <c r="I446" s="29" t="n"/>
      <c r="J446" s="29" t="n"/>
      <c r="K446" s="30">
        <f>IF(B446="","",SUM(G$2:I446)-SUM(J$2:J446))</f>
        <v/>
      </c>
      <c r="L446" s="22">
        <f>IF(B446="","",IF(B446=B445,L445,N(L445)+1))</f>
        <v/>
      </c>
    </row>
    <row r="447">
      <c r="A447" s="22" t="n"/>
      <c r="B447" s="27" t="n"/>
      <c r="C447" s="17" t="n"/>
      <c r="D447" s="17" t="n"/>
      <c r="E447" s="17" t="n"/>
      <c r="F447" s="28" t="n"/>
      <c r="G447" s="29" t="n"/>
      <c r="H447" s="29" t="n"/>
      <c r="I447" s="29" t="n"/>
      <c r="J447" s="29" t="n"/>
      <c r="K447" s="30">
        <f>IF(B447="","",SUM(G$2:I447)-SUM(J$2:J447))</f>
        <v/>
      </c>
      <c r="L447" s="22">
        <f>IF(B447="","",IF(B447=B446,L446,N(L446)+1))</f>
        <v/>
      </c>
    </row>
    <row r="448">
      <c r="A448" s="22" t="n"/>
      <c r="B448" s="27" t="n"/>
      <c r="C448" s="17" t="n"/>
      <c r="D448" s="17" t="n"/>
      <c r="E448" s="17" t="n"/>
      <c r="F448" s="28" t="n"/>
      <c r="G448" s="29" t="n"/>
      <c r="H448" s="29" t="n"/>
      <c r="I448" s="29" t="n"/>
      <c r="J448" s="29" t="n"/>
      <c r="K448" s="30">
        <f>IF(B448="","",SUM(G$2:I448)-SUM(J$2:J448))</f>
        <v/>
      </c>
      <c r="L448" s="22">
        <f>IF(B448="","",IF(B448=B447,L447,N(L447)+1))</f>
        <v/>
      </c>
    </row>
    <row r="449">
      <c r="A449" s="22" t="n"/>
      <c r="B449" s="27" t="n"/>
      <c r="C449" s="17" t="n"/>
      <c r="D449" s="17" t="n"/>
      <c r="E449" s="17" t="n"/>
      <c r="F449" s="28" t="n"/>
      <c r="G449" s="29" t="n"/>
      <c r="H449" s="29" t="n"/>
      <c r="I449" s="29" t="n"/>
      <c r="J449" s="29" t="n"/>
      <c r="K449" s="30">
        <f>IF(B449="","",SUM(G$2:I449)-SUM(J$2:J449))</f>
        <v/>
      </c>
      <c r="L449" s="22">
        <f>IF(B449="","",IF(B449=B448,L448,N(L448)+1))</f>
        <v/>
      </c>
    </row>
    <row r="450">
      <c r="A450" s="22" t="n"/>
      <c r="B450" s="27" t="n"/>
      <c r="C450" s="17" t="n"/>
      <c r="D450" s="17" t="n"/>
      <c r="E450" s="17" t="n"/>
      <c r="F450" s="28" t="n"/>
      <c r="G450" s="29" t="n"/>
      <c r="H450" s="29" t="n"/>
      <c r="I450" s="29" t="n"/>
      <c r="J450" s="29" t="n"/>
      <c r="K450" s="30">
        <f>IF(B450="","",SUM(G$2:I450)-SUM(J$2:J450))</f>
        <v/>
      </c>
      <c r="L450" s="22">
        <f>IF(B450="","",IF(B450=B449,L449,N(L449)+1))</f>
        <v/>
      </c>
    </row>
    <row r="451">
      <c r="A451" s="22" t="n"/>
      <c r="B451" s="27" t="n"/>
      <c r="C451" s="17" t="n"/>
      <c r="D451" s="17" t="n"/>
      <c r="E451" s="17" t="n"/>
      <c r="F451" s="28" t="n"/>
      <c r="G451" s="29" t="n"/>
      <c r="H451" s="29" t="n"/>
      <c r="I451" s="29" t="n"/>
      <c r="J451" s="29" t="n"/>
      <c r="K451" s="30">
        <f>IF(B451="","",SUM(G$2:I451)-SUM(J$2:J451))</f>
        <v/>
      </c>
      <c r="L451" s="22">
        <f>IF(B451="","",IF(B451=B450,L450,N(L450)+1))</f>
        <v/>
      </c>
    </row>
    <row r="452">
      <c r="A452" s="22" t="n"/>
      <c r="B452" s="27" t="n"/>
      <c r="C452" s="17" t="n"/>
      <c r="D452" s="17" t="n"/>
      <c r="E452" s="17" t="n"/>
      <c r="F452" s="28" t="n"/>
      <c r="G452" s="29" t="n"/>
      <c r="H452" s="29" t="n"/>
      <c r="I452" s="29" t="n"/>
      <c r="J452" s="29" t="n"/>
      <c r="K452" s="30">
        <f>IF(B452="","",SUM(G$2:I452)-SUM(J$2:J452))</f>
        <v/>
      </c>
      <c r="L452" s="22">
        <f>IF(B452="","",IF(B452=B451,L451,N(L451)+1))</f>
        <v/>
      </c>
    </row>
    <row r="453">
      <c r="A453" s="22" t="n"/>
      <c r="B453" s="27" t="n"/>
      <c r="C453" s="17" t="n"/>
      <c r="D453" s="17" t="n"/>
      <c r="E453" s="17" t="n"/>
      <c r="F453" s="28" t="n"/>
      <c r="G453" s="29" t="n"/>
      <c r="H453" s="29" t="n"/>
      <c r="I453" s="29" t="n"/>
      <c r="J453" s="29" t="n"/>
      <c r="K453" s="30">
        <f>IF(B453="","",SUM(G$2:I453)-SUM(J$2:J453))</f>
        <v/>
      </c>
      <c r="L453" s="22">
        <f>IF(B453="","",IF(B453=B452,L452,N(L452)+1))</f>
        <v/>
      </c>
    </row>
    <row r="454">
      <c r="A454" s="22" t="n"/>
      <c r="B454" s="27" t="n"/>
      <c r="C454" s="17" t="n"/>
      <c r="D454" s="17" t="n"/>
      <c r="E454" s="17" t="n"/>
      <c r="F454" s="28" t="n"/>
      <c r="G454" s="29" t="n"/>
      <c r="H454" s="29" t="n"/>
      <c r="I454" s="29" t="n"/>
      <c r="J454" s="29" t="n"/>
      <c r="K454" s="30">
        <f>IF(B454="","",SUM(G$2:I454)-SUM(J$2:J454))</f>
        <v/>
      </c>
      <c r="L454" s="22">
        <f>IF(B454="","",IF(B454=B453,L453,N(L453)+1))</f>
        <v/>
      </c>
    </row>
    <row r="455">
      <c r="A455" s="22" t="n"/>
      <c r="B455" s="27" t="n"/>
      <c r="C455" s="17" t="n"/>
      <c r="D455" s="17" t="n"/>
      <c r="E455" s="17" t="n"/>
      <c r="F455" s="28" t="n"/>
      <c r="G455" s="29" t="n"/>
      <c r="H455" s="29" t="n"/>
      <c r="I455" s="29" t="n"/>
      <c r="J455" s="29" t="n"/>
      <c r="K455" s="30">
        <f>IF(B455="","",SUM(G$2:I455)-SUM(J$2:J455))</f>
        <v/>
      </c>
      <c r="L455" s="22">
        <f>IF(B455="","",IF(B455=B454,L454,N(L454)+1))</f>
        <v/>
      </c>
    </row>
    <row r="456">
      <c r="A456" s="22" t="n"/>
      <c r="B456" s="27" t="n"/>
      <c r="C456" s="17" t="n"/>
      <c r="D456" s="17" t="n"/>
      <c r="E456" s="17" t="n"/>
      <c r="F456" s="28" t="n"/>
      <c r="G456" s="29" t="n"/>
      <c r="H456" s="29" t="n"/>
      <c r="I456" s="29" t="n"/>
      <c r="J456" s="29" t="n"/>
      <c r="K456" s="30">
        <f>IF(B456="","",SUM(G$2:I456)-SUM(J$2:J456))</f>
        <v/>
      </c>
      <c r="L456" s="22">
        <f>IF(B456="","",IF(B456=B455,L455,N(L455)+1))</f>
        <v/>
      </c>
    </row>
    <row r="457">
      <c r="A457" s="22" t="n"/>
      <c r="B457" s="27" t="n"/>
      <c r="C457" s="17" t="n"/>
      <c r="D457" s="17" t="n"/>
      <c r="E457" s="17" t="n"/>
      <c r="F457" s="28" t="n"/>
      <c r="G457" s="29" t="n"/>
      <c r="H457" s="29" t="n"/>
      <c r="I457" s="29" t="n"/>
      <c r="J457" s="29" t="n"/>
      <c r="K457" s="30">
        <f>IF(B457="","",SUM(G$2:I457)-SUM(J$2:J457))</f>
        <v/>
      </c>
      <c r="L457" s="22">
        <f>IF(B457="","",IF(B457=B456,L456,N(L456)+1))</f>
        <v/>
      </c>
    </row>
    <row r="458">
      <c r="A458" s="22" t="n"/>
      <c r="B458" s="27" t="n"/>
      <c r="C458" s="17" t="n"/>
      <c r="D458" s="17" t="n"/>
      <c r="E458" s="17" t="n"/>
      <c r="F458" s="28" t="n"/>
      <c r="G458" s="29" t="n"/>
      <c r="H458" s="29" t="n"/>
      <c r="I458" s="29" t="n"/>
      <c r="J458" s="29" t="n"/>
      <c r="K458" s="30">
        <f>IF(B458="","",SUM(G$2:I458)-SUM(J$2:J458))</f>
        <v/>
      </c>
      <c r="L458" s="22">
        <f>IF(B458="","",IF(B458=B457,L457,N(L457)+1))</f>
        <v/>
      </c>
    </row>
    <row r="459">
      <c r="A459" s="22" t="n"/>
      <c r="B459" s="27" t="n"/>
      <c r="C459" s="17" t="n"/>
      <c r="D459" s="17" t="n"/>
      <c r="E459" s="17" t="n"/>
      <c r="F459" s="28" t="n"/>
      <c r="G459" s="29" t="n"/>
      <c r="H459" s="29" t="n"/>
      <c r="I459" s="29" t="n"/>
      <c r="J459" s="29" t="n"/>
      <c r="K459" s="30">
        <f>IF(B459="","",SUM(G$2:I459)-SUM(J$2:J459))</f>
        <v/>
      </c>
      <c r="L459" s="22">
        <f>IF(B459="","",IF(B459=B458,L458,N(L458)+1))</f>
        <v/>
      </c>
    </row>
    <row r="460">
      <c r="A460" s="22" t="n"/>
      <c r="B460" s="27" t="n"/>
      <c r="C460" s="17" t="n"/>
      <c r="D460" s="17" t="n"/>
      <c r="E460" s="17" t="n"/>
      <c r="F460" s="28" t="n"/>
      <c r="G460" s="29" t="n"/>
      <c r="H460" s="29" t="n"/>
      <c r="I460" s="29" t="n"/>
      <c r="J460" s="29" t="n"/>
      <c r="K460" s="30">
        <f>IF(B460="","",SUM(G$2:I460)-SUM(J$2:J460))</f>
        <v/>
      </c>
      <c r="L460" s="22">
        <f>IF(B460="","",IF(B460=B459,L459,N(L459)+1))</f>
        <v/>
      </c>
    </row>
    <row r="461">
      <c r="A461" s="22" t="n"/>
      <c r="B461" s="27" t="n"/>
      <c r="C461" s="17" t="n"/>
      <c r="D461" s="17" t="n"/>
      <c r="E461" s="17" t="n"/>
      <c r="F461" s="28" t="n"/>
      <c r="G461" s="29" t="n"/>
      <c r="H461" s="29" t="n"/>
      <c r="I461" s="29" t="n"/>
      <c r="J461" s="29" t="n"/>
      <c r="K461" s="30">
        <f>IF(B461="","",SUM(G$2:I461)-SUM(J$2:J461))</f>
        <v/>
      </c>
      <c r="L461" s="22">
        <f>IF(B461="","",IF(B461=B460,L460,N(L460)+1))</f>
        <v/>
      </c>
    </row>
    <row r="462">
      <c r="A462" s="22" t="n"/>
      <c r="B462" s="27" t="n"/>
      <c r="C462" s="17" t="n"/>
      <c r="D462" s="17" t="n"/>
      <c r="E462" s="17" t="n"/>
      <c r="F462" s="28" t="n"/>
      <c r="G462" s="29" t="n"/>
      <c r="H462" s="29" t="n"/>
      <c r="I462" s="29" t="n"/>
      <c r="J462" s="29" t="n"/>
      <c r="K462" s="30">
        <f>IF(B462="","",SUM(G$2:I462)-SUM(J$2:J462))</f>
        <v/>
      </c>
      <c r="L462" s="22">
        <f>IF(B462="","",IF(B462=B461,L461,N(L461)+1))</f>
        <v/>
      </c>
    </row>
    <row r="463">
      <c r="A463" s="22" t="n"/>
      <c r="B463" s="27" t="n"/>
      <c r="C463" s="17" t="n"/>
      <c r="D463" s="17" t="n"/>
      <c r="E463" s="17" t="n"/>
      <c r="F463" s="28" t="n"/>
      <c r="G463" s="29" t="n"/>
      <c r="H463" s="29" t="n"/>
      <c r="I463" s="29" t="n"/>
      <c r="J463" s="29" t="n"/>
      <c r="K463" s="30">
        <f>IF(B463="","",SUM(G$2:I463)-SUM(J$2:J463))</f>
        <v/>
      </c>
      <c r="L463" s="22">
        <f>IF(B463="","",IF(B463=B462,L462,N(L462)+1))</f>
        <v/>
      </c>
    </row>
    <row r="464">
      <c r="A464" s="22" t="n"/>
      <c r="B464" s="27" t="n"/>
      <c r="C464" s="17" t="n"/>
      <c r="D464" s="17" t="n"/>
      <c r="E464" s="17" t="n"/>
      <c r="F464" s="28" t="n"/>
      <c r="G464" s="29" t="n"/>
      <c r="H464" s="29" t="n"/>
      <c r="I464" s="29" t="n"/>
      <c r="J464" s="29" t="n"/>
      <c r="K464" s="30">
        <f>IF(B464="","",SUM(G$2:I464)-SUM(J$2:J464))</f>
        <v/>
      </c>
      <c r="L464" s="22">
        <f>IF(B464="","",IF(B464=B463,L463,N(L463)+1))</f>
        <v/>
      </c>
    </row>
    <row r="465">
      <c r="A465" s="22" t="n"/>
      <c r="B465" s="27" t="n"/>
      <c r="C465" s="17" t="n"/>
      <c r="D465" s="17" t="n"/>
      <c r="E465" s="17" t="n"/>
      <c r="F465" s="28" t="n"/>
      <c r="G465" s="29" t="n"/>
      <c r="H465" s="29" t="n"/>
      <c r="I465" s="29" t="n"/>
      <c r="J465" s="29" t="n"/>
      <c r="K465" s="30">
        <f>IF(B465="","",SUM(G$2:I465)-SUM(J$2:J465))</f>
        <v/>
      </c>
      <c r="L465" s="22">
        <f>IF(B465="","",IF(B465=B464,L464,N(L464)+1))</f>
        <v/>
      </c>
    </row>
    <row r="466">
      <c r="A466" s="22" t="n"/>
      <c r="B466" s="27" t="n"/>
      <c r="C466" s="17" t="n"/>
      <c r="D466" s="17" t="n"/>
      <c r="E466" s="17" t="n"/>
      <c r="F466" s="28" t="n"/>
      <c r="G466" s="29" t="n"/>
      <c r="H466" s="29" t="n"/>
      <c r="I466" s="29" t="n"/>
      <c r="J466" s="29" t="n"/>
      <c r="K466" s="30">
        <f>IF(B466="","",SUM(G$2:I466)-SUM(J$2:J466))</f>
        <v/>
      </c>
      <c r="L466" s="22">
        <f>IF(B466="","",IF(B466=B465,L465,N(L465)+1))</f>
        <v/>
      </c>
    </row>
    <row r="467">
      <c r="A467" s="22" t="n"/>
      <c r="B467" s="27" t="n"/>
      <c r="C467" s="17" t="n"/>
      <c r="D467" s="17" t="n"/>
      <c r="E467" s="17" t="n"/>
      <c r="F467" s="28" t="n"/>
      <c r="G467" s="29" t="n"/>
      <c r="H467" s="29" t="n"/>
      <c r="I467" s="29" t="n"/>
      <c r="J467" s="29" t="n"/>
      <c r="K467" s="30">
        <f>IF(B467="","",SUM(G$2:I467)-SUM(J$2:J467))</f>
        <v/>
      </c>
      <c r="L467" s="22">
        <f>IF(B467="","",IF(B467=B466,L466,N(L466)+1))</f>
        <v/>
      </c>
    </row>
    <row r="468">
      <c r="A468" s="22" t="n"/>
      <c r="B468" s="27" t="n"/>
      <c r="C468" s="17" t="n"/>
      <c r="D468" s="17" t="n"/>
      <c r="E468" s="17" t="n"/>
      <c r="F468" s="28" t="n"/>
      <c r="G468" s="29" t="n"/>
      <c r="H468" s="29" t="n"/>
      <c r="I468" s="29" t="n"/>
      <c r="J468" s="29" t="n"/>
      <c r="K468" s="30">
        <f>IF(B468="","",SUM(G$2:I468)-SUM(J$2:J468))</f>
        <v/>
      </c>
      <c r="L468" s="22">
        <f>IF(B468="","",IF(B468=B467,L467,N(L467)+1))</f>
        <v/>
      </c>
    </row>
    <row r="469">
      <c r="A469" s="22" t="n"/>
      <c r="B469" s="27" t="n"/>
      <c r="C469" s="17" t="n"/>
      <c r="D469" s="17" t="n"/>
      <c r="E469" s="17" t="n"/>
      <c r="F469" s="28" t="n"/>
      <c r="G469" s="29" t="n"/>
      <c r="H469" s="29" t="n"/>
      <c r="I469" s="29" t="n"/>
      <c r="J469" s="29" t="n"/>
      <c r="K469" s="30">
        <f>IF(B469="","",SUM(G$2:I469)-SUM(J$2:J469))</f>
        <v/>
      </c>
      <c r="L469" s="22">
        <f>IF(B469="","",IF(B469=B468,L468,N(L468)+1))</f>
        <v/>
      </c>
    </row>
    <row r="470">
      <c r="A470" s="22" t="n"/>
      <c r="B470" s="27" t="n"/>
      <c r="C470" s="17" t="n"/>
      <c r="D470" s="17" t="n"/>
      <c r="E470" s="17" t="n"/>
      <c r="F470" s="28" t="n"/>
      <c r="G470" s="29" t="n"/>
      <c r="H470" s="29" t="n"/>
      <c r="I470" s="29" t="n"/>
      <c r="J470" s="29" t="n"/>
      <c r="K470" s="30">
        <f>IF(B470="","",SUM(G$2:I470)-SUM(J$2:J470))</f>
        <v/>
      </c>
      <c r="L470" s="22">
        <f>IF(B470="","",IF(B470=B469,L469,N(L469)+1))</f>
        <v/>
      </c>
    </row>
    <row r="471">
      <c r="A471" s="22" t="n"/>
      <c r="B471" s="27" t="n"/>
      <c r="C471" s="17" t="n"/>
      <c r="D471" s="17" t="n"/>
      <c r="E471" s="17" t="n"/>
      <c r="F471" s="28" t="n"/>
      <c r="G471" s="29" t="n"/>
      <c r="H471" s="29" t="n"/>
      <c r="I471" s="29" t="n"/>
      <c r="J471" s="29" t="n"/>
      <c r="K471" s="30">
        <f>IF(B471="","",SUM(G$2:I471)-SUM(J$2:J471))</f>
        <v/>
      </c>
      <c r="L471" s="22">
        <f>IF(B471="","",IF(B471=B470,L470,N(L470)+1))</f>
        <v/>
      </c>
    </row>
    <row r="472">
      <c r="A472" s="22" t="n"/>
      <c r="B472" s="27" t="n"/>
      <c r="C472" s="17" t="n"/>
      <c r="D472" s="17" t="n"/>
      <c r="E472" s="17" t="n"/>
      <c r="F472" s="28" t="n"/>
      <c r="G472" s="29" t="n"/>
      <c r="H472" s="29" t="n"/>
      <c r="I472" s="29" t="n"/>
      <c r="J472" s="29" t="n"/>
      <c r="K472" s="30">
        <f>IF(B472="","",SUM(G$2:I472)-SUM(J$2:J472))</f>
        <v/>
      </c>
      <c r="L472" s="22">
        <f>IF(B472="","",IF(B472=B471,L471,N(L471)+1))</f>
        <v/>
      </c>
    </row>
    <row r="473">
      <c r="A473" s="22" t="n"/>
      <c r="B473" s="27" t="n"/>
      <c r="C473" s="17" t="n"/>
      <c r="D473" s="17" t="n"/>
      <c r="E473" s="17" t="n"/>
      <c r="F473" s="28" t="n"/>
      <c r="G473" s="29" t="n"/>
      <c r="H473" s="29" t="n"/>
      <c r="I473" s="29" t="n"/>
      <c r="J473" s="29" t="n"/>
      <c r="K473" s="30">
        <f>IF(B473="","",SUM(G$2:I473)-SUM(J$2:J473))</f>
        <v/>
      </c>
      <c r="L473" s="22">
        <f>IF(B473="","",IF(B473=B472,L472,N(L472)+1))</f>
        <v/>
      </c>
    </row>
    <row r="474">
      <c r="A474" s="22" t="n"/>
      <c r="B474" s="27" t="n"/>
      <c r="C474" s="17" t="n"/>
      <c r="D474" s="17" t="n"/>
      <c r="E474" s="17" t="n"/>
      <c r="F474" s="28" t="n"/>
      <c r="G474" s="29" t="n"/>
      <c r="H474" s="29" t="n"/>
      <c r="I474" s="29" t="n"/>
      <c r="J474" s="29" t="n"/>
      <c r="K474" s="30">
        <f>IF(B474="","",SUM(G$2:I474)-SUM(J$2:J474))</f>
        <v/>
      </c>
      <c r="L474" s="22">
        <f>IF(B474="","",IF(B474=B473,L473,N(L473)+1))</f>
        <v/>
      </c>
    </row>
    <row r="475">
      <c r="A475" s="22" t="n"/>
      <c r="B475" s="27" t="n"/>
      <c r="C475" s="17" t="n"/>
      <c r="D475" s="17" t="n"/>
      <c r="E475" s="17" t="n"/>
      <c r="F475" s="28" t="n"/>
      <c r="G475" s="29" t="n"/>
      <c r="H475" s="29" t="n"/>
      <c r="I475" s="29" t="n"/>
      <c r="J475" s="29" t="n"/>
      <c r="K475" s="30">
        <f>IF(B475="","",SUM(G$2:I475)-SUM(J$2:J475))</f>
        <v/>
      </c>
      <c r="L475" s="22">
        <f>IF(B475="","",IF(B475=B474,L474,N(L474)+1))</f>
        <v/>
      </c>
    </row>
    <row r="476">
      <c r="A476" s="22" t="n"/>
      <c r="B476" s="27" t="n"/>
      <c r="C476" s="17" t="n"/>
      <c r="D476" s="17" t="n"/>
      <c r="E476" s="17" t="n"/>
      <c r="F476" s="28" t="n"/>
      <c r="G476" s="29" t="n"/>
      <c r="H476" s="29" t="n"/>
      <c r="I476" s="29" t="n"/>
      <c r="J476" s="29" t="n"/>
      <c r="K476" s="30">
        <f>IF(B476="","",SUM(G$2:I476)-SUM(J$2:J476))</f>
        <v/>
      </c>
      <c r="L476" s="22">
        <f>IF(B476="","",IF(B476=B475,L475,N(L475)+1))</f>
        <v/>
      </c>
    </row>
    <row r="477">
      <c r="A477" s="22" t="n"/>
      <c r="B477" s="27" t="n"/>
      <c r="C477" s="17" t="n"/>
      <c r="D477" s="17" t="n"/>
      <c r="E477" s="17" t="n"/>
      <c r="F477" s="28" t="n"/>
      <c r="G477" s="29" t="n"/>
      <c r="H477" s="29" t="n"/>
      <c r="I477" s="29" t="n"/>
      <c r="J477" s="29" t="n"/>
      <c r="K477" s="30">
        <f>IF(B477="","",SUM(G$2:I477)-SUM(J$2:J477))</f>
        <v/>
      </c>
      <c r="L477" s="22">
        <f>IF(B477="","",IF(B477=B476,L476,N(L476)+1))</f>
        <v/>
      </c>
    </row>
    <row r="478">
      <c r="A478" s="22" t="n"/>
      <c r="B478" s="27" t="n"/>
      <c r="C478" s="17" t="n"/>
      <c r="D478" s="17" t="n"/>
      <c r="E478" s="17" t="n"/>
      <c r="F478" s="28" t="n"/>
      <c r="G478" s="29" t="n"/>
      <c r="H478" s="29" t="n"/>
      <c r="I478" s="29" t="n"/>
      <c r="J478" s="29" t="n"/>
      <c r="K478" s="30">
        <f>IF(B478="","",SUM(G$2:I478)-SUM(J$2:J478))</f>
        <v/>
      </c>
      <c r="L478" s="22">
        <f>IF(B478="","",IF(B478=B477,L477,N(L477)+1))</f>
        <v/>
      </c>
    </row>
    <row r="479">
      <c r="A479" s="22" t="n"/>
      <c r="B479" s="27" t="n"/>
      <c r="C479" s="17" t="n"/>
      <c r="D479" s="17" t="n"/>
      <c r="E479" s="17" t="n"/>
      <c r="F479" s="28" t="n"/>
      <c r="G479" s="29" t="n"/>
      <c r="H479" s="29" t="n"/>
      <c r="I479" s="29" t="n"/>
      <c r="J479" s="29" t="n"/>
      <c r="K479" s="30">
        <f>IF(B479="","",SUM(G$2:I479)-SUM(J$2:J479))</f>
        <v/>
      </c>
      <c r="L479" s="22">
        <f>IF(B479="","",IF(B479=B478,L478,N(L478)+1))</f>
        <v/>
      </c>
    </row>
    <row r="480">
      <c r="A480" s="22" t="n"/>
      <c r="B480" s="27" t="n"/>
      <c r="C480" s="17" t="n"/>
      <c r="D480" s="17" t="n"/>
      <c r="E480" s="17" t="n"/>
      <c r="F480" s="28" t="n"/>
      <c r="G480" s="29" t="n"/>
      <c r="H480" s="29" t="n"/>
      <c r="I480" s="29" t="n"/>
      <c r="J480" s="29" t="n"/>
      <c r="K480" s="30">
        <f>IF(B480="","",SUM(G$2:I480)-SUM(J$2:J480))</f>
        <v/>
      </c>
      <c r="L480" s="22">
        <f>IF(B480="","",IF(B480=B479,L479,N(L479)+1))</f>
        <v/>
      </c>
    </row>
    <row r="481">
      <c r="A481" s="22" t="n"/>
      <c r="B481" s="27" t="n"/>
      <c r="C481" s="17" t="n"/>
      <c r="D481" s="17" t="n"/>
      <c r="E481" s="17" t="n"/>
      <c r="F481" s="28" t="n"/>
      <c r="G481" s="29" t="n"/>
      <c r="H481" s="29" t="n"/>
      <c r="I481" s="29" t="n"/>
      <c r="J481" s="29" t="n"/>
      <c r="K481" s="30">
        <f>IF(B481="","",SUM(G$2:I481)-SUM(J$2:J481))</f>
        <v/>
      </c>
      <c r="L481" s="22">
        <f>IF(B481="","",IF(B481=B480,L480,N(L480)+1))</f>
        <v/>
      </c>
    </row>
    <row r="482">
      <c r="A482" s="22" t="n"/>
      <c r="B482" s="27" t="n"/>
      <c r="C482" s="17" t="n"/>
      <c r="D482" s="17" t="n"/>
      <c r="E482" s="17" t="n"/>
      <c r="F482" s="28" t="n"/>
      <c r="G482" s="29" t="n"/>
      <c r="H482" s="29" t="n"/>
      <c r="I482" s="29" t="n"/>
      <c r="J482" s="29" t="n"/>
      <c r="K482" s="30">
        <f>IF(B482="","",SUM(G$2:I482)-SUM(J$2:J482))</f>
        <v/>
      </c>
      <c r="L482" s="22">
        <f>IF(B482="","",IF(B482=B481,L481,N(L481)+1))</f>
        <v/>
      </c>
    </row>
    <row r="483">
      <c r="A483" s="22" t="n"/>
      <c r="B483" s="27" t="n"/>
      <c r="C483" s="17" t="n"/>
      <c r="D483" s="17" t="n"/>
      <c r="E483" s="17" t="n"/>
      <c r="F483" s="28" t="n"/>
      <c r="G483" s="29" t="n"/>
      <c r="H483" s="29" t="n"/>
      <c r="I483" s="29" t="n"/>
      <c r="J483" s="29" t="n"/>
      <c r="K483" s="30">
        <f>IF(B483="","",SUM(G$2:I483)-SUM(J$2:J483))</f>
        <v/>
      </c>
      <c r="L483" s="22">
        <f>IF(B483="","",IF(B483=B482,L482,N(L482)+1))</f>
        <v/>
      </c>
    </row>
    <row r="484">
      <c r="A484" s="22" t="n"/>
      <c r="B484" s="27" t="n"/>
      <c r="C484" s="17" t="n"/>
      <c r="D484" s="17" t="n"/>
      <c r="E484" s="17" t="n"/>
      <c r="F484" s="28" t="n"/>
      <c r="G484" s="29" t="n"/>
      <c r="H484" s="29" t="n"/>
      <c r="I484" s="29" t="n"/>
      <c r="J484" s="29" t="n"/>
      <c r="K484" s="30">
        <f>IF(B484="","",SUM(G$2:I484)-SUM(J$2:J484))</f>
        <v/>
      </c>
      <c r="L484" s="22">
        <f>IF(B484="","",IF(B484=B483,L483,N(L483)+1))</f>
        <v/>
      </c>
    </row>
    <row r="485">
      <c r="A485" s="22" t="n"/>
      <c r="B485" s="27" t="n"/>
      <c r="C485" s="17" t="n"/>
      <c r="D485" s="17" t="n"/>
      <c r="E485" s="17" t="n"/>
      <c r="F485" s="28" t="n"/>
      <c r="G485" s="29" t="n"/>
      <c r="H485" s="29" t="n"/>
      <c r="I485" s="29" t="n"/>
      <c r="J485" s="29" t="n"/>
      <c r="K485" s="30">
        <f>IF(B485="","",SUM(G$2:I485)-SUM(J$2:J485))</f>
        <v/>
      </c>
      <c r="L485" s="22">
        <f>IF(B485="","",IF(B485=B484,L484,N(L484)+1))</f>
        <v/>
      </c>
    </row>
    <row r="486">
      <c r="A486" s="22" t="n"/>
      <c r="B486" s="27" t="n"/>
      <c r="C486" s="17" t="n"/>
      <c r="D486" s="17" t="n"/>
      <c r="E486" s="17" t="n"/>
      <c r="F486" s="28" t="n"/>
      <c r="G486" s="29" t="n"/>
      <c r="H486" s="29" t="n"/>
      <c r="I486" s="29" t="n"/>
      <c r="J486" s="29" t="n"/>
      <c r="K486" s="30">
        <f>IF(B486="","",SUM(G$2:I486)-SUM(J$2:J486))</f>
        <v/>
      </c>
      <c r="L486" s="22">
        <f>IF(B486="","",IF(B486=B485,L485,N(L485)+1))</f>
        <v/>
      </c>
    </row>
    <row r="487">
      <c r="A487" s="22" t="n"/>
      <c r="B487" s="27" t="n"/>
      <c r="C487" s="17" t="n"/>
      <c r="D487" s="17" t="n"/>
      <c r="E487" s="17" t="n"/>
      <c r="F487" s="28" t="n"/>
      <c r="G487" s="29" t="n"/>
      <c r="H487" s="29" t="n"/>
      <c r="I487" s="29" t="n"/>
      <c r="J487" s="29" t="n"/>
      <c r="K487" s="30">
        <f>IF(B487="","",SUM(G$2:I487)-SUM(J$2:J487))</f>
        <v/>
      </c>
      <c r="L487" s="22">
        <f>IF(B487="","",IF(B487=B486,L486,N(L486)+1))</f>
        <v/>
      </c>
    </row>
    <row r="488">
      <c r="A488" s="22" t="n"/>
      <c r="B488" s="27" t="n"/>
      <c r="C488" s="17" t="n"/>
      <c r="D488" s="17" t="n"/>
      <c r="E488" s="17" t="n"/>
      <c r="F488" s="28" t="n"/>
      <c r="G488" s="29" t="n"/>
      <c r="H488" s="29" t="n"/>
      <c r="I488" s="29" t="n"/>
      <c r="J488" s="29" t="n"/>
      <c r="K488" s="30">
        <f>IF(B488="","",SUM(G$2:I488)-SUM(J$2:J488))</f>
        <v/>
      </c>
      <c r="L488" s="22">
        <f>IF(B488="","",IF(B488=B487,L487,N(L487)+1))</f>
        <v/>
      </c>
    </row>
    <row r="489">
      <c r="A489" s="22" t="n"/>
      <c r="B489" s="27" t="n"/>
      <c r="C489" s="17" t="n"/>
      <c r="D489" s="17" t="n"/>
      <c r="E489" s="17" t="n"/>
      <c r="F489" s="28" t="n"/>
      <c r="G489" s="29" t="n"/>
      <c r="H489" s="29" t="n"/>
      <c r="I489" s="29" t="n"/>
      <c r="J489" s="29" t="n"/>
      <c r="K489" s="30">
        <f>IF(B489="","",SUM(G$2:I489)-SUM(J$2:J489))</f>
        <v/>
      </c>
      <c r="L489" s="22">
        <f>IF(B489="","",IF(B489=B488,L488,N(L488)+1))</f>
        <v/>
      </c>
    </row>
    <row r="490">
      <c r="A490" s="22" t="n"/>
      <c r="B490" s="27" t="n"/>
      <c r="C490" s="17" t="n"/>
      <c r="D490" s="17" t="n"/>
      <c r="E490" s="17" t="n"/>
      <c r="F490" s="28" t="n"/>
      <c r="G490" s="29" t="n"/>
      <c r="H490" s="29" t="n"/>
      <c r="I490" s="29" t="n"/>
      <c r="J490" s="29" t="n"/>
      <c r="K490" s="30">
        <f>IF(B490="","",SUM(G$2:I490)-SUM(J$2:J490))</f>
        <v/>
      </c>
      <c r="L490" s="22">
        <f>IF(B490="","",IF(B490=B489,L489,N(L489)+1))</f>
        <v/>
      </c>
    </row>
    <row r="491">
      <c r="A491" s="22" t="n"/>
      <c r="B491" s="27" t="n"/>
      <c r="C491" s="17" t="n"/>
      <c r="D491" s="17" t="n"/>
      <c r="E491" s="17" t="n"/>
      <c r="F491" s="28" t="n"/>
      <c r="G491" s="29" t="n"/>
      <c r="H491" s="29" t="n"/>
      <c r="I491" s="29" t="n"/>
      <c r="J491" s="29" t="n"/>
      <c r="K491" s="30">
        <f>IF(B491="","",SUM(G$2:I491)-SUM(J$2:J491))</f>
        <v/>
      </c>
      <c r="L491" s="22">
        <f>IF(B491="","",IF(B491=B490,L490,N(L490)+1))</f>
        <v/>
      </c>
    </row>
    <row r="492">
      <c r="A492" s="22" t="n"/>
      <c r="B492" s="27" t="n"/>
      <c r="C492" s="17" t="n"/>
      <c r="D492" s="17" t="n"/>
      <c r="E492" s="17" t="n"/>
      <c r="F492" s="28" t="n"/>
      <c r="G492" s="29" t="n"/>
      <c r="H492" s="29" t="n"/>
      <c r="I492" s="29" t="n"/>
      <c r="J492" s="29" t="n"/>
      <c r="K492" s="30">
        <f>IF(B492="","",SUM(G$2:I492)-SUM(J$2:J492))</f>
        <v/>
      </c>
      <c r="L492" s="22">
        <f>IF(B492="","",IF(B492=B491,L491,N(L491)+1))</f>
        <v/>
      </c>
    </row>
    <row r="493">
      <c r="A493" s="22" t="n"/>
      <c r="B493" s="27" t="n"/>
      <c r="C493" s="17" t="n"/>
      <c r="D493" s="17" t="n"/>
      <c r="E493" s="17" t="n"/>
      <c r="F493" s="28" t="n"/>
      <c r="G493" s="29" t="n"/>
      <c r="H493" s="29" t="n"/>
      <c r="I493" s="29" t="n"/>
      <c r="J493" s="29" t="n"/>
      <c r="K493" s="30">
        <f>IF(B493="","",SUM(G$2:I493)-SUM(J$2:J493))</f>
        <v/>
      </c>
      <c r="L493" s="22">
        <f>IF(B493="","",IF(B493=B492,L492,N(L492)+1))</f>
        <v/>
      </c>
    </row>
    <row r="494">
      <c r="A494" s="22" t="n"/>
      <c r="B494" s="27" t="n"/>
      <c r="C494" s="17" t="n"/>
      <c r="D494" s="17" t="n"/>
      <c r="E494" s="17" t="n"/>
      <c r="F494" s="28" t="n"/>
      <c r="G494" s="29" t="n"/>
      <c r="H494" s="29" t="n"/>
      <c r="I494" s="29" t="n"/>
      <c r="J494" s="29" t="n"/>
      <c r="K494" s="30">
        <f>IF(B494="","",SUM(G$2:I494)-SUM(J$2:J494))</f>
        <v/>
      </c>
      <c r="L494" s="22">
        <f>IF(B494="","",IF(B494=B493,L493,N(L493)+1))</f>
        <v/>
      </c>
    </row>
    <row r="495">
      <c r="A495" s="22" t="n"/>
      <c r="B495" s="27" t="n"/>
      <c r="C495" s="17" t="n"/>
      <c r="D495" s="17" t="n"/>
      <c r="E495" s="17" t="n"/>
      <c r="F495" s="28" t="n"/>
      <c r="G495" s="29" t="n"/>
      <c r="H495" s="29" t="n"/>
      <c r="I495" s="29" t="n"/>
      <c r="J495" s="29" t="n"/>
      <c r="K495" s="30">
        <f>IF(B495="","",SUM(G$2:I495)-SUM(J$2:J495))</f>
        <v/>
      </c>
      <c r="L495" s="22">
        <f>IF(B495="","",IF(B495=B494,L494,N(L494)+1))</f>
        <v/>
      </c>
    </row>
    <row r="496">
      <c r="A496" s="22" t="n"/>
      <c r="B496" s="27" t="n"/>
      <c r="C496" s="17" t="n"/>
      <c r="D496" s="17" t="n"/>
      <c r="E496" s="17" t="n"/>
      <c r="F496" s="28" t="n"/>
      <c r="G496" s="29" t="n"/>
      <c r="H496" s="29" t="n"/>
      <c r="I496" s="29" t="n"/>
      <c r="J496" s="29" t="n"/>
      <c r="K496" s="30">
        <f>IF(B496="","",SUM(G$2:I496)-SUM(J$2:J496))</f>
        <v/>
      </c>
      <c r="L496" s="22">
        <f>IF(B496="","",IF(B496=B495,L495,N(L495)+1))</f>
        <v/>
      </c>
    </row>
    <row r="497">
      <c r="A497" s="22" t="n"/>
      <c r="B497" s="27" t="n"/>
      <c r="C497" s="17" t="n"/>
      <c r="D497" s="17" t="n"/>
      <c r="E497" s="17" t="n"/>
      <c r="F497" s="28" t="n"/>
      <c r="G497" s="29" t="n"/>
      <c r="H497" s="29" t="n"/>
      <c r="I497" s="29" t="n"/>
      <c r="J497" s="29" t="n"/>
      <c r="K497" s="30">
        <f>IF(B497="","",SUM(G$2:I497)-SUM(J$2:J497))</f>
        <v/>
      </c>
      <c r="L497" s="22">
        <f>IF(B497="","",IF(B497=B496,L496,N(L496)+1))</f>
        <v/>
      </c>
    </row>
    <row r="498">
      <c r="A498" s="22" t="n"/>
      <c r="B498" s="27" t="n"/>
      <c r="C498" s="17" t="n"/>
      <c r="D498" s="17" t="n"/>
      <c r="E498" s="17" t="n"/>
      <c r="F498" s="28" t="n"/>
      <c r="G498" s="29" t="n"/>
      <c r="H498" s="29" t="n"/>
      <c r="I498" s="29" t="n"/>
      <c r="J498" s="29" t="n"/>
      <c r="K498" s="30">
        <f>IF(B498="","",SUM(G$2:I498)-SUM(J$2:J498))</f>
        <v/>
      </c>
      <c r="L498" s="22">
        <f>IF(B498="","",IF(B498=B497,L497,N(L497)+1))</f>
        <v/>
      </c>
    </row>
    <row r="499">
      <c r="A499" s="22" t="n"/>
      <c r="B499" s="27" t="n"/>
      <c r="C499" s="17" t="n"/>
      <c r="D499" s="17" t="n"/>
      <c r="E499" s="17" t="n"/>
      <c r="F499" s="28" t="n"/>
      <c r="G499" s="29" t="n"/>
      <c r="H499" s="29" t="n"/>
      <c r="I499" s="29" t="n"/>
      <c r="J499" s="29" t="n"/>
      <c r="K499" s="30">
        <f>IF(B499="","",SUM(G$2:I499)-SUM(J$2:J499))</f>
        <v/>
      </c>
      <c r="L499" s="22">
        <f>IF(B499="","",IF(B499=B498,L498,N(L498)+1))</f>
        <v/>
      </c>
    </row>
    <row r="500">
      <c r="A500" s="22" t="n"/>
      <c r="B500" s="27" t="n"/>
      <c r="C500" s="17" t="n"/>
      <c r="D500" s="17" t="n"/>
      <c r="E500" s="17" t="n"/>
      <c r="F500" s="28" t="n"/>
      <c r="G500" s="29" t="n"/>
      <c r="H500" s="29" t="n"/>
      <c r="I500" s="29" t="n"/>
      <c r="J500" s="29" t="n"/>
      <c r="K500" s="30">
        <f>IF(B500="","",SUM(G$2:I500)-SUM(J$2:J500))</f>
        <v/>
      </c>
      <c r="L500" s="22">
        <f>IF(B500="","",IF(B500=B499,L499,N(L499)+1))</f>
        <v/>
      </c>
    </row>
    <row r="501">
      <c r="A501" s="22" t="n"/>
      <c r="B501" s="27" t="n"/>
      <c r="C501" s="17" t="n"/>
      <c r="D501" s="17" t="n"/>
      <c r="E501" s="17" t="n"/>
      <c r="F501" s="28" t="n"/>
      <c r="G501" s="29" t="n"/>
      <c r="H501" s="29" t="n"/>
      <c r="I501" s="29" t="n"/>
      <c r="J501" s="29" t="n"/>
      <c r="K501" s="30">
        <f>IF(B501="","",SUM(G$2:I501)-SUM(J$2:J501))</f>
        <v/>
      </c>
      <c r="L501" s="22">
        <f>IF(B501="","",IF(B501=B500,L500,N(L500)+1))</f>
        <v/>
      </c>
    </row>
    <row r="502">
      <c r="A502" s="22" t="n"/>
      <c r="B502" s="27" t="n"/>
      <c r="C502" s="17" t="n"/>
      <c r="D502" s="17" t="n"/>
      <c r="E502" s="17" t="n"/>
      <c r="F502" s="28" t="n"/>
      <c r="G502" s="29" t="n"/>
      <c r="H502" s="29" t="n"/>
      <c r="I502" s="29" t="n"/>
      <c r="J502" s="29" t="n"/>
      <c r="K502" s="30">
        <f>IF(B502="","",SUM(G$2:I502)-SUM(J$2:J502))</f>
        <v/>
      </c>
      <c r="L502" s="22">
        <f>IF(B502="","",IF(B502=B501,L501,N(L501)+1))</f>
        <v/>
      </c>
    </row>
    <row r="503">
      <c r="A503" s="22" t="n"/>
      <c r="B503" s="27" t="n"/>
      <c r="C503" s="17" t="n"/>
      <c r="D503" s="17" t="n"/>
      <c r="E503" s="17" t="n"/>
      <c r="F503" s="28" t="n"/>
      <c r="G503" s="29" t="n"/>
      <c r="H503" s="29" t="n"/>
      <c r="I503" s="29" t="n"/>
      <c r="J503" s="29" t="n"/>
      <c r="K503" s="30">
        <f>IF(B503="","",SUM(G$2:I503)-SUM(J$2:J503))</f>
        <v/>
      </c>
      <c r="L503" s="22">
        <f>IF(B503="","",IF(B503=B502,L502,N(L502)+1))</f>
        <v/>
      </c>
    </row>
    <row r="504">
      <c r="A504" s="22" t="n"/>
      <c r="B504" s="27" t="n"/>
      <c r="C504" s="17" t="n"/>
      <c r="D504" s="17" t="n"/>
      <c r="E504" s="17" t="n"/>
      <c r="F504" s="28" t="n"/>
      <c r="G504" s="29" t="n"/>
      <c r="H504" s="29" t="n"/>
      <c r="I504" s="29" t="n"/>
      <c r="J504" s="29" t="n"/>
      <c r="K504" s="30">
        <f>IF(B504="","",SUM(G$2:I504)-SUM(J$2:J504))</f>
        <v/>
      </c>
      <c r="L504" s="22">
        <f>IF(B504="","",IF(B504=B503,L503,N(L503)+1))</f>
        <v/>
      </c>
    </row>
    <row r="505">
      <c r="A505" s="22" t="n"/>
      <c r="B505" s="27" t="n"/>
      <c r="C505" s="17" t="n"/>
      <c r="D505" s="17" t="n"/>
      <c r="E505" s="17" t="n"/>
      <c r="F505" s="28" t="n"/>
      <c r="G505" s="29" t="n"/>
      <c r="H505" s="29" t="n"/>
      <c r="I505" s="29" t="n"/>
      <c r="J505" s="29" t="n"/>
      <c r="K505" s="30">
        <f>IF(B505="","",SUM(G$2:I505)-SUM(J$2:J505))</f>
        <v/>
      </c>
      <c r="L505" s="22">
        <f>IF(B505="","",IF(B505=B504,L504,N(L504)+1))</f>
        <v/>
      </c>
    </row>
    <row r="506">
      <c r="A506" s="22" t="n"/>
      <c r="B506" s="27" t="n"/>
      <c r="C506" s="17" t="n"/>
      <c r="D506" s="17" t="n"/>
      <c r="E506" s="17" t="n"/>
      <c r="F506" s="28" t="n"/>
      <c r="G506" s="29" t="n"/>
      <c r="H506" s="29" t="n"/>
      <c r="I506" s="29" t="n"/>
      <c r="J506" s="29" t="n"/>
      <c r="K506" s="30">
        <f>IF(B506="","",SUM(G$2:I506)-SUM(J$2:J506))</f>
        <v/>
      </c>
      <c r="L506" s="22">
        <f>IF(B506="","",IF(B506=B505,L505,N(L505)+1))</f>
        <v/>
      </c>
    </row>
    <row r="507">
      <c r="A507" s="22" t="n"/>
      <c r="B507" s="27" t="n"/>
      <c r="C507" s="17" t="n"/>
      <c r="D507" s="17" t="n"/>
      <c r="E507" s="17" t="n"/>
      <c r="F507" s="28" t="n"/>
      <c r="G507" s="29" t="n"/>
      <c r="H507" s="29" t="n"/>
      <c r="I507" s="29" t="n"/>
      <c r="J507" s="29" t="n"/>
      <c r="K507" s="30">
        <f>IF(B507="","",SUM(G$2:I507)-SUM(J$2:J507))</f>
        <v/>
      </c>
      <c r="L507" s="22">
        <f>IF(B507="","",IF(B507=B506,L506,N(L506)+1))</f>
        <v/>
      </c>
    </row>
    <row r="508">
      <c r="A508" s="22" t="n"/>
      <c r="B508" s="27" t="n"/>
      <c r="C508" s="17" t="n"/>
      <c r="D508" s="17" t="n"/>
      <c r="E508" s="17" t="n"/>
      <c r="F508" s="28" t="n"/>
      <c r="G508" s="29" t="n"/>
      <c r="H508" s="29" t="n"/>
      <c r="I508" s="29" t="n"/>
      <c r="J508" s="29" t="n"/>
      <c r="K508" s="30">
        <f>IF(B508="","",SUM(G$2:I508)-SUM(J$2:J508))</f>
        <v/>
      </c>
      <c r="L508" s="22">
        <f>IF(B508="","",IF(B508=B507,L507,N(L507)+1))</f>
        <v/>
      </c>
    </row>
    <row r="509">
      <c r="A509" s="22" t="n"/>
      <c r="B509" s="27" t="n"/>
      <c r="C509" s="17" t="n"/>
      <c r="D509" s="17" t="n"/>
      <c r="E509" s="17" t="n"/>
      <c r="F509" s="28" t="n"/>
      <c r="G509" s="29" t="n"/>
      <c r="H509" s="29" t="n"/>
      <c r="I509" s="29" t="n"/>
      <c r="J509" s="29" t="n"/>
      <c r="K509" s="30">
        <f>IF(B509="","",SUM(G$2:I509)-SUM(J$2:J509))</f>
        <v/>
      </c>
      <c r="L509" s="22">
        <f>IF(B509="","",IF(B509=B508,L508,N(L508)+1))</f>
        <v/>
      </c>
    </row>
    <row r="510">
      <c r="A510" s="22" t="n"/>
      <c r="B510" s="27" t="n"/>
      <c r="C510" s="17" t="n"/>
      <c r="D510" s="17" t="n"/>
      <c r="E510" s="17" t="n"/>
      <c r="F510" s="28" t="n"/>
      <c r="G510" s="29" t="n"/>
      <c r="H510" s="29" t="n"/>
      <c r="I510" s="29" t="n"/>
      <c r="J510" s="29" t="n"/>
      <c r="K510" s="30">
        <f>IF(B510="","",SUM(G$2:I510)-SUM(J$2:J510))</f>
        <v/>
      </c>
      <c r="L510" s="22">
        <f>IF(B510="","",IF(B510=B509,L509,N(L509)+1))</f>
        <v/>
      </c>
    </row>
    <row r="511">
      <c r="A511" s="22" t="n"/>
      <c r="B511" s="27" t="n"/>
      <c r="C511" s="17" t="n"/>
      <c r="D511" s="17" t="n"/>
      <c r="E511" s="17" t="n"/>
      <c r="F511" s="28" t="n"/>
      <c r="G511" s="29" t="n"/>
      <c r="H511" s="29" t="n"/>
      <c r="I511" s="29" t="n"/>
      <c r="J511" s="29" t="n"/>
      <c r="K511" s="30">
        <f>IF(B511="","",SUM(G$2:I511)-SUM(J$2:J511))</f>
        <v/>
      </c>
      <c r="L511" s="22">
        <f>IF(B511="","",IF(B511=B510,L510,N(L510)+1))</f>
        <v/>
      </c>
    </row>
    <row r="512">
      <c r="A512" s="22" t="n"/>
      <c r="B512" s="27" t="n"/>
      <c r="C512" s="17" t="n"/>
      <c r="D512" s="17" t="n"/>
      <c r="E512" s="17" t="n"/>
      <c r="F512" s="28" t="n"/>
      <c r="G512" s="29" t="n"/>
      <c r="H512" s="29" t="n"/>
      <c r="I512" s="29" t="n"/>
      <c r="J512" s="29" t="n"/>
      <c r="K512" s="30">
        <f>IF(B512="","",SUM(G$2:I512)-SUM(J$2:J512))</f>
        <v/>
      </c>
      <c r="L512" s="22">
        <f>IF(B512="","",IF(B512=B511,L511,N(L511)+1))</f>
        <v/>
      </c>
    </row>
    <row r="513">
      <c r="A513" s="22" t="n"/>
      <c r="B513" s="27" t="n"/>
      <c r="C513" s="17" t="n"/>
      <c r="D513" s="17" t="n"/>
      <c r="E513" s="17" t="n"/>
      <c r="F513" s="28" t="n"/>
      <c r="G513" s="29" t="n"/>
      <c r="H513" s="29" t="n"/>
      <c r="I513" s="29" t="n"/>
      <c r="J513" s="29" t="n"/>
      <c r="K513" s="30">
        <f>IF(B513="","",SUM(G$2:I513)-SUM(J$2:J513))</f>
        <v/>
      </c>
      <c r="L513" s="22">
        <f>IF(B513="","",IF(B513=B512,L512,N(L512)+1))</f>
        <v/>
      </c>
    </row>
    <row r="514">
      <c r="A514" s="22" t="n"/>
      <c r="B514" s="27" t="n"/>
      <c r="C514" s="17" t="n"/>
      <c r="D514" s="17" t="n"/>
      <c r="E514" s="17" t="n"/>
      <c r="F514" s="28" t="n"/>
      <c r="G514" s="29" t="n"/>
      <c r="H514" s="29" t="n"/>
      <c r="I514" s="29" t="n"/>
      <c r="J514" s="29" t="n"/>
      <c r="K514" s="30">
        <f>IF(B514="","",SUM(G$2:I514)-SUM(J$2:J514))</f>
        <v/>
      </c>
      <c r="L514" s="22">
        <f>IF(B514="","",IF(B514=B513,L513,N(L513)+1))</f>
        <v/>
      </c>
    </row>
    <row r="515">
      <c r="A515" s="22" t="n"/>
      <c r="B515" s="27" t="n"/>
      <c r="C515" s="17" t="n"/>
      <c r="D515" s="17" t="n"/>
      <c r="E515" s="17" t="n"/>
      <c r="F515" s="28" t="n"/>
      <c r="G515" s="29" t="n"/>
      <c r="H515" s="29" t="n"/>
      <c r="I515" s="29" t="n"/>
      <c r="J515" s="29" t="n"/>
      <c r="K515" s="30">
        <f>IF(B515="","",SUM(G$2:I515)-SUM(J$2:J515))</f>
        <v/>
      </c>
      <c r="L515" s="22">
        <f>IF(B515="","",IF(B515=B514,L514,N(L514)+1))</f>
        <v/>
      </c>
    </row>
    <row r="516">
      <c r="A516" s="22" t="n"/>
      <c r="B516" s="27" t="n"/>
      <c r="C516" s="17" t="n"/>
      <c r="D516" s="17" t="n"/>
      <c r="E516" s="17" t="n"/>
      <c r="F516" s="28" t="n"/>
      <c r="G516" s="29" t="n"/>
      <c r="H516" s="29" t="n"/>
      <c r="I516" s="29" t="n"/>
      <c r="J516" s="29" t="n"/>
      <c r="K516" s="30">
        <f>IF(B516="","",SUM(G$2:I516)-SUM(J$2:J516))</f>
        <v/>
      </c>
      <c r="L516" s="22">
        <f>IF(B516="","",IF(B516=B515,L515,N(L515)+1))</f>
        <v/>
      </c>
    </row>
    <row r="517">
      <c r="A517" s="22" t="n"/>
      <c r="B517" s="27" t="n"/>
      <c r="C517" s="17" t="n"/>
      <c r="D517" s="17" t="n"/>
      <c r="E517" s="17" t="n"/>
      <c r="F517" s="28" t="n"/>
      <c r="G517" s="29" t="n"/>
      <c r="H517" s="29" t="n"/>
      <c r="I517" s="29" t="n"/>
      <c r="J517" s="29" t="n"/>
      <c r="K517" s="30">
        <f>IF(B517="","",SUM(G$2:I517)-SUM(J$2:J517))</f>
        <v/>
      </c>
      <c r="L517" s="22">
        <f>IF(B517="","",IF(B517=B516,L516,N(L516)+1))</f>
        <v/>
      </c>
    </row>
    <row r="518">
      <c r="A518" s="22" t="n"/>
      <c r="B518" s="27" t="n"/>
      <c r="C518" s="17" t="n"/>
      <c r="D518" s="17" t="n"/>
      <c r="E518" s="17" t="n"/>
      <c r="F518" s="28" t="n"/>
      <c r="G518" s="29" t="n"/>
      <c r="H518" s="29" t="n"/>
      <c r="I518" s="29" t="n"/>
      <c r="J518" s="29" t="n"/>
      <c r="K518" s="30">
        <f>IF(B518="","",SUM(G$2:I518)-SUM(J$2:J518))</f>
        <v/>
      </c>
      <c r="L518" s="22">
        <f>IF(B518="","",IF(B518=B517,L517,N(L517)+1))</f>
        <v/>
      </c>
    </row>
    <row r="519">
      <c r="A519" s="22" t="n"/>
      <c r="B519" s="27" t="n"/>
      <c r="C519" s="17" t="n"/>
      <c r="D519" s="17" t="n"/>
      <c r="E519" s="17" t="n"/>
      <c r="F519" s="28" t="n"/>
      <c r="G519" s="29" t="n"/>
      <c r="H519" s="29" t="n"/>
      <c r="I519" s="29" t="n"/>
      <c r="J519" s="29" t="n"/>
      <c r="K519" s="30">
        <f>IF(B519="","",SUM(G$2:I519)-SUM(J$2:J519))</f>
        <v/>
      </c>
      <c r="L519" s="22">
        <f>IF(B519="","",IF(B519=B518,L518,N(L518)+1))</f>
        <v/>
      </c>
    </row>
    <row r="520">
      <c r="A520" s="22" t="n"/>
      <c r="B520" s="27" t="n"/>
      <c r="C520" s="17" t="n"/>
      <c r="D520" s="17" t="n"/>
      <c r="E520" s="17" t="n"/>
      <c r="F520" s="28" t="n"/>
      <c r="G520" s="29" t="n"/>
      <c r="H520" s="29" t="n"/>
      <c r="I520" s="29" t="n"/>
      <c r="J520" s="29" t="n"/>
      <c r="K520" s="30">
        <f>IF(B520="","",SUM(G$2:I520)-SUM(J$2:J520))</f>
        <v/>
      </c>
      <c r="L520" s="22">
        <f>IF(B520="","",IF(B520=B519,L519,N(L519)+1))</f>
        <v/>
      </c>
    </row>
    <row r="521">
      <c r="A521" s="22" t="n"/>
      <c r="B521" s="27" t="n"/>
      <c r="C521" s="17" t="n"/>
      <c r="D521" s="17" t="n"/>
      <c r="E521" s="17" t="n"/>
      <c r="F521" s="28" t="n"/>
      <c r="G521" s="29" t="n"/>
      <c r="H521" s="29" t="n"/>
      <c r="I521" s="29" t="n"/>
      <c r="J521" s="29" t="n"/>
      <c r="K521" s="30">
        <f>IF(B521="","",SUM(G$2:I521)-SUM(J$2:J521))</f>
        <v/>
      </c>
      <c r="L521" s="22">
        <f>IF(B521="","",IF(B521=B520,L520,N(L520)+1))</f>
        <v/>
      </c>
    </row>
    <row r="522">
      <c r="A522" s="22" t="n"/>
      <c r="B522" s="27" t="n"/>
      <c r="C522" s="17" t="n"/>
      <c r="D522" s="17" t="n"/>
      <c r="E522" s="17" t="n"/>
      <c r="F522" s="28" t="n"/>
      <c r="G522" s="29" t="n"/>
      <c r="H522" s="29" t="n"/>
      <c r="I522" s="29" t="n"/>
      <c r="J522" s="29" t="n"/>
      <c r="K522" s="30">
        <f>IF(B522="","",SUM(G$2:I522)-SUM(J$2:J522))</f>
        <v/>
      </c>
      <c r="L522" s="22">
        <f>IF(B522="","",IF(B522=B521,L521,N(L521)+1))</f>
        <v/>
      </c>
    </row>
    <row r="523">
      <c r="A523" s="22" t="n"/>
      <c r="B523" s="27" t="n"/>
      <c r="C523" s="17" t="n"/>
      <c r="D523" s="17" t="n"/>
      <c r="E523" s="17" t="n"/>
      <c r="F523" s="28" t="n"/>
      <c r="G523" s="29" t="n"/>
      <c r="H523" s="29" t="n"/>
      <c r="I523" s="29" t="n"/>
      <c r="J523" s="29" t="n"/>
      <c r="K523" s="30">
        <f>IF(B523="","",SUM(G$2:I523)-SUM(J$2:J523))</f>
        <v/>
      </c>
      <c r="L523" s="22">
        <f>IF(B523="","",IF(B523=B522,L522,N(L522)+1))</f>
        <v/>
      </c>
    </row>
    <row r="524">
      <c r="A524" s="22" t="n"/>
      <c r="B524" s="27" t="n"/>
      <c r="C524" s="17" t="n"/>
      <c r="D524" s="17" t="n"/>
      <c r="E524" s="17" t="n"/>
      <c r="F524" s="28" t="n"/>
      <c r="G524" s="29" t="n"/>
      <c r="H524" s="29" t="n"/>
      <c r="I524" s="29" t="n"/>
      <c r="J524" s="29" t="n"/>
      <c r="K524" s="30">
        <f>IF(B524="","",SUM(G$2:I524)-SUM(J$2:J524))</f>
        <v/>
      </c>
      <c r="L524" s="22">
        <f>IF(B524="","",IF(B524=B523,L523,N(L523)+1))</f>
        <v/>
      </c>
    </row>
    <row r="525">
      <c r="A525" s="22" t="n"/>
      <c r="B525" s="27" t="n"/>
      <c r="C525" s="17" t="n"/>
      <c r="D525" s="17" t="n"/>
      <c r="E525" s="17" t="n"/>
      <c r="F525" s="28" t="n"/>
      <c r="G525" s="29" t="n"/>
      <c r="H525" s="29" t="n"/>
      <c r="I525" s="29" t="n"/>
      <c r="J525" s="29" t="n"/>
      <c r="K525" s="30">
        <f>IF(B525="","",SUM(G$2:I525)-SUM(J$2:J525))</f>
        <v/>
      </c>
      <c r="L525" s="22">
        <f>IF(B525="","",IF(B525=B524,L524,N(L524)+1))</f>
        <v/>
      </c>
    </row>
    <row r="526">
      <c r="A526" s="22" t="n"/>
      <c r="B526" s="27" t="n"/>
      <c r="C526" s="17" t="n"/>
      <c r="D526" s="17" t="n"/>
      <c r="E526" s="17" t="n"/>
      <c r="F526" s="28" t="n"/>
      <c r="G526" s="29" t="n"/>
      <c r="H526" s="29" t="n"/>
      <c r="I526" s="29" t="n"/>
      <c r="J526" s="29" t="n"/>
      <c r="K526" s="30">
        <f>IF(B526="","",SUM(G$2:I526)-SUM(J$2:J526))</f>
        <v/>
      </c>
      <c r="L526" s="22">
        <f>IF(B526="","",IF(B526=B525,L525,N(L525)+1))</f>
        <v/>
      </c>
    </row>
    <row r="527">
      <c r="A527" s="22" t="n"/>
      <c r="B527" s="27" t="n"/>
      <c r="C527" s="17" t="n"/>
      <c r="D527" s="17" t="n"/>
      <c r="E527" s="17" t="n"/>
      <c r="F527" s="28" t="n"/>
      <c r="G527" s="29" t="n"/>
      <c r="H527" s="29" t="n"/>
      <c r="I527" s="29" t="n"/>
      <c r="J527" s="29" t="n"/>
      <c r="K527" s="30">
        <f>IF(B527="","",SUM(G$2:I527)-SUM(J$2:J527))</f>
        <v/>
      </c>
      <c r="L527" s="22">
        <f>IF(B527="","",IF(B527=B526,L526,N(L526)+1))</f>
        <v/>
      </c>
    </row>
    <row r="528">
      <c r="A528" s="22" t="n"/>
      <c r="B528" s="27" t="n"/>
      <c r="C528" s="17" t="n"/>
      <c r="D528" s="17" t="n"/>
      <c r="E528" s="17" t="n"/>
      <c r="F528" s="28" t="n"/>
      <c r="G528" s="29" t="n"/>
      <c r="H528" s="29" t="n"/>
      <c r="I528" s="29" t="n"/>
      <c r="J528" s="29" t="n"/>
      <c r="K528" s="30">
        <f>IF(B528="","",SUM(G$2:I528)-SUM(J$2:J528))</f>
        <v/>
      </c>
      <c r="L528" s="22">
        <f>IF(B528="","",IF(B528=B527,L527,N(L527)+1))</f>
        <v/>
      </c>
    </row>
    <row r="529">
      <c r="A529" s="22" t="n"/>
      <c r="B529" s="27" t="n"/>
      <c r="C529" s="17" t="n"/>
      <c r="D529" s="17" t="n"/>
      <c r="E529" s="17" t="n"/>
      <c r="F529" s="28" t="n"/>
      <c r="G529" s="29" t="n"/>
      <c r="H529" s="29" t="n"/>
      <c r="I529" s="29" t="n"/>
      <c r="J529" s="29" t="n"/>
      <c r="K529" s="30">
        <f>IF(B529="","",SUM(G$2:I529)-SUM(J$2:J529))</f>
        <v/>
      </c>
      <c r="L529" s="22">
        <f>IF(B529="","",IF(B529=B528,L528,N(L528)+1))</f>
        <v/>
      </c>
    </row>
    <row r="530">
      <c r="A530" s="22" t="n"/>
      <c r="B530" s="27" t="n"/>
      <c r="C530" s="17" t="n"/>
      <c r="D530" s="17" t="n"/>
      <c r="E530" s="17" t="n"/>
      <c r="F530" s="28" t="n"/>
      <c r="G530" s="29" t="n"/>
      <c r="H530" s="29" t="n"/>
      <c r="I530" s="29" t="n"/>
      <c r="J530" s="29" t="n"/>
      <c r="K530" s="30">
        <f>IF(B530="","",SUM(G$2:I530)-SUM(J$2:J530))</f>
        <v/>
      </c>
      <c r="L530" s="22">
        <f>IF(B530="","",IF(B530=B529,L529,N(L529)+1))</f>
        <v/>
      </c>
    </row>
    <row r="531">
      <c r="A531" s="22" t="n"/>
      <c r="B531" s="27" t="n"/>
      <c r="C531" s="17" t="n"/>
      <c r="D531" s="17" t="n"/>
      <c r="E531" s="17" t="n"/>
      <c r="F531" s="28" t="n"/>
      <c r="G531" s="29" t="n"/>
      <c r="H531" s="29" t="n"/>
      <c r="I531" s="29" t="n"/>
      <c r="J531" s="29" t="n"/>
      <c r="K531" s="30">
        <f>IF(B531="","",SUM(G$2:I531)-SUM(J$2:J531))</f>
        <v/>
      </c>
      <c r="L531" s="22">
        <f>IF(B531="","",IF(B531=B530,L530,N(L530)+1))</f>
        <v/>
      </c>
    </row>
    <row r="532">
      <c r="A532" s="22" t="n"/>
      <c r="B532" s="27" t="n"/>
      <c r="C532" s="17" t="n"/>
      <c r="D532" s="17" t="n"/>
      <c r="E532" s="17" t="n"/>
      <c r="F532" s="28" t="n"/>
      <c r="G532" s="29" t="n"/>
      <c r="H532" s="29" t="n"/>
      <c r="I532" s="29" t="n"/>
      <c r="J532" s="29" t="n"/>
      <c r="K532" s="30">
        <f>IF(B532="","",SUM(G$2:I532)-SUM(J$2:J532))</f>
        <v/>
      </c>
      <c r="L532" s="22">
        <f>IF(B532="","",IF(B532=B531,L531,N(L531)+1))</f>
        <v/>
      </c>
    </row>
    <row r="533">
      <c r="A533" s="22" t="n"/>
      <c r="B533" s="27" t="n"/>
      <c r="C533" s="17" t="n"/>
      <c r="D533" s="17" t="n"/>
      <c r="E533" s="17" t="n"/>
      <c r="F533" s="28" t="n"/>
      <c r="G533" s="29" t="n"/>
      <c r="H533" s="29" t="n"/>
      <c r="I533" s="29" t="n"/>
      <c r="J533" s="29" t="n"/>
      <c r="K533" s="30">
        <f>IF(B533="","",SUM(G$2:I533)-SUM(J$2:J533))</f>
        <v/>
      </c>
      <c r="L533" s="22">
        <f>IF(B533="","",IF(B533=B532,L532,N(L532)+1))</f>
        <v/>
      </c>
    </row>
    <row r="534">
      <c r="A534" s="22" t="n"/>
      <c r="B534" s="27" t="n"/>
      <c r="C534" s="17" t="n"/>
      <c r="D534" s="17" t="n"/>
      <c r="E534" s="17" t="n"/>
      <c r="F534" s="28" t="n"/>
      <c r="G534" s="29" t="n"/>
      <c r="H534" s="29" t="n"/>
      <c r="I534" s="29" t="n"/>
      <c r="J534" s="29" t="n"/>
      <c r="K534" s="30">
        <f>IF(B534="","",SUM(G$2:I534)-SUM(J$2:J534))</f>
        <v/>
      </c>
      <c r="L534" s="22">
        <f>IF(B534="","",IF(B534=B533,L533,N(L533)+1))</f>
        <v/>
      </c>
    </row>
    <row r="535">
      <c r="A535" s="22" t="n"/>
      <c r="B535" s="27" t="n"/>
      <c r="C535" s="17" t="n"/>
      <c r="D535" s="17" t="n"/>
      <c r="E535" s="17" t="n"/>
      <c r="F535" s="28" t="n"/>
      <c r="G535" s="29" t="n"/>
      <c r="H535" s="29" t="n"/>
      <c r="I535" s="29" t="n"/>
      <c r="J535" s="29" t="n"/>
      <c r="K535" s="30">
        <f>IF(B535="","",SUM(G$2:I535)-SUM(J$2:J535))</f>
        <v/>
      </c>
      <c r="L535" s="22">
        <f>IF(B535="","",IF(B535=B534,L534,N(L534)+1))</f>
        <v/>
      </c>
    </row>
    <row r="536">
      <c r="A536" s="22" t="n"/>
      <c r="B536" s="27" t="n"/>
      <c r="C536" s="17" t="n"/>
      <c r="D536" s="17" t="n"/>
      <c r="E536" s="17" t="n"/>
      <c r="F536" s="28" t="n"/>
      <c r="G536" s="29" t="n"/>
      <c r="H536" s="29" t="n"/>
      <c r="I536" s="29" t="n"/>
      <c r="J536" s="29" t="n"/>
      <c r="K536" s="30">
        <f>IF(B536="","",SUM(G$2:I536)-SUM(J$2:J536))</f>
        <v/>
      </c>
      <c r="L536" s="22">
        <f>IF(B536="","",IF(B536=B535,L535,N(L535)+1))</f>
        <v/>
      </c>
    </row>
    <row r="537">
      <c r="A537" s="22" t="n"/>
      <c r="B537" s="27" t="n"/>
      <c r="C537" s="17" t="n"/>
      <c r="D537" s="17" t="n"/>
      <c r="E537" s="17" t="n"/>
      <c r="F537" s="28" t="n"/>
      <c r="G537" s="29" t="n"/>
      <c r="H537" s="29" t="n"/>
      <c r="I537" s="29" t="n"/>
      <c r="J537" s="29" t="n"/>
      <c r="K537" s="30">
        <f>IF(B537="","",SUM(G$2:I537)-SUM(J$2:J537))</f>
        <v/>
      </c>
      <c r="L537" s="22">
        <f>IF(B537="","",IF(B537=B536,L536,N(L536)+1))</f>
        <v/>
      </c>
    </row>
    <row r="538">
      <c r="A538" s="22" t="n"/>
      <c r="B538" s="27" t="n"/>
      <c r="C538" s="17" t="n"/>
      <c r="D538" s="17" t="n"/>
      <c r="E538" s="17" t="n"/>
      <c r="F538" s="28" t="n"/>
      <c r="G538" s="29" t="n"/>
      <c r="H538" s="29" t="n"/>
      <c r="I538" s="29" t="n"/>
      <c r="J538" s="29" t="n"/>
      <c r="K538" s="30">
        <f>IF(B538="","",SUM(G$2:I538)-SUM(J$2:J538))</f>
        <v/>
      </c>
      <c r="L538" s="22">
        <f>IF(B538="","",IF(B538=B537,L537,N(L537)+1))</f>
        <v/>
      </c>
    </row>
    <row r="539">
      <c r="A539" s="22" t="n"/>
      <c r="B539" s="27" t="n"/>
      <c r="C539" s="17" t="n"/>
      <c r="D539" s="17" t="n"/>
      <c r="E539" s="17" t="n"/>
      <c r="F539" s="28" t="n"/>
      <c r="G539" s="29" t="n"/>
      <c r="H539" s="29" t="n"/>
      <c r="I539" s="29" t="n"/>
      <c r="J539" s="29" t="n"/>
      <c r="K539" s="30">
        <f>IF(B539="","",SUM(G$2:I539)-SUM(J$2:J539))</f>
        <v/>
      </c>
      <c r="L539" s="22">
        <f>IF(B539="","",IF(B539=B538,L538,N(L538)+1))</f>
        <v/>
      </c>
    </row>
    <row r="540">
      <c r="A540" s="22" t="n"/>
      <c r="B540" s="27" t="n"/>
      <c r="C540" s="17" t="n"/>
      <c r="D540" s="17" t="n"/>
      <c r="E540" s="17" t="n"/>
      <c r="F540" s="28" t="n"/>
      <c r="G540" s="29" t="n"/>
      <c r="H540" s="29" t="n"/>
      <c r="I540" s="29" t="n"/>
      <c r="J540" s="29" t="n"/>
      <c r="K540" s="30">
        <f>IF(B540="","",SUM(G$2:I540)-SUM(J$2:J540))</f>
        <v/>
      </c>
      <c r="L540" s="22">
        <f>IF(B540="","",IF(B540=B539,L539,N(L539)+1))</f>
        <v/>
      </c>
    </row>
    <row r="541">
      <c r="A541" s="22" t="n"/>
      <c r="B541" s="27" t="n"/>
      <c r="C541" s="17" t="n"/>
      <c r="D541" s="17" t="n"/>
      <c r="E541" s="17" t="n"/>
      <c r="F541" s="28" t="n"/>
      <c r="G541" s="29" t="n"/>
      <c r="H541" s="29" t="n"/>
      <c r="I541" s="29" t="n"/>
      <c r="J541" s="29" t="n"/>
      <c r="K541" s="30">
        <f>IF(B541="","",SUM(G$2:I541)-SUM(J$2:J541))</f>
        <v/>
      </c>
      <c r="L541" s="22">
        <f>IF(B541="","",IF(B541=B540,L540,N(L540)+1))</f>
        <v/>
      </c>
    </row>
    <row r="542">
      <c r="A542" s="22" t="n"/>
      <c r="B542" s="27" t="n"/>
      <c r="C542" s="17" t="n"/>
      <c r="D542" s="17" t="n"/>
      <c r="E542" s="17" t="n"/>
      <c r="F542" s="28" t="n"/>
      <c r="G542" s="29" t="n"/>
      <c r="H542" s="29" t="n"/>
      <c r="I542" s="29" t="n"/>
      <c r="J542" s="29" t="n"/>
      <c r="K542" s="30">
        <f>IF(B542="","",SUM(G$2:I542)-SUM(J$2:J542))</f>
        <v/>
      </c>
      <c r="L542" s="22">
        <f>IF(B542="","",IF(B542=B541,L541,N(L541)+1))</f>
        <v/>
      </c>
    </row>
    <row r="543">
      <c r="A543" s="22" t="n"/>
      <c r="B543" s="27" t="n"/>
      <c r="C543" s="17" t="n"/>
      <c r="D543" s="17" t="n"/>
      <c r="E543" s="17" t="n"/>
      <c r="F543" s="28" t="n"/>
      <c r="G543" s="29" t="n"/>
      <c r="H543" s="29" t="n"/>
      <c r="I543" s="29" t="n"/>
      <c r="J543" s="29" t="n"/>
      <c r="K543" s="30">
        <f>IF(B543="","",SUM(G$2:I543)-SUM(J$2:J543))</f>
        <v/>
      </c>
      <c r="L543" s="22">
        <f>IF(B543="","",IF(B543=B542,L542,N(L542)+1))</f>
        <v/>
      </c>
    </row>
    <row r="544">
      <c r="A544" s="22" t="n"/>
      <c r="B544" s="27" t="n"/>
      <c r="C544" s="17" t="n"/>
      <c r="D544" s="17" t="n"/>
      <c r="E544" s="17" t="n"/>
      <c r="F544" s="28" t="n"/>
      <c r="G544" s="29" t="n"/>
      <c r="H544" s="29" t="n"/>
      <c r="I544" s="29" t="n"/>
      <c r="J544" s="29" t="n"/>
      <c r="K544" s="30">
        <f>IF(B544="","",SUM(G$2:I544)-SUM(J$2:J544))</f>
        <v/>
      </c>
      <c r="L544" s="22">
        <f>IF(B544="","",IF(B544=B543,L543,N(L543)+1))</f>
        <v/>
      </c>
    </row>
    <row r="545">
      <c r="A545" s="22" t="n"/>
      <c r="B545" s="27" t="n"/>
      <c r="C545" s="17" t="n"/>
      <c r="D545" s="17" t="n"/>
      <c r="E545" s="17" t="n"/>
      <c r="F545" s="28" t="n"/>
      <c r="G545" s="29" t="n"/>
      <c r="H545" s="29" t="n"/>
      <c r="I545" s="29" t="n"/>
      <c r="J545" s="29" t="n"/>
      <c r="K545" s="30">
        <f>IF(B545="","",SUM(G$2:I545)-SUM(J$2:J545))</f>
        <v/>
      </c>
      <c r="L545" s="22">
        <f>IF(B545="","",IF(B545=B544,L544,N(L544)+1))</f>
        <v/>
      </c>
    </row>
    <row r="546">
      <c r="A546" s="22" t="n"/>
      <c r="B546" s="27" t="n"/>
      <c r="C546" s="17" t="n"/>
      <c r="D546" s="17" t="n"/>
      <c r="E546" s="17" t="n"/>
      <c r="F546" s="28" t="n"/>
      <c r="G546" s="29" t="n"/>
      <c r="H546" s="29" t="n"/>
      <c r="I546" s="29" t="n"/>
      <c r="J546" s="29" t="n"/>
      <c r="K546" s="30">
        <f>IF(B546="","",SUM(G$2:I546)-SUM(J$2:J546))</f>
        <v/>
      </c>
      <c r="L546" s="22">
        <f>IF(B546="","",IF(B546=B545,L545,N(L545)+1))</f>
        <v/>
      </c>
    </row>
    <row r="547">
      <c r="A547" s="22" t="n"/>
      <c r="B547" s="27" t="n"/>
      <c r="C547" s="17" t="n"/>
      <c r="D547" s="17" t="n"/>
      <c r="E547" s="17" t="n"/>
      <c r="F547" s="28" t="n"/>
      <c r="G547" s="29" t="n"/>
      <c r="H547" s="29" t="n"/>
      <c r="I547" s="29" t="n"/>
      <c r="J547" s="29" t="n"/>
      <c r="K547" s="30">
        <f>IF(B547="","",SUM(G$2:I547)-SUM(J$2:J547))</f>
        <v/>
      </c>
      <c r="L547" s="22">
        <f>IF(B547="","",IF(B547=B546,L546,N(L546)+1))</f>
        <v/>
      </c>
    </row>
    <row r="548">
      <c r="A548" s="22" t="n"/>
      <c r="B548" s="27" t="n"/>
      <c r="C548" s="17" t="n"/>
      <c r="D548" s="17" t="n"/>
      <c r="E548" s="17" t="n"/>
      <c r="F548" s="28" t="n"/>
      <c r="G548" s="29" t="n"/>
      <c r="H548" s="29" t="n"/>
      <c r="I548" s="29" t="n"/>
      <c r="J548" s="29" t="n"/>
      <c r="K548" s="30">
        <f>IF(B548="","",SUM(G$2:I548)-SUM(J$2:J548))</f>
        <v/>
      </c>
      <c r="L548" s="22">
        <f>IF(B548="","",IF(B548=B547,L547,N(L547)+1))</f>
        <v/>
      </c>
    </row>
    <row r="549">
      <c r="A549" s="22" t="n"/>
      <c r="B549" s="27" t="n"/>
      <c r="C549" s="17" t="n"/>
      <c r="D549" s="17" t="n"/>
      <c r="E549" s="17" t="n"/>
      <c r="F549" s="28" t="n"/>
      <c r="G549" s="29" t="n"/>
      <c r="H549" s="29" t="n"/>
      <c r="I549" s="29" t="n"/>
      <c r="J549" s="29" t="n"/>
      <c r="K549" s="30">
        <f>IF(B549="","",SUM(G$2:I549)-SUM(J$2:J549))</f>
        <v/>
      </c>
      <c r="L549" s="22">
        <f>IF(B549="","",IF(B549=B548,L548,N(L548)+1))</f>
        <v/>
      </c>
    </row>
    <row r="550">
      <c r="A550" s="22" t="n"/>
      <c r="B550" s="27" t="n"/>
      <c r="C550" s="17" t="n"/>
      <c r="D550" s="17" t="n"/>
      <c r="E550" s="17" t="n"/>
      <c r="F550" s="28" t="n"/>
      <c r="G550" s="29" t="n"/>
      <c r="H550" s="29" t="n"/>
      <c r="I550" s="29" t="n"/>
      <c r="J550" s="29" t="n"/>
      <c r="K550" s="30">
        <f>IF(B550="","",SUM(G$2:I550)-SUM(J$2:J550))</f>
        <v/>
      </c>
      <c r="L550" s="22">
        <f>IF(B550="","",IF(B550=B549,L549,N(L549)+1))</f>
        <v/>
      </c>
    </row>
    <row r="551">
      <c r="A551" s="22" t="n"/>
      <c r="B551" s="27" t="n"/>
      <c r="C551" s="17" t="n"/>
      <c r="D551" s="17" t="n"/>
      <c r="E551" s="17" t="n"/>
      <c r="F551" s="28" t="n"/>
      <c r="G551" s="29" t="n"/>
      <c r="H551" s="29" t="n"/>
      <c r="I551" s="29" t="n"/>
      <c r="J551" s="29" t="n"/>
      <c r="K551" s="30">
        <f>IF(B551="","",SUM(G$2:I551)-SUM(J$2:J551))</f>
        <v/>
      </c>
      <c r="L551" s="22">
        <f>IF(B551="","",IF(B551=B550,L550,N(L550)+1))</f>
        <v/>
      </c>
    </row>
    <row r="552">
      <c r="A552" s="22" t="n"/>
      <c r="B552" s="27" t="n"/>
      <c r="C552" s="17" t="n"/>
      <c r="D552" s="17" t="n"/>
      <c r="E552" s="17" t="n"/>
      <c r="F552" s="28" t="n"/>
      <c r="G552" s="29" t="n"/>
      <c r="H552" s="29" t="n"/>
      <c r="I552" s="29" t="n"/>
      <c r="J552" s="29" t="n"/>
      <c r="K552" s="30">
        <f>IF(B552="","",SUM(G$2:I552)-SUM(J$2:J552))</f>
        <v/>
      </c>
      <c r="L552" s="22">
        <f>IF(B552="","",IF(B552=B551,L551,N(L551)+1))</f>
        <v/>
      </c>
    </row>
    <row r="553">
      <c r="A553" s="22" t="n"/>
      <c r="B553" s="27" t="n"/>
      <c r="C553" s="17" t="n"/>
      <c r="D553" s="17" t="n"/>
      <c r="E553" s="17" t="n"/>
      <c r="F553" s="28" t="n"/>
      <c r="G553" s="29" t="n"/>
      <c r="H553" s="29" t="n"/>
      <c r="I553" s="29" t="n"/>
      <c r="J553" s="29" t="n"/>
      <c r="K553" s="30">
        <f>IF(B553="","",SUM(G$2:I553)-SUM(J$2:J553))</f>
        <v/>
      </c>
      <c r="L553" s="22">
        <f>IF(B553="","",IF(B553=B552,L552,N(L552)+1))</f>
        <v/>
      </c>
    </row>
    <row r="554">
      <c r="A554" s="22" t="n"/>
      <c r="B554" s="27" t="n"/>
      <c r="C554" s="17" t="n"/>
      <c r="D554" s="17" t="n"/>
      <c r="E554" s="17" t="n"/>
      <c r="F554" s="28" t="n"/>
      <c r="G554" s="29" t="n"/>
      <c r="H554" s="29" t="n"/>
      <c r="I554" s="29" t="n"/>
      <c r="J554" s="29" t="n"/>
      <c r="K554" s="30">
        <f>IF(B554="","",SUM(G$2:I554)-SUM(J$2:J554))</f>
        <v/>
      </c>
      <c r="L554" s="22">
        <f>IF(B554="","",IF(B554=B553,L553,N(L553)+1))</f>
        <v/>
      </c>
    </row>
    <row r="555">
      <c r="A555" s="22" t="n"/>
      <c r="B555" s="27" t="n"/>
      <c r="C555" s="17" t="n"/>
      <c r="D555" s="17" t="n"/>
      <c r="E555" s="17" t="n"/>
      <c r="F555" s="28" t="n"/>
      <c r="G555" s="29" t="n"/>
      <c r="H555" s="29" t="n"/>
      <c r="I555" s="29" t="n"/>
      <c r="J555" s="29" t="n"/>
      <c r="K555" s="30">
        <f>IF(B555="","",SUM(G$2:I555)-SUM(J$2:J555))</f>
        <v/>
      </c>
      <c r="L555" s="22">
        <f>IF(B555="","",IF(B555=B554,L554,N(L554)+1))</f>
        <v/>
      </c>
    </row>
    <row r="556">
      <c r="A556" s="22" t="n"/>
      <c r="B556" s="27" t="n"/>
      <c r="C556" s="17" t="n"/>
      <c r="D556" s="17" t="n"/>
      <c r="E556" s="17" t="n"/>
      <c r="F556" s="28" t="n"/>
      <c r="G556" s="29" t="n"/>
      <c r="H556" s="29" t="n"/>
      <c r="I556" s="29" t="n"/>
      <c r="J556" s="29" t="n"/>
      <c r="K556" s="30">
        <f>IF(B556="","",SUM(G$2:I556)-SUM(J$2:J556))</f>
        <v/>
      </c>
      <c r="L556" s="22">
        <f>IF(B556="","",IF(B556=B555,L555,N(L555)+1))</f>
        <v/>
      </c>
    </row>
    <row r="557">
      <c r="A557" s="22" t="n"/>
      <c r="B557" s="27" t="n"/>
      <c r="C557" s="17" t="n"/>
      <c r="D557" s="17" t="n"/>
      <c r="E557" s="17" t="n"/>
      <c r="F557" s="28" t="n"/>
      <c r="G557" s="29" t="n"/>
      <c r="H557" s="29" t="n"/>
      <c r="I557" s="29" t="n"/>
      <c r="J557" s="29" t="n"/>
      <c r="K557" s="30">
        <f>IF(B557="","",SUM(G$2:I557)-SUM(J$2:J557))</f>
        <v/>
      </c>
      <c r="L557" s="22">
        <f>IF(B557="","",IF(B557=B556,L556,N(L556)+1))</f>
        <v/>
      </c>
    </row>
    <row r="558">
      <c r="A558" s="22" t="n"/>
      <c r="B558" s="27" t="n"/>
      <c r="C558" s="17" t="n"/>
      <c r="D558" s="17" t="n"/>
      <c r="E558" s="17" t="n"/>
      <c r="F558" s="28" t="n"/>
      <c r="G558" s="29" t="n"/>
      <c r="H558" s="29" t="n"/>
      <c r="I558" s="29" t="n"/>
      <c r="J558" s="29" t="n"/>
      <c r="K558" s="30">
        <f>IF(B558="","",SUM(G$2:I558)-SUM(J$2:J558))</f>
        <v/>
      </c>
      <c r="L558" s="22">
        <f>IF(B558="","",IF(B558=B557,L557,N(L557)+1))</f>
        <v/>
      </c>
    </row>
    <row r="559">
      <c r="A559" s="22" t="n"/>
      <c r="B559" s="27" t="n"/>
      <c r="C559" s="17" t="n"/>
      <c r="D559" s="17" t="n"/>
      <c r="E559" s="17" t="n"/>
      <c r="F559" s="28" t="n"/>
      <c r="G559" s="29" t="n"/>
      <c r="H559" s="29" t="n"/>
      <c r="I559" s="29" t="n"/>
      <c r="J559" s="29" t="n"/>
      <c r="K559" s="30">
        <f>IF(B559="","",SUM(G$2:I559)-SUM(J$2:J559))</f>
        <v/>
      </c>
      <c r="L559" s="22">
        <f>IF(B559="","",IF(B559=B558,L558,N(L558)+1))</f>
        <v/>
      </c>
    </row>
    <row r="560">
      <c r="A560" s="22" t="n"/>
      <c r="B560" s="27" t="n"/>
      <c r="C560" s="17" t="n"/>
      <c r="D560" s="17" t="n"/>
      <c r="E560" s="17" t="n"/>
      <c r="F560" s="28" t="n"/>
      <c r="G560" s="29" t="n"/>
      <c r="H560" s="29" t="n"/>
      <c r="I560" s="29" t="n"/>
      <c r="J560" s="29" t="n"/>
      <c r="K560" s="30">
        <f>IF(B560="","",SUM(G$2:I560)-SUM(J$2:J560))</f>
        <v/>
      </c>
      <c r="L560" s="22">
        <f>IF(B560="","",IF(B560=B559,L559,N(L559)+1))</f>
        <v/>
      </c>
    </row>
    <row r="561">
      <c r="A561" s="22" t="n"/>
      <c r="B561" s="27" t="n"/>
      <c r="C561" s="17" t="n"/>
      <c r="D561" s="17" t="n"/>
      <c r="E561" s="17" t="n"/>
      <c r="F561" s="28" t="n"/>
      <c r="G561" s="29" t="n"/>
      <c r="H561" s="29" t="n"/>
      <c r="I561" s="29" t="n"/>
      <c r="J561" s="29" t="n"/>
      <c r="K561" s="30">
        <f>IF(B561="","",SUM(G$2:I561)-SUM(J$2:J561))</f>
        <v/>
      </c>
      <c r="L561" s="22">
        <f>IF(B561="","",IF(B561=B560,L560,N(L560)+1))</f>
        <v/>
      </c>
    </row>
    <row r="562">
      <c r="A562" s="22" t="n"/>
      <c r="B562" s="27" t="n"/>
      <c r="C562" s="17" t="n"/>
      <c r="D562" s="17" t="n"/>
      <c r="E562" s="17" t="n"/>
      <c r="F562" s="28" t="n"/>
      <c r="G562" s="29" t="n"/>
      <c r="H562" s="29" t="n"/>
      <c r="I562" s="29" t="n"/>
      <c r="J562" s="29" t="n"/>
      <c r="K562" s="30">
        <f>IF(B562="","",SUM(G$2:I562)-SUM(J$2:J562))</f>
        <v/>
      </c>
      <c r="L562" s="22">
        <f>IF(B562="","",IF(B562=B561,L561,N(L561)+1))</f>
        <v/>
      </c>
    </row>
    <row r="563">
      <c r="A563" s="22" t="n"/>
      <c r="B563" s="27" t="n"/>
      <c r="C563" s="17" t="n"/>
      <c r="D563" s="17" t="n"/>
      <c r="E563" s="17" t="n"/>
      <c r="F563" s="28" t="n"/>
      <c r="G563" s="29" t="n"/>
      <c r="H563" s="29" t="n"/>
      <c r="I563" s="29" t="n"/>
      <c r="J563" s="29" t="n"/>
      <c r="K563" s="30">
        <f>IF(B563="","",SUM(G$2:I563)-SUM(J$2:J563))</f>
        <v/>
      </c>
      <c r="L563" s="22">
        <f>IF(B563="","",IF(B563=B562,L562,N(L562)+1))</f>
        <v/>
      </c>
    </row>
    <row r="564">
      <c r="A564" s="22" t="n"/>
      <c r="B564" s="27" t="n"/>
      <c r="C564" s="17" t="n"/>
      <c r="D564" s="17" t="n"/>
      <c r="E564" s="17" t="n"/>
      <c r="F564" s="28" t="n"/>
      <c r="G564" s="29" t="n"/>
      <c r="H564" s="29" t="n"/>
      <c r="I564" s="29" t="n"/>
      <c r="J564" s="29" t="n"/>
      <c r="K564" s="30">
        <f>IF(B564="","",SUM(G$2:I564)-SUM(J$2:J564))</f>
        <v/>
      </c>
      <c r="L564" s="22">
        <f>IF(B564="","",IF(B564=B563,L563,N(L563)+1))</f>
        <v/>
      </c>
    </row>
    <row r="565">
      <c r="A565" s="22" t="n"/>
      <c r="B565" s="27" t="n"/>
      <c r="C565" s="17" t="n"/>
      <c r="D565" s="17" t="n"/>
      <c r="E565" s="17" t="n"/>
      <c r="F565" s="28" t="n"/>
      <c r="G565" s="29" t="n"/>
      <c r="H565" s="29" t="n"/>
      <c r="I565" s="29" t="n"/>
      <c r="J565" s="29" t="n"/>
      <c r="K565" s="30">
        <f>IF(B565="","",SUM(G$2:I565)-SUM(J$2:J565))</f>
        <v/>
      </c>
      <c r="L565" s="22">
        <f>IF(B565="","",IF(B565=B564,L564,N(L564)+1))</f>
        <v/>
      </c>
    </row>
    <row r="566">
      <c r="A566" s="22" t="n"/>
      <c r="B566" s="27" t="n"/>
      <c r="C566" s="17" t="n"/>
      <c r="D566" s="17" t="n"/>
      <c r="E566" s="17" t="n"/>
      <c r="F566" s="28" t="n"/>
      <c r="G566" s="29" t="n"/>
      <c r="H566" s="29" t="n"/>
      <c r="I566" s="29" t="n"/>
      <c r="J566" s="29" t="n"/>
      <c r="K566" s="30">
        <f>IF(B566="","",SUM(G$2:I566)-SUM(J$2:J566))</f>
        <v/>
      </c>
      <c r="L566" s="22">
        <f>IF(B566="","",IF(B566=B565,L565,N(L565)+1))</f>
        <v/>
      </c>
    </row>
    <row r="567">
      <c r="A567" s="22" t="n"/>
      <c r="B567" s="27" t="n"/>
      <c r="C567" s="17" t="n"/>
      <c r="D567" s="17" t="n"/>
      <c r="E567" s="17" t="n"/>
      <c r="F567" s="28" t="n"/>
      <c r="G567" s="29" t="n"/>
      <c r="H567" s="29" t="n"/>
      <c r="I567" s="29" t="n"/>
      <c r="J567" s="29" t="n"/>
      <c r="K567" s="30">
        <f>IF(B567="","",SUM(G$2:I567)-SUM(J$2:J567))</f>
        <v/>
      </c>
      <c r="L567" s="22">
        <f>IF(B567="","",IF(B567=B566,L566,N(L566)+1))</f>
        <v/>
      </c>
    </row>
    <row r="568">
      <c r="A568" s="22" t="n"/>
      <c r="B568" s="27" t="n"/>
      <c r="C568" s="17" t="n"/>
      <c r="D568" s="17" t="n"/>
      <c r="E568" s="17" t="n"/>
      <c r="F568" s="28" t="n"/>
      <c r="G568" s="29" t="n"/>
      <c r="H568" s="29" t="n"/>
      <c r="I568" s="29" t="n"/>
      <c r="J568" s="29" t="n"/>
      <c r="K568" s="30">
        <f>IF(B568="","",SUM(G$2:I568)-SUM(J$2:J568))</f>
        <v/>
      </c>
      <c r="L568" s="22">
        <f>IF(B568="","",IF(B568=B567,L567,N(L567)+1))</f>
        <v/>
      </c>
    </row>
    <row r="569">
      <c r="A569" s="22" t="n"/>
      <c r="B569" s="27" t="n"/>
      <c r="C569" s="17" t="n"/>
      <c r="D569" s="17" t="n"/>
      <c r="E569" s="17" t="n"/>
      <c r="F569" s="28" t="n"/>
      <c r="G569" s="29" t="n"/>
      <c r="H569" s="29" t="n"/>
      <c r="I569" s="29" t="n"/>
      <c r="J569" s="29" t="n"/>
      <c r="K569" s="30">
        <f>IF(B569="","",SUM(G$2:I569)-SUM(J$2:J569))</f>
        <v/>
      </c>
      <c r="L569" s="22">
        <f>IF(B569="","",IF(B569=B568,L568,N(L568)+1))</f>
        <v/>
      </c>
    </row>
    <row r="570">
      <c r="A570" s="22" t="n"/>
      <c r="B570" s="27" t="n"/>
      <c r="C570" s="17" t="n"/>
      <c r="D570" s="17" t="n"/>
      <c r="E570" s="17" t="n"/>
      <c r="F570" s="28" t="n"/>
      <c r="G570" s="29" t="n"/>
      <c r="H570" s="29" t="n"/>
      <c r="I570" s="29" t="n"/>
      <c r="J570" s="29" t="n"/>
      <c r="K570" s="30">
        <f>IF(B570="","",SUM(G$2:I570)-SUM(J$2:J570))</f>
        <v/>
      </c>
      <c r="L570" s="22">
        <f>IF(B570="","",IF(B570=B569,L569,N(L569)+1))</f>
        <v/>
      </c>
    </row>
    <row r="571">
      <c r="A571" s="22" t="n"/>
      <c r="B571" s="27" t="n"/>
      <c r="C571" s="17" t="n"/>
      <c r="D571" s="17" t="n"/>
      <c r="E571" s="17" t="n"/>
      <c r="F571" s="28" t="n"/>
      <c r="G571" s="29" t="n"/>
      <c r="H571" s="29" t="n"/>
      <c r="I571" s="29" t="n"/>
      <c r="J571" s="29" t="n"/>
      <c r="K571" s="30">
        <f>IF(B571="","",SUM(G$2:I571)-SUM(J$2:J571))</f>
        <v/>
      </c>
      <c r="L571" s="22">
        <f>IF(B571="","",IF(B571=B570,L570,N(L570)+1))</f>
        <v/>
      </c>
    </row>
    <row r="572">
      <c r="A572" s="22" t="n"/>
      <c r="B572" s="27" t="n"/>
      <c r="C572" s="17" t="n"/>
      <c r="D572" s="17" t="n"/>
      <c r="E572" s="17" t="n"/>
      <c r="F572" s="28" t="n"/>
      <c r="G572" s="29" t="n"/>
      <c r="H572" s="29" t="n"/>
      <c r="I572" s="29" t="n"/>
      <c r="J572" s="29" t="n"/>
      <c r="K572" s="30">
        <f>IF(B572="","",SUM(G$2:I572)-SUM(J$2:J572))</f>
        <v/>
      </c>
      <c r="L572" s="22">
        <f>IF(B572="","",IF(B572=B571,L571,N(L571)+1))</f>
        <v/>
      </c>
    </row>
    <row r="573">
      <c r="A573" s="22" t="n"/>
      <c r="B573" s="27" t="n"/>
      <c r="C573" s="17" t="n"/>
      <c r="D573" s="17" t="n"/>
      <c r="E573" s="17" t="n"/>
      <c r="F573" s="28" t="n"/>
      <c r="G573" s="29" t="n"/>
      <c r="H573" s="29" t="n"/>
      <c r="I573" s="29" t="n"/>
      <c r="J573" s="29" t="n"/>
      <c r="K573" s="30">
        <f>IF(B573="","",SUM(G$2:I573)-SUM(J$2:J573))</f>
        <v/>
      </c>
      <c r="L573" s="22">
        <f>IF(B573="","",IF(B573=B572,L572,N(L572)+1))</f>
        <v/>
      </c>
    </row>
    <row r="574">
      <c r="A574" s="22" t="n"/>
      <c r="B574" s="27" t="n"/>
      <c r="C574" s="17" t="n"/>
      <c r="D574" s="17" t="n"/>
      <c r="E574" s="17" t="n"/>
      <c r="F574" s="28" t="n"/>
      <c r="G574" s="29" t="n"/>
      <c r="H574" s="29" t="n"/>
      <c r="I574" s="29" t="n"/>
      <c r="J574" s="29" t="n"/>
      <c r="K574" s="30">
        <f>IF(B574="","",SUM(G$2:I574)-SUM(J$2:J574))</f>
        <v/>
      </c>
      <c r="L574" s="22">
        <f>IF(B574="","",IF(B574=B573,L573,N(L573)+1))</f>
        <v/>
      </c>
    </row>
    <row r="575">
      <c r="A575" s="22" t="n"/>
      <c r="B575" s="27" t="n"/>
      <c r="C575" s="17" t="n"/>
      <c r="D575" s="17" t="n"/>
      <c r="E575" s="17" t="n"/>
      <c r="F575" s="28" t="n"/>
      <c r="G575" s="29" t="n"/>
      <c r="H575" s="29" t="n"/>
      <c r="I575" s="29" t="n"/>
      <c r="J575" s="29" t="n"/>
      <c r="K575" s="30">
        <f>IF(B575="","",SUM(G$2:I575)-SUM(J$2:J575))</f>
        <v/>
      </c>
      <c r="L575" s="22">
        <f>IF(B575="","",IF(B575=B574,L574,N(L574)+1))</f>
        <v/>
      </c>
    </row>
    <row r="576">
      <c r="A576" s="22" t="n"/>
      <c r="B576" s="27" t="n"/>
      <c r="C576" s="17" t="n"/>
      <c r="D576" s="17" t="n"/>
      <c r="E576" s="17" t="n"/>
      <c r="F576" s="28" t="n"/>
      <c r="G576" s="29" t="n"/>
      <c r="H576" s="29" t="n"/>
      <c r="I576" s="29" t="n"/>
      <c r="J576" s="29" t="n"/>
      <c r="K576" s="30">
        <f>IF(B576="","",SUM(G$2:I576)-SUM(J$2:J576))</f>
        <v/>
      </c>
      <c r="L576" s="22">
        <f>IF(B576="","",IF(B576=B575,L575,N(L575)+1))</f>
        <v/>
      </c>
    </row>
    <row r="577">
      <c r="A577" s="22" t="n"/>
      <c r="B577" s="27" t="n"/>
      <c r="C577" s="17" t="n"/>
      <c r="D577" s="17" t="n"/>
      <c r="E577" s="17" t="n"/>
      <c r="F577" s="28" t="n"/>
      <c r="G577" s="29" t="n"/>
      <c r="H577" s="29" t="n"/>
      <c r="I577" s="29" t="n"/>
      <c r="J577" s="29" t="n"/>
      <c r="K577" s="30">
        <f>IF(B577="","",SUM(G$2:I577)-SUM(J$2:J577))</f>
        <v/>
      </c>
      <c r="L577" s="22">
        <f>IF(B577="","",IF(B577=B576,L576,N(L576)+1))</f>
        <v/>
      </c>
    </row>
    <row r="578">
      <c r="A578" s="22" t="n"/>
      <c r="B578" s="27" t="n"/>
      <c r="C578" s="17" t="n"/>
      <c r="D578" s="17" t="n"/>
      <c r="E578" s="17" t="n"/>
      <c r="F578" s="28" t="n"/>
      <c r="G578" s="29" t="n"/>
      <c r="H578" s="29" t="n"/>
      <c r="I578" s="29" t="n"/>
      <c r="J578" s="29" t="n"/>
      <c r="K578" s="30">
        <f>IF(B578="","",SUM(G$2:I578)-SUM(J$2:J578))</f>
        <v/>
      </c>
      <c r="L578" s="22">
        <f>IF(B578="","",IF(B578=B577,L577,N(L577)+1))</f>
        <v/>
      </c>
    </row>
    <row r="579">
      <c r="A579" s="22" t="n"/>
      <c r="B579" s="27" t="n"/>
      <c r="C579" s="17" t="n"/>
      <c r="D579" s="17" t="n"/>
      <c r="E579" s="17" t="n"/>
      <c r="F579" s="28" t="n"/>
      <c r="G579" s="29" t="n"/>
      <c r="H579" s="29" t="n"/>
      <c r="I579" s="29" t="n"/>
      <c r="J579" s="29" t="n"/>
      <c r="K579" s="30">
        <f>IF(B579="","",SUM(G$2:I579)-SUM(J$2:J579))</f>
        <v/>
      </c>
      <c r="L579" s="22">
        <f>IF(B579="","",IF(B579=B578,L578,N(L578)+1))</f>
        <v/>
      </c>
    </row>
    <row r="580">
      <c r="A580" s="22" t="n"/>
      <c r="B580" s="27" t="n"/>
      <c r="C580" s="17" t="n"/>
      <c r="D580" s="17" t="n"/>
      <c r="E580" s="17" t="n"/>
      <c r="F580" s="28" t="n"/>
      <c r="G580" s="29" t="n"/>
      <c r="H580" s="29" t="n"/>
      <c r="I580" s="29" t="n"/>
      <c r="J580" s="29" t="n"/>
      <c r="K580" s="30">
        <f>IF(B580="","",SUM(G$2:I580)-SUM(J$2:J580))</f>
        <v/>
      </c>
      <c r="L580" s="22">
        <f>IF(B580="","",IF(B580=B579,L579,N(L579)+1))</f>
        <v/>
      </c>
    </row>
    <row r="581">
      <c r="A581" s="22" t="n"/>
      <c r="B581" s="27" t="n"/>
      <c r="C581" s="17" t="n"/>
      <c r="D581" s="17" t="n"/>
      <c r="E581" s="17" t="n"/>
      <c r="F581" s="28" t="n"/>
      <c r="G581" s="29" t="n"/>
      <c r="H581" s="29" t="n"/>
      <c r="I581" s="29" t="n"/>
      <c r="J581" s="29" t="n"/>
      <c r="K581" s="30">
        <f>IF(B581="","",SUM(G$2:I581)-SUM(J$2:J581))</f>
        <v/>
      </c>
      <c r="L581" s="22">
        <f>IF(B581="","",IF(B581=B580,L580,N(L580)+1))</f>
        <v/>
      </c>
    </row>
    <row r="582">
      <c r="A582" s="22" t="n"/>
      <c r="B582" s="27" t="n"/>
      <c r="C582" s="17" t="n"/>
      <c r="D582" s="17" t="n"/>
      <c r="E582" s="17" t="n"/>
      <c r="F582" s="28" t="n"/>
      <c r="G582" s="29" t="n"/>
      <c r="H582" s="29" t="n"/>
      <c r="I582" s="29" t="n"/>
      <c r="J582" s="29" t="n"/>
      <c r="K582" s="30">
        <f>IF(B582="","",SUM(G$2:I582)-SUM(J$2:J582))</f>
        <v/>
      </c>
      <c r="L582" s="22">
        <f>IF(B582="","",IF(B582=B581,L581,N(L581)+1))</f>
        <v/>
      </c>
    </row>
    <row r="583">
      <c r="A583" s="22" t="n"/>
      <c r="B583" s="27" t="n"/>
      <c r="C583" s="17" t="n"/>
      <c r="D583" s="17" t="n"/>
      <c r="E583" s="17" t="n"/>
      <c r="F583" s="28" t="n"/>
      <c r="G583" s="29" t="n"/>
      <c r="H583" s="29" t="n"/>
      <c r="I583" s="29" t="n"/>
      <c r="J583" s="29" t="n"/>
      <c r="K583" s="30">
        <f>IF(B583="","",SUM(G$2:I583)-SUM(J$2:J583))</f>
        <v/>
      </c>
      <c r="L583" s="22">
        <f>IF(B583="","",IF(B583=B582,L582,N(L582)+1))</f>
        <v/>
      </c>
    </row>
    <row r="584">
      <c r="A584" s="22" t="n"/>
      <c r="B584" s="27" t="n"/>
      <c r="C584" s="17" t="n"/>
      <c r="D584" s="17" t="n"/>
      <c r="E584" s="17" t="n"/>
      <c r="F584" s="28" t="n"/>
      <c r="G584" s="29" t="n"/>
      <c r="H584" s="29" t="n"/>
      <c r="I584" s="29" t="n"/>
      <c r="J584" s="29" t="n"/>
      <c r="K584" s="30">
        <f>IF(B584="","",SUM(G$2:I584)-SUM(J$2:J584))</f>
        <v/>
      </c>
      <c r="L584" s="22">
        <f>IF(B584="","",IF(B584=B583,L583,N(L583)+1))</f>
        <v/>
      </c>
    </row>
    <row r="585">
      <c r="A585" s="22" t="n"/>
      <c r="B585" s="27" t="n"/>
      <c r="C585" s="17" t="n"/>
      <c r="D585" s="17" t="n"/>
      <c r="E585" s="17" t="n"/>
      <c r="F585" s="28" t="n"/>
      <c r="G585" s="29" t="n"/>
      <c r="H585" s="29" t="n"/>
      <c r="I585" s="29" t="n"/>
      <c r="J585" s="29" t="n"/>
      <c r="K585" s="30">
        <f>IF(B585="","",SUM(G$2:I585)-SUM(J$2:J585))</f>
        <v/>
      </c>
      <c r="L585" s="22">
        <f>IF(B585="","",IF(B585=B584,L584,N(L584)+1))</f>
        <v/>
      </c>
    </row>
    <row r="586">
      <c r="A586" s="22" t="n"/>
      <c r="B586" s="27" t="n"/>
      <c r="C586" s="17" t="n"/>
      <c r="D586" s="17" t="n"/>
      <c r="E586" s="17" t="n"/>
      <c r="F586" s="28" t="n"/>
      <c r="G586" s="29" t="n"/>
      <c r="H586" s="29" t="n"/>
      <c r="I586" s="29" t="n"/>
      <c r="J586" s="29" t="n"/>
      <c r="K586" s="30">
        <f>IF(B586="","",SUM(G$2:I586)-SUM(J$2:J586))</f>
        <v/>
      </c>
      <c r="L586" s="22">
        <f>IF(B586="","",IF(B586=B585,L585,N(L585)+1))</f>
        <v/>
      </c>
    </row>
    <row r="587">
      <c r="A587" s="22" t="n"/>
      <c r="B587" s="27" t="n"/>
      <c r="C587" s="17" t="n"/>
      <c r="D587" s="17" t="n"/>
      <c r="E587" s="17" t="n"/>
      <c r="F587" s="28" t="n"/>
      <c r="G587" s="29" t="n"/>
      <c r="H587" s="29" t="n"/>
      <c r="I587" s="29" t="n"/>
      <c r="J587" s="29" t="n"/>
      <c r="K587" s="30">
        <f>IF(B587="","",SUM(G$2:I587)-SUM(J$2:J587))</f>
        <v/>
      </c>
      <c r="L587" s="22">
        <f>IF(B587="","",IF(B587=B586,L586,N(L586)+1))</f>
        <v/>
      </c>
    </row>
    <row r="588">
      <c r="A588" s="22" t="n"/>
      <c r="B588" s="27" t="n"/>
      <c r="C588" s="17" t="n"/>
      <c r="D588" s="17" t="n"/>
      <c r="E588" s="17" t="n"/>
      <c r="F588" s="28" t="n"/>
      <c r="G588" s="29" t="n"/>
      <c r="H588" s="29" t="n"/>
      <c r="I588" s="29" t="n"/>
      <c r="J588" s="29" t="n"/>
      <c r="K588" s="30">
        <f>IF(B588="","",SUM(G$2:I588)-SUM(J$2:J588))</f>
        <v/>
      </c>
      <c r="L588" s="22">
        <f>IF(B588="","",IF(B588=B587,L587,N(L587)+1))</f>
        <v/>
      </c>
    </row>
    <row r="589">
      <c r="A589" s="22" t="n"/>
      <c r="B589" s="27" t="n"/>
      <c r="C589" s="17" t="n"/>
      <c r="D589" s="17" t="n"/>
      <c r="E589" s="17" t="n"/>
      <c r="F589" s="28" t="n"/>
      <c r="G589" s="29" t="n"/>
      <c r="H589" s="29" t="n"/>
      <c r="I589" s="29" t="n"/>
      <c r="J589" s="29" t="n"/>
      <c r="K589" s="30">
        <f>IF(B589="","",SUM(G$2:I589)-SUM(J$2:J589))</f>
        <v/>
      </c>
      <c r="L589" s="22">
        <f>IF(B589="","",IF(B589=B588,L588,N(L588)+1))</f>
        <v/>
      </c>
    </row>
    <row r="590">
      <c r="A590" s="22" t="n"/>
      <c r="B590" s="27" t="n"/>
      <c r="C590" s="17" t="n"/>
      <c r="D590" s="17" t="n"/>
      <c r="E590" s="17" t="n"/>
      <c r="F590" s="28" t="n"/>
      <c r="G590" s="29" t="n"/>
      <c r="H590" s="29" t="n"/>
      <c r="I590" s="29" t="n"/>
      <c r="J590" s="29" t="n"/>
      <c r="K590" s="30">
        <f>IF(B590="","",SUM(G$2:I590)-SUM(J$2:J590))</f>
        <v/>
      </c>
      <c r="L590" s="22">
        <f>IF(B590="","",IF(B590=B589,L589,N(L589)+1))</f>
        <v/>
      </c>
    </row>
    <row r="591">
      <c r="A591" s="22" t="n"/>
      <c r="B591" s="27" t="n"/>
      <c r="C591" s="17" t="n"/>
      <c r="D591" s="17" t="n"/>
      <c r="E591" s="17" t="n"/>
      <c r="F591" s="28" t="n"/>
      <c r="G591" s="29" t="n"/>
      <c r="H591" s="29" t="n"/>
      <c r="I591" s="29" t="n"/>
      <c r="J591" s="29" t="n"/>
      <c r="K591" s="30">
        <f>IF(B591="","",SUM(G$2:I591)-SUM(J$2:J591))</f>
        <v/>
      </c>
      <c r="L591" s="22">
        <f>IF(B591="","",IF(B591=B590,L590,N(L590)+1))</f>
        <v/>
      </c>
    </row>
    <row r="592">
      <c r="A592" s="22" t="n"/>
      <c r="B592" s="27" t="n"/>
      <c r="C592" s="17" t="n"/>
      <c r="D592" s="17" t="n"/>
      <c r="E592" s="17" t="n"/>
      <c r="F592" s="28" t="n"/>
      <c r="G592" s="29" t="n"/>
      <c r="H592" s="29" t="n"/>
      <c r="I592" s="29" t="n"/>
      <c r="J592" s="29" t="n"/>
      <c r="K592" s="30">
        <f>IF(B592="","",SUM(G$2:I592)-SUM(J$2:J592))</f>
        <v/>
      </c>
      <c r="L592" s="22">
        <f>IF(B592="","",IF(B592=B591,L591,N(L591)+1))</f>
        <v/>
      </c>
    </row>
    <row r="593">
      <c r="A593" s="22" t="n"/>
      <c r="B593" s="27" t="n"/>
      <c r="C593" s="17" t="n"/>
      <c r="D593" s="17" t="n"/>
      <c r="E593" s="17" t="n"/>
      <c r="F593" s="28" t="n"/>
      <c r="G593" s="29" t="n"/>
      <c r="H593" s="29" t="n"/>
      <c r="I593" s="29" t="n"/>
      <c r="J593" s="29" t="n"/>
      <c r="K593" s="30">
        <f>IF(B593="","",SUM(G$2:I593)-SUM(J$2:J593))</f>
        <v/>
      </c>
      <c r="L593" s="22">
        <f>IF(B593="","",IF(B593=B592,L592,N(L592)+1))</f>
        <v/>
      </c>
    </row>
    <row r="594">
      <c r="A594" s="22" t="n"/>
      <c r="B594" s="27" t="n"/>
      <c r="C594" s="17" t="n"/>
      <c r="D594" s="17" t="n"/>
      <c r="E594" s="17" t="n"/>
      <c r="F594" s="28" t="n"/>
      <c r="G594" s="29" t="n"/>
      <c r="H594" s="29" t="n"/>
      <c r="I594" s="29" t="n"/>
      <c r="J594" s="29" t="n"/>
      <c r="K594" s="30">
        <f>IF(B594="","",SUM(G$2:I594)-SUM(J$2:J594))</f>
        <v/>
      </c>
      <c r="L594" s="22">
        <f>IF(B594="","",IF(B594=B593,L593,N(L593)+1))</f>
        <v/>
      </c>
    </row>
    <row r="595">
      <c r="A595" s="22" t="n"/>
      <c r="B595" s="27" t="n"/>
      <c r="C595" s="17" t="n"/>
      <c r="D595" s="17" t="n"/>
      <c r="E595" s="17" t="n"/>
      <c r="F595" s="28" t="n"/>
      <c r="G595" s="29" t="n"/>
      <c r="H595" s="29" t="n"/>
      <c r="I595" s="29" t="n"/>
      <c r="J595" s="29" t="n"/>
      <c r="K595" s="30">
        <f>IF(B595="","",SUM(G$2:I595)-SUM(J$2:J595))</f>
        <v/>
      </c>
      <c r="L595" s="22">
        <f>IF(B595="","",IF(B595=B594,L594,N(L594)+1))</f>
        <v/>
      </c>
    </row>
    <row r="596">
      <c r="A596" s="22" t="n"/>
      <c r="B596" s="27" t="n"/>
      <c r="C596" s="17" t="n"/>
      <c r="D596" s="17" t="n"/>
      <c r="E596" s="17" t="n"/>
      <c r="F596" s="28" t="n"/>
      <c r="G596" s="29" t="n"/>
      <c r="H596" s="29" t="n"/>
      <c r="I596" s="29" t="n"/>
      <c r="J596" s="29" t="n"/>
      <c r="K596" s="30">
        <f>IF(B596="","",SUM(G$2:I596)-SUM(J$2:J596))</f>
        <v/>
      </c>
      <c r="L596" s="22">
        <f>IF(B596="","",IF(B596=B595,L595,N(L595)+1))</f>
        <v/>
      </c>
    </row>
    <row r="597">
      <c r="A597" s="22" t="n"/>
      <c r="B597" s="27" t="n"/>
      <c r="C597" s="17" t="n"/>
      <c r="D597" s="17" t="n"/>
      <c r="E597" s="17" t="n"/>
      <c r="F597" s="28" t="n"/>
      <c r="G597" s="29" t="n"/>
      <c r="H597" s="29" t="n"/>
      <c r="I597" s="29" t="n"/>
      <c r="J597" s="29" t="n"/>
      <c r="K597" s="30">
        <f>IF(B597="","",SUM(G$2:I597)-SUM(J$2:J597))</f>
        <v/>
      </c>
      <c r="L597" s="22">
        <f>IF(B597="","",IF(B597=B596,L596,N(L596)+1))</f>
        <v/>
      </c>
    </row>
    <row r="598">
      <c r="A598" s="22" t="n"/>
      <c r="B598" s="27" t="n"/>
      <c r="C598" s="17" t="n"/>
      <c r="D598" s="17" t="n"/>
      <c r="E598" s="17" t="n"/>
      <c r="F598" s="28" t="n"/>
      <c r="G598" s="29" t="n"/>
      <c r="H598" s="29" t="n"/>
      <c r="I598" s="29" t="n"/>
      <c r="J598" s="29" t="n"/>
      <c r="K598" s="30">
        <f>IF(B598="","",SUM(G$2:I598)-SUM(J$2:J598))</f>
        <v/>
      </c>
      <c r="L598" s="22">
        <f>IF(B598="","",IF(B598=B597,L597,N(L597)+1))</f>
        <v/>
      </c>
    </row>
    <row r="599">
      <c r="A599" s="22" t="n"/>
      <c r="B599" s="27" t="n"/>
      <c r="C599" s="17" t="n"/>
      <c r="D599" s="17" t="n"/>
      <c r="E599" s="17" t="n"/>
      <c r="F599" s="28" t="n"/>
      <c r="G599" s="29" t="n"/>
      <c r="H599" s="29" t="n"/>
      <c r="I599" s="29" t="n"/>
      <c r="J599" s="29" t="n"/>
      <c r="K599" s="30">
        <f>IF(B599="","",SUM(G$2:I599)-SUM(J$2:J599))</f>
        <v/>
      </c>
      <c r="L599" s="22">
        <f>IF(B599="","",IF(B599=B598,L598,N(L598)+1))</f>
        <v/>
      </c>
    </row>
    <row r="600">
      <c r="A600" s="22" t="n"/>
      <c r="B600" s="27" t="n"/>
      <c r="C600" s="17" t="n"/>
      <c r="D600" s="17" t="n"/>
      <c r="E600" s="17" t="n"/>
      <c r="F600" s="28" t="n"/>
      <c r="G600" s="29" t="n"/>
      <c r="H600" s="29" t="n"/>
      <c r="I600" s="29" t="n"/>
      <c r="J600" s="29" t="n"/>
      <c r="K600" s="30">
        <f>IF(B600="","",SUM(G$2:I600)-SUM(J$2:J600))</f>
        <v/>
      </c>
      <c r="L600" s="22">
        <f>IF(B600="","",IF(B600=B599,L599,N(L599)+1))</f>
        <v/>
      </c>
    </row>
    <row r="601">
      <c r="A601" s="22" t="n"/>
      <c r="B601" s="27" t="n"/>
      <c r="C601" s="17" t="n"/>
      <c r="D601" s="17" t="n"/>
      <c r="E601" s="17" t="n"/>
      <c r="F601" s="28" t="n"/>
      <c r="G601" s="29" t="n"/>
      <c r="H601" s="29" t="n"/>
      <c r="I601" s="29" t="n"/>
      <c r="J601" s="29" t="n"/>
      <c r="K601" s="30">
        <f>IF(B601="","",SUM(G$2:I601)-SUM(J$2:J601))</f>
        <v/>
      </c>
      <c r="L601" s="22">
        <f>IF(B601="","",IF(B601=B600,L600,N(L600)+1))</f>
        <v/>
      </c>
    </row>
    <row r="602">
      <c r="A602" s="22" t="n"/>
      <c r="B602" s="27" t="n"/>
      <c r="C602" s="17" t="n"/>
      <c r="D602" s="17" t="n"/>
      <c r="E602" s="17" t="n"/>
      <c r="F602" s="28" t="n"/>
      <c r="G602" s="29" t="n"/>
      <c r="H602" s="29" t="n"/>
      <c r="I602" s="29" t="n"/>
      <c r="J602" s="29" t="n"/>
      <c r="K602" s="30">
        <f>IF(B602="","",SUM(G$2:I602)-SUM(J$2:J602))</f>
        <v/>
      </c>
      <c r="L602" s="22">
        <f>IF(B602="","",IF(B602=B601,L601,N(L601)+1))</f>
        <v/>
      </c>
    </row>
    <row r="603">
      <c r="A603" s="22" t="n"/>
      <c r="B603" s="27" t="n"/>
      <c r="C603" s="17" t="n"/>
      <c r="D603" s="17" t="n"/>
      <c r="E603" s="17" t="n"/>
      <c r="F603" s="28" t="n"/>
      <c r="G603" s="29" t="n"/>
      <c r="H603" s="29" t="n"/>
      <c r="I603" s="29" t="n"/>
      <c r="J603" s="29" t="n"/>
      <c r="K603" s="30">
        <f>IF(B603="","",SUM(G$2:I603)-SUM(J$2:J603))</f>
        <v/>
      </c>
      <c r="L603" s="22">
        <f>IF(B603="","",IF(B603=B602,L602,N(L602)+1))</f>
        <v/>
      </c>
    </row>
    <row r="604">
      <c r="A604" s="22" t="n"/>
      <c r="B604" s="27" t="n"/>
      <c r="C604" s="17" t="n"/>
      <c r="D604" s="17" t="n"/>
      <c r="E604" s="17" t="n"/>
      <c r="F604" s="28" t="n"/>
      <c r="G604" s="29" t="n"/>
      <c r="H604" s="29" t="n"/>
      <c r="I604" s="29" t="n"/>
      <c r="J604" s="29" t="n"/>
      <c r="K604" s="30">
        <f>IF(B604="","",SUM(G$2:I604)-SUM(J$2:J604))</f>
        <v/>
      </c>
      <c r="L604" s="22">
        <f>IF(B604="","",IF(B604=B603,L603,N(L603)+1))</f>
        <v/>
      </c>
    </row>
    <row r="605">
      <c r="A605" s="22" t="n"/>
      <c r="B605" s="27" t="n"/>
      <c r="C605" s="17" t="n"/>
      <c r="D605" s="17" t="n"/>
      <c r="E605" s="17" t="n"/>
      <c r="F605" s="28" t="n"/>
      <c r="G605" s="29" t="n"/>
      <c r="H605" s="29" t="n"/>
      <c r="I605" s="29" t="n"/>
      <c r="J605" s="29" t="n"/>
      <c r="K605" s="30">
        <f>IF(B605="","",SUM(G$2:I605)-SUM(J$2:J605))</f>
        <v/>
      </c>
      <c r="L605" s="22">
        <f>IF(B605="","",IF(B605=B604,L604,N(L604)+1))</f>
        <v/>
      </c>
    </row>
    <row r="606">
      <c r="A606" s="22" t="n"/>
      <c r="B606" s="27" t="n"/>
      <c r="C606" s="17" t="n"/>
      <c r="D606" s="17" t="n"/>
      <c r="E606" s="17" t="n"/>
      <c r="F606" s="28" t="n"/>
      <c r="G606" s="29" t="n"/>
      <c r="H606" s="29" t="n"/>
      <c r="I606" s="29" t="n"/>
      <c r="J606" s="29" t="n"/>
      <c r="K606" s="30">
        <f>IF(B606="","",SUM(G$2:I606)-SUM(J$2:J606))</f>
        <v/>
      </c>
      <c r="L606" s="22">
        <f>IF(B606="","",IF(B606=B605,L605,N(L605)+1))</f>
        <v/>
      </c>
    </row>
    <row r="607">
      <c r="A607" s="22" t="n"/>
      <c r="B607" s="27" t="n"/>
      <c r="C607" s="17" t="n"/>
      <c r="D607" s="17" t="n"/>
      <c r="E607" s="17" t="n"/>
      <c r="F607" s="28" t="n"/>
      <c r="G607" s="29" t="n"/>
      <c r="H607" s="29" t="n"/>
      <c r="I607" s="29" t="n"/>
      <c r="J607" s="29" t="n"/>
      <c r="K607" s="30">
        <f>IF(B607="","",SUM(G$2:I607)-SUM(J$2:J607))</f>
        <v/>
      </c>
      <c r="L607" s="22">
        <f>IF(B607="","",IF(B607=B606,L606,N(L606)+1))</f>
        <v/>
      </c>
    </row>
    <row r="608">
      <c r="A608" s="22" t="n"/>
      <c r="B608" s="27" t="n"/>
      <c r="C608" s="17" t="n"/>
      <c r="D608" s="17" t="n"/>
      <c r="E608" s="17" t="n"/>
      <c r="F608" s="28" t="n"/>
      <c r="G608" s="29" t="n"/>
      <c r="H608" s="29" t="n"/>
      <c r="I608" s="29" t="n"/>
      <c r="J608" s="29" t="n"/>
      <c r="K608" s="30">
        <f>IF(B608="","",SUM(G$2:I608)-SUM(J$2:J608))</f>
        <v/>
      </c>
      <c r="L608" s="22">
        <f>IF(B608="","",IF(B608=B607,L607,N(L607)+1))</f>
        <v/>
      </c>
    </row>
    <row r="609">
      <c r="A609" s="22" t="n"/>
      <c r="B609" s="27" t="n"/>
      <c r="C609" s="17" t="n"/>
      <c r="D609" s="17" t="n"/>
      <c r="E609" s="17" t="n"/>
      <c r="F609" s="28" t="n"/>
      <c r="G609" s="29" t="n"/>
      <c r="H609" s="29" t="n"/>
      <c r="I609" s="29" t="n"/>
      <c r="J609" s="29" t="n"/>
      <c r="K609" s="30">
        <f>IF(B609="","",SUM(G$2:I609)-SUM(J$2:J609))</f>
        <v/>
      </c>
      <c r="L609" s="22">
        <f>IF(B609="","",IF(B609=B608,L608,N(L608)+1))</f>
        <v/>
      </c>
    </row>
    <row r="610">
      <c r="A610" s="22" t="n"/>
      <c r="B610" s="27" t="n"/>
      <c r="C610" s="17" t="n"/>
      <c r="D610" s="17" t="n"/>
      <c r="E610" s="17" t="n"/>
      <c r="F610" s="28" t="n"/>
      <c r="G610" s="29" t="n"/>
      <c r="H610" s="29" t="n"/>
      <c r="I610" s="29" t="n"/>
      <c r="J610" s="29" t="n"/>
      <c r="K610" s="30">
        <f>IF(B610="","",SUM(G$2:I610)-SUM(J$2:J610))</f>
        <v/>
      </c>
      <c r="L610" s="22">
        <f>IF(B610="","",IF(B610=B609,L609,N(L609)+1))</f>
        <v/>
      </c>
    </row>
    <row r="611">
      <c r="A611" s="22" t="n"/>
      <c r="B611" s="27" t="n"/>
      <c r="C611" s="17" t="n"/>
      <c r="D611" s="17" t="n"/>
      <c r="E611" s="17" t="n"/>
      <c r="F611" s="28" t="n"/>
      <c r="G611" s="29" t="n"/>
      <c r="H611" s="29" t="n"/>
      <c r="I611" s="29" t="n"/>
      <c r="J611" s="29" t="n"/>
      <c r="K611" s="30">
        <f>IF(B611="","",SUM(G$2:I611)-SUM(J$2:J611))</f>
        <v/>
      </c>
      <c r="L611" s="22">
        <f>IF(B611="","",IF(B611=B610,L610,N(L610)+1))</f>
        <v/>
      </c>
    </row>
    <row r="612">
      <c r="A612" s="22" t="n"/>
      <c r="B612" s="27" t="n"/>
      <c r="C612" s="17" t="n"/>
      <c r="D612" s="17" t="n"/>
      <c r="E612" s="17" t="n"/>
      <c r="F612" s="28" t="n"/>
      <c r="G612" s="29" t="n"/>
      <c r="H612" s="29" t="n"/>
      <c r="I612" s="29" t="n"/>
      <c r="J612" s="29" t="n"/>
      <c r="K612" s="30">
        <f>IF(B612="","",SUM(G$2:I612)-SUM(J$2:J612))</f>
        <v/>
      </c>
      <c r="L612" s="22">
        <f>IF(B612="","",IF(B612=B611,L611,N(L611)+1))</f>
        <v/>
      </c>
    </row>
    <row r="613">
      <c r="A613" s="22" t="n"/>
      <c r="B613" s="27" t="n"/>
      <c r="C613" s="17" t="n"/>
      <c r="D613" s="17" t="n"/>
      <c r="E613" s="17" t="n"/>
      <c r="F613" s="28" t="n"/>
      <c r="G613" s="29" t="n"/>
      <c r="H613" s="29" t="n"/>
      <c r="I613" s="29" t="n"/>
      <c r="J613" s="29" t="n"/>
      <c r="K613" s="30">
        <f>IF(B613="","",SUM(G$2:I613)-SUM(J$2:J613))</f>
        <v/>
      </c>
      <c r="L613" s="22">
        <f>IF(B613="","",IF(B613=B612,L612,N(L612)+1))</f>
        <v/>
      </c>
    </row>
    <row r="614">
      <c r="A614" s="22" t="n"/>
      <c r="B614" s="27" t="n"/>
      <c r="C614" s="17" t="n"/>
      <c r="D614" s="17" t="n"/>
      <c r="E614" s="17" t="n"/>
      <c r="F614" s="28" t="n"/>
      <c r="G614" s="29" t="n"/>
      <c r="H614" s="29" t="n"/>
      <c r="I614" s="29" t="n"/>
      <c r="J614" s="29" t="n"/>
      <c r="K614" s="30">
        <f>IF(B614="","",SUM(G$2:I614)-SUM(J$2:J614))</f>
        <v/>
      </c>
      <c r="L614" s="22">
        <f>IF(B614="","",IF(B614=B613,L613,N(L613)+1))</f>
        <v/>
      </c>
    </row>
    <row r="615">
      <c r="A615" s="22" t="n"/>
      <c r="B615" s="27" t="n"/>
      <c r="C615" s="17" t="n"/>
      <c r="D615" s="17" t="n"/>
      <c r="E615" s="17" t="n"/>
      <c r="F615" s="28" t="n"/>
      <c r="G615" s="29" t="n"/>
      <c r="H615" s="29" t="n"/>
      <c r="I615" s="29" t="n"/>
      <c r="J615" s="29" t="n"/>
      <c r="K615" s="30">
        <f>IF(B615="","",SUM(G$2:I615)-SUM(J$2:J615))</f>
        <v/>
      </c>
      <c r="L615" s="22">
        <f>IF(B615="","",IF(B615=B614,L614,N(L614)+1))</f>
        <v/>
      </c>
    </row>
    <row r="616">
      <c r="A616" s="22" t="n"/>
      <c r="B616" s="27" t="n"/>
      <c r="C616" s="17" t="n"/>
      <c r="D616" s="17" t="n"/>
      <c r="E616" s="17" t="n"/>
      <c r="F616" s="28" t="n"/>
      <c r="G616" s="29" t="n"/>
      <c r="H616" s="29" t="n"/>
      <c r="I616" s="29" t="n"/>
      <c r="J616" s="29" t="n"/>
      <c r="K616" s="30">
        <f>IF(B616="","",SUM(G$2:I616)-SUM(J$2:J616))</f>
        <v/>
      </c>
      <c r="L616" s="22">
        <f>IF(B616="","",IF(B616=B615,L615,N(L615)+1))</f>
        <v/>
      </c>
    </row>
    <row r="617">
      <c r="A617" s="22" t="n"/>
      <c r="B617" s="27" t="n"/>
      <c r="C617" s="17" t="n"/>
      <c r="D617" s="17" t="n"/>
      <c r="E617" s="17" t="n"/>
      <c r="F617" s="28" t="n"/>
      <c r="G617" s="29" t="n"/>
      <c r="H617" s="29" t="n"/>
      <c r="I617" s="29" t="n"/>
      <c r="J617" s="29" t="n"/>
      <c r="K617" s="30">
        <f>IF(B617="","",SUM(G$2:I617)-SUM(J$2:J617))</f>
        <v/>
      </c>
      <c r="L617" s="22">
        <f>IF(B617="","",IF(B617=B616,L616,N(L616)+1))</f>
        <v/>
      </c>
    </row>
    <row r="618">
      <c r="A618" s="22" t="n"/>
      <c r="B618" s="27" t="n"/>
      <c r="C618" s="17" t="n"/>
      <c r="D618" s="17" t="n"/>
      <c r="E618" s="17" t="n"/>
      <c r="F618" s="28" t="n"/>
      <c r="G618" s="29" t="n"/>
      <c r="H618" s="29" t="n"/>
      <c r="I618" s="29" t="n"/>
      <c r="J618" s="29" t="n"/>
      <c r="K618" s="30">
        <f>IF(B618="","",SUM(G$2:I618)-SUM(J$2:J618))</f>
        <v/>
      </c>
      <c r="L618" s="22">
        <f>IF(B618="","",IF(B618=B617,L617,N(L617)+1))</f>
        <v/>
      </c>
    </row>
    <row r="619">
      <c r="A619" s="22" t="n"/>
      <c r="B619" s="27" t="n"/>
      <c r="C619" s="17" t="n"/>
      <c r="D619" s="17" t="n"/>
      <c r="E619" s="17" t="n"/>
      <c r="F619" s="28" t="n"/>
      <c r="G619" s="29" t="n"/>
      <c r="H619" s="29" t="n"/>
      <c r="I619" s="29" t="n"/>
      <c r="J619" s="29" t="n"/>
      <c r="K619" s="30">
        <f>IF(B619="","",SUM(G$2:I619)-SUM(J$2:J619))</f>
        <v/>
      </c>
      <c r="L619" s="22">
        <f>IF(B619="","",IF(B619=B618,L618,N(L618)+1))</f>
        <v/>
      </c>
    </row>
    <row r="620">
      <c r="A620" s="22" t="n"/>
      <c r="B620" s="27" t="n"/>
      <c r="C620" s="17" t="n"/>
      <c r="D620" s="17" t="n"/>
      <c r="E620" s="17" t="n"/>
      <c r="F620" s="28" t="n"/>
      <c r="G620" s="29" t="n"/>
      <c r="H620" s="29" t="n"/>
      <c r="I620" s="29" t="n"/>
      <c r="J620" s="29" t="n"/>
      <c r="K620" s="30">
        <f>IF(B620="","",SUM(G$2:I620)-SUM(J$2:J620))</f>
        <v/>
      </c>
      <c r="L620" s="22">
        <f>IF(B620="","",IF(B620=B619,L619,N(L619)+1))</f>
        <v/>
      </c>
    </row>
    <row r="621">
      <c r="A621" s="22" t="n"/>
      <c r="B621" s="27" t="n"/>
      <c r="C621" s="17" t="n"/>
      <c r="D621" s="17" t="n"/>
      <c r="E621" s="17" t="n"/>
      <c r="F621" s="28" t="n"/>
      <c r="G621" s="29" t="n"/>
      <c r="H621" s="29" t="n"/>
      <c r="I621" s="29" t="n"/>
      <c r="J621" s="29" t="n"/>
      <c r="K621" s="30">
        <f>IF(B621="","",SUM(G$2:I621)-SUM(J$2:J621))</f>
        <v/>
      </c>
      <c r="L621" s="22">
        <f>IF(B621="","",IF(B621=B620,L620,N(L620)+1))</f>
        <v/>
      </c>
    </row>
    <row r="622">
      <c r="A622" s="22" t="n"/>
      <c r="B622" s="27" t="n"/>
      <c r="C622" s="17" t="n"/>
      <c r="D622" s="17" t="n"/>
      <c r="E622" s="17" t="n"/>
      <c r="F622" s="28" t="n"/>
      <c r="G622" s="29" t="n"/>
      <c r="H622" s="29" t="n"/>
      <c r="I622" s="29" t="n"/>
      <c r="J622" s="29" t="n"/>
      <c r="K622" s="30">
        <f>IF(B622="","",SUM(G$2:I622)-SUM(J$2:J622))</f>
        <v/>
      </c>
      <c r="L622" s="22">
        <f>IF(B622="","",IF(B622=B621,L621,N(L621)+1))</f>
        <v/>
      </c>
    </row>
    <row r="623">
      <c r="A623" s="22" t="n"/>
      <c r="B623" s="27" t="n"/>
      <c r="C623" s="17" t="n"/>
      <c r="D623" s="17" t="n"/>
      <c r="E623" s="17" t="n"/>
      <c r="F623" s="28" t="n"/>
      <c r="G623" s="29" t="n"/>
      <c r="H623" s="29" t="n"/>
      <c r="I623" s="29" t="n"/>
      <c r="J623" s="29" t="n"/>
      <c r="K623" s="30">
        <f>IF(B623="","",SUM(G$2:I623)-SUM(J$2:J623))</f>
        <v/>
      </c>
      <c r="L623" s="22">
        <f>IF(B623="","",IF(B623=B622,L622,N(L622)+1))</f>
        <v/>
      </c>
    </row>
    <row r="624">
      <c r="A624" s="22" t="n"/>
      <c r="B624" s="27" t="n"/>
      <c r="C624" s="17" t="n"/>
      <c r="D624" s="17" t="n"/>
      <c r="E624" s="17" t="n"/>
      <c r="F624" s="28" t="n"/>
      <c r="G624" s="29" t="n"/>
      <c r="H624" s="29" t="n"/>
      <c r="I624" s="29" t="n"/>
      <c r="J624" s="29" t="n"/>
      <c r="K624" s="30">
        <f>IF(B624="","",SUM(G$2:I624)-SUM(J$2:J624))</f>
        <v/>
      </c>
      <c r="L624" s="22">
        <f>IF(B624="","",IF(B624=B623,L623,N(L623)+1))</f>
        <v/>
      </c>
    </row>
    <row r="625">
      <c r="A625" s="22" t="n"/>
      <c r="B625" s="27" t="n"/>
      <c r="C625" s="17" t="n"/>
      <c r="D625" s="17" t="n"/>
      <c r="E625" s="17" t="n"/>
      <c r="F625" s="28" t="n"/>
      <c r="G625" s="29" t="n"/>
      <c r="H625" s="29" t="n"/>
      <c r="I625" s="29" t="n"/>
      <c r="J625" s="29" t="n"/>
      <c r="K625" s="30">
        <f>IF(B625="","",SUM(G$2:I625)-SUM(J$2:J625))</f>
        <v/>
      </c>
      <c r="L625" s="22">
        <f>IF(B625="","",IF(B625=B624,L624,N(L624)+1))</f>
        <v/>
      </c>
    </row>
    <row r="626">
      <c r="A626" s="22" t="n"/>
      <c r="B626" s="27" t="n"/>
      <c r="C626" s="17" t="n"/>
      <c r="D626" s="17" t="n"/>
      <c r="E626" s="17" t="n"/>
      <c r="F626" s="28" t="n"/>
      <c r="G626" s="29" t="n"/>
      <c r="H626" s="29" t="n"/>
      <c r="I626" s="29" t="n"/>
      <c r="J626" s="29" t="n"/>
      <c r="K626" s="30">
        <f>IF(B626="","",SUM(G$2:I626)-SUM(J$2:J626))</f>
        <v/>
      </c>
      <c r="L626" s="22">
        <f>IF(B626="","",IF(B626=B625,L625,N(L625)+1))</f>
        <v/>
      </c>
    </row>
    <row r="627">
      <c r="A627" s="22" t="n"/>
      <c r="B627" s="27" t="n"/>
      <c r="C627" s="17" t="n"/>
      <c r="D627" s="17" t="n"/>
      <c r="E627" s="17" t="n"/>
      <c r="F627" s="28" t="n"/>
      <c r="G627" s="29" t="n"/>
      <c r="H627" s="29" t="n"/>
      <c r="I627" s="29" t="n"/>
      <c r="J627" s="29" t="n"/>
      <c r="K627" s="30">
        <f>IF(B627="","",SUM(G$2:I627)-SUM(J$2:J627))</f>
        <v/>
      </c>
      <c r="L627" s="22">
        <f>IF(B627="","",IF(B627=B626,L626,N(L626)+1))</f>
        <v/>
      </c>
    </row>
    <row r="628">
      <c r="A628" s="22" t="n"/>
      <c r="B628" s="27" t="n"/>
      <c r="C628" s="17" t="n"/>
      <c r="D628" s="17" t="n"/>
      <c r="E628" s="17" t="n"/>
      <c r="F628" s="28" t="n"/>
      <c r="G628" s="29" t="n"/>
      <c r="H628" s="29" t="n"/>
      <c r="I628" s="29" t="n"/>
      <c r="J628" s="29" t="n"/>
      <c r="K628" s="30">
        <f>IF(B628="","",SUM(G$2:I628)-SUM(J$2:J628))</f>
        <v/>
      </c>
      <c r="L628" s="22">
        <f>IF(B628="","",IF(B628=B627,L627,N(L627)+1))</f>
        <v/>
      </c>
    </row>
    <row r="629">
      <c r="A629" s="22" t="n"/>
      <c r="B629" s="27" t="n"/>
      <c r="C629" s="17" t="n"/>
      <c r="D629" s="17" t="n"/>
      <c r="E629" s="17" t="n"/>
      <c r="F629" s="28" t="n"/>
      <c r="G629" s="29" t="n"/>
      <c r="H629" s="29" t="n"/>
      <c r="I629" s="29" t="n"/>
      <c r="J629" s="29" t="n"/>
      <c r="K629" s="30">
        <f>IF(B629="","",SUM(G$2:I629)-SUM(J$2:J629))</f>
        <v/>
      </c>
      <c r="L629" s="22">
        <f>IF(B629="","",IF(B629=B628,L628,N(L628)+1))</f>
        <v/>
      </c>
    </row>
    <row r="630">
      <c r="A630" s="22" t="n"/>
      <c r="B630" s="27" t="n"/>
      <c r="C630" s="17" t="n"/>
      <c r="D630" s="17" t="n"/>
      <c r="E630" s="17" t="n"/>
      <c r="F630" s="28" t="n"/>
      <c r="G630" s="29" t="n"/>
      <c r="H630" s="29" t="n"/>
      <c r="I630" s="29" t="n"/>
      <c r="J630" s="29" t="n"/>
      <c r="K630" s="30">
        <f>IF(B630="","",SUM(G$2:I630)-SUM(J$2:J630))</f>
        <v/>
      </c>
      <c r="L630" s="22">
        <f>IF(B630="","",IF(B630=B629,L629,N(L629)+1))</f>
        <v/>
      </c>
    </row>
    <row r="631">
      <c r="A631" s="22" t="n"/>
      <c r="B631" s="27" t="n"/>
      <c r="C631" s="17" t="n"/>
      <c r="D631" s="17" t="n"/>
      <c r="E631" s="17" t="n"/>
      <c r="F631" s="28" t="n"/>
      <c r="G631" s="29" t="n"/>
      <c r="H631" s="29" t="n"/>
      <c r="I631" s="29" t="n"/>
      <c r="J631" s="29" t="n"/>
      <c r="K631" s="30">
        <f>IF(B631="","",SUM(G$2:I631)-SUM(J$2:J631))</f>
        <v/>
      </c>
      <c r="L631" s="22">
        <f>IF(B631="","",IF(B631=B630,L630,N(L630)+1))</f>
        <v/>
      </c>
    </row>
    <row r="632">
      <c r="A632" s="22" t="n"/>
      <c r="B632" s="27" t="n"/>
      <c r="C632" s="17" t="n"/>
      <c r="D632" s="17" t="n"/>
      <c r="E632" s="17" t="n"/>
      <c r="F632" s="28" t="n"/>
      <c r="G632" s="29" t="n"/>
      <c r="H632" s="29" t="n"/>
      <c r="I632" s="29" t="n"/>
      <c r="J632" s="29" t="n"/>
      <c r="K632" s="30">
        <f>IF(B632="","",SUM(G$2:I632)-SUM(J$2:J632))</f>
        <v/>
      </c>
      <c r="L632" s="22">
        <f>IF(B632="","",IF(B632=B631,L631,N(L631)+1))</f>
        <v/>
      </c>
    </row>
    <row r="633">
      <c r="A633" s="22" t="n"/>
      <c r="B633" s="27" t="n"/>
      <c r="C633" s="17" t="n"/>
      <c r="D633" s="17" t="n"/>
      <c r="E633" s="17" t="n"/>
      <c r="F633" s="28" t="n"/>
      <c r="G633" s="29" t="n"/>
      <c r="H633" s="29" t="n"/>
      <c r="I633" s="29" t="n"/>
      <c r="J633" s="29" t="n"/>
      <c r="K633" s="30">
        <f>IF(B633="","",SUM(G$2:I633)-SUM(J$2:J633))</f>
        <v/>
      </c>
      <c r="L633" s="22">
        <f>IF(B633="","",IF(B633=B632,L632,N(L632)+1))</f>
        <v/>
      </c>
    </row>
    <row r="634">
      <c r="A634" s="22" t="n"/>
      <c r="B634" s="27" t="n"/>
      <c r="C634" s="17" t="n"/>
      <c r="D634" s="17" t="n"/>
      <c r="E634" s="17" t="n"/>
      <c r="F634" s="28" t="n"/>
      <c r="G634" s="29" t="n"/>
      <c r="H634" s="29" t="n"/>
      <c r="I634" s="29" t="n"/>
      <c r="J634" s="29" t="n"/>
      <c r="K634" s="30">
        <f>IF(B634="","",SUM(G$2:I634)-SUM(J$2:J634))</f>
        <v/>
      </c>
      <c r="L634" s="22">
        <f>IF(B634="","",IF(B634=B633,L633,N(L633)+1))</f>
        <v/>
      </c>
    </row>
    <row r="635">
      <c r="A635" s="22" t="n"/>
      <c r="B635" s="27" t="n"/>
      <c r="C635" s="17" t="n"/>
      <c r="D635" s="17" t="n"/>
      <c r="E635" s="17" t="n"/>
      <c r="F635" s="28" t="n"/>
      <c r="G635" s="29" t="n"/>
      <c r="H635" s="29" t="n"/>
      <c r="I635" s="29" t="n"/>
      <c r="J635" s="29" t="n"/>
      <c r="K635" s="30">
        <f>IF(B635="","",SUM(G$2:I635)-SUM(J$2:J635))</f>
        <v/>
      </c>
      <c r="L635" s="22">
        <f>IF(B635="","",IF(B635=B634,L634,N(L634)+1))</f>
        <v/>
      </c>
    </row>
    <row r="636">
      <c r="A636" s="22" t="n"/>
      <c r="B636" s="27" t="n"/>
      <c r="C636" s="17" t="n"/>
      <c r="D636" s="17" t="n"/>
      <c r="E636" s="17" t="n"/>
      <c r="F636" s="28" t="n"/>
      <c r="G636" s="29" t="n"/>
      <c r="H636" s="29" t="n"/>
      <c r="I636" s="29" t="n"/>
      <c r="J636" s="29" t="n"/>
      <c r="K636" s="30">
        <f>IF(B636="","",SUM(G$2:I636)-SUM(J$2:J636))</f>
        <v/>
      </c>
      <c r="L636" s="22">
        <f>IF(B636="","",IF(B636=B635,L635,N(L635)+1))</f>
        <v/>
      </c>
    </row>
    <row r="637">
      <c r="A637" s="22" t="n"/>
      <c r="B637" s="27" t="n"/>
      <c r="C637" s="17" t="n"/>
      <c r="D637" s="17" t="n"/>
      <c r="E637" s="17" t="n"/>
      <c r="F637" s="28" t="n"/>
      <c r="G637" s="29" t="n"/>
      <c r="H637" s="29" t="n"/>
      <c r="I637" s="29" t="n"/>
      <c r="J637" s="29" t="n"/>
      <c r="K637" s="30">
        <f>IF(B637="","",SUM(G$2:I637)-SUM(J$2:J637))</f>
        <v/>
      </c>
      <c r="L637" s="22">
        <f>IF(B637="","",IF(B637=B636,L636,N(L636)+1))</f>
        <v/>
      </c>
    </row>
    <row r="638">
      <c r="A638" s="22" t="n"/>
      <c r="B638" s="27" t="n"/>
      <c r="C638" s="17" t="n"/>
      <c r="D638" s="17" t="n"/>
      <c r="E638" s="17" t="n"/>
      <c r="F638" s="28" t="n"/>
      <c r="G638" s="29" t="n"/>
      <c r="H638" s="29" t="n"/>
      <c r="I638" s="29" t="n"/>
      <c r="J638" s="29" t="n"/>
      <c r="K638" s="30">
        <f>IF(B638="","",SUM(G$2:I638)-SUM(J$2:J638))</f>
        <v/>
      </c>
      <c r="L638" s="22">
        <f>IF(B638="","",IF(B638=B637,L637,N(L637)+1))</f>
        <v/>
      </c>
    </row>
    <row r="639">
      <c r="A639" s="22" t="n"/>
      <c r="B639" s="27" t="n"/>
      <c r="C639" s="17" t="n"/>
      <c r="D639" s="17" t="n"/>
      <c r="E639" s="17" t="n"/>
      <c r="F639" s="28" t="n"/>
      <c r="G639" s="29" t="n"/>
      <c r="H639" s="29" t="n"/>
      <c r="I639" s="29" t="n"/>
      <c r="J639" s="29" t="n"/>
      <c r="K639" s="30">
        <f>IF(B639="","",SUM(G$2:I639)-SUM(J$2:J639))</f>
        <v/>
      </c>
      <c r="L639" s="22">
        <f>IF(B639="","",IF(B639=B638,L638,N(L638)+1))</f>
        <v/>
      </c>
    </row>
    <row r="640">
      <c r="A640" s="22" t="n"/>
      <c r="B640" s="27" t="n"/>
      <c r="C640" s="17" t="n"/>
      <c r="D640" s="17" t="n"/>
      <c r="E640" s="17" t="n"/>
      <c r="F640" s="28" t="n"/>
      <c r="G640" s="29" t="n"/>
      <c r="H640" s="29" t="n"/>
      <c r="I640" s="29" t="n"/>
      <c r="J640" s="29" t="n"/>
      <c r="K640" s="30">
        <f>IF(B640="","",SUM(G$2:I640)-SUM(J$2:J640))</f>
        <v/>
      </c>
      <c r="L640" s="22">
        <f>IF(B640="","",IF(B640=B639,L639,N(L639)+1))</f>
        <v/>
      </c>
    </row>
    <row r="641">
      <c r="A641" s="22" t="n"/>
      <c r="B641" s="27" t="n"/>
      <c r="C641" s="17" t="n"/>
      <c r="D641" s="17" t="n"/>
      <c r="E641" s="17" t="n"/>
      <c r="F641" s="28" t="n"/>
      <c r="G641" s="29" t="n"/>
      <c r="H641" s="29" t="n"/>
      <c r="I641" s="29" t="n"/>
      <c r="J641" s="29" t="n"/>
      <c r="K641" s="30">
        <f>IF(B641="","",SUM(G$2:I641)-SUM(J$2:J641))</f>
        <v/>
      </c>
      <c r="L641" s="22">
        <f>IF(B641="","",IF(B641=B640,L640,N(L640)+1))</f>
        <v/>
      </c>
    </row>
    <row r="642">
      <c r="A642" s="22" t="n"/>
      <c r="B642" s="27" t="n"/>
      <c r="C642" s="17" t="n"/>
      <c r="D642" s="17" t="n"/>
      <c r="E642" s="17" t="n"/>
      <c r="F642" s="28" t="n"/>
      <c r="G642" s="29" t="n"/>
      <c r="H642" s="29" t="n"/>
      <c r="I642" s="29" t="n"/>
      <c r="J642" s="29" t="n"/>
      <c r="K642" s="30">
        <f>IF(B642="","",SUM(G$2:I642)-SUM(J$2:J642))</f>
        <v/>
      </c>
      <c r="L642" s="22">
        <f>IF(B642="","",IF(B642=B641,L641,N(L641)+1))</f>
        <v/>
      </c>
    </row>
    <row r="643">
      <c r="A643" s="22" t="n"/>
      <c r="B643" s="27" t="n"/>
      <c r="C643" s="17" t="n"/>
      <c r="D643" s="17" t="n"/>
      <c r="E643" s="17" t="n"/>
      <c r="F643" s="28" t="n"/>
      <c r="G643" s="29" t="n"/>
      <c r="H643" s="29" t="n"/>
      <c r="I643" s="29" t="n"/>
      <c r="J643" s="29" t="n"/>
      <c r="K643" s="30">
        <f>IF(B643="","",SUM(G$2:I643)-SUM(J$2:J643))</f>
        <v/>
      </c>
      <c r="L643" s="22">
        <f>IF(B643="","",IF(B643=B642,L642,N(L642)+1))</f>
        <v/>
      </c>
    </row>
    <row r="644">
      <c r="A644" s="22" t="n"/>
      <c r="B644" s="27" t="n"/>
      <c r="C644" s="17" t="n"/>
      <c r="D644" s="17" t="n"/>
      <c r="E644" s="17" t="n"/>
      <c r="F644" s="28" t="n"/>
      <c r="G644" s="29" t="n"/>
      <c r="H644" s="29" t="n"/>
      <c r="I644" s="29" t="n"/>
      <c r="J644" s="29" t="n"/>
      <c r="K644" s="30">
        <f>IF(B644="","",SUM(G$2:I644)-SUM(J$2:J644))</f>
        <v/>
      </c>
      <c r="L644" s="22">
        <f>IF(B644="","",IF(B644=B643,L643,N(L643)+1))</f>
        <v/>
      </c>
    </row>
    <row r="645">
      <c r="A645" s="22" t="n"/>
      <c r="B645" s="27" t="n"/>
      <c r="C645" s="17" t="n"/>
      <c r="D645" s="17" t="n"/>
      <c r="E645" s="17" t="n"/>
      <c r="F645" s="28" t="n"/>
      <c r="G645" s="29" t="n"/>
      <c r="H645" s="29" t="n"/>
      <c r="I645" s="29" t="n"/>
      <c r="J645" s="29" t="n"/>
      <c r="K645" s="30">
        <f>IF(B645="","",SUM(G$2:I645)-SUM(J$2:J645))</f>
        <v/>
      </c>
      <c r="L645" s="22">
        <f>IF(B645="","",IF(B645=B644,L644,N(L644)+1))</f>
        <v/>
      </c>
    </row>
    <row r="646">
      <c r="A646" s="22" t="n"/>
      <c r="B646" s="27" t="n"/>
      <c r="C646" s="17" t="n"/>
      <c r="D646" s="17" t="n"/>
      <c r="E646" s="17" t="n"/>
      <c r="F646" s="28" t="n"/>
      <c r="G646" s="29" t="n"/>
      <c r="H646" s="29" t="n"/>
      <c r="I646" s="29" t="n"/>
      <c r="J646" s="29" t="n"/>
      <c r="K646" s="30">
        <f>IF(B646="","",SUM(G$2:I646)-SUM(J$2:J646))</f>
        <v/>
      </c>
      <c r="L646" s="22">
        <f>IF(B646="","",IF(B646=B645,L645,N(L645)+1))</f>
        <v/>
      </c>
    </row>
    <row r="647">
      <c r="A647" s="22" t="n"/>
      <c r="B647" s="27" t="n"/>
      <c r="C647" s="17" t="n"/>
      <c r="D647" s="17" t="n"/>
      <c r="E647" s="17" t="n"/>
      <c r="F647" s="28" t="n"/>
      <c r="G647" s="29" t="n"/>
      <c r="H647" s="29" t="n"/>
      <c r="I647" s="29" t="n"/>
      <c r="J647" s="29" t="n"/>
      <c r="K647" s="30">
        <f>IF(B647="","",SUM(G$2:I647)-SUM(J$2:J647))</f>
        <v/>
      </c>
      <c r="L647" s="22">
        <f>IF(B647="","",IF(B647=B646,L646,N(L646)+1))</f>
        <v/>
      </c>
    </row>
    <row r="648">
      <c r="A648" s="22" t="n"/>
      <c r="B648" s="27" t="n"/>
      <c r="C648" s="17" t="n"/>
      <c r="D648" s="17" t="n"/>
      <c r="E648" s="17" t="n"/>
      <c r="F648" s="28" t="n"/>
      <c r="G648" s="29" t="n"/>
      <c r="H648" s="29" t="n"/>
      <c r="I648" s="29" t="n"/>
      <c r="J648" s="29" t="n"/>
      <c r="K648" s="30">
        <f>IF(B648="","",SUM(G$2:I648)-SUM(J$2:J648))</f>
        <v/>
      </c>
      <c r="L648" s="22">
        <f>IF(B648="","",IF(B648=B647,L647,N(L647)+1))</f>
        <v/>
      </c>
    </row>
    <row r="649">
      <c r="A649" s="22" t="n"/>
      <c r="B649" s="27" t="n"/>
      <c r="C649" s="17" t="n"/>
      <c r="D649" s="17" t="n"/>
      <c r="E649" s="17" t="n"/>
      <c r="F649" s="28" t="n"/>
      <c r="G649" s="29" t="n"/>
      <c r="H649" s="29" t="n"/>
      <c r="I649" s="29" t="n"/>
      <c r="J649" s="29" t="n"/>
      <c r="K649" s="30">
        <f>IF(B649="","",SUM(G$2:I649)-SUM(J$2:J649))</f>
        <v/>
      </c>
      <c r="L649" s="22">
        <f>IF(B649="","",IF(B649=B648,L648,N(L648)+1))</f>
        <v/>
      </c>
    </row>
    <row r="650">
      <c r="A650" s="22" t="n"/>
      <c r="B650" s="27" t="n"/>
      <c r="C650" s="17" t="n"/>
      <c r="D650" s="17" t="n"/>
      <c r="E650" s="17" t="n"/>
      <c r="F650" s="28" t="n"/>
      <c r="G650" s="29" t="n"/>
      <c r="H650" s="29" t="n"/>
      <c r="I650" s="29" t="n"/>
      <c r="J650" s="29" t="n"/>
      <c r="K650" s="30">
        <f>IF(B650="","",SUM(G$2:I650)-SUM(J$2:J650))</f>
        <v/>
      </c>
      <c r="L650" s="22">
        <f>IF(B650="","",IF(B650=B649,L649,N(L649)+1))</f>
        <v/>
      </c>
    </row>
    <row r="651">
      <c r="A651" s="22" t="n"/>
      <c r="B651" s="27" t="n"/>
      <c r="C651" s="17" t="n"/>
      <c r="D651" s="17" t="n"/>
      <c r="E651" s="17" t="n"/>
      <c r="F651" s="28" t="n"/>
      <c r="G651" s="29" t="n"/>
      <c r="H651" s="29" t="n"/>
      <c r="I651" s="29" t="n"/>
      <c r="J651" s="29" t="n"/>
      <c r="K651" s="30">
        <f>IF(B651="","",SUM(G$2:I651)-SUM(J$2:J651))</f>
        <v/>
      </c>
      <c r="L651" s="22">
        <f>IF(B651="","",IF(B651=B650,L650,N(L650)+1))</f>
        <v/>
      </c>
    </row>
    <row r="652">
      <c r="A652" s="22" t="n"/>
      <c r="B652" s="27" t="n"/>
      <c r="C652" s="17" t="n"/>
      <c r="D652" s="17" t="n"/>
      <c r="E652" s="17" t="n"/>
      <c r="F652" s="28" t="n"/>
      <c r="G652" s="29" t="n"/>
      <c r="H652" s="29" t="n"/>
      <c r="I652" s="29" t="n"/>
      <c r="J652" s="29" t="n"/>
      <c r="K652" s="30">
        <f>IF(B652="","",SUM(G$2:I652)-SUM(J$2:J652))</f>
        <v/>
      </c>
      <c r="L652" s="22">
        <f>IF(B652="","",IF(B652=B651,L651,N(L651)+1))</f>
        <v/>
      </c>
    </row>
    <row r="653">
      <c r="A653" s="22" t="n"/>
      <c r="B653" s="27" t="n"/>
      <c r="C653" s="17" t="n"/>
      <c r="D653" s="17" t="n"/>
      <c r="E653" s="17" t="n"/>
      <c r="F653" s="28" t="n"/>
      <c r="G653" s="29" t="n"/>
      <c r="H653" s="29" t="n"/>
      <c r="I653" s="29" t="n"/>
      <c r="J653" s="29" t="n"/>
      <c r="K653" s="30">
        <f>IF(B653="","",SUM(G$2:I653)-SUM(J$2:J653))</f>
        <v/>
      </c>
      <c r="L653" s="22">
        <f>IF(B653="","",IF(B653=B652,L652,N(L652)+1))</f>
        <v/>
      </c>
    </row>
    <row r="654">
      <c r="A654" s="22" t="n"/>
      <c r="B654" s="27" t="n"/>
      <c r="C654" s="17" t="n"/>
      <c r="D654" s="17" t="n"/>
      <c r="E654" s="17" t="n"/>
      <c r="F654" s="28" t="n"/>
      <c r="G654" s="29" t="n"/>
      <c r="H654" s="29" t="n"/>
      <c r="I654" s="29" t="n"/>
      <c r="J654" s="29" t="n"/>
      <c r="K654" s="30">
        <f>IF(B654="","",SUM(G$2:I654)-SUM(J$2:J654))</f>
        <v/>
      </c>
      <c r="L654" s="22">
        <f>IF(B654="","",IF(B654=B653,L653,N(L653)+1))</f>
        <v/>
      </c>
    </row>
    <row r="655">
      <c r="A655" s="22" t="n"/>
      <c r="B655" s="27" t="n"/>
      <c r="C655" s="17" t="n"/>
      <c r="D655" s="17" t="n"/>
      <c r="E655" s="17" t="n"/>
      <c r="F655" s="28" t="n"/>
      <c r="G655" s="29" t="n"/>
      <c r="H655" s="29" t="n"/>
      <c r="I655" s="29" t="n"/>
      <c r="J655" s="29" t="n"/>
      <c r="K655" s="30">
        <f>IF(B655="","",SUM(G$2:I655)-SUM(J$2:J655))</f>
        <v/>
      </c>
      <c r="L655" s="22">
        <f>IF(B655="","",IF(B655=B654,L654,N(L654)+1))</f>
        <v/>
      </c>
    </row>
    <row r="656">
      <c r="A656" s="22" t="n"/>
      <c r="B656" s="27" t="n"/>
      <c r="C656" s="17" t="n"/>
      <c r="D656" s="17" t="n"/>
      <c r="E656" s="17" t="n"/>
      <c r="F656" s="28" t="n"/>
      <c r="G656" s="29" t="n"/>
      <c r="H656" s="29" t="n"/>
      <c r="I656" s="29" t="n"/>
      <c r="J656" s="29" t="n"/>
      <c r="K656" s="30">
        <f>IF(B656="","",SUM(G$2:I656)-SUM(J$2:J656))</f>
        <v/>
      </c>
      <c r="L656" s="22">
        <f>IF(B656="","",IF(B656=B655,L655,N(L655)+1))</f>
        <v/>
      </c>
    </row>
    <row r="657">
      <c r="A657" s="22" t="n"/>
      <c r="B657" s="27" t="n"/>
      <c r="C657" s="17" t="n"/>
      <c r="D657" s="17" t="n"/>
      <c r="E657" s="17" t="n"/>
      <c r="F657" s="28" t="n"/>
      <c r="G657" s="29" t="n"/>
      <c r="H657" s="29" t="n"/>
      <c r="I657" s="29" t="n"/>
      <c r="J657" s="29" t="n"/>
      <c r="K657" s="30">
        <f>IF(B657="","",SUM(G$2:I657)-SUM(J$2:J657))</f>
        <v/>
      </c>
      <c r="L657" s="22">
        <f>IF(B657="","",IF(B657=B656,L656,N(L656)+1))</f>
        <v/>
      </c>
    </row>
    <row r="658">
      <c r="A658" s="22" t="n"/>
      <c r="B658" s="27" t="n"/>
      <c r="C658" s="17" t="n"/>
      <c r="D658" s="17" t="n"/>
      <c r="E658" s="17" t="n"/>
      <c r="F658" s="28" t="n"/>
      <c r="G658" s="29" t="n"/>
      <c r="H658" s="29" t="n"/>
      <c r="I658" s="29" t="n"/>
      <c r="J658" s="29" t="n"/>
      <c r="K658" s="30">
        <f>IF(B658="","",SUM(G$2:I658)-SUM(J$2:J658))</f>
        <v/>
      </c>
      <c r="L658" s="22">
        <f>IF(B658="","",IF(B658=B657,L657,N(L657)+1))</f>
        <v/>
      </c>
    </row>
    <row r="659">
      <c r="A659" s="22" t="n"/>
      <c r="B659" s="27" t="n"/>
      <c r="C659" s="17" t="n"/>
      <c r="D659" s="17" t="n"/>
      <c r="E659" s="17" t="n"/>
      <c r="F659" s="28" t="n"/>
      <c r="G659" s="29" t="n"/>
      <c r="H659" s="29" t="n"/>
      <c r="I659" s="29" t="n"/>
      <c r="J659" s="29" t="n"/>
      <c r="K659" s="30">
        <f>IF(B659="","",SUM(G$2:I659)-SUM(J$2:J659))</f>
        <v/>
      </c>
      <c r="L659" s="22">
        <f>IF(B659="","",IF(B659=B658,L658,N(L658)+1))</f>
        <v/>
      </c>
    </row>
    <row r="660">
      <c r="A660" s="22" t="n"/>
      <c r="B660" s="27" t="n"/>
      <c r="C660" s="17" t="n"/>
      <c r="D660" s="17" t="n"/>
      <c r="E660" s="17" t="n"/>
      <c r="F660" s="28" t="n"/>
      <c r="G660" s="29" t="n"/>
      <c r="H660" s="29" t="n"/>
      <c r="I660" s="29" t="n"/>
      <c r="J660" s="29" t="n"/>
      <c r="K660" s="30">
        <f>IF(B660="","",SUM(G$2:I660)-SUM(J$2:J660))</f>
        <v/>
      </c>
      <c r="L660" s="22">
        <f>IF(B660="","",IF(B660=B659,L659,N(L659)+1))</f>
        <v/>
      </c>
    </row>
    <row r="661">
      <c r="A661" s="22" t="n"/>
      <c r="B661" s="27" t="n"/>
      <c r="C661" s="17" t="n"/>
      <c r="D661" s="17" t="n"/>
      <c r="E661" s="17" t="n"/>
      <c r="F661" s="28" t="n"/>
      <c r="G661" s="29" t="n"/>
      <c r="H661" s="29" t="n"/>
      <c r="I661" s="29" t="n"/>
      <c r="J661" s="29" t="n"/>
      <c r="K661" s="30">
        <f>IF(B661="","",SUM(G$2:I661)-SUM(J$2:J661))</f>
        <v/>
      </c>
      <c r="L661" s="22">
        <f>IF(B661="","",IF(B661=B660,L660,N(L660)+1))</f>
        <v/>
      </c>
    </row>
    <row r="662">
      <c r="A662" s="22" t="n"/>
      <c r="B662" s="27" t="n"/>
      <c r="C662" s="17" t="n"/>
      <c r="D662" s="17" t="n"/>
      <c r="E662" s="17" t="n"/>
      <c r="F662" s="28" t="n"/>
      <c r="G662" s="29" t="n"/>
      <c r="H662" s="29" t="n"/>
      <c r="I662" s="29" t="n"/>
      <c r="J662" s="29" t="n"/>
      <c r="K662" s="30">
        <f>IF(B662="","",SUM(G$2:I662)-SUM(J$2:J662))</f>
        <v/>
      </c>
      <c r="L662" s="22">
        <f>IF(B662="","",IF(B662=B661,L661,N(L661)+1))</f>
        <v/>
      </c>
    </row>
    <row r="663">
      <c r="A663" s="22" t="n"/>
      <c r="B663" s="27" t="n"/>
      <c r="C663" s="17" t="n"/>
      <c r="D663" s="17" t="n"/>
      <c r="E663" s="17" t="n"/>
      <c r="F663" s="28" t="n"/>
      <c r="G663" s="29" t="n"/>
      <c r="H663" s="29" t="n"/>
      <c r="I663" s="29" t="n"/>
      <c r="J663" s="29" t="n"/>
      <c r="K663" s="30">
        <f>IF(B663="","",SUM(G$2:I663)-SUM(J$2:J663))</f>
        <v/>
      </c>
      <c r="L663" s="22">
        <f>IF(B663="","",IF(B663=B662,L662,N(L662)+1))</f>
        <v/>
      </c>
    </row>
    <row r="664">
      <c r="A664" s="22" t="n"/>
      <c r="B664" s="27" t="n"/>
      <c r="C664" s="17" t="n"/>
      <c r="D664" s="17" t="n"/>
      <c r="E664" s="17" t="n"/>
      <c r="F664" s="28" t="n"/>
      <c r="G664" s="29" t="n"/>
      <c r="H664" s="29" t="n"/>
      <c r="I664" s="29" t="n"/>
      <c r="J664" s="29" t="n"/>
      <c r="K664" s="30">
        <f>IF(B664="","",SUM(G$2:I664)-SUM(J$2:J664))</f>
        <v/>
      </c>
      <c r="L664" s="22">
        <f>IF(B664="","",IF(B664=B663,L663,N(L663)+1))</f>
        <v/>
      </c>
    </row>
    <row r="665">
      <c r="A665" s="22" t="n"/>
      <c r="B665" s="27" t="n"/>
      <c r="C665" s="17" t="n"/>
      <c r="D665" s="17" t="n"/>
      <c r="E665" s="17" t="n"/>
      <c r="F665" s="28" t="n"/>
      <c r="G665" s="29" t="n"/>
      <c r="H665" s="29" t="n"/>
      <c r="I665" s="29" t="n"/>
      <c r="J665" s="29" t="n"/>
      <c r="K665" s="30">
        <f>IF(B665="","",SUM(G$2:I665)-SUM(J$2:J665))</f>
        <v/>
      </c>
      <c r="L665" s="22">
        <f>IF(B665="","",IF(B665=B664,L664,N(L664)+1))</f>
        <v/>
      </c>
    </row>
    <row r="666">
      <c r="A666" s="22" t="n"/>
      <c r="B666" s="27" t="n"/>
      <c r="C666" s="17" t="n"/>
      <c r="D666" s="17" t="n"/>
      <c r="E666" s="17" t="n"/>
      <c r="F666" s="28" t="n"/>
      <c r="G666" s="29" t="n"/>
      <c r="H666" s="29" t="n"/>
      <c r="I666" s="29" t="n"/>
      <c r="J666" s="29" t="n"/>
      <c r="K666" s="30">
        <f>IF(B666="","",SUM(G$2:I666)-SUM(J$2:J666))</f>
        <v/>
      </c>
      <c r="L666" s="22">
        <f>IF(B666="","",IF(B666=B665,L665,N(L665)+1))</f>
        <v/>
      </c>
    </row>
    <row r="667">
      <c r="A667" s="22" t="n"/>
      <c r="B667" s="27" t="n"/>
      <c r="C667" s="17" t="n"/>
      <c r="D667" s="17" t="n"/>
      <c r="E667" s="17" t="n"/>
      <c r="F667" s="28" t="n"/>
      <c r="G667" s="29" t="n"/>
      <c r="H667" s="29" t="n"/>
      <c r="I667" s="29" t="n"/>
      <c r="J667" s="29" t="n"/>
      <c r="K667" s="30">
        <f>IF(B667="","",SUM(G$2:I667)-SUM(J$2:J667))</f>
        <v/>
      </c>
      <c r="L667" s="22">
        <f>IF(B667="","",IF(B667=B666,L666,N(L666)+1))</f>
        <v/>
      </c>
    </row>
    <row r="668">
      <c r="A668" s="22" t="n"/>
      <c r="B668" s="27" t="n"/>
      <c r="C668" s="17" t="n"/>
      <c r="D668" s="17" t="n"/>
      <c r="E668" s="17" t="n"/>
      <c r="F668" s="28" t="n"/>
      <c r="G668" s="29" t="n"/>
      <c r="H668" s="29" t="n"/>
      <c r="I668" s="29" t="n"/>
      <c r="J668" s="29" t="n"/>
      <c r="K668" s="30">
        <f>IF(B668="","",SUM(G$2:I668)-SUM(J$2:J668))</f>
        <v/>
      </c>
      <c r="L668" s="22">
        <f>IF(B668="","",IF(B668=B667,L667,N(L667)+1))</f>
        <v/>
      </c>
    </row>
    <row r="669">
      <c r="A669" s="22" t="n"/>
      <c r="B669" s="27" t="n"/>
      <c r="C669" s="17" t="n"/>
      <c r="D669" s="17" t="n"/>
      <c r="E669" s="17" t="n"/>
      <c r="F669" s="28" t="n"/>
      <c r="G669" s="29" t="n"/>
      <c r="H669" s="29" t="n"/>
      <c r="I669" s="29" t="n"/>
      <c r="J669" s="29" t="n"/>
      <c r="K669" s="30">
        <f>IF(B669="","",SUM(G$2:I669)-SUM(J$2:J669))</f>
        <v/>
      </c>
      <c r="L669" s="22">
        <f>IF(B669="","",IF(B669=B668,L668,N(L668)+1))</f>
        <v/>
      </c>
    </row>
    <row r="670">
      <c r="A670" s="22" t="n"/>
      <c r="B670" s="27" t="n"/>
      <c r="C670" s="17" t="n"/>
      <c r="D670" s="17" t="n"/>
      <c r="E670" s="17" t="n"/>
      <c r="F670" s="28" t="n"/>
      <c r="G670" s="29" t="n"/>
      <c r="H670" s="29" t="n"/>
      <c r="I670" s="29" t="n"/>
      <c r="J670" s="29" t="n"/>
      <c r="K670" s="30">
        <f>IF(B670="","",SUM(G$2:I670)-SUM(J$2:J670))</f>
        <v/>
      </c>
      <c r="L670" s="22">
        <f>IF(B670="","",IF(B670=B669,L669,N(L669)+1))</f>
        <v/>
      </c>
    </row>
    <row r="671">
      <c r="A671" s="22" t="n"/>
      <c r="B671" s="27" t="n"/>
      <c r="C671" s="17" t="n"/>
      <c r="D671" s="17" t="n"/>
      <c r="E671" s="17" t="n"/>
      <c r="F671" s="28" t="n"/>
      <c r="G671" s="29" t="n"/>
      <c r="H671" s="29" t="n"/>
      <c r="I671" s="29" t="n"/>
      <c r="J671" s="29" t="n"/>
      <c r="K671" s="30">
        <f>IF(B671="","",SUM(G$2:I671)-SUM(J$2:J671))</f>
        <v/>
      </c>
      <c r="L671" s="22">
        <f>IF(B671="","",IF(B671=B670,L670,N(L670)+1))</f>
        <v/>
      </c>
    </row>
    <row r="672">
      <c r="A672" s="22" t="n"/>
      <c r="B672" s="27" t="n"/>
      <c r="C672" s="17" t="n"/>
      <c r="D672" s="17" t="n"/>
      <c r="E672" s="17" t="n"/>
      <c r="F672" s="28" t="n"/>
      <c r="G672" s="29" t="n"/>
      <c r="H672" s="29" t="n"/>
      <c r="I672" s="29" t="n"/>
      <c r="J672" s="29" t="n"/>
      <c r="K672" s="30">
        <f>IF(B672="","",SUM(G$2:I672)-SUM(J$2:J672))</f>
        <v/>
      </c>
      <c r="L672" s="22">
        <f>IF(B672="","",IF(B672=B671,L671,N(L671)+1))</f>
        <v/>
      </c>
    </row>
    <row r="673">
      <c r="A673" s="22" t="n"/>
      <c r="B673" s="27" t="n"/>
      <c r="C673" s="17" t="n"/>
      <c r="D673" s="17" t="n"/>
      <c r="E673" s="17" t="n"/>
      <c r="F673" s="28" t="n"/>
      <c r="G673" s="29" t="n"/>
      <c r="H673" s="29" t="n"/>
      <c r="I673" s="29" t="n"/>
      <c r="J673" s="29" t="n"/>
      <c r="K673" s="30">
        <f>IF(B673="","",SUM(G$2:I673)-SUM(J$2:J673))</f>
        <v/>
      </c>
      <c r="L673" s="22">
        <f>IF(B673="","",IF(B673=B672,L672,N(L672)+1))</f>
        <v/>
      </c>
    </row>
    <row r="674">
      <c r="A674" s="22" t="n"/>
      <c r="B674" s="27" t="n"/>
      <c r="C674" s="17" t="n"/>
      <c r="D674" s="17" t="n"/>
      <c r="E674" s="17" t="n"/>
      <c r="F674" s="28" t="n"/>
      <c r="G674" s="29" t="n"/>
      <c r="H674" s="29" t="n"/>
      <c r="I674" s="29" t="n"/>
      <c r="J674" s="29" t="n"/>
      <c r="K674" s="30">
        <f>IF(B674="","",SUM(G$2:I674)-SUM(J$2:J674))</f>
        <v/>
      </c>
      <c r="L674" s="22">
        <f>IF(B674="","",IF(B674=B673,L673,N(L673)+1))</f>
        <v/>
      </c>
    </row>
    <row r="675">
      <c r="A675" s="22" t="n"/>
      <c r="B675" s="27" t="n"/>
      <c r="C675" s="17" t="n"/>
      <c r="D675" s="17" t="n"/>
      <c r="E675" s="17" t="n"/>
      <c r="F675" s="28" t="n"/>
      <c r="G675" s="29" t="n"/>
      <c r="H675" s="29" t="n"/>
      <c r="I675" s="29" t="n"/>
      <c r="J675" s="29" t="n"/>
      <c r="K675" s="30">
        <f>IF(B675="","",SUM(G$2:I675)-SUM(J$2:J675))</f>
        <v/>
      </c>
      <c r="L675" s="22">
        <f>IF(B675="","",IF(B675=B674,L674,N(L674)+1))</f>
        <v/>
      </c>
    </row>
    <row r="676">
      <c r="A676" s="22" t="n"/>
      <c r="B676" s="27" t="n"/>
      <c r="C676" s="17" t="n"/>
      <c r="D676" s="17" t="n"/>
      <c r="E676" s="17" t="n"/>
      <c r="F676" s="28" t="n"/>
      <c r="G676" s="29" t="n"/>
      <c r="H676" s="29" t="n"/>
      <c r="I676" s="29" t="n"/>
      <c r="J676" s="29" t="n"/>
      <c r="K676" s="30">
        <f>IF(B676="","",SUM(G$2:I676)-SUM(J$2:J676))</f>
        <v/>
      </c>
      <c r="L676" s="22">
        <f>IF(B676="","",IF(B676=B675,L675,N(L675)+1))</f>
        <v/>
      </c>
    </row>
    <row r="677">
      <c r="A677" s="22" t="n"/>
      <c r="B677" s="27" t="n"/>
      <c r="C677" s="17" t="n"/>
      <c r="D677" s="17" t="n"/>
      <c r="E677" s="17" t="n"/>
      <c r="F677" s="28" t="n"/>
      <c r="G677" s="29" t="n"/>
      <c r="H677" s="29" t="n"/>
      <c r="I677" s="29" t="n"/>
      <c r="J677" s="29" t="n"/>
      <c r="K677" s="30">
        <f>IF(B677="","",SUM(G$2:I677)-SUM(J$2:J677))</f>
        <v/>
      </c>
      <c r="L677" s="22">
        <f>IF(B677="","",IF(B677=B676,L676,N(L676)+1))</f>
        <v/>
      </c>
    </row>
    <row r="678">
      <c r="A678" s="22" t="n"/>
      <c r="B678" s="27" t="n"/>
      <c r="C678" s="17" t="n"/>
      <c r="D678" s="17" t="n"/>
      <c r="E678" s="17" t="n"/>
      <c r="F678" s="28" t="n"/>
      <c r="G678" s="29" t="n"/>
      <c r="H678" s="29" t="n"/>
      <c r="I678" s="29" t="n"/>
      <c r="J678" s="29" t="n"/>
      <c r="K678" s="30">
        <f>IF(B678="","",SUM(G$2:I678)-SUM(J$2:J678))</f>
        <v/>
      </c>
      <c r="L678" s="22">
        <f>IF(B678="","",IF(B678=B677,L677,N(L677)+1))</f>
        <v/>
      </c>
    </row>
    <row r="679">
      <c r="A679" s="22" t="n"/>
      <c r="B679" s="27" t="n"/>
      <c r="C679" s="17" t="n"/>
      <c r="D679" s="17" t="n"/>
      <c r="E679" s="17" t="n"/>
      <c r="F679" s="28" t="n"/>
      <c r="G679" s="29" t="n"/>
      <c r="H679" s="29" t="n"/>
      <c r="I679" s="29" t="n"/>
      <c r="J679" s="29" t="n"/>
      <c r="K679" s="30">
        <f>IF(B679="","",SUM(G$2:I679)-SUM(J$2:J679))</f>
        <v/>
      </c>
      <c r="L679" s="22">
        <f>IF(B679="","",IF(B679=B678,L678,N(L678)+1))</f>
        <v/>
      </c>
    </row>
    <row r="680">
      <c r="A680" s="22" t="n"/>
      <c r="B680" s="27" t="n"/>
      <c r="C680" s="17" t="n"/>
      <c r="D680" s="17" t="n"/>
      <c r="E680" s="17" t="n"/>
      <c r="F680" s="28" t="n"/>
      <c r="G680" s="29" t="n"/>
      <c r="H680" s="29" t="n"/>
      <c r="I680" s="29" t="n"/>
      <c r="J680" s="29" t="n"/>
      <c r="K680" s="30">
        <f>IF(B680="","",SUM(G$2:I680)-SUM(J$2:J680))</f>
        <v/>
      </c>
      <c r="L680" s="22">
        <f>IF(B680="","",IF(B680=B679,L679,N(L679)+1))</f>
        <v/>
      </c>
    </row>
    <row r="681">
      <c r="A681" s="22" t="n"/>
      <c r="B681" s="27" t="n"/>
      <c r="C681" s="17" t="n"/>
      <c r="D681" s="17" t="n"/>
      <c r="E681" s="17" t="n"/>
      <c r="F681" s="28" t="n"/>
      <c r="G681" s="29" t="n"/>
      <c r="H681" s="29" t="n"/>
      <c r="I681" s="29" t="n"/>
      <c r="J681" s="29" t="n"/>
      <c r="K681" s="30">
        <f>IF(B681="","",SUM(G$2:I681)-SUM(J$2:J681))</f>
        <v/>
      </c>
      <c r="L681" s="22">
        <f>IF(B681="","",IF(B681=B680,L680,N(L680)+1))</f>
        <v/>
      </c>
    </row>
    <row r="682">
      <c r="A682" s="22" t="n"/>
      <c r="B682" s="27" t="n"/>
      <c r="C682" s="17" t="n"/>
      <c r="D682" s="17" t="n"/>
      <c r="E682" s="17" t="n"/>
      <c r="F682" s="28" t="n"/>
      <c r="G682" s="29" t="n"/>
      <c r="H682" s="29" t="n"/>
      <c r="I682" s="29" t="n"/>
      <c r="J682" s="29" t="n"/>
      <c r="K682" s="30">
        <f>IF(B682="","",SUM(G$2:I682)-SUM(J$2:J682))</f>
        <v/>
      </c>
      <c r="L682" s="22">
        <f>IF(B682="","",IF(B682=B681,L681,N(L681)+1))</f>
        <v/>
      </c>
    </row>
    <row r="683">
      <c r="A683" s="22" t="n"/>
      <c r="B683" s="27" t="n"/>
      <c r="C683" s="17" t="n"/>
      <c r="D683" s="17" t="n"/>
      <c r="E683" s="17" t="n"/>
      <c r="F683" s="28" t="n"/>
      <c r="G683" s="29" t="n"/>
      <c r="H683" s="29" t="n"/>
      <c r="I683" s="29" t="n"/>
      <c r="J683" s="29" t="n"/>
      <c r="K683" s="30">
        <f>IF(B683="","",SUM(G$2:I683)-SUM(J$2:J683))</f>
        <v/>
      </c>
      <c r="L683" s="22">
        <f>IF(B683="","",IF(B683=B682,L682,N(L682)+1))</f>
        <v/>
      </c>
    </row>
    <row r="684">
      <c r="A684" s="22" t="n"/>
      <c r="B684" s="27" t="n"/>
      <c r="C684" s="17" t="n"/>
      <c r="D684" s="17" t="n"/>
      <c r="E684" s="17" t="n"/>
      <c r="F684" s="28" t="n"/>
      <c r="G684" s="29" t="n"/>
      <c r="H684" s="29" t="n"/>
      <c r="I684" s="29" t="n"/>
      <c r="J684" s="29" t="n"/>
      <c r="K684" s="30">
        <f>IF(B684="","",SUM(G$2:I684)-SUM(J$2:J684))</f>
        <v/>
      </c>
      <c r="L684" s="22">
        <f>IF(B684="","",IF(B684=B683,L683,N(L683)+1))</f>
        <v/>
      </c>
    </row>
    <row r="685">
      <c r="A685" s="22" t="n"/>
      <c r="B685" s="27" t="n"/>
      <c r="C685" s="17" t="n"/>
      <c r="D685" s="17" t="n"/>
      <c r="E685" s="17" t="n"/>
      <c r="F685" s="28" t="n"/>
      <c r="G685" s="29" t="n"/>
      <c r="H685" s="29" t="n"/>
      <c r="I685" s="29" t="n"/>
      <c r="J685" s="29" t="n"/>
      <c r="K685" s="30">
        <f>IF(B685="","",SUM(G$2:I685)-SUM(J$2:J685))</f>
        <v/>
      </c>
      <c r="L685" s="22">
        <f>IF(B685="","",IF(B685=B684,L684,N(L684)+1))</f>
        <v/>
      </c>
    </row>
    <row r="686">
      <c r="A686" s="22" t="n"/>
      <c r="B686" s="27" t="n"/>
      <c r="C686" s="17" t="n"/>
      <c r="D686" s="17" t="n"/>
      <c r="E686" s="17" t="n"/>
      <c r="F686" s="28" t="n"/>
      <c r="G686" s="29" t="n"/>
      <c r="H686" s="29" t="n"/>
      <c r="I686" s="29" t="n"/>
      <c r="J686" s="29" t="n"/>
      <c r="K686" s="30">
        <f>IF(B686="","",SUM(G$2:I686)-SUM(J$2:J686))</f>
        <v/>
      </c>
      <c r="L686" s="22">
        <f>IF(B686="","",IF(B686=B685,L685,N(L685)+1))</f>
        <v/>
      </c>
    </row>
    <row r="687">
      <c r="A687" s="22" t="n"/>
      <c r="B687" s="27" t="n"/>
      <c r="C687" s="17" t="n"/>
      <c r="D687" s="17" t="n"/>
      <c r="E687" s="17" t="n"/>
      <c r="F687" s="28" t="n"/>
      <c r="G687" s="29" t="n"/>
      <c r="H687" s="29" t="n"/>
      <c r="I687" s="29" t="n"/>
      <c r="J687" s="29" t="n"/>
      <c r="K687" s="30">
        <f>IF(B687="","",SUM(G$2:I687)-SUM(J$2:J687))</f>
        <v/>
      </c>
      <c r="L687" s="22">
        <f>IF(B687="","",IF(B687=B686,L686,N(L686)+1))</f>
        <v/>
      </c>
    </row>
    <row r="688">
      <c r="A688" s="22" t="n"/>
      <c r="B688" s="27" t="n"/>
      <c r="C688" s="17" t="n"/>
      <c r="D688" s="17" t="n"/>
      <c r="E688" s="17" t="n"/>
      <c r="F688" s="28" t="n"/>
      <c r="G688" s="29" t="n"/>
      <c r="H688" s="29" t="n"/>
      <c r="I688" s="29" t="n"/>
      <c r="J688" s="29" t="n"/>
      <c r="K688" s="30">
        <f>IF(B688="","",SUM(G$2:I688)-SUM(J$2:J688))</f>
        <v/>
      </c>
      <c r="L688" s="22">
        <f>IF(B688="","",IF(B688=B687,L687,N(L687)+1))</f>
        <v/>
      </c>
    </row>
    <row r="689">
      <c r="A689" s="22" t="n"/>
      <c r="B689" s="27" t="n"/>
      <c r="C689" s="17" t="n"/>
      <c r="D689" s="17" t="n"/>
      <c r="E689" s="17" t="n"/>
      <c r="F689" s="28" t="n"/>
      <c r="G689" s="29" t="n"/>
      <c r="H689" s="29" t="n"/>
      <c r="I689" s="29" t="n"/>
      <c r="J689" s="29" t="n"/>
      <c r="K689" s="30">
        <f>IF(B689="","",SUM(G$2:I689)-SUM(J$2:J689))</f>
        <v/>
      </c>
      <c r="L689" s="22">
        <f>IF(B689="","",IF(B689=B688,L688,N(L688)+1))</f>
        <v/>
      </c>
    </row>
    <row r="690">
      <c r="A690" s="22" t="n"/>
      <c r="B690" s="27" t="n"/>
      <c r="C690" s="17" t="n"/>
      <c r="D690" s="17" t="n"/>
      <c r="E690" s="17" t="n"/>
      <c r="F690" s="28" t="n"/>
      <c r="G690" s="29" t="n"/>
      <c r="H690" s="29" t="n"/>
      <c r="I690" s="29" t="n"/>
      <c r="J690" s="29" t="n"/>
      <c r="K690" s="30">
        <f>IF(B690="","",SUM(G$2:I690)-SUM(J$2:J690))</f>
        <v/>
      </c>
      <c r="L690" s="22">
        <f>IF(B690="","",IF(B690=B689,L689,N(L689)+1))</f>
        <v/>
      </c>
    </row>
    <row r="691">
      <c r="A691" s="22" t="n"/>
      <c r="B691" s="27" t="n"/>
      <c r="C691" s="17" t="n"/>
      <c r="D691" s="17" t="n"/>
      <c r="E691" s="17" t="n"/>
      <c r="F691" s="28" t="n"/>
      <c r="G691" s="29" t="n"/>
      <c r="H691" s="29" t="n"/>
      <c r="I691" s="29" t="n"/>
      <c r="J691" s="29" t="n"/>
      <c r="K691" s="30">
        <f>IF(B691="","",SUM(G$2:I691)-SUM(J$2:J691))</f>
        <v/>
      </c>
      <c r="L691" s="22">
        <f>IF(B691="","",IF(B691=B690,L690,N(L690)+1))</f>
        <v/>
      </c>
    </row>
    <row r="692">
      <c r="A692" s="22" t="n"/>
      <c r="B692" s="27" t="n"/>
      <c r="C692" s="17" t="n"/>
      <c r="D692" s="17" t="n"/>
      <c r="E692" s="17" t="n"/>
      <c r="F692" s="28" t="n"/>
      <c r="G692" s="29" t="n"/>
      <c r="H692" s="29" t="n"/>
      <c r="I692" s="29" t="n"/>
      <c r="J692" s="29" t="n"/>
      <c r="K692" s="30">
        <f>IF(B692="","",SUM(G$2:I692)-SUM(J$2:J692))</f>
        <v/>
      </c>
      <c r="L692" s="22">
        <f>IF(B692="","",IF(B692=B691,L691,N(L691)+1))</f>
        <v/>
      </c>
    </row>
    <row r="693">
      <c r="A693" s="22" t="n"/>
      <c r="B693" s="27" t="n"/>
      <c r="C693" s="17" t="n"/>
      <c r="D693" s="17" t="n"/>
      <c r="E693" s="17" t="n"/>
      <c r="F693" s="28" t="n"/>
      <c r="G693" s="29" t="n"/>
      <c r="H693" s="29" t="n"/>
      <c r="I693" s="29" t="n"/>
      <c r="J693" s="29" t="n"/>
      <c r="K693" s="30">
        <f>IF(B693="","",SUM(G$2:I693)-SUM(J$2:J693))</f>
        <v/>
      </c>
      <c r="L693" s="22">
        <f>IF(B693="","",IF(B693=B692,L692,N(L692)+1))</f>
        <v/>
      </c>
    </row>
    <row r="694">
      <c r="A694" s="22" t="n"/>
      <c r="B694" s="27" t="n"/>
      <c r="C694" s="17" t="n"/>
      <c r="D694" s="17" t="n"/>
      <c r="E694" s="17" t="n"/>
      <c r="F694" s="28" t="n"/>
      <c r="G694" s="29" t="n"/>
      <c r="H694" s="29" t="n"/>
      <c r="I694" s="29" t="n"/>
      <c r="J694" s="29" t="n"/>
      <c r="K694" s="30">
        <f>IF(B694="","",SUM(G$2:I694)-SUM(J$2:J694))</f>
        <v/>
      </c>
      <c r="L694" s="22">
        <f>IF(B694="","",IF(B694=B693,L693,N(L693)+1))</f>
        <v/>
      </c>
    </row>
    <row r="695">
      <c r="A695" s="22" t="n"/>
      <c r="B695" s="27" t="n"/>
      <c r="C695" s="17" t="n"/>
      <c r="D695" s="17" t="n"/>
      <c r="E695" s="17" t="n"/>
      <c r="F695" s="28" t="n"/>
      <c r="G695" s="29" t="n"/>
      <c r="H695" s="29" t="n"/>
      <c r="I695" s="29" t="n"/>
      <c r="J695" s="29" t="n"/>
      <c r="K695" s="30">
        <f>IF(B695="","",SUM(G$2:I695)-SUM(J$2:J695))</f>
        <v/>
      </c>
      <c r="L695" s="22">
        <f>IF(B695="","",IF(B695=B694,L694,N(L694)+1))</f>
        <v/>
      </c>
    </row>
    <row r="696">
      <c r="A696" s="22" t="n"/>
      <c r="B696" s="27" t="n"/>
      <c r="C696" s="17" t="n"/>
      <c r="D696" s="17" t="n"/>
      <c r="E696" s="17" t="n"/>
      <c r="F696" s="28" t="n"/>
      <c r="G696" s="29" t="n"/>
      <c r="H696" s="29" t="n"/>
      <c r="I696" s="29" t="n"/>
      <c r="J696" s="29" t="n"/>
      <c r="K696" s="30">
        <f>IF(B696="","",SUM(G$2:I696)-SUM(J$2:J696))</f>
        <v/>
      </c>
      <c r="L696" s="22">
        <f>IF(B696="","",IF(B696=B695,L695,N(L695)+1))</f>
        <v/>
      </c>
    </row>
    <row r="697">
      <c r="A697" s="22" t="n"/>
      <c r="B697" s="27" t="n"/>
      <c r="C697" s="17" t="n"/>
      <c r="D697" s="17" t="n"/>
      <c r="E697" s="17" t="n"/>
      <c r="F697" s="28" t="n"/>
      <c r="G697" s="29" t="n"/>
      <c r="H697" s="29" t="n"/>
      <c r="I697" s="29" t="n"/>
      <c r="J697" s="29" t="n"/>
      <c r="K697" s="30">
        <f>IF(B697="","",SUM(G$2:I697)-SUM(J$2:J697))</f>
        <v/>
      </c>
      <c r="L697" s="22">
        <f>IF(B697="","",IF(B697=B696,L696,N(L696)+1))</f>
        <v/>
      </c>
    </row>
    <row r="698">
      <c r="A698" s="22" t="n"/>
      <c r="B698" s="27" t="n"/>
      <c r="C698" s="17" t="n"/>
      <c r="D698" s="17" t="n"/>
      <c r="E698" s="17" t="n"/>
      <c r="F698" s="28" t="n"/>
      <c r="G698" s="29" t="n"/>
      <c r="H698" s="29" t="n"/>
      <c r="I698" s="29" t="n"/>
      <c r="J698" s="29" t="n"/>
      <c r="K698" s="30">
        <f>IF(B698="","",SUM(G$2:I698)-SUM(J$2:J698))</f>
        <v/>
      </c>
      <c r="L698" s="22">
        <f>IF(B698="","",IF(B698=B697,L697,N(L697)+1))</f>
        <v/>
      </c>
    </row>
    <row r="699">
      <c r="A699" s="22" t="n"/>
      <c r="B699" s="27" t="n"/>
      <c r="C699" s="17" t="n"/>
      <c r="D699" s="17" t="n"/>
      <c r="E699" s="17" t="n"/>
      <c r="F699" s="28" t="n"/>
      <c r="G699" s="29" t="n"/>
      <c r="H699" s="29" t="n"/>
      <c r="I699" s="29" t="n"/>
      <c r="J699" s="29" t="n"/>
      <c r="K699" s="30">
        <f>IF(B699="","",SUM(G$2:I699)-SUM(J$2:J699))</f>
        <v/>
      </c>
      <c r="L699" s="22">
        <f>IF(B699="","",IF(B699=B698,L698,N(L698)+1))</f>
        <v/>
      </c>
    </row>
    <row r="700">
      <c r="A700" s="22" t="n"/>
      <c r="B700" s="27" t="n"/>
      <c r="C700" s="17" t="n"/>
      <c r="D700" s="17" t="n"/>
      <c r="E700" s="17" t="n"/>
      <c r="F700" s="28" t="n"/>
      <c r="G700" s="29" t="n"/>
      <c r="H700" s="29" t="n"/>
      <c r="I700" s="29" t="n"/>
      <c r="J700" s="29" t="n"/>
      <c r="K700" s="30">
        <f>IF(B700="","",SUM(G$2:I700)-SUM(J$2:J700))</f>
        <v/>
      </c>
      <c r="L700" s="22">
        <f>IF(B700="","",IF(B700=B699,L699,N(L699)+1))</f>
        <v/>
      </c>
    </row>
    <row r="701">
      <c r="A701" s="22" t="n"/>
      <c r="B701" s="27" t="n"/>
      <c r="C701" s="17" t="n"/>
      <c r="D701" s="17" t="n"/>
      <c r="E701" s="17" t="n"/>
      <c r="F701" s="28" t="n"/>
      <c r="G701" s="29" t="n"/>
      <c r="H701" s="29" t="n"/>
      <c r="I701" s="29" t="n"/>
      <c r="J701" s="29" t="n"/>
      <c r="K701" s="30">
        <f>IF(B701="","",SUM(G$2:I701)-SUM(J$2:J701))</f>
        <v/>
      </c>
      <c r="L701" s="22">
        <f>IF(B701="","",IF(B701=B700,L700,N(L700)+1))</f>
        <v/>
      </c>
    </row>
    <row r="702">
      <c r="A702" s="22" t="n"/>
      <c r="B702" s="27" t="n"/>
      <c r="C702" s="17" t="n"/>
      <c r="D702" s="17" t="n"/>
      <c r="E702" s="17" t="n"/>
      <c r="F702" s="28" t="n"/>
      <c r="G702" s="29" t="n"/>
      <c r="H702" s="29" t="n"/>
      <c r="I702" s="29" t="n"/>
      <c r="J702" s="29" t="n"/>
      <c r="K702" s="30">
        <f>IF(B702="","",SUM(G$2:I702)-SUM(J$2:J702))</f>
        <v/>
      </c>
      <c r="L702" s="22">
        <f>IF(B702="","",IF(B702=B701,L701,N(L701)+1))</f>
        <v/>
      </c>
    </row>
    <row r="703">
      <c r="A703" s="22" t="n"/>
      <c r="B703" s="27" t="n"/>
      <c r="C703" s="17" t="n"/>
      <c r="D703" s="17" t="n"/>
      <c r="E703" s="17" t="n"/>
      <c r="F703" s="28" t="n"/>
      <c r="G703" s="29" t="n"/>
      <c r="H703" s="29" t="n"/>
      <c r="I703" s="29" t="n"/>
      <c r="J703" s="29" t="n"/>
      <c r="K703" s="30">
        <f>IF(B703="","",SUM(G$2:I703)-SUM(J$2:J703))</f>
        <v/>
      </c>
      <c r="L703" s="22">
        <f>IF(B703="","",IF(B703=B702,L702,N(L702)+1))</f>
        <v/>
      </c>
    </row>
    <row r="704">
      <c r="A704" s="22" t="n"/>
      <c r="B704" s="27" t="n"/>
      <c r="C704" s="17" t="n"/>
      <c r="D704" s="17" t="n"/>
      <c r="E704" s="17" t="n"/>
      <c r="F704" s="28" t="n"/>
      <c r="G704" s="29" t="n"/>
      <c r="H704" s="29" t="n"/>
      <c r="I704" s="29" t="n"/>
      <c r="J704" s="29" t="n"/>
      <c r="K704" s="30">
        <f>IF(B704="","",SUM(G$2:I704)-SUM(J$2:J704))</f>
        <v/>
      </c>
      <c r="L704" s="22">
        <f>IF(B704="","",IF(B704=B703,L703,N(L703)+1))</f>
        <v/>
      </c>
    </row>
    <row r="705">
      <c r="A705" s="22" t="n"/>
      <c r="B705" s="27" t="n"/>
      <c r="C705" s="17" t="n"/>
      <c r="D705" s="17" t="n"/>
      <c r="E705" s="17" t="n"/>
      <c r="F705" s="28" t="n"/>
      <c r="G705" s="29" t="n"/>
      <c r="H705" s="29" t="n"/>
      <c r="I705" s="29" t="n"/>
      <c r="J705" s="29" t="n"/>
      <c r="K705" s="30">
        <f>IF(B705="","",SUM(G$2:I705)-SUM(J$2:J705))</f>
        <v/>
      </c>
      <c r="L705" s="22">
        <f>IF(B705="","",IF(B705=B704,L704,N(L704)+1))</f>
        <v/>
      </c>
    </row>
    <row r="706">
      <c r="A706" s="22" t="n"/>
      <c r="B706" s="27" t="n"/>
      <c r="C706" s="17" t="n"/>
      <c r="D706" s="17" t="n"/>
      <c r="E706" s="17" t="n"/>
      <c r="F706" s="28" t="n"/>
      <c r="G706" s="29" t="n"/>
      <c r="H706" s="29" t="n"/>
      <c r="I706" s="29" t="n"/>
      <c r="J706" s="29" t="n"/>
      <c r="K706" s="30">
        <f>IF(B706="","",SUM(G$2:I706)-SUM(J$2:J706))</f>
        <v/>
      </c>
      <c r="L706" s="22">
        <f>IF(B706="","",IF(B706=B705,L705,N(L705)+1))</f>
        <v/>
      </c>
    </row>
    <row r="707">
      <c r="A707" s="22" t="n"/>
      <c r="B707" s="27" t="n"/>
      <c r="C707" s="17" t="n"/>
      <c r="D707" s="17" t="n"/>
      <c r="E707" s="17" t="n"/>
      <c r="F707" s="28" t="n"/>
      <c r="G707" s="29" t="n"/>
      <c r="H707" s="29" t="n"/>
      <c r="I707" s="29" t="n"/>
      <c r="J707" s="29" t="n"/>
      <c r="K707" s="30">
        <f>IF(B707="","",SUM(G$2:I707)-SUM(J$2:J707))</f>
        <v/>
      </c>
      <c r="L707" s="22">
        <f>IF(B707="","",IF(B707=B706,L706,N(L706)+1))</f>
        <v/>
      </c>
    </row>
    <row r="708">
      <c r="A708" s="22" t="n"/>
      <c r="B708" s="27" t="n"/>
      <c r="C708" s="17" t="n"/>
      <c r="D708" s="17" t="n"/>
      <c r="E708" s="17" t="n"/>
      <c r="F708" s="28" t="n"/>
      <c r="G708" s="29" t="n"/>
      <c r="H708" s="29" t="n"/>
      <c r="I708" s="29" t="n"/>
      <c r="J708" s="29" t="n"/>
      <c r="K708" s="30">
        <f>IF(B708="","",SUM(G$2:I708)-SUM(J$2:J708))</f>
        <v/>
      </c>
      <c r="L708" s="22">
        <f>IF(B708="","",IF(B708=B707,L707,N(L707)+1))</f>
        <v/>
      </c>
    </row>
    <row r="709">
      <c r="A709" s="22" t="n"/>
      <c r="B709" s="27" t="n"/>
      <c r="C709" s="17" t="n"/>
      <c r="D709" s="17" t="n"/>
      <c r="E709" s="17" t="n"/>
      <c r="F709" s="28" t="n"/>
      <c r="G709" s="29" t="n"/>
      <c r="H709" s="29" t="n"/>
      <c r="I709" s="29" t="n"/>
      <c r="J709" s="29" t="n"/>
      <c r="K709" s="30">
        <f>IF(B709="","",SUM(G$2:I709)-SUM(J$2:J709))</f>
        <v/>
      </c>
      <c r="L709" s="22">
        <f>IF(B709="","",IF(B709=B708,L708,N(L708)+1))</f>
        <v/>
      </c>
    </row>
    <row r="710">
      <c r="A710" s="22" t="n"/>
      <c r="B710" s="27" t="n"/>
      <c r="C710" s="17" t="n"/>
      <c r="D710" s="17" t="n"/>
      <c r="E710" s="17" t="n"/>
      <c r="F710" s="28" t="n"/>
      <c r="G710" s="29" t="n"/>
      <c r="H710" s="29" t="n"/>
      <c r="I710" s="29" t="n"/>
      <c r="J710" s="29" t="n"/>
      <c r="K710" s="30">
        <f>IF(B710="","",SUM(G$2:I710)-SUM(J$2:J710))</f>
        <v/>
      </c>
      <c r="L710" s="22">
        <f>IF(B710="","",IF(B710=B709,L709,N(L709)+1))</f>
        <v/>
      </c>
    </row>
    <row r="711">
      <c r="A711" s="22" t="n"/>
      <c r="B711" s="27" t="n"/>
      <c r="C711" s="17" t="n"/>
      <c r="D711" s="17" t="n"/>
      <c r="E711" s="17" t="n"/>
      <c r="F711" s="28" t="n"/>
      <c r="G711" s="29" t="n"/>
      <c r="H711" s="29" t="n"/>
      <c r="I711" s="29" t="n"/>
      <c r="J711" s="29" t="n"/>
      <c r="K711" s="30">
        <f>IF(B711="","",SUM(G$2:I711)-SUM(J$2:J711))</f>
        <v/>
      </c>
      <c r="L711" s="22">
        <f>IF(B711="","",IF(B711=B710,L710,N(L710)+1))</f>
        <v/>
      </c>
    </row>
    <row r="712">
      <c r="A712" s="22" t="n"/>
      <c r="B712" s="27" t="n"/>
      <c r="C712" s="17" t="n"/>
      <c r="D712" s="17" t="n"/>
      <c r="E712" s="17" t="n"/>
      <c r="F712" s="28" t="n"/>
      <c r="G712" s="29" t="n"/>
      <c r="H712" s="29" t="n"/>
      <c r="I712" s="29" t="n"/>
      <c r="J712" s="29" t="n"/>
      <c r="K712" s="30">
        <f>IF(B712="","",SUM(G$2:I712)-SUM(J$2:J712))</f>
        <v/>
      </c>
      <c r="L712" s="22">
        <f>IF(B712="","",IF(B712=B711,L711,N(L711)+1))</f>
        <v/>
      </c>
    </row>
    <row r="713">
      <c r="A713" s="22" t="n"/>
      <c r="B713" s="27" t="n"/>
      <c r="C713" s="17" t="n"/>
      <c r="D713" s="17" t="n"/>
      <c r="E713" s="17" t="n"/>
      <c r="F713" s="28" t="n"/>
      <c r="G713" s="29" t="n"/>
      <c r="H713" s="29" t="n"/>
      <c r="I713" s="29" t="n"/>
      <c r="J713" s="29" t="n"/>
      <c r="K713" s="30">
        <f>IF(B713="","",SUM(G$2:I713)-SUM(J$2:J713))</f>
        <v/>
      </c>
      <c r="L713" s="22">
        <f>IF(B713="","",IF(B713=B712,L712,N(L712)+1))</f>
        <v/>
      </c>
    </row>
    <row r="714">
      <c r="A714" s="22" t="n"/>
      <c r="B714" s="27" t="n"/>
      <c r="C714" s="17" t="n"/>
      <c r="D714" s="17" t="n"/>
      <c r="E714" s="17" t="n"/>
      <c r="F714" s="28" t="n"/>
      <c r="G714" s="29" t="n"/>
      <c r="H714" s="29" t="n"/>
      <c r="I714" s="29" t="n"/>
      <c r="J714" s="29" t="n"/>
      <c r="K714" s="30">
        <f>IF(B714="","",SUM(G$2:I714)-SUM(J$2:J714))</f>
        <v/>
      </c>
      <c r="L714" s="22">
        <f>IF(B714="","",IF(B714=B713,L713,N(L713)+1))</f>
        <v/>
      </c>
    </row>
    <row r="715">
      <c r="A715" s="22" t="n"/>
      <c r="B715" s="27" t="n"/>
      <c r="C715" s="17" t="n"/>
      <c r="D715" s="17" t="n"/>
      <c r="E715" s="17" t="n"/>
      <c r="F715" s="28" t="n"/>
      <c r="G715" s="29" t="n"/>
      <c r="H715" s="29" t="n"/>
      <c r="I715" s="29" t="n"/>
      <c r="J715" s="29" t="n"/>
      <c r="K715" s="30">
        <f>IF(B715="","",SUM(G$2:I715)-SUM(J$2:J715))</f>
        <v/>
      </c>
      <c r="L715" s="22">
        <f>IF(B715="","",IF(B715=B714,L714,N(L714)+1))</f>
        <v/>
      </c>
    </row>
    <row r="716">
      <c r="A716" s="22" t="n"/>
      <c r="B716" s="27" t="n"/>
      <c r="C716" s="17" t="n"/>
      <c r="D716" s="17" t="n"/>
      <c r="E716" s="17" t="n"/>
      <c r="F716" s="28" t="n"/>
      <c r="G716" s="29" t="n"/>
      <c r="H716" s="29" t="n"/>
      <c r="I716" s="29" t="n"/>
      <c r="J716" s="29" t="n"/>
      <c r="K716" s="30">
        <f>IF(B716="","",SUM(G$2:I716)-SUM(J$2:J716))</f>
        <v/>
      </c>
      <c r="L716" s="22">
        <f>IF(B716="","",IF(B716=B715,L715,N(L715)+1))</f>
        <v/>
      </c>
    </row>
    <row r="717">
      <c r="A717" s="22" t="n"/>
      <c r="B717" s="27" t="n"/>
      <c r="C717" s="17" t="n"/>
      <c r="D717" s="17" t="n"/>
      <c r="E717" s="17" t="n"/>
      <c r="F717" s="28" t="n"/>
      <c r="G717" s="29" t="n"/>
      <c r="H717" s="29" t="n"/>
      <c r="I717" s="29" t="n"/>
      <c r="J717" s="29" t="n"/>
      <c r="K717" s="30">
        <f>IF(B717="","",SUM(G$2:I717)-SUM(J$2:J717))</f>
        <v/>
      </c>
      <c r="L717" s="22">
        <f>IF(B717="","",IF(B717=B716,L716,N(L716)+1))</f>
        <v/>
      </c>
    </row>
    <row r="718">
      <c r="A718" s="22" t="n"/>
      <c r="B718" s="27" t="n"/>
      <c r="C718" s="17" t="n"/>
      <c r="D718" s="17" t="n"/>
      <c r="E718" s="17" t="n"/>
      <c r="F718" s="28" t="n"/>
      <c r="G718" s="29" t="n"/>
      <c r="H718" s="29" t="n"/>
      <c r="I718" s="29" t="n"/>
      <c r="J718" s="29" t="n"/>
      <c r="K718" s="30">
        <f>IF(B718="","",SUM(G$2:I718)-SUM(J$2:J718))</f>
        <v/>
      </c>
      <c r="L718" s="22">
        <f>IF(B718="","",IF(B718=B717,L717,N(L717)+1))</f>
        <v/>
      </c>
    </row>
    <row r="719">
      <c r="A719" s="22" t="n"/>
      <c r="B719" s="27" t="n"/>
      <c r="C719" s="17" t="n"/>
      <c r="D719" s="17" t="n"/>
      <c r="E719" s="17" t="n"/>
      <c r="F719" s="28" t="n"/>
      <c r="G719" s="29" t="n"/>
      <c r="H719" s="29" t="n"/>
      <c r="I719" s="29" t="n"/>
      <c r="J719" s="29" t="n"/>
      <c r="K719" s="30">
        <f>IF(B719="","",SUM(G$2:I719)-SUM(J$2:J719))</f>
        <v/>
      </c>
      <c r="L719" s="22">
        <f>IF(B719="","",IF(B719=B718,L718,N(L718)+1))</f>
        <v/>
      </c>
    </row>
    <row r="720">
      <c r="A720" s="22" t="n"/>
      <c r="B720" s="27" t="n"/>
      <c r="C720" s="17" t="n"/>
      <c r="D720" s="17" t="n"/>
      <c r="E720" s="17" t="n"/>
      <c r="F720" s="28" t="n"/>
      <c r="G720" s="29" t="n"/>
      <c r="H720" s="29" t="n"/>
      <c r="I720" s="29" t="n"/>
      <c r="J720" s="29" t="n"/>
      <c r="K720" s="30">
        <f>IF(B720="","",SUM(G$2:I720)-SUM(J$2:J720))</f>
        <v/>
      </c>
      <c r="L720" s="22">
        <f>IF(B720="","",IF(B720=B719,L719,N(L719)+1))</f>
        <v/>
      </c>
    </row>
    <row r="721">
      <c r="A721" s="22" t="n"/>
      <c r="B721" s="27" t="n"/>
      <c r="C721" s="17" t="n"/>
      <c r="D721" s="17" t="n"/>
      <c r="E721" s="17" t="n"/>
      <c r="F721" s="28" t="n"/>
      <c r="G721" s="29" t="n"/>
      <c r="H721" s="29" t="n"/>
      <c r="I721" s="29" t="n"/>
      <c r="J721" s="29" t="n"/>
      <c r="K721" s="30">
        <f>IF(B721="","",SUM(G$2:I721)-SUM(J$2:J721))</f>
        <v/>
      </c>
      <c r="L721" s="22">
        <f>IF(B721="","",IF(B721=B720,L720,N(L720)+1))</f>
        <v/>
      </c>
    </row>
    <row r="722">
      <c r="A722" s="22" t="n"/>
      <c r="B722" s="27" t="n"/>
      <c r="C722" s="17" t="n"/>
      <c r="D722" s="17" t="n"/>
      <c r="E722" s="17" t="n"/>
      <c r="F722" s="28" t="n"/>
      <c r="G722" s="29" t="n"/>
      <c r="H722" s="29" t="n"/>
      <c r="I722" s="29" t="n"/>
      <c r="J722" s="29" t="n"/>
      <c r="K722" s="30">
        <f>IF(B722="","",SUM(G$2:I722)-SUM(J$2:J722))</f>
        <v/>
      </c>
      <c r="L722" s="22">
        <f>IF(B722="","",IF(B722=B721,L721,N(L721)+1))</f>
        <v/>
      </c>
    </row>
    <row r="723">
      <c r="A723" s="22" t="n"/>
      <c r="B723" s="27" t="n"/>
      <c r="C723" s="17" t="n"/>
      <c r="D723" s="17" t="n"/>
      <c r="E723" s="17" t="n"/>
      <c r="F723" s="28" t="n"/>
      <c r="G723" s="29" t="n"/>
      <c r="H723" s="29" t="n"/>
      <c r="I723" s="29" t="n"/>
      <c r="J723" s="29" t="n"/>
      <c r="K723" s="30">
        <f>IF(B723="","",SUM(G$2:I723)-SUM(J$2:J723))</f>
        <v/>
      </c>
      <c r="L723" s="22">
        <f>IF(B723="","",IF(B723=B722,L722,N(L722)+1))</f>
        <v/>
      </c>
    </row>
    <row r="724">
      <c r="A724" s="22" t="n"/>
      <c r="B724" s="27" t="n"/>
      <c r="C724" s="17" t="n"/>
      <c r="D724" s="17" t="n"/>
      <c r="E724" s="17" t="n"/>
      <c r="F724" s="28" t="n"/>
      <c r="G724" s="29" t="n"/>
      <c r="H724" s="29" t="n"/>
      <c r="I724" s="29" t="n"/>
      <c r="J724" s="29" t="n"/>
      <c r="K724" s="30">
        <f>IF(B724="","",SUM(G$2:I724)-SUM(J$2:J724))</f>
        <v/>
      </c>
      <c r="L724" s="22">
        <f>IF(B724="","",IF(B724=B723,L723,N(L723)+1))</f>
        <v/>
      </c>
    </row>
    <row r="725">
      <c r="A725" s="22" t="n"/>
      <c r="B725" s="27" t="n"/>
      <c r="C725" s="17" t="n"/>
      <c r="D725" s="17" t="n"/>
      <c r="E725" s="17" t="n"/>
      <c r="F725" s="28" t="n"/>
      <c r="G725" s="29" t="n"/>
      <c r="H725" s="29" t="n"/>
      <c r="I725" s="29" t="n"/>
      <c r="J725" s="29" t="n"/>
      <c r="K725" s="30">
        <f>IF(B725="","",SUM(G$2:I725)-SUM(J$2:J725))</f>
        <v/>
      </c>
      <c r="L725" s="22">
        <f>IF(B725="","",IF(B725=B724,L724,N(L724)+1))</f>
        <v/>
      </c>
    </row>
    <row r="726">
      <c r="A726" s="22" t="n"/>
      <c r="B726" s="27" t="n"/>
      <c r="C726" s="17" t="n"/>
      <c r="D726" s="17" t="n"/>
      <c r="E726" s="17" t="n"/>
      <c r="F726" s="28" t="n"/>
      <c r="G726" s="29" t="n"/>
      <c r="H726" s="29" t="n"/>
      <c r="I726" s="29" t="n"/>
      <c r="J726" s="29" t="n"/>
      <c r="K726" s="30">
        <f>IF(B726="","",SUM(G$2:I726)-SUM(J$2:J726))</f>
        <v/>
      </c>
      <c r="L726" s="22">
        <f>IF(B726="","",IF(B726=B725,L725,N(L725)+1))</f>
        <v/>
      </c>
    </row>
    <row r="727">
      <c r="A727" s="22" t="n"/>
      <c r="B727" s="27" t="n"/>
      <c r="C727" s="17" t="n"/>
      <c r="D727" s="17" t="n"/>
      <c r="E727" s="17" t="n"/>
      <c r="F727" s="28" t="n"/>
      <c r="G727" s="29" t="n"/>
      <c r="H727" s="29" t="n"/>
      <c r="I727" s="29" t="n"/>
      <c r="J727" s="29" t="n"/>
      <c r="K727" s="30">
        <f>IF(B727="","",SUM(G$2:I727)-SUM(J$2:J727))</f>
        <v/>
      </c>
      <c r="L727" s="22">
        <f>IF(B727="","",IF(B727=B726,L726,N(L726)+1))</f>
        <v/>
      </c>
    </row>
    <row r="728">
      <c r="A728" s="22" t="n"/>
      <c r="B728" s="27" t="n"/>
      <c r="C728" s="17" t="n"/>
      <c r="D728" s="17" t="n"/>
      <c r="E728" s="17" t="n"/>
      <c r="F728" s="28" t="n"/>
      <c r="G728" s="29" t="n"/>
      <c r="H728" s="29" t="n"/>
      <c r="I728" s="29" t="n"/>
      <c r="J728" s="29" t="n"/>
      <c r="K728" s="30">
        <f>IF(B728="","",SUM(G$2:I728)-SUM(J$2:J728))</f>
        <v/>
      </c>
      <c r="L728" s="22">
        <f>IF(B728="","",IF(B728=B727,L727,N(L727)+1))</f>
        <v/>
      </c>
    </row>
    <row r="729">
      <c r="A729" s="22" t="n"/>
      <c r="B729" s="27" t="n"/>
      <c r="C729" s="17" t="n"/>
      <c r="D729" s="17" t="n"/>
      <c r="E729" s="17" t="n"/>
      <c r="F729" s="28" t="n"/>
      <c r="G729" s="29" t="n"/>
      <c r="H729" s="29" t="n"/>
      <c r="I729" s="29" t="n"/>
      <c r="J729" s="29" t="n"/>
      <c r="K729" s="30">
        <f>IF(B729="","",SUM(G$2:I729)-SUM(J$2:J729))</f>
        <v/>
      </c>
      <c r="L729" s="22">
        <f>IF(B729="","",IF(B729=B728,L728,N(L728)+1))</f>
        <v/>
      </c>
    </row>
    <row r="730">
      <c r="A730" s="22" t="n"/>
      <c r="B730" s="27" t="n"/>
      <c r="C730" s="17" t="n"/>
      <c r="D730" s="17" t="n"/>
      <c r="E730" s="17" t="n"/>
      <c r="F730" s="28" t="n"/>
      <c r="G730" s="29" t="n"/>
      <c r="H730" s="29" t="n"/>
      <c r="I730" s="29" t="n"/>
      <c r="J730" s="29" t="n"/>
      <c r="K730" s="30">
        <f>IF(B730="","",SUM(G$2:I730)-SUM(J$2:J730))</f>
        <v/>
      </c>
      <c r="L730" s="22">
        <f>IF(B730="","",IF(B730=B729,L729,N(L729)+1))</f>
        <v/>
      </c>
    </row>
    <row r="731">
      <c r="A731" s="22" t="n"/>
      <c r="B731" s="27" t="n"/>
      <c r="C731" s="17" t="n"/>
      <c r="D731" s="17" t="n"/>
      <c r="E731" s="17" t="n"/>
      <c r="F731" s="28" t="n"/>
      <c r="G731" s="29" t="n"/>
      <c r="H731" s="29" t="n"/>
      <c r="I731" s="29" t="n"/>
      <c r="J731" s="29" t="n"/>
      <c r="K731" s="30">
        <f>IF(B731="","",SUM(G$2:I731)-SUM(J$2:J731))</f>
        <v/>
      </c>
      <c r="L731" s="22">
        <f>IF(B731="","",IF(B731=B730,L730,N(L730)+1))</f>
        <v/>
      </c>
    </row>
    <row r="732">
      <c r="A732" s="22" t="n"/>
      <c r="B732" s="27" t="n"/>
      <c r="C732" s="17" t="n"/>
      <c r="D732" s="17" t="n"/>
      <c r="E732" s="17" t="n"/>
      <c r="F732" s="28" t="n"/>
      <c r="G732" s="29" t="n"/>
      <c r="H732" s="29" t="n"/>
      <c r="I732" s="29" t="n"/>
      <c r="J732" s="29" t="n"/>
      <c r="K732" s="30">
        <f>IF(B732="","",SUM(G$2:I732)-SUM(J$2:J732))</f>
        <v/>
      </c>
      <c r="L732" s="22">
        <f>IF(B732="","",IF(B732=B731,L731,N(L731)+1))</f>
        <v/>
      </c>
    </row>
    <row r="733">
      <c r="A733" s="22" t="n"/>
      <c r="B733" s="27" t="n"/>
      <c r="C733" s="17" t="n"/>
      <c r="D733" s="17" t="n"/>
      <c r="E733" s="17" t="n"/>
      <c r="F733" s="28" t="n"/>
      <c r="G733" s="29" t="n"/>
      <c r="H733" s="29" t="n"/>
      <c r="I733" s="29" t="n"/>
      <c r="J733" s="29" t="n"/>
      <c r="K733" s="30">
        <f>IF(B733="","",SUM(G$2:I733)-SUM(J$2:J733))</f>
        <v/>
      </c>
      <c r="L733" s="22">
        <f>IF(B733="","",IF(B733=B732,L732,N(L732)+1))</f>
        <v/>
      </c>
    </row>
    <row r="734">
      <c r="A734" s="22" t="n"/>
      <c r="B734" s="27" t="n"/>
      <c r="C734" s="17" t="n"/>
      <c r="D734" s="17" t="n"/>
      <c r="E734" s="17" t="n"/>
      <c r="F734" s="28" t="n"/>
      <c r="G734" s="29" t="n"/>
      <c r="H734" s="29" t="n"/>
      <c r="I734" s="29" t="n"/>
      <c r="J734" s="29" t="n"/>
      <c r="K734" s="30">
        <f>IF(B734="","",SUM(G$2:I734)-SUM(J$2:J734))</f>
        <v/>
      </c>
      <c r="L734" s="22">
        <f>IF(B734="","",IF(B734=B733,L733,N(L733)+1))</f>
        <v/>
      </c>
    </row>
    <row r="735">
      <c r="A735" s="22" t="n"/>
      <c r="B735" s="27" t="n"/>
      <c r="C735" s="17" t="n"/>
      <c r="D735" s="17" t="n"/>
      <c r="E735" s="17" t="n"/>
      <c r="F735" s="28" t="n"/>
      <c r="G735" s="29" t="n"/>
      <c r="H735" s="29" t="n"/>
      <c r="I735" s="29" t="n"/>
      <c r="J735" s="29" t="n"/>
      <c r="K735" s="30">
        <f>IF(B735="","",SUM(G$2:I735)-SUM(J$2:J735))</f>
        <v/>
      </c>
      <c r="L735" s="22">
        <f>IF(B735="","",IF(B735=B734,L734,N(L734)+1))</f>
        <v/>
      </c>
    </row>
    <row r="736">
      <c r="A736" s="22" t="n"/>
      <c r="B736" s="27" t="n"/>
      <c r="C736" s="17" t="n"/>
      <c r="D736" s="17" t="n"/>
      <c r="E736" s="17" t="n"/>
      <c r="F736" s="28" t="n"/>
      <c r="G736" s="29" t="n"/>
      <c r="H736" s="29" t="n"/>
      <c r="I736" s="29" t="n"/>
      <c r="J736" s="29" t="n"/>
      <c r="K736" s="30">
        <f>IF(B736="","",SUM(G$2:I736)-SUM(J$2:J736))</f>
        <v/>
      </c>
      <c r="L736" s="22">
        <f>IF(B736="","",IF(B736=B735,L735,N(L735)+1))</f>
        <v/>
      </c>
    </row>
    <row r="737">
      <c r="A737" s="22" t="n"/>
      <c r="B737" s="27" t="n"/>
      <c r="C737" s="17" t="n"/>
      <c r="D737" s="17" t="n"/>
      <c r="E737" s="17" t="n"/>
      <c r="F737" s="28" t="n"/>
      <c r="G737" s="29" t="n"/>
      <c r="H737" s="29" t="n"/>
      <c r="I737" s="29" t="n"/>
      <c r="J737" s="29" t="n"/>
      <c r="K737" s="30">
        <f>IF(B737="","",SUM(G$2:I737)-SUM(J$2:J737))</f>
        <v/>
      </c>
      <c r="L737" s="22">
        <f>IF(B737="","",IF(B737=B736,L736,N(L736)+1))</f>
        <v/>
      </c>
    </row>
    <row r="738">
      <c r="A738" s="22" t="n"/>
      <c r="B738" s="27" t="n"/>
      <c r="C738" s="17" t="n"/>
      <c r="D738" s="17" t="n"/>
      <c r="E738" s="17" t="n"/>
      <c r="F738" s="28" t="n"/>
      <c r="G738" s="29" t="n"/>
      <c r="H738" s="29" t="n"/>
      <c r="I738" s="29" t="n"/>
      <c r="J738" s="29" t="n"/>
      <c r="K738" s="30">
        <f>IF(B738="","",SUM(G$2:I738)-SUM(J$2:J738))</f>
        <v/>
      </c>
      <c r="L738" s="22">
        <f>IF(B738="","",IF(B738=B737,L737,N(L737)+1))</f>
        <v/>
      </c>
    </row>
    <row r="739">
      <c r="A739" s="22" t="n"/>
      <c r="B739" s="27" t="n"/>
      <c r="C739" s="17" t="n"/>
      <c r="D739" s="17" t="n"/>
      <c r="E739" s="17" t="n"/>
      <c r="F739" s="28" t="n"/>
      <c r="G739" s="29" t="n"/>
      <c r="H739" s="29" t="n"/>
      <c r="I739" s="29" t="n"/>
      <c r="J739" s="29" t="n"/>
      <c r="K739" s="30">
        <f>IF(B739="","",SUM(G$2:I739)-SUM(J$2:J739))</f>
        <v/>
      </c>
      <c r="L739" s="22">
        <f>IF(B739="","",IF(B739=B738,L738,N(L738)+1))</f>
        <v/>
      </c>
    </row>
    <row r="740">
      <c r="A740" s="22" t="n"/>
      <c r="B740" s="27" t="n"/>
      <c r="C740" s="17" t="n"/>
      <c r="D740" s="17" t="n"/>
      <c r="E740" s="17" t="n"/>
      <c r="F740" s="28" t="n"/>
      <c r="G740" s="29" t="n"/>
      <c r="H740" s="29" t="n"/>
      <c r="I740" s="29" t="n"/>
      <c r="J740" s="29" t="n"/>
      <c r="K740" s="30">
        <f>IF(B740="","",SUM(G$2:I740)-SUM(J$2:J740))</f>
        <v/>
      </c>
      <c r="L740" s="22">
        <f>IF(B740="","",IF(B740=B739,L739,N(L739)+1))</f>
        <v/>
      </c>
    </row>
    <row r="741">
      <c r="A741" s="22" t="n"/>
      <c r="B741" s="27" t="n"/>
      <c r="C741" s="17" t="n"/>
      <c r="D741" s="17" t="n"/>
      <c r="E741" s="17" t="n"/>
      <c r="F741" s="28" t="n"/>
      <c r="G741" s="29" t="n"/>
      <c r="H741" s="29" t="n"/>
      <c r="I741" s="29" t="n"/>
      <c r="J741" s="29" t="n"/>
      <c r="K741" s="30">
        <f>IF(B741="","",SUM(G$2:I741)-SUM(J$2:J741))</f>
        <v/>
      </c>
      <c r="L741" s="22">
        <f>IF(B741="","",IF(B741=B740,L740,N(L740)+1))</f>
        <v/>
      </c>
    </row>
    <row r="742">
      <c r="A742" s="22" t="n"/>
      <c r="B742" s="27" t="n"/>
      <c r="C742" s="17" t="n"/>
      <c r="D742" s="17" t="n"/>
      <c r="E742" s="17" t="n"/>
      <c r="F742" s="28" t="n"/>
      <c r="G742" s="29" t="n"/>
      <c r="H742" s="29" t="n"/>
      <c r="I742" s="29" t="n"/>
      <c r="J742" s="29" t="n"/>
      <c r="K742" s="30">
        <f>IF(B742="","",SUM(G$2:I742)-SUM(J$2:J742))</f>
        <v/>
      </c>
      <c r="L742" s="22">
        <f>IF(B742="","",IF(B742=B741,L741,N(L741)+1))</f>
        <v/>
      </c>
    </row>
    <row r="743">
      <c r="A743" s="22" t="n"/>
      <c r="B743" s="27" t="n"/>
      <c r="C743" s="17" t="n"/>
      <c r="D743" s="17" t="n"/>
      <c r="E743" s="17" t="n"/>
      <c r="F743" s="28" t="n"/>
      <c r="G743" s="29" t="n"/>
      <c r="H743" s="29" t="n"/>
      <c r="I743" s="29" t="n"/>
      <c r="J743" s="29" t="n"/>
      <c r="K743" s="30">
        <f>IF(B743="","",SUM(G$2:I743)-SUM(J$2:J743))</f>
        <v/>
      </c>
      <c r="L743" s="22">
        <f>IF(B743="","",IF(B743=B742,L742,N(L742)+1))</f>
        <v/>
      </c>
    </row>
    <row r="744">
      <c r="A744" s="22" t="n"/>
      <c r="B744" s="27" t="n"/>
      <c r="C744" s="17" t="n"/>
      <c r="D744" s="17" t="n"/>
      <c r="E744" s="17" t="n"/>
      <c r="F744" s="28" t="n"/>
      <c r="G744" s="29" t="n"/>
      <c r="H744" s="29" t="n"/>
      <c r="I744" s="29" t="n"/>
      <c r="J744" s="29" t="n"/>
      <c r="K744" s="30">
        <f>IF(B744="","",SUM(G$2:I744)-SUM(J$2:J744))</f>
        <v/>
      </c>
      <c r="L744" s="22">
        <f>IF(B744="","",IF(B744=B743,L743,N(L743)+1))</f>
        <v/>
      </c>
    </row>
    <row r="745">
      <c r="A745" s="22" t="n"/>
      <c r="B745" s="27" t="n"/>
      <c r="C745" s="17" t="n"/>
      <c r="D745" s="17" t="n"/>
      <c r="E745" s="17" t="n"/>
      <c r="F745" s="28" t="n"/>
      <c r="G745" s="29" t="n"/>
      <c r="H745" s="29" t="n"/>
      <c r="I745" s="29" t="n"/>
      <c r="J745" s="29" t="n"/>
      <c r="K745" s="30">
        <f>IF(B745="","",SUM(G$2:I745)-SUM(J$2:J745))</f>
        <v/>
      </c>
      <c r="L745" s="22">
        <f>IF(B745="","",IF(B745=B744,L744,N(L744)+1))</f>
        <v/>
      </c>
    </row>
    <row r="746">
      <c r="A746" s="22" t="n"/>
      <c r="B746" s="27" t="n"/>
      <c r="C746" s="17" t="n"/>
      <c r="D746" s="17" t="n"/>
      <c r="E746" s="17" t="n"/>
      <c r="F746" s="28" t="n"/>
      <c r="G746" s="29" t="n"/>
      <c r="H746" s="29" t="n"/>
      <c r="I746" s="29" t="n"/>
      <c r="J746" s="29" t="n"/>
      <c r="K746" s="30">
        <f>IF(B746="","",SUM(G$2:I746)-SUM(J$2:J746))</f>
        <v/>
      </c>
      <c r="L746" s="22">
        <f>IF(B746="","",IF(B746=B745,L745,N(L745)+1))</f>
        <v/>
      </c>
    </row>
    <row r="747">
      <c r="A747" s="22" t="n"/>
      <c r="B747" s="27" t="n"/>
      <c r="C747" s="17" t="n"/>
      <c r="D747" s="17" t="n"/>
      <c r="E747" s="17" t="n"/>
      <c r="F747" s="28" t="n"/>
      <c r="G747" s="29" t="n"/>
      <c r="H747" s="29" t="n"/>
      <c r="I747" s="29" t="n"/>
      <c r="J747" s="29" t="n"/>
      <c r="K747" s="30">
        <f>IF(B747="","",SUM(G$2:I747)-SUM(J$2:J747))</f>
        <v/>
      </c>
      <c r="L747" s="22">
        <f>IF(B747="","",IF(B747=B746,L746,N(L746)+1))</f>
        <v/>
      </c>
    </row>
    <row r="748">
      <c r="A748" s="22" t="n"/>
      <c r="B748" s="27" t="n"/>
      <c r="C748" s="17" t="n"/>
      <c r="D748" s="17" t="n"/>
      <c r="E748" s="17" t="n"/>
      <c r="F748" s="28" t="n"/>
      <c r="G748" s="29" t="n"/>
      <c r="H748" s="29" t="n"/>
      <c r="I748" s="29" t="n"/>
      <c r="J748" s="29" t="n"/>
      <c r="K748" s="30">
        <f>IF(B748="","",SUM(G$2:I748)-SUM(J$2:J748))</f>
        <v/>
      </c>
      <c r="L748" s="22">
        <f>IF(B748="","",IF(B748=B747,L747,N(L747)+1))</f>
        <v/>
      </c>
    </row>
    <row r="749">
      <c r="A749" s="22" t="n"/>
      <c r="B749" s="27" t="n"/>
      <c r="C749" s="17" t="n"/>
      <c r="D749" s="17" t="n"/>
      <c r="E749" s="17" t="n"/>
      <c r="F749" s="28" t="n"/>
      <c r="G749" s="29" t="n"/>
      <c r="H749" s="29" t="n"/>
      <c r="I749" s="29" t="n"/>
      <c r="J749" s="29" t="n"/>
      <c r="K749" s="30">
        <f>IF(B749="","",SUM(G$2:I749)-SUM(J$2:J749))</f>
        <v/>
      </c>
      <c r="L749" s="22">
        <f>IF(B749="","",IF(B749=B748,L748,N(L748)+1))</f>
        <v/>
      </c>
    </row>
    <row r="750">
      <c r="A750" s="22" t="n"/>
      <c r="B750" s="27" t="n"/>
      <c r="C750" s="17" t="n"/>
      <c r="D750" s="17" t="n"/>
      <c r="E750" s="17" t="n"/>
      <c r="F750" s="28" t="n"/>
      <c r="G750" s="29" t="n"/>
      <c r="H750" s="29" t="n"/>
      <c r="I750" s="29" t="n"/>
      <c r="J750" s="29" t="n"/>
      <c r="K750" s="30">
        <f>IF(B750="","",SUM(G$2:I750)-SUM(J$2:J750))</f>
        <v/>
      </c>
      <c r="L750" s="22">
        <f>IF(B750="","",IF(B750=B749,L749,N(L749)+1))</f>
        <v/>
      </c>
    </row>
    <row r="751">
      <c r="A751" s="22" t="n"/>
      <c r="B751" s="27" t="n"/>
      <c r="C751" s="17" t="n"/>
      <c r="D751" s="17" t="n"/>
      <c r="E751" s="17" t="n"/>
      <c r="F751" s="28" t="n"/>
      <c r="G751" s="29" t="n"/>
      <c r="H751" s="29" t="n"/>
      <c r="I751" s="29" t="n"/>
      <c r="J751" s="29" t="n"/>
      <c r="K751" s="30">
        <f>IF(B751="","",SUM(G$2:I751)-SUM(J$2:J751))</f>
        <v/>
      </c>
      <c r="L751" s="22">
        <f>IF(B751="","",IF(B751=B750,L750,N(L750)+1))</f>
        <v/>
      </c>
    </row>
    <row r="752">
      <c r="A752" s="22" t="n"/>
      <c r="B752" s="27" t="n"/>
      <c r="C752" s="17" t="n"/>
      <c r="D752" s="17" t="n"/>
      <c r="E752" s="17" t="n"/>
      <c r="F752" s="28" t="n"/>
      <c r="G752" s="29" t="n"/>
      <c r="H752" s="29" t="n"/>
      <c r="I752" s="29" t="n"/>
      <c r="J752" s="29" t="n"/>
      <c r="K752" s="30">
        <f>IF(B752="","",SUM(G$2:I752)-SUM(J$2:J752))</f>
        <v/>
      </c>
      <c r="L752" s="22">
        <f>IF(B752="","",IF(B752=B751,L751,N(L751)+1))</f>
        <v/>
      </c>
    </row>
    <row r="753">
      <c r="A753" s="22" t="n"/>
      <c r="B753" s="27" t="n"/>
      <c r="C753" s="17" t="n"/>
      <c r="D753" s="17" t="n"/>
      <c r="E753" s="17" t="n"/>
      <c r="F753" s="28" t="n"/>
      <c r="G753" s="29" t="n"/>
      <c r="H753" s="29" t="n"/>
      <c r="I753" s="29" t="n"/>
      <c r="J753" s="29" t="n"/>
      <c r="K753" s="30">
        <f>IF(B753="","",SUM(G$2:I753)-SUM(J$2:J753))</f>
        <v/>
      </c>
      <c r="L753" s="22">
        <f>IF(B753="","",IF(B753=B752,L752,N(L752)+1))</f>
        <v/>
      </c>
    </row>
    <row r="754">
      <c r="A754" s="22" t="n"/>
      <c r="B754" s="27" t="n"/>
      <c r="C754" s="17" t="n"/>
      <c r="D754" s="17" t="n"/>
      <c r="E754" s="17" t="n"/>
      <c r="F754" s="28" t="n"/>
      <c r="G754" s="29" t="n"/>
      <c r="H754" s="29" t="n"/>
      <c r="I754" s="29" t="n"/>
      <c r="J754" s="29" t="n"/>
      <c r="K754" s="30">
        <f>IF(B754="","",SUM(G$2:I754)-SUM(J$2:J754))</f>
        <v/>
      </c>
      <c r="L754" s="22">
        <f>IF(B754="","",IF(B754=B753,L753,N(L753)+1))</f>
        <v/>
      </c>
    </row>
    <row r="755">
      <c r="A755" s="22" t="n"/>
      <c r="B755" s="27" t="n"/>
      <c r="C755" s="17" t="n"/>
      <c r="D755" s="17" t="n"/>
      <c r="E755" s="17" t="n"/>
      <c r="F755" s="28" t="n"/>
      <c r="G755" s="29" t="n"/>
      <c r="H755" s="29" t="n"/>
      <c r="I755" s="29" t="n"/>
      <c r="J755" s="29" t="n"/>
      <c r="K755" s="30">
        <f>IF(B755="","",SUM(G$2:I755)-SUM(J$2:J755))</f>
        <v/>
      </c>
      <c r="L755" s="22">
        <f>IF(B755="","",IF(B755=B754,L754,N(L754)+1))</f>
        <v/>
      </c>
    </row>
    <row r="756">
      <c r="A756" s="22" t="n"/>
      <c r="B756" s="27" t="n"/>
      <c r="C756" s="17" t="n"/>
      <c r="D756" s="17" t="n"/>
      <c r="E756" s="17" t="n"/>
      <c r="F756" s="28" t="n"/>
      <c r="G756" s="29" t="n"/>
      <c r="H756" s="29" t="n"/>
      <c r="I756" s="29" t="n"/>
      <c r="J756" s="29" t="n"/>
      <c r="K756" s="30">
        <f>IF(B756="","",SUM(G$2:I756)-SUM(J$2:J756))</f>
        <v/>
      </c>
      <c r="L756" s="22">
        <f>IF(B756="","",IF(B756=B755,L755,N(L755)+1))</f>
        <v/>
      </c>
    </row>
    <row r="757">
      <c r="A757" s="22" t="n"/>
      <c r="B757" s="27" t="n"/>
      <c r="C757" s="17" t="n"/>
      <c r="D757" s="17" t="n"/>
      <c r="E757" s="17" t="n"/>
      <c r="F757" s="28" t="n"/>
      <c r="G757" s="29" t="n"/>
      <c r="H757" s="29" t="n"/>
      <c r="I757" s="29" t="n"/>
      <c r="J757" s="29" t="n"/>
      <c r="K757" s="30">
        <f>IF(B757="","",SUM(G$2:I757)-SUM(J$2:J757))</f>
        <v/>
      </c>
      <c r="L757" s="22">
        <f>IF(B757="","",IF(B757=B756,L756,N(L756)+1))</f>
        <v/>
      </c>
    </row>
    <row r="758">
      <c r="A758" s="22" t="n"/>
      <c r="B758" s="27" t="n"/>
      <c r="C758" s="17" t="n"/>
      <c r="D758" s="17" t="n"/>
      <c r="E758" s="17" t="n"/>
      <c r="F758" s="28" t="n"/>
      <c r="G758" s="29" t="n"/>
      <c r="H758" s="29" t="n"/>
      <c r="I758" s="29" t="n"/>
      <c r="J758" s="29" t="n"/>
      <c r="K758" s="30">
        <f>IF(B758="","",SUM(G$2:I758)-SUM(J$2:J758))</f>
        <v/>
      </c>
      <c r="L758" s="22">
        <f>IF(B758="","",IF(B758=B757,L757,N(L757)+1))</f>
        <v/>
      </c>
    </row>
    <row r="759">
      <c r="A759" s="22" t="n"/>
      <c r="B759" s="27" t="n"/>
      <c r="C759" s="17" t="n"/>
      <c r="D759" s="17" t="n"/>
      <c r="E759" s="17" t="n"/>
      <c r="F759" s="28" t="n"/>
      <c r="G759" s="29" t="n"/>
      <c r="H759" s="29" t="n"/>
      <c r="I759" s="29" t="n"/>
      <c r="J759" s="29" t="n"/>
      <c r="K759" s="30">
        <f>IF(B759="","",SUM(G$2:I759)-SUM(J$2:J759))</f>
        <v/>
      </c>
      <c r="L759" s="22">
        <f>IF(B759="","",IF(B759=B758,L758,N(L758)+1))</f>
        <v/>
      </c>
    </row>
    <row r="760">
      <c r="A760" s="22" t="n"/>
      <c r="B760" s="27" t="n"/>
      <c r="C760" s="17" t="n"/>
      <c r="D760" s="17" t="n"/>
      <c r="E760" s="17" t="n"/>
      <c r="F760" s="28" t="n"/>
      <c r="G760" s="29" t="n"/>
      <c r="H760" s="29" t="n"/>
      <c r="I760" s="29" t="n"/>
      <c r="J760" s="29" t="n"/>
      <c r="K760" s="30">
        <f>IF(B760="","",SUM(G$2:I760)-SUM(J$2:J760))</f>
        <v/>
      </c>
      <c r="L760" s="22">
        <f>IF(B760="","",IF(B760=B759,L759,N(L759)+1))</f>
        <v/>
      </c>
    </row>
    <row r="761">
      <c r="A761" s="22" t="n"/>
      <c r="B761" s="27" t="n"/>
      <c r="C761" s="17" t="n"/>
      <c r="D761" s="17" t="n"/>
      <c r="E761" s="17" t="n"/>
      <c r="F761" s="28" t="n"/>
      <c r="G761" s="29" t="n"/>
      <c r="H761" s="29" t="n"/>
      <c r="I761" s="29" t="n"/>
      <c r="J761" s="29" t="n"/>
      <c r="K761" s="30">
        <f>IF(B761="","",SUM(G$2:I761)-SUM(J$2:J761))</f>
        <v/>
      </c>
      <c r="L761" s="22">
        <f>IF(B761="","",IF(B761=B760,L760,N(L760)+1))</f>
        <v/>
      </c>
    </row>
    <row r="762">
      <c r="A762" s="22" t="n"/>
      <c r="B762" s="27" t="n"/>
      <c r="C762" s="17" t="n"/>
      <c r="D762" s="17" t="n"/>
      <c r="E762" s="17" t="n"/>
      <c r="F762" s="28" t="n"/>
      <c r="G762" s="29" t="n"/>
      <c r="H762" s="29" t="n"/>
      <c r="I762" s="29" t="n"/>
      <c r="J762" s="29" t="n"/>
      <c r="K762" s="30">
        <f>IF(B762="","",SUM(G$2:I762)-SUM(J$2:J762))</f>
        <v/>
      </c>
      <c r="L762" s="22">
        <f>IF(B762="","",IF(B762=B761,L761,N(L761)+1))</f>
        <v/>
      </c>
    </row>
    <row r="763">
      <c r="A763" s="22" t="n"/>
      <c r="B763" s="27" t="n"/>
      <c r="C763" s="17" t="n"/>
      <c r="D763" s="17" t="n"/>
      <c r="E763" s="17" t="n"/>
      <c r="F763" s="28" t="n"/>
      <c r="G763" s="29" t="n"/>
      <c r="H763" s="29" t="n"/>
      <c r="I763" s="29" t="n"/>
      <c r="J763" s="29" t="n"/>
      <c r="K763" s="30">
        <f>IF(B763="","",SUM(G$2:I763)-SUM(J$2:J763))</f>
        <v/>
      </c>
      <c r="L763" s="22">
        <f>IF(B763="","",IF(B763=B762,L762,N(L762)+1))</f>
        <v/>
      </c>
    </row>
    <row r="764">
      <c r="A764" s="22" t="n"/>
      <c r="B764" s="27" t="n"/>
      <c r="C764" s="17" t="n"/>
      <c r="D764" s="17" t="n"/>
      <c r="E764" s="17" t="n"/>
      <c r="F764" s="28" t="n"/>
      <c r="G764" s="29" t="n"/>
      <c r="H764" s="29" t="n"/>
      <c r="I764" s="29" t="n"/>
      <c r="J764" s="29" t="n"/>
      <c r="K764" s="30">
        <f>IF(B764="","",SUM(G$2:I764)-SUM(J$2:J764))</f>
        <v/>
      </c>
      <c r="L764" s="22">
        <f>IF(B764="","",IF(B764=B763,L763,N(L763)+1))</f>
        <v/>
      </c>
    </row>
    <row r="765">
      <c r="A765" s="22" t="n"/>
      <c r="B765" s="27" t="n"/>
      <c r="C765" s="17" t="n"/>
      <c r="D765" s="17" t="n"/>
      <c r="E765" s="17" t="n"/>
      <c r="F765" s="28" t="n"/>
      <c r="G765" s="29" t="n"/>
      <c r="H765" s="29" t="n"/>
      <c r="I765" s="29" t="n"/>
      <c r="J765" s="29" t="n"/>
      <c r="K765" s="30">
        <f>IF(B765="","",SUM(G$2:I765)-SUM(J$2:J765))</f>
        <v/>
      </c>
      <c r="L765" s="22">
        <f>IF(B765="","",IF(B765=B764,L764,N(L764)+1))</f>
        <v/>
      </c>
    </row>
    <row r="766">
      <c r="A766" s="22" t="n"/>
      <c r="B766" s="27" t="n"/>
      <c r="C766" s="17" t="n"/>
      <c r="D766" s="17" t="n"/>
      <c r="E766" s="17" t="n"/>
      <c r="F766" s="28" t="n"/>
      <c r="G766" s="29" t="n"/>
      <c r="H766" s="29" t="n"/>
      <c r="I766" s="29" t="n"/>
      <c r="J766" s="29" t="n"/>
      <c r="K766" s="30">
        <f>IF(B766="","",SUM(G$2:I766)-SUM(J$2:J766))</f>
        <v/>
      </c>
      <c r="L766" s="22">
        <f>IF(B766="","",IF(B766=B765,L765,N(L765)+1))</f>
        <v/>
      </c>
    </row>
    <row r="767">
      <c r="A767" s="22" t="n"/>
      <c r="B767" s="27" t="n"/>
      <c r="C767" s="17" t="n"/>
      <c r="D767" s="17" t="n"/>
      <c r="E767" s="17" t="n"/>
      <c r="F767" s="28" t="n"/>
      <c r="G767" s="29" t="n"/>
      <c r="H767" s="29" t="n"/>
      <c r="I767" s="29" t="n"/>
      <c r="J767" s="29" t="n"/>
      <c r="K767" s="30">
        <f>IF(B767="","",SUM(G$2:I767)-SUM(J$2:J767))</f>
        <v/>
      </c>
      <c r="L767" s="22">
        <f>IF(B767="","",IF(B767=B766,L766,N(L766)+1))</f>
        <v/>
      </c>
    </row>
    <row r="768">
      <c r="A768" s="22" t="n"/>
      <c r="B768" s="27" t="n"/>
      <c r="C768" s="17" t="n"/>
      <c r="D768" s="17" t="n"/>
      <c r="E768" s="17" t="n"/>
      <c r="F768" s="28" t="n"/>
      <c r="G768" s="29" t="n"/>
      <c r="H768" s="29" t="n"/>
      <c r="I768" s="29" t="n"/>
      <c r="J768" s="29" t="n"/>
      <c r="K768" s="30">
        <f>IF(B768="","",SUM(G$2:I768)-SUM(J$2:J768))</f>
        <v/>
      </c>
      <c r="L768" s="22">
        <f>IF(B768="","",IF(B768=B767,L767,N(L767)+1))</f>
        <v/>
      </c>
    </row>
    <row r="769">
      <c r="A769" s="22" t="n"/>
      <c r="B769" s="27" t="n"/>
      <c r="C769" s="17" t="n"/>
      <c r="D769" s="17" t="n"/>
      <c r="E769" s="17" t="n"/>
      <c r="F769" s="28" t="n"/>
      <c r="G769" s="29" t="n"/>
      <c r="H769" s="29" t="n"/>
      <c r="I769" s="29" t="n"/>
      <c r="J769" s="29" t="n"/>
      <c r="K769" s="30">
        <f>IF(B769="","",SUM(G$2:I769)-SUM(J$2:J769))</f>
        <v/>
      </c>
      <c r="L769" s="22">
        <f>IF(B769="","",IF(B769=B768,L768,N(L768)+1))</f>
        <v/>
      </c>
    </row>
    <row r="770">
      <c r="A770" s="22" t="n"/>
      <c r="B770" s="27" t="n"/>
      <c r="C770" s="17" t="n"/>
      <c r="D770" s="17" t="n"/>
      <c r="E770" s="17" t="n"/>
      <c r="F770" s="28" t="n"/>
      <c r="G770" s="29" t="n"/>
      <c r="H770" s="29" t="n"/>
      <c r="I770" s="29" t="n"/>
      <c r="J770" s="29" t="n"/>
      <c r="K770" s="30">
        <f>IF(B770="","",SUM(G$2:I770)-SUM(J$2:J770))</f>
        <v/>
      </c>
      <c r="L770" s="22">
        <f>IF(B770="","",IF(B770=B769,L769,N(L769)+1))</f>
        <v/>
      </c>
    </row>
    <row r="771">
      <c r="A771" s="22" t="n"/>
      <c r="B771" s="27" t="n"/>
      <c r="C771" s="17" t="n"/>
      <c r="D771" s="17" t="n"/>
      <c r="E771" s="17" t="n"/>
      <c r="F771" s="28" t="n"/>
      <c r="G771" s="29" t="n"/>
      <c r="H771" s="29" t="n"/>
      <c r="I771" s="29" t="n"/>
      <c r="J771" s="29" t="n"/>
      <c r="K771" s="30">
        <f>IF(B771="","",SUM(G$2:I771)-SUM(J$2:J771))</f>
        <v/>
      </c>
      <c r="L771" s="22">
        <f>IF(B771="","",IF(B771=B770,L770,N(L770)+1))</f>
        <v/>
      </c>
    </row>
    <row r="772">
      <c r="A772" s="22" t="n"/>
      <c r="B772" s="27" t="n"/>
      <c r="C772" s="17" t="n"/>
      <c r="D772" s="17" t="n"/>
      <c r="E772" s="17" t="n"/>
      <c r="F772" s="28" t="n"/>
      <c r="G772" s="29" t="n"/>
      <c r="H772" s="29" t="n"/>
      <c r="I772" s="29" t="n"/>
      <c r="J772" s="29" t="n"/>
      <c r="K772" s="30">
        <f>IF(B772="","",SUM(G$2:I772)-SUM(J$2:J772))</f>
        <v/>
      </c>
      <c r="L772" s="22">
        <f>IF(B772="","",IF(B772=B771,L771,N(L771)+1))</f>
        <v/>
      </c>
    </row>
    <row r="773">
      <c r="A773" s="22" t="n"/>
      <c r="B773" s="27" t="n"/>
      <c r="C773" s="17" t="n"/>
      <c r="D773" s="17" t="n"/>
      <c r="E773" s="17" t="n"/>
      <c r="F773" s="28" t="n"/>
      <c r="G773" s="29" t="n"/>
      <c r="H773" s="29" t="n"/>
      <c r="I773" s="29" t="n"/>
      <c r="J773" s="29" t="n"/>
      <c r="K773" s="30">
        <f>IF(B773="","",SUM(G$2:I773)-SUM(J$2:J773))</f>
        <v/>
      </c>
      <c r="L773" s="22">
        <f>IF(B773="","",IF(B773=B772,L772,N(L772)+1))</f>
        <v/>
      </c>
    </row>
    <row r="774">
      <c r="A774" s="22" t="n"/>
      <c r="B774" s="27" t="n"/>
      <c r="C774" s="17" t="n"/>
      <c r="D774" s="17" t="n"/>
      <c r="E774" s="17" t="n"/>
      <c r="F774" s="28" t="n"/>
      <c r="G774" s="29" t="n"/>
      <c r="H774" s="29" t="n"/>
      <c r="I774" s="29" t="n"/>
      <c r="J774" s="29" t="n"/>
      <c r="K774" s="30">
        <f>IF(B774="","",SUM(G$2:I774)-SUM(J$2:J774))</f>
        <v/>
      </c>
      <c r="L774" s="22">
        <f>IF(B774="","",IF(B774=B773,L773,N(L773)+1))</f>
        <v/>
      </c>
    </row>
    <row r="775">
      <c r="A775" s="22" t="n"/>
      <c r="B775" s="27" t="n"/>
      <c r="C775" s="17" t="n"/>
      <c r="D775" s="17" t="n"/>
      <c r="E775" s="17" t="n"/>
      <c r="F775" s="28" t="n"/>
      <c r="G775" s="29" t="n"/>
      <c r="H775" s="29" t="n"/>
      <c r="I775" s="29" t="n"/>
      <c r="J775" s="29" t="n"/>
      <c r="K775" s="30">
        <f>IF(B775="","",SUM(G$2:I775)-SUM(J$2:J775))</f>
        <v/>
      </c>
      <c r="L775" s="22">
        <f>IF(B775="","",IF(B775=B774,L774,N(L774)+1))</f>
        <v/>
      </c>
    </row>
    <row r="776">
      <c r="A776" s="22" t="n"/>
      <c r="B776" s="27" t="n"/>
      <c r="C776" s="17" t="n"/>
      <c r="D776" s="17" t="n"/>
      <c r="E776" s="17" t="n"/>
      <c r="F776" s="28" t="n"/>
      <c r="G776" s="29" t="n"/>
      <c r="H776" s="29" t="n"/>
      <c r="I776" s="29" t="n"/>
      <c r="J776" s="29" t="n"/>
      <c r="K776" s="30">
        <f>IF(B776="","",SUM(G$2:I776)-SUM(J$2:J776))</f>
        <v/>
      </c>
      <c r="L776" s="22">
        <f>IF(B776="","",IF(B776=B775,L775,N(L775)+1))</f>
        <v/>
      </c>
    </row>
    <row r="777">
      <c r="A777" s="22" t="n"/>
      <c r="B777" s="27" t="n"/>
      <c r="C777" s="17" t="n"/>
      <c r="D777" s="17" t="n"/>
      <c r="E777" s="17" t="n"/>
      <c r="F777" s="28" t="n"/>
      <c r="G777" s="29" t="n"/>
      <c r="H777" s="29" t="n"/>
      <c r="I777" s="29" t="n"/>
      <c r="J777" s="29" t="n"/>
      <c r="K777" s="30">
        <f>IF(B777="","",SUM(G$2:I777)-SUM(J$2:J777))</f>
        <v/>
      </c>
      <c r="L777" s="22">
        <f>IF(B777="","",IF(B777=B776,L776,N(L776)+1))</f>
        <v/>
      </c>
    </row>
    <row r="778">
      <c r="A778" s="22" t="n"/>
      <c r="B778" s="27" t="n"/>
      <c r="C778" s="17" t="n"/>
      <c r="D778" s="17" t="n"/>
      <c r="E778" s="17" t="n"/>
      <c r="F778" s="28" t="n"/>
      <c r="G778" s="29" t="n"/>
      <c r="H778" s="29" t="n"/>
      <c r="I778" s="29" t="n"/>
      <c r="J778" s="29" t="n"/>
      <c r="K778" s="30">
        <f>IF(B778="","",SUM(G$2:I778)-SUM(J$2:J778))</f>
        <v/>
      </c>
      <c r="L778" s="22">
        <f>IF(B778="","",IF(B778=B777,L777,N(L777)+1))</f>
        <v/>
      </c>
    </row>
    <row r="779">
      <c r="A779" s="22" t="n"/>
      <c r="B779" s="27" t="n"/>
      <c r="C779" s="17" t="n"/>
      <c r="D779" s="17" t="n"/>
      <c r="E779" s="17" t="n"/>
      <c r="F779" s="28" t="n"/>
      <c r="G779" s="29" t="n"/>
      <c r="H779" s="29" t="n"/>
      <c r="I779" s="29" t="n"/>
      <c r="J779" s="29" t="n"/>
      <c r="K779" s="30">
        <f>IF(B779="","",SUM(G$2:I779)-SUM(J$2:J779))</f>
        <v/>
      </c>
      <c r="L779" s="22">
        <f>IF(B779="","",IF(B779=B778,L778,N(L778)+1))</f>
        <v/>
      </c>
    </row>
    <row r="780">
      <c r="A780" s="22" t="n"/>
      <c r="B780" s="27" t="n"/>
      <c r="C780" s="17" t="n"/>
      <c r="D780" s="17" t="n"/>
      <c r="E780" s="17" t="n"/>
      <c r="F780" s="28" t="n"/>
      <c r="G780" s="29" t="n"/>
      <c r="H780" s="29" t="n"/>
      <c r="I780" s="29" t="n"/>
      <c r="J780" s="29" t="n"/>
      <c r="K780" s="30">
        <f>IF(B780="","",SUM(G$2:I780)-SUM(J$2:J780))</f>
        <v/>
      </c>
      <c r="L780" s="22">
        <f>IF(B780="","",IF(B780=B779,L779,N(L779)+1))</f>
        <v/>
      </c>
    </row>
    <row r="781">
      <c r="A781" s="22" t="n"/>
      <c r="B781" s="27" t="n"/>
      <c r="C781" s="17" t="n"/>
      <c r="D781" s="17" t="n"/>
      <c r="E781" s="17" t="n"/>
      <c r="F781" s="28" t="n"/>
      <c r="G781" s="29" t="n"/>
      <c r="H781" s="29" t="n"/>
      <c r="I781" s="29" t="n"/>
      <c r="J781" s="29" t="n"/>
      <c r="K781" s="30">
        <f>IF(B781="","",SUM(G$2:I781)-SUM(J$2:J781))</f>
        <v/>
      </c>
      <c r="L781" s="22">
        <f>IF(B781="","",IF(B781=B780,L780,N(L780)+1))</f>
        <v/>
      </c>
    </row>
    <row r="782">
      <c r="A782" s="22" t="n"/>
      <c r="B782" s="27" t="n"/>
      <c r="C782" s="17" t="n"/>
      <c r="D782" s="17" t="n"/>
      <c r="E782" s="17" t="n"/>
      <c r="F782" s="28" t="n"/>
      <c r="G782" s="29" t="n"/>
      <c r="H782" s="29" t="n"/>
      <c r="I782" s="29" t="n"/>
      <c r="J782" s="29" t="n"/>
      <c r="K782" s="30">
        <f>IF(B782="","",SUM(G$2:I782)-SUM(J$2:J782))</f>
        <v/>
      </c>
      <c r="L782" s="22">
        <f>IF(B782="","",IF(B782=B781,L781,N(L781)+1))</f>
        <v/>
      </c>
    </row>
    <row r="783">
      <c r="A783" s="22" t="n"/>
      <c r="B783" s="27" t="n"/>
      <c r="C783" s="17" t="n"/>
      <c r="D783" s="17" t="n"/>
      <c r="E783" s="17" t="n"/>
      <c r="F783" s="28" t="n"/>
      <c r="G783" s="29" t="n"/>
      <c r="H783" s="29" t="n"/>
      <c r="I783" s="29" t="n"/>
      <c r="J783" s="29" t="n"/>
      <c r="K783" s="30">
        <f>IF(B783="","",SUM(G$2:I783)-SUM(J$2:J783))</f>
        <v/>
      </c>
      <c r="L783" s="22">
        <f>IF(B783="","",IF(B783=B782,L782,N(L782)+1))</f>
        <v/>
      </c>
    </row>
    <row r="784">
      <c r="A784" s="22" t="n"/>
      <c r="B784" s="27" t="n"/>
      <c r="C784" s="17" t="n"/>
      <c r="D784" s="17" t="n"/>
      <c r="E784" s="17" t="n"/>
      <c r="F784" s="28" t="n"/>
      <c r="G784" s="29" t="n"/>
      <c r="H784" s="29" t="n"/>
      <c r="I784" s="29" t="n"/>
      <c r="J784" s="29" t="n"/>
      <c r="K784" s="30">
        <f>IF(B784="","",SUM(G$2:I784)-SUM(J$2:J784))</f>
        <v/>
      </c>
      <c r="L784" s="22">
        <f>IF(B784="","",IF(B784=B783,L783,N(L783)+1))</f>
        <v/>
      </c>
    </row>
    <row r="785">
      <c r="A785" s="22" t="n"/>
      <c r="B785" s="27" t="n"/>
      <c r="C785" s="17" t="n"/>
      <c r="D785" s="17" t="n"/>
      <c r="E785" s="17" t="n"/>
      <c r="F785" s="28" t="n"/>
      <c r="G785" s="29" t="n"/>
      <c r="H785" s="29" t="n"/>
      <c r="I785" s="29" t="n"/>
      <c r="J785" s="29" t="n"/>
      <c r="K785" s="30">
        <f>IF(B785="","",SUM(G$2:I785)-SUM(J$2:J785))</f>
        <v/>
      </c>
      <c r="L785" s="22">
        <f>IF(B785="","",IF(B785=B784,L784,N(L784)+1))</f>
        <v/>
      </c>
    </row>
    <row r="786">
      <c r="A786" s="22" t="n"/>
      <c r="B786" s="27" t="n"/>
      <c r="C786" s="17" t="n"/>
      <c r="D786" s="17" t="n"/>
      <c r="E786" s="17" t="n"/>
      <c r="F786" s="28" t="n"/>
      <c r="G786" s="29" t="n"/>
      <c r="H786" s="29" t="n"/>
      <c r="I786" s="29" t="n"/>
      <c r="J786" s="29" t="n"/>
      <c r="K786" s="30">
        <f>IF(B786="","",SUM(G$2:I786)-SUM(J$2:J786))</f>
        <v/>
      </c>
      <c r="L786" s="22">
        <f>IF(B786="","",IF(B786=B785,L785,N(L785)+1))</f>
        <v/>
      </c>
    </row>
    <row r="787">
      <c r="A787" s="22" t="n"/>
      <c r="B787" s="27" t="n"/>
      <c r="C787" s="17" t="n"/>
      <c r="D787" s="17" t="n"/>
      <c r="E787" s="17" t="n"/>
      <c r="F787" s="28" t="n"/>
      <c r="G787" s="29" t="n"/>
      <c r="H787" s="29" t="n"/>
      <c r="I787" s="29" t="n"/>
      <c r="J787" s="29" t="n"/>
      <c r="K787" s="30">
        <f>IF(B787="","",SUM(G$2:I787)-SUM(J$2:J787))</f>
        <v/>
      </c>
      <c r="L787" s="22">
        <f>IF(B787="","",IF(B787=B786,L786,N(L786)+1))</f>
        <v/>
      </c>
    </row>
    <row r="788">
      <c r="A788" s="22" t="n"/>
      <c r="B788" s="27" t="n"/>
      <c r="C788" s="17" t="n"/>
      <c r="D788" s="17" t="n"/>
      <c r="E788" s="17" t="n"/>
      <c r="F788" s="28" t="n"/>
      <c r="G788" s="29" t="n"/>
      <c r="H788" s="29" t="n"/>
      <c r="I788" s="29" t="n"/>
      <c r="J788" s="29" t="n"/>
      <c r="K788" s="30">
        <f>IF(B788="","",SUM(G$2:I788)-SUM(J$2:J788))</f>
        <v/>
      </c>
      <c r="L788" s="22">
        <f>IF(B788="","",IF(B788=B787,L787,N(L787)+1))</f>
        <v/>
      </c>
    </row>
    <row r="789">
      <c r="A789" s="22" t="n"/>
      <c r="B789" s="27" t="n"/>
      <c r="C789" s="17" t="n"/>
      <c r="D789" s="17" t="n"/>
      <c r="E789" s="17" t="n"/>
      <c r="F789" s="28" t="n"/>
      <c r="G789" s="29" t="n"/>
      <c r="H789" s="29" t="n"/>
      <c r="I789" s="29" t="n"/>
      <c r="J789" s="29" t="n"/>
      <c r="K789" s="30">
        <f>IF(B789="","",SUM(G$2:I789)-SUM(J$2:J789))</f>
        <v/>
      </c>
      <c r="L789" s="22">
        <f>IF(B789="","",IF(B789=B788,L788,N(L788)+1))</f>
        <v/>
      </c>
    </row>
    <row r="790">
      <c r="A790" s="22" t="n"/>
      <c r="B790" s="27" t="n"/>
      <c r="C790" s="17" t="n"/>
      <c r="D790" s="17" t="n"/>
      <c r="E790" s="17" t="n"/>
      <c r="F790" s="28" t="n"/>
      <c r="G790" s="29" t="n"/>
      <c r="H790" s="29" t="n"/>
      <c r="I790" s="29" t="n"/>
      <c r="J790" s="29" t="n"/>
      <c r="K790" s="30">
        <f>IF(B790="","",SUM(G$2:I790)-SUM(J$2:J790))</f>
        <v/>
      </c>
      <c r="L790" s="22">
        <f>IF(B790="","",IF(B790=B789,L789,N(L789)+1))</f>
        <v/>
      </c>
    </row>
    <row r="791">
      <c r="A791" s="22" t="n"/>
      <c r="B791" s="27" t="n"/>
      <c r="C791" s="17" t="n"/>
      <c r="D791" s="17" t="n"/>
      <c r="E791" s="17" t="n"/>
      <c r="F791" s="28" t="n"/>
      <c r="G791" s="29" t="n"/>
      <c r="H791" s="29" t="n"/>
      <c r="I791" s="29" t="n"/>
      <c r="J791" s="29" t="n"/>
      <c r="K791" s="30">
        <f>IF(B791="","",SUM(G$2:I791)-SUM(J$2:J791))</f>
        <v/>
      </c>
      <c r="L791" s="22">
        <f>IF(B791="","",IF(B791=B790,L790,N(L790)+1))</f>
        <v/>
      </c>
    </row>
    <row r="792">
      <c r="A792" s="22" t="n"/>
      <c r="B792" s="27" t="n"/>
      <c r="C792" s="17" t="n"/>
      <c r="D792" s="17" t="n"/>
      <c r="E792" s="17" t="n"/>
      <c r="F792" s="28" t="n"/>
      <c r="G792" s="29" t="n"/>
      <c r="H792" s="29" t="n"/>
      <c r="I792" s="29" t="n"/>
      <c r="J792" s="29" t="n"/>
      <c r="K792" s="30">
        <f>IF(B792="","",SUM(G$2:I792)-SUM(J$2:J792))</f>
        <v/>
      </c>
      <c r="L792" s="22">
        <f>IF(B792="","",IF(B792=B791,L791,N(L791)+1))</f>
        <v/>
      </c>
    </row>
    <row r="793">
      <c r="A793" s="22" t="n"/>
      <c r="B793" s="27" t="n"/>
      <c r="C793" s="17" t="n"/>
      <c r="D793" s="17" t="n"/>
      <c r="E793" s="17" t="n"/>
      <c r="F793" s="28" t="n"/>
      <c r="G793" s="29" t="n"/>
      <c r="H793" s="29" t="n"/>
      <c r="I793" s="29" t="n"/>
      <c r="J793" s="29" t="n"/>
      <c r="K793" s="30">
        <f>IF(B793="","",SUM(G$2:I793)-SUM(J$2:J793))</f>
        <v/>
      </c>
      <c r="L793" s="22">
        <f>IF(B793="","",IF(B793=B792,L792,N(L792)+1))</f>
        <v/>
      </c>
    </row>
    <row r="794">
      <c r="A794" s="22" t="n"/>
      <c r="B794" s="27" t="n"/>
      <c r="C794" s="17" t="n"/>
      <c r="D794" s="17" t="n"/>
      <c r="E794" s="17" t="n"/>
      <c r="F794" s="28" t="n"/>
      <c r="G794" s="29" t="n"/>
      <c r="H794" s="29" t="n"/>
      <c r="I794" s="29" t="n"/>
      <c r="J794" s="29" t="n"/>
      <c r="K794" s="30">
        <f>IF(B794="","",SUM(G$2:I794)-SUM(J$2:J794))</f>
        <v/>
      </c>
      <c r="L794" s="22">
        <f>IF(B794="","",IF(B794=B793,L793,N(L793)+1))</f>
        <v/>
      </c>
    </row>
    <row r="795">
      <c r="A795" s="22" t="n"/>
      <c r="B795" s="27" t="n"/>
      <c r="C795" s="17" t="n"/>
      <c r="D795" s="17" t="n"/>
      <c r="E795" s="17" t="n"/>
      <c r="F795" s="28" t="n"/>
      <c r="G795" s="29" t="n"/>
      <c r="H795" s="29" t="n"/>
      <c r="I795" s="29" t="n"/>
      <c r="J795" s="29" t="n"/>
      <c r="K795" s="30">
        <f>IF(B795="","",SUM(G$2:I795)-SUM(J$2:J795))</f>
        <v/>
      </c>
      <c r="L795" s="22">
        <f>IF(B795="","",IF(B795=B794,L794,N(L794)+1))</f>
        <v/>
      </c>
    </row>
    <row r="796">
      <c r="A796" s="22" t="n"/>
      <c r="B796" s="27" t="n"/>
      <c r="C796" s="17" t="n"/>
      <c r="D796" s="17" t="n"/>
      <c r="E796" s="17" t="n"/>
      <c r="F796" s="28" t="n"/>
      <c r="G796" s="29" t="n"/>
      <c r="H796" s="29" t="n"/>
      <c r="I796" s="29" t="n"/>
      <c r="J796" s="29" t="n"/>
      <c r="K796" s="30">
        <f>IF(B796="","",SUM(G$2:I796)-SUM(J$2:J796))</f>
        <v/>
      </c>
      <c r="L796" s="22">
        <f>IF(B796="","",IF(B796=B795,L795,N(L795)+1))</f>
        <v/>
      </c>
    </row>
    <row r="797">
      <c r="A797" s="22" t="n"/>
      <c r="B797" s="27" t="n"/>
      <c r="C797" s="17" t="n"/>
      <c r="D797" s="17" t="n"/>
      <c r="E797" s="17" t="n"/>
      <c r="F797" s="28" t="n"/>
      <c r="G797" s="29" t="n"/>
      <c r="H797" s="29" t="n"/>
      <c r="I797" s="29" t="n"/>
      <c r="J797" s="29" t="n"/>
      <c r="K797" s="30">
        <f>IF(B797="","",SUM(G$2:I797)-SUM(J$2:J797))</f>
        <v/>
      </c>
      <c r="L797" s="22">
        <f>IF(B797="","",IF(B797=B796,L796,N(L796)+1))</f>
        <v/>
      </c>
    </row>
    <row r="798">
      <c r="A798" s="22" t="n"/>
      <c r="B798" s="27" t="n"/>
      <c r="C798" s="17" t="n"/>
      <c r="D798" s="17" t="n"/>
      <c r="E798" s="17" t="n"/>
      <c r="F798" s="28" t="n"/>
      <c r="G798" s="29" t="n"/>
      <c r="H798" s="29" t="n"/>
      <c r="I798" s="29" t="n"/>
      <c r="J798" s="29" t="n"/>
      <c r="K798" s="30">
        <f>IF(B798="","",SUM(G$2:I798)-SUM(J$2:J798))</f>
        <v/>
      </c>
      <c r="L798" s="22">
        <f>IF(B798="","",IF(B798=B797,L797,N(L797)+1))</f>
        <v/>
      </c>
    </row>
    <row r="799">
      <c r="A799" s="22" t="n"/>
      <c r="B799" s="27" t="n"/>
      <c r="C799" s="17" t="n"/>
      <c r="D799" s="17" t="n"/>
      <c r="E799" s="17" t="n"/>
      <c r="F799" s="28" t="n"/>
      <c r="G799" s="29" t="n"/>
      <c r="H799" s="29" t="n"/>
      <c r="I799" s="29" t="n"/>
      <c r="J799" s="29" t="n"/>
      <c r="K799" s="30">
        <f>IF(B799="","",SUM(G$2:I799)-SUM(J$2:J799))</f>
        <v/>
      </c>
      <c r="L799" s="22">
        <f>IF(B799="","",IF(B799=B798,L798,N(L798)+1))</f>
        <v/>
      </c>
    </row>
    <row r="800">
      <c r="A800" s="22" t="n"/>
      <c r="B800" s="27" t="n"/>
      <c r="C800" s="17" t="n"/>
      <c r="D800" s="17" t="n"/>
      <c r="E800" s="17" t="n"/>
      <c r="F800" s="28" t="n"/>
      <c r="G800" s="29" t="n"/>
      <c r="H800" s="29" t="n"/>
      <c r="I800" s="29" t="n"/>
      <c r="J800" s="29" t="n"/>
      <c r="K800" s="30">
        <f>IF(B800="","",SUM(G$2:I800)-SUM(J$2:J800))</f>
        <v/>
      </c>
      <c r="L800" s="22">
        <f>IF(B800="","",IF(B800=B799,L799,N(L799)+1))</f>
        <v/>
      </c>
    </row>
    <row r="801">
      <c r="A801" s="22" t="n"/>
      <c r="B801" s="27" t="n"/>
      <c r="C801" s="17" t="n"/>
      <c r="D801" s="17" t="n"/>
      <c r="E801" s="17" t="n"/>
      <c r="F801" s="28" t="n"/>
      <c r="G801" s="29" t="n"/>
      <c r="H801" s="29" t="n"/>
      <c r="I801" s="29" t="n"/>
      <c r="J801" s="29" t="n"/>
      <c r="K801" s="30">
        <f>IF(B801="","",SUM(G$2:I801)-SUM(J$2:J801))</f>
        <v/>
      </c>
      <c r="L801" s="22">
        <f>IF(B801="","",IF(B801=B800,L800,N(L800)+1))</f>
        <v/>
      </c>
    </row>
    <row r="802">
      <c r="A802" s="22" t="n"/>
      <c r="B802" s="27" t="n"/>
      <c r="C802" s="17" t="n"/>
      <c r="D802" s="17" t="n"/>
      <c r="E802" s="17" t="n"/>
      <c r="F802" s="28" t="n"/>
      <c r="G802" s="29" t="n"/>
      <c r="H802" s="29" t="n"/>
      <c r="I802" s="29" t="n"/>
      <c r="J802" s="29" t="n"/>
      <c r="K802" s="30">
        <f>IF(B802="","",SUM(G$2:I802)-SUM(J$2:J802))</f>
        <v/>
      </c>
      <c r="L802" s="22">
        <f>IF(B802="","",IF(B802=B801,L801,N(L801)+1))</f>
        <v/>
      </c>
    </row>
    <row r="803">
      <c r="A803" s="22" t="n"/>
      <c r="B803" s="27" t="n"/>
      <c r="C803" s="17" t="n"/>
      <c r="D803" s="17" t="n"/>
      <c r="E803" s="17" t="n"/>
      <c r="F803" s="28" t="n"/>
      <c r="G803" s="29" t="n"/>
      <c r="H803" s="29" t="n"/>
      <c r="I803" s="29" t="n"/>
      <c r="J803" s="29" t="n"/>
      <c r="K803" s="30">
        <f>IF(B803="","",SUM(G$2:I803)-SUM(J$2:J803))</f>
        <v/>
      </c>
      <c r="L803" s="22">
        <f>IF(B803="","",IF(B803=B802,L802,N(L802)+1))</f>
        <v/>
      </c>
    </row>
    <row r="804">
      <c r="A804" s="22" t="n"/>
      <c r="B804" s="27" t="n"/>
      <c r="C804" s="17" t="n"/>
      <c r="D804" s="17" t="n"/>
      <c r="E804" s="17" t="n"/>
      <c r="F804" s="28" t="n"/>
      <c r="G804" s="29" t="n"/>
      <c r="H804" s="29" t="n"/>
      <c r="I804" s="29" t="n"/>
      <c r="J804" s="29" t="n"/>
      <c r="K804" s="30">
        <f>IF(B804="","",SUM(G$2:I804)-SUM(J$2:J804))</f>
        <v/>
      </c>
      <c r="L804" s="22">
        <f>IF(B804="","",IF(B804=B803,L803,N(L803)+1))</f>
        <v/>
      </c>
    </row>
    <row r="805">
      <c r="A805" s="22" t="n"/>
      <c r="B805" s="27" t="n"/>
      <c r="C805" s="17" t="n"/>
      <c r="D805" s="17" t="n"/>
      <c r="E805" s="17" t="n"/>
      <c r="F805" s="28" t="n"/>
      <c r="G805" s="29" t="n"/>
      <c r="H805" s="29" t="n"/>
      <c r="I805" s="29" t="n"/>
      <c r="J805" s="29" t="n"/>
      <c r="K805" s="30">
        <f>IF(B805="","",SUM(G$2:I805)-SUM(J$2:J805))</f>
        <v/>
      </c>
      <c r="L805" s="22">
        <f>IF(B805="","",IF(B805=B804,L804,N(L804)+1))</f>
        <v/>
      </c>
    </row>
    <row r="806">
      <c r="A806" s="22" t="n"/>
      <c r="B806" s="27" t="n"/>
      <c r="C806" s="17" t="n"/>
      <c r="D806" s="17" t="n"/>
      <c r="E806" s="17" t="n"/>
      <c r="F806" s="28" t="n"/>
      <c r="G806" s="29" t="n"/>
      <c r="H806" s="29" t="n"/>
      <c r="I806" s="29" t="n"/>
      <c r="J806" s="29" t="n"/>
      <c r="K806" s="30">
        <f>IF(B806="","",SUM(G$2:I806)-SUM(J$2:J806))</f>
        <v/>
      </c>
      <c r="L806" s="22">
        <f>IF(B806="","",IF(B806=B805,L805,N(L805)+1))</f>
        <v/>
      </c>
    </row>
    <row r="807">
      <c r="A807" s="22" t="n"/>
      <c r="B807" s="27" t="n"/>
      <c r="C807" s="17" t="n"/>
      <c r="D807" s="17" t="n"/>
      <c r="E807" s="17" t="n"/>
      <c r="F807" s="28" t="n"/>
      <c r="G807" s="29" t="n"/>
      <c r="H807" s="29" t="n"/>
      <c r="I807" s="29" t="n"/>
      <c r="J807" s="29" t="n"/>
      <c r="K807" s="30">
        <f>IF(B807="","",SUM(G$2:I807)-SUM(J$2:J807))</f>
        <v/>
      </c>
      <c r="L807" s="22">
        <f>IF(B807="","",IF(B807=B806,L806,N(L806)+1))</f>
        <v/>
      </c>
    </row>
    <row r="808">
      <c r="A808" s="22" t="n"/>
      <c r="B808" s="27" t="n"/>
      <c r="C808" s="17" t="n"/>
      <c r="D808" s="17" t="n"/>
      <c r="E808" s="17" t="n"/>
      <c r="F808" s="28" t="n"/>
      <c r="G808" s="29" t="n"/>
      <c r="H808" s="29" t="n"/>
      <c r="I808" s="29" t="n"/>
      <c r="J808" s="29" t="n"/>
      <c r="K808" s="30">
        <f>IF(B808="","",SUM(G$2:I808)-SUM(J$2:J808))</f>
        <v/>
      </c>
      <c r="L808" s="22">
        <f>IF(B808="","",IF(B808=B807,L807,N(L807)+1))</f>
        <v/>
      </c>
    </row>
    <row r="809">
      <c r="A809" s="22" t="n"/>
      <c r="B809" s="27" t="n"/>
      <c r="C809" s="17" t="n"/>
      <c r="D809" s="17" t="n"/>
      <c r="E809" s="17" t="n"/>
      <c r="F809" s="28" t="n"/>
      <c r="G809" s="29" t="n"/>
      <c r="H809" s="29" t="n"/>
      <c r="I809" s="29" t="n"/>
      <c r="J809" s="29" t="n"/>
      <c r="K809" s="30">
        <f>IF(B809="","",SUM(G$2:I809)-SUM(J$2:J809))</f>
        <v/>
      </c>
      <c r="L809" s="22">
        <f>IF(B809="","",IF(B809=B808,L808,N(L808)+1))</f>
        <v/>
      </c>
    </row>
    <row r="810">
      <c r="A810" s="22" t="n"/>
      <c r="B810" s="27" t="n"/>
      <c r="C810" s="17" t="n"/>
      <c r="D810" s="17" t="n"/>
      <c r="E810" s="17" t="n"/>
      <c r="F810" s="28" t="n"/>
      <c r="G810" s="29" t="n"/>
      <c r="H810" s="29" t="n"/>
      <c r="I810" s="29" t="n"/>
      <c r="J810" s="29" t="n"/>
      <c r="K810" s="30">
        <f>IF(B810="","",SUM(G$2:I810)-SUM(J$2:J810))</f>
        <v/>
      </c>
      <c r="L810" s="22">
        <f>IF(B810="","",IF(B810=B809,L809,N(L809)+1))</f>
        <v/>
      </c>
    </row>
    <row r="811">
      <c r="A811" s="22" t="n"/>
      <c r="B811" s="27" t="n"/>
      <c r="C811" s="17" t="n"/>
      <c r="D811" s="17" t="n"/>
      <c r="E811" s="17" t="n"/>
      <c r="F811" s="28" t="n"/>
      <c r="G811" s="29" t="n"/>
      <c r="H811" s="29" t="n"/>
      <c r="I811" s="29" t="n"/>
      <c r="J811" s="29" t="n"/>
      <c r="K811" s="30">
        <f>IF(B811="","",SUM(G$2:I811)-SUM(J$2:J811))</f>
        <v/>
      </c>
      <c r="L811" s="22">
        <f>IF(B811="","",IF(B811=B810,L810,N(L810)+1))</f>
        <v/>
      </c>
    </row>
    <row r="812">
      <c r="A812" s="22" t="n"/>
      <c r="B812" s="27" t="n"/>
      <c r="C812" s="17" t="n"/>
      <c r="D812" s="17" t="n"/>
      <c r="E812" s="17" t="n"/>
      <c r="F812" s="28" t="n"/>
      <c r="G812" s="29" t="n"/>
      <c r="H812" s="29" t="n"/>
      <c r="I812" s="29" t="n"/>
      <c r="J812" s="29" t="n"/>
      <c r="K812" s="30">
        <f>IF(B812="","",SUM(G$2:I812)-SUM(J$2:J812))</f>
        <v/>
      </c>
      <c r="L812" s="22">
        <f>IF(B812="","",IF(B812=B811,L811,N(L811)+1))</f>
        <v/>
      </c>
    </row>
    <row r="813">
      <c r="A813" s="22" t="n"/>
      <c r="B813" s="27" t="n"/>
      <c r="C813" s="17" t="n"/>
      <c r="D813" s="17" t="n"/>
      <c r="E813" s="17" t="n"/>
      <c r="F813" s="28" t="n"/>
      <c r="G813" s="29" t="n"/>
      <c r="H813" s="29" t="n"/>
      <c r="I813" s="29" t="n"/>
      <c r="J813" s="29" t="n"/>
      <c r="K813" s="30">
        <f>IF(B813="","",SUM(G$2:I813)-SUM(J$2:J813))</f>
        <v/>
      </c>
      <c r="L813" s="22">
        <f>IF(B813="","",IF(B813=B812,L812,N(L812)+1))</f>
        <v/>
      </c>
    </row>
    <row r="814">
      <c r="A814" s="22" t="n"/>
      <c r="B814" s="27" t="n"/>
      <c r="C814" s="17" t="n"/>
      <c r="D814" s="17" t="n"/>
      <c r="E814" s="17" t="n"/>
      <c r="F814" s="28" t="n"/>
      <c r="G814" s="29" t="n"/>
      <c r="H814" s="29" t="n"/>
      <c r="I814" s="29" t="n"/>
      <c r="J814" s="29" t="n"/>
      <c r="K814" s="30">
        <f>IF(B814="","",SUM(G$2:I814)-SUM(J$2:J814))</f>
        <v/>
      </c>
      <c r="L814" s="22">
        <f>IF(B814="","",IF(B814=B813,L813,N(L813)+1))</f>
        <v/>
      </c>
    </row>
    <row r="815">
      <c r="A815" s="22" t="n"/>
      <c r="B815" s="27" t="n"/>
      <c r="C815" s="17" t="n"/>
      <c r="D815" s="17" t="n"/>
      <c r="E815" s="17" t="n"/>
      <c r="F815" s="28" t="n"/>
      <c r="G815" s="29" t="n"/>
      <c r="H815" s="29" t="n"/>
      <c r="I815" s="29" t="n"/>
      <c r="J815" s="29" t="n"/>
      <c r="K815" s="30">
        <f>IF(B815="","",SUM(G$2:I815)-SUM(J$2:J815))</f>
        <v/>
      </c>
      <c r="L815" s="22">
        <f>IF(B815="","",IF(B815=B814,L814,N(L814)+1))</f>
        <v/>
      </c>
    </row>
    <row r="816">
      <c r="A816" s="22" t="n"/>
      <c r="B816" s="27" t="n"/>
      <c r="C816" s="17" t="n"/>
      <c r="D816" s="17" t="n"/>
      <c r="E816" s="17" t="n"/>
      <c r="F816" s="28" t="n"/>
      <c r="G816" s="29" t="n"/>
      <c r="H816" s="29" t="n"/>
      <c r="I816" s="29" t="n"/>
      <c r="J816" s="29" t="n"/>
      <c r="K816" s="30">
        <f>IF(B816="","",SUM(G$2:I816)-SUM(J$2:J816))</f>
        <v/>
      </c>
      <c r="L816" s="22">
        <f>IF(B816="","",IF(B816=B815,L815,N(L815)+1))</f>
        <v/>
      </c>
    </row>
    <row r="817">
      <c r="A817" s="22" t="n"/>
      <c r="B817" s="27" t="n"/>
      <c r="C817" s="17" t="n"/>
      <c r="D817" s="17" t="n"/>
      <c r="E817" s="17" t="n"/>
      <c r="F817" s="28" t="n"/>
      <c r="G817" s="29" t="n"/>
      <c r="H817" s="29" t="n"/>
      <c r="I817" s="29" t="n"/>
      <c r="J817" s="29" t="n"/>
      <c r="K817" s="30">
        <f>IF(B817="","",SUM(G$2:I817)-SUM(J$2:J817))</f>
        <v/>
      </c>
      <c r="L817" s="22">
        <f>IF(B817="","",IF(B817=B816,L816,N(L816)+1))</f>
        <v/>
      </c>
    </row>
    <row r="818">
      <c r="A818" s="22" t="n"/>
      <c r="B818" s="27" t="n"/>
      <c r="C818" s="17" t="n"/>
      <c r="D818" s="17" t="n"/>
      <c r="E818" s="17" t="n"/>
      <c r="F818" s="28" t="n"/>
      <c r="G818" s="29" t="n"/>
      <c r="H818" s="29" t="n"/>
      <c r="I818" s="29" t="n"/>
      <c r="J818" s="29" t="n"/>
      <c r="K818" s="30">
        <f>IF(B818="","",SUM(G$2:I818)-SUM(J$2:J818))</f>
        <v/>
      </c>
      <c r="L818" s="22">
        <f>IF(B818="","",IF(B818=B817,L817,N(L817)+1))</f>
        <v/>
      </c>
    </row>
    <row r="819">
      <c r="A819" s="22" t="n"/>
      <c r="B819" s="27" t="n"/>
      <c r="C819" s="17" t="n"/>
      <c r="D819" s="17" t="n"/>
      <c r="E819" s="17" t="n"/>
      <c r="F819" s="28" t="n"/>
      <c r="G819" s="29" t="n"/>
      <c r="H819" s="29" t="n"/>
      <c r="I819" s="29" t="n"/>
      <c r="J819" s="29" t="n"/>
      <c r="K819" s="30">
        <f>IF(B819="","",SUM(G$2:I819)-SUM(J$2:J819))</f>
        <v/>
      </c>
      <c r="L819" s="22">
        <f>IF(B819="","",IF(B819=B818,L818,N(L818)+1))</f>
        <v/>
      </c>
    </row>
    <row r="820">
      <c r="A820" s="22" t="n"/>
      <c r="B820" s="27" t="n"/>
      <c r="C820" s="17" t="n"/>
      <c r="D820" s="17" t="n"/>
      <c r="E820" s="17" t="n"/>
      <c r="F820" s="28" t="n"/>
      <c r="G820" s="29" t="n"/>
      <c r="H820" s="29" t="n"/>
      <c r="I820" s="29" t="n"/>
      <c r="J820" s="29" t="n"/>
      <c r="K820" s="30">
        <f>IF(B820="","",SUM(G$2:I820)-SUM(J$2:J820))</f>
        <v/>
      </c>
      <c r="L820" s="22">
        <f>IF(B820="","",IF(B820=B819,L819,N(L819)+1))</f>
        <v/>
      </c>
    </row>
    <row r="821">
      <c r="A821" s="22" t="n"/>
      <c r="B821" s="27" t="n"/>
      <c r="C821" s="17" t="n"/>
      <c r="D821" s="17" t="n"/>
      <c r="E821" s="17" t="n"/>
      <c r="F821" s="28" t="n"/>
      <c r="G821" s="29" t="n"/>
      <c r="H821" s="29" t="n"/>
      <c r="I821" s="29" t="n"/>
      <c r="J821" s="29" t="n"/>
      <c r="K821" s="30">
        <f>IF(B821="","",SUM(G$2:I821)-SUM(J$2:J821))</f>
        <v/>
      </c>
      <c r="L821" s="22">
        <f>IF(B821="","",IF(B821=B820,L820,N(L820)+1))</f>
        <v/>
      </c>
    </row>
    <row r="822">
      <c r="A822" s="22" t="n"/>
      <c r="B822" s="27" t="n"/>
      <c r="C822" s="17" t="n"/>
      <c r="D822" s="17" t="n"/>
      <c r="E822" s="17" t="n"/>
      <c r="F822" s="28" t="n"/>
      <c r="G822" s="29" t="n"/>
      <c r="H822" s="29" t="n"/>
      <c r="I822" s="29" t="n"/>
      <c r="J822" s="29" t="n"/>
      <c r="K822" s="30">
        <f>IF(B822="","",SUM(G$2:I822)-SUM(J$2:J822))</f>
        <v/>
      </c>
      <c r="L822" s="22">
        <f>IF(B822="","",IF(B822=B821,L821,N(L821)+1))</f>
        <v/>
      </c>
    </row>
    <row r="823">
      <c r="A823" s="22" t="n"/>
      <c r="B823" s="27" t="n"/>
      <c r="C823" s="17" t="n"/>
      <c r="D823" s="17" t="n"/>
      <c r="E823" s="17" t="n"/>
      <c r="F823" s="28" t="n"/>
      <c r="G823" s="29" t="n"/>
      <c r="H823" s="29" t="n"/>
      <c r="I823" s="29" t="n"/>
      <c r="J823" s="29" t="n"/>
      <c r="K823" s="30">
        <f>IF(B823="","",SUM(G$2:I823)-SUM(J$2:J823))</f>
        <v/>
      </c>
      <c r="L823" s="22">
        <f>IF(B823="","",IF(B823=B822,L822,N(L822)+1))</f>
        <v/>
      </c>
    </row>
    <row r="824">
      <c r="A824" s="22" t="n"/>
      <c r="B824" s="27" t="n"/>
      <c r="C824" s="17" t="n"/>
      <c r="D824" s="17" t="n"/>
      <c r="E824" s="17" t="n"/>
      <c r="F824" s="28" t="n"/>
      <c r="G824" s="29" t="n"/>
      <c r="H824" s="29" t="n"/>
      <c r="I824" s="29" t="n"/>
      <c r="J824" s="29" t="n"/>
      <c r="K824" s="30">
        <f>IF(B824="","",SUM(G$2:I824)-SUM(J$2:J824))</f>
        <v/>
      </c>
      <c r="L824" s="22">
        <f>IF(B824="","",IF(B824=B823,L823,N(L823)+1))</f>
        <v/>
      </c>
    </row>
    <row r="825">
      <c r="A825" s="22" t="n"/>
      <c r="B825" s="27" t="n"/>
      <c r="C825" s="17" t="n"/>
      <c r="D825" s="17" t="n"/>
      <c r="E825" s="17" t="n"/>
      <c r="F825" s="28" t="n"/>
      <c r="G825" s="29" t="n"/>
      <c r="H825" s="29" t="n"/>
      <c r="I825" s="29" t="n"/>
      <c r="J825" s="29" t="n"/>
      <c r="K825" s="30">
        <f>IF(B825="","",SUM(G$2:I825)-SUM(J$2:J825))</f>
        <v/>
      </c>
      <c r="L825" s="22">
        <f>IF(B825="","",IF(B825=B824,L824,N(L824)+1))</f>
        <v/>
      </c>
    </row>
    <row r="826">
      <c r="A826" s="22" t="n"/>
      <c r="B826" s="27" t="n"/>
      <c r="C826" s="17" t="n"/>
      <c r="D826" s="17" t="n"/>
      <c r="E826" s="17" t="n"/>
      <c r="F826" s="28" t="n"/>
      <c r="G826" s="29" t="n"/>
      <c r="H826" s="29" t="n"/>
      <c r="I826" s="29" t="n"/>
      <c r="J826" s="29" t="n"/>
      <c r="K826" s="30">
        <f>IF(B826="","",SUM(G$2:I826)-SUM(J$2:J826))</f>
        <v/>
      </c>
      <c r="L826" s="22">
        <f>IF(B826="","",IF(B826=B825,L825,N(L825)+1))</f>
        <v/>
      </c>
    </row>
    <row r="827">
      <c r="A827" s="22" t="n"/>
      <c r="B827" s="27" t="n"/>
      <c r="C827" s="17" t="n"/>
      <c r="D827" s="17" t="n"/>
      <c r="E827" s="17" t="n"/>
      <c r="F827" s="28" t="n"/>
      <c r="G827" s="29" t="n"/>
      <c r="H827" s="29" t="n"/>
      <c r="I827" s="29" t="n"/>
      <c r="J827" s="29" t="n"/>
      <c r="K827" s="30">
        <f>IF(B827="","",SUM(G$2:I827)-SUM(J$2:J827))</f>
        <v/>
      </c>
      <c r="L827" s="22">
        <f>IF(B827="","",IF(B827=B826,L826,N(L826)+1))</f>
        <v/>
      </c>
    </row>
    <row r="828">
      <c r="A828" s="22" t="n"/>
      <c r="B828" s="27" t="n"/>
      <c r="C828" s="17" t="n"/>
      <c r="D828" s="17" t="n"/>
      <c r="E828" s="17" t="n"/>
      <c r="F828" s="28" t="n"/>
      <c r="G828" s="29" t="n"/>
      <c r="H828" s="29" t="n"/>
      <c r="I828" s="29" t="n"/>
      <c r="J828" s="29" t="n"/>
      <c r="K828" s="30">
        <f>IF(B828="","",SUM(G$2:I828)-SUM(J$2:J828))</f>
        <v/>
      </c>
      <c r="L828" s="22">
        <f>IF(B828="","",IF(B828=B827,L827,N(L827)+1))</f>
        <v/>
      </c>
    </row>
    <row r="829">
      <c r="A829" s="22" t="n"/>
      <c r="B829" s="27" t="n"/>
      <c r="C829" s="17" t="n"/>
      <c r="D829" s="17" t="n"/>
      <c r="E829" s="17" t="n"/>
      <c r="F829" s="28" t="n"/>
      <c r="G829" s="29" t="n"/>
      <c r="H829" s="29" t="n"/>
      <c r="I829" s="29" t="n"/>
      <c r="J829" s="29" t="n"/>
      <c r="K829" s="30">
        <f>IF(B829="","",SUM(G$2:I829)-SUM(J$2:J829))</f>
        <v/>
      </c>
      <c r="L829" s="22">
        <f>IF(B829="","",IF(B829=B828,L828,N(L828)+1))</f>
        <v/>
      </c>
    </row>
    <row r="830">
      <c r="A830" s="22" t="n"/>
      <c r="B830" s="27" t="n"/>
      <c r="C830" s="17" t="n"/>
      <c r="D830" s="17" t="n"/>
      <c r="E830" s="17" t="n"/>
      <c r="F830" s="28" t="n"/>
      <c r="G830" s="29" t="n"/>
      <c r="H830" s="29" t="n"/>
      <c r="I830" s="29" t="n"/>
      <c r="J830" s="29" t="n"/>
      <c r="K830" s="30">
        <f>IF(B830="","",SUM(G$2:I830)-SUM(J$2:J830))</f>
        <v/>
      </c>
      <c r="L830" s="22">
        <f>IF(B830="","",IF(B830=B829,L829,N(L829)+1))</f>
        <v/>
      </c>
    </row>
    <row r="831">
      <c r="A831" s="22" t="n"/>
      <c r="B831" s="27" t="n"/>
      <c r="C831" s="17" t="n"/>
      <c r="D831" s="17" t="n"/>
      <c r="E831" s="17" t="n"/>
      <c r="F831" s="28" t="n"/>
      <c r="G831" s="29" t="n"/>
      <c r="H831" s="29" t="n"/>
      <c r="I831" s="29" t="n"/>
      <c r="J831" s="29" t="n"/>
      <c r="K831" s="30">
        <f>IF(B831="","",SUM(G$2:I831)-SUM(J$2:J831))</f>
        <v/>
      </c>
      <c r="L831" s="22">
        <f>IF(B831="","",IF(B831=B830,L830,N(L830)+1))</f>
        <v/>
      </c>
    </row>
    <row r="832">
      <c r="A832" s="22" t="n"/>
      <c r="B832" s="27" t="n"/>
      <c r="C832" s="17" t="n"/>
      <c r="D832" s="17" t="n"/>
      <c r="E832" s="17" t="n"/>
      <c r="F832" s="28" t="n"/>
      <c r="G832" s="29" t="n"/>
      <c r="H832" s="29" t="n"/>
      <c r="I832" s="29" t="n"/>
      <c r="J832" s="29" t="n"/>
      <c r="K832" s="30">
        <f>IF(B832="","",SUM(G$2:I832)-SUM(J$2:J832))</f>
        <v/>
      </c>
      <c r="L832" s="22">
        <f>IF(B832="","",IF(B832=B831,L831,N(L831)+1))</f>
        <v/>
      </c>
    </row>
    <row r="833">
      <c r="A833" s="22" t="n"/>
      <c r="B833" s="27" t="n"/>
      <c r="C833" s="17" t="n"/>
      <c r="D833" s="17" t="n"/>
      <c r="E833" s="17" t="n"/>
      <c r="F833" s="28" t="n"/>
      <c r="G833" s="29" t="n"/>
      <c r="H833" s="29" t="n"/>
      <c r="I833" s="29" t="n"/>
      <c r="J833" s="29" t="n"/>
      <c r="K833" s="30">
        <f>IF(B833="","",SUM(G$2:I833)-SUM(J$2:J833))</f>
        <v/>
      </c>
      <c r="L833" s="22">
        <f>IF(B833="","",IF(B833=B832,L832,N(L832)+1))</f>
        <v/>
      </c>
    </row>
    <row r="834">
      <c r="A834" s="22" t="n"/>
      <c r="B834" s="27" t="n"/>
      <c r="C834" s="17" t="n"/>
      <c r="D834" s="17" t="n"/>
      <c r="E834" s="17" t="n"/>
      <c r="F834" s="28" t="n"/>
      <c r="G834" s="29" t="n"/>
      <c r="H834" s="29" t="n"/>
      <c r="I834" s="29" t="n"/>
      <c r="J834" s="29" t="n"/>
      <c r="K834" s="30">
        <f>IF(B834="","",SUM(G$2:I834)-SUM(J$2:J834))</f>
        <v/>
      </c>
      <c r="L834" s="22">
        <f>IF(B834="","",IF(B834=B833,L833,N(L833)+1))</f>
        <v/>
      </c>
    </row>
    <row r="835">
      <c r="A835" s="22" t="n"/>
      <c r="B835" s="27" t="n"/>
      <c r="C835" s="17" t="n"/>
      <c r="D835" s="17" t="n"/>
      <c r="E835" s="17" t="n"/>
      <c r="F835" s="28" t="n"/>
      <c r="G835" s="29" t="n"/>
      <c r="H835" s="29" t="n"/>
      <c r="I835" s="29" t="n"/>
      <c r="J835" s="29" t="n"/>
      <c r="K835" s="30">
        <f>IF(B835="","",SUM(G$2:I835)-SUM(J$2:J835))</f>
        <v/>
      </c>
      <c r="L835" s="22">
        <f>IF(B835="","",IF(B835=B834,L834,N(L834)+1))</f>
        <v/>
      </c>
    </row>
    <row r="836">
      <c r="A836" s="22" t="n"/>
      <c r="B836" s="27" t="n"/>
      <c r="C836" s="17" t="n"/>
      <c r="D836" s="17" t="n"/>
      <c r="E836" s="17" t="n"/>
      <c r="F836" s="28" t="n"/>
      <c r="G836" s="29" t="n"/>
      <c r="H836" s="29" t="n"/>
      <c r="I836" s="29" t="n"/>
      <c r="J836" s="29" t="n"/>
      <c r="K836" s="30">
        <f>IF(B836="","",SUM(G$2:I836)-SUM(J$2:J836))</f>
        <v/>
      </c>
      <c r="L836" s="22">
        <f>IF(B836="","",IF(B836=B835,L835,N(L835)+1))</f>
        <v/>
      </c>
    </row>
    <row r="837">
      <c r="A837" s="22" t="n"/>
      <c r="B837" s="27" t="n"/>
      <c r="C837" s="17" t="n"/>
      <c r="D837" s="17" t="n"/>
      <c r="E837" s="17" t="n"/>
      <c r="F837" s="28" t="n"/>
      <c r="G837" s="29" t="n"/>
      <c r="H837" s="29" t="n"/>
      <c r="I837" s="29" t="n"/>
      <c r="J837" s="29" t="n"/>
      <c r="K837" s="30">
        <f>IF(B837="","",SUM(G$2:I837)-SUM(J$2:J837))</f>
        <v/>
      </c>
      <c r="L837" s="22">
        <f>IF(B837="","",IF(B837=B836,L836,N(L836)+1))</f>
        <v/>
      </c>
    </row>
    <row r="838">
      <c r="A838" s="22" t="n"/>
      <c r="B838" s="27" t="n"/>
      <c r="C838" s="17" t="n"/>
      <c r="D838" s="17" t="n"/>
      <c r="E838" s="17" t="n"/>
      <c r="F838" s="28" t="n"/>
      <c r="G838" s="29" t="n"/>
      <c r="H838" s="29" t="n"/>
      <c r="I838" s="29" t="n"/>
      <c r="J838" s="29" t="n"/>
      <c r="K838" s="30">
        <f>IF(B838="","",SUM(G$2:I838)-SUM(J$2:J838))</f>
        <v/>
      </c>
      <c r="L838" s="22">
        <f>IF(B838="","",IF(B838=B837,L837,N(L837)+1))</f>
        <v/>
      </c>
    </row>
    <row r="839">
      <c r="A839" s="22" t="n"/>
      <c r="B839" s="27" t="n"/>
      <c r="C839" s="17" t="n"/>
      <c r="D839" s="17" t="n"/>
      <c r="E839" s="17" t="n"/>
      <c r="F839" s="28" t="n"/>
      <c r="G839" s="29" t="n"/>
      <c r="H839" s="29" t="n"/>
      <c r="I839" s="29" t="n"/>
      <c r="J839" s="29" t="n"/>
      <c r="K839" s="30">
        <f>IF(B839="","",SUM(G$2:I839)-SUM(J$2:J839))</f>
        <v/>
      </c>
      <c r="L839" s="22">
        <f>IF(B839="","",IF(B839=B838,L838,N(L838)+1))</f>
        <v/>
      </c>
    </row>
    <row r="840">
      <c r="A840" s="22" t="n"/>
      <c r="B840" s="27" t="n"/>
      <c r="C840" s="17" t="n"/>
      <c r="D840" s="17" t="n"/>
      <c r="E840" s="17" t="n"/>
      <c r="F840" s="28" t="n"/>
      <c r="G840" s="29" t="n"/>
      <c r="H840" s="29" t="n"/>
      <c r="I840" s="29" t="n"/>
      <c r="J840" s="29" t="n"/>
      <c r="K840" s="30">
        <f>IF(B840="","",SUM(G$2:I840)-SUM(J$2:J840))</f>
        <v/>
      </c>
      <c r="L840" s="22">
        <f>IF(B840="","",IF(B840=B839,L839,N(L839)+1))</f>
        <v/>
      </c>
    </row>
    <row r="841">
      <c r="A841" s="22" t="n"/>
      <c r="B841" s="27" t="n"/>
      <c r="C841" s="17" t="n"/>
      <c r="D841" s="17" t="n"/>
      <c r="E841" s="17" t="n"/>
      <c r="F841" s="28" t="n"/>
      <c r="G841" s="29" t="n"/>
      <c r="H841" s="29" t="n"/>
      <c r="I841" s="29" t="n"/>
      <c r="J841" s="29" t="n"/>
      <c r="K841" s="30">
        <f>IF(B841="","",SUM(G$2:I841)-SUM(J$2:J841))</f>
        <v/>
      </c>
      <c r="L841" s="22">
        <f>IF(B841="","",IF(B841=B840,L840,N(L840)+1))</f>
        <v/>
      </c>
    </row>
    <row r="842">
      <c r="A842" s="22" t="n"/>
      <c r="B842" s="27" t="n"/>
      <c r="C842" s="17" t="n"/>
      <c r="D842" s="17" t="n"/>
      <c r="E842" s="17" t="n"/>
      <c r="F842" s="28" t="n"/>
      <c r="G842" s="29" t="n"/>
      <c r="H842" s="29" t="n"/>
      <c r="I842" s="29" t="n"/>
      <c r="J842" s="29" t="n"/>
      <c r="K842" s="30">
        <f>IF(B842="","",SUM(G$2:I842)-SUM(J$2:J842))</f>
        <v/>
      </c>
      <c r="L842" s="22">
        <f>IF(B842="","",IF(B842=B841,L841,N(L841)+1))</f>
        <v/>
      </c>
    </row>
    <row r="843">
      <c r="A843" s="22" t="n"/>
      <c r="B843" s="27" t="n"/>
      <c r="C843" s="17" t="n"/>
      <c r="D843" s="17" t="n"/>
      <c r="E843" s="17" t="n"/>
      <c r="F843" s="28" t="n"/>
      <c r="G843" s="29" t="n"/>
      <c r="H843" s="29" t="n"/>
      <c r="I843" s="29" t="n"/>
      <c r="J843" s="29" t="n"/>
      <c r="K843" s="30">
        <f>IF(B843="","",SUM(G$2:I843)-SUM(J$2:J843))</f>
        <v/>
      </c>
      <c r="L843" s="22">
        <f>IF(B843="","",IF(B843=B842,L842,N(L842)+1))</f>
        <v/>
      </c>
    </row>
    <row r="844">
      <c r="A844" s="22" t="n"/>
      <c r="B844" s="27" t="n"/>
      <c r="C844" s="17" t="n"/>
      <c r="D844" s="17" t="n"/>
      <c r="E844" s="17" t="n"/>
      <c r="F844" s="28" t="n"/>
      <c r="G844" s="29" t="n"/>
      <c r="H844" s="29" t="n"/>
      <c r="I844" s="29" t="n"/>
      <c r="J844" s="29" t="n"/>
      <c r="K844" s="30">
        <f>IF(B844="","",SUM(G$2:I844)-SUM(J$2:J844))</f>
        <v/>
      </c>
      <c r="L844" s="22">
        <f>IF(B844="","",IF(B844=B843,L843,N(L843)+1))</f>
        <v/>
      </c>
    </row>
    <row r="845">
      <c r="A845" s="22" t="n"/>
      <c r="B845" s="27" t="n"/>
      <c r="C845" s="17" t="n"/>
      <c r="D845" s="17" t="n"/>
      <c r="E845" s="17" t="n"/>
      <c r="F845" s="28" t="n"/>
      <c r="G845" s="29" t="n"/>
      <c r="H845" s="29" t="n"/>
      <c r="I845" s="29" t="n"/>
      <c r="J845" s="29" t="n"/>
      <c r="K845" s="30">
        <f>IF(B845="","",SUM(G$2:I845)-SUM(J$2:J845))</f>
        <v/>
      </c>
      <c r="L845" s="22">
        <f>IF(B845="","",IF(B845=B844,L844,N(L844)+1))</f>
        <v/>
      </c>
    </row>
    <row r="846">
      <c r="A846" s="22" t="n"/>
      <c r="B846" s="27" t="n"/>
      <c r="C846" s="17" t="n"/>
      <c r="D846" s="17" t="n"/>
      <c r="E846" s="17" t="n"/>
      <c r="F846" s="28" t="n"/>
      <c r="G846" s="29" t="n"/>
      <c r="H846" s="29" t="n"/>
      <c r="I846" s="29" t="n"/>
      <c r="J846" s="29" t="n"/>
      <c r="K846" s="30">
        <f>IF(B846="","",SUM(G$2:I846)-SUM(J$2:J846))</f>
        <v/>
      </c>
      <c r="L846" s="22">
        <f>IF(B846="","",IF(B846=B845,L845,N(L845)+1))</f>
        <v/>
      </c>
    </row>
    <row r="847">
      <c r="A847" s="22" t="n"/>
      <c r="B847" s="27" t="n"/>
      <c r="C847" s="17" t="n"/>
      <c r="D847" s="17" t="n"/>
      <c r="E847" s="17" t="n"/>
      <c r="F847" s="28" t="n"/>
      <c r="G847" s="29" t="n"/>
      <c r="H847" s="29" t="n"/>
      <c r="I847" s="29" t="n"/>
      <c r="J847" s="29" t="n"/>
      <c r="K847" s="30">
        <f>IF(B847="","",SUM(G$2:I847)-SUM(J$2:J847))</f>
        <v/>
      </c>
      <c r="L847" s="22">
        <f>IF(B847="","",IF(B847=B846,L846,N(L846)+1))</f>
        <v/>
      </c>
    </row>
    <row r="848">
      <c r="A848" s="22" t="n"/>
      <c r="B848" s="27" t="n"/>
      <c r="C848" s="17" t="n"/>
      <c r="D848" s="17" t="n"/>
      <c r="E848" s="17" t="n"/>
      <c r="F848" s="28" t="n"/>
      <c r="G848" s="29" t="n"/>
      <c r="H848" s="29" t="n"/>
      <c r="I848" s="29" t="n"/>
      <c r="J848" s="29" t="n"/>
      <c r="K848" s="30">
        <f>IF(B848="","",SUM(G$2:I848)-SUM(J$2:J848))</f>
        <v/>
      </c>
      <c r="L848" s="22">
        <f>IF(B848="","",IF(B848=B847,L847,N(L847)+1))</f>
        <v/>
      </c>
    </row>
    <row r="849">
      <c r="A849" s="22" t="n"/>
      <c r="B849" s="27" t="n"/>
      <c r="C849" s="17" t="n"/>
      <c r="D849" s="17" t="n"/>
      <c r="E849" s="17" t="n"/>
      <c r="F849" s="28" t="n"/>
      <c r="G849" s="29" t="n"/>
      <c r="H849" s="29" t="n"/>
      <c r="I849" s="29" t="n"/>
      <c r="J849" s="29" t="n"/>
      <c r="K849" s="30">
        <f>IF(B849="","",SUM(G$2:I849)-SUM(J$2:J849))</f>
        <v/>
      </c>
      <c r="L849" s="22">
        <f>IF(B849="","",IF(B849=B848,L848,N(L848)+1))</f>
        <v/>
      </c>
    </row>
    <row r="850">
      <c r="A850" s="22" t="n"/>
      <c r="B850" s="27" t="n"/>
      <c r="C850" s="17" t="n"/>
      <c r="D850" s="17" t="n"/>
      <c r="E850" s="17" t="n"/>
      <c r="F850" s="28" t="n"/>
      <c r="G850" s="29" t="n"/>
      <c r="H850" s="29" t="n"/>
      <c r="I850" s="29" t="n"/>
      <c r="J850" s="29" t="n"/>
      <c r="K850" s="30">
        <f>IF(B850="","",SUM(G$2:I850)-SUM(J$2:J850))</f>
        <v/>
      </c>
      <c r="L850" s="22">
        <f>IF(B850="","",IF(B850=B849,L849,N(L849)+1))</f>
        <v/>
      </c>
    </row>
    <row r="851">
      <c r="A851" s="22" t="n"/>
      <c r="B851" s="27" t="n"/>
      <c r="C851" s="17" t="n"/>
      <c r="D851" s="17" t="n"/>
      <c r="E851" s="17" t="n"/>
      <c r="F851" s="28" t="n"/>
      <c r="G851" s="29" t="n"/>
      <c r="H851" s="29" t="n"/>
      <c r="I851" s="29" t="n"/>
      <c r="J851" s="29" t="n"/>
      <c r="K851" s="30">
        <f>IF(B851="","",SUM(G$2:I851)-SUM(J$2:J851))</f>
        <v/>
      </c>
      <c r="L851" s="22">
        <f>IF(B851="","",IF(B851=B850,L850,N(L850)+1))</f>
        <v/>
      </c>
    </row>
    <row r="852">
      <c r="A852" s="22" t="n"/>
      <c r="B852" s="27" t="n"/>
      <c r="C852" s="17" t="n"/>
      <c r="D852" s="17" t="n"/>
      <c r="E852" s="17" t="n"/>
      <c r="F852" s="28" t="n"/>
      <c r="G852" s="29" t="n"/>
      <c r="H852" s="29" t="n"/>
      <c r="I852" s="29" t="n"/>
      <c r="J852" s="29" t="n"/>
      <c r="K852" s="30">
        <f>IF(B852="","",SUM(G$2:I852)-SUM(J$2:J852))</f>
        <v/>
      </c>
      <c r="L852" s="22">
        <f>IF(B852="","",IF(B852=B851,L851,N(L851)+1))</f>
        <v/>
      </c>
    </row>
    <row r="853">
      <c r="A853" s="22" t="n"/>
      <c r="B853" s="27" t="n"/>
      <c r="C853" s="17" t="n"/>
      <c r="D853" s="17" t="n"/>
      <c r="E853" s="17" t="n"/>
      <c r="F853" s="28" t="n"/>
      <c r="G853" s="29" t="n"/>
      <c r="H853" s="29" t="n"/>
      <c r="I853" s="29" t="n"/>
      <c r="J853" s="29" t="n"/>
      <c r="K853" s="30">
        <f>IF(B853="","",SUM(G$2:I853)-SUM(J$2:J853))</f>
        <v/>
      </c>
      <c r="L853" s="22">
        <f>IF(B853="","",IF(B853=B852,L852,N(L852)+1))</f>
        <v/>
      </c>
    </row>
    <row r="854">
      <c r="A854" s="22" t="n"/>
      <c r="B854" s="27" t="n"/>
      <c r="C854" s="17" t="n"/>
      <c r="D854" s="17" t="n"/>
      <c r="E854" s="17" t="n"/>
      <c r="F854" s="28" t="n"/>
      <c r="G854" s="29" t="n"/>
      <c r="H854" s="29" t="n"/>
      <c r="I854" s="29" t="n"/>
      <c r="J854" s="29" t="n"/>
      <c r="K854" s="30">
        <f>IF(B854="","",SUM(G$2:I854)-SUM(J$2:J854))</f>
        <v/>
      </c>
      <c r="L854" s="22">
        <f>IF(B854="","",IF(B854=B853,L853,N(L853)+1))</f>
        <v/>
      </c>
    </row>
    <row r="855">
      <c r="A855" s="22" t="n"/>
      <c r="B855" s="27" t="n"/>
      <c r="C855" s="17" t="n"/>
      <c r="D855" s="17" t="n"/>
      <c r="E855" s="17" t="n"/>
      <c r="F855" s="28" t="n"/>
      <c r="G855" s="29" t="n"/>
      <c r="H855" s="29" t="n"/>
      <c r="I855" s="29" t="n"/>
      <c r="J855" s="29" t="n"/>
      <c r="K855" s="30">
        <f>IF(B855="","",SUM(G$2:I855)-SUM(J$2:J855))</f>
        <v/>
      </c>
      <c r="L855" s="22">
        <f>IF(B855="","",IF(B855=B854,L854,N(L854)+1))</f>
        <v/>
      </c>
    </row>
    <row r="856">
      <c r="A856" s="22" t="n"/>
      <c r="B856" s="27" t="n"/>
      <c r="C856" s="17" t="n"/>
      <c r="D856" s="17" t="n"/>
      <c r="E856" s="17" t="n"/>
      <c r="F856" s="28" t="n"/>
      <c r="G856" s="29" t="n"/>
      <c r="H856" s="29" t="n"/>
      <c r="I856" s="29" t="n"/>
      <c r="J856" s="29" t="n"/>
      <c r="K856" s="30">
        <f>IF(B856="","",SUM(G$2:I856)-SUM(J$2:J856))</f>
        <v/>
      </c>
      <c r="L856" s="22">
        <f>IF(B856="","",IF(B856=B855,L855,N(L855)+1))</f>
        <v/>
      </c>
    </row>
    <row r="857">
      <c r="A857" s="22" t="n"/>
      <c r="B857" s="27" t="n"/>
      <c r="C857" s="17" t="n"/>
      <c r="D857" s="17" t="n"/>
      <c r="E857" s="17" t="n"/>
      <c r="F857" s="28" t="n"/>
      <c r="G857" s="29" t="n"/>
      <c r="H857" s="29" t="n"/>
      <c r="I857" s="29" t="n"/>
      <c r="J857" s="29" t="n"/>
      <c r="K857" s="30">
        <f>IF(B857="","",SUM(G$2:I857)-SUM(J$2:J857))</f>
        <v/>
      </c>
      <c r="L857" s="22">
        <f>IF(B857="","",IF(B857=B856,L856,N(L856)+1))</f>
        <v/>
      </c>
    </row>
    <row r="858">
      <c r="A858" s="22" t="n"/>
      <c r="B858" s="27" t="n"/>
      <c r="C858" s="17" t="n"/>
      <c r="D858" s="17" t="n"/>
      <c r="E858" s="17" t="n"/>
      <c r="F858" s="28" t="n"/>
      <c r="G858" s="29" t="n"/>
      <c r="H858" s="29" t="n"/>
      <c r="I858" s="29" t="n"/>
      <c r="J858" s="29" t="n"/>
      <c r="K858" s="30">
        <f>IF(B858="","",SUM(G$2:I858)-SUM(J$2:J858))</f>
        <v/>
      </c>
      <c r="L858" s="22">
        <f>IF(B858="","",IF(B858=B857,L857,N(L857)+1))</f>
        <v/>
      </c>
    </row>
    <row r="859">
      <c r="A859" s="22" t="n"/>
      <c r="B859" s="27" t="n"/>
      <c r="C859" s="17" t="n"/>
      <c r="D859" s="17" t="n"/>
      <c r="E859" s="17" t="n"/>
      <c r="F859" s="28" t="n"/>
      <c r="G859" s="29" t="n"/>
      <c r="H859" s="29" t="n"/>
      <c r="I859" s="29" t="n"/>
      <c r="J859" s="29" t="n"/>
      <c r="K859" s="30">
        <f>IF(B859="","",SUM(G$2:I859)-SUM(J$2:J859))</f>
        <v/>
      </c>
      <c r="L859" s="22">
        <f>IF(B859="","",IF(B859=B858,L858,N(L858)+1))</f>
        <v/>
      </c>
    </row>
    <row r="860">
      <c r="A860" s="22" t="n"/>
      <c r="B860" s="27" t="n"/>
      <c r="C860" s="17" t="n"/>
      <c r="D860" s="17" t="n"/>
      <c r="E860" s="17" t="n"/>
      <c r="F860" s="28" t="n"/>
      <c r="G860" s="29" t="n"/>
      <c r="H860" s="29" t="n"/>
      <c r="I860" s="29" t="n"/>
      <c r="J860" s="29" t="n"/>
      <c r="K860" s="30">
        <f>IF(B860="","",SUM(G$2:I860)-SUM(J$2:J860))</f>
        <v/>
      </c>
      <c r="L860" s="22">
        <f>IF(B860="","",IF(B860=B859,L859,N(L859)+1))</f>
        <v/>
      </c>
    </row>
    <row r="861">
      <c r="A861" s="22" t="n"/>
      <c r="B861" s="27" t="n"/>
      <c r="C861" s="17" t="n"/>
      <c r="D861" s="17" t="n"/>
      <c r="E861" s="17" t="n"/>
      <c r="F861" s="28" t="n"/>
      <c r="G861" s="29" t="n"/>
      <c r="H861" s="29" t="n"/>
      <c r="I861" s="29" t="n"/>
      <c r="J861" s="29" t="n"/>
      <c r="K861" s="30">
        <f>IF(B861="","",SUM(G$2:I861)-SUM(J$2:J861))</f>
        <v/>
      </c>
      <c r="L861" s="22">
        <f>IF(B861="","",IF(B861=B860,L860,N(L860)+1))</f>
        <v/>
      </c>
    </row>
    <row r="862">
      <c r="A862" s="22" t="n"/>
      <c r="B862" s="27" t="n"/>
      <c r="C862" s="17" t="n"/>
      <c r="D862" s="17" t="n"/>
      <c r="E862" s="17" t="n"/>
      <c r="F862" s="28" t="n"/>
      <c r="G862" s="29" t="n"/>
      <c r="H862" s="29" t="n"/>
      <c r="I862" s="29" t="n"/>
      <c r="J862" s="29" t="n"/>
      <c r="K862" s="30">
        <f>IF(B862="","",SUM(G$2:I862)-SUM(J$2:J862))</f>
        <v/>
      </c>
      <c r="L862" s="22">
        <f>IF(B862="","",IF(B862=B861,L861,N(L861)+1))</f>
        <v/>
      </c>
    </row>
    <row r="863">
      <c r="A863" s="22" t="n"/>
      <c r="B863" s="27" t="n"/>
      <c r="C863" s="17" t="n"/>
      <c r="D863" s="17" t="n"/>
      <c r="E863" s="17" t="n"/>
      <c r="F863" s="28" t="n"/>
      <c r="G863" s="29" t="n"/>
      <c r="H863" s="29" t="n"/>
      <c r="I863" s="29" t="n"/>
      <c r="J863" s="29" t="n"/>
      <c r="K863" s="30">
        <f>IF(B863="","",SUM(G$2:I863)-SUM(J$2:J863))</f>
        <v/>
      </c>
      <c r="L863" s="22">
        <f>IF(B863="","",IF(B863=B862,L862,N(L862)+1))</f>
        <v/>
      </c>
    </row>
    <row r="864">
      <c r="A864" s="22" t="n"/>
      <c r="B864" s="27" t="n"/>
      <c r="C864" s="17" t="n"/>
      <c r="D864" s="17" t="n"/>
      <c r="E864" s="17" t="n"/>
      <c r="F864" s="28" t="n"/>
      <c r="G864" s="29" t="n"/>
      <c r="H864" s="29" t="n"/>
      <c r="I864" s="29" t="n"/>
      <c r="J864" s="29" t="n"/>
      <c r="K864" s="30">
        <f>IF(B864="","",SUM(G$2:I864)-SUM(J$2:J864))</f>
        <v/>
      </c>
      <c r="L864" s="22">
        <f>IF(B864="","",IF(B864=B863,L863,N(L863)+1))</f>
        <v/>
      </c>
    </row>
    <row r="865">
      <c r="A865" s="22" t="n"/>
      <c r="B865" s="27" t="n"/>
      <c r="C865" s="17" t="n"/>
      <c r="D865" s="17" t="n"/>
      <c r="E865" s="17" t="n"/>
      <c r="F865" s="28" t="n"/>
      <c r="G865" s="29" t="n"/>
      <c r="H865" s="29" t="n"/>
      <c r="I865" s="29" t="n"/>
      <c r="J865" s="29" t="n"/>
      <c r="K865" s="30">
        <f>IF(B865="","",SUM(G$2:I865)-SUM(J$2:J865))</f>
        <v/>
      </c>
      <c r="L865" s="22">
        <f>IF(B865="","",IF(B865=B864,L864,N(L864)+1))</f>
        <v/>
      </c>
    </row>
    <row r="866">
      <c r="A866" s="22" t="n"/>
      <c r="B866" s="27" t="n"/>
      <c r="C866" s="17" t="n"/>
      <c r="D866" s="17" t="n"/>
      <c r="E866" s="17" t="n"/>
      <c r="F866" s="28" t="n"/>
      <c r="G866" s="29" t="n"/>
      <c r="H866" s="29" t="n"/>
      <c r="I866" s="29" t="n"/>
      <c r="J866" s="29" t="n"/>
      <c r="K866" s="30">
        <f>IF(B866="","",SUM(G$2:I866)-SUM(J$2:J866))</f>
        <v/>
      </c>
      <c r="L866" s="22">
        <f>IF(B866="","",IF(B866=B865,L865,N(L865)+1))</f>
        <v/>
      </c>
    </row>
    <row r="867">
      <c r="A867" s="22" t="n"/>
      <c r="B867" s="27" t="n"/>
      <c r="C867" s="17" t="n"/>
      <c r="D867" s="17" t="n"/>
      <c r="E867" s="17" t="n"/>
      <c r="F867" s="28" t="n"/>
      <c r="G867" s="29" t="n"/>
      <c r="H867" s="29" t="n"/>
      <c r="I867" s="29" t="n"/>
      <c r="J867" s="29" t="n"/>
      <c r="K867" s="30">
        <f>IF(B867="","",SUM(G$2:I867)-SUM(J$2:J867))</f>
        <v/>
      </c>
      <c r="L867" s="22">
        <f>IF(B867="","",IF(B867=B866,L866,N(L866)+1))</f>
        <v/>
      </c>
    </row>
    <row r="868">
      <c r="A868" s="22" t="n"/>
      <c r="B868" s="27" t="n"/>
      <c r="C868" s="17" t="n"/>
      <c r="D868" s="17" t="n"/>
      <c r="E868" s="17" t="n"/>
      <c r="F868" s="28" t="n"/>
      <c r="G868" s="29" t="n"/>
      <c r="H868" s="29" t="n"/>
      <c r="I868" s="29" t="n"/>
      <c r="J868" s="29" t="n"/>
      <c r="K868" s="30">
        <f>IF(B868="","",SUM(G$2:I868)-SUM(J$2:J868))</f>
        <v/>
      </c>
      <c r="L868" s="22">
        <f>IF(B868="","",IF(B868=B867,L867,N(L867)+1))</f>
        <v/>
      </c>
    </row>
    <row r="869">
      <c r="A869" s="22" t="n"/>
      <c r="B869" s="27" t="n"/>
      <c r="C869" s="17" t="n"/>
      <c r="D869" s="17" t="n"/>
      <c r="E869" s="17" t="n"/>
      <c r="F869" s="28" t="n"/>
      <c r="G869" s="29" t="n"/>
      <c r="H869" s="29" t="n"/>
      <c r="I869" s="29" t="n"/>
      <c r="J869" s="29" t="n"/>
      <c r="K869" s="30">
        <f>IF(B869="","",SUM(G$2:I869)-SUM(J$2:J869))</f>
        <v/>
      </c>
      <c r="L869" s="22">
        <f>IF(B869="","",IF(B869=B868,L868,N(L868)+1))</f>
        <v/>
      </c>
    </row>
    <row r="870">
      <c r="A870" s="22" t="n"/>
      <c r="B870" s="27" t="n"/>
      <c r="C870" s="17" t="n"/>
      <c r="D870" s="17" t="n"/>
      <c r="E870" s="17" t="n"/>
      <c r="F870" s="28" t="n"/>
      <c r="G870" s="29" t="n"/>
      <c r="H870" s="29" t="n"/>
      <c r="I870" s="29" t="n"/>
      <c r="J870" s="29" t="n"/>
      <c r="K870" s="30">
        <f>IF(B870="","",SUM(G$2:I870)-SUM(J$2:J870))</f>
        <v/>
      </c>
      <c r="L870" s="22">
        <f>IF(B870="","",IF(B870=B869,L869,N(L869)+1))</f>
        <v/>
      </c>
    </row>
    <row r="871">
      <c r="A871" s="22" t="n"/>
      <c r="B871" s="27" t="n"/>
      <c r="C871" s="17" t="n"/>
      <c r="D871" s="17" t="n"/>
      <c r="E871" s="17" t="n"/>
      <c r="F871" s="28" t="n"/>
      <c r="G871" s="29" t="n"/>
      <c r="H871" s="29" t="n"/>
      <c r="I871" s="29" t="n"/>
      <c r="J871" s="29" t="n"/>
      <c r="K871" s="30">
        <f>IF(B871="","",SUM(G$2:I871)-SUM(J$2:J871))</f>
        <v/>
      </c>
      <c r="L871" s="22">
        <f>IF(B871="","",IF(B871=B870,L870,N(L870)+1))</f>
        <v/>
      </c>
    </row>
    <row r="872">
      <c r="A872" s="22" t="n"/>
      <c r="B872" s="27" t="n"/>
      <c r="C872" s="17" t="n"/>
      <c r="D872" s="17" t="n"/>
      <c r="E872" s="17" t="n"/>
      <c r="F872" s="28" t="n"/>
      <c r="G872" s="29" t="n"/>
      <c r="H872" s="29" t="n"/>
      <c r="I872" s="29" t="n"/>
      <c r="J872" s="29" t="n"/>
      <c r="K872" s="30">
        <f>IF(B872="","",SUM(G$2:I872)-SUM(J$2:J872))</f>
        <v/>
      </c>
      <c r="L872" s="22">
        <f>IF(B872="","",IF(B872=B871,L871,N(L871)+1))</f>
        <v/>
      </c>
    </row>
    <row r="873">
      <c r="A873" s="22" t="n"/>
      <c r="B873" s="27" t="n"/>
      <c r="C873" s="17" t="n"/>
      <c r="D873" s="17" t="n"/>
      <c r="E873" s="17" t="n"/>
      <c r="F873" s="28" t="n"/>
      <c r="G873" s="29" t="n"/>
      <c r="H873" s="29" t="n"/>
      <c r="I873" s="29" t="n"/>
      <c r="J873" s="29" t="n"/>
      <c r="K873" s="30">
        <f>IF(B873="","",SUM(G$2:I873)-SUM(J$2:J873))</f>
        <v/>
      </c>
      <c r="L873" s="22">
        <f>IF(B873="","",IF(B873=B872,L872,N(L872)+1))</f>
        <v/>
      </c>
    </row>
    <row r="874">
      <c r="A874" s="22" t="n"/>
      <c r="B874" s="27" t="n"/>
      <c r="C874" s="17" t="n"/>
      <c r="D874" s="17" t="n"/>
      <c r="E874" s="17" t="n"/>
      <c r="F874" s="28" t="n"/>
      <c r="G874" s="29" t="n"/>
      <c r="H874" s="29" t="n"/>
      <c r="I874" s="29" t="n"/>
      <c r="J874" s="29" t="n"/>
      <c r="K874" s="30">
        <f>IF(B874="","",SUM(G$2:I874)-SUM(J$2:J874))</f>
        <v/>
      </c>
      <c r="L874" s="22">
        <f>IF(B874="","",IF(B874=B873,L873,N(L873)+1))</f>
        <v/>
      </c>
    </row>
    <row r="875">
      <c r="A875" s="22" t="n"/>
      <c r="B875" s="27" t="n"/>
      <c r="C875" s="17" t="n"/>
      <c r="D875" s="17" t="n"/>
      <c r="E875" s="17" t="n"/>
      <c r="F875" s="28" t="n"/>
      <c r="G875" s="29" t="n"/>
      <c r="H875" s="29" t="n"/>
      <c r="I875" s="29" t="n"/>
      <c r="J875" s="29" t="n"/>
      <c r="K875" s="30">
        <f>IF(B875="","",SUM(G$2:I875)-SUM(J$2:J875))</f>
        <v/>
      </c>
      <c r="L875" s="22">
        <f>IF(B875="","",IF(B875=B874,L874,N(L874)+1))</f>
        <v/>
      </c>
    </row>
    <row r="876">
      <c r="A876" s="22" t="n"/>
      <c r="B876" s="27" t="n"/>
      <c r="C876" s="17" t="n"/>
      <c r="D876" s="17" t="n"/>
      <c r="E876" s="17" t="n"/>
      <c r="F876" s="28" t="n"/>
      <c r="G876" s="29" t="n"/>
      <c r="H876" s="29" t="n"/>
      <c r="I876" s="29" t="n"/>
      <c r="J876" s="29" t="n"/>
      <c r="K876" s="30">
        <f>IF(B876="","",SUM(G$2:I876)-SUM(J$2:J876))</f>
        <v/>
      </c>
      <c r="L876" s="22">
        <f>IF(B876="","",IF(B876=B875,L875,N(L875)+1))</f>
        <v/>
      </c>
    </row>
    <row r="877">
      <c r="A877" s="22" t="n"/>
      <c r="B877" s="27" t="n"/>
      <c r="C877" s="17" t="n"/>
      <c r="D877" s="17" t="n"/>
      <c r="E877" s="17" t="n"/>
      <c r="F877" s="28" t="n"/>
      <c r="G877" s="29" t="n"/>
      <c r="H877" s="29" t="n"/>
      <c r="I877" s="29" t="n"/>
      <c r="J877" s="29" t="n"/>
      <c r="K877" s="30">
        <f>IF(B877="","",SUM(G$2:I877)-SUM(J$2:J877))</f>
        <v/>
      </c>
      <c r="L877" s="22">
        <f>IF(B877="","",IF(B877=B876,L876,N(L876)+1))</f>
        <v/>
      </c>
    </row>
    <row r="878">
      <c r="A878" s="22" t="n"/>
      <c r="B878" s="27" t="n"/>
      <c r="C878" s="17" t="n"/>
      <c r="D878" s="17" t="n"/>
      <c r="E878" s="17" t="n"/>
      <c r="F878" s="28" t="n"/>
      <c r="G878" s="29" t="n"/>
      <c r="H878" s="29" t="n"/>
      <c r="I878" s="29" t="n"/>
      <c r="J878" s="29" t="n"/>
      <c r="K878" s="30">
        <f>IF(B878="","",SUM(G$2:I878)-SUM(J$2:J878))</f>
        <v/>
      </c>
      <c r="L878" s="22">
        <f>IF(B878="","",IF(B878=B877,L877,N(L877)+1))</f>
        <v/>
      </c>
    </row>
    <row r="879">
      <c r="A879" s="22" t="n"/>
      <c r="B879" s="27" t="n"/>
      <c r="C879" s="17" t="n"/>
      <c r="D879" s="17" t="n"/>
      <c r="E879" s="17" t="n"/>
      <c r="F879" s="28" t="n"/>
      <c r="G879" s="29" t="n"/>
      <c r="H879" s="29" t="n"/>
      <c r="I879" s="29" t="n"/>
      <c r="J879" s="29" t="n"/>
      <c r="K879" s="30">
        <f>IF(B879="","",SUM(G$2:I879)-SUM(J$2:J879))</f>
        <v/>
      </c>
      <c r="L879" s="22">
        <f>IF(B879="","",IF(B879=B878,L878,N(L878)+1))</f>
        <v/>
      </c>
    </row>
    <row r="880">
      <c r="A880" s="22" t="n"/>
      <c r="B880" s="27" t="n"/>
      <c r="C880" s="17" t="n"/>
      <c r="D880" s="17" t="n"/>
      <c r="E880" s="17" t="n"/>
      <c r="F880" s="28" t="n"/>
      <c r="G880" s="29" t="n"/>
      <c r="H880" s="29" t="n"/>
      <c r="I880" s="29" t="n"/>
      <c r="J880" s="29" t="n"/>
      <c r="K880" s="30">
        <f>IF(B880="","",SUM(G$2:I880)-SUM(J$2:J880))</f>
        <v/>
      </c>
      <c r="L880" s="22">
        <f>IF(B880="","",IF(B880=B879,L879,N(L879)+1))</f>
        <v/>
      </c>
    </row>
    <row r="881">
      <c r="A881" s="22" t="n"/>
      <c r="B881" s="27" t="n"/>
      <c r="C881" s="17" t="n"/>
      <c r="D881" s="17" t="n"/>
      <c r="E881" s="17" t="n"/>
      <c r="F881" s="28" t="n"/>
      <c r="G881" s="29" t="n"/>
      <c r="H881" s="29" t="n"/>
      <c r="I881" s="29" t="n"/>
      <c r="J881" s="29" t="n"/>
      <c r="K881" s="30">
        <f>IF(B881="","",SUM(G$2:I881)-SUM(J$2:J881))</f>
        <v/>
      </c>
      <c r="L881" s="22">
        <f>IF(B881="","",IF(B881=B880,L880,N(L880)+1))</f>
        <v/>
      </c>
    </row>
    <row r="882">
      <c r="A882" s="22" t="n"/>
      <c r="B882" s="27" t="n"/>
      <c r="C882" s="17" t="n"/>
      <c r="D882" s="17" t="n"/>
      <c r="E882" s="17" t="n"/>
      <c r="F882" s="28" t="n"/>
      <c r="G882" s="29" t="n"/>
      <c r="H882" s="29" t="n"/>
      <c r="I882" s="29" t="n"/>
      <c r="J882" s="29" t="n"/>
      <c r="K882" s="30">
        <f>IF(B882="","",SUM(G$2:I882)-SUM(J$2:J882))</f>
        <v/>
      </c>
      <c r="L882" s="22">
        <f>IF(B882="","",IF(B882=B881,L881,N(L881)+1))</f>
        <v/>
      </c>
    </row>
    <row r="883">
      <c r="A883" s="22" t="n"/>
      <c r="B883" s="27" t="n"/>
      <c r="C883" s="17" t="n"/>
      <c r="D883" s="17" t="n"/>
      <c r="E883" s="17" t="n"/>
      <c r="F883" s="28" t="n"/>
      <c r="G883" s="29" t="n"/>
      <c r="H883" s="29" t="n"/>
      <c r="I883" s="29" t="n"/>
      <c r="J883" s="29" t="n"/>
      <c r="K883" s="30">
        <f>IF(B883="","",SUM(G$2:I883)-SUM(J$2:J883))</f>
        <v/>
      </c>
      <c r="L883" s="22">
        <f>IF(B883="","",IF(B883=B882,L882,N(L882)+1))</f>
        <v/>
      </c>
    </row>
    <row r="884">
      <c r="A884" s="22" t="n"/>
      <c r="B884" s="27" t="n"/>
      <c r="C884" s="17" t="n"/>
      <c r="D884" s="17" t="n"/>
      <c r="E884" s="17" t="n"/>
      <c r="F884" s="28" t="n"/>
      <c r="G884" s="29" t="n"/>
      <c r="H884" s="29" t="n"/>
      <c r="I884" s="29" t="n"/>
      <c r="J884" s="29" t="n"/>
      <c r="K884" s="30">
        <f>IF(B884="","",SUM(G$2:I884)-SUM(J$2:J884))</f>
        <v/>
      </c>
      <c r="L884" s="22">
        <f>IF(B884="","",IF(B884=B883,L883,N(L883)+1))</f>
        <v/>
      </c>
    </row>
    <row r="885">
      <c r="A885" s="22" t="n"/>
      <c r="B885" s="27" t="n"/>
      <c r="C885" s="17" t="n"/>
      <c r="D885" s="17" t="n"/>
      <c r="E885" s="17" t="n"/>
      <c r="F885" s="28" t="n"/>
      <c r="G885" s="29" t="n"/>
      <c r="H885" s="29" t="n"/>
      <c r="I885" s="29" t="n"/>
      <c r="J885" s="29" t="n"/>
      <c r="K885" s="30">
        <f>IF(B885="","",SUM(G$2:I885)-SUM(J$2:J885))</f>
        <v/>
      </c>
      <c r="L885" s="22">
        <f>IF(B885="","",IF(B885=B884,L884,N(L884)+1))</f>
        <v/>
      </c>
    </row>
    <row r="886">
      <c r="A886" s="22" t="n"/>
      <c r="B886" s="27" t="n"/>
      <c r="C886" s="17" t="n"/>
      <c r="D886" s="17" t="n"/>
      <c r="E886" s="17" t="n"/>
      <c r="F886" s="28" t="n"/>
      <c r="G886" s="29" t="n"/>
      <c r="H886" s="29" t="n"/>
      <c r="I886" s="29" t="n"/>
      <c r="J886" s="29" t="n"/>
      <c r="K886" s="30">
        <f>IF(B886="","",SUM(G$2:I886)-SUM(J$2:J886))</f>
        <v/>
      </c>
      <c r="L886" s="22">
        <f>IF(B886="","",IF(B886=B885,L885,N(L885)+1))</f>
        <v/>
      </c>
    </row>
    <row r="887">
      <c r="A887" s="22" t="n"/>
      <c r="B887" s="27" t="n"/>
      <c r="C887" s="17" t="n"/>
      <c r="D887" s="17" t="n"/>
      <c r="E887" s="17" t="n"/>
      <c r="F887" s="28" t="n"/>
      <c r="G887" s="29" t="n"/>
      <c r="H887" s="29" t="n"/>
      <c r="I887" s="29" t="n"/>
      <c r="J887" s="29" t="n"/>
      <c r="K887" s="30">
        <f>IF(B887="","",SUM(G$2:I887)-SUM(J$2:J887))</f>
        <v/>
      </c>
      <c r="L887" s="22">
        <f>IF(B887="","",IF(B887=B886,L886,N(L886)+1))</f>
        <v/>
      </c>
    </row>
    <row r="888">
      <c r="A888" s="22" t="n"/>
      <c r="B888" s="27" t="n"/>
      <c r="C888" s="17" t="n"/>
      <c r="D888" s="17" t="n"/>
      <c r="E888" s="17" t="n"/>
      <c r="F888" s="28" t="n"/>
      <c r="G888" s="29" t="n"/>
      <c r="H888" s="29" t="n"/>
      <c r="I888" s="29" t="n"/>
      <c r="J888" s="29" t="n"/>
      <c r="K888" s="30">
        <f>IF(B888="","",SUM(G$2:I888)-SUM(J$2:J888))</f>
        <v/>
      </c>
      <c r="L888" s="22">
        <f>IF(B888="","",IF(B888=B887,L887,N(L887)+1))</f>
        <v/>
      </c>
    </row>
    <row r="889">
      <c r="A889" s="22" t="n"/>
      <c r="B889" s="27" t="n"/>
      <c r="C889" s="17" t="n"/>
      <c r="D889" s="17" t="n"/>
      <c r="E889" s="17" t="n"/>
      <c r="F889" s="28" t="n"/>
      <c r="G889" s="29" t="n"/>
      <c r="H889" s="29" t="n"/>
      <c r="I889" s="29" t="n"/>
      <c r="J889" s="29" t="n"/>
      <c r="K889" s="30">
        <f>IF(B889="","",SUM(G$2:I889)-SUM(J$2:J889))</f>
        <v/>
      </c>
      <c r="L889" s="22">
        <f>IF(B889="","",IF(B889=B888,L888,N(L888)+1))</f>
        <v/>
      </c>
    </row>
    <row r="890">
      <c r="A890" s="22" t="n"/>
      <c r="B890" s="27" t="n"/>
      <c r="C890" s="17" t="n"/>
      <c r="D890" s="17" t="n"/>
      <c r="E890" s="17" t="n"/>
      <c r="F890" s="28" t="n"/>
      <c r="G890" s="29" t="n"/>
      <c r="H890" s="29" t="n"/>
      <c r="I890" s="29" t="n"/>
      <c r="J890" s="29" t="n"/>
      <c r="K890" s="30">
        <f>IF(B890="","",SUM(G$2:I890)-SUM(J$2:J890))</f>
        <v/>
      </c>
      <c r="L890" s="22">
        <f>IF(B890="","",IF(B890=B889,L889,N(L889)+1))</f>
        <v/>
      </c>
    </row>
    <row r="891">
      <c r="A891" s="22" t="n"/>
      <c r="B891" s="27" t="n"/>
      <c r="C891" s="17" t="n"/>
      <c r="D891" s="17" t="n"/>
      <c r="E891" s="17" t="n"/>
      <c r="F891" s="28" t="n"/>
      <c r="G891" s="29" t="n"/>
      <c r="H891" s="29" t="n"/>
      <c r="I891" s="29" t="n"/>
      <c r="J891" s="29" t="n"/>
      <c r="K891" s="30">
        <f>IF(B891="","",SUM(G$2:I891)-SUM(J$2:J891))</f>
        <v/>
      </c>
      <c r="L891" s="22">
        <f>IF(B891="","",IF(B891=B890,L890,N(L890)+1))</f>
        <v/>
      </c>
    </row>
    <row r="892">
      <c r="A892" s="22" t="n"/>
      <c r="B892" s="27" t="n"/>
      <c r="C892" s="17" t="n"/>
      <c r="D892" s="17" t="n"/>
      <c r="E892" s="17" t="n"/>
      <c r="F892" s="28" t="n"/>
      <c r="G892" s="29" t="n"/>
      <c r="H892" s="29" t="n"/>
      <c r="I892" s="29" t="n"/>
      <c r="J892" s="29" t="n"/>
      <c r="K892" s="30">
        <f>IF(B892="","",SUM(G$2:I892)-SUM(J$2:J892))</f>
        <v/>
      </c>
      <c r="L892" s="22">
        <f>IF(B892="","",IF(B892=B891,L891,N(L891)+1))</f>
        <v/>
      </c>
    </row>
    <row r="893">
      <c r="A893" s="22" t="n"/>
      <c r="B893" s="27" t="n"/>
      <c r="C893" s="17" t="n"/>
      <c r="D893" s="17" t="n"/>
      <c r="E893" s="17" t="n"/>
      <c r="F893" s="28" t="n"/>
      <c r="G893" s="29" t="n"/>
      <c r="H893" s="29" t="n"/>
      <c r="I893" s="29" t="n"/>
      <c r="J893" s="29" t="n"/>
      <c r="K893" s="30">
        <f>IF(B893="","",SUM(G$2:I893)-SUM(J$2:J893))</f>
        <v/>
      </c>
      <c r="L893" s="22">
        <f>IF(B893="","",IF(B893=B892,L892,N(L892)+1))</f>
        <v/>
      </c>
    </row>
    <row r="894">
      <c r="A894" s="22" t="n"/>
      <c r="B894" s="27" t="n"/>
      <c r="C894" s="17" t="n"/>
      <c r="D894" s="17" t="n"/>
      <c r="E894" s="17" t="n"/>
      <c r="F894" s="28" t="n"/>
      <c r="G894" s="29" t="n"/>
      <c r="H894" s="29" t="n"/>
      <c r="I894" s="29" t="n"/>
      <c r="J894" s="29" t="n"/>
      <c r="K894" s="30">
        <f>IF(B894="","",SUM(G$2:I894)-SUM(J$2:J894))</f>
        <v/>
      </c>
      <c r="L894" s="22">
        <f>IF(B894="","",IF(B894=B893,L893,N(L893)+1))</f>
        <v/>
      </c>
    </row>
    <row r="895">
      <c r="A895" s="22" t="n"/>
      <c r="B895" s="27" t="n"/>
      <c r="C895" s="17" t="n"/>
      <c r="D895" s="17" t="n"/>
      <c r="E895" s="17" t="n"/>
      <c r="F895" s="28" t="n"/>
      <c r="G895" s="29" t="n"/>
      <c r="H895" s="29" t="n"/>
      <c r="I895" s="29" t="n"/>
      <c r="J895" s="29" t="n"/>
      <c r="K895" s="30">
        <f>IF(B895="","",SUM(G$2:I895)-SUM(J$2:J895))</f>
        <v/>
      </c>
      <c r="L895" s="22">
        <f>IF(B895="","",IF(B895=B894,L894,N(L894)+1))</f>
        <v/>
      </c>
    </row>
    <row r="896">
      <c r="A896" s="22" t="n"/>
      <c r="B896" s="27" t="n"/>
      <c r="C896" s="17" t="n"/>
      <c r="D896" s="17" t="n"/>
      <c r="E896" s="17" t="n"/>
      <c r="F896" s="28" t="n"/>
      <c r="G896" s="29" t="n"/>
      <c r="H896" s="29" t="n"/>
      <c r="I896" s="29" t="n"/>
      <c r="J896" s="29" t="n"/>
      <c r="K896" s="30">
        <f>IF(B896="","",SUM(G$2:I896)-SUM(J$2:J896))</f>
        <v/>
      </c>
      <c r="L896" s="22">
        <f>IF(B896="","",IF(B896=B895,L895,N(L895)+1))</f>
        <v/>
      </c>
    </row>
    <row r="897">
      <c r="A897" s="22" t="n"/>
      <c r="B897" s="27" t="n"/>
      <c r="C897" s="17" t="n"/>
      <c r="D897" s="17" t="n"/>
      <c r="E897" s="17" t="n"/>
      <c r="F897" s="28" t="n"/>
      <c r="G897" s="29" t="n"/>
      <c r="H897" s="29" t="n"/>
      <c r="I897" s="29" t="n"/>
      <c r="J897" s="29" t="n"/>
      <c r="K897" s="30">
        <f>IF(B897="","",SUM(G$2:I897)-SUM(J$2:J897))</f>
        <v/>
      </c>
      <c r="L897" s="22">
        <f>IF(B897="","",IF(B897=B896,L896,N(L896)+1))</f>
        <v/>
      </c>
    </row>
    <row r="898">
      <c r="A898" s="22" t="n"/>
      <c r="B898" s="27" t="n"/>
      <c r="C898" s="17" t="n"/>
      <c r="D898" s="17" t="n"/>
      <c r="E898" s="17" t="n"/>
      <c r="F898" s="28" t="n"/>
      <c r="G898" s="29" t="n"/>
      <c r="H898" s="29" t="n"/>
      <c r="I898" s="29" t="n"/>
      <c r="J898" s="29" t="n"/>
      <c r="K898" s="30">
        <f>IF(B898="","",SUM(G$2:I898)-SUM(J$2:J898))</f>
        <v/>
      </c>
      <c r="L898" s="22">
        <f>IF(B898="","",IF(B898=B897,L897,N(L897)+1))</f>
        <v/>
      </c>
    </row>
    <row r="899">
      <c r="A899" s="22" t="n"/>
      <c r="B899" s="27" t="n"/>
      <c r="C899" s="17" t="n"/>
      <c r="D899" s="17" t="n"/>
      <c r="E899" s="17" t="n"/>
      <c r="F899" s="28" t="n"/>
      <c r="G899" s="29" t="n"/>
      <c r="H899" s="29" t="n"/>
      <c r="I899" s="29" t="n"/>
      <c r="J899" s="29" t="n"/>
      <c r="K899" s="30">
        <f>IF(B899="","",SUM(G$2:I899)-SUM(J$2:J899))</f>
        <v/>
      </c>
      <c r="L899" s="22">
        <f>IF(B899="","",IF(B899=B898,L898,N(L898)+1))</f>
        <v/>
      </c>
    </row>
    <row r="900">
      <c r="A900" s="22" t="n"/>
      <c r="B900" s="27" t="n"/>
      <c r="C900" s="17" t="n"/>
      <c r="D900" s="17" t="n"/>
      <c r="E900" s="17" t="n"/>
      <c r="F900" s="28" t="n"/>
      <c r="G900" s="29" t="n"/>
      <c r="H900" s="29" t="n"/>
      <c r="I900" s="29" t="n"/>
      <c r="J900" s="29" t="n"/>
      <c r="K900" s="30">
        <f>IF(B900="","",SUM(G$2:I900)-SUM(J$2:J900))</f>
        <v/>
      </c>
      <c r="L900" s="22">
        <f>IF(B900="","",IF(B900=B899,L899,N(L899)+1))</f>
        <v/>
      </c>
    </row>
    <row r="901">
      <c r="A901" s="22" t="n"/>
      <c r="B901" s="27" t="n"/>
      <c r="C901" s="17" t="n"/>
      <c r="D901" s="17" t="n"/>
      <c r="E901" s="17" t="n"/>
      <c r="F901" s="28" t="n"/>
      <c r="G901" s="29" t="n"/>
      <c r="H901" s="29" t="n"/>
      <c r="I901" s="29" t="n"/>
      <c r="J901" s="29" t="n"/>
      <c r="K901" s="30">
        <f>IF(B901="","",SUM(G$2:I901)-SUM(J$2:J901))</f>
        <v/>
      </c>
      <c r="L901" s="22">
        <f>IF(B901="","",IF(B901=B900,L900,N(L900)+1))</f>
        <v/>
      </c>
    </row>
    <row r="902">
      <c r="A902" s="22" t="n"/>
      <c r="B902" s="27" t="n"/>
      <c r="C902" s="17" t="n"/>
      <c r="D902" s="17" t="n"/>
      <c r="E902" s="17" t="n"/>
      <c r="F902" s="28" t="n"/>
      <c r="G902" s="29" t="n"/>
      <c r="H902" s="29" t="n"/>
      <c r="I902" s="29" t="n"/>
      <c r="J902" s="29" t="n"/>
      <c r="K902" s="30">
        <f>IF(B902="","",SUM(G$2:I902)-SUM(J$2:J902))</f>
        <v/>
      </c>
      <c r="L902" s="22">
        <f>IF(B902="","",IF(B902=B901,L901,N(L901)+1))</f>
        <v/>
      </c>
    </row>
    <row r="903">
      <c r="A903" s="22" t="n"/>
      <c r="B903" s="27" t="n"/>
      <c r="C903" s="17" t="n"/>
      <c r="D903" s="17" t="n"/>
      <c r="E903" s="17" t="n"/>
      <c r="F903" s="28" t="n"/>
      <c r="G903" s="29" t="n"/>
      <c r="H903" s="29" t="n"/>
      <c r="I903" s="29" t="n"/>
      <c r="J903" s="29" t="n"/>
      <c r="K903" s="30">
        <f>IF(B903="","",SUM(G$2:I903)-SUM(J$2:J903))</f>
        <v/>
      </c>
      <c r="L903" s="22">
        <f>IF(B903="","",IF(B903=B902,L902,N(L902)+1))</f>
        <v/>
      </c>
    </row>
    <row r="904">
      <c r="A904" s="22" t="n"/>
      <c r="B904" s="27" t="n"/>
      <c r="C904" s="17" t="n"/>
      <c r="D904" s="17" t="n"/>
      <c r="E904" s="17" t="n"/>
      <c r="F904" s="28" t="n"/>
      <c r="G904" s="29" t="n"/>
      <c r="H904" s="29" t="n"/>
      <c r="I904" s="29" t="n"/>
      <c r="J904" s="29" t="n"/>
      <c r="K904" s="30">
        <f>IF(B904="","",SUM(G$2:I904)-SUM(J$2:J904))</f>
        <v/>
      </c>
      <c r="L904" s="22">
        <f>IF(B904="","",IF(B904=B903,L903,N(L903)+1))</f>
        <v/>
      </c>
    </row>
    <row r="905">
      <c r="A905" s="22" t="n"/>
      <c r="B905" s="27" t="n"/>
      <c r="C905" s="17" t="n"/>
      <c r="D905" s="17" t="n"/>
      <c r="E905" s="17" t="n"/>
      <c r="F905" s="28" t="n"/>
      <c r="G905" s="29" t="n"/>
      <c r="H905" s="29" t="n"/>
      <c r="I905" s="29" t="n"/>
      <c r="J905" s="29" t="n"/>
      <c r="K905" s="30">
        <f>IF(B905="","",SUM(G$2:I905)-SUM(J$2:J905))</f>
        <v/>
      </c>
      <c r="L905" s="22">
        <f>IF(B905="","",IF(B905=B904,L904,N(L904)+1))</f>
        <v/>
      </c>
    </row>
    <row r="906">
      <c r="A906" s="22" t="n"/>
      <c r="B906" s="27" t="n"/>
      <c r="C906" s="17" t="n"/>
      <c r="D906" s="17" t="n"/>
      <c r="E906" s="17" t="n"/>
      <c r="F906" s="28" t="n"/>
      <c r="G906" s="29" t="n"/>
      <c r="H906" s="29" t="n"/>
      <c r="I906" s="29" t="n"/>
      <c r="J906" s="29" t="n"/>
      <c r="K906" s="30">
        <f>IF(B906="","",SUM(G$2:I906)-SUM(J$2:J906))</f>
        <v/>
      </c>
      <c r="L906" s="22">
        <f>IF(B906="","",IF(B906=B905,L905,N(L905)+1))</f>
        <v/>
      </c>
    </row>
    <row r="907">
      <c r="A907" s="22" t="n"/>
      <c r="B907" s="27" t="n"/>
      <c r="C907" s="17" t="n"/>
      <c r="D907" s="17" t="n"/>
      <c r="E907" s="17" t="n"/>
      <c r="F907" s="28" t="n"/>
      <c r="G907" s="29" t="n"/>
      <c r="H907" s="29" t="n"/>
      <c r="I907" s="29" t="n"/>
      <c r="J907" s="29" t="n"/>
      <c r="K907" s="30">
        <f>IF(B907="","",SUM(G$2:I907)-SUM(J$2:J907))</f>
        <v/>
      </c>
      <c r="L907" s="22">
        <f>IF(B907="","",IF(B907=B906,L906,N(L906)+1))</f>
        <v/>
      </c>
    </row>
    <row r="908">
      <c r="A908" s="22" t="n"/>
      <c r="B908" s="27" t="n"/>
      <c r="C908" s="17" t="n"/>
      <c r="D908" s="17" t="n"/>
      <c r="E908" s="17" t="n"/>
      <c r="F908" s="28" t="n"/>
      <c r="G908" s="29" t="n"/>
      <c r="H908" s="29" t="n"/>
      <c r="I908" s="29" t="n"/>
      <c r="J908" s="29" t="n"/>
      <c r="K908" s="30">
        <f>IF(B908="","",SUM(G$2:I908)-SUM(J$2:J908))</f>
        <v/>
      </c>
      <c r="L908" s="22">
        <f>IF(B908="","",IF(B908=B907,L907,N(L907)+1))</f>
        <v/>
      </c>
    </row>
    <row r="909">
      <c r="A909" s="22" t="n"/>
      <c r="B909" s="27" t="n"/>
      <c r="C909" s="17" t="n"/>
      <c r="D909" s="17" t="n"/>
      <c r="E909" s="17" t="n"/>
      <c r="F909" s="28" t="n"/>
      <c r="G909" s="29" t="n"/>
      <c r="H909" s="29" t="n"/>
      <c r="I909" s="29" t="n"/>
      <c r="J909" s="29" t="n"/>
      <c r="K909" s="30">
        <f>IF(B909="","",SUM(G$2:I909)-SUM(J$2:J909))</f>
        <v/>
      </c>
      <c r="L909" s="22">
        <f>IF(B909="","",IF(B909=B908,L908,N(L908)+1))</f>
        <v/>
      </c>
    </row>
    <row r="910">
      <c r="A910" s="22" t="n"/>
      <c r="B910" s="27" t="n"/>
      <c r="C910" s="17" t="n"/>
      <c r="D910" s="17" t="n"/>
      <c r="E910" s="17" t="n"/>
      <c r="F910" s="28" t="n"/>
      <c r="G910" s="29" t="n"/>
      <c r="H910" s="29" t="n"/>
      <c r="I910" s="29" t="n"/>
      <c r="J910" s="29" t="n"/>
      <c r="K910" s="30">
        <f>IF(B910="","",SUM(G$2:I910)-SUM(J$2:J910))</f>
        <v/>
      </c>
      <c r="L910" s="22">
        <f>IF(B910="","",IF(B910=B909,L909,N(L909)+1))</f>
        <v/>
      </c>
    </row>
    <row r="911">
      <c r="A911" s="22" t="n"/>
      <c r="B911" s="27" t="n"/>
      <c r="C911" s="17" t="n"/>
      <c r="D911" s="17" t="n"/>
      <c r="E911" s="17" t="n"/>
      <c r="F911" s="28" t="n"/>
      <c r="G911" s="29" t="n"/>
      <c r="H911" s="29" t="n"/>
      <c r="I911" s="29" t="n"/>
      <c r="J911" s="29" t="n"/>
      <c r="K911" s="30">
        <f>IF(B911="","",SUM(G$2:I911)-SUM(J$2:J911))</f>
        <v/>
      </c>
      <c r="L911" s="22">
        <f>IF(B911="","",IF(B911=B910,L910,N(L910)+1))</f>
        <v/>
      </c>
    </row>
    <row r="912">
      <c r="A912" s="22" t="n"/>
      <c r="B912" s="27" t="n"/>
      <c r="C912" s="17" t="n"/>
      <c r="D912" s="17" t="n"/>
      <c r="E912" s="17" t="n"/>
      <c r="F912" s="28" t="n"/>
      <c r="G912" s="29" t="n"/>
      <c r="H912" s="29" t="n"/>
      <c r="I912" s="29" t="n"/>
      <c r="J912" s="29" t="n"/>
      <c r="K912" s="30">
        <f>IF(B912="","",SUM(G$2:I912)-SUM(J$2:J912))</f>
        <v/>
      </c>
      <c r="L912" s="22">
        <f>IF(B912="","",IF(B912=B911,L911,N(L911)+1))</f>
        <v/>
      </c>
    </row>
    <row r="913">
      <c r="A913" s="22" t="n"/>
      <c r="B913" s="27" t="n"/>
      <c r="C913" s="17" t="n"/>
      <c r="D913" s="17" t="n"/>
      <c r="E913" s="17" t="n"/>
      <c r="F913" s="28" t="n"/>
      <c r="G913" s="29" t="n"/>
      <c r="H913" s="29" t="n"/>
      <c r="I913" s="29" t="n"/>
      <c r="J913" s="29" t="n"/>
      <c r="K913" s="30">
        <f>IF(B913="","",SUM(G$2:I913)-SUM(J$2:J913))</f>
        <v/>
      </c>
      <c r="L913" s="22">
        <f>IF(B913="","",IF(B913=B912,L912,N(L912)+1))</f>
        <v/>
      </c>
    </row>
    <row r="914">
      <c r="A914" s="22" t="n"/>
      <c r="B914" s="27" t="n"/>
      <c r="C914" s="17" t="n"/>
      <c r="D914" s="17" t="n"/>
      <c r="E914" s="17" t="n"/>
      <c r="F914" s="28" t="n"/>
      <c r="G914" s="29" t="n"/>
      <c r="H914" s="29" t="n"/>
      <c r="I914" s="29" t="n"/>
      <c r="J914" s="29" t="n"/>
      <c r="K914" s="30">
        <f>IF(B914="","",SUM(G$2:I914)-SUM(J$2:J914))</f>
        <v/>
      </c>
      <c r="L914" s="22">
        <f>IF(B914="","",IF(B914=B913,L913,N(L913)+1))</f>
        <v/>
      </c>
    </row>
    <row r="915">
      <c r="A915" s="22" t="n"/>
      <c r="B915" s="27" t="n"/>
      <c r="C915" s="17" t="n"/>
      <c r="D915" s="17" t="n"/>
      <c r="E915" s="17" t="n"/>
      <c r="F915" s="28" t="n"/>
      <c r="G915" s="29" t="n"/>
      <c r="H915" s="29" t="n"/>
      <c r="I915" s="29" t="n"/>
      <c r="J915" s="29" t="n"/>
      <c r="K915" s="30">
        <f>IF(B915="","",SUM(G$2:I915)-SUM(J$2:J915))</f>
        <v/>
      </c>
      <c r="L915" s="22">
        <f>IF(B915="","",IF(B915=B914,L914,N(L914)+1))</f>
        <v/>
      </c>
    </row>
    <row r="916">
      <c r="A916" s="22" t="n"/>
      <c r="B916" s="27" t="n"/>
      <c r="C916" s="17" t="n"/>
      <c r="D916" s="17" t="n"/>
      <c r="E916" s="17" t="n"/>
      <c r="F916" s="28" t="n"/>
      <c r="G916" s="29" t="n"/>
      <c r="H916" s="29" t="n"/>
      <c r="I916" s="29" t="n"/>
      <c r="J916" s="29" t="n"/>
      <c r="K916" s="30">
        <f>IF(B916="","",SUM(G$2:I916)-SUM(J$2:J916))</f>
        <v/>
      </c>
      <c r="L916" s="22">
        <f>IF(B916="","",IF(B916=B915,L915,N(L915)+1))</f>
        <v/>
      </c>
    </row>
    <row r="917">
      <c r="A917" s="22" t="n"/>
      <c r="B917" s="27" t="n"/>
      <c r="C917" s="17" t="n"/>
      <c r="D917" s="17" t="n"/>
      <c r="E917" s="17" t="n"/>
      <c r="F917" s="28" t="n"/>
      <c r="G917" s="29" t="n"/>
      <c r="H917" s="29" t="n"/>
      <c r="I917" s="29" t="n"/>
      <c r="J917" s="29" t="n"/>
      <c r="K917" s="30">
        <f>IF(B917="","",SUM(G$2:I917)-SUM(J$2:J917))</f>
        <v/>
      </c>
      <c r="L917" s="22">
        <f>IF(B917="","",IF(B917=B916,L916,N(L916)+1))</f>
        <v/>
      </c>
    </row>
    <row r="918">
      <c r="A918" s="22" t="n"/>
      <c r="B918" s="27" t="n"/>
      <c r="C918" s="17" t="n"/>
      <c r="D918" s="17" t="n"/>
      <c r="E918" s="17" t="n"/>
      <c r="F918" s="28" t="n"/>
      <c r="G918" s="29" t="n"/>
      <c r="H918" s="29" t="n"/>
      <c r="I918" s="29" t="n"/>
      <c r="J918" s="29" t="n"/>
      <c r="K918" s="30">
        <f>IF(B918="","",SUM(G$2:I918)-SUM(J$2:J918))</f>
        <v/>
      </c>
      <c r="L918" s="22">
        <f>IF(B918="","",IF(B918=B917,L917,N(L917)+1))</f>
        <v/>
      </c>
    </row>
    <row r="919">
      <c r="A919" s="22" t="n"/>
      <c r="B919" s="27" t="n"/>
      <c r="C919" s="17" t="n"/>
      <c r="D919" s="17" t="n"/>
      <c r="E919" s="17" t="n"/>
      <c r="F919" s="28" t="n"/>
      <c r="G919" s="29" t="n"/>
      <c r="H919" s="29" t="n"/>
      <c r="I919" s="29" t="n"/>
      <c r="J919" s="29" t="n"/>
      <c r="K919" s="30">
        <f>IF(B919="","",SUM(G$2:I919)-SUM(J$2:J919))</f>
        <v/>
      </c>
      <c r="L919" s="22">
        <f>IF(B919="","",IF(B919=B918,L918,N(L918)+1))</f>
        <v/>
      </c>
    </row>
    <row r="920">
      <c r="A920" s="22" t="n"/>
      <c r="B920" s="27" t="n"/>
      <c r="C920" s="17" t="n"/>
      <c r="D920" s="17" t="n"/>
      <c r="E920" s="17" t="n"/>
      <c r="F920" s="28" t="n"/>
      <c r="G920" s="29" t="n"/>
      <c r="H920" s="29" t="n"/>
      <c r="I920" s="29" t="n"/>
      <c r="J920" s="29" t="n"/>
      <c r="K920" s="30">
        <f>IF(B920="","",SUM(G$2:I920)-SUM(J$2:J920))</f>
        <v/>
      </c>
      <c r="L920" s="22">
        <f>IF(B920="","",IF(B920=B919,L919,N(L919)+1))</f>
        <v/>
      </c>
    </row>
    <row r="921">
      <c r="A921" s="22" t="n"/>
      <c r="B921" s="27" t="n"/>
      <c r="C921" s="17" t="n"/>
      <c r="D921" s="17" t="n"/>
      <c r="E921" s="17" t="n"/>
      <c r="F921" s="28" t="n"/>
      <c r="G921" s="29" t="n"/>
      <c r="H921" s="29" t="n"/>
      <c r="I921" s="29" t="n"/>
      <c r="J921" s="29" t="n"/>
      <c r="K921" s="30">
        <f>IF(B921="","",SUM(G$2:I921)-SUM(J$2:J921))</f>
        <v/>
      </c>
      <c r="L921" s="22">
        <f>IF(B921="","",IF(B921=B920,L920,N(L920)+1))</f>
        <v/>
      </c>
    </row>
    <row r="922">
      <c r="A922" s="22" t="n"/>
      <c r="B922" s="27" t="n"/>
      <c r="C922" s="17" t="n"/>
      <c r="D922" s="17" t="n"/>
      <c r="E922" s="17" t="n"/>
      <c r="F922" s="28" t="n"/>
      <c r="G922" s="29" t="n"/>
      <c r="H922" s="29" t="n"/>
      <c r="I922" s="29" t="n"/>
      <c r="J922" s="29" t="n"/>
      <c r="K922" s="30">
        <f>IF(B922="","",SUM(G$2:I922)-SUM(J$2:J922))</f>
        <v/>
      </c>
      <c r="L922" s="22">
        <f>IF(B922="","",IF(B922=B921,L921,N(L921)+1))</f>
        <v/>
      </c>
    </row>
    <row r="923">
      <c r="A923" s="22" t="n"/>
      <c r="B923" s="27" t="n"/>
      <c r="C923" s="17" t="n"/>
      <c r="D923" s="17" t="n"/>
      <c r="E923" s="17" t="n"/>
      <c r="F923" s="28" t="n"/>
      <c r="G923" s="29" t="n"/>
      <c r="H923" s="29" t="n"/>
      <c r="I923" s="29" t="n"/>
      <c r="J923" s="29" t="n"/>
      <c r="K923" s="30">
        <f>IF(B923="","",SUM(G$2:I923)-SUM(J$2:J923))</f>
        <v/>
      </c>
      <c r="L923" s="22">
        <f>IF(B923="","",IF(B923=B922,L922,N(L922)+1))</f>
        <v/>
      </c>
    </row>
    <row r="924">
      <c r="A924" s="22" t="n"/>
      <c r="B924" s="27" t="n"/>
      <c r="C924" s="17" t="n"/>
      <c r="D924" s="17" t="n"/>
      <c r="E924" s="17" t="n"/>
      <c r="F924" s="28" t="n"/>
      <c r="G924" s="29" t="n"/>
      <c r="H924" s="29" t="n"/>
      <c r="I924" s="29" t="n"/>
      <c r="J924" s="29" t="n"/>
      <c r="K924" s="30">
        <f>IF(B924="","",SUM(G$2:I924)-SUM(J$2:J924))</f>
        <v/>
      </c>
      <c r="L924" s="22">
        <f>IF(B924="","",IF(B924=B923,L923,N(L923)+1))</f>
        <v/>
      </c>
    </row>
    <row r="925">
      <c r="A925" s="22" t="n"/>
      <c r="B925" s="27" t="n"/>
      <c r="C925" s="17" t="n"/>
      <c r="D925" s="17" t="n"/>
      <c r="E925" s="17" t="n"/>
      <c r="F925" s="28" t="n"/>
      <c r="G925" s="29" t="n"/>
      <c r="H925" s="29" t="n"/>
      <c r="I925" s="29" t="n"/>
      <c r="J925" s="29" t="n"/>
      <c r="K925" s="30">
        <f>IF(B925="","",SUM(G$2:I925)-SUM(J$2:J925))</f>
        <v/>
      </c>
      <c r="L925" s="22">
        <f>IF(B925="","",IF(B925=B924,L924,N(L924)+1))</f>
        <v/>
      </c>
    </row>
    <row r="926">
      <c r="A926" s="22" t="n"/>
      <c r="B926" s="27" t="n"/>
      <c r="C926" s="17" t="n"/>
      <c r="D926" s="17" t="n"/>
      <c r="E926" s="17" t="n"/>
      <c r="F926" s="28" t="n"/>
      <c r="G926" s="29" t="n"/>
      <c r="H926" s="29" t="n"/>
      <c r="I926" s="29" t="n"/>
      <c r="J926" s="29" t="n"/>
      <c r="K926" s="30">
        <f>IF(B926="","",SUM(G$2:I926)-SUM(J$2:J926))</f>
        <v/>
      </c>
      <c r="L926" s="22">
        <f>IF(B926="","",IF(B926=B925,L925,N(L925)+1))</f>
        <v/>
      </c>
    </row>
    <row r="927">
      <c r="A927" s="22" t="n"/>
      <c r="B927" s="27" t="n"/>
      <c r="C927" s="17" t="n"/>
      <c r="D927" s="17" t="n"/>
      <c r="E927" s="17" t="n"/>
      <c r="F927" s="28" t="n"/>
      <c r="G927" s="29" t="n"/>
      <c r="H927" s="29" t="n"/>
      <c r="I927" s="29" t="n"/>
      <c r="J927" s="29" t="n"/>
      <c r="K927" s="30">
        <f>IF(B927="","",SUM(G$2:I927)-SUM(J$2:J927))</f>
        <v/>
      </c>
      <c r="L927" s="22">
        <f>IF(B927="","",IF(B927=B926,L926,N(L926)+1))</f>
        <v/>
      </c>
    </row>
    <row r="928">
      <c r="A928" s="22" t="n"/>
      <c r="B928" s="27" t="n"/>
      <c r="C928" s="17" t="n"/>
      <c r="D928" s="17" t="n"/>
      <c r="E928" s="17" t="n"/>
      <c r="F928" s="28" t="n"/>
      <c r="G928" s="29" t="n"/>
      <c r="H928" s="29" t="n"/>
      <c r="I928" s="29" t="n"/>
      <c r="J928" s="29" t="n"/>
      <c r="K928" s="30">
        <f>IF(B928="","",SUM(G$2:I928)-SUM(J$2:J928))</f>
        <v/>
      </c>
      <c r="L928" s="22">
        <f>IF(B928="","",IF(B928=B927,L927,N(L927)+1))</f>
        <v/>
      </c>
    </row>
    <row r="929">
      <c r="A929" s="22" t="n"/>
      <c r="B929" s="27" t="n"/>
      <c r="C929" s="17" t="n"/>
      <c r="D929" s="17" t="n"/>
      <c r="E929" s="17" t="n"/>
      <c r="F929" s="28" t="n"/>
      <c r="G929" s="29" t="n"/>
      <c r="H929" s="29" t="n"/>
      <c r="I929" s="29" t="n"/>
      <c r="J929" s="29" t="n"/>
      <c r="K929" s="30">
        <f>IF(B929="","",SUM(G$2:I929)-SUM(J$2:J929))</f>
        <v/>
      </c>
      <c r="L929" s="22">
        <f>IF(B929="","",IF(B929=B928,L928,N(L928)+1))</f>
        <v/>
      </c>
    </row>
    <row r="930">
      <c r="A930" s="22" t="n"/>
      <c r="B930" s="27" t="n"/>
      <c r="C930" s="17" t="n"/>
      <c r="D930" s="17" t="n"/>
      <c r="E930" s="17" t="n"/>
      <c r="F930" s="28" t="n"/>
      <c r="G930" s="29" t="n"/>
      <c r="H930" s="29" t="n"/>
      <c r="I930" s="29" t="n"/>
      <c r="J930" s="29" t="n"/>
      <c r="K930" s="30">
        <f>IF(B930="","",SUM(G$2:I930)-SUM(J$2:J930))</f>
        <v/>
      </c>
      <c r="L930" s="22">
        <f>IF(B930="","",IF(B930=B929,L929,N(L929)+1))</f>
        <v/>
      </c>
    </row>
    <row r="931">
      <c r="A931" s="22" t="n"/>
      <c r="B931" s="27" t="n"/>
      <c r="C931" s="17" t="n"/>
      <c r="D931" s="17" t="n"/>
      <c r="E931" s="17" t="n"/>
      <c r="F931" s="28" t="n"/>
      <c r="G931" s="29" t="n"/>
      <c r="H931" s="29" t="n"/>
      <c r="I931" s="29" t="n"/>
      <c r="J931" s="29" t="n"/>
      <c r="K931" s="30">
        <f>IF(B931="","",SUM(G$2:I931)-SUM(J$2:J931))</f>
        <v/>
      </c>
      <c r="L931" s="22">
        <f>IF(B931="","",IF(B931=B930,L930,N(L930)+1))</f>
        <v/>
      </c>
    </row>
    <row r="932">
      <c r="A932" s="22" t="n"/>
      <c r="B932" s="27" t="n"/>
      <c r="C932" s="17" t="n"/>
      <c r="D932" s="17" t="n"/>
      <c r="E932" s="17" t="n"/>
      <c r="F932" s="28" t="n"/>
      <c r="G932" s="29" t="n"/>
      <c r="H932" s="29" t="n"/>
      <c r="I932" s="29" t="n"/>
      <c r="J932" s="29" t="n"/>
      <c r="K932" s="30">
        <f>IF(B932="","",SUM(G$2:I932)-SUM(J$2:J932))</f>
        <v/>
      </c>
      <c r="L932" s="22">
        <f>IF(B932="","",IF(B932=B931,L931,N(L931)+1))</f>
        <v/>
      </c>
    </row>
    <row r="933">
      <c r="A933" s="22" t="n"/>
      <c r="B933" s="27" t="n"/>
      <c r="C933" s="17" t="n"/>
      <c r="D933" s="17" t="n"/>
      <c r="E933" s="17" t="n"/>
      <c r="F933" s="28" t="n"/>
      <c r="G933" s="29" t="n"/>
      <c r="H933" s="29" t="n"/>
      <c r="I933" s="29" t="n"/>
      <c r="J933" s="29" t="n"/>
      <c r="K933" s="30">
        <f>IF(B933="","",SUM(G$2:I933)-SUM(J$2:J933))</f>
        <v/>
      </c>
      <c r="L933" s="22">
        <f>IF(B933="","",IF(B933=B932,L932,N(L932)+1))</f>
        <v/>
      </c>
    </row>
    <row r="934">
      <c r="A934" s="22" t="n"/>
      <c r="B934" s="27" t="n"/>
      <c r="C934" s="17" t="n"/>
      <c r="D934" s="17" t="n"/>
      <c r="E934" s="17" t="n"/>
      <c r="F934" s="28" t="n"/>
      <c r="G934" s="29" t="n"/>
      <c r="H934" s="29" t="n"/>
      <c r="I934" s="29" t="n"/>
      <c r="J934" s="29" t="n"/>
      <c r="K934" s="30">
        <f>IF(B934="","",SUM(G$2:I934)-SUM(J$2:J934))</f>
        <v/>
      </c>
      <c r="L934" s="22">
        <f>IF(B934="","",IF(B934=B933,L933,N(L933)+1))</f>
        <v/>
      </c>
    </row>
    <row r="935">
      <c r="A935" s="22" t="n"/>
      <c r="B935" s="27" t="n"/>
      <c r="C935" s="17" t="n"/>
      <c r="D935" s="17" t="n"/>
      <c r="E935" s="17" t="n"/>
      <c r="F935" s="28" t="n"/>
      <c r="G935" s="29" t="n"/>
      <c r="H935" s="29" t="n"/>
      <c r="I935" s="29" t="n"/>
      <c r="J935" s="29" t="n"/>
      <c r="K935" s="30">
        <f>IF(B935="","",SUM(G$2:I935)-SUM(J$2:J935))</f>
        <v/>
      </c>
      <c r="L935" s="22">
        <f>IF(B935="","",IF(B935=B934,L934,N(L934)+1))</f>
        <v/>
      </c>
    </row>
    <row r="936">
      <c r="A936" s="22" t="n"/>
      <c r="B936" s="27" t="n"/>
      <c r="C936" s="17" t="n"/>
      <c r="D936" s="17" t="n"/>
      <c r="E936" s="17" t="n"/>
      <c r="F936" s="28" t="n"/>
      <c r="G936" s="29" t="n"/>
      <c r="H936" s="29" t="n"/>
      <c r="I936" s="29" t="n"/>
      <c r="J936" s="29" t="n"/>
      <c r="K936" s="30">
        <f>IF(B936="","",SUM(G$2:I936)-SUM(J$2:J936))</f>
        <v/>
      </c>
      <c r="L936" s="22">
        <f>IF(B936="","",IF(B936=B935,L935,N(L935)+1))</f>
        <v/>
      </c>
    </row>
    <row r="937">
      <c r="A937" s="22" t="n"/>
      <c r="B937" s="27" t="n"/>
      <c r="C937" s="17" t="n"/>
      <c r="D937" s="17" t="n"/>
      <c r="E937" s="17" t="n"/>
      <c r="F937" s="28" t="n"/>
      <c r="G937" s="29" t="n"/>
      <c r="H937" s="29" t="n"/>
      <c r="I937" s="29" t="n"/>
      <c r="J937" s="29" t="n"/>
      <c r="K937" s="30">
        <f>IF(B937="","",SUM(G$2:I937)-SUM(J$2:J937))</f>
        <v/>
      </c>
      <c r="L937" s="22">
        <f>IF(B937="","",IF(B937=B936,L936,N(L936)+1))</f>
        <v/>
      </c>
    </row>
    <row r="938">
      <c r="A938" s="22" t="n"/>
      <c r="B938" s="27" t="n"/>
      <c r="C938" s="17" t="n"/>
      <c r="D938" s="17" t="n"/>
      <c r="E938" s="17" t="n"/>
      <c r="F938" s="28" t="n"/>
      <c r="G938" s="29" t="n"/>
      <c r="H938" s="29" t="n"/>
      <c r="I938" s="29" t="n"/>
      <c r="J938" s="29" t="n"/>
      <c r="K938" s="30">
        <f>IF(B938="","",SUM(G$2:I938)-SUM(J$2:J938))</f>
        <v/>
      </c>
      <c r="L938" s="22">
        <f>IF(B938="","",IF(B938=B937,L937,N(L937)+1))</f>
        <v/>
      </c>
    </row>
    <row r="939">
      <c r="A939" s="22" t="n"/>
      <c r="B939" s="27" t="n"/>
      <c r="C939" s="17" t="n"/>
      <c r="D939" s="17" t="n"/>
      <c r="E939" s="17" t="n"/>
      <c r="F939" s="28" t="n"/>
      <c r="G939" s="29" t="n"/>
      <c r="H939" s="29" t="n"/>
      <c r="I939" s="29" t="n"/>
      <c r="J939" s="29" t="n"/>
      <c r="K939" s="30">
        <f>IF(B939="","",SUM(G$2:I939)-SUM(J$2:J939))</f>
        <v/>
      </c>
      <c r="L939" s="22">
        <f>IF(B939="","",IF(B939=B938,L938,N(L938)+1))</f>
        <v/>
      </c>
    </row>
    <row r="940">
      <c r="A940" s="22" t="n"/>
      <c r="B940" s="27" t="n"/>
      <c r="C940" s="17" t="n"/>
      <c r="D940" s="17" t="n"/>
      <c r="E940" s="17" t="n"/>
      <c r="F940" s="28" t="n"/>
      <c r="G940" s="29" t="n"/>
      <c r="H940" s="29" t="n"/>
      <c r="I940" s="29" t="n"/>
      <c r="J940" s="29" t="n"/>
      <c r="K940" s="30">
        <f>IF(B940="","",SUM(G$2:I940)-SUM(J$2:J940))</f>
        <v/>
      </c>
      <c r="L940" s="22">
        <f>IF(B940="","",IF(B940=B939,L939,N(L939)+1))</f>
        <v/>
      </c>
    </row>
    <row r="941">
      <c r="A941" s="22" t="n"/>
      <c r="B941" s="27" t="n"/>
      <c r="C941" s="17" t="n"/>
      <c r="D941" s="17" t="n"/>
      <c r="E941" s="17" t="n"/>
      <c r="F941" s="28" t="n"/>
      <c r="G941" s="29" t="n"/>
      <c r="H941" s="29" t="n"/>
      <c r="I941" s="29" t="n"/>
      <c r="J941" s="29" t="n"/>
      <c r="K941" s="30">
        <f>IF(B941="","",SUM(G$2:I941)-SUM(J$2:J941))</f>
        <v/>
      </c>
      <c r="L941" s="22">
        <f>IF(B941="","",IF(B941=B940,L940,N(L940)+1))</f>
        <v/>
      </c>
    </row>
    <row r="942">
      <c r="A942" s="22" t="n"/>
      <c r="B942" s="27" t="n"/>
      <c r="C942" s="17" t="n"/>
      <c r="D942" s="17" t="n"/>
      <c r="E942" s="17" t="n"/>
      <c r="F942" s="28" t="n"/>
      <c r="G942" s="29" t="n"/>
      <c r="H942" s="29" t="n"/>
      <c r="I942" s="29" t="n"/>
      <c r="J942" s="29" t="n"/>
      <c r="K942" s="30">
        <f>IF(B942="","",SUM(G$2:I942)-SUM(J$2:J942))</f>
        <v/>
      </c>
      <c r="L942" s="22">
        <f>IF(B942="","",IF(B942=B941,L941,N(L941)+1))</f>
        <v/>
      </c>
    </row>
    <row r="943">
      <c r="A943" s="22" t="n"/>
      <c r="B943" s="27" t="n"/>
      <c r="C943" s="17" t="n"/>
      <c r="D943" s="17" t="n"/>
      <c r="E943" s="17" t="n"/>
      <c r="F943" s="28" t="n"/>
      <c r="G943" s="29" t="n"/>
      <c r="H943" s="29" t="n"/>
      <c r="I943" s="29" t="n"/>
      <c r="J943" s="29" t="n"/>
      <c r="K943" s="30">
        <f>IF(B943="","",SUM(G$2:I943)-SUM(J$2:J943))</f>
        <v/>
      </c>
      <c r="L943" s="22">
        <f>IF(B943="","",IF(B943=B942,L942,N(L942)+1))</f>
        <v/>
      </c>
    </row>
    <row r="944">
      <c r="A944" s="22" t="n"/>
      <c r="B944" s="27" t="n"/>
      <c r="C944" s="17" t="n"/>
      <c r="D944" s="17" t="n"/>
      <c r="E944" s="17" t="n"/>
      <c r="F944" s="28" t="n"/>
      <c r="G944" s="29" t="n"/>
      <c r="H944" s="29" t="n"/>
      <c r="I944" s="29" t="n"/>
      <c r="J944" s="29" t="n"/>
      <c r="K944" s="30">
        <f>IF(B944="","",SUM(G$2:I944)-SUM(J$2:J944))</f>
        <v/>
      </c>
      <c r="L944" s="22">
        <f>IF(B944="","",IF(B944=B943,L943,N(L943)+1))</f>
        <v/>
      </c>
    </row>
    <row r="945">
      <c r="A945" s="22" t="n"/>
      <c r="B945" s="27" t="n"/>
      <c r="C945" s="17" t="n"/>
      <c r="D945" s="17" t="n"/>
      <c r="E945" s="17" t="n"/>
      <c r="F945" s="28" t="n"/>
      <c r="G945" s="29" t="n"/>
      <c r="H945" s="29" t="n"/>
      <c r="I945" s="29" t="n"/>
      <c r="J945" s="29" t="n"/>
      <c r="K945" s="30">
        <f>IF(B945="","",SUM(G$2:I945)-SUM(J$2:J945))</f>
        <v/>
      </c>
      <c r="L945" s="22">
        <f>IF(B945="","",IF(B945=B944,L944,N(L944)+1))</f>
        <v/>
      </c>
    </row>
    <row r="946">
      <c r="A946" s="22" t="n"/>
      <c r="B946" s="27" t="n"/>
      <c r="C946" s="17" t="n"/>
      <c r="D946" s="17" t="n"/>
      <c r="E946" s="17" t="n"/>
      <c r="F946" s="28" t="n"/>
      <c r="G946" s="29" t="n"/>
      <c r="H946" s="29" t="n"/>
      <c r="I946" s="29" t="n"/>
      <c r="J946" s="29" t="n"/>
      <c r="K946" s="30">
        <f>IF(B946="","",SUM(G$2:I946)-SUM(J$2:J946))</f>
        <v/>
      </c>
      <c r="L946" s="22">
        <f>IF(B946="","",IF(B946=B945,L945,N(L945)+1))</f>
        <v/>
      </c>
    </row>
    <row r="947">
      <c r="A947" s="22" t="n"/>
      <c r="B947" s="27" t="n"/>
      <c r="C947" s="17" t="n"/>
      <c r="D947" s="17" t="n"/>
      <c r="E947" s="17" t="n"/>
      <c r="F947" s="28" t="n"/>
      <c r="G947" s="29" t="n"/>
      <c r="H947" s="29" t="n"/>
      <c r="I947" s="29" t="n"/>
      <c r="J947" s="29" t="n"/>
      <c r="K947" s="30">
        <f>IF(B947="","",SUM(G$2:I947)-SUM(J$2:J947))</f>
        <v/>
      </c>
      <c r="L947" s="22">
        <f>IF(B947="","",IF(B947=B946,L946,N(L946)+1))</f>
        <v/>
      </c>
    </row>
    <row r="948">
      <c r="A948" s="22" t="n"/>
      <c r="B948" s="27" t="n"/>
      <c r="C948" s="17" t="n"/>
      <c r="D948" s="17" t="n"/>
      <c r="E948" s="17" t="n"/>
      <c r="F948" s="28" t="n"/>
      <c r="G948" s="29" t="n"/>
      <c r="H948" s="29" t="n"/>
      <c r="I948" s="29" t="n"/>
      <c r="J948" s="29" t="n"/>
      <c r="K948" s="30">
        <f>IF(B948="","",SUM(G$2:I948)-SUM(J$2:J948))</f>
        <v/>
      </c>
      <c r="L948" s="22">
        <f>IF(B948="","",IF(B948=B947,L947,N(L947)+1))</f>
        <v/>
      </c>
    </row>
    <row r="949">
      <c r="A949" s="22" t="n"/>
      <c r="B949" s="27" t="n"/>
      <c r="C949" s="17" t="n"/>
      <c r="D949" s="17" t="n"/>
      <c r="E949" s="17" t="n"/>
      <c r="F949" s="28" t="n"/>
      <c r="G949" s="29" t="n"/>
      <c r="H949" s="29" t="n"/>
      <c r="I949" s="29" t="n"/>
      <c r="J949" s="29" t="n"/>
      <c r="K949" s="30">
        <f>IF(B949="","",SUM(G$2:I949)-SUM(J$2:J949))</f>
        <v/>
      </c>
      <c r="L949" s="22">
        <f>IF(B949="","",IF(B949=B948,L948,N(L948)+1))</f>
        <v/>
      </c>
    </row>
    <row r="950">
      <c r="A950" s="22" t="n"/>
      <c r="B950" s="27" t="n"/>
      <c r="C950" s="17" t="n"/>
      <c r="D950" s="17" t="n"/>
      <c r="E950" s="17" t="n"/>
      <c r="F950" s="28" t="n"/>
      <c r="G950" s="29" t="n"/>
      <c r="H950" s="29" t="n"/>
      <c r="I950" s="29" t="n"/>
      <c r="J950" s="29" t="n"/>
      <c r="K950" s="30">
        <f>IF(B950="","",SUM(G$2:I950)-SUM(J$2:J950))</f>
        <v/>
      </c>
      <c r="L950" s="22">
        <f>IF(B950="","",IF(B950=B949,L949,N(L949)+1))</f>
        <v/>
      </c>
    </row>
    <row r="951">
      <c r="A951" s="22" t="n"/>
      <c r="B951" s="27" t="n"/>
      <c r="C951" s="17" t="n"/>
      <c r="D951" s="17" t="n"/>
      <c r="E951" s="17" t="n"/>
      <c r="F951" s="28" t="n"/>
      <c r="G951" s="29" t="n"/>
      <c r="H951" s="29" t="n"/>
      <c r="I951" s="29" t="n"/>
      <c r="J951" s="29" t="n"/>
      <c r="K951" s="30">
        <f>IF(B951="","",SUM(G$2:I951)-SUM(J$2:J951))</f>
        <v/>
      </c>
      <c r="L951" s="22">
        <f>IF(B951="","",IF(B951=B950,L950,N(L950)+1))</f>
        <v/>
      </c>
    </row>
    <row r="952">
      <c r="A952" s="22" t="n"/>
      <c r="B952" s="27" t="n"/>
      <c r="C952" s="17" t="n"/>
      <c r="D952" s="17" t="n"/>
      <c r="E952" s="17" t="n"/>
      <c r="F952" s="28" t="n"/>
      <c r="G952" s="29" t="n"/>
      <c r="H952" s="29" t="n"/>
      <c r="I952" s="29" t="n"/>
      <c r="J952" s="29" t="n"/>
      <c r="K952" s="30">
        <f>IF(B952="","",SUM(G$2:I952)-SUM(J$2:J952))</f>
        <v/>
      </c>
      <c r="L952" s="22">
        <f>IF(B952="","",IF(B952=B951,L951,N(L951)+1))</f>
        <v/>
      </c>
    </row>
    <row r="953">
      <c r="A953" s="22" t="n"/>
      <c r="B953" s="27" t="n"/>
      <c r="C953" s="17" t="n"/>
      <c r="D953" s="17" t="n"/>
      <c r="E953" s="17" t="n"/>
      <c r="F953" s="28" t="n"/>
      <c r="G953" s="29" t="n"/>
      <c r="H953" s="29" t="n"/>
      <c r="I953" s="29" t="n"/>
      <c r="J953" s="29" t="n"/>
      <c r="K953" s="30">
        <f>IF(B953="","",SUM(G$2:I953)-SUM(J$2:J953))</f>
        <v/>
      </c>
      <c r="L953" s="22">
        <f>IF(B953="","",IF(B953=B952,L952,N(L952)+1))</f>
        <v/>
      </c>
    </row>
    <row r="954">
      <c r="A954" s="22" t="n"/>
      <c r="B954" s="27" t="n"/>
      <c r="C954" s="17" t="n"/>
      <c r="D954" s="17" t="n"/>
      <c r="E954" s="17" t="n"/>
      <c r="F954" s="28" t="n"/>
      <c r="G954" s="29" t="n"/>
      <c r="H954" s="29" t="n"/>
      <c r="I954" s="29" t="n"/>
      <c r="J954" s="29" t="n"/>
      <c r="K954" s="30">
        <f>IF(B954="","",SUM(G$2:I954)-SUM(J$2:J954))</f>
        <v/>
      </c>
      <c r="L954" s="22">
        <f>IF(B954="","",IF(B954=B953,L953,N(L953)+1))</f>
        <v/>
      </c>
    </row>
    <row r="955">
      <c r="A955" s="22" t="n"/>
      <c r="B955" s="27" t="n"/>
      <c r="C955" s="17" t="n"/>
      <c r="D955" s="17" t="n"/>
      <c r="E955" s="17" t="n"/>
      <c r="F955" s="28" t="n"/>
      <c r="G955" s="29" t="n"/>
      <c r="H955" s="29" t="n"/>
      <c r="I955" s="29" t="n"/>
      <c r="J955" s="29" t="n"/>
      <c r="K955" s="30">
        <f>IF(B955="","",SUM(G$2:I955)-SUM(J$2:J955))</f>
        <v/>
      </c>
      <c r="L955" s="22">
        <f>IF(B955="","",IF(B955=B954,L954,N(L954)+1))</f>
        <v/>
      </c>
    </row>
    <row r="956">
      <c r="A956" s="22" t="n"/>
      <c r="B956" s="27" t="n"/>
      <c r="C956" s="17" t="n"/>
      <c r="D956" s="17" t="n"/>
      <c r="E956" s="17" t="n"/>
      <c r="F956" s="28" t="n"/>
      <c r="G956" s="29" t="n"/>
      <c r="H956" s="29" t="n"/>
      <c r="I956" s="29" t="n"/>
      <c r="J956" s="29" t="n"/>
      <c r="K956" s="30">
        <f>IF(B956="","",SUM(G$2:I956)-SUM(J$2:J956))</f>
        <v/>
      </c>
      <c r="L956" s="22">
        <f>IF(B956="","",IF(B956=B955,L955,N(L955)+1))</f>
        <v/>
      </c>
    </row>
    <row r="957">
      <c r="A957" s="22" t="n"/>
      <c r="B957" s="27" t="n"/>
      <c r="C957" s="17" t="n"/>
      <c r="D957" s="17" t="n"/>
      <c r="E957" s="17" t="n"/>
      <c r="F957" s="28" t="n"/>
      <c r="G957" s="29" t="n"/>
      <c r="H957" s="29" t="n"/>
      <c r="I957" s="29" t="n"/>
      <c r="J957" s="29" t="n"/>
      <c r="K957" s="30">
        <f>IF(B957="","",SUM(G$2:I957)-SUM(J$2:J957))</f>
        <v/>
      </c>
      <c r="L957" s="22">
        <f>IF(B957="","",IF(B957=B956,L956,N(L956)+1))</f>
        <v/>
      </c>
    </row>
    <row r="958">
      <c r="A958" s="22" t="n"/>
      <c r="B958" s="27" t="n"/>
      <c r="C958" s="17" t="n"/>
      <c r="D958" s="17" t="n"/>
      <c r="E958" s="17" t="n"/>
      <c r="F958" s="28" t="n"/>
      <c r="G958" s="29" t="n"/>
      <c r="H958" s="29" t="n"/>
      <c r="I958" s="29" t="n"/>
      <c r="J958" s="29" t="n"/>
      <c r="K958" s="30">
        <f>IF(B958="","",SUM(G$2:I958)-SUM(J$2:J958))</f>
        <v/>
      </c>
      <c r="L958" s="22">
        <f>IF(B958="","",IF(B958=B957,L957,N(L957)+1))</f>
        <v/>
      </c>
    </row>
    <row r="959">
      <c r="A959" s="22" t="n"/>
      <c r="B959" s="27" t="n"/>
      <c r="C959" s="17" t="n"/>
      <c r="D959" s="17" t="n"/>
      <c r="E959" s="17" t="n"/>
      <c r="F959" s="28" t="n"/>
      <c r="G959" s="29" t="n"/>
      <c r="H959" s="29" t="n"/>
      <c r="I959" s="29" t="n"/>
      <c r="J959" s="29" t="n"/>
      <c r="K959" s="30">
        <f>IF(B959="","",SUM(G$2:I959)-SUM(J$2:J959))</f>
        <v/>
      </c>
      <c r="L959" s="22">
        <f>IF(B959="","",IF(B959=B958,L958,N(L958)+1))</f>
        <v/>
      </c>
    </row>
    <row r="960">
      <c r="A960" s="22" t="n"/>
      <c r="B960" s="27" t="n"/>
      <c r="C960" s="17" t="n"/>
      <c r="D960" s="17" t="n"/>
      <c r="E960" s="17" t="n"/>
      <c r="F960" s="28" t="n"/>
      <c r="G960" s="29" t="n"/>
      <c r="H960" s="29" t="n"/>
      <c r="I960" s="29" t="n"/>
      <c r="J960" s="29" t="n"/>
      <c r="K960" s="30">
        <f>IF(B960="","",SUM(G$2:I960)-SUM(J$2:J960))</f>
        <v/>
      </c>
      <c r="L960" s="22">
        <f>IF(B960="","",IF(B960=B959,L959,N(L959)+1))</f>
        <v/>
      </c>
    </row>
    <row r="961">
      <c r="A961" s="22" t="n"/>
      <c r="B961" s="27" t="n"/>
      <c r="C961" s="17" t="n"/>
      <c r="D961" s="17" t="n"/>
      <c r="E961" s="17" t="n"/>
      <c r="F961" s="28" t="n"/>
      <c r="G961" s="29" t="n"/>
      <c r="H961" s="29" t="n"/>
      <c r="I961" s="29" t="n"/>
      <c r="J961" s="29" t="n"/>
      <c r="K961" s="30">
        <f>IF(B961="","",SUM(G$2:I961)-SUM(J$2:J961))</f>
        <v/>
      </c>
      <c r="L961" s="22">
        <f>IF(B961="","",IF(B961=B960,L960,N(L960)+1))</f>
        <v/>
      </c>
    </row>
    <row r="962">
      <c r="A962" s="22" t="n"/>
      <c r="B962" s="27" t="n"/>
      <c r="C962" s="17" t="n"/>
      <c r="D962" s="17" t="n"/>
      <c r="E962" s="17" t="n"/>
      <c r="F962" s="28" t="n"/>
      <c r="G962" s="29" t="n"/>
      <c r="H962" s="29" t="n"/>
      <c r="I962" s="29" t="n"/>
      <c r="J962" s="29" t="n"/>
      <c r="K962" s="30">
        <f>IF(B962="","",SUM(G$2:I962)-SUM(J$2:J962))</f>
        <v/>
      </c>
      <c r="L962" s="22">
        <f>IF(B962="","",IF(B962=B961,L961,N(L961)+1))</f>
        <v/>
      </c>
    </row>
    <row r="963">
      <c r="A963" s="22" t="n"/>
      <c r="B963" s="27" t="n"/>
      <c r="C963" s="17" t="n"/>
      <c r="D963" s="17" t="n"/>
      <c r="E963" s="17" t="n"/>
      <c r="F963" s="28" t="n"/>
      <c r="G963" s="29" t="n"/>
      <c r="H963" s="29" t="n"/>
      <c r="I963" s="29" t="n"/>
      <c r="J963" s="29" t="n"/>
      <c r="K963" s="30">
        <f>IF(B963="","",SUM(G$2:I963)-SUM(J$2:J963))</f>
        <v/>
      </c>
      <c r="L963" s="22">
        <f>IF(B963="","",IF(B963=B962,L962,N(L962)+1))</f>
        <v/>
      </c>
    </row>
    <row r="964">
      <c r="A964" s="22" t="n"/>
      <c r="B964" s="27" t="n"/>
      <c r="C964" s="17" t="n"/>
      <c r="D964" s="17" t="n"/>
      <c r="E964" s="17" t="n"/>
      <c r="F964" s="28" t="n"/>
      <c r="G964" s="29" t="n"/>
      <c r="H964" s="29" t="n"/>
      <c r="I964" s="29" t="n"/>
      <c r="J964" s="29" t="n"/>
      <c r="K964" s="30">
        <f>IF(B964="","",SUM(G$2:I964)-SUM(J$2:J964))</f>
        <v/>
      </c>
      <c r="L964" s="22">
        <f>IF(B964="","",IF(B964=B963,L963,N(L963)+1))</f>
        <v/>
      </c>
    </row>
    <row r="965">
      <c r="A965" s="22" t="n"/>
      <c r="B965" s="27" t="n"/>
      <c r="C965" s="17" t="n"/>
      <c r="D965" s="17" t="n"/>
      <c r="E965" s="17" t="n"/>
      <c r="F965" s="28" t="n"/>
      <c r="G965" s="29" t="n"/>
      <c r="H965" s="29" t="n"/>
      <c r="I965" s="29" t="n"/>
      <c r="J965" s="29" t="n"/>
      <c r="K965" s="30">
        <f>IF(B965="","",SUM(G$2:I965)-SUM(J$2:J965))</f>
        <v/>
      </c>
      <c r="L965" s="22">
        <f>IF(B965="","",IF(B965=B964,L964,N(L964)+1))</f>
        <v/>
      </c>
    </row>
    <row r="966">
      <c r="A966" s="22" t="n"/>
      <c r="B966" s="27" t="n"/>
      <c r="C966" s="17" t="n"/>
      <c r="D966" s="17" t="n"/>
      <c r="E966" s="17" t="n"/>
      <c r="F966" s="28" t="n"/>
      <c r="G966" s="29" t="n"/>
      <c r="H966" s="29" t="n"/>
      <c r="I966" s="29" t="n"/>
      <c r="J966" s="29" t="n"/>
      <c r="K966" s="30">
        <f>IF(B966="","",SUM(G$2:I966)-SUM(J$2:J966))</f>
        <v/>
      </c>
      <c r="L966" s="22">
        <f>IF(B966="","",IF(B966=B965,L965,N(L965)+1))</f>
        <v/>
      </c>
    </row>
    <row r="967">
      <c r="A967" s="22" t="n"/>
      <c r="B967" s="27" t="n"/>
      <c r="C967" s="17" t="n"/>
      <c r="D967" s="17" t="n"/>
      <c r="E967" s="17" t="n"/>
      <c r="F967" s="28" t="n"/>
      <c r="G967" s="29" t="n"/>
      <c r="H967" s="29" t="n"/>
      <c r="I967" s="29" t="n"/>
      <c r="J967" s="29" t="n"/>
      <c r="K967" s="30">
        <f>IF(B967="","",SUM(G$2:I967)-SUM(J$2:J967))</f>
        <v/>
      </c>
      <c r="L967" s="22">
        <f>IF(B967="","",IF(B967=B966,L966,N(L966)+1))</f>
        <v/>
      </c>
    </row>
    <row r="968">
      <c r="A968" s="22" t="n"/>
      <c r="B968" s="27" t="n"/>
      <c r="C968" s="17" t="n"/>
      <c r="D968" s="17" t="n"/>
      <c r="E968" s="17" t="n"/>
      <c r="F968" s="28" t="n"/>
      <c r="G968" s="29" t="n"/>
      <c r="H968" s="29" t="n"/>
      <c r="I968" s="29" t="n"/>
      <c r="J968" s="29" t="n"/>
      <c r="K968" s="30">
        <f>IF(B968="","",SUM(G$2:I968)-SUM(J$2:J968))</f>
        <v/>
      </c>
      <c r="L968" s="22">
        <f>IF(B968="","",IF(B968=B967,L967,N(L967)+1))</f>
        <v/>
      </c>
    </row>
    <row r="969">
      <c r="A969" s="22" t="n"/>
      <c r="B969" s="27" t="n"/>
      <c r="C969" s="17" t="n"/>
      <c r="D969" s="17" t="n"/>
      <c r="E969" s="17" t="n"/>
      <c r="F969" s="28" t="n"/>
      <c r="G969" s="29" t="n"/>
      <c r="H969" s="29" t="n"/>
      <c r="I969" s="29" t="n"/>
      <c r="J969" s="29" t="n"/>
      <c r="K969" s="30">
        <f>IF(B969="","",SUM(G$2:I969)-SUM(J$2:J969))</f>
        <v/>
      </c>
      <c r="L969" s="22">
        <f>IF(B969="","",IF(B969=B968,L968,N(L968)+1))</f>
        <v/>
      </c>
    </row>
    <row r="970">
      <c r="A970" s="22" t="n"/>
      <c r="B970" s="27" t="n"/>
      <c r="C970" s="17" t="n"/>
      <c r="D970" s="17" t="n"/>
      <c r="E970" s="17" t="n"/>
      <c r="F970" s="28" t="n"/>
      <c r="G970" s="29" t="n"/>
      <c r="H970" s="29" t="n"/>
      <c r="I970" s="29" t="n"/>
      <c r="J970" s="29" t="n"/>
      <c r="K970" s="30">
        <f>IF(B970="","",SUM(G$2:I970)-SUM(J$2:J970))</f>
        <v/>
      </c>
      <c r="L970" s="22">
        <f>IF(B970="","",IF(B970=B969,L969,N(L969)+1))</f>
        <v/>
      </c>
    </row>
    <row r="971">
      <c r="A971" s="22" t="n"/>
      <c r="B971" s="27" t="n"/>
      <c r="C971" s="17" t="n"/>
      <c r="D971" s="17" t="n"/>
      <c r="E971" s="17" t="n"/>
      <c r="F971" s="28" t="n"/>
      <c r="G971" s="29" t="n"/>
      <c r="H971" s="29" t="n"/>
      <c r="I971" s="29" t="n"/>
      <c r="J971" s="29" t="n"/>
      <c r="K971" s="30">
        <f>IF(B971="","",SUM(G$2:I971)-SUM(J$2:J971))</f>
        <v/>
      </c>
      <c r="L971" s="22">
        <f>IF(B971="","",IF(B971=B970,L970,N(L970)+1))</f>
        <v/>
      </c>
    </row>
    <row r="972">
      <c r="A972" s="22" t="n"/>
      <c r="B972" s="27" t="n"/>
      <c r="C972" s="17" t="n"/>
      <c r="D972" s="17" t="n"/>
      <c r="E972" s="17" t="n"/>
      <c r="F972" s="28" t="n"/>
      <c r="G972" s="29" t="n"/>
      <c r="H972" s="29" t="n"/>
      <c r="I972" s="29" t="n"/>
      <c r="J972" s="29" t="n"/>
      <c r="K972" s="30">
        <f>IF(B972="","",SUM(G$2:I972)-SUM(J$2:J972))</f>
        <v/>
      </c>
      <c r="L972" s="22">
        <f>IF(B972="","",IF(B972=B971,L971,N(L971)+1))</f>
        <v/>
      </c>
    </row>
    <row r="973">
      <c r="A973" s="22" t="n"/>
      <c r="B973" s="27" t="n"/>
      <c r="C973" s="17" t="n"/>
      <c r="D973" s="17" t="n"/>
      <c r="E973" s="17" t="n"/>
      <c r="F973" s="28" t="n"/>
      <c r="G973" s="29" t="n"/>
      <c r="H973" s="29" t="n"/>
      <c r="I973" s="29" t="n"/>
      <c r="J973" s="29" t="n"/>
      <c r="K973" s="30">
        <f>IF(B973="","",SUM(G$2:I973)-SUM(J$2:J973))</f>
        <v/>
      </c>
      <c r="L973" s="22">
        <f>IF(B973="","",IF(B973=B972,L972,N(L972)+1))</f>
        <v/>
      </c>
    </row>
    <row r="974">
      <c r="A974" s="22" t="n"/>
      <c r="B974" s="27" t="n"/>
      <c r="C974" s="17" t="n"/>
      <c r="D974" s="17" t="n"/>
      <c r="E974" s="17" t="n"/>
      <c r="F974" s="28" t="n"/>
      <c r="G974" s="29" t="n"/>
      <c r="H974" s="29" t="n"/>
      <c r="I974" s="29" t="n"/>
      <c r="J974" s="29" t="n"/>
      <c r="K974" s="30">
        <f>IF(B974="","",SUM(G$2:I974)-SUM(J$2:J974))</f>
        <v/>
      </c>
      <c r="L974" s="22">
        <f>IF(B974="","",IF(B974=B973,L973,N(L973)+1))</f>
        <v/>
      </c>
    </row>
    <row r="975">
      <c r="A975" s="22" t="n"/>
      <c r="B975" s="27" t="n"/>
      <c r="C975" s="17" t="n"/>
      <c r="D975" s="17" t="n"/>
      <c r="E975" s="17" t="n"/>
      <c r="F975" s="28" t="n"/>
      <c r="G975" s="29" t="n"/>
      <c r="H975" s="29" t="n"/>
      <c r="I975" s="29" t="n"/>
      <c r="J975" s="29" t="n"/>
      <c r="K975" s="30">
        <f>IF(B975="","",SUM(G$2:I975)-SUM(J$2:J975))</f>
        <v/>
      </c>
      <c r="L975" s="22">
        <f>IF(B975="","",IF(B975=B974,L974,N(L974)+1))</f>
        <v/>
      </c>
    </row>
    <row r="976">
      <c r="A976" s="22" t="n"/>
      <c r="B976" s="27" t="n"/>
      <c r="C976" s="17" t="n"/>
      <c r="D976" s="17" t="n"/>
      <c r="E976" s="17" t="n"/>
      <c r="F976" s="28" t="n"/>
      <c r="G976" s="29" t="n"/>
      <c r="H976" s="29" t="n"/>
      <c r="I976" s="29" t="n"/>
      <c r="J976" s="29" t="n"/>
      <c r="K976" s="30">
        <f>IF(B976="","",SUM(G$2:I976)-SUM(J$2:J976))</f>
        <v/>
      </c>
      <c r="L976" s="22">
        <f>IF(B976="","",IF(B976=B975,L975,N(L975)+1))</f>
        <v/>
      </c>
    </row>
    <row r="977">
      <c r="A977" s="22" t="n"/>
      <c r="B977" s="27" t="n"/>
      <c r="C977" s="17" t="n"/>
      <c r="D977" s="17" t="n"/>
      <c r="E977" s="17" t="n"/>
      <c r="F977" s="28" t="n"/>
      <c r="G977" s="29" t="n"/>
      <c r="H977" s="29" t="n"/>
      <c r="I977" s="29" t="n"/>
      <c r="J977" s="29" t="n"/>
      <c r="K977" s="30">
        <f>IF(B977="","",SUM(G$2:I977)-SUM(J$2:J977))</f>
        <v/>
      </c>
      <c r="L977" s="22">
        <f>IF(B977="","",IF(B977=B976,L976,N(L976)+1))</f>
        <v/>
      </c>
    </row>
    <row r="978">
      <c r="A978" s="22" t="n"/>
      <c r="B978" s="27" t="n"/>
      <c r="C978" s="17" t="n"/>
      <c r="D978" s="17" t="n"/>
      <c r="E978" s="17" t="n"/>
      <c r="F978" s="28" t="n"/>
      <c r="G978" s="29" t="n"/>
      <c r="H978" s="29" t="n"/>
      <c r="I978" s="29" t="n"/>
      <c r="J978" s="29" t="n"/>
      <c r="K978" s="30">
        <f>IF(B978="","",SUM(G$2:I978)-SUM(J$2:J978))</f>
        <v/>
      </c>
      <c r="L978" s="22">
        <f>IF(B978="","",IF(B978=B977,L977,N(L977)+1))</f>
        <v/>
      </c>
    </row>
    <row r="979">
      <c r="A979" s="22" t="n"/>
      <c r="B979" s="27" t="n"/>
      <c r="C979" s="17" t="n"/>
      <c r="D979" s="17" t="n"/>
      <c r="E979" s="17" t="n"/>
      <c r="F979" s="28" t="n"/>
      <c r="G979" s="29" t="n"/>
      <c r="H979" s="29" t="n"/>
      <c r="I979" s="29" t="n"/>
      <c r="J979" s="29" t="n"/>
      <c r="K979" s="30">
        <f>IF(B979="","",SUM(G$2:I979)-SUM(J$2:J979))</f>
        <v/>
      </c>
      <c r="L979" s="22">
        <f>IF(B979="","",IF(B979=B978,L978,N(L978)+1))</f>
        <v/>
      </c>
    </row>
    <row r="980">
      <c r="A980" s="22" t="n"/>
      <c r="B980" s="27" t="n"/>
      <c r="C980" s="17" t="n"/>
      <c r="D980" s="17" t="n"/>
      <c r="E980" s="17" t="n"/>
      <c r="F980" s="28" t="n"/>
      <c r="G980" s="29" t="n"/>
      <c r="H980" s="29" t="n"/>
      <c r="I980" s="29" t="n"/>
      <c r="J980" s="29" t="n"/>
      <c r="K980" s="30">
        <f>IF(B980="","",SUM(G$2:I980)-SUM(J$2:J980))</f>
        <v/>
      </c>
      <c r="L980" s="22">
        <f>IF(B980="","",IF(B980=B979,L979,N(L979)+1))</f>
        <v/>
      </c>
    </row>
    <row r="981">
      <c r="A981" s="22" t="n"/>
      <c r="B981" s="27" t="n"/>
      <c r="C981" s="17" t="n"/>
      <c r="D981" s="17" t="n"/>
      <c r="E981" s="17" t="n"/>
      <c r="F981" s="28" t="n"/>
      <c r="G981" s="29" t="n"/>
      <c r="H981" s="29" t="n"/>
      <c r="I981" s="29" t="n"/>
      <c r="J981" s="29" t="n"/>
      <c r="K981" s="30">
        <f>IF(B981="","",SUM(G$2:I981)-SUM(J$2:J981))</f>
        <v/>
      </c>
      <c r="L981" s="22">
        <f>IF(B981="","",IF(B981=B980,L980,N(L980)+1))</f>
        <v/>
      </c>
    </row>
    <row r="982">
      <c r="A982" s="22" t="n"/>
      <c r="B982" s="27" t="n"/>
      <c r="C982" s="17" t="n"/>
      <c r="D982" s="17" t="n"/>
      <c r="E982" s="17" t="n"/>
      <c r="F982" s="28" t="n"/>
      <c r="G982" s="29" t="n"/>
      <c r="H982" s="29" t="n"/>
      <c r="I982" s="29" t="n"/>
      <c r="J982" s="29" t="n"/>
      <c r="K982" s="30">
        <f>IF(B982="","",SUM(G$2:I982)-SUM(J$2:J982))</f>
        <v/>
      </c>
      <c r="L982" s="22">
        <f>IF(B982="","",IF(B982=B981,L981,N(L981)+1))</f>
        <v/>
      </c>
    </row>
    <row r="983">
      <c r="A983" s="22" t="n"/>
      <c r="B983" s="27" t="n"/>
      <c r="C983" s="17" t="n"/>
      <c r="D983" s="17" t="n"/>
      <c r="E983" s="17" t="n"/>
      <c r="F983" s="28" t="n"/>
      <c r="G983" s="29" t="n"/>
      <c r="H983" s="29" t="n"/>
      <c r="I983" s="29" t="n"/>
      <c r="J983" s="29" t="n"/>
      <c r="K983" s="30">
        <f>IF(B983="","",SUM(G$2:I983)-SUM(J$2:J983))</f>
        <v/>
      </c>
      <c r="L983" s="22">
        <f>IF(B983="","",IF(B983=B982,L982,N(L982)+1))</f>
        <v/>
      </c>
    </row>
    <row r="984">
      <c r="A984" s="22" t="n"/>
      <c r="B984" s="27" t="n"/>
      <c r="C984" s="17" t="n"/>
      <c r="D984" s="17" t="n"/>
      <c r="E984" s="17" t="n"/>
      <c r="F984" s="28" t="n"/>
      <c r="G984" s="29" t="n"/>
      <c r="H984" s="29" t="n"/>
      <c r="I984" s="29" t="n"/>
      <c r="J984" s="29" t="n"/>
      <c r="K984" s="30">
        <f>IF(B984="","",SUM(G$2:I984)-SUM(J$2:J984))</f>
        <v/>
      </c>
      <c r="L984" s="22">
        <f>IF(B984="","",IF(B984=B983,L983,N(L983)+1))</f>
        <v/>
      </c>
    </row>
    <row r="985">
      <c r="A985" s="22" t="n"/>
      <c r="B985" s="27" t="n"/>
      <c r="C985" s="17" t="n"/>
      <c r="D985" s="17" t="n"/>
      <c r="E985" s="17" t="n"/>
      <c r="F985" s="28" t="n"/>
      <c r="G985" s="29" t="n"/>
      <c r="H985" s="29" t="n"/>
      <c r="I985" s="29" t="n"/>
      <c r="J985" s="29" t="n"/>
      <c r="K985" s="30">
        <f>IF(B985="","",SUM(G$2:I985)-SUM(J$2:J985))</f>
        <v/>
      </c>
      <c r="L985" s="22">
        <f>IF(B985="","",IF(B985=B984,L984,N(L984)+1))</f>
        <v/>
      </c>
    </row>
    <row r="986">
      <c r="A986" s="22" t="n"/>
      <c r="B986" s="27" t="n"/>
      <c r="C986" s="17" t="n"/>
      <c r="D986" s="17" t="n"/>
      <c r="E986" s="17" t="n"/>
      <c r="F986" s="28" t="n"/>
      <c r="G986" s="29" t="n"/>
      <c r="H986" s="29" t="n"/>
      <c r="I986" s="29" t="n"/>
      <c r="J986" s="29" t="n"/>
      <c r="K986" s="30">
        <f>IF(B986="","",SUM(G$2:I986)-SUM(J$2:J986))</f>
        <v/>
      </c>
      <c r="L986" s="22">
        <f>IF(B986="","",IF(B986=B985,L985,N(L985)+1))</f>
        <v/>
      </c>
    </row>
    <row r="987">
      <c r="A987" s="22" t="n"/>
      <c r="B987" s="27" t="n"/>
      <c r="C987" s="17" t="n"/>
      <c r="D987" s="17" t="n"/>
      <c r="E987" s="17" t="n"/>
      <c r="F987" s="28" t="n"/>
      <c r="G987" s="29" t="n"/>
      <c r="H987" s="29" t="n"/>
      <c r="I987" s="29" t="n"/>
      <c r="J987" s="29" t="n"/>
      <c r="K987" s="30">
        <f>IF(B987="","",SUM(G$2:I987)-SUM(J$2:J987))</f>
        <v/>
      </c>
      <c r="L987" s="22">
        <f>IF(B987="","",IF(B987=B986,L986,N(L986)+1))</f>
        <v/>
      </c>
    </row>
    <row r="988">
      <c r="A988" s="22" t="n"/>
      <c r="B988" s="27" t="n"/>
      <c r="C988" s="17" t="n"/>
      <c r="D988" s="17" t="n"/>
      <c r="E988" s="17" t="n"/>
      <c r="F988" s="28" t="n"/>
      <c r="G988" s="29" t="n"/>
      <c r="H988" s="29" t="n"/>
      <c r="I988" s="29" t="n"/>
      <c r="J988" s="29" t="n"/>
      <c r="K988" s="30">
        <f>IF(B988="","",SUM(G$2:I988)-SUM(J$2:J988))</f>
        <v/>
      </c>
      <c r="L988" s="22">
        <f>IF(B988="","",IF(B988=B987,L987,N(L987)+1))</f>
        <v/>
      </c>
    </row>
    <row r="989">
      <c r="A989" s="22" t="n"/>
      <c r="B989" s="27" t="n"/>
      <c r="C989" s="17" t="n"/>
      <c r="D989" s="17" t="n"/>
      <c r="E989" s="17" t="n"/>
      <c r="F989" s="28" t="n"/>
      <c r="G989" s="29" t="n"/>
      <c r="H989" s="29" t="n"/>
      <c r="I989" s="29" t="n"/>
      <c r="J989" s="29" t="n"/>
      <c r="K989" s="30">
        <f>IF(B989="","",SUM(G$2:I989)-SUM(J$2:J989))</f>
        <v/>
      </c>
      <c r="L989" s="22">
        <f>IF(B989="","",IF(B989=B988,L988,N(L988)+1))</f>
        <v/>
      </c>
    </row>
    <row r="990">
      <c r="A990" s="22" t="n"/>
      <c r="B990" s="27" t="n"/>
      <c r="C990" s="17" t="n"/>
      <c r="D990" s="17" t="n"/>
      <c r="E990" s="17" t="n"/>
      <c r="F990" s="28" t="n"/>
      <c r="G990" s="29" t="n"/>
      <c r="H990" s="29" t="n"/>
      <c r="I990" s="29" t="n"/>
      <c r="J990" s="29" t="n"/>
      <c r="K990" s="30">
        <f>IF(B990="","",SUM(G$2:I990)-SUM(J$2:J990))</f>
        <v/>
      </c>
      <c r="L990" s="22">
        <f>IF(B990="","",IF(B990=B989,L989,N(L989)+1))</f>
        <v/>
      </c>
    </row>
    <row r="991">
      <c r="A991" s="22" t="n"/>
      <c r="B991" s="27" t="n"/>
      <c r="C991" s="17" t="n"/>
      <c r="D991" s="17" t="n"/>
      <c r="E991" s="17" t="n"/>
      <c r="F991" s="28" t="n"/>
      <c r="G991" s="29" t="n"/>
      <c r="H991" s="29" t="n"/>
      <c r="I991" s="29" t="n"/>
      <c r="J991" s="29" t="n"/>
      <c r="K991" s="30">
        <f>IF(B991="","",SUM(G$2:I991)-SUM(J$2:J991))</f>
        <v/>
      </c>
      <c r="L991" s="22">
        <f>IF(B991="","",IF(B991=B990,L990,N(L990)+1))</f>
        <v/>
      </c>
    </row>
    <row r="992">
      <c r="A992" s="22" t="n"/>
      <c r="B992" s="27" t="n"/>
      <c r="C992" s="17" t="n"/>
      <c r="D992" s="17" t="n"/>
      <c r="E992" s="17" t="n"/>
      <c r="F992" s="28" t="n"/>
      <c r="G992" s="29" t="n"/>
      <c r="H992" s="29" t="n"/>
      <c r="I992" s="29" t="n"/>
      <c r="J992" s="29" t="n"/>
      <c r="K992" s="30">
        <f>IF(B992="","",SUM(G$2:I992)-SUM(J$2:J992))</f>
        <v/>
      </c>
      <c r="L992" s="22">
        <f>IF(B992="","",IF(B992=B991,L991,N(L991)+1))</f>
        <v/>
      </c>
    </row>
    <row r="993">
      <c r="A993" s="22" t="n"/>
      <c r="B993" s="27" t="n"/>
      <c r="C993" s="17" t="n"/>
      <c r="D993" s="17" t="n"/>
      <c r="E993" s="17" t="n"/>
      <c r="F993" s="28" t="n"/>
      <c r="G993" s="29" t="n"/>
      <c r="H993" s="29" t="n"/>
      <c r="I993" s="29" t="n"/>
      <c r="J993" s="29" t="n"/>
      <c r="K993" s="30">
        <f>IF(B993="","",SUM(G$2:I993)-SUM(J$2:J993))</f>
        <v/>
      </c>
      <c r="L993" s="22">
        <f>IF(B993="","",IF(B993=B992,L992,N(L992)+1))</f>
        <v/>
      </c>
    </row>
    <row r="994">
      <c r="A994" s="22" t="n"/>
      <c r="B994" s="27" t="n"/>
      <c r="C994" s="17" t="n"/>
      <c r="D994" s="17" t="n"/>
      <c r="E994" s="17" t="n"/>
      <c r="F994" s="28" t="n"/>
      <c r="G994" s="29" t="n"/>
      <c r="H994" s="29" t="n"/>
      <c r="I994" s="29" t="n"/>
      <c r="J994" s="29" t="n"/>
      <c r="K994" s="30">
        <f>IF(B994="","",SUM(G$2:I994)-SUM(J$2:J994))</f>
        <v/>
      </c>
      <c r="L994" s="22">
        <f>IF(B994="","",IF(B994=B993,L993,N(L993)+1))</f>
        <v/>
      </c>
    </row>
    <row r="995">
      <c r="A995" s="22" t="n"/>
      <c r="B995" s="27" t="n"/>
      <c r="C995" s="17" t="n"/>
      <c r="D995" s="17" t="n"/>
      <c r="E995" s="17" t="n"/>
      <c r="F995" s="28" t="n"/>
      <c r="G995" s="29" t="n"/>
      <c r="H995" s="29" t="n"/>
      <c r="I995" s="29" t="n"/>
      <c r="J995" s="29" t="n"/>
      <c r="K995" s="30">
        <f>IF(B995="","",SUM(G$2:I995)-SUM(J$2:J995))</f>
        <v/>
      </c>
      <c r="L995" s="22">
        <f>IF(B995="","",IF(B995=B994,L994,N(L994)+1))</f>
        <v/>
      </c>
    </row>
    <row r="996">
      <c r="A996" s="22" t="n"/>
      <c r="B996" s="27" t="n"/>
      <c r="C996" s="17" t="n"/>
      <c r="D996" s="17" t="n"/>
      <c r="E996" s="17" t="n"/>
      <c r="F996" s="28" t="n"/>
      <c r="G996" s="29" t="n"/>
      <c r="H996" s="29" t="n"/>
      <c r="I996" s="29" t="n"/>
      <c r="J996" s="29" t="n"/>
      <c r="K996" s="30">
        <f>IF(B996="","",SUM(G$2:I996)-SUM(J$2:J996))</f>
        <v/>
      </c>
      <c r="L996" s="22">
        <f>IF(B996="","",IF(B996=B995,L995,N(L995)+1))</f>
        <v/>
      </c>
    </row>
    <row r="997">
      <c r="A997" s="22" t="n"/>
      <c r="B997" s="27" t="n"/>
      <c r="C997" s="17" t="n"/>
      <c r="D997" s="17" t="n"/>
      <c r="E997" s="17" t="n"/>
      <c r="F997" s="28" t="n"/>
      <c r="G997" s="29" t="n"/>
      <c r="H997" s="29" t="n"/>
      <c r="I997" s="29" t="n"/>
      <c r="J997" s="29" t="n"/>
      <c r="K997" s="30">
        <f>IF(B997="","",SUM(G$2:I997)-SUM(J$2:J997))</f>
        <v/>
      </c>
      <c r="L997" s="22">
        <f>IF(B997="","",IF(B997=B996,L996,N(L996)+1))</f>
        <v/>
      </c>
    </row>
    <row r="998">
      <c r="A998" s="22" t="n"/>
      <c r="B998" s="27" t="n"/>
      <c r="C998" s="17" t="n"/>
      <c r="D998" s="17" t="n"/>
      <c r="E998" s="17" t="n"/>
      <c r="F998" s="28" t="n"/>
      <c r="G998" s="29" t="n"/>
      <c r="H998" s="29" t="n"/>
      <c r="I998" s="29" t="n"/>
      <c r="J998" s="29" t="n"/>
      <c r="K998" s="30">
        <f>IF(B998="","",SUM(G$2:I998)-SUM(J$2:J998))</f>
        <v/>
      </c>
      <c r="L998" s="22">
        <f>IF(B998="","",IF(B998=B997,L997,N(L997)+1))</f>
        <v/>
      </c>
    </row>
    <row r="999">
      <c r="A999" s="22" t="n"/>
      <c r="B999" s="27" t="n"/>
      <c r="C999" s="17" t="n"/>
      <c r="D999" s="17" t="n"/>
      <c r="E999" s="17" t="n"/>
      <c r="F999" s="28" t="n"/>
      <c r="G999" s="29" t="n"/>
      <c r="H999" s="29" t="n"/>
      <c r="I999" s="29" t="n"/>
      <c r="J999" s="29" t="n"/>
      <c r="K999" s="30">
        <f>IF(B999="","",SUM(G$2:I999)-SUM(J$2:J999))</f>
        <v/>
      </c>
      <c r="L999" s="22">
        <f>IF(B999="","",IF(B999=B998,L998,N(L998)+1))</f>
        <v/>
      </c>
    </row>
    <row r="1000">
      <c r="A1000" s="22" t="n"/>
      <c r="B1000" s="27" t="n"/>
      <c r="C1000" s="17" t="n"/>
      <c r="D1000" s="17" t="n"/>
      <c r="E1000" s="17" t="n"/>
      <c r="F1000" s="28" t="n"/>
      <c r="G1000" s="29" t="n"/>
      <c r="H1000" s="29" t="n"/>
      <c r="I1000" s="29" t="n"/>
      <c r="J1000" s="29" t="n"/>
      <c r="K1000" s="30">
        <f>IF(B1000="","",SUM(G$2:I1000)-SUM(J$2:J1000))</f>
        <v/>
      </c>
      <c r="L1000" s="22">
        <f>IF(B1000="","",IF(B1000=B999,L999,N(L999)+1))</f>
        <v/>
      </c>
    </row>
    <row r="1001">
      <c r="A1001" s="22" t="n"/>
      <c r="B1001" s="27" t="n"/>
      <c r="C1001" s="17" t="n"/>
      <c r="D1001" s="17" t="n"/>
      <c r="E1001" s="17" t="n"/>
      <c r="F1001" s="28" t="n"/>
      <c r="G1001" s="29" t="n"/>
      <c r="H1001" s="29" t="n"/>
      <c r="I1001" s="29" t="n"/>
      <c r="J1001" s="29" t="n"/>
      <c r="K1001" s="30">
        <f>IF(B1001="","",SUM(G$2:I1001)-SUM(J$2:J1001))</f>
        <v/>
      </c>
      <c r="L1001" s="22">
        <f>IF(B1001="","",IF(B1001=B1000,L1000,N(L1000)+1))</f>
        <v/>
      </c>
    </row>
    <row r="1002">
      <c r="A1002" s="22" t="n"/>
      <c r="B1002" s="27" t="n"/>
      <c r="C1002" s="17" t="n"/>
      <c r="D1002" s="17" t="n"/>
      <c r="E1002" s="17" t="n"/>
      <c r="F1002" s="28" t="n"/>
      <c r="G1002" s="29" t="n"/>
      <c r="H1002" s="29" t="n"/>
      <c r="I1002" s="29" t="n"/>
      <c r="J1002" s="29" t="n"/>
      <c r="K1002" s="30">
        <f>IF(B1002="","",SUM(G$2:I1002)-SUM(J$2:J1002))</f>
        <v/>
      </c>
      <c r="L1002" s="22">
        <f>IF(B1002="","",IF(B1002=B1001,L1001,N(L1001)+1))</f>
        <v/>
      </c>
    </row>
    <row r="1003">
      <c r="A1003" s="22" t="n"/>
      <c r="B1003" s="27" t="n"/>
      <c r="C1003" s="17" t="n"/>
      <c r="D1003" s="17" t="n"/>
      <c r="E1003" s="17" t="n"/>
      <c r="F1003" s="28" t="n"/>
      <c r="G1003" s="29" t="n"/>
      <c r="H1003" s="29" t="n"/>
      <c r="I1003" s="29" t="n"/>
      <c r="J1003" s="29" t="n"/>
      <c r="K1003" s="30">
        <f>IF(B1003="","",SUM(G$2:I1003)-SUM(J$2:J1003))</f>
        <v/>
      </c>
      <c r="L1003" s="22">
        <f>IF(B1003="","",IF(B1003=B1002,L1002,N(L1002)+1))</f>
        <v/>
      </c>
    </row>
    <row r="1004">
      <c r="A1004" s="22" t="n"/>
      <c r="B1004" s="27" t="n"/>
      <c r="C1004" s="17" t="n"/>
      <c r="D1004" s="17" t="n"/>
      <c r="E1004" s="17" t="n"/>
      <c r="F1004" s="28" t="n"/>
      <c r="G1004" s="29" t="n"/>
      <c r="H1004" s="29" t="n"/>
      <c r="I1004" s="29" t="n"/>
      <c r="J1004" s="29" t="n"/>
      <c r="K1004" s="30">
        <f>IF(B1004="","",SUM(G$2:I1004)-SUM(J$2:J1004))</f>
        <v/>
      </c>
      <c r="L1004" s="22">
        <f>IF(B1004="","",IF(B1004=B1003,L1003,N(L1003)+1))</f>
        <v/>
      </c>
    </row>
    <row r="1005">
      <c r="A1005" s="22" t="n"/>
      <c r="B1005" s="27" t="n"/>
      <c r="C1005" s="17" t="n"/>
      <c r="D1005" s="17" t="n"/>
      <c r="E1005" s="17" t="n"/>
      <c r="F1005" s="28" t="n"/>
      <c r="G1005" s="29" t="n"/>
      <c r="H1005" s="29" t="n"/>
      <c r="I1005" s="29" t="n"/>
      <c r="J1005" s="29" t="n"/>
      <c r="K1005" s="30">
        <f>IF(B1005="","",SUM(G$2:I1005)-SUM(J$2:J1005))</f>
        <v/>
      </c>
      <c r="L1005" s="22">
        <f>IF(B1005="","",IF(B1005=B1004,L1004,N(L1004)+1))</f>
        <v/>
      </c>
    </row>
    <row r="1006">
      <c r="A1006" s="22" t="n"/>
      <c r="B1006" s="27" t="n"/>
      <c r="C1006" s="17" t="n"/>
      <c r="D1006" s="17" t="n"/>
      <c r="E1006" s="17" t="n"/>
      <c r="F1006" s="28" t="n"/>
      <c r="G1006" s="29" t="n"/>
      <c r="H1006" s="29" t="n"/>
      <c r="I1006" s="29" t="n"/>
      <c r="J1006" s="29" t="n"/>
      <c r="K1006" s="30">
        <f>IF(B1006="","",SUM(G$2:I1006)-SUM(J$2:J1006))</f>
        <v/>
      </c>
      <c r="L1006" s="22">
        <f>IF(B1006="","",IF(B1006=B1005,L1005,N(L1005)+1))</f>
        <v/>
      </c>
    </row>
    <row r="1007">
      <c r="A1007" s="22" t="n"/>
      <c r="B1007" s="27" t="n"/>
      <c r="C1007" s="17" t="n"/>
      <c r="D1007" s="17" t="n"/>
      <c r="E1007" s="17" t="n"/>
      <c r="F1007" s="28" t="n"/>
      <c r="G1007" s="29" t="n"/>
      <c r="H1007" s="29" t="n"/>
      <c r="I1007" s="29" t="n"/>
      <c r="J1007" s="29" t="n"/>
      <c r="K1007" s="30">
        <f>IF(B1007="","",SUM(G$2:I1007)-SUM(J$2:J1007))</f>
        <v/>
      </c>
      <c r="L1007" s="22">
        <f>IF(B1007="","",IF(B1007=B1006,L1006,N(L1006)+1))</f>
        <v/>
      </c>
    </row>
    <row r="1008">
      <c r="A1008" s="22" t="n"/>
      <c r="B1008" s="27" t="n"/>
      <c r="C1008" s="17" t="n"/>
      <c r="D1008" s="17" t="n"/>
      <c r="E1008" s="17" t="n"/>
      <c r="F1008" s="28" t="n"/>
      <c r="G1008" s="29" t="n"/>
      <c r="H1008" s="29" t="n"/>
      <c r="I1008" s="29" t="n"/>
      <c r="J1008" s="29" t="n"/>
      <c r="K1008" s="30">
        <f>IF(B1008="","",SUM(G$2:I1008)-SUM(J$2:J1008))</f>
        <v/>
      </c>
      <c r="L1008" s="22">
        <f>IF(B1008="","",IF(B1008=B1007,L1007,N(L1007)+1))</f>
        <v/>
      </c>
    </row>
    <row r="1009">
      <c r="A1009" s="22" t="n"/>
      <c r="B1009" s="27" t="n"/>
      <c r="C1009" s="17" t="n"/>
      <c r="D1009" s="17" t="n"/>
      <c r="E1009" s="17" t="n"/>
      <c r="F1009" s="28" t="n"/>
      <c r="G1009" s="29" t="n"/>
      <c r="H1009" s="29" t="n"/>
      <c r="I1009" s="29" t="n"/>
      <c r="J1009" s="29" t="n"/>
      <c r="K1009" s="30">
        <f>IF(B1009="","",SUM(G$2:I1009)-SUM(J$2:J1009))</f>
        <v/>
      </c>
      <c r="L1009" s="22">
        <f>IF(B1009="","",IF(B1009=B1008,L1008,N(L1008)+1))</f>
        <v/>
      </c>
    </row>
    <row r="1010">
      <c r="A1010" s="22" t="n"/>
      <c r="B1010" s="27" t="n"/>
      <c r="C1010" s="17" t="n"/>
      <c r="D1010" s="17" t="n"/>
      <c r="E1010" s="17" t="n"/>
      <c r="F1010" s="28" t="n"/>
      <c r="G1010" s="29" t="n"/>
      <c r="H1010" s="29" t="n"/>
      <c r="I1010" s="29" t="n"/>
      <c r="J1010" s="29" t="n"/>
      <c r="K1010" s="30">
        <f>IF(B1010="","",SUM(G$2:I1010)-SUM(J$2:J1010))</f>
        <v/>
      </c>
      <c r="L1010" s="22">
        <f>IF(B1010="","",IF(B1010=B1009,L1009,N(L1009)+1))</f>
        <v/>
      </c>
    </row>
    <row r="1011">
      <c r="A1011" s="22" t="n"/>
      <c r="B1011" s="27" t="n"/>
      <c r="C1011" s="17" t="n"/>
      <c r="D1011" s="17" t="n"/>
      <c r="E1011" s="17" t="n"/>
      <c r="F1011" s="28" t="n"/>
      <c r="G1011" s="29" t="n"/>
      <c r="H1011" s="29" t="n"/>
      <c r="I1011" s="29" t="n"/>
      <c r="J1011" s="29" t="n"/>
      <c r="K1011" s="30">
        <f>IF(B1011="","",SUM(G$2:I1011)-SUM(J$2:J1011))</f>
        <v/>
      </c>
      <c r="L1011" s="22">
        <f>IF(B1011="","",IF(B1011=B1010,L1010,N(L1010)+1))</f>
        <v/>
      </c>
    </row>
    <row r="1012">
      <c r="A1012" s="22" t="n"/>
      <c r="B1012" s="27" t="n"/>
      <c r="C1012" s="17" t="n"/>
      <c r="D1012" s="17" t="n"/>
      <c r="E1012" s="17" t="n"/>
      <c r="F1012" s="28" t="n"/>
      <c r="G1012" s="29" t="n"/>
      <c r="H1012" s="29" t="n"/>
      <c r="I1012" s="29" t="n"/>
      <c r="J1012" s="29" t="n"/>
      <c r="K1012" s="30">
        <f>IF(B1012="","",SUM(G$2:I1012)-SUM(J$2:J1012))</f>
        <v/>
      </c>
      <c r="L1012" s="22">
        <f>IF(B1012="","",IF(B1012=B1011,L1011,N(L1011)+1))</f>
        <v/>
      </c>
    </row>
    <row r="1013">
      <c r="A1013" s="22" t="n"/>
      <c r="B1013" s="27" t="n"/>
      <c r="C1013" s="17" t="n"/>
      <c r="D1013" s="17" t="n"/>
      <c r="E1013" s="17" t="n"/>
      <c r="F1013" s="28" t="n"/>
      <c r="G1013" s="29" t="n"/>
      <c r="H1013" s="29" t="n"/>
      <c r="I1013" s="29" t="n"/>
      <c r="J1013" s="29" t="n"/>
      <c r="K1013" s="30">
        <f>IF(B1013="","",SUM(G$2:I1013)-SUM(J$2:J1013))</f>
        <v/>
      </c>
      <c r="L1013" s="22">
        <f>IF(B1013="","",IF(B1013=B1012,L1012,N(L1012)+1))</f>
        <v/>
      </c>
    </row>
    <row r="1014">
      <c r="A1014" s="22" t="n"/>
      <c r="B1014" s="27" t="n"/>
      <c r="C1014" s="17" t="n"/>
      <c r="D1014" s="17" t="n"/>
      <c r="E1014" s="17" t="n"/>
      <c r="F1014" s="28" t="n"/>
      <c r="G1014" s="29" t="n"/>
      <c r="H1014" s="29" t="n"/>
      <c r="I1014" s="29" t="n"/>
      <c r="J1014" s="29" t="n"/>
      <c r="K1014" s="30">
        <f>IF(B1014="","",SUM(G$2:I1014)-SUM(J$2:J1014))</f>
        <v/>
      </c>
      <c r="L1014" s="22">
        <f>IF(B1014="","",IF(B1014=B1013,L1013,N(L1013)+1))</f>
        <v/>
      </c>
    </row>
    <row r="1015">
      <c r="A1015" s="22" t="n"/>
      <c r="B1015" s="27" t="n"/>
      <c r="C1015" s="17" t="n"/>
      <c r="D1015" s="17" t="n"/>
      <c r="E1015" s="17" t="n"/>
      <c r="F1015" s="28" t="n"/>
      <c r="G1015" s="29" t="n"/>
      <c r="H1015" s="29" t="n"/>
      <c r="I1015" s="29" t="n"/>
      <c r="J1015" s="29" t="n"/>
      <c r="K1015" s="30">
        <f>IF(B1015="","",SUM(G$2:I1015)-SUM(J$2:J1015))</f>
        <v/>
      </c>
      <c r="L1015" s="22">
        <f>IF(B1015="","",IF(B1015=B1014,L1014,N(L1014)+1))</f>
        <v/>
      </c>
    </row>
    <row r="1016">
      <c r="A1016" s="22" t="n"/>
      <c r="B1016" s="27" t="n"/>
      <c r="C1016" s="17" t="n"/>
      <c r="D1016" s="17" t="n"/>
      <c r="E1016" s="17" t="n"/>
      <c r="F1016" s="28" t="n"/>
      <c r="G1016" s="29" t="n"/>
      <c r="H1016" s="29" t="n"/>
      <c r="I1016" s="29" t="n"/>
      <c r="J1016" s="29" t="n"/>
      <c r="K1016" s="30">
        <f>IF(B1016="","",SUM(G$2:I1016)-SUM(J$2:J1016))</f>
        <v/>
      </c>
      <c r="L1016" s="22">
        <f>IF(B1016="","",IF(B1016=B1015,L1015,N(L1015)+1))</f>
        <v/>
      </c>
    </row>
    <row r="1017">
      <c r="A1017" s="22" t="n"/>
      <c r="B1017" s="27" t="n"/>
      <c r="C1017" s="17" t="n"/>
      <c r="D1017" s="17" t="n"/>
      <c r="E1017" s="17" t="n"/>
      <c r="F1017" s="28" t="n"/>
      <c r="G1017" s="29" t="n"/>
      <c r="H1017" s="29" t="n"/>
      <c r="I1017" s="29" t="n"/>
      <c r="J1017" s="29" t="n"/>
      <c r="K1017" s="30">
        <f>IF(B1017="","",SUM(G$2:I1017)-SUM(J$2:J1017))</f>
        <v/>
      </c>
      <c r="L1017" s="22">
        <f>IF(B1017="","",IF(B1017=B1016,L1016,N(L1016)+1))</f>
        <v/>
      </c>
    </row>
    <row r="1018">
      <c r="A1018" s="22" t="n"/>
      <c r="B1018" s="27" t="n"/>
      <c r="C1018" s="17" t="n"/>
      <c r="D1018" s="17" t="n"/>
      <c r="E1018" s="17" t="n"/>
      <c r="F1018" s="28" t="n"/>
      <c r="G1018" s="29" t="n"/>
      <c r="H1018" s="29" t="n"/>
      <c r="I1018" s="29" t="n"/>
      <c r="J1018" s="29" t="n"/>
      <c r="K1018" s="30">
        <f>IF(B1018="","",SUM(G$2:I1018)-SUM(J$2:J1018))</f>
        <v/>
      </c>
      <c r="L1018" s="22">
        <f>IF(B1018="","",IF(B1018=B1017,L1017,N(L1017)+1))</f>
        <v/>
      </c>
    </row>
    <row r="1019">
      <c r="A1019" s="22" t="n"/>
      <c r="B1019" s="27" t="n"/>
      <c r="C1019" s="17" t="n"/>
      <c r="D1019" s="17" t="n"/>
      <c r="E1019" s="17" t="n"/>
      <c r="F1019" s="28" t="n"/>
      <c r="G1019" s="29" t="n"/>
      <c r="H1019" s="29" t="n"/>
      <c r="I1019" s="29" t="n"/>
      <c r="J1019" s="29" t="n"/>
      <c r="K1019" s="30">
        <f>IF(B1019="","",SUM(G$2:I1019)-SUM(J$2:J1019))</f>
        <v/>
      </c>
      <c r="L1019" s="22">
        <f>IF(B1019="","",IF(B1019=B1018,L1018,N(L1018)+1))</f>
        <v/>
      </c>
    </row>
    <row r="1020">
      <c r="A1020" s="22" t="n"/>
      <c r="B1020" s="27" t="n"/>
      <c r="C1020" s="17" t="n"/>
      <c r="D1020" s="17" t="n"/>
      <c r="E1020" s="17" t="n"/>
      <c r="F1020" s="28" t="n"/>
      <c r="G1020" s="29" t="n"/>
      <c r="H1020" s="29" t="n"/>
      <c r="I1020" s="29" t="n"/>
      <c r="J1020" s="29" t="n"/>
      <c r="K1020" s="30">
        <f>IF(B1020="","",SUM(G$2:I1020)-SUM(J$2:J1020))</f>
        <v/>
      </c>
      <c r="L1020" s="22">
        <f>IF(B1020="","",IF(B1020=B1019,L1019,N(L1019)+1))</f>
        <v/>
      </c>
    </row>
    <row r="1021">
      <c r="A1021" s="22" t="n"/>
      <c r="B1021" s="27" t="n"/>
      <c r="C1021" s="17" t="n"/>
      <c r="D1021" s="17" t="n"/>
      <c r="E1021" s="17" t="n"/>
      <c r="F1021" s="28" t="n"/>
      <c r="G1021" s="29" t="n"/>
      <c r="H1021" s="29" t="n"/>
      <c r="I1021" s="29" t="n"/>
      <c r="J1021" s="29" t="n"/>
      <c r="K1021" s="30">
        <f>IF(B1021="","",SUM(G$2:I1021)-SUM(J$2:J1021))</f>
        <v/>
      </c>
      <c r="L1021" s="22">
        <f>IF(B1021="","",IF(B1021=B1020,L1020,N(L1020)+1))</f>
        <v/>
      </c>
    </row>
    <row r="1022">
      <c r="A1022" s="22" t="n"/>
      <c r="B1022" s="27" t="n"/>
      <c r="C1022" s="17" t="n"/>
      <c r="D1022" s="17" t="n"/>
      <c r="E1022" s="17" t="n"/>
      <c r="F1022" s="28" t="n"/>
      <c r="G1022" s="29" t="n"/>
      <c r="H1022" s="29" t="n"/>
      <c r="I1022" s="29" t="n"/>
      <c r="J1022" s="29" t="n"/>
      <c r="K1022" s="30">
        <f>IF(B1022="","",SUM(G$2:I1022)-SUM(J$2:J1022))</f>
        <v/>
      </c>
      <c r="L1022" s="22">
        <f>IF(B1022="","",IF(B1022=B1021,L1021,N(L1021)+1))</f>
        <v/>
      </c>
    </row>
    <row r="1023">
      <c r="A1023" s="22" t="n"/>
      <c r="B1023" s="27" t="n"/>
      <c r="C1023" s="17" t="n"/>
      <c r="D1023" s="17" t="n"/>
      <c r="E1023" s="17" t="n"/>
      <c r="F1023" s="28" t="n"/>
      <c r="G1023" s="29" t="n"/>
      <c r="H1023" s="29" t="n"/>
      <c r="I1023" s="29" t="n"/>
      <c r="J1023" s="29" t="n"/>
      <c r="K1023" s="30">
        <f>IF(B1023="","",SUM(G$2:I1023)-SUM(J$2:J1023))</f>
        <v/>
      </c>
      <c r="L1023" s="22">
        <f>IF(B1023="","",IF(B1023=B1022,L1022,N(L1022)+1))</f>
        <v/>
      </c>
    </row>
    <row r="1024">
      <c r="A1024" s="22" t="n"/>
      <c r="B1024" s="27" t="n"/>
      <c r="C1024" s="17" t="n"/>
      <c r="D1024" s="17" t="n"/>
      <c r="E1024" s="17" t="n"/>
      <c r="F1024" s="28" t="n"/>
      <c r="G1024" s="29" t="n"/>
      <c r="H1024" s="29" t="n"/>
      <c r="I1024" s="29" t="n"/>
      <c r="J1024" s="29" t="n"/>
      <c r="K1024" s="30">
        <f>IF(B1024="","",SUM(G$2:I1024)-SUM(J$2:J1024))</f>
        <v/>
      </c>
      <c r="L1024" s="22">
        <f>IF(B1024="","",IF(B1024=B1023,L1023,N(L1023)+1))</f>
        <v/>
      </c>
    </row>
    <row r="1025">
      <c r="A1025" s="22" t="n"/>
      <c r="B1025" s="27" t="n"/>
      <c r="C1025" s="17" t="n"/>
      <c r="D1025" s="17" t="n"/>
      <c r="E1025" s="17" t="n"/>
      <c r="F1025" s="28" t="n"/>
      <c r="G1025" s="29" t="n"/>
      <c r="H1025" s="29" t="n"/>
      <c r="I1025" s="29" t="n"/>
      <c r="J1025" s="29" t="n"/>
      <c r="K1025" s="30">
        <f>IF(B1025="","",SUM(G$2:I1025)-SUM(J$2:J1025))</f>
        <v/>
      </c>
      <c r="L1025" s="22">
        <f>IF(B1025="","",IF(B1025=B1024,L1024,N(L1024)+1))</f>
        <v/>
      </c>
    </row>
    <row r="1026">
      <c r="A1026" s="22" t="n"/>
      <c r="B1026" s="27" t="n"/>
      <c r="C1026" s="17" t="n"/>
      <c r="D1026" s="17" t="n"/>
      <c r="E1026" s="17" t="n"/>
      <c r="F1026" s="28" t="n"/>
      <c r="G1026" s="29" t="n"/>
      <c r="H1026" s="29" t="n"/>
      <c r="I1026" s="29" t="n"/>
      <c r="J1026" s="29" t="n"/>
      <c r="K1026" s="30">
        <f>IF(B1026="","",SUM(G$2:I1026)-SUM(J$2:J1026))</f>
        <v/>
      </c>
      <c r="L1026" s="22">
        <f>IF(B1026="","",IF(B1026=B1025,L1025,N(L1025)+1))</f>
        <v/>
      </c>
    </row>
    <row r="1027">
      <c r="A1027" s="22" t="n"/>
      <c r="B1027" s="27" t="n"/>
      <c r="C1027" s="17" t="n"/>
      <c r="D1027" s="17" t="n"/>
      <c r="E1027" s="17" t="n"/>
      <c r="F1027" s="28" t="n"/>
      <c r="G1027" s="29" t="n"/>
      <c r="H1027" s="29" t="n"/>
      <c r="I1027" s="29" t="n"/>
      <c r="J1027" s="29" t="n"/>
      <c r="K1027" s="30">
        <f>IF(B1027="","",SUM(G$2:I1027)-SUM(J$2:J1027))</f>
        <v/>
      </c>
      <c r="L1027" s="22">
        <f>IF(B1027="","",IF(B1027=B1026,L1026,N(L1026)+1))</f>
        <v/>
      </c>
    </row>
    <row r="1028">
      <c r="A1028" s="22" t="n"/>
      <c r="B1028" s="27" t="n"/>
      <c r="C1028" s="17" t="n"/>
      <c r="D1028" s="17" t="n"/>
      <c r="E1028" s="17" t="n"/>
      <c r="F1028" s="28" t="n"/>
      <c r="G1028" s="29" t="n"/>
      <c r="H1028" s="29" t="n"/>
      <c r="I1028" s="29" t="n"/>
      <c r="J1028" s="29" t="n"/>
      <c r="K1028" s="30">
        <f>IF(B1028="","",SUM(G$2:I1028)-SUM(J$2:J1028))</f>
        <v/>
      </c>
      <c r="L1028" s="22">
        <f>IF(B1028="","",IF(B1028=B1027,L1027,N(L1027)+1))</f>
        <v/>
      </c>
    </row>
    <row r="1029">
      <c r="A1029" s="22" t="n"/>
      <c r="B1029" s="27" t="n"/>
      <c r="C1029" s="17" t="n"/>
      <c r="D1029" s="17" t="n"/>
      <c r="E1029" s="17" t="n"/>
      <c r="F1029" s="28" t="n"/>
      <c r="G1029" s="29" t="n"/>
      <c r="H1029" s="29" t="n"/>
      <c r="I1029" s="29" t="n"/>
      <c r="J1029" s="29" t="n"/>
      <c r="K1029" s="30">
        <f>IF(B1029="","",SUM(G$2:I1029)-SUM(J$2:J1029))</f>
        <v/>
      </c>
      <c r="L1029" s="22">
        <f>IF(B1029="","",IF(B1029=B1028,L1028,N(L1028)+1))</f>
        <v/>
      </c>
    </row>
    <row r="1030">
      <c r="A1030" s="22" t="n"/>
      <c r="B1030" s="27" t="n"/>
      <c r="C1030" s="17" t="n"/>
      <c r="D1030" s="17" t="n"/>
      <c r="E1030" s="17" t="n"/>
      <c r="F1030" s="28" t="n"/>
      <c r="G1030" s="29" t="n"/>
      <c r="H1030" s="29" t="n"/>
      <c r="I1030" s="29" t="n"/>
      <c r="J1030" s="29" t="n"/>
      <c r="K1030" s="30">
        <f>IF(B1030="","",SUM(G$2:I1030)-SUM(J$2:J1030))</f>
        <v/>
      </c>
      <c r="L1030" s="22">
        <f>IF(B1030="","",IF(B1030=B1029,L1029,N(L1029)+1))</f>
        <v/>
      </c>
    </row>
    <row r="1031">
      <c r="A1031" s="22" t="n"/>
      <c r="B1031" s="27" t="n"/>
      <c r="C1031" s="17" t="n"/>
      <c r="D1031" s="17" t="n"/>
      <c r="E1031" s="17" t="n"/>
      <c r="F1031" s="28" t="n"/>
      <c r="G1031" s="29" t="n"/>
      <c r="H1031" s="29" t="n"/>
      <c r="I1031" s="29" t="n"/>
      <c r="J1031" s="29" t="n"/>
      <c r="K1031" s="30">
        <f>IF(B1031="","",SUM(G$2:I1031)-SUM(J$2:J1031))</f>
        <v/>
      </c>
      <c r="L1031" s="22">
        <f>IF(B1031="","",IF(B1031=B1030,L1030,N(L1030)+1))</f>
        <v/>
      </c>
    </row>
    <row r="1032">
      <c r="A1032" s="22" t="n"/>
      <c r="B1032" s="27" t="n"/>
      <c r="C1032" s="17" t="n"/>
      <c r="D1032" s="17" t="n"/>
      <c r="E1032" s="17" t="n"/>
      <c r="F1032" s="28" t="n"/>
      <c r="G1032" s="29" t="n"/>
      <c r="H1032" s="29" t="n"/>
      <c r="I1032" s="29" t="n"/>
      <c r="J1032" s="29" t="n"/>
      <c r="K1032" s="30">
        <f>IF(B1032="","",SUM(G$2:I1032)-SUM(J$2:J1032))</f>
        <v/>
      </c>
      <c r="L1032" s="22">
        <f>IF(B1032="","",IF(B1032=B1031,L1031,N(L1031)+1))</f>
        <v/>
      </c>
    </row>
    <row r="1033">
      <c r="A1033" s="22" t="n"/>
      <c r="B1033" s="27" t="n"/>
      <c r="C1033" s="17" t="n"/>
      <c r="D1033" s="17" t="n"/>
      <c r="E1033" s="17" t="n"/>
      <c r="F1033" s="28" t="n"/>
      <c r="G1033" s="29" t="n"/>
      <c r="H1033" s="29" t="n"/>
      <c r="I1033" s="29" t="n"/>
      <c r="J1033" s="29" t="n"/>
      <c r="K1033" s="30">
        <f>IF(B1033="","",SUM(G$2:I1033)-SUM(J$2:J1033))</f>
        <v/>
      </c>
      <c r="L1033" s="22">
        <f>IF(B1033="","",IF(B1033=B1032,L1032,N(L1032)+1))</f>
        <v/>
      </c>
    </row>
    <row r="1034">
      <c r="A1034" s="22" t="n"/>
      <c r="B1034" s="27" t="n"/>
      <c r="C1034" s="17" t="n"/>
      <c r="D1034" s="17" t="n"/>
      <c r="E1034" s="17" t="n"/>
      <c r="F1034" s="28" t="n"/>
      <c r="G1034" s="29" t="n"/>
      <c r="H1034" s="29" t="n"/>
      <c r="I1034" s="29" t="n"/>
      <c r="J1034" s="29" t="n"/>
      <c r="K1034" s="30">
        <f>IF(B1034="","",SUM(G$2:I1034)-SUM(J$2:J1034))</f>
        <v/>
      </c>
      <c r="L1034" s="22">
        <f>IF(B1034="","",IF(B1034=B1033,L1033,N(L1033)+1))</f>
        <v/>
      </c>
    </row>
    <row r="1035">
      <c r="A1035" s="22" t="n"/>
      <c r="B1035" s="27" t="n"/>
      <c r="C1035" s="17" t="n"/>
      <c r="D1035" s="17" t="n"/>
      <c r="E1035" s="17" t="n"/>
      <c r="F1035" s="28" t="n"/>
      <c r="G1035" s="29" t="n"/>
      <c r="H1035" s="29" t="n"/>
      <c r="I1035" s="29" t="n"/>
      <c r="J1035" s="29" t="n"/>
      <c r="K1035" s="30">
        <f>IF(B1035="","",SUM(G$2:I1035)-SUM(J$2:J1035))</f>
        <v/>
      </c>
      <c r="L1035" s="22">
        <f>IF(B1035="","",IF(B1035=B1034,L1034,N(L1034)+1))</f>
        <v/>
      </c>
    </row>
    <row r="1036">
      <c r="A1036" s="22" t="n"/>
      <c r="B1036" s="27" t="n"/>
      <c r="C1036" s="17" t="n"/>
      <c r="D1036" s="17" t="n"/>
      <c r="E1036" s="17" t="n"/>
      <c r="F1036" s="28" t="n"/>
      <c r="G1036" s="29" t="n"/>
      <c r="H1036" s="29" t="n"/>
      <c r="I1036" s="29" t="n"/>
      <c r="J1036" s="29" t="n"/>
      <c r="K1036" s="30">
        <f>IF(B1036="","",SUM(G$2:I1036)-SUM(J$2:J1036))</f>
        <v/>
      </c>
      <c r="L1036" s="22">
        <f>IF(B1036="","",IF(B1036=B1035,L1035,N(L1035)+1))</f>
        <v/>
      </c>
    </row>
    <row r="1037">
      <c r="A1037" s="22" t="n"/>
      <c r="B1037" s="27" t="n"/>
      <c r="C1037" s="17" t="n"/>
      <c r="D1037" s="17" t="n"/>
      <c r="E1037" s="17" t="n"/>
      <c r="F1037" s="28" t="n"/>
      <c r="G1037" s="29" t="n"/>
      <c r="H1037" s="29" t="n"/>
      <c r="I1037" s="29" t="n"/>
      <c r="J1037" s="29" t="n"/>
      <c r="K1037" s="30">
        <f>IF(B1037="","",SUM(G$2:I1037)-SUM(J$2:J1037))</f>
        <v/>
      </c>
      <c r="L1037" s="22">
        <f>IF(B1037="","",IF(B1037=B1036,L1036,N(L1036)+1))</f>
        <v/>
      </c>
    </row>
    <row r="1038">
      <c r="A1038" s="22" t="n"/>
      <c r="B1038" s="27" t="n"/>
      <c r="C1038" s="17" t="n"/>
      <c r="D1038" s="17" t="n"/>
      <c r="E1038" s="17" t="n"/>
      <c r="F1038" s="28" t="n"/>
      <c r="G1038" s="29" t="n"/>
      <c r="H1038" s="29" t="n"/>
      <c r="I1038" s="29" t="n"/>
      <c r="J1038" s="29" t="n"/>
      <c r="K1038" s="30">
        <f>IF(B1038="","",SUM(G$2:I1038)-SUM(J$2:J1038))</f>
        <v/>
      </c>
      <c r="L1038" s="22">
        <f>IF(B1038="","",IF(B1038=B1037,L1037,N(L1037)+1))</f>
        <v/>
      </c>
    </row>
    <row r="1039">
      <c r="A1039" s="22" t="n"/>
      <c r="B1039" s="27" t="n"/>
      <c r="C1039" s="17" t="n"/>
      <c r="D1039" s="17" t="n"/>
      <c r="E1039" s="17" t="n"/>
      <c r="F1039" s="28" t="n"/>
      <c r="G1039" s="29" t="n"/>
      <c r="H1039" s="29" t="n"/>
      <c r="I1039" s="29" t="n"/>
      <c r="J1039" s="29" t="n"/>
      <c r="K1039" s="30">
        <f>IF(B1039="","",SUM(G$2:I1039)-SUM(J$2:J1039))</f>
        <v/>
      </c>
      <c r="L1039" s="22">
        <f>IF(B1039="","",IF(B1039=B1038,L1038,N(L1038)+1))</f>
        <v/>
      </c>
    </row>
    <row r="1040">
      <c r="A1040" s="22" t="n"/>
      <c r="B1040" s="27" t="n"/>
      <c r="C1040" s="17" t="n"/>
      <c r="D1040" s="17" t="n"/>
      <c r="E1040" s="17" t="n"/>
      <c r="F1040" s="28" t="n"/>
      <c r="G1040" s="29" t="n"/>
      <c r="H1040" s="29" t="n"/>
      <c r="I1040" s="29" t="n"/>
      <c r="J1040" s="29" t="n"/>
      <c r="K1040" s="30">
        <f>IF(B1040="","",SUM(G$2:I1040)-SUM(J$2:J1040))</f>
        <v/>
      </c>
      <c r="L1040" s="22">
        <f>IF(B1040="","",IF(B1040=B1039,L1039,N(L1039)+1))</f>
        <v/>
      </c>
    </row>
    <row r="1041">
      <c r="A1041" s="22" t="n"/>
      <c r="B1041" s="27" t="n"/>
      <c r="C1041" s="17" t="n"/>
      <c r="D1041" s="17" t="n"/>
      <c r="E1041" s="17" t="n"/>
      <c r="F1041" s="28" t="n"/>
      <c r="G1041" s="29" t="n"/>
      <c r="H1041" s="29" t="n"/>
      <c r="I1041" s="29" t="n"/>
      <c r="J1041" s="29" t="n"/>
      <c r="K1041" s="30">
        <f>IF(B1041="","",SUM(G$2:I1041)-SUM(J$2:J1041))</f>
        <v/>
      </c>
      <c r="L1041" s="22">
        <f>IF(B1041="","",IF(B1041=B1040,L1040,N(L1040)+1))</f>
        <v/>
      </c>
    </row>
    <row r="1042">
      <c r="A1042" s="22" t="n"/>
      <c r="B1042" s="27" t="n"/>
      <c r="C1042" s="17" t="n"/>
      <c r="D1042" s="17" t="n"/>
      <c r="E1042" s="17" t="n"/>
      <c r="F1042" s="28" t="n"/>
      <c r="G1042" s="29" t="n"/>
      <c r="H1042" s="29" t="n"/>
      <c r="I1042" s="29" t="n"/>
      <c r="J1042" s="29" t="n"/>
      <c r="K1042" s="30">
        <f>IF(B1042="","",SUM(G$2:I1042)-SUM(J$2:J1042))</f>
        <v/>
      </c>
      <c r="L1042" s="22">
        <f>IF(B1042="","",IF(B1042=B1041,L1041,N(L1041)+1))</f>
        <v/>
      </c>
    </row>
    <row r="1043">
      <c r="A1043" s="22" t="n"/>
      <c r="B1043" s="27" t="n"/>
      <c r="C1043" s="17" t="n"/>
      <c r="D1043" s="17" t="n"/>
      <c r="E1043" s="17" t="n"/>
      <c r="F1043" s="28" t="n"/>
      <c r="G1043" s="29" t="n"/>
      <c r="H1043" s="29" t="n"/>
      <c r="I1043" s="29" t="n"/>
      <c r="J1043" s="29" t="n"/>
      <c r="K1043" s="30">
        <f>IF(B1043="","",SUM(G$2:I1043)-SUM(J$2:J1043))</f>
        <v/>
      </c>
      <c r="L1043" s="22">
        <f>IF(B1043="","",IF(B1043=B1042,L1042,N(L1042)+1))</f>
        <v/>
      </c>
    </row>
    <row r="1044">
      <c r="A1044" s="22" t="n"/>
      <c r="B1044" s="27" t="n"/>
      <c r="C1044" s="17" t="n"/>
      <c r="D1044" s="17" t="n"/>
      <c r="E1044" s="17" t="n"/>
      <c r="F1044" s="28" t="n"/>
      <c r="G1044" s="29" t="n"/>
      <c r="H1044" s="29" t="n"/>
      <c r="I1044" s="29" t="n"/>
      <c r="J1044" s="29" t="n"/>
      <c r="K1044" s="30">
        <f>IF(B1044="","",SUM(G$2:I1044)-SUM(J$2:J1044))</f>
        <v/>
      </c>
      <c r="L1044" s="22">
        <f>IF(B1044="","",IF(B1044=B1043,L1043,N(L1043)+1))</f>
        <v/>
      </c>
    </row>
    <row r="1045">
      <c r="A1045" s="22" t="n"/>
      <c r="B1045" s="27" t="n"/>
      <c r="C1045" s="17" t="n"/>
      <c r="D1045" s="17" t="n"/>
      <c r="E1045" s="17" t="n"/>
      <c r="F1045" s="28" t="n"/>
      <c r="G1045" s="29" t="n"/>
      <c r="H1045" s="29" t="n"/>
      <c r="I1045" s="29" t="n"/>
      <c r="J1045" s="29" t="n"/>
      <c r="K1045" s="30">
        <f>IF(B1045="","",SUM(G$2:I1045)-SUM(J$2:J1045))</f>
        <v/>
      </c>
      <c r="L1045" s="22">
        <f>IF(B1045="","",IF(B1045=B1044,L1044,N(L1044)+1))</f>
        <v/>
      </c>
    </row>
    <row r="1046">
      <c r="A1046" s="22" t="n"/>
      <c r="B1046" s="27" t="n"/>
      <c r="C1046" s="17" t="n"/>
      <c r="D1046" s="17" t="n"/>
      <c r="E1046" s="17" t="n"/>
      <c r="F1046" s="28" t="n"/>
      <c r="G1046" s="29" t="n"/>
      <c r="H1046" s="29" t="n"/>
      <c r="I1046" s="29" t="n"/>
      <c r="J1046" s="29" t="n"/>
      <c r="K1046" s="30">
        <f>IF(B1046="","",SUM(G$2:I1046)-SUM(J$2:J1046))</f>
        <v/>
      </c>
      <c r="L1046" s="22">
        <f>IF(B1046="","",IF(B1046=B1045,L1045,N(L1045)+1))</f>
        <v/>
      </c>
    </row>
    <row r="1047">
      <c r="A1047" s="22" t="n"/>
      <c r="B1047" s="27" t="n"/>
      <c r="C1047" s="17" t="n"/>
      <c r="D1047" s="17" t="n"/>
      <c r="E1047" s="17" t="n"/>
      <c r="F1047" s="28" t="n"/>
      <c r="G1047" s="29" t="n"/>
      <c r="H1047" s="29" t="n"/>
      <c r="I1047" s="29" t="n"/>
      <c r="J1047" s="29" t="n"/>
      <c r="K1047" s="30">
        <f>IF(B1047="","",SUM(G$2:I1047)-SUM(J$2:J1047))</f>
        <v/>
      </c>
      <c r="L1047" s="22">
        <f>IF(B1047="","",IF(B1047=B1046,L1046,N(L1046)+1))</f>
        <v/>
      </c>
    </row>
    <row r="1048">
      <c r="A1048" s="22" t="n"/>
      <c r="B1048" s="27" t="n"/>
      <c r="C1048" s="17" t="n"/>
      <c r="D1048" s="17" t="n"/>
      <c r="E1048" s="17" t="n"/>
      <c r="F1048" s="28" t="n"/>
      <c r="G1048" s="29" t="n"/>
      <c r="H1048" s="29" t="n"/>
      <c r="I1048" s="29" t="n"/>
      <c r="J1048" s="29" t="n"/>
      <c r="K1048" s="30">
        <f>IF(B1048="","",SUM(G$2:I1048)-SUM(J$2:J1048))</f>
        <v/>
      </c>
      <c r="L1048" s="22">
        <f>IF(B1048="","",IF(B1048=B1047,L1047,N(L1047)+1))</f>
        <v/>
      </c>
    </row>
    <row r="1049">
      <c r="A1049" s="22" t="n"/>
      <c r="B1049" s="27" t="n"/>
      <c r="C1049" s="17" t="n"/>
      <c r="D1049" s="17" t="n"/>
      <c r="E1049" s="17" t="n"/>
      <c r="F1049" s="28" t="n"/>
      <c r="G1049" s="29" t="n"/>
      <c r="H1049" s="29" t="n"/>
      <c r="I1049" s="29" t="n"/>
      <c r="J1049" s="29" t="n"/>
      <c r="K1049" s="30">
        <f>IF(B1049="","",SUM(G$2:I1049)-SUM(J$2:J1049))</f>
        <v/>
      </c>
      <c r="L1049" s="22">
        <f>IF(B1049="","",IF(B1049=B1048,L1048,N(L1048)+1))</f>
        <v/>
      </c>
    </row>
    <row r="1050">
      <c r="A1050" s="22" t="n"/>
      <c r="B1050" s="27" t="n"/>
      <c r="C1050" s="17" t="n"/>
      <c r="D1050" s="17" t="n"/>
      <c r="E1050" s="17" t="n"/>
      <c r="F1050" s="28" t="n"/>
      <c r="G1050" s="29" t="n"/>
      <c r="H1050" s="29" t="n"/>
      <c r="I1050" s="29" t="n"/>
      <c r="J1050" s="29" t="n"/>
      <c r="K1050" s="30">
        <f>IF(B1050="","",SUM(G$2:I1050)-SUM(J$2:J1050))</f>
        <v/>
      </c>
      <c r="L1050" s="22">
        <f>IF(B1050="","",IF(B1050=B1049,L1049,N(L1049)+1))</f>
        <v/>
      </c>
    </row>
    <row r="1051">
      <c r="A1051" s="22" t="n"/>
      <c r="B1051" s="27" t="n"/>
      <c r="C1051" s="17" t="n"/>
      <c r="D1051" s="17" t="n"/>
      <c r="E1051" s="17" t="n"/>
      <c r="F1051" s="28" t="n"/>
      <c r="G1051" s="29" t="n"/>
      <c r="H1051" s="29" t="n"/>
      <c r="I1051" s="29" t="n"/>
      <c r="J1051" s="29" t="n"/>
      <c r="K1051" s="30">
        <f>IF(B1051="","",SUM(G$2:I1051)-SUM(J$2:J1051))</f>
        <v/>
      </c>
      <c r="L1051" s="22">
        <f>IF(B1051="","",IF(B1051=B1050,L1050,N(L1050)+1))</f>
        <v/>
      </c>
    </row>
    <row r="1052">
      <c r="A1052" s="22" t="n"/>
      <c r="B1052" s="27" t="n"/>
      <c r="C1052" s="17" t="n"/>
      <c r="D1052" s="17" t="n"/>
      <c r="E1052" s="17" t="n"/>
      <c r="F1052" s="28" t="n"/>
      <c r="G1052" s="29" t="n"/>
      <c r="H1052" s="29" t="n"/>
      <c r="I1052" s="29" t="n"/>
      <c r="J1052" s="29" t="n"/>
      <c r="K1052" s="30">
        <f>IF(B1052="","",SUM(G$2:I1052)-SUM(J$2:J1052))</f>
        <v/>
      </c>
      <c r="L1052" s="22">
        <f>IF(B1052="","",IF(B1052=B1051,L1051,N(L1051)+1))</f>
        <v/>
      </c>
    </row>
    <row r="1053">
      <c r="A1053" s="22" t="n"/>
      <c r="B1053" s="27" t="n"/>
      <c r="C1053" s="17" t="n"/>
      <c r="D1053" s="17" t="n"/>
      <c r="E1053" s="17" t="n"/>
      <c r="F1053" s="28" t="n"/>
      <c r="G1053" s="29" t="n"/>
      <c r="H1053" s="29" t="n"/>
      <c r="I1053" s="29" t="n"/>
      <c r="J1053" s="29" t="n"/>
      <c r="K1053" s="30">
        <f>IF(B1053="","",SUM(G$2:I1053)-SUM(J$2:J1053))</f>
        <v/>
      </c>
      <c r="L1053" s="22">
        <f>IF(B1053="","",IF(B1053=B1052,L1052,N(L1052)+1))</f>
        <v/>
      </c>
    </row>
    <row r="1054">
      <c r="A1054" s="22" t="n"/>
      <c r="B1054" s="27" t="n"/>
      <c r="C1054" s="17" t="n"/>
      <c r="D1054" s="17" t="n"/>
      <c r="E1054" s="17" t="n"/>
      <c r="F1054" s="28" t="n"/>
      <c r="G1054" s="29" t="n"/>
      <c r="H1054" s="29" t="n"/>
      <c r="I1054" s="29" t="n"/>
      <c r="J1054" s="29" t="n"/>
      <c r="K1054" s="30">
        <f>IF(B1054="","",SUM(G$2:I1054)-SUM(J$2:J1054))</f>
        <v/>
      </c>
      <c r="L1054" s="22">
        <f>IF(B1054="","",IF(B1054=B1053,L1053,N(L1053)+1))</f>
        <v/>
      </c>
    </row>
    <row r="1055">
      <c r="A1055" s="22" t="n"/>
      <c r="B1055" s="27" t="n"/>
      <c r="C1055" s="17" t="n"/>
      <c r="D1055" s="17" t="n"/>
      <c r="E1055" s="17" t="n"/>
      <c r="F1055" s="28" t="n"/>
      <c r="G1055" s="29" t="n"/>
      <c r="H1055" s="29" t="n"/>
      <c r="I1055" s="29" t="n"/>
      <c r="J1055" s="29" t="n"/>
      <c r="K1055" s="30">
        <f>IF(B1055="","",SUM(G$2:I1055)-SUM(J$2:J1055))</f>
        <v/>
      </c>
      <c r="L1055" s="22">
        <f>IF(B1055="","",IF(B1055=B1054,L1054,N(L1054)+1))</f>
        <v/>
      </c>
    </row>
    <row r="1056">
      <c r="A1056" s="22" t="n"/>
      <c r="B1056" s="27" t="n"/>
      <c r="C1056" s="17" t="n"/>
      <c r="D1056" s="17" t="n"/>
      <c r="E1056" s="17" t="n"/>
      <c r="F1056" s="28" t="n"/>
      <c r="G1056" s="29" t="n"/>
      <c r="H1056" s="29" t="n"/>
      <c r="I1056" s="29" t="n"/>
      <c r="J1056" s="29" t="n"/>
      <c r="K1056" s="30">
        <f>IF(B1056="","",SUM(G$2:I1056)-SUM(J$2:J1056))</f>
        <v/>
      </c>
      <c r="L1056" s="22">
        <f>IF(B1056="","",IF(B1056=B1055,L1055,N(L1055)+1))</f>
        <v/>
      </c>
    </row>
    <row r="1057">
      <c r="A1057" s="22" t="n"/>
      <c r="B1057" s="27" t="n"/>
      <c r="C1057" s="17" t="n"/>
      <c r="D1057" s="17" t="n"/>
      <c r="E1057" s="17" t="n"/>
      <c r="F1057" s="28" t="n"/>
      <c r="G1057" s="29" t="n"/>
      <c r="H1057" s="29" t="n"/>
      <c r="I1057" s="29" t="n"/>
      <c r="J1057" s="29" t="n"/>
      <c r="K1057" s="30">
        <f>IF(B1057="","",SUM(G$2:I1057)-SUM(J$2:J1057))</f>
        <v/>
      </c>
      <c r="L1057" s="22">
        <f>IF(B1057="","",IF(B1057=B1056,L1056,N(L1056)+1))</f>
        <v/>
      </c>
    </row>
    <row r="1058">
      <c r="A1058" s="22" t="n"/>
      <c r="B1058" s="27" t="n"/>
      <c r="C1058" s="17" t="n"/>
      <c r="D1058" s="17" t="n"/>
      <c r="E1058" s="17" t="n"/>
      <c r="F1058" s="28" t="n"/>
      <c r="G1058" s="29" t="n"/>
      <c r="H1058" s="29" t="n"/>
      <c r="I1058" s="29" t="n"/>
      <c r="J1058" s="29" t="n"/>
      <c r="K1058" s="30">
        <f>IF(B1058="","",SUM(G$2:I1058)-SUM(J$2:J1058))</f>
        <v/>
      </c>
      <c r="L1058" s="22">
        <f>IF(B1058="","",IF(B1058=B1057,L1057,N(L1057)+1))</f>
        <v/>
      </c>
    </row>
    <row r="1059">
      <c r="A1059" s="22" t="n"/>
      <c r="B1059" s="27" t="n"/>
      <c r="C1059" s="17" t="n"/>
      <c r="D1059" s="17" t="n"/>
      <c r="E1059" s="17" t="n"/>
      <c r="F1059" s="28" t="n"/>
      <c r="G1059" s="29" t="n"/>
      <c r="H1059" s="29" t="n"/>
      <c r="I1059" s="29" t="n"/>
      <c r="J1059" s="29" t="n"/>
      <c r="K1059" s="30">
        <f>IF(B1059="","",SUM(G$2:I1059)-SUM(J$2:J1059))</f>
        <v/>
      </c>
      <c r="L1059" s="22">
        <f>IF(B1059="","",IF(B1059=B1058,L1058,N(L1058)+1))</f>
        <v/>
      </c>
    </row>
    <row r="1060">
      <c r="A1060" s="22" t="n"/>
      <c r="B1060" s="27" t="n"/>
      <c r="C1060" s="17" t="n"/>
      <c r="D1060" s="17" t="n"/>
      <c r="E1060" s="17" t="n"/>
      <c r="F1060" s="28" t="n"/>
      <c r="G1060" s="29" t="n"/>
      <c r="H1060" s="29" t="n"/>
      <c r="I1060" s="29" t="n"/>
      <c r="J1060" s="29" t="n"/>
      <c r="K1060" s="30">
        <f>IF(B1060="","",SUM(G$2:I1060)-SUM(J$2:J1060))</f>
        <v/>
      </c>
      <c r="L1060" s="22">
        <f>IF(B1060="","",IF(B1060=B1059,L1059,N(L1059)+1))</f>
        <v/>
      </c>
    </row>
    <row r="1061">
      <c r="A1061" s="22" t="n"/>
      <c r="B1061" s="27" t="n"/>
      <c r="C1061" s="17" t="n"/>
      <c r="D1061" s="17" t="n"/>
      <c r="E1061" s="17" t="n"/>
      <c r="F1061" s="28" t="n"/>
      <c r="G1061" s="29" t="n"/>
      <c r="H1061" s="29" t="n"/>
      <c r="I1061" s="29" t="n"/>
      <c r="J1061" s="29" t="n"/>
      <c r="K1061" s="30">
        <f>IF(B1061="","",SUM(G$2:I1061)-SUM(J$2:J1061))</f>
        <v/>
      </c>
      <c r="L1061" s="22">
        <f>IF(B1061="","",IF(B1061=B1060,L1060,N(L1060)+1))</f>
        <v/>
      </c>
    </row>
    <row r="1062">
      <c r="A1062" s="22" t="n"/>
      <c r="B1062" s="27" t="n"/>
      <c r="C1062" s="17" t="n"/>
      <c r="D1062" s="17" t="n"/>
      <c r="E1062" s="17" t="n"/>
      <c r="F1062" s="28" t="n"/>
      <c r="G1062" s="29" t="n"/>
      <c r="H1062" s="29" t="n"/>
      <c r="I1062" s="29" t="n"/>
      <c r="J1062" s="29" t="n"/>
      <c r="K1062" s="30">
        <f>IF(B1062="","",SUM(G$2:I1062)-SUM(J$2:J1062))</f>
        <v/>
      </c>
      <c r="L1062" s="22">
        <f>IF(B1062="","",IF(B1062=B1061,L1061,N(L1061)+1))</f>
        <v/>
      </c>
    </row>
    <row r="1063">
      <c r="A1063" s="22" t="n"/>
      <c r="B1063" s="27" t="n"/>
      <c r="C1063" s="17" t="n"/>
      <c r="D1063" s="17" t="n"/>
      <c r="E1063" s="17" t="n"/>
      <c r="F1063" s="28" t="n"/>
      <c r="G1063" s="29" t="n"/>
      <c r="H1063" s="29" t="n"/>
      <c r="I1063" s="29" t="n"/>
      <c r="J1063" s="29" t="n"/>
      <c r="K1063" s="30">
        <f>IF(B1063="","",SUM(G$2:I1063)-SUM(J$2:J1063))</f>
        <v/>
      </c>
      <c r="L1063" s="22">
        <f>IF(B1063="","",IF(B1063=B1062,L1062,N(L1062)+1))</f>
        <v/>
      </c>
    </row>
    <row r="1064">
      <c r="A1064" s="22" t="n"/>
      <c r="B1064" s="27" t="n"/>
      <c r="C1064" s="17" t="n"/>
      <c r="D1064" s="17" t="n"/>
      <c r="E1064" s="17" t="n"/>
      <c r="F1064" s="28" t="n"/>
      <c r="G1064" s="29" t="n"/>
      <c r="H1064" s="29" t="n"/>
      <c r="I1064" s="29" t="n"/>
      <c r="J1064" s="29" t="n"/>
      <c r="K1064" s="30">
        <f>IF(B1064="","",SUM(G$2:I1064)-SUM(J$2:J1064))</f>
        <v/>
      </c>
      <c r="L1064" s="22">
        <f>IF(B1064="","",IF(B1064=B1063,L1063,N(L1063)+1))</f>
        <v/>
      </c>
    </row>
    <row r="1065">
      <c r="A1065" s="22" t="n"/>
      <c r="B1065" s="27" t="n"/>
      <c r="C1065" s="17" t="n"/>
      <c r="D1065" s="17" t="n"/>
      <c r="E1065" s="17" t="n"/>
      <c r="F1065" s="28" t="n"/>
      <c r="G1065" s="29" t="n"/>
      <c r="H1065" s="29" t="n"/>
      <c r="I1065" s="29" t="n"/>
      <c r="J1065" s="29" t="n"/>
      <c r="K1065" s="30">
        <f>IF(B1065="","",SUM(G$2:I1065)-SUM(J$2:J1065))</f>
        <v/>
      </c>
      <c r="L1065" s="22">
        <f>IF(B1065="","",IF(B1065=B1064,L1064,N(L1064)+1))</f>
        <v/>
      </c>
    </row>
    <row r="1066">
      <c r="A1066" s="22" t="n"/>
      <c r="B1066" s="27" t="n"/>
      <c r="C1066" s="17" t="n"/>
      <c r="D1066" s="17" t="n"/>
      <c r="E1066" s="17" t="n"/>
      <c r="F1066" s="28" t="n"/>
      <c r="G1066" s="29" t="n"/>
      <c r="H1066" s="29" t="n"/>
      <c r="I1066" s="29" t="n"/>
      <c r="J1066" s="29" t="n"/>
      <c r="K1066" s="30">
        <f>IF(B1066="","",SUM(G$2:I1066)-SUM(J$2:J1066))</f>
        <v/>
      </c>
      <c r="L1066" s="22">
        <f>IF(B1066="","",IF(B1066=B1065,L1065,N(L1065)+1))</f>
        <v/>
      </c>
    </row>
    <row r="1067">
      <c r="A1067" s="22" t="n"/>
      <c r="B1067" s="27" t="n"/>
      <c r="C1067" s="17" t="n"/>
      <c r="D1067" s="17" t="n"/>
      <c r="E1067" s="17" t="n"/>
      <c r="F1067" s="28" t="n"/>
      <c r="G1067" s="29" t="n"/>
      <c r="H1067" s="29" t="n"/>
      <c r="I1067" s="29" t="n"/>
      <c r="J1067" s="29" t="n"/>
      <c r="K1067" s="30">
        <f>IF(B1067="","",SUM(G$2:I1067)-SUM(J$2:J1067))</f>
        <v/>
      </c>
      <c r="L1067" s="22">
        <f>IF(B1067="","",IF(B1067=B1066,L1066,N(L1066)+1))</f>
        <v/>
      </c>
    </row>
    <row r="1068">
      <c r="A1068" s="22" t="n"/>
      <c r="B1068" s="27" t="n"/>
      <c r="C1068" s="17" t="n"/>
      <c r="D1068" s="17" t="n"/>
      <c r="E1068" s="17" t="n"/>
      <c r="F1068" s="28" t="n"/>
      <c r="G1068" s="29" t="n"/>
      <c r="H1068" s="29" t="n"/>
      <c r="I1068" s="29" t="n"/>
      <c r="J1068" s="29" t="n"/>
      <c r="K1068" s="30">
        <f>IF(B1068="","",SUM(G$2:I1068)-SUM(J$2:J1068))</f>
        <v/>
      </c>
      <c r="L1068" s="22">
        <f>IF(B1068="","",IF(B1068=B1067,L1067,N(L1067)+1))</f>
        <v/>
      </c>
    </row>
    <row r="1069">
      <c r="A1069" s="22" t="n"/>
      <c r="B1069" s="27" t="n"/>
      <c r="C1069" s="17" t="n"/>
      <c r="D1069" s="17" t="n"/>
      <c r="E1069" s="17" t="n"/>
      <c r="F1069" s="28" t="n"/>
      <c r="G1069" s="29" t="n"/>
      <c r="H1069" s="29" t="n"/>
      <c r="I1069" s="29" t="n"/>
      <c r="J1069" s="29" t="n"/>
      <c r="K1069" s="30">
        <f>IF(B1069="","",SUM(G$2:I1069)-SUM(J$2:J1069))</f>
        <v/>
      </c>
      <c r="L1069" s="22">
        <f>IF(B1069="","",IF(B1069=B1068,L1068,N(L1068)+1))</f>
        <v/>
      </c>
    </row>
    <row r="1070">
      <c r="A1070" s="22" t="n"/>
      <c r="B1070" s="27" t="n"/>
      <c r="C1070" s="17" t="n"/>
      <c r="D1070" s="17" t="n"/>
      <c r="E1070" s="17" t="n"/>
      <c r="F1070" s="28" t="n"/>
      <c r="G1070" s="29" t="n"/>
      <c r="H1070" s="29" t="n"/>
      <c r="I1070" s="29" t="n"/>
      <c r="J1070" s="29" t="n"/>
      <c r="K1070" s="30">
        <f>IF(B1070="","",SUM(G$2:I1070)-SUM(J$2:J1070))</f>
        <v/>
      </c>
      <c r="L1070" s="22">
        <f>IF(B1070="","",IF(B1070=B1069,L1069,N(L1069)+1))</f>
        <v/>
      </c>
    </row>
    <row r="1071">
      <c r="A1071" s="22" t="n"/>
      <c r="B1071" s="27" t="n"/>
      <c r="C1071" s="17" t="n"/>
      <c r="D1071" s="17" t="n"/>
      <c r="E1071" s="17" t="n"/>
      <c r="F1071" s="28" t="n"/>
      <c r="G1071" s="29" t="n"/>
      <c r="H1071" s="29" t="n"/>
      <c r="I1071" s="29" t="n"/>
      <c r="J1071" s="29" t="n"/>
      <c r="K1071" s="30">
        <f>IF(B1071="","",SUM(G$2:I1071)-SUM(J$2:J1071))</f>
        <v/>
      </c>
      <c r="L1071" s="22">
        <f>IF(B1071="","",IF(B1071=B1070,L1070,N(L1070)+1))</f>
        <v/>
      </c>
    </row>
    <row r="1072">
      <c r="A1072" s="22" t="n"/>
      <c r="B1072" s="27" t="n"/>
      <c r="C1072" s="17" t="n"/>
      <c r="D1072" s="17" t="n"/>
      <c r="E1072" s="17" t="n"/>
      <c r="F1072" s="28" t="n"/>
      <c r="G1072" s="29" t="n"/>
      <c r="H1072" s="29" t="n"/>
      <c r="I1072" s="29" t="n"/>
      <c r="J1072" s="29" t="n"/>
      <c r="K1072" s="30">
        <f>IF(B1072="","",SUM(G$2:I1072)-SUM(J$2:J1072))</f>
        <v/>
      </c>
      <c r="L1072" s="22">
        <f>IF(B1072="","",IF(B1072=B1071,L1071,N(L1071)+1))</f>
        <v/>
      </c>
    </row>
    <row r="1073">
      <c r="A1073" s="22" t="n"/>
      <c r="B1073" s="27" t="n"/>
      <c r="C1073" s="17" t="n"/>
      <c r="D1073" s="17" t="n"/>
      <c r="E1073" s="17" t="n"/>
      <c r="F1073" s="28" t="n"/>
      <c r="G1073" s="29" t="n"/>
      <c r="H1073" s="29" t="n"/>
      <c r="I1073" s="29" t="n"/>
      <c r="J1073" s="29" t="n"/>
      <c r="K1073" s="30">
        <f>IF(B1073="","",SUM(G$2:I1073)-SUM(J$2:J1073))</f>
        <v/>
      </c>
      <c r="L1073" s="22">
        <f>IF(B1073="","",IF(B1073=B1072,L1072,N(L1072)+1))</f>
        <v/>
      </c>
    </row>
    <row r="1074">
      <c r="A1074" s="22" t="n"/>
      <c r="B1074" s="27" t="n"/>
      <c r="C1074" s="17" t="n"/>
      <c r="D1074" s="17" t="n"/>
      <c r="E1074" s="17" t="n"/>
      <c r="F1074" s="28" t="n"/>
      <c r="G1074" s="29" t="n"/>
      <c r="H1074" s="29" t="n"/>
      <c r="I1074" s="29" t="n"/>
      <c r="J1074" s="29" t="n"/>
      <c r="K1074" s="30">
        <f>IF(B1074="","",SUM(G$2:I1074)-SUM(J$2:J1074))</f>
        <v/>
      </c>
      <c r="L1074" s="22">
        <f>IF(B1074="","",IF(B1074=B1073,L1073,N(L1073)+1))</f>
        <v/>
      </c>
    </row>
    <row r="1075">
      <c r="A1075" s="22" t="n"/>
      <c r="B1075" s="27" t="n"/>
      <c r="C1075" s="17" t="n"/>
      <c r="D1075" s="17" t="n"/>
      <c r="E1075" s="17" t="n"/>
      <c r="F1075" s="28" t="n"/>
      <c r="G1075" s="29" t="n"/>
      <c r="H1075" s="29" t="n"/>
      <c r="I1075" s="29" t="n"/>
      <c r="J1075" s="29" t="n"/>
      <c r="K1075" s="30">
        <f>IF(B1075="","",SUM(G$2:I1075)-SUM(J$2:J1075))</f>
        <v/>
      </c>
      <c r="L1075" s="22">
        <f>IF(B1075="","",IF(B1075=B1074,L1074,N(L1074)+1))</f>
        <v/>
      </c>
    </row>
    <row r="1076">
      <c r="A1076" s="22" t="n"/>
      <c r="B1076" s="27" t="n"/>
      <c r="C1076" s="17" t="n"/>
      <c r="D1076" s="17" t="n"/>
      <c r="E1076" s="17" t="n"/>
      <c r="F1076" s="28" t="n"/>
      <c r="G1076" s="29" t="n"/>
      <c r="H1076" s="29" t="n"/>
      <c r="I1076" s="29" t="n"/>
      <c r="J1076" s="29" t="n"/>
      <c r="K1076" s="30">
        <f>IF(B1076="","",SUM(G$2:I1076)-SUM(J$2:J1076))</f>
        <v/>
      </c>
      <c r="L1076" s="22">
        <f>IF(B1076="","",IF(B1076=B1075,L1075,N(L1075)+1))</f>
        <v/>
      </c>
    </row>
    <row r="1077">
      <c r="A1077" s="22" t="n"/>
      <c r="B1077" s="27" t="n"/>
      <c r="C1077" s="17" t="n"/>
      <c r="D1077" s="17" t="n"/>
      <c r="E1077" s="17" t="n"/>
      <c r="F1077" s="28" t="n"/>
      <c r="G1077" s="29" t="n"/>
      <c r="H1077" s="29" t="n"/>
      <c r="I1077" s="29" t="n"/>
      <c r="J1077" s="29" t="n"/>
      <c r="K1077" s="30">
        <f>IF(B1077="","",SUM(G$2:I1077)-SUM(J$2:J1077))</f>
        <v/>
      </c>
      <c r="L1077" s="22">
        <f>IF(B1077="","",IF(B1077=B1076,L1076,N(L1076)+1))</f>
        <v/>
      </c>
    </row>
    <row r="1078">
      <c r="A1078" s="22" t="n"/>
      <c r="B1078" s="27" t="n"/>
      <c r="C1078" s="17" t="n"/>
      <c r="D1078" s="17" t="n"/>
      <c r="E1078" s="17" t="n"/>
      <c r="F1078" s="28" t="n"/>
      <c r="G1078" s="29" t="n"/>
      <c r="H1078" s="29" t="n"/>
      <c r="I1078" s="29" t="n"/>
      <c r="J1078" s="29" t="n"/>
      <c r="K1078" s="30">
        <f>IF(B1078="","",SUM(G$2:I1078)-SUM(J$2:J1078))</f>
        <v/>
      </c>
      <c r="L1078" s="22">
        <f>IF(B1078="","",IF(B1078=B1077,L1077,N(L1077)+1))</f>
        <v/>
      </c>
    </row>
    <row r="1079">
      <c r="A1079" s="22" t="n"/>
      <c r="B1079" s="27" t="n"/>
      <c r="C1079" s="17" t="n"/>
      <c r="D1079" s="17" t="n"/>
      <c r="E1079" s="17" t="n"/>
      <c r="F1079" s="28" t="n"/>
      <c r="G1079" s="29" t="n"/>
      <c r="H1079" s="29" t="n"/>
      <c r="I1079" s="29" t="n"/>
      <c r="J1079" s="29" t="n"/>
      <c r="K1079" s="30">
        <f>IF(B1079="","",SUM(G$2:I1079)-SUM(J$2:J1079))</f>
        <v/>
      </c>
      <c r="L1079" s="22">
        <f>IF(B1079="","",IF(B1079=B1078,L1078,N(L1078)+1))</f>
        <v/>
      </c>
    </row>
    <row r="1080">
      <c r="A1080" s="22" t="n"/>
      <c r="B1080" s="27" t="n"/>
      <c r="C1080" s="17" t="n"/>
      <c r="D1080" s="17" t="n"/>
      <c r="E1080" s="17" t="n"/>
      <c r="F1080" s="28" t="n"/>
      <c r="G1080" s="29" t="n"/>
      <c r="H1080" s="29" t="n"/>
      <c r="I1080" s="29" t="n"/>
      <c r="J1080" s="29" t="n"/>
      <c r="K1080" s="30">
        <f>IF(B1080="","",SUM(G$2:I1080)-SUM(J$2:J1080))</f>
        <v/>
      </c>
      <c r="L1080" s="22">
        <f>IF(B1080="","",IF(B1080=B1079,L1079,N(L1079)+1))</f>
        <v/>
      </c>
    </row>
    <row r="1081">
      <c r="A1081" s="22" t="n"/>
      <c r="B1081" s="27" t="n"/>
      <c r="C1081" s="17" t="n"/>
      <c r="D1081" s="17" t="n"/>
      <c r="E1081" s="17" t="n"/>
      <c r="F1081" s="28" t="n"/>
      <c r="G1081" s="29" t="n"/>
      <c r="H1081" s="29" t="n"/>
      <c r="I1081" s="29" t="n"/>
      <c r="J1081" s="29" t="n"/>
      <c r="K1081" s="30">
        <f>IF(B1081="","",SUM(G$2:I1081)-SUM(J$2:J1081))</f>
        <v/>
      </c>
      <c r="L1081" s="22">
        <f>IF(B1081="","",IF(B1081=B1080,L1080,N(L1080)+1))</f>
        <v/>
      </c>
    </row>
    <row r="1082">
      <c r="A1082" s="22" t="n"/>
      <c r="B1082" s="27" t="n"/>
      <c r="C1082" s="17" t="n"/>
      <c r="D1082" s="17" t="n"/>
      <c r="E1082" s="17" t="n"/>
      <c r="F1082" s="28" t="n"/>
      <c r="G1082" s="29" t="n"/>
      <c r="H1082" s="29" t="n"/>
      <c r="I1082" s="29" t="n"/>
      <c r="J1082" s="29" t="n"/>
      <c r="K1082" s="30">
        <f>IF(B1082="","",SUM(G$2:I1082)-SUM(J$2:J1082))</f>
        <v/>
      </c>
      <c r="L1082" s="22">
        <f>IF(B1082="","",IF(B1082=B1081,L1081,N(L1081)+1))</f>
        <v/>
      </c>
    </row>
    <row r="1083">
      <c r="A1083" s="22" t="n"/>
      <c r="B1083" s="27" t="n"/>
      <c r="C1083" s="17" t="n"/>
      <c r="D1083" s="17" t="n"/>
      <c r="E1083" s="17" t="n"/>
      <c r="F1083" s="28" t="n"/>
      <c r="G1083" s="29" t="n"/>
      <c r="H1083" s="29" t="n"/>
      <c r="I1083" s="29" t="n"/>
      <c r="J1083" s="29" t="n"/>
      <c r="K1083" s="30">
        <f>IF(B1083="","",SUM(G$2:I1083)-SUM(J$2:J1083))</f>
        <v/>
      </c>
      <c r="L1083" s="22">
        <f>IF(B1083="","",IF(B1083=B1082,L1082,N(L1082)+1))</f>
        <v/>
      </c>
    </row>
    <row r="1084">
      <c r="A1084" s="22" t="n"/>
      <c r="B1084" s="27" t="n"/>
      <c r="C1084" s="17" t="n"/>
      <c r="D1084" s="17" t="n"/>
      <c r="E1084" s="17" t="n"/>
      <c r="F1084" s="28" t="n"/>
      <c r="G1084" s="29" t="n"/>
      <c r="H1084" s="29" t="n"/>
      <c r="I1084" s="29" t="n"/>
      <c r="J1084" s="29" t="n"/>
      <c r="K1084" s="30">
        <f>IF(B1084="","",SUM(G$2:I1084)-SUM(J$2:J1084))</f>
        <v/>
      </c>
      <c r="L1084" s="22">
        <f>IF(B1084="","",IF(B1084=B1083,L1083,N(L1083)+1))</f>
        <v/>
      </c>
    </row>
    <row r="1085">
      <c r="A1085" s="22" t="n"/>
      <c r="B1085" s="27" t="n"/>
      <c r="C1085" s="17" t="n"/>
      <c r="D1085" s="17" t="n"/>
      <c r="E1085" s="17" t="n"/>
      <c r="F1085" s="28" t="n"/>
      <c r="G1085" s="29" t="n"/>
      <c r="H1085" s="29" t="n"/>
      <c r="I1085" s="29" t="n"/>
      <c r="J1085" s="29" t="n"/>
      <c r="K1085" s="30">
        <f>IF(B1085="","",SUM(G$2:I1085)-SUM(J$2:J1085))</f>
        <v/>
      </c>
      <c r="L1085" s="22">
        <f>IF(B1085="","",IF(B1085=B1084,L1084,N(L1084)+1))</f>
        <v/>
      </c>
    </row>
    <row r="1086">
      <c r="A1086" s="22" t="n"/>
      <c r="B1086" s="27" t="n"/>
      <c r="C1086" s="17" t="n"/>
      <c r="D1086" s="17" t="n"/>
      <c r="E1086" s="17" t="n"/>
      <c r="F1086" s="28" t="n"/>
      <c r="G1086" s="29" t="n"/>
      <c r="H1086" s="29" t="n"/>
      <c r="I1086" s="29" t="n"/>
      <c r="J1086" s="29" t="n"/>
      <c r="K1086" s="30">
        <f>IF(B1086="","",SUM(G$2:I1086)-SUM(J$2:J1086))</f>
        <v/>
      </c>
      <c r="L1086" s="22">
        <f>IF(B1086="","",IF(B1086=B1085,L1085,N(L1085)+1))</f>
        <v/>
      </c>
    </row>
    <row r="1087">
      <c r="A1087" s="22" t="n"/>
      <c r="B1087" s="27" t="n"/>
      <c r="C1087" s="17" t="n"/>
      <c r="D1087" s="17" t="n"/>
      <c r="E1087" s="17" t="n"/>
      <c r="F1087" s="28" t="n"/>
      <c r="G1087" s="29" t="n"/>
      <c r="H1087" s="29" t="n"/>
      <c r="I1087" s="29" t="n"/>
      <c r="J1087" s="29" t="n"/>
      <c r="K1087" s="30">
        <f>IF(B1087="","",SUM(G$2:I1087)-SUM(J$2:J1087))</f>
        <v/>
      </c>
      <c r="L1087" s="22">
        <f>IF(B1087="","",IF(B1087=B1086,L1086,N(L1086)+1))</f>
        <v/>
      </c>
    </row>
    <row r="1088">
      <c r="A1088" s="22" t="n"/>
      <c r="B1088" s="27" t="n"/>
      <c r="C1088" s="17" t="n"/>
      <c r="D1088" s="17" t="n"/>
      <c r="E1088" s="17" t="n"/>
      <c r="F1088" s="28" t="n"/>
      <c r="G1088" s="29" t="n"/>
      <c r="H1088" s="29" t="n"/>
      <c r="I1088" s="29" t="n"/>
      <c r="J1088" s="29" t="n"/>
      <c r="K1088" s="30">
        <f>IF(B1088="","",SUM(G$2:I1088)-SUM(J$2:J1088))</f>
        <v/>
      </c>
      <c r="L1088" s="22">
        <f>IF(B1088="","",IF(B1088=B1087,L1087,N(L1087)+1))</f>
        <v/>
      </c>
    </row>
    <row r="1089">
      <c r="A1089" s="22" t="n"/>
      <c r="B1089" s="27" t="n"/>
      <c r="C1089" s="17" t="n"/>
      <c r="D1089" s="17" t="n"/>
      <c r="E1089" s="17" t="n"/>
      <c r="F1089" s="28" t="n"/>
      <c r="G1089" s="29" t="n"/>
      <c r="H1089" s="29" t="n"/>
      <c r="I1089" s="29" t="n"/>
      <c r="J1089" s="29" t="n"/>
      <c r="K1089" s="30">
        <f>IF(B1089="","",SUM(G$2:I1089)-SUM(J$2:J1089))</f>
        <v/>
      </c>
      <c r="L1089" s="22">
        <f>IF(B1089="","",IF(B1089=B1088,L1088,N(L1088)+1))</f>
        <v/>
      </c>
    </row>
    <row r="1090">
      <c r="A1090" s="22" t="n"/>
      <c r="B1090" s="27" t="n"/>
      <c r="C1090" s="17" t="n"/>
      <c r="D1090" s="17" t="n"/>
      <c r="E1090" s="17" t="n"/>
      <c r="F1090" s="28" t="n"/>
      <c r="G1090" s="29" t="n"/>
      <c r="H1090" s="29" t="n"/>
      <c r="I1090" s="29" t="n"/>
      <c r="J1090" s="29" t="n"/>
      <c r="K1090" s="30">
        <f>IF(B1090="","",SUM(G$2:I1090)-SUM(J$2:J1090))</f>
        <v/>
      </c>
      <c r="L1090" s="22">
        <f>IF(B1090="","",IF(B1090=B1089,L1089,N(L1089)+1))</f>
        <v/>
      </c>
    </row>
    <row r="1091">
      <c r="A1091" s="22" t="n"/>
      <c r="B1091" s="27" t="n"/>
      <c r="C1091" s="17" t="n"/>
      <c r="D1091" s="17" t="n"/>
      <c r="E1091" s="17" t="n"/>
      <c r="F1091" s="28" t="n"/>
      <c r="G1091" s="29" t="n"/>
      <c r="H1091" s="29" t="n"/>
      <c r="I1091" s="29" t="n"/>
      <c r="J1091" s="29" t="n"/>
      <c r="K1091" s="30">
        <f>IF(B1091="","",SUM(G$2:I1091)-SUM(J$2:J1091))</f>
        <v/>
      </c>
      <c r="L1091" s="22">
        <f>IF(B1091="","",IF(B1091=B1090,L1090,N(L1090)+1))</f>
        <v/>
      </c>
    </row>
    <row r="1092">
      <c r="A1092" s="22" t="n"/>
      <c r="B1092" s="27" t="n"/>
      <c r="C1092" s="17" t="n"/>
      <c r="D1092" s="17" t="n"/>
      <c r="E1092" s="17" t="n"/>
      <c r="F1092" s="28" t="n"/>
      <c r="G1092" s="29" t="n"/>
      <c r="H1092" s="29" t="n"/>
      <c r="I1092" s="29" t="n"/>
      <c r="J1092" s="29" t="n"/>
      <c r="K1092" s="30">
        <f>IF(B1092="","",SUM(G$2:I1092)-SUM(J$2:J1092))</f>
        <v/>
      </c>
      <c r="L1092" s="22">
        <f>IF(B1092="","",IF(B1092=B1091,L1091,N(L1091)+1))</f>
        <v/>
      </c>
    </row>
    <row r="1093">
      <c r="A1093" s="22" t="n"/>
      <c r="B1093" s="27" t="n"/>
      <c r="C1093" s="17" t="n"/>
      <c r="D1093" s="17" t="n"/>
      <c r="E1093" s="17" t="n"/>
      <c r="F1093" s="28" t="n"/>
      <c r="G1093" s="29" t="n"/>
      <c r="H1093" s="29" t="n"/>
      <c r="I1093" s="29" t="n"/>
      <c r="J1093" s="29" t="n"/>
      <c r="K1093" s="30">
        <f>IF(B1093="","",SUM(G$2:I1093)-SUM(J$2:J1093))</f>
        <v/>
      </c>
      <c r="L1093" s="22">
        <f>IF(B1093="","",IF(B1093=B1092,L1092,N(L1092)+1))</f>
        <v/>
      </c>
    </row>
    <row r="1094">
      <c r="A1094" s="22" t="n"/>
      <c r="B1094" s="27" t="n"/>
      <c r="C1094" s="17" t="n"/>
      <c r="D1094" s="17" t="n"/>
      <c r="E1094" s="17" t="n"/>
      <c r="F1094" s="28" t="n"/>
      <c r="G1094" s="29" t="n"/>
      <c r="H1094" s="29" t="n"/>
      <c r="I1094" s="29" t="n"/>
      <c r="J1094" s="29" t="n"/>
      <c r="K1094" s="30">
        <f>IF(B1094="","",SUM(G$2:I1094)-SUM(J$2:J1094))</f>
        <v/>
      </c>
      <c r="L1094" s="22">
        <f>IF(B1094="","",IF(B1094=B1093,L1093,N(L1093)+1))</f>
        <v/>
      </c>
    </row>
    <row r="1095">
      <c r="A1095" s="22" t="n"/>
      <c r="B1095" s="27" t="n"/>
      <c r="C1095" s="17" t="n"/>
      <c r="D1095" s="17" t="n"/>
      <c r="E1095" s="17" t="n"/>
      <c r="F1095" s="28" t="n"/>
      <c r="G1095" s="29" t="n"/>
      <c r="H1095" s="29" t="n"/>
      <c r="I1095" s="29" t="n"/>
      <c r="J1095" s="29" t="n"/>
      <c r="K1095" s="30">
        <f>IF(B1095="","",SUM(G$2:I1095)-SUM(J$2:J1095))</f>
        <v/>
      </c>
      <c r="L1095" s="22">
        <f>IF(B1095="","",IF(B1095=B1094,L1094,N(L1094)+1))</f>
        <v/>
      </c>
    </row>
    <row r="1096">
      <c r="A1096" s="22" t="n"/>
      <c r="B1096" s="27" t="n"/>
      <c r="C1096" s="17" t="n"/>
      <c r="D1096" s="17" t="n"/>
      <c r="E1096" s="17" t="n"/>
      <c r="F1096" s="28" t="n"/>
      <c r="G1096" s="29" t="n"/>
      <c r="H1096" s="29" t="n"/>
      <c r="I1096" s="29" t="n"/>
      <c r="J1096" s="29" t="n"/>
      <c r="K1096" s="30">
        <f>IF(B1096="","",SUM(G$2:I1096)-SUM(J$2:J1096))</f>
        <v/>
      </c>
      <c r="L1096" s="22">
        <f>IF(B1096="","",IF(B1096=B1095,L1095,N(L1095)+1))</f>
        <v/>
      </c>
    </row>
    <row r="1097">
      <c r="A1097" s="22" t="n"/>
      <c r="B1097" s="27" t="n"/>
      <c r="C1097" s="17" t="n"/>
      <c r="D1097" s="17" t="n"/>
      <c r="E1097" s="17" t="n"/>
      <c r="F1097" s="28" t="n"/>
      <c r="G1097" s="29" t="n"/>
      <c r="H1097" s="29" t="n"/>
      <c r="I1097" s="29" t="n"/>
      <c r="J1097" s="29" t="n"/>
      <c r="K1097" s="30">
        <f>IF(B1097="","",SUM(G$2:I1097)-SUM(J$2:J1097))</f>
        <v/>
      </c>
      <c r="L1097" s="22">
        <f>IF(B1097="","",IF(B1097=B1096,L1096,N(L1096)+1))</f>
        <v/>
      </c>
    </row>
    <row r="1098">
      <c r="A1098" s="22" t="n"/>
      <c r="B1098" s="27" t="n"/>
      <c r="C1098" s="17" t="n"/>
      <c r="D1098" s="17" t="n"/>
      <c r="E1098" s="17" t="n"/>
      <c r="F1098" s="28" t="n"/>
      <c r="G1098" s="29" t="n"/>
      <c r="H1098" s="29" t="n"/>
      <c r="I1098" s="29" t="n"/>
      <c r="J1098" s="29" t="n"/>
      <c r="K1098" s="30">
        <f>IF(B1098="","",SUM(G$2:I1098)-SUM(J$2:J1098))</f>
        <v/>
      </c>
      <c r="L1098" s="22">
        <f>IF(B1098="","",IF(B1098=B1097,L1097,N(L1097)+1))</f>
        <v/>
      </c>
    </row>
    <row r="1099">
      <c r="A1099" s="22" t="n"/>
      <c r="B1099" s="27" t="n"/>
      <c r="C1099" s="17" t="n"/>
      <c r="D1099" s="17" t="n"/>
      <c r="E1099" s="17" t="n"/>
      <c r="F1099" s="28" t="n"/>
      <c r="G1099" s="29" t="n"/>
      <c r="H1099" s="29" t="n"/>
      <c r="I1099" s="29" t="n"/>
      <c r="J1099" s="29" t="n"/>
      <c r="K1099" s="30">
        <f>IF(B1099="","",SUM(G$2:I1099)-SUM(J$2:J1099))</f>
        <v/>
      </c>
      <c r="L1099" s="22">
        <f>IF(B1099="","",IF(B1099=B1098,L1098,N(L1098)+1))</f>
        <v/>
      </c>
    </row>
    <row r="1100">
      <c r="A1100" s="22" t="n"/>
      <c r="B1100" s="27" t="n"/>
      <c r="C1100" s="17" t="n"/>
      <c r="D1100" s="17" t="n"/>
      <c r="E1100" s="17" t="n"/>
      <c r="F1100" s="28" t="n"/>
      <c r="G1100" s="29" t="n"/>
      <c r="H1100" s="29" t="n"/>
      <c r="I1100" s="29" t="n"/>
      <c r="J1100" s="29" t="n"/>
      <c r="K1100" s="30">
        <f>IF(B1100="","",SUM(G$2:I1100)-SUM(J$2:J1100))</f>
        <v/>
      </c>
      <c r="L1100" s="22">
        <f>IF(B1100="","",IF(B1100=B1099,L1099,N(L1099)+1))</f>
        <v/>
      </c>
    </row>
    <row r="1101">
      <c r="A1101" s="22" t="n"/>
      <c r="B1101" s="27" t="n"/>
      <c r="C1101" s="17" t="n"/>
      <c r="D1101" s="17" t="n"/>
      <c r="E1101" s="17" t="n"/>
      <c r="F1101" s="28" t="n"/>
      <c r="G1101" s="29" t="n"/>
      <c r="H1101" s="29" t="n"/>
      <c r="I1101" s="29" t="n"/>
      <c r="J1101" s="29" t="n"/>
      <c r="K1101" s="30">
        <f>IF(B1101="","",SUM(G$2:I1101)-SUM(J$2:J1101))</f>
        <v/>
      </c>
      <c r="L1101" s="22">
        <f>IF(B1101="","",IF(B1101=B1100,L1100,N(L1100)+1))</f>
        <v/>
      </c>
    </row>
    <row r="1102">
      <c r="A1102" s="22" t="n"/>
      <c r="B1102" s="27" t="n"/>
      <c r="C1102" s="17" t="n"/>
      <c r="D1102" s="17" t="n"/>
      <c r="E1102" s="17" t="n"/>
      <c r="F1102" s="28" t="n"/>
      <c r="G1102" s="29" t="n"/>
      <c r="H1102" s="29" t="n"/>
      <c r="I1102" s="29" t="n"/>
      <c r="J1102" s="29" t="n"/>
      <c r="K1102" s="30">
        <f>IF(B1102="","",SUM(G$2:I1102)-SUM(J$2:J1102))</f>
        <v/>
      </c>
      <c r="L1102" s="22">
        <f>IF(B1102="","",IF(B1102=B1101,L1101,N(L1101)+1))</f>
        <v/>
      </c>
    </row>
    <row r="1103">
      <c r="A1103" s="22" t="n"/>
      <c r="B1103" s="27" t="n"/>
      <c r="C1103" s="17" t="n"/>
      <c r="D1103" s="17" t="n"/>
      <c r="E1103" s="17" t="n"/>
      <c r="F1103" s="28" t="n"/>
      <c r="G1103" s="29" t="n"/>
      <c r="H1103" s="29" t="n"/>
      <c r="I1103" s="29" t="n"/>
      <c r="J1103" s="29" t="n"/>
      <c r="K1103" s="30">
        <f>IF(B1103="","",SUM(G$2:I1103)-SUM(J$2:J1103))</f>
        <v/>
      </c>
      <c r="L1103" s="22">
        <f>IF(B1103="","",IF(B1103=B1102,L1102,N(L1102)+1))</f>
        <v/>
      </c>
    </row>
    <row r="1104">
      <c r="A1104" s="22" t="n"/>
      <c r="B1104" s="27" t="n"/>
      <c r="C1104" s="17" t="n"/>
      <c r="D1104" s="17" t="n"/>
      <c r="E1104" s="17" t="n"/>
      <c r="F1104" s="28" t="n"/>
      <c r="G1104" s="29" t="n"/>
      <c r="H1104" s="29" t="n"/>
      <c r="I1104" s="29" t="n"/>
      <c r="J1104" s="29" t="n"/>
      <c r="K1104" s="30">
        <f>IF(B1104="","",SUM(G$2:I1104)-SUM(J$2:J1104))</f>
        <v/>
      </c>
      <c r="L1104" s="22">
        <f>IF(B1104="","",IF(B1104=B1103,L1103,N(L1103)+1))</f>
        <v/>
      </c>
    </row>
    <row r="1105">
      <c r="A1105" s="22" t="n"/>
      <c r="B1105" s="27" t="n"/>
      <c r="C1105" s="17" t="n"/>
      <c r="D1105" s="17" t="n"/>
      <c r="E1105" s="17" t="n"/>
      <c r="F1105" s="28" t="n"/>
      <c r="G1105" s="29" t="n"/>
      <c r="H1105" s="29" t="n"/>
      <c r="I1105" s="29" t="n"/>
      <c r="J1105" s="29" t="n"/>
      <c r="K1105" s="30">
        <f>IF(B1105="","",SUM(G$2:I1105)-SUM(J$2:J1105))</f>
        <v/>
      </c>
      <c r="L1105" s="22">
        <f>IF(B1105="","",IF(B1105=B1104,L1104,N(L1104)+1))</f>
        <v/>
      </c>
    </row>
    <row r="1106">
      <c r="A1106" s="22" t="n"/>
      <c r="B1106" s="27" t="n"/>
      <c r="C1106" s="17" t="n"/>
      <c r="D1106" s="17" t="n"/>
      <c r="E1106" s="17" t="n"/>
      <c r="F1106" s="28" t="n"/>
      <c r="G1106" s="29" t="n"/>
      <c r="H1106" s="29" t="n"/>
      <c r="I1106" s="29" t="n"/>
      <c r="J1106" s="29" t="n"/>
      <c r="K1106" s="30">
        <f>IF(B1106="","",SUM(G$2:I1106)-SUM(J$2:J1106))</f>
        <v/>
      </c>
      <c r="L1106" s="22">
        <f>IF(B1106="","",IF(B1106=B1105,L1105,N(L1105)+1))</f>
        <v/>
      </c>
    </row>
    <row r="1107">
      <c r="A1107" s="22" t="n"/>
      <c r="B1107" s="27" t="n"/>
      <c r="C1107" s="17" t="n"/>
      <c r="D1107" s="17" t="n"/>
      <c r="E1107" s="17" t="n"/>
      <c r="F1107" s="28" t="n"/>
      <c r="G1107" s="29" t="n"/>
      <c r="H1107" s="29" t="n"/>
      <c r="I1107" s="29" t="n"/>
      <c r="J1107" s="29" t="n"/>
      <c r="K1107" s="30">
        <f>IF(B1107="","",SUM(G$2:I1107)-SUM(J$2:J1107))</f>
        <v/>
      </c>
      <c r="L1107" s="22">
        <f>IF(B1107="","",IF(B1107=B1106,L1106,N(L1106)+1))</f>
        <v/>
      </c>
    </row>
    <row r="1108">
      <c r="A1108" s="22" t="n"/>
      <c r="B1108" s="27" t="n"/>
      <c r="C1108" s="17" t="n"/>
      <c r="D1108" s="17" t="n"/>
      <c r="E1108" s="17" t="n"/>
      <c r="F1108" s="28" t="n"/>
      <c r="G1108" s="29" t="n"/>
      <c r="H1108" s="29" t="n"/>
      <c r="I1108" s="29" t="n"/>
      <c r="J1108" s="29" t="n"/>
      <c r="K1108" s="30">
        <f>IF(B1108="","",SUM(G$2:I1108)-SUM(J$2:J1108))</f>
        <v/>
      </c>
      <c r="L1108" s="22">
        <f>IF(B1108="","",IF(B1108=B1107,L1107,N(L1107)+1))</f>
        <v/>
      </c>
    </row>
    <row r="1109">
      <c r="A1109" s="22" t="n"/>
      <c r="B1109" s="27" t="n"/>
      <c r="C1109" s="17" t="n"/>
      <c r="D1109" s="17" t="n"/>
      <c r="E1109" s="17" t="n"/>
      <c r="F1109" s="28" t="n"/>
      <c r="G1109" s="29" t="n"/>
      <c r="H1109" s="29" t="n"/>
      <c r="I1109" s="29" t="n"/>
      <c r="J1109" s="29" t="n"/>
      <c r="K1109" s="30">
        <f>IF(B1109="","",SUM(G$2:I1109)-SUM(J$2:J1109))</f>
        <v/>
      </c>
      <c r="L1109" s="22">
        <f>IF(B1109="","",IF(B1109=B1108,L1108,N(L1108)+1))</f>
        <v/>
      </c>
    </row>
    <row r="1110">
      <c r="A1110" s="22" t="n"/>
      <c r="B1110" s="27" t="n"/>
      <c r="C1110" s="17" t="n"/>
      <c r="D1110" s="17" t="n"/>
      <c r="E1110" s="17" t="n"/>
      <c r="F1110" s="28" t="n"/>
      <c r="G1110" s="29" t="n"/>
      <c r="H1110" s="29" t="n"/>
      <c r="I1110" s="29" t="n"/>
      <c r="J1110" s="29" t="n"/>
      <c r="K1110" s="30">
        <f>IF(B1110="","",SUM(G$2:I1110)-SUM(J$2:J1110))</f>
        <v/>
      </c>
      <c r="L1110" s="22">
        <f>IF(B1110="","",IF(B1110=B1109,L1109,N(L1109)+1))</f>
        <v/>
      </c>
    </row>
    <row r="1111">
      <c r="A1111" s="22" t="n"/>
      <c r="B1111" s="27" t="n"/>
      <c r="C1111" s="17" t="n"/>
      <c r="D1111" s="17" t="n"/>
      <c r="E1111" s="17" t="n"/>
      <c r="F1111" s="28" t="n"/>
      <c r="G1111" s="29" t="n"/>
      <c r="H1111" s="29" t="n"/>
      <c r="I1111" s="29" t="n"/>
      <c r="J1111" s="29" t="n"/>
      <c r="K1111" s="30">
        <f>IF(B1111="","",SUM(G$2:I1111)-SUM(J$2:J1111))</f>
        <v/>
      </c>
      <c r="L1111" s="22">
        <f>IF(B1111="","",IF(B1111=B1110,L1110,N(L1110)+1))</f>
        <v/>
      </c>
    </row>
    <row r="1112">
      <c r="A1112" s="22" t="n"/>
      <c r="B1112" s="27" t="n"/>
      <c r="C1112" s="17" t="n"/>
      <c r="D1112" s="17" t="n"/>
      <c r="E1112" s="17" t="n"/>
      <c r="F1112" s="28" t="n"/>
      <c r="G1112" s="29" t="n"/>
      <c r="H1112" s="29" t="n"/>
      <c r="I1112" s="29" t="n"/>
      <c r="J1112" s="29" t="n"/>
      <c r="K1112" s="30">
        <f>IF(B1112="","",SUM(G$2:I1112)-SUM(J$2:J1112))</f>
        <v/>
      </c>
      <c r="L1112" s="22">
        <f>IF(B1112="","",IF(B1112=B1111,L1111,N(L1111)+1))</f>
        <v/>
      </c>
    </row>
    <row r="1113">
      <c r="A1113" s="22" t="n"/>
      <c r="B1113" s="27" t="n"/>
      <c r="C1113" s="17" t="n"/>
      <c r="D1113" s="17" t="n"/>
      <c r="E1113" s="17" t="n"/>
      <c r="F1113" s="28" t="n"/>
      <c r="G1113" s="29" t="n"/>
      <c r="H1113" s="29" t="n"/>
      <c r="I1113" s="29" t="n"/>
      <c r="J1113" s="29" t="n"/>
      <c r="K1113" s="30">
        <f>IF(B1113="","",SUM(G$2:I1113)-SUM(J$2:J1113))</f>
        <v/>
      </c>
      <c r="L1113" s="22">
        <f>IF(B1113="","",IF(B1113=B1112,L1112,N(L1112)+1))</f>
        <v/>
      </c>
    </row>
    <row r="1114">
      <c r="A1114" s="22" t="n"/>
      <c r="B1114" s="27" t="n"/>
      <c r="C1114" s="17" t="n"/>
      <c r="D1114" s="17" t="n"/>
      <c r="E1114" s="17" t="n"/>
      <c r="F1114" s="28" t="n"/>
      <c r="G1114" s="29" t="n"/>
      <c r="H1114" s="29" t="n"/>
      <c r="I1114" s="29" t="n"/>
      <c r="J1114" s="29" t="n"/>
      <c r="K1114" s="30">
        <f>IF(B1114="","",SUM(G$2:I1114)-SUM(J$2:J1114))</f>
        <v/>
      </c>
      <c r="L1114" s="22">
        <f>IF(B1114="","",IF(B1114=B1113,L1113,N(L1113)+1))</f>
        <v/>
      </c>
    </row>
    <row r="1115">
      <c r="A1115" s="22" t="n"/>
      <c r="B1115" s="27" t="n"/>
      <c r="C1115" s="17" t="n"/>
      <c r="D1115" s="17" t="n"/>
      <c r="E1115" s="17" t="n"/>
      <c r="F1115" s="28" t="n"/>
      <c r="G1115" s="29" t="n"/>
      <c r="H1115" s="29" t="n"/>
      <c r="I1115" s="29" t="n"/>
      <c r="J1115" s="29" t="n"/>
      <c r="K1115" s="30">
        <f>IF(B1115="","",SUM(G$2:I1115)-SUM(J$2:J1115))</f>
        <v/>
      </c>
      <c r="L1115" s="22">
        <f>IF(B1115="","",IF(B1115=B1114,L1114,N(L1114)+1))</f>
        <v/>
      </c>
    </row>
    <row r="1116">
      <c r="A1116" s="22" t="n"/>
      <c r="B1116" s="27" t="n"/>
      <c r="C1116" s="17" t="n"/>
      <c r="D1116" s="17" t="n"/>
      <c r="E1116" s="17" t="n"/>
      <c r="F1116" s="28" t="n"/>
      <c r="G1116" s="29" t="n"/>
      <c r="H1116" s="29" t="n"/>
      <c r="I1116" s="29" t="n"/>
      <c r="J1116" s="29" t="n"/>
      <c r="K1116" s="30">
        <f>IF(B1116="","",SUM(G$2:I1116)-SUM(J$2:J1116))</f>
        <v/>
      </c>
      <c r="L1116" s="22">
        <f>IF(B1116="","",IF(B1116=B1115,L1115,N(L1115)+1))</f>
        <v/>
      </c>
    </row>
    <row r="1117">
      <c r="A1117" s="22" t="n"/>
      <c r="B1117" s="27" t="n"/>
      <c r="C1117" s="17" t="n"/>
      <c r="D1117" s="17" t="n"/>
      <c r="E1117" s="17" t="n"/>
      <c r="F1117" s="28" t="n"/>
      <c r="G1117" s="29" t="n"/>
      <c r="H1117" s="29" t="n"/>
      <c r="I1117" s="29" t="n"/>
      <c r="J1117" s="29" t="n"/>
      <c r="K1117" s="30">
        <f>IF(B1117="","",SUM(G$2:I1117)-SUM(J$2:J1117))</f>
        <v/>
      </c>
      <c r="L1117" s="22">
        <f>IF(B1117="","",IF(B1117=B1116,L1116,N(L1116)+1))</f>
        <v/>
      </c>
    </row>
    <row r="1118">
      <c r="A1118" s="22" t="n"/>
      <c r="B1118" s="27" t="n"/>
      <c r="C1118" s="17" t="n"/>
      <c r="D1118" s="17" t="n"/>
      <c r="E1118" s="17" t="n"/>
      <c r="F1118" s="28" t="n"/>
      <c r="G1118" s="29" t="n"/>
      <c r="H1118" s="29" t="n"/>
      <c r="I1118" s="29" t="n"/>
      <c r="J1118" s="29" t="n"/>
      <c r="K1118" s="30">
        <f>IF(B1118="","",SUM(G$2:I1118)-SUM(J$2:J1118))</f>
        <v/>
      </c>
      <c r="L1118" s="22">
        <f>IF(B1118="","",IF(B1118=B1117,L1117,N(L1117)+1))</f>
        <v/>
      </c>
    </row>
    <row r="1119">
      <c r="A1119" s="22" t="n"/>
      <c r="B1119" s="27" t="n"/>
      <c r="C1119" s="17" t="n"/>
      <c r="D1119" s="17" t="n"/>
      <c r="E1119" s="17" t="n"/>
      <c r="F1119" s="28" t="n"/>
      <c r="G1119" s="29" t="n"/>
      <c r="H1119" s="29" t="n"/>
      <c r="I1119" s="29" t="n"/>
      <c r="J1119" s="29" t="n"/>
      <c r="K1119" s="30">
        <f>IF(B1119="","",SUM(G$2:I1119)-SUM(J$2:J1119))</f>
        <v/>
      </c>
      <c r="L1119" s="22">
        <f>IF(B1119="","",IF(B1119=B1118,L1118,N(L1118)+1))</f>
        <v/>
      </c>
    </row>
    <row r="1120">
      <c r="A1120" s="22" t="n"/>
      <c r="B1120" s="27" t="n"/>
      <c r="C1120" s="17" t="n"/>
      <c r="D1120" s="17" t="n"/>
      <c r="E1120" s="17" t="n"/>
      <c r="F1120" s="28" t="n"/>
      <c r="G1120" s="29" t="n"/>
      <c r="H1120" s="29" t="n"/>
      <c r="I1120" s="29" t="n"/>
      <c r="J1120" s="29" t="n"/>
      <c r="K1120" s="30">
        <f>IF(B1120="","",SUM(G$2:I1120)-SUM(J$2:J1120))</f>
        <v/>
      </c>
      <c r="L1120" s="22">
        <f>IF(B1120="","",IF(B1120=B1119,L1119,N(L1119)+1))</f>
        <v/>
      </c>
    </row>
    <row r="1121">
      <c r="A1121" s="22" t="n"/>
      <c r="B1121" s="27" t="n"/>
      <c r="C1121" s="17" t="n"/>
      <c r="D1121" s="17" t="n"/>
      <c r="E1121" s="17" t="n"/>
      <c r="F1121" s="28" t="n"/>
      <c r="G1121" s="29" t="n"/>
      <c r="H1121" s="29" t="n"/>
      <c r="I1121" s="29" t="n"/>
      <c r="J1121" s="29" t="n"/>
      <c r="K1121" s="30">
        <f>IF(B1121="","",SUM(G$2:I1121)-SUM(J$2:J1121))</f>
        <v/>
      </c>
      <c r="L1121" s="22">
        <f>IF(B1121="","",IF(B1121=B1120,L1120,N(L1120)+1))</f>
        <v/>
      </c>
    </row>
    <row r="1122">
      <c r="A1122" s="22" t="n"/>
      <c r="B1122" s="27" t="n"/>
      <c r="C1122" s="17" t="n"/>
      <c r="D1122" s="17" t="n"/>
      <c r="E1122" s="17" t="n"/>
      <c r="F1122" s="28" t="n"/>
      <c r="G1122" s="29" t="n"/>
      <c r="H1122" s="29" t="n"/>
      <c r="I1122" s="29" t="n"/>
      <c r="J1122" s="29" t="n"/>
      <c r="K1122" s="30">
        <f>IF(B1122="","",SUM(G$2:I1122)-SUM(J$2:J1122))</f>
        <v/>
      </c>
      <c r="L1122" s="22">
        <f>IF(B1122="","",IF(B1122=B1121,L1121,N(L1121)+1))</f>
        <v/>
      </c>
    </row>
    <row r="1123">
      <c r="A1123" s="22" t="n"/>
      <c r="B1123" s="27" t="n"/>
      <c r="C1123" s="17" t="n"/>
      <c r="D1123" s="17" t="n"/>
      <c r="E1123" s="17" t="n"/>
      <c r="F1123" s="28" t="n"/>
      <c r="G1123" s="29" t="n"/>
      <c r="H1123" s="29" t="n"/>
      <c r="I1123" s="29" t="n"/>
      <c r="J1123" s="29" t="n"/>
      <c r="K1123" s="30">
        <f>IF(B1123="","",SUM(G$2:I1123)-SUM(J$2:J1123))</f>
        <v/>
      </c>
      <c r="L1123" s="22">
        <f>IF(B1123="","",IF(B1123=B1122,L1122,N(L1122)+1))</f>
        <v/>
      </c>
    </row>
    <row r="1124">
      <c r="A1124" s="22" t="n"/>
      <c r="B1124" s="27" t="n"/>
      <c r="C1124" s="17" t="n"/>
      <c r="D1124" s="17" t="n"/>
      <c r="E1124" s="17" t="n"/>
      <c r="F1124" s="28" t="n"/>
      <c r="G1124" s="29" t="n"/>
      <c r="H1124" s="29" t="n"/>
      <c r="I1124" s="29" t="n"/>
      <c r="J1124" s="29" t="n"/>
      <c r="K1124" s="30">
        <f>IF(B1124="","",SUM(G$2:I1124)-SUM(J$2:J1124))</f>
        <v/>
      </c>
      <c r="L1124" s="22">
        <f>IF(B1124="","",IF(B1124=B1123,L1123,N(L1123)+1))</f>
        <v/>
      </c>
    </row>
    <row r="1125">
      <c r="A1125" s="22" t="n"/>
      <c r="B1125" s="27" t="n"/>
      <c r="C1125" s="17" t="n"/>
      <c r="D1125" s="17" t="n"/>
      <c r="E1125" s="17" t="n"/>
      <c r="F1125" s="28" t="n"/>
      <c r="G1125" s="29" t="n"/>
      <c r="H1125" s="29" t="n"/>
      <c r="I1125" s="29" t="n"/>
      <c r="J1125" s="29" t="n"/>
      <c r="K1125" s="30">
        <f>IF(B1125="","",SUM(G$2:I1125)-SUM(J$2:J1125))</f>
        <v/>
      </c>
      <c r="L1125" s="22">
        <f>IF(B1125="","",IF(B1125=B1124,L1124,N(L1124)+1))</f>
        <v/>
      </c>
    </row>
    <row r="1126">
      <c r="A1126" s="22" t="n"/>
      <c r="B1126" s="27" t="n"/>
      <c r="C1126" s="17" t="n"/>
      <c r="D1126" s="17" t="n"/>
      <c r="E1126" s="17" t="n"/>
      <c r="F1126" s="28" t="n"/>
      <c r="G1126" s="29" t="n"/>
      <c r="H1126" s="29" t="n"/>
      <c r="I1126" s="29" t="n"/>
      <c r="J1126" s="29" t="n"/>
      <c r="K1126" s="30">
        <f>IF(B1126="","",SUM(G$2:I1126)-SUM(J$2:J1126))</f>
        <v/>
      </c>
      <c r="L1126" s="22">
        <f>IF(B1126="","",IF(B1126=B1125,L1125,N(L1125)+1))</f>
        <v/>
      </c>
    </row>
    <row r="1127">
      <c r="A1127" s="22" t="n"/>
      <c r="B1127" s="27" t="n"/>
      <c r="C1127" s="17" t="n"/>
      <c r="D1127" s="17" t="n"/>
      <c r="E1127" s="17" t="n"/>
      <c r="F1127" s="28" t="n"/>
      <c r="G1127" s="29" t="n"/>
      <c r="H1127" s="29" t="n"/>
      <c r="I1127" s="29" t="n"/>
      <c r="J1127" s="29" t="n"/>
      <c r="K1127" s="30">
        <f>IF(B1127="","",SUM(G$2:I1127)-SUM(J$2:J1127))</f>
        <v/>
      </c>
      <c r="L1127" s="22">
        <f>IF(B1127="","",IF(B1127=B1126,L1126,N(L1126)+1))</f>
        <v/>
      </c>
    </row>
    <row r="1128">
      <c r="A1128" s="22" t="n"/>
      <c r="B1128" s="27" t="n"/>
      <c r="C1128" s="17" t="n"/>
      <c r="D1128" s="17" t="n"/>
      <c r="E1128" s="17" t="n"/>
      <c r="F1128" s="28" t="n"/>
      <c r="G1128" s="29" t="n"/>
      <c r="H1128" s="29" t="n"/>
      <c r="I1128" s="29" t="n"/>
      <c r="J1128" s="29" t="n"/>
      <c r="K1128" s="30">
        <f>IF(B1128="","",SUM(G$2:I1128)-SUM(J$2:J1128))</f>
        <v/>
      </c>
      <c r="L1128" s="22">
        <f>IF(B1128="","",IF(B1128=B1127,L1127,N(L1127)+1))</f>
        <v/>
      </c>
    </row>
    <row r="1129">
      <c r="A1129" s="22" t="n"/>
      <c r="B1129" s="27" t="n"/>
      <c r="C1129" s="17" t="n"/>
      <c r="D1129" s="17" t="n"/>
      <c r="E1129" s="17" t="n"/>
      <c r="F1129" s="28" t="n"/>
      <c r="G1129" s="29" t="n"/>
      <c r="H1129" s="29" t="n"/>
      <c r="I1129" s="29" t="n"/>
      <c r="J1129" s="29" t="n"/>
      <c r="K1129" s="30">
        <f>IF(B1129="","",SUM(G$2:I1129)-SUM(J$2:J1129))</f>
        <v/>
      </c>
      <c r="L1129" s="22">
        <f>IF(B1129="","",IF(B1129=B1128,L1128,N(L1128)+1))</f>
        <v/>
      </c>
    </row>
    <row r="1130">
      <c r="A1130" s="22" t="n"/>
      <c r="B1130" s="27" t="n"/>
      <c r="C1130" s="17" t="n"/>
      <c r="D1130" s="17" t="n"/>
      <c r="E1130" s="17" t="n"/>
      <c r="F1130" s="28" t="n"/>
      <c r="G1130" s="29" t="n"/>
      <c r="H1130" s="29" t="n"/>
      <c r="I1130" s="29" t="n"/>
      <c r="J1130" s="29" t="n"/>
      <c r="K1130" s="30">
        <f>IF(B1130="","",SUM(G$2:I1130)-SUM(J$2:J1130))</f>
        <v/>
      </c>
      <c r="L1130" s="22">
        <f>IF(B1130="","",IF(B1130=B1129,L1129,N(L1129)+1))</f>
        <v/>
      </c>
    </row>
    <row r="1131">
      <c r="A1131" s="22" t="n"/>
      <c r="B1131" s="27" t="n"/>
      <c r="C1131" s="17" t="n"/>
      <c r="D1131" s="17" t="n"/>
      <c r="E1131" s="17" t="n"/>
      <c r="F1131" s="28" t="n"/>
      <c r="G1131" s="29" t="n"/>
      <c r="H1131" s="29" t="n"/>
      <c r="I1131" s="29" t="n"/>
      <c r="J1131" s="29" t="n"/>
      <c r="K1131" s="30">
        <f>IF(B1131="","",SUM(G$2:I1131)-SUM(J$2:J1131))</f>
        <v/>
      </c>
      <c r="L1131" s="22">
        <f>IF(B1131="","",IF(B1131=B1130,L1130,N(L1130)+1))</f>
        <v/>
      </c>
    </row>
    <row r="1132">
      <c r="A1132" s="22" t="n"/>
      <c r="B1132" s="27" t="n"/>
      <c r="C1132" s="17" t="n"/>
      <c r="D1132" s="17" t="n"/>
      <c r="E1132" s="17" t="n"/>
      <c r="F1132" s="28" t="n"/>
      <c r="G1132" s="29" t="n"/>
      <c r="H1132" s="29" t="n"/>
      <c r="I1132" s="29" t="n"/>
      <c r="J1132" s="29" t="n"/>
      <c r="K1132" s="30">
        <f>IF(B1132="","",SUM(G$2:I1132)-SUM(J$2:J1132))</f>
        <v/>
      </c>
      <c r="L1132" s="22">
        <f>IF(B1132="","",IF(B1132=B1131,L1131,N(L1131)+1))</f>
        <v/>
      </c>
    </row>
    <row r="1133">
      <c r="A1133" s="22" t="n"/>
      <c r="B1133" s="27" t="n"/>
      <c r="C1133" s="17" t="n"/>
      <c r="D1133" s="17" t="n"/>
      <c r="E1133" s="17" t="n"/>
      <c r="F1133" s="28" t="n"/>
      <c r="G1133" s="29" t="n"/>
      <c r="H1133" s="29" t="n"/>
      <c r="I1133" s="29" t="n"/>
      <c r="J1133" s="29" t="n"/>
      <c r="K1133" s="30">
        <f>IF(B1133="","",SUM(G$2:I1133)-SUM(J$2:J1133))</f>
        <v/>
      </c>
      <c r="L1133" s="22">
        <f>IF(B1133="","",IF(B1133=B1132,L1132,N(L1132)+1))</f>
        <v/>
      </c>
    </row>
    <row r="1134">
      <c r="A1134" s="22" t="n"/>
      <c r="B1134" s="27" t="n"/>
      <c r="C1134" s="17" t="n"/>
      <c r="D1134" s="17" t="n"/>
      <c r="E1134" s="17" t="n"/>
      <c r="F1134" s="28" t="n"/>
      <c r="G1134" s="29" t="n"/>
      <c r="H1134" s="29" t="n"/>
      <c r="I1134" s="29" t="n"/>
      <c r="J1134" s="29" t="n"/>
      <c r="K1134" s="30">
        <f>IF(B1134="","",SUM(G$2:I1134)-SUM(J$2:J1134))</f>
        <v/>
      </c>
      <c r="L1134" s="22">
        <f>IF(B1134="","",IF(B1134=B1133,L1133,N(L1133)+1))</f>
        <v/>
      </c>
    </row>
    <row r="1135">
      <c r="A1135" s="22" t="n"/>
      <c r="B1135" s="27" t="n"/>
      <c r="C1135" s="17" t="n"/>
      <c r="D1135" s="17" t="n"/>
      <c r="E1135" s="17" t="n"/>
      <c r="F1135" s="28" t="n"/>
      <c r="G1135" s="29" t="n"/>
      <c r="H1135" s="29" t="n"/>
      <c r="I1135" s="29" t="n"/>
      <c r="J1135" s="29" t="n"/>
      <c r="K1135" s="30">
        <f>IF(B1135="","",SUM(G$2:I1135)-SUM(J$2:J1135))</f>
        <v/>
      </c>
      <c r="L1135" s="22">
        <f>IF(B1135="","",IF(B1135=B1134,L1134,N(L1134)+1))</f>
        <v/>
      </c>
    </row>
    <row r="1136">
      <c r="A1136" s="22" t="n"/>
      <c r="B1136" s="27" t="n"/>
      <c r="C1136" s="17" t="n"/>
      <c r="D1136" s="17" t="n"/>
      <c r="E1136" s="17" t="n"/>
      <c r="F1136" s="28" t="n"/>
      <c r="G1136" s="29" t="n"/>
      <c r="H1136" s="29" t="n"/>
      <c r="I1136" s="29" t="n"/>
      <c r="J1136" s="29" t="n"/>
      <c r="K1136" s="30">
        <f>IF(B1136="","",SUM(G$2:I1136)-SUM(J$2:J1136))</f>
        <v/>
      </c>
      <c r="L1136" s="22">
        <f>IF(B1136="","",IF(B1136=B1135,L1135,N(L1135)+1))</f>
        <v/>
      </c>
    </row>
    <row r="1137">
      <c r="A1137" s="22" t="n"/>
      <c r="B1137" s="27" t="n"/>
      <c r="C1137" s="17" t="n"/>
      <c r="D1137" s="17" t="n"/>
      <c r="E1137" s="17" t="n"/>
      <c r="F1137" s="28" t="n"/>
      <c r="G1137" s="29" t="n"/>
      <c r="H1137" s="29" t="n"/>
      <c r="I1137" s="29" t="n"/>
      <c r="J1137" s="29" t="n"/>
      <c r="K1137" s="30">
        <f>IF(B1137="","",SUM(G$2:I1137)-SUM(J$2:J1137))</f>
        <v/>
      </c>
      <c r="L1137" s="22">
        <f>IF(B1137="","",IF(B1137=B1136,L1136,N(L1136)+1))</f>
        <v/>
      </c>
    </row>
    <row r="1138">
      <c r="A1138" s="22" t="n"/>
      <c r="B1138" s="27" t="n"/>
      <c r="C1138" s="17" t="n"/>
      <c r="D1138" s="17" t="n"/>
      <c r="E1138" s="17" t="n"/>
      <c r="F1138" s="28" t="n"/>
      <c r="G1138" s="29" t="n"/>
      <c r="H1138" s="29" t="n"/>
      <c r="I1138" s="29" t="n"/>
      <c r="J1138" s="29" t="n"/>
      <c r="K1138" s="30">
        <f>IF(B1138="","",SUM(G$2:I1138)-SUM(J$2:J1138))</f>
        <v/>
      </c>
      <c r="L1138" s="22">
        <f>IF(B1138="","",IF(B1138=B1137,L1137,N(L1137)+1))</f>
        <v/>
      </c>
    </row>
    <row r="1139">
      <c r="A1139" s="22" t="n"/>
      <c r="B1139" s="27" t="n"/>
      <c r="C1139" s="17" t="n"/>
      <c r="D1139" s="17" t="n"/>
      <c r="E1139" s="17" t="n"/>
      <c r="F1139" s="28" t="n"/>
      <c r="G1139" s="29" t="n"/>
      <c r="H1139" s="29" t="n"/>
      <c r="I1139" s="29" t="n"/>
      <c r="J1139" s="29" t="n"/>
      <c r="K1139" s="30">
        <f>IF(B1139="","",SUM(G$2:I1139)-SUM(J$2:J1139))</f>
        <v/>
      </c>
      <c r="L1139" s="22">
        <f>IF(B1139="","",IF(B1139=B1138,L1138,N(L1138)+1))</f>
        <v/>
      </c>
    </row>
    <row r="1140">
      <c r="A1140" s="22" t="n"/>
      <c r="B1140" s="27" t="n"/>
      <c r="C1140" s="17" t="n"/>
      <c r="D1140" s="17" t="n"/>
      <c r="E1140" s="17" t="n"/>
      <c r="F1140" s="28" t="n"/>
      <c r="G1140" s="29" t="n"/>
      <c r="H1140" s="29" t="n"/>
      <c r="I1140" s="29" t="n"/>
      <c r="J1140" s="29" t="n"/>
      <c r="K1140" s="30">
        <f>IF(B1140="","",SUM(G$2:I1140)-SUM(J$2:J1140))</f>
        <v/>
      </c>
      <c r="L1140" s="22">
        <f>IF(B1140="","",IF(B1140=B1139,L1139,N(L1139)+1))</f>
        <v/>
      </c>
    </row>
    <row r="1141">
      <c r="A1141" s="22" t="n"/>
      <c r="B1141" s="27" t="n"/>
      <c r="C1141" s="17" t="n"/>
      <c r="D1141" s="17" t="n"/>
      <c r="E1141" s="17" t="n"/>
      <c r="F1141" s="28" t="n"/>
      <c r="G1141" s="29" t="n"/>
      <c r="H1141" s="29" t="n"/>
      <c r="I1141" s="29" t="n"/>
      <c r="J1141" s="29" t="n"/>
      <c r="K1141" s="30">
        <f>IF(B1141="","",SUM(G$2:I1141)-SUM(J$2:J1141))</f>
        <v/>
      </c>
      <c r="L1141" s="22">
        <f>IF(B1141="","",IF(B1141=B1140,L1140,N(L1140)+1))</f>
        <v/>
      </c>
    </row>
    <row r="1142">
      <c r="A1142" s="22" t="n"/>
      <c r="B1142" s="27" t="n"/>
      <c r="C1142" s="17" t="n"/>
      <c r="D1142" s="17" t="n"/>
      <c r="E1142" s="17" t="n"/>
      <c r="F1142" s="28" t="n"/>
      <c r="G1142" s="29" t="n"/>
      <c r="H1142" s="29" t="n"/>
      <c r="I1142" s="29" t="n"/>
      <c r="J1142" s="29" t="n"/>
      <c r="K1142" s="30">
        <f>IF(B1142="","",SUM(G$2:I1142)-SUM(J$2:J1142))</f>
        <v/>
      </c>
      <c r="L1142" s="22">
        <f>IF(B1142="","",IF(B1142=B1141,L1141,N(L1141)+1))</f>
        <v/>
      </c>
    </row>
    <row r="1143">
      <c r="A1143" s="22" t="n"/>
      <c r="B1143" s="27" t="n"/>
      <c r="C1143" s="17" t="n"/>
      <c r="D1143" s="17" t="n"/>
      <c r="E1143" s="17" t="n"/>
      <c r="F1143" s="28" t="n"/>
      <c r="G1143" s="29" t="n"/>
      <c r="H1143" s="29" t="n"/>
      <c r="I1143" s="29" t="n"/>
      <c r="J1143" s="29" t="n"/>
      <c r="K1143" s="30">
        <f>IF(B1143="","",SUM(G$2:I1143)-SUM(J$2:J1143))</f>
        <v/>
      </c>
      <c r="L1143" s="22">
        <f>IF(B1143="","",IF(B1143=B1142,L1142,N(L1142)+1))</f>
        <v/>
      </c>
    </row>
    <row r="1144">
      <c r="A1144" s="22" t="n"/>
      <c r="B1144" s="27" t="n"/>
      <c r="C1144" s="17" t="n"/>
      <c r="D1144" s="17" t="n"/>
      <c r="E1144" s="17" t="n"/>
      <c r="F1144" s="28" t="n"/>
      <c r="G1144" s="29" t="n"/>
      <c r="H1144" s="29" t="n"/>
      <c r="I1144" s="29" t="n"/>
      <c r="J1144" s="29" t="n"/>
      <c r="K1144" s="30">
        <f>IF(B1144="","",SUM(G$2:I1144)-SUM(J$2:J1144))</f>
        <v/>
      </c>
      <c r="L1144" s="22">
        <f>IF(B1144="","",IF(B1144=B1143,L1143,N(L1143)+1))</f>
        <v/>
      </c>
    </row>
    <row r="1145">
      <c r="A1145" s="22" t="n"/>
      <c r="B1145" s="27" t="n"/>
      <c r="C1145" s="17" t="n"/>
      <c r="D1145" s="17" t="n"/>
      <c r="E1145" s="17" t="n"/>
      <c r="F1145" s="28" t="n"/>
      <c r="G1145" s="29" t="n"/>
      <c r="H1145" s="29" t="n"/>
      <c r="I1145" s="29" t="n"/>
      <c r="J1145" s="29" t="n"/>
      <c r="K1145" s="30">
        <f>IF(B1145="","",SUM(G$2:I1145)-SUM(J$2:J1145))</f>
        <v/>
      </c>
      <c r="L1145" s="22">
        <f>IF(B1145="","",IF(B1145=B1144,L1144,N(L1144)+1))</f>
        <v/>
      </c>
    </row>
    <row r="1146">
      <c r="A1146" s="22" t="n"/>
      <c r="B1146" s="27" t="n"/>
      <c r="C1146" s="17" t="n"/>
      <c r="D1146" s="17" t="n"/>
      <c r="E1146" s="17" t="n"/>
      <c r="F1146" s="28" t="n"/>
      <c r="G1146" s="29" t="n"/>
      <c r="H1146" s="29" t="n"/>
      <c r="I1146" s="29" t="n"/>
      <c r="J1146" s="29" t="n"/>
      <c r="K1146" s="30">
        <f>IF(B1146="","",SUM(G$2:I1146)-SUM(J$2:J1146))</f>
        <v/>
      </c>
      <c r="L1146" s="22">
        <f>IF(B1146="","",IF(B1146=B1145,L1145,N(L1145)+1))</f>
        <v/>
      </c>
    </row>
    <row r="1147">
      <c r="A1147" s="22" t="n"/>
      <c r="B1147" s="27" t="n"/>
      <c r="C1147" s="17" t="n"/>
      <c r="D1147" s="17" t="n"/>
      <c r="E1147" s="17" t="n"/>
      <c r="F1147" s="28" t="n"/>
      <c r="G1147" s="29" t="n"/>
      <c r="H1147" s="29" t="n"/>
      <c r="I1147" s="29" t="n"/>
      <c r="J1147" s="29" t="n"/>
      <c r="K1147" s="30">
        <f>IF(B1147="","",SUM(G$2:I1147)-SUM(J$2:J1147))</f>
        <v/>
      </c>
      <c r="L1147" s="22">
        <f>IF(B1147="","",IF(B1147=B1146,L1146,N(L1146)+1))</f>
        <v/>
      </c>
    </row>
    <row r="1148">
      <c r="A1148" s="22" t="n"/>
      <c r="B1148" s="27" t="n"/>
      <c r="C1148" s="17" t="n"/>
      <c r="D1148" s="17" t="n"/>
      <c r="E1148" s="17" t="n"/>
      <c r="F1148" s="28" t="n"/>
      <c r="G1148" s="29" t="n"/>
      <c r="H1148" s="29" t="n"/>
      <c r="I1148" s="29" t="n"/>
      <c r="J1148" s="29" t="n"/>
      <c r="K1148" s="30">
        <f>IF(B1148="","",SUM(G$2:I1148)-SUM(J$2:J1148))</f>
        <v/>
      </c>
      <c r="L1148" s="22">
        <f>IF(B1148="","",IF(B1148=B1147,L1147,N(L1147)+1))</f>
        <v/>
      </c>
    </row>
    <row r="1149">
      <c r="A1149" s="22" t="n"/>
      <c r="B1149" s="27" t="n"/>
      <c r="C1149" s="17" t="n"/>
      <c r="D1149" s="17" t="n"/>
      <c r="E1149" s="17" t="n"/>
      <c r="F1149" s="28" t="n"/>
      <c r="G1149" s="29" t="n"/>
      <c r="H1149" s="29" t="n"/>
      <c r="I1149" s="29" t="n"/>
      <c r="J1149" s="29" t="n"/>
      <c r="K1149" s="30">
        <f>IF(B1149="","",SUM(G$2:I1149)-SUM(J$2:J1149))</f>
        <v/>
      </c>
      <c r="L1149" s="22">
        <f>IF(B1149="","",IF(B1149=B1148,L1148,N(L1148)+1))</f>
        <v/>
      </c>
    </row>
    <row r="1150">
      <c r="A1150" s="22" t="n"/>
      <c r="B1150" s="27" t="n"/>
      <c r="C1150" s="17" t="n"/>
      <c r="D1150" s="17" t="n"/>
      <c r="E1150" s="17" t="n"/>
      <c r="F1150" s="28" t="n"/>
      <c r="G1150" s="29" t="n"/>
      <c r="H1150" s="29" t="n"/>
      <c r="I1150" s="29" t="n"/>
      <c r="J1150" s="29" t="n"/>
      <c r="K1150" s="30">
        <f>IF(B1150="","",SUM(G$2:I1150)-SUM(J$2:J1150))</f>
        <v/>
      </c>
      <c r="L1150" s="22">
        <f>IF(B1150="","",IF(B1150=B1149,L1149,N(L1149)+1))</f>
        <v/>
      </c>
    </row>
    <row r="1151">
      <c r="A1151" s="22" t="n"/>
      <c r="B1151" s="27" t="n"/>
      <c r="C1151" s="17" t="n"/>
      <c r="D1151" s="17" t="n"/>
      <c r="E1151" s="17" t="n"/>
      <c r="F1151" s="28" t="n"/>
      <c r="G1151" s="29" t="n"/>
      <c r="H1151" s="29" t="n"/>
      <c r="I1151" s="29" t="n"/>
      <c r="J1151" s="29" t="n"/>
      <c r="K1151" s="30">
        <f>IF(B1151="","",SUM(G$2:I1151)-SUM(J$2:J1151))</f>
        <v/>
      </c>
      <c r="L1151" s="22">
        <f>IF(B1151="","",IF(B1151=B1150,L1150,N(L1150)+1))</f>
        <v/>
      </c>
    </row>
    <row r="1152">
      <c r="A1152" s="22" t="n"/>
      <c r="B1152" s="27" t="n"/>
      <c r="C1152" s="17" t="n"/>
      <c r="D1152" s="17" t="n"/>
      <c r="E1152" s="17" t="n"/>
      <c r="F1152" s="28" t="n"/>
      <c r="G1152" s="29" t="n"/>
      <c r="H1152" s="29" t="n"/>
      <c r="I1152" s="29" t="n"/>
      <c r="J1152" s="29" t="n"/>
      <c r="K1152" s="30">
        <f>IF(B1152="","",SUM(G$2:I1152)-SUM(J$2:J1152))</f>
        <v/>
      </c>
      <c r="L1152" s="22">
        <f>IF(B1152="","",IF(B1152=B1151,L1151,N(L1151)+1))</f>
        <v/>
      </c>
    </row>
    <row r="1153">
      <c r="A1153" s="22" t="n"/>
      <c r="B1153" s="27" t="n"/>
      <c r="C1153" s="17" t="n"/>
      <c r="D1153" s="17" t="n"/>
      <c r="E1153" s="17" t="n"/>
      <c r="F1153" s="28" t="n"/>
      <c r="G1153" s="29" t="n"/>
      <c r="H1153" s="29" t="n"/>
      <c r="I1153" s="29" t="n"/>
      <c r="J1153" s="29" t="n"/>
      <c r="K1153" s="30">
        <f>IF(B1153="","",SUM(G$2:I1153)-SUM(J$2:J1153))</f>
        <v/>
      </c>
      <c r="L1153" s="22">
        <f>IF(B1153="","",IF(B1153=B1152,L1152,N(L1152)+1))</f>
        <v/>
      </c>
    </row>
    <row r="1154">
      <c r="A1154" s="22" t="n"/>
      <c r="B1154" s="27" t="n"/>
      <c r="C1154" s="17" t="n"/>
      <c r="D1154" s="17" t="n"/>
      <c r="E1154" s="17" t="n"/>
      <c r="F1154" s="28" t="n"/>
      <c r="G1154" s="29" t="n"/>
      <c r="H1154" s="29" t="n"/>
      <c r="I1154" s="29" t="n"/>
      <c r="J1154" s="29" t="n"/>
      <c r="K1154" s="30">
        <f>IF(B1154="","",SUM(G$2:I1154)-SUM(J$2:J1154))</f>
        <v/>
      </c>
      <c r="L1154" s="22">
        <f>IF(B1154="","",IF(B1154=B1153,L1153,N(L1153)+1))</f>
        <v/>
      </c>
    </row>
    <row r="1155">
      <c r="A1155" s="22" t="n"/>
      <c r="B1155" s="27" t="n"/>
      <c r="C1155" s="17" t="n"/>
      <c r="D1155" s="17" t="n"/>
      <c r="E1155" s="17" t="n"/>
      <c r="F1155" s="28" t="n"/>
      <c r="G1155" s="29" t="n"/>
      <c r="H1155" s="29" t="n"/>
      <c r="I1155" s="29" t="n"/>
      <c r="J1155" s="29" t="n"/>
      <c r="K1155" s="30">
        <f>IF(B1155="","",SUM(G$2:I1155)-SUM(J$2:J1155))</f>
        <v/>
      </c>
      <c r="L1155" s="22">
        <f>IF(B1155="","",IF(B1155=B1154,L1154,N(L1154)+1))</f>
        <v/>
      </c>
    </row>
    <row r="1156">
      <c r="A1156" s="22" t="n"/>
      <c r="B1156" s="27" t="n"/>
      <c r="C1156" s="17" t="n"/>
      <c r="D1156" s="17" t="n"/>
      <c r="E1156" s="17" t="n"/>
      <c r="F1156" s="28" t="n"/>
      <c r="G1156" s="29" t="n"/>
      <c r="H1156" s="29" t="n"/>
      <c r="I1156" s="29" t="n"/>
      <c r="J1156" s="29" t="n"/>
      <c r="K1156" s="30">
        <f>IF(B1156="","",SUM(G$2:I1156)-SUM(J$2:J1156))</f>
        <v/>
      </c>
      <c r="L1156" s="22">
        <f>IF(B1156="","",IF(B1156=B1155,L1155,N(L1155)+1))</f>
        <v/>
      </c>
    </row>
    <row r="1157">
      <c r="A1157" s="22" t="n"/>
      <c r="B1157" s="27" t="n"/>
      <c r="C1157" s="17" t="n"/>
      <c r="D1157" s="17" t="n"/>
      <c r="E1157" s="17" t="n"/>
      <c r="F1157" s="28" t="n"/>
      <c r="G1157" s="29" t="n"/>
      <c r="H1157" s="29" t="n"/>
      <c r="I1157" s="29" t="n"/>
      <c r="J1157" s="29" t="n"/>
      <c r="K1157" s="30">
        <f>IF(B1157="","",SUM(G$2:I1157)-SUM(J$2:J1157))</f>
        <v/>
      </c>
      <c r="L1157" s="22">
        <f>IF(B1157="","",IF(B1157=B1156,L1156,N(L1156)+1))</f>
        <v/>
      </c>
    </row>
    <row r="1158">
      <c r="A1158" s="22" t="n"/>
      <c r="B1158" s="27" t="n"/>
      <c r="C1158" s="17" t="n"/>
      <c r="D1158" s="17" t="n"/>
      <c r="E1158" s="17" t="n"/>
      <c r="F1158" s="28" t="n"/>
      <c r="G1158" s="29" t="n"/>
      <c r="H1158" s="29" t="n"/>
      <c r="I1158" s="29" t="n"/>
      <c r="J1158" s="29" t="n"/>
      <c r="K1158" s="30">
        <f>IF(B1158="","",SUM(G$2:I1158)-SUM(J$2:J1158))</f>
        <v/>
      </c>
      <c r="L1158" s="22">
        <f>IF(B1158="","",IF(B1158=B1157,L1157,N(L1157)+1))</f>
        <v/>
      </c>
    </row>
    <row r="1159">
      <c r="A1159" s="22" t="n"/>
      <c r="B1159" s="27" t="n"/>
      <c r="C1159" s="17" t="n"/>
      <c r="D1159" s="17" t="n"/>
      <c r="E1159" s="17" t="n"/>
      <c r="F1159" s="28" t="n"/>
      <c r="G1159" s="29" t="n"/>
      <c r="H1159" s="29" t="n"/>
      <c r="I1159" s="29" t="n"/>
      <c r="J1159" s="29" t="n"/>
      <c r="K1159" s="30">
        <f>IF(B1159="","",SUM(G$2:I1159)-SUM(J$2:J1159))</f>
        <v/>
      </c>
      <c r="L1159" s="22">
        <f>IF(B1159="","",IF(B1159=B1158,L1158,N(L1158)+1))</f>
        <v/>
      </c>
    </row>
    <row r="1160">
      <c r="A1160" s="22" t="n"/>
      <c r="B1160" s="27" t="n"/>
      <c r="C1160" s="17" t="n"/>
      <c r="D1160" s="17" t="n"/>
      <c r="E1160" s="17" t="n"/>
      <c r="F1160" s="28" t="n"/>
      <c r="G1160" s="29" t="n"/>
      <c r="H1160" s="29" t="n"/>
      <c r="I1160" s="29" t="n"/>
      <c r="J1160" s="29" t="n"/>
      <c r="K1160" s="30">
        <f>IF(B1160="","",SUM(G$2:I1160)-SUM(J$2:J1160))</f>
        <v/>
      </c>
      <c r="L1160" s="22">
        <f>IF(B1160="","",IF(B1160=B1159,L1159,N(L1159)+1))</f>
        <v/>
      </c>
    </row>
    <row r="1161">
      <c r="A1161" s="22" t="n"/>
      <c r="B1161" s="27" t="n"/>
      <c r="C1161" s="17" t="n"/>
      <c r="D1161" s="17" t="n"/>
      <c r="E1161" s="17" t="n"/>
      <c r="F1161" s="28" t="n"/>
      <c r="G1161" s="29" t="n"/>
      <c r="H1161" s="29" t="n"/>
      <c r="I1161" s="29" t="n"/>
      <c r="J1161" s="29" t="n"/>
      <c r="K1161" s="30">
        <f>IF(B1161="","",SUM(G$2:I1161)-SUM(J$2:J1161))</f>
        <v/>
      </c>
      <c r="L1161" s="22">
        <f>IF(B1161="","",IF(B1161=B1160,L1160,N(L1160)+1))</f>
        <v/>
      </c>
    </row>
    <row r="1162">
      <c r="A1162" s="22" t="n"/>
      <c r="B1162" s="27" t="n"/>
      <c r="C1162" s="17" t="n"/>
      <c r="D1162" s="17" t="n"/>
      <c r="E1162" s="17" t="n"/>
      <c r="F1162" s="28" t="n"/>
      <c r="G1162" s="29" t="n"/>
      <c r="H1162" s="29" t="n"/>
      <c r="I1162" s="29" t="n"/>
      <c r="J1162" s="29" t="n"/>
      <c r="K1162" s="30">
        <f>IF(B1162="","",SUM(G$2:I1162)-SUM(J$2:J1162))</f>
        <v/>
      </c>
      <c r="L1162" s="22">
        <f>IF(B1162="","",IF(B1162=B1161,L1161,N(L1161)+1))</f>
        <v/>
      </c>
    </row>
    <row r="1163">
      <c r="A1163" s="22" t="n"/>
      <c r="B1163" s="27" t="n"/>
      <c r="C1163" s="17" t="n"/>
      <c r="D1163" s="17" t="n"/>
      <c r="E1163" s="17" t="n"/>
      <c r="F1163" s="28" t="n"/>
      <c r="G1163" s="29" t="n"/>
      <c r="H1163" s="29" t="n"/>
      <c r="I1163" s="29" t="n"/>
      <c r="J1163" s="29" t="n"/>
      <c r="K1163" s="30">
        <f>IF(B1163="","",SUM(G$2:I1163)-SUM(J$2:J1163))</f>
        <v/>
      </c>
      <c r="L1163" s="22">
        <f>IF(B1163="","",IF(B1163=B1162,L1162,N(L1162)+1))</f>
        <v/>
      </c>
    </row>
    <row r="1164">
      <c r="A1164" s="22" t="n"/>
      <c r="B1164" s="27" t="n"/>
      <c r="C1164" s="17" t="n"/>
      <c r="D1164" s="17" t="n"/>
      <c r="E1164" s="17" t="n"/>
      <c r="F1164" s="28" t="n"/>
      <c r="G1164" s="29" t="n"/>
      <c r="H1164" s="29" t="n"/>
      <c r="I1164" s="29" t="n"/>
      <c r="J1164" s="29" t="n"/>
      <c r="K1164" s="30">
        <f>IF(B1164="","",SUM(G$2:I1164)-SUM(J$2:J1164))</f>
        <v/>
      </c>
      <c r="L1164" s="22">
        <f>IF(B1164="","",IF(B1164=B1163,L1163,N(L1163)+1))</f>
        <v/>
      </c>
    </row>
    <row r="1165">
      <c r="A1165" s="22" t="n"/>
      <c r="B1165" s="27" t="n"/>
      <c r="C1165" s="17" t="n"/>
      <c r="D1165" s="17" t="n"/>
      <c r="E1165" s="17" t="n"/>
      <c r="F1165" s="28" t="n"/>
      <c r="G1165" s="29" t="n"/>
      <c r="H1165" s="29" t="n"/>
      <c r="I1165" s="29" t="n"/>
      <c r="J1165" s="29" t="n"/>
      <c r="K1165" s="30">
        <f>IF(B1165="","",SUM(G$2:I1165)-SUM(J$2:J1165))</f>
        <v/>
      </c>
      <c r="L1165" s="22">
        <f>IF(B1165="","",IF(B1165=B1164,L1164,N(L1164)+1))</f>
        <v/>
      </c>
    </row>
    <row r="1166">
      <c r="A1166" s="22" t="n"/>
      <c r="B1166" s="27" t="n"/>
      <c r="C1166" s="17" t="n"/>
      <c r="D1166" s="17" t="n"/>
      <c r="E1166" s="17" t="n"/>
      <c r="F1166" s="28" t="n"/>
      <c r="G1166" s="29" t="n"/>
      <c r="H1166" s="29" t="n"/>
      <c r="I1166" s="29" t="n"/>
      <c r="J1166" s="29" t="n"/>
      <c r="K1166" s="30">
        <f>IF(B1166="","",SUM(G$2:I1166)-SUM(J$2:J1166))</f>
        <v/>
      </c>
      <c r="L1166" s="22">
        <f>IF(B1166="","",IF(B1166=B1165,L1165,N(L1165)+1))</f>
        <v/>
      </c>
    </row>
    <row r="1167">
      <c r="A1167" s="22" t="n"/>
      <c r="B1167" s="27" t="n"/>
      <c r="C1167" s="17" t="n"/>
      <c r="D1167" s="17" t="n"/>
      <c r="E1167" s="17" t="n"/>
      <c r="F1167" s="28" t="n"/>
      <c r="G1167" s="29" t="n"/>
      <c r="H1167" s="29" t="n"/>
      <c r="I1167" s="29" t="n"/>
      <c r="J1167" s="29" t="n"/>
      <c r="K1167" s="30">
        <f>IF(B1167="","",SUM(G$2:I1167)-SUM(J$2:J1167))</f>
        <v/>
      </c>
      <c r="L1167" s="22">
        <f>IF(B1167="","",IF(B1167=B1166,L1166,N(L1166)+1))</f>
        <v/>
      </c>
    </row>
    <row r="1168">
      <c r="A1168" s="22" t="n"/>
      <c r="B1168" s="27" t="n"/>
      <c r="C1168" s="17" t="n"/>
      <c r="D1168" s="17" t="n"/>
      <c r="E1168" s="17" t="n"/>
      <c r="F1168" s="28" t="n"/>
      <c r="G1168" s="29" t="n"/>
      <c r="H1168" s="29" t="n"/>
      <c r="I1168" s="29" t="n"/>
      <c r="J1168" s="29" t="n"/>
      <c r="K1168" s="30">
        <f>IF(B1168="","",SUM(G$2:I1168)-SUM(J$2:J1168))</f>
        <v/>
      </c>
      <c r="L1168" s="22">
        <f>IF(B1168="","",IF(B1168=B1167,L1167,N(L1167)+1))</f>
        <v/>
      </c>
    </row>
    <row r="1169">
      <c r="A1169" s="22" t="n"/>
      <c r="B1169" s="27" t="n"/>
      <c r="C1169" s="17" t="n"/>
      <c r="D1169" s="17" t="n"/>
      <c r="E1169" s="17" t="n"/>
      <c r="F1169" s="28" t="n"/>
      <c r="G1169" s="29" t="n"/>
      <c r="H1169" s="29" t="n"/>
      <c r="I1169" s="29" t="n"/>
      <c r="J1169" s="29" t="n"/>
      <c r="K1169" s="30">
        <f>IF(B1169="","",SUM(G$2:I1169)-SUM(J$2:J1169))</f>
        <v/>
      </c>
      <c r="L1169" s="22">
        <f>IF(B1169="","",IF(B1169=B1168,L1168,N(L1168)+1))</f>
        <v/>
      </c>
    </row>
    <row r="1170">
      <c r="A1170" s="22" t="n"/>
      <c r="B1170" s="27" t="n"/>
      <c r="C1170" s="17" t="n"/>
      <c r="D1170" s="17" t="n"/>
      <c r="E1170" s="17" t="n"/>
      <c r="F1170" s="28" t="n"/>
      <c r="G1170" s="29" t="n"/>
      <c r="H1170" s="29" t="n"/>
      <c r="I1170" s="29" t="n"/>
      <c r="J1170" s="29" t="n"/>
      <c r="K1170" s="30">
        <f>IF(B1170="","",SUM(G$2:I1170)-SUM(J$2:J1170))</f>
        <v/>
      </c>
      <c r="L1170" s="22">
        <f>IF(B1170="","",IF(B1170=B1169,L1169,N(L1169)+1))</f>
        <v/>
      </c>
    </row>
    <row r="1171">
      <c r="A1171" s="22" t="n"/>
      <c r="B1171" s="27" t="n"/>
      <c r="C1171" s="17" t="n"/>
      <c r="D1171" s="17" t="n"/>
      <c r="E1171" s="17" t="n"/>
      <c r="F1171" s="28" t="n"/>
      <c r="G1171" s="29" t="n"/>
      <c r="H1171" s="29" t="n"/>
      <c r="I1171" s="29" t="n"/>
      <c r="J1171" s="29" t="n"/>
      <c r="K1171" s="30">
        <f>IF(B1171="","",SUM(G$2:I1171)-SUM(J$2:J1171))</f>
        <v/>
      </c>
      <c r="L1171" s="22">
        <f>IF(B1171="","",IF(B1171=B1170,L1170,N(L1170)+1))</f>
        <v/>
      </c>
    </row>
    <row r="1172">
      <c r="A1172" s="22" t="n"/>
      <c r="B1172" s="27" t="n"/>
      <c r="C1172" s="17" t="n"/>
      <c r="D1172" s="17" t="n"/>
      <c r="E1172" s="17" t="n"/>
      <c r="F1172" s="28" t="n"/>
      <c r="G1172" s="29" t="n"/>
      <c r="H1172" s="29" t="n"/>
      <c r="I1172" s="29" t="n"/>
      <c r="J1172" s="29" t="n"/>
      <c r="K1172" s="30">
        <f>IF(B1172="","",SUM(G$2:I1172)-SUM(J$2:J1172))</f>
        <v/>
      </c>
      <c r="L1172" s="22">
        <f>IF(B1172="","",IF(B1172=B1171,L1171,N(L1171)+1))</f>
        <v/>
      </c>
    </row>
    <row r="1173">
      <c r="A1173" s="22" t="n"/>
      <c r="B1173" s="27" t="n"/>
      <c r="C1173" s="17" t="n"/>
      <c r="D1173" s="17" t="n"/>
      <c r="E1173" s="17" t="n"/>
      <c r="F1173" s="28" t="n"/>
      <c r="G1173" s="29" t="n"/>
      <c r="H1173" s="29" t="n"/>
      <c r="I1173" s="29" t="n"/>
      <c r="J1173" s="29" t="n"/>
      <c r="K1173" s="30">
        <f>IF(B1173="","",SUM(G$2:I1173)-SUM(J$2:J1173))</f>
        <v/>
      </c>
      <c r="L1173" s="22">
        <f>IF(B1173="","",IF(B1173=B1172,L1172,N(L1172)+1))</f>
        <v/>
      </c>
    </row>
    <row r="1174">
      <c r="A1174" s="22" t="n"/>
      <c r="B1174" s="27" t="n"/>
      <c r="C1174" s="17" t="n"/>
      <c r="D1174" s="17" t="n"/>
      <c r="E1174" s="17" t="n"/>
      <c r="F1174" s="28" t="n"/>
      <c r="G1174" s="29" t="n"/>
      <c r="H1174" s="29" t="n"/>
      <c r="I1174" s="29" t="n"/>
      <c r="J1174" s="29" t="n"/>
      <c r="K1174" s="30">
        <f>IF(B1174="","",SUM(G$2:I1174)-SUM(J$2:J1174))</f>
        <v/>
      </c>
      <c r="L1174" s="22">
        <f>IF(B1174="","",IF(B1174=B1173,L1173,N(L1173)+1))</f>
        <v/>
      </c>
    </row>
    <row r="1175">
      <c r="A1175" s="22" t="n"/>
      <c r="B1175" s="27" t="n"/>
      <c r="C1175" s="17" t="n"/>
      <c r="D1175" s="17" t="n"/>
      <c r="E1175" s="17" t="n"/>
      <c r="F1175" s="28" t="n"/>
      <c r="G1175" s="29" t="n"/>
      <c r="H1175" s="29" t="n"/>
      <c r="I1175" s="29" t="n"/>
      <c r="J1175" s="29" t="n"/>
      <c r="K1175" s="30">
        <f>IF(B1175="","",SUM(G$2:I1175)-SUM(J$2:J1175))</f>
        <v/>
      </c>
      <c r="L1175" s="22">
        <f>IF(B1175="","",IF(B1175=B1174,L1174,N(L1174)+1))</f>
        <v/>
      </c>
    </row>
    <row r="1176">
      <c r="A1176" s="22" t="n"/>
      <c r="B1176" s="27" t="n"/>
      <c r="C1176" s="17" t="n"/>
      <c r="D1176" s="17" t="n"/>
      <c r="E1176" s="17" t="n"/>
      <c r="F1176" s="28" t="n"/>
      <c r="G1176" s="29" t="n"/>
      <c r="H1176" s="29" t="n"/>
      <c r="I1176" s="29" t="n"/>
      <c r="J1176" s="29" t="n"/>
      <c r="K1176" s="30">
        <f>IF(B1176="","",SUM(G$2:I1176)-SUM(J$2:J1176))</f>
        <v/>
      </c>
      <c r="L1176" s="22">
        <f>IF(B1176="","",IF(B1176=B1175,L1175,N(L1175)+1))</f>
        <v/>
      </c>
    </row>
    <row r="1177">
      <c r="A1177" s="22" t="n"/>
      <c r="B1177" s="27" t="n"/>
      <c r="C1177" s="17" t="n"/>
      <c r="D1177" s="17" t="n"/>
      <c r="E1177" s="17" t="n"/>
      <c r="F1177" s="28" t="n"/>
      <c r="G1177" s="29" t="n"/>
      <c r="H1177" s="29" t="n"/>
      <c r="I1177" s="29" t="n"/>
      <c r="J1177" s="29" t="n"/>
      <c r="K1177" s="30">
        <f>IF(B1177="","",SUM(G$2:I1177)-SUM(J$2:J1177))</f>
        <v/>
      </c>
      <c r="L1177" s="22">
        <f>IF(B1177="","",IF(B1177=B1176,L1176,N(L1176)+1))</f>
        <v/>
      </c>
    </row>
    <row r="1178">
      <c r="A1178" s="22" t="n"/>
      <c r="B1178" s="27" t="n"/>
      <c r="C1178" s="17" t="n"/>
      <c r="D1178" s="17" t="n"/>
      <c r="E1178" s="17" t="n"/>
      <c r="F1178" s="28" t="n"/>
      <c r="G1178" s="29" t="n"/>
      <c r="H1178" s="29" t="n"/>
      <c r="I1178" s="29" t="n"/>
      <c r="J1178" s="29" t="n"/>
      <c r="K1178" s="30">
        <f>IF(B1178="","",SUM(G$2:I1178)-SUM(J$2:J1178))</f>
        <v/>
      </c>
      <c r="L1178" s="22">
        <f>IF(B1178="","",IF(B1178=B1177,L1177,N(L1177)+1))</f>
        <v/>
      </c>
    </row>
    <row r="1179">
      <c r="A1179" s="22" t="n"/>
      <c r="B1179" s="27" t="n"/>
      <c r="C1179" s="17" t="n"/>
      <c r="D1179" s="17" t="n"/>
      <c r="E1179" s="17" t="n"/>
      <c r="F1179" s="28" t="n"/>
      <c r="G1179" s="29" t="n"/>
      <c r="H1179" s="29" t="n"/>
      <c r="I1179" s="29" t="n"/>
      <c r="J1179" s="29" t="n"/>
      <c r="K1179" s="30">
        <f>IF(B1179="","",SUM(G$2:I1179)-SUM(J$2:J1179))</f>
        <v/>
      </c>
      <c r="L1179" s="22">
        <f>IF(B1179="","",IF(B1179=B1178,L1178,N(L1178)+1))</f>
        <v/>
      </c>
    </row>
    <row r="1180">
      <c r="A1180" s="22" t="n"/>
      <c r="B1180" s="27" t="n"/>
      <c r="C1180" s="17" t="n"/>
      <c r="D1180" s="17" t="n"/>
      <c r="E1180" s="17" t="n"/>
      <c r="F1180" s="28" t="n"/>
      <c r="G1180" s="29" t="n"/>
      <c r="H1180" s="29" t="n"/>
      <c r="I1180" s="29" t="n"/>
      <c r="J1180" s="29" t="n"/>
      <c r="K1180" s="30">
        <f>IF(B1180="","",SUM(G$2:I1180)-SUM(J$2:J1180))</f>
        <v/>
      </c>
      <c r="L1180" s="22">
        <f>IF(B1180="","",IF(B1180=B1179,L1179,N(L1179)+1))</f>
        <v/>
      </c>
    </row>
    <row r="1181">
      <c r="A1181" s="22" t="n"/>
      <c r="B1181" s="27" t="n"/>
      <c r="C1181" s="17" t="n"/>
      <c r="D1181" s="17" t="n"/>
      <c r="E1181" s="17" t="n"/>
      <c r="F1181" s="28" t="n"/>
      <c r="G1181" s="29" t="n"/>
      <c r="H1181" s="29" t="n"/>
      <c r="I1181" s="29" t="n"/>
      <c r="J1181" s="29" t="n"/>
      <c r="K1181" s="30">
        <f>IF(B1181="","",SUM(G$2:I1181)-SUM(J$2:J1181))</f>
        <v/>
      </c>
      <c r="L1181" s="22">
        <f>IF(B1181="","",IF(B1181=B1180,L1180,N(L1180)+1))</f>
        <v/>
      </c>
    </row>
    <row r="1182">
      <c r="A1182" s="22" t="n"/>
      <c r="B1182" s="27" t="n"/>
      <c r="C1182" s="17" t="n"/>
      <c r="D1182" s="17" t="n"/>
      <c r="E1182" s="17" t="n"/>
      <c r="F1182" s="28" t="n"/>
      <c r="G1182" s="29" t="n"/>
      <c r="H1182" s="29" t="n"/>
      <c r="I1182" s="29" t="n"/>
      <c r="J1182" s="29" t="n"/>
      <c r="K1182" s="30">
        <f>IF(B1182="","",SUM(G$2:I1182)-SUM(J$2:J1182))</f>
        <v/>
      </c>
      <c r="L1182" s="22">
        <f>IF(B1182="","",IF(B1182=B1181,L1181,N(L1181)+1))</f>
        <v/>
      </c>
    </row>
    <row r="1183">
      <c r="A1183" s="22" t="n"/>
      <c r="B1183" s="27" t="n"/>
      <c r="C1183" s="17" t="n"/>
      <c r="D1183" s="17" t="n"/>
      <c r="E1183" s="17" t="n"/>
      <c r="F1183" s="28" t="n"/>
      <c r="G1183" s="29" t="n"/>
      <c r="H1183" s="29" t="n"/>
      <c r="I1183" s="29" t="n"/>
      <c r="J1183" s="29" t="n"/>
      <c r="K1183" s="30">
        <f>IF(B1183="","",SUM(G$2:I1183)-SUM(J$2:J1183))</f>
        <v/>
      </c>
      <c r="L1183" s="22">
        <f>IF(B1183="","",IF(B1183=B1182,L1182,N(L1182)+1))</f>
        <v/>
      </c>
    </row>
    <row r="1184">
      <c r="A1184" s="22" t="n"/>
      <c r="B1184" s="27" t="n"/>
      <c r="C1184" s="17" t="n"/>
      <c r="D1184" s="17" t="n"/>
      <c r="E1184" s="17" t="n"/>
      <c r="F1184" s="28" t="n"/>
      <c r="G1184" s="29" t="n"/>
      <c r="H1184" s="29" t="n"/>
      <c r="I1184" s="29" t="n"/>
      <c r="J1184" s="29" t="n"/>
      <c r="K1184" s="30">
        <f>IF(B1184="","",SUM(G$2:I1184)-SUM(J$2:J1184))</f>
        <v/>
      </c>
      <c r="L1184" s="22">
        <f>IF(B1184="","",IF(B1184=B1183,L1183,N(L1183)+1))</f>
        <v/>
      </c>
    </row>
    <row r="1185">
      <c r="A1185" s="22" t="n"/>
      <c r="B1185" s="27" t="n"/>
      <c r="C1185" s="17" t="n"/>
      <c r="D1185" s="17" t="n"/>
      <c r="E1185" s="17" t="n"/>
      <c r="F1185" s="28" t="n"/>
      <c r="G1185" s="29" t="n"/>
      <c r="H1185" s="29" t="n"/>
      <c r="I1185" s="29" t="n"/>
      <c r="J1185" s="29" t="n"/>
      <c r="K1185" s="30">
        <f>IF(B1185="","",SUM(G$2:I1185)-SUM(J$2:J1185))</f>
        <v/>
      </c>
      <c r="L1185" s="22">
        <f>IF(B1185="","",IF(B1185=B1184,L1184,N(L1184)+1))</f>
        <v/>
      </c>
    </row>
    <row r="1186">
      <c r="A1186" s="22" t="n"/>
      <c r="B1186" s="27" t="n"/>
      <c r="C1186" s="17" t="n"/>
      <c r="D1186" s="17" t="n"/>
      <c r="E1186" s="17" t="n"/>
      <c r="F1186" s="28" t="n"/>
      <c r="G1186" s="29" t="n"/>
      <c r="H1186" s="29" t="n"/>
      <c r="I1186" s="29" t="n"/>
      <c r="J1186" s="29" t="n"/>
      <c r="K1186" s="30">
        <f>IF(B1186="","",SUM(G$2:I1186)-SUM(J$2:J1186))</f>
        <v/>
      </c>
      <c r="L1186" s="22">
        <f>IF(B1186="","",IF(B1186=B1185,L1185,N(L1185)+1))</f>
        <v/>
      </c>
    </row>
    <row r="1187">
      <c r="A1187" s="22" t="n"/>
      <c r="B1187" s="27" t="n"/>
      <c r="C1187" s="17" t="n"/>
      <c r="D1187" s="17" t="n"/>
      <c r="E1187" s="17" t="n"/>
      <c r="F1187" s="28" t="n"/>
      <c r="G1187" s="29" t="n"/>
      <c r="H1187" s="29" t="n"/>
      <c r="I1187" s="29" t="n"/>
      <c r="J1187" s="29" t="n"/>
      <c r="K1187" s="30">
        <f>IF(B1187="","",SUM(G$2:I1187)-SUM(J$2:J1187))</f>
        <v/>
      </c>
      <c r="L1187" s="22">
        <f>IF(B1187="","",IF(B1187=B1186,L1186,N(L1186)+1))</f>
        <v/>
      </c>
    </row>
    <row r="1188">
      <c r="A1188" s="22" t="n"/>
      <c r="B1188" s="27" t="n"/>
      <c r="C1188" s="17" t="n"/>
      <c r="D1188" s="17" t="n"/>
      <c r="E1188" s="17" t="n"/>
      <c r="F1188" s="28" t="n"/>
      <c r="G1188" s="29" t="n"/>
      <c r="H1188" s="29" t="n"/>
      <c r="I1188" s="29" t="n"/>
      <c r="J1188" s="29" t="n"/>
      <c r="K1188" s="30">
        <f>IF(B1188="","",SUM(G$2:I1188)-SUM(J$2:J1188))</f>
        <v/>
      </c>
      <c r="L1188" s="22">
        <f>IF(B1188="","",IF(B1188=B1187,L1187,N(L1187)+1))</f>
        <v/>
      </c>
    </row>
    <row r="1189">
      <c r="A1189" s="22" t="n"/>
      <c r="B1189" s="27" t="n"/>
      <c r="C1189" s="17" t="n"/>
      <c r="D1189" s="17" t="n"/>
      <c r="E1189" s="17" t="n"/>
      <c r="F1189" s="28" t="n"/>
      <c r="G1189" s="29" t="n"/>
      <c r="H1189" s="29" t="n"/>
      <c r="I1189" s="29" t="n"/>
      <c r="J1189" s="29" t="n"/>
      <c r="K1189" s="30">
        <f>IF(B1189="","",SUM(G$2:I1189)-SUM(J$2:J1189))</f>
        <v/>
      </c>
      <c r="L1189" s="22">
        <f>IF(B1189="","",IF(B1189=B1188,L1188,N(L1188)+1))</f>
        <v/>
      </c>
    </row>
    <row r="1190">
      <c r="A1190" s="22" t="n"/>
      <c r="B1190" s="27" t="n"/>
      <c r="C1190" s="17" t="n"/>
      <c r="D1190" s="17" t="n"/>
      <c r="E1190" s="17" t="n"/>
      <c r="F1190" s="28" t="n"/>
      <c r="G1190" s="29" t="n"/>
      <c r="H1190" s="29" t="n"/>
      <c r="I1190" s="29" t="n"/>
      <c r="J1190" s="29" t="n"/>
      <c r="K1190" s="30">
        <f>IF(B1190="","",SUM(G$2:I1190)-SUM(J$2:J1190))</f>
        <v/>
      </c>
      <c r="L1190" s="22">
        <f>IF(B1190="","",IF(B1190=B1189,L1189,N(L1189)+1))</f>
        <v/>
      </c>
    </row>
    <row r="1191">
      <c r="A1191" s="22" t="n"/>
      <c r="B1191" s="27" t="n"/>
      <c r="C1191" s="17" t="n"/>
      <c r="D1191" s="17" t="n"/>
      <c r="E1191" s="17" t="n"/>
      <c r="F1191" s="28" t="n"/>
      <c r="G1191" s="29" t="n"/>
      <c r="H1191" s="29" t="n"/>
      <c r="I1191" s="29" t="n"/>
      <c r="J1191" s="29" t="n"/>
      <c r="K1191" s="30">
        <f>IF(B1191="","",SUM(G$2:I1191)-SUM(J$2:J1191))</f>
        <v/>
      </c>
      <c r="L1191" s="22">
        <f>IF(B1191="","",IF(B1191=B1190,L1190,N(L1190)+1))</f>
        <v/>
      </c>
    </row>
    <row r="1192">
      <c r="A1192" s="22" t="n"/>
      <c r="B1192" s="27" t="n"/>
      <c r="C1192" s="17" t="n"/>
      <c r="D1192" s="17" t="n"/>
      <c r="E1192" s="17" t="n"/>
      <c r="F1192" s="28" t="n"/>
      <c r="G1192" s="29" t="n"/>
      <c r="H1192" s="29" t="n"/>
      <c r="I1192" s="29" t="n"/>
      <c r="J1192" s="29" t="n"/>
      <c r="K1192" s="30">
        <f>IF(B1192="","",SUM(G$2:I1192)-SUM(J$2:J1192))</f>
        <v/>
      </c>
      <c r="L1192" s="22">
        <f>IF(B1192="","",IF(B1192=B1191,L1191,N(L1191)+1))</f>
        <v/>
      </c>
    </row>
    <row r="1193">
      <c r="A1193" s="22" t="n"/>
      <c r="B1193" s="27" t="n"/>
      <c r="C1193" s="17" t="n"/>
      <c r="D1193" s="17" t="n"/>
      <c r="E1193" s="17" t="n"/>
      <c r="F1193" s="28" t="n"/>
      <c r="G1193" s="29" t="n"/>
      <c r="H1193" s="29" t="n"/>
      <c r="I1193" s="29" t="n"/>
      <c r="J1193" s="29" t="n"/>
      <c r="K1193" s="30">
        <f>IF(B1193="","",SUM(G$2:I1193)-SUM(J$2:J1193))</f>
        <v/>
      </c>
      <c r="L1193" s="22">
        <f>IF(B1193="","",IF(B1193=B1192,L1192,N(L1192)+1))</f>
        <v/>
      </c>
    </row>
    <row r="1194">
      <c r="A1194" s="22" t="n"/>
      <c r="B1194" s="27" t="n"/>
      <c r="C1194" s="17" t="n"/>
      <c r="D1194" s="17" t="n"/>
      <c r="E1194" s="17" t="n"/>
      <c r="F1194" s="28" t="n"/>
      <c r="G1194" s="29" t="n"/>
      <c r="H1194" s="29" t="n"/>
      <c r="I1194" s="29" t="n"/>
      <c r="J1194" s="29" t="n"/>
      <c r="K1194" s="30">
        <f>IF(B1194="","",SUM(G$2:I1194)-SUM(J$2:J1194))</f>
        <v/>
      </c>
      <c r="L1194" s="22">
        <f>IF(B1194="","",IF(B1194=B1193,L1193,N(L1193)+1))</f>
        <v/>
      </c>
    </row>
    <row r="1195">
      <c r="A1195" s="22" t="n"/>
      <c r="B1195" s="27" t="n"/>
      <c r="C1195" s="17" t="n"/>
      <c r="D1195" s="17" t="n"/>
      <c r="E1195" s="17" t="n"/>
      <c r="F1195" s="28" t="n"/>
      <c r="G1195" s="29" t="n"/>
      <c r="H1195" s="29" t="n"/>
      <c r="I1195" s="29" t="n"/>
      <c r="J1195" s="29" t="n"/>
      <c r="K1195" s="30">
        <f>IF(B1195="","",SUM(G$2:I1195)-SUM(J$2:J1195))</f>
        <v/>
      </c>
      <c r="L1195" s="22">
        <f>IF(B1195="","",IF(B1195=B1194,L1194,N(L1194)+1))</f>
        <v/>
      </c>
    </row>
    <row r="1196">
      <c r="A1196" s="22" t="n"/>
      <c r="B1196" s="27" t="n"/>
      <c r="C1196" s="17" t="n"/>
      <c r="D1196" s="17" t="n"/>
      <c r="E1196" s="17" t="n"/>
      <c r="F1196" s="28" t="n"/>
      <c r="G1196" s="29" t="n"/>
      <c r="H1196" s="29" t="n"/>
      <c r="I1196" s="29" t="n"/>
      <c r="J1196" s="29" t="n"/>
      <c r="K1196" s="30">
        <f>IF(B1196="","",SUM(G$2:I1196)-SUM(J$2:J1196))</f>
        <v/>
      </c>
      <c r="L1196" s="22">
        <f>IF(B1196="","",IF(B1196=B1195,L1195,N(L1195)+1))</f>
        <v/>
      </c>
    </row>
    <row r="1197">
      <c r="A1197" s="22" t="n"/>
      <c r="B1197" s="27" t="n"/>
      <c r="C1197" s="17" t="n"/>
      <c r="D1197" s="17" t="n"/>
      <c r="E1197" s="17" t="n"/>
      <c r="F1197" s="28" t="n"/>
      <c r="G1197" s="29" t="n"/>
      <c r="H1197" s="29" t="n"/>
      <c r="I1197" s="29" t="n"/>
      <c r="J1197" s="29" t="n"/>
      <c r="K1197" s="30">
        <f>IF(B1197="","",SUM(G$2:I1197)-SUM(J$2:J1197))</f>
        <v/>
      </c>
      <c r="L1197" s="22">
        <f>IF(B1197="","",IF(B1197=B1196,L1196,N(L1196)+1))</f>
        <v/>
      </c>
    </row>
    <row r="1198">
      <c r="A1198" s="22" t="n"/>
      <c r="B1198" s="27" t="n"/>
      <c r="C1198" s="17" t="n"/>
      <c r="D1198" s="17" t="n"/>
      <c r="E1198" s="17" t="n"/>
      <c r="F1198" s="28" t="n"/>
      <c r="G1198" s="29" t="n"/>
      <c r="H1198" s="29" t="n"/>
      <c r="I1198" s="29" t="n"/>
      <c r="J1198" s="29" t="n"/>
      <c r="K1198" s="30">
        <f>IF(B1198="","",SUM(G$2:I1198)-SUM(J$2:J1198))</f>
        <v/>
      </c>
      <c r="L1198" s="22">
        <f>IF(B1198="","",IF(B1198=B1197,L1197,N(L1197)+1))</f>
        <v/>
      </c>
    </row>
    <row r="1199">
      <c r="A1199" s="22" t="n"/>
      <c r="B1199" s="27" t="n"/>
      <c r="C1199" s="17" t="n"/>
      <c r="D1199" s="17" t="n"/>
      <c r="E1199" s="17" t="n"/>
      <c r="F1199" s="28" t="n"/>
      <c r="G1199" s="29" t="n"/>
      <c r="H1199" s="29" t="n"/>
      <c r="I1199" s="29" t="n"/>
      <c r="J1199" s="29" t="n"/>
      <c r="K1199" s="30">
        <f>IF(B1199="","",SUM(G$2:I1199)-SUM(J$2:J1199))</f>
        <v/>
      </c>
      <c r="L1199" s="22">
        <f>IF(B1199="","",IF(B1199=B1198,L1198,N(L1198)+1))</f>
        <v/>
      </c>
    </row>
    <row r="1200">
      <c r="A1200" s="22" t="n"/>
      <c r="B1200" s="27" t="n"/>
      <c r="C1200" s="17" t="n"/>
      <c r="D1200" s="17" t="n"/>
      <c r="E1200" s="17" t="n"/>
      <c r="F1200" s="28" t="n"/>
      <c r="G1200" s="29" t="n"/>
      <c r="H1200" s="29" t="n"/>
      <c r="I1200" s="29" t="n"/>
      <c r="J1200" s="29" t="n"/>
      <c r="K1200" s="30">
        <f>IF(B1200="","",SUM(G$2:I1200)-SUM(J$2:J1200))</f>
        <v/>
      </c>
      <c r="L1200" s="22">
        <f>IF(B1200="","",IF(B1200=B1199,L1199,N(L1199)+1))</f>
        <v/>
      </c>
    </row>
    <row r="1201">
      <c r="A1201" s="22" t="n"/>
      <c r="B1201" s="27" t="n"/>
      <c r="C1201" s="17" t="n"/>
      <c r="D1201" s="17" t="n"/>
      <c r="E1201" s="17" t="n"/>
      <c r="F1201" s="28" t="n"/>
      <c r="G1201" s="29" t="n"/>
      <c r="H1201" s="29" t="n"/>
      <c r="I1201" s="29" t="n"/>
      <c r="J1201" s="29" t="n"/>
      <c r="K1201" s="30">
        <f>IF(B1201="","",SUM(G$2:I1201)-SUM(J$2:J1201))</f>
        <v/>
      </c>
      <c r="L1201" s="22">
        <f>IF(B1201="","",IF(B1201=B1200,L1200,N(L1200)+1))</f>
        <v/>
      </c>
    </row>
    <row r="1202">
      <c r="A1202" s="22" t="n"/>
      <c r="B1202" s="27" t="n"/>
      <c r="C1202" s="17" t="n"/>
      <c r="D1202" s="17" t="n"/>
      <c r="E1202" s="17" t="n"/>
      <c r="F1202" s="28" t="n"/>
      <c r="G1202" s="29" t="n"/>
      <c r="H1202" s="29" t="n"/>
      <c r="I1202" s="29" t="n"/>
      <c r="J1202" s="29" t="n"/>
      <c r="K1202" s="30">
        <f>IF(B1202="","",SUM(G$2:I1202)-SUM(J$2:J1202))</f>
        <v/>
      </c>
      <c r="L1202" s="22">
        <f>IF(B1202="","",IF(B1202=B1201,L1201,N(L1201)+1))</f>
        <v/>
      </c>
    </row>
    <row r="1203">
      <c r="A1203" s="22" t="n"/>
      <c r="B1203" s="27" t="n"/>
      <c r="C1203" s="17" t="n"/>
      <c r="D1203" s="17" t="n"/>
      <c r="E1203" s="17" t="n"/>
      <c r="F1203" s="28" t="n"/>
      <c r="G1203" s="29" t="n"/>
      <c r="H1203" s="29" t="n"/>
      <c r="I1203" s="29" t="n"/>
      <c r="J1203" s="29" t="n"/>
      <c r="K1203" s="30">
        <f>IF(B1203="","",SUM(G$2:I1203)-SUM(J$2:J1203))</f>
        <v/>
      </c>
      <c r="L1203" s="22">
        <f>IF(B1203="","",IF(B1203=B1202,L1202,N(L1202)+1))</f>
        <v/>
      </c>
    </row>
    <row r="1204">
      <c r="A1204" s="22" t="n"/>
      <c r="B1204" s="27" t="n"/>
      <c r="C1204" s="17" t="n"/>
      <c r="D1204" s="17" t="n"/>
      <c r="E1204" s="17" t="n"/>
      <c r="F1204" s="28" t="n"/>
      <c r="G1204" s="29" t="n"/>
      <c r="H1204" s="29" t="n"/>
      <c r="I1204" s="29" t="n"/>
      <c r="J1204" s="29" t="n"/>
      <c r="K1204" s="30">
        <f>IF(B1204="","",SUM(G$2:I1204)-SUM(J$2:J1204))</f>
        <v/>
      </c>
      <c r="L1204" s="22">
        <f>IF(B1204="","",IF(B1204=B1203,L1203,N(L1203)+1))</f>
        <v/>
      </c>
    </row>
    <row r="1205">
      <c r="A1205" s="22" t="n"/>
      <c r="B1205" s="27" t="n"/>
      <c r="C1205" s="17" t="n"/>
      <c r="D1205" s="17" t="n"/>
      <c r="E1205" s="17" t="n"/>
      <c r="F1205" s="28" t="n"/>
      <c r="G1205" s="29" t="n"/>
      <c r="H1205" s="29" t="n"/>
      <c r="I1205" s="29" t="n"/>
      <c r="J1205" s="29" t="n"/>
      <c r="K1205" s="30">
        <f>IF(B1205="","",SUM(G$2:I1205)-SUM(J$2:J1205))</f>
        <v/>
      </c>
      <c r="L1205" s="22">
        <f>IF(B1205="","",IF(B1205=B1204,L1204,N(L1204)+1))</f>
        <v/>
      </c>
    </row>
    <row r="1206">
      <c r="A1206" s="22" t="n"/>
      <c r="B1206" s="27" t="n"/>
      <c r="C1206" s="17" t="n"/>
      <c r="D1206" s="17" t="n"/>
      <c r="E1206" s="17" t="n"/>
      <c r="F1206" s="28" t="n"/>
      <c r="G1206" s="29" t="n"/>
      <c r="H1206" s="29" t="n"/>
      <c r="I1206" s="29" t="n"/>
      <c r="J1206" s="29" t="n"/>
      <c r="K1206" s="30">
        <f>IF(B1206="","",SUM(G$2:I1206)-SUM(J$2:J1206))</f>
        <v/>
      </c>
      <c r="L1206" s="22">
        <f>IF(B1206="","",IF(B1206=B1205,L1205,N(L1205)+1))</f>
        <v/>
      </c>
    </row>
    <row r="1207">
      <c r="A1207" s="22" t="n"/>
      <c r="B1207" s="27" t="n"/>
      <c r="C1207" s="17" t="n"/>
      <c r="D1207" s="17" t="n"/>
      <c r="E1207" s="17" t="n"/>
      <c r="F1207" s="28" t="n"/>
      <c r="G1207" s="29" t="n"/>
      <c r="H1207" s="29" t="n"/>
      <c r="I1207" s="29" t="n"/>
      <c r="J1207" s="29" t="n"/>
      <c r="K1207" s="30">
        <f>IF(B1207="","",SUM(G$2:I1207)-SUM(J$2:J1207))</f>
        <v/>
      </c>
      <c r="L1207" s="22">
        <f>IF(B1207="","",IF(B1207=B1206,L1206,N(L1206)+1))</f>
        <v/>
      </c>
    </row>
    <row r="1208">
      <c r="A1208" s="22" t="n"/>
      <c r="B1208" s="27" t="n"/>
      <c r="C1208" s="17" t="n"/>
      <c r="D1208" s="17" t="n"/>
      <c r="E1208" s="17" t="n"/>
      <c r="F1208" s="28" t="n"/>
      <c r="G1208" s="29" t="n"/>
      <c r="H1208" s="29" t="n"/>
      <c r="I1208" s="29" t="n"/>
      <c r="J1208" s="29" t="n"/>
      <c r="K1208" s="30">
        <f>IF(B1208="","",SUM(G$2:I1208)-SUM(J$2:J1208))</f>
        <v/>
      </c>
      <c r="L1208" s="22">
        <f>IF(B1208="","",IF(B1208=B1207,L1207,N(L1207)+1))</f>
        <v/>
      </c>
    </row>
    <row r="1209">
      <c r="A1209" s="22" t="n"/>
      <c r="B1209" s="27" t="n"/>
      <c r="C1209" s="17" t="n"/>
      <c r="D1209" s="17" t="n"/>
      <c r="E1209" s="17" t="n"/>
      <c r="F1209" s="28" t="n"/>
      <c r="G1209" s="29" t="n"/>
      <c r="H1209" s="29" t="n"/>
      <c r="I1209" s="29" t="n"/>
      <c r="J1209" s="29" t="n"/>
      <c r="K1209" s="30">
        <f>IF(B1209="","",SUM(G$2:I1209)-SUM(J$2:J1209))</f>
        <v/>
      </c>
      <c r="L1209" s="22">
        <f>IF(B1209="","",IF(B1209=B1208,L1208,N(L1208)+1))</f>
        <v/>
      </c>
    </row>
    <row r="1210">
      <c r="A1210" s="22" t="n"/>
      <c r="B1210" s="27" t="n"/>
      <c r="C1210" s="17" t="n"/>
      <c r="D1210" s="17" t="n"/>
      <c r="E1210" s="17" t="n"/>
      <c r="F1210" s="28" t="n"/>
      <c r="G1210" s="29" t="n"/>
      <c r="H1210" s="29" t="n"/>
      <c r="I1210" s="29" t="n"/>
      <c r="J1210" s="29" t="n"/>
      <c r="K1210" s="30">
        <f>IF(B1210="","",SUM(G$2:I1210)-SUM(J$2:J1210))</f>
        <v/>
      </c>
      <c r="L1210" s="22">
        <f>IF(B1210="","",IF(B1210=B1209,L1209,N(L1209)+1))</f>
        <v/>
      </c>
    </row>
    <row r="1211">
      <c r="A1211" s="22" t="n"/>
      <c r="B1211" s="27" t="n"/>
      <c r="C1211" s="17" t="n"/>
      <c r="D1211" s="17" t="n"/>
      <c r="E1211" s="17" t="n"/>
      <c r="F1211" s="28" t="n"/>
      <c r="G1211" s="29" t="n"/>
      <c r="H1211" s="29" t="n"/>
      <c r="I1211" s="29" t="n"/>
      <c r="J1211" s="29" t="n"/>
      <c r="K1211" s="30">
        <f>IF(B1211="","",SUM(G$2:I1211)-SUM(J$2:J1211))</f>
        <v/>
      </c>
      <c r="L1211" s="22">
        <f>IF(B1211="","",IF(B1211=B1210,L1210,N(L1210)+1))</f>
        <v/>
      </c>
    </row>
    <row r="1212">
      <c r="A1212" s="22" t="n"/>
      <c r="B1212" s="27" t="n"/>
      <c r="C1212" s="17" t="n"/>
      <c r="D1212" s="17" t="n"/>
      <c r="E1212" s="17" t="n"/>
      <c r="F1212" s="28" t="n"/>
      <c r="G1212" s="29" t="n"/>
      <c r="H1212" s="29" t="n"/>
      <c r="I1212" s="29" t="n"/>
      <c r="J1212" s="29" t="n"/>
      <c r="K1212" s="30">
        <f>IF(B1212="","",SUM(G$2:I1212)-SUM(J$2:J1212))</f>
        <v/>
      </c>
      <c r="L1212" s="22">
        <f>IF(B1212="","",IF(B1212=B1211,L1211,N(L1211)+1))</f>
        <v/>
      </c>
    </row>
    <row r="1213">
      <c r="A1213" s="22" t="n"/>
      <c r="B1213" s="27" t="n"/>
      <c r="C1213" s="17" t="n"/>
      <c r="D1213" s="17" t="n"/>
      <c r="E1213" s="17" t="n"/>
      <c r="F1213" s="28" t="n"/>
      <c r="G1213" s="29" t="n"/>
      <c r="H1213" s="29" t="n"/>
      <c r="I1213" s="29" t="n"/>
      <c r="J1213" s="29" t="n"/>
      <c r="K1213" s="30">
        <f>IF(B1213="","",SUM(G$2:I1213)-SUM(J$2:J1213))</f>
        <v/>
      </c>
      <c r="L1213" s="22">
        <f>IF(B1213="","",IF(B1213=B1212,L1212,N(L1212)+1))</f>
        <v/>
      </c>
    </row>
    <row r="1214">
      <c r="A1214" s="22" t="n"/>
      <c r="B1214" s="27" t="n"/>
      <c r="C1214" s="17" t="n"/>
      <c r="D1214" s="17" t="n"/>
      <c r="E1214" s="17" t="n"/>
      <c r="F1214" s="28" t="n"/>
      <c r="G1214" s="29" t="n"/>
      <c r="H1214" s="29" t="n"/>
      <c r="I1214" s="29" t="n"/>
      <c r="J1214" s="29" t="n"/>
      <c r="K1214" s="30">
        <f>IF(B1214="","",SUM(G$2:I1214)-SUM(J$2:J1214))</f>
        <v/>
      </c>
      <c r="L1214" s="22">
        <f>IF(B1214="","",IF(B1214=B1213,L1213,N(L1213)+1))</f>
        <v/>
      </c>
    </row>
    <row r="1215">
      <c r="A1215" s="22" t="n"/>
      <c r="B1215" s="27" t="n"/>
      <c r="C1215" s="17" t="n"/>
      <c r="D1215" s="17" t="n"/>
      <c r="E1215" s="17" t="n"/>
      <c r="F1215" s="28" t="n"/>
      <c r="G1215" s="29" t="n"/>
      <c r="H1215" s="29" t="n"/>
      <c r="I1215" s="29" t="n"/>
      <c r="J1215" s="29" t="n"/>
      <c r="K1215" s="30">
        <f>IF(B1215="","",SUM(G$2:I1215)-SUM(J$2:J1215))</f>
        <v/>
      </c>
      <c r="L1215" s="22">
        <f>IF(B1215="","",IF(B1215=B1214,L1214,N(L1214)+1))</f>
        <v/>
      </c>
    </row>
    <row r="1216">
      <c r="A1216" s="22" t="n"/>
      <c r="B1216" s="27" t="n"/>
      <c r="C1216" s="17" t="n"/>
      <c r="D1216" s="17" t="n"/>
      <c r="E1216" s="17" t="n"/>
      <c r="F1216" s="28" t="n"/>
      <c r="G1216" s="29" t="n"/>
      <c r="H1216" s="29" t="n"/>
      <c r="I1216" s="29" t="n"/>
      <c r="J1216" s="29" t="n"/>
      <c r="K1216" s="30">
        <f>IF(B1216="","",SUM(G$2:I1216)-SUM(J$2:J1216))</f>
        <v/>
      </c>
      <c r="L1216" s="22">
        <f>IF(B1216="","",IF(B1216=B1215,L1215,N(L1215)+1))</f>
        <v/>
      </c>
    </row>
    <row r="1217">
      <c r="A1217" s="22" t="n"/>
      <c r="B1217" s="27" t="n"/>
      <c r="C1217" s="17" t="n"/>
      <c r="D1217" s="17" t="n"/>
      <c r="E1217" s="17" t="n"/>
      <c r="F1217" s="28" t="n"/>
      <c r="G1217" s="29" t="n"/>
      <c r="H1217" s="29" t="n"/>
      <c r="I1217" s="29" t="n"/>
      <c r="J1217" s="29" t="n"/>
      <c r="K1217" s="30">
        <f>IF(B1217="","",SUM(G$2:I1217)-SUM(J$2:J1217))</f>
        <v/>
      </c>
      <c r="L1217" s="22">
        <f>IF(B1217="","",IF(B1217=B1216,L1216,N(L1216)+1))</f>
        <v/>
      </c>
    </row>
    <row r="1218">
      <c r="A1218" s="22" t="n"/>
      <c r="B1218" s="27" t="n"/>
      <c r="C1218" s="17" t="n"/>
      <c r="D1218" s="17" t="n"/>
      <c r="E1218" s="17" t="n"/>
      <c r="F1218" s="28" t="n"/>
      <c r="G1218" s="29" t="n"/>
      <c r="H1218" s="29" t="n"/>
      <c r="I1218" s="29" t="n"/>
      <c r="J1218" s="29" t="n"/>
      <c r="K1218" s="30">
        <f>IF(B1218="","",SUM(G$2:I1218)-SUM(J$2:J1218))</f>
        <v/>
      </c>
      <c r="L1218" s="22">
        <f>IF(B1218="","",IF(B1218=B1217,L1217,N(L1217)+1))</f>
        <v/>
      </c>
    </row>
    <row r="1219">
      <c r="A1219" s="22" t="n"/>
      <c r="B1219" s="27" t="n"/>
      <c r="C1219" s="17" t="n"/>
      <c r="D1219" s="17" t="n"/>
      <c r="E1219" s="17" t="n"/>
      <c r="F1219" s="28" t="n"/>
      <c r="G1219" s="29" t="n"/>
      <c r="H1219" s="29" t="n"/>
      <c r="I1219" s="29" t="n"/>
      <c r="J1219" s="29" t="n"/>
      <c r="K1219" s="30">
        <f>IF(B1219="","",SUM(G$2:I1219)-SUM(J$2:J1219))</f>
        <v/>
      </c>
      <c r="L1219" s="22">
        <f>IF(B1219="","",IF(B1219=B1218,L1218,N(L1218)+1))</f>
        <v/>
      </c>
    </row>
    <row r="1220">
      <c r="A1220" s="22" t="n"/>
      <c r="B1220" s="27" t="n"/>
      <c r="C1220" s="17" t="n"/>
      <c r="D1220" s="17" t="n"/>
      <c r="E1220" s="17" t="n"/>
      <c r="F1220" s="28" t="n"/>
      <c r="G1220" s="29" t="n"/>
      <c r="H1220" s="29" t="n"/>
      <c r="I1220" s="29" t="n"/>
      <c r="J1220" s="29" t="n"/>
      <c r="K1220" s="30">
        <f>IF(B1220="","",SUM(G$2:I1220)-SUM(J$2:J1220))</f>
        <v/>
      </c>
      <c r="L1220" s="22">
        <f>IF(B1220="","",IF(B1220=B1219,L1219,N(L1219)+1))</f>
        <v/>
      </c>
    </row>
    <row r="1221">
      <c r="A1221" s="22" t="n"/>
      <c r="B1221" s="27" t="n"/>
      <c r="C1221" s="17" t="n"/>
      <c r="D1221" s="17" t="n"/>
      <c r="E1221" s="17" t="n"/>
      <c r="F1221" s="28" t="n"/>
      <c r="G1221" s="29" t="n"/>
      <c r="H1221" s="29" t="n"/>
      <c r="I1221" s="29" t="n"/>
      <c r="J1221" s="29" t="n"/>
      <c r="K1221" s="30">
        <f>IF(B1221="","",SUM(G$2:I1221)-SUM(J$2:J1221))</f>
        <v/>
      </c>
      <c r="L1221" s="22">
        <f>IF(B1221="","",IF(B1221=B1220,L1220,N(L1220)+1))</f>
        <v/>
      </c>
    </row>
    <row r="1222">
      <c r="A1222" s="22" t="n"/>
      <c r="B1222" s="27" t="n"/>
      <c r="C1222" s="17" t="n"/>
      <c r="D1222" s="17" t="n"/>
      <c r="E1222" s="17" t="n"/>
      <c r="F1222" s="28" t="n"/>
      <c r="G1222" s="29" t="n"/>
      <c r="H1222" s="29" t="n"/>
      <c r="I1222" s="29" t="n"/>
      <c r="J1222" s="29" t="n"/>
      <c r="K1222" s="30">
        <f>IF(B1222="","",SUM(G$2:I1222)-SUM(J$2:J1222))</f>
        <v/>
      </c>
      <c r="L1222" s="22">
        <f>IF(B1222="","",IF(B1222=B1221,L1221,N(L1221)+1))</f>
        <v/>
      </c>
    </row>
    <row r="1223">
      <c r="A1223" s="22" t="n"/>
      <c r="B1223" s="27" t="n"/>
      <c r="C1223" s="17" t="n"/>
      <c r="D1223" s="17" t="n"/>
      <c r="E1223" s="17" t="n"/>
      <c r="F1223" s="28" t="n"/>
      <c r="G1223" s="29" t="n"/>
      <c r="H1223" s="29" t="n"/>
      <c r="I1223" s="29" t="n"/>
      <c r="J1223" s="29" t="n"/>
      <c r="K1223" s="30">
        <f>IF(B1223="","",SUM(G$2:I1223)-SUM(J$2:J1223))</f>
        <v/>
      </c>
      <c r="L1223" s="22">
        <f>IF(B1223="","",IF(B1223=B1222,L1222,N(L1222)+1))</f>
        <v/>
      </c>
    </row>
    <row r="1224">
      <c r="A1224" s="22" t="n"/>
      <c r="B1224" s="27" t="n"/>
      <c r="C1224" s="17" t="n"/>
      <c r="D1224" s="17" t="n"/>
      <c r="E1224" s="17" t="n"/>
      <c r="F1224" s="28" t="n"/>
      <c r="G1224" s="29" t="n"/>
      <c r="H1224" s="29" t="n"/>
      <c r="I1224" s="29" t="n"/>
      <c r="J1224" s="29" t="n"/>
      <c r="K1224" s="30">
        <f>IF(B1224="","",SUM(G$2:I1224)-SUM(J$2:J1224))</f>
        <v/>
      </c>
      <c r="L1224" s="22">
        <f>IF(B1224="","",IF(B1224=B1223,L1223,N(L1223)+1))</f>
        <v/>
      </c>
    </row>
    <row r="1225">
      <c r="A1225" s="22" t="n"/>
      <c r="B1225" s="27" t="n"/>
      <c r="C1225" s="17" t="n"/>
      <c r="D1225" s="17" t="n"/>
      <c r="E1225" s="17" t="n"/>
      <c r="F1225" s="28" t="n"/>
      <c r="G1225" s="29" t="n"/>
      <c r="H1225" s="29" t="n"/>
      <c r="I1225" s="29" t="n"/>
      <c r="J1225" s="29" t="n"/>
      <c r="K1225" s="30">
        <f>IF(B1225="","",SUM(G$2:I1225)-SUM(J$2:J1225))</f>
        <v/>
      </c>
      <c r="L1225" s="22">
        <f>IF(B1225="","",IF(B1225=B1224,L1224,N(L1224)+1))</f>
        <v/>
      </c>
    </row>
    <row r="1226">
      <c r="A1226" s="22" t="n"/>
      <c r="B1226" s="27" t="n"/>
      <c r="C1226" s="17" t="n"/>
      <c r="D1226" s="17" t="n"/>
      <c r="E1226" s="17" t="n"/>
      <c r="F1226" s="28" t="n"/>
      <c r="G1226" s="29" t="n"/>
      <c r="H1226" s="29" t="n"/>
      <c r="I1226" s="29" t="n"/>
      <c r="J1226" s="29" t="n"/>
      <c r="K1226" s="30">
        <f>IF(B1226="","",SUM(G$2:I1226)-SUM(J$2:J1226))</f>
        <v/>
      </c>
      <c r="L1226" s="22">
        <f>IF(B1226="","",IF(B1226=B1225,L1225,N(L1225)+1))</f>
        <v/>
      </c>
    </row>
    <row r="1227">
      <c r="A1227" s="22" t="n"/>
      <c r="B1227" s="27" t="n"/>
      <c r="C1227" s="17" t="n"/>
      <c r="D1227" s="17" t="n"/>
      <c r="E1227" s="17" t="n"/>
      <c r="F1227" s="28" t="n"/>
      <c r="G1227" s="29" t="n"/>
      <c r="H1227" s="29" t="n"/>
      <c r="I1227" s="29" t="n"/>
      <c r="J1227" s="29" t="n"/>
      <c r="K1227" s="30">
        <f>IF(B1227="","",SUM(G$2:I1227)-SUM(J$2:J1227))</f>
        <v/>
      </c>
      <c r="L1227" s="22">
        <f>IF(B1227="","",IF(B1227=B1226,L1226,N(L1226)+1))</f>
        <v/>
      </c>
    </row>
    <row r="1228">
      <c r="A1228" s="22" t="n"/>
      <c r="B1228" s="27" t="n"/>
      <c r="C1228" s="17" t="n"/>
      <c r="D1228" s="17" t="n"/>
      <c r="E1228" s="17" t="n"/>
      <c r="F1228" s="28" t="n"/>
      <c r="G1228" s="29" t="n"/>
      <c r="H1228" s="29" t="n"/>
      <c r="I1228" s="29" t="n"/>
      <c r="J1228" s="29" t="n"/>
      <c r="K1228" s="30">
        <f>IF(B1228="","",SUM(G$2:I1228)-SUM(J$2:J1228))</f>
        <v/>
      </c>
      <c r="L1228" s="22">
        <f>IF(B1228="","",IF(B1228=B1227,L1227,N(L1227)+1))</f>
        <v/>
      </c>
    </row>
    <row r="1229">
      <c r="A1229" s="22" t="n"/>
      <c r="B1229" s="27" t="n"/>
      <c r="C1229" s="17" t="n"/>
      <c r="D1229" s="17" t="n"/>
      <c r="E1229" s="17" t="n"/>
      <c r="F1229" s="28" t="n"/>
      <c r="G1229" s="29" t="n"/>
      <c r="H1229" s="29" t="n"/>
      <c r="I1229" s="29" t="n"/>
      <c r="J1229" s="29" t="n"/>
      <c r="K1229" s="30">
        <f>IF(B1229="","",SUM(G$2:I1229)-SUM(J$2:J1229))</f>
        <v/>
      </c>
      <c r="L1229" s="22">
        <f>IF(B1229="","",IF(B1229=B1228,L1228,N(L1228)+1))</f>
        <v/>
      </c>
    </row>
    <row r="1230">
      <c r="A1230" s="22" t="n"/>
      <c r="B1230" s="27" t="n"/>
      <c r="C1230" s="17" t="n"/>
      <c r="D1230" s="17" t="n"/>
      <c r="E1230" s="17" t="n"/>
      <c r="F1230" s="28" t="n"/>
      <c r="G1230" s="29" t="n"/>
      <c r="H1230" s="29" t="n"/>
      <c r="I1230" s="29" t="n"/>
      <c r="J1230" s="29" t="n"/>
      <c r="K1230" s="30">
        <f>IF(B1230="","",SUM(G$2:I1230)-SUM(J$2:J1230))</f>
        <v/>
      </c>
      <c r="L1230" s="22">
        <f>IF(B1230="","",IF(B1230=B1229,L1229,N(L1229)+1))</f>
        <v/>
      </c>
    </row>
    <row r="1231">
      <c r="A1231" s="22" t="n"/>
      <c r="B1231" s="27" t="n"/>
      <c r="C1231" s="17" t="n"/>
      <c r="D1231" s="17" t="n"/>
      <c r="E1231" s="17" t="n"/>
      <c r="F1231" s="28" t="n"/>
      <c r="G1231" s="29" t="n"/>
      <c r="H1231" s="29" t="n"/>
      <c r="I1231" s="29" t="n"/>
      <c r="J1231" s="29" t="n"/>
      <c r="K1231" s="30">
        <f>IF(B1231="","",SUM(G$2:I1231)-SUM(J$2:J1231))</f>
        <v/>
      </c>
      <c r="L1231" s="22">
        <f>IF(B1231="","",IF(B1231=B1230,L1230,N(L1230)+1))</f>
        <v/>
      </c>
    </row>
    <row r="1232">
      <c r="A1232" s="22" t="n"/>
      <c r="B1232" s="27" t="n"/>
      <c r="C1232" s="17" t="n"/>
      <c r="D1232" s="17" t="n"/>
      <c r="E1232" s="17" t="n"/>
      <c r="F1232" s="28" t="n"/>
      <c r="G1232" s="29" t="n"/>
      <c r="H1232" s="29" t="n"/>
      <c r="I1232" s="29" t="n"/>
      <c r="J1232" s="29" t="n"/>
      <c r="K1232" s="30">
        <f>IF(B1232="","",SUM(G$2:I1232)-SUM(J$2:J1232))</f>
        <v/>
      </c>
      <c r="L1232" s="22">
        <f>IF(B1232="","",IF(B1232=B1231,L1231,N(L1231)+1))</f>
        <v/>
      </c>
    </row>
    <row r="1233">
      <c r="A1233" s="22" t="n"/>
      <c r="B1233" s="27" t="n"/>
      <c r="C1233" s="17" t="n"/>
      <c r="D1233" s="17" t="n"/>
      <c r="E1233" s="17" t="n"/>
      <c r="F1233" s="28" t="n"/>
      <c r="G1233" s="29" t="n"/>
      <c r="H1233" s="29" t="n"/>
      <c r="I1233" s="29" t="n"/>
      <c r="J1233" s="29" t="n"/>
      <c r="K1233" s="30">
        <f>IF(B1233="","",SUM(G$2:I1233)-SUM(J$2:J1233))</f>
        <v/>
      </c>
      <c r="L1233" s="22">
        <f>IF(B1233="","",IF(B1233=B1232,L1232,N(L1232)+1))</f>
        <v/>
      </c>
    </row>
    <row r="1234">
      <c r="A1234" s="22" t="n"/>
      <c r="B1234" s="27" t="n"/>
      <c r="C1234" s="17" t="n"/>
      <c r="D1234" s="17" t="n"/>
      <c r="E1234" s="17" t="n"/>
      <c r="F1234" s="28" t="n"/>
      <c r="G1234" s="29" t="n"/>
      <c r="H1234" s="29" t="n"/>
      <c r="I1234" s="29" t="n"/>
      <c r="J1234" s="29" t="n"/>
      <c r="K1234" s="30">
        <f>IF(B1234="","",SUM(G$2:I1234)-SUM(J$2:J1234))</f>
        <v/>
      </c>
      <c r="L1234" s="22">
        <f>IF(B1234="","",IF(B1234=B1233,L1233,N(L1233)+1))</f>
        <v/>
      </c>
    </row>
    <row r="1235">
      <c r="A1235" s="22" t="n"/>
      <c r="B1235" s="27" t="n"/>
      <c r="C1235" s="17" t="n"/>
      <c r="D1235" s="17" t="n"/>
      <c r="E1235" s="17" t="n"/>
      <c r="F1235" s="28" t="n"/>
      <c r="G1235" s="29" t="n"/>
      <c r="H1235" s="29" t="n"/>
      <c r="I1235" s="29" t="n"/>
      <c r="J1235" s="29" t="n"/>
      <c r="K1235" s="30">
        <f>IF(B1235="","",SUM(G$2:I1235)-SUM(J$2:J1235))</f>
        <v/>
      </c>
      <c r="L1235" s="22">
        <f>IF(B1235="","",IF(B1235=B1234,L1234,N(L1234)+1))</f>
        <v/>
      </c>
    </row>
    <row r="1236">
      <c r="A1236" s="22" t="n"/>
      <c r="B1236" s="27" t="n"/>
      <c r="C1236" s="17" t="n"/>
      <c r="D1236" s="17" t="n"/>
      <c r="E1236" s="17" t="n"/>
      <c r="F1236" s="28" t="n"/>
      <c r="G1236" s="29" t="n"/>
      <c r="H1236" s="29" t="n"/>
      <c r="I1236" s="29" t="n"/>
      <c r="J1236" s="29" t="n"/>
      <c r="K1236" s="30">
        <f>IF(B1236="","",SUM(G$2:I1236)-SUM(J$2:J1236))</f>
        <v/>
      </c>
      <c r="L1236" s="22">
        <f>IF(B1236="","",IF(B1236=B1235,L1235,N(L1235)+1))</f>
        <v/>
      </c>
    </row>
    <row r="1237">
      <c r="A1237" s="22" t="n"/>
      <c r="B1237" s="27" t="n"/>
      <c r="C1237" s="17" t="n"/>
      <c r="D1237" s="17" t="n"/>
      <c r="E1237" s="17" t="n"/>
      <c r="F1237" s="28" t="n"/>
      <c r="G1237" s="29" t="n"/>
      <c r="H1237" s="29" t="n"/>
      <c r="I1237" s="29" t="n"/>
      <c r="J1237" s="29" t="n"/>
      <c r="K1237" s="30">
        <f>IF(B1237="","",SUM(G$2:I1237)-SUM(J$2:J1237))</f>
        <v/>
      </c>
      <c r="L1237" s="22">
        <f>IF(B1237="","",IF(B1237=B1236,L1236,N(L1236)+1))</f>
        <v/>
      </c>
    </row>
    <row r="1238">
      <c r="A1238" s="22" t="n"/>
      <c r="B1238" s="27" t="n"/>
      <c r="C1238" s="17" t="n"/>
      <c r="D1238" s="17" t="n"/>
      <c r="E1238" s="17" t="n"/>
      <c r="F1238" s="28" t="n"/>
      <c r="G1238" s="29" t="n"/>
      <c r="H1238" s="29" t="n"/>
      <c r="I1238" s="29" t="n"/>
      <c r="J1238" s="29" t="n"/>
      <c r="K1238" s="30">
        <f>IF(B1238="","",SUM(G$2:I1238)-SUM(J$2:J1238))</f>
        <v/>
      </c>
      <c r="L1238" s="22">
        <f>IF(B1238="","",IF(B1238=B1237,L1237,N(L1237)+1))</f>
        <v/>
      </c>
    </row>
    <row r="1239">
      <c r="A1239" s="22" t="n"/>
      <c r="B1239" s="27" t="n"/>
      <c r="C1239" s="17" t="n"/>
      <c r="D1239" s="17" t="n"/>
      <c r="E1239" s="17" t="n"/>
      <c r="F1239" s="28" t="n"/>
      <c r="G1239" s="29" t="n"/>
      <c r="H1239" s="29" t="n"/>
      <c r="I1239" s="29" t="n"/>
      <c r="J1239" s="29" t="n"/>
      <c r="K1239" s="30">
        <f>IF(B1239="","",SUM(G$2:I1239)-SUM(J$2:J1239))</f>
        <v/>
      </c>
      <c r="L1239" s="22">
        <f>IF(B1239="","",IF(B1239=B1238,L1238,N(L1238)+1))</f>
        <v/>
      </c>
    </row>
    <row r="1240">
      <c r="A1240" s="22" t="n"/>
      <c r="B1240" s="27" t="n"/>
      <c r="C1240" s="17" t="n"/>
      <c r="D1240" s="17" t="n"/>
      <c r="E1240" s="17" t="n"/>
      <c r="F1240" s="28" t="n"/>
      <c r="G1240" s="29" t="n"/>
      <c r="H1240" s="29" t="n"/>
      <c r="I1240" s="29" t="n"/>
      <c r="J1240" s="29" t="n"/>
      <c r="K1240" s="30">
        <f>IF(B1240="","",SUM(G$2:I1240)-SUM(J$2:J1240))</f>
        <v/>
      </c>
      <c r="L1240" s="22">
        <f>IF(B1240="","",IF(B1240=B1239,L1239,N(L1239)+1))</f>
        <v/>
      </c>
    </row>
    <row r="1241">
      <c r="A1241" s="22" t="n"/>
      <c r="B1241" s="27" t="n"/>
      <c r="C1241" s="17" t="n"/>
      <c r="D1241" s="17" t="n"/>
      <c r="E1241" s="17" t="n"/>
      <c r="F1241" s="28" t="n"/>
      <c r="G1241" s="29" t="n"/>
      <c r="H1241" s="29" t="n"/>
      <c r="I1241" s="29" t="n"/>
      <c r="J1241" s="29" t="n"/>
      <c r="K1241" s="30">
        <f>IF(B1241="","",SUM(G$2:I1241)-SUM(J$2:J1241))</f>
        <v/>
      </c>
      <c r="L1241" s="22">
        <f>IF(B1241="","",IF(B1241=B1240,L1240,N(L1240)+1))</f>
        <v/>
      </c>
    </row>
    <row r="1242">
      <c r="A1242" s="22" t="n"/>
      <c r="B1242" s="27" t="n"/>
      <c r="C1242" s="17" t="n"/>
      <c r="D1242" s="17" t="n"/>
      <c r="E1242" s="17" t="n"/>
      <c r="F1242" s="28" t="n"/>
      <c r="G1242" s="29" t="n"/>
      <c r="H1242" s="29" t="n"/>
      <c r="I1242" s="29" t="n"/>
      <c r="J1242" s="29" t="n"/>
      <c r="K1242" s="30">
        <f>IF(B1242="","",SUM(G$2:I1242)-SUM(J$2:J1242))</f>
        <v/>
      </c>
      <c r="L1242" s="22">
        <f>IF(B1242="","",IF(B1242=B1241,L1241,N(L1241)+1))</f>
        <v/>
      </c>
    </row>
    <row r="1243">
      <c r="A1243" s="22" t="n"/>
      <c r="B1243" s="27" t="n"/>
      <c r="C1243" s="17" t="n"/>
      <c r="D1243" s="17" t="n"/>
      <c r="E1243" s="17" t="n"/>
      <c r="F1243" s="28" t="n"/>
      <c r="G1243" s="29" t="n"/>
      <c r="H1243" s="29" t="n"/>
      <c r="I1243" s="29" t="n"/>
      <c r="J1243" s="29" t="n"/>
      <c r="K1243" s="30">
        <f>IF(B1243="","",SUM(G$2:I1243)-SUM(J$2:J1243))</f>
        <v/>
      </c>
      <c r="L1243" s="22">
        <f>IF(B1243="","",IF(B1243=B1242,L1242,N(L1242)+1))</f>
        <v/>
      </c>
    </row>
    <row r="1244">
      <c r="A1244" s="22" t="n"/>
      <c r="B1244" s="27" t="n"/>
      <c r="C1244" s="17" t="n"/>
      <c r="D1244" s="17" t="n"/>
      <c r="E1244" s="17" t="n"/>
      <c r="F1244" s="28" t="n"/>
      <c r="G1244" s="29" t="n"/>
      <c r="H1244" s="29" t="n"/>
      <c r="I1244" s="29" t="n"/>
      <c r="J1244" s="29" t="n"/>
      <c r="K1244" s="30">
        <f>IF(B1244="","",SUM(G$2:I1244)-SUM(J$2:J1244))</f>
        <v/>
      </c>
      <c r="L1244" s="22">
        <f>IF(B1244="","",IF(B1244=B1243,L1243,N(L1243)+1))</f>
        <v/>
      </c>
    </row>
    <row r="1245">
      <c r="A1245" s="22" t="n"/>
      <c r="B1245" s="27" t="n"/>
      <c r="C1245" s="17" t="n"/>
      <c r="D1245" s="17" t="n"/>
      <c r="E1245" s="17" t="n"/>
      <c r="F1245" s="28" t="n"/>
      <c r="G1245" s="29" t="n"/>
      <c r="H1245" s="29" t="n"/>
      <c r="I1245" s="29" t="n"/>
      <c r="J1245" s="29" t="n"/>
      <c r="K1245" s="30">
        <f>IF(B1245="","",SUM(G$2:I1245)-SUM(J$2:J1245))</f>
        <v/>
      </c>
      <c r="L1245" s="22">
        <f>IF(B1245="","",IF(B1245=B1244,L1244,N(L1244)+1))</f>
        <v/>
      </c>
    </row>
    <row r="1246">
      <c r="A1246" s="22" t="n"/>
      <c r="B1246" s="27" t="n"/>
      <c r="C1246" s="17" t="n"/>
      <c r="D1246" s="17" t="n"/>
      <c r="E1246" s="17" t="n"/>
      <c r="F1246" s="28" t="n"/>
      <c r="G1246" s="29" t="n"/>
      <c r="H1246" s="29" t="n"/>
      <c r="I1246" s="29" t="n"/>
      <c r="J1246" s="29" t="n"/>
      <c r="K1246" s="30">
        <f>IF(B1246="","",SUM(G$2:I1246)-SUM(J$2:J1246))</f>
        <v/>
      </c>
      <c r="L1246" s="22">
        <f>IF(B1246="","",IF(B1246=B1245,L1245,N(L1245)+1))</f>
        <v/>
      </c>
    </row>
    <row r="1247">
      <c r="A1247" s="22" t="n"/>
      <c r="B1247" s="27" t="n"/>
      <c r="C1247" s="17" t="n"/>
      <c r="D1247" s="17" t="n"/>
      <c r="E1247" s="17" t="n"/>
      <c r="F1247" s="28" t="n"/>
      <c r="G1247" s="29" t="n"/>
      <c r="H1247" s="29" t="n"/>
      <c r="I1247" s="29" t="n"/>
      <c r="J1247" s="29" t="n"/>
      <c r="K1247" s="30">
        <f>IF(B1247="","",SUM(G$2:I1247)-SUM(J$2:J1247))</f>
        <v/>
      </c>
      <c r="L1247" s="22">
        <f>IF(B1247="","",IF(B1247=B1246,L1246,N(L1246)+1))</f>
        <v/>
      </c>
    </row>
    <row r="1248">
      <c r="A1248" s="22" t="n"/>
      <c r="B1248" s="27" t="n"/>
      <c r="C1248" s="17" t="n"/>
      <c r="D1248" s="17" t="n"/>
      <c r="E1248" s="17" t="n"/>
      <c r="F1248" s="28" t="n"/>
      <c r="G1248" s="29" t="n"/>
      <c r="H1248" s="29" t="n"/>
      <c r="I1248" s="29" t="n"/>
      <c r="J1248" s="29" t="n"/>
      <c r="K1248" s="30">
        <f>IF(B1248="","",SUM(G$2:I1248)-SUM(J$2:J1248))</f>
        <v/>
      </c>
      <c r="L1248" s="22">
        <f>IF(B1248="","",IF(B1248=B1247,L1247,N(L1247)+1))</f>
        <v/>
      </c>
    </row>
    <row r="1249">
      <c r="A1249" s="22" t="n"/>
      <c r="B1249" s="27" t="n"/>
      <c r="C1249" s="17" t="n"/>
      <c r="D1249" s="17" t="n"/>
      <c r="E1249" s="17" t="n"/>
      <c r="F1249" s="28" t="n"/>
      <c r="G1249" s="29" t="n"/>
      <c r="H1249" s="29" t="n"/>
      <c r="I1249" s="29" t="n"/>
      <c r="J1249" s="29" t="n"/>
      <c r="K1249" s="30">
        <f>IF(B1249="","",SUM(G$2:I1249)-SUM(J$2:J1249))</f>
        <v/>
      </c>
      <c r="L1249" s="22">
        <f>IF(B1249="","",IF(B1249=B1248,L1248,N(L1248)+1))</f>
        <v/>
      </c>
    </row>
    <row r="1250">
      <c r="A1250" s="22" t="n"/>
      <c r="B1250" s="27" t="n"/>
      <c r="C1250" s="17" t="n"/>
      <c r="D1250" s="17" t="n"/>
      <c r="E1250" s="17" t="n"/>
      <c r="F1250" s="28" t="n"/>
      <c r="G1250" s="29" t="n"/>
      <c r="H1250" s="29" t="n"/>
      <c r="I1250" s="29" t="n"/>
      <c r="J1250" s="29" t="n"/>
      <c r="K1250" s="30">
        <f>IF(B1250="","",SUM(G$2:I1250)-SUM(J$2:J1250))</f>
        <v/>
      </c>
      <c r="L1250" s="22">
        <f>IF(B1250="","",IF(B1250=B1249,L1249,N(L1249)+1))</f>
        <v/>
      </c>
    </row>
    <row r="1251">
      <c r="A1251" s="22" t="n"/>
      <c r="B1251" s="27" t="n"/>
      <c r="C1251" s="17" t="n"/>
      <c r="D1251" s="17" t="n"/>
      <c r="E1251" s="17" t="n"/>
      <c r="F1251" s="28" t="n"/>
      <c r="G1251" s="29" t="n"/>
      <c r="H1251" s="29" t="n"/>
      <c r="I1251" s="29" t="n"/>
      <c r="J1251" s="29" t="n"/>
      <c r="K1251" s="30">
        <f>IF(B1251="","",SUM(G$2:I1251)-SUM(J$2:J1251))</f>
        <v/>
      </c>
      <c r="L1251" s="22">
        <f>IF(B1251="","",IF(B1251=B1250,L1250,N(L1250)+1))</f>
        <v/>
      </c>
    </row>
    <row r="1252">
      <c r="A1252" s="22" t="n"/>
      <c r="B1252" s="27" t="n"/>
      <c r="C1252" s="17" t="n"/>
      <c r="D1252" s="17" t="n"/>
      <c r="E1252" s="17" t="n"/>
      <c r="F1252" s="28" t="n"/>
      <c r="G1252" s="29" t="n"/>
      <c r="H1252" s="29" t="n"/>
      <c r="I1252" s="29" t="n"/>
      <c r="J1252" s="29" t="n"/>
      <c r="K1252" s="30">
        <f>IF(B1252="","",SUM(G$2:I1252)-SUM(J$2:J1252))</f>
        <v/>
      </c>
      <c r="L1252" s="22">
        <f>IF(B1252="","",IF(B1252=B1251,L1251,N(L1251)+1))</f>
        <v/>
      </c>
    </row>
    <row r="1253">
      <c r="A1253" s="22" t="n"/>
      <c r="B1253" s="27" t="n"/>
      <c r="C1253" s="17" t="n"/>
      <c r="D1253" s="17" t="n"/>
      <c r="E1253" s="17" t="n"/>
      <c r="F1253" s="28" t="n"/>
      <c r="G1253" s="29" t="n"/>
      <c r="H1253" s="29" t="n"/>
      <c r="I1253" s="29" t="n"/>
      <c r="J1253" s="29" t="n"/>
      <c r="K1253" s="30">
        <f>IF(B1253="","",SUM(G$2:I1253)-SUM(J$2:J1253))</f>
        <v/>
      </c>
      <c r="L1253" s="22">
        <f>IF(B1253="","",IF(B1253=B1252,L1252,N(L1252)+1))</f>
        <v/>
      </c>
    </row>
    <row r="1254">
      <c r="A1254" s="22" t="n"/>
      <c r="B1254" s="27" t="n"/>
      <c r="C1254" s="17" t="n"/>
      <c r="D1254" s="17" t="n"/>
      <c r="E1254" s="17" t="n"/>
      <c r="F1254" s="28" t="n"/>
      <c r="G1254" s="29" t="n"/>
      <c r="H1254" s="29" t="n"/>
      <c r="I1254" s="29" t="n"/>
      <c r="J1254" s="29" t="n"/>
      <c r="K1254" s="30">
        <f>IF(B1254="","",SUM(G$2:I1254)-SUM(J$2:J1254))</f>
        <v/>
      </c>
      <c r="L1254" s="22">
        <f>IF(B1254="","",IF(B1254=B1253,L1253,N(L1253)+1))</f>
        <v/>
      </c>
    </row>
    <row r="1255">
      <c r="A1255" s="22" t="n"/>
      <c r="B1255" s="27" t="n"/>
      <c r="C1255" s="17" t="n"/>
      <c r="D1255" s="17" t="n"/>
      <c r="E1255" s="17" t="n"/>
      <c r="F1255" s="28" t="n"/>
      <c r="G1255" s="29" t="n"/>
      <c r="H1255" s="29" t="n"/>
      <c r="I1255" s="29" t="n"/>
      <c r="J1255" s="29" t="n"/>
      <c r="K1255" s="30">
        <f>IF(B1255="","",SUM(G$2:I1255)-SUM(J$2:J1255))</f>
        <v/>
      </c>
      <c r="L1255" s="22">
        <f>IF(B1255="","",IF(B1255=B1254,L1254,N(L1254)+1))</f>
        <v/>
      </c>
    </row>
    <row r="1256">
      <c r="A1256" s="22" t="n"/>
      <c r="B1256" s="27" t="n"/>
      <c r="C1256" s="17" t="n"/>
      <c r="D1256" s="17" t="n"/>
      <c r="E1256" s="17" t="n"/>
      <c r="F1256" s="28" t="n"/>
      <c r="G1256" s="29" t="n"/>
      <c r="H1256" s="29" t="n"/>
      <c r="I1256" s="29" t="n"/>
      <c r="J1256" s="29" t="n"/>
      <c r="K1256" s="30">
        <f>IF(B1256="","",SUM(G$2:I1256)-SUM(J$2:J1256))</f>
        <v/>
      </c>
      <c r="L1256" s="22">
        <f>IF(B1256="","",IF(B1256=B1255,L1255,N(L1255)+1))</f>
        <v/>
      </c>
    </row>
    <row r="1257">
      <c r="A1257" s="22" t="n"/>
      <c r="B1257" s="27" t="n"/>
      <c r="C1257" s="17" t="n"/>
      <c r="D1257" s="17" t="n"/>
      <c r="E1257" s="17" t="n"/>
      <c r="F1257" s="28" t="n"/>
      <c r="G1257" s="29" t="n"/>
      <c r="H1257" s="29" t="n"/>
      <c r="I1257" s="29" t="n"/>
      <c r="J1257" s="29" t="n"/>
      <c r="K1257" s="30">
        <f>IF(B1257="","",SUM(G$2:I1257)-SUM(J$2:J1257))</f>
        <v/>
      </c>
      <c r="L1257" s="22">
        <f>IF(B1257="","",IF(B1257=B1256,L1256,N(L1256)+1))</f>
        <v/>
      </c>
    </row>
    <row r="1258">
      <c r="A1258" s="22" t="n"/>
      <c r="B1258" s="27" t="n"/>
      <c r="C1258" s="17" t="n"/>
      <c r="D1258" s="17" t="n"/>
      <c r="E1258" s="17" t="n"/>
      <c r="F1258" s="28" t="n"/>
      <c r="G1258" s="29" t="n"/>
      <c r="H1258" s="29" t="n"/>
      <c r="I1258" s="29" t="n"/>
      <c r="J1258" s="29" t="n"/>
      <c r="K1258" s="30">
        <f>IF(B1258="","",SUM(G$2:I1258)-SUM(J$2:J1258))</f>
        <v/>
      </c>
      <c r="L1258" s="22">
        <f>IF(B1258="","",IF(B1258=B1257,L1257,N(L1257)+1))</f>
        <v/>
      </c>
    </row>
    <row r="1259">
      <c r="A1259" s="22" t="n"/>
      <c r="B1259" s="27" t="n"/>
      <c r="C1259" s="17" t="n"/>
      <c r="D1259" s="17" t="n"/>
      <c r="E1259" s="17" t="n"/>
      <c r="F1259" s="28" t="n"/>
      <c r="G1259" s="29" t="n"/>
      <c r="H1259" s="29" t="n"/>
      <c r="I1259" s="29" t="n"/>
      <c r="J1259" s="29" t="n"/>
      <c r="K1259" s="30">
        <f>IF(B1259="","",SUM(G$2:I1259)-SUM(J$2:J1259))</f>
        <v/>
      </c>
      <c r="L1259" s="22">
        <f>IF(B1259="","",IF(B1259=B1258,L1258,N(L1258)+1))</f>
        <v/>
      </c>
    </row>
    <row r="1260">
      <c r="A1260" s="22" t="n"/>
      <c r="B1260" s="27" t="n"/>
      <c r="C1260" s="17" t="n"/>
      <c r="D1260" s="17" t="n"/>
      <c r="E1260" s="17" t="n"/>
      <c r="F1260" s="28" t="n"/>
      <c r="G1260" s="29" t="n"/>
      <c r="H1260" s="29" t="n"/>
      <c r="I1260" s="29" t="n"/>
      <c r="J1260" s="29" t="n"/>
      <c r="K1260" s="30">
        <f>IF(B1260="","",SUM(G$2:I1260)-SUM(J$2:J1260))</f>
        <v/>
      </c>
      <c r="L1260" s="22">
        <f>IF(B1260="","",IF(B1260=B1259,L1259,N(L1259)+1))</f>
        <v/>
      </c>
    </row>
    <row r="1261">
      <c r="A1261" s="22" t="n"/>
      <c r="B1261" s="27" t="n"/>
      <c r="C1261" s="17" t="n"/>
      <c r="D1261" s="17" t="n"/>
      <c r="E1261" s="17" t="n"/>
      <c r="F1261" s="28" t="n"/>
      <c r="G1261" s="29" t="n"/>
      <c r="H1261" s="29" t="n"/>
      <c r="I1261" s="29" t="n"/>
      <c r="J1261" s="29" t="n"/>
      <c r="K1261" s="30">
        <f>IF(B1261="","",SUM(G$2:I1261)-SUM(J$2:J1261))</f>
        <v/>
      </c>
      <c r="L1261" s="22">
        <f>IF(B1261="","",IF(B1261=B1260,L1260,N(L1260)+1))</f>
        <v/>
      </c>
    </row>
    <row r="1262">
      <c r="A1262" s="22" t="n"/>
      <c r="B1262" s="27" t="n"/>
      <c r="C1262" s="17" t="n"/>
      <c r="D1262" s="17" t="n"/>
      <c r="E1262" s="17" t="n"/>
      <c r="F1262" s="28" t="n"/>
      <c r="G1262" s="29" t="n"/>
      <c r="H1262" s="29" t="n"/>
      <c r="I1262" s="29" t="n"/>
      <c r="J1262" s="29" t="n"/>
      <c r="K1262" s="30">
        <f>IF(B1262="","",SUM(G$2:I1262)-SUM(J$2:J1262))</f>
        <v/>
      </c>
      <c r="L1262" s="22">
        <f>IF(B1262="","",IF(B1262=B1261,L1261,N(L1261)+1))</f>
        <v/>
      </c>
    </row>
    <row r="1263">
      <c r="A1263" s="22" t="n"/>
      <c r="B1263" s="27" t="n"/>
      <c r="C1263" s="17" t="n"/>
      <c r="D1263" s="17" t="n"/>
      <c r="E1263" s="17" t="n"/>
      <c r="F1263" s="28" t="n"/>
      <c r="G1263" s="29" t="n"/>
      <c r="H1263" s="29" t="n"/>
      <c r="I1263" s="29" t="n"/>
      <c r="J1263" s="29" t="n"/>
      <c r="K1263" s="30">
        <f>IF(B1263="","",SUM(G$2:I1263)-SUM(J$2:J1263))</f>
        <v/>
      </c>
      <c r="L1263" s="22">
        <f>IF(B1263="","",IF(B1263=B1262,L1262,N(L1262)+1))</f>
        <v/>
      </c>
    </row>
    <row r="1264">
      <c r="A1264" s="22" t="n"/>
      <c r="B1264" s="27" t="n"/>
      <c r="C1264" s="17" t="n"/>
      <c r="D1264" s="17" t="n"/>
      <c r="E1264" s="17" t="n"/>
      <c r="F1264" s="28" t="n"/>
      <c r="G1264" s="29" t="n"/>
      <c r="H1264" s="29" t="n"/>
      <c r="I1264" s="29" t="n"/>
      <c r="J1264" s="29" t="n"/>
      <c r="K1264" s="30">
        <f>IF(B1264="","",SUM(G$2:I1264)-SUM(J$2:J1264))</f>
        <v/>
      </c>
      <c r="L1264" s="22">
        <f>IF(B1264="","",IF(B1264=B1263,L1263,N(L1263)+1))</f>
        <v/>
      </c>
    </row>
    <row r="1265">
      <c r="A1265" s="22" t="n"/>
      <c r="B1265" s="27" t="n"/>
      <c r="C1265" s="17" t="n"/>
      <c r="D1265" s="17" t="n"/>
      <c r="E1265" s="17" t="n"/>
      <c r="F1265" s="28" t="n"/>
      <c r="G1265" s="29" t="n"/>
      <c r="H1265" s="29" t="n"/>
      <c r="I1265" s="29" t="n"/>
      <c r="J1265" s="29" t="n"/>
      <c r="K1265" s="30">
        <f>IF(B1265="","",SUM(G$2:I1265)-SUM(J$2:J1265))</f>
        <v/>
      </c>
      <c r="L1265" s="22">
        <f>IF(B1265="","",IF(B1265=B1264,L1264,N(L1264)+1))</f>
        <v/>
      </c>
    </row>
    <row r="1266">
      <c r="A1266" s="22" t="n"/>
      <c r="B1266" s="27" t="n"/>
      <c r="C1266" s="17" t="n"/>
      <c r="D1266" s="17" t="n"/>
      <c r="E1266" s="17" t="n"/>
      <c r="F1266" s="28" t="n"/>
      <c r="G1266" s="29" t="n"/>
      <c r="H1266" s="29" t="n"/>
      <c r="I1266" s="29" t="n"/>
      <c r="J1266" s="29" t="n"/>
      <c r="K1266" s="30">
        <f>IF(B1266="","",SUM(G$2:I1266)-SUM(J$2:J1266))</f>
        <v/>
      </c>
      <c r="L1266" s="22">
        <f>IF(B1266="","",IF(B1266=B1265,L1265,N(L1265)+1))</f>
        <v/>
      </c>
    </row>
    <row r="1267">
      <c r="A1267" s="22" t="n"/>
      <c r="B1267" s="27" t="n"/>
      <c r="C1267" s="17" t="n"/>
      <c r="D1267" s="17" t="n"/>
      <c r="E1267" s="17" t="n"/>
      <c r="F1267" s="28" t="n"/>
      <c r="G1267" s="29" t="n"/>
      <c r="H1267" s="29" t="n"/>
      <c r="I1267" s="29" t="n"/>
      <c r="J1267" s="29" t="n"/>
      <c r="K1267" s="30">
        <f>IF(B1267="","",SUM(G$2:I1267)-SUM(J$2:J1267))</f>
        <v/>
      </c>
      <c r="L1267" s="22">
        <f>IF(B1267="","",IF(B1267=B1266,L1266,N(L1266)+1))</f>
        <v/>
      </c>
    </row>
    <row r="1268">
      <c r="A1268" s="22" t="n"/>
      <c r="B1268" s="27" t="n"/>
      <c r="C1268" s="17" t="n"/>
      <c r="D1268" s="17" t="n"/>
      <c r="E1268" s="17" t="n"/>
      <c r="F1268" s="28" t="n"/>
      <c r="G1268" s="29" t="n"/>
      <c r="H1268" s="29" t="n"/>
      <c r="I1268" s="29" t="n"/>
      <c r="J1268" s="29" t="n"/>
      <c r="K1268" s="30">
        <f>IF(B1268="","",SUM(G$2:I1268)-SUM(J$2:J1268))</f>
        <v/>
      </c>
      <c r="L1268" s="22">
        <f>IF(B1268="","",IF(B1268=B1267,L1267,N(L1267)+1))</f>
        <v/>
      </c>
    </row>
    <row r="1269">
      <c r="A1269" s="22" t="n"/>
      <c r="B1269" s="27" t="n"/>
      <c r="C1269" s="17" t="n"/>
      <c r="D1269" s="17" t="n"/>
      <c r="E1269" s="17" t="n"/>
      <c r="F1269" s="28" t="n"/>
      <c r="G1269" s="29" t="n"/>
      <c r="H1269" s="29" t="n"/>
      <c r="I1269" s="29" t="n"/>
      <c r="J1269" s="29" t="n"/>
      <c r="K1269" s="30">
        <f>IF(B1269="","",SUM(G$2:I1269)-SUM(J$2:J1269))</f>
        <v/>
      </c>
      <c r="L1269" s="22">
        <f>IF(B1269="","",IF(B1269=B1268,L1268,N(L1268)+1))</f>
        <v/>
      </c>
    </row>
    <row r="1270">
      <c r="A1270" s="22" t="n"/>
      <c r="B1270" s="27" t="n"/>
      <c r="C1270" s="17" t="n"/>
      <c r="D1270" s="17" t="n"/>
      <c r="E1270" s="17" t="n"/>
      <c r="F1270" s="28" t="n"/>
      <c r="G1270" s="29" t="n"/>
      <c r="H1270" s="29" t="n"/>
      <c r="I1270" s="29" t="n"/>
      <c r="J1270" s="29" t="n"/>
      <c r="K1270" s="30">
        <f>IF(B1270="","",SUM(G$2:I1270)-SUM(J$2:J1270))</f>
        <v/>
      </c>
      <c r="L1270" s="22">
        <f>IF(B1270="","",IF(B1270=B1269,L1269,N(L1269)+1))</f>
        <v/>
      </c>
    </row>
    <row r="1271">
      <c r="A1271" s="22" t="n"/>
      <c r="B1271" s="27" t="n"/>
      <c r="C1271" s="17" t="n"/>
      <c r="D1271" s="17" t="n"/>
      <c r="E1271" s="17" t="n"/>
      <c r="F1271" s="28" t="n"/>
      <c r="G1271" s="29" t="n"/>
      <c r="H1271" s="29" t="n"/>
      <c r="I1271" s="29" t="n"/>
      <c r="J1271" s="29" t="n"/>
      <c r="K1271" s="30">
        <f>IF(B1271="","",SUM(G$2:I1271)-SUM(J$2:J1271))</f>
        <v/>
      </c>
      <c r="L1271" s="22">
        <f>IF(B1271="","",IF(B1271=B1270,L1270,N(L1270)+1))</f>
        <v/>
      </c>
    </row>
    <row r="1272">
      <c r="A1272" s="22" t="n"/>
      <c r="B1272" s="27" t="n"/>
      <c r="C1272" s="17" t="n"/>
      <c r="D1272" s="17" t="n"/>
      <c r="E1272" s="17" t="n"/>
      <c r="F1272" s="28" t="n"/>
      <c r="G1272" s="29" t="n"/>
      <c r="H1272" s="29" t="n"/>
      <c r="I1272" s="29" t="n"/>
      <c r="J1272" s="29" t="n"/>
      <c r="K1272" s="30">
        <f>IF(B1272="","",SUM(G$2:I1272)-SUM(J$2:J1272))</f>
        <v/>
      </c>
      <c r="L1272" s="22">
        <f>IF(B1272="","",IF(B1272=B1271,L1271,N(L1271)+1))</f>
        <v/>
      </c>
    </row>
    <row r="1273">
      <c r="A1273" s="22" t="n"/>
      <c r="B1273" s="27" t="n"/>
      <c r="C1273" s="17" t="n"/>
      <c r="D1273" s="17" t="n"/>
      <c r="E1273" s="17" t="n"/>
      <c r="F1273" s="28" t="n"/>
      <c r="G1273" s="29" t="n"/>
      <c r="H1273" s="29" t="n"/>
      <c r="I1273" s="29" t="n"/>
      <c r="J1273" s="29" t="n"/>
      <c r="K1273" s="30">
        <f>IF(B1273="","",SUM(G$2:I1273)-SUM(J$2:J1273))</f>
        <v/>
      </c>
      <c r="L1273" s="22">
        <f>IF(B1273="","",IF(B1273=B1272,L1272,N(L1272)+1))</f>
        <v/>
      </c>
    </row>
    <row r="1274">
      <c r="A1274" s="22" t="n"/>
      <c r="B1274" s="27" t="n"/>
      <c r="C1274" s="17" t="n"/>
      <c r="D1274" s="17" t="n"/>
      <c r="E1274" s="17" t="n"/>
      <c r="F1274" s="28" t="n"/>
      <c r="G1274" s="29" t="n"/>
      <c r="H1274" s="29" t="n"/>
      <c r="I1274" s="29" t="n"/>
      <c r="J1274" s="29" t="n"/>
      <c r="K1274" s="30">
        <f>IF(B1274="","",SUM(G$2:I1274)-SUM(J$2:J1274))</f>
        <v/>
      </c>
      <c r="L1274" s="22">
        <f>IF(B1274="","",IF(B1274=B1273,L1273,N(L1273)+1))</f>
        <v/>
      </c>
    </row>
    <row r="1275">
      <c r="A1275" s="22" t="n"/>
      <c r="B1275" s="27" t="n"/>
      <c r="C1275" s="17" t="n"/>
      <c r="D1275" s="17" t="n"/>
      <c r="E1275" s="17" t="n"/>
      <c r="F1275" s="28" t="n"/>
      <c r="G1275" s="29" t="n"/>
      <c r="H1275" s="29" t="n"/>
      <c r="I1275" s="29" t="n"/>
      <c r="J1275" s="29" t="n"/>
      <c r="K1275" s="30">
        <f>IF(B1275="","",SUM(G$2:I1275)-SUM(J$2:J1275))</f>
        <v/>
      </c>
      <c r="L1275" s="22">
        <f>IF(B1275="","",IF(B1275=B1274,L1274,N(L1274)+1))</f>
        <v/>
      </c>
    </row>
    <row r="1276">
      <c r="A1276" s="22" t="n"/>
      <c r="B1276" s="27" t="n"/>
      <c r="C1276" s="17" t="n"/>
      <c r="D1276" s="17" t="n"/>
      <c r="E1276" s="17" t="n"/>
      <c r="F1276" s="28" t="n"/>
      <c r="G1276" s="29" t="n"/>
      <c r="H1276" s="29" t="n"/>
      <c r="I1276" s="29" t="n"/>
      <c r="J1276" s="29" t="n"/>
      <c r="K1276" s="30">
        <f>IF(B1276="","",SUM(G$2:I1276)-SUM(J$2:J1276))</f>
        <v/>
      </c>
      <c r="L1276" s="22">
        <f>IF(B1276="","",IF(B1276=B1275,L1275,N(L1275)+1))</f>
        <v/>
      </c>
    </row>
    <row r="1277">
      <c r="A1277" s="22" t="n"/>
      <c r="B1277" s="27" t="n"/>
      <c r="C1277" s="17" t="n"/>
      <c r="D1277" s="17" t="n"/>
      <c r="E1277" s="17" t="n"/>
      <c r="F1277" s="28" t="n"/>
      <c r="G1277" s="29" t="n"/>
      <c r="H1277" s="29" t="n"/>
      <c r="I1277" s="29" t="n"/>
      <c r="J1277" s="29" t="n"/>
      <c r="K1277" s="30">
        <f>IF(B1277="","",SUM(G$2:I1277)-SUM(J$2:J1277))</f>
        <v/>
      </c>
      <c r="L1277" s="22">
        <f>IF(B1277="","",IF(B1277=B1276,L1276,N(L1276)+1))</f>
        <v/>
      </c>
    </row>
    <row r="1278">
      <c r="A1278" s="22" t="n"/>
      <c r="B1278" s="27" t="n"/>
      <c r="C1278" s="17" t="n"/>
      <c r="D1278" s="17" t="n"/>
      <c r="E1278" s="17" t="n"/>
      <c r="F1278" s="28" t="n"/>
      <c r="G1278" s="29" t="n"/>
      <c r="H1278" s="29" t="n"/>
      <c r="I1278" s="29" t="n"/>
      <c r="J1278" s="29" t="n"/>
      <c r="K1278" s="30">
        <f>IF(B1278="","",SUM(G$2:I1278)-SUM(J$2:J1278))</f>
        <v/>
      </c>
      <c r="L1278" s="22">
        <f>IF(B1278="","",IF(B1278=B1277,L1277,N(L1277)+1))</f>
        <v/>
      </c>
    </row>
    <row r="1279">
      <c r="A1279" s="22" t="n"/>
      <c r="B1279" s="27" t="n"/>
      <c r="C1279" s="17" t="n"/>
      <c r="D1279" s="17" t="n"/>
      <c r="E1279" s="17" t="n"/>
      <c r="F1279" s="28" t="n"/>
      <c r="G1279" s="29" t="n"/>
      <c r="H1279" s="29" t="n"/>
      <c r="I1279" s="29" t="n"/>
      <c r="J1279" s="29" t="n"/>
      <c r="K1279" s="30">
        <f>IF(B1279="","",SUM(G$2:I1279)-SUM(J$2:J1279))</f>
        <v/>
      </c>
      <c r="L1279" s="22">
        <f>IF(B1279="","",IF(B1279=B1278,L1278,N(L1278)+1))</f>
        <v/>
      </c>
    </row>
    <row r="1280">
      <c r="A1280" s="22" t="n"/>
      <c r="B1280" s="27" t="n"/>
      <c r="C1280" s="17" t="n"/>
      <c r="D1280" s="17" t="n"/>
      <c r="E1280" s="17" t="n"/>
      <c r="F1280" s="28" t="n"/>
      <c r="G1280" s="29" t="n"/>
      <c r="H1280" s="29" t="n"/>
      <c r="I1280" s="29" t="n"/>
      <c r="J1280" s="29" t="n"/>
      <c r="K1280" s="30">
        <f>IF(B1280="","",SUM(G$2:I1280)-SUM(J$2:J1280))</f>
        <v/>
      </c>
      <c r="L1280" s="22">
        <f>IF(B1280="","",IF(B1280=B1279,L1279,N(L1279)+1))</f>
        <v/>
      </c>
    </row>
    <row r="1281">
      <c r="A1281" s="22" t="n"/>
      <c r="B1281" s="27" t="n"/>
      <c r="C1281" s="17" t="n"/>
      <c r="D1281" s="17" t="n"/>
      <c r="E1281" s="17" t="n"/>
      <c r="F1281" s="28" t="n"/>
      <c r="G1281" s="29" t="n"/>
      <c r="H1281" s="29" t="n"/>
      <c r="I1281" s="29" t="n"/>
      <c r="J1281" s="29" t="n"/>
      <c r="K1281" s="30">
        <f>IF(B1281="","",SUM(G$2:I1281)-SUM(J$2:J1281))</f>
        <v/>
      </c>
      <c r="L1281" s="22">
        <f>IF(B1281="","",IF(B1281=B1280,L1280,N(L1280)+1))</f>
        <v/>
      </c>
    </row>
    <row r="1282">
      <c r="A1282" s="22" t="n"/>
      <c r="B1282" s="27" t="n"/>
      <c r="C1282" s="17" t="n"/>
      <c r="D1282" s="17" t="n"/>
      <c r="E1282" s="17" t="n"/>
      <c r="F1282" s="28" t="n"/>
      <c r="G1282" s="29" t="n"/>
      <c r="H1282" s="29" t="n"/>
      <c r="I1282" s="29" t="n"/>
      <c r="J1282" s="29" t="n"/>
      <c r="K1282" s="30">
        <f>IF(B1282="","",SUM(G$2:I1282)-SUM(J$2:J1282))</f>
        <v/>
      </c>
      <c r="L1282" s="22">
        <f>IF(B1282="","",IF(B1282=B1281,L1281,N(L1281)+1))</f>
        <v/>
      </c>
    </row>
    <row r="1283">
      <c r="A1283" s="22" t="n"/>
      <c r="B1283" s="27" t="n"/>
      <c r="C1283" s="17" t="n"/>
      <c r="D1283" s="17" t="n"/>
      <c r="E1283" s="17" t="n"/>
      <c r="F1283" s="28" t="n"/>
      <c r="G1283" s="29" t="n"/>
      <c r="H1283" s="29" t="n"/>
      <c r="I1283" s="29" t="n"/>
      <c r="J1283" s="29" t="n"/>
      <c r="K1283" s="30">
        <f>IF(B1283="","",SUM(G$2:I1283)-SUM(J$2:J1283))</f>
        <v/>
      </c>
      <c r="L1283" s="22">
        <f>IF(B1283="","",IF(B1283=B1282,L1282,N(L1282)+1))</f>
        <v/>
      </c>
    </row>
    <row r="1284">
      <c r="A1284" s="22" t="n"/>
      <c r="B1284" s="27" t="n"/>
      <c r="C1284" s="17" t="n"/>
      <c r="D1284" s="17" t="n"/>
      <c r="E1284" s="17" t="n"/>
      <c r="F1284" s="28" t="n"/>
      <c r="G1284" s="29" t="n"/>
      <c r="H1284" s="29" t="n"/>
      <c r="I1284" s="29" t="n"/>
      <c r="J1284" s="29" t="n"/>
      <c r="K1284" s="30">
        <f>IF(B1284="","",SUM(G$2:I1284)-SUM(J$2:J1284))</f>
        <v/>
      </c>
      <c r="L1284" s="22">
        <f>IF(B1284="","",IF(B1284=B1283,L1283,N(L1283)+1))</f>
        <v/>
      </c>
    </row>
    <row r="1285">
      <c r="A1285" s="22" t="n"/>
      <c r="B1285" s="27" t="n"/>
      <c r="C1285" s="17" t="n"/>
      <c r="D1285" s="17" t="n"/>
      <c r="E1285" s="17" t="n"/>
      <c r="F1285" s="28" t="n"/>
      <c r="G1285" s="29" t="n"/>
      <c r="H1285" s="29" t="n"/>
      <c r="I1285" s="29" t="n"/>
      <c r="J1285" s="29" t="n"/>
      <c r="K1285" s="30">
        <f>IF(B1285="","",SUM(G$2:I1285)-SUM(J$2:J1285))</f>
        <v/>
      </c>
      <c r="L1285" s="22">
        <f>IF(B1285="","",IF(B1285=B1284,L1284,N(L1284)+1))</f>
        <v/>
      </c>
    </row>
    <row r="1286">
      <c r="A1286" s="22" t="n"/>
      <c r="B1286" s="27" t="n"/>
      <c r="C1286" s="17" t="n"/>
      <c r="D1286" s="17" t="n"/>
      <c r="E1286" s="17" t="n"/>
      <c r="F1286" s="28" t="n"/>
      <c r="G1286" s="29" t="n"/>
      <c r="H1286" s="29" t="n"/>
      <c r="I1286" s="29" t="n"/>
      <c r="J1286" s="29" t="n"/>
      <c r="K1286" s="30">
        <f>IF(B1286="","",SUM(G$2:I1286)-SUM(J$2:J1286))</f>
        <v/>
      </c>
      <c r="L1286" s="22">
        <f>IF(B1286="","",IF(B1286=B1285,L1285,N(L1285)+1))</f>
        <v/>
      </c>
    </row>
    <row r="1287">
      <c r="A1287" s="22" t="n"/>
      <c r="B1287" s="27" t="n"/>
      <c r="C1287" s="17" t="n"/>
      <c r="D1287" s="17" t="n"/>
      <c r="E1287" s="17" t="n"/>
      <c r="F1287" s="28" t="n"/>
      <c r="G1287" s="29" t="n"/>
      <c r="H1287" s="29" t="n"/>
      <c r="I1287" s="29" t="n"/>
      <c r="J1287" s="29" t="n"/>
      <c r="K1287" s="30">
        <f>IF(B1287="","",SUM(G$2:I1287)-SUM(J$2:J1287))</f>
        <v/>
      </c>
      <c r="L1287" s="22">
        <f>IF(B1287="","",IF(B1287=B1286,L1286,N(L1286)+1))</f>
        <v/>
      </c>
    </row>
    <row r="1288">
      <c r="A1288" s="22" t="n"/>
      <c r="B1288" s="27" t="n"/>
      <c r="C1288" s="17" t="n"/>
      <c r="D1288" s="17" t="n"/>
      <c r="E1288" s="17" t="n"/>
      <c r="F1288" s="28" t="n"/>
      <c r="G1288" s="29" t="n"/>
      <c r="H1288" s="29" t="n"/>
      <c r="I1288" s="29" t="n"/>
      <c r="J1288" s="29" t="n"/>
      <c r="K1288" s="30">
        <f>IF(B1288="","",SUM(G$2:I1288)-SUM(J$2:J1288))</f>
        <v/>
      </c>
      <c r="L1288" s="22">
        <f>IF(B1288="","",IF(B1288=B1287,L1287,N(L1287)+1))</f>
        <v/>
      </c>
    </row>
    <row r="1289">
      <c r="A1289" s="22" t="n"/>
      <c r="B1289" s="27" t="n"/>
      <c r="C1289" s="17" t="n"/>
      <c r="D1289" s="17" t="n"/>
      <c r="E1289" s="17" t="n"/>
      <c r="F1289" s="28" t="n"/>
      <c r="G1289" s="29" t="n"/>
      <c r="H1289" s="29" t="n"/>
      <c r="I1289" s="29" t="n"/>
      <c r="J1289" s="29" t="n"/>
      <c r="K1289" s="30">
        <f>IF(B1289="","",SUM(G$2:I1289)-SUM(J$2:J1289))</f>
        <v/>
      </c>
      <c r="L1289" s="22">
        <f>IF(B1289="","",IF(B1289=B1288,L1288,N(L1288)+1))</f>
        <v/>
      </c>
    </row>
    <row r="1290">
      <c r="A1290" s="22" t="n"/>
      <c r="B1290" s="27" t="n"/>
      <c r="C1290" s="17" t="n"/>
      <c r="D1290" s="17" t="n"/>
      <c r="E1290" s="17" t="n"/>
      <c r="F1290" s="28" t="n"/>
      <c r="G1290" s="29" t="n"/>
      <c r="H1290" s="29" t="n"/>
      <c r="I1290" s="29" t="n"/>
      <c r="J1290" s="29" t="n"/>
      <c r="K1290" s="30">
        <f>IF(B1290="","",SUM(G$2:I1290)-SUM(J$2:J1290))</f>
        <v/>
      </c>
      <c r="L1290" s="22">
        <f>IF(B1290="","",IF(B1290=B1289,L1289,N(L1289)+1))</f>
        <v/>
      </c>
    </row>
    <row r="1291">
      <c r="A1291" s="22" t="n"/>
      <c r="B1291" s="27" t="n"/>
      <c r="C1291" s="17" t="n"/>
      <c r="D1291" s="17" t="n"/>
      <c r="E1291" s="17" t="n"/>
      <c r="F1291" s="28" t="n"/>
      <c r="G1291" s="29" t="n"/>
      <c r="H1291" s="29" t="n"/>
      <c r="I1291" s="29" t="n"/>
      <c r="J1291" s="29" t="n"/>
      <c r="K1291" s="30">
        <f>IF(B1291="","",SUM(G$2:I1291)-SUM(J$2:J1291))</f>
        <v/>
      </c>
      <c r="L1291" s="22">
        <f>IF(B1291="","",IF(B1291=B1290,L1290,N(L1290)+1))</f>
        <v/>
      </c>
    </row>
    <row r="1292">
      <c r="A1292" s="22" t="n"/>
      <c r="B1292" s="27" t="n"/>
      <c r="C1292" s="17" t="n"/>
      <c r="D1292" s="17" t="n"/>
      <c r="E1292" s="17" t="n"/>
      <c r="F1292" s="28" t="n"/>
      <c r="G1292" s="29" t="n"/>
      <c r="H1292" s="29" t="n"/>
      <c r="I1292" s="29" t="n"/>
      <c r="J1292" s="29" t="n"/>
      <c r="K1292" s="30">
        <f>IF(B1292="","",SUM(G$2:I1292)-SUM(J$2:J1292))</f>
        <v/>
      </c>
      <c r="L1292" s="22">
        <f>IF(B1292="","",IF(B1292=B1291,L1291,N(L1291)+1))</f>
        <v/>
      </c>
    </row>
    <row r="1293">
      <c r="A1293" s="22" t="n"/>
      <c r="B1293" s="27" t="n"/>
      <c r="C1293" s="17" t="n"/>
      <c r="D1293" s="17" t="n"/>
      <c r="E1293" s="17" t="n"/>
      <c r="F1293" s="28" t="n"/>
      <c r="G1293" s="29" t="n"/>
      <c r="H1293" s="29" t="n"/>
      <c r="I1293" s="29" t="n"/>
      <c r="J1293" s="29" t="n"/>
      <c r="K1293" s="30">
        <f>IF(B1293="","",SUM(G$2:I1293)-SUM(J$2:J1293))</f>
        <v/>
      </c>
      <c r="L1293" s="22">
        <f>IF(B1293="","",IF(B1293=B1292,L1292,N(L1292)+1))</f>
        <v/>
      </c>
    </row>
    <row r="1294">
      <c r="A1294" s="22" t="n"/>
      <c r="B1294" s="27" t="n"/>
      <c r="C1294" s="17" t="n"/>
      <c r="D1294" s="17" t="n"/>
      <c r="E1294" s="17" t="n"/>
      <c r="F1294" s="28" t="n"/>
      <c r="G1294" s="29" t="n"/>
      <c r="H1294" s="29" t="n"/>
      <c r="I1294" s="29" t="n"/>
      <c r="J1294" s="29" t="n"/>
      <c r="K1294" s="30">
        <f>IF(B1294="","",SUM(G$2:I1294)-SUM(J$2:J1294))</f>
        <v/>
      </c>
      <c r="L1294" s="22">
        <f>IF(B1294="","",IF(B1294=B1293,L1293,N(L1293)+1))</f>
        <v/>
      </c>
    </row>
    <row r="1295">
      <c r="A1295" s="22" t="n"/>
      <c r="B1295" s="27" t="n"/>
      <c r="C1295" s="17" t="n"/>
      <c r="D1295" s="17" t="n"/>
      <c r="E1295" s="17" t="n"/>
      <c r="F1295" s="28" t="n"/>
      <c r="G1295" s="29" t="n"/>
      <c r="H1295" s="29" t="n"/>
      <c r="I1295" s="29" t="n"/>
      <c r="J1295" s="29" t="n"/>
      <c r="K1295" s="30">
        <f>IF(B1295="","",SUM(G$2:I1295)-SUM(J$2:J1295))</f>
        <v/>
      </c>
      <c r="L1295" s="22">
        <f>IF(B1295="","",IF(B1295=B1294,L1294,N(L1294)+1))</f>
        <v/>
      </c>
    </row>
    <row r="1296">
      <c r="A1296" s="22" t="n"/>
      <c r="B1296" s="27" t="n"/>
      <c r="C1296" s="17" t="n"/>
      <c r="D1296" s="17" t="n"/>
      <c r="E1296" s="17" t="n"/>
      <c r="F1296" s="28" t="n"/>
      <c r="G1296" s="29" t="n"/>
      <c r="H1296" s="29" t="n"/>
      <c r="I1296" s="29" t="n"/>
      <c r="J1296" s="29" t="n"/>
      <c r="K1296" s="30">
        <f>IF(B1296="","",SUM(G$2:I1296)-SUM(J$2:J1296))</f>
        <v/>
      </c>
      <c r="L1296" s="22">
        <f>IF(B1296="","",IF(B1296=B1295,L1295,N(L1295)+1))</f>
        <v/>
      </c>
    </row>
    <row r="1297">
      <c r="A1297" s="22" t="n"/>
      <c r="B1297" s="27" t="n"/>
      <c r="C1297" s="17" t="n"/>
      <c r="D1297" s="17" t="n"/>
      <c r="E1297" s="17" t="n"/>
      <c r="F1297" s="28" t="n"/>
      <c r="G1297" s="29" t="n"/>
      <c r="H1297" s="29" t="n"/>
      <c r="I1297" s="29" t="n"/>
      <c r="J1297" s="29" t="n"/>
      <c r="K1297" s="30">
        <f>IF(B1297="","",SUM(G$2:I1297)-SUM(J$2:J1297))</f>
        <v/>
      </c>
      <c r="L1297" s="22">
        <f>IF(B1297="","",IF(B1297=B1296,L1296,N(L1296)+1))</f>
        <v/>
      </c>
    </row>
    <row r="1298">
      <c r="A1298" s="22" t="n"/>
      <c r="B1298" s="27" t="n"/>
      <c r="C1298" s="17" t="n"/>
      <c r="D1298" s="17" t="n"/>
      <c r="E1298" s="17" t="n"/>
      <c r="F1298" s="28" t="n"/>
      <c r="G1298" s="29" t="n"/>
      <c r="H1298" s="29" t="n"/>
      <c r="I1298" s="29" t="n"/>
      <c r="J1298" s="29" t="n"/>
      <c r="K1298" s="30">
        <f>IF(B1298="","",SUM(G$2:I1298)-SUM(J$2:J1298))</f>
        <v/>
      </c>
      <c r="L1298" s="22">
        <f>IF(B1298="","",IF(B1298=B1297,L1297,N(L1297)+1))</f>
        <v/>
      </c>
    </row>
    <row r="1299">
      <c r="A1299" s="22" t="n"/>
      <c r="B1299" s="27" t="n"/>
      <c r="C1299" s="17" t="n"/>
      <c r="D1299" s="17" t="n"/>
      <c r="E1299" s="17" t="n"/>
      <c r="F1299" s="28" t="n"/>
      <c r="G1299" s="29" t="n"/>
      <c r="H1299" s="29" t="n"/>
      <c r="I1299" s="29" t="n"/>
      <c r="J1299" s="29" t="n"/>
      <c r="K1299" s="30">
        <f>IF(B1299="","",SUM(G$2:I1299)-SUM(J$2:J1299))</f>
        <v/>
      </c>
      <c r="L1299" s="22">
        <f>IF(B1299="","",IF(B1299=B1298,L1298,N(L1298)+1))</f>
        <v/>
      </c>
    </row>
    <row r="1300">
      <c r="A1300" s="22" t="n"/>
      <c r="B1300" s="27" t="n"/>
      <c r="C1300" s="17" t="n"/>
      <c r="D1300" s="17" t="n"/>
      <c r="E1300" s="17" t="n"/>
      <c r="F1300" s="28" t="n"/>
      <c r="G1300" s="29" t="n"/>
      <c r="H1300" s="29" t="n"/>
      <c r="I1300" s="29" t="n"/>
      <c r="J1300" s="29" t="n"/>
      <c r="K1300" s="30">
        <f>IF(B1300="","",SUM(G$2:I1300)-SUM(J$2:J1300))</f>
        <v/>
      </c>
      <c r="L1300" s="22">
        <f>IF(B1300="","",IF(B1300=B1299,L1299,N(L1299)+1))</f>
        <v/>
      </c>
    </row>
    <row r="1301">
      <c r="A1301" s="22" t="n"/>
      <c r="B1301" s="27" t="n"/>
      <c r="C1301" s="17" t="n"/>
      <c r="D1301" s="17" t="n"/>
      <c r="E1301" s="17" t="n"/>
      <c r="F1301" s="28" t="n"/>
      <c r="G1301" s="29" t="n"/>
      <c r="H1301" s="29" t="n"/>
      <c r="I1301" s="29" t="n"/>
      <c r="J1301" s="29" t="n"/>
      <c r="K1301" s="30">
        <f>IF(B1301="","",SUM(G$2:I1301)-SUM(J$2:J1301))</f>
        <v/>
      </c>
      <c r="L1301" s="22">
        <f>IF(B1301="","",IF(B1301=B1300,L1300,N(L1300)+1))</f>
        <v/>
      </c>
    </row>
    <row r="1302">
      <c r="A1302" s="22" t="n"/>
      <c r="B1302" s="27" t="n"/>
      <c r="C1302" s="17" t="n"/>
      <c r="D1302" s="17" t="n"/>
      <c r="E1302" s="17" t="n"/>
      <c r="F1302" s="28" t="n"/>
      <c r="G1302" s="29" t="n"/>
      <c r="H1302" s="29" t="n"/>
      <c r="I1302" s="29" t="n"/>
      <c r="J1302" s="29" t="n"/>
      <c r="K1302" s="30">
        <f>IF(B1302="","",SUM(G$2:I1302)-SUM(J$2:J1302))</f>
        <v/>
      </c>
      <c r="L1302" s="22">
        <f>IF(B1302="","",IF(B1302=B1301,L1301,N(L1301)+1))</f>
        <v/>
      </c>
    </row>
    <row r="1303">
      <c r="A1303" s="22" t="n"/>
      <c r="B1303" s="27" t="n"/>
      <c r="C1303" s="17" t="n"/>
      <c r="D1303" s="17" t="n"/>
      <c r="E1303" s="17" t="n"/>
      <c r="F1303" s="28" t="n"/>
      <c r="G1303" s="29" t="n"/>
      <c r="H1303" s="29" t="n"/>
      <c r="I1303" s="29" t="n"/>
      <c r="J1303" s="29" t="n"/>
      <c r="K1303" s="30">
        <f>IF(B1303="","",SUM(G$2:I1303)-SUM(J$2:J1303))</f>
        <v/>
      </c>
      <c r="L1303" s="22">
        <f>IF(B1303="","",IF(B1303=B1302,L1302,N(L1302)+1))</f>
        <v/>
      </c>
    </row>
    <row r="1304">
      <c r="A1304" s="22" t="n"/>
      <c r="B1304" s="27" t="n"/>
      <c r="C1304" s="17" t="n"/>
      <c r="D1304" s="17" t="n"/>
      <c r="E1304" s="17" t="n"/>
      <c r="F1304" s="28" t="n"/>
      <c r="G1304" s="29" t="n"/>
      <c r="H1304" s="29" t="n"/>
      <c r="I1304" s="29" t="n"/>
      <c r="J1304" s="29" t="n"/>
      <c r="K1304" s="30">
        <f>IF(B1304="","",SUM(G$2:I1304)-SUM(J$2:J1304))</f>
        <v/>
      </c>
      <c r="L1304" s="22">
        <f>IF(B1304="","",IF(B1304=B1303,L1303,N(L1303)+1))</f>
        <v/>
      </c>
    </row>
    <row r="1305">
      <c r="A1305" s="22" t="n"/>
      <c r="B1305" s="27" t="n"/>
      <c r="C1305" s="17" t="n"/>
      <c r="D1305" s="17" t="n"/>
      <c r="E1305" s="17" t="n"/>
      <c r="F1305" s="28" t="n"/>
      <c r="G1305" s="29" t="n"/>
      <c r="H1305" s="29" t="n"/>
      <c r="I1305" s="29" t="n"/>
      <c r="J1305" s="29" t="n"/>
      <c r="K1305" s="30">
        <f>IF(B1305="","",SUM(G$2:I1305)-SUM(J$2:J1305))</f>
        <v/>
      </c>
      <c r="L1305" s="22">
        <f>IF(B1305="","",IF(B1305=B1304,L1304,N(L1304)+1))</f>
        <v/>
      </c>
    </row>
    <row r="1306">
      <c r="A1306" s="22" t="n"/>
      <c r="B1306" s="27" t="n"/>
      <c r="C1306" s="17" t="n"/>
      <c r="D1306" s="17" t="n"/>
      <c r="E1306" s="17" t="n"/>
      <c r="F1306" s="28" t="n"/>
      <c r="G1306" s="29" t="n"/>
      <c r="H1306" s="29" t="n"/>
      <c r="I1306" s="29" t="n"/>
      <c r="J1306" s="29" t="n"/>
      <c r="K1306" s="30">
        <f>IF(B1306="","",SUM(G$2:I1306)-SUM(J$2:J1306))</f>
        <v/>
      </c>
      <c r="L1306" s="22">
        <f>IF(B1306="","",IF(B1306=B1305,L1305,N(L1305)+1))</f>
        <v/>
      </c>
    </row>
    <row r="1307">
      <c r="A1307" s="22" t="n"/>
      <c r="B1307" s="27" t="n"/>
      <c r="C1307" s="17" t="n"/>
      <c r="D1307" s="17" t="n"/>
      <c r="E1307" s="17" t="n"/>
      <c r="F1307" s="28" t="n"/>
      <c r="G1307" s="29" t="n"/>
      <c r="H1307" s="29" t="n"/>
      <c r="I1307" s="29" t="n"/>
      <c r="J1307" s="29" t="n"/>
      <c r="K1307" s="30">
        <f>IF(B1307="","",SUM(G$2:I1307)-SUM(J$2:J1307))</f>
        <v/>
      </c>
      <c r="L1307" s="22">
        <f>IF(B1307="","",IF(B1307=B1306,L1306,N(L1306)+1))</f>
        <v/>
      </c>
    </row>
    <row r="1308">
      <c r="A1308" s="22" t="n"/>
      <c r="B1308" s="27" t="n"/>
      <c r="C1308" s="17" t="n"/>
      <c r="D1308" s="17" t="n"/>
      <c r="E1308" s="17" t="n"/>
      <c r="F1308" s="28" t="n"/>
      <c r="G1308" s="29" t="n"/>
      <c r="H1308" s="29" t="n"/>
      <c r="I1308" s="29" t="n"/>
      <c r="J1308" s="29" t="n"/>
      <c r="K1308" s="30">
        <f>IF(B1308="","",SUM(G$2:I1308)-SUM(J$2:J1308))</f>
        <v/>
      </c>
      <c r="L1308" s="22">
        <f>IF(B1308="","",IF(B1308=B1307,L1307,N(L1307)+1))</f>
        <v/>
      </c>
    </row>
    <row r="1309">
      <c r="A1309" s="22" t="n"/>
      <c r="B1309" s="27" t="n"/>
      <c r="C1309" s="17" t="n"/>
      <c r="D1309" s="17" t="n"/>
      <c r="E1309" s="17" t="n"/>
      <c r="F1309" s="28" t="n"/>
      <c r="G1309" s="29" t="n"/>
      <c r="H1309" s="29" t="n"/>
      <c r="I1309" s="29" t="n"/>
      <c r="J1309" s="29" t="n"/>
      <c r="K1309" s="30">
        <f>IF(B1309="","",SUM(G$2:I1309)-SUM(J$2:J1309))</f>
        <v/>
      </c>
      <c r="L1309" s="22">
        <f>IF(B1309="","",IF(B1309=B1308,L1308,N(L1308)+1))</f>
        <v/>
      </c>
    </row>
    <row r="1310">
      <c r="A1310" s="22" t="n"/>
      <c r="B1310" s="27" t="n"/>
      <c r="C1310" s="17" t="n"/>
      <c r="D1310" s="17" t="n"/>
      <c r="E1310" s="17" t="n"/>
      <c r="F1310" s="28" t="n"/>
      <c r="G1310" s="29" t="n"/>
      <c r="H1310" s="29" t="n"/>
      <c r="I1310" s="29" t="n"/>
      <c r="J1310" s="29" t="n"/>
      <c r="K1310" s="30">
        <f>IF(B1310="","",SUM(G$2:I1310)-SUM(J$2:J1310))</f>
        <v/>
      </c>
      <c r="L1310" s="22">
        <f>IF(B1310="","",IF(B1310=B1309,L1309,N(L1309)+1))</f>
        <v/>
      </c>
    </row>
    <row r="1311">
      <c r="A1311" s="22" t="n"/>
      <c r="B1311" s="27" t="n"/>
      <c r="C1311" s="17" t="n"/>
      <c r="D1311" s="17" t="n"/>
      <c r="E1311" s="17" t="n"/>
      <c r="F1311" s="28" t="n"/>
      <c r="G1311" s="29" t="n"/>
      <c r="H1311" s="29" t="n"/>
      <c r="I1311" s="29" t="n"/>
      <c r="J1311" s="29" t="n"/>
      <c r="K1311" s="30">
        <f>IF(B1311="","",SUM(G$2:I1311)-SUM(J$2:J1311))</f>
        <v/>
      </c>
      <c r="L1311" s="22">
        <f>IF(B1311="","",IF(B1311=B1310,L1310,N(L1310)+1))</f>
        <v/>
      </c>
    </row>
    <row r="1312">
      <c r="A1312" s="22" t="n"/>
      <c r="B1312" s="27" t="n"/>
      <c r="C1312" s="17" t="n"/>
      <c r="D1312" s="17" t="n"/>
      <c r="E1312" s="17" t="n"/>
      <c r="F1312" s="28" t="n"/>
      <c r="G1312" s="29" t="n"/>
      <c r="H1312" s="29" t="n"/>
      <c r="I1312" s="29" t="n"/>
      <c r="J1312" s="29" t="n"/>
      <c r="K1312" s="30">
        <f>IF(B1312="","",SUM(G$2:I1312)-SUM(J$2:J1312))</f>
        <v/>
      </c>
      <c r="L1312" s="22">
        <f>IF(B1312="","",IF(B1312=B1311,L1311,N(L1311)+1))</f>
        <v/>
      </c>
    </row>
    <row r="1313">
      <c r="A1313" s="22" t="n"/>
      <c r="B1313" s="27" t="n"/>
      <c r="C1313" s="17" t="n"/>
      <c r="D1313" s="17" t="n"/>
      <c r="E1313" s="17" t="n"/>
      <c r="F1313" s="28" t="n"/>
      <c r="G1313" s="29" t="n"/>
      <c r="H1313" s="29" t="n"/>
      <c r="I1313" s="29" t="n"/>
      <c r="J1313" s="29" t="n"/>
      <c r="K1313" s="30">
        <f>IF(B1313="","",SUM(G$2:I1313)-SUM(J$2:J1313))</f>
        <v/>
      </c>
      <c r="L1313" s="22">
        <f>IF(B1313="","",IF(B1313=B1312,L1312,N(L1312)+1))</f>
        <v/>
      </c>
    </row>
    <row r="1314">
      <c r="A1314" s="22" t="n"/>
      <c r="B1314" s="27" t="n"/>
      <c r="C1314" s="17" t="n"/>
      <c r="D1314" s="17" t="n"/>
      <c r="E1314" s="17" t="n"/>
      <c r="F1314" s="28" t="n"/>
      <c r="G1314" s="29" t="n"/>
      <c r="H1314" s="29" t="n"/>
      <c r="I1314" s="29" t="n"/>
      <c r="J1314" s="29" t="n"/>
      <c r="K1314" s="30">
        <f>IF(B1314="","",SUM(G$2:I1314)-SUM(J$2:J1314))</f>
        <v/>
      </c>
      <c r="L1314" s="22">
        <f>IF(B1314="","",IF(B1314=B1313,L1313,N(L1313)+1))</f>
        <v/>
      </c>
    </row>
    <row r="1315">
      <c r="A1315" s="22" t="n"/>
      <c r="B1315" s="27" t="n"/>
      <c r="C1315" s="17" t="n"/>
      <c r="D1315" s="17" t="n"/>
      <c r="E1315" s="17" t="n"/>
      <c r="F1315" s="28" t="n"/>
      <c r="G1315" s="29" t="n"/>
      <c r="H1315" s="29" t="n"/>
      <c r="I1315" s="29" t="n"/>
      <c r="J1315" s="29" t="n"/>
      <c r="K1315" s="30">
        <f>IF(B1315="","",SUM(G$2:I1315)-SUM(J$2:J1315))</f>
        <v/>
      </c>
      <c r="L1315" s="22">
        <f>IF(B1315="","",IF(B1315=B1314,L1314,N(L1314)+1))</f>
        <v/>
      </c>
    </row>
    <row r="1316">
      <c r="A1316" s="22" t="n"/>
      <c r="B1316" s="27" t="n"/>
      <c r="C1316" s="17" t="n"/>
      <c r="D1316" s="17" t="n"/>
      <c r="E1316" s="17" t="n"/>
      <c r="F1316" s="28" t="n"/>
      <c r="G1316" s="29" t="n"/>
      <c r="H1316" s="29" t="n"/>
      <c r="I1316" s="29" t="n"/>
      <c r="J1316" s="29" t="n"/>
      <c r="K1316" s="30">
        <f>IF(B1316="","",SUM(G$2:I1316)-SUM(J$2:J1316))</f>
        <v/>
      </c>
      <c r="L1316" s="22">
        <f>IF(B1316="","",IF(B1316=B1315,L1315,N(L1315)+1))</f>
        <v/>
      </c>
    </row>
    <row r="1317">
      <c r="A1317" s="22" t="n"/>
      <c r="B1317" s="27" t="n"/>
      <c r="C1317" s="17" t="n"/>
      <c r="D1317" s="17" t="n"/>
      <c r="E1317" s="17" t="n"/>
      <c r="F1317" s="28" t="n"/>
      <c r="G1317" s="29" t="n"/>
      <c r="H1317" s="29" t="n"/>
      <c r="I1317" s="29" t="n"/>
      <c r="J1317" s="29" t="n"/>
      <c r="K1317" s="30">
        <f>IF(B1317="","",SUM(G$2:I1317)-SUM(J$2:J1317))</f>
        <v/>
      </c>
      <c r="L1317" s="22">
        <f>IF(B1317="","",IF(B1317=B1316,L1316,N(L1316)+1))</f>
        <v/>
      </c>
    </row>
    <row r="1318">
      <c r="A1318" s="22" t="n"/>
      <c r="B1318" s="27" t="n"/>
      <c r="C1318" s="17" t="n"/>
      <c r="D1318" s="17" t="n"/>
      <c r="E1318" s="17" t="n"/>
      <c r="F1318" s="28" t="n"/>
      <c r="G1318" s="29" t="n"/>
      <c r="H1318" s="29" t="n"/>
      <c r="I1318" s="29" t="n"/>
      <c r="J1318" s="29" t="n"/>
      <c r="K1318" s="30">
        <f>IF(B1318="","",SUM(G$2:I1318)-SUM(J$2:J1318))</f>
        <v/>
      </c>
      <c r="L1318" s="22">
        <f>IF(B1318="","",IF(B1318=B1317,L1317,N(L1317)+1))</f>
        <v/>
      </c>
    </row>
    <row r="1319">
      <c r="A1319" s="22" t="n"/>
      <c r="B1319" s="27" t="n"/>
      <c r="C1319" s="17" t="n"/>
      <c r="D1319" s="17" t="n"/>
      <c r="E1319" s="17" t="n"/>
      <c r="F1319" s="28" t="n"/>
      <c r="G1319" s="29" t="n"/>
      <c r="H1319" s="29" t="n"/>
      <c r="I1319" s="29" t="n"/>
      <c r="J1319" s="29" t="n"/>
      <c r="K1319" s="30">
        <f>IF(B1319="","",SUM(G$2:I1319)-SUM(J$2:J1319))</f>
        <v/>
      </c>
      <c r="L1319" s="22">
        <f>IF(B1319="","",IF(B1319=B1318,L1318,N(L1318)+1))</f>
        <v/>
      </c>
    </row>
    <row r="1320">
      <c r="A1320" s="22" t="n"/>
      <c r="B1320" s="27" t="n"/>
      <c r="C1320" s="17" t="n"/>
      <c r="D1320" s="17" t="n"/>
      <c r="E1320" s="17" t="n"/>
      <c r="F1320" s="28" t="n"/>
      <c r="G1320" s="29" t="n"/>
      <c r="H1320" s="29" t="n"/>
      <c r="I1320" s="29" t="n"/>
      <c r="J1320" s="29" t="n"/>
      <c r="K1320" s="30">
        <f>IF(B1320="","",SUM(G$2:I1320)-SUM(J$2:J1320))</f>
        <v/>
      </c>
      <c r="L1320" s="22">
        <f>IF(B1320="","",IF(B1320=B1319,L1319,N(L1319)+1))</f>
        <v/>
      </c>
    </row>
    <row r="1321">
      <c r="A1321" s="22" t="n"/>
      <c r="B1321" s="27" t="n"/>
      <c r="C1321" s="17" t="n"/>
      <c r="D1321" s="17" t="n"/>
      <c r="E1321" s="17" t="n"/>
      <c r="F1321" s="28" t="n"/>
      <c r="G1321" s="29" t="n"/>
      <c r="H1321" s="29" t="n"/>
      <c r="I1321" s="29" t="n"/>
      <c r="J1321" s="29" t="n"/>
      <c r="K1321" s="30">
        <f>IF(B1321="","",SUM(G$2:I1321)-SUM(J$2:J1321))</f>
        <v/>
      </c>
      <c r="L1321" s="22">
        <f>IF(B1321="","",IF(B1321=B1320,L1320,N(L1320)+1))</f>
        <v/>
      </c>
    </row>
    <row r="1322">
      <c r="A1322" s="22" t="n"/>
      <c r="B1322" s="27" t="n"/>
      <c r="C1322" s="17" t="n"/>
      <c r="D1322" s="17" t="n"/>
      <c r="E1322" s="17" t="n"/>
      <c r="F1322" s="28" t="n"/>
      <c r="G1322" s="29" t="n"/>
      <c r="H1322" s="29" t="n"/>
      <c r="I1322" s="29" t="n"/>
      <c r="J1322" s="29" t="n"/>
      <c r="K1322" s="30">
        <f>IF(B1322="","",SUM(G$2:I1322)-SUM(J$2:J1322))</f>
        <v/>
      </c>
      <c r="L1322" s="22">
        <f>IF(B1322="","",IF(B1322=B1321,L1321,N(L1321)+1))</f>
        <v/>
      </c>
    </row>
    <row r="1323">
      <c r="A1323" s="22" t="n"/>
      <c r="B1323" s="27" t="n"/>
      <c r="C1323" s="17" t="n"/>
      <c r="D1323" s="17" t="n"/>
      <c r="E1323" s="17" t="n"/>
      <c r="F1323" s="28" t="n"/>
      <c r="G1323" s="29" t="n"/>
      <c r="H1323" s="29" t="n"/>
      <c r="I1323" s="29" t="n"/>
      <c r="J1323" s="29" t="n"/>
      <c r="K1323" s="30">
        <f>IF(B1323="","",SUM(G$2:I1323)-SUM(J$2:J1323))</f>
        <v/>
      </c>
      <c r="L1323" s="22">
        <f>IF(B1323="","",IF(B1323=B1322,L1322,N(L1322)+1))</f>
        <v/>
      </c>
    </row>
    <row r="1324">
      <c r="A1324" s="22" t="n"/>
      <c r="B1324" s="27" t="n"/>
      <c r="C1324" s="17" t="n"/>
      <c r="D1324" s="17" t="n"/>
      <c r="E1324" s="17" t="n"/>
      <c r="F1324" s="28" t="n"/>
      <c r="G1324" s="29" t="n"/>
      <c r="H1324" s="29" t="n"/>
      <c r="I1324" s="29" t="n"/>
      <c r="J1324" s="29" t="n"/>
      <c r="K1324" s="30">
        <f>IF(B1324="","",SUM(G$2:I1324)-SUM(J$2:J1324))</f>
        <v/>
      </c>
      <c r="L1324" s="22">
        <f>IF(B1324="","",IF(B1324=B1323,L1323,N(L1323)+1))</f>
        <v/>
      </c>
    </row>
    <row r="1325">
      <c r="A1325" s="22" t="n"/>
      <c r="B1325" s="27" t="n"/>
      <c r="C1325" s="17" t="n"/>
      <c r="D1325" s="17" t="n"/>
      <c r="E1325" s="17" t="n"/>
      <c r="F1325" s="28" t="n"/>
      <c r="G1325" s="29" t="n"/>
      <c r="H1325" s="29" t="n"/>
      <c r="I1325" s="29" t="n"/>
      <c r="J1325" s="29" t="n"/>
      <c r="K1325" s="30">
        <f>IF(B1325="","",SUM(G$2:I1325)-SUM(J$2:J1325))</f>
        <v/>
      </c>
      <c r="L1325" s="22">
        <f>IF(B1325="","",IF(B1325=B1324,L1324,N(L1324)+1))</f>
        <v/>
      </c>
    </row>
    <row r="1326">
      <c r="A1326" s="22" t="n"/>
      <c r="B1326" s="27" t="n"/>
      <c r="C1326" s="17" t="n"/>
      <c r="D1326" s="17" t="n"/>
      <c r="E1326" s="17" t="n"/>
      <c r="F1326" s="28" t="n"/>
      <c r="G1326" s="29" t="n"/>
      <c r="H1326" s="29" t="n"/>
      <c r="I1326" s="29" t="n"/>
      <c r="J1326" s="29" t="n"/>
      <c r="K1326" s="30">
        <f>IF(B1326="","",SUM(G$2:I1326)-SUM(J$2:J1326))</f>
        <v/>
      </c>
      <c r="L1326" s="22">
        <f>IF(B1326="","",IF(B1326=B1325,L1325,N(L1325)+1))</f>
        <v/>
      </c>
    </row>
    <row r="1327">
      <c r="A1327" s="22" t="n"/>
      <c r="B1327" s="27" t="n"/>
      <c r="C1327" s="17" t="n"/>
      <c r="D1327" s="17" t="n"/>
      <c r="E1327" s="17" t="n"/>
      <c r="F1327" s="28" t="n"/>
      <c r="G1327" s="29" t="n"/>
      <c r="H1327" s="29" t="n"/>
      <c r="I1327" s="29" t="n"/>
      <c r="J1327" s="29" t="n"/>
      <c r="K1327" s="30">
        <f>IF(B1327="","",SUM(G$2:I1327)-SUM(J$2:J1327))</f>
        <v/>
      </c>
      <c r="L1327" s="22">
        <f>IF(B1327="","",IF(B1327=B1326,L1326,N(L1326)+1))</f>
        <v/>
      </c>
    </row>
    <row r="1328">
      <c r="A1328" s="22" t="n"/>
      <c r="B1328" s="27" t="n"/>
      <c r="C1328" s="17" t="n"/>
      <c r="D1328" s="17" t="n"/>
      <c r="E1328" s="17" t="n"/>
      <c r="F1328" s="28" t="n"/>
      <c r="G1328" s="29" t="n"/>
      <c r="H1328" s="29" t="n"/>
      <c r="I1328" s="29" t="n"/>
      <c r="J1328" s="29" t="n"/>
      <c r="K1328" s="30">
        <f>IF(B1328="","",SUM(G$2:I1328)-SUM(J$2:J1328))</f>
        <v/>
      </c>
      <c r="L1328" s="22">
        <f>IF(B1328="","",IF(B1328=B1327,L1327,N(L1327)+1))</f>
        <v/>
      </c>
    </row>
    <row r="1329">
      <c r="A1329" s="22" t="n"/>
      <c r="B1329" s="27" t="n"/>
      <c r="C1329" s="17" t="n"/>
      <c r="D1329" s="17" t="n"/>
      <c r="E1329" s="17" t="n"/>
      <c r="F1329" s="28" t="n"/>
      <c r="G1329" s="29" t="n"/>
      <c r="H1329" s="29" t="n"/>
      <c r="I1329" s="29" t="n"/>
      <c r="J1329" s="29" t="n"/>
      <c r="K1329" s="30">
        <f>IF(B1329="","",SUM(G$2:I1329)-SUM(J$2:J1329))</f>
        <v/>
      </c>
      <c r="L1329" s="22">
        <f>IF(B1329="","",IF(B1329=B1328,L1328,N(L1328)+1))</f>
        <v/>
      </c>
    </row>
    <row r="1330">
      <c r="A1330" s="22" t="n"/>
      <c r="B1330" s="27" t="n"/>
      <c r="C1330" s="17" t="n"/>
      <c r="D1330" s="17" t="n"/>
      <c r="E1330" s="17" t="n"/>
      <c r="F1330" s="28" t="n"/>
      <c r="G1330" s="29" t="n"/>
      <c r="H1330" s="29" t="n"/>
      <c r="I1330" s="29" t="n"/>
      <c r="J1330" s="29" t="n"/>
      <c r="K1330" s="30">
        <f>IF(B1330="","",SUM(G$2:I1330)-SUM(J$2:J1330))</f>
        <v/>
      </c>
      <c r="L1330" s="22">
        <f>IF(B1330="","",IF(B1330=B1329,L1329,N(L1329)+1))</f>
        <v/>
      </c>
    </row>
    <row r="1331">
      <c r="A1331" s="22" t="n"/>
      <c r="B1331" s="27" t="n"/>
      <c r="C1331" s="17" t="n"/>
      <c r="D1331" s="17" t="n"/>
      <c r="E1331" s="17" t="n"/>
      <c r="F1331" s="28" t="n"/>
      <c r="G1331" s="29" t="n"/>
      <c r="H1331" s="29" t="n"/>
      <c r="I1331" s="29" t="n"/>
      <c r="J1331" s="29" t="n"/>
      <c r="K1331" s="30">
        <f>IF(B1331="","",SUM(G$2:I1331)-SUM(J$2:J1331))</f>
        <v/>
      </c>
      <c r="L1331" s="22">
        <f>IF(B1331="","",IF(B1331=B1330,L1330,N(L1330)+1))</f>
        <v/>
      </c>
    </row>
    <row r="1332">
      <c r="A1332" s="22" t="n"/>
      <c r="B1332" s="27" t="n"/>
      <c r="C1332" s="17" t="n"/>
      <c r="D1332" s="17" t="n"/>
      <c r="E1332" s="17" t="n"/>
      <c r="F1332" s="28" t="n"/>
      <c r="G1332" s="29" t="n"/>
      <c r="H1332" s="29" t="n"/>
      <c r="I1332" s="29" t="n"/>
      <c r="J1332" s="29" t="n"/>
      <c r="K1332" s="30">
        <f>IF(B1332="","",SUM(G$2:I1332)-SUM(J$2:J1332))</f>
        <v/>
      </c>
      <c r="L1332" s="22">
        <f>IF(B1332="","",IF(B1332=B1331,L1331,N(L1331)+1))</f>
        <v/>
      </c>
    </row>
    <row r="1333">
      <c r="A1333" s="22" t="n"/>
      <c r="B1333" s="27" t="n"/>
      <c r="C1333" s="17" t="n"/>
      <c r="D1333" s="17" t="n"/>
      <c r="E1333" s="17" t="n"/>
      <c r="F1333" s="28" t="n"/>
      <c r="G1333" s="29" t="n"/>
      <c r="H1333" s="29" t="n"/>
      <c r="I1333" s="29" t="n"/>
      <c r="J1333" s="29" t="n"/>
      <c r="K1333" s="30">
        <f>IF(B1333="","",SUM(G$2:I1333)-SUM(J$2:J1333))</f>
        <v/>
      </c>
      <c r="L1333" s="22">
        <f>IF(B1333="","",IF(B1333=B1332,L1332,N(L1332)+1))</f>
        <v/>
      </c>
    </row>
    <row r="1334">
      <c r="A1334" s="22" t="n"/>
      <c r="B1334" s="27" t="n"/>
      <c r="C1334" s="17" t="n"/>
      <c r="D1334" s="17" t="n"/>
      <c r="E1334" s="17" t="n"/>
      <c r="F1334" s="28" t="n"/>
      <c r="G1334" s="29" t="n"/>
      <c r="H1334" s="29" t="n"/>
      <c r="I1334" s="29" t="n"/>
      <c r="J1334" s="29" t="n"/>
      <c r="K1334" s="30">
        <f>IF(B1334="","",SUM(G$2:I1334)-SUM(J$2:J1334))</f>
        <v/>
      </c>
      <c r="L1334" s="22">
        <f>IF(B1334="","",IF(B1334=B1333,L1333,N(L1333)+1))</f>
        <v/>
      </c>
    </row>
    <row r="1335">
      <c r="A1335" s="22" t="n"/>
      <c r="B1335" s="27" t="n"/>
      <c r="C1335" s="17" t="n"/>
      <c r="D1335" s="17" t="n"/>
      <c r="E1335" s="17" t="n"/>
      <c r="F1335" s="28" t="n"/>
      <c r="G1335" s="29" t="n"/>
      <c r="H1335" s="29" t="n"/>
      <c r="I1335" s="29" t="n"/>
      <c r="J1335" s="29" t="n"/>
      <c r="K1335" s="30">
        <f>IF(B1335="","",SUM(G$2:I1335)-SUM(J$2:J1335))</f>
        <v/>
      </c>
      <c r="L1335" s="22">
        <f>IF(B1335="","",IF(B1335=B1334,L1334,N(L1334)+1))</f>
        <v/>
      </c>
    </row>
    <row r="1336">
      <c r="A1336" s="22" t="n"/>
      <c r="B1336" s="27" t="n"/>
      <c r="C1336" s="17" t="n"/>
      <c r="D1336" s="17" t="n"/>
      <c r="E1336" s="17" t="n"/>
      <c r="F1336" s="28" t="n"/>
      <c r="G1336" s="29" t="n"/>
      <c r="H1336" s="29" t="n"/>
      <c r="I1336" s="29" t="n"/>
      <c r="J1336" s="29" t="n"/>
      <c r="K1336" s="30">
        <f>IF(B1336="","",SUM(G$2:I1336)-SUM(J$2:J1336))</f>
        <v/>
      </c>
      <c r="L1336" s="22">
        <f>IF(B1336="","",IF(B1336=B1335,L1335,N(L1335)+1))</f>
        <v/>
      </c>
    </row>
    <row r="1337">
      <c r="A1337" s="22" t="n"/>
      <c r="B1337" s="27" t="n"/>
      <c r="C1337" s="17" t="n"/>
      <c r="D1337" s="17" t="n"/>
      <c r="E1337" s="17" t="n"/>
      <c r="F1337" s="28" t="n"/>
      <c r="G1337" s="29" t="n"/>
      <c r="H1337" s="29" t="n"/>
      <c r="I1337" s="29" t="n"/>
      <c r="J1337" s="29" t="n"/>
      <c r="K1337" s="30">
        <f>IF(B1337="","",SUM(G$2:I1337)-SUM(J$2:J1337))</f>
        <v/>
      </c>
      <c r="L1337" s="22">
        <f>IF(B1337="","",IF(B1337=B1336,L1336,N(L1336)+1))</f>
        <v/>
      </c>
    </row>
    <row r="1338">
      <c r="A1338" s="22" t="n"/>
      <c r="B1338" s="27" t="n"/>
      <c r="C1338" s="17" t="n"/>
      <c r="D1338" s="17" t="n"/>
      <c r="E1338" s="17" t="n"/>
      <c r="F1338" s="28" t="n"/>
      <c r="G1338" s="29" t="n"/>
      <c r="H1338" s="29" t="n"/>
      <c r="I1338" s="29" t="n"/>
      <c r="J1338" s="29" t="n"/>
      <c r="K1338" s="30">
        <f>IF(B1338="","",SUM(G$2:I1338)-SUM(J$2:J1338))</f>
        <v/>
      </c>
      <c r="L1338" s="22">
        <f>IF(B1338="","",IF(B1338=B1337,L1337,N(L1337)+1))</f>
        <v/>
      </c>
    </row>
    <row r="1339">
      <c r="A1339" s="22" t="n"/>
      <c r="B1339" s="27" t="n"/>
      <c r="C1339" s="17" t="n"/>
      <c r="D1339" s="17" t="n"/>
      <c r="E1339" s="17" t="n"/>
      <c r="F1339" s="28" t="n"/>
      <c r="G1339" s="29" t="n"/>
      <c r="H1339" s="29" t="n"/>
      <c r="I1339" s="29" t="n"/>
      <c r="J1339" s="29" t="n"/>
      <c r="K1339" s="30">
        <f>IF(B1339="","",SUM(G$2:I1339)-SUM(J$2:J1339))</f>
        <v/>
      </c>
      <c r="L1339" s="22">
        <f>IF(B1339="","",IF(B1339=B1338,L1338,N(L1338)+1))</f>
        <v/>
      </c>
    </row>
    <row r="1340">
      <c r="A1340" s="22" t="n"/>
      <c r="B1340" s="27" t="n"/>
      <c r="C1340" s="17" t="n"/>
      <c r="D1340" s="17" t="n"/>
      <c r="E1340" s="17" t="n"/>
      <c r="F1340" s="28" t="n"/>
      <c r="G1340" s="29" t="n"/>
      <c r="H1340" s="29" t="n"/>
      <c r="I1340" s="29" t="n"/>
      <c r="J1340" s="29" t="n"/>
      <c r="K1340" s="30">
        <f>IF(B1340="","",SUM(G$2:I1340)-SUM(J$2:J1340))</f>
        <v/>
      </c>
      <c r="L1340" s="22">
        <f>IF(B1340="","",IF(B1340=B1339,L1339,N(L1339)+1))</f>
        <v/>
      </c>
    </row>
    <row r="1341">
      <c r="A1341" s="22" t="n"/>
      <c r="B1341" s="27" t="n"/>
      <c r="C1341" s="17" t="n"/>
      <c r="D1341" s="17" t="n"/>
      <c r="E1341" s="17" t="n"/>
      <c r="F1341" s="28" t="n"/>
      <c r="G1341" s="29" t="n"/>
      <c r="H1341" s="29" t="n"/>
      <c r="I1341" s="29" t="n"/>
      <c r="J1341" s="29" t="n"/>
      <c r="K1341" s="30">
        <f>IF(B1341="","",SUM(G$2:I1341)-SUM(J$2:J1341))</f>
        <v/>
      </c>
      <c r="L1341" s="22">
        <f>IF(B1341="","",IF(B1341=B1340,L1340,N(L1340)+1))</f>
        <v/>
      </c>
    </row>
    <row r="1342">
      <c r="A1342" s="22" t="n"/>
      <c r="B1342" s="27" t="n"/>
      <c r="C1342" s="17" t="n"/>
      <c r="D1342" s="17" t="n"/>
      <c r="E1342" s="17" t="n"/>
      <c r="F1342" s="28" t="n"/>
      <c r="G1342" s="29" t="n"/>
      <c r="H1342" s="29" t="n"/>
      <c r="I1342" s="29" t="n"/>
      <c r="J1342" s="29" t="n"/>
      <c r="K1342" s="30">
        <f>IF(B1342="","",SUM(G$2:I1342)-SUM(J$2:J1342))</f>
        <v/>
      </c>
      <c r="L1342" s="22">
        <f>IF(B1342="","",IF(B1342=B1341,L1341,N(L1341)+1))</f>
        <v/>
      </c>
    </row>
    <row r="1343">
      <c r="A1343" s="22" t="n"/>
      <c r="B1343" s="27" t="n"/>
      <c r="C1343" s="17" t="n"/>
      <c r="D1343" s="17" t="n"/>
      <c r="E1343" s="17" t="n"/>
      <c r="F1343" s="28" t="n"/>
      <c r="G1343" s="29" t="n"/>
      <c r="H1343" s="29" t="n"/>
      <c r="I1343" s="29" t="n"/>
      <c r="J1343" s="29" t="n"/>
      <c r="K1343" s="30">
        <f>IF(B1343="","",SUM(G$2:I1343)-SUM(J$2:J1343))</f>
        <v/>
      </c>
      <c r="L1343" s="22">
        <f>IF(B1343="","",IF(B1343=B1342,L1342,N(L1342)+1))</f>
        <v/>
      </c>
    </row>
    <row r="1344">
      <c r="A1344" s="22" t="n"/>
      <c r="B1344" s="27" t="n"/>
      <c r="C1344" s="17" t="n"/>
      <c r="D1344" s="17" t="n"/>
      <c r="E1344" s="17" t="n"/>
      <c r="F1344" s="28" t="n"/>
      <c r="G1344" s="29" t="n"/>
      <c r="H1344" s="29" t="n"/>
      <c r="I1344" s="29" t="n"/>
      <c r="J1344" s="29" t="n"/>
      <c r="K1344" s="30">
        <f>IF(B1344="","",SUM(G$2:I1344)-SUM(J$2:J1344))</f>
        <v/>
      </c>
      <c r="L1344" s="22">
        <f>IF(B1344="","",IF(B1344=B1343,L1343,N(L1343)+1))</f>
        <v/>
      </c>
    </row>
    <row r="1345">
      <c r="A1345" s="22" t="n"/>
      <c r="B1345" s="27" t="n"/>
      <c r="C1345" s="17" t="n"/>
      <c r="D1345" s="17" t="n"/>
      <c r="E1345" s="17" t="n"/>
      <c r="F1345" s="28" t="n"/>
      <c r="G1345" s="29" t="n"/>
      <c r="H1345" s="29" t="n"/>
      <c r="I1345" s="29" t="n"/>
      <c r="J1345" s="29" t="n"/>
      <c r="K1345" s="30">
        <f>IF(B1345="","",SUM(G$2:I1345)-SUM(J$2:J1345))</f>
        <v/>
      </c>
      <c r="L1345" s="22">
        <f>IF(B1345="","",IF(B1345=B1344,L1344,N(L1344)+1))</f>
        <v/>
      </c>
    </row>
    <row r="1346">
      <c r="A1346" s="22" t="n"/>
      <c r="B1346" s="27" t="n"/>
      <c r="C1346" s="17" t="n"/>
      <c r="D1346" s="17" t="n"/>
      <c r="E1346" s="17" t="n"/>
      <c r="F1346" s="28" t="n"/>
      <c r="G1346" s="29" t="n"/>
      <c r="H1346" s="29" t="n"/>
      <c r="I1346" s="29" t="n"/>
      <c r="J1346" s="29" t="n"/>
      <c r="K1346" s="30">
        <f>IF(B1346="","",SUM(G$2:I1346)-SUM(J$2:J1346))</f>
        <v/>
      </c>
      <c r="L1346" s="22">
        <f>IF(B1346="","",IF(B1346=B1345,L1345,N(L1345)+1))</f>
        <v/>
      </c>
    </row>
    <row r="1347">
      <c r="A1347" s="22" t="n"/>
      <c r="B1347" s="27" t="n"/>
      <c r="C1347" s="17" t="n"/>
      <c r="D1347" s="17" t="n"/>
      <c r="E1347" s="17" t="n"/>
      <c r="F1347" s="28" t="n"/>
      <c r="G1347" s="29" t="n"/>
      <c r="H1347" s="29" t="n"/>
      <c r="I1347" s="29" t="n"/>
      <c r="J1347" s="29" t="n"/>
      <c r="K1347" s="30">
        <f>IF(B1347="","",SUM(G$2:I1347)-SUM(J$2:J1347))</f>
        <v/>
      </c>
      <c r="L1347" s="22">
        <f>IF(B1347="","",IF(B1347=B1346,L1346,N(L1346)+1))</f>
        <v/>
      </c>
    </row>
    <row r="1348">
      <c r="A1348" s="22" t="n"/>
      <c r="B1348" s="27" t="n"/>
      <c r="C1348" s="17" t="n"/>
      <c r="D1348" s="17" t="n"/>
      <c r="E1348" s="17" t="n"/>
      <c r="F1348" s="28" t="n"/>
      <c r="G1348" s="29" t="n"/>
      <c r="H1348" s="29" t="n"/>
      <c r="I1348" s="29" t="n"/>
      <c r="J1348" s="29" t="n"/>
      <c r="K1348" s="30">
        <f>IF(B1348="","",SUM(G$2:I1348)-SUM(J$2:J1348))</f>
        <v/>
      </c>
      <c r="L1348" s="22">
        <f>IF(B1348="","",IF(B1348=B1347,L1347,N(L1347)+1))</f>
        <v/>
      </c>
    </row>
    <row r="1349">
      <c r="A1349" s="22" t="n"/>
      <c r="B1349" s="27" t="n"/>
      <c r="C1349" s="17" t="n"/>
      <c r="D1349" s="17" t="n"/>
      <c r="E1349" s="17" t="n"/>
      <c r="F1349" s="28" t="n"/>
      <c r="G1349" s="29" t="n"/>
      <c r="H1349" s="29" t="n"/>
      <c r="I1349" s="29" t="n"/>
      <c r="J1349" s="29" t="n"/>
      <c r="K1349" s="30">
        <f>IF(B1349="","",SUM(G$2:I1349)-SUM(J$2:J1349))</f>
        <v/>
      </c>
      <c r="L1349" s="22">
        <f>IF(B1349="","",IF(B1349=B1348,L1348,N(L1348)+1))</f>
        <v/>
      </c>
    </row>
    <row r="1350">
      <c r="A1350" s="22" t="n"/>
      <c r="B1350" s="27" t="n"/>
      <c r="C1350" s="17" t="n"/>
      <c r="D1350" s="17" t="n"/>
      <c r="E1350" s="17" t="n"/>
      <c r="F1350" s="28" t="n"/>
      <c r="G1350" s="29" t="n"/>
      <c r="H1350" s="29" t="n"/>
      <c r="I1350" s="29" t="n"/>
      <c r="J1350" s="29" t="n"/>
      <c r="K1350" s="30">
        <f>IF(B1350="","",SUM(G$2:I1350)-SUM(J$2:J1350))</f>
        <v/>
      </c>
      <c r="L1350" s="22">
        <f>IF(B1350="","",IF(B1350=B1349,L1349,N(L1349)+1))</f>
        <v/>
      </c>
    </row>
    <row r="1351">
      <c r="A1351" s="22" t="n"/>
      <c r="B1351" s="27" t="n"/>
      <c r="C1351" s="17" t="n"/>
      <c r="D1351" s="17" t="n"/>
      <c r="E1351" s="17" t="n"/>
      <c r="F1351" s="28" t="n"/>
      <c r="G1351" s="29" t="n"/>
      <c r="H1351" s="29" t="n"/>
      <c r="I1351" s="29" t="n"/>
      <c r="J1351" s="29" t="n"/>
      <c r="K1351" s="30">
        <f>IF(B1351="","",SUM(G$2:I1351)-SUM(J$2:J1351))</f>
        <v/>
      </c>
      <c r="L1351" s="22">
        <f>IF(B1351="","",IF(B1351=B1350,L1350,N(L1350)+1))</f>
        <v/>
      </c>
    </row>
    <row r="1352">
      <c r="A1352" s="22" t="n"/>
      <c r="B1352" s="27" t="n"/>
      <c r="C1352" s="17" t="n"/>
      <c r="D1352" s="17" t="n"/>
      <c r="E1352" s="17" t="n"/>
      <c r="F1352" s="28" t="n"/>
      <c r="G1352" s="29" t="n"/>
      <c r="H1352" s="29" t="n"/>
      <c r="I1352" s="29" t="n"/>
      <c r="J1352" s="29" t="n"/>
      <c r="K1352" s="30">
        <f>IF(B1352="","",SUM(G$2:I1352)-SUM(J$2:J1352))</f>
        <v/>
      </c>
      <c r="L1352" s="22">
        <f>IF(B1352="","",IF(B1352=B1351,L1351,N(L1351)+1))</f>
        <v/>
      </c>
    </row>
    <row r="1353">
      <c r="A1353" s="22" t="n"/>
      <c r="B1353" s="27" t="n"/>
      <c r="C1353" s="17" t="n"/>
      <c r="D1353" s="17" t="n"/>
      <c r="E1353" s="17" t="n"/>
      <c r="F1353" s="28" t="n"/>
      <c r="G1353" s="29" t="n"/>
      <c r="H1353" s="29" t="n"/>
      <c r="I1353" s="29" t="n"/>
      <c r="J1353" s="29" t="n"/>
      <c r="K1353" s="30">
        <f>IF(B1353="","",SUM(G$2:I1353)-SUM(J$2:J1353))</f>
        <v/>
      </c>
      <c r="L1353" s="22">
        <f>IF(B1353="","",IF(B1353=B1352,L1352,N(L1352)+1))</f>
        <v/>
      </c>
    </row>
    <row r="1354">
      <c r="A1354" s="22" t="n"/>
      <c r="B1354" s="27" t="n"/>
      <c r="C1354" s="17" t="n"/>
      <c r="D1354" s="17" t="n"/>
      <c r="E1354" s="17" t="n"/>
      <c r="F1354" s="28" t="n"/>
      <c r="G1354" s="29" t="n"/>
      <c r="H1354" s="29" t="n"/>
      <c r="I1354" s="29" t="n"/>
      <c r="J1354" s="29" t="n"/>
      <c r="K1354" s="30">
        <f>IF(B1354="","",SUM(G$2:I1354)-SUM(J$2:J1354))</f>
        <v/>
      </c>
      <c r="L1354" s="22">
        <f>IF(B1354="","",IF(B1354=B1353,L1353,N(L1353)+1))</f>
        <v/>
      </c>
    </row>
    <row r="1355">
      <c r="A1355" s="22" t="n"/>
      <c r="B1355" s="27" t="n"/>
      <c r="C1355" s="17" t="n"/>
      <c r="D1355" s="17" t="n"/>
      <c r="E1355" s="17" t="n"/>
      <c r="F1355" s="28" t="n"/>
      <c r="G1355" s="29" t="n"/>
      <c r="H1355" s="29" t="n"/>
      <c r="I1355" s="29" t="n"/>
      <c r="J1355" s="29" t="n"/>
      <c r="K1355" s="30">
        <f>IF(B1355="","",SUM(G$2:I1355)-SUM(J$2:J1355))</f>
        <v/>
      </c>
      <c r="L1355" s="22">
        <f>IF(B1355="","",IF(B1355=B1354,L1354,N(L1354)+1))</f>
        <v/>
      </c>
    </row>
    <row r="1356">
      <c r="A1356" s="22" t="n"/>
      <c r="B1356" s="27" t="n"/>
      <c r="C1356" s="17" t="n"/>
      <c r="D1356" s="17" t="n"/>
      <c r="E1356" s="17" t="n"/>
      <c r="F1356" s="28" t="n"/>
      <c r="G1356" s="29" t="n"/>
      <c r="H1356" s="29" t="n"/>
      <c r="I1356" s="29" t="n"/>
      <c r="J1356" s="29" t="n"/>
      <c r="K1356" s="30">
        <f>IF(B1356="","",SUM(G$2:I1356)-SUM(J$2:J1356))</f>
        <v/>
      </c>
      <c r="L1356" s="22">
        <f>IF(B1356="","",IF(B1356=B1355,L1355,N(L1355)+1))</f>
        <v/>
      </c>
    </row>
    <row r="1357">
      <c r="A1357" s="22" t="n"/>
      <c r="B1357" s="27" t="n"/>
      <c r="C1357" s="17" t="n"/>
      <c r="D1357" s="17" t="n"/>
      <c r="E1357" s="17" t="n"/>
      <c r="F1357" s="28" t="n"/>
      <c r="G1357" s="29" t="n"/>
      <c r="H1357" s="29" t="n"/>
      <c r="I1357" s="29" t="n"/>
      <c r="J1357" s="29" t="n"/>
      <c r="K1357" s="30">
        <f>IF(B1357="","",SUM(G$2:I1357)-SUM(J$2:J1357))</f>
        <v/>
      </c>
      <c r="L1357" s="22">
        <f>IF(B1357="","",IF(B1357=B1356,L1356,N(L1356)+1))</f>
        <v/>
      </c>
    </row>
    <row r="1358">
      <c r="A1358" s="22" t="n"/>
      <c r="B1358" s="27" t="n"/>
      <c r="C1358" s="17" t="n"/>
      <c r="D1358" s="17" t="n"/>
      <c r="E1358" s="17" t="n"/>
      <c r="F1358" s="28" t="n"/>
      <c r="G1358" s="29" t="n"/>
      <c r="H1358" s="29" t="n"/>
      <c r="I1358" s="29" t="n"/>
      <c r="J1358" s="29" t="n"/>
      <c r="K1358" s="30">
        <f>IF(B1358="","",SUM(G$2:I1358)-SUM(J$2:J1358))</f>
        <v/>
      </c>
      <c r="L1358" s="22">
        <f>IF(B1358="","",IF(B1358=B1357,L1357,N(L1357)+1))</f>
        <v/>
      </c>
    </row>
    <row r="1359">
      <c r="A1359" s="22" t="n"/>
      <c r="B1359" s="27" t="n"/>
      <c r="C1359" s="17" t="n"/>
      <c r="D1359" s="17" t="n"/>
      <c r="E1359" s="17" t="n"/>
      <c r="F1359" s="28" t="n"/>
      <c r="G1359" s="29" t="n"/>
      <c r="H1359" s="29" t="n"/>
      <c r="I1359" s="29" t="n"/>
      <c r="J1359" s="29" t="n"/>
      <c r="K1359" s="30">
        <f>IF(B1359="","",SUM(G$2:I1359)-SUM(J$2:J1359))</f>
        <v/>
      </c>
      <c r="L1359" s="22">
        <f>IF(B1359="","",IF(B1359=B1358,L1358,N(L1358)+1))</f>
        <v/>
      </c>
    </row>
    <row r="1360">
      <c r="A1360" s="22" t="n"/>
      <c r="B1360" s="27" t="n"/>
      <c r="C1360" s="17" t="n"/>
      <c r="D1360" s="17" t="n"/>
      <c r="E1360" s="17" t="n"/>
      <c r="F1360" s="28" t="n"/>
      <c r="G1360" s="29" t="n"/>
      <c r="H1360" s="29" t="n"/>
      <c r="I1360" s="29" t="n"/>
      <c r="J1360" s="29" t="n"/>
      <c r="K1360" s="30">
        <f>IF(B1360="","",SUM(G$2:I1360)-SUM(J$2:J1360))</f>
        <v/>
      </c>
      <c r="L1360" s="22">
        <f>IF(B1360="","",IF(B1360=B1359,L1359,N(L1359)+1))</f>
        <v/>
      </c>
    </row>
    <row r="1361">
      <c r="A1361" s="22" t="n"/>
      <c r="B1361" s="27" t="n"/>
      <c r="C1361" s="17" t="n"/>
      <c r="D1361" s="17" t="n"/>
      <c r="E1361" s="17" t="n"/>
      <c r="F1361" s="28" t="n"/>
      <c r="G1361" s="29" t="n"/>
      <c r="H1361" s="29" t="n"/>
      <c r="I1361" s="29" t="n"/>
      <c r="J1361" s="29" t="n"/>
      <c r="K1361" s="30">
        <f>IF(B1361="","",SUM(G$2:I1361)-SUM(J$2:J1361))</f>
        <v/>
      </c>
      <c r="L1361" s="22">
        <f>IF(B1361="","",IF(B1361=B1360,L1360,N(L1360)+1))</f>
        <v/>
      </c>
    </row>
    <row r="1362">
      <c r="A1362" s="22" t="n"/>
      <c r="B1362" s="27" t="n"/>
      <c r="C1362" s="17" t="n"/>
      <c r="D1362" s="17" t="n"/>
      <c r="E1362" s="17" t="n"/>
      <c r="F1362" s="28" t="n"/>
      <c r="G1362" s="29" t="n"/>
      <c r="H1362" s="29" t="n"/>
      <c r="I1362" s="29" t="n"/>
      <c r="J1362" s="29" t="n"/>
      <c r="K1362" s="30">
        <f>IF(B1362="","",SUM(G$2:I1362)-SUM(J$2:J1362))</f>
        <v/>
      </c>
      <c r="L1362" s="22">
        <f>IF(B1362="","",IF(B1362=B1361,L1361,N(L1361)+1))</f>
        <v/>
      </c>
    </row>
    <row r="1363">
      <c r="A1363" s="22" t="n"/>
      <c r="B1363" s="27" t="n"/>
      <c r="C1363" s="17" t="n"/>
      <c r="D1363" s="17" t="n"/>
      <c r="E1363" s="17" t="n"/>
      <c r="F1363" s="28" t="n"/>
      <c r="G1363" s="29" t="n"/>
      <c r="H1363" s="29" t="n"/>
      <c r="I1363" s="29" t="n"/>
      <c r="J1363" s="29" t="n"/>
      <c r="K1363" s="30">
        <f>IF(B1363="","",SUM(G$2:I1363)-SUM(J$2:J1363))</f>
        <v/>
      </c>
      <c r="L1363" s="22">
        <f>IF(B1363="","",IF(B1363=B1362,L1362,N(L1362)+1))</f>
        <v/>
      </c>
    </row>
    <row r="1364">
      <c r="A1364" s="22" t="n"/>
      <c r="B1364" s="27" t="n"/>
      <c r="C1364" s="17" t="n"/>
      <c r="D1364" s="17" t="n"/>
      <c r="E1364" s="17" t="n"/>
      <c r="F1364" s="28" t="n"/>
      <c r="G1364" s="29" t="n"/>
      <c r="H1364" s="29" t="n"/>
      <c r="I1364" s="29" t="n"/>
      <c r="J1364" s="29" t="n"/>
      <c r="K1364" s="30">
        <f>IF(B1364="","",SUM(G$2:I1364)-SUM(J$2:J1364))</f>
        <v/>
      </c>
      <c r="L1364" s="22">
        <f>IF(B1364="","",IF(B1364=B1363,L1363,N(L1363)+1))</f>
        <v/>
      </c>
    </row>
    <row r="1365">
      <c r="A1365" s="22" t="n"/>
      <c r="B1365" s="27" t="n"/>
      <c r="C1365" s="17" t="n"/>
      <c r="D1365" s="17" t="n"/>
      <c r="E1365" s="17" t="n"/>
      <c r="F1365" s="28" t="n"/>
      <c r="G1365" s="29" t="n"/>
      <c r="H1365" s="29" t="n"/>
      <c r="I1365" s="29" t="n"/>
      <c r="J1365" s="29" t="n"/>
      <c r="K1365" s="30">
        <f>IF(B1365="","",SUM(G$2:I1365)-SUM(J$2:J1365))</f>
        <v/>
      </c>
      <c r="L1365" s="22">
        <f>IF(B1365="","",IF(B1365=B1364,L1364,N(L1364)+1))</f>
        <v/>
      </c>
    </row>
    <row r="1366">
      <c r="A1366" s="22" t="n"/>
      <c r="B1366" s="27" t="n"/>
      <c r="C1366" s="17" t="n"/>
      <c r="D1366" s="17" t="n"/>
      <c r="E1366" s="17" t="n"/>
      <c r="F1366" s="28" t="n"/>
      <c r="G1366" s="29" t="n"/>
      <c r="H1366" s="29" t="n"/>
      <c r="I1366" s="29" t="n"/>
      <c r="J1366" s="29" t="n"/>
      <c r="K1366" s="30">
        <f>IF(B1366="","",SUM(G$2:I1366)-SUM(J$2:J1366))</f>
        <v/>
      </c>
      <c r="L1366" s="22">
        <f>IF(B1366="","",IF(B1366=B1365,L1365,N(L1365)+1))</f>
        <v/>
      </c>
    </row>
    <row r="1367">
      <c r="A1367" s="22" t="n"/>
      <c r="B1367" s="27" t="n"/>
      <c r="C1367" s="17" t="n"/>
      <c r="D1367" s="17" t="n"/>
      <c r="E1367" s="17" t="n"/>
      <c r="F1367" s="28" t="n"/>
      <c r="G1367" s="29" t="n"/>
      <c r="H1367" s="29" t="n"/>
      <c r="I1367" s="29" t="n"/>
      <c r="J1367" s="29" t="n"/>
      <c r="K1367" s="30">
        <f>IF(B1367="","",SUM(G$2:I1367)-SUM(J$2:J1367))</f>
        <v/>
      </c>
      <c r="L1367" s="22">
        <f>IF(B1367="","",IF(B1367=B1366,L1366,N(L1366)+1))</f>
        <v/>
      </c>
    </row>
    <row r="1368">
      <c r="A1368" s="22" t="n"/>
      <c r="B1368" s="27" t="n"/>
      <c r="C1368" s="17" t="n"/>
      <c r="D1368" s="17" t="n"/>
      <c r="E1368" s="17" t="n"/>
      <c r="F1368" s="28" t="n"/>
      <c r="G1368" s="29" t="n"/>
      <c r="H1368" s="29" t="n"/>
      <c r="I1368" s="29" t="n"/>
      <c r="J1368" s="29" t="n"/>
      <c r="K1368" s="30">
        <f>IF(B1368="","",SUM(G$2:I1368)-SUM(J$2:J1368))</f>
        <v/>
      </c>
      <c r="L1368" s="22">
        <f>IF(B1368="","",IF(B1368=B1367,L1367,N(L1367)+1))</f>
        <v/>
      </c>
    </row>
    <row r="1369">
      <c r="A1369" s="22" t="n"/>
      <c r="B1369" s="27" t="n"/>
      <c r="C1369" s="17" t="n"/>
      <c r="D1369" s="17" t="n"/>
      <c r="E1369" s="17" t="n"/>
      <c r="F1369" s="28" t="n"/>
      <c r="G1369" s="29" t="n"/>
      <c r="H1369" s="29" t="n"/>
      <c r="I1369" s="29" t="n"/>
      <c r="J1369" s="29" t="n"/>
      <c r="K1369" s="30">
        <f>IF(B1369="","",SUM(G$2:I1369)-SUM(J$2:J1369))</f>
        <v/>
      </c>
      <c r="L1369" s="22">
        <f>IF(B1369="","",IF(B1369=B1368,L1368,N(L1368)+1))</f>
        <v/>
      </c>
    </row>
    <row r="1370">
      <c r="A1370" s="22" t="n"/>
      <c r="B1370" s="27" t="n"/>
      <c r="C1370" s="17" t="n"/>
      <c r="D1370" s="17" t="n"/>
      <c r="E1370" s="17" t="n"/>
      <c r="F1370" s="28" t="n"/>
      <c r="G1370" s="29" t="n"/>
      <c r="H1370" s="29" t="n"/>
      <c r="I1370" s="29" t="n"/>
      <c r="J1370" s="29" t="n"/>
      <c r="K1370" s="30">
        <f>IF(B1370="","",SUM(G$2:I1370)-SUM(J$2:J1370))</f>
        <v/>
      </c>
      <c r="L1370" s="22">
        <f>IF(B1370="","",IF(B1370=B1369,L1369,N(L1369)+1))</f>
        <v/>
      </c>
    </row>
    <row r="1371">
      <c r="A1371" s="22" t="n"/>
      <c r="B1371" s="27" t="n"/>
      <c r="C1371" s="17" t="n"/>
      <c r="D1371" s="17" t="n"/>
      <c r="E1371" s="17" t="n"/>
      <c r="F1371" s="28" t="n"/>
      <c r="G1371" s="29" t="n"/>
      <c r="H1371" s="29" t="n"/>
      <c r="I1371" s="29" t="n"/>
      <c r="J1371" s="29" t="n"/>
      <c r="K1371" s="30">
        <f>IF(B1371="","",SUM(G$2:I1371)-SUM(J$2:J1371))</f>
        <v/>
      </c>
      <c r="L1371" s="22">
        <f>IF(B1371="","",IF(B1371=B1370,L1370,N(L1370)+1))</f>
        <v/>
      </c>
    </row>
    <row r="1372">
      <c r="A1372" s="22" t="n"/>
      <c r="B1372" s="27" t="n"/>
      <c r="C1372" s="17" t="n"/>
      <c r="D1372" s="17" t="n"/>
      <c r="E1372" s="17" t="n"/>
      <c r="F1372" s="28" t="n"/>
      <c r="G1372" s="29" t="n"/>
      <c r="H1372" s="29" t="n"/>
      <c r="I1372" s="29" t="n"/>
      <c r="J1372" s="29" t="n"/>
      <c r="K1372" s="30">
        <f>IF(B1372="","",SUM(G$2:I1372)-SUM(J$2:J1372))</f>
        <v/>
      </c>
      <c r="L1372" s="22">
        <f>IF(B1372="","",IF(B1372=B1371,L1371,N(L1371)+1))</f>
        <v/>
      </c>
    </row>
    <row r="1373">
      <c r="A1373" s="22" t="n"/>
      <c r="B1373" s="27" t="n"/>
      <c r="C1373" s="17" t="n"/>
      <c r="D1373" s="17" t="n"/>
      <c r="E1373" s="17" t="n"/>
      <c r="F1373" s="28" t="n"/>
      <c r="G1373" s="29" t="n"/>
      <c r="H1373" s="29" t="n"/>
      <c r="I1373" s="29" t="n"/>
      <c r="J1373" s="29" t="n"/>
      <c r="K1373" s="30">
        <f>IF(B1373="","",SUM(G$2:I1373)-SUM(J$2:J1373))</f>
        <v/>
      </c>
      <c r="L1373" s="22">
        <f>IF(B1373="","",IF(B1373=B1372,L1372,N(L1372)+1))</f>
        <v/>
      </c>
    </row>
    <row r="1374">
      <c r="A1374" s="22" t="n"/>
      <c r="B1374" s="27" t="n"/>
      <c r="C1374" s="17" t="n"/>
      <c r="D1374" s="17" t="n"/>
      <c r="E1374" s="17" t="n"/>
      <c r="F1374" s="28" t="n"/>
      <c r="G1374" s="29" t="n"/>
      <c r="H1374" s="29" t="n"/>
      <c r="I1374" s="29" t="n"/>
      <c r="J1374" s="29" t="n"/>
      <c r="K1374" s="30">
        <f>IF(B1374="","",SUM(G$2:I1374)-SUM(J$2:J1374))</f>
        <v/>
      </c>
      <c r="L1374" s="22">
        <f>IF(B1374="","",IF(B1374=B1373,L1373,N(L1373)+1))</f>
        <v/>
      </c>
    </row>
    <row r="1375">
      <c r="A1375" s="22" t="n"/>
      <c r="B1375" s="27" t="n"/>
      <c r="C1375" s="17" t="n"/>
      <c r="D1375" s="17" t="n"/>
      <c r="E1375" s="17" t="n"/>
      <c r="F1375" s="28" t="n"/>
      <c r="G1375" s="29" t="n"/>
      <c r="H1375" s="29" t="n"/>
      <c r="I1375" s="29" t="n"/>
      <c r="J1375" s="29" t="n"/>
      <c r="K1375" s="30">
        <f>IF(B1375="","",SUM(G$2:I1375)-SUM(J$2:J1375))</f>
        <v/>
      </c>
      <c r="L1375" s="22">
        <f>IF(B1375="","",IF(B1375=B1374,L1374,N(L1374)+1))</f>
        <v/>
      </c>
    </row>
    <row r="1376">
      <c r="A1376" s="22" t="n"/>
      <c r="B1376" s="27" t="n"/>
      <c r="C1376" s="17" t="n"/>
      <c r="D1376" s="17" t="n"/>
      <c r="E1376" s="17" t="n"/>
      <c r="F1376" s="28" t="n"/>
      <c r="G1376" s="29" t="n"/>
      <c r="H1376" s="29" t="n"/>
      <c r="I1376" s="29" t="n"/>
      <c r="J1376" s="29" t="n"/>
      <c r="K1376" s="30">
        <f>IF(B1376="","",SUM(G$2:I1376)-SUM(J$2:J1376))</f>
        <v/>
      </c>
      <c r="L1376" s="22">
        <f>IF(B1376="","",IF(B1376=B1375,L1375,N(L1375)+1))</f>
        <v/>
      </c>
    </row>
    <row r="1377">
      <c r="A1377" s="22" t="n"/>
      <c r="B1377" s="27" t="n"/>
      <c r="C1377" s="17" t="n"/>
      <c r="D1377" s="17" t="n"/>
      <c r="E1377" s="17" t="n"/>
      <c r="F1377" s="28" t="n"/>
      <c r="G1377" s="29" t="n"/>
      <c r="H1377" s="29" t="n"/>
      <c r="I1377" s="29" t="n"/>
      <c r="J1377" s="29" t="n"/>
      <c r="K1377" s="30">
        <f>IF(B1377="","",SUM(G$2:I1377)-SUM(J$2:J1377))</f>
        <v/>
      </c>
      <c r="L1377" s="22">
        <f>IF(B1377="","",IF(B1377=B1376,L1376,N(L1376)+1))</f>
        <v/>
      </c>
    </row>
    <row r="1378">
      <c r="A1378" s="22" t="n"/>
      <c r="B1378" s="27" t="n"/>
      <c r="C1378" s="17" t="n"/>
      <c r="D1378" s="17" t="n"/>
      <c r="E1378" s="17" t="n"/>
      <c r="F1378" s="28" t="n"/>
      <c r="G1378" s="29" t="n"/>
      <c r="H1378" s="29" t="n"/>
      <c r="I1378" s="29" t="n"/>
      <c r="J1378" s="29" t="n"/>
      <c r="K1378" s="30">
        <f>IF(B1378="","",SUM(G$2:I1378)-SUM(J$2:J1378))</f>
        <v/>
      </c>
      <c r="L1378" s="22">
        <f>IF(B1378="","",IF(B1378=B1377,L1377,N(L1377)+1))</f>
        <v/>
      </c>
    </row>
    <row r="1379">
      <c r="A1379" s="22" t="n"/>
      <c r="B1379" s="27" t="n"/>
      <c r="C1379" s="17" t="n"/>
      <c r="D1379" s="17" t="n"/>
      <c r="E1379" s="17" t="n"/>
      <c r="F1379" s="28" t="n"/>
      <c r="G1379" s="29" t="n"/>
      <c r="H1379" s="29" t="n"/>
      <c r="I1379" s="29" t="n"/>
      <c r="J1379" s="29" t="n"/>
      <c r="K1379" s="30">
        <f>IF(B1379="","",SUM(G$2:I1379)-SUM(J$2:J1379))</f>
        <v/>
      </c>
      <c r="L1379" s="22">
        <f>IF(B1379="","",IF(B1379=B1378,L1378,N(L1378)+1))</f>
        <v/>
      </c>
    </row>
    <row r="1380">
      <c r="A1380" s="22" t="n"/>
      <c r="B1380" s="27" t="n"/>
      <c r="C1380" s="17" t="n"/>
      <c r="D1380" s="17" t="n"/>
      <c r="E1380" s="17" t="n"/>
      <c r="F1380" s="28" t="n"/>
      <c r="G1380" s="29" t="n"/>
      <c r="H1380" s="29" t="n"/>
      <c r="I1380" s="29" t="n"/>
      <c r="J1380" s="29" t="n"/>
      <c r="K1380" s="30">
        <f>IF(B1380="","",SUM(G$2:I1380)-SUM(J$2:J1380))</f>
        <v/>
      </c>
      <c r="L1380" s="22">
        <f>IF(B1380="","",IF(B1380=B1379,L1379,N(L1379)+1))</f>
        <v/>
      </c>
    </row>
    <row r="1381">
      <c r="A1381" s="22" t="n"/>
      <c r="B1381" s="27" t="n"/>
      <c r="C1381" s="17" t="n"/>
      <c r="D1381" s="17" t="n"/>
      <c r="E1381" s="17" t="n"/>
      <c r="F1381" s="28" t="n"/>
      <c r="G1381" s="29" t="n"/>
      <c r="H1381" s="29" t="n"/>
      <c r="I1381" s="29" t="n"/>
      <c r="J1381" s="29" t="n"/>
      <c r="K1381" s="30">
        <f>IF(B1381="","",SUM(G$2:I1381)-SUM(J$2:J1381))</f>
        <v/>
      </c>
      <c r="L1381" s="22">
        <f>IF(B1381="","",IF(B1381=B1380,L1380,N(L1380)+1))</f>
        <v/>
      </c>
    </row>
    <row r="1382">
      <c r="A1382" s="22" t="n"/>
      <c r="B1382" s="27" t="n"/>
      <c r="C1382" s="17" t="n"/>
      <c r="D1382" s="17" t="n"/>
      <c r="E1382" s="17" t="n"/>
      <c r="F1382" s="28" t="n"/>
      <c r="G1382" s="29" t="n"/>
      <c r="H1382" s="29" t="n"/>
      <c r="I1382" s="29" t="n"/>
      <c r="J1382" s="29" t="n"/>
      <c r="K1382" s="30">
        <f>IF(B1382="","",SUM(G$2:I1382)-SUM(J$2:J1382))</f>
        <v/>
      </c>
      <c r="L1382" s="22">
        <f>IF(B1382="","",IF(B1382=B1381,L1381,N(L1381)+1))</f>
        <v/>
      </c>
    </row>
    <row r="1383">
      <c r="A1383" s="22" t="n"/>
      <c r="B1383" s="27" t="n"/>
      <c r="C1383" s="17" t="n"/>
      <c r="D1383" s="17" t="n"/>
      <c r="E1383" s="17" t="n"/>
      <c r="F1383" s="28" t="n"/>
      <c r="G1383" s="29" t="n"/>
      <c r="H1383" s="29" t="n"/>
      <c r="I1383" s="29" t="n"/>
      <c r="J1383" s="29" t="n"/>
      <c r="K1383" s="30">
        <f>IF(B1383="","",SUM(G$2:I1383)-SUM(J$2:J1383))</f>
        <v/>
      </c>
      <c r="L1383" s="22">
        <f>IF(B1383="","",IF(B1383=B1382,L1382,N(L1382)+1))</f>
        <v/>
      </c>
    </row>
    <row r="1384">
      <c r="A1384" s="22" t="n"/>
      <c r="B1384" s="27" t="n"/>
      <c r="C1384" s="17" t="n"/>
      <c r="D1384" s="17" t="n"/>
      <c r="E1384" s="17" t="n"/>
      <c r="F1384" s="28" t="n"/>
      <c r="G1384" s="29" t="n"/>
      <c r="H1384" s="29" t="n"/>
      <c r="I1384" s="29" t="n"/>
      <c r="J1384" s="29" t="n"/>
      <c r="K1384" s="30">
        <f>IF(B1384="","",SUM(G$2:I1384)-SUM(J$2:J1384))</f>
        <v/>
      </c>
      <c r="L1384" s="22">
        <f>IF(B1384="","",IF(B1384=B1383,L1383,N(L1383)+1))</f>
        <v/>
      </c>
    </row>
    <row r="1385">
      <c r="A1385" s="22" t="n"/>
      <c r="B1385" s="27" t="n"/>
      <c r="C1385" s="17" t="n"/>
      <c r="D1385" s="17" t="n"/>
      <c r="E1385" s="17" t="n"/>
      <c r="F1385" s="28" t="n"/>
      <c r="G1385" s="29" t="n"/>
      <c r="H1385" s="29" t="n"/>
      <c r="I1385" s="29" t="n"/>
      <c r="J1385" s="29" t="n"/>
      <c r="K1385" s="30">
        <f>IF(B1385="","",SUM(G$2:I1385)-SUM(J$2:J1385))</f>
        <v/>
      </c>
      <c r="L1385" s="22">
        <f>IF(B1385="","",IF(B1385=B1384,L1384,N(L1384)+1))</f>
        <v/>
      </c>
    </row>
    <row r="1386">
      <c r="A1386" s="22" t="n"/>
      <c r="B1386" s="27" t="n"/>
      <c r="C1386" s="17" t="n"/>
      <c r="D1386" s="17" t="n"/>
      <c r="E1386" s="17" t="n"/>
      <c r="F1386" s="28" t="n"/>
      <c r="G1386" s="29" t="n"/>
      <c r="H1386" s="29" t="n"/>
      <c r="I1386" s="29" t="n"/>
      <c r="J1386" s="29" t="n"/>
      <c r="K1386" s="30">
        <f>IF(B1386="","",SUM(G$2:I1386)-SUM(J$2:J1386))</f>
        <v/>
      </c>
      <c r="L1386" s="22">
        <f>IF(B1386="","",IF(B1386=B1385,L1385,N(L1385)+1))</f>
        <v/>
      </c>
    </row>
    <row r="1387">
      <c r="A1387" s="22" t="n"/>
      <c r="B1387" s="27" t="n"/>
      <c r="C1387" s="17" t="n"/>
      <c r="D1387" s="17" t="n"/>
      <c r="E1387" s="17" t="n"/>
      <c r="F1387" s="28" t="n"/>
      <c r="G1387" s="29" t="n"/>
      <c r="H1387" s="29" t="n"/>
      <c r="I1387" s="29" t="n"/>
      <c r="J1387" s="29" t="n"/>
      <c r="K1387" s="30">
        <f>IF(B1387="","",SUM(G$2:I1387)-SUM(J$2:J1387))</f>
        <v/>
      </c>
      <c r="L1387" s="22">
        <f>IF(B1387="","",IF(B1387=B1386,L1386,N(L1386)+1))</f>
        <v/>
      </c>
    </row>
    <row r="1388">
      <c r="A1388" s="22" t="n"/>
      <c r="B1388" s="27" t="n"/>
      <c r="C1388" s="17" t="n"/>
      <c r="D1388" s="17" t="n"/>
      <c r="E1388" s="17" t="n"/>
      <c r="F1388" s="28" t="n"/>
      <c r="G1388" s="29" t="n"/>
      <c r="H1388" s="29" t="n"/>
      <c r="I1388" s="29" t="n"/>
      <c r="J1388" s="29" t="n"/>
      <c r="K1388" s="30">
        <f>IF(B1388="","",SUM(G$2:I1388)-SUM(J$2:J1388))</f>
        <v/>
      </c>
      <c r="L1388" s="22">
        <f>IF(B1388="","",IF(B1388=B1387,L1387,N(L1387)+1))</f>
        <v/>
      </c>
    </row>
    <row r="1389">
      <c r="A1389" s="22" t="n"/>
      <c r="B1389" s="27" t="n"/>
      <c r="C1389" s="17" t="n"/>
      <c r="D1389" s="17" t="n"/>
      <c r="E1389" s="17" t="n"/>
      <c r="F1389" s="28" t="n"/>
      <c r="G1389" s="29" t="n"/>
      <c r="H1389" s="29" t="n"/>
      <c r="I1389" s="29" t="n"/>
      <c r="J1389" s="29" t="n"/>
      <c r="K1389" s="30">
        <f>IF(B1389="","",SUM(G$2:I1389)-SUM(J$2:J1389))</f>
        <v/>
      </c>
      <c r="L1389" s="22">
        <f>IF(B1389="","",IF(B1389=B1388,L1388,N(L1388)+1))</f>
        <v/>
      </c>
    </row>
    <row r="1390">
      <c r="A1390" s="22" t="n"/>
      <c r="B1390" s="27" t="n"/>
      <c r="C1390" s="17" t="n"/>
      <c r="D1390" s="17" t="n"/>
      <c r="E1390" s="17" t="n"/>
      <c r="F1390" s="28" t="n"/>
      <c r="G1390" s="29" t="n"/>
      <c r="H1390" s="29" t="n"/>
      <c r="I1390" s="29" t="n"/>
      <c r="J1390" s="29" t="n"/>
      <c r="K1390" s="30">
        <f>IF(B1390="","",SUM(G$2:I1390)-SUM(J$2:J1390))</f>
        <v/>
      </c>
      <c r="L1390" s="22">
        <f>IF(B1390="","",IF(B1390=B1389,L1389,N(L1389)+1))</f>
        <v/>
      </c>
    </row>
    <row r="1391">
      <c r="A1391" s="22" t="n"/>
      <c r="B1391" s="27" t="n"/>
      <c r="C1391" s="17" t="n"/>
      <c r="D1391" s="17" t="n"/>
      <c r="E1391" s="17" t="n"/>
      <c r="F1391" s="28" t="n"/>
      <c r="G1391" s="29" t="n"/>
      <c r="H1391" s="29" t="n"/>
      <c r="I1391" s="29" t="n"/>
      <c r="J1391" s="29" t="n"/>
      <c r="K1391" s="30">
        <f>IF(B1391="","",SUM(G$2:I1391)-SUM(J$2:J1391))</f>
        <v/>
      </c>
      <c r="L1391" s="22">
        <f>IF(B1391="","",IF(B1391=B1390,L1390,N(L1390)+1))</f>
        <v/>
      </c>
    </row>
    <row r="1392">
      <c r="A1392" s="22" t="n"/>
      <c r="B1392" s="27" t="n"/>
      <c r="C1392" s="17" t="n"/>
      <c r="D1392" s="17" t="n"/>
      <c r="E1392" s="17" t="n"/>
      <c r="F1392" s="28" t="n"/>
      <c r="G1392" s="29" t="n"/>
      <c r="H1392" s="29" t="n"/>
      <c r="I1392" s="29" t="n"/>
      <c r="J1392" s="29" t="n"/>
      <c r="K1392" s="30">
        <f>IF(B1392="","",SUM(G$2:I1392)-SUM(J$2:J1392))</f>
        <v/>
      </c>
      <c r="L1392" s="22">
        <f>IF(B1392="","",IF(B1392=B1391,L1391,N(L1391)+1))</f>
        <v/>
      </c>
    </row>
    <row r="1393">
      <c r="A1393" s="22" t="n"/>
      <c r="B1393" s="27" t="n"/>
      <c r="C1393" s="17" t="n"/>
      <c r="D1393" s="17" t="n"/>
      <c r="E1393" s="17" t="n"/>
      <c r="F1393" s="28" t="n"/>
      <c r="G1393" s="29" t="n"/>
      <c r="H1393" s="29" t="n"/>
      <c r="I1393" s="29" t="n"/>
      <c r="J1393" s="29" t="n"/>
      <c r="K1393" s="30">
        <f>IF(B1393="","",SUM(G$2:I1393)-SUM(J$2:J1393))</f>
        <v/>
      </c>
      <c r="L1393" s="22">
        <f>IF(B1393="","",IF(B1393=B1392,L1392,N(L1392)+1))</f>
        <v/>
      </c>
    </row>
    <row r="1394">
      <c r="A1394" s="22" t="n"/>
      <c r="B1394" s="27" t="n"/>
      <c r="C1394" s="17" t="n"/>
      <c r="D1394" s="17" t="n"/>
      <c r="E1394" s="17" t="n"/>
      <c r="F1394" s="28" t="n"/>
      <c r="G1394" s="29" t="n"/>
      <c r="H1394" s="29" t="n"/>
      <c r="I1394" s="29" t="n"/>
      <c r="J1394" s="29" t="n"/>
      <c r="K1394" s="30">
        <f>IF(B1394="","",SUM(G$2:I1394)-SUM(J$2:J1394))</f>
        <v/>
      </c>
      <c r="L1394" s="22">
        <f>IF(B1394="","",IF(B1394=B1393,L1393,N(L1393)+1))</f>
        <v/>
      </c>
    </row>
    <row r="1395">
      <c r="A1395" s="22" t="n"/>
      <c r="B1395" s="27" t="n"/>
      <c r="C1395" s="17" t="n"/>
      <c r="D1395" s="17" t="n"/>
      <c r="E1395" s="17" t="n"/>
      <c r="F1395" s="28" t="n"/>
      <c r="G1395" s="29" t="n"/>
      <c r="H1395" s="29" t="n"/>
      <c r="I1395" s="29" t="n"/>
      <c r="J1395" s="29" t="n"/>
      <c r="K1395" s="30">
        <f>IF(B1395="","",SUM(G$2:I1395)-SUM(J$2:J1395))</f>
        <v/>
      </c>
      <c r="L1395" s="22">
        <f>IF(B1395="","",IF(B1395=B1394,L1394,N(L1394)+1))</f>
        <v/>
      </c>
    </row>
    <row r="1396">
      <c r="A1396" s="22" t="n"/>
      <c r="B1396" s="27" t="n"/>
      <c r="C1396" s="17" t="n"/>
      <c r="D1396" s="17" t="n"/>
      <c r="E1396" s="17" t="n"/>
      <c r="F1396" s="28" t="n"/>
      <c r="G1396" s="29" t="n"/>
      <c r="H1396" s="29" t="n"/>
      <c r="I1396" s="29" t="n"/>
      <c r="J1396" s="29" t="n"/>
      <c r="K1396" s="30">
        <f>IF(B1396="","",SUM(G$2:I1396)-SUM(J$2:J1396))</f>
        <v/>
      </c>
      <c r="L1396" s="22">
        <f>IF(B1396="","",IF(B1396=B1395,L1395,N(L1395)+1))</f>
        <v/>
      </c>
    </row>
    <row r="1397">
      <c r="A1397" s="22" t="n"/>
      <c r="B1397" s="27" t="n"/>
      <c r="C1397" s="17" t="n"/>
      <c r="D1397" s="17" t="n"/>
      <c r="E1397" s="17" t="n"/>
      <c r="F1397" s="28" t="n"/>
      <c r="G1397" s="29" t="n"/>
      <c r="H1397" s="29" t="n"/>
      <c r="I1397" s="29" t="n"/>
      <c r="J1397" s="29" t="n"/>
      <c r="K1397" s="30">
        <f>IF(B1397="","",SUM(G$2:I1397)-SUM(J$2:J1397))</f>
        <v/>
      </c>
      <c r="L1397" s="22">
        <f>IF(B1397="","",IF(B1397=B1396,L1396,N(L1396)+1))</f>
        <v/>
      </c>
    </row>
    <row r="1398">
      <c r="A1398" s="22" t="n"/>
      <c r="B1398" s="27" t="n"/>
      <c r="C1398" s="17" t="n"/>
      <c r="D1398" s="17" t="n"/>
      <c r="E1398" s="17" t="n"/>
      <c r="F1398" s="28" t="n"/>
      <c r="G1398" s="29" t="n"/>
      <c r="H1398" s="29" t="n"/>
      <c r="I1398" s="29" t="n"/>
      <c r="J1398" s="29" t="n"/>
      <c r="K1398" s="30">
        <f>IF(B1398="","",SUM(G$2:I1398)-SUM(J$2:J1398))</f>
        <v/>
      </c>
      <c r="L1398" s="22">
        <f>IF(B1398="","",IF(B1398=B1397,L1397,N(L1397)+1))</f>
        <v/>
      </c>
    </row>
    <row r="1399">
      <c r="A1399" s="22" t="n"/>
      <c r="B1399" s="27" t="n"/>
      <c r="C1399" s="17" t="n"/>
      <c r="D1399" s="17" t="n"/>
      <c r="E1399" s="17" t="n"/>
      <c r="F1399" s="28" t="n"/>
      <c r="G1399" s="29" t="n"/>
      <c r="H1399" s="29" t="n"/>
      <c r="I1399" s="29" t="n"/>
      <c r="J1399" s="29" t="n"/>
      <c r="K1399" s="30">
        <f>IF(B1399="","",SUM(G$2:I1399)-SUM(J$2:J1399))</f>
        <v/>
      </c>
      <c r="L1399" s="22">
        <f>IF(B1399="","",IF(B1399=B1398,L1398,N(L1398)+1))</f>
        <v/>
      </c>
    </row>
    <row r="1400">
      <c r="A1400" s="22" t="n"/>
      <c r="B1400" s="27" t="n"/>
      <c r="C1400" s="17" t="n"/>
      <c r="D1400" s="17" t="n"/>
      <c r="E1400" s="17" t="n"/>
      <c r="F1400" s="28" t="n"/>
      <c r="G1400" s="29" t="n"/>
      <c r="H1400" s="29" t="n"/>
      <c r="I1400" s="29" t="n"/>
      <c r="J1400" s="29" t="n"/>
      <c r="K1400" s="30">
        <f>IF(B1400="","",SUM(G$2:I1400)-SUM(J$2:J1400))</f>
        <v/>
      </c>
      <c r="L1400" s="22">
        <f>IF(B1400="","",IF(B1400=B1399,L1399,N(L1399)+1))</f>
        <v/>
      </c>
    </row>
    <row r="1401">
      <c r="A1401" s="22" t="n"/>
      <c r="B1401" s="27" t="n"/>
      <c r="C1401" s="17" t="n"/>
      <c r="D1401" s="17" t="n"/>
      <c r="E1401" s="17" t="n"/>
      <c r="F1401" s="28" t="n"/>
      <c r="G1401" s="29" t="n"/>
      <c r="H1401" s="29" t="n"/>
      <c r="I1401" s="29" t="n"/>
      <c r="J1401" s="29" t="n"/>
      <c r="K1401" s="30">
        <f>IF(B1401="","",SUM(G$2:I1401)-SUM(J$2:J1401))</f>
        <v/>
      </c>
      <c r="L1401" s="22">
        <f>IF(B1401="","",IF(B1401=B1400,L1400,N(L1400)+1))</f>
        <v/>
      </c>
    </row>
    <row r="1402">
      <c r="A1402" s="22" t="n"/>
      <c r="B1402" s="27" t="n"/>
      <c r="C1402" s="17" t="n"/>
      <c r="D1402" s="17" t="n"/>
      <c r="E1402" s="17" t="n"/>
      <c r="F1402" s="28" t="n"/>
      <c r="G1402" s="29" t="n"/>
      <c r="H1402" s="29" t="n"/>
      <c r="I1402" s="29" t="n"/>
      <c r="J1402" s="29" t="n"/>
      <c r="K1402" s="30">
        <f>IF(B1402="","",SUM(G$2:I1402)-SUM(J$2:J1402))</f>
        <v/>
      </c>
      <c r="L1402" s="22">
        <f>IF(B1402="","",IF(B1402=B1401,L1401,N(L1401)+1))</f>
        <v/>
      </c>
    </row>
    <row r="1403">
      <c r="A1403" s="22" t="n"/>
      <c r="B1403" s="27" t="n"/>
      <c r="C1403" s="17" t="n"/>
      <c r="D1403" s="17" t="n"/>
      <c r="E1403" s="17" t="n"/>
      <c r="F1403" s="28" t="n"/>
      <c r="G1403" s="29" t="n"/>
      <c r="H1403" s="29" t="n"/>
      <c r="I1403" s="29" t="n"/>
      <c r="J1403" s="29" t="n"/>
      <c r="K1403" s="30">
        <f>IF(B1403="","",SUM(G$2:I1403)-SUM(J$2:J1403))</f>
        <v/>
      </c>
      <c r="L1403" s="22">
        <f>IF(B1403="","",IF(B1403=B1402,L1402,N(L1402)+1))</f>
        <v/>
      </c>
    </row>
    <row r="1404">
      <c r="A1404" s="22" t="n"/>
      <c r="B1404" s="27" t="n"/>
      <c r="C1404" s="17" t="n"/>
      <c r="D1404" s="17" t="n"/>
      <c r="E1404" s="17" t="n"/>
      <c r="F1404" s="28" t="n"/>
      <c r="G1404" s="29" t="n"/>
      <c r="H1404" s="29" t="n"/>
      <c r="I1404" s="29" t="n"/>
      <c r="J1404" s="29" t="n"/>
      <c r="K1404" s="30">
        <f>IF(B1404="","",SUM(G$2:I1404)-SUM(J$2:J1404))</f>
        <v/>
      </c>
      <c r="L1404" s="22">
        <f>IF(B1404="","",IF(B1404=B1403,L1403,N(L1403)+1))</f>
        <v/>
      </c>
    </row>
    <row r="1405">
      <c r="A1405" s="22" t="n"/>
      <c r="B1405" s="27" t="n"/>
      <c r="C1405" s="17" t="n"/>
      <c r="D1405" s="17" t="n"/>
      <c r="E1405" s="17" t="n"/>
      <c r="F1405" s="28" t="n"/>
      <c r="G1405" s="29" t="n"/>
      <c r="H1405" s="29" t="n"/>
      <c r="I1405" s="29" t="n"/>
      <c r="J1405" s="29" t="n"/>
      <c r="K1405" s="30">
        <f>IF(B1405="","",SUM(G$2:I1405)-SUM(J$2:J1405))</f>
        <v/>
      </c>
      <c r="L1405" s="22">
        <f>IF(B1405="","",IF(B1405=B1404,L1404,N(L1404)+1))</f>
        <v/>
      </c>
    </row>
    <row r="1406">
      <c r="A1406" s="22" t="n"/>
      <c r="B1406" s="27" t="n"/>
      <c r="C1406" s="17" t="n"/>
      <c r="D1406" s="17" t="n"/>
      <c r="E1406" s="17" t="n"/>
      <c r="F1406" s="28" t="n"/>
      <c r="G1406" s="29" t="n"/>
      <c r="H1406" s="29" t="n"/>
      <c r="I1406" s="29" t="n"/>
      <c r="J1406" s="29" t="n"/>
      <c r="K1406" s="30">
        <f>IF(B1406="","",SUM(G$2:I1406)-SUM(J$2:J1406))</f>
        <v/>
      </c>
      <c r="L1406" s="22">
        <f>IF(B1406="","",IF(B1406=B1405,L1405,N(L1405)+1))</f>
        <v/>
      </c>
    </row>
    <row r="1407">
      <c r="A1407" s="22" t="n"/>
      <c r="B1407" s="27" t="n"/>
      <c r="C1407" s="17" t="n"/>
      <c r="D1407" s="17" t="n"/>
      <c r="E1407" s="17" t="n"/>
      <c r="F1407" s="28" t="n"/>
      <c r="G1407" s="29" t="n"/>
      <c r="H1407" s="29" t="n"/>
      <c r="I1407" s="29" t="n"/>
      <c r="J1407" s="29" t="n"/>
      <c r="K1407" s="30">
        <f>IF(B1407="","",SUM(G$2:I1407)-SUM(J$2:J1407))</f>
        <v/>
      </c>
      <c r="L1407" s="22">
        <f>IF(B1407="","",IF(B1407=B1406,L1406,N(L1406)+1))</f>
        <v/>
      </c>
    </row>
    <row r="1408">
      <c r="A1408" s="22" t="n"/>
      <c r="B1408" s="27" t="n"/>
      <c r="C1408" s="17" t="n"/>
      <c r="D1408" s="17" t="n"/>
      <c r="E1408" s="17" t="n"/>
      <c r="F1408" s="28" t="n"/>
      <c r="G1408" s="29" t="n"/>
      <c r="H1408" s="29" t="n"/>
      <c r="I1408" s="29" t="n"/>
      <c r="J1408" s="29" t="n"/>
      <c r="K1408" s="30">
        <f>IF(B1408="","",SUM(G$2:I1408)-SUM(J$2:J1408))</f>
        <v/>
      </c>
      <c r="L1408" s="22">
        <f>IF(B1408="","",IF(B1408=B1407,L1407,N(L1407)+1))</f>
        <v/>
      </c>
    </row>
    <row r="1409">
      <c r="A1409" s="22" t="n"/>
      <c r="B1409" s="27" t="n"/>
      <c r="C1409" s="17" t="n"/>
      <c r="D1409" s="17" t="n"/>
      <c r="E1409" s="17" t="n"/>
      <c r="F1409" s="28" t="n"/>
      <c r="G1409" s="29" t="n"/>
      <c r="H1409" s="29" t="n"/>
      <c r="I1409" s="29" t="n"/>
      <c r="J1409" s="29" t="n"/>
      <c r="K1409" s="30">
        <f>IF(B1409="","",SUM(G$2:I1409)-SUM(J$2:J1409))</f>
        <v/>
      </c>
      <c r="L1409" s="22">
        <f>IF(B1409="","",IF(B1409=B1408,L1408,N(L1408)+1))</f>
        <v/>
      </c>
    </row>
    <row r="1410">
      <c r="A1410" s="22" t="n"/>
      <c r="B1410" s="27" t="n"/>
      <c r="C1410" s="17" t="n"/>
      <c r="D1410" s="17" t="n"/>
      <c r="E1410" s="17" t="n"/>
      <c r="F1410" s="28" t="n"/>
      <c r="G1410" s="29" t="n"/>
      <c r="H1410" s="29" t="n"/>
      <c r="I1410" s="29" t="n"/>
      <c r="J1410" s="29" t="n"/>
      <c r="K1410" s="30">
        <f>IF(B1410="","",SUM(G$2:I1410)-SUM(J$2:J1410))</f>
        <v/>
      </c>
      <c r="L1410" s="22">
        <f>IF(B1410="","",IF(B1410=B1409,L1409,N(L1409)+1))</f>
        <v/>
      </c>
    </row>
    <row r="1411">
      <c r="A1411" s="22" t="n"/>
      <c r="B1411" s="27" t="n"/>
      <c r="C1411" s="17" t="n"/>
      <c r="D1411" s="17" t="n"/>
      <c r="E1411" s="17" t="n"/>
      <c r="F1411" s="28" t="n"/>
      <c r="G1411" s="29" t="n"/>
      <c r="H1411" s="29" t="n"/>
      <c r="I1411" s="29" t="n"/>
      <c r="J1411" s="29" t="n"/>
      <c r="K1411" s="30">
        <f>IF(B1411="","",SUM(G$2:I1411)-SUM(J$2:J1411))</f>
        <v/>
      </c>
      <c r="L1411" s="22">
        <f>IF(B1411="","",IF(B1411=B1410,L1410,N(L1410)+1))</f>
        <v/>
      </c>
    </row>
    <row r="1412">
      <c r="A1412" s="22" t="n"/>
      <c r="B1412" s="27" t="n"/>
      <c r="C1412" s="17" t="n"/>
      <c r="D1412" s="17" t="n"/>
      <c r="E1412" s="17" t="n"/>
      <c r="F1412" s="28" t="n"/>
      <c r="G1412" s="29" t="n"/>
      <c r="H1412" s="29" t="n"/>
      <c r="I1412" s="29" t="n"/>
      <c r="J1412" s="29" t="n"/>
      <c r="K1412" s="30">
        <f>IF(B1412="","",SUM(G$2:I1412)-SUM(J$2:J1412))</f>
        <v/>
      </c>
      <c r="L1412" s="22">
        <f>IF(B1412="","",IF(B1412=B1411,L1411,N(L1411)+1))</f>
        <v/>
      </c>
    </row>
    <row r="1413">
      <c r="A1413" s="22" t="n"/>
      <c r="B1413" s="27" t="n"/>
      <c r="C1413" s="17" t="n"/>
      <c r="D1413" s="17" t="n"/>
      <c r="E1413" s="17" t="n"/>
      <c r="F1413" s="28" t="n"/>
      <c r="G1413" s="29" t="n"/>
      <c r="H1413" s="29" t="n"/>
      <c r="I1413" s="29" t="n"/>
      <c r="J1413" s="29" t="n"/>
      <c r="K1413" s="30">
        <f>IF(B1413="","",SUM(G$2:I1413)-SUM(J$2:J1413))</f>
        <v/>
      </c>
      <c r="L1413" s="22">
        <f>IF(B1413="","",IF(B1413=B1412,L1412,N(L1412)+1))</f>
        <v/>
      </c>
    </row>
    <row r="1414">
      <c r="A1414" s="22" t="n"/>
      <c r="B1414" s="27" t="n"/>
      <c r="C1414" s="17" t="n"/>
      <c r="D1414" s="17" t="n"/>
      <c r="E1414" s="17" t="n"/>
      <c r="F1414" s="28" t="n"/>
      <c r="G1414" s="29" t="n"/>
      <c r="H1414" s="29" t="n"/>
      <c r="I1414" s="29" t="n"/>
      <c r="J1414" s="29" t="n"/>
      <c r="K1414" s="30">
        <f>IF(B1414="","",SUM(G$2:I1414)-SUM(J$2:J1414))</f>
        <v/>
      </c>
      <c r="L1414" s="22">
        <f>IF(B1414="","",IF(B1414=B1413,L1413,N(L1413)+1))</f>
        <v/>
      </c>
    </row>
    <row r="1415">
      <c r="A1415" s="22" t="n"/>
      <c r="B1415" s="27" t="n"/>
      <c r="C1415" s="17" t="n"/>
      <c r="D1415" s="17" t="n"/>
      <c r="E1415" s="17" t="n"/>
      <c r="F1415" s="28" t="n"/>
      <c r="G1415" s="29" t="n"/>
      <c r="H1415" s="29" t="n"/>
      <c r="I1415" s="29" t="n"/>
      <c r="J1415" s="29" t="n"/>
      <c r="K1415" s="30">
        <f>IF(B1415="","",SUM(G$2:I1415)-SUM(J$2:J1415))</f>
        <v/>
      </c>
      <c r="L1415" s="22">
        <f>IF(B1415="","",IF(B1415=B1414,L1414,N(L1414)+1))</f>
        <v/>
      </c>
    </row>
    <row r="1416">
      <c r="A1416" s="22" t="n"/>
      <c r="B1416" s="27" t="n"/>
      <c r="C1416" s="17" t="n"/>
      <c r="D1416" s="17" t="n"/>
      <c r="E1416" s="17" t="n"/>
      <c r="F1416" s="28" t="n"/>
      <c r="G1416" s="29" t="n"/>
      <c r="H1416" s="29" t="n"/>
      <c r="I1416" s="29" t="n"/>
      <c r="J1416" s="29" t="n"/>
      <c r="K1416" s="30">
        <f>IF(B1416="","",SUM(G$2:I1416)-SUM(J$2:J1416))</f>
        <v/>
      </c>
      <c r="L1416" s="22">
        <f>IF(B1416="","",IF(B1416=B1415,L1415,N(L1415)+1))</f>
        <v/>
      </c>
    </row>
    <row r="1417">
      <c r="A1417" s="22" t="n"/>
      <c r="B1417" s="27" t="n"/>
      <c r="C1417" s="17" t="n"/>
      <c r="D1417" s="17" t="n"/>
      <c r="E1417" s="17" t="n"/>
      <c r="F1417" s="28" t="n"/>
      <c r="G1417" s="29" t="n"/>
      <c r="H1417" s="29" t="n"/>
      <c r="I1417" s="29" t="n"/>
      <c r="J1417" s="29" t="n"/>
      <c r="K1417" s="30">
        <f>IF(B1417="","",SUM(G$2:I1417)-SUM(J$2:J1417))</f>
        <v/>
      </c>
      <c r="L1417" s="22">
        <f>IF(B1417="","",IF(B1417=B1416,L1416,N(L1416)+1))</f>
        <v/>
      </c>
    </row>
    <row r="1418">
      <c r="A1418" s="22" t="n"/>
      <c r="B1418" s="27" t="n"/>
      <c r="C1418" s="17" t="n"/>
      <c r="D1418" s="17" t="n"/>
      <c r="E1418" s="17" t="n"/>
      <c r="F1418" s="28" t="n"/>
      <c r="G1418" s="29" t="n"/>
      <c r="H1418" s="29" t="n"/>
      <c r="I1418" s="29" t="n"/>
      <c r="J1418" s="29" t="n"/>
      <c r="K1418" s="30">
        <f>IF(B1418="","",SUM(G$2:I1418)-SUM(J$2:J1418))</f>
        <v/>
      </c>
      <c r="L1418" s="22">
        <f>IF(B1418="","",IF(B1418=B1417,L1417,N(L1417)+1))</f>
        <v/>
      </c>
    </row>
    <row r="1419">
      <c r="A1419" s="22" t="n"/>
      <c r="B1419" s="27" t="n"/>
      <c r="C1419" s="17" t="n"/>
      <c r="D1419" s="17" t="n"/>
      <c r="E1419" s="17" t="n"/>
      <c r="F1419" s="28" t="n"/>
      <c r="G1419" s="29" t="n"/>
      <c r="H1419" s="29" t="n"/>
      <c r="I1419" s="29" t="n"/>
      <c r="J1419" s="29" t="n"/>
      <c r="K1419" s="30">
        <f>IF(B1419="","",SUM(G$2:I1419)-SUM(J$2:J1419))</f>
        <v/>
      </c>
      <c r="L1419" s="22">
        <f>IF(B1419="","",IF(B1419=B1418,L1418,N(L1418)+1))</f>
        <v/>
      </c>
    </row>
    <row r="1420">
      <c r="A1420" s="22" t="n"/>
      <c r="B1420" s="27" t="n"/>
      <c r="C1420" s="17" t="n"/>
      <c r="D1420" s="17" t="n"/>
      <c r="E1420" s="17" t="n"/>
      <c r="F1420" s="28" t="n"/>
      <c r="G1420" s="29" t="n"/>
      <c r="H1420" s="29" t="n"/>
      <c r="I1420" s="29" t="n"/>
      <c r="J1420" s="29" t="n"/>
      <c r="K1420" s="30">
        <f>IF(B1420="","",SUM(G$2:I1420)-SUM(J$2:J1420))</f>
        <v/>
      </c>
      <c r="L1420" s="22">
        <f>IF(B1420="","",IF(B1420=B1419,L1419,N(L1419)+1))</f>
        <v/>
      </c>
    </row>
    <row r="1421">
      <c r="A1421" s="22" t="n"/>
      <c r="B1421" s="27" t="n"/>
      <c r="C1421" s="17" t="n"/>
      <c r="D1421" s="17" t="n"/>
      <c r="E1421" s="17" t="n"/>
      <c r="F1421" s="28" t="n"/>
      <c r="G1421" s="29" t="n"/>
      <c r="H1421" s="29" t="n"/>
      <c r="I1421" s="29" t="n"/>
      <c r="J1421" s="29" t="n"/>
      <c r="K1421" s="30">
        <f>IF(B1421="","",SUM(G$2:I1421)-SUM(J$2:J1421))</f>
        <v/>
      </c>
      <c r="L1421" s="22">
        <f>IF(B1421="","",IF(B1421=B1420,L1420,N(L1420)+1))</f>
        <v/>
      </c>
    </row>
    <row r="1422">
      <c r="A1422" s="22" t="n"/>
      <c r="B1422" s="27" t="n"/>
      <c r="C1422" s="17" t="n"/>
      <c r="D1422" s="17" t="n"/>
      <c r="E1422" s="17" t="n"/>
      <c r="F1422" s="28" t="n"/>
      <c r="G1422" s="29" t="n"/>
      <c r="H1422" s="29" t="n"/>
      <c r="I1422" s="29" t="n"/>
      <c r="J1422" s="29" t="n"/>
      <c r="K1422" s="30">
        <f>IF(B1422="","",SUM(G$2:I1422)-SUM(J$2:J1422))</f>
        <v/>
      </c>
      <c r="L1422" s="22">
        <f>IF(B1422="","",IF(B1422=B1421,L1421,N(L1421)+1))</f>
        <v/>
      </c>
    </row>
    <row r="1423">
      <c r="A1423" s="22" t="n"/>
      <c r="B1423" s="27" t="n"/>
      <c r="C1423" s="17" t="n"/>
      <c r="D1423" s="17" t="n"/>
      <c r="E1423" s="17" t="n"/>
      <c r="F1423" s="28" t="n"/>
      <c r="G1423" s="29" t="n"/>
      <c r="H1423" s="29" t="n"/>
      <c r="I1423" s="29" t="n"/>
      <c r="J1423" s="29" t="n"/>
      <c r="K1423" s="30">
        <f>IF(B1423="","",SUM(G$2:I1423)-SUM(J$2:J1423))</f>
        <v/>
      </c>
      <c r="L1423" s="22">
        <f>IF(B1423="","",IF(B1423=B1422,L1422,N(L1422)+1))</f>
        <v/>
      </c>
    </row>
    <row r="1424">
      <c r="A1424" s="22" t="n"/>
      <c r="B1424" s="27" t="n"/>
      <c r="C1424" s="17" t="n"/>
      <c r="D1424" s="17" t="n"/>
      <c r="E1424" s="17" t="n"/>
      <c r="F1424" s="28" t="n"/>
      <c r="G1424" s="29" t="n"/>
      <c r="H1424" s="29" t="n"/>
      <c r="I1424" s="29" t="n"/>
      <c r="J1424" s="29" t="n"/>
      <c r="K1424" s="30">
        <f>IF(B1424="","",SUM(G$2:I1424)-SUM(J$2:J1424))</f>
        <v/>
      </c>
      <c r="L1424" s="22">
        <f>IF(B1424="","",IF(B1424=B1423,L1423,N(L1423)+1))</f>
        <v/>
      </c>
    </row>
    <row r="1425">
      <c r="A1425" s="22" t="n"/>
      <c r="B1425" s="27" t="n"/>
      <c r="C1425" s="17" t="n"/>
      <c r="D1425" s="17" t="n"/>
      <c r="E1425" s="17" t="n"/>
      <c r="F1425" s="28" t="n"/>
      <c r="G1425" s="29" t="n"/>
      <c r="H1425" s="29" t="n"/>
      <c r="I1425" s="29" t="n"/>
      <c r="J1425" s="29" t="n"/>
      <c r="K1425" s="30">
        <f>IF(B1425="","",SUM(G$2:I1425)-SUM(J$2:J1425))</f>
        <v/>
      </c>
      <c r="L1425" s="22">
        <f>IF(B1425="","",IF(B1425=B1424,L1424,N(L1424)+1))</f>
        <v/>
      </c>
    </row>
    <row r="1426">
      <c r="A1426" s="22" t="n"/>
      <c r="B1426" s="27" t="n"/>
      <c r="C1426" s="17" t="n"/>
      <c r="D1426" s="17" t="n"/>
      <c r="E1426" s="17" t="n"/>
      <c r="F1426" s="28" t="n"/>
      <c r="G1426" s="29" t="n"/>
      <c r="H1426" s="29" t="n"/>
      <c r="I1426" s="29" t="n"/>
      <c r="J1426" s="29" t="n"/>
      <c r="K1426" s="30">
        <f>IF(B1426="","",SUM(G$2:I1426)-SUM(J$2:J1426))</f>
        <v/>
      </c>
      <c r="L1426" s="22">
        <f>IF(B1426="","",IF(B1426=B1425,L1425,N(L1425)+1))</f>
        <v/>
      </c>
    </row>
    <row r="1427">
      <c r="A1427" s="22" t="n"/>
      <c r="B1427" s="27" t="n"/>
      <c r="C1427" s="17" t="n"/>
      <c r="D1427" s="17" t="n"/>
      <c r="E1427" s="17" t="n"/>
      <c r="F1427" s="28" t="n"/>
      <c r="G1427" s="29" t="n"/>
      <c r="H1427" s="29" t="n"/>
      <c r="I1427" s="29" t="n"/>
      <c r="J1427" s="29" t="n"/>
      <c r="K1427" s="30">
        <f>IF(B1427="","",SUM(G$2:I1427)-SUM(J$2:J1427))</f>
        <v/>
      </c>
      <c r="L1427" s="22">
        <f>IF(B1427="","",IF(B1427=B1426,L1426,N(L1426)+1))</f>
        <v/>
      </c>
    </row>
    <row r="1428">
      <c r="A1428" s="22" t="n"/>
      <c r="B1428" s="27" t="n"/>
      <c r="C1428" s="17" t="n"/>
      <c r="D1428" s="17" t="n"/>
      <c r="E1428" s="17" t="n"/>
      <c r="F1428" s="28" t="n"/>
      <c r="G1428" s="29" t="n"/>
      <c r="H1428" s="29" t="n"/>
      <c r="I1428" s="29" t="n"/>
      <c r="J1428" s="29" t="n"/>
      <c r="K1428" s="30">
        <f>IF(B1428="","",SUM(G$2:I1428)-SUM(J$2:J1428))</f>
        <v/>
      </c>
      <c r="L1428" s="22">
        <f>IF(B1428="","",IF(B1428=B1427,L1427,N(L1427)+1))</f>
        <v/>
      </c>
    </row>
    <row r="1429">
      <c r="A1429" s="22" t="n"/>
      <c r="B1429" s="27" t="n"/>
      <c r="C1429" s="17" t="n"/>
      <c r="D1429" s="17" t="n"/>
      <c r="E1429" s="17" t="n"/>
      <c r="F1429" s="28" t="n"/>
      <c r="G1429" s="29" t="n"/>
      <c r="H1429" s="29" t="n"/>
      <c r="I1429" s="29" t="n"/>
      <c r="J1429" s="29" t="n"/>
      <c r="K1429" s="30">
        <f>IF(B1429="","",SUM(G$2:I1429)-SUM(J$2:J1429))</f>
        <v/>
      </c>
      <c r="L1429" s="22">
        <f>IF(B1429="","",IF(B1429=B1428,L1428,N(L1428)+1))</f>
        <v/>
      </c>
    </row>
    <row r="1430">
      <c r="A1430" s="22" t="n"/>
      <c r="B1430" s="27" t="n"/>
      <c r="C1430" s="17" t="n"/>
      <c r="D1430" s="17" t="n"/>
      <c r="E1430" s="17" t="n"/>
      <c r="F1430" s="28" t="n"/>
      <c r="G1430" s="29" t="n"/>
      <c r="H1430" s="29" t="n"/>
      <c r="I1430" s="29" t="n"/>
      <c r="J1430" s="29" t="n"/>
      <c r="K1430" s="30">
        <f>IF(B1430="","",SUM(G$2:I1430)-SUM(J$2:J1430))</f>
        <v/>
      </c>
      <c r="L1430" s="22">
        <f>IF(B1430="","",IF(B1430=B1429,L1429,N(L1429)+1))</f>
        <v/>
      </c>
    </row>
    <row r="1431">
      <c r="A1431" s="22" t="n"/>
      <c r="B1431" s="27" t="n"/>
      <c r="C1431" s="17" t="n"/>
      <c r="D1431" s="17" t="n"/>
      <c r="E1431" s="17" t="n"/>
      <c r="F1431" s="28" t="n"/>
      <c r="G1431" s="29" t="n"/>
      <c r="H1431" s="29" t="n"/>
      <c r="I1431" s="29" t="n"/>
      <c r="J1431" s="29" t="n"/>
      <c r="K1431" s="30">
        <f>IF(B1431="","",SUM(G$2:I1431)-SUM(J$2:J1431))</f>
        <v/>
      </c>
      <c r="L1431" s="22">
        <f>IF(B1431="","",IF(B1431=B1430,L1430,N(L1430)+1))</f>
        <v/>
      </c>
    </row>
    <row r="1432">
      <c r="A1432" s="22" t="n"/>
      <c r="B1432" s="27" t="n"/>
      <c r="C1432" s="17" t="n"/>
      <c r="D1432" s="17" t="n"/>
      <c r="E1432" s="17" t="n"/>
      <c r="F1432" s="28" t="n"/>
      <c r="G1432" s="29" t="n"/>
      <c r="H1432" s="29" t="n"/>
      <c r="I1432" s="29" t="n"/>
      <c r="J1432" s="29" t="n"/>
      <c r="K1432" s="30">
        <f>IF(B1432="","",SUM(G$2:I1432)-SUM(J$2:J1432))</f>
        <v/>
      </c>
      <c r="L1432" s="22">
        <f>IF(B1432="","",IF(B1432=B1431,L1431,N(L1431)+1))</f>
        <v/>
      </c>
    </row>
    <row r="1433">
      <c r="A1433" s="22" t="n"/>
      <c r="B1433" s="27" t="n"/>
      <c r="C1433" s="17" t="n"/>
      <c r="D1433" s="17" t="n"/>
      <c r="E1433" s="17" t="n"/>
      <c r="F1433" s="28" t="n"/>
      <c r="G1433" s="29" t="n"/>
      <c r="H1433" s="29" t="n"/>
      <c r="I1433" s="29" t="n"/>
      <c r="J1433" s="29" t="n"/>
      <c r="K1433" s="30">
        <f>IF(B1433="","",SUM(G$2:I1433)-SUM(J$2:J1433))</f>
        <v/>
      </c>
      <c r="L1433" s="22">
        <f>IF(B1433="","",IF(B1433=B1432,L1432,N(L1432)+1))</f>
        <v/>
      </c>
    </row>
    <row r="1434">
      <c r="A1434" s="22" t="n"/>
      <c r="B1434" s="27" t="n"/>
      <c r="C1434" s="17" t="n"/>
      <c r="D1434" s="17" t="n"/>
      <c r="E1434" s="17" t="n"/>
      <c r="F1434" s="28" t="n"/>
      <c r="G1434" s="29" t="n"/>
      <c r="H1434" s="29" t="n"/>
      <c r="I1434" s="29" t="n"/>
      <c r="J1434" s="29" t="n"/>
      <c r="K1434" s="30">
        <f>IF(B1434="","",SUM(G$2:I1434)-SUM(J$2:J1434))</f>
        <v/>
      </c>
      <c r="L1434" s="22">
        <f>IF(B1434="","",IF(B1434=B1433,L1433,N(L1433)+1))</f>
        <v/>
      </c>
    </row>
    <row r="1435">
      <c r="A1435" s="22" t="n"/>
      <c r="B1435" s="27" t="n"/>
      <c r="C1435" s="17" t="n"/>
      <c r="D1435" s="17" t="n"/>
      <c r="E1435" s="17" t="n"/>
      <c r="F1435" s="28" t="n"/>
      <c r="G1435" s="29" t="n"/>
      <c r="H1435" s="29" t="n"/>
      <c r="I1435" s="29" t="n"/>
      <c r="J1435" s="29" t="n"/>
      <c r="K1435" s="30">
        <f>IF(B1435="","",SUM(G$2:I1435)-SUM(J$2:J1435))</f>
        <v/>
      </c>
      <c r="L1435" s="22">
        <f>IF(B1435="","",IF(B1435=B1434,L1434,N(L1434)+1))</f>
        <v/>
      </c>
    </row>
    <row r="1436">
      <c r="A1436" s="22" t="n"/>
      <c r="B1436" s="27" t="n"/>
      <c r="C1436" s="17" t="n"/>
      <c r="D1436" s="17" t="n"/>
      <c r="E1436" s="17" t="n"/>
      <c r="F1436" s="28" t="n"/>
      <c r="G1436" s="29" t="n"/>
      <c r="H1436" s="29" t="n"/>
      <c r="I1436" s="29" t="n"/>
      <c r="J1436" s="29" t="n"/>
      <c r="K1436" s="30">
        <f>IF(B1436="","",SUM(G$2:I1436)-SUM(J$2:J1436))</f>
        <v/>
      </c>
      <c r="L1436" s="22">
        <f>IF(B1436="","",IF(B1436=B1435,L1435,N(L1435)+1))</f>
        <v/>
      </c>
    </row>
    <row r="1437">
      <c r="A1437" s="22" t="n"/>
      <c r="B1437" s="27" t="n"/>
      <c r="C1437" s="17" t="n"/>
      <c r="D1437" s="17" t="n"/>
      <c r="E1437" s="17" t="n"/>
      <c r="F1437" s="28" t="n"/>
      <c r="G1437" s="29" t="n"/>
      <c r="H1437" s="29" t="n"/>
      <c r="I1437" s="29" t="n"/>
      <c r="J1437" s="29" t="n"/>
      <c r="K1437" s="30">
        <f>IF(B1437="","",SUM(G$2:I1437)-SUM(J$2:J1437))</f>
        <v/>
      </c>
      <c r="L1437" s="22">
        <f>IF(B1437="","",IF(B1437=B1436,L1436,N(L1436)+1))</f>
        <v/>
      </c>
    </row>
    <row r="1438">
      <c r="A1438" s="22" t="n"/>
      <c r="B1438" s="27" t="n"/>
      <c r="C1438" s="17" t="n"/>
      <c r="D1438" s="17" t="n"/>
      <c r="E1438" s="17" t="n"/>
      <c r="F1438" s="28" t="n"/>
      <c r="G1438" s="29" t="n"/>
      <c r="H1438" s="29" t="n"/>
      <c r="I1438" s="29" t="n"/>
      <c r="J1438" s="29" t="n"/>
      <c r="K1438" s="30">
        <f>IF(B1438="","",SUM(G$2:I1438)-SUM(J$2:J1438))</f>
        <v/>
      </c>
      <c r="L1438" s="22">
        <f>IF(B1438="","",IF(B1438=B1437,L1437,N(L1437)+1))</f>
        <v/>
      </c>
    </row>
    <row r="1439">
      <c r="A1439" s="22" t="n"/>
      <c r="B1439" s="27" t="n"/>
      <c r="C1439" s="17" t="n"/>
      <c r="D1439" s="17" t="n"/>
      <c r="E1439" s="17" t="n"/>
      <c r="F1439" s="28" t="n"/>
      <c r="G1439" s="29" t="n"/>
      <c r="H1439" s="29" t="n"/>
      <c r="I1439" s="29" t="n"/>
      <c r="J1439" s="29" t="n"/>
      <c r="K1439" s="30">
        <f>IF(B1439="","",SUM(G$2:I1439)-SUM(J$2:J1439))</f>
        <v/>
      </c>
      <c r="L1439" s="22">
        <f>IF(B1439="","",IF(B1439=B1438,L1438,N(L1438)+1))</f>
        <v/>
      </c>
    </row>
    <row r="1440">
      <c r="A1440" s="22" t="n"/>
      <c r="B1440" s="27" t="n"/>
      <c r="C1440" s="17" t="n"/>
      <c r="D1440" s="17" t="n"/>
      <c r="E1440" s="17" t="n"/>
      <c r="F1440" s="28" t="n"/>
      <c r="G1440" s="29" t="n"/>
      <c r="H1440" s="29" t="n"/>
      <c r="I1440" s="29" t="n"/>
      <c r="J1440" s="29" t="n"/>
      <c r="K1440" s="30">
        <f>IF(B1440="","",SUM(G$2:I1440)-SUM(J$2:J1440))</f>
        <v/>
      </c>
      <c r="L1440" s="22">
        <f>IF(B1440="","",IF(B1440=B1439,L1439,N(L1439)+1))</f>
        <v/>
      </c>
    </row>
    <row r="1441">
      <c r="A1441" s="22" t="n"/>
      <c r="B1441" s="27" t="n"/>
      <c r="C1441" s="17" t="n"/>
      <c r="D1441" s="17" t="n"/>
      <c r="E1441" s="17" t="n"/>
      <c r="F1441" s="28" t="n"/>
      <c r="G1441" s="29" t="n"/>
      <c r="H1441" s="29" t="n"/>
      <c r="I1441" s="29" t="n"/>
      <c r="J1441" s="29" t="n"/>
      <c r="K1441" s="30">
        <f>IF(B1441="","",SUM(G$2:I1441)-SUM(J$2:J1441))</f>
        <v/>
      </c>
      <c r="L1441" s="22">
        <f>IF(B1441="","",IF(B1441=B1440,L1440,N(L1440)+1))</f>
        <v/>
      </c>
    </row>
    <row r="1442">
      <c r="A1442" s="22" t="n"/>
      <c r="B1442" s="27" t="n"/>
      <c r="C1442" s="17" t="n"/>
      <c r="D1442" s="17" t="n"/>
      <c r="E1442" s="17" t="n"/>
      <c r="F1442" s="28" t="n"/>
      <c r="G1442" s="29" t="n"/>
      <c r="H1442" s="29" t="n"/>
      <c r="I1442" s="29" t="n"/>
      <c r="J1442" s="29" t="n"/>
      <c r="K1442" s="30">
        <f>IF(B1442="","",SUM(G$2:I1442)-SUM(J$2:J1442))</f>
        <v/>
      </c>
      <c r="L1442" s="22">
        <f>IF(B1442="","",IF(B1442=B1441,L1441,N(L1441)+1))</f>
        <v/>
      </c>
    </row>
    <row r="1443">
      <c r="A1443" s="22" t="n"/>
      <c r="B1443" s="27" t="n"/>
      <c r="C1443" s="17" t="n"/>
      <c r="D1443" s="17" t="n"/>
      <c r="E1443" s="17" t="n"/>
      <c r="F1443" s="28" t="n"/>
      <c r="G1443" s="29" t="n"/>
      <c r="H1443" s="29" t="n"/>
      <c r="I1443" s="29" t="n"/>
      <c r="J1443" s="29" t="n"/>
      <c r="K1443" s="30">
        <f>IF(B1443="","",SUM(G$2:I1443)-SUM(J$2:J1443))</f>
        <v/>
      </c>
      <c r="L1443" s="22">
        <f>IF(B1443="","",IF(B1443=B1442,L1442,N(L1442)+1))</f>
        <v/>
      </c>
    </row>
    <row r="1444">
      <c r="A1444" s="22" t="n"/>
      <c r="B1444" s="27" t="n"/>
      <c r="C1444" s="17" t="n"/>
      <c r="D1444" s="17" t="n"/>
      <c r="E1444" s="17" t="n"/>
      <c r="F1444" s="28" t="n"/>
      <c r="G1444" s="29" t="n"/>
      <c r="H1444" s="29" t="n"/>
      <c r="I1444" s="29" t="n"/>
      <c r="J1444" s="29" t="n"/>
      <c r="K1444" s="30">
        <f>IF(B1444="","",SUM(G$2:I1444)-SUM(J$2:J1444))</f>
        <v/>
      </c>
      <c r="L1444" s="22">
        <f>IF(B1444="","",IF(B1444=B1443,L1443,N(L1443)+1))</f>
        <v/>
      </c>
    </row>
    <row r="1445">
      <c r="A1445" s="22" t="n"/>
      <c r="B1445" s="27" t="n"/>
      <c r="C1445" s="17" t="n"/>
      <c r="D1445" s="17" t="n"/>
      <c r="E1445" s="17" t="n"/>
      <c r="F1445" s="28" t="n"/>
      <c r="G1445" s="29" t="n"/>
      <c r="H1445" s="29" t="n"/>
      <c r="I1445" s="29" t="n"/>
      <c r="J1445" s="29" t="n"/>
      <c r="K1445" s="30">
        <f>IF(B1445="","",SUM(G$2:I1445)-SUM(J$2:J1445))</f>
        <v/>
      </c>
      <c r="L1445" s="22">
        <f>IF(B1445="","",IF(B1445=B1444,L1444,N(L1444)+1))</f>
        <v/>
      </c>
    </row>
    <row r="1446">
      <c r="A1446" s="22" t="n"/>
      <c r="B1446" s="27" t="n"/>
      <c r="C1446" s="17" t="n"/>
      <c r="D1446" s="17" t="n"/>
      <c r="E1446" s="17" t="n"/>
      <c r="F1446" s="28" t="n"/>
      <c r="G1446" s="29" t="n"/>
      <c r="H1446" s="29" t="n"/>
      <c r="I1446" s="29" t="n"/>
      <c r="J1446" s="29" t="n"/>
      <c r="K1446" s="30">
        <f>IF(B1446="","",SUM(G$2:I1446)-SUM(J$2:J1446))</f>
        <v/>
      </c>
      <c r="L1446" s="22">
        <f>IF(B1446="","",IF(B1446=B1445,L1445,N(L1445)+1))</f>
        <v/>
      </c>
    </row>
    <row r="1447">
      <c r="A1447" s="22" t="n"/>
      <c r="B1447" s="27" t="n"/>
      <c r="C1447" s="17" t="n"/>
      <c r="D1447" s="17" t="n"/>
      <c r="E1447" s="17" t="n"/>
      <c r="F1447" s="28" t="n"/>
      <c r="G1447" s="29" t="n"/>
      <c r="H1447" s="29" t="n"/>
      <c r="I1447" s="29" t="n"/>
      <c r="J1447" s="29" t="n"/>
      <c r="K1447" s="30">
        <f>IF(B1447="","",SUM(G$2:I1447)-SUM(J$2:J1447))</f>
        <v/>
      </c>
      <c r="L1447" s="22">
        <f>IF(B1447="","",IF(B1447=B1446,L1446,N(L1446)+1))</f>
        <v/>
      </c>
    </row>
    <row r="1448">
      <c r="A1448" s="22" t="n"/>
      <c r="B1448" s="27" t="n"/>
      <c r="C1448" s="17" t="n"/>
      <c r="D1448" s="17" t="n"/>
      <c r="E1448" s="17" t="n"/>
      <c r="F1448" s="28" t="n"/>
      <c r="G1448" s="29" t="n"/>
      <c r="H1448" s="29" t="n"/>
      <c r="I1448" s="29" t="n"/>
      <c r="J1448" s="29" t="n"/>
      <c r="K1448" s="30">
        <f>IF(B1448="","",SUM(G$2:I1448)-SUM(J$2:J1448))</f>
        <v/>
      </c>
      <c r="L1448" s="22">
        <f>IF(B1448="","",IF(B1448=B1447,L1447,N(L1447)+1))</f>
        <v/>
      </c>
    </row>
    <row r="1449">
      <c r="A1449" s="22" t="n"/>
      <c r="B1449" s="27" t="n"/>
      <c r="C1449" s="17" t="n"/>
      <c r="D1449" s="17" t="n"/>
      <c r="E1449" s="17" t="n"/>
      <c r="F1449" s="28" t="n"/>
      <c r="G1449" s="29" t="n"/>
      <c r="H1449" s="29" t="n"/>
      <c r="I1449" s="29" t="n"/>
      <c r="J1449" s="29" t="n"/>
      <c r="K1449" s="30">
        <f>IF(B1449="","",SUM(G$2:I1449)-SUM(J$2:J1449))</f>
        <v/>
      </c>
      <c r="L1449" s="22">
        <f>IF(B1449="","",IF(B1449=B1448,L1448,N(L1448)+1))</f>
        <v/>
      </c>
    </row>
    <row r="1450">
      <c r="A1450" s="22" t="n"/>
      <c r="B1450" s="27" t="n"/>
      <c r="C1450" s="17" t="n"/>
      <c r="D1450" s="17" t="n"/>
      <c r="E1450" s="17" t="n"/>
      <c r="F1450" s="28" t="n"/>
      <c r="G1450" s="29" t="n"/>
      <c r="H1450" s="29" t="n"/>
      <c r="I1450" s="29" t="n"/>
      <c r="J1450" s="29" t="n"/>
      <c r="K1450" s="30">
        <f>IF(B1450="","",SUM(G$2:I1450)-SUM(J$2:J1450))</f>
        <v/>
      </c>
      <c r="L1450" s="22">
        <f>IF(B1450="","",IF(B1450=B1449,L1449,N(L1449)+1))</f>
        <v/>
      </c>
    </row>
    <row r="1451">
      <c r="A1451" s="22" t="n"/>
      <c r="B1451" s="27" t="n"/>
      <c r="C1451" s="17" t="n"/>
      <c r="D1451" s="17" t="n"/>
      <c r="E1451" s="17" t="n"/>
      <c r="F1451" s="28" t="n"/>
      <c r="G1451" s="29" t="n"/>
      <c r="H1451" s="29" t="n"/>
      <c r="I1451" s="29" t="n"/>
      <c r="J1451" s="29" t="n"/>
      <c r="K1451" s="30">
        <f>IF(B1451="","",SUM(G$2:I1451)-SUM(J$2:J1451))</f>
        <v/>
      </c>
      <c r="L1451" s="22">
        <f>IF(B1451="","",IF(B1451=B1450,L1450,N(L1450)+1))</f>
        <v/>
      </c>
    </row>
    <row r="1452">
      <c r="A1452" s="22" t="n"/>
      <c r="B1452" s="27" t="n"/>
      <c r="C1452" s="17" t="n"/>
      <c r="D1452" s="17" t="n"/>
      <c r="E1452" s="17" t="n"/>
      <c r="F1452" s="28" t="n"/>
      <c r="G1452" s="29" t="n"/>
      <c r="H1452" s="29" t="n"/>
      <c r="I1452" s="29" t="n"/>
      <c r="J1452" s="29" t="n"/>
      <c r="K1452" s="30">
        <f>IF(B1452="","",SUM(G$2:I1452)-SUM(J$2:J1452))</f>
        <v/>
      </c>
      <c r="L1452" s="22">
        <f>IF(B1452="","",IF(B1452=B1451,L1451,N(L1451)+1))</f>
        <v/>
      </c>
    </row>
    <row r="1453">
      <c r="A1453" s="22" t="n"/>
      <c r="B1453" s="27" t="n"/>
      <c r="C1453" s="17" t="n"/>
      <c r="D1453" s="17" t="n"/>
      <c r="E1453" s="17" t="n"/>
      <c r="F1453" s="28" t="n"/>
      <c r="G1453" s="29" t="n"/>
      <c r="H1453" s="29" t="n"/>
      <c r="I1453" s="29" t="n"/>
      <c r="J1453" s="29" t="n"/>
      <c r="K1453" s="30">
        <f>IF(B1453="","",SUM(G$2:I1453)-SUM(J$2:J1453))</f>
        <v/>
      </c>
      <c r="L1453" s="22">
        <f>IF(B1453="","",IF(B1453=B1452,L1452,N(L1452)+1))</f>
        <v/>
      </c>
    </row>
    <row r="1454">
      <c r="A1454" s="22" t="n"/>
      <c r="B1454" s="27" t="n"/>
      <c r="C1454" s="17" t="n"/>
      <c r="D1454" s="17" t="n"/>
      <c r="E1454" s="17" t="n"/>
      <c r="F1454" s="28" t="n"/>
      <c r="G1454" s="29" t="n"/>
      <c r="H1454" s="29" t="n"/>
      <c r="I1454" s="29" t="n"/>
      <c r="J1454" s="29" t="n"/>
      <c r="K1454" s="30">
        <f>IF(B1454="","",SUM(G$2:I1454)-SUM(J$2:J1454))</f>
        <v/>
      </c>
      <c r="L1454" s="22">
        <f>IF(B1454="","",IF(B1454=B1453,L1453,N(L1453)+1))</f>
        <v/>
      </c>
    </row>
    <row r="1455">
      <c r="A1455" s="22" t="n"/>
      <c r="B1455" s="27" t="n"/>
      <c r="C1455" s="17" t="n"/>
      <c r="D1455" s="17" t="n"/>
      <c r="E1455" s="17" t="n"/>
      <c r="F1455" s="28" t="n"/>
      <c r="G1455" s="29" t="n"/>
      <c r="H1455" s="29" t="n"/>
      <c r="I1455" s="29" t="n"/>
      <c r="J1455" s="29" t="n"/>
      <c r="K1455" s="30">
        <f>IF(B1455="","",SUM(G$2:I1455)-SUM(J$2:J1455))</f>
        <v/>
      </c>
      <c r="L1455" s="22">
        <f>IF(B1455="","",IF(B1455=B1454,L1454,N(L1454)+1))</f>
        <v/>
      </c>
    </row>
    <row r="1456">
      <c r="A1456" s="22" t="n"/>
      <c r="B1456" s="27" t="n"/>
      <c r="C1456" s="17" t="n"/>
      <c r="D1456" s="17" t="n"/>
      <c r="E1456" s="17" t="n"/>
      <c r="F1456" s="28" t="n"/>
      <c r="G1456" s="29" t="n"/>
      <c r="H1456" s="29" t="n"/>
      <c r="I1456" s="29" t="n"/>
      <c r="J1456" s="29" t="n"/>
      <c r="K1456" s="30">
        <f>IF(B1456="","",SUM(G$2:I1456)-SUM(J$2:J1456))</f>
        <v/>
      </c>
      <c r="L1456" s="22">
        <f>IF(B1456="","",IF(B1456=B1455,L1455,N(L1455)+1))</f>
        <v/>
      </c>
    </row>
    <row r="1457">
      <c r="A1457" s="22" t="n"/>
      <c r="B1457" s="27" t="n"/>
      <c r="C1457" s="17" t="n"/>
      <c r="D1457" s="17" t="n"/>
      <c r="E1457" s="17" t="n"/>
      <c r="F1457" s="28" t="n"/>
      <c r="G1457" s="29" t="n"/>
      <c r="H1457" s="29" t="n"/>
      <c r="I1457" s="29" t="n"/>
      <c r="J1457" s="29" t="n"/>
      <c r="K1457" s="30">
        <f>IF(B1457="","",SUM(G$2:I1457)-SUM(J$2:J1457))</f>
        <v/>
      </c>
      <c r="L1457" s="22">
        <f>IF(B1457="","",IF(B1457=B1456,L1456,N(L1456)+1))</f>
        <v/>
      </c>
    </row>
    <row r="1458">
      <c r="A1458" s="22" t="n"/>
      <c r="B1458" s="27" t="n"/>
      <c r="C1458" s="17" t="n"/>
      <c r="D1458" s="17" t="n"/>
      <c r="E1458" s="17" t="n"/>
      <c r="F1458" s="28" t="n"/>
      <c r="G1458" s="29" t="n"/>
      <c r="H1458" s="29" t="n"/>
      <c r="I1458" s="29" t="n"/>
      <c r="J1458" s="29" t="n"/>
      <c r="K1458" s="30">
        <f>IF(B1458="","",SUM(G$2:I1458)-SUM(J$2:J1458))</f>
        <v/>
      </c>
      <c r="L1458" s="22">
        <f>IF(B1458="","",IF(B1458=B1457,L1457,N(L1457)+1))</f>
        <v/>
      </c>
    </row>
    <row r="1459">
      <c r="A1459" s="22" t="n"/>
      <c r="B1459" s="27" t="n"/>
      <c r="C1459" s="17" t="n"/>
      <c r="D1459" s="17" t="n"/>
      <c r="E1459" s="17" t="n"/>
      <c r="F1459" s="28" t="n"/>
      <c r="G1459" s="29" t="n"/>
      <c r="H1459" s="29" t="n"/>
      <c r="I1459" s="29" t="n"/>
      <c r="J1459" s="29" t="n"/>
      <c r="K1459" s="30">
        <f>IF(B1459="","",SUM(G$2:I1459)-SUM(J$2:J1459))</f>
        <v/>
      </c>
      <c r="L1459" s="22">
        <f>IF(B1459="","",IF(B1459=B1458,L1458,N(L1458)+1))</f>
        <v/>
      </c>
    </row>
    <row r="1460">
      <c r="A1460" s="22" t="n"/>
      <c r="B1460" s="27" t="n"/>
      <c r="C1460" s="17" t="n"/>
      <c r="D1460" s="17" t="n"/>
      <c r="E1460" s="17" t="n"/>
      <c r="F1460" s="28" t="n"/>
      <c r="G1460" s="29" t="n"/>
      <c r="H1460" s="29" t="n"/>
      <c r="I1460" s="29" t="n"/>
      <c r="J1460" s="29" t="n"/>
      <c r="K1460" s="30">
        <f>IF(B1460="","",SUM(G$2:I1460)-SUM(J$2:J1460))</f>
        <v/>
      </c>
      <c r="L1460" s="22">
        <f>IF(B1460="","",IF(B1460=B1459,L1459,N(L1459)+1))</f>
        <v/>
      </c>
    </row>
    <row r="1461">
      <c r="A1461" s="22" t="n"/>
      <c r="B1461" s="27" t="n"/>
      <c r="C1461" s="17" t="n"/>
      <c r="D1461" s="17" t="n"/>
      <c r="E1461" s="17" t="n"/>
      <c r="F1461" s="28" t="n"/>
      <c r="G1461" s="29" t="n"/>
      <c r="H1461" s="29" t="n"/>
      <c r="I1461" s="29" t="n"/>
      <c r="J1461" s="29" t="n"/>
      <c r="K1461" s="30">
        <f>IF(B1461="","",SUM(G$2:I1461)-SUM(J$2:J1461))</f>
        <v/>
      </c>
      <c r="L1461" s="22">
        <f>IF(B1461="","",IF(B1461=B1460,L1460,N(L1460)+1))</f>
        <v/>
      </c>
    </row>
    <row r="1462">
      <c r="A1462" s="22" t="n"/>
      <c r="B1462" s="27" t="n"/>
      <c r="C1462" s="17" t="n"/>
      <c r="D1462" s="17" t="n"/>
      <c r="E1462" s="17" t="n"/>
      <c r="F1462" s="28" t="n"/>
      <c r="G1462" s="29" t="n"/>
      <c r="H1462" s="29" t="n"/>
      <c r="I1462" s="29" t="n"/>
      <c r="J1462" s="29" t="n"/>
      <c r="K1462" s="30">
        <f>IF(B1462="","",SUM(G$2:I1462)-SUM(J$2:J1462))</f>
        <v/>
      </c>
      <c r="L1462" s="22">
        <f>IF(B1462="","",IF(B1462=B1461,L1461,N(L1461)+1))</f>
        <v/>
      </c>
    </row>
    <row r="1463">
      <c r="A1463" s="22" t="n"/>
      <c r="B1463" s="27" t="n"/>
      <c r="C1463" s="17" t="n"/>
      <c r="D1463" s="17" t="n"/>
      <c r="E1463" s="17" t="n"/>
      <c r="F1463" s="28" t="n"/>
      <c r="G1463" s="29" t="n"/>
      <c r="H1463" s="29" t="n"/>
      <c r="I1463" s="29" t="n"/>
      <c r="J1463" s="29" t="n"/>
      <c r="K1463" s="30">
        <f>IF(B1463="","",SUM(G$2:I1463)-SUM(J$2:J1463))</f>
        <v/>
      </c>
      <c r="L1463" s="22">
        <f>IF(B1463="","",IF(B1463=B1462,L1462,N(L1462)+1))</f>
        <v/>
      </c>
    </row>
    <row r="1464">
      <c r="A1464" s="22" t="n"/>
      <c r="B1464" s="27" t="n"/>
      <c r="C1464" s="17" t="n"/>
      <c r="D1464" s="17" t="n"/>
      <c r="E1464" s="17" t="n"/>
      <c r="F1464" s="28" t="n"/>
      <c r="G1464" s="29" t="n"/>
      <c r="H1464" s="29" t="n"/>
      <c r="I1464" s="29" t="n"/>
      <c r="J1464" s="29" t="n"/>
      <c r="K1464" s="30">
        <f>IF(B1464="","",SUM(G$2:I1464)-SUM(J$2:J1464))</f>
        <v/>
      </c>
      <c r="L1464" s="22">
        <f>IF(B1464="","",IF(B1464=B1463,L1463,N(L1463)+1))</f>
        <v/>
      </c>
    </row>
    <row r="1465">
      <c r="A1465" s="22" t="n"/>
      <c r="B1465" s="27" t="n"/>
      <c r="C1465" s="17" t="n"/>
      <c r="D1465" s="17" t="n"/>
      <c r="E1465" s="17" t="n"/>
      <c r="F1465" s="28" t="n"/>
      <c r="G1465" s="29" t="n"/>
      <c r="H1465" s="29" t="n"/>
      <c r="I1465" s="29" t="n"/>
      <c r="J1465" s="29" t="n"/>
      <c r="K1465" s="30">
        <f>IF(B1465="","",SUM(G$2:I1465)-SUM(J$2:J1465))</f>
        <v/>
      </c>
      <c r="L1465" s="22">
        <f>IF(B1465="","",IF(B1465=B1464,L1464,N(L1464)+1))</f>
        <v/>
      </c>
    </row>
    <row r="1466">
      <c r="A1466" s="22" t="n"/>
      <c r="B1466" s="27" t="n"/>
      <c r="C1466" s="17" t="n"/>
      <c r="D1466" s="17" t="n"/>
      <c r="E1466" s="17" t="n"/>
      <c r="F1466" s="28" t="n"/>
      <c r="G1466" s="29" t="n"/>
      <c r="H1466" s="29" t="n"/>
      <c r="I1466" s="29" t="n"/>
      <c r="J1466" s="29" t="n"/>
      <c r="K1466" s="30">
        <f>IF(B1466="","",SUM(G$2:I1466)-SUM(J$2:J1466))</f>
        <v/>
      </c>
      <c r="L1466" s="22">
        <f>IF(B1466="","",IF(B1466=B1465,L1465,N(L1465)+1))</f>
        <v/>
      </c>
    </row>
    <row r="1467">
      <c r="A1467" s="22" t="n"/>
      <c r="B1467" s="27" t="n"/>
      <c r="C1467" s="17" t="n"/>
      <c r="D1467" s="17" t="n"/>
      <c r="E1467" s="17" t="n"/>
      <c r="F1467" s="28" t="n"/>
      <c r="G1467" s="29" t="n"/>
      <c r="H1467" s="29" t="n"/>
      <c r="I1467" s="29" t="n"/>
      <c r="J1467" s="29" t="n"/>
      <c r="K1467" s="30">
        <f>IF(B1467="","",SUM(G$2:I1467)-SUM(J$2:J1467))</f>
        <v/>
      </c>
      <c r="L1467" s="22">
        <f>IF(B1467="","",IF(B1467=B1466,L1466,N(L1466)+1))</f>
        <v/>
      </c>
    </row>
    <row r="1468">
      <c r="A1468" s="22" t="n"/>
      <c r="B1468" s="27" t="n"/>
      <c r="C1468" s="17" t="n"/>
      <c r="D1468" s="17" t="n"/>
      <c r="E1468" s="17" t="n"/>
      <c r="F1468" s="28" t="n"/>
      <c r="G1468" s="29" t="n"/>
      <c r="H1468" s="29" t="n"/>
      <c r="I1468" s="29" t="n"/>
      <c r="J1468" s="29" t="n"/>
      <c r="K1468" s="30">
        <f>IF(B1468="","",SUM(G$2:I1468)-SUM(J$2:J1468))</f>
        <v/>
      </c>
      <c r="L1468" s="22">
        <f>IF(B1468="","",IF(B1468=B1467,L1467,N(L1467)+1))</f>
        <v/>
      </c>
    </row>
    <row r="1469">
      <c r="A1469" s="22" t="n"/>
      <c r="B1469" s="27" t="n"/>
      <c r="C1469" s="17" t="n"/>
      <c r="D1469" s="17" t="n"/>
      <c r="E1469" s="17" t="n"/>
      <c r="F1469" s="28" t="n"/>
      <c r="G1469" s="29" t="n"/>
      <c r="H1469" s="29" t="n"/>
      <c r="I1469" s="29" t="n"/>
      <c r="J1469" s="29" t="n"/>
      <c r="K1469" s="30">
        <f>IF(B1469="","",SUM(G$2:I1469)-SUM(J$2:J1469))</f>
        <v/>
      </c>
      <c r="L1469" s="22">
        <f>IF(B1469="","",IF(B1469=B1468,L1468,N(L1468)+1))</f>
        <v/>
      </c>
    </row>
    <row r="1470">
      <c r="A1470" s="22" t="n"/>
      <c r="B1470" s="27" t="n"/>
      <c r="C1470" s="17" t="n"/>
      <c r="D1470" s="17" t="n"/>
      <c r="E1470" s="17" t="n"/>
      <c r="F1470" s="28" t="n"/>
      <c r="G1470" s="29" t="n"/>
      <c r="H1470" s="29" t="n"/>
      <c r="I1470" s="29" t="n"/>
      <c r="J1470" s="29" t="n"/>
      <c r="K1470" s="30">
        <f>IF(B1470="","",SUM(G$2:I1470)-SUM(J$2:J1470))</f>
        <v/>
      </c>
      <c r="L1470" s="22">
        <f>IF(B1470="","",IF(B1470=B1469,L1469,N(L1469)+1))</f>
        <v/>
      </c>
    </row>
    <row r="1471">
      <c r="A1471" s="22" t="n"/>
      <c r="B1471" s="27" t="n"/>
      <c r="C1471" s="17" t="n"/>
      <c r="D1471" s="17" t="n"/>
      <c r="E1471" s="17" t="n"/>
      <c r="F1471" s="28" t="n"/>
      <c r="G1471" s="29" t="n"/>
      <c r="H1471" s="29" t="n"/>
      <c r="I1471" s="29" t="n"/>
      <c r="J1471" s="29" t="n"/>
      <c r="K1471" s="30">
        <f>IF(B1471="","",SUM(G$2:I1471)-SUM(J$2:J1471))</f>
        <v/>
      </c>
      <c r="L1471" s="22">
        <f>IF(B1471="","",IF(B1471=B1470,L1470,N(L1470)+1))</f>
        <v/>
      </c>
    </row>
    <row r="1472">
      <c r="A1472" s="22" t="n"/>
      <c r="B1472" s="27" t="n"/>
      <c r="C1472" s="17" t="n"/>
      <c r="D1472" s="17" t="n"/>
      <c r="E1472" s="17" t="n"/>
      <c r="F1472" s="28" t="n"/>
      <c r="G1472" s="29" t="n"/>
      <c r="H1472" s="29" t="n"/>
      <c r="I1472" s="29" t="n"/>
      <c r="J1472" s="29" t="n"/>
      <c r="K1472" s="30">
        <f>IF(B1472="","",SUM(G$2:I1472)-SUM(J$2:J1472))</f>
        <v/>
      </c>
      <c r="L1472" s="22">
        <f>IF(B1472="","",IF(B1472=B1471,L1471,N(L1471)+1))</f>
        <v/>
      </c>
    </row>
    <row r="1473">
      <c r="A1473" s="22" t="n"/>
      <c r="B1473" s="27" t="n"/>
      <c r="C1473" s="17" t="n"/>
      <c r="D1473" s="17" t="n"/>
      <c r="E1473" s="17" t="n"/>
      <c r="F1473" s="28" t="n"/>
      <c r="G1473" s="29" t="n"/>
      <c r="H1473" s="29" t="n"/>
      <c r="I1473" s="29" t="n"/>
      <c r="J1473" s="29" t="n"/>
      <c r="K1473" s="30">
        <f>IF(B1473="","",SUM(G$2:I1473)-SUM(J$2:J1473))</f>
        <v/>
      </c>
      <c r="L1473" s="22">
        <f>IF(B1473="","",IF(B1473=B1472,L1472,N(L1472)+1))</f>
        <v/>
      </c>
    </row>
    <row r="1474">
      <c r="A1474" s="22" t="n"/>
      <c r="B1474" s="27" t="n"/>
      <c r="C1474" s="17" t="n"/>
      <c r="D1474" s="17" t="n"/>
      <c r="E1474" s="17" t="n"/>
      <c r="F1474" s="28" t="n"/>
      <c r="G1474" s="29" t="n"/>
      <c r="H1474" s="29" t="n"/>
      <c r="I1474" s="29" t="n"/>
      <c r="J1474" s="29" t="n"/>
      <c r="K1474" s="30">
        <f>IF(B1474="","",SUM(G$2:I1474)-SUM(J$2:J1474))</f>
        <v/>
      </c>
      <c r="L1474" s="22">
        <f>IF(B1474="","",IF(B1474=B1473,L1473,N(L1473)+1))</f>
        <v/>
      </c>
    </row>
    <row r="1475">
      <c r="A1475" s="22" t="n"/>
      <c r="B1475" s="27" t="n"/>
      <c r="C1475" s="17" t="n"/>
      <c r="D1475" s="17" t="n"/>
      <c r="E1475" s="17" t="n"/>
      <c r="F1475" s="28" t="n"/>
      <c r="G1475" s="29" t="n"/>
      <c r="H1475" s="29" t="n"/>
      <c r="I1475" s="29" t="n"/>
      <c r="J1475" s="29" t="n"/>
      <c r="K1475" s="30">
        <f>IF(B1475="","",SUM(G$2:I1475)-SUM(J$2:J1475))</f>
        <v/>
      </c>
      <c r="L1475" s="22">
        <f>IF(B1475="","",IF(B1475=B1474,L1474,N(L1474)+1))</f>
        <v/>
      </c>
    </row>
    <row r="1476">
      <c r="A1476" s="22" t="n"/>
      <c r="B1476" s="27" t="n"/>
      <c r="C1476" s="17" t="n"/>
      <c r="D1476" s="17" t="n"/>
      <c r="E1476" s="17" t="n"/>
      <c r="F1476" s="28" t="n"/>
      <c r="G1476" s="29" t="n"/>
      <c r="H1476" s="29" t="n"/>
      <c r="I1476" s="29" t="n"/>
      <c r="J1476" s="29" t="n"/>
      <c r="K1476" s="30">
        <f>IF(B1476="","",SUM(G$2:I1476)-SUM(J$2:J1476))</f>
        <v/>
      </c>
      <c r="L1476" s="22">
        <f>IF(B1476="","",IF(B1476=B1475,L1475,N(L1475)+1))</f>
        <v/>
      </c>
    </row>
    <row r="1477">
      <c r="A1477" s="22" t="n"/>
      <c r="B1477" s="27" t="n"/>
      <c r="C1477" s="17" t="n"/>
      <c r="D1477" s="17" t="n"/>
      <c r="E1477" s="17" t="n"/>
      <c r="F1477" s="28" t="n"/>
      <c r="G1477" s="29" t="n"/>
      <c r="H1477" s="29" t="n"/>
      <c r="I1477" s="29" t="n"/>
      <c r="J1477" s="29" t="n"/>
      <c r="K1477" s="30">
        <f>IF(B1477="","",SUM(G$2:I1477)-SUM(J$2:J1477))</f>
        <v/>
      </c>
      <c r="L1477" s="22">
        <f>IF(B1477="","",IF(B1477=B1476,L1476,N(L1476)+1))</f>
        <v/>
      </c>
    </row>
    <row r="1478">
      <c r="A1478" s="22" t="n"/>
      <c r="B1478" s="27" t="n"/>
      <c r="C1478" s="17" t="n"/>
      <c r="D1478" s="17" t="n"/>
      <c r="E1478" s="17" t="n"/>
      <c r="F1478" s="28" t="n"/>
      <c r="G1478" s="29" t="n"/>
      <c r="H1478" s="29" t="n"/>
      <c r="I1478" s="29" t="n"/>
      <c r="J1478" s="29" t="n"/>
      <c r="K1478" s="30">
        <f>IF(B1478="","",SUM(G$2:I1478)-SUM(J$2:J1478))</f>
        <v/>
      </c>
      <c r="L1478" s="22">
        <f>IF(B1478="","",IF(B1478=B1477,L1477,N(L1477)+1))</f>
        <v/>
      </c>
    </row>
    <row r="1479">
      <c r="A1479" s="22" t="n"/>
      <c r="B1479" s="27" t="n"/>
      <c r="C1479" s="17" t="n"/>
      <c r="D1479" s="17" t="n"/>
      <c r="E1479" s="17" t="n"/>
      <c r="F1479" s="28" t="n"/>
      <c r="G1479" s="29" t="n"/>
      <c r="H1479" s="29" t="n"/>
      <c r="I1479" s="29" t="n"/>
      <c r="J1479" s="29" t="n"/>
      <c r="K1479" s="30">
        <f>IF(B1479="","",SUM(G$2:I1479)-SUM(J$2:J1479))</f>
        <v/>
      </c>
      <c r="L1479" s="22">
        <f>IF(B1479="","",IF(B1479=B1478,L1478,N(L1478)+1))</f>
        <v/>
      </c>
    </row>
    <row r="1480">
      <c r="A1480" s="22" t="n"/>
      <c r="B1480" s="27" t="n"/>
      <c r="C1480" s="17" t="n"/>
      <c r="D1480" s="17" t="n"/>
      <c r="E1480" s="17" t="n"/>
      <c r="F1480" s="28" t="n"/>
      <c r="G1480" s="29" t="n"/>
      <c r="H1480" s="29" t="n"/>
      <c r="I1480" s="29" t="n"/>
      <c r="J1480" s="29" t="n"/>
      <c r="K1480" s="30">
        <f>IF(B1480="","",SUM(G$2:I1480)-SUM(J$2:J1480))</f>
        <v/>
      </c>
      <c r="L1480" s="22">
        <f>IF(B1480="","",IF(B1480=B1479,L1479,N(L1479)+1))</f>
        <v/>
      </c>
    </row>
    <row r="1481">
      <c r="A1481" s="22" t="n"/>
      <c r="B1481" s="27" t="n"/>
      <c r="C1481" s="17" t="n"/>
      <c r="D1481" s="17" t="n"/>
      <c r="E1481" s="17" t="n"/>
      <c r="F1481" s="28" t="n"/>
      <c r="G1481" s="29" t="n"/>
      <c r="H1481" s="29" t="n"/>
      <c r="I1481" s="29" t="n"/>
      <c r="J1481" s="29" t="n"/>
      <c r="K1481" s="30">
        <f>IF(B1481="","",SUM(G$2:I1481)-SUM(J$2:J1481))</f>
        <v/>
      </c>
      <c r="L1481" s="22">
        <f>IF(B1481="","",IF(B1481=B1480,L1480,N(L1480)+1))</f>
        <v/>
      </c>
    </row>
    <row r="1482">
      <c r="A1482" s="22" t="n"/>
      <c r="B1482" s="27" t="n"/>
      <c r="C1482" s="17" t="n"/>
      <c r="D1482" s="17" t="n"/>
      <c r="E1482" s="17" t="n"/>
      <c r="F1482" s="28" t="n"/>
      <c r="G1482" s="29" t="n"/>
      <c r="H1482" s="29" t="n"/>
      <c r="I1482" s="29" t="n"/>
      <c r="J1482" s="29" t="n"/>
      <c r="K1482" s="30">
        <f>IF(B1482="","",SUM(G$2:I1482)-SUM(J$2:J1482))</f>
        <v/>
      </c>
      <c r="L1482" s="22">
        <f>IF(B1482="","",IF(B1482=B1481,L1481,N(L1481)+1))</f>
        <v/>
      </c>
    </row>
    <row r="1483">
      <c r="A1483" s="22" t="n"/>
      <c r="B1483" s="27" t="n"/>
      <c r="C1483" s="17" t="n"/>
      <c r="D1483" s="17" t="n"/>
      <c r="E1483" s="17" t="n"/>
      <c r="F1483" s="28" t="n"/>
      <c r="G1483" s="29" t="n"/>
      <c r="H1483" s="29" t="n"/>
      <c r="I1483" s="29" t="n"/>
      <c r="J1483" s="29" t="n"/>
      <c r="K1483" s="30">
        <f>IF(B1483="","",SUM(G$2:I1483)-SUM(J$2:J1483))</f>
        <v/>
      </c>
      <c r="L1483" s="22">
        <f>IF(B1483="","",IF(B1483=B1482,L1482,N(L1482)+1))</f>
        <v/>
      </c>
    </row>
    <row r="1484">
      <c r="A1484" s="22" t="n"/>
      <c r="B1484" s="27" t="n"/>
      <c r="C1484" s="17" t="n"/>
      <c r="D1484" s="17" t="n"/>
      <c r="E1484" s="17" t="n"/>
      <c r="F1484" s="28" t="n"/>
      <c r="G1484" s="29" t="n"/>
      <c r="H1484" s="29" t="n"/>
      <c r="I1484" s="29" t="n"/>
      <c r="J1484" s="29" t="n"/>
      <c r="K1484" s="30">
        <f>IF(B1484="","",SUM(G$2:I1484)-SUM(J$2:J1484))</f>
        <v/>
      </c>
      <c r="L1484" s="22">
        <f>IF(B1484="","",IF(B1484=B1483,L1483,N(L1483)+1))</f>
        <v/>
      </c>
    </row>
    <row r="1485">
      <c r="A1485" s="22" t="n"/>
      <c r="B1485" s="27" t="n"/>
      <c r="C1485" s="17" t="n"/>
      <c r="D1485" s="17" t="n"/>
      <c r="E1485" s="17" t="n"/>
      <c r="F1485" s="28" t="n"/>
      <c r="G1485" s="29" t="n"/>
      <c r="H1485" s="29" t="n"/>
      <c r="I1485" s="29" t="n"/>
      <c r="J1485" s="29" t="n"/>
      <c r="K1485" s="30">
        <f>IF(B1485="","",SUM(G$2:I1485)-SUM(J$2:J1485))</f>
        <v/>
      </c>
      <c r="L1485" s="22">
        <f>IF(B1485="","",IF(B1485=B1484,L1484,N(L1484)+1))</f>
        <v/>
      </c>
    </row>
    <row r="1486">
      <c r="A1486" s="22" t="n"/>
      <c r="B1486" s="27" t="n"/>
      <c r="C1486" s="17" t="n"/>
      <c r="D1486" s="17" t="n"/>
      <c r="E1486" s="17" t="n"/>
      <c r="F1486" s="28" t="n"/>
      <c r="G1486" s="29" t="n"/>
      <c r="H1486" s="29" t="n"/>
      <c r="I1486" s="29" t="n"/>
      <c r="J1486" s="29" t="n"/>
      <c r="K1486" s="30">
        <f>IF(B1486="","",SUM(G$2:I1486)-SUM(J$2:J1486))</f>
        <v/>
      </c>
      <c r="L1486" s="22">
        <f>IF(B1486="","",IF(B1486=B1485,L1485,N(L1485)+1))</f>
        <v/>
      </c>
    </row>
    <row r="1487">
      <c r="A1487" s="22" t="n"/>
      <c r="B1487" s="27" t="n"/>
      <c r="C1487" s="17" t="n"/>
      <c r="D1487" s="17" t="n"/>
      <c r="E1487" s="17" t="n"/>
      <c r="F1487" s="28" t="n"/>
      <c r="G1487" s="29" t="n"/>
      <c r="H1487" s="29" t="n"/>
      <c r="I1487" s="29" t="n"/>
      <c r="J1487" s="29" t="n"/>
      <c r="K1487" s="30">
        <f>IF(B1487="","",SUM(G$2:I1487)-SUM(J$2:J1487))</f>
        <v/>
      </c>
      <c r="L1487" s="22">
        <f>IF(B1487="","",IF(B1487=B1486,L1486,N(L1486)+1))</f>
        <v/>
      </c>
    </row>
    <row r="1488">
      <c r="A1488" s="22" t="n"/>
      <c r="B1488" s="27" t="n"/>
      <c r="C1488" s="17" t="n"/>
      <c r="D1488" s="17" t="n"/>
      <c r="E1488" s="17" t="n"/>
      <c r="F1488" s="28" t="n"/>
      <c r="G1488" s="29" t="n"/>
      <c r="H1488" s="29" t="n"/>
      <c r="I1488" s="29" t="n"/>
      <c r="J1488" s="29" t="n"/>
      <c r="K1488" s="30">
        <f>IF(B1488="","",SUM(G$2:I1488)-SUM(J$2:J1488))</f>
        <v/>
      </c>
      <c r="L1488" s="22">
        <f>IF(B1488="","",IF(B1488=B1487,L1487,N(L1487)+1))</f>
        <v/>
      </c>
    </row>
    <row r="1489">
      <c r="A1489" s="22" t="n"/>
      <c r="B1489" s="27" t="n"/>
      <c r="C1489" s="17" t="n"/>
      <c r="D1489" s="17" t="n"/>
      <c r="E1489" s="17" t="n"/>
      <c r="F1489" s="28" t="n"/>
      <c r="G1489" s="29" t="n"/>
      <c r="H1489" s="29" t="n"/>
      <c r="I1489" s="29" t="n"/>
      <c r="J1489" s="29" t="n"/>
      <c r="K1489" s="30">
        <f>IF(B1489="","",SUM(G$2:I1489)-SUM(J$2:J1489))</f>
        <v/>
      </c>
      <c r="L1489" s="22">
        <f>IF(B1489="","",IF(B1489=B1488,L1488,N(L1488)+1))</f>
        <v/>
      </c>
    </row>
    <row r="1490">
      <c r="A1490" s="22" t="n"/>
      <c r="B1490" s="27" t="n"/>
      <c r="C1490" s="17" t="n"/>
      <c r="D1490" s="17" t="n"/>
      <c r="E1490" s="17" t="n"/>
      <c r="F1490" s="28" t="n"/>
      <c r="G1490" s="29" t="n"/>
      <c r="H1490" s="29" t="n"/>
      <c r="I1490" s="29" t="n"/>
      <c r="J1490" s="29" t="n"/>
      <c r="K1490" s="30">
        <f>IF(B1490="","",SUM(G$2:I1490)-SUM(J$2:J1490))</f>
        <v/>
      </c>
      <c r="L1490" s="22">
        <f>IF(B1490="","",IF(B1490=B1489,L1489,N(L1489)+1))</f>
        <v/>
      </c>
    </row>
    <row r="1491">
      <c r="A1491" s="22" t="n"/>
      <c r="B1491" s="27" t="n"/>
      <c r="C1491" s="17" t="n"/>
      <c r="D1491" s="17" t="n"/>
      <c r="E1491" s="17" t="n"/>
      <c r="F1491" s="28" t="n"/>
      <c r="G1491" s="29" t="n"/>
      <c r="H1491" s="29" t="n"/>
      <c r="I1491" s="29" t="n"/>
      <c r="J1491" s="29" t="n"/>
      <c r="K1491" s="30">
        <f>IF(B1491="","",SUM(G$2:I1491)-SUM(J$2:J1491))</f>
        <v/>
      </c>
      <c r="L1491" s="22">
        <f>IF(B1491="","",IF(B1491=B1490,L1490,N(L1490)+1))</f>
        <v/>
      </c>
    </row>
    <row r="1492">
      <c r="A1492" s="22" t="n"/>
      <c r="B1492" s="27" t="n"/>
      <c r="C1492" s="17" t="n"/>
      <c r="D1492" s="17" t="n"/>
      <c r="E1492" s="17" t="n"/>
      <c r="F1492" s="28" t="n"/>
      <c r="G1492" s="29" t="n"/>
      <c r="H1492" s="29" t="n"/>
      <c r="I1492" s="29" t="n"/>
      <c r="J1492" s="29" t="n"/>
      <c r="K1492" s="30">
        <f>IF(B1492="","",SUM(G$2:I1492)-SUM(J$2:J1492))</f>
        <v/>
      </c>
      <c r="L1492" s="22">
        <f>IF(B1492="","",IF(B1492=B1491,L1491,N(L1491)+1))</f>
        <v/>
      </c>
    </row>
    <row r="1493">
      <c r="A1493" s="22" t="n"/>
      <c r="B1493" s="27" t="n"/>
      <c r="C1493" s="17" t="n"/>
      <c r="D1493" s="17" t="n"/>
      <c r="E1493" s="17" t="n"/>
      <c r="F1493" s="28" t="n"/>
      <c r="G1493" s="29" t="n"/>
      <c r="H1493" s="29" t="n"/>
      <c r="I1493" s="29" t="n"/>
      <c r="J1493" s="29" t="n"/>
      <c r="K1493" s="30">
        <f>IF(B1493="","",SUM(G$2:I1493)-SUM(J$2:J1493))</f>
        <v/>
      </c>
      <c r="L1493" s="22">
        <f>IF(B1493="","",IF(B1493=B1492,L1492,N(L1492)+1))</f>
        <v/>
      </c>
    </row>
    <row r="1494">
      <c r="A1494" s="22" t="n"/>
      <c r="B1494" s="27" t="n"/>
      <c r="C1494" s="17" t="n"/>
      <c r="D1494" s="17" t="n"/>
      <c r="E1494" s="17" t="n"/>
      <c r="F1494" s="28" t="n"/>
      <c r="G1494" s="29" t="n"/>
      <c r="H1494" s="29" t="n"/>
      <c r="I1494" s="29" t="n"/>
      <c r="J1494" s="29" t="n"/>
      <c r="K1494" s="30">
        <f>IF(B1494="","",SUM(G$2:I1494)-SUM(J$2:J1494))</f>
        <v/>
      </c>
      <c r="L1494" s="22">
        <f>IF(B1494="","",IF(B1494=B1493,L1493,N(L1493)+1))</f>
        <v/>
      </c>
    </row>
    <row r="1495">
      <c r="A1495" s="22" t="n"/>
      <c r="B1495" s="27" t="n"/>
      <c r="C1495" s="17" t="n"/>
      <c r="D1495" s="17" t="n"/>
      <c r="E1495" s="17" t="n"/>
      <c r="F1495" s="28" t="n"/>
      <c r="G1495" s="29" t="n"/>
      <c r="H1495" s="29" t="n"/>
      <c r="I1495" s="29" t="n"/>
      <c r="J1495" s="29" t="n"/>
      <c r="K1495" s="30">
        <f>IF(B1495="","",SUM(G$2:I1495)-SUM(J$2:J1495))</f>
        <v/>
      </c>
      <c r="L1495" s="22">
        <f>IF(B1495="","",IF(B1495=B1494,L1494,N(L1494)+1))</f>
        <v/>
      </c>
    </row>
    <row r="1496">
      <c r="A1496" s="22" t="n"/>
      <c r="B1496" s="27" t="n"/>
      <c r="C1496" s="17" t="n"/>
      <c r="D1496" s="17" t="n"/>
      <c r="E1496" s="17" t="n"/>
      <c r="F1496" s="28" t="n"/>
      <c r="G1496" s="29" t="n"/>
      <c r="H1496" s="29" t="n"/>
      <c r="I1496" s="29" t="n"/>
      <c r="J1496" s="29" t="n"/>
      <c r="K1496" s="30">
        <f>IF(B1496="","",SUM(G$2:I1496)-SUM(J$2:J1496))</f>
        <v/>
      </c>
      <c r="L1496" s="22">
        <f>IF(B1496="","",IF(B1496=B1495,L1495,N(L1495)+1))</f>
        <v/>
      </c>
    </row>
    <row r="1497">
      <c r="A1497" s="22" t="n"/>
      <c r="B1497" s="27" t="n"/>
      <c r="C1497" s="17" t="n"/>
      <c r="D1497" s="17" t="n"/>
      <c r="E1497" s="17" t="n"/>
      <c r="F1497" s="28" t="n"/>
      <c r="G1497" s="29" t="n"/>
      <c r="H1497" s="29" t="n"/>
      <c r="I1497" s="29" t="n"/>
      <c r="J1497" s="29" t="n"/>
      <c r="K1497" s="30">
        <f>IF(B1497="","",SUM(G$2:I1497)-SUM(J$2:J1497))</f>
        <v/>
      </c>
      <c r="L1497" s="22">
        <f>IF(B1497="","",IF(B1497=B1496,L1496,N(L1496)+1))</f>
        <v/>
      </c>
    </row>
    <row r="1498">
      <c r="A1498" s="22" t="n"/>
      <c r="B1498" s="27" t="n"/>
      <c r="C1498" s="17" t="n"/>
      <c r="D1498" s="17" t="n"/>
      <c r="E1498" s="17" t="n"/>
      <c r="F1498" s="28" t="n"/>
      <c r="G1498" s="29" t="n"/>
      <c r="H1498" s="29" t="n"/>
      <c r="I1498" s="29" t="n"/>
      <c r="J1498" s="29" t="n"/>
      <c r="K1498" s="30">
        <f>IF(B1498="","",SUM(G$2:I1498)-SUM(J$2:J1498))</f>
        <v/>
      </c>
      <c r="L1498" s="22">
        <f>IF(B1498="","",IF(B1498=B1497,L1497,N(L1497)+1))</f>
        <v/>
      </c>
    </row>
    <row r="1499">
      <c r="A1499" s="22" t="n"/>
      <c r="B1499" s="27" t="n"/>
      <c r="C1499" s="17" t="n"/>
      <c r="D1499" s="17" t="n"/>
      <c r="E1499" s="17" t="n"/>
      <c r="F1499" s="28" t="n"/>
      <c r="G1499" s="29" t="n"/>
      <c r="H1499" s="29" t="n"/>
      <c r="I1499" s="29" t="n"/>
      <c r="J1499" s="29" t="n"/>
      <c r="K1499" s="30">
        <f>IF(B1499="","",SUM(G$2:I1499)-SUM(J$2:J1499))</f>
        <v/>
      </c>
      <c r="L1499" s="22">
        <f>IF(B1499="","",IF(B1499=B1498,L1498,N(L1498)+1))</f>
        <v/>
      </c>
    </row>
    <row r="1500">
      <c r="A1500" s="22" t="n"/>
      <c r="B1500" s="27" t="n"/>
      <c r="C1500" s="17" t="n"/>
      <c r="D1500" s="17" t="n"/>
      <c r="E1500" s="17" t="n"/>
      <c r="F1500" s="28" t="n"/>
      <c r="G1500" s="29" t="n"/>
      <c r="H1500" s="29" t="n"/>
      <c r="I1500" s="29" t="n"/>
      <c r="J1500" s="29" t="n"/>
      <c r="K1500" s="30">
        <f>IF(B1500="","",SUM(G$2:I1500)-SUM(J$2:J1500))</f>
        <v/>
      </c>
      <c r="L1500" s="22">
        <f>IF(B1500="","",IF(B1500=B1499,L1499,N(L1499)+1))</f>
        <v/>
      </c>
    </row>
    <row r="1501">
      <c r="A1501" s="22" t="n"/>
      <c r="B1501" s="27" t="n"/>
      <c r="C1501" s="17" t="n"/>
      <c r="D1501" s="17" t="n"/>
      <c r="E1501" s="17" t="n"/>
      <c r="F1501" s="28" t="n"/>
      <c r="G1501" s="29" t="n"/>
      <c r="H1501" s="29" t="n"/>
      <c r="I1501" s="29" t="n"/>
      <c r="J1501" s="29" t="n"/>
      <c r="K1501" s="30">
        <f>IF(B1501="","",SUM(G$2:I1501)-SUM(J$2:J1501))</f>
        <v/>
      </c>
      <c r="L1501" s="22">
        <f>IF(B1501="","",IF(B1501=B1500,L1500,N(L1500)+1))</f>
        <v/>
      </c>
    </row>
    <row r="1502">
      <c r="A1502" s="22" t="n"/>
      <c r="B1502" s="27" t="n"/>
      <c r="C1502" s="17" t="n"/>
      <c r="D1502" s="17" t="n"/>
      <c r="E1502" s="17" t="n"/>
      <c r="F1502" s="28" t="n"/>
      <c r="G1502" s="29" t="n"/>
      <c r="H1502" s="29" t="n"/>
      <c r="I1502" s="29" t="n"/>
      <c r="J1502" s="29" t="n"/>
      <c r="K1502" s="30">
        <f>IF(B1502="","",SUM(G$2:I1502)-SUM(J$2:J1502))</f>
        <v/>
      </c>
      <c r="L1502" s="22">
        <f>IF(B1502="","",IF(B1502=B1501,L1501,N(L1501)+1))</f>
        <v/>
      </c>
    </row>
    <row r="1503">
      <c r="A1503" s="22" t="n"/>
      <c r="B1503" s="27" t="n"/>
      <c r="C1503" s="17" t="n"/>
      <c r="D1503" s="17" t="n"/>
      <c r="E1503" s="17" t="n"/>
      <c r="F1503" s="28" t="n"/>
      <c r="G1503" s="29" t="n"/>
      <c r="H1503" s="29" t="n"/>
      <c r="I1503" s="29" t="n"/>
      <c r="J1503" s="29" t="n"/>
      <c r="K1503" s="30">
        <f>IF(B1503="","",SUM(G$2:I1503)-SUM(J$2:J1503))</f>
        <v/>
      </c>
      <c r="L1503" s="22">
        <f>IF(B1503="","",IF(B1503=B1502,L1502,N(L1502)+1))</f>
        <v/>
      </c>
    </row>
    <row r="1504">
      <c r="A1504" s="22" t="n"/>
      <c r="B1504" s="27" t="n"/>
      <c r="C1504" s="17" t="n"/>
      <c r="D1504" s="17" t="n"/>
      <c r="E1504" s="17" t="n"/>
      <c r="F1504" s="28" t="n"/>
      <c r="G1504" s="29" t="n"/>
      <c r="H1504" s="29" t="n"/>
      <c r="I1504" s="29" t="n"/>
      <c r="J1504" s="29" t="n"/>
      <c r="K1504" s="30">
        <f>IF(B1504="","",SUM(G$2:I1504)-SUM(J$2:J1504))</f>
        <v/>
      </c>
      <c r="L1504" s="22">
        <f>IF(B1504="","",IF(B1504=B1503,L1503,N(L1503)+1))</f>
        <v/>
      </c>
    </row>
    <row r="1505">
      <c r="A1505" s="22" t="n"/>
      <c r="B1505" s="27" t="n"/>
      <c r="C1505" s="17" t="n"/>
      <c r="D1505" s="17" t="n"/>
      <c r="E1505" s="17" t="n"/>
      <c r="F1505" s="28" t="n"/>
      <c r="G1505" s="29" t="n"/>
      <c r="H1505" s="29" t="n"/>
      <c r="I1505" s="29" t="n"/>
      <c r="J1505" s="29" t="n"/>
      <c r="K1505" s="30">
        <f>IF(B1505="","",SUM(G$2:I1505)-SUM(J$2:J1505))</f>
        <v/>
      </c>
      <c r="L1505" s="22">
        <f>IF(B1505="","",IF(B1505=B1504,L1504,N(L1504)+1))</f>
        <v/>
      </c>
    </row>
    <row r="1506">
      <c r="A1506" s="22" t="n"/>
      <c r="B1506" s="27" t="n"/>
      <c r="C1506" s="17" t="n"/>
      <c r="D1506" s="17" t="n"/>
      <c r="E1506" s="17" t="n"/>
      <c r="F1506" s="28" t="n"/>
      <c r="G1506" s="29" t="n"/>
      <c r="H1506" s="29" t="n"/>
      <c r="I1506" s="29" t="n"/>
      <c r="J1506" s="29" t="n"/>
      <c r="K1506" s="30">
        <f>IF(B1506="","",SUM(G$2:I1506)-SUM(J$2:J1506))</f>
        <v/>
      </c>
      <c r="L1506" s="22">
        <f>IF(B1506="","",IF(B1506=B1505,L1505,N(L1505)+1))</f>
        <v/>
      </c>
    </row>
    <row r="1507">
      <c r="A1507" s="22" t="n"/>
      <c r="B1507" s="27" t="n"/>
      <c r="C1507" s="17" t="n"/>
      <c r="D1507" s="17" t="n"/>
      <c r="E1507" s="17" t="n"/>
      <c r="F1507" s="28" t="n"/>
      <c r="G1507" s="29" t="n"/>
      <c r="H1507" s="29" t="n"/>
      <c r="I1507" s="29" t="n"/>
      <c r="J1507" s="29" t="n"/>
      <c r="K1507" s="30">
        <f>IF(B1507="","",SUM(G$2:I1507)-SUM(J$2:J1507))</f>
        <v/>
      </c>
      <c r="L1507" s="22">
        <f>IF(B1507="","",IF(B1507=B1506,L1506,N(L1506)+1))</f>
        <v/>
      </c>
    </row>
    <row r="1508">
      <c r="A1508" s="22" t="n"/>
      <c r="B1508" s="27" t="n"/>
      <c r="C1508" s="17" t="n"/>
      <c r="D1508" s="17" t="n"/>
      <c r="E1508" s="17" t="n"/>
      <c r="F1508" s="28" t="n"/>
      <c r="G1508" s="29" t="n"/>
      <c r="H1508" s="29" t="n"/>
      <c r="I1508" s="29" t="n"/>
      <c r="J1508" s="29" t="n"/>
      <c r="K1508" s="30">
        <f>IF(B1508="","",SUM(G$2:I1508)-SUM(J$2:J1508))</f>
        <v/>
      </c>
      <c r="L1508" s="22">
        <f>IF(B1508="","",IF(B1508=B1507,L1507,N(L1507)+1))</f>
        <v/>
      </c>
    </row>
    <row r="1509">
      <c r="A1509" s="22" t="n"/>
      <c r="B1509" s="27" t="n"/>
      <c r="C1509" s="17" t="n"/>
      <c r="D1509" s="17" t="n"/>
      <c r="E1509" s="17" t="n"/>
      <c r="F1509" s="28" t="n"/>
      <c r="G1509" s="29" t="n"/>
      <c r="H1509" s="29" t="n"/>
      <c r="I1509" s="29" t="n"/>
      <c r="J1509" s="29" t="n"/>
      <c r="K1509" s="30">
        <f>IF(B1509="","",SUM(G$2:I1509)-SUM(J$2:J1509))</f>
        <v/>
      </c>
      <c r="L1509" s="22">
        <f>IF(B1509="","",IF(B1509=B1508,L1508,N(L1508)+1))</f>
        <v/>
      </c>
    </row>
    <row r="1510">
      <c r="A1510" s="22" t="n"/>
      <c r="B1510" s="27" t="n"/>
      <c r="C1510" s="17" t="n"/>
      <c r="D1510" s="17" t="n"/>
      <c r="E1510" s="17" t="n"/>
      <c r="F1510" s="28" t="n"/>
      <c r="G1510" s="29" t="n"/>
      <c r="H1510" s="29" t="n"/>
      <c r="I1510" s="29" t="n"/>
      <c r="J1510" s="29" t="n"/>
      <c r="K1510" s="30">
        <f>IF(B1510="","",SUM(G$2:I1510)-SUM(J$2:J1510))</f>
        <v/>
      </c>
      <c r="L1510" s="22">
        <f>IF(B1510="","",IF(B1510=B1509,L1509,N(L1509)+1))</f>
        <v/>
      </c>
    </row>
    <row r="1511">
      <c r="A1511" s="22" t="n"/>
      <c r="B1511" s="27" t="n"/>
      <c r="C1511" s="17" t="n"/>
      <c r="D1511" s="17" t="n"/>
      <c r="E1511" s="17" t="n"/>
      <c r="F1511" s="28" t="n"/>
      <c r="G1511" s="29" t="n"/>
      <c r="H1511" s="29" t="n"/>
      <c r="I1511" s="29" t="n"/>
      <c r="J1511" s="29" t="n"/>
      <c r="K1511" s="30">
        <f>IF(B1511="","",SUM(G$2:I1511)-SUM(J$2:J1511))</f>
        <v/>
      </c>
      <c r="L1511" s="22">
        <f>IF(B1511="","",IF(B1511=B1510,L1510,N(L1510)+1))</f>
        <v/>
      </c>
    </row>
    <row r="1512">
      <c r="A1512" s="22" t="n"/>
      <c r="B1512" s="27" t="n"/>
      <c r="C1512" s="17" t="n"/>
      <c r="D1512" s="17" t="n"/>
      <c r="E1512" s="17" t="n"/>
      <c r="F1512" s="28" t="n"/>
      <c r="G1512" s="29" t="n"/>
      <c r="H1512" s="29" t="n"/>
      <c r="I1512" s="29" t="n"/>
      <c r="J1512" s="29" t="n"/>
      <c r="K1512" s="30">
        <f>IF(B1512="","",SUM(G$2:I1512)-SUM(J$2:J1512))</f>
        <v/>
      </c>
      <c r="L1512" s="22">
        <f>IF(B1512="","",IF(B1512=B1511,L1511,N(L1511)+1))</f>
        <v/>
      </c>
    </row>
    <row r="1513">
      <c r="A1513" s="22" t="n"/>
      <c r="B1513" s="27" t="n"/>
      <c r="C1513" s="17" t="n"/>
      <c r="D1513" s="17" t="n"/>
      <c r="E1513" s="17" t="n"/>
      <c r="F1513" s="28" t="n"/>
      <c r="G1513" s="29" t="n"/>
      <c r="H1513" s="29" t="n"/>
      <c r="I1513" s="29" t="n"/>
      <c r="J1513" s="29" t="n"/>
      <c r="K1513" s="30">
        <f>IF(B1513="","",SUM(G$2:I1513)-SUM(J$2:J1513))</f>
        <v/>
      </c>
      <c r="L1513" s="22">
        <f>IF(B1513="","",IF(B1513=B1512,L1512,N(L1512)+1))</f>
        <v/>
      </c>
    </row>
    <row r="1514">
      <c r="A1514" s="22" t="n"/>
      <c r="B1514" s="27" t="n"/>
      <c r="C1514" s="17" t="n"/>
      <c r="D1514" s="17" t="n"/>
      <c r="E1514" s="17" t="n"/>
      <c r="F1514" s="28" t="n"/>
      <c r="G1514" s="29" t="n"/>
      <c r="H1514" s="29" t="n"/>
      <c r="I1514" s="29" t="n"/>
      <c r="J1514" s="29" t="n"/>
      <c r="K1514" s="30">
        <f>IF(B1514="","",SUM(G$2:I1514)-SUM(J$2:J1514))</f>
        <v/>
      </c>
      <c r="L1514" s="22">
        <f>IF(B1514="","",IF(B1514=B1513,L1513,N(L1513)+1))</f>
        <v/>
      </c>
    </row>
    <row r="1515">
      <c r="A1515" s="22" t="n"/>
      <c r="B1515" s="27" t="n"/>
      <c r="C1515" s="17" t="n"/>
      <c r="D1515" s="17" t="n"/>
      <c r="E1515" s="17" t="n"/>
      <c r="F1515" s="28" t="n"/>
      <c r="G1515" s="29" t="n"/>
      <c r="H1515" s="29" t="n"/>
      <c r="I1515" s="29" t="n"/>
      <c r="J1515" s="29" t="n"/>
      <c r="K1515" s="30">
        <f>IF(B1515="","",SUM(G$2:I1515)-SUM(J$2:J1515))</f>
        <v/>
      </c>
      <c r="L1515" s="22">
        <f>IF(B1515="","",IF(B1515=B1514,L1514,N(L1514)+1))</f>
        <v/>
      </c>
    </row>
    <row r="1516">
      <c r="A1516" s="22" t="n"/>
      <c r="B1516" s="27" t="n"/>
      <c r="C1516" s="17" t="n"/>
      <c r="D1516" s="17" t="n"/>
      <c r="E1516" s="17" t="n"/>
      <c r="F1516" s="28" t="n"/>
      <c r="G1516" s="29" t="n"/>
      <c r="H1516" s="29" t="n"/>
      <c r="I1516" s="29" t="n"/>
      <c r="J1516" s="29" t="n"/>
      <c r="K1516" s="30">
        <f>IF(B1516="","",SUM(G$2:I1516)-SUM(J$2:J1516))</f>
        <v/>
      </c>
      <c r="L1516" s="22">
        <f>IF(B1516="","",IF(B1516=B1515,L1515,N(L1515)+1))</f>
        <v/>
      </c>
    </row>
    <row r="1517">
      <c r="A1517" s="22" t="n"/>
      <c r="B1517" s="27" t="n"/>
      <c r="C1517" s="17" t="n"/>
      <c r="D1517" s="17" t="n"/>
      <c r="E1517" s="17" t="n"/>
      <c r="F1517" s="28" t="n"/>
      <c r="G1517" s="29" t="n"/>
      <c r="H1517" s="29" t="n"/>
      <c r="I1517" s="29" t="n"/>
      <c r="J1517" s="29" t="n"/>
      <c r="K1517" s="30">
        <f>IF(B1517="","",SUM(G$2:I1517)-SUM(J$2:J1517))</f>
        <v/>
      </c>
      <c r="L1517" s="22">
        <f>IF(B1517="","",IF(B1517=B1516,L1516,N(L1516)+1))</f>
        <v/>
      </c>
    </row>
    <row r="1518">
      <c r="A1518" s="22" t="n"/>
      <c r="B1518" s="27" t="n"/>
      <c r="C1518" s="17" t="n"/>
      <c r="D1518" s="17" t="n"/>
      <c r="E1518" s="17" t="n"/>
      <c r="F1518" s="28" t="n"/>
      <c r="G1518" s="29" t="n"/>
      <c r="H1518" s="29" t="n"/>
      <c r="I1518" s="29" t="n"/>
      <c r="J1518" s="29" t="n"/>
      <c r="K1518" s="30">
        <f>IF(B1518="","",SUM(G$2:I1518)-SUM(J$2:J1518))</f>
        <v/>
      </c>
      <c r="L1518" s="22">
        <f>IF(B1518="","",IF(B1518=B1517,L1517,N(L1517)+1))</f>
        <v/>
      </c>
    </row>
    <row r="1519">
      <c r="A1519" s="22" t="n"/>
      <c r="B1519" s="27" t="n"/>
      <c r="C1519" s="17" t="n"/>
      <c r="D1519" s="17" t="n"/>
      <c r="E1519" s="17" t="n"/>
      <c r="F1519" s="28" t="n"/>
      <c r="G1519" s="29" t="n"/>
      <c r="H1519" s="29" t="n"/>
      <c r="I1519" s="29" t="n"/>
      <c r="J1519" s="29" t="n"/>
      <c r="K1519" s="30">
        <f>IF(B1519="","",SUM(G$2:I1519)-SUM(J$2:J1519))</f>
        <v/>
      </c>
      <c r="L1519" s="22">
        <f>IF(B1519="","",IF(B1519=B1518,L1518,N(L1518)+1))</f>
        <v/>
      </c>
    </row>
    <row r="1520">
      <c r="A1520" s="22" t="n"/>
      <c r="B1520" s="27" t="n"/>
      <c r="C1520" s="17" t="n"/>
      <c r="D1520" s="17" t="n"/>
      <c r="E1520" s="17" t="n"/>
      <c r="F1520" s="28" t="n"/>
      <c r="G1520" s="29" t="n"/>
      <c r="H1520" s="29" t="n"/>
      <c r="I1520" s="29" t="n"/>
      <c r="J1520" s="29" t="n"/>
      <c r="K1520" s="30">
        <f>IF(B1520="","",SUM(G$2:I1520)-SUM(J$2:J1520))</f>
        <v/>
      </c>
      <c r="L1520" s="22">
        <f>IF(B1520="","",IF(B1520=B1519,L1519,N(L1519)+1))</f>
        <v/>
      </c>
    </row>
    <row r="1521">
      <c r="A1521" s="22" t="n"/>
      <c r="B1521" s="27" t="n"/>
      <c r="C1521" s="17" t="n"/>
      <c r="D1521" s="17" t="n"/>
      <c r="E1521" s="17" t="n"/>
      <c r="F1521" s="28" t="n"/>
      <c r="G1521" s="29" t="n"/>
      <c r="H1521" s="29" t="n"/>
      <c r="I1521" s="29" t="n"/>
      <c r="J1521" s="29" t="n"/>
      <c r="K1521" s="30">
        <f>IF(B1521="","",SUM(G$2:I1521)-SUM(J$2:J1521))</f>
        <v/>
      </c>
      <c r="L1521" s="22">
        <f>IF(B1521="","",IF(B1521=B1520,L1520,N(L1520)+1))</f>
        <v/>
      </c>
    </row>
    <row r="1522">
      <c r="A1522" s="22" t="n"/>
      <c r="B1522" s="27" t="n"/>
      <c r="C1522" s="17" t="n"/>
      <c r="D1522" s="17" t="n"/>
      <c r="E1522" s="17" t="n"/>
      <c r="F1522" s="28" t="n"/>
      <c r="G1522" s="29" t="n"/>
      <c r="H1522" s="29" t="n"/>
      <c r="I1522" s="29" t="n"/>
      <c r="J1522" s="29" t="n"/>
      <c r="K1522" s="30">
        <f>IF(B1522="","",SUM(G$2:I1522)-SUM(J$2:J1522))</f>
        <v/>
      </c>
      <c r="L1522" s="22">
        <f>IF(B1522="","",IF(B1522=B1521,L1521,N(L1521)+1))</f>
        <v/>
      </c>
    </row>
    <row r="1523">
      <c r="A1523" s="22" t="n"/>
      <c r="B1523" s="27" t="n"/>
      <c r="C1523" s="17" t="n"/>
      <c r="D1523" s="17" t="n"/>
      <c r="E1523" s="17" t="n"/>
      <c r="F1523" s="28" t="n"/>
      <c r="G1523" s="29" t="n"/>
      <c r="H1523" s="29" t="n"/>
      <c r="I1523" s="29" t="n"/>
      <c r="J1523" s="29" t="n"/>
      <c r="K1523" s="30">
        <f>IF(B1523="","",SUM(G$2:I1523)-SUM(J$2:J1523))</f>
        <v/>
      </c>
      <c r="L1523" s="22">
        <f>IF(B1523="","",IF(B1523=B1522,L1522,N(L1522)+1))</f>
        <v/>
      </c>
    </row>
    <row r="1524">
      <c r="A1524" s="22" t="n"/>
      <c r="B1524" s="27" t="n"/>
      <c r="C1524" s="17" t="n"/>
      <c r="D1524" s="17" t="n"/>
      <c r="E1524" s="17" t="n"/>
      <c r="F1524" s="28" t="n"/>
      <c r="G1524" s="29" t="n"/>
      <c r="H1524" s="29" t="n"/>
      <c r="I1524" s="29" t="n"/>
      <c r="J1524" s="29" t="n"/>
      <c r="K1524" s="30">
        <f>IF(B1524="","",SUM(G$2:I1524)-SUM(J$2:J1524))</f>
        <v/>
      </c>
      <c r="L1524" s="22">
        <f>IF(B1524="","",IF(B1524=B1523,L1523,N(L1523)+1))</f>
        <v/>
      </c>
    </row>
    <row r="1525">
      <c r="A1525" s="22" t="n"/>
      <c r="B1525" s="27" t="n"/>
      <c r="C1525" s="17" t="n"/>
      <c r="D1525" s="17" t="n"/>
      <c r="E1525" s="17" t="n"/>
      <c r="F1525" s="28" t="n"/>
      <c r="G1525" s="29" t="n"/>
      <c r="H1525" s="29" t="n"/>
      <c r="I1525" s="29" t="n"/>
      <c r="J1525" s="29" t="n"/>
      <c r="K1525" s="30">
        <f>IF(B1525="","",SUM(G$2:I1525)-SUM(J$2:J1525))</f>
        <v/>
      </c>
      <c r="L1525" s="22">
        <f>IF(B1525="","",IF(B1525=B1524,L1524,N(L1524)+1))</f>
        <v/>
      </c>
    </row>
    <row r="1526">
      <c r="A1526" s="22" t="n"/>
      <c r="B1526" s="27" t="n"/>
      <c r="C1526" s="17" t="n"/>
      <c r="D1526" s="17" t="n"/>
      <c r="E1526" s="17" t="n"/>
      <c r="F1526" s="28" t="n"/>
      <c r="G1526" s="29" t="n"/>
      <c r="H1526" s="29" t="n"/>
      <c r="I1526" s="29" t="n"/>
      <c r="J1526" s="29" t="n"/>
      <c r="K1526" s="30">
        <f>IF(B1526="","",SUM(G$2:I1526)-SUM(J$2:J1526))</f>
        <v/>
      </c>
      <c r="L1526" s="22">
        <f>IF(B1526="","",IF(B1526=B1525,L1525,N(L1525)+1))</f>
        <v/>
      </c>
    </row>
    <row r="1527">
      <c r="A1527" s="22" t="n"/>
      <c r="B1527" s="27" t="n"/>
      <c r="C1527" s="17" t="n"/>
      <c r="D1527" s="17" t="n"/>
      <c r="E1527" s="17" t="n"/>
      <c r="F1527" s="28" t="n"/>
      <c r="G1527" s="29" t="n"/>
      <c r="H1527" s="29" t="n"/>
      <c r="I1527" s="29" t="n"/>
      <c r="J1527" s="29" t="n"/>
      <c r="K1527" s="30">
        <f>IF(B1527="","",SUM(G$2:I1527)-SUM(J$2:J1527))</f>
        <v/>
      </c>
      <c r="L1527" s="22">
        <f>IF(B1527="","",IF(B1527=B1526,L1526,N(L1526)+1))</f>
        <v/>
      </c>
    </row>
    <row r="1528">
      <c r="A1528" s="22" t="n"/>
      <c r="B1528" s="27" t="n"/>
      <c r="C1528" s="17" t="n"/>
      <c r="D1528" s="17" t="n"/>
      <c r="E1528" s="17" t="n"/>
      <c r="F1528" s="28" t="n"/>
      <c r="G1528" s="29" t="n"/>
      <c r="H1528" s="29" t="n"/>
      <c r="I1528" s="29" t="n"/>
      <c r="J1528" s="29" t="n"/>
      <c r="K1528" s="30">
        <f>IF(B1528="","",SUM(G$2:I1528)-SUM(J$2:J1528))</f>
        <v/>
      </c>
      <c r="L1528" s="22">
        <f>IF(B1528="","",IF(B1528=B1527,L1527,N(L1527)+1))</f>
        <v/>
      </c>
    </row>
    <row r="1529">
      <c r="A1529" s="22" t="n"/>
      <c r="B1529" s="27" t="n"/>
      <c r="C1529" s="17" t="n"/>
      <c r="D1529" s="17" t="n"/>
      <c r="E1529" s="17" t="n"/>
      <c r="F1529" s="28" t="n"/>
      <c r="G1529" s="29" t="n"/>
      <c r="H1529" s="29" t="n"/>
      <c r="I1529" s="29" t="n"/>
      <c r="J1529" s="29" t="n"/>
      <c r="K1529" s="30">
        <f>IF(B1529="","",SUM(G$2:I1529)-SUM(J$2:J1529))</f>
        <v/>
      </c>
      <c r="L1529" s="22">
        <f>IF(B1529="","",IF(B1529=B1528,L1528,N(L1528)+1))</f>
        <v/>
      </c>
    </row>
    <row r="1530">
      <c r="A1530" s="22" t="n"/>
      <c r="B1530" s="27" t="n"/>
      <c r="C1530" s="17" t="n"/>
      <c r="D1530" s="17" t="n"/>
      <c r="E1530" s="17" t="n"/>
      <c r="F1530" s="28" t="n"/>
      <c r="G1530" s="29" t="n"/>
      <c r="H1530" s="29" t="n"/>
      <c r="I1530" s="29" t="n"/>
      <c r="J1530" s="29" t="n"/>
      <c r="K1530" s="30">
        <f>IF(B1530="","",SUM(G$2:I1530)-SUM(J$2:J1530))</f>
        <v/>
      </c>
      <c r="L1530" s="22">
        <f>IF(B1530="","",IF(B1530=B1529,L1529,N(L1529)+1))</f>
        <v/>
      </c>
    </row>
    <row r="1531">
      <c r="A1531" s="22" t="n"/>
      <c r="B1531" s="27" t="n"/>
      <c r="C1531" s="17" t="n"/>
      <c r="D1531" s="17" t="n"/>
      <c r="E1531" s="17" t="n"/>
      <c r="F1531" s="28" t="n"/>
      <c r="G1531" s="29" t="n"/>
      <c r="H1531" s="29" t="n"/>
      <c r="I1531" s="29" t="n"/>
      <c r="J1531" s="29" t="n"/>
      <c r="K1531" s="30">
        <f>IF(B1531="","",SUM(G$2:I1531)-SUM(J$2:J1531))</f>
        <v/>
      </c>
      <c r="L1531" s="22">
        <f>IF(B1531="","",IF(B1531=B1530,L1530,N(L1530)+1))</f>
        <v/>
      </c>
    </row>
    <row r="1532">
      <c r="A1532" s="22" t="n"/>
      <c r="B1532" s="27" t="n"/>
      <c r="C1532" s="17" t="n"/>
      <c r="D1532" s="17" t="n"/>
      <c r="E1532" s="17" t="n"/>
      <c r="F1532" s="28" t="n"/>
      <c r="G1532" s="29" t="n"/>
      <c r="H1532" s="29" t="n"/>
      <c r="I1532" s="29" t="n"/>
      <c r="J1532" s="29" t="n"/>
      <c r="K1532" s="30">
        <f>IF(B1532="","",SUM(G$2:I1532)-SUM(J$2:J1532))</f>
        <v/>
      </c>
      <c r="L1532" s="22">
        <f>IF(B1532="","",IF(B1532=B1531,L1531,N(L1531)+1))</f>
        <v/>
      </c>
    </row>
    <row r="1533">
      <c r="A1533" s="22" t="n"/>
      <c r="B1533" s="27" t="n"/>
      <c r="C1533" s="17" t="n"/>
      <c r="D1533" s="17" t="n"/>
      <c r="E1533" s="17" t="n"/>
      <c r="F1533" s="28" t="n"/>
      <c r="G1533" s="29" t="n"/>
      <c r="H1533" s="29" t="n"/>
      <c r="I1533" s="29" t="n"/>
      <c r="J1533" s="29" t="n"/>
      <c r="K1533" s="30">
        <f>IF(B1533="","",SUM(G$2:I1533)-SUM(J$2:J1533))</f>
        <v/>
      </c>
      <c r="L1533" s="22">
        <f>IF(B1533="","",IF(B1533=B1532,L1532,N(L1532)+1))</f>
        <v/>
      </c>
    </row>
    <row r="1534">
      <c r="A1534" s="22" t="n"/>
      <c r="B1534" s="27" t="n"/>
      <c r="C1534" s="17" t="n"/>
      <c r="D1534" s="17" t="n"/>
      <c r="E1534" s="17" t="n"/>
      <c r="F1534" s="28" t="n"/>
      <c r="G1534" s="29" t="n"/>
      <c r="H1534" s="29" t="n"/>
      <c r="I1534" s="29" t="n"/>
      <c r="J1534" s="29" t="n"/>
      <c r="K1534" s="30">
        <f>IF(B1534="","",SUM(G$2:I1534)-SUM(J$2:J1534))</f>
        <v/>
      </c>
      <c r="L1534" s="22">
        <f>IF(B1534="","",IF(B1534=B1533,L1533,N(L1533)+1))</f>
        <v/>
      </c>
    </row>
    <row r="1535">
      <c r="A1535" s="22" t="n"/>
      <c r="B1535" s="27" t="n"/>
      <c r="C1535" s="17" t="n"/>
      <c r="D1535" s="17" t="n"/>
      <c r="E1535" s="17" t="n"/>
      <c r="F1535" s="28" t="n"/>
      <c r="G1535" s="29" t="n"/>
      <c r="H1535" s="29" t="n"/>
      <c r="I1535" s="29" t="n"/>
      <c r="J1535" s="29" t="n"/>
      <c r="K1535" s="30">
        <f>IF(B1535="","",SUM(G$2:I1535)-SUM(J$2:J1535))</f>
        <v/>
      </c>
      <c r="L1535" s="22">
        <f>IF(B1535="","",IF(B1535=B1534,L1534,N(L1534)+1))</f>
        <v/>
      </c>
    </row>
    <row r="1536">
      <c r="A1536" s="22" t="n"/>
      <c r="B1536" s="27" t="n"/>
      <c r="C1536" s="17" t="n"/>
      <c r="D1536" s="17" t="n"/>
      <c r="E1536" s="17" t="n"/>
      <c r="F1536" s="28" t="n"/>
      <c r="G1536" s="29" t="n"/>
      <c r="H1536" s="29" t="n"/>
      <c r="I1536" s="29" t="n"/>
      <c r="J1536" s="29" t="n"/>
      <c r="K1536" s="30">
        <f>IF(B1536="","",SUM(G$2:I1536)-SUM(J$2:J1536))</f>
        <v/>
      </c>
      <c r="L1536" s="22">
        <f>IF(B1536="","",IF(B1536=B1535,L1535,N(L1535)+1))</f>
        <v/>
      </c>
    </row>
    <row r="1537">
      <c r="A1537" s="22" t="n"/>
      <c r="B1537" s="27" t="n"/>
      <c r="C1537" s="17" t="n"/>
      <c r="D1537" s="17" t="n"/>
      <c r="E1537" s="17" t="n"/>
      <c r="F1537" s="28" t="n"/>
      <c r="G1537" s="29" t="n"/>
      <c r="H1537" s="29" t="n"/>
      <c r="I1537" s="29" t="n"/>
      <c r="J1537" s="29" t="n"/>
      <c r="K1537" s="30">
        <f>IF(B1537="","",SUM(G$2:I1537)-SUM(J$2:J1537))</f>
        <v/>
      </c>
      <c r="L1537" s="22">
        <f>IF(B1537="","",IF(B1537=B1536,L1536,N(L1536)+1))</f>
        <v/>
      </c>
    </row>
    <row r="1538">
      <c r="A1538" s="22" t="n"/>
      <c r="B1538" s="27" t="n"/>
      <c r="C1538" s="17" t="n"/>
      <c r="D1538" s="17" t="n"/>
      <c r="E1538" s="17" t="n"/>
      <c r="F1538" s="28" t="n"/>
      <c r="G1538" s="29" t="n"/>
      <c r="H1538" s="29" t="n"/>
      <c r="I1538" s="29" t="n"/>
      <c r="J1538" s="29" t="n"/>
      <c r="K1538" s="30">
        <f>IF(B1538="","",SUM(G$2:I1538)-SUM(J$2:J1538))</f>
        <v/>
      </c>
      <c r="L1538" s="22">
        <f>IF(B1538="","",IF(B1538=B1537,L1537,N(L1537)+1))</f>
        <v/>
      </c>
    </row>
    <row r="1539">
      <c r="A1539" s="22" t="n"/>
      <c r="B1539" s="27" t="n"/>
      <c r="C1539" s="17" t="n"/>
      <c r="D1539" s="17" t="n"/>
      <c r="E1539" s="17" t="n"/>
      <c r="F1539" s="28" t="n"/>
      <c r="G1539" s="29" t="n"/>
      <c r="H1539" s="29" t="n"/>
      <c r="I1539" s="29" t="n"/>
      <c r="J1539" s="29" t="n"/>
      <c r="K1539" s="30">
        <f>IF(B1539="","",SUM(G$2:I1539)-SUM(J$2:J1539))</f>
        <v/>
      </c>
      <c r="L1539" s="22">
        <f>IF(B1539="","",IF(B1539=B1538,L1538,N(L1538)+1))</f>
        <v/>
      </c>
    </row>
    <row r="1540">
      <c r="A1540" s="22" t="n"/>
      <c r="B1540" s="27" t="n"/>
      <c r="C1540" s="17" t="n"/>
      <c r="D1540" s="17" t="n"/>
      <c r="E1540" s="17" t="n"/>
      <c r="F1540" s="28" t="n"/>
      <c r="G1540" s="29" t="n"/>
      <c r="H1540" s="29" t="n"/>
      <c r="I1540" s="29" t="n"/>
      <c r="J1540" s="29" t="n"/>
      <c r="K1540" s="30">
        <f>IF(B1540="","",SUM(G$2:I1540)-SUM(J$2:J1540))</f>
        <v/>
      </c>
      <c r="L1540" s="22">
        <f>IF(B1540="","",IF(B1540=B1539,L1539,N(L1539)+1))</f>
        <v/>
      </c>
    </row>
    <row r="1541">
      <c r="A1541" s="22" t="n"/>
      <c r="B1541" s="27" t="n"/>
      <c r="C1541" s="17" t="n"/>
      <c r="D1541" s="17" t="n"/>
      <c r="E1541" s="17" t="n"/>
      <c r="F1541" s="28" t="n"/>
      <c r="G1541" s="29" t="n"/>
      <c r="H1541" s="29" t="n"/>
      <c r="I1541" s="29" t="n"/>
      <c r="J1541" s="29" t="n"/>
      <c r="K1541" s="30">
        <f>IF(B1541="","",SUM(G$2:I1541)-SUM(J$2:J1541))</f>
        <v/>
      </c>
      <c r="L1541" s="22">
        <f>IF(B1541="","",IF(B1541=B1540,L1540,N(L1540)+1))</f>
        <v/>
      </c>
    </row>
    <row r="1542">
      <c r="A1542" s="22" t="n"/>
      <c r="B1542" s="27" t="n"/>
      <c r="C1542" s="17" t="n"/>
      <c r="D1542" s="17" t="n"/>
      <c r="E1542" s="17" t="n"/>
      <c r="F1542" s="28" t="n"/>
      <c r="G1542" s="29" t="n"/>
      <c r="H1542" s="29" t="n"/>
      <c r="I1542" s="29" t="n"/>
      <c r="J1542" s="29" t="n"/>
      <c r="K1542" s="30">
        <f>IF(B1542="","",SUM(G$2:I1542)-SUM(J$2:J1542))</f>
        <v/>
      </c>
      <c r="L1542" s="22">
        <f>IF(B1542="","",IF(B1542=B1541,L1541,N(L1541)+1))</f>
        <v/>
      </c>
    </row>
    <row r="1543">
      <c r="A1543" s="22" t="n"/>
      <c r="B1543" s="27" t="n"/>
      <c r="C1543" s="17" t="n"/>
      <c r="D1543" s="17" t="n"/>
      <c r="E1543" s="17" t="n"/>
      <c r="F1543" s="28" t="n"/>
      <c r="G1543" s="29" t="n"/>
      <c r="H1543" s="29" t="n"/>
      <c r="I1543" s="29" t="n"/>
      <c r="J1543" s="29" t="n"/>
      <c r="K1543" s="30">
        <f>IF(B1543="","",SUM(G$2:I1543)-SUM(J$2:J1543))</f>
        <v/>
      </c>
      <c r="L1543" s="22">
        <f>IF(B1543="","",IF(B1543=B1542,L1542,N(L1542)+1))</f>
        <v/>
      </c>
    </row>
    <row r="1544">
      <c r="A1544" s="22" t="n"/>
      <c r="B1544" s="27" t="n"/>
      <c r="C1544" s="17" t="n"/>
      <c r="D1544" s="17" t="n"/>
      <c r="E1544" s="17" t="n"/>
      <c r="F1544" s="28" t="n"/>
      <c r="G1544" s="29" t="n"/>
      <c r="H1544" s="29" t="n"/>
      <c r="I1544" s="29" t="n"/>
      <c r="J1544" s="29" t="n"/>
      <c r="K1544" s="30">
        <f>IF(B1544="","",SUM(G$2:I1544)-SUM(J$2:J1544))</f>
        <v/>
      </c>
      <c r="L1544" s="22">
        <f>IF(B1544="","",IF(B1544=B1543,L1543,N(L1543)+1))</f>
        <v/>
      </c>
    </row>
    <row r="1545">
      <c r="A1545" s="22" t="n"/>
      <c r="B1545" s="27" t="n"/>
      <c r="C1545" s="17" t="n"/>
      <c r="D1545" s="17" t="n"/>
      <c r="E1545" s="17" t="n"/>
      <c r="F1545" s="28" t="n"/>
      <c r="G1545" s="29" t="n"/>
      <c r="H1545" s="29" t="n"/>
      <c r="I1545" s="29" t="n"/>
      <c r="J1545" s="29" t="n"/>
      <c r="K1545" s="30">
        <f>IF(B1545="","",SUM(G$2:I1545)-SUM(J$2:J1545))</f>
        <v/>
      </c>
      <c r="L1545" s="22">
        <f>IF(B1545="","",IF(B1545=B1544,L1544,N(L1544)+1))</f>
        <v/>
      </c>
    </row>
    <row r="1546">
      <c r="A1546" s="22" t="n"/>
      <c r="B1546" s="27" t="n"/>
      <c r="C1546" s="17" t="n"/>
      <c r="D1546" s="17" t="n"/>
      <c r="E1546" s="17" t="n"/>
      <c r="F1546" s="28" t="n"/>
      <c r="G1546" s="29" t="n"/>
      <c r="H1546" s="29" t="n"/>
      <c r="I1546" s="29" t="n"/>
      <c r="J1546" s="29" t="n"/>
      <c r="K1546" s="30">
        <f>IF(B1546="","",SUM(G$2:I1546)-SUM(J$2:J1546))</f>
        <v/>
      </c>
      <c r="L1546" s="22">
        <f>IF(B1546="","",IF(B1546=B1545,L1545,N(L1545)+1))</f>
        <v/>
      </c>
    </row>
    <row r="1547">
      <c r="A1547" s="22" t="n"/>
      <c r="B1547" s="27" t="n"/>
      <c r="C1547" s="17" t="n"/>
      <c r="D1547" s="17" t="n"/>
      <c r="E1547" s="17" t="n"/>
      <c r="F1547" s="28" t="n"/>
      <c r="G1547" s="29" t="n"/>
      <c r="H1547" s="29" t="n"/>
      <c r="I1547" s="29" t="n"/>
      <c r="J1547" s="29" t="n"/>
      <c r="K1547" s="30">
        <f>IF(B1547="","",SUM(G$2:I1547)-SUM(J$2:J1547))</f>
        <v/>
      </c>
      <c r="L1547" s="22">
        <f>IF(B1547="","",IF(B1547=B1546,L1546,N(L1546)+1))</f>
        <v/>
      </c>
    </row>
    <row r="1548">
      <c r="A1548" s="22" t="n"/>
      <c r="B1548" s="27" t="n"/>
      <c r="C1548" s="17" t="n"/>
      <c r="D1548" s="17" t="n"/>
      <c r="E1548" s="17" t="n"/>
      <c r="F1548" s="28" t="n"/>
      <c r="G1548" s="29" t="n"/>
      <c r="H1548" s="29" t="n"/>
      <c r="I1548" s="29" t="n"/>
      <c r="J1548" s="29" t="n"/>
      <c r="K1548" s="30">
        <f>IF(B1548="","",SUM(G$2:I1548)-SUM(J$2:J1548))</f>
        <v/>
      </c>
      <c r="L1548" s="22">
        <f>IF(B1548="","",IF(B1548=B1547,L1547,N(L1547)+1))</f>
        <v/>
      </c>
    </row>
    <row r="1549">
      <c r="A1549" s="22" t="n"/>
      <c r="B1549" s="27" t="n"/>
      <c r="C1549" s="17" t="n"/>
      <c r="D1549" s="17" t="n"/>
      <c r="E1549" s="17" t="n"/>
      <c r="F1549" s="28" t="n"/>
      <c r="G1549" s="29" t="n"/>
      <c r="H1549" s="29" t="n"/>
      <c r="I1549" s="29" t="n"/>
      <c r="J1549" s="29" t="n"/>
      <c r="K1549" s="30">
        <f>IF(B1549="","",SUM(G$2:I1549)-SUM(J$2:J1549))</f>
        <v/>
      </c>
      <c r="L1549" s="22">
        <f>IF(B1549="","",IF(B1549=B1548,L1548,N(L1548)+1))</f>
        <v/>
      </c>
    </row>
    <row r="1550">
      <c r="A1550" s="22" t="n"/>
      <c r="B1550" s="27" t="n"/>
      <c r="C1550" s="17" t="n"/>
      <c r="D1550" s="17" t="n"/>
      <c r="E1550" s="17" t="n"/>
      <c r="F1550" s="28" t="n"/>
      <c r="G1550" s="29" t="n"/>
      <c r="H1550" s="29" t="n"/>
      <c r="I1550" s="29" t="n"/>
      <c r="J1550" s="29" t="n"/>
      <c r="K1550" s="30">
        <f>IF(B1550="","",SUM(G$2:I1550)-SUM(J$2:J1550))</f>
        <v/>
      </c>
      <c r="L1550" s="22">
        <f>IF(B1550="","",IF(B1550=B1549,L1549,N(L1549)+1))</f>
        <v/>
      </c>
    </row>
    <row r="1551">
      <c r="A1551" s="22" t="n"/>
      <c r="B1551" s="27" t="n"/>
      <c r="C1551" s="17" t="n"/>
      <c r="D1551" s="17" t="n"/>
      <c r="E1551" s="17" t="n"/>
      <c r="F1551" s="28" t="n"/>
      <c r="G1551" s="29" t="n"/>
      <c r="H1551" s="29" t="n"/>
      <c r="I1551" s="29" t="n"/>
      <c r="J1551" s="29" t="n"/>
      <c r="K1551" s="30">
        <f>IF(B1551="","",SUM(G$2:I1551)-SUM(J$2:J1551))</f>
        <v/>
      </c>
      <c r="L1551" s="22">
        <f>IF(B1551="","",IF(B1551=B1550,L1550,N(L1550)+1))</f>
        <v/>
      </c>
    </row>
    <row r="1552">
      <c r="A1552" s="22" t="n"/>
      <c r="B1552" s="27" t="n"/>
      <c r="C1552" s="17" t="n"/>
      <c r="D1552" s="17" t="n"/>
      <c r="E1552" s="17" t="n"/>
      <c r="F1552" s="28" t="n"/>
      <c r="G1552" s="29" t="n"/>
      <c r="H1552" s="29" t="n"/>
      <c r="I1552" s="29" t="n"/>
      <c r="J1552" s="29" t="n"/>
      <c r="K1552" s="30">
        <f>IF(B1552="","",SUM(G$2:I1552)-SUM(J$2:J1552))</f>
        <v/>
      </c>
      <c r="L1552" s="22">
        <f>IF(B1552="","",IF(B1552=B1551,L1551,N(L1551)+1))</f>
        <v/>
      </c>
    </row>
    <row r="1553">
      <c r="A1553" s="22" t="n"/>
      <c r="B1553" s="27" t="n"/>
      <c r="C1553" s="17" t="n"/>
      <c r="D1553" s="17" t="n"/>
      <c r="E1553" s="17" t="n"/>
      <c r="F1553" s="28" t="n"/>
      <c r="G1553" s="29" t="n"/>
      <c r="H1553" s="29" t="n"/>
      <c r="I1553" s="29" t="n"/>
      <c r="J1553" s="29" t="n"/>
      <c r="K1553" s="30">
        <f>IF(B1553="","",SUM(G$2:I1553)-SUM(J$2:J1553))</f>
        <v/>
      </c>
      <c r="L1553" s="22">
        <f>IF(B1553="","",IF(B1553=B1552,L1552,N(L1552)+1))</f>
        <v/>
      </c>
    </row>
    <row r="1554">
      <c r="A1554" s="22" t="n"/>
      <c r="B1554" s="27" t="n"/>
      <c r="C1554" s="17" t="n"/>
      <c r="D1554" s="17" t="n"/>
      <c r="E1554" s="17" t="n"/>
      <c r="F1554" s="28" t="n"/>
      <c r="G1554" s="29" t="n"/>
      <c r="H1554" s="29" t="n"/>
      <c r="I1554" s="29" t="n"/>
      <c r="J1554" s="29" t="n"/>
      <c r="K1554" s="30">
        <f>IF(B1554="","",SUM(G$2:I1554)-SUM(J$2:J1554))</f>
        <v/>
      </c>
      <c r="L1554" s="22">
        <f>IF(B1554="","",IF(B1554=B1553,L1553,N(L1553)+1))</f>
        <v/>
      </c>
    </row>
    <row r="1555">
      <c r="A1555" s="22" t="n"/>
      <c r="B1555" s="27" t="n"/>
      <c r="C1555" s="17" t="n"/>
      <c r="D1555" s="17" t="n"/>
      <c r="E1555" s="17" t="n"/>
      <c r="F1555" s="28" t="n"/>
      <c r="G1555" s="29" t="n"/>
      <c r="H1555" s="29" t="n"/>
      <c r="I1555" s="29" t="n"/>
      <c r="J1555" s="29" t="n"/>
      <c r="K1555" s="30">
        <f>IF(B1555="","",SUM(G$2:I1555)-SUM(J$2:J1555))</f>
        <v/>
      </c>
      <c r="L1555" s="22">
        <f>IF(B1555="","",IF(B1555=B1554,L1554,N(L1554)+1))</f>
        <v/>
      </c>
    </row>
    <row r="1556">
      <c r="A1556" s="22" t="n"/>
      <c r="B1556" s="27" t="n"/>
      <c r="C1556" s="17" t="n"/>
      <c r="D1556" s="17" t="n"/>
      <c r="E1556" s="17" t="n"/>
      <c r="F1556" s="28" t="n"/>
      <c r="G1556" s="29" t="n"/>
      <c r="H1556" s="29" t="n"/>
      <c r="I1556" s="29" t="n"/>
      <c r="J1556" s="29" t="n"/>
      <c r="K1556" s="30">
        <f>IF(B1556="","",SUM(G$2:I1556)-SUM(J$2:J1556))</f>
        <v/>
      </c>
      <c r="L1556" s="22">
        <f>IF(B1556="","",IF(B1556=B1555,L1555,N(L1555)+1))</f>
        <v/>
      </c>
    </row>
    <row r="1557">
      <c r="A1557" s="22" t="n"/>
      <c r="B1557" s="27" t="n"/>
      <c r="C1557" s="17" t="n"/>
      <c r="D1557" s="17" t="n"/>
      <c r="E1557" s="17" t="n"/>
      <c r="F1557" s="28" t="n"/>
      <c r="G1557" s="29" t="n"/>
      <c r="H1557" s="29" t="n"/>
      <c r="I1557" s="29" t="n"/>
      <c r="J1557" s="29" t="n"/>
      <c r="K1557" s="30">
        <f>IF(B1557="","",SUM(G$2:I1557)-SUM(J$2:J1557))</f>
        <v/>
      </c>
      <c r="L1557" s="22">
        <f>IF(B1557="","",IF(B1557=B1556,L1556,N(L1556)+1))</f>
        <v/>
      </c>
    </row>
    <row r="1558">
      <c r="A1558" s="22" t="n"/>
      <c r="B1558" s="27" t="n"/>
      <c r="C1558" s="17" t="n"/>
      <c r="D1558" s="17" t="n"/>
      <c r="E1558" s="17" t="n"/>
      <c r="F1558" s="28" t="n"/>
      <c r="G1558" s="29" t="n"/>
      <c r="H1558" s="29" t="n"/>
      <c r="I1558" s="29" t="n"/>
      <c r="J1558" s="29" t="n"/>
      <c r="K1558" s="30">
        <f>IF(B1558="","",SUM(G$2:I1558)-SUM(J$2:J1558))</f>
        <v/>
      </c>
      <c r="L1558" s="22">
        <f>IF(B1558="","",IF(B1558=B1557,L1557,N(L1557)+1))</f>
        <v/>
      </c>
    </row>
    <row r="1559">
      <c r="A1559" s="22" t="n"/>
      <c r="B1559" s="27" t="n"/>
      <c r="C1559" s="17" t="n"/>
      <c r="D1559" s="17" t="n"/>
      <c r="E1559" s="17" t="n"/>
      <c r="F1559" s="28" t="n"/>
      <c r="G1559" s="29" t="n"/>
      <c r="H1559" s="29" t="n"/>
      <c r="I1559" s="29" t="n"/>
      <c r="J1559" s="29" t="n"/>
      <c r="K1559" s="30">
        <f>IF(B1559="","",SUM(G$2:I1559)-SUM(J$2:J1559))</f>
        <v/>
      </c>
      <c r="L1559" s="22">
        <f>IF(B1559="","",IF(B1559=B1558,L1558,N(L1558)+1))</f>
        <v/>
      </c>
    </row>
    <row r="1560">
      <c r="A1560" s="22" t="n"/>
      <c r="B1560" s="27" t="n"/>
      <c r="C1560" s="17" t="n"/>
      <c r="D1560" s="17" t="n"/>
      <c r="E1560" s="17" t="n"/>
      <c r="F1560" s="28" t="n"/>
      <c r="G1560" s="29" t="n"/>
      <c r="H1560" s="29" t="n"/>
      <c r="I1560" s="29" t="n"/>
      <c r="J1560" s="29" t="n"/>
      <c r="K1560" s="30">
        <f>IF(B1560="","",SUM(G$2:I1560)-SUM(J$2:J1560))</f>
        <v/>
      </c>
      <c r="L1560" s="22">
        <f>IF(B1560="","",IF(B1560=B1559,L1559,N(L1559)+1))</f>
        <v/>
      </c>
    </row>
    <row r="1561">
      <c r="A1561" s="22" t="n"/>
      <c r="B1561" s="27" t="n"/>
      <c r="C1561" s="17" t="n"/>
      <c r="D1561" s="17" t="n"/>
      <c r="E1561" s="17" t="n"/>
      <c r="F1561" s="28" t="n"/>
      <c r="G1561" s="29" t="n"/>
      <c r="H1561" s="29" t="n"/>
      <c r="I1561" s="29" t="n"/>
      <c r="J1561" s="29" t="n"/>
      <c r="K1561" s="30">
        <f>IF(B1561="","",SUM(G$2:I1561)-SUM(J$2:J1561))</f>
        <v/>
      </c>
      <c r="L1561" s="22">
        <f>IF(B1561="","",IF(B1561=B1560,L1560,N(L1560)+1))</f>
        <v/>
      </c>
    </row>
    <row r="1562">
      <c r="A1562" s="22" t="n"/>
      <c r="B1562" s="27" t="n"/>
      <c r="C1562" s="17" t="n"/>
      <c r="D1562" s="17" t="n"/>
      <c r="E1562" s="17" t="n"/>
      <c r="F1562" s="28" t="n"/>
      <c r="G1562" s="29" t="n"/>
      <c r="H1562" s="29" t="n"/>
      <c r="I1562" s="29" t="n"/>
      <c r="J1562" s="29" t="n"/>
      <c r="K1562" s="30">
        <f>IF(B1562="","",SUM(G$2:I1562)-SUM(J$2:J1562))</f>
        <v/>
      </c>
      <c r="L1562" s="22">
        <f>IF(B1562="","",IF(B1562=B1561,L1561,N(L1561)+1))</f>
        <v/>
      </c>
    </row>
    <row r="1563">
      <c r="A1563" s="22" t="n"/>
      <c r="B1563" s="27" t="n"/>
      <c r="C1563" s="17" t="n"/>
      <c r="D1563" s="17" t="n"/>
      <c r="E1563" s="17" t="n"/>
      <c r="F1563" s="28" t="n"/>
      <c r="G1563" s="29" t="n"/>
      <c r="H1563" s="29" t="n"/>
      <c r="I1563" s="29" t="n"/>
      <c r="J1563" s="29" t="n"/>
      <c r="K1563" s="30">
        <f>IF(B1563="","",SUM(G$2:I1563)-SUM(J$2:J1563))</f>
        <v/>
      </c>
      <c r="L1563" s="22">
        <f>IF(B1563="","",IF(B1563=B1562,L1562,N(L1562)+1))</f>
        <v/>
      </c>
    </row>
    <row r="1564">
      <c r="A1564" s="22" t="n"/>
      <c r="B1564" s="27" t="n"/>
      <c r="C1564" s="17" t="n"/>
      <c r="D1564" s="17" t="n"/>
      <c r="E1564" s="17" t="n"/>
      <c r="F1564" s="28" t="n"/>
      <c r="G1564" s="29" t="n"/>
      <c r="H1564" s="29" t="n"/>
      <c r="I1564" s="29" t="n"/>
      <c r="J1564" s="29" t="n"/>
      <c r="K1564" s="30">
        <f>IF(B1564="","",SUM(G$2:I1564)-SUM(J$2:J1564))</f>
        <v/>
      </c>
      <c r="L1564" s="22">
        <f>IF(B1564="","",IF(B1564=B1563,L1563,N(L1563)+1))</f>
        <v/>
      </c>
    </row>
    <row r="1565">
      <c r="A1565" s="22" t="n"/>
      <c r="B1565" s="27" t="n"/>
      <c r="C1565" s="17" t="n"/>
      <c r="D1565" s="17" t="n"/>
      <c r="E1565" s="17" t="n"/>
      <c r="F1565" s="28" t="n"/>
      <c r="G1565" s="29" t="n"/>
      <c r="H1565" s="29" t="n"/>
      <c r="I1565" s="29" t="n"/>
      <c r="J1565" s="29" t="n"/>
      <c r="K1565" s="30">
        <f>IF(B1565="","",SUM(G$2:I1565)-SUM(J$2:J1565))</f>
        <v/>
      </c>
      <c r="L1565" s="22">
        <f>IF(B1565="","",IF(B1565=B1564,L1564,N(L1564)+1))</f>
        <v/>
      </c>
    </row>
    <row r="1566">
      <c r="A1566" s="22" t="n"/>
      <c r="B1566" s="27" t="n"/>
      <c r="C1566" s="17" t="n"/>
      <c r="D1566" s="17" t="n"/>
      <c r="E1566" s="17" t="n"/>
      <c r="F1566" s="28" t="n"/>
      <c r="G1566" s="29" t="n"/>
      <c r="H1566" s="29" t="n"/>
      <c r="I1566" s="29" t="n"/>
      <c r="J1566" s="29" t="n"/>
      <c r="K1566" s="30">
        <f>IF(B1566="","",SUM(G$2:I1566)-SUM(J$2:J1566))</f>
        <v/>
      </c>
      <c r="L1566" s="22">
        <f>IF(B1566="","",IF(B1566=B1565,L1565,N(L1565)+1))</f>
        <v/>
      </c>
    </row>
    <row r="1567">
      <c r="A1567" s="22" t="n"/>
      <c r="B1567" s="27" t="n"/>
      <c r="C1567" s="17" t="n"/>
      <c r="D1567" s="17" t="n"/>
      <c r="E1567" s="17" t="n"/>
      <c r="F1567" s="28" t="n"/>
      <c r="G1567" s="29" t="n"/>
      <c r="H1567" s="29" t="n"/>
      <c r="I1567" s="29" t="n"/>
      <c r="J1567" s="29" t="n"/>
      <c r="K1567" s="30">
        <f>IF(B1567="","",SUM(G$2:I1567)-SUM(J$2:J1567))</f>
        <v/>
      </c>
      <c r="L1567" s="22">
        <f>IF(B1567="","",IF(B1567=B1566,L1566,N(L1566)+1))</f>
        <v/>
      </c>
    </row>
    <row r="1568">
      <c r="A1568" s="22" t="n"/>
      <c r="B1568" s="27" t="n"/>
      <c r="C1568" s="17" t="n"/>
      <c r="D1568" s="17" t="n"/>
      <c r="E1568" s="17" t="n"/>
      <c r="F1568" s="28" t="n"/>
      <c r="G1568" s="29" t="n"/>
      <c r="H1568" s="29" t="n"/>
      <c r="I1568" s="29" t="n"/>
      <c r="J1568" s="29" t="n"/>
      <c r="K1568" s="30">
        <f>IF(B1568="","",SUM(G$2:I1568)-SUM(J$2:J1568))</f>
        <v/>
      </c>
      <c r="L1568" s="22">
        <f>IF(B1568="","",IF(B1568=B1567,L1567,N(L1567)+1))</f>
        <v/>
      </c>
    </row>
    <row r="1569">
      <c r="A1569" s="22" t="n"/>
      <c r="B1569" s="27" t="n"/>
      <c r="C1569" s="17" t="n"/>
      <c r="D1569" s="17" t="n"/>
      <c r="E1569" s="17" t="n"/>
      <c r="F1569" s="28" t="n"/>
      <c r="G1569" s="29" t="n"/>
      <c r="H1569" s="29" t="n"/>
      <c r="I1569" s="29" t="n"/>
      <c r="J1569" s="29" t="n"/>
      <c r="K1569" s="30">
        <f>IF(B1569="","",SUM(G$2:I1569)-SUM(J$2:J1569))</f>
        <v/>
      </c>
      <c r="L1569" s="22">
        <f>IF(B1569="","",IF(B1569=B1568,L1568,N(L1568)+1))</f>
        <v/>
      </c>
    </row>
    <row r="1570">
      <c r="A1570" s="22" t="n"/>
      <c r="B1570" s="27" t="n"/>
      <c r="C1570" s="17" t="n"/>
      <c r="D1570" s="17" t="n"/>
      <c r="E1570" s="17" t="n"/>
      <c r="F1570" s="28" t="n"/>
      <c r="G1570" s="29" t="n"/>
      <c r="H1570" s="29" t="n"/>
      <c r="I1570" s="29" t="n"/>
      <c r="J1570" s="29" t="n"/>
      <c r="K1570" s="30">
        <f>IF(B1570="","",SUM(G$2:I1570)-SUM(J$2:J1570))</f>
        <v/>
      </c>
      <c r="L1570" s="22">
        <f>IF(B1570="","",IF(B1570=B1569,L1569,N(L1569)+1))</f>
        <v/>
      </c>
    </row>
    <row r="1571">
      <c r="A1571" s="22" t="n"/>
      <c r="B1571" s="27" t="n"/>
      <c r="C1571" s="17" t="n"/>
      <c r="D1571" s="17" t="n"/>
      <c r="E1571" s="17" t="n"/>
      <c r="F1571" s="28" t="n"/>
      <c r="G1571" s="29" t="n"/>
      <c r="H1571" s="29" t="n"/>
      <c r="I1571" s="29" t="n"/>
      <c r="J1571" s="29" t="n"/>
      <c r="K1571" s="30">
        <f>IF(B1571="","",SUM(G$2:I1571)-SUM(J$2:J1571))</f>
        <v/>
      </c>
      <c r="L1571" s="22">
        <f>IF(B1571="","",IF(B1571=B1570,L1570,N(L1570)+1))</f>
        <v/>
      </c>
    </row>
    <row r="1572">
      <c r="A1572" s="22" t="n"/>
      <c r="B1572" s="27" t="n"/>
      <c r="C1572" s="17" t="n"/>
      <c r="D1572" s="17" t="n"/>
      <c r="E1572" s="17" t="n"/>
      <c r="F1572" s="28" t="n"/>
      <c r="G1572" s="29" t="n"/>
      <c r="H1572" s="29" t="n"/>
      <c r="I1572" s="29" t="n"/>
      <c r="J1572" s="29" t="n"/>
      <c r="K1572" s="30">
        <f>IF(B1572="","",SUM(G$2:I1572)-SUM(J$2:J1572))</f>
        <v/>
      </c>
      <c r="L1572" s="22">
        <f>IF(B1572="","",IF(B1572=B1571,L1571,N(L1571)+1))</f>
        <v/>
      </c>
    </row>
    <row r="1573">
      <c r="A1573" s="22" t="n"/>
      <c r="B1573" s="27" t="n"/>
      <c r="C1573" s="17" t="n"/>
      <c r="D1573" s="17" t="n"/>
      <c r="E1573" s="17" t="n"/>
      <c r="F1573" s="28" t="n"/>
      <c r="G1573" s="29" t="n"/>
      <c r="H1573" s="29" t="n"/>
      <c r="I1573" s="29" t="n"/>
      <c r="J1573" s="29" t="n"/>
      <c r="K1573" s="30">
        <f>IF(B1573="","",SUM(G$2:I1573)-SUM(J$2:J1573))</f>
        <v/>
      </c>
      <c r="L1573" s="22">
        <f>IF(B1573="","",IF(B1573=B1572,L1572,N(L1572)+1))</f>
        <v/>
      </c>
    </row>
    <row r="1574">
      <c r="A1574" s="22" t="n"/>
      <c r="B1574" s="27" t="n"/>
      <c r="C1574" s="17" t="n"/>
      <c r="D1574" s="17" t="n"/>
      <c r="E1574" s="17" t="n"/>
      <c r="F1574" s="28" t="n"/>
      <c r="G1574" s="29" t="n"/>
      <c r="H1574" s="29" t="n"/>
      <c r="I1574" s="29" t="n"/>
      <c r="J1574" s="29" t="n"/>
      <c r="K1574" s="30">
        <f>IF(B1574="","",SUM(G$2:I1574)-SUM(J$2:J1574))</f>
        <v/>
      </c>
      <c r="L1574" s="22">
        <f>IF(B1574="","",IF(B1574=B1573,L1573,N(L1573)+1))</f>
        <v/>
      </c>
    </row>
    <row r="1575">
      <c r="A1575" s="22" t="n"/>
      <c r="B1575" s="27" t="n"/>
      <c r="C1575" s="17" t="n"/>
      <c r="D1575" s="17" t="n"/>
      <c r="E1575" s="17" t="n"/>
      <c r="F1575" s="28" t="n"/>
      <c r="G1575" s="29" t="n"/>
      <c r="H1575" s="29" t="n"/>
      <c r="I1575" s="29" t="n"/>
      <c r="J1575" s="29" t="n"/>
      <c r="K1575" s="30">
        <f>IF(B1575="","",SUM(G$2:I1575)-SUM(J$2:J1575))</f>
        <v/>
      </c>
      <c r="L1575" s="22">
        <f>IF(B1575="","",IF(B1575=B1574,L1574,N(L1574)+1))</f>
        <v/>
      </c>
    </row>
    <row r="1576">
      <c r="A1576" s="22" t="n"/>
      <c r="B1576" s="27" t="n"/>
      <c r="C1576" s="17" t="n"/>
      <c r="D1576" s="17" t="n"/>
      <c r="E1576" s="17" t="n"/>
      <c r="F1576" s="28" t="n"/>
      <c r="G1576" s="29" t="n"/>
      <c r="H1576" s="29" t="n"/>
      <c r="I1576" s="29" t="n"/>
      <c r="J1576" s="29" t="n"/>
      <c r="K1576" s="30">
        <f>IF(B1576="","",SUM(G$2:I1576)-SUM(J$2:J1576))</f>
        <v/>
      </c>
      <c r="L1576" s="22">
        <f>IF(B1576="","",IF(B1576=B1575,L1575,N(L1575)+1))</f>
        <v/>
      </c>
    </row>
    <row r="1577">
      <c r="A1577" s="22" t="n"/>
      <c r="B1577" s="27" t="n"/>
      <c r="C1577" s="17" t="n"/>
      <c r="D1577" s="17" t="n"/>
      <c r="E1577" s="17" t="n"/>
      <c r="F1577" s="28" t="n"/>
      <c r="G1577" s="29" t="n"/>
      <c r="H1577" s="29" t="n"/>
      <c r="I1577" s="29" t="n"/>
      <c r="J1577" s="29" t="n"/>
      <c r="K1577" s="30">
        <f>IF(B1577="","",SUM(G$2:I1577)-SUM(J$2:J1577))</f>
        <v/>
      </c>
      <c r="L1577" s="22">
        <f>IF(B1577="","",IF(B1577=B1576,L1576,N(L1576)+1))</f>
        <v/>
      </c>
    </row>
    <row r="1578">
      <c r="A1578" s="22" t="n"/>
      <c r="B1578" s="27" t="n"/>
      <c r="C1578" s="17" t="n"/>
      <c r="D1578" s="17" t="n"/>
      <c r="E1578" s="17" t="n"/>
      <c r="F1578" s="28" t="n"/>
      <c r="G1578" s="29" t="n"/>
      <c r="H1578" s="29" t="n"/>
      <c r="I1578" s="29" t="n"/>
      <c r="J1578" s="29" t="n"/>
      <c r="K1578" s="30">
        <f>IF(B1578="","",SUM(G$2:I1578)-SUM(J$2:J1578))</f>
        <v/>
      </c>
      <c r="L1578" s="22">
        <f>IF(B1578="","",IF(B1578=B1577,L1577,N(L1577)+1))</f>
        <v/>
      </c>
    </row>
    <row r="1579">
      <c r="A1579" s="22" t="n"/>
      <c r="B1579" s="27" t="n"/>
      <c r="C1579" s="17" t="n"/>
      <c r="D1579" s="17" t="n"/>
      <c r="E1579" s="17" t="n"/>
      <c r="F1579" s="28" t="n"/>
      <c r="G1579" s="29" t="n"/>
      <c r="H1579" s="29" t="n"/>
      <c r="I1579" s="29" t="n"/>
      <c r="J1579" s="29" t="n"/>
      <c r="K1579" s="30">
        <f>IF(B1579="","",SUM(G$2:I1579)-SUM(J$2:J1579))</f>
        <v/>
      </c>
      <c r="L1579" s="22">
        <f>IF(B1579="","",IF(B1579=B1578,L1578,N(L1578)+1))</f>
        <v/>
      </c>
    </row>
    <row r="1580">
      <c r="A1580" s="22" t="n"/>
      <c r="B1580" s="27" t="n"/>
      <c r="C1580" s="17" t="n"/>
      <c r="D1580" s="17" t="n"/>
      <c r="E1580" s="17" t="n"/>
      <c r="F1580" s="28" t="n"/>
      <c r="G1580" s="29" t="n"/>
      <c r="H1580" s="29" t="n"/>
      <c r="I1580" s="29" t="n"/>
      <c r="J1580" s="29" t="n"/>
      <c r="K1580" s="30">
        <f>IF(B1580="","",SUM(G$2:I1580)-SUM(J$2:J1580))</f>
        <v/>
      </c>
      <c r="L1580" s="22">
        <f>IF(B1580="","",IF(B1580=B1579,L1579,N(L1579)+1))</f>
        <v/>
      </c>
    </row>
    <row r="1581">
      <c r="A1581" s="22" t="n"/>
      <c r="B1581" s="27" t="n"/>
      <c r="C1581" s="17" t="n"/>
      <c r="D1581" s="17" t="n"/>
      <c r="E1581" s="17" t="n"/>
      <c r="F1581" s="28" t="n"/>
      <c r="G1581" s="29" t="n"/>
      <c r="H1581" s="29" t="n"/>
      <c r="I1581" s="29" t="n"/>
      <c r="J1581" s="29" t="n"/>
      <c r="K1581" s="30">
        <f>IF(B1581="","",SUM(G$2:I1581)-SUM(J$2:J1581))</f>
        <v/>
      </c>
      <c r="L1581" s="22">
        <f>IF(B1581="","",IF(B1581=B1580,L1580,N(L1580)+1))</f>
        <v/>
      </c>
    </row>
    <row r="1582">
      <c r="A1582" s="22" t="n"/>
      <c r="B1582" s="27" t="n"/>
      <c r="C1582" s="17" t="n"/>
      <c r="D1582" s="17" t="n"/>
      <c r="E1582" s="17" t="n"/>
      <c r="F1582" s="28" t="n"/>
      <c r="G1582" s="29" t="n"/>
      <c r="H1582" s="29" t="n"/>
      <c r="I1582" s="29" t="n"/>
      <c r="J1582" s="29" t="n"/>
      <c r="K1582" s="30">
        <f>IF(B1582="","",SUM(G$2:I1582)-SUM(J$2:J1582))</f>
        <v/>
      </c>
      <c r="L1582" s="22">
        <f>IF(B1582="","",IF(B1582=B1581,L1581,N(L1581)+1))</f>
        <v/>
      </c>
    </row>
    <row r="1583">
      <c r="A1583" s="22" t="n"/>
      <c r="B1583" s="27" t="n"/>
      <c r="C1583" s="17" t="n"/>
      <c r="D1583" s="17" t="n"/>
      <c r="E1583" s="17" t="n"/>
      <c r="F1583" s="28" t="n"/>
      <c r="G1583" s="29" t="n"/>
      <c r="H1583" s="29" t="n"/>
      <c r="I1583" s="29" t="n"/>
      <c r="J1583" s="29" t="n"/>
      <c r="K1583" s="30">
        <f>IF(B1583="","",SUM(G$2:I1583)-SUM(J$2:J1583))</f>
        <v/>
      </c>
      <c r="L1583" s="22">
        <f>IF(B1583="","",IF(B1583=B1582,L1582,N(L1582)+1))</f>
        <v/>
      </c>
    </row>
    <row r="1584">
      <c r="A1584" s="22" t="n"/>
      <c r="B1584" s="27" t="n"/>
      <c r="C1584" s="17" t="n"/>
      <c r="D1584" s="17" t="n"/>
      <c r="E1584" s="17" t="n"/>
      <c r="F1584" s="28" t="n"/>
      <c r="G1584" s="29" t="n"/>
      <c r="H1584" s="29" t="n"/>
      <c r="I1584" s="29" t="n"/>
      <c r="J1584" s="29" t="n"/>
      <c r="K1584" s="30">
        <f>IF(B1584="","",SUM(G$2:I1584)-SUM(J$2:J1584))</f>
        <v/>
      </c>
      <c r="L1584" s="22">
        <f>IF(B1584="","",IF(B1584=B1583,L1583,N(L1583)+1))</f>
        <v/>
      </c>
    </row>
    <row r="1585">
      <c r="A1585" s="22" t="n"/>
      <c r="B1585" s="27" t="n"/>
      <c r="C1585" s="17" t="n"/>
      <c r="D1585" s="17" t="n"/>
      <c r="E1585" s="17" t="n"/>
      <c r="F1585" s="28" t="n"/>
      <c r="G1585" s="29" t="n"/>
      <c r="H1585" s="29" t="n"/>
      <c r="I1585" s="29" t="n"/>
      <c r="J1585" s="29" t="n"/>
      <c r="K1585" s="30">
        <f>IF(B1585="","",SUM(G$2:I1585)-SUM(J$2:J1585))</f>
        <v/>
      </c>
      <c r="L1585" s="22">
        <f>IF(B1585="","",IF(B1585=B1584,L1584,N(L1584)+1))</f>
        <v/>
      </c>
    </row>
    <row r="1586">
      <c r="A1586" s="22" t="n"/>
      <c r="B1586" s="27" t="n"/>
      <c r="C1586" s="17" t="n"/>
      <c r="D1586" s="17" t="n"/>
      <c r="E1586" s="17" t="n"/>
      <c r="F1586" s="28" t="n"/>
      <c r="G1586" s="29" t="n"/>
      <c r="H1586" s="29" t="n"/>
      <c r="I1586" s="29" t="n"/>
      <c r="J1586" s="29" t="n"/>
      <c r="K1586" s="30">
        <f>IF(B1586="","",SUM(G$2:I1586)-SUM(J$2:J1586))</f>
        <v/>
      </c>
      <c r="L1586" s="22">
        <f>IF(B1586="","",IF(B1586=B1585,L1585,N(L1585)+1))</f>
        <v/>
      </c>
    </row>
    <row r="1587">
      <c r="A1587" s="22" t="n"/>
      <c r="B1587" s="27" t="n"/>
      <c r="C1587" s="17" t="n"/>
      <c r="D1587" s="17" t="n"/>
      <c r="E1587" s="17" t="n"/>
      <c r="F1587" s="28" t="n"/>
      <c r="G1587" s="29" t="n"/>
      <c r="H1587" s="29" t="n"/>
      <c r="I1587" s="29" t="n"/>
      <c r="J1587" s="29" t="n"/>
      <c r="K1587" s="30">
        <f>IF(B1587="","",SUM(G$2:I1587)-SUM(J$2:J1587))</f>
        <v/>
      </c>
      <c r="L1587" s="22">
        <f>IF(B1587="","",IF(B1587=B1586,L1586,N(L1586)+1))</f>
        <v/>
      </c>
    </row>
    <row r="1588">
      <c r="A1588" s="22" t="n"/>
      <c r="B1588" s="27" t="n"/>
      <c r="C1588" s="17" t="n"/>
      <c r="D1588" s="17" t="n"/>
      <c r="E1588" s="17" t="n"/>
      <c r="F1588" s="28" t="n"/>
      <c r="G1588" s="29" t="n"/>
      <c r="H1588" s="29" t="n"/>
      <c r="I1588" s="29" t="n"/>
      <c r="J1588" s="29" t="n"/>
      <c r="K1588" s="30">
        <f>IF(B1588="","",SUM(G$2:I1588)-SUM(J$2:J1588))</f>
        <v/>
      </c>
      <c r="L1588" s="22">
        <f>IF(B1588="","",IF(B1588=B1587,L1587,N(L1587)+1))</f>
        <v/>
      </c>
    </row>
    <row r="1589">
      <c r="A1589" s="22" t="n"/>
      <c r="B1589" s="27" t="n"/>
      <c r="C1589" s="17" t="n"/>
      <c r="D1589" s="17" t="n"/>
      <c r="E1589" s="17" t="n"/>
      <c r="F1589" s="28" t="n"/>
      <c r="G1589" s="29" t="n"/>
      <c r="H1589" s="29" t="n"/>
      <c r="I1589" s="29" t="n"/>
      <c r="J1589" s="29" t="n"/>
      <c r="K1589" s="30">
        <f>IF(B1589="","",SUM(G$2:I1589)-SUM(J$2:J1589))</f>
        <v/>
      </c>
      <c r="L1589" s="22">
        <f>IF(B1589="","",IF(B1589=B1588,L1588,N(L1588)+1))</f>
        <v/>
      </c>
    </row>
    <row r="1590">
      <c r="A1590" s="22" t="n"/>
      <c r="B1590" s="27" t="n"/>
      <c r="C1590" s="17" t="n"/>
      <c r="D1590" s="17" t="n"/>
      <c r="E1590" s="17" t="n"/>
      <c r="F1590" s="28" t="n"/>
      <c r="G1590" s="29" t="n"/>
      <c r="H1590" s="29" t="n"/>
      <c r="I1590" s="29" t="n"/>
      <c r="J1590" s="29" t="n"/>
      <c r="K1590" s="30">
        <f>IF(B1590="","",SUM(G$2:I1590)-SUM(J$2:J1590))</f>
        <v/>
      </c>
      <c r="L1590" s="22">
        <f>IF(B1590="","",IF(B1590=B1589,L1589,N(L1589)+1))</f>
        <v/>
      </c>
    </row>
    <row r="1591">
      <c r="A1591" s="22" t="n"/>
      <c r="B1591" s="27" t="n"/>
      <c r="C1591" s="17" t="n"/>
      <c r="D1591" s="17" t="n"/>
      <c r="E1591" s="17" t="n"/>
      <c r="F1591" s="28" t="n"/>
      <c r="G1591" s="29" t="n"/>
      <c r="H1591" s="29" t="n"/>
      <c r="I1591" s="29" t="n"/>
      <c r="J1591" s="29" t="n"/>
      <c r="K1591" s="30">
        <f>IF(B1591="","",SUM(G$2:I1591)-SUM(J$2:J1591))</f>
        <v/>
      </c>
      <c r="L1591" s="22">
        <f>IF(B1591="","",IF(B1591=B1590,L1590,N(L1590)+1))</f>
        <v/>
      </c>
    </row>
    <row r="1592">
      <c r="A1592" s="22" t="n"/>
      <c r="B1592" s="27" t="n"/>
      <c r="C1592" s="17" t="n"/>
      <c r="D1592" s="17" t="n"/>
      <c r="E1592" s="17" t="n"/>
      <c r="F1592" s="28" t="n"/>
      <c r="G1592" s="29" t="n"/>
      <c r="H1592" s="29" t="n"/>
      <c r="I1592" s="29" t="n"/>
      <c r="J1592" s="29" t="n"/>
      <c r="K1592" s="30">
        <f>IF(B1592="","",SUM(G$2:I1592)-SUM(J$2:J1592))</f>
        <v/>
      </c>
      <c r="L1592" s="22">
        <f>IF(B1592="","",IF(B1592=B1591,L1591,N(L1591)+1))</f>
        <v/>
      </c>
    </row>
    <row r="1593">
      <c r="A1593" s="22" t="n"/>
      <c r="B1593" s="27" t="n"/>
      <c r="C1593" s="17" t="n"/>
      <c r="D1593" s="17" t="n"/>
      <c r="E1593" s="17" t="n"/>
      <c r="F1593" s="28" t="n"/>
      <c r="G1593" s="29" t="n"/>
      <c r="H1593" s="29" t="n"/>
      <c r="I1593" s="29" t="n"/>
      <c r="J1593" s="29" t="n"/>
      <c r="K1593" s="30">
        <f>IF(B1593="","",SUM(G$2:I1593)-SUM(J$2:J1593))</f>
        <v/>
      </c>
      <c r="L1593" s="22">
        <f>IF(B1593="","",IF(B1593=B1592,L1592,N(L1592)+1))</f>
        <v/>
      </c>
    </row>
    <row r="1594">
      <c r="A1594" s="22" t="n"/>
      <c r="B1594" s="27" t="n"/>
      <c r="C1594" s="17" t="n"/>
      <c r="D1594" s="17" t="n"/>
      <c r="E1594" s="17" t="n"/>
      <c r="F1594" s="28" t="n"/>
      <c r="G1594" s="29" t="n"/>
      <c r="H1594" s="29" t="n"/>
      <c r="I1594" s="29" t="n"/>
      <c r="J1594" s="29" t="n"/>
      <c r="K1594" s="30">
        <f>IF(B1594="","",SUM(G$2:I1594)-SUM(J$2:J1594))</f>
        <v/>
      </c>
      <c r="L1594" s="22">
        <f>IF(B1594="","",IF(B1594=B1593,L1593,N(L1593)+1))</f>
        <v/>
      </c>
    </row>
    <row r="1595">
      <c r="A1595" s="22" t="n"/>
      <c r="B1595" s="27" t="n"/>
      <c r="C1595" s="17" t="n"/>
      <c r="D1595" s="17" t="n"/>
      <c r="E1595" s="17" t="n"/>
      <c r="F1595" s="28" t="n"/>
      <c r="G1595" s="29" t="n"/>
      <c r="H1595" s="29" t="n"/>
      <c r="I1595" s="29" t="n"/>
      <c r="J1595" s="29" t="n"/>
      <c r="K1595" s="30">
        <f>IF(B1595="","",SUM(G$2:I1595)-SUM(J$2:J1595))</f>
        <v/>
      </c>
      <c r="L1595" s="22">
        <f>IF(B1595="","",IF(B1595=B1594,L1594,N(L1594)+1))</f>
        <v/>
      </c>
    </row>
    <row r="1596">
      <c r="A1596" s="22" t="n"/>
      <c r="B1596" s="27" t="n"/>
      <c r="C1596" s="17" t="n"/>
      <c r="D1596" s="17" t="n"/>
      <c r="E1596" s="17" t="n"/>
      <c r="F1596" s="28" t="n"/>
      <c r="G1596" s="29" t="n"/>
      <c r="H1596" s="29" t="n"/>
      <c r="I1596" s="29" t="n"/>
      <c r="J1596" s="29" t="n"/>
      <c r="K1596" s="30">
        <f>IF(B1596="","",SUM(G$2:I1596)-SUM(J$2:J1596))</f>
        <v/>
      </c>
      <c r="L1596" s="22">
        <f>IF(B1596="","",IF(B1596=B1595,L1595,N(L1595)+1))</f>
        <v/>
      </c>
    </row>
    <row r="1597">
      <c r="A1597" s="22" t="n"/>
      <c r="B1597" s="27" t="n"/>
      <c r="C1597" s="17" t="n"/>
      <c r="D1597" s="17" t="n"/>
      <c r="E1597" s="17" t="n"/>
      <c r="F1597" s="28" t="n"/>
      <c r="G1597" s="29" t="n"/>
      <c r="H1597" s="29" t="n"/>
      <c r="I1597" s="29" t="n"/>
      <c r="J1597" s="29" t="n"/>
      <c r="K1597" s="30">
        <f>IF(B1597="","",SUM(G$2:I1597)-SUM(J$2:J1597))</f>
        <v/>
      </c>
      <c r="L1597" s="22">
        <f>IF(B1597="","",IF(B1597=B1596,L1596,N(L1596)+1))</f>
        <v/>
      </c>
    </row>
    <row r="1598">
      <c r="A1598" s="22" t="n"/>
      <c r="B1598" s="27" t="n"/>
      <c r="C1598" s="17" t="n"/>
      <c r="D1598" s="17" t="n"/>
      <c r="E1598" s="17" t="n"/>
      <c r="F1598" s="28" t="n"/>
      <c r="G1598" s="29" t="n"/>
      <c r="H1598" s="29" t="n"/>
      <c r="I1598" s="29" t="n"/>
      <c r="J1598" s="29" t="n"/>
      <c r="K1598" s="30">
        <f>IF(B1598="","",SUM(G$2:I1598)-SUM(J$2:J1598))</f>
        <v/>
      </c>
      <c r="L1598" s="22">
        <f>IF(B1598="","",IF(B1598=B1597,L1597,N(L1597)+1))</f>
        <v/>
      </c>
    </row>
    <row r="1599">
      <c r="A1599" s="22" t="n"/>
      <c r="B1599" s="27" t="n"/>
      <c r="C1599" s="17" t="n"/>
      <c r="D1599" s="17" t="n"/>
      <c r="E1599" s="17" t="n"/>
      <c r="F1599" s="28" t="n"/>
      <c r="G1599" s="29" t="n"/>
      <c r="H1599" s="29" t="n"/>
      <c r="I1599" s="29" t="n"/>
      <c r="J1599" s="29" t="n"/>
      <c r="K1599" s="30">
        <f>IF(B1599="","",SUM(G$2:I1599)-SUM(J$2:J1599))</f>
        <v/>
      </c>
      <c r="L1599" s="22">
        <f>IF(B1599="","",IF(B1599=B1598,L1598,N(L1598)+1))</f>
        <v/>
      </c>
    </row>
    <row r="1600">
      <c r="A1600" s="22" t="n"/>
      <c r="B1600" s="27" t="n"/>
      <c r="C1600" s="17" t="n"/>
      <c r="D1600" s="17" t="n"/>
      <c r="E1600" s="17" t="n"/>
      <c r="F1600" s="28" t="n"/>
      <c r="G1600" s="29" t="n"/>
      <c r="H1600" s="29" t="n"/>
      <c r="I1600" s="29" t="n"/>
      <c r="J1600" s="29" t="n"/>
      <c r="K1600" s="30">
        <f>IF(B1600="","",SUM(G$2:I1600)-SUM(J$2:J1600))</f>
        <v/>
      </c>
      <c r="L1600" s="22">
        <f>IF(B1600="","",IF(B1600=B1599,L1599,N(L1599)+1))</f>
        <v/>
      </c>
    </row>
    <row r="1601">
      <c r="A1601" s="22" t="n"/>
      <c r="B1601" s="27" t="n"/>
      <c r="C1601" s="17" t="n"/>
      <c r="D1601" s="17" t="n"/>
      <c r="E1601" s="17" t="n"/>
      <c r="F1601" s="28" t="n"/>
      <c r="G1601" s="29" t="n"/>
      <c r="H1601" s="29" t="n"/>
      <c r="I1601" s="29" t="n"/>
      <c r="J1601" s="29" t="n"/>
      <c r="K1601" s="30">
        <f>IF(B1601="","",SUM(G$2:I1601)-SUM(J$2:J1601))</f>
        <v/>
      </c>
      <c r="L1601" s="22">
        <f>IF(B1601="","",IF(B1601=B1600,L1600,N(L1600)+1))</f>
        <v/>
      </c>
    </row>
    <row r="1602">
      <c r="A1602" s="22" t="n"/>
      <c r="B1602" s="27" t="n"/>
      <c r="C1602" s="17" t="n"/>
      <c r="D1602" s="17" t="n"/>
      <c r="E1602" s="17" t="n"/>
      <c r="F1602" s="28" t="n"/>
      <c r="G1602" s="29" t="n"/>
      <c r="H1602" s="29" t="n"/>
      <c r="I1602" s="29" t="n"/>
      <c r="J1602" s="29" t="n"/>
      <c r="K1602" s="30">
        <f>IF(B1602="","",SUM(G$2:I1602)-SUM(J$2:J1602))</f>
        <v/>
      </c>
      <c r="L1602" s="22">
        <f>IF(B1602="","",IF(B1602=B1601,L1601,N(L1601)+1))</f>
        <v/>
      </c>
    </row>
    <row r="1603">
      <c r="A1603" s="22" t="n"/>
      <c r="B1603" s="27" t="n"/>
      <c r="C1603" s="17" t="n"/>
      <c r="D1603" s="17" t="n"/>
      <c r="E1603" s="17" t="n"/>
      <c r="F1603" s="28" t="n"/>
      <c r="G1603" s="29" t="n"/>
      <c r="H1603" s="29" t="n"/>
      <c r="I1603" s="29" t="n"/>
      <c r="J1603" s="29" t="n"/>
      <c r="K1603" s="30">
        <f>IF(B1603="","",SUM(G$2:I1603)-SUM(J$2:J1603))</f>
        <v/>
      </c>
      <c r="L1603" s="22">
        <f>IF(B1603="","",IF(B1603=B1602,L1602,N(L1602)+1))</f>
        <v/>
      </c>
    </row>
    <row r="1604">
      <c r="A1604" s="22" t="n"/>
      <c r="B1604" s="27" t="n"/>
      <c r="C1604" s="17" t="n"/>
      <c r="D1604" s="17" t="n"/>
      <c r="E1604" s="17" t="n"/>
      <c r="F1604" s="28" t="n"/>
      <c r="G1604" s="29" t="n"/>
      <c r="H1604" s="29" t="n"/>
      <c r="I1604" s="29" t="n"/>
      <c r="J1604" s="29" t="n"/>
      <c r="K1604" s="30">
        <f>IF(B1604="","",SUM(G$2:I1604)-SUM(J$2:J1604))</f>
        <v/>
      </c>
      <c r="L1604" s="22">
        <f>IF(B1604="","",IF(B1604=B1603,L1603,N(L1603)+1))</f>
        <v/>
      </c>
    </row>
    <row r="1605">
      <c r="A1605" s="22" t="n"/>
      <c r="B1605" s="27" t="n"/>
      <c r="C1605" s="17" t="n"/>
      <c r="D1605" s="17" t="n"/>
      <c r="E1605" s="17" t="n"/>
      <c r="F1605" s="28" t="n"/>
      <c r="G1605" s="29" t="n"/>
      <c r="H1605" s="29" t="n"/>
      <c r="I1605" s="29" t="n"/>
      <c r="J1605" s="29" t="n"/>
      <c r="K1605" s="30">
        <f>IF(B1605="","",SUM(G$2:I1605)-SUM(J$2:J1605))</f>
        <v/>
      </c>
      <c r="L1605" s="22">
        <f>IF(B1605="","",IF(B1605=B1604,L1604,N(L1604)+1))</f>
        <v/>
      </c>
    </row>
    <row r="1606">
      <c r="A1606" s="22" t="n"/>
      <c r="B1606" s="27" t="n"/>
      <c r="C1606" s="17" t="n"/>
      <c r="D1606" s="17" t="n"/>
      <c r="E1606" s="17" t="n"/>
      <c r="F1606" s="28" t="n"/>
      <c r="G1606" s="29" t="n"/>
      <c r="H1606" s="29" t="n"/>
      <c r="I1606" s="29" t="n"/>
      <c r="J1606" s="29" t="n"/>
      <c r="K1606" s="30">
        <f>IF(B1606="","",SUM(G$2:I1606)-SUM(J$2:J1606))</f>
        <v/>
      </c>
      <c r="L1606" s="22">
        <f>IF(B1606="","",IF(B1606=B1605,L1605,N(L1605)+1))</f>
        <v/>
      </c>
    </row>
    <row r="1607">
      <c r="A1607" s="22" t="n"/>
      <c r="B1607" s="27" t="n"/>
      <c r="C1607" s="17" t="n"/>
      <c r="D1607" s="17" t="n"/>
      <c r="E1607" s="17" t="n"/>
      <c r="F1607" s="28" t="n"/>
      <c r="G1607" s="29" t="n"/>
      <c r="H1607" s="29" t="n"/>
      <c r="I1607" s="29" t="n"/>
      <c r="J1607" s="29" t="n"/>
      <c r="K1607" s="30">
        <f>IF(B1607="","",SUM(G$2:I1607)-SUM(J$2:J1607))</f>
        <v/>
      </c>
      <c r="L1607" s="22">
        <f>IF(B1607="","",IF(B1607=B1606,L1606,N(L1606)+1))</f>
        <v/>
      </c>
    </row>
    <row r="1608">
      <c r="A1608" s="22" t="n"/>
      <c r="B1608" s="27" t="n"/>
      <c r="C1608" s="17" t="n"/>
      <c r="D1608" s="17" t="n"/>
      <c r="E1608" s="17" t="n"/>
      <c r="F1608" s="28" t="n"/>
      <c r="G1608" s="29" t="n"/>
      <c r="H1608" s="29" t="n"/>
      <c r="I1608" s="29" t="n"/>
      <c r="J1608" s="29" t="n"/>
      <c r="K1608" s="30">
        <f>IF(B1608="","",SUM(G$2:I1608)-SUM(J$2:J1608))</f>
        <v/>
      </c>
      <c r="L1608" s="22">
        <f>IF(B1608="","",IF(B1608=B1607,L1607,N(L1607)+1))</f>
        <v/>
      </c>
    </row>
    <row r="1609">
      <c r="A1609" s="22" t="n"/>
      <c r="B1609" s="27" t="n"/>
      <c r="C1609" s="17" t="n"/>
      <c r="D1609" s="17" t="n"/>
      <c r="E1609" s="17" t="n"/>
      <c r="F1609" s="28" t="n"/>
      <c r="G1609" s="29" t="n"/>
      <c r="H1609" s="29" t="n"/>
      <c r="I1609" s="29" t="n"/>
      <c r="J1609" s="29" t="n"/>
      <c r="K1609" s="30">
        <f>IF(B1609="","",SUM(G$2:I1609)-SUM(J$2:J1609))</f>
        <v/>
      </c>
      <c r="L1609" s="22">
        <f>IF(B1609="","",IF(B1609=B1608,L1608,N(L1608)+1))</f>
        <v/>
      </c>
    </row>
    <row r="1610">
      <c r="A1610" s="22" t="n"/>
      <c r="B1610" s="27" t="n"/>
      <c r="C1610" s="17" t="n"/>
      <c r="D1610" s="17" t="n"/>
      <c r="E1610" s="17" t="n"/>
      <c r="F1610" s="28" t="n"/>
      <c r="G1610" s="29" t="n"/>
      <c r="H1610" s="29" t="n"/>
      <c r="I1610" s="29" t="n"/>
      <c r="J1610" s="29" t="n"/>
      <c r="K1610" s="30">
        <f>IF(B1610="","",SUM(G$2:I1610)-SUM(J$2:J1610))</f>
        <v/>
      </c>
      <c r="L1610" s="22">
        <f>IF(B1610="","",IF(B1610=B1609,L1609,N(L1609)+1))</f>
        <v/>
      </c>
    </row>
    <row r="1611">
      <c r="A1611" s="22" t="n"/>
      <c r="B1611" s="27" t="n"/>
      <c r="C1611" s="17" t="n"/>
      <c r="D1611" s="17" t="n"/>
      <c r="E1611" s="17" t="n"/>
      <c r="F1611" s="28" t="n"/>
      <c r="G1611" s="29" t="n"/>
      <c r="H1611" s="29" t="n"/>
      <c r="I1611" s="29" t="n"/>
      <c r="J1611" s="29" t="n"/>
      <c r="K1611" s="30">
        <f>IF(B1611="","",SUM(G$2:I1611)-SUM(J$2:J1611))</f>
        <v/>
      </c>
      <c r="L1611" s="22">
        <f>IF(B1611="","",IF(B1611=B1610,L1610,N(L1610)+1))</f>
        <v/>
      </c>
    </row>
    <row r="1612">
      <c r="A1612" s="22" t="n"/>
      <c r="B1612" s="27" t="n"/>
      <c r="C1612" s="17" t="n"/>
      <c r="D1612" s="17" t="n"/>
      <c r="E1612" s="17" t="n"/>
      <c r="F1612" s="28" t="n"/>
      <c r="G1612" s="29" t="n"/>
      <c r="H1612" s="29" t="n"/>
      <c r="I1612" s="29" t="n"/>
      <c r="J1612" s="29" t="n"/>
      <c r="K1612" s="30">
        <f>IF(B1612="","",SUM(G$2:I1612)-SUM(J$2:J1612))</f>
        <v/>
      </c>
      <c r="L1612" s="22">
        <f>IF(B1612="","",IF(B1612=B1611,L1611,N(L1611)+1))</f>
        <v/>
      </c>
    </row>
    <row r="1613">
      <c r="A1613" s="22" t="n"/>
      <c r="B1613" s="27" t="n"/>
      <c r="C1613" s="17" t="n"/>
      <c r="D1613" s="17" t="n"/>
      <c r="E1613" s="17" t="n"/>
      <c r="F1613" s="28" t="n"/>
      <c r="G1613" s="29" t="n"/>
      <c r="H1613" s="29" t="n"/>
      <c r="I1613" s="29" t="n"/>
      <c r="J1613" s="29" t="n"/>
      <c r="K1613" s="30">
        <f>IF(B1613="","",SUM(G$2:I1613)-SUM(J$2:J1613))</f>
        <v/>
      </c>
      <c r="L1613" s="22">
        <f>IF(B1613="","",IF(B1613=B1612,L1612,N(L1612)+1))</f>
        <v/>
      </c>
    </row>
    <row r="1614">
      <c r="A1614" s="22" t="n"/>
      <c r="B1614" s="27" t="n"/>
      <c r="C1614" s="17" t="n"/>
      <c r="D1614" s="17" t="n"/>
      <c r="E1614" s="17" t="n"/>
      <c r="F1614" s="28" t="n"/>
      <c r="G1614" s="29" t="n"/>
      <c r="H1614" s="29" t="n"/>
      <c r="I1614" s="29" t="n"/>
      <c r="J1614" s="29" t="n"/>
      <c r="K1614" s="30">
        <f>IF(B1614="","",SUM(G$2:I1614)-SUM(J$2:J1614))</f>
        <v/>
      </c>
      <c r="L1614" s="22">
        <f>IF(B1614="","",IF(B1614=B1613,L1613,N(L1613)+1))</f>
        <v/>
      </c>
    </row>
    <row r="1615">
      <c r="A1615" s="22" t="n"/>
      <c r="B1615" s="27" t="n"/>
      <c r="C1615" s="17" t="n"/>
      <c r="D1615" s="17" t="n"/>
      <c r="E1615" s="17" t="n"/>
      <c r="F1615" s="28" t="n"/>
      <c r="G1615" s="29" t="n"/>
      <c r="H1615" s="29" t="n"/>
      <c r="I1615" s="29" t="n"/>
      <c r="J1615" s="29" t="n"/>
      <c r="K1615" s="30">
        <f>IF(B1615="","",SUM(G$2:I1615)-SUM(J$2:J1615))</f>
        <v/>
      </c>
      <c r="L1615" s="22">
        <f>IF(B1615="","",IF(B1615=B1614,L1614,N(L1614)+1))</f>
        <v/>
      </c>
    </row>
    <row r="1616">
      <c r="A1616" s="22" t="n"/>
      <c r="B1616" s="27" t="n"/>
      <c r="C1616" s="17" t="n"/>
      <c r="D1616" s="17" t="n"/>
      <c r="E1616" s="17" t="n"/>
      <c r="F1616" s="28" t="n"/>
      <c r="G1616" s="29" t="n"/>
      <c r="H1616" s="29" t="n"/>
      <c r="I1616" s="29" t="n"/>
      <c r="J1616" s="29" t="n"/>
      <c r="K1616" s="30">
        <f>IF(B1616="","",SUM(G$2:I1616)-SUM(J$2:J1616))</f>
        <v/>
      </c>
      <c r="L1616" s="22">
        <f>IF(B1616="","",IF(B1616=B1615,L1615,N(L1615)+1))</f>
        <v/>
      </c>
    </row>
    <row r="1617">
      <c r="A1617" s="22" t="n"/>
      <c r="B1617" s="27" t="n"/>
      <c r="C1617" s="17" t="n"/>
      <c r="D1617" s="17" t="n"/>
      <c r="E1617" s="17" t="n"/>
      <c r="F1617" s="28" t="n"/>
      <c r="G1617" s="29" t="n"/>
      <c r="H1617" s="29" t="n"/>
      <c r="I1617" s="29" t="n"/>
      <c r="J1617" s="29" t="n"/>
      <c r="K1617" s="30">
        <f>IF(B1617="","",SUM(G$2:I1617)-SUM(J$2:J1617))</f>
        <v/>
      </c>
      <c r="L1617" s="22">
        <f>IF(B1617="","",IF(B1617=B1616,L1616,N(L1616)+1))</f>
        <v/>
      </c>
    </row>
    <row r="1618">
      <c r="A1618" s="22" t="n"/>
      <c r="B1618" s="27" t="n"/>
      <c r="C1618" s="17" t="n"/>
      <c r="D1618" s="17" t="n"/>
      <c r="E1618" s="17" t="n"/>
      <c r="F1618" s="28" t="n"/>
      <c r="G1618" s="29" t="n"/>
      <c r="H1618" s="29" t="n"/>
      <c r="I1618" s="29" t="n"/>
      <c r="J1618" s="29" t="n"/>
      <c r="K1618" s="30">
        <f>IF(B1618="","",SUM(G$2:I1618)-SUM(J$2:J1618))</f>
        <v/>
      </c>
      <c r="L1618" s="22">
        <f>IF(B1618="","",IF(B1618=B1617,L1617,N(L1617)+1))</f>
        <v/>
      </c>
    </row>
    <row r="1619">
      <c r="A1619" s="22" t="n"/>
      <c r="B1619" s="27" t="n"/>
      <c r="C1619" s="17" t="n"/>
      <c r="D1619" s="17" t="n"/>
      <c r="E1619" s="17" t="n"/>
      <c r="F1619" s="28" t="n"/>
      <c r="G1619" s="29" t="n"/>
      <c r="H1619" s="29" t="n"/>
      <c r="I1619" s="29" t="n"/>
      <c r="J1619" s="29" t="n"/>
      <c r="K1619" s="30">
        <f>IF(B1619="","",SUM(G$2:I1619)-SUM(J$2:J1619))</f>
        <v/>
      </c>
      <c r="L1619" s="22">
        <f>IF(B1619="","",IF(B1619=B1618,L1618,N(L1618)+1))</f>
        <v/>
      </c>
    </row>
    <row r="1620">
      <c r="A1620" s="22" t="n"/>
      <c r="B1620" s="27" t="n"/>
      <c r="C1620" s="17" t="n"/>
      <c r="D1620" s="17" t="n"/>
      <c r="E1620" s="17" t="n"/>
      <c r="F1620" s="28" t="n"/>
      <c r="G1620" s="29" t="n"/>
      <c r="H1620" s="29" t="n"/>
      <c r="I1620" s="29" t="n"/>
      <c r="J1620" s="29" t="n"/>
      <c r="K1620" s="30">
        <f>IF(B1620="","",SUM(G$2:I1620)-SUM(J$2:J1620))</f>
        <v/>
      </c>
      <c r="L1620" s="22">
        <f>IF(B1620="","",IF(B1620=B1619,L1619,N(L1619)+1))</f>
        <v/>
      </c>
    </row>
    <row r="1621">
      <c r="A1621" s="22" t="n"/>
      <c r="B1621" s="27" t="n"/>
      <c r="C1621" s="17" t="n"/>
      <c r="D1621" s="17" t="n"/>
      <c r="E1621" s="17" t="n"/>
      <c r="F1621" s="28" t="n"/>
      <c r="G1621" s="29" t="n"/>
      <c r="H1621" s="29" t="n"/>
      <c r="I1621" s="29" t="n"/>
      <c r="J1621" s="29" t="n"/>
      <c r="K1621" s="30">
        <f>IF(B1621="","",SUM(G$2:I1621)-SUM(J$2:J1621))</f>
        <v/>
      </c>
      <c r="L1621" s="22">
        <f>IF(B1621="","",IF(B1621=B1620,L1620,N(L1620)+1))</f>
        <v/>
      </c>
    </row>
    <row r="1622">
      <c r="A1622" s="22" t="n"/>
      <c r="B1622" s="27" t="n"/>
      <c r="C1622" s="17" t="n"/>
      <c r="D1622" s="17" t="n"/>
      <c r="E1622" s="17" t="n"/>
      <c r="F1622" s="28" t="n"/>
      <c r="G1622" s="29" t="n"/>
      <c r="H1622" s="29" t="n"/>
      <c r="I1622" s="29" t="n"/>
      <c r="J1622" s="29" t="n"/>
      <c r="K1622" s="30">
        <f>IF(B1622="","",SUM(G$2:I1622)-SUM(J$2:J1622))</f>
        <v/>
      </c>
      <c r="L1622" s="22">
        <f>IF(B1622="","",IF(B1622=B1621,L1621,N(L1621)+1))</f>
        <v/>
      </c>
    </row>
    <row r="1623">
      <c r="A1623" s="22" t="n"/>
      <c r="B1623" s="27" t="n"/>
      <c r="C1623" s="17" t="n"/>
      <c r="D1623" s="17" t="n"/>
      <c r="E1623" s="17" t="n"/>
      <c r="F1623" s="28" t="n"/>
      <c r="G1623" s="29" t="n"/>
      <c r="H1623" s="29" t="n"/>
      <c r="I1623" s="29" t="n"/>
      <c r="J1623" s="29" t="n"/>
      <c r="K1623" s="30">
        <f>IF(B1623="","",SUM(G$2:I1623)-SUM(J$2:J1623))</f>
        <v/>
      </c>
      <c r="L1623" s="22">
        <f>IF(B1623="","",IF(B1623=B1622,L1622,N(L1622)+1))</f>
        <v/>
      </c>
    </row>
    <row r="1624">
      <c r="A1624" s="22" t="n"/>
      <c r="B1624" s="27" t="n"/>
      <c r="C1624" s="17" t="n"/>
      <c r="D1624" s="17" t="n"/>
      <c r="E1624" s="17" t="n"/>
      <c r="F1624" s="28" t="n"/>
      <c r="G1624" s="29" t="n"/>
      <c r="H1624" s="29" t="n"/>
      <c r="I1624" s="29" t="n"/>
      <c r="J1624" s="29" t="n"/>
      <c r="K1624" s="30">
        <f>IF(B1624="","",SUM(G$2:I1624)-SUM(J$2:J1624))</f>
        <v/>
      </c>
      <c r="L1624" s="22">
        <f>IF(B1624="","",IF(B1624=B1623,L1623,N(L1623)+1))</f>
        <v/>
      </c>
    </row>
    <row r="1625">
      <c r="A1625" s="22" t="n"/>
      <c r="B1625" s="27" t="n"/>
      <c r="C1625" s="17" t="n"/>
      <c r="D1625" s="17" t="n"/>
      <c r="E1625" s="17" t="n"/>
      <c r="F1625" s="28" t="n"/>
      <c r="G1625" s="29" t="n"/>
      <c r="H1625" s="29" t="n"/>
      <c r="I1625" s="29" t="n"/>
      <c r="J1625" s="29" t="n"/>
      <c r="K1625" s="30">
        <f>IF(B1625="","",SUM(G$2:I1625)-SUM(J$2:J1625))</f>
        <v/>
      </c>
      <c r="L1625" s="22">
        <f>IF(B1625="","",IF(B1625=B1624,L1624,N(L1624)+1))</f>
        <v/>
      </c>
    </row>
    <row r="1626">
      <c r="A1626" s="22" t="n"/>
      <c r="B1626" s="27" t="n"/>
      <c r="C1626" s="17" t="n"/>
      <c r="D1626" s="17" t="n"/>
      <c r="E1626" s="17" t="n"/>
      <c r="F1626" s="28" t="n"/>
      <c r="G1626" s="29" t="n"/>
      <c r="H1626" s="29" t="n"/>
      <c r="I1626" s="29" t="n"/>
      <c r="J1626" s="29" t="n"/>
      <c r="K1626" s="30">
        <f>IF(B1626="","",SUM(G$2:I1626)-SUM(J$2:J1626))</f>
        <v/>
      </c>
      <c r="L1626" s="22">
        <f>IF(B1626="","",IF(B1626=B1625,L1625,N(L1625)+1))</f>
        <v/>
      </c>
    </row>
    <row r="1627">
      <c r="A1627" s="22" t="n"/>
      <c r="B1627" s="27" t="n"/>
      <c r="C1627" s="17" t="n"/>
      <c r="D1627" s="17" t="n"/>
      <c r="E1627" s="17" t="n"/>
      <c r="F1627" s="28" t="n"/>
      <c r="G1627" s="29" t="n"/>
      <c r="H1627" s="29" t="n"/>
      <c r="I1627" s="29" t="n"/>
      <c r="J1627" s="29" t="n"/>
      <c r="K1627" s="30">
        <f>IF(B1627="","",SUM(G$2:I1627)-SUM(J$2:J1627))</f>
        <v/>
      </c>
      <c r="L1627" s="22">
        <f>IF(B1627="","",IF(B1627=B1626,L1626,N(L1626)+1))</f>
        <v/>
      </c>
    </row>
    <row r="1628">
      <c r="A1628" s="22" t="n"/>
      <c r="B1628" s="27" t="n"/>
      <c r="C1628" s="17" t="n"/>
      <c r="D1628" s="17" t="n"/>
      <c r="E1628" s="17" t="n"/>
      <c r="F1628" s="28" t="n"/>
      <c r="G1628" s="29" t="n"/>
      <c r="H1628" s="29" t="n"/>
      <c r="I1628" s="29" t="n"/>
      <c r="J1628" s="29" t="n"/>
      <c r="K1628" s="30">
        <f>IF(B1628="","",SUM(G$2:I1628)-SUM(J$2:J1628))</f>
        <v/>
      </c>
      <c r="L1628" s="22">
        <f>IF(B1628="","",IF(B1628=B1627,L1627,N(L1627)+1))</f>
        <v/>
      </c>
    </row>
    <row r="1629">
      <c r="A1629" s="22" t="n"/>
      <c r="B1629" s="27" t="n"/>
      <c r="C1629" s="17" t="n"/>
      <c r="D1629" s="17" t="n"/>
      <c r="E1629" s="17" t="n"/>
      <c r="F1629" s="28" t="n"/>
      <c r="G1629" s="29" t="n"/>
      <c r="H1629" s="29" t="n"/>
      <c r="I1629" s="29" t="n"/>
      <c r="J1629" s="29" t="n"/>
      <c r="K1629" s="30">
        <f>IF(B1629="","",SUM(G$2:I1629)-SUM(J$2:J1629))</f>
        <v/>
      </c>
      <c r="L1629" s="22">
        <f>IF(B1629="","",IF(B1629=B1628,L1628,N(L1628)+1))</f>
        <v/>
      </c>
    </row>
    <row r="1630">
      <c r="A1630" s="22" t="n"/>
      <c r="B1630" s="27" t="n"/>
      <c r="C1630" s="17" t="n"/>
      <c r="D1630" s="17" t="n"/>
      <c r="E1630" s="17" t="n"/>
      <c r="F1630" s="28" t="n"/>
      <c r="G1630" s="29" t="n"/>
      <c r="H1630" s="29" t="n"/>
      <c r="I1630" s="29" t="n"/>
      <c r="J1630" s="29" t="n"/>
      <c r="K1630" s="30">
        <f>IF(B1630="","",SUM(G$2:I1630)-SUM(J$2:J1630))</f>
        <v/>
      </c>
      <c r="L1630" s="22">
        <f>IF(B1630="","",IF(B1630=B1629,L1629,N(L1629)+1))</f>
        <v/>
      </c>
    </row>
    <row r="1631">
      <c r="A1631" s="22" t="n"/>
      <c r="B1631" s="27" t="n"/>
      <c r="C1631" s="17" t="n"/>
      <c r="D1631" s="17" t="n"/>
      <c r="E1631" s="17" t="n"/>
      <c r="F1631" s="28" t="n"/>
      <c r="G1631" s="29" t="n"/>
      <c r="H1631" s="29" t="n"/>
      <c r="I1631" s="29" t="n"/>
      <c r="J1631" s="29" t="n"/>
      <c r="K1631" s="30">
        <f>IF(B1631="","",SUM(G$2:I1631)-SUM(J$2:J1631))</f>
        <v/>
      </c>
      <c r="L1631" s="22">
        <f>IF(B1631="","",IF(B1631=B1630,L1630,N(L1630)+1))</f>
        <v/>
      </c>
    </row>
    <row r="1632">
      <c r="A1632" s="22" t="n"/>
      <c r="B1632" s="27" t="n"/>
      <c r="C1632" s="17" t="n"/>
      <c r="D1632" s="17" t="n"/>
      <c r="E1632" s="17" t="n"/>
      <c r="F1632" s="28" t="n"/>
      <c r="G1632" s="29" t="n"/>
      <c r="H1632" s="29" t="n"/>
      <c r="I1632" s="29" t="n"/>
      <c r="J1632" s="29" t="n"/>
      <c r="K1632" s="30">
        <f>IF(B1632="","",SUM(G$2:I1632)-SUM(J$2:J1632))</f>
        <v/>
      </c>
      <c r="L1632" s="22">
        <f>IF(B1632="","",IF(B1632=B1631,L1631,N(L1631)+1))</f>
        <v/>
      </c>
    </row>
    <row r="1633">
      <c r="A1633" s="22" t="n"/>
      <c r="B1633" s="27" t="n"/>
      <c r="C1633" s="17" t="n"/>
      <c r="D1633" s="17" t="n"/>
      <c r="E1633" s="17" t="n"/>
      <c r="F1633" s="28" t="n"/>
      <c r="G1633" s="29" t="n"/>
      <c r="H1633" s="29" t="n"/>
      <c r="I1633" s="29" t="n"/>
      <c r="J1633" s="29" t="n"/>
      <c r="K1633" s="30">
        <f>IF(B1633="","",SUM(G$2:I1633)-SUM(J$2:J1633))</f>
        <v/>
      </c>
      <c r="L1633" s="22">
        <f>IF(B1633="","",IF(B1633=B1632,L1632,N(L1632)+1))</f>
        <v/>
      </c>
    </row>
    <row r="1634">
      <c r="A1634" s="22" t="n"/>
      <c r="B1634" s="27" t="n"/>
      <c r="C1634" s="17" t="n"/>
      <c r="D1634" s="17" t="n"/>
      <c r="E1634" s="17" t="n"/>
      <c r="F1634" s="28" t="n"/>
      <c r="G1634" s="29" t="n"/>
      <c r="H1634" s="29" t="n"/>
      <c r="I1634" s="29" t="n"/>
      <c r="J1634" s="29" t="n"/>
      <c r="K1634" s="30">
        <f>IF(B1634="","",SUM(G$2:I1634)-SUM(J$2:J1634))</f>
        <v/>
      </c>
      <c r="L1634" s="22">
        <f>IF(B1634="","",IF(B1634=B1633,L1633,N(L1633)+1))</f>
        <v/>
      </c>
    </row>
    <row r="1635">
      <c r="A1635" s="22" t="n"/>
      <c r="B1635" s="27" t="n"/>
      <c r="C1635" s="17" t="n"/>
      <c r="D1635" s="17" t="n"/>
      <c r="E1635" s="17" t="n"/>
      <c r="F1635" s="28" t="n"/>
      <c r="G1635" s="29" t="n"/>
      <c r="H1635" s="29" t="n"/>
      <c r="I1635" s="29" t="n"/>
      <c r="J1635" s="29" t="n"/>
      <c r="K1635" s="30">
        <f>IF(B1635="","",SUM(G$2:I1635)-SUM(J$2:J1635))</f>
        <v/>
      </c>
      <c r="L1635" s="22">
        <f>IF(B1635="","",IF(B1635=B1634,L1634,N(L1634)+1))</f>
        <v/>
      </c>
    </row>
    <row r="1636">
      <c r="A1636" s="22" t="n"/>
      <c r="B1636" s="27" t="n"/>
      <c r="C1636" s="17" t="n"/>
      <c r="D1636" s="17" t="n"/>
      <c r="E1636" s="17" t="n"/>
      <c r="F1636" s="28" t="n"/>
      <c r="G1636" s="29" t="n"/>
      <c r="H1636" s="29" t="n"/>
      <c r="I1636" s="29" t="n"/>
      <c r="J1636" s="29" t="n"/>
      <c r="K1636" s="30">
        <f>IF(B1636="","",SUM(G$2:I1636)-SUM(J$2:J1636))</f>
        <v/>
      </c>
      <c r="L1636" s="22">
        <f>IF(B1636="","",IF(B1636=B1635,L1635,N(L1635)+1))</f>
        <v/>
      </c>
    </row>
    <row r="1637">
      <c r="A1637" s="22" t="n"/>
      <c r="B1637" s="27" t="n"/>
      <c r="C1637" s="17" t="n"/>
      <c r="D1637" s="17" t="n"/>
      <c r="E1637" s="17" t="n"/>
      <c r="F1637" s="28" t="n"/>
      <c r="G1637" s="29" t="n"/>
      <c r="H1637" s="29" t="n"/>
      <c r="I1637" s="29" t="n"/>
      <c r="J1637" s="29" t="n"/>
      <c r="K1637" s="30">
        <f>IF(B1637="","",SUM(G$2:I1637)-SUM(J$2:J1637))</f>
        <v/>
      </c>
      <c r="L1637" s="22">
        <f>IF(B1637="","",IF(B1637=B1636,L1636,N(L1636)+1))</f>
        <v/>
      </c>
    </row>
    <row r="1638">
      <c r="A1638" s="22" t="n"/>
      <c r="B1638" s="27" t="n"/>
      <c r="C1638" s="17" t="n"/>
      <c r="D1638" s="17" t="n"/>
      <c r="E1638" s="17" t="n"/>
      <c r="F1638" s="28" t="n"/>
      <c r="G1638" s="29" t="n"/>
      <c r="H1638" s="29" t="n"/>
      <c r="I1638" s="29" t="n"/>
      <c r="J1638" s="29" t="n"/>
      <c r="K1638" s="30">
        <f>IF(B1638="","",SUM(G$2:I1638)-SUM(J$2:J1638))</f>
        <v/>
      </c>
      <c r="L1638" s="22">
        <f>IF(B1638="","",IF(B1638=B1637,L1637,N(L1637)+1))</f>
        <v/>
      </c>
    </row>
    <row r="1639">
      <c r="A1639" s="22" t="n"/>
      <c r="B1639" s="27" t="n"/>
      <c r="C1639" s="17" t="n"/>
      <c r="D1639" s="17" t="n"/>
      <c r="E1639" s="17" t="n"/>
      <c r="F1639" s="28" t="n"/>
      <c r="G1639" s="29" t="n"/>
      <c r="H1639" s="29" t="n"/>
      <c r="I1639" s="29" t="n"/>
      <c r="J1639" s="29" t="n"/>
      <c r="K1639" s="30">
        <f>IF(B1639="","",SUM(G$2:I1639)-SUM(J$2:J1639))</f>
        <v/>
      </c>
      <c r="L1639" s="22">
        <f>IF(B1639="","",IF(B1639=B1638,L1638,N(L1638)+1))</f>
        <v/>
      </c>
    </row>
    <row r="1640">
      <c r="A1640" s="22" t="n"/>
      <c r="B1640" s="27" t="n"/>
      <c r="C1640" s="17" t="n"/>
      <c r="D1640" s="17" t="n"/>
      <c r="E1640" s="17" t="n"/>
      <c r="F1640" s="28" t="n"/>
      <c r="G1640" s="29" t="n"/>
      <c r="H1640" s="29" t="n"/>
      <c r="I1640" s="29" t="n"/>
      <c r="J1640" s="29" t="n"/>
      <c r="K1640" s="30">
        <f>IF(B1640="","",SUM(G$2:I1640)-SUM(J$2:J1640))</f>
        <v/>
      </c>
      <c r="L1640" s="22">
        <f>IF(B1640="","",IF(B1640=B1639,L1639,N(L1639)+1))</f>
        <v/>
      </c>
    </row>
    <row r="1641">
      <c r="A1641" s="22" t="n"/>
      <c r="B1641" s="27" t="n"/>
      <c r="C1641" s="17" t="n"/>
      <c r="D1641" s="17" t="n"/>
      <c r="E1641" s="17" t="n"/>
      <c r="F1641" s="28" t="n"/>
      <c r="G1641" s="29" t="n"/>
      <c r="H1641" s="29" t="n"/>
      <c r="I1641" s="29" t="n"/>
      <c r="J1641" s="29" t="n"/>
      <c r="K1641" s="30">
        <f>IF(B1641="","",SUM(G$2:I1641)-SUM(J$2:J1641))</f>
        <v/>
      </c>
      <c r="L1641" s="22">
        <f>IF(B1641="","",IF(B1641=B1640,L1640,N(L1640)+1))</f>
        <v/>
      </c>
    </row>
    <row r="1642">
      <c r="A1642" s="22" t="n"/>
      <c r="B1642" s="27" t="n"/>
      <c r="C1642" s="17" t="n"/>
      <c r="D1642" s="17" t="n"/>
      <c r="E1642" s="17" t="n"/>
      <c r="F1642" s="28" t="n"/>
      <c r="G1642" s="29" t="n"/>
      <c r="H1642" s="29" t="n"/>
      <c r="I1642" s="29" t="n"/>
      <c r="J1642" s="29" t="n"/>
      <c r="K1642" s="30">
        <f>IF(B1642="","",SUM(G$2:I1642)-SUM(J$2:J1642))</f>
        <v/>
      </c>
      <c r="L1642" s="22">
        <f>IF(B1642="","",IF(B1642=B1641,L1641,N(L1641)+1))</f>
        <v/>
      </c>
    </row>
    <row r="1643">
      <c r="A1643" s="22" t="n"/>
      <c r="B1643" s="27" t="n"/>
      <c r="C1643" s="17" t="n"/>
      <c r="D1643" s="17" t="n"/>
      <c r="E1643" s="17" t="n"/>
      <c r="F1643" s="28" t="n"/>
      <c r="G1643" s="29" t="n"/>
      <c r="H1643" s="29" t="n"/>
      <c r="I1643" s="29" t="n"/>
      <c r="J1643" s="29" t="n"/>
      <c r="K1643" s="30">
        <f>IF(B1643="","",SUM(G$2:I1643)-SUM(J$2:J1643))</f>
        <v/>
      </c>
      <c r="L1643" s="22">
        <f>IF(B1643="","",IF(B1643=B1642,L1642,N(L1642)+1))</f>
        <v/>
      </c>
    </row>
    <row r="1644">
      <c r="A1644" s="22" t="n"/>
      <c r="B1644" s="27" t="n"/>
      <c r="C1644" s="17" t="n"/>
      <c r="D1644" s="17" t="n"/>
      <c r="E1644" s="17" t="n"/>
      <c r="F1644" s="28" t="n"/>
      <c r="G1644" s="29" t="n"/>
      <c r="H1644" s="29" t="n"/>
      <c r="I1644" s="29" t="n"/>
      <c r="J1644" s="29" t="n"/>
      <c r="K1644" s="30">
        <f>IF(B1644="","",SUM(G$2:I1644)-SUM(J$2:J1644))</f>
        <v/>
      </c>
      <c r="L1644" s="22">
        <f>IF(B1644="","",IF(B1644=B1643,L1643,N(L1643)+1))</f>
        <v/>
      </c>
    </row>
    <row r="1645">
      <c r="A1645" s="22" t="n"/>
      <c r="B1645" s="27" t="n"/>
      <c r="C1645" s="17" t="n"/>
      <c r="D1645" s="17" t="n"/>
      <c r="E1645" s="17" t="n"/>
      <c r="F1645" s="28" t="n"/>
      <c r="G1645" s="29" t="n"/>
      <c r="H1645" s="29" t="n"/>
      <c r="I1645" s="29" t="n"/>
      <c r="J1645" s="29" t="n"/>
      <c r="K1645" s="30">
        <f>IF(B1645="","",SUM(G$2:I1645)-SUM(J$2:J1645))</f>
        <v/>
      </c>
      <c r="L1645" s="22">
        <f>IF(B1645="","",IF(B1645=B1644,L1644,N(L1644)+1))</f>
        <v/>
      </c>
    </row>
    <row r="1646">
      <c r="A1646" s="22" t="n"/>
      <c r="B1646" s="27" t="n"/>
      <c r="C1646" s="17" t="n"/>
      <c r="D1646" s="17" t="n"/>
      <c r="E1646" s="17" t="n"/>
      <c r="F1646" s="28" t="n"/>
      <c r="G1646" s="29" t="n"/>
      <c r="H1646" s="29" t="n"/>
      <c r="I1646" s="29" t="n"/>
      <c r="J1646" s="29" t="n"/>
      <c r="K1646" s="30">
        <f>IF(B1646="","",SUM(G$2:I1646)-SUM(J$2:J1646))</f>
        <v/>
      </c>
      <c r="L1646" s="22">
        <f>IF(B1646="","",IF(B1646=B1645,L1645,N(L1645)+1))</f>
        <v/>
      </c>
    </row>
    <row r="1647">
      <c r="A1647" s="22" t="n"/>
      <c r="B1647" s="27" t="n"/>
      <c r="C1647" s="17" t="n"/>
      <c r="D1647" s="17" t="n"/>
      <c r="E1647" s="17" t="n"/>
      <c r="F1647" s="28" t="n"/>
      <c r="G1647" s="29" t="n"/>
      <c r="H1647" s="29" t="n"/>
      <c r="I1647" s="29" t="n"/>
      <c r="J1647" s="29" t="n"/>
      <c r="K1647" s="30">
        <f>IF(B1647="","",SUM(G$2:I1647)-SUM(J$2:J1647))</f>
        <v/>
      </c>
      <c r="L1647" s="22">
        <f>IF(B1647="","",IF(B1647=B1646,L1646,N(L1646)+1))</f>
        <v/>
      </c>
    </row>
    <row r="1648">
      <c r="A1648" s="22" t="n"/>
      <c r="B1648" s="27" t="n"/>
      <c r="C1648" s="17" t="n"/>
      <c r="D1648" s="17" t="n"/>
      <c r="E1648" s="17" t="n"/>
      <c r="F1648" s="28" t="n"/>
      <c r="G1648" s="29" t="n"/>
      <c r="H1648" s="29" t="n"/>
      <c r="I1648" s="29" t="n"/>
      <c r="J1648" s="29" t="n"/>
      <c r="K1648" s="30">
        <f>IF(B1648="","",SUM(G$2:I1648)-SUM(J$2:J1648))</f>
        <v/>
      </c>
      <c r="L1648" s="22">
        <f>IF(B1648="","",IF(B1648=B1647,L1647,N(L1647)+1))</f>
        <v/>
      </c>
    </row>
    <row r="1649">
      <c r="A1649" s="22" t="n"/>
      <c r="B1649" s="27" t="n"/>
      <c r="C1649" s="17" t="n"/>
      <c r="D1649" s="17" t="n"/>
      <c r="E1649" s="17" t="n"/>
      <c r="F1649" s="28" t="n"/>
      <c r="G1649" s="29" t="n"/>
      <c r="H1649" s="29" t="n"/>
      <c r="I1649" s="29" t="n"/>
      <c r="J1649" s="29" t="n"/>
      <c r="K1649" s="30">
        <f>IF(B1649="","",SUM(G$2:I1649)-SUM(J$2:J1649))</f>
        <v/>
      </c>
      <c r="L1649" s="22">
        <f>IF(B1649="","",IF(B1649=B1648,L1648,N(L1648)+1))</f>
        <v/>
      </c>
    </row>
    <row r="1650">
      <c r="A1650" s="22" t="n"/>
      <c r="B1650" s="27" t="n"/>
      <c r="C1650" s="17" t="n"/>
      <c r="D1650" s="17" t="n"/>
      <c r="E1650" s="17" t="n"/>
      <c r="F1650" s="28" t="n"/>
      <c r="G1650" s="29" t="n"/>
      <c r="H1650" s="29" t="n"/>
      <c r="I1650" s="29" t="n"/>
      <c r="J1650" s="29" t="n"/>
      <c r="K1650" s="30">
        <f>IF(B1650="","",SUM(G$2:I1650)-SUM(J$2:J1650))</f>
        <v/>
      </c>
      <c r="L1650" s="22">
        <f>IF(B1650="","",IF(B1650=B1649,L1649,N(L1649)+1))</f>
        <v/>
      </c>
    </row>
    <row r="1651">
      <c r="A1651" s="22" t="n"/>
      <c r="B1651" s="27" t="n"/>
      <c r="C1651" s="17" t="n"/>
      <c r="D1651" s="17" t="n"/>
      <c r="E1651" s="17" t="n"/>
      <c r="F1651" s="28" t="n"/>
      <c r="G1651" s="29" t="n"/>
      <c r="H1651" s="29" t="n"/>
      <c r="I1651" s="29" t="n"/>
      <c r="J1651" s="29" t="n"/>
      <c r="K1651" s="30">
        <f>IF(B1651="","",SUM(G$2:I1651)-SUM(J$2:J1651))</f>
        <v/>
      </c>
      <c r="L1651" s="22">
        <f>IF(B1651="","",IF(B1651=B1650,L1650,N(L1650)+1))</f>
        <v/>
      </c>
    </row>
    <row r="1652">
      <c r="A1652" s="22" t="n"/>
      <c r="B1652" s="27" t="n"/>
      <c r="C1652" s="17" t="n"/>
      <c r="D1652" s="17" t="n"/>
      <c r="E1652" s="17" t="n"/>
      <c r="F1652" s="28" t="n"/>
      <c r="G1652" s="29" t="n"/>
      <c r="H1652" s="29" t="n"/>
      <c r="I1652" s="29" t="n"/>
      <c r="J1652" s="29" t="n"/>
      <c r="K1652" s="30">
        <f>IF(B1652="","",SUM(G$2:I1652)-SUM(J$2:J1652))</f>
        <v/>
      </c>
      <c r="L1652" s="22">
        <f>IF(B1652="","",IF(B1652=B1651,L1651,N(L1651)+1))</f>
        <v/>
      </c>
    </row>
    <row r="1653">
      <c r="A1653" s="22" t="n"/>
      <c r="B1653" s="27" t="n"/>
      <c r="C1653" s="17" t="n"/>
      <c r="D1653" s="17" t="n"/>
      <c r="E1653" s="17" t="n"/>
      <c r="F1653" s="28" t="n"/>
      <c r="G1653" s="29" t="n"/>
      <c r="H1653" s="29" t="n"/>
      <c r="I1653" s="29" t="n"/>
      <c r="J1653" s="29" t="n"/>
      <c r="K1653" s="30">
        <f>IF(B1653="","",SUM(G$2:I1653)-SUM(J$2:J1653))</f>
        <v/>
      </c>
      <c r="L1653" s="22">
        <f>IF(B1653="","",IF(B1653=B1652,L1652,N(L1652)+1))</f>
        <v/>
      </c>
    </row>
    <row r="1654">
      <c r="A1654" s="22" t="n"/>
      <c r="B1654" s="27" t="n"/>
      <c r="C1654" s="17" t="n"/>
      <c r="D1654" s="17" t="n"/>
      <c r="E1654" s="17" t="n"/>
      <c r="F1654" s="28" t="n"/>
      <c r="G1654" s="29" t="n"/>
      <c r="H1654" s="29" t="n"/>
      <c r="I1654" s="29" t="n"/>
      <c r="J1654" s="29" t="n"/>
      <c r="K1654" s="30">
        <f>IF(B1654="","",SUM(G$2:I1654)-SUM(J$2:J1654))</f>
        <v/>
      </c>
      <c r="L1654" s="22">
        <f>IF(B1654="","",IF(B1654=B1653,L1653,N(L1653)+1))</f>
        <v/>
      </c>
    </row>
    <row r="1655">
      <c r="A1655" s="22" t="n"/>
      <c r="B1655" s="27" t="n"/>
      <c r="C1655" s="17" t="n"/>
      <c r="D1655" s="17" t="n"/>
      <c r="E1655" s="17" t="n"/>
      <c r="F1655" s="28" t="n"/>
      <c r="G1655" s="29" t="n"/>
      <c r="H1655" s="29" t="n"/>
      <c r="I1655" s="29" t="n"/>
      <c r="J1655" s="29" t="n"/>
      <c r="K1655" s="30">
        <f>IF(B1655="","",SUM(G$2:I1655)-SUM(J$2:J1655))</f>
        <v/>
      </c>
      <c r="L1655" s="22">
        <f>IF(B1655="","",IF(B1655=B1654,L1654,N(L1654)+1))</f>
        <v/>
      </c>
    </row>
    <row r="1656">
      <c r="A1656" s="22" t="n"/>
      <c r="B1656" s="27" t="n"/>
      <c r="C1656" s="17" t="n"/>
      <c r="D1656" s="17" t="n"/>
      <c r="E1656" s="17" t="n"/>
      <c r="F1656" s="28" t="n"/>
      <c r="G1656" s="29" t="n"/>
      <c r="H1656" s="29" t="n"/>
      <c r="I1656" s="29" t="n"/>
      <c r="J1656" s="29" t="n"/>
      <c r="K1656" s="30">
        <f>IF(B1656="","",SUM(G$2:I1656)-SUM(J$2:J1656))</f>
        <v/>
      </c>
      <c r="L1656" s="22">
        <f>IF(B1656="","",IF(B1656=B1655,L1655,N(L1655)+1))</f>
        <v/>
      </c>
    </row>
    <row r="1657">
      <c r="A1657" s="22" t="n"/>
      <c r="B1657" s="27" t="n"/>
      <c r="C1657" s="17" t="n"/>
      <c r="D1657" s="17" t="n"/>
      <c r="E1657" s="17" t="n"/>
      <c r="F1657" s="28" t="n"/>
      <c r="G1657" s="29" t="n"/>
      <c r="H1657" s="29" t="n"/>
      <c r="I1657" s="29" t="n"/>
      <c r="J1657" s="29" t="n"/>
      <c r="K1657" s="30">
        <f>IF(B1657="","",SUM(G$2:I1657)-SUM(J$2:J1657))</f>
        <v/>
      </c>
      <c r="L1657" s="22">
        <f>IF(B1657="","",IF(B1657=B1656,L1656,N(L1656)+1))</f>
        <v/>
      </c>
    </row>
    <row r="1658">
      <c r="A1658" s="22" t="n"/>
      <c r="B1658" s="27" t="n"/>
      <c r="C1658" s="17" t="n"/>
      <c r="D1658" s="17" t="n"/>
      <c r="E1658" s="17" t="n"/>
      <c r="F1658" s="28" t="n"/>
      <c r="G1658" s="29" t="n"/>
      <c r="H1658" s="29" t="n"/>
      <c r="I1658" s="29" t="n"/>
      <c r="J1658" s="29" t="n"/>
      <c r="K1658" s="30">
        <f>IF(B1658="","",SUM(G$2:I1658)-SUM(J$2:J1658))</f>
        <v/>
      </c>
      <c r="L1658" s="22">
        <f>IF(B1658="","",IF(B1658=B1657,L1657,N(L1657)+1))</f>
        <v/>
      </c>
    </row>
    <row r="1659">
      <c r="A1659" s="22" t="n"/>
      <c r="B1659" s="27" t="n"/>
      <c r="C1659" s="17" t="n"/>
      <c r="D1659" s="17" t="n"/>
      <c r="E1659" s="17" t="n"/>
      <c r="F1659" s="28" t="n"/>
      <c r="G1659" s="29" t="n"/>
      <c r="H1659" s="29" t="n"/>
      <c r="I1659" s="29" t="n"/>
      <c r="J1659" s="29" t="n"/>
      <c r="K1659" s="30">
        <f>IF(B1659="","",SUM(G$2:I1659)-SUM(J$2:J1659))</f>
        <v/>
      </c>
      <c r="L1659" s="22">
        <f>IF(B1659="","",IF(B1659=B1658,L1658,N(L1658)+1))</f>
        <v/>
      </c>
    </row>
    <row r="1660">
      <c r="A1660" s="22" t="n"/>
      <c r="B1660" s="27" t="n"/>
      <c r="C1660" s="17" t="n"/>
      <c r="D1660" s="17" t="n"/>
      <c r="E1660" s="17" t="n"/>
      <c r="F1660" s="28" t="n"/>
      <c r="G1660" s="29" t="n"/>
      <c r="H1660" s="29" t="n"/>
      <c r="I1660" s="29" t="n"/>
      <c r="J1660" s="29" t="n"/>
      <c r="K1660" s="30">
        <f>IF(B1660="","",SUM(G$2:I1660)-SUM(J$2:J1660))</f>
        <v/>
      </c>
      <c r="L1660" s="22">
        <f>IF(B1660="","",IF(B1660=B1659,L1659,N(L1659)+1))</f>
        <v/>
      </c>
    </row>
    <row r="1661">
      <c r="A1661" s="22" t="n"/>
      <c r="B1661" s="27" t="n"/>
      <c r="C1661" s="17" t="n"/>
      <c r="D1661" s="17" t="n"/>
      <c r="E1661" s="17" t="n"/>
      <c r="F1661" s="28" t="n"/>
      <c r="G1661" s="29" t="n"/>
      <c r="H1661" s="29" t="n"/>
      <c r="I1661" s="29" t="n"/>
      <c r="J1661" s="29" t="n"/>
      <c r="K1661" s="30">
        <f>IF(B1661="","",SUM(G$2:I1661)-SUM(J$2:J1661))</f>
        <v/>
      </c>
      <c r="L1661" s="22">
        <f>IF(B1661="","",IF(B1661=B1660,L1660,N(L1660)+1))</f>
        <v/>
      </c>
    </row>
    <row r="1662">
      <c r="A1662" s="22" t="n"/>
      <c r="B1662" s="27" t="n"/>
      <c r="C1662" s="17" t="n"/>
      <c r="D1662" s="17" t="n"/>
      <c r="E1662" s="17" t="n"/>
      <c r="F1662" s="28" t="n"/>
      <c r="G1662" s="29" t="n"/>
      <c r="H1662" s="29" t="n"/>
      <c r="I1662" s="29" t="n"/>
      <c r="J1662" s="29" t="n"/>
      <c r="K1662" s="30">
        <f>IF(B1662="","",SUM(G$2:I1662)-SUM(J$2:J1662))</f>
        <v/>
      </c>
      <c r="L1662" s="22">
        <f>IF(B1662="","",IF(B1662=B1661,L1661,N(L1661)+1))</f>
        <v/>
      </c>
    </row>
    <row r="1663">
      <c r="A1663" s="22" t="n"/>
      <c r="B1663" s="27" t="n"/>
      <c r="C1663" s="17" t="n"/>
      <c r="D1663" s="17" t="n"/>
      <c r="E1663" s="17" t="n"/>
      <c r="F1663" s="28" t="n"/>
      <c r="G1663" s="29" t="n"/>
      <c r="H1663" s="29" t="n"/>
      <c r="I1663" s="29" t="n"/>
      <c r="J1663" s="29" t="n"/>
      <c r="K1663" s="30">
        <f>IF(B1663="","",SUM(G$2:I1663)-SUM(J$2:J1663))</f>
        <v/>
      </c>
      <c r="L1663" s="22">
        <f>IF(B1663="","",IF(B1663=B1662,L1662,N(L1662)+1))</f>
        <v/>
      </c>
    </row>
    <row r="1664">
      <c r="A1664" s="22" t="n"/>
      <c r="B1664" s="27" t="n"/>
      <c r="C1664" s="17" t="n"/>
      <c r="D1664" s="17" t="n"/>
      <c r="E1664" s="17" t="n"/>
      <c r="F1664" s="28" t="n"/>
      <c r="G1664" s="29" t="n"/>
      <c r="H1664" s="29" t="n"/>
      <c r="I1664" s="29" t="n"/>
      <c r="J1664" s="29" t="n"/>
      <c r="K1664" s="30">
        <f>IF(B1664="","",SUM(G$2:I1664)-SUM(J$2:J1664))</f>
        <v/>
      </c>
      <c r="L1664" s="22">
        <f>IF(B1664="","",IF(B1664=B1663,L1663,N(L1663)+1))</f>
        <v/>
      </c>
    </row>
    <row r="1665">
      <c r="A1665" s="22" t="n"/>
      <c r="B1665" s="27" t="n"/>
      <c r="C1665" s="17" t="n"/>
      <c r="D1665" s="17" t="n"/>
      <c r="E1665" s="17" t="n"/>
      <c r="F1665" s="28" t="n"/>
      <c r="G1665" s="29" t="n"/>
      <c r="H1665" s="29" t="n"/>
      <c r="I1665" s="29" t="n"/>
      <c r="J1665" s="29" t="n"/>
      <c r="K1665" s="30">
        <f>IF(B1665="","",SUM(G$2:I1665)-SUM(J$2:J1665))</f>
        <v/>
      </c>
      <c r="L1665" s="22">
        <f>IF(B1665="","",IF(B1665=B1664,L1664,N(L1664)+1))</f>
        <v/>
      </c>
    </row>
    <row r="1666">
      <c r="A1666" s="22" t="n"/>
      <c r="B1666" s="27" t="n"/>
      <c r="C1666" s="17" t="n"/>
      <c r="D1666" s="17" t="n"/>
      <c r="E1666" s="17" t="n"/>
      <c r="F1666" s="28" t="n"/>
      <c r="G1666" s="29" t="n"/>
      <c r="H1666" s="29" t="n"/>
      <c r="I1666" s="29" t="n"/>
      <c r="J1666" s="29" t="n"/>
      <c r="K1666" s="30">
        <f>IF(B1666="","",SUM(G$2:I1666)-SUM(J$2:J1666))</f>
        <v/>
      </c>
      <c r="L1666" s="22">
        <f>IF(B1666="","",IF(B1666=B1665,L1665,N(L1665)+1))</f>
        <v/>
      </c>
    </row>
    <row r="1667">
      <c r="A1667" s="22" t="n"/>
      <c r="B1667" s="27" t="n"/>
      <c r="C1667" s="17" t="n"/>
      <c r="D1667" s="17" t="n"/>
      <c r="E1667" s="17" t="n"/>
      <c r="F1667" s="28" t="n"/>
      <c r="G1667" s="29" t="n"/>
      <c r="H1667" s="29" t="n"/>
      <c r="I1667" s="29" t="n"/>
      <c r="J1667" s="29" t="n"/>
      <c r="K1667" s="30">
        <f>IF(B1667="","",SUM(G$2:I1667)-SUM(J$2:J1667))</f>
        <v/>
      </c>
      <c r="L1667" s="22">
        <f>IF(B1667="","",IF(B1667=B1666,L1666,N(L1666)+1))</f>
        <v/>
      </c>
    </row>
    <row r="1668">
      <c r="A1668" s="22" t="n"/>
      <c r="B1668" s="27" t="n"/>
      <c r="C1668" s="17" t="n"/>
      <c r="D1668" s="17" t="n"/>
      <c r="E1668" s="17" t="n"/>
      <c r="F1668" s="28" t="n"/>
      <c r="G1668" s="29" t="n"/>
      <c r="H1668" s="29" t="n"/>
      <c r="I1668" s="29" t="n"/>
      <c r="J1668" s="29" t="n"/>
      <c r="K1668" s="30">
        <f>IF(B1668="","",SUM(G$2:I1668)-SUM(J$2:J1668))</f>
        <v/>
      </c>
      <c r="L1668" s="22">
        <f>IF(B1668="","",IF(B1668=B1667,L1667,N(L1667)+1))</f>
        <v/>
      </c>
    </row>
    <row r="1669">
      <c r="A1669" s="22" t="n"/>
      <c r="B1669" s="27" t="n"/>
      <c r="C1669" s="17" t="n"/>
      <c r="D1669" s="17" t="n"/>
      <c r="E1669" s="17" t="n"/>
      <c r="F1669" s="28" t="n"/>
      <c r="G1669" s="29" t="n"/>
      <c r="H1669" s="29" t="n"/>
      <c r="I1669" s="29" t="n"/>
      <c r="J1669" s="29" t="n"/>
      <c r="K1669" s="30">
        <f>IF(B1669="","",SUM(G$2:I1669)-SUM(J$2:J1669))</f>
        <v/>
      </c>
      <c r="L1669" s="22">
        <f>IF(B1669="","",IF(B1669=B1668,L1668,N(L1668)+1))</f>
        <v/>
      </c>
    </row>
    <row r="1670">
      <c r="A1670" s="22" t="n"/>
      <c r="B1670" s="27" t="n"/>
      <c r="C1670" s="17" t="n"/>
      <c r="D1670" s="17" t="n"/>
      <c r="E1670" s="17" t="n"/>
      <c r="F1670" s="28" t="n"/>
      <c r="G1670" s="29" t="n"/>
      <c r="H1670" s="29" t="n"/>
      <c r="I1670" s="29" t="n"/>
      <c r="J1670" s="29" t="n"/>
      <c r="K1670" s="30">
        <f>IF(B1670="","",SUM(G$2:I1670)-SUM(J$2:J1670))</f>
        <v/>
      </c>
      <c r="L1670" s="22">
        <f>IF(B1670="","",IF(B1670=B1669,L1669,N(L1669)+1))</f>
        <v/>
      </c>
    </row>
    <row r="1671">
      <c r="A1671" s="22" t="n"/>
      <c r="B1671" s="27" t="n"/>
      <c r="C1671" s="17" t="n"/>
      <c r="D1671" s="17" t="n"/>
      <c r="E1671" s="17" t="n"/>
      <c r="F1671" s="28" t="n"/>
      <c r="G1671" s="29" t="n"/>
      <c r="H1671" s="29" t="n"/>
      <c r="I1671" s="29" t="n"/>
      <c r="J1671" s="29" t="n"/>
      <c r="K1671" s="30">
        <f>IF(B1671="","",SUM(G$2:I1671)-SUM(J$2:J1671))</f>
        <v/>
      </c>
      <c r="L1671" s="22">
        <f>IF(B1671="","",IF(B1671=B1670,L1670,N(L1670)+1))</f>
        <v/>
      </c>
    </row>
    <row r="1672">
      <c r="A1672" s="22" t="n"/>
      <c r="B1672" s="27" t="n"/>
      <c r="C1672" s="17" t="n"/>
      <c r="D1672" s="17" t="n"/>
      <c r="E1672" s="17" t="n"/>
      <c r="F1672" s="28" t="n"/>
      <c r="G1672" s="29" t="n"/>
      <c r="H1672" s="29" t="n"/>
      <c r="I1672" s="29" t="n"/>
      <c r="J1672" s="29" t="n"/>
      <c r="K1672" s="30">
        <f>IF(B1672="","",SUM(G$2:I1672)-SUM(J$2:J1672))</f>
        <v/>
      </c>
      <c r="L1672" s="22">
        <f>IF(B1672="","",IF(B1672=B1671,L1671,N(L1671)+1))</f>
        <v/>
      </c>
    </row>
    <row r="1673">
      <c r="A1673" s="22" t="n"/>
      <c r="B1673" s="27" t="n"/>
      <c r="C1673" s="17" t="n"/>
      <c r="D1673" s="17" t="n"/>
      <c r="E1673" s="17" t="n"/>
      <c r="F1673" s="28" t="n"/>
      <c r="G1673" s="29" t="n"/>
      <c r="H1673" s="29" t="n"/>
      <c r="I1673" s="29" t="n"/>
      <c r="J1673" s="29" t="n"/>
      <c r="K1673" s="30">
        <f>IF(B1673="","",SUM(G$2:I1673)-SUM(J$2:J1673))</f>
        <v/>
      </c>
      <c r="L1673" s="22">
        <f>IF(B1673="","",IF(B1673=B1672,L1672,N(L1672)+1))</f>
        <v/>
      </c>
    </row>
    <row r="1674">
      <c r="A1674" s="22" t="n"/>
      <c r="B1674" s="27" t="n"/>
      <c r="C1674" s="17" t="n"/>
      <c r="D1674" s="17" t="n"/>
      <c r="E1674" s="17" t="n"/>
      <c r="F1674" s="28" t="n"/>
      <c r="G1674" s="29" t="n"/>
      <c r="H1674" s="29" t="n"/>
      <c r="I1674" s="29" t="n"/>
      <c r="J1674" s="29" t="n"/>
      <c r="K1674" s="30">
        <f>IF(B1674="","",SUM(G$2:I1674)-SUM(J$2:J1674))</f>
        <v/>
      </c>
      <c r="L1674" s="22">
        <f>IF(B1674="","",IF(B1674=B1673,L1673,N(L1673)+1))</f>
        <v/>
      </c>
    </row>
    <row r="1675">
      <c r="A1675" s="22" t="n"/>
      <c r="B1675" s="27" t="n"/>
      <c r="C1675" s="17" t="n"/>
      <c r="D1675" s="17" t="n"/>
      <c r="E1675" s="17" t="n"/>
      <c r="F1675" s="28" t="n"/>
      <c r="G1675" s="29" t="n"/>
      <c r="H1675" s="29" t="n"/>
      <c r="I1675" s="29" t="n"/>
      <c r="J1675" s="29" t="n"/>
      <c r="K1675" s="30">
        <f>IF(B1675="","",SUM(G$2:I1675)-SUM(J$2:J1675))</f>
        <v/>
      </c>
      <c r="L1675" s="22">
        <f>IF(B1675="","",IF(B1675=B1674,L1674,N(L1674)+1))</f>
        <v/>
      </c>
    </row>
    <row r="1676">
      <c r="A1676" s="22" t="n"/>
      <c r="B1676" s="27" t="n"/>
      <c r="C1676" s="17" t="n"/>
      <c r="D1676" s="17" t="n"/>
      <c r="E1676" s="17" t="n"/>
      <c r="F1676" s="28" t="n"/>
      <c r="G1676" s="29" t="n"/>
      <c r="H1676" s="29" t="n"/>
      <c r="I1676" s="29" t="n"/>
      <c r="J1676" s="29" t="n"/>
      <c r="K1676" s="30">
        <f>IF(B1676="","",SUM(G$2:I1676)-SUM(J$2:J1676))</f>
        <v/>
      </c>
      <c r="L1676" s="22">
        <f>IF(B1676="","",IF(B1676=B1675,L1675,N(L1675)+1))</f>
        <v/>
      </c>
    </row>
    <row r="1677">
      <c r="A1677" s="22" t="n"/>
      <c r="B1677" s="27" t="n"/>
      <c r="C1677" s="17" t="n"/>
      <c r="D1677" s="17" t="n"/>
      <c r="E1677" s="17" t="n"/>
      <c r="F1677" s="28" t="n"/>
      <c r="G1677" s="29" t="n"/>
      <c r="H1677" s="29" t="n"/>
      <c r="I1677" s="29" t="n"/>
      <c r="J1677" s="29" t="n"/>
      <c r="K1677" s="30">
        <f>IF(B1677="","",SUM(G$2:I1677)-SUM(J$2:J1677))</f>
        <v/>
      </c>
      <c r="L1677" s="22">
        <f>IF(B1677="","",IF(B1677=B1676,L1676,N(L1676)+1))</f>
        <v/>
      </c>
    </row>
    <row r="1678">
      <c r="A1678" s="22" t="n"/>
      <c r="B1678" s="27" t="n"/>
      <c r="C1678" s="17" t="n"/>
      <c r="D1678" s="17" t="n"/>
      <c r="E1678" s="17" t="n"/>
      <c r="F1678" s="28" t="n"/>
      <c r="G1678" s="29" t="n"/>
      <c r="H1678" s="29" t="n"/>
      <c r="I1678" s="29" t="n"/>
      <c r="J1678" s="29" t="n"/>
      <c r="K1678" s="30">
        <f>IF(B1678="","",SUM(G$2:I1678)-SUM(J$2:J1678))</f>
        <v/>
      </c>
      <c r="L1678" s="22">
        <f>IF(B1678="","",IF(B1678=B1677,L1677,N(L1677)+1))</f>
        <v/>
      </c>
    </row>
    <row r="1679">
      <c r="A1679" s="22" t="n"/>
      <c r="B1679" s="27" t="n"/>
      <c r="C1679" s="17" t="n"/>
      <c r="D1679" s="17" t="n"/>
      <c r="E1679" s="17" t="n"/>
      <c r="F1679" s="28" t="n"/>
      <c r="G1679" s="29" t="n"/>
      <c r="H1679" s="29" t="n"/>
      <c r="I1679" s="29" t="n"/>
      <c r="J1679" s="29" t="n"/>
      <c r="K1679" s="30">
        <f>IF(B1679="","",SUM(G$2:I1679)-SUM(J$2:J1679))</f>
        <v/>
      </c>
      <c r="L1679" s="22">
        <f>IF(B1679="","",IF(B1679=B1678,L1678,N(L1678)+1))</f>
        <v/>
      </c>
    </row>
    <row r="1680">
      <c r="A1680" s="22" t="n"/>
      <c r="B1680" s="27" t="n"/>
      <c r="C1680" s="17" t="n"/>
      <c r="D1680" s="17" t="n"/>
      <c r="E1680" s="17" t="n"/>
      <c r="F1680" s="28" t="n"/>
      <c r="G1680" s="29" t="n"/>
      <c r="H1680" s="29" t="n"/>
      <c r="I1680" s="29" t="n"/>
      <c r="J1680" s="29" t="n"/>
      <c r="K1680" s="30">
        <f>IF(B1680="","",SUM(G$2:I1680)-SUM(J$2:J1680))</f>
        <v/>
      </c>
      <c r="L1680" s="22">
        <f>IF(B1680="","",IF(B1680=B1679,L1679,N(L1679)+1))</f>
        <v/>
      </c>
    </row>
    <row r="1681">
      <c r="A1681" s="22" t="n"/>
      <c r="B1681" s="27" t="n"/>
      <c r="C1681" s="17" t="n"/>
      <c r="D1681" s="17" t="n"/>
      <c r="E1681" s="17" t="n"/>
      <c r="F1681" s="28" t="n"/>
      <c r="G1681" s="29" t="n"/>
      <c r="H1681" s="29" t="n"/>
      <c r="I1681" s="29" t="n"/>
      <c r="J1681" s="29" t="n"/>
      <c r="K1681" s="30">
        <f>IF(B1681="","",SUM(G$2:I1681)-SUM(J$2:J1681))</f>
        <v/>
      </c>
      <c r="L1681" s="22">
        <f>IF(B1681="","",IF(B1681=B1680,L1680,N(L1680)+1))</f>
        <v/>
      </c>
    </row>
    <row r="1682">
      <c r="A1682" s="22" t="n"/>
      <c r="B1682" s="27" t="n"/>
      <c r="C1682" s="17" t="n"/>
      <c r="D1682" s="17" t="n"/>
      <c r="E1682" s="17" t="n"/>
      <c r="F1682" s="28" t="n"/>
      <c r="G1682" s="29" t="n"/>
      <c r="H1682" s="29" t="n"/>
      <c r="I1682" s="29" t="n"/>
      <c r="J1682" s="29" t="n"/>
      <c r="K1682" s="30">
        <f>IF(B1682="","",SUM(G$2:I1682)-SUM(J$2:J1682))</f>
        <v/>
      </c>
      <c r="L1682" s="22">
        <f>IF(B1682="","",IF(B1682=B1681,L1681,N(L1681)+1))</f>
        <v/>
      </c>
    </row>
    <row r="1683">
      <c r="A1683" s="22" t="n"/>
      <c r="B1683" s="27" t="n"/>
      <c r="C1683" s="17" t="n"/>
      <c r="D1683" s="17" t="n"/>
      <c r="E1683" s="17" t="n"/>
      <c r="F1683" s="28" t="n"/>
      <c r="G1683" s="29" t="n"/>
      <c r="H1683" s="29" t="n"/>
      <c r="I1683" s="29" t="n"/>
      <c r="J1683" s="29" t="n"/>
      <c r="K1683" s="30">
        <f>IF(B1683="","",SUM(G$2:I1683)-SUM(J$2:J1683))</f>
        <v/>
      </c>
      <c r="L1683" s="22">
        <f>IF(B1683="","",IF(B1683=B1682,L1682,N(L1682)+1))</f>
        <v/>
      </c>
    </row>
    <row r="1684">
      <c r="A1684" s="22" t="n"/>
      <c r="B1684" s="27" t="n"/>
      <c r="C1684" s="17" t="n"/>
      <c r="D1684" s="17" t="n"/>
      <c r="E1684" s="17" t="n"/>
      <c r="F1684" s="28" t="n"/>
      <c r="G1684" s="29" t="n"/>
      <c r="H1684" s="29" t="n"/>
      <c r="I1684" s="29" t="n"/>
      <c r="J1684" s="29" t="n"/>
      <c r="K1684" s="30">
        <f>IF(B1684="","",SUM(G$2:I1684)-SUM(J$2:J1684))</f>
        <v/>
      </c>
      <c r="L1684" s="22">
        <f>IF(B1684="","",IF(B1684=B1683,L1683,N(L1683)+1))</f>
        <v/>
      </c>
    </row>
    <row r="1685">
      <c r="A1685" s="22" t="n"/>
      <c r="B1685" s="27" t="n"/>
      <c r="C1685" s="17" t="n"/>
      <c r="D1685" s="17" t="n"/>
      <c r="E1685" s="17" t="n"/>
      <c r="F1685" s="28" t="n"/>
      <c r="G1685" s="29" t="n"/>
      <c r="H1685" s="29" t="n"/>
      <c r="I1685" s="29" t="n"/>
      <c r="J1685" s="29" t="n"/>
      <c r="K1685" s="30">
        <f>IF(B1685="","",SUM(G$2:I1685)-SUM(J$2:J1685))</f>
        <v/>
      </c>
      <c r="L1685" s="22">
        <f>IF(B1685="","",IF(B1685=B1684,L1684,N(L1684)+1))</f>
        <v/>
      </c>
    </row>
    <row r="1686">
      <c r="A1686" s="22" t="n"/>
      <c r="B1686" s="27" t="n"/>
      <c r="C1686" s="17" t="n"/>
      <c r="D1686" s="17" t="n"/>
      <c r="E1686" s="17" t="n"/>
      <c r="F1686" s="28" t="n"/>
      <c r="G1686" s="29" t="n"/>
      <c r="H1686" s="29" t="n"/>
      <c r="I1686" s="29" t="n"/>
      <c r="J1686" s="29" t="n"/>
      <c r="K1686" s="30">
        <f>IF(B1686="","",SUM(G$2:I1686)-SUM(J$2:J1686))</f>
        <v/>
      </c>
      <c r="L1686" s="22">
        <f>IF(B1686="","",IF(B1686=B1685,L1685,N(L1685)+1))</f>
        <v/>
      </c>
    </row>
    <row r="1687">
      <c r="A1687" s="22" t="n"/>
      <c r="B1687" s="27" t="n"/>
      <c r="C1687" s="17" t="n"/>
      <c r="D1687" s="17" t="n"/>
      <c r="E1687" s="17" t="n"/>
      <c r="F1687" s="28" t="n"/>
      <c r="G1687" s="29" t="n"/>
      <c r="H1687" s="29" t="n"/>
      <c r="I1687" s="29" t="n"/>
      <c r="J1687" s="29" t="n"/>
      <c r="K1687" s="30">
        <f>IF(B1687="","",SUM(G$2:I1687)-SUM(J$2:J1687))</f>
        <v/>
      </c>
      <c r="L1687" s="22">
        <f>IF(B1687="","",IF(B1687=B1686,L1686,N(L1686)+1))</f>
        <v/>
      </c>
    </row>
    <row r="1688">
      <c r="A1688" s="22" t="n"/>
      <c r="B1688" s="27" t="n"/>
      <c r="C1688" s="17" t="n"/>
      <c r="D1688" s="17" t="n"/>
      <c r="E1688" s="17" t="n"/>
      <c r="F1688" s="28" t="n"/>
      <c r="G1688" s="29" t="n"/>
      <c r="H1688" s="29" t="n"/>
      <c r="I1688" s="29" t="n"/>
      <c r="J1688" s="29" t="n"/>
      <c r="K1688" s="30">
        <f>IF(B1688="","",SUM(G$2:I1688)-SUM(J$2:J1688))</f>
        <v/>
      </c>
      <c r="L1688" s="22">
        <f>IF(B1688="","",IF(B1688=B1687,L1687,N(L1687)+1))</f>
        <v/>
      </c>
    </row>
    <row r="1689">
      <c r="A1689" s="22" t="n"/>
      <c r="B1689" s="27" t="n"/>
      <c r="C1689" s="17" t="n"/>
      <c r="D1689" s="17" t="n"/>
      <c r="E1689" s="17" t="n"/>
      <c r="F1689" s="28" t="n"/>
      <c r="G1689" s="29" t="n"/>
      <c r="H1689" s="29" t="n"/>
      <c r="I1689" s="29" t="n"/>
      <c r="J1689" s="29" t="n"/>
      <c r="K1689" s="30">
        <f>IF(B1689="","",SUM(G$2:I1689)-SUM(J$2:J1689))</f>
        <v/>
      </c>
      <c r="L1689" s="22">
        <f>IF(B1689="","",IF(B1689=B1688,L1688,N(L1688)+1))</f>
        <v/>
      </c>
    </row>
    <row r="1690">
      <c r="A1690" s="22" t="n"/>
      <c r="B1690" s="27" t="n"/>
      <c r="C1690" s="17" t="n"/>
      <c r="D1690" s="17" t="n"/>
      <c r="E1690" s="17" t="n"/>
      <c r="F1690" s="28" t="n"/>
      <c r="G1690" s="29" t="n"/>
      <c r="H1690" s="29" t="n"/>
      <c r="I1690" s="29" t="n"/>
      <c r="J1690" s="29" t="n"/>
      <c r="K1690" s="30">
        <f>IF(B1690="","",SUM(G$2:I1690)-SUM(J$2:J1690))</f>
        <v/>
      </c>
      <c r="L1690" s="22">
        <f>IF(B1690="","",IF(B1690=B1689,L1689,N(L1689)+1))</f>
        <v/>
      </c>
    </row>
    <row r="1691">
      <c r="A1691" s="22" t="n"/>
      <c r="B1691" s="27" t="n"/>
      <c r="C1691" s="17" t="n"/>
      <c r="D1691" s="17" t="n"/>
      <c r="E1691" s="17" t="n"/>
      <c r="F1691" s="28" t="n"/>
      <c r="G1691" s="29" t="n"/>
      <c r="H1691" s="29" t="n"/>
      <c r="I1691" s="29" t="n"/>
      <c r="J1691" s="29" t="n"/>
      <c r="K1691" s="30">
        <f>IF(B1691="","",SUM(G$2:I1691)-SUM(J$2:J1691))</f>
        <v/>
      </c>
      <c r="L1691" s="22">
        <f>IF(B1691="","",IF(B1691=B1690,L1690,N(L1690)+1))</f>
        <v/>
      </c>
    </row>
    <row r="1692">
      <c r="A1692" s="22" t="n"/>
      <c r="B1692" s="27" t="n"/>
      <c r="C1692" s="17" t="n"/>
      <c r="D1692" s="17" t="n"/>
      <c r="E1692" s="17" t="n"/>
      <c r="F1692" s="28" t="n"/>
      <c r="G1692" s="29" t="n"/>
      <c r="H1692" s="29" t="n"/>
      <c r="I1692" s="29" t="n"/>
      <c r="J1692" s="29" t="n"/>
      <c r="K1692" s="30">
        <f>IF(B1692="","",SUM(G$2:I1692)-SUM(J$2:J1692))</f>
        <v/>
      </c>
      <c r="L1692" s="22">
        <f>IF(B1692="","",IF(B1692=B1691,L1691,N(L1691)+1))</f>
        <v/>
      </c>
    </row>
    <row r="1693">
      <c r="A1693" s="22" t="n"/>
      <c r="B1693" s="27" t="n"/>
      <c r="C1693" s="17" t="n"/>
      <c r="D1693" s="17" t="n"/>
      <c r="E1693" s="17" t="n"/>
      <c r="F1693" s="28" t="n"/>
      <c r="G1693" s="29" t="n"/>
      <c r="H1693" s="29" t="n"/>
      <c r="I1693" s="29" t="n"/>
      <c r="J1693" s="29" t="n"/>
      <c r="K1693" s="30">
        <f>IF(B1693="","",SUM(G$2:I1693)-SUM(J$2:J1693))</f>
        <v/>
      </c>
      <c r="L1693" s="22">
        <f>IF(B1693="","",IF(B1693=B1692,L1692,N(L1692)+1))</f>
        <v/>
      </c>
    </row>
    <row r="1694">
      <c r="A1694" s="22" t="n"/>
      <c r="B1694" s="27" t="n"/>
      <c r="C1694" s="17" t="n"/>
      <c r="D1694" s="17" t="n"/>
      <c r="E1694" s="17" t="n"/>
      <c r="F1694" s="28" t="n"/>
      <c r="G1694" s="29" t="n"/>
      <c r="H1694" s="29" t="n"/>
      <c r="I1694" s="29" t="n"/>
      <c r="J1694" s="29" t="n"/>
      <c r="K1694" s="30">
        <f>IF(B1694="","",SUM(G$2:I1694)-SUM(J$2:J1694))</f>
        <v/>
      </c>
      <c r="L1694" s="22">
        <f>IF(B1694="","",IF(B1694=B1693,L1693,N(L1693)+1))</f>
        <v/>
      </c>
    </row>
    <row r="1695">
      <c r="A1695" s="22" t="n"/>
      <c r="B1695" s="27" t="n"/>
      <c r="C1695" s="17" t="n"/>
      <c r="D1695" s="17" t="n"/>
      <c r="E1695" s="17" t="n"/>
      <c r="F1695" s="28" t="n"/>
      <c r="G1695" s="29" t="n"/>
      <c r="H1695" s="29" t="n"/>
      <c r="I1695" s="29" t="n"/>
      <c r="J1695" s="29" t="n"/>
      <c r="K1695" s="30">
        <f>IF(B1695="","",SUM(G$2:I1695)-SUM(J$2:J1695))</f>
        <v/>
      </c>
      <c r="L1695" s="22">
        <f>IF(B1695="","",IF(B1695=B1694,L1694,N(L1694)+1))</f>
        <v/>
      </c>
    </row>
    <row r="1696">
      <c r="A1696" s="22" t="n"/>
      <c r="B1696" s="27" t="n"/>
      <c r="C1696" s="17" t="n"/>
      <c r="D1696" s="17" t="n"/>
      <c r="E1696" s="17" t="n"/>
      <c r="F1696" s="28" t="n"/>
      <c r="G1696" s="29" t="n"/>
      <c r="H1696" s="29" t="n"/>
      <c r="I1696" s="29" t="n"/>
      <c r="J1696" s="29" t="n"/>
      <c r="K1696" s="30">
        <f>IF(B1696="","",SUM(G$2:I1696)-SUM(J$2:J1696))</f>
        <v/>
      </c>
      <c r="L1696" s="22">
        <f>IF(B1696="","",IF(B1696=B1695,L1695,N(L1695)+1))</f>
        <v/>
      </c>
    </row>
    <row r="1697">
      <c r="A1697" s="22" t="n"/>
      <c r="B1697" s="27" t="n"/>
      <c r="C1697" s="17" t="n"/>
      <c r="D1697" s="17" t="n"/>
      <c r="E1697" s="17" t="n"/>
      <c r="F1697" s="28" t="n"/>
      <c r="G1697" s="29" t="n"/>
      <c r="H1697" s="29" t="n"/>
      <c r="I1697" s="29" t="n"/>
      <c r="J1697" s="29" t="n"/>
      <c r="K1697" s="30">
        <f>IF(B1697="","",SUM(G$2:I1697)-SUM(J$2:J1697))</f>
        <v/>
      </c>
      <c r="L1697" s="22">
        <f>IF(B1697="","",IF(B1697=B1696,L1696,N(L1696)+1))</f>
        <v/>
      </c>
    </row>
    <row r="1698">
      <c r="A1698" s="22" t="n"/>
      <c r="B1698" s="27" t="n"/>
      <c r="C1698" s="17" t="n"/>
      <c r="D1698" s="17" t="n"/>
      <c r="E1698" s="17" t="n"/>
      <c r="F1698" s="28" t="n"/>
      <c r="G1698" s="29" t="n"/>
      <c r="H1698" s="29" t="n"/>
      <c r="I1698" s="29" t="n"/>
      <c r="J1698" s="29" t="n"/>
      <c r="K1698" s="30">
        <f>IF(B1698="","",SUM(G$2:I1698)-SUM(J$2:J1698))</f>
        <v/>
      </c>
      <c r="L1698" s="22">
        <f>IF(B1698="","",IF(B1698=B1697,L1697,N(L1697)+1))</f>
        <v/>
      </c>
    </row>
    <row r="1699">
      <c r="A1699" s="22" t="n"/>
      <c r="B1699" s="27" t="n"/>
      <c r="C1699" s="17" t="n"/>
      <c r="D1699" s="17" t="n"/>
      <c r="E1699" s="17" t="n"/>
      <c r="F1699" s="28" t="n"/>
      <c r="G1699" s="29" t="n"/>
      <c r="H1699" s="29" t="n"/>
      <c r="I1699" s="29" t="n"/>
      <c r="J1699" s="29" t="n"/>
      <c r="K1699" s="30">
        <f>IF(B1699="","",SUM(G$2:I1699)-SUM(J$2:J1699))</f>
        <v/>
      </c>
      <c r="L1699" s="22">
        <f>IF(B1699="","",IF(B1699=B1698,L1698,N(L1698)+1))</f>
        <v/>
      </c>
    </row>
    <row r="1700">
      <c r="A1700" s="22" t="n"/>
      <c r="B1700" s="27" t="n"/>
      <c r="C1700" s="17" t="n"/>
      <c r="D1700" s="17" t="n"/>
      <c r="E1700" s="17" t="n"/>
      <c r="F1700" s="28" t="n"/>
      <c r="G1700" s="29" t="n"/>
      <c r="H1700" s="29" t="n"/>
      <c r="I1700" s="29" t="n"/>
      <c r="J1700" s="29" t="n"/>
      <c r="K1700" s="30">
        <f>IF(B1700="","",SUM(G$2:I1700)-SUM(J$2:J1700))</f>
        <v/>
      </c>
      <c r="L1700" s="22">
        <f>IF(B1700="","",IF(B1700=B1699,L1699,N(L1699)+1))</f>
        <v/>
      </c>
    </row>
    <row r="1701">
      <c r="A1701" s="22" t="n"/>
      <c r="B1701" s="27" t="n"/>
      <c r="C1701" s="17" t="n"/>
      <c r="D1701" s="17" t="n"/>
      <c r="E1701" s="17" t="n"/>
      <c r="F1701" s="28" t="n"/>
      <c r="G1701" s="29" t="n"/>
      <c r="H1701" s="29" t="n"/>
      <c r="I1701" s="29" t="n"/>
      <c r="J1701" s="29" t="n"/>
      <c r="K1701" s="30">
        <f>IF(B1701="","",SUM(G$2:I1701)-SUM(J$2:J1701))</f>
        <v/>
      </c>
      <c r="L1701" s="22">
        <f>IF(B1701="","",IF(B1701=B1700,L1700,N(L1700)+1))</f>
        <v/>
      </c>
    </row>
    <row r="1702">
      <c r="A1702" s="22" t="n"/>
      <c r="B1702" s="27" t="n"/>
      <c r="C1702" s="17" t="n"/>
      <c r="D1702" s="17" t="n"/>
      <c r="E1702" s="17" t="n"/>
      <c r="F1702" s="28" t="n"/>
      <c r="G1702" s="29" t="n"/>
      <c r="H1702" s="29" t="n"/>
      <c r="I1702" s="29" t="n"/>
      <c r="J1702" s="29" t="n"/>
      <c r="K1702" s="30">
        <f>IF(B1702="","",SUM(G$2:I1702)-SUM(J$2:J1702))</f>
        <v/>
      </c>
      <c r="L1702" s="22">
        <f>IF(B1702="","",IF(B1702=B1701,L1701,N(L1701)+1))</f>
        <v/>
      </c>
    </row>
    <row r="1703">
      <c r="A1703" s="22" t="n"/>
      <c r="B1703" s="27" t="n"/>
      <c r="C1703" s="17" t="n"/>
      <c r="D1703" s="17" t="n"/>
      <c r="E1703" s="17" t="n"/>
      <c r="F1703" s="28" t="n"/>
      <c r="G1703" s="29" t="n"/>
      <c r="H1703" s="29" t="n"/>
      <c r="I1703" s="29" t="n"/>
      <c r="J1703" s="29" t="n"/>
      <c r="K1703" s="30">
        <f>IF(B1703="","",SUM(G$2:I1703)-SUM(J$2:J1703))</f>
        <v/>
      </c>
      <c r="L1703" s="22">
        <f>IF(B1703="","",IF(B1703=B1702,L1702,N(L1702)+1))</f>
        <v/>
      </c>
    </row>
    <row r="1704">
      <c r="A1704" s="22" t="n"/>
      <c r="B1704" s="27" t="n"/>
      <c r="C1704" s="17" t="n"/>
      <c r="D1704" s="17" t="n"/>
      <c r="E1704" s="17" t="n"/>
      <c r="F1704" s="28" t="n"/>
      <c r="G1704" s="29" t="n"/>
      <c r="H1704" s="29" t="n"/>
      <c r="I1704" s="29" t="n"/>
      <c r="J1704" s="29" t="n"/>
      <c r="K1704" s="30">
        <f>IF(B1704="","",SUM(G$2:I1704)-SUM(J$2:J1704))</f>
        <v/>
      </c>
      <c r="L1704" s="22">
        <f>IF(B1704="","",IF(B1704=B1703,L1703,N(L1703)+1))</f>
        <v/>
      </c>
    </row>
    <row r="1705">
      <c r="A1705" s="22" t="n"/>
      <c r="B1705" s="27" t="n"/>
      <c r="C1705" s="17" t="n"/>
      <c r="D1705" s="17" t="n"/>
      <c r="E1705" s="17" t="n"/>
      <c r="F1705" s="28" t="n"/>
      <c r="G1705" s="29" t="n"/>
      <c r="H1705" s="29" t="n"/>
      <c r="I1705" s="29" t="n"/>
      <c r="J1705" s="29" t="n"/>
      <c r="K1705" s="30">
        <f>IF(B1705="","",SUM(G$2:I1705)-SUM(J$2:J1705))</f>
        <v/>
      </c>
      <c r="L1705" s="22">
        <f>IF(B1705="","",IF(B1705=B1704,L1704,N(L1704)+1))</f>
        <v/>
      </c>
    </row>
    <row r="1706">
      <c r="A1706" s="22" t="n"/>
      <c r="B1706" s="27" t="n"/>
      <c r="C1706" s="17" t="n"/>
      <c r="D1706" s="17" t="n"/>
      <c r="E1706" s="17" t="n"/>
      <c r="F1706" s="28" t="n"/>
      <c r="G1706" s="29" t="n"/>
      <c r="H1706" s="29" t="n"/>
      <c r="I1706" s="29" t="n"/>
      <c r="J1706" s="29" t="n"/>
      <c r="K1706" s="30">
        <f>IF(B1706="","",SUM(G$2:I1706)-SUM(J$2:J1706))</f>
        <v/>
      </c>
      <c r="L1706" s="22">
        <f>IF(B1706="","",IF(B1706=B1705,L1705,N(L1705)+1))</f>
        <v/>
      </c>
    </row>
    <row r="1707">
      <c r="A1707" s="22" t="n"/>
      <c r="B1707" s="27" t="n"/>
      <c r="C1707" s="17" t="n"/>
      <c r="D1707" s="17" t="n"/>
      <c r="E1707" s="17" t="n"/>
      <c r="F1707" s="28" t="n"/>
      <c r="G1707" s="29" t="n"/>
      <c r="H1707" s="29" t="n"/>
      <c r="I1707" s="29" t="n"/>
      <c r="J1707" s="29" t="n"/>
      <c r="K1707" s="30">
        <f>IF(B1707="","",SUM(G$2:I1707)-SUM(J$2:J1707))</f>
        <v/>
      </c>
      <c r="L1707" s="22">
        <f>IF(B1707="","",IF(B1707=B1706,L1706,N(L1706)+1))</f>
        <v/>
      </c>
    </row>
    <row r="1708">
      <c r="A1708" s="22" t="n"/>
      <c r="B1708" s="27" t="n"/>
      <c r="C1708" s="17" t="n"/>
      <c r="D1708" s="17" t="n"/>
      <c r="E1708" s="17" t="n"/>
      <c r="F1708" s="28" t="n"/>
      <c r="G1708" s="29" t="n"/>
      <c r="H1708" s="29" t="n"/>
      <c r="I1708" s="29" t="n"/>
      <c r="J1708" s="29" t="n"/>
      <c r="K1708" s="30">
        <f>IF(B1708="","",SUM(G$2:I1708)-SUM(J$2:J1708))</f>
        <v/>
      </c>
      <c r="L1708" s="22">
        <f>IF(B1708="","",IF(B1708=B1707,L1707,N(L1707)+1))</f>
        <v/>
      </c>
    </row>
    <row r="1709">
      <c r="A1709" s="22" t="n"/>
      <c r="B1709" s="27" t="n"/>
      <c r="C1709" s="17" t="n"/>
      <c r="D1709" s="17" t="n"/>
      <c r="E1709" s="17" t="n"/>
      <c r="F1709" s="28" t="n"/>
      <c r="G1709" s="29" t="n"/>
      <c r="H1709" s="29" t="n"/>
      <c r="I1709" s="29" t="n"/>
      <c r="J1709" s="29" t="n"/>
      <c r="K1709" s="30">
        <f>IF(B1709="","",SUM(G$2:I1709)-SUM(J$2:J1709))</f>
        <v/>
      </c>
      <c r="L1709" s="22">
        <f>IF(B1709="","",IF(B1709=B1708,L1708,N(L1708)+1))</f>
        <v/>
      </c>
    </row>
    <row r="1710">
      <c r="A1710" s="22" t="n"/>
      <c r="B1710" s="27" t="n"/>
      <c r="C1710" s="17" t="n"/>
      <c r="D1710" s="17" t="n"/>
      <c r="E1710" s="17" t="n"/>
      <c r="F1710" s="28" t="n"/>
      <c r="G1710" s="29" t="n"/>
      <c r="H1710" s="29" t="n"/>
      <c r="I1710" s="29" t="n"/>
      <c r="J1710" s="29" t="n"/>
      <c r="K1710" s="30">
        <f>IF(B1710="","",SUM(G$2:I1710)-SUM(J$2:J1710))</f>
        <v/>
      </c>
      <c r="L1710" s="22">
        <f>IF(B1710="","",IF(B1710=B1709,L1709,N(L1709)+1))</f>
        <v/>
      </c>
    </row>
    <row r="1711">
      <c r="A1711" s="22" t="n"/>
      <c r="B1711" s="27" t="n"/>
      <c r="C1711" s="17" t="n"/>
      <c r="D1711" s="17" t="n"/>
      <c r="E1711" s="17" t="n"/>
      <c r="F1711" s="28" t="n"/>
      <c r="G1711" s="29" t="n"/>
      <c r="H1711" s="29" t="n"/>
      <c r="I1711" s="29" t="n"/>
      <c r="J1711" s="29" t="n"/>
      <c r="K1711" s="30">
        <f>IF(B1711="","",SUM(G$2:I1711)-SUM(J$2:J1711))</f>
        <v/>
      </c>
      <c r="L1711" s="22">
        <f>IF(B1711="","",IF(B1711=B1710,L1710,N(L1710)+1))</f>
        <v/>
      </c>
    </row>
    <row r="1712">
      <c r="A1712" s="22" t="n"/>
      <c r="B1712" s="27" t="n"/>
      <c r="C1712" s="17" t="n"/>
      <c r="D1712" s="17" t="n"/>
      <c r="E1712" s="17" t="n"/>
      <c r="F1712" s="28" t="n"/>
      <c r="G1712" s="29" t="n"/>
      <c r="H1712" s="29" t="n"/>
      <c r="I1712" s="29" t="n"/>
      <c r="J1712" s="29" t="n"/>
      <c r="K1712" s="30">
        <f>IF(B1712="","",SUM(G$2:I1712)-SUM(J$2:J1712))</f>
        <v/>
      </c>
      <c r="L1712" s="22">
        <f>IF(B1712="","",IF(B1712=B1711,L1711,N(L1711)+1))</f>
        <v/>
      </c>
    </row>
    <row r="1713">
      <c r="A1713" s="22" t="n"/>
      <c r="B1713" s="27" t="n"/>
      <c r="C1713" s="17" t="n"/>
      <c r="D1713" s="17" t="n"/>
      <c r="E1713" s="17" t="n"/>
      <c r="F1713" s="28" t="n"/>
      <c r="G1713" s="29" t="n"/>
      <c r="H1713" s="29" t="n"/>
      <c r="I1713" s="29" t="n"/>
      <c r="J1713" s="29" t="n"/>
      <c r="K1713" s="30">
        <f>IF(B1713="","",SUM(G$2:I1713)-SUM(J$2:J1713))</f>
        <v/>
      </c>
      <c r="L1713" s="22">
        <f>IF(B1713="","",IF(B1713=B1712,L1712,N(L1712)+1))</f>
        <v/>
      </c>
    </row>
    <row r="1714">
      <c r="A1714" s="22" t="n"/>
      <c r="B1714" s="27" t="n"/>
      <c r="C1714" s="17" t="n"/>
      <c r="D1714" s="17" t="n"/>
      <c r="E1714" s="17" t="n"/>
      <c r="F1714" s="28" t="n"/>
      <c r="G1714" s="29" t="n"/>
      <c r="H1714" s="29" t="n"/>
      <c r="I1714" s="29" t="n"/>
      <c r="J1714" s="29" t="n"/>
      <c r="K1714" s="30">
        <f>IF(B1714="","",SUM(G$2:I1714)-SUM(J$2:J1714))</f>
        <v/>
      </c>
      <c r="L1714" s="22">
        <f>IF(B1714="","",IF(B1714=B1713,L1713,N(L1713)+1))</f>
        <v/>
      </c>
    </row>
    <row r="1715">
      <c r="A1715" s="22" t="n"/>
      <c r="B1715" s="27" t="n"/>
      <c r="C1715" s="17" t="n"/>
      <c r="D1715" s="17" t="n"/>
      <c r="E1715" s="17" t="n"/>
      <c r="F1715" s="28" t="n"/>
      <c r="G1715" s="29" t="n"/>
      <c r="H1715" s="29" t="n"/>
      <c r="I1715" s="29" t="n"/>
      <c r="J1715" s="29" t="n"/>
      <c r="K1715" s="30">
        <f>IF(B1715="","",SUM(G$2:I1715)-SUM(J$2:J1715))</f>
        <v/>
      </c>
      <c r="L1715" s="22">
        <f>IF(B1715="","",IF(B1715=B1714,L1714,N(L1714)+1))</f>
        <v/>
      </c>
    </row>
    <row r="1716">
      <c r="A1716" s="22" t="n"/>
      <c r="B1716" s="27" t="n"/>
      <c r="C1716" s="17" t="n"/>
      <c r="D1716" s="17" t="n"/>
      <c r="E1716" s="17" t="n"/>
      <c r="F1716" s="28" t="n"/>
      <c r="G1716" s="29" t="n"/>
      <c r="H1716" s="29" t="n"/>
      <c r="I1716" s="29" t="n"/>
      <c r="J1716" s="29" t="n"/>
      <c r="K1716" s="30">
        <f>IF(B1716="","",SUM(G$2:I1716)-SUM(J$2:J1716))</f>
        <v/>
      </c>
      <c r="L1716" s="22">
        <f>IF(B1716="","",IF(B1716=B1715,L1715,N(L1715)+1))</f>
        <v/>
      </c>
    </row>
    <row r="1717">
      <c r="A1717" s="22" t="n"/>
      <c r="B1717" s="27" t="n"/>
      <c r="C1717" s="17" t="n"/>
      <c r="D1717" s="17" t="n"/>
      <c r="E1717" s="17" t="n"/>
      <c r="F1717" s="28" t="n"/>
      <c r="G1717" s="29" t="n"/>
      <c r="H1717" s="29" t="n"/>
      <c r="I1717" s="29" t="n"/>
      <c r="J1717" s="29" t="n"/>
      <c r="K1717" s="30">
        <f>IF(B1717="","",SUM(G$2:I1717)-SUM(J$2:J1717))</f>
        <v/>
      </c>
      <c r="L1717" s="22">
        <f>IF(B1717="","",IF(B1717=B1716,L1716,N(L1716)+1))</f>
        <v/>
      </c>
    </row>
    <row r="1718">
      <c r="A1718" s="22" t="n"/>
      <c r="B1718" s="27" t="n"/>
      <c r="C1718" s="17" t="n"/>
      <c r="D1718" s="17" t="n"/>
      <c r="E1718" s="17" t="n"/>
      <c r="F1718" s="28" t="n"/>
      <c r="G1718" s="29" t="n"/>
      <c r="H1718" s="29" t="n"/>
      <c r="I1718" s="29" t="n"/>
      <c r="J1718" s="29" t="n"/>
      <c r="K1718" s="30">
        <f>IF(B1718="","",SUM(G$2:I1718)-SUM(J$2:J1718))</f>
        <v/>
      </c>
      <c r="L1718" s="22">
        <f>IF(B1718="","",IF(B1718=B1717,L1717,N(L1717)+1))</f>
        <v/>
      </c>
    </row>
    <row r="1719">
      <c r="A1719" s="22" t="n"/>
      <c r="B1719" s="27" t="n"/>
      <c r="C1719" s="17" t="n"/>
      <c r="D1719" s="17" t="n"/>
      <c r="E1719" s="17" t="n"/>
      <c r="F1719" s="28" t="n"/>
      <c r="G1719" s="29" t="n"/>
      <c r="H1719" s="29" t="n"/>
      <c r="I1719" s="29" t="n"/>
      <c r="J1719" s="29" t="n"/>
      <c r="K1719" s="30">
        <f>IF(B1719="","",SUM(G$2:I1719)-SUM(J$2:J1719))</f>
        <v/>
      </c>
      <c r="L1719" s="22">
        <f>IF(B1719="","",IF(B1719=B1718,L1718,N(L1718)+1))</f>
        <v/>
      </c>
    </row>
    <row r="1720">
      <c r="A1720" s="22" t="n"/>
      <c r="B1720" s="27" t="n"/>
      <c r="C1720" s="17" t="n"/>
      <c r="D1720" s="17" t="n"/>
      <c r="E1720" s="17" t="n"/>
      <c r="F1720" s="28" t="n"/>
      <c r="G1720" s="29" t="n"/>
      <c r="H1720" s="29" t="n"/>
      <c r="I1720" s="29" t="n"/>
      <c r="J1720" s="29" t="n"/>
      <c r="K1720" s="30">
        <f>IF(B1720="","",SUM(G$2:I1720)-SUM(J$2:J1720))</f>
        <v/>
      </c>
      <c r="L1720" s="22">
        <f>IF(B1720="","",IF(B1720=B1719,L1719,N(L1719)+1))</f>
        <v/>
      </c>
    </row>
    <row r="1721">
      <c r="A1721" s="22" t="n"/>
      <c r="B1721" s="27" t="n"/>
      <c r="C1721" s="17" t="n"/>
      <c r="D1721" s="17" t="n"/>
      <c r="E1721" s="17" t="n"/>
      <c r="F1721" s="28" t="n"/>
      <c r="G1721" s="29" t="n"/>
      <c r="H1721" s="29" t="n"/>
      <c r="I1721" s="29" t="n"/>
      <c r="J1721" s="29" t="n"/>
      <c r="K1721" s="30">
        <f>IF(B1721="","",SUM(G$2:I1721)-SUM(J$2:J1721))</f>
        <v/>
      </c>
      <c r="L1721" s="22">
        <f>IF(B1721="","",IF(B1721=B1720,L1720,N(L1720)+1))</f>
        <v/>
      </c>
    </row>
    <row r="1722">
      <c r="A1722" s="22" t="n"/>
      <c r="B1722" s="27" t="n"/>
      <c r="C1722" s="17" t="n"/>
      <c r="D1722" s="17" t="n"/>
      <c r="E1722" s="17" t="n"/>
      <c r="F1722" s="28" t="n"/>
      <c r="G1722" s="29" t="n"/>
      <c r="H1722" s="29" t="n"/>
      <c r="I1722" s="29" t="n"/>
      <c r="J1722" s="29" t="n"/>
      <c r="K1722" s="30">
        <f>IF(B1722="","",SUM(G$2:I1722)-SUM(J$2:J1722))</f>
        <v/>
      </c>
      <c r="L1722" s="22">
        <f>IF(B1722="","",IF(B1722=B1721,L1721,N(L1721)+1))</f>
        <v/>
      </c>
    </row>
    <row r="1723">
      <c r="A1723" s="22" t="n"/>
      <c r="B1723" s="27" t="n"/>
      <c r="C1723" s="17" t="n"/>
      <c r="D1723" s="17" t="n"/>
      <c r="E1723" s="17" t="n"/>
      <c r="F1723" s="28" t="n"/>
      <c r="G1723" s="29" t="n"/>
      <c r="H1723" s="29" t="n"/>
      <c r="I1723" s="29" t="n"/>
      <c r="J1723" s="29" t="n"/>
      <c r="K1723" s="30">
        <f>IF(B1723="","",SUM(G$2:I1723)-SUM(J$2:J1723))</f>
        <v/>
      </c>
      <c r="L1723" s="22">
        <f>IF(B1723="","",IF(B1723=B1722,L1722,N(L1722)+1))</f>
        <v/>
      </c>
    </row>
    <row r="1724">
      <c r="A1724" s="22" t="n"/>
      <c r="B1724" s="27" t="n"/>
      <c r="C1724" s="17" t="n"/>
      <c r="D1724" s="17" t="n"/>
      <c r="E1724" s="17" t="n"/>
      <c r="F1724" s="28" t="n"/>
      <c r="G1724" s="29" t="n"/>
      <c r="H1724" s="29" t="n"/>
      <c r="I1724" s="29" t="n"/>
      <c r="J1724" s="29" t="n"/>
      <c r="K1724" s="30">
        <f>IF(B1724="","",SUM(G$2:I1724)-SUM(J$2:J1724))</f>
        <v/>
      </c>
      <c r="L1724" s="22">
        <f>IF(B1724="","",IF(B1724=B1723,L1723,N(L1723)+1))</f>
        <v/>
      </c>
    </row>
    <row r="1725">
      <c r="A1725" s="22" t="n"/>
      <c r="B1725" s="27" t="n"/>
      <c r="C1725" s="17" t="n"/>
      <c r="D1725" s="17" t="n"/>
      <c r="E1725" s="17" t="n"/>
      <c r="F1725" s="28" t="n"/>
      <c r="G1725" s="29" t="n"/>
      <c r="H1725" s="29" t="n"/>
      <c r="I1725" s="29" t="n"/>
      <c r="J1725" s="29" t="n"/>
      <c r="K1725" s="30">
        <f>IF(B1725="","",SUM(G$2:I1725)-SUM(J$2:J1725))</f>
        <v/>
      </c>
      <c r="L1725" s="22">
        <f>IF(B1725="","",IF(B1725=B1724,L1724,N(L1724)+1))</f>
        <v/>
      </c>
    </row>
    <row r="1726">
      <c r="A1726" s="22" t="n"/>
      <c r="B1726" s="27" t="n"/>
      <c r="C1726" s="17" t="n"/>
      <c r="D1726" s="17" t="n"/>
      <c r="E1726" s="17" t="n"/>
      <c r="F1726" s="28" t="n"/>
      <c r="G1726" s="29" t="n"/>
      <c r="H1726" s="29" t="n"/>
      <c r="I1726" s="29" t="n"/>
      <c r="J1726" s="29" t="n"/>
      <c r="K1726" s="30">
        <f>IF(B1726="","",SUM(G$2:I1726)-SUM(J$2:J1726))</f>
        <v/>
      </c>
      <c r="L1726" s="22">
        <f>IF(B1726="","",IF(B1726=B1725,L1725,N(L1725)+1))</f>
        <v/>
      </c>
    </row>
    <row r="1727">
      <c r="A1727" s="22" t="n"/>
      <c r="B1727" s="27" t="n"/>
      <c r="C1727" s="17" t="n"/>
      <c r="D1727" s="17" t="n"/>
      <c r="E1727" s="17" t="n"/>
      <c r="F1727" s="28" t="n"/>
      <c r="G1727" s="29" t="n"/>
      <c r="H1727" s="29" t="n"/>
      <c r="I1727" s="29" t="n"/>
      <c r="J1727" s="29" t="n"/>
      <c r="K1727" s="30">
        <f>IF(B1727="","",SUM(G$2:I1727)-SUM(J$2:J1727))</f>
        <v/>
      </c>
      <c r="L1727" s="22">
        <f>IF(B1727="","",IF(B1727=B1726,L1726,N(L1726)+1))</f>
        <v/>
      </c>
    </row>
    <row r="1728">
      <c r="A1728" s="22" t="n"/>
      <c r="B1728" s="27" t="n"/>
      <c r="C1728" s="17" t="n"/>
      <c r="D1728" s="17" t="n"/>
      <c r="E1728" s="17" t="n"/>
      <c r="F1728" s="28" t="n"/>
      <c r="G1728" s="29" t="n"/>
      <c r="H1728" s="29" t="n"/>
      <c r="I1728" s="29" t="n"/>
      <c r="J1728" s="29" t="n"/>
      <c r="K1728" s="30">
        <f>IF(B1728="","",SUM(G$2:I1728)-SUM(J$2:J1728))</f>
        <v/>
      </c>
      <c r="L1728" s="22">
        <f>IF(B1728="","",IF(B1728=B1727,L1727,N(L1727)+1))</f>
        <v/>
      </c>
    </row>
    <row r="1729">
      <c r="A1729" s="22" t="n"/>
      <c r="B1729" s="27" t="n"/>
      <c r="C1729" s="17" t="n"/>
      <c r="D1729" s="17" t="n"/>
      <c r="E1729" s="17" t="n"/>
      <c r="F1729" s="28" t="n"/>
      <c r="G1729" s="29" t="n"/>
      <c r="H1729" s="29" t="n"/>
      <c r="I1729" s="29" t="n"/>
      <c r="J1729" s="29" t="n"/>
      <c r="K1729" s="30">
        <f>IF(B1729="","",SUM(G$2:I1729)-SUM(J$2:J1729))</f>
        <v/>
      </c>
      <c r="L1729" s="22">
        <f>IF(B1729="","",IF(B1729=B1728,L1728,N(L1728)+1))</f>
        <v/>
      </c>
    </row>
    <row r="1730">
      <c r="A1730" s="22" t="n"/>
      <c r="B1730" s="27" t="n"/>
      <c r="C1730" s="17" t="n"/>
      <c r="D1730" s="17" t="n"/>
      <c r="E1730" s="17" t="n"/>
      <c r="F1730" s="28" t="n"/>
      <c r="G1730" s="29" t="n"/>
      <c r="H1730" s="29" t="n"/>
      <c r="I1730" s="29" t="n"/>
      <c r="J1730" s="29" t="n"/>
      <c r="K1730" s="30">
        <f>IF(B1730="","",SUM(G$2:I1730)-SUM(J$2:J1730))</f>
        <v/>
      </c>
      <c r="L1730" s="22">
        <f>IF(B1730="","",IF(B1730=B1729,L1729,N(L1729)+1))</f>
        <v/>
      </c>
    </row>
    <row r="1731">
      <c r="A1731" s="22" t="n"/>
      <c r="B1731" s="27" t="n"/>
      <c r="C1731" s="17" t="n"/>
      <c r="D1731" s="17" t="n"/>
      <c r="E1731" s="17" t="n"/>
      <c r="F1731" s="28" t="n"/>
      <c r="G1731" s="29" t="n"/>
      <c r="H1731" s="29" t="n"/>
      <c r="I1731" s="29" t="n"/>
      <c r="J1731" s="29" t="n"/>
      <c r="K1731" s="30">
        <f>IF(B1731="","",SUM(G$2:I1731)-SUM(J$2:J1731))</f>
        <v/>
      </c>
      <c r="L1731" s="22">
        <f>IF(B1731="","",IF(B1731=B1730,L1730,N(L1730)+1))</f>
        <v/>
      </c>
    </row>
    <row r="1732">
      <c r="A1732" s="22" t="n"/>
      <c r="B1732" s="27" t="n"/>
      <c r="C1732" s="17" t="n"/>
      <c r="D1732" s="17" t="n"/>
      <c r="E1732" s="17" t="n"/>
      <c r="F1732" s="28" t="n"/>
      <c r="G1732" s="29" t="n"/>
      <c r="H1732" s="29" t="n"/>
      <c r="I1732" s="29" t="n"/>
      <c r="J1732" s="29" t="n"/>
      <c r="K1732" s="30">
        <f>IF(B1732="","",SUM(G$2:I1732)-SUM(J$2:J1732))</f>
        <v/>
      </c>
      <c r="L1732" s="22">
        <f>IF(B1732="","",IF(B1732=B1731,L1731,N(L1731)+1))</f>
        <v/>
      </c>
    </row>
    <row r="1733">
      <c r="A1733" s="22" t="n"/>
      <c r="B1733" s="27" t="n"/>
      <c r="C1733" s="17" t="n"/>
      <c r="D1733" s="17" t="n"/>
      <c r="E1733" s="17" t="n"/>
      <c r="F1733" s="28" t="n"/>
      <c r="G1733" s="29" t="n"/>
      <c r="H1733" s="29" t="n"/>
      <c r="I1733" s="29" t="n"/>
      <c r="J1733" s="29" t="n"/>
      <c r="K1733" s="30">
        <f>IF(B1733="","",SUM(G$2:I1733)-SUM(J$2:J1733))</f>
        <v/>
      </c>
      <c r="L1733" s="22">
        <f>IF(B1733="","",IF(B1733=B1732,L1732,N(L1732)+1))</f>
        <v/>
      </c>
    </row>
    <row r="1734">
      <c r="A1734" s="22" t="n"/>
      <c r="B1734" s="27" t="n"/>
      <c r="C1734" s="17" t="n"/>
      <c r="D1734" s="17" t="n"/>
      <c r="E1734" s="17" t="n"/>
      <c r="F1734" s="28" t="n"/>
      <c r="G1734" s="29" t="n"/>
      <c r="H1734" s="29" t="n"/>
      <c r="I1734" s="29" t="n"/>
      <c r="J1734" s="29" t="n"/>
      <c r="K1734" s="30">
        <f>IF(B1734="","",SUM(G$2:I1734)-SUM(J$2:J1734))</f>
        <v/>
      </c>
      <c r="L1734" s="22">
        <f>IF(B1734="","",IF(B1734=B1733,L1733,N(L1733)+1))</f>
        <v/>
      </c>
    </row>
    <row r="1735">
      <c r="A1735" s="22" t="n"/>
      <c r="B1735" s="27" t="n"/>
      <c r="C1735" s="17" t="n"/>
      <c r="D1735" s="17" t="n"/>
      <c r="E1735" s="17" t="n"/>
      <c r="F1735" s="28" t="n"/>
      <c r="G1735" s="29" t="n"/>
      <c r="H1735" s="29" t="n"/>
      <c r="I1735" s="29" t="n"/>
      <c r="J1735" s="29" t="n"/>
      <c r="K1735" s="30">
        <f>IF(B1735="","",SUM(G$2:I1735)-SUM(J$2:J1735))</f>
        <v/>
      </c>
      <c r="L1735" s="22">
        <f>IF(B1735="","",IF(B1735=B1734,L1734,N(L1734)+1))</f>
        <v/>
      </c>
    </row>
    <row r="1736">
      <c r="A1736" s="22" t="n"/>
      <c r="B1736" s="27" t="n"/>
      <c r="C1736" s="17" t="n"/>
      <c r="D1736" s="17" t="n"/>
      <c r="E1736" s="17" t="n"/>
      <c r="F1736" s="28" t="n"/>
      <c r="G1736" s="29" t="n"/>
      <c r="H1736" s="29" t="n"/>
      <c r="I1736" s="29" t="n"/>
      <c r="J1736" s="29" t="n"/>
      <c r="K1736" s="30">
        <f>IF(B1736="","",SUM(G$2:I1736)-SUM(J$2:J1736))</f>
        <v/>
      </c>
      <c r="L1736" s="22">
        <f>IF(B1736="","",IF(B1736=B1735,L1735,N(L1735)+1))</f>
        <v/>
      </c>
    </row>
    <row r="1737">
      <c r="A1737" s="22" t="n"/>
      <c r="B1737" s="27" t="n"/>
      <c r="C1737" s="17" t="n"/>
      <c r="D1737" s="17" t="n"/>
      <c r="E1737" s="17" t="n"/>
      <c r="F1737" s="28" t="n"/>
      <c r="G1737" s="29" t="n"/>
      <c r="H1737" s="29" t="n"/>
      <c r="I1737" s="29" t="n"/>
      <c r="J1737" s="29" t="n"/>
      <c r="K1737" s="30">
        <f>IF(B1737="","",SUM(G$2:I1737)-SUM(J$2:J1737))</f>
        <v/>
      </c>
      <c r="L1737" s="22">
        <f>IF(B1737="","",IF(B1737=B1736,L1736,N(L1736)+1))</f>
        <v/>
      </c>
    </row>
    <row r="1738">
      <c r="A1738" s="22" t="n"/>
      <c r="B1738" s="27" t="n"/>
      <c r="C1738" s="17" t="n"/>
      <c r="D1738" s="17" t="n"/>
      <c r="E1738" s="17" t="n"/>
      <c r="F1738" s="28" t="n"/>
      <c r="G1738" s="29" t="n"/>
      <c r="H1738" s="29" t="n"/>
      <c r="I1738" s="29" t="n"/>
      <c r="J1738" s="29" t="n"/>
      <c r="K1738" s="30">
        <f>IF(B1738="","",SUM(G$2:I1738)-SUM(J$2:J1738))</f>
        <v/>
      </c>
      <c r="L1738" s="22">
        <f>IF(B1738="","",IF(B1738=B1737,L1737,N(L1737)+1))</f>
        <v/>
      </c>
    </row>
    <row r="1739">
      <c r="A1739" s="22" t="n"/>
      <c r="B1739" s="27" t="n"/>
      <c r="C1739" s="17" t="n"/>
      <c r="D1739" s="17" t="n"/>
      <c r="E1739" s="17" t="n"/>
      <c r="F1739" s="28" t="n"/>
      <c r="G1739" s="29" t="n"/>
      <c r="H1739" s="29" t="n"/>
      <c r="I1739" s="29" t="n"/>
      <c r="J1739" s="29" t="n"/>
      <c r="K1739" s="30">
        <f>IF(B1739="","",SUM(G$2:I1739)-SUM(J$2:J1739))</f>
        <v/>
      </c>
      <c r="L1739" s="22">
        <f>IF(B1739="","",IF(B1739=B1738,L1738,N(L1738)+1))</f>
        <v/>
      </c>
    </row>
    <row r="1740">
      <c r="A1740" s="22" t="n"/>
      <c r="B1740" s="27" t="n"/>
      <c r="C1740" s="17" t="n"/>
      <c r="D1740" s="17" t="n"/>
      <c r="E1740" s="17" t="n"/>
      <c r="F1740" s="28" t="n"/>
      <c r="G1740" s="29" t="n"/>
      <c r="H1740" s="29" t="n"/>
      <c r="I1740" s="29" t="n"/>
      <c r="J1740" s="29" t="n"/>
      <c r="K1740" s="30">
        <f>IF(B1740="","",SUM(G$2:I1740)-SUM(J$2:J1740))</f>
        <v/>
      </c>
      <c r="L1740" s="22">
        <f>IF(B1740="","",IF(B1740=B1739,L1739,N(L1739)+1))</f>
        <v/>
      </c>
    </row>
    <row r="1741">
      <c r="A1741" s="22" t="n"/>
      <c r="B1741" s="27" t="n"/>
      <c r="C1741" s="17" t="n"/>
      <c r="D1741" s="17" t="n"/>
      <c r="E1741" s="17" t="n"/>
      <c r="F1741" s="28" t="n"/>
      <c r="G1741" s="29" t="n"/>
      <c r="H1741" s="29" t="n"/>
      <c r="I1741" s="29" t="n"/>
      <c r="J1741" s="29" t="n"/>
      <c r="K1741" s="30">
        <f>IF(B1741="","",SUM(G$2:I1741)-SUM(J$2:J1741))</f>
        <v/>
      </c>
      <c r="L1741" s="22">
        <f>IF(B1741="","",IF(B1741=B1740,L1740,N(L1740)+1))</f>
        <v/>
      </c>
    </row>
    <row r="1742">
      <c r="A1742" s="22" t="n"/>
      <c r="B1742" s="27" t="n"/>
      <c r="C1742" s="17" t="n"/>
      <c r="D1742" s="17" t="n"/>
      <c r="E1742" s="17" t="n"/>
      <c r="F1742" s="28" t="n"/>
      <c r="G1742" s="29" t="n"/>
      <c r="H1742" s="29" t="n"/>
      <c r="I1742" s="29" t="n"/>
      <c r="J1742" s="29" t="n"/>
      <c r="K1742" s="30">
        <f>IF(B1742="","",SUM(G$2:I1742)-SUM(J$2:J1742))</f>
        <v/>
      </c>
      <c r="L1742" s="22">
        <f>IF(B1742="","",IF(B1742=B1741,L1741,N(L1741)+1))</f>
        <v/>
      </c>
    </row>
    <row r="1743">
      <c r="A1743" s="22" t="n"/>
      <c r="B1743" s="27" t="n"/>
      <c r="C1743" s="17" t="n"/>
      <c r="D1743" s="17" t="n"/>
      <c r="E1743" s="17" t="n"/>
      <c r="F1743" s="28" t="n"/>
      <c r="G1743" s="29" t="n"/>
      <c r="H1743" s="29" t="n"/>
      <c r="I1743" s="29" t="n"/>
      <c r="J1743" s="29" t="n"/>
      <c r="K1743" s="30">
        <f>IF(B1743="","",SUM(G$2:I1743)-SUM(J$2:J1743))</f>
        <v/>
      </c>
      <c r="L1743" s="22">
        <f>IF(B1743="","",IF(B1743=B1742,L1742,N(L1742)+1))</f>
        <v/>
      </c>
    </row>
    <row r="1744">
      <c r="A1744" s="22" t="n"/>
      <c r="B1744" s="27" t="n"/>
      <c r="C1744" s="17" t="n"/>
      <c r="D1744" s="17" t="n"/>
      <c r="E1744" s="17" t="n"/>
      <c r="F1744" s="28" t="n"/>
      <c r="G1744" s="29" t="n"/>
      <c r="H1744" s="29" t="n"/>
      <c r="I1744" s="29" t="n"/>
      <c r="J1744" s="29" t="n"/>
      <c r="K1744" s="30">
        <f>IF(B1744="","",SUM(G$2:I1744)-SUM(J$2:J1744))</f>
        <v/>
      </c>
      <c r="L1744" s="22">
        <f>IF(B1744="","",IF(B1744=B1743,L1743,N(L1743)+1))</f>
        <v/>
      </c>
    </row>
    <row r="1745">
      <c r="A1745" s="22" t="n"/>
      <c r="B1745" s="27" t="n"/>
      <c r="C1745" s="17" t="n"/>
      <c r="D1745" s="17" t="n"/>
      <c r="E1745" s="17" t="n"/>
      <c r="F1745" s="28" t="n"/>
      <c r="G1745" s="29" t="n"/>
      <c r="H1745" s="29" t="n"/>
      <c r="I1745" s="29" t="n"/>
      <c r="J1745" s="29" t="n"/>
      <c r="K1745" s="30">
        <f>IF(B1745="","",SUM(G$2:I1745)-SUM(J$2:J1745))</f>
        <v/>
      </c>
      <c r="L1745" s="22">
        <f>IF(B1745="","",IF(B1745=B1744,L1744,N(L1744)+1))</f>
        <v/>
      </c>
    </row>
    <row r="1746">
      <c r="A1746" s="22" t="n"/>
      <c r="B1746" s="27" t="n"/>
      <c r="C1746" s="17" t="n"/>
      <c r="D1746" s="17" t="n"/>
      <c r="E1746" s="17" t="n"/>
      <c r="F1746" s="28" t="n"/>
      <c r="G1746" s="29" t="n"/>
      <c r="H1746" s="29" t="n"/>
      <c r="I1746" s="29" t="n"/>
      <c r="J1746" s="29" t="n"/>
      <c r="K1746" s="30">
        <f>IF(B1746="","",SUM(G$2:I1746)-SUM(J$2:J1746))</f>
        <v/>
      </c>
      <c r="L1746" s="22">
        <f>IF(B1746="","",IF(B1746=B1745,L1745,N(L1745)+1))</f>
        <v/>
      </c>
    </row>
    <row r="1747">
      <c r="A1747" s="22" t="n"/>
      <c r="B1747" s="27" t="n"/>
      <c r="C1747" s="17" t="n"/>
      <c r="D1747" s="17" t="n"/>
      <c r="E1747" s="17" t="n"/>
      <c r="F1747" s="28" t="n"/>
      <c r="G1747" s="29" t="n"/>
      <c r="H1747" s="29" t="n"/>
      <c r="I1747" s="29" t="n"/>
      <c r="J1747" s="29" t="n"/>
      <c r="K1747" s="30">
        <f>IF(B1747="","",SUM(G$2:I1747)-SUM(J$2:J1747))</f>
        <v/>
      </c>
      <c r="L1747" s="22">
        <f>IF(B1747="","",IF(B1747=B1746,L1746,N(L1746)+1))</f>
        <v/>
      </c>
    </row>
    <row r="1748">
      <c r="A1748" s="22" t="n"/>
      <c r="B1748" s="27" t="n"/>
      <c r="C1748" s="17" t="n"/>
      <c r="D1748" s="17" t="n"/>
      <c r="E1748" s="17" t="n"/>
      <c r="F1748" s="28" t="n"/>
      <c r="G1748" s="29" t="n"/>
      <c r="H1748" s="29" t="n"/>
      <c r="I1748" s="29" t="n"/>
      <c r="J1748" s="29" t="n"/>
      <c r="K1748" s="30">
        <f>IF(B1748="","",SUM(G$2:I1748)-SUM(J$2:J1748))</f>
        <v/>
      </c>
      <c r="L1748" s="22">
        <f>IF(B1748="","",IF(B1748=B1747,L1747,N(L1747)+1))</f>
        <v/>
      </c>
    </row>
    <row r="1749">
      <c r="A1749" s="22" t="n"/>
      <c r="B1749" s="27" t="n"/>
      <c r="C1749" s="17" t="n"/>
      <c r="D1749" s="17" t="n"/>
      <c r="E1749" s="17" t="n"/>
      <c r="F1749" s="28" t="n"/>
      <c r="G1749" s="29" t="n"/>
      <c r="H1749" s="29" t="n"/>
      <c r="I1749" s="29" t="n"/>
      <c r="J1749" s="29" t="n"/>
      <c r="K1749" s="30">
        <f>IF(B1749="","",SUM(G$2:I1749)-SUM(J$2:J1749))</f>
        <v/>
      </c>
      <c r="L1749" s="22">
        <f>IF(B1749="","",IF(B1749=B1748,L1748,N(L1748)+1))</f>
        <v/>
      </c>
    </row>
    <row r="1750">
      <c r="A1750" s="22" t="n"/>
      <c r="B1750" s="27" t="n"/>
      <c r="C1750" s="17" t="n"/>
      <c r="D1750" s="17" t="n"/>
      <c r="E1750" s="17" t="n"/>
      <c r="F1750" s="28" t="n"/>
      <c r="G1750" s="29" t="n"/>
      <c r="H1750" s="29" t="n"/>
      <c r="I1750" s="29" t="n"/>
      <c r="J1750" s="29" t="n"/>
      <c r="K1750" s="30">
        <f>IF(B1750="","",SUM(G$2:I1750)-SUM(J$2:J1750))</f>
        <v/>
      </c>
      <c r="L1750" s="22">
        <f>IF(B1750="","",IF(B1750=B1749,L1749,N(L1749)+1))</f>
        <v/>
      </c>
    </row>
    <row r="1751">
      <c r="A1751" s="22" t="n"/>
      <c r="B1751" s="27" t="n"/>
      <c r="C1751" s="17" t="n"/>
      <c r="D1751" s="17" t="n"/>
      <c r="E1751" s="17" t="n"/>
      <c r="F1751" s="28" t="n"/>
      <c r="G1751" s="29" t="n"/>
      <c r="H1751" s="29" t="n"/>
      <c r="I1751" s="29" t="n"/>
      <c r="J1751" s="29" t="n"/>
      <c r="K1751" s="30">
        <f>IF(B1751="","",SUM(G$2:I1751)-SUM(J$2:J1751))</f>
        <v/>
      </c>
      <c r="L1751" s="22">
        <f>IF(B1751="","",IF(B1751=B1750,L1750,N(L1750)+1))</f>
        <v/>
      </c>
    </row>
    <row r="1752">
      <c r="A1752" s="22" t="n"/>
      <c r="B1752" s="27" t="n"/>
      <c r="C1752" s="17" t="n"/>
      <c r="D1752" s="17" t="n"/>
      <c r="E1752" s="17" t="n"/>
      <c r="F1752" s="28" t="n"/>
      <c r="G1752" s="29" t="n"/>
      <c r="H1752" s="29" t="n"/>
      <c r="I1752" s="29" t="n"/>
      <c r="J1752" s="29" t="n"/>
      <c r="K1752" s="30">
        <f>IF(B1752="","",SUM(G$2:I1752)-SUM(J$2:J1752))</f>
        <v/>
      </c>
      <c r="L1752" s="22">
        <f>IF(B1752="","",IF(B1752=B1751,L1751,N(L1751)+1))</f>
        <v/>
      </c>
    </row>
    <row r="1753">
      <c r="A1753" s="22" t="n"/>
      <c r="B1753" s="27" t="n"/>
      <c r="C1753" s="17" t="n"/>
      <c r="D1753" s="17" t="n"/>
      <c r="E1753" s="17" t="n"/>
      <c r="F1753" s="28" t="n"/>
      <c r="G1753" s="29" t="n"/>
      <c r="H1753" s="29" t="n"/>
      <c r="I1753" s="29" t="n"/>
      <c r="J1753" s="29" t="n"/>
      <c r="K1753" s="30">
        <f>IF(B1753="","",SUM(G$2:I1753)-SUM(J$2:J1753))</f>
        <v/>
      </c>
      <c r="L1753" s="22">
        <f>IF(B1753="","",IF(B1753=B1752,L1752,N(L1752)+1))</f>
        <v/>
      </c>
    </row>
    <row r="1754">
      <c r="A1754" s="22" t="n"/>
      <c r="B1754" s="27" t="n"/>
      <c r="C1754" s="17" t="n"/>
      <c r="D1754" s="17" t="n"/>
      <c r="E1754" s="17" t="n"/>
      <c r="F1754" s="28" t="n"/>
      <c r="G1754" s="29" t="n"/>
      <c r="H1754" s="29" t="n"/>
      <c r="I1754" s="29" t="n"/>
      <c r="J1754" s="29" t="n"/>
      <c r="K1754" s="30">
        <f>IF(B1754="","",SUM(G$2:I1754)-SUM(J$2:J1754))</f>
        <v/>
      </c>
      <c r="L1754" s="22">
        <f>IF(B1754="","",IF(B1754=B1753,L1753,N(L1753)+1))</f>
        <v/>
      </c>
    </row>
    <row r="1755">
      <c r="A1755" s="22" t="n"/>
      <c r="B1755" s="27" t="n"/>
      <c r="C1755" s="17" t="n"/>
      <c r="D1755" s="17" t="n"/>
      <c r="E1755" s="17" t="n"/>
      <c r="F1755" s="28" t="n"/>
      <c r="G1755" s="29" t="n"/>
      <c r="H1755" s="29" t="n"/>
      <c r="I1755" s="29" t="n"/>
      <c r="J1755" s="29" t="n"/>
      <c r="K1755" s="30">
        <f>IF(B1755="","",SUM(G$2:I1755)-SUM(J$2:J1755))</f>
        <v/>
      </c>
      <c r="L1755" s="22">
        <f>IF(B1755="","",IF(B1755=B1754,L1754,N(L1754)+1))</f>
        <v/>
      </c>
    </row>
    <row r="1756">
      <c r="A1756" s="22" t="n"/>
      <c r="B1756" s="27" t="n"/>
      <c r="C1756" s="17" t="n"/>
      <c r="D1756" s="17" t="n"/>
      <c r="E1756" s="17" t="n"/>
      <c r="F1756" s="28" t="n"/>
      <c r="G1756" s="29" t="n"/>
      <c r="H1756" s="29" t="n"/>
      <c r="I1756" s="29" t="n"/>
      <c r="J1756" s="29" t="n"/>
      <c r="K1756" s="30">
        <f>IF(B1756="","",SUM(G$2:I1756)-SUM(J$2:J1756))</f>
        <v/>
      </c>
      <c r="L1756" s="22">
        <f>IF(B1756="","",IF(B1756=B1755,L1755,N(L1755)+1))</f>
        <v/>
      </c>
    </row>
    <row r="1757">
      <c r="A1757" s="22" t="n"/>
      <c r="B1757" s="27" t="n"/>
      <c r="C1757" s="17" t="n"/>
      <c r="D1757" s="17" t="n"/>
      <c r="E1757" s="17" t="n"/>
      <c r="F1757" s="28" t="n"/>
      <c r="G1757" s="29" t="n"/>
      <c r="H1757" s="29" t="n"/>
      <c r="I1757" s="29" t="n"/>
      <c r="J1757" s="29" t="n"/>
      <c r="K1757" s="30">
        <f>IF(B1757="","",SUM(G$2:I1757)-SUM(J$2:J1757))</f>
        <v/>
      </c>
      <c r="L1757" s="22">
        <f>IF(B1757="","",IF(B1757=B1756,L1756,N(L1756)+1))</f>
        <v/>
      </c>
    </row>
    <row r="1758">
      <c r="A1758" s="22" t="n"/>
      <c r="B1758" s="27" t="n"/>
      <c r="C1758" s="17" t="n"/>
      <c r="D1758" s="17" t="n"/>
      <c r="E1758" s="17" t="n"/>
      <c r="F1758" s="28" t="n"/>
      <c r="G1758" s="29" t="n"/>
      <c r="H1758" s="29" t="n"/>
      <c r="I1758" s="29" t="n"/>
      <c r="J1758" s="29" t="n"/>
      <c r="K1758" s="30">
        <f>IF(B1758="","",SUM(G$2:I1758)-SUM(J$2:J1758))</f>
        <v/>
      </c>
      <c r="L1758" s="22">
        <f>IF(B1758="","",IF(B1758=B1757,L1757,N(L1757)+1))</f>
        <v/>
      </c>
    </row>
    <row r="1759">
      <c r="A1759" s="22" t="n"/>
      <c r="B1759" s="27" t="n"/>
      <c r="C1759" s="17" t="n"/>
      <c r="D1759" s="17" t="n"/>
      <c r="E1759" s="17" t="n"/>
      <c r="F1759" s="28" t="n"/>
      <c r="G1759" s="29" t="n"/>
      <c r="H1759" s="29" t="n"/>
      <c r="I1759" s="29" t="n"/>
      <c r="J1759" s="29" t="n"/>
      <c r="K1759" s="30">
        <f>IF(B1759="","",SUM(G$2:I1759)-SUM(J$2:J1759))</f>
        <v/>
      </c>
      <c r="L1759" s="22">
        <f>IF(B1759="","",IF(B1759=B1758,L1758,N(L1758)+1))</f>
        <v/>
      </c>
    </row>
    <row r="1760">
      <c r="A1760" s="22" t="n"/>
      <c r="B1760" s="27" t="n"/>
      <c r="C1760" s="17" t="n"/>
      <c r="D1760" s="17" t="n"/>
      <c r="E1760" s="17" t="n"/>
      <c r="F1760" s="28" t="n"/>
      <c r="G1760" s="29" t="n"/>
      <c r="H1760" s="29" t="n"/>
      <c r="I1760" s="29" t="n"/>
      <c r="J1760" s="29" t="n"/>
      <c r="K1760" s="30">
        <f>IF(B1760="","",SUM(G$2:I1760)-SUM(J$2:J1760))</f>
        <v/>
      </c>
      <c r="L1760" s="22">
        <f>IF(B1760="","",IF(B1760=B1759,L1759,N(L1759)+1))</f>
        <v/>
      </c>
    </row>
    <row r="1761">
      <c r="A1761" s="22" t="n"/>
      <c r="B1761" s="27" t="n"/>
      <c r="C1761" s="17" t="n"/>
      <c r="D1761" s="17" t="n"/>
      <c r="E1761" s="17" t="n"/>
      <c r="F1761" s="28" t="n"/>
      <c r="G1761" s="29" t="n"/>
      <c r="H1761" s="29" t="n"/>
      <c r="I1761" s="29" t="n"/>
      <c r="J1761" s="29" t="n"/>
      <c r="K1761" s="30">
        <f>IF(B1761="","",SUM(G$2:I1761)-SUM(J$2:J1761))</f>
        <v/>
      </c>
      <c r="L1761" s="22">
        <f>IF(B1761="","",IF(B1761=B1760,L1760,N(L1760)+1))</f>
        <v/>
      </c>
    </row>
    <row r="1762">
      <c r="A1762" s="22" t="n"/>
      <c r="B1762" s="27" t="n"/>
      <c r="C1762" s="17" t="n"/>
      <c r="D1762" s="17" t="n"/>
      <c r="E1762" s="17" t="n"/>
      <c r="F1762" s="28" t="n"/>
      <c r="G1762" s="29" t="n"/>
      <c r="H1762" s="29" t="n"/>
      <c r="I1762" s="29" t="n"/>
      <c r="J1762" s="29" t="n"/>
      <c r="K1762" s="30">
        <f>IF(B1762="","",SUM(G$2:I1762)-SUM(J$2:J1762))</f>
        <v/>
      </c>
      <c r="L1762" s="22">
        <f>IF(B1762="","",IF(B1762=B1761,L1761,N(L1761)+1))</f>
        <v/>
      </c>
    </row>
    <row r="1763">
      <c r="A1763" s="22" t="n"/>
      <c r="B1763" s="27" t="n"/>
      <c r="C1763" s="17" t="n"/>
      <c r="D1763" s="17" t="n"/>
      <c r="E1763" s="17" t="n"/>
      <c r="F1763" s="28" t="n"/>
      <c r="G1763" s="29" t="n"/>
      <c r="H1763" s="29" t="n"/>
      <c r="I1763" s="29" t="n"/>
      <c r="J1763" s="29" t="n"/>
      <c r="K1763" s="30">
        <f>IF(B1763="","",SUM(G$2:I1763)-SUM(J$2:J1763))</f>
        <v/>
      </c>
      <c r="L1763" s="22">
        <f>IF(B1763="","",IF(B1763=B1762,L1762,N(L1762)+1))</f>
        <v/>
      </c>
    </row>
    <row r="1764">
      <c r="A1764" s="22" t="n"/>
      <c r="B1764" s="27" t="n"/>
      <c r="C1764" s="17" t="n"/>
      <c r="D1764" s="17" t="n"/>
      <c r="E1764" s="17" t="n"/>
      <c r="F1764" s="28" t="n"/>
      <c r="G1764" s="29" t="n"/>
      <c r="H1764" s="29" t="n"/>
      <c r="I1764" s="29" t="n"/>
      <c r="J1764" s="29" t="n"/>
      <c r="K1764" s="30">
        <f>IF(B1764="","",SUM(G$2:I1764)-SUM(J$2:J1764))</f>
        <v/>
      </c>
      <c r="L1764" s="22">
        <f>IF(B1764="","",IF(B1764=B1763,L1763,N(L1763)+1))</f>
        <v/>
      </c>
    </row>
    <row r="1765">
      <c r="A1765" s="22" t="n"/>
      <c r="B1765" s="27" t="n"/>
      <c r="C1765" s="17" t="n"/>
      <c r="D1765" s="17" t="n"/>
      <c r="E1765" s="17" t="n"/>
      <c r="F1765" s="28" t="n"/>
      <c r="G1765" s="29" t="n"/>
      <c r="H1765" s="29" t="n"/>
      <c r="I1765" s="29" t="n"/>
      <c r="J1765" s="29" t="n"/>
      <c r="K1765" s="30">
        <f>IF(B1765="","",SUM(G$2:I1765)-SUM(J$2:J1765))</f>
        <v/>
      </c>
      <c r="L1765" s="22">
        <f>IF(B1765="","",IF(B1765=B1764,L1764,N(L1764)+1))</f>
        <v/>
      </c>
    </row>
    <row r="1766">
      <c r="A1766" s="22" t="n"/>
      <c r="B1766" s="27" t="n"/>
      <c r="C1766" s="17" t="n"/>
      <c r="D1766" s="17" t="n"/>
      <c r="E1766" s="17" t="n"/>
      <c r="F1766" s="28" t="n"/>
      <c r="G1766" s="29" t="n"/>
      <c r="H1766" s="29" t="n"/>
      <c r="I1766" s="29" t="n"/>
      <c r="J1766" s="29" t="n"/>
      <c r="K1766" s="30">
        <f>IF(B1766="","",SUM(G$2:I1766)-SUM(J$2:J1766))</f>
        <v/>
      </c>
      <c r="L1766" s="22">
        <f>IF(B1766="","",IF(B1766=B1765,L1765,N(L1765)+1))</f>
        <v/>
      </c>
    </row>
    <row r="1767">
      <c r="A1767" s="22" t="n"/>
      <c r="B1767" s="27" t="n"/>
      <c r="C1767" s="17" t="n"/>
      <c r="D1767" s="17" t="n"/>
      <c r="E1767" s="17" t="n"/>
      <c r="F1767" s="28" t="n"/>
      <c r="G1767" s="29" t="n"/>
      <c r="H1767" s="29" t="n"/>
      <c r="I1767" s="29" t="n"/>
      <c r="J1767" s="29" t="n"/>
      <c r="K1767" s="30">
        <f>IF(B1767="","",SUM(G$2:I1767)-SUM(J$2:J1767))</f>
        <v/>
      </c>
      <c r="L1767" s="22">
        <f>IF(B1767="","",IF(B1767=B1766,L1766,N(L1766)+1))</f>
        <v/>
      </c>
    </row>
    <row r="1768">
      <c r="A1768" s="22" t="n"/>
      <c r="B1768" s="27" t="n"/>
      <c r="C1768" s="17" t="n"/>
      <c r="D1768" s="17" t="n"/>
      <c r="E1768" s="17" t="n"/>
      <c r="F1768" s="28" t="n"/>
      <c r="G1768" s="29" t="n"/>
      <c r="H1768" s="29" t="n"/>
      <c r="I1768" s="29" t="n"/>
      <c r="J1768" s="29" t="n"/>
      <c r="K1768" s="30">
        <f>IF(B1768="","",SUM(G$2:I1768)-SUM(J$2:J1768))</f>
        <v/>
      </c>
      <c r="L1768" s="22">
        <f>IF(B1768="","",IF(B1768=B1767,L1767,N(L1767)+1))</f>
        <v/>
      </c>
    </row>
    <row r="1769">
      <c r="A1769" s="22" t="n"/>
      <c r="B1769" s="27" t="n"/>
      <c r="C1769" s="17" t="n"/>
      <c r="D1769" s="17" t="n"/>
      <c r="E1769" s="17" t="n"/>
      <c r="F1769" s="28" t="n"/>
      <c r="G1769" s="29" t="n"/>
      <c r="H1769" s="29" t="n"/>
      <c r="I1769" s="29" t="n"/>
      <c r="J1769" s="29" t="n"/>
      <c r="K1769" s="30">
        <f>IF(B1769="","",SUM(G$2:I1769)-SUM(J$2:J1769))</f>
        <v/>
      </c>
      <c r="L1769" s="22">
        <f>IF(B1769="","",IF(B1769=B1768,L1768,N(L1768)+1))</f>
        <v/>
      </c>
    </row>
    <row r="1770">
      <c r="A1770" s="22" t="n"/>
      <c r="B1770" s="27" t="n"/>
      <c r="C1770" s="17" t="n"/>
      <c r="D1770" s="17" t="n"/>
      <c r="E1770" s="17" t="n"/>
      <c r="F1770" s="28" t="n"/>
      <c r="G1770" s="29" t="n"/>
      <c r="H1770" s="29" t="n"/>
      <c r="I1770" s="29" t="n"/>
      <c r="J1770" s="29" t="n"/>
      <c r="K1770" s="30">
        <f>IF(B1770="","",SUM(G$2:I1770)-SUM(J$2:J1770))</f>
        <v/>
      </c>
      <c r="L1770" s="22">
        <f>IF(B1770="","",IF(B1770=B1769,L1769,N(L1769)+1))</f>
        <v/>
      </c>
    </row>
    <row r="1771">
      <c r="A1771" s="22" t="n"/>
      <c r="B1771" s="27" t="n"/>
      <c r="C1771" s="17" t="n"/>
      <c r="D1771" s="17" t="n"/>
      <c r="E1771" s="17" t="n"/>
      <c r="F1771" s="28" t="n"/>
      <c r="G1771" s="29" t="n"/>
      <c r="H1771" s="29" t="n"/>
      <c r="I1771" s="29" t="n"/>
      <c r="J1771" s="29" t="n"/>
      <c r="K1771" s="30">
        <f>IF(B1771="","",SUM(G$2:I1771)-SUM(J$2:J1771))</f>
        <v/>
      </c>
      <c r="L1771" s="22">
        <f>IF(B1771="","",IF(B1771=B1770,L1770,N(L1770)+1))</f>
        <v/>
      </c>
    </row>
    <row r="1772">
      <c r="A1772" s="22" t="n"/>
      <c r="B1772" s="27" t="n"/>
      <c r="C1772" s="17" t="n"/>
      <c r="D1772" s="17" t="n"/>
      <c r="E1772" s="17" t="n"/>
      <c r="F1772" s="28" t="n"/>
      <c r="G1772" s="29" t="n"/>
      <c r="H1772" s="29" t="n"/>
      <c r="I1772" s="29" t="n"/>
      <c r="J1772" s="29" t="n"/>
      <c r="K1772" s="30">
        <f>IF(B1772="","",SUM(G$2:I1772)-SUM(J$2:J1772))</f>
        <v/>
      </c>
      <c r="L1772" s="22">
        <f>IF(B1772="","",IF(B1772=B1771,L1771,N(L1771)+1))</f>
        <v/>
      </c>
    </row>
    <row r="1773">
      <c r="A1773" s="22" t="n"/>
      <c r="B1773" s="27" t="n"/>
      <c r="C1773" s="17" t="n"/>
      <c r="D1773" s="17" t="n"/>
      <c r="E1773" s="17" t="n"/>
      <c r="F1773" s="28" t="n"/>
      <c r="G1773" s="29" t="n"/>
      <c r="H1773" s="29" t="n"/>
      <c r="I1773" s="29" t="n"/>
      <c r="J1773" s="29" t="n"/>
      <c r="K1773" s="30">
        <f>IF(B1773="","",SUM(G$2:I1773)-SUM(J$2:J1773))</f>
        <v/>
      </c>
      <c r="L1773" s="22">
        <f>IF(B1773="","",IF(B1773=B1772,L1772,N(L1772)+1))</f>
        <v/>
      </c>
    </row>
    <row r="1774">
      <c r="A1774" s="22" t="n"/>
      <c r="B1774" s="27" t="n"/>
      <c r="C1774" s="17" t="n"/>
      <c r="D1774" s="17" t="n"/>
      <c r="E1774" s="17" t="n"/>
      <c r="F1774" s="28" t="n"/>
      <c r="G1774" s="29" t="n"/>
      <c r="H1774" s="29" t="n"/>
      <c r="I1774" s="29" t="n"/>
      <c r="J1774" s="29" t="n"/>
      <c r="K1774" s="30">
        <f>IF(B1774="","",SUM(G$2:I1774)-SUM(J$2:J1774))</f>
        <v/>
      </c>
      <c r="L1774" s="22">
        <f>IF(B1774="","",IF(B1774=B1773,L1773,N(L1773)+1))</f>
        <v/>
      </c>
    </row>
    <row r="1775">
      <c r="A1775" s="22" t="n"/>
      <c r="B1775" s="27" t="n"/>
      <c r="C1775" s="17" t="n"/>
      <c r="D1775" s="17" t="n"/>
      <c r="E1775" s="17" t="n"/>
      <c r="F1775" s="28" t="n"/>
      <c r="G1775" s="29" t="n"/>
      <c r="H1775" s="29" t="n"/>
      <c r="I1775" s="29" t="n"/>
      <c r="J1775" s="29" t="n"/>
      <c r="K1775" s="30">
        <f>IF(B1775="","",SUM(G$2:I1775)-SUM(J$2:J1775))</f>
        <v/>
      </c>
      <c r="L1775" s="22">
        <f>IF(B1775="","",IF(B1775=B1774,L1774,N(L1774)+1))</f>
        <v/>
      </c>
    </row>
    <row r="1776">
      <c r="A1776" s="22" t="n"/>
      <c r="B1776" s="27" t="n"/>
      <c r="C1776" s="17" t="n"/>
      <c r="D1776" s="17" t="n"/>
      <c r="E1776" s="17" t="n"/>
      <c r="F1776" s="28" t="n"/>
      <c r="G1776" s="29" t="n"/>
      <c r="H1776" s="29" t="n"/>
      <c r="I1776" s="29" t="n"/>
      <c r="J1776" s="29" t="n"/>
      <c r="K1776" s="30">
        <f>IF(B1776="","",SUM(G$2:I1776)-SUM(J$2:J1776))</f>
        <v/>
      </c>
      <c r="L1776" s="22">
        <f>IF(B1776="","",IF(B1776=B1775,L1775,N(L1775)+1))</f>
        <v/>
      </c>
    </row>
    <row r="1777">
      <c r="A1777" s="22" t="n"/>
      <c r="B1777" s="27" t="n"/>
      <c r="C1777" s="17" t="n"/>
      <c r="D1777" s="17" t="n"/>
      <c r="E1777" s="17" t="n"/>
      <c r="F1777" s="28" t="n"/>
      <c r="G1777" s="29" t="n"/>
      <c r="H1777" s="29" t="n"/>
      <c r="I1777" s="29" t="n"/>
      <c r="J1777" s="29" t="n"/>
      <c r="K1777" s="30">
        <f>IF(B1777="","",SUM(G$2:I1777)-SUM(J$2:J1777))</f>
        <v/>
      </c>
      <c r="L1777" s="22">
        <f>IF(B1777="","",IF(B1777=B1776,L1776,N(L1776)+1))</f>
        <v/>
      </c>
    </row>
    <row r="1778">
      <c r="A1778" s="22" t="n"/>
      <c r="B1778" s="27" t="n"/>
      <c r="C1778" s="17" t="n"/>
      <c r="D1778" s="17" t="n"/>
      <c r="E1778" s="17" t="n"/>
      <c r="F1778" s="28" t="n"/>
      <c r="G1778" s="29" t="n"/>
      <c r="H1778" s="29" t="n"/>
      <c r="I1778" s="29" t="n"/>
      <c r="J1778" s="29" t="n"/>
      <c r="K1778" s="30">
        <f>IF(B1778="","",SUM(G$2:I1778)-SUM(J$2:J1778))</f>
        <v/>
      </c>
      <c r="L1778" s="22">
        <f>IF(B1778="","",IF(B1778=B1777,L1777,N(L1777)+1))</f>
        <v/>
      </c>
    </row>
    <row r="1779">
      <c r="A1779" s="22" t="n"/>
      <c r="B1779" s="27" t="n"/>
      <c r="C1779" s="17" t="n"/>
      <c r="D1779" s="17" t="n"/>
      <c r="E1779" s="17" t="n"/>
      <c r="F1779" s="28" t="n"/>
      <c r="G1779" s="29" t="n"/>
      <c r="H1779" s="29" t="n"/>
      <c r="I1779" s="29" t="n"/>
      <c r="J1779" s="29" t="n"/>
      <c r="K1779" s="30">
        <f>IF(B1779="","",SUM(G$2:I1779)-SUM(J$2:J1779))</f>
        <v/>
      </c>
      <c r="L1779" s="22">
        <f>IF(B1779="","",IF(B1779=B1778,L1778,N(L1778)+1))</f>
        <v/>
      </c>
    </row>
    <row r="1780">
      <c r="A1780" s="22" t="n"/>
      <c r="B1780" s="27" t="n"/>
      <c r="C1780" s="17" t="n"/>
      <c r="D1780" s="17" t="n"/>
      <c r="E1780" s="17" t="n"/>
      <c r="F1780" s="28" t="n"/>
      <c r="G1780" s="29" t="n"/>
      <c r="H1780" s="29" t="n"/>
      <c r="I1780" s="29" t="n"/>
      <c r="J1780" s="29" t="n"/>
      <c r="K1780" s="30">
        <f>IF(B1780="","",SUM(G$2:I1780)-SUM(J$2:J1780))</f>
        <v/>
      </c>
      <c r="L1780" s="22">
        <f>IF(B1780="","",IF(B1780=B1779,L1779,N(L1779)+1))</f>
        <v/>
      </c>
    </row>
    <row r="1781">
      <c r="A1781" s="22" t="n"/>
      <c r="B1781" s="27" t="n"/>
      <c r="C1781" s="17" t="n"/>
      <c r="D1781" s="17" t="n"/>
      <c r="E1781" s="17" t="n"/>
      <c r="F1781" s="28" t="n"/>
      <c r="G1781" s="29" t="n"/>
      <c r="H1781" s="29" t="n"/>
      <c r="I1781" s="29" t="n"/>
      <c r="J1781" s="29" t="n"/>
      <c r="K1781" s="30">
        <f>IF(B1781="","",SUM(G$2:I1781)-SUM(J$2:J1781))</f>
        <v/>
      </c>
      <c r="L1781" s="22">
        <f>IF(B1781="","",IF(B1781=B1780,L1780,N(L1780)+1))</f>
        <v/>
      </c>
    </row>
    <row r="1782">
      <c r="A1782" s="22" t="n"/>
      <c r="B1782" s="27" t="n"/>
      <c r="C1782" s="17" t="n"/>
      <c r="D1782" s="17" t="n"/>
      <c r="E1782" s="17" t="n"/>
      <c r="F1782" s="28" t="n"/>
      <c r="G1782" s="29" t="n"/>
      <c r="H1782" s="29" t="n"/>
      <c r="I1782" s="29" t="n"/>
      <c r="J1782" s="29" t="n"/>
      <c r="K1782" s="30">
        <f>IF(B1782="","",SUM(G$2:I1782)-SUM(J$2:J1782))</f>
        <v/>
      </c>
      <c r="L1782" s="22">
        <f>IF(B1782="","",IF(B1782=B1781,L1781,N(L1781)+1))</f>
        <v/>
      </c>
    </row>
    <row r="1783">
      <c r="A1783" s="22" t="n"/>
      <c r="B1783" s="27" t="n"/>
      <c r="C1783" s="17" t="n"/>
      <c r="D1783" s="17" t="n"/>
      <c r="E1783" s="17" t="n"/>
      <c r="F1783" s="28" t="n"/>
      <c r="G1783" s="29" t="n"/>
      <c r="H1783" s="29" t="n"/>
      <c r="I1783" s="29" t="n"/>
      <c r="J1783" s="29" t="n"/>
      <c r="K1783" s="30">
        <f>IF(B1783="","",SUM(G$2:I1783)-SUM(J$2:J1783))</f>
        <v/>
      </c>
      <c r="L1783" s="22">
        <f>IF(B1783="","",IF(B1783=B1782,L1782,N(L1782)+1))</f>
        <v/>
      </c>
    </row>
    <row r="1784">
      <c r="A1784" s="22" t="n"/>
      <c r="B1784" s="27" t="n"/>
      <c r="C1784" s="17" t="n"/>
      <c r="D1784" s="17" t="n"/>
      <c r="E1784" s="17" t="n"/>
      <c r="F1784" s="28" t="n"/>
      <c r="G1784" s="29" t="n"/>
      <c r="H1784" s="29" t="n"/>
      <c r="I1784" s="29" t="n"/>
      <c r="J1784" s="29" t="n"/>
      <c r="K1784" s="30">
        <f>IF(B1784="","",SUM(G$2:I1784)-SUM(J$2:J1784))</f>
        <v/>
      </c>
      <c r="L1784" s="22">
        <f>IF(B1784="","",IF(B1784=B1783,L1783,N(L1783)+1))</f>
        <v/>
      </c>
    </row>
    <row r="1785">
      <c r="A1785" s="22" t="n"/>
      <c r="B1785" s="27" t="n"/>
      <c r="C1785" s="17" t="n"/>
      <c r="D1785" s="17" t="n"/>
      <c r="E1785" s="17" t="n"/>
      <c r="F1785" s="28" t="n"/>
      <c r="G1785" s="29" t="n"/>
      <c r="H1785" s="29" t="n"/>
      <c r="I1785" s="29" t="n"/>
      <c r="J1785" s="29" t="n"/>
      <c r="K1785" s="30">
        <f>IF(B1785="","",SUM(G$2:I1785)-SUM(J$2:J1785))</f>
        <v/>
      </c>
      <c r="L1785" s="22">
        <f>IF(B1785="","",IF(B1785=B1784,L1784,N(L1784)+1))</f>
        <v/>
      </c>
    </row>
    <row r="1786">
      <c r="A1786" s="22" t="n"/>
      <c r="B1786" s="27" t="n"/>
      <c r="C1786" s="17" t="n"/>
      <c r="D1786" s="17" t="n"/>
      <c r="E1786" s="17" t="n"/>
      <c r="F1786" s="28" t="n"/>
      <c r="G1786" s="29" t="n"/>
      <c r="H1786" s="29" t="n"/>
      <c r="I1786" s="29" t="n"/>
      <c r="J1786" s="29" t="n"/>
      <c r="K1786" s="30">
        <f>IF(B1786="","",SUM(G$2:I1786)-SUM(J$2:J1786))</f>
        <v/>
      </c>
      <c r="L1786" s="22">
        <f>IF(B1786="","",IF(B1786=B1785,L1785,N(L1785)+1))</f>
        <v/>
      </c>
    </row>
    <row r="1787">
      <c r="A1787" s="22" t="n"/>
      <c r="B1787" s="27" t="n"/>
      <c r="C1787" s="17" t="n"/>
      <c r="D1787" s="17" t="n"/>
      <c r="E1787" s="17" t="n"/>
      <c r="F1787" s="28" t="n"/>
      <c r="G1787" s="29" t="n"/>
      <c r="H1787" s="29" t="n"/>
      <c r="I1787" s="29" t="n"/>
      <c r="J1787" s="29" t="n"/>
      <c r="K1787" s="30">
        <f>IF(B1787="","",SUM(G$2:I1787)-SUM(J$2:J1787))</f>
        <v/>
      </c>
      <c r="L1787" s="22">
        <f>IF(B1787="","",IF(B1787=B1786,L1786,N(L1786)+1))</f>
        <v/>
      </c>
    </row>
    <row r="1788">
      <c r="A1788" s="22" t="n"/>
      <c r="B1788" s="27" t="n"/>
      <c r="C1788" s="17" t="n"/>
      <c r="D1788" s="17" t="n"/>
      <c r="E1788" s="17" t="n"/>
      <c r="F1788" s="28" t="n"/>
      <c r="G1788" s="29" t="n"/>
      <c r="H1788" s="29" t="n"/>
      <c r="I1788" s="29" t="n"/>
      <c r="J1788" s="29" t="n"/>
      <c r="K1788" s="30">
        <f>IF(B1788="","",SUM(G$2:I1788)-SUM(J$2:J1788))</f>
        <v/>
      </c>
      <c r="L1788" s="22">
        <f>IF(B1788="","",IF(B1788=B1787,L1787,N(L1787)+1))</f>
        <v/>
      </c>
    </row>
    <row r="1789">
      <c r="A1789" s="22" t="n"/>
      <c r="B1789" s="27" t="n"/>
      <c r="C1789" s="17" t="n"/>
      <c r="D1789" s="17" t="n"/>
      <c r="E1789" s="17" t="n"/>
      <c r="F1789" s="28" t="n"/>
      <c r="G1789" s="29" t="n"/>
      <c r="H1789" s="29" t="n"/>
      <c r="I1789" s="29" t="n"/>
      <c r="J1789" s="29" t="n"/>
      <c r="K1789" s="30">
        <f>IF(B1789="","",SUM(G$2:I1789)-SUM(J$2:J1789))</f>
        <v/>
      </c>
      <c r="L1789" s="22">
        <f>IF(B1789="","",IF(B1789=B1788,L1788,N(L1788)+1))</f>
        <v/>
      </c>
    </row>
    <row r="1790">
      <c r="A1790" s="22" t="n"/>
      <c r="B1790" s="27" t="n"/>
      <c r="C1790" s="17" t="n"/>
      <c r="D1790" s="17" t="n"/>
      <c r="E1790" s="17" t="n"/>
      <c r="F1790" s="28" t="n"/>
      <c r="G1790" s="29" t="n"/>
      <c r="H1790" s="29" t="n"/>
      <c r="I1790" s="29" t="n"/>
      <c r="J1790" s="29" t="n"/>
      <c r="K1790" s="30">
        <f>IF(B1790="","",SUM(G$2:I1790)-SUM(J$2:J1790))</f>
        <v/>
      </c>
      <c r="L1790" s="22">
        <f>IF(B1790="","",IF(B1790=B1789,L1789,N(L1789)+1))</f>
        <v/>
      </c>
    </row>
    <row r="1791">
      <c r="A1791" s="22" t="n"/>
      <c r="B1791" s="27" t="n"/>
      <c r="C1791" s="17" t="n"/>
      <c r="D1791" s="17" t="n"/>
      <c r="E1791" s="17" t="n"/>
      <c r="F1791" s="28" t="n"/>
      <c r="G1791" s="29" t="n"/>
      <c r="H1791" s="29" t="n"/>
      <c r="I1791" s="29" t="n"/>
      <c r="J1791" s="29" t="n"/>
      <c r="K1791" s="30">
        <f>IF(B1791="","",SUM(G$2:I1791)-SUM(J$2:J1791))</f>
        <v/>
      </c>
      <c r="L1791" s="22">
        <f>IF(B1791="","",IF(B1791=B1790,L1790,N(L1790)+1))</f>
        <v/>
      </c>
    </row>
    <row r="1792">
      <c r="A1792" s="22" t="n"/>
      <c r="B1792" s="27" t="n"/>
      <c r="C1792" s="17" t="n"/>
      <c r="D1792" s="17" t="n"/>
      <c r="E1792" s="17" t="n"/>
      <c r="F1792" s="28" t="n"/>
      <c r="G1792" s="29" t="n"/>
      <c r="H1792" s="29" t="n"/>
      <c r="I1792" s="29" t="n"/>
      <c r="J1792" s="29" t="n"/>
      <c r="K1792" s="30">
        <f>IF(B1792="","",SUM(G$2:I1792)-SUM(J$2:J1792))</f>
        <v/>
      </c>
      <c r="L1792" s="22">
        <f>IF(B1792="","",IF(B1792=B1791,L1791,N(L1791)+1))</f>
        <v/>
      </c>
    </row>
    <row r="1793">
      <c r="A1793" s="22" t="n"/>
      <c r="B1793" s="27" t="n"/>
      <c r="C1793" s="17" t="n"/>
      <c r="D1793" s="17" t="n"/>
      <c r="E1793" s="17" t="n"/>
      <c r="F1793" s="28" t="n"/>
      <c r="G1793" s="29" t="n"/>
      <c r="H1793" s="29" t="n"/>
      <c r="I1793" s="29" t="n"/>
      <c r="J1793" s="29" t="n"/>
      <c r="K1793" s="30">
        <f>IF(B1793="","",SUM(G$2:I1793)-SUM(J$2:J1793))</f>
        <v/>
      </c>
      <c r="L1793" s="22">
        <f>IF(B1793="","",IF(B1793=B1792,L1792,N(L1792)+1))</f>
        <v/>
      </c>
    </row>
    <row r="1794">
      <c r="A1794" s="22" t="n"/>
      <c r="B1794" s="27" t="n"/>
      <c r="C1794" s="17" t="n"/>
      <c r="D1794" s="17" t="n"/>
      <c r="E1794" s="17" t="n"/>
      <c r="F1794" s="28" t="n"/>
      <c r="G1794" s="29" t="n"/>
      <c r="H1794" s="29" t="n"/>
      <c r="I1794" s="29" t="n"/>
      <c r="J1794" s="29" t="n"/>
      <c r="K1794" s="30">
        <f>IF(B1794="","",SUM(G$2:I1794)-SUM(J$2:J1794))</f>
        <v/>
      </c>
      <c r="L1794" s="22">
        <f>IF(B1794="","",IF(B1794=B1793,L1793,N(L1793)+1))</f>
        <v/>
      </c>
    </row>
    <row r="1795">
      <c r="A1795" s="22" t="n"/>
      <c r="B1795" s="27" t="n"/>
      <c r="C1795" s="17" t="n"/>
      <c r="D1795" s="17" t="n"/>
      <c r="E1795" s="17" t="n"/>
      <c r="F1795" s="28" t="n"/>
      <c r="G1795" s="29" t="n"/>
      <c r="H1795" s="29" t="n"/>
      <c r="I1795" s="29" t="n"/>
      <c r="J1795" s="29" t="n"/>
      <c r="K1795" s="30">
        <f>IF(B1795="","",SUM(G$2:I1795)-SUM(J$2:J1795))</f>
        <v/>
      </c>
      <c r="L1795" s="22">
        <f>IF(B1795="","",IF(B1795=B1794,L1794,N(L1794)+1))</f>
        <v/>
      </c>
    </row>
    <row r="1796">
      <c r="A1796" s="22" t="n"/>
      <c r="B1796" s="27" t="n"/>
      <c r="C1796" s="17" t="n"/>
      <c r="D1796" s="17" t="n"/>
      <c r="E1796" s="17" t="n"/>
      <c r="F1796" s="28" t="n"/>
      <c r="G1796" s="29" t="n"/>
      <c r="H1796" s="29" t="n"/>
      <c r="I1796" s="29" t="n"/>
      <c r="J1796" s="29" t="n"/>
      <c r="K1796" s="30">
        <f>IF(B1796="","",SUM(G$2:I1796)-SUM(J$2:J1796))</f>
        <v/>
      </c>
      <c r="L1796" s="22">
        <f>IF(B1796="","",IF(B1796=B1795,L1795,N(L1795)+1))</f>
        <v/>
      </c>
    </row>
    <row r="1797">
      <c r="A1797" s="22" t="n"/>
      <c r="B1797" s="27" t="n"/>
      <c r="C1797" s="17" t="n"/>
      <c r="D1797" s="17" t="n"/>
      <c r="E1797" s="17" t="n"/>
      <c r="F1797" s="28" t="n"/>
      <c r="G1797" s="29" t="n"/>
      <c r="H1797" s="29" t="n"/>
      <c r="I1797" s="29" t="n"/>
      <c r="J1797" s="29" t="n"/>
      <c r="K1797" s="30">
        <f>IF(B1797="","",SUM(G$2:I1797)-SUM(J$2:J1797))</f>
        <v/>
      </c>
      <c r="L1797" s="22">
        <f>IF(B1797="","",IF(B1797=B1796,L1796,N(L1796)+1))</f>
        <v/>
      </c>
    </row>
    <row r="1798">
      <c r="A1798" s="22" t="n"/>
      <c r="B1798" s="27" t="n"/>
      <c r="C1798" s="17" t="n"/>
      <c r="D1798" s="17" t="n"/>
      <c r="E1798" s="17" t="n"/>
      <c r="F1798" s="28" t="n"/>
      <c r="G1798" s="29" t="n"/>
      <c r="H1798" s="29" t="n"/>
      <c r="I1798" s="29" t="n"/>
      <c r="J1798" s="29" t="n"/>
      <c r="K1798" s="30">
        <f>IF(B1798="","",SUM(G$2:I1798)-SUM(J$2:J1798))</f>
        <v/>
      </c>
      <c r="L1798" s="22">
        <f>IF(B1798="","",IF(B1798=B1797,L1797,N(L1797)+1))</f>
        <v/>
      </c>
    </row>
    <row r="1799">
      <c r="A1799" s="22" t="n"/>
      <c r="B1799" s="27" t="n"/>
      <c r="C1799" s="17" t="n"/>
      <c r="D1799" s="17" t="n"/>
      <c r="E1799" s="17" t="n"/>
      <c r="F1799" s="28" t="n"/>
      <c r="G1799" s="29" t="n"/>
      <c r="H1799" s="29" t="n"/>
      <c r="I1799" s="29" t="n"/>
      <c r="J1799" s="29" t="n"/>
      <c r="K1799" s="30">
        <f>IF(B1799="","",SUM(G$2:I1799)-SUM(J$2:J1799))</f>
        <v/>
      </c>
      <c r="L1799" s="22">
        <f>IF(B1799="","",IF(B1799=B1798,L1798,N(L1798)+1))</f>
        <v/>
      </c>
    </row>
    <row r="1800">
      <c r="A1800" s="22" t="n"/>
      <c r="B1800" s="27" t="n"/>
      <c r="C1800" s="17" t="n"/>
      <c r="D1800" s="17" t="n"/>
      <c r="E1800" s="17" t="n"/>
      <c r="F1800" s="28" t="n"/>
      <c r="G1800" s="29" t="n"/>
      <c r="H1800" s="29" t="n"/>
      <c r="I1800" s="29" t="n"/>
      <c r="J1800" s="29" t="n"/>
      <c r="K1800" s="30">
        <f>IF(B1800="","",SUM(G$2:I1800)-SUM(J$2:J1800))</f>
        <v/>
      </c>
      <c r="L1800" s="22">
        <f>IF(B1800="","",IF(B1800=B1799,L1799,N(L1799)+1))</f>
        <v/>
      </c>
    </row>
    <row r="1801">
      <c r="A1801" s="22" t="n"/>
      <c r="B1801" s="27" t="n"/>
      <c r="C1801" s="17" t="n"/>
      <c r="D1801" s="17" t="n"/>
      <c r="E1801" s="17" t="n"/>
      <c r="F1801" s="28" t="n"/>
      <c r="G1801" s="29" t="n"/>
      <c r="H1801" s="29" t="n"/>
      <c r="I1801" s="29" t="n"/>
      <c r="J1801" s="29" t="n"/>
      <c r="K1801" s="30">
        <f>IF(B1801="","",SUM(G$2:I1801)-SUM(J$2:J1801))</f>
        <v/>
      </c>
      <c r="L1801" s="22">
        <f>IF(B1801="","",IF(B1801=B1800,L1800,N(L1800)+1))</f>
        <v/>
      </c>
    </row>
    <row r="1802">
      <c r="A1802" s="22" t="n"/>
      <c r="B1802" s="27" t="n"/>
      <c r="C1802" s="17" t="n"/>
      <c r="D1802" s="17" t="n"/>
      <c r="E1802" s="17" t="n"/>
      <c r="F1802" s="28" t="n"/>
      <c r="G1802" s="29" t="n"/>
      <c r="H1802" s="29" t="n"/>
      <c r="I1802" s="29" t="n"/>
      <c r="J1802" s="29" t="n"/>
      <c r="K1802" s="30">
        <f>IF(B1802="","",SUM(G$2:I1802)-SUM(J$2:J1802))</f>
        <v/>
      </c>
      <c r="L1802" s="22">
        <f>IF(B1802="","",IF(B1802=B1801,L1801,N(L1801)+1))</f>
        <v/>
      </c>
    </row>
    <row r="1803">
      <c r="A1803" s="22" t="n"/>
      <c r="B1803" s="27" t="n"/>
      <c r="C1803" s="17" t="n"/>
      <c r="D1803" s="17" t="n"/>
      <c r="E1803" s="17" t="n"/>
      <c r="F1803" s="28" t="n"/>
      <c r="G1803" s="29" t="n"/>
      <c r="H1803" s="29" t="n"/>
      <c r="I1803" s="29" t="n"/>
      <c r="J1803" s="29" t="n"/>
      <c r="K1803" s="30">
        <f>IF(B1803="","",SUM(G$2:I1803)-SUM(J$2:J1803))</f>
        <v/>
      </c>
      <c r="L1803" s="22">
        <f>IF(B1803="","",IF(B1803=B1802,L1802,N(L1802)+1))</f>
        <v/>
      </c>
    </row>
    <row r="1804">
      <c r="A1804" s="22" t="n"/>
      <c r="B1804" s="27" t="n"/>
      <c r="C1804" s="17" t="n"/>
      <c r="D1804" s="17" t="n"/>
      <c r="E1804" s="17" t="n"/>
      <c r="F1804" s="28" t="n"/>
      <c r="G1804" s="29" t="n"/>
      <c r="H1804" s="29" t="n"/>
      <c r="I1804" s="29" t="n"/>
      <c r="J1804" s="29" t="n"/>
      <c r="K1804" s="30">
        <f>IF(B1804="","",SUM(G$2:I1804)-SUM(J$2:J1804))</f>
        <v/>
      </c>
      <c r="L1804" s="22">
        <f>IF(B1804="","",IF(B1804=B1803,L1803,N(L1803)+1))</f>
        <v/>
      </c>
    </row>
    <row r="1805">
      <c r="A1805" s="22" t="n"/>
      <c r="B1805" s="27" t="n"/>
      <c r="C1805" s="17" t="n"/>
      <c r="D1805" s="17" t="n"/>
      <c r="E1805" s="17" t="n"/>
      <c r="F1805" s="28" t="n"/>
      <c r="G1805" s="29" t="n"/>
      <c r="H1805" s="29" t="n"/>
      <c r="I1805" s="29" t="n"/>
      <c r="J1805" s="29" t="n"/>
      <c r="K1805" s="30">
        <f>IF(B1805="","",SUM(G$2:I1805)-SUM(J$2:J1805))</f>
        <v/>
      </c>
      <c r="L1805" s="22">
        <f>IF(B1805="","",IF(B1805=B1804,L1804,N(L1804)+1))</f>
        <v/>
      </c>
    </row>
    <row r="1806">
      <c r="A1806" s="22" t="n"/>
      <c r="B1806" s="27" t="n"/>
      <c r="C1806" s="17" t="n"/>
      <c r="D1806" s="17" t="n"/>
      <c r="E1806" s="17" t="n"/>
      <c r="F1806" s="28" t="n"/>
      <c r="G1806" s="29" t="n"/>
      <c r="H1806" s="29" t="n"/>
      <c r="I1806" s="29" t="n"/>
      <c r="J1806" s="29" t="n"/>
      <c r="K1806" s="30">
        <f>IF(B1806="","",SUM(G$2:I1806)-SUM(J$2:J1806))</f>
        <v/>
      </c>
      <c r="L1806" s="22">
        <f>IF(B1806="","",IF(B1806=B1805,L1805,N(L1805)+1))</f>
        <v/>
      </c>
    </row>
    <row r="1807">
      <c r="A1807" s="22" t="n"/>
      <c r="B1807" s="27" t="n"/>
      <c r="C1807" s="17" t="n"/>
      <c r="D1807" s="17" t="n"/>
      <c r="E1807" s="17" t="n"/>
      <c r="F1807" s="28" t="n"/>
      <c r="G1807" s="29" t="n"/>
      <c r="H1807" s="29" t="n"/>
      <c r="I1807" s="29" t="n"/>
      <c r="J1807" s="29" t="n"/>
      <c r="K1807" s="30">
        <f>IF(B1807="","",SUM(G$2:I1807)-SUM(J$2:J1807))</f>
        <v/>
      </c>
      <c r="L1807" s="22">
        <f>IF(B1807="","",IF(B1807=B1806,L1806,N(L1806)+1))</f>
        <v/>
      </c>
    </row>
    <row r="1808">
      <c r="A1808" s="22" t="n"/>
      <c r="B1808" s="27" t="n"/>
      <c r="C1808" s="17" t="n"/>
      <c r="D1808" s="17" t="n"/>
      <c r="E1808" s="17" t="n"/>
      <c r="F1808" s="28" t="n"/>
      <c r="G1808" s="29" t="n"/>
      <c r="H1808" s="29" t="n"/>
      <c r="I1808" s="29" t="n"/>
      <c r="J1808" s="29" t="n"/>
      <c r="K1808" s="30">
        <f>IF(B1808="","",SUM(G$2:I1808)-SUM(J$2:J1808))</f>
        <v/>
      </c>
      <c r="L1808" s="22">
        <f>IF(B1808="","",IF(B1808=B1807,L1807,N(L1807)+1))</f>
        <v/>
      </c>
    </row>
    <row r="1809">
      <c r="A1809" s="22" t="n"/>
      <c r="B1809" s="27" t="n"/>
      <c r="C1809" s="17" t="n"/>
      <c r="D1809" s="17" t="n"/>
      <c r="E1809" s="17" t="n"/>
      <c r="F1809" s="28" t="n"/>
      <c r="G1809" s="29" t="n"/>
      <c r="H1809" s="29" t="n"/>
      <c r="I1809" s="29" t="n"/>
      <c r="J1809" s="29" t="n"/>
      <c r="K1809" s="30">
        <f>IF(B1809="","",SUM(G$2:I1809)-SUM(J$2:J1809))</f>
        <v/>
      </c>
      <c r="L1809" s="22">
        <f>IF(B1809="","",IF(B1809=B1808,L1808,N(L1808)+1))</f>
        <v/>
      </c>
    </row>
    <row r="1810">
      <c r="A1810" s="22" t="n"/>
      <c r="B1810" s="27" t="n"/>
      <c r="C1810" s="17" t="n"/>
      <c r="D1810" s="17" t="n"/>
      <c r="E1810" s="17" t="n"/>
      <c r="F1810" s="28" t="n"/>
      <c r="G1810" s="29" t="n"/>
      <c r="H1810" s="29" t="n"/>
      <c r="I1810" s="29" t="n"/>
      <c r="J1810" s="29" t="n"/>
      <c r="K1810" s="30">
        <f>IF(B1810="","",SUM(G$2:I1810)-SUM(J$2:J1810))</f>
        <v/>
      </c>
      <c r="L1810" s="22">
        <f>IF(B1810="","",IF(B1810=B1809,L1809,N(L1809)+1))</f>
        <v/>
      </c>
    </row>
    <row r="1811">
      <c r="A1811" s="22" t="n"/>
      <c r="B1811" s="27" t="n"/>
      <c r="C1811" s="17" t="n"/>
      <c r="D1811" s="17" t="n"/>
      <c r="E1811" s="17" t="n"/>
      <c r="F1811" s="28" t="n"/>
      <c r="G1811" s="29" t="n"/>
      <c r="H1811" s="29" t="n"/>
      <c r="I1811" s="29" t="n"/>
      <c r="J1811" s="29" t="n"/>
      <c r="K1811" s="30">
        <f>IF(B1811="","",SUM(G$2:I1811)-SUM(J$2:J1811))</f>
        <v/>
      </c>
      <c r="L1811" s="22">
        <f>IF(B1811="","",IF(B1811=B1810,L1810,N(L1810)+1))</f>
        <v/>
      </c>
    </row>
    <row r="1812">
      <c r="A1812" s="22" t="n"/>
      <c r="B1812" s="27" t="n"/>
      <c r="C1812" s="17" t="n"/>
      <c r="D1812" s="17" t="n"/>
      <c r="E1812" s="17" t="n"/>
      <c r="F1812" s="28" t="n"/>
      <c r="G1812" s="29" t="n"/>
      <c r="H1812" s="29" t="n"/>
      <c r="I1812" s="29" t="n"/>
      <c r="J1812" s="29" t="n"/>
      <c r="K1812" s="30">
        <f>IF(B1812="","",SUM(G$2:I1812)-SUM(J$2:J1812))</f>
        <v/>
      </c>
      <c r="L1812" s="22">
        <f>IF(B1812="","",IF(B1812=B1811,L1811,N(L1811)+1))</f>
        <v/>
      </c>
    </row>
    <row r="1813">
      <c r="A1813" s="22" t="n"/>
      <c r="B1813" s="27" t="n"/>
      <c r="C1813" s="17" t="n"/>
      <c r="D1813" s="17" t="n"/>
      <c r="E1813" s="17" t="n"/>
      <c r="F1813" s="28" t="n"/>
      <c r="G1813" s="29" t="n"/>
      <c r="H1813" s="29" t="n"/>
      <c r="I1813" s="29" t="n"/>
      <c r="J1813" s="29" t="n"/>
      <c r="K1813" s="30">
        <f>IF(B1813="","",SUM(G$2:I1813)-SUM(J$2:J1813))</f>
        <v/>
      </c>
      <c r="L1813" s="22">
        <f>IF(B1813="","",IF(B1813=B1812,L1812,N(L1812)+1))</f>
        <v/>
      </c>
    </row>
    <row r="1814">
      <c r="A1814" s="22" t="n"/>
      <c r="B1814" s="27" t="n"/>
      <c r="C1814" s="17" t="n"/>
      <c r="D1814" s="17" t="n"/>
      <c r="E1814" s="17" t="n"/>
      <c r="F1814" s="28" t="n"/>
      <c r="G1814" s="29" t="n"/>
      <c r="H1814" s="29" t="n"/>
      <c r="I1814" s="29" t="n"/>
      <c r="J1814" s="29" t="n"/>
      <c r="K1814" s="30">
        <f>IF(B1814="","",SUM(G$2:I1814)-SUM(J$2:J1814))</f>
        <v/>
      </c>
      <c r="L1814" s="22">
        <f>IF(B1814="","",IF(B1814=B1813,L1813,N(L1813)+1))</f>
        <v/>
      </c>
    </row>
    <row r="1815">
      <c r="A1815" s="22" t="n"/>
      <c r="B1815" s="27" t="n"/>
      <c r="C1815" s="17" t="n"/>
      <c r="D1815" s="17" t="n"/>
      <c r="E1815" s="17" t="n"/>
      <c r="F1815" s="28" t="n"/>
      <c r="G1815" s="29" t="n"/>
      <c r="H1815" s="29" t="n"/>
      <c r="I1815" s="29" t="n"/>
      <c r="J1815" s="29" t="n"/>
      <c r="K1815" s="30">
        <f>IF(B1815="","",SUM(G$2:I1815)-SUM(J$2:J1815))</f>
        <v/>
      </c>
      <c r="L1815" s="22">
        <f>IF(B1815="","",IF(B1815=B1814,L1814,N(L1814)+1))</f>
        <v/>
      </c>
    </row>
    <row r="1816">
      <c r="A1816" s="22" t="n"/>
      <c r="B1816" s="27" t="n"/>
      <c r="C1816" s="17" t="n"/>
      <c r="D1816" s="17" t="n"/>
      <c r="E1816" s="17" t="n"/>
      <c r="F1816" s="28" t="n"/>
      <c r="G1816" s="29" t="n"/>
      <c r="H1816" s="29" t="n"/>
      <c r="I1816" s="29" t="n"/>
      <c r="J1816" s="29" t="n"/>
      <c r="K1816" s="30">
        <f>IF(B1816="","",SUM(G$2:I1816)-SUM(J$2:J1816))</f>
        <v/>
      </c>
      <c r="L1816" s="22">
        <f>IF(B1816="","",IF(B1816=B1815,L1815,N(L1815)+1))</f>
        <v/>
      </c>
    </row>
    <row r="1817">
      <c r="A1817" s="22" t="n"/>
      <c r="B1817" s="27" t="n"/>
      <c r="C1817" s="17" t="n"/>
      <c r="D1817" s="17" t="n"/>
      <c r="E1817" s="17" t="n"/>
      <c r="F1817" s="28" t="n"/>
      <c r="G1817" s="29" t="n"/>
      <c r="H1817" s="29" t="n"/>
      <c r="I1817" s="29" t="n"/>
      <c r="J1817" s="29" t="n"/>
      <c r="K1817" s="30">
        <f>IF(B1817="","",SUM(G$2:I1817)-SUM(J$2:J1817))</f>
        <v/>
      </c>
      <c r="L1817" s="22">
        <f>IF(B1817="","",IF(B1817=B1816,L1816,N(L1816)+1))</f>
        <v/>
      </c>
    </row>
    <row r="1818">
      <c r="A1818" s="22" t="n"/>
      <c r="B1818" s="27" t="n"/>
      <c r="C1818" s="17" t="n"/>
      <c r="D1818" s="17" t="n"/>
      <c r="E1818" s="17" t="n"/>
      <c r="F1818" s="28" t="n"/>
      <c r="G1818" s="29" t="n"/>
      <c r="H1818" s="29" t="n"/>
      <c r="I1818" s="29" t="n"/>
      <c r="J1818" s="29" t="n"/>
      <c r="K1818" s="30">
        <f>IF(B1818="","",SUM(G$2:I1818)-SUM(J$2:J1818))</f>
        <v/>
      </c>
      <c r="L1818" s="22">
        <f>IF(B1818="","",IF(B1818=B1817,L1817,N(L1817)+1))</f>
        <v/>
      </c>
    </row>
    <row r="1819">
      <c r="A1819" s="22" t="n"/>
      <c r="B1819" s="27" t="n"/>
      <c r="C1819" s="17" t="n"/>
      <c r="D1819" s="17" t="n"/>
      <c r="E1819" s="17" t="n"/>
      <c r="F1819" s="28" t="n"/>
      <c r="G1819" s="29" t="n"/>
      <c r="H1819" s="29" t="n"/>
      <c r="I1819" s="29" t="n"/>
      <c r="J1819" s="29" t="n"/>
      <c r="K1819" s="30">
        <f>IF(B1819="","",SUM(G$2:I1819)-SUM(J$2:J1819))</f>
        <v/>
      </c>
      <c r="L1819" s="22">
        <f>IF(B1819="","",IF(B1819=B1818,L1818,N(L1818)+1))</f>
        <v/>
      </c>
    </row>
    <row r="1820">
      <c r="A1820" s="22" t="n"/>
      <c r="B1820" s="27" t="n"/>
      <c r="C1820" s="17" t="n"/>
      <c r="D1820" s="17" t="n"/>
      <c r="E1820" s="17" t="n"/>
      <c r="F1820" s="28" t="n"/>
      <c r="G1820" s="29" t="n"/>
      <c r="H1820" s="29" t="n"/>
      <c r="I1820" s="29" t="n"/>
      <c r="J1820" s="29" t="n"/>
      <c r="K1820" s="30">
        <f>IF(B1820="","",SUM(G$2:I1820)-SUM(J$2:J1820))</f>
        <v/>
      </c>
      <c r="L1820" s="22">
        <f>IF(B1820="","",IF(B1820=B1819,L1819,N(L1819)+1))</f>
        <v/>
      </c>
    </row>
    <row r="1821">
      <c r="A1821" s="22" t="n"/>
      <c r="B1821" s="27" t="n"/>
      <c r="C1821" s="17" t="n"/>
      <c r="D1821" s="17" t="n"/>
      <c r="E1821" s="17" t="n"/>
      <c r="F1821" s="28" t="n"/>
      <c r="G1821" s="29" t="n"/>
      <c r="H1821" s="29" t="n"/>
      <c r="I1821" s="29" t="n"/>
      <c r="J1821" s="29" t="n"/>
      <c r="K1821" s="30">
        <f>IF(B1821="","",SUM(G$2:I1821)-SUM(J$2:J1821))</f>
        <v/>
      </c>
      <c r="L1821" s="22">
        <f>IF(B1821="","",IF(B1821=B1820,L1820,N(L1820)+1))</f>
        <v/>
      </c>
    </row>
    <row r="1822">
      <c r="A1822" s="22" t="n"/>
      <c r="B1822" s="27" t="n"/>
      <c r="C1822" s="17" t="n"/>
      <c r="D1822" s="17" t="n"/>
      <c r="E1822" s="17" t="n"/>
      <c r="F1822" s="28" t="n"/>
      <c r="G1822" s="29" t="n"/>
      <c r="H1822" s="29" t="n"/>
      <c r="I1822" s="29" t="n"/>
      <c r="J1822" s="29" t="n"/>
      <c r="K1822" s="30">
        <f>IF(B1822="","",SUM(G$2:I1822)-SUM(J$2:J1822))</f>
        <v/>
      </c>
      <c r="L1822" s="22">
        <f>IF(B1822="","",IF(B1822=B1821,L1821,N(L1821)+1))</f>
        <v/>
      </c>
    </row>
    <row r="1823">
      <c r="A1823" s="22" t="n"/>
      <c r="B1823" s="27" t="n"/>
      <c r="C1823" s="17" t="n"/>
      <c r="D1823" s="17" t="n"/>
      <c r="E1823" s="17" t="n"/>
      <c r="F1823" s="28" t="n"/>
      <c r="G1823" s="29" t="n"/>
      <c r="H1823" s="29" t="n"/>
      <c r="I1823" s="29" t="n"/>
      <c r="J1823" s="29" t="n"/>
      <c r="K1823" s="30">
        <f>IF(B1823="","",SUM(G$2:I1823)-SUM(J$2:J1823))</f>
        <v/>
      </c>
      <c r="L1823" s="22">
        <f>IF(B1823="","",IF(B1823=B1822,L1822,N(L1822)+1))</f>
        <v/>
      </c>
    </row>
    <row r="1824">
      <c r="A1824" s="22" t="n"/>
      <c r="B1824" s="27" t="n"/>
      <c r="C1824" s="17" t="n"/>
      <c r="D1824" s="17" t="n"/>
      <c r="E1824" s="17" t="n"/>
      <c r="F1824" s="28" t="n"/>
      <c r="G1824" s="29" t="n"/>
      <c r="H1824" s="29" t="n"/>
      <c r="I1824" s="29" t="n"/>
      <c r="J1824" s="29" t="n"/>
      <c r="K1824" s="30">
        <f>IF(B1824="","",SUM(G$2:I1824)-SUM(J$2:J1824))</f>
        <v/>
      </c>
      <c r="L1824" s="22">
        <f>IF(B1824="","",IF(B1824=B1823,L1823,N(L1823)+1))</f>
        <v/>
      </c>
    </row>
    <row r="1825">
      <c r="A1825" s="22" t="n"/>
      <c r="B1825" s="27" t="n"/>
      <c r="C1825" s="17" t="n"/>
      <c r="D1825" s="17" t="n"/>
      <c r="E1825" s="17" t="n"/>
      <c r="F1825" s="28" t="n"/>
      <c r="G1825" s="29" t="n"/>
      <c r="H1825" s="29" t="n"/>
      <c r="I1825" s="29" t="n"/>
      <c r="J1825" s="29" t="n"/>
      <c r="K1825" s="30">
        <f>IF(B1825="","",SUM(G$2:I1825)-SUM(J$2:J1825))</f>
        <v/>
      </c>
      <c r="L1825" s="22">
        <f>IF(B1825="","",IF(B1825=B1824,L1824,N(L1824)+1))</f>
        <v/>
      </c>
    </row>
    <row r="1826">
      <c r="A1826" s="22" t="n"/>
      <c r="B1826" s="27" t="n"/>
      <c r="C1826" s="17" t="n"/>
      <c r="D1826" s="17" t="n"/>
      <c r="E1826" s="17" t="n"/>
      <c r="F1826" s="28" t="n"/>
      <c r="G1826" s="29" t="n"/>
      <c r="H1826" s="29" t="n"/>
      <c r="I1826" s="29" t="n"/>
      <c r="J1826" s="29" t="n"/>
      <c r="K1826" s="30">
        <f>IF(B1826="","",SUM(G$2:I1826)-SUM(J$2:J1826))</f>
        <v/>
      </c>
      <c r="L1826" s="22">
        <f>IF(B1826="","",IF(B1826=B1825,L1825,N(L1825)+1))</f>
        <v/>
      </c>
    </row>
    <row r="1827">
      <c r="A1827" s="22" t="n"/>
      <c r="B1827" s="27" t="n"/>
      <c r="C1827" s="17" t="n"/>
      <c r="D1827" s="17" t="n"/>
      <c r="E1827" s="17" t="n"/>
      <c r="F1827" s="28" t="n"/>
      <c r="G1827" s="29" t="n"/>
      <c r="H1827" s="29" t="n"/>
      <c r="I1827" s="29" t="n"/>
      <c r="J1827" s="29" t="n"/>
      <c r="K1827" s="30">
        <f>IF(B1827="","",SUM(G$2:I1827)-SUM(J$2:J1827))</f>
        <v/>
      </c>
      <c r="L1827" s="22">
        <f>IF(B1827="","",IF(B1827=B1826,L1826,N(L1826)+1))</f>
        <v/>
      </c>
    </row>
    <row r="1828">
      <c r="A1828" s="22" t="n"/>
      <c r="B1828" s="27" t="n"/>
      <c r="C1828" s="17" t="n"/>
      <c r="D1828" s="17" t="n"/>
      <c r="E1828" s="17" t="n"/>
      <c r="F1828" s="28" t="n"/>
      <c r="G1828" s="29" t="n"/>
      <c r="H1828" s="29" t="n"/>
      <c r="I1828" s="29" t="n"/>
      <c r="J1828" s="29" t="n"/>
      <c r="K1828" s="30">
        <f>IF(B1828="","",SUM(G$2:I1828)-SUM(J$2:J1828))</f>
        <v/>
      </c>
      <c r="L1828" s="22">
        <f>IF(B1828="","",IF(B1828=B1827,L1827,N(L1827)+1))</f>
        <v/>
      </c>
    </row>
    <row r="1829">
      <c r="A1829" s="22" t="n"/>
      <c r="B1829" s="27" t="n"/>
      <c r="C1829" s="17" t="n"/>
      <c r="D1829" s="17" t="n"/>
      <c r="E1829" s="17" t="n"/>
      <c r="F1829" s="28" t="n"/>
      <c r="G1829" s="29" t="n"/>
      <c r="H1829" s="29" t="n"/>
      <c r="I1829" s="29" t="n"/>
      <c r="J1829" s="29" t="n"/>
      <c r="K1829" s="30">
        <f>IF(B1829="","",SUM(G$2:I1829)-SUM(J$2:J1829))</f>
        <v/>
      </c>
      <c r="L1829" s="22">
        <f>IF(B1829="","",IF(B1829=B1828,L1828,N(L1828)+1))</f>
        <v/>
      </c>
    </row>
    <row r="1830">
      <c r="A1830" s="22" t="n"/>
      <c r="B1830" s="27" t="n"/>
      <c r="C1830" s="17" t="n"/>
      <c r="D1830" s="17" t="n"/>
      <c r="E1830" s="17" t="n"/>
      <c r="F1830" s="28" t="n"/>
      <c r="G1830" s="29" t="n"/>
      <c r="H1830" s="29" t="n"/>
      <c r="I1830" s="29" t="n"/>
      <c r="J1830" s="29" t="n"/>
      <c r="K1830" s="30">
        <f>IF(B1830="","",SUM(G$2:I1830)-SUM(J$2:J1830))</f>
        <v/>
      </c>
      <c r="L1830" s="22">
        <f>IF(B1830="","",IF(B1830=B1829,L1829,N(L1829)+1))</f>
        <v/>
      </c>
    </row>
    <row r="1831">
      <c r="A1831" s="22" t="n"/>
      <c r="B1831" s="27" t="n"/>
      <c r="C1831" s="17" t="n"/>
      <c r="D1831" s="17" t="n"/>
      <c r="E1831" s="17" t="n"/>
      <c r="F1831" s="28" t="n"/>
      <c r="G1831" s="29" t="n"/>
      <c r="H1831" s="29" t="n"/>
      <c r="I1831" s="29" t="n"/>
      <c r="J1831" s="29" t="n"/>
      <c r="K1831" s="30">
        <f>IF(B1831="","",SUM(G$2:I1831)-SUM(J$2:J1831))</f>
        <v/>
      </c>
      <c r="L1831" s="22">
        <f>IF(B1831="","",IF(B1831=B1830,L1830,N(L1830)+1))</f>
        <v/>
      </c>
    </row>
    <row r="1832">
      <c r="A1832" s="22" t="n"/>
      <c r="B1832" s="27" t="n"/>
      <c r="C1832" s="17" t="n"/>
      <c r="D1832" s="17" t="n"/>
      <c r="E1832" s="17" t="n"/>
      <c r="F1832" s="28" t="n"/>
      <c r="G1832" s="29" t="n"/>
      <c r="H1832" s="29" t="n"/>
      <c r="I1832" s="29" t="n"/>
      <c r="J1832" s="29" t="n"/>
      <c r="K1832" s="30">
        <f>IF(B1832="","",SUM(G$2:I1832)-SUM(J$2:J1832))</f>
        <v/>
      </c>
      <c r="L1832" s="22">
        <f>IF(B1832="","",IF(B1832=B1831,L1831,N(L1831)+1))</f>
        <v/>
      </c>
    </row>
    <row r="1833">
      <c r="A1833" s="22" t="n"/>
      <c r="B1833" s="27" t="n"/>
      <c r="C1833" s="17" t="n"/>
      <c r="D1833" s="17" t="n"/>
      <c r="E1833" s="17" t="n"/>
      <c r="F1833" s="28" t="n"/>
      <c r="G1833" s="29" t="n"/>
      <c r="H1833" s="29" t="n"/>
      <c r="I1833" s="29" t="n"/>
      <c r="J1833" s="29" t="n"/>
      <c r="K1833" s="30">
        <f>IF(B1833="","",SUM(G$2:I1833)-SUM(J$2:J1833))</f>
        <v/>
      </c>
      <c r="L1833" s="22">
        <f>IF(B1833="","",IF(B1833=B1832,L1832,N(L1832)+1))</f>
        <v/>
      </c>
    </row>
    <row r="1834">
      <c r="A1834" s="22" t="n"/>
      <c r="B1834" s="27" t="n"/>
      <c r="C1834" s="17" t="n"/>
      <c r="D1834" s="17" t="n"/>
      <c r="E1834" s="17" t="n"/>
      <c r="F1834" s="28" t="n"/>
      <c r="G1834" s="29" t="n"/>
      <c r="H1834" s="29" t="n"/>
      <c r="I1834" s="29" t="n"/>
      <c r="J1834" s="29" t="n"/>
      <c r="K1834" s="30">
        <f>IF(B1834="","",SUM(G$2:I1834)-SUM(J$2:J1834))</f>
        <v/>
      </c>
      <c r="L1834" s="22">
        <f>IF(B1834="","",IF(B1834=B1833,L1833,N(L1833)+1))</f>
        <v/>
      </c>
    </row>
    <row r="1835">
      <c r="A1835" s="22" t="n"/>
      <c r="B1835" s="27" t="n"/>
      <c r="C1835" s="17" t="n"/>
      <c r="D1835" s="17" t="n"/>
      <c r="E1835" s="17" t="n"/>
      <c r="F1835" s="28" t="n"/>
      <c r="G1835" s="29" t="n"/>
      <c r="H1835" s="29" t="n"/>
      <c r="I1835" s="29" t="n"/>
      <c r="J1835" s="29" t="n"/>
      <c r="K1835" s="30">
        <f>IF(B1835="","",SUM(G$2:I1835)-SUM(J$2:J1835))</f>
        <v/>
      </c>
      <c r="L1835" s="22">
        <f>IF(B1835="","",IF(B1835=B1834,L1834,N(L1834)+1))</f>
        <v/>
      </c>
    </row>
    <row r="1836">
      <c r="A1836" s="22" t="n"/>
      <c r="B1836" s="27" t="n"/>
      <c r="C1836" s="17" t="n"/>
      <c r="D1836" s="17" t="n"/>
      <c r="E1836" s="17" t="n"/>
      <c r="F1836" s="28" t="n"/>
      <c r="G1836" s="29" t="n"/>
      <c r="H1836" s="29" t="n"/>
      <c r="I1836" s="29" t="n"/>
      <c r="J1836" s="29" t="n"/>
      <c r="K1836" s="30">
        <f>IF(B1836="","",SUM(G$2:I1836)-SUM(J$2:J1836))</f>
        <v/>
      </c>
      <c r="L1836" s="22">
        <f>IF(B1836="","",IF(B1836=B1835,L1835,N(L1835)+1))</f>
        <v/>
      </c>
    </row>
    <row r="1837">
      <c r="A1837" s="22" t="n"/>
      <c r="B1837" s="27" t="n"/>
      <c r="C1837" s="17" t="n"/>
      <c r="D1837" s="17" t="n"/>
      <c r="E1837" s="17" t="n"/>
      <c r="F1837" s="28" t="n"/>
      <c r="G1837" s="29" t="n"/>
      <c r="H1837" s="29" t="n"/>
      <c r="I1837" s="29" t="n"/>
      <c r="J1837" s="29" t="n"/>
      <c r="K1837" s="30">
        <f>IF(B1837="","",SUM(G$2:I1837)-SUM(J$2:J1837))</f>
        <v/>
      </c>
      <c r="L1837" s="22">
        <f>IF(B1837="","",IF(B1837=B1836,L1836,N(L1836)+1))</f>
        <v/>
      </c>
    </row>
    <row r="1838">
      <c r="A1838" s="22" t="n"/>
      <c r="B1838" s="27" t="n"/>
      <c r="C1838" s="17" t="n"/>
      <c r="D1838" s="17" t="n"/>
      <c r="E1838" s="17" t="n"/>
      <c r="F1838" s="28" t="n"/>
      <c r="G1838" s="29" t="n"/>
      <c r="H1838" s="29" t="n"/>
      <c r="I1838" s="29" t="n"/>
      <c r="J1838" s="29" t="n"/>
      <c r="K1838" s="30">
        <f>IF(B1838="","",SUM(G$2:I1838)-SUM(J$2:J1838))</f>
        <v/>
      </c>
      <c r="L1838" s="22">
        <f>IF(B1838="","",IF(B1838=B1837,L1837,N(L1837)+1))</f>
        <v/>
      </c>
    </row>
    <row r="1839">
      <c r="A1839" s="22" t="n"/>
      <c r="B1839" s="27" t="n"/>
      <c r="C1839" s="17" t="n"/>
      <c r="D1839" s="17" t="n"/>
      <c r="E1839" s="17" t="n"/>
      <c r="F1839" s="28" t="n"/>
      <c r="G1839" s="29" t="n"/>
      <c r="H1839" s="29" t="n"/>
      <c r="I1839" s="29" t="n"/>
      <c r="J1839" s="29" t="n"/>
      <c r="K1839" s="30">
        <f>IF(B1839="","",SUM(G$2:I1839)-SUM(J$2:J1839))</f>
        <v/>
      </c>
      <c r="L1839" s="22">
        <f>IF(B1839="","",IF(B1839=B1838,L1838,N(L1838)+1))</f>
        <v/>
      </c>
    </row>
    <row r="1840">
      <c r="A1840" s="22" t="n"/>
      <c r="B1840" s="27" t="n"/>
      <c r="C1840" s="17" t="n"/>
      <c r="D1840" s="17" t="n"/>
      <c r="E1840" s="17" t="n"/>
      <c r="F1840" s="28" t="n"/>
      <c r="G1840" s="29" t="n"/>
      <c r="H1840" s="29" t="n"/>
      <c r="I1840" s="29" t="n"/>
      <c r="J1840" s="29" t="n"/>
      <c r="K1840" s="30">
        <f>IF(B1840="","",SUM(G$2:I1840)-SUM(J$2:J1840))</f>
        <v/>
      </c>
      <c r="L1840" s="22">
        <f>IF(B1840="","",IF(B1840=B1839,L1839,N(L1839)+1))</f>
        <v/>
      </c>
    </row>
    <row r="1841">
      <c r="A1841" s="22" t="n"/>
      <c r="B1841" s="27" t="n"/>
      <c r="C1841" s="17" t="n"/>
      <c r="D1841" s="17" t="n"/>
      <c r="E1841" s="17" t="n"/>
      <c r="F1841" s="28" t="n"/>
      <c r="G1841" s="29" t="n"/>
      <c r="H1841" s="29" t="n"/>
      <c r="I1841" s="29" t="n"/>
      <c r="J1841" s="29" t="n"/>
      <c r="K1841" s="30">
        <f>IF(B1841="","",SUM(G$2:I1841)-SUM(J$2:J1841))</f>
        <v/>
      </c>
      <c r="L1841" s="22">
        <f>IF(B1841="","",IF(B1841=B1840,L1840,N(L1840)+1))</f>
        <v/>
      </c>
    </row>
    <row r="1842">
      <c r="A1842" s="22" t="n"/>
      <c r="B1842" s="27" t="n"/>
      <c r="C1842" s="17" t="n"/>
      <c r="D1842" s="17" t="n"/>
      <c r="E1842" s="17" t="n"/>
      <c r="F1842" s="28" t="n"/>
      <c r="G1842" s="29" t="n"/>
      <c r="H1842" s="29" t="n"/>
      <c r="I1842" s="29" t="n"/>
      <c r="J1842" s="29" t="n"/>
      <c r="K1842" s="30">
        <f>IF(B1842="","",SUM(G$2:I1842)-SUM(J$2:J1842))</f>
        <v/>
      </c>
      <c r="L1842" s="22">
        <f>IF(B1842="","",IF(B1842=B1841,L1841,N(L1841)+1))</f>
        <v/>
      </c>
    </row>
    <row r="1843">
      <c r="A1843" s="22" t="n"/>
      <c r="B1843" s="27" t="n"/>
      <c r="C1843" s="17" t="n"/>
      <c r="D1843" s="17" t="n"/>
      <c r="E1843" s="17" t="n"/>
      <c r="F1843" s="28" t="n"/>
      <c r="G1843" s="29" t="n"/>
      <c r="H1843" s="29" t="n"/>
      <c r="I1843" s="29" t="n"/>
      <c r="J1843" s="29" t="n"/>
      <c r="K1843" s="30">
        <f>IF(B1843="","",SUM(G$2:I1843)-SUM(J$2:J1843))</f>
        <v/>
      </c>
      <c r="L1843" s="22">
        <f>IF(B1843="","",IF(B1843=B1842,L1842,N(L1842)+1))</f>
        <v/>
      </c>
    </row>
    <row r="1844">
      <c r="A1844" s="22" t="n"/>
      <c r="B1844" s="27" t="n"/>
      <c r="C1844" s="17" t="n"/>
      <c r="D1844" s="17" t="n"/>
      <c r="E1844" s="17" t="n"/>
      <c r="F1844" s="28" t="n"/>
      <c r="G1844" s="29" t="n"/>
      <c r="H1844" s="29" t="n"/>
      <c r="I1844" s="29" t="n"/>
      <c r="J1844" s="29" t="n"/>
      <c r="K1844" s="30">
        <f>IF(B1844="","",SUM(G$2:I1844)-SUM(J$2:J1844))</f>
        <v/>
      </c>
      <c r="L1844" s="22">
        <f>IF(B1844="","",IF(B1844=B1843,L1843,N(L1843)+1))</f>
        <v/>
      </c>
    </row>
    <row r="1845">
      <c r="A1845" s="22" t="n"/>
      <c r="B1845" s="27" t="n"/>
      <c r="C1845" s="17" t="n"/>
      <c r="D1845" s="17" t="n"/>
      <c r="E1845" s="17" t="n"/>
      <c r="F1845" s="28" t="n"/>
      <c r="G1845" s="29" t="n"/>
      <c r="H1845" s="29" t="n"/>
      <c r="I1845" s="29" t="n"/>
      <c r="J1845" s="29" t="n"/>
      <c r="K1845" s="30">
        <f>IF(B1845="","",SUM(G$2:I1845)-SUM(J$2:J1845))</f>
        <v/>
      </c>
      <c r="L1845" s="22">
        <f>IF(B1845="","",IF(B1845=B1844,L1844,N(L1844)+1))</f>
        <v/>
      </c>
    </row>
    <row r="1846">
      <c r="A1846" s="22" t="n"/>
      <c r="B1846" s="27" t="n"/>
      <c r="C1846" s="17" t="n"/>
      <c r="D1846" s="17" t="n"/>
      <c r="E1846" s="17" t="n"/>
      <c r="F1846" s="28" t="n"/>
      <c r="G1846" s="29" t="n"/>
      <c r="H1846" s="29" t="n"/>
      <c r="I1846" s="29" t="n"/>
      <c r="J1846" s="29" t="n"/>
      <c r="K1846" s="30">
        <f>IF(B1846="","",SUM(G$2:I1846)-SUM(J$2:J1846))</f>
        <v/>
      </c>
      <c r="L1846" s="22">
        <f>IF(B1846="","",IF(B1846=B1845,L1845,N(L1845)+1))</f>
        <v/>
      </c>
    </row>
    <row r="1847">
      <c r="A1847" s="22" t="n"/>
      <c r="B1847" s="27" t="n"/>
      <c r="C1847" s="17" t="n"/>
      <c r="D1847" s="17" t="n"/>
      <c r="E1847" s="17" t="n"/>
      <c r="F1847" s="28" t="n"/>
      <c r="G1847" s="29" t="n"/>
      <c r="H1847" s="29" t="n"/>
      <c r="I1847" s="29" t="n"/>
      <c r="J1847" s="29" t="n"/>
      <c r="K1847" s="30">
        <f>IF(B1847="","",SUM(G$2:I1847)-SUM(J$2:J1847))</f>
        <v/>
      </c>
      <c r="L1847" s="22">
        <f>IF(B1847="","",IF(B1847=B1846,L1846,N(L1846)+1))</f>
        <v/>
      </c>
    </row>
    <row r="1848">
      <c r="A1848" s="22" t="n"/>
      <c r="B1848" s="27" t="n"/>
      <c r="C1848" s="17" t="n"/>
      <c r="D1848" s="17" t="n"/>
      <c r="E1848" s="17" t="n"/>
      <c r="F1848" s="28" t="n"/>
      <c r="G1848" s="29" t="n"/>
      <c r="H1848" s="29" t="n"/>
      <c r="I1848" s="29" t="n"/>
      <c r="J1848" s="29" t="n"/>
      <c r="K1848" s="30">
        <f>IF(B1848="","",SUM(G$2:I1848)-SUM(J$2:J1848))</f>
        <v/>
      </c>
      <c r="L1848" s="22">
        <f>IF(B1848="","",IF(B1848=B1847,L1847,N(L1847)+1))</f>
        <v/>
      </c>
    </row>
    <row r="1849">
      <c r="A1849" s="22" t="n"/>
      <c r="B1849" s="27" t="n"/>
      <c r="C1849" s="17" t="n"/>
      <c r="D1849" s="17" t="n"/>
      <c r="E1849" s="17" t="n"/>
      <c r="F1849" s="28" t="n"/>
      <c r="G1849" s="29" t="n"/>
      <c r="H1849" s="29" t="n"/>
      <c r="I1849" s="29" t="n"/>
      <c r="J1849" s="29" t="n"/>
      <c r="K1849" s="30">
        <f>IF(B1849="","",SUM(G$2:I1849)-SUM(J$2:J1849))</f>
        <v/>
      </c>
      <c r="L1849" s="22">
        <f>IF(B1849="","",IF(B1849=B1848,L1848,N(L1848)+1))</f>
        <v/>
      </c>
    </row>
    <row r="1850">
      <c r="A1850" s="22" t="n"/>
      <c r="B1850" s="27" t="n"/>
      <c r="C1850" s="17" t="n"/>
      <c r="D1850" s="17" t="n"/>
      <c r="E1850" s="17" t="n"/>
      <c r="F1850" s="28" t="n"/>
      <c r="G1850" s="29" t="n"/>
      <c r="H1850" s="29" t="n"/>
      <c r="I1850" s="29" t="n"/>
      <c r="J1850" s="29" t="n"/>
      <c r="K1850" s="30">
        <f>IF(B1850="","",SUM(G$2:I1850)-SUM(J$2:J1850))</f>
        <v/>
      </c>
      <c r="L1850" s="22">
        <f>IF(B1850="","",IF(B1850=B1849,L1849,N(L1849)+1))</f>
        <v/>
      </c>
    </row>
    <row r="1851">
      <c r="A1851" s="22" t="n"/>
      <c r="B1851" s="27" t="n"/>
      <c r="C1851" s="17" t="n"/>
      <c r="D1851" s="17" t="n"/>
      <c r="E1851" s="17" t="n"/>
      <c r="F1851" s="28" t="n"/>
      <c r="G1851" s="29" t="n"/>
      <c r="H1851" s="29" t="n"/>
      <c r="I1851" s="29" t="n"/>
      <c r="J1851" s="29" t="n"/>
      <c r="K1851" s="30">
        <f>IF(B1851="","",SUM(G$2:I1851)-SUM(J$2:J1851))</f>
        <v/>
      </c>
      <c r="L1851" s="22">
        <f>IF(B1851="","",IF(B1851=B1850,L1850,N(L1850)+1))</f>
        <v/>
      </c>
    </row>
    <row r="1852">
      <c r="A1852" s="22" t="n"/>
      <c r="B1852" s="27" t="n"/>
      <c r="C1852" s="17" t="n"/>
      <c r="D1852" s="17" t="n"/>
      <c r="E1852" s="17" t="n"/>
      <c r="F1852" s="28" t="n"/>
      <c r="G1852" s="29" t="n"/>
      <c r="H1852" s="29" t="n"/>
      <c r="I1852" s="29" t="n"/>
      <c r="J1852" s="29" t="n"/>
      <c r="K1852" s="30">
        <f>IF(B1852="","",SUM(G$2:I1852)-SUM(J$2:J1852))</f>
        <v/>
      </c>
      <c r="L1852" s="22">
        <f>IF(B1852="","",IF(B1852=B1851,L1851,N(L1851)+1))</f>
        <v/>
      </c>
    </row>
    <row r="1853">
      <c r="A1853" s="22" t="n"/>
      <c r="B1853" s="27" t="n"/>
      <c r="C1853" s="17" t="n"/>
      <c r="D1853" s="17" t="n"/>
      <c r="E1853" s="17" t="n"/>
      <c r="F1853" s="28" t="n"/>
      <c r="G1853" s="29" t="n"/>
      <c r="H1853" s="29" t="n"/>
      <c r="I1853" s="29" t="n"/>
      <c r="J1853" s="29" t="n"/>
      <c r="K1853" s="30">
        <f>IF(B1853="","",SUM(G$2:I1853)-SUM(J$2:J1853))</f>
        <v/>
      </c>
      <c r="L1853" s="22">
        <f>IF(B1853="","",IF(B1853=B1852,L1852,N(L1852)+1))</f>
        <v/>
      </c>
    </row>
    <row r="1854">
      <c r="A1854" s="22" t="n"/>
      <c r="B1854" s="27" t="n"/>
      <c r="C1854" s="17" t="n"/>
      <c r="D1854" s="17" t="n"/>
      <c r="E1854" s="17" t="n"/>
      <c r="F1854" s="28" t="n"/>
      <c r="G1854" s="29" t="n"/>
      <c r="H1854" s="29" t="n"/>
      <c r="I1854" s="29" t="n"/>
      <c r="J1854" s="29" t="n"/>
      <c r="K1854" s="30">
        <f>IF(B1854="","",SUM(G$2:I1854)-SUM(J$2:J1854))</f>
        <v/>
      </c>
      <c r="L1854" s="22">
        <f>IF(B1854="","",IF(B1854=B1853,L1853,N(L1853)+1))</f>
        <v/>
      </c>
    </row>
    <row r="1855">
      <c r="A1855" s="22" t="n"/>
      <c r="B1855" s="27" t="n"/>
      <c r="C1855" s="17" t="n"/>
      <c r="D1855" s="17" t="n"/>
      <c r="E1855" s="17" t="n"/>
      <c r="F1855" s="28" t="n"/>
      <c r="G1855" s="29" t="n"/>
      <c r="H1855" s="29" t="n"/>
      <c r="I1855" s="29" t="n"/>
      <c r="J1855" s="29" t="n"/>
      <c r="K1855" s="30">
        <f>IF(B1855="","",SUM(G$2:I1855)-SUM(J$2:J1855))</f>
        <v/>
      </c>
      <c r="L1855" s="22">
        <f>IF(B1855="","",IF(B1855=B1854,L1854,N(L1854)+1))</f>
        <v/>
      </c>
    </row>
    <row r="1856">
      <c r="A1856" s="22" t="n"/>
      <c r="B1856" s="27" t="n"/>
      <c r="C1856" s="17" t="n"/>
      <c r="D1856" s="17" t="n"/>
      <c r="E1856" s="17" t="n"/>
      <c r="F1856" s="28" t="n"/>
      <c r="G1856" s="29" t="n"/>
      <c r="H1856" s="29" t="n"/>
      <c r="I1856" s="29" t="n"/>
      <c r="J1856" s="29" t="n"/>
      <c r="K1856" s="30">
        <f>IF(B1856="","",SUM(G$2:I1856)-SUM(J$2:J1856))</f>
        <v/>
      </c>
      <c r="L1856" s="22">
        <f>IF(B1856="","",IF(B1856=B1855,L1855,N(L1855)+1))</f>
        <v/>
      </c>
    </row>
    <row r="1857">
      <c r="A1857" s="22" t="n"/>
      <c r="B1857" s="27" t="n"/>
      <c r="C1857" s="17" t="n"/>
      <c r="D1857" s="17" t="n"/>
      <c r="E1857" s="17" t="n"/>
      <c r="F1857" s="28" t="n"/>
      <c r="G1857" s="29" t="n"/>
      <c r="H1857" s="29" t="n"/>
      <c r="I1857" s="29" t="n"/>
      <c r="J1857" s="29" t="n"/>
      <c r="K1857" s="30">
        <f>IF(B1857="","",SUM(G$2:I1857)-SUM(J$2:J1857))</f>
        <v/>
      </c>
      <c r="L1857" s="22">
        <f>IF(B1857="","",IF(B1857=B1856,L1856,N(L1856)+1))</f>
        <v/>
      </c>
    </row>
    <row r="1858">
      <c r="A1858" s="22" t="n"/>
      <c r="B1858" s="27" t="n"/>
      <c r="C1858" s="17" t="n"/>
      <c r="D1858" s="17" t="n"/>
      <c r="E1858" s="17" t="n"/>
      <c r="F1858" s="28" t="n"/>
      <c r="G1858" s="29" t="n"/>
      <c r="H1858" s="29" t="n"/>
      <c r="I1858" s="29" t="n"/>
      <c r="J1858" s="29" t="n"/>
      <c r="K1858" s="30">
        <f>IF(B1858="","",SUM(G$2:I1858)-SUM(J$2:J1858))</f>
        <v/>
      </c>
      <c r="L1858" s="22">
        <f>IF(B1858="","",IF(B1858=B1857,L1857,N(L1857)+1))</f>
        <v/>
      </c>
    </row>
    <row r="1859">
      <c r="A1859" s="22" t="n"/>
      <c r="B1859" s="27" t="n"/>
      <c r="C1859" s="17" t="n"/>
      <c r="D1859" s="17" t="n"/>
      <c r="E1859" s="17" t="n"/>
      <c r="F1859" s="28" t="n"/>
      <c r="G1859" s="29" t="n"/>
      <c r="H1859" s="29" t="n"/>
      <c r="I1859" s="29" t="n"/>
      <c r="J1859" s="29" t="n"/>
      <c r="K1859" s="30">
        <f>IF(B1859="","",SUM(G$2:I1859)-SUM(J$2:J1859))</f>
        <v/>
      </c>
      <c r="L1859" s="22">
        <f>IF(B1859="","",IF(B1859=B1858,L1858,N(L1858)+1))</f>
        <v/>
      </c>
    </row>
    <row r="1860">
      <c r="A1860" s="22" t="n"/>
      <c r="B1860" s="27" t="n"/>
      <c r="C1860" s="17" t="n"/>
      <c r="D1860" s="17" t="n"/>
      <c r="E1860" s="17" t="n"/>
      <c r="F1860" s="28" t="n"/>
      <c r="G1860" s="29" t="n"/>
      <c r="H1860" s="29" t="n"/>
      <c r="I1860" s="29" t="n"/>
      <c r="J1860" s="29" t="n"/>
      <c r="K1860" s="30">
        <f>IF(B1860="","",SUM(G$2:I1860)-SUM(J$2:J1860))</f>
        <v/>
      </c>
      <c r="L1860" s="22">
        <f>IF(B1860="","",IF(B1860=B1859,L1859,N(L1859)+1))</f>
        <v/>
      </c>
    </row>
    <row r="1861">
      <c r="A1861" s="22" t="n"/>
      <c r="B1861" s="27" t="n"/>
      <c r="C1861" s="17" t="n"/>
      <c r="D1861" s="17" t="n"/>
      <c r="E1861" s="17" t="n"/>
      <c r="F1861" s="28" t="n"/>
      <c r="G1861" s="29" t="n"/>
      <c r="H1861" s="29" t="n"/>
      <c r="I1861" s="29" t="n"/>
      <c r="J1861" s="29" t="n"/>
      <c r="K1861" s="30">
        <f>IF(B1861="","",SUM(G$2:I1861)-SUM(J$2:J1861))</f>
        <v/>
      </c>
      <c r="L1861" s="22">
        <f>IF(B1861="","",IF(B1861=B1860,L1860,N(L1860)+1))</f>
        <v/>
      </c>
    </row>
    <row r="1862">
      <c r="A1862" s="22" t="n"/>
      <c r="B1862" s="27" t="n"/>
      <c r="C1862" s="17" t="n"/>
      <c r="D1862" s="17" t="n"/>
      <c r="E1862" s="17" t="n"/>
      <c r="F1862" s="28" t="n"/>
      <c r="G1862" s="29" t="n"/>
      <c r="H1862" s="29" t="n"/>
      <c r="I1862" s="29" t="n"/>
      <c r="J1862" s="29" t="n"/>
      <c r="K1862" s="30">
        <f>IF(B1862="","",SUM(G$2:I1862)-SUM(J$2:J1862))</f>
        <v/>
      </c>
      <c r="L1862" s="22">
        <f>IF(B1862="","",IF(B1862=B1861,L1861,N(L1861)+1))</f>
        <v/>
      </c>
    </row>
    <row r="1863">
      <c r="A1863" s="22" t="n"/>
      <c r="B1863" s="27" t="n"/>
      <c r="C1863" s="17" t="n"/>
      <c r="D1863" s="17" t="n"/>
      <c r="E1863" s="17" t="n"/>
      <c r="F1863" s="28" t="n"/>
      <c r="G1863" s="29" t="n"/>
      <c r="H1863" s="29" t="n"/>
      <c r="I1863" s="29" t="n"/>
      <c r="J1863" s="29" t="n"/>
      <c r="K1863" s="30">
        <f>IF(B1863="","",SUM(G$2:I1863)-SUM(J$2:J1863))</f>
        <v/>
      </c>
      <c r="L1863" s="22">
        <f>IF(B1863="","",IF(B1863=B1862,L1862,N(L1862)+1))</f>
        <v/>
      </c>
    </row>
    <row r="1864">
      <c r="A1864" s="22" t="n"/>
      <c r="B1864" s="27" t="n"/>
      <c r="C1864" s="17" t="n"/>
      <c r="D1864" s="17" t="n"/>
      <c r="E1864" s="17" t="n"/>
      <c r="F1864" s="28" t="n"/>
      <c r="G1864" s="29" t="n"/>
      <c r="H1864" s="29" t="n"/>
      <c r="I1864" s="29" t="n"/>
      <c r="J1864" s="29" t="n"/>
      <c r="K1864" s="30">
        <f>IF(B1864="","",SUM(G$2:I1864)-SUM(J$2:J1864))</f>
        <v/>
      </c>
      <c r="L1864" s="22">
        <f>IF(B1864="","",IF(B1864=B1863,L1863,N(L1863)+1))</f>
        <v/>
      </c>
    </row>
    <row r="1865">
      <c r="A1865" s="22" t="n"/>
      <c r="B1865" s="27" t="n"/>
      <c r="C1865" s="17" t="n"/>
      <c r="D1865" s="17" t="n"/>
      <c r="E1865" s="17" t="n"/>
      <c r="F1865" s="28" t="n"/>
      <c r="G1865" s="29" t="n"/>
      <c r="H1865" s="29" t="n"/>
      <c r="I1865" s="29" t="n"/>
      <c r="J1865" s="29" t="n"/>
      <c r="K1865" s="30">
        <f>IF(B1865="","",SUM(G$2:I1865)-SUM(J$2:J1865))</f>
        <v/>
      </c>
      <c r="L1865" s="22">
        <f>IF(B1865="","",IF(B1865=B1864,L1864,N(L1864)+1))</f>
        <v/>
      </c>
    </row>
    <row r="1866">
      <c r="A1866" s="22" t="n"/>
      <c r="B1866" s="27" t="n"/>
      <c r="C1866" s="17" t="n"/>
      <c r="D1866" s="17" t="n"/>
      <c r="E1866" s="17" t="n"/>
      <c r="F1866" s="28" t="n"/>
      <c r="G1866" s="29" t="n"/>
      <c r="H1866" s="29" t="n"/>
      <c r="I1866" s="29" t="n"/>
      <c r="J1866" s="29" t="n"/>
      <c r="K1866" s="30">
        <f>IF(B1866="","",SUM(G$2:I1866)-SUM(J$2:J1866))</f>
        <v/>
      </c>
      <c r="L1866" s="22">
        <f>IF(B1866="","",IF(B1866=B1865,L1865,N(L1865)+1))</f>
        <v/>
      </c>
    </row>
    <row r="1867">
      <c r="A1867" s="22" t="n"/>
      <c r="B1867" s="27" t="n"/>
      <c r="C1867" s="17" t="n"/>
      <c r="D1867" s="17" t="n"/>
      <c r="E1867" s="17" t="n"/>
      <c r="F1867" s="28" t="n"/>
      <c r="G1867" s="29" t="n"/>
      <c r="H1867" s="29" t="n"/>
      <c r="I1867" s="29" t="n"/>
      <c r="J1867" s="29" t="n"/>
      <c r="K1867" s="30">
        <f>IF(B1867="","",SUM(G$2:I1867)-SUM(J$2:J1867))</f>
        <v/>
      </c>
      <c r="L1867" s="22">
        <f>IF(B1867="","",IF(B1867=B1866,L1866,N(L1866)+1))</f>
        <v/>
      </c>
    </row>
    <row r="1868">
      <c r="A1868" s="22" t="n"/>
      <c r="B1868" s="27" t="n"/>
      <c r="C1868" s="17" t="n"/>
      <c r="D1868" s="17" t="n"/>
      <c r="E1868" s="17" t="n"/>
      <c r="F1868" s="28" t="n"/>
      <c r="G1868" s="29" t="n"/>
      <c r="H1868" s="29" t="n"/>
      <c r="I1868" s="29" t="n"/>
      <c r="J1868" s="29" t="n"/>
      <c r="K1868" s="30">
        <f>IF(B1868="","",SUM(G$2:I1868)-SUM(J$2:J1868))</f>
        <v/>
      </c>
      <c r="L1868" s="22">
        <f>IF(B1868="","",IF(B1868=B1867,L1867,N(L1867)+1))</f>
        <v/>
      </c>
    </row>
    <row r="1869">
      <c r="A1869" s="22" t="n"/>
      <c r="B1869" s="27" t="n"/>
      <c r="C1869" s="17" t="n"/>
      <c r="D1869" s="17" t="n"/>
      <c r="E1869" s="17" t="n"/>
      <c r="F1869" s="28" t="n"/>
      <c r="G1869" s="29" t="n"/>
      <c r="H1869" s="29" t="n"/>
      <c r="I1869" s="29" t="n"/>
      <c r="J1869" s="29" t="n"/>
      <c r="K1869" s="30">
        <f>IF(B1869="","",SUM(G$2:I1869)-SUM(J$2:J1869))</f>
        <v/>
      </c>
      <c r="L1869" s="22">
        <f>IF(B1869="","",IF(B1869=B1868,L1868,N(L1868)+1))</f>
        <v/>
      </c>
    </row>
    <row r="1870">
      <c r="A1870" s="22" t="n"/>
      <c r="B1870" s="27" t="n"/>
      <c r="C1870" s="17" t="n"/>
      <c r="D1870" s="17" t="n"/>
      <c r="E1870" s="17" t="n"/>
      <c r="F1870" s="28" t="n"/>
      <c r="G1870" s="29" t="n"/>
      <c r="H1870" s="29" t="n"/>
      <c r="I1870" s="29" t="n"/>
      <c r="J1870" s="29" t="n"/>
      <c r="K1870" s="30">
        <f>IF(B1870="","",SUM(G$2:I1870)-SUM(J$2:J1870))</f>
        <v/>
      </c>
      <c r="L1870" s="22">
        <f>IF(B1870="","",IF(B1870=B1869,L1869,N(L1869)+1))</f>
        <v/>
      </c>
    </row>
    <row r="1871">
      <c r="A1871" s="22" t="n"/>
      <c r="B1871" s="27" t="n"/>
      <c r="C1871" s="17" t="n"/>
      <c r="D1871" s="17" t="n"/>
      <c r="E1871" s="17" t="n"/>
      <c r="F1871" s="28" t="n"/>
      <c r="G1871" s="29" t="n"/>
      <c r="H1871" s="29" t="n"/>
      <c r="I1871" s="29" t="n"/>
      <c r="J1871" s="29" t="n"/>
      <c r="K1871" s="30">
        <f>IF(B1871="","",SUM(G$2:I1871)-SUM(J$2:J1871))</f>
        <v/>
      </c>
      <c r="L1871" s="22">
        <f>IF(B1871="","",IF(B1871=B1870,L1870,N(L1870)+1))</f>
        <v/>
      </c>
    </row>
    <row r="1872">
      <c r="A1872" s="22" t="n"/>
      <c r="B1872" s="27" t="n"/>
      <c r="C1872" s="17" t="n"/>
      <c r="D1872" s="17" t="n"/>
      <c r="E1872" s="17" t="n"/>
      <c r="F1872" s="28" t="n"/>
      <c r="G1872" s="29" t="n"/>
      <c r="H1872" s="29" t="n"/>
      <c r="I1872" s="29" t="n"/>
      <c r="J1872" s="29" t="n"/>
      <c r="K1872" s="30">
        <f>IF(B1872="","",SUM(G$2:I1872)-SUM(J$2:J1872))</f>
        <v/>
      </c>
      <c r="L1872" s="22">
        <f>IF(B1872="","",IF(B1872=B1871,L1871,N(L1871)+1))</f>
        <v/>
      </c>
    </row>
    <row r="1873">
      <c r="A1873" s="22" t="n"/>
      <c r="B1873" s="27" t="n"/>
      <c r="C1873" s="17" t="n"/>
      <c r="D1873" s="17" t="n"/>
      <c r="E1873" s="17" t="n"/>
      <c r="F1873" s="28" t="n"/>
      <c r="G1873" s="29" t="n"/>
      <c r="H1873" s="29" t="n"/>
      <c r="I1873" s="29" t="n"/>
      <c r="J1873" s="29" t="n"/>
      <c r="K1873" s="30">
        <f>IF(B1873="","",SUM(G$2:I1873)-SUM(J$2:J1873))</f>
        <v/>
      </c>
      <c r="L1873" s="22">
        <f>IF(B1873="","",IF(B1873=B1872,L1872,N(L1872)+1))</f>
        <v/>
      </c>
    </row>
    <row r="1874">
      <c r="A1874" s="22" t="n"/>
      <c r="B1874" s="27" t="n"/>
      <c r="C1874" s="17" t="n"/>
      <c r="D1874" s="17" t="n"/>
      <c r="E1874" s="17" t="n"/>
      <c r="F1874" s="28" t="n"/>
      <c r="G1874" s="29" t="n"/>
      <c r="H1874" s="29" t="n"/>
      <c r="I1874" s="29" t="n"/>
      <c r="J1874" s="29" t="n"/>
      <c r="K1874" s="30">
        <f>IF(B1874="","",SUM(G$2:I1874)-SUM(J$2:J1874))</f>
        <v/>
      </c>
      <c r="L1874" s="22">
        <f>IF(B1874="","",IF(B1874=B1873,L1873,N(L1873)+1))</f>
        <v/>
      </c>
    </row>
    <row r="1875">
      <c r="A1875" s="22" t="n"/>
      <c r="B1875" s="27" t="n"/>
      <c r="C1875" s="17" t="n"/>
      <c r="D1875" s="17" t="n"/>
      <c r="E1875" s="17" t="n"/>
      <c r="F1875" s="28" t="n"/>
      <c r="G1875" s="29" t="n"/>
      <c r="H1875" s="29" t="n"/>
      <c r="I1875" s="29" t="n"/>
      <c r="J1875" s="29" t="n"/>
      <c r="K1875" s="30">
        <f>IF(B1875="","",SUM(G$2:I1875)-SUM(J$2:J1875))</f>
        <v/>
      </c>
      <c r="L1875" s="22">
        <f>IF(B1875="","",IF(B1875=B1874,L1874,N(L1874)+1))</f>
        <v/>
      </c>
    </row>
    <row r="1876">
      <c r="A1876" s="22" t="n"/>
      <c r="B1876" s="27" t="n"/>
      <c r="C1876" s="17" t="n"/>
      <c r="D1876" s="17" t="n"/>
      <c r="E1876" s="17" t="n"/>
      <c r="F1876" s="28" t="n"/>
      <c r="G1876" s="29" t="n"/>
      <c r="H1876" s="29" t="n"/>
      <c r="I1876" s="29" t="n"/>
      <c r="J1876" s="29" t="n"/>
      <c r="K1876" s="30">
        <f>IF(B1876="","",SUM(G$2:I1876)-SUM(J$2:J1876))</f>
        <v/>
      </c>
      <c r="L1876" s="22">
        <f>IF(B1876="","",IF(B1876=B1875,L1875,N(L1875)+1))</f>
        <v/>
      </c>
    </row>
    <row r="1877">
      <c r="A1877" s="22" t="n"/>
      <c r="B1877" s="27" t="n"/>
      <c r="C1877" s="17" t="n"/>
      <c r="D1877" s="17" t="n"/>
      <c r="E1877" s="17" t="n"/>
      <c r="F1877" s="28" t="n"/>
      <c r="G1877" s="29" t="n"/>
      <c r="H1877" s="29" t="n"/>
      <c r="I1877" s="29" t="n"/>
      <c r="J1877" s="29" t="n"/>
      <c r="K1877" s="30">
        <f>IF(B1877="","",SUM(G$2:I1877)-SUM(J$2:J1877))</f>
        <v/>
      </c>
      <c r="L1877" s="22">
        <f>IF(B1877="","",IF(B1877=B1876,L1876,N(L1876)+1))</f>
        <v/>
      </c>
    </row>
    <row r="1878">
      <c r="A1878" s="22" t="n"/>
      <c r="B1878" s="27" t="n"/>
      <c r="C1878" s="17" t="n"/>
      <c r="D1878" s="17" t="n"/>
      <c r="E1878" s="17" t="n"/>
      <c r="F1878" s="28" t="n"/>
      <c r="G1878" s="29" t="n"/>
      <c r="H1878" s="29" t="n"/>
      <c r="I1878" s="29" t="n"/>
      <c r="J1878" s="29" t="n"/>
      <c r="K1878" s="30">
        <f>IF(B1878="","",SUM(G$2:I1878)-SUM(J$2:J1878))</f>
        <v/>
      </c>
      <c r="L1878" s="22">
        <f>IF(B1878="","",IF(B1878=B1877,L1877,N(L1877)+1))</f>
        <v/>
      </c>
    </row>
    <row r="1879">
      <c r="A1879" s="22" t="n"/>
      <c r="B1879" s="27" t="n"/>
      <c r="C1879" s="17" t="n"/>
      <c r="D1879" s="17" t="n"/>
      <c r="E1879" s="17" t="n"/>
      <c r="F1879" s="28" t="n"/>
      <c r="G1879" s="29" t="n"/>
      <c r="H1879" s="29" t="n"/>
      <c r="I1879" s="29" t="n"/>
      <c r="J1879" s="29" t="n"/>
      <c r="K1879" s="30">
        <f>IF(B1879="","",SUM(G$2:I1879)-SUM(J$2:J1879))</f>
        <v/>
      </c>
      <c r="L1879" s="22">
        <f>IF(B1879="","",IF(B1879=B1878,L1878,N(L1878)+1))</f>
        <v/>
      </c>
    </row>
    <row r="1880">
      <c r="A1880" s="22" t="n"/>
      <c r="B1880" s="27" t="n"/>
      <c r="C1880" s="17" t="n"/>
      <c r="D1880" s="17" t="n"/>
      <c r="E1880" s="17" t="n"/>
      <c r="F1880" s="28" t="n"/>
      <c r="G1880" s="29" t="n"/>
      <c r="H1880" s="29" t="n"/>
      <c r="I1880" s="29" t="n"/>
      <c r="J1880" s="29" t="n"/>
      <c r="K1880" s="30">
        <f>IF(B1880="","",SUM(G$2:I1880)-SUM(J$2:J1880))</f>
        <v/>
      </c>
      <c r="L1880" s="22">
        <f>IF(B1880="","",IF(B1880=B1879,L1879,N(L1879)+1))</f>
        <v/>
      </c>
    </row>
    <row r="1881">
      <c r="A1881" s="22" t="n"/>
      <c r="B1881" s="27" t="n"/>
      <c r="C1881" s="17" t="n"/>
      <c r="D1881" s="17" t="n"/>
      <c r="E1881" s="17" t="n"/>
      <c r="F1881" s="28" t="n"/>
      <c r="G1881" s="29" t="n"/>
      <c r="H1881" s="29" t="n"/>
      <c r="I1881" s="29" t="n"/>
      <c r="J1881" s="29" t="n"/>
      <c r="K1881" s="30">
        <f>IF(B1881="","",SUM(G$2:I1881)-SUM(J$2:J1881))</f>
        <v/>
      </c>
      <c r="L1881" s="22">
        <f>IF(B1881="","",IF(B1881=B1880,L1880,N(L1880)+1))</f>
        <v/>
      </c>
    </row>
    <row r="1882">
      <c r="A1882" s="22" t="n"/>
      <c r="B1882" s="27" t="n"/>
      <c r="C1882" s="17" t="n"/>
      <c r="D1882" s="17" t="n"/>
      <c r="E1882" s="17" t="n"/>
      <c r="F1882" s="28" t="n"/>
      <c r="G1882" s="29" t="n"/>
      <c r="H1882" s="29" t="n"/>
      <c r="I1882" s="29" t="n"/>
      <c r="J1882" s="29" t="n"/>
      <c r="K1882" s="30">
        <f>IF(B1882="","",SUM(G$2:I1882)-SUM(J$2:J1882))</f>
        <v/>
      </c>
      <c r="L1882" s="22">
        <f>IF(B1882="","",IF(B1882=B1881,L1881,N(L1881)+1))</f>
        <v/>
      </c>
    </row>
    <row r="1883">
      <c r="A1883" s="22" t="n"/>
      <c r="B1883" s="27" t="n"/>
      <c r="C1883" s="17" t="n"/>
      <c r="D1883" s="17" t="n"/>
      <c r="E1883" s="17" t="n"/>
      <c r="F1883" s="28" t="n"/>
      <c r="G1883" s="29" t="n"/>
      <c r="H1883" s="29" t="n"/>
      <c r="I1883" s="29" t="n"/>
      <c r="J1883" s="29" t="n"/>
      <c r="K1883" s="30">
        <f>IF(B1883="","",SUM(G$2:I1883)-SUM(J$2:J1883))</f>
        <v/>
      </c>
      <c r="L1883" s="22">
        <f>IF(B1883="","",IF(B1883=B1882,L1882,N(L1882)+1))</f>
        <v/>
      </c>
    </row>
    <row r="1884">
      <c r="A1884" s="22" t="n"/>
      <c r="B1884" s="27" t="n"/>
      <c r="C1884" s="17" t="n"/>
      <c r="D1884" s="17" t="n"/>
      <c r="E1884" s="17" t="n"/>
      <c r="F1884" s="28" t="n"/>
      <c r="G1884" s="29" t="n"/>
      <c r="H1884" s="29" t="n"/>
      <c r="I1884" s="29" t="n"/>
      <c r="J1884" s="29" t="n"/>
      <c r="K1884" s="30">
        <f>IF(B1884="","",SUM(G$2:I1884)-SUM(J$2:J1884))</f>
        <v/>
      </c>
      <c r="L1884" s="22">
        <f>IF(B1884="","",IF(B1884=B1883,L1883,N(L1883)+1))</f>
        <v/>
      </c>
    </row>
    <row r="1885">
      <c r="A1885" s="22" t="n"/>
      <c r="B1885" s="27" t="n"/>
      <c r="C1885" s="17" t="n"/>
      <c r="D1885" s="17" t="n"/>
      <c r="E1885" s="17" t="n"/>
      <c r="F1885" s="28" t="n"/>
      <c r="G1885" s="29" t="n"/>
      <c r="H1885" s="29" t="n"/>
      <c r="I1885" s="29" t="n"/>
      <c r="J1885" s="29" t="n"/>
      <c r="K1885" s="30">
        <f>IF(B1885="","",SUM(G$2:I1885)-SUM(J$2:J1885))</f>
        <v/>
      </c>
      <c r="L1885" s="22">
        <f>IF(B1885="","",IF(B1885=B1884,L1884,N(L1884)+1))</f>
        <v/>
      </c>
    </row>
    <row r="1886">
      <c r="A1886" s="22" t="n"/>
      <c r="B1886" s="27" t="n"/>
      <c r="C1886" s="17" t="n"/>
      <c r="D1886" s="17" t="n"/>
      <c r="E1886" s="17" t="n"/>
      <c r="F1886" s="28" t="n"/>
      <c r="G1886" s="29" t="n"/>
      <c r="H1886" s="29" t="n"/>
      <c r="I1886" s="29" t="n"/>
      <c r="J1886" s="29" t="n"/>
      <c r="K1886" s="30">
        <f>IF(B1886="","",SUM(G$2:I1886)-SUM(J$2:J1886))</f>
        <v/>
      </c>
      <c r="L1886" s="22">
        <f>IF(B1886="","",IF(B1886=B1885,L1885,N(L1885)+1))</f>
        <v/>
      </c>
    </row>
    <row r="1887">
      <c r="A1887" s="22" t="n"/>
      <c r="B1887" s="27" t="n"/>
      <c r="C1887" s="17" t="n"/>
      <c r="D1887" s="17" t="n"/>
      <c r="E1887" s="17" t="n"/>
      <c r="F1887" s="28" t="n"/>
      <c r="G1887" s="29" t="n"/>
      <c r="H1887" s="29" t="n"/>
      <c r="I1887" s="29" t="n"/>
      <c r="J1887" s="29" t="n"/>
      <c r="K1887" s="30">
        <f>IF(B1887="","",SUM(G$2:I1887)-SUM(J$2:J1887))</f>
        <v/>
      </c>
      <c r="L1887" s="22">
        <f>IF(B1887="","",IF(B1887=B1886,L1886,N(L1886)+1))</f>
        <v/>
      </c>
    </row>
    <row r="1888">
      <c r="A1888" s="22" t="n"/>
      <c r="B1888" s="27" t="n"/>
      <c r="C1888" s="17" t="n"/>
      <c r="D1888" s="17" t="n"/>
      <c r="E1888" s="17" t="n"/>
      <c r="F1888" s="28" t="n"/>
      <c r="G1888" s="29" t="n"/>
      <c r="H1888" s="29" t="n"/>
      <c r="I1888" s="29" t="n"/>
      <c r="J1888" s="29" t="n"/>
      <c r="K1888" s="30">
        <f>IF(B1888="","",SUM(G$2:I1888)-SUM(J$2:J1888))</f>
        <v/>
      </c>
      <c r="L1888" s="22">
        <f>IF(B1888="","",IF(B1888=B1887,L1887,N(L1887)+1))</f>
        <v/>
      </c>
    </row>
    <row r="1889">
      <c r="A1889" s="22" t="n"/>
      <c r="B1889" s="27" t="n"/>
      <c r="C1889" s="17" t="n"/>
      <c r="D1889" s="17" t="n"/>
      <c r="E1889" s="17" t="n"/>
      <c r="F1889" s="28" t="n"/>
      <c r="G1889" s="29" t="n"/>
      <c r="H1889" s="29" t="n"/>
      <c r="I1889" s="29" t="n"/>
      <c r="J1889" s="29" t="n"/>
      <c r="K1889" s="30">
        <f>IF(B1889="","",SUM(G$2:I1889)-SUM(J$2:J1889))</f>
        <v/>
      </c>
      <c r="L1889" s="22">
        <f>IF(B1889="","",IF(B1889=B1888,L1888,N(L1888)+1))</f>
        <v/>
      </c>
    </row>
    <row r="1890">
      <c r="A1890" s="22" t="n"/>
      <c r="B1890" s="27" t="n"/>
      <c r="C1890" s="17" t="n"/>
      <c r="D1890" s="17" t="n"/>
      <c r="E1890" s="17" t="n"/>
      <c r="F1890" s="28" t="n"/>
      <c r="G1890" s="29" t="n"/>
      <c r="H1890" s="29" t="n"/>
      <c r="I1890" s="29" t="n"/>
      <c r="J1890" s="29" t="n"/>
      <c r="K1890" s="30">
        <f>IF(B1890="","",SUM(G$2:I1890)-SUM(J$2:J1890))</f>
        <v/>
      </c>
      <c r="L1890" s="22">
        <f>IF(B1890="","",IF(B1890=B1889,L1889,N(L1889)+1))</f>
        <v/>
      </c>
    </row>
    <row r="1891">
      <c r="A1891" s="22" t="n"/>
      <c r="B1891" s="27" t="n"/>
      <c r="C1891" s="17" t="n"/>
      <c r="D1891" s="17" t="n"/>
      <c r="E1891" s="17" t="n"/>
      <c r="F1891" s="28" t="n"/>
      <c r="G1891" s="29" t="n"/>
      <c r="H1891" s="29" t="n"/>
      <c r="I1891" s="29" t="n"/>
      <c r="J1891" s="29" t="n"/>
      <c r="K1891" s="30">
        <f>IF(B1891="","",SUM(G$2:I1891)-SUM(J$2:J1891))</f>
        <v/>
      </c>
      <c r="L1891" s="22">
        <f>IF(B1891="","",IF(B1891=B1890,L1890,N(L1890)+1))</f>
        <v/>
      </c>
    </row>
    <row r="1892">
      <c r="A1892" s="22" t="n"/>
      <c r="B1892" s="27" t="n"/>
      <c r="C1892" s="17" t="n"/>
      <c r="D1892" s="17" t="n"/>
      <c r="E1892" s="17" t="n"/>
      <c r="F1892" s="28" t="n"/>
      <c r="G1892" s="29" t="n"/>
      <c r="H1892" s="29" t="n"/>
      <c r="I1892" s="29" t="n"/>
      <c r="J1892" s="29" t="n"/>
      <c r="K1892" s="30">
        <f>IF(B1892="","",SUM(G$2:I1892)-SUM(J$2:J1892))</f>
        <v/>
      </c>
      <c r="L1892" s="22">
        <f>IF(B1892="","",IF(B1892=B1891,L1891,N(L1891)+1))</f>
        <v/>
      </c>
    </row>
    <row r="1893">
      <c r="A1893" s="22" t="n"/>
      <c r="B1893" s="27" t="n"/>
      <c r="C1893" s="17" t="n"/>
      <c r="D1893" s="17" t="n"/>
      <c r="E1893" s="17" t="n"/>
      <c r="F1893" s="28" t="n"/>
      <c r="G1893" s="29" t="n"/>
      <c r="H1893" s="29" t="n"/>
      <c r="I1893" s="29" t="n"/>
      <c r="J1893" s="29" t="n"/>
      <c r="K1893" s="30">
        <f>IF(B1893="","",SUM(G$2:I1893)-SUM(J$2:J1893))</f>
        <v/>
      </c>
      <c r="L1893" s="22">
        <f>IF(B1893="","",IF(B1893=B1892,L1892,N(L1892)+1))</f>
        <v/>
      </c>
    </row>
    <row r="1894">
      <c r="A1894" s="22" t="n"/>
      <c r="B1894" s="27" t="n"/>
      <c r="C1894" s="17" t="n"/>
      <c r="D1894" s="17" t="n"/>
      <c r="E1894" s="17" t="n"/>
      <c r="F1894" s="28" t="n"/>
      <c r="G1894" s="29" t="n"/>
      <c r="H1894" s="29" t="n"/>
      <c r="I1894" s="29" t="n"/>
      <c r="J1894" s="29" t="n"/>
      <c r="K1894" s="30">
        <f>IF(B1894="","",SUM(G$2:I1894)-SUM(J$2:J1894))</f>
        <v/>
      </c>
      <c r="L1894" s="22">
        <f>IF(B1894="","",IF(B1894=B1893,L1893,N(L1893)+1))</f>
        <v/>
      </c>
    </row>
    <row r="1895">
      <c r="A1895" s="22" t="n"/>
      <c r="B1895" s="27" t="n"/>
      <c r="C1895" s="17" t="n"/>
      <c r="D1895" s="17" t="n"/>
      <c r="E1895" s="17" t="n"/>
      <c r="F1895" s="28" t="n"/>
      <c r="G1895" s="29" t="n"/>
      <c r="H1895" s="29" t="n"/>
      <c r="I1895" s="29" t="n"/>
      <c r="J1895" s="29" t="n"/>
      <c r="K1895" s="30">
        <f>IF(B1895="","",SUM(G$2:I1895)-SUM(J$2:J1895))</f>
        <v/>
      </c>
      <c r="L1895" s="22">
        <f>IF(B1895="","",IF(B1895=B1894,L1894,N(L1894)+1))</f>
        <v/>
      </c>
    </row>
    <row r="1896">
      <c r="A1896" s="22" t="n"/>
      <c r="B1896" s="27" t="n"/>
      <c r="C1896" s="17" t="n"/>
      <c r="D1896" s="17" t="n"/>
      <c r="E1896" s="17" t="n"/>
      <c r="F1896" s="28" t="n"/>
      <c r="G1896" s="29" t="n"/>
      <c r="H1896" s="29" t="n"/>
      <c r="I1896" s="29" t="n"/>
      <c r="J1896" s="29" t="n"/>
      <c r="K1896" s="30">
        <f>IF(B1896="","",SUM(G$2:I1896)-SUM(J$2:J1896))</f>
        <v/>
      </c>
      <c r="L1896" s="22">
        <f>IF(B1896="","",IF(B1896=B1895,L1895,N(L1895)+1))</f>
        <v/>
      </c>
    </row>
    <row r="1897">
      <c r="A1897" s="22" t="n"/>
      <c r="B1897" s="27" t="n"/>
      <c r="C1897" s="17" t="n"/>
      <c r="D1897" s="17" t="n"/>
      <c r="E1897" s="17" t="n"/>
      <c r="F1897" s="28" t="n"/>
      <c r="G1897" s="29" t="n"/>
      <c r="H1897" s="29" t="n"/>
      <c r="I1897" s="29" t="n"/>
      <c r="J1897" s="29" t="n"/>
      <c r="K1897" s="30">
        <f>IF(B1897="","",SUM(G$2:I1897)-SUM(J$2:J1897))</f>
        <v/>
      </c>
      <c r="L1897" s="22">
        <f>IF(B1897="","",IF(B1897=B1896,L1896,N(L1896)+1))</f>
        <v/>
      </c>
    </row>
    <row r="1898">
      <c r="A1898" s="22" t="n"/>
      <c r="B1898" s="27" t="n"/>
      <c r="C1898" s="17" t="n"/>
      <c r="D1898" s="17" t="n"/>
      <c r="E1898" s="17" t="n"/>
      <c r="F1898" s="28" t="n"/>
      <c r="G1898" s="29" t="n"/>
      <c r="H1898" s="29" t="n"/>
      <c r="I1898" s="29" t="n"/>
      <c r="J1898" s="29" t="n"/>
      <c r="K1898" s="30">
        <f>IF(B1898="","",SUM(G$2:I1898)-SUM(J$2:J1898))</f>
        <v/>
      </c>
      <c r="L1898" s="22">
        <f>IF(B1898="","",IF(B1898=B1897,L1897,N(L1897)+1))</f>
        <v/>
      </c>
    </row>
    <row r="1899">
      <c r="A1899" s="22" t="n"/>
      <c r="B1899" s="27" t="n"/>
      <c r="C1899" s="17" t="n"/>
      <c r="D1899" s="17" t="n"/>
      <c r="E1899" s="17" t="n"/>
      <c r="F1899" s="28" t="n"/>
      <c r="G1899" s="29" t="n"/>
      <c r="H1899" s="29" t="n"/>
      <c r="I1899" s="29" t="n"/>
      <c r="J1899" s="29" t="n"/>
      <c r="K1899" s="30">
        <f>IF(B1899="","",SUM(G$2:I1899)-SUM(J$2:J1899))</f>
        <v/>
      </c>
      <c r="L1899" s="22">
        <f>IF(B1899="","",IF(B1899=B1898,L1898,N(L1898)+1))</f>
        <v/>
      </c>
    </row>
    <row r="1900">
      <c r="A1900" s="22" t="n"/>
      <c r="B1900" s="27" t="n"/>
      <c r="C1900" s="17" t="n"/>
      <c r="D1900" s="17" t="n"/>
      <c r="E1900" s="17" t="n"/>
      <c r="F1900" s="28" t="n"/>
      <c r="G1900" s="29" t="n"/>
      <c r="H1900" s="29" t="n"/>
      <c r="I1900" s="29" t="n"/>
      <c r="J1900" s="29" t="n"/>
      <c r="K1900" s="30">
        <f>IF(B1900="","",SUM(G$2:I1900)-SUM(J$2:J1900))</f>
        <v/>
      </c>
      <c r="L1900" s="22">
        <f>IF(B1900="","",IF(B1900=B1899,L1899,N(L1899)+1))</f>
        <v/>
      </c>
    </row>
    <row r="1901">
      <c r="A1901" s="22" t="n"/>
      <c r="B1901" s="27" t="n"/>
      <c r="C1901" s="17" t="n"/>
      <c r="D1901" s="17" t="n"/>
      <c r="E1901" s="17" t="n"/>
      <c r="F1901" s="28" t="n"/>
      <c r="G1901" s="29" t="n"/>
      <c r="H1901" s="29" t="n"/>
      <c r="I1901" s="29" t="n"/>
      <c r="J1901" s="29" t="n"/>
      <c r="K1901" s="30">
        <f>IF(B1901="","",SUM(G$2:I1901)-SUM(J$2:J1901))</f>
        <v/>
      </c>
      <c r="L1901" s="22">
        <f>IF(B1901="","",IF(B1901=B1900,L1900,N(L1900)+1))</f>
        <v/>
      </c>
    </row>
    <row r="1902">
      <c r="A1902" s="22" t="n"/>
      <c r="B1902" s="27" t="n"/>
      <c r="C1902" s="17" t="n"/>
      <c r="D1902" s="17" t="n"/>
      <c r="E1902" s="17" t="n"/>
      <c r="F1902" s="28" t="n"/>
      <c r="G1902" s="29" t="n"/>
      <c r="H1902" s="29" t="n"/>
      <c r="I1902" s="29" t="n"/>
      <c r="J1902" s="29" t="n"/>
      <c r="K1902" s="30">
        <f>IF(B1902="","",SUM(G$2:I1902)-SUM(J$2:J1902))</f>
        <v/>
      </c>
      <c r="L1902" s="22">
        <f>IF(B1902="","",IF(B1902=B1901,L1901,N(L1901)+1))</f>
        <v/>
      </c>
    </row>
    <row r="1903">
      <c r="A1903" s="22" t="n"/>
      <c r="B1903" s="27" t="n"/>
      <c r="C1903" s="17" t="n"/>
      <c r="D1903" s="17" t="n"/>
      <c r="E1903" s="17" t="n"/>
      <c r="F1903" s="28" t="n"/>
      <c r="G1903" s="29" t="n"/>
      <c r="H1903" s="29" t="n"/>
      <c r="I1903" s="29" t="n"/>
      <c r="J1903" s="29" t="n"/>
      <c r="K1903" s="30">
        <f>IF(B1903="","",SUM(G$2:I1903)-SUM(J$2:J1903))</f>
        <v/>
      </c>
      <c r="L1903" s="22">
        <f>IF(B1903="","",IF(B1903=B1902,L1902,N(L1902)+1))</f>
        <v/>
      </c>
    </row>
    <row r="1904">
      <c r="A1904" s="22" t="n"/>
      <c r="B1904" s="27" t="n"/>
      <c r="C1904" s="17" t="n"/>
      <c r="D1904" s="17" t="n"/>
      <c r="E1904" s="17" t="n"/>
      <c r="F1904" s="28" t="n"/>
      <c r="G1904" s="29" t="n"/>
      <c r="H1904" s="29" t="n"/>
      <c r="I1904" s="29" t="n"/>
      <c r="J1904" s="29" t="n"/>
      <c r="K1904" s="30">
        <f>IF(B1904="","",SUM(G$2:I1904)-SUM(J$2:J1904))</f>
        <v/>
      </c>
      <c r="L1904" s="22">
        <f>IF(B1904="","",IF(B1904=B1903,L1903,N(L1903)+1))</f>
        <v/>
      </c>
    </row>
    <row r="1905">
      <c r="A1905" s="22" t="n"/>
      <c r="B1905" s="27" t="n"/>
      <c r="C1905" s="17" t="n"/>
      <c r="D1905" s="17" t="n"/>
      <c r="E1905" s="17" t="n"/>
      <c r="F1905" s="28" t="n"/>
      <c r="G1905" s="29" t="n"/>
      <c r="H1905" s="29" t="n"/>
      <c r="I1905" s="29" t="n"/>
      <c r="J1905" s="29" t="n"/>
      <c r="K1905" s="30">
        <f>IF(B1905="","",SUM(G$2:I1905)-SUM(J$2:J1905))</f>
        <v/>
      </c>
      <c r="L1905" s="22">
        <f>IF(B1905="","",IF(B1905=B1904,L1904,N(L1904)+1))</f>
        <v/>
      </c>
    </row>
    <row r="1906">
      <c r="A1906" s="22" t="n"/>
      <c r="B1906" s="27" t="n"/>
      <c r="C1906" s="17" t="n"/>
      <c r="D1906" s="17" t="n"/>
      <c r="E1906" s="17" t="n"/>
      <c r="F1906" s="28" t="n"/>
      <c r="G1906" s="29" t="n"/>
      <c r="H1906" s="29" t="n"/>
      <c r="I1906" s="29" t="n"/>
      <c r="J1906" s="29" t="n"/>
      <c r="K1906" s="30">
        <f>IF(B1906="","",SUM(G$2:I1906)-SUM(J$2:J1906))</f>
        <v/>
      </c>
      <c r="L1906" s="22">
        <f>IF(B1906="","",IF(B1906=B1905,L1905,N(L1905)+1))</f>
        <v/>
      </c>
    </row>
    <row r="1907">
      <c r="A1907" s="22" t="n"/>
      <c r="B1907" s="27" t="n"/>
      <c r="C1907" s="17" t="n"/>
      <c r="D1907" s="17" t="n"/>
      <c r="E1907" s="17" t="n"/>
      <c r="F1907" s="28" t="n"/>
      <c r="G1907" s="29" t="n"/>
      <c r="H1907" s="29" t="n"/>
      <c r="I1907" s="29" t="n"/>
      <c r="J1907" s="29" t="n"/>
      <c r="K1907" s="30">
        <f>IF(B1907="","",SUM(G$2:I1907)-SUM(J$2:J1907))</f>
        <v/>
      </c>
      <c r="L1907" s="22">
        <f>IF(B1907="","",IF(B1907=B1906,L1906,N(L1906)+1))</f>
        <v/>
      </c>
    </row>
    <row r="1908">
      <c r="A1908" s="22" t="n"/>
      <c r="B1908" s="27" t="n"/>
      <c r="C1908" s="17" t="n"/>
      <c r="D1908" s="17" t="n"/>
      <c r="E1908" s="17" t="n"/>
      <c r="F1908" s="28" t="n"/>
      <c r="G1908" s="29" t="n"/>
      <c r="H1908" s="29" t="n"/>
      <c r="I1908" s="29" t="n"/>
      <c r="J1908" s="29" t="n"/>
      <c r="K1908" s="30">
        <f>IF(B1908="","",SUM(G$2:I1908)-SUM(J$2:J1908))</f>
        <v/>
      </c>
      <c r="L1908" s="22">
        <f>IF(B1908="","",IF(B1908=B1907,L1907,N(L1907)+1))</f>
        <v/>
      </c>
    </row>
    <row r="1909">
      <c r="A1909" s="22" t="n"/>
      <c r="B1909" s="27" t="n"/>
      <c r="C1909" s="17" t="n"/>
      <c r="D1909" s="17" t="n"/>
      <c r="E1909" s="17" t="n"/>
      <c r="F1909" s="28" t="n"/>
      <c r="G1909" s="29" t="n"/>
      <c r="H1909" s="29" t="n"/>
      <c r="I1909" s="29" t="n"/>
      <c r="J1909" s="29" t="n"/>
      <c r="K1909" s="30">
        <f>IF(B1909="","",SUM(G$2:I1909)-SUM(J$2:J1909))</f>
        <v/>
      </c>
      <c r="L1909" s="22">
        <f>IF(B1909="","",IF(B1909=B1908,L1908,N(L1908)+1))</f>
        <v/>
      </c>
    </row>
    <row r="1910">
      <c r="A1910" s="22" t="n"/>
      <c r="B1910" s="27" t="n"/>
      <c r="C1910" s="17" t="n"/>
      <c r="D1910" s="17" t="n"/>
      <c r="E1910" s="17" t="n"/>
      <c r="F1910" s="28" t="n"/>
      <c r="G1910" s="29" t="n"/>
      <c r="H1910" s="29" t="n"/>
      <c r="I1910" s="29" t="n"/>
      <c r="J1910" s="29" t="n"/>
      <c r="K1910" s="30">
        <f>IF(B1910="","",SUM(G$2:I1910)-SUM(J$2:J1910))</f>
        <v/>
      </c>
      <c r="L1910" s="22">
        <f>IF(B1910="","",IF(B1910=B1909,L1909,N(L1909)+1))</f>
        <v/>
      </c>
    </row>
    <row r="1911">
      <c r="A1911" s="22" t="n"/>
      <c r="B1911" s="27" t="n"/>
      <c r="C1911" s="17" t="n"/>
      <c r="D1911" s="17" t="n"/>
      <c r="E1911" s="17" t="n"/>
      <c r="F1911" s="28" t="n"/>
      <c r="G1911" s="29" t="n"/>
      <c r="H1911" s="29" t="n"/>
      <c r="I1911" s="29" t="n"/>
      <c r="J1911" s="29" t="n"/>
      <c r="K1911" s="30">
        <f>IF(B1911="","",SUM(G$2:I1911)-SUM(J$2:J1911))</f>
        <v/>
      </c>
      <c r="L1911" s="22">
        <f>IF(B1911="","",IF(B1911=B1910,L1910,N(L1910)+1))</f>
        <v/>
      </c>
    </row>
    <row r="1912">
      <c r="A1912" s="22" t="n"/>
      <c r="B1912" s="27" t="n"/>
      <c r="C1912" s="17" t="n"/>
      <c r="D1912" s="17" t="n"/>
      <c r="E1912" s="17" t="n"/>
      <c r="F1912" s="28" t="n"/>
      <c r="G1912" s="29" t="n"/>
      <c r="H1912" s="29" t="n"/>
      <c r="I1912" s="29" t="n"/>
      <c r="J1912" s="29" t="n"/>
      <c r="K1912" s="30">
        <f>IF(B1912="","",SUM(G$2:I1912)-SUM(J$2:J1912))</f>
        <v/>
      </c>
      <c r="L1912" s="22">
        <f>IF(B1912="","",IF(B1912=B1911,L1911,N(L1911)+1))</f>
        <v/>
      </c>
    </row>
    <row r="1913">
      <c r="A1913" s="22" t="n"/>
      <c r="B1913" s="27" t="n"/>
      <c r="C1913" s="17" t="n"/>
      <c r="D1913" s="17" t="n"/>
      <c r="E1913" s="17" t="n"/>
      <c r="F1913" s="28" t="n"/>
      <c r="G1913" s="29" t="n"/>
      <c r="H1913" s="29" t="n"/>
      <c r="I1913" s="29" t="n"/>
      <c r="J1913" s="29" t="n"/>
      <c r="K1913" s="30">
        <f>IF(B1913="","",SUM(G$2:I1913)-SUM(J$2:J1913))</f>
        <v/>
      </c>
      <c r="L1913" s="22">
        <f>IF(B1913="","",IF(B1913=B1912,L1912,N(L1912)+1))</f>
        <v/>
      </c>
    </row>
    <row r="1914">
      <c r="A1914" s="22" t="n"/>
      <c r="B1914" s="27" t="n"/>
      <c r="C1914" s="17" t="n"/>
      <c r="D1914" s="17" t="n"/>
      <c r="E1914" s="17" t="n"/>
      <c r="F1914" s="28" t="n"/>
      <c r="G1914" s="29" t="n"/>
      <c r="H1914" s="29" t="n"/>
      <c r="I1914" s="29" t="n"/>
      <c r="J1914" s="29" t="n"/>
      <c r="K1914" s="30">
        <f>IF(B1914="","",SUM(G$2:I1914)-SUM(J$2:J1914))</f>
        <v/>
      </c>
      <c r="L1914" s="22">
        <f>IF(B1914="","",IF(B1914=B1913,L1913,N(L1913)+1))</f>
        <v/>
      </c>
    </row>
    <row r="1915">
      <c r="A1915" s="22" t="n"/>
      <c r="B1915" s="27" t="n"/>
      <c r="C1915" s="17" t="n"/>
      <c r="D1915" s="17" t="n"/>
      <c r="E1915" s="17" t="n"/>
      <c r="F1915" s="28" t="n"/>
      <c r="G1915" s="29" t="n"/>
      <c r="H1915" s="29" t="n"/>
      <c r="I1915" s="29" t="n"/>
      <c r="J1915" s="29" t="n"/>
      <c r="K1915" s="30">
        <f>IF(B1915="","",SUM(G$2:I1915)-SUM(J$2:J1915))</f>
        <v/>
      </c>
      <c r="L1915" s="22">
        <f>IF(B1915="","",IF(B1915=B1914,L1914,N(L1914)+1))</f>
        <v/>
      </c>
    </row>
    <row r="1916">
      <c r="A1916" s="22" t="n"/>
      <c r="B1916" s="27" t="n"/>
      <c r="C1916" s="17" t="n"/>
      <c r="D1916" s="17" t="n"/>
      <c r="E1916" s="17" t="n"/>
      <c r="F1916" s="28" t="n"/>
      <c r="G1916" s="29" t="n"/>
      <c r="H1916" s="29" t="n"/>
      <c r="I1916" s="29" t="n"/>
      <c r="J1916" s="29" t="n"/>
      <c r="K1916" s="30">
        <f>IF(B1916="","",SUM(G$2:I1916)-SUM(J$2:J1916))</f>
        <v/>
      </c>
      <c r="L1916" s="22">
        <f>IF(B1916="","",IF(B1916=B1915,L1915,N(L1915)+1))</f>
        <v/>
      </c>
    </row>
    <row r="1917">
      <c r="A1917" s="22" t="n"/>
      <c r="B1917" s="27" t="n"/>
      <c r="C1917" s="17" t="n"/>
      <c r="D1917" s="17" t="n"/>
      <c r="E1917" s="17" t="n"/>
      <c r="F1917" s="28" t="n"/>
      <c r="G1917" s="29" t="n"/>
      <c r="H1917" s="29" t="n"/>
      <c r="I1917" s="29" t="n"/>
      <c r="J1917" s="29" t="n"/>
      <c r="K1917" s="30">
        <f>IF(B1917="","",SUM(G$2:I1917)-SUM(J$2:J1917))</f>
        <v/>
      </c>
      <c r="L1917" s="22">
        <f>IF(B1917="","",IF(B1917=B1916,L1916,N(L1916)+1))</f>
        <v/>
      </c>
    </row>
    <row r="1918">
      <c r="A1918" s="22" t="n"/>
      <c r="B1918" s="27" t="n"/>
      <c r="C1918" s="17" t="n"/>
      <c r="D1918" s="17" t="n"/>
      <c r="E1918" s="17" t="n"/>
      <c r="F1918" s="28" t="n"/>
      <c r="G1918" s="29" t="n"/>
      <c r="H1918" s="29" t="n"/>
      <c r="I1918" s="29" t="n"/>
      <c r="J1918" s="29" t="n"/>
      <c r="K1918" s="30">
        <f>IF(B1918="","",SUM(G$2:I1918)-SUM(J$2:J1918))</f>
        <v/>
      </c>
      <c r="L1918" s="22">
        <f>IF(B1918="","",IF(B1918=B1917,L1917,N(L1917)+1))</f>
        <v/>
      </c>
    </row>
    <row r="1919">
      <c r="A1919" s="22" t="n"/>
      <c r="B1919" s="27" t="n"/>
      <c r="C1919" s="17" t="n"/>
      <c r="D1919" s="17" t="n"/>
      <c r="E1919" s="17" t="n"/>
      <c r="F1919" s="28" t="n"/>
      <c r="G1919" s="29" t="n"/>
      <c r="H1919" s="29" t="n"/>
      <c r="I1919" s="29" t="n"/>
      <c r="J1919" s="29" t="n"/>
      <c r="K1919" s="30">
        <f>IF(B1919="","",SUM(G$2:I1919)-SUM(J$2:J1919))</f>
        <v/>
      </c>
      <c r="L1919" s="22">
        <f>IF(B1919="","",IF(B1919=B1918,L1918,N(L1918)+1))</f>
        <v/>
      </c>
    </row>
    <row r="1920">
      <c r="A1920" s="22" t="n"/>
      <c r="B1920" s="27" t="n"/>
      <c r="C1920" s="17" t="n"/>
      <c r="D1920" s="17" t="n"/>
      <c r="E1920" s="17" t="n"/>
      <c r="F1920" s="28" t="n"/>
      <c r="G1920" s="29" t="n"/>
      <c r="H1920" s="29" t="n"/>
      <c r="I1920" s="29" t="n"/>
      <c r="J1920" s="29" t="n"/>
      <c r="K1920" s="30">
        <f>IF(B1920="","",SUM(G$2:I1920)-SUM(J$2:J1920))</f>
        <v/>
      </c>
      <c r="L1920" s="22">
        <f>IF(B1920="","",IF(B1920=B1919,L1919,N(L1919)+1))</f>
        <v/>
      </c>
    </row>
    <row r="1921">
      <c r="A1921" s="22" t="n"/>
      <c r="B1921" s="27" t="n"/>
      <c r="C1921" s="17" t="n"/>
      <c r="D1921" s="17" t="n"/>
      <c r="E1921" s="17" t="n"/>
      <c r="F1921" s="28" t="n"/>
      <c r="G1921" s="29" t="n"/>
      <c r="H1921" s="29" t="n"/>
      <c r="I1921" s="29" t="n"/>
      <c r="J1921" s="29" t="n"/>
      <c r="K1921" s="30">
        <f>IF(B1921="","",SUM(G$2:I1921)-SUM(J$2:J1921))</f>
        <v/>
      </c>
      <c r="L1921" s="22">
        <f>IF(B1921="","",IF(B1921=B1920,L1920,N(L1920)+1))</f>
        <v/>
      </c>
    </row>
    <row r="1922">
      <c r="A1922" s="22" t="n"/>
      <c r="B1922" s="27" t="n"/>
      <c r="C1922" s="17" t="n"/>
      <c r="D1922" s="17" t="n"/>
      <c r="E1922" s="17" t="n"/>
      <c r="F1922" s="28" t="n"/>
      <c r="G1922" s="29" t="n"/>
      <c r="H1922" s="29" t="n"/>
      <c r="I1922" s="29" t="n"/>
      <c r="J1922" s="29" t="n"/>
      <c r="K1922" s="30">
        <f>IF(B1922="","",SUM(G$2:I1922)-SUM(J$2:J1922))</f>
        <v/>
      </c>
      <c r="L1922" s="22">
        <f>IF(B1922="","",IF(B1922=B1921,L1921,N(L1921)+1))</f>
        <v/>
      </c>
    </row>
    <row r="1923">
      <c r="A1923" s="22" t="n"/>
      <c r="B1923" s="27" t="n"/>
      <c r="C1923" s="17" t="n"/>
      <c r="D1923" s="17" t="n"/>
      <c r="E1923" s="17" t="n"/>
      <c r="F1923" s="28" t="n"/>
      <c r="G1923" s="29" t="n"/>
      <c r="H1923" s="29" t="n"/>
      <c r="I1923" s="29" t="n"/>
      <c r="J1923" s="29" t="n"/>
      <c r="K1923" s="30">
        <f>IF(B1923="","",SUM(G$2:I1923)-SUM(J$2:J1923))</f>
        <v/>
      </c>
      <c r="L1923" s="22">
        <f>IF(B1923="","",IF(B1923=B1922,L1922,N(L1922)+1))</f>
        <v/>
      </c>
    </row>
    <row r="1924">
      <c r="A1924" s="22" t="n"/>
      <c r="B1924" s="27" t="n"/>
      <c r="C1924" s="17" t="n"/>
      <c r="D1924" s="17" t="n"/>
      <c r="E1924" s="17" t="n"/>
      <c r="F1924" s="28" t="n"/>
      <c r="G1924" s="29" t="n"/>
      <c r="H1924" s="29" t="n"/>
      <c r="I1924" s="29" t="n"/>
      <c r="J1924" s="29" t="n"/>
      <c r="K1924" s="30">
        <f>IF(B1924="","",SUM(G$2:I1924)-SUM(J$2:J1924))</f>
        <v/>
      </c>
      <c r="L1924" s="22">
        <f>IF(B1924="","",IF(B1924=B1923,L1923,N(L1923)+1))</f>
        <v/>
      </c>
    </row>
    <row r="1925">
      <c r="A1925" s="22" t="n"/>
      <c r="B1925" s="27" t="n"/>
      <c r="C1925" s="17" t="n"/>
      <c r="D1925" s="17" t="n"/>
      <c r="E1925" s="17" t="n"/>
      <c r="F1925" s="28" t="n"/>
      <c r="G1925" s="29" t="n"/>
      <c r="H1925" s="29" t="n"/>
      <c r="I1925" s="29" t="n"/>
      <c r="J1925" s="29" t="n"/>
      <c r="K1925" s="30">
        <f>IF(B1925="","",SUM(G$2:I1925)-SUM(J$2:J1925))</f>
        <v/>
      </c>
      <c r="L1925" s="22">
        <f>IF(B1925="","",IF(B1925=B1924,L1924,N(L1924)+1))</f>
        <v/>
      </c>
    </row>
    <row r="1926">
      <c r="A1926" s="22" t="n"/>
      <c r="B1926" s="27" t="n"/>
      <c r="C1926" s="17" t="n"/>
      <c r="D1926" s="17" t="n"/>
      <c r="E1926" s="17" t="n"/>
      <c r="F1926" s="28" t="n"/>
      <c r="G1926" s="29" t="n"/>
      <c r="H1926" s="29" t="n"/>
      <c r="I1926" s="29" t="n"/>
      <c r="J1926" s="29" t="n"/>
      <c r="K1926" s="30">
        <f>IF(B1926="","",SUM(G$2:I1926)-SUM(J$2:J1926))</f>
        <v/>
      </c>
      <c r="L1926" s="22">
        <f>IF(B1926="","",IF(B1926=B1925,L1925,N(L1925)+1))</f>
        <v/>
      </c>
    </row>
    <row r="1927">
      <c r="A1927" s="22" t="n"/>
      <c r="B1927" s="27" t="n"/>
      <c r="C1927" s="17" t="n"/>
      <c r="D1927" s="17" t="n"/>
      <c r="E1927" s="17" t="n"/>
      <c r="F1927" s="28" t="n"/>
      <c r="G1927" s="29" t="n"/>
      <c r="H1927" s="29" t="n"/>
      <c r="I1927" s="29" t="n"/>
      <c r="J1927" s="29" t="n"/>
      <c r="K1927" s="30">
        <f>IF(B1927="","",SUM(G$2:I1927)-SUM(J$2:J1927))</f>
        <v/>
      </c>
      <c r="L1927" s="22">
        <f>IF(B1927="","",IF(B1927=B1926,L1926,N(L1926)+1))</f>
        <v/>
      </c>
    </row>
    <row r="1928">
      <c r="A1928" s="22" t="n"/>
      <c r="B1928" s="27" t="n"/>
      <c r="C1928" s="17" t="n"/>
      <c r="D1928" s="17" t="n"/>
      <c r="E1928" s="17" t="n"/>
      <c r="F1928" s="28" t="n"/>
      <c r="G1928" s="29" t="n"/>
      <c r="H1928" s="29" t="n"/>
      <c r="I1928" s="29" t="n"/>
      <c r="J1928" s="29" t="n"/>
      <c r="K1928" s="30">
        <f>IF(B1928="","",SUM(G$2:I1928)-SUM(J$2:J1928))</f>
        <v/>
      </c>
      <c r="L1928" s="22">
        <f>IF(B1928="","",IF(B1928=B1927,L1927,N(L1927)+1))</f>
        <v/>
      </c>
    </row>
    <row r="1929">
      <c r="A1929" s="22" t="n"/>
      <c r="B1929" s="27" t="n"/>
      <c r="C1929" s="17" t="n"/>
      <c r="D1929" s="17" t="n"/>
      <c r="E1929" s="17" t="n"/>
      <c r="F1929" s="28" t="n"/>
      <c r="G1929" s="29" t="n"/>
      <c r="H1929" s="29" t="n"/>
      <c r="I1929" s="29" t="n"/>
      <c r="J1929" s="29" t="n"/>
      <c r="K1929" s="30">
        <f>IF(B1929="","",SUM(G$2:I1929)-SUM(J$2:J1929))</f>
        <v/>
      </c>
      <c r="L1929" s="22">
        <f>IF(B1929="","",IF(B1929=B1928,L1928,N(L1928)+1))</f>
        <v/>
      </c>
    </row>
    <row r="1930">
      <c r="A1930" s="22" t="n"/>
      <c r="B1930" s="27" t="n"/>
      <c r="C1930" s="17" t="n"/>
      <c r="D1930" s="17" t="n"/>
      <c r="E1930" s="17" t="n"/>
      <c r="F1930" s="28" t="n"/>
      <c r="G1930" s="29" t="n"/>
      <c r="H1930" s="29" t="n"/>
      <c r="I1930" s="29" t="n"/>
      <c r="J1930" s="29" t="n"/>
      <c r="K1930" s="30">
        <f>IF(B1930="","",SUM(G$2:I1930)-SUM(J$2:J1930))</f>
        <v/>
      </c>
      <c r="L1930" s="22">
        <f>IF(B1930="","",IF(B1930=B1929,L1929,N(L1929)+1))</f>
        <v/>
      </c>
    </row>
    <row r="1931">
      <c r="A1931" s="22" t="n"/>
      <c r="B1931" s="27" t="n"/>
      <c r="C1931" s="17" t="n"/>
      <c r="D1931" s="17" t="n"/>
      <c r="E1931" s="17" t="n"/>
      <c r="F1931" s="28" t="n"/>
      <c r="G1931" s="29" t="n"/>
      <c r="H1931" s="29" t="n"/>
      <c r="I1931" s="29" t="n"/>
      <c r="J1931" s="29" t="n"/>
      <c r="K1931" s="30">
        <f>IF(B1931="","",SUM(G$2:I1931)-SUM(J$2:J1931))</f>
        <v/>
      </c>
      <c r="L1931" s="22">
        <f>IF(B1931="","",IF(B1931=B1930,L1930,N(L1930)+1))</f>
        <v/>
      </c>
    </row>
    <row r="1932">
      <c r="A1932" s="22" t="n"/>
      <c r="B1932" s="27" t="n"/>
      <c r="C1932" s="17" t="n"/>
      <c r="D1932" s="17" t="n"/>
      <c r="E1932" s="17" t="n"/>
      <c r="F1932" s="28" t="n"/>
      <c r="G1932" s="29" t="n"/>
      <c r="H1932" s="29" t="n"/>
      <c r="I1932" s="29" t="n"/>
      <c r="J1932" s="29" t="n"/>
      <c r="K1932" s="30">
        <f>IF(B1932="","",SUM(G$2:I1932)-SUM(J$2:J1932))</f>
        <v/>
      </c>
      <c r="L1932" s="22">
        <f>IF(B1932="","",IF(B1932=B1931,L1931,N(L1931)+1))</f>
        <v/>
      </c>
    </row>
    <row r="1933">
      <c r="A1933" s="22" t="n"/>
      <c r="B1933" s="27" t="n"/>
      <c r="C1933" s="17" t="n"/>
      <c r="D1933" s="17" t="n"/>
      <c r="E1933" s="17" t="n"/>
      <c r="F1933" s="28" t="n"/>
      <c r="G1933" s="29" t="n"/>
      <c r="H1933" s="29" t="n"/>
      <c r="I1933" s="29" t="n"/>
      <c r="J1933" s="29" t="n"/>
      <c r="K1933" s="30">
        <f>IF(B1933="","",SUM(G$2:I1933)-SUM(J$2:J1933))</f>
        <v/>
      </c>
      <c r="L1933" s="22">
        <f>IF(B1933="","",IF(B1933=B1932,L1932,N(L1932)+1))</f>
        <v/>
      </c>
    </row>
    <row r="1934">
      <c r="A1934" s="22" t="n"/>
      <c r="B1934" s="27" t="n"/>
      <c r="C1934" s="17" t="n"/>
      <c r="D1934" s="17" t="n"/>
      <c r="E1934" s="17" t="n"/>
      <c r="F1934" s="28" t="n"/>
      <c r="G1934" s="29" t="n"/>
      <c r="H1934" s="29" t="n"/>
      <c r="I1934" s="29" t="n"/>
      <c r="J1934" s="29" t="n"/>
      <c r="K1934" s="30">
        <f>IF(B1934="","",SUM(G$2:I1934)-SUM(J$2:J1934))</f>
        <v/>
      </c>
      <c r="L1934" s="22">
        <f>IF(B1934="","",IF(B1934=B1933,L1933,N(L1933)+1))</f>
        <v/>
      </c>
    </row>
    <row r="1935">
      <c r="A1935" s="22" t="n"/>
      <c r="B1935" s="27" t="n"/>
      <c r="C1935" s="17" t="n"/>
      <c r="D1935" s="17" t="n"/>
      <c r="E1935" s="17" t="n"/>
      <c r="F1935" s="28" t="n"/>
      <c r="G1935" s="29" t="n"/>
      <c r="H1935" s="29" t="n"/>
      <c r="I1935" s="29" t="n"/>
      <c r="J1935" s="29" t="n"/>
      <c r="K1935" s="30">
        <f>IF(B1935="","",SUM(G$2:I1935)-SUM(J$2:J1935))</f>
        <v/>
      </c>
      <c r="L1935" s="22">
        <f>IF(B1935="","",IF(B1935=B1934,L1934,N(L1934)+1))</f>
        <v/>
      </c>
    </row>
    <row r="1936">
      <c r="A1936" s="22" t="n"/>
      <c r="B1936" s="27" t="n"/>
      <c r="C1936" s="17" t="n"/>
      <c r="D1936" s="17" t="n"/>
      <c r="E1936" s="17" t="n"/>
      <c r="F1936" s="28" t="n"/>
      <c r="G1936" s="29" t="n"/>
      <c r="H1936" s="29" t="n"/>
      <c r="I1936" s="29" t="n"/>
      <c r="J1936" s="29" t="n"/>
      <c r="K1936" s="30">
        <f>IF(B1936="","",SUM(G$2:I1936)-SUM(J$2:J1936))</f>
        <v/>
      </c>
      <c r="L1936" s="22">
        <f>IF(B1936="","",IF(B1936=B1935,L1935,N(L1935)+1))</f>
        <v/>
      </c>
    </row>
    <row r="1937">
      <c r="A1937" s="22" t="n"/>
      <c r="B1937" s="27" t="n"/>
      <c r="C1937" s="17" t="n"/>
      <c r="D1937" s="17" t="n"/>
      <c r="E1937" s="17" t="n"/>
      <c r="F1937" s="28" t="n"/>
      <c r="G1937" s="29" t="n"/>
      <c r="H1937" s="29" t="n"/>
      <c r="I1937" s="29" t="n"/>
      <c r="J1937" s="29" t="n"/>
      <c r="K1937" s="30">
        <f>IF(B1937="","",SUM(G$2:I1937)-SUM(J$2:J1937))</f>
        <v/>
      </c>
      <c r="L1937" s="22">
        <f>IF(B1937="","",IF(B1937=B1936,L1936,N(L1936)+1))</f>
        <v/>
      </c>
    </row>
    <row r="1938">
      <c r="A1938" s="22" t="n"/>
      <c r="B1938" s="27" t="n"/>
      <c r="C1938" s="17" t="n"/>
      <c r="D1938" s="17" t="n"/>
      <c r="E1938" s="17" t="n"/>
      <c r="F1938" s="28" t="n"/>
      <c r="G1938" s="29" t="n"/>
      <c r="H1938" s="29" t="n"/>
      <c r="I1938" s="29" t="n"/>
      <c r="J1938" s="29" t="n"/>
      <c r="K1938" s="30">
        <f>IF(B1938="","",SUM(G$2:I1938)-SUM(J$2:J1938))</f>
        <v/>
      </c>
      <c r="L1938" s="22">
        <f>IF(B1938="","",IF(B1938=B1937,L1937,N(L1937)+1))</f>
        <v/>
      </c>
    </row>
    <row r="1939">
      <c r="A1939" s="22" t="n"/>
      <c r="B1939" s="27" t="n"/>
      <c r="C1939" s="17" t="n"/>
      <c r="D1939" s="17" t="n"/>
      <c r="E1939" s="17" t="n"/>
      <c r="F1939" s="28" t="n"/>
      <c r="G1939" s="29" t="n"/>
      <c r="H1939" s="29" t="n"/>
      <c r="I1939" s="29" t="n"/>
      <c r="J1939" s="29" t="n"/>
      <c r="K1939" s="30">
        <f>IF(B1939="","",SUM(G$2:I1939)-SUM(J$2:J1939))</f>
        <v/>
      </c>
      <c r="L1939" s="22">
        <f>IF(B1939="","",IF(B1939=B1938,L1938,N(L1938)+1))</f>
        <v/>
      </c>
    </row>
    <row r="1940">
      <c r="A1940" s="22" t="n"/>
      <c r="B1940" s="27" t="n"/>
      <c r="C1940" s="17" t="n"/>
      <c r="D1940" s="17" t="n"/>
      <c r="E1940" s="17" t="n"/>
      <c r="F1940" s="28" t="n"/>
      <c r="G1940" s="29" t="n"/>
      <c r="H1940" s="29" t="n"/>
      <c r="I1940" s="29" t="n"/>
      <c r="J1940" s="29" t="n"/>
      <c r="K1940" s="30">
        <f>IF(B1940="","",SUM(G$2:I1940)-SUM(J$2:J1940))</f>
        <v/>
      </c>
      <c r="L1940" s="22">
        <f>IF(B1940="","",IF(B1940=B1939,L1939,N(L1939)+1))</f>
        <v/>
      </c>
    </row>
    <row r="1941">
      <c r="A1941" s="22" t="n"/>
      <c r="B1941" s="27" t="n"/>
      <c r="C1941" s="17" t="n"/>
      <c r="D1941" s="17" t="n"/>
      <c r="E1941" s="17" t="n"/>
      <c r="F1941" s="28" t="n"/>
      <c r="G1941" s="29" t="n"/>
      <c r="H1941" s="29" t="n"/>
      <c r="I1941" s="29" t="n"/>
      <c r="J1941" s="29" t="n"/>
      <c r="K1941" s="30">
        <f>IF(B1941="","",SUM(G$2:I1941)-SUM(J$2:J1941))</f>
        <v/>
      </c>
      <c r="L1941" s="22">
        <f>IF(B1941="","",IF(B1941=B1940,L1940,N(L1940)+1))</f>
        <v/>
      </c>
    </row>
    <row r="1942">
      <c r="A1942" s="22" t="n"/>
      <c r="B1942" s="27" t="n"/>
      <c r="C1942" s="17" t="n"/>
      <c r="D1942" s="17" t="n"/>
      <c r="E1942" s="17" t="n"/>
      <c r="F1942" s="28" t="n"/>
      <c r="G1942" s="29" t="n"/>
      <c r="H1942" s="29" t="n"/>
      <c r="I1942" s="29" t="n"/>
      <c r="J1942" s="29" t="n"/>
      <c r="K1942" s="30">
        <f>IF(B1942="","",SUM(G$2:I1942)-SUM(J$2:J1942))</f>
        <v/>
      </c>
      <c r="L1942" s="22">
        <f>IF(B1942="","",IF(B1942=B1941,L1941,N(L1941)+1))</f>
        <v/>
      </c>
    </row>
    <row r="1943">
      <c r="A1943" s="22" t="n"/>
      <c r="B1943" s="27" t="n"/>
      <c r="C1943" s="17" t="n"/>
      <c r="D1943" s="17" t="n"/>
      <c r="E1943" s="17" t="n"/>
      <c r="F1943" s="28" t="n"/>
      <c r="G1943" s="29" t="n"/>
      <c r="H1943" s="29" t="n"/>
      <c r="I1943" s="29" t="n"/>
      <c r="J1943" s="29" t="n"/>
      <c r="K1943" s="30">
        <f>IF(B1943="","",SUM(G$2:I1943)-SUM(J$2:J1943))</f>
        <v/>
      </c>
      <c r="L1943" s="22">
        <f>IF(B1943="","",IF(B1943=B1942,L1942,N(L1942)+1))</f>
        <v/>
      </c>
    </row>
    <row r="1944">
      <c r="A1944" s="22" t="n"/>
      <c r="B1944" s="27" t="n"/>
      <c r="C1944" s="17" t="n"/>
      <c r="D1944" s="17" t="n"/>
      <c r="E1944" s="17" t="n"/>
      <c r="F1944" s="28" t="n"/>
      <c r="G1944" s="29" t="n"/>
      <c r="H1944" s="29" t="n"/>
      <c r="I1944" s="29" t="n"/>
      <c r="J1944" s="29" t="n"/>
      <c r="K1944" s="30">
        <f>IF(B1944="","",SUM(G$2:I1944)-SUM(J$2:J1944))</f>
        <v/>
      </c>
      <c r="L1944" s="22">
        <f>IF(B1944="","",IF(B1944=B1943,L1943,N(L1943)+1))</f>
        <v/>
      </c>
    </row>
    <row r="1945">
      <c r="A1945" s="22" t="n"/>
      <c r="B1945" s="27" t="n"/>
      <c r="C1945" s="17" t="n"/>
      <c r="D1945" s="17" t="n"/>
      <c r="E1945" s="17" t="n"/>
      <c r="F1945" s="28" t="n"/>
      <c r="G1945" s="29" t="n"/>
      <c r="H1945" s="29" t="n"/>
      <c r="I1945" s="29" t="n"/>
      <c r="J1945" s="29" t="n"/>
      <c r="K1945" s="30">
        <f>IF(B1945="","",SUM(G$2:I1945)-SUM(J$2:J1945))</f>
        <v/>
      </c>
      <c r="L1945" s="22">
        <f>IF(B1945="","",IF(B1945=B1944,L1944,N(L1944)+1))</f>
        <v/>
      </c>
    </row>
    <row r="1946">
      <c r="A1946" s="22" t="n"/>
      <c r="B1946" s="27" t="n"/>
      <c r="C1946" s="17" t="n"/>
      <c r="D1946" s="17" t="n"/>
      <c r="E1946" s="17" t="n"/>
      <c r="F1946" s="28" t="n"/>
      <c r="G1946" s="29" t="n"/>
      <c r="H1946" s="29" t="n"/>
      <c r="I1946" s="29" t="n"/>
      <c r="J1946" s="29" t="n"/>
      <c r="K1946" s="30">
        <f>IF(B1946="","",SUM(G$2:I1946)-SUM(J$2:J1946))</f>
        <v/>
      </c>
      <c r="L1946" s="22">
        <f>IF(B1946="","",IF(B1946=B1945,L1945,N(L1945)+1))</f>
        <v/>
      </c>
    </row>
    <row r="1947">
      <c r="A1947" s="22" t="n"/>
      <c r="B1947" s="27" t="n"/>
      <c r="C1947" s="17" t="n"/>
      <c r="D1947" s="17" t="n"/>
      <c r="E1947" s="17" t="n"/>
      <c r="F1947" s="28" t="n"/>
      <c r="G1947" s="29" t="n"/>
      <c r="H1947" s="29" t="n"/>
      <c r="I1947" s="29" t="n"/>
      <c r="J1947" s="29" t="n"/>
      <c r="K1947" s="30">
        <f>IF(B1947="","",SUM(G$2:I1947)-SUM(J$2:J1947))</f>
        <v/>
      </c>
      <c r="L1947" s="22">
        <f>IF(B1947="","",IF(B1947=B1946,L1946,N(L1946)+1))</f>
        <v/>
      </c>
    </row>
    <row r="1948">
      <c r="A1948" s="22" t="n"/>
      <c r="B1948" s="27" t="n"/>
      <c r="C1948" s="17" t="n"/>
      <c r="D1948" s="17" t="n"/>
      <c r="E1948" s="17" t="n"/>
      <c r="F1948" s="28" t="n"/>
      <c r="G1948" s="29" t="n"/>
      <c r="H1948" s="29" t="n"/>
      <c r="I1948" s="29" t="n"/>
      <c r="J1948" s="29" t="n"/>
      <c r="K1948" s="30">
        <f>IF(B1948="","",SUM(G$2:I1948)-SUM(J$2:J1948))</f>
        <v/>
      </c>
      <c r="L1948" s="22">
        <f>IF(B1948="","",IF(B1948=B1947,L1947,N(L1947)+1))</f>
        <v/>
      </c>
    </row>
    <row r="1949">
      <c r="A1949" s="22" t="n"/>
      <c r="B1949" s="27" t="n"/>
      <c r="C1949" s="17" t="n"/>
      <c r="D1949" s="17" t="n"/>
      <c r="E1949" s="17" t="n"/>
      <c r="F1949" s="28" t="n"/>
      <c r="G1949" s="29" t="n"/>
      <c r="H1949" s="29" t="n"/>
      <c r="I1949" s="29" t="n"/>
      <c r="J1949" s="29" t="n"/>
      <c r="K1949" s="30">
        <f>IF(B1949="","",SUM(G$2:I1949)-SUM(J$2:J1949))</f>
        <v/>
      </c>
      <c r="L1949" s="22">
        <f>IF(B1949="","",IF(B1949=B1948,L1948,N(L1948)+1))</f>
        <v/>
      </c>
    </row>
    <row r="1950">
      <c r="A1950" s="22" t="n"/>
      <c r="B1950" s="27" t="n"/>
      <c r="C1950" s="17" t="n"/>
      <c r="D1950" s="17" t="n"/>
      <c r="E1950" s="17" t="n"/>
      <c r="F1950" s="28" t="n"/>
      <c r="G1950" s="29" t="n"/>
      <c r="H1950" s="29" t="n"/>
      <c r="I1950" s="29" t="n"/>
      <c r="J1950" s="29" t="n"/>
      <c r="K1950" s="30">
        <f>IF(B1950="","",SUM(G$2:I1950)-SUM(J$2:J1950))</f>
        <v/>
      </c>
      <c r="L1950" s="22">
        <f>IF(B1950="","",IF(B1950=B1949,L1949,N(L1949)+1))</f>
        <v/>
      </c>
    </row>
    <row r="1951">
      <c r="A1951" s="22" t="n"/>
      <c r="B1951" s="27" t="n"/>
      <c r="C1951" s="17" t="n"/>
      <c r="D1951" s="17" t="n"/>
      <c r="E1951" s="17" t="n"/>
      <c r="F1951" s="28" t="n"/>
      <c r="G1951" s="29" t="n"/>
      <c r="H1951" s="29" t="n"/>
      <c r="I1951" s="29" t="n"/>
      <c r="J1951" s="29" t="n"/>
      <c r="K1951" s="30">
        <f>IF(B1951="","",SUM(G$2:I1951)-SUM(J$2:J1951))</f>
        <v/>
      </c>
      <c r="L1951" s="22">
        <f>IF(B1951="","",IF(B1951=B1950,L1950,N(L1950)+1))</f>
        <v/>
      </c>
    </row>
    <row r="1952">
      <c r="A1952" s="22" t="n"/>
      <c r="B1952" s="27" t="n"/>
      <c r="C1952" s="17" t="n"/>
      <c r="D1952" s="17" t="n"/>
      <c r="E1952" s="17" t="n"/>
      <c r="F1952" s="28" t="n"/>
      <c r="G1952" s="29" t="n"/>
      <c r="H1952" s="29" t="n"/>
      <c r="I1952" s="29" t="n"/>
      <c r="J1952" s="29" t="n"/>
      <c r="K1952" s="30">
        <f>IF(B1952="","",SUM(G$2:I1952)-SUM(J$2:J1952))</f>
        <v/>
      </c>
      <c r="L1952" s="22">
        <f>IF(B1952="","",IF(B1952=B1951,L1951,N(L1951)+1))</f>
        <v/>
      </c>
    </row>
    <row r="1953">
      <c r="A1953" s="22" t="n"/>
      <c r="B1953" s="27" t="n"/>
      <c r="C1953" s="17" t="n"/>
      <c r="D1953" s="17" t="n"/>
      <c r="E1953" s="17" t="n"/>
      <c r="F1953" s="28" t="n"/>
      <c r="G1953" s="29" t="n"/>
      <c r="H1953" s="29" t="n"/>
      <c r="I1953" s="29" t="n"/>
      <c r="J1953" s="29" t="n"/>
      <c r="K1953" s="30">
        <f>IF(B1953="","",SUM(G$2:I1953)-SUM(J$2:J1953))</f>
        <v/>
      </c>
      <c r="L1953" s="22">
        <f>IF(B1953="","",IF(B1953=B1952,L1952,N(L1952)+1))</f>
        <v/>
      </c>
    </row>
    <row r="1954">
      <c r="A1954" s="22" t="n"/>
      <c r="B1954" s="27" t="n"/>
      <c r="C1954" s="17" t="n"/>
      <c r="D1954" s="17" t="n"/>
      <c r="E1954" s="17" t="n"/>
      <c r="F1954" s="28" t="n"/>
      <c r="G1954" s="29" t="n"/>
      <c r="H1954" s="29" t="n"/>
      <c r="I1954" s="29" t="n"/>
      <c r="J1954" s="29" t="n"/>
      <c r="K1954" s="30">
        <f>IF(B1954="","",SUM(G$2:I1954)-SUM(J$2:J1954))</f>
        <v/>
      </c>
      <c r="L1954" s="22">
        <f>IF(B1954="","",IF(B1954=B1953,L1953,N(L1953)+1))</f>
        <v/>
      </c>
    </row>
    <row r="1955">
      <c r="A1955" s="22" t="n"/>
      <c r="B1955" s="27" t="n"/>
      <c r="C1955" s="17" t="n"/>
      <c r="D1955" s="17" t="n"/>
      <c r="E1955" s="17" t="n"/>
      <c r="F1955" s="28" t="n"/>
      <c r="G1955" s="29" t="n"/>
      <c r="H1955" s="29" t="n"/>
      <c r="I1955" s="29" t="n"/>
      <c r="J1955" s="29" t="n"/>
      <c r="K1955" s="30">
        <f>IF(B1955="","",SUM(G$2:I1955)-SUM(J$2:J1955))</f>
        <v/>
      </c>
      <c r="L1955" s="22">
        <f>IF(B1955="","",IF(B1955=B1954,L1954,N(L1954)+1))</f>
        <v/>
      </c>
    </row>
    <row r="1956">
      <c r="A1956" s="22" t="n"/>
      <c r="B1956" s="27" t="n"/>
      <c r="C1956" s="17" t="n"/>
      <c r="D1956" s="17" t="n"/>
      <c r="E1956" s="17" t="n"/>
      <c r="F1956" s="28" t="n"/>
      <c r="G1956" s="29" t="n"/>
      <c r="H1956" s="29" t="n"/>
      <c r="I1956" s="29" t="n"/>
      <c r="J1956" s="29" t="n"/>
      <c r="K1956" s="30">
        <f>IF(B1956="","",SUM(G$2:I1956)-SUM(J$2:J1956))</f>
        <v/>
      </c>
      <c r="L1956" s="22">
        <f>IF(B1956="","",IF(B1956=B1955,L1955,N(L1955)+1))</f>
        <v/>
      </c>
    </row>
    <row r="1957">
      <c r="A1957" s="22" t="n"/>
      <c r="B1957" s="27" t="n"/>
      <c r="C1957" s="17" t="n"/>
      <c r="D1957" s="17" t="n"/>
      <c r="E1957" s="17" t="n"/>
      <c r="F1957" s="28" t="n"/>
      <c r="G1957" s="29" t="n"/>
      <c r="H1957" s="29" t="n"/>
      <c r="I1957" s="29" t="n"/>
      <c r="J1957" s="29" t="n"/>
      <c r="K1957" s="30">
        <f>IF(B1957="","",SUM(G$2:I1957)-SUM(J$2:J1957))</f>
        <v/>
      </c>
      <c r="L1957" s="22">
        <f>IF(B1957="","",IF(B1957=B1956,L1956,N(L1956)+1))</f>
        <v/>
      </c>
    </row>
    <row r="1958">
      <c r="A1958" s="22" t="n"/>
      <c r="B1958" s="27" t="n"/>
      <c r="C1958" s="17" t="n"/>
      <c r="D1958" s="17" t="n"/>
      <c r="E1958" s="17" t="n"/>
      <c r="F1958" s="28" t="n"/>
      <c r="G1958" s="29" t="n"/>
      <c r="H1958" s="29" t="n"/>
      <c r="I1958" s="29" t="n"/>
      <c r="J1958" s="29" t="n"/>
      <c r="K1958" s="30">
        <f>IF(B1958="","",SUM(G$2:I1958)-SUM(J$2:J1958))</f>
        <v/>
      </c>
      <c r="L1958" s="22">
        <f>IF(B1958="","",IF(B1958=B1957,L1957,N(L1957)+1))</f>
        <v/>
      </c>
    </row>
    <row r="1959">
      <c r="A1959" s="22" t="n"/>
      <c r="B1959" s="27" t="n"/>
      <c r="C1959" s="17" t="n"/>
      <c r="D1959" s="17" t="n"/>
      <c r="E1959" s="17" t="n"/>
      <c r="F1959" s="28" t="n"/>
      <c r="G1959" s="29" t="n"/>
      <c r="H1959" s="29" t="n"/>
      <c r="I1959" s="29" t="n"/>
      <c r="J1959" s="29" t="n"/>
      <c r="K1959" s="30">
        <f>IF(B1959="","",SUM(G$2:I1959)-SUM(J$2:J1959))</f>
        <v/>
      </c>
      <c r="L1959" s="22">
        <f>IF(B1959="","",IF(B1959=B1958,L1958,N(L1958)+1))</f>
        <v/>
      </c>
    </row>
    <row r="1960">
      <c r="A1960" s="22" t="n"/>
      <c r="B1960" s="27" t="n"/>
      <c r="C1960" s="17" t="n"/>
      <c r="D1960" s="17" t="n"/>
      <c r="E1960" s="17" t="n"/>
      <c r="F1960" s="28" t="n"/>
      <c r="G1960" s="29" t="n"/>
      <c r="H1960" s="29" t="n"/>
      <c r="I1960" s="29" t="n"/>
      <c r="J1960" s="29" t="n"/>
      <c r="K1960" s="30">
        <f>IF(B1960="","",SUM(G$2:I1960)-SUM(J$2:J1960))</f>
        <v/>
      </c>
      <c r="L1960" s="22">
        <f>IF(B1960="","",IF(B1960=B1959,L1959,N(L1959)+1))</f>
        <v/>
      </c>
    </row>
    <row r="1961">
      <c r="A1961" s="22" t="n"/>
      <c r="B1961" s="27" t="n"/>
      <c r="C1961" s="17" t="n"/>
      <c r="D1961" s="17" t="n"/>
      <c r="E1961" s="17" t="n"/>
      <c r="F1961" s="28" t="n"/>
      <c r="G1961" s="29" t="n"/>
      <c r="H1961" s="29" t="n"/>
      <c r="I1961" s="29" t="n"/>
      <c r="J1961" s="29" t="n"/>
      <c r="K1961" s="30">
        <f>IF(B1961="","",SUM(G$2:I1961)-SUM(J$2:J1961))</f>
        <v/>
      </c>
      <c r="L1961" s="22">
        <f>IF(B1961="","",IF(B1961=B1960,L1960,N(L1960)+1))</f>
        <v/>
      </c>
    </row>
    <row r="1962">
      <c r="A1962" s="22" t="n"/>
      <c r="B1962" s="27" t="n"/>
      <c r="C1962" s="17" t="n"/>
      <c r="D1962" s="17" t="n"/>
      <c r="E1962" s="17" t="n"/>
      <c r="F1962" s="28" t="n"/>
      <c r="G1962" s="29" t="n"/>
      <c r="H1962" s="29" t="n"/>
      <c r="I1962" s="29" t="n"/>
      <c r="J1962" s="29" t="n"/>
      <c r="K1962" s="30">
        <f>IF(B1962="","",SUM(G$2:I1962)-SUM(J$2:J1962))</f>
        <v/>
      </c>
      <c r="L1962" s="22">
        <f>IF(B1962="","",IF(B1962=B1961,L1961,N(L1961)+1))</f>
        <v/>
      </c>
    </row>
    <row r="1963">
      <c r="A1963" s="22" t="n"/>
      <c r="B1963" s="27" t="n"/>
      <c r="C1963" s="17" t="n"/>
      <c r="D1963" s="17" t="n"/>
      <c r="E1963" s="17" t="n"/>
      <c r="F1963" s="28" t="n"/>
      <c r="G1963" s="29" t="n"/>
      <c r="H1963" s="29" t="n"/>
      <c r="I1963" s="29" t="n"/>
      <c r="J1963" s="29" t="n"/>
      <c r="K1963" s="30">
        <f>IF(B1963="","",SUM(G$2:I1963)-SUM(J$2:J1963))</f>
        <v/>
      </c>
      <c r="L1963" s="22">
        <f>IF(B1963="","",IF(B1963=B1962,L1962,N(L1962)+1))</f>
        <v/>
      </c>
    </row>
    <row r="1964">
      <c r="A1964" s="22" t="n"/>
      <c r="B1964" s="27" t="n"/>
      <c r="C1964" s="17" t="n"/>
      <c r="D1964" s="17" t="n"/>
      <c r="E1964" s="17" t="n"/>
      <c r="F1964" s="28" t="n"/>
      <c r="G1964" s="29" t="n"/>
      <c r="H1964" s="29" t="n"/>
      <c r="I1964" s="29" t="n"/>
      <c r="J1964" s="29" t="n"/>
      <c r="K1964" s="30">
        <f>IF(B1964="","",SUM(G$2:I1964)-SUM(J$2:J1964))</f>
        <v/>
      </c>
      <c r="L1964" s="22">
        <f>IF(B1964="","",IF(B1964=B1963,L1963,N(L1963)+1))</f>
        <v/>
      </c>
    </row>
    <row r="1965">
      <c r="A1965" s="22" t="n"/>
      <c r="B1965" s="27" t="n"/>
      <c r="C1965" s="17" t="n"/>
      <c r="D1965" s="17" t="n"/>
      <c r="E1965" s="17" t="n"/>
      <c r="F1965" s="28" t="n"/>
      <c r="G1965" s="29" t="n"/>
      <c r="H1965" s="29" t="n"/>
      <c r="I1965" s="29" t="n"/>
      <c r="J1965" s="29" t="n"/>
      <c r="K1965" s="30">
        <f>IF(B1965="","",SUM(G$2:I1965)-SUM(J$2:J1965))</f>
        <v/>
      </c>
      <c r="L1965" s="22">
        <f>IF(B1965="","",IF(B1965=B1964,L1964,N(L1964)+1))</f>
        <v/>
      </c>
    </row>
    <row r="1966">
      <c r="A1966" s="22" t="n"/>
      <c r="B1966" s="27" t="n"/>
      <c r="C1966" s="17" t="n"/>
      <c r="D1966" s="17" t="n"/>
      <c r="E1966" s="17" t="n"/>
      <c r="F1966" s="28" t="n"/>
      <c r="G1966" s="29" t="n"/>
      <c r="H1966" s="29" t="n"/>
      <c r="I1966" s="29" t="n"/>
      <c r="J1966" s="29" t="n"/>
      <c r="K1966" s="30">
        <f>IF(B1966="","",SUM(G$2:I1966)-SUM(J$2:J1966))</f>
        <v/>
      </c>
      <c r="L1966" s="22">
        <f>IF(B1966="","",IF(B1966=B1965,L1965,N(L1965)+1))</f>
        <v/>
      </c>
    </row>
    <row r="1967">
      <c r="A1967" s="22" t="n"/>
      <c r="B1967" s="27" t="n"/>
      <c r="C1967" s="17" t="n"/>
      <c r="D1967" s="17" t="n"/>
      <c r="E1967" s="17" t="n"/>
      <c r="F1967" s="28" t="n"/>
      <c r="G1967" s="29" t="n"/>
      <c r="H1967" s="29" t="n"/>
      <c r="I1967" s="29" t="n"/>
      <c r="J1967" s="29" t="n"/>
      <c r="K1967" s="30">
        <f>IF(B1967="","",SUM(G$2:I1967)-SUM(J$2:J1967))</f>
        <v/>
      </c>
      <c r="L1967" s="22">
        <f>IF(B1967="","",IF(B1967=B1966,L1966,N(L1966)+1))</f>
        <v/>
      </c>
    </row>
    <row r="1968">
      <c r="A1968" s="22" t="n"/>
      <c r="B1968" s="27" t="n"/>
      <c r="C1968" s="17" t="n"/>
      <c r="D1968" s="17" t="n"/>
      <c r="E1968" s="17" t="n"/>
      <c r="F1968" s="28" t="n"/>
      <c r="G1968" s="29" t="n"/>
      <c r="H1968" s="29" t="n"/>
      <c r="I1968" s="29" t="n"/>
      <c r="J1968" s="29" t="n"/>
      <c r="K1968" s="30">
        <f>IF(B1968="","",SUM(G$2:I1968)-SUM(J$2:J1968))</f>
        <v/>
      </c>
      <c r="L1968" s="22">
        <f>IF(B1968="","",IF(B1968=B1967,L1967,N(L1967)+1))</f>
        <v/>
      </c>
    </row>
    <row r="1969">
      <c r="A1969" s="22" t="n"/>
      <c r="B1969" s="27" t="n"/>
      <c r="C1969" s="17" t="n"/>
      <c r="D1969" s="17" t="n"/>
      <c r="E1969" s="17" t="n"/>
      <c r="F1969" s="28" t="n"/>
      <c r="G1969" s="29" t="n"/>
      <c r="H1969" s="29" t="n"/>
      <c r="I1969" s="29" t="n"/>
      <c r="J1969" s="29" t="n"/>
      <c r="K1969" s="30">
        <f>IF(B1969="","",SUM(G$2:I1969)-SUM(J$2:J1969))</f>
        <v/>
      </c>
      <c r="L1969" s="22">
        <f>IF(B1969="","",IF(B1969=B1968,L1968,N(L1968)+1))</f>
        <v/>
      </c>
    </row>
    <row r="1970">
      <c r="A1970" s="22" t="n"/>
      <c r="B1970" s="27" t="n"/>
      <c r="C1970" s="17" t="n"/>
      <c r="D1970" s="17" t="n"/>
      <c r="E1970" s="17" t="n"/>
      <c r="F1970" s="28" t="n"/>
      <c r="G1970" s="29" t="n"/>
      <c r="H1970" s="29" t="n"/>
      <c r="I1970" s="29" t="n"/>
      <c r="J1970" s="29" t="n"/>
      <c r="K1970" s="30">
        <f>IF(B1970="","",SUM(G$2:I1970)-SUM(J$2:J1970))</f>
        <v/>
      </c>
      <c r="L1970" s="22">
        <f>IF(B1970="","",IF(B1970=B1969,L1969,N(L1969)+1))</f>
        <v/>
      </c>
    </row>
    <row r="1971">
      <c r="A1971" s="22" t="n"/>
      <c r="B1971" s="27" t="n"/>
      <c r="C1971" s="17" t="n"/>
      <c r="D1971" s="17" t="n"/>
      <c r="E1971" s="17" t="n"/>
      <c r="F1971" s="28" t="n"/>
      <c r="G1971" s="29" t="n"/>
      <c r="H1971" s="29" t="n"/>
      <c r="I1971" s="29" t="n"/>
      <c r="J1971" s="29" t="n"/>
      <c r="K1971" s="30">
        <f>IF(B1971="","",SUM(G$2:I1971)-SUM(J$2:J1971))</f>
        <v/>
      </c>
      <c r="L1971" s="22">
        <f>IF(B1971="","",IF(B1971=B1970,L1970,N(L1970)+1))</f>
        <v/>
      </c>
    </row>
    <row r="1972">
      <c r="A1972" s="22" t="n"/>
      <c r="B1972" s="27" t="n"/>
      <c r="C1972" s="17" t="n"/>
      <c r="D1972" s="17" t="n"/>
      <c r="E1972" s="17" t="n"/>
      <c r="F1972" s="28" t="n"/>
      <c r="G1972" s="29" t="n"/>
      <c r="H1972" s="29" t="n"/>
      <c r="I1972" s="29" t="n"/>
      <c r="J1972" s="29" t="n"/>
      <c r="K1972" s="30">
        <f>IF(B1972="","",SUM(G$2:I1972)-SUM(J$2:J1972))</f>
        <v/>
      </c>
      <c r="L1972" s="22">
        <f>IF(B1972="","",IF(B1972=B1971,L1971,N(L1971)+1))</f>
        <v/>
      </c>
    </row>
    <row r="1973">
      <c r="A1973" s="22" t="n"/>
      <c r="B1973" s="27" t="n"/>
      <c r="C1973" s="17" t="n"/>
      <c r="D1973" s="17" t="n"/>
      <c r="E1973" s="17" t="n"/>
      <c r="F1973" s="28" t="n"/>
      <c r="G1973" s="29" t="n"/>
      <c r="H1973" s="29" t="n"/>
      <c r="I1973" s="29" t="n"/>
      <c r="J1973" s="29" t="n"/>
      <c r="K1973" s="30">
        <f>IF(B1973="","",SUM(G$2:I1973)-SUM(J$2:J1973))</f>
        <v/>
      </c>
      <c r="L1973" s="22">
        <f>IF(B1973="","",IF(B1973=B1972,L1972,N(L1972)+1))</f>
        <v/>
      </c>
    </row>
    <row r="1974">
      <c r="A1974" s="22" t="n"/>
      <c r="B1974" s="27" t="n"/>
      <c r="C1974" s="17" t="n"/>
      <c r="D1974" s="17" t="n"/>
      <c r="E1974" s="17" t="n"/>
      <c r="F1974" s="28" t="n"/>
      <c r="G1974" s="29" t="n"/>
      <c r="H1974" s="29" t="n"/>
      <c r="I1974" s="29" t="n"/>
      <c r="J1974" s="29" t="n"/>
      <c r="K1974" s="30">
        <f>IF(B1974="","",SUM(G$2:I1974)-SUM(J$2:J1974))</f>
        <v/>
      </c>
      <c r="L1974" s="22">
        <f>IF(B1974="","",IF(B1974=B1973,L1973,N(L1973)+1))</f>
        <v/>
      </c>
    </row>
    <row r="1975">
      <c r="A1975" s="22" t="n"/>
      <c r="B1975" s="27" t="n"/>
      <c r="C1975" s="17" t="n"/>
      <c r="D1975" s="17" t="n"/>
      <c r="E1975" s="17" t="n"/>
      <c r="F1975" s="28" t="n"/>
      <c r="G1975" s="29" t="n"/>
      <c r="H1975" s="29" t="n"/>
      <c r="I1975" s="29" t="n"/>
      <c r="J1975" s="29" t="n"/>
      <c r="K1975" s="30">
        <f>IF(B1975="","",SUM(G$2:I1975)-SUM(J$2:J1975))</f>
        <v/>
      </c>
      <c r="L1975" s="22">
        <f>IF(B1975="","",IF(B1975=B1974,L1974,N(L1974)+1))</f>
        <v/>
      </c>
    </row>
    <row r="1976">
      <c r="A1976" s="22" t="n"/>
      <c r="B1976" s="27" t="n"/>
      <c r="C1976" s="17" t="n"/>
      <c r="D1976" s="17" t="n"/>
      <c r="E1976" s="17" t="n"/>
      <c r="F1976" s="28" t="n"/>
      <c r="G1976" s="29" t="n"/>
      <c r="H1976" s="29" t="n"/>
      <c r="I1976" s="29" t="n"/>
      <c r="J1976" s="29" t="n"/>
      <c r="K1976" s="30">
        <f>IF(B1976="","",SUM(G$2:I1976)-SUM(J$2:J1976))</f>
        <v/>
      </c>
      <c r="L1976" s="22">
        <f>IF(B1976="","",IF(B1976=B1975,L1975,N(L1975)+1))</f>
        <v/>
      </c>
    </row>
    <row r="1977">
      <c r="A1977" s="22" t="n"/>
      <c r="B1977" s="27" t="n"/>
      <c r="C1977" s="17" t="n"/>
      <c r="D1977" s="17" t="n"/>
      <c r="E1977" s="17" t="n"/>
      <c r="F1977" s="28" t="n"/>
      <c r="G1977" s="29" t="n"/>
      <c r="H1977" s="29" t="n"/>
      <c r="I1977" s="29" t="n"/>
      <c r="J1977" s="29" t="n"/>
      <c r="K1977" s="30">
        <f>IF(B1977="","",SUM(G$2:I1977)-SUM(J$2:J1977))</f>
        <v/>
      </c>
      <c r="L1977" s="22">
        <f>IF(B1977="","",IF(B1977=B1976,L1976,N(L1976)+1))</f>
        <v/>
      </c>
    </row>
    <row r="1978">
      <c r="A1978" s="22" t="n"/>
      <c r="B1978" s="27" t="n"/>
      <c r="C1978" s="17" t="n"/>
      <c r="D1978" s="17" t="n"/>
      <c r="E1978" s="17" t="n"/>
      <c r="F1978" s="28" t="n"/>
      <c r="G1978" s="29" t="n"/>
      <c r="H1978" s="29" t="n"/>
      <c r="I1978" s="29" t="n"/>
      <c r="J1978" s="29" t="n"/>
      <c r="K1978" s="30">
        <f>IF(B1978="","",SUM(G$2:I1978)-SUM(J$2:J1978))</f>
        <v/>
      </c>
      <c r="L1978" s="22">
        <f>IF(B1978="","",IF(B1978=B1977,L1977,N(L1977)+1))</f>
        <v/>
      </c>
    </row>
    <row r="1979">
      <c r="A1979" s="22" t="n"/>
      <c r="B1979" s="27" t="n"/>
      <c r="C1979" s="17" t="n"/>
      <c r="D1979" s="17" t="n"/>
      <c r="E1979" s="17" t="n"/>
      <c r="F1979" s="28" t="n"/>
      <c r="G1979" s="29" t="n"/>
      <c r="H1979" s="29" t="n"/>
      <c r="I1979" s="29" t="n"/>
      <c r="J1979" s="29" t="n"/>
      <c r="K1979" s="30">
        <f>IF(B1979="","",SUM(G$2:I1979)-SUM(J$2:J1979))</f>
        <v/>
      </c>
      <c r="L1979" s="22">
        <f>IF(B1979="","",IF(B1979=B1978,L1978,N(L1978)+1))</f>
        <v/>
      </c>
    </row>
    <row r="1980">
      <c r="A1980" s="22" t="n"/>
      <c r="B1980" s="27" t="n"/>
      <c r="C1980" s="17" t="n"/>
      <c r="D1980" s="17" t="n"/>
      <c r="E1980" s="17" t="n"/>
      <c r="F1980" s="28" t="n"/>
      <c r="G1980" s="29" t="n"/>
      <c r="H1980" s="29" t="n"/>
      <c r="I1980" s="29" t="n"/>
      <c r="J1980" s="29" t="n"/>
      <c r="K1980" s="30">
        <f>IF(B1980="","",SUM(G$2:I1980)-SUM(J$2:J1980))</f>
        <v/>
      </c>
      <c r="L1980" s="22">
        <f>IF(B1980="","",IF(B1980=B1979,L1979,N(L1979)+1))</f>
        <v/>
      </c>
    </row>
    <row r="1981">
      <c r="A1981" s="22" t="n"/>
      <c r="B1981" s="27" t="n"/>
      <c r="C1981" s="17" t="n"/>
      <c r="D1981" s="17" t="n"/>
      <c r="E1981" s="17" t="n"/>
      <c r="F1981" s="28" t="n"/>
      <c r="G1981" s="29" t="n"/>
      <c r="H1981" s="29" t="n"/>
      <c r="I1981" s="29" t="n"/>
      <c r="J1981" s="29" t="n"/>
      <c r="K1981" s="30">
        <f>IF(B1981="","",SUM(G$2:I1981)-SUM(J$2:J1981))</f>
        <v/>
      </c>
      <c r="L1981" s="22">
        <f>IF(B1981="","",IF(B1981=B1980,L1980,N(L1980)+1))</f>
        <v/>
      </c>
    </row>
    <row r="1982">
      <c r="A1982" s="22" t="n"/>
      <c r="B1982" s="27" t="n"/>
      <c r="C1982" s="17" t="n"/>
      <c r="D1982" s="17" t="n"/>
      <c r="E1982" s="17" t="n"/>
      <c r="F1982" s="28" t="n"/>
      <c r="G1982" s="29" t="n"/>
      <c r="H1982" s="29" t="n"/>
      <c r="I1982" s="29" t="n"/>
      <c r="J1982" s="29" t="n"/>
      <c r="K1982" s="30">
        <f>IF(B1982="","",SUM(G$2:I1982)-SUM(J$2:J1982))</f>
        <v/>
      </c>
      <c r="L1982" s="22">
        <f>IF(B1982="","",IF(B1982=B1981,L1981,N(L1981)+1))</f>
        <v/>
      </c>
    </row>
    <row r="1983">
      <c r="A1983" s="22" t="n"/>
      <c r="B1983" s="27" t="n"/>
      <c r="C1983" s="17" t="n"/>
      <c r="D1983" s="17" t="n"/>
      <c r="E1983" s="17" t="n"/>
      <c r="F1983" s="28" t="n"/>
      <c r="G1983" s="29" t="n"/>
      <c r="H1983" s="29" t="n"/>
      <c r="I1983" s="29" t="n"/>
      <c r="J1983" s="29" t="n"/>
      <c r="K1983" s="30">
        <f>IF(B1983="","",SUM(G$2:I1983)-SUM(J$2:J1983))</f>
        <v/>
      </c>
      <c r="L1983" s="22">
        <f>IF(B1983="","",IF(B1983=B1982,L1982,N(L1982)+1))</f>
        <v/>
      </c>
    </row>
    <row r="1984">
      <c r="A1984" s="22" t="n"/>
      <c r="B1984" s="27" t="n"/>
      <c r="C1984" s="17" t="n"/>
      <c r="D1984" s="17" t="n"/>
      <c r="E1984" s="17" t="n"/>
      <c r="F1984" s="28" t="n"/>
      <c r="G1984" s="29" t="n"/>
      <c r="H1984" s="29" t="n"/>
      <c r="I1984" s="29" t="n"/>
      <c r="J1984" s="29" t="n"/>
      <c r="K1984" s="30">
        <f>IF(B1984="","",SUM(G$2:I1984)-SUM(J$2:J1984))</f>
        <v/>
      </c>
      <c r="L1984" s="22">
        <f>IF(B1984="","",IF(B1984=B1983,L1983,N(L1983)+1))</f>
        <v/>
      </c>
    </row>
    <row r="1985">
      <c r="A1985" s="22" t="n"/>
      <c r="B1985" s="27" t="n"/>
      <c r="C1985" s="17" t="n"/>
      <c r="D1985" s="17" t="n"/>
      <c r="E1985" s="17" t="n"/>
      <c r="F1985" s="28" t="n"/>
      <c r="G1985" s="29" t="n"/>
      <c r="H1985" s="29" t="n"/>
      <c r="I1985" s="29" t="n"/>
      <c r="J1985" s="29" t="n"/>
      <c r="K1985" s="30">
        <f>IF(B1985="","",SUM(G$2:I1985)-SUM(J$2:J1985))</f>
        <v/>
      </c>
      <c r="L1985" s="22">
        <f>IF(B1985="","",IF(B1985=B1984,L1984,N(L1984)+1))</f>
        <v/>
      </c>
    </row>
    <row r="1986">
      <c r="A1986" s="22" t="n"/>
      <c r="B1986" s="27" t="n"/>
      <c r="C1986" s="17" t="n"/>
      <c r="D1986" s="17" t="n"/>
      <c r="E1986" s="17" t="n"/>
      <c r="F1986" s="28" t="n"/>
      <c r="G1986" s="29" t="n"/>
      <c r="H1986" s="29" t="n"/>
      <c r="I1986" s="29" t="n"/>
      <c r="J1986" s="29" t="n"/>
      <c r="K1986" s="30">
        <f>IF(B1986="","",SUM(G$2:I1986)-SUM(J$2:J1986))</f>
        <v/>
      </c>
      <c r="L1986" s="22">
        <f>IF(B1986="","",IF(B1986=B1985,L1985,N(L1985)+1))</f>
        <v/>
      </c>
    </row>
    <row r="1987">
      <c r="A1987" s="22" t="n"/>
      <c r="B1987" s="27" t="n"/>
      <c r="C1987" s="17" t="n"/>
      <c r="D1987" s="17" t="n"/>
      <c r="E1987" s="17" t="n"/>
      <c r="F1987" s="28" t="n"/>
      <c r="G1987" s="29" t="n"/>
      <c r="H1987" s="29" t="n"/>
      <c r="I1987" s="29" t="n"/>
      <c r="J1987" s="29" t="n"/>
      <c r="K1987" s="30">
        <f>IF(B1987="","",SUM(G$2:I1987)-SUM(J$2:J1987))</f>
        <v/>
      </c>
      <c r="L1987" s="22">
        <f>IF(B1987="","",IF(B1987=B1986,L1986,N(L1986)+1))</f>
        <v/>
      </c>
    </row>
    <row r="1988">
      <c r="A1988" s="22" t="n"/>
      <c r="B1988" s="27" t="n"/>
      <c r="C1988" s="17" t="n"/>
      <c r="D1988" s="17" t="n"/>
      <c r="E1988" s="17" t="n"/>
      <c r="F1988" s="28" t="n"/>
      <c r="G1988" s="29" t="n"/>
      <c r="H1988" s="29" t="n"/>
      <c r="I1988" s="29" t="n"/>
      <c r="J1988" s="29" t="n"/>
      <c r="K1988" s="30">
        <f>IF(B1988="","",SUM(G$2:I1988)-SUM(J$2:J1988))</f>
        <v/>
      </c>
      <c r="L1988" s="22">
        <f>IF(B1988="","",IF(B1988=B1987,L1987,N(L1987)+1))</f>
        <v/>
      </c>
    </row>
    <row r="1989">
      <c r="A1989" s="22" t="n"/>
      <c r="B1989" s="27" t="n"/>
      <c r="C1989" s="17" t="n"/>
      <c r="D1989" s="17" t="n"/>
      <c r="E1989" s="17" t="n"/>
      <c r="F1989" s="28" t="n"/>
      <c r="G1989" s="29" t="n"/>
      <c r="H1989" s="29" t="n"/>
      <c r="I1989" s="29" t="n"/>
      <c r="J1989" s="29" t="n"/>
      <c r="K1989" s="30">
        <f>IF(B1989="","",SUM(G$2:I1989)-SUM(J$2:J1989))</f>
        <v/>
      </c>
      <c r="L1989" s="22">
        <f>IF(B1989="","",IF(B1989=B1988,L1988,N(L1988)+1))</f>
        <v/>
      </c>
    </row>
    <row r="1990">
      <c r="A1990" s="22" t="n"/>
      <c r="B1990" s="27" t="n"/>
      <c r="C1990" s="17" t="n"/>
      <c r="D1990" s="17" t="n"/>
      <c r="E1990" s="17" t="n"/>
      <c r="F1990" s="28" t="n"/>
      <c r="G1990" s="29" t="n"/>
      <c r="H1990" s="29" t="n"/>
      <c r="I1990" s="29" t="n"/>
      <c r="J1990" s="29" t="n"/>
      <c r="K1990" s="30">
        <f>IF(B1990="","",SUM(G$2:I1990)-SUM(J$2:J1990))</f>
        <v/>
      </c>
      <c r="L1990" s="22">
        <f>IF(B1990="","",IF(B1990=B1989,L1989,N(L1989)+1))</f>
        <v/>
      </c>
    </row>
    <row r="1991">
      <c r="A1991" s="22" t="n"/>
      <c r="B1991" s="27" t="n"/>
      <c r="C1991" s="17" t="n"/>
      <c r="D1991" s="17" t="n"/>
      <c r="E1991" s="17" t="n"/>
      <c r="F1991" s="28" t="n"/>
      <c r="G1991" s="29" t="n"/>
      <c r="H1991" s="29" t="n"/>
      <c r="I1991" s="29" t="n"/>
      <c r="J1991" s="29" t="n"/>
      <c r="K1991" s="30">
        <f>IF(B1991="","",SUM(G$2:I1991)-SUM(J$2:J1991))</f>
        <v/>
      </c>
      <c r="L1991" s="22">
        <f>IF(B1991="","",IF(B1991=B1990,L1990,N(L1990)+1))</f>
        <v/>
      </c>
    </row>
    <row r="1992">
      <c r="A1992" s="22" t="n"/>
      <c r="B1992" s="27" t="n"/>
      <c r="C1992" s="17" t="n"/>
      <c r="D1992" s="17" t="n"/>
      <c r="E1992" s="17" t="n"/>
      <c r="F1992" s="28" t="n"/>
      <c r="G1992" s="29" t="n"/>
      <c r="H1992" s="29" t="n"/>
      <c r="I1992" s="29" t="n"/>
      <c r="J1992" s="29" t="n"/>
      <c r="K1992" s="30">
        <f>IF(B1992="","",SUM(G$2:I1992)-SUM(J$2:J1992))</f>
        <v/>
      </c>
      <c r="L1992" s="22">
        <f>IF(B1992="","",IF(B1992=B1991,L1991,N(L1991)+1))</f>
        <v/>
      </c>
    </row>
    <row r="1993">
      <c r="A1993" s="22" t="n"/>
      <c r="B1993" s="27" t="n"/>
      <c r="C1993" s="17" t="n"/>
      <c r="D1993" s="17" t="n"/>
      <c r="E1993" s="17" t="n"/>
      <c r="F1993" s="28" t="n"/>
      <c r="G1993" s="29" t="n"/>
      <c r="H1993" s="29" t="n"/>
      <c r="I1993" s="29" t="n"/>
      <c r="J1993" s="29" t="n"/>
      <c r="K1993" s="30">
        <f>IF(B1993="","",SUM(G$2:I1993)-SUM(J$2:J1993))</f>
        <v/>
      </c>
      <c r="L1993" s="22">
        <f>IF(B1993="","",IF(B1993=B1992,L1992,N(L1992)+1))</f>
        <v/>
      </c>
    </row>
    <row r="1994">
      <c r="A1994" s="22" t="n"/>
      <c r="B1994" s="27" t="n"/>
      <c r="C1994" s="17" t="n"/>
      <c r="D1994" s="17" t="n"/>
      <c r="E1994" s="17" t="n"/>
      <c r="F1994" s="28" t="n"/>
      <c r="G1994" s="29" t="n"/>
      <c r="H1994" s="29" t="n"/>
      <c r="I1994" s="29" t="n"/>
      <c r="J1994" s="29" t="n"/>
      <c r="K1994" s="30">
        <f>IF(B1994="","",SUM(G$2:I1994)-SUM(J$2:J1994))</f>
        <v/>
      </c>
      <c r="L1994" s="22">
        <f>IF(B1994="","",IF(B1994=B1993,L1993,N(L1993)+1))</f>
        <v/>
      </c>
    </row>
    <row r="1995">
      <c r="A1995" s="22" t="n"/>
      <c r="B1995" s="27" t="n"/>
      <c r="C1995" s="17" t="n"/>
      <c r="D1995" s="17" t="n"/>
      <c r="E1995" s="17" t="n"/>
      <c r="F1995" s="28" t="n"/>
      <c r="G1995" s="29" t="n"/>
      <c r="H1995" s="29" t="n"/>
      <c r="I1995" s="29" t="n"/>
      <c r="J1995" s="29" t="n"/>
      <c r="K1995" s="30">
        <f>IF(B1995="","",SUM(G$2:I1995)-SUM(J$2:J1995))</f>
        <v/>
      </c>
      <c r="L1995" s="22">
        <f>IF(B1995="","",IF(B1995=B1994,L1994,N(L1994)+1))</f>
        <v/>
      </c>
    </row>
    <row r="1996">
      <c r="A1996" s="22" t="n"/>
      <c r="B1996" s="27" t="n"/>
      <c r="C1996" s="17" t="n"/>
      <c r="D1996" s="17" t="n"/>
      <c r="E1996" s="17" t="n"/>
      <c r="F1996" s="28" t="n"/>
      <c r="G1996" s="29" t="n"/>
      <c r="H1996" s="29" t="n"/>
      <c r="I1996" s="29" t="n"/>
      <c r="J1996" s="29" t="n"/>
      <c r="K1996" s="30">
        <f>IF(B1996="","",SUM(G$2:I1996)-SUM(J$2:J1996))</f>
        <v/>
      </c>
      <c r="L1996" s="22">
        <f>IF(B1996="","",IF(B1996=B1995,L1995,N(L1995)+1))</f>
        <v/>
      </c>
    </row>
    <row r="1997">
      <c r="A1997" s="22" t="n"/>
      <c r="B1997" s="27" t="n"/>
      <c r="C1997" s="17" t="n"/>
      <c r="D1997" s="17" t="n"/>
      <c r="E1997" s="17" t="n"/>
      <c r="F1997" s="28" t="n"/>
      <c r="G1997" s="29" t="n"/>
      <c r="H1997" s="29" t="n"/>
      <c r="I1997" s="29" t="n"/>
      <c r="J1997" s="29" t="n"/>
      <c r="K1997" s="30">
        <f>IF(B1997="","",SUM(G$2:I1997)-SUM(J$2:J1997))</f>
        <v/>
      </c>
      <c r="L1997" s="22">
        <f>IF(B1997="","",IF(B1997=B1996,L1996,N(L1996)+1))</f>
        <v/>
      </c>
    </row>
    <row r="1998">
      <c r="A1998" s="22" t="n"/>
      <c r="B1998" s="27" t="n"/>
      <c r="C1998" s="17" t="n"/>
      <c r="D1998" s="17" t="n"/>
      <c r="E1998" s="17" t="n"/>
      <c r="F1998" s="28" t="n"/>
      <c r="G1998" s="29" t="n"/>
      <c r="H1998" s="29" t="n"/>
      <c r="I1998" s="29" t="n"/>
      <c r="J1998" s="29" t="n"/>
      <c r="K1998" s="30">
        <f>IF(B1998="","",SUM(G$2:I1998)-SUM(J$2:J1998))</f>
        <v/>
      </c>
      <c r="L1998" s="22">
        <f>IF(B1998="","",IF(B1998=B1997,L1997,N(L1997)+1))</f>
        <v/>
      </c>
    </row>
    <row r="1999">
      <c r="A1999" s="22" t="n"/>
      <c r="B1999" s="27" t="n"/>
      <c r="C1999" s="17" t="n"/>
      <c r="D1999" s="17" t="n"/>
      <c r="E1999" s="17" t="n"/>
      <c r="F1999" s="28" t="n"/>
      <c r="G1999" s="29" t="n"/>
      <c r="H1999" s="29" t="n"/>
      <c r="I1999" s="29" t="n"/>
      <c r="J1999" s="29" t="n"/>
      <c r="K1999" s="30">
        <f>IF(B1999="","",SUM(G$2:I1999)-SUM(J$2:J1999))</f>
        <v/>
      </c>
      <c r="L1999" s="22">
        <f>IF(B1999="","",IF(B1999=B1998,L1998,N(L1998)+1))</f>
        <v/>
      </c>
    </row>
    <row r="2000">
      <c r="A2000" s="22" t="n"/>
      <c r="B2000" s="27" t="n"/>
      <c r="C2000" s="17" t="n"/>
      <c r="D2000" s="17" t="n"/>
      <c r="E2000" s="17" t="n"/>
      <c r="F2000" s="28" t="n"/>
      <c r="G2000" s="29" t="n"/>
      <c r="H2000" s="29" t="n"/>
      <c r="I2000" s="29" t="n"/>
      <c r="J2000" s="29" t="n"/>
      <c r="K2000" s="30">
        <f>IF(B2000="","",SUM(G$2:I2000)-SUM(J$2:J2000))</f>
        <v/>
      </c>
      <c r="L2000" s="22">
        <f>IF(B2000="","",IF(B2000=B1999,L1999,N(L1999)+1))</f>
        <v/>
      </c>
    </row>
    <row r="2001">
      <c r="A2001" s="22" t="n"/>
      <c r="B2001" s="27" t="n"/>
      <c r="C2001" s="17" t="n"/>
      <c r="D2001" s="17" t="n"/>
      <c r="E2001" s="17" t="n"/>
      <c r="F2001" s="28" t="n"/>
      <c r="G2001" s="29" t="n"/>
      <c r="H2001" s="29" t="n"/>
      <c r="I2001" s="29" t="n"/>
      <c r="J2001" s="29" t="n"/>
      <c r="K2001" s="30">
        <f>IF(B2001="","",SUM(G$2:I2001)-SUM(J$2:J2001))</f>
        <v/>
      </c>
      <c r="L2001" s="22">
        <f>IF(B2001="","",IF(B2001=B2000,L2000,N(L2000)+1))</f>
        <v/>
      </c>
    </row>
    <row r="2002">
      <c r="A2002" s="22" t="n"/>
      <c r="B2002" s="27" t="n"/>
      <c r="C2002" s="17" t="n"/>
      <c r="D2002" s="17" t="n"/>
      <c r="E2002" s="17" t="n"/>
      <c r="F2002" s="28" t="n"/>
      <c r="G2002" s="29" t="n"/>
      <c r="H2002" s="29" t="n"/>
      <c r="I2002" s="29" t="n"/>
      <c r="J2002" s="29" t="n"/>
      <c r="K2002" s="30">
        <f>IF(B2002="","",SUM(G$2:I2002)-SUM(J$2:J2002))</f>
        <v/>
      </c>
      <c r="L2002" s="22">
        <f>IF(B2002="","",IF(B2002=B2001,L2001,N(L2001)+1))</f>
        <v/>
      </c>
    </row>
    <row r="2003">
      <c r="A2003" s="22" t="n"/>
      <c r="B2003" s="27" t="n"/>
      <c r="C2003" s="17" t="n"/>
      <c r="D2003" s="17" t="n"/>
      <c r="E2003" s="17" t="n"/>
      <c r="F2003" s="28" t="n"/>
      <c r="G2003" s="29" t="n"/>
      <c r="H2003" s="29" t="n"/>
      <c r="I2003" s="29" t="n"/>
      <c r="J2003" s="29" t="n"/>
      <c r="K2003" s="30">
        <f>IF(B2003="","",SUM(G$2:I2003)-SUM(J$2:J2003))</f>
        <v/>
      </c>
      <c r="L2003" s="22">
        <f>IF(B2003="","",IF(B2003=B2002,L2002,N(L2002)+1))</f>
        <v/>
      </c>
    </row>
    <row r="2004">
      <c r="A2004" s="22" t="n"/>
      <c r="B2004" s="27" t="n"/>
      <c r="C2004" s="17" t="n"/>
      <c r="D2004" s="17" t="n"/>
      <c r="E2004" s="17" t="n"/>
      <c r="F2004" s="28" t="n"/>
      <c r="G2004" s="29" t="n"/>
      <c r="H2004" s="29" t="n"/>
      <c r="I2004" s="29" t="n"/>
      <c r="J2004" s="29" t="n"/>
      <c r="K2004" s="30">
        <f>IF(B2004="","",SUM(G$2:I2004)-SUM(J$2:J2004))</f>
        <v/>
      </c>
      <c r="L2004" s="22">
        <f>IF(B2004="","",IF(B2004=B2003,L2003,N(L2003)+1))</f>
        <v/>
      </c>
    </row>
    <row r="2005">
      <c r="A2005" s="22" t="n"/>
      <c r="B2005" s="27" t="n"/>
      <c r="C2005" s="17" t="n"/>
      <c r="D2005" s="17" t="n"/>
      <c r="E2005" s="17" t="n"/>
      <c r="F2005" s="28" t="n"/>
      <c r="G2005" s="29" t="n"/>
      <c r="H2005" s="29" t="n"/>
      <c r="I2005" s="29" t="n"/>
      <c r="J2005" s="29" t="n"/>
      <c r="K2005" s="30">
        <f>IF(B2005="","",SUM(G$2:I2005)-SUM(J$2:J2005))</f>
        <v/>
      </c>
      <c r="L2005" s="22">
        <f>IF(B2005="","",IF(B2005=B2004,L2004,N(L2004)+1))</f>
        <v/>
      </c>
    </row>
    <row r="2006">
      <c r="A2006" s="22" t="n"/>
      <c r="B2006" s="27" t="n"/>
      <c r="C2006" s="17" t="n"/>
      <c r="D2006" s="17" t="n"/>
      <c r="E2006" s="17" t="n"/>
      <c r="F2006" s="28" t="n"/>
      <c r="G2006" s="29" t="n"/>
      <c r="H2006" s="29" t="n"/>
      <c r="I2006" s="29" t="n"/>
      <c r="J2006" s="29" t="n"/>
      <c r="K2006" s="30">
        <f>IF(B2006="","",SUM(G$2:I2006)-SUM(J$2:J2006))</f>
        <v/>
      </c>
      <c r="L2006" s="22">
        <f>IF(B2006="","",IF(B2006=B2005,L2005,N(L2005)+1))</f>
        <v/>
      </c>
    </row>
    <row r="2007">
      <c r="A2007" s="22" t="n"/>
      <c r="B2007" s="27" t="n"/>
      <c r="C2007" s="17" t="n"/>
      <c r="D2007" s="17" t="n"/>
      <c r="E2007" s="17" t="n"/>
      <c r="F2007" s="28" t="n"/>
      <c r="G2007" s="29" t="n"/>
      <c r="H2007" s="29" t="n"/>
      <c r="I2007" s="29" t="n"/>
      <c r="J2007" s="29" t="n"/>
      <c r="K2007" s="30">
        <f>IF(B2007="","",SUM(G$2:I2007)-SUM(J$2:J2007))</f>
        <v/>
      </c>
      <c r="L2007" s="22">
        <f>IF(B2007="","",IF(B2007=B2006,L2006,N(L2006)+1))</f>
        <v/>
      </c>
    </row>
    <row r="2008">
      <c r="A2008" s="22" t="n"/>
      <c r="B2008" s="27" t="n"/>
      <c r="C2008" s="17" t="n"/>
      <c r="D2008" s="17" t="n"/>
      <c r="E2008" s="17" t="n"/>
      <c r="F2008" s="28" t="n"/>
      <c r="G2008" s="29" t="n"/>
      <c r="H2008" s="29" t="n"/>
      <c r="I2008" s="29" t="n"/>
      <c r="J2008" s="29" t="n"/>
      <c r="K2008" s="30">
        <f>IF(B2008="","",SUM(G$2:I2008)-SUM(J$2:J2008))</f>
        <v/>
      </c>
      <c r="L2008" s="22">
        <f>IF(B2008="","",IF(B2008=B2007,L2007,N(L2007)+1))</f>
        <v/>
      </c>
    </row>
    <row r="2009">
      <c r="A2009" s="22" t="n"/>
      <c r="B2009" s="27" t="n"/>
      <c r="C2009" s="17" t="n"/>
      <c r="D2009" s="17" t="n"/>
      <c r="E2009" s="17" t="n"/>
      <c r="F2009" s="28" t="n"/>
      <c r="G2009" s="29" t="n"/>
      <c r="H2009" s="29" t="n"/>
      <c r="I2009" s="29" t="n"/>
      <c r="J2009" s="29" t="n"/>
      <c r="K2009" s="30">
        <f>IF(B2009="","",SUM(G$2:I2009)-SUM(J$2:J2009))</f>
        <v/>
      </c>
      <c r="L2009" s="22">
        <f>IF(B2009="","",IF(B2009=B2008,L2008,N(L2008)+1))</f>
        <v/>
      </c>
    </row>
    <row r="2010">
      <c r="A2010" s="22" t="n"/>
      <c r="B2010" s="27" t="n"/>
      <c r="C2010" s="17" t="n"/>
      <c r="D2010" s="17" t="n"/>
      <c r="E2010" s="17" t="n"/>
      <c r="F2010" s="28" t="n"/>
      <c r="G2010" s="29" t="n"/>
      <c r="H2010" s="29" t="n"/>
      <c r="I2010" s="29" t="n"/>
      <c r="J2010" s="29" t="n"/>
      <c r="K2010" s="30">
        <f>IF(B2010="","",SUM(G$2:I2010)-SUM(J$2:J2010))</f>
        <v/>
      </c>
      <c r="L2010" s="22">
        <f>IF(B2010="","",IF(B2010=B2009,L2009,N(L2009)+1))</f>
        <v/>
      </c>
    </row>
    <row r="2011">
      <c r="A2011" s="22" t="n"/>
      <c r="B2011" s="27" t="n"/>
      <c r="C2011" s="17" t="n"/>
      <c r="D2011" s="17" t="n"/>
      <c r="E2011" s="17" t="n"/>
      <c r="F2011" s="28" t="n"/>
      <c r="G2011" s="29" t="n"/>
      <c r="H2011" s="29" t="n"/>
      <c r="I2011" s="29" t="n"/>
      <c r="J2011" s="29" t="n"/>
      <c r="K2011" s="30">
        <f>IF(B2011="","",SUM(G$2:I2011)-SUM(J$2:J2011))</f>
        <v/>
      </c>
      <c r="L2011" s="22">
        <f>IF(B2011="","",IF(B2011=B2010,L2010,N(L2010)+1))</f>
        <v/>
      </c>
    </row>
    <row r="2012">
      <c r="A2012" s="22" t="n"/>
      <c r="B2012" s="27" t="n"/>
      <c r="C2012" s="17" t="n"/>
      <c r="D2012" s="17" t="n"/>
      <c r="E2012" s="17" t="n"/>
      <c r="F2012" s="28" t="n"/>
      <c r="G2012" s="29" t="n"/>
      <c r="H2012" s="29" t="n"/>
      <c r="I2012" s="29" t="n"/>
      <c r="J2012" s="29" t="n"/>
      <c r="K2012" s="30">
        <f>IF(B2012="","",SUM(G$2:I2012)-SUM(J$2:J2012))</f>
        <v/>
      </c>
      <c r="L2012" s="22">
        <f>IF(B2012="","",IF(B2012=B2011,L2011,N(L2011)+1))</f>
        <v/>
      </c>
    </row>
    <row r="2013">
      <c r="A2013" s="22" t="n"/>
      <c r="B2013" s="27" t="n"/>
      <c r="C2013" s="17" t="n"/>
      <c r="D2013" s="17" t="n"/>
      <c r="E2013" s="17" t="n"/>
      <c r="F2013" s="28" t="n"/>
      <c r="G2013" s="29" t="n"/>
      <c r="H2013" s="29" t="n"/>
      <c r="I2013" s="29" t="n"/>
      <c r="J2013" s="29" t="n"/>
      <c r="K2013" s="30">
        <f>IF(B2013="","",SUM(G$2:I2013)-SUM(J$2:J2013))</f>
        <v/>
      </c>
      <c r="L2013" s="22">
        <f>IF(B2013="","",IF(B2013=B2012,L2012,N(L2012)+1))</f>
        <v/>
      </c>
    </row>
    <row r="2014">
      <c r="A2014" s="22" t="n"/>
      <c r="B2014" s="27" t="n"/>
      <c r="C2014" s="17" t="n"/>
      <c r="D2014" s="17" t="n"/>
      <c r="E2014" s="17" t="n"/>
      <c r="F2014" s="28" t="n"/>
      <c r="G2014" s="29" t="n"/>
      <c r="H2014" s="29" t="n"/>
      <c r="I2014" s="29" t="n"/>
      <c r="J2014" s="29" t="n"/>
      <c r="K2014" s="30">
        <f>IF(B2014="","",SUM(G$2:I2014)-SUM(J$2:J2014))</f>
        <v/>
      </c>
      <c r="L2014" s="22">
        <f>IF(B2014="","",IF(B2014=B2013,L2013,N(L2013)+1))</f>
        <v/>
      </c>
    </row>
    <row r="2015">
      <c r="A2015" s="22" t="n"/>
      <c r="B2015" s="27" t="n"/>
      <c r="C2015" s="17" t="n"/>
      <c r="D2015" s="17" t="n"/>
      <c r="E2015" s="17" t="n"/>
      <c r="F2015" s="28" t="n"/>
      <c r="G2015" s="29" t="n"/>
      <c r="H2015" s="29" t="n"/>
      <c r="I2015" s="29" t="n"/>
      <c r="J2015" s="29" t="n"/>
      <c r="K2015" s="30">
        <f>IF(B2015="","",SUM(G$2:I2015)-SUM(J$2:J2015))</f>
        <v/>
      </c>
      <c r="L2015" s="22">
        <f>IF(B2015="","",IF(B2015=B2014,L2014,N(L2014)+1))</f>
        <v/>
      </c>
    </row>
    <row r="2016">
      <c r="A2016" s="22" t="n"/>
      <c r="B2016" s="27" t="n"/>
      <c r="C2016" s="17" t="n"/>
      <c r="D2016" s="17" t="n"/>
      <c r="E2016" s="17" t="n"/>
      <c r="F2016" s="28" t="n"/>
      <c r="G2016" s="29" t="n"/>
      <c r="H2016" s="29" t="n"/>
      <c r="I2016" s="29" t="n"/>
      <c r="J2016" s="29" t="n"/>
      <c r="K2016" s="30">
        <f>IF(B2016="","",SUM(G$2:I2016)-SUM(J$2:J2016))</f>
        <v/>
      </c>
      <c r="L2016" s="22">
        <f>IF(B2016="","",IF(B2016=B2015,L2015,N(L2015)+1))</f>
        <v/>
      </c>
    </row>
    <row r="2017">
      <c r="A2017" s="22" t="n"/>
      <c r="B2017" s="27" t="n"/>
      <c r="C2017" s="17" t="n"/>
      <c r="D2017" s="17" t="n"/>
      <c r="E2017" s="17" t="n"/>
      <c r="F2017" s="28" t="n"/>
      <c r="G2017" s="29" t="n"/>
      <c r="H2017" s="29" t="n"/>
      <c r="I2017" s="29" t="n"/>
      <c r="J2017" s="29" t="n"/>
      <c r="K2017" s="30">
        <f>IF(B2017="","",SUM(G$2:I2017)-SUM(J$2:J2017))</f>
        <v/>
      </c>
      <c r="L2017" s="22">
        <f>IF(B2017="","",IF(B2017=B2016,L2016,N(L2016)+1))</f>
        <v/>
      </c>
    </row>
    <row r="2018">
      <c r="A2018" s="22" t="n"/>
      <c r="B2018" s="27" t="n"/>
      <c r="C2018" s="17" t="n"/>
      <c r="D2018" s="17" t="n"/>
      <c r="E2018" s="17" t="n"/>
      <c r="F2018" s="28" t="n"/>
      <c r="G2018" s="29" t="n"/>
      <c r="H2018" s="29" t="n"/>
      <c r="I2018" s="29" t="n"/>
      <c r="J2018" s="29" t="n"/>
      <c r="K2018" s="30">
        <f>IF(B2018="","",SUM(G$2:I2018)-SUM(J$2:J2018))</f>
        <v/>
      </c>
      <c r="L2018" s="22">
        <f>IF(B2018="","",IF(B2018=B2017,L2017,N(L2017)+1))</f>
        <v/>
      </c>
    </row>
    <row r="2019">
      <c r="A2019" s="22" t="n"/>
      <c r="B2019" s="27" t="n"/>
      <c r="C2019" s="17" t="n"/>
      <c r="D2019" s="17" t="n"/>
      <c r="E2019" s="17" t="n"/>
      <c r="F2019" s="28" t="n"/>
      <c r="G2019" s="29" t="n"/>
      <c r="H2019" s="29" t="n"/>
      <c r="I2019" s="29" t="n"/>
      <c r="J2019" s="29" t="n"/>
      <c r="K2019" s="30">
        <f>IF(B2019="","",SUM(G$2:I2019)-SUM(J$2:J2019))</f>
        <v/>
      </c>
      <c r="L2019" s="22">
        <f>IF(B2019="","",IF(B2019=B2018,L2018,N(L2018)+1))</f>
        <v/>
      </c>
    </row>
    <row r="2020">
      <c r="A2020" s="22" t="n"/>
      <c r="B2020" s="27" t="n"/>
      <c r="C2020" s="17" t="n"/>
      <c r="D2020" s="17" t="n"/>
      <c r="E2020" s="17" t="n"/>
      <c r="F2020" s="28" t="n"/>
      <c r="G2020" s="29" t="n"/>
      <c r="H2020" s="29" t="n"/>
      <c r="I2020" s="29" t="n"/>
      <c r="J2020" s="29" t="n"/>
      <c r="K2020" s="30">
        <f>IF(B2020="","",SUM(G$2:I2020)-SUM(J$2:J2020))</f>
        <v/>
      </c>
      <c r="L2020" s="22">
        <f>IF(B2020="","",IF(B2020=B2019,L2019,N(L2019)+1))</f>
        <v/>
      </c>
    </row>
    <row r="2021">
      <c r="A2021" s="22" t="n"/>
      <c r="B2021" s="27" t="n"/>
      <c r="C2021" s="17" t="n"/>
      <c r="D2021" s="17" t="n"/>
      <c r="E2021" s="17" t="n"/>
      <c r="F2021" s="28" t="n"/>
      <c r="G2021" s="29" t="n"/>
      <c r="H2021" s="29" t="n"/>
      <c r="I2021" s="29" t="n"/>
      <c r="J2021" s="29" t="n"/>
      <c r="K2021" s="30">
        <f>IF(B2021="","",SUM(G$2:I2021)-SUM(J$2:J2021))</f>
        <v/>
      </c>
      <c r="L2021" s="22">
        <f>IF(B2021="","",IF(B2021=B2020,L2020,N(L2020)+1))</f>
        <v/>
      </c>
    </row>
    <row r="2022">
      <c r="A2022" s="22" t="n"/>
      <c r="B2022" s="27" t="n"/>
      <c r="C2022" s="17" t="n"/>
      <c r="D2022" s="17" t="n"/>
      <c r="E2022" s="17" t="n"/>
      <c r="F2022" s="28" t="n"/>
      <c r="G2022" s="29" t="n"/>
      <c r="H2022" s="29" t="n"/>
      <c r="I2022" s="29" t="n"/>
      <c r="J2022" s="29" t="n"/>
      <c r="K2022" s="30">
        <f>IF(B2022="","",SUM(G$2:I2022)-SUM(J$2:J2022))</f>
        <v/>
      </c>
      <c r="L2022" s="22">
        <f>IF(B2022="","",IF(B2022=B2021,L2021,N(L2021)+1))</f>
        <v/>
      </c>
    </row>
    <row r="2023">
      <c r="A2023" s="22" t="n"/>
      <c r="B2023" s="27" t="n"/>
      <c r="C2023" s="17" t="n"/>
      <c r="D2023" s="17" t="n"/>
      <c r="E2023" s="17" t="n"/>
      <c r="F2023" s="28" t="n"/>
      <c r="G2023" s="29" t="n"/>
      <c r="H2023" s="29" t="n"/>
      <c r="I2023" s="29" t="n"/>
      <c r="J2023" s="29" t="n"/>
      <c r="K2023" s="30">
        <f>IF(B2023="","",SUM(G$2:I2023)-SUM(J$2:J2023))</f>
        <v/>
      </c>
      <c r="L2023" s="22">
        <f>IF(B2023="","",IF(B2023=B2022,L2022,N(L2022)+1))</f>
        <v/>
      </c>
    </row>
    <row r="2024">
      <c r="A2024" s="22" t="n"/>
      <c r="B2024" s="27" t="n"/>
      <c r="C2024" s="17" t="n"/>
      <c r="D2024" s="17" t="n"/>
      <c r="E2024" s="17" t="n"/>
      <c r="F2024" s="28" t="n"/>
      <c r="G2024" s="29" t="n"/>
      <c r="H2024" s="29" t="n"/>
      <c r="I2024" s="29" t="n"/>
      <c r="J2024" s="29" t="n"/>
      <c r="K2024" s="30">
        <f>IF(B2024="","",SUM(G$2:I2024)-SUM(J$2:J2024))</f>
        <v/>
      </c>
      <c r="L2024" s="22">
        <f>IF(B2024="","",IF(B2024=B2023,L2023,N(L2023)+1))</f>
        <v/>
      </c>
    </row>
    <row r="2025">
      <c r="A2025" s="22" t="n"/>
      <c r="B2025" s="27" t="n"/>
      <c r="C2025" s="17" t="n"/>
      <c r="D2025" s="17" t="n"/>
      <c r="E2025" s="17" t="n"/>
      <c r="F2025" s="28" t="n"/>
      <c r="G2025" s="29" t="n"/>
      <c r="H2025" s="29" t="n"/>
      <c r="I2025" s="29" t="n"/>
      <c r="J2025" s="29" t="n"/>
      <c r="K2025" s="30">
        <f>IF(B2025="","",SUM(G$2:I2025)-SUM(J$2:J2025))</f>
        <v/>
      </c>
      <c r="L2025" s="22">
        <f>IF(B2025="","",IF(B2025=B2024,L2024,N(L2024)+1))</f>
        <v/>
      </c>
    </row>
    <row r="2026">
      <c r="A2026" s="22" t="n"/>
      <c r="B2026" s="27" t="n"/>
      <c r="C2026" s="17" t="n"/>
      <c r="D2026" s="17" t="n"/>
      <c r="E2026" s="17" t="n"/>
      <c r="F2026" s="28" t="n"/>
      <c r="G2026" s="29" t="n"/>
      <c r="H2026" s="29" t="n"/>
      <c r="I2026" s="29" t="n"/>
      <c r="J2026" s="29" t="n"/>
      <c r="K2026" s="30">
        <f>IF(B2026="","",SUM(G$2:I2026)-SUM(J$2:J2026))</f>
        <v/>
      </c>
      <c r="L2026" s="22">
        <f>IF(B2026="","",IF(B2026=B2025,L2025,N(L2025)+1))</f>
        <v/>
      </c>
    </row>
    <row r="2027">
      <c r="A2027" s="22" t="n"/>
      <c r="B2027" s="27" t="n"/>
      <c r="C2027" s="17" t="n"/>
      <c r="D2027" s="17" t="n"/>
      <c r="E2027" s="17" t="n"/>
      <c r="F2027" s="28" t="n"/>
      <c r="G2027" s="29" t="n"/>
      <c r="H2027" s="29" t="n"/>
      <c r="I2027" s="29" t="n"/>
      <c r="J2027" s="29" t="n"/>
      <c r="K2027" s="30">
        <f>IF(B2027="","",SUM(G$2:I2027)-SUM(J$2:J2027))</f>
        <v/>
      </c>
      <c r="L2027" s="22">
        <f>IF(B2027="","",IF(B2027=B2026,L2026,N(L2026)+1))</f>
        <v/>
      </c>
    </row>
    <row r="2028">
      <c r="A2028" s="22" t="n"/>
      <c r="B2028" s="27" t="n"/>
      <c r="C2028" s="17" t="n"/>
      <c r="D2028" s="17" t="n"/>
      <c r="E2028" s="17" t="n"/>
      <c r="F2028" s="28" t="n"/>
      <c r="G2028" s="29" t="n"/>
      <c r="H2028" s="29" t="n"/>
      <c r="I2028" s="29" t="n"/>
      <c r="J2028" s="29" t="n"/>
      <c r="K2028" s="30">
        <f>IF(B2028="","",SUM(G$2:I2028)-SUM(J$2:J2028))</f>
        <v/>
      </c>
      <c r="L2028" s="22">
        <f>IF(B2028="","",IF(B2028=B2027,L2027,N(L2027)+1))</f>
        <v/>
      </c>
    </row>
    <row r="2029">
      <c r="A2029" s="22" t="n"/>
      <c r="B2029" s="27" t="n"/>
      <c r="C2029" s="17" t="n"/>
      <c r="D2029" s="17" t="n"/>
      <c r="E2029" s="17" t="n"/>
      <c r="F2029" s="28" t="n"/>
      <c r="G2029" s="29" t="n"/>
      <c r="H2029" s="29" t="n"/>
      <c r="I2029" s="29" t="n"/>
      <c r="J2029" s="29" t="n"/>
      <c r="K2029" s="30">
        <f>IF(B2029="","",SUM(G$2:I2029)-SUM(J$2:J2029))</f>
        <v/>
      </c>
      <c r="L2029" s="22">
        <f>IF(B2029="","",IF(B2029=B2028,L2028,N(L2028)+1))</f>
        <v/>
      </c>
    </row>
    <row r="2030">
      <c r="A2030" s="22" t="n"/>
      <c r="B2030" s="27" t="n"/>
      <c r="C2030" s="17" t="n"/>
      <c r="D2030" s="17" t="n"/>
      <c r="E2030" s="17" t="n"/>
      <c r="F2030" s="28" t="n"/>
      <c r="G2030" s="29" t="n"/>
      <c r="H2030" s="29" t="n"/>
      <c r="I2030" s="29" t="n"/>
      <c r="J2030" s="29" t="n"/>
      <c r="K2030" s="30">
        <f>IF(B2030="","",SUM(G$2:I2030)-SUM(J$2:J2030))</f>
        <v/>
      </c>
      <c r="L2030" s="22">
        <f>IF(B2030="","",IF(B2030=B2029,L2029,N(L2029)+1))</f>
        <v/>
      </c>
    </row>
    <row r="2031">
      <c r="A2031" s="22" t="n"/>
      <c r="B2031" s="27" t="n"/>
      <c r="C2031" s="17" t="n"/>
      <c r="D2031" s="17" t="n"/>
      <c r="E2031" s="17" t="n"/>
      <c r="F2031" s="28" t="n"/>
      <c r="G2031" s="29" t="n"/>
      <c r="H2031" s="29" t="n"/>
      <c r="I2031" s="29" t="n"/>
      <c r="J2031" s="29" t="n"/>
      <c r="K2031" s="30">
        <f>IF(B2031="","",SUM(G$2:I2031)-SUM(J$2:J2031))</f>
        <v/>
      </c>
      <c r="L2031" s="22">
        <f>IF(B2031="","",IF(B2031=B2030,L2030,N(L2030)+1))</f>
        <v/>
      </c>
    </row>
    <row r="2032">
      <c r="A2032" s="22" t="n"/>
      <c r="B2032" s="27" t="n"/>
      <c r="C2032" s="17" t="n"/>
      <c r="D2032" s="17" t="n"/>
      <c r="E2032" s="17" t="n"/>
      <c r="F2032" s="28" t="n"/>
      <c r="G2032" s="29" t="n"/>
      <c r="H2032" s="29" t="n"/>
      <c r="I2032" s="29" t="n"/>
      <c r="J2032" s="29" t="n"/>
      <c r="K2032" s="30">
        <f>IF(B2032="","",SUM(G$2:I2032)-SUM(J$2:J2032))</f>
        <v/>
      </c>
      <c r="L2032" s="22">
        <f>IF(B2032="","",IF(B2032=B2031,L2031,N(L2031)+1))</f>
        <v/>
      </c>
    </row>
    <row r="2033">
      <c r="A2033" s="22" t="n"/>
      <c r="B2033" s="27" t="n"/>
      <c r="C2033" s="17" t="n"/>
      <c r="D2033" s="17" t="n"/>
      <c r="E2033" s="17" t="n"/>
      <c r="F2033" s="28" t="n"/>
      <c r="G2033" s="29" t="n"/>
      <c r="H2033" s="29" t="n"/>
      <c r="I2033" s="29" t="n"/>
      <c r="J2033" s="29" t="n"/>
      <c r="K2033" s="30">
        <f>IF(B2033="","",SUM(G$2:I2033)-SUM(J$2:J2033))</f>
        <v/>
      </c>
      <c r="L2033" s="22">
        <f>IF(B2033="","",IF(B2033=B2032,L2032,N(L2032)+1))</f>
        <v/>
      </c>
    </row>
    <row r="2034">
      <c r="A2034" s="22" t="n"/>
      <c r="B2034" s="27" t="n"/>
      <c r="C2034" s="17" t="n"/>
      <c r="D2034" s="17" t="n"/>
      <c r="E2034" s="17" t="n"/>
      <c r="F2034" s="28" t="n"/>
      <c r="G2034" s="29" t="n"/>
      <c r="H2034" s="29" t="n"/>
      <c r="I2034" s="29" t="n"/>
      <c r="J2034" s="29" t="n"/>
      <c r="K2034" s="30">
        <f>IF(B2034="","",SUM(G$2:I2034)-SUM(J$2:J2034))</f>
        <v/>
      </c>
      <c r="L2034" s="22">
        <f>IF(B2034="","",IF(B2034=B2033,L2033,N(L2033)+1))</f>
        <v/>
      </c>
    </row>
    <row r="2035">
      <c r="A2035" s="22" t="n"/>
      <c r="B2035" s="27" t="n"/>
      <c r="C2035" s="17" t="n"/>
      <c r="D2035" s="17" t="n"/>
      <c r="E2035" s="17" t="n"/>
      <c r="F2035" s="28" t="n"/>
      <c r="G2035" s="29" t="n"/>
      <c r="H2035" s="29" t="n"/>
      <c r="I2035" s="29" t="n"/>
      <c r="J2035" s="29" t="n"/>
      <c r="K2035" s="30">
        <f>IF(B2035="","",SUM(G$2:I2035)-SUM(J$2:J2035))</f>
        <v/>
      </c>
      <c r="L2035" s="22">
        <f>IF(B2035="","",IF(B2035=B2034,L2034,N(L2034)+1))</f>
        <v/>
      </c>
    </row>
    <row r="2036">
      <c r="A2036" s="22" t="n"/>
      <c r="B2036" s="27" t="n"/>
      <c r="C2036" s="17" t="n"/>
      <c r="D2036" s="17" t="n"/>
      <c r="E2036" s="17" t="n"/>
      <c r="F2036" s="28" t="n"/>
      <c r="G2036" s="29" t="n"/>
      <c r="H2036" s="29" t="n"/>
      <c r="I2036" s="29" t="n"/>
      <c r="J2036" s="29" t="n"/>
      <c r="K2036" s="30">
        <f>IF(B2036="","",SUM(G$2:I2036)-SUM(J$2:J2036))</f>
        <v/>
      </c>
      <c r="L2036" s="22">
        <f>IF(B2036="","",IF(B2036=B2035,L2035,N(L2035)+1))</f>
        <v/>
      </c>
    </row>
    <row r="2037">
      <c r="A2037" s="22" t="n"/>
      <c r="B2037" s="27" t="n"/>
      <c r="C2037" s="17" t="n"/>
      <c r="D2037" s="17" t="n"/>
      <c r="E2037" s="17" t="n"/>
      <c r="F2037" s="28" t="n"/>
      <c r="G2037" s="29" t="n"/>
      <c r="H2037" s="29" t="n"/>
      <c r="I2037" s="29" t="n"/>
      <c r="J2037" s="29" t="n"/>
      <c r="K2037" s="30">
        <f>IF(B2037="","",SUM(G$2:I2037)-SUM(J$2:J2037))</f>
        <v/>
      </c>
      <c r="L2037" s="22">
        <f>IF(B2037="","",IF(B2037=B2036,L2036,N(L2036)+1))</f>
        <v/>
      </c>
    </row>
    <row r="2038">
      <c r="A2038" s="22" t="n"/>
      <c r="B2038" s="27" t="n"/>
      <c r="C2038" s="17" t="n"/>
      <c r="D2038" s="17" t="n"/>
      <c r="E2038" s="17" t="n"/>
      <c r="F2038" s="28" t="n"/>
      <c r="G2038" s="29" t="n"/>
      <c r="H2038" s="29" t="n"/>
      <c r="I2038" s="29" t="n"/>
      <c r="J2038" s="29" t="n"/>
      <c r="K2038" s="30">
        <f>IF(B2038="","",SUM(G$2:I2038)-SUM(J$2:J2038))</f>
        <v/>
      </c>
      <c r="L2038" s="22">
        <f>IF(B2038="","",IF(B2038=B2037,L2037,N(L2037)+1))</f>
        <v/>
      </c>
    </row>
    <row r="2039">
      <c r="A2039" s="22" t="n"/>
      <c r="B2039" s="27" t="n"/>
      <c r="C2039" s="17" t="n"/>
      <c r="D2039" s="17" t="n"/>
      <c r="E2039" s="17" t="n"/>
      <c r="F2039" s="28" t="n"/>
      <c r="G2039" s="29" t="n"/>
      <c r="H2039" s="29" t="n"/>
      <c r="I2039" s="29" t="n"/>
      <c r="J2039" s="29" t="n"/>
      <c r="K2039" s="30">
        <f>IF(B2039="","",SUM(G$2:I2039)-SUM(J$2:J2039))</f>
        <v/>
      </c>
      <c r="L2039" s="22">
        <f>IF(B2039="","",IF(B2039=B2038,L2038,N(L2038)+1))</f>
        <v/>
      </c>
    </row>
    <row r="2040">
      <c r="A2040" s="22" t="n"/>
      <c r="B2040" s="27" t="n"/>
      <c r="C2040" s="17" t="n"/>
      <c r="D2040" s="17" t="n"/>
      <c r="E2040" s="17" t="n"/>
      <c r="F2040" s="28" t="n"/>
      <c r="G2040" s="29" t="n"/>
      <c r="H2040" s="29" t="n"/>
      <c r="I2040" s="29" t="n"/>
      <c r="J2040" s="29" t="n"/>
      <c r="K2040" s="30">
        <f>IF(B2040="","",SUM(G$2:I2040)-SUM(J$2:J2040))</f>
        <v/>
      </c>
      <c r="L2040" s="22">
        <f>IF(B2040="","",IF(B2040=B2039,L2039,N(L2039)+1))</f>
        <v/>
      </c>
    </row>
    <row r="2041">
      <c r="A2041" s="22" t="n"/>
      <c r="B2041" s="27" t="n"/>
      <c r="C2041" s="17" t="n"/>
      <c r="D2041" s="17" t="n"/>
      <c r="E2041" s="17" t="n"/>
      <c r="F2041" s="28" t="n"/>
      <c r="G2041" s="29" t="n"/>
      <c r="H2041" s="29" t="n"/>
      <c r="I2041" s="29" t="n"/>
      <c r="J2041" s="29" t="n"/>
      <c r="K2041" s="30">
        <f>IF(B2041="","",SUM(G$2:I2041)-SUM(J$2:J2041))</f>
        <v/>
      </c>
      <c r="L2041" s="22">
        <f>IF(B2041="","",IF(B2041=B2040,L2040,N(L2040)+1))</f>
        <v/>
      </c>
    </row>
    <row r="2042">
      <c r="A2042" s="22" t="n"/>
      <c r="B2042" s="27" t="n"/>
      <c r="C2042" s="17" t="n"/>
      <c r="D2042" s="17" t="n"/>
      <c r="E2042" s="17" t="n"/>
      <c r="F2042" s="28" t="n"/>
      <c r="G2042" s="29" t="n"/>
      <c r="H2042" s="29" t="n"/>
      <c r="I2042" s="29" t="n"/>
      <c r="J2042" s="29" t="n"/>
      <c r="K2042" s="30">
        <f>IF(B2042="","",SUM(G$2:I2042)-SUM(J$2:J2042))</f>
        <v/>
      </c>
      <c r="L2042" s="22">
        <f>IF(B2042="","",IF(B2042=B2041,L2041,N(L2041)+1))</f>
        <v/>
      </c>
    </row>
    <row r="2043">
      <c r="A2043" s="22" t="n"/>
      <c r="B2043" s="27" t="n"/>
      <c r="C2043" s="17" t="n"/>
      <c r="D2043" s="17" t="n"/>
      <c r="E2043" s="17" t="n"/>
      <c r="F2043" s="28" t="n"/>
      <c r="G2043" s="29" t="n"/>
      <c r="H2043" s="29" t="n"/>
      <c r="I2043" s="29" t="n"/>
      <c r="J2043" s="29" t="n"/>
      <c r="K2043" s="30">
        <f>IF(B2043="","",SUM(G$2:I2043)-SUM(J$2:J2043))</f>
        <v/>
      </c>
      <c r="L2043" s="22">
        <f>IF(B2043="","",IF(B2043=B2042,L2042,N(L2042)+1))</f>
        <v/>
      </c>
    </row>
    <row r="2044">
      <c r="A2044" s="22" t="n"/>
      <c r="B2044" s="27" t="n"/>
      <c r="C2044" s="17" t="n"/>
      <c r="D2044" s="17" t="n"/>
      <c r="E2044" s="17" t="n"/>
      <c r="F2044" s="28" t="n"/>
      <c r="G2044" s="29" t="n"/>
      <c r="H2044" s="29" t="n"/>
      <c r="I2044" s="29" t="n"/>
      <c r="J2044" s="29" t="n"/>
      <c r="K2044" s="30">
        <f>IF(B2044="","",SUM(G$2:I2044)-SUM(J$2:J2044))</f>
        <v/>
      </c>
      <c r="L2044" s="22">
        <f>IF(B2044="","",IF(B2044=B2043,L2043,N(L2043)+1))</f>
        <v/>
      </c>
    </row>
    <row r="2045">
      <c r="A2045" s="22" t="n"/>
      <c r="B2045" s="27" t="n"/>
      <c r="C2045" s="17" t="n"/>
      <c r="D2045" s="17" t="n"/>
      <c r="E2045" s="17" t="n"/>
      <c r="F2045" s="28" t="n"/>
      <c r="G2045" s="29" t="n"/>
      <c r="H2045" s="29" t="n"/>
      <c r="I2045" s="29" t="n"/>
      <c r="J2045" s="29" t="n"/>
      <c r="K2045" s="30">
        <f>IF(B2045="","",SUM(G$2:I2045)-SUM(J$2:J2045))</f>
        <v/>
      </c>
      <c r="L2045" s="22">
        <f>IF(B2045="","",IF(B2045=B2044,L2044,N(L2044)+1))</f>
        <v/>
      </c>
    </row>
    <row r="2046">
      <c r="A2046" s="22" t="n"/>
      <c r="B2046" s="27" t="n"/>
      <c r="C2046" s="17" t="n"/>
      <c r="D2046" s="17" t="n"/>
      <c r="E2046" s="17" t="n"/>
      <c r="F2046" s="28" t="n"/>
      <c r="G2046" s="29" t="n"/>
      <c r="H2046" s="29" t="n"/>
      <c r="I2046" s="29" t="n"/>
      <c r="J2046" s="29" t="n"/>
      <c r="K2046" s="30">
        <f>IF(B2046="","",SUM(G$2:I2046)-SUM(J$2:J2046))</f>
        <v/>
      </c>
      <c r="L2046" s="22">
        <f>IF(B2046="","",IF(B2046=B2045,L2045,N(L2045)+1))</f>
        <v/>
      </c>
    </row>
    <row r="2047">
      <c r="A2047" s="22" t="n"/>
      <c r="B2047" s="27" t="n"/>
      <c r="C2047" s="17" t="n"/>
      <c r="D2047" s="17" t="n"/>
      <c r="E2047" s="17" t="n"/>
      <c r="F2047" s="28" t="n"/>
      <c r="G2047" s="29" t="n"/>
      <c r="H2047" s="29" t="n"/>
      <c r="I2047" s="29" t="n"/>
      <c r="J2047" s="29" t="n"/>
      <c r="K2047" s="30">
        <f>IF(B2047="","",SUM(G$2:I2047)-SUM(J$2:J2047))</f>
        <v/>
      </c>
      <c r="L2047" s="22">
        <f>IF(B2047="","",IF(B2047=B2046,L2046,N(L2046)+1))</f>
        <v/>
      </c>
    </row>
    <row r="2048">
      <c r="A2048" s="22" t="n"/>
      <c r="B2048" s="27" t="n"/>
      <c r="C2048" s="17" t="n"/>
      <c r="D2048" s="17" t="n"/>
      <c r="E2048" s="17" t="n"/>
      <c r="F2048" s="28" t="n"/>
      <c r="G2048" s="29" t="n"/>
      <c r="H2048" s="29" t="n"/>
      <c r="I2048" s="29" t="n"/>
      <c r="J2048" s="29" t="n"/>
      <c r="K2048" s="30">
        <f>IF(B2048="","",SUM(G$2:I2048)-SUM(J$2:J2048))</f>
        <v/>
      </c>
      <c r="L2048" s="22">
        <f>IF(B2048="","",IF(B2048=B2047,L2047,N(L2047)+1))</f>
        <v/>
      </c>
    </row>
    <row r="2049">
      <c r="A2049" s="22" t="n"/>
      <c r="B2049" s="27" t="n"/>
      <c r="C2049" s="17" t="n"/>
      <c r="D2049" s="17" t="n"/>
      <c r="E2049" s="17" t="n"/>
      <c r="F2049" s="28" t="n"/>
      <c r="G2049" s="29" t="n"/>
      <c r="H2049" s="29" t="n"/>
      <c r="I2049" s="29" t="n"/>
      <c r="J2049" s="29" t="n"/>
      <c r="K2049" s="30">
        <f>IF(B2049="","",SUM(G$2:I2049)-SUM(J$2:J2049))</f>
        <v/>
      </c>
      <c r="L2049" s="22">
        <f>IF(B2049="","",IF(B2049=B2048,L2048,N(L2048)+1))</f>
        <v/>
      </c>
    </row>
    <row r="2050">
      <c r="A2050" s="22" t="n"/>
      <c r="B2050" s="27" t="n"/>
      <c r="C2050" s="17" t="n"/>
      <c r="D2050" s="17" t="n"/>
      <c r="E2050" s="17" t="n"/>
      <c r="F2050" s="28" t="n"/>
      <c r="G2050" s="29" t="n"/>
      <c r="H2050" s="29" t="n"/>
      <c r="I2050" s="29" t="n"/>
      <c r="J2050" s="29" t="n"/>
      <c r="K2050" s="30">
        <f>IF(B2050="","",SUM(G$2:I2050)-SUM(J$2:J2050))</f>
        <v/>
      </c>
      <c r="L2050" s="22">
        <f>IF(B2050="","",IF(B2050=B2049,L2049,N(L2049)+1))</f>
        <v/>
      </c>
    </row>
    <row r="2051">
      <c r="A2051" s="22" t="n"/>
      <c r="B2051" s="27" t="n"/>
      <c r="C2051" s="17" t="n"/>
      <c r="D2051" s="17" t="n"/>
      <c r="E2051" s="17" t="n"/>
      <c r="F2051" s="28" t="n"/>
      <c r="G2051" s="29" t="n"/>
      <c r="H2051" s="29" t="n"/>
      <c r="I2051" s="29" t="n"/>
      <c r="J2051" s="29" t="n"/>
      <c r="K2051" s="30">
        <f>IF(B2051="","",SUM(G$2:I2051)-SUM(J$2:J2051))</f>
        <v/>
      </c>
      <c r="L2051" s="22">
        <f>IF(B2051="","",IF(B2051=B2050,L2050,N(L2050)+1))</f>
        <v/>
      </c>
    </row>
    <row r="2052">
      <c r="A2052" s="22" t="n"/>
      <c r="B2052" s="27" t="n"/>
      <c r="C2052" s="17" t="n"/>
      <c r="D2052" s="17" t="n"/>
      <c r="E2052" s="17" t="n"/>
      <c r="F2052" s="28" t="n"/>
      <c r="G2052" s="29" t="n"/>
      <c r="H2052" s="29" t="n"/>
      <c r="I2052" s="29" t="n"/>
      <c r="J2052" s="29" t="n"/>
      <c r="K2052" s="30">
        <f>IF(B2052="","",SUM(G$2:I2052)-SUM(J$2:J2052))</f>
        <v/>
      </c>
      <c r="L2052" s="22">
        <f>IF(B2052="","",IF(B2052=B2051,L2051,N(L2051)+1))</f>
        <v/>
      </c>
    </row>
    <row r="2053">
      <c r="A2053" s="22" t="n"/>
      <c r="B2053" s="27" t="n"/>
      <c r="C2053" s="17" t="n"/>
      <c r="D2053" s="17" t="n"/>
      <c r="E2053" s="17" t="n"/>
      <c r="F2053" s="28" t="n"/>
      <c r="G2053" s="29" t="n"/>
      <c r="H2053" s="29" t="n"/>
      <c r="I2053" s="29" t="n"/>
      <c r="J2053" s="29" t="n"/>
      <c r="K2053" s="30">
        <f>IF(B2053="","",SUM(G$2:I2053)-SUM(J$2:J2053))</f>
        <v/>
      </c>
      <c r="L2053" s="22">
        <f>IF(B2053="","",IF(B2053=B2052,L2052,N(L2052)+1))</f>
        <v/>
      </c>
    </row>
    <row r="2054">
      <c r="A2054" s="22" t="n"/>
      <c r="B2054" s="27" t="n"/>
      <c r="C2054" s="17" t="n"/>
      <c r="D2054" s="17" t="n"/>
      <c r="E2054" s="17" t="n"/>
      <c r="F2054" s="28" t="n"/>
      <c r="G2054" s="29" t="n"/>
      <c r="H2054" s="29" t="n"/>
      <c r="I2054" s="29" t="n"/>
      <c r="J2054" s="29" t="n"/>
      <c r="K2054" s="30">
        <f>IF(B2054="","",SUM(G$2:I2054)-SUM(J$2:J2054))</f>
        <v/>
      </c>
      <c r="L2054" s="22">
        <f>IF(B2054="","",IF(B2054=B2053,L2053,N(L2053)+1))</f>
        <v/>
      </c>
    </row>
    <row r="2055">
      <c r="A2055" s="22" t="n"/>
      <c r="B2055" s="27" t="n"/>
      <c r="C2055" s="17" t="n"/>
      <c r="D2055" s="17" t="n"/>
      <c r="E2055" s="17" t="n"/>
      <c r="F2055" s="28" t="n"/>
      <c r="G2055" s="29" t="n"/>
      <c r="H2055" s="29" t="n"/>
      <c r="I2055" s="29" t="n"/>
      <c r="J2055" s="29" t="n"/>
      <c r="K2055" s="30">
        <f>IF(B2055="","",SUM(G$2:I2055)-SUM(J$2:J2055))</f>
        <v/>
      </c>
      <c r="L2055" s="22">
        <f>IF(B2055="","",IF(B2055=B2054,L2054,N(L2054)+1))</f>
        <v/>
      </c>
    </row>
    <row r="2056">
      <c r="A2056" s="22" t="n"/>
      <c r="B2056" s="27" t="n"/>
      <c r="C2056" s="17" t="n"/>
      <c r="D2056" s="17" t="n"/>
      <c r="E2056" s="17" t="n"/>
      <c r="F2056" s="28" t="n"/>
      <c r="G2056" s="29" t="n"/>
      <c r="H2056" s="29" t="n"/>
      <c r="I2056" s="29" t="n"/>
      <c r="J2056" s="29" t="n"/>
      <c r="K2056" s="30">
        <f>IF(B2056="","",SUM(G$2:I2056)-SUM(J$2:J2056))</f>
        <v/>
      </c>
      <c r="L2056" s="22">
        <f>IF(B2056="","",IF(B2056=B2055,L2055,N(L2055)+1))</f>
        <v/>
      </c>
    </row>
    <row r="2057">
      <c r="A2057" s="22" t="n"/>
      <c r="B2057" s="27" t="n"/>
      <c r="C2057" s="17" t="n"/>
      <c r="D2057" s="17" t="n"/>
      <c r="E2057" s="17" t="n"/>
      <c r="F2057" s="28" t="n"/>
      <c r="G2057" s="29" t="n"/>
      <c r="H2057" s="29" t="n"/>
      <c r="I2057" s="29" t="n"/>
      <c r="J2057" s="29" t="n"/>
      <c r="K2057" s="30">
        <f>IF(B2057="","",SUM(G$2:I2057)-SUM(J$2:J2057))</f>
        <v/>
      </c>
      <c r="L2057" s="22">
        <f>IF(B2057="","",IF(B2057=B2056,L2056,N(L2056)+1))</f>
        <v/>
      </c>
    </row>
    <row r="2058">
      <c r="A2058" s="22" t="n"/>
      <c r="B2058" s="27" t="n"/>
      <c r="C2058" s="17" t="n"/>
      <c r="D2058" s="17" t="n"/>
      <c r="E2058" s="17" t="n"/>
      <c r="F2058" s="28" t="n"/>
      <c r="G2058" s="29" t="n"/>
      <c r="H2058" s="29" t="n"/>
      <c r="I2058" s="29" t="n"/>
      <c r="J2058" s="29" t="n"/>
      <c r="K2058" s="30">
        <f>IF(B2058="","",SUM(G$2:I2058)-SUM(J$2:J2058))</f>
        <v/>
      </c>
      <c r="L2058" s="22">
        <f>IF(B2058="","",IF(B2058=B2057,L2057,N(L2057)+1))</f>
        <v/>
      </c>
    </row>
    <row r="2059">
      <c r="A2059" s="22" t="n"/>
      <c r="B2059" s="27" t="n"/>
      <c r="C2059" s="17" t="n"/>
      <c r="D2059" s="17" t="n"/>
      <c r="E2059" s="17" t="n"/>
      <c r="F2059" s="28" t="n"/>
      <c r="G2059" s="29" t="n"/>
      <c r="H2059" s="29" t="n"/>
      <c r="I2059" s="29" t="n"/>
      <c r="J2059" s="29" t="n"/>
      <c r="K2059" s="30">
        <f>IF(B2059="","",SUM(G$2:I2059)-SUM(J$2:J2059))</f>
        <v/>
      </c>
      <c r="L2059" s="22">
        <f>IF(B2059="","",IF(B2059=B2058,L2058,N(L2058)+1))</f>
        <v/>
      </c>
    </row>
    <row r="2060">
      <c r="A2060" s="22" t="n"/>
      <c r="B2060" s="27" t="n"/>
      <c r="C2060" s="17" t="n"/>
      <c r="D2060" s="17" t="n"/>
      <c r="E2060" s="17" t="n"/>
      <c r="F2060" s="28" t="n"/>
      <c r="G2060" s="29" t="n"/>
      <c r="H2060" s="29" t="n"/>
      <c r="I2060" s="29" t="n"/>
      <c r="J2060" s="29" t="n"/>
      <c r="K2060" s="30">
        <f>IF(B2060="","",SUM(G$2:I2060)-SUM(J$2:J2060))</f>
        <v/>
      </c>
      <c r="L2060" s="22">
        <f>IF(B2060="","",IF(B2060=B2059,L2059,N(L2059)+1))</f>
        <v/>
      </c>
    </row>
    <row r="2061">
      <c r="A2061" s="22" t="n"/>
      <c r="B2061" s="27" t="n"/>
      <c r="C2061" s="17" t="n"/>
      <c r="D2061" s="17" t="n"/>
      <c r="E2061" s="17" t="n"/>
      <c r="F2061" s="28" t="n"/>
      <c r="G2061" s="29" t="n"/>
      <c r="H2061" s="29" t="n"/>
      <c r="I2061" s="29" t="n"/>
      <c r="J2061" s="29" t="n"/>
      <c r="K2061" s="30">
        <f>IF(B2061="","",SUM(G$2:I2061)-SUM(J$2:J2061))</f>
        <v/>
      </c>
      <c r="L2061" s="22">
        <f>IF(B2061="","",IF(B2061=B2060,L2060,N(L2060)+1))</f>
        <v/>
      </c>
    </row>
    <row r="2062">
      <c r="A2062" s="22" t="n"/>
      <c r="B2062" s="27" t="n"/>
      <c r="C2062" s="17" t="n"/>
      <c r="D2062" s="17" t="n"/>
      <c r="E2062" s="17" t="n"/>
      <c r="F2062" s="28" t="n"/>
      <c r="G2062" s="29" t="n"/>
      <c r="H2062" s="29" t="n"/>
      <c r="I2062" s="29" t="n"/>
      <c r="J2062" s="29" t="n"/>
      <c r="K2062" s="30">
        <f>IF(B2062="","",SUM(G$2:I2062)-SUM(J$2:J2062))</f>
        <v/>
      </c>
      <c r="L2062" s="22">
        <f>IF(B2062="","",IF(B2062=B2061,L2061,N(L2061)+1))</f>
        <v/>
      </c>
    </row>
    <row r="2063">
      <c r="A2063" s="22" t="n"/>
      <c r="B2063" s="27" t="n"/>
      <c r="C2063" s="17" t="n"/>
      <c r="D2063" s="17" t="n"/>
      <c r="E2063" s="17" t="n"/>
      <c r="F2063" s="28" t="n"/>
      <c r="G2063" s="29" t="n"/>
      <c r="H2063" s="29" t="n"/>
      <c r="I2063" s="29" t="n"/>
      <c r="J2063" s="29" t="n"/>
      <c r="K2063" s="30">
        <f>IF(B2063="","",SUM(G$2:I2063)-SUM(J$2:J2063))</f>
        <v/>
      </c>
      <c r="L2063" s="22">
        <f>IF(B2063="","",IF(B2063=B2062,L2062,N(L2062)+1))</f>
        <v/>
      </c>
    </row>
    <row r="2064">
      <c r="A2064" s="22" t="n"/>
      <c r="B2064" s="27" t="n"/>
      <c r="C2064" s="17" t="n"/>
      <c r="D2064" s="17" t="n"/>
      <c r="E2064" s="17" t="n"/>
      <c r="F2064" s="28" t="n"/>
      <c r="G2064" s="29" t="n"/>
      <c r="H2064" s="29" t="n"/>
      <c r="I2064" s="29" t="n"/>
      <c r="J2064" s="29" t="n"/>
      <c r="K2064" s="30">
        <f>IF(B2064="","",SUM(G$2:I2064)-SUM(J$2:J2064))</f>
        <v/>
      </c>
      <c r="L2064" s="22">
        <f>IF(B2064="","",IF(B2064=B2063,L2063,N(L2063)+1))</f>
        <v/>
      </c>
    </row>
    <row r="2065">
      <c r="A2065" s="22" t="n"/>
      <c r="B2065" s="27" t="n"/>
      <c r="C2065" s="17" t="n"/>
      <c r="D2065" s="17" t="n"/>
      <c r="E2065" s="17" t="n"/>
      <c r="F2065" s="28" t="n"/>
      <c r="G2065" s="29" t="n"/>
      <c r="H2065" s="29" t="n"/>
      <c r="I2065" s="29" t="n"/>
      <c r="J2065" s="29" t="n"/>
      <c r="K2065" s="30">
        <f>IF(B2065="","",SUM(G$2:I2065)-SUM(J$2:J2065))</f>
        <v/>
      </c>
      <c r="L2065" s="22">
        <f>IF(B2065="","",IF(B2065=B2064,L2064,N(L2064)+1))</f>
        <v/>
      </c>
    </row>
    <row r="2066">
      <c r="A2066" s="22" t="n"/>
      <c r="B2066" s="27" t="n"/>
      <c r="C2066" s="17" t="n"/>
      <c r="D2066" s="17" t="n"/>
      <c r="E2066" s="17" t="n"/>
      <c r="F2066" s="28" t="n"/>
      <c r="G2066" s="29" t="n"/>
      <c r="H2066" s="29" t="n"/>
      <c r="I2066" s="29" t="n"/>
      <c r="J2066" s="29" t="n"/>
      <c r="K2066" s="30">
        <f>IF(B2066="","",SUM(G$2:I2066)-SUM(J$2:J2066))</f>
        <v/>
      </c>
      <c r="L2066" s="22">
        <f>IF(B2066="","",IF(B2066=B2065,L2065,N(L2065)+1))</f>
        <v/>
      </c>
    </row>
    <row r="2067">
      <c r="A2067" s="22" t="n"/>
      <c r="B2067" s="27" t="n"/>
      <c r="C2067" s="17" t="n"/>
      <c r="D2067" s="17" t="n"/>
      <c r="E2067" s="17" t="n"/>
      <c r="F2067" s="28" t="n"/>
      <c r="G2067" s="29" t="n"/>
      <c r="H2067" s="29" t="n"/>
      <c r="I2067" s="29" t="n"/>
      <c r="J2067" s="29" t="n"/>
      <c r="K2067" s="30">
        <f>IF(B2067="","",SUM(G$2:I2067)-SUM(J$2:J2067))</f>
        <v/>
      </c>
      <c r="L2067" s="22">
        <f>IF(B2067="","",IF(B2067=B2066,L2066,N(L2066)+1))</f>
        <v/>
      </c>
    </row>
    <row r="2068">
      <c r="A2068" s="22" t="n"/>
      <c r="B2068" s="27" t="n"/>
      <c r="C2068" s="17" t="n"/>
      <c r="D2068" s="17" t="n"/>
      <c r="E2068" s="17" t="n"/>
      <c r="F2068" s="28" t="n"/>
      <c r="G2068" s="29" t="n"/>
      <c r="H2068" s="29" t="n"/>
      <c r="I2068" s="29" t="n"/>
      <c r="J2068" s="29" t="n"/>
      <c r="K2068" s="30">
        <f>IF(B2068="","",SUM(G$2:I2068)-SUM(J$2:J2068))</f>
        <v/>
      </c>
      <c r="L2068" s="22">
        <f>IF(B2068="","",IF(B2068=B2067,L2067,N(L2067)+1))</f>
        <v/>
      </c>
    </row>
    <row r="2069">
      <c r="A2069" s="22" t="n"/>
      <c r="B2069" s="27" t="n"/>
      <c r="C2069" s="17" t="n"/>
      <c r="D2069" s="17" t="n"/>
      <c r="E2069" s="17" t="n"/>
      <c r="F2069" s="28" t="n"/>
      <c r="G2069" s="29" t="n"/>
      <c r="H2069" s="29" t="n"/>
      <c r="I2069" s="29" t="n"/>
      <c r="J2069" s="29" t="n"/>
      <c r="K2069" s="30">
        <f>IF(B2069="","",SUM(G$2:I2069)-SUM(J$2:J2069))</f>
        <v/>
      </c>
      <c r="L2069" s="22">
        <f>IF(B2069="","",IF(B2069=B2068,L2068,N(L2068)+1))</f>
        <v/>
      </c>
    </row>
    <row r="2070">
      <c r="A2070" s="22" t="n"/>
      <c r="B2070" s="27" t="n"/>
      <c r="C2070" s="17" t="n"/>
      <c r="D2070" s="17" t="n"/>
      <c r="E2070" s="17" t="n"/>
      <c r="F2070" s="28" t="n"/>
      <c r="G2070" s="29" t="n"/>
      <c r="H2070" s="29" t="n"/>
      <c r="I2070" s="29" t="n"/>
      <c r="J2070" s="29" t="n"/>
      <c r="K2070" s="30">
        <f>IF(B2070="","",SUM(G$2:I2070)-SUM(J$2:J2070))</f>
        <v/>
      </c>
      <c r="L2070" s="22">
        <f>IF(B2070="","",IF(B2070=B2069,L2069,N(L2069)+1))</f>
        <v/>
      </c>
    </row>
    <row r="2071">
      <c r="A2071" s="22" t="n"/>
      <c r="B2071" s="27" t="n"/>
      <c r="C2071" s="17" t="n"/>
      <c r="D2071" s="17" t="n"/>
      <c r="E2071" s="17" t="n"/>
      <c r="F2071" s="28" t="n"/>
      <c r="G2071" s="29" t="n"/>
      <c r="H2071" s="29" t="n"/>
      <c r="I2071" s="29" t="n"/>
      <c r="J2071" s="29" t="n"/>
      <c r="K2071" s="30">
        <f>IF(B2071="","",SUM(G$2:I2071)-SUM(J$2:J2071))</f>
        <v/>
      </c>
      <c r="L2071" s="22">
        <f>IF(B2071="","",IF(B2071=B2070,L2070,N(L2070)+1))</f>
        <v/>
      </c>
    </row>
    <row r="2072">
      <c r="A2072" s="22" t="n"/>
      <c r="B2072" s="27" t="n"/>
      <c r="C2072" s="17" t="n"/>
      <c r="D2072" s="17" t="n"/>
      <c r="E2072" s="17" t="n"/>
      <c r="F2072" s="28" t="n"/>
      <c r="G2072" s="29" t="n"/>
      <c r="H2072" s="29" t="n"/>
      <c r="I2072" s="29" t="n"/>
      <c r="J2072" s="29" t="n"/>
      <c r="K2072" s="30">
        <f>IF(B2072="","",SUM(G$2:I2072)-SUM(J$2:J2072))</f>
        <v/>
      </c>
      <c r="L2072" s="22">
        <f>IF(B2072="","",IF(B2072=B2071,L2071,N(L2071)+1))</f>
        <v/>
      </c>
    </row>
    <row r="2073">
      <c r="A2073" s="22" t="n"/>
      <c r="B2073" s="27" t="n"/>
      <c r="C2073" s="17" t="n"/>
      <c r="D2073" s="17" t="n"/>
      <c r="E2073" s="17" t="n"/>
      <c r="F2073" s="28" t="n"/>
      <c r="G2073" s="29" t="n"/>
      <c r="H2073" s="29" t="n"/>
      <c r="I2073" s="29" t="n"/>
      <c r="J2073" s="29" t="n"/>
      <c r="K2073" s="30">
        <f>IF(B2073="","",SUM(G$2:I2073)-SUM(J$2:J2073))</f>
        <v/>
      </c>
      <c r="L2073" s="22">
        <f>IF(B2073="","",IF(B2073=B2072,L2072,N(L2072)+1))</f>
        <v/>
      </c>
    </row>
    <row r="2074">
      <c r="A2074" s="22" t="n"/>
      <c r="B2074" s="27" t="n"/>
      <c r="C2074" s="17" t="n"/>
      <c r="D2074" s="17" t="n"/>
      <c r="E2074" s="17" t="n"/>
      <c r="F2074" s="28" t="n"/>
      <c r="G2074" s="29" t="n"/>
      <c r="H2074" s="29" t="n"/>
      <c r="I2074" s="29" t="n"/>
      <c r="J2074" s="29" t="n"/>
      <c r="K2074" s="30">
        <f>IF(B2074="","",SUM(G$2:I2074)-SUM(J$2:J2074))</f>
        <v/>
      </c>
      <c r="L2074" s="22">
        <f>IF(B2074="","",IF(B2074=B2073,L2073,N(L2073)+1))</f>
        <v/>
      </c>
    </row>
    <row r="2075">
      <c r="A2075" s="22" t="n"/>
      <c r="B2075" s="27" t="n"/>
      <c r="C2075" s="17" t="n"/>
      <c r="D2075" s="17" t="n"/>
      <c r="E2075" s="17" t="n"/>
      <c r="F2075" s="28" t="n"/>
      <c r="G2075" s="29" t="n"/>
      <c r="H2075" s="29" t="n"/>
      <c r="I2075" s="29" t="n"/>
      <c r="J2075" s="29" t="n"/>
      <c r="K2075" s="30">
        <f>IF(B2075="","",SUM(G$2:I2075)-SUM(J$2:J2075))</f>
        <v/>
      </c>
      <c r="L2075" s="22">
        <f>IF(B2075="","",IF(B2075=B2074,L2074,N(L2074)+1))</f>
        <v/>
      </c>
    </row>
    <row r="2076">
      <c r="A2076" s="22" t="n"/>
      <c r="B2076" s="27" t="n"/>
      <c r="C2076" s="17" t="n"/>
      <c r="D2076" s="17" t="n"/>
      <c r="E2076" s="17" t="n"/>
      <c r="F2076" s="28" t="n"/>
      <c r="G2076" s="29" t="n"/>
      <c r="H2076" s="29" t="n"/>
      <c r="I2076" s="29" t="n"/>
      <c r="J2076" s="29" t="n"/>
      <c r="K2076" s="30">
        <f>IF(B2076="","",SUM(G$2:I2076)-SUM(J$2:J2076))</f>
        <v/>
      </c>
      <c r="L2076" s="22">
        <f>IF(B2076="","",IF(B2076=B2075,L2075,N(L2075)+1))</f>
        <v/>
      </c>
    </row>
    <row r="2077">
      <c r="A2077" s="22" t="n"/>
      <c r="B2077" s="27" t="n"/>
      <c r="C2077" s="17" t="n"/>
      <c r="D2077" s="17" t="n"/>
      <c r="E2077" s="17" t="n"/>
      <c r="F2077" s="28" t="n"/>
      <c r="G2077" s="29" t="n"/>
      <c r="H2077" s="29" t="n"/>
      <c r="I2077" s="29" t="n"/>
      <c r="J2077" s="29" t="n"/>
      <c r="K2077" s="30">
        <f>IF(B2077="","",SUM(G$2:I2077)-SUM(J$2:J2077))</f>
        <v/>
      </c>
      <c r="L2077" s="22">
        <f>IF(B2077="","",IF(B2077=B2076,L2076,N(L2076)+1))</f>
        <v/>
      </c>
    </row>
    <row r="2078">
      <c r="A2078" s="22" t="n"/>
      <c r="B2078" s="27" t="n"/>
      <c r="C2078" s="17" t="n"/>
      <c r="D2078" s="17" t="n"/>
      <c r="E2078" s="17" t="n"/>
      <c r="F2078" s="28" t="n"/>
      <c r="G2078" s="29" t="n"/>
      <c r="H2078" s="29" t="n"/>
      <c r="I2078" s="29" t="n"/>
      <c r="J2078" s="29" t="n"/>
      <c r="K2078" s="30">
        <f>IF(B2078="","",SUM(G$2:I2078)-SUM(J$2:J2078))</f>
        <v/>
      </c>
      <c r="L2078" s="22">
        <f>IF(B2078="","",IF(B2078=B2077,L2077,N(L2077)+1))</f>
        <v/>
      </c>
    </row>
    <row r="2079">
      <c r="A2079" s="22" t="n"/>
      <c r="B2079" s="27" t="n"/>
      <c r="C2079" s="17" t="n"/>
      <c r="D2079" s="17" t="n"/>
      <c r="E2079" s="17" t="n"/>
      <c r="F2079" s="28" t="n"/>
      <c r="G2079" s="29" t="n"/>
      <c r="H2079" s="29" t="n"/>
      <c r="I2079" s="29" t="n"/>
      <c r="J2079" s="29" t="n"/>
      <c r="K2079" s="30">
        <f>IF(B2079="","",SUM(G$2:I2079)-SUM(J$2:J2079))</f>
        <v/>
      </c>
      <c r="L2079" s="22">
        <f>IF(B2079="","",IF(B2079=B2078,L2078,N(L2078)+1))</f>
        <v/>
      </c>
    </row>
    <row r="2080">
      <c r="A2080" s="22" t="n"/>
      <c r="B2080" s="27" t="n"/>
      <c r="C2080" s="17" t="n"/>
      <c r="D2080" s="17" t="n"/>
      <c r="E2080" s="17" t="n"/>
      <c r="F2080" s="28" t="n"/>
      <c r="G2080" s="29" t="n"/>
      <c r="H2080" s="29" t="n"/>
      <c r="I2080" s="29" t="n"/>
      <c r="J2080" s="29" t="n"/>
      <c r="K2080" s="30">
        <f>IF(B2080="","",SUM(G$2:I2080)-SUM(J$2:J2080))</f>
        <v/>
      </c>
      <c r="L2080" s="22">
        <f>IF(B2080="","",IF(B2080=B2079,L2079,N(L2079)+1))</f>
        <v/>
      </c>
    </row>
    <row r="2081">
      <c r="A2081" s="22" t="n"/>
      <c r="B2081" s="27" t="n"/>
      <c r="C2081" s="17" t="n"/>
      <c r="D2081" s="17" t="n"/>
      <c r="E2081" s="17" t="n"/>
      <c r="F2081" s="28" t="n"/>
      <c r="G2081" s="29" t="n"/>
      <c r="H2081" s="29" t="n"/>
      <c r="I2081" s="29" t="n"/>
      <c r="J2081" s="29" t="n"/>
      <c r="K2081" s="30">
        <f>IF(B2081="","",SUM(G$2:I2081)-SUM(J$2:J2081))</f>
        <v/>
      </c>
      <c r="L2081" s="22">
        <f>IF(B2081="","",IF(B2081=B2080,L2080,N(L2080)+1))</f>
        <v/>
      </c>
    </row>
    <row r="2082">
      <c r="A2082" s="22" t="n"/>
      <c r="B2082" s="27" t="n"/>
      <c r="C2082" s="17" t="n"/>
      <c r="D2082" s="17" t="n"/>
      <c r="E2082" s="17" t="n"/>
      <c r="F2082" s="28" t="n"/>
      <c r="G2082" s="29" t="n"/>
      <c r="H2082" s="29" t="n"/>
      <c r="I2082" s="29" t="n"/>
      <c r="J2082" s="29" t="n"/>
      <c r="K2082" s="30">
        <f>IF(B2082="","",SUM(G$2:I2082)-SUM(J$2:J2082))</f>
        <v/>
      </c>
      <c r="L2082" s="22">
        <f>IF(B2082="","",IF(B2082=B2081,L2081,N(L2081)+1))</f>
        <v/>
      </c>
    </row>
    <row r="2083">
      <c r="A2083" s="22" t="n"/>
      <c r="B2083" s="27" t="n"/>
      <c r="C2083" s="17" t="n"/>
      <c r="D2083" s="17" t="n"/>
      <c r="E2083" s="17" t="n"/>
      <c r="F2083" s="28" t="n"/>
      <c r="G2083" s="29" t="n"/>
      <c r="H2083" s="29" t="n"/>
      <c r="I2083" s="29" t="n"/>
      <c r="J2083" s="29" t="n"/>
      <c r="K2083" s="30">
        <f>IF(B2083="","",SUM(G$2:I2083)-SUM(J$2:J2083))</f>
        <v/>
      </c>
      <c r="L2083" s="22">
        <f>IF(B2083="","",IF(B2083=B2082,L2082,N(L2082)+1))</f>
        <v/>
      </c>
    </row>
    <row r="2084">
      <c r="A2084" s="22" t="n"/>
      <c r="B2084" s="27" t="n"/>
      <c r="C2084" s="17" t="n"/>
      <c r="D2084" s="17" t="n"/>
      <c r="E2084" s="17" t="n"/>
      <c r="F2084" s="28" t="n"/>
      <c r="G2084" s="29" t="n"/>
      <c r="H2084" s="29" t="n"/>
      <c r="I2084" s="29" t="n"/>
      <c r="J2084" s="29" t="n"/>
      <c r="K2084" s="30">
        <f>IF(B2084="","",SUM(G$2:I2084)-SUM(J$2:J2084))</f>
        <v/>
      </c>
      <c r="L2084" s="22">
        <f>IF(B2084="","",IF(B2084=B2083,L2083,N(L2083)+1))</f>
        <v/>
      </c>
    </row>
    <row r="2085">
      <c r="A2085" s="22" t="n"/>
      <c r="B2085" s="27" t="n"/>
      <c r="C2085" s="17" t="n"/>
      <c r="D2085" s="17" t="n"/>
      <c r="E2085" s="17" t="n"/>
      <c r="F2085" s="28" t="n"/>
      <c r="G2085" s="29" t="n"/>
      <c r="H2085" s="29" t="n"/>
      <c r="I2085" s="29" t="n"/>
      <c r="J2085" s="29" t="n"/>
      <c r="K2085" s="30">
        <f>IF(B2085="","",SUM(G$2:I2085)-SUM(J$2:J2085))</f>
        <v/>
      </c>
      <c r="L2085" s="22">
        <f>IF(B2085="","",IF(B2085=B2084,L2084,N(L2084)+1))</f>
        <v/>
      </c>
    </row>
    <row r="2086">
      <c r="A2086" s="22" t="n"/>
      <c r="B2086" s="27" t="n"/>
      <c r="C2086" s="17" t="n"/>
      <c r="D2086" s="17" t="n"/>
      <c r="E2086" s="17" t="n"/>
      <c r="F2086" s="28" t="n"/>
      <c r="G2086" s="29" t="n"/>
      <c r="H2086" s="29" t="n"/>
      <c r="I2086" s="29" t="n"/>
      <c r="J2086" s="29" t="n"/>
      <c r="K2086" s="30">
        <f>IF(B2086="","",SUM(G$2:I2086)-SUM(J$2:J2086))</f>
        <v/>
      </c>
      <c r="L2086" s="22">
        <f>IF(B2086="","",IF(B2086=B2085,L2085,N(L2085)+1))</f>
        <v/>
      </c>
    </row>
    <row r="2087">
      <c r="A2087" s="22" t="n"/>
      <c r="B2087" s="27" t="n"/>
      <c r="C2087" s="17" t="n"/>
      <c r="D2087" s="17" t="n"/>
      <c r="E2087" s="17" t="n"/>
      <c r="F2087" s="28" t="n"/>
      <c r="G2087" s="29" t="n"/>
      <c r="H2087" s="29" t="n"/>
      <c r="I2087" s="29" t="n"/>
      <c r="J2087" s="29" t="n"/>
      <c r="K2087" s="30">
        <f>IF(B2087="","",SUM(G$2:I2087)-SUM(J$2:J2087))</f>
        <v/>
      </c>
      <c r="L2087" s="22">
        <f>IF(B2087="","",IF(B2087=B2086,L2086,N(L2086)+1))</f>
        <v/>
      </c>
    </row>
    <row r="2088">
      <c r="A2088" s="22" t="n"/>
      <c r="B2088" s="27" t="n"/>
      <c r="C2088" s="17" t="n"/>
      <c r="D2088" s="17" t="n"/>
      <c r="E2088" s="17" t="n"/>
      <c r="F2088" s="28" t="n"/>
      <c r="G2088" s="29" t="n"/>
      <c r="H2088" s="29" t="n"/>
      <c r="I2088" s="29" t="n"/>
      <c r="J2088" s="29" t="n"/>
      <c r="K2088" s="30">
        <f>IF(B2088="","",SUM(G$2:I2088)-SUM(J$2:J2088))</f>
        <v/>
      </c>
      <c r="L2088" s="22">
        <f>IF(B2088="","",IF(B2088=B2087,L2087,N(L2087)+1))</f>
        <v/>
      </c>
    </row>
    <row r="2089">
      <c r="A2089" s="22" t="n"/>
      <c r="B2089" s="27" t="n"/>
      <c r="C2089" s="17" t="n"/>
      <c r="D2089" s="17" t="n"/>
      <c r="E2089" s="17" t="n"/>
      <c r="F2089" s="28" t="n"/>
      <c r="G2089" s="29" t="n"/>
      <c r="H2089" s="29" t="n"/>
      <c r="I2089" s="29" t="n"/>
      <c r="J2089" s="29" t="n"/>
      <c r="K2089" s="30">
        <f>IF(B2089="","",SUM(G$2:I2089)-SUM(J$2:J2089))</f>
        <v/>
      </c>
      <c r="L2089" s="22">
        <f>IF(B2089="","",IF(B2089=B2088,L2088,N(L2088)+1))</f>
        <v/>
      </c>
    </row>
    <row r="2090">
      <c r="A2090" s="22" t="n"/>
      <c r="B2090" s="27" t="n"/>
      <c r="C2090" s="17" t="n"/>
      <c r="D2090" s="17" t="n"/>
      <c r="E2090" s="17" t="n"/>
      <c r="F2090" s="28" t="n"/>
      <c r="G2090" s="29" t="n"/>
      <c r="H2090" s="29" t="n"/>
      <c r="I2090" s="29" t="n"/>
      <c r="J2090" s="29" t="n"/>
      <c r="K2090" s="30">
        <f>IF(B2090="","",SUM(G$2:I2090)-SUM(J$2:J2090))</f>
        <v/>
      </c>
      <c r="L2090" s="22">
        <f>IF(B2090="","",IF(B2090=B2089,L2089,N(L2089)+1))</f>
        <v/>
      </c>
    </row>
    <row r="2091">
      <c r="A2091" s="22" t="n"/>
      <c r="B2091" s="27" t="n"/>
      <c r="C2091" s="17" t="n"/>
      <c r="D2091" s="17" t="n"/>
      <c r="E2091" s="17" t="n"/>
      <c r="F2091" s="28" t="n"/>
      <c r="G2091" s="29" t="n"/>
      <c r="H2091" s="29" t="n"/>
      <c r="I2091" s="29" t="n"/>
      <c r="J2091" s="29" t="n"/>
      <c r="K2091" s="30">
        <f>IF(B2091="","",SUM(G$2:I2091)-SUM(J$2:J2091))</f>
        <v/>
      </c>
      <c r="L2091" s="22">
        <f>IF(B2091="","",IF(B2091=B2090,L2090,N(L2090)+1))</f>
        <v/>
      </c>
    </row>
    <row r="2092">
      <c r="A2092" s="22" t="n"/>
      <c r="B2092" s="27" t="n"/>
      <c r="C2092" s="17" t="n"/>
      <c r="D2092" s="17" t="n"/>
      <c r="E2092" s="17" t="n"/>
      <c r="F2092" s="28" t="n"/>
      <c r="G2092" s="29" t="n"/>
      <c r="H2092" s="29" t="n"/>
      <c r="I2092" s="29" t="n"/>
      <c r="J2092" s="29" t="n"/>
      <c r="K2092" s="30">
        <f>IF(B2092="","",SUM(G$2:I2092)-SUM(J$2:J2092))</f>
        <v/>
      </c>
      <c r="L2092" s="22">
        <f>IF(B2092="","",IF(B2092=B2091,L2091,N(L2091)+1))</f>
        <v/>
      </c>
    </row>
    <row r="2093">
      <c r="A2093" s="22" t="n"/>
      <c r="B2093" s="27" t="n"/>
      <c r="C2093" s="17" t="n"/>
      <c r="D2093" s="17" t="n"/>
      <c r="E2093" s="17" t="n"/>
      <c r="F2093" s="28" t="n"/>
      <c r="G2093" s="29" t="n"/>
      <c r="H2093" s="29" t="n"/>
      <c r="I2093" s="29" t="n"/>
      <c r="J2093" s="29" t="n"/>
      <c r="K2093" s="30">
        <f>IF(B2093="","",SUM(G$2:I2093)-SUM(J$2:J2093))</f>
        <v/>
      </c>
      <c r="L2093" s="22">
        <f>IF(B2093="","",IF(B2093=B2092,L2092,N(L2092)+1))</f>
        <v/>
      </c>
    </row>
    <row r="2094">
      <c r="A2094" s="22" t="n"/>
      <c r="B2094" s="27" t="n"/>
      <c r="C2094" s="17" t="n"/>
      <c r="D2094" s="17" t="n"/>
      <c r="E2094" s="17" t="n"/>
      <c r="F2094" s="28" t="n"/>
      <c r="G2094" s="29" t="n"/>
      <c r="H2094" s="29" t="n"/>
      <c r="I2094" s="29" t="n"/>
      <c r="J2094" s="29" t="n"/>
      <c r="K2094" s="30">
        <f>IF(B2094="","",SUM(G$2:I2094)-SUM(J$2:J2094))</f>
        <v/>
      </c>
      <c r="L2094" s="22">
        <f>IF(B2094="","",IF(B2094=B2093,L2093,N(L2093)+1))</f>
        <v/>
      </c>
    </row>
    <row r="2095">
      <c r="A2095" s="22" t="n"/>
      <c r="B2095" s="27" t="n"/>
      <c r="C2095" s="17" t="n"/>
      <c r="D2095" s="17" t="n"/>
      <c r="E2095" s="17" t="n"/>
      <c r="F2095" s="28" t="n"/>
      <c r="G2095" s="29" t="n"/>
      <c r="H2095" s="29" t="n"/>
      <c r="I2095" s="29" t="n"/>
      <c r="J2095" s="29" t="n"/>
      <c r="K2095" s="30">
        <f>IF(B2095="","",SUM(G$2:I2095)-SUM(J$2:J2095))</f>
        <v/>
      </c>
      <c r="L2095" s="22">
        <f>IF(B2095="","",IF(B2095=B2094,L2094,N(L2094)+1))</f>
        <v/>
      </c>
    </row>
    <row r="2096">
      <c r="A2096" s="22" t="n"/>
      <c r="B2096" s="27" t="n"/>
      <c r="C2096" s="17" t="n"/>
      <c r="D2096" s="17" t="n"/>
      <c r="E2096" s="17" t="n"/>
      <c r="F2096" s="28" t="n"/>
      <c r="G2096" s="29" t="n"/>
      <c r="H2096" s="29" t="n"/>
      <c r="I2096" s="29" t="n"/>
      <c r="J2096" s="29" t="n"/>
      <c r="K2096" s="30">
        <f>IF(B2096="","",SUM(G$2:I2096)-SUM(J$2:J2096))</f>
        <v/>
      </c>
      <c r="L2096" s="22">
        <f>IF(B2096="","",IF(B2096=B2095,L2095,N(L2095)+1))</f>
        <v/>
      </c>
    </row>
    <row r="2097">
      <c r="A2097" s="22" t="n"/>
      <c r="B2097" s="27" t="n"/>
      <c r="C2097" s="17" t="n"/>
      <c r="D2097" s="17" t="n"/>
      <c r="E2097" s="17" t="n"/>
      <c r="F2097" s="28" t="n"/>
      <c r="G2097" s="29" t="n"/>
      <c r="H2097" s="29" t="n"/>
      <c r="I2097" s="29" t="n"/>
      <c r="J2097" s="29" t="n"/>
      <c r="K2097" s="30">
        <f>IF(B2097="","",SUM(G$2:I2097)-SUM(J$2:J2097))</f>
        <v/>
      </c>
      <c r="L2097" s="22">
        <f>IF(B2097="","",IF(B2097=B2096,L2096,N(L2096)+1))</f>
        <v/>
      </c>
    </row>
    <row r="2098">
      <c r="A2098" s="22" t="n"/>
      <c r="B2098" s="27" t="n"/>
      <c r="C2098" s="17" t="n"/>
      <c r="D2098" s="17" t="n"/>
      <c r="E2098" s="17" t="n"/>
      <c r="F2098" s="28" t="n"/>
      <c r="G2098" s="29" t="n"/>
      <c r="H2098" s="29" t="n"/>
      <c r="I2098" s="29" t="n"/>
      <c r="J2098" s="29" t="n"/>
      <c r="K2098" s="30">
        <f>IF(B2098="","",SUM(G$2:I2098)-SUM(J$2:J2098))</f>
        <v/>
      </c>
      <c r="L2098" s="22">
        <f>IF(B2098="","",IF(B2098=B2097,L2097,N(L2097)+1))</f>
        <v/>
      </c>
    </row>
    <row r="2099">
      <c r="A2099" s="22" t="n"/>
      <c r="B2099" s="27" t="n"/>
      <c r="C2099" s="17" t="n"/>
      <c r="D2099" s="17" t="n"/>
      <c r="E2099" s="17" t="n"/>
      <c r="F2099" s="28" t="n"/>
      <c r="G2099" s="29" t="n"/>
      <c r="H2099" s="29" t="n"/>
      <c r="I2099" s="29" t="n"/>
      <c r="J2099" s="29" t="n"/>
      <c r="K2099" s="30">
        <f>IF(B2099="","",SUM(G$2:I2099)-SUM(J$2:J2099))</f>
        <v/>
      </c>
      <c r="L2099" s="22">
        <f>IF(B2099="","",IF(B2099=B2098,L2098,N(L2098)+1))</f>
        <v/>
      </c>
    </row>
    <row r="2100">
      <c r="A2100" s="22" t="n"/>
      <c r="B2100" s="27" t="n"/>
      <c r="C2100" s="17" t="n"/>
      <c r="D2100" s="17" t="n"/>
      <c r="E2100" s="17" t="n"/>
      <c r="F2100" s="28" t="n"/>
      <c r="G2100" s="29" t="n"/>
      <c r="H2100" s="29" t="n"/>
      <c r="I2100" s="29" t="n"/>
      <c r="J2100" s="29" t="n"/>
      <c r="K2100" s="30">
        <f>IF(B2100="","",SUM(G$2:I2100)-SUM(J$2:J2100))</f>
        <v/>
      </c>
      <c r="L2100" s="22">
        <f>IF(B2100="","",IF(B2100=B2099,L2099,N(L2099)+1))</f>
        <v/>
      </c>
    </row>
    <row r="2101">
      <c r="A2101" s="22" t="n"/>
      <c r="B2101" s="27" t="n"/>
      <c r="C2101" s="17" t="n"/>
      <c r="D2101" s="17" t="n"/>
      <c r="E2101" s="17" t="n"/>
      <c r="F2101" s="28" t="n"/>
      <c r="G2101" s="29" t="n"/>
      <c r="H2101" s="29" t="n"/>
      <c r="I2101" s="29" t="n"/>
      <c r="J2101" s="29" t="n"/>
      <c r="K2101" s="30">
        <f>IF(B2101="","",SUM(G$2:I2101)-SUM(J$2:J2101))</f>
        <v/>
      </c>
      <c r="L2101" s="22">
        <f>IF(B2101="","",IF(B2101=B2100,L2100,N(L2100)+1))</f>
        <v/>
      </c>
    </row>
    <row r="2102">
      <c r="A2102" s="22" t="n"/>
      <c r="B2102" s="27" t="n"/>
      <c r="C2102" s="17" t="n"/>
      <c r="D2102" s="17" t="n"/>
      <c r="E2102" s="17" t="n"/>
      <c r="F2102" s="28" t="n"/>
      <c r="G2102" s="29" t="n"/>
      <c r="H2102" s="29" t="n"/>
      <c r="I2102" s="29" t="n"/>
      <c r="J2102" s="29" t="n"/>
      <c r="K2102" s="30">
        <f>IF(B2102="","",SUM(G$2:I2102)-SUM(J$2:J2102))</f>
        <v/>
      </c>
      <c r="L2102" s="22">
        <f>IF(B2102="","",IF(B2102=B2101,L2101,N(L2101)+1))</f>
        <v/>
      </c>
    </row>
    <row r="2103">
      <c r="A2103" s="22" t="n"/>
      <c r="B2103" s="27" t="n"/>
      <c r="C2103" s="17" t="n"/>
      <c r="D2103" s="17" t="n"/>
      <c r="E2103" s="17" t="n"/>
      <c r="F2103" s="28" t="n"/>
      <c r="G2103" s="29" t="n"/>
      <c r="H2103" s="29" t="n"/>
      <c r="I2103" s="29" t="n"/>
      <c r="J2103" s="29" t="n"/>
      <c r="K2103" s="30">
        <f>IF(B2103="","",SUM(G$2:I2103)-SUM(J$2:J2103))</f>
        <v/>
      </c>
      <c r="L2103" s="22">
        <f>IF(B2103="","",IF(B2103=B2102,L2102,N(L2102)+1))</f>
        <v/>
      </c>
    </row>
    <row r="2104">
      <c r="A2104" s="22" t="n"/>
      <c r="B2104" s="27" t="n"/>
      <c r="C2104" s="17" t="n"/>
      <c r="D2104" s="17" t="n"/>
      <c r="E2104" s="17" t="n"/>
      <c r="F2104" s="28" t="n"/>
      <c r="G2104" s="29" t="n"/>
      <c r="H2104" s="29" t="n"/>
      <c r="I2104" s="29" t="n"/>
      <c r="J2104" s="29" t="n"/>
      <c r="K2104" s="30">
        <f>IF(B2104="","",SUM(G$2:I2104)-SUM(J$2:J2104))</f>
        <v/>
      </c>
      <c r="L2104" s="22">
        <f>IF(B2104="","",IF(B2104=B2103,L2103,N(L2103)+1))</f>
        <v/>
      </c>
    </row>
    <row r="2105">
      <c r="A2105" s="22" t="n"/>
      <c r="B2105" s="27" t="n"/>
      <c r="C2105" s="17" t="n"/>
      <c r="D2105" s="17" t="n"/>
      <c r="E2105" s="17" t="n"/>
      <c r="F2105" s="28" t="n"/>
      <c r="G2105" s="29" t="n"/>
      <c r="H2105" s="29" t="n"/>
      <c r="I2105" s="29" t="n"/>
      <c r="J2105" s="29" t="n"/>
      <c r="K2105" s="30">
        <f>IF(B2105="","",SUM(G$2:I2105)-SUM(J$2:J2105))</f>
        <v/>
      </c>
      <c r="L2105" s="22">
        <f>IF(B2105="","",IF(B2105=B2104,L2104,N(L2104)+1))</f>
        <v/>
      </c>
    </row>
    <row r="2106">
      <c r="A2106" s="22" t="n"/>
      <c r="B2106" s="27" t="n"/>
      <c r="C2106" s="17" t="n"/>
      <c r="D2106" s="17" t="n"/>
      <c r="E2106" s="17" t="n"/>
      <c r="F2106" s="28" t="n"/>
      <c r="G2106" s="29" t="n"/>
      <c r="H2106" s="29" t="n"/>
      <c r="I2106" s="29" t="n"/>
      <c r="J2106" s="29" t="n"/>
      <c r="K2106" s="30">
        <f>IF(B2106="","",SUM(G$2:I2106)-SUM(J$2:J2106))</f>
        <v/>
      </c>
      <c r="L2106" s="22">
        <f>IF(B2106="","",IF(B2106=B2105,L2105,N(L2105)+1))</f>
        <v/>
      </c>
    </row>
    <row r="2107">
      <c r="A2107" s="22" t="n"/>
      <c r="B2107" s="27" t="n"/>
      <c r="C2107" s="17" t="n"/>
      <c r="D2107" s="17" t="n"/>
      <c r="E2107" s="17" t="n"/>
      <c r="F2107" s="28" t="n"/>
      <c r="G2107" s="29" t="n"/>
      <c r="H2107" s="29" t="n"/>
      <c r="I2107" s="29" t="n"/>
      <c r="J2107" s="29" t="n"/>
      <c r="K2107" s="30">
        <f>IF(B2107="","",SUM(G$2:I2107)-SUM(J$2:J2107))</f>
        <v/>
      </c>
      <c r="L2107" s="22">
        <f>IF(B2107="","",IF(B2107=B2106,L2106,N(L2106)+1))</f>
        <v/>
      </c>
    </row>
    <row r="2108">
      <c r="A2108" s="22" t="n"/>
      <c r="B2108" s="27" t="n"/>
      <c r="C2108" s="17" t="n"/>
      <c r="D2108" s="17" t="n"/>
      <c r="E2108" s="17" t="n"/>
      <c r="F2108" s="28" t="n"/>
      <c r="G2108" s="29" t="n"/>
      <c r="H2108" s="29" t="n"/>
      <c r="I2108" s="29" t="n"/>
      <c r="J2108" s="29" t="n"/>
      <c r="K2108" s="30">
        <f>IF(B2108="","",SUM(G$2:I2108)-SUM(J$2:J2108))</f>
        <v/>
      </c>
      <c r="L2108" s="22">
        <f>IF(B2108="","",IF(B2108=B2107,L2107,N(L2107)+1))</f>
        <v/>
      </c>
    </row>
    <row r="2109">
      <c r="A2109" s="22" t="n"/>
      <c r="B2109" s="27" t="n"/>
      <c r="C2109" s="17" t="n"/>
      <c r="D2109" s="17" t="n"/>
      <c r="E2109" s="17" t="n"/>
      <c r="F2109" s="28" t="n"/>
      <c r="G2109" s="29" t="n"/>
      <c r="H2109" s="29" t="n"/>
      <c r="I2109" s="29" t="n"/>
      <c r="J2109" s="29" t="n"/>
      <c r="K2109" s="30">
        <f>IF(B2109="","",SUM(G$2:I2109)-SUM(J$2:J2109))</f>
        <v/>
      </c>
      <c r="L2109" s="22">
        <f>IF(B2109="","",IF(B2109=B2108,L2108,N(L2108)+1))</f>
        <v/>
      </c>
    </row>
    <row r="2110">
      <c r="A2110" s="22" t="n"/>
      <c r="B2110" s="27" t="n"/>
      <c r="C2110" s="17" t="n"/>
      <c r="D2110" s="17" t="n"/>
      <c r="E2110" s="17" t="n"/>
      <c r="F2110" s="28" t="n"/>
      <c r="G2110" s="29" t="n"/>
      <c r="H2110" s="29" t="n"/>
      <c r="I2110" s="29" t="n"/>
      <c r="J2110" s="29" t="n"/>
      <c r="K2110" s="30">
        <f>IF(B2110="","",SUM(G$2:I2110)-SUM(J$2:J2110))</f>
        <v/>
      </c>
      <c r="L2110" s="22">
        <f>IF(B2110="","",IF(B2110=B2109,L2109,N(L2109)+1))</f>
        <v/>
      </c>
    </row>
    <row r="2111">
      <c r="A2111" s="22" t="n"/>
      <c r="B2111" s="27" t="n"/>
      <c r="C2111" s="17" t="n"/>
      <c r="D2111" s="17" t="n"/>
      <c r="E2111" s="17" t="n"/>
      <c r="F2111" s="28" t="n"/>
      <c r="G2111" s="29" t="n"/>
      <c r="H2111" s="29" t="n"/>
      <c r="I2111" s="29" t="n"/>
      <c r="J2111" s="29" t="n"/>
      <c r="K2111" s="30">
        <f>IF(B2111="","",SUM(G$2:I2111)-SUM(J$2:J2111))</f>
        <v/>
      </c>
      <c r="L2111" s="22">
        <f>IF(B2111="","",IF(B2111=B2110,L2110,N(L2110)+1))</f>
        <v/>
      </c>
    </row>
    <row r="2112">
      <c r="A2112" s="22" t="n"/>
      <c r="B2112" s="27" t="n"/>
      <c r="C2112" s="17" t="n"/>
      <c r="D2112" s="17" t="n"/>
      <c r="E2112" s="17" t="n"/>
      <c r="F2112" s="28" t="n"/>
      <c r="G2112" s="29" t="n"/>
      <c r="H2112" s="29" t="n"/>
      <c r="I2112" s="29" t="n"/>
      <c r="J2112" s="29" t="n"/>
      <c r="K2112" s="30">
        <f>IF(B2112="","",SUM(G$2:I2112)-SUM(J$2:J2112))</f>
        <v/>
      </c>
      <c r="L2112" s="22">
        <f>IF(B2112="","",IF(B2112=B2111,L2111,N(L2111)+1))</f>
        <v/>
      </c>
    </row>
    <row r="2113">
      <c r="A2113" s="22" t="n"/>
      <c r="B2113" s="27" t="n"/>
      <c r="C2113" s="17" t="n"/>
      <c r="D2113" s="17" t="n"/>
      <c r="E2113" s="17" t="n"/>
      <c r="F2113" s="28" t="n"/>
      <c r="G2113" s="29" t="n"/>
      <c r="H2113" s="29" t="n"/>
      <c r="I2113" s="29" t="n"/>
      <c r="J2113" s="29" t="n"/>
      <c r="K2113" s="30">
        <f>IF(B2113="","",SUM(G$2:I2113)-SUM(J$2:J2113))</f>
        <v/>
      </c>
      <c r="L2113" s="22">
        <f>IF(B2113="","",IF(B2113=B2112,L2112,N(L2112)+1))</f>
        <v/>
      </c>
    </row>
    <row r="2114">
      <c r="A2114" s="22" t="n"/>
      <c r="B2114" s="27" t="n"/>
      <c r="C2114" s="17" t="n"/>
      <c r="D2114" s="17" t="n"/>
      <c r="E2114" s="17" t="n"/>
      <c r="F2114" s="28" t="n"/>
      <c r="G2114" s="29" t="n"/>
      <c r="H2114" s="29" t="n"/>
      <c r="I2114" s="29" t="n"/>
      <c r="J2114" s="29" t="n"/>
      <c r="K2114" s="30">
        <f>IF(B2114="","",SUM(G$2:I2114)-SUM(J$2:J2114))</f>
        <v/>
      </c>
      <c r="L2114" s="22">
        <f>IF(B2114="","",IF(B2114=B2113,L2113,N(L2113)+1))</f>
        <v/>
      </c>
    </row>
    <row r="2115">
      <c r="A2115" s="22" t="n"/>
      <c r="B2115" s="27" t="n"/>
      <c r="C2115" s="17" t="n"/>
      <c r="D2115" s="17" t="n"/>
      <c r="E2115" s="17" t="n"/>
      <c r="F2115" s="28" t="n"/>
      <c r="G2115" s="29" t="n"/>
      <c r="H2115" s="29" t="n"/>
      <c r="I2115" s="29" t="n"/>
      <c r="J2115" s="29" t="n"/>
      <c r="K2115" s="30">
        <f>IF(B2115="","",SUM(G$2:I2115)-SUM(J$2:J2115))</f>
        <v/>
      </c>
      <c r="L2115" s="22">
        <f>IF(B2115="","",IF(B2115=B2114,L2114,N(L2114)+1))</f>
        <v/>
      </c>
    </row>
    <row r="2116">
      <c r="A2116" s="22" t="n"/>
      <c r="B2116" s="27" t="n"/>
      <c r="C2116" s="17" t="n"/>
      <c r="D2116" s="17" t="n"/>
      <c r="E2116" s="17" t="n"/>
      <c r="F2116" s="28" t="n"/>
      <c r="G2116" s="29" t="n"/>
      <c r="H2116" s="29" t="n"/>
      <c r="I2116" s="29" t="n"/>
      <c r="J2116" s="29" t="n"/>
      <c r="K2116" s="30">
        <f>IF(B2116="","",SUM(G$2:I2116)-SUM(J$2:J2116))</f>
        <v/>
      </c>
      <c r="L2116" s="22">
        <f>IF(B2116="","",IF(B2116=B2115,L2115,N(L2115)+1))</f>
        <v/>
      </c>
    </row>
    <row r="2117">
      <c r="A2117" s="22" t="n"/>
      <c r="B2117" s="27" t="n"/>
      <c r="C2117" s="17" t="n"/>
      <c r="D2117" s="17" t="n"/>
      <c r="E2117" s="17" t="n"/>
      <c r="F2117" s="28" t="n"/>
      <c r="G2117" s="29" t="n"/>
      <c r="H2117" s="29" t="n"/>
      <c r="I2117" s="29" t="n"/>
      <c r="J2117" s="29" t="n"/>
      <c r="K2117" s="30">
        <f>IF(B2117="","",SUM(G$2:I2117)-SUM(J$2:J2117))</f>
        <v/>
      </c>
      <c r="L2117" s="22">
        <f>IF(B2117="","",IF(B2117=B2116,L2116,N(L2116)+1))</f>
        <v/>
      </c>
    </row>
    <row r="2118">
      <c r="A2118" s="22" t="n"/>
      <c r="B2118" s="27" t="n"/>
      <c r="C2118" s="17" t="n"/>
      <c r="D2118" s="17" t="n"/>
      <c r="E2118" s="17" t="n"/>
      <c r="F2118" s="28" t="n"/>
      <c r="G2118" s="29" t="n"/>
      <c r="H2118" s="29" t="n"/>
      <c r="I2118" s="29" t="n"/>
      <c r="J2118" s="29" t="n"/>
      <c r="K2118" s="30">
        <f>IF(B2118="","",SUM(G$2:I2118)-SUM(J$2:J2118))</f>
        <v/>
      </c>
      <c r="L2118" s="22">
        <f>IF(B2118="","",IF(B2118=B2117,L2117,N(L2117)+1))</f>
        <v/>
      </c>
    </row>
    <row r="2119">
      <c r="A2119" s="22" t="n"/>
      <c r="B2119" s="27" t="n"/>
      <c r="C2119" s="17" t="n"/>
      <c r="D2119" s="17" t="n"/>
      <c r="E2119" s="17" t="n"/>
      <c r="F2119" s="28" t="n"/>
      <c r="G2119" s="29" t="n"/>
      <c r="H2119" s="29" t="n"/>
      <c r="I2119" s="29" t="n"/>
      <c r="J2119" s="29" t="n"/>
      <c r="K2119" s="30">
        <f>IF(B2119="","",SUM(G$2:I2119)-SUM(J$2:J2119))</f>
        <v/>
      </c>
      <c r="L2119" s="22">
        <f>IF(B2119="","",IF(B2119=B2118,L2118,N(L2118)+1))</f>
        <v/>
      </c>
    </row>
    <row r="2120">
      <c r="A2120" s="22" t="n"/>
      <c r="B2120" s="27" t="n"/>
      <c r="C2120" s="17" t="n"/>
      <c r="D2120" s="17" t="n"/>
      <c r="E2120" s="17" t="n"/>
      <c r="F2120" s="28" t="n"/>
      <c r="G2120" s="29" t="n"/>
      <c r="H2120" s="29" t="n"/>
      <c r="I2120" s="29" t="n"/>
      <c r="J2120" s="29" t="n"/>
      <c r="K2120" s="30">
        <f>IF(B2120="","",SUM(G$2:I2120)-SUM(J$2:J2120))</f>
        <v/>
      </c>
      <c r="L2120" s="22">
        <f>IF(B2120="","",IF(B2120=B2119,L2119,N(L2119)+1))</f>
        <v/>
      </c>
    </row>
    <row r="2121">
      <c r="A2121" s="22" t="n"/>
      <c r="B2121" s="27" t="n"/>
      <c r="C2121" s="17" t="n"/>
      <c r="D2121" s="17" t="n"/>
      <c r="E2121" s="17" t="n"/>
      <c r="F2121" s="28" t="n"/>
      <c r="G2121" s="29" t="n"/>
      <c r="H2121" s="29" t="n"/>
      <c r="I2121" s="29" t="n"/>
      <c r="J2121" s="29" t="n"/>
      <c r="K2121" s="30">
        <f>IF(B2121="","",SUM(G$2:I2121)-SUM(J$2:J2121))</f>
        <v/>
      </c>
      <c r="L2121" s="22">
        <f>IF(B2121="","",IF(B2121=B2120,L2120,N(L2120)+1))</f>
        <v/>
      </c>
    </row>
    <row r="2122">
      <c r="A2122" s="22" t="n"/>
      <c r="B2122" s="27" t="n"/>
      <c r="C2122" s="17" t="n"/>
      <c r="D2122" s="17" t="n"/>
      <c r="E2122" s="17" t="n"/>
      <c r="F2122" s="28" t="n"/>
      <c r="G2122" s="29" t="n"/>
      <c r="H2122" s="29" t="n"/>
      <c r="I2122" s="29" t="n"/>
      <c r="J2122" s="29" t="n"/>
      <c r="K2122" s="30">
        <f>IF(B2122="","",SUM(G$2:I2122)-SUM(J$2:J2122))</f>
        <v/>
      </c>
      <c r="L2122" s="22">
        <f>IF(B2122="","",IF(B2122=B2121,L2121,N(L2121)+1))</f>
        <v/>
      </c>
    </row>
    <row r="2123">
      <c r="A2123" s="22" t="n"/>
      <c r="B2123" s="27" t="n"/>
      <c r="C2123" s="17" t="n"/>
      <c r="D2123" s="17" t="n"/>
      <c r="E2123" s="17" t="n"/>
      <c r="F2123" s="28" t="n"/>
      <c r="G2123" s="29" t="n"/>
      <c r="H2123" s="29" t="n"/>
      <c r="I2123" s="29" t="n"/>
      <c r="J2123" s="29" t="n"/>
      <c r="K2123" s="30">
        <f>IF(B2123="","",SUM(G$2:I2123)-SUM(J$2:J2123))</f>
        <v/>
      </c>
      <c r="L2123" s="22">
        <f>IF(B2123="","",IF(B2123=B2122,L2122,N(L2122)+1))</f>
        <v/>
      </c>
    </row>
    <row r="2124">
      <c r="A2124" s="22" t="n"/>
      <c r="B2124" s="27" t="n"/>
      <c r="C2124" s="17" t="n"/>
      <c r="D2124" s="17" t="n"/>
      <c r="E2124" s="17" t="n"/>
      <c r="F2124" s="28" t="n"/>
      <c r="G2124" s="29" t="n"/>
      <c r="H2124" s="29" t="n"/>
      <c r="I2124" s="29" t="n"/>
      <c r="J2124" s="29" t="n"/>
      <c r="K2124" s="30">
        <f>IF(B2124="","",SUM(G$2:I2124)-SUM(J$2:J2124))</f>
        <v/>
      </c>
      <c r="L2124" s="22">
        <f>IF(B2124="","",IF(B2124=B2123,L2123,N(L2123)+1))</f>
        <v/>
      </c>
    </row>
    <row r="2125">
      <c r="A2125" s="22" t="n"/>
      <c r="B2125" s="27" t="n"/>
      <c r="C2125" s="17" t="n"/>
      <c r="D2125" s="17" t="n"/>
      <c r="E2125" s="17" t="n"/>
      <c r="F2125" s="28" t="n"/>
      <c r="G2125" s="29" t="n"/>
      <c r="H2125" s="29" t="n"/>
      <c r="I2125" s="29" t="n"/>
      <c r="J2125" s="29" t="n"/>
      <c r="K2125" s="30">
        <f>IF(B2125="","",SUM(G$2:I2125)-SUM(J$2:J2125))</f>
        <v/>
      </c>
      <c r="L2125" s="22">
        <f>IF(B2125="","",IF(B2125=B2124,L2124,N(L2124)+1))</f>
        <v/>
      </c>
    </row>
    <row r="2126">
      <c r="A2126" s="22" t="n"/>
      <c r="B2126" s="27" t="n"/>
      <c r="C2126" s="17" t="n"/>
      <c r="D2126" s="17" t="n"/>
      <c r="E2126" s="17" t="n"/>
      <c r="F2126" s="28" t="n"/>
      <c r="G2126" s="29" t="n"/>
      <c r="H2126" s="29" t="n"/>
      <c r="I2126" s="29" t="n"/>
      <c r="J2126" s="29" t="n"/>
      <c r="K2126" s="30">
        <f>IF(B2126="","",SUM(G$2:I2126)-SUM(J$2:J2126))</f>
        <v/>
      </c>
      <c r="L2126" s="22">
        <f>IF(B2126="","",IF(B2126=B2125,L2125,N(L2125)+1))</f>
        <v/>
      </c>
    </row>
    <row r="2127">
      <c r="A2127" s="22" t="n"/>
      <c r="B2127" s="27" t="n"/>
      <c r="C2127" s="17" t="n"/>
      <c r="D2127" s="17" t="n"/>
      <c r="E2127" s="17" t="n"/>
      <c r="F2127" s="28" t="n"/>
      <c r="G2127" s="29" t="n"/>
      <c r="H2127" s="29" t="n"/>
      <c r="I2127" s="29" t="n"/>
      <c r="J2127" s="29" t="n"/>
      <c r="K2127" s="30">
        <f>IF(B2127="","",SUM(G$2:I2127)-SUM(J$2:J2127))</f>
        <v/>
      </c>
      <c r="L2127" s="22">
        <f>IF(B2127="","",IF(B2127=B2126,L2126,N(L2126)+1))</f>
        <v/>
      </c>
    </row>
    <row r="2128">
      <c r="A2128" s="22" t="n"/>
      <c r="B2128" s="27" t="n"/>
      <c r="C2128" s="17" t="n"/>
      <c r="D2128" s="17" t="n"/>
      <c r="E2128" s="17" t="n"/>
      <c r="F2128" s="28" t="n"/>
      <c r="G2128" s="29" t="n"/>
      <c r="H2128" s="29" t="n"/>
      <c r="I2128" s="29" t="n"/>
      <c r="J2128" s="29" t="n"/>
      <c r="K2128" s="30">
        <f>IF(B2128="","",SUM(G$2:I2128)-SUM(J$2:J2128))</f>
        <v/>
      </c>
      <c r="L2128" s="22">
        <f>IF(B2128="","",IF(B2128=B2127,L2127,N(L2127)+1))</f>
        <v/>
      </c>
    </row>
    <row r="2129">
      <c r="A2129" s="22" t="n"/>
      <c r="B2129" s="27" t="n"/>
      <c r="C2129" s="17" t="n"/>
      <c r="D2129" s="17" t="n"/>
      <c r="E2129" s="17" t="n"/>
      <c r="F2129" s="28" t="n"/>
      <c r="G2129" s="29" t="n"/>
      <c r="H2129" s="29" t="n"/>
      <c r="I2129" s="29" t="n"/>
      <c r="J2129" s="29" t="n"/>
      <c r="K2129" s="30">
        <f>IF(B2129="","",SUM(G$2:I2129)-SUM(J$2:J2129))</f>
        <v/>
      </c>
      <c r="L2129" s="22">
        <f>IF(B2129="","",IF(B2129=B2128,L2128,N(L2128)+1))</f>
        <v/>
      </c>
    </row>
    <row r="2130">
      <c r="A2130" s="22" t="n"/>
      <c r="B2130" s="27" t="n"/>
      <c r="C2130" s="17" t="n"/>
      <c r="D2130" s="17" t="n"/>
      <c r="E2130" s="17" t="n"/>
      <c r="F2130" s="28" t="n"/>
      <c r="G2130" s="29" t="n"/>
      <c r="H2130" s="29" t="n"/>
      <c r="I2130" s="29" t="n"/>
      <c r="J2130" s="29" t="n"/>
      <c r="K2130" s="30">
        <f>IF(B2130="","",SUM(G$2:I2130)-SUM(J$2:J2130))</f>
        <v/>
      </c>
      <c r="L2130" s="22">
        <f>IF(B2130="","",IF(B2130=B2129,L2129,N(L2129)+1))</f>
        <v/>
      </c>
    </row>
    <row r="2131">
      <c r="A2131" s="22" t="n"/>
      <c r="B2131" s="27" t="n"/>
      <c r="C2131" s="17" t="n"/>
      <c r="D2131" s="17" t="n"/>
      <c r="E2131" s="17" t="n"/>
      <c r="F2131" s="28" t="n"/>
      <c r="G2131" s="29" t="n"/>
      <c r="H2131" s="29" t="n"/>
      <c r="I2131" s="29" t="n"/>
      <c r="J2131" s="29" t="n"/>
      <c r="K2131" s="30">
        <f>IF(B2131="","",SUM(G$2:I2131)-SUM(J$2:J2131))</f>
        <v/>
      </c>
      <c r="L2131" s="22">
        <f>IF(B2131="","",IF(B2131=B2130,L2130,N(L2130)+1))</f>
        <v/>
      </c>
    </row>
    <row r="2132">
      <c r="A2132" s="22" t="n"/>
      <c r="B2132" s="27" t="n"/>
      <c r="C2132" s="17" t="n"/>
      <c r="D2132" s="17" t="n"/>
      <c r="E2132" s="17" t="n"/>
      <c r="F2132" s="28" t="n"/>
      <c r="G2132" s="29" t="n"/>
      <c r="H2132" s="29" t="n"/>
      <c r="I2132" s="29" t="n"/>
      <c r="J2132" s="29" t="n"/>
      <c r="K2132" s="30">
        <f>IF(B2132="","",SUM(G$2:I2132)-SUM(J$2:J2132))</f>
        <v/>
      </c>
      <c r="L2132" s="22">
        <f>IF(B2132="","",IF(B2132=B2131,L2131,N(L2131)+1))</f>
        <v/>
      </c>
    </row>
    <row r="2133">
      <c r="A2133" s="22" t="n"/>
      <c r="B2133" s="27" t="n"/>
      <c r="C2133" s="17" t="n"/>
      <c r="D2133" s="17" t="n"/>
      <c r="E2133" s="17" t="n"/>
      <c r="F2133" s="28" t="n"/>
      <c r="G2133" s="29" t="n"/>
      <c r="H2133" s="29" t="n"/>
      <c r="I2133" s="29" t="n"/>
      <c r="J2133" s="29" t="n"/>
      <c r="K2133" s="30">
        <f>IF(B2133="","",SUM(G$2:I2133)-SUM(J$2:J2133))</f>
        <v/>
      </c>
      <c r="L2133" s="22">
        <f>IF(B2133="","",IF(B2133=B2132,L2132,N(L2132)+1))</f>
        <v/>
      </c>
    </row>
    <row r="2134">
      <c r="A2134" s="22" t="n"/>
      <c r="B2134" s="27" t="n"/>
      <c r="C2134" s="17" t="n"/>
      <c r="D2134" s="17" t="n"/>
      <c r="E2134" s="17" t="n"/>
      <c r="F2134" s="28" t="n"/>
      <c r="G2134" s="29" t="n"/>
      <c r="H2134" s="29" t="n"/>
      <c r="I2134" s="29" t="n"/>
      <c r="J2134" s="29" t="n"/>
      <c r="K2134" s="30">
        <f>IF(B2134="","",SUM(G$2:I2134)-SUM(J$2:J2134))</f>
        <v/>
      </c>
      <c r="L2134" s="22">
        <f>IF(B2134="","",IF(B2134=B2133,L2133,N(L2133)+1))</f>
        <v/>
      </c>
    </row>
    <row r="2135">
      <c r="A2135" s="22" t="n"/>
      <c r="B2135" s="27" t="n"/>
      <c r="C2135" s="17" t="n"/>
      <c r="D2135" s="17" t="n"/>
      <c r="E2135" s="17" t="n"/>
      <c r="F2135" s="28" t="n"/>
      <c r="G2135" s="29" t="n"/>
      <c r="H2135" s="29" t="n"/>
      <c r="I2135" s="29" t="n"/>
      <c r="J2135" s="29" t="n"/>
      <c r="K2135" s="30">
        <f>IF(B2135="","",SUM(G$2:I2135)-SUM(J$2:J2135))</f>
        <v/>
      </c>
      <c r="L2135" s="22">
        <f>IF(B2135="","",IF(B2135=B2134,L2134,N(L2134)+1))</f>
        <v/>
      </c>
    </row>
    <row r="2136">
      <c r="A2136" s="22" t="n"/>
      <c r="B2136" s="27" t="n"/>
      <c r="C2136" s="17" t="n"/>
      <c r="D2136" s="17" t="n"/>
      <c r="E2136" s="17" t="n"/>
      <c r="F2136" s="28" t="n"/>
      <c r="G2136" s="29" t="n"/>
      <c r="H2136" s="29" t="n"/>
      <c r="I2136" s="29" t="n"/>
      <c r="J2136" s="29" t="n"/>
      <c r="K2136" s="30">
        <f>IF(B2136="","",SUM(G$2:I2136)-SUM(J$2:J2136))</f>
        <v/>
      </c>
      <c r="L2136" s="22">
        <f>IF(B2136="","",IF(B2136=B2135,L2135,N(L2135)+1))</f>
        <v/>
      </c>
    </row>
    <row r="2137">
      <c r="A2137" s="22" t="n"/>
      <c r="B2137" s="27" t="n"/>
      <c r="C2137" s="17" t="n"/>
      <c r="D2137" s="17" t="n"/>
      <c r="E2137" s="17" t="n"/>
      <c r="F2137" s="28" t="n"/>
      <c r="G2137" s="29" t="n"/>
      <c r="H2137" s="29" t="n"/>
      <c r="I2137" s="29" t="n"/>
      <c r="J2137" s="29" t="n"/>
      <c r="K2137" s="30">
        <f>IF(B2137="","",SUM(G$2:I2137)-SUM(J$2:J2137))</f>
        <v/>
      </c>
      <c r="L2137" s="22">
        <f>IF(B2137="","",IF(B2137=B2136,L2136,N(L2136)+1))</f>
        <v/>
      </c>
    </row>
    <row r="2138">
      <c r="A2138" s="22" t="n"/>
      <c r="B2138" s="27" t="n"/>
      <c r="C2138" s="17" t="n"/>
      <c r="D2138" s="17" t="n"/>
      <c r="E2138" s="17" t="n"/>
      <c r="F2138" s="28" t="n"/>
      <c r="G2138" s="29" t="n"/>
      <c r="H2138" s="29" t="n"/>
      <c r="I2138" s="29" t="n"/>
      <c r="J2138" s="29" t="n"/>
      <c r="K2138" s="30">
        <f>IF(B2138="","",SUM(G$2:I2138)-SUM(J$2:J2138))</f>
        <v/>
      </c>
      <c r="L2138" s="22">
        <f>IF(B2138="","",IF(B2138=B2137,L2137,N(L2137)+1))</f>
        <v/>
      </c>
    </row>
    <row r="2139">
      <c r="A2139" s="22" t="n"/>
      <c r="B2139" s="27" t="n"/>
      <c r="C2139" s="17" t="n"/>
      <c r="D2139" s="17" t="n"/>
      <c r="E2139" s="17" t="n"/>
      <c r="F2139" s="28" t="n"/>
      <c r="G2139" s="29" t="n"/>
      <c r="H2139" s="29" t="n"/>
      <c r="I2139" s="29" t="n"/>
      <c r="J2139" s="29" t="n"/>
      <c r="K2139" s="30">
        <f>IF(B2139="","",SUM(G$2:I2139)-SUM(J$2:J2139))</f>
        <v/>
      </c>
      <c r="L2139" s="22">
        <f>IF(B2139="","",IF(B2139=B2138,L2138,N(L2138)+1))</f>
        <v/>
      </c>
    </row>
    <row r="2140">
      <c r="A2140" s="22" t="n"/>
      <c r="B2140" s="27" t="n"/>
      <c r="C2140" s="17" t="n"/>
      <c r="D2140" s="17" t="n"/>
      <c r="E2140" s="17" t="n"/>
      <c r="F2140" s="28" t="n"/>
      <c r="G2140" s="29" t="n"/>
      <c r="H2140" s="29" t="n"/>
      <c r="I2140" s="29" t="n"/>
      <c r="J2140" s="29" t="n"/>
      <c r="K2140" s="30">
        <f>IF(B2140="","",SUM(G$2:I2140)-SUM(J$2:J2140))</f>
        <v/>
      </c>
      <c r="L2140" s="22">
        <f>IF(B2140="","",IF(B2140=B2139,L2139,N(L2139)+1))</f>
        <v/>
      </c>
    </row>
    <row r="2141">
      <c r="A2141" s="22" t="n"/>
      <c r="B2141" s="27" t="n"/>
      <c r="C2141" s="17" t="n"/>
      <c r="D2141" s="17" t="n"/>
      <c r="E2141" s="17" t="n"/>
      <c r="F2141" s="28" t="n"/>
      <c r="G2141" s="29" t="n"/>
      <c r="H2141" s="29" t="n"/>
      <c r="I2141" s="29" t="n"/>
      <c r="J2141" s="29" t="n"/>
      <c r="K2141" s="30">
        <f>IF(B2141="","",SUM(G$2:I2141)-SUM(J$2:J2141))</f>
        <v/>
      </c>
      <c r="L2141" s="22">
        <f>IF(B2141="","",IF(B2141=B2140,L2140,N(L2140)+1))</f>
        <v/>
      </c>
    </row>
    <row r="2142">
      <c r="A2142" s="22" t="n"/>
      <c r="B2142" s="27" t="n"/>
      <c r="C2142" s="17" t="n"/>
      <c r="D2142" s="17" t="n"/>
      <c r="E2142" s="17" t="n"/>
      <c r="F2142" s="28" t="n"/>
      <c r="G2142" s="29" t="n"/>
      <c r="H2142" s="29" t="n"/>
      <c r="I2142" s="29" t="n"/>
      <c r="J2142" s="29" t="n"/>
      <c r="K2142" s="30">
        <f>IF(B2142="","",SUM(G$2:I2142)-SUM(J$2:J2142))</f>
        <v/>
      </c>
      <c r="L2142" s="22">
        <f>IF(B2142="","",IF(B2142=B2141,L2141,N(L2141)+1))</f>
        <v/>
      </c>
    </row>
    <row r="2143">
      <c r="A2143" s="22" t="n"/>
      <c r="B2143" s="27" t="n"/>
      <c r="C2143" s="17" t="n"/>
      <c r="D2143" s="17" t="n"/>
      <c r="E2143" s="17" t="n"/>
      <c r="F2143" s="28" t="n"/>
      <c r="G2143" s="29" t="n"/>
      <c r="H2143" s="29" t="n"/>
      <c r="I2143" s="29" t="n"/>
      <c r="J2143" s="29" t="n"/>
      <c r="K2143" s="30">
        <f>IF(B2143="","",SUM(G$2:I2143)-SUM(J$2:J2143))</f>
        <v/>
      </c>
      <c r="L2143" s="22">
        <f>IF(B2143="","",IF(B2143=B2142,L2142,N(L2142)+1))</f>
        <v/>
      </c>
    </row>
    <row r="2144">
      <c r="A2144" s="22" t="n"/>
      <c r="B2144" s="27" t="n"/>
      <c r="C2144" s="17" t="n"/>
      <c r="D2144" s="17" t="n"/>
      <c r="E2144" s="17" t="n"/>
      <c r="F2144" s="28" t="n"/>
      <c r="G2144" s="29" t="n"/>
      <c r="H2144" s="29" t="n"/>
      <c r="I2144" s="29" t="n"/>
      <c r="J2144" s="29" t="n"/>
      <c r="K2144" s="30">
        <f>IF(B2144="","",SUM(G$2:I2144)-SUM(J$2:J2144))</f>
        <v/>
      </c>
      <c r="L2144" s="22">
        <f>IF(B2144="","",IF(B2144=B2143,L2143,N(L2143)+1))</f>
        <v/>
      </c>
    </row>
    <row r="2145">
      <c r="A2145" s="22" t="n"/>
      <c r="B2145" s="27" t="n"/>
      <c r="C2145" s="17" t="n"/>
      <c r="D2145" s="17" t="n"/>
      <c r="E2145" s="17" t="n"/>
      <c r="F2145" s="28" t="n"/>
      <c r="G2145" s="29" t="n"/>
      <c r="H2145" s="29" t="n"/>
      <c r="I2145" s="29" t="n"/>
      <c r="J2145" s="29" t="n"/>
      <c r="K2145" s="30">
        <f>IF(B2145="","",SUM(G$2:I2145)-SUM(J$2:J2145))</f>
        <v/>
      </c>
      <c r="L2145" s="22">
        <f>IF(B2145="","",IF(B2145=B2144,L2144,N(L2144)+1))</f>
        <v/>
      </c>
    </row>
    <row r="2146">
      <c r="A2146" s="22" t="n"/>
      <c r="B2146" s="27" t="n"/>
      <c r="C2146" s="17" t="n"/>
      <c r="D2146" s="17" t="n"/>
      <c r="E2146" s="17" t="n"/>
      <c r="F2146" s="28" t="n"/>
      <c r="G2146" s="29" t="n"/>
      <c r="H2146" s="29" t="n"/>
      <c r="I2146" s="29" t="n"/>
      <c r="J2146" s="29" t="n"/>
      <c r="K2146" s="30">
        <f>IF(B2146="","",SUM(G$2:I2146)-SUM(J$2:J2146))</f>
        <v/>
      </c>
      <c r="L2146" s="22">
        <f>IF(B2146="","",IF(B2146=B2145,L2145,N(L2145)+1))</f>
        <v/>
      </c>
    </row>
    <row r="2147">
      <c r="A2147" s="22" t="n"/>
      <c r="B2147" s="27" t="n"/>
      <c r="C2147" s="17" t="n"/>
      <c r="D2147" s="17" t="n"/>
      <c r="E2147" s="17" t="n"/>
      <c r="F2147" s="28" t="n"/>
      <c r="G2147" s="29" t="n"/>
      <c r="H2147" s="29" t="n"/>
      <c r="I2147" s="29" t="n"/>
      <c r="J2147" s="29" t="n"/>
      <c r="K2147" s="30">
        <f>IF(B2147="","",SUM(G$2:I2147)-SUM(J$2:J2147))</f>
        <v/>
      </c>
      <c r="L2147" s="22">
        <f>IF(B2147="","",IF(B2147=B2146,L2146,N(L2146)+1))</f>
        <v/>
      </c>
    </row>
    <row r="2148">
      <c r="A2148" s="22" t="n"/>
      <c r="B2148" s="27" t="n"/>
      <c r="C2148" s="17" t="n"/>
      <c r="D2148" s="17" t="n"/>
      <c r="E2148" s="17" t="n"/>
      <c r="F2148" s="28" t="n"/>
      <c r="G2148" s="29" t="n"/>
      <c r="H2148" s="29" t="n"/>
      <c r="I2148" s="29" t="n"/>
      <c r="J2148" s="29" t="n"/>
      <c r="K2148" s="30">
        <f>IF(B2148="","",SUM(G$2:I2148)-SUM(J$2:J2148))</f>
        <v/>
      </c>
      <c r="L2148" s="22">
        <f>IF(B2148="","",IF(B2148=B2147,L2147,N(L2147)+1))</f>
        <v/>
      </c>
    </row>
    <row r="2149">
      <c r="A2149" s="22" t="n"/>
      <c r="B2149" s="27" t="n"/>
      <c r="C2149" s="17" t="n"/>
      <c r="D2149" s="17" t="n"/>
      <c r="E2149" s="17" t="n"/>
      <c r="F2149" s="28" t="n"/>
      <c r="G2149" s="29" t="n"/>
      <c r="H2149" s="29" t="n"/>
      <c r="I2149" s="29" t="n"/>
      <c r="J2149" s="29" t="n"/>
      <c r="K2149" s="30">
        <f>IF(B2149="","",SUM(G$2:I2149)-SUM(J$2:J2149))</f>
        <v/>
      </c>
      <c r="L2149" s="22">
        <f>IF(B2149="","",IF(B2149=B2148,L2148,N(L2148)+1))</f>
        <v/>
      </c>
    </row>
    <row r="2150">
      <c r="A2150" s="22" t="n"/>
      <c r="B2150" s="27" t="n"/>
      <c r="C2150" s="17" t="n"/>
      <c r="D2150" s="17" t="n"/>
      <c r="E2150" s="17" t="n"/>
      <c r="F2150" s="28" t="n"/>
      <c r="G2150" s="29" t="n"/>
      <c r="H2150" s="29" t="n"/>
      <c r="I2150" s="29" t="n"/>
      <c r="J2150" s="29" t="n"/>
      <c r="K2150" s="30">
        <f>IF(B2150="","",SUM(G$2:I2150)-SUM(J$2:J2150))</f>
        <v/>
      </c>
      <c r="L2150" s="22">
        <f>IF(B2150="","",IF(B2150=B2149,L2149,N(L2149)+1))</f>
        <v/>
      </c>
    </row>
    <row r="2151">
      <c r="A2151" s="22" t="n"/>
      <c r="B2151" s="27" t="n"/>
      <c r="C2151" s="17" t="n"/>
      <c r="D2151" s="17" t="n"/>
      <c r="E2151" s="17" t="n"/>
      <c r="F2151" s="28" t="n"/>
      <c r="G2151" s="29" t="n"/>
      <c r="H2151" s="29" t="n"/>
      <c r="I2151" s="29" t="n"/>
      <c r="J2151" s="29" t="n"/>
      <c r="K2151" s="30">
        <f>IF(B2151="","",SUM(G$2:I2151)-SUM(J$2:J2151))</f>
        <v/>
      </c>
      <c r="L2151" s="22">
        <f>IF(B2151="","",IF(B2151=B2150,L2150,N(L2150)+1))</f>
        <v/>
      </c>
    </row>
    <row r="2152">
      <c r="A2152" s="22" t="n"/>
      <c r="B2152" s="27" t="n"/>
      <c r="C2152" s="17" t="n"/>
      <c r="D2152" s="17" t="n"/>
      <c r="E2152" s="17" t="n"/>
      <c r="F2152" s="28" t="n"/>
      <c r="G2152" s="29" t="n"/>
      <c r="H2152" s="29" t="n"/>
      <c r="I2152" s="29" t="n"/>
      <c r="J2152" s="29" t="n"/>
      <c r="K2152" s="30">
        <f>IF(B2152="","",SUM(G$2:I2152)-SUM(J$2:J2152))</f>
        <v/>
      </c>
      <c r="L2152" s="22">
        <f>IF(B2152="","",IF(B2152=B2151,L2151,N(L2151)+1))</f>
        <v/>
      </c>
    </row>
    <row r="2153">
      <c r="A2153" s="22" t="n"/>
      <c r="B2153" s="27" t="n"/>
      <c r="C2153" s="17" t="n"/>
      <c r="D2153" s="17" t="n"/>
      <c r="E2153" s="17" t="n"/>
      <c r="F2153" s="28" t="n"/>
      <c r="G2153" s="29" t="n"/>
      <c r="H2153" s="29" t="n"/>
      <c r="I2153" s="29" t="n"/>
      <c r="J2153" s="29" t="n"/>
      <c r="K2153" s="30">
        <f>IF(B2153="","",SUM(G$2:I2153)-SUM(J$2:J2153))</f>
        <v/>
      </c>
      <c r="L2153" s="22">
        <f>IF(B2153="","",IF(B2153=B2152,L2152,N(L2152)+1))</f>
        <v/>
      </c>
    </row>
    <row r="2154">
      <c r="A2154" s="22" t="n"/>
      <c r="B2154" s="27" t="n"/>
      <c r="C2154" s="17" t="n"/>
      <c r="D2154" s="17" t="n"/>
      <c r="E2154" s="17" t="n"/>
      <c r="F2154" s="28" t="n"/>
      <c r="G2154" s="29" t="n"/>
      <c r="H2154" s="29" t="n"/>
      <c r="I2154" s="29" t="n"/>
      <c r="J2154" s="29" t="n"/>
      <c r="K2154" s="30">
        <f>IF(B2154="","",SUM(G$2:I2154)-SUM(J$2:J2154))</f>
        <v/>
      </c>
      <c r="L2154" s="22">
        <f>IF(B2154="","",IF(B2154=B2153,L2153,N(L2153)+1))</f>
        <v/>
      </c>
    </row>
    <row r="2155">
      <c r="A2155" s="22" t="n"/>
      <c r="B2155" s="27" t="n"/>
      <c r="C2155" s="17" t="n"/>
      <c r="D2155" s="17" t="n"/>
      <c r="E2155" s="17" t="n"/>
      <c r="F2155" s="28" t="n"/>
      <c r="G2155" s="29" t="n"/>
      <c r="H2155" s="29" t="n"/>
      <c r="I2155" s="29" t="n"/>
      <c r="J2155" s="29" t="n"/>
      <c r="K2155" s="30">
        <f>IF(B2155="","",SUM(G$2:I2155)-SUM(J$2:J2155))</f>
        <v/>
      </c>
      <c r="L2155" s="22">
        <f>IF(B2155="","",IF(B2155=B2154,L2154,N(L2154)+1))</f>
        <v/>
      </c>
    </row>
    <row r="2156">
      <c r="A2156" s="22" t="n"/>
      <c r="B2156" s="27" t="n"/>
      <c r="C2156" s="17" t="n"/>
      <c r="D2156" s="17" t="n"/>
      <c r="E2156" s="17" t="n"/>
      <c r="F2156" s="28" t="n"/>
      <c r="G2156" s="29" t="n"/>
      <c r="H2156" s="29" t="n"/>
      <c r="I2156" s="29" t="n"/>
      <c r="J2156" s="29" t="n"/>
      <c r="K2156" s="30">
        <f>IF(B2156="","",SUM(G$2:I2156)-SUM(J$2:J2156))</f>
        <v/>
      </c>
      <c r="L2156" s="22">
        <f>IF(B2156="","",IF(B2156=B2155,L2155,N(L2155)+1))</f>
        <v/>
      </c>
    </row>
    <row r="2157">
      <c r="A2157" s="22" t="n"/>
      <c r="B2157" s="27" t="n"/>
      <c r="C2157" s="17" t="n"/>
      <c r="D2157" s="17" t="n"/>
      <c r="E2157" s="17" t="n"/>
      <c r="F2157" s="28" t="n"/>
      <c r="G2157" s="29" t="n"/>
      <c r="H2157" s="29" t="n"/>
      <c r="I2157" s="29" t="n"/>
      <c r="J2157" s="29" t="n"/>
      <c r="K2157" s="30">
        <f>IF(B2157="","",SUM(G$2:I2157)-SUM(J$2:J2157))</f>
        <v/>
      </c>
      <c r="L2157" s="22">
        <f>IF(B2157="","",IF(B2157=B2156,L2156,N(L2156)+1))</f>
        <v/>
      </c>
    </row>
    <row r="2158">
      <c r="A2158" s="22" t="n"/>
      <c r="B2158" s="27" t="n"/>
      <c r="C2158" s="17" t="n"/>
      <c r="D2158" s="17" t="n"/>
      <c r="E2158" s="17" t="n"/>
      <c r="F2158" s="28" t="n"/>
      <c r="G2158" s="29" t="n"/>
      <c r="H2158" s="29" t="n"/>
      <c r="I2158" s="29" t="n"/>
      <c r="J2158" s="29" t="n"/>
      <c r="K2158" s="30">
        <f>IF(B2158="","",SUM(G$2:I2158)-SUM(J$2:J2158))</f>
        <v/>
      </c>
      <c r="L2158" s="22">
        <f>IF(B2158="","",IF(B2158=B2157,L2157,N(L2157)+1))</f>
        <v/>
      </c>
    </row>
    <row r="2159">
      <c r="A2159" s="22" t="n"/>
      <c r="B2159" s="27" t="n"/>
      <c r="C2159" s="17" t="n"/>
      <c r="D2159" s="17" t="n"/>
      <c r="E2159" s="17" t="n"/>
      <c r="F2159" s="28" t="n"/>
      <c r="G2159" s="29" t="n"/>
      <c r="H2159" s="29" t="n"/>
      <c r="I2159" s="29" t="n"/>
      <c r="J2159" s="29" t="n"/>
      <c r="K2159" s="30">
        <f>IF(B2159="","",SUM(G$2:I2159)-SUM(J$2:J2159))</f>
        <v/>
      </c>
      <c r="L2159" s="22">
        <f>IF(B2159="","",IF(B2159=B2158,L2158,N(L2158)+1))</f>
        <v/>
      </c>
    </row>
    <row r="2160">
      <c r="A2160" s="22" t="n"/>
      <c r="B2160" s="27" t="n"/>
      <c r="C2160" s="17" t="n"/>
      <c r="D2160" s="17" t="n"/>
      <c r="E2160" s="17" t="n"/>
      <c r="F2160" s="28" t="n"/>
      <c r="G2160" s="29" t="n"/>
      <c r="H2160" s="29" t="n"/>
      <c r="I2160" s="29" t="n"/>
      <c r="J2160" s="29" t="n"/>
      <c r="K2160" s="30">
        <f>IF(B2160="","",SUM(G$2:I2160)-SUM(J$2:J2160))</f>
        <v/>
      </c>
      <c r="L2160" s="22">
        <f>IF(B2160="","",IF(B2160=B2159,L2159,N(L2159)+1))</f>
        <v/>
      </c>
    </row>
    <row r="2161">
      <c r="A2161" s="22" t="n"/>
      <c r="B2161" s="27" t="n"/>
      <c r="C2161" s="17" t="n"/>
      <c r="D2161" s="17" t="n"/>
      <c r="E2161" s="17" t="n"/>
      <c r="F2161" s="28" t="n"/>
      <c r="G2161" s="29" t="n"/>
      <c r="H2161" s="29" t="n"/>
      <c r="I2161" s="29" t="n"/>
      <c r="J2161" s="29" t="n"/>
      <c r="K2161" s="30">
        <f>IF(B2161="","",SUM(G$2:I2161)-SUM(J$2:J2161))</f>
        <v/>
      </c>
      <c r="L2161" s="22">
        <f>IF(B2161="","",IF(B2161=B2160,L2160,N(L2160)+1))</f>
        <v/>
      </c>
    </row>
    <row r="2162">
      <c r="A2162" s="22" t="n"/>
      <c r="B2162" s="27" t="n"/>
      <c r="C2162" s="17" t="n"/>
      <c r="D2162" s="17" t="n"/>
      <c r="E2162" s="17" t="n"/>
      <c r="F2162" s="28" t="n"/>
      <c r="G2162" s="29" t="n"/>
      <c r="H2162" s="29" t="n"/>
      <c r="I2162" s="29" t="n"/>
      <c r="J2162" s="29" t="n"/>
      <c r="K2162" s="30">
        <f>IF(B2162="","",SUM(G$2:I2162)-SUM(J$2:J2162))</f>
        <v/>
      </c>
      <c r="L2162" s="22">
        <f>IF(B2162="","",IF(B2162=B2161,L2161,N(L2161)+1))</f>
        <v/>
      </c>
    </row>
    <row r="2163">
      <c r="A2163" s="22" t="n"/>
      <c r="B2163" s="27" t="n"/>
      <c r="C2163" s="17" t="n"/>
      <c r="D2163" s="17" t="n"/>
      <c r="E2163" s="17" t="n"/>
      <c r="F2163" s="28" t="n"/>
      <c r="G2163" s="29" t="n"/>
      <c r="H2163" s="29" t="n"/>
      <c r="I2163" s="29" t="n"/>
      <c r="J2163" s="29" t="n"/>
      <c r="K2163" s="30">
        <f>IF(B2163="","",SUM(G$2:I2163)-SUM(J$2:J2163))</f>
        <v/>
      </c>
      <c r="L2163" s="22">
        <f>IF(B2163="","",IF(B2163=B2162,L2162,N(L2162)+1))</f>
        <v/>
      </c>
    </row>
    <row r="2164">
      <c r="A2164" s="22" t="n"/>
      <c r="B2164" s="27" t="n"/>
      <c r="C2164" s="17" t="n"/>
      <c r="D2164" s="17" t="n"/>
      <c r="E2164" s="17" t="n"/>
      <c r="F2164" s="28" t="n"/>
      <c r="G2164" s="29" t="n"/>
      <c r="H2164" s="29" t="n"/>
      <c r="I2164" s="29" t="n"/>
      <c r="J2164" s="29" t="n"/>
      <c r="K2164" s="30">
        <f>IF(B2164="","",SUM(G$2:I2164)-SUM(J$2:J2164))</f>
        <v/>
      </c>
      <c r="L2164" s="22">
        <f>IF(B2164="","",IF(B2164=B2163,L2163,N(L2163)+1))</f>
        <v/>
      </c>
    </row>
    <row r="2165">
      <c r="A2165" s="22" t="n"/>
      <c r="B2165" s="27" t="n"/>
      <c r="C2165" s="17" t="n"/>
      <c r="D2165" s="17" t="n"/>
      <c r="E2165" s="17" t="n"/>
      <c r="F2165" s="28" t="n"/>
      <c r="G2165" s="29" t="n"/>
      <c r="H2165" s="29" t="n"/>
      <c r="I2165" s="29" t="n"/>
      <c r="J2165" s="29" t="n"/>
      <c r="K2165" s="30">
        <f>IF(B2165="","",SUM(G$2:I2165)-SUM(J$2:J2165))</f>
        <v/>
      </c>
      <c r="L2165" s="22">
        <f>IF(B2165="","",IF(B2165=B2164,L2164,N(L2164)+1))</f>
        <v/>
      </c>
    </row>
    <row r="2166">
      <c r="A2166" s="22" t="n"/>
      <c r="B2166" s="27" t="n"/>
      <c r="C2166" s="17" t="n"/>
      <c r="D2166" s="17" t="n"/>
      <c r="E2166" s="17" t="n"/>
      <c r="F2166" s="28" t="n"/>
      <c r="G2166" s="29" t="n"/>
      <c r="H2166" s="29" t="n"/>
      <c r="I2166" s="29" t="n"/>
      <c r="J2166" s="29" t="n"/>
      <c r="K2166" s="30">
        <f>IF(B2166="","",SUM(G$2:I2166)-SUM(J$2:J2166))</f>
        <v/>
      </c>
      <c r="L2166" s="22">
        <f>IF(B2166="","",IF(B2166=B2165,L2165,N(L2165)+1))</f>
        <v/>
      </c>
    </row>
    <row r="2167">
      <c r="A2167" s="22" t="n"/>
      <c r="B2167" s="27" t="n"/>
      <c r="C2167" s="17" t="n"/>
      <c r="D2167" s="17" t="n"/>
      <c r="E2167" s="17" t="n"/>
      <c r="F2167" s="28" t="n"/>
      <c r="G2167" s="29" t="n"/>
      <c r="H2167" s="29" t="n"/>
      <c r="I2167" s="29" t="n"/>
      <c r="J2167" s="29" t="n"/>
      <c r="K2167" s="30">
        <f>IF(B2167="","",SUM(G$2:I2167)-SUM(J$2:J2167))</f>
        <v/>
      </c>
      <c r="L2167" s="22">
        <f>IF(B2167="","",IF(B2167=B2166,L2166,N(L2166)+1))</f>
        <v/>
      </c>
    </row>
    <row r="2168">
      <c r="A2168" s="22" t="n"/>
      <c r="B2168" s="27" t="n"/>
      <c r="C2168" s="17" t="n"/>
      <c r="D2168" s="17" t="n"/>
      <c r="E2168" s="17" t="n"/>
      <c r="F2168" s="28" t="n"/>
      <c r="G2168" s="29" t="n"/>
      <c r="H2168" s="29" t="n"/>
      <c r="I2168" s="29" t="n"/>
      <c r="J2168" s="29" t="n"/>
      <c r="K2168" s="30">
        <f>IF(B2168="","",SUM(G$2:I2168)-SUM(J$2:J2168))</f>
        <v/>
      </c>
      <c r="L2168" s="22">
        <f>IF(B2168="","",IF(B2168=B2167,L2167,N(L2167)+1))</f>
        <v/>
      </c>
    </row>
    <row r="2169">
      <c r="A2169" s="22" t="n"/>
      <c r="B2169" s="27" t="n"/>
      <c r="C2169" s="17" t="n"/>
      <c r="D2169" s="17" t="n"/>
      <c r="E2169" s="17" t="n"/>
      <c r="F2169" s="28" t="n"/>
      <c r="G2169" s="29" t="n"/>
      <c r="H2169" s="29" t="n"/>
      <c r="I2169" s="29" t="n"/>
      <c r="J2169" s="29" t="n"/>
      <c r="K2169" s="30">
        <f>IF(B2169="","",SUM(G$2:I2169)-SUM(J$2:J2169))</f>
        <v/>
      </c>
      <c r="L2169" s="22">
        <f>IF(B2169="","",IF(B2169=B2168,L2168,N(L2168)+1))</f>
        <v/>
      </c>
    </row>
    <row r="2170">
      <c r="A2170" s="22" t="n"/>
      <c r="B2170" s="27" t="n"/>
      <c r="C2170" s="17" t="n"/>
      <c r="D2170" s="17" t="n"/>
      <c r="E2170" s="17" t="n"/>
      <c r="F2170" s="28" t="n"/>
      <c r="G2170" s="29" t="n"/>
      <c r="H2170" s="29" t="n"/>
      <c r="I2170" s="29" t="n"/>
      <c r="J2170" s="29" t="n"/>
      <c r="K2170" s="30">
        <f>IF(B2170="","",SUM(G$2:I2170)-SUM(J$2:J2170))</f>
        <v/>
      </c>
      <c r="L2170" s="22">
        <f>IF(B2170="","",IF(B2170=B2169,L2169,N(L2169)+1))</f>
        <v/>
      </c>
    </row>
    <row r="2171">
      <c r="A2171" s="22" t="n"/>
      <c r="B2171" s="27" t="n"/>
      <c r="C2171" s="17" t="n"/>
      <c r="D2171" s="17" t="n"/>
      <c r="E2171" s="17" t="n"/>
      <c r="F2171" s="28" t="n"/>
      <c r="G2171" s="29" t="n"/>
      <c r="H2171" s="29" t="n"/>
      <c r="I2171" s="29" t="n"/>
      <c r="J2171" s="29" t="n"/>
      <c r="K2171" s="30">
        <f>IF(B2171="","",SUM(G$2:I2171)-SUM(J$2:J2171))</f>
        <v/>
      </c>
      <c r="L2171" s="22">
        <f>IF(B2171="","",IF(B2171=B2170,L2170,N(L2170)+1))</f>
        <v/>
      </c>
    </row>
    <row r="2172">
      <c r="A2172" s="22" t="n"/>
      <c r="B2172" s="27" t="n"/>
      <c r="C2172" s="17" t="n"/>
      <c r="D2172" s="17" t="n"/>
      <c r="E2172" s="17" t="n"/>
      <c r="F2172" s="28" t="n"/>
      <c r="G2172" s="29" t="n"/>
      <c r="H2172" s="29" t="n"/>
      <c r="I2172" s="29" t="n"/>
      <c r="J2172" s="29" t="n"/>
      <c r="K2172" s="30">
        <f>IF(B2172="","",SUM(G$2:I2172)-SUM(J$2:J2172))</f>
        <v/>
      </c>
      <c r="L2172" s="22">
        <f>IF(B2172="","",IF(B2172=B2171,L2171,N(L2171)+1))</f>
        <v/>
      </c>
    </row>
    <row r="2173">
      <c r="A2173" s="22" t="n"/>
      <c r="B2173" s="27" t="n"/>
      <c r="C2173" s="17" t="n"/>
      <c r="D2173" s="17" t="n"/>
      <c r="E2173" s="17" t="n"/>
      <c r="F2173" s="28" t="n"/>
      <c r="G2173" s="29" t="n"/>
      <c r="H2173" s="29" t="n"/>
      <c r="I2173" s="29" t="n"/>
      <c r="J2173" s="29" t="n"/>
      <c r="K2173" s="30">
        <f>IF(B2173="","",SUM(G$2:I2173)-SUM(J$2:J2173))</f>
        <v/>
      </c>
      <c r="L2173" s="22">
        <f>IF(B2173="","",IF(B2173=B2172,L2172,N(L2172)+1))</f>
        <v/>
      </c>
    </row>
    <row r="2174">
      <c r="A2174" s="22" t="n"/>
      <c r="B2174" s="27" t="n"/>
      <c r="C2174" s="17" t="n"/>
      <c r="D2174" s="17" t="n"/>
      <c r="E2174" s="17" t="n"/>
      <c r="F2174" s="28" t="n"/>
      <c r="G2174" s="29" t="n"/>
      <c r="H2174" s="29" t="n"/>
      <c r="I2174" s="29" t="n"/>
      <c r="J2174" s="29" t="n"/>
      <c r="K2174" s="30">
        <f>IF(B2174="","",SUM(G$2:I2174)-SUM(J$2:J2174))</f>
        <v/>
      </c>
      <c r="L2174" s="22">
        <f>IF(B2174="","",IF(B2174=B2173,L2173,N(L2173)+1))</f>
        <v/>
      </c>
    </row>
    <row r="2175">
      <c r="A2175" s="22" t="n"/>
      <c r="B2175" s="27" t="n"/>
      <c r="C2175" s="17" t="n"/>
      <c r="D2175" s="17" t="n"/>
      <c r="E2175" s="17" t="n"/>
      <c r="F2175" s="28" t="n"/>
      <c r="G2175" s="29" t="n"/>
      <c r="H2175" s="29" t="n"/>
      <c r="I2175" s="29" t="n"/>
      <c r="J2175" s="29" t="n"/>
      <c r="K2175" s="30">
        <f>IF(B2175="","",SUM(G$2:I2175)-SUM(J$2:J2175))</f>
        <v/>
      </c>
      <c r="L2175" s="22">
        <f>IF(B2175="","",IF(B2175=B2174,L2174,N(L2174)+1))</f>
        <v/>
      </c>
    </row>
    <row r="2176">
      <c r="A2176" s="22" t="n"/>
      <c r="B2176" s="27" t="n"/>
      <c r="C2176" s="17" t="n"/>
      <c r="D2176" s="17" t="n"/>
      <c r="E2176" s="17" t="n"/>
      <c r="F2176" s="28" t="n"/>
      <c r="G2176" s="29" t="n"/>
      <c r="H2176" s="29" t="n"/>
      <c r="I2176" s="29" t="n"/>
      <c r="J2176" s="29" t="n"/>
      <c r="K2176" s="30">
        <f>IF(B2176="","",SUM(G$2:I2176)-SUM(J$2:J2176))</f>
        <v/>
      </c>
      <c r="L2176" s="22">
        <f>IF(B2176="","",IF(B2176=B2175,L2175,N(L2175)+1))</f>
        <v/>
      </c>
    </row>
    <row r="2177">
      <c r="A2177" s="22" t="n"/>
      <c r="B2177" s="27" t="n"/>
      <c r="C2177" s="17" t="n"/>
      <c r="D2177" s="17" t="n"/>
      <c r="E2177" s="17" t="n"/>
      <c r="F2177" s="28" t="n"/>
      <c r="G2177" s="29" t="n"/>
      <c r="H2177" s="29" t="n"/>
      <c r="I2177" s="29" t="n"/>
      <c r="J2177" s="29" t="n"/>
      <c r="K2177" s="30">
        <f>IF(B2177="","",SUM(G$2:I2177)-SUM(J$2:J2177))</f>
        <v/>
      </c>
      <c r="L2177" s="22">
        <f>IF(B2177="","",IF(B2177=B2176,L2176,N(L2176)+1))</f>
        <v/>
      </c>
    </row>
    <row r="2178">
      <c r="A2178" s="22" t="n"/>
      <c r="B2178" s="27" t="n"/>
      <c r="C2178" s="17" t="n"/>
      <c r="D2178" s="17" t="n"/>
      <c r="E2178" s="17" t="n"/>
      <c r="F2178" s="28" t="n"/>
      <c r="G2178" s="29" t="n"/>
      <c r="H2178" s="29" t="n"/>
      <c r="I2178" s="29" t="n"/>
      <c r="J2178" s="29" t="n"/>
      <c r="K2178" s="30">
        <f>IF(B2178="","",SUM(G$2:I2178)-SUM(J$2:J2178))</f>
        <v/>
      </c>
      <c r="L2178" s="22">
        <f>IF(B2178="","",IF(B2178=B2177,L2177,N(L2177)+1))</f>
        <v/>
      </c>
    </row>
    <row r="2179">
      <c r="A2179" s="22" t="n"/>
      <c r="B2179" s="27" t="n"/>
      <c r="C2179" s="17" t="n"/>
      <c r="D2179" s="17" t="n"/>
      <c r="E2179" s="17" t="n"/>
      <c r="F2179" s="28" t="n"/>
      <c r="G2179" s="29" t="n"/>
      <c r="H2179" s="29" t="n"/>
      <c r="I2179" s="29" t="n"/>
      <c r="J2179" s="29" t="n"/>
      <c r="K2179" s="30">
        <f>IF(B2179="","",SUM(G$2:I2179)-SUM(J$2:J2179))</f>
        <v/>
      </c>
      <c r="L2179" s="22">
        <f>IF(B2179="","",IF(B2179=B2178,L2178,N(L2178)+1))</f>
        <v/>
      </c>
    </row>
    <row r="2180">
      <c r="A2180" s="22" t="n"/>
      <c r="B2180" s="27" t="n"/>
      <c r="C2180" s="17" t="n"/>
      <c r="D2180" s="17" t="n"/>
      <c r="E2180" s="17" t="n"/>
      <c r="F2180" s="28" t="n"/>
      <c r="G2180" s="29" t="n"/>
      <c r="H2180" s="29" t="n"/>
      <c r="I2180" s="29" t="n"/>
      <c r="J2180" s="29" t="n"/>
      <c r="K2180" s="30">
        <f>IF(B2180="","",SUM(G$2:I2180)-SUM(J$2:J2180))</f>
        <v/>
      </c>
      <c r="L2180" s="22">
        <f>IF(B2180="","",IF(B2180=B2179,L2179,N(L2179)+1))</f>
        <v/>
      </c>
    </row>
    <row r="2181">
      <c r="A2181" s="22" t="n"/>
      <c r="B2181" s="27" t="n"/>
      <c r="C2181" s="17" t="n"/>
      <c r="D2181" s="17" t="n"/>
      <c r="E2181" s="17" t="n"/>
      <c r="F2181" s="28" t="n"/>
      <c r="G2181" s="29" t="n"/>
      <c r="H2181" s="29" t="n"/>
      <c r="I2181" s="29" t="n"/>
      <c r="J2181" s="29" t="n"/>
      <c r="K2181" s="30">
        <f>IF(B2181="","",SUM(G$2:I2181)-SUM(J$2:J2181))</f>
        <v/>
      </c>
      <c r="L2181" s="22">
        <f>IF(B2181="","",IF(B2181=B2180,L2180,N(L2180)+1))</f>
        <v/>
      </c>
    </row>
    <row r="2182">
      <c r="A2182" s="22" t="n"/>
      <c r="B2182" s="27" t="n"/>
      <c r="C2182" s="17" t="n"/>
      <c r="D2182" s="17" t="n"/>
      <c r="E2182" s="17" t="n"/>
      <c r="F2182" s="28" t="n"/>
      <c r="G2182" s="29" t="n"/>
      <c r="H2182" s="29" t="n"/>
      <c r="I2182" s="29" t="n"/>
      <c r="J2182" s="29" t="n"/>
      <c r="K2182" s="30">
        <f>IF(B2182="","",SUM(G$2:I2182)-SUM(J$2:J2182))</f>
        <v/>
      </c>
      <c r="L2182" s="22">
        <f>IF(B2182="","",IF(B2182=B2181,L2181,N(L2181)+1))</f>
        <v/>
      </c>
    </row>
    <row r="2183">
      <c r="A2183" s="22" t="n"/>
      <c r="B2183" s="27" t="n"/>
      <c r="C2183" s="17" t="n"/>
      <c r="D2183" s="17" t="n"/>
      <c r="E2183" s="17" t="n"/>
      <c r="F2183" s="28" t="n"/>
      <c r="G2183" s="29" t="n"/>
      <c r="H2183" s="29" t="n"/>
      <c r="I2183" s="29" t="n"/>
      <c r="J2183" s="29" t="n"/>
      <c r="K2183" s="30">
        <f>IF(B2183="","",SUM(G$2:I2183)-SUM(J$2:J2183))</f>
        <v/>
      </c>
      <c r="L2183" s="22">
        <f>IF(B2183="","",IF(B2183=B2182,L2182,N(L2182)+1))</f>
        <v/>
      </c>
    </row>
    <row r="2184">
      <c r="A2184" s="22" t="n"/>
      <c r="B2184" s="27" t="n"/>
      <c r="C2184" s="17" t="n"/>
      <c r="D2184" s="17" t="n"/>
      <c r="E2184" s="17" t="n"/>
      <c r="F2184" s="28" t="n"/>
      <c r="G2184" s="29" t="n"/>
      <c r="H2184" s="29" t="n"/>
      <c r="I2184" s="29" t="n"/>
      <c r="J2184" s="29" t="n"/>
      <c r="K2184" s="30">
        <f>IF(B2184="","",SUM(G$2:I2184)-SUM(J$2:J2184))</f>
        <v/>
      </c>
      <c r="L2184" s="22">
        <f>IF(B2184="","",IF(B2184=B2183,L2183,N(L2183)+1))</f>
        <v/>
      </c>
    </row>
    <row r="2185">
      <c r="A2185" s="22" t="n"/>
      <c r="B2185" s="27" t="n"/>
      <c r="C2185" s="17" t="n"/>
      <c r="D2185" s="17" t="n"/>
      <c r="E2185" s="17" t="n"/>
      <c r="F2185" s="28" t="n"/>
      <c r="G2185" s="29" t="n"/>
      <c r="H2185" s="29" t="n"/>
      <c r="I2185" s="29" t="n"/>
      <c r="J2185" s="29" t="n"/>
      <c r="K2185" s="30">
        <f>IF(B2185="","",SUM(G$2:I2185)-SUM(J$2:J2185))</f>
        <v/>
      </c>
      <c r="L2185" s="22">
        <f>IF(B2185="","",IF(B2185=B2184,L2184,N(L2184)+1))</f>
        <v/>
      </c>
    </row>
    <row r="2186">
      <c r="A2186" s="22" t="n"/>
      <c r="B2186" s="27" t="n"/>
      <c r="C2186" s="17" t="n"/>
      <c r="D2186" s="17" t="n"/>
      <c r="E2186" s="17" t="n"/>
      <c r="F2186" s="28" t="n"/>
      <c r="G2186" s="29" t="n"/>
      <c r="H2186" s="29" t="n"/>
      <c r="I2186" s="29" t="n"/>
      <c r="J2186" s="29" t="n"/>
      <c r="K2186" s="30">
        <f>IF(B2186="","",SUM(G$2:I2186)-SUM(J$2:J2186))</f>
        <v/>
      </c>
      <c r="L2186" s="22">
        <f>IF(B2186="","",IF(B2186=B2185,L2185,N(L2185)+1))</f>
        <v/>
      </c>
    </row>
    <row r="2187">
      <c r="A2187" s="22" t="n"/>
      <c r="B2187" s="27" t="n"/>
      <c r="C2187" s="17" t="n"/>
      <c r="D2187" s="17" t="n"/>
      <c r="E2187" s="17" t="n"/>
      <c r="F2187" s="28" t="n"/>
      <c r="G2187" s="29" t="n"/>
      <c r="H2187" s="29" t="n"/>
      <c r="I2187" s="29" t="n"/>
      <c r="J2187" s="29" t="n"/>
      <c r="K2187" s="30">
        <f>IF(B2187="","",SUM(G$2:I2187)-SUM(J$2:J2187))</f>
        <v/>
      </c>
      <c r="L2187" s="22">
        <f>IF(B2187="","",IF(B2187=B2186,L2186,N(L2186)+1))</f>
        <v/>
      </c>
    </row>
    <row r="2188">
      <c r="A2188" s="22" t="n"/>
      <c r="B2188" s="27" t="n"/>
      <c r="C2188" s="17" t="n"/>
      <c r="D2188" s="17" t="n"/>
      <c r="E2188" s="17" t="n"/>
      <c r="F2188" s="28" t="n"/>
      <c r="G2188" s="29" t="n"/>
      <c r="H2188" s="29" t="n"/>
      <c r="I2188" s="29" t="n"/>
      <c r="J2188" s="29" t="n"/>
      <c r="K2188" s="30">
        <f>IF(B2188="","",SUM(G$2:I2188)-SUM(J$2:J2188))</f>
        <v/>
      </c>
      <c r="L2188" s="22">
        <f>IF(B2188="","",IF(B2188=B2187,L2187,N(L2187)+1))</f>
        <v/>
      </c>
    </row>
    <row r="2189">
      <c r="A2189" s="22" t="n"/>
      <c r="B2189" s="27" t="n"/>
      <c r="C2189" s="17" t="n"/>
      <c r="D2189" s="17" t="n"/>
      <c r="E2189" s="17" t="n"/>
      <c r="F2189" s="28" t="n"/>
      <c r="G2189" s="29" t="n"/>
      <c r="H2189" s="29" t="n"/>
      <c r="I2189" s="29" t="n"/>
      <c r="J2189" s="29" t="n"/>
      <c r="K2189" s="30">
        <f>IF(B2189="","",SUM(G$2:I2189)-SUM(J$2:J2189))</f>
        <v/>
      </c>
      <c r="L2189" s="22">
        <f>IF(B2189="","",IF(B2189=B2188,L2188,N(L2188)+1))</f>
        <v/>
      </c>
    </row>
    <row r="2190">
      <c r="A2190" s="22" t="n"/>
      <c r="B2190" s="27" t="n"/>
      <c r="C2190" s="17" t="n"/>
      <c r="D2190" s="17" t="n"/>
      <c r="E2190" s="17" t="n"/>
      <c r="F2190" s="28" t="n"/>
      <c r="G2190" s="29" t="n"/>
      <c r="H2190" s="29" t="n"/>
      <c r="I2190" s="29" t="n"/>
      <c r="J2190" s="29" t="n"/>
      <c r="K2190" s="30">
        <f>IF(B2190="","",SUM(G$2:I2190)-SUM(J$2:J2190))</f>
        <v/>
      </c>
      <c r="L2190" s="22">
        <f>IF(B2190="","",IF(B2190=B2189,L2189,N(L2189)+1))</f>
        <v/>
      </c>
    </row>
    <row r="2191">
      <c r="A2191" s="22" t="n"/>
      <c r="B2191" s="27" t="n"/>
      <c r="C2191" s="17" t="n"/>
      <c r="D2191" s="17" t="n"/>
      <c r="E2191" s="17" t="n"/>
      <c r="F2191" s="28" t="n"/>
      <c r="G2191" s="29" t="n"/>
      <c r="H2191" s="29" t="n"/>
      <c r="I2191" s="29" t="n"/>
      <c r="J2191" s="29" t="n"/>
      <c r="K2191" s="30">
        <f>IF(B2191="","",SUM(G$2:I2191)-SUM(J$2:J2191))</f>
        <v/>
      </c>
      <c r="L2191" s="22">
        <f>IF(B2191="","",IF(B2191=B2190,L2190,N(L2190)+1))</f>
        <v/>
      </c>
    </row>
    <row r="2192">
      <c r="A2192" s="22" t="n"/>
      <c r="B2192" s="27" t="n"/>
      <c r="C2192" s="17" t="n"/>
      <c r="D2192" s="17" t="n"/>
      <c r="E2192" s="17" t="n"/>
      <c r="F2192" s="28" t="n"/>
      <c r="G2192" s="29" t="n"/>
      <c r="H2192" s="29" t="n"/>
      <c r="I2192" s="29" t="n"/>
      <c r="J2192" s="29" t="n"/>
      <c r="K2192" s="30">
        <f>IF(B2192="","",SUM(G$2:I2192)-SUM(J$2:J2192))</f>
        <v/>
      </c>
      <c r="L2192" s="22">
        <f>IF(B2192="","",IF(B2192=B2191,L2191,N(L2191)+1))</f>
        <v/>
      </c>
    </row>
    <row r="2193">
      <c r="A2193" s="22" t="n"/>
      <c r="B2193" s="27" t="n"/>
      <c r="C2193" s="17" t="n"/>
      <c r="D2193" s="17" t="n"/>
      <c r="E2193" s="17" t="n"/>
      <c r="F2193" s="28" t="n"/>
      <c r="G2193" s="29" t="n"/>
      <c r="H2193" s="29" t="n"/>
      <c r="I2193" s="29" t="n"/>
      <c r="J2193" s="29" t="n"/>
      <c r="K2193" s="30">
        <f>IF(B2193="","",SUM(G$2:I2193)-SUM(J$2:J2193))</f>
        <v/>
      </c>
      <c r="L2193" s="22">
        <f>IF(B2193="","",IF(B2193=B2192,L2192,N(L2192)+1))</f>
        <v/>
      </c>
    </row>
    <row r="2194">
      <c r="A2194" s="22" t="n"/>
      <c r="B2194" s="27" t="n"/>
      <c r="C2194" s="17" t="n"/>
      <c r="D2194" s="17" t="n"/>
      <c r="E2194" s="17" t="n"/>
      <c r="F2194" s="28" t="n"/>
      <c r="G2194" s="29" t="n"/>
      <c r="H2194" s="29" t="n"/>
      <c r="I2194" s="29" t="n"/>
      <c r="J2194" s="29" t="n"/>
      <c r="K2194" s="30">
        <f>IF(B2194="","",SUM(G$2:I2194)-SUM(J$2:J2194))</f>
        <v/>
      </c>
      <c r="L2194" s="22">
        <f>IF(B2194="","",IF(B2194=B2193,L2193,N(L2193)+1))</f>
        <v/>
      </c>
    </row>
    <row r="2195">
      <c r="A2195" s="22" t="n"/>
      <c r="B2195" s="27" t="n"/>
      <c r="C2195" s="17" t="n"/>
      <c r="D2195" s="17" t="n"/>
      <c r="E2195" s="17" t="n"/>
      <c r="F2195" s="28" t="n"/>
      <c r="G2195" s="29" t="n"/>
      <c r="H2195" s="29" t="n"/>
      <c r="I2195" s="29" t="n"/>
      <c r="J2195" s="29" t="n"/>
      <c r="K2195" s="30">
        <f>IF(B2195="","",SUM(G$2:I2195)-SUM(J$2:J2195))</f>
        <v/>
      </c>
      <c r="L2195" s="22">
        <f>IF(B2195="","",IF(B2195=B2194,L2194,N(L2194)+1))</f>
        <v/>
      </c>
    </row>
    <row r="2196">
      <c r="A2196" s="22" t="n"/>
      <c r="B2196" s="27" t="n"/>
      <c r="C2196" s="17" t="n"/>
      <c r="D2196" s="17" t="n"/>
      <c r="E2196" s="17" t="n"/>
      <c r="F2196" s="28" t="n"/>
      <c r="G2196" s="29" t="n"/>
      <c r="H2196" s="29" t="n"/>
      <c r="I2196" s="29" t="n"/>
      <c r="J2196" s="29" t="n"/>
      <c r="K2196" s="30">
        <f>IF(B2196="","",SUM(G$2:I2196)-SUM(J$2:J2196))</f>
        <v/>
      </c>
      <c r="L2196" s="22">
        <f>IF(B2196="","",IF(B2196=B2195,L2195,N(L2195)+1))</f>
        <v/>
      </c>
    </row>
    <row r="2197">
      <c r="A2197" s="22" t="n"/>
      <c r="B2197" s="27" t="n"/>
      <c r="C2197" s="17" t="n"/>
      <c r="D2197" s="17" t="n"/>
      <c r="E2197" s="17" t="n"/>
      <c r="F2197" s="28" t="n"/>
      <c r="G2197" s="29" t="n"/>
      <c r="H2197" s="29" t="n"/>
      <c r="I2197" s="29" t="n"/>
      <c r="J2197" s="29" t="n"/>
      <c r="K2197" s="30">
        <f>IF(B2197="","",SUM(G$2:I2197)-SUM(J$2:J2197))</f>
        <v/>
      </c>
      <c r="L2197" s="22">
        <f>IF(B2197="","",IF(B2197=B2196,L2196,N(L2196)+1))</f>
        <v/>
      </c>
    </row>
    <row r="2198">
      <c r="A2198" s="22" t="n"/>
      <c r="B2198" s="27" t="n"/>
      <c r="C2198" s="17" t="n"/>
      <c r="D2198" s="17" t="n"/>
      <c r="E2198" s="17" t="n"/>
      <c r="F2198" s="28" t="n"/>
      <c r="G2198" s="29" t="n"/>
      <c r="H2198" s="29" t="n"/>
      <c r="I2198" s="29" t="n"/>
      <c r="J2198" s="29" t="n"/>
      <c r="K2198" s="30">
        <f>IF(B2198="","",SUM(G$2:I2198)-SUM(J$2:J2198))</f>
        <v/>
      </c>
      <c r="L2198" s="22">
        <f>IF(B2198="","",IF(B2198=B2197,L2197,N(L2197)+1))</f>
        <v/>
      </c>
    </row>
    <row r="2199">
      <c r="A2199" s="22" t="n"/>
      <c r="B2199" s="27" t="n"/>
      <c r="C2199" s="17" t="n"/>
      <c r="D2199" s="17" t="n"/>
      <c r="E2199" s="17" t="n"/>
      <c r="F2199" s="28" t="n"/>
      <c r="G2199" s="29" t="n"/>
      <c r="H2199" s="29" t="n"/>
      <c r="I2199" s="29" t="n"/>
      <c r="J2199" s="29" t="n"/>
      <c r="K2199" s="30">
        <f>IF(B2199="","",SUM(G$2:I2199)-SUM(J$2:J2199))</f>
        <v/>
      </c>
      <c r="L2199" s="22">
        <f>IF(B2199="","",IF(B2199=B2198,L2198,N(L2198)+1))</f>
        <v/>
      </c>
    </row>
    <row r="2200">
      <c r="A2200" s="22" t="n"/>
      <c r="B2200" s="27" t="n"/>
      <c r="C2200" s="17" t="n"/>
      <c r="D2200" s="17" t="n"/>
      <c r="E2200" s="17" t="n"/>
      <c r="F2200" s="28" t="n"/>
      <c r="G2200" s="29" t="n"/>
      <c r="H2200" s="29" t="n"/>
      <c r="I2200" s="29" t="n"/>
      <c r="J2200" s="29" t="n"/>
      <c r="K2200" s="30">
        <f>IF(B2200="","",SUM(G$2:I2200)-SUM(J$2:J2200))</f>
        <v/>
      </c>
      <c r="L2200" s="22">
        <f>IF(B2200="","",IF(B2200=B2199,L2199,N(L2199)+1))</f>
        <v/>
      </c>
    </row>
    <row r="2201">
      <c r="A2201" s="22" t="n"/>
      <c r="B2201" s="27" t="n"/>
      <c r="C2201" s="17" t="n"/>
      <c r="D2201" s="17" t="n"/>
      <c r="E2201" s="17" t="n"/>
      <c r="F2201" s="28" t="n"/>
      <c r="G2201" s="29" t="n"/>
      <c r="H2201" s="29" t="n"/>
      <c r="I2201" s="29" t="n"/>
      <c r="J2201" s="29" t="n"/>
      <c r="K2201" s="30">
        <f>IF(B2201="","",SUM(G$2:I2201)-SUM(J$2:J2201))</f>
        <v/>
      </c>
      <c r="L2201" s="22">
        <f>IF(B2201="","",IF(B2201=B2200,L2200,N(L2200)+1))</f>
        <v/>
      </c>
    </row>
    <row r="2202">
      <c r="A2202" s="22" t="n"/>
      <c r="B2202" s="27" t="n"/>
      <c r="C2202" s="17" t="n"/>
      <c r="D2202" s="17" t="n"/>
      <c r="E2202" s="17" t="n"/>
      <c r="F2202" s="28" t="n"/>
      <c r="G2202" s="29" t="n"/>
      <c r="H2202" s="29" t="n"/>
      <c r="I2202" s="29" t="n"/>
      <c r="J2202" s="29" t="n"/>
      <c r="K2202" s="30">
        <f>IF(B2202="","",SUM(G$2:I2202)-SUM(J$2:J2202))</f>
        <v/>
      </c>
      <c r="L2202" s="22">
        <f>IF(B2202="","",IF(B2202=B2201,L2201,N(L2201)+1))</f>
        <v/>
      </c>
    </row>
    <row r="2203">
      <c r="A2203" s="22" t="n"/>
      <c r="B2203" s="27" t="n"/>
      <c r="C2203" s="17" t="n"/>
      <c r="D2203" s="17" t="n"/>
      <c r="E2203" s="17" t="n"/>
      <c r="F2203" s="28" t="n"/>
      <c r="G2203" s="29" t="n"/>
      <c r="H2203" s="29" t="n"/>
      <c r="I2203" s="29" t="n"/>
      <c r="J2203" s="29" t="n"/>
      <c r="K2203" s="30">
        <f>IF(B2203="","",SUM(G$2:I2203)-SUM(J$2:J2203))</f>
        <v/>
      </c>
      <c r="L2203" s="22">
        <f>IF(B2203="","",IF(B2203=B2202,L2202,N(L2202)+1))</f>
        <v/>
      </c>
    </row>
    <row r="2204">
      <c r="A2204" s="22" t="n"/>
      <c r="B2204" s="27" t="n"/>
      <c r="C2204" s="17" t="n"/>
      <c r="D2204" s="17" t="n"/>
      <c r="E2204" s="17" t="n"/>
      <c r="F2204" s="28" t="n"/>
      <c r="G2204" s="29" t="n"/>
      <c r="H2204" s="29" t="n"/>
      <c r="I2204" s="29" t="n"/>
      <c r="J2204" s="29" t="n"/>
      <c r="K2204" s="30">
        <f>IF(B2204="","",SUM(G$2:I2204)-SUM(J$2:J2204))</f>
        <v/>
      </c>
      <c r="L2204" s="22">
        <f>IF(B2204="","",IF(B2204=B2203,L2203,N(L2203)+1))</f>
        <v/>
      </c>
    </row>
    <row r="2205">
      <c r="A2205" s="22" t="n"/>
      <c r="B2205" s="27" t="n"/>
      <c r="C2205" s="17" t="n"/>
      <c r="D2205" s="17" t="n"/>
      <c r="E2205" s="17" t="n"/>
      <c r="F2205" s="28" t="n"/>
      <c r="G2205" s="29" t="n"/>
      <c r="H2205" s="29" t="n"/>
      <c r="I2205" s="29" t="n"/>
      <c r="J2205" s="29" t="n"/>
      <c r="K2205" s="30">
        <f>IF(B2205="","",SUM(G$2:I2205)-SUM(J$2:J2205))</f>
        <v/>
      </c>
      <c r="L2205" s="22">
        <f>IF(B2205="","",IF(B2205=B2204,L2204,N(L2204)+1))</f>
        <v/>
      </c>
    </row>
    <row r="2206">
      <c r="A2206" s="22" t="n"/>
      <c r="B2206" s="27" t="n"/>
      <c r="C2206" s="17" t="n"/>
      <c r="D2206" s="17" t="n"/>
      <c r="E2206" s="17" t="n"/>
      <c r="F2206" s="28" t="n"/>
      <c r="G2206" s="29" t="n"/>
      <c r="H2206" s="29" t="n"/>
      <c r="I2206" s="29" t="n"/>
      <c r="J2206" s="29" t="n"/>
      <c r="K2206" s="30">
        <f>IF(B2206="","",SUM(G$2:I2206)-SUM(J$2:J2206))</f>
        <v/>
      </c>
      <c r="L2206" s="22">
        <f>IF(B2206="","",IF(B2206=B2205,L2205,N(L2205)+1))</f>
        <v/>
      </c>
    </row>
    <row r="2207">
      <c r="A2207" s="22" t="n"/>
      <c r="B2207" s="27" t="n"/>
      <c r="C2207" s="17" t="n"/>
      <c r="D2207" s="17" t="n"/>
      <c r="E2207" s="17" t="n"/>
      <c r="F2207" s="28" t="n"/>
      <c r="G2207" s="29" t="n"/>
      <c r="H2207" s="29" t="n"/>
      <c r="I2207" s="29" t="n"/>
      <c r="J2207" s="29" t="n"/>
      <c r="K2207" s="30">
        <f>IF(B2207="","",SUM(G$2:I2207)-SUM(J$2:J2207))</f>
        <v/>
      </c>
      <c r="L2207" s="22">
        <f>IF(B2207="","",IF(B2207=B2206,L2206,N(L2206)+1))</f>
        <v/>
      </c>
    </row>
    <row r="2208">
      <c r="A2208" s="22" t="n"/>
      <c r="B2208" s="27" t="n"/>
      <c r="C2208" s="17" t="n"/>
      <c r="D2208" s="17" t="n"/>
      <c r="E2208" s="17" t="n"/>
      <c r="F2208" s="28" t="n"/>
      <c r="G2208" s="29" t="n"/>
      <c r="H2208" s="29" t="n"/>
      <c r="I2208" s="29" t="n"/>
      <c r="J2208" s="29" t="n"/>
      <c r="K2208" s="30">
        <f>IF(B2208="","",SUM(G$2:I2208)-SUM(J$2:J2208))</f>
        <v/>
      </c>
      <c r="L2208" s="22">
        <f>IF(B2208="","",IF(B2208=B2207,L2207,N(L2207)+1))</f>
        <v/>
      </c>
    </row>
    <row r="2209">
      <c r="A2209" s="22" t="n"/>
      <c r="B2209" s="27" t="n"/>
      <c r="C2209" s="17" t="n"/>
      <c r="D2209" s="17" t="n"/>
      <c r="E2209" s="17" t="n"/>
      <c r="F2209" s="28" t="n"/>
      <c r="G2209" s="29" t="n"/>
      <c r="H2209" s="29" t="n"/>
      <c r="I2209" s="29" t="n"/>
      <c r="J2209" s="29" t="n"/>
      <c r="K2209" s="30">
        <f>IF(B2209="","",SUM(G$2:I2209)-SUM(J$2:J2209))</f>
        <v/>
      </c>
      <c r="L2209" s="22">
        <f>IF(B2209="","",IF(B2209=B2208,L2208,N(L2208)+1))</f>
        <v/>
      </c>
    </row>
    <row r="2210">
      <c r="A2210" s="22" t="n"/>
      <c r="B2210" s="27" t="n"/>
      <c r="C2210" s="17" t="n"/>
      <c r="D2210" s="17" t="n"/>
      <c r="E2210" s="17" t="n"/>
      <c r="F2210" s="28" t="n"/>
      <c r="G2210" s="29" t="n"/>
      <c r="H2210" s="29" t="n"/>
      <c r="I2210" s="29" t="n"/>
      <c r="J2210" s="29" t="n"/>
      <c r="K2210" s="30">
        <f>IF(B2210="","",SUM(G$2:I2210)-SUM(J$2:J2210))</f>
        <v/>
      </c>
      <c r="L2210" s="22">
        <f>IF(B2210="","",IF(B2210=B2209,L2209,N(L2209)+1))</f>
        <v/>
      </c>
    </row>
    <row r="2211">
      <c r="A2211" s="22" t="n"/>
      <c r="B2211" s="27" t="n"/>
      <c r="C2211" s="17" t="n"/>
      <c r="D2211" s="17" t="n"/>
      <c r="E2211" s="17" t="n"/>
      <c r="F2211" s="28" t="n"/>
      <c r="G2211" s="29" t="n"/>
      <c r="H2211" s="29" t="n"/>
      <c r="I2211" s="29" t="n"/>
      <c r="J2211" s="29" t="n"/>
      <c r="K2211" s="30">
        <f>IF(B2211="","",SUM(G$2:I2211)-SUM(J$2:J2211))</f>
        <v/>
      </c>
      <c r="L2211" s="22">
        <f>IF(B2211="","",IF(B2211=B2210,L2210,N(L2210)+1))</f>
        <v/>
      </c>
    </row>
    <row r="2212">
      <c r="A2212" s="22" t="n"/>
      <c r="B2212" s="27" t="n"/>
      <c r="C2212" s="17" t="n"/>
      <c r="D2212" s="17" t="n"/>
      <c r="E2212" s="17" t="n"/>
      <c r="F2212" s="28" t="n"/>
      <c r="G2212" s="29" t="n"/>
      <c r="H2212" s="29" t="n"/>
      <c r="I2212" s="29" t="n"/>
      <c r="J2212" s="29" t="n"/>
      <c r="K2212" s="30">
        <f>IF(B2212="","",SUM(G$2:I2212)-SUM(J$2:J2212))</f>
        <v/>
      </c>
      <c r="L2212" s="22">
        <f>IF(B2212="","",IF(B2212=B2211,L2211,N(L2211)+1))</f>
        <v/>
      </c>
    </row>
    <row r="2213">
      <c r="A2213" s="22" t="n"/>
      <c r="B2213" s="27" t="n"/>
      <c r="C2213" s="17" t="n"/>
      <c r="D2213" s="17" t="n"/>
      <c r="E2213" s="17" t="n"/>
      <c r="F2213" s="28" t="n"/>
      <c r="G2213" s="29" t="n"/>
      <c r="H2213" s="29" t="n"/>
      <c r="I2213" s="29" t="n"/>
      <c r="J2213" s="29" t="n"/>
      <c r="K2213" s="30">
        <f>IF(B2213="","",SUM(G$2:I2213)-SUM(J$2:J2213))</f>
        <v/>
      </c>
      <c r="L2213" s="22">
        <f>IF(B2213="","",IF(B2213=B2212,L2212,N(L2212)+1))</f>
        <v/>
      </c>
    </row>
    <row r="2214">
      <c r="A2214" s="22" t="n"/>
      <c r="B2214" s="27" t="n"/>
      <c r="C2214" s="17" t="n"/>
      <c r="D2214" s="17" t="n"/>
      <c r="E2214" s="17" t="n"/>
      <c r="F2214" s="28" t="n"/>
      <c r="G2214" s="29" t="n"/>
      <c r="H2214" s="29" t="n"/>
      <c r="I2214" s="29" t="n"/>
      <c r="J2214" s="29" t="n"/>
      <c r="K2214" s="30">
        <f>IF(B2214="","",SUM(G$2:I2214)-SUM(J$2:J2214))</f>
        <v/>
      </c>
      <c r="L2214" s="22">
        <f>IF(B2214="","",IF(B2214=B2213,L2213,N(L2213)+1))</f>
        <v/>
      </c>
    </row>
    <row r="2215">
      <c r="A2215" s="22" t="n"/>
      <c r="B2215" s="27" t="n"/>
      <c r="C2215" s="17" t="n"/>
      <c r="D2215" s="17" t="n"/>
      <c r="E2215" s="17" t="n"/>
      <c r="F2215" s="28" t="n"/>
      <c r="G2215" s="29" t="n"/>
      <c r="H2215" s="29" t="n"/>
      <c r="I2215" s="29" t="n"/>
      <c r="J2215" s="29" t="n"/>
      <c r="K2215" s="30">
        <f>IF(B2215="","",SUM(G$2:I2215)-SUM(J$2:J2215))</f>
        <v/>
      </c>
      <c r="L2215" s="22">
        <f>IF(B2215="","",IF(B2215=B2214,L2214,N(L2214)+1))</f>
        <v/>
      </c>
    </row>
    <row r="2216">
      <c r="A2216" s="22" t="n"/>
      <c r="B2216" s="27" t="n"/>
      <c r="C2216" s="17" t="n"/>
      <c r="D2216" s="17" t="n"/>
      <c r="E2216" s="17" t="n"/>
      <c r="F2216" s="28" t="n"/>
      <c r="G2216" s="29" t="n"/>
      <c r="H2216" s="29" t="n"/>
      <c r="I2216" s="29" t="n"/>
      <c r="J2216" s="29" t="n"/>
      <c r="K2216" s="30">
        <f>IF(B2216="","",SUM(G$2:I2216)-SUM(J$2:J2216))</f>
        <v/>
      </c>
      <c r="L2216" s="22">
        <f>IF(B2216="","",IF(B2216=B2215,L2215,N(L2215)+1))</f>
        <v/>
      </c>
    </row>
    <row r="2217">
      <c r="A2217" s="22" t="n"/>
      <c r="B2217" s="27" t="n"/>
      <c r="C2217" s="17" t="n"/>
      <c r="D2217" s="17" t="n"/>
      <c r="E2217" s="17" t="n"/>
      <c r="F2217" s="28" t="n"/>
      <c r="G2217" s="29" t="n"/>
      <c r="H2217" s="29" t="n"/>
      <c r="I2217" s="29" t="n"/>
      <c r="J2217" s="29" t="n"/>
      <c r="K2217" s="30">
        <f>IF(B2217="","",SUM(G$2:I2217)-SUM(J$2:J2217))</f>
        <v/>
      </c>
      <c r="L2217" s="22">
        <f>IF(B2217="","",IF(B2217=B2216,L2216,N(L2216)+1))</f>
        <v/>
      </c>
    </row>
    <row r="2218">
      <c r="A2218" s="22" t="n"/>
      <c r="B2218" s="27" t="n"/>
      <c r="C2218" s="17" t="n"/>
      <c r="D2218" s="17" t="n"/>
      <c r="E2218" s="17" t="n"/>
      <c r="F2218" s="28" t="n"/>
      <c r="G2218" s="29" t="n"/>
      <c r="H2218" s="29" t="n"/>
      <c r="I2218" s="29" t="n"/>
      <c r="J2218" s="29" t="n"/>
      <c r="K2218" s="30">
        <f>IF(B2218="","",SUM(G$2:I2218)-SUM(J$2:J2218))</f>
        <v/>
      </c>
      <c r="L2218" s="22">
        <f>IF(B2218="","",IF(B2218=B2217,L2217,N(L2217)+1))</f>
        <v/>
      </c>
    </row>
    <row r="2219">
      <c r="A2219" s="22" t="n"/>
      <c r="B2219" s="27" t="n"/>
      <c r="C2219" s="17" t="n"/>
      <c r="D2219" s="17" t="n"/>
      <c r="E2219" s="17" t="n"/>
      <c r="F2219" s="28" t="n"/>
      <c r="G2219" s="29" t="n"/>
      <c r="H2219" s="29" t="n"/>
      <c r="I2219" s="29" t="n"/>
      <c r="J2219" s="29" t="n"/>
      <c r="K2219" s="30">
        <f>IF(B2219="","",SUM(G$2:I2219)-SUM(J$2:J2219))</f>
        <v/>
      </c>
      <c r="L2219" s="22">
        <f>IF(B2219="","",IF(B2219=B2218,L2218,N(L2218)+1))</f>
        <v/>
      </c>
    </row>
    <row r="2220">
      <c r="A2220" s="22" t="n"/>
      <c r="B2220" s="27" t="n"/>
      <c r="C2220" s="17" t="n"/>
      <c r="D2220" s="17" t="n"/>
      <c r="E2220" s="17" t="n"/>
      <c r="F2220" s="28" t="n"/>
      <c r="G2220" s="29" t="n"/>
      <c r="H2220" s="29" t="n"/>
      <c r="I2220" s="29" t="n"/>
      <c r="J2220" s="29" t="n"/>
      <c r="K2220" s="30">
        <f>IF(B2220="","",SUM(G$2:I2220)-SUM(J$2:J2220))</f>
        <v/>
      </c>
      <c r="L2220" s="22">
        <f>IF(B2220="","",IF(B2220=B2219,L2219,N(L2219)+1))</f>
        <v/>
      </c>
    </row>
    <row r="2221">
      <c r="A2221" s="22" t="n"/>
      <c r="B2221" s="27" t="n"/>
      <c r="C2221" s="17" t="n"/>
      <c r="D2221" s="17" t="n"/>
      <c r="E2221" s="17" t="n"/>
      <c r="F2221" s="28" t="n"/>
      <c r="G2221" s="29" t="n"/>
      <c r="H2221" s="29" t="n"/>
      <c r="I2221" s="29" t="n"/>
      <c r="J2221" s="29" t="n"/>
      <c r="K2221" s="30">
        <f>IF(B2221="","",SUM(G$2:I2221)-SUM(J$2:J2221))</f>
        <v/>
      </c>
      <c r="L2221" s="22">
        <f>IF(B2221="","",IF(B2221=B2220,L2220,N(L2220)+1))</f>
        <v/>
      </c>
    </row>
    <row r="2222">
      <c r="A2222" s="22" t="n"/>
      <c r="B2222" s="27" t="n"/>
      <c r="C2222" s="17" t="n"/>
      <c r="D2222" s="17" t="n"/>
      <c r="E2222" s="17" t="n"/>
      <c r="F2222" s="28" t="n"/>
      <c r="G2222" s="29" t="n"/>
      <c r="H2222" s="29" t="n"/>
      <c r="I2222" s="29" t="n"/>
      <c r="J2222" s="29" t="n"/>
      <c r="K2222" s="30">
        <f>IF(B2222="","",SUM(G$2:I2222)-SUM(J$2:J2222))</f>
        <v/>
      </c>
      <c r="L2222" s="22">
        <f>IF(B2222="","",IF(B2222=B2221,L2221,N(L2221)+1))</f>
        <v/>
      </c>
    </row>
    <row r="2223">
      <c r="A2223" s="22" t="n"/>
      <c r="B2223" s="27" t="n"/>
      <c r="C2223" s="17" t="n"/>
      <c r="D2223" s="17" t="n"/>
      <c r="E2223" s="17" t="n"/>
      <c r="F2223" s="28" t="n"/>
      <c r="G2223" s="29" t="n"/>
      <c r="H2223" s="29" t="n"/>
      <c r="I2223" s="29" t="n"/>
      <c r="J2223" s="29" t="n"/>
      <c r="K2223" s="30">
        <f>IF(B2223="","",SUM(G$2:I2223)-SUM(J$2:J2223))</f>
        <v/>
      </c>
      <c r="L2223" s="22">
        <f>IF(B2223="","",IF(B2223=B2222,L2222,N(L2222)+1))</f>
        <v/>
      </c>
    </row>
    <row r="2224">
      <c r="A2224" s="22" t="n"/>
      <c r="B2224" s="27" t="n"/>
      <c r="C2224" s="17" t="n"/>
      <c r="D2224" s="17" t="n"/>
      <c r="E2224" s="17" t="n"/>
      <c r="F2224" s="28" t="n"/>
      <c r="G2224" s="29" t="n"/>
      <c r="H2224" s="29" t="n"/>
      <c r="I2224" s="29" t="n"/>
      <c r="J2224" s="29" t="n"/>
      <c r="K2224" s="30">
        <f>IF(B2224="","",SUM(G$2:I2224)-SUM(J$2:J2224))</f>
        <v/>
      </c>
      <c r="L2224" s="22">
        <f>IF(B2224="","",IF(B2224=B2223,L2223,N(L2223)+1))</f>
        <v/>
      </c>
    </row>
    <row r="2225">
      <c r="A2225" s="22" t="n"/>
      <c r="B2225" s="27" t="n"/>
      <c r="C2225" s="17" t="n"/>
      <c r="D2225" s="17" t="n"/>
      <c r="E2225" s="17" t="n"/>
      <c r="F2225" s="28" t="n"/>
      <c r="G2225" s="29" t="n"/>
      <c r="H2225" s="29" t="n"/>
      <c r="I2225" s="29" t="n"/>
      <c r="J2225" s="29" t="n"/>
      <c r="K2225" s="30">
        <f>IF(B2225="","",SUM(G$2:I2225)-SUM(J$2:J2225))</f>
        <v/>
      </c>
      <c r="L2225" s="22">
        <f>IF(B2225="","",IF(B2225=B2224,L2224,N(L2224)+1))</f>
        <v/>
      </c>
    </row>
    <row r="2226">
      <c r="A2226" s="22" t="n"/>
      <c r="B2226" s="27" t="n"/>
      <c r="C2226" s="17" t="n"/>
      <c r="D2226" s="17" t="n"/>
      <c r="E2226" s="17" t="n"/>
      <c r="F2226" s="28" t="n"/>
      <c r="G2226" s="29" t="n"/>
      <c r="H2226" s="29" t="n"/>
      <c r="I2226" s="29" t="n"/>
      <c r="J2226" s="29" t="n"/>
      <c r="K2226" s="30">
        <f>IF(B2226="","",SUM(G$2:I2226)-SUM(J$2:J2226))</f>
        <v/>
      </c>
      <c r="L2226" s="22">
        <f>IF(B2226="","",IF(B2226=B2225,L2225,N(L2225)+1))</f>
        <v/>
      </c>
    </row>
    <row r="2227">
      <c r="A2227" s="22" t="n"/>
      <c r="B2227" s="27" t="n"/>
      <c r="C2227" s="17" t="n"/>
      <c r="D2227" s="17" t="n"/>
      <c r="E2227" s="17" t="n"/>
      <c r="F2227" s="28" t="n"/>
      <c r="G2227" s="29" t="n"/>
      <c r="H2227" s="29" t="n"/>
      <c r="I2227" s="29" t="n"/>
      <c r="J2227" s="29" t="n"/>
      <c r="K2227" s="30">
        <f>IF(B2227="","",SUM(G$2:I2227)-SUM(J$2:J2227))</f>
        <v/>
      </c>
      <c r="L2227" s="22">
        <f>IF(B2227="","",IF(B2227=B2226,L2226,N(L2226)+1))</f>
        <v/>
      </c>
    </row>
    <row r="2228">
      <c r="A2228" s="22" t="n"/>
      <c r="B2228" s="27" t="n"/>
      <c r="C2228" s="17" t="n"/>
      <c r="D2228" s="17" t="n"/>
      <c r="E2228" s="17" t="n"/>
      <c r="F2228" s="28" t="n"/>
      <c r="G2228" s="29" t="n"/>
      <c r="H2228" s="29" t="n"/>
      <c r="I2228" s="29" t="n"/>
      <c r="J2228" s="29" t="n"/>
      <c r="K2228" s="30">
        <f>IF(B2228="","",SUM(G$2:I2228)-SUM(J$2:J2228))</f>
        <v/>
      </c>
      <c r="L2228" s="22">
        <f>IF(B2228="","",IF(B2228=B2227,L2227,N(L2227)+1))</f>
        <v/>
      </c>
    </row>
    <row r="2229">
      <c r="A2229" s="22" t="n"/>
      <c r="B2229" s="27" t="n"/>
      <c r="C2229" s="17" t="n"/>
      <c r="D2229" s="17" t="n"/>
      <c r="E2229" s="17" t="n"/>
      <c r="F2229" s="28" t="n"/>
      <c r="G2229" s="29" t="n"/>
      <c r="H2229" s="29" t="n"/>
      <c r="I2229" s="29" t="n"/>
      <c r="J2229" s="29" t="n"/>
      <c r="K2229" s="30">
        <f>IF(B2229="","",SUM(G$2:I2229)-SUM(J$2:J2229))</f>
        <v/>
      </c>
      <c r="L2229" s="22">
        <f>IF(B2229="","",IF(B2229=B2228,L2228,N(L2228)+1))</f>
        <v/>
      </c>
    </row>
    <row r="2230">
      <c r="A2230" s="22" t="n"/>
      <c r="B2230" s="27" t="n"/>
      <c r="C2230" s="17" t="n"/>
      <c r="D2230" s="17" t="n"/>
      <c r="E2230" s="17" t="n"/>
      <c r="F2230" s="28" t="n"/>
      <c r="G2230" s="29" t="n"/>
      <c r="H2230" s="29" t="n"/>
      <c r="I2230" s="29" t="n"/>
      <c r="J2230" s="29" t="n"/>
      <c r="K2230" s="30">
        <f>IF(B2230="","",SUM(G$2:I2230)-SUM(J$2:J2230))</f>
        <v/>
      </c>
      <c r="L2230" s="22">
        <f>IF(B2230="","",IF(B2230=B2229,L2229,N(L2229)+1))</f>
        <v/>
      </c>
    </row>
    <row r="2231">
      <c r="A2231" s="22" t="n"/>
      <c r="B2231" s="27" t="n"/>
      <c r="C2231" s="17" t="n"/>
      <c r="D2231" s="17" t="n"/>
      <c r="E2231" s="17" t="n"/>
      <c r="F2231" s="28" t="n"/>
      <c r="G2231" s="29" t="n"/>
      <c r="H2231" s="29" t="n"/>
      <c r="I2231" s="29" t="n"/>
      <c r="J2231" s="29" t="n"/>
      <c r="K2231" s="30">
        <f>IF(B2231="","",SUM(G$2:I2231)-SUM(J$2:J2231))</f>
        <v/>
      </c>
      <c r="L2231" s="22">
        <f>IF(B2231="","",IF(B2231=B2230,L2230,N(L2230)+1))</f>
        <v/>
      </c>
    </row>
    <row r="2232">
      <c r="A2232" s="22" t="n"/>
      <c r="B2232" s="27" t="n"/>
      <c r="C2232" s="17" t="n"/>
      <c r="D2232" s="17" t="n"/>
      <c r="E2232" s="17" t="n"/>
      <c r="F2232" s="28" t="n"/>
      <c r="G2232" s="29" t="n"/>
      <c r="H2232" s="29" t="n"/>
      <c r="I2232" s="29" t="n"/>
      <c r="J2232" s="29" t="n"/>
      <c r="K2232" s="30">
        <f>IF(B2232="","",SUM(G$2:I2232)-SUM(J$2:J2232))</f>
        <v/>
      </c>
      <c r="L2232" s="22">
        <f>IF(B2232="","",IF(B2232=B2231,L2231,N(L2231)+1))</f>
        <v/>
      </c>
    </row>
    <row r="2233">
      <c r="A2233" s="22" t="n"/>
      <c r="B2233" s="27" t="n"/>
      <c r="C2233" s="17" t="n"/>
      <c r="D2233" s="17" t="n"/>
      <c r="E2233" s="17" t="n"/>
      <c r="F2233" s="28" t="n"/>
      <c r="G2233" s="29" t="n"/>
      <c r="H2233" s="29" t="n"/>
      <c r="I2233" s="29" t="n"/>
      <c r="J2233" s="29" t="n"/>
      <c r="K2233" s="30">
        <f>IF(B2233="","",SUM(G$2:I2233)-SUM(J$2:J2233))</f>
        <v/>
      </c>
      <c r="L2233" s="22">
        <f>IF(B2233="","",IF(B2233=B2232,L2232,N(L2232)+1))</f>
        <v/>
      </c>
    </row>
    <row r="2234">
      <c r="A2234" s="22" t="n"/>
      <c r="B2234" s="27" t="n"/>
      <c r="C2234" s="17" t="n"/>
      <c r="D2234" s="17" t="n"/>
      <c r="E2234" s="17" t="n"/>
      <c r="F2234" s="28" t="n"/>
      <c r="G2234" s="29" t="n"/>
      <c r="H2234" s="29" t="n"/>
      <c r="I2234" s="29" t="n"/>
      <c r="J2234" s="29" t="n"/>
      <c r="K2234" s="30">
        <f>IF(B2234="","",SUM(G$2:I2234)-SUM(J$2:J2234))</f>
        <v/>
      </c>
      <c r="L2234" s="22">
        <f>IF(B2234="","",IF(B2234=B2233,L2233,N(L2233)+1))</f>
        <v/>
      </c>
    </row>
    <row r="2235">
      <c r="A2235" s="22" t="n"/>
      <c r="B2235" s="27" t="n"/>
      <c r="C2235" s="17" t="n"/>
      <c r="D2235" s="17" t="n"/>
      <c r="E2235" s="17" t="n"/>
      <c r="F2235" s="28" t="n"/>
      <c r="G2235" s="29" t="n"/>
      <c r="H2235" s="29" t="n"/>
      <c r="I2235" s="29" t="n"/>
      <c r="J2235" s="29" t="n"/>
      <c r="K2235" s="30">
        <f>IF(B2235="","",SUM(G$2:I2235)-SUM(J$2:J2235))</f>
        <v/>
      </c>
      <c r="L2235" s="22">
        <f>IF(B2235="","",IF(B2235=B2234,L2234,N(L2234)+1))</f>
        <v/>
      </c>
    </row>
    <row r="2236">
      <c r="A2236" s="22" t="n"/>
      <c r="B2236" s="27" t="n"/>
      <c r="C2236" s="17" t="n"/>
      <c r="D2236" s="17" t="n"/>
      <c r="E2236" s="17" t="n"/>
      <c r="F2236" s="28" t="n"/>
      <c r="G2236" s="29" t="n"/>
      <c r="H2236" s="29" t="n"/>
      <c r="I2236" s="29" t="n"/>
      <c r="J2236" s="29" t="n"/>
      <c r="K2236" s="30">
        <f>IF(B2236="","",SUM(G$2:I2236)-SUM(J$2:J2236))</f>
        <v/>
      </c>
      <c r="L2236" s="22">
        <f>IF(B2236="","",IF(B2236=B2235,L2235,N(L2235)+1))</f>
        <v/>
      </c>
    </row>
    <row r="2237">
      <c r="A2237" s="22" t="n"/>
      <c r="B2237" s="27" t="n"/>
      <c r="C2237" s="17" t="n"/>
      <c r="D2237" s="17" t="n"/>
      <c r="E2237" s="17" t="n"/>
      <c r="F2237" s="28" t="n"/>
      <c r="G2237" s="29" t="n"/>
      <c r="H2237" s="29" t="n"/>
      <c r="I2237" s="29" t="n"/>
      <c r="J2237" s="29" t="n"/>
      <c r="K2237" s="30">
        <f>IF(B2237="","",SUM(G$2:I2237)-SUM(J$2:J2237))</f>
        <v/>
      </c>
      <c r="L2237" s="22">
        <f>IF(B2237="","",IF(B2237=B2236,L2236,N(L2236)+1))</f>
        <v/>
      </c>
    </row>
    <row r="2238">
      <c r="A2238" s="22" t="n"/>
      <c r="B2238" s="27" t="n"/>
      <c r="C2238" s="17" t="n"/>
      <c r="D2238" s="17" t="n"/>
      <c r="E2238" s="17" t="n"/>
      <c r="F2238" s="28" t="n"/>
      <c r="G2238" s="29" t="n"/>
      <c r="H2238" s="29" t="n"/>
      <c r="I2238" s="29" t="n"/>
      <c r="J2238" s="29" t="n"/>
      <c r="K2238" s="30">
        <f>IF(B2238="","",SUM(G$2:I2238)-SUM(J$2:J2238))</f>
        <v/>
      </c>
      <c r="L2238" s="22">
        <f>IF(B2238="","",IF(B2238=B2237,L2237,N(L2237)+1))</f>
        <v/>
      </c>
    </row>
    <row r="2239">
      <c r="A2239" s="22" t="n"/>
      <c r="B2239" s="27" t="n"/>
      <c r="C2239" s="17" t="n"/>
      <c r="D2239" s="17" t="n"/>
      <c r="E2239" s="17" t="n"/>
      <c r="F2239" s="28" t="n"/>
      <c r="G2239" s="29" t="n"/>
      <c r="H2239" s="29" t="n"/>
      <c r="I2239" s="29" t="n"/>
      <c r="J2239" s="29" t="n"/>
      <c r="K2239" s="30">
        <f>IF(B2239="","",SUM(G$2:I2239)-SUM(J$2:J2239))</f>
        <v/>
      </c>
      <c r="L2239" s="22">
        <f>IF(B2239="","",IF(B2239=B2238,L2238,N(L2238)+1))</f>
        <v/>
      </c>
    </row>
    <row r="2240">
      <c r="A2240" s="22" t="n"/>
      <c r="B2240" s="27" t="n"/>
      <c r="C2240" s="17" t="n"/>
      <c r="D2240" s="17" t="n"/>
      <c r="E2240" s="17" t="n"/>
      <c r="F2240" s="28" t="n"/>
      <c r="G2240" s="29" t="n"/>
      <c r="H2240" s="29" t="n"/>
      <c r="I2240" s="29" t="n"/>
      <c r="J2240" s="29" t="n"/>
      <c r="K2240" s="30">
        <f>IF(B2240="","",SUM(G$2:I2240)-SUM(J$2:J2240))</f>
        <v/>
      </c>
      <c r="L2240" s="22">
        <f>IF(B2240="","",IF(B2240=B2239,L2239,N(L2239)+1))</f>
        <v/>
      </c>
    </row>
    <row r="2241">
      <c r="A2241" s="22" t="n"/>
      <c r="B2241" s="27" t="n"/>
      <c r="C2241" s="17" t="n"/>
      <c r="D2241" s="17" t="n"/>
      <c r="E2241" s="17" t="n"/>
      <c r="F2241" s="28" t="n"/>
      <c r="G2241" s="29" t="n"/>
      <c r="H2241" s="29" t="n"/>
      <c r="I2241" s="29" t="n"/>
      <c r="J2241" s="29" t="n"/>
      <c r="K2241" s="30">
        <f>IF(B2241="","",SUM(G$2:I2241)-SUM(J$2:J2241))</f>
        <v/>
      </c>
      <c r="L2241" s="22">
        <f>IF(B2241="","",IF(B2241=B2240,L2240,N(L2240)+1))</f>
        <v/>
      </c>
    </row>
    <row r="2242">
      <c r="A2242" s="22" t="n"/>
      <c r="B2242" s="27" t="n"/>
      <c r="C2242" s="17" t="n"/>
      <c r="D2242" s="17" t="n"/>
      <c r="E2242" s="17" t="n"/>
      <c r="F2242" s="28" t="n"/>
      <c r="G2242" s="29" t="n"/>
      <c r="H2242" s="29" t="n"/>
      <c r="I2242" s="29" t="n"/>
      <c r="J2242" s="29" t="n"/>
      <c r="K2242" s="30">
        <f>IF(B2242="","",SUM(G$2:I2242)-SUM(J$2:J2242))</f>
        <v/>
      </c>
      <c r="L2242" s="22">
        <f>IF(B2242="","",IF(B2242=B2241,L2241,N(L2241)+1))</f>
        <v/>
      </c>
    </row>
    <row r="2243">
      <c r="A2243" s="22" t="n"/>
      <c r="B2243" s="27" t="n"/>
      <c r="C2243" s="17" t="n"/>
      <c r="D2243" s="17" t="n"/>
      <c r="E2243" s="17" t="n"/>
      <c r="F2243" s="28" t="n"/>
      <c r="G2243" s="29" t="n"/>
      <c r="H2243" s="29" t="n"/>
      <c r="I2243" s="29" t="n"/>
      <c r="J2243" s="29" t="n"/>
      <c r="K2243" s="30">
        <f>IF(B2243="","",SUM(G$2:I2243)-SUM(J$2:J2243))</f>
        <v/>
      </c>
      <c r="L2243" s="22">
        <f>IF(B2243="","",IF(B2243=B2242,L2242,N(L2242)+1))</f>
        <v/>
      </c>
    </row>
    <row r="2244">
      <c r="A2244" s="22" t="n"/>
      <c r="B2244" s="27" t="n"/>
      <c r="C2244" s="17" t="n"/>
      <c r="D2244" s="17" t="n"/>
      <c r="E2244" s="17" t="n"/>
      <c r="F2244" s="28" t="n"/>
      <c r="G2244" s="29" t="n"/>
      <c r="H2244" s="29" t="n"/>
      <c r="I2244" s="29" t="n"/>
      <c r="J2244" s="29" t="n"/>
      <c r="K2244" s="30">
        <f>IF(B2244="","",SUM(G$2:I2244)-SUM(J$2:J2244))</f>
        <v/>
      </c>
      <c r="L2244" s="22">
        <f>IF(B2244="","",IF(B2244=B2243,L2243,N(L2243)+1))</f>
        <v/>
      </c>
    </row>
    <row r="2245">
      <c r="A2245" s="22" t="n"/>
      <c r="B2245" s="27" t="n"/>
      <c r="C2245" s="17" t="n"/>
      <c r="D2245" s="17" t="n"/>
      <c r="E2245" s="17" t="n"/>
      <c r="F2245" s="28" t="n"/>
      <c r="G2245" s="29" t="n"/>
      <c r="H2245" s="29" t="n"/>
      <c r="I2245" s="29" t="n"/>
      <c r="J2245" s="29" t="n"/>
      <c r="K2245" s="30">
        <f>IF(B2245="","",SUM(G$2:I2245)-SUM(J$2:J2245))</f>
        <v/>
      </c>
      <c r="L2245" s="22">
        <f>IF(B2245="","",IF(B2245=B2244,L2244,N(L2244)+1))</f>
        <v/>
      </c>
    </row>
    <row r="2246">
      <c r="A2246" s="22" t="n"/>
      <c r="B2246" s="27" t="n"/>
      <c r="C2246" s="17" t="n"/>
      <c r="D2246" s="17" t="n"/>
      <c r="E2246" s="17" t="n"/>
      <c r="F2246" s="28" t="n"/>
      <c r="G2246" s="29" t="n"/>
      <c r="H2246" s="29" t="n"/>
      <c r="I2246" s="29" t="n"/>
      <c r="J2246" s="29" t="n"/>
      <c r="K2246" s="30">
        <f>IF(B2246="","",SUM(G$2:I2246)-SUM(J$2:J2246))</f>
        <v/>
      </c>
      <c r="L2246" s="22">
        <f>IF(B2246="","",IF(B2246=B2245,L2245,N(L2245)+1))</f>
        <v/>
      </c>
    </row>
    <row r="2247">
      <c r="A2247" s="22" t="n"/>
      <c r="B2247" s="27" t="n"/>
      <c r="C2247" s="17" t="n"/>
      <c r="D2247" s="17" t="n"/>
      <c r="E2247" s="17" t="n"/>
      <c r="F2247" s="28" t="n"/>
      <c r="G2247" s="29" t="n"/>
      <c r="H2247" s="29" t="n"/>
      <c r="I2247" s="29" t="n"/>
      <c r="J2247" s="29" t="n"/>
      <c r="K2247" s="30">
        <f>IF(B2247="","",SUM(G$2:I2247)-SUM(J$2:J2247))</f>
        <v/>
      </c>
      <c r="L2247" s="22">
        <f>IF(B2247="","",IF(B2247=B2246,L2246,N(L2246)+1))</f>
        <v/>
      </c>
    </row>
    <row r="2248">
      <c r="A2248" s="22" t="n"/>
      <c r="B2248" s="27" t="n"/>
      <c r="C2248" s="17" t="n"/>
      <c r="D2248" s="17" t="n"/>
      <c r="E2248" s="17" t="n"/>
      <c r="F2248" s="28" t="n"/>
      <c r="G2248" s="29" t="n"/>
      <c r="H2248" s="29" t="n"/>
      <c r="I2248" s="29" t="n"/>
      <c r="J2248" s="29" t="n"/>
      <c r="K2248" s="30">
        <f>IF(B2248="","",SUM(G$2:I2248)-SUM(J$2:J2248))</f>
        <v/>
      </c>
      <c r="L2248" s="22">
        <f>IF(B2248="","",IF(B2248=B2247,L2247,N(L2247)+1))</f>
        <v/>
      </c>
    </row>
    <row r="2249">
      <c r="A2249" s="22" t="n"/>
      <c r="B2249" s="27" t="n"/>
      <c r="C2249" s="17" t="n"/>
      <c r="D2249" s="17" t="n"/>
      <c r="E2249" s="17" t="n"/>
      <c r="F2249" s="28" t="n"/>
      <c r="G2249" s="29" t="n"/>
      <c r="H2249" s="29" t="n"/>
      <c r="I2249" s="29" t="n"/>
      <c r="J2249" s="29" t="n"/>
      <c r="K2249" s="30">
        <f>IF(B2249="","",SUM(G$2:I2249)-SUM(J$2:J2249))</f>
        <v/>
      </c>
      <c r="L2249" s="22">
        <f>IF(B2249="","",IF(B2249=B2248,L2248,N(L2248)+1))</f>
        <v/>
      </c>
    </row>
    <row r="2250">
      <c r="A2250" s="22" t="n"/>
      <c r="B2250" s="27" t="n"/>
      <c r="C2250" s="17" t="n"/>
      <c r="D2250" s="17" t="n"/>
      <c r="E2250" s="17" t="n"/>
      <c r="F2250" s="28" t="n"/>
      <c r="G2250" s="29" t="n"/>
      <c r="H2250" s="29" t="n"/>
      <c r="I2250" s="29" t="n"/>
      <c r="J2250" s="29" t="n"/>
      <c r="K2250" s="30">
        <f>IF(B2250="","",SUM(G$2:I2250)-SUM(J$2:J2250))</f>
        <v/>
      </c>
      <c r="L2250" s="22">
        <f>IF(B2250="","",IF(B2250=B2249,L2249,N(L2249)+1))</f>
        <v/>
      </c>
    </row>
    <row r="2251">
      <c r="A2251" s="22" t="n"/>
      <c r="B2251" s="27" t="n"/>
      <c r="C2251" s="17" t="n"/>
      <c r="D2251" s="17" t="n"/>
      <c r="E2251" s="17" t="n"/>
      <c r="F2251" s="28" t="n"/>
      <c r="G2251" s="29" t="n"/>
      <c r="H2251" s="29" t="n"/>
      <c r="I2251" s="29" t="n"/>
      <c r="J2251" s="29" t="n"/>
      <c r="K2251" s="30">
        <f>IF(B2251="","",SUM(G$2:I2251)-SUM(J$2:J2251))</f>
        <v/>
      </c>
      <c r="L2251" s="22">
        <f>IF(B2251="","",IF(B2251=B2250,L2250,N(L2250)+1))</f>
        <v/>
      </c>
    </row>
    <row r="2252">
      <c r="A2252" s="22" t="n"/>
      <c r="B2252" s="27" t="n"/>
      <c r="C2252" s="17" t="n"/>
      <c r="D2252" s="17" t="n"/>
      <c r="E2252" s="17" t="n"/>
      <c r="F2252" s="28" t="n"/>
      <c r="G2252" s="29" t="n"/>
      <c r="H2252" s="29" t="n"/>
      <c r="I2252" s="29" t="n"/>
      <c r="J2252" s="29" t="n"/>
      <c r="K2252" s="30">
        <f>IF(B2252="","",SUM(G$2:I2252)-SUM(J$2:J2252))</f>
        <v/>
      </c>
      <c r="L2252" s="22">
        <f>IF(B2252="","",IF(B2252=B2251,L2251,N(L2251)+1))</f>
        <v/>
      </c>
    </row>
    <row r="2253">
      <c r="A2253" s="22" t="n"/>
      <c r="B2253" s="27" t="n"/>
      <c r="C2253" s="17" t="n"/>
      <c r="D2253" s="17" t="n"/>
      <c r="E2253" s="17" t="n"/>
      <c r="F2253" s="28" t="n"/>
      <c r="G2253" s="29" t="n"/>
      <c r="H2253" s="29" t="n"/>
      <c r="I2253" s="29" t="n"/>
      <c r="J2253" s="29" t="n"/>
      <c r="K2253" s="30">
        <f>IF(B2253="","",SUM(G$2:I2253)-SUM(J$2:J2253))</f>
        <v/>
      </c>
      <c r="L2253" s="22">
        <f>IF(B2253="","",IF(B2253=B2252,L2252,N(L2252)+1))</f>
        <v/>
      </c>
    </row>
    <row r="2254">
      <c r="A2254" s="22" t="n"/>
      <c r="B2254" s="27" t="n"/>
      <c r="C2254" s="17" t="n"/>
      <c r="D2254" s="17" t="n"/>
      <c r="E2254" s="17" t="n"/>
      <c r="F2254" s="28" t="n"/>
      <c r="G2254" s="29" t="n"/>
      <c r="H2254" s="29" t="n"/>
      <c r="I2254" s="29" t="n"/>
      <c r="J2254" s="29" t="n"/>
      <c r="K2254" s="30">
        <f>IF(B2254="","",SUM(G$2:I2254)-SUM(J$2:J2254))</f>
        <v/>
      </c>
      <c r="L2254" s="22">
        <f>IF(B2254="","",IF(B2254=B2253,L2253,N(L2253)+1))</f>
        <v/>
      </c>
    </row>
    <row r="2255">
      <c r="A2255" s="22" t="n"/>
      <c r="B2255" s="27" t="n"/>
      <c r="C2255" s="17" t="n"/>
      <c r="D2255" s="17" t="n"/>
      <c r="E2255" s="17" t="n"/>
      <c r="F2255" s="28" t="n"/>
      <c r="G2255" s="29" t="n"/>
      <c r="H2255" s="29" t="n"/>
      <c r="I2255" s="29" t="n"/>
      <c r="J2255" s="29" t="n"/>
      <c r="K2255" s="30">
        <f>IF(B2255="","",SUM(G$2:I2255)-SUM(J$2:J2255))</f>
        <v/>
      </c>
      <c r="L2255" s="22">
        <f>IF(B2255="","",IF(B2255=B2254,L2254,N(L2254)+1))</f>
        <v/>
      </c>
    </row>
    <row r="2256">
      <c r="A2256" s="22" t="n"/>
      <c r="B2256" s="27" t="n"/>
      <c r="C2256" s="17" t="n"/>
      <c r="D2256" s="17" t="n"/>
      <c r="E2256" s="17" t="n"/>
      <c r="F2256" s="28" t="n"/>
      <c r="G2256" s="29" t="n"/>
      <c r="H2256" s="29" t="n"/>
      <c r="I2256" s="29" t="n"/>
      <c r="J2256" s="29" t="n"/>
      <c r="K2256" s="30">
        <f>IF(B2256="","",SUM(G$2:I2256)-SUM(J$2:J2256))</f>
        <v/>
      </c>
      <c r="L2256" s="22">
        <f>IF(B2256="","",IF(B2256=B2255,L2255,N(L2255)+1))</f>
        <v/>
      </c>
    </row>
    <row r="2257">
      <c r="A2257" s="22" t="n"/>
      <c r="B2257" s="27" t="n"/>
      <c r="C2257" s="17" t="n"/>
      <c r="D2257" s="17" t="n"/>
      <c r="E2257" s="17" t="n"/>
      <c r="F2257" s="28" t="n"/>
      <c r="G2257" s="29" t="n"/>
      <c r="H2257" s="29" t="n"/>
      <c r="I2257" s="29" t="n"/>
      <c r="J2257" s="29" t="n"/>
      <c r="K2257" s="30">
        <f>IF(B2257="","",SUM(G$2:I2257)-SUM(J$2:J2257))</f>
        <v/>
      </c>
      <c r="L2257" s="22">
        <f>IF(B2257="","",IF(B2257=B2256,L2256,N(L2256)+1))</f>
        <v/>
      </c>
    </row>
    <row r="2258">
      <c r="A2258" s="22" t="n"/>
      <c r="B2258" s="27" t="n"/>
      <c r="C2258" s="17" t="n"/>
      <c r="D2258" s="17" t="n"/>
      <c r="E2258" s="17" t="n"/>
      <c r="F2258" s="28" t="n"/>
      <c r="G2258" s="29" t="n"/>
      <c r="H2258" s="29" t="n"/>
      <c r="I2258" s="29" t="n"/>
      <c r="J2258" s="29" t="n"/>
      <c r="K2258" s="30">
        <f>IF(B2258="","",SUM(G$2:I2258)-SUM(J$2:J2258))</f>
        <v/>
      </c>
      <c r="L2258" s="22">
        <f>IF(B2258="","",IF(B2258=B2257,L2257,N(L2257)+1))</f>
        <v/>
      </c>
    </row>
    <row r="2259">
      <c r="A2259" s="22" t="n"/>
      <c r="B2259" s="27" t="n"/>
      <c r="C2259" s="17" t="n"/>
      <c r="D2259" s="17" t="n"/>
      <c r="E2259" s="17" t="n"/>
      <c r="F2259" s="28" t="n"/>
      <c r="G2259" s="29" t="n"/>
      <c r="H2259" s="29" t="n"/>
      <c r="I2259" s="29" t="n"/>
      <c r="J2259" s="29" t="n"/>
      <c r="K2259" s="30">
        <f>IF(B2259="","",SUM(G$2:I2259)-SUM(J$2:J2259))</f>
        <v/>
      </c>
      <c r="L2259" s="22">
        <f>IF(B2259="","",IF(B2259=B2258,L2258,N(L2258)+1))</f>
        <v/>
      </c>
    </row>
    <row r="2260">
      <c r="A2260" s="22" t="n"/>
      <c r="B2260" s="27" t="n"/>
      <c r="C2260" s="17" t="n"/>
      <c r="D2260" s="17" t="n"/>
      <c r="E2260" s="17" t="n"/>
      <c r="F2260" s="28" t="n"/>
      <c r="G2260" s="29" t="n"/>
      <c r="H2260" s="29" t="n"/>
      <c r="I2260" s="29" t="n"/>
      <c r="J2260" s="29" t="n"/>
      <c r="K2260" s="30">
        <f>IF(B2260="","",SUM(G$2:I2260)-SUM(J$2:J2260))</f>
        <v/>
      </c>
      <c r="L2260" s="22">
        <f>IF(B2260="","",IF(B2260=B2259,L2259,N(L2259)+1))</f>
        <v/>
      </c>
    </row>
    <row r="2261">
      <c r="A2261" s="22" t="n"/>
      <c r="B2261" s="27" t="n"/>
      <c r="C2261" s="17" t="n"/>
      <c r="D2261" s="17" t="n"/>
      <c r="E2261" s="17" t="n"/>
      <c r="F2261" s="28" t="n"/>
      <c r="G2261" s="29" t="n"/>
      <c r="H2261" s="29" t="n"/>
      <c r="I2261" s="29" t="n"/>
      <c r="J2261" s="29" t="n"/>
      <c r="K2261" s="30">
        <f>IF(B2261="","",SUM(G$2:I2261)-SUM(J$2:J2261))</f>
        <v/>
      </c>
      <c r="L2261" s="22">
        <f>IF(B2261="","",IF(B2261=B2260,L2260,N(L2260)+1))</f>
        <v/>
      </c>
    </row>
    <row r="2262">
      <c r="A2262" s="22" t="n"/>
      <c r="B2262" s="27" t="n"/>
      <c r="C2262" s="17" t="n"/>
      <c r="D2262" s="17" t="n"/>
      <c r="E2262" s="17" t="n"/>
      <c r="F2262" s="28" t="n"/>
      <c r="G2262" s="29" t="n"/>
      <c r="H2262" s="29" t="n"/>
      <c r="I2262" s="29" t="n"/>
      <c r="J2262" s="29" t="n"/>
      <c r="K2262" s="30">
        <f>IF(B2262="","",SUM(G$2:I2262)-SUM(J$2:J2262))</f>
        <v/>
      </c>
      <c r="L2262" s="22">
        <f>IF(B2262="","",IF(B2262=B2261,L2261,N(L2261)+1))</f>
        <v/>
      </c>
    </row>
    <row r="2263">
      <c r="A2263" s="22" t="n"/>
      <c r="B2263" s="27" t="n"/>
      <c r="C2263" s="17" t="n"/>
      <c r="D2263" s="17" t="n"/>
      <c r="E2263" s="17" t="n"/>
      <c r="F2263" s="28" t="n"/>
      <c r="G2263" s="29" t="n"/>
      <c r="H2263" s="29" t="n"/>
      <c r="I2263" s="29" t="n"/>
      <c r="J2263" s="29" t="n"/>
      <c r="K2263" s="30">
        <f>IF(B2263="","",SUM(G$2:I2263)-SUM(J$2:J2263))</f>
        <v/>
      </c>
      <c r="L2263" s="22">
        <f>IF(B2263="","",IF(B2263=B2262,L2262,N(L2262)+1))</f>
        <v/>
      </c>
    </row>
    <row r="2264">
      <c r="A2264" s="22" t="n"/>
      <c r="B2264" s="27" t="n"/>
      <c r="C2264" s="17" t="n"/>
      <c r="D2264" s="17" t="n"/>
      <c r="E2264" s="17" t="n"/>
      <c r="F2264" s="28" t="n"/>
      <c r="G2264" s="29" t="n"/>
      <c r="H2264" s="29" t="n"/>
      <c r="I2264" s="29" t="n"/>
      <c r="J2264" s="29" t="n"/>
      <c r="K2264" s="30">
        <f>IF(B2264="","",SUM(G$2:I2264)-SUM(J$2:J2264))</f>
        <v/>
      </c>
      <c r="L2264" s="22">
        <f>IF(B2264="","",IF(B2264=B2263,L2263,N(L2263)+1))</f>
        <v/>
      </c>
    </row>
    <row r="2265">
      <c r="A2265" s="22" t="n"/>
      <c r="B2265" s="27" t="n"/>
      <c r="C2265" s="17" t="n"/>
      <c r="D2265" s="17" t="n"/>
      <c r="E2265" s="17" t="n"/>
      <c r="F2265" s="28" t="n"/>
      <c r="G2265" s="29" t="n"/>
      <c r="H2265" s="29" t="n"/>
      <c r="I2265" s="29" t="n"/>
      <c r="J2265" s="29" t="n"/>
      <c r="K2265" s="30">
        <f>IF(B2265="","",SUM(G$2:I2265)-SUM(J$2:J2265))</f>
        <v/>
      </c>
      <c r="L2265" s="22">
        <f>IF(B2265="","",IF(B2265=B2264,L2264,N(L2264)+1))</f>
        <v/>
      </c>
    </row>
    <row r="2266">
      <c r="A2266" s="22" t="n"/>
      <c r="B2266" s="27" t="n"/>
      <c r="C2266" s="17" t="n"/>
      <c r="D2266" s="17" t="n"/>
      <c r="E2266" s="17" t="n"/>
      <c r="F2266" s="28" t="n"/>
      <c r="G2266" s="29" t="n"/>
      <c r="H2266" s="29" t="n"/>
      <c r="I2266" s="29" t="n"/>
      <c r="J2266" s="29" t="n"/>
      <c r="K2266" s="30">
        <f>IF(B2266="","",SUM(G$2:I2266)-SUM(J$2:J2266))</f>
        <v/>
      </c>
      <c r="L2266" s="22">
        <f>IF(B2266="","",IF(B2266=B2265,L2265,N(L2265)+1))</f>
        <v/>
      </c>
    </row>
    <row r="2267">
      <c r="A2267" s="22" t="n"/>
      <c r="B2267" s="27" t="n"/>
      <c r="C2267" s="17" t="n"/>
      <c r="D2267" s="17" t="n"/>
      <c r="E2267" s="17" t="n"/>
      <c r="F2267" s="28" t="n"/>
      <c r="G2267" s="29" t="n"/>
      <c r="H2267" s="29" t="n"/>
      <c r="I2267" s="29" t="n"/>
      <c r="J2267" s="29" t="n"/>
      <c r="K2267" s="30">
        <f>IF(B2267="","",SUM(G$2:I2267)-SUM(J$2:J2267))</f>
        <v/>
      </c>
      <c r="L2267" s="22">
        <f>IF(B2267="","",IF(B2267=B2266,L2266,N(L2266)+1))</f>
        <v/>
      </c>
    </row>
    <row r="2268">
      <c r="A2268" s="22" t="n"/>
      <c r="B2268" s="27" t="n"/>
      <c r="C2268" s="17" t="n"/>
      <c r="D2268" s="17" t="n"/>
      <c r="E2268" s="17" t="n"/>
      <c r="F2268" s="28" t="n"/>
      <c r="G2268" s="29" t="n"/>
      <c r="H2268" s="29" t="n"/>
      <c r="I2268" s="29" t="n"/>
      <c r="J2268" s="29" t="n"/>
      <c r="K2268" s="30">
        <f>IF(B2268="","",SUM(G$2:I2268)-SUM(J$2:J2268))</f>
        <v/>
      </c>
      <c r="L2268" s="22">
        <f>IF(B2268="","",IF(B2268=B2267,L2267,N(L2267)+1))</f>
        <v/>
      </c>
    </row>
    <row r="2269">
      <c r="A2269" s="22" t="n"/>
      <c r="B2269" s="27" t="n"/>
      <c r="C2269" s="17" t="n"/>
      <c r="D2269" s="17" t="n"/>
      <c r="E2269" s="17" t="n"/>
      <c r="F2269" s="28" t="n"/>
      <c r="G2269" s="29" t="n"/>
      <c r="H2269" s="29" t="n"/>
      <c r="I2269" s="29" t="n"/>
      <c r="J2269" s="29" t="n"/>
      <c r="K2269" s="30">
        <f>IF(B2269="","",SUM(G$2:I2269)-SUM(J$2:J2269))</f>
        <v/>
      </c>
      <c r="L2269" s="22">
        <f>IF(B2269="","",IF(B2269=B2268,L2268,N(L2268)+1))</f>
        <v/>
      </c>
    </row>
    <row r="2270">
      <c r="A2270" s="22" t="n"/>
      <c r="B2270" s="27" t="n"/>
      <c r="C2270" s="17" t="n"/>
      <c r="D2270" s="17" t="n"/>
      <c r="E2270" s="17" t="n"/>
      <c r="F2270" s="28" t="n"/>
      <c r="G2270" s="29" t="n"/>
      <c r="H2270" s="29" t="n"/>
      <c r="I2270" s="29" t="n"/>
      <c r="J2270" s="29" t="n"/>
      <c r="K2270" s="30">
        <f>IF(B2270="","",SUM(G$2:I2270)-SUM(J$2:J2270))</f>
        <v/>
      </c>
      <c r="L2270" s="22">
        <f>IF(B2270="","",IF(B2270=B2269,L2269,N(L2269)+1))</f>
        <v/>
      </c>
    </row>
    <row r="2271">
      <c r="A2271" s="22" t="n"/>
      <c r="B2271" s="27" t="n"/>
      <c r="C2271" s="17" t="n"/>
      <c r="D2271" s="17" t="n"/>
      <c r="E2271" s="17" t="n"/>
      <c r="F2271" s="28" t="n"/>
      <c r="G2271" s="29" t="n"/>
      <c r="H2271" s="29" t="n"/>
      <c r="I2271" s="29" t="n"/>
      <c r="J2271" s="29" t="n"/>
      <c r="K2271" s="30">
        <f>IF(B2271="","",SUM(G$2:I2271)-SUM(J$2:J2271))</f>
        <v/>
      </c>
      <c r="L2271" s="22">
        <f>IF(B2271="","",IF(B2271=B2270,L2270,N(L2270)+1))</f>
        <v/>
      </c>
    </row>
    <row r="2272">
      <c r="A2272" s="22" t="n"/>
      <c r="B2272" s="27" t="n"/>
      <c r="C2272" s="17" t="n"/>
      <c r="D2272" s="17" t="n"/>
      <c r="E2272" s="17" t="n"/>
      <c r="F2272" s="28" t="n"/>
      <c r="G2272" s="29" t="n"/>
      <c r="H2272" s="29" t="n"/>
      <c r="I2272" s="29" t="n"/>
      <c r="J2272" s="29" t="n"/>
      <c r="K2272" s="30">
        <f>IF(B2272="","",SUM(G$2:I2272)-SUM(J$2:J2272))</f>
        <v/>
      </c>
      <c r="L2272" s="22">
        <f>IF(B2272="","",IF(B2272=B2271,L2271,N(L2271)+1))</f>
        <v/>
      </c>
    </row>
    <row r="2273">
      <c r="A2273" s="22" t="n"/>
      <c r="B2273" s="27" t="n"/>
      <c r="C2273" s="17" t="n"/>
      <c r="D2273" s="17" t="n"/>
      <c r="E2273" s="17" t="n"/>
      <c r="F2273" s="28" t="n"/>
      <c r="G2273" s="29" t="n"/>
      <c r="H2273" s="29" t="n"/>
      <c r="I2273" s="29" t="n"/>
      <c r="J2273" s="29" t="n"/>
      <c r="K2273" s="30">
        <f>IF(B2273="","",SUM(G$2:I2273)-SUM(J$2:J2273))</f>
        <v/>
      </c>
      <c r="L2273" s="22">
        <f>IF(B2273="","",IF(B2273=B2272,L2272,N(L2272)+1))</f>
        <v/>
      </c>
    </row>
    <row r="2274">
      <c r="A2274" s="22" t="n"/>
      <c r="B2274" s="27" t="n"/>
      <c r="C2274" s="17" t="n"/>
      <c r="D2274" s="17" t="n"/>
      <c r="E2274" s="17" t="n"/>
      <c r="F2274" s="28" t="n"/>
      <c r="G2274" s="29" t="n"/>
      <c r="H2274" s="29" t="n"/>
      <c r="I2274" s="29" t="n"/>
      <c r="J2274" s="29" t="n"/>
      <c r="K2274" s="30">
        <f>IF(B2274="","",SUM(G$2:I2274)-SUM(J$2:J2274))</f>
        <v/>
      </c>
      <c r="L2274" s="22">
        <f>IF(B2274="","",IF(B2274=B2273,L2273,N(L2273)+1))</f>
        <v/>
      </c>
    </row>
    <row r="2275">
      <c r="A2275" s="22" t="n"/>
      <c r="B2275" s="27" t="n"/>
      <c r="C2275" s="17" t="n"/>
      <c r="D2275" s="17" t="n"/>
      <c r="E2275" s="17" t="n"/>
      <c r="F2275" s="28" t="n"/>
      <c r="G2275" s="29" t="n"/>
      <c r="H2275" s="29" t="n"/>
      <c r="I2275" s="29" t="n"/>
      <c r="J2275" s="29" t="n"/>
      <c r="K2275" s="30">
        <f>IF(B2275="","",SUM(G$2:I2275)-SUM(J$2:J2275))</f>
        <v/>
      </c>
      <c r="L2275" s="22">
        <f>IF(B2275="","",IF(B2275=B2274,L2274,N(L2274)+1))</f>
        <v/>
      </c>
    </row>
    <row r="2276">
      <c r="A2276" s="22" t="n"/>
      <c r="B2276" s="27" t="n"/>
      <c r="C2276" s="17" t="n"/>
      <c r="D2276" s="17" t="n"/>
      <c r="E2276" s="17" t="n"/>
      <c r="F2276" s="28" t="n"/>
      <c r="G2276" s="29" t="n"/>
      <c r="H2276" s="29" t="n"/>
      <c r="I2276" s="29" t="n"/>
      <c r="J2276" s="29" t="n"/>
      <c r="K2276" s="30">
        <f>IF(B2276="","",SUM(G$2:I2276)-SUM(J$2:J2276))</f>
        <v/>
      </c>
      <c r="L2276" s="22">
        <f>IF(B2276="","",IF(B2276=B2275,L2275,N(L2275)+1))</f>
        <v/>
      </c>
    </row>
    <row r="2277">
      <c r="A2277" s="22" t="n"/>
      <c r="B2277" s="27" t="n"/>
      <c r="C2277" s="17" t="n"/>
      <c r="D2277" s="17" t="n"/>
      <c r="E2277" s="17" t="n"/>
      <c r="F2277" s="28" t="n"/>
      <c r="G2277" s="29" t="n"/>
      <c r="H2277" s="29" t="n"/>
      <c r="I2277" s="29" t="n"/>
      <c r="J2277" s="29" t="n"/>
      <c r="K2277" s="30">
        <f>IF(B2277="","",SUM(G$2:I2277)-SUM(J$2:J2277))</f>
        <v/>
      </c>
      <c r="L2277" s="22">
        <f>IF(B2277="","",IF(B2277=B2276,L2276,N(L2276)+1))</f>
        <v/>
      </c>
    </row>
    <row r="2278">
      <c r="A2278" s="22" t="n"/>
      <c r="B2278" s="27" t="n"/>
      <c r="C2278" s="17" t="n"/>
      <c r="D2278" s="17" t="n"/>
      <c r="E2278" s="17" t="n"/>
      <c r="F2278" s="28" t="n"/>
      <c r="G2278" s="29" t="n"/>
      <c r="H2278" s="29" t="n"/>
      <c r="I2278" s="29" t="n"/>
      <c r="J2278" s="29" t="n"/>
      <c r="K2278" s="30">
        <f>IF(B2278="","",SUM(G$2:I2278)-SUM(J$2:J2278))</f>
        <v/>
      </c>
      <c r="L2278" s="22">
        <f>IF(B2278="","",IF(B2278=B2277,L2277,N(L2277)+1))</f>
        <v/>
      </c>
    </row>
    <row r="2279">
      <c r="A2279" s="22" t="n"/>
      <c r="B2279" s="27" t="n"/>
      <c r="C2279" s="17" t="n"/>
      <c r="D2279" s="17" t="n"/>
      <c r="E2279" s="17" t="n"/>
      <c r="F2279" s="28" t="n"/>
      <c r="G2279" s="29" t="n"/>
      <c r="H2279" s="29" t="n"/>
      <c r="I2279" s="29" t="n"/>
      <c r="J2279" s="29" t="n"/>
      <c r="K2279" s="30">
        <f>IF(B2279="","",SUM(G$2:I2279)-SUM(J$2:J2279))</f>
        <v/>
      </c>
      <c r="L2279" s="22">
        <f>IF(B2279="","",IF(B2279=B2278,L2278,N(L2278)+1))</f>
        <v/>
      </c>
    </row>
    <row r="2280">
      <c r="A2280" s="22" t="n"/>
      <c r="B2280" s="27" t="n"/>
      <c r="C2280" s="17" t="n"/>
      <c r="D2280" s="17" t="n"/>
      <c r="E2280" s="17" t="n"/>
      <c r="F2280" s="28" t="n"/>
      <c r="G2280" s="29" t="n"/>
      <c r="H2280" s="29" t="n"/>
      <c r="I2280" s="29" t="n"/>
      <c r="J2280" s="29" t="n"/>
      <c r="K2280" s="30">
        <f>IF(B2280="","",SUM(G$2:I2280)-SUM(J$2:J2280))</f>
        <v/>
      </c>
      <c r="L2280" s="22">
        <f>IF(B2280="","",IF(B2280=B2279,L2279,N(L2279)+1))</f>
        <v/>
      </c>
    </row>
    <row r="2281">
      <c r="A2281" s="22" t="n"/>
      <c r="B2281" s="27" t="n"/>
      <c r="C2281" s="17" t="n"/>
      <c r="D2281" s="17" t="n"/>
      <c r="E2281" s="17" t="n"/>
      <c r="F2281" s="28" t="n"/>
      <c r="G2281" s="29" t="n"/>
      <c r="H2281" s="29" t="n"/>
      <c r="I2281" s="29" t="n"/>
      <c r="J2281" s="29" t="n"/>
      <c r="K2281" s="30">
        <f>IF(B2281="","",SUM(G$2:I2281)-SUM(J$2:J2281))</f>
        <v/>
      </c>
      <c r="L2281" s="22">
        <f>IF(B2281="","",IF(B2281=B2280,L2280,N(L2280)+1))</f>
        <v/>
      </c>
    </row>
    <row r="2282">
      <c r="A2282" s="22" t="n"/>
      <c r="B2282" s="27" t="n"/>
      <c r="C2282" s="17" t="n"/>
      <c r="D2282" s="17" t="n"/>
      <c r="E2282" s="17" t="n"/>
      <c r="F2282" s="28" t="n"/>
      <c r="G2282" s="29" t="n"/>
      <c r="H2282" s="29" t="n"/>
      <c r="I2282" s="29" t="n"/>
      <c r="J2282" s="29" t="n"/>
      <c r="K2282" s="30">
        <f>IF(B2282="","",SUM(G$2:I2282)-SUM(J$2:J2282))</f>
        <v/>
      </c>
      <c r="L2282" s="22">
        <f>IF(B2282="","",IF(B2282=B2281,L2281,N(L2281)+1))</f>
        <v/>
      </c>
    </row>
    <row r="2283">
      <c r="A2283" s="22" t="n"/>
      <c r="B2283" s="27" t="n"/>
      <c r="C2283" s="17" t="n"/>
      <c r="D2283" s="17" t="n"/>
      <c r="E2283" s="17" t="n"/>
      <c r="F2283" s="28" t="n"/>
      <c r="G2283" s="29" t="n"/>
      <c r="H2283" s="29" t="n"/>
      <c r="I2283" s="29" t="n"/>
      <c r="J2283" s="29" t="n"/>
      <c r="K2283" s="30">
        <f>IF(B2283="","",SUM(G$2:I2283)-SUM(J$2:J2283))</f>
        <v/>
      </c>
      <c r="L2283" s="22">
        <f>IF(B2283="","",IF(B2283=B2282,L2282,N(L2282)+1))</f>
        <v/>
      </c>
    </row>
    <row r="2284">
      <c r="A2284" s="22" t="n"/>
      <c r="B2284" s="27" t="n"/>
      <c r="C2284" s="17" t="n"/>
      <c r="D2284" s="17" t="n"/>
      <c r="E2284" s="17" t="n"/>
      <c r="F2284" s="28" t="n"/>
      <c r="G2284" s="29" t="n"/>
      <c r="H2284" s="29" t="n"/>
      <c r="I2284" s="29" t="n"/>
      <c r="J2284" s="29" t="n"/>
      <c r="K2284" s="30">
        <f>IF(B2284="","",SUM(G$2:I2284)-SUM(J$2:J2284))</f>
        <v/>
      </c>
      <c r="L2284" s="22">
        <f>IF(B2284="","",IF(B2284=B2283,L2283,N(L2283)+1))</f>
        <v/>
      </c>
    </row>
    <row r="2285">
      <c r="A2285" s="22" t="n"/>
      <c r="B2285" s="27" t="n"/>
      <c r="C2285" s="17" t="n"/>
      <c r="D2285" s="17" t="n"/>
      <c r="E2285" s="17" t="n"/>
      <c r="F2285" s="28" t="n"/>
      <c r="G2285" s="29" t="n"/>
      <c r="H2285" s="29" t="n"/>
      <c r="I2285" s="29" t="n"/>
      <c r="J2285" s="29" t="n"/>
      <c r="K2285" s="30">
        <f>IF(B2285="","",SUM(G$2:I2285)-SUM(J$2:J2285))</f>
        <v/>
      </c>
      <c r="L2285" s="22">
        <f>IF(B2285="","",IF(B2285=B2284,L2284,N(L2284)+1))</f>
        <v/>
      </c>
    </row>
    <row r="2286">
      <c r="A2286" s="22" t="n"/>
      <c r="B2286" s="27" t="n"/>
      <c r="C2286" s="17" t="n"/>
      <c r="D2286" s="17" t="n"/>
      <c r="E2286" s="17" t="n"/>
      <c r="F2286" s="28" t="n"/>
      <c r="G2286" s="29" t="n"/>
      <c r="H2286" s="29" t="n"/>
      <c r="I2286" s="29" t="n"/>
      <c r="J2286" s="29" t="n"/>
      <c r="K2286" s="30">
        <f>IF(B2286="","",SUM(G$2:I2286)-SUM(J$2:J2286))</f>
        <v/>
      </c>
      <c r="L2286" s="22">
        <f>IF(B2286="","",IF(B2286=B2285,L2285,N(L2285)+1))</f>
        <v/>
      </c>
    </row>
    <row r="2287">
      <c r="A2287" s="22" t="n"/>
      <c r="B2287" s="27" t="n"/>
      <c r="C2287" s="17" t="n"/>
      <c r="D2287" s="17" t="n"/>
      <c r="E2287" s="17" t="n"/>
      <c r="F2287" s="28" t="n"/>
      <c r="G2287" s="29" t="n"/>
      <c r="H2287" s="29" t="n"/>
      <c r="I2287" s="29" t="n"/>
      <c r="J2287" s="29" t="n"/>
      <c r="K2287" s="30">
        <f>IF(B2287="","",SUM(G$2:I2287)-SUM(J$2:J2287))</f>
        <v/>
      </c>
      <c r="L2287" s="22">
        <f>IF(B2287="","",IF(B2287=B2286,L2286,N(L2286)+1))</f>
        <v/>
      </c>
    </row>
    <row r="2288">
      <c r="A2288" s="22" t="n"/>
      <c r="B2288" s="27" t="n"/>
      <c r="C2288" s="17" t="n"/>
      <c r="D2288" s="17" t="n"/>
      <c r="E2288" s="17" t="n"/>
      <c r="F2288" s="28" t="n"/>
      <c r="G2288" s="29" t="n"/>
      <c r="H2288" s="29" t="n"/>
      <c r="I2288" s="29" t="n"/>
      <c r="J2288" s="29" t="n"/>
      <c r="K2288" s="30">
        <f>IF(B2288="","",SUM(G$2:I2288)-SUM(J$2:J2288))</f>
        <v/>
      </c>
      <c r="L2288" s="22">
        <f>IF(B2288="","",IF(B2288=B2287,L2287,N(L2287)+1))</f>
        <v/>
      </c>
    </row>
    <row r="2289">
      <c r="A2289" s="22" t="n"/>
      <c r="B2289" s="27" t="n"/>
      <c r="C2289" s="17" t="n"/>
      <c r="D2289" s="17" t="n"/>
      <c r="E2289" s="17" t="n"/>
      <c r="F2289" s="28" t="n"/>
      <c r="G2289" s="29" t="n"/>
      <c r="H2289" s="29" t="n"/>
      <c r="I2289" s="29" t="n"/>
      <c r="J2289" s="29" t="n"/>
      <c r="K2289" s="30">
        <f>IF(B2289="","",SUM(G$2:I2289)-SUM(J$2:J2289))</f>
        <v/>
      </c>
      <c r="L2289" s="22">
        <f>IF(B2289="","",IF(B2289=B2288,L2288,N(L2288)+1))</f>
        <v/>
      </c>
    </row>
    <row r="2290">
      <c r="A2290" s="22" t="n"/>
      <c r="B2290" s="27" t="n"/>
      <c r="C2290" s="17" t="n"/>
      <c r="D2290" s="17" t="n"/>
      <c r="E2290" s="17" t="n"/>
      <c r="F2290" s="28" t="n"/>
      <c r="G2290" s="29" t="n"/>
      <c r="H2290" s="29" t="n"/>
      <c r="I2290" s="29" t="n"/>
      <c r="J2290" s="29" t="n"/>
      <c r="K2290" s="30">
        <f>IF(B2290="","",SUM(G$2:I2290)-SUM(J$2:J2290))</f>
        <v/>
      </c>
      <c r="L2290" s="22">
        <f>IF(B2290="","",IF(B2290=B2289,L2289,N(L2289)+1))</f>
        <v/>
      </c>
    </row>
    <row r="2291">
      <c r="A2291" s="22" t="n"/>
      <c r="B2291" s="27" t="n"/>
      <c r="C2291" s="17" t="n"/>
      <c r="D2291" s="17" t="n"/>
      <c r="E2291" s="17" t="n"/>
      <c r="F2291" s="28" t="n"/>
      <c r="G2291" s="29" t="n"/>
      <c r="H2291" s="29" t="n"/>
      <c r="I2291" s="29" t="n"/>
      <c r="J2291" s="29" t="n"/>
      <c r="K2291" s="30">
        <f>IF(B2291="","",SUM(G$2:I2291)-SUM(J$2:J2291))</f>
        <v/>
      </c>
      <c r="L2291" s="22">
        <f>IF(B2291="","",IF(B2291=B2290,L2290,N(L2290)+1))</f>
        <v/>
      </c>
    </row>
    <row r="2292">
      <c r="A2292" s="22" t="n"/>
      <c r="B2292" s="27" t="n"/>
      <c r="C2292" s="17" t="n"/>
      <c r="D2292" s="17" t="n"/>
      <c r="E2292" s="17" t="n"/>
      <c r="F2292" s="28" t="n"/>
      <c r="G2292" s="29" t="n"/>
      <c r="H2292" s="29" t="n"/>
      <c r="I2292" s="29" t="n"/>
      <c r="J2292" s="29" t="n"/>
      <c r="K2292" s="30">
        <f>IF(B2292="","",SUM(G$2:I2292)-SUM(J$2:J2292))</f>
        <v/>
      </c>
      <c r="L2292" s="22">
        <f>IF(B2292="","",IF(B2292=B2291,L2291,N(L2291)+1))</f>
        <v/>
      </c>
    </row>
    <row r="2293">
      <c r="A2293" s="22" t="n"/>
      <c r="B2293" s="27" t="n"/>
      <c r="C2293" s="17" t="n"/>
      <c r="D2293" s="17" t="n"/>
      <c r="E2293" s="17" t="n"/>
      <c r="F2293" s="28" t="n"/>
      <c r="G2293" s="29" t="n"/>
      <c r="H2293" s="29" t="n"/>
      <c r="I2293" s="29" t="n"/>
      <c r="J2293" s="29" t="n"/>
      <c r="K2293" s="30">
        <f>IF(B2293="","",SUM(G$2:I2293)-SUM(J$2:J2293))</f>
        <v/>
      </c>
      <c r="L2293" s="22">
        <f>IF(B2293="","",IF(B2293=B2292,L2292,N(L2292)+1))</f>
        <v/>
      </c>
    </row>
    <row r="2294">
      <c r="A2294" s="22" t="n"/>
      <c r="B2294" s="27" t="n"/>
      <c r="C2294" s="17" t="n"/>
      <c r="D2294" s="17" t="n"/>
      <c r="E2294" s="17" t="n"/>
      <c r="F2294" s="28" t="n"/>
      <c r="G2294" s="29" t="n"/>
      <c r="H2294" s="29" t="n"/>
      <c r="I2294" s="29" t="n"/>
      <c r="J2294" s="29" t="n"/>
      <c r="K2294" s="30">
        <f>IF(B2294="","",SUM(G$2:I2294)-SUM(J$2:J2294))</f>
        <v/>
      </c>
      <c r="L2294" s="22">
        <f>IF(B2294="","",IF(B2294=B2293,L2293,N(L2293)+1))</f>
        <v/>
      </c>
    </row>
    <row r="2295">
      <c r="A2295" s="22" t="n"/>
      <c r="B2295" s="27" t="n"/>
      <c r="C2295" s="17" t="n"/>
      <c r="D2295" s="17" t="n"/>
      <c r="E2295" s="17" t="n"/>
      <c r="F2295" s="28" t="n"/>
      <c r="G2295" s="29" t="n"/>
      <c r="H2295" s="29" t="n"/>
      <c r="I2295" s="29" t="n"/>
      <c r="J2295" s="29" t="n"/>
      <c r="K2295" s="30">
        <f>IF(B2295="","",SUM(G$2:I2295)-SUM(J$2:J2295))</f>
        <v/>
      </c>
      <c r="L2295" s="22">
        <f>IF(B2295="","",IF(B2295=B2294,L2294,N(L2294)+1))</f>
        <v/>
      </c>
    </row>
    <row r="2296">
      <c r="A2296" s="22" t="n"/>
      <c r="B2296" s="27" t="n"/>
      <c r="C2296" s="17" t="n"/>
      <c r="D2296" s="17" t="n"/>
      <c r="E2296" s="17" t="n"/>
      <c r="F2296" s="28" t="n"/>
      <c r="G2296" s="29" t="n"/>
      <c r="H2296" s="29" t="n"/>
      <c r="I2296" s="29" t="n"/>
      <c r="J2296" s="29" t="n"/>
      <c r="K2296" s="30">
        <f>IF(B2296="","",SUM(G$2:I2296)-SUM(J$2:J2296))</f>
        <v/>
      </c>
      <c r="L2296" s="22">
        <f>IF(B2296="","",IF(B2296=B2295,L2295,N(L2295)+1))</f>
        <v/>
      </c>
    </row>
    <row r="2297">
      <c r="A2297" s="22" t="n"/>
      <c r="B2297" s="27" t="n"/>
      <c r="C2297" s="17" t="n"/>
      <c r="D2297" s="17" t="n"/>
      <c r="E2297" s="17" t="n"/>
      <c r="F2297" s="28" t="n"/>
      <c r="G2297" s="29" t="n"/>
      <c r="H2297" s="29" t="n"/>
      <c r="I2297" s="29" t="n"/>
      <c r="J2297" s="29" t="n"/>
      <c r="K2297" s="30">
        <f>IF(B2297="","",SUM(G$2:I2297)-SUM(J$2:J2297))</f>
        <v/>
      </c>
      <c r="L2297" s="22">
        <f>IF(B2297="","",IF(B2297=B2296,L2296,N(L2296)+1))</f>
        <v/>
      </c>
    </row>
    <row r="2298">
      <c r="A2298" s="22" t="n"/>
      <c r="B2298" s="27" t="n"/>
      <c r="C2298" s="17" t="n"/>
      <c r="D2298" s="17" t="n"/>
      <c r="E2298" s="17" t="n"/>
      <c r="F2298" s="28" t="n"/>
      <c r="G2298" s="29" t="n"/>
      <c r="H2298" s="29" t="n"/>
      <c r="I2298" s="29" t="n"/>
      <c r="J2298" s="29" t="n"/>
      <c r="K2298" s="30">
        <f>IF(B2298="","",SUM(G$2:I2298)-SUM(J$2:J2298))</f>
        <v/>
      </c>
      <c r="L2298" s="22">
        <f>IF(B2298="","",IF(B2298=B2297,L2297,N(L2297)+1))</f>
        <v/>
      </c>
    </row>
    <row r="2299">
      <c r="A2299" s="22" t="n"/>
      <c r="B2299" s="27" t="n"/>
      <c r="C2299" s="17" t="n"/>
      <c r="D2299" s="17" t="n"/>
      <c r="E2299" s="17" t="n"/>
      <c r="F2299" s="28" t="n"/>
      <c r="G2299" s="29" t="n"/>
      <c r="H2299" s="29" t="n"/>
      <c r="I2299" s="29" t="n"/>
      <c r="J2299" s="29" t="n"/>
      <c r="K2299" s="30">
        <f>IF(B2299="","",SUM(G$2:I2299)-SUM(J$2:J2299))</f>
        <v/>
      </c>
      <c r="L2299" s="22">
        <f>IF(B2299="","",IF(B2299=B2298,L2298,N(L2298)+1))</f>
        <v/>
      </c>
    </row>
    <row r="2300">
      <c r="A2300" s="22" t="n"/>
      <c r="B2300" s="27" t="n"/>
      <c r="C2300" s="17" t="n"/>
      <c r="D2300" s="17" t="n"/>
      <c r="E2300" s="17" t="n"/>
      <c r="F2300" s="28" t="n"/>
      <c r="G2300" s="29" t="n"/>
      <c r="H2300" s="29" t="n"/>
      <c r="I2300" s="29" t="n"/>
      <c r="J2300" s="29" t="n"/>
      <c r="K2300" s="30">
        <f>IF(B2300="","",SUM(G$2:I2300)-SUM(J$2:J2300))</f>
        <v/>
      </c>
      <c r="L2300" s="22">
        <f>IF(B2300="","",IF(B2300=B2299,L2299,N(L2299)+1))</f>
        <v/>
      </c>
    </row>
    <row r="2301">
      <c r="A2301" s="22" t="n"/>
      <c r="B2301" s="27" t="n"/>
      <c r="C2301" s="17" t="n"/>
      <c r="D2301" s="17" t="n"/>
      <c r="E2301" s="17" t="n"/>
      <c r="F2301" s="28" t="n"/>
      <c r="G2301" s="29" t="n"/>
      <c r="H2301" s="29" t="n"/>
      <c r="I2301" s="29" t="n"/>
      <c r="J2301" s="29" t="n"/>
      <c r="K2301" s="30">
        <f>IF(B2301="","",SUM(G$2:I2301)-SUM(J$2:J2301))</f>
        <v/>
      </c>
      <c r="L2301" s="22">
        <f>IF(B2301="","",IF(B2301=B2300,L2300,N(L2300)+1))</f>
        <v/>
      </c>
    </row>
    <row r="2302">
      <c r="A2302" s="22" t="n"/>
      <c r="B2302" s="27" t="n"/>
      <c r="C2302" s="17" t="n"/>
      <c r="D2302" s="17" t="n"/>
      <c r="E2302" s="17" t="n"/>
      <c r="F2302" s="28" t="n"/>
      <c r="G2302" s="29" t="n"/>
      <c r="H2302" s="29" t="n"/>
      <c r="I2302" s="29" t="n"/>
      <c r="J2302" s="29" t="n"/>
      <c r="K2302" s="30">
        <f>IF(B2302="","",SUM(G$2:I2302)-SUM(J$2:J2302))</f>
        <v/>
      </c>
      <c r="L2302" s="22">
        <f>IF(B2302="","",IF(B2302=B2301,L2301,N(L2301)+1))</f>
        <v/>
      </c>
    </row>
    <row r="2303">
      <c r="A2303" s="22" t="n"/>
      <c r="B2303" s="27" t="n"/>
      <c r="C2303" s="17" t="n"/>
      <c r="D2303" s="17" t="n"/>
      <c r="E2303" s="17" t="n"/>
      <c r="F2303" s="28" t="n"/>
      <c r="G2303" s="29" t="n"/>
      <c r="H2303" s="29" t="n"/>
      <c r="I2303" s="29" t="n"/>
      <c r="J2303" s="29" t="n"/>
      <c r="K2303" s="30">
        <f>IF(B2303="","",SUM(G$2:I2303)-SUM(J$2:J2303))</f>
        <v/>
      </c>
      <c r="L2303" s="22">
        <f>IF(B2303="","",IF(B2303=B2302,L2302,N(L2302)+1))</f>
        <v/>
      </c>
    </row>
    <row r="2304">
      <c r="A2304" s="22" t="n"/>
      <c r="B2304" s="27" t="n"/>
      <c r="C2304" s="17" t="n"/>
      <c r="D2304" s="17" t="n"/>
      <c r="E2304" s="17" t="n"/>
      <c r="F2304" s="28" t="n"/>
      <c r="G2304" s="29" t="n"/>
      <c r="H2304" s="29" t="n"/>
      <c r="I2304" s="29" t="n"/>
      <c r="J2304" s="29" t="n"/>
      <c r="K2304" s="30">
        <f>IF(B2304="","",SUM(G$2:I2304)-SUM(J$2:J2304))</f>
        <v/>
      </c>
      <c r="L2304" s="22">
        <f>IF(B2304="","",IF(B2304=B2303,L2303,N(L2303)+1))</f>
        <v/>
      </c>
    </row>
    <row r="2305">
      <c r="A2305" s="22" t="n"/>
      <c r="B2305" s="27" t="n"/>
      <c r="C2305" s="17" t="n"/>
      <c r="D2305" s="17" t="n"/>
      <c r="E2305" s="17" t="n"/>
      <c r="F2305" s="28" t="n"/>
      <c r="G2305" s="29" t="n"/>
      <c r="H2305" s="29" t="n"/>
      <c r="I2305" s="29" t="n"/>
      <c r="J2305" s="29" t="n"/>
      <c r="K2305" s="30">
        <f>IF(B2305="","",SUM(G$2:I2305)-SUM(J$2:J2305))</f>
        <v/>
      </c>
      <c r="L2305" s="22">
        <f>IF(B2305="","",IF(B2305=B2304,L2304,N(L2304)+1))</f>
        <v/>
      </c>
    </row>
    <row r="2306">
      <c r="A2306" s="22" t="n"/>
      <c r="B2306" s="27" t="n"/>
      <c r="C2306" s="17" t="n"/>
      <c r="D2306" s="17" t="n"/>
      <c r="E2306" s="17" t="n"/>
      <c r="F2306" s="28" t="n"/>
      <c r="G2306" s="29" t="n"/>
      <c r="H2306" s="29" t="n"/>
      <c r="I2306" s="29" t="n"/>
      <c r="J2306" s="29" t="n"/>
      <c r="K2306" s="30">
        <f>IF(B2306="","",SUM(G$2:I2306)-SUM(J$2:J2306))</f>
        <v/>
      </c>
      <c r="L2306" s="22">
        <f>IF(B2306="","",IF(B2306=B2305,L2305,N(L2305)+1))</f>
        <v/>
      </c>
    </row>
    <row r="2307">
      <c r="A2307" s="22" t="n"/>
      <c r="B2307" s="27" t="n"/>
      <c r="C2307" s="17" t="n"/>
      <c r="D2307" s="17" t="n"/>
      <c r="E2307" s="17" t="n"/>
      <c r="F2307" s="28" t="n"/>
      <c r="G2307" s="29" t="n"/>
      <c r="H2307" s="29" t="n"/>
      <c r="I2307" s="29" t="n"/>
      <c r="J2307" s="29" t="n"/>
      <c r="K2307" s="30">
        <f>IF(B2307="","",SUM(G$2:I2307)-SUM(J$2:J2307))</f>
        <v/>
      </c>
      <c r="L2307" s="22">
        <f>IF(B2307="","",IF(B2307=B2306,L2306,N(L2306)+1))</f>
        <v/>
      </c>
    </row>
    <row r="2308">
      <c r="A2308" s="22" t="n"/>
      <c r="B2308" s="27" t="n"/>
      <c r="C2308" s="17" t="n"/>
      <c r="D2308" s="17" t="n"/>
      <c r="E2308" s="17" t="n"/>
      <c r="F2308" s="28" t="n"/>
      <c r="G2308" s="29" t="n"/>
      <c r="H2308" s="29" t="n"/>
      <c r="I2308" s="29" t="n"/>
      <c r="J2308" s="29" t="n"/>
      <c r="K2308" s="30">
        <f>IF(B2308="","",SUM(G$2:I2308)-SUM(J$2:J2308))</f>
        <v/>
      </c>
      <c r="L2308" s="22">
        <f>IF(B2308="","",IF(B2308=B2307,L2307,N(L2307)+1))</f>
        <v/>
      </c>
    </row>
    <row r="2309">
      <c r="A2309" s="22" t="n"/>
      <c r="B2309" s="27" t="n"/>
      <c r="C2309" s="17" t="n"/>
      <c r="D2309" s="17" t="n"/>
      <c r="E2309" s="17" t="n"/>
      <c r="F2309" s="28" t="n"/>
      <c r="G2309" s="29" t="n"/>
      <c r="H2309" s="29" t="n"/>
      <c r="I2309" s="29" t="n"/>
      <c r="J2309" s="29" t="n"/>
      <c r="K2309" s="30">
        <f>IF(B2309="","",SUM(G$2:I2309)-SUM(J$2:J2309))</f>
        <v/>
      </c>
      <c r="L2309" s="22">
        <f>IF(B2309="","",IF(B2309=B2308,L2308,N(L2308)+1))</f>
        <v/>
      </c>
    </row>
    <row r="2310">
      <c r="A2310" s="22" t="n"/>
      <c r="B2310" s="27" t="n"/>
      <c r="C2310" s="17" t="n"/>
      <c r="D2310" s="17" t="n"/>
      <c r="E2310" s="17" t="n"/>
      <c r="F2310" s="28" t="n"/>
      <c r="G2310" s="29" t="n"/>
      <c r="H2310" s="29" t="n"/>
      <c r="I2310" s="29" t="n"/>
      <c r="J2310" s="29" t="n"/>
      <c r="K2310" s="30">
        <f>IF(B2310="","",SUM(G$2:I2310)-SUM(J$2:J2310))</f>
        <v/>
      </c>
      <c r="L2310" s="22">
        <f>IF(B2310="","",IF(B2310=B2309,L2309,N(L2309)+1))</f>
        <v/>
      </c>
    </row>
    <row r="2311">
      <c r="A2311" s="22" t="n"/>
      <c r="B2311" s="27" t="n"/>
      <c r="C2311" s="17" t="n"/>
      <c r="D2311" s="17" t="n"/>
      <c r="E2311" s="17" t="n"/>
      <c r="F2311" s="28" t="n"/>
      <c r="G2311" s="29" t="n"/>
      <c r="H2311" s="29" t="n"/>
      <c r="I2311" s="29" t="n"/>
      <c r="J2311" s="29" t="n"/>
      <c r="K2311" s="30">
        <f>IF(B2311="","",SUM(G$2:I2311)-SUM(J$2:J2311))</f>
        <v/>
      </c>
      <c r="L2311" s="22">
        <f>IF(B2311="","",IF(B2311=B2310,L2310,N(L2310)+1))</f>
        <v/>
      </c>
    </row>
    <row r="2312">
      <c r="A2312" s="22" t="n"/>
      <c r="B2312" s="27" t="n"/>
      <c r="C2312" s="17" t="n"/>
      <c r="D2312" s="17" t="n"/>
      <c r="E2312" s="17" t="n"/>
      <c r="F2312" s="28" t="n"/>
      <c r="G2312" s="29" t="n"/>
      <c r="H2312" s="29" t="n"/>
      <c r="I2312" s="29" t="n"/>
      <c r="J2312" s="29" t="n"/>
      <c r="K2312" s="30">
        <f>IF(B2312="","",SUM(G$2:I2312)-SUM(J$2:J2312))</f>
        <v/>
      </c>
      <c r="L2312" s="22">
        <f>IF(B2312="","",IF(B2312=B2311,L2311,N(L2311)+1))</f>
        <v/>
      </c>
    </row>
    <row r="2313">
      <c r="A2313" s="22" t="n"/>
      <c r="B2313" s="27" t="n"/>
      <c r="C2313" s="17" t="n"/>
      <c r="D2313" s="17" t="n"/>
      <c r="E2313" s="17" t="n"/>
      <c r="F2313" s="28" t="n"/>
      <c r="G2313" s="29" t="n"/>
      <c r="H2313" s="29" t="n"/>
      <c r="I2313" s="29" t="n"/>
      <c r="J2313" s="29" t="n"/>
      <c r="K2313" s="30">
        <f>IF(B2313="","",SUM(G$2:I2313)-SUM(J$2:J2313))</f>
        <v/>
      </c>
      <c r="L2313" s="22">
        <f>IF(B2313="","",IF(B2313=B2312,L2312,N(L2312)+1))</f>
        <v/>
      </c>
    </row>
    <row r="2314">
      <c r="A2314" s="22" t="n"/>
      <c r="B2314" s="27" t="n"/>
      <c r="C2314" s="17" t="n"/>
      <c r="D2314" s="17" t="n"/>
      <c r="E2314" s="17" t="n"/>
      <c r="F2314" s="28" t="n"/>
      <c r="G2314" s="29" t="n"/>
      <c r="H2314" s="29" t="n"/>
      <c r="I2314" s="29" t="n"/>
      <c r="J2314" s="29" t="n"/>
      <c r="K2314" s="30">
        <f>IF(B2314="","",SUM(G$2:I2314)-SUM(J$2:J2314))</f>
        <v/>
      </c>
      <c r="L2314" s="22">
        <f>IF(B2314="","",IF(B2314=B2313,L2313,N(L2313)+1))</f>
        <v/>
      </c>
    </row>
    <row r="2315">
      <c r="A2315" s="22" t="n"/>
      <c r="B2315" s="27" t="n"/>
      <c r="C2315" s="17" t="n"/>
      <c r="D2315" s="17" t="n"/>
      <c r="E2315" s="17" t="n"/>
      <c r="F2315" s="28" t="n"/>
      <c r="G2315" s="29" t="n"/>
      <c r="H2315" s="29" t="n"/>
      <c r="I2315" s="29" t="n"/>
      <c r="J2315" s="29" t="n"/>
      <c r="K2315" s="30">
        <f>IF(B2315="","",SUM(G$2:I2315)-SUM(J$2:J2315))</f>
        <v/>
      </c>
      <c r="L2315" s="22">
        <f>IF(B2315="","",IF(B2315=B2314,L2314,N(L2314)+1))</f>
        <v/>
      </c>
    </row>
    <row r="2316">
      <c r="A2316" s="22" t="n"/>
      <c r="B2316" s="27" t="n"/>
      <c r="C2316" s="17" t="n"/>
      <c r="D2316" s="17" t="n"/>
      <c r="E2316" s="17" t="n"/>
      <c r="F2316" s="28" t="n"/>
      <c r="G2316" s="29" t="n"/>
      <c r="H2316" s="29" t="n"/>
      <c r="I2316" s="29" t="n"/>
      <c r="J2316" s="29" t="n"/>
      <c r="K2316" s="30">
        <f>IF(B2316="","",SUM(G$2:I2316)-SUM(J$2:J2316))</f>
        <v/>
      </c>
      <c r="L2316" s="22">
        <f>IF(B2316="","",IF(B2316=B2315,L2315,N(L2315)+1))</f>
        <v/>
      </c>
    </row>
    <row r="2317">
      <c r="A2317" s="22" t="n"/>
      <c r="B2317" s="27" t="n"/>
      <c r="C2317" s="17" t="n"/>
      <c r="D2317" s="17" t="n"/>
      <c r="E2317" s="17" t="n"/>
      <c r="F2317" s="28" t="n"/>
      <c r="G2317" s="29" t="n"/>
      <c r="H2317" s="29" t="n"/>
      <c r="I2317" s="29" t="n"/>
      <c r="J2317" s="29" t="n"/>
      <c r="K2317" s="30">
        <f>IF(B2317="","",SUM(G$2:I2317)-SUM(J$2:J2317))</f>
        <v/>
      </c>
      <c r="L2317" s="22">
        <f>IF(B2317="","",IF(B2317=B2316,L2316,N(L2316)+1))</f>
        <v/>
      </c>
    </row>
    <row r="2318">
      <c r="A2318" s="22" t="n"/>
      <c r="B2318" s="27" t="n"/>
      <c r="C2318" s="17" t="n"/>
      <c r="D2318" s="17" t="n"/>
      <c r="E2318" s="17" t="n"/>
      <c r="F2318" s="28" t="n"/>
      <c r="G2318" s="29" t="n"/>
      <c r="H2318" s="29" t="n"/>
      <c r="I2318" s="29" t="n"/>
      <c r="J2318" s="29" t="n"/>
      <c r="K2318" s="30">
        <f>IF(B2318="","",SUM(G$2:I2318)-SUM(J$2:J2318))</f>
        <v/>
      </c>
      <c r="L2318" s="22">
        <f>IF(B2318="","",IF(B2318=B2317,L2317,N(L2317)+1))</f>
        <v/>
      </c>
    </row>
    <row r="2319">
      <c r="A2319" s="22" t="n"/>
      <c r="B2319" s="27" t="n"/>
      <c r="C2319" s="17" t="n"/>
      <c r="D2319" s="17" t="n"/>
      <c r="E2319" s="17" t="n"/>
      <c r="F2319" s="28" t="n"/>
      <c r="G2319" s="29" t="n"/>
      <c r="H2319" s="29" t="n"/>
      <c r="I2319" s="29" t="n"/>
      <c r="J2319" s="29" t="n"/>
      <c r="K2319" s="30">
        <f>IF(B2319="","",SUM(G$2:I2319)-SUM(J$2:J2319))</f>
        <v/>
      </c>
      <c r="L2319" s="22">
        <f>IF(B2319="","",IF(B2319=B2318,L2318,N(L2318)+1))</f>
        <v/>
      </c>
    </row>
    <row r="2320">
      <c r="A2320" s="22" t="n"/>
      <c r="B2320" s="27" t="n"/>
      <c r="C2320" s="17" t="n"/>
      <c r="D2320" s="17" t="n"/>
      <c r="E2320" s="17" t="n"/>
      <c r="F2320" s="28" t="n"/>
      <c r="G2320" s="29" t="n"/>
      <c r="H2320" s="29" t="n"/>
      <c r="I2320" s="29" t="n"/>
      <c r="J2320" s="29" t="n"/>
      <c r="K2320" s="30">
        <f>IF(B2320="","",SUM(G$2:I2320)-SUM(J$2:J2320))</f>
        <v/>
      </c>
      <c r="L2320" s="22">
        <f>IF(B2320="","",IF(B2320=B2319,L2319,N(L2319)+1))</f>
        <v/>
      </c>
    </row>
    <row r="2321">
      <c r="A2321" s="22" t="n"/>
      <c r="B2321" s="27" t="n"/>
      <c r="C2321" s="17" t="n"/>
      <c r="D2321" s="17" t="n"/>
      <c r="E2321" s="17" t="n"/>
      <c r="F2321" s="28" t="n"/>
      <c r="G2321" s="29" t="n"/>
      <c r="H2321" s="29" t="n"/>
      <c r="I2321" s="29" t="n"/>
      <c r="J2321" s="29" t="n"/>
      <c r="K2321" s="30">
        <f>IF(B2321="","",SUM(G$2:I2321)-SUM(J$2:J2321))</f>
        <v/>
      </c>
      <c r="L2321" s="22">
        <f>IF(B2321="","",IF(B2321=B2320,L2320,N(L2320)+1))</f>
        <v/>
      </c>
    </row>
    <row r="2322">
      <c r="A2322" s="22" t="n"/>
      <c r="B2322" s="27" t="n"/>
      <c r="C2322" s="17" t="n"/>
      <c r="D2322" s="17" t="n"/>
      <c r="E2322" s="17" t="n"/>
      <c r="F2322" s="28" t="n"/>
      <c r="G2322" s="29" t="n"/>
      <c r="H2322" s="29" t="n"/>
      <c r="I2322" s="29" t="n"/>
      <c r="J2322" s="29" t="n"/>
      <c r="K2322" s="30">
        <f>IF(B2322="","",SUM(G$2:I2322)-SUM(J$2:J2322))</f>
        <v/>
      </c>
      <c r="L2322" s="22">
        <f>IF(B2322="","",IF(B2322=B2321,L2321,N(L2321)+1))</f>
        <v/>
      </c>
    </row>
    <row r="2323">
      <c r="A2323" s="22" t="n"/>
      <c r="B2323" s="27" t="n"/>
      <c r="C2323" s="17" t="n"/>
      <c r="D2323" s="17" t="n"/>
      <c r="E2323" s="17" t="n"/>
      <c r="F2323" s="28" t="n"/>
      <c r="G2323" s="29" t="n"/>
      <c r="H2323" s="29" t="n"/>
      <c r="I2323" s="29" t="n"/>
      <c r="J2323" s="29" t="n"/>
      <c r="K2323" s="30">
        <f>IF(B2323="","",SUM(G$2:I2323)-SUM(J$2:J2323))</f>
        <v/>
      </c>
      <c r="L2323" s="22">
        <f>IF(B2323="","",IF(B2323=B2322,L2322,N(L2322)+1))</f>
        <v/>
      </c>
    </row>
    <row r="2324">
      <c r="A2324" s="22" t="n"/>
      <c r="B2324" s="27" t="n"/>
      <c r="C2324" s="17" t="n"/>
      <c r="D2324" s="17" t="n"/>
      <c r="E2324" s="17" t="n"/>
      <c r="F2324" s="28" t="n"/>
      <c r="G2324" s="29" t="n"/>
      <c r="H2324" s="29" t="n"/>
      <c r="I2324" s="29" t="n"/>
      <c r="J2324" s="29" t="n"/>
      <c r="K2324" s="30">
        <f>IF(B2324="","",SUM(G$2:I2324)-SUM(J$2:J2324))</f>
        <v/>
      </c>
      <c r="L2324" s="22">
        <f>IF(B2324="","",IF(B2324=B2323,L2323,N(L2323)+1))</f>
        <v/>
      </c>
    </row>
    <row r="2325">
      <c r="A2325" s="22" t="n"/>
      <c r="B2325" s="27" t="n"/>
      <c r="C2325" s="17" t="n"/>
      <c r="D2325" s="17" t="n"/>
      <c r="E2325" s="17" t="n"/>
      <c r="F2325" s="28" t="n"/>
      <c r="G2325" s="29" t="n"/>
      <c r="H2325" s="29" t="n"/>
      <c r="I2325" s="29" t="n"/>
      <c r="J2325" s="29" t="n"/>
      <c r="K2325" s="30">
        <f>IF(B2325="","",SUM(G$2:I2325)-SUM(J$2:J2325))</f>
        <v/>
      </c>
      <c r="L2325" s="22">
        <f>IF(B2325="","",IF(B2325=B2324,L2324,N(L2324)+1))</f>
        <v/>
      </c>
    </row>
    <row r="2326">
      <c r="A2326" s="22" t="n"/>
      <c r="B2326" s="27" t="n"/>
      <c r="C2326" s="17" t="n"/>
      <c r="D2326" s="17" t="n"/>
      <c r="E2326" s="17" t="n"/>
      <c r="F2326" s="28" t="n"/>
      <c r="G2326" s="29" t="n"/>
      <c r="H2326" s="29" t="n"/>
      <c r="I2326" s="29" t="n"/>
      <c r="J2326" s="29" t="n"/>
      <c r="K2326" s="30">
        <f>IF(B2326="","",SUM(G$2:I2326)-SUM(J$2:J2326))</f>
        <v/>
      </c>
      <c r="L2326" s="22">
        <f>IF(B2326="","",IF(B2326=B2325,L2325,N(L2325)+1))</f>
        <v/>
      </c>
    </row>
    <row r="2327">
      <c r="A2327" s="22" t="n"/>
      <c r="B2327" s="27" t="n"/>
      <c r="C2327" s="17" t="n"/>
      <c r="D2327" s="17" t="n"/>
      <c r="E2327" s="17" t="n"/>
      <c r="F2327" s="28" t="n"/>
      <c r="G2327" s="29" t="n"/>
      <c r="H2327" s="29" t="n"/>
      <c r="I2327" s="29" t="n"/>
      <c r="J2327" s="29" t="n"/>
      <c r="K2327" s="30">
        <f>IF(B2327="","",SUM(G$2:I2327)-SUM(J$2:J2327))</f>
        <v/>
      </c>
      <c r="L2327" s="22">
        <f>IF(B2327="","",IF(B2327=B2326,L2326,N(L2326)+1))</f>
        <v/>
      </c>
    </row>
    <row r="2328">
      <c r="A2328" s="22" t="n"/>
      <c r="B2328" s="27" t="n"/>
      <c r="C2328" s="17" t="n"/>
      <c r="D2328" s="17" t="n"/>
      <c r="E2328" s="17" t="n"/>
      <c r="F2328" s="28" t="n"/>
      <c r="G2328" s="29" t="n"/>
      <c r="H2328" s="29" t="n"/>
      <c r="I2328" s="29" t="n"/>
      <c r="J2328" s="29" t="n"/>
      <c r="K2328" s="30">
        <f>IF(B2328="","",SUM(G$2:I2328)-SUM(J$2:J2328))</f>
        <v/>
      </c>
      <c r="L2328" s="22">
        <f>IF(B2328="","",IF(B2328=B2327,L2327,N(L2327)+1))</f>
        <v/>
      </c>
    </row>
    <row r="2329">
      <c r="A2329" s="22" t="n"/>
      <c r="B2329" s="27" t="n"/>
      <c r="C2329" s="17" t="n"/>
      <c r="D2329" s="17" t="n"/>
      <c r="E2329" s="17" t="n"/>
      <c r="F2329" s="28" t="n"/>
      <c r="G2329" s="29" t="n"/>
      <c r="H2329" s="29" t="n"/>
      <c r="I2329" s="29" t="n"/>
      <c r="J2329" s="29" t="n"/>
      <c r="K2329" s="30">
        <f>IF(B2329="","",SUM(G$2:I2329)-SUM(J$2:J2329))</f>
        <v/>
      </c>
      <c r="L2329" s="22">
        <f>IF(B2329="","",IF(B2329=B2328,L2328,N(L2328)+1))</f>
        <v/>
      </c>
    </row>
    <row r="2330">
      <c r="A2330" s="22" t="n"/>
      <c r="B2330" s="27" t="n"/>
      <c r="C2330" s="17" t="n"/>
      <c r="D2330" s="17" t="n"/>
      <c r="E2330" s="17" t="n"/>
      <c r="F2330" s="28" t="n"/>
      <c r="G2330" s="29" t="n"/>
      <c r="H2330" s="29" t="n"/>
      <c r="I2330" s="29" t="n"/>
      <c r="J2330" s="29" t="n"/>
      <c r="K2330" s="30">
        <f>IF(B2330="","",SUM(G$2:I2330)-SUM(J$2:J2330))</f>
        <v/>
      </c>
      <c r="L2330" s="22">
        <f>IF(B2330="","",IF(B2330=B2329,L2329,N(L2329)+1))</f>
        <v/>
      </c>
    </row>
    <row r="2331">
      <c r="A2331" s="22" t="n"/>
      <c r="B2331" s="27" t="n"/>
      <c r="C2331" s="17" t="n"/>
      <c r="D2331" s="17" t="n"/>
      <c r="E2331" s="17" t="n"/>
      <c r="F2331" s="28" t="n"/>
      <c r="G2331" s="29" t="n"/>
      <c r="H2331" s="29" t="n"/>
      <c r="I2331" s="29" t="n"/>
      <c r="J2331" s="29" t="n"/>
      <c r="K2331" s="30">
        <f>IF(B2331="","",SUM(G$2:I2331)-SUM(J$2:J2331))</f>
        <v/>
      </c>
      <c r="L2331" s="22">
        <f>IF(B2331="","",IF(B2331=B2330,L2330,N(L2330)+1))</f>
        <v/>
      </c>
    </row>
    <row r="2332">
      <c r="A2332" s="22" t="n"/>
      <c r="B2332" s="27" t="n"/>
      <c r="C2332" s="17" t="n"/>
      <c r="D2332" s="17" t="n"/>
      <c r="E2332" s="17" t="n"/>
      <c r="F2332" s="28" t="n"/>
      <c r="G2332" s="29" t="n"/>
      <c r="H2332" s="29" t="n"/>
      <c r="I2332" s="29" t="n"/>
      <c r="J2332" s="29" t="n"/>
      <c r="K2332" s="30">
        <f>IF(B2332="","",SUM(G$2:I2332)-SUM(J$2:J2332))</f>
        <v/>
      </c>
      <c r="L2332" s="22">
        <f>IF(B2332="","",IF(B2332=B2331,L2331,N(L2331)+1))</f>
        <v/>
      </c>
    </row>
    <row r="2333">
      <c r="A2333" s="22" t="n"/>
      <c r="B2333" s="27" t="n"/>
      <c r="C2333" s="17" t="n"/>
      <c r="D2333" s="17" t="n"/>
      <c r="E2333" s="17" t="n"/>
      <c r="F2333" s="28" t="n"/>
      <c r="G2333" s="29" t="n"/>
      <c r="H2333" s="29" t="n"/>
      <c r="I2333" s="29" t="n"/>
      <c r="J2333" s="29" t="n"/>
      <c r="K2333" s="30">
        <f>IF(B2333="","",SUM(G$2:I2333)-SUM(J$2:J2333))</f>
        <v/>
      </c>
      <c r="L2333" s="22">
        <f>IF(B2333="","",IF(B2333=B2332,L2332,N(L2332)+1))</f>
        <v/>
      </c>
    </row>
    <row r="2334">
      <c r="A2334" s="22" t="n"/>
      <c r="B2334" s="27" t="n"/>
      <c r="C2334" s="17" t="n"/>
      <c r="D2334" s="17" t="n"/>
      <c r="E2334" s="17" t="n"/>
      <c r="F2334" s="28" t="n"/>
      <c r="G2334" s="29" t="n"/>
      <c r="H2334" s="29" t="n"/>
      <c r="I2334" s="29" t="n"/>
      <c r="J2334" s="29" t="n"/>
      <c r="K2334" s="30">
        <f>IF(B2334="","",SUM(G$2:I2334)-SUM(J$2:J2334))</f>
        <v/>
      </c>
      <c r="L2334" s="22">
        <f>IF(B2334="","",IF(B2334=B2333,L2333,N(L2333)+1))</f>
        <v/>
      </c>
    </row>
    <row r="2335">
      <c r="A2335" s="22" t="n"/>
      <c r="B2335" s="27" t="n"/>
      <c r="C2335" s="17" t="n"/>
      <c r="D2335" s="17" t="n"/>
      <c r="E2335" s="17" t="n"/>
      <c r="F2335" s="28" t="n"/>
      <c r="G2335" s="29" t="n"/>
      <c r="H2335" s="29" t="n"/>
      <c r="I2335" s="29" t="n"/>
      <c r="J2335" s="29" t="n"/>
      <c r="K2335" s="30">
        <f>IF(B2335="","",SUM(G$2:I2335)-SUM(J$2:J2335))</f>
        <v/>
      </c>
      <c r="L2335" s="22">
        <f>IF(B2335="","",IF(B2335=B2334,L2334,N(L2334)+1))</f>
        <v/>
      </c>
    </row>
    <row r="2336">
      <c r="A2336" s="22" t="n"/>
      <c r="B2336" s="27" t="n"/>
      <c r="C2336" s="17" t="n"/>
      <c r="D2336" s="17" t="n"/>
      <c r="E2336" s="17" t="n"/>
      <c r="F2336" s="28" t="n"/>
      <c r="G2336" s="29" t="n"/>
      <c r="H2336" s="29" t="n"/>
      <c r="I2336" s="29" t="n"/>
      <c r="J2336" s="29" t="n"/>
      <c r="K2336" s="30">
        <f>IF(B2336="","",SUM(G$2:I2336)-SUM(J$2:J2336))</f>
        <v/>
      </c>
      <c r="L2336" s="22">
        <f>IF(B2336="","",IF(B2336=B2335,L2335,N(L2335)+1))</f>
        <v/>
      </c>
    </row>
    <row r="2337">
      <c r="A2337" s="22" t="n"/>
      <c r="B2337" s="27" t="n"/>
      <c r="C2337" s="17" t="n"/>
      <c r="D2337" s="17" t="n"/>
      <c r="E2337" s="17" t="n"/>
      <c r="F2337" s="28" t="n"/>
      <c r="G2337" s="29" t="n"/>
      <c r="H2337" s="29" t="n"/>
      <c r="I2337" s="29" t="n"/>
      <c r="J2337" s="29" t="n"/>
      <c r="K2337" s="30">
        <f>IF(B2337="","",SUM(G$2:I2337)-SUM(J$2:J2337))</f>
        <v/>
      </c>
      <c r="L2337" s="22">
        <f>IF(B2337="","",IF(B2337=B2336,L2336,N(L2336)+1))</f>
        <v/>
      </c>
    </row>
    <row r="2338">
      <c r="A2338" s="22" t="n"/>
      <c r="B2338" s="27" t="n"/>
      <c r="C2338" s="17" t="n"/>
      <c r="D2338" s="17" t="n"/>
      <c r="E2338" s="17" t="n"/>
      <c r="F2338" s="28" t="n"/>
      <c r="G2338" s="29" t="n"/>
      <c r="H2338" s="29" t="n"/>
      <c r="I2338" s="29" t="n"/>
      <c r="J2338" s="29" t="n"/>
      <c r="K2338" s="30">
        <f>IF(B2338="","",SUM(G$2:I2338)-SUM(J$2:J2338))</f>
        <v/>
      </c>
      <c r="L2338" s="22">
        <f>IF(B2338="","",IF(B2338=B2337,L2337,N(L2337)+1))</f>
        <v/>
      </c>
    </row>
    <row r="2339">
      <c r="A2339" s="22" t="n"/>
      <c r="B2339" s="27" t="n"/>
      <c r="C2339" s="17" t="n"/>
      <c r="D2339" s="17" t="n"/>
      <c r="E2339" s="17" t="n"/>
      <c r="F2339" s="28" t="n"/>
      <c r="G2339" s="29" t="n"/>
      <c r="H2339" s="29" t="n"/>
      <c r="I2339" s="29" t="n"/>
      <c r="J2339" s="29" t="n"/>
      <c r="K2339" s="30">
        <f>IF(B2339="","",SUM(G$2:I2339)-SUM(J$2:J2339))</f>
        <v/>
      </c>
      <c r="L2339" s="22">
        <f>IF(B2339="","",IF(B2339=B2338,L2338,N(L2338)+1))</f>
        <v/>
      </c>
    </row>
    <row r="2340">
      <c r="A2340" s="22" t="n"/>
      <c r="B2340" s="27" t="n"/>
      <c r="C2340" s="17" t="n"/>
      <c r="D2340" s="17" t="n"/>
      <c r="E2340" s="17" t="n"/>
      <c r="F2340" s="28" t="n"/>
      <c r="G2340" s="29" t="n"/>
      <c r="H2340" s="29" t="n"/>
      <c r="I2340" s="29" t="n"/>
      <c r="J2340" s="29" t="n"/>
      <c r="K2340" s="30">
        <f>IF(B2340="","",SUM(G$2:I2340)-SUM(J$2:J2340))</f>
        <v/>
      </c>
      <c r="L2340" s="22">
        <f>IF(B2340="","",IF(B2340=B2339,L2339,N(L2339)+1))</f>
        <v/>
      </c>
    </row>
    <row r="2341">
      <c r="A2341" s="22" t="n"/>
      <c r="B2341" s="27" t="n"/>
      <c r="C2341" s="17" t="n"/>
      <c r="D2341" s="17" t="n"/>
      <c r="E2341" s="17" t="n"/>
      <c r="F2341" s="28" t="n"/>
      <c r="G2341" s="29" t="n"/>
      <c r="H2341" s="29" t="n"/>
      <c r="I2341" s="29" t="n"/>
      <c r="J2341" s="29" t="n"/>
      <c r="K2341" s="30">
        <f>IF(B2341="","",SUM(G$2:I2341)-SUM(J$2:J2341))</f>
        <v/>
      </c>
      <c r="L2341" s="22">
        <f>IF(B2341="","",IF(B2341=B2340,L2340,N(L2340)+1))</f>
        <v/>
      </c>
    </row>
    <row r="2342">
      <c r="A2342" s="22" t="n"/>
      <c r="B2342" s="27" t="n"/>
      <c r="C2342" s="17" t="n"/>
      <c r="D2342" s="17" t="n"/>
      <c r="E2342" s="17" t="n"/>
      <c r="F2342" s="28" t="n"/>
      <c r="G2342" s="29" t="n"/>
      <c r="H2342" s="29" t="n"/>
      <c r="I2342" s="29" t="n"/>
      <c r="J2342" s="29" t="n"/>
      <c r="K2342" s="30">
        <f>IF(B2342="","",SUM(G$2:I2342)-SUM(J$2:J2342))</f>
        <v/>
      </c>
      <c r="L2342" s="22">
        <f>IF(B2342="","",IF(B2342=B2341,L2341,N(L2341)+1))</f>
        <v/>
      </c>
    </row>
    <row r="2343">
      <c r="A2343" s="22" t="n"/>
      <c r="B2343" s="27" t="n"/>
      <c r="C2343" s="17" t="n"/>
      <c r="D2343" s="17" t="n"/>
      <c r="E2343" s="17" t="n"/>
      <c r="F2343" s="28" t="n"/>
      <c r="G2343" s="29" t="n"/>
      <c r="H2343" s="29" t="n"/>
      <c r="I2343" s="29" t="n"/>
      <c r="J2343" s="29" t="n"/>
      <c r="K2343" s="30">
        <f>IF(B2343="","",SUM(G$2:I2343)-SUM(J$2:J2343))</f>
        <v/>
      </c>
      <c r="L2343" s="22">
        <f>IF(B2343="","",IF(B2343=B2342,L2342,N(L2342)+1))</f>
        <v/>
      </c>
    </row>
    <row r="2344">
      <c r="A2344" s="22" t="n"/>
      <c r="B2344" s="27" t="n"/>
      <c r="C2344" s="17" t="n"/>
      <c r="D2344" s="17" t="n"/>
      <c r="E2344" s="17" t="n"/>
      <c r="F2344" s="28" t="n"/>
      <c r="G2344" s="29" t="n"/>
      <c r="H2344" s="29" t="n"/>
      <c r="I2344" s="29" t="n"/>
      <c r="J2344" s="29" t="n"/>
      <c r="K2344" s="30">
        <f>IF(B2344="","",SUM(G$2:I2344)-SUM(J$2:J2344))</f>
        <v/>
      </c>
      <c r="L2344" s="22">
        <f>IF(B2344="","",IF(B2344=B2343,L2343,N(L2343)+1))</f>
        <v/>
      </c>
    </row>
    <row r="2345">
      <c r="A2345" s="22" t="n"/>
      <c r="B2345" s="27" t="n"/>
      <c r="C2345" s="17" t="n"/>
      <c r="D2345" s="17" t="n"/>
      <c r="E2345" s="17" t="n"/>
      <c r="F2345" s="28" t="n"/>
      <c r="G2345" s="29" t="n"/>
      <c r="H2345" s="29" t="n"/>
      <c r="I2345" s="29" t="n"/>
      <c r="J2345" s="29" t="n"/>
      <c r="K2345" s="30">
        <f>IF(B2345="","",SUM(G$2:I2345)-SUM(J$2:J2345))</f>
        <v/>
      </c>
      <c r="L2345" s="22">
        <f>IF(B2345="","",IF(B2345=B2344,L2344,N(L2344)+1))</f>
        <v/>
      </c>
    </row>
    <row r="2346">
      <c r="A2346" s="22" t="n"/>
      <c r="B2346" s="27" t="n"/>
      <c r="C2346" s="17" t="n"/>
      <c r="D2346" s="17" t="n"/>
      <c r="E2346" s="17" t="n"/>
      <c r="F2346" s="28" t="n"/>
      <c r="G2346" s="29" t="n"/>
      <c r="H2346" s="29" t="n"/>
      <c r="I2346" s="29" t="n"/>
      <c r="J2346" s="29" t="n"/>
      <c r="K2346" s="30">
        <f>IF(B2346="","",SUM(G$2:I2346)-SUM(J$2:J2346))</f>
        <v/>
      </c>
      <c r="L2346" s="22">
        <f>IF(B2346="","",IF(B2346=B2345,L2345,N(L2345)+1))</f>
        <v/>
      </c>
    </row>
    <row r="2347">
      <c r="A2347" s="22" t="n"/>
      <c r="B2347" s="27" t="n"/>
      <c r="C2347" s="17" t="n"/>
      <c r="D2347" s="17" t="n"/>
      <c r="E2347" s="17" t="n"/>
      <c r="F2347" s="28" t="n"/>
      <c r="G2347" s="29" t="n"/>
      <c r="H2347" s="29" t="n"/>
      <c r="I2347" s="29" t="n"/>
      <c r="J2347" s="29" t="n"/>
      <c r="K2347" s="30">
        <f>IF(B2347="","",SUM(G$2:I2347)-SUM(J$2:J2347))</f>
        <v/>
      </c>
      <c r="L2347" s="22">
        <f>IF(B2347="","",IF(B2347=B2346,L2346,N(L2346)+1))</f>
        <v/>
      </c>
    </row>
    <row r="2348">
      <c r="A2348" s="22" t="n"/>
      <c r="B2348" s="27" t="n"/>
      <c r="C2348" s="17" t="n"/>
      <c r="D2348" s="17" t="n"/>
      <c r="E2348" s="17" t="n"/>
      <c r="F2348" s="28" t="n"/>
      <c r="G2348" s="29" t="n"/>
      <c r="H2348" s="29" t="n"/>
      <c r="I2348" s="29" t="n"/>
      <c r="J2348" s="29" t="n"/>
      <c r="K2348" s="30">
        <f>IF(B2348="","",SUM(G$2:I2348)-SUM(J$2:J2348))</f>
        <v/>
      </c>
      <c r="L2348" s="22">
        <f>IF(B2348="","",IF(B2348=B2347,L2347,N(L2347)+1))</f>
        <v/>
      </c>
    </row>
    <row r="2349">
      <c r="A2349" s="22" t="n"/>
      <c r="B2349" s="27" t="n"/>
      <c r="C2349" s="17" t="n"/>
      <c r="D2349" s="17" t="n"/>
      <c r="E2349" s="17" t="n"/>
      <c r="F2349" s="28" t="n"/>
      <c r="G2349" s="29" t="n"/>
      <c r="H2349" s="29" t="n"/>
      <c r="I2349" s="29" t="n"/>
      <c r="J2349" s="29" t="n"/>
      <c r="K2349" s="30">
        <f>IF(B2349="","",SUM(G$2:I2349)-SUM(J$2:J2349))</f>
        <v/>
      </c>
      <c r="L2349" s="22">
        <f>IF(B2349="","",IF(B2349=B2348,L2348,N(L2348)+1))</f>
        <v/>
      </c>
    </row>
    <row r="2350">
      <c r="A2350" s="22" t="n"/>
      <c r="B2350" s="27" t="n"/>
      <c r="C2350" s="17" t="n"/>
      <c r="D2350" s="17" t="n"/>
      <c r="E2350" s="17" t="n"/>
      <c r="F2350" s="28" t="n"/>
      <c r="G2350" s="29" t="n"/>
      <c r="H2350" s="29" t="n"/>
      <c r="I2350" s="29" t="n"/>
      <c r="J2350" s="29" t="n"/>
      <c r="K2350" s="30">
        <f>IF(B2350="","",SUM(G$2:I2350)-SUM(J$2:J2350))</f>
        <v/>
      </c>
      <c r="L2350" s="22">
        <f>IF(B2350="","",IF(B2350=B2349,L2349,N(L2349)+1))</f>
        <v/>
      </c>
    </row>
    <row r="2351">
      <c r="A2351" s="22" t="n"/>
      <c r="B2351" s="27" t="n"/>
      <c r="C2351" s="17" t="n"/>
      <c r="D2351" s="17" t="n"/>
      <c r="E2351" s="17" t="n"/>
      <c r="F2351" s="28" t="n"/>
      <c r="G2351" s="29" t="n"/>
      <c r="H2351" s="29" t="n"/>
      <c r="I2351" s="29" t="n"/>
      <c r="J2351" s="29" t="n"/>
      <c r="K2351" s="30">
        <f>IF(B2351="","",SUM(G$2:I2351)-SUM(J$2:J2351))</f>
        <v/>
      </c>
      <c r="L2351" s="22">
        <f>IF(B2351="","",IF(B2351=B2350,L2350,N(L2350)+1))</f>
        <v/>
      </c>
    </row>
    <row r="2352">
      <c r="A2352" s="22" t="n"/>
      <c r="B2352" s="27" t="n"/>
      <c r="C2352" s="17" t="n"/>
      <c r="D2352" s="17" t="n"/>
      <c r="E2352" s="17" t="n"/>
      <c r="F2352" s="28" t="n"/>
      <c r="G2352" s="29" t="n"/>
      <c r="H2352" s="29" t="n"/>
      <c r="I2352" s="29" t="n"/>
      <c r="J2352" s="29" t="n"/>
      <c r="K2352" s="30">
        <f>IF(B2352="","",SUM(G$2:I2352)-SUM(J$2:J2352))</f>
        <v/>
      </c>
      <c r="L2352" s="22">
        <f>IF(B2352="","",IF(B2352=B2351,L2351,N(L2351)+1))</f>
        <v/>
      </c>
    </row>
    <row r="2353">
      <c r="A2353" s="22" t="n"/>
      <c r="B2353" s="27" t="n"/>
      <c r="C2353" s="17" t="n"/>
      <c r="D2353" s="17" t="n"/>
      <c r="E2353" s="17" t="n"/>
      <c r="F2353" s="28" t="n"/>
      <c r="G2353" s="29" t="n"/>
      <c r="H2353" s="29" t="n"/>
      <c r="I2353" s="29" t="n"/>
      <c r="J2353" s="29" t="n"/>
      <c r="K2353" s="30">
        <f>IF(B2353="","",SUM(G$2:I2353)-SUM(J$2:J2353))</f>
        <v/>
      </c>
      <c r="L2353" s="22">
        <f>IF(B2353="","",IF(B2353=B2352,L2352,N(L2352)+1))</f>
        <v/>
      </c>
    </row>
    <row r="2354">
      <c r="A2354" s="22" t="n"/>
      <c r="B2354" s="27" t="n"/>
      <c r="C2354" s="17" t="n"/>
      <c r="D2354" s="17" t="n"/>
      <c r="E2354" s="17" t="n"/>
      <c r="F2354" s="28" t="n"/>
      <c r="G2354" s="29" t="n"/>
      <c r="H2354" s="29" t="n"/>
      <c r="I2354" s="29" t="n"/>
      <c r="J2354" s="29" t="n"/>
      <c r="K2354" s="30">
        <f>IF(B2354="","",SUM(G$2:I2354)-SUM(J$2:J2354))</f>
        <v/>
      </c>
      <c r="L2354" s="22">
        <f>IF(B2354="","",IF(B2354=B2353,L2353,N(L2353)+1))</f>
        <v/>
      </c>
    </row>
    <row r="2355">
      <c r="A2355" s="22" t="n"/>
      <c r="B2355" s="27" t="n"/>
      <c r="C2355" s="17" t="n"/>
      <c r="D2355" s="17" t="n"/>
      <c r="E2355" s="17" t="n"/>
      <c r="F2355" s="28" t="n"/>
      <c r="G2355" s="29" t="n"/>
      <c r="H2355" s="29" t="n"/>
      <c r="I2355" s="29" t="n"/>
      <c r="J2355" s="29" t="n"/>
      <c r="K2355" s="30">
        <f>IF(B2355="","",SUM(G$2:I2355)-SUM(J$2:J2355))</f>
        <v/>
      </c>
      <c r="L2355" s="22">
        <f>IF(B2355="","",IF(B2355=B2354,L2354,N(L2354)+1))</f>
        <v/>
      </c>
    </row>
    <row r="2356">
      <c r="A2356" s="22" t="n"/>
      <c r="B2356" s="27" t="n"/>
      <c r="C2356" s="17" t="n"/>
      <c r="D2356" s="17" t="n"/>
      <c r="E2356" s="17" t="n"/>
      <c r="F2356" s="28" t="n"/>
      <c r="G2356" s="29" t="n"/>
      <c r="H2356" s="29" t="n"/>
      <c r="I2356" s="29" t="n"/>
      <c r="J2356" s="29" t="n"/>
      <c r="K2356" s="30">
        <f>IF(B2356="","",SUM(G$2:I2356)-SUM(J$2:J2356))</f>
        <v/>
      </c>
      <c r="L2356" s="22">
        <f>IF(B2356="","",IF(B2356=B2355,L2355,N(L2355)+1))</f>
        <v/>
      </c>
    </row>
    <row r="2357">
      <c r="A2357" s="22" t="n"/>
      <c r="B2357" s="27" t="n"/>
      <c r="C2357" s="17" t="n"/>
      <c r="D2357" s="17" t="n"/>
      <c r="E2357" s="17" t="n"/>
      <c r="F2357" s="28" t="n"/>
      <c r="G2357" s="29" t="n"/>
      <c r="H2357" s="29" t="n"/>
      <c r="I2357" s="29" t="n"/>
      <c r="J2357" s="29" t="n"/>
      <c r="K2357" s="30">
        <f>IF(B2357="","",SUM(G$2:I2357)-SUM(J$2:J2357))</f>
        <v/>
      </c>
      <c r="L2357" s="22">
        <f>IF(B2357="","",IF(B2357=B2356,L2356,N(L2356)+1))</f>
        <v/>
      </c>
    </row>
    <row r="2358">
      <c r="A2358" s="22" t="n"/>
      <c r="B2358" s="27" t="n"/>
      <c r="C2358" s="17" t="n"/>
      <c r="D2358" s="17" t="n"/>
      <c r="E2358" s="17" t="n"/>
      <c r="F2358" s="28" t="n"/>
      <c r="G2358" s="29" t="n"/>
      <c r="H2358" s="29" t="n"/>
      <c r="I2358" s="29" t="n"/>
      <c r="J2358" s="29" t="n"/>
      <c r="K2358" s="30">
        <f>IF(B2358="","",SUM(G$2:I2358)-SUM(J$2:J2358))</f>
        <v/>
      </c>
      <c r="L2358" s="22">
        <f>IF(B2358="","",IF(B2358=B2357,L2357,N(L2357)+1))</f>
        <v/>
      </c>
    </row>
    <row r="2359">
      <c r="A2359" s="22" t="n"/>
      <c r="B2359" s="27" t="n"/>
      <c r="C2359" s="17" t="n"/>
      <c r="D2359" s="17" t="n"/>
      <c r="E2359" s="17" t="n"/>
      <c r="F2359" s="28" t="n"/>
      <c r="G2359" s="29" t="n"/>
      <c r="H2359" s="29" t="n"/>
      <c r="I2359" s="29" t="n"/>
      <c r="J2359" s="29" t="n"/>
      <c r="K2359" s="30">
        <f>IF(B2359="","",SUM(G$2:I2359)-SUM(J$2:J2359))</f>
        <v/>
      </c>
      <c r="L2359" s="22">
        <f>IF(B2359="","",IF(B2359=B2358,L2358,N(L2358)+1))</f>
        <v/>
      </c>
    </row>
    <row r="2360">
      <c r="A2360" s="22" t="n"/>
      <c r="B2360" s="27" t="n"/>
      <c r="C2360" s="17" t="n"/>
      <c r="D2360" s="17" t="n"/>
      <c r="E2360" s="17" t="n"/>
      <c r="F2360" s="28" t="n"/>
      <c r="G2360" s="29" t="n"/>
      <c r="H2360" s="29" t="n"/>
      <c r="I2360" s="29" t="n"/>
      <c r="J2360" s="29" t="n"/>
      <c r="K2360" s="30">
        <f>IF(B2360="","",SUM(G$2:I2360)-SUM(J$2:J2360))</f>
        <v/>
      </c>
      <c r="L2360" s="22">
        <f>IF(B2360="","",IF(B2360=B2359,L2359,N(L2359)+1))</f>
        <v/>
      </c>
    </row>
    <row r="2361">
      <c r="A2361" s="22" t="n"/>
      <c r="B2361" s="27" t="n"/>
      <c r="C2361" s="17" t="n"/>
      <c r="D2361" s="17" t="n"/>
      <c r="E2361" s="17" t="n"/>
      <c r="F2361" s="28" t="n"/>
      <c r="G2361" s="29" t="n"/>
      <c r="H2361" s="29" t="n"/>
      <c r="I2361" s="29" t="n"/>
      <c r="J2361" s="29" t="n"/>
      <c r="K2361" s="30">
        <f>IF(B2361="","",SUM(G$2:I2361)-SUM(J$2:J2361))</f>
        <v/>
      </c>
      <c r="L2361" s="22">
        <f>IF(B2361="","",IF(B2361=B2360,L2360,N(L2360)+1))</f>
        <v/>
      </c>
    </row>
    <row r="2362">
      <c r="A2362" s="22" t="n"/>
      <c r="B2362" s="27" t="n"/>
      <c r="C2362" s="17" t="n"/>
      <c r="D2362" s="17" t="n"/>
      <c r="E2362" s="17" t="n"/>
      <c r="F2362" s="28" t="n"/>
      <c r="G2362" s="29" t="n"/>
      <c r="H2362" s="29" t="n"/>
      <c r="I2362" s="29" t="n"/>
      <c r="J2362" s="29" t="n"/>
      <c r="K2362" s="30">
        <f>IF(B2362="","",SUM(G$2:I2362)-SUM(J$2:J2362))</f>
        <v/>
      </c>
      <c r="L2362" s="22">
        <f>IF(B2362="","",IF(B2362=B2361,L2361,N(L2361)+1))</f>
        <v/>
      </c>
    </row>
    <row r="2363">
      <c r="A2363" s="22" t="n"/>
      <c r="B2363" s="27" t="n"/>
      <c r="C2363" s="17" t="n"/>
      <c r="D2363" s="17" t="n"/>
      <c r="E2363" s="17" t="n"/>
      <c r="F2363" s="28" t="n"/>
      <c r="G2363" s="29" t="n"/>
      <c r="H2363" s="29" t="n"/>
      <c r="I2363" s="29" t="n"/>
      <c r="J2363" s="29" t="n"/>
      <c r="K2363" s="30">
        <f>IF(B2363="","",SUM(G$2:I2363)-SUM(J$2:J2363))</f>
        <v/>
      </c>
      <c r="L2363" s="22">
        <f>IF(B2363="","",IF(B2363=B2362,L2362,N(L2362)+1))</f>
        <v/>
      </c>
    </row>
    <row r="2364">
      <c r="A2364" s="22" t="n"/>
      <c r="B2364" s="27" t="n"/>
      <c r="C2364" s="17" t="n"/>
      <c r="D2364" s="17" t="n"/>
      <c r="E2364" s="17" t="n"/>
      <c r="F2364" s="28" t="n"/>
      <c r="G2364" s="29" t="n"/>
      <c r="H2364" s="29" t="n"/>
      <c r="I2364" s="29" t="n"/>
      <c r="J2364" s="29" t="n"/>
      <c r="K2364" s="30">
        <f>IF(B2364="","",SUM(G$2:I2364)-SUM(J$2:J2364))</f>
        <v/>
      </c>
      <c r="L2364" s="22">
        <f>IF(B2364="","",IF(B2364=B2363,L2363,N(L2363)+1))</f>
        <v/>
      </c>
    </row>
    <row r="2365">
      <c r="A2365" s="22" t="n"/>
      <c r="B2365" s="27" t="n"/>
      <c r="C2365" s="17" t="n"/>
      <c r="D2365" s="17" t="n"/>
      <c r="E2365" s="17" t="n"/>
      <c r="F2365" s="28" t="n"/>
      <c r="G2365" s="29" t="n"/>
      <c r="H2365" s="29" t="n"/>
      <c r="I2365" s="29" t="n"/>
      <c r="J2365" s="29" t="n"/>
      <c r="K2365" s="30">
        <f>IF(B2365="","",SUM(G$2:I2365)-SUM(J$2:J2365))</f>
        <v/>
      </c>
      <c r="L2365" s="22">
        <f>IF(B2365="","",IF(B2365=B2364,L2364,N(L2364)+1))</f>
        <v/>
      </c>
    </row>
    <row r="2366">
      <c r="A2366" s="22" t="n"/>
      <c r="B2366" s="27" t="n"/>
      <c r="C2366" s="17" t="n"/>
      <c r="D2366" s="17" t="n"/>
      <c r="E2366" s="17" t="n"/>
      <c r="F2366" s="28" t="n"/>
      <c r="G2366" s="29" t="n"/>
      <c r="H2366" s="29" t="n"/>
      <c r="I2366" s="29" t="n"/>
      <c r="J2366" s="29" t="n"/>
      <c r="K2366" s="30">
        <f>IF(B2366="","",SUM(G$2:I2366)-SUM(J$2:J2366))</f>
        <v/>
      </c>
      <c r="L2366" s="22">
        <f>IF(B2366="","",IF(B2366=B2365,L2365,N(L2365)+1))</f>
        <v/>
      </c>
    </row>
    <row r="2367">
      <c r="A2367" s="22" t="n"/>
      <c r="B2367" s="27" t="n"/>
      <c r="C2367" s="17" t="n"/>
      <c r="D2367" s="17" t="n"/>
      <c r="E2367" s="17" t="n"/>
      <c r="F2367" s="28" t="n"/>
      <c r="G2367" s="29" t="n"/>
      <c r="H2367" s="29" t="n"/>
      <c r="I2367" s="29" t="n"/>
      <c r="J2367" s="29" t="n"/>
      <c r="K2367" s="30">
        <f>IF(B2367="","",SUM(G$2:I2367)-SUM(J$2:J2367))</f>
        <v/>
      </c>
      <c r="L2367" s="22">
        <f>IF(B2367="","",IF(B2367=B2366,L2366,N(L2366)+1))</f>
        <v/>
      </c>
    </row>
    <row r="2368">
      <c r="A2368" s="22" t="n"/>
      <c r="B2368" s="27" t="n"/>
      <c r="C2368" s="17" t="n"/>
      <c r="D2368" s="17" t="n"/>
      <c r="E2368" s="17" t="n"/>
      <c r="F2368" s="28" t="n"/>
      <c r="G2368" s="29" t="n"/>
      <c r="H2368" s="29" t="n"/>
      <c r="I2368" s="29" t="n"/>
      <c r="J2368" s="29" t="n"/>
      <c r="K2368" s="30">
        <f>IF(B2368="","",SUM(G$2:I2368)-SUM(J$2:J2368))</f>
        <v/>
      </c>
      <c r="L2368" s="22">
        <f>IF(B2368="","",IF(B2368=B2367,L2367,N(L2367)+1))</f>
        <v/>
      </c>
    </row>
    <row r="2369">
      <c r="A2369" s="22" t="n"/>
      <c r="B2369" s="27" t="n"/>
      <c r="C2369" s="17" t="n"/>
      <c r="D2369" s="17" t="n"/>
      <c r="E2369" s="17" t="n"/>
      <c r="F2369" s="28" t="n"/>
      <c r="G2369" s="29" t="n"/>
      <c r="H2369" s="29" t="n"/>
      <c r="I2369" s="29" t="n"/>
      <c r="J2369" s="29" t="n"/>
      <c r="K2369" s="30">
        <f>IF(B2369="","",SUM(G$2:I2369)-SUM(J$2:J2369))</f>
        <v/>
      </c>
      <c r="L2369" s="22">
        <f>IF(B2369="","",IF(B2369=B2368,L2368,N(L2368)+1))</f>
        <v/>
      </c>
    </row>
    <row r="2370">
      <c r="A2370" s="22" t="n"/>
      <c r="B2370" s="27" t="n"/>
      <c r="C2370" s="17" t="n"/>
      <c r="D2370" s="17" t="n"/>
      <c r="E2370" s="17" t="n"/>
      <c r="F2370" s="28" t="n"/>
      <c r="G2370" s="29" t="n"/>
      <c r="H2370" s="29" t="n"/>
      <c r="I2370" s="29" t="n"/>
      <c r="J2370" s="29" t="n"/>
      <c r="K2370" s="30">
        <f>IF(B2370="","",SUM(G$2:I2370)-SUM(J$2:J2370))</f>
        <v/>
      </c>
      <c r="L2370" s="22">
        <f>IF(B2370="","",IF(B2370=B2369,L2369,N(L2369)+1))</f>
        <v/>
      </c>
    </row>
    <row r="2371">
      <c r="A2371" s="22" t="n"/>
      <c r="B2371" s="27" t="n"/>
      <c r="C2371" s="17" t="n"/>
      <c r="D2371" s="17" t="n"/>
      <c r="E2371" s="17" t="n"/>
      <c r="F2371" s="28" t="n"/>
      <c r="G2371" s="29" t="n"/>
      <c r="H2371" s="29" t="n"/>
      <c r="I2371" s="29" t="n"/>
      <c r="J2371" s="29" t="n"/>
      <c r="K2371" s="30">
        <f>IF(B2371="","",SUM(G$2:I2371)-SUM(J$2:J2371))</f>
        <v/>
      </c>
      <c r="L2371" s="22">
        <f>IF(B2371="","",IF(B2371=B2370,L2370,N(L2370)+1))</f>
        <v/>
      </c>
    </row>
    <row r="2372">
      <c r="A2372" s="22" t="n"/>
      <c r="B2372" s="27" t="n"/>
      <c r="C2372" s="17" t="n"/>
      <c r="D2372" s="17" t="n"/>
      <c r="E2372" s="17" t="n"/>
      <c r="F2372" s="28" t="n"/>
      <c r="G2372" s="29" t="n"/>
      <c r="H2372" s="29" t="n"/>
      <c r="I2372" s="29" t="n"/>
      <c r="J2372" s="29" t="n"/>
      <c r="K2372" s="30">
        <f>IF(B2372="","",SUM(G$2:I2372)-SUM(J$2:J2372))</f>
        <v/>
      </c>
      <c r="L2372" s="22">
        <f>IF(B2372="","",IF(B2372=B2371,L2371,N(L2371)+1))</f>
        <v/>
      </c>
    </row>
    <row r="2373">
      <c r="A2373" s="22" t="n"/>
      <c r="B2373" s="27" t="n"/>
      <c r="C2373" s="17" t="n"/>
      <c r="D2373" s="17" t="n"/>
      <c r="E2373" s="17" t="n"/>
      <c r="F2373" s="28" t="n"/>
      <c r="G2373" s="29" t="n"/>
      <c r="H2373" s="29" t="n"/>
      <c r="I2373" s="29" t="n"/>
      <c r="J2373" s="29" t="n"/>
      <c r="K2373" s="30">
        <f>IF(B2373="","",SUM(G$2:I2373)-SUM(J$2:J2373))</f>
        <v/>
      </c>
      <c r="L2373" s="22">
        <f>IF(B2373="","",IF(B2373=B2372,L2372,N(L2372)+1))</f>
        <v/>
      </c>
    </row>
    <row r="2374">
      <c r="A2374" s="22" t="n"/>
      <c r="B2374" s="27" t="n"/>
      <c r="C2374" s="17" t="n"/>
      <c r="D2374" s="17" t="n"/>
      <c r="E2374" s="17" t="n"/>
      <c r="F2374" s="28" t="n"/>
      <c r="G2374" s="29" t="n"/>
      <c r="H2374" s="29" t="n"/>
      <c r="I2374" s="29" t="n"/>
      <c r="J2374" s="29" t="n"/>
      <c r="K2374" s="30">
        <f>IF(B2374="","",SUM(G$2:I2374)-SUM(J$2:J2374))</f>
        <v/>
      </c>
      <c r="L2374" s="22">
        <f>IF(B2374="","",IF(B2374=B2373,L2373,N(L2373)+1))</f>
        <v/>
      </c>
    </row>
    <row r="2375">
      <c r="A2375" s="22" t="n"/>
      <c r="B2375" s="27" t="n"/>
      <c r="C2375" s="17" t="n"/>
      <c r="D2375" s="17" t="n"/>
      <c r="E2375" s="17" t="n"/>
      <c r="F2375" s="28" t="n"/>
      <c r="G2375" s="29" t="n"/>
      <c r="H2375" s="29" t="n"/>
      <c r="I2375" s="29" t="n"/>
      <c r="J2375" s="29" t="n"/>
      <c r="K2375" s="30">
        <f>IF(B2375="","",SUM(G$2:I2375)-SUM(J$2:J2375))</f>
        <v/>
      </c>
      <c r="L2375" s="22">
        <f>IF(B2375="","",IF(B2375=B2374,L2374,N(L2374)+1))</f>
        <v/>
      </c>
    </row>
    <row r="2376">
      <c r="A2376" s="22" t="n"/>
      <c r="B2376" s="27" t="n"/>
      <c r="C2376" s="17" t="n"/>
      <c r="D2376" s="17" t="n"/>
      <c r="E2376" s="17" t="n"/>
      <c r="F2376" s="28" t="n"/>
      <c r="G2376" s="29" t="n"/>
      <c r="H2376" s="29" t="n"/>
      <c r="I2376" s="29" t="n"/>
      <c r="J2376" s="29" t="n"/>
      <c r="K2376" s="30">
        <f>IF(B2376="","",SUM(G$2:I2376)-SUM(J$2:J2376))</f>
        <v/>
      </c>
      <c r="L2376" s="22">
        <f>IF(B2376="","",IF(B2376=B2375,L2375,N(L2375)+1))</f>
        <v/>
      </c>
    </row>
    <row r="2377">
      <c r="A2377" s="22" t="n"/>
      <c r="B2377" s="27" t="n"/>
      <c r="C2377" s="17" t="n"/>
      <c r="D2377" s="17" t="n"/>
      <c r="E2377" s="17" t="n"/>
      <c r="F2377" s="28" t="n"/>
      <c r="G2377" s="29" t="n"/>
      <c r="H2377" s="29" t="n"/>
      <c r="I2377" s="29" t="n"/>
      <c r="J2377" s="29" t="n"/>
      <c r="K2377" s="30">
        <f>IF(B2377="","",SUM(G$2:I2377)-SUM(J$2:J2377))</f>
        <v/>
      </c>
      <c r="L2377" s="22">
        <f>IF(B2377="","",IF(B2377=B2376,L2376,N(L2376)+1))</f>
        <v/>
      </c>
    </row>
    <row r="2378">
      <c r="A2378" s="22" t="n"/>
      <c r="B2378" s="27" t="n"/>
      <c r="C2378" s="17" t="n"/>
      <c r="D2378" s="17" t="n"/>
      <c r="E2378" s="17" t="n"/>
      <c r="F2378" s="28" t="n"/>
      <c r="G2378" s="29" t="n"/>
      <c r="H2378" s="29" t="n"/>
      <c r="I2378" s="29" t="n"/>
      <c r="J2378" s="29" t="n"/>
      <c r="K2378" s="30">
        <f>IF(B2378="","",SUM(G$2:I2378)-SUM(J$2:J2378))</f>
        <v/>
      </c>
      <c r="L2378" s="22">
        <f>IF(B2378="","",IF(B2378=B2377,L2377,N(L2377)+1))</f>
        <v/>
      </c>
    </row>
    <row r="2379">
      <c r="A2379" s="22" t="n"/>
      <c r="B2379" s="27" t="n"/>
      <c r="C2379" s="17" t="n"/>
      <c r="D2379" s="17" t="n"/>
      <c r="E2379" s="17" t="n"/>
      <c r="F2379" s="28" t="n"/>
      <c r="G2379" s="29" t="n"/>
      <c r="H2379" s="29" t="n"/>
      <c r="I2379" s="29" t="n"/>
      <c r="J2379" s="29" t="n"/>
      <c r="K2379" s="30">
        <f>IF(B2379="","",SUM(G$2:I2379)-SUM(J$2:J2379))</f>
        <v/>
      </c>
      <c r="L2379" s="22">
        <f>IF(B2379="","",IF(B2379=B2378,L2378,N(L2378)+1))</f>
        <v/>
      </c>
    </row>
    <row r="2380">
      <c r="A2380" s="22" t="n"/>
      <c r="B2380" s="27" t="n"/>
      <c r="C2380" s="17" t="n"/>
      <c r="D2380" s="17" t="n"/>
      <c r="E2380" s="17" t="n"/>
      <c r="F2380" s="28" t="n"/>
      <c r="G2380" s="29" t="n"/>
      <c r="H2380" s="29" t="n"/>
      <c r="I2380" s="29" t="n"/>
      <c r="J2380" s="29" t="n"/>
      <c r="K2380" s="30">
        <f>IF(B2380="","",SUM(G$2:I2380)-SUM(J$2:J2380))</f>
        <v/>
      </c>
      <c r="L2380" s="22">
        <f>IF(B2380="","",IF(B2380=B2379,L2379,N(L2379)+1))</f>
        <v/>
      </c>
    </row>
    <row r="2381">
      <c r="A2381" s="22" t="n"/>
      <c r="B2381" s="27" t="n"/>
      <c r="C2381" s="17" t="n"/>
      <c r="D2381" s="17" t="n"/>
      <c r="E2381" s="17" t="n"/>
      <c r="F2381" s="28" t="n"/>
      <c r="G2381" s="29" t="n"/>
      <c r="H2381" s="29" t="n"/>
      <c r="I2381" s="29" t="n"/>
      <c r="J2381" s="29" t="n"/>
      <c r="K2381" s="30">
        <f>IF(B2381="","",SUM(G$2:I2381)-SUM(J$2:J2381))</f>
        <v/>
      </c>
      <c r="L2381" s="22">
        <f>IF(B2381="","",IF(B2381=B2380,L2380,N(L2380)+1))</f>
        <v/>
      </c>
    </row>
    <row r="2382">
      <c r="A2382" s="22" t="n"/>
      <c r="B2382" s="27" t="n"/>
      <c r="C2382" s="17" t="n"/>
      <c r="D2382" s="17" t="n"/>
      <c r="E2382" s="17" t="n"/>
      <c r="F2382" s="28" t="n"/>
      <c r="G2382" s="29" t="n"/>
      <c r="H2382" s="29" t="n"/>
      <c r="I2382" s="29" t="n"/>
      <c r="J2382" s="29" t="n"/>
      <c r="K2382" s="30">
        <f>IF(B2382="","",SUM(G$2:I2382)-SUM(J$2:J2382))</f>
        <v/>
      </c>
      <c r="L2382" s="22">
        <f>IF(B2382="","",IF(B2382=B2381,L2381,N(L2381)+1))</f>
        <v/>
      </c>
    </row>
    <row r="2383">
      <c r="A2383" s="22" t="n"/>
      <c r="B2383" s="27" t="n"/>
      <c r="C2383" s="17" t="n"/>
      <c r="D2383" s="17" t="n"/>
      <c r="E2383" s="17" t="n"/>
      <c r="F2383" s="28" t="n"/>
      <c r="G2383" s="29" t="n"/>
      <c r="H2383" s="29" t="n"/>
      <c r="I2383" s="29" t="n"/>
      <c r="J2383" s="29" t="n"/>
      <c r="K2383" s="30">
        <f>IF(B2383="","",SUM(G$2:I2383)-SUM(J$2:J2383))</f>
        <v/>
      </c>
      <c r="L2383" s="22">
        <f>IF(B2383="","",IF(B2383=B2382,L2382,N(L2382)+1))</f>
        <v/>
      </c>
    </row>
    <row r="2384">
      <c r="A2384" s="22" t="n"/>
      <c r="B2384" s="27" t="n"/>
      <c r="C2384" s="17" t="n"/>
      <c r="D2384" s="17" t="n"/>
      <c r="E2384" s="17" t="n"/>
      <c r="F2384" s="28" t="n"/>
      <c r="G2384" s="29" t="n"/>
      <c r="H2384" s="29" t="n"/>
      <c r="I2384" s="29" t="n"/>
      <c r="J2384" s="29" t="n"/>
      <c r="K2384" s="30">
        <f>IF(B2384="","",SUM(G$2:I2384)-SUM(J$2:J2384))</f>
        <v/>
      </c>
      <c r="L2384" s="22">
        <f>IF(B2384="","",IF(B2384=B2383,L2383,N(L2383)+1))</f>
        <v/>
      </c>
    </row>
    <row r="2385">
      <c r="A2385" s="22" t="n"/>
      <c r="B2385" s="27" t="n"/>
      <c r="C2385" s="17" t="n"/>
      <c r="D2385" s="17" t="n"/>
      <c r="E2385" s="17" t="n"/>
      <c r="F2385" s="28" t="n"/>
      <c r="G2385" s="29" t="n"/>
      <c r="H2385" s="29" t="n"/>
      <c r="I2385" s="29" t="n"/>
      <c r="J2385" s="29" t="n"/>
      <c r="K2385" s="30">
        <f>IF(B2385="","",SUM(G$2:I2385)-SUM(J$2:J2385))</f>
        <v/>
      </c>
      <c r="L2385" s="22">
        <f>IF(B2385="","",IF(B2385=B2384,L2384,N(L2384)+1))</f>
        <v/>
      </c>
    </row>
    <row r="2386">
      <c r="A2386" s="22" t="n"/>
      <c r="B2386" s="27" t="n"/>
      <c r="C2386" s="17" t="n"/>
      <c r="D2386" s="17" t="n"/>
      <c r="E2386" s="17" t="n"/>
      <c r="F2386" s="28" t="n"/>
      <c r="G2386" s="29" t="n"/>
      <c r="H2386" s="29" t="n"/>
      <c r="I2386" s="29" t="n"/>
      <c r="J2386" s="29" t="n"/>
      <c r="K2386" s="30">
        <f>IF(B2386="","",SUM(G$2:I2386)-SUM(J$2:J2386))</f>
        <v/>
      </c>
      <c r="L2386" s="22">
        <f>IF(B2386="","",IF(B2386=B2385,L2385,N(L2385)+1))</f>
        <v/>
      </c>
    </row>
    <row r="2387">
      <c r="A2387" s="22" t="n"/>
      <c r="B2387" s="27" t="n"/>
      <c r="C2387" s="17" t="n"/>
      <c r="D2387" s="17" t="n"/>
      <c r="E2387" s="17" t="n"/>
      <c r="F2387" s="28" t="n"/>
      <c r="G2387" s="29" t="n"/>
      <c r="H2387" s="29" t="n"/>
      <c r="I2387" s="29" t="n"/>
      <c r="J2387" s="29" t="n"/>
      <c r="K2387" s="30">
        <f>IF(B2387="","",SUM(G$2:I2387)-SUM(J$2:J2387))</f>
        <v/>
      </c>
      <c r="L2387" s="22">
        <f>IF(B2387="","",IF(B2387=B2386,L2386,N(L2386)+1))</f>
        <v/>
      </c>
    </row>
    <row r="2388">
      <c r="A2388" s="22" t="n"/>
      <c r="B2388" s="27" t="n"/>
      <c r="C2388" s="17" t="n"/>
      <c r="D2388" s="17" t="n"/>
      <c r="E2388" s="17" t="n"/>
      <c r="F2388" s="28" t="n"/>
      <c r="G2388" s="29" t="n"/>
      <c r="H2388" s="29" t="n"/>
      <c r="I2388" s="29" t="n"/>
      <c r="J2388" s="29" t="n"/>
      <c r="K2388" s="30">
        <f>IF(B2388="","",SUM(G$2:I2388)-SUM(J$2:J2388))</f>
        <v/>
      </c>
      <c r="L2388" s="22">
        <f>IF(B2388="","",IF(B2388=B2387,L2387,N(L2387)+1))</f>
        <v/>
      </c>
    </row>
    <row r="2389">
      <c r="A2389" s="22" t="n"/>
      <c r="B2389" s="27" t="n"/>
      <c r="C2389" s="17" t="n"/>
      <c r="D2389" s="17" t="n"/>
      <c r="E2389" s="17" t="n"/>
      <c r="F2389" s="28" t="n"/>
      <c r="G2389" s="29" t="n"/>
      <c r="H2389" s="29" t="n"/>
      <c r="I2389" s="29" t="n"/>
      <c r="J2389" s="29" t="n"/>
      <c r="K2389" s="30">
        <f>IF(B2389="","",SUM(G$2:I2389)-SUM(J$2:J2389))</f>
        <v/>
      </c>
      <c r="L2389" s="22">
        <f>IF(B2389="","",IF(B2389=B2388,L2388,N(L2388)+1))</f>
        <v/>
      </c>
    </row>
    <row r="2390">
      <c r="A2390" s="22" t="n"/>
      <c r="B2390" s="27" t="n"/>
      <c r="C2390" s="17" t="n"/>
      <c r="D2390" s="17" t="n"/>
      <c r="E2390" s="17" t="n"/>
      <c r="F2390" s="28" t="n"/>
      <c r="G2390" s="29" t="n"/>
      <c r="H2390" s="29" t="n"/>
      <c r="I2390" s="29" t="n"/>
      <c r="J2390" s="29" t="n"/>
      <c r="K2390" s="30">
        <f>IF(B2390="","",SUM(G$2:I2390)-SUM(J$2:J2390))</f>
        <v/>
      </c>
      <c r="L2390" s="22">
        <f>IF(B2390="","",IF(B2390=B2389,L2389,N(L2389)+1))</f>
        <v/>
      </c>
    </row>
    <row r="2391">
      <c r="A2391" s="22" t="n"/>
      <c r="B2391" s="27" t="n"/>
      <c r="C2391" s="17" t="n"/>
      <c r="D2391" s="17" t="n"/>
      <c r="E2391" s="17" t="n"/>
      <c r="F2391" s="28" t="n"/>
      <c r="G2391" s="29" t="n"/>
      <c r="H2391" s="29" t="n"/>
      <c r="I2391" s="29" t="n"/>
      <c r="J2391" s="29" t="n"/>
      <c r="K2391" s="30">
        <f>IF(B2391="","",SUM(G$2:I2391)-SUM(J$2:J2391))</f>
        <v/>
      </c>
      <c r="L2391" s="22">
        <f>IF(B2391="","",IF(B2391=B2390,L2390,N(L2390)+1))</f>
        <v/>
      </c>
    </row>
    <row r="2392">
      <c r="A2392" s="22" t="n"/>
      <c r="B2392" s="27" t="n"/>
      <c r="C2392" s="17" t="n"/>
      <c r="D2392" s="17" t="n"/>
      <c r="E2392" s="17" t="n"/>
      <c r="F2392" s="28" t="n"/>
      <c r="G2392" s="29" t="n"/>
      <c r="H2392" s="29" t="n"/>
      <c r="I2392" s="29" t="n"/>
      <c r="J2392" s="29" t="n"/>
      <c r="K2392" s="30">
        <f>IF(B2392="","",SUM(G$2:I2392)-SUM(J$2:J2392))</f>
        <v/>
      </c>
      <c r="L2392" s="22">
        <f>IF(B2392="","",IF(B2392=B2391,L2391,N(L2391)+1))</f>
        <v/>
      </c>
    </row>
    <row r="2393">
      <c r="A2393" s="22" t="n"/>
      <c r="B2393" s="27" t="n"/>
      <c r="C2393" s="17" t="n"/>
      <c r="D2393" s="17" t="n"/>
      <c r="E2393" s="17" t="n"/>
      <c r="F2393" s="28" t="n"/>
      <c r="G2393" s="29" t="n"/>
      <c r="H2393" s="29" t="n"/>
      <c r="I2393" s="29" t="n"/>
      <c r="J2393" s="29" t="n"/>
      <c r="K2393" s="30">
        <f>IF(B2393="","",SUM(G$2:I2393)-SUM(J$2:J2393))</f>
        <v/>
      </c>
      <c r="L2393" s="22">
        <f>IF(B2393="","",IF(B2393=B2392,L2392,N(L2392)+1))</f>
        <v/>
      </c>
    </row>
    <row r="2394">
      <c r="A2394" s="22" t="n"/>
      <c r="B2394" s="27" t="n"/>
      <c r="C2394" s="17" t="n"/>
      <c r="D2394" s="17" t="n"/>
      <c r="E2394" s="17" t="n"/>
      <c r="F2394" s="28" t="n"/>
      <c r="G2394" s="29" t="n"/>
      <c r="H2394" s="29" t="n"/>
      <c r="I2394" s="29" t="n"/>
      <c r="J2394" s="29" t="n"/>
      <c r="K2394" s="30">
        <f>IF(B2394="","",SUM(G$2:I2394)-SUM(J$2:J2394))</f>
        <v/>
      </c>
      <c r="L2394" s="22">
        <f>IF(B2394="","",IF(B2394=B2393,L2393,N(L2393)+1))</f>
        <v/>
      </c>
    </row>
    <row r="2395">
      <c r="A2395" s="22" t="n"/>
      <c r="B2395" s="27" t="n"/>
      <c r="C2395" s="17" t="n"/>
      <c r="D2395" s="17" t="n"/>
      <c r="E2395" s="17" t="n"/>
      <c r="F2395" s="28" t="n"/>
      <c r="G2395" s="29" t="n"/>
      <c r="H2395" s="29" t="n"/>
      <c r="I2395" s="29" t="n"/>
      <c r="J2395" s="29" t="n"/>
      <c r="K2395" s="30">
        <f>IF(B2395="","",SUM(G$2:I2395)-SUM(J$2:J2395))</f>
        <v/>
      </c>
      <c r="L2395" s="22">
        <f>IF(B2395="","",IF(B2395=B2394,L2394,N(L2394)+1))</f>
        <v/>
      </c>
    </row>
    <row r="2396">
      <c r="A2396" s="22" t="n"/>
      <c r="B2396" s="27" t="n"/>
      <c r="C2396" s="17" t="n"/>
      <c r="D2396" s="17" t="n"/>
      <c r="E2396" s="17" t="n"/>
      <c r="F2396" s="28" t="n"/>
      <c r="G2396" s="29" t="n"/>
      <c r="H2396" s="29" t="n"/>
      <c r="I2396" s="29" t="n"/>
      <c r="J2396" s="29" t="n"/>
      <c r="K2396" s="30">
        <f>IF(B2396="","",SUM(G$2:I2396)-SUM(J$2:J2396))</f>
        <v/>
      </c>
      <c r="L2396" s="22">
        <f>IF(B2396="","",IF(B2396=B2395,L2395,N(L2395)+1))</f>
        <v/>
      </c>
    </row>
    <row r="2397">
      <c r="A2397" s="22" t="n"/>
      <c r="B2397" s="27" t="n"/>
      <c r="C2397" s="17" t="n"/>
      <c r="D2397" s="17" t="n"/>
      <c r="E2397" s="17" t="n"/>
      <c r="F2397" s="28" t="n"/>
      <c r="G2397" s="29" t="n"/>
      <c r="H2397" s="29" t="n"/>
      <c r="I2397" s="29" t="n"/>
      <c r="J2397" s="29" t="n"/>
      <c r="K2397" s="30">
        <f>IF(B2397="","",SUM(G$2:I2397)-SUM(J$2:J2397))</f>
        <v/>
      </c>
      <c r="L2397" s="22">
        <f>IF(B2397="","",IF(B2397=B2396,L2396,N(L2396)+1))</f>
        <v/>
      </c>
    </row>
    <row r="2398">
      <c r="A2398" s="22" t="n"/>
      <c r="B2398" s="27" t="n"/>
      <c r="C2398" s="17" t="n"/>
      <c r="D2398" s="17" t="n"/>
      <c r="E2398" s="17" t="n"/>
      <c r="F2398" s="28" t="n"/>
      <c r="G2398" s="29" t="n"/>
      <c r="H2398" s="29" t="n"/>
      <c r="I2398" s="29" t="n"/>
      <c r="J2398" s="29" t="n"/>
      <c r="K2398" s="30">
        <f>IF(B2398="","",SUM(G$2:I2398)-SUM(J$2:J2398))</f>
        <v/>
      </c>
      <c r="L2398" s="22">
        <f>IF(B2398="","",IF(B2398=B2397,L2397,N(L2397)+1))</f>
        <v/>
      </c>
    </row>
    <row r="2399">
      <c r="A2399" s="22" t="n"/>
      <c r="B2399" s="27" t="n"/>
      <c r="C2399" s="17" t="n"/>
      <c r="D2399" s="17" t="n"/>
      <c r="E2399" s="17" t="n"/>
      <c r="F2399" s="28" t="n"/>
      <c r="G2399" s="29" t="n"/>
      <c r="H2399" s="29" t="n"/>
      <c r="I2399" s="29" t="n"/>
      <c r="J2399" s="29" t="n"/>
      <c r="K2399" s="30">
        <f>IF(B2399="","",SUM(G$2:I2399)-SUM(J$2:J2399))</f>
        <v/>
      </c>
      <c r="L2399" s="22">
        <f>IF(B2399="","",IF(B2399=B2398,L2398,N(L2398)+1))</f>
        <v/>
      </c>
    </row>
    <row r="2400">
      <c r="A2400" s="22" t="n"/>
      <c r="B2400" s="27" t="n"/>
      <c r="C2400" s="17" t="n"/>
      <c r="D2400" s="17" t="n"/>
      <c r="E2400" s="17" t="n"/>
      <c r="F2400" s="28" t="n"/>
      <c r="G2400" s="29" t="n"/>
      <c r="H2400" s="29" t="n"/>
      <c r="I2400" s="29" t="n"/>
      <c r="J2400" s="29" t="n"/>
      <c r="K2400" s="30">
        <f>IF(B2400="","",SUM(G$2:I2400)-SUM(J$2:J2400))</f>
        <v/>
      </c>
      <c r="L2400" s="22">
        <f>IF(B2400="","",IF(B2400=B2399,L2399,N(L2399)+1))</f>
        <v/>
      </c>
    </row>
    <row r="2401">
      <c r="A2401" s="22" t="n"/>
      <c r="B2401" s="27" t="n"/>
      <c r="C2401" s="17" t="n"/>
      <c r="D2401" s="17" t="n"/>
      <c r="E2401" s="17" t="n"/>
      <c r="F2401" s="28" t="n"/>
      <c r="G2401" s="29" t="n"/>
      <c r="H2401" s="29" t="n"/>
      <c r="I2401" s="29" t="n"/>
      <c r="J2401" s="29" t="n"/>
      <c r="K2401" s="30">
        <f>IF(B2401="","",SUM(G$2:I2401)-SUM(J$2:J2401))</f>
        <v/>
      </c>
      <c r="L2401" s="22">
        <f>IF(B2401="","",IF(B2401=B2400,L2400,N(L2400)+1))</f>
        <v/>
      </c>
    </row>
    <row r="2402">
      <c r="A2402" s="22" t="n"/>
      <c r="B2402" s="27" t="n"/>
      <c r="C2402" s="17" t="n"/>
      <c r="D2402" s="17" t="n"/>
      <c r="E2402" s="17" t="n"/>
      <c r="F2402" s="28" t="n"/>
      <c r="G2402" s="29" t="n"/>
      <c r="H2402" s="29" t="n"/>
      <c r="I2402" s="29" t="n"/>
      <c r="J2402" s="29" t="n"/>
      <c r="K2402" s="30">
        <f>IF(B2402="","",SUM(G$2:I2402)-SUM(J$2:J2402))</f>
        <v/>
      </c>
      <c r="L2402" s="22">
        <f>IF(B2402="","",IF(B2402=B2401,L2401,N(L2401)+1))</f>
        <v/>
      </c>
    </row>
    <row r="2403">
      <c r="A2403" s="22" t="n"/>
      <c r="B2403" s="27" t="n"/>
      <c r="C2403" s="17" t="n"/>
      <c r="D2403" s="17" t="n"/>
      <c r="E2403" s="17" t="n"/>
      <c r="F2403" s="28" t="n"/>
      <c r="G2403" s="29" t="n"/>
      <c r="H2403" s="29" t="n"/>
      <c r="I2403" s="29" t="n"/>
      <c r="J2403" s="29" t="n"/>
      <c r="K2403" s="30">
        <f>IF(B2403="","",SUM(G$2:I2403)-SUM(J$2:J2403))</f>
        <v/>
      </c>
      <c r="L2403" s="22">
        <f>IF(B2403="","",IF(B2403=B2402,L2402,N(L2402)+1))</f>
        <v/>
      </c>
    </row>
    <row r="2404">
      <c r="A2404" s="22" t="n"/>
      <c r="B2404" s="27" t="n"/>
      <c r="C2404" s="17" t="n"/>
      <c r="D2404" s="17" t="n"/>
      <c r="E2404" s="17" t="n"/>
      <c r="F2404" s="28" t="n"/>
      <c r="G2404" s="29" t="n"/>
      <c r="H2404" s="29" t="n"/>
      <c r="I2404" s="29" t="n"/>
      <c r="J2404" s="29" t="n"/>
      <c r="K2404" s="30">
        <f>IF(B2404="","",SUM(G$2:I2404)-SUM(J$2:J2404))</f>
        <v/>
      </c>
      <c r="L2404" s="22">
        <f>IF(B2404="","",IF(B2404=B2403,L2403,N(L2403)+1))</f>
        <v/>
      </c>
    </row>
    <row r="2405">
      <c r="A2405" s="22" t="n"/>
      <c r="B2405" s="27" t="n"/>
      <c r="C2405" s="17" t="n"/>
      <c r="D2405" s="17" t="n"/>
      <c r="E2405" s="17" t="n"/>
      <c r="F2405" s="28" t="n"/>
      <c r="G2405" s="29" t="n"/>
      <c r="H2405" s="29" t="n"/>
      <c r="I2405" s="29" t="n"/>
      <c r="J2405" s="29" t="n"/>
      <c r="K2405" s="30">
        <f>IF(B2405="","",SUM(G$2:I2405)-SUM(J$2:J2405))</f>
        <v/>
      </c>
      <c r="L2405" s="22">
        <f>IF(B2405="","",IF(B2405=B2404,L2404,N(L2404)+1))</f>
        <v/>
      </c>
    </row>
    <row r="2406">
      <c r="A2406" s="22" t="n"/>
      <c r="B2406" s="27" t="n"/>
      <c r="C2406" s="17" t="n"/>
      <c r="D2406" s="17" t="n"/>
      <c r="E2406" s="17" t="n"/>
      <c r="F2406" s="28" t="n"/>
      <c r="G2406" s="29" t="n"/>
      <c r="H2406" s="29" t="n"/>
      <c r="I2406" s="29" t="n"/>
      <c r="J2406" s="29" t="n"/>
      <c r="K2406" s="30">
        <f>IF(B2406="","",SUM(G$2:I2406)-SUM(J$2:J2406))</f>
        <v/>
      </c>
      <c r="L2406" s="22">
        <f>IF(B2406="","",IF(B2406=B2405,L2405,N(L2405)+1))</f>
        <v/>
      </c>
    </row>
    <row r="2407">
      <c r="A2407" s="22" t="n"/>
      <c r="B2407" s="27" t="n"/>
      <c r="C2407" s="17" t="n"/>
      <c r="D2407" s="17" t="n"/>
      <c r="E2407" s="17" t="n"/>
      <c r="F2407" s="28" t="n"/>
      <c r="G2407" s="29" t="n"/>
      <c r="H2407" s="29" t="n"/>
      <c r="I2407" s="29" t="n"/>
      <c r="J2407" s="29" t="n"/>
      <c r="K2407" s="30">
        <f>IF(B2407="","",SUM(G$2:I2407)-SUM(J$2:J2407))</f>
        <v/>
      </c>
      <c r="L2407" s="22">
        <f>IF(B2407="","",IF(B2407=B2406,L2406,N(L2406)+1))</f>
        <v/>
      </c>
    </row>
    <row r="2408">
      <c r="A2408" s="22" t="n"/>
      <c r="B2408" s="27" t="n"/>
      <c r="C2408" s="17" t="n"/>
      <c r="D2408" s="17" t="n"/>
      <c r="E2408" s="17" t="n"/>
      <c r="F2408" s="28" t="n"/>
      <c r="G2408" s="29" t="n"/>
      <c r="H2408" s="29" t="n"/>
      <c r="I2408" s="29" t="n"/>
      <c r="J2408" s="29" t="n"/>
      <c r="K2408" s="30">
        <f>IF(B2408="","",SUM(G$2:I2408)-SUM(J$2:J2408))</f>
        <v/>
      </c>
      <c r="L2408" s="22">
        <f>IF(B2408="","",IF(B2408=B2407,L2407,N(L2407)+1))</f>
        <v/>
      </c>
    </row>
    <row r="2409">
      <c r="A2409" s="22" t="n"/>
      <c r="B2409" s="27" t="n"/>
      <c r="C2409" s="17" t="n"/>
      <c r="D2409" s="17" t="n"/>
      <c r="E2409" s="17" t="n"/>
      <c r="F2409" s="28" t="n"/>
      <c r="G2409" s="29" t="n"/>
      <c r="H2409" s="29" t="n"/>
      <c r="I2409" s="29" t="n"/>
      <c r="J2409" s="29" t="n"/>
      <c r="K2409" s="30">
        <f>IF(B2409="","",SUM(G$2:I2409)-SUM(J$2:J2409))</f>
        <v/>
      </c>
      <c r="L2409" s="22">
        <f>IF(B2409="","",IF(B2409=B2408,L2408,N(L2408)+1))</f>
        <v/>
      </c>
    </row>
    <row r="2410">
      <c r="A2410" s="22" t="n"/>
      <c r="B2410" s="27" t="n"/>
      <c r="C2410" s="17" t="n"/>
      <c r="D2410" s="17" t="n"/>
      <c r="E2410" s="17" t="n"/>
      <c r="F2410" s="28" t="n"/>
      <c r="G2410" s="29" t="n"/>
      <c r="H2410" s="29" t="n"/>
      <c r="I2410" s="29" t="n"/>
      <c r="J2410" s="29" t="n"/>
      <c r="K2410" s="30">
        <f>IF(B2410="","",SUM(G$2:I2410)-SUM(J$2:J2410))</f>
        <v/>
      </c>
      <c r="L2410" s="22">
        <f>IF(B2410="","",IF(B2410=B2409,L2409,N(L2409)+1))</f>
        <v/>
      </c>
    </row>
    <row r="2411">
      <c r="A2411" s="22" t="n"/>
      <c r="B2411" s="27" t="n"/>
      <c r="C2411" s="17" t="n"/>
      <c r="D2411" s="17" t="n"/>
      <c r="E2411" s="17" t="n"/>
      <c r="F2411" s="28" t="n"/>
      <c r="G2411" s="29" t="n"/>
      <c r="H2411" s="29" t="n"/>
      <c r="I2411" s="29" t="n"/>
      <c r="J2411" s="29" t="n"/>
      <c r="K2411" s="30">
        <f>IF(B2411="","",SUM(G$2:I2411)-SUM(J$2:J2411))</f>
        <v/>
      </c>
      <c r="L2411" s="22">
        <f>IF(B2411="","",IF(B2411=B2410,L2410,N(L2410)+1))</f>
        <v/>
      </c>
    </row>
    <row r="2412">
      <c r="A2412" s="22" t="n"/>
      <c r="B2412" s="27" t="n"/>
      <c r="C2412" s="17" t="n"/>
      <c r="D2412" s="17" t="n"/>
      <c r="E2412" s="17" t="n"/>
      <c r="F2412" s="28" t="n"/>
      <c r="G2412" s="29" t="n"/>
      <c r="H2412" s="29" t="n"/>
      <c r="I2412" s="29" t="n"/>
      <c r="J2412" s="29" t="n"/>
      <c r="K2412" s="30">
        <f>IF(B2412="","",SUM(G$2:I2412)-SUM(J$2:J2412))</f>
        <v/>
      </c>
      <c r="L2412" s="22">
        <f>IF(B2412="","",IF(B2412=B2411,L2411,N(L2411)+1))</f>
        <v/>
      </c>
    </row>
    <row r="2413">
      <c r="A2413" s="22" t="n"/>
      <c r="B2413" s="27" t="n"/>
      <c r="C2413" s="17" t="n"/>
      <c r="D2413" s="17" t="n"/>
      <c r="E2413" s="17" t="n"/>
      <c r="F2413" s="28" t="n"/>
      <c r="G2413" s="29" t="n"/>
      <c r="H2413" s="29" t="n"/>
      <c r="I2413" s="29" t="n"/>
      <c r="J2413" s="29" t="n"/>
      <c r="K2413" s="30">
        <f>IF(B2413="","",SUM(G$2:I2413)-SUM(J$2:J2413))</f>
        <v/>
      </c>
      <c r="L2413" s="22">
        <f>IF(B2413="","",IF(B2413=B2412,L2412,N(L2412)+1))</f>
        <v/>
      </c>
    </row>
    <row r="2414">
      <c r="A2414" s="22" t="n"/>
      <c r="B2414" s="27" t="n"/>
      <c r="C2414" s="17" t="n"/>
      <c r="D2414" s="17" t="n"/>
      <c r="E2414" s="17" t="n"/>
      <c r="F2414" s="28" t="n"/>
      <c r="G2414" s="29" t="n"/>
      <c r="H2414" s="29" t="n"/>
      <c r="I2414" s="29" t="n"/>
      <c r="J2414" s="29" t="n"/>
      <c r="K2414" s="30">
        <f>IF(B2414="","",SUM(G$2:I2414)-SUM(J$2:J2414))</f>
        <v/>
      </c>
      <c r="L2414" s="22">
        <f>IF(B2414="","",IF(B2414=B2413,L2413,N(L2413)+1))</f>
        <v/>
      </c>
    </row>
    <row r="2415">
      <c r="A2415" s="22" t="n"/>
      <c r="B2415" s="27" t="n"/>
      <c r="C2415" s="17" t="n"/>
      <c r="D2415" s="17" t="n"/>
      <c r="E2415" s="17" t="n"/>
      <c r="F2415" s="28" t="n"/>
      <c r="G2415" s="29" t="n"/>
      <c r="H2415" s="29" t="n"/>
      <c r="I2415" s="29" t="n"/>
      <c r="J2415" s="29" t="n"/>
      <c r="K2415" s="30">
        <f>IF(B2415="","",SUM(G$2:I2415)-SUM(J$2:J2415))</f>
        <v/>
      </c>
      <c r="L2415" s="22">
        <f>IF(B2415="","",IF(B2415=B2414,L2414,N(L2414)+1))</f>
        <v/>
      </c>
    </row>
    <row r="2416">
      <c r="A2416" s="22" t="n"/>
      <c r="B2416" s="27" t="n"/>
      <c r="C2416" s="17" t="n"/>
      <c r="D2416" s="17" t="n"/>
      <c r="E2416" s="17" t="n"/>
      <c r="F2416" s="28" t="n"/>
      <c r="G2416" s="29" t="n"/>
      <c r="H2416" s="29" t="n"/>
      <c r="I2416" s="29" t="n"/>
      <c r="J2416" s="29" t="n"/>
      <c r="K2416" s="30">
        <f>IF(B2416="","",SUM(G$2:I2416)-SUM(J$2:J2416))</f>
        <v/>
      </c>
      <c r="L2416" s="22">
        <f>IF(B2416="","",IF(B2416=B2415,L2415,N(L2415)+1))</f>
        <v/>
      </c>
    </row>
    <row r="2417">
      <c r="A2417" s="22" t="n"/>
      <c r="B2417" s="27" t="n"/>
      <c r="C2417" s="17" t="n"/>
      <c r="D2417" s="17" t="n"/>
      <c r="E2417" s="17" t="n"/>
      <c r="F2417" s="28" t="n"/>
      <c r="G2417" s="29" t="n"/>
      <c r="H2417" s="29" t="n"/>
      <c r="I2417" s="29" t="n"/>
      <c r="J2417" s="29" t="n"/>
      <c r="K2417" s="30">
        <f>IF(B2417="","",SUM(G$2:I2417)-SUM(J$2:J2417))</f>
        <v/>
      </c>
      <c r="L2417" s="22">
        <f>IF(B2417="","",IF(B2417=B2416,L2416,N(L2416)+1))</f>
        <v/>
      </c>
    </row>
    <row r="2418">
      <c r="A2418" s="22" t="n"/>
      <c r="B2418" s="27" t="n"/>
      <c r="C2418" s="17" t="n"/>
      <c r="D2418" s="17" t="n"/>
      <c r="E2418" s="17" t="n"/>
      <c r="F2418" s="28" t="n"/>
      <c r="G2418" s="29" t="n"/>
      <c r="H2418" s="29" t="n"/>
      <c r="I2418" s="29" t="n"/>
      <c r="J2418" s="29" t="n"/>
      <c r="K2418" s="30">
        <f>IF(B2418="","",SUM(G$2:I2418)-SUM(J$2:J2418))</f>
        <v/>
      </c>
      <c r="L2418" s="22">
        <f>IF(B2418="","",IF(B2418=B2417,L2417,N(L2417)+1))</f>
        <v/>
      </c>
    </row>
    <row r="2419">
      <c r="A2419" s="22" t="n"/>
      <c r="B2419" s="27" t="n"/>
      <c r="C2419" s="17" t="n"/>
      <c r="D2419" s="17" t="n"/>
      <c r="E2419" s="17" t="n"/>
      <c r="F2419" s="28" t="n"/>
      <c r="G2419" s="29" t="n"/>
      <c r="H2419" s="29" t="n"/>
      <c r="I2419" s="29" t="n"/>
      <c r="J2419" s="29" t="n"/>
      <c r="K2419" s="30">
        <f>IF(B2419="","",SUM(G$2:I2419)-SUM(J$2:J2419))</f>
        <v/>
      </c>
      <c r="L2419" s="22">
        <f>IF(B2419="","",IF(B2419=B2418,L2418,N(L2418)+1))</f>
        <v/>
      </c>
    </row>
    <row r="2420">
      <c r="A2420" s="22" t="n"/>
      <c r="B2420" s="27" t="n"/>
      <c r="C2420" s="17" t="n"/>
      <c r="D2420" s="17" t="n"/>
      <c r="E2420" s="17" t="n"/>
      <c r="F2420" s="28" t="n"/>
      <c r="G2420" s="29" t="n"/>
      <c r="H2420" s="29" t="n"/>
      <c r="I2420" s="29" t="n"/>
      <c r="J2420" s="29" t="n"/>
      <c r="K2420" s="30">
        <f>IF(B2420="","",SUM(G$2:I2420)-SUM(J$2:J2420))</f>
        <v/>
      </c>
      <c r="L2420" s="22">
        <f>IF(B2420="","",IF(B2420=B2419,L2419,N(L2419)+1))</f>
        <v/>
      </c>
    </row>
    <row r="2421">
      <c r="A2421" s="22" t="n"/>
      <c r="B2421" s="27" t="n"/>
      <c r="C2421" s="17" t="n"/>
      <c r="D2421" s="17" t="n"/>
      <c r="E2421" s="17" t="n"/>
      <c r="F2421" s="28" t="n"/>
      <c r="G2421" s="29" t="n"/>
      <c r="H2421" s="29" t="n"/>
      <c r="I2421" s="29" t="n"/>
      <c r="J2421" s="29" t="n"/>
      <c r="K2421" s="30">
        <f>IF(B2421="","",SUM(G$2:I2421)-SUM(J$2:J2421))</f>
        <v/>
      </c>
      <c r="L2421" s="22">
        <f>IF(B2421="","",IF(B2421=B2420,L2420,N(L2420)+1))</f>
        <v/>
      </c>
    </row>
    <row r="2422">
      <c r="A2422" s="22" t="n"/>
      <c r="B2422" s="27" t="n"/>
      <c r="C2422" s="17" t="n"/>
      <c r="D2422" s="17" t="n"/>
      <c r="E2422" s="17" t="n"/>
      <c r="F2422" s="28" t="n"/>
      <c r="G2422" s="29" t="n"/>
      <c r="H2422" s="29" t="n"/>
      <c r="I2422" s="29" t="n"/>
      <c r="J2422" s="29" t="n"/>
      <c r="K2422" s="30">
        <f>IF(B2422="","",SUM(G$2:I2422)-SUM(J$2:J2422))</f>
        <v/>
      </c>
      <c r="L2422" s="22">
        <f>IF(B2422="","",IF(B2422=B2421,L2421,N(L2421)+1))</f>
        <v/>
      </c>
    </row>
    <row r="2423">
      <c r="A2423" s="22" t="n"/>
      <c r="B2423" s="27" t="n"/>
      <c r="C2423" s="17" t="n"/>
      <c r="D2423" s="17" t="n"/>
      <c r="E2423" s="17" t="n"/>
      <c r="F2423" s="28" t="n"/>
      <c r="G2423" s="29" t="n"/>
      <c r="H2423" s="29" t="n"/>
      <c r="I2423" s="29" t="n"/>
      <c r="J2423" s="29" t="n"/>
      <c r="K2423" s="30">
        <f>IF(B2423="","",SUM(G$2:I2423)-SUM(J$2:J2423))</f>
        <v/>
      </c>
      <c r="L2423" s="22">
        <f>IF(B2423="","",IF(B2423=B2422,L2422,N(L2422)+1))</f>
        <v/>
      </c>
    </row>
    <row r="2424">
      <c r="A2424" s="22" t="n"/>
      <c r="B2424" s="27" t="n"/>
      <c r="C2424" s="17" t="n"/>
      <c r="D2424" s="17" t="n"/>
      <c r="E2424" s="17" t="n"/>
      <c r="F2424" s="28" t="n"/>
      <c r="G2424" s="29" t="n"/>
      <c r="H2424" s="29" t="n"/>
      <c r="I2424" s="29" t="n"/>
      <c r="J2424" s="29" t="n"/>
      <c r="K2424" s="30">
        <f>IF(B2424="","",SUM(G$2:I2424)-SUM(J$2:J2424))</f>
        <v/>
      </c>
      <c r="L2424" s="22">
        <f>IF(B2424="","",IF(B2424=B2423,L2423,N(L2423)+1))</f>
        <v/>
      </c>
    </row>
    <row r="2425">
      <c r="A2425" s="22" t="n"/>
      <c r="B2425" s="27" t="n"/>
      <c r="C2425" s="17" t="n"/>
      <c r="D2425" s="17" t="n"/>
      <c r="E2425" s="17" t="n"/>
      <c r="F2425" s="28" t="n"/>
      <c r="G2425" s="29" t="n"/>
      <c r="H2425" s="29" t="n"/>
      <c r="I2425" s="29" t="n"/>
      <c r="J2425" s="29" t="n"/>
      <c r="K2425" s="30">
        <f>IF(B2425="","",SUM(G$2:I2425)-SUM(J$2:J2425))</f>
        <v/>
      </c>
      <c r="L2425" s="22">
        <f>IF(B2425="","",IF(B2425=B2424,L2424,N(L2424)+1))</f>
        <v/>
      </c>
    </row>
    <row r="2426">
      <c r="A2426" s="22" t="n"/>
      <c r="B2426" s="27" t="n"/>
      <c r="C2426" s="17" t="n"/>
      <c r="D2426" s="17" t="n"/>
      <c r="E2426" s="17" t="n"/>
      <c r="F2426" s="28" t="n"/>
      <c r="G2426" s="29" t="n"/>
      <c r="H2426" s="29" t="n"/>
      <c r="I2426" s="29" t="n"/>
      <c r="J2426" s="29" t="n"/>
      <c r="K2426" s="30">
        <f>IF(B2426="","",SUM(G$2:I2426)-SUM(J$2:J2426))</f>
        <v/>
      </c>
      <c r="L2426" s="22">
        <f>IF(B2426="","",IF(B2426=B2425,L2425,N(L2425)+1))</f>
        <v/>
      </c>
    </row>
    <row r="2427">
      <c r="A2427" s="22" t="n"/>
      <c r="B2427" s="27" t="n"/>
      <c r="C2427" s="17" t="n"/>
      <c r="D2427" s="17" t="n"/>
      <c r="E2427" s="17" t="n"/>
      <c r="F2427" s="28" t="n"/>
      <c r="G2427" s="29" t="n"/>
      <c r="H2427" s="29" t="n"/>
      <c r="I2427" s="29" t="n"/>
      <c r="J2427" s="29" t="n"/>
      <c r="K2427" s="30">
        <f>IF(B2427="","",SUM(G$2:I2427)-SUM(J$2:J2427))</f>
        <v/>
      </c>
      <c r="L2427" s="22">
        <f>IF(B2427="","",IF(B2427=B2426,L2426,N(L2426)+1))</f>
        <v/>
      </c>
    </row>
    <row r="2428">
      <c r="A2428" s="22" t="n"/>
      <c r="B2428" s="27" t="n"/>
      <c r="C2428" s="17" t="n"/>
      <c r="D2428" s="17" t="n"/>
      <c r="E2428" s="17" t="n"/>
      <c r="F2428" s="28" t="n"/>
      <c r="G2428" s="29" t="n"/>
      <c r="H2428" s="29" t="n"/>
      <c r="I2428" s="29" t="n"/>
      <c r="J2428" s="29" t="n"/>
      <c r="K2428" s="30">
        <f>IF(B2428="","",SUM(G$2:I2428)-SUM(J$2:J2428))</f>
        <v/>
      </c>
      <c r="L2428" s="22">
        <f>IF(B2428="","",IF(B2428=B2427,L2427,N(L2427)+1))</f>
        <v/>
      </c>
    </row>
    <row r="2429">
      <c r="A2429" s="22" t="n"/>
      <c r="B2429" s="27" t="n"/>
      <c r="C2429" s="17" t="n"/>
      <c r="D2429" s="17" t="n"/>
      <c r="E2429" s="17" t="n"/>
      <c r="F2429" s="28" t="n"/>
      <c r="G2429" s="29" t="n"/>
      <c r="H2429" s="29" t="n"/>
      <c r="I2429" s="29" t="n"/>
      <c r="J2429" s="29" t="n"/>
      <c r="K2429" s="30">
        <f>IF(B2429="","",SUM(G$2:I2429)-SUM(J$2:J2429))</f>
        <v/>
      </c>
      <c r="L2429" s="22">
        <f>IF(B2429="","",IF(B2429=B2428,L2428,N(L2428)+1))</f>
        <v/>
      </c>
    </row>
    <row r="2430">
      <c r="A2430" s="22" t="n"/>
      <c r="B2430" s="27" t="n"/>
      <c r="C2430" s="17" t="n"/>
      <c r="D2430" s="17" t="n"/>
      <c r="E2430" s="17" t="n"/>
      <c r="F2430" s="28" t="n"/>
      <c r="G2430" s="29" t="n"/>
      <c r="H2430" s="29" t="n"/>
      <c r="I2430" s="29" t="n"/>
      <c r="J2430" s="29" t="n"/>
      <c r="K2430" s="30">
        <f>IF(B2430="","",SUM(G$2:I2430)-SUM(J$2:J2430))</f>
        <v/>
      </c>
      <c r="L2430" s="22">
        <f>IF(B2430="","",IF(B2430=B2429,L2429,N(L2429)+1))</f>
        <v/>
      </c>
    </row>
    <row r="2431">
      <c r="A2431" s="22" t="n"/>
      <c r="B2431" s="27" t="n"/>
      <c r="C2431" s="17" t="n"/>
      <c r="D2431" s="17" t="n"/>
      <c r="E2431" s="17" t="n"/>
      <c r="F2431" s="28" t="n"/>
      <c r="G2431" s="29" t="n"/>
      <c r="H2431" s="29" t="n"/>
      <c r="I2431" s="29" t="n"/>
      <c r="J2431" s="29" t="n"/>
      <c r="K2431" s="30">
        <f>IF(B2431="","",SUM(G$2:I2431)-SUM(J$2:J2431))</f>
        <v/>
      </c>
      <c r="L2431" s="22">
        <f>IF(B2431="","",IF(B2431=B2430,L2430,N(L2430)+1))</f>
        <v/>
      </c>
    </row>
    <row r="2432">
      <c r="A2432" s="22" t="n"/>
      <c r="B2432" s="27" t="n"/>
      <c r="C2432" s="17" t="n"/>
      <c r="D2432" s="17" t="n"/>
      <c r="E2432" s="17" t="n"/>
      <c r="F2432" s="28" t="n"/>
      <c r="G2432" s="29" t="n"/>
      <c r="H2432" s="29" t="n"/>
      <c r="I2432" s="29" t="n"/>
      <c r="J2432" s="29" t="n"/>
      <c r="K2432" s="30">
        <f>IF(B2432="","",SUM(G$2:I2432)-SUM(J$2:J2432))</f>
        <v/>
      </c>
      <c r="L2432" s="22">
        <f>IF(B2432="","",IF(B2432=B2431,L2431,N(L2431)+1))</f>
        <v/>
      </c>
    </row>
    <row r="2433">
      <c r="A2433" s="22" t="n"/>
      <c r="B2433" s="27" t="n"/>
      <c r="C2433" s="17" t="n"/>
      <c r="D2433" s="17" t="n"/>
      <c r="E2433" s="17" t="n"/>
      <c r="F2433" s="28" t="n"/>
      <c r="G2433" s="29" t="n"/>
      <c r="H2433" s="29" t="n"/>
      <c r="I2433" s="29" t="n"/>
      <c r="J2433" s="29" t="n"/>
      <c r="K2433" s="30">
        <f>IF(B2433="","",SUM(G$2:I2433)-SUM(J$2:J2433))</f>
        <v/>
      </c>
      <c r="L2433" s="22">
        <f>IF(B2433="","",IF(B2433=B2432,L2432,N(L2432)+1))</f>
        <v/>
      </c>
    </row>
    <row r="2434">
      <c r="A2434" s="22" t="n"/>
      <c r="B2434" s="27" t="n"/>
      <c r="C2434" s="17" t="n"/>
      <c r="D2434" s="17" t="n"/>
      <c r="E2434" s="17" t="n"/>
      <c r="F2434" s="28" t="n"/>
      <c r="G2434" s="29" t="n"/>
      <c r="H2434" s="29" t="n"/>
      <c r="I2434" s="29" t="n"/>
      <c r="J2434" s="29" t="n"/>
      <c r="K2434" s="30">
        <f>IF(B2434="","",SUM(G$2:I2434)-SUM(J$2:J2434))</f>
        <v/>
      </c>
      <c r="L2434" s="22">
        <f>IF(B2434="","",IF(B2434=B2433,L2433,N(L2433)+1))</f>
        <v/>
      </c>
    </row>
    <row r="2435">
      <c r="A2435" s="22" t="n"/>
      <c r="B2435" s="27" t="n"/>
      <c r="C2435" s="17" t="n"/>
      <c r="D2435" s="17" t="n"/>
      <c r="E2435" s="17" t="n"/>
      <c r="F2435" s="28" t="n"/>
      <c r="G2435" s="29" t="n"/>
      <c r="H2435" s="29" t="n"/>
      <c r="I2435" s="29" t="n"/>
      <c r="J2435" s="29" t="n"/>
      <c r="K2435" s="30">
        <f>IF(B2435="","",SUM(G$2:I2435)-SUM(J$2:J2435))</f>
        <v/>
      </c>
      <c r="L2435" s="22">
        <f>IF(B2435="","",IF(B2435=B2434,L2434,N(L2434)+1))</f>
        <v/>
      </c>
    </row>
    <row r="2436">
      <c r="A2436" s="22" t="n"/>
      <c r="B2436" s="27" t="n"/>
      <c r="C2436" s="17" t="n"/>
      <c r="D2436" s="17" t="n"/>
      <c r="E2436" s="17" t="n"/>
      <c r="F2436" s="28" t="n"/>
      <c r="G2436" s="29" t="n"/>
      <c r="H2436" s="29" t="n"/>
      <c r="I2436" s="29" t="n"/>
      <c r="J2436" s="29" t="n"/>
      <c r="K2436" s="30">
        <f>IF(B2436="","",SUM(G$2:I2436)-SUM(J$2:J2436))</f>
        <v/>
      </c>
      <c r="L2436" s="22">
        <f>IF(B2436="","",IF(B2436=B2435,L2435,N(L2435)+1))</f>
        <v/>
      </c>
    </row>
    <row r="2437">
      <c r="A2437" s="22" t="n"/>
      <c r="B2437" s="27" t="n"/>
      <c r="C2437" s="17" t="n"/>
      <c r="D2437" s="17" t="n"/>
      <c r="E2437" s="17" t="n"/>
      <c r="F2437" s="28" t="n"/>
      <c r="G2437" s="29" t="n"/>
      <c r="H2437" s="29" t="n"/>
      <c r="I2437" s="29" t="n"/>
      <c r="J2437" s="29" t="n"/>
      <c r="K2437" s="30">
        <f>IF(B2437="","",SUM(G$2:I2437)-SUM(J$2:J2437))</f>
        <v/>
      </c>
      <c r="L2437" s="22">
        <f>IF(B2437="","",IF(B2437=B2436,L2436,N(L2436)+1))</f>
        <v/>
      </c>
    </row>
    <row r="2438">
      <c r="A2438" s="22" t="n"/>
      <c r="B2438" s="27" t="n"/>
      <c r="C2438" s="17" t="n"/>
      <c r="D2438" s="17" t="n"/>
      <c r="E2438" s="17" t="n"/>
      <c r="F2438" s="28" t="n"/>
      <c r="G2438" s="29" t="n"/>
      <c r="H2438" s="29" t="n"/>
      <c r="I2438" s="29" t="n"/>
      <c r="J2438" s="29" t="n"/>
      <c r="K2438" s="30">
        <f>IF(B2438="","",SUM(G$2:I2438)-SUM(J$2:J2438))</f>
        <v/>
      </c>
      <c r="L2438" s="22">
        <f>IF(B2438="","",IF(B2438=B2437,L2437,N(L2437)+1))</f>
        <v/>
      </c>
    </row>
    <row r="2439">
      <c r="A2439" s="22" t="n"/>
      <c r="B2439" s="27" t="n"/>
      <c r="C2439" s="17" t="n"/>
      <c r="D2439" s="17" t="n"/>
      <c r="E2439" s="17" t="n"/>
      <c r="F2439" s="28" t="n"/>
      <c r="G2439" s="29" t="n"/>
      <c r="H2439" s="29" t="n"/>
      <c r="I2439" s="29" t="n"/>
      <c r="J2439" s="29" t="n"/>
      <c r="K2439" s="30">
        <f>IF(B2439="","",SUM(G$2:I2439)-SUM(J$2:J2439))</f>
        <v/>
      </c>
      <c r="L2439" s="22">
        <f>IF(B2439="","",IF(B2439=B2438,L2438,N(L2438)+1))</f>
        <v/>
      </c>
    </row>
    <row r="2440">
      <c r="A2440" s="22" t="n"/>
      <c r="B2440" s="27" t="n"/>
      <c r="C2440" s="17" t="n"/>
      <c r="D2440" s="17" t="n"/>
      <c r="E2440" s="17" t="n"/>
      <c r="F2440" s="28" t="n"/>
      <c r="G2440" s="29" t="n"/>
      <c r="H2440" s="29" t="n"/>
      <c r="I2440" s="29" t="n"/>
      <c r="J2440" s="29" t="n"/>
      <c r="K2440" s="30">
        <f>IF(B2440="","",SUM(G$2:I2440)-SUM(J$2:J2440))</f>
        <v/>
      </c>
      <c r="L2440" s="22">
        <f>IF(B2440="","",IF(B2440=B2439,L2439,N(L2439)+1))</f>
        <v/>
      </c>
    </row>
    <row r="2441">
      <c r="A2441" s="22" t="n"/>
      <c r="B2441" s="27" t="n"/>
      <c r="C2441" s="17" t="n"/>
      <c r="D2441" s="17" t="n"/>
      <c r="E2441" s="17" t="n"/>
      <c r="F2441" s="28" t="n"/>
      <c r="G2441" s="29" t="n"/>
      <c r="H2441" s="29" t="n"/>
      <c r="I2441" s="29" t="n"/>
      <c r="J2441" s="29" t="n"/>
      <c r="K2441" s="30">
        <f>IF(B2441="","",SUM(G$2:I2441)-SUM(J$2:J2441))</f>
        <v/>
      </c>
      <c r="L2441" s="22">
        <f>IF(B2441="","",IF(B2441=B2440,L2440,N(L2440)+1))</f>
        <v/>
      </c>
    </row>
    <row r="2442">
      <c r="A2442" s="22" t="n"/>
      <c r="B2442" s="27" t="n"/>
      <c r="C2442" s="17" t="n"/>
      <c r="D2442" s="17" t="n"/>
      <c r="E2442" s="17" t="n"/>
      <c r="F2442" s="28" t="n"/>
      <c r="G2442" s="29" t="n"/>
      <c r="H2442" s="29" t="n"/>
      <c r="I2442" s="29" t="n"/>
      <c r="J2442" s="29" t="n"/>
      <c r="K2442" s="30">
        <f>IF(B2442="","",SUM(G$2:I2442)-SUM(J$2:J2442))</f>
        <v/>
      </c>
      <c r="L2442" s="22">
        <f>IF(B2442="","",IF(B2442=B2441,L2441,N(L2441)+1))</f>
        <v/>
      </c>
    </row>
    <row r="2443">
      <c r="A2443" s="22" t="n"/>
      <c r="B2443" s="27" t="n"/>
      <c r="C2443" s="17" t="n"/>
      <c r="D2443" s="17" t="n"/>
      <c r="E2443" s="17" t="n"/>
      <c r="F2443" s="28" t="n"/>
      <c r="G2443" s="29" t="n"/>
      <c r="H2443" s="29" t="n"/>
      <c r="I2443" s="29" t="n"/>
      <c r="J2443" s="29" t="n"/>
      <c r="K2443" s="30">
        <f>IF(B2443="","",SUM(G$2:I2443)-SUM(J$2:J2443))</f>
        <v/>
      </c>
      <c r="L2443" s="22">
        <f>IF(B2443="","",IF(B2443=B2442,L2442,N(L2442)+1))</f>
        <v/>
      </c>
    </row>
    <row r="2444">
      <c r="A2444" s="22" t="n"/>
      <c r="B2444" s="27" t="n"/>
      <c r="C2444" s="17" t="n"/>
      <c r="D2444" s="17" t="n"/>
      <c r="E2444" s="17" t="n"/>
      <c r="F2444" s="28" t="n"/>
      <c r="G2444" s="29" t="n"/>
      <c r="H2444" s="29" t="n"/>
      <c r="I2444" s="29" t="n"/>
      <c r="J2444" s="29" t="n"/>
      <c r="K2444" s="30">
        <f>IF(B2444="","",SUM(G$2:I2444)-SUM(J$2:J2444))</f>
        <v/>
      </c>
      <c r="L2444" s="22">
        <f>IF(B2444="","",IF(B2444=B2443,L2443,N(L2443)+1))</f>
        <v/>
      </c>
    </row>
    <row r="2445">
      <c r="A2445" s="22" t="n"/>
      <c r="B2445" s="27" t="n"/>
      <c r="C2445" s="17" t="n"/>
      <c r="D2445" s="17" t="n"/>
      <c r="E2445" s="17" t="n"/>
      <c r="F2445" s="28" t="n"/>
      <c r="G2445" s="29" t="n"/>
      <c r="H2445" s="29" t="n"/>
      <c r="I2445" s="29" t="n"/>
      <c r="J2445" s="29" t="n"/>
      <c r="K2445" s="30">
        <f>IF(B2445="","",SUM(G$2:I2445)-SUM(J$2:J2445))</f>
        <v/>
      </c>
      <c r="L2445" s="22">
        <f>IF(B2445="","",IF(B2445=B2444,L2444,N(L2444)+1))</f>
        <v/>
      </c>
    </row>
    <row r="2446">
      <c r="A2446" s="22" t="n"/>
      <c r="B2446" s="27" t="n"/>
      <c r="C2446" s="17" t="n"/>
      <c r="D2446" s="17" t="n"/>
      <c r="E2446" s="17" t="n"/>
      <c r="F2446" s="28" t="n"/>
      <c r="G2446" s="29" t="n"/>
      <c r="H2446" s="29" t="n"/>
      <c r="I2446" s="29" t="n"/>
      <c r="J2446" s="29" t="n"/>
      <c r="K2446" s="30">
        <f>IF(B2446="","",SUM(G$2:I2446)-SUM(J$2:J2446))</f>
        <v/>
      </c>
      <c r="L2446" s="22">
        <f>IF(B2446="","",IF(B2446=B2445,L2445,N(L2445)+1))</f>
        <v/>
      </c>
    </row>
    <row r="2447">
      <c r="A2447" s="22" t="n"/>
      <c r="B2447" s="27" t="n"/>
      <c r="C2447" s="17" t="n"/>
      <c r="D2447" s="17" t="n"/>
      <c r="E2447" s="17" t="n"/>
      <c r="F2447" s="28" t="n"/>
      <c r="G2447" s="29" t="n"/>
      <c r="H2447" s="29" t="n"/>
      <c r="I2447" s="29" t="n"/>
      <c r="J2447" s="29" t="n"/>
      <c r="K2447" s="30">
        <f>IF(B2447="","",SUM(G$2:I2447)-SUM(J$2:J2447))</f>
        <v/>
      </c>
      <c r="L2447" s="22">
        <f>IF(B2447="","",IF(B2447=B2446,L2446,N(L2446)+1))</f>
        <v/>
      </c>
    </row>
    <row r="2448">
      <c r="A2448" s="22" t="n"/>
      <c r="B2448" s="27" t="n"/>
      <c r="C2448" s="17" t="n"/>
      <c r="D2448" s="17" t="n"/>
      <c r="E2448" s="17" t="n"/>
      <c r="F2448" s="28" t="n"/>
      <c r="G2448" s="29" t="n"/>
      <c r="H2448" s="29" t="n"/>
      <c r="I2448" s="29" t="n"/>
      <c r="J2448" s="29" t="n"/>
      <c r="K2448" s="30">
        <f>IF(B2448="","",SUM(G$2:I2448)-SUM(J$2:J2448))</f>
        <v/>
      </c>
      <c r="L2448" s="22">
        <f>IF(B2448="","",IF(B2448=B2447,L2447,N(L2447)+1))</f>
        <v/>
      </c>
    </row>
    <row r="2449">
      <c r="A2449" s="22" t="n"/>
      <c r="B2449" s="27" t="n"/>
      <c r="C2449" s="17" t="n"/>
      <c r="D2449" s="17" t="n"/>
      <c r="E2449" s="17" t="n"/>
      <c r="F2449" s="28" t="n"/>
      <c r="G2449" s="29" t="n"/>
      <c r="H2449" s="29" t="n"/>
      <c r="I2449" s="29" t="n"/>
      <c r="J2449" s="29" t="n"/>
      <c r="K2449" s="30">
        <f>IF(B2449="","",SUM(G$2:I2449)-SUM(J$2:J2449))</f>
        <v/>
      </c>
      <c r="L2449" s="22">
        <f>IF(B2449="","",IF(B2449=B2448,L2448,N(L2448)+1))</f>
        <v/>
      </c>
    </row>
    <row r="2450">
      <c r="A2450" s="22" t="n"/>
      <c r="B2450" s="27" t="n"/>
      <c r="C2450" s="17" t="n"/>
      <c r="D2450" s="17" t="n"/>
      <c r="E2450" s="17" t="n"/>
      <c r="F2450" s="28" t="n"/>
      <c r="G2450" s="29" t="n"/>
      <c r="H2450" s="29" t="n"/>
      <c r="I2450" s="29" t="n"/>
      <c r="J2450" s="29" t="n"/>
      <c r="K2450" s="30">
        <f>IF(B2450="","",SUM(G$2:I2450)-SUM(J$2:J2450))</f>
        <v/>
      </c>
      <c r="L2450" s="22">
        <f>IF(B2450="","",IF(B2450=B2449,L2449,N(L2449)+1))</f>
        <v/>
      </c>
    </row>
    <row r="2451">
      <c r="A2451" s="22" t="n"/>
      <c r="B2451" s="27" t="n"/>
      <c r="C2451" s="17" t="n"/>
      <c r="D2451" s="17" t="n"/>
      <c r="E2451" s="17" t="n"/>
      <c r="F2451" s="28" t="n"/>
      <c r="G2451" s="29" t="n"/>
      <c r="H2451" s="29" t="n"/>
      <c r="I2451" s="29" t="n"/>
      <c r="J2451" s="29" t="n"/>
      <c r="K2451" s="30">
        <f>IF(B2451="","",SUM(G$2:I2451)-SUM(J$2:J2451))</f>
        <v/>
      </c>
      <c r="L2451" s="22">
        <f>IF(B2451="","",IF(B2451=B2450,L2450,N(L2450)+1))</f>
        <v/>
      </c>
    </row>
    <row r="2452">
      <c r="A2452" s="22" t="n"/>
      <c r="B2452" s="27" t="n"/>
      <c r="C2452" s="17" t="n"/>
      <c r="D2452" s="17" t="n"/>
      <c r="E2452" s="17" t="n"/>
      <c r="F2452" s="28" t="n"/>
      <c r="G2452" s="29" t="n"/>
      <c r="H2452" s="29" t="n"/>
      <c r="I2452" s="29" t="n"/>
      <c r="J2452" s="29" t="n"/>
      <c r="K2452" s="30">
        <f>IF(B2452="","",SUM(G$2:I2452)-SUM(J$2:J2452))</f>
        <v/>
      </c>
      <c r="L2452" s="22">
        <f>IF(B2452="","",IF(B2452=B2451,L2451,N(L2451)+1))</f>
        <v/>
      </c>
    </row>
    <row r="2453">
      <c r="A2453" s="22" t="n"/>
      <c r="B2453" s="27" t="n"/>
      <c r="C2453" s="17" t="n"/>
      <c r="D2453" s="17" t="n"/>
      <c r="E2453" s="17" t="n"/>
      <c r="F2453" s="28" t="n"/>
      <c r="G2453" s="29" t="n"/>
      <c r="H2453" s="29" t="n"/>
      <c r="I2453" s="29" t="n"/>
      <c r="J2453" s="29" t="n"/>
      <c r="K2453" s="30">
        <f>IF(B2453="","",SUM(G$2:I2453)-SUM(J$2:J2453))</f>
        <v/>
      </c>
      <c r="L2453" s="22">
        <f>IF(B2453="","",IF(B2453=B2452,L2452,N(L2452)+1))</f>
        <v/>
      </c>
    </row>
    <row r="2454">
      <c r="A2454" s="22" t="n"/>
      <c r="B2454" s="27" t="n"/>
      <c r="C2454" s="17" t="n"/>
      <c r="D2454" s="17" t="n"/>
      <c r="E2454" s="17" t="n"/>
      <c r="F2454" s="28" t="n"/>
      <c r="G2454" s="29" t="n"/>
      <c r="H2454" s="29" t="n"/>
      <c r="I2454" s="29" t="n"/>
      <c r="J2454" s="29" t="n"/>
      <c r="K2454" s="30">
        <f>IF(B2454="","",SUM(G$2:I2454)-SUM(J$2:J2454))</f>
        <v/>
      </c>
      <c r="L2454" s="22">
        <f>IF(B2454="","",IF(B2454=B2453,L2453,N(L2453)+1))</f>
        <v/>
      </c>
    </row>
    <row r="2455">
      <c r="A2455" s="22" t="n"/>
      <c r="B2455" s="27" t="n"/>
      <c r="C2455" s="17" t="n"/>
      <c r="D2455" s="17" t="n"/>
      <c r="E2455" s="17" t="n"/>
      <c r="F2455" s="28" t="n"/>
      <c r="G2455" s="29" t="n"/>
      <c r="H2455" s="29" t="n"/>
      <c r="I2455" s="29" t="n"/>
      <c r="J2455" s="29" t="n"/>
      <c r="K2455" s="30">
        <f>IF(B2455="","",SUM(G$2:I2455)-SUM(J$2:J2455))</f>
        <v/>
      </c>
      <c r="L2455" s="22">
        <f>IF(B2455="","",IF(B2455=B2454,L2454,N(L2454)+1))</f>
        <v/>
      </c>
    </row>
    <row r="2456">
      <c r="A2456" s="22" t="n"/>
      <c r="B2456" s="27" t="n"/>
      <c r="C2456" s="17" t="n"/>
      <c r="D2456" s="17" t="n"/>
      <c r="E2456" s="17" t="n"/>
      <c r="F2456" s="28" t="n"/>
      <c r="G2456" s="29" t="n"/>
      <c r="H2456" s="29" t="n"/>
      <c r="I2456" s="29" t="n"/>
      <c r="J2456" s="29" t="n"/>
      <c r="K2456" s="30">
        <f>IF(B2456="","",SUM(G$2:I2456)-SUM(J$2:J2456))</f>
        <v/>
      </c>
      <c r="L2456" s="22">
        <f>IF(B2456="","",IF(B2456=B2455,L2455,N(L2455)+1))</f>
        <v/>
      </c>
    </row>
    <row r="2457">
      <c r="A2457" s="22" t="n"/>
      <c r="B2457" s="27" t="n"/>
      <c r="C2457" s="17" t="n"/>
      <c r="D2457" s="17" t="n"/>
      <c r="E2457" s="17" t="n"/>
      <c r="F2457" s="28" t="n"/>
      <c r="G2457" s="29" t="n"/>
      <c r="H2457" s="29" t="n"/>
      <c r="I2457" s="29" t="n"/>
      <c r="J2457" s="29" t="n"/>
      <c r="K2457" s="30">
        <f>IF(B2457="","",SUM(G$2:I2457)-SUM(J$2:J2457))</f>
        <v/>
      </c>
      <c r="L2457" s="22">
        <f>IF(B2457="","",IF(B2457=B2456,L2456,N(L2456)+1))</f>
        <v/>
      </c>
    </row>
    <row r="2458">
      <c r="A2458" s="22" t="n"/>
      <c r="B2458" s="27" t="n"/>
      <c r="C2458" s="17" t="n"/>
      <c r="D2458" s="17" t="n"/>
      <c r="E2458" s="17" t="n"/>
      <c r="F2458" s="28" t="n"/>
      <c r="G2458" s="29" t="n"/>
      <c r="H2458" s="29" t="n"/>
      <c r="I2458" s="29" t="n"/>
      <c r="J2458" s="29" t="n"/>
      <c r="K2458" s="30">
        <f>IF(B2458="","",SUM(G$2:I2458)-SUM(J$2:J2458))</f>
        <v/>
      </c>
      <c r="L2458" s="22">
        <f>IF(B2458="","",IF(B2458=B2457,L2457,N(L2457)+1))</f>
        <v/>
      </c>
    </row>
    <row r="2459">
      <c r="A2459" s="22" t="n"/>
      <c r="B2459" s="27" t="n"/>
      <c r="C2459" s="17" t="n"/>
      <c r="D2459" s="17" t="n"/>
      <c r="E2459" s="17" t="n"/>
      <c r="F2459" s="28" t="n"/>
      <c r="G2459" s="29" t="n"/>
      <c r="H2459" s="29" t="n"/>
      <c r="I2459" s="29" t="n"/>
      <c r="J2459" s="29" t="n"/>
      <c r="K2459" s="30">
        <f>IF(B2459="","",SUM(G$2:I2459)-SUM(J$2:J2459))</f>
        <v/>
      </c>
      <c r="L2459" s="22">
        <f>IF(B2459="","",IF(B2459=B2458,L2458,N(L2458)+1))</f>
        <v/>
      </c>
    </row>
    <row r="2460">
      <c r="A2460" s="22" t="n"/>
      <c r="B2460" s="27" t="n"/>
      <c r="C2460" s="17" t="n"/>
      <c r="D2460" s="17" t="n"/>
      <c r="E2460" s="17" t="n"/>
      <c r="F2460" s="28" t="n"/>
      <c r="G2460" s="29" t="n"/>
      <c r="H2460" s="29" t="n"/>
      <c r="I2460" s="29" t="n"/>
      <c r="J2460" s="29" t="n"/>
      <c r="K2460" s="30">
        <f>IF(B2460="","",SUM(G$2:I2460)-SUM(J$2:J2460))</f>
        <v/>
      </c>
      <c r="L2460" s="22">
        <f>IF(B2460="","",IF(B2460=B2459,L2459,N(L2459)+1))</f>
        <v/>
      </c>
    </row>
    <row r="2461">
      <c r="A2461" s="22" t="n"/>
      <c r="B2461" s="27" t="n"/>
      <c r="C2461" s="17" t="n"/>
      <c r="D2461" s="17" t="n"/>
      <c r="E2461" s="17" t="n"/>
      <c r="F2461" s="28" t="n"/>
      <c r="G2461" s="29" t="n"/>
      <c r="H2461" s="29" t="n"/>
      <c r="I2461" s="29" t="n"/>
      <c r="J2461" s="29" t="n"/>
      <c r="K2461" s="30">
        <f>IF(B2461="","",SUM(G$2:I2461)-SUM(J$2:J2461))</f>
        <v/>
      </c>
      <c r="L2461" s="22">
        <f>IF(B2461="","",IF(B2461=B2460,L2460,N(L2460)+1))</f>
        <v/>
      </c>
    </row>
    <row r="2462">
      <c r="A2462" s="22" t="n"/>
      <c r="B2462" s="27" t="n"/>
      <c r="C2462" s="17" t="n"/>
      <c r="D2462" s="17" t="n"/>
      <c r="E2462" s="17" t="n"/>
      <c r="F2462" s="28" t="n"/>
      <c r="G2462" s="29" t="n"/>
      <c r="H2462" s="29" t="n"/>
      <c r="I2462" s="29" t="n"/>
      <c r="J2462" s="29" t="n"/>
      <c r="K2462" s="30">
        <f>IF(B2462="","",SUM(G$2:I2462)-SUM(J$2:J2462))</f>
        <v/>
      </c>
      <c r="L2462" s="22">
        <f>IF(B2462="","",IF(B2462=B2461,L2461,N(L2461)+1))</f>
        <v/>
      </c>
    </row>
    <row r="2463">
      <c r="A2463" s="22" t="n"/>
      <c r="B2463" s="27" t="n"/>
      <c r="C2463" s="17" t="n"/>
      <c r="D2463" s="17" t="n"/>
      <c r="E2463" s="17" t="n"/>
      <c r="F2463" s="28" t="n"/>
      <c r="G2463" s="29" t="n"/>
      <c r="H2463" s="29" t="n"/>
      <c r="I2463" s="29" t="n"/>
      <c r="J2463" s="29" t="n"/>
      <c r="K2463" s="30">
        <f>IF(B2463="","",SUM(G$2:I2463)-SUM(J$2:J2463))</f>
        <v/>
      </c>
      <c r="L2463" s="22">
        <f>IF(B2463="","",IF(B2463=B2462,L2462,N(L2462)+1))</f>
        <v/>
      </c>
    </row>
    <row r="2464">
      <c r="A2464" s="22" t="n"/>
      <c r="B2464" s="27" t="n"/>
      <c r="C2464" s="17" t="n"/>
      <c r="D2464" s="17" t="n"/>
      <c r="E2464" s="17" t="n"/>
      <c r="F2464" s="28" t="n"/>
      <c r="G2464" s="29" t="n"/>
      <c r="H2464" s="29" t="n"/>
      <c r="I2464" s="29" t="n"/>
      <c r="J2464" s="29" t="n"/>
      <c r="K2464" s="30">
        <f>IF(B2464="","",SUM(G$2:I2464)-SUM(J$2:J2464))</f>
        <v/>
      </c>
      <c r="L2464" s="22">
        <f>IF(B2464="","",IF(B2464=B2463,L2463,N(L2463)+1))</f>
        <v/>
      </c>
    </row>
    <row r="2465">
      <c r="A2465" s="22" t="n"/>
      <c r="B2465" s="27" t="n"/>
      <c r="C2465" s="17" t="n"/>
      <c r="D2465" s="17" t="n"/>
      <c r="E2465" s="17" t="n"/>
      <c r="F2465" s="28" t="n"/>
      <c r="G2465" s="29" t="n"/>
      <c r="H2465" s="29" t="n"/>
      <c r="I2465" s="29" t="n"/>
      <c r="J2465" s="29" t="n"/>
      <c r="K2465" s="30">
        <f>IF(B2465="","",SUM(G$2:I2465)-SUM(J$2:J2465))</f>
        <v/>
      </c>
      <c r="L2465" s="22">
        <f>IF(B2465="","",IF(B2465=B2464,L2464,N(L2464)+1))</f>
        <v/>
      </c>
    </row>
    <row r="2466">
      <c r="A2466" s="22" t="n"/>
      <c r="B2466" s="27" t="n"/>
      <c r="C2466" s="17" t="n"/>
      <c r="D2466" s="17" t="n"/>
      <c r="E2466" s="17" t="n"/>
      <c r="F2466" s="28" t="n"/>
      <c r="G2466" s="29" t="n"/>
      <c r="H2466" s="29" t="n"/>
      <c r="I2466" s="29" t="n"/>
      <c r="J2466" s="29" t="n"/>
      <c r="K2466" s="30">
        <f>IF(B2466="","",SUM(G$2:I2466)-SUM(J$2:J2466))</f>
        <v/>
      </c>
      <c r="L2466" s="22">
        <f>IF(B2466="","",IF(B2466=B2465,L2465,N(L2465)+1))</f>
        <v/>
      </c>
    </row>
    <row r="2467">
      <c r="A2467" s="22" t="n"/>
      <c r="B2467" s="27" t="n"/>
      <c r="C2467" s="17" t="n"/>
      <c r="D2467" s="17" t="n"/>
      <c r="E2467" s="17" t="n"/>
      <c r="F2467" s="28" t="n"/>
      <c r="G2467" s="29" t="n"/>
      <c r="H2467" s="29" t="n"/>
      <c r="I2467" s="29" t="n"/>
      <c r="J2467" s="29" t="n"/>
      <c r="K2467" s="30">
        <f>IF(B2467="","",SUM(G$2:I2467)-SUM(J$2:J2467))</f>
        <v/>
      </c>
      <c r="L2467" s="22">
        <f>IF(B2467="","",IF(B2467=B2466,L2466,N(L2466)+1))</f>
        <v/>
      </c>
    </row>
    <row r="2468">
      <c r="A2468" s="22" t="n"/>
      <c r="B2468" s="27" t="n"/>
      <c r="C2468" s="17" t="n"/>
      <c r="D2468" s="17" t="n"/>
      <c r="E2468" s="17" t="n"/>
      <c r="F2468" s="28" t="n"/>
      <c r="G2468" s="29" t="n"/>
      <c r="H2468" s="29" t="n"/>
      <c r="I2468" s="29" t="n"/>
      <c r="J2468" s="29" t="n"/>
      <c r="K2468" s="30">
        <f>IF(B2468="","",SUM(G$2:I2468)-SUM(J$2:J2468))</f>
        <v/>
      </c>
      <c r="L2468" s="22">
        <f>IF(B2468="","",IF(B2468=B2467,L2467,N(L2467)+1))</f>
        <v/>
      </c>
    </row>
    <row r="2469">
      <c r="A2469" s="22" t="n"/>
      <c r="B2469" s="27" t="n"/>
      <c r="C2469" s="17" t="n"/>
      <c r="D2469" s="17" t="n"/>
      <c r="E2469" s="17" t="n"/>
      <c r="F2469" s="28" t="n"/>
      <c r="G2469" s="29" t="n"/>
      <c r="H2469" s="29" t="n"/>
      <c r="I2469" s="29" t="n"/>
      <c r="J2469" s="29" t="n"/>
      <c r="K2469" s="30">
        <f>IF(B2469="","",SUM(G$2:I2469)-SUM(J$2:J2469))</f>
        <v/>
      </c>
      <c r="L2469" s="22">
        <f>IF(B2469="","",IF(B2469=B2468,L2468,N(L2468)+1))</f>
        <v/>
      </c>
    </row>
    <row r="2470">
      <c r="A2470" s="22" t="n"/>
      <c r="B2470" s="27" t="n"/>
      <c r="C2470" s="17" t="n"/>
      <c r="D2470" s="17" t="n"/>
      <c r="E2470" s="17" t="n"/>
      <c r="F2470" s="28" t="n"/>
      <c r="G2470" s="29" t="n"/>
      <c r="H2470" s="29" t="n"/>
      <c r="I2470" s="29" t="n"/>
      <c r="J2470" s="29" t="n"/>
      <c r="K2470" s="30">
        <f>IF(B2470="","",SUM(G$2:I2470)-SUM(J$2:J2470))</f>
        <v/>
      </c>
      <c r="L2470" s="22">
        <f>IF(B2470="","",IF(B2470=B2469,L2469,N(L2469)+1))</f>
        <v/>
      </c>
    </row>
    <row r="2471">
      <c r="A2471" s="22" t="n"/>
      <c r="B2471" s="27" t="n"/>
      <c r="C2471" s="17" t="n"/>
      <c r="D2471" s="17" t="n"/>
      <c r="E2471" s="17" t="n"/>
      <c r="F2471" s="28" t="n"/>
      <c r="G2471" s="29" t="n"/>
      <c r="H2471" s="29" t="n"/>
      <c r="I2471" s="29" t="n"/>
      <c r="J2471" s="29" t="n"/>
      <c r="K2471" s="30">
        <f>IF(B2471="","",SUM(G$2:I2471)-SUM(J$2:J2471))</f>
        <v/>
      </c>
      <c r="L2471" s="22">
        <f>IF(B2471="","",IF(B2471=B2470,L2470,N(L2470)+1))</f>
        <v/>
      </c>
    </row>
    <row r="2472">
      <c r="A2472" s="22" t="n"/>
      <c r="B2472" s="27" t="n"/>
      <c r="C2472" s="17" t="n"/>
      <c r="D2472" s="17" t="n"/>
      <c r="E2472" s="17" t="n"/>
      <c r="F2472" s="28" t="n"/>
      <c r="G2472" s="29" t="n"/>
      <c r="H2472" s="29" t="n"/>
      <c r="I2472" s="29" t="n"/>
      <c r="J2472" s="29" t="n"/>
      <c r="K2472" s="30">
        <f>IF(B2472="","",SUM(G$2:I2472)-SUM(J$2:J2472))</f>
        <v/>
      </c>
      <c r="L2472" s="22">
        <f>IF(B2472="","",IF(B2472=B2471,L2471,N(L2471)+1))</f>
        <v/>
      </c>
    </row>
    <row r="2473">
      <c r="A2473" s="22" t="n"/>
      <c r="B2473" s="27" t="n"/>
      <c r="C2473" s="17" t="n"/>
      <c r="D2473" s="17" t="n"/>
      <c r="E2473" s="17" t="n"/>
      <c r="F2473" s="28" t="n"/>
      <c r="G2473" s="29" t="n"/>
      <c r="H2473" s="29" t="n"/>
      <c r="I2473" s="29" t="n"/>
      <c r="J2473" s="29" t="n"/>
      <c r="K2473" s="30">
        <f>IF(B2473="","",SUM(G$2:I2473)-SUM(J$2:J2473))</f>
        <v/>
      </c>
      <c r="L2473" s="22">
        <f>IF(B2473="","",IF(B2473=B2472,L2472,N(L2472)+1))</f>
        <v/>
      </c>
    </row>
    <row r="2474">
      <c r="A2474" s="22" t="n"/>
      <c r="B2474" s="27" t="n"/>
      <c r="C2474" s="17" t="n"/>
      <c r="D2474" s="17" t="n"/>
      <c r="E2474" s="17" t="n"/>
      <c r="F2474" s="28" t="n"/>
      <c r="G2474" s="29" t="n"/>
      <c r="H2474" s="29" t="n"/>
      <c r="I2474" s="29" t="n"/>
      <c r="J2474" s="29" t="n"/>
      <c r="K2474" s="30">
        <f>IF(B2474="","",SUM(G$2:I2474)-SUM(J$2:J2474))</f>
        <v/>
      </c>
      <c r="L2474" s="22">
        <f>IF(B2474="","",IF(B2474=B2473,L2473,N(L2473)+1))</f>
        <v/>
      </c>
    </row>
    <row r="2475">
      <c r="A2475" s="22" t="n"/>
      <c r="B2475" s="27" t="n"/>
      <c r="C2475" s="17" t="n"/>
      <c r="D2475" s="17" t="n"/>
      <c r="E2475" s="17" t="n"/>
      <c r="F2475" s="28" t="n"/>
      <c r="G2475" s="29" t="n"/>
      <c r="H2475" s="29" t="n"/>
      <c r="I2475" s="29" t="n"/>
      <c r="J2475" s="29" t="n"/>
      <c r="K2475" s="30">
        <f>IF(B2475="","",SUM(G$2:I2475)-SUM(J$2:J2475))</f>
        <v/>
      </c>
      <c r="L2475" s="22">
        <f>IF(B2475="","",IF(B2475=B2474,L2474,N(L2474)+1))</f>
        <v/>
      </c>
    </row>
    <row r="2476">
      <c r="A2476" s="22" t="n"/>
      <c r="B2476" s="27" t="n"/>
      <c r="C2476" s="17" t="n"/>
      <c r="D2476" s="17" t="n"/>
      <c r="E2476" s="17" t="n"/>
      <c r="F2476" s="28" t="n"/>
      <c r="G2476" s="29" t="n"/>
      <c r="H2476" s="29" t="n"/>
      <c r="I2476" s="29" t="n"/>
      <c r="J2476" s="29" t="n"/>
      <c r="K2476" s="30">
        <f>IF(B2476="","",SUM(G$2:I2476)-SUM(J$2:J2476))</f>
        <v/>
      </c>
      <c r="L2476" s="22">
        <f>IF(B2476="","",IF(B2476=B2475,L2475,N(L2475)+1))</f>
        <v/>
      </c>
    </row>
    <row r="2477">
      <c r="A2477" s="22" t="n"/>
      <c r="B2477" s="27" t="n"/>
      <c r="C2477" s="17" t="n"/>
      <c r="D2477" s="17" t="n"/>
      <c r="E2477" s="17" t="n"/>
      <c r="F2477" s="28" t="n"/>
      <c r="G2477" s="29" t="n"/>
      <c r="H2477" s="29" t="n"/>
      <c r="I2477" s="29" t="n"/>
      <c r="J2477" s="29" t="n"/>
      <c r="K2477" s="30">
        <f>IF(B2477="","",SUM(G$2:I2477)-SUM(J$2:J2477))</f>
        <v/>
      </c>
      <c r="L2477" s="22">
        <f>IF(B2477="","",IF(B2477=B2476,L2476,N(L2476)+1))</f>
        <v/>
      </c>
    </row>
    <row r="2478">
      <c r="A2478" s="22" t="n"/>
      <c r="B2478" s="27" t="n"/>
      <c r="C2478" s="17" t="n"/>
      <c r="D2478" s="17" t="n"/>
      <c r="E2478" s="17" t="n"/>
      <c r="F2478" s="28" t="n"/>
      <c r="G2478" s="29" t="n"/>
      <c r="H2478" s="29" t="n"/>
      <c r="I2478" s="29" t="n"/>
      <c r="J2478" s="29" t="n"/>
      <c r="K2478" s="30">
        <f>IF(B2478="","",SUM(G$2:I2478)-SUM(J$2:J2478))</f>
        <v/>
      </c>
      <c r="L2478" s="22">
        <f>IF(B2478="","",IF(B2478=B2477,L2477,N(L2477)+1))</f>
        <v/>
      </c>
    </row>
    <row r="2479">
      <c r="A2479" s="22" t="n"/>
      <c r="B2479" s="27" t="n"/>
      <c r="C2479" s="17" t="n"/>
      <c r="D2479" s="17" t="n"/>
      <c r="E2479" s="17" t="n"/>
      <c r="F2479" s="28" t="n"/>
      <c r="G2479" s="29" t="n"/>
      <c r="H2479" s="29" t="n"/>
      <c r="I2479" s="29" t="n"/>
      <c r="J2479" s="29" t="n"/>
      <c r="K2479" s="30">
        <f>IF(B2479="","",SUM(G$2:I2479)-SUM(J$2:J2479))</f>
        <v/>
      </c>
      <c r="L2479" s="22">
        <f>IF(B2479="","",IF(B2479=B2478,L2478,N(L2478)+1))</f>
        <v/>
      </c>
    </row>
    <row r="2480">
      <c r="A2480" s="22" t="n"/>
      <c r="B2480" s="27" t="n"/>
      <c r="C2480" s="17" t="n"/>
      <c r="D2480" s="17" t="n"/>
      <c r="E2480" s="17" t="n"/>
      <c r="F2480" s="28" t="n"/>
      <c r="G2480" s="29" t="n"/>
      <c r="H2480" s="29" t="n"/>
      <c r="I2480" s="29" t="n"/>
      <c r="J2480" s="29" t="n"/>
      <c r="K2480" s="30">
        <f>IF(B2480="","",SUM(G$2:I2480)-SUM(J$2:J2480))</f>
        <v/>
      </c>
      <c r="L2480" s="22">
        <f>IF(B2480="","",IF(B2480=B2479,L2479,N(L2479)+1))</f>
        <v/>
      </c>
    </row>
    <row r="2481">
      <c r="A2481" s="22" t="n"/>
      <c r="B2481" s="27" t="n"/>
      <c r="C2481" s="17" t="n"/>
      <c r="D2481" s="17" t="n"/>
      <c r="E2481" s="17" t="n"/>
      <c r="F2481" s="28" t="n"/>
      <c r="G2481" s="29" t="n"/>
      <c r="H2481" s="29" t="n"/>
      <c r="I2481" s="29" t="n"/>
      <c r="J2481" s="29" t="n"/>
      <c r="K2481" s="30">
        <f>IF(B2481="","",SUM(G$2:I2481)-SUM(J$2:J2481))</f>
        <v/>
      </c>
      <c r="L2481" s="22">
        <f>IF(B2481="","",IF(B2481=B2480,L2480,N(L2480)+1))</f>
        <v/>
      </c>
    </row>
    <row r="2482">
      <c r="A2482" s="22" t="n"/>
      <c r="B2482" s="27" t="n"/>
      <c r="C2482" s="17" t="n"/>
      <c r="D2482" s="17" t="n"/>
      <c r="E2482" s="17" t="n"/>
      <c r="F2482" s="28" t="n"/>
      <c r="G2482" s="29" t="n"/>
      <c r="H2482" s="29" t="n"/>
      <c r="I2482" s="29" t="n"/>
      <c r="J2482" s="29" t="n"/>
      <c r="K2482" s="30">
        <f>IF(B2482="","",SUM(G$2:I2482)-SUM(J$2:J2482))</f>
        <v/>
      </c>
      <c r="L2482" s="22">
        <f>IF(B2482="","",IF(B2482=B2481,L2481,N(L2481)+1))</f>
        <v/>
      </c>
    </row>
    <row r="2483">
      <c r="A2483" s="22" t="n"/>
      <c r="B2483" s="27" t="n"/>
      <c r="C2483" s="17" t="n"/>
      <c r="D2483" s="17" t="n"/>
      <c r="E2483" s="17" t="n"/>
      <c r="F2483" s="28" t="n"/>
      <c r="G2483" s="29" t="n"/>
      <c r="H2483" s="29" t="n"/>
      <c r="I2483" s="29" t="n"/>
      <c r="J2483" s="29" t="n"/>
      <c r="K2483" s="30">
        <f>IF(B2483="","",SUM(G$2:I2483)-SUM(J$2:J2483))</f>
        <v/>
      </c>
      <c r="L2483" s="22">
        <f>IF(B2483="","",IF(B2483=B2482,L2482,N(L2482)+1))</f>
        <v/>
      </c>
    </row>
    <row r="2484">
      <c r="A2484" s="22" t="n"/>
      <c r="B2484" s="27" t="n"/>
      <c r="C2484" s="17" t="n"/>
      <c r="D2484" s="17" t="n"/>
      <c r="E2484" s="17" t="n"/>
      <c r="F2484" s="28" t="n"/>
      <c r="G2484" s="29" t="n"/>
      <c r="H2484" s="29" t="n"/>
      <c r="I2484" s="29" t="n"/>
      <c r="J2484" s="29" t="n"/>
      <c r="K2484" s="30">
        <f>IF(B2484="","",SUM(G$2:I2484)-SUM(J$2:J2484))</f>
        <v/>
      </c>
      <c r="L2484" s="22">
        <f>IF(B2484="","",IF(B2484=B2483,L2483,N(L2483)+1))</f>
        <v/>
      </c>
    </row>
    <row r="2485">
      <c r="A2485" s="22" t="n"/>
      <c r="B2485" s="27" t="n"/>
      <c r="C2485" s="17" t="n"/>
      <c r="D2485" s="17" t="n"/>
      <c r="E2485" s="17" t="n"/>
      <c r="F2485" s="28" t="n"/>
      <c r="G2485" s="29" t="n"/>
      <c r="H2485" s="29" t="n"/>
      <c r="I2485" s="29" t="n"/>
      <c r="J2485" s="29" t="n"/>
      <c r="K2485" s="30">
        <f>IF(B2485="","",SUM(G$2:I2485)-SUM(J$2:J2485))</f>
        <v/>
      </c>
      <c r="L2485" s="22">
        <f>IF(B2485="","",IF(B2485=B2484,L2484,N(L2484)+1))</f>
        <v/>
      </c>
    </row>
    <row r="2486">
      <c r="A2486" s="22" t="n"/>
      <c r="B2486" s="27" t="n"/>
      <c r="C2486" s="17" t="n"/>
      <c r="D2486" s="17" t="n"/>
      <c r="E2486" s="17" t="n"/>
      <c r="F2486" s="28" t="n"/>
      <c r="G2486" s="29" t="n"/>
      <c r="H2486" s="29" t="n"/>
      <c r="I2486" s="29" t="n"/>
      <c r="J2486" s="29" t="n"/>
      <c r="K2486" s="30">
        <f>IF(B2486="","",SUM(G$2:I2486)-SUM(J$2:J2486))</f>
        <v/>
      </c>
      <c r="L2486" s="22">
        <f>IF(B2486="","",IF(B2486=B2485,L2485,N(L2485)+1))</f>
        <v/>
      </c>
    </row>
    <row r="2487">
      <c r="A2487" s="22" t="n"/>
      <c r="B2487" s="27" t="n"/>
      <c r="C2487" s="17" t="n"/>
      <c r="D2487" s="17" t="n"/>
      <c r="E2487" s="17" t="n"/>
      <c r="F2487" s="28" t="n"/>
      <c r="G2487" s="29" t="n"/>
      <c r="H2487" s="29" t="n"/>
      <c r="I2487" s="29" t="n"/>
      <c r="J2487" s="29" t="n"/>
      <c r="K2487" s="30">
        <f>IF(B2487="","",SUM(G$2:I2487)-SUM(J$2:J2487))</f>
        <v/>
      </c>
      <c r="L2487" s="22">
        <f>IF(B2487="","",IF(B2487=B2486,L2486,N(L2486)+1))</f>
        <v/>
      </c>
    </row>
    <row r="2488">
      <c r="A2488" s="22" t="n"/>
      <c r="B2488" s="27" t="n"/>
      <c r="C2488" s="17" t="n"/>
      <c r="D2488" s="17" t="n"/>
      <c r="E2488" s="17" t="n"/>
      <c r="F2488" s="28" t="n"/>
      <c r="G2488" s="29" t="n"/>
      <c r="H2488" s="29" t="n"/>
      <c r="I2488" s="29" t="n"/>
      <c r="J2488" s="29" t="n"/>
      <c r="K2488" s="30">
        <f>IF(B2488="","",SUM(G$2:I2488)-SUM(J$2:J2488))</f>
        <v/>
      </c>
      <c r="L2488" s="22">
        <f>IF(B2488="","",IF(B2488=B2487,L2487,N(L2487)+1))</f>
        <v/>
      </c>
    </row>
    <row r="2489">
      <c r="A2489" s="22" t="n"/>
      <c r="B2489" s="27" t="n"/>
      <c r="C2489" s="17" t="n"/>
      <c r="D2489" s="17" t="n"/>
      <c r="E2489" s="17" t="n"/>
      <c r="F2489" s="28" t="n"/>
      <c r="G2489" s="29" t="n"/>
      <c r="H2489" s="29" t="n"/>
      <c r="I2489" s="29" t="n"/>
      <c r="J2489" s="29" t="n"/>
      <c r="K2489" s="30">
        <f>IF(B2489="","",SUM(G$2:I2489)-SUM(J$2:J2489))</f>
        <v/>
      </c>
      <c r="L2489" s="22">
        <f>IF(B2489="","",IF(B2489=B2488,L2488,N(L2488)+1))</f>
        <v/>
      </c>
    </row>
    <row r="2490">
      <c r="A2490" s="22" t="n"/>
      <c r="B2490" s="27" t="n"/>
      <c r="C2490" s="17" t="n"/>
      <c r="D2490" s="17" t="n"/>
      <c r="E2490" s="17" t="n"/>
      <c r="F2490" s="28" t="n"/>
      <c r="G2490" s="29" t="n"/>
      <c r="H2490" s="29" t="n"/>
      <c r="I2490" s="29" t="n"/>
      <c r="J2490" s="29" t="n"/>
      <c r="K2490" s="30">
        <f>IF(B2490="","",SUM(G$2:I2490)-SUM(J$2:J2490))</f>
        <v/>
      </c>
      <c r="L2490" s="22">
        <f>IF(B2490="","",IF(B2490=B2489,L2489,N(L2489)+1))</f>
        <v/>
      </c>
    </row>
    <row r="2491">
      <c r="A2491" s="22" t="n"/>
      <c r="B2491" s="27" t="n"/>
      <c r="C2491" s="17" t="n"/>
      <c r="D2491" s="17" t="n"/>
      <c r="E2491" s="17" t="n"/>
      <c r="F2491" s="28" t="n"/>
      <c r="G2491" s="29" t="n"/>
      <c r="H2491" s="29" t="n"/>
      <c r="I2491" s="29" t="n"/>
      <c r="J2491" s="29" t="n"/>
      <c r="K2491" s="30">
        <f>IF(B2491="","",SUM(G$2:I2491)-SUM(J$2:J2491))</f>
        <v/>
      </c>
      <c r="L2491" s="22">
        <f>IF(B2491="","",IF(B2491=B2490,L2490,N(L2490)+1))</f>
        <v/>
      </c>
    </row>
    <row r="2492">
      <c r="A2492" s="22" t="n"/>
      <c r="B2492" s="27" t="n"/>
      <c r="C2492" s="17" t="n"/>
      <c r="D2492" s="17" t="n"/>
      <c r="E2492" s="17" t="n"/>
      <c r="F2492" s="28" t="n"/>
      <c r="G2492" s="29" t="n"/>
      <c r="H2492" s="29" t="n"/>
      <c r="I2492" s="29" t="n"/>
      <c r="J2492" s="29" t="n"/>
      <c r="K2492" s="30">
        <f>IF(B2492="","",SUM(G$2:I2492)-SUM(J$2:J2492))</f>
        <v/>
      </c>
      <c r="L2492" s="22">
        <f>IF(B2492="","",IF(B2492=B2491,L2491,N(L2491)+1))</f>
        <v/>
      </c>
    </row>
    <row r="2493">
      <c r="A2493" s="22" t="n"/>
      <c r="B2493" s="27" t="n"/>
      <c r="C2493" s="17" t="n"/>
      <c r="D2493" s="17" t="n"/>
      <c r="E2493" s="17" t="n"/>
      <c r="F2493" s="28" t="n"/>
      <c r="G2493" s="29" t="n"/>
      <c r="H2493" s="29" t="n"/>
      <c r="I2493" s="29" t="n"/>
      <c r="J2493" s="29" t="n"/>
      <c r="K2493" s="30">
        <f>IF(B2493="","",SUM(G$2:I2493)-SUM(J$2:J2493))</f>
        <v/>
      </c>
      <c r="L2493" s="22">
        <f>IF(B2493="","",IF(B2493=B2492,L2492,N(L2492)+1))</f>
        <v/>
      </c>
    </row>
    <row r="2494">
      <c r="A2494" s="22" t="n"/>
      <c r="B2494" s="27" t="n"/>
      <c r="C2494" s="17" t="n"/>
      <c r="D2494" s="17" t="n"/>
      <c r="E2494" s="17" t="n"/>
      <c r="F2494" s="28" t="n"/>
      <c r="G2494" s="29" t="n"/>
      <c r="H2494" s="29" t="n"/>
      <c r="I2494" s="29" t="n"/>
      <c r="J2494" s="29" t="n"/>
      <c r="K2494" s="30">
        <f>IF(B2494="","",SUM(G$2:I2494)-SUM(J$2:J2494))</f>
        <v/>
      </c>
      <c r="L2494" s="22">
        <f>IF(B2494="","",IF(B2494=B2493,L2493,N(L2493)+1))</f>
        <v/>
      </c>
    </row>
    <row r="2495">
      <c r="A2495" s="22" t="n"/>
      <c r="B2495" s="27" t="n"/>
      <c r="C2495" s="17" t="n"/>
      <c r="D2495" s="17" t="n"/>
      <c r="E2495" s="17" t="n"/>
      <c r="F2495" s="28" t="n"/>
      <c r="G2495" s="29" t="n"/>
      <c r="H2495" s="29" t="n"/>
      <c r="I2495" s="29" t="n"/>
      <c r="J2495" s="29" t="n"/>
      <c r="K2495" s="30">
        <f>IF(B2495="","",SUM(G$2:I2495)-SUM(J$2:J2495))</f>
        <v/>
      </c>
      <c r="L2495" s="22">
        <f>IF(B2495="","",IF(B2495=B2494,L2494,N(L2494)+1))</f>
        <v/>
      </c>
    </row>
    <row r="2496">
      <c r="A2496" s="22" t="n"/>
      <c r="B2496" s="27" t="n"/>
      <c r="C2496" s="17" t="n"/>
      <c r="D2496" s="17" t="n"/>
      <c r="E2496" s="17" t="n"/>
      <c r="F2496" s="28" t="n"/>
      <c r="G2496" s="29" t="n"/>
      <c r="H2496" s="29" t="n"/>
      <c r="I2496" s="29" t="n"/>
      <c r="J2496" s="29" t="n"/>
      <c r="K2496" s="30">
        <f>IF(B2496="","",SUM(G$2:I2496)-SUM(J$2:J2496))</f>
        <v/>
      </c>
      <c r="L2496" s="22">
        <f>IF(B2496="","",IF(B2496=B2495,L2495,N(L2495)+1))</f>
        <v/>
      </c>
    </row>
    <row r="2497">
      <c r="A2497" s="22" t="n"/>
      <c r="B2497" s="27" t="n"/>
      <c r="C2497" s="17" t="n"/>
      <c r="D2497" s="17" t="n"/>
      <c r="E2497" s="17" t="n"/>
      <c r="F2497" s="28" t="n"/>
      <c r="G2497" s="29" t="n"/>
      <c r="H2497" s="29" t="n"/>
      <c r="I2497" s="29" t="n"/>
      <c r="J2497" s="29" t="n"/>
      <c r="K2497" s="30">
        <f>IF(B2497="","",SUM(G$2:I2497)-SUM(J$2:J2497))</f>
        <v/>
      </c>
      <c r="L2497" s="22">
        <f>IF(B2497="","",IF(B2497=B2496,L2496,N(L2496)+1))</f>
        <v/>
      </c>
    </row>
    <row r="2498">
      <c r="A2498" s="22" t="n"/>
      <c r="B2498" s="27" t="n"/>
      <c r="C2498" s="17" t="n"/>
      <c r="D2498" s="17" t="n"/>
      <c r="E2498" s="17" t="n"/>
      <c r="F2498" s="28" t="n"/>
      <c r="G2498" s="29" t="n"/>
      <c r="H2498" s="29" t="n"/>
      <c r="I2498" s="29" t="n"/>
      <c r="J2498" s="29" t="n"/>
      <c r="K2498" s="30">
        <f>IF(B2498="","",SUM(G$2:I2498)-SUM(J$2:J2498))</f>
        <v/>
      </c>
      <c r="L2498" s="22">
        <f>IF(B2498="","",IF(B2498=B2497,L2497,N(L2497)+1))</f>
        <v/>
      </c>
    </row>
    <row r="2499">
      <c r="A2499" s="22" t="n"/>
      <c r="B2499" s="27" t="n"/>
      <c r="C2499" s="17" t="n"/>
      <c r="D2499" s="17" t="n"/>
      <c r="E2499" s="17" t="n"/>
      <c r="F2499" s="28" t="n"/>
      <c r="G2499" s="29" t="n"/>
      <c r="H2499" s="29" t="n"/>
      <c r="I2499" s="29" t="n"/>
      <c r="J2499" s="29" t="n"/>
      <c r="K2499" s="30">
        <f>IF(B2499="","",SUM(G$2:I2499)-SUM(J$2:J2499))</f>
        <v/>
      </c>
      <c r="L2499" s="22">
        <f>IF(B2499="","",IF(B2499=B2498,L2498,N(L2498)+1))</f>
        <v/>
      </c>
    </row>
    <row r="2500">
      <c r="A2500" s="22" t="n"/>
      <c r="B2500" s="27" t="n"/>
      <c r="C2500" s="17" t="n"/>
      <c r="D2500" s="17" t="n"/>
      <c r="E2500" s="17" t="n"/>
      <c r="F2500" s="28" t="n"/>
      <c r="G2500" s="29" t="n"/>
      <c r="H2500" s="29" t="n"/>
      <c r="I2500" s="29" t="n"/>
      <c r="J2500" s="29" t="n"/>
      <c r="K2500" s="30">
        <f>IF(B2500="","",SUM(G$2:I2500)-SUM(J$2:J2500))</f>
        <v/>
      </c>
      <c r="L2500" s="22">
        <f>IF(B2500="","",IF(B2500=B2499,L2499,N(L2499)+1))</f>
        <v/>
      </c>
    </row>
    <row r="2501">
      <c r="A2501" s="22" t="n"/>
      <c r="B2501" s="27" t="n"/>
      <c r="C2501" s="17" t="n"/>
      <c r="D2501" s="17" t="n"/>
      <c r="E2501" s="17" t="n"/>
      <c r="F2501" s="28" t="n"/>
      <c r="G2501" s="29" t="n"/>
      <c r="H2501" s="29" t="n"/>
      <c r="I2501" s="29" t="n"/>
      <c r="J2501" s="29" t="n"/>
      <c r="K2501" s="30">
        <f>IF(B2501="","",SUM(G$2:I2501)-SUM(J$2:J2501))</f>
        <v/>
      </c>
      <c r="L2501" s="22">
        <f>IF(B2501="","",IF(B2501=B2500,L2500,N(L2500)+1))</f>
        <v/>
      </c>
    </row>
    <row r="2502">
      <c r="A2502" s="22" t="n"/>
      <c r="B2502" s="27" t="n"/>
      <c r="C2502" s="17" t="n"/>
      <c r="D2502" s="17" t="n"/>
      <c r="E2502" s="17" t="n"/>
      <c r="F2502" s="28" t="n"/>
      <c r="G2502" s="29" t="n"/>
      <c r="H2502" s="29" t="n"/>
      <c r="I2502" s="29" t="n"/>
      <c r="J2502" s="29" t="n"/>
      <c r="K2502" s="30">
        <f>IF(B2502="","",SUM(G$2:I2502)-SUM(J$2:J2502))</f>
        <v/>
      </c>
      <c r="L2502" s="22">
        <f>IF(B2502="","",IF(B2502=B2501,L2501,N(L2501)+1))</f>
        <v/>
      </c>
    </row>
    <row r="2503">
      <c r="A2503" s="22" t="n"/>
      <c r="B2503" s="27" t="n"/>
      <c r="C2503" s="17" t="n"/>
      <c r="D2503" s="17" t="n"/>
      <c r="E2503" s="17" t="n"/>
      <c r="F2503" s="28" t="n"/>
      <c r="G2503" s="29" t="n"/>
      <c r="H2503" s="29" t="n"/>
      <c r="I2503" s="29" t="n"/>
      <c r="J2503" s="29" t="n"/>
      <c r="K2503" s="30">
        <f>IF(B2503="","",SUM(G$2:I2503)-SUM(J$2:J2503))</f>
        <v/>
      </c>
      <c r="L2503" s="22">
        <f>IF(B2503="","",IF(B2503=B2502,L2502,N(L2502)+1))</f>
        <v/>
      </c>
    </row>
    <row r="2504">
      <c r="A2504" s="22" t="n"/>
      <c r="B2504" s="27" t="n"/>
      <c r="C2504" s="17" t="n"/>
      <c r="D2504" s="17" t="n"/>
      <c r="E2504" s="17" t="n"/>
      <c r="F2504" s="28" t="n"/>
      <c r="G2504" s="29" t="n"/>
      <c r="H2504" s="29" t="n"/>
      <c r="I2504" s="29" t="n"/>
      <c r="J2504" s="29" t="n"/>
      <c r="K2504" s="30">
        <f>IF(B2504="","",SUM(G$2:I2504)-SUM(J$2:J2504))</f>
        <v/>
      </c>
      <c r="L2504" s="22">
        <f>IF(B2504="","",IF(B2504=B2503,L2503,N(L2503)+1))</f>
        <v/>
      </c>
    </row>
    <row r="2505">
      <c r="A2505" s="22" t="n"/>
      <c r="B2505" s="27" t="n"/>
      <c r="C2505" s="17" t="n"/>
      <c r="D2505" s="17" t="n"/>
      <c r="E2505" s="17" t="n"/>
      <c r="F2505" s="28" t="n"/>
      <c r="G2505" s="29" t="n"/>
      <c r="H2505" s="29" t="n"/>
      <c r="I2505" s="29" t="n"/>
      <c r="J2505" s="29" t="n"/>
      <c r="K2505" s="30">
        <f>IF(B2505="","",SUM(G$2:I2505)-SUM(J$2:J2505))</f>
        <v/>
      </c>
      <c r="L2505" s="22">
        <f>IF(B2505="","",IF(B2505=B2504,L2504,N(L2504)+1))</f>
        <v/>
      </c>
    </row>
    <row r="2506">
      <c r="A2506" s="22" t="n"/>
      <c r="B2506" s="27" t="n"/>
      <c r="C2506" s="17" t="n"/>
      <c r="D2506" s="17" t="n"/>
      <c r="E2506" s="17" t="n"/>
      <c r="F2506" s="28" t="n"/>
      <c r="G2506" s="29" t="n"/>
      <c r="H2506" s="29" t="n"/>
      <c r="I2506" s="29" t="n"/>
      <c r="J2506" s="29" t="n"/>
      <c r="K2506" s="30">
        <f>IF(B2506="","",SUM(G$2:I2506)-SUM(J$2:J2506))</f>
        <v/>
      </c>
      <c r="L2506" s="22">
        <f>IF(B2506="","",IF(B2506=B2505,L2505,N(L2505)+1))</f>
        <v/>
      </c>
    </row>
    <row r="2507">
      <c r="A2507" s="22" t="n"/>
      <c r="B2507" s="27" t="n"/>
      <c r="C2507" s="17" t="n"/>
      <c r="D2507" s="17" t="n"/>
      <c r="E2507" s="17" t="n"/>
      <c r="F2507" s="28" t="n"/>
      <c r="G2507" s="29" t="n"/>
      <c r="H2507" s="29" t="n"/>
      <c r="I2507" s="29" t="n"/>
      <c r="J2507" s="29" t="n"/>
      <c r="K2507" s="30">
        <f>IF(B2507="","",SUM(G$2:I2507)-SUM(J$2:J2507))</f>
        <v/>
      </c>
      <c r="L2507" s="22">
        <f>IF(B2507="","",IF(B2507=B2506,L2506,N(L2506)+1))</f>
        <v/>
      </c>
    </row>
    <row r="2508">
      <c r="A2508" s="22" t="n"/>
      <c r="B2508" s="27" t="n"/>
      <c r="C2508" s="17" t="n"/>
      <c r="D2508" s="17" t="n"/>
      <c r="E2508" s="17" t="n"/>
      <c r="F2508" s="28" t="n"/>
      <c r="G2508" s="29" t="n"/>
      <c r="H2508" s="29" t="n"/>
      <c r="I2508" s="29" t="n"/>
      <c r="J2508" s="29" t="n"/>
      <c r="K2508" s="30">
        <f>IF(B2508="","",SUM(G$2:I2508)-SUM(J$2:J2508))</f>
        <v/>
      </c>
      <c r="L2508" s="22">
        <f>IF(B2508="","",IF(B2508=B2507,L2507,N(L2507)+1))</f>
        <v/>
      </c>
    </row>
    <row r="2509">
      <c r="A2509" s="22" t="n"/>
      <c r="B2509" s="27" t="n"/>
      <c r="C2509" s="17" t="n"/>
      <c r="D2509" s="17" t="n"/>
      <c r="E2509" s="17" t="n"/>
      <c r="F2509" s="28" t="n"/>
      <c r="G2509" s="29" t="n"/>
      <c r="H2509" s="29" t="n"/>
      <c r="I2509" s="29" t="n"/>
      <c r="J2509" s="29" t="n"/>
      <c r="K2509" s="30">
        <f>IF(B2509="","",SUM(G$2:I2509)-SUM(J$2:J2509))</f>
        <v/>
      </c>
      <c r="L2509" s="22">
        <f>IF(B2509="","",IF(B2509=B2508,L2508,N(L2508)+1))</f>
        <v/>
      </c>
    </row>
    <row r="2510">
      <c r="A2510" s="22" t="n"/>
      <c r="B2510" s="27" t="n"/>
      <c r="C2510" s="17" t="n"/>
      <c r="D2510" s="17" t="n"/>
      <c r="E2510" s="17" t="n"/>
      <c r="F2510" s="28" t="n"/>
      <c r="G2510" s="29" t="n"/>
      <c r="H2510" s="29" t="n"/>
      <c r="I2510" s="29" t="n"/>
      <c r="J2510" s="29" t="n"/>
      <c r="K2510" s="30">
        <f>IF(B2510="","",SUM(G$2:I2510)-SUM(J$2:J2510))</f>
        <v/>
      </c>
      <c r="L2510" s="22">
        <f>IF(B2510="","",IF(B2510=B2509,L2509,N(L2509)+1))</f>
        <v/>
      </c>
    </row>
    <row r="2511">
      <c r="A2511" s="22" t="n"/>
      <c r="B2511" s="27" t="n"/>
      <c r="C2511" s="17" t="n"/>
      <c r="D2511" s="17" t="n"/>
      <c r="E2511" s="17" t="n"/>
      <c r="F2511" s="28" t="n"/>
      <c r="G2511" s="29" t="n"/>
      <c r="H2511" s="29" t="n"/>
      <c r="I2511" s="29" t="n"/>
      <c r="J2511" s="29" t="n"/>
      <c r="K2511" s="30">
        <f>IF(B2511="","",SUM(G$2:I2511)-SUM(J$2:J2511))</f>
        <v/>
      </c>
      <c r="L2511" s="22">
        <f>IF(B2511="","",IF(B2511=B2510,L2510,N(L2510)+1))</f>
        <v/>
      </c>
    </row>
    <row r="2512">
      <c r="A2512" s="22" t="n"/>
      <c r="B2512" s="27" t="n"/>
      <c r="C2512" s="17" t="n"/>
      <c r="D2512" s="17" t="n"/>
      <c r="E2512" s="17" t="n"/>
      <c r="F2512" s="28" t="n"/>
      <c r="G2512" s="29" t="n"/>
      <c r="H2512" s="29" t="n"/>
      <c r="I2512" s="29" t="n"/>
      <c r="J2512" s="29" t="n"/>
      <c r="K2512" s="30">
        <f>IF(B2512="","",SUM(G$2:I2512)-SUM(J$2:J2512))</f>
        <v/>
      </c>
      <c r="L2512" s="22">
        <f>IF(B2512="","",IF(B2512=B2511,L2511,N(L2511)+1))</f>
        <v/>
      </c>
    </row>
    <row r="2513">
      <c r="A2513" s="22" t="n"/>
      <c r="B2513" s="27" t="n"/>
      <c r="C2513" s="17" t="n"/>
      <c r="D2513" s="17" t="n"/>
      <c r="E2513" s="17" t="n"/>
      <c r="F2513" s="28" t="n"/>
      <c r="G2513" s="29" t="n"/>
      <c r="H2513" s="29" t="n"/>
      <c r="I2513" s="29" t="n"/>
      <c r="J2513" s="29" t="n"/>
      <c r="K2513" s="30">
        <f>IF(B2513="","",SUM(G$2:I2513)-SUM(J$2:J2513))</f>
        <v/>
      </c>
      <c r="L2513" s="22">
        <f>IF(B2513="","",IF(B2513=B2512,L2512,N(L2512)+1))</f>
        <v/>
      </c>
    </row>
    <row r="2514">
      <c r="A2514" s="22" t="n"/>
      <c r="B2514" s="27" t="n"/>
      <c r="C2514" s="17" t="n"/>
      <c r="D2514" s="17" t="n"/>
      <c r="E2514" s="17" t="n"/>
      <c r="F2514" s="28" t="n"/>
      <c r="G2514" s="29" t="n"/>
      <c r="H2514" s="29" t="n"/>
      <c r="I2514" s="29" t="n"/>
      <c r="J2514" s="29" t="n"/>
      <c r="K2514" s="30">
        <f>IF(B2514="","",SUM(G$2:I2514)-SUM(J$2:J2514))</f>
        <v/>
      </c>
      <c r="L2514" s="22">
        <f>IF(B2514="","",IF(B2514=B2513,L2513,N(L2513)+1))</f>
        <v/>
      </c>
    </row>
    <row r="2515">
      <c r="A2515" s="22" t="n"/>
      <c r="B2515" s="27" t="n"/>
      <c r="C2515" s="17" t="n"/>
      <c r="D2515" s="17" t="n"/>
      <c r="E2515" s="17" t="n"/>
      <c r="F2515" s="28" t="n"/>
      <c r="G2515" s="29" t="n"/>
      <c r="H2515" s="29" t="n"/>
      <c r="I2515" s="29" t="n"/>
      <c r="J2515" s="29" t="n"/>
      <c r="K2515" s="30">
        <f>IF(B2515="","",SUM(G$2:I2515)-SUM(J$2:J2515))</f>
        <v/>
      </c>
      <c r="L2515" s="22">
        <f>IF(B2515="","",IF(B2515=B2514,L2514,N(L2514)+1))</f>
        <v/>
      </c>
    </row>
    <row r="2516">
      <c r="A2516" s="22" t="n"/>
      <c r="B2516" s="27" t="n"/>
      <c r="C2516" s="17" t="n"/>
      <c r="D2516" s="17" t="n"/>
      <c r="E2516" s="17" t="n"/>
      <c r="F2516" s="28" t="n"/>
      <c r="G2516" s="29" t="n"/>
      <c r="H2516" s="29" t="n"/>
      <c r="I2516" s="29" t="n"/>
      <c r="J2516" s="29" t="n"/>
      <c r="K2516" s="30">
        <f>IF(B2516="","",SUM(G$2:I2516)-SUM(J$2:J2516))</f>
        <v/>
      </c>
      <c r="L2516" s="22">
        <f>IF(B2516="","",IF(B2516=B2515,L2515,N(L2515)+1))</f>
        <v/>
      </c>
    </row>
    <row r="2517">
      <c r="A2517" s="22" t="n"/>
      <c r="B2517" s="27" t="n"/>
      <c r="C2517" s="17" t="n"/>
      <c r="D2517" s="17" t="n"/>
      <c r="E2517" s="17" t="n"/>
      <c r="F2517" s="28" t="n"/>
      <c r="G2517" s="29" t="n"/>
      <c r="H2517" s="29" t="n"/>
      <c r="I2517" s="29" t="n"/>
      <c r="J2517" s="29" t="n"/>
      <c r="K2517" s="30">
        <f>IF(B2517="","",SUM(G$2:I2517)-SUM(J$2:J2517))</f>
        <v/>
      </c>
      <c r="L2517" s="22">
        <f>IF(B2517="","",IF(B2517=B2516,L2516,N(L2516)+1))</f>
        <v/>
      </c>
    </row>
    <row r="2518">
      <c r="A2518" s="22" t="n"/>
      <c r="B2518" s="27" t="n"/>
      <c r="C2518" s="17" t="n"/>
      <c r="D2518" s="17" t="n"/>
      <c r="E2518" s="17" t="n"/>
      <c r="F2518" s="28" t="n"/>
      <c r="G2518" s="29" t="n"/>
      <c r="H2518" s="29" t="n"/>
      <c r="I2518" s="29" t="n"/>
      <c r="J2518" s="29" t="n"/>
      <c r="K2518" s="30">
        <f>IF(B2518="","",SUM(G$2:I2518)-SUM(J$2:J2518))</f>
        <v/>
      </c>
      <c r="L2518" s="22">
        <f>IF(B2518="","",IF(B2518=B2517,L2517,N(L2517)+1))</f>
        <v/>
      </c>
    </row>
    <row r="2519">
      <c r="A2519" s="22" t="n"/>
      <c r="B2519" s="27" t="n"/>
      <c r="C2519" s="17" t="n"/>
      <c r="D2519" s="17" t="n"/>
      <c r="E2519" s="17" t="n"/>
      <c r="F2519" s="28" t="n"/>
      <c r="G2519" s="29" t="n"/>
      <c r="H2519" s="29" t="n"/>
      <c r="I2519" s="29" t="n"/>
      <c r="J2519" s="29" t="n"/>
      <c r="K2519" s="30">
        <f>IF(B2519="","",SUM(G$2:I2519)-SUM(J$2:J2519))</f>
        <v/>
      </c>
      <c r="L2519" s="22">
        <f>IF(B2519="","",IF(B2519=B2518,L2518,N(L2518)+1))</f>
        <v/>
      </c>
    </row>
    <row r="2520">
      <c r="A2520" s="22" t="n"/>
      <c r="B2520" s="27" t="n"/>
      <c r="C2520" s="17" t="n"/>
      <c r="D2520" s="17" t="n"/>
      <c r="E2520" s="17" t="n"/>
      <c r="F2520" s="28" t="n"/>
      <c r="G2520" s="29" t="n"/>
      <c r="H2520" s="29" t="n"/>
      <c r="I2520" s="29" t="n"/>
      <c r="J2520" s="29" t="n"/>
      <c r="K2520" s="30">
        <f>IF(B2520="","",SUM(G$2:I2520)-SUM(J$2:J2520))</f>
        <v/>
      </c>
      <c r="L2520" s="22">
        <f>IF(B2520="","",IF(B2520=B2519,L2519,N(L2519)+1))</f>
        <v/>
      </c>
    </row>
    <row r="2521">
      <c r="A2521" s="22" t="n"/>
      <c r="B2521" s="27" t="n"/>
      <c r="C2521" s="17" t="n"/>
      <c r="D2521" s="17" t="n"/>
      <c r="E2521" s="17" t="n"/>
      <c r="F2521" s="28" t="n"/>
      <c r="G2521" s="29" t="n"/>
      <c r="H2521" s="29" t="n"/>
      <c r="I2521" s="29" t="n"/>
      <c r="J2521" s="29" t="n"/>
      <c r="K2521" s="30">
        <f>IF(B2521="","",SUM(G$2:I2521)-SUM(J$2:J2521))</f>
        <v/>
      </c>
      <c r="L2521" s="22">
        <f>IF(B2521="","",IF(B2521=B2520,L2520,N(L2520)+1))</f>
        <v/>
      </c>
    </row>
    <row r="2522">
      <c r="A2522" s="22" t="n"/>
      <c r="B2522" s="27" t="n"/>
      <c r="C2522" s="17" t="n"/>
      <c r="D2522" s="17" t="n"/>
      <c r="E2522" s="17" t="n"/>
      <c r="F2522" s="28" t="n"/>
      <c r="G2522" s="29" t="n"/>
      <c r="H2522" s="29" t="n"/>
      <c r="I2522" s="29" t="n"/>
      <c r="J2522" s="29" t="n"/>
      <c r="K2522" s="30">
        <f>IF(B2522="","",SUM(G$2:I2522)-SUM(J$2:J2522))</f>
        <v/>
      </c>
      <c r="L2522" s="22">
        <f>IF(B2522="","",IF(B2522=B2521,L2521,N(L2521)+1))</f>
        <v/>
      </c>
    </row>
    <row r="2523">
      <c r="A2523" s="22" t="n"/>
      <c r="B2523" s="27" t="n"/>
      <c r="C2523" s="17" t="n"/>
      <c r="D2523" s="17" t="n"/>
      <c r="E2523" s="17" t="n"/>
      <c r="F2523" s="28" t="n"/>
      <c r="G2523" s="29" t="n"/>
      <c r="H2523" s="29" t="n"/>
      <c r="I2523" s="29" t="n"/>
      <c r="J2523" s="29" t="n"/>
      <c r="K2523" s="30">
        <f>IF(B2523="","",SUM(G$2:I2523)-SUM(J$2:J2523))</f>
        <v/>
      </c>
      <c r="L2523" s="22">
        <f>IF(B2523="","",IF(B2523=B2522,L2522,N(L2522)+1))</f>
        <v/>
      </c>
    </row>
    <row r="2524">
      <c r="A2524" s="22" t="n"/>
      <c r="B2524" s="27" t="n"/>
      <c r="C2524" s="17" t="n"/>
      <c r="D2524" s="17" t="n"/>
      <c r="E2524" s="17" t="n"/>
      <c r="F2524" s="28" t="n"/>
      <c r="G2524" s="29" t="n"/>
      <c r="H2524" s="29" t="n"/>
      <c r="I2524" s="29" t="n"/>
      <c r="J2524" s="29" t="n"/>
      <c r="K2524" s="30">
        <f>IF(B2524="","",SUM(G$2:I2524)-SUM(J$2:J2524))</f>
        <v/>
      </c>
      <c r="L2524" s="22">
        <f>IF(B2524="","",IF(B2524=B2523,L2523,N(L2523)+1))</f>
        <v/>
      </c>
    </row>
    <row r="2525">
      <c r="A2525" s="22" t="n"/>
      <c r="B2525" s="27" t="n"/>
      <c r="C2525" s="17" t="n"/>
      <c r="D2525" s="17" t="n"/>
      <c r="E2525" s="17" t="n"/>
      <c r="F2525" s="28" t="n"/>
      <c r="G2525" s="29" t="n"/>
      <c r="H2525" s="29" t="n"/>
      <c r="I2525" s="29" t="n"/>
      <c r="J2525" s="29" t="n"/>
      <c r="K2525" s="30">
        <f>IF(B2525="","",SUM(G$2:I2525)-SUM(J$2:J2525))</f>
        <v/>
      </c>
      <c r="L2525" s="22">
        <f>IF(B2525="","",IF(B2525=B2524,L2524,N(L2524)+1))</f>
        <v/>
      </c>
    </row>
    <row r="2526">
      <c r="A2526" s="22" t="n"/>
      <c r="B2526" s="27" t="n"/>
      <c r="C2526" s="17" t="n"/>
      <c r="D2526" s="17" t="n"/>
      <c r="E2526" s="17" t="n"/>
      <c r="F2526" s="28" t="n"/>
      <c r="G2526" s="29" t="n"/>
      <c r="H2526" s="29" t="n"/>
      <c r="I2526" s="29" t="n"/>
      <c r="J2526" s="29" t="n"/>
      <c r="K2526" s="30">
        <f>IF(B2526="","",SUM(G$2:I2526)-SUM(J$2:J2526))</f>
        <v/>
      </c>
      <c r="L2526" s="22">
        <f>IF(B2526="","",IF(B2526=B2525,L2525,N(L2525)+1))</f>
        <v/>
      </c>
    </row>
    <row r="2527">
      <c r="A2527" s="22" t="n"/>
      <c r="B2527" s="27" t="n"/>
      <c r="C2527" s="17" t="n"/>
      <c r="D2527" s="17" t="n"/>
      <c r="E2527" s="17" t="n"/>
      <c r="F2527" s="28" t="n"/>
      <c r="G2527" s="29" t="n"/>
      <c r="H2527" s="29" t="n"/>
      <c r="I2527" s="29" t="n"/>
      <c r="J2527" s="29" t="n"/>
      <c r="K2527" s="30">
        <f>IF(B2527="","",SUM(G$2:I2527)-SUM(J$2:J2527))</f>
        <v/>
      </c>
      <c r="L2527" s="22">
        <f>IF(B2527="","",IF(B2527=B2526,L2526,N(L2526)+1))</f>
        <v/>
      </c>
    </row>
    <row r="2528">
      <c r="A2528" s="22" t="n"/>
      <c r="B2528" s="27" t="n"/>
      <c r="C2528" s="17" t="n"/>
      <c r="D2528" s="17" t="n"/>
      <c r="E2528" s="17" t="n"/>
      <c r="F2528" s="28" t="n"/>
      <c r="G2528" s="29" t="n"/>
      <c r="H2528" s="29" t="n"/>
      <c r="I2528" s="29" t="n"/>
      <c r="J2528" s="29" t="n"/>
      <c r="K2528" s="30">
        <f>IF(B2528="","",SUM(G$2:I2528)-SUM(J$2:J2528))</f>
        <v/>
      </c>
      <c r="L2528" s="22">
        <f>IF(B2528="","",IF(B2528=B2527,L2527,N(L2527)+1))</f>
        <v/>
      </c>
    </row>
    <row r="2529">
      <c r="A2529" s="22" t="n"/>
      <c r="B2529" s="27" t="n"/>
      <c r="C2529" s="17" t="n"/>
      <c r="D2529" s="17" t="n"/>
      <c r="E2529" s="17" t="n"/>
      <c r="F2529" s="28" t="n"/>
      <c r="G2529" s="29" t="n"/>
      <c r="H2529" s="29" t="n"/>
      <c r="I2529" s="29" t="n"/>
      <c r="J2529" s="29" t="n"/>
      <c r="K2529" s="30">
        <f>IF(B2529="","",SUM(G$2:I2529)-SUM(J$2:J2529))</f>
        <v/>
      </c>
      <c r="L2529" s="22">
        <f>IF(B2529="","",IF(B2529=B2528,L2528,N(L2528)+1))</f>
        <v/>
      </c>
    </row>
    <row r="2530">
      <c r="A2530" s="22" t="n"/>
      <c r="B2530" s="27" t="n"/>
      <c r="C2530" s="17" t="n"/>
      <c r="D2530" s="17" t="n"/>
      <c r="E2530" s="17" t="n"/>
      <c r="F2530" s="28" t="n"/>
      <c r="G2530" s="29" t="n"/>
      <c r="H2530" s="29" t="n"/>
      <c r="I2530" s="29" t="n"/>
      <c r="J2530" s="29" t="n"/>
      <c r="K2530" s="30">
        <f>IF(B2530="","",SUM(G$2:I2530)-SUM(J$2:J2530))</f>
        <v/>
      </c>
      <c r="L2530" s="22">
        <f>IF(B2530="","",IF(B2530=B2529,L2529,N(L2529)+1))</f>
        <v/>
      </c>
    </row>
    <row r="2531">
      <c r="A2531" s="22" t="n"/>
      <c r="B2531" s="27" t="n"/>
      <c r="C2531" s="17" t="n"/>
      <c r="D2531" s="17" t="n"/>
      <c r="E2531" s="17" t="n"/>
      <c r="F2531" s="28" t="n"/>
      <c r="G2531" s="29" t="n"/>
      <c r="H2531" s="29" t="n"/>
      <c r="I2531" s="29" t="n"/>
      <c r="J2531" s="29" t="n"/>
      <c r="K2531" s="30">
        <f>IF(B2531="","",SUM(G$2:I2531)-SUM(J$2:J2531))</f>
        <v/>
      </c>
      <c r="L2531" s="22">
        <f>IF(B2531="","",IF(B2531=B2530,L2530,N(L2530)+1))</f>
        <v/>
      </c>
    </row>
    <row r="2532">
      <c r="A2532" s="22" t="n"/>
      <c r="B2532" s="27" t="n"/>
      <c r="C2532" s="17" t="n"/>
      <c r="D2532" s="17" t="n"/>
      <c r="E2532" s="17" t="n"/>
      <c r="F2532" s="28" t="n"/>
      <c r="G2532" s="29" t="n"/>
      <c r="H2532" s="29" t="n"/>
      <c r="I2532" s="29" t="n"/>
      <c r="J2532" s="29" t="n"/>
      <c r="K2532" s="30">
        <f>IF(B2532="","",SUM(G$2:I2532)-SUM(J$2:J2532))</f>
        <v/>
      </c>
      <c r="L2532" s="22">
        <f>IF(B2532="","",IF(B2532=B2531,L2531,N(L2531)+1))</f>
        <v/>
      </c>
    </row>
    <row r="2533">
      <c r="A2533" s="22" t="n"/>
      <c r="B2533" s="27" t="n"/>
      <c r="C2533" s="17" t="n"/>
      <c r="D2533" s="17" t="n"/>
      <c r="E2533" s="17" t="n"/>
      <c r="F2533" s="28" t="n"/>
      <c r="G2533" s="29" t="n"/>
      <c r="H2533" s="29" t="n"/>
      <c r="I2533" s="29" t="n"/>
      <c r="J2533" s="29" t="n"/>
      <c r="K2533" s="30">
        <f>IF(B2533="","",SUM(G$2:I2533)-SUM(J$2:J2533))</f>
        <v/>
      </c>
      <c r="L2533" s="22">
        <f>IF(B2533="","",IF(B2533=B2532,L2532,N(L2532)+1))</f>
        <v/>
      </c>
    </row>
    <row r="2534">
      <c r="A2534" s="22" t="n"/>
      <c r="B2534" s="27" t="n"/>
      <c r="C2534" s="17" t="n"/>
      <c r="D2534" s="17" t="n"/>
      <c r="E2534" s="17" t="n"/>
      <c r="F2534" s="28" t="n"/>
      <c r="G2534" s="29" t="n"/>
      <c r="H2534" s="29" t="n"/>
      <c r="I2534" s="29" t="n"/>
      <c r="J2534" s="29" t="n"/>
      <c r="K2534" s="30">
        <f>IF(B2534="","",SUM(G$2:I2534)-SUM(J$2:J2534))</f>
        <v/>
      </c>
      <c r="L2534" s="22">
        <f>IF(B2534="","",IF(B2534=B2533,L2533,N(L2533)+1))</f>
        <v/>
      </c>
    </row>
    <row r="2535">
      <c r="A2535" s="22" t="n"/>
      <c r="B2535" s="27" t="n"/>
      <c r="C2535" s="17" t="n"/>
      <c r="D2535" s="17" t="n"/>
      <c r="E2535" s="17" t="n"/>
      <c r="F2535" s="28" t="n"/>
      <c r="G2535" s="29" t="n"/>
      <c r="H2535" s="29" t="n"/>
      <c r="I2535" s="29" t="n"/>
      <c r="J2535" s="29" t="n"/>
      <c r="K2535" s="30">
        <f>IF(B2535="","",SUM(G$2:I2535)-SUM(J$2:J2535))</f>
        <v/>
      </c>
      <c r="L2535" s="22">
        <f>IF(B2535="","",IF(B2535=B2534,L2534,N(L2534)+1))</f>
        <v/>
      </c>
    </row>
    <row r="2536">
      <c r="A2536" s="22" t="n"/>
      <c r="B2536" s="27" t="n"/>
      <c r="C2536" s="17" t="n"/>
      <c r="D2536" s="17" t="n"/>
      <c r="E2536" s="17" t="n"/>
      <c r="F2536" s="28" t="n"/>
      <c r="G2536" s="29" t="n"/>
      <c r="H2536" s="29" t="n"/>
      <c r="I2536" s="29" t="n"/>
      <c r="J2536" s="29" t="n"/>
      <c r="K2536" s="30">
        <f>IF(B2536="","",SUM(G$2:I2536)-SUM(J$2:J2536))</f>
        <v/>
      </c>
      <c r="L2536" s="22">
        <f>IF(B2536="","",IF(B2536=B2535,L2535,N(L2535)+1))</f>
        <v/>
      </c>
    </row>
    <row r="2537">
      <c r="A2537" s="22" t="n"/>
      <c r="B2537" s="27" t="n"/>
      <c r="C2537" s="17" t="n"/>
      <c r="D2537" s="17" t="n"/>
      <c r="E2537" s="17" t="n"/>
      <c r="F2537" s="28" t="n"/>
      <c r="G2537" s="29" t="n"/>
      <c r="H2537" s="29" t="n"/>
      <c r="I2537" s="29" t="n"/>
      <c r="J2537" s="29" t="n"/>
      <c r="K2537" s="30">
        <f>IF(B2537="","",SUM(G$2:I2537)-SUM(J$2:J2537))</f>
        <v/>
      </c>
      <c r="L2537" s="22">
        <f>IF(B2537="","",IF(B2537=B2536,L2536,N(L2536)+1))</f>
        <v/>
      </c>
    </row>
    <row r="2538">
      <c r="A2538" s="22" t="n"/>
      <c r="B2538" s="27" t="n"/>
      <c r="C2538" s="17" t="n"/>
      <c r="D2538" s="17" t="n"/>
      <c r="E2538" s="17" t="n"/>
      <c r="F2538" s="28" t="n"/>
      <c r="G2538" s="29" t="n"/>
      <c r="H2538" s="29" t="n"/>
      <c r="I2538" s="29" t="n"/>
      <c r="J2538" s="29" t="n"/>
      <c r="K2538" s="30">
        <f>IF(B2538="","",SUM(G$2:I2538)-SUM(J$2:J2538))</f>
        <v/>
      </c>
      <c r="L2538" s="22">
        <f>IF(B2538="","",IF(B2538=B2537,L2537,N(L2537)+1))</f>
        <v/>
      </c>
    </row>
    <row r="2539">
      <c r="A2539" s="22" t="n"/>
      <c r="B2539" s="27" t="n"/>
      <c r="C2539" s="17" t="n"/>
      <c r="D2539" s="17" t="n"/>
      <c r="E2539" s="17" t="n"/>
      <c r="F2539" s="28" t="n"/>
      <c r="G2539" s="29" t="n"/>
      <c r="H2539" s="29" t="n"/>
      <c r="I2539" s="29" t="n"/>
      <c r="J2539" s="29" t="n"/>
      <c r="K2539" s="30">
        <f>IF(B2539="","",SUM(G$2:I2539)-SUM(J$2:J2539))</f>
        <v/>
      </c>
      <c r="L2539" s="22">
        <f>IF(B2539="","",IF(B2539=B2538,L2538,N(L2538)+1))</f>
        <v/>
      </c>
    </row>
    <row r="2540">
      <c r="A2540" s="22" t="n"/>
      <c r="B2540" s="27" t="n"/>
      <c r="C2540" s="17" t="n"/>
      <c r="D2540" s="17" t="n"/>
      <c r="E2540" s="17" t="n"/>
      <c r="F2540" s="28" t="n"/>
      <c r="G2540" s="29" t="n"/>
      <c r="H2540" s="29" t="n"/>
      <c r="I2540" s="29" t="n"/>
      <c r="J2540" s="29" t="n"/>
      <c r="K2540" s="30">
        <f>IF(B2540="","",SUM(G$2:I2540)-SUM(J$2:J2540))</f>
        <v/>
      </c>
      <c r="L2540" s="22">
        <f>IF(B2540="","",IF(B2540=B2539,L2539,N(L2539)+1))</f>
        <v/>
      </c>
    </row>
    <row r="2541">
      <c r="A2541" s="22" t="n"/>
      <c r="B2541" s="27" t="n"/>
      <c r="C2541" s="17" t="n"/>
      <c r="D2541" s="17" t="n"/>
      <c r="E2541" s="17" t="n"/>
      <c r="F2541" s="28" t="n"/>
      <c r="G2541" s="29" t="n"/>
      <c r="H2541" s="29" t="n"/>
      <c r="I2541" s="29" t="n"/>
      <c r="J2541" s="29" t="n"/>
      <c r="K2541" s="30">
        <f>IF(B2541="","",SUM(G$2:I2541)-SUM(J$2:J2541))</f>
        <v/>
      </c>
      <c r="L2541" s="22">
        <f>IF(B2541="","",IF(B2541=B2540,L2540,N(L2540)+1))</f>
        <v/>
      </c>
    </row>
    <row r="2542">
      <c r="A2542" s="22" t="n"/>
      <c r="B2542" s="27" t="n"/>
      <c r="C2542" s="17" t="n"/>
      <c r="D2542" s="17" t="n"/>
      <c r="E2542" s="17" t="n"/>
      <c r="F2542" s="28" t="n"/>
      <c r="G2542" s="29" t="n"/>
      <c r="H2542" s="29" t="n"/>
      <c r="I2542" s="29" t="n"/>
      <c r="J2542" s="29" t="n"/>
      <c r="K2542" s="30">
        <f>IF(B2542="","",SUM(G$2:I2542)-SUM(J$2:J2542))</f>
        <v/>
      </c>
      <c r="L2542" s="22">
        <f>IF(B2542="","",IF(B2542=B2541,L2541,N(L2541)+1))</f>
        <v/>
      </c>
    </row>
    <row r="2543">
      <c r="A2543" s="22" t="n"/>
      <c r="B2543" s="27" t="n"/>
      <c r="C2543" s="17" t="n"/>
      <c r="D2543" s="17" t="n"/>
      <c r="E2543" s="17" t="n"/>
      <c r="F2543" s="28" t="n"/>
      <c r="G2543" s="29" t="n"/>
      <c r="H2543" s="29" t="n"/>
      <c r="I2543" s="29" t="n"/>
      <c r="J2543" s="29" t="n"/>
      <c r="K2543" s="30">
        <f>IF(B2543="","",SUM(G$2:I2543)-SUM(J$2:J2543))</f>
        <v/>
      </c>
      <c r="L2543" s="22">
        <f>IF(B2543="","",IF(B2543=B2542,L2542,N(L2542)+1))</f>
        <v/>
      </c>
    </row>
    <row r="2544">
      <c r="A2544" s="22" t="n"/>
      <c r="B2544" s="27" t="n"/>
      <c r="C2544" s="17" t="n"/>
      <c r="D2544" s="17" t="n"/>
      <c r="E2544" s="17" t="n"/>
      <c r="F2544" s="28" t="n"/>
      <c r="G2544" s="29" t="n"/>
      <c r="H2544" s="29" t="n"/>
      <c r="I2544" s="29" t="n"/>
      <c r="J2544" s="29" t="n"/>
      <c r="K2544" s="30">
        <f>IF(B2544="","",SUM(G$2:I2544)-SUM(J$2:J2544))</f>
        <v/>
      </c>
      <c r="L2544" s="22">
        <f>IF(B2544="","",IF(B2544=B2543,L2543,N(L2543)+1))</f>
        <v/>
      </c>
    </row>
    <row r="2545">
      <c r="A2545" s="22" t="n"/>
      <c r="B2545" s="27" t="n"/>
      <c r="C2545" s="17" t="n"/>
      <c r="D2545" s="17" t="n"/>
      <c r="E2545" s="17" t="n"/>
      <c r="F2545" s="28" t="n"/>
      <c r="G2545" s="29" t="n"/>
      <c r="H2545" s="29" t="n"/>
      <c r="I2545" s="29" t="n"/>
      <c r="J2545" s="29" t="n"/>
      <c r="K2545" s="30">
        <f>IF(B2545="","",SUM(G$2:I2545)-SUM(J$2:J2545))</f>
        <v/>
      </c>
      <c r="L2545" s="22">
        <f>IF(B2545="","",IF(B2545=B2544,L2544,N(L2544)+1))</f>
        <v/>
      </c>
    </row>
    <row r="2546">
      <c r="A2546" s="22" t="n"/>
      <c r="B2546" s="27" t="n"/>
      <c r="C2546" s="17" t="n"/>
      <c r="D2546" s="17" t="n"/>
      <c r="E2546" s="17" t="n"/>
      <c r="F2546" s="28" t="n"/>
      <c r="G2546" s="29" t="n"/>
      <c r="H2546" s="29" t="n"/>
      <c r="I2546" s="29" t="n"/>
      <c r="J2546" s="29" t="n"/>
      <c r="K2546" s="30">
        <f>IF(B2546="","",SUM(G$2:I2546)-SUM(J$2:J2546))</f>
        <v/>
      </c>
      <c r="L2546" s="22">
        <f>IF(B2546="","",IF(B2546=B2545,L2545,N(L2545)+1))</f>
        <v/>
      </c>
    </row>
    <row r="2547">
      <c r="A2547" s="22" t="n"/>
      <c r="B2547" s="27" t="n"/>
      <c r="C2547" s="17" t="n"/>
      <c r="D2547" s="17" t="n"/>
      <c r="E2547" s="17" t="n"/>
      <c r="F2547" s="28" t="n"/>
      <c r="G2547" s="29" t="n"/>
      <c r="H2547" s="29" t="n"/>
      <c r="I2547" s="29" t="n"/>
      <c r="J2547" s="29" t="n"/>
      <c r="K2547" s="30">
        <f>IF(B2547="","",SUM(G$2:I2547)-SUM(J$2:J2547))</f>
        <v/>
      </c>
      <c r="L2547" s="22">
        <f>IF(B2547="","",IF(B2547=B2546,L2546,N(L2546)+1))</f>
        <v/>
      </c>
    </row>
    <row r="2548">
      <c r="A2548" s="22" t="n"/>
      <c r="B2548" s="27" t="n"/>
      <c r="C2548" s="17" t="n"/>
      <c r="D2548" s="17" t="n"/>
      <c r="E2548" s="17" t="n"/>
      <c r="F2548" s="28" t="n"/>
      <c r="G2548" s="29" t="n"/>
      <c r="H2548" s="29" t="n"/>
      <c r="I2548" s="29" t="n"/>
      <c r="J2548" s="29" t="n"/>
      <c r="K2548" s="30">
        <f>IF(B2548="","",SUM(G$2:I2548)-SUM(J$2:J2548))</f>
        <v/>
      </c>
      <c r="L2548" s="22">
        <f>IF(B2548="","",IF(B2548=B2547,L2547,N(L2547)+1))</f>
        <v/>
      </c>
    </row>
    <row r="2549">
      <c r="A2549" s="22" t="n"/>
      <c r="B2549" s="27" t="n"/>
      <c r="C2549" s="17" t="n"/>
      <c r="D2549" s="17" t="n"/>
      <c r="E2549" s="17" t="n"/>
      <c r="F2549" s="28" t="n"/>
      <c r="G2549" s="29" t="n"/>
      <c r="H2549" s="29" t="n"/>
      <c r="I2549" s="29" t="n"/>
      <c r="J2549" s="29" t="n"/>
      <c r="K2549" s="30">
        <f>IF(B2549="","",SUM(G$2:I2549)-SUM(J$2:J2549))</f>
        <v/>
      </c>
      <c r="L2549" s="22">
        <f>IF(B2549="","",IF(B2549=B2548,L2548,N(L2548)+1))</f>
        <v/>
      </c>
    </row>
    <row r="2550">
      <c r="A2550" s="22" t="n"/>
      <c r="B2550" s="27" t="n"/>
      <c r="C2550" s="17" t="n"/>
      <c r="D2550" s="17" t="n"/>
      <c r="E2550" s="17" t="n"/>
      <c r="F2550" s="28" t="n"/>
      <c r="G2550" s="29" t="n"/>
      <c r="H2550" s="29" t="n"/>
      <c r="I2550" s="29" t="n"/>
      <c r="J2550" s="29" t="n"/>
      <c r="K2550" s="30">
        <f>IF(B2550="","",SUM(G$2:I2550)-SUM(J$2:J2550))</f>
        <v/>
      </c>
      <c r="L2550" s="22">
        <f>IF(B2550="","",IF(B2550=B2549,L2549,N(L2549)+1))</f>
        <v/>
      </c>
    </row>
    <row r="2551">
      <c r="A2551" s="22" t="n"/>
      <c r="B2551" s="27" t="n"/>
      <c r="C2551" s="17" t="n"/>
      <c r="D2551" s="17" t="n"/>
      <c r="E2551" s="17" t="n"/>
      <c r="F2551" s="28" t="n"/>
      <c r="G2551" s="29" t="n"/>
      <c r="H2551" s="29" t="n"/>
      <c r="I2551" s="29" t="n"/>
      <c r="J2551" s="29" t="n"/>
      <c r="K2551" s="30">
        <f>IF(B2551="","",SUM(G$2:I2551)-SUM(J$2:J2551))</f>
        <v/>
      </c>
      <c r="L2551" s="22">
        <f>IF(B2551="","",IF(B2551=B2550,L2550,N(L2550)+1))</f>
        <v/>
      </c>
    </row>
    <row r="2552">
      <c r="A2552" s="22" t="n"/>
      <c r="B2552" s="27" t="n"/>
      <c r="C2552" s="17" t="n"/>
      <c r="D2552" s="17" t="n"/>
      <c r="E2552" s="17" t="n"/>
      <c r="F2552" s="28" t="n"/>
      <c r="G2552" s="29" t="n"/>
      <c r="H2552" s="29" t="n"/>
      <c r="I2552" s="29" t="n"/>
      <c r="J2552" s="29" t="n"/>
      <c r="K2552" s="30">
        <f>IF(B2552="","",SUM(G$2:I2552)-SUM(J$2:J2552))</f>
        <v/>
      </c>
      <c r="L2552" s="22">
        <f>IF(B2552="","",IF(B2552=B2551,L2551,N(L2551)+1))</f>
        <v/>
      </c>
    </row>
    <row r="2553">
      <c r="A2553" s="22" t="n"/>
      <c r="B2553" s="27" t="n"/>
      <c r="C2553" s="17" t="n"/>
      <c r="D2553" s="17" t="n"/>
      <c r="E2553" s="17" t="n"/>
      <c r="F2553" s="28" t="n"/>
      <c r="G2553" s="29" t="n"/>
      <c r="H2553" s="29" t="n"/>
      <c r="I2553" s="29" t="n"/>
      <c r="J2553" s="29" t="n"/>
      <c r="K2553" s="30">
        <f>IF(B2553="","",SUM(G$2:I2553)-SUM(J$2:J2553))</f>
        <v/>
      </c>
      <c r="L2553" s="22">
        <f>IF(B2553="","",IF(B2553=B2552,L2552,N(L2552)+1))</f>
        <v/>
      </c>
    </row>
    <row r="2554">
      <c r="A2554" s="22" t="n"/>
      <c r="B2554" s="27" t="n"/>
      <c r="C2554" s="17" t="n"/>
      <c r="D2554" s="17" t="n"/>
      <c r="E2554" s="17" t="n"/>
      <c r="F2554" s="28" t="n"/>
      <c r="G2554" s="29" t="n"/>
      <c r="H2554" s="29" t="n"/>
      <c r="I2554" s="29" t="n"/>
      <c r="J2554" s="29" t="n"/>
      <c r="K2554" s="30">
        <f>IF(B2554="","",SUM(G$2:I2554)-SUM(J$2:J2554))</f>
        <v/>
      </c>
      <c r="L2554" s="22">
        <f>IF(B2554="","",IF(B2554=B2553,L2553,N(L2553)+1))</f>
        <v/>
      </c>
    </row>
    <row r="2555">
      <c r="A2555" s="22" t="n"/>
      <c r="B2555" s="27" t="n"/>
      <c r="C2555" s="17" t="n"/>
      <c r="D2555" s="17" t="n"/>
      <c r="E2555" s="17" t="n"/>
      <c r="F2555" s="28" t="n"/>
      <c r="G2555" s="29" t="n"/>
      <c r="H2555" s="29" t="n"/>
      <c r="I2555" s="29" t="n"/>
      <c r="J2555" s="29" t="n"/>
      <c r="K2555" s="30">
        <f>IF(B2555="","",SUM(G$2:I2555)-SUM(J$2:J2555))</f>
        <v/>
      </c>
      <c r="L2555" s="22">
        <f>IF(B2555="","",IF(B2555=B2554,L2554,N(L2554)+1))</f>
        <v/>
      </c>
    </row>
    <row r="2556">
      <c r="A2556" s="22" t="n"/>
      <c r="B2556" s="27" t="n"/>
      <c r="C2556" s="17" t="n"/>
      <c r="D2556" s="17" t="n"/>
      <c r="E2556" s="17" t="n"/>
      <c r="F2556" s="28" t="n"/>
      <c r="G2556" s="29" t="n"/>
      <c r="H2556" s="29" t="n"/>
      <c r="I2556" s="29" t="n"/>
      <c r="J2556" s="29" t="n"/>
      <c r="K2556" s="30">
        <f>IF(B2556="","",SUM(G$2:I2556)-SUM(J$2:J2556))</f>
        <v/>
      </c>
      <c r="L2556" s="22">
        <f>IF(B2556="","",IF(B2556=B2555,L2555,N(L2555)+1))</f>
        <v/>
      </c>
    </row>
    <row r="2557">
      <c r="A2557" s="22" t="n"/>
      <c r="B2557" s="27" t="n"/>
      <c r="C2557" s="17" t="n"/>
      <c r="D2557" s="17" t="n"/>
      <c r="E2557" s="17" t="n"/>
      <c r="F2557" s="28" t="n"/>
      <c r="G2557" s="29" t="n"/>
      <c r="H2557" s="29" t="n"/>
      <c r="I2557" s="29" t="n"/>
      <c r="J2557" s="29" t="n"/>
      <c r="K2557" s="30">
        <f>IF(B2557="","",SUM(G$2:I2557)-SUM(J$2:J2557))</f>
        <v/>
      </c>
      <c r="L2557" s="22">
        <f>IF(B2557="","",IF(B2557=B2556,L2556,N(L2556)+1))</f>
        <v/>
      </c>
    </row>
    <row r="2558">
      <c r="A2558" s="22" t="n"/>
      <c r="B2558" s="27" t="n"/>
      <c r="C2558" s="17" t="n"/>
      <c r="D2558" s="17" t="n"/>
      <c r="E2558" s="17" t="n"/>
      <c r="F2558" s="28" t="n"/>
      <c r="G2558" s="29" t="n"/>
      <c r="H2558" s="29" t="n"/>
      <c r="I2558" s="29" t="n"/>
      <c r="J2558" s="29" t="n"/>
      <c r="K2558" s="30">
        <f>IF(B2558="","",SUM(G$2:I2558)-SUM(J$2:J2558))</f>
        <v/>
      </c>
      <c r="L2558" s="22">
        <f>IF(B2558="","",IF(B2558=B2557,L2557,N(L2557)+1))</f>
        <v/>
      </c>
    </row>
    <row r="2559">
      <c r="A2559" s="22" t="n"/>
      <c r="B2559" s="27" t="n"/>
      <c r="C2559" s="17" t="n"/>
      <c r="D2559" s="17" t="n"/>
      <c r="E2559" s="17" t="n"/>
      <c r="F2559" s="28" t="n"/>
      <c r="G2559" s="29" t="n"/>
      <c r="H2559" s="29" t="n"/>
      <c r="I2559" s="29" t="n"/>
      <c r="J2559" s="29" t="n"/>
      <c r="K2559" s="30">
        <f>IF(B2559="","",SUM(G$2:I2559)-SUM(J$2:J2559))</f>
        <v/>
      </c>
      <c r="L2559" s="22">
        <f>IF(B2559="","",IF(B2559=B2558,L2558,N(L2558)+1))</f>
        <v/>
      </c>
    </row>
    <row r="2560">
      <c r="A2560" s="22" t="n"/>
      <c r="B2560" s="27" t="n"/>
      <c r="C2560" s="17" t="n"/>
      <c r="D2560" s="17" t="n"/>
      <c r="E2560" s="17" t="n"/>
      <c r="F2560" s="28" t="n"/>
      <c r="G2560" s="29" t="n"/>
      <c r="H2560" s="29" t="n"/>
      <c r="I2560" s="29" t="n"/>
      <c r="J2560" s="29" t="n"/>
      <c r="K2560" s="30">
        <f>IF(B2560="","",SUM(G$2:I2560)-SUM(J$2:J2560))</f>
        <v/>
      </c>
      <c r="L2560" s="22">
        <f>IF(B2560="","",IF(B2560=B2559,L2559,N(L2559)+1))</f>
        <v/>
      </c>
    </row>
    <row r="2561">
      <c r="A2561" s="22" t="n"/>
      <c r="B2561" s="27" t="n"/>
      <c r="C2561" s="17" t="n"/>
      <c r="D2561" s="17" t="n"/>
      <c r="E2561" s="17" t="n"/>
      <c r="F2561" s="28" t="n"/>
      <c r="G2561" s="29" t="n"/>
      <c r="H2561" s="29" t="n"/>
      <c r="I2561" s="29" t="n"/>
      <c r="J2561" s="29" t="n"/>
      <c r="K2561" s="30">
        <f>IF(B2561="","",SUM(G$2:I2561)-SUM(J$2:J2561))</f>
        <v/>
      </c>
      <c r="L2561" s="22">
        <f>IF(B2561="","",IF(B2561=B2560,L2560,N(L2560)+1))</f>
        <v/>
      </c>
    </row>
    <row r="2562">
      <c r="A2562" s="22" t="n"/>
      <c r="B2562" s="27" t="n"/>
      <c r="C2562" s="17" t="n"/>
      <c r="D2562" s="17" t="n"/>
      <c r="E2562" s="17" t="n"/>
      <c r="F2562" s="28" t="n"/>
      <c r="G2562" s="29" t="n"/>
      <c r="H2562" s="29" t="n"/>
      <c r="I2562" s="29" t="n"/>
      <c r="J2562" s="29" t="n"/>
      <c r="K2562" s="30">
        <f>IF(B2562="","",SUM(G$2:I2562)-SUM(J$2:J2562))</f>
        <v/>
      </c>
      <c r="L2562" s="22">
        <f>IF(B2562="","",IF(B2562=B2561,L2561,N(L2561)+1))</f>
        <v/>
      </c>
    </row>
    <row r="2563">
      <c r="A2563" s="22" t="n"/>
      <c r="B2563" s="27" t="n"/>
      <c r="C2563" s="17" t="n"/>
      <c r="D2563" s="17" t="n"/>
      <c r="E2563" s="17" t="n"/>
      <c r="F2563" s="28" t="n"/>
      <c r="G2563" s="29" t="n"/>
      <c r="H2563" s="29" t="n"/>
      <c r="I2563" s="29" t="n"/>
      <c r="J2563" s="29" t="n"/>
      <c r="K2563" s="30">
        <f>IF(B2563="","",SUM(G$2:I2563)-SUM(J$2:J2563))</f>
        <v/>
      </c>
      <c r="L2563" s="22">
        <f>IF(B2563="","",IF(B2563=B2562,L2562,N(L2562)+1))</f>
        <v/>
      </c>
    </row>
    <row r="2564">
      <c r="A2564" s="22" t="n"/>
      <c r="B2564" s="27" t="n"/>
      <c r="C2564" s="17" t="n"/>
      <c r="D2564" s="17" t="n"/>
      <c r="E2564" s="17" t="n"/>
      <c r="F2564" s="28" t="n"/>
      <c r="G2564" s="29" t="n"/>
      <c r="H2564" s="29" t="n"/>
      <c r="I2564" s="29" t="n"/>
      <c r="J2564" s="29" t="n"/>
      <c r="K2564" s="30">
        <f>IF(B2564="","",SUM(G$2:I2564)-SUM(J$2:J2564))</f>
        <v/>
      </c>
      <c r="L2564" s="22">
        <f>IF(B2564="","",IF(B2564=B2563,L2563,N(L2563)+1))</f>
        <v/>
      </c>
    </row>
    <row r="2565">
      <c r="A2565" s="22" t="n"/>
      <c r="B2565" s="27" t="n"/>
      <c r="C2565" s="17" t="n"/>
      <c r="D2565" s="17" t="n"/>
      <c r="E2565" s="17" t="n"/>
      <c r="F2565" s="28" t="n"/>
      <c r="G2565" s="29" t="n"/>
      <c r="H2565" s="29" t="n"/>
      <c r="I2565" s="29" t="n"/>
      <c r="J2565" s="29" t="n"/>
      <c r="K2565" s="30">
        <f>IF(B2565="","",SUM(G$2:I2565)-SUM(J$2:J2565))</f>
        <v/>
      </c>
      <c r="L2565" s="22">
        <f>IF(B2565="","",IF(B2565=B2564,L2564,N(L2564)+1))</f>
        <v/>
      </c>
    </row>
    <row r="2566">
      <c r="A2566" s="22" t="n"/>
      <c r="B2566" s="27" t="n"/>
      <c r="C2566" s="17" t="n"/>
      <c r="D2566" s="17" t="n"/>
      <c r="E2566" s="17" t="n"/>
      <c r="F2566" s="28" t="n"/>
      <c r="G2566" s="29" t="n"/>
      <c r="H2566" s="29" t="n"/>
      <c r="I2566" s="29" t="n"/>
      <c r="J2566" s="29" t="n"/>
      <c r="K2566" s="30">
        <f>IF(B2566="","",SUM(G$2:I2566)-SUM(J$2:J2566))</f>
        <v/>
      </c>
      <c r="L2566" s="22">
        <f>IF(B2566="","",IF(B2566=B2565,L2565,N(L2565)+1))</f>
        <v/>
      </c>
    </row>
    <row r="2567">
      <c r="A2567" s="22" t="n"/>
      <c r="B2567" s="27" t="n"/>
      <c r="C2567" s="17" t="n"/>
      <c r="D2567" s="17" t="n"/>
      <c r="E2567" s="17" t="n"/>
      <c r="F2567" s="28" t="n"/>
      <c r="G2567" s="29" t="n"/>
      <c r="H2567" s="29" t="n"/>
      <c r="I2567" s="29" t="n"/>
      <c r="J2567" s="29" t="n"/>
      <c r="K2567" s="30">
        <f>IF(B2567="","",SUM(G$2:I2567)-SUM(J$2:J2567))</f>
        <v/>
      </c>
      <c r="L2567" s="22">
        <f>IF(B2567="","",IF(B2567=B2566,L2566,N(L2566)+1))</f>
        <v/>
      </c>
    </row>
    <row r="2568">
      <c r="A2568" s="22" t="n"/>
      <c r="B2568" s="27" t="n"/>
      <c r="C2568" s="17" t="n"/>
      <c r="D2568" s="17" t="n"/>
      <c r="E2568" s="17" t="n"/>
      <c r="F2568" s="28" t="n"/>
      <c r="G2568" s="29" t="n"/>
      <c r="H2568" s="29" t="n"/>
      <c r="I2568" s="29" t="n"/>
      <c r="J2568" s="29" t="n"/>
      <c r="K2568" s="30">
        <f>IF(B2568="","",SUM(G$2:I2568)-SUM(J$2:J2568))</f>
        <v/>
      </c>
      <c r="L2568" s="22">
        <f>IF(B2568="","",IF(B2568=B2567,L2567,N(L2567)+1))</f>
        <v/>
      </c>
    </row>
    <row r="2569">
      <c r="A2569" s="22" t="n"/>
      <c r="B2569" s="27" t="n"/>
      <c r="C2569" s="17" t="n"/>
      <c r="D2569" s="17" t="n"/>
      <c r="E2569" s="17" t="n"/>
      <c r="F2569" s="28" t="n"/>
      <c r="G2569" s="29" t="n"/>
      <c r="H2569" s="29" t="n"/>
      <c r="I2569" s="29" t="n"/>
      <c r="J2569" s="29" t="n"/>
      <c r="K2569" s="30">
        <f>IF(B2569="","",SUM(G$2:I2569)-SUM(J$2:J2569))</f>
        <v/>
      </c>
      <c r="L2569" s="22">
        <f>IF(B2569="","",IF(B2569=B2568,L2568,N(L2568)+1))</f>
        <v/>
      </c>
    </row>
    <row r="2570">
      <c r="A2570" s="22" t="n"/>
      <c r="B2570" s="27" t="n"/>
      <c r="C2570" s="17" t="n"/>
      <c r="D2570" s="17" t="n"/>
      <c r="E2570" s="17" t="n"/>
      <c r="F2570" s="28" t="n"/>
      <c r="G2570" s="29" t="n"/>
      <c r="H2570" s="29" t="n"/>
      <c r="I2570" s="29" t="n"/>
      <c r="J2570" s="29" t="n"/>
      <c r="K2570" s="30">
        <f>IF(B2570="","",SUM(G$2:I2570)-SUM(J$2:J2570))</f>
        <v/>
      </c>
      <c r="L2570" s="22">
        <f>IF(B2570="","",IF(B2570=B2569,L2569,N(L2569)+1))</f>
        <v/>
      </c>
    </row>
    <row r="2571">
      <c r="A2571" s="22" t="n"/>
      <c r="B2571" s="27" t="n"/>
      <c r="C2571" s="17" t="n"/>
      <c r="D2571" s="17" t="n"/>
      <c r="E2571" s="17" t="n"/>
      <c r="F2571" s="28" t="n"/>
      <c r="G2571" s="29" t="n"/>
      <c r="H2571" s="29" t="n"/>
      <c r="I2571" s="29" t="n"/>
      <c r="J2571" s="29" t="n"/>
      <c r="K2571" s="30">
        <f>IF(B2571="","",SUM(G$2:I2571)-SUM(J$2:J2571))</f>
        <v/>
      </c>
      <c r="L2571" s="22">
        <f>IF(B2571="","",IF(B2571=B2570,L2570,N(L2570)+1))</f>
        <v/>
      </c>
    </row>
    <row r="2572">
      <c r="A2572" s="22" t="n"/>
      <c r="B2572" s="27" t="n"/>
      <c r="C2572" s="17" t="n"/>
      <c r="D2572" s="17" t="n"/>
      <c r="E2572" s="17" t="n"/>
      <c r="F2572" s="28" t="n"/>
      <c r="G2572" s="29" t="n"/>
      <c r="H2572" s="29" t="n"/>
      <c r="I2572" s="29" t="n"/>
      <c r="J2572" s="29" t="n"/>
      <c r="K2572" s="30">
        <f>IF(B2572="","",SUM(G$2:I2572)-SUM(J$2:J2572))</f>
        <v/>
      </c>
      <c r="L2572" s="22">
        <f>IF(B2572="","",IF(B2572=B2571,L2571,N(L2571)+1))</f>
        <v/>
      </c>
    </row>
    <row r="2573">
      <c r="A2573" s="22" t="n"/>
      <c r="B2573" s="27" t="n"/>
      <c r="C2573" s="17" t="n"/>
      <c r="D2573" s="17" t="n"/>
      <c r="E2573" s="17" t="n"/>
      <c r="F2573" s="28" t="n"/>
      <c r="G2573" s="29" t="n"/>
      <c r="H2573" s="29" t="n"/>
      <c r="I2573" s="29" t="n"/>
      <c r="J2573" s="29" t="n"/>
      <c r="K2573" s="30">
        <f>IF(B2573="","",SUM(G$2:I2573)-SUM(J$2:J2573))</f>
        <v/>
      </c>
      <c r="L2573" s="22">
        <f>IF(B2573="","",IF(B2573=B2572,L2572,N(L2572)+1))</f>
        <v/>
      </c>
    </row>
    <row r="2574">
      <c r="A2574" s="22" t="n"/>
      <c r="B2574" s="27" t="n"/>
      <c r="C2574" s="17" t="n"/>
      <c r="D2574" s="17" t="n"/>
      <c r="E2574" s="17" t="n"/>
      <c r="F2574" s="28" t="n"/>
      <c r="G2574" s="29" t="n"/>
      <c r="H2574" s="29" t="n"/>
      <c r="I2574" s="29" t="n"/>
      <c r="J2574" s="29" t="n"/>
      <c r="K2574" s="30">
        <f>IF(B2574="","",SUM(G$2:I2574)-SUM(J$2:J2574))</f>
        <v/>
      </c>
      <c r="L2574" s="22">
        <f>IF(B2574="","",IF(B2574=B2573,L2573,N(L2573)+1))</f>
        <v/>
      </c>
    </row>
    <row r="2575">
      <c r="A2575" s="22" t="n"/>
      <c r="B2575" s="27" t="n"/>
      <c r="C2575" s="17" t="n"/>
      <c r="D2575" s="17" t="n"/>
      <c r="E2575" s="17" t="n"/>
      <c r="F2575" s="28" t="n"/>
      <c r="G2575" s="29" t="n"/>
      <c r="H2575" s="29" t="n"/>
      <c r="I2575" s="29" t="n"/>
      <c r="J2575" s="29" t="n"/>
      <c r="K2575" s="30">
        <f>IF(B2575="","",SUM(G$2:I2575)-SUM(J$2:J2575))</f>
        <v/>
      </c>
      <c r="L2575" s="22">
        <f>IF(B2575="","",IF(B2575=B2574,L2574,N(L2574)+1))</f>
        <v/>
      </c>
    </row>
    <row r="2576">
      <c r="A2576" s="22" t="n"/>
      <c r="B2576" s="27" t="n"/>
      <c r="C2576" s="17" t="n"/>
      <c r="D2576" s="17" t="n"/>
      <c r="E2576" s="17" t="n"/>
      <c r="F2576" s="28" t="n"/>
      <c r="G2576" s="29" t="n"/>
      <c r="H2576" s="29" t="n"/>
      <c r="I2576" s="29" t="n"/>
      <c r="J2576" s="29" t="n"/>
      <c r="K2576" s="30">
        <f>IF(B2576="","",SUM(G$2:I2576)-SUM(J$2:J2576))</f>
        <v/>
      </c>
      <c r="L2576" s="22">
        <f>IF(B2576="","",IF(B2576=B2575,L2575,N(L2575)+1))</f>
        <v/>
      </c>
    </row>
    <row r="2577">
      <c r="A2577" s="22" t="n"/>
      <c r="B2577" s="27" t="n"/>
      <c r="C2577" s="17" t="n"/>
      <c r="D2577" s="17" t="n"/>
      <c r="E2577" s="17" t="n"/>
      <c r="F2577" s="28" t="n"/>
      <c r="G2577" s="29" t="n"/>
      <c r="H2577" s="29" t="n"/>
      <c r="I2577" s="29" t="n"/>
      <c r="J2577" s="29" t="n"/>
      <c r="K2577" s="30">
        <f>IF(B2577="","",SUM(G$2:I2577)-SUM(J$2:J2577))</f>
        <v/>
      </c>
      <c r="L2577" s="22">
        <f>IF(B2577="","",IF(B2577=B2576,L2576,N(L2576)+1))</f>
        <v/>
      </c>
    </row>
    <row r="2578">
      <c r="A2578" s="22" t="n"/>
      <c r="B2578" s="27" t="n"/>
      <c r="C2578" s="17" t="n"/>
      <c r="D2578" s="17" t="n"/>
      <c r="E2578" s="17" t="n"/>
      <c r="F2578" s="28" t="n"/>
      <c r="G2578" s="29" t="n"/>
      <c r="H2578" s="29" t="n"/>
      <c r="I2578" s="29" t="n"/>
      <c r="J2578" s="29" t="n"/>
      <c r="K2578" s="30">
        <f>IF(B2578="","",SUM(G$2:I2578)-SUM(J$2:J2578))</f>
        <v/>
      </c>
      <c r="L2578" s="22">
        <f>IF(B2578="","",IF(B2578=B2577,L2577,N(L2577)+1))</f>
        <v/>
      </c>
    </row>
    <row r="2579">
      <c r="A2579" s="22" t="n"/>
      <c r="B2579" s="27" t="n"/>
      <c r="C2579" s="17" t="n"/>
      <c r="D2579" s="17" t="n"/>
      <c r="E2579" s="17" t="n"/>
      <c r="F2579" s="28" t="n"/>
      <c r="G2579" s="29" t="n"/>
      <c r="H2579" s="29" t="n"/>
      <c r="I2579" s="29" t="n"/>
      <c r="J2579" s="29" t="n"/>
      <c r="K2579" s="30">
        <f>IF(B2579="","",SUM(G$2:I2579)-SUM(J$2:J2579))</f>
        <v/>
      </c>
      <c r="L2579" s="22">
        <f>IF(B2579="","",IF(B2579=B2578,L2578,N(L2578)+1))</f>
        <v/>
      </c>
    </row>
    <row r="2580">
      <c r="A2580" s="22" t="n"/>
      <c r="B2580" s="27" t="n"/>
      <c r="C2580" s="17" t="n"/>
      <c r="D2580" s="17" t="n"/>
      <c r="E2580" s="17" t="n"/>
      <c r="F2580" s="28" t="n"/>
      <c r="G2580" s="29" t="n"/>
      <c r="H2580" s="29" t="n"/>
      <c r="I2580" s="29" t="n"/>
      <c r="J2580" s="29" t="n"/>
      <c r="K2580" s="30">
        <f>IF(B2580="","",SUM(G$2:I2580)-SUM(J$2:J2580))</f>
        <v/>
      </c>
      <c r="L2580" s="22">
        <f>IF(B2580="","",IF(B2580=B2579,L2579,N(L2579)+1))</f>
        <v/>
      </c>
    </row>
    <row r="2581">
      <c r="A2581" s="22" t="n"/>
      <c r="B2581" s="27" t="n"/>
      <c r="C2581" s="17" t="n"/>
      <c r="D2581" s="17" t="n"/>
      <c r="E2581" s="17" t="n"/>
      <c r="F2581" s="28" t="n"/>
      <c r="G2581" s="29" t="n"/>
      <c r="H2581" s="29" t="n"/>
      <c r="I2581" s="29" t="n"/>
      <c r="J2581" s="29" t="n"/>
      <c r="K2581" s="30">
        <f>IF(B2581="","",SUM(G$2:I2581)-SUM(J$2:J2581))</f>
        <v/>
      </c>
      <c r="L2581" s="22">
        <f>IF(B2581="","",IF(B2581=B2580,L2580,N(L2580)+1))</f>
        <v/>
      </c>
    </row>
    <row r="2582">
      <c r="A2582" s="22" t="n"/>
      <c r="B2582" s="27" t="n"/>
      <c r="C2582" s="17" t="n"/>
      <c r="D2582" s="17" t="n"/>
      <c r="E2582" s="17" t="n"/>
      <c r="F2582" s="28" t="n"/>
      <c r="G2582" s="29" t="n"/>
      <c r="H2582" s="29" t="n"/>
      <c r="I2582" s="29" t="n"/>
      <c r="J2582" s="29" t="n"/>
      <c r="K2582" s="30">
        <f>IF(B2582="","",SUM(G$2:I2582)-SUM(J$2:J2582))</f>
        <v/>
      </c>
      <c r="L2582" s="22">
        <f>IF(B2582="","",IF(B2582=B2581,L2581,N(L2581)+1))</f>
        <v/>
      </c>
    </row>
    <row r="2583">
      <c r="A2583" s="22" t="n"/>
      <c r="B2583" s="27" t="n"/>
      <c r="C2583" s="17" t="n"/>
      <c r="D2583" s="17" t="n"/>
      <c r="E2583" s="17" t="n"/>
      <c r="F2583" s="28" t="n"/>
      <c r="G2583" s="29" t="n"/>
      <c r="H2583" s="29" t="n"/>
      <c r="I2583" s="29" t="n"/>
      <c r="J2583" s="29" t="n"/>
      <c r="K2583" s="30">
        <f>IF(B2583="","",SUM(G$2:I2583)-SUM(J$2:J2583))</f>
        <v/>
      </c>
      <c r="L2583" s="22">
        <f>IF(B2583="","",IF(B2583=B2582,L2582,N(L2582)+1))</f>
        <v/>
      </c>
    </row>
    <row r="2584">
      <c r="A2584" s="22" t="n"/>
      <c r="B2584" s="27" t="n"/>
      <c r="C2584" s="17" t="n"/>
      <c r="D2584" s="17" t="n"/>
      <c r="E2584" s="17" t="n"/>
      <c r="F2584" s="28" t="n"/>
      <c r="G2584" s="29" t="n"/>
      <c r="H2584" s="29" t="n"/>
      <c r="I2584" s="29" t="n"/>
      <c r="J2584" s="29" t="n"/>
      <c r="K2584" s="30">
        <f>IF(B2584="","",SUM(G$2:I2584)-SUM(J$2:J2584))</f>
        <v/>
      </c>
      <c r="L2584" s="22">
        <f>IF(B2584="","",IF(B2584=B2583,L2583,N(L2583)+1))</f>
        <v/>
      </c>
    </row>
    <row r="2585">
      <c r="A2585" s="22" t="n"/>
      <c r="B2585" s="27" t="n"/>
      <c r="C2585" s="17" t="n"/>
      <c r="D2585" s="17" t="n"/>
      <c r="E2585" s="17" t="n"/>
      <c r="F2585" s="28" t="n"/>
      <c r="G2585" s="29" t="n"/>
      <c r="H2585" s="29" t="n"/>
      <c r="I2585" s="29" t="n"/>
      <c r="J2585" s="29" t="n"/>
      <c r="K2585" s="30">
        <f>IF(B2585="","",SUM(G$2:I2585)-SUM(J$2:J2585))</f>
        <v/>
      </c>
      <c r="L2585" s="22">
        <f>IF(B2585="","",IF(B2585=B2584,L2584,N(L2584)+1))</f>
        <v/>
      </c>
    </row>
    <row r="2586">
      <c r="A2586" s="22" t="n"/>
      <c r="B2586" s="27" t="n"/>
      <c r="C2586" s="17" t="n"/>
      <c r="D2586" s="17" t="n"/>
      <c r="E2586" s="17" t="n"/>
      <c r="F2586" s="28" t="n"/>
      <c r="G2586" s="29" t="n"/>
      <c r="H2586" s="29" t="n"/>
      <c r="I2586" s="29" t="n"/>
      <c r="J2586" s="29" t="n"/>
      <c r="K2586" s="30">
        <f>IF(B2586="","",SUM(G$2:I2586)-SUM(J$2:J2586))</f>
        <v/>
      </c>
      <c r="L2586" s="22">
        <f>IF(B2586="","",IF(B2586=B2585,L2585,N(L2585)+1))</f>
        <v/>
      </c>
    </row>
    <row r="2587">
      <c r="A2587" s="22" t="n"/>
      <c r="B2587" s="27" t="n"/>
      <c r="C2587" s="17" t="n"/>
      <c r="D2587" s="17" t="n"/>
      <c r="E2587" s="17" t="n"/>
      <c r="F2587" s="28" t="n"/>
      <c r="G2587" s="29" t="n"/>
      <c r="H2587" s="29" t="n"/>
      <c r="I2587" s="29" t="n"/>
      <c r="J2587" s="29" t="n"/>
      <c r="K2587" s="30">
        <f>IF(B2587="","",SUM(G$2:I2587)-SUM(J$2:J2587))</f>
        <v/>
      </c>
      <c r="L2587" s="22">
        <f>IF(B2587="","",IF(B2587=B2586,L2586,N(L2586)+1))</f>
        <v/>
      </c>
    </row>
    <row r="2588">
      <c r="A2588" s="22" t="n"/>
      <c r="B2588" s="27" t="n"/>
      <c r="C2588" s="17" t="n"/>
      <c r="D2588" s="17" t="n"/>
      <c r="E2588" s="17" t="n"/>
      <c r="F2588" s="28" t="n"/>
      <c r="G2588" s="29" t="n"/>
      <c r="H2588" s="29" t="n"/>
      <c r="I2588" s="29" t="n"/>
      <c r="J2588" s="29" t="n"/>
      <c r="K2588" s="30">
        <f>IF(B2588="","",SUM(G$2:I2588)-SUM(J$2:J2588))</f>
        <v/>
      </c>
      <c r="L2588" s="22">
        <f>IF(B2588="","",IF(B2588=B2587,L2587,N(L2587)+1))</f>
        <v/>
      </c>
    </row>
    <row r="2589">
      <c r="A2589" s="22" t="n"/>
      <c r="B2589" s="27" t="n"/>
      <c r="C2589" s="17" t="n"/>
      <c r="D2589" s="17" t="n"/>
      <c r="E2589" s="17" t="n"/>
      <c r="F2589" s="28" t="n"/>
      <c r="G2589" s="29" t="n"/>
      <c r="H2589" s="29" t="n"/>
      <c r="I2589" s="29" t="n"/>
      <c r="J2589" s="29" t="n"/>
      <c r="K2589" s="30">
        <f>IF(B2589="","",SUM(G$2:I2589)-SUM(J$2:J2589))</f>
        <v/>
      </c>
      <c r="L2589" s="22">
        <f>IF(B2589="","",IF(B2589=B2588,L2588,N(L2588)+1))</f>
        <v/>
      </c>
    </row>
    <row r="2590">
      <c r="A2590" s="22" t="n"/>
      <c r="B2590" s="27" t="n"/>
      <c r="C2590" s="17" t="n"/>
      <c r="D2590" s="17" t="n"/>
      <c r="E2590" s="17" t="n"/>
      <c r="F2590" s="28" t="n"/>
      <c r="G2590" s="29" t="n"/>
      <c r="H2590" s="29" t="n"/>
      <c r="I2590" s="29" t="n"/>
      <c r="J2590" s="29" t="n"/>
      <c r="K2590" s="30">
        <f>IF(B2590="","",SUM(G$2:I2590)-SUM(J$2:J2590))</f>
        <v/>
      </c>
      <c r="L2590" s="22">
        <f>IF(B2590="","",IF(B2590=B2589,L2589,N(L2589)+1))</f>
        <v/>
      </c>
    </row>
    <row r="2591">
      <c r="A2591" s="22" t="n"/>
      <c r="B2591" s="27" t="n"/>
      <c r="C2591" s="17" t="n"/>
      <c r="D2591" s="17" t="n"/>
      <c r="E2591" s="17" t="n"/>
      <c r="F2591" s="28" t="n"/>
      <c r="G2591" s="29" t="n"/>
      <c r="H2591" s="29" t="n"/>
      <c r="I2591" s="29" t="n"/>
      <c r="J2591" s="29" t="n"/>
      <c r="K2591" s="30">
        <f>IF(B2591="","",SUM(G$2:I2591)-SUM(J$2:J2591))</f>
        <v/>
      </c>
      <c r="L2591" s="22">
        <f>IF(B2591="","",IF(B2591=B2590,L2590,N(L2590)+1))</f>
        <v/>
      </c>
    </row>
    <row r="2592">
      <c r="A2592" s="22" t="n"/>
      <c r="B2592" s="27" t="n"/>
      <c r="C2592" s="17" t="n"/>
      <c r="D2592" s="17" t="n"/>
      <c r="E2592" s="17" t="n"/>
      <c r="F2592" s="28" t="n"/>
      <c r="G2592" s="29" t="n"/>
      <c r="H2592" s="29" t="n"/>
      <c r="I2592" s="29" t="n"/>
      <c r="J2592" s="29" t="n"/>
      <c r="K2592" s="30">
        <f>IF(B2592="","",SUM(G$2:I2592)-SUM(J$2:J2592))</f>
        <v/>
      </c>
      <c r="L2592" s="22">
        <f>IF(B2592="","",IF(B2592=B2591,L2591,N(L2591)+1))</f>
        <v/>
      </c>
    </row>
    <row r="2593">
      <c r="A2593" s="22" t="n"/>
      <c r="B2593" s="27" t="n"/>
      <c r="C2593" s="17" t="n"/>
      <c r="D2593" s="17" t="n"/>
      <c r="E2593" s="17" t="n"/>
      <c r="F2593" s="28" t="n"/>
      <c r="G2593" s="29" t="n"/>
      <c r="H2593" s="29" t="n"/>
      <c r="I2593" s="29" t="n"/>
      <c r="J2593" s="29" t="n"/>
      <c r="K2593" s="30">
        <f>IF(B2593="","",SUM(G$2:I2593)-SUM(J$2:J2593))</f>
        <v/>
      </c>
      <c r="L2593" s="22">
        <f>IF(B2593="","",IF(B2593=B2592,L2592,N(L2592)+1))</f>
        <v/>
      </c>
    </row>
    <row r="2594">
      <c r="A2594" s="22" t="n"/>
      <c r="B2594" s="27" t="n"/>
      <c r="C2594" s="17" t="n"/>
      <c r="D2594" s="17" t="n"/>
      <c r="E2594" s="17" t="n"/>
      <c r="F2594" s="28" t="n"/>
      <c r="G2594" s="29" t="n"/>
      <c r="H2594" s="29" t="n"/>
      <c r="I2594" s="29" t="n"/>
      <c r="J2594" s="29" t="n"/>
      <c r="K2594" s="30">
        <f>IF(B2594="","",SUM(G$2:I2594)-SUM(J$2:J2594))</f>
        <v/>
      </c>
      <c r="L2594" s="22">
        <f>IF(B2594="","",IF(B2594=B2593,L2593,N(L2593)+1))</f>
        <v/>
      </c>
    </row>
    <row r="2595">
      <c r="A2595" s="22" t="n"/>
      <c r="B2595" s="27" t="n"/>
      <c r="C2595" s="17" t="n"/>
      <c r="D2595" s="17" t="n"/>
      <c r="E2595" s="17" t="n"/>
      <c r="F2595" s="28" t="n"/>
      <c r="G2595" s="29" t="n"/>
      <c r="H2595" s="29" t="n"/>
      <c r="I2595" s="29" t="n"/>
      <c r="J2595" s="29" t="n"/>
      <c r="K2595" s="30">
        <f>IF(B2595="","",SUM(G$2:I2595)-SUM(J$2:J2595))</f>
        <v/>
      </c>
      <c r="L2595" s="22">
        <f>IF(B2595="","",IF(B2595=B2594,L2594,N(L2594)+1))</f>
        <v/>
      </c>
    </row>
    <row r="2596">
      <c r="A2596" s="22" t="n"/>
      <c r="B2596" s="27" t="n"/>
      <c r="C2596" s="17" t="n"/>
      <c r="D2596" s="17" t="n"/>
      <c r="E2596" s="17" t="n"/>
      <c r="F2596" s="28" t="n"/>
      <c r="G2596" s="29" t="n"/>
      <c r="H2596" s="29" t="n"/>
      <c r="I2596" s="29" t="n"/>
      <c r="J2596" s="29" t="n"/>
      <c r="K2596" s="30">
        <f>IF(B2596="","",SUM(G$2:I2596)-SUM(J$2:J2596))</f>
        <v/>
      </c>
      <c r="L2596" s="22">
        <f>IF(B2596="","",IF(B2596=B2595,L2595,N(L2595)+1))</f>
        <v/>
      </c>
    </row>
    <row r="2597">
      <c r="A2597" s="22" t="n"/>
      <c r="B2597" s="27" t="n"/>
      <c r="C2597" s="17" t="n"/>
      <c r="D2597" s="17" t="n"/>
      <c r="E2597" s="17" t="n"/>
      <c r="F2597" s="28" t="n"/>
      <c r="G2597" s="29" t="n"/>
      <c r="H2597" s="29" t="n"/>
      <c r="I2597" s="29" t="n"/>
      <c r="J2597" s="29" t="n"/>
      <c r="K2597" s="30">
        <f>IF(B2597="","",SUM(G$2:I2597)-SUM(J$2:J2597))</f>
        <v/>
      </c>
      <c r="L2597" s="22">
        <f>IF(B2597="","",IF(B2597=B2596,L2596,N(L2596)+1))</f>
        <v/>
      </c>
    </row>
    <row r="2598">
      <c r="A2598" s="22" t="n"/>
      <c r="B2598" s="27" t="n"/>
      <c r="C2598" s="17" t="n"/>
      <c r="D2598" s="17" t="n"/>
      <c r="E2598" s="17" t="n"/>
      <c r="F2598" s="28" t="n"/>
      <c r="G2598" s="29" t="n"/>
      <c r="H2598" s="29" t="n"/>
      <c r="I2598" s="29" t="n"/>
      <c r="J2598" s="29" t="n"/>
      <c r="K2598" s="30">
        <f>IF(B2598="","",SUM(G$2:I2598)-SUM(J$2:J2598))</f>
        <v/>
      </c>
      <c r="L2598" s="22">
        <f>IF(B2598="","",IF(B2598=B2597,L2597,N(L2597)+1))</f>
        <v/>
      </c>
    </row>
    <row r="2599">
      <c r="A2599" s="22" t="n"/>
      <c r="B2599" s="27" t="n"/>
      <c r="C2599" s="17" t="n"/>
      <c r="D2599" s="17" t="n"/>
      <c r="E2599" s="17" t="n"/>
      <c r="F2599" s="28" t="n"/>
      <c r="G2599" s="29" t="n"/>
      <c r="H2599" s="29" t="n"/>
      <c r="I2599" s="29" t="n"/>
      <c r="J2599" s="29" t="n"/>
      <c r="K2599" s="30">
        <f>IF(B2599="","",SUM(G$2:I2599)-SUM(J$2:J2599))</f>
        <v/>
      </c>
      <c r="L2599" s="22">
        <f>IF(B2599="","",IF(B2599=B2598,L2598,N(L2598)+1))</f>
        <v/>
      </c>
    </row>
    <row r="2600">
      <c r="A2600" s="22" t="n"/>
      <c r="B2600" s="27" t="n"/>
      <c r="C2600" s="17" t="n"/>
      <c r="D2600" s="17" t="n"/>
      <c r="E2600" s="17" t="n"/>
      <c r="F2600" s="28" t="n"/>
      <c r="G2600" s="29" t="n"/>
      <c r="H2600" s="29" t="n"/>
      <c r="I2600" s="29" t="n"/>
      <c r="J2600" s="29" t="n"/>
      <c r="K2600" s="30">
        <f>IF(B2600="","",SUM(G$2:I2600)-SUM(J$2:J2600))</f>
        <v/>
      </c>
      <c r="L2600" s="22">
        <f>IF(B2600="","",IF(B2600=B2599,L2599,N(L2599)+1))</f>
        <v/>
      </c>
    </row>
    <row r="2601">
      <c r="A2601" s="22" t="n"/>
      <c r="B2601" s="27" t="n"/>
      <c r="C2601" s="17" t="n"/>
      <c r="D2601" s="17" t="n"/>
      <c r="E2601" s="17" t="n"/>
      <c r="F2601" s="28" t="n"/>
      <c r="G2601" s="29" t="n"/>
      <c r="H2601" s="29" t="n"/>
      <c r="I2601" s="29" t="n"/>
      <c r="J2601" s="29" t="n"/>
      <c r="K2601" s="30">
        <f>IF(B2601="","",SUM(G$2:I2601)-SUM(J$2:J2601))</f>
        <v/>
      </c>
      <c r="L2601" s="22">
        <f>IF(B2601="","",IF(B2601=B2600,L2600,N(L2600)+1))</f>
        <v/>
      </c>
    </row>
    <row r="2602">
      <c r="A2602" s="22" t="n"/>
      <c r="B2602" s="27" t="n"/>
      <c r="C2602" s="17" t="n"/>
      <c r="D2602" s="17" t="n"/>
      <c r="E2602" s="17" t="n"/>
      <c r="F2602" s="28" t="n"/>
      <c r="G2602" s="29" t="n"/>
      <c r="H2602" s="29" t="n"/>
      <c r="I2602" s="29" t="n"/>
      <c r="J2602" s="29" t="n"/>
      <c r="K2602" s="30">
        <f>IF(B2602="","",SUM(G$2:I2602)-SUM(J$2:J2602))</f>
        <v/>
      </c>
      <c r="L2602" s="22">
        <f>IF(B2602="","",IF(B2602=B2601,L2601,N(L2601)+1))</f>
        <v/>
      </c>
    </row>
    <row r="2603">
      <c r="A2603" s="22" t="n"/>
      <c r="B2603" s="27" t="n"/>
      <c r="C2603" s="17" t="n"/>
      <c r="D2603" s="17" t="n"/>
      <c r="E2603" s="17" t="n"/>
      <c r="F2603" s="28" t="n"/>
      <c r="G2603" s="29" t="n"/>
      <c r="H2603" s="29" t="n"/>
      <c r="I2603" s="29" t="n"/>
      <c r="J2603" s="29" t="n"/>
      <c r="K2603" s="30">
        <f>IF(B2603="","",SUM(G$2:I2603)-SUM(J$2:J2603))</f>
        <v/>
      </c>
      <c r="L2603" s="22">
        <f>IF(B2603="","",IF(B2603=B2602,L2602,N(L2602)+1))</f>
        <v/>
      </c>
    </row>
    <row r="2604">
      <c r="A2604" s="22" t="n"/>
      <c r="B2604" s="27" t="n"/>
      <c r="C2604" s="17" t="n"/>
      <c r="D2604" s="17" t="n"/>
      <c r="E2604" s="17" t="n"/>
      <c r="F2604" s="28" t="n"/>
      <c r="G2604" s="29" t="n"/>
      <c r="H2604" s="29" t="n"/>
      <c r="I2604" s="29" t="n"/>
      <c r="J2604" s="29" t="n"/>
      <c r="K2604" s="30">
        <f>IF(B2604="","",SUM(G$2:I2604)-SUM(J$2:J2604))</f>
        <v/>
      </c>
      <c r="L2604" s="22">
        <f>IF(B2604="","",IF(B2604=B2603,L2603,N(L2603)+1))</f>
        <v/>
      </c>
    </row>
    <row r="2605">
      <c r="A2605" s="22" t="n"/>
      <c r="B2605" s="27" t="n"/>
      <c r="C2605" s="17" t="n"/>
      <c r="D2605" s="17" t="n"/>
      <c r="E2605" s="17" t="n"/>
      <c r="F2605" s="28" t="n"/>
      <c r="G2605" s="29" t="n"/>
      <c r="H2605" s="29" t="n"/>
      <c r="I2605" s="29" t="n"/>
      <c r="J2605" s="29" t="n"/>
      <c r="K2605" s="30">
        <f>IF(B2605="","",SUM(G$2:I2605)-SUM(J$2:J2605))</f>
        <v/>
      </c>
      <c r="L2605" s="22">
        <f>IF(B2605="","",IF(B2605=B2604,L2604,N(L2604)+1))</f>
        <v/>
      </c>
    </row>
    <row r="2606">
      <c r="A2606" s="22" t="n"/>
      <c r="B2606" s="27" t="n"/>
      <c r="C2606" s="17" t="n"/>
      <c r="D2606" s="17" t="n"/>
      <c r="E2606" s="17" t="n"/>
      <c r="F2606" s="28" t="n"/>
      <c r="G2606" s="29" t="n"/>
      <c r="H2606" s="29" t="n"/>
      <c r="I2606" s="29" t="n"/>
      <c r="J2606" s="29" t="n"/>
      <c r="K2606" s="30">
        <f>IF(B2606="","",SUM(G$2:I2606)-SUM(J$2:J2606))</f>
        <v/>
      </c>
      <c r="L2606" s="22">
        <f>IF(B2606="","",IF(B2606=B2605,L2605,N(L2605)+1))</f>
        <v/>
      </c>
    </row>
    <row r="2607">
      <c r="A2607" s="22" t="n"/>
      <c r="B2607" s="27" t="n"/>
      <c r="C2607" s="17" t="n"/>
      <c r="D2607" s="17" t="n"/>
      <c r="E2607" s="17" t="n"/>
      <c r="F2607" s="28" t="n"/>
      <c r="G2607" s="29" t="n"/>
      <c r="H2607" s="29" t="n"/>
      <c r="I2607" s="29" t="n"/>
      <c r="J2607" s="29" t="n"/>
      <c r="K2607" s="30">
        <f>IF(B2607="","",SUM(G$2:I2607)-SUM(J$2:J2607))</f>
        <v/>
      </c>
      <c r="L2607" s="22">
        <f>IF(B2607="","",IF(B2607=B2606,L2606,N(L2606)+1))</f>
        <v/>
      </c>
    </row>
    <row r="2608">
      <c r="A2608" s="22" t="n"/>
      <c r="B2608" s="27" t="n"/>
      <c r="C2608" s="17" t="n"/>
      <c r="D2608" s="17" t="n"/>
      <c r="E2608" s="17" t="n"/>
      <c r="F2608" s="28" t="n"/>
      <c r="G2608" s="29" t="n"/>
      <c r="H2608" s="29" t="n"/>
      <c r="I2608" s="29" t="n"/>
      <c r="J2608" s="29" t="n"/>
      <c r="K2608" s="30">
        <f>IF(B2608="","",SUM(G$2:I2608)-SUM(J$2:J2608))</f>
        <v/>
      </c>
      <c r="L2608" s="22">
        <f>IF(B2608="","",IF(B2608=B2607,L2607,N(L2607)+1))</f>
        <v/>
      </c>
    </row>
    <row r="2609">
      <c r="A2609" s="22" t="n"/>
      <c r="B2609" s="27" t="n"/>
      <c r="C2609" s="17" t="n"/>
      <c r="D2609" s="17" t="n"/>
      <c r="E2609" s="17" t="n"/>
      <c r="F2609" s="28" t="n"/>
      <c r="G2609" s="29" t="n"/>
      <c r="H2609" s="29" t="n"/>
      <c r="I2609" s="29" t="n"/>
      <c r="J2609" s="29" t="n"/>
      <c r="K2609" s="30">
        <f>IF(B2609="","",SUM(G$2:I2609)-SUM(J$2:J2609))</f>
        <v/>
      </c>
      <c r="L2609" s="22">
        <f>IF(B2609="","",IF(B2609=B2608,L2608,N(L2608)+1))</f>
        <v/>
      </c>
    </row>
    <row r="2610">
      <c r="A2610" s="22" t="n"/>
      <c r="B2610" s="27" t="n"/>
      <c r="C2610" s="17" t="n"/>
      <c r="D2610" s="17" t="n"/>
      <c r="E2610" s="17" t="n"/>
      <c r="F2610" s="28" t="n"/>
      <c r="G2610" s="29" t="n"/>
      <c r="H2610" s="29" t="n"/>
      <c r="I2610" s="29" t="n"/>
      <c r="J2610" s="29" t="n"/>
      <c r="K2610" s="30">
        <f>IF(B2610="","",SUM(G$2:I2610)-SUM(J$2:J2610))</f>
        <v/>
      </c>
      <c r="L2610" s="22">
        <f>IF(B2610="","",IF(B2610=B2609,L2609,N(L2609)+1))</f>
        <v/>
      </c>
    </row>
    <row r="2611">
      <c r="A2611" s="22" t="n"/>
      <c r="B2611" s="27" t="n"/>
      <c r="C2611" s="17" t="n"/>
      <c r="D2611" s="17" t="n"/>
      <c r="E2611" s="17" t="n"/>
      <c r="F2611" s="28" t="n"/>
      <c r="G2611" s="29" t="n"/>
      <c r="H2611" s="29" t="n"/>
      <c r="I2611" s="29" t="n"/>
      <c r="J2611" s="29" t="n"/>
      <c r="K2611" s="30">
        <f>IF(B2611="","",SUM(G$2:I2611)-SUM(J$2:J2611))</f>
        <v/>
      </c>
      <c r="L2611" s="22">
        <f>IF(B2611="","",IF(B2611=B2610,L2610,N(L2610)+1))</f>
        <v/>
      </c>
    </row>
    <row r="2612">
      <c r="A2612" s="22" t="n"/>
      <c r="B2612" s="27" t="n"/>
      <c r="C2612" s="17" t="n"/>
      <c r="D2612" s="17" t="n"/>
      <c r="E2612" s="17" t="n"/>
      <c r="F2612" s="28" t="n"/>
      <c r="G2612" s="29" t="n"/>
      <c r="H2612" s="29" t="n"/>
      <c r="I2612" s="29" t="n"/>
      <c r="J2612" s="29" t="n"/>
      <c r="K2612" s="30">
        <f>IF(B2612="","",SUM(G$2:I2612)-SUM(J$2:J2612))</f>
        <v/>
      </c>
      <c r="L2612" s="22">
        <f>IF(B2612="","",IF(B2612=B2611,L2611,N(L2611)+1))</f>
        <v/>
      </c>
    </row>
    <row r="2613">
      <c r="A2613" s="22" t="n"/>
      <c r="B2613" s="27" t="n"/>
      <c r="C2613" s="17" t="n"/>
      <c r="D2613" s="17" t="n"/>
      <c r="E2613" s="17" t="n"/>
      <c r="F2613" s="28" t="n"/>
      <c r="G2613" s="29" t="n"/>
      <c r="H2613" s="29" t="n"/>
      <c r="I2613" s="29" t="n"/>
      <c r="J2613" s="29" t="n"/>
      <c r="K2613" s="30">
        <f>IF(B2613="","",SUM(G$2:I2613)-SUM(J$2:J2613))</f>
        <v/>
      </c>
      <c r="L2613" s="22">
        <f>IF(B2613="","",IF(B2613=B2612,L2612,N(L2612)+1))</f>
        <v/>
      </c>
    </row>
    <row r="2614">
      <c r="A2614" s="22" t="n"/>
      <c r="B2614" s="27" t="n"/>
      <c r="C2614" s="17" t="n"/>
      <c r="D2614" s="17" t="n"/>
      <c r="E2614" s="17" t="n"/>
      <c r="F2614" s="28" t="n"/>
      <c r="G2614" s="29" t="n"/>
      <c r="H2614" s="29" t="n"/>
      <c r="I2614" s="29" t="n"/>
      <c r="J2614" s="29" t="n"/>
      <c r="K2614" s="30">
        <f>IF(B2614="","",SUM(G$2:I2614)-SUM(J$2:J2614))</f>
        <v/>
      </c>
      <c r="L2614" s="22">
        <f>IF(B2614="","",IF(B2614=B2613,L2613,N(L2613)+1))</f>
        <v/>
      </c>
    </row>
    <row r="2615">
      <c r="A2615" s="22" t="n"/>
      <c r="B2615" s="27" t="n"/>
      <c r="C2615" s="17" t="n"/>
      <c r="D2615" s="17" t="n"/>
      <c r="E2615" s="17" t="n"/>
      <c r="F2615" s="28" t="n"/>
      <c r="G2615" s="29" t="n"/>
      <c r="H2615" s="29" t="n"/>
      <c r="I2615" s="29" t="n"/>
      <c r="J2615" s="29" t="n"/>
      <c r="K2615" s="30">
        <f>IF(B2615="","",SUM(G$2:I2615)-SUM(J$2:J2615))</f>
        <v/>
      </c>
      <c r="L2615" s="22">
        <f>IF(B2615="","",IF(B2615=B2614,L2614,N(L2614)+1))</f>
        <v/>
      </c>
    </row>
    <row r="2616">
      <c r="A2616" s="22" t="n"/>
      <c r="B2616" s="27" t="n"/>
      <c r="C2616" s="17" t="n"/>
      <c r="D2616" s="17" t="n"/>
      <c r="E2616" s="17" t="n"/>
      <c r="F2616" s="28" t="n"/>
      <c r="G2616" s="29" t="n"/>
      <c r="H2616" s="29" t="n"/>
      <c r="I2616" s="29" t="n"/>
      <c r="J2616" s="29" t="n"/>
      <c r="K2616" s="30">
        <f>IF(B2616="","",SUM(G$2:I2616)-SUM(J$2:J2616))</f>
        <v/>
      </c>
      <c r="L2616" s="22">
        <f>IF(B2616="","",IF(B2616=B2615,L2615,N(L2615)+1))</f>
        <v/>
      </c>
    </row>
    <row r="2617">
      <c r="A2617" s="22" t="n"/>
      <c r="B2617" s="27" t="n"/>
      <c r="C2617" s="17" t="n"/>
      <c r="D2617" s="17" t="n"/>
      <c r="E2617" s="17" t="n"/>
      <c r="F2617" s="28" t="n"/>
      <c r="G2617" s="29" t="n"/>
      <c r="H2617" s="29" t="n"/>
      <c r="I2617" s="29" t="n"/>
      <c r="J2617" s="29" t="n"/>
      <c r="K2617" s="30">
        <f>IF(B2617="","",SUM(G$2:I2617)-SUM(J$2:J2617))</f>
        <v/>
      </c>
      <c r="L2617" s="22">
        <f>IF(B2617="","",IF(B2617=B2616,L2616,N(L2616)+1))</f>
        <v/>
      </c>
    </row>
    <row r="2618">
      <c r="A2618" s="22" t="n"/>
      <c r="B2618" s="27" t="n"/>
      <c r="C2618" s="17" t="n"/>
      <c r="D2618" s="17" t="n"/>
      <c r="E2618" s="17" t="n"/>
      <c r="F2618" s="28" t="n"/>
      <c r="G2618" s="29" t="n"/>
      <c r="H2618" s="29" t="n"/>
      <c r="I2618" s="29" t="n"/>
      <c r="J2618" s="29" t="n"/>
      <c r="K2618" s="30">
        <f>IF(B2618="","",SUM(G$2:I2618)-SUM(J$2:J2618))</f>
        <v/>
      </c>
      <c r="L2618" s="22">
        <f>IF(B2618="","",IF(B2618=B2617,L2617,N(L2617)+1))</f>
        <v/>
      </c>
    </row>
    <row r="2619">
      <c r="A2619" s="22" t="n"/>
      <c r="B2619" s="27" t="n"/>
      <c r="C2619" s="17" t="n"/>
      <c r="D2619" s="17" t="n"/>
      <c r="E2619" s="17" t="n"/>
      <c r="F2619" s="28" t="n"/>
      <c r="G2619" s="29" t="n"/>
      <c r="H2619" s="29" t="n"/>
      <c r="I2619" s="29" t="n"/>
      <c r="J2619" s="29" t="n"/>
      <c r="K2619" s="30">
        <f>IF(B2619="","",SUM(G$2:I2619)-SUM(J$2:J2619))</f>
        <v/>
      </c>
      <c r="L2619" s="22">
        <f>IF(B2619="","",IF(B2619=B2618,L2618,N(L2618)+1))</f>
        <v/>
      </c>
    </row>
    <row r="2620">
      <c r="A2620" s="22" t="n"/>
      <c r="B2620" s="27" t="n"/>
      <c r="C2620" s="17" t="n"/>
      <c r="D2620" s="17" t="n"/>
      <c r="E2620" s="17" t="n"/>
      <c r="F2620" s="28" t="n"/>
      <c r="G2620" s="29" t="n"/>
      <c r="H2620" s="29" t="n"/>
      <c r="I2620" s="29" t="n"/>
      <c r="J2620" s="29" t="n"/>
      <c r="K2620" s="30">
        <f>IF(B2620="","",SUM(G$2:I2620)-SUM(J$2:J2620))</f>
        <v/>
      </c>
      <c r="L2620" s="22">
        <f>IF(B2620="","",IF(B2620=B2619,L2619,N(L2619)+1))</f>
        <v/>
      </c>
    </row>
    <row r="2621">
      <c r="A2621" s="22" t="n"/>
      <c r="B2621" s="27" t="n"/>
      <c r="C2621" s="17" t="n"/>
      <c r="D2621" s="17" t="n"/>
      <c r="E2621" s="17" t="n"/>
      <c r="F2621" s="28" t="n"/>
      <c r="G2621" s="29" t="n"/>
      <c r="H2621" s="29" t="n"/>
      <c r="I2621" s="29" t="n"/>
      <c r="J2621" s="29" t="n"/>
      <c r="K2621" s="30">
        <f>IF(B2621="","",SUM(G$2:I2621)-SUM(J$2:J2621))</f>
        <v/>
      </c>
      <c r="L2621" s="22">
        <f>IF(B2621="","",IF(B2621=B2620,L2620,N(L2620)+1))</f>
        <v/>
      </c>
    </row>
    <row r="2622">
      <c r="A2622" s="22" t="n"/>
      <c r="B2622" s="27" t="n"/>
      <c r="C2622" s="17" t="n"/>
      <c r="D2622" s="17" t="n"/>
      <c r="E2622" s="17" t="n"/>
      <c r="F2622" s="28" t="n"/>
      <c r="G2622" s="29" t="n"/>
      <c r="H2622" s="29" t="n"/>
      <c r="I2622" s="29" t="n"/>
      <c r="J2622" s="29" t="n"/>
      <c r="K2622" s="30">
        <f>IF(B2622="","",SUM(G$2:I2622)-SUM(J$2:J2622))</f>
        <v/>
      </c>
      <c r="L2622" s="22">
        <f>IF(B2622="","",IF(B2622=B2621,L2621,N(L2621)+1))</f>
        <v/>
      </c>
    </row>
    <row r="2623">
      <c r="A2623" s="22" t="n"/>
      <c r="B2623" s="27" t="n"/>
      <c r="C2623" s="17" t="n"/>
      <c r="D2623" s="17" t="n"/>
      <c r="E2623" s="17" t="n"/>
      <c r="F2623" s="28" t="n"/>
      <c r="G2623" s="29" t="n"/>
      <c r="H2623" s="29" t="n"/>
      <c r="I2623" s="29" t="n"/>
      <c r="J2623" s="29" t="n"/>
      <c r="K2623" s="30">
        <f>IF(B2623="","",SUM(G$2:I2623)-SUM(J$2:J2623))</f>
        <v/>
      </c>
      <c r="L2623" s="22">
        <f>IF(B2623="","",IF(B2623=B2622,L2622,N(L2622)+1))</f>
        <v/>
      </c>
    </row>
    <row r="2624">
      <c r="A2624" s="22" t="n"/>
      <c r="B2624" s="27" t="n"/>
      <c r="C2624" s="17" t="n"/>
      <c r="D2624" s="17" t="n"/>
      <c r="E2624" s="17" t="n"/>
      <c r="F2624" s="28" t="n"/>
      <c r="G2624" s="29" t="n"/>
      <c r="H2624" s="29" t="n"/>
      <c r="I2624" s="29" t="n"/>
      <c r="J2624" s="29" t="n"/>
      <c r="K2624" s="30">
        <f>IF(B2624="","",SUM(G$2:I2624)-SUM(J$2:J2624))</f>
        <v/>
      </c>
      <c r="L2624" s="22">
        <f>IF(B2624="","",IF(B2624=B2623,L2623,N(L2623)+1))</f>
        <v/>
      </c>
    </row>
    <row r="2625">
      <c r="A2625" s="22" t="n"/>
      <c r="B2625" s="27" t="n"/>
      <c r="C2625" s="17" t="n"/>
      <c r="D2625" s="17" t="n"/>
      <c r="E2625" s="17" t="n"/>
      <c r="F2625" s="28" t="n"/>
      <c r="G2625" s="29" t="n"/>
      <c r="H2625" s="29" t="n"/>
      <c r="I2625" s="29" t="n"/>
      <c r="J2625" s="29" t="n"/>
      <c r="K2625" s="30">
        <f>IF(B2625="","",SUM(G$2:I2625)-SUM(J$2:J2625))</f>
        <v/>
      </c>
      <c r="L2625" s="22">
        <f>IF(B2625="","",IF(B2625=B2624,L2624,N(L2624)+1))</f>
        <v/>
      </c>
    </row>
    <row r="2626">
      <c r="A2626" s="22" t="n"/>
      <c r="B2626" s="27" t="n"/>
      <c r="C2626" s="17" t="n"/>
      <c r="D2626" s="17" t="n"/>
      <c r="E2626" s="17" t="n"/>
      <c r="F2626" s="28" t="n"/>
      <c r="G2626" s="29" t="n"/>
      <c r="H2626" s="29" t="n"/>
      <c r="I2626" s="29" t="n"/>
      <c r="J2626" s="29" t="n"/>
      <c r="K2626" s="30">
        <f>IF(B2626="","",SUM(G$2:I2626)-SUM(J$2:J2626))</f>
        <v/>
      </c>
      <c r="L2626" s="22">
        <f>IF(B2626="","",IF(B2626=B2625,L2625,N(L2625)+1))</f>
        <v/>
      </c>
    </row>
    <row r="2627">
      <c r="A2627" s="22" t="n"/>
      <c r="B2627" s="27" t="n"/>
      <c r="C2627" s="17" t="n"/>
      <c r="D2627" s="17" t="n"/>
      <c r="E2627" s="17" t="n"/>
      <c r="F2627" s="28" t="n"/>
      <c r="G2627" s="29" t="n"/>
      <c r="H2627" s="29" t="n"/>
      <c r="I2627" s="29" t="n"/>
      <c r="J2627" s="29" t="n"/>
      <c r="K2627" s="30">
        <f>IF(B2627="","",SUM(G$2:I2627)-SUM(J$2:J2627))</f>
        <v/>
      </c>
      <c r="L2627" s="22">
        <f>IF(B2627="","",IF(B2627=B2626,L2626,N(L2626)+1))</f>
        <v/>
      </c>
    </row>
    <row r="2628">
      <c r="A2628" s="22" t="n"/>
      <c r="B2628" s="27" t="n"/>
      <c r="C2628" s="17" t="n"/>
      <c r="D2628" s="17" t="n"/>
      <c r="E2628" s="17" t="n"/>
      <c r="F2628" s="28" t="n"/>
      <c r="G2628" s="29" t="n"/>
      <c r="H2628" s="29" t="n"/>
      <c r="I2628" s="29" t="n"/>
      <c r="J2628" s="29" t="n"/>
      <c r="K2628" s="30">
        <f>IF(B2628="","",SUM(G$2:I2628)-SUM(J$2:J2628))</f>
        <v/>
      </c>
      <c r="L2628" s="22">
        <f>IF(B2628="","",IF(B2628=B2627,L2627,N(L2627)+1))</f>
        <v/>
      </c>
    </row>
    <row r="2629">
      <c r="A2629" s="22" t="n"/>
      <c r="B2629" s="27" t="n"/>
      <c r="C2629" s="17" t="n"/>
      <c r="D2629" s="17" t="n"/>
      <c r="E2629" s="17" t="n"/>
      <c r="F2629" s="28" t="n"/>
      <c r="G2629" s="29" t="n"/>
      <c r="H2629" s="29" t="n"/>
      <c r="I2629" s="29" t="n"/>
      <c r="J2629" s="29" t="n"/>
      <c r="K2629" s="30">
        <f>IF(B2629="","",SUM(G$2:I2629)-SUM(J$2:J2629))</f>
        <v/>
      </c>
      <c r="L2629" s="22">
        <f>IF(B2629="","",IF(B2629=B2628,L2628,N(L2628)+1))</f>
        <v/>
      </c>
    </row>
    <row r="2630">
      <c r="A2630" s="22" t="n"/>
      <c r="B2630" s="27" t="n"/>
      <c r="C2630" s="17" t="n"/>
      <c r="D2630" s="17" t="n"/>
      <c r="E2630" s="17" t="n"/>
      <c r="F2630" s="28" t="n"/>
      <c r="G2630" s="29" t="n"/>
      <c r="H2630" s="29" t="n"/>
      <c r="I2630" s="29" t="n"/>
      <c r="J2630" s="29" t="n"/>
      <c r="K2630" s="30">
        <f>IF(B2630="","",SUM(G$2:I2630)-SUM(J$2:J2630))</f>
        <v/>
      </c>
      <c r="L2630" s="22">
        <f>IF(B2630="","",IF(B2630=B2629,L2629,N(L2629)+1))</f>
        <v/>
      </c>
    </row>
    <row r="2631">
      <c r="A2631" s="22" t="n"/>
      <c r="B2631" s="27" t="n"/>
      <c r="C2631" s="17" t="n"/>
      <c r="D2631" s="17" t="n"/>
      <c r="E2631" s="17" t="n"/>
      <c r="F2631" s="28" t="n"/>
      <c r="G2631" s="29" t="n"/>
      <c r="H2631" s="29" t="n"/>
      <c r="I2631" s="29" t="n"/>
      <c r="J2631" s="29" t="n"/>
      <c r="K2631" s="30">
        <f>IF(B2631="","",SUM(G$2:I2631)-SUM(J$2:J2631))</f>
        <v/>
      </c>
      <c r="L2631" s="22">
        <f>IF(B2631="","",IF(B2631=B2630,L2630,N(L2630)+1))</f>
        <v/>
      </c>
    </row>
    <row r="2632">
      <c r="A2632" s="22" t="n"/>
      <c r="B2632" s="27" t="n"/>
      <c r="C2632" s="17" t="n"/>
      <c r="D2632" s="17" t="n"/>
      <c r="E2632" s="17" t="n"/>
      <c r="F2632" s="28" t="n"/>
      <c r="G2632" s="29" t="n"/>
      <c r="H2632" s="29" t="n"/>
      <c r="I2632" s="29" t="n"/>
      <c r="J2632" s="29" t="n"/>
      <c r="K2632" s="30">
        <f>IF(B2632="","",SUM(G$2:I2632)-SUM(J$2:J2632))</f>
        <v/>
      </c>
      <c r="L2632" s="22">
        <f>IF(B2632="","",IF(B2632=B2631,L2631,N(L2631)+1))</f>
        <v/>
      </c>
    </row>
    <row r="2633">
      <c r="A2633" s="22" t="n"/>
      <c r="B2633" s="27" t="n"/>
      <c r="C2633" s="17" t="n"/>
      <c r="D2633" s="17" t="n"/>
      <c r="E2633" s="17" t="n"/>
      <c r="F2633" s="28" t="n"/>
      <c r="G2633" s="29" t="n"/>
      <c r="H2633" s="29" t="n"/>
      <c r="I2633" s="29" t="n"/>
      <c r="J2633" s="29" t="n"/>
      <c r="K2633" s="30">
        <f>IF(B2633="","",SUM(G$2:I2633)-SUM(J$2:J2633))</f>
        <v/>
      </c>
      <c r="L2633" s="22">
        <f>IF(B2633="","",IF(B2633=B2632,L2632,N(L2632)+1))</f>
        <v/>
      </c>
    </row>
    <row r="2634">
      <c r="A2634" s="22" t="n"/>
      <c r="B2634" s="27" t="n"/>
      <c r="C2634" s="17" t="n"/>
      <c r="D2634" s="17" t="n"/>
      <c r="E2634" s="17" t="n"/>
      <c r="F2634" s="28" t="n"/>
      <c r="G2634" s="29" t="n"/>
      <c r="H2634" s="29" t="n"/>
      <c r="I2634" s="29" t="n"/>
      <c r="J2634" s="29" t="n"/>
      <c r="K2634" s="30">
        <f>IF(B2634="","",SUM(G$2:I2634)-SUM(J$2:J2634))</f>
        <v/>
      </c>
      <c r="L2634" s="22">
        <f>IF(B2634="","",IF(B2634=B2633,L2633,N(L2633)+1))</f>
        <v/>
      </c>
    </row>
    <row r="2635">
      <c r="A2635" s="22" t="n"/>
      <c r="B2635" s="27" t="n"/>
      <c r="C2635" s="17" t="n"/>
      <c r="D2635" s="17" t="n"/>
      <c r="E2635" s="17" t="n"/>
      <c r="F2635" s="28" t="n"/>
      <c r="G2635" s="29" t="n"/>
      <c r="H2635" s="29" t="n"/>
      <c r="I2635" s="29" t="n"/>
      <c r="J2635" s="29" t="n"/>
      <c r="K2635" s="30">
        <f>IF(B2635="","",SUM(G$2:I2635)-SUM(J$2:J2635))</f>
        <v/>
      </c>
      <c r="L2635" s="22">
        <f>IF(B2635="","",IF(B2635=B2634,L2634,N(L2634)+1))</f>
        <v/>
      </c>
    </row>
    <row r="2636">
      <c r="A2636" s="22" t="n"/>
      <c r="B2636" s="27" t="n"/>
      <c r="C2636" s="17" t="n"/>
      <c r="D2636" s="17" t="n"/>
      <c r="E2636" s="17" t="n"/>
      <c r="F2636" s="28" t="n"/>
      <c r="G2636" s="29" t="n"/>
      <c r="H2636" s="29" t="n"/>
      <c r="I2636" s="29" t="n"/>
      <c r="J2636" s="29" t="n"/>
      <c r="K2636" s="30">
        <f>IF(B2636="","",SUM(G$2:I2636)-SUM(J$2:J2636))</f>
        <v/>
      </c>
      <c r="L2636" s="22">
        <f>IF(B2636="","",IF(B2636=B2635,L2635,N(L2635)+1))</f>
        <v/>
      </c>
    </row>
    <row r="2637">
      <c r="A2637" s="22" t="n"/>
      <c r="B2637" s="27" t="n"/>
      <c r="C2637" s="17" t="n"/>
      <c r="D2637" s="17" t="n"/>
      <c r="E2637" s="17" t="n"/>
      <c r="F2637" s="28" t="n"/>
      <c r="G2637" s="29" t="n"/>
      <c r="H2637" s="29" t="n"/>
      <c r="I2637" s="29" t="n"/>
      <c r="J2637" s="29" t="n"/>
      <c r="K2637" s="30">
        <f>IF(B2637="","",SUM(G$2:I2637)-SUM(J$2:J2637))</f>
        <v/>
      </c>
      <c r="L2637" s="22">
        <f>IF(B2637="","",IF(B2637=B2636,L2636,N(L2636)+1))</f>
        <v/>
      </c>
    </row>
    <row r="2638">
      <c r="A2638" s="22" t="n"/>
      <c r="B2638" s="27" t="n"/>
      <c r="C2638" s="17" t="n"/>
      <c r="D2638" s="17" t="n"/>
      <c r="E2638" s="17" t="n"/>
      <c r="F2638" s="28" t="n"/>
      <c r="G2638" s="29" t="n"/>
      <c r="H2638" s="29" t="n"/>
      <c r="I2638" s="29" t="n"/>
      <c r="J2638" s="29" t="n"/>
      <c r="K2638" s="30">
        <f>IF(B2638="","",SUM(G$2:I2638)-SUM(J$2:J2638))</f>
        <v/>
      </c>
      <c r="L2638" s="22">
        <f>IF(B2638="","",IF(B2638=B2637,L2637,N(L2637)+1))</f>
        <v/>
      </c>
    </row>
    <row r="2639">
      <c r="A2639" s="22" t="n"/>
      <c r="B2639" s="27" t="n"/>
      <c r="C2639" s="17" t="n"/>
      <c r="D2639" s="17" t="n"/>
      <c r="E2639" s="17" t="n"/>
      <c r="F2639" s="28" t="n"/>
      <c r="G2639" s="29" t="n"/>
      <c r="H2639" s="29" t="n"/>
      <c r="I2639" s="29" t="n"/>
      <c r="J2639" s="29" t="n"/>
      <c r="K2639" s="30">
        <f>IF(B2639="","",SUM(G$2:I2639)-SUM(J$2:J2639))</f>
        <v/>
      </c>
      <c r="L2639" s="22">
        <f>IF(B2639="","",IF(B2639=B2638,L2638,N(L2638)+1))</f>
        <v/>
      </c>
    </row>
    <row r="2640">
      <c r="A2640" s="22" t="n"/>
      <c r="B2640" s="27" t="n"/>
      <c r="C2640" s="17" t="n"/>
      <c r="D2640" s="17" t="n"/>
      <c r="E2640" s="17" t="n"/>
      <c r="F2640" s="28" t="n"/>
      <c r="G2640" s="29" t="n"/>
      <c r="H2640" s="29" t="n"/>
      <c r="I2640" s="29" t="n"/>
      <c r="J2640" s="29" t="n"/>
      <c r="K2640" s="30">
        <f>IF(B2640="","",SUM(G$2:I2640)-SUM(J$2:J2640))</f>
        <v/>
      </c>
      <c r="L2640" s="22">
        <f>IF(B2640="","",IF(B2640=B2639,L2639,N(L2639)+1))</f>
        <v/>
      </c>
    </row>
    <row r="2641">
      <c r="A2641" s="22" t="n"/>
      <c r="B2641" s="27" t="n"/>
      <c r="C2641" s="17" t="n"/>
      <c r="D2641" s="17" t="n"/>
      <c r="E2641" s="17" t="n"/>
      <c r="F2641" s="28" t="n"/>
      <c r="G2641" s="29" t="n"/>
      <c r="H2641" s="29" t="n"/>
      <c r="I2641" s="29" t="n"/>
      <c r="J2641" s="29" t="n"/>
      <c r="K2641" s="30">
        <f>IF(B2641="","",SUM(G$2:I2641)-SUM(J$2:J2641))</f>
        <v/>
      </c>
      <c r="L2641" s="22">
        <f>IF(B2641="","",IF(B2641=B2640,L2640,N(L2640)+1))</f>
        <v/>
      </c>
    </row>
    <row r="2642">
      <c r="A2642" s="22" t="n"/>
      <c r="B2642" s="27" t="n"/>
      <c r="C2642" s="17" t="n"/>
      <c r="D2642" s="17" t="n"/>
      <c r="E2642" s="17" t="n"/>
      <c r="F2642" s="28" t="n"/>
      <c r="G2642" s="29" t="n"/>
      <c r="H2642" s="29" t="n"/>
      <c r="I2642" s="29" t="n"/>
      <c r="J2642" s="29" t="n"/>
      <c r="K2642" s="30">
        <f>IF(B2642="","",SUM(G$2:I2642)-SUM(J$2:J2642))</f>
        <v/>
      </c>
      <c r="L2642" s="22">
        <f>IF(B2642="","",IF(B2642=B2641,L2641,N(L2641)+1))</f>
        <v/>
      </c>
    </row>
    <row r="2643">
      <c r="A2643" s="22" t="n"/>
      <c r="B2643" s="27" t="n"/>
      <c r="C2643" s="17" t="n"/>
      <c r="D2643" s="17" t="n"/>
      <c r="E2643" s="17" t="n"/>
      <c r="F2643" s="28" t="n"/>
      <c r="G2643" s="29" t="n"/>
      <c r="H2643" s="29" t="n"/>
      <c r="I2643" s="29" t="n"/>
      <c r="J2643" s="29" t="n"/>
      <c r="K2643" s="30">
        <f>IF(B2643="","",SUM(G$2:I2643)-SUM(J$2:J2643))</f>
        <v/>
      </c>
      <c r="L2643" s="22">
        <f>IF(B2643="","",IF(B2643=B2642,L2642,N(L2642)+1))</f>
        <v/>
      </c>
    </row>
    <row r="2644">
      <c r="A2644" s="22" t="n"/>
      <c r="B2644" s="27" t="n"/>
      <c r="C2644" s="17" t="n"/>
      <c r="D2644" s="17" t="n"/>
      <c r="E2644" s="17" t="n"/>
      <c r="F2644" s="28" t="n"/>
      <c r="G2644" s="29" t="n"/>
      <c r="H2644" s="29" t="n"/>
      <c r="I2644" s="29" t="n"/>
      <c r="J2644" s="29" t="n"/>
      <c r="K2644" s="30">
        <f>IF(B2644="","",SUM(G$2:I2644)-SUM(J$2:J2644))</f>
        <v/>
      </c>
      <c r="L2644" s="22">
        <f>IF(B2644="","",IF(B2644=B2643,L2643,N(L2643)+1))</f>
        <v/>
      </c>
    </row>
    <row r="2645">
      <c r="A2645" s="22" t="n"/>
      <c r="B2645" s="27" t="n"/>
      <c r="C2645" s="17" t="n"/>
      <c r="D2645" s="17" t="n"/>
      <c r="E2645" s="17" t="n"/>
      <c r="F2645" s="28" t="n"/>
      <c r="G2645" s="29" t="n"/>
      <c r="H2645" s="29" t="n"/>
      <c r="I2645" s="29" t="n"/>
      <c r="J2645" s="29" t="n"/>
      <c r="K2645" s="30">
        <f>IF(B2645="","",SUM(G$2:I2645)-SUM(J$2:J2645))</f>
        <v/>
      </c>
      <c r="L2645" s="22">
        <f>IF(B2645="","",IF(B2645=B2644,L2644,N(L2644)+1))</f>
        <v/>
      </c>
    </row>
    <row r="2646">
      <c r="A2646" s="22" t="n"/>
      <c r="B2646" s="27" t="n"/>
      <c r="C2646" s="17" t="n"/>
      <c r="D2646" s="17" t="n"/>
      <c r="E2646" s="17" t="n"/>
      <c r="F2646" s="28" t="n"/>
      <c r="G2646" s="29" t="n"/>
      <c r="H2646" s="29" t="n"/>
      <c r="I2646" s="29" t="n"/>
      <c r="J2646" s="29" t="n"/>
      <c r="K2646" s="30">
        <f>IF(B2646="","",SUM(G$2:I2646)-SUM(J$2:J2646))</f>
        <v/>
      </c>
      <c r="L2646" s="22">
        <f>IF(B2646="","",IF(B2646=B2645,L2645,N(L2645)+1))</f>
        <v/>
      </c>
    </row>
    <row r="2647">
      <c r="A2647" s="22" t="n"/>
      <c r="B2647" s="27" t="n"/>
      <c r="C2647" s="17" t="n"/>
      <c r="D2647" s="17" t="n"/>
      <c r="E2647" s="17" t="n"/>
      <c r="F2647" s="28" t="n"/>
      <c r="G2647" s="29" t="n"/>
      <c r="H2647" s="29" t="n"/>
      <c r="I2647" s="29" t="n"/>
      <c r="J2647" s="29" t="n"/>
      <c r="K2647" s="30">
        <f>IF(B2647="","",SUM(G$2:I2647)-SUM(J$2:J2647))</f>
        <v/>
      </c>
      <c r="L2647" s="22">
        <f>IF(B2647="","",IF(B2647=B2646,L2646,N(L2646)+1))</f>
        <v/>
      </c>
    </row>
    <row r="2648">
      <c r="A2648" s="22" t="n"/>
      <c r="B2648" s="27" t="n"/>
      <c r="C2648" s="17" t="n"/>
      <c r="D2648" s="17" t="n"/>
      <c r="E2648" s="17" t="n"/>
      <c r="F2648" s="28" t="n"/>
      <c r="G2648" s="29" t="n"/>
      <c r="H2648" s="29" t="n"/>
      <c r="I2648" s="29" t="n"/>
      <c r="J2648" s="29" t="n"/>
      <c r="K2648" s="30">
        <f>IF(B2648="","",SUM(G$2:I2648)-SUM(J$2:J2648))</f>
        <v/>
      </c>
      <c r="L2648" s="22">
        <f>IF(B2648="","",IF(B2648=B2647,L2647,N(L2647)+1))</f>
        <v/>
      </c>
    </row>
    <row r="2649">
      <c r="A2649" s="22" t="n"/>
      <c r="B2649" s="27" t="n"/>
      <c r="C2649" s="17" t="n"/>
      <c r="D2649" s="17" t="n"/>
      <c r="E2649" s="17" t="n"/>
      <c r="F2649" s="28" t="n"/>
      <c r="G2649" s="29" t="n"/>
      <c r="H2649" s="29" t="n"/>
      <c r="I2649" s="29" t="n"/>
      <c r="J2649" s="29" t="n"/>
      <c r="K2649" s="30">
        <f>IF(B2649="","",SUM(G$2:I2649)-SUM(J$2:J2649))</f>
        <v/>
      </c>
      <c r="L2649" s="22">
        <f>IF(B2649="","",IF(B2649=B2648,L2648,N(L2648)+1))</f>
        <v/>
      </c>
    </row>
    <row r="2650">
      <c r="A2650" s="22" t="n"/>
      <c r="B2650" s="27" t="n"/>
      <c r="C2650" s="17" t="n"/>
      <c r="D2650" s="17" t="n"/>
      <c r="E2650" s="17" t="n"/>
      <c r="F2650" s="28" t="n"/>
      <c r="G2650" s="29" t="n"/>
      <c r="H2650" s="29" t="n"/>
      <c r="I2650" s="29" t="n"/>
      <c r="J2650" s="29" t="n"/>
      <c r="K2650" s="30">
        <f>IF(B2650="","",SUM(G$2:I2650)-SUM(J$2:J2650))</f>
        <v/>
      </c>
      <c r="L2650" s="22">
        <f>IF(B2650="","",IF(B2650=B2649,L2649,N(L2649)+1))</f>
        <v/>
      </c>
    </row>
    <row r="2651">
      <c r="A2651" s="22" t="n"/>
      <c r="B2651" s="27" t="n"/>
      <c r="C2651" s="17" t="n"/>
      <c r="D2651" s="17" t="n"/>
      <c r="E2651" s="17" t="n"/>
      <c r="F2651" s="28" t="n"/>
      <c r="G2651" s="29" t="n"/>
      <c r="H2651" s="29" t="n"/>
      <c r="I2651" s="29" t="n"/>
      <c r="J2651" s="29" t="n"/>
      <c r="K2651" s="30">
        <f>IF(B2651="","",SUM(G$2:I2651)-SUM(J$2:J2651))</f>
        <v/>
      </c>
      <c r="L2651" s="22">
        <f>IF(B2651="","",IF(B2651=B2650,L2650,N(L2650)+1))</f>
        <v/>
      </c>
    </row>
    <row r="2652">
      <c r="A2652" s="22" t="n"/>
      <c r="B2652" s="27" t="n"/>
      <c r="C2652" s="17" t="n"/>
      <c r="D2652" s="17" t="n"/>
      <c r="E2652" s="17" t="n"/>
      <c r="F2652" s="28" t="n"/>
      <c r="G2652" s="29" t="n"/>
      <c r="H2652" s="29" t="n"/>
      <c r="I2652" s="29" t="n"/>
      <c r="J2652" s="29" t="n"/>
      <c r="K2652" s="30">
        <f>IF(B2652="","",SUM(G$2:I2652)-SUM(J$2:J2652))</f>
        <v/>
      </c>
      <c r="L2652" s="22">
        <f>IF(B2652="","",IF(B2652=B2651,L2651,N(L2651)+1))</f>
        <v/>
      </c>
    </row>
    <row r="2653">
      <c r="A2653" s="22" t="n"/>
      <c r="B2653" s="27" t="n"/>
      <c r="C2653" s="17" t="n"/>
      <c r="D2653" s="17" t="n"/>
      <c r="E2653" s="17" t="n"/>
      <c r="F2653" s="28" t="n"/>
      <c r="G2653" s="29" t="n"/>
      <c r="H2653" s="29" t="n"/>
      <c r="I2653" s="29" t="n"/>
      <c r="J2653" s="29" t="n"/>
      <c r="K2653" s="30">
        <f>IF(B2653="","",SUM(G$2:I2653)-SUM(J$2:J2653))</f>
        <v/>
      </c>
      <c r="L2653" s="22">
        <f>IF(B2653="","",IF(B2653=B2652,L2652,N(L2652)+1))</f>
        <v/>
      </c>
    </row>
    <row r="2654">
      <c r="A2654" s="22" t="n"/>
      <c r="B2654" s="27" t="n"/>
      <c r="C2654" s="17" t="n"/>
      <c r="D2654" s="17" t="n"/>
      <c r="E2654" s="17" t="n"/>
      <c r="F2654" s="28" t="n"/>
      <c r="G2654" s="29" t="n"/>
      <c r="H2654" s="29" t="n"/>
      <c r="I2654" s="29" t="n"/>
      <c r="J2654" s="29" t="n"/>
      <c r="K2654" s="30">
        <f>IF(B2654="","",SUM(G$2:I2654)-SUM(J$2:J2654))</f>
        <v/>
      </c>
      <c r="L2654" s="22">
        <f>IF(B2654="","",IF(B2654=B2653,L2653,N(L2653)+1))</f>
        <v/>
      </c>
    </row>
    <row r="2655">
      <c r="A2655" s="22" t="n"/>
      <c r="B2655" s="27" t="n"/>
      <c r="C2655" s="17" t="n"/>
      <c r="D2655" s="17" t="n"/>
      <c r="E2655" s="17" t="n"/>
      <c r="F2655" s="28" t="n"/>
      <c r="G2655" s="29" t="n"/>
      <c r="H2655" s="29" t="n"/>
      <c r="I2655" s="29" t="n"/>
      <c r="J2655" s="29" t="n"/>
      <c r="K2655" s="30">
        <f>IF(B2655="","",SUM(G$2:I2655)-SUM(J$2:J2655))</f>
        <v/>
      </c>
      <c r="L2655" s="22">
        <f>IF(B2655="","",IF(B2655=B2654,L2654,N(L2654)+1))</f>
        <v/>
      </c>
    </row>
    <row r="2656">
      <c r="A2656" s="22" t="n"/>
      <c r="B2656" s="27" t="n"/>
      <c r="C2656" s="17" t="n"/>
      <c r="D2656" s="17" t="n"/>
      <c r="E2656" s="17" t="n"/>
      <c r="F2656" s="28" t="n"/>
      <c r="G2656" s="29" t="n"/>
      <c r="H2656" s="29" t="n"/>
      <c r="I2656" s="29" t="n"/>
      <c r="J2656" s="29" t="n"/>
      <c r="K2656" s="30">
        <f>IF(B2656="","",SUM(G$2:I2656)-SUM(J$2:J2656))</f>
        <v/>
      </c>
      <c r="L2656" s="22">
        <f>IF(B2656="","",IF(B2656=B2655,L2655,N(L2655)+1))</f>
        <v/>
      </c>
    </row>
    <row r="2657">
      <c r="A2657" s="22" t="n"/>
      <c r="B2657" s="27" t="n"/>
      <c r="C2657" s="17" t="n"/>
      <c r="D2657" s="17" t="n"/>
      <c r="E2657" s="17" t="n"/>
      <c r="F2657" s="28" t="n"/>
      <c r="G2657" s="29" t="n"/>
      <c r="H2657" s="29" t="n"/>
      <c r="I2657" s="29" t="n"/>
      <c r="J2657" s="29" t="n"/>
      <c r="K2657" s="30">
        <f>IF(B2657="","",SUM(G$2:I2657)-SUM(J$2:J2657))</f>
        <v/>
      </c>
      <c r="L2657" s="22">
        <f>IF(B2657="","",IF(B2657=B2656,L2656,N(L2656)+1))</f>
        <v/>
      </c>
    </row>
    <row r="2658">
      <c r="A2658" s="22" t="n"/>
      <c r="B2658" s="27" t="n"/>
      <c r="C2658" s="17" t="n"/>
      <c r="D2658" s="17" t="n"/>
      <c r="E2658" s="17" t="n"/>
      <c r="F2658" s="28" t="n"/>
      <c r="G2658" s="29" t="n"/>
      <c r="H2658" s="29" t="n"/>
      <c r="I2658" s="29" t="n"/>
      <c r="J2658" s="29" t="n"/>
      <c r="K2658" s="30">
        <f>IF(B2658="","",SUM(G$2:I2658)-SUM(J$2:J2658))</f>
        <v/>
      </c>
      <c r="L2658" s="22">
        <f>IF(B2658="","",IF(B2658=B2657,L2657,N(L2657)+1))</f>
        <v/>
      </c>
    </row>
    <row r="2659">
      <c r="A2659" s="22" t="n"/>
      <c r="B2659" s="27" t="n"/>
      <c r="C2659" s="17" t="n"/>
      <c r="D2659" s="17" t="n"/>
      <c r="E2659" s="17" t="n"/>
      <c r="F2659" s="28" t="n"/>
      <c r="G2659" s="29" t="n"/>
      <c r="H2659" s="29" t="n"/>
      <c r="I2659" s="29" t="n"/>
      <c r="J2659" s="29" t="n"/>
      <c r="K2659" s="30">
        <f>IF(B2659="","",SUM(G$2:I2659)-SUM(J$2:J2659))</f>
        <v/>
      </c>
      <c r="L2659" s="22">
        <f>IF(B2659="","",IF(B2659=B2658,L2658,N(L2658)+1))</f>
        <v/>
      </c>
    </row>
    <row r="2660">
      <c r="A2660" s="22" t="n"/>
      <c r="B2660" s="27" t="n"/>
      <c r="C2660" s="17" t="n"/>
      <c r="D2660" s="17" t="n"/>
      <c r="E2660" s="17" t="n"/>
      <c r="F2660" s="28" t="n"/>
      <c r="G2660" s="29" t="n"/>
      <c r="H2660" s="29" t="n"/>
      <c r="I2660" s="29" t="n"/>
      <c r="J2660" s="29" t="n"/>
      <c r="K2660" s="30">
        <f>IF(B2660="","",SUM(G$2:I2660)-SUM(J$2:J2660))</f>
        <v/>
      </c>
      <c r="L2660" s="22">
        <f>IF(B2660="","",IF(B2660=B2659,L2659,N(L2659)+1))</f>
        <v/>
      </c>
    </row>
    <row r="2661">
      <c r="A2661" s="22" t="n"/>
      <c r="B2661" s="27" t="n"/>
      <c r="C2661" s="17" t="n"/>
      <c r="D2661" s="17" t="n"/>
      <c r="E2661" s="17" t="n"/>
      <c r="F2661" s="28" t="n"/>
      <c r="G2661" s="29" t="n"/>
      <c r="H2661" s="29" t="n"/>
      <c r="I2661" s="29" t="n"/>
      <c r="J2661" s="29" t="n"/>
      <c r="K2661" s="30">
        <f>IF(B2661="","",SUM(G$2:I2661)-SUM(J$2:J2661))</f>
        <v/>
      </c>
      <c r="L2661" s="22">
        <f>IF(B2661="","",IF(B2661=B2660,L2660,N(L2660)+1))</f>
        <v/>
      </c>
    </row>
    <row r="2662">
      <c r="A2662" s="22" t="n"/>
      <c r="B2662" s="27" t="n"/>
      <c r="C2662" s="17" t="n"/>
      <c r="D2662" s="17" t="n"/>
      <c r="E2662" s="17" t="n"/>
      <c r="F2662" s="28" t="n"/>
      <c r="G2662" s="29" t="n"/>
      <c r="H2662" s="29" t="n"/>
      <c r="I2662" s="29" t="n"/>
      <c r="J2662" s="29" t="n"/>
      <c r="K2662" s="30">
        <f>IF(B2662="","",SUM(G$2:I2662)-SUM(J$2:J2662))</f>
        <v/>
      </c>
      <c r="L2662" s="22">
        <f>IF(B2662="","",IF(B2662=B2661,L2661,N(L2661)+1))</f>
        <v/>
      </c>
    </row>
    <row r="2663">
      <c r="A2663" s="22" t="n"/>
      <c r="B2663" s="27" t="n"/>
      <c r="C2663" s="17" t="n"/>
      <c r="D2663" s="17" t="n"/>
      <c r="E2663" s="17" t="n"/>
      <c r="F2663" s="28" t="n"/>
      <c r="G2663" s="29" t="n"/>
      <c r="H2663" s="29" t="n"/>
      <c r="I2663" s="29" t="n"/>
      <c r="J2663" s="29" t="n"/>
      <c r="K2663" s="30">
        <f>IF(B2663="","",SUM(G$2:I2663)-SUM(J$2:J2663))</f>
        <v/>
      </c>
      <c r="L2663" s="22">
        <f>IF(B2663="","",IF(B2663=B2662,L2662,N(L2662)+1))</f>
        <v/>
      </c>
    </row>
    <row r="2664">
      <c r="A2664" s="22" t="n"/>
      <c r="B2664" s="27" t="n"/>
      <c r="C2664" s="17" t="n"/>
      <c r="D2664" s="17" t="n"/>
      <c r="E2664" s="17" t="n"/>
      <c r="F2664" s="28" t="n"/>
      <c r="G2664" s="29" t="n"/>
      <c r="H2664" s="29" t="n"/>
      <c r="I2664" s="29" t="n"/>
      <c r="J2664" s="29" t="n"/>
      <c r="K2664" s="30">
        <f>IF(B2664="","",SUM(G$2:I2664)-SUM(J$2:J2664))</f>
        <v/>
      </c>
      <c r="L2664" s="22">
        <f>IF(B2664="","",IF(B2664=B2663,L2663,N(L2663)+1))</f>
        <v/>
      </c>
    </row>
    <row r="2665">
      <c r="A2665" s="22" t="n"/>
      <c r="B2665" s="27" t="n"/>
      <c r="C2665" s="17" t="n"/>
      <c r="D2665" s="17" t="n"/>
      <c r="E2665" s="17" t="n"/>
      <c r="F2665" s="28" t="n"/>
      <c r="G2665" s="29" t="n"/>
      <c r="H2665" s="29" t="n"/>
      <c r="I2665" s="29" t="n"/>
      <c r="J2665" s="29" t="n"/>
      <c r="K2665" s="30">
        <f>IF(B2665="","",SUM(G$2:I2665)-SUM(J$2:J2665))</f>
        <v/>
      </c>
      <c r="L2665" s="22">
        <f>IF(B2665="","",IF(B2665=B2664,L2664,N(L2664)+1))</f>
        <v/>
      </c>
    </row>
    <row r="2666">
      <c r="A2666" s="22" t="n"/>
      <c r="B2666" s="27" t="n"/>
      <c r="C2666" s="17" t="n"/>
      <c r="D2666" s="17" t="n"/>
      <c r="E2666" s="17" t="n"/>
      <c r="F2666" s="28" t="n"/>
      <c r="G2666" s="29" t="n"/>
      <c r="H2666" s="29" t="n"/>
      <c r="I2666" s="29" t="n"/>
      <c r="J2666" s="29" t="n"/>
      <c r="K2666" s="30">
        <f>IF(B2666="","",SUM(G$2:I2666)-SUM(J$2:J2666))</f>
        <v/>
      </c>
      <c r="L2666" s="22">
        <f>IF(B2666="","",IF(B2666=B2665,L2665,N(L2665)+1))</f>
        <v/>
      </c>
    </row>
    <row r="2667">
      <c r="A2667" s="22" t="n"/>
      <c r="B2667" s="27" t="n"/>
      <c r="C2667" s="17" t="n"/>
      <c r="D2667" s="17" t="n"/>
      <c r="E2667" s="17" t="n"/>
      <c r="F2667" s="28" t="n"/>
      <c r="G2667" s="29" t="n"/>
      <c r="H2667" s="29" t="n"/>
      <c r="I2667" s="29" t="n"/>
      <c r="J2667" s="29" t="n"/>
      <c r="K2667" s="30">
        <f>IF(B2667="","",SUM(G$2:I2667)-SUM(J$2:J2667))</f>
        <v/>
      </c>
      <c r="L2667" s="22">
        <f>IF(B2667="","",IF(B2667=B2666,L2666,N(L2666)+1))</f>
        <v/>
      </c>
    </row>
    <row r="2668">
      <c r="A2668" s="22" t="n"/>
      <c r="B2668" s="27" t="n"/>
      <c r="C2668" s="17" t="n"/>
      <c r="D2668" s="17" t="n"/>
      <c r="E2668" s="17" t="n"/>
      <c r="F2668" s="28" t="n"/>
      <c r="G2668" s="29" t="n"/>
      <c r="H2668" s="29" t="n"/>
      <c r="I2668" s="29" t="n"/>
      <c r="J2668" s="29" t="n"/>
      <c r="K2668" s="30">
        <f>IF(B2668="","",SUM(G$2:I2668)-SUM(J$2:J2668))</f>
        <v/>
      </c>
      <c r="L2668" s="22">
        <f>IF(B2668="","",IF(B2668=B2667,L2667,N(L2667)+1))</f>
        <v/>
      </c>
    </row>
    <row r="2669">
      <c r="A2669" s="22" t="n"/>
      <c r="B2669" s="27" t="n"/>
      <c r="C2669" s="17" t="n"/>
      <c r="D2669" s="17" t="n"/>
      <c r="E2669" s="17" t="n"/>
      <c r="F2669" s="28" t="n"/>
      <c r="G2669" s="29" t="n"/>
      <c r="H2669" s="29" t="n"/>
      <c r="I2669" s="29" t="n"/>
      <c r="J2669" s="29" t="n"/>
      <c r="K2669" s="30">
        <f>IF(B2669="","",SUM(G$2:I2669)-SUM(J$2:J2669))</f>
        <v/>
      </c>
      <c r="L2669" s="22">
        <f>IF(B2669="","",IF(B2669=B2668,L2668,N(L2668)+1))</f>
        <v/>
      </c>
    </row>
    <row r="2670">
      <c r="A2670" s="22" t="n"/>
      <c r="B2670" s="27" t="n"/>
      <c r="C2670" s="17" t="n"/>
      <c r="D2670" s="17" t="n"/>
      <c r="E2670" s="17" t="n"/>
      <c r="F2670" s="28" t="n"/>
      <c r="G2670" s="29" t="n"/>
      <c r="H2670" s="29" t="n"/>
      <c r="I2670" s="29" t="n"/>
      <c r="J2670" s="29" t="n"/>
      <c r="K2670" s="30">
        <f>IF(B2670="","",SUM(G$2:I2670)-SUM(J$2:J2670))</f>
        <v/>
      </c>
      <c r="L2670" s="22">
        <f>IF(B2670="","",IF(B2670=B2669,L2669,N(L2669)+1))</f>
        <v/>
      </c>
    </row>
    <row r="2671">
      <c r="A2671" s="22" t="n"/>
      <c r="B2671" s="27" t="n"/>
      <c r="C2671" s="17" t="n"/>
      <c r="D2671" s="17" t="n"/>
      <c r="E2671" s="17" t="n"/>
      <c r="F2671" s="28" t="n"/>
      <c r="G2671" s="29" t="n"/>
      <c r="H2671" s="29" t="n"/>
      <c r="I2671" s="29" t="n"/>
      <c r="J2671" s="29" t="n"/>
      <c r="K2671" s="30">
        <f>IF(B2671="","",SUM(G$2:I2671)-SUM(J$2:J2671))</f>
        <v/>
      </c>
      <c r="L2671" s="22">
        <f>IF(B2671="","",IF(B2671=B2670,L2670,N(L2670)+1))</f>
        <v/>
      </c>
    </row>
    <row r="2672">
      <c r="A2672" s="22" t="n"/>
      <c r="B2672" s="27" t="n"/>
      <c r="C2672" s="17" t="n"/>
      <c r="D2672" s="17" t="n"/>
      <c r="E2672" s="17" t="n"/>
      <c r="F2672" s="28" t="n"/>
      <c r="G2672" s="29" t="n"/>
      <c r="H2672" s="29" t="n"/>
      <c r="I2672" s="29" t="n"/>
      <c r="J2672" s="29" t="n"/>
      <c r="K2672" s="30">
        <f>IF(B2672="","",SUM(G$2:I2672)-SUM(J$2:J2672))</f>
        <v/>
      </c>
      <c r="L2672" s="22">
        <f>IF(B2672="","",IF(B2672=B2671,L2671,N(L2671)+1))</f>
        <v/>
      </c>
    </row>
    <row r="2673">
      <c r="A2673" s="22" t="n"/>
      <c r="B2673" s="27" t="n"/>
      <c r="C2673" s="17" t="n"/>
      <c r="D2673" s="17" t="n"/>
      <c r="E2673" s="17" t="n"/>
      <c r="F2673" s="28" t="n"/>
      <c r="G2673" s="29" t="n"/>
      <c r="H2673" s="29" t="n"/>
      <c r="I2673" s="29" t="n"/>
      <c r="J2673" s="29" t="n"/>
      <c r="K2673" s="30">
        <f>IF(B2673="","",SUM(G$2:I2673)-SUM(J$2:J2673))</f>
        <v/>
      </c>
      <c r="L2673" s="22">
        <f>IF(B2673="","",IF(B2673=B2672,L2672,N(L2672)+1))</f>
        <v/>
      </c>
    </row>
    <row r="2674">
      <c r="A2674" s="22" t="n"/>
      <c r="B2674" s="27" t="n"/>
      <c r="C2674" s="17" t="n"/>
      <c r="D2674" s="17" t="n"/>
      <c r="E2674" s="17" t="n"/>
      <c r="F2674" s="28" t="n"/>
      <c r="G2674" s="29" t="n"/>
      <c r="H2674" s="29" t="n"/>
      <c r="I2674" s="29" t="n"/>
      <c r="J2674" s="29" t="n"/>
      <c r="K2674" s="30">
        <f>IF(B2674="","",SUM(G$2:I2674)-SUM(J$2:J2674))</f>
        <v/>
      </c>
      <c r="L2674" s="22">
        <f>IF(B2674="","",IF(B2674=B2673,L2673,N(L2673)+1))</f>
        <v/>
      </c>
    </row>
    <row r="2675">
      <c r="A2675" s="22" t="n"/>
      <c r="B2675" s="27" t="n"/>
      <c r="C2675" s="17" t="n"/>
      <c r="D2675" s="17" t="n"/>
      <c r="E2675" s="17" t="n"/>
      <c r="F2675" s="28" t="n"/>
      <c r="G2675" s="29" t="n"/>
      <c r="H2675" s="29" t="n"/>
      <c r="I2675" s="29" t="n"/>
      <c r="J2675" s="29" t="n"/>
      <c r="K2675" s="30">
        <f>IF(B2675="","",SUM(G$2:I2675)-SUM(J$2:J2675))</f>
        <v/>
      </c>
      <c r="L2675" s="22">
        <f>IF(B2675="","",IF(B2675=B2674,L2674,N(L2674)+1))</f>
        <v/>
      </c>
    </row>
    <row r="2676">
      <c r="A2676" s="22" t="n"/>
      <c r="B2676" s="27" t="n"/>
      <c r="C2676" s="17" t="n"/>
      <c r="D2676" s="17" t="n"/>
      <c r="E2676" s="17" t="n"/>
      <c r="F2676" s="28" t="n"/>
      <c r="G2676" s="29" t="n"/>
      <c r="H2676" s="29" t="n"/>
      <c r="I2676" s="29" t="n"/>
      <c r="J2676" s="29" t="n"/>
      <c r="K2676" s="30">
        <f>IF(B2676="","",SUM(G$2:I2676)-SUM(J$2:J2676))</f>
        <v/>
      </c>
      <c r="L2676" s="22">
        <f>IF(B2676="","",IF(B2676=B2675,L2675,N(L2675)+1))</f>
        <v/>
      </c>
    </row>
    <row r="2677">
      <c r="A2677" s="22" t="n"/>
      <c r="B2677" s="27" t="n"/>
      <c r="C2677" s="17" t="n"/>
      <c r="D2677" s="17" t="n"/>
      <c r="E2677" s="17" t="n"/>
      <c r="F2677" s="28" t="n"/>
      <c r="G2677" s="29" t="n"/>
      <c r="H2677" s="29" t="n"/>
      <c r="I2677" s="29" t="n"/>
      <c r="J2677" s="29" t="n"/>
      <c r="K2677" s="30">
        <f>IF(B2677="","",SUM(G$2:I2677)-SUM(J$2:J2677))</f>
        <v/>
      </c>
      <c r="L2677" s="22">
        <f>IF(B2677="","",IF(B2677=B2676,L2676,N(L2676)+1))</f>
        <v/>
      </c>
    </row>
    <row r="2678">
      <c r="A2678" s="22" t="n"/>
      <c r="B2678" s="27" t="n"/>
      <c r="C2678" s="17" t="n"/>
      <c r="D2678" s="17" t="n"/>
      <c r="E2678" s="17" t="n"/>
      <c r="F2678" s="28" t="n"/>
      <c r="G2678" s="29" t="n"/>
      <c r="H2678" s="29" t="n"/>
      <c r="I2678" s="29" t="n"/>
      <c r="J2678" s="29" t="n"/>
      <c r="K2678" s="30">
        <f>IF(B2678="","",SUM(G$2:I2678)-SUM(J$2:J2678))</f>
        <v/>
      </c>
      <c r="L2678" s="22">
        <f>IF(B2678="","",IF(B2678=B2677,L2677,N(L2677)+1))</f>
        <v/>
      </c>
    </row>
    <row r="2679">
      <c r="A2679" s="22" t="n"/>
      <c r="B2679" s="27" t="n"/>
      <c r="C2679" s="17" t="n"/>
      <c r="D2679" s="17" t="n"/>
      <c r="E2679" s="17" t="n"/>
      <c r="F2679" s="28" t="n"/>
      <c r="G2679" s="29" t="n"/>
      <c r="H2679" s="29" t="n"/>
      <c r="I2679" s="29" t="n"/>
      <c r="J2679" s="29" t="n"/>
      <c r="K2679" s="30">
        <f>IF(B2679="","",SUM(G$2:I2679)-SUM(J$2:J2679))</f>
        <v/>
      </c>
      <c r="L2679" s="22">
        <f>IF(B2679="","",IF(B2679=B2678,L2678,N(L2678)+1))</f>
        <v/>
      </c>
    </row>
    <row r="2680">
      <c r="A2680" s="22" t="n"/>
      <c r="B2680" s="27" t="n"/>
      <c r="C2680" s="17" t="n"/>
      <c r="D2680" s="17" t="n"/>
      <c r="E2680" s="17" t="n"/>
      <c r="F2680" s="28" t="n"/>
      <c r="G2680" s="29" t="n"/>
      <c r="H2680" s="29" t="n"/>
      <c r="I2680" s="29" t="n"/>
      <c r="J2680" s="29" t="n"/>
      <c r="K2680" s="30">
        <f>IF(B2680="","",SUM(G$2:I2680)-SUM(J$2:J2680))</f>
        <v/>
      </c>
      <c r="L2680" s="22">
        <f>IF(B2680="","",IF(B2680=B2679,L2679,N(L2679)+1))</f>
        <v/>
      </c>
    </row>
    <row r="2681">
      <c r="A2681" s="22" t="n"/>
      <c r="B2681" s="27" t="n"/>
      <c r="C2681" s="17" t="n"/>
      <c r="D2681" s="17" t="n"/>
      <c r="E2681" s="17" t="n"/>
      <c r="F2681" s="28" t="n"/>
      <c r="G2681" s="29" t="n"/>
      <c r="H2681" s="29" t="n"/>
      <c r="I2681" s="29" t="n"/>
      <c r="J2681" s="29" t="n"/>
      <c r="K2681" s="30">
        <f>IF(B2681="","",SUM(G$2:I2681)-SUM(J$2:J2681))</f>
        <v/>
      </c>
      <c r="L2681" s="22">
        <f>IF(B2681="","",IF(B2681=B2680,L2680,N(L2680)+1))</f>
        <v/>
      </c>
    </row>
    <row r="2682">
      <c r="A2682" s="22" t="n"/>
      <c r="B2682" s="27" t="n"/>
      <c r="C2682" s="17" t="n"/>
      <c r="D2682" s="17" t="n"/>
      <c r="E2682" s="17" t="n"/>
      <c r="F2682" s="28" t="n"/>
      <c r="G2682" s="29" t="n"/>
      <c r="H2682" s="29" t="n"/>
      <c r="I2682" s="29" t="n"/>
      <c r="J2682" s="29" t="n"/>
      <c r="K2682" s="30">
        <f>IF(B2682="","",SUM(G$2:I2682)-SUM(J$2:J2682))</f>
        <v/>
      </c>
      <c r="L2682" s="22">
        <f>IF(B2682="","",IF(B2682=B2681,L2681,N(L2681)+1))</f>
        <v/>
      </c>
    </row>
    <row r="2683">
      <c r="A2683" s="22" t="n"/>
      <c r="B2683" s="27" t="n"/>
      <c r="C2683" s="17" t="n"/>
      <c r="D2683" s="17" t="n"/>
      <c r="E2683" s="17" t="n"/>
      <c r="F2683" s="28" t="n"/>
      <c r="G2683" s="29" t="n"/>
      <c r="H2683" s="29" t="n"/>
      <c r="I2683" s="29" t="n"/>
      <c r="J2683" s="29" t="n"/>
      <c r="K2683" s="30">
        <f>IF(B2683="","",SUM(G$2:I2683)-SUM(J$2:J2683))</f>
        <v/>
      </c>
      <c r="L2683" s="22">
        <f>IF(B2683="","",IF(B2683=B2682,L2682,N(L2682)+1))</f>
        <v/>
      </c>
    </row>
    <row r="2684">
      <c r="A2684" s="22" t="n"/>
      <c r="B2684" s="27" t="n"/>
      <c r="C2684" s="17" t="n"/>
      <c r="D2684" s="17" t="n"/>
      <c r="E2684" s="17" t="n"/>
      <c r="F2684" s="28" t="n"/>
      <c r="G2684" s="29" t="n"/>
      <c r="H2684" s="29" t="n"/>
      <c r="I2684" s="29" t="n"/>
      <c r="J2684" s="29" t="n"/>
      <c r="K2684" s="30">
        <f>IF(B2684="","",SUM(G$2:I2684)-SUM(J$2:J2684))</f>
        <v/>
      </c>
      <c r="L2684" s="22">
        <f>IF(B2684="","",IF(B2684=B2683,L2683,N(L2683)+1))</f>
        <v/>
      </c>
    </row>
    <row r="2685">
      <c r="A2685" s="22" t="n"/>
      <c r="B2685" s="27" t="n"/>
      <c r="C2685" s="17" t="n"/>
      <c r="D2685" s="17" t="n"/>
      <c r="E2685" s="17" t="n"/>
      <c r="F2685" s="28" t="n"/>
      <c r="G2685" s="29" t="n"/>
      <c r="H2685" s="29" t="n"/>
      <c r="I2685" s="29" t="n"/>
      <c r="J2685" s="29" t="n"/>
      <c r="K2685" s="30">
        <f>IF(B2685="","",SUM(G$2:I2685)-SUM(J$2:J2685))</f>
        <v/>
      </c>
      <c r="L2685" s="22">
        <f>IF(B2685="","",IF(B2685=B2684,L2684,N(L2684)+1))</f>
        <v/>
      </c>
    </row>
    <row r="2686">
      <c r="A2686" s="22" t="n"/>
      <c r="B2686" s="27" t="n"/>
      <c r="C2686" s="17" t="n"/>
      <c r="D2686" s="17" t="n"/>
      <c r="E2686" s="17" t="n"/>
      <c r="F2686" s="28" t="n"/>
      <c r="G2686" s="29" t="n"/>
      <c r="H2686" s="29" t="n"/>
      <c r="I2686" s="29" t="n"/>
      <c r="J2686" s="29" t="n"/>
      <c r="K2686" s="30">
        <f>IF(B2686="","",SUM(G$2:I2686)-SUM(J$2:J2686))</f>
        <v/>
      </c>
      <c r="L2686" s="22">
        <f>IF(B2686="","",IF(B2686=B2685,L2685,N(L2685)+1))</f>
        <v/>
      </c>
    </row>
    <row r="2687">
      <c r="A2687" s="22" t="n"/>
      <c r="B2687" s="27" t="n"/>
      <c r="C2687" s="17" t="n"/>
      <c r="D2687" s="17" t="n"/>
      <c r="E2687" s="17" t="n"/>
      <c r="F2687" s="28" t="n"/>
      <c r="G2687" s="29" t="n"/>
      <c r="H2687" s="29" t="n"/>
      <c r="I2687" s="29" t="n"/>
      <c r="J2687" s="29" t="n"/>
      <c r="K2687" s="30">
        <f>IF(B2687="","",SUM(G$2:I2687)-SUM(J$2:J2687))</f>
        <v/>
      </c>
      <c r="L2687" s="22">
        <f>IF(B2687="","",IF(B2687=B2686,L2686,N(L2686)+1))</f>
        <v/>
      </c>
    </row>
    <row r="2688">
      <c r="A2688" s="22" t="n"/>
      <c r="B2688" s="27" t="n"/>
      <c r="C2688" s="17" t="n"/>
      <c r="D2688" s="17" t="n"/>
      <c r="E2688" s="17" t="n"/>
      <c r="F2688" s="28" t="n"/>
      <c r="G2688" s="29" t="n"/>
      <c r="H2688" s="29" t="n"/>
      <c r="I2688" s="29" t="n"/>
      <c r="J2688" s="29" t="n"/>
      <c r="K2688" s="30">
        <f>IF(B2688="","",SUM(G$2:I2688)-SUM(J$2:J2688))</f>
        <v/>
      </c>
      <c r="L2688" s="22">
        <f>IF(B2688="","",IF(B2688=B2687,L2687,N(L2687)+1))</f>
        <v/>
      </c>
    </row>
    <row r="2689">
      <c r="A2689" s="22" t="n"/>
      <c r="B2689" s="27" t="n"/>
      <c r="C2689" s="17" t="n"/>
      <c r="D2689" s="17" t="n"/>
      <c r="E2689" s="17" t="n"/>
      <c r="F2689" s="28" t="n"/>
      <c r="G2689" s="29" t="n"/>
      <c r="H2689" s="29" t="n"/>
      <c r="I2689" s="29" t="n"/>
      <c r="J2689" s="29" t="n"/>
      <c r="K2689" s="30">
        <f>IF(B2689="","",SUM(G$2:I2689)-SUM(J$2:J2689))</f>
        <v/>
      </c>
      <c r="L2689" s="22">
        <f>IF(B2689="","",IF(B2689=B2688,L2688,N(L2688)+1))</f>
        <v/>
      </c>
    </row>
    <row r="2690">
      <c r="A2690" s="22" t="n"/>
      <c r="B2690" s="27" t="n"/>
      <c r="C2690" s="17" t="n"/>
      <c r="D2690" s="17" t="n"/>
      <c r="E2690" s="17" t="n"/>
      <c r="F2690" s="28" t="n"/>
      <c r="G2690" s="29" t="n"/>
      <c r="H2690" s="29" t="n"/>
      <c r="I2690" s="29" t="n"/>
      <c r="J2690" s="29" t="n"/>
      <c r="K2690" s="30">
        <f>IF(B2690="","",SUM(G$2:I2690)-SUM(J$2:J2690))</f>
        <v/>
      </c>
      <c r="L2690" s="22">
        <f>IF(B2690="","",IF(B2690=B2689,L2689,N(L2689)+1))</f>
        <v/>
      </c>
    </row>
    <row r="2691">
      <c r="A2691" s="22" t="n"/>
      <c r="B2691" s="27" t="n"/>
      <c r="C2691" s="17" t="n"/>
      <c r="D2691" s="17" t="n"/>
      <c r="E2691" s="17" t="n"/>
      <c r="F2691" s="28" t="n"/>
      <c r="G2691" s="29" t="n"/>
      <c r="H2691" s="29" t="n"/>
      <c r="I2691" s="29" t="n"/>
      <c r="J2691" s="29" t="n"/>
      <c r="K2691" s="30">
        <f>IF(B2691="","",SUM(G$2:I2691)-SUM(J$2:J2691))</f>
        <v/>
      </c>
      <c r="L2691" s="22">
        <f>IF(B2691="","",IF(B2691=B2690,L2690,N(L2690)+1))</f>
        <v/>
      </c>
    </row>
    <row r="2692">
      <c r="A2692" s="22" t="n"/>
      <c r="B2692" s="27" t="n"/>
      <c r="C2692" s="17" t="n"/>
      <c r="D2692" s="17" t="n"/>
      <c r="E2692" s="17" t="n"/>
      <c r="F2692" s="28" t="n"/>
      <c r="G2692" s="29" t="n"/>
      <c r="H2692" s="29" t="n"/>
      <c r="I2692" s="29" t="n"/>
      <c r="J2692" s="29" t="n"/>
      <c r="K2692" s="30">
        <f>IF(B2692="","",SUM(G$2:I2692)-SUM(J$2:J2692))</f>
        <v/>
      </c>
      <c r="L2692" s="22">
        <f>IF(B2692="","",IF(B2692=B2691,L2691,N(L2691)+1))</f>
        <v/>
      </c>
    </row>
    <row r="2693">
      <c r="A2693" s="22" t="n"/>
      <c r="B2693" s="27" t="n"/>
      <c r="C2693" s="17" t="n"/>
      <c r="D2693" s="17" t="n"/>
      <c r="E2693" s="17" t="n"/>
      <c r="F2693" s="28" t="n"/>
      <c r="G2693" s="29" t="n"/>
      <c r="H2693" s="29" t="n"/>
      <c r="I2693" s="29" t="n"/>
      <c r="J2693" s="29" t="n"/>
      <c r="K2693" s="30">
        <f>IF(B2693="","",SUM(G$2:I2693)-SUM(J$2:J2693))</f>
        <v/>
      </c>
      <c r="L2693" s="22">
        <f>IF(B2693="","",IF(B2693=B2692,L2692,N(L2692)+1))</f>
        <v/>
      </c>
    </row>
    <row r="2694">
      <c r="A2694" s="22" t="n"/>
      <c r="B2694" s="27" t="n"/>
      <c r="C2694" s="17" t="n"/>
      <c r="D2694" s="17" t="n"/>
      <c r="E2694" s="17" t="n"/>
      <c r="F2694" s="28" t="n"/>
      <c r="G2694" s="29" t="n"/>
      <c r="H2694" s="29" t="n"/>
      <c r="I2694" s="29" t="n"/>
      <c r="J2694" s="29" t="n"/>
      <c r="K2694" s="30">
        <f>IF(B2694="","",SUM(G$2:I2694)-SUM(J$2:J2694))</f>
        <v/>
      </c>
      <c r="L2694" s="22">
        <f>IF(B2694="","",IF(B2694=B2693,L2693,N(L2693)+1))</f>
        <v/>
      </c>
    </row>
    <row r="2695">
      <c r="A2695" s="22" t="n"/>
      <c r="B2695" s="27" t="n"/>
      <c r="C2695" s="17" t="n"/>
      <c r="D2695" s="17" t="n"/>
      <c r="E2695" s="17" t="n"/>
      <c r="F2695" s="28" t="n"/>
      <c r="G2695" s="29" t="n"/>
      <c r="H2695" s="29" t="n"/>
      <c r="I2695" s="29" t="n"/>
      <c r="J2695" s="29" t="n"/>
      <c r="K2695" s="30">
        <f>IF(B2695="","",SUM(G$2:I2695)-SUM(J$2:J2695))</f>
        <v/>
      </c>
      <c r="L2695" s="22">
        <f>IF(B2695="","",IF(B2695=B2694,L2694,N(L2694)+1))</f>
        <v/>
      </c>
    </row>
    <row r="2696">
      <c r="A2696" s="22" t="n"/>
      <c r="B2696" s="27" t="n"/>
      <c r="C2696" s="17" t="n"/>
      <c r="D2696" s="17" t="n"/>
      <c r="E2696" s="17" t="n"/>
      <c r="F2696" s="28" t="n"/>
      <c r="G2696" s="29" t="n"/>
      <c r="H2696" s="29" t="n"/>
      <c r="I2696" s="29" t="n"/>
      <c r="J2696" s="29" t="n"/>
      <c r="K2696" s="30">
        <f>IF(B2696="","",SUM(G$2:I2696)-SUM(J$2:J2696))</f>
        <v/>
      </c>
      <c r="L2696" s="22">
        <f>IF(B2696="","",IF(B2696=B2695,L2695,N(L2695)+1))</f>
        <v/>
      </c>
    </row>
    <row r="2697">
      <c r="A2697" s="22" t="n"/>
      <c r="B2697" s="27" t="n"/>
      <c r="C2697" s="17" t="n"/>
      <c r="D2697" s="17" t="n"/>
      <c r="E2697" s="17" t="n"/>
      <c r="F2697" s="28" t="n"/>
      <c r="G2697" s="29" t="n"/>
      <c r="H2697" s="29" t="n"/>
      <c r="I2697" s="29" t="n"/>
      <c r="J2697" s="29" t="n"/>
      <c r="K2697" s="30">
        <f>IF(B2697="","",SUM(G$2:I2697)-SUM(J$2:J2697))</f>
        <v/>
      </c>
      <c r="L2697" s="22">
        <f>IF(B2697="","",IF(B2697=B2696,L2696,N(L2696)+1))</f>
        <v/>
      </c>
    </row>
    <row r="2698">
      <c r="A2698" s="22" t="n"/>
      <c r="B2698" s="27" t="n"/>
      <c r="C2698" s="17" t="n"/>
      <c r="D2698" s="17" t="n"/>
      <c r="E2698" s="17" t="n"/>
      <c r="F2698" s="28" t="n"/>
      <c r="G2698" s="29" t="n"/>
      <c r="H2698" s="29" t="n"/>
      <c r="I2698" s="29" t="n"/>
      <c r="J2698" s="29" t="n"/>
      <c r="K2698" s="30">
        <f>IF(B2698="","",SUM(G$2:I2698)-SUM(J$2:J2698))</f>
        <v/>
      </c>
      <c r="L2698" s="22">
        <f>IF(B2698="","",IF(B2698=B2697,L2697,N(L2697)+1))</f>
        <v/>
      </c>
    </row>
    <row r="2699">
      <c r="A2699" s="22" t="n"/>
      <c r="B2699" s="27" t="n"/>
      <c r="C2699" s="17" t="n"/>
      <c r="D2699" s="17" t="n"/>
      <c r="E2699" s="17" t="n"/>
      <c r="F2699" s="28" t="n"/>
      <c r="G2699" s="29" t="n"/>
      <c r="H2699" s="29" t="n"/>
      <c r="I2699" s="29" t="n"/>
      <c r="J2699" s="29" t="n"/>
      <c r="K2699" s="30">
        <f>IF(B2699="","",SUM(G$2:I2699)-SUM(J$2:J2699))</f>
        <v/>
      </c>
      <c r="L2699" s="22">
        <f>IF(B2699="","",IF(B2699=B2698,L2698,N(L2698)+1))</f>
        <v/>
      </c>
    </row>
    <row r="2700">
      <c r="A2700" s="22" t="n"/>
      <c r="B2700" s="27" t="n"/>
      <c r="C2700" s="17" t="n"/>
      <c r="D2700" s="17" t="n"/>
      <c r="E2700" s="17" t="n"/>
      <c r="F2700" s="28" t="n"/>
      <c r="G2700" s="29" t="n"/>
      <c r="H2700" s="29" t="n"/>
      <c r="I2700" s="29" t="n"/>
      <c r="J2700" s="29" t="n"/>
      <c r="K2700" s="30">
        <f>IF(B2700="","",SUM(G$2:I2700)-SUM(J$2:J2700))</f>
        <v/>
      </c>
      <c r="L2700" s="22">
        <f>IF(B2700="","",IF(B2700=B2699,L2699,N(L2699)+1))</f>
        <v/>
      </c>
    </row>
    <row r="2701">
      <c r="A2701" s="22" t="n"/>
      <c r="B2701" s="27" t="n"/>
      <c r="C2701" s="17" t="n"/>
      <c r="D2701" s="17" t="n"/>
      <c r="E2701" s="17" t="n"/>
      <c r="F2701" s="28" t="n"/>
      <c r="G2701" s="29" t="n"/>
      <c r="H2701" s="29" t="n"/>
      <c r="I2701" s="29" t="n"/>
      <c r="J2701" s="29" t="n"/>
      <c r="K2701" s="30">
        <f>IF(B2701="","",SUM(G$2:I2701)-SUM(J$2:J2701))</f>
        <v/>
      </c>
      <c r="L2701" s="22">
        <f>IF(B2701="","",IF(B2701=B2700,L2700,N(L2700)+1))</f>
        <v/>
      </c>
    </row>
    <row r="2702">
      <c r="A2702" s="22" t="n"/>
      <c r="B2702" s="27" t="n"/>
      <c r="C2702" s="17" t="n"/>
      <c r="D2702" s="17" t="n"/>
      <c r="E2702" s="17" t="n"/>
      <c r="F2702" s="28" t="n"/>
      <c r="G2702" s="29" t="n"/>
      <c r="H2702" s="29" t="n"/>
      <c r="I2702" s="29" t="n"/>
      <c r="J2702" s="29" t="n"/>
      <c r="K2702" s="30">
        <f>IF(B2702="","",SUM(G$2:I2702)-SUM(J$2:J2702))</f>
        <v/>
      </c>
      <c r="L2702" s="22">
        <f>IF(B2702="","",IF(B2702=B2701,L2701,N(L2701)+1))</f>
        <v/>
      </c>
    </row>
    <row r="2703">
      <c r="A2703" s="22" t="n"/>
      <c r="B2703" s="27" t="n"/>
      <c r="C2703" s="17" t="n"/>
      <c r="D2703" s="17" t="n"/>
      <c r="E2703" s="17" t="n"/>
      <c r="F2703" s="28" t="n"/>
      <c r="G2703" s="29" t="n"/>
      <c r="H2703" s="29" t="n"/>
      <c r="I2703" s="29" t="n"/>
      <c r="J2703" s="29" t="n"/>
      <c r="K2703" s="30">
        <f>IF(B2703="","",SUM(G$2:I2703)-SUM(J$2:J2703))</f>
        <v/>
      </c>
      <c r="L2703" s="22">
        <f>IF(B2703="","",IF(B2703=B2702,L2702,N(L2702)+1))</f>
        <v/>
      </c>
    </row>
    <row r="2704">
      <c r="A2704" s="22" t="n"/>
      <c r="B2704" s="27" t="n"/>
      <c r="C2704" s="17" t="n"/>
      <c r="D2704" s="17" t="n"/>
      <c r="E2704" s="17" t="n"/>
      <c r="F2704" s="28" t="n"/>
      <c r="G2704" s="29" t="n"/>
      <c r="H2704" s="29" t="n"/>
      <c r="I2704" s="29" t="n"/>
      <c r="J2704" s="29" t="n"/>
      <c r="K2704" s="30">
        <f>IF(B2704="","",SUM(G$2:I2704)-SUM(J$2:J2704))</f>
        <v/>
      </c>
      <c r="L2704" s="22">
        <f>IF(B2704="","",IF(B2704=B2703,L2703,N(L2703)+1))</f>
        <v/>
      </c>
    </row>
    <row r="2705">
      <c r="A2705" s="22" t="n"/>
      <c r="B2705" s="27" t="n"/>
      <c r="C2705" s="17" t="n"/>
      <c r="D2705" s="17" t="n"/>
      <c r="E2705" s="17" t="n"/>
      <c r="F2705" s="28" t="n"/>
      <c r="G2705" s="29" t="n"/>
      <c r="H2705" s="29" t="n"/>
      <c r="I2705" s="29" t="n"/>
      <c r="J2705" s="29" t="n"/>
      <c r="K2705" s="30">
        <f>IF(B2705="","",SUM(G$2:I2705)-SUM(J$2:J2705))</f>
        <v/>
      </c>
      <c r="L2705" s="22">
        <f>IF(B2705="","",IF(B2705=B2704,L2704,N(L2704)+1))</f>
        <v/>
      </c>
    </row>
    <row r="2706">
      <c r="A2706" s="22" t="n"/>
      <c r="B2706" s="27" t="n"/>
      <c r="C2706" s="17" t="n"/>
      <c r="D2706" s="17" t="n"/>
      <c r="E2706" s="17" t="n"/>
      <c r="F2706" s="28" t="n"/>
      <c r="G2706" s="29" t="n"/>
      <c r="H2706" s="29" t="n"/>
      <c r="I2706" s="29" t="n"/>
      <c r="J2706" s="29" t="n"/>
      <c r="K2706" s="30">
        <f>IF(B2706="","",SUM(G$2:I2706)-SUM(J$2:J2706))</f>
        <v/>
      </c>
      <c r="L2706" s="22">
        <f>IF(B2706="","",IF(B2706=B2705,L2705,N(L2705)+1))</f>
        <v/>
      </c>
    </row>
    <row r="2707">
      <c r="A2707" s="22" t="n"/>
      <c r="B2707" s="27" t="n"/>
      <c r="C2707" s="17" t="n"/>
      <c r="D2707" s="17" t="n"/>
      <c r="E2707" s="17" t="n"/>
      <c r="F2707" s="28" t="n"/>
      <c r="G2707" s="29" t="n"/>
      <c r="H2707" s="29" t="n"/>
      <c r="I2707" s="29" t="n"/>
      <c r="J2707" s="29" t="n"/>
      <c r="K2707" s="30">
        <f>IF(B2707="","",SUM(G$2:I2707)-SUM(J$2:J2707))</f>
        <v/>
      </c>
      <c r="L2707" s="22">
        <f>IF(B2707="","",IF(B2707=B2706,L2706,N(L2706)+1))</f>
        <v/>
      </c>
    </row>
    <row r="2708">
      <c r="A2708" s="22" t="n"/>
      <c r="B2708" s="27" t="n"/>
      <c r="C2708" s="17" t="n"/>
      <c r="D2708" s="17" t="n"/>
      <c r="E2708" s="17" t="n"/>
      <c r="F2708" s="28" t="n"/>
      <c r="G2708" s="29" t="n"/>
      <c r="H2708" s="29" t="n"/>
      <c r="I2708" s="29" t="n"/>
      <c r="J2708" s="29" t="n"/>
      <c r="K2708" s="30">
        <f>IF(B2708="","",SUM(G$2:I2708)-SUM(J$2:J2708))</f>
        <v/>
      </c>
      <c r="L2708" s="22">
        <f>IF(B2708="","",IF(B2708=B2707,L2707,N(L2707)+1))</f>
        <v/>
      </c>
    </row>
    <row r="2709">
      <c r="A2709" s="22" t="n"/>
      <c r="B2709" s="27" t="n"/>
      <c r="C2709" s="17" t="n"/>
      <c r="D2709" s="17" t="n"/>
      <c r="E2709" s="17" t="n"/>
      <c r="F2709" s="28" t="n"/>
      <c r="G2709" s="29" t="n"/>
      <c r="H2709" s="29" t="n"/>
      <c r="I2709" s="29" t="n"/>
      <c r="J2709" s="29" t="n"/>
      <c r="K2709" s="30">
        <f>IF(B2709="","",SUM(G$2:I2709)-SUM(J$2:J2709))</f>
        <v/>
      </c>
      <c r="L2709" s="22">
        <f>IF(B2709="","",IF(B2709=B2708,L2708,N(L2708)+1))</f>
        <v/>
      </c>
    </row>
    <row r="2710">
      <c r="A2710" s="22" t="n"/>
      <c r="B2710" s="27" t="n"/>
      <c r="C2710" s="17" t="n"/>
      <c r="D2710" s="17" t="n"/>
      <c r="E2710" s="17" t="n"/>
      <c r="F2710" s="28" t="n"/>
      <c r="G2710" s="29" t="n"/>
      <c r="H2710" s="29" t="n"/>
      <c r="I2710" s="29" t="n"/>
      <c r="J2710" s="29" t="n"/>
      <c r="K2710" s="30">
        <f>IF(B2710="","",SUM(G$2:I2710)-SUM(J$2:J2710))</f>
        <v/>
      </c>
      <c r="L2710" s="22">
        <f>IF(B2710="","",IF(B2710=B2709,L2709,N(L2709)+1))</f>
        <v/>
      </c>
    </row>
    <row r="2711">
      <c r="A2711" s="22" t="n"/>
      <c r="B2711" s="27" t="n"/>
      <c r="C2711" s="17" t="n"/>
      <c r="D2711" s="17" t="n"/>
      <c r="E2711" s="17" t="n"/>
      <c r="F2711" s="28" t="n"/>
      <c r="G2711" s="29" t="n"/>
      <c r="H2711" s="29" t="n"/>
      <c r="I2711" s="29" t="n"/>
      <c r="J2711" s="29" t="n"/>
      <c r="K2711" s="30">
        <f>IF(B2711="","",SUM(G$2:I2711)-SUM(J$2:J2711))</f>
        <v/>
      </c>
      <c r="L2711" s="22">
        <f>IF(B2711="","",IF(B2711=B2710,L2710,N(L2710)+1))</f>
        <v/>
      </c>
    </row>
    <row r="2712">
      <c r="A2712" s="22" t="n"/>
      <c r="B2712" s="27" t="n"/>
      <c r="C2712" s="17" t="n"/>
      <c r="D2712" s="17" t="n"/>
      <c r="E2712" s="17" t="n"/>
      <c r="F2712" s="28" t="n"/>
      <c r="G2712" s="29" t="n"/>
      <c r="H2712" s="29" t="n"/>
      <c r="I2712" s="29" t="n"/>
      <c r="J2712" s="29" t="n"/>
      <c r="K2712" s="30">
        <f>IF(B2712="","",SUM(G$2:I2712)-SUM(J$2:J2712))</f>
        <v/>
      </c>
      <c r="L2712" s="22">
        <f>IF(B2712="","",IF(B2712=B2711,L2711,N(L2711)+1))</f>
        <v/>
      </c>
    </row>
    <row r="2713">
      <c r="A2713" s="22" t="n"/>
      <c r="B2713" s="27" t="n"/>
      <c r="C2713" s="17" t="n"/>
      <c r="D2713" s="17" t="n"/>
      <c r="E2713" s="17" t="n"/>
      <c r="F2713" s="28" t="n"/>
      <c r="G2713" s="29" t="n"/>
      <c r="H2713" s="29" t="n"/>
      <c r="I2713" s="29" t="n"/>
      <c r="J2713" s="29" t="n"/>
      <c r="K2713" s="30">
        <f>IF(B2713="","",SUM(G$2:I2713)-SUM(J$2:J2713))</f>
        <v/>
      </c>
      <c r="L2713" s="22">
        <f>IF(B2713="","",IF(B2713=B2712,L2712,N(L2712)+1))</f>
        <v/>
      </c>
    </row>
    <row r="2714">
      <c r="A2714" s="22" t="n"/>
      <c r="B2714" s="27" t="n"/>
      <c r="C2714" s="17" t="n"/>
      <c r="D2714" s="17" t="n"/>
      <c r="E2714" s="17" t="n"/>
      <c r="F2714" s="28" t="n"/>
      <c r="G2714" s="29" t="n"/>
      <c r="H2714" s="29" t="n"/>
      <c r="I2714" s="29" t="n"/>
      <c r="J2714" s="29" t="n"/>
      <c r="K2714" s="30">
        <f>IF(B2714="","",SUM(G$2:I2714)-SUM(J$2:J2714))</f>
        <v/>
      </c>
      <c r="L2714" s="22">
        <f>IF(B2714="","",IF(B2714=B2713,L2713,N(L2713)+1))</f>
        <v/>
      </c>
    </row>
    <row r="2715">
      <c r="A2715" s="22" t="n"/>
      <c r="B2715" s="27" t="n"/>
      <c r="C2715" s="17" t="n"/>
      <c r="D2715" s="17" t="n"/>
      <c r="E2715" s="17" t="n"/>
      <c r="F2715" s="28" t="n"/>
      <c r="G2715" s="29" t="n"/>
      <c r="H2715" s="29" t="n"/>
      <c r="I2715" s="29" t="n"/>
      <c r="J2715" s="29" t="n"/>
      <c r="K2715" s="30">
        <f>IF(B2715="","",SUM(G$2:I2715)-SUM(J$2:J2715))</f>
        <v/>
      </c>
      <c r="L2715" s="22">
        <f>IF(B2715="","",IF(B2715=B2714,L2714,N(L2714)+1))</f>
        <v/>
      </c>
    </row>
    <row r="2716">
      <c r="A2716" s="22" t="n"/>
      <c r="B2716" s="27" t="n"/>
      <c r="C2716" s="17" t="n"/>
      <c r="D2716" s="17" t="n"/>
      <c r="E2716" s="17" t="n"/>
      <c r="F2716" s="28" t="n"/>
      <c r="G2716" s="29" t="n"/>
      <c r="H2716" s="29" t="n"/>
      <c r="I2716" s="29" t="n"/>
      <c r="J2716" s="29" t="n"/>
      <c r="K2716" s="30">
        <f>IF(B2716="","",SUM(G$2:I2716)-SUM(J$2:J2716))</f>
        <v/>
      </c>
      <c r="L2716" s="22">
        <f>IF(B2716="","",IF(B2716=B2715,L2715,N(L2715)+1))</f>
        <v/>
      </c>
    </row>
    <row r="2717">
      <c r="A2717" s="22" t="n"/>
      <c r="B2717" s="27" t="n"/>
      <c r="C2717" s="17" t="n"/>
      <c r="D2717" s="17" t="n"/>
      <c r="E2717" s="17" t="n"/>
      <c r="F2717" s="28" t="n"/>
      <c r="G2717" s="29" t="n"/>
      <c r="H2717" s="29" t="n"/>
      <c r="I2717" s="29" t="n"/>
      <c r="J2717" s="29" t="n"/>
      <c r="K2717" s="30">
        <f>IF(B2717="","",SUM(G$2:I2717)-SUM(J$2:J2717))</f>
        <v/>
      </c>
      <c r="L2717" s="22">
        <f>IF(B2717="","",IF(B2717=B2716,L2716,N(L2716)+1))</f>
        <v/>
      </c>
    </row>
    <row r="2718">
      <c r="A2718" s="22" t="n"/>
      <c r="B2718" s="27" t="n"/>
      <c r="C2718" s="17" t="n"/>
      <c r="D2718" s="17" t="n"/>
      <c r="E2718" s="17" t="n"/>
      <c r="F2718" s="28" t="n"/>
      <c r="G2718" s="29" t="n"/>
      <c r="H2718" s="29" t="n"/>
      <c r="I2718" s="29" t="n"/>
      <c r="J2718" s="29" t="n"/>
      <c r="K2718" s="30">
        <f>IF(B2718="","",SUM(G$2:I2718)-SUM(J$2:J2718))</f>
        <v/>
      </c>
      <c r="L2718" s="22">
        <f>IF(B2718="","",IF(B2718=B2717,L2717,N(L2717)+1))</f>
        <v/>
      </c>
    </row>
    <row r="2719">
      <c r="A2719" s="22" t="n"/>
      <c r="B2719" s="27" t="n"/>
      <c r="C2719" s="17" t="n"/>
      <c r="D2719" s="17" t="n"/>
      <c r="E2719" s="17" t="n"/>
      <c r="F2719" s="28" t="n"/>
      <c r="G2719" s="29" t="n"/>
      <c r="H2719" s="29" t="n"/>
      <c r="I2719" s="29" t="n"/>
      <c r="J2719" s="29" t="n"/>
      <c r="K2719" s="30">
        <f>IF(B2719="","",SUM(G$2:I2719)-SUM(J$2:J2719))</f>
        <v/>
      </c>
      <c r="L2719" s="22">
        <f>IF(B2719="","",IF(B2719=B2718,L2718,N(L2718)+1))</f>
        <v/>
      </c>
    </row>
    <row r="2720">
      <c r="A2720" s="22" t="n"/>
      <c r="B2720" s="27" t="n"/>
      <c r="C2720" s="17" t="n"/>
      <c r="D2720" s="17" t="n"/>
      <c r="E2720" s="17" t="n"/>
      <c r="F2720" s="28" t="n"/>
      <c r="G2720" s="29" t="n"/>
      <c r="H2720" s="29" t="n"/>
      <c r="I2720" s="29" t="n"/>
      <c r="J2720" s="29" t="n"/>
      <c r="K2720" s="30">
        <f>IF(B2720="","",SUM(G$2:I2720)-SUM(J$2:J2720))</f>
        <v/>
      </c>
      <c r="L2720" s="22">
        <f>IF(B2720="","",IF(B2720=B2719,L2719,N(L2719)+1))</f>
        <v/>
      </c>
    </row>
    <row r="2721">
      <c r="A2721" s="22" t="n"/>
      <c r="B2721" s="27" t="n"/>
      <c r="C2721" s="17" t="n"/>
      <c r="D2721" s="17" t="n"/>
      <c r="E2721" s="17" t="n"/>
      <c r="F2721" s="28" t="n"/>
      <c r="G2721" s="29" t="n"/>
      <c r="H2721" s="29" t="n"/>
      <c r="I2721" s="29" t="n"/>
      <c r="J2721" s="29" t="n"/>
      <c r="K2721" s="30">
        <f>IF(B2721="","",SUM(G$2:I2721)-SUM(J$2:J2721))</f>
        <v/>
      </c>
      <c r="L2721" s="22">
        <f>IF(B2721="","",IF(B2721=B2720,L2720,N(L2720)+1))</f>
        <v/>
      </c>
    </row>
    <row r="2722">
      <c r="A2722" s="22" t="n"/>
      <c r="B2722" s="27" t="n"/>
      <c r="C2722" s="17" t="n"/>
      <c r="D2722" s="17" t="n"/>
      <c r="E2722" s="17" t="n"/>
      <c r="F2722" s="28" t="n"/>
      <c r="G2722" s="29" t="n"/>
      <c r="H2722" s="29" t="n"/>
      <c r="I2722" s="29" t="n"/>
      <c r="J2722" s="29" t="n"/>
      <c r="K2722" s="30">
        <f>IF(B2722="","",SUM(G$2:I2722)-SUM(J$2:J2722))</f>
        <v/>
      </c>
      <c r="L2722" s="22">
        <f>IF(B2722="","",IF(B2722=B2721,L2721,N(L2721)+1))</f>
        <v/>
      </c>
    </row>
    <row r="2723">
      <c r="A2723" s="22" t="n"/>
      <c r="B2723" s="27" t="n"/>
      <c r="C2723" s="17" t="n"/>
      <c r="D2723" s="17" t="n"/>
      <c r="E2723" s="17" t="n"/>
      <c r="F2723" s="28" t="n"/>
      <c r="G2723" s="29" t="n"/>
      <c r="H2723" s="29" t="n"/>
      <c r="I2723" s="29" t="n"/>
      <c r="J2723" s="29" t="n"/>
      <c r="K2723" s="30">
        <f>IF(B2723="","",SUM(G$2:I2723)-SUM(J$2:J2723))</f>
        <v/>
      </c>
      <c r="L2723" s="22">
        <f>IF(B2723="","",IF(B2723=B2722,L2722,N(L2722)+1))</f>
        <v/>
      </c>
    </row>
    <row r="2724">
      <c r="A2724" s="22" t="n"/>
      <c r="B2724" s="27" t="n"/>
      <c r="C2724" s="17" t="n"/>
      <c r="D2724" s="17" t="n"/>
      <c r="E2724" s="17" t="n"/>
      <c r="F2724" s="28" t="n"/>
      <c r="G2724" s="29" t="n"/>
      <c r="H2724" s="29" t="n"/>
      <c r="I2724" s="29" t="n"/>
      <c r="J2724" s="29" t="n"/>
      <c r="K2724" s="30">
        <f>IF(B2724="","",SUM(G$2:I2724)-SUM(J$2:J2724))</f>
        <v/>
      </c>
      <c r="L2724" s="22">
        <f>IF(B2724="","",IF(B2724=B2723,L2723,N(L2723)+1))</f>
        <v/>
      </c>
    </row>
    <row r="2725">
      <c r="A2725" s="22" t="n"/>
      <c r="B2725" s="27" t="n"/>
      <c r="C2725" s="17" t="n"/>
      <c r="D2725" s="17" t="n"/>
      <c r="E2725" s="17" t="n"/>
      <c r="F2725" s="28" t="n"/>
      <c r="G2725" s="29" t="n"/>
      <c r="H2725" s="29" t="n"/>
      <c r="I2725" s="29" t="n"/>
      <c r="J2725" s="29" t="n"/>
      <c r="K2725" s="30">
        <f>IF(B2725="","",SUM(G$2:I2725)-SUM(J$2:J2725))</f>
        <v/>
      </c>
      <c r="L2725" s="22">
        <f>IF(B2725="","",IF(B2725=B2724,L2724,N(L2724)+1))</f>
        <v/>
      </c>
    </row>
    <row r="2726">
      <c r="A2726" s="22" t="n"/>
      <c r="B2726" s="27" t="n"/>
      <c r="C2726" s="17" t="n"/>
      <c r="D2726" s="17" t="n"/>
      <c r="E2726" s="17" t="n"/>
      <c r="F2726" s="28" t="n"/>
      <c r="G2726" s="29" t="n"/>
      <c r="H2726" s="29" t="n"/>
      <c r="I2726" s="29" t="n"/>
      <c r="J2726" s="29" t="n"/>
      <c r="K2726" s="30">
        <f>IF(B2726="","",SUM(G$2:I2726)-SUM(J$2:J2726))</f>
        <v/>
      </c>
      <c r="L2726" s="22">
        <f>IF(B2726="","",IF(B2726=B2725,L2725,N(L2725)+1))</f>
        <v/>
      </c>
    </row>
    <row r="2727">
      <c r="A2727" s="22" t="n"/>
      <c r="B2727" s="27" t="n"/>
      <c r="C2727" s="17" t="n"/>
      <c r="D2727" s="17" t="n"/>
      <c r="E2727" s="17" t="n"/>
      <c r="F2727" s="28" t="n"/>
      <c r="G2727" s="29" t="n"/>
      <c r="H2727" s="29" t="n"/>
      <c r="I2727" s="29" t="n"/>
      <c r="J2727" s="29" t="n"/>
      <c r="K2727" s="30">
        <f>IF(B2727="","",SUM(G$2:I2727)-SUM(J$2:J2727))</f>
        <v/>
      </c>
      <c r="L2727" s="22">
        <f>IF(B2727="","",IF(B2727=B2726,L2726,N(L2726)+1))</f>
        <v/>
      </c>
    </row>
    <row r="2728">
      <c r="A2728" s="22" t="n"/>
      <c r="B2728" s="27" t="n"/>
      <c r="C2728" s="17" t="n"/>
      <c r="D2728" s="17" t="n"/>
      <c r="E2728" s="17" t="n"/>
      <c r="F2728" s="28" t="n"/>
      <c r="G2728" s="29" t="n"/>
      <c r="H2728" s="29" t="n"/>
      <c r="I2728" s="29" t="n"/>
      <c r="J2728" s="29" t="n"/>
      <c r="K2728" s="30">
        <f>IF(B2728="","",SUM(G$2:I2728)-SUM(J$2:J2728))</f>
        <v/>
      </c>
      <c r="L2728" s="22">
        <f>IF(B2728="","",IF(B2728=B2727,L2727,N(L2727)+1))</f>
        <v/>
      </c>
    </row>
    <row r="2729">
      <c r="A2729" s="22" t="n"/>
      <c r="B2729" s="27" t="n"/>
      <c r="C2729" s="17" t="n"/>
      <c r="D2729" s="17" t="n"/>
      <c r="E2729" s="17" t="n"/>
      <c r="F2729" s="28" t="n"/>
      <c r="G2729" s="29" t="n"/>
      <c r="H2729" s="29" t="n"/>
      <c r="I2729" s="29" t="n"/>
      <c r="J2729" s="29" t="n"/>
      <c r="K2729" s="30">
        <f>IF(B2729="","",SUM(G$2:I2729)-SUM(J$2:J2729))</f>
        <v/>
      </c>
      <c r="L2729" s="22">
        <f>IF(B2729="","",IF(B2729=B2728,L2728,N(L2728)+1))</f>
        <v/>
      </c>
    </row>
    <row r="2730">
      <c r="A2730" s="22" t="n"/>
      <c r="B2730" s="27" t="n"/>
      <c r="C2730" s="17" t="n"/>
      <c r="D2730" s="17" t="n"/>
      <c r="E2730" s="17" t="n"/>
      <c r="F2730" s="28" t="n"/>
      <c r="G2730" s="29" t="n"/>
      <c r="H2730" s="29" t="n"/>
      <c r="I2730" s="29" t="n"/>
      <c r="J2730" s="29" t="n"/>
      <c r="K2730" s="30">
        <f>IF(B2730="","",SUM(G$2:I2730)-SUM(J$2:J2730))</f>
        <v/>
      </c>
      <c r="L2730" s="22">
        <f>IF(B2730="","",IF(B2730=B2729,L2729,N(L2729)+1))</f>
        <v/>
      </c>
    </row>
    <row r="2731">
      <c r="A2731" s="22" t="n"/>
      <c r="B2731" s="27" t="n"/>
      <c r="C2731" s="17" t="n"/>
      <c r="D2731" s="17" t="n"/>
      <c r="E2731" s="17" t="n"/>
      <c r="F2731" s="28" t="n"/>
      <c r="G2731" s="29" t="n"/>
      <c r="H2731" s="29" t="n"/>
      <c r="I2731" s="29" t="n"/>
      <c r="J2731" s="29" t="n"/>
      <c r="K2731" s="30">
        <f>IF(B2731="","",SUM(G$2:I2731)-SUM(J$2:J2731))</f>
        <v/>
      </c>
      <c r="L2731" s="22">
        <f>IF(B2731="","",IF(B2731=B2730,L2730,N(L2730)+1))</f>
        <v/>
      </c>
    </row>
    <row r="2732">
      <c r="A2732" s="22" t="n"/>
      <c r="B2732" s="27" t="n"/>
      <c r="C2732" s="17" t="n"/>
      <c r="D2732" s="17" t="n"/>
      <c r="E2732" s="17" t="n"/>
      <c r="F2732" s="28" t="n"/>
      <c r="G2732" s="29" t="n"/>
      <c r="H2732" s="29" t="n"/>
      <c r="I2732" s="29" t="n"/>
      <c r="J2732" s="29" t="n"/>
      <c r="K2732" s="30">
        <f>IF(B2732="","",SUM(G$2:I2732)-SUM(J$2:J2732))</f>
        <v/>
      </c>
      <c r="L2732" s="22">
        <f>IF(B2732="","",IF(B2732=B2731,L2731,N(L2731)+1))</f>
        <v/>
      </c>
    </row>
    <row r="2733">
      <c r="A2733" s="22" t="n"/>
      <c r="B2733" s="27" t="n"/>
      <c r="C2733" s="17" t="n"/>
      <c r="D2733" s="17" t="n"/>
      <c r="E2733" s="17" t="n"/>
      <c r="F2733" s="28" t="n"/>
      <c r="G2733" s="29" t="n"/>
      <c r="H2733" s="29" t="n"/>
      <c r="I2733" s="29" t="n"/>
      <c r="J2733" s="29" t="n"/>
      <c r="K2733" s="30">
        <f>IF(B2733="","",SUM(G$2:I2733)-SUM(J$2:J2733))</f>
        <v/>
      </c>
      <c r="L2733" s="22">
        <f>IF(B2733="","",IF(B2733=B2732,L2732,N(L2732)+1))</f>
        <v/>
      </c>
    </row>
    <row r="2734">
      <c r="A2734" s="22" t="n"/>
      <c r="B2734" s="27" t="n"/>
      <c r="C2734" s="17" t="n"/>
      <c r="D2734" s="17" t="n"/>
      <c r="E2734" s="17" t="n"/>
      <c r="F2734" s="28" t="n"/>
      <c r="G2734" s="29" t="n"/>
      <c r="H2734" s="29" t="n"/>
      <c r="I2734" s="29" t="n"/>
      <c r="J2734" s="29" t="n"/>
      <c r="K2734" s="30">
        <f>IF(B2734="","",SUM(G$2:I2734)-SUM(J$2:J2734))</f>
        <v/>
      </c>
      <c r="L2734" s="22">
        <f>IF(B2734="","",IF(B2734=B2733,L2733,N(L2733)+1))</f>
        <v/>
      </c>
    </row>
    <row r="2735">
      <c r="A2735" s="22" t="n"/>
      <c r="B2735" s="27" t="n"/>
      <c r="C2735" s="17" t="n"/>
      <c r="D2735" s="17" t="n"/>
      <c r="E2735" s="17" t="n"/>
      <c r="F2735" s="28" t="n"/>
      <c r="G2735" s="29" t="n"/>
      <c r="H2735" s="29" t="n"/>
      <c r="I2735" s="29" t="n"/>
      <c r="J2735" s="29" t="n"/>
      <c r="K2735" s="30">
        <f>IF(B2735="","",SUM(G$2:I2735)-SUM(J$2:J2735))</f>
        <v/>
      </c>
      <c r="L2735" s="22">
        <f>IF(B2735="","",IF(B2735=B2734,L2734,N(L2734)+1))</f>
        <v/>
      </c>
    </row>
    <row r="2736">
      <c r="A2736" s="22" t="n"/>
      <c r="B2736" s="27" t="n"/>
      <c r="C2736" s="17" t="n"/>
      <c r="D2736" s="17" t="n"/>
      <c r="E2736" s="17" t="n"/>
      <c r="F2736" s="28" t="n"/>
      <c r="G2736" s="29" t="n"/>
      <c r="H2736" s="29" t="n"/>
      <c r="I2736" s="29" t="n"/>
      <c r="J2736" s="29" t="n"/>
      <c r="K2736" s="30">
        <f>IF(B2736="","",SUM(G$2:I2736)-SUM(J$2:J2736))</f>
        <v/>
      </c>
      <c r="L2736" s="22">
        <f>IF(B2736="","",IF(B2736=B2735,L2735,N(L2735)+1))</f>
        <v/>
      </c>
    </row>
    <row r="2737">
      <c r="A2737" s="22" t="n"/>
      <c r="B2737" s="27" t="n"/>
      <c r="C2737" s="17" t="n"/>
      <c r="D2737" s="17" t="n"/>
      <c r="E2737" s="17" t="n"/>
      <c r="F2737" s="28" t="n"/>
      <c r="G2737" s="29" t="n"/>
      <c r="H2737" s="29" t="n"/>
      <c r="I2737" s="29" t="n"/>
      <c r="J2737" s="29" t="n"/>
      <c r="K2737" s="30">
        <f>IF(B2737="","",SUM(G$2:I2737)-SUM(J$2:J2737))</f>
        <v/>
      </c>
      <c r="L2737" s="22">
        <f>IF(B2737="","",IF(B2737=B2736,L2736,N(L2736)+1))</f>
        <v/>
      </c>
    </row>
    <row r="2738">
      <c r="A2738" s="22" t="n"/>
      <c r="B2738" s="27" t="n"/>
      <c r="C2738" s="17" t="n"/>
      <c r="D2738" s="17" t="n"/>
      <c r="E2738" s="17" t="n"/>
      <c r="F2738" s="28" t="n"/>
      <c r="G2738" s="29" t="n"/>
      <c r="H2738" s="29" t="n"/>
      <c r="I2738" s="29" t="n"/>
      <c r="J2738" s="29" t="n"/>
      <c r="K2738" s="30">
        <f>IF(B2738="","",SUM(G$2:I2738)-SUM(J$2:J2738))</f>
        <v/>
      </c>
      <c r="L2738" s="22">
        <f>IF(B2738="","",IF(B2738=B2737,L2737,N(L2737)+1))</f>
        <v/>
      </c>
    </row>
    <row r="2739">
      <c r="A2739" s="22" t="n"/>
      <c r="B2739" s="27" t="n"/>
      <c r="C2739" s="17" t="n"/>
      <c r="D2739" s="17" t="n"/>
      <c r="E2739" s="17" t="n"/>
      <c r="F2739" s="28" t="n"/>
      <c r="G2739" s="29" t="n"/>
      <c r="H2739" s="29" t="n"/>
      <c r="I2739" s="29" t="n"/>
      <c r="J2739" s="29" t="n"/>
      <c r="K2739" s="30">
        <f>IF(B2739="","",SUM(G$2:I2739)-SUM(J$2:J2739))</f>
        <v/>
      </c>
      <c r="L2739" s="22">
        <f>IF(B2739="","",IF(B2739=B2738,L2738,N(L2738)+1))</f>
        <v/>
      </c>
    </row>
    <row r="2740">
      <c r="A2740" s="22" t="n"/>
      <c r="B2740" s="27" t="n"/>
      <c r="C2740" s="17" t="n"/>
      <c r="D2740" s="17" t="n"/>
      <c r="E2740" s="17" t="n"/>
      <c r="F2740" s="28" t="n"/>
      <c r="G2740" s="29" t="n"/>
      <c r="H2740" s="29" t="n"/>
      <c r="I2740" s="29" t="n"/>
      <c r="J2740" s="29" t="n"/>
      <c r="K2740" s="30">
        <f>IF(B2740="","",SUM(G$2:I2740)-SUM(J$2:J2740))</f>
        <v/>
      </c>
      <c r="L2740" s="22">
        <f>IF(B2740="","",IF(B2740=B2739,L2739,N(L2739)+1))</f>
        <v/>
      </c>
    </row>
    <row r="2741">
      <c r="A2741" s="22" t="n"/>
      <c r="B2741" s="27" t="n"/>
      <c r="C2741" s="17" t="n"/>
      <c r="D2741" s="17" t="n"/>
      <c r="E2741" s="17" t="n"/>
      <c r="F2741" s="28" t="n"/>
      <c r="G2741" s="29" t="n"/>
      <c r="H2741" s="29" t="n"/>
      <c r="I2741" s="29" t="n"/>
      <c r="J2741" s="29" t="n"/>
      <c r="K2741" s="30">
        <f>IF(B2741="","",SUM(G$2:I2741)-SUM(J$2:J2741))</f>
        <v/>
      </c>
      <c r="L2741" s="22">
        <f>IF(B2741="","",IF(B2741=B2740,L2740,N(L2740)+1))</f>
        <v/>
      </c>
    </row>
    <row r="2742">
      <c r="A2742" s="22" t="n"/>
      <c r="B2742" s="27" t="n"/>
      <c r="C2742" s="17" t="n"/>
      <c r="D2742" s="17" t="n"/>
      <c r="E2742" s="17" t="n"/>
      <c r="F2742" s="28" t="n"/>
      <c r="G2742" s="29" t="n"/>
      <c r="H2742" s="29" t="n"/>
      <c r="I2742" s="29" t="n"/>
      <c r="J2742" s="29" t="n"/>
      <c r="K2742" s="30">
        <f>IF(B2742="","",SUM(G$2:I2742)-SUM(J$2:J2742))</f>
        <v/>
      </c>
      <c r="L2742" s="22">
        <f>IF(B2742="","",IF(B2742=B2741,L2741,N(L2741)+1))</f>
        <v/>
      </c>
    </row>
    <row r="2743">
      <c r="A2743" s="22" t="n"/>
      <c r="B2743" s="27" t="n"/>
      <c r="C2743" s="17" t="n"/>
      <c r="D2743" s="17" t="n"/>
      <c r="E2743" s="17" t="n"/>
      <c r="F2743" s="28" t="n"/>
      <c r="G2743" s="29" t="n"/>
      <c r="H2743" s="29" t="n"/>
      <c r="I2743" s="29" t="n"/>
      <c r="J2743" s="29" t="n"/>
      <c r="K2743" s="30">
        <f>IF(B2743="","",SUM(G$2:I2743)-SUM(J$2:J2743))</f>
        <v/>
      </c>
      <c r="L2743" s="22">
        <f>IF(B2743="","",IF(B2743=B2742,L2742,N(L2742)+1))</f>
        <v/>
      </c>
    </row>
    <row r="2744">
      <c r="A2744" s="22" t="n"/>
      <c r="B2744" s="27" t="n"/>
      <c r="C2744" s="17" t="n"/>
      <c r="D2744" s="17" t="n"/>
      <c r="E2744" s="17" t="n"/>
      <c r="F2744" s="28" t="n"/>
      <c r="G2744" s="29" t="n"/>
      <c r="H2744" s="29" t="n"/>
      <c r="I2744" s="29" t="n"/>
      <c r="J2744" s="29" t="n"/>
      <c r="K2744" s="30">
        <f>IF(B2744="","",SUM(G$2:I2744)-SUM(J$2:J2744))</f>
        <v/>
      </c>
      <c r="L2744" s="22">
        <f>IF(B2744="","",IF(B2744=B2743,L2743,N(L2743)+1))</f>
        <v/>
      </c>
    </row>
    <row r="2745">
      <c r="A2745" s="22" t="n"/>
      <c r="B2745" s="27" t="n"/>
      <c r="C2745" s="17" t="n"/>
      <c r="D2745" s="17" t="n"/>
      <c r="E2745" s="17" t="n"/>
      <c r="F2745" s="28" t="n"/>
      <c r="G2745" s="29" t="n"/>
      <c r="H2745" s="29" t="n"/>
      <c r="I2745" s="29" t="n"/>
      <c r="J2745" s="29" t="n"/>
      <c r="K2745" s="30">
        <f>IF(B2745="","",SUM(G$2:I2745)-SUM(J$2:J2745))</f>
        <v/>
      </c>
      <c r="L2745" s="22">
        <f>IF(B2745="","",IF(B2745=B2744,L2744,N(L2744)+1))</f>
        <v/>
      </c>
    </row>
    <row r="2746">
      <c r="A2746" s="22" t="n"/>
      <c r="B2746" s="27" t="n"/>
      <c r="C2746" s="17" t="n"/>
      <c r="D2746" s="17" t="n"/>
      <c r="E2746" s="17" t="n"/>
      <c r="F2746" s="28" t="n"/>
      <c r="G2746" s="29" t="n"/>
      <c r="H2746" s="29" t="n"/>
      <c r="I2746" s="29" t="n"/>
      <c r="J2746" s="29" t="n"/>
      <c r="K2746" s="30">
        <f>IF(B2746="","",SUM(G$2:I2746)-SUM(J$2:J2746))</f>
        <v/>
      </c>
      <c r="L2746" s="22">
        <f>IF(B2746="","",IF(B2746=B2745,L2745,N(L2745)+1))</f>
        <v/>
      </c>
    </row>
    <row r="2747">
      <c r="A2747" s="22" t="n"/>
      <c r="B2747" s="27" t="n"/>
      <c r="C2747" s="17" t="n"/>
      <c r="D2747" s="17" t="n"/>
      <c r="E2747" s="17" t="n"/>
      <c r="F2747" s="28" t="n"/>
      <c r="G2747" s="29" t="n"/>
      <c r="H2747" s="29" t="n"/>
      <c r="I2747" s="29" t="n"/>
      <c r="J2747" s="29" t="n"/>
      <c r="K2747" s="30">
        <f>IF(B2747="","",SUM(G$2:I2747)-SUM(J$2:J2747))</f>
        <v/>
      </c>
      <c r="L2747" s="22">
        <f>IF(B2747="","",IF(B2747=B2746,L2746,N(L2746)+1))</f>
        <v/>
      </c>
    </row>
    <row r="2748">
      <c r="A2748" s="22" t="n"/>
      <c r="B2748" s="27" t="n"/>
      <c r="C2748" s="17" t="n"/>
      <c r="D2748" s="17" t="n"/>
      <c r="E2748" s="17" t="n"/>
      <c r="F2748" s="28" t="n"/>
      <c r="G2748" s="29" t="n"/>
      <c r="H2748" s="29" t="n"/>
      <c r="I2748" s="29" t="n"/>
      <c r="J2748" s="29" t="n"/>
      <c r="K2748" s="30">
        <f>IF(B2748="","",SUM(G$2:I2748)-SUM(J$2:J2748))</f>
        <v/>
      </c>
      <c r="L2748" s="22">
        <f>IF(B2748="","",IF(B2748=B2747,L2747,N(L2747)+1))</f>
        <v/>
      </c>
    </row>
    <row r="2749">
      <c r="A2749" s="22" t="n"/>
      <c r="B2749" s="27" t="n"/>
      <c r="C2749" s="17" t="n"/>
      <c r="D2749" s="17" t="n"/>
      <c r="E2749" s="17" t="n"/>
      <c r="F2749" s="28" t="n"/>
      <c r="G2749" s="29" t="n"/>
      <c r="H2749" s="29" t="n"/>
      <c r="I2749" s="29" t="n"/>
      <c r="J2749" s="29" t="n"/>
      <c r="K2749" s="30">
        <f>IF(B2749="","",SUM(G$2:I2749)-SUM(J$2:J2749))</f>
        <v/>
      </c>
      <c r="L2749" s="22">
        <f>IF(B2749="","",IF(B2749=B2748,L2748,N(L2748)+1))</f>
        <v/>
      </c>
    </row>
    <row r="2750">
      <c r="A2750" s="22" t="n"/>
      <c r="B2750" s="27" t="n"/>
      <c r="C2750" s="17" t="n"/>
      <c r="D2750" s="17" t="n"/>
      <c r="E2750" s="17" t="n"/>
      <c r="F2750" s="28" t="n"/>
      <c r="G2750" s="29" t="n"/>
      <c r="H2750" s="29" t="n"/>
      <c r="I2750" s="29" t="n"/>
      <c r="J2750" s="29" t="n"/>
      <c r="K2750" s="30">
        <f>IF(B2750="","",SUM(G$2:I2750)-SUM(J$2:J2750))</f>
        <v/>
      </c>
      <c r="L2750" s="22">
        <f>IF(B2750="","",IF(B2750=B2749,L2749,N(L2749)+1))</f>
        <v/>
      </c>
    </row>
    <row r="2751">
      <c r="A2751" s="22" t="n"/>
      <c r="B2751" s="27" t="n"/>
      <c r="C2751" s="17" t="n"/>
      <c r="D2751" s="17" t="n"/>
      <c r="E2751" s="17" t="n"/>
      <c r="F2751" s="28" t="n"/>
      <c r="G2751" s="29" t="n"/>
      <c r="H2751" s="29" t="n"/>
      <c r="I2751" s="29" t="n"/>
      <c r="J2751" s="29" t="n"/>
      <c r="K2751" s="30">
        <f>IF(B2751="","",SUM(G$2:I2751)-SUM(J$2:J2751))</f>
        <v/>
      </c>
      <c r="L2751" s="22">
        <f>IF(B2751="","",IF(B2751=B2750,L2750,N(L2750)+1))</f>
        <v/>
      </c>
    </row>
    <row r="2752">
      <c r="A2752" s="22" t="n"/>
      <c r="B2752" s="27" t="n"/>
      <c r="C2752" s="17" t="n"/>
      <c r="D2752" s="17" t="n"/>
      <c r="E2752" s="17" t="n"/>
      <c r="F2752" s="28" t="n"/>
      <c r="G2752" s="29" t="n"/>
      <c r="H2752" s="29" t="n"/>
      <c r="I2752" s="29" t="n"/>
      <c r="J2752" s="29" t="n"/>
      <c r="K2752" s="30">
        <f>IF(B2752="","",SUM(G$2:I2752)-SUM(J$2:J2752))</f>
        <v/>
      </c>
      <c r="L2752" s="22">
        <f>IF(B2752="","",IF(B2752=B2751,L2751,N(L2751)+1))</f>
        <v/>
      </c>
    </row>
    <row r="2753">
      <c r="A2753" s="22" t="n"/>
      <c r="B2753" s="27" t="n"/>
      <c r="C2753" s="17" t="n"/>
      <c r="D2753" s="17" t="n"/>
      <c r="E2753" s="17" t="n"/>
      <c r="F2753" s="28" t="n"/>
      <c r="G2753" s="29" t="n"/>
      <c r="H2753" s="29" t="n"/>
      <c r="I2753" s="29" t="n"/>
      <c r="J2753" s="29" t="n"/>
      <c r="K2753" s="30">
        <f>IF(B2753="","",SUM(G$2:I2753)-SUM(J$2:J2753))</f>
        <v/>
      </c>
      <c r="L2753" s="22">
        <f>IF(B2753="","",IF(B2753=B2752,L2752,N(L2752)+1))</f>
        <v/>
      </c>
    </row>
    <row r="2754">
      <c r="A2754" s="22" t="n"/>
      <c r="B2754" s="27" t="n"/>
      <c r="C2754" s="17" t="n"/>
      <c r="D2754" s="17" t="n"/>
      <c r="E2754" s="17" t="n"/>
      <c r="F2754" s="28" t="n"/>
      <c r="G2754" s="29" t="n"/>
      <c r="H2754" s="29" t="n"/>
      <c r="I2754" s="29" t="n"/>
      <c r="J2754" s="29" t="n"/>
      <c r="K2754" s="30">
        <f>IF(B2754="","",SUM(G$2:I2754)-SUM(J$2:J2754))</f>
        <v/>
      </c>
      <c r="L2754" s="22">
        <f>IF(B2754="","",IF(B2754=B2753,L2753,N(L2753)+1))</f>
        <v/>
      </c>
    </row>
    <row r="2755">
      <c r="A2755" s="22" t="n"/>
      <c r="B2755" s="27" t="n"/>
      <c r="C2755" s="17" t="n"/>
      <c r="D2755" s="17" t="n"/>
      <c r="E2755" s="17" t="n"/>
      <c r="F2755" s="28" t="n"/>
      <c r="G2755" s="29" t="n"/>
      <c r="H2755" s="29" t="n"/>
      <c r="I2755" s="29" t="n"/>
      <c r="J2755" s="29" t="n"/>
      <c r="K2755" s="30">
        <f>IF(B2755="","",SUM(G$2:I2755)-SUM(J$2:J2755))</f>
        <v/>
      </c>
      <c r="L2755" s="22">
        <f>IF(B2755="","",IF(B2755=B2754,L2754,N(L2754)+1))</f>
        <v/>
      </c>
    </row>
    <row r="2756">
      <c r="A2756" s="22" t="n"/>
      <c r="B2756" s="27" t="n"/>
      <c r="C2756" s="17" t="n"/>
      <c r="D2756" s="17" t="n"/>
      <c r="E2756" s="17" t="n"/>
      <c r="F2756" s="28" t="n"/>
      <c r="G2756" s="29" t="n"/>
      <c r="H2756" s="29" t="n"/>
      <c r="I2756" s="29" t="n"/>
      <c r="J2756" s="29" t="n"/>
      <c r="K2756" s="30">
        <f>IF(B2756="","",SUM(G$2:I2756)-SUM(J$2:J2756))</f>
        <v/>
      </c>
      <c r="L2756" s="22">
        <f>IF(B2756="","",IF(B2756=B2755,L2755,N(L2755)+1))</f>
        <v/>
      </c>
    </row>
    <row r="2757">
      <c r="A2757" s="22" t="n"/>
      <c r="B2757" s="27" t="n"/>
      <c r="C2757" s="17" t="n"/>
      <c r="D2757" s="17" t="n"/>
      <c r="E2757" s="17" t="n"/>
      <c r="F2757" s="28" t="n"/>
      <c r="G2757" s="29" t="n"/>
      <c r="H2757" s="29" t="n"/>
      <c r="I2757" s="29" t="n"/>
      <c r="J2757" s="29" t="n"/>
      <c r="K2757" s="30">
        <f>IF(B2757="","",SUM(G$2:I2757)-SUM(J$2:J2757))</f>
        <v/>
      </c>
      <c r="L2757" s="22">
        <f>IF(B2757="","",IF(B2757=B2756,L2756,N(L2756)+1))</f>
        <v/>
      </c>
    </row>
    <row r="2758">
      <c r="A2758" s="22" t="n"/>
      <c r="B2758" s="27" t="n"/>
      <c r="C2758" s="17" t="n"/>
      <c r="D2758" s="17" t="n"/>
      <c r="E2758" s="17" t="n"/>
      <c r="F2758" s="28" t="n"/>
      <c r="G2758" s="29" t="n"/>
      <c r="H2758" s="29" t="n"/>
      <c r="I2758" s="29" t="n"/>
      <c r="J2758" s="29" t="n"/>
      <c r="K2758" s="30">
        <f>IF(B2758="","",SUM(G$2:I2758)-SUM(J$2:J2758))</f>
        <v/>
      </c>
      <c r="L2758" s="22">
        <f>IF(B2758="","",IF(B2758=B2757,L2757,N(L2757)+1))</f>
        <v/>
      </c>
    </row>
    <row r="2759">
      <c r="A2759" s="22" t="n"/>
      <c r="B2759" s="27" t="n"/>
      <c r="C2759" s="17" t="n"/>
      <c r="D2759" s="17" t="n"/>
      <c r="E2759" s="17" t="n"/>
      <c r="F2759" s="28" t="n"/>
      <c r="G2759" s="29" t="n"/>
      <c r="H2759" s="29" t="n"/>
      <c r="I2759" s="29" t="n"/>
      <c r="J2759" s="29" t="n"/>
      <c r="K2759" s="30">
        <f>IF(B2759="","",SUM(G$2:I2759)-SUM(J$2:J2759))</f>
        <v/>
      </c>
      <c r="L2759" s="22">
        <f>IF(B2759="","",IF(B2759=B2758,L2758,N(L2758)+1))</f>
        <v/>
      </c>
    </row>
    <row r="2760">
      <c r="A2760" s="22" t="n"/>
      <c r="B2760" s="27" t="n"/>
      <c r="C2760" s="17" t="n"/>
      <c r="D2760" s="17" t="n"/>
      <c r="E2760" s="17" t="n"/>
      <c r="F2760" s="28" t="n"/>
      <c r="G2760" s="29" t="n"/>
      <c r="H2760" s="29" t="n"/>
      <c r="I2760" s="29" t="n"/>
      <c r="J2760" s="29" t="n"/>
      <c r="K2760" s="30">
        <f>IF(B2760="","",SUM(G$2:I2760)-SUM(J$2:J2760))</f>
        <v/>
      </c>
      <c r="L2760" s="22">
        <f>IF(B2760="","",IF(B2760=B2759,L2759,N(L2759)+1))</f>
        <v/>
      </c>
    </row>
    <row r="2761">
      <c r="A2761" s="22" t="n"/>
      <c r="B2761" s="27" t="n"/>
      <c r="C2761" s="17" t="n"/>
      <c r="D2761" s="17" t="n"/>
      <c r="E2761" s="17" t="n"/>
      <c r="F2761" s="28" t="n"/>
      <c r="G2761" s="29" t="n"/>
      <c r="H2761" s="29" t="n"/>
      <c r="I2761" s="29" t="n"/>
      <c r="J2761" s="29" t="n"/>
      <c r="K2761" s="30">
        <f>IF(B2761="","",SUM(G$2:I2761)-SUM(J$2:J2761))</f>
        <v/>
      </c>
      <c r="L2761" s="22">
        <f>IF(B2761="","",IF(B2761=B2760,L2760,N(L2760)+1))</f>
        <v/>
      </c>
    </row>
    <row r="2762">
      <c r="A2762" s="22" t="n"/>
      <c r="B2762" s="27" t="n"/>
      <c r="C2762" s="17" t="n"/>
      <c r="D2762" s="17" t="n"/>
      <c r="E2762" s="17" t="n"/>
      <c r="F2762" s="28" t="n"/>
      <c r="G2762" s="29" t="n"/>
      <c r="H2762" s="29" t="n"/>
      <c r="I2762" s="29" t="n"/>
      <c r="J2762" s="29" t="n"/>
      <c r="K2762" s="30">
        <f>IF(B2762="","",SUM(G$2:I2762)-SUM(J$2:J2762))</f>
        <v/>
      </c>
      <c r="L2762" s="22">
        <f>IF(B2762="","",IF(B2762=B2761,L2761,N(L2761)+1))</f>
        <v/>
      </c>
    </row>
    <row r="2763">
      <c r="A2763" s="22" t="n"/>
      <c r="B2763" s="27" t="n"/>
      <c r="C2763" s="17" t="n"/>
      <c r="D2763" s="17" t="n"/>
      <c r="E2763" s="17" t="n"/>
      <c r="F2763" s="28" t="n"/>
      <c r="G2763" s="29" t="n"/>
      <c r="H2763" s="29" t="n"/>
      <c r="I2763" s="29" t="n"/>
      <c r="J2763" s="29" t="n"/>
      <c r="K2763" s="30">
        <f>IF(B2763="","",SUM(G$2:I2763)-SUM(J$2:J2763))</f>
        <v/>
      </c>
      <c r="L2763" s="22">
        <f>IF(B2763="","",IF(B2763=B2762,L2762,N(L2762)+1))</f>
        <v/>
      </c>
    </row>
    <row r="2764">
      <c r="A2764" s="22" t="n"/>
      <c r="B2764" s="27" t="n"/>
      <c r="C2764" s="17" t="n"/>
      <c r="D2764" s="17" t="n"/>
      <c r="E2764" s="17" t="n"/>
      <c r="F2764" s="28" t="n"/>
      <c r="G2764" s="29" t="n"/>
      <c r="H2764" s="29" t="n"/>
      <c r="I2764" s="29" t="n"/>
      <c r="J2764" s="29" t="n"/>
      <c r="K2764" s="30">
        <f>IF(B2764="","",SUM(G$2:I2764)-SUM(J$2:J2764))</f>
        <v/>
      </c>
      <c r="L2764" s="22">
        <f>IF(B2764="","",IF(B2764=B2763,L2763,N(L2763)+1))</f>
        <v/>
      </c>
    </row>
    <row r="2765">
      <c r="A2765" s="22" t="n"/>
      <c r="B2765" s="27" t="n"/>
      <c r="C2765" s="17" t="n"/>
      <c r="D2765" s="17" t="n"/>
      <c r="E2765" s="17" t="n"/>
      <c r="F2765" s="28" t="n"/>
      <c r="G2765" s="29" t="n"/>
      <c r="H2765" s="29" t="n"/>
      <c r="I2765" s="29" t="n"/>
      <c r="J2765" s="29" t="n"/>
      <c r="K2765" s="30">
        <f>IF(B2765="","",SUM(G$2:I2765)-SUM(J$2:J2765))</f>
        <v/>
      </c>
      <c r="L2765" s="22">
        <f>IF(B2765="","",IF(B2765=B2764,L2764,N(L2764)+1))</f>
        <v/>
      </c>
    </row>
    <row r="2766">
      <c r="A2766" s="22" t="n"/>
      <c r="B2766" s="27" t="n"/>
      <c r="C2766" s="17" t="n"/>
      <c r="D2766" s="17" t="n"/>
      <c r="E2766" s="17" t="n"/>
      <c r="F2766" s="28" t="n"/>
      <c r="G2766" s="29" t="n"/>
      <c r="H2766" s="29" t="n"/>
      <c r="I2766" s="29" t="n"/>
      <c r="J2766" s="29" t="n"/>
      <c r="K2766" s="30">
        <f>IF(B2766="","",SUM(G$2:I2766)-SUM(J$2:J2766))</f>
        <v/>
      </c>
      <c r="L2766" s="22">
        <f>IF(B2766="","",IF(B2766=B2765,L2765,N(L2765)+1))</f>
        <v/>
      </c>
    </row>
    <row r="2767">
      <c r="A2767" s="22" t="n"/>
      <c r="B2767" s="27" t="n"/>
      <c r="C2767" s="17" t="n"/>
      <c r="D2767" s="17" t="n"/>
      <c r="E2767" s="17" t="n"/>
      <c r="F2767" s="28" t="n"/>
      <c r="G2767" s="29" t="n"/>
      <c r="H2767" s="29" t="n"/>
      <c r="I2767" s="29" t="n"/>
      <c r="J2767" s="29" t="n"/>
      <c r="K2767" s="30">
        <f>IF(B2767="","",SUM(G$2:I2767)-SUM(J$2:J2767))</f>
        <v/>
      </c>
      <c r="L2767" s="22">
        <f>IF(B2767="","",IF(B2767=B2766,L2766,N(L2766)+1))</f>
        <v/>
      </c>
    </row>
    <row r="2768">
      <c r="A2768" s="22" t="n"/>
      <c r="B2768" s="27" t="n"/>
      <c r="C2768" s="17" t="n"/>
      <c r="D2768" s="17" t="n"/>
      <c r="E2768" s="17" t="n"/>
      <c r="F2768" s="28" t="n"/>
      <c r="G2768" s="29" t="n"/>
      <c r="H2768" s="29" t="n"/>
      <c r="I2768" s="29" t="n"/>
      <c r="J2768" s="29" t="n"/>
      <c r="K2768" s="30">
        <f>IF(B2768="","",SUM(G$2:I2768)-SUM(J$2:J2768))</f>
        <v/>
      </c>
      <c r="L2768" s="22">
        <f>IF(B2768="","",IF(B2768=B2767,L2767,N(L2767)+1))</f>
        <v/>
      </c>
    </row>
    <row r="2769">
      <c r="A2769" s="22" t="n"/>
      <c r="B2769" s="27" t="n"/>
      <c r="C2769" s="17" t="n"/>
      <c r="D2769" s="17" t="n"/>
      <c r="E2769" s="17" t="n"/>
      <c r="F2769" s="28" t="n"/>
      <c r="G2769" s="29" t="n"/>
      <c r="H2769" s="29" t="n"/>
      <c r="I2769" s="29" t="n"/>
      <c r="J2769" s="29" t="n"/>
      <c r="K2769" s="30">
        <f>IF(B2769="","",SUM(G$2:I2769)-SUM(J$2:J2769))</f>
        <v/>
      </c>
      <c r="L2769" s="22">
        <f>IF(B2769="","",IF(B2769=B2768,L2768,N(L2768)+1))</f>
        <v/>
      </c>
    </row>
    <row r="2770">
      <c r="A2770" s="22" t="n"/>
      <c r="B2770" s="27" t="n"/>
      <c r="C2770" s="17" t="n"/>
      <c r="D2770" s="17" t="n"/>
      <c r="E2770" s="17" t="n"/>
      <c r="F2770" s="28" t="n"/>
      <c r="G2770" s="29" t="n"/>
      <c r="H2770" s="29" t="n"/>
      <c r="I2770" s="29" t="n"/>
      <c r="J2770" s="29" t="n"/>
      <c r="K2770" s="30">
        <f>IF(B2770="","",SUM(G$2:I2770)-SUM(J$2:J2770))</f>
        <v/>
      </c>
      <c r="L2770" s="22">
        <f>IF(B2770="","",IF(B2770=B2769,L2769,N(L2769)+1))</f>
        <v/>
      </c>
    </row>
    <row r="2771">
      <c r="A2771" s="22" t="n"/>
      <c r="B2771" s="27" t="n"/>
      <c r="C2771" s="17" t="n"/>
      <c r="D2771" s="17" t="n"/>
      <c r="E2771" s="17" t="n"/>
      <c r="F2771" s="28" t="n"/>
      <c r="G2771" s="29" t="n"/>
      <c r="H2771" s="29" t="n"/>
      <c r="I2771" s="29" t="n"/>
      <c r="J2771" s="29" t="n"/>
      <c r="K2771" s="30">
        <f>IF(B2771="","",SUM(G$2:I2771)-SUM(J$2:J2771))</f>
        <v/>
      </c>
      <c r="L2771" s="22">
        <f>IF(B2771="","",IF(B2771=B2770,L2770,N(L2770)+1))</f>
        <v/>
      </c>
    </row>
    <row r="2772">
      <c r="A2772" s="22" t="n"/>
      <c r="B2772" s="27" t="n"/>
      <c r="C2772" s="17" t="n"/>
      <c r="D2772" s="17" t="n"/>
      <c r="E2772" s="17" t="n"/>
      <c r="F2772" s="28" t="n"/>
      <c r="G2772" s="29" t="n"/>
      <c r="H2772" s="29" t="n"/>
      <c r="I2772" s="29" t="n"/>
      <c r="J2772" s="29" t="n"/>
      <c r="K2772" s="30">
        <f>IF(B2772="","",SUM(G$2:I2772)-SUM(J$2:J2772))</f>
        <v/>
      </c>
      <c r="L2772" s="22">
        <f>IF(B2772="","",IF(B2772=B2771,L2771,N(L2771)+1))</f>
        <v/>
      </c>
    </row>
    <row r="2773">
      <c r="A2773" s="22" t="n"/>
      <c r="B2773" s="27" t="n"/>
      <c r="C2773" s="17" t="n"/>
      <c r="D2773" s="17" t="n"/>
      <c r="E2773" s="17" t="n"/>
      <c r="F2773" s="28" t="n"/>
      <c r="G2773" s="29" t="n"/>
      <c r="H2773" s="29" t="n"/>
      <c r="I2773" s="29" t="n"/>
      <c r="J2773" s="29" t="n"/>
      <c r="K2773" s="30">
        <f>IF(B2773="","",SUM(G$2:I2773)-SUM(J$2:J2773))</f>
        <v/>
      </c>
      <c r="L2773" s="22">
        <f>IF(B2773="","",IF(B2773=B2772,L2772,N(L2772)+1))</f>
        <v/>
      </c>
    </row>
    <row r="2774">
      <c r="A2774" s="22" t="n"/>
      <c r="B2774" s="27" t="n"/>
      <c r="C2774" s="17" t="n"/>
      <c r="D2774" s="17" t="n"/>
      <c r="E2774" s="17" t="n"/>
      <c r="F2774" s="28" t="n"/>
      <c r="G2774" s="29" t="n"/>
      <c r="H2774" s="29" t="n"/>
      <c r="I2774" s="29" t="n"/>
      <c r="J2774" s="29" t="n"/>
      <c r="K2774" s="30">
        <f>IF(B2774="","",SUM(G$2:I2774)-SUM(J$2:J2774))</f>
        <v/>
      </c>
      <c r="L2774" s="22">
        <f>IF(B2774="","",IF(B2774=B2773,L2773,N(L2773)+1))</f>
        <v/>
      </c>
    </row>
    <row r="2775">
      <c r="A2775" s="22" t="n"/>
      <c r="B2775" s="27" t="n"/>
      <c r="C2775" s="17" t="n"/>
      <c r="D2775" s="17" t="n"/>
      <c r="E2775" s="17" t="n"/>
      <c r="F2775" s="28" t="n"/>
      <c r="G2775" s="29" t="n"/>
      <c r="H2775" s="29" t="n"/>
      <c r="I2775" s="29" t="n"/>
      <c r="J2775" s="29" t="n"/>
      <c r="K2775" s="30">
        <f>IF(B2775="","",SUM(G$2:I2775)-SUM(J$2:J2775))</f>
        <v/>
      </c>
      <c r="L2775" s="22">
        <f>IF(B2775="","",IF(B2775=B2774,L2774,N(L2774)+1))</f>
        <v/>
      </c>
    </row>
    <row r="2776">
      <c r="A2776" s="22" t="n"/>
      <c r="B2776" s="27" t="n"/>
      <c r="C2776" s="17" t="n"/>
      <c r="D2776" s="17" t="n"/>
      <c r="E2776" s="17" t="n"/>
      <c r="F2776" s="28" t="n"/>
      <c r="G2776" s="29" t="n"/>
      <c r="H2776" s="29" t="n"/>
      <c r="I2776" s="29" t="n"/>
      <c r="J2776" s="29" t="n"/>
      <c r="K2776" s="30">
        <f>IF(B2776="","",SUM(G$2:I2776)-SUM(J$2:J2776))</f>
        <v/>
      </c>
      <c r="L2776" s="22">
        <f>IF(B2776="","",IF(B2776=B2775,L2775,N(L2775)+1))</f>
        <v/>
      </c>
    </row>
    <row r="2777">
      <c r="A2777" s="22" t="n"/>
      <c r="B2777" s="27" t="n"/>
      <c r="C2777" s="17" t="n"/>
      <c r="D2777" s="17" t="n"/>
      <c r="E2777" s="17" t="n"/>
      <c r="F2777" s="28" t="n"/>
      <c r="G2777" s="29" t="n"/>
      <c r="H2777" s="29" t="n"/>
      <c r="I2777" s="29" t="n"/>
      <c r="J2777" s="29" t="n"/>
      <c r="K2777" s="30">
        <f>IF(B2777="","",SUM(G$2:I2777)-SUM(J$2:J2777))</f>
        <v/>
      </c>
      <c r="L2777" s="22">
        <f>IF(B2777="","",IF(B2777=B2776,L2776,N(L2776)+1))</f>
        <v/>
      </c>
    </row>
    <row r="2778">
      <c r="A2778" s="22" t="n"/>
      <c r="B2778" s="27" t="n"/>
      <c r="C2778" s="17" t="n"/>
      <c r="D2778" s="17" t="n"/>
      <c r="E2778" s="17" t="n"/>
      <c r="F2778" s="28" t="n"/>
      <c r="G2778" s="29" t="n"/>
      <c r="H2778" s="29" t="n"/>
      <c r="I2778" s="29" t="n"/>
      <c r="J2778" s="29" t="n"/>
      <c r="K2778" s="30">
        <f>IF(B2778="","",SUM(G$2:I2778)-SUM(J$2:J2778))</f>
        <v/>
      </c>
      <c r="L2778" s="22">
        <f>IF(B2778="","",IF(B2778=B2777,L2777,N(L2777)+1))</f>
        <v/>
      </c>
    </row>
    <row r="2779">
      <c r="A2779" s="22" t="n"/>
      <c r="B2779" s="27" t="n"/>
      <c r="C2779" s="17" t="n"/>
      <c r="D2779" s="17" t="n"/>
      <c r="E2779" s="17" t="n"/>
      <c r="F2779" s="28" t="n"/>
      <c r="G2779" s="29" t="n"/>
      <c r="H2779" s="29" t="n"/>
      <c r="I2779" s="29" t="n"/>
      <c r="J2779" s="29" t="n"/>
      <c r="K2779" s="30">
        <f>IF(B2779="","",SUM(G$2:I2779)-SUM(J$2:J2779))</f>
        <v/>
      </c>
      <c r="L2779" s="22">
        <f>IF(B2779="","",IF(B2779=B2778,L2778,N(L2778)+1))</f>
        <v/>
      </c>
    </row>
    <row r="2780">
      <c r="A2780" s="22" t="n"/>
      <c r="B2780" s="27" t="n"/>
      <c r="C2780" s="17" t="n"/>
      <c r="D2780" s="17" t="n"/>
      <c r="E2780" s="17" t="n"/>
      <c r="F2780" s="28" t="n"/>
      <c r="G2780" s="29" t="n"/>
      <c r="H2780" s="29" t="n"/>
      <c r="I2780" s="29" t="n"/>
      <c r="J2780" s="29" t="n"/>
      <c r="K2780" s="30">
        <f>IF(B2780="","",SUM(G$2:I2780)-SUM(J$2:J2780))</f>
        <v/>
      </c>
      <c r="L2780" s="22">
        <f>IF(B2780="","",IF(B2780=B2779,L2779,N(L2779)+1))</f>
        <v/>
      </c>
    </row>
    <row r="2781">
      <c r="A2781" s="22" t="n"/>
      <c r="B2781" s="27" t="n"/>
      <c r="C2781" s="17" t="n"/>
      <c r="D2781" s="17" t="n"/>
      <c r="E2781" s="17" t="n"/>
      <c r="F2781" s="28" t="n"/>
      <c r="G2781" s="29" t="n"/>
      <c r="H2781" s="29" t="n"/>
      <c r="I2781" s="29" t="n"/>
      <c r="J2781" s="29" t="n"/>
      <c r="K2781" s="30">
        <f>IF(B2781="","",SUM(G$2:I2781)-SUM(J$2:J2781))</f>
        <v/>
      </c>
      <c r="L2781" s="22">
        <f>IF(B2781="","",IF(B2781=B2780,L2780,N(L2780)+1))</f>
        <v/>
      </c>
    </row>
    <row r="2782">
      <c r="A2782" s="22" t="n"/>
      <c r="B2782" s="27" t="n"/>
      <c r="C2782" s="17" t="n"/>
      <c r="D2782" s="17" t="n"/>
      <c r="E2782" s="17" t="n"/>
      <c r="F2782" s="28" t="n"/>
      <c r="G2782" s="29" t="n"/>
      <c r="H2782" s="29" t="n"/>
      <c r="I2782" s="29" t="n"/>
      <c r="J2782" s="29" t="n"/>
      <c r="K2782" s="30">
        <f>IF(B2782="","",SUM(G$2:I2782)-SUM(J$2:J2782))</f>
        <v/>
      </c>
      <c r="L2782" s="22">
        <f>IF(B2782="","",IF(B2782=B2781,L2781,N(L2781)+1))</f>
        <v/>
      </c>
    </row>
    <row r="2783">
      <c r="A2783" s="22" t="n"/>
      <c r="B2783" s="27" t="n"/>
      <c r="C2783" s="17" t="n"/>
      <c r="D2783" s="17" t="n"/>
      <c r="E2783" s="17" t="n"/>
      <c r="F2783" s="28" t="n"/>
      <c r="G2783" s="29" t="n"/>
      <c r="H2783" s="29" t="n"/>
      <c r="I2783" s="29" t="n"/>
      <c r="J2783" s="29" t="n"/>
      <c r="K2783" s="30">
        <f>IF(B2783="","",SUM(G$2:I2783)-SUM(J$2:J2783))</f>
        <v/>
      </c>
      <c r="L2783" s="22">
        <f>IF(B2783="","",IF(B2783=B2782,L2782,N(L2782)+1))</f>
        <v/>
      </c>
    </row>
    <row r="2784">
      <c r="A2784" s="22" t="n"/>
      <c r="B2784" s="27" t="n"/>
      <c r="C2784" s="17" t="n"/>
      <c r="D2784" s="17" t="n"/>
      <c r="E2784" s="17" t="n"/>
      <c r="F2784" s="28" t="n"/>
      <c r="G2784" s="29" t="n"/>
      <c r="H2784" s="29" t="n"/>
      <c r="I2784" s="29" t="n"/>
      <c r="J2784" s="29" t="n"/>
      <c r="K2784" s="30">
        <f>IF(B2784="","",SUM(G$2:I2784)-SUM(J$2:J2784))</f>
        <v/>
      </c>
      <c r="L2784" s="22">
        <f>IF(B2784="","",IF(B2784=B2783,L2783,N(L2783)+1))</f>
        <v/>
      </c>
    </row>
    <row r="2785">
      <c r="A2785" s="22" t="n"/>
      <c r="B2785" s="27" t="n"/>
      <c r="C2785" s="17" t="n"/>
      <c r="D2785" s="17" t="n"/>
      <c r="E2785" s="17" t="n"/>
      <c r="F2785" s="28" t="n"/>
      <c r="G2785" s="29" t="n"/>
      <c r="H2785" s="29" t="n"/>
      <c r="I2785" s="29" t="n"/>
      <c r="J2785" s="29" t="n"/>
      <c r="K2785" s="30">
        <f>IF(B2785="","",SUM(G$2:I2785)-SUM(J$2:J2785))</f>
        <v/>
      </c>
      <c r="L2785" s="22">
        <f>IF(B2785="","",IF(B2785=B2784,L2784,N(L2784)+1))</f>
        <v/>
      </c>
    </row>
    <row r="2786">
      <c r="A2786" s="22" t="n"/>
      <c r="B2786" s="27" t="n"/>
      <c r="C2786" s="17" t="n"/>
      <c r="D2786" s="17" t="n"/>
      <c r="E2786" s="17" t="n"/>
      <c r="F2786" s="28" t="n"/>
      <c r="G2786" s="29" t="n"/>
      <c r="H2786" s="29" t="n"/>
      <c r="I2786" s="29" t="n"/>
      <c r="J2786" s="29" t="n"/>
      <c r="K2786" s="30">
        <f>IF(B2786="","",SUM(G$2:I2786)-SUM(J$2:J2786))</f>
        <v/>
      </c>
      <c r="L2786" s="22">
        <f>IF(B2786="","",IF(B2786=B2785,L2785,N(L2785)+1))</f>
        <v/>
      </c>
    </row>
    <row r="2787">
      <c r="A2787" s="22" t="n"/>
      <c r="B2787" s="27" t="n"/>
      <c r="C2787" s="17" t="n"/>
      <c r="D2787" s="17" t="n"/>
      <c r="E2787" s="17" t="n"/>
      <c r="F2787" s="28" t="n"/>
      <c r="G2787" s="29" t="n"/>
      <c r="H2787" s="29" t="n"/>
      <c r="I2787" s="29" t="n"/>
      <c r="J2787" s="29" t="n"/>
      <c r="K2787" s="30">
        <f>IF(B2787="","",SUM(G$2:I2787)-SUM(J$2:J2787))</f>
        <v/>
      </c>
      <c r="L2787" s="22">
        <f>IF(B2787="","",IF(B2787=B2786,L2786,N(L2786)+1))</f>
        <v/>
      </c>
    </row>
    <row r="2788">
      <c r="A2788" s="22" t="n"/>
      <c r="B2788" s="27" t="n"/>
      <c r="C2788" s="17" t="n"/>
      <c r="D2788" s="17" t="n"/>
      <c r="E2788" s="17" t="n"/>
      <c r="F2788" s="28" t="n"/>
      <c r="G2788" s="29" t="n"/>
      <c r="H2788" s="29" t="n"/>
      <c r="I2788" s="29" t="n"/>
      <c r="J2788" s="29" t="n"/>
      <c r="K2788" s="30">
        <f>IF(B2788="","",SUM(G$2:I2788)-SUM(J$2:J2788))</f>
        <v/>
      </c>
      <c r="L2788" s="22">
        <f>IF(B2788="","",IF(B2788=B2787,L2787,N(L2787)+1))</f>
        <v/>
      </c>
    </row>
    <row r="2789">
      <c r="A2789" s="22" t="n"/>
      <c r="B2789" s="27" t="n"/>
      <c r="C2789" s="17" t="n"/>
      <c r="D2789" s="17" t="n"/>
      <c r="E2789" s="17" t="n"/>
      <c r="F2789" s="28" t="n"/>
      <c r="G2789" s="29" t="n"/>
      <c r="H2789" s="29" t="n"/>
      <c r="I2789" s="29" t="n"/>
      <c r="J2789" s="29" t="n"/>
      <c r="K2789" s="30">
        <f>IF(B2789="","",SUM(G$2:I2789)-SUM(J$2:J2789))</f>
        <v/>
      </c>
      <c r="L2789" s="22">
        <f>IF(B2789="","",IF(B2789=B2788,L2788,N(L2788)+1))</f>
        <v/>
      </c>
    </row>
    <row r="2790">
      <c r="A2790" s="22" t="n"/>
      <c r="B2790" s="27" t="n"/>
      <c r="C2790" s="17" t="n"/>
      <c r="D2790" s="17" t="n"/>
      <c r="E2790" s="17" t="n"/>
      <c r="F2790" s="28" t="n"/>
      <c r="G2790" s="29" t="n"/>
      <c r="H2790" s="29" t="n"/>
      <c r="I2790" s="29" t="n"/>
      <c r="J2790" s="29" t="n"/>
      <c r="K2790" s="30">
        <f>IF(B2790="","",SUM(G$2:I2790)-SUM(J$2:J2790))</f>
        <v/>
      </c>
      <c r="L2790" s="22">
        <f>IF(B2790="","",IF(B2790=B2789,L2789,N(L2789)+1))</f>
        <v/>
      </c>
    </row>
    <row r="2791">
      <c r="A2791" s="22" t="n"/>
      <c r="B2791" s="27" t="n"/>
      <c r="C2791" s="17" t="n"/>
      <c r="D2791" s="17" t="n"/>
      <c r="E2791" s="17" t="n"/>
      <c r="F2791" s="28" t="n"/>
      <c r="G2791" s="29" t="n"/>
      <c r="H2791" s="29" t="n"/>
      <c r="I2791" s="29" t="n"/>
      <c r="J2791" s="29" t="n"/>
      <c r="K2791" s="30">
        <f>IF(B2791="","",SUM(G$2:I2791)-SUM(J$2:J2791))</f>
        <v/>
      </c>
      <c r="L2791" s="22">
        <f>IF(B2791="","",IF(B2791=B2790,L2790,N(L2790)+1))</f>
        <v/>
      </c>
    </row>
    <row r="2792">
      <c r="A2792" s="22" t="n"/>
      <c r="B2792" s="27" t="n"/>
      <c r="C2792" s="17" t="n"/>
      <c r="D2792" s="17" t="n"/>
      <c r="E2792" s="17" t="n"/>
      <c r="F2792" s="28" t="n"/>
      <c r="G2792" s="29" t="n"/>
      <c r="H2792" s="29" t="n"/>
      <c r="I2792" s="29" t="n"/>
      <c r="J2792" s="29" t="n"/>
      <c r="K2792" s="30">
        <f>IF(B2792="","",SUM(G$2:I2792)-SUM(J$2:J2792))</f>
        <v/>
      </c>
      <c r="L2792" s="22">
        <f>IF(B2792="","",IF(B2792=B2791,L2791,N(L2791)+1))</f>
        <v/>
      </c>
    </row>
    <row r="2793">
      <c r="A2793" s="22" t="n"/>
      <c r="B2793" s="27" t="n"/>
      <c r="C2793" s="17" t="n"/>
      <c r="D2793" s="17" t="n"/>
      <c r="E2793" s="17" t="n"/>
      <c r="F2793" s="28" t="n"/>
      <c r="G2793" s="29" t="n"/>
      <c r="H2793" s="29" t="n"/>
      <c r="I2793" s="29" t="n"/>
      <c r="J2793" s="29" t="n"/>
      <c r="K2793" s="30">
        <f>IF(B2793="","",SUM(G$2:I2793)-SUM(J$2:J2793))</f>
        <v/>
      </c>
      <c r="L2793" s="22">
        <f>IF(B2793="","",IF(B2793=B2792,L2792,N(L2792)+1))</f>
        <v/>
      </c>
    </row>
    <row r="2794">
      <c r="A2794" s="22" t="n"/>
      <c r="B2794" s="27" t="n"/>
      <c r="C2794" s="17" t="n"/>
      <c r="D2794" s="17" t="n"/>
      <c r="E2794" s="17" t="n"/>
      <c r="F2794" s="28" t="n"/>
      <c r="G2794" s="29" t="n"/>
      <c r="H2794" s="29" t="n"/>
      <c r="I2794" s="29" t="n"/>
      <c r="J2794" s="29" t="n"/>
      <c r="K2794" s="30">
        <f>IF(B2794="","",SUM(G$2:I2794)-SUM(J$2:J2794))</f>
        <v/>
      </c>
      <c r="L2794" s="22">
        <f>IF(B2794="","",IF(B2794=B2793,L2793,N(L2793)+1))</f>
        <v/>
      </c>
    </row>
    <row r="2795">
      <c r="A2795" s="22" t="n"/>
      <c r="B2795" s="27" t="n"/>
      <c r="C2795" s="17" t="n"/>
      <c r="D2795" s="17" t="n"/>
      <c r="E2795" s="17" t="n"/>
      <c r="F2795" s="28" t="n"/>
      <c r="G2795" s="29" t="n"/>
      <c r="H2795" s="29" t="n"/>
      <c r="I2795" s="29" t="n"/>
      <c r="J2795" s="29" t="n"/>
      <c r="K2795" s="30">
        <f>IF(B2795="","",SUM(G$2:I2795)-SUM(J$2:J2795))</f>
        <v/>
      </c>
      <c r="L2795" s="22">
        <f>IF(B2795="","",IF(B2795=B2794,L2794,N(L2794)+1))</f>
        <v/>
      </c>
    </row>
    <row r="2796">
      <c r="A2796" s="22" t="n"/>
      <c r="B2796" s="27" t="n"/>
      <c r="C2796" s="17" t="n"/>
      <c r="D2796" s="17" t="n"/>
      <c r="E2796" s="17" t="n"/>
      <c r="F2796" s="28" t="n"/>
      <c r="G2796" s="29" t="n"/>
      <c r="H2796" s="29" t="n"/>
      <c r="I2796" s="29" t="n"/>
      <c r="J2796" s="29" t="n"/>
      <c r="K2796" s="30">
        <f>IF(B2796="","",SUM(G$2:I2796)-SUM(J$2:J2796))</f>
        <v/>
      </c>
      <c r="L2796" s="22">
        <f>IF(B2796="","",IF(B2796=B2795,L2795,N(L2795)+1))</f>
        <v/>
      </c>
    </row>
    <row r="2797">
      <c r="A2797" s="22" t="n"/>
      <c r="B2797" s="27" t="n"/>
      <c r="C2797" s="17" t="n"/>
      <c r="D2797" s="17" t="n"/>
      <c r="E2797" s="17" t="n"/>
      <c r="F2797" s="28" t="n"/>
      <c r="G2797" s="29" t="n"/>
      <c r="H2797" s="29" t="n"/>
      <c r="I2797" s="29" t="n"/>
      <c r="J2797" s="29" t="n"/>
      <c r="K2797" s="30">
        <f>IF(B2797="","",SUM(G$2:I2797)-SUM(J$2:J2797))</f>
        <v/>
      </c>
      <c r="L2797" s="22">
        <f>IF(B2797="","",IF(B2797=B2796,L2796,N(L2796)+1))</f>
        <v/>
      </c>
    </row>
    <row r="2798">
      <c r="A2798" s="22" t="n"/>
      <c r="B2798" s="27" t="n"/>
      <c r="C2798" s="17" t="n"/>
      <c r="D2798" s="17" t="n"/>
      <c r="E2798" s="17" t="n"/>
      <c r="F2798" s="28" t="n"/>
      <c r="G2798" s="29" t="n"/>
      <c r="H2798" s="29" t="n"/>
      <c r="I2798" s="29" t="n"/>
      <c r="J2798" s="29" t="n"/>
      <c r="K2798" s="30">
        <f>IF(B2798="","",SUM(G$2:I2798)-SUM(J$2:J2798))</f>
        <v/>
      </c>
      <c r="L2798" s="22">
        <f>IF(B2798="","",IF(B2798=B2797,L2797,N(L2797)+1))</f>
        <v/>
      </c>
    </row>
    <row r="2799">
      <c r="A2799" s="22" t="n"/>
      <c r="B2799" s="27" t="n"/>
      <c r="C2799" s="17" t="n"/>
      <c r="D2799" s="17" t="n"/>
      <c r="E2799" s="17" t="n"/>
      <c r="F2799" s="28" t="n"/>
      <c r="G2799" s="29" t="n"/>
      <c r="H2799" s="29" t="n"/>
      <c r="I2799" s="29" t="n"/>
      <c r="J2799" s="29" t="n"/>
      <c r="K2799" s="30">
        <f>IF(B2799="","",SUM(G$2:I2799)-SUM(J$2:J2799))</f>
        <v/>
      </c>
      <c r="L2799" s="22">
        <f>IF(B2799="","",IF(B2799=B2798,L2798,N(L2798)+1))</f>
        <v/>
      </c>
    </row>
    <row r="2800">
      <c r="A2800" s="22" t="n"/>
      <c r="B2800" s="27" t="n"/>
      <c r="C2800" s="17" t="n"/>
      <c r="D2800" s="17" t="n"/>
      <c r="E2800" s="17" t="n"/>
      <c r="F2800" s="28" t="n"/>
      <c r="G2800" s="29" t="n"/>
      <c r="H2800" s="29" t="n"/>
      <c r="I2800" s="29" t="n"/>
      <c r="J2800" s="29" t="n"/>
      <c r="K2800" s="30">
        <f>IF(B2800="","",SUM(G$2:I2800)-SUM(J$2:J2800))</f>
        <v/>
      </c>
      <c r="L2800" s="22">
        <f>IF(B2800="","",IF(B2800=B2799,L2799,N(L2799)+1))</f>
        <v/>
      </c>
    </row>
    <row r="2801">
      <c r="A2801" s="22" t="n"/>
      <c r="B2801" s="27" t="n"/>
      <c r="C2801" s="17" t="n"/>
      <c r="D2801" s="17" t="n"/>
      <c r="E2801" s="17" t="n"/>
      <c r="F2801" s="28" t="n"/>
      <c r="G2801" s="29" t="n"/>
      <c r="H2801" s="29" t="n"/>
      <c r="I2801" s="29" t="n"/>
      <c r="J2801" s="29" t="n"/>
      <c r="K2801" s="30">
        <f>IF(B2801="","",SUM(G$2:I2801)-SUM(J$2:J2801))</f>
        <v/>
      </c>
      <c r="L2801" s="22">
        <f>IF(B2801="","",IF(B2801=B2800,L2800,N(L2800)+1))</f>
        <v/>
      </c>
    </row>
    <row r="2802">
      <c r="A2802" s="22" t="n"/>
      <c r="B2802" s="27" t="n"/>
      <c r="C2802" s="17" t="n"/>
      <c r="D2802" s="17" t="n"/>
      <c r="E2802" s="17" t="n"/>
      <c r="F2802" s="28" t="n"/>
      <c r="G2802" s="29" t="n"/>
      <c r="H2802" s="29" t="n"/>
      <c r="I2802" s="29" t="n"/>
      <c r="J2802" s="29" t="n"/>
      <c r="K2802" s="30">
        <f>IF(B2802="","",SUM(G$2:I2802)-SUM(J$2:J2802))</f>
        <v/>
      </c>
      <c r="L2802" s="22">
        <f>IF(B2802="","",IF(B2802=B2801,L2801,N(L2801)+1))</f>
        <v/>
      </c>
    </row>
    <row r="2803">
      <c r="A2803" s="22" t="n"/>
      <c r="B2803" s="27" t="n"/>
      <c r="C2803" s="17" t="n"/>
      <c r="D2803" s="17" t="n"/>
      <c r="E2803" s="17" t="n"/>
      <c r="F2803" s="28" t="n"/>
      <c r="G2803" s="29" t="n"/>
      <c r="H2803" s="29" t="n"/>
      <c r="I2803" s="29" t="n"/>
      <c r="J2803" s="29" t="n"/>
      <c r="K2803" s="30">
        <f>IF(B2803="","",SUM(G$2:I2803)-SUM(J$2:J2803))</f>
        <v/>
      </c>
      <c r="L2803" s="22">
        <f>IF(B2803="","",IF(B2803=B2802,L2802,N(L2802)+1))</f>
        <v/>
      </c>
    </row>
    <row r="2804">
      <c r="A2804" s="22" t="n"/>
      <c r="B2804" s="27" t="n"/>
      <c r="C2804" s="17" t="n"/>
      <c r="D2804" s="17" t="n"/>
      <c r="E2804" s="17" t="n"/>
      <c r="F2804" s="28" t="n"/>
      <c r="G2804" s="29" t="n"/>
      <c r="H2804" s="29" t="n"/>
      <c r="I2804" s="29" t="n"/>
      <c r="J2804" s="29" t="n"/>
      <c r="K2804" s="30">
        <f>IF(B2804="","",SUM(G$2:I2804)-SUM(J$2:J2804))</f>
        <v/>
      </c>
      <c r="L2804" s="22">
        <f>IF(B2804="","",IF(B2804=B2803,L2803,N(L2803)+1))</f>
        <v/>
      </c>
    </row>
    <row r="2805">
      <c r="A2805" s="22" t="n"/>
      <c r="B2805" s="27" t="n"/>
      <c r="C2805" s="17" t="n"/>
      <c r="D2805" s="17" t="n"/>
      <c r="E2805" s="17" t="n"/>
      <c r="F2805" s="28" t="n"/>
      <c r="G2805" s="29" t="n"/>
      <c r="H2805" s="29" t="n"/>
      <c r="I2805" s="29" t="n"/>
      <c r="J2805" s="29" t="n"/>
      <c r="K2805" s="30">
        <f>IF(B2805="","",SUM(G$2:I2805)-SUM(J$2:J2805))</f>
        <v/>
      </c>
      <c r="L2805" s="22">
        <f>IF(B2805="","",IF(B2805=B2804,L2804,N(L2804)+1))</f>
        <v/>
      </c>
    </row>
    <row r="2806">
      <c r="A2806" s="22" t="n"/>
      <c r="B2806" s="27" t="n"/>
      <c r="C2806" s="17" t="n"/>
      <c r="D2806" s="17" t="n"/>
      <c r="E2806" s="17" t="n"/>
      <c r="F2806" s="28" t="n"/>
      <c r="G2806" s="29" t="n"/>
      <c r="H2806" s="29" t="n"/>
      <c r="I2806" s="29" t="n"/>
      <c r="J2806" s="29" t="n"/>
      <c r="K2806" s="30">
        <f>IF(B2806="","",SUM(G$2:I2806)-SUM(J$2:J2806))</f>
        <v/>
      </c>
      <c r="L2806" s="22">
        <f>IF(B2806="","",IF(B2806=B2805,L2805,N(L2805)+1))</f>
        <v/>
      </c>
    </row>
    <row r="2807">
      <c r="A2807" s="22" t="n"/>
      <c r="B2807" s="27" t="n"/>
      <c r="C2807" s="17" t="n"/>
      <c r="D2807" s="17" t="n"/>
      <c r="E2807" s="17" t="n"/>
      <c r="F2807" s="28" t="n"/>
      <c r="G2807" s="29" t="n"/>
      <c r="H2807" s="29" t="n"/>
      <c r="I2807" s="29" t="n"/>
      <c r="J2807" s="29" t="n"/>
      <c r="K2807" s="30">
        <f>IF(B2807="","",SUM(G$2:I2807)-SUM(J$2:J2807))</f>
        <v/>
      </c>
      <c r="L2807" s="22">
        <f>IF(B2807="","",IF(B2807=B2806,L2806,N(L2806)+1))</f>
        <v/>
      </c>
    </row>
    <row r="2808">
      <c r="A2808" s="22" t="n"/>
      <c r="B2808" s="27" t="n"/>
      <c r="C2808" s="17" t="n"/>
      <c r="D2808" s="17" t="n"/>
      <c r="E2808" s="17" t="n"/>
      <c r="F2808" s="28" t="n"/>
      <c r="G2808" s="29" t="n"/>
      <c r="H2808" s="29" t="n"/>
      <c r="I2808" s="29" t="n"/>
      <c r="J2808" s="29" t="n"/>
      <c r="K2808" s="30">
        <f>IF(B2808="","",SUM(G$2:I2808)-SUM(J$2:J2808))</f>
        <v/>
      </c>
      <c r="L2808" s="22">
        <f>IF(B2808="","",IF(B2808=B2807,L2807,N(L2807)+1))</f>
        <v/>
      </c>
    </row>
    <row r="2809">
      <c r="A2809" s="22" t="n"/>
      <c r="B2809" s="27" t="n"/>
      <c r="C2809" s="17" t="n"/>
      <c r="D2809" s="17" t="n"/>
      <c r="E2809" s="17" t="n"/>
      <c r="F2809" s="28" t="n"/>
      <c r="G2809" s="29" t="n"/>
      <c r="H2809" s="29" t="n"/>
      <c r="I2809" s="29" t="n"/>
      <c r="J2809" s="29" t="n"/>
      <c r="K2809" s="30">
        <f>IF(B2809="","",SUM(G$2:I2809)-SUM(J$2:J2809))</f>
        <v/>
      </c>
      <c r="L2809" s="22">
        <f>IF(B2809="","",IF(B2809=B2808,L2808,N(L2808)+1))</f>
        <v/>
      </c>
    </row>
    <row r="2810">
      <c r="A2810" s="22" t="n"/>
      <c r="B2810" s="27" t="n"/>
      <c r="C2810" s="17" t="n"/>
      <c r="D2810" s="17" t="n"/>
      <c r="E2810" s="17" t="n"/>
      <c r="F2810" s="28" t="n"/>
      <c r="G2810" s="29" t="n"/>
      <c r="H2810" s="29" t="n"/>
      <c r="I2810" s="29" t="n"/>
      <c r="J2810" s="29" t="n"/>
      <c r="K2810" s="30">
        <f>IF(B2810="","",SUM(G$2:I2810)-SUM(J$2:J2810))</f>
        <v/>
      </c>
      <c r="L2810" s="22">
        <f>IF(B2810="","",IF(B2810=B2809,L2809,N(L2809)+1))</f>
        <v/>
      </c>
    </row>
    <row r="2811">
      <c r="A2811" s="22" t="n"/>
      <c r="B2811" s="27" t="n"/>
      <c r="C2811" s="17" t="n"/>
      <c r="D2811" s="17" t="n"/>
      <c r="E2811" s="17" t="n"/>
      <c r="F2811" s="28" t="n"/>
      <c r="G2811" s="29" t="n"/>
      <c r="H2811" s="29" t="n"/>
      <c r="I2811" s="29" t="n"/>
      <c r="J2811" s="29" t="n"/>
      <c r="K2811" s="30">
        <f>IF(B2811="","",SUM(G$2:I2811)-SUM(J$2:J2811))</f>
        <v/>
      </c>
      <c r="L2811" s="22">
        <f>IF(B2811="","",IF(B2811=B2810,L2810,N(L2810)+1))</f>
        <v/>
      </c>
    </row>
    <row r="2812">
      <c r="A2812" s="22" t="n"/>
      <c r="B2812" s="27" t="n"/>
      <c r="C2812" s="17" t="n"/>
      <c r="D2812" s="17" t="n"/>
      <c r="E2812" s="17" t="n"/>
      <c r="F2812" s="28" t="n"/>
      <c r="G2812" s="29" t="n"/>
      <c r="H2812" s="29" t="n"/>
      <c r="I2812" s="29" t="n"/>
      <c r="J2812" s="29" t="n"/>
      <c r="K2812" s="30">
        <f>IF(B2812="","",SUM(G$2:I2812)-SUM(J$2:J2812))</f>
        <v/>
      </c>
      <c r="L2812" s="22">
        <f>IF(B2812="","",IF(B2812=B2811,L2811,N(L2811)+1))</f>
        <v/>
      </c>
    </row>
    <row r="2813">
      <c r="A2813" s="22" t="n"/>
      <c r="B2813" s="27" t="n"/>
      <c r="C2813" s="17" t="n"/>
      <c r="D2813" s="17" t="n"/>
      <c r="E2813" s="17" t="n"/>
      <c r="F2813" s="28" t="n"/>
      <c r="G2813" s="29" t="n"/>
      <c r="H2813" s="29" t="n"/>
      <c r="I2813" s="29" t="n"/>
      <c r="J2813" s="29" t="n"/>
      <c r="K2813" s="30">
        <f>IF(B2813="","",SUM(G$2:I2813)-SUM(J$2:J2813))</f>
        <v/>
      </c>
      <c r="L2813" s="22">
        <f>IF(B2813="","",IF(B2813=B2812,L2812,N(L2812)+1))</f>
        <v/>
      </c>
    </row>
    <row r="2814">
      <c r="A2814" s="22" t="n"/>
      <c r="B2814" s="27" t="n"/>
      <c r="C2814" s="17" t="n"/>
      <c r="D2814" s="17" t="n"/>
      <c r="E2814" s="17" t="n"/>
      <c r="F2814" s="28" t="n"/>
      <c r="G2814" s="29" t="n"/>
      <c r="H2814" s="29" t="n"/>
      <c r="I2814" s="29" t="n"/>
      <c r="J2814" s="29" t="n"/>
      <c r="K2814" s="30">
        <f>IF(B2814="","",SUM(G$2:I2814)-SUM(J$2:J2814))</f>
        <v/>
      </c>
      <c r="L2814" s="22">
        <f>IF(B2814="","",IF(B2814=B2813,L2813,N(L2813)+1))</f>
        <v/>
      </c>
    </row>
    <row r="2815">
      <c r="A2815" s="22" t="n"/>
      <c r="B2815" s="27" t="n"/>
      <c r="C2815" s="17" t="n"/>
      <c r="D2815" s="17" t="n"/>
      <c r="E2815" s="17" t="n"/>
      <c r="F2815" s="28" t="n"/>
      <c r="G2815" s="29" t="n"/>
      <c r="H2815" s="29" t="n"/>
      <c r="I2815" s="29" t="n"/>
      <c r="J2815" s="29" t="n"/>
      <c r="K2815" s="30">
        <f>IF(B2815="","",SUM(G$2:I2815)-SUM(J$2:J2815))</f>
        <v/>
      </c>
      <c r="L2815" s="22">
        <f>IF(B2815="","",IF(B2815=B2814,L2814,N(L2814)+1))</f>
        <v/>
      </c>
    </row>
    <row r="2816">
      <c r="A2816" s="22" t="n"/>
      <c r="B2816" s="27" t="n"/>
      <c r="C2816" s="17" t="n"/>
      <c r="D2816" s="17" t="n"/>
      <c r="E2816" s="17" t="n"/>
      <c r="F2816" s="28" t="n"/>
      <c r="G2816" s="29" t="n"/>
      <c r="H2816" s="29" t="n"/>
      <c r="I2816" s="29" t="n"/>
      <c r="J2816" s="29" t="n"/>
      <c r="K2816" s="30">
        <f>IF(B2816="","",SUM(G$2:I2816)-SUM(J$2:J2816))</f>
        <v/>
      </c>
      <c r="L2816" s="22">
        <f>IF(B2816="","",IF(B2816=B2815,L2815,N(L2815)+1))</f>
        <v/>
      </c>
    </row>
    <row r="2817">
      <c r="A2817" s="22" t="n"/>
      <c r="B2817" s="27" t="n"/>
      <c r="C2817" s="17" t="n"/>
      <c r="D2817" s="17" t="n"/>
      <c r="E2817" s="17" t="n"/>
      <c r="F2817" s="28" t="n"/>
      <c r="G2817" s="29" t="n"/>
      <c r="H2817" s="29" t="n"/>
      <c r="I2817" s="29" t="n"/>
      <c r="J2817" s="29" t="n"/>
      <c r="K2817" s="30">
        <f>IF(B2817="","",SUM(G$2:I2817)-SUM(J$2:J2817))</f>
        <v/>
      </c>
      <c r="L2817" s="22">
        <f>IF(B2817="","",IF(B2817=B2816,L2816,N(L2816)+1))</f>
        <v/>
      </c>
    </row>
    <row r="2818">
      <c r="A2818" s="22" t="n"/>
      <c r="B2818" s="27" t="n"/>
      <c r="C2818" s="17" t="n"/>
      <c r="D2818" s="17" t="n"/>
      <c r="E2818" s="17" t="n"/>
      <c r="F2818" s="28" t="n"/>
      <c r="G2818" s="29" t="n"/>
      <c r="H2818" s="29" t="n"/>
      <c r="I2818" s="29" t="n"/>
      <c r="J2818" s="29" t="n"/>
      <c r="K2818" s="30">
        <f>IF(B2818="","",SUM(G$2:I2818)-SUM(J$2:J2818))</f>
        <v/>
      </c>
      <c r="L2818" s="22">
        <f>IF(B2818="","",IF(B2818=B2817,L2817,N(L2817)+1))</f>
        <v/>
      </c>
    </row>
    <row r="2819">
      <c r="A2819" s="22" t="n"/>
      <c r="B2819" s="27" t="n"/>
      <c r="C2819" s="17" t="n"/>
      <c r="D2819" s="17" t="n"/>
      <c r="E2819" s="17" t="n"/>
      <c r="F2819" s="28" t="n"/>
      <c r="G2819" s="29" t="n"/>
      <c r="H2819" s="29" t="n"/>
      <c r="I2819" s="29" t="n"/>
      <c r="J2819" s="29" t="n"/>
      <c r="K2819" s="30">
        <f>IF(B2819="","",SUM(G$2:I2819)-SUM(J$2:J2819))</f>
        <v/>
      </c>
      <c r="L2819" s="22">
        <f>IF(B2819="","",IF(B2819=B2818,L2818,N(L2818)+1))</f>
        <v/>
      </c>
    </row>
    <row r="2820">
      <c r="A2820" s="22" t="n"/>
      <c r="B2820" s="27" t="n"/>
      <c r="C2820" s="17" t="n"/>
      <c r="D2820" s="17" t="n"/>
      <c r="E2820" s="17" t="n"/>
      <c r="F2820" s="28" t="n"/>
      <c r="G2820" s="29" t="n"/>
      <c r="H2820" s="29" t="n"/>
      <c r="I2820" s="29" t="n"/>
      <c r="J2820" s="29" t="n"/>
      <c r="K2820" s="30">
        <f>IF(B2820="","",SUM(G$2:I2820)-SUM(J$2:J2820))</f>
        <v/>
      </c>
      <c r="L2820" s="22">
        <f>IF(B2820="","",IF(B2820=B2819,L2819,N(L2819)+1))</f>
        <v/>
      </c>
    </row>
    <row r="2821">
      <c r="A2821" s="22" t="n"/>
      <c r="B2821" s="27" t="n"/>
      <c r="C2821" s="17" t="n"/>
      <c r="D2821" s="17" t="n"/>
      <c r="E2821" s="17" t="n"/>
      <c r="F2821" s="28" t="n"/>
      <c r="G2821" s="29" t="n"/>
      <c r="H2821" s="29" t="n"/>
      <c r="I2821" s="29" t="n"/>
      <c r="J2821" s="29" t="n"/>
      <c r="K2821" s="30">
        <f>IF(B2821="","",SUM(G$2:I2821)-SUM(J$2:J2821))</f>
        <v/>
      </c>
      <c r="L2821" s="22">
        <f>IF(B2821="","",IF(B2821=B2820,L2820,N(L2820)+1))</f>
        <v/>
      </c>
    </row>
    <row r="2822">
      <c r="A2822" s="22" t="n"/>
      <c r="B2822" s="27" t="n"/>
      <c r="C2822" s="17" t="n"/>
      <c r="D2822" s="17" t="n"/>
      <c r="E2822" s="17" t="n"/>
      <c r="F2822" s="28" t="n"/>
      <c r="G2822" s="29" t="n"/>
      <c r="H2822" s="29" t="n"/>
      <c r="I2822" s="29" t="n"/>
      <c r="J2822" s="29" t="n"/>
      <c r="K2822" s="30">
        <f>IF(B2822="","",SUM(G$2:I2822)-SUM(J$2:J2822))</f>
        <v/>
      </c>
      <c r="L2822" s="22">
        <f>IF(B2822="","",IF(B2822=B2821,L2821,N(L2821)+1))</f>
        <v/>
      </c>
    </row>
    <row r="2823">
      <c r="A2823" s="22" t="n"/>
      <c r="B2823" s="27" t="n"/>
      <c r="C2823" s="17" t="n"/>
      <c r="D2823" s="17" t="n"/>
      <c r="E2823" s="17" t="n"/>
      <c r="F2823" s="28" t="n"/>
      <c r="G2823" s="29" t="n"/>
      <c r="H2823" s="29" t="n"/>
      <c r="I2823" s="29" t="n"/>
      <c r="J2823" s="29" t="n"/>
      <c r="K2823" s="30">
        <f>IF(B2823="","",SUM(G$2:I2823)-SUM(J$2:J2823))</f>
        <v/>
      </c>
      <c r="L2823" s="22">
        <f>IF(B2823="","",IF(B2823=B2822,L2822,N(L2822)+1))</f>
        <v/>
      </c>
    </row>
    <row r="2824">
      <c r="A2824" s="22" t="n"/>
      <c r="B2824" s="27" t="n"/>
      <c r="C2824" s="17" t="n"/>
      <c r="D2824" s="17" t="n"/>
      <c r="E2824" s="17" t="n"/>
      <c r="F2824" s="28" t="n"/>
      <c r="G2824" s="29" t="n"/>
      <c r="H2824" s="29" t="n"/>
      <c r="I2824" s="29" t="n"/>
      <c r="J2824" s="29" t="n"/>
      <c r="K2824" s="30">
        <f>IF(B2824="","",SUM(G$2:I2824)-SUM(J$2:J2824))</f>
        <v/>
      </c>
      <c r="L2824" s="22">
        <f>IF(B2824="","",IF(B2824=B2823,L2823,N(L2823)+1))</f>
        <v/>
      </c>
    </row>
    <row r="2825">
      <c r="A2825" s="22" t="n"/>
      <c r="B2825" s="27" t="n"/>
      <c r="C2825" s="17" t="n"/>
      <c r="D2825" s="17" t="n"/>
      <c r="E2825" s="17" t="n"/>
      <c r="F2825" s="28" t="n"/>
      <c r="G2825" s="29" t="n"/>
      <c r="H2825" s="29" t="n"/>
      <c r="I2825" s="29" t="n"/>
      <c r="J2825" s="29" t="n"/>
      <c r="K2825" s="30">
        <f>IF(B2825="","",SUM(G$2:I2825)-SUM(J$2:J2825))</f>
        <v/>
      </c>
      <c r="L2825" s="22">
        <f>IF(B2825="","",IF(B2825=B2824,L2824,N(L2824)+1))</f>
        <v/>
      </c>
    </row>
    <row r="2826">
      <c r="A2826" s="22" t="n"/>
      <c r="B2826" s="27" t="n"/>
      <c r="C2826" s="17" t="n"/>
      <c r="D2826" s="17" t="n"/>
      <c r="E2826" s="17" t="n"/>
      <c r="F2826" s="28" t="n"/>
      <c r="G2826" s="29" t="n"/>
      <c r="H2826" s="29" t="n"/>
      <c r="I2826" s="29" t="n"/>
      <c r="J2826" s="29" t="n"/>
      <c r="K2826" s="30">
        <f>IF(B2826="","",SUM(G$2:I2826)-SUM(J$2:J2826))</f>
        <v/>
      </c>
      <c r="L2826" s="22">
        <f>IF(B2826="","",IF(B2826=B2825,L2825,N(L2825)+1))</f>
        <v/>
      </c>
    </row>
    <row r="2827">
      <c r="A2827" s="22" t="n"/>
      <c r="B2827" s="27" t="n"/>
      <c r="C2827" s="17" t="n"/>
      <c r="D2827" s="17" t="n"/>
      <c r="E2827" s="17" t="n"/>
      <c r="F2827" s="28" t="n"/>
      <c r="G2827" s="29" t="n"/>
      <c r="H2827" s="29" t="n"/>
      <c r="I2827" s="29" t="n"/>
      <c r="J2827" s="29" t="n"/>
      <c r="K2827" s="30">
        <f>IF(B2827="","",SUM(G$2:I2827)-SUM(J$2:J2827))</f>
        <v/>
      </c>
      <c r="L2827" s="22">
        <f>IF(B2827="","",IF(B2827=B2826,L2826,N(L2826)+1))</f>
        <v/>
      </c>
    </row>
    <row r="2828">
      <c r="A2828" s="22" t="n"/>
      <c r="B2828" s="27" t="n"/>
      <c r="C2828" s="17" t="n"/>
      <c r="D2828" s="17" t="n"/>
      <c r="E2828" s="17" t="n"/>
      <c r="F2828" s="28" t="n"/>
      <c r="G2828" s="29" t="n"/>
      <c r="H2828" s="29" t="n"/>
      <c r="I2828" s="29" t="n"/>
      <c r="J2828" s="29" t="n"/>
      <c r="K2828" s="30">
        <f>IF(B2828="","",SUM(G$2:I2828)-SUM(J$2:J2828))</f>
        <v/>
      </c>
      <c r="L2828" s="22">
        <f>IF(B2828="","",IF(B2828=B2827,L2827,N(L2827)+1))</f>
        <v/>
      </c>
    </row>
    <row r="2829">
      <c r="A2829" s="22" t="n"/>
      <c r="B2829" s="27" t="n"/>
      <c r="C2829" s="17" t="n"/>
      <c r="D2829" s="17" t="n"/>
      <c r="E2829" s="17" t="n"/>
      <c r="F2829" s="28" t="n"/>
      <c r="G2829" s="29" t="n"/>
      <c r="H2829" s="29" t="n"/>
      <c r="I2829" s="29" t="n"/>
      <c r="J2829" s="29" t="n"/>
      <c r="K2829" s="30">
        <f>IF(B2829="","",SUM(G$2:I2829)-SUM(J$2:J2829))</f>
        <v/>
      </c>
      <c r="L2829" s="22">
        <f>IF(B2829="","",IF(B2829=B2828,L2828,N(L2828)+1))</f>
        <v/>
      </c>
    </row>
    <row r="2830">
      <c r="A2830" s="22" t="n"/>
      <c r="B2830" s="27" t="n"/>
      <c r="C2830" s="17" t="n"/>
      <c r="D2830" s="17" t="n"/>
      <c r="E2830" s="17" t="n"/>
      <c r="F2830" s="28" t="n"/>
      <c r="G2830" s="29" t="n"/>
      <c r="H2830" s="29" t="n"/>
      <c r="I2830" s="29" t="n"/>
      <c r="J2830" s="29" t="n"/>
      <c r="K2830" s="30">
        <f>IF(B2830="","",SUM(G$2:I2830)-SUM(J$2:J2830))</f>
        <v/>
      </c>
      <c r="L2830" s="22">
        <f>IF(B2830="","",IF(B2830=B2829,L2829,N(L2829)+1))</f>
        <v/>
      </c>
    </row>
    <row r="2831">
      <c r="A2831" s="22" t="n"/>
      <c r="B2831" s="27" t="n"/>
      <c r="C2831" s="17" t="n"/>
      <c r="D2831" s="17" t="n"/>
      <c r="E2831" s="17" t="n"/>
      <c r="F2831" s="28" t="n"/>
      <c r="G2831" s="29" t="n"/>
      <c r="H2831" s="29" t="n"/>
      <c r="I2831" s="29" t="n"/>
      <c r="J2831" s="29" t="n"/>
      <c r="K2831" s="30">
        <f>IF(B2831="","",SUM(G$2:I2831)-SUM(J$2:J2831))</f>
        <v/>
      </c>
      <c r="L2831" s="22">
        <f>IF(B2831="","",IF(B2831=B2830,L2830,N(L2830)+1))</f>
        <v/>
      </c>
    </row>
    <row r="2832">
      <c r="A2832" s="22" t="n"/>
      <c r="B2832" s="27" t="n"/>
      <c r="C2832" s="17" t="n"/>
      <c r="D2832" s="17" t="n"/>
      <c r="E2832" s="17" t="n"/>
      <c r="F2832" s="28" t="n"/>
      <c r="G2832" s="29" t="n"/>
      <c r="H2832" s="29" t="n"/>
      <c r="I2832" s="29" t="n"/>
      <c r="J2832" s="29" t="n"/>
      <c r="K2832" s="30">
        <f>IF(B2832="","",SUM(G$2:I2832)-SUM(J$2:J2832))</f>
        <v/>
      </c>
      <c r="L2832" s="22">
        <f>IF(B2832="","",IF(B2832=B2831,L2831,N(L2831)+1))</f>
        <v/>
      </c>
    </row>
    <row r="2833">
      <c r="A2833" s="22" t="n"/>
      <c r="B2833" s="27" t="n"/>
      <c r="C2833" s="17" t="n"/>
      <c r="D2833" s="17" t="n"/>
      <c r="E2833" s="17" t="n"/>
      <c r="F2833" s="28" t="n"/>
      <c r="G2833" s="29" t="n"/>
      <c r="H2833" s="29" t="n"/>
      <c r="I2833" s="29" t="n"/>
      <c r="J2833" s="29" t="n"/>
      <c r="K2833" s="30">
        <f>IF(B2833="","",SUM(G$2:I2833)-SUM(J$2:J2833))</f>
        <v/>
      </c>
      <c r="L2833" s="22">
        <f>IF(B2833="","",IF(B2833=B2832,L2832,N(L2832)+1))</f>
        <v/>
      </c>
    </row>
    <row r="2834">
      <c r="A2834" s="22" t="n"/>
      <c r="B2834" s="27" t="n"/>
      <c r="C2834" s="17" t="n"/>
      <c r="D2834" s="17" t="n"/>
      <c r="E2834" s="17" t="n"/>
      <c r="F2834" s="28" t="n"/>
      <c r="G2834" s="29" t="n"/>
      <c r="H2834" s="29" t="n"/>
      <c r="I2834" s="29" t="n"/>
      <c r="J2834" s="29" t="n"/>
      <c r="K2834" s="30">
        <f>IF(B2834="","",SUM(G$2:I2834)-SUM(J$2:J2834))</f>
        <v/>
      </c>
      <c r="L2834" s="22">
        <f>IF(B2834="","",IF(B2834=B2833,L2833,N(L2833)+1))</f>
        <v/>
      </c>
    </row>
    <row r="2835">
      <c r="A2835" s="22" t="n"/>
      <c r="B2835" s="27" t="n"/>
      <c r="C2835" s="17" t="n"/>
      <c r="D2835" s="17" t="n"/>
      <c r="E2835" s="17" t="n"/>
      <c r="F2835" s="28" t="n"/>
      <c r="G2835" s="29" t="n"/>
      <c r="H2835" s="29" t="n"/>
      <c r="I2835" s="29" t="n"/>
      <c r="J2835" s="29" t="n"/>
      <c r="K2835" s="30">
        <f>IF(B2835="","",SUM(G$2:I2835)-SUM(J$2:J2835))</f>
        <v/>
      </c>
      <c r="L2835" s="22">
        <f>IF(B2835="","",IF(B2835=B2834,L2834,N(L2834)+1))</f>
        <v/>
      </c>
    </row>
    <row r="2836">
      <c r="A2836" s="22" t="n"/>
      <c r="B2836" s="27" t="n"/>
      <c r="C2836" s="17" t="n"/>
      <c r="D2836" s="17" t="n"/>
      <c r="E2836" s="17" t="n"/>
      <c r="F2836" s="28" t="n"/>
      <c r="G2836" s="29" t="n"/>
      <c r="H2836" s="29" t="n"/>
      <c r="I2836" s="29" t="n"/>
      <c r="J2836" s="29" t="n"/>
      <c r="K2836" s="30">
        <f>IF(B2836="","",SUM(G$2:I2836)-SUM(J$2:J2836))</f>
        <v/>
      </c>
      <c r="L2836" s="22">
        <f>IF(B2836="","",IF(B2836=B2835,L2835,N(L2835)+1))</f>
        <v/>
      </c>
    </row>
    <row r="2837">
      <c r="A2837" s="22" t="n"/>
      <c r="B2837" s="27" t="n"/>
      <c r="C2837" s="17" t="n"/>
      <c r="D2837" s="17" t="n"/>
      <c r="E2837" s="17" t="n"/>
      <c r="F2837" s="28" t="n"/>
      <c r="G2837" s="29" t="n"/>
      <c r="H2837" s="29" t="n"/>
      <c r="I2837" s="29" t="n"/>
      <c r="J2837" s="29" t="n"/>
      <c r="K2837" s="30">
        <f>IF(B2837="","",SUM(G$2:I2837)-SUM(J$2:J2837))</f>
        <v/>
      </c>
      <c r="L2837" s="22">
        <f>IF(B2837="","",IF(B2837=B2836,L2836,N(L2836)+1))</f>
        <v/>
      </c>
    </row>
    <row r="2838">
      <c r="A2838" s="22" t="n"/>
      <c r="B2838" s="27" t="n"/>
      <c r="C2838" s="17" t="n"/>
      <c r="D2838" s="17" t="n"/>
      <c r="E2838" s="17" t="n"/>
      <c r="F2838" s="28" t="n"/>
      <c r="G2838" s="29" t="n"/>
      <c r="H2838" s="29" t="n"/>
      <c r="I2838" s="29" t="n"/>
      <c r="J2838" s="29" t="n"/>
      <c r="K2838" s="30">
        <f>IF(B2838="","",SUM(G$2:I2838)-SUM(J$2:J2838))</f>
        <v/>
      </c>
      <c r="L2838" s="22">
        <f>IF(B2838="","",IF(B2838=B2837,L2837,N(L2837)+1))</f>
        <v/>
      </c>
    </row>
    <row r="2839">
      <c r="A2839" s="22" t="n"/>
      <c r="B2839" s="27" t="n"/>
      <c r="C2839" s="17" t="n"/>
      <c r="D2839" s="17" t="n"/>
      <c r="E2839" s="17" t="n"/>
      <c r="F2839" s="28" t="n"/>
      <c r="G2839" s="29" t="n"/>
      <c r="H2839" s="29" t="n"/>
      <c r="I2839" s="29" t="n"/>
      <c r="J2839" s="29" t="n"/>
      <c r="K2839" s="30">
        <f>IF(B2839="","",SUM(G$2:I2839)-SUM(J$2:J2839))</f>
        <v/>
      </c>
      <c r="L2839" s="22">
        <f>IF(B2839="","",IF(B2839=B2838,L2838,N(L2838)+1))</f>
        <v/>
      </c>
    </row>
    <row r="2840">
      <c r="A2840" s="22" t="n"/>
      <c r="B2840" s="27" t="n"/>
      <c r="C2840" s="17" t="n"/>
      <c r="D2840" s="17" t="n"/>
      <c r="E2840" s="17" t="n"/>
      <c r="F2840" s="28" t="n"/>
      <c r="G2840" s="29" t="n"/>
      <c r="H2840" s="29" t="n"/>
      <c r="I2840" s="29" t="n"/>
      <c r="J2840" s="29" t="n"/>
      <c r="K2840" s="30">
        <f>IF(B2840="","",SUM(G$2:I2840)-SUM(J$2:J2840))</f>
        <v/>
      </c>
      <c r="L2840" s="22">
        <f>IF(B2840="","",IF(B2840=B2839,L2839,N(L2839)+1))</f>
        <v/>
      </c>
    </row>
    <row r="2841">
      <c r="A2841" s="22" t="n"/>
      <c r="B2841" s="27" t="n"/>
      <c r="C2841" s="17" t="n"/>
      <c r="D2841" s="17" t="n"/>
      <c r="E2841" s="17" t="n"/>
      <c r="F2841" s="28" t="n"/>
      <c r="G2841" s="29" t="n"/>
      <c r="H2841" s="29" t="n"/>
      <c r="I2841" s="29" t="n"/>
      <c r="J2841" s="29" t="n"/>
      <c r="K2841" s="30">
        <f>IF(B2841="","",SUM(G$2:I2841)-SUM(J$2:J2841))</f>
        <v/>
      </c>
      <c r="L2841" s="22">
        <f>IF(B2841="","",IF(B2841=B2840,L2840,N(L2840)+1))</f>
        <v/>
      </c>
    </row>
    <row r="2842">
      <c r="A2842" s="22" t="n"/>
      <c r="B2842" s="27" t="n"/>
      <c r="C2842" s="17" t="n"/>
      <c r="D2842" s="17" t="n"/>
      <c r="E2842" s="17" t="n"/>
      <c r="F2842" s="28" t="n"/>
      <c r="G2842" s="29" t="n"/>
      <c r="H2842" s="29" t="n"/>
      <c r="I2842" s="29" t="n"/>
      <c r="J2842" s="29" t="n"/>
      <c r="K2842" s="30">
        <f>IF(B2842="","",SUM(G$2:I2842)-SUM(J$2:J2842))</f>
        <v/>
      </c>
      <c r="L2842" s="22">
        <f>IF(B2842="","",IF(B2842=B2841,L2841,N(L2841)+1))</f>
        <v/>
      </c>
    </row>
    <row r="2843">
      <c r="A2843" s="22" t="n"/>
      <c r="B2843" s="27" t="n"/>
      <c r="C2843" s="17" t="n"/>
      <c r="D2843" s="17" t="n"/>
      <c r="E2843" s="17" t="n"/>
      <c r="F2843" s="28" t="n"/>
      <c r="G2843" s="29" t="n"/>
      <c r="H2843" s="29" t="n"/>
      <c r="I2843" s="29" t="n"/>
      <c r="J2843" s="29" t="n"/>
      <c r="K2843" s="30">
        <f>IF(B2843="","",SUM(G$2:I2843)-SUM(J$2:J2843))</f>
        <v/>
      </c>
      <c r="L2843" s="22">
        <f>IF(B2843="","",IF(B2843=B2842,L2842,N(L2842)+1))</f>
        <v/>
      </c>
    </row>
    <row r="2844">
      <c r="A2844" s="22" t="n"/>
      <c r="B2844" s="27" t="n"/>
      <c r="C2844" s="17" t="n"/>
      <c r="D2844" s="17" t="n"/>
      <c r="E2844" s="17" t="n"/>
      <c r="F2844" s="28" t="n"/>
      <c r="G2844" s="29" t="n"/>
      <c r="H2844" s="29" t="n"/>
      <c r="I2844" s="29" t="n"/>
      <c r="J2844" s="29" t="n"/>
      <c r="K2844" s="30">
        <f>IF(B2844="","",SUM(G$2:I2844)-SUM(J$2:J2844))</f>
        <v/>
      </c>
      <c r="L2844" s="22">
        <f>IF(B2844="","",IF(B2844=B2843,L2843,N(L2843)+1))</f>
        <v/>
      </c>
    </row>
    <row r="2845">
      <c r="A2845" s="22" t="n"/>
      <c r="B2845" s="27" t="n"/>
      <c r="C2845" s="17" t="n"/>
      <c r="D2845" s="17" t="n"/>
      <c r="E2845" s="17" t="n"/>
      <c r="F2845" s="28" t="n"/>
      <c r="G2845" s="29" t="n"/>
      <c r="H2845" s="29" t="n"/>
      <c r="I2845" s="29" t="n"/>
      <c r="J2845" s="29" t="n"/>
      <c r="K2845" s="30">
        <f>IF(B2845="","",SUM(G$2:I2845)-SUM(J$2:J2845))</f>
        <v/>
      </c>
      <c r="L2845" s="22">
        <f>IF(B2845="","",IF(B2845=B2844,L2844,N(L2844)+1))</f>
        <v/>
      </c>
    </row>
    <row r="2846">
      <c r="A2846" s="22" t="n"/>
      <c r="B2846" s="27" t="n"/>
      <c r="C2846" s="17" t="n"/>
      <c r="D2846" s="17" t="n"/>
      <c r="E2846" s="17" t="n"/>
      <c r="F2846" s="28" t="n"/>
      <c r="G2846" s="29" t="n"/>
      <c r="H2846" s="29" t="n"/>
      <c r="I2846" s="29" t="n"/>
      <c r="J2846" s="29" t="n"/>
      <c r="K2846" s="30">
        <f>IF(B2846="","",SUM(G$2:I2846)-SUM(J$2:J2846))</f>
        <v/>
      </c>
      <c r="L2846" s="22">
        <f>IF(B2846="","",IF(B2846=B2845,L2845,N(L2845)+1))</f>
        <v/>
      </c>
    </row>
    <row r="2847">
      <c r="A2847" s="22" t="n"/>
      <c r="B2847" s="27" t="n"/>
      <c r="C2847" s="17" t="n"/>
      <c r="D2847" s="17" t="n"/>
      <c r="E2847" s="17" t="n"/>
      <c r="F2847" s="28" t="n"/>
      <c r="G2847" s="29" t="n"/>
      <c r="H2847" s="29" t="n"/>
      <c r="I2847" s="29" t="n"/>
      <c r="J2847" s="29" t="n"/>
      <c r="K2847" s="30">
        <f>IF(B2847="","",SUM(G$2:I2847)-SUM(J$2:J2847))</f>
        <v/>
      </c>
      <c r="L2847" s="22">
        <f>IF(B2847="","",IF(B2847=B2846,L2846,N(L2846)+1))</f>
        <v/>
      </c>
    </row>
    <row r="2848">
      <c r="A2848" s="22" t="n"/>
      <c r="B2848" s="27" t="n"/>
      <c r="C2848" s="17" t="n"/>
      <c r="D2848" s="17" t="n"/>
      <c r="E2848" s="17" t="n"/>
      <c r="F2848" s="28" t="n"/>
      <c r="G2848" s="29" t="n"/>
      <c r="H2848" s="29" t="n"/>
      <c r="I2848" s="29" t="n"/>
      <c r="J2848" s="29" t="n"/>
      <c r="K2848" s="30">
        <f>IF(B2848="","",SUM(G$2:I2848)-SUM(J$2:J2848))</f>
        <v/>
      </c>
      <c r="L2848" s="22">
        <f>IF(B2848="","",IF(B2848=B2847,L2847,N(L2847)+1))</f>
        <v/>
      </c>
    </row>
    <row r="2849">
      <c r="A2849" s="22" t="n"/>
      <c r="B2849" s="27" t="n"/>
      <c r="C2849" s="17" t="n"/>
      <c r="D2849" s="17" t="n"/>
      <c r="E2849" s="17" t="n"/>
      <c r="F2849" s="28" t="n"/>
      <c r="G2849" s="29" t="n"/>
      <c r="H2849" s="29" t="n"/>
      <c r="I2849" s="29" t="n"/>
      <c r="J2849" s="29" t="n"/>
      <c r="K2849" s="30">
        <f>IF(B2849="","",SUM(G$2:I2849)-SUM(J$2:J2849))</f>
        <v/>
      </c>
      <c r="L2849" s="22">
        <f>IF(B2849="","",IF(B2849=B2848,L2848,N(L2848)+1))</f>
        <v/>
      </c>
    </row>
    <row r="2850">
      <c r="A2850" s="22" t="n"/>
      <c r="B2850" s="27" t="n"/>
      <c r="C2850" s="17" t="n"/>
      <c r="D2850" s="17" t="n"/>
      <c r="E2850" s="17" t="n"/>
      <c r="F2850" s="28" t="n"/>
      <c r="G2850" s="29" t="n"/>
      <c r="H2850" s="29" t="n"/>
      <c r="I2850" s="29" t="n"/>
      <c r="J2850" s="29" t="n"/>
      <c r="K2850" s="30">
        <f>IF(B2850="","",SUM(G$2:I2850)-SUM(J$2:J2850))</f>
        <v/>
      </c>
      <c r="L2850" s="22">
        <f>IF(B2850="","",IF(B2850=B2849,L2849,N(L2849)+1))</f>
        <v/>
      </c>
    </row>
    <row r="2851">
      <c r="A2851" s="22" t="n"/>
      <c r="B2851" s="27" t="n"/>
      <c r="C2851" s="17" t="n"/>
      <c r="D2851" s="17" t="n"/>
      <c r="E2851" s="17" t="n"/>
      <c r="F2851" s="28" t="n"/>
      <c r="G2851" s="29" t="n"/>
      <c r="H2851" s="29" t="n"/>
      <c r="I2851" s="29" t="n"/>
      <c r="J2851" s="29" t="n"/>
      <c r="K2851" s="30">
        <f>IF(B2851="","",SUM(G$2:I2851)-SUM(J$2:J2851))</f>
        <v/>
      </c>
      <c r="L2851" s="22">
        <f>IF(B2851="","",IF(B2851=B2850,L2850,N(L2850)+1))</f>
        <v/>
      </c>
    </row>
    <row r="2852">
      <c r="A2852" s="22" t="n"/>
      <c r="B2852" s="27" t="n"/>
      <c r="C2852" s="17" t="n"/>
      <c r="D2852" s="17" t="n"/>
      <c r="E2852" s="17" t="n"/>
      <c r="F2852" s="28" t="n"/>
      <c r="G2852" s="29" t="n"/>
      <c r="H2852" s="29" t="n"/>
      <c r="I2852" s="29" t="n"/>
      <c r="J2852" s="29" t="n"/>
      <c r="K2852" s="30">
        <f>IF(B2852="","",SUM(G$2:I2852)-SUM(J$2:J2852))</f>
        <v/>
      </c>
      <c r="L2852" s="22">
        <f>IF(B2852="","",IF(B2852=B2851,L2851,N(L2851)+1))</f>
        <v/>
      </c>
    </row>
    <row r="2853">
      <c r="A2853" s="22" t="n"/>
      <c r="B2853" s="27" t="n"/>
      <c r="C2853" s="17" t="n"/>
      <c r="D2853" s="17" t="n"/>
      <c r="E2853" s="17" t="n"/>
      <c r="F2853" s="28" t="n"/>
      <c r="G2853" s="29" t="n"/>
      <c r="H2853" s="29" t="n"/>
      <c r="I2853" s="29" t="n"/>
      <c r="J2853" s="29" t="n"/>
      <c r="K2853" s="30">
        <f>IF(B2853="","",SUM(G$2:I2853)-SUM(J$2:J2853))</f>
        <v/>
      </c>
      <c r="L2853" s="22">
        <f>IF(B2853="","",IF(B2853=B2852,L2852,N(L2852)+1))</f>
        <v/>
      </c>
    </row>
    <row r="2854">
      <c r="A2854" s="22" t="n"/>
      <c r="B2854" s="27" t="n"/>
      <c r="C2854" s="17" t="n"/>
      <c r="D2854" s="17" t="n"/>
      <c r="E2854" s="17" t="n"/>
      <c r="F2854" s="28" t="n"/>
      <c r="G2854" s="29" t="n"/>
      <c r="H2854" s="29" t="n"/>
      <c r="I2854" s="29" t="n"/>
      <c r="J2854" s="29" t="n"/>
      <c r="K2854" s="30">
        <f>IF(B2854="","",SUM(G$2:I2854)-SUM(J$2:J2854))</f>
        <v/>
      </c>
      <c r="L2854" s="22">
        <f>IF(B2854="","",IF(B2854=B2853,L2853,N(L2853)+1))</f>
        <v/>
      </c>
    </row>
    <row r="2855">
      <c r="A2855" s="22" t="n"/>
      <c r="B2855" s="27" t="n"/>
      <c r="C2855" s="17" t="n"/>
      <c r="D2855" s="17" t="n"/>
      <c r="E2855" s="17" t="n"/>
      <c r="F2855" s="28" t="n"/>
      <c r="G2855" s="29" t="n"/>
      <c r="H2855" s="29" t="n"/>
      <c r="I2855" s="29" t="n"/>
      <c r="J2855" s="29" t="n"/>
      <c r="K2855" s="30">
        <f>IF(B2855="","",SUM(G$2:I2855)-SUM(J$2:J2855))</f>
        <v/>
      </c>
      <c r="L2855" s="22">
        <f>IF(B2855="","",IF(B2855=B2854,L2854,N(L2854)+1))</f>
        <v/>
      </c>
    </row>
    <row r="2856">
      <c r="A2856" s="22" t="n"/>
      <c r="B2856" s="27" t="n"/>
      <c r="C2856" s="17" t="n"/>
      <c r="D2856" s="17" t="n"/>
      <c r="E2856" s="17" t="n"/>
      <c r="F2856" s="28" t="n"/>
      <c r="G2856" s="29" t="n"/>
      <c r="H2856" s="29" t="n"/>
      <c r="I2856" s="29" t="n"/>
      <c r="J2856" s="29" t="n"/>
      <c r="K2856" s="30">
        <f>IF(B2856="","",SUM(G$2:I2856)-SUM(J$2:J2856))</f>
        <v/>
      </c>
      <c r="L2856" s="22">
        <f>IF(B2856="","",IF(B2856=B2855,L2855,N(L2855)+1))</f>
        <v/>
      </c>
    </row>
    <row r="2857">
      <c r="A2857" s="22" t="n"/>
      <c r="B2857" s="27" t="n"/>
      <c r="C2857" s="17" t="n"/>
      <c r="D2857" s="17" t="n"/>
      <c r="E2857" s="17" t="n"/>
      <c r="F2857" s="28" t="n"/>
      <c r="G2857" s="29" t="n"/>
      <c r="H2857" s="29" t="n"/>
      <c r="I2857" s="29" t="n"/>
      <c r="J2857" s="29" t="n"/>
      <c r="K2857" s="30">
        <f>IF(B2857="","",SUM(G$2:I2857)-SUM(J$2:J2857))</f>
        <v/>
      </c>
      <c r="L2857" s="22">
        <f>IF(B2857="","",IF(B2857=B2856,L2856,N(L2856)+1))</f>
        <v/>
      </c>
    </row>
    <row r="2858">
      <c r="A2858" s="22" t="n"/>
      <c r="B2858" s="27" t="n"/>
      <c r="C2858" s="17" t="n"/>
      <c r="D2858" s="17" t="n"/>
      <c r="E2858" s="17" t="n"/>
      <c r="F2858" s="28" t="n"/>
      <c r="G2858" s="29" t="n"/>
      <c r="H2858" s="29" t="n"/>
      <c r="I2858" s="29" t="n"/>
      <c r="J2858" s="29" t="n"/>
      <c r="K2858" s="30">
        <f>IF(B2858="","",SUM(G$2:I2858)-SUM(J$2:J2858))</f>
        <v/>
      </c>
      <c r="L2858" s="22">
        <f>IF(B2858="","",IF(B2858=B2857,L2857,N(L2857)+1))</f>
        <v/>
      </c>
    </row>
    <row r="2859">
      <c r="A2859" s="22" t="n"/>
      <c r="B2859" s="27" t="n"/>
      <c r="C2859" s="17" t="n"/>
      <c r="D2859" s="17" t="n"/>
      <c r="E2859" s="17" t="n"/>
      <c r="F2859" s="28" t="n"/>
      <c r="G2859" s="29" t="n"/>
      <c r="H2859" s="29" t="n"/>
      <c r="I2859" s="29" t="n"/>
      <c r="J2859" s="29" t="n"/>
      <c r="K2859" s="30">
        <f>IF(B2859="","",SUM(G$2:I2859)-SUM(J$2:J2859))</f>
        <v/>
      </c>
      <c r="L2859" s="22">
        <f>IF(B2859="","",IF(B2859=B2858,L2858,N(L2858)+1))</f>
        <v/>
      </c>
    </row>
    <row r="2860">
      <c r="A2860" s="22" t="n"/>
      <c r="B2860" s="27" t="n"/>
      <c r="C2860" s="17" t="n"/>
      <c r="D2860" s="17" t="n"/>
      <c r="E2860" s="17" t="n"/>
      <c r="F2860" s="28" t="n"/>
      <c r="G2860" s="29" t="n"/>
      <c r="H2860" s="29" t="n"/>
      <c r="I2860" s="29" t="n"/>
      <c r="J2860" s="29" t="n"/>
      <c r="K2860" s="30">
        <f>IF(B2860="","",SUM(G$2:I2860)-SUM(J$2:J2860))</f>
        <v/>
      </c>
      <c r="L2860" s="22">
        <f>IF(B2860="","",IF(B2860=B2859,L2859,N(L2859)+1))</f>
        <v/>
      </c>
    </row>
    <row r="2861">
      <c r="A2861" s="22" t="n"/>
      <c r="B2861" s="27" t="n"/>
      <c r="C2861" s="17" t="n"/>
      <c r="D2861" s="17" t="n"/>
      <c r="E2861" s="17" t="n"/>
      <c r="F2861" s="28" t="n"/>
      <c r="G2861" s="29" t="n"/>
      <c r="H2861" s="29" t="n"/>
      <c r="I2861" s="29" t="n"/>
      <c r="J2861" s="29" t="n"/>
      <c r="K2861" s="30">
        <f>IF(B2861="","",SUM(G$2:I2861)-SUM(J$2:J2861))</f>
        <v/>
      </c>
      <c r="L2861" s="22">
        <f>IF(B2861="","",IF(B2861=B2860,L2860,N(L2860)+1))</f>
        <v/>
      </c>
    </row>
    <row r="2862">
      <c r="A2862" s="22" t="n"/>
      <c r="B2862" s="27" t="n"/>
      <c r="C2862" s="17" t="n"/>
      <c r="D2862" s="17" t="n"/>
      <c r="E2862" s="17" t="n"/>
      <c r="F2862" s="28" t="n"/>
      <c r="G2862" s="29" t="n"/>
      <c r="H2862" s="29" t="n"/>
      <c r="I2862" s="29" t="n"/>
      <c r="J2862" s="29" t="n"/>
      <c r="K2862" s="30">
        <f>IF(B2862="","",SUM(G$2:I2862)-SUM(J$2:J2862))</f>
        <v/>
      </c>
      <c r="L2862" s="22">
        <f>IF(B2862="","",IF(B2862=B2861,L2861,N(L2861)+1))</f>
        <v/>
      </c>
    </row>
    <row r="2863">
      <c r="A2863" s="22" t="n"/>
      <c r="B2863" s="27" t="n"/>
      <c r="C2863" s="17" t="n"/>
      <c r="D2863" s="17" t="n"/>
      <c r="E2863" s="17" t="n"/>
      <c r="F2863" s="28" t="n"/>
      <c r="G2863" s="29" t="n"/>
      <c r="H2863" s="29" t="n"/>
      <c r="I2863" s="29" t="n"/>
      <c r="J2863" s="29" t="n"/>
      <c r="K2863" s="30">
        <f>IF(B2863="","",SUM(G$2:I2863)-SUM(J$2:J2863))</f>
        <v/>
      </c>
      <c r="L2863" s="22">
        <f>IF(B2863="","",IF(B2863=B2862,L2862,N(L2862)+1))</f>
        <v/>
      </c>
    </row>
    <row r="2864">
      <c r="A2864" s="22" t="n"/>
      <c r="B2864" s="27" t="n"/>
      <c r="C2864" s="17" t="n"/>
      <c r="D2864" s="17" t="n"/>
      <c r="E2864" s="17" t="n"/>
      <c r="F2864" s="28" t="n"/>
      <c r="G2864" s="29" t="n"/>
      <c r="H2864" s="29" t="n"/>
      <c r="I2864" s="29" t="n"/>
      <c r="J2864" s="29" t="n"/>
      <c r="K2864" s="30">
        <f>IF(B2864="","",SUM(G$2:I2864)-SUM(J$2:J2864))</f>
        <v/>
      </c>
      <c r="L2864" s="22">
        <f>IF(B2864="","",IF(B2864=B2863,L2863,N(L2863)+1))</f>
        <v/>
      </c>
    </row>
    <row r="2865">
      <c r="A2865" s="22" t="n"/>
      <c r="B2865" s="27" t="n"/>
      <c r="C2865" s="17" t="n"/>
      <c r="D2865" s="17" t="n"/>
      <c r="E2865" s="17" t="n"/>
      <c r="F2865" s="28" t="n"/>
      <c r="G2865" s="29" t="n"/>
      <c r="H2865" s="29" t="n"/>
      <c r="I2865" s="29" t="n"/>
      <c r="J2865" s="29" t="n"/>
      <c r="K2865" s="30">
        <f>IF(B2865="","",SUM(G$2:I2865)-SUM(J$2:J2865))</f>
        <v/>
      </c>
      <c r="L2865" s="22">
        <f>IF(B2865="","",IF(B2865=B2864,L2864,N(L2864)+1))</f>
        <v/>
      </c>
    </row>
    <row r="2866">
      <c r="A2866" s="22" t="n"/>
      <c r="B2866" s="27" t="n"/>
      <c r="C2866" s="17" t="n"/>
      <c r="D2866" s="17" t="n"/>
      <c r="E2866" s="17" t="n"/>
      <c r="F2866" s="28" t="n"/>
      <c r="G2866" s="29" t="n"/>
      <c r="H2866" s="29" t="n"/>
      <c r="I2866" s="29" t="n"/>
      <c r="J2866" s="29" t="n"/>
      <c r="K2866" s="30">
        <f>IF(B2866="","",SUM(G$2:I2866)-SUM(J$2:J2866))</f>
        <v/>
      </c>
      <c r="L2866" s="22">
        <f>IF(B2866="","",IF(B2866=B2865,L2865,N(L2865)+1))</f>
        <v/>
      </c>
    </row>
    <row r="2867">
      <c r="A2867" s="22" t="n"/>
      <c r="B2867" s="27" t="n"/>
      <c r="C2867" s="17" t="n"/>
      <c r="D2867" s="17" t="n"/>
      <c r="E2867" s="17" t="n"/>
      <c r="F2867" s="28" t="n"/>
      <c r="G2867" s="29" t="n"/>
      <c r="H2867" s="29" t="n"/>
      <c r="I2867" s="29" t="n"/>
      <c r="J2867" s="29" t="n"/>
      <c r="K2867" s="30">
        <f>IF(B2867="","",SUM(G$2:I2867)-SUM(J$2:J2867))</f>
        <v/>
      </c>
      <c r="L2867" s="22">
        <f>IF(B2867="","",IF(B2867=B2866,L2866,N(L2866)+1))</f>
        <v/>
      </c>
    </row>
    <row r="2868">
      <c r="A2868" s="22" t="n"/>
      <c r="B2868" s="27" t="n"/>
      <c r="C2868" s="17" t="n"/>
      <c r="D2868" s="17" t="n"/>
      <c r="E2868" s="17" t="n"/>
      <c r="F2868" s="28" t="n"/>
      <c r="G2868" s="29" t="n"/>
      <c r="H2868" s="29" t="n"/>
      <c r="I2868" s="29" t="n"/>
      <c r="J2868" s="29" t="n"/>
      <c r="K2868" s="30">
        <f>IF(B2868="","",SUM(G$2:I2868)-SUM(J$2:J2868))</f>
        <v/>
      </c>
      <c r="L2868" s="22">
        <f>IF(B2868="","",IF(B2868=B2867,L2867,N(L2867)+1))</f>
        <v/>
      </c>
    </row>
    <row r="2869">
      <c r="A2869" s="22" t="n"/>
      <c r="B2869" s="27" t="n"/>
      <c r="C2869" s="17" t="n"/>
      <c r="D2869" s="17" t="n"/>
      <c r="E2869" s="17" t="n"/>
      <c r="F2869" s="28" t="n"/>
      <c r="G2869" s="29" t="n"/>
      <c r="H2869" s="29" t="n"/>
      <c r="I2869" s="29" t="n"/>
      <c r="J2869" s="29" t="n"/>
      <c r="K2869" s="30">
        <f>IF(B2869="","",SUM(G$2:I2869)-SUM(J$2:J2869))</f>
        <v/>
      </c>
      <c r="L2869" s="22">
        <f>IF(B2869="","",IF(B2869=B2868,L2868,N(L2868)+1))</f>
        <v/>
      </c>
    </row>
    <row r="2870">
      <c r="A2870" s="22" t="n"/>
      <c r="B2870" s="27" t="n"/>
      <c r="C2870" s="17" t="n"/>
      <c r="D2870" s="17" t="n"/>
      <c r="E2870" s="17" t="n"/>
      <c r="F2870" s="28" t="n"/>
      <c r="G2870" s="29" t="n"/>
      <c r="H2870" s="29" t="n"/>
      <c r="I2870" s="29" t="n"/>
      <c r="J2870" s="29" t="n"/>
      <c r="K2870" s="30">
        <f>IF(B2870="","",SUM(G$2:I2870)-SUM(J$2:J2870))</f>
        <v/>
      </c>
      <c r="L2870" s="22">
        <f>IF(B2870="","",IF(B2870=B2869,L2869,N(L2869)+1))</f>
        <v/>
      </c>
    </row>
    <row r="2871">
      <c r="A2871" s="22" t="n"/>
      <c r="B2871" s="27" t="n"/>
      <c r="C2871" s="17" t="n"/>
      <c r="D2871" s="17" t="n"/>
      <c r="E2871" s="17" t="n"/>
      <c r="F2871" s="28" t="n"/>
      <c r="G2871" s="29" t="n"/>
      <c r="H2871" s="29" t="n"/>
      <c r="I2871" s="29" t="n"/>
      <c r="J2871" s="29" t="n"/>
      <c r="K2871" s="30">
        <f>IF(B2871="","",SUM(G$2:I2871)-SUM(J$2:J2871))</f>
        <v/>
      </c>
      <c r="L2871" s="22">
        <f>IF(B2871="","",IF(B2871=B2870,L2870,N(L2870)+1))</f>
        <v/>
      </c>
    </row>
    <row r="2872">
      <c r="A2872" s="22" t="n"/>
      <c r="B2872" s="27" t="n"/>
      <c r="C2872" s="17" t="n"/>
      <c r="D2872" s="17" t="n"/>
      <c r="E2872" s="17" t="n"/>
      <c r="F2872" s="28" t="n"/>
      <c r="G2872" s="29" t="n"/>
      <c r="H2872" s="29" t="n"/>
      <c r="I2872" s="29" t="n"/>
      <c r="J2872" s="29" t="n"/>
      <c r="K2872" s="30">
        <f>IF(B2872="","",SUM(G$2:I2872)-SUM(J$2:J2872))</f>
        <v/>
      </c>
      <c r="L2872" s="22">
        <f>IF(B2872="","",IF(B2872=B2871,L2871,N(L2871)+1))</f>
        <v/>
      </c>
    </row>
    <row r="2873">
      <c r="A2873" s="22" t="n"/>
      <c r="B2873" s="27" t="n"/>
      <c r="C2873" s="17" t="n"/>
      <c r="D2873" s="17" t="n"/>
      <c r="E2873" s="17" t="n"/>
      <c r="F2873" s="28" t="n"/>
      <c r="G2873" s="29" t="n"/>
      <c r="H2873" s="29" t="n"/>
      <c r="I2873" s="29" t="n"/>
      <c r="J2873" s="29" t="n"/>
      <c r="K2873" s="30">
        <f>IF(B2873="","",SUM(G$2:I2873)-SUM(J$2:J2873))</f>
        <v/>
      </c>
      <c r="L2873" s="22">
        <f>IF(B2873="","",IF(B2873=B2872,L2872,N(L2872)+1))</f>
        <v/>
      </c>
    </row>
    <row r="2874">
      <c r="A2874" s="22" t="n"/>
      <c r="B2874" s="27" t="n"/>
      <c r="C2874" s="17" t="n"/>
      <c r="D2874" s="17" t="n"/>
      <c r="E2874" s="17" t="n"/>
      <c r="F2874" s="28" t="n"/>
      <c r="G2874" s="29" t="n"/>
      <c r="H2874" s="29" t="n"/>
      <c r="I2874" s="29" t="n"/>
      <c r="J2874" s="29" t="n"/>
      <c r="K2874" s="30">
        <f>IF(B2874="","",SUM(G$2:I2874)-SUM(J$2:J2874))</f>
        <v/>
      </c>
      <c r="L2874" s="22">
        <f>IF(B2874="","",IF(B2874=B2873,L2873,N(L2873)+1))</f>
        <v/>
      </c>
    </row>
    <row r="2875">
      <c r="A2875" s="22" t="n"/>
      <c r="B2875" s="27" t="n"/>
      <c r="C2875" s="17" t="n"/>
      <c r="D2875" s="17" t="n"/>
      <c r="E2875" s="17" t="n"/>
      <c r="F2875" s="28" t="n"/>
      <c r="G2875" s="29" t="n"/>
      <c r="H2875" s="29" t="n"/>
      <c r="I2875" s="29" t="n"/>
      <c r="J2875" s="29" t="n"/>
      <c r="K2875" s="30">
        <f>IF(B2875="","",SUM(G$2:I2875)-SUM(J$2:J2875))</f>
        <v/>
      </c>
      <c r="L2875" s="22">
        <f>IF(B2875="","",IF(B2875=B2874,L2874,N(L2874)+1))</f>
        <v/>
      </c>
    </row>
    <row r="2876">
      <c r="A2876" s="22" t="n"/>
      <c r="B2876" s="27" t="n"/>
      <c r="C2876" s="17" t="n"/>
      <c r="D2876" s="17" t="n"/>
      <c r="E2876" s="17" t="n"/>
      <c r="F2876" s="28" t="n"/>
      <c r="G2876" s="29" t="n"/>
      <c r="H2876" s="29" t="n"/>
      <c r="I2876" s="29" t="n"/>
      <c r="J2876" s="29" t="n"/>
      <c r="K2876" s="30">
        <f>IF(B2876="","",SUM(G$2:I2876)-SUM(J$2:J2876))</f>
        <v/>
      </c>
      <c r="L2876" s="22">
        <f>IF(B2876="","",IF(B2876=B2875,L2875,N(L2875)+1))</f>
        <v/>
      </c>
    </row>
    <row r="2877">
      <c r="A2877" s="22" t="n"/>
      <c r="B2877" s="27" t="n"/>
      <c r="C2877" s="17" t="n"/>
      <c r="D2877" s="17" t="n"/>
      <c r="E2877" s="17" t="n"/>
      <c r="F2877" s="28" t="n"/>
      <c r="G2877" s="29" t="n"/>
      <c r="H2877" s="29" t="n"/>
      <c r="I2877" s="29" t="n"/>
      <c r="J2877" s="29" t="n"/>
      <c r="K2877" s="30">
        <f>IF(B2877="","",SUM(G$2:I2877)-SUM(J$2:J2877))</f>
        <v/>
      </c>
      <c r="L2877" s="22">
        <f>IF(B2877="","",IF(B2877=B2876,L2876,N(L2876)+1))</f>
        <v/>
      </c>
    </row>
    <row r="2878">
      <c r="A2878" s="22" t="n"/>
      <c r="B2878" s="27" t="n"/>
      <c r="C2878" s="17" t="n"/>
      <c r="D2878" s="17" t="n"/>
      <c r="E2878" s="17" t="n"/>
      <c r="F2878" s="28" t="n"/>
      <c r="G2878" s="29" t="n"/>
      <c r="H2878" s="29" t="n"/>
      <c r="I2878" s="29" t="n"/>
      <c r="J2878" s="29" t="n"/>
      <c r="K2878" s="30">
        <f>IF(B2878="","",SUM(G$2:I2878)-SUM(J$2:J2878))</f>
        <v/>
      </c>
      <c r="L2878" s="22">
        <f>IF(B2878="","",IF(B2878=B2877,L2877,N(L2877)+1))</f>
        <v/>
      </c>
    </row>
    <row r="2879">
      <c r="A2879" s="22" t="n"/>
      <c r="B2879" s="27" t="n"/>
      <c r="C2879" s="17" t="n"/>
      <c r="D2879" s="17" t="n"/>
      <c r="E2879" s="17" t="n"/>
      <c r="F2879" s="28" t="n"/>
      <c r="G2879" s="29" t="n"/>
      <c r="H2879" s="29" t="n"/>
      <c r="I2879" s="29" t="n"/>
      <c r="J2879" s="29" t="n"/>
      <c r="K2879" s="30">
        <f>IF(B2879="","",SUM(G$2:I2879)-SUM(J$2:J2879))</f>
        <v/>
      </c>
      <c r="L2879" s="22">
        <f>IF(B2879="","",IF(B2879=B2878,L2878,N(L2878)+1))</f>
        <v/>
      </c>
    </row>
    <row r="2880">
      <c r="A2880" s="22" t="n"/>
      <c r="B2880" s="27" t="n"/>
      <c r="C2880" s="17" t="n"/>
      <c r="D2880" s="17" t="n"/>
      <c r="E2880" s="17" t="n"/>
      <c r="F2880" s="28" t="n"/>
      <c r="G2880" s="29" t="n"/>
      <c r="H2880" s="29" t="n"/>
      <c r="I2880" s="29" t="n"/>
      <c r="J2880" s="29" t="n"/>
      <c r="K2880" s="30">
        <f>IF(B2880="","",SUM(G$2:I2880)-SUM(J$2:J2880))</f>
        <v/>
      </c>
      <c r="L2880" s="22">
        <f>IF(B2880="","",IF(B2880=B2879,L2879,N(L2879)+1))</f>
        <v/>
      </c>
    </row>
    <row r="2881">
      <c r="A2881" s="22" t="n"/>
      <c r="B2881" s="27" t="n"/>
      <c r="C2881" s="17" t="n"/>
      <c r="D2881" s="17" t="n"/>
      <c r="E2881" s="17" t="n"/>
      <c r="F2881" s="28" t="n"/>
      <c r="G2881" s="29" t="n"/>
      <c r="H2881" s="29" t="n"/>
      <c r="I2881" s="29" t="n"/>
      <c r="J2881" s="29" t="n"/>
      <c r="K2881" s="30">
        <f>IF(B2881="","",SUM(G$2:I2881)-SUM(J$2:J2881))</f>
        <v/>
      </c>
      <c r="L2881" s="22">
        <f>IF(B2881="","",IF(B2881=B2880,L2880,N(L2880)+1))</f>
        <v/>
      </c>
    </row>
    <row r="2882">
      <c r="A2882" s="22" t="n"/>
      <c r="B2882" s="27" t="n"/>
      <c r="C2882" s="17" t="n"/>
      <c r="D2882" s="17" t="n"/>
      <c r="E2882" s="17" t="n"/>
      <c r="F2882" s="28" t="n"/>
      <c r="G2882" s="29" t="n"/>
      <c r="H2882" s="29" t="n"/>
      <c r="I2882" s="29" t="n"/>
      <c r="J2882" s="29" t="n"/>
      <c r="K2882" s="30">
        <f>IF(B2882="","",SUM(G$2:I2882)-SUM(J$2:J2882))</f>
        <v/>
      </c>
      <c r="L2882" s="22">
        <f>IF(B2882="","",IF(B2882=B2881,L2881,N(L2881)+1))</f>
        <v/>
      </c>
    </row>
    <row r="2883">
      <c r="A2883" s="22" t="n"/>
      <c r="B2883" s="27" t="n"/>
      <c r="C2883" s="17" t="n"/>
      <c r="D2883" s="17" t="n"/>
      <c r="E2883" s="17" t="n"/>
      <c r="F2883" s="28" t="n"/>
      <c r="G2883" s="29" t="n"/>
      <c r="H2883" s="29" t="n"/>
      <c r="I2883" s="29" t="n"/>
      <c r="J2883" s="29" t="n"/>
      <c r="K2883" s="30">
        <f>IF(B2883="","",SUM(G$2:I2883)-SUM(J$2:J2883))</f>
        <v/>
      </c>
      <c r="L2883" s="22">
        <f>IF(B2883="","",IF(B2883=B2882,L2882,N(L2882)+1))</f>
        <v/>
      </c>
    </row>
    <row r="2884">
      <c r="A2884" s="22" t="n"/>
      <c r="B2884" s="27" t="n"/>
      <c r="C2884" s="17" t="n"/>
      <c r="D2884" s="17" t="n"/>
      <c r="E2884" s="17" t="n"/>
      <c r="F2884" s="28" t="n"/>
      <c r="G2884" s="29" t="n"/>
      <c r="H2884" s="29" t="n"/>
      <c r="I2884" s="29" t="n"/>
      <c r="J2884" s="29" t="n"/>
      <c r="K2884" s="30">
        <f>IF(B2884="","",SUM(G$2:I2884)-SUM(J$2:J2884))</f>
        <v/>
      </c>
      <c r="L2884" s="22">
        <f>IF(B2884="","",IF(B2884=B2883,L2883,N(L2883)+1))</f>
        <v/>
      </c>
    </row>
    <row r="2885">
      <c r="A2885" s="22" t="n"/>
      <c r="B2885" s="27" t="n"/>
      <c r="C2885" s="17" t="n"/>
      <c r="D2885" s="17" t="n"/>
      <c r="E2885" s="17" t="n"/>
      <c r="F2885" s="28" t="n"/>
      <c r="G2885" s="29" t="n"/>
      <c r="H2885" s="29" t="n"/>
      <c r="I2885" s="29" t="n"/>
      <c r="J2885" s="29" t="n"/>
      <c r="K2885" s="30">
        <f>IF(B2885="","",SUM(G$2:I2885)-SUM(J$2:J2885))</f>
        <v/>
      </c>
      <c r="L2885" s="22">
        <f>IF(B2885="","",IF(B2885=B2884,L2884,N(L2884)+1))</f>
        <v/>
      </c>
    </row>
    <row r="2886">
      <c r="A2886" s="22" t="n"/>
      <c r="B2886" s="27" t="n"/>
      <c r="C2886" s="17" t="n"/>
      <c r="D2886" s="17" t="n"/>
      <c r="E2886" s="17" t="n"/>
      <c r="F2886" s="28" t="n"/>
      <c r="G2886" s="29" t="n"/>
      <c r="H2886" s="29" t="n"/>
      <c r="I2886" s="29" t="n"/>
      <c r="J2886" s="29" t="n"/>
      <c r="K2886" s="30">
        <f>IF(B2886="","",SUM(G$2:I2886)-SUM(J$2:J2886))</f>
        <v/>
      </c>
      <c r="L2886" s="22">
        <f>IF(B2886="","",IF(B2886=B2885,L2885,N(L2885)+1))</f>
        <v/>
      </c>
    </row>
    <row r="2887">
      <c r="A2887" s="22" t="n"/>
      <c r="B2887" s="27" t="n"/>
      <c r="C2887" s="17" t="n"/>
      <c r="D2887" s="17" t="n"/>
      <c r="E2887" s="17" t="n"/>
      <c r="F2887" s="28" t="n"/>
      <c r="G2887" s="29" t="n"/>
      <c r="H2887" s="29" t="n"/>
      <c r="I2887" s="29" t="n"/>
      <c r="J2887" s="29" t="n"/>
      <c r="K2887" s="30">
        <f>IF(B2887="","",SUM(G$2:I2887)-SUM(J$2:J2887))</f>
        <v/>
      </c>
      <c r="L2887" s="22">
        <f>IF(B2887="","",IF(B2887=B2886,L2886,N(L2886)+1))</f>
        <v/>
      </c>
    </row>
    <row r="2888">
      <c r="A2888" s="22" t="n"/>
      <c r="B2888" s="27" t="n"/>
      <c r="C2888" s="17" t="n"/>
      <c r="D2888" s="17" t="n"/>
      <c r="E2888" s="17" t="n"/>
      <c r="F2888" s="28" t="n"/>
      <c r="G2888" s="29" t="n"/>
      <c r="H2888" s="29" t="n"/>
      <c r="I2888" s="29" t="n"/>
      <c r="J2888" s="29" t="n"/>
      <c r="K2888" s="30">
        <f>IF(B2888="","",SUM(G$2:I2888)-SUM(J$2:J2888))</f>
        <v/>
      </c>
      <c r="L2888" s="22">
        <f>IF(B2888="","",IF(B2888=B2887,L2887,N(L2887)+1))</f>
        <v/>
      </c>
    </row>
    <row r="2889">
      <c r="A2889" s="22" t="n"/>
      <c r="B2889" s="27" t="n"/>
      <c r="C2889" s="17" t="n"/>
      <c r="D2889" s="17" t="n"/>
      <c r="E2889" s="17" t="n"/>
      <c r="F2889" s="28" t="n"/>
      <c r="G2889" s="29" t="n"/>
      <c r="H2889" s="29" t="n"/>
      <c r="I2889" s="29" t="n"/>
      <c r="J2889" s="29" t="n"/>
      <c r="K2889" s="30">
        <f>IF(B2889="","",SUM(G$2:I2889)-SUM(J$2:J2889))</f>
        <v/>
      </c>
      <c r="L2889" s="22">
        <f>IF(B2889="","",IF(B2889=B2888,L2888,N(L2888)+1))</f>
        <v/>
      </c>
    </row>
    <row r="2890">
      <c r="A2890" s="22" t="n"/>
      <c r="B2890" s="27" t="n"/>
      <c r="C2890" s="17" t="n"/>
      <c r="D2890" s="17" t="n"/>
      <c r="E2890" s="17" t="n"/>
      <c r="F2890" s="28" t="n"/>
      <c r="G2890" s="29" t="n"/>
      <c r="H2890" s="29" t="n"/>
      <c r="I2890" s="29" t="n"/>
      <c r="J2890" s="29" t="n"/>
      <c r="K2890" s="30">
        <f>IF(B2890="","",SUM(G$2:I2890)-SUM(J$2:J2890))</f>
        <v/>
      </c>
      <c r="L2890" s="22">
        <f>IF(B2890="","",IF(B2890=B2889,L2889,N(L2889)+1))</f>
        <v/>
      </c>
    </row>
    <row r="2891">
      <c r="A2891" s="22" t="n"/>
      <c r="B2891" s="27" t="n"/>
      <c r="C2891" s="17" t="n"/>
      <c r="D2891" s="17" t="n"/>
      <c r="E2891" s="17" t="n"/>
      <c r="F2891" s="28" t="n"/>
      <c r="G2891" s="29" t="n"/>
      <c r="H2891" s="29" t="n"/>
      <c r="I2891" s="29" t="n"/>
      <c r="J2891" s="29" t="n"/>
      <c r="K2891" s="30">
        <f>IF(B2891="","",SUM(G$2:I2891)-SUM(J$2:J2891))</f>
        <v/>
      </c>
      <c r="L2891" s="22">
        <f>IF(B2891="","",IF(B2891=B2890,L2890,N(L2890)+1))</f>
        <v/>
      </c>
    </row>
    <row r="2892">
      <c r="A2892" s="22" t="n"/>
      <c r="B2892" s="27" t="n"/>
      <c r="C2892" s="17" t="n"/>
      <c r="D2892" s="17" t="n"/>
      <c r="E2892" s="17" t="n"/>
      <c r="F2892" s="28" t="n"/>
      <c r="G2892" s="29" t="n"/>
      <c r="H2892" s="29" t="n"/>
      <c r="I2892" s="29" t="n"/>
      <c r="J2892" s="29" t="n"/>
      <c r="K2892" s="30">
        <f>IF(B2892="","",SUM(G$2:I2892)-SUM(J$2:J2892))</f>
        <v/>
      </c>
      <c r="L2892" s="22">
        <f>IF(B2892="","",IF(B2892=B2891,L2891,N(L2891)+1))</f>
        <v/>
      </c>
    </row>
    <row r="2893">
      <c r="A2893" s="22" t="n"/>
      <c r="B2893" s="27" t="n"/>
      <c r="C2893" s="17" t="n"/>
      <c r="D2893" s="17" t="n"/>
      <c r="E2893" s="17" t="n"/>
      <c r="F2893" s="28" t="n"/>
      <c r="G2893" s="29" t="n"/>
      <c r="H2893" s="29" t="n"/>
      <c r="I2893" s="29" t="n"/>
      <c r="J2893" s="29" t="n"/>
      <c r="K2893" s="30">
        <f>IF(B2893="","",SUM(G$2:I2893)-SUM(J$2:J2893))</f>
        <v/>
      </c>
      <c r="L2893" s="22">
        <f>IF(B2893="","",IF(B2893=B2892,L2892,N(L2892)+1))</f>
        <v/>
      </c>
    </row>
    <row r="2894">
      <c r="A2894" s="22" t="n"/>
      <c r="B2894" s="27" t="n"/>
      <c r="C2894" s="17" t="n"/>
      <c r="D2894" s="17" t="n"/>
      <c r="E2894" s="17" t="n"/>
      <c r="F2894" s="28" t="n"/>
      <c r="G2894" s="29" t="n"/>
      <c r="H2894" s="29" t="n"/>
      <c r="I2894" s="29" t="n"/>
      <c r="J2894" s="29" t="n"/>
      <c r="K2894" s="30">
        <f>IF(B2894="","",SUM(G$2:I2894)-SUM(J$2:J2894))</f>
        <v/>
      </c>
      <c r="L2894" s="22">
        <f>IF(B2894="","",IF(B2894=B2893,L2893,N(L2893)+1))</f>
        <v/>
      </c>
    </row>
    <row r="2895">
      <c r="A2895" s="22" t="n"/>
      <c r="B2895" s="27" t="n"/>
      <c r="C2895" s="17" t="n"/>
      <c r="D2895" s="17" t="n"/>
      <c r="E2895" s="17" t="n"/>
      <c r="F2895" s="28" t="n"/>
      <c r="G2895" s="29" t="n"/>
      <c r="H2895" s="29" t="n"/>
      <c r="I2895" s="29" t="n"/>
      <c r="J2895" s="29" t="n"/>
      <c r="K2895" s="30">
        <f>IF(B2895="","",SUM(G$2:I2895)-SUM(J$2:J2895))</f>
        <v/>
      </c>
      <c r="L2895" s="22">
        <f>IF(B2895="","",IF(B2895=B2894,L2894,N(L2894)+1))</f>
        <v/>
      </c>
    </row>
    <row r="2896">
      <c r="A2896" s="22" t="n"/>
      <c r="B2896" s="27" t="n"/>
      <c r="C2896" s="17" t="n"/>
      <c r="D2896" s="17" t="n"/>
      <c r="E2896" s="17" t="n"/>
      <c r="F2896" s="28" t="n"/>
      <c r="G2896" s="29" t="n"/>
      <c r="H2896" s="29" t="n"/>
      <c r="I2896" s="29" t="n"/>
      <c r="J2896" s="29" t="n"/>
      <c r="K2896" s="30">
        <f>IF(B2896="","",SUM(G$2:I2896)-SUM(J$2:J2896))</f>
        <v/>
      </c>
      <c r="L2896" s="22">
        <f>IF(B2896="","",IF(B2896=B2895,L2895,N(L2895)+1))</f>
        <v/>
      </c>
    </row>
    <row r="2897">
      <c r="A2897" s="22" t="n"/>
      <c r="B2897" s="27" t="n"/>
      <c r="C2897" s="17" t="n"/>
      <c r="D2897" s="17" t="n"/>
      <c r="E2897" s="17" t="n"/>
      <c r="F2897" s="28" t="n"/>
      <c r="G2897" s="29" t="n"/>
      <c r="H2897" s="29" t="n"/>
      <c r="I2897" s="29" t="n"/>
      <c r="J2897" s="29" t="n"/>
      <c r="K2897" s="30">
        <f>IF(B2897="","",SUM(G$2:I2897)-SUM(J$2:J2897))</f>
        <v/>
      </c>
      <c r="L2897" s="22">
        <f>IF(B2897="","",IF(B2897=B2896,L2896,N(L2896)+1))</f>
        <v/>
      </c>
    </row>
    <row r="2898">
      <c r="A2898" s="22" t="n"/>
      <c r="B2898" s="27" t="n"/>
      <c r="C2898" s="17" t="n"/>
      <c r="D2898" s="17" t="n"/>
      <c r="E2898" s="17" t="n"/>
      <c r="F2898" s="28" t="n"/>
      <c r="G2898" s="29" t="n"/>
      <c r="H2898" s="29" t="n"/>
      <c r="I2898" s="29" t="n"/>
      <c r="J2898" s="29" t="n"/>
      <c r="K2898" s="30">
        <f>IF(B2898="","",SUM(G$2:I2898)-SUM(J$2:J2898))</f>
        <v/>
      </c>
      <c r="L2898" s="22">
        <f>IF(B2898="","",IF(B2898=B2897,L2897,N(L2897)+1))</f>
        <v/>
      </c>
    </row>
    <row r="2899">
      <c r="A2899" s="22" t="n"/>
      <c r="B2899" s="27" t="n"/>
      <c r="C2899" s="17" t="n"/>
      <c r="D2899" s="17" t="n"/>
      <c r="E2899" s="17" t="n"/>
      <c r="F2899" s="28" t="n"/>
      <c r="G2899" s="29" t="n"/>
      <c r="H2899" s="29" t="n"/>
      <c r="I2899" s="29" t="n"/>
      <c r="J2899" s="29" t="n"/>
      <c r="K2899" s="30">
        <f>IF(B2899="","",SUM(G$2:I2899)-SUM(J$2:J2899))</f>
        <v/>
      </c>
      <c r="L2899" s="22">
        <f>IF(B2899="","",IF(B2899=B2898,L2898,N(L2898)+1))</f>
        <v/>
      </c>
    </row>
    <row r="2900">
      <c r="A2900" s="22" t="n"/>
      <c r="B2900" s="27" t="n"/>
      <c r="C2900" s="17" t="n"/>
      <c r="D2900" s="17" t="n"/>
      <c r="E2900" s="17" t="n"/>
      <c r="F2900" s="28" t="n"/>
      <c r="G2900" s="29" t="n"/>
      <c r="H2900" s="29" t="n"/>
      <c r="I2900" s="29" t="n"/>
      <c r="J2900" s="29" t="n"/>
      <c r="K2900" s="30">
        <f>IF(B2900="","",SUM(G$2:I2900)-SUM(J$2:J2900))</f>
        <v/>
      </c>
      <c r="L2900" s="22">
        <f>IF(B2900="","",IF(B2900=B2899,L2899,N(L2899)+1))</f>
        <v/>
      </c>
    </row>
    <row r="2901">
      <c r="A2901" s="22" t="n"/>
      <c r="B2901" s="27" t="n"/>
      <c r="C2901" s="17" t="n"/>
      <c r="D2901" s="17" t="n"/>
      <c r="E2901" s="17" t="n"/>
      <c r="F2901" s="28" t="n"/>
      <c r="G2901" s="29" t="n"/>
      <c r="H2901" s="29" t="n"/>
      <c r="I2901" s="29" t="n"/>
      <c r="J2901" s="29" t="n"/>
      <c r="K2901" s="30">
        <f>IF(B2901="","",SUM(G$2:I2901)-SUM(J$2:J2901))</f>
        <v/>
      </c>
      <c r="L2901" s="22">
        <f>IF(B2901="","",IF(B2901=B2900,L2900,N(L2900)+1))</f>
        <v/>
      </c>
    </row>
    <row r="2902">
      <c r="A2902" s="22" t="n"/>
      <c r="B2902" s="27" t="n"/>
      <c r="C2902" s="17" t="n"/>
      <c r="D2902" s="17" t="n"/>
      <c r="E2902" s="17" t="n"/>
      <c r="F2902" s="28" t="n"/>
      <c r="G2902" s="29" t="n"/>
      <c r="H2902" s="29" t="n"/>
      <c r="I2902" s="29" t="n"/>
      <c r="J2902" s="29" t="n"/>
      <c r="K2902" s="30">
        <f>IF(B2902="","",SUM(G$2:I2902)-SUM(J$2:J2902))</f>
        <v/>
      </c>
      <c r="L2902" s="22">
        <f>IF(B2902="","",IF(B2902=B2901,L2901,N(L2901)+1))</f>
        <v/>
      </c>
    </row>
    <row r="2903">
      <c r="A2903" s="22" t="n"/>
      <c r="B2903" s="27" t="n"/>
      <c r="C2903" s="17" t="n"/>
      <c r="D2903" s="17" t="n"/>
      <c r="E2903" s="17" t="n"/>
      <c r="F2903" s="28" t="n"/>
      <c r="G2903" s="29" t="n"/>
      <c r="H2903" s="29" t="n"/>
      <c r="I2903" s="29" t="n"/>
      <c r="J2903" s="29" t="n"/>
      <c r="K2903" s="30">
        <f>IF(B2903="","",SUM(G$2:I2903)-SUM(J$2:J2903))</f>
        <v/>
      </c>
      <c r="L2903" s="22">
        <f>IF(B2903="","",IF(B2903=B2902,L2902,N(L2902)+1))</f>
        <v/>
      </c>
    </row>
    <row r="2904">
      <c r="A2904" s="22" t="n"/>
      <c r="B2904" s="27" t="n"/>
      <c r="C2904" s="17" t="n"/>
      <c r="D2904" s="17" t="n"/>
      <c r="E2904" s="17" t="n"/>
      <c r="F2904" s="28" t="n"/>
      <c r="G2904" s="29" t="n"/>
      <c r="H2904" s="29" t="n"/>
      <c r="I2904" s="29" t="n"/>
      <c r="J2904" s="29" t="n"/>
      <c r="K2904" s="30">
        <f>IF(B2904="","",SUM(G$2:I2904)-SUM(J$2:J2904))</f>
        <v/>
      </c>
      <c r="L2904" s="22">
        <f>IF(B2904="","",IF(B2904=B2903,L2903,N(L2903)+1))</f>
        <v/>
      </c>
    </row>
    <row r="2905">
      <c r="A2905" s="22" t="n"/>
      <c r="B2905" s="27" t="n"/>
      <c r="C2905" s="17" t="n"/>
      <c r="D2905" s="17" t="n"/>
      <c r="E2905" s="17" t="n"/>
      <c r="F2905" s="28" t="n"/>
      <c r="G2905" s="29" t="n"/>
      <c r="H2905" s="29" t="n"/>
      <c r="I2905" s="29" t="n"/>
      <c r="J2905" s="29" t="n"/>
      <c r="K2905" s="30">
        <f>IF(B2905="","",SUM(G$2:I2905)-SUM(J$2:J2905))</f>
        <v/>
      </c>
      <c r="L2905" s="22">
        <f>IF(B2905="","",IF(B2905=B2904,L2904,N(L2904)+1))</f>
        <v/>
      </c>
    </row>
    <row r="2906">
      <c r="A2906" s="22" t="n"/>
      <c r="B2906" s="27" t="n"/>
      <c r="C2906" s="17" t="n"/>
      <c r="D2906" s="17" t="n"/>
      <c r="E2906" s="17" t="n"/>
      <c r="F2906" s="28" t="n"/>
      <c r="G2906" s="29" t="n"/>
      <c r="H2906" s="29" t="n"/>
      <c r="I2906" s="29" t="n"/>
      <c r="J2906" s="29" t="n"/>
      <c r="K2906" s="30">
        <f>IF(B2906="","",SUM(G$2:I2906)-SUM(J$2:J2906))</f>
        <v/>
      </c>
      <c r="L2906" s="22">
        <f>IF(B2906="","",IF(B2906=B2905,L2905,N(L2905)+1))</f>
        <v/>
      </c>
    </row>
    <row r="2907">
      <c r="A2907" s="22" t="n"/>
      <c r="B2907" s="27" t="n"/>
      <c r="C2907" s="17" t="n"/>
      <c r="D2907" s="17" t="n"/>
      <c r="E2907" s="17" t="n"/>
      <c r="F2907" s="28" t="n"/>
      <c r="G2907" s="29" t="n"/>
      <c r="H2907" s="29" t="n"/>
      <c r="I2907" s="29" t="n"/>
      <c r="J2907" s="29" t="n"/>
      <c r="K2907" s="30">
        <f>IF(B2907="","",SUM(G$2:I2907)-SUM(J$2:J2907))</f>
        <v/>
      </c>
      <c r="L2907" s="22">
        <f>IF(B2907="","",IF(B2907=B2906,L2906,N(L2906)+1))</f>
        <v/>
      </c>
    </row>
    <row r="2908">
      <c r="A2908" s="22" t="n"/>
      <c r="B2908" s="27" t="n"/>
      <c r="C2908" s="17" t="n"/>
      <c r="D2908" s="17" t="n"/>
      <c r="E2908" s="17" t="n"/>
      <c r="F2908" s="28" t="n"/>
      <c r="G2908" s="29" t="n"/>
      <c r="H2908" s="29" t="n"/>
      <c r="I2908" s="29" t="n"/>
      <c r="J2908" s="29" t="n"/>
      <c r="K2908" s="30">
        <f>IF(B2908="","",SUM(G$2:I2908)-SUM(J$2:J2908))</f>
        <v/>
      </c>
      <c r="L2908" s="22">
        <f>IF(B2908="","",IF(B2908=B2907,L2907,N(L2907)+1))</f>
        <v/>
      </c>
    </row>
    <row r="2909">
      <c r="A2909" s="22" t="n"/>
      <c r="B2909" s="27" t="n"/>
      <c r="C2909" s="17" t="n"/>
      <c r="D2909" s="17" t="n"/>
      <c r="E2909" s="17" t="n"/>
      <c r="F2909" s="28" t="n"/>
      <c r="G2909" s="29" t="n"/>
      <c r="H2909" s="29" t="n"/>
      <c r="I2909" s="29" t="n"/>
      <c r="J2909" s="29" t="n"/>
      <c r="K2909" s="30">
        <f>IF(B2909="","",SUM(G$2:I2909)-SUM(J$2:J2909))</f>
        <v/>
      </c>
      <c r="L2909" s="22">
        <f>IF(B2909="","",IF(B2909=B2908,L2908,N(L2908)+1))</f>
        <v/>
      </c>
    </row>
    <row r="2910">
      <c r="A2910" s="22" t="n"/>
      <c r="B2910" s="27" t="n"/>
      <c r="C2910" s="17" t="n"/>
      <c r="D2910" s="17" t="n"/>
      <c r="E2910" s="17" t="n"/>
      <c r="F2910" s="28" t="n"/>
      <c r="G2910" s="29" t="n"/>
      <c r="H2910" s="29" t="n"/>
      <c r="I2910" s="29" t="n"/>
      <c r="J2910" s="29" t="n"/>
      <c r="K2910" s="30">
        <f>IF(B2910="","",SUM(G$2:I2910)-SUM(J$2:J2910))</f>
        <v/>
      </c>
      <c r="L2910" s="22">
        <f>IF(B2910="","",IF(B2910=B2909,L2909,N(L2909)+1))</f>
        <v/>
      </c>
    </row>
    <row r="2911">
      <c r="A2911" s="22" t="n"/>
      <c r="B2911" s="27" t="n"/>
      <c r="C2911" s="17" t="n"/>
      <c r="D2911" s="17" t="n"/>
      <c r="E2911" s="17" t="n"/>
      <c r="F2911" s="28" t="n"/>
      <c r="G2911" s="29" t="n"/>
      <c r="H2911" s="29" t="n"/>
      <c r="I2911" s="29" t="n"/>
      <c r="J2911" s="29" t="n"/>
      <c r="K2911" s="30">
        <f>IF(B2911="","",SUM(G$2:I2911)-SUM(J$2:J2911))</f>
        <v/>
      </c>
      <c r="L2911" s="22">
        <f>IF(B2911="","",IF(B2911=B2910,L2910,N(L2910)+1))</f>
        <v/>
      </c>
    </row>
    <row r="2912">
      <c r="A2912" s="22" t="n"/>
      <c r="B2912" s="27" t="n"/>
      <c r="C2912" s="17" t="n"/>
      <c r="D2912" s="17" t="n"/>
      <c r="E2912" s="17" t="n"/>
      <c r="F2912" s="28" t="n"/>
      <c r="G2912" s="29" t="n"/>
      <c r="H2912" s="29" t="n"/>
      <c r="I2912" s="29" t="n"/>
      <c r="J2912" s="29" t="n"/>
      <c r="K2912" s="30">
        <f>IF(B2912="","",SUM(G$2:I2912)-SUM(J$2:J2912))</f>
        <v/>
      </c>
      <c r="L2912" s="22">
        <f>IF(B2912="","",IF(B2912=B2911,L2911,N(L2911)+1))</f>
        <v/>
      </c>
    </row>
    <row r="2913">
      <c r="A2913" s="22" t="n"/>
      <c r="B2913" s="27" t="n"/>
      <c r="C2913" s="17" t="n"/>
      <c r="D2913" s="17" t="n"/>
      <c r="E2913" s="17" t="n"/>
      <c r="F2913" s="28" t="n"/>
      <c r="G2913" s="29" t="n"/>
      <c r="H2913" s="29" t="n"/>
      <c r="I2913" s="29" t="n"/>
      <c r="J2913" s="29" t="n"/>
      <c r="K2913" s="30">
        <f>IF(B2913="","",SUM(G$2:I2913)-SUM(J$2:J2913))</f>
        <v/>
      </c>
      <c r="L2913" s="22">
        <f>IF(B2913="","",IF(B2913=B2912,L2912,N(L2912)+1))</f>
        <v/>
      </c>
    </row>
    <row r="2914">
      <c r="A2914" s="22" t="n"/>
      <c r="B2914" s="27" t="n"/>
      <c r="C2914" s="17" t="n"/>
      <c r="D2914" s="17" t="n"/>
      <c r="E2914" s="17" t="n"/>
      <c r="F2914" s="28" t="n"/>
      <c r="G2914" s="29" t="n"/>
      <c r="H2914" s="29" t="n"/>
      <c r="I2914" s="29" t="n"/>
      <c r="J2914" s="29" t="n"/>
      <c r="K2914" s="30">
        <f>IF(B2914="","",SUM(G$2:I2914)-SUM(J$2:J2914))</f>
        <v/>
      </c>
      <c r="L2914" s="22">
        <f>IF(B2914="","",IF(B2914=B2913,L2913,N(L2913)+1))</f>
        <v/>
      </c>
    </row>
    <row r="2915">
      <c r="A2915" s="22" t="n"/>
      <c r="B2915" s="27" t="n"/>
      <c r="C2915" s="17" t="n"/>
      <c r="D2915" s="17" t="n"/>
      <c r="E2915" s="17" t="n"/>
      <c r="F2915" s="28" t="n"/>
      <c r="G2915" s="29" t="n"/>
      <c r="H2915" s="29" t="n"/>
      <c r="I2915" s="29" t="n"/>
      <c r="J2915" s="29" t="n"/>
      <c r="K2915" s="30">
        <f>IF(B2915="","",SUM(G$2:I2915)-SUM(J$2:J2915))</f>
        <v/>
      </c>
      <c r="L2915" s="22">
        <f>IF(B2915="","",IF(B2915=B2914,L2914,N(L2914)+1))</f>
        <v/>
      </c>
    </row>
    <row r="2916">
      <c r="A2916" s="22" t="n"/>
      <c r="B2916" s="27" t="n"/>
      <c r="C2916" s="17" t="n"/>
      <c r="D2916" s="17" t="n"/>
      <c r="E2916" s="17" t="n"/>
      <c r="F2916" s="28" t="n"/>
      <c r="G2916" s="29" t="n"/>
      <c r="H2916" s="29" t="n"/>
      <c r="I2916" s="29" t="n"/>
      <c r="J2916" s="29" t="n"/>
      <c r="K2916" s="30">
        <f>IF(B2916="","",SUM(G$2:I2916)-SUM(J$2:J2916))</f>
        <v/>
      </c>
      <c r="L2916" s="22">
        <f>IF(B2916="","",IF(B2916=B2915,L2915,N(L2915)+1))</f>
        <v/>
      </c>
    </row>
    <row r="2917">
      <c r="A2917" s="22" t="n"/>
      <c r="B2917" s="27" t="n"/>
      <c r="C2917" s="17" t="n"/>
      <c r="D2917" s="17" t="n"/>
      <c r="E2917" s="17" t="n"/>
      <c r="F2917" s="28" t="n"/>
      <c r="G2917" s="29" t="n"/>
      <c r="H2917" s="29" t="n"/>
      <c r="I2917" s="29" t="n"/>
      <c r="J2917" s="29" t="n"/>
      <c r="K2917" s="30">
        <f>IF(B2917="","",SUM(G$2:I2917)-SUM(J$2:J2917))</f>
        <v/>
      </c>
      <c r="L2917" s="22">
        <f>IF(B2917="","",IF(B2917=B2916,L2916,N(L2916)+1))</f>
        <v/>
      </c>
    </row>
    <row r="2918">
      <c r="A2918" s="22" t="n"/>
      <c r="B2918" s="27" t="n"/>
      <c r="C2918" s="17" t="n"/>
      <c r="D2918" s="17" t="n"/>
      <c r="E2918" s="17" t="n"/>
      <c r="F2918" s="28" t="n"/>
      <c r="G2918" s="29" t="n"/>
      <c r="H2918" s="29" t="n"/>
      <c r="I2918" s="29" t="n"/>
      <c r="J2918" s="29" t="n"/>
      <c r="K2918" s="30">
        <f>IF(B2918="","",SUM(G$2:I2918)-SUM(J$2:J2918))</f>
        <v/>
      </c>
      <c r="L2918" s="22">
        <f>IF(B2918="","",IF(B2918=B2917,L2917,N(L2917)+1))</f>
        <v/>
      </c>
    </row>
    <row r="2919">
      <c r="A2919" s="22" t="n"/>
      <c r="B2919" s="27" t="n"/>
      <c r="C2919" s="17" t="n"/>
      <c r="D2919" s="17" t="n"/>
      <c r="E2919" s="17" t="n"/>
      <c r="F2919" s="28" t="n"/>
      <c r="G2919" s="29" t="n"/>
      <c r="H2919" s="29" t="n"/>
      <c r="I2919" s="29" t="n"/>
      <c r="J2919" s="29" t="n"/>
      <c r="K2919" s="30">
        <f>IF(B2919="","",SUM(G$2:I2919)-SUM(J$2:J2919))</f>
        <v/>
      </c>
      <c r="L2919" s="22">
        <f>IF(B2919="","",IF(B2919=B2918,L2918,N(L2918)+1))</f>
        <v/>
      </c>
    </row>
    <row r="2920">
      <c r="A2920" s="22" t="n"/>
      <c r="B2920" s="27" t="n"/>
      <c r="C2920" s="17" t="n"/>
      <c r="D2920" s="17" t="n"/>
      <c r="E2920" s="17" t="n"/>
      <c r="F2920" s="28" t="n"/>
      <c r="G2920" s="29" t="n"/>
      <c r="H2920" s="29" t="n"/>
      <c r="I2920" s="29" t="n"/>
      <c r="J2920" s="29" t="n"/>
      <c r="K2920" s="30">
        <f>IF(B2920="","",SUM(G$2:I2920)-SUM(J$2:J2920))</f>
        <v/>
      </c>
      <c r="L2920" s="22">
        <f>IF(B2920="","",IF(B2920=B2919,L2919,N(L2919)+1))</f>
        <v/>
      </c>
    </row>
    <row r="2921">
      <c r="A2921" s="22" t="n"/>
      <c r="B2921" s="27" t="n"/>
      <c r="C2921" s="17" t="n"/>
      <c r="D2921" s="17" t="n"/>
      <c r="E2921" s="17" t="n"/>
      <c r="F2921" s="28" t="n"/>
      <c r="G2921" s="29" t="n"/>
      <c r="H2921" s="29" t="n"/>
      <c r="I2921" s="29" t="n"/>
      <c r="J2921" s="29" t="n"/>
      <c r="K2921" s="30">
        <f>IF(B2921="","",SUM(G$2:I2921)-SUM(J$2:J2921))</f>
        <v/>
      </c>
      <c r="L2921" s="22">
        <f>IF(B2921="","",IF(B2921=B2920,L2920,N(L2920)+1))</f>
        <v/>
      </c>
    </row>
    <row r="2922">
      <c r="A2922" s="22" t="n"/>
      <c r="B2922" s="27" t="n"/>
      <c r="C2922" s="17" t="n"/>
      <c r="D2922" s="17" t="n"/>
      <c r="E2922" s="17" t="n"/>
      <c r="F2922" s="28" t="n"/>
      <c r="G2922" s="29" t="n"/>
      <c r="H2922" s="29" t="n"/>
      <c r="I2922" s="29" t="n"/>
      <c r="J2922" s="29" t="n"/>
      <c r="K2922" s="30">
        <f>IF(B2922="","",SUM(G$2:I2922)-SUM(J$2:J2922))</f>
        <v/>
      </c>
      <c r="L2922" s="22">
        <f>IF(B2922="","",IF(B2922=B2921,L2921,N(L2921)+1))</f>
        <v/>
      </c>
    </row>
    <row r="2923">
      <c r="A2923" s="22" t="n"/>
      <c r="B2923" s="27" t="n"/>
      <c r="C2923" s="17" t="n"/>
      <c r="D2923" s="17" t="n"/>
      <c r="E2923" s="17" t="n"/>
      <c r="F2923" s="28" t="n"/>
      <c r="G2923" s="29" t="n"/>
      <c r="H2923" s="29" t="n"/>
      <c r="I2923" s="29" t="n"/>
      <c r="J2923" s="29" t="n"/>
      <c r="K2923" s="30">
        <f>IF(B2923="","",SUM(G$2:I2923)-SUM(J$2:J2923))</f>
        <v/>
      </c>
      <c r="L2923" s="22">
        <f>IF(B2923="","",IF(B2923=B2922,L2922,N(L2922)+1))</f>
        <v/>
      </c>
    </row>
    <row r="2924">
      <c r="A2924" s="22" t="n"/>
      <c r="B2924" s="27" t="n"/>
      <c r="C2924" s="17" t="n"/>
      <c r="D2924" s="17" t="n"/>
      <c r="E2924" s="17" t="n"/>
      <c r="F2924" s="28" t="n"/>
      <c r="G2924" s="29" t="n"/>
      <c r="H2924" s="29" t="n"/>
      <c r="I2924" s="29" t="n"/>
      <c r="J2924" s="29" t="n"/>
      <c r="K2924" s="30">
        <f>IF(B2924="","",SUM(G$2:I2924)-SUM(J$2:J2924))</f>
        <v/>
      </c>
      <c r="L2924" s="22">
        <f>IF(B2924="","",IF(B2924=B2923,L2923,N(L2923)+1))</f>
        <v/>
      </c>
    </row>
    <row r="2925">
      <c r="A2925" s="22" t="n"/>
      <c r="B2925" s="27" t="n"/>
      <c r="C2925" s="17" t="n"/>
      <c r="D2925" s="17" t="n"/>
      <c r="E2925" s="17" t="n"/>
      <c r="F2925" s="28" t="n"/>
      <c r="G2925" s="29" t="n"/>
      <c r="H2925" s="29" t="n"/>
      <c r="I2925" s="29" t="n"/>
      <c r="J2925" s="29" t="n"/>
      <c r="K2925" s="30">
        <f>IF(B2925="","",SUM(G$2:I2925)-SUM(J$2:J2925))</f>
        <v/>
      </c>
      <c r="L2925" s="22">
        <f>IF(B2925="","",IF(B2925=B2924,L2924,N(L2924)+1))</f>
        <v/>
      </c>
    </row>
    <row r="2926">
      <c r="A2926" s="22" t="n"/>
      <c r="B2926" s="27" t="n"/>
      <c r="C2926" s="17" t="n"/>
      <c r="D2926" s="17" t="n"/>
      <c r="E2926" s="17" t="n"/>
      <c r="F2926" s="28" t="n"/>
      <c r="G2926" s="29" t="n"/>
      <c r="H2926" s="29" t="n"/>
      <c r="I2926" s="29" t="n"/>
      <c r="J2926" s="29" t="n"/>
      <c r="K2926" s="30">
        <f>IF(B2926="","",SUM(G$2:I2926)-SUM(J$2:J2926))</f>
        <v/>
      </c>
      <c r="L2926" s="22">
        <f>IF(B2926="","",IF(B2926=B2925,L2925,N(L2925)+1))</f>
        <v/>
      </c>
    </row>
    <row r="2927">
      <c r="A2927" s="22" t="n"/>
      <c r="B2927" s="27" t="n"/>
      <c r="C2927" s="17" t="n"/>
      <c r="D2927" s="17" t="n"/>
      <c r="E2927" s="17" t="n"/>
      <c r="F2927" s="28" t="n"/>
      <c r="G2927" s="29" t="n"/>
      <c r="H2927" s="29" t="n"/>
      <c r="I2927" s="29" t="n"/>
      <c r="J2927" s="29" t="n"/>
      <c r="K2927" s="30">
        <f>IF(B2927="","",SUM(G$2:I2927)-SUM(J$2:J2927))</f>
        <v/>
      </c>
      <c r="L2927" s="22">
        <f>IF(B2927="","",IF(B2927=B2926,L2926,N(L2926)+1))</f>
        <v/>
      </c>
    </row>
    <row r="2928">
      <c r="A2928" s="22" t="n"/>
      <c r="B2928" s="27" t="n"/>
      <c r="C2928" s="17" t="n"/>
      <c r="D2928" s="17" t="n"/>
      <c r="E2928" s="17" t="n"/>
      <c r="F2928" s="28" t="n"/>
      <c r="G2928" s="29" t="n"/>
      <c r="H2928" s="29" t="n"/>
      <c r="I2928" s="29" t="n"/>
      <c r="J2928" s="29" t="n"/>
      <c r="K2928" s="30">
        <f>IF(B2928="","",SUM(G$2:I2928)-SUM(J$2:J2928))</f>
        <v/>
      </c>
      <c r="L2928" s="22">
        <f>IF(B2928="","",IF(B2928=B2927,L2927,N(L2927)+1))</f>
        <v/>
      </c>
    </row>
    <row r="2929">
      <c r="A2929" s="22" t="n"/>
      <c r="B2929" s="27" t="n"/>
      <c r="C2929" s="17" t="n"/>
      <c r="D2929" s="17" t="n"/>
      <c r="E2929" s="17" t="n"/>
      <c r="F2929" s="28" t="n"/>
      <c r="G2929" s="29" t="n"/>
      <c r="H2929" s="29" t="n"/>
      <c r="I2929" s="29" t="n"/>
      <c r="J2929" s="29" t="n"/>
      <c r="K2929" s="30">
        <f>IF(B2929="","",SUM(G$2:I2929)-SUM(J$2:J2929))</f>
        <v/>
      </c>
      <c r="L2929" s="22">
        <f>IF(B2929="","",IF(B2929=B2928,L2928,N(L2928)+1))</f>
        <v/>
      </c>
    </row>
    <row r="2930">
      <c r="A2930" s="22" t="n"/>
      <c r="B2930" s="27" t="n"/>
      <c r="C2930" s="17" t="n"/>
      <c r="D2930" s="17" t="n"/>
      <c r="E2930" s="17" t="n"/>
      <c r="F2930" s="28" t="n"/>
      <c r="G2930" s="29" t="n"/>
      <c r="H2930" s="29" t="n"/>
      <c r="I2930" s="29" t="n"/>
      <c r="J2930" s="29" t="n"/>
      <c r="K2930" s="30">
        <f>IF(B2930="","",SUM(G$2:I2930)-SUM(J$2:J2930))</f>
        <v/>
      </c>
      <c r="L2930" s="22">
        <f>IF(B2930="","",IF(B2930=B2929,L2929,N(L2929)+1))</f>
        <v/>
      </c>
    </row>
    <row r="2931">
      <c r="A2931" s="22" t="n"/>
      <c r="B2931" s="27" t="n"/>
      <c r="C2931" s="17" t="n"/>
      <c r="D2931" s="17" t="n"/>
      <c r="E2931" s="17" t="n"/>
      <c r="F2931" s="28" t="n"/>
      <c r="G2931" s="29" t="n"/>
      <c r="H2931" s="29" t="n"/>
      <c r="I2931" s="29" t="n"/>
      <c r="J2931" s="29" t="n"/>
      <c r="K2931" s="30">
        <f>IF(B2931="","",SUM(G$2:I2931)-SUM(J$2:J2931))</f>
        <v/>
      </c>
      <c r="L2931" s="22">
        <f>IF(B2931="","",IF(B2931=B2930,L2930,N(L2930)+1))</f>
        <v/>
      </c>
    </row>
    <row r="2932">
      <c r="A2932" s="22" t="n"/>
      <c r="B2932" s="27" t="n"/>
      <c r="C2932" s="17" t="n"/>
      <c r="D2932" s="17" t="n"/>
      <c r="E2932" s="17" t="n"/>
      <c r="F2932" s="28" t="n"/>
      <c r="G2932" s="29" t="n"/>
      <c r="H2932" s="29" t="n"/>
      <c r="I2932" s="29" t="n"/>
      <c r="J2932" s="29" t="n"/>
      <c r="K2932" s="30">
        <f>IF(B2932="","",SUM(G$2:I2932)-SUM(J$2:J2932))</f>
        <v/>
      </c>
      <c r="L2932" s="22">
        <f>IF(B2932="","",IF(B2932=B2931,L2931,N(L2931)+1))</f>
        <v/>
      </c>
    </row>
    <row r="2933">
      <c r="A2933" s="22" t="n"/>
      <c r="B2933" s="27" t="n"/>
      <c r="C2933" s="17" t="n"/>
      <c r="D2933" s="17" t="n"/>
      <c r="E2933" s="17" t="n"/>
      <c r="F2933" s="28" t="n"/>
      <c r="G2933" s="29" t="n"/>
      <c r="H2933" s="29" t="n"/>
      <c r="I2933" s="29" t="n"/>
      <c r="J2933" s="29" t="n"/>
      <c r="K2933" s="30">
        <f>IF(B2933="","",SUM(G$2:I2933)-SUM(J$2:J2933))</f>
        <v/>
      </c>
      <c r="L2933" s="22">
        <f>IF(B2933="","",IF(B2933=B2932,L2932,N(L2932)+1))</f>
        <v/>
      </c>
    </row>
    <row r="2934">
      <c r="A2934" s="22" t="n"/>
      <c r="B2934" s="27" t="n"/>
      <c r="C2934" s="17" t="n"/>
      <c r="D2934" s="17" t="n"/>
      <c r="E2934" s="17" t="n"/>
      <c r="F2934" s="28" t="n"/>
      <c r="G2934" s="29" t="n"/>
      <c r="H2934" s="29" t="n"/>
      <c r="I2934" s="29" t="n"/>
      <c r="J2934" s="29" t="n"/>
      <c r="K2934" s="30">
        <f>IF(B2934="","",SUM(G$2:I2934)-SUM(J$2:J2934))</f>
        <v/>
      </c>
      <c r="L2934" s="22">
        <f>IF(B2934="","",IF(B2934=B2933,L2933,N(L2933)+1))</f>
        <v/>
      </c>
    </row>
    <row r="2935">
      <c r="A2935" s="22" t="n"/>
      <c r="B2935" s="27" t="n"/>
      <c r="C2935" s="17" t="n"/>
      <c r="D2935" s="17" t="n"/>
      <c r="E2935" s="17" t="n"/>
      <c r="F2935" s="28" t="n"/>
      <c r="G2935" s="29" t="n"/>
      <c r="H2935" s="29" t="n"/>
      <c r="I2935" s="29" t="n"/>
      <c r="J2935" s="29" t="n"/>
      <c r="K2935" s="30">
        <f>IF(B2935="","",SUM(G$2:I2935)-SUM(J$2:J2935))</f>
        <v/>
      </c>
      <c r="L2935" s="22">
        <f>IF(B2935="","",IF(B2935=B2934,L2934,N(L2934)+1))</f>
        <v/>
      </c>
    </row>
    <row r="2936">
      <c r="A2936" s="22" t="n"/>
      <c r="B2936" s="27" t="n"/>
      <c r="C2936" s="17" t="n"/>
      <c r="D2936" s="17" t="n"/>
      <c r="E2936" s="17" t="n"/>
      <c r="F2936" s="28" t="n"/>
      <c r="G2936" s="29" t="n"/>
      <c r="H2936" s="29" t="n"/>
      <c r="I2936" s="29" t="n"/>
      <c r="J2936" s="29" t="n"/>
      <c r="K2936" s="30">
        <f>IF(B2936="","",SUM(G$2:I2936)-SUM(J$2:J2936))</f>
        <v/>
      </c>
      <c r="L2936" s="22">
        <f>IF(B2936="","",IF(B2936=B2935,L2935,N(L2935)+1))</f>
        <v/>
      </c>
    </row>
    <row r="2937">
      <c r="A2937" s="22" t="n"/>
      <c r="B2937" s="27" t="n"/>
      <c r="C2937" s="17" t="n"/>
      <c r="D2937" s="17" t="n"/>
      <c r="E2937" s="17" t="n"/>
      <c r="F2937" s="28" t="n"/>
      <c r="G2937" s="29" t="n"/>
      <c r="H2937" s="29" t="n"/>
      <c r="I2937" s="29" t="n"/>
      <c r="J2937" s="29" t="n"/>
      <c r="K2937" s="30">
        <f>IF(B2937="","",SUM(G$2:I2937)-SUM(J$2:J2937))</f>
        <v/>
      </c>
      <c r="L2937" s="22">
        <f>IF(B2937="","",IF(B2937=B2936,L2936,N(L2936)+1))</f>
        <v/>
      </c>
    </row>
    <row r="2938">
      <c r="A2938" s="22" t="n"/>
      <c r="B2938" s="27" t="n"/>
      <c r="C2938" s="17" t="n"/>
      <c r="D2938" s="17" t="n"/>
      <c r="E2938" s="17" t="n"/>
      <c r="F2938" s="28" t="n"/>
      <c r="G2938" s="29" t="n"/>
      <c r="H2938" s="29" t="n"/>
      <c r="I2938" s="29" t="n"/>
      <c r="J2938" s="29" t="n"/>
      <c r="K2938" s="30">
        <f>IF(B2938="","",SUM(G$2:I2938)-SUM(J$2:J2938))</f>
        <v/>
      </c>
      <c r="L2938" s="22">
        <f>IF(B2938="","",IF(B2938=B2937,L2937,N(L2937)+1))</f>
        <v/>
      </c>
    </row>
    <row r="2939">
      <c r="A2939" s="22" t="n"/>
      <c r="B2939" s="27" t="n"/>
      <c r="C2939" s="17" t="n"/>
      <c r="D2939" s="17" t="n"/>
      <c r="E2939" s="17" t="n"/>
      <c r="F2939" s="28" t="n"/>
      <c r="G2939" s="29" t="n"/>
      <c r="H2939" s="29" t="n"/>
      <c r="I2939" s="29" t="n"/>
      <c r="J2939" s="29" t="n"/>
      <c r="K2939" s="30">
        <f>IF(B2939="","",SUM(G$2:I2939)-SUM(J$2:J2939))</f>
        <v/>
      </c>
      <c r="L2939" s="22">
        <f>IF(B2939="","",IF(B2939=B2938,L2938,N(L2938)+1))</f>
        <v/>
      </c>
    </row>
    <row r="2940">
      <c r="A2940" s="22" t="n"/>
      <c r="B2940" s="27" t="n"/>
      <c r="C2940" s="17" t="n"/>
      <c r="D2940" s="17" t="n"/>
      <c r="E2940" s="17" t="n"/>
      <c r="F2940" s="28" t="n"/>
      <c r="G2940" s="29" t="n"/>
      <c r="H2940" s="29" t="n"/>
      <c r="I2940" s="29" t="n"/>
      <c r="J2940" s="29" t="n"/>
      <c r="K2940" s="30">
        <f>IF(B2940="","",SUM(G$2:I2940)-SUM(J$2:J2940))</f>
        <v/>
      </c>
      <c r="L2940" s="22">
        <f>IF(B2940="","",IF(B2940=B2939,L2939,N(L2939)+1))</f>
        <v/>
      </c>
    </row>
    <row r="2941">
      <c r="A2941" s="22" t="n"/>
      <c r="B2941" s="27" t="n"/>
      <c r="C2941" s="17" t="n"/>
      <c r="D2941" s="17" t="n"/>
      <c r="E2941" s="17" t="n"/>
      <c r="F2941" s="28" t="n"/>
      <c r="G2941" s="29" t="n"/>
      <c r="H2941" s="29" t="n"/>
      <c r="I2941" s="29" t="n"/>
      <c r="J2941" s="29" t="n"/>
      <c r="K2941" s="30">
        <f>IF(B2941="","",SUM(G$2:I2941)-SUM(J$2:J2941))</f>
        <v/>
      </c>
      <c r="L2941" s="22">
        <f>IF(B2941="","",IF(B2941=B2940,L2940,N(L2940)+1))</f>
        <v/>
      </c>
    </row>
    <row r="2942">
      <c r="A2942" s="22" t="n"/>
      <c r="B2942" s="27" t="n"/>
      <c r="C2942" s="17" t="n"/>
      <c r="D2942" s="17" t="n"/>
      <c r="E2942" s="17" t="n"/>
      <c r="F2942" s="28" t="n"/>
      <c r="G2942" s="29" t="n"/>
      <c r="H2942" s="29" t="n"/>
      <c r="I2942" s="29" t="n"/>
      <c r="J2942" s="29" t="n"/>
      <c r="K2942" s="30">
        <f>IF(B2942="","",SUM(G$2:I2942)-SUM(J$2:J2942))</f>
        <v/>
      </c>
      <c r="L2942" s="22">
        <f>IF(B2942="","",IF(B2942=B2941,L2941,N(L2941)+1))</f>
        <v/>
      </c>
    </row>
    <row r="2943">
      <c r="A2943" s="22" t="n"/>
      <c r="B2943" s="27" t="n"/>
      <c r="C2943" s="17" t="n"/>
      <c r="D2943" s="17" t="n"/>
      <c r="E2943" s="17" t="n"/>
      <c r="F2943" s="28" t="n"/>
      <c r="G2943" s="29" t="n"/>
      <c r="H2943" s="29" t="n"/>
      <c r="I2943" s="29" t="n"/>
      <c r="J2943" s="29" t="n"/>
      <c r="K2943" s="30">
        <f>IF(B2943="","",SUM(G$2:I2943)-SUM(J$2:J2943))</f>
        <v/>
      </c>
      <c r="L2943" s="22">
        <f>IF(B2943="","",IF(B2943=B2942,L2942,N(L2942)+1))</f>
        <v/>
      </c>
    </row>
    <row r="2944">
      <c r="A2944" s="22" t="n"/>
      <c r="B2944" s="27" t="n"/>
      <c r="C2944" s="17" t="n"/>
      <c r="D2944" s="17" t="n"/>
      <c r="E2944" s="17" t="n"/>
      <c r="F2944" s="28" t="n"/>
      <c r="G2944" s="29" t="n"/>
      <c r="H2944" s="29" t="n"/>
      <c r="I2944" s="29" t="n"/>
      <c r="J2944" s="29" t="n"/>
      <c r="K2944" s="30">
        <f>IF(B2944="","",SUM(G$2:I2944)-SUM(J$2:J2944))</f>
        <v/>
      </c>
      <c r="L2944" s="22">
        <f>IF(B2944="","",IF(B2944=B2943,L2943,N(L2943)+1))</f>
        <v/>
      </c>
    </row>
    <row r="2945">
      <c r="A2945" s="22" t="n"/>
      <c r="B2945" s="27" t="n"/>
      <c r="C2945" s="17" t="n"/>
      <c r="D2945" s="17" t="n"/>
      <c r="E2945" s="17" t="n"/>
      <c r="F2945" s="28" t="n"/>
      <c r="G2945" s="29" t="n"/>
      <c r="H2945" s="29" t="n"/>
      <c r="I2945" s="29" t="n"/>
      <c r="J2945" s="29" t="n"/>
      <c r="K2945" s="30">
        <f>IF(B2945="","",SUM(G$2:I2945)-SUM(J$2:J2945))</f>
        <v/>
      </c>
      <c r="L2945" s="22">
        <f>IF(B2945="","",IF(B2945=B2944,L2944,N(L2944)+1))</f>
        <v/>
      </c>
    </row>
    <row r="2946">
      <c r="A2946" s="22" t="n"/>
      <c r="B2946" s="27" t="n"/>
      <c r="C2946" s="17" t="n"/>
      <c r="D2946" s="17" t="n"/>
      <c r="E2946" s="17" t="n"/>
      <c r="F2946" s="28" t="n"/>
      <c r="G2946" s="29" t="n"/>
      <c r="H2946" s="29" t="n"/>
      <c r="I2946" s="29" t="n"/>
      <c r="J2946" s="29" t="n"/>
      <c r="K2946" s="30">
        <f>IF(B2946="","",SUM(G$2:I2946)-SUM(J$2:J2946))</f>
        <v/>
      </c>
      <c r="L2946" s="22">
        <f>IF(B2946="","",IF(B2946=B2945,L2945,N(L2945)+1))</f>
        <v/>
      </c>
    </row>
    <row r="2947">
      <c r="A2947" s="22" t="n"/>
      <c r="B2947" s="27" t="n"/>
      <c r="C2947" s="17" t="n"/>
      <c r="D2947" s="17" t="n"/>
      <c r="E2947" s="17" t="n"/>
      <c r="F2947" s="28" t="n"/>
      <c r="G2947" s="29" t="n"/>
      <c r="H2947" s="29" t="n"/>
      <c r="I2947" s="29" t="n"/>
      <c r="J2947" s="29" t="n"/>
      <c r="K2947" s="30">
        <f>IF(B2947="","",SUM(G$2:I2947)-SUM(J$2:J2947))</f>
        <v/>
      </c>
      <c r="L2947" s="22">
        <f>IF(B2947="","",IF(B2947=B2946,L2946,N(L2946)+1))</f>
        <v/>
      </c>
    </row>
    <row r="2948">
      <c r="A2948" s="22" t="n"/>
      <c r="B2948" s="27" t="n"/>
      <c r="C2948" s="17" t="n"/>
      <c r="D2948" s="17" t="n"/>
      <c r="E2948" s="17" t="n"/>
      <c r="F2948" s="28" t="n"/>
      <c r="G2948" s="29" t="n"/>
      <c r="H2948" s="29" t="n"/>
      <c r="I2948" s="29" t="n"/>
      <c r="J2948" s="29" t="n"/>
      <c r="K2948" s="30">
        <f>IF(B2948="","",SUM(G$2:I2948)-SUM(J$2:J2948))</f>
        <v/>
      </c>
      <c r="L2948" s="22">
        <f>IF(B2948="","",IF(B2948=B2947,L2947,N(L2947)+1))</f>
        <v/>
      </c>
    </row>
    <row r="2949">
      <c r="A2949" s="22" t="n"/>
      <c r="B2949" s="27" t="n"/>
      <c r="C2949" s="17" t="n"/>
      <c r="D2949" s="17" t="n"/>
      <c r="E2949" s="17" t="n"/>
      <c r="F2949" s="28" t="n"/>
      <c r="G2949" s="29" t="n"/>
      <c r="H2949" s="29" t="n"/>
      <c r="I2949" s="29" t="n"/>
      <c r="J2949" s="29" t="n"/>
      <c r="K2949" s="30">
        <f>IF(B2949="","",SUM(G$2:I2949)-SUM(J$2:J2949))</f>
        <v/>
      </c>
      <c r="L2949" s="22">
        <f>IF(B2949="","",IF(B2949=B2948,L2948,N(L2948)+1))</f>
        <v/>
      </c>
    </row>
    <row r="2950">
      <c r="A2950" s="22" t="n"/>
      <c r="B2950" s="27" t="n"/>
      <c r="C2950" s="17" t="n"/>
      <c r="D2950" s="17" t="n"/>
      <c r="E2950" s="17" t="n"/>
      <c r="F2950" s="28" t="n"/>
      <c r="G2950" s="29" t="n"/>
      <c r="H2950" s="29" t="n"/>
      <c r="I2950" s="29" t="n"/>
      <c r="J2950" s="29" t="n"/>
      <c r="K2950" s="30">
        <f>IF(B2950="","",SUM(G$2:I2950)-SUM(J$2:J2950))</f>
        <v/>
      </c>
      <c r="L2950" s="22">
        <f>IF(B2950="","",IF(B2950=B2949,L2949,N(L2949)+1))</f>
        <v/>
      </c>
    </row>
    <row r="2951">
      <c r="A2951" s="22" t="n"/>
      <c r="B2951" s="27" t="n"/>
      <c r="C2951" s="17" t="n"/>
      <c r="D2951" s="17" t="n"/>
      <c r="E2951" s="17" t="n"/>
      <c r="F2951" s="28" t="n"/>
      <c r="G2951" s="29" t="n"/>
      <c r="H2951" s="29" t="n"/>
      <c r="I2951" s="29" t="n"/>
      <c r="J2951" s="29" t="n"/>
      <c r="K2951" s="30">
        <f>IF(B2951="","",SUM(G$2:I2951)-SUM(J$2:J2951))</f>
        <v/>
      </c>
      <c r="L2951" s="22">
        <f>IF(B2951="","",IF(B2951=B2950,L2950,N(L2950)+1))</f>
        <v/>
      </c>
    </row>
    <row r="2952">
      <c r="A2952" s="22" t="n"/>
      <c r="B2952" s="27" t="n"/>
      <c r="C2952" s="17" t="n"/>
      <c r="D2952" s="17" t="n"/>
      <c r="E2952" s="17" t="n"/>
      <c r="F2952" s="28" t="n"/>
      <c r="G2952" s="29" t="n"/>
      <c r="H2952" s="29" t="n"/>
      <c r="I2952" s="29" t="n"/>
      <c r="J2952" s="29" t="n"/>
      <c r="K2952" s="30">
        <f>IF(B2952="","",SUM(G$2:I2952)-SUM(J$2:J2952))</f>
        <v/>
      </c>
      <c r="L2952" s="22">
        <f>IF(B2952="","",IF(B2952=B2951,L2951,N(L2951)+1))</f>
        <v/>
      </c>
    </row>
    <row r="2953">
      <c r="A2953" s="22" t="n"/>
      <c r="B2953" s="27" t="n"/>
      <c r="C2953" s="17" t="n"/>
      <c r="D2953" s="17" t="n"/>
      <c r="E2953" s="17" t="n"/>
      <c r="F2953" s="28" t="n"/>
      <c r="G2953" s="29" t="n"/>
      <c r="H2953" s="29" t="n"/>
      <c r="I2953" s="29" t="n"/>
      <c r="J2953" s="29" t="n"/>
      <c r="K2953" s="30">
        <f>IF(B2953="","",SUM(G$2:I2953)-SUM(J$2:J2953))</f>
        <v/>
      </c>
      <c r="L2953" s="22">
        <f>IF(B2953="","",IF(B2953=B2952,L2952,N(L2952)+1))</f>
        <v/>
      </c>
    </row>
    <row r="2954">
      <c r="A2954" s="22" t="n"/>
      <c r="B2954" s="27" t="n"/>
      <c r="C2954" s="17" t="n"/>
      <c r="D2954" s="17" t="n"/>
      <c r="E2954" s="17" t="n"/>
      <c r="F2954" s="28" t="n"/>
      <c r="G2954" s="29" t="n"/>
      <c r="H2954" s="29" t="n"/>
      <c r="I2954" s="29" t="n"/>
      <c r="J2954" s="29" t="n"/>
      <c r="K2954" s="30">
        <f>IF(B2954="","",SUM(G$2:I2954)-SUM(J$2:J2954))</f>
        <v/>
      </c>
      <c r="L2954" s="22">
        <f>IF(B2954="","",IF(B2954=B2953,L2953,N(L2953)+1))</f>
        <v/>
      </c>
    </row>
    <row r="2955">
      <c r="A2955" s="22" t="n"/>
      <c r="B2955" s="27" t="n"/>
      <c r="C2955" s="17" t="n"/>
      <c r="D2955" s="17" t="n"/>
      <c r="E2955" s="17" t="n"/>
      <c r="F2955" s="28" t="n"/>
      <c r="G2955" s="29" t="n"/>
      <c r="H2955" s="29" t="n"/>
      <c r="I2955" s="29" t="n"/>
      <c r="J2955" s="29" t="n"/>
      <c r="K2955" s="30">
        <f>IF(B2955="","",SUM(G$2:I2955)-SUM(J$2:J2955))</f>
        <v/>
      </c>
      <c r="L2955" s="22">
        <f>IF(B2955="","",IF(B2955=B2954,L2954,N(L2954)+1))</f>
        <v/>
      </c>
    </row>
    <row r="2956">
      <c r="A2956" s="22" t="n"/>
      <c r="B2956" s="27" t="n"/>
      <c r="C2956" s="17" t="n"/>
      <c r="D2956" s="17" t="n"/>
      <c r="E2956" s="17" t="n"/>
      <c r="F2956" s="28" t="n"/>
      <c r="G2956" s="29" t="n"/>
      <c r="H2956" s="29" t="n"/>
      <c r="I2956" s="29" t="n"/>
      <c r="J2956" s="29" t="n"/>
      <c r="K2956" s="30">
        <f>IF(B2956="","",SUM(G$2:I2956)-SUM(J$2:J2956))</f>
        <v/>
      </c>
      <c r="L2956" s="22">
        <f>IF(B2956="","",IF(B2956=B2955,L2955,N(L2955)+1))</f>
        <v/>
      </c>
    </row>
    <row r="2957">
      <c r="A2957" s="22" t="n"/>
      <c r="B2957" s="27" t="n"/>
      <c r="C2957" s="17" t="n"/>
      <c r="D2957" s="17" t="n"/>
      <c r="E2957" s="17" t="n"/>
      <c r="F2957" s="28" t="n"/>
      <c r="G2957" s="29" t="n"/>
      <c r="H2957" s="29" t="n"/>
      <c r="I2957" s="29" t="n"/>
      <c r="J2957" s="29" t="n"/>
      <c r="K2957" s="30">
        <f>IF(B2957="","",SUM(G$2:I2957)-SUM(J$2:J2957))</f>
        <v/>
      </c>
      <c r="L2957" s="22">
        <f>IF(B2957="","",IF(B2957=B2956,L2956,N(L2956)+1))</f>
        <v/>
      </c>
    </row>
    <row r="2958">
      <c r="A2958" s="22" t="n"/>
      <c r="B2958" s="27" t="n"/>
      <c r="C2958" s="17" t="n"/>
      <c r="D2958" s="17" t="n"/>
      <c r="E2958" s="17" t="n"/>
      <c r="F2958" s="28" t="n"/>
      <c r="G2958" s="29" t="n"/>
      <c r="H2958" s="29" t="n"/>
      <c r="I2958" s="29" t="n"/>
      <c r="J2958" s="29" t="n"/>
      <c r="K2958" s="30">
        <f>IF(B2958="","",SUM(G$2:I2958)-SUM(J$2:J2958))</f>
        <v/>
      </c>
      <c r="L2958" s="22">
        <f>IF(B2958="","",IF(B2958=B2957,L2957,N(L2957)+1))</f>
        <v/>
      </c>
    </row>
    <row r="2959">
      <c r="A2959" s="22" t="n"/>
      <c r="B2959" s="27" t="n"/>
      <c r="C2959" s="17" t="n"/>
      <c r="D2959" s="17" t="n"/>
      <c r="E2959" s="17" t="n"/>
      <c r="F2959" s="28" t="n"/>
      <c r="G2959" s="29" t="n"/>
      <c r="H2959" s="29" t="n"/>
      <c r="I2959" s="29" t="n"/>
      <c r="J2959" s="29" t="n"/>
      <c r="K2959" s="30">
        <f>IF(B2959="","",SUM(G$2:I2959)-SUM(J$2:J2959))</f>
        <v/>
      </c>
      <c r="L2959" s="22">
        <f>IF(B2959="","",IF(B2959=B2958,L2958,N(L2958)+1))</f>
        <v/>
      </c>
    </row>
    <row r="2960">
      <c r="A2960" s="22" t="n"/>
      <c r="B2960" s="27" t="n"/>
      <c r="C2960" s="17" t="n"/>
      <c r="D2960" s="17" t="n"/>
      <c r="E2960" s="17" t="n"/>
      <c r="F2960" s="28" t="n"/>
      <c r="G2960" s="29" t="n"/>
      <c r="H2960" s="29" t="n"/>
      <c r="I2960" s="29" t="n"/>
      <c r="J2960" s="29" t="n"/>
      <c r="K2960" s="30">
        <f>IF(B2960="","",SUM(G$2:I2960)-SUM(J$2:J2960))</f>
        <v/>
      </c>
      <c r="L2960" s="22">
        <f>IF(B2960="","",IF(B2960=B2959,L2959,N(L2959)+1))</f>
        <v/>
      </c>
    </row>
    <row r="2961">
      <c r="A2961" s="22" t="n"/>
      <c r="B2961" s="27" t="n"/>
      <c r="C2961" s="17" t="n"/>
      <c r="D2961" s="17" t="n"/>
      <c r="E2961" s="17" t="n"/>
      <c r="F2961" s="28" t="n"/>
      <c r="G2961" s="29" t="n"/>
      <c r="H2961" s="29" t="n"/>
      <c r="I2961" s="29" t="n"/>
      <c r="J2961" s="29" t="n"/>
      <c r="K2961" s="30">
        <f>IF(B2961="","",SUM(G$2:I2961)-SUM(J$2:J2961))</f>
        <v/>
      </c>
      <c r="L2961" s="22">
        <f>IF(B2961="","",IF(B2961=B2960,L2960,N(L2960)+1))</f>
        <v/>
      </c>
    </row>
    <row r="2962">
      <c r="A2962" s="22" t="n"/>
      <c r="B2962" s="27" t="n"/>
      <c r="C2962" s="17" t="n"/>
      <c r="D2962" s="17" t="n"/>
      <c r="E2962" s="17" t="n"/>
      <c r="F2962" s="28" t="n"/>
      <c r="G2962" s="29" t="n"/>
      <c r="H2962" s="29" t="n"/>
      <c r="I2962" s="29" t="n"/>
      <c r="J2962" s="29" t="n"/>
      <c r="K2962" s="30">
        <f>IF(B2962="","",SUM(G$2:I2962)-SUM(J$2:J2962))</f>
        <v/>
      </c>
      <c r="L2962" s="22">
        <f>IF(B2962="","",IF(B2962=B2961,L2961,N(L2961)+1))</f>
        <v/>
      </c>
    </row>
    <row r="2963">
      <c r="A2963" s="22" t="n"/>
      <c r="B2963" s="27" t="n"/>
      <c r="C2963" s="17" t="n"/>
      <c r="D2963" s="17" t="n"/>
      <c r="E2963" s="17" t="n"/>
      <c r="F2963" s="28" t="n"/>
      <c r="G2963" s="29" t="n"/>
      <c r="H2963" s="29" t="n"/>
      <c r="I2963" s="29" t="n"/>
      <c r="J2963" s="29" t="n"/>
      <c r="K2963" s="30">
        <f>IF(B2963="","",SUM(G$2:I2963)-SUM(J$2:J2963))</f>
        <v/>
      </c>
      <c r="L2963" s="22">
        <f>IF(B2963="","",IF(B2963=B2962,L2962,N(L2962)+1))</f>
        <v/>
      </c>
    </row>
    <row r="2964">
      <c r="A2964" s="22" t="n"/>
      <c r="B2964" s="27" t="n"/>
      <c r="C2964" s="17" t="n"/>
      <c r="D2964" s="17" t="n"/>
      <c r="E2964" s="17" t="n"/>
      <c r="F2964" s="28" t="n"/>
      <c r="G2964" s="29" t="n"/>
      <c r="H2964" s="29" t="n"/>
      <c r="I2964" s="29" t="n"/>
      <c r="J2964" s="29" t="n"/>
      <c r="K2964" s="30">
        <f>IF(B2964="","",SUM(G$2:I2964)-SUM(J$2:J2964))</f>
        <v/>
      </c>
      <c r="L2964" s="22">
        <f>IF(B2964="","",IF(B2964=B2963,L2963,N(L2963)+1))</f>
        <v/>
      </c>
    </row>
    <row r="2965">
      <c r="A2965" s="22" t="n"/>
      <c r="B2965" s="27" t="n"/>
      <c r="C2965" s="17" t="n"/>
      <c r="D2965" s="17" t="n"/>
      <c r="E2965" s="17" t="n"/>
      <c r="F2965" s="28" t="n"/>
      <c r="G2965" s="29" t="n"/>
      <c r="H2965" s="29" t="n"/>
      <c r="I2965" s="29" t="n"/>
      <c r="J2965" s="29" t="n"/>
      <c r="K2965" s="30">
        <f>IF(B2965="","",SUM(G$2:I2965)-SUM(J$2:J2965))</f>
        <v/>
      </c>
      <c r="L2965" s="22">
        <f>IF(B2965="","",IF(B2965=B2964,L2964,N(L2964)+1))</f>
        <v/>
      </c>
    </row>
    <row r="2966">
      <c r="A2966" s="22" t="n"/>
      <c r="B2966" s="27" t="n"/>
      <c r="C2966" s="17" t="n"/>
      <c r="D2966" s="17" t="n"/>
      <c r="E2966" s="17" t="n"/>
      <c r="F2966" s="28" t="n"/>
      <c r="G2966" s="29" t="n"/>
      <c r="H2966" s="29" t="n"/>
      <c r="I2966" s="29" t="n"/>
      <c r="J2966" s="29" t="n"/>
      <c r="K2966" s="30">
        <f>IF(B2966="","",SUM(G$2:I2966)-SUM(J$2:J2966))</f>
        <v/>
      </c>
      <c r="L2966" s="22">
        <f>IF(B2966="","",IF(B2966=B2965,L2965,N(L2965)+1))</f>
        <v/>
      </c>
    </row>
    <row r="2967">
      <c r="A2967" s="22" t="n"/>
      <c r="B2967" s="27" t="n"/>
      <c r="C2967" s="17" t="n"/>
      <c r="D2967" s="17" t="n"/>
      <c r="E2967" s="17" t="n"/>
      <c r="F2967" s="28" t="n"/>
      <c r="G2967" s="29" t="n"/>
      <c r="H2967" s="29" t="n"/>
      <c r="I2967" s="29" t="n"/>
      <c r="J2967" s="29" t="n"/>
      <c r="K2967" s="30">
        <f>IF(B2967="","",SUM(G$2:I2967)-SUM(J$2:J2967))</f>
        <v/>
      </c>
      <c r="L2967" s="22">
        <f>IF(B2967="","",IF(B2967=B2966,L2966,N(L2966)+1))</f>
        <v/>
      </c>
    </row>
    <row r="2968">
      <c r="A2968" s="22" t="n"/>
      <c r="B2968" s="27" t="n"/>
      <c r="C2968" s="17" t="n"/>
      <c r="D2968" s="17" t="n"/>
      <c r="E2968" s="17" t="n"/>
      <c r="F2968" s="28" t="n"/>
      <c r="G2968" s="29" t="n"/>
      <c r="H2968" s="29" t="n"/>
      <c r="I2968" s="29" t="n"/>
      <c r="J2968" s="29" t="n"/>
      <c r="K2968" s="30">
        <f>IF(B2968="","",SUM(G$2:I2968)-SUM(J$2:J2968))</f>
        <v/>
      </c>
      <c r="L2968" s="22">
        <f>IF(B2968="","",IF(B2968=B2967,L2967,N(L2967)+1))</f>
        <v/>
      </c>
    </row>
    <row r="2969">
      <c r="A2969" s="22" t="n"/>
      <c r="B2969" s="27" t="n"/>
      <c r="C2969" s="17" t="n"/>
      <c r="D2969" s="17" t="n"/>
      <c r="E2969" s="17" t="n"/>
      <c r="F2969" s="28" t="n"/>
      <c r="G2969" s="29" t="n"/>
      <c r="H2969" s="29" t="n"/>
      <c r="I2969" s="29" t="n"/>
      <c r="J2969" s="29" t="n"/>
      <c r="K2969" s="30">
        <f>IF(B2969="","",SUM(G$2:I2969)-SUM(J$2:J2969))</f>
        <v/>
      </c>
      <c r="L2969" s="22">
        <f>IF(B2969="","",IF(B2969=B2968,L2968,N(L2968)+1))</f>
        <v/>
      </c>
    </row>
    <row r="2970">
      <c r="A2970" s="22" t="n"/>
      <c r="B2970" s="27" t="n"/>
      <c r="C2970" s="17" t="n"/>
      <c r="D2970" s="17" t="n"/>
      <c r="E2970" s="17" t="n"/>
      <c r="F2970" s="28" t="n"/>
      <c r="G2970" s="29" t="n"/>
      <c r="H2970" s="29" t="n"/>
      <c r="I2970" s="29" t="n"/>
      <c r="J2970" s="29" t="n"/>
      <c r="K2970" s="30">
        <f>IF(B2970="","",SUM(G$2:I2970)-SUM(J$2:J2970))</f>
        <v/>
      </c>
      <c r="L2970" s="22">
        <f>IF(B2970="","",IF(B2970=B2969,L2969,N(L2969)+1))</f>
        <v/>
      </c>
    </row>
    <row r="2971">
      <c r="A2971" s="22" t="n"/>
      <c r="B2971" s="27" t="n"/>
      <c r="C2971" s="17" t="n"/>
      <c r="D2971" s="17" t="n"/>
      <c r="E2971" s="17" t="n"/>
      <c r="F2971" s="28" t="n"/>
      <c r="G2971" s="29" t="n"/>
      <c r="H2971" s="29" t="n"/>
      <c r="I2971" s="29" t="n"/>
      <c r="J2971" s="29" t="n"/>
      <c r="K2971" s="30">
        <f>IF(B2971="","",SUM(G$2:I2971)-SUM(J$2:J2971))</f>
        <v/>
      </c>
      <c r="L2971" s="22">
        <f>IF(B2971="","",IF(B2971=B2970,L2970,N(L2970)+1))</f>
        <v/>
      </c>
    </row>
    <row r="2972">
      <c r="A2972" s="22" t="n"/>
      <c r="B2972" s="27" t="n"/>
      <c r="C2972" s="17" t="n"/>
      <c r="D2972" s="17" t="n"/>
      <c r="E2972" s="17" t="n"/>
      <c r="F2972" s="28" t="n"/>
      <c r="G2972" s="29" t="n"/>
      <c r="H2972" s="29" t="n"/>
      <c r="I2972" s="29" t="n"/>
      <c r="J2972" s="29" t="n"/>
      <c r="K2972" s="30">
        <f>IF(B2972="","",SUM(G$2:I2972)-SUM(J$2:J2972))</f>
        <v/>
      </c>
      <c r="L2972" s="22">
        <f>IF(B2972="","",IF(B2972=B2971,L2971,N(L2971)+1))</f>
        <v/>
      </c>
    </row>
    <row r="2973">
      <c r="A2973" s="22" t="n"/>
      <c r="B2973" s="27" t="n"/>
      <c r="C2973" s="17" t="n"/>
      <c r="D2973" s="17" t="n"/>
      <c r="E2973" s="17" t="n"/>
      <c r="F2973" s="28" t="n"/>
      <c r="G2973" s="29" t="n"/>
      <c r="H2973" s="29" t="n"/>
      <c r="I2973" s="29" t="n"/>
      <c r="J2973" s="29" t="n"/>
      <c r="K2973" s="30">
        <f>IF(B2973="","",SUM(G$2:I2973)-SUM(J$2:J2973))</f>
        <v/>
      </c>
      <c r="L2973" s="22">
        <f>IF(B2973="","",IF(B2973=B2972,L2972,N(L2972)+1))</f>
        <v/>
      </c>
    </row>
    <row r="2974">
      <c r="A2974" s="22" t="n"/>
      <c r="B2974" s="27" t="n"/>
      <c r="C2974" s="17" t="n"/>
      <c r="D2974" s="17" t="n"/>
      <c r="E2974" s="17" t="n"/>
      <c r="F2974" s="28" t="n"/>
      <c r="G2974" s="29" t="n"/>
      <c r="H2974" s="29" t="n"/>
      <c r="I2974" s="29" t="n"/>
      <c r="J2974" s="29" t="n"/>
      <c r="K2974" s="30">
        <f>IF(B2974="","",SUM(G$2:I2974)-SUM(J$2:J2974))</f>
        <v/>
      </c>
      <c r="L2974" s="22">
        <f>IF(B2974="","",IF(B2974=B2973,L2973,N(L2973)+1))</f>
        <v/>
      </c>
    </row>
    <row r="2975">
      <c r="A2975" s="22" t="n"/>
      <c r="B2975" s="27" t="n"/>
      <c r="C2975" s="17" t="n"/>
      <c r="D2975" s="17" t="n"/>
      <c r="E2975" s="17" t="n"/>
      <c r="F2975" s="28" t="n"/>
      <c r="G2975" s="29" t="n"/>
      <c r="H2975" s="29" t="n"/>
      <c r="I2975" s="29" t="n"/>
      <c r="J2975" s="29" t="n"/>
      <c r="K2975" s="30">
        <f>IF(B2975="","",SUM(G$2:I2975)-SUM(J$2:J2975))</f>
        <v/>
      </c>
      <c r="L2975" s="22">
        <f>IF(B2975="","",IF(B2975=B2974,L2974,N(L2974)+1))</f>
        <v/>
      </c>
    </row>
    <row r="2976">
      <c r="A2976" s="22" t="n"/>
      <c r="B2976" s="27" t="n"/>
      <c r="C2976" s="17" t="n"/>
      <c r="D2976" s="17" t="n"/>
      <c r="E2976" s="17" t="n"/>
      <c r="F2976" s="28" t="n"/>
      <c r="G2976" s="29" t="n"/>
      <c r="H2976" s="29" t="n"/>
      <c r="I2976" s="29" t="n"/>
      <c r="J2976" s="29" t="n"/>
      <c r="K2976" s="30">
        <f>IF(B2976="","",SUM(G$2:I2976)-SUM(J$2:J2976))</f>
        <v/>
      </c>
      <c r="L2976" s="22">
        <f>IF(B2976="","",IF(B2976=B2975,L2975,N(L2975)+1))</f>
        <v/>
      </c>
    </row>
    <row r="2977">
      <c r="A2977" s="22" t="n"/>
      <c r="B2977" s="27" t="n"/>
      <c r="C2977" s="17" t="n"/>
      <c r="D2977" s="17" t="n"/>
      <c r="E2977" s="17" t="n"/>
      <c r="F2977" s="28" t="n"/>
      <c r="G2977" s="29" t="n"/>
      <c r="H2977" s="29" t="n"/>
      <c r="I2977" s="29" t="n"/>
      <c r="J2977" s="29" t="n"/>
      <c r="K2977" s="30">
        <f>IF(B2977="","",SUM(G$2:I2977)-SUM(J$2:J2977))</f>
        <v/>
      </c>
      <c r="L2977" s="22">
        <f>IF(B2977="","",IF(B2977=B2976,L2976,N(L2976)+1))</f>
        <v/>
      </c>
    </row>
    <row r="2978">
      <c r="A2978" s="22" t="n"/>
      <c r="B2978" s="27" t="n"/>
      <c r="C2978" s="17" t="n"/>
      <c r="D2978" s="17" t="n"/>
      <c r="E2978" s="17" t="n"/>
      <c r="F2978" s="28" t="n"/>
      <c r="G2978" s="29" t="n"/>
      <c r="H2978" s="29" t="n"/>
      <c r="I2978" s="29" t="n"/>
      <c r="J2978" s="29" t="n"/>
      <c r="K2978" s="30">
        <f>IF(B2978="","",SUM(G$2:I2978)-SUM(J$2:J2978))</f>
        <v/>
      </c>
      <c r="L2978" s="22">
        <f>IF(B2978="","",IF(B2978=B2977,L2977,N(L2977)+1))</f>
        <v/>
      </c>
    </row>
    <row r="2979">
      <c r="A2979" s="22" t="n"/>
      <c r="B2979" s="27" t="n"/>
      <c r="C2979" s="17" t="n"/>
      <c r="D2979" s="17" t="n"/>
      <c r="E2979" s="17" t="n"/>
      <c r="F2979" s="28" t="n"/>
      <c r="G2979" s="29" t="n"/>
      <c r="H2979" s="29" t="n"/>
      <c r="I2979" s="29" t="n"/>
      <c r="J2979" s="29" t="n"/>
      <c r="K2979" s="30">
        <f>IF(B2979="","",SUM(G$2:I2979)-SUM(J$2:J2979))</f>
        <v/>
      </c>
      <c r="L2979" s="22">
        <f>IF(B2979="","",IF(B2979=B2978,L2978,N(L2978)+1))</f>
        <v/>
      </c>
    </row>
    <row r="2980">
      <c r="A2980" s="22" t="n"/>
      <c r="B2980" s="27" t="n"/>
      <c r="C2980" s="17" t="n"/>
      <c r="D2980" s="17" t="n"/>
      <c r="E2980" s="17" t="n"/>
      <c r="F2980" s="28" t="n"/>
      <c r="G2980" s="29" t="n"/>
      <c r="H2980" s="29" t="n"/>
      <c r="I2980" s="29" t="n"/>
      <c r="J2980" s="29" t="n"/>
      <c r="K2980" s="30">
        <f>IF(B2980="","",SUM(G$2:I2980)-SUM(J$2:J2980))</f>
        <v/>
      </c>
      <c r="L2980" s="22">
        <f>IF(B2980="","",IF(B2980=B2979,L2979,N(L2979)+1))</f>
        <v/>
      </c>
    </row>
    <row r="2981">
      <c r="A2981" s="22" t="n"/>
      <c r="B2981" s="27" t="n"/>
      <c r="C2981" s="17" t="n"/>
      <c r="D2981" s="17" t="n"/>
      <c r="E2981" s="17" t="n"/>
      <c r="F2981" s="28" t="n"/>
      <c r="G2981" s="29" t="n"/>
      <c r="H2981" s="29" t="n"/>
      <c r="I2981" s="29" t="n"/>
      <c r="J2981" s="29" t="n"/>
      <c r="K2981" s="30">
        <f>IF(B2981="","",SUM(G$2:I2981)-SUM(J$2:J2981))</f>
        <v/>
      </c>
      <c r="L2981" s="22">
        <f>IF(B2981="","",IF(B2981=B2980,L2980,N(L2980)+1))</f>
        <v/>
      </c>
    </row>
    <row r="2982">
      <c r="A2982" s="22" t="n"/>
      <c r="B2982" s="27" t="n"/>
      <c r="C2982" s="17" t="n"/>
      <c r="D2982" s="17" t="n"/>
      <c r="E2982" s="17" t="n"/>
      <c r="F2982" s="28" t="n"/>
      <c r="G2982" s="29" t="n"/>
      <c r="H2982" s="29" t="n"/>
      <c r="I2982" s="29" t="n"/>
      <c r="J2982" s="29" t="n"/>
      <c r="K2982" s="30">
        <f>IF(B2982="","",SUM(G$2:I2982)-SUM(J$2:J2982))</f>
        <v/>
      </c>
      <c r="L2982" s="22">
        <f>IF(B2982="","",IF(B2982=B2981,L2981,N(L2981)+1))</f>
        <v/>
      </c>
    </row>
    <row r="2983">
      <c r="A2983" s="22" t="n"/>
      <c r="B2983" s="27" t="n"/>
      <c r="C2983" s="17" t="n"/>
      <c r="D2983" s="17" t="n"/>
      <c r="E2983" s="17" t="n"/>
      <c r="F2983" s="28" t="n"/>
      <c r="G2983" s="29" t="n"/>
      <c r="H2983" s="29" t="n"/>
      <c r="I2983" s="29" t="n"/>
      <c r="J2983" s="29" t="n"/>
      <c r="K2983" s="30">
        <f>IF(B2983="","",SUM(G$2:I2983)-SUM(J$2:J2983))</f>
        <v/>
      </c>
      <c r="L2983" s="22">
        <f>IF(B2983="","",IF(B2983=B2982,L2982,N(L2982)+1))</f>
        <v/>
      </c>
    </row>
    <row r="2984">
      <c r="A2984" s="22" t="n"/>
      <c r="B2984" s="27" t="n"/>
      <c r="C2984" s="17" t="n"/>
      <c r="D2984" s="17" t="n"/>
      <c r="E2984" s="17" t="n"/>
      <c r="F2984" s="28" t="n"/>
      <c r="G2984" s="29" t="n"/>
      <c r="H2984" s="29" t="n"/>
      <c r="I2984" s="29" t="n"/>
      <c r="J2984" s="29" t="n"/>
      <c r="K2984" s="30">
        <f>IF(B2984="","",SUM(G$2:I2984)-SUM(J$2:J2984))</f>
        <v/>
      </c>
      <c r="L2984" s="22">
        <f>IF(B2984="","",IF(B2984=B2983,L2983,N(L2983)+1))</f>
        <v/>
      </c>
    </row>
    <row r="2985">
      <c r="A2985" s="22" t="n"/>
      <c r="B2985" s="27" t="n"/>
      <c r="C2985" s="17" t="n"/>
      <c r="D2985" s="17" t="n"/>
      <c r="E2985" s="17" t="n"/>
      <c r="F2985" s="28" t="n"/>
      <c r="G2985" s="29" t="n"/>
      <c r="H2985" s="29" t="n"/>
      <c r="I2985" s="29" t="n"/>
      <c r="J2985" s="29" t="n"/>
      <c r="K2985" s="30">
        <f>IF(B2985="","",SUM(G$2:I2985)-SUM(J$2:J2985))</f>
        <v/>
      </c>
      <c r="L2985" s="22">
        <f>IF(B2985="","",IF(B2985=B2984,L2984,N(L2984)+1))</f>
        <v/>
      </c>
    </row>
    <row r="2986">
      <c r="A2986" s="22" t="n"/>
      <c r="B2986" s="27" t="n"/>
      <c r="C2986" s="17" t="n"/>
      <c r="D2986" s="17" t="n"/>
      <c r="E2986" s="17" t="n"/>
      <c r="F2986" s="28" t="n"/>
      <c r="G2986" s="29" t="n"/>
      <c r="H2986" s="29" t="n"/>
      <c r="I2986" s="29" t="n"/>
      <c r="J2986" s="29" t="n"/>
      <c r="K2986" s="30">
        <f>IF(B2986="","",SUM(G$2:I2986)-SUM(J$2:J2986))</f>
        <v/>
      </c>
      <c r="L2986" s="22">
        <f>IF(B2986="","",IF(B2986=B2985,L2985,N(L2985)+1))</f>
        <v/>
      </c>
    </row>
    <row r="2987">
      <c r="A2987" s="22" t="n"/>
      <c r="B2987" s="27" t="n"/>
      <c r="C2987" s="17" t="n"/>
      <c r="D2987" s="17" t="n"/>
      <c r="E2987" s="17" t="n"/>
      <c r="F2987" s="28" t="n"/>
      <c r="G2987" s="29" t="n"/>
      <c r="H2987" s="29" t="n"/>
      <c r="I2987" s="29" t="n"/>
      <c r="J2987" s="29" t="n"/>
      <c r="K2987" s="30">
        <f>IF(B2987="","",SUM(G$2:I2987)-SUM(J$2:J2987))</f>
        <v/>
      </c>
      <c r="L2987" s="22">
        <f>IF(B2987="","",IF(B2987=B2986,L2986,N(L2986)+1))</f>
        <v/>
      </c>
    </row>
    <row r="2988">
      <c r="A2988" s="22" t="n"/>
      <c r="B2988" s="27" t="n"/>
      <c r="C2988" s="17" t="n"/>
      <c r="D2988" s="17" t="n"/>
      <c r="E2988" s="17" t="n"/>
      <c r="F2988" s="28" t="n"/>
      <c r="G2988" s="29" t="n"/>
      <c r="H2988" s="29" t="n"/>
      <c r="I2988" s="29" t="n"/>
      <c r="J2988" s="29" t="n"/>
      <c r="K2988" s="30">
        <f>IF(B2988="","",SUM(G$2:I2988)-SUM(J$2:J2988))</f>
        <v/>
      </c>
      <c r="L2988" s="22">
        <f>IF(B2988="","",IF(B2988=B2987,L2987,N(L2987)+1))</f>
        <v/>
      </c>
    </row>
    <row r="2989">
      <c r="A2989" s="22" t="n"/>
      <c r="B2989" s="27" t="n"/>
      <c r="C2989" s="17" t="n"/>
      <c r="D2989" s="17" t="n"/>
      <c r="E2989" s="17" t="n"/>
      <c r="F2989" s="28" t="n"/>
      <c r="G2989" s="29" t="n"/>
      <c r="H2989" s="29" t="n"/>
      <c r="I2989" s="29" t="n"/>
      <c r="J2989" s="29" t="n"/>
      <c r="K2989" s="30">
        <f>IF(B2989="","",SUM(G$2:I2989)-SUM(J$2:J2989))</f>
        <v/>
      </c>
      <c r="L2989" s="22">
        <f>IF(B2989="","",IF(B2989=B2988,L2988,N(L2988)+1))</f>
        <v/>
      </c>
    </row>
    <row r="2990">
      <c r="A2990" s="22" t="n"/>
      <c r="B2990" s="27" t="n"/>
      <c r="C2990" s="17" t="n"/>
      <c r="D2990" s="17" t="n"/>
      <c r="E2990" s="17" t="n"/>
      <c r="F2990" s="28" t="n"/>
      <c r="G2990" s="29" t="n"/>
      <c r="H2990" s="29" t="n"/>
      <c r="I2990" s="29" t="n"/>
      <c r="J2990" s="29" t="n"/>
      <c r="K2990" s="30">
        <f>IF(B2990="","",SUM(G$2:I2990)-SUM(J$2:J2990))</f>
        <v/>
      </c>
      <c r="L2990" s="22">
        <f>IF(B2990="","",IF(B2990=B2989,L2989,N(L2989)+1))</f>
        <v/>
      </c>
    </row>
    <row r="2991">
      <c r="A2991" s="22" t="n"/>
      <c r="B2991" s="27" t="n"/>
      <c r="C2991" s="17" t="n"/>
      <c r="D2991" s="17" t="n"/>
      <c r="E2991" s="17" t="n"/>
      <c r="F2991" s="28" t="n"/>
      <c r="G2991" s="29" t="n"/>
      <c r="H2991" s="29" t="n"/>
      <c r="I2991" s="29" t="n"/>
      <c r="J2991" s="29" t="n"/>
      <c r="K2991" s="30">
        <f>IF(B2991="","",SUM(G$2:I2991)-SUM(J$2:J2991))</f>
        <v/>
      </c>
      <c r="L2991" s="22">
        <f>IF(B2991="","",IF(B2991=B2990,L2990,N(L2990)+1))</f>
        <v/>
      </c>
    </row>
    <row r="2992">
      <c r="A2992" s="22" t="n"/>
      <c r="B2992" s="27" t="n"/>
      <c r="C2992" s="17" t="n"/>
      <c r="D2992" s="17" t="n"/>
      <c r="E2992" s="17" t="n"/>
      <c r="F2992" s="28" t="n"/>
      <c r="G2992" s="29" t="n"/>
      <c r="H2992" s="29" t="n"/>
      <c r="I2992" s="29" t="n"/>
      <c r="J2992" s="29" t="n"/>
      <c r="K2992" s="30">
        <f>IF(B2992="","",SUM(G$2:I2992)-SUM(J$2:J2992))</f>
        <v/>
      </c>
      <c r="L2992" s="22">
        <f>IF(B2992="","",IF(B2992=B2991,L2991,N(L2991)+1))</f>
        <v/>
      </c>
    </row>
    <row r="2993">
      <c r="A2993" s="22" t="n"/>
      <c r="B2993" s="27" t="n"/>
      <c r="C2993" s="17" t="n"/>
      <c r="D2993" s="17" t="n"/>
      <c r="E2993" s="17" t="n"/>
      <c r="F2993" s="28" t="n"/>
      <c r="G2993" s="29" t="n"/>
      <c r="H2993" s="29" t="n"/>
      <c r="I2993" s="29" t="n"/>
      <c r="J2993" s="29" t="n"/>
      <c r="K2993" s="30">
        <f>IF(B2993="","",SUM(G$2:I2993)-SUM(J$2:J2993))</f>
        <v/>
      </c>
      <c r="L2993" s="22">
        <f>IF(B2993="","",IF(B2993=B2992,L2992,N(L2992)+1))</f>
        <v/>
      </c>
    </row>
    <row r="2994">
      <c r="A2994" s="22" t="n"/>
      <c r="B2994" s="27" t="n"/>
      <c r="C2994" s="17" t="n"/>
      <c r="D2994" s="17" t="n"/>
      <c r="E2994" s="17" t="n"/>
      <c r="F2994" s="28" t="n"/>
      <c r="G2994" s="29" t="n"/>
      <c r="H2994" s="29" t="n"/>
      <c r="I2994" s="29" t="n"/>
      <c r="J2994" s="29" t="n"/>
      <c r="K2994" s="30">
        <f>IF(B2994="","",SUM(G$2:I2994)-SUM(J$2:J2994))</f>
        <v/>
      </c>
      <c r="L2994" s="22">
        <f>IF(B2994="","",IF(B2994=B2993,L2993,N(L2993)+1))</f>
        <v/>
      </c>
    </row>
    <row r="2995">
      <c r="A2995" s="22" t="n"/>
      <c r="B2995" s="27" t="n"/>
      <c r="C2995" s="17" t="n"/>
      <c r="D2995" s="17" t="n"/>
      <c r="E2995" s="17" t="n"/>
      <c r="F2995" s="28" t="n"/>
      <c r="G2995" s="29" t="n"/>
      <c r="H2995" s="29" t="n"/>
      <c r="I2995" s="29" t="n"/>
      <c r="J2995" s="29" t="n"/>
      <c r="K2995" s="30">
        <f>IF(B2995="","",SUM(G$2:I2995)-SUM(J$2:J2995))</f>
        <v/>
      </c>
      <c r="L2995" s="22">
        <f>IF(B2995="","",IF(B2995=B2994,L2994,N(L2994)+1))</f>
        <v/>
      </c>
    </row>
    <row r="2996">
      <c r="A2996" s="22" t="n"/>
      <c r="B2996" s="27" t="n"/>
      <c r="C2996" s="17" t="n"/>
      <c r="D2996" s="17" t="n"/>
      <c r="E2996" s="17" t="n"/>
      <c r="F2996" s="28" t="n"/>
      <c r="G2996" s="29" t="n"/>
      <c r="H2996" s="29" t="n"/>
      <c r="I2996" s="29" t="n"/>
      <c r="J2996" s="29" t="n"/>
      <c r="K2996" s="30">
        <f>IF(B2996="","",SUM(G$2:I2996)-SUM(J$2:J2996))</f>
        <v/>
      </c>
      <c r="L2996" s="22">
        <f>IF(B2996="","",IF(B2996=B2995,L2995,N(L2995)+1))</f>
        <v/>
      </c>
    </row>
    <row r="2997">
      <c r="A2997" s="22" t="n"/>
      <c r="B2997" s="27" t="n"/>
      <c r="C2997" s="17" t="n"/>
      <c r="D2997" s="17" t="n"/>
      <c r="E2997" s="17" t="n"/>
      <c r="F2997" s="28" t="n"/>
      <c r="G2997" s="29" t="n"/>
      <c r="H2997" s="29" t="n"/>
      <c r="I2997" s="29" t="n"/>
      <c r="J2997" s="29" t="n"/>
      <c r="K2997" s="30">
        <f>IF(B2997="","",SUM(G$2:I2997)-SUM(J$2:J2997))</f>
        <v/>
      </c>
      <c r="L2997" s="22">
        <f>IF(B2997="","",IF(B2997=B2996,L2996,N(L2996)+1))</f>
        <v/>
      </c>
    </row>
    <row r="2998">
      <c r="A2998" s="22" t="n"/>
      <c r="B2998" s="27" t="n"/>
      <c r="C2998" s="17" t="n"/>
      <c r="D2998" s="17" t="n"/>
      <c r="E2998" s="17" t="n"/>
      <c r="F2998" s="28" t="n"/>
      <c r="G2998" s="29" t="n"/>
      <c r="H2998" s="29" t="n"/>
      <c r="I2998" s="29" t="n"/>
      <c r="J2998" s="29" t="n"/>
      <c r="K2998" s="30">
        <f>IF(B2998="","",SUM(G$2:I2998)-SUM(J$2:J2998))</f>
        <v/>
      </c>
      <c r="L2998" s="22">
        <f>IF(B2998="","",IF(B2998=B2997,L2997,N(L2997)+1))</f>
        <v/>
      </c>
    </row>
    <row r="2999">
      <c r="A2999" s="22" t="n"/>
      <c r="B2999" s="27" t="n"/>
      <c r="C2999" s="17" t="n"/>
      <c r="D2999" s="17" t="n"/>
      <c r="E2999" s="17" t="n"/>
      <c r="F2999" s="28" t="n"/>
      <c r="G2999" s="29" t="n"/>
      <c r="H2999" s="29" t="n"/>
      <c r="I2999" s="29" t="n"/>
      <c r="J2999" s="29" t="n"/>
      <c r="K2999" s="30">
        <f>IF(B2999="","",SUM(G$2:I2999)-SUM(J$2:J2999))</f>
        <v/>
      </c>
      <c r="L2999" s="22">
        <f>IF(B2999="","",IF(B2999=B2998,L2998,N(L2998)+1))</f>
        <v/>
      </c>
    </row>
    <row r="3000">
      <c r="A3000" s="22" t="n"/>
      <c r="B3000" s="27" t="n"/>
      <c r="C3000" s="17" t="n"/>
      <c r="D3000" s="17" t="n"/>
      <c r="E3000" s="17" t="n"/>
      <c r="F3000" s="28" t="n"/>
      <c r="G3000" s="29" t="n"/>
      <c r="H3000" s="29" t="n"/>
      <c r="I3000" s="29" t="n"/>
      <c r="J3000" s="29" t="n"/>
      <c r="K3000" s="30">
        <f>IF(B3000="","",SUM(G$2:I3000)-SUM(J$2:J3000))</f>
        <v/>
      </c>
      <c r="L3000" s="22">
        <f>IF(B3000="","",IF(B3000=B2999,L2999,N(L2999)+1))</f>
        <v/>
      </c>
    </row>
  </sheetData>
  <autoFilter ref="A1:L3000"/>
  <conditionalFormatting sqref="A2:L3000">
    <cfRule type="expression" priority="1" dxfId="1">
      <formula>AND($L2&lt;&gt;"",ISEVEN($L2))</formula>
    </cfRule>
  </conditionalFormatting>
  <conditionalFormatting sqref="B2:B3000">
    <cfRule type="expression" priority="2" dxfId="2">
      <formula>AND($B2&lt;&gt;"",$B2=$B1)</formula>
    </cfRule>
    <cfRule type="expression" priority="3" dxfId="3">
      <formula>AND($B2&lt;&gt;"",$B2&lt;&gt;$B1)</formula>
    </cfRule>
  </conditionalFormatting>
  <conditionalFormatting sqref="G2:I3000">
    <cfRule type="cellIs" priority="4" operator="greaterThan" dxfId="4">
      <formula>0</formula>
    </cfRule>
  </conditionalFormatting>
  <conditionalFormatting sqref="J2:J3000">
    <cfRule type="cellIs" priority="5" operator="greaterThan" dxfId="0">
      <formula>0</formula>
    </cfRule>
  </conditionalFormatting>
  <dataValidations count="2">
    <dataValidation sqref="E2:E3000" showDropDown="0" showInputMessage="0" showErrorMessage="0" allowBlank="1" type="list">
      <formula1>=Tetapan!$I$5:$I$15</formula1>
    </dataValidation>
    <dataValidation sqref="C2:C3000" showDropDown="0" showInputMessage="0" showErrorMessage="0" allowBlank="1" type="list">
      <formula1>=Tetapan!$A$5:$A$19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/>
  </sheetPr>
  <dimension ref="A1:V5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hidden="1" width="13" customWidth="1" min="22" max="22"/>
  </cols>
  <sheetData>
    <row r="1" ht="36" customHeight="1">
      <c r="A1" s="1" t="inlineStr">
        <is>
          <t>Yuran Ahli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0" customHeight="1">
      <c r="A2" s="3" t="inlineStr">
        <is>
          <t>Bulan mana belum dibayar. Berdasarkan lajur 'Bulan Yuran' di Transaksi dan tempoh di Tetapan.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>
      <c r="A3" s="31" t="inlineStr">
        <is>
          <t>✓ dibayar    ½ bayaran separa    ✗ belum bayar    · bulan akan datang    – di luar tempoh / dikecualikan</t>
        </is>
      </c>
    </row>
    <row r="5" ht="42" customHeight="1">
      <c r="A5" s="11" t="inlineStr">
        <is>
          <t>Ahli</t>
        </is>
      </c>
      <c r="B5" s="11" t="inlineStr">
        <is>
          <t>Kelab: bil. belum bayar</t>
        </is>
      </c>
      <c r="C5" s="11" t="inlineStr">
        <is>
          <t>Kelab: bulan belum bayar</t>
        </is>
      </c>
      <c r="K5" s="11" t="inlineStr">
        <is>
          <t>Lawatan: bil. belum bayar</t>
        </is>
      </c>
      <c r="L5" s="11" t="inlineStr">
        <is>
          <t>Lawatan: bulan belum bayar</t>
        </is>
      </c>
    </row>
    <row r="6" ht="30" customHeight="1">
      <c r="A6" s="32">
        <f>Tetapan!A5</f>
        <v/>
      </c>
      <c r="B6" s="33">
        <f>COUNTIF(B25:T25,"✗")+COUNTIF(B25:T25,"½")</f>
        <v/>
      </c>
      <c r="C6" s="34">
        <f>IF(V25="","✓ Semua selesai",LEFT(V25,LEN(V25)-2))</f>
        <v/>
      </c>
      <c r="K6" s="33">
        <f>COUNTIF(B44:T44,"✗")+COUNTIF(B44:T44,"½")</f>
        <v/>
      </c>
      <c r="L6" s="34">
        <f>IF(V44="","✓ Semua selesai",LEFT(V44,LEN(V44)-2))</f>
        <v/>
      </c>
    </row>
    <row r="7" ht="30" customHeight="1">
      <c r="A7" s="32">
        <f>Tetapan!A6</f>
        <v/>
      </c>
      <c r="B7" s="33">
        <f>COUNTIF(B26:T26,"✗")+COUNTIF(B26:T26,"½")</f>
        <v/>
      </c>
      <c r="C7" s="34">
        <f>IF(V26="","✓ Semua selesai",LEFT(V26,LEN(V26)-2))</f>
        <v/>
      </c>
      <c r="K7" s="33">
        <f>COUNTIF(B45:T45,"✗")+COUNTIF(B45:T45,"½")</f>
        <v/>
      </c>
      <c r="L7" s="34">
        <f>IF(V45="","✓ Semua selesai",LEFT(V45,LEN(V45)-2))</f>
        <v/>
      </c>
    </row>
    <row r="8" ht="30" customHeight="1">
      <c r="A8" s="32">
        <f>Tetapan!A7</f>
        <v/>
      </c>
      <c r="B8" s="33">
        <f>COUNTIF(B27:T27,"✗")+COUNTIF(B27:T27,"½")</f>
        <v/>
      </c>
      <c r="C8" s="34">
        <f>IF(V27="","✓ Semua selesai",LEFT(V27,LEN(V27)-2))</f>
        <v/>
      </c>
      <c r="K8" s="33">
        <f>COUNTIF(B46:T46,"✗")+COUNTIF(B46:T46,"½")</f>
        <v/>
      </c>
      <c r="L8" s="34">
        <f>IF(V46="","✓ Semua selesai",LEFT(V46,LEN(V46)-2))</f>
        <v/>
      </c>
    </row>
    <row r="9" ht="30" customHeight="1">
      <c r="A9" s="32">
        <f>Tetapan!A8</f>
        <v/>
      </c>
      <c r="B9" s="33">
        <f>COUNTIF(B28:T28,"✗")+COUNTIF(B28:T28,"½")</f>
        <v/>
      </c>
      <c r="C9" s="34">
        <f>IF(V28="","✓ Semua selesai",LEFT(V28,LEN(V28)-2))</f>
        <v/>
      </c>
      <c r="K9" s="33">
        <f>COUNTIF(B47:T47,"✗")+COUNTIF(B47:T47,"½")</f>
        <v/>
      </c>
      <c r="L9" s="34">
        <f>IF(V47="","✓ Semua selesai",LEFT(V47,LEN(V47)-2))</f>
        <v/>
      </c>
    </row>
    <row r="10" ht="30" customHeight="1">
      <c r="A10" s="32">
        <f>Tetapan!A9</f>
        <v/>
      </c>
      <c r="B10" s="33">
        <f>COUNTIF(B29:T29,"✗")+COUNTIF(B29:T29,"½")</f>
        <v/>
      </c>
      <c r="C10" s="34">
        <f>IF(V29="","✓ Semua selesai",LEFT(V29,LEN(V29)-2))</f>
        <v/>
      </c>
      <c r="K10" s="33">
        <f>COUNTIF(B48:T48,"✗")+COUNTIF(B48:T48,"½")</f>
        <v/>
      </c>
      <c r="L10" s="34">
        <f>IF(V48="","✓ Semua selesai",LEFT(V48,LEN(V48)-2))</f>
        <v/>
      </c>
    </row>
    <row r="11" ht="30" customHeight="1">
      <c r="A11" s="32">
        <f>Tetapan!A10</f>
        <v/>
      </c>
      <c r="B11" s="33">
        <f>COUNTIF(B30:T30,"✗")+COUNTIF(B30:T30,"½")</f>
        <v/>
      </c>
      <c r="C11" s="34">
        <f>IF(V30="","✓ Semua selesai",LEFT(V30,LEN(V30)-2))</f>
        <v/>
      </c>
      <c r="K11" s="33">
        <f>COUNTIF(B49:T49,"✗")+COUNTIF(B49:T49,"½")</f>
        <v/>
      </c>
      <c r="L11" s="34">
        <f>IF(V49="","✓ Semua selesai",LEFT(V49,LEN(V49)-2))</f>
        <v/>
      </c>
    </row>
    <row r="12" ht="30" customHeight="1">
      <c r="A12" s="32">
        <f>Tetapan!A11</f>
        <v/>
      </c>
      <c r="B12" s="33">
        <f>COUNTIF(B31:T31,"✗")+COUNTIF(B31:T31,"½")</f>
        <v/>
      </c>
      <c r="C12" s="34">
        <f>IF(V31="","✓ Semua selesai",LEFT(V31,LEN(V31)-2))</f>
        <v/>
      </c>
      <c r="K12" s="33">
        <f>COUNTIF(B50:T50,"✗")+COUNTIF(B50:T50,"½")</f>
        <v/>
      </c>
      <c r="L12" s="34">
        <f>IF(V50="","✓ Semua selesai",LEFT(V50,LEN(V50)-2))</f>
        <v/>
      </c>
    </row>
    <row r="13" ht="30" customHeight="1">
      <c r="A13" s="32">
        <f>Tetapan!A12</f>
        <v/>
      </c>
      <c r="B13" s="33">
        <f>COUNTIF(B32:T32,"✗")+COUNTIF(B32:T32,"½")</f>
        <v/>
      </c>
      <c r="C13" s="34">
        <f>IF(V32="","✓ Semua selesai",LEFT(V32,LEN(V32)-2))</f>
        <v/>
      </c>
      <c r="K13" s="33">
        <f>COUNTIF(B51:T51,"✗")+COUNTIF(B51:T51,"½")</f>
        <v/>
      </c>
      <c r="L13" s="34">
        <f>IF(V51="","✓ Semua selesai",LEFT(V51,LEN(V51)-2))</f>
        <v/>
      </c>
    </row>
    <row r="14" ht="30" customHeight="1">
      <c r="A14" s="32">
        <f>Tetapan!A13</f>
        <v/>
      </c>
      <c r="B14" s="33">
        <f>COUNTIF(B33:T33,"✗")+COUNTIF(B33:T33,"½")</f>
        <v/>
      </c>
      <c r="C14" s="34">
        <f>IF(V33="","✓ Semua selesai",LEFT(V33,LEN(V33)-2))</f>
        <v/>
      </c>
      <c r="K14" s="33">
        <f>COUNTIF(B52:T52,"✗")+COUNTIF(B52:T52,"½")</f>
        <v/>
      </c>
      <c r="L14" s="34">
        <f>IF(V52="","✓ Semua selesai",LEFT(V52,LEN(V52)-2))</f>
        <v/>
      </c>
    </row>
    <row r="15" ht="30" customHeight="1">
      <c r="A15" s="32">
        <f>Tetapan!A14</f>
        <v/>
      </c>
      <c r="B15" s="33">
        <f>COUNTIF(B34:T34,"✗")+COUNTIF(B34:T34,"½")</f>
        <v/>
      </c>
      <c r="C15" s="34">
        <f>IF(V34="","✓ Semua selesai",LEFT(V34,LEN(V34)-2))</f>
        <v/>
      </c>
      <c r="K15" s="33">
        <f>COUNTIF(B53:T53,"✗")+COUNTIF(B53:T53,"½")</f>
        <v/>
      </c>
      <c r="L15" s="34">
        <f>IF(V53="","✓ Semua selesai",LEFT(V53,LEN(V53)-2))</f>
        <v/>
      </c>
    </row>
    <row r="16" ht="30" customHeight="1">
      <c r="A16" s="32">
        <f>Tetapan!A15</f>
        <v/>
      </c>
      <c r="B16" s="33">
        <f>COUNTIF(B35:T35,"✗")+COUNTIF(B35:T35,"½")</f>
        <v/>
      </c>
      <c r="C16" s="34">
        <f>IF(V35="","✓ Semua selesai",LEFT(V35,LEN(V35)-2))</f>
        <v/>
      </c>
      <c r="K16" s="33">
        <f>COUNTIF(B54:T54,"✗")+COUNTIF(B54:T54,"½")</f>
        <v/>
      </c>
      <c r="L16" s="34">
        <f>IF(V54="","✓ Semua selesai",LEFT(V54,LEN(V54)-2))</f>
        <v/>
      </c>
    </row>
    <row r="17" ht="30" customHeight="1">
      <c r="A17" s="32">
        <f>Tetapan!A16</f>
        <v/>
      </c>
      <c r="B17" s="33">
        <f>COUNTIF(B36:T36,"✗")+COUNTIF(B36:T36,"½")</f>
        <v/>
      </c>
      <c r="C17" s="34">
        <f>IF(V36="","✓ Semua selesai",LEFT(V36,LEN(V36)-2))</f>
        <v/>
      </c>
      <c r="K17" s="33">
        <f>COUNTIF(B55:T55,"✗")+COUNTIF(B55:T55,"½")</f>
        <v/>
      </c>
      <c r="L17" s="34">
        <f>IF(V55="","✓ Semua selesai",LEFT(V55,LEN(V55)-2))</f>
        <v/>
      </c>
    </row>
    <row r="18" ht="30" customHeight="1">
      <c r="A18" s="32">
        <f>Tetapan!A17</f>
        <v/>
      </c>
      <c r="B18" s="33">
        <f>COUNTIF(B37:T37,"✗")+COUNTIF(B37:T37,"½")</f>
        <v/>
      </c>
      <c r="C18" s="34">
        <f>IF(V37="","✓ Semua selesai",LEFT(V37,LEN(V37)-2))</f>
        <v/>
      </c>
      <c r="K18" s="33">
        <f>COUNTIF(B56:T56,"✗")+COUNTIF(B56:T56,"½")</f>
        <v/>
      </c>
      <c r="L18" s="34">
        <f>IF(V56="","✓ Semua selesai",LEFT(V56,LEN(V56)-2))</f>
        <v/>
      </c>
    </row>
    <row r="19" ht="30" customHeight="1">
      <c r="A19" s="32">
        <f>Tetapan!A18</f>
        <v/>
      </c>
      <c r="B19" s="33">
        <f>COUNTIF(B38:T38,"✗")+COUNTIF(B38:T38,"½")</f>
        <v/>
      </c>
      <c r="C19" s="34">
        <f>IF(V38="","✓ Semua selesai",LEFT(V38,LEN(V38)-2))</f>
        <v/>
      </c>
      <c r="K19" s="33">
        <f>COUNTIF(B57:T57,"✗")+COUNTIF(B57:T57,"½")</f>
        <v/>
      </c>
      <c r="L19" s="34">
        <f>IF(V57="","✓ Semua selesai",LEFT(V57,LEN(V57)-2))</f>
        <v/>
      </c>
    </row>
    <row r="20" ht="30" customHeight="1">
      <c r="A20" s="32">
        <f>Tetapan!A19</f>
        <v/>
      </c>
      <c r="B20" s="33">
        <f>COUNTIF(B39:T39,"✗")+COUNTIF(B39:T39,"½")</f>
        <v/>
      </c>
      <c r="C20" s="34">
        <f>IF(V39="","✓ Semua selesai",LEFT(V39,LEN(V39)-2))</f>
        <v/>
      </c>
      <c r="K20" s="33">
        <f>COUNTIF(B58:T58,"✗")+COUNTIF(B58:T58,"½")</f>
        <v/>
      </c>
      <c r="L20" s="34">
        <f>IF(V58="","✓ Semua selesai",LEFT(V58,LEN(V58)-2))</f>
        <v/>
      </c>
    </row>
    <row r="23">
      <c r="A23" s="10" t="inlineStr">
        <is>
          <t>Jadual Yuran Kelab</t>
        </is>
      </c>
    </row>
    <row r="24" ht="24" customHeight="1">
      <c r="A24" s="11" t="inlineStr">
        <is>
          <t>Ahli</t>
        </is>
      </c>
      <c r="B24" s="35">
        <f>Tetapan!$B$22</f>
        <v/>
      </c>
      <c r="C24" s="35">
        <f>EDATE(B24,1)</f>
        <v/>
      </c>
      <c r="D24" s="35">
        <f>EDATE(C24,1)</f>
        <v/>
      </c>
      <c r="E24" s="35">
        <f>EDATE(D24,1)</f>
        <v/>
      </c>
      <c r="F24" s="35">
        <f>EDATE(E24,1)</f>
        <v/>
      </c>
      <c r="G24" s="35">
        <f>EDATE(F24,1)</f>
        <v/>
      </c>
      <c r="H24" s="35">
        <f>EDATE(G24,1)</f>
        <v/>
      </c>
      <c r="I24" s="35">
        <f>EDATE(H24,1)</f>
        <v/>
      </c>
      <c r="J24" s="35">
        <f>EDATE(I24,1)</f>
        <v/>
      </c>
      <c r="K24" s="35">
        <f>EDATE(J24,1)</f>
        <v/>
      </c>
      <c r="L24" s="35">
        <f>EDATE(K24,1)</f>
        <v/>
      </c>
      <c r="M24" s="35">
        <f>EDATE(L24,1)</f>
        <v/>
      </c>
      <c r="N24" s="35">
        <f>EDATE(M24,1)</f>
        <v/>
      </c>
      <c r="O24" s="35">
        <f>EDATE(N24,1)</f>
        <v/>
      </c>
      <c r="P24" s="35">
        <f>EDATE(O24,1)</f>
        <v/>
      </c>
      <c r="Q24" s="35">
        <f>EDATE(P24,1)</f>
        <v/>
      </c>
      <c r="R24" s="35">
        <f>EDATE(Q24,1)</f>
        <v/>
      </c>
      <c r="S24" s="35">
        <f>EDATE(R24,1)</f>
        <v/>
      </c>
      <c r="T24" s="35">
        <f>EDATE(S24,1)</f>
        <v/>
      </c>
    </row>
    <row r="25">
      <c r="A25" s="32">
        <f>Tetapan!A5</f>
        <v/>
      </c>
      <c r="B25" s="36">
        <f>IF(OR(B$24&lt;Tetapan!$B5,AND(Tetapan!$C5&lt;&gt;"",B$24&gt;Tetapan!$C5),Tetapan!$D5=0),"–",IF(SUMPRODUCT(ISNUMBER(SEARCH(", "&amp;TEXT(B$24,"yyyy-mm")&amp;",",", "&amp;Transaksi!$F$2:$F$3000&amp;","))*(Transaksi!$C$2:$C$3000=$A25)*(Transaksi!$G$2:$G$3000&gt;0))&gt;0,"✓",IF(SUMPRODUCT(ISNUMBER(SEARCH(", "&amp;TEXT(B$24,"yyyy-mm")&amp;":",", "&amp;Transaksi!$F$2:$F$3000&amp;","))*(Transaksi!$C$2:$C$3000=$A25)*(Transaksi!$G$2:$G$3000&gt;0))&gt;0,"½",IF(B$24&gt;TODAY(),"·","✗"))))</f>
        <v/>
      </c>
      <c r="C25" s="36">
        <f>IF(OR(C$24&lt;Tetapan!$B5,AND(Tetapan!$C5&lt;&gt;"",C$24&gt;Tetapan!$C5),Tetapan!$D5=0),"–",IF(SUMPRODUCT(ISNUMBER(SEARCH(", "&amp;TEXT(C$24,"yyyy-mm")&amp;",",", "&amp;Transaksi!$F$2:$F$3000&amp;","))*(Transaksi!$C$2:$C$3000=$A25)*(Transaksi!$G$2:$G$3000&gt;0))&gt;0,"✓",IF(SUMPRODUCT(ISNUMBER(SEARCH(", "&amp;TEXT(C$24,"yyyy-mm")&amp;":",", "&amp;Transaksi!$F$2:$F$3000&amp;","))*(Transaksi!$C$2:$C$3000=$A25)*(Transaksi!$G$2:$G$3000&gt;0))&gt;0,"½",IF(C$24&gt;TODAY(),"·","✗"))))</f>
        <v/>
      </c>
      <c r="D25" s="36">
        <f>IF(OR(D$24&lt;Tetapan!$B5,AND(Tetapan!$C5&lt;&gt;"",D$24&gt;Tetapan!$C5),Tetapan!$D5=0),"–",IF(SUMPRODUCT(ISNUMBER(SEARCH(", "&amp;TEXT(D$24,"yyyy-mm")&amp;",",", "&amp;Transaksi!$F$2:$F$3000&amp;","))*(Transaksi!$C$2:$C$3000=$A25)*(Transaksi!$G$2:$G$3000&gt;0))&gt;0,"✓",IF(SUMPRODUCT(ISNUMBER(SEARCH(", "&amp;TEXT(D$24,"yyyy-mm")&amp;":",", "&amp;Transaksi!$F$2:$F$3000&amp;","))*(Transaksi!$C$2:$C$3000=$A25)*(Transaksi!$G$2:$G$3000&gt;0))&gt;0,"½",IF(D$24&gt;TODAY(),"·","✗"))))</f>
        <v/>
      </c>
      <c r="E25" s="36">
        <f>IF(OR(E$24&lt;Tetapan!$B5,AND(Tetapan!$C5&lt;&gt;"",E$24&gt;Tetapan!$C5),Tetapan!$D5=0),"–",IF(SUMPRODUCT(ISNUMBER(SEARCH(", "&amp;TEXT(E$24,"yyyy-mm")&amp;",",", "&amp;Transaksi!$F$2:$F$3000&amp;","))*(Transaksi!$C$2:$C$3000=$A25)*(Transaksi!$G$2:$G$3000&gt;0))&gt;0,"✓",IF(SUMPRODUCT(ISNUMBER(SEARCH(", "&amp;TEXT(E$24,"yyyy-mm")&amp;":",", "&amp;Transaksi!$F$2:$F$3000&amp;","))*(Transaksi!$C$2:$C$3000=$A25)*(Transaksi!$G$2:$G$3000&gt;0))&gt;0,"½",IF(E$24&gt;TODAY(),"·","✗"))))</f>
        <v/>
      </c>
      <c r="F25" s="36">
        <f>IF(OR(F$24&lt;Tetapan!$B5,AND(Tetapan!$C5&lt;&gt;"",F$24&gt;Tetapan!$C5),Tetapan!$D5=0),"–",IF(SUMPRODUCT(ISNUMBER(SEARCH(", "&amp;TEXT(F$24,"yyyy-mm")&amp;",",", "&amp;Transaksi!$F$2:$F$3000&amp;","))*(Transaksi!$C$2:$C$3000=$A25)*(Transaksi!$G$2:$G$3000&gt;0))&gt;0,"✓",IF(SUMPRODUCT(ISNUMBER(SEARCH(", "&amp;TEXT(F$24,"yyyy-mm")&amp;":",", "&amp;Transaksi!$F$2:$F$3000&amp;","))*(Transaksi!$C$2:$C$3000=$A25)*(Transaksi!$G$2:$G$3000&gt;0))&gt;0,"½",IF(F$24&gt;TODAY(),"·","✗"))))</f>
        <v/>
      </c>
      <c r="G25" s="36">
        <f>IF(OR(G$24&lt;Tetapan!$B5,AND(Tetapan!$C5&lt;&gt;"",G$24&gt;Tetapan!$C5),Tetapan!$D5=0),"–",IF(SUMPRODUCT(ISNUMBER(SEARCH(", "&amp;TEXT(G$24,"yyyy-mm")&amp;",",", "&amp;Transaksi!$F$2:$F$3000&amp;","))*(Transaksi!$C$2:$C$3000=$A25)*(Transaksi!$G$2:$G$3000&gt;0))&gt;0,"✓",IF(SUMPRODUCT(ISNUMBER(SEARCH(", "&amp;TEXT(G$24,"yyyy-mm")&amp;":",", "&amp;Transaksi!$F$2:$F$3000&amp;","))*(Transaksi!$C$2:$C$3000=$A25)*(Transaksi!$G$2:$G$3000&gt;0))&gt;0,"½",IF(G$24&gt;TODAY(),"·","✗"))))</f>
        <v/>
      </c>
      <c r="H25" s="36">
        <f>IF(OR(H$24&lt;Tetapan!$B5,AND(Tetapan!$C5&lt;&gt;"",H$24&gt;Tetapan!$C5),Tetapan!$D5=0),"–",IF(SUMPRODUCT(ISNUMBER(SEARCH(", "&amp;TEXT(H$24,"yyyy-mm")&amp;",",", "&amp;Transaksi!$F$2:$F$3000&amp;","))*(Transaksi!$C$2:$C$3000=$A25)*(Transaksi!$G$2:$G$3000&gt;0))&gt;0,"✓",IF(SUMPRODUCT(ISNUMBER(SEARCH(", "&amp;TEXT(H$24,"yyyy-mm")&amp;":",", "&amp;Transaksi!$F$2:$F$3000&amp;","))*(Transaksi!$C$2:$C$3000=$A25)*(Transaksi!$G$2:$G$3000&gt;0))&gt;0,"½",IF(H$24&gt;TODAY(),"·","✗"))))</f>
        <v/>
      </c>
      <c r="I25" s="36">
        <f>IF(OR(I$24&lt;Tetapan!$B5,AND(Tetapan!$C5&lt;&gt;"",I$24&gt;Tetapan!$C5),Tetapan!$D5=0),"–",IF(SUMPRODUCT(ISNUMBER(SEARCH(", "&amp;TEXT(I$24,"yyyy-mm")&amp;",",", "&amp;Transaksi!$F$2:$F$3000&amp;","))*(Transaksi!$C$2:$C$3000=$A25)*(Transaksi!$G$2:$G$3000&gt;0))&gt;0,"✓",IF(SUMPRODUCT(ISNUMBER(SEARCH(", "&amp;TEXT(I$24,"yyyy-mm")&amp;":",", "&amp;Transaksi!$F$2:$F$3000&amp;","))*(Transaksi!$C$2:$C$3000=$A25)*(Transaksi!$G$2:$G$3000&gt;0))&gt;0,"½",IF(I$24&gt;TODAY(),"·","✗"))))</f>
        <v/>
      </c>
      <c r="J25" s="36">
        <f>IF(OR(J$24&lt;Tetapan!$B5,AND(Tetapan!$C5&lt;&gt;"",J$24&gt;Tetapan!$C5),Tetapan!$D5=0),"–",IF(SUMPRODUCT(ISNUMBER(SEARCH(", "&amp;TEXT(J$24,"yyyy-mm")&amp;",",", "&amp;Transaksi!$F$2:$F$3000&amp;","))*(Transaksi!$C$2:$C$3000=$A25)*(Transaksi!$G$2:$G$3000&gt;0))&gt;0,"✓",IF(SUMPRODUCT(ISNUMBER(SEARCH(", "&amp;TEXT(J$24,"yyyy-mm")&amp;":",", "&amp;Transaksi!$F$2:$F$3000&amp;","))*(Transaksi!$C$2:$C$3000=$A25)*(Transaksi!$G$2:$G$3000&gt;0))&gt;0,"½",IF(J$24&gt;TODAY(),"·","✗"))))</f>
        <v/>
      </c>
      <c r="K25" s="36">
        <f>IF(OR(K$24&lt;Tetapan!$B5,AND(Tetapan!$C5&lt;&gt;"",K$24&gt;Tetapan!$C5),Tetapan!$D5=0),"–",IF(SUMPRODUCT(ISNUMBER(SEARCH(", "&amp;TEXT(K$24,"yyyy-mm")&amp;",",", "&amp;Transaksi!$F$2:$F$3000&amp;","))*(Transaksi!$C$2:$C$3000=$A25)*(Transaksi!$G$2:$G$3000&gt;0))&gt;0,"✓",IF(SUMPRODUCT(ISNUMBER(SEARCH(", "&amp;TEXT(K$24,"yyyy-mm")&amp;":",", "&amp;Transaksi!$F$2:$F$3000&amp;","))*(Transaksi!$C$2:$C$3000=$A25)*(Transaksi!$G$2:$G$3000&gt;0))&gt;0,"½",IF(K$24&gt;TODAY(),"·","✗"))))</f>
        <v/>
      </c>
      <c r="L25" s="36">
        <f>IF(OR(L$24&lt;Tetapan!$B5,AND(Tetapan!$C5&lt;&gt;"",L$24&gt;Tetapan!$C5),Tetapan!$D5=0),"–",IF(SUMPRODUCT(ISNUMBER(SEARCH(", "&amp;TEXT(L$24,"yyyy-mm")&amp;",",", "&amp;Transaksi!$F$2:$F$3000&amp;","))*(Transaksi!$C$2:$C$3000=$A25)*(Transaksi!$G$2:$G$3000&gt;0))&gt;0,"✓",IF(SUMPRODUCT(ISNUMBER(SEARCH(", "&amp;TEXT(L$24,"yyyy-mm")&amp;":",", "&amp;Transaksi!$F$2:$F$3000&amp;","))*(Transaksi!$C$2:$C$3000=$A25)*(Transaksi!$G$2:$G$3000&gt;0))&gt;0,"½",IF(L$24&gt;TODAY(),"·","✗"))))</f>
        <v/>
      </c>
      <c r="M25" s="36">
        <f>IF(OR(M$24&lt;Tetapan!$B5,AND(Tetapan!$C5&lt;&gt;"",M$24&gt;Tetapan!$C5),Tetapan!$D5=0),"–",IF(SUMPRODUCT(ISNUMBER(SEARCH(", "&amp;TEXT(M$24,"yyyy-mm")&amp;",",", "&amp;Transaksi!$F$2:$F$3000&amp;","))*(Transaksi!$C$2:$C$3000=$A25)*(Transaksi!$G$2:$G$3000&gt;0))&gt;0,"✓",IF(SUMPRODUCT(ISNUMBER(SEARCH(", "&amp;TEXT(M$24,"yyyy-mm")&amp;":",", "&amp;Transaksi!$F$2:$F$3000&amp;","))*(Transaksi!$C$2:$C$3000=$A25)*(Transaksi!$G$2:$G$3000&gt;0))&gt;0,"½",IF(M$24&gt;TODAY(),"·","✗"))))</f>
        <v/>
      </c>
      <c r="N25" s="36">
        <f>IF(OR(N$24&lt;Tetapan!$B5,AND(Tetapan!$C5&lt;&gt;"",N$24&gt;Tetapan!$C5),Tetapan!$D5=0),"–",IF(SUMPRODUCT(ISNUMBER(SEARCH(", "&amp;TEXT(N$24,"yyyy-mm")&amp;",",", "&amp;Transaksi!$F$2:$F$3000&amp;","))*(Transaksi!$C$2:$C$3000=$A25)*(Transaksi!$G$2:$G$3000&gt;0))&gt;0,"✓",IF(SUMPRODUCT(ISNUMBER(SEARCH(", "&amp;TEXT(N$24,"yyyy-mm")&amp;":",", "&amp;Transaksi!$F$2:$F$3000&amp;","))*(Transaksi!$C$2:$C$3000=$A25)*(Transaksi!$G$2:$G$3000&gt;0))&gt;0,"½",IF(N$24&gt;TODAY(),"·","✗"))))</f>
        <v/>
      </c>
      <c r="O25" s="36">
        <f>IF(OR(O$24&lt;Tetapan!$B5,AND(Tetapan!$C5&lt;&gt;"",O$24&gt;Tetapan!$C5),Tetapan!$D5=0),"–",IF(SUMPRODUCT(ISNUMBER(SEARCH(", "&amp;TEXT(O$24,"yyyy-mm")&amp;",",", "&amp;Transaksi!$F$2:$F$3000&amp;","))*(Transaksi!$C$2:$C$3000=$A25)*(Transaksi!$G$2:$G$3000&gt;0))&gt;0,"✓",IF(SUMPRODUCT(ISNUMBER(SEARCH(", "&amp;TEXT(O$24,"yyyy-mm")&amp;":",", "&amp;Transaksi!$F$2:$F$3000&amp;","))*(Transaksi!$C$2:$C$3000=$A25)*(Transaksi!$G$2:$G$3000&gt;0))&gt;0,"½",IF(O$24&gt;TODAY(),"·","✗"))))</f>
        <v/>
      </c>
      <c r="P25" s="36">
        <f>IF(OR(P$24&lt;Tetapan!$B5,AND(Tetapan!$C5&lt;&gt;"",P$24&gt;Tetapan!$C5),Tetapan!$D5=0),"–",IF(SUMPRODUCT(ISNUMBER(SEARCH(", "&amp;TEXT(P$24,"yyyy-mm")&amp;",",", "&amp;Transaksi!$F$2:$F$3000&amp;","))*(Transaksi!$C$2:$C$3000=$A25)*(Transaksi!$G$2:$G$3000&gt;0))&gt;0,"✓",IF(SUMPRODUCT(ISNUMBER(SEARCH(", "&amp;TEXT(P$24,"yyyy-mm")&amp;":",", "&amp;Transaksi!$F$2:$F$3000&amp;","))*(Transaksi!$C$2:$C$3000=$A25)*(Transaksi!$G$2:$G$3000&gt;0))&gt;0,"½",IF(P$24&gt;TODAY(),"·","✗"))))</f>
        <v/>
      </c>
      <c r="Q25" s="36">
        <f>IF(OR(Q$24&lt;Tetapan!$B5,AND(Tetapan!$C5&lt;&gt;"",Q$24&gt;Tetapan!$C5),Tetapan!$D5=0),"–",IF(SUMPRODUCT(ISNUMBER(SEARCH(", "&amp;TEXT(Q$24,"yyyy-mm")&amp;",",", "&amp;Transaksi!$F$2:$F$3000&amp;","))*(Transaksi!$C$2:$C$3000=$A25)*(Transaksi!$G$2:$G$3000&gt;0))&gt;0,"✓",IF(SUMPRODUCT(ISNUMBER(SEARCH(", "&amp;TEXT(Q$24,"yyyy-mm")&amp;":",", "&amp;Transaksi!$F$2:$F$3000&amp;","))*(Transaksi!$C$2:$C$3000=$A25)*(Transaksi!$G$2:$G$3000&gt;0))&gt;0,"½",IF(Q$24&gt;TODAY(),"·","✗"))))</f>
        <v/>
      </c>
      <c r="R25" s="36">
        <f>IF(OR(R$24&lt;Tetapan!$B5,AND(Tetapan!$C5&lt;&gt;"",R$24&gt;Tetapan!$C5),Tetapan!$D5=0),"–",IF(SUMPRODUCT(ISNUMBER(SEARCH(", "&amp;TEXT(R$24,"yyyy-mm")&amp;",",", "&amp;Transaksi!$F$2:$F$3000&amp;","))*(Transaksi!$C$2:$C$3000=$A25)*(Transaksi!$G$2:$G$3000&gt;0))&gt;0,"✓",IF(SUMPRODUCT(ISNUMBER(SEARCH(", "&amp;TEXT(R$24,"yyyy-mm")&amp;":",", "&amp;Transaksi!$F$2:$F$3000&amp;","))*(Transaksi!$C$2:$C$3000=$A25)*(Transaksi!$G$2:$G$3000&gt;0))&gt;0,"½",IF(R$24&gt;TODAY(),"·","✗"))))</f>
        <v/>
      </c>
      <c r="S25" s="36">
        <f>IF(OR(S$24&lt;Tetapan!$B5,AND(Tetapan!$C5&lt;&gt;"",S$24&gt;Tetapan!$C5),Tetapan!$D5=0),"–",IF(SUMPRODUCT(ISNUMBER(SEARCH(", "&amp;TEXT(S$24,"yyyy-mm")&amp;",",", "&amp;Transaksi!$F$2:$F$3000&amp;","))*(Transaksi!$C$2:$C$3000=$A25)*(Transaksi!$G$2:$G$3000&gt;0))&gt;0,"✓",IF(SUMPRODUCT(ISNUMBER(SEARCH(", "&amp;TEXT(S$24,"yyyy-mm")&amp;":",", "&amp;Transaksi!$F$2:$F$3000&amp;","))*(Transaksi!$C$2:$C$3000=$A25)*(Transaksi!$G$2:$G$3000&gt;0))&gt;0,"½",IF(S$24&gt;TODAY(),"·","✗"))))</f>
        <v/>
      </c>
      <c r="T25" s="36">
        <f>IF(OR(T$24&lt;Tetapan!$B5,AND(Tetapan!$C5&lt;&gt;"",T$24&gt;Tetapan!$C5),Tetapan!$D5=0),"–",IF(SUMPRODUCT(ISNUMBER(SEARCH(", "&amp;TEXT(T$24,"yyyy-mm")&amp;",",", "&amp;Transaksi!$F$2:$F$3000&amp;","))*(Transaksi!$C$2:$C$3000=$A25)*(Transaksi!$G$2:$G$3000&gt;0))&gt;0,"✓",IF(SUMPRODUCT(ISNUMBER(SEARCH(", "&amp;TEXT(T$24,"yyyy-mm")&amp;":",", "&amp;Transaksi!$F$2:$F$3000&amp;","))*(Transaksi!$C$2:$C$3000=$A25)*(Transaksi!$G$2:$G$3000&gt;0))&gt;0,"½",IF(T$24&gt;TODAY(),"·","✗"))))</f>
        <v/>
      </c>
      <c r="V25" s="37">
        <f>IF(B25="✗",TEXT(B$24,"mmm yy")&amp;", ",IF(B25="½",TEXT(B$24,"mmm yy")&amp;" (separa), ",""))&amp;IF(C25="✗",TEXT(C$24,"mmm yy")&amp;", ",IF(C25="½",TEXT(C$24,"mmm yy")&amp;" (separa), ",""))&amp;IF(D25="✗",TEXT(D$24,"mmm yy")&amp;", ",IF(D25="½",TEXT(D$24,"mmm yy")&amp;" (separa), ",""))&amp;IF(E25="✗",TEXT(E$24,"mmm yy")&amp;", ",IF(E25="½",TEXT(E$24,"mmm yy")&amp;" (separa), ",""))&amp;IF(F25="✗",TEXT(F$24,"mmm yy")&amp;", ",IF(F25="½",TEXT(F$24,"mmm yy")&amp;" (separa), ",""))&amp;IF(G25="✗",TEXT(G$24,"mmm yy")&amp;", ",IF(G25="½",TEXT(G$24,"mmm yy")&amp;" (separa), ",""))&amp;IF(H25="✗",TEXT(H$24,"mmm yy")&amp;", ",IF(H25="½",TEXT(H$24,"mmm yy")&amp;" (separa), ",""))&amp;IF(I25="✗",TEXT(I$24,"mmm yy")&amp;", ",IF(I25="½",TEXT(I$24,"mmm yy")&amp;" (separa), ",""))&amp;IF(J25="✗",TEXT(J$24,"mmm yy")&amp;", ",IF(J25="½",TEXT(J$24,"mmm yy")&amp;" (separa), ",""))&amp;IF(K25="✗",TEXT(K$24,"mmm yy")&amp;", ",IF(K25="½",TEXT(K$24,"mmm yy")&amp;" (separa), ",""))&amp;IF(L25="✗",TEXT(L$24,"mmm yy")&amp;", ",IF(L25="½",TEXT(L$24,"mmm yy")&amp;" (separa), ",""))&amp;IF(M25="✗",TEXT(M$24,"mmm yy")&amp;", ",IF(M25="½",TEXT(M$24,"mmm yy")&amp;" (separa), ",""))&amp;IF(N25="✗",TEXT(N$24,"mmm yy")&amp;", ",IF(N25="½",TEXT(N$24,"mmm yy")&amp;" (separa), ",""))&amp;IF(O25="✗",TEXT(O$24,"mmm yy")&amp;", ",IF(O25="½",TEXT(O$24,"mmm yy")&amp;" (separa), ",""))&amp;IF(P25="✗",TEXT(P$24,"mmm yy")&amp;", ",IF(P25="½",TEXT(P$24,"mmm yy")&amp;" (separa), ",""))&amp;IF(Q25="✗",TEXT(Q$24,"mmm yy")&amp;", ",IF(Q25="½",TEXT(Q$24,"mmm yy")&amp;" (separa), ",""))&amp;IF(R25="✗",TEXT(R$24,"mmm yy")&amp;", ",IF(R25="½",TEXT(R$24,"mmm yy")&amp;" (separa), ",""))&amp;IF(S25="✗",TEXT(S$24,"mmm yy")&amp;", ",IF(S25="½",TEXT(S$24,"mmm yy")&amp;" (separa), ",""))&amp;IF(T25="✗",TEXT(T$24,"mmm yy")&amp;", ",IF(T25="½",TEXT(T$24,"mmm yy")&amp;" (separa), ",""))</f>
        <v/>
      </c>
    </row>
    <row r="26">
      <c r="A26" s="32">
        <f>Tetapan!A6</f>
        <v/>
      </c>
      <c r="B26" s="36">
        <f>IF(OR(B$24&lt;Tetapan!$B6,AND(Tetapan!$C6&lt;&gt;"",B$24&gt;Tetapan!$C6),Tetapan!$D6=0),"–",IF(SUMPRODUCT(ISNUMBER(SEARCH(", "&amp;TEXT(B$24,"yyyy-mm")&amp;",",", "&amp;Transaksi!$F$2:$F$3000&amp;","))*(Transaksi!$C$2:$C$3000=$A26)*(Transaksi!$G$2:$G$3000&gt;0))&gt;0,"✓",IF(SUMPRODUCT(ISNUMBER(SEARCH(", "&amp;TEXT(B$24,"yyyy-mm")&amp;":",", "&amp;Transaksi!$F$2:$F$3000&amp;","))*(Transaksi!$C$2:$C$3000=$A26)*(Transaksi!$G$2:$G$3000&gt;0))&gt;0,"½",IF(B$24&gt;TODAY(),"·","✗"))))</f>
        <v/>
      </c>
      <c r="C26" s="36">
        <f>IF(OR(C$24&lt;Tetapan!$B6,AND(Tetapan!$C6&lt;&gt;"",C$24&gt;Tetapan!$C6),Tetapan!$D6=0),"–",IF(SUMPRODUCT(ISNUMBER(SEARCH(", "&amp;TEXT(C$24,"yyyy-mm")&amp;",",", "&amp;Transaksi!$F$2:$F$3000&amp;","))*(Transaksi!$C$2:$C$3000=$A26)*(Transaksi!$G$2:$G$3000&gt;0))&gt;0,"✓",IF(SUMPRODUCT(ISNUMBER(SEARCH(", "&amp;TEXT(C$24,"yyyy-mm")&amp;":",", "&amp;Transaksi!$F$2:$F$3000&amp;","))*(Transaksi!$C$2:$C$3000=$A26)*(Transaksi!$G$2:$G$3000&gt;0))&gt;0,"½",IF(C$24&gt;TODAY(),"·","✗"))))</f>
        <v/>
      </c>
      <c r="D26" s="36">
        <f>IF(OR(D$24&lt;Tetapan!$B6,AND(Tetapan!$C6&lt;&gt;"",D$24&gt;Tetapan!$C6),Tetapan!$D6=0),"–",IF(SUMPRODUCT(ISNUMBER(SEARCH(", "&amp;TEXT(D$24,"yyyy-mm")&amp;",",", "&amp;Transaksi!$F$2:$F$3000&amp;","))*(Transaksi!$C$2:$C$3000=$A26)*(Transaksi!$G$2:$G$3000&gt;0))&gt;0,"✓",IF(SUMPRODUCT(ISNUMBER(SEARCH(", "&amp;TEXT(D$24,"yyyy-mm")&amp;":",", "&amp;Transaksi!$F$2:$F$3000&amp;","))*(Transaksi!$C$2:$C$3000=$A26)*(Transaksi!$G$2:$G$3000&gt;0))&gt;0,"½",IF(D$24&gt;TODAY(),"·","✗"))))</f>
        <v/>
      </c>
      <c r="E26" s="36">
        <f>IF(OR(E$24&lt;Tetapan!$B6,AND(Tetapan!$C6&lt;&gt;"",E$24&gt;Tetapan!$C6),Tetapan!$D6=0),"–",IF(SUMPRODUCT(ISNUMBER(SEARCH(", "&amp;TEXT(E$24,"yyyy-mm")&amp;",",", "&amp;Transaksi!$F$2:$F$3000&amp;","))*(Transaksi!$C$2:$C$3000=$A26)*(Transaksi!$G$2:$G$3000&gt;0))&gt;0,"✓",IF(SUMPRODUCT(ISNUMBER(SEARCH(", "&amp;TEXT(E$24,"yyyy-mm")&amp;":",", "&amp;Transaksi!$F$2:$F$3000&amp;","))*(Transaksi!$C$2:$C$3000=$A26)*(Transaksi!$G$2:$G$3000&gt;0))&gt;0,"½",IF(E$24&gt;TODAY(),"·","✗"))))</f>
        <v/>
      </c>
      <c r="F26" s="36">
        <f>IF(OR(F$24&lt;Tetapan!$B6,AND(Tetapan!$C6&lt;&gt;"",F$24&gt;Tetapan!$C6),Tetapan!$D6=0),"–",IF(SUMPRODUCT(ISNUMBER(SEARCH(", "&amp;TEXT(F$24,"yyyy-mm")&amp;",",", "&amp;Transaksi!$F$2:$F$3000&amp;","))*(Transaksi!$C$2:$C$3000=$A26)*(Transaksi!$G$2:$G$3000&gt;0))&gt;0,"✓",IF(SUMPRODUCT(ISNUMBER(SEARCH(", "&amp;TEXT(F$24,"yyyy-mm")&amp;":",", "&amp;Transaksi!$F$2:$F$3000&amp;","))*(Transaksi!$C$2:$C$3000=$A26)*(Transaksi!$G$2:$G$3000&gt;0))&gt;0,"½",IF(F$24&gt;TODAY(),"·","✗"))))</f>
        <v/>
      </c>
      <c r="G26" s="36">
        <f>IF(OR(G$24&lt;Tetapan!$B6,AND(Tetapan!$C6&lt;&gt;"",G$24&gt;Tetapan!$C6),Tetapan!$D6=0),"–",IF(SUMPRODUCT(ISNUMBER(SEARCH(", "&amp;TEXT(G$24,"yyyy-mm")&amp;",",", "&amp;Transaksi!$F$2:$F$3000&amp;","))*(Transaksi!$C$2:$C$3000=$A26)*(Transaksi!$G$2:$G$3000&gt;0))&gt;0,"✓",IF(SUMPRODUCT(ISNUMBER(SEARCH(", "&amp;TEXT(G$24,"yyyy-mm")&amp;":",", "&amp;Transaksi!$F$2:$F$3000&amp;","))*(Transaksi!$C$2:$C$3000=$A26)*(Transaksi!$G$2:$G$3000&gt;0))&gt;0,"½",IF(G$24&gt;TODAY(),"·","✗"))))</f>
        <v/>
      </c>
      <c r="H26" s="36">
        <f>IF(OR(H$24&lt;Tetapan!$B6,AND(Tetapan!$C6&lt;&gt;"",H$24&gt;Tetapan!$C6),Tetapan!$D6=0),"–",IF(SUMPRODUCT(ISNUMBER(SEARCH(", "&amp;TEXT(H$24,"yyyy-mm")&amp;",",", "&amp;Transaksi!$F$2:$F$3000&amp;","))*(Transaksi!$C$2:$C$3000=$A26)*(Transaksi!$G$2:$G$3000&gt;0))&gt;0,"✓",IF(SUMPRODUCT(ISNUMBER(SEARCH(", "&amp;TEXT(H$24,"yyyy-mm")&amp;":",", "&amp;Transaksi!$F$2:$F$3000&amp;","))*(Transaksi!$C$2:$C$3000=$A26)*(Transaksi!$G$2:$G$3000&gt;0))&gt;0,"½",IF(H$24&gt;TODAY(),"·","✗"))))</f>
        <v/>
      </c>
      <c r="I26" s="36">
        <f>IF(OR(I$24&lt;Tetapan!$B6,AND(Tetapan!$C6&lt;&gt;"",I$24&gt;Tetapan!$C6),Tetapan!$D6=0),"–",IF(SUMPRODUCT(ISNUMBER(SEARCH(", "&amp;TEXT(I$24,"yyyy-mm")&amp;",",", "&amp;Transaksi!$F$2:$F$3000&amp;","))*(Transaksi!$C$2:$C$3000=$A26)*(Transaksi!$G$2:$G$3000&gt;0))&gt;0,"✓",IF(SUMPRODUCT(ISNUMBER(SEARCH(", "&amp;TEXT(I$24,"yyyy-mm")&amp;":",", "&amp;Transaksi!$F$2:$F$3000&amp;","))*(Transaksi!$C$2:$C$3000=$A26)*(Transaksi!$G$2:$G$3000&gt;0))&gt;0,"½",IF(I$24&gt;TODAY(),"·","✗"))))</f>
        <v/>
      </c>
      <c r="J26" s="36">
        <f>IF(OR(J$24&lt;Tetapan!$B6,AND(Tetapan!$C6&lt;&gt;"",J$24&gt;Tetapan!$C6),Tetapan!$D6=0),"–",IF(SUMPRODUCT(ISNUMBER(SEARCH(", "&amp;TEXT(J$24,"yyyy-mm")&amp;",",", "&amp;Transaksi!$F$2:$F$3000&amp;","))*(Transaksi!$C$2:$C$3000=$A26)*(Transaksi!$G$2:$G$3000&gt;0))&gt;0,"✓",IF(SUMPRODUCT(ISNUMBER(SEARCH(", "&amp;TEXT(J$24,"yyyy-mm")&amp;":",", "&amp;Transaksi!$F$2:$F$3000&amp;","))*(Transaksi!$C$2:$C$3000=$A26)*(Transaksi!$G$2:$G$3000&gt;0))&gt;0,"½",IF(J$24&gt;TODAY(),"·","✗"))))</f>
        <v/>
      </c>
      <c r="K26" s="36">
        <f>IF(OR(K$24&lt;Tetapan!$B6,AND(Tetapan!$C6&lt;&gt;"",K$24&gt;Tetapan!$C6),Tetapan!$D6=0),"–",IF(SUMPRODUCT(ISNUMBER(SEARCH(", "&amp;TEXT(K$24,"yyyy-mm")&amp;",",", "&amp;Transaksi!$F$2:$F$3000&amp;","))*(Transaksi!$C$2:$C$3000=$A26)*(Transaksi!$G$2:$G$3000&gt;0))&gt;0,"✓",IF(SUMPRODUCT(ISNUMBER(SEARCH(", "&amp;TEXT(K$24,"yyyy-mm")&amp;":",", "&amp;Transaksi!$F$2:$F$3000&amp;","))*(Transaksi!$C$2:$C$3000=$A26)*(Transaksi!$G$2:$G$3000&gt;0))&gt;0,"½",IF(K$24&gt;TODAY(),"·","✗"))))</f>
        <v/>
      </c>
      <c r="L26" s="36">
        <f>IF(OR(L$24&lt;Tetapan!$B6,AND(Tetapan!$C6&lt;&gt;"",L$24&gt;Tetapan!$C6),Tetapan!$D6=0),"–",IF(SUMPRODUCT(ISNUMBER(SEARCH(", "&amp;TEXT(L$24,"yyyy-mm")&amp;",",", "&amp;Transaksi!$F$2:$F$3000&amp;","))*(Transaksi!$C$2:$C$3000=$A26)*(Transaksi!$G$2:$G$3000&gt;0))&gt;0,"✓",IF(SUMPRODUCT(ISNUMBER(SEARCH(", "&amp;TEXT(L$24,"yyyy-mm")&amp;":",", "&amp;Transaksi!$F$2:$F$3000&amp;","))*(Transaksi!$C$2:$C$3000=$A26)*(Transaksi!$G$2:$G$3000&gt;0))&gt;0,"½",IF(L$24&gt;TODAY(),"·","✗"))))</f>
        <v/>
      </c>
      <c r="M26" s="36">
        <f>IF(OR(M$24&lt;Tetapan!$B6,AND(Tetapan!$C6&lt;&gt;"",M$24&gt;Tetapan!$C6),Tetapan!$D6=0),"–",IF(SUMPRODUCT(ISNUMBER(SEARCH(", "&amp;TEXT(M$24,"yyyy-mm")&amp;",",", "&amp;Transaksi!$F$2:$F$3000&amp;","))*(Transaksi!$C$2:$C$3000=$A26)*(Transaksi!$G$2:$G$3000&gt;0))&gt;0,"✓",IF(SUMPRODUCT(ISNUMBER(SEARCH(", "&amp;TEXT(M$24,"yyyy-mm")&amp;":",", "&amp;Transaksi!$F$2:$F$3000&amp;","))*(Transaksi!$C$2:$C$3000=$A26)*(Transaksi!$G$2:$G$3000&gt;0))&gt;0,"½",IF(M$24&gt;TODAY(),"·","✗"))))</f>
        <v/>
      </c>
      <c r="N26" s="36">
        <f>IF(OR(N$24&lt;Tetapan!$B6,AND(Tetapan!$C6&lt;&gt;"",N$24&gt;Tetapan!$C6),Tetapan!$D6=0),"–",IF(SUMPRODUCT(ISNUMBER(SEARCH(", "&amp;TEXT(N$24,"yyyy-mm")&amp;",",", "&amp;Transaksi!$F$2:$F$3000&amp;","))*(Transaksi!$C$2:$C$3000=$A26)*(Transaksi!$G$2:$G$3000&gt;0))&gt;0,"✓",IF(SUMPRODUCT(ISNUMBER(SEARCH(", "&amp;TEXT(N$24,"yyyy-mm")&amp;":",", "&amp;Transaksi!$F$2:$F$3000&amp;","))*(Transaksi!$C$2:$C$3000=$A26)*(Transaksi!$G$2:$G$3000&gt;0))&gt;0,"½",IF(N$24&gt;TODAY(),"·","✗"))))</f>
        <v/>
      </c>
      <c r="O26" s="36">
        <f>IF(OR(O$24&lt;Tetapan!$B6,AND(Tetapan!$C6&lt;&gt;"",O$24&gt;Tetapan!$C6),Tetapan!$D6=0),"–",IF(SUMPRODUCT(ISNUMBER(SEARCH(", "&amp;TEXT(O$24,"yyyy-mm")&amp;",",", "&amp;Transaksi!$F$2:$F$3000&amp;","))*(Transaksi!$C$2:$C$3000=$A26)*(Transaksi!$G$2:$G$3000&gt;0))&gt;0,"✓",IF(SUMPRODUCT(ISNUMBER(SEARCH(", "&amp;TEXT(O$24,"yyyy-mm")&amp;":",", "&amp;Transaksi!$F$2:$F$3000&amp;","))*(Transaksi!$C$2:$C$3000=$A26)*(Transaksi!$G$2:$G$3000&gt;0))&gt;0,"½",IF(O$24&gt;TODAY(),"·","✗"))))</f>
        <v/>
      </c>
      <c r="P26" s="36">
        <f>IF(OR(P$24&lt;Tetapan!$B6,AND(Tetapan!$C6&lt;&gt;"",P$24&gt;Tetapan!$C6),Tetapan!$D6=0),"–",IF(SUMPRODUCT(ISNUMBER(SEARCH(", "&amp;TEXT(P$24,"yyyy-mm")&amp;",",", "&amp;Transaksi!$F$2:$F$3000&amp;","))*(Transaksi!$C$2:$C$3000=$A26)*(Transaksi!$G$2:$G$3000&gt;0))&gt;0,"✓",IF(SUMPRODUCT(ISNUMBER(SEARCH(", "&amp;TEXT(P$24,"yyyy-mm")&amp;":",", "&amp;Transaksi!$F$2:$F$3000&amp;","))*(Transaksi!$C$2:$C$3000=$A26)*(Transaksi!$G$2:$G$3000&gt;0))&gt;0,"½",IF(P$24&gt;TODAY(),"·","✗"))))</f>
        <v/>
      </c>
      <c r="Q26" s="36">
        <f>IF(OR(Q$24&lt;Tetapan!$B6,AND(Tetapan!$C6&lt;&gt;"",Q$24&gt;Tetapan!$C6),Tetapan!$D6=0),"–",IF(SUMPRODUCT(ISNUMBER(SEARCH(", "&amp;TEXT(Q$24,"yyyy-mm")&amp;",",", "&amp;Transaksi!$F$2:$F$3000&amp;","))*(Transaksi!$C$2:$C$3000=$A26)*(Transaksi!$G$2:$G$3000&gt;0))&gt;0,"✓",IF(SUMPRODUCT(ISNUMBER(SEARCH(", "&amp;TEXT(Q$24,"yyyy-mm")&amp;":",", "&amp;Transaksi!$F$2:$F$3000&amp;","))*(Transaksi!$C$2:$C$3000=$A26)*(Transaksi!$G$2:$G$3000&gt;0))&gt;0,"½",IF(Q$24&gt;TODAY(),"·","✗"))))</f>
        <v/>
      </c>
      <c r="R26" s="36">
        <f>IF(OR(R$24&lt;Tetapan!$B6,AND(Tetapan!$C6&lt;&gt;"",R$24&gt;Tetapan!$C6),Tetapan!$D6=0),"–",IF(SUMPRODUCT(ISNUMBER(SEARCH(", "&amp;TEXT(R$24,"yyyy-mm")&amp;",",", "&amp;Transaksi!$F$2:$F$3000&amp;","))*(Transaksi!$C$2:$C$3000=$A26)*(Transaksi!$G$2:$G$3000&gt;0))&gt;0,"✓",IF(SUMPRODUCT(ISNUMBER(SEARCH(", "&amp;TEXT(R$24,"yyyy-mm")&amp;":",", "&amp;Transaksi!$F$2:$F$3000&amp;","))*(Transaksi!$C$2:$C$3000=$A26)*(Transaksi!$G$2:$G$3000&gt;0))&gt;0,"½",IF(R$24&gt;TODAY(),"·","✗"))))</f>
        <v/>
      </c>
      <c r="S26" s="36">
        <f>IF(OR(S$24&lt;Tetapan!$B6,AND(Tetapan!$C6&lt;&gt;"",S$24&gt;Tetapan!$C6),Tetapan!$D6=0),"–",IF(SUMPRODUCT(ISNUMBER(SEARCH(", "&amp;TEXT(S$24,"yyyy-mm")&amp;",",", "&amp;Transaksi!$F$2:$F$3000&amp;","))*(Transaksi!$C$2:$C$3000=$A26)*(Transaksi!$G$2:$G$3000&gt;0))&gt;0,"✓",IF(SUMPRODUCT(ISNUMBER(SEARCH(", "&amp;TEXT(S$24,"yyyy-mm")&amp;":",", "&amp;Transaksi!$F$2:$F$3000&amp;","))*(Transaksi!$C$2:$C$3000=$A26)*(Transaksi!$G$2:$G$3000&gt;0))&gt;0,"½",IF(S$24&gt;TODAY(),"·","✗"))))</f>
        <v/>
      </c>
      <c r="T26" s="36">
        <f>IF(OR(T$24&lt;Tetapan!$B6,AND(Tetapan!$C6&lt;&gt;"",T$24&gt;Tetapan!$C6),Tetapan!$D6=0),"–",IF(SUMPRODUCT(ISNUMBER(SEARCH(", "&amp;TEXT(T$24,"yyyy-mm")&amp;",",", "&amp;Transaksi!$F$2:$F$3000&amp;","))*(Transaksi!$C$2:$C$3000=$A26)*(Transaksi!$G$2:$G$3000&gt;0))&gt;0,"✓",IF(SUMPRODUCT(ISNUMBER(SEARCH(", "&amp;TEXT(T$24,"yyyy-mm")&amp;":",", "&amp;Transaksi!$F$2:$F$3000&amp;","))*(Transaksi!$C$2:$C$3000=$A26)*(Transaksi!$G$2:$G$3000&gt;0))&gt;0,"½",IF(T$24&gt;TODAY(),"·","✗"))))</f>
        <v/>
      </c>
      <c r="V26" s="37">
        <f>IF(B26="✗",TEXT(B$24,"mmm yy")&amp;", ",IF(B26="½",TEXT(B$24,"mmm yy")&amp;" (separa), ",""))&amp;IF(C26="✗",TEXT(C$24,"mmm yy")&amp;", ",IF(C26="½",TEXT(C$24,"mmm yy")&amp;" (separa), ",""))&amp;IF(D26="✗",TEXT(D$24,"mmm yy")&amp;", ",IF(D26="½",TEXT(D$24,"mmm yy")&amp;" (separa), ",""))&amp;IF(E26="✗",TEXT(E$24,"mmm yy")&amp;", ",IF(E26="½",TEXT(E$24,"mmm yy")&amp;" (separa), ",""))&amp;IF(F26="✗",TEXT(F$24,"mmm yy")&amp;", ",IF(F26="½",TEXT(F$24,"mmm yy")&amp;" (separa), ",""))&amp;IF(G26="✗",TEXT(G$24,"mmm yy")&amp;", ",IF(G26="½",TEXT(G$24,"mmm yy")&amp;" (separa), ",""))&amp;IF(H26="✗",TEXT(H$24,"mmm yy")&amp;", ",IF(H26="½",TEXT(H$24,"mmm yy")&amp;" (separa), ",""))&amp;IF(I26="✗",TEXT(I$24,"mmm yy")&amp;", ",IF(I26="½",TEXT(I$24,"mmm yy")&amp;" (separa), ",""))&amp;IF(J26="✗",TEXT(J$24,"mmm yy")&amp;", ",IF(J26="½",TEXT(J$24,"mmm yy")&amp;" (separa), ",""))&amp;IF(K26="✗",TEXT(K$24,"mmm yy")&amp;", ",IF(K26="½",TEXT(K$24,"mmm yy")&amp;" (separa), ",""))&amp;IF(L26="✗",TEXT(L$24,"mmm yy")&amp;", ",IF(L26="½",TEXT(L$24,"mmm yy")&amp;" (separa), ",""))&amp;IF(M26="✗",TEXT(M$24,"mmm yy")&amp;", ",IF(M26="½",TEXT(M$24,"mmm yy")&amp;" (separa), ",""))&amp;IF(N26="✗",TEXT(N$24,"mmm yy")&amp;", ",IF(N26="½",TEXT(N$24,"mmm yy")&amp;" (separa), ",""))&amp;IF(O26="✗",TEXT(O$24,"mmm yy")&amp;", ",IF(O26="½",TEXT(O$24,"mmm yy")&amp;" (separa), ",""))&amp;IF(P26="✗",TEXT(P$24,"mmm yy")&amp;", ",IF(P26="½",TEXT(P$24,"mmm yy")&amp;" (separa), ",""))&amp;IF(Q26="✗",TEXT(Q$24,"mmm yy")&amp;", ",IF(Q26="½",TEXT(Q$24,"mmm yy")&amp;" (separa), ",""))&amp;IF(R26="✗",TEXT(R$24,"mmm yy")&amp;", ",IF(R26="½",TEXT(R$24,"mmm yy")&amp;" (separa), ",""))&amp;IF(S26="✗",TEXT(S$24,"mmm yy")&amp;", ",IF(S26="½",TEXT(S$24,"mmm yy")&amp;" (separa), ",""))&amp;IF(T26="✗",TEXT(T$24,"mmm yy")&amp;", ",IF(T26="½",TEXT(T$24,"mmm yy")&amp;" (separa), ",""))</f>
        <v/>
      </c>
    </row>
    <row r="27">
      <c r="A27" s="32">
        <f>Tetapan!A7</f>
        <v/>
      </c>
      <c r="B27" s="36">
        <f>IF(OR(B$24&lt;Tetapan!$B7,AND(Tetapan!$C7&lt;&gt;"",B$24&gt;Tetapan!$C7),Tetapan!$D7=0),"–",IF(SUMPRODUCT(ISNUMBER(SEARCH(", "&amp;TEXT(B$24,"yyyy-mm")&amp;",",", "&amp;Transaksi!$F$2:$F$3000&amp;","))*(Transaksi!$C$2:$C$3000=$A27)*(Transaksi!$G$2:$G$3000&gt;0))&gt;0,"✓",IF(SUMPRODUCT(ISNUMBER(SEARCH(", "&amp;TEXT(B$24,"yyyy-mm")&amp;":",", "&amp;Transaksi!$F$2:$F$3000&amp;","))*(Transaksi!$C$2:$C$3000=$A27)*(Transaksi!$G$2:$G$3000&gt;0))&gt;0,"½",IF(B$24&gt;TODAY(),"·","✗"))))</f>
        <v/>
      </c>
      <c r="C27" s="36">
        <f>IF(OR(C$24&lt;Tetapan!$B7,AND(Tetapan!$C7&lt;&gt;"",C$24&gt;Tetapan!$C7),Tetapan!$D7=0),"–",IF(SUMPRODUCT(ISNUMBER(SEARCH(", "&amp;TEXT(C$24,"yyyy-mm")&amp;",",", "&amp;Transaksi!$F$2:$F$3000&amp;","))*(Transaksi!$C$2:$C$3000=$A27)*(Transaksi!$G$2:$G$3000&gt;0))&gt;0,"✓",IF(SUMPRODUCT(ISNUMBER(SEARCH(", "&amp;TEXT(C$24,"yyyy-mm")&amp;":",", "&amp;Transaksi!$F$2:$F$3000&amp;","))*(Transaksi!$C$2:$C$3000=$A27)*(Transaksi!$G$2:$G$3000&gt;0))&gt;0,"½",IF(C$24&gt;TODAY(),"·","✗"))))</f>
        <v/>
      </c>
      <c r="D27" s="36">
        <f>IF(OR(D$24&lt;Tetapan!$B7,AND(Tetapan!$C7&lt;&gt;"",D$24&gt;Tetapan!$C7),Tetapan!$D7=0),"–",IF(SUMPRODUCT(ISNUMBER(SEARCH(", "&amp;TEXT(D$24,"yyyy-mm")&amp;",",", "&amp;Transaksi!$F$2:$F$3000&amp;","))*(Transaksi!$C$2:$C$3000=$A27)*(Transaksi!$G$2:$G$3000&gt;0))&gt;0,"✓",IF(SUMPRODUCT(ISNUMBER(SEARCH(", "&amp;TEXT(D$24,"yyyy-mm")&amp;":",", "&amp;Transaksi!$F$2:$F$3000&amp;","))*(Transaksi!$C$2:$C$3000=$A27)*(Transaksi!$G$2:$G$3000&gt;0))&gt;0,"½",IF(D$24&gt;TODAY(),"·","✗"))))</f>
        <v/>
      </c>
      <c r="E27" s="36">
        <f>IF(OR(E$24&lt;Tetapan!$B7,AND(Tetapan!$C7&lt;&gt;"",E$24&gt;Tetapan!$C7),Tetapan!$D7=0),"–",IF(SUMPRODUCT(ISNUMBER(SEARCH(", "&amp;TEXT(E$24,"yyyy-mm")&amp;",",", "&amp;Transaksi!$F$2:$F$3000&amp;","))*(Transaksi!$C$2:$C$3000=$A27)*(Transaksi!$G$2:$G$3000&gt;0))&gt;0,"✓",IF(SUMPRODUCT(ISNUMBER(SEARCH(", "&amp;TEXT(E$24,"yyyy-mm")&amp;":",", "&amp;Transaksi!$F$2:$F$3000&amp;","))*(Transaksi!$C$2:$C$3000=$A27)*(Transaksi!$G$2:$G$3000&gt;0))&gt;0,"½",IF(E$24&gt;TODAY(),"·","✗"))))</f>
        <v/>
      </c>
      <c r="F27" s="36">
        <f>IF(OR(F$24&lt;Tetapan!$B7,AND(Tetapan!$C7&lt;&gt;"",F$24&gt;Tetapan!$C7),Tetapan!$D7=0),"–",IF(SUMPRODUCT(ISNUMBER(SEARCH(", "&amp;TEXT(F$24,"yyyy-mm")&amp;",",", "&amp;Transaksi!$F$2:$F$3000&amp;","))*(Transaksi!$C$2:$C$3000=$A27)*(Transaksi!$G$2:$G$3000&gt;0))&gt;0,"✓",IF(SUMPRODUCT(ISNUMBER(SEARCH(", "&amp;TEXT(F$24,"yyyy-mm")&amp;":",", "&amp;Transaksi!$F$2:$F$3000&amp;","))*(Transaksi!$C$2:$C$3000=$A27)*(Transaksi!$G$2:$G$3000&gt;0))&gt;0,"½",IF(F$24&gt;TODAY(),"·","✗"))))</f>
        <v/>
      </c>
      <c r="G27" s="36">
        <f>IF(OR(G$24&lt;Tetapan!$B7,AND(Tetapan!$C7&lt;&gt;"",G$24&gt;Tetapan!$C7),Tetapan!$D7=0),"–",IF(SUMPRODUCT(ISNUMBER(SEARCH(", "&amp;TEXT(G$24,"yyyy-mm")&amp;",",", "&amp;Transaksi!$F$2:$F$3000&amp;","))*(Transaksi!$C$2:$C$3000=$A27)*(Transaksi!$G$2:$G$3000&gt;0))&gt;0,"✓",IF(SUMPRODUCT(ISNUMBER(SEARCH(", "&amp;TEXT(G$24,"yyyy-mm")&amp;":",", "&amp;Transaksi!$F$2:$F$3000&amp;","))*(Transaksi!$C$2:$C$3000=$A27)*(Transaksi!$G$2:$G$3000&gt;0))&gt;0,"½",IF(G$24&gt;TODAY(),"·","✗"))))</f>
        <v/>
      </c>
      <c r="H27" s="36">
        <f>IF(OR(H$24&lt;Tetapan!$B7,AND(Tetapan!$C7&lt;&gt;"",H$24&gt;Tetapan!$C7),Tetapan!$D7=0),"–",IF(SUMPRODUCT(ISNUMBER(SEARCH(", "&amp;TEXT(H$24,"yyyy-mm")&amp;",",", "&amp;Transaksi!$F$2:$F$3000&amp;","))*(Transaksi!$C$2:$C$3000=$A27)*(Transaksi!$G$2:$G$3000&gt;0))&gt;0,"✓",IF(SUMPRODUCT(ISNUMBER(SEARCH(", "&amp;TEXT(H$24,"yyyy-mm")&amp;":",", "&amp;Transaksi!$F$2:$F$3000&amp;","))*(Transaksi!$C$2:$C$3000=$A27)*(Transaksi!$G$2:$G$3000&gt;0))&gt;0,"½",IF(H$24&gt;TODAY(),"·","✗"))))</f>
        <v/>
      </c>
      <c r="I27" s="36">
        <f>IF(OR(I$24&lt;Tetapan!$B7,AND(Tetapan!$C7&lt;&gt;"",I$24&gt;Tetapan!$C7),Tetapan!$D7=0),"–",IF(SUMPRODUCT(ISNUMBER(SEARCH(", "&amp;TEXT(I$24,"yyyy-mm")&amp;",",", "&amp;Transaksi!$F$2:$F$3000&amp;","))*(Transaksi!$C$2:$C$3000=$A27)*(Transaksi!$G$2:$G$3000&gt;0))&gt;0,"✓",IF(SUMPRODUCT(ISNUMBER(SEARCH(", "&amp;TEXT(I$24,"yyyy-mm")&amp;":",", "&amp;Transaksi!$F$2:$F$3000&amp;","))*(Transaksi!$C$2:$C$3000=$A27)*(Transaksi!$G$2:$G$3000&gt;0))&gt;0,"½",IF(I$24&gt;TODAY(),"·","✗"))))</f>
        <v/>
      </c>
      <c r="J27" s="36">
        <f>IF(OR(J$24&lt;Tetapan!$B7,AND(Tetapan!$C7&lt;&gt;"",J$24&gt;Tetapan!$C7),Tetapan!$D7=0),"–",IF(SUMPRODUCT(ISNUMBER(SEARCH(", "&amp;TEXT(J$24,"yyyy-mm")&amp;",",", "&amp;Transaksi!$F$2:$F$3000&amp;","))*(Transaksi!$C$2:$C$3000=$A27)*(Transaksi!$G$2:$G$3000&gt;0))&gt;0,"✓",IF(SUMPRODUCT(ISNUMBER(SEARCH(", "&amp;TEXT(J$24,"yyyy-mm")&amp;":",", "&amp;Transaksi!$F$2:$F$3000&amp;","))*(Transaksi!$C$2:$C$3000=$A27)*(Transaksi!$G$2:$G$3000&gt;0))&gt;0,"½",IF(J$24&gt;TODAY(),"·","✗"))))</f>
        <v/>
      </c>
      <c r="K27" s="36">
        <f>IF(OR(K$24&lt;Tetapan!$B7,AND(Tetapan!$C7&lt;&gt;"",K$24&gt;Tetapan!$C7),Tetapan!$D7=0),"–",IF(SUMPRODUCT(ISNUMBER(SEARCH(", "&amp;TEXT(K$24,"yyyy-mm")&amp;",",", "&amp;Transaksi!$F$2:$F$3000&amp;","))*(Transaksi!$C$2:$C$3000=$A27)*(Transaksi!$G$2:$G$3000&gt;0))&gt;0,"✓",IF(SUMPRODUCT(ISNUMBER(SEARCH(", "&amp;TEXT(K$24,"yyyy-mm")&amp;":",", "&amp;Transaksi!$F$2:$F$3000&amp;","))*(Transaksi!$C$2:$C$3000=$A27)*(Transaksi!$G$2:$G$3000&gt;0))&gt;0,"½",IF(K$24&gt;TODAY(),"·","✗"))))</f>
        <v/>
      </c>
      <c r="L27" s="36">
        <f>IF(OR(L$24&lt;Tetapan!$B7,AND(Tetapan!$C7&lt;&gt;"",L$24&gt;Tetapan!$C7),Tetapan!$D7=0),"–",IF(SUMPRODUCT(ISNUMBER(SEARCH(", "&amp;TEXT(L$24,"yyyy-mm")&amp;",",", "&amp;Transaksi!$F$2:$F$3000&amp;","))*(Transaksi!$C$2:$C$3000=$A27)*(Transaksi!$G$2:$G$3000&gt;0))&gt;0,"✓",IF(SUMPRODUCT(ISNUMBER(SEARCH(", "&amp;TEXT(L$24,"yyyy-mm")&amp;":",", "&amp;Transaksi!$F$2:$F$3000&amp;","))*(Transaksi!$C$2:$C$3000=$A27)*(Transaksi!$G$2:$G$3000&gt;0))&gt;0,"½",IF(L$24&gt;TODAY(),"·","✗"))))</f>
        <v/>
      </c>
      <c r="M27" s="36">
        <f>IF(OR(M$24&lt;Tetapan!$B7,AND(Tetapan!$C7&lt;&gt;"",M$24&gt;Tetapan!$C7),Tetapan!$D7=0),"–",IF(SUMPRODUCT(ISNUMBER(SEARCH(", "&amp;TEXT(M$24,"yyyy-mm")&amp;",",", "&amp;Transaksi!$F$2:$F$3000&amp;","))*(Transaksi!$C$2:$C$3000=$A27)*(Transaksi!$G$2:$G$3000&gt;0))&gt;0,"✓",IF(SUMPRODUCT(ISNUMBER(SEARCH(", "&amp;TEXT(M$24,"yyyy-mm")&amp;":",", "&amp;Transaksi!$F$2:$F$3000&amp;","))*(Transaksi!$C$2:$C$3000=$A27)*(Transaksi!$G$2:$G$3000&gt;0))&gt;0,"½",IF(M$24&gt;TODAY(),"·","✗"))))</f>
        <v/>
      </c>
      <c r="N27" s="36">
        <f>IF(OR(N$24&lt;Tetapan!$B7,AND(Tetapan!$C7&lt;&gt;"",N$24&gt;Tetapan!$C7),Tetapan!$D7=0),"–",IF(SUMPRODUCT(ISNUMBER(SEARCH(", "&amp;TEXT(N$24,"yyyy-mm")&amp;",",", "&amp;Transaksi!$F$2:$F$3000&amp;","))*(Transaksi!$C$2:$C$3000=$A27)*(Transaksi!$G$2:$G$3000&gt;0))&gt;0,"✓",IF(SUMPRODUCT(ISNUMBER(SEARCH(", "&amp;TEXT(N$24,"yyyy-mm")&amp;":",", "&amp;Transaksi!$F$2:$F$3000&amp;","))*(Transaksi!$C$2:$C$3000=$A27)*(Transaksi!$G$2:$G$3000&gt;0))&gt;0,"½",IF(N$24&gt;TODAY(),"·","✗"))))</f>
        <v/>
      </c>
      <c r="O27" s="36">
        <f>IF(OR(O$24&lt;Tetapan!$B7,AND(Tetapan!$C7&lt;&gt;"",O$24&gt;Tetapan!$C7),Tetapan!$D7=0),"–",IF(SUMPRODUCT(ISNUMBER(SEARCH(", "&amp;TEXT(O$24,"yyyy-mm")&amp;",",", "&amp;Transaksi!$F$2:$F$3000&amp;","))*(Transaksi!$C$2:$C$3000=$A27)*(Transaksi!$G$2:$G$3000&gt;0))&gt;0,"✓",IF(SUMPRODUCT(ISNUMBER(SEARCH(", "&amp;TEXT(O$24,"yyyy-mm")&amp;":",", "&amp;Transaksi!$F$2:$F$3000&amp;","))*(Transaksi!$C$2:$C$3000=$A27)*(Transaksi!$G$2:$G$3000&gt;0))&gt;0,"½",IF(O$24&gt;TODAY(),"·","✗"))))</f>
        <v/>
      </c>
      <c r="P27" s="36">
        <f>IF(OR(P$24&lt;Tetapan!$B7,AND(Tetapan!$C7&lt;&gt;"",P$24&gt;Tetapan!$C7),Tetapan!$D7=0),"–",IF(SUMPRODUCT(ISNUMBER(SEARCH(", "&amp;TEXT(P$24,"yyyy-mm")&amp;",",", "&amp;Transaksi!$F$2:$F$3000&amp;","))*(Transaksi!$C$2:$C$3000=$A27)*(Transaksi!$G$2:$G$3000&gt;0))&gt;0,"✓",IF(SUMPRODUCT(ISNUMBER(SEARCH(", "&amp;TEXT(P$24,"yyyy-mm")&amp;":",", "&amp;Transaksi!$F$2:$F$3000&amp;","))*(Transaksi!$C$2:$C$3000=$A27)*(Transaksi!$G$2:$G$3000&gt;0))&gt;0,"½",IF(P$24&gt;TODAY(),"·","✗"))))</f>
        <v/>
      </c>
      <c r="Q27" s="36">
        <f>IF(OR(Q$24&lt;Tetapan!$B7,AND(Tetapan!$C7&lt;&gt;"",Q$24&gt;Tetapan!$C7),Tetapan!$D7=0),"–",IF(SUMPRODUCT(ISNUMBER(SEARCH(", "&amp;TEXT(Q$24,"yyyy-mm")&amp;",",", "&amp;Transaksi!$F$2:$F$3000&amp;","))*(Transaksi!$C$2:$C$3000=$A27)*(Transaksi!$G$2:$G$3000&gt;0))&gt;0,"✓",IF(SUMPRODUCT(ISNUMBER(SEARCH(", "&amp;TEXT(Q$24,"yyyy-mm")&amp;":",", "&amp;Transaksi!$F$2:$F$3000&amp;","))*(Transaksi!$C$2:$C$3000=$A27)*(Transaksi!$G$2:$G$3000&gt;0))&gt;0,"½",IF(Q$24&gt;TODAY(),"·","✗"))))</f>
        <v/>
      </c>
      <c r="R27" s="36">
        <f>IF(OR(R$24&lt;Tetapan!$B7,AND(Tetapan!$C7&lt;&gt;"",R$24&gt;Tetapan!$C7),Tetapan!$D7=0),"–",IF(SUMPRODUCT(ISNUMBER(SEARCH(", "&amp;TEXT(R$24,"yyyy-mm")&amp;",",", "&amp;Transaksi!$F$2:$F$3000&amp;","))*(Transaksi!$C$2:$C$3000=$A27)*(Transaksi!$G$2:$G$3000&gt;0))&gt;0,"✓",IF(SUMPRODUCT(ISNUMBER(SEARCH(", "&amp;TEXT(R$24,"yyyy-mm")&amp;":",", "&amp;Transaksi!$F$2:$F$3000&amp;","))*(Transaksi!$C$2:$C$3000=$A27)*(Transaksi!$G$2:$G$3000&gt;0))&gt;0,"½",IF(R$24&gt;TODAY(),"·","✗"))))</f>
        <v/>
      </c>
      <c r="S27" s="36">
        <f>IF(OR(S$24&lt;Tetapan!$B7,AND(Tetapan!$C7&lt;&gt;"",S$24&gt;Tetapan!$C7),Tetapan!$D7=0),"–",IF(SUMPRODUCT(ISNUMBER(SEARCH(", "&amp;TEXT(S$24,"yyyy-mm")&amp;",",", "&amp;Transaksi!$F$2:$F$3000&amp;","))*(Transaksi!$C$2:$C$3000=$A27)*(Transaksi!$G$2:$G$3000&gt;0))&gt;0,"✓",IF(SUMPRODUCT(ISNUMBER(SEARCH(", "&amp;TEXT(S$24,"yyyy-mm")&amp;":",", "&amp;Transaksi!$F$2:$F$3000&amp;","))*(Transaksi!$C$2:$C$3000=$A27)*(Transaksi!$G$2:$G$3000&gt;0))&gt;0,"½",IF(S$24&gt;TODAY(),"·","✗"))))</f>
        <v/>
      </c>
      <c r="T27" s="36">
        <f>IF(OR(T$24&lt;Tetapan!$B7,AND(Tetapan!$C7&lt;&gt;"",T$24&gt;Tetapan!$C7),Tetapan!$D7=0),"–",IF(SUMPRODUCT(ISNUMBER(SEARCH(", "&amp;TEXT(T$24,"yyyy-mm")&amp;",",", "&amp;Transaksi!$F$2:$F$3000&amp;","))*(Transaksi!$C$2:$C$3000=$A27)*(Transaksi!$G$2:$G$3000&gt;0))&gt;0,"✓",IF(SUMPRODUCT(ISNUMBER(SEARCH(", "&amp;TEXT(T$24,"yyyy-mm")&amp;":",", "&amp;Transaksi!$F$2:$F$3000&amp;","))*(Transaksi!$C$2:$C$3000=$A27)*(Transaksi!$G$2:$G$3000&gt;0))&gt;0,"½",IF(T$24&gt;TODAY(),"·","✗"))))</f>
        <v/>
      </c>
      <c r="V27" s="37">
        <f>IF(B27="✗",TEXT(B$24,"mmm yy")&amp;", ",IF(B27="½",TEXT(B$24,"mmm yy")&amp;" (separa), ",""))&amp;IF(C27="✗",TEXT(C$24,"mmm yy")&amp;", ",IF(C27="½",TEXT(C$24,"mmm yy")&amp;" (separa), ",""))&amp;IF(D27="✗",TEXT(D$24,"mmm yy")&amp;", ",IF(D27="½",TEXT(D$24,"mmm yy")&amp;" (separa), ",""))&amp;IF(E27="✗",TEXT(E$24,"mmm yy")&amp;", ",IF(E27="½",TEXT(E$24,"mmm yy")&amp;" (separa), ",""))&amp;IF(F27="✗",TEXT(F$24,"mmm yy")&amp;", ",IF(F27="½",TEXT(F$24,"mmm yy")&amp;" (separa), ",""))&amp;IF(G27="✗",TEXT(G$24,"mmm yy")&amp;", ",IF(G27="½",TEXT(G$24,"mmm yy")&amp;" (separa), ",""))&amp;IF(H27="✗",TEXT(H$24,"mmm yy")&amp;", ",IF(H27="½",TEXT(H$24,"mmm yy")&amp;" (separa), ",""))&amp;IF(I27="✗",TEXT(I$24,"mmm yy")&amp;", ",IF(I27="½",TEXT(I$24,"mmm yy")&amp;" (separa), ",""))&amp;IF(J27="✗",TEXT(J$24,"mmm yy")&amp;", ",IF(J27="½",TEXT(J$24,"mmm yy")&amp;" (separa), ",""))&amp;IF(K27="✗",TEXT(K$24,"mmm yy")&amp;", ",IF(K27="½",TEXT(K$24,"mmm yy")&amp;" (separa), ",""))&amp;IF(L27="✗",TEXT(L$24,"mmm yy")&amp;", ",IF(L27="½",TEXT(L$24,"mmm yy")&amp;" (separa), ",""))&amp;IF(M27="✗",TEXT(M$24,"mmm yy")&amp;", ",IF(M27="½",TEXT(M$24,"mmm yy")&amp;" (separa), ",""))&amp;IF(N27="✗",TEXT(N$24,"mmm yy")&amp;", ",IF(N27="½",TEXT(N$24,"mmm yy")&amp;" (separa), ",""))&amp;IF(O27="✗",TEXT(O$24,"mmm yy")&amp;", ",IF(O27="½",TEXT(O$24,"mmm yy")&amp;" (separa), ",""))&amp;IF(P27="✗",TEXT(P$24,"mmm yy")&amp;", ",IF(P27="½",TEXT(P$24,"mmm yy")&amp;" (separa), ",""))&amp;IF(Q27="✗",TEXT(Q$24,"mmm yy")&amp;", ",IF(Q27="½",TEXT(Q$24,"mmm yy")&amp;" (separa), ",""))&amp;IF(R27="✗",TEXT(R$24,"mmm yy")&amp;", ",IF(R27="½",TEXT(R$24,"mmm yy")&amp;" (separa), ",""))&amp;IF(S27="✗",TEXT(S$24,"mmm yy")&amp;", ",IF(S27="½",TEXT(S$24,"mmm yy")&amp;" (separa), ",""))&amp;IF(T27="✗",TEXT(T$24,"mmm yy")&amp;", ",IF(T27="½",TEXT(T$24,"mmm yy")&amp;" (separa), ",""))</f>
        <v/>
      </c>
    </row>
    <row r="28">
      <c r="A28" s="32">
        <f>Tetapan!A8</f>
        <v/>
      </c>
      <c r="B28" s="36">
        <f>IF(OR(B$24&lt;Tetapan!$B8,AND(Tetapan!$C8&lt;&gt;"",B$24&gt;Tetapan!$C8),Tetapan!$D8=0),"–",IF(SUMPRODUCT(ISNUMBER(SEARCH(", "&amp;TEXT(B$24,"yyyy-mm")&amp;",",", "&amp;Transaksi!$F$2:$F$3000&amp;","))*(Transaksi!$C$2:$C$3000=$A28)*(Transaksi!$G$2:$G$3000&gt;0))&gt;0,"✓",IF(SUMPRODUCT(ISNUMBER(SEARCH(", "&amp;TEXT(B$24,"yyyy-mm")&amp;":",", "&amp;Transaksi!$F$2:$F$3000&amp;","))*(Transaksi!$C$2:$C$3000=$A28)*(Transaksi!$G$2:$G$3000&gt;0))&gt;0,"½",IF(B$24&gt;TODAY(),"·","✗"))))</f>
        <v/>
      </c>
      <c r="C28" s="36">
        <f>IF(OR(C$24&lt;Tetapan!$B8,AND(Tetapan!$C8&lt;&gt;"",C$24&gt;Tetapan!$C8),Tetapan!$D8=0),"–",IF(SUMPRODUCT(ISNUMBER(SEARCH(", "&amp;TEXT(C$24,"yyyy-mm")&amp;",",", "&amp;Transaksi!$F$2:$F$3000&amp;","))*(Transaksi!$C$2:$C$3000=$A28)*(Transaksi!$G$2:$G$3000&gt;0))&gt;0,"✓",IF(SUMPRODUCT(ISNUMBER(SEARCH(", "&amp;TEXT(C$24,"yyyy-mm")&amp;":",", "&amp;Transaksi!$F$2:$F$3000&amp;","))*(Transaksi!$C$2:$C$3000=$A28)*(Transaksi!$G$2:$G$3000&gt;0))&gt;0,"½",IF(C$24&gt;TODAY(),"·","✗"))))</f>
        <v/>
      </c>
      <c r="D28" s="36">
        <f>IF(OR(D$24&lt;Tetapan!$B8,AND(Tetapan!$C8&lt;&gt;"",D$24&gt;Tetapan!$C8),Tetapan!$D8=0),"–",IF(SUMPRODUCT(ISNUMBER(SEARCH(", "&amp;TEXT(D$24,"yyyy-mm")&amp;",",", "&amp;Transaksi!$F$2:$F$3000&amp;","))*(Transaksi!$C$2:$C$3000=$A28)*(Transaksi!$G$2:$G$3000&gt;0))&gt;0,"✓",IF(SUMPRODUCT(ISNUMBER(SEARCH(", "&amp;TEXT(D$24,"yyyy-mm")&amp;":",", "&amp;Transaksi!$F$2:$F$3000&amp;","))*(Transaksi!$C$2:$C$3000=$A28)*(Transaksi!$G$2:$G$3000&gt;0))&gt;0,"½",IF(D$24&gt;TODAY(),"·","✗"))))</f>
        <v/>
      </c>
      <c r="E28" s="36">
        <f>IF(OR(E$24&lt;Tetapan!$B8,AND(Tetapan!$C8&lt;&gt;"",E$24&gt;Tetapan!$C8),Tetapan!$D8=0),"–",IF(SUMPRODUCT(ISNUMBER(SEARCH(", "&amp;TEXT(E$24,"yyyy-mm")&amp;",",", "&amp;Transaksi!$F$2:$F$3000&amp;","))*(Transaksi!$C$2:$C$3000=$A28)*(Transaksi!$G$2:$G$3000&gt;0))&gt;0,"✓",IF(SUMPRODUCT(ISNUMBER(SEARCH(", "&amp;TEXT(E$24,"yyyy-mm")&amp;":",", "&amp;Transaksi!$F$2:$F$3000&amp;","))*(Transaksi!$C$2:$C$3000=$A28)*(Transaksi!$G$2:$G$3000&gt;0))&gt;0,"½",IF(E$24&gt;TODAY(),"·","✗"))))</f>
        <v/>
      </c>
      <c r="F28" s="36">
        <f>IF(OR(F$24&lt;Tetapan!$B8,AND(Tetapan!$C8&lt;&gt;"",F$24&gt;Tetapan!$C8),Tetapan!$D8=0),"–",IF(SUMPRODUCT(ISNUMBER(SEARCH(", "&amp;TEXT(F$24,"yyyy-mm")&amp;",",", "&amp;Transaksi!$F$2:$F$3000&amp;","))*(Transaksi!$C$2:$C$3000=$A28)*(Transaksi!$G$2:$G$3000&gt;0))&gt;0,"✓",IF(SUMPRODUCT(ISNUMBER(SEARCH(", "&amp;TEXT(F$24,"yyyy-mm")&amp;":",", "&amp;Transaksi!$F$2:$F$3000&amp;","))*(Transaksi!$C$2:$C$3000=$A28)*(Transaksi!$G$2:$G$3000&gt;0))&gt;0,"½",IF(F$24&gt;TODAY(),"·","✗"))))</f>
        <v/>
      </c>
      <c r="G28" s="36">
        <f>IF(OR(G$24&lt;Tetapan!$B8,AND(Tetapan!$C8&lt;&gt;"",G$24&gt;Tetapan!$C8),Tetapan!$D8=0),"–",IF(SUMPRODUCT(ISNUMBER(SEARCH(", "&amp;TEXT(G$24,"yyyy-mm")&amp;",",", "&amp;Transaksi!$F$2:$F$3000&amp;","))*(Transaksi!$C$2:$C$3000=$A28)*(Transaksi!$G$2:$G$3000&gt;0))&gt;0,"✓",IF(SUMPRODUCT(ISNUMBER(SEARCH(", "&amp;TEXT(G$24,"yyyy-mm")&amp;":",", "&amp;Transaksi!$F$2:$F$3000&amp;","))*(Transaksi!$C$2:$C$3000=$A28)*(Transaksi!$G$2:$G$3000&gt;0))&gt;0,"½",IF(G$24&gt;TODAY(),"·","✗"))))</f>
        <v/>
      </c>
      <c r="H28" s="36">
        <f>IF(OR(H$24&lt;Tetapan!$B8,AND(Tetapan!$C8&lt;&gt;"",H$24&gt;Tetapan!$C8),Tetapan!$D8=0),"–",IF(SUMPRODUCT(ISNUMBER(SEARCH(", "&amp;TEXT(H$24,"yyyy-mm")&amp;",",", "&amp;Transaksi!$F$2:$F$3000&amp;","))*(Transaksi!$C$2:$C$3000=$A28)*(Transaksi!$G$2:$G$3000&gt;0))&gt;0,"✓",IF(SUMPRODUCT(ISNUMBER(SEARCH(", "&amp;TEXT(H$24,"yyyy-mm")&amp;":",", "&amp;Transaksi!$F$2:$F$3000&amp;","))*(Transaksi!$C$2:$C$3000=$A28)*(Transaksi!$G$2:$G$3000&gt;0))&gt;0,"½",IF(H$24&gt;TODAY(),"·","✗"))))</f>
        <v/>
      </c>
      <c r="I28" s="36">
        <f>IF(OR(I$24&lt;Tetapan!$B8,AND(Tetapan!$C8&lt;&gt;"",I$24&gt;Tetapan!$C8),Tetapan!$D8=0),"–",IF(SUMPRODUCT(ISNUMBER(SEARCH(", "&amp;TEXT(I$24,"yyyy-mm")&amp;",",", "&amp;Transaksi!$F$2:$F$3000&amp;","))*(Transaksi!$C$2:$C$3000=$A28)*(Transaksi!$G$2:$G$3000&gt;0))&gt;0,"✓",IF(SUMPRODUCT(ISNUMBER(SEARCH(", "&amp;TEXT(I$24,"yyyy-mm")&amp;":",", "&amp;Transaksi!$F$2:$F$3000&amp;","))*(Transaksi!$C$2:$C$3000=$A28)*(Transaksi!$G$2:$G$3000&gt;0))&gt;0,"½",IF(I$24&gt;TODAY(),"·","✗"))))</f>
        <v/>
      </c>
      <c r="J28" s="36">
        <f>IF(OR(J$24&lt;Tetapan!$B8,AND(Tetapan!$C8&lt;&gt;"",J$24&gt;Tetapan!$C8),Tetapan!$D8=0),"–",IF(SUMPRODUCT(ISNUMBER(SEARCH(", "&amp;TEXT(J$24,"yyyy-mm")&amp;",",", "&amp;Transaksi!$F$2:$F$3000&amp;","))*(Transaksi!$C$2:$C$3000=$A28)*(Transaksi!$G$2:$G$3000&gt;0))&gt;0,"✓",IF(SUMPRODUCT(ISNUMBER(SEARCH(", "&amp;TEXT(J$24,"yyyy-mm")&amp;":",", "&amp;Transaksi!$F$2:$F$3000&amp;","))*(Transaksi!$C$2:$C$3000=$A28)*(Transaksi!$G$2:$G$3000&gt;0))&gt;0,"½",IF(J$24&gt;TODAY(),"·","✗"))))</f>
        <v/>
      </c>
      <c r="K28" s="36">
        <f>IF(OR(K$24&lt;Tetapan!$B8,AND(Tetapan!$C8&lt;&gt;"",K$24&gt;Tetapan!$C8),Tetapan!$D8=0),"–",IF(SUMPRODUCT(ISNUMBER(SEARCH(", "&amp;TEXT(K$24,"yyyy-mm")&amp;",",", "&amp;Transaksi!$F$2:$F$3000&amp;","))*(Transaksi!$C$2:$C$3000=$A28)*(Transaksi!$G$2:$G$3000&gt;0))&gt;0,"✓",IF(SUMPRODUCT(ISNUMBER(SEARCH(", "&amp;TEXT(K$24,"yyyy-mm")&amp;":",", "&amp;Transaksi!$F$2:$F$3000&amp;","))*(Transaksi!$C$2:$C$3000=$A28)*(Transaksi!$G$2:$G$3000&gt;0))&gt;0,"½",IF(K$24&gt;TODAY(),"·","✗"))))</f>
        <v/>
      </c>
      <c r="L28" s="36">
        <f>IF(OR(L$24&lt;Tetapan!$B8,AND(Tetapan!$C8&lt;&gt;"",L$24&gt;Tetapan!$C8),Tetapan!$D8=0),"–",IF(SUMPRODUCT(ISNUMBER(SEARCH(", "&amp;TEXT(L$24,"yyyy-mm")&amp;",",", "&amp;Transaksi!$F$2:$F$3000&amp;","))*(Transaksi!$C$2:$C$3000=$A28)*(Transaksi!$G$2:$G$3000&gt;0))&gt;0,"✓",IF(SUMPRODUCT(ISNUMBER(SEARCH(", "&amp;TEXT(L$24,"yyyy-mm")&amp;":",", "&amp;Transaksi!$F$2:$F$3000&amp;","))*(Transaksi!$C$2:$C$3000=$A28)*(Transaksi!$G$2:$G$3000&gt;0))&gt;0,"½",IF(L$24&gt;TODAY(),"·","✗"))))</f>
        <v/>
      </c>
      <c r="M28" s="36">
        <f>IF(OR(M$24&lt;Tetapan!$B8,AND(Tetapan!$C8&lt;&gt;"",M$24&gt;Tetapan!$C8),Tetapan!$D8=0),"–",IF(SUMPRODUCT(ISNUMBER(SEARCH(", "&amp;TEXT(M$24,"yyyy-mm")&amp;",",", "&amp;Transaksi!$F$2:$F$3000&amp;","))*(Transaksi!$C$2:$C$3000=$A28)*(Transaksi!$G$2:$G$3000&gt;0))&gt;0,"✓",IF(SUMPRODUCT(ISNUMBER(SEARCH(", "&amp;TEXT(M$24,"yyyy-mm")&amp;":",", "&amp;Transaksi!$F$2:$F$3000&amp;","))*(Transaksi!$C$2:$C$3000=$A28)*(Transaksi!$G$2:$G$3000&gt;0))&gt;0,"½",IF(M$24&gt;TODAY(),"·","✗"))))</f>
        <v/>
      </c>
      <c r="N28" s="36">
        <f>IF(OR(N$24&lt;Tetapan!$B8,AND(Tetapan!$C8&lt;&gt;"",N$24&gt;Tetapan!$C8),Tetapan!$D8=0),"–",IF(SUMPRODUCT(ISNUMBER(SEARCH(", "&amp;TEXT(N$24,"yyyy-mm")&amp;",",", "&amp;Transaksi!$F$2:$F$3000&amp;","))*(Transaksi!$C$2:$C$3000=$A28)*(Transaksi!$G$2:$G$3000&gt;0))&gt;0,"✓",IF(SUMPRODUCT(ISNUMBER(SEARCH(", "&amp;TEXT(N$24,"yyyy-mm")&amp;":",", "&amp;Transaksi!$F$2:$F$3000&amp;","))*(Transaksi!$C$2:$C$3000=$A28)*(Transaksi!$G$2:$G$3000&gt;0))&gt;0,"½",IF(N$24&gt;TODAY(),"·","✗"))))</f>
        <v/>
      </c>
      <c r="O28" s="36">
        <f>IF(OR(O$24&lt;Tetapan!$B8,AND(Tetapan!$C8&lt;&gt;"",O$24&gt;Tetapan!$C8),Tetapan!$D8=0),"–",IF(SUMPRODUCT(ISNUMBER(SEARCH(", "&amp;TEXT(O$24,"yyyy-mm")&amp;",",", "&amp;Transaksi!$F$2:$F$3000&amp;","))*(Transaksi!$C$2:$C$3000=$A28)*(Transaksi!$G$2:$G$3000&gt;0))&gt;0,"✓",IF(SUMPRODUCT(ISNUMBER(SEARCH(", "&amp;TEXT(O$24,"yyyy-mm")&amp;":",", "&amp;Transaksi!$F$2:$F$3000&amp;","))*(Transaksi!$C$2:$C$3000=$A28)*(Transaksi!$G$2:$G$3000&gt;0))&gt;0,"½",IF(O$24&gt;TODAY(),"·","✗"))))</f>
        <v/>
      </c>
      <c r="P28" s="36">
        <f>IF(OR(P$24&lt;Tetapan!$B8,AND(Tetapan!$C8&lt;&gt;"",P$24&gt;Tetapan!$C8),Tetapan!$D8=0),"–",IF(SUMPRODUCT(ISNUMBER(SEARCH(", "&amp;TEXT(P$24,"yyyy-mm")&amp;",",", "&amp;Transaksi!$F$2:$F$3000&amp;","))*(Transaksi!$C$2:$C$3000=$A28)*(Transaksi!$G$2:$G$3000&gt;0))&gt;0,"✓",IF(SUMPRODUCT(ISNUMBER(SEARCH(", "&amp;TEXT(P$24,"yyyy-mm")&amp;":",", "&amp;Transaksi!$F$2:$F$3000&amp;","))*(Transaksi!$C$2:$C$3000=$A28)*(Transaksi!$G$2:$G$3000&gt;0))&gt;0,"½",IF(P$24&gt;TODAY(),"·","✗"))))</f>
        <v/>
      </c>
      <c r="Q28" s="36">
        <f>IF(OR(Q$24&lt;Tetapan!$B8,AND(Tetapan!$C8&lt;&gt;"",Q$24&gt;Tetapan!$C8),Tetapan!$D8=0),"–",IF(SUMPRODUCT(ISNUMBER(SEARCH(", "&amp;TEXT(Q$24,"yyyy-mm")&amp;",",", "&amp;Transaksi!$F$2:$F$3000&amp;","))*(Transaksi!$C$2:$C$3000=$A28)*(Transaksi!$G$2:$G$3000&gt;0))&gt;0,"✓",IF(SUMPRODUCT(ISNUMBER(SEARCH(", "&amp;TEXT(Q$24,"yyyy-mm")&amp;":",", "&amp;Transaksi!$F$2:$F$3000&amp;","))*(Transaksi!$C$2:$C$3000=$A28)*(Transaksi!$G$2:$G$3000&gt;0))&gt;0,"½",IF(Q$24&gt;TODAY(),"·","✗"))))</f>
        <v/>
      </c>
      <c r="R28" s="36">
        <f>IF(OR(R$24&lt;Tetapan!$B8,AND(Tetapan!$C8&lt;&gt;"",R$24&gt;Tetapan!$C8),Tetapan!$D8=0),"–",IF(SUMPRODUCT(ISNUMBER(SEARCH(", "&amp;TEXT(R$24,"yyyy-mm")&amp;",",", "&amp;Transaksi!$F$2:$F$3000&amp;","))*(Transaksi!$C$2:$C$3000=$A28)*(Transaksi!$G$2:$G$3000&gt;0))&gt;0,"✓",IF(SUMPRODUCT(ISNUMBER(SEARCH(", "&amp;TEXT(R$24,"yyyy-mm")&amp;":",", "&amp;Transaksi!$F$2:$F$3000&amp;","))*(Transaksi!$C$2:$C$3000=$A28)*(Transaksi!$G$2:$G$3000&gt;0))&gt;0,"½",IF(R$24&gt;TODAY(),"·","✗"))))</f>
        <v/>
      </c>
      <c r="S28" s="36">
        <f>IF(OR(S$24&lt;Tetapan!$B8,AND(Tetapan!$C8&lt;&gt;"",S$24&gt;Tetapan!$C8),Tetapan!$D8=0),"–",IF(SUMPRODUCT(ISNUMBER(SEARCH(", "&amp;TEXT(S$24,"yyyy-mm")&amp;",",", "&amp;Transaksi!$F$2:$F$3000&amp;","))*(Transaksi!$C$2:$C$3000=$A28)*(Transaksi!$G$2:$G$3000&gt;0))&gt;0,"✓",IF(SUMPRODUCT(ISNUMBER(SEARCH(", "&amp;TEXT(S$24,"yyyy-mm")&amp;":",", "&amp;Transaksi!$F$2:$F$3000&amp;","))*(Transaksi!$C$2:$C$3000=$A28)*(Transaksi!$G$2:$G$3000&gt;0))&gt;0,"½",IF(S$24&gt;TODAY(),"·","✗"))))</f>
        <v/>
      </c>
      <c r="T28" s="36">
        <f>IF(OR(T$24&lt;Tetapan!$B8,AND(Tetapan!$C8&lt;&gt;"",T$24&gt;Tetapan!$C8),Tetapan!$D8=0),"–",IF(SUMPRODUCT(ISNUMBER(SEARCH(", "&amp;TEXT(T$24,"yyyy-mm")&amp;",",", "&amp;Transaksi!$F$2:$F$3000&amp;","))*(Transaksi!$C$2:$C$3000=$A28)*(Transaksi!$G$2:$G$3000&gt;0))&gt;0,"✓",IF(SUMPRODUCT(ISNUMBER(SEARCH(", "&amp;TEXT(T$24,"yyyy-mm")&amp;":",", "&amp;Transaksi!$F$2:$F$3000&amp;","))*(Transaksi!$C$2:$C$3000=$A28)*(Transaksi!$G$2:$G$3000&gt;0))&gt;0,"½",IF(T$24&gt;TODAY(),"·","✗"))))</f>
        <v/>
      </c>
      <c r="V28" s="37">
        <f>IF(B28="✗",TEXT(B$24,"mmm yy")&amp;", ",IF(B28="½",TEXT(B$24,"mmm yy")&amp;" (separa), ",""))&amp;IF(C28="✗",TEXT(C$24,"mmm yy")&amp;", ",IF(C28="½",TEXT(C$24,"mmm yy")&amp;" (separa), ",""))&amp;IF(D28="✗",TEXT(D$24,"mmm yy")&amp;", ",IF(D28="½",TEXT(D$24,"mmm yy")&amp;" (separa), ",""))&amp;IF(E28="✗",TEXT(E$24,"mmm yy")&amp;", ",IF(E28="½",TEXT(E$24,"mmm yy")&amp;" (separa), ",""))&amp;IF(F28="✗",TEXT(F$24,"mmm yy")&amp;", ",IF(F28="½",TEXT(F$24,"mmm yy")&amp;" (separa), ",""))&amp;IF(G28="✗",TEXT(G$24,"mmm yy")&amp;", ",IF(G28="½",TEXT(G$24,"mmm yy")&amp;" (separa), ",""))&amp;IF(H28="✗",TEXT(H$24,"mmm yy")&amp;", ",IF(H28="½",TEXT(H$24,"mmm yy")&amp;" (separa), ",""))&amp;IF(I28="✗",TEXT(I$24,"mmm yy")&amp;", ",IF(I28="½",TEXT(I$24,"mmm yy")&amp;" (separa), ",""))&amp;IF(J28="✗",TEXT(J$24,"mmm yy")&amp;", ",IF(J28="½",TEXT(J$24,"mmm yy")&amp;" (separa), ",""))&amp;IF(K28="✗",TEXT(K$24,"mmm yy")&amp;", ",IF(K28="½",TEXT(K$24,"mmm yy")&amp;" (separa), ",""))&amp;IF(L28="✗",TEXT(L$24,"mmm yy")&amp;", ",IF(L28="½",TEXT(L$24,"mmm yy")&amp;" (separa), ",""))&amp;IF(M28="✗",TEXT(M$24,"mmm yy")&amp;", ",IF(M28="½",TEXT(M$24,"mmm yy")&amp;" (separa), ",""))&amp;IF(N28="✗",TEXT(N$24,"mmm yy")&amp;", ",IF(N28="½",TEXT(N$24,"mmm yy")&amp;" (separa), ",""))&amp;IF(O28="✗",TEXT(O$24,"mmm yy")&amp;", ",IF(O28="½",TEXT(O$24,"mmm yy")&amp;" (separa), ",""))&amp;IF(P28="✗",TEXT(P$24,"mmm yy")&amp;", ",IF(P28="½",TEXT(P$24,"mmm yy")&amp;" (separa), ",""))&amp;IF(Q28="✗",TEXT(Q$24,"mmm yy")&amp;", ",IF(Q28="½",TEXT(Q$24,"mmm yy")&amp;" (separa), ",""))&amp;IF(R28="✗",TEXT(R$24,"mmm yy")&amp;", ",IF(R28="½",TEXT(R$24,"mmm yy")&amp;" (separa), ",""))&amp;IF(S28="✗",TEXT(S$24,"mmm yy")&amp;", ",IF(S28="½",TEXT(S$24,"mmm yy")&amp;" (separa), ",""))&amp;IF(T28="✗",TEXT(T$24,"mmm yy")&amp;", ",IF(T28="½",TEXT(T$24,"mmm yy")&amp;" (separa), ",""))</f>
        <v/>
      </c>
    </row>
    <row r="29">
      <c r="A29" s="32">
        <f>Tetapan!A9</f>
        <v/>
      </c>
      <c r="B29" s="36">
        <f>IF(OR(B$24&lt;Tetapan!$B9,AND(Tetapan!$C9&lt;&gt;"",B$24&gt;Tetapan!$C9),Tetapan!$D9=0),"–",IF(SUMPRODUCT(ISNUMBER(SEARCH(", "&amp;TEXT(B$24,"yyyy-mm")&amp;",",", "&amp;Transaksi!$F$2:$F$3000&amp;","))*(Transaksi!$C$2:$C$3000=$A29)*(Transaksi!$G$2:$G$3000&gt;0))&gt;0,"✓",IF(SUMPRODUCT(ISNUMBER(SEARCH(", "&amp;TEXT(B$24,"yyyy-mm")&amp;":",", "&amp;Transaksi!$F$2:$F$3000&amp;","))*(Transaksi!$C$2:$C$3000=$A29)*(Transaksi!$G$2:$G$3000&gt;0))&gt;0,"½",IF(B$24&gt;TODAY(),"·","✗"))))</f>
        <v/>
      </c>
      <c r="C29" s="36">
        <f>IF(OR(C$24&lt;Tetapan!$B9,AND(Tetapan!$C9&lt;&gt;"",C$24&gt;Tetapan!$C9),Tetapan!$D9=0),"–",IF(SUMPRODUCT(ISNUMBER(SEARCH(", "&amp;TEXT(C$24,"yyyy-mm")&amp;",",", "&amp;Transaksi!$F$2:$F$3000&amp;","))*(Transaksi!$C$2:$C$3000=$A29)*(Transaksi!$G$2:$G$3000&gt;0))&gt;0,"✓",IF(SUMPRODUCT(ISNUMBER(SEARCH(", "&amp;TEXT(C$24,"yyyy-mm")&amp;":",", "&amp;Transaksi!$F$2:$F$3000&amp;","))*(Transaksi!$C$2:$C$3000=$A29)*(Transaksi!$G$2:$G$3000&gt;0))&gt;0,"½",IF(C$24&gt;TODAY(),"·","✗"))))</f>
        <v/>
      </c>
      <c r="D29" s="36">
        <f>IF(OR(D$24&lt;Tetapan!$B9,AND(Tetapan!$C9&lt;&gt;"",D$24&gt;Tetapan!$C9),Tetapan!$D9=0),"–",IF(SUMPRODUCT(ISNUMBER(SEARCH(", "&amp;TEXT(D$24,"yyyy-mm")&amp;",",", "&amp;Transaksi!$F$2:$F$3000&amp;","))*(Transaksi!$C$2:$C$3000=$A29)*(Transaksi!$G$2:$G$3000&gt;0))&gt;0,"✓",IF(SUMPRODUCT(ISNUMBER(SEARCH(", "&amp;TEXT(D$24,"yyyy-mm")&amp;":",", "&amp;Transaksi!$F$2:$F$3000&amp;","))*(Transaksi!$C$2:$C$3000=$A29)*(Transaksi!$G$2:$G$3000&gt;0))&gt;0,"½",IF(D$24&gt;TODAY(),"·","✗"))))</f>
        <v/>
      </c>
      <c r="E29" s="36">
        <f>IF(OR(E$24&lt;Tetapan!$B9,AND(Tetapan!$C9&lt;&gt;"",E$24&gt;Tetapan!$C9),Tetapan!$D9=0),"–",IF(SUMPRODUCT(ISNUMBER(SEARCH(", "&amp;TEXT(E$24,"yyyy-mm")&amp;",",", "&amp;Transaksi!$F$2:$F$3000&amp;","))*(Transaksi!$C$2:$C$3000=$A29)*(Transaksi!$G$2:$G$3000&gt;0))&gt;0,"✓",IF(SUMPRODUCT(ISNUMBER(SEARCH(", "&amp;TEXT(E$24,"yyyy-mm")&amp;":",", "&amp;Transaksi!$F$2:$F$3000&amp;","))*(Transaksi!$C$2:$C$3000=$A29)*(Transaksi!$G$2:$G$3000&gt;0))&gt;0,"½",IF(E$24&gt;TODAY(),"·","✗"))))</f>
        <v/>
      </c>
      <c r="F29" s="36">
        <f>IF(OR(F$24&lt;Tetapan!$B9,AND(Tetapan!$C9&lt;&gt;"",F$24&gt;Tetapan!$C9),Tetapan!$D9=0),"–",IF(SUMPRODUCT(ISNUMBER(SEARCH(", "&amp;TEXT(F$24,"yyyy-mm")&amp;",",", "&amp;Transaksi!$F$2:$F$3000&amp;","))*(Transaksi!$C$2:$C$3000=$A29)*(Transaksi!$G$2:$G$3000&gt;0))&gt;0,"✓",IF(SUMPRODUCT(ISNUMBER(SEARCH(", "&amp;TEXT(F$24,"yyyy-mm")&amp;":",", "&amp;Transaksi!$F$2:$F$3000&amp;","))*(Transaksi!$C$2:$C$3000=$A29)*(Transaksi!$G$2:$G$3000&gt;0))&gt;0,"½",IF(F$24&gt;TODAY(),"·","✗"))))</f>
        <v/>
      </c>
      <c r="G29" s="36">
        <f>IF(OR(G$24&lt;Tetapan!$B9,AND(Tetapan!$C9&lt;&gt;"",G$24&gt;Tetapan!$C9),Tetapan!$D9=0),"–",IF(SUMPRODUCT(ISNUMBER(SEARCH(", "&amp;TEXT(G$24,"yyyy-mm")&amp;",",", "&amp;Transaksi!$F$2:$F$3000&amp;","))*(Transaksi!$C$2:$C$3000=$A29)*(Transaksi!$G$2:$G$3000&gt;0))&gt;0,"✓",IF(SUMPRODUCT(ISNUMBER(SEARCH(", "&amp;TEXT(G$24,"yyyy-mm")&amp;":",", "&amp;Transaksi!$F$2:$F$3000&amp;","))*(Transaksi!$C$2:$C$3000=$A29)*(Transaksi!$G$2:$G$3000&gt;0))&gt;0,"½",IF(G$24&gt;TODAY(),"·","✗"))))</f>
        <v/>
      </c>
      <c r="H29" s="36">
        <f>IF(OR(H$24&lt;Tetapan!$B9,AND(Tetapan!$C9&lt;&gt;"",H$24&gt;Tetapan!$C9),Tetapan!$D9=0),"–",IF(SUMPRODUCT(ISNUMBER(SEARCH(", "&amp;TEXT(H$24,"yyyy-mm")&amp;",",", "&amp;Transaksi!$F$2:$F$3000&amp;","))*(Transaksi!$C$2:$C$3000=$A29)*(Transaksi!$G$2:$G$3000&gt;0))&gt;0,"✓",IF(SUMPRODUCT(ISNUMBER(SEARCH(", "&amp;TEXT(H$24,"yyyy-mm")&amp;":",", "&amp;Transaksi!$F$2:$F$3000&amp;","))*(Transaksi!$C$2:$C$3000=$A29)*(Transaksi!$G$2:$G$3000&gt;0))&gt;0,"½",IF(H$24&gt;TODAY(),"·","✗"))))</f>
        <v/>
      </c>
      <c r="I29" s="36">
        <f>IF(OR(I$24&lt;Tetapan!$B9,AND(Tetapan!$C9&lt;&gt;"",I$24&gt;Tetapan!$C9),Tetapan!$D9=0),"–",IF(SUMPRODUCT(ISNUMBER(SEARCH(", "&amp;TEXT(I$24,"yyyy-mm")&amp;",",", "&amp;Transaksi!$F$2:$F$3000&amp;","))*(Transaksi!$C$2:$C$3000=$A29)*(Transaksi!$G$2:$G$3000&gt;0))&gt;0,"✓",IF(SUMPRODUCT(ISNUMBER(SEARCH(", "&amp;TEXT(I$24,"yyyy-mm")&amp;":",", "&amp;Transaksi!$F$2:$F$3000&amp;","))*(Transaksi!$C$2:$C$3000=$A29)*(Transaksi!$G$2:$G$3000&gt;0))&gt;0,"½",IF(I$24&gt;TODAY(),"·","✗"))))</f>
        <v/>
      </c>
      <c r="J29" s="36">
        <f>IF(OR(J$24&lt;Tetapan!$B9,AND(Tetapan!$C9&lt;&gt;"",J$24&gt;Tetapan!$C9),Tetapan!$D9=0),"–",IF(SUMPRODUCT(ISNUMBER(SEARCH(", "&amp;TEXT(J$24,"yyyy-mm")&amp;",",", "&amp;Transaksi!$F$2:$F$3000&amp;","))*(Transaksi!$C$2:$C$3000=$A29)*(Transaksi!$G$2:$G$3000&gt;0))&gt;0,"✓",IF(SUMPRODUCT(ISNUMBER(SEARCH(", "&amp;TEXT(J$24,"yyyy-mm")&amp;":",", "&amp;Transaksi!$F$2:$F$3000&amp;","))*(Transaksi!$C$2:$C$3000=$A29)*(Transaksi!$G$2:$G$3000&gt;0))&gt;0,"½",IF(J$24&gt;TODAY(),"·","✗"))))</f>
        <v/>
      </c>
      <c r="K29" s="36">
        <f>IF(OR(K$24&lt;Tetapan!$B9,AND(Tetapan!$C9&lt;&gt;"",K$24&gt;Tetapan!$C9),Tetapan!$D9=0),"–",IF(SUMPRODUCT(ISNUMBER(SEARCH(", "&amp;TEXT(K$24,"yyyy-mm")&amp;",",", "&amp;Transaksi!$F$2:$F$3000&amp;","))*(Transaksi!$C$2:$C$3000=$A29)*(Transaksi!$G$2:$G$3000&gt;0))&gt;0,"✓",IF(SUMPRODUCT(ISNUMBER(SEARCH(", "&amp;TEXT(K$24,"yyyy-mm")&amp;":",", "&amp;Transaksi!$F$2:$F$3000&amp;","))*(Transaksi!$C$2:$C$3000=$A29)*(Transaksi!$G$2:$G$3000&gt;0))&gt;0,"½",IF(K$24&gt;TODAY(),"·","✗"))))</f>
        <v/>
      </c>
      <c r="L29" s="36">
        <f>IF(OR(L$24&lt;Tetapan!$B9,AND(Tetapan!$C9&lt;&gt;"",L$24&gt;Tetapan!$C9),Tetapan!$D9=0),"–",IF(SUMPRODUCT(ISNUMBER(SEARCH(", "&amp;TEXT(L$24,"yyyy-mm")&amp;",",", "&amp;Transaksi!$F$2:$F$3000&amp;","))*(Transaksi!$C$2:$C$3000=$A29)*(Transaksi!$G$2:$G$3000&gt;0))&gt;0,"✓",IF(SUMPRODUCT(ISNUMBER(SEARCH(", "&amp;TEXT(L$24,"yyyy-mm")&amp;":",", "&amp;Transaksi!$F$2:$F$3000&amp;","))*(Transaksi!$C$2:$C$3000=$A29)*(Transaksi!$G$2:$G$3000&gt;0))&gt;0,"½",IF(L$24&gt;TODAY(),"·","✗"))))</f>
        <v/>
      </c>
      <c r="M29" s="36">
        <f>IF(OR(M$24&lt;Tetapan!$B9,AND(Tetapan!$C9&lt;&gt;"",M$24&gt;Tetapan!$C9),Tetapan!$D9=0),"–",IF(SUMPRODUCT(ISNUMBER(SEARCH(", "&amp;TEXT(M$24,"yyyy-mm")&amp;",",", "&amp;Transaksi!$F$2:$F$3000&amp;","))*(Transaksi!$C$2:$C$3000=$A29)*(Transaksi!$G$2:$G$3000&gt;0))&gt;0,"✓",IF(SUMPRODUCT(ISNUMBER(SEARCH(", "&amp;TEXT(M$24,"yyyy-mm")&amp;":",", "&amp;Transaksi!$F$2:$F$3000&amp;","))*(Transaksi!$C$2:$C$3000=$A29)*(Transaksi!$G$2:$G$3000&gt;0))&gt;0,"½",IF(M$24&gt;TODAY(),"·","✗"))))</f>
        <v/>
      </c>
      <c r="N29" s="36">
        <f>IF(OR(N$24&lt;Tetapan!$B9,AND(Tetapan!$C9&lt;&gt;"",N$24&gt;Tetapan!$C9),Tetapan!$D9=0),"–",IF(SUMPRODUCT(ISNUMBER(SEARCH(", "&amp;TEXT(N$24,"yyyy-mm")&amp;",",", "&amp;Transaksi!$F$2:$F$3000&amp;","))*(Transaksi!$C$2:$C$3000=$A29)*(Transaksi!$G$2:$G$3000&gt;0))&gt;0,"✓",IF(SUMPRODUCT(ISNUMBER(SEARCH(", "&amp;TEXT(N$24,"yyyy-mm")&amp;":",", "&amp;Transaksi!$F$2:$F$3000&amp;","))*(Transaksi!$C$2:$C$3000=$A29)*(Transaksi!$G$2:$G$3000&gt;0))&gt;0,"½",IF(N$24&gt;TODAY(),"·","✗"))))</f>
        <v/>
      </c>
      <c r="O29" s="36">
        <f>IF(OR(O$24&lt;Tetapan!$B9,AND(Tetapan!$C9&lt;&gt;"",O$24&gt;Tetapan!$C9),Tetapan!$D9=0),"–",IF(SUMPRODUCT(ISNUMBER(SEARCH(", "&amp;TEXT(O$24,"yyyy-mm")&amp;",",", "&amp;Transaksi!$F$2:$F$3000&amp;","))*(Transaksi!$C$2:$C$3000=$A29)*(Transaksi!$G$2:$G$3000&gt;0))&gt;0,"✓",IF(SUMPRODUCT(ISNUMBER(SEARCH(", "&amp;TEXT(O$24,"yyyy-mm")&amp;":",", "&amp;Transaksi!$F$2:$F$3000&amp;","))*(Transaksi!$C$2:$C$3000=$A29)*(Transaksi!$G$2:$G$3000&gt;0))&gt;0,"½",IF(O$24&gt;TODAY(),"·","✗"))))</f>
        <v/>
      </c>
      <c r="P29" s="36">
        <f>IF(OR(P$24&lt;Tetapan!$B9,AND(Tetapan!$C9&lt;&gt;"",P$24&gt;Tetapan!$C9),Tetapan!$D9=0),"–",IF(SUMPRODUCT(ISNUMBER(SEARCH(", "&amp;TEXT(P$24,"yyyy-mm")&amp;",",", "&amp;Transaksi!$F$2:$F$3000&amp;","))*(Transaksi!$C$2:$C$3000=$A29)*(Transaksi!$G$2:$G$3000&gt;0))&gt;0,"✓",IF(SUMPRODUCT(ISNUMBER(SEARCH(", "&amp;TEXT(P$24,"yyyy-mm")&amp;":",", "&amp;Transaksi!$F$2:$F$3000&amp;","))*(Transaksi!$C$2:$C$3000=$A29)*(Transaksi!$G$2:$G$3000&gt;0))&gt;0,"½",IF(P$24&gt;TODAY(),"·","✗"))))</f>
        <v/>
      </c>
      <c r="Q29" s="36">
        <f>IF(OR(Q$24&lt;Tetapan!$B9,AND(Tetapan!$C9&lt;&gt;"",Q$24&gt;Tetapan!$C9),Tetapan!$D9=0),"–",IF(SUMPRODUCT(ISNUMBER(SEARCH(", "&amp;TEXT(Q$24,"yyyy-mm")&amp;",",", "&amp;Transaksi!$F$2:$F$3000&amp;","))*(Transaksi!$C$2:$C$3000=$A29)*(Transaksi!$G$2:$G$3000&gt;0))&gt;0,"✓",IF(SUMPRODUCT(ISNUMBER(SEARCH(", "&amp;TEXT(Q$24,"yyyy-mm")&amp;":",", "&amp;Transaksi!$F$2:$F$3000&amp;","))*(Transaksi!$C$2:$C$3000=$A29)*(Transaksi!$G$2:$G$3000&gt;0))&gt;0,"½",IF(Q$24&gt;TODAY(),"·","✗"))))</f>
        <v/>
      </c>
      <c r="R29" s="36">
        <f>IF(OR(R$24&lt;Tetapan!$B9,AND(Tetapan!$C9&lt;&gt;"",R$24&gt;Tetapan!$C9),Tetapan!$D9=0),"–",IF(SUMPRODUCT(ISNUMBER(SEARCH(", "&amp;TEXT(R$24,"yyyy-mm")&amp;",",", "&amp;Transaksi!$F$2:$F$3000&amp;","))*(Transaksi!$C$2:$C$3000=$A29)*(Transaksi!$G$2:$G$3000&gt;0))&gt;0,"✓",IF(SUMPRODUCT(ISNUMBER(SEARCH(", "&amp;TEXT(R$24,"yyyy-mm")&amp;":",", "&amp;Transaksi!$F$2:$F$3000&amp;","))*(Transaksi!$C$2:$C$3000=$A29)*(Transaksi!$G$2:$G$3000&gt;0))&gt;0,"½",IF(R$24&gt;TODAY(),"·","✗"))))</f>
        <v/>
      </c>
      <c r="S29" s="36">
        <f>IF(OR(S$24&lt;Tetapan!$B9,AND(Tetapan!$C9&lt;&gt;"",S$24&gt;Tetapan!$C9),Tetapan!$D9=0),"–",IF(SUMPRODUCT(ISNUMBER(SEARCH(", "&amp;TEXT(S$24,"yyyy-mm")&amp;",",", "&amp;Transaksi!$F$2:$F$3000&amp;","))*(Transaksi!$C$2:$C$3000=$A29)*(Transaksi!$G$2:$G$3000&gt;0))&gt;0,"✓",IF(SUMPRODUCT(ISNUMBER(SEARCH(", "&amp;TEXT(S$24,"yyyy-mm")&amp;":",", "&amp;Transaksi!$F$2:$F$3000&amp;","))*(Transaksi!$C$2:$C$3000=$A29)*(Transaksi!$G$2:$G$3000&gt;0))&gt;0,"½",IF(S$24&gt;TODAY(),"·","✗"))))</f>
        <v/>
      </c>
      <c r="T29" s="36">
        <f>IF(OR(T$24&lt;Tetapan!$B9,AND(Tetapan!$C9&lt;&gt;"",T$24&gt;Tetapan!$C9),Tetapan!$D9=0),"–",IF(SUMPRODUCT(ISNUMBER(SEARCH(", "&amp;TEXT(T$24,"yyyy-mm")&amp;",",", "&amp;Transaksi!$F$2:$F$3000&amp;","))*(Transaksi!$C$2:$C$3000=$A29)*(Transaksi!$G$2:$G$3000&gt;0))&gt;0,"✓",IF(SUMPRODUCT(ISNUMBER(SEARCH(", "&amp;TEXT(T$24,"yyyy-mm")&amp;":",", "&amp;Transaksi!$F$2:$F$3000&amp;","))*(Transaksi!$C$2:$C$3000=$A29)*(Transaksi!$G$2:$G$3000&gt;0))&gt;0,"½",IF(T$24&gt;TODAY(),"·","✗"))))</f>
        <v/>
      </c>
      <c r="V29" s="37">
        <f>IF(B29="✗",TEXT(B$24,"mmm yy")&amp;", ",IF(B29="½",TEXT(B$24,"mmm yy")&amp;" (separa), ",""))&amp;IF(C29="✗",TEXT(C$24,"mmm yy")&amp;", ",IF(C29="½",TEXT(C$24,"mmm yy")&amp;" (separa), ",""))&amp;IF(D29="✗",TEXT(D$24,"mmm yy")&amp;", ",IF(D29="½",TEXT(D$24,"mmm yy")&amp;" (separa), ",""))&amp;IF(E29="✗",TEXT(E$24,"mmm yy")&amp;", ",IF(E29="½",TEXT(E$24,"mmm yy")&amp;" (separa), ",""))&amp;IF(F29="✗",TEXT(F$24,"mmm yy")&amp;", ",IF(F29="½",TEXT(F$24,"mmm yy")&amp;" (separa), ",""))&amp;IF(G29="✗",TEXT(G$24,"mmm yy")&amp;", ",IF(G29="½",TEXT(G$24,"mmm yy")&amp;" (separa), ",""))&amp;IF(H29="✗",TEXT(H$24,"mmm yy")&amp;", ",IF(H29="½",TEXT(H$24,"mmm yy")&amp;" (separa), ",""))&amp;IF(I29="✗",TEXT(I$24,"mmm yy")&amp;", ",IF(I29="½",TEXT(I$24,"mmm yy")&amp;" (separa), ",""))&amp;IF(J29="✗",TEXT(J$24,"mmm yy")&amp;", ",IF(J29="½",TEXT(J$24,"mmm yy")&amp;" (separa), ",""))&amp;IF(K29="✗",TEXT(K$24,"mmm yy")&amp;", ",IF(K29="½",TEXT(K$24,"mmm yy")&amp;" (separa), ",""))&amp;IF(L29="✗",TEXT(L$24,"mmm yy")&amp;", ",IF(L29="½",TEXT(L$24,"mmm yy")&amp;" (separa), ",""))&amp;IF(M29="✗",TEXT(M$24,"mmm yy")&amp;", ",IF(M29="½",TEXT(M$24,"mmm yy")&amp;" (separa), ",""))&amp;IF(N29="✗",TEXT(N$24,"mmm yy")&amp;", ",IF(N29="½",TEXT(N$24,"mmm yy")&amp;" (separa), ",""))&amp;IF(O29="✗",TEXT(O$24,"mmm yy")&amp;", ",IF(O29="½",TEXT(O$24,"mmm yy")&amp;" (separa), ",""))&amp;IF(P29="✗",TEXT(P$24,"mmm yy")&amp;", ",IF(P29="½",TEXT(P$24,"mmm yy")&amp;" (separa), ",""))&amp;IF(Q29="✗",TEXT(Q$24,"mmm yy")&amp;", ",IF(Q29="½",TEXT(Q$24,"mmm yy")&amp;" (separa), ",""))&amp;IF(R29="✗",TEXT(R$24,"mmm yy")&amp;", ",IF(R29="½",TEXT(R$24,"mmm yy")&amp;" (separa), ",""))&amp;IF(S29="✗",TEXT(S$24,"mmm yy")&amp;", ",IF(S29="½",TEXT(S$24,"mmm yy")&amp;" (separa), ",""))&amp;IF(T29="✗",TEXT(T$24,"mmm yy")&amp;", ",IF(T29="½",TEXT(T$24,"mmm yy")&amp;" (separa), ",""))</f>
        <v/>
      </c>
    </row>
    <row r="30">
      <c r="A30" s="32">
        <f>Tetapan!A10</f>
        <v/>
      </c>
      <c r="B30" s="36">
        <f>IF(OR(B$24&lt;Tetapan!$B10,AND(Tetapan!$C10&lt;&gt;"",B$24&gt;Tetapan!$C10),Tetapan!$D10=0),"–",IF(SUMPRODUCT(ISNUMBER(SEARCH(", "&amp;TEXT(B$24,"yyyy-mm")&amp;",",", "&amp;Transaksi!$F$2:$F$3000&amp;","))*(Transaksi!$C$2:$C$3000=$A30)*(Transaksi!$G$2:$G$3000&gt;0))&gt;0,"✓",IF(SUMPRODUCT(ISNUMBER(SEARCH(", "&amp;TEXT(B$24,"yyyy-mm")&amp;":",", "&amp;Transaksi!$F$2:$F$3000&amp;","))*(Transaksi!$C$2:$C$3000=$A30)*(Transaksi!$G$2:$G$3000&gt;0))&gt;0,"½",IF(B$24&gt;TODAY(),"·","✗"))))</f>
        <v/>
      </c>
      <c r="C30" s="36">
        <f>IF(OR(C$24&lt;Tetapan!$B10,AND(Tetapan!$C10&lt;&gt;"",C$24&gt;Tetapan!$C10),Tetapan!$D10=0),"–",IF(SUMPRODUCT(ISNUMBER(SEARCH(", "&amp;TEXT(C$24,"yyyy-mm")&amp;",",", "&amp;Transaksi!$F$2:$F$3000&amp;","))*(Transaksi!$C$2:$C$3000=$A30)*(Transaksi!$G$2:$G$3000&gt;0))&gt;0,"✓",IF(SUMPRODUCT(ISNUMBER(SEARCH(", "&amp;TEXT(C$24,"yyyy-mm")&amp;":",", "&amp;Transaksi!$F$2:$F$3000&amp;","))*(Transaksi!$C$2:$C$3000=$A30)*(Transaksi!$G$2:$G$3000&gt;0))&gt;0,"½",IF(C$24&gt;TODAY(),"·","✗"))))</f>
        <v/>
      </c>
      <c r="D30" s="36">
        <f>IF(OR(D$24&lt;Tetapan!$B10,AND(Tetapan!$C10&lt;&gt;"",D$24&gt;Tetapan!$C10),Tetapan!$D10=0),"–",IF(SUMPRODUCT(ISNUMBER(SEARCH(", "&amp;TEXT(D$24,"yyyy-mm")&amp;",",", "&amp;Transaksi!$F$2:$F$3000&amp;","))*(Transaksi!$C$2:$C$3000=$A30)*(Transaksi!$G$2:$G$3000&gt;0))&gt;0,"✓",IF(SUMPRODUCT(ISNUMBER(SEARCH(", "&amp;TEXT(D$24,"yyyy-mm")&amp;":",", "&amp;Transaksi!$F$2:$F$3000&amp;","))*(Transaksi!$C$2:$C$3000=$A30)*(Transaksi!$G$2:$G$3000&gt;0))&gt;0,"½",IF(D$24&gt;TODAY(),"·","✗"))))</f>
        <v/>
      </c>
      <c r="E30" s="36">
        <f>IF(OR(E$24&lt;Tetapan!$B10,AND(Tetapan!$C10&lt;&gt;"",E$24&gt;Tetapan!$C10),Tetapan!$D10=0),"–",IF(SUMPRODUCT(ISNUMBER(SEARCH(", "&amp;TEXT(E$24,"yyyy-mm")&amp;",",", "&amp;Transaksi!$F$2:$F$3000&amp;","))*(Transaksi!$C$2:$C$3000=$A30)*(Transaksi!$G$2:$G$3000&gt;0))&gt;0,"✓",IF(SUMPRODUCT(ISNUMBER(SEARCH(", "&amp;TEXT(E$24,"yyyy-mm")&amp;":",", "&amp;Transaksi!$F$2:$F$3000&amp;","))*(Transaksi!$C$2:$C$3000=$A30)*(Transaksi!$G$2:$G$3000&gt;0))&gt;0,"½",IF(E$24&gt;TODAY(),"·","✗"))))</f>
        <v/>
      </c>
      <c r="F30" s="36">
        <f>IF(OR(F$24&lt;Tetapan!$B10,AND(Tetapan!$C10&lt;&gt;"",F$24&gt;Tetapan!$C10),Tetapan!$D10=0),"–",IF(SUMPRODUCT(ISNUMBER(SEARCH(", "&amp;TEXT(F$24,"yyyy-mm")&amp;",",", "&amp;Transaksi!$F$2:$F$3000&amp;","))*(Transaksi!$C$2:$C$3000=$A30)*(Transaksi!$G$2:$G$3000&gt;0))&gt;0,"✓",IF(SUMPRODUCT(ISNUMBER(SEARCH(", "&amp;TEXT(F$24,"yyyy-mm")&amp;":",", "&amp;Transaksi!$F$2:$F$3000&amp;","))*(Transaksi!$C$2:$C$3000=$A30)*(Transaksi!$G$2:$G$3000&gt;0))&gt;0,"½",IF(F$24&gt;TODAY(),"·","✗"))))</f>
        <v/>
      </c>
      <c r="G30" s="36">
        <f>IF(OR(G$24&lt;Tetapan!$B10,AND(Tetapan!$C10&lt;&gt;"",G$24&gt;Tetapan!$C10),Tetapan!$D10=0),"–",IF(SUMPRODUCT(ISNUMBER(SEARCH(", "&amp;TEXT(G$24,"yyyy-mm")&amp;",",", "&amp;Transaksi!$F$2:$F$3000&amp;","))*(Transaksi!$C$2:$C$3000=$A30)*(Transaksi!$G$2:$G$3000&gt;0))&gt;0,"✓",IF(SUMPRODUCT(ISNUMBER(SEARCH(", "&amp;TEXT(G$24,"yyyy-mm")&amp;":",", "&amp;Transaksi!$F$2:$F$3000&amp;","))*(Transaksi!$C$2:$C$3000=$A30)*(Transaksi!$G$2:$G$3000&gt;0))&gt;0,"½",IF(G$24&gt;TODAY(),"·","✗"))))</f>
        <v/>
      </c>
      <c r="H30" s="36">
        <f>IF(OR(H$24&lt;Tetapan!$B10,AND(Tetapan!$C10&lt;&gt;"",H$24&gt;Tetapan!$C10),Tetapan!$D10=0),"–",IF(SUMPRODUCT(ISNUMBER(SEARCH(", "&amp;TEXT(H$24,"yyyy-mm")&amp;",",", "&amp;Transaksi!$F$2:$F$3000&amp;","))*(Transaksi!$C$2:$C$3000=$A30)*(Transaksi!$G$2:$G$3000&gt;0))&gt;0,"✓",IF(SUMPRODUCT(ISNUMBER(SEARCH(", "&amp;TEXT(H$24,"yyyy-mm")&amp;":",", "&amp;Transaksi!$F$2:$F$3000&amp;","))*(Transaksi!$C$2:$C$3000=$A30)*(Transaksi!$G$2:$G$3000&gt;0))&gt;0,"½",IF(H$24&gt;TODAY(),"·","✗"))))</f>
        <v/>
      </c>
      <c r="I30" s="36">
        <f>IF(OR(I$24&lt;Tetapan!$B10,AND(Tetapan!$C10&lt;&gt;"",I$24&gt;Tetapan!$C10),Tetapan!$D10=0),"–",IF(SUMPRODUCT(ISNUMBER(SEARCH(", "&amp;TEXT(I$24,"yyyy-mm")&amp;",",", "&amp;Transaksi!$F$2:$F$3000&amp;","))*(Transaksi!$C$2:$C$3000=$A30)*(Transaksi!$G$2:$G$3000&gt;0))&gt;0,"✓",IF(SUMPRODUCT(ISNUMBER(SEARCH(", "&amp;TEXT(I$24,"yyyy-mm")&amp;":",", "&amp;Transaksi!$F$2:$F$3000&amp;","))*(Transaksi!$C$2:$C$3000=$A30)*(Transaksi!$G$2:$G$3000&gt;0))&gt;0,"½",IF(I$24&gt;TODAY(),"·","✗"))))</f>
        <v/>
      </c>
      <c r="J30" s="36">
        <f>IF(OR(J$24&lt;Tetapan!$B10,AND(Tetapan!$C10&lt;&gt;"",J$24&gt;Tetapan!$C10),Tetapan!$D10=0),"–",IF(SUMPRODUCT(ISNUMBER(SEARCH(", "&amp;TEXT(J$24,"yyyy-mm")&amp;",",", "&amp;Transaksi!$F$2:$F$3000&amp;","))*(Transaksi!$C$2:$C$3000=$A30)*(Transaksi!$G$2:$G$3000&gt;0))&gt;0,"✓",IF(SUMPRODUCT(ISNUMBER(SEARCH(", "&amp;TEXT(J$24,"yyyy-mm")&amp;":",", "&amp;Transaksi!$F$2:$F$3000&amp;","))*(Transaksi!$C$2:$C$3000=$A30)*(Transaksi!$G$2:$G$3000&gt;0))&gt;0,"½",IF(J$24&gt;TODAY(),"·","✗"))))</f>
        <v/>
      </c>
      <c r="K30" s="36">
        <f>IF(OR(K$24&lt;Tetapan!$B10,AND(Tetapan!$C10&lt;&gt;"",K$24&gt;Tetapan!$C10),Tetapan!$D10=0),"–",IF(SUMPRODUCT(ISNUMBER(SEARCH(", "&amp;TEXT(K$24,"yyyy-mm")&amp;",",", "&amp;Transaksi!$F$2:$F$3000&amp;","))*(Transaksi!$C$2:$C$3000=$A30)*(Transaksi!$G$2:$G$3000&gt;0))&gt;0,"✓",IF(SUMPRODUCT(ISNUMBER(SEARCH(", "&amp;TEXT(K$24,"yyyy-mm")&amp;":",", "&amp;Transaksi!$F$2:$F$3000&amp;","))*(Transaksi!$C$2:$C$3000=$A30)*(Transaksi!$G$2:$G$3000&gt;0))&gt;0,"½",IF(K$24&gt;TODAY(),"·","✗"))))</f>
        <v/>
      </c>
      <c r="L30" s="36">
        <f>IF(OR(L$24&lt;Tetapan!$B10,AND(Tetapan!$C10&lt;&gt;"",L$24&gt;Tetapan!$C10),Tetapan!$D10=0),"–",IF(SUMPRODUCT(ISNUMBER(SEARCH(", "&amp;TEXT(L$24,"yyyy-mm")&amp;",",", "&amp;Transaksi!$F$2:$F$3000&amp;","))*(Transaksi!$C$2:$C$3000=$A30)*(Transaksi!$G$2:$G$3000&gt;0))&gt;0,"✓",IF(SUMPRODUCT(ISNUMBER(SEARCH(", "&amp;TEXT(L$24,"yyyy-mm")&amp;":",", "&amp;Transaksi!$F$2:$F$3000&amp;","))*(Transaksi!$C$2:$C$3000=$A30)*(Transaksi!$G$2:$G$3000&gt;0))&gt;0,"½",IF(L$24&gt;TODAY(),"·","✗"))))</f>
        <v/>
      </c>
      <c r="M30" s="36">
        <f>IF(OR(M$24&lt;Tetapan!$B10,AND(Tetapan!$C10&lt;&gt;"",M$24&gt;Tetapan!$C10),Tetapan!$D10=0),"–",IF(SUMPRODUCT(ISNUMBER(SEARCH(", "&amp;TEXT(M$24,"yyyy-mm")&amp;",",", "&amp;Transaksi!$F$2:$F$3000&amp;","))*(Transaksi!$C$2:$C$3000=$A30)*(Transaksi!$G$2:$G$3000&gt;0))&gt;0,"✓",IF(SUMPRODUCT(ISNUMBER(SEARCH(", "&amp;TEXT(M$24,"yyyy-mm")&amp;":",", "&amp;Transaksi!$F$2:$F$3000&amp;","))*(Transaksi!$C$2:$C$3000=$A30)*(Transaksi!$G$2:$G$3000&gt;0))&gt;0,"½",IF(M$24&gt;TODAY(),"·","✗"))))</f>
        <v/>
      </c>
      <c r="N30" s="36">
        <f>IF(OR(N$24&lt;Tetapan!$B10,AND(Tetapan!$C10&lt;&gt;"",N$24&gt;Tetapan!$C10),Tetapan!$D10=0),"–",IF(SUMPRODUCT(ISNUMBER(SEARCH(", "&amp;TEXT(N$24,"yyyy-mm")&amp;",",", "&amp;Transaksi!$F$2:$F$3000&amp;","))*(Transaksi!$C$2:$C$3000=$A30)*(Transaksi!$G$2:$G$3000&gt;0))&gt;0,"✓",IF(SUMPRODUCT(ISNUMBER(SEARCH(", "&amp;TEXT(N$24,"yyyy-mm")&amp;":",", "&amp;Transaksi!$F$2:$F$3000&amp;","))*(Transaksi!$C$2:$C$3000=$A30)*(Transaksi!$G$2:$G$3000&gt;0))&gt;0,"½",IF(N$24&gt;TODAY(),"·","✗"))))</f>
        <v/>
      </c>
      <c r="O30" s="36">
        <f>IF(OR(O$24&lt;Tetapan!$B10,AND(Tetapan!$C10&lt;&gt;"",O$24&gt;Tetapan!$C10),Tetapan!$D10=0),"–",IF(SUMPRODUCT(ISNUMBER(SEARCH(", "&amp;TEXT(O$24,"yyyy-mm")&amp;",",", "&amp;Transaksi!$F$2:$F$3000&amp;","))*(Transaksi!$C$2:$C$3000=$A30)*(Transaksi!$G$2:$G$3000&gt;0))&gt;0,"✓",IF(SUMPRODUCT(ISNUMBER(SEARCH(", "&amp;TEXT(O$24,"yyyy-mm")&amp;":",", "&amp;Transaksi!$F$2:$F$3000&amp;","))*(Transaksi!$C$2:$C$3000=$A30)*(Transaksi!$G$2:$G$3000&gt;0))&gt;0,"½",IF(O$24&gt;TODAY(),"·","✗"))))</f>
        <v/>
      </c>
      <c r="P30" s="36">
        <f>IF(OR(P$24&lt;Tetapan!$B10,AND(Tetapan!$C10&lt;&gt;"",P$24&gt;Tetapan!$C10),Tetapan!$D10=0),"–",IF(SUMPRODUCT(ISNUMBER(SEARCH(", "&amp;TEXT(P$24,"yyyy-mm")&amp;",",", "&amp;Transaksi!$F$2:$F$3000&amp;","))*(Transaksi!$C$2:$C$3000=$A30)*(Transaksi!$G$2:$G$3000&gt;0))&gt;0,"✓",IF(SUMPRODUCT(ISNUMBER(SEARCH(", "&amp;TEXT(P$24,"yyyy-mm")&amp;":",", "&amp;Transaksi!$F$2:$F$3000&amp;","))*(Transaksi!$C$2:$C$3000=$A30)*(Transaksi!$G$2:$G$3000&gt;0))&gt;0,"½",IF(P$24&gt;TODAY(),"·","✗"))))</f>
        <v/>
      </c>
      <c r="Q30" s="36">
        <f>IF(OR(Q$24&lt;Tetapan!$B10,AND(Tetapan!$C10&lt;&gt;"",Q$24&gt;Tetapan!$C10),Tetapan!$D10=0),"–",IF(SUMPRODUCT(ISNUMBER(SEARCH(", "&amp;TEXT(Q$24,"yyyy-mm")&amp;",",", "&amp;Transaksi!$F$2:$F$3000&amp;","))*(Transaksi!$C$2:$C$3000=$A30)*(Transaksi!$G$2:$G$3000&gt;0))&gt;0,"✓",IF(SUMPRODUCT(ISNUMBER(SEARCH(", "&amp;TEXT(Q$24,"yyyy-mm")&amp;":",", "&amp;Transaksi!$F$2:$F$3000&amp;","))*(Transaksi!$C$2:$C$3000=$A30)*(Transaksi!$G$2:$G$3000&gt;0))&gt;0,"½",IF(Q$24&gt;TODAY(),"·","✗"))))</f>
        <v/>
      </c>
      <c r="R30" s="36">
        <f>IF(OR(R$24&lt;Tetapan!$B10,AND(Tetapan!$C10&lt;&gt;"",R$24&gt;Tetapan!$C10),Tetapan!$D10=0),"–",IF(SUMPRODUCT(ISNUMBER(SEARCH(", "&amp;TEXT(R$24,"yyyy-mm")&amp;",",", "&amp;Transaksi!$F$2:$F$3000&amp;","))*(Transaksi!$C$2:$C$3000=$A30)*(Transaksi!$G$2:$G$3000&gt;0))&gt;0,"✓",IF(SUMPRODUCT(ISNUMBER(SEARCH(", "&amp;TEXT(R$24,"yyyy-mm")&amp;":",", "&amp;Transaksi!$F$2:$F$3000&amp;","))*(Transaksi!$C$2:$C$3000=$A30)*(Transaksi!$G$2:$G$3000&gt;0))&gt;0,"½",IF(R$24&gt;TODAY(),"·","✗"))))</f>
        <v/>
      </c>
      <c r="S30" s="36">
        <f>IF(OR(S$24&lt;Tetapan!$B10,AND(Tetapan!$C10&lt;&gt;"",S$24&gt;Tetapan!$C10),Tetapan!$D10=0),"–",IF(SUMPRODUCT(ISNUMBER(SEARCH(", "&amp;TEXT(S$24,"yyyy-mm")&amp;",",", "&amp;Transaksi!$F$2:$F$3000&amp;","))*(Transaksi!$C$2:$C$3000=$A30)*(Transaksi!$G$2:$G$3000&gt;0))&gt;0,"✓",IF(SUMPRODUCT(ISNUMBER(SEARCH(", "&amp;TEXT(S$24,"yyyy-mm")&amp;":",", "&amp;Transaksi!$F$2:$F$3000&amp;","))*(Transaksi!$C$2:$C$3000=$A30)*(Transaksi!$G$2:$G$3000&gt;0))&gt;0,"½",IF(S$24&gt;TODAY(),"·","✗"))))</f>
        <v/>
      </c>
      <c r="T30" s="36">
        <f>IF(OR(T$24&lt;Tetapan!$B10,AND(Tetapan!$C10&lt;&gt;"",T$24&gt;Tetapan!$C10),Tetapan!$D10=0),"–",IF(SUMPRODUCT(ISNUMBER(SEARCH(", "&amp;TEXT(T$24,"yyyy-mm")&amp;",",", "&amp;Transaksi!$F$2:$F$3000&amp;","))*(Transaksi!$C$2:$C$3000=$A30)*(Transaksi!$G$2:$G$3000&gt;0))&gt;0,"✓",IF(SUMPRODUCT(ISNUMBER(SEARCH(", "&amp;TEXT(T$24,"yyyy-mm")&amp;":",", "&amp;Transaksi!$F$2:$F$3000&amp;","))*(Transaksi!$C$2:$C$3000=$A30)*(Transaksi!$G$2:$G$3000&gt;0))&gt;0,"½",IF(T$24&gt;TODAY(),"·","✗"))))</f>
        <v/>
      </c>
      <c r="V30" s="37">
        <f>IF(B30="✗",TEXT(B$24,"mmm yy")&amp;", ",IF(B30="½",TEXT(B$24,"mmm yy")&amp;" (separa), ",""))&amp;IF(C30="✗",TEXT(C$24,"mmm yy")&amp;", ",IF(C30="½",TEXT(C$24,"mmm yy")&amp;" (separa), ",""))&amp;IF(D30="✗",TEXT(D$24,"mmm yy")&amp;", ",IF(D30="½",TEXT(D$24,"mmm yy")&amp;" (separa), ",""))&amp;IF(E30="✗",TEXT(E$24,"mmm yy")&amp;", ",IF(E30="½",TEXT(E$24,"mmm yy")&amp;" (separa), ",""))&amp;IF(F30="✗",TEXT(F$24,"mmm yy")&amp;", ",IF(F30="½",TEXT(F$24,"mmm yy")&amp;" (separa), ",""))&amp;IF(G30="✗",TEXT(G$24,"mmm yy")&amp;", ",IF(G30="½",TEXT(G$24,"mmm yy")&amp;" (separa), ",""))&amp;IF(H30="✗",TEXT(H$24,"mmm yy")&amp;", ",IF(H30="½",TEXT(H$24,"mmm yy")&amp;" (separa), ",""))&amp;IF(I30="✗",TEXT(I$24,"mmm yy")&amp;", ",IF(I30="½",TEXT(I$24,"mmm yy")&amp;" (separa), ",""))&amp;IF(J30="✗",TEXT(J$24,"mmm yy")&amp;", ",IF(J30="½",TEXT(J$24,"mmm yy")&amp;" (separa), ",""))&amp;IF(K30="✗",TEXT(K$24,"mmm yy")&amp;", ",IF(K30="½",TEXT(K$24,"mmm yy")&amp;" (separa), ",""))&amp;IF(L30="✗",TEXT(L$24,"mmm yy")&amp;", ",IF(L30="½",TEXT(L$24,"mmm yy")&amp;" (separa), ",""))&amp;IF(M30="✗",TEXT(M$24,"mmm yy")&amp;", ",IF(M30="½",TEXT(M$24,"mmm yy")&amp;" (separa), ",""))&amp;IF(N30="✗",TEXT(N$24,"mmm yy")&amp;", ",IF(N30="½",TEXT(N$24,"mmm yy")&amp;" (separa), ",""))&amp;IF(O30="✗",TEXT(O$24,"mmm yy")&amp;", ",IF(O30="½",TEXT(O$24,"mmm yy")&amp;" (separa), ",""))&amp;IF(P30="✗",TEXT(P$24,"mmm yy")&amp;", ",IF(P30="½",TEXT(P$24,"mmm yy")&amp;" (separa), ",""))&amp;IF(Q30="✗",TEXT(Q$24,"mmm yy")&amp;", ",IF(Q30="½",TEXT(Q$24,"mmm yy")&amp;" (separa), ",""))&amp;IF(R30="✗",TEXT(R$24,"mmm yy")&amp;", ",IF(R30="½",TEXT(R$24,"mmm yy")&amp;" (separa), ",""))&amp;IF(S30="✗",TEXT(S$24,"mmm yy")&amp;", ",IF(S30="½",TEXT(S$24,"mmm yy")&amp;" (separa), ",""))&amp;IF(T30="✗",TEXT(T$24,"mmm yy")&amp;", ",IF(T30="½",TEXT(T$24,"mmm yy")&amp;" (separa), ",""))</f>
        <v/>
      </c>
    </row>
    <row r="31">
      <c r="A31" s="32">
        <f>Tetapan!A11</f>
        <v/>
      </c>
      <c r="B31" s="36">
        <f>IF(OR(B$24&lt;Tetapan!$B11,AND(Tetapan!$C11&lt;&gt;"",B$24&gt;Tetapan!$C11),Tetapan!$D11=0),"–",IF(SUMPRODUCT(ISNUMBER(SEARCH(", "&amp;TEXT(B$24,"yyyy-mm")&amp;",",", "&amp;Transaksi!$F$2:$F$3000&amp;","))*(Transaksi!$C$2:$C$3000=$A31)*(Transaksi!$G$2:$G$3000&gt;0))&gt;0,"✓",IF(SUMPRODUCT(ISNUMBER(SEARCH(", "&amp;TEXT(B$24,"yyyy-mm")&amp;":",", "&amp;Transaksi!$F$2:$F$3000&amp;","))*(Transaksi!$C$2:$C$3000=$A31)*(Transaksi!$G$2:$G$3000&gt;0))&gt;0,"½",IF(B$24&gt;TODAY(),"·","✗"))))</f>
        <v/>
      </c>
      <c r="C31" s="36">
        <f>IF(OR(C$24&lt;Tetapan!$B11,AND(Tetapan!$C11&lt;&gt;"",C$24&gt;Tetapan!$C11),Tetapan!$D11=0),"–",IF(SUMPRODUCT(ISNUMBER(SEARCH(", "&amp;TEXT(C$24,"yyyy-mm")&amp;",",", "&amp;Transaksi!$F$2:$F$3000&amp;","))*(Transaksi!$C$2:$C$3000=$A31)*(Transaksi!$G$2:$G$3000&gt;0))&gt;0,"✓",IF(SUMPRODUCT(ISNUMBER(SEARCH(", "&amp;TEXT(C$24,"yyyy-mm")&amp;":",", "&amp;Transaksi!$F$2:$F$3000&amp;","))*(Transaksi!$C$2:$C$3000=$A31)*(Transaksi!$G$2:$G$3000&gt;0))&gt;0,"½",IF(C$24&gt;TODAY(),"·","✗"))))</f>
        <v/>
      </c>
      <c r="D31" s="36">
        <f>IF(OR(D$24&lt;Tetapan!$B11,AND(Tetapan!$C11&lt;&gt;"",D$24&gt;Tetapan!$C11),Tetapan!$D11=0),"–",IF(SUMPRODUCT(ISNUMBER(SEARCH(", "&amp;TEXT(D$24,"yyyy-mm")&amp;",",", "&amp;Transaksi!$F$2:$F$3000&amp;","))*(Transaksi!$C$2:$C$3000=$A31)*(Transaksi!$G$2:$G$3000&gt;0))&gt;0,"✓",IF(SUMPRODUCT(ISNUMBER(SEARCH(", "&amp;TEXT(D$24,"yyyy-mm")&amp;":",", "&amp;Transaksi!$F$2:$F$3000&amp;","))*(Transaksi!$C$2:$C$3000=$A31)*(Transaksi!$G$2:$G$3000&gt;0))&gt;0,"½",IF(D$24&gt;TODAY(),"·","✗"))))</f>
        <v/>
      </c>
      <c r="E31" s="36">
        <f>IF(OR(E$24&lt;Tetapan!$B11,AND(Tetapan!$C11&lt;&gt;"",E$24&gt;Tetapan!$C11),Tetapan!$D11=0),"–",IF(SUMPRODUCT(ISNUMBER(SEARCH(", "&amp;TEXT(E$24,"yyyy-mm")&amp;",",", "&amp;Transaksi!$F$2:$F$3000&amp;","))*(Transaksi!$C$2:$C$3000=$A31)*(Transaksi!$G$2:$G$3000&gt;0))&gt;0,"✓",IF(SUMPRODUCT(ISNUMBER(SEARCH(", "&amp;TEXT(E$24,"yyyy-mm")&amp;":",", "&amp;Transaksi!$F$2:$F$3000&amp;","))*(Transaksi!$C$2:$C$3000=$A31)*(Transaksi!$G$2:$G$3000&gt;0))&gt;0,"½",IF(E$24&gt;TODAY(),"·","✗"))))</f>
        <v/>
      </c>
      <c r="F31" s="36">
        <f>IF(OR(F$24&lt;Tetapan!$B11,AND(Tetapan!$C11&lt;&gt;"",F$24&gt;Tetapan!$C11),Tetapan!$D11=0),"–",IF(SUMPRODUCT(ISNUMBER(SEARCH(", "&amp;TEXT(F$24,"yyyy-mm")&amp;",",", "&amp;Transaksi!$F$2:$F$3000&amp;","))*(Transaksi!$C$2:$C$3000=$A31)*(Transaksi!$G$2:$G$3000&gt;0))&gt;0,"✓",IF(SUMPRODUCT(ISNUMBER(SEARCH(", "&amp;TEXT(F$24,"yyyy-mm")&amp;":",", "&amp;Transaksi!$F$2:$F$3000&amp;","))*(Transaksi!$C$2:$C$3000=$A31)*(Transaksi!$G$2:$G$3000&gt;0))&gt;0,"½",IF(F$24&gt;TODAY(),"·","✗"))))</f>
        <v/>
      </c>
      <c r="G31" s="36">
        <f>IF(OR(G$24&lt;Tetapan!$B11,AND(Tetapan!$C11&lt;&gt;"",G$24&gt;Tetapan!$C11),Tetapan!$D11=0),"–",IF(SUMPRODUCT(ISNUMBER(SEARCH(", "&amp;TEXT(G$24,"yyyy-mm")&amp;",",", "&amp;Transaksi!$F$2:$F$3000&amp;","))*(Transaksi!$C$2:$C$3000=$A31)*(Transaksi!$G$2:$G$3000&gt;0))&gt;0,"✓",IF(SUMPRODUCT(ISNUMBER(SEARCH(", "&amp;TEXT(G$24,"yyyy-mm")&amp;":",", "&amp;Transaksi!$F$2:$F$3000&amp;","))*(Transaksi!$C$2:$C$3000=$A31)*(Transaksi!$G$2:$G$3000&gt;0))&gt;0,"½",IF(G$24&gt;TODAY(),"·","✗"))))</f>
        <v/>
      </c>
      <c r="H31" s="36">
        <f>IF(OR(H$24&lt;Tetapan!$B11,AND(Tetapan!$C11&lt;&gt;"",H$24&gt;Tetapan!$C11),Tetapan!$D11=0),"–",IF(SUMPRODUCT(ISNUMBER(SEARCH(", "&amp;TEXT(H$24,"yyyy-mm")&amp;",",", "&amp;Transaksi!$F$2:$F$3000&amp;","))*(Transaksi!$C$2:$C$3000=$A31)*(Transaksi!$G$2:$G$3000&gt;0))&gt;0,"✓",IF(SUMPRODUCT(ISNUMBER(SEARCH(", "&amp;TEXT(H$24,"yyyy-mm")&amp;":",", "&amp;Transaksi!$F$2:$F$3000&amp;","))*(Transaksi!$C$2:$C$3000=$A31)*(Transaksi!$G$2:$G$3000&gt;0))&gt;0,"½",IF(H$24&gt;TODAY(),"·","✗"))))</f>
        <v/>
      </c>
      <c r="I31" s="36">
        <f>IF(OR(I$24&lt;Tetapan!$B11,AND(Tetapan!$C11&lt;&gt;"",I$24&gt;Tetapan!$C11),Tetapan!$D11=0),"–",IF(SUMPRODUCT(ISNUMBER(SEARCH(", "&amp;TEXT(I$24,"yyyy-mm")&amp;",",", "&amp;Transaksi!$F$2:$F$3000&amp;","))*(Transaksi!$C$2:$C$3000=$A31)*(Transaksi!$G$2:$G$3000&gt;0))&gt;0,"✓",IF(SUMPRODUCT(ISNUMBER(SEARCH(", "&amp;TEXT(I$24,"yyyy-mm")&amp;":",", "&amp;Transaksi!$F$2:$F$3000&amp;","))*(Transaksi!$C$2:$C$3000=$A31)*(Transaksi!$G$2:$G$3000&gt;0))&gt;0,"½",IF(I$24&gt;TODAY(),"·","✗"))))</f>
        <v/>
      </c>
      <c r="J31" s="36">
        <f>IF(OR(J$24&lt;Tetapan!$B11,AND(Tetapan!$C11&lt;&gt;"",J$24&gt;Tetapan!$C11),Tetapan!$D11=0),"–",IF(SUMPRODUCT(ISNUMBER(SEARCH(", "&amp;TEXT(J$24,"yyyy-mm")&amp;",",", "&amp;Transaksi!$F$2:$F$3000&amp;","))*(Transaksi!$C$2:$C$3000=$A31)*(Transaksi!$G$2:$G$3000&gt;0))&gt;0,"✓",IF(SUMPRODUCT(ISNUMBER(SEARCH(", "&amp;TEXT(J$24,"yyyy-mm")&amp;":",", "&amp;Transaksi!$F$2:$F$3000&amp;","))*(Transaksi!$C$2:$C$3000=$A31)*(Transaksi!$G$2:$G$3000&gt;0))&gt;0,"½",IF(J$24&gt;TODAY(),"·","✗"))))</f>
        <v/>
      </c>
      <c r="K31" s="36">
        <f>IF(OR(K$24&lt;Tetapan!$B11,AND(Tetapan!$C11&lt;&gt;"",K$24&gt;Tetapan!$C11),Tetapan!$D11=0),"–",IF(SUMPRODUCT(ISNUMBER(SEARCH(", "&amp;TEXT(K$24,"yyyy-mm")&amp;",",", "&amp;Transaksi!$F$2:$F$3000&amp;","))*(Transaksi!$C$2:$C$3000=$A31)*(Transaksi!$G$2:$G$3000&gt;0))&gt;0,"✓",IF(SUMPRODUCT(ISNUMBER(SEARCH(", "&amp;TEXT(K$24,"yyyy-mm")&amp;":",", "&amp;Transaksi!$F$2:$F$3000&amp;","))*(Transaksi!$C$2:$C$3000=$A31)*(Transaksi!$G$2:$G$3000&gt;0))&gt;0,"½",IF(K$24&gt;TODAY(),"·","✗"))))</f>
        <v/>
      </c>
      <c r="L31" s="36">
        <f>IF(OR(L$24&lt;Tetapan!$B11,AND(Tetapan!$C11&lt;&gt;"",L$24&gt;Tetapan!$C11),Tetapan!$D11=0),"–",IF(SUMPRODUCT(ISNUMBER(SEARCH(", "&amp;TEXT(L$24,"yyyy-mm")&amp;",",", "&amp;Transaksi!$F$2:$F$3000&amp;","))*(Transaksi!$C$2:$C$3000=$A31)*(Transaksi!$G$2:$G$3000&gt;0))&gt;0,"✓",IF(SUMPRODUCT(ISNUMBER(SEARCH(", "&amp;TEXT(L$24,"yyyy-mm")&amp;":",", "&amp;Transaksi!$F$2:$F$3000&amp;","))*(Transaksi!$C$2:$C$3000=$A31)*(Transaksi!$G$2:$G$3000&gt;0))&gt;0,"½",IF(L$24&gt;TODAY(),"·","✗"))))</f>
        <v/>
      </c>
      <c r="M31" s="36">
        <f>IF(OR(M$24&lt;Tetapan!$B11,AND(Tetapan!$C11&lt;&gt;"",M$24&gt;Tetapan!$C11),Tetapan!$D11=0),"–",IF(SUMPRODUCT(ISNUMBER(SEARCH(", "&amp;TEXT(M$24,"yyyy-mm")&amp;",",", "&amp;Transaksi!$F$2:$F$3000&amp;","))*(Transaksi!$C$2:$C$3000=$A31)*(Transaksi!$G$2:$G$3000&gt;0))&gt;0,"✓",IF(SUMPRODUCT(ISNUMBER(SEARCH(", "&amp;TEXT(M$24,"yyyy-mm")&amp;":",", "&amp;Transaksi!$F$2:$F$3000&amp;","))*(Transaksi!$C$2:$C$3000=$A31)*(Transaksi!$G$2:$G$3000&gt;0))&gt;0,"½",IF(M$24&gt;TODAY(),"·","✗"))))</f>
        <v/>
      </c>
      <c r="N31" s="36">
        <f>IF(OR(N$24&lt;Tetapan!$B11,AND(Tetapan!$C11&lt;&gt;"",N$24&gt;Tetapan!$C11),Tetapan!$D11=0),"–",IF(SUMPRODUCT(ISNUMBER(SEARCH(", "&amp;TEXT(N$24,"yyyy-mm")&amp;",",", "&amp;Transaksi!$F$2:$F$3000&amp;","))*(Transaksi!$C$2:$C$3000=$A31)*(Transaksi!$G$2:$G$3000&gt;0))&gt;0,"✓",IF(SUMPRODUCT(ISNUMBER(SEARCH(", "&amp;TEXT(N$24,"yyyy-mm")&amp;":",", "&amp;Transaksi!$F$2:$F$3000&amp;","))*(Transaksi!$C$2:$C$3000=$A31)*(Transaksi!$G$2:$G$3000&gt;0))&gt;0,"½",IF(N$24&gt;TODAY(),"·","✗"))))</f>
        <v/>
      </c>
      <c r="O31" s="36">
        <f>IF(OR(O$24&lt;Tetapan!$B11,AND(Tetapan!$C11&lt;&gt;"",O$24&gt;Tetapan!$C11),Tetapan!$D11=0),"–",IF(SUMPRODUCT(ISNUMBER(SEARCH(", "&amp;TEXT(O$24,"yyyy-mm")&amp;",",", "&amp;Transaksi!$F$2:$F$3000&amp;","))*(Transaksi!$C$2:$C$3000=$A31)*(Transaksi!$G$2:$G$3000&gt;0))&gt;0,"✓",IF(SUMPRODUCT(ISNUMBER(SEARCH(", "&amp;TEXT(O$24,"yyyy-mm")&amp;":",", "&amp;Transaksi!$F$2:$F$3000&amp;","))*(Transaksi!$C$2:$C$3000=$A31)*(Transaksi!$G$2:$G$3000&gt;0))&gt;0,"½",IF(O$24&gt;TODAY(),"·","✗"))))</f>
        <v/>
      </c>
      <c r="P31" s="36">
        <f>IF(OR(P$24&lt;Tetapan!$B11,AND(Tetapan!$C11&lt;&gt;"",P$24&gt;Tetapan!$C11),Tetapan!$D11=0),"–",IF(SUMPRODUCT(ISNUMBER(SEARCH(", "&amp;TEXT(P$24,"yyyy-mm")&amp;",",", "&amp;Transaksi!$F$2:$F$3000&amp;","))*(Transaksi!$C$2:$C$3000=$A31)*(Transaksi!$G$2:$G$3000&gt;0))&gt;0,"✓",IF(SUMPRODUCT(ISNUMBER(SEARCH(", "&amp;TEXT(P$24,"yyyy-mm")&amp;":",", "&amp;Transaksi!$F$2:$F$3000&amp;","))*(Transaksi!$C$2:$C$3000=$A31)*(Transaksi!$G$2:$G$3000&gt;0))&gt;0,"½",IF(P$24&gt;TODAY(),"·","✗"))))</f>
        <v/>
      </c>
      <c r="Q31" s="36">
        <f>IF(OR(Q$24&lt;Tetapan!$B11,AND(Tetapan!$C11&lt;&gt;"",Q$24&gt;Tetapan!$C11),Tetapan!$D11=0),"–",IF(SUMPRODUCT(ISNUMBER(SEARCH(", "&amp;TEXT(Q$24,"yyyy-mm")&amp;",",", "&amp;Transaksi!$F$2:$F$3000&amp;","))*(Transaksi!$C$2:$C$3000=$A31)*(Transaksi!$G$2:$G$3000&gt;0))&gt;0,"✓",IF(SUMPRODUCT(ISNUMBER(SEARCH(", "&amp;TEXT(Q$24,"yyyy-mm")&amp;":",", "&amp;Transaksi!$F$2:$F$3000&amp;","))*(Transaksi!$C$2:$C$3000=$A31)*(Transaksi!$G$2:$G$3000&gt;0))&gt;0,"½",IF(Q$24&gt;TODAY(),"·","✗"))))</f>
        <v/>
      </c>
      <c r="R31" s="36">
        <f>IF(OR(R$24&lt;Tetapan!$B11,AND(Tetapan!$C11&lt;&gt;"",R$24&gt;Tetapan!$C11),Tetapan!$D11=0),"–",IF(SUMPRODUCT(ISNUMBER(SEARCH(", "&amp;TEXT(R$24,"yyyy-mm")&amp;",",", "&amp;Transaksi!$F$2:$F$3000&amp;","))*(Transaksi!$C$2:$C$3000=$A31)*(Transaksi!$G$2:$G$3000&gt;0))&gt;0,"✓",IF(SUMPRODUCT(ISNUMBER(SEARCH(", "&amp;TEXT(R$24,"yyyy-mm")&amp;":",", "&amp;Transaksi!$F$2:$F$3000&amp;","))*(Transaksi!$C$2:$C$3000=$A31)*(Transaksi!$G$2:$G$3000&gt;0))&gt;0,"½",IF(R$24&gt;TODAY(),"·","✗"))))</f>
        <v/>
      </c>
      <c r="S31" s="36">
        <f>IF(OR(S$24&lt;Tetapan!$B11,AND(Tetapan!$C11&lt;&gt;"",S$24&gt;Tetapan!$C11),Tetapan!$D11=0),"–",IF(SUMPRODUCT(ISNUMBER(SEARCH(", "&amp;TEXT(S$24,"yyyy-mm")&amp;",",", "&amp;Transaksi!$F$2:$F$3000&amp;","))*(Transaksi!$C$2:$C$3000=$A31)*(Transaksi!$G$2:$G$3000&gt;0))&gt;0,"✓",IF(SUMPRODUCT(ISNUMBER(SEARCH(", "&amp;TEXT(S$24,"yyyy-mm")&amp;":",", "&amp;Transaksi!$F$2:$F$3000&amp;","))*(Transaksi!$C$2:$C$3000=$A31)*(Transaksi!$G$2:$G$3000&gt;0))&gt;0,"½",IF(S$24&gt;TODAY(),"·","✗"))))</f>
        <v/>
      </c>
      <c r="T31" s="36">
        <f>IF(OR(T$24&lt;Tetapan!$B11,AND(Tetapan!$C11&lt;&gt;"",T$24&gt;Tetapan!$C11),Tetapan!$D11=0),"–",IF(SUMPRODUCT(ISNUMBER(SEARCH(", "&amp;TEXT(T$24,"yyyy-mm")&amp;",",", "&amp;Transaksi!$F$2:$F$3000&amp;","))*(Transaksi!$C$2:$C$3000=$A31)*(Transaksi!$G$2:$G$3000&gt;0))&gt;0,"✓",IF(SUMPRODUCT(ISNUMBER(SEARCH(", "&amp;TEXT(T$24,"yyyy-mm")&amp;":",", "&amp;Transaksi!$F$2:$F$3000&amp;","))*(Transaksi!$C$2:$C$3000=$A31)*(Transaksi!$G$2:$G$3000&gt;0))&gt;0,"½",IF(T$24&gt;TODAY(),"·","✗"))))</f>
        <v/>
      </c>
      <c r="V31" s="37">
        <f>IF(B31="✗",TEXT(B$24,"mmm yy")&amp;", ",IF(B31="½",TEXT(B$24,"mmm yy")&amp;" (separa), ",""))&amp;IF(C31="✗",TEXT(C$24,"mmm yy")&amp;", ",IF(C31="½",TEXT(C$24,"mmm yy")&amp;" (separa), ",""))&amp;IF(D31="✗",TEXT(D$24,"mmm yy")&amp;", ",IF(D31="½",TEXT(D$24,"mmm yy")&amp;" (separa), ",""))&amp;IF(E31="✗",TEXT(E$24,"mmm yy")&amp;", ",IF(E31="½",TEXT(E$24,"mmm yy")&amp;" (separa), ",""))&amp;IF(F31="✗",TEXT(F$24,"mmm yy")&amp;", ",IF(F31="½",TEXT(F$24,"mmm yy")&amp;" (separa), ",""))&amp;IF(G31="✗",TEXT(G$24,"mmm yy")&amp;", ",IF(G31="½",TEXT(G$24,"mmm yy")&amp;" (separa), ",""))&amp;IF(H31="✗",TEXT(H$24,"mmm yy")&amp;", ",IF(H31="½",TEXT(H$24,"mmm yy")&amp;" (separa), ",""))&amp;IF(I31="✗",TEXT(I$24,"mmm yy")&amp;", ",IF(I31="½",TEXT(I$24,"mmm yy")&amp;" (separa), ",""))&amp;IF(J31="✗",TEXT(J$24,"mmm yy")&amp;", ",IF(J31="½",TEXT(J$24,"mmm yy")&amp;" (separa), ",""))&amp;IF(K31="✗",TEXT(K$24,"mmm yy")&amp;", ",IF(K31="½",TEXT(K$24,"mmm yy")&amp;" (separa), ",""))&amp;IF(L31="✗",TEXT(L$24,"mmm yy")&amp;", ",IF(L31="½",TEXT(L$24,"mmm yy")&amp;" (separa), ",""))&amp;IF(M31="✗",TEXT(M$24,"mmm yy")&amp;", ",IF(M31="½",TEXT(M$24,"mmm yy")&amp;" (separa), ",""))&amp;IF(N31="✗",TEXT(N$24,"mmm yy")&amp;", ",IF(N31="½",TEXT(N$24,"mmm yy")&amp;" (separa), ",""))&amp;IF(O31="✗",TEXT(O$24,"mmm yy")&amp;", ",IF(O31="½",TEXT(O$24,"mmm yy")&amp;" (separa), ",""))&amp;IF(P31="✗",TEXT(P$24,"mmm yy")&amp;", ",IF(P31="½",TEXT(P$24,"mmm yy")&amp;" (separa), ",""))&amp;IF(Q31="✗",TEXT(Q$24,"mmm yy")&amp;", ",IF(Q31="½",TEXT(Q$24,"mmm yy")&amp;" (separa), ",""))&amp;IF(R31="✗",TEXT(R$24,"mmm yy")&amp;", ",IF(R31="½",TEXT(R$24,"mmm yy")&amp;" (separa), ",""))&amp;IF(S31="✗",TEXT(S$24,"mmm yy")&amp;", ",IF(S31="½",TEXT(S$24,"mmm yy")&amp;" (separa), ",""))&amp;IF(T31="✗",TEXT(T$24,"mmm yy")&amp;", ",IF(T31="½",TEXT(T$24,"mmm yy")&amp;" (separa), ",""))</f>
        <v/>
      </c>
    </row>
    <row r="32">
      <c r="A32" s="32">
        <f>Tetapan!A12</f>
        <v/>
      </c>
      <c r="B32" s="36">
        <f>IF(OR(B$24&lt;Tetapan!$B12,AND(Tetapan!$C12&lt;&gt;"",B$24&gt;Tetapan!$C12),Tetapan!$D12=0),"–",IF(SUMPRODUCT(ISNUMBER(SEARCH(", "&amp;TEXT(B$24,"yyyy-mm")&amp;",",", "&amp;Transaksi!$F$2:$F$3000&amp;","))*(Transaksi!$C$2:$C$3000=$A32)*(Transaksi!$G$2:$G$3000&gt;0))&gt;0,"✓",IF(SUMPRODUCT(ISNUMBER(SEARCH(", "&amp;TEXT(B$24,"yyyy-mm")&amp;":",", "&amp;Transaksi!$F$2:$F$3000&amp;","))*(Transaksi!$C$2:$C$3000=$A32)*(Transaksi!$G$2:$G$3000&gt;0))&gt;0,"½",IF(B$24&gt;TODAY(),"·","✗"))))</f>
        <v/>
      </c>
      <c r="C32" s="36">
        <f>IF(OR(C$24&lt;Tetapan!$B12,AND(Tetapan!$C12&lt;&gt;"",C$24&gt;Tetapan!$C12),Tetapan!$D12=0),"–",IF(SUMPRODUCT(ISNUMBER(SEARCH(", "&amp;TEXT(C$24,"yyyy-mm")&amp;",",", "&amp;Transaksi!$F$2:$F$3000&amp;","))*(Transaksi!$C$2:$C$3000=$A32)*(Transaksi!$G$2:$G$3000&gt;0))&gt;0,"✓",IF(SUMPRODUCT(ISNUMBER(SEARCH(", "&amp;TEXT(C$24,"yyyy-mm")&amp;":",", "&amp;Transaksi!$F$2:$F$3000&amp;","))*(Transaksi!$C$2:$C$3000=$A32)*(Transaksi!$G$2:$G$3000&gt;0))&gt;0,"½",IF(C$24&gt;TODAY(),"·","✗"))))</f>
        <v/>
      </c>
      <c r="D32" s="36">
        <f>IF(OR(D$24&lt;Tetapan!$B12,AND(Tetapan!$C12&lt;&gt;"",D$24&gt;Tetapan!$C12),Tetapan!$D12=0),"–",IF(SUMPRODUCT(ISNUMBER(SEARCH(", "&amp;TEXT(D$24,"yyyy-mm")&amp;",",", "&amp;Transaksi!$F$2:$F$3000&amp;","))*(Transaksi!$C$2:$C$3000=$A32)*(Transaksi!$G$2:$G$3000&gt;0))&gt;0,"✓",IF(SUMPRODUCT(ISNUMBER(SEARCH(", "&amp;TEXT(D$24,"yyyy-mm")&amp;":",", "&amp;Transaksi!$F$2:$F$3000&amp;","))*(Transaksi!$C$2:$C$3000=$A32)*(Transaksi!$G$2:$G$3000&gt;0))&gt;0,"½",IF(D$24&gt;TODAY(),"·","✗"))))</f>
        <v/>
      </c>
      <c r="E32" s="36">
        <f>IF(OR(E$24&lt;Tetapan!$B12,AND(Tetapan!$C12&lt;&gt;"",E$24&gt;Tetapan!$C12),Tetapan!$D12=0),"–",IF(SUMPRODUCT(ISNUMBER(SEARCH(", "&amp;TEXT(E$24,"yyyy-mm")&amp;",",", "&amp;Transaksi!$F$2:$F$3000&amp;","))*(Transaksi!$C$2:$C$3000=$A32)*(Transaksi!$G$2:$G$3000&gt;0))&gt;0,"✓",IF(SUMPRODUCT(ISNUMBER(SEARCH(", "&amp;TEXT(E$24,"yyyy-mm")&amp;":",", "&amp;Transaksi!$F$2:$F$3000&amp;","))*(Transaksi!$C$2:$C$3000=$A32)*(Transaksi!$G$2:$G$3000&gt;0))&gt;0,"½",IF(E$24&gt;TODAY(),"·","✗"))))</f>
        <v/>
      </c>
      <c r="F32" s="36">
        <f>IF(OR(F$24&lt;Tetapan!$B12,AND(Tetapan!$C12&lt;&gt;"",F$24&gt;Tetapan!$C12),Tetapan!$D12=0),"–",IF(SUMPRODUCT(ISNUMBER(SEARCH(", "&amp;TEXT(F$24,"yyyy-mm")&amp;",",", "&amp;Transaksi!$F$2:$F$3000&amp;","))*(Transaksi!$C$2:$C$3000=$A32)*(Transaksi!$G$2:$G$3000&gt;0))&gt;0,"✓",IF(SUMPRODUCT(ISNUMBER(SEARCH(", "&amp;TEXT(F$24,"yyyy-mm")&amp;":",", "&amp;Transaksi!$F$2:$F$3000&amp;","))*(Transaksi!$C$2:$C$3000=$A32)*(Transaksi!$G$2:$G$3000&gt;0))&gt;0,"½",IF(F$24&gt;TODAY(),"·","✗"))))</f>
        <v/>
      </c>
      <c r="G32" s="36">
        <f>IF(OR(G$24&lt;Tetapan!$B12,AND(Tetapan!$C12&lt;&gt;"",G$24&gt;Tetapan!$C12),Tetapan!$D12=0),"–",IF(SUMPRODUCT(ISNUMBER(SEARCH(", "&amp;TEXT(G$24,"yyyy-mm")&amp;",",", "&amp;Transaksi!$F$2:$F$3000&amp;","))*(Transaksi!$C$2:$C$3000=$A32)*(Transaksi!$G$2:$G$3000&gt;0))&gt;0,"✓",IF(SUMPRODUCT(ISNUMBER(SEARCH(", "&amp;TEXT(G$24,"yyyy-mm")&amp;":",", "&amp;Transaksi!$F$2:$F$3000&amp;","))*(Transaksi!$C$2:$C$3000=$A32)*(Transaksi!$G$2:$G$3000&gt;0))&gt;0,"½",IF(G$24&gt;TODAY(),"·","✗"))))</f>
        <v/>
      </c>
      <c r="H32" s="36">
        <f>IF(OR(H$24&lt;Tetapan!$B12,AND(Tetapan!$C12&lt;&gt;"",H$24&gt;Tetapan!$C12),Tetapan!$D12=0),"–",IF(SUMPRODUCT(ISNUMBER(SEARCH(", "&amp;TEXT(H$24,"yyyy-mm")&amp;",",", "&amp;Transaksi!$F$2:$F$3000&amp;","))*(Transaksi!$C$2:$C$3000=$A32)*(Transaksi!$G$2:$G$3000&gt;0))&gt;0,"✓",IF(SUMPRODUCT(ISNUMBER(SEARCH(", "&amp;TEXT(H$24,"yyyy-mm")&amp;":",", "&amp;Transaksi!$F$2:$F$3000&amp;","))*(Transaksi!$C$2:$C$3000=$A32)*(Transaksi!$G$2:$G$3000&gt;0))&gt;0,"½",IF(H$24&gt;TODAY(),"·","✗"))))</f>
        <v/>
      </c>
      <c r="I32" s="36">
        <f>IF(OR(I$24&lt;Tetapan!$B12,AND(Tetapan!$C12&lt;&gt;"",I$24&gt;Tetapan!$C12),Tetapan!$D12=0),"–",IF(SUMPRODUCT(ISNUMBER(SEARCH(", "&amp;TEXT(I$24,"yyyy-mm")&amp;",",", "&amp;Transaksi!$F$2:$F$3000&amp;","))*(Transaksi!$C$2:$C$3000=$A32)*(Transaksi!$G$2:$G$3000&gt;0))&gt;0,"✓",IF(SUMPRODUCT(ISNUMBER(SEARCH(", "&amp;TEXT(I$24,"yyyy-mm")&amp;":",", "&amp;Transaksi!$F$2:$F$3000&amp;","))*(Transaksi!$C$2:$C$3000=$A32)*(Transaksi!$G$2:$G$3000&gt;0))&gt;0,"½",IF(I$24&gt;TODAY(),"·","✗"))))</f>
        <v/>
      </c>
      <c r="J32" s="36">
        <f>IF(OR(J$24&lt;Tetapan!$B12,AND(Tetapan!$C12&lt;&gt;"",J$24&gt;Tetapan!$C12),Tetapan!$D12=0),"–",IF(SUMPRODUCT(ISNUMBER(SEARCH(", "&amp;TEXT(J$24,"yyyy-mm")&amp;",",", "&amp;Transaksi!$F$2:$F$3000&amp;","))*(Transaksi!$C$2:$C$3000=$A32)*(Transaksi!$G$2:$G$3000&gt;0))&gt;0,"✓",IF(SUMPRODUCT(ISNUMBER(SEARCH(", "&amp;TEXT(J$24,"yyyy-mm")&amp;":",", "&amp;Transaksi!$F$2:$F$3000&amp;","))*(Transaksi!$C$2:$C$3000=$A32)*(Transaksi!$G$2:$G$3000&gt;0))&gt;0,"½",IF(J$24&gt;TODAY(),"·","✗"))))</f>
        <v/>
      </c>
      <c r="K32" s="36">
        <f>IF(OR(K$24&lt;Tetapan!$B12,AND(Tetapan!$C12&lt;&gt;"",K$24&gt;Tetapan!$C12),Tetapan!$D12=0),"–",IF(SUMPRODUCT(ISNUMBER(SEARCH(", "&amp;TEXT(K$24,"yyyy-mm")&amp;",",", "&amp;Transaksi!$F$2:$F$3000&amp;","))*(Transaksi!$C$2:$C$3000=$A32)*(Transaksi!$G$2:$G$3000&gt;0))&gt;0,"✓",IF(SUMPRODUCT(ISNUMBER(SEARCH(", "&amp;TEXT(K$24,"yyyy-mm")&amp;":",", "&amp;Transaksi!$F$2:$F$3000&amp;","))*(Transaksi!$C$2:$C$3000=$A32)*(Transaksi!$G$2:$G$3000&gt;0))&gt;0,"½",IF(K$24&gt;TODAY(),"·","✗"))))</f>
        <v/>
      </c>
      <c r="L32" s="36">
        <f>IF(OR(L$24&lt;Tetapan!$B12,AND(Tetapan!$C12&lt;&gt;"",L$24&gt;Tetapan!$C12),Tetapan!$D12=0),"–",IF(SUMPRODUCT(ISNUMBER(SEARCH(", "&amp;TEXT(L$24,"yyyy-mm")&amp;",",", "&amp;Transaksi!$F$2:$F$3000&amp;","))*(Transaksi!$C$2:$C$3000=$A32)*(Transaksi!$G$2:$G$3000&gt;0))&gt;0,"✓",IF(SUMPRODUCT(ISNUMBER(SEARCH(", "&amp;TEXT(L$24,"yyyy-mm")&amp;":",", "&amp;Transaksi!$F$2:$F$3000&amp;","))*(Transaksi!$C$2:$C$3000=$A32)*(Transaksi!$G$2:$G$3000&gt;0))&gt;0,"½",IF(L$24&gt;TODAY(),"·","✗"))))</f>
        <v/>
      </c>
      <c r="M32" s="36">
        <f>IF(OR(M$24&lt;Tetapan!$B12,AND(Tetapan!$C12&lt;&gt;"",M$24&gt;Tetapan!$C12),Tetapan!$D12=0),"–",IF(SUMPRODUCT(ISNUMBER(SEARCH(", "&amp;TEXT(M$24,"yyyy-mm")&amp;",",", "&amp;Transaksi!$F$2:$F$3000&amp;","))*(Transaksi!$C$2:$C$3000=$A32)*(Transaksi!$G$2:$G$3000&gt;0))&gt;0,"✓",IF(SUMPRODUCT(ISNUMBER(SEARCH(", "&amp;TEXT(M$24,"yyyy-mm")&amp;":",", "&amp;Transaksi!$F$2:$F$3000&amp;","))*(Transaksi!$C$2:$C$3000=$A32)*(Transaksi!$G$2:$G$3000&gt;0))&gt;0,"½",IF(M$24&gt;TODAY(),"·","✗"))))</f>
        <v/>
      </c>
      <c r="N32" s="36">
        <f>IF(OR(N$24&lt;Tetapan!$B12,AND(Tetapan!$C12&lt;&gt;"",N$24&gt;Tetapan!$C12),Tetapan!$D12=0),"–",IF(SUMPRODUCT(ISNUMBER(SEARCH(", "&amp;TEXT(N$24,"yyyy-mm")&amp;",",", "&amp;Transaksi!$F$2:$F$3000&amp;","))*(Transaksi!$C$2:$C$3000=$A32)*(Transaksi!$G$2:$G$3000&gt;0))&gt;0,"✓",IF(SUMPRODUCT(ISNUMBER(SEARCH(", "&amp;TEXT(N$24,"yyyy-mm")&amp;":",", "&amp;Transaksi!$F$2:$F$3000&amp;","))*(Transaksi!$C$2:$C$3000=$A32)*(Transaksi!$G$2:$G$3000&gt;0))&gt;0,"½",IF(N$24&gt;TODAY(),"·","✗"))))</f>
        <v/>
      </c>
      <c r="O32" s="36">
        <f>IF(OR(O$24&lt;Tetapan!$B12,AND(Tetapan!$C12&lt;&gt;"",O$24&gt;Tetapan!$C12),Tetapan!$D12=0),"–",IF(SUMPRODUCT(ISNUMBER(SEARCH(", "&amp;TEXT(O$24,"yyyy-mm")&amp;",",", "&amp;Transaksi!$F$2:$F$3000&amp;","))*(Transaksi!$C$2:$C$3000=$A32)*(Transaksi!$G$2:$G$3000&gt;0))&gt;0,"✓",IF(SUMPRODUCT(ISNUMBER(SEARCH(", "&amp;TEXT(O$24,"yyyy-mm")&amp;":",", "&amp;Transaksi!$F$2:$F$3000&amp;","))*(Transaksi!$C$2:$C$3000=$A32)*(Transaksi!$G$2:$G$3000&gt;0))&gt;0,"½",IF(O$24&gt;TODAY(),"·","✗"))))</f>
        <v/>
      </c>
      <c r="P32" s="36">
        <f>IF(OR(P$24&lt;Tetapan!$B12,AND(Tetapan!$C12&lt;&gt;"",P$24&gt;Tetapan!$C12),Tetapan!$D12=0),"–",IF(SUMPRODUCT(ISNUMBER(SEARCH(", "&amp;TEXT(P$24,"yyyy-mm")&amp;",",", "&amp;Transaksi!$F$2:$F$3000&amp;","))*(Transaksi!$C$2:$C$3000=$A32)*(Transaksi!$G$2:$G$3000&gt;0))&gt;0,"✓",IF(SUMPRODUCT(ISNUMBER(SEARCH(", "&amp;TEXT(P$24,"yyyy-mm")&amp;":",", "&amp;Transaksi!$F$2:$F$3000&amp;","))*(Transaksi!$C$2:$C$3000=$A32)*(Transaksi!$G$2:$G$3000&gt;0))&gt;0,"½",IF(P$24&gt;TODAY(),"·","✗"))))</f>
        <v/>
      </c>
      <c r="Q32" s="36">
        <f>IF(OR(Q$24&lt;Tetapan!$B12,AND(Tetapan!$C12&lt;&gt;"",Q$24&gt;Tetapan!$C12),Tetapan!$D12=0),"–",IF(SUMPRODUCT(ISNUMBER(SEARCH(", "&amp;TEXT(Q$24,"yyyy-mm")&amp;",",", "&amp;Transaksi!$F$2:$F$3000&amp;","))*(Transaksi!$C$2:$C$3000=$A32)*(Transaksi!$G$2:$G$3000&gt;0))&gt;0,"✓",IF(SUMPRODUCT(ISNUMBER(SEARCH(", "&amp;TEXT(Q$24,"yyyy-mm")&amp;":",", "&amp;Transaksi!$F$2:$F$3000&amp;","))*(Transaksi!$C$2:$C$3000=$A32)*(Transaksi!$G$2:$G$3000&gt;0))&gt;0,"½",IF(Q$24&gt;TODAY(),"·","✗"))))</f>
        <v/>
      </c>
      <c r="R32" s="36">
        <f>IF(OR(R$24&lt;Tetapan!$B12,AND(Tetapan!$C12&lt;&gt;"",R$24&gt;Tetapan!$C12),Tetapan!$D12=0),"–",IF(SUMPRODUCT(ISNUMBER(SEARCH(", "&amp;TEXT(R$24,"yyyy-mm")&amp;",",", "&amp;Transaksi!$F$2:$F$3000&amp;","))*(Transaksi!$C$2:$C$3000=$A32)*(Transaksi!$G$2:$G$3000&gt;0))&gt;0,"✓",IF(SUMPRODUCT(ISNUMBER(SEARCH(", "&amp;TEXT(R$24,"yyyy-mm")&amp;":",", "&amp;Transaksi!$F$2:$F$3000&amp;","))*(Transaksi!$C$2:$C$3000=$A32)*(Transaksi!$G$2:$G$3000&gt;0))&gt;0,"½",IF(R$24&gt;TODAY(),"·","✗"))))</f>
        <v/>
      </c>
      <c r="S32" s="36">
        <f>IF(OR(S$24&lt;Tetapan!$B12,AND(Tetapan!$C12&lt;&gt;"",S$24&gt;Tetapan!$C12),Tetapan!$D12=0),"–",IF(SUMPRODUCT(ISNUMBER(SEARCH(", "&amp;TEXT(S$24,"yyyy-mm")&amp;",",", "&amp;Transaksi!$F$2:$F$3000&amp;","))*(Transaksi!$C$2:$C$3000=$A32)*(Transaksi!$G$2:$G$3000&gt;0))&gt;0,"✓",IF(SUMPRODUCT(ISNUMBER(SEARCH(", "&amp;TEXT(S$24,"yyyy-mm")&amp;":",", "&amp;Transaksi!$F$2:$F$3000&amp;","))*(Transaksi!$C$2:$C$3000=$A32)*(Transaksi!$G$2:$G$3000&gt;0))&gt;0,"½",IF(S$24&gt;TODAY(),"·","✗"))))</f>
        <v/>
      </c>
      <c r="T32" s="36">
        <f>IF(OR(T$24&lt;Tetapan!$B12,AND(Tetapan!$C12&lt;&gt;"",T$24&gt;Tetapan!$C12),Tetapan!$D12=0),"–",IF(SUMPRODUCT(ISNUMBER(SEARCH(", "&amp;TEXT(T$24,"yyyy-mm")&amp;",",", "&amp;Transaksi!$F$2:$F$3000&amp;","))*(Transaksi!$C$2:$C$3000=$A32)*(Transaksi!$G$2:$G$3000&gt;0))&gt;0,"✓",IF(SUMPRODUCT(ISNUMBER(SEARCH(", "&amp;TEXT(T$24,"yyyy-mm")&amp;":",", "&amp;Transaksi!$F$2:$F$3000&amp;","))*(Transaksi!$C$2:$C$3000=$A32)*(Transaksi!$G$2:$G$3000&gt;0))&gt;0,"½",IF(T$24&gt;TODAY(),"·","✗"))))</f>
        <v/>
      </c>
      <c r="V32" s="37">
        <f>IF(B32="✗",TEXT(B$24,"mmm yy")&amp;", ",IF(B32="½",TEXT(B$24,"mmm yy")&amp;" (separa), ",""))&amp;IF(C32="✗",TEXT(C$24,"mmm yy")&amp;", ",IF(C32="½",TEXT(C$24,"mmm yy")&amp;" (separa), ",""))&amp;IF(D32="✗",TEXT(D$24,"mmm yy")&amp;", ",IF(D32="½",TEXT(D$24,"mmm yy")&amp;" (separa), ",""))&amp;IF(E32="✗",TEXT(E$24,"mmm yy")&amp;", ",IF(E32="½",TEXT(E$24,"mmm yy")&amp;" (separa), ",""))&amp;IF(F32="✗",TEXT(F$24,"mmm yy")&amp;", ",IF(F32="½",TEXT(F$24,"mmm yy")&amp;" (separa), ",""))&amp;IF(G32="✗",TEXT(G$24,"mmm yy")&amp;", ",IF(G32="½",TEXT(G$24,"mmm yy")&amp;" (separa), ",""))&amp;IF(H32="✗",TEXT(H$24,"mmm yy")&amp;", ",IF(H32="½",TEXT(H$24,"mmm yy")&amp;" (separa), ",""))&amp;IF(I32="✗",TEXT(I$24,"mmm yy")&amp;", ",IF(I32="½",TEXT(I$24,"mmm yy")&amp;" (separa), ",""))&amp;IF(J32="✗",TEXT(J$24,"mmm yy")&amp;", ",IF(J32="½",TEXT(J$24,"mmm yy")&amp;" (separa), ",""))&amp;IF(K32="✗",TEXT(K$24,"mmm yy")&amp;", ",IF(K32="½",TEXT(K$24,"mmm yy")&amp;" (separa), ",""))&amp;IF(L32="✗",TEXT(L$24,"mmm yy")&amp;", ",IF(L32="½",TEXT(L$24,"mmm yy")&amp;" (separa), ",""))&amp;IF(M32="✗",TEXT(M$24,"mmm yy")&amp;", ",IF(M32="½",TEXT(M$24,"mmm yy")&amp;" (separa), ",""))&amp;IF(N32="✗",TEXT(N$24,"mmm yy")&amp;", ",IF(N32="½",TEXT(N$24,"mmm yy")&amp;" (separa), ",""))&amp;IF(O32="✗",TEXT(O$24,"mmm yy")&amp;", ",IF(O32="½",TEXT(O$24,"mmm yy")&amp;" (separa), ",""))&amp;IF(P32="✗",TEXT(P$24,"mmm yy")&amp;", ",IF(P32="½",TEXT(P$24,"mmm yy")&amp;" (separa), ",""))&amp;IF(Q32="✗",TEXT(Q$24,"mmm yy")&amp;", ",IF(Q32="½",TEXT(Q$24,"mmm yy")&amp;" (separa), ",""))&amp;IF(R32="✗",TEXT(R$24,"mmm yy")&amp;", ",IF(R32="½",TEXT(R$24,"mmm yy")&amp;" (separa), ",""))&amp;IF(S32="✗",TEXT(S$24,"mmm yy")&amp;", ",IF(S32="½",TEXT(S$24,"mmm yy")&amp;" (separa), ",""))&amp;IF(T32="✗",TEXT(T$24,"mmm yy")&amp;", ",IF(T32="½",TEXT(T$24,"mmm yy")&amp;" (separa), ",""))</f>
        <v/>
      </c>
    </row>
    <row r="33">
      <c r="A33" s="32">
        <f>Tetapan!A13</f>
        <v/>
      </c>
      <c r="B33" s="36">
        <f>IF(OR(B$24&lt;Tetapan!$B13,AND(Tetapan!$C13&lt;&gt;"",B$24&gt;Tetapan!$C13),Tetapan!$D13=0),"–",IF(SUMPRODUCT(ISNUMBER(SEARCH(", "&amp;TEXT(B$24,"yyyy-mm")&amp;",",", "&amp;Transaksi!$F$2:$F$3000&amp;","))*(Transaksi!$C$2:$C$3000=$A33)*(Transaksi!$G$2:$G$3000&gt;0))&gt;0,"✓",IF(SUMPRODUCT(ISNUMBER(SEARCH(", "&amp;TEXT(B$24,"yyyy-mm")&amp;":",", "&amp;Transaksi!$F$2:$F$3000&amp;","))*(Transaksi!$C$2:$C$3000=$A33)*(Transaksi!$G$2:$G$3000&gt;0))&gt;0,"½",IF(B$24&gt;TODAY(),"·","✗"))))</f>
        <v/>
      </c>
      <c r="C33" s="36">
        <f>IF(OR(C$24&lt;Tetapan!$B13,AND(Tetapan!$C13&lt;&gt;"",C$24&gt;Tetapan!$C13),Tetapan!$D13=0),"–",IF(SUMPRODUCT(ISNUMBER(SEARCH(", "&amp;TEXT(C$24,"yyyy-mm")&amp;",",", "&amp;Transaksi!$F$2:$F$3000&amp;","))*(Transaksi!$C$2:$C$3000=$A33)*(Transaksi!$G$2:$G$3000&gt;0))&gt;0,"✓",IF(SUMPRODUCT(ISNUMBER(SEARCH(", "&amp;TEXT(C$24,"yyyy-mm")&amp;":",", "&amp;Transaksi!$F$2:$F$3000&amp;","))*(Transaksi!$C$2:$C$3000=$A33)*(Transaksi!$G$2:$G$3000&gt;0))&gt;0,"½",IF(C$24&gt;TODAY(),"·","✗"))))</f>
        <v/>
      </c>
      <c r="D33" s="36">
        <f>IF(OR(D$24&lt;Tetapan!$B13,AND(Tetapan!$C13&lt;&gt;"",D$24&gt;Tetapan!$C13),Tetapan!$D13=0),"–",IF(SUMPRODUCT(ISNUMBER(SEARCH(", "&amp;TEXT(D$24,"yyyy-mm")&amp;",",", "&amp;Transaksi!$F$2:$F$3000&amp;","))*(Transaksi!$C$2:$C$3000=$A33)*(Transaksi!$G$2:$G$3000&gt;0))&gt;0,"✓",IF(SUMPRODUCT(ISNUMBER(SEARCH(", "&amp;TEXT(D$24,"yyyy-mm")&amp;":",", "&amp;Transaksi!$F$2:$F$3000&amp;","))*(Transaksi!$C$2:$C$3000=$A33)*(Transaksi!$G$2:$G$3000&gt;0))&gt;0,"½",IF(D$24&gt;TODAY(),"·","✗"))))</f>
        <v/>
      </c>
      <c r="E33" s="36">
        <f>IF(OR(E$24&lt;Tetapan!$B13,AND(Tetapan!$C13&lt;&gt;"",E$24&gt;Tetapan!$C13),Tetapan!$D13=0),"–",IF(SUMPRODUCT(ISNUMBER(SEARCH(", "&amp;TEXT(E$24,"yyyy-mm")&amp;",",", "&amp;Transaksi!$F$2:$F$3000&amp;","))*(Transaksi!$C$2:$C$3000=$A33)*(Transaksi!$G$2:$G$3000&gt;0))&gt;0,"✓",IF(SUMPRODUCT(ISNUMBER(SEARCH(", "&amp;TEXT(E$24,"yyyy-mm")&amp;":",", "&amp;Transaksi!$F$2:$F$3000&amp;","))*(Transaksi!$C$2:$C$3000=$A33)*(Transaksi!$G$2:$G$3000&gt;0))&gt;0,"½",IF(E$24&gt;TODAY(),"·","✗"))))</f>
        <v/>
      </c>
      <c r="F33" s="36">
        <f>IF(OR(F$24&lt;Tetapan!$B13,AND(Tetapan!$C13&lt;&gt;"",F$24&gt;Tetapan!$C13),Tetapan!$D13=0),"–",IF(SUMPRODUCT(ISNUMBER(SEARCH(", "&amp;TEXT(F$24,"yyyy-mm")&amp;",",", "&amp;Transaksi!$F$2:$F$3000&amp;","))*(Transaksi!$C$2:$C$3000=$A33)*(Transaksi!$G$2:$G$3000&gt;0))&gt;0,"✓",IF(SUMPRODUCT(ISNUMBER(SEARCH(", "&amp;TEXT(F$24,"yyyy-mm")&amp;":",", "&amp;Transaksi!$F$2:$F$3000&amp;","))*(Transaksi!$C$2:$C$3000=$A33)*(Transaksi!$G$2:$G$3000&gt;0))&gt;0,"½",IF(F$24&gt;TODAY(),"·","✗"))))</f>
        <v/>
      </c>
      <c r="G33" s="36">
        <f>IF(OR(G$24&lt;Tetapan!$B13,AND(Tetapan!$C13&lt;&gt;"",G$24&gt;Tetapan!$C13),Tetapan!$D13=0),"–",IF(SUMPRODUCT(ISNUMBER(SEARCH(", "&amp;TEXT(G$24,"yyyy-mm")&amp;",",", "&amp;Transaksi!$F$2:$F$3000&amp;","))*(Transaksi!$C$2:$C$3000=$A33)*(Transaksi!$G$2:$G$3000&gt;0))&gt;0,"✓",IF(SUMPRODUCT(ISNUMBER(SEARCH(", "&amp;TEXT(G$24,"yyyy-mm")&amp;":",", "&amp;Transaksi!$F$2:$F$3000&amp;","))*(Transaksi!$C$2:$C$3000=$A33)*(Transaksi!$G$2:$G$3000&gt;0))&gt;0,"½",IF(G$24&gt;TODAY(),"·","✗"))))</f>
        <v/>
      </c>
      <c r="H33" s="36">
        <f>IF(OR(H$24&lt;Tetapan!$B13,AND(Tetapan!$C13&lt;&gt;"",H$24&gt;Tetapan!$C13),Tetapan!$D13=0),"–",IF(SUMPRODUCT(ISNUMBER(SEARCH(", "&amp;TEXT(H$24,"yyyy-mm")&amp;",",", "&amp;Transaksi!$F$2:$F$3000&amp;","))*(Transaksi!$C$2:$C$3000=$A33)*(Transaksi!$G$2:$G$3000&gt;0))&gt;0,"✓",IF(SUMPRODUCT(ISNUMBER(SEARCH(", "&amp;TEXT(H$24,"yyyy-mm")&amp;":",", "&amp;Transaksi!$F$2:$F$3000&amp;","))*(Transaksi!$C$2:$C$3000=$A33)*(Transaksi!$G$2:$G$3000&gt;0))&gt;0,"½",IF(H$24&gt;TODAY(),"·","✗"))))</f>
        <v/>
      </c>
      <c r="I33" s="36">
        <f>IF(OR(I$24&lt;Tetapan!$B13,AND(Tetapan!$C13&lt;&gt;"",I$24&gt;Tetapan!$C13),Tetapan!$D13=0),"–",IF(SUMPRODUCT(ISNUMBER(SEARCH(", "&amp;TEXT(I$24,"yyyy-mm")&amp;",",", "&amp;Transaksi!$F$2:$F$3000&amp;","))*(Transaksi!$C$2:$C$3000=$A33)*(Transaksi!$G$2:$G$3000&gt;0))&gt;0,"✓",IF(SUMPRODUCT(ISNUMBER(SEARCH(", "&amp;TEXT(I$24,"yyyy-mm")&amp;":",", "&amp;Transaksi!$F$2:$F$3000&amp;","))*(Transaksi!$C$2:$C$3000=$A33)*(Transaksi!$G$2:$G$3000&gt;0))&gt;0,"½",IF(I$24&gt;TODAY(),"·","✗"))))</f>
        <v/>
      </c>
      <c r="J33" s="36">
        <f>IF(OR(J$24&lt;Tetapan!$B13,AND(Tetapan!$C13&lt;&gt;"",J$24&gt;Tetapan!$C13),Tetapan!$D13=0),"–",IF(SUMPRODUCT(ISNUMBER(SEARCH(", "&amp;TEXT(J$24,"yyyy-mm")&amp;",",", "&amp;Transaksi!$F$2:$F$3000&amp;","))*(Transaksi!$C$2:$C$3000=$A33)*(Transaksi!$G$2:$G$3000&gt;0))&gt;0,"✓",IF(SUMPRODUCT(ISNUMBER(SEARCH(", "&amp;TEXT(J$24,"yyyy-mm")&amp;":",", "&amp;Transaksi!$F$2:$F$3000&amp;","))*(Transaksi!$C$2:$C$3000=$A33)*(Transaksi!$G$2:$G$3000&gt;0))&gt;0,"½",IF(J$24&gt;TODAY(),"·","✗"))))</f>
        <v/>
      </c>
      <c r="K33" s="36">
        <f>IF(OR(K$24&lt;Tetapan!$B13,AND(Tetapan!$C13&lt;&gt;"",K$24&gt;Tetapan!$C13),Tetapan!$D13=0),"–",IF(SUMPRODUCT(ISNUMBER(SEARCH(", "&amp;TEXT(K$24,"yyyy-mm")&amp;",",", "&amp;Transaksi!$F$2:$F$3000&amp;","))*(Transaksi!$C$2:$C$3000=$A33)*(Transaksi!$G$2:$G$3000&gt;0))&gt;0,"✓",IF(SUMPRODUCT(ISNUMBER(SEARCH(", "&amp;TEXT(K$24,"yyyy-mm")&amp;":",", "&amp;Transaksi!$F$2:$F$3000&amp;","))*(Transaksi!$C$2:$C$3000=$A33)*(Transaksi!$G$2:$G$3000&gt;0))&gt;0,"½",IF(K$24&gt;TODAY(),"·","✗"))))</f>
        <v/>
      </c>
      <c r="L33" s="36">
        <f>IF(OR(L$24&lt;Tetapan!$B13,AND(Tetapan!$C13&lt;&gt;"",L$24&gt;Tetapan!$C13),Tetapan!$D13=0),"–",IF(SUMPRODUCT(ISNUMBER(SEARCH(", "&amp;TEXT(L$24,"yyyy-mm")&amp;",",", "&amp;Transaksi!$F$2:$F$3000&amp;","))*(Transaksi!$C$2:$C$3000=$A33)*(Transaksi!$G$2:$G$3000&gt;0))&gt;0,"✓",IF(SUMPRODUCT(ISNUMBER(SEARCH(", "&amp;TEXT(L$24,"yyyy-mm")&amp;":",", "&amp;Transaksi!$F$2:$F$3000&amp;","))*(Transaksi!$C$2:$C$3000=$A33)*(Transaksi!$G$2:$G$3000&gt;0))&gt;0,"½",IF(L$24&gt;TODAY(),"·","✗"))))</f>
        <v/>
      </c>
      <c r="M33" s="36">
        <f>IF(OR(M$24&lt;Tetapan!$B13,AND(Tetapan!$C13&lt;&gt;"",M$24&gt;Tetapan!$C13),Tetapan!$D13=0),"–",IF(SUMPRODUCT(ISNUMBER(SEARCH(", "&amp;TEXT(M$24,"yyyy-mm")&amp;",",", "&amp;Transaksi!$F$2:$F$3000&amp;","))*(Transaksi!$C$2:$C$3000=$A33)*(Transaksi!$G$2:$G$3000&gt;0))&gt;0,"✓",IF(SUMPRODUCT(ISNUMBER(SEARCH(", "&amp;TEXT(M$24,"yyyy-mm")&amp;":",", "&amp;Transaksi!$F$2:$F$3000&amp;","))*(Transaksi!$C$2:$C$3000=$A33)*(Transaksi!$G$2:$G$3000&gt;0))&gt;0,"½",IF(M$24&gt;TODAY(),"·","✗"))))</f>
        <v/>
      </c>
      <c r="N33" s="36">
        <f>IF(OR(N$24&lt;Tetapan!$B13,AND(Tetapan!$C13&lt;&gt;"",N$24&gt;Tetapan!$C13),Tetapan!$D13=0),"–",IF(SUMPRODUCT(ISNUMBER(SEARCH(", "&amp;TEXT(N$24,"yyyy-mm")&amp;",",", "&amp;Transaksi!$F$2:$F$3000&amp;","))*(Transaksi!$C$2:$C$3000=$A33)*(Transaksi!$G$2:$G$3000&gt;0))&gt;0,"✓",IF(SUMPRODUCT(ISNUMBER(SEARCH(", "&amp;TEXT(N$24,"yyyy-mm")&amp;":",", "&amp;Transaksi!$F$2:$F$3000&amp;","))*(Transaksi!$C$2:$C$3000=$A33)*(Transaksi!$G$2:$G$3000&gt;0))&gt;0,"½",IF(N$24&gt;TODAY(),"·","✗"))))</f>
        <v/>
      </c>
      <c r="O33" s="36">
        <f>IF(OR(O$24&lt;Tetapan!$B13,AND(Tetapan!$C13&lt;&gt;"",O$24&gt;Tetapan!$C13),Tetapan!$D13=0),"–",IF(SUMPRODUCT(ISNUMBER(SEARCH(", "&amp;TEXT(O$24,"yyyy-mm")&amp;",",", "&amp;Transaksi!$F$2:$F$3000&amp;","))*(Transaksi!$C$2:$C$3000=$A33)*(Transaksi!$G$2:$G$3000&gt;0))&gt;0,"✓",IF(SUMPRODUCT(ISNUMBER(SEARCH(", "&amp;TEXT(O$24,"yyyy-mm")&amp;":",", "&amp;Transaksi!$F$2:$F$3000&amp;","))*(Transaksi!$C$2:$C$3000=$A33)*(Transaksi!$G$2:$G$3000&gt;0))&gt;0,"½",IF(O$24&gt;TODAY(),"·","✗"))))</f>
        <v/>
      </c>
      <c r="P33" s="36">
        <f>IF(OR(P$24&lt;Tetapan!$B13,AND(Tetapan!$C13&lt;&gt;"",P$24&gt;Tetapan!$C13),Tetapan!$D13=0),"–",IF(SUMPRODUCT(ISNUMBER(SEARCH(", "&amp;TEXT(P$24,"yyyy-mm")&amp;",",", "&amp;Transaksi!$F$2:$F$3000&amp;","))*(Transaksi!$C$2:$C$3000=$A33)*(Transaksi!$G$2:$G$3000&gt;0))&gt;0,"✓",IF(SUMPRODUCT(ISNUMBER(SEARCH(", "&amp;TEXT(P$24,"yyyy-mm")&amp;":",", "&amp;Transaksi!$F$2:$F$3000&amp;","))*(Transaksi!$C$2:$C$3000=$A33)*(Transaksi!$G$2:$G$3000&gt;0))&gt;0,"½",IF(P$24&gt;TODAY(),"·","✗"))))</f>
        <v/>
      </c>
      <c r="Q33" s="36">
        <f>IF(OR(Q$24&lt;Tetapan!$B13,AND(Tetapan!$C13&lt;&gt;"",Q$24&gt;Tetapan!$C13),Tetapan!$D13=0),"–",IF(SUMPRODUCT(ISNUMBER(SEARCH(", "&amp;TEXT(Q$24,"yyyy-mm")&amp;",",", "&amp;Transaksi!$F$2:$F$3000&amp;","))*(Transaksi!$C$2:$C$3000=$A33)*(Transaksi!$G$2:$G$3000&gt;0))&gt;0,"✓",IF(SUMPRODUCT(ISNUMBER(SEARCH(", "&amp;TEXT(Q$24,"yyyy-mm")&amp;":",", "&amp;Transaksi!$F$2:$F$3000&amp;","))*(Transaksi!$C$2:$C$3000=$A33)*(Transaksi!$G$2:$G$3000&gt;0))&gt;0,"½",IF(Q$24&gt;TODAY(),"·","✗"))))</f>
        <v/>
      </c>
      <c r="R33" s="36">
        <f>IF(OR(R$24&lt;Tetapan!$B13,AND(Tetapan!$C13&lt;&gt;"",R$24&gt;Tetapan!$C13),Tetapan!$D13=0),"–",IF(SUMPRODUCT(ISNUMBER(SEARCH(", "&amp;TEXT(R$24,"yyyy-mm")&amp;",",", "&amp;Transaksi!$F$2:$F$3000&amp;","))*(Transaksi!$C$2:$C$3000=$A33)*(Transaksi!$G$2:$G$3000&gt;0))&gt;0,"✓",IF(SUMPRODUCT(ISNUMBER(SEARCH(", "&amp;TEXT(R$24,"yyyy-mm")&amp;":",", "&amp;Transaksi!$F$2:$F$3000&amp;","))*(Transaksi!$C$2:$C$3000=$A33)*(Transaksi!$G$2:$G$3000&gt;0))&gt;0,"½",IF(R$24&gt;TODAY(),"·","✗"))))</f>
        <v/>
      </c>
      <c r="S33" s="36">
        <f>IF(OR(S$24&lt;Tetapan!$B13,AND(Tetapan!$C13&lt;&gt;"",S$24&gt;Tetapan!$C13),Tetapan!$D13=0),"–",IF(SUMPRODUCT(ISNUMBER(SEARCH(", "&amp;TEXT(S$24,"yyyy-mm")&amp;",",", "&amp;Transaksi!$F$2:$F$3000&amp;","))*(Transaksi!$C$2:$C$3000=$A33)*(Transaksi!$G$2:$G$3000&gt;0))&gt;0,"✓",IF(SUMPRODUCT(ISNUMBER(SEARCH(", "&amp;TEXT(S$24,"yyyy-mm")&amp;":",", "&amp;Transaksi!$F$2:$F$3000&amp;","))*(Transaksi!$C$2:$C$3000=$A33)*(Transaksi!$G$2:$G$3000&gt;0))&gt;0,"½",IF(S$24&gt;TODAY(),"·","✗"))))</f>
        <v/>
      </c>
      <c r="T33" s="36">
        <f>IF(OR(T$24&lt;Tetapan!$B13,AND(Tetapan!$C13&lt;&gt;"",T$24&gt;Tetapan!$C13),Tetapan!$D13=0),"–",IF(SUMPRODUCT(ISNUMBER(SEARCH(", "&amp;TEXT(T$24,"yyyy-mm")&amp;",",", "&amp;Transaksi!$F$2:$F$3000&amp;","))*(Transaksi!$C$2:$C$3000=$A33)*(Transaksi!$G$2:$G$3000&gt;0))&gt;0,"✓",IF(SUMPRODUCT(ISNUMBER(SEARCH(", "&amp;TEXT(T$24,"yyyy-mm")&amp;":",", "&amp;Transaksi!$F$2:$F$3000&amp;","))*(Transaksi!$C$2:$C$3000=$A33)*(Transaksi!$G$2:$G$3000&gt;0))&gt;0,"½",IF(T$24&gt;TODAY(),"·","✗"))))</f>
        <v/>
      </c>
      <c r="V33" s="37">
        <f>IF(B33="✗",TEXT(B$24,"mmm yy")&amp;", ",IF(B33="½",TEXT(B$24,"mmm yy")&amp;" (separa), ",""))&amp;IF(C33="✗",TEXT(C$24,"mmm yy")&amp;", ",IF(C33="½",TEXT(C$24,"mmm yy")&amp;" (separa), ",""))&amp;IF(D33="✗",TEXT(D$24,"mmm yy")&amp;", ",IF(D33="½",TEXT(D$24,"mmm yy")&amp;" (separa), ",""))&amp;IF(E33="✗",TEXT(E$24,"mmm yy")&amp;", ",IF(E33="½",TEXT(E$24,"mmm yy")&amp;" (separa), ",""))&amp;IF(F33="✗",TEXT(F$24,"mmm yy")&amp;", ",IF(F33="½",TEXT(F$24,"mmm yy")&amp;" (separa), ",""))&amp;IF(G33="✗",TEXT(G$24,"mmm yy")&amp;", ",IF(G33="½",TEXT(G$24,"mmm yy")&amp;" (separa), ",""))&amp;IF(H33="✗",TEXT(H$24,"mmm yy")&amp;", ",IF(H33="½",TEXT(H$24,"mmm yy")&amp;" (separa), ",""))&amp;IF(I33="✗",TEXT(I$24,"mmm yy")&amp;", ",IF(I33="½",TEXT(I$24,"mmm yy")&amp;" (separa), ",""))&amp;IF(J33="✗",TEXT(J$24,"mmm yy")&amp;", ",IF(J33="½",TEXT(J$24,"mmm yy")&amp;" (separa), ",""))&amp;IF(K33="✗",TEXT(K$24,"mmm yy")&amp;", ",IF(K33="½",TEXT(K$24,"mmm yy")&amp;" (separa), ",""))&amp;IF(L33="✗",TEXT(L$24,"mmm yy")&amp;", ",IF(L33="½",TEXT(L$24,"mmm yy")&amp;" (separa), ",""))&amp;IF(M33="✗",TEXT(M$24,"mmm yy")&amp;", ",IF(M33="½",TEXT(M$24,"mmm yy")&amp;" (separa), ",""))&amp;IF(N33="✗",TEXT(N$24,"mmm yy")&amp;", ",IF(N33="½",TEXT(N$24,"mmm yy")&amp;" (separa), ",""))&amp;IF(O33="✗",TEXT(O$24,"mmm yy")&amp;", ",IF(O33="½",TEXT(O$24,"mmm yy")&amp;" (separa), ",""))&amp;IF(P33="✗",TEXT(P$24,"mmm yy")&amp;", ",IF(P33="½",TEXT(P$24,"mmm yy")&amp;" (separa), ",""))&amp;IF(Q33="✗",TEXT(Q$24,"mmm yy")&amp;", ",IF(Q33="½",TEXT(Q$24,"mmm yy")&amp;" (separa), ",""))&amp;IF(R33="✗",TEXT(R$24,"mmm yy")&amp;", ",IF(R33="½",TEXT(R$24,"mmm yy")&amp;" (separa), ",""))&amp;IF(S33="✗",TEXT(S$24,"mmm yy")&amp;", ",IF(S33="½",TEXT(S$24,"mmm yy")&amp;" (separa), ",""))&amp;IF(T33="✗",TEXT(T$24,"mmm yy")&amp;", ",IF(T33="½",TEXT(T$24,"mmm yy")&amp;" (separa), ",""))</f>
        <v/>
      </c>
    </row>
    <row r="34">
      <c r="A34" s="32">
        <f>Tetapan!A14</f>
        <v/>
      </c>
      <c r="B34" s="36">
        <f>IF(OR(B$24&lt;Tetapan!$B14,AND(Tetapan!$C14&lt;&gt;"",B$24&gt;Tetapan!$C14),Tetapan!$D14=0),"–",IF(SUMPRODUCT(ISNUMBER(SEARCH(", "&amp;TEXT(B$24,"yyyy-mm")&amp;",",", "&amp;Transaksi!$F$2:$F$3000&amp;","))*(Transaksi!$C$2:$C$3000=$A34)*(Transaksi!$G$2:$G$3000&gt;0))&gt;0,"✓",IF(SUMPRODUCT(ISNUMBER(SEARCH(", "&amp;TEXT(B$24,"yyyy-mm")&amp;":",", "&amp;Transaksi!$F$2:$F$3000&amp;","))*(Transaksi!$C$2:$C$3000=$A34)*(Transaksi!$G$2:$G$3000&gt;0))&gt;0,"½",IF(B$24&gt;TODAY(),"·","✗"))))</f>
        <v/>
      </c>
      <c r="C34" s="36">
        <f>IF(OR(C$24&lt;Tetapan!$B14,AND(Tetapan!$C14&lt;&gt;"",C$24&gt;Tetapan!$C14),Tetapan!$D14=0),"–",IF(SUMPRODUCT(ISNUMBER(SEARCH(", "&amp;TEXT(C$24,"yyyy-mm")&amp;",",", "&amp;Transaksi!$F$2:$F$3000&amp;","))*(Transaksi!$C$2:$C$3000=$A34)*(Transaksi!$G$2:$G$3000&gt;0))&gt;0,"✓",IF(SUMPRODUCT(ISNUMBER(SEARCH(", "&amp;TEXT(C$24,"yyyy-mm")&amp;":",", "&amp;Transaksi!$F$2:$F$3000&amp;","))*(Transaksi!$C$2:$C$3000=$A34)*(Transaksi!$G$2:$G$3000&gt;0))&gt;0,"½",IF(C$24&gt;TODAY(),"·","✗"))))</f>
        <v/>
      </c>
      <c r="D34" s="36">
        <f>IF(OR(D$24&lt;Tetapan!$B14,AND(Tetapan!$C14&lt;&gt;"",D$24&gt;Tetapan!$C14),Tetapan!$D14=0),"–",IF(SUMPRODUCT(ISNUMBER(SEARCH(", "&amp;TEXT(D$24,"yyyy-mm")&amp;",",", "&amp;Transaksi!$F$2:$F$3000&amp;","))*(Transaksi!$C$2:$C$3000=$A34)*(Transaksi!$G$2:$G$3000&gt;0))&gt;0,"✓",IF(SUMPRODUCT(ISNUMBER(SEARCH(", "&amp;TEXT(D$24,"yyyy-mm")&amp;":",", "&amp;Transaksi!$F$2:$F$3000&amp;","))*(Transaksi!$C$2:$C$3000=$A34)*(Transaksi!$G$2:$G$3000&gt;0))&gt;0,"½",IF(D$24&gt;TODAY(),"·","✗"))))</f>
        <v/>
      </c>
      <c r="E34" s="36">
        <f>IF(OR(E$24&lt;Tetapan!$B14,AND(Tetapan!$C14&lt;&gt;"",E$24&gt;Tetapan!$C14),Tetapan!$D14=0),"–",IF(SUMPRODUCT(ISNUMBER(SEARCH(", "&amp;TEXT(E$24,"yyyy-mm")&amp;",",", "&amp;Transaksi!$F$2:$F$3000&amp;","))*(Transaksi!$C$2:$C$3000=$A34)*(Transaksi!$G$2:$G$3000&gt;0))&gt;0,"✓",IF(SUMPRODUCT(ISNUMBER(SEARCH(", "&amp;TEXT(E$24,"yyyy-mm")&amp;":",", "&amp;Transaksi!$F$2:$F$3000&amp;","))*(Transaksi!$C$2:$C$3000=$A34)*(Transaksi!$G$2:$G$3000&gt;0))&gt;0,"½",IF(E$24&gt;TODAY(),"·","✗"))))</f>
        <v/>
      </c>
      <c r="F34" s="36">
        <f>IF(OR(F$24&lt;Tetapan!$B14,AND(Tetapan!$C14&lt;&gt;"",F$24&gt;Tetapan!$C14),Tetapan!$D14=0),"–",IF(SUMPRODUCT(ISNUMBER(SEARCH(", "&amp;TEXT(F$24,"yyyy-mm")&amp;",",", "&amp;Transaksi!$F$2:$F$3000&amp;","))*(Transaksi!$C$2:$C$3000=$A34)*(Transaksi!$G$2:$G$3000&gt;0))&gt;0,"✓",IF(SUMPRODUCT(ISNUMBER(SEARCH(", "&amp;TEXT(F$24,"yyyy-mm")&amp;":",", "&amp;Transaksi!$F$2:$F$3000&amp;","))*(Transaksi!$C$2:$C$3000=$A34)*(Transaksi!$G$2:$G$3000&gt;0))&gt;0,"½",IF(F$24&gt;TODAY(),"·","✗"))))</f>
        <v/>
      </c>
      <c r="G34" s="36">
        <f>IF(OR(G$24&lt;Tetapan!$B14,AND(Tetapan!$C14&lt;&gt;"",G$24&gt;Tetapan!$C14),Tetapan!$D14=0),"–",IF(SUMPRODUCT(ISNUMBER(SEARCH(", "&amp;TEXT(G$24,"yyyy-mm")&amp;",",", "&amp;Transaksi!$F$2:$F$3000&amp;","))*(Transaksi!$C$2:$C$3000=$A34)*(Transaksi!$G$2:$G$3000&gt;0))&gt;0,"✓",IF(SUMPRODUCT(ISNUMBER(SEARCH(", "&amp;TEXT(G$24,"yyyy-mm")&amp;":",", "&amp;Transaksi!$F$2:$F$3000&amp;","))*(Transaksi!$C$2:$C$3000=$A34)*(Transaksi!$G$2:$G$3000&gt;0))&gt;0,"½",IF(G$24&gt;TODAY(),"·","✗"))))</f>
        <v/>
      </c>
      <c r="H34" s="36">
        <f>IF(OR(H$24&lt;Tetapan!$B14,AND(Tetapan!$C14&lt;&gt;"",H$24&gt;Tetapan!$C14),Tetapan!$D14=0),"–",IF(SUMPRODUCT(ISNUMBER(SEARCH(", "&amp;TEXT(H$24,"yyyy-mm")&amp;",",", "&amp;Transaksi!$F$2:$F$3000&amp;","))*(Transaksi!$C$2:$C$3000=$A34)*(Transaksi!$G$2:$G$3000&gt;0))&gt;0,"✓",IF(SUMPRODUCT(ISNUMBER(SEARCH(", "&amp;TEXT(H$24,"yyyy-mm")&amp;":",", "&amp;Transaksi!$F$2:$F$3000&amp;","))*(Transaksi!$C$2:$C$3000=$A34)*(Transaksi!$G$2:$G$3000&gt;0))&gt;0,"½",IF(H$24&gt;TODAY(),"·","✗"))))</f>
        <v/>
      </c>
      <c r="I34" s="36">
        <f>IF(OR(I$24&lt;Tetapan!$B14,AND(Tetapan!$C14&lt;&gt;"",I$24&gt;Tetapan!$C14),Tetapan!$D14=0),"–",IF(SUMPRODUCT(ISNUMBER(SEARCH(", "&amp;TEXT(I$24,"yyyy-mm")&amp;",",", "&amp;Transaksi!$F$2:$F$3000&amp;","))*(Transaksi!$C$2:$C$3000=$A34)*(Transaksi!$G$2:$G$3000&gt;0))&gt;0,"✓",IF(SUMPRODUCT(ISNUMBER(SEARCH(", "&amp;TEXT(I$24,"yyyy-mm")&amp;":",", "&amp;Transaksi!$F$2:$F$3000&amp;","))*(Transaksi!$C$2:$C$3000=$A34)*(Transaksi!$G$2:$G$3000&gt;0))&gt;0,"½",IF(I$24&gt;TODAY(),"·","✗"))))</f>
        <v/>
      </c>
      <c r="J34" s="36">
        <f>IF(OR(J$24&lt;Tetapan!$B14,AND(Tetapan!$C14&lt;&gt;"",J$24&gt;Tetapan!$C14),Tetapan!$D14=0),"–",IF(SUMPRODUCT(ISNUMBER(SEARCH(", "&amp;TEXT(J$24,"yyyy-mm")&amp;",",", "&amp;Transaksi!$F$2:$F$3000&amp;","))*(Transaksi!$C$2:$C$3000=$A34)*(Transaksi!$G$2:$G$3000&gt;0))&gt;0,"✓",IF(SUMPRODUCT(ISNUMBER(SEARCH(", "&amp;TEXT(J$24,"yyyy-mm")&amp;":",", "&amp;Transaksi!$F$2:$F$3000&amp;","))*(Transaksi!$C$2:$C$3000=$A34)*(Transaksi!$G$2:$G$3000&gt;0))&gt;0,"½",IF(J$24&gt;TODAY(),"·","✗"))))</f>
        <v/>
      </c>
      <c r="K34" s="36">
        <f>IF(OR(K$24&lt;Tetapan!$B14,AND(Tetapan!$C14&lt;&gt;"",K$24&gt;Tetapan!$C14),Tetapan!$D14=0),"–",IF(SUMPRODUCT(ISNUMBER(SEARCH(", "&amp;TEXT(K$24,"yyyy-mm")&amp;",",", "&amp;Transaksi!$F$2:$F$3000&amp;","))*(Transaksi!$C$2:$C$3000=$A34)*(Transaksi!$G$2:$G$3000&gt;0))&gt;0,"✓",IF(SUMPRODUCT(ISNUMBER(SEARCH(", "&amp;TEXT(K$24,"yyyy-mm")&amp;":",", "&amp;Transaksi!$F$2:$F$3000&amp;","))*(Transaksi!$C$2:$C$3000=$A34)*(Transaksi!$G$2:$G$3000&gt;0))&gt;0,"½",IF(K$24&gt;TODAY(),"·","✗"))))</f>
        <v/>
      </c>
      <c r="L34" s="36">
        <f>IF(OR(L$24&lt;Tetapan!$B14,AND(Tetapan!$C14&lt;&gt;"",L$24&gt;Tetapan!$C14),Tetapan!$D14=0),"–",IF(SUMPRODUCT(ISNUMBER(SEARCH(", "&amp;TEXT(L$24,"yyyy-mm")&amp;",",", "&amp;Transaksi!$F$2:$F$3000&amp;","))*(Transaksi!$C$2:$C$3000=$A34)*(Transaksi!$G$2:$G$3000&gt;0))&gt;0,"✓",IF(SUMPRODUCT(ISNUMBER(SEARCH(", "&amp;TEXT(L$24,"yyyy-mm")&amp;":",", "&amp;Transaksi!$F$2:$F$3000&amp;","))*(Transaksi!$C$2:$C$3000=$A34)*(Transaksi!$G$2:$G$3000&gt;0))&gt;0,"½",IF(L$24&gt;TODAY(),"·","✗"))))</f>
        <v/>
      </c>
      <c r="M34" s="36">
        <f>IF(OR(M$24&lt;Tetapan!$B14,AND(Tetapan!$C14&lt;&gt;"",M$24&gt;Tetapan!$C14),Tetapan!$D14=0),"–",IF(SUMPRODUCT(ISNUMBER(SEARCH(", "&amp;TEXT(M$24,"yyyy-mm")&amp;",",", "&amp;Transaksi!$F$2:$F$3000&amp;","))*(Transaksi!$C$2:$C$3000=$A34)*(Transaksi!$G$2:$G$3000&gt;0))&gt;0,"✓",IF(SUMPRODUCT(ISNUMBER(SEARCH(", "&amp;TEXT(M$24,"yyyy-mm")&amp;":",", "&amp;Transaksi!$F$2:$F$3000&amp;","))*(Transaksi!$C$2:$C$3000=$A34)*(Transaksi!$G$2:$G$3000&gt;0))&gt;0,"½",IF(M$24&gt;TODAY(),"·","✗"))))</f>
        <v/>
      </c>
      <c r="N34" s="36">
        <f>IF(OR(N$24&lt;Tetapan!$B14,AND(Tetapan!$C14&lt;&gt;"",N$24&gt;Tetapan!$C14),Tetapan!$D14=0),"–",IF(SUMPRODUCT(ISNUMBER(SEARCH(", "&amp;TEXT(N$24,"yyyy-mm")&amp;",",", "&amp;Transaksi!$F$2:$F$3000&amp;","))*(Transaksi!$C$2:$C$3000=$A34)*(Transaksi!$G$2:$G$3000&gt;0))&gt;0,"✓",IF(SUMPRODUCT(ISNUMBER(SEARCH(", "&amp;TEXT(N$24,"yyyy-mm")&amp;":",", "&amp;Transaksi!$F$2:$F$3000&amp;","))*(Transaksi!$C$2:$C$3000=$A34)*(Transaksi!$G$2:$G$3000&gt;0))&gt;0,"½",IF(N$24&gt;TODAY(),"·","✗"))))</f>
        <v/>
      </c>
      <c r="O34" s="36">
        <f>IF(OR(O$24&lt;Tetapan!$B14,AND(Tetapan!$C14&lt;&gt;"",O$24&gt;Tetapan!$C14),Tetapan!$D14=0),"–",IF(SUMPRODUCT(ISNUMBER(SEARCH(", "&amp;TEXT(O$24,"yyyy-mm")&amp;",",", "&amp;Transaksi!$F$2:$F$3000&amp;","))*(Transaksi!$C$2:$C$3000=$A34)*(Transaksi!$G$2:$G$3000&gt;0))&gt;0,"✓",IF(SUMPRODUCT(ISNUMBER(SEARCH(", "&amp;TEXT(O$24,"yyyy-mm")&amp;":",", "&amp;Transaksi!$F$2:$F$3000&amp;","))*(Transaksi!$C$2:$C$3000=$A34)*(Transaksi!$G$2:$G$3000&gt;0))&gt;0,"½",IF(O$24&gt;TODAY(),"·","✗"))))</f>
        <v/>
      </c>
      <c r="P34" s="36">
        <f>IF(OR(P$24&lt;Tetapan!$B14,AND(Tetapan!$C14&lt;&gt;"",P$24&gt;Tetapan!$C14),Tetapan!$D14=0),"–",IF(SUMPRODUCT(ISNUMBER(SEARCH(", "&amp;TEXT(P$24,"yyyy-mm")&amp;",",", "&amp;Transaksi!$F$2:$F$3000&amp;","))*(Transaksi!$C$2:$C$3000=$A34)*(Transaksi!$G$2:$G$3000&gt;0))&gt;0,"✓",IF(SUMPRODUCT(ISNUMBER(SEARCH(", "&amp;TEXT(P$24,"yyyy-mm")&amp;":",", "&amp;Transaksi!$F$2:$F$3000&amp;","))*(Transaksi!$C$2:$C$3000=$A34)*(Transaksi!$G$2:$G$3000&gt;0))&gt;0,"½",IF(P$24&gt;TODAY(),"·","✗"))))</f>
        <v/>
      </c>
      <c r="Q34" s="36">
        <f>IF(OR(Q$24&lt;Tetapan!$B14,AND(Tetapan!$C14&lt;&gt;"",Q$24&gt;Tetapan!$C14),Tetapan!$D14=0),"–",IF(SUMPRODUCT(ISNUMBER(SEARCH(", "&amp;TEXT(Q$24,"yyyy-mm")&amp;",",", "&amp;Transaksi!$F$2:$F$3000&amp;","))*(Transaksi!$C$2:$C$3000=$A34)*(Transaksi!$G$2:$G$3000&gt;0))&gt;0,"✓",IF(SUMPRODUCT(ISNUMBER(SEARCH(", "&amp;TEXT(Q$24,"yyyy-mm")&amp;":",", "&amp;Transaksi!$F$2:$F$3000&amp;","))*(Transaksi!$C$2:$C$3000=$A34)*(Transaksi!$G$2:$G$3000&gt;0))&gt;0,"½",IF(Q$24&gt;TODAY(),"·","✗"))))</f>
        <v/>
      </c>
      <c r="R34" s="36">
        <f>IF(OR(R$24&lt;Tetapan!$B14,AND(Tetapan!$C14&lt;&gt;"",R$24&gt;Tetapan!$C14),Tetapan!$D14=0),"–",IF(SUMPRODUCT(ISNUMBER(SEARCH(", "&amp;TEXT(R$24,"yyyy-mm")&amp;",",", "&amp;Transaksi!$F$2:$F$3000&amp;","))*(Transaksi!$C$2:$C$3000=$A34)*(Transaksi!$G$2:$G$3000&gt;0))&gt;0,"✓",IF(SUMPRODUCT(ISNUMBER(SEARCH(", "&amp;TEXT(R$24,"yyyy-mm")&amp;":",", "&amp;Transaksi!$F$2:$F$3000&amp;","))*(Transaksi!$C$2:$C$3000=$A34)*(Transaksi!$G$2:$G$3000&gt;0))&gt;0,"½",IF(R$24&gt;TODAY(),"·","✗"))))</f>
        <v/>
      </c>
      <c r="S34" s="36">
        <f>IF(OR(S$24&lt;Tetapan!$B14,AND(Tetapan!$C14&lt;&gt;"",S$24&gt;Tetapan!$C14),Tetapan!$D14=0),"–",IF(SUMPRODUCT(ISNUMBER(SEARCH(", "&amp;TEXT(S$24,"yyyy-mm")&amp;",",", "&amp;Transaksi!$F$2:$F$3000&amp;","))*(Transaksi!$C$2:$C$3000=$A34)*(Transaksi!$G$2:$G$3000&gt;0))&gt;0,"✓",IF(SUMPRODUCT(ISNUMBER(SEARCH(", "&amp;TEXT(S$24,"yyyy-mm")&amp;":",", "&amp;Transaksi!$F$2:$F$3000&amp;","))*(Transaksi!$C$2:$C$3000=$A34)*(Transaksi!$G$2:$G$3000&gt;0))&gt;0,"½",IF(S$24&gt;TODAY(),"·","✗"))))</f>
        <v/>
      </c>
      <c r="T34" s="36">
        <f>IF(OR(T$24&lt;Tetapan!$B14,AND(Tetapan!$C14&lt;&gt;"",T$24&gt;Tetapan!$C14),Tetapan!$D14=0),"–",IF(SUMPRODUCT(ISNUMBER(SEARCH(", "&amp;TEXT(T$24,"yyyy-mm")&amp;",",", "&amp;Transaksi!$F$2:$F$3000&amp;","))*(Transaksi!$C$2:$C$3000=$A34)*(Transaksi!$G$2:$G$3000&gt;0))&gt;0,"✓",IF(SUMPRODUCT(ISNUMBER(SEARCH(", "&amp;TEXT(T$24,"yyyy-mm")&amp;":",", "&amp;Transaksi!$F$2:$F$3000&amp;","))*(Transaksi!$C$2:$C$3000=$A34)*(Transaksi!$G$2:$G$3000&gt;0))&gt;0,"½",IF(T$24&gt;TODAY(),"·","✗"))))</f>
        <v/>
      </c>
      <c r="V34" s="37">
        <f>IF(B34="✗",TEXT(B$24,"mmm yy")&amp;", ",IF(B34="½",TEXT(B$24,"mmm yy")&amp;" (separa), ",""))&amp;IF(C34="✗",TEXT(C$24,"mmm yy")&amp;", ",IF(C34="½",TEXT(C$24,"mmm yy")&amp;" (separa), ",""))&amp;IF(D34="✗",TEXT(D$24,"mmm yy")&amp;", ",IF(D34="½",TEXT(D$24,"mmm yy")&amp;" (separa), ",""))&amp;IF(E34="✗",TEXT(E$24,"mmm yy")&amp;", ",IF(E34="½",TEXT(E$24,"mmm yy")&amp;" (separa), ",""))&amp;IF(F34="✗",TEXT(F$24,"mmm yy")&amp;", ",IF(F34="½",TEXT(F$24,"mmm yy")&amp;" (separa), ",""))&amp;IF(G34="✗",TEXT(G$24,"mmm yy")&amp;", ",IF(G34="½",TEXT(G$24,"mmm yy")&amp;" (separa), ",""))&amp;IF(H34="✗",TEXT(H$24,"mmm yy")&amp;", ",IF(H34="½",TEXT(H$24,"mmm yy")&amp;" (separa), ",""))&amp;IF(I34="✗",TEXT(I$24,"mmm yy")&amp;", ",IF(I34="½",TEXT(I$24,"mmm yy")&amp;" (separa), ",""))&amp;IF(J34="✗",TEXT(J$24,"mmm yy")&amp;", ",IF(J34="½",TEXT(J$24,"mmm yy")&amp;" (separa), ",""))&amp;IF(K34="✗",TEXT(K$24,"mmm yy")&amp;", ",IF(K34="½",TEXT(K$24,"mmm yy")&amp;" (separa), ",""))&amp;IF(L34="✗",TEXT(L$24,"mmm yy")&amp;", ",IF(L34="½",TEXT(L$24,"mmm yy")&amp;" (separa), ",""))&amp;IF(M34="✗",TEXT(M$24,"mmm yy")&amp;", ",IF(M34="½",TEXT(M$24,"mmm yy")&amp;" (separa), ",""))&amp;IF(N34="✗",TEXT(N$24,"mmm yy")&amp;", ",IF(N34="½",TEXT(N$24,"mmm yy")&amp;" (separa), ",""))&amp;IF(O34="✗",TEXT(O$24,"mmm yy")&amp;", ",IF(O34="½",TEXT(O$24,"mmm yy")&amp;" (separa), ",""))&amp;IF(P34="✗",TEXT(P$24,"mmm yy")&amp;", ",IF(P34="½",TEXT(P$24,"mmm yy")&amp;" (separa), ",""))&amp;IF(Q34="✗",TEXT(Q$24,"mmm yy")&amp;", ",IF(Q34="½",TEXT(Q$24,"mmm yy")&amp;" (separa), ",""))&amp;IF(R34="✗",TEXT(R$24,"mmm yy")&amp;", ",IF(R34="½",TEXT(R$24,"mmm yy")&amp;" (separa), ",""))&amp;IF(S34="✗",TEXT(S$24,"mmm yy")&amp;", ",IF(S34="½",TEXT(S$24,"mmm yy")&amp;" (separa), ",""))&amp;IF(T34="✗",TEXT(T$24,"mmm yy")&amp;", ",IF(T34="½",TEXT(T$24,"mmm yy")&amp;" (separa), ",""))</f>
        <v/>
      </c>
    </row>
    <row r="35">
      <c r="A35" s="32">
        <f>Tetapan!A15</f>
        <v/>
      </c>
      <c r="B35" s="36">
        <f>IF(OR(B$24&lt;Tetapan!$B15,AND(Tetapan!$C15&lt;&gt;"",B$24&gt;Tetapan!$C15),Tetapan!$D15=0),"–",IF(SUMPRODUCT(ISNUMBER(SEARCH(", "&amp;TEXT(B$24,"yyyy-mm")&amp;",",", "&amp;Transaksi!$F$2:$F$3000&amp;","))*(Transaksi!$C$2:$C$3000=$A35)*(Transaksi!$G$2:$G$3000&gt;0))&gt;0,"✓",IF(SUMPRODUCT(ISNUMBER(SEARCH(", "&amp;TEXT(B$24,"yyyy-mm")&amp;":",", "&amp;Transaksi!$F$2:$F$3000&amp;","))*(Transaksi!$C$2:$C$3000=$A35)*(Transaksi!$G$2:$G$3000&gt;0))&gt;0,"½",IF(B$24&gt;TODAY(),"·","✗"))))</f>
        <v/>
      </c>
      <c r="C35" s="36">
        <f>IF(OR(C$24&lt;Tetapan!$B15,AND(Tetapan!$C15&lt;&gt;"",C$24&gt;Tetapan!$C15),Tetapan!$D15=0),"–",IF(SUMPRODUCT(ISNUMBER(SEARCH(", "&amp;TEXT(C$24,"yyyy-mm")&amp;",",", "&amp;Transaksi!$F$2:$F$3000&amp;","))*(Transaksi!$C$2:$C$3000=$A35)*(Transaksi!$G$2:$G$3000&gt;0))&gt;0,"✓",IF(SUMPRODUCT(ISNUMBER(SEARCH(", "&amp;TEXT(C$24,"yyyy-mm")&amp;":",", "&amp;Transaksi!$F$2:$F$3000&amp;","))*(Transaksi!$C$2:$C$3000=$A35)*(Transaksi!$G$2:$G$3000&gt;0))&gt;0,"½",IF(C$24&gt;TODAY(),"·","✗"))))</f>
        <v/>
      </c>
      <c r="D35" s="36">
        <f>IF(OR(D$24&lt;Tetapan!$B15,AND(Tetapan!$C15&lt;&gt;"",D$24&gt;Tetapan!$C15),Tetapan!$D15=0),"–",IF(SUMPRODUCT(ISNUMBER(SEARCH(", "&amp;TEXT(D$24,"yyyy-mm")&amp;",",", "&amp;Transaksi!$F$2:$F$3000&amp;","))*(Transaksi!$C$2:$C$3000=$A35)*(Transaksi!$G$2:$G$3000&gt;0))&gt;0,"✓",IF(SUMPRODUCT(ISNUMBER(SEARCH(", "&amp;TEXT(D$24,"yyyy-mm")&amp;":",", "&amp;Transaksi!$F$2:$F$3000&amp;","))*(Transaksi!$C$2:$C$3000=$A35)*(Transaksi!$G$2:$G$3000&gt;0))&gt;0,"½",IF(D$24&gt;TODAY(),"·","✗"))))</f>
        <v/>
      </c>
      <c r="E35" s="36">
        <f>IF(OR(E$24&lt;Tetapan!$B15,AND(Tetapan!$C15&lt;&gt;"",E$24&gt;Tetapan!$C15),Tetapan!$D15=0),"–",IF(SUMPRODUCT(ISNUMBER(SEARCH(", "&amp;TEXT(E$24,"yyyy-mm")&amp;",",", "&amp;Transaksi!$F$2:$F$3000&amp;","))*(Transaksi!$C$2:$C$3000=$A35)*(Transaksi!$G$2:$G$3000&gt;0))&gt;0,"✓",IF(SUMPRODUCT(ISNUMBER(SEARCH(", "&amp;TEXT(E$24,"yyyy-mm")&amp;":",", "&amp;Transaksi!$F$2:$F$3000&amp;","))*(Transaksi!$C$2:$C$3000=$A35)*(Transaksi!$G$2:$G$3000&gt;0))&gt;0,"½",IF(E$24&gt;TODAY(),"·","✗"))))</f>
        <v/>
      </c>
      <c r="F35" s="36">
        <f>IF(OR(F$24&lt;Tetapan!$B15,AND(Tetapan!$C15&lt;&gt;"",F$24&gt;Tetapan!$C15),Tetapan!$D15=0),"–",IF(SUMPRODUCT(ISNUMBER(SEARCH(", "&amp;TEXT(F$24,"yyyy-mm")&amp;",",", "&amp;Transaksi!$F$2:$F$3000&amp;","))*(Transaksi!$C$2:$C$3000=$A35)*(Transaksi!$G$2:$G$3000&gt;0))&gt;0,"✓",IF(SUMPRODUCT(ISNUMBER(SEARCH(", "&amp;TEXT(F$24,"yyyy-mm")&amp;":",", "&amp;Transaksi!$F$2:$F$3000&amp;","))*(Transaksi!$C$2:$C$3000=$A35)*(Transaksi!$G$2:$G$3000&gt;0))&gt;0,"½",IF(F$24&gt;TODAY(),"·","✗"))))</f>
        <v/>
      </c>
      <c r="G35" s="36">
        <f>IF(OR(G$24&lt;Tetapan!$B15,AND(Tetapan!$C15&lt;&gt;"",G$24&gt;Tetapan!$C15),Tetapan!$D15=0),"–",IF(SUMPRODUCT(ISNUMBER(SEARCH(", "&amp;TEXT(G$24,"yyyy-mm")&amp;",",", "&amp;Transaksi!$F$2:$F$3000&amp;","))*(Transaksi!$C$2:$C$3000=$A35)*(Transaksi!$G$2:$G$3000&gt;0))&gt;0,"✓",IF(SUMPRODUCT(ISNUMBER(SEARCH(", "&amp;TEXT(G$24,"yyyy-mm")&amp;":",", "&amp;Transaksi!$F$2:$F$3000&amp;","))*(Transaksi!$C$2:$C$3000=$A35)*(Transaksi!$G$2:$G$3000&gt;0))&gt;0,"½",IF(G$24&gt;TODAY(),"·","✗"))))</f>
        <v/>
      </c>
      <c r="H35" s="36">
        <f>IF(OR(H$24&lt;Tetapan!$B15,AND(Tetapan!$C15&lt;&gt;"",H$24&gt;Tetapan!$C15),Tetapan!$D15=0),"–",IF(SUMPRODUCT(ISNUMBER(SEARCH(", "&amp;TEXT(H$24,"yyyy-mm")&amp;",",", "&amp;Transaksi!$F$2:$F$3000&amp;","))*(Transaksi!$C$2:$C$3000=$A35)*(Transaksi!$G$2:$G$3000&gt;0))&gt;0,"✓",IF(SUMPRODUCT(ISNUMBER(SEARCH(", "&amp;TEXT(H$24,"yyyy-mm")&amp;":",", "&amp;Transaksi!$F$2:$F$3000&amp;","))*(Transaksi!$C$2:$C$3000=$A35)*(Transaksi!$G$2:$G$3000&gt;0))&gt;0,"½",IF(H$24&gt;TODAY(),"·","✗"))))</f>
        <v/>
      </c>
      <c r="I35" s="36">
        <f>IF(OR(I$24&lt;Tetapan!$B15,AND(Tetapan!$C15&lt;&gt;"",I$24&gt;Tetapan!$C15),Tetapan!$D15=0),"–",IF(SUMPRODUCT(ISNUMBER(SEARCH(", "&amp;TEXT(I$24,"yyyy-mm")&amp;",",", "&amp;Transaksi!$F$2:$F$3000&amp;","))*(Transaksi!$C$2:$C$3000=$A35)*(Transaksi!$G$2:$G$3000&gt;0))&gt;0,"✓",IF(SUMPRODUCT(ISNUMBER(SEARCH(", "&amp;TEXT(I$24,"yyyy-mm")&amp;":",", "&amp;Transaksi!$F$2:$F$3000&amp;","))*(Transaksi!$C$2:$C$3000=$A35)*(Transaksi!$G$2:$G$3000&gt;0))&gt;0,"½",IF(I$24&gt;TODAY(),"·","✗"))))</f>
        <v/>
      </c>
      <c r="J35" s="36">
        <f>IF(OR(J$24&lt;Tetapan!$B15,AND(Tetapan!$C15&lt;&gt;"",J$24&gt;Tetapan!$C15),Tetapan!$D15=0),"–",IF(SUMPRODUCT(ISNUMBER(SEARCH(", "&amp;TEXT(J$24,"yyyy-mm")&amp;",",", "&amp;Transaksi!$F$2:$F$3000&amp;","))*(Transaksi!$C$2:$C$3000=$A35)*(Transaksi!$G$2:$G$3000&gt;0))&gt;0,"✓",IF(SUMPRODUCT(ISNUMBER(SEARCH(", "&amp;TEXT(J$24,"yyyy-mm")&amp;":",", "&amp;Transaksi!$F$2:$F$3000&amp;","))*(Transaksi!$C$2:$C$3000=$A35)*(Transaksi!$G$2:$G$3000&gt;0))&gt;0,"½",IF(J$24&gt;TODAY(),"·","✗"))))</f>
        <v/>
      </c>
      <c r="K35" s="36">
        <f>IF(OR(K$24&lt;Tetapan!$B15,AND(Tetapan!$C15&lt;&gt;"",K$24&gt;Tetapan!$C15),Tetapan!$D15=0),"–",IF(SUMPRODUCT(ISNUMBER(SEARCH(", "&amp;TEXT(K$24,"yyyy-mm")&amp;",",", "&amp;Transaksi!$F$2:$F$3000&amp;","))*(Transaksi!$C$2:$C$3000=$A35)*(Transaksi!$G$2:$G$3000&gt;0))&gt;0,"✓",IF(SUMPRODUCT(ISNUMBER(SEARCH(", "&amp;TEXT(K$24,"yyyy-mm")&amp;":",", "&amp;Transaksi!$F$2:$F$3000&amp;","))*(Transaksi!$C$2:$C$3000=$A35)*(Transaksi!$G$2:$G$3000&gt;0))&gt;0,"½",IF(K$24&gt;TODAY(),"·","✗"))))</f>
        <v/>
      </c>
      <c r="L35" s="36">
        <f>IF(OR(L$24&lt;Tetapan!$B15,AND(Tetapan!$C15&lt;&gt;"",L$24&gt;Tetapan!$C15),Tetapan!$D15=0),"–",IF(SUMPRODUCT(ISNUMBER(SEARCH(", "&amp;TEXT(L$24,"yyyy-mm")&amp;",",", "&amp;Transaksi!$F$2:$F$3000&amp;","))*(Transaksi!$C$2:$C$3000=$A35)*(Transaksi!$G$2:$G$3000&gt;0))&gt;0,"✓",IF(SUMPRODUCT(ISNUMBER(SEARCH(", "&amp;TEXT(L$24,"yyyy-mm")&amp;":",", "&amp;Transaksi!$F$2:$F$3000&amp;","))*(Transaksi!$C$2:$C$3000=$A35)*(Transaksi!$G$2:$G$3000&gt;0))&gt;0,"½",IF(L$24&gt;TODAY(),"·","✗"))))</f>
        <v/>
      </c>
      <c r="M35" s="36">
        <f>IF(OR(M$24&lt;Tetapan!$B15,AND(Tetapan!$C15&lt;&gt;"",M$24&gt;Tetapan!$C15),Tetapan!$D15=0),"–",IF(SUMPRODUCT(ISNUMBER(SEARCH(", "&amp;TEXT(M$24,"yyyy-mm")&amp;",",", "&amp;Transaksi!$F$2:$F$3000&amp;","))*(Transaksi!$C$2:$C$3000=$A35)*(Transaksi!$G$2:$G$3000&gt;0))&gt;0,"✓",IF(SUMPRODUCT(ISNUMBER(SEARCH(", "&amp;TEXT(M$24,"yyyy-mm")&amp;":",", "&amp;Transaksi!$F$2:$F$3000&amp;","))*(Transaksi!$C$2:$C$3000=$A35)*(Transaksi!$G$2:$G$3000&gt;0))&gt;0,"½",IF(M$24&gt;TODAY(),"·","✗"))))</f>
        <v/>
      </c>
      <c r="N35" s="36">
        <f>IF(OR(N$24&lt;Tetapan!$B15,AND(Tetapan!$C15&lt;&gt;"",N$24&gt;Tetapan!$C15),Tetapan!$D15=0),"–",IF(SUMPRODUCT(ISNUMBER(SEARCH(", "&amp;TEXT(N$24,"yyyy-mm")&amp;",",", "&amp;Transaksi!$F$2:$F$3000&amp;","))*(Transaksi!$C$2:$C$3000=$A35)*(Transaksi!$G$2:$G$3000&gt;0))&gt;0,"✓",IF(SUMPRODUCT(ISNUMBER(SEARCH(", "&amp;TEXT(N$24,"yyyy-mm")&amp;":",", "&amp;Transaksi!$F$2:$F$3000&amp;","))*(Transaksi!$C$2:$C$3000=$A35)*(Transaksi!$G$2:$G$3000&gt;0))&gt;0,"½",IF(N$24&gt;TODAY(),"·","✗"))))</f>
        <v/>
      </c>
      <c r="O35" s="36">
        <f>IF(OR(O$24&lt;Tetapan!$B15,AND(Tetapan!$C15&lt;&gt;"",O$24&gt;Tetapan!$C15),Tetapan!$D15=0),"–",IF(SUMPRODUCT(ISNUMBER(SEARCH(", "&amp;TEXT(O$24,"yyyy-mm")&amp;",",", "&amp;Transaksi!$F$2:$F$3000&amp;","))*(Transaksi!$C$2:$C$3000=$A35)*(Transaksi!$G$2:$G$3000&gt;0))&gt;0,"✓",IF(SUMPRODUCT(ISNUMBER(SEARCH(", "&amp;TEXT(O$24,"yyyy-mm")&amp;":",", "&amp;Transaksi!$F$2:$F$3000&amp;","))*(Transaksi!$C$2:$C$3000=$A35)*(Transaksi!$G$2:$G$3000&gt;0))&gt;0,"½",IF(O$24&gt;TODAY(),"·","✗"))))</f>
        <v/>
      </c>
      <c r="P35" s="36">
        <f>IF(OR(P$24&lt;Tetapan!$B15,AND(Tetapan!$C15&lt;&gt;"",P$24&gt;Tetapan!$C15),Tetapan!$D15=0),"–",IF(SUMPRODUCT(ISNUMBER(SEARCH(", "&amp;TEXT(P$24,"yyyy-mm")&amp;",",", "&amp;Transaksi!$F$2:$F$3000&amp;","))*(Transaksi!$C$2:$C$3000=$A35)*(Transaksi!$G$2:$G$3000&gt;0))&gt;0,"✓",IF(SUMPRODUCT(ISNUMBER(SEARCH(", "&amp;TEXT(P$24,"yyyy-mm")&amp;":",", "&amp;Transaksi!$F$2:$F$3000&amp;","))*(Transaksi!$C$2:$C$3000=$A35)*(Transaksi!$G$2:$G$3000&gt;0))&gt;0,"½",IF(P$24&gt;TODAY(),"·","✗"))))</f>
        <v/>
      </c>
      <c r="Q35" s="36">
        <f>IF(OR(Q$24&lt;Tetapan!$B15,AND(Tetapan!$C15&lt;&gt;"",Q$24&gt;Tetapan!$C15),Tetapan!$D15=0),"–",IF(SUMPRODUCT(ISNUMBER(SEARCH(", "&amp;TEXT(Q$24,"yyyy-mm")&amp;",",", "&amp;Transaksi!$F$2:$F$3000&amp;","))*(Transaksi!$C$2:$C$3000=$A35)*(Transaksi!$G$2:$G$3000&gt;0))&gt;0,"✓",IF(SUMPRODUCT(ISNUMBER(SEARCH(", "&amp;TEXT(Q$24,"yyyy-mm")&amp;":",", "&amp;Transaksi!$F$2:$F$3000&amp;","))*(Transaksi!$C$2:$C$3000=$A35)*(Transaksi!$G$2:$G$3000&gt;0))&gt;0,"½",IF(Q$24&gt;TODAY(),"·","✗"))))</f>
        <v/>
      </c>
      <c r="R35" s="36">
        <f>IF(OR(R$24&lt;Tetapan!$B15,AND(Tetapan!$C15&lt;&gt;"",R$24&gt;Tetapan!$C15),Tetapan!$D15=0),"–",IF(SUMPRODUCT(ISNUMBER(SEARCH(", "&amp;TEXT(R$24,"yyyy-mm")&amp;",",", "&amp;Transaksi!$F$2:$F$3000&amp;","))*(Transaksi!$C$2:$C$3000=$A35)*(Transaksi!$G$2:$G$3000&gt;0))&gt;0,"✓",IF(SUMPRODUCT(ISNUMBER(SEARCH(", "&amp;TEXT(R$24,"yyyy-mm")&amp;":",", "&amp;Transaksi!$F$2:$F$3000&amp;","))*(Transaksi!$C$2:$C$3000=$A35)*(Transaksi!$G$2:$G$3000&gt;0))&gt;0,"½",IF(R$24&gt;TODAY(),"·","✗"))))</f>
        <v/>
      </c>
      <c r="S35" s="36">
        <f>IF(OR(S$24&lt;Tetapan!$B15,AND(Tetapan!$C15&lt;&gt;"",S$24&gt;Tetapan!$C15),Tetapan!$D15=0),"–",IF(SUMPRODUCT(ISNUMBER(SEARCH(", "&amp;TEXT(S$24,"yyyy-mm")&amp;",",", "&amp;Transaksi!$F$2:$F$3000&amp;","))*(Transaksi!$C$2:$C$3000=$A35)*(Transaksi!$G$2:$G$3000&gt;0))&gt;0,"✓",IF(SUMPRODUCT(ISNUMBER(SEARCH(", "&amp;TEXT(S$24,"yyyy-mm")&amp;":",", "&amp;Transaksi!$F$2:$F$3000&amp;","))*(Transaksi!$C$2:$C$3000=$A35)*(Transaksi!$G$2:$G$3000&gt;0))&gt;0,"½",IF(S$24&gt;TODAY(),"·","✗"))))</f>
        <v/>
      </c>
      <c r="T35" s="36">
        <f>IF(OR(T$24&lt;Tetapan!$B15,AND(Tetapan!$C15&lt;&gt;"",T$24&gt;Tetapan!$C15),Tetapan!$D15=0),"–",IF(SUMPRODUCT(ISNUMBER(SEARCH(", "&amp;TEXT(T$24,"yyyy-mm")&amp;",",", "&amp;Transaksi!$F$2:$F$3000&amp;","))*(Transaksi!$C$2:$C$3000=$A35)*(Transaksi!$G$2:$G$3000&gt;0))&gt;0,"✓",IF(SUMPRODUCT(ISNUMBER(SEARCH(", "&amp;TEXT(T$24,"yyyy-mm")&amp;":",", "&amp;Transaksi!$F$2:$F$3000&amp;","))*(Transaksi!$C$2:$C$3000=$A35)*(Transaksi!$G$2:$G$3000&gt;0))&gt;0,"½",IF(T$24&gt;TODAY(),"·","✗"))))</f>
        <v/>
      </c>
      <c r="V35" s="37">
        <f>IF(B35="✗",TEXT(B$24,"mmm yy")&amp;", ",IF(B35="½",TEXT(B$24,"mmm yy")&amp;" (separa), ",""))&amp;IF(C35="✗",TEXT(C$24,"mmm yy")&amp;", ",IF(C35="½",TEXT(C$24,"mmm yy")&amp;" (separa), ",""))&amp;IF(D35="✗",TEXT(D$24,"mmm yy")&amp;", ",IF(D35="½",TEXT(D$24,"mmm yy")&amp;" (separa), ",""))&amp;IF(E35="✗",TEXT(E$24,"mmm yy")&amp;", ",IF(E35="½",TEXT(E$24,"mmm yy")&amp;" (separa), ",""))&amp;IF(F35="✗",TEXT(F$24,"mmm yy")&amp;", ",IF(F35="½",TEXT(F$24,"mmm yy")&amp;" (separa), ",""))&amp;IF(G35="✗",TEXT(G$24,"mmm yy")&amp;", ",IF(G35="½",TEXT(G$24,"mmm yy")&amp;" (separa), ",""))&amp;IF(H35="✗",TEXT(H$24,"mmm yy")&amp;", ",IF(H35="½",TEXT(H$24,"mmm yy")&amp;" (separa), ",""))&amp;IF(I35="✗",TEXT(I$24,"mmm yy")&amp;", ",IF(I35="½",TEXT(I$24,"mmm yy")&amp;" (separa), ",""))&amp;IF(J35="✗",TEXT(J$24,"mmm yy")&amp;", ",IF(J35="½",TEXT(J$24,"mmm yy")&amp;" (separa), ",""))&amp;IF(K35="✗",TEXT(K$24,"mmm yy")&amp;", ",IF(K35="½",TEXT(K$24,"mmm yy")&amp;" (separa), ",""))&amp;IF(L35="✗",TEXT(L$24,"mmm yy")&amp;", ",IF(L35="½",TEXT(L$24,"mmm yy")&amp;" (separa), ",""))&amp;IF(M35="✗",TEXT(M$24,"mmm yy")&amp;", ",IF(M35="½",TEXT(M$24,"mmm yy")&amp;" (separa), ",""))&amp;IF(N35="✗",TEXT(N$24,"mmm yy")&amp;", ",IF(N35="½",TEXT(N$24,"mmm yy")&amp;" (separa), ",""))&amp;IF(O35="✗",TEXT(O$24,"mmm yy")&amp;", ",IF(O35="½",TEXT(O$24,"mmm yy")&amp;" (separa), ",""))&amp;IF(P35="✗",TEXT(P$24,"mmm yy")&amp;", ",IF(P35="½",TEXT(P$24,"mmm yy")&amp;" (separa), ",""))&amp;IF(Q35="✗",TEXT(Q$24,"mmm yy")&amp;", ",IF(Q35="½",TEXT(Q$24,"mmm yy")&amp;" (separa), ",""))&amp;IF(R35="✗",TEXT(R$24,"mmm yy")&amp;", ",IF(R35="½",TEXT(R$24,"mmm yy")&amp;" (separa), ",""))&amp;IF(S35="✗",TEXT(S$24,"mmm yy")&amp;", ",IF(S35="½",TEXT(S$24,"mmm yy")&amp;" (separa), ",""))&amp;IF(T35="✗",TEXT(T$24,"mmm yy")&amp;", ",IF(T35="½",TEXT(T$24,"mmm yy")&amp;" (separa), ",""))</f>
        <v/>
      </c>
    </row>
    <row r="36">
      <c r="A36" s="32">
        <f>Tetapan!A16</f>
        <v/>
      </c>
      <c r="B36" s="36">
        <f>IF(OR(B$24&lt;Tetapan!$B16,AND(Tetapan!$C16&lt;&gt;"",B$24&gt;Tetapan!$C16),Tetapan!$D16=0),"–",IF(SUMPRODUCT(ISNUMBER(SEARCH(", "&amp;TEXT(B$24,"yyyy-mm")&amp;",",", "&amp;Transaksi!$F$2:$F$3000&amp;","))*(Transaksi!$C$2:$C$3000=$A36)*(Transaksi!$G$2:$G$3000&gt;0))&gt;0,"✓",IF(SUMPRODUCT(ISNUMBER(SEARCH(", "&amp;TEXT(B$24,"yyyy-mm")&amp;":",", "&amp;Transaksi!$F$2:$F$3000&amp;","))*(Transaksi!$C$2:$C$3000=$A36)*(Transaksi!$G$2:$G$3000&gt;0))&gt;0,"½",IF(B$24&gt;TODAY(),"·","✗"))))</f>
        <v/>
      </c>
      <c r="C36" s="36">
        <f>IF(OR(C$24&lt;Tetapan!$B16,AND(Tetapan!$C16&lt;&gt;"",C$24&gt;Tetapan!$C16),Tetapan!$D16=0),"–",IF(SUMPRODUCT(ISNUMBER(SEARCH(", "&amp;TEXT(C$24,"yyyy-mm")&amp;",",", "&amp;Transaksi!$F$2:$F$3000&amp;","))*(Transaksi!$C$2:$C$3000=$A36)*(Transaksi!$G$2:$G$3000&gt;0))&gt;0,"✓",IF(SUMPRODUCT(ISNUMBER(SEARCH(", "&amp;TEXT(C$24,"yyyy-mm")&amp;":",", "&amp;Transaksi!$F$2:$F$3000&amp;","))*(Transaksi!$C$2:$C$3000=$A36)*(Transaksi!$G$2:$G$3000&gt;0))&gt;0,"½",IF(C$24&gt;TODAY(),"·","✗"))))</f>
        <v/>
      </c>
      <c r="D36" s="36">
        <f>IF(OR(D$24&lt;Tetapan!$B16,AND(Tetapan!$C16&lt;&gt;"",D$24&gt;Tetapan!$C16),Tetapan!$D16=0),"–",IF(SUMPRODUCT(ISNUMBER(SEARCH(", "&amp;TEXT(D$24,"yyyy-mm")&amp;",",", "&amp;Transaksi!$F$2:$F$3000&amp;","))*(Transaksi!$C$2:$C$3000=$A36)*(Transaksi!$G$2:$G$3000&gt;0))&gt;0,"✓",IF(SUMPRODUCT(ISNUMBER(SEARCH(", "&amp;TEXT(D$24,"yyyy-mm")&amp;":",", "&amp;Transaksi!$F$2:$F$3000&amp;","))*(Transaksi!$C$2:$C$3000=$A36)*(Transaksi!$G$2:$G$3000&gt;0))&gt;0,"½",IF(D$24&gt;TODAY(),"·","✗"))))</f>
        <v/>
      </c>
      <c r="E36" s="36">
        <f>IF(OR(E$24&lt;Tetapan!$B16,AND(Tetapan!$C16&lt;&gt;"",E$24&gt;Tetapan!$C16),Tetapan!$D16=0),"–",IF(SUMPRODUCT(ISNUMBER(SEARCH(", "&amp;TEXT(E$24,"yyyy-mm")&amp;",",", "&amp;Transaksi!$F$2:$F$3000&amp;","))*(Transaksi!$C$2:$C$3000=$A36)*(Transaksi!$G$2:$G$3000&gt;0))&gt;0,"✓",IF(SUMPRODUCT(ISNUMBER(SEARCH(", "&amp;TEXT(E$24,"yyyy-mm")&amp;":",", "&amp;Transaksi!$F$2:$F$3000&amp;","))*(Transaksi!$C$2:$C$3000=$A36)*(Transaksi!$G$2:$G$3000&gt;0))&gt;0,"½",IF(E$24&gt;TODAY(),"·","✗"))))</f>
        <v/>
      </c>
      <c r="F36" s="36">
        <f>IF(OR(F$24&lt;Tetapan!$B16,AND(Tetapan!$C16&lt;&gt;"",F$24&gt;Tetapan!$C16),Tetapan!$D16=0),"–",IF(SUMPRODUCT(ISNUMBER(SEARCH(", "&amp;TEXT(F$24,"yyyy-mm")&amp;",",", "&amp;Transaksi!$F$2:$F$3000&amp;","))*(Transaksi!$C$2:$C$3000=$A36)*(Transaksi!$G$2:$G$3000&gt;0))&gt;0,"✓",IF(SUMPRODUCT(ISNUMBER(SEARCH(", "&amp;TEXT(F$24,"yyyy-mm")&amp;":",", "&amp;Transaksi!$F$2:$F$3000&amp;","))*(Transaksi!$C$2:$C$3000=$A36)*(Transaksi!$G$2:$G$3000&gt;0))&gt;0,"½",IF(F$24&gt;TODAY(),"·","✗"))))</f>
        <v/>
      </c>
      <c r="G36" s="36">
        <f>IF(OR(G$24&lt;Tetapan!$B16,AND(Tetapan!$C16&lt;&gt;"",G$24&gt;Tetapan!$C16),Tetapan!$D16=0),"–",IF(SUMPRODUCT(ISNUMBER(SEARCH(", "&amp;TEXT(G$24,"yyyy-mm")&amp;",",", "&amp;Transaksi!$F$2:$F$3000&amp;","))*(Transaksi!$C$2:$C$3000=$A36)*(Transaksi!$G$2:$G$3000&gt;0))&gt;0,"✓",IF(SUMPRODUCT(ISNUMBER(SEARCH(", "&amp;TEXT(G$24,"yyyy-mm")&amp;":",", "&amp;Transaksi!$F$2:$F$3000&amp;","))*(Transaksi!$C$2:$C$3000=$A36)*(Transaksi!$G$2:$G$3000&gt;0))&gt;0,"½",IF(G$24&gt;TODAY(),"·","✗"))))</f>
        <v/>
      </c>
      <c r="H36" s="36">
        <f>IF(OR(H$24&lt;Tetapan!$B16,AND(Tetapan!$C16&lt;&gt;"",H$24&gt;Tetapan!$C16),Tetapan!$D16=0),"–",IF(SUMPRODUCT(ISNUMBER(SEARCH(", "&amp;TEXT(H$24,"yyyy-mm")&amp;",",", "&amp;Transaksi!$F$2:$F$3000&amp;","))*(Transaksi!$C$2:$C$3000=$A36)*(Transaksi!$G$2:$G$3000&gt;0))&gt;0,"✓",IF(SUMPRODUCT(ISNUMBER(SEARCH(", "&amp;TEXT(H$24,"yyyy-mm")&amp;":",", "&amp;Transaksi!$F$2:$F$3000&amp;","))*(Transaksi!$C$2:$C$3000=$A36)*(Transaksi!$G$2:$G$3000&gt;0))&gt;0,"½",IF(H$24&gt;TODAY(),"·","✗"))))</f>
        <v/>
      </c>
      <c r="I36" s="36">
        <f>IF(OR(I$24&lt;Tetapan!$B16,AND(Tetapan!$C16&lt;&gt;"",I$24&gt;Tetapan!$C16),Tetapan!$D16=0),"–",IF(SUMPRODUCT(ISNUMBER(SEARCH(", "&amp;TEXT(I$24,"yyyy-mm")&amp;",",", "&amp;Transaksi!$F$2:$F$3000&amp;","))*(Transaksi!$C$2:$C$3000=$A36)*(Transaksi!$G$2:$G$3000&gt;0))&gt;0,"✓",IF(SUMPRODUCT(ISNUMBER(SEARCH(", "&amp;TEXT(I$24,"yyyy-mm")&amp;":",", "&amp;Transaksi!$F$2:$F$3000&amp;","))*(Transaksi!$C$2:$C$3000=$A36)*(Transaksi!$G$2:$G$3000&gt;0))&gt;0,"½",IF(I$24&gt;TODAY(),"·","✗"))))</f>
        <v/>
      </c>
      <c r="J36" s="36">
        <f>IF(OR(J$24&lt;Tetapan!$B16,AND(Tetapan!$C16&lt;&gt;"",J$24&gt;Tetapan!$C16),Tetapan!$D16=0),"–",IF(SUMPRODUCT(ISNUMBER(SEARCH(", "&amp;TEXT(J$24,"yyyy-mm")&amp;",",", "&amp;Transaksi!$F$2:$F$3000&amp;","))*(Transaksi!$C$2:$C$3000=$A36)*(Transaksi!$G$2:$G$3000&gt;0))&gt;0,"✓",IF(SUMPRODUCT(ISNUMBER(SEARCH(", "&amp;TEXT(J$24,"yyyy-mm")&amp;":",", "&amp;Transaksi!$F$2:$F$3000&amp;","))*(Transaksi!$C$2:$C$3000=$A36)*(Transaksi!$G$2:$G$3000&gt;0))&gt;0,"½",IF(J$24&gt;TODAY(),"·","✗"))))</f>
        <v/>
      </c>
      <c r="K36" s="36">
        <f>IF(OR(K$24&lt;Tetapan!$B16,AND(Tetapan!$C16&lt;&gt;"",K$24&gt;Tetapan!$C16),Tetapan!$D16=0),"–",IF(SUMPRODUCT(ISNUMBER(SEARCH(", "&amp;TEXT(K$24,"yyyy-mm")&amp;",",", "&amp;Transaksi!$F$2:$F$3000&amp;","))*(Transaksi!$C$2:$C$3000=$A36)*(Transaksi!$G$2:$G$3000&gt;0))&gt;0,"✓",IF(SUMPRODUCT(ISNUMBER(SEARCH(", "&amp;TEXT(K$24,"yyyy-mm")&amp;":",", "&amp;Transaksi!$F$2:$F$3000&amp;","))*(Transaksi!$C$2:$C$3000=$A36)*(Transaksi!$G$2:$G$3000&gt;0))&gt;0,"½",IF(K$24&gt;TODAY(),"·","✗"))))</f>
        <v/>
      </c>
      <c r="L36" s="36">
        <f>IF(OR(L$24&lt;Tetapan!$B16,AND(Tetapan!$C16&lt;&gt;"",L$24&gt;Tetapan!$C16),Tetapan!$D16=0),"–",IF(SUMPRODUCT(ISNUMBER(SEARCH(", "&amp;TEXT(L$24,"yyyy-mm")&amp;",",", "&amp;Transaksi!$F$2:$F$3000&amp;","))*(Transaksi!$C$2:$C$3000=$A36)*(Transaksi!$G$2:$G$3000&gt;0))&gt;0,"✓",IF(SUMPRODUCT(ISNUMBER(SEARCH(", "&amp;TEXT(L$24,"yyyy-mm")&amp;":",", "&amp;Transaksi!$F$2:$F$3000&amp;","))*(Transaksi!$C$2:$C$3000=$A36)*(Transaksi!$G$2:$G$3000&gt;0))&gt;0,"½",IF(L$24&gt;TODAY(),"·","✗"))))</f>
        <v/>
      </c>
      <c r="M36" s="36">
        <f>IF(OR(M$24&lt;Tetapan!$B16,AND(Tetapan!$C16&lt;&gt;"",M$24&gt;Tetapan!$C16),Tetapan!$D16=0),"–",IF(SUMPRODUCT(ISNUMBER(SEARCH(", "&amp;TEXT(M$24,"yyyy-mm")&amp;",",", "&amp;Transaksi!$F$2:$F$3000&amp;","))*(Transaksi!$C$2:$C$3000=$A36)*(Transaksi!$G$2:$G$3000&gt;0))&gt;0,"✓",IF(SUMPRODUCT(ISNUMBER(SEARCH(", "&amp;TEXT(M$24,"yyyy-mm")&amp;":",", "&amp;Transaksi!$F$2:$F$3000&amp;","))*(Transaksi!$C$2:$C$3000=$A36)*(Transaksi!$G$2:$G$3000&gt;0))&gt;0,"½",IF(M$24&gt;TODAY(),"·","✗"))))</f>
        <v/>
      </c>
      <c r="N36" s="36">
        <f>IF(OR(N$24&lt;Tetapan!$B16,AND(Tetapan!$C16&lt;&gt;"",N$24&gt;Tetapan!$C16),Tetapan!$D16=0),"–",IF(SUMPRODUCT(ISNUMBER(SEARCH(", "&amp;TEXT(N$24,"yyyy-mm")&amp;",",", "&amp;Transaksi!$F$2:$F$3000&amp;","))*(Transaksi!$C$2:$C$3000=$A36)*(Transaksi!$G$2:$G$3000&gt;0))&gt;0,"✓",IF(SUMPRODUCT(ISNUMBER(SEARCH(", "&amp;TEXT(N$24,"yyyy-mm")&amp;":",", "&amp;Transaksi!$F$2:$F$3000&amp;","))*(Transaksi!$C$2:$C$3000=$A36)*(Transaksi!$G$2:$G$3000&gt;0))&gt;0,"½",IF(N$24&gt;TODAY(),"·","✗"))))</f>
        <v/>
      </c>
      <c r="O36" s="36">
        <f>IF(OR(O$24&lt;Tetapan!$B16,AND(Tetapan!$C16&lt;&gt;"",O$24&gt;Tetapan!$C16),Tetapan!$D16=0),"–",IF(SUMPRODUCT(ISNUMBER(SEARCH(", "&amp;TEXT(O$24,"yyyy-mm")&amp;",",", "&amp;Transaksi!$F$2:$F$3000&amp;","))*(Transaksi!$C$2:$C$3000=$A36)*(Transaksi!$G$2:$G$3000&gt;0))&gt;0,"✓",IF(SUMPRODUCT(ISNUMBER(SEARCH(", "&amp;TEXT(O$24,"yyyy-mm")&amp;":",", "&amp;Transaksi!$F$2:$F$3000&amp;","))*(Transaksi!$C$2:$C$3000=$A36)*(Transaksi!$G$2:$G$3000&gt;0))&gt;0,"½",IF(O$24&gt;TODAY(),"·","✗"))))</f>
        <v/>
      </c>
      <c r="P36" s="36">
        <f>IF(OR(P$24&lt;Tetapan!$B16,AND(Tetapan!$C16&lt;&gt;"",P$24&gt;Tetapan!$C16),Tetapan!$D16=0),"–",IF(SUMPRODUCT(ISNUMBER(SEARCH(", "&amp;TEXT(P$24,"yyyy-mm")&amp;",",", "&amp;Transaksi!$F$2:$F$3000&amp;","))*(Transaksi!$C$2:$C$3000=$A36)*(Transaksi!$G$2:$G$3000&gt;0))&gt;0,"✓",IF(SUMPRODUCT(ISNUMBER(SEARCH(", "&amp;TEXT(P$24,"yyyy-mm")&amp;":",", "&amp;Transaksi!$F$2:$F$3000&amp;","))*(Transaksi!$C$2:$C$3000=$A36)*(Transaksi!$G$2:$G$3000&gt;0))&gt;0,"½",IF(P$24&gt;TODAY(),"·","✗"))))</f>
        <v/>
      </c>
      <c r="Q36" s="36">
        <f>IF(OR(Q$24&lt;Tetapan!$B16,AND(Tetapan!$C16&lt;&gt;"",Q$24&gt;Tetapan!$C16),Tetapan!$D16=0),"–",IF(SUMPRODUCT(ISNUMBER(SEARCH(", "&amp;TEXT(Q$24,"yyyy-mm")&amp;",",", "&amp;Transaksi!$F$2:$F$3000&amp;","))*(Transaksi!$C$2:$C$3000=$A36)*(Transaksi!$G$2:$G$3000&gt;0))&gt;0,"✓",IF(SUMPRODUCT(ISNUMBER(SEARCH(", "&amp;TEXT(Q$24,"yyyy-mm")&amp;":",", "&amp;Transaksi!$F$2:$F$3000&amp;","))*(Transaksi!$C$2:$C$3000=$A36)*(Transaksi!$G$2:$G$3000&gt;0))&gt;0,"½",IF(Q$24&gt;TODAY(),"·","✗"))))</f>
        <v/>
      </c>
      <c r="R36" s="36">
        <f>IF(OR(R$24&lt;Tetapan!$B16,AND(Tetapan!$C16&lt;&gt;"",R$24&gt;Tetapan!$C16),Tetapan!$D16=0),"–",IF(SUMPRODUCT(ISNUMBER(SEARCH(", "&amp;TEXT(R$24,"yyyy-mm")&amp;",",", "&amp;Transaksi!$F$2:$F$3000&amp;","))*(Transaksi!$C$2:$C$3000=$A36)*(Transaksi!$G$2:$G$3000&gt;0))&gt;0,"✓",IF(SUMPRODUCT(ISNUMBER(SEARCH(", "&amp;TEXT(R$24,"yyyy-mm")&amp;":",", "&amp;Transaksi!$F$2:$F$3000&amp;","))*(Transaksi!$C$2:$C$3000=$A36)*(Transaksi!$G$2:$G$3000&gt;0))&gt;0,"½",IF(R$24&gt;TODAY(),"·","✗"))))</f>
        <v/>
      </c>
      <c r="S36" s="36">
        <f>IF(OR(S$24&lt;Tetapan!$B16,AND(Tetapan!$C16&lt;&gt;"",S$24&gt;Tetapan!$C16),Tetapan!$D16=0),"–",IF(SUMPRODUCT(ISNUMBER(SEARCH(", "&amp;TEXT(S$24,"yyyy-mm")&amp;",",", "&amp;Transaksi!$F$2:$F$3000&amp;","))*(Transaksi!$C$2:$C$3000=$A36)*(Transaksi!$G$2:$G$3000&gt;0))&gt;0,"✓",IF(SUMPRODUCT(ISNUMBER(SEARCH(", "&amp;TEXT(S$24,"yyyy-mm")&amp;":",", "&amp;Transaksi!$F$2:$F$3000&amp;","))*(Transaksi!$C$2:$C$3000=$A36)*(Transaksi!$G$2:$G$3000&gt;0))&gt;0,"½",IF(S$24&gt;TODAY(),"·","✗"))))</f>
        <v/>
      </c>
      <c r="T36" s="36">
        <f>IF(OR(T$24&lt;Tetapan!$B16,AND(Tetapan!$C16&lt;&gt;"",T$24&gt;Tetapan!$C16),Tetapan!$D16=0),"–",IF(SUMPRODUCT(ISNUMBER(SEARCH(", "&amp;TEXT(T$24,"yyyy-mm")&amp;",",", "&amp;Transaksi!$F$2:$F$3000&amp;","))*(Transaksi!$C$2:$C$3000=$A36)*(Transaksi!$G$2:$G$3000&gt;0))&gt;0,"✓",IF(SUMPRODUCT(ISNUMBER(SEARCH(", "&amp;TEXT(T$24,"yyyy-mm")&amp;":",", "&amp;Transaksi!$F$2:$F$3000&amp;","))*(Transaksi!$C$2:$C$3000=$A36)*(Transaksi!$G$2:$G$3000&gt;0))&gt;0,"½",IF(T$24&gt;TODAY(),"·","✗"))))</f>
        <v/>
      </c>
      <c r="V36" s="37">
        <f>IF(B36="✗",TEXT(B$24,"mmm yy")&amp;", ",IF(B36="½",TEXT(B$24,"mmm yy")&amp;" (separa), ",""))&amp;IF(C36="✗",TEXT(C$24,"mmm yy")&amp;", ",IF(C36="½",TEXT(C$24,"mmm yy")&amp;" (separa), ",""))&amp;IF(D36="✗",TEXT(D$24,"mmm yy")&amp;", ",IF(D36="½",TEXT(D$24,"mmm yy")&amp;" (separa), ",""))&amp;IF(E36="✗",TEXT(E$24,"mmm yy")&amp;", ",IF(E36="½",TEXT(E$24,"mmm yy")&amp;" (separa), ",""))&amp;IF(F36="✗",TEXT(F$24,"mmm yy")&amp;", ",IF(F36="½",TEXT(F$24,"mmm yy")&amp;" (separa), ",""))&amp;IF(G36="✗",TEXT(G$24,"mmm yy")&amp;", ",IF(G36="½",TEXT(G$24,"mmm yy")&amp;" (separa), ",""))&amp;IF(H36="✗",TEXT(H$24,"mmm yy")&amp;", ",IF(H36="½",TEXT(H$24,"mmm yy")&amp;" (separa), ",""))&amp;IF(I36="✗",TEXT(I$24,"mmm yy")&amp;", ",IF(I36="½",TEXT(I$24,"mmm yy")&amp;" (separa), ",""))&amp;IF(J36="✗",TEXT(J$24,"mmm yy")&amp;", ",IF(J36="½",TEXT(J$24,"mmm yy")&amp;" (separa), ",""))&amp;IF(K36="✗",TEXT(K$24,"mmm yy")&amp;", ",IF(K36="½",TEXT(K$24,"mmm yy")&amp;" (separa), ",""))&amp;IF(L36="✗",TEXT(L$24,"mmm yy")&amp;", ",IF(L36="½",TEXT(L$24,"mmm yy")&amp;" (separa), ",""))&amp;IF(M36="✗",TEXT(M$24,"mmm yy")&amp;", ",IF(M36="½",TEXT(M$24,"mmm yy")&amp;" (separa), ",""))&amp;IF(N36="✗",TEXT(N$24,"mmm yy")&amp;", ",IF(N36="½",TEXT(N$24,"mmm yy")&amp;" (separa), ",""))&amp;IF(O36="✗",TEXT(O$24,"mmm yy")&amp;", ",IF(O36="½",TEXT(O$24,"mmm yy")&amp;" (separa), ",""))&amp;IF(P36="✗",TEXT(P$24,"mmm yy")&amp;", ",IF(P36="½",TEXT(P$24,"mmm yy")&amp;" (separa), ",""))&amp;IF(Q36="✗",TEXT(Q$24,"mmm yy")&amp;", ",IF(Q36="½",TEXT(Q$24,"mmm yy")&amp;" (separa), ",""))&amp;IF(R36="✗",TEXT(R$24,"mmm yy")&amp;", ",IF(R36="½",TEXT(R$24,"mmm yy")&amp;" (separa), ",""))&amp;IF(S36="✗",TEXT(S$24,"mmm yy")&amp;", ",IF(S36="½",TEXT(S$24,"mmm yy")&amp;" (separa), ",""))&amp;IF(T36="✗",TEXT(T$24,"mmm yy")&amp;", ",IF(T36="½",TEXT(T$24,"mmm yy")&amp;" (separa), ",""))</f>
        <v/>
      </c>
    </row>
    <row r="37">
      <c r="A37" s="32">
        <f>Tetapan!A17</f>
        <v/>
      </c>
      <c r="B37" s="36">
        <f>IF(OR(B$24&lt;Tetapan!$B17,AND(Tetapan!$C17&lt;&gt;"",B$24&gt;Tetapan!$C17),Tetapan!$D17=0),"–",IF(SUMPRODUCT(ISNUMBER(SEARCH(", "&amp;TEXT(B$24,"yyyy-mm")&amp;",",", "&amp;Transaksi!$F$2:$F$3000&amp;","))*(Transaksi!$C$2:$C$3000=$A37)*(Transaksi!$G$2:$G$3000&gt;0))&gt;0,"✓",IF(SUMPRODUCT(ISNUMBER(SEARCH(", "&amp;TEXT(B$24,"yyyy-mm")&amp;":",", "&amp;Transaksi!$F$2:$F$3000&amp;","))*(Transaksi!$C$2:$C$3000=$A37)*(Transaksi!$G$2:$G$3000&gt;0))&gt;0,"½",IF(B$24&gt;TODAY(),"·","✗"))))</f>
        <v/>
      </c>
      <c r="C37" s="36">
        <f>IF(OR(C$24&lt;Tetapan!$B17,AND(Tetapan!$C17&lt;&gt;"",C$24&gt;Tetapan!$C17),Tetapan!$D17=0),"–",IF(SUMPRODUCT(ISNUMBER(SEARCH(", "&amp;TEXT(C$24,"yyyy-mm")&amp;",",", "&amp;Transaksi!$F$2:$F$3000&amp;","))*(Transaksi!$C$2:$C$3000=$A37)*(Transaksi!$G$2:$G$3000&gt;0))&gt;0,"✓",IF(SUMPRODUCT(ISNUMBER(SEARCH(", "&amp;TEXT(C$24,"yyyy-mm")&amp;":",", "&amp;Transaksi!$F$2:$F$3000&amp;","))*(Transaksi!$C$2:$C$3000=$A37)*(Transaksi!$G$2:$G$3000&gt;0))&gt;0,"½",IF(C$24&gt;TODAY(),"·","✗"))))</f>
        <v/>
      </c>
      <c r="D37" s="36">
        <f>IF(OR(D$24&lt;Tetapan!$B17,AND(Tetapan!$C17&lt;&gt;"",D$24&gt;Tetapan!$C17),Tetapan!$D17=0),"–",IF(SUMPRODUCT(ISNUMBER(SEARCH(", "&amp;TEXT(D$24,"yyyy-mm")&amp;",",", "&amp;Transaksi!$F$2:$F$3000&amp;","))*(Transaksi!$C$2:$C$3000=$A37)*(Transaksi!$G$2:$G$3000&gt;0))&gt;0,"✓",IF(SUMPRODUCT(ISNUMBER(SEARCH(", "&amp;TEXT(D$24,"yyyy-mm")&amp;":",", "&amp;Transaksi!$F$2:$F$3000&amp;","))*(Transaksi!$C$2:$C$3000=$A37)*(Transaksi!$G$2:$G$3000&gt;0))&gt;0,"½",IF(D$24&gt;TODAY(),"·","✗"))))</f>
        <v/>
      </c>
      <c r="E37" s="36">
        <f>IF(OR(E$24&lt;Tetapan!$B17,AND(Tetapan!$C17&lt;&gt;"",E$24&gt;Tetapan!$C17),Tetapan!$D17=0),"–",IF(SUMPRODUCT(ISNUMBER(SEARCH(", "&amp;TEXT(E$24,"yyyy-mm")&amp;",",", "&amp;Transaksi!$F$2:$F$3000&amp;","))*(Transaksi!$C$2:$C$3000=$A37)*(Transaksi!$G$2:$G$3000&gt;0))&gt;0,"✓",IF(SUMPRODUCT(ISNUMBER(SEARCH(", "&amp;TEXT(E$24,"yyyy-mm")&amp;":",", "&amp;Transaksi!$F$2:$F$3000&amp;","))*(Transaksi!$C$2:$C$3000=$A37)*(Transaksi!$G$2:$G$3000&gt;0))&gt;0,"½",IF(E$24&gt;TODAY(),"·","✗"))))</f>
        <v/>
      </c>
      <c r="F37" s="36">
        <f>IF(OR(F$24&lt;Tetapan!$B17,AND(Tetapan!$C17&lt;&gt;"",F$24&gt;Tetapan!$C17),Tetapan!$D17=0),"–",IF(SUMPRODUCT(ISNUMBER(SEARCH(", "&amp;TEXT(F$24,"yyyy-mm")&amp;",",", "&amp;Transaksi!$F$2:$F$3000&amp;","))*(Transaksi!$C$2:$C$3000=$A37)*(Transaksi!$G$2:$G$3000&gt;0))&gt;0,"✓",IF(SUMPRODUCT(ISNUMBER(SEARCH(", "&amp;TEXT(F$24,"yyyy-mm")&amp;":",", "&amp;Transaksi!$F$2:$F$3000&amp;","))*(Transaksi!$C$2:$C$3000=$A37)*(Transaksi!$G$2:$G$3000&gt;0))&gt;0,"½",IF(F$24&gt;TODAY(),"·","✗"))))</f>
        <v/>
      </c>
      <c r="G37" s="36">
        <f>IF(OR(G$24&lt;Tetapan!$B17,AND(Tetapan!$C17&lt;&gt;"",G$24&gt;Tetapan!$C17),Tetapan!$D17=0),"–",IF(SUMPRODUCT(ISNUMBER(SEARCH(", "&amp;TEXT(G$24,"yyyy-mm")&amp;",",", "&amp;Transaksi!$F$2:$F$3000&amp;","))*(Transaksi!$C$2:$C$3000=$A37)*(Transaksi!$G$2:$G$3000&gt;0))&gt;0,"✓",IF(SUMPRODUCT(ISNUMBER(SEARCH(", "&amp;TEXT(G$24,"yyyy-mm")&amp;":",", "&amp;Transaksi!$F$2:$F$3000&amp;","))*(Transaksi!$C$2:$C$3000=$A37)*(Transaksi!$G$2:$G$3000&gt;0))&gt;0,"½",IF(G$24&gt;TODAY(),"·","✗"))))</f>
        <v/>
      </c>
      <c r="H37" s="36">
        <f>IF(OR(H$24&lt;Tetapan!$B17,AND(Tetapan!$C17&lt;&gt;"",H$24&gt;Tetapan!$C17),Tetapan!$D17=0),"–",IF(SUMPRODUCT(ISNUMBER(SEARCH(", "&amp;TEXT(H$24,"yyyy-mm")&amp;",",", "&amp;Transaksi!$F$2:$F$3000&amp;","))*(Transaksi!$C$2:$C$3000=$A37)*(Transaksi!$G$2:$G$3000&gt;0))&gt;0,"✓",IF(SUMPRODUCT(ISNUMBER(SEARCH(", "&amp;TEXT(H$24,"yyyy-mm")&amp;":",", "&amp;Transaksi!$F$2:$F$3000&amp;","))*(Transaksi!$C$2:$C$3000=$A37)*(Transaksi!$G$2:$G$3000&gt;0))&gt;0,"½",IF(H$24&gt;TODAY(),"·","✗"))))</f>
        <v/>
      </c>
      <c r="I37" s="36">
        <f>IF(OR(I$24&lt;Tetapan!$B17,AND(Tetapan!$C17&lt;&gt;"",I$24&gt;Tetapan!$C17),Tetapan!$D17=0),"–",IF(SUMPRODUCT(ISNUMBER(SEARCH(", "&amp;TEXT(I$24,"yyyy-mm")&amp;",",", "&amp;Transaksi!$F$2:$F$3000&amp;","))*(Transaksi!$C$2:$C$3000=$A37)*(Transaksi!$G$2:$G$3000&gt;0))&gt;0,"✓",IF(SUMPRODUCT(ISNUMBER(SEARCH(", "&amp;TEXT(I$24,"yyyy-mm")&amp;":",", "&amp;Transaksi!$F$2:$F$3000&amp;","))*(Transaksi!$C$2:$C$3000=$A37)*(Transaksi!$G$2:$G$3000&gt;0))&gt;0,"½",IF(I$24&gt;TODAY(),"·","✗"))))</f>
        <v/>
      </c>
      <c r="J37" s="36">
        <f>IF(OR(J$24&lt;Tetapan!$B17,AND(Tetapan!$C17&lt;&gt;"",J$24&gt;Tetapan!$C17),Tetapan!$D17=0),"–",IF(SUMPRODUCT(ISNUMBER(SEARCH(", "&amp;TEXT(J$24,"yyyy-mm")&amp;",",", "&amp;Transaksi!$F$2:$F$3000&amp;","))*(Transaksi!$C$2:$C$3000=$A37)*(Transaksi!$G$2:$G$3000&gt;0))&gt;0,"✓",IF(SUMPRODUCT(ISNUMBER(SEARCH(", "&amp;TEXT(J$24,"yyyy-mm")&amp;":",", "&amp;Transaksi!$F$2:$F$3000&amp;","))*(Transaksi!$C$2:$C$3000=$A37)*(Transaksi!$G$2:$G$3000&gt;0))&gt;0,"½",IF(J$24&gt;TODAY(),"·","✗"))))</f>
        <v/>
      </c>
      <c r="K37" s="36">
        <f>IF(OR(K$24&lt;Tetapan!$B17,AND(Tetapan!$C17&lt;&gt;"",K$24&gt;Tetapan!$C17),Tetapan!$D17=0),"–",IF(SUMPRODUCT(ISNUMBER(SEARCH(", "&amp;TEXT(K$24,"yyyy-mm")&amp;",",", "&amp;Transaksi!$F$2:$F$3000&amp;","))*(Transaksi!$C$2:$C$3000=$A37)*(Transaksi!$G$2:$G$3000&gt;0))&gt;0,"✓",IF(SUMPRODUCT(ISNUMBER(SEARCH(", "&amp;TEXT(K$24,"yyyy-mm")&amp;":",", "&amp;Transaksi!$F$2:$F$3000&amp;","))*(Transaksi!$C$2:$C$3000=$A37)*(Transaksi!$G$2:$G$3000&gt;0))&gt;0,"½",IF(K$24&gt;TODAY(),"·","✗"))))</f>
        <v/>
      </c>
      <c r="L37" s="36">
        <f>IF(OR(L$24&lt;Tetapan!$B17,AND(Tetapan!$C17&lt;&gt;"",L$24&gt;Tetapan!$C17),Tetapan!$D17=0),"–",IF(SUMPRODUCT(ISNUMBER(SEARCH(", "&amp;TEXT(L$24,"yyyy-mm")&amp;",",", "&amp;Transaksi!$F$2:$F$3000&amp;","))*(Transaksi!$C$2:$C$3000=$A37)*(Transaksi!$G$2:$G$3000&gt;0))&gt;0,"✓",IF(SUMPRODUCT(ISNUMBER(SEARCH(", "&amp;TEXT(L$24,"yyyy-mm")&amp;":",", "&amp;Transaksi!$F$2:$F$3000&amp;","))*(Transaksi!$C$2:$C$3000=$A37)*(Transaksi!$G$2:$G$3000&gt;0))&gt;0,"½",IF(L$24&gt;TODAY(),"·","✗"))))</f>
        <v/>
      </c>
      <c r="M37" s="36">
        <f>IF(OR(M$24&lt;Tetapan!$B17,AND(Tetapan!$C17&lt;&gt;"",M$24&gt;Tetapan!$C17),Tetapan!$D17=0),"–",IF(SUMPRODUCT(ISNUMBER(SEARCH(", "&amp;TEXT(M$24,"yyyy-mm")&amp;",",", "&amp;Transaksi!$F$2:$F$3000&amp;","))*(Transaksi!$C$2:$C$3000=$A37)*(Transaksi!$G$2:$G$3000&gt;0))&gt;0,"✓",IF(SUMPRODUCT(ISNUMBER(SEARCH(", "&amp;TEXT(M$24,"yyyy-mm")&amp;":",", "&amp;Transaksi!$F$2:$F$3000&amp;","))*(Transaksi!$C$2:$C$3000=$A37)*(Transaksi!$G$2:$G$3000&gt;0))&gt;0,"½",IF(M$24&gt;TODAY(),"·","✗"))))</f>
        <v/>
      </c>
      <c r="N37" s="36">
        <f>IF(OR(N$24&lt;Tetapan!$B17,AND(Tetapan!$C17&lt;&gt;"",N$24&gt;Tetapan!$C17),Tetapan!$D17=0),"–",IF(SUMPRODUCT(ISNUMBER(SEARCH(", "&amp;TEXT(N$24,"yyyy-mm")&amp;",",", "&amp;Transaksi!$F$2:$F$3000&amp;","))*(Transaksi!$C$2:$C$3000=$A37)*(Transaksi!$G$2:$G$3000&gt;0))&gt;0,"✓",IF(SUMPRODUCT(ISNUMBER(SEARCH(", "&amp;TEXT(N$24,"yyyy-mm")&amp;":",", "&amp;Transaksi!$F$2:$F$3000&amp;","))*(Transaksi!$C$2:$C$3000=$A37)*(Transaksi!$G$2:$G$3000&gt;0))&gt;0,"½",IF(N$24&gt;TODAY(),"·","✗"))))</f>
        <v/>
      </c>
      <c r="O37" s="36">
        <f>IF(OR(O$24&lt;Tetapan!$B17,AND(Tetapan!$C17&lt;&gt;"",O$24&gt;Tetapan!$C17),Tetapan!$D17=0),"–",IF(SUMPRODUCT(ISNUMBER(SEARCH(", "&amp;TEXT(O$24,"yyyy-mm")&amp;",",", "&amp;Transaksi!$F$2:$F$3000&amp;","))*(Transaksi!$C$2:$C$3000=$A37)*(Transaksi!$G$2:$G$3000&gt;0))&gt;0,"✓",IF(SUMPRODUCT(ISNUMBER(SEARCH(", "&amp;TEXT(O$24,"yyyy-mm")&amp;":",", "&amp;Transaksi!$F$2:$F$3000&amp;","))*(Transaksi!$C$2:$C$3000=$A37)*(Transaksi!$G$2:$G$3000&gt;0))&gt;0,"½",IF(O$24&gt;TODAY(),"·","✗"))))</f>
        <v/>
      </c>
      <c r="P37" s="36">
        <f>IF(OR(P$24&lt;Tetapan!$B17,AND(Tetapan!$C17&lt;&gt;"",P$24&gt;Tetapan!$C17),Tetapan!$D17=0),"–",IF(SUMPRODUCT(ISNUMBER(SEARCH(", "&amp;TEXT(P$24,"yyyy-mm")&amp;",",", "&amp;Transaksi!$F$2:$F$3000&amp;","))*(Transaksi!$C$2:$C$3000=$A37)*(Transaksi!$G$2:$G$3000&gt;0))&gt;0,"✓",IF(SUMPRODUCT(ISNUMBER(SEARCH(", "&amp;TEXT(P$24,"yyyy-mm")&amp;":",", "&amp;Transaksi!$F$2:$F$3000&amp;","))*(Transaksi!$C$2:$C$3000=$A37)*(Transaksi!$G$2:$G$3000&gt;0))&gt;0,"½",IF(P$24&gt;TODAY(),"·","✗"))))</f>
        <v/>
      </c>
      <c r="Q37" s="36">
        <f>IF(OR(Q$24&lt;Tetapan!$B17,AND(Tetapan!$C17&lt;&gt;"",Q$24&gt;Tetapan!$C17),Tetapan!$D17=0),"–",IF(SUMPRODUCT(ISNUMBER(SEARCH(", "&amp;TEXT(Q$24,"yyyy-mm")&amp;",",", "&amp;Transaksi!$F$2:$F$3000&amp;","))*(Transaksi!$C$2:$C$3000=$A37)*(Transaksi!$G$2:$G$3000&gt;0))&gt;0,"✓",IF(SUMPRODUCT(ISNUMBER(SEARCH(", "&amp;TEXT(Q$24,"yyyy-mm")&amp;":",", "&amp;Transaksi!$F$2:$F$3000&amp;","))*(Transaksi!$C$2:$C$3000=$A37)*(Transaksi!$G$2:$G$3000&gt;0))&gt;0,"½",IF(Q$24&gt;TODAY(),"·","✗"))))</f>
        <v/>
      </c>
      <c r="R37" s="36">
        <f>IF(OR(R$24&lt;Tetapan!$B17,AND(Tetapan!$C17&lt;&gt;"",R$24&gt;Tetapan!$C17),Tetapan!$D17=0),"–",IF(SUMPRODUCT(ISNUMBER(SEARCH(", "&amp;TEXT(R$24,"yyyy-mm")&amp;",",", "&amp;Transaksi!$F$2:$F$3000&amp;","))*(Transaksi!$C$2:$C$3000=$A37)*(Transaksi!$G$2:$G$3000&gt;0))&gt;0,"✓",IF(SUMPRODUCT(ISNUMBER(SEARCH(", "&amp;TEXT(R$24,"yyyy-mm")&amp;":",", "&amp;Transaksi!$F$2:$F$3000&amp;","))*(Transaksi!$C$2:$C$3000=$A37)*(Transaksi!$G$2:$G$3000&gt;0))&gt;0,"½",IF(R$24&gt;TODAY(),"·","✗"))))</f>
        <v/>
      </c>
      <c r="S37" s="36">
        <f>IF(OR(S$24&lt;Tetapan!$B17,AND(Tetapan!$C17&lt;&gt;"",S$24&gt;Tetapan!$C17),Tetapan!$D17=0),"–",IF(SUMPRODUCT(ISNUMBER(SEARCH(", "&amp;TEXT(S$24,"yyyy-mm")&amp;",",", "&amp;Transaksi!$F$2:$F$3000&amp;","))*(Transaksi!$C$2:$C$3000=$A37)*(Transaksi!$G$2:$G$3000&gt;0))&gt;0,"✓",IF(SUMPRODUCT(ISNUMBER(SEARCH(", "&amp;TEXT(S$24,"yyyy-mm")&amp;":",", "&amp;Transaksi!$F$2:$F$3000&amp;","))*(Transaksi!$C$2:$C$3000=$A37)*(Transaksi!$G$2:$G$3000&gt;0))&gt;0,"½",IF(S$24&gt;TODAY(),"·","✗"))))</f>
        <v/>
      </c>
      <c r="T37" s="36">
        <f>IF(OR(T$24&lt;Tetapan!$B17,AND(Tetapan!$C17&lt;&gt;"",T$24&gt;Tetapan!$C17),Tetapan!$D17=0),"–",IF(SUMPRODUCT(ISNUMBER(SEARCH(", "&amp;TEXT(T$24,"yyyy-mm")&amp;",",", "&amp;Transaksi!$F$2:$F$3000&amp;","))*(Transaksi!$C$2:$C$3000=$A37)*(Transaksi!$G$2:$G$3000&gt;0))&gt;0,"✓",IF(SUMPRODUCT(ISNUMBER(SEARCH(", "&amp;TEXT(T$24,"yyyy-mm")&amp;":",", "&amp;Transaksi!$F$2:$F$3000&amp;","))*(Transaksi!$C$2:$C$3000=$A37)*(Transaksi!$G$2:$G$3000&gt;0))&gt;0,"½",IF(T$24&gt;TODAY(),"·","✗"))))</f>
        <v/>
      </c>
      <c r="V37" s="37">
        <f>IF(B37="✗",TEXT(B$24,"mmm yy")&amp;", ",IF(B37="½",TEXT(B$24,"mmm yy")&amp;" (separa), ",""))&amp;IF(C37="✗",TEXT(C$24,"mmm yy")&amp;", ",IF(C37="½",TEXT(C$24,"mmm yy")&amp;" (separa), ",""))&amp;IF(D37="✗",TEXT(D$24,"mmm yy")&amp;", ",IF(D37="½",TEXT(D$24,"mmm yy")&amp;" (separa), ",""))&amp;IF(E37="✗",TEXT(E$24,"mmm yy")&amp;", ",IF(E37="½",TEXT(E$24,"mmm yy")&amp;" (separa), ",""))&amp;IF(F37="✗",TEXT(F$24,"mmm yy")&amp;", ",IF(F37="½",TEXT(F$24,"mmm yy")&amp;" (separa), ",""))&amp;IF(G37="✗",TEXT(G$24,"mmm yy")&amp;", ",IF(G37="½",TEXT(G$24,"mmm yy")&amp;" (separa), ",""))&amp;IF(H37="✗",TEXT(H$24,"mmm yy")&amp;", ",IF(H37="½",TEXT(H$24,"mmm yy")&amp;" (separa), ",""))&amp;IF(I37="✗",TEXT(I$24,"mmm yy")&amp;", ",IF(I37="½",TEXT(I$24,"mmm yy")&amp;" (separa), ",""))&amp;IF(J37="✗",TEXT(J$24,"mmm yy")&amp;", ",IF(J37="½",TEXT(J$24,"mmm yy")&amp;" (separa), ",""))&amp;IF(K37="✗",TEXT(K$24,"mmm yy")&amp;", ",IF(K37="½",TEXT(K$24,"mmm yy")&amp;" (separa), ",""))&amp;IF(L37="✗",TEXT(L$24,"mmm yy")&amp;", ",IF(L37="½",TEXT(L$24,"mmm yy")&amp;" (separa), ",""))&amp;IF(M37="✗",TEXT(M$24,"mmm yy")&amp;", ",IF(M37="½",TEXT(M$24,"mmm yy")&amp;" (separa), ",""))&amp;IF(N37="✗",TEXT(N$24,"mmm yy")&amp;", ",IF(N37="½",TEXT(N$24,"mmm yy")&amp;" (separa), ",""))&amp;IF(O37="✗",TEXT(O$24,"mmm yy")&amp;", ",IF(O37="½",TEXT(O$24,"mmm yy")&amp;" (separa), ",""))&amp;IF(P37="✗",TEXT(P$24,"mmm yy")&amp;", ",IF(P37="½",TEXT(P$24,"mmm yy")&amp;" (separa), ",""))&amp;IF(Q37="✗",TEXT(Q$24,"mmm yy")&amp;", ",IF(Q37="½",TEXT(Q$24,"mmm yy")&amp;" (separa), ",""))&amp;IF(R37="✗",TEXT(R$24,"mmm yy")&amp;", ",IF(R37="½",TEXT(R$24,"mmm yy")&amp;" (separa), ",""))&amp;IF(S37="✗",TEXT(S$24,"mmm yy")&amp;", ",IF(S37="½",TEXT(S$24,"mmm yy")&amp;" (separa), ",""))&amp;IF(T37="✗",TEXT(T$24,"mmm yy")&amp;", ",IF(T37="½",TEXT(T$24,"mmm yy")&amp;" (separa), ",""))</f>
        <v/>
      </c>
    </row>
    <row r="38">
      <c r="A38" s="32">
        <f>Tetapan!A18</f>
        <v/>
      </c>
      <c r="B38" s="36">
        <f>IF(OR(B$24&lt;Tetapan!$B18,AND(Tetapan!$C18&lt;&gt;"",B$24&gt;Tetapan!$C18),Tetapan!$D18=0),"–",IF(SUMPRODUCT(ISNUMBER(SEARCH(", "&amp;TEXT(B$24,"yyyy-mm")&amp;",",", "&amp;Transaksi!$F$2:$F$3000&amp;","))*(Transaksi!$C$2:$C$3000=$A38)*(Transaksi!$G$2:$G$3000&gt;0))&gt;0,"✓",IF(SUMPRODUCT(ISNUMBER(SEARCH(", "&amp;TEXT(B$24,"yyyy-mm")&amp;":",", "&amp;Transaksi!$F$2:$F$3000&amp;","))*(Transaksi!$C$2:$C$3000=$A38)*(Transaksi!$G$2:$G$3000&gt;0))&gt;0,"½",IF(B$24&gt;TODAY(),"·","✗"))))</f>
        <v/>
      </c>
      <c r="C38" s="36">
        <f>IF(OR(C$24&lt;Tetapan!$B18,AND(Tetapan!$C18&lt;&gt;"",C$24&gt;Tetapan!$C18),Tetapan!$D18=0),"–",IF(SUMPRODUCT(ISNUMBER(SEARCH(", "&amp;TEXT(C$24,"yyyy-mm")&amp;",",", "&amp;Transaksi!$F$2:$F$3000&amp;","))*(Transaksi!$C$2:$C$3000=$A38)*(Transaksi!$G$2:$G$3000&gt;0))&gt;0,"✓",IF(SUMPRODUCT(ISNUMBER(SEARCH(", "&amp;TEXT(C$24,"yyyy-mm")&amp;":",", "&amp;Transaksi!$F$2:$F$3000&amp;","))*(Transaksi!$C$2:$C$3000=$A38)*(Transaksi!$G$2:$G$3000&gt;0))&gt;0,"½",IF(C$24&gt;TODAY(),"·","✗"))))</f>
        <v/>
      </c>
      <c r="D38" s="36">
        <f>IF(OR(D$24&lt;Tetapan!$B18,AND(Tetapan!$C18&lt;&gt;"",D$24&gt;Tetapan!$C18),Tetapan!$D18=0),"–",IF(SUMPRODUCT(ISNUMBER(SEARCH(", "&amp;TEXT(D$24,"yyyy-mm")&amp;",",", "&amp;Transaksi!$F$2:$F$3000&amp;","))*(Transaksi!$C$2:$C$3000=$A38)*(Transaksi!$G$2:$G$3000&gt;0))&gt;0,"✓",IF(SUMPRODUCT(ISNUMBER(SEARCH(", "&amp;TEXT(D$24,"yyyy-mm")&amp;":",", "&amp;Transaksi!$F$2:$F$3000&amp;","))*(Transaksi!$C$2:$C$3000=$A38)*(Transaksi!$G$2:$G$3000&gt;0))&gt;0,"½",IF(D$24&gt;TODAY(),"·","✗"))))</f>
        <v/>
      </c>
      <c r="E38" s="36">
        <f>IF(OR(E$24&lt;Tetapan!$B18,AND(Tetapan!$C18&lt;&gt;"",E$24&gt;Tetapan!$C18),Tetapan!$D18=0),"–",IF(SUMPRODUCT(ISNUMBER(SEARCH(", "&amp;TEXT(E$24,"yyyy-mm")&amp;",",", "&amp;Transaksi!$F$2:$F$3000&amp;","))*(Transaksi!$C$2:$C$3000=$A38)*(Transaksi!$G$2:$G$3000&gt;0))&gt;0,"✓",IF(SUMPRODUCT(ISNUMBER(SEARCH(", "&amp;TEXT(E$24,"yyyy-mm")&amp;":",", "&amp;Transaksi!$F$2:$F$3000&amp;","))*(Transaksi!$C$2:$C$3000=$A38)*(Transaksi!$G$2:$G$3000&gt;0))&gt;0,"½",IF(E$24&gt;TODAY(),"·","✗"))))</f>
        <v/>
      </c>
      <c r="F38" s="36">
        <f>IF(OR(F$24&lt;Tetapan!$B18,AND(Tetapan!$C18&lt;&gt;"",F$24&gt;Tetapan!$C18),Tetapan!$D18=0),"–",IF(SUMPRODUCT(ISNUMBER(SEARCH(", "&amp;TEXT(F$24,"yyyy-mm")&amp;",",", "&amp;Transaksi!$F$2:$F$3000&amp;","))*(Transaksi!$C$2:$C$3000=$A38)*(Transaksi!$G$2:$G$3000&gt;0))&gt;0,"✓",IF(SUMPRODUCT(ISNUMBER(SEARCH(", "&amp;TEXT(F$24,"yyyy-mm")&amp;":",", "&amp;Transaksi!$F$2:$F$3000&amp;","))*(Transaksi!$C$2:$C$3000=$A38)*(Transaksi!$G$2:$G$3000&gt;0))&gt;0,"½",IF(F$24&gt;TODAY(),"·","✗"))))</f>
        <v/>
      </c>
      <c r="G38" s="36">
        <f>IF(OR(G$24&lt;Tetapan!$B18,AND(Tetapan!$C18&lt;&gt;"",G$24&gt;Tetapan!$C18),Tetapan!$D18=0),"–",IF(SUMPRODUCT(ISNUMBER(SEARCH(", "&amp;TEXT(G$24,"yyyy-mm")&amp;",",", "&amp;Transaksi!$F$2:$F$3000&amp;","))*(Transaksi!$C$2:$C$3000=$A38)*(Transaksi!$G$2:$G$3000&gt;0))&gt;0,"✓",IF(SUMPRODUCT(ISNUMBER(SEARCH(", "&amp;TEXT(G$24,"yyyy-mm")&amp;":",", "&amp;Transaksi!$F$2:$F$3000&amp;","))*(Transaksi!$C$2:$C$3000=$A38)*(Transaksi!$G$2:$G$3000&gt;0))&gt;0,"½",IF(G$24&gt;TODAY(),"·","✗"))))</f>
        <v/>
      </c>
      <c r="H38" s="36">
        <f>IF(OR(H$24&lt;Tetapan!$B18,AND(Tetapan!$C18&lt;&gt;"",H$24&gt;Tetapan!$C18),Tetapan!$D18=0),"–",IF(SUMPRODUCT(ISNUMBER(SEARCH(", "&amp;TEXT(H$24,"yyyy-mm")&amp;",",", "&amp;Transaksi!$F$2:$F$3000&amp;","))*(Transaksi!$C$2:$C$3000=$A38)*(Transaksi!$G$2:$G$3000&gt;0))&gt;0,"✓",IF(SUMPRODUCT(ISNUMBER(SEARCH(", "&amp;TEXT(H$24,"yyyy-mm")&amp;":",", "&amp;Transaksi!$F$2:$F$3000&amp;","))*(Transaksi!$C$2:$C$3000=$A38)*(Transaksi!$G$2:$G$3000&gt;0))&gt;0,"½",IF(H$24&gt;TODAY(),"·","✗"))))</f>
        <v/>
      </c>
      <c r="I38" s="36">
        <f>IF(OR(I$24&lt;Tetapan!$B18,AND(Tetapan!$C18&lt;&gt;"",I$24&gt;Tetapan!$C18),Tetapan!$D18=0),"–",IF(SUMPRODUCT(ISNUMBER(SEARCH(", "&amp;TEXT(I$24,"yyyy-mm")&amp;",",", "&amp;Transaksi!$F$2:$F$3000&amp;","))*(Transaksi!$C$2:$C$3000=$A38)*(Transaksi!$G$2:$G$3000&gt;0))&gt;0,"✓",IF(SUMPRODUCT(ISNUMBER(SEARCH(", "&amp;TEXT(I$24,"yyyy-mm")&amp;":",", "&amp;Transaksi!$F$2:$F$3000&amp;","))*(Transaksi!$C$2:$C$3000=$A38)*(Transaksi!$G$2:$G$3000&gt;0))&gt;0,"½",IF(I$24&gt;TODAY(),"·","✗"))))</f>
        <v/>
      </c>
      <c r="J38" s="36">
        <f>IF(OR(J$24&lt;Tetapan!$B18,AND(Tetapan!$C18&lt;&gt;"",J$24&gt;Tetapan!$C18),Tetapan!$D18=0),"–",IF(SUMPRODUCT(ISNUMBER(SEARCH(", "&amp;TEXT(J$24,"yyyy-mm")&amp;",",", "&amp;Transaksi!$F$2:$F$3000&amp;","))*(Transaksi!$C$2:$C$3000=$A38)*(Transaksi!$G$2:$G$3000&gt;0))&gt;0,"✓",IF(SUMPRODUCT(ISNUMBER(SEARCH(", "&amp;TEXT(J$24,"yyyy-mm")&amp;":",", "&amp;Transaksi!$F$2:$F$3000&amp;","))*(Transaksi!$C$2:$C$3000=$A38)*(Transaksi!$G$2:$G$3000&gt;0))&gt;0,"½",IF(J$24&gt;TODAY(),"·","✗"))))</f>
        <v/>
      </c>
      <c r="K38" s="36">
        <f>IF(OR(K$24&lt;Tetapan!$B18,AND(Tetapan!$C18&lt;&gt;"",K$24&gt;Tetapan!$C18),Tetapan!$D18=0),"–",IF(SUMPRODUCT(ISNUMBER(SEARCH(", "&amp;TEXT(K$24,"yyyy-mm")&amp;",",", "&amp;Transaksi!$F$2:$F$3000&amp;","))*(Transaksi!$C$2:$C$3000=$A38)*(Transaksi!$G$2:$G$3000&gt;0))&gt;0,"✓",IF(SUMPRODUCT(ISNUMBER(SEARCH(", "&amp;TEXT(K$24,"yyyy-mm")&amp;":",", "&amp;Transaksi!$F$2:$F$3000&amp;","))*(Transaksi!$C$2:$C$3000=$A38)*(Transaksi!$G$2:$G$3000&gt;0))&gt;0,"½",IF(K$24&gt;TODAY(),"·","✗"))))</f>
        <v/>
      </c>
      <c r="L38" s="36">
        <f>IF(OR(L$24&lt;Tetapan!$B18,AND(Tetapan!$C18&lt;&gt;"",L$24&gt;Tetapan!$C18),Tetapan!$D18=0),"–",IF(SUMPRODUCT(ISNUMBER(SEARCH(", "&amp;TEXT(L$24,"yyyy-mm")&amp;",",", "&amp;Transaksi!$F$2:$F$3000&amp;","))*(Transaksi!$C$2:$C$3000=$A38)*(Transaksi!$G$2:$G$3000&gt;0))&gt;0,"✓",IF(SUMPRODUCT(ISNUMBER(SEARCH(", "&amp;TEXT(L$24,"yyyy-mm")&amp;":",", "&amp;Transaksi!$F$2:$F$3000&amp;","))*(Transaksi!$C$2:$C$3000=$A38)*(Transaksi!$G$2:$G$3000&gt;0))&gt;0,"½",IF(L$24&gt;TODAY(),"·","✗"))))</f>
        <v/>
      </c>
      <c r="M38" s="36">
        <f>IF(OR(M$24&lt;Tetapan!$B18,AND(Tetapan!$C18&lt;&gt;"",M$24&gt;Tetapan!$C18),Tetapan!$D18=0),"–",IF(SUMPRODUCT(ISNUMBER(SEARCH(", "&amp;TEXT(M$24,"yyyy-mm")&amp;",",", "&amp;Transaksi!$F$2:$F$3000&amp;","))*(Transaksi!$C$2:$C$3000=$A38)*(Transaksi!$G$2:$G$3000&gt;0))&gt;0,"✓",IF(SUMPRODUCT(ISNUMBER(SEARCH(", "&amp;TEXT(M$24,"yyyy-mm")&amp;":",", "&amp;Transaksi!$F$2:$F$3000&amp;","))*(Transaksi!$C$2:$C$3000=$A38)*(Transaksi!$G$2:$G$3000&gt;0))&gt;0,"½",IF(M$24&gt;TODAY(),"·","✗"))))</f>
        <v/>
      </c>
      <c r="N38" s="36">
        <f>IF(OR(N$24&lt;Tetapan!$B18,AND(Tetapan!$C18&lt;&gt;"",N$24&gt;Tetapan!$C18),Tetapan!$D18=0),"–",IF(SUMPRODUCT(ISNUMBER(SEARCH(", "&amp;TEXT(N$24,"yyyy-mm")&amp;",",", "&amp;Transaksi!$F$2:$F$3000&amp;","))*(Transaksi!$C$2:$C$3000=$A38)*(Transaksi!$G$2:$G$3000&gt;0))&gt;0,"✓",IF(SUMPRODUCT(ISNUMBER(SEARCH(", "&amp;TEXT(N$24,"yyyy-mm")&amp;":",", "&amp;Transaksi!$F$2:$F$3000&amp;","))*(Transaksi!$C$2:$C$3000=$A38)*(Transaksi!$G$2:$G$3000&gt;0))&gt;0,"½",IF(N$24&gt;TODAY(),"·","✗"))))</f>
        <v/>
      </c>
      <c r="O38" s="36">
        <f>IF(OR(O$24&lt;Tetapan!$B18,AND(Tetapan!$C18&lt;&gt;"",O$24&gt;Tetapan!$C18),Tetapan!$D18=0),"–",IF(SUMPRODUCT(ISNUMBER(SEARCH(", "&amp;TEXT(O$24,"yyyy-mm")&amp;",",", "&amp;Transaksi!$F$2:$F$3000&amp;","))*(Transaksi!$C$2:$C$3000=$A38)*(Transaksi!$G$2:$G$3000&gt;0))&gt;0,"✓",IF(SUMPRODUCT(ISNUMBER(SEARCH(", "&amp;TEXT(O$24,"yyyy-mm")&amp;":",", "&amp;Transaksi!$F$2:$F$3000&amp;","))*(Transaksi!$C$2:$C$3000=$A38)*(Transaksi!$G$2:$G$3000&gt;0))&gt;0,"½",IF(O$24&gt;TODAY(),"·","✗"))))</f>
        <v/>
      </c>
      <c r="P38" s="36">
        <f>IF(OR(P$24&lt;Tetapan!$B18,AND(Tetapan!$C18&lt;&gt;"",P$24&gt;Tetapan!$C18),Tetapan!$D18=0),"–",IF(SUMPRODUCT(ISNUMBER(SEARCH(", "&amp;TEXT(P$24,"yyyy-mm")&amp;",",", "&amp;Transaksi!$F$2:$F$3000&amp;","))*(Transaksi!$C$2:$C$3000=$A38)*(Transaksi!$G$2:$G$3000&gt;0))&gt;0,"✓",IF(SUMPRODUCT(ISNUMBER(SEARCH(", "&amp;TEXT(P$24,"yyyy-mm")&amp;":",", "&amp;Transaksi!$F$2:$F$3000&amp;","))*(Transaksi!$C$2:$C$3000=$A38)*(Transaksi!$G$2:$G$3000&gt;0))&gt;0,"½",IF(P$24&gt;TODAY(),"·","✗"))))</f>
        <v/>
      </c>
      <c r="Q38" s="36">
        <f>IF(OR(Q$24&lt;Tetapan!$B18,AND(Tetapan!$C18&lt;&gt;"",Q$24&gt;Tetapan!$C18),Tetapan!$D18=0),"–",IF(SUMPRODUCT(ISNUMBER(SEARCH(", "&amp;TEXT(Q$24,"yyyy-mm")&amp;",",", "&amp;Transaksi!$F$2:$F$3000&amp;","))*(Transaksi!$C$2:$C$3000=$A38)*(Transaksi!$G$2:$G$3000&gt;0))&gt;0,"✓",IF(SUMPRODUCT(ISNUMBER(SEARCH(", "&amp;TEXT(Q$24,"yyyy-mm")&amp;":",", "&amp;Transaksi!$F$2:$F$3000&amp;","))*(Transaksi!$C$2:$C$3000=$A38)*(Transaksi!$G$2:$G$3000&gt;0))&gt;0,"½",IF(Q$24&gt;TODAY(),"·","✗"))))</f>
        <v/>
      </c>
      <c r="R38" s="36">
        <f>IF(OR(R$24&lt;Tetapan!$B18,AND(Tetapan!$C18&lt;&gt;"",R$24&gt;Tetapan!$C18),Tetapan!$D18=0),"–",IF(SUMPRODUCT(ISNUMBER(SEARCH(", "&amp;TEXT(R$24,"yyyy-mm")&amp;",",", "&amp;Transaksi!$F$2:$F$3000&amp;","))*(Transaksi!$C$2:$C$3000=$A38)*(Transaksi!$G$2:$G$3000&gt;0))&gt;0,"✓",IF(SUMPRODUCT(ISNUMBER(SEARCH(", "&amp;TEXT(R$24,"yyyy-mm")&amp;":",", "&amp;Transaksi!$F$2:$F$3000&amp;","))*(Transaksi!$C$2:$C$3000=$A38)*(Transaksi!$G$2:$G$3000&gt;0))&gt;0,"½",IF(R$24&gt;TODAY(),"·","✗"))))</f>
        <v/>
      </c>
      <c r="S38" s="36">
        <f>IF(OR(S$24&lt;Tetapan!$B18,AND(Tetapan!$C18&lt;&gt;"",S$24&gt;Tetapan!$C18),Tetapan!$D18=0),"–",IF(SUMPRODUCT(ISNUMBER(SEARCH(", "&amp;TEXT(S$24,"yyyy-mm")&amp;",",", "&amp;Transaksi!$F$2:$F$3000&amp;","))*(Transaksi!$C$2:$C$3000=$A38)*(Transaksi!$G$2:$G$3000&gt;0))&gt;0,"✓",IF(SUMPRODUCT(ISNUMBER(SEARCH(", "&amp;TEXT(S$24,"yyyy-mm")&amp;":",", "&amp;Transaksi!$F$2:$F$3000&amp;","))*(Transaksi!$C$2:$C$3000=$A38)*(Transaksi!$G$2:$G$3000&gt;0))&gt;0,"½",IF(S$24&gt;TODAY(),"·","✗"))))</f>
        <v/>
      </c>
      <c r="T38" s="36">
        <f>IF(OR(T$24&lt;Tetapan!$B18,AND(Tetapan!$C18&lt;&gt;"",T$24&gt;Tetapan!$C18),Tetapan!$D18=0),"–",IF(SUMPRODUCT(ISNUMBER(SEARCH(", "&amp;TEXT(T$24,"yyyy-mm")&amp;",",", "&amp;Transaksi!$F$2:$F$3000&amp;","))*(Transaksi!$C$2:$C$3000=$A38)*(Transaksi!$G$2:$G$3000&gt;0))&gt;0,"✓",IF(SUMPRODUCT(ISNUMBER(SEARCH(", "&amp;TEXT(T$24,"yyyy-mm")&amp;":",", "&amp;Transaksi!$F$2:$F$3000&amp;","))*(Transaksi!$C$2:$C$3000=$A38)*(Transaksi!$G$2:$G$3000&gt;0))&gt;0,"½",IF(T$24&gt;TODAY(),"·","✗"))))</f>
        <v/>
      </c>
      <c r="V38" s="37">
        <f>IF(B38="✗",TEXT(B$24,"mmm yy")&amp;", ",IF(B38="½",TEXT(B$24,"mmm yy")&amp;" (separa), ",""))&amp;IF(C38="✗",TEXT(C$24,"mmm yy")&amp;", ",IF(C38="½",TEXT(C$24,"mmm yy")&amp;" (separa), ",""))&amp;IF(D38="✗",TEXT(D$24,"mmm yy")&amp;", ",IF(D38="½",TEXT(D$24,"mmm yy")&amp;" (separa), ",""))&amp;IF(E38="✗",TEXT(E$24,"mmm yy")&amp;", ",IF(E38="½",TEXT(E$24,"mmm yy")&amp;" (separa), ",""))&amp;IF(F38="✗",TEXT(F$24,"mmm yy")&amp;", ",IF(F38="½",TEXT(F$24,"mmm yy")&amp;" (separa), ",""))&amp;IF(G38="✗",TEXT(G$24,"mmm yy")&amp;", ",IF(G38="½",TEXT(G$24,"mmm yy")&amp;" (separa), ",""))&amp;IF(H38="✗",TEXT(H$24,"mmm yy")&amp;", ",IF(H38="½",TEXT(H$24,"mmm yy")&amp;" (separa), ",""))&amp;IF(I38="✗",TEXT(I$24,"mmm yy")&amp;", ",IF(I38="½",TEXT(I$24,"mmm yy")&amp;" (separa), ",""))&amp;IF(J38="✗",TEXT(J$24,"mmm yy")&amp;", ",IF(J38="½",TEXT(J$24,"mmm yy")&amp;" (separa), ",""))&amp;IF(K38="✗",TEXT(K$24,"mmm yy")&amp;", ",IF(K38="½",TEXT(K$24,"mmm yy")&amp;" (separa), ",""))&amp;IF(L38="✗",TEXT(L$24,"mmm yy")&amp;", ",IF(L38="½",TEXT(L$24,"mmm yy")&amp;" (separa), ",""))&amp;IF(M38="✗",TEXT(M$24,"mmm yy")&amp;", ",IF(M38="½",TEXT(M$24,"mmm yy")&amp;" (separa), ",""))&amp;IF(N38="✗",TEXT(N$24,"mmm yy")&amp;", ",IF(N38="½",TEXT(N$24,"mmm yy")&amp;" (separa), ",""))&amp;IF(O38="✗",TEXT(O$24,"mmm yy")&amp;", ",IF(O38="½",TEXT(O$24,"mmm yy")&amp;" (separa), ",""))&amp;IF(P38="✗",TEXT(P$24,"mmm yy")&amp;", ",IF(P38="½",TEXT(P$24,"mmm yy")&amp;" (separa), ",""))&amp;IF(Q38="✗",TEXT(Q$24,"mmm yy")&amp;", ",IF(Q38="½",TEXT(Q$24,"mmm yy")&amp;" (separa), ",""))&amp;IF(R38="✗",TEXT(R$24,"mmm yy")&amp;", ",IF(R38="½",TEXT(R$24,"mmm yy")&amp;" (separa), ",""))&amp;IF(S38="✗",TEXT(S$24,"mmm yy")&amp;", ",IF(S38="½",TEXT(S$24,"mmm yy")&amp;" (separa), ",""))&amp;IF(T38="✗",TEXT(T$24,"mmm yy")&amp;", ",IF(T38="½",TEXT(T$24,"mmm yy")&amp;" (separa), ",""))</f>
        <v/>
      </c>
    </row>
    <row r="39">
      <c r="A39" s="32">
        <f>Tetapan!A19</f>
        <v/>
      </c>
      <c r="B39" s="36">
        <f>IF(OR(B$24&lt;Tetapan!$B19,AND(Tetapan!$C19&lt;&gt;"",B$24&gt;Tetapan!$C19),Tetapan!$D19=0),"–",IF(SUMPRODUCT(ISNUMBER(SEARCH(", "&amp;TEXT(B$24,"yyyy-mm")&amp;",",", "&amp;Transaksi!$F$2:$F$3000&amp;","))*(Transaksi!$C$2:$C$3000=$A39)*(Transaksi!$G$2:$G$3000&gt;0))&gt;0,"✓",IF(SUMPRODUCT(ISNUMBER(SEARCH(", "&amp;TEXT(B$24,"yyyy-mm")&amp;":",", "&amp;Transaksi!$F$2:$F$3000&amp;","))*(Transaksi!$C$2:$C$3000=$A39)*(Transaksi!$G$2:$G$3000&gt;0))&gt;0,"½",IF(B$24&gt;TODAY(),"·","✗"))))</f>
        <v/>
      </c>
      <c r="C39" s="36">
        <f>IF(OR(C$24&lt;Tetapan!$B19,AND(Tetapan!$C19&lt;&gt;"",C$24&gt;Tetapan!$C19),Tetapan!$D19=0),"–",IF(SUMPRODUCT(ISNUMBER(SEARCH(", "&amp;TEXT(C$24,"yyyy-mm")&amp;",",", "&amp;Transaksi!$F$2:$F$3000&amp;","))*(Transaksi!$C$2:$C$3000=$A39)*(Transaksi!$G$2:$G$3000&gt;0))&gt;0,"✓",IF(SUMPRODUCT(ISNUMBER(SEARCH(", "&amp;TEXT(C$24,"yyyy-mm")&amp;":",", "&amp;Transaksi!$F$2:$F$3000&amp;","))*(Transaksi!$C$2:$C$3000=$A39)*(Transaksi!$G$2:$G$3000&gt;0))&gt;0,"½",IF(C$24&gt;TODAY(),"·","✗"))))</f>
        <v/>
      </c>
      <c r="D39" s="36">
        <f>IF(OR(D$24&lt;Tetapan!$B19,AND(Tetapan!$C19&lt;&gt;"",D$24&gt;Tetapan!$C19),Tetapan!$D19=0),"–",IF(SUMPRODUCT(ISNUMBER(SEARCH(", "&amp;TEXT(D$24,"yyyy-mm")&amp;",",", "&amp;Transaksi!$F$2:$F$3000&amp;","))*(Transaksi!$C$2:$C$3000=$A39)*(Transaksi!$G$2:$G$3000&gt;0))&gt;0,"✓",IF(SUMPRODUCT(ISNUMBER(SEARCH(", "&amp;TEXT(D$24,"yyyy-mm")&amp;":",", "&amp;Transaksi!$F$2:$F$3000&amp;","))*(Transaksi!$C$2:$C$3000=$A39)*(Transaksi!$G$2:$G$3000&gt;0))&gt;0,"½",IF(D$24&gt;TODAY(),"·","✗"))))</f>
        <v/>
      </c>
      <c r="E39" s="36">
        <f>IF(OR(E$24&lt;Tetapan!$B19,AND(Tetapan!$C19&lt;&gt;"",E$24&gt;Tetapan!$C19),Tetapan!$D19=0),"–",IF(SUMPRODUCT(ISNUMBER(SEARCH(", "&amp;TEXT(E$24,"yyyy-mm")&amp;",",", "&amp;Transaksi!$F$2:$F$3000&amp;","))*(Transaksi!$C$2:$C$3000=$A39)*(Transaksi!$G$2:$G$3000&gt;0))&gt;0,"✓",IF(SUMPRODUCT(ISNUMBER(SEARCH(", "&amp;TEXT(E$24,"yyyy-mm")&amp;":",", "&amp;Transaksi!$F$2:$F$3000&amp;","))*(Transaksi!$C$2:$C$3000=$A39)*(Transaksi!$G$2:$G$3000&gt;0))&gt;0,"½",IF(E$24&gt;TODAY(),"·","✗"))))</f>
        <v/>
      </c>
      <c r="F39" s="36">
        <f>IF(OR(F$24&lt;Tetapan!$B19,AND(Tetapan!$C19&lt;&gt;"",F$24&gt;Tetapan!$C19),Tetapan!$D19=0),"–",IF(SUMPRODUCT(ISNUMBER(SEARCH(", "&amp;TEXT(F$24,"yyyy-mm")&amp;",",", "&amp;Transaksi!$F$2:$F$3000&amp;","))*(Transaksi!$C$2:$C$3000=$A39)*(Transaksi!$G$2:$G$3000&gt;0))&gt;0,"✓",IF(SUMPRODUCT(ISNUMBER(SEARCH(", "&amp;TEXT(F$24,"yyyy-mm")&amp;":",", "&amp;Transaksi!$F$2:$F$3000&amp;","))*(Transaksi!$C$2:$C$3000=$A39)*(Transaksi!$G$2:$G$3000&gt;0))&gt;0,"½",IF(F$24&gt;TODAY(),"·","✗"))))</f>
        <v/>
      </c>
      <c r="G39" s="36">
        <f>IF(OR(G$24&lt;Tetapan!$B19,AND(Tetapan!$C19&lt;&gt;"",G$24&gt;Tetapan!$C19),Tetapan!$D19=0),"–",IF(SUMPRODUCT(ISNUMBER(SEARCH(", "&amp;TEXT(G$24,"yyyy-mm")&amp;",",", "&amp;Transaksi!$F$2:$F$3000&amp;","))*(Transaksi!$C$2:$C$3000=$A39)*(Transaksi!$G$2:$G$3000&gt;0))&gt;0,"✓",IF(SUMPRODUCT(ISNUMBER(SEARCH(", "&amp;TEXT(G$24,"yyyy-mm")&amp;":",", "&amp;Transaksi!$F$2:$F$3000&amp;","))*(Transaksi!$C$2:$C$3000=$A39)*(Transaksi!$G$2:$G$3000&gt;0))&gt;0,"½",IF(G$24&gt;TODAY(),"·","✗"))))</f>
        <v/>
      </c>
      <c r="H39" s="36">
        <f>IF(OR(H$24&lt;Tetapan!$B19,AND(Tetapan!$C19&lt;&gt;"",H$24&gt;Tetapan!$C19),Tetapan!$D19=0),"–",IF(SUMPRODUCT(ISNUMBER(SEARCH(", "&amp;TEXT(H$24,"yyyy-mm")&amp;",",", "&amp;Transaksi!$F$2:$F$3000&amp;","))*(Transaksi!$C$2:$C$3000=$A39)*(Transaksi!$G$2:$G$3000&gt;0))&gt;0,"✓",IF(SUMPRODUCT(ISNUMBER(SEARCH(", "&amp;TEXT(H$24,"yyyy-mm")&amp;":",", "&amp;Transaksi!$F$2:$F$3000&amp;","))*(Transaksi!$C$2:$C$3000=$A39)*(Transaksi!$G$2:$G$3000&gt;0))&gt;0,"½",IF(H$24&gt;TODAY(),"·","✗"))))</f>
        <v/>
      </c>
      <c r="I39" s="36">
        <f>IF(OR(I$24&lt;Tetapan!$B19,AND(Tetapan!$C19&lt;&gt;"",I$24&gt;Tetapan!$C19),Tetapan!$D19=0),"–",IF(SUMPRODUCT(ISNUMBER(SEARCH(", "&amp;TEXT(I$24,"yyyy-mm")&amp;",",", "&amp;Transaksi!$F$2:$F$3000&amp;","))*(Transaksi!$C$2:$C$3000=$A39)*(Transaksi!$G$2:$G$3000&gt;0))&gt;0,"✓",IF(SUMPRODUCT(ISNUMBER(SEARCH(", "&amp;TEXT(I$24,"yyyy-mm")&amp;":",", "&amp;Transaksi!$F$2:$F$3000&amp;","))*(Transaksi!$C$2:$C$3000=$A39)*(Transaksi!$G$2:$G$3000&gt;0))&gt;0,"½",IF(I$24&gt;TODAY(),"·","✗"))))</f>
        <v/>
      </c>
      <c r="J39" s="36">
        <f>IF(OR(J$24&lt;Tetapan!$B19,AND(Tetapan!$C19&lt;&gt;"",J$24&gt;Tetapan!$C19),Tetapan!$D19=0),"–",IF(SUMPRODUCT(ISNUMBER(SEARCH(", "&amp;TEXT(J$24,"yyyy-mm")&amp;",",", "&amp;Transaksi!$F$2:$F$3000&amp;","))*(Transaksi!$C$2:$C$3000=$A39)*(Transaksi!$G$2:$G$3000&gt;0))&gt;0,"✓",IF(SUMPRODUCT(ISNUMBER(SEARCH(", "&amp;TEXT(J$24,"yyyy-mm")&amp;":",", "&amp;Transaksi!$F$2:$F$3000&amp;","))*(Transaksi!$C$2:$C$3000=$A39)*(Transaksi!$G$2:$G$3000&gt;0))&gt;0,"½",IF(J$24&gt;TODAY(),"·","✗"))))</f>
        <v/>
      </c>
      <c r="K39" s="36">
        <f>IF(OR(K$24&lt;Tetapan!$B19,AND(Tetapan!$C19&lt;&gt;"",K$24&gt;Tetapan!$C19),Tetapan!$D19=0),"–",IF(SUMPRODUCT(ISNUMBER(SEARCH(", "&amp;TEXT(K$24,"yyyy-mm")&amp;",",", "&amp;Transaksi!$F$2:$F$3000&amp;","))*(Transaksi!$C$2:$C$3000=$A39)*(Transaksi!$G$2:$G$3000&gt;0))&gt;0,"✓",IF(SUMPRODUCT(ISNUMBER(SEARCH(", "&amp;TEXT(K$24,"yyyy-mm")&amp;":",", "&amp;Transaksi!$F$2:$F$3000&amp;","))*(Transaksi!$C$2:$C$3000=$A39)*(Transaksi!$G$2:$G$3000&gt;0))&gt;0,"½",IF(K$24&gt;TODAY(),"·","✗"))))</f>
        <v/>
      </c>
      <c r="L39" s="36">
        <f>IF(OR(L$24&lt;Tetapan!$B19,AND(Tetapan!$C19&lt;&gt;"",L$24&gt;Tetapan!$C19),Tetapan!$D19=0),"–",IF(SUMPRODUCT(ISNUMBER(SEARCH(", "&amp;TEXT(L$24,"yyyy-mm")&amp;",",", "&amp;Transaksi!$F$2:$F$3000&amp;","))*(Transaksi!$C$2:$C$3000=$A39)*(Transaksi!$G$2:$G$3000&gt;0))&gt;0,"✓",IF(SUMPRODUCT(ISNUMBER(SEARCH(", "&amp;TEXT(L$24,"yyyy-mm")&amp;":",", "&amp;Transaksi!$F$2:$F$3000&amp;","))*(Transaksi!$C$2:$C$3000=$A39)*(Transaksi!$G$2:$G$3000&gt;0))&gt;0,"½",IF(L$24&gt;TODAY(),"·","✗"))))</f>
        <v/>
      </c>
      <c r="M39" s="36">
        <f>IF(OR(M$24&lt;Tetapan!$B19,AND(Tetapan!$C19&lt;&gt;"",M$24&gt;Tetapan!$C19),Tetapan!$D19=0),"–",IF(SUMPRODUCT(ISNUMBER(SEARCH(", "&amp;TEXT(M$24,"yyyy-mm")&amp;",",", "&amp;Transaksi!$F$2:$F$3000&amp;","))*(Transaksi!$C$2:$C$3000=$A39)*(Transaksi!$G$2:$G$3000&gt;0))&gt;0,"✓",IF(SUMPRODUCT(ISNUMBER(SEARCH(", "&amp;TEXT(M$24,"yyyy-mm")&amp;":",", "&amp;Transaksi!$F$2:$F$3000&amp;","))*(Transaksi!$C$2:$C$3000=$A39)*(Transaksi!$G$2:$G$3000&gt;0))&gt;0,"½",IF(M$24&gt;TODAY(),"·","✗"))))</f>
        <v/>
      </c>
      <c r="N39" s="36">
        <f>IF(OR(N$24&lt;Tetapan!$B19,AND(Tetapan!$C19&lt;&gt;"",N$24&gt;Tetapan!$C19),Tetapan!$D19=0),"–",IF(SUMPRODUCT(ISNUMBER(SEARCH(", "&amp;TEXT(N$24,"yyyy-mm")&amp;",",", "&amp;Transaksi!$F$2:$F$3000&amp;","))*(Transaksi!$C$2:$C$3000=$A39)*(Transaksi!$G$2:$G$3000&gt;0))&gt;0,"✓",IF(SUMPRODUCT(ISNUMBER(SEARCH(", "&amp;TEXT(N$24,"yyyy-mm")&amp;":",", "&amp;Transaksi!$F$2:$F$3000&amp;","))*(Transaksi!$C$2:$C$3000=$A39)*(Transaksi!$G$2:$G$3000&gt;0))&gt;0,"½",IF(N$24&gt;TODAY(),"·","✗"))))</f>
        <v/>
      </c>
      <c r="O39" s="36">
        <f>IF(OR(O$24&lt;Tetapan!$B19,AND(Tetapan!$C19&lt;&gt;"",O$24&gt;Tetapan!$C19),Tetapan!$D19=0),"–",IF(SUMPRODUCT(ISNUMBER(SEARCH(", "&amp;TEXT(O$24,"yyyy-mm")&amp;",",", "&amp;Transaksi!$F$2:$F$3000&amp;","))*(Transaksi!$C$2:$C$3000=$A39)*(Transaksi!$G$2:$G$3000&gt;0))&gt;0,"✓",IF(SUMPRODUCT(ISNUMBER(SEARCH(", "&amp;TEXT(O$24,"yyyy-mm")&amp;":",", "&amp;Transaksi!$F$2:$F$3000&amp;","))*(Transaksi!$C$2:$C$3000=$A39)*(Transaksi!$G$2:$G$3000&gt;0))&gt;0,"½",IF(O$24&gt;TODAY(),"·","✗"))))</f>
        <v/>
      </c>
      <c r="P39" s="36">
        <f>IF(OR(P$24&lt;Tetapan!$B19,AND(Tetapan!$C19&lt;&gt;"",P$24&gt;Tetapan!$C19),Tetapan!$D19=0),"–",IF(SUMPRODUCT(ISNUMBER(SEARCH(", "&amp;TEXT(P$24,"yyyy-mm")&amp;",",", "&amp;Transaksi!$F$2:$F$3000&amp;","))*(Transaksi!$C$2:$C$3000=$A39)*(Transaksi!$G$2:$G$3000&gt;0))&gt;0,"✓",IF(SUMPRODUCT(ISNUMBER(SEARCH(", "&amp;TEXT(P$24,"yyyy-mm")&amp;":",", "&amp;Transaksi!$F$2:$F$3000&amp;","))*(Transaksi!$C$2:$C$3000=$A39)*(Transaksi!$G$2:$G$3000&gt;0))&gt;0,"½",IF(P$24&gt;TODAY(),"·","✗"))))</f>
        <v/>
      </c>
      <c r="Q39" s="36">
        <f>IF(OR(Q$24&lt;Tetapan!$B19,AND(Tetapan!$C19&lt;&gt;"",Q$24&gt;Tetapan!$C19),Tetapan!$D19=0),"–",IF(SUMPRODUCT(ISNUMBER(SEARCH(", "&amp;TEXT(Q$24,"yyyy-mm")&amp;",",", "&amp;Transaksi!$F$2:$F$3000&amp;","))*(Transaksi!$C$2:$C$3000=$A39)*(Transaksi!$G$2:$G$3000&gt;0))&gt;0,"✓",IF(SUMPRODUCT(ISNUMBER(SEARCH(", "&amp;TEXT(Q$24,"yyyy-mm")&amp;":",", "&amp;Transaksi!$F$2:$F$3000&amp;","))*(Transaksi!$C$2:$C$3000=$A39)*(Transaksi!$G$2:$G$3000&gt;0))&gt;0,"½",IF(Q$24&gt;TODAY(),"·","✗"))))</f>
        <v/>
      </c>
      <c r="R39" s="36">
        <f>IF(OR(R$24&lt;Tetapan!$B19,AND(Tetapan!$C19&lt;&gt;"",R$24&gt;Tetapan!$C19),Tetapan!$D19=0),"–",IF(SUMPRODUCT(ISNUMBER(SEARCH(", "&amp;TEXT(R$24,"yyyy-mm")&amp;",",", "&amp;Transaksi!$F$2:$F$3000&amp;","))*(Transaksi!$C$2:$C$3000=$A39)*(Transaksi!$G$2:$G$3000&gt;0))&gt;0,"✓",IF(SUMPRODUCT(ISNUMBER(SEARCH(", "&amp;TEXT(R$24,"yyyy-mm")&amp;":",", "&amp;Transaksi!$F$2:$F$3000&amp;","))*(Transaksi!$C$2:$C$3000=$A39)*(Transaksi!$G$2:$G$3000&gt;0))&gt;0,"½",IF(R$24&gt;TODAY(),"·","✗"))))</f>
        <v/>
      </c>
      <c r="S39" s="36">
        <f>IF(OR(S$24&lt;Tetapan!$B19,AND(Tetapan!$C19&lt;&gt;"",S$24&gt;Tetapan!$C19),Tetapan!$D19=0),"–",IF(SUMPRODUCT(ISNUMBER(SEARCH(", "&amp;TEXT(S$24,"yyyy-mm")&amp;",",", "&amp;Transaksi!$F$2:$F$3000&amp;","))*(Transaksi!$C$2:$C$3000=$A39)*(Transaksi!$G$2:$G$3000&gt;0))&gt;0,"✓",IF(SUMPRODUCT(ISNUMBER(SEARCH(", "&amp;TEXT(S$24,"yyyy-mm")&amp;":",", "&amp;Transaksi!$F$2:$F$3000&amp;","))*(Transaksi!$C$2:$C$3000=$A39)*(Transaksi!$G$2:$G$3000&gt;0))&gt;0,"½",IF(S$24&gt;TODAY(),"·","✗"))))</f>
        <v/>
      </c>
      <c r="T39" s="36">
        <f>IF(OR(T$24&lt;Tetapan!$B19,AND(Tetapan!$C19&lt;&gt;"",T$24&gt;Tetapan!$C19),Tetapan!$D19=0),"–",IF(SUMPRODUCT(ISNUMBER(SEARCH(", "&amp;TEXT(T$24,"yyyy-mm")&amp;",",", "&amp;Transaksi!$F$2:$F$3000&amp;","))*(Transaksi!$C$2:$C$3000=$A39)*(Transaksi!$G$2:$G$3000&gt;0))&gt;0,"✓",IF(SUMPRODUCT(ISNUMBER(SEARCH(", "&amp;TEXT(T$24,"yyyy-mm")&amp;":",", "&amp;Transaksi!$F$2:$F$3000&amp;","))*(Transaksi!$C$2:$C$3000=$A39)*(Transaksi!$G$2:$G$3000&gt;0))&gt;0,"½",IF(T$24&gt;TODAY(),"·","✗"))))</f>
        <v/>
      </c>
      <c r="V39" s="37">
        <f>IF(B39="✗",TEXT(B$24,"mmm yy")&amp;", ",IF(B39="½",TEXT(B$24,"mmm yy")&amp;" (separa), ",""))&amp;IF(C39="✗",TEXT(C$24,"mmm yy")&amp;", ",IF(C39="½",TEXT(C$24,"mmm yy")&amp;" (separa), ",""))&amp;IF(D39="✗",TEXT(D$24,"mmm yy")&amp;", ",IF(D39="½",TEXT(D$24,"mmm yy")&amp;" (separa), ",""))&amp;IF(E39="✗",TEXT(E$24,"mmm yy")&amp;", ",IF(E39="½",TEXT(E$24,"mmm yy")&amp;" (separa), ",""))&amp;IF(F39="✗",TEXT(F$24,"mmm yy")&amp;", ",IF(F39="½",TEXT(F$24,"mmm yy")&amp;" (separa), ",""))&amp;IF(G39="✗",TEXT(G$24,"mmm yy")&amp;", ",IF(G39="½",TEXT(G$24,"mmm yy")&amp;" (separa), ",""))&amp;IF(H39="✗",TEXT(H$24,"mmm yy")&amp;", ",IF(H39="½",TEXT(H$24,"mmm yy")&amp;" (separa), ",""))&amp;IF(I39="✗",TEXT(I$24,"mmm yy")&amp;", ",IF(I39="½",TEXT(I$24,"mmm yy")&amp;" (separa), ",""))&amp;IF(J39="✗",TEXT(J$24,"mmm yy")&amp;", ",IF(J39="½",TEXT(J$24,"mmm yy")&amp;" (separa), ",""))&amp;IF(K39="✗",TEXT(K$24,"mmm yy")&amp;", ",IF(K39="½",TEXT(K$24,"mmm yy")&amp;" (separa), ",""))&amp;IF(L39="✗",TEXT(L$24,"mmm yy")&amp;", ",IF(L39="½",TEXT(L$24,"mmm yy")&amp;" (separa), ",""))&amp;IF(M39="✗",TEXT(M$24,"mmm yy")&amp;", ",IF(M39="½",TEXT(M$24,"mmm yy")&amp;" (separa), ",""))&amp;IF(N39="✗",TEXT(N$24,"mmm yy")&amp;", ",IF(N39="½",TEXT(N$24,"mmm yy")&amp;" (separa), ",""))&amp;IF(O39="✗",TEXT(O$24,"mmm yy")&amp;", ",IF(O39="½",TEXT(O$24,"mmm yy")&amp;" (separa), ",""))&amp;IF(P39="✗",TEXT(P$24,"mmm yy")&amp;", ",IF(P39="½",TEXT(P$24,"mmm yy")&amp;" (separa), ",""))&amp;IF(Q39="✗",TEXT(Q$24,"mmm yy")&amp;", ",IF(Q39="½",TEXT(Q$24,"mmm yy")&amp;" (separa), ",""))&amp;IF(R39="✗",TEXT(R$24,"mmm yy")&amp;", ",IF(R39="½",TEXT(R$24,"mmm yy")&amp;" (separa), ",""))&amp;IF(S39="✗",TEXT(S$24,"mmm yy")&amp;", ",IF(S39="½",TEXT(S$24,"mmm yy")&amp;" (separa), ",""))&amp;IF(T39="✗",TEXT(T$24,"mmm yy")&amp;", ",IF(T39="½",TEXT(T$24,"mmm yy")&amp;" (separa), ",""))</f>
        <v/>
      </c>
    </row>
    <row r="42">
      <c r="A42" s="10" t="inlineStr">
        <is>
          <t>Jadual Yuran Lawatan</t>
        </is>
      </c>
    </row>
    <row r="43" ht="24" customHeight="1">
      <c r="A43" s="11" t="inlineStr">
        <is>
          <t>Ahli</t>
        </is>
      </c>
      <c r="B43" s="35">
        <f>Tetapan!$B$22</f>
        <v/>
      </c>
      <c r="C43" s="35">
        <f>EDATE(B43,1)</f>
        <v/>
      </c>
      <c r="D43" s="35">
        <f>EDATE(C43,1)</f>
        <v/>
      </c>
      <c r="E43" s="35">
        <f>EDATE(D43,1)</f>
        <v/>
      </c>
      <c r="F43" s="35">
        <f>EDATE(E43,1)</f>
        <v/>
      </c>
      <c r="G43" s="35">
        <f>EDATE(F43,1)</f>
        <v/>
      </c>
      <c r="H43" s="35">
        <f>EDATE(G43,1)</f>
        <v/>
      </c>
      <c r="I43" s="35">
        <f>EDATE(H43,1)</f>
        <v/>
      </c>
      <c r="J43" s="35">
        <f>EDATE(I43,1)</f>
        <v/>
      </c>
      <c r="K43" s="35">
        <f>EDATE(J43,1)</f>
        <v/>
      </c>
      <c r="L43" s="35">
        <f>EDATE(K43,1)</f>
        <v/>
      </c>
      <c r="M43" s="35">
        <f>EDATE(L43,1)</f>
        <v/>
      </c>
      <c r="N43" s="35">
        <f>EDATE(M43,1)</f>
        <v/>
      </c>
      <c r="O43" s="35">
        <f>EDATE(N43,1)</f>
        <v/>
      </c>
      <c r="P43" s="35">
        <f>EDATE(O43,1)</f>
        <v/>
      </c>
      <c r="Q43" s="35">
        <f>EDATE(P43,1)</f>
        <v/>
      </c>
      <c r="R43" s="35">
        <f>EDATE(Q43,1)</f>
        <v/>
      </c>
      <c r="S43" s="35">
        <f>EDATE(R43,1)</f>
        <v/>
      </c>
      <c r="T43" s="35">
        <f>EDATE(S43,1)</f>
        <v/>
      </c>
    </row>
    <row r="44">
      <c r="A44" s="32">
        <f>Tetapan!A5</f>
        <v/>
      </c>
      <c r="B44" s="36">
        <f>IF(OR(B$43&lt;Tetapan!$B5,AND(Tetapan!$C5&lt;&gt;"",B$43&gt;Tetapan!$C5),Tetapan!$E5=0,B$43&gt;Tetapan!$B$21),"–",IF(SUMPRODUCT(ISNUMBER(SEARCH(", "&amp;TEXT(B$43,"yyyy-mm")&amp;",",", "&amp;Transaksi!$F$2:$F$3000&amp;","))*(Transaksi!$C$2:$C$3000=$A44)*(Transaksi!$H$2:$H$3000&gt;0))&gt;0,"✓",IF(SUMPRODUCT(ISNUMBER(SEARCH(", "&amp;TEXT(B$43,"yyyy-mm")&amp;":",", "&amp;Transaksi!$F$2:$F$3000&amp;","))*(Transaksi!$C$2:$C$3000=$A44)*(Transaksi!$H$2:$H$3000&gt;0))&gt;0,"½",IF(B$43&gt;TODAY(),"·","✗"))))</f>
        <v/>
      </c>
      <c r="C44" s="36">
        <f>IF(OR(C$43&lt;Tetapan!$B5,AND(Tetapan!$C5&lt;&gt;"",C$43&gt;Tetapan!$C5),Tetapan!$E5=0,C$43&gt;Tetapan!$B$21),"–",IF(SUMPRODUCT(ISNUMBER(SEARCH(", "&amp;TEXT(C$43,"yyyy-mm")&amp;",",", "&amp;Transaksi!$F$2:$F$3000&amp;","))*(Transaksi!$C$2:$C$3000=$A44)*(Transaksi!$H$2:$H$3000&gt;0))&gt;0,"✓",IF(SUMPRODUCT(ISNUMBER(SEARCH(", "&amp;TEXT(C$43,"yyyy-mm")&amp;":",", "&amp;Transaksi!$F$2:$F$3000&amp;","))*(Transaksi!$C$2:$C$3000=$A44)*(Transaksi!$H$2:$H$3000&gt;0))&gt;0,"½",IF(C$43&gt;TODAY(),"·","✗"))))</f>
        <v/>
      </c>
      <c r="D44" s="36">
        <f>IF(OR(D$43&lt;Tetapan!$B5,AND(Tetapan!$C5&lt;&gt;"",D$43&gt;Tetapan!$C5),Tetapan!$E5=0,D$43&gt;Tetapan!$B$21),"–",IF(SUMPRODUCT(ISNUMBER(SEARCH(", "&amp;TEXT(D$43,"yyyy-mm")&amp;",",", "&amp;Transaksi!$F$2:$F$3000&amp;","))*(Transaksi!$C$2:$C$3000=$A44)*(Transaksi!$H$2:$H$3000&gt;0))&gt;0,"✓",IF(SUMPRODUCT(ISNUMBER(SEARCH(", "&amp;TEXT(D$43,"yyyy-mm")&amp;":",", "&amp;Transaksi!$F$2:$F$3000&amp;","))*(Transaksi!$C$2:$C$3000=$A44)*(Transaksi!$H$2:$H$3000&gt;0))&gt;0,"½",IF(D$43&gt;TODAY(),"·","✗"))))</f>
        <v/>
      </c>
      <c r="E44" s="36">
        <f>IF(OR(E$43&lt;Tetapan!$B5,AND(Tetapan!$C5&lt;&gt;"",E$43&gt;Tetapan!$C5),Tetapan!$E5=0,E$43&gt;Tetapan!$B$21),"–",IF(SUMPRODUCT(ISNUMBER(SEARCH(", "&amp;TEXT(E$43,"yyyy-mm")&amp;",",", "&amp;Transaksi!$F$2:$F$3000&amp;","))*(Transaksi!$C$2:$C$3000=$A44)*(Transaksi!$H$2:$H$3000&gt;0))&gt;0,"✓",IF(SUMPRODUCT(ISNUMBER(SEARCH(", "&amp;TEXT(E$43,"yyyy-mm")&amp;":",", "&amp;Transaksi!$F$2:$F$3000&amp;","))*(Transaksi!$C$2:$C$3000=$A44)*(Transaksi!$H$2:$H$3000&gt;0))&gt;0,"½",IF(E$43&gt;TODAY(),"·","✗"))))</f>
        <v/>
      </c>
      <c r="F44" s="36">
        <f>IF(OR(F$43&lt;Tetapan!$B5,AND(Tetapan!$C5&lt;&gt;"",F$43&gt;Tetapan!$C5),Tetapan!$E5=0,F$43&gt;Tetapan!$B$21),"–",IF(SUMPRODUCT(ISNUMBER(SEARCH(", "&amp;TEXT(F$43,"yyyy-mm")&amp;",",", "&amp;Transaksi!$F$2:$F$3000&amp;","))*(Transaksi!$C$2:$C$3000=$A44)*(Transaksi!$H$2:$H$3000&gt;0))&gt;0,"✓",IF(SUMPRODUCT(ISNUMBER(SEARCH(", "&amp;TEXT(F$43,"yyyy-mm")&amp;":",", "&amp;Transaksi!$F$2:$F$3000&amp;","))*(Transaksi!$C$2:$C$3000=$A44)*(Transaksi!$H$2:$H$3000&gt;0))&gt;0,"½",IF(F$43&gt;TODAY(),"·","✗"))))</f>
        <v/>
      </c>
      <c r="G44" s="36">
        <f>IF(OR(G$43&lt;Tetapan!$B5,AND(Tetapan!$C5&lt;&gt;"",G$43&gt;Tetapan!$C5),Tetapan!$E5=0,G$43&gt;Tetapan!$B$21),"–",IF(SUMPRODUCT(ISNUMBER(SEARCH(", "&amp;TEXT(G$43,"yyyy-mm")&amp;",",", "&amp;Transaksi!$F$2:$F$3000&amp;","))*(Transaksi!$C$2:$C$3000=$A44)*(Transaksi!$H$2:$H$3000&gt;0))&gt;0,"✓",IF(SUMPRODUCT(ISNUMBER(SEARCH(", "&amp;TEXT(G$43,"yyyy-mm")&amp;":",", "&amp;Transaksi!$F$2:$F$3000&amp;","))*(Transaksi!$C$2:$C$3000=$A44)*(Transaksi!$H$2:$H$3000&gt;0))&gt;0,"½",IF(G$43&gt;TODAY(),"·","✗"))))</f>
        <v/>
      </c>
      <c r="H44" s="36">
        <f>IF(OR(H$43&lt;Tetapan!$B5,AND(Tetapan!$C5&lt;&gt;"",H$43&gt;Tetapan!$C5),Tetapan!$E5=0,H$43&gt;Tetapan!$B$21),"–",IF(SUMPRODUCT(ISNUMBER(SEARCH(", "&amp;TEXT(H$43,"yyyy-mm")&amp;",",", "&amp;Transaksi!$F$2:$F$3000&amp;","))*(Transaksi!$C$2:$C$3000=$A44)*(Transaksi!$H$2:$H$3000&gt;0))&gt;0,"✓",IF(SUMPRODUCT(ISNUMBER(SEARCH(", "&amp;TEXT(H$43,"yyyy-mm")&amp;":",", "&amp;Transaksi!$F$2:$F$3000&amp;","))*(Transaksi!$C$2:$C$3000=$A44)*(Transaksi!$H$2:$H$3000&gt;0))&gt;0,"½",IF(H$43&gt;TODAY(),"·","✗"))))</f>
        <v/>
      </c>
      <c r="I44" s="36">
        <f>IF(OR(I$43&lt;Tetapan!$B5,AND(Tetapan!$C5&lt;&gt;"",I$43&gt;Tetapan!$C5),Tetapan!$E5=0,I$43&gt;Tetapan!$B$21),"–",IF(SUMPRODUCT(ISNUMBER(SEARCH(", "&amp;TEXT(I$43,"yyyy-mm")&amp;",",", "&amp;Transaksi!$F$2:$F$3000&amp;","))*(Transaksi!$C$2:$C$3000=$A44)*(Transaksi!$H$2:$H$3000&gt;0))&gt;0,"✓",IF(SUMPRODUCT(ISNUMBER(SEARCH(", "&amp;TEXT(I$43,"yyyy-mm")&amp;":",", "&amp;Transaksi!$F$2:$F$3000&amp;","))*(Transaksi!$C$2:$C$3000=$A44)*(Transaksi!$H$2:$H$3000&gt;0))&gt;0,"½",IF(I$43&gt;TODAY(),"·","✗"))))</f>
        <v/>
      </c>
      <c r="J44" s="36">
        <f>IF(OR(J$43&lt;Tetapan!$B5,AND(Tetapan!$C5&lt;&gt;"",J$43&gt;Tetapan!$C5),Tetapan!$E5=0,J$43&gt;Tetapan!$B$21),"–",IF(SUMPRODUCT(ISNUMBER(SEARCH(", "&amp;TEXT(J$43,"yyyy-mm")&amp;",",", "&amp;Transaksi!$F$2:$F$3000&amp;","))*(Transaksi!$C$2:$C$3000=$A44)*(Transaksi!$H$2:$H$3000&gt;0))&gt;0,"✓",IF(SUMPRODUCT(ISNUMBER(SEARCH(", "&amp;TEXT(J$43,"yyyy-mm")&amp;":",", "&amp;Transaksi!$F$2:$F$3000&amp;","))*(Transaksi!$C$2:$C$3000=$A44)*(Transaksi!$H$2:$H$3000&gt;0))&gt;0,"½",IF(J$43&gt;TODAY(),"·","✗"))))</f>
        <v/>
      </c>
      <c r="K44" s="36">
        <f>IF(OR(K$43&lt;Tetapan!$B5,AND(Tetapan!$C5&lt;&gt;"",K$43&gt;Tetapan!$C5),Tetapan!$E5=0,K$43&gt;Tetapan!$B$21),"–",IF(SUMPRODUCT(ISNUMBER(SEARCH(", "&amp;TEXT(K$43,"yyyy-mm")&amp;",",", "&amp;Transaksi!$F$2:$F$3000&amp;","))*(Transaksi!$C$2:$C$3000=$A44)*(Transaksi!$H$2:$H$3000&gt;0))&gt;0,"✓",IF(SUMPRODUCT(ISNUMBER(SEARCH(", "&amp;TEXT(K$43,"yyyy-mm")&amp;":",", "&amp;Transaksi!$F$2:$F$3000&amp;","))*(Transaksi!$C$2:$C$3000=$A44)*(Transaksi!$H$2:$H$3000&gt;0))&gt;0,"½",IF(K$43&gt;TODAY(),"·","✗"))))</f>
        <v/>
      </c>
      <c r="L44" s="36">
        <f>IF(OR(L$43&lt;Tetapan!$B5,AND(Tetapan!$C5&lt;&gt;"",L$43&gt;Tetapan!$C5),Tetapan!$E5=0,L$43&gt;Tetapan!$B$21),"–",IF(SUMPRODUCT(ISNUMBER(SEARCH(", "&amp;TEXT(L$43,"yyyy-mm")&amp;",",", "&amp;Transaksi!$F$2:$F$3000&amp;","))*(Transaksi!$C$2:$C$3000=$A44)*(Transaksi!$H$2:$H$3000&gt;0))&gt;0,"✓",IF(SUMPRODUCT(ISNUMBER(SEARCH(", "&amp;TEXT(L$43,"yyyy-mm")&amp;":",", "&amp;Transaksi!$F$2:$F$3000&amp;","))*(Transaksi!$C$2:$C$3000=$A44)*(Transaksi!$H$2:$H$3000&gt;0))&gt;0,"½",IF(L$43&gt;TODAY(),"·","✗"))))</f>
        <v/>
      </c>
      <c r="M44" s="36">
        <f>IF(OR(M$43&lt;Tetapan!$B5,AND(Tetapan!$C5&lt;&gt;"",M$43&gt;Tetapan!$C5),Tetapan!$E5=0,M$43&gt;Tetapan!$B$21),"–",IF(SUMPRODUCT(ISNUMBER(SEARCH(", "&amp;TEXT(M$43,"yyyy-mm")&amp;",",", "&amp;Transaksi!$F$2:$F$3000&amp;","))*(Transaksi!$C$2:$C$3000=$A44)*(Transaksi!$H$2:$H$3000&gt;0))&gt;0,"✓",IF(SUMPRODUCT(ISNUMBER(SEARCH(", "&amp;TEXT(M$43,"yyyy-mm")&amp;":",", "&amp;Transaksi!$F$2:$F$3000&amp;","))*(Transaksi!$C$2:$C$3000=$A44)*(Transaksi!$H$2:$H$3000&gt;0))&gt;0,"½",IF(M$43&gt;TODAY(),"·","✗"))))</f>
        <v/>
      </c>
      <c r="N44" s="36">
        <f>IF(OR(N$43&lt;Tetapan!$B5,AND(Tetapan!$C5&lt;&gt;"",N$43&gt;Tetapan!$C5),Tetapan!$E5=0,N$43&gt;Tetapan!$B$21),"–",IF(SUMPRODUCT(ISNUMBER(SEARCH(", "&amp;TEXT(N$43,"yyyy-mm")&amp;",",", "&amp;Transaksi!$F$2:$F$3000&amp;","))*(Transaksi!$C$2:$C$3000=$A44)*(Transaksi!$H$2:$H$3000&gt;0))&gt;0,"✓",IF(SUMPRODUCT(ISNUMBER(SEARCH(", "&amp;TEXT(N$43,"yyyy-mm")&amp;":",", "&amp;Transaksi!$F$2:$F$3000&amp;","))*(Transaksi!$C$2:$C$3000=$A44)*(Transaksi!$H$2:$H$3000&gt;0))&gt;0,"½",IF(N$43&gt;TODAY(),"·","✗"))))</f>
        <v/>
      </c>
      <c r="O44" s="36">
        <f>IF(OR(O$43&lt;Tetapan!$B5,AND(Tetapan!$C5&lt;&gt;"",O$43&gt;Tetapan!$C5),Tetapan!$E5=0,O$43&gt;Tetapan!$B$21),"–",IF(SUMPRODUCT(ISNUMBER(SEARCH(", "&amp;TEXT(O$43,"yyyy-mm")&amp;",",", "&amp;Transaksi!$F$2:$F$3000&amp;","))*(Transaksi!$C$2:$C$3000=$A44)*(Transaksi!$H$2:$H$3000&gt;0))&gt;0,"✓",IF(SUMPRODUCT(ISNUMBER(SEARCH(", "&amp;TEXT(O$43,"yyyy-mm")&amp;":",", "&amp;Transaksi!$F$2:$F$3000&amp;","))*(Transaksi!$C$2:$C$3000=$A44)*(Transaksi!$H$2:$H$3000&gt;0))&gt;0,"½",IF(O$43&gt;TODAY(),"·","✗"))))</f>
        <v/>
      </c>
      <c r="P44" s="36">
        <f>IF(OR(P$43&lt;Tetapan!$B5,AND(Tetapan!$C5&lt;&gt;"",P$43&gt;Tetapan!$C5),Tetapan!$E5=0,P$43&gt;Tetapan!$B$21),"–",IF(SUMPRODUCT(ISNUMBER(SEARCH(", "&amp;TEXT(P$43,"yyyy-mm")&amp;",",", "&amp;Transaksi!$F$2:$F$3000&amp;","))*(Transaksi!$C$2:$C$3000=$A44)*(Transaksi!$H$2:$H$3000&gt;0))&gt;0,"✓",IF(SUMPRODUCT(ISNUMBER(SEARCH(", "&amp;TEXT(P$43,"yyyy-mm")&amp;":",", "&amp;Transaksi!$F$2:$F$3000&amp;","))*(Transaksi!$C$2:$C$3000=$A44)*(Transaksi!$H$2:$H$3000&gt;0))&gt;0,"½",IF(P$43&gt;TODAY(),"·","✗"))))</f>
        <v/>
      </c>
      <c r="Q44" s="36">
        <f>IF(OR(Q$43&lt;Tetapan!$B5,AND(Tetapan!$C5&lt;&gt;"",Q$43&gt;Tetapan!$C5),Tetapan!$E5=0,Q$43&gt;Tetapan!$B$21),"–",IF(SUMPRODUCT(ISNUMBER(SEARCH(", "&amp;TEXT(Q$43,"yyyy-mm")&amp;",",", "&amp;Transaksi!$F$2:$F$3000&amp;","))*(Transaksi!$C$2:$C$3000=$A44)*(Transaksi!$H$2:$H$3000&gt;0))&gt;0,"✓",IF(SUMPRODUCT(ISNUMBER(SEARCH(", "&amp;TEXT(Q$43,"yyyy-mm")&amp;":",", "&amp;Transaksi!$F$2:$F$3000&amp;","))*(Transaksi!$C$2:$C$3000=$A44)*(Transaksi!$H$2:$H$3000&gt;0))&gt;0,"½",IF(Q$43&gt;TODAY(),"·","✗"))))</f>
        <v/>
      </c>
      <c r="R44" s="36">
        <f>IF(OR(R$43&lt;Tetapan!$B5,AND(Tetapan!$C5&lt;&gt;"",R$43&gt;Tetapan!$C5),Tetapan!$E5=0,R$43&gt;Tetapan!$B$21),"–",IF(SUMPRODUCT(ISNUMBER(SEARCH(", "&amp;TEXT(R$43,"yyyy-mm")&amp;",",", "&amp;Transaksi!$F$2:$F$3000&amp;","))*(Transaksi!$C$2:$C$3000=$A44)*(Transaksi!$H$2:$H$3000&gt;0))&gt;0,"✓",IF(SUMPRODUCT(ISNUMBER(SEARCH(", "&amp;TEXT(R$43,"yyyy-mm")&amp;":",", "&amp;Transaksi!$F$2:$F$3000&amp;","))*(Transaksi!$C$2:$C$3000=$A44)*(Transaksi!$H$2:$H$3000&gt;0))&gt;0,"½",IF(R$43&gt;TODAY(),"·","✗"))))</f>
        <v/>
      </c>
      <c r="S44" s="36">
        <f>IF(OR(S$43&lt;Tetapan!$B5,AND(Tetapan!$C5&lt;&gt;"",S$43&gt;Tetapan!$C5),Tetapan!$E5=0,S$43&gt;Tetapan!$B$21),"–",IF(SUMPRODUCT(ISNUMBER(SEARCH(", "&amp;TEXT(S$43,"yyyy-mm")&amp;",",", "&amp;Transaksi!$F$2:$F$3000&amp;","))*(Transaksi!$C$2:$C$3000=$A44)*(Transaksi!$H$2:$H$3000&gt;0))&gt;0,"✓",IF(SUMPRODUCT(ISNUMBER(SEARCH(", "&amp;TEXT(S$43,"yyyy-mm")&amp;":",", "&amp;Transaksi!$F$2:$F$3000&amp;","))*(Transaksi!$C$2:$C$3000=$A44)*(Transaksi!$H$2:$H$3000&gt;0))&gt;0,"½",IF(S$43&gt;TODAY(),"·","✗"))))</f>
        <v/>
      </c>
      <c r="T44" s="36">
        <f>IF(OR(T$43&lt;Tetapan!$B5,AND(Tetapan!$C5&lt;&gt;"",T$43&gt;Tetapan!$C5),Tetapan!$E5=0,T$43&gt;Tetapan!$B$21),"–",IF(SUMPRODUCT(ISNUMBER(SEARCH(", "&amp;TEXT(T$43,"yyyy-mm")&amp;",",", "&amp;Transaksi!$F$2:$F$3000&amp;","))*(Transaksi!$C$2:$C$3000=$A44)*(Transaksi!$H$2:$H$3000&gt;0))&gt;0,"✓",IF(SUMPRODUCT(ISNUMBER(SEARCH(", "&amp;TEXT(T$43,"yyyy-mm")&amp;":",", "&amp;Transaksi!$F$2:$F$3000&amp;","))*(Transaksi!$C$2:$C$3000=$A44)*(Transaksi!$H$2:$H$3000&gt;0))&gt;0,"½",IF(T$43&gt;TODAY(),"·","✗"))))</f>
        <v/>
      </c>
      <c r="V44" s="37">
        <f>IF(B44="✗",TEXT(B$43,"mmm yy")&amp;", ",IF(B44="½",TEXT(B$43,"mmm yy")&amp;" (separa), ",""))&amp;IF(C44="✗",TEXT(C$43,"mmm yy")&amp;", ",IF(C44="½",TEXT(C$43,"mmm yy")&amp;" (separa), ",""))&amp;IF(D44="✗",TEXT(D$43,"mmm yy")&amp;", ",IF(D44="½",TEXT(D$43,"mmm yy")&amp;" (separa), ",""))&amp;IF(E44="✗",TEXT(E$43,"mmm yy")&amp;", ",IF(E44="½",TEXT(E$43,"mmm yy")&amp;" (separa), ",""))&amp;IF(F44="✗",TEXT(F$43,"mmm yy")&amp;", ",IF(F44="½",TEXT(F$43,"mmm yy")&amp;" (separa), ",""))&amp;IF(G44="✗",TEXT(G$43,"mmm yy")&amp;", ",IF(G44="½",TEXT(G$43,"mmm yy")&amp;" (separa), ",""))&amp;IF(H44="✗",TEXT(H$43,"mmm yy")&amp;", ",IF(H44="½",TEXT(H$43,"mmm yy")&amp;" (separa), ",""))&amp;IF(I44="✗",TEXT(I$43,"mmm yy")&amp;", ",IF(I44="½",TEXT(I$43,"mmm yy")&amp;" (separa), ",""))&amp;IF(J44="✗",TEXT(J$43,"mmm yy")&amp;", ",IF(J44="½",TEXT(J$43,"mmm yy")&amp;" (separa), ",""))&amp;IF(K44="✗",TEXT(K$43,"mmm yy")&amp;", ",IF(K44="½",TEXT(K$43,"mmm yy")&amp;" (separa), ",""))&amp;IF(L44="✗",TEXT(L$43,"mmm yy")&amp;", ",IF(L44="½",TEXT(L$43,"mmm yy")&amp;" (separa), ",""))&amp;IF(M44="✗",TEXT(M$43,"mmm yy")&amp;", ",IF(M44="½",TEXT(M$43,"mmm yy")&amp;" (separa), ",""))&amp;IF(N44="✗",TEXT(N$43,"mmm yy")&amp;", ",IF(N44="½",TEXT(N$43,"mmm yy")&amp;" (separa), ",""))&amp;IF(O44="✗",TEXT(O$43,"mmm yy")&amp;", ",IF(O44="½",TEXT(O$43,"mmm yy")&amp;" (separa), ",""))&amp;IF(P44="✗",TEXT(P$43,"mmm yy")&amp;", ",IF(P44="½",TEXT(P$43,"mmm yy")&amp;" (separa), ",""))&amp;IF(Q44="✗",TEXT(Q$43,"mmm yy")&amp;", ",IF(Q44="½",TEXT(Q$43,"mmm yy")&amp;" (separa), ",""))&amp;IF(R44="✗",TEXT(R$43,"mmm yy")&amp;", ",IF(R44="½",TEXT(R$43,"mmm yy")&amp;" (separa), ",""))&amp;IF(S44="✗",TEXT(S$43,"mmm yy")&amp;", ",IF(S44="½",TEXT(S$43,"mmm yy")&amp;" (separa), ",""))&amp;IF(T44="✗",TEXT(T$43,"mmm yy")&amp;", ",IF(T44="½",TEXT(T$43,"mmm yy")&amp;" (separa), ",""))</f>
        <v/>
      </c>
    </row>
    <row r="45">
      <c r="A45" s="32">
        <f>Tetapan!A6</f>
        <v/>
      </c>
      <c r="B45" s="36">
        <f>IF(OR(B$43&lt;Tetapan!$B6,AND(Tetapan!$C6&lt;&gt;"",B$43&gt;Tetapan!$C6),Tetapan!$E6=0,B$43&gt;Tetapan!$B$21),"–",IF(SUMPRODUCT(ISNUMBER(SEARCH(", "&amp;TEXT(B$43,"yyyy-mm")&amp;",",", "&amp;Transaksi!$F$2:$F$3000&amp;","))*(Transaksi!$C$2:$C$3000=$A45)*(Transaksi!$H$2:$H$3000&gt;0))&gt;0,"✓",IF(SUMPRODUCT(ISNUMBER(SEARCH(", "&amp;TEXT(B$43,"yyyy-mm")&amp;":",", "&amp;Transaksi!$F$2:$F$3000&amp;","))*(Transaksi!$C$2:$C$3000=$A45)*(Transaksi!$H$2:$H$3000&gt;0))&gt;0,"½",IF(B$43&gt;TODAY(),"·","✗"))))</f>
        <v/>
      </c>
      <c r="C45" s="36">
        <f>IF(OR(C$43&lt;Tetapan!$B6,AND(Tetapan!$C6&lt;&gt;"",C$43&gt;Tetapan!$C6),Tetapan!$E6=0,C$43&gt;Tetapan!$B$21),"–",IF(SUMPRODUCT(ISNUMBER(SEARCH(", "&amp;TEXT(C$43,"yyyy-mm")&amp;",",", "&amp;Transaksi!$F$2:$F$3000&amp;","))*(Transaksi!$C$2:$C$3000=$A45)*(Transaksi!$H$2:$H$3000&gt;0))&gt;0,"✓",IF(SUMPRODUCT(ISNUMBER(SEARCH(", "&amp;TEXT(C$43,"yyyy-mm")&amp;":",", "&amp;Transaksi!$F$2:$F$3000&amp;","))*(Transaksi!$C$2:$C$3000=$A45)*(Transaksi!$H$2:$H$3000&gt;0))&gt;0,"½",IF(C$43&gt;TODAY(),"·","✗"))))</f>
        <v/>
      </c>
      <c r="D45" s="36">
        <f>IF(OR(D$43&lt;Tetapan!$B6,AND(Tetapan!$C6&lt;&gt;"",D$43&gt;Tetapan!$C6),Tetapan!$E6=0,D$43&gt;Tetapan!$B$21),"–",IF(SUMPRODUCT(ISNUMBER(SEARCH(", "&amp;TEXT(D$43,"yyyy-mm")&amp;",",", "&amp;Transaksi!$F$2:$F$3000&amp;","))*(Transaksi!$C$2:$C$3000=$A45)*(Transaksi!$H$2:$H$3000&gt;0))&gt;0,"✓",IF(SUMPRODUCT(ISNUMBER(SEARCH(", "&amp;TEXT(D$43,"yyyy-mm")&amp;":",", "&amp;Transaksi!$F$2:$F$3000&amp;","))*(Transaksi!$C$2:$C$3000=$A45)*(Transaksi!$H$2:$H$3000&gt;0))&gt;0,"½",IF(D$43&gt;TODAY(),"·","✗"))))</f>
        <v/>
      </c>
      <c r="E45" s="36">
        <f>IF(OR(E$43&lt;Tetapan!$B6,AND(Tetapan!$C6&lt;&gt;"",E$43&gt;Tetapan!$C6),Tetapan!$E6=0,E$43&gt;Tetapan!$B$21),"–",IF(SUMPRODUCT(ISNUMBER(SEARCH(", "&amp;TEXT(E$43,"yyyy-mm")&amp;",",", "&amp;Transaksi!$F$2:$F$3000&amp;","))*(Transaksi!$C$2:$C$3000=$A45)*(Transaksi!$H$2:$H$3000&gt;0))&gt;0,"✓",IF(SUMPRODUCT(ISNUMBER(SEARCH(", "&amp;TEXT(E$43,"yyyy-mm")&amp;":",", "&amp;Transaksi!$F$2:$F$3000&amp;","))*(Transaksi!$C$2:$C$3000=$A45)*(Transaksi!$H$2:$H$3000&gt;0))&gt;0,"½",IF(E$43&gt;TODAY(),"·","✗"))))</f>
        <v/>
      </c>
      <c r="F45" s="36">
        <f>IF(OR(F$43&lt;Tetapan!$B6,AND(Tetapan!$C6&lt;&gt;"",F$43&gt;Tetapan!$C6),Tetapan!$E6=0,F$43&gt;Tetapan!$B$21),"–",IF(SUMPRODUCT(ISNUMBER(SEARCH(", "&amp;TEXT(F$43,"yyyy-mm")&amp;",",", "&amp;Transaksi!$F$2:$F$3000&amp;","))*(Transaksi!$C$2:$C$3000=$A45)*(Transaksi!$H$2:$H$3000&gt;0))&gt;0,"✓",IF(SUMPRODUCT(ISNUMBER(SEARCH(", "&amp;TEXT(F$43,"yyyy-mm")&amp;":",", "&amp;Transaksi!$F$2:$F$3000&amp;","))*(Transaksi!$C$2:$C$3000=$A45)*(Transaksi!$H$2:$H$3000&gt;0))&gt;0,"½",IF(F$43&gt;TODAY(),"·","✗"))))</f>
        <v/>
      </c>
      <c r="G45" s="36">
        <f>IF(OR(G$43&lt;Tetapan!$B6,AND(Tetapan!$C6&lt;&gt;"",G$43&gt;Tetapan!$C6),Tetapan!$E6=0,G$43&gt;Tetapan!$B$21),"–",IF(SUMPRODUCT(ISNUMBER(SEARCH(", "&amp;TEXT(G$43,"yyyy-mm")&amp;",",", "&amp;Transaksi!$F$2:$F$3000&amp;","))*(Transaksi!$C$2:$C$3000=$A45)*(Transaksi!$H$2:$H$3000&gt;0))&gt;0,"✓",IF(SUMPRODUCT(ISNUMBER(SEARCH(", "&amp;TEXT(G$43,"yyyy-mm")&amp;":",", "&amp;Transaksi!$F$2:$F$3000&amp;","))*(Transaksi!$C$2:$C$3000=$A45)*(Transaksi!$H$2:$H$3000&gt;0))&gt;0,"½",IF(G$43&gt;TODAY(),"·","✗"))))</f>
        <v/>
      </c>
      <c r="H45" s="36">
        <f>IF(OR(H$43&lt;Tetapan!$B6,AND(Tetapan!$C6&lt;&gt;"",H$43&gt;Tetapan!$C6),Tetapan!$E6=0,H$43&gt;Tetapan!$B$21),"–",IF(SUMPRODUCT(ISNUMBER(SEARCH(", "&amp;TEXT(H$43,"yyyy-mm")&amp;",",", "&amp;Transaksi!$F$2:$F$3000&amp;","))*(Transaksi!$C$2:$C$3000=$A45)*(Transaksi!$H$2:$H$3000&gt;0))&gt;0,"✓",IF(SUMPRODUCT(ISNUMBER(SEARCH(", "&amp;TEXT(H$43,"yyyy-mm")&amp;":",", "&amp;Transaksi!$F$2:$F$3000&amp;","))*(Transaksi!$C$2:$C$3000=$A45)*(Transaksi!$H$2:$H$3000&gt;0))&gt;0,"½",IF(H$43&gt;TODAY(),"·","✗"))))</f>
        <v/>
      </c>
      <c r="I45" s="36">
        <f>IF(OR(I$43&lt;Tetapan!$B6,AND(Tetapan!$C6&lt;&gt;"",I$43&gt;Tetapan!$C6),Tetapan!$E6=0,I$43&gt;Tetapan!$B$21),"–",IF(SUMPRODUCT(ISNUMBER(SEARCH(", "&amp;TEXT(I$43,"yyyy-mm")&amp;",",", "&amp;Transaksi!$F$2:$F$3000&amp;","))*(Transaksi!$C$2:$C$3000=$A45)*(Transaksi!$H$2:$H$3000&gt;0))&gt;0,"✓",IF(SUMPRODUCT(ISNUMBER(SEARCH(", "&amp;TEXT(I$43,"yyyy-mm")&amp;":",", "&amp;Transaksi!$F$2:$F$3000&amp;","))*(Transaksi!$C$2:$C$3000=$A45)*(Transaksi!$H$2:$H$3000&gt;0))&gt;0,"½",IF(I$43&gt;TODAY(),"·","✗"))))</f>
        <v/>
      </c>
      <c r="J45" s="36">
        <f>IF(OR(J$43&lt;Tetapan!$B6,AND(Tetapan!$C6&lt;&gt;"",J$43&gt;Tetapan!$C6),Tetapan!$E6=0,J$43&gt;Tetapan!$B$21),"–",IF(SUMPRODUCT(ISNUMBER(SEARCH(", "&amp;TEXT(J$43,"yyyy-mm")&amp;",",", "&amp;Transaksi!$F$2:$F$3000&amp;","))*(Transaksi!$C$2:$C$3000=$A45)*(Transaksi!$H$2:$H$3000&gt;0))&gt;0,"✓",IF(SUMPRODUCT(ISNUMBER(SEARCH(", "&amp;TEXT(J$43,"yyyy-mm")&amp;":",", "&amp;Transaksi!$F$2:$F$3000&amp;","))*(Transaksi!$C$2:$C$3000=$A45)*(Transaksi!$H$2:$H$3000&gt;0))&gt;0,"½",IF(J$43&gt;TODAY(),"·","✗"))))</f>
        <v/>
      </c>
      <c r="K45" s="36">
        <f>IF(OR(K$43&lt;Tetapan!$B6,AND(Tetapan!$C6&lt;&gt;"",K$43&gt;Tetapan!$C6),Tetapan!$E6=0,K$43&gt;Tetapan!$B$21),"–",IF(SUMPRODUCT(ISNUMBER(SEARCH(", "&amp;TEXT(K$43,"yyyy-mm")&amp;",",", "&amp;Transaksi!$F$2:$F$3000&amp;","))*(Transaksi!$C$2:$C$3000=$A45)*(Transaksi!$H$2:$H$3000&gt;0))&gt;0,"✓",IF(SUMPRODUCT(ISNUMBER(SEARCH(", "&amp;TEXT(K$43,"yyyy-mm")&amp;":",", "&amp;Transaksi!$F$2:$F$3000&amp;","))*(Transaksi!$C$2:$C$3000=$A45)*(Transaksi!$H$2:$H$3000&gt;0))&gt;0,"½",IF(K$43&gt;TODAY(),"·","✗"))))</f>
        <v/>
      </c>
      <c r="L45" s="36">
        <f>IF(OR(L$43&lt;Tetapan!$B6,AND(Tetapan!$C6&lt;&gt;"",L$43&gt;Tetapan!$C6),Tetapan!$E6=0,L$43&gt;Tetapan!$B$21),"–",IF(SUMPRODUCT(ISNUMBER(SEARCH(", "&amp;TEXT(L$43,"yyyy-mm")&amp;",",", "&amp;Transaksi!$F$2:$F$3000&amp;","))*(Transaksi!$C$2:$C$3000=$A45)*(Transaksi!$H$2:$H$3000&gt;0))&gt;0,"✓",IF(SUMPRODUCT(ISNUMBER(SEARCH(", "&amp;TEXT(L$43,"yyyy-mm")&amp;":",", "&amp;Transaksi!$F$2:$F$3000&amp;","))*(Transaksi!$C$2:$C$3000=$A45)*(Transaksi!$H$2:$H$3000&gt;0))&gt;0,"½",IF(L$43&gt;TODAY(),"·","✗"))))</f>
        <v/>
      </c>
      <c r="M45" s="36">
        <f>IF(OR(M$43&lt;Tetapan!$B6,AND(Tetapan!$C6&lt;&gt;"",M$43&gt;Tetapan!$C6),Tetapan!$E6=0,M$43&gt;Tetapan!$B$21),"–",IF(SUMPRODUCT(ISNUMBER(SEARCH(", "&amp;TEXT(M$43,"yyyy-mm")&amp;",",", "&amp;Transaksi!$F$2:$F$3000&amp;","))*(Transaksi!$C$2:$C$3000=$A45)*(Transaksi!$H$2:$H$3000&gt;0))&gt;0,"✓",IF(SUMPRODUCT(ISNUMBER(SEARCH(", "&amp;TEXT(M$43,"yyyy-mm")&amp;":",", "&amp;Transaksi!$F$2:$F$3000&amp;","))*(Transaksi!$C$2:$C$3000=$A45)*(Transaksi!$H$2:$H$3000&gt;0))&gt;0,"½",IF(M$43&gt;TODAY(),"·","✗"))))</f>
        <v/>
      </c>
      <c r="N45" s="36">
        <f>IF(OR(N$43&lt;Tetapan!$B6,AND(Tetapan!$C6&lt;&gt;"",N$43&gt;Tetapan!$C6),Tetapan!$E6=0,N$43&gt;Tetapan!$B$21),"–",IF(SUMPRODUCT(ISNUMBER(SEARCH(", "&amp;TEXT(N$43,"yyyy-mm")&amp;",",", "&amp;Transaksi!$F$2:$F$3000&amp;","))*(Transaksi!$C$2:$C$3000=$A45)*(Transaksi!$H$2:$H$3000&gt;0))&gt;0,"✓",IF(SUMPRODUCT(ISNUMBER(SEARCH(", "&amp;TEXT(N$43,"yyyy-mm")&amp;":",", "&amp;Transaksi!$F$2:$F$3000&amp;","))*(Transaksi!$C$2:$C$3000=$A45)*(Transaksi!$H$2:$H$3000&gt;0))&gt;0,"½",IF(N$43&gt;TODAY(),"·","✗"))))</f>
        <v/>
      </c>
      <c r="O45" s="36">
        <f>IF(OR(O$43&lt;Tetapan!$B6,AND(Tetapan!$C6&lt;&gt;"",O$43&gt;Tetapan!$C6),Tetapan!$E6=0,O$43&gt;Tetapan!$B$21),"–",IF(SUMPRODUCT(ISNUMBER(SEARCH(", "&amp;TEXT(O$43,"yyyy-mm")&amp;",",", "&amp;Transaksi!$F$2:$F$3000&amp;","))*(Transaksi!$C$2:$C$3000=$A45)*(Transaksi!$H$2:$H$3000&gt;0))&gt;0,"✓",IF(SUMPRODUCT(ISNUMBER(SEARCH(", "&amp;TEXT(O$43,"yyyy-mm")&amp;":",", "&amp;Transaksi!$F$2:$F$3000&amp;","))*(Transaksi!$C$2:$C$3000=$A45)*(Transaksi!$H$2:$H$3000&gt;0))&gt;0,"½",IF(O$43&gt;TODAY(),"·","✗"))))</f>
        <v/>
      </c>
      <c r="P45" s="36">
        <f>IF(OR(P$43&lt;Tetapan!$B6,AND(Tetapan!$C6&lt;&gt;"",P$43&gt;Tetapan!$C6),Tetapan!$E6=0,P$43&gt;Tetapan!$B$21),"–",IF(SUMPRODUCT(ISNUMBER(SEARCH(", "&amp;TEXT(P$43,"yyyy-mm")&amp;",",", "&amp;Transaksi!$F$2:$F$3000&amp;","))*(Transaksi!$C$2:$C$3000=$A45)*(Transaksi!$H$2:$H$3000&gt;0))&gt;0,"✓",IF(SUMPRODUCT(ISNUMBER(SEARCH(", "&amp;TEXT(P$43,"yyyy-mm")&amp;":",", "&amp;Transaksi!$F$2:$F$3000&amp;","))*(Transaksi!$C$2:$C$3000=$A45)*(Transaksi!$H$2:$H$3000&gt;0))&gt;0,"½",IF(P$43&gt;TODAY(),"·","✗"))))</f>
        <v/>
      </c>
      <c r="Q45" s="36">
        <f>IF(OR(Q$43&lt;Tetapan!$B6,AND(Tetapan!$C6&lt;&gt;"",Q$43&gt;Tetapan!$C6),Tetapan!$E6=0,Q$43&gt;Tetapan!$B$21),"–",IF(SUMPRODUCT(ISNUMBER(SEARCH(", "&amp;TEXT(Q$43,"yyyy-mm")&amp;",",", "&amp;Transaksi!$F$2:$F$3000&amp;","))*(Transaksi!$C$2:$C$3000=$A45)*(Transaksi!$H$2:$H$3000&gt;0))&gt;0,"✓",IF(SUMPRODUCT(ISNUMBER(SEARCH(", "&amp;TEXT(Q$43,"yyyy-mm")&amp;":",", "&amp;Transaksi!$F$2:$F$3000&amp;","))*(Transaksi!$C$2:$C$3000=$A45)*(Transaksi!$H$2:$H$3000&gt;0))&gt;0,"½",IF(Q$43&gt;TODAY(),"·","✗"))))</f>
        <v/>
      </c>
      <c r="R45" s="36">
        <f>IF(OR(R$43&lt;Tetapan!$B6,AND(Tetapan!$C6&lt;&gt;"",R$43&gt;Tetapan!$C6),Tetapan!$E6=0,R$43&gt;Tetapan!$B$21),"–",IF(SUMPRODUCT(ISNUMBER(SEARCH(", "&amp;TEXT(R$43,"yyyy-mm")&amp;",",", "&amp;Transaksi!$F$2:$F$3000&amp;","))*(Transaksi!$C$2:$C$3000=$A45)*(Transaksi!$H$2:$H$3000&gt;0))&gt;0,"✓",IF(SUMPRODUCT(ISNUMBER(SEARCH(", "&amp;TEXT(R$43,"yyyy-mm")&amp;":",", "&amp;Transaksi!$F$2:$F$3000&amp;","))*(Transaksi!$C$2:$C$3000=$A45)*(Transaksi!$H$2:$H$3000&gt;0))&gt;0,"½",IF(R$43&gt;TODAY(),"·","✗"))))</f>
        <v/>
      </c>
      <c r="S45" s="36">
        <f>IF(OR(S$43&lt;Tetapan!$B6,AND(Tetapan!$C6&lt;&gt;"",S$43&gt;Tetapan!$C6),Tetapan!$E6=0,S$43&gt;Tetapan!$B$21),"–",IF(SUMPRODUCT(ISNUMBER(SEARCH(", "&amp;TEXT(S$43,"yyyy-mm")&amp;",",", "&amp;Transaksi!$F$2:$F$3000&amp;","))*(Transaksi!$C$2:$C$3000=$A45)*(Transaksi!$H$2:$H$3000&gt;0))&gt;0,"✓",IF(SUMPRODUCT(ISNUMBER(SEARCH(", "&amp;TEXT(S$43,"yyyy-mm")&amp;":",", "&amp;Transaksi!$F$2:$F$3000&amp;","))*(Transaksi!$C$2:$C$3000=$A45)*(Transaksi!$H$2:$H$3000&gt;0))&gt;0,"½",IF(S$43&gt;TODAY(),"·","✗"))))</f>
        <v/>
      </c>
      <c r="T45" s="36">
        <f>IF(OR(T$43&lt;Tetapan!$B6,AND(Tetapan!$C6&lt;&gt;"",T$43&gt;Tetapan!$C6),Tetapan!$E6=0,T$43&gt;Tetapan!$B$21),"–",IF(SUMPRODUCT(ISNUMBER(SEARCH(", "&amp;TEXT(T$43,"yyyy-mm")&amp;",",", "&amp;Transaksi!$F$2:$F$3000&amp;","))*(Transaksi!$C$2:$C$3000=$A45)*(Transaksi!$H$2:$H$3000&gt;0))&gt;0,"✓",IF(SUMPRODUCT(ISNUMBER(SEARCH(", "&amp;TEXT(T$43,"yyyy-mm")&amp;":",", "&amp;Transaksi!$F$2:$F$3000&amp;","))*(Transaksi!$C$2:$C$3000=$A45)*(Transaksi!$H$2:$H$3000&gt;0))&gt;0,"½",IF(T$43&gt;TODAY(),"·","✗"))))</f>
        <v/>
      </c>
      <c r="V45" s="37">
        <f>IF(B45="✗",TEXT(B$43,"mmm yy")&amp;", ",IF(B45="½",TEXT(B$43,"mmm yy")&amp;" (separa), ",""))&amp;IF(C45="✗",TEXT(C$43,"mmm yy")&amp;", ",IF(C45="½",TEXT(C$43,"mmm yy")&amp;" (separa), ",""))&amp;IF(D45="✗",TEXT(D$43,"mmm yy")&amp;", ",IF(D45="½",TEXT(D$43,"mmm yy")&amp;" (separa), ",""))&amp;IF(E45="✗",TEXT(E$43,"mmm yy")&amp;", ",IF(E45="½",TEXT(E$43,"mmm yy")&amp;" (separa), ",""))&amp;IF(F45="✗",TEXT(F$43,"mmm yy")&amp;", ",IF(F45="½",TEXT(F$43,"mmm yy")&amp;" (separa), ",""))&amp;IF(G45="✗",TEXT(G$43,"mmm yy")&amp;", ",IF(G45="½",TEXT(G$43,"mmm yy")&amp;" (separa), ",""))&amp;IF(H45="✗",TEXT(H$43,"mmm yy")&amp;", ",IF(H45="½",TEXT(H$43,"mmm yy")&amp;" (separa), ",""))&amp;IF(I45="✗",TEXT(I$43,"mmm yy")&amp;", ",IF(I45="½",TEXT(I$43,"mmm yy")&amp;" (separa), ",""))&amp;IF(J45="✗",TEXT(J$43,"mmm yy")&amp;", ",IF(J45="½",TEXT(J$43,"mmm yy")&amp;" (separa), ",""))&amp;IF(K45="✗",TEXT(K$43,"mmm yy")&amp;", ",IF(K45="½",TEXT(K$43,"mmm yy")&amp;" (separa), ",""))&amp;IF(L45="✗",TEXT(L$43,"mmm yy")&amp;", ",IF(L45="½",TEXT(L$43,"mmm yy")&amp;" (separa), ",""))&amp;IF(M45="✗",TEXT(M$43,"mmm yy")&amp;", ",IF(M45="½",TEXT(M$43,"mmm yy")&amp;" (separa), ",""))&amp;IF(N45="✗",TEXT(N$43,"mmm yy")&amp;", ",IF(N45="½",TEXT(N$43,"mmm yy")&amp;" (separa), ",""))&amp;IF(O45="✗",TEXT(O$43,"mmm yy")&amp;", ",IF(O45="½",TEXT(O$43,"mmm yy")&amp;" (separa), ",""))&amp;IF(P45="✗",TEXT(P$43,"mmm yy")&amp;", ",IF(P45="½",TEXT(P$43,"mmm yy")&amp;" (separa), ",""))&amp;IF(Q45="✗",TEXT(Q$43,"mmm yy")&amp;", ",IF(Q45="½",TEXT(Q$43,"mmm yy")&amp;" (separa), ",""))&amp;IF(R45="✗",TEXT(R$43,"mmm yy")&amp;", ",IF(R45="½",TEXT(R$43,"mmm yy")&amp;" (separa), ",""))&amp;IF(S45="✗",TEXT(S$43,"mmm yy")&amp;", ",IF(S45="½",TEXT(S$43,"mmm yy")&amp;" (separa), ",""))&amp;IF(T45="✗",TEXT(T$43,"mmm yy")&amp;", ",IF(T45="½",TEXT(T$43,"mmm yy")&amp;" (separa), ",""))</f>
        <v/>
      </c>
    </row>
    <row r="46">
      <c r="A46" s="32">
        <f>Tetapan!A7</f>
        <v/>
      </c>
      <c r="B46" s="36">
        <f>IF(OR(B$43&lt;Tetapan!$B7,AND(Tetapan!$C7&lt;&gt;"",B$43&gt;Tetapan!$C7),Tetapan!$E7=0,B$43&gt;Tetapan!$B$21),"–",IF(SUMPRODUCT(ISNUMBER(SEARCH(", "&amp;TEXT(B$43,"yyyy-mm")&amp;",",", "&amp;Transaksi!$F$2:$F$3000&amp;","))*(Transaksi!$C$2:$C$3000=$A46)*(Transaksi!$H$2:$H$3000&gt;0))&gt;0,"✓",IF(SUMPRODUCT(ISNUMBER(SEARCH(", "&amp;TEXT(B$43,"yyyy-mm")&amp;":",", "&amp;Transaksi!$F$2:$F$3000&amp;","))*(Transaksi!$C$2:$C$3000=$A46)*(Transaksi!$H$2:$H$3000&gt;0))&gt;0,"½",IF(B$43&gt;TODAY(),"·","✗"))))</f>
        <v/>
      </c>
      <c r="C46" s="36">
        <f>IF(OR(C$43&lt;Tetapan!$B7,AND(Tetapan!$C7&lt;&gt;"",C$43&gt;Tetapan!$C7),Tetapan!$E7=0,C$43&gt;Tetapan!$B$21),"–",IF(SUMPRODUCT(ISNUMBER(SEARCH(", "&amp;TEXT(C$43,"yyyy-mm")&amp;",",", "&amp;Transaksi!$F$2:$F$3000&amp;","))*(Transaksi!$C$2:$C$3000=$A46)*(Transaksi!$H$2:$H$3000&gt;0))&gt;0,"✓",IF(SUMPRODUCT(ISNUMBER(SEARCH(", "&amp;TEXT(C$43,"yyyy-mm")&amp;":",", "&amp;Transaksi!$F$2:$F$3000&amp;","))*(Transaksi!$C$2:$C$3000=$A46)*(Transaksi!$H$2:$H$3000&gt;0))&gt;0,"½",IF(C$43&gt;TODAY(),"·","✗"))))</f>
        <v/>
      </c>
      <c r="D46" s="36">
        <f>IF(OR(D$43&lt;Tetapan!$B7,AND(Tetapan!$C7&lt;&gt;"",D$43&gt;Tetapan!$C7),Tetapan!$E7=0,D$43&gt;Tetapan!$B$21),"–",IF(SUMPRODUCT(ISNUMBER(SEARCH(", "&amp;TEXT(D$43,"yyyy-mm")&amp;",",", "&amp;Transaksi!$F$2:$F$3000&amp;","))*(Transaksi!$C$2:$C$3000=$A46)*(Transaksi!$H$2:$H$3000&gt;0))&gt;0,"✓",IF(SUMPRODUCT(ISNUMBER(SEARCH(", "&amp;TEXT(D$43,"yyyy-mm")&amp;":",", "&amp;Transaksi!$F$2:$F$3000&amp;","))*(Transaksi!$C$2:$C$3000=$A46)*(Transaksi!$H$2:$H$3000&gt;0))&gt;0,"½",IF(D$43&gt;TODAY(),"·","✗"))))</f>
        <v/>
      </c>
      <c r="E46" s="36">
        <f>IF(OR(E$43&lt;Tetapan!$B7,AND(Tetapan!$C7&lt;&gt;"",E$43&gt;Tetapan!$C7),Tetapan!$E7=0,E$43&gt;Tetapan!$B$21),"–",IF(SUMPRODUCT(ISNUMBER(SEARCH(", "&amp;TEXT(E$43,"yyyy-mm")&amp;",",", "&amp;Transaksi!$F$2:$F$3000&amp;","))*(Transaksi!$C$2:$C$3000=$A46)*(Transaksi!$H$2:$H$3000&gt;0))&gt;0,"✓",IF(SUMPRODUCT(ISNUMBER(SEARCH(", "&amp;TEXT(E$43,"yyyy-mm")&amp;":",", "&amp;Transaksi!$F$2:$F$3000&amp;","))*(Transaksi!$C$2:$C$3000=$A46)*(Transaksi!$H$2:$H$3000&gt;0))&gt;0,"½",IF(E$43&gt;TODAY(),"·","✗"))))</f>
        <v/>
      </c>
      <c r="F46" s="36">
        <f>IF(OR(F$43&lt;Tetapan!$B7,AND(Tetapan!$C7&lt;&gt;"",F$43&gt;Tetapan!$C7),Tetapan!$E7=0,F$43&gt;Tetapan!$B$21),"–",IF(SUMPRODUCT(ISNUMBER(SEARCH(", "&amp;TEXT(F$43,"yyyy-mm")&amp;",",", "&amp;Transaksi!$F$2:$F$3000&amp;","))*(Transaksi!$C$2:$C$3000=$A46)*(Transaksi!$H$2:$H$3000&gt;0))&gt;0,"✓",IF(SUMPRODUCT(ISNUMBER(SEARCH(", "&amp;TEXT(F$43,"yyyy-mm")&amp;":",", "&amp;Transaksi!$F$2:$F$3000&amp;","))*(Transaksi!$C$2:$C$3000=$A46)*(Transaksi!$H$2:$H$3000&gt;0))&gt;0,"½",IF(F$43&gt;TODAY(),"·","✗"))))</f>
        <v/>
      </c>
      <c r="G46" s="36">
        <f>IF(OR(G$43&lt;Tetapan!$B7,AND(Tetapan!$C7&lt;&gt;"",G$43&gt;Tetapan!$C7),Tetapan!$E7=0,G$43&gt;Tetapan!$B$21),"–",IF(SUMPRODUCT(ISNUMBER(SEARCH(", "&amp;TEXT(G$43,"yyyy-mm")&amp;",",", "&amp;Transaksi!$F$2:$F$3000&amp;","))*(Transaksi!$C$2:$C$3000=$A46)*(Transaksi!$H$2:$H$3000&gt;0))&gt;0,"✓",IF(SUMPRODUCT(ISNUMBER(SEARCH(", "&amp;TEXT(G$43,"yyyy-mm")&amp;":",", "&amp;Transaksi!$F$2:$F$3000&amp;","))*(Transaksi!$C$2:$C$3000=$A46)*(Transaksi!$H$2:$H$3000&gt;0))&gt;0,"½",IF(G$43&gt;TODAY(),"·","✗"))))</f>
        <v/>
      </c>
      <c r="H46" s="36">
        <f>IF(OR(H$43&lt;Tetapan!$B7,AND(Tetapan!$C7&lt;&gt;"",H$43&gt;Tetapan!$C7),Tetapan!$E7=0,H$43&gt;Tetapan!$B$21),"–",IF(SUMPRODUCT(ISNUMBER(SEARCH(", "&amp;TEXT(H$43,"yyyy-mm")&amp;",",", "&amp;Transaksi!$F$2:$F$3000&amp;","))*(Transaksi!$C$2:$C$3000=$A46)*(Transaksi!$H$2:$H$3000&gt;0))&gt;0,"✓",IF(SUMPRODUCT(ISNUMBER(SEARCH(", "&amp;TEXT(H$43,"yyyy-mm")&amp;":",", "&amp;Transaksi!$F$2:$F$3000&amp;","))*(Transaksi!$C$2:$C$3000=$A46)*(Transaksi!$H$2:$H$3000&gt;0))&gt;0,"½",IF(H$43&gt;TODAY(),"·","✗"))))</f>
        <v/>
      </c>
      <c r="I46" s="36">
        <f>IF(OR(I$43&lt;Tetapan!$B7,AND(Tetapan!$C7&lt;&gt;"",I$43&gt;Tetapan!$C7),Tetapan!$E7=0,I$43&gt;Tetapan!$B$21),"–",IF(SUMPRODUCT(ISNUMBER(SEARCH(", "&amp;TEXT(I$43,"yyyy-mm")&amp;",",", "&amp;Transaksi!$F$2:$F$3000&amp;","))*(Transaksi!$C$2:$C$3000=$A46)*(Transaksi!$H$2:$H$3000&gt;0))&gt;0,"✓",IF(SUMPRODUCT(ISNUMBER(SEARCH(", "&amp;TEXT(I$43,"yyyy-mm")&amp;":",", "&amp;Transaksi!$F$2:$F$3000&amp;","))*(Transaksi!$C$2:$C$3000=$A46)*(Transaksi!$H$2:$H$3000&gt;0))&gt;0,"½",IF(I$43&gt;TODAY(),"·","✗"))))</f>
        <v/>
      </c>
      <c r="J46" s="36">
        <f>IF(OR(J$43&lt;Tetapan!$B7,AND(Tetapan!$C7&lt;&gt;"",J$43&gt;Tetapan!$C7),Tetapan!$E7=0,J$43&gt;Tetapan!$B$21),"–",IF(SUMPRODUCT(ISNUMBER(SEARCH(", "&amp;TEXT(J$43,"yyyy-mm")&amp;",",", "&amp;Transaksi!$F$2:$F$3000&amp;","))*(Transaksi!$C$2:$C$3000=$A46)*(Transaksi!$H$2:$H$3000&gt;0))&gt;0,"✓",IF(SUMPRODUCT(ISNUMBER(SEARCH(", "&amp;TEXT(J$43,"yyyy-mm")&amp;":",", "&amp;Transaksi!$F$2:$F$3000&amp;","))*(Transaksi!$C$2:$C$3000=$A46)*(Transaksi!$H$2:$H$3000&gt;0))&gt;0,"½",IF(J$43&gt;TODAY(),"·","✗"))))</f>
        <v/>
      </c>
      <c r="K46" s="36">
        <f>IF(OR(K$43&lt;Tetapan!$B7,AND(Tetapan!$C7&lt;&gt;"",K$43&gt;Tetapan!$C7),Tetapan!$E7=0,K$43&gt;Tetapan!$B$21),"–",IF(SUMPRODUCT(ISNUMBER(SEARCH(", "&amp;TEXT(K$43,"yyyy-mm")&amp;",",", "&amp;Transaksi!$F$2:$F$3000&amp;","))*(Transaksi!$C$2:$C$3000=$A46)*(Transaksi!$H$2:$H$3000&gt;0))&gt;0,"✓",IF(SUMPRODUCT(ISNUMBER(SEARCH(", "&amp;TEXT(K$43,"yyyy-mm")&amp;":",", "&amp;Transaksi!$F$2:$F$3000&amp;","))*(Transaksi!$C$2:$C$3000=$A46)*(Transaksi!$H$2:$H$3000&gt;0))&gt;0,"½",IF(K$43&gt;TODAY(),"·","✗"))))</f>
        <v/>
      </c>
      <c r="L46" s="36">
        <f>IF(OR(L$43&lt;Tetapan!$B7,AND(Tetapan!$C7&lt;&gt;"",L$43&gt;Tetapan!$C7),Tetapan!$E7=0,L$43&gt;Tetapan!$B$21),"–",IF(SUMPRODUCT(ISNUMBER(SEARCH(", "&amp;TEXT(L$43,"yyyy-mm")&amp;",",", "&amp;Transaksi!$F$2:$F$3000&amp;","))*(Transaksi!$C$2:$C$3000=$A46)*(Transaksi!$H$2:$H$3000&gt;0))&gt;0,"✓",IF(SUMPRODUCT(ISNUMBER(SEARCH(", "&amp;TEXT(L$43,"yyyy-mm")&amp;":",", "&amp;Transaksi!$F$2:$F$3000&amp;","))*(Transaksi!$C$2:$C$3000=$A46)*(Transaksi!$H$2:$H$3000&gt;0))&gt;0,"½",IF(L$43&gt;TODAY(),"·","✗"))))</f>
        <v/>
      </c>
      <c r="M46" s="36">
        <f>IF(OR(M$43&lt;Tetapan!$B7,AND(Tetapan!$C7&lt;&gt;"",M$43&gt;Tetapan!$C7),Tetapan!$E7=0,M$43&gt;Tetapan!$B$21),"–",IF(SUMPRODUCT(ISNUMBER(SEARCH(", "&amp;TEXT(M$43,"yyyy-mm")&amp;",",", "&amp;Transaksi!$F$2:$F$3000&amp;","))*(Transaksi!$C$2:$C$3000=$A46)*(Transaksi!$H$2:$H$3000&gt;0))&gt;0,"✓",IF(SUMPRODUCT(ISNUMBER(SEARCH(", "&amp;TEXT(M$43,"yyyy-mm")&amp;":",", "&amp;Transaksi!$F$2:$F$3000&amp;","))*(Transaksi!$C$2:$C$3000=$A46)*(Transaksi!$H$2:$H$3000&gt;0))&gt;0,"½",IF(M$43&gt;TODAY(),"·","✗"))))</f>
        <v/>
      </c>
      <c r="N46" s="36">
        <f>IF(OR(N$43&lt;Tetapan!$B7,AND(Tetapan!$C7&lt;&gt;"",N$43&gt;Tetapan!$C7),Tetapan!$E7=0,N$43&gt;Tetapan!$B$21),"–",IF(SUMPRODUCT(ISNUMBER(SEARCH(", "&amp;TEXT(N$43,"yyyy-mm")&amp;",",", "&amp;Transaksi!$F$2:$F$3000&amp;","))*(Transaksi!$C$2:$C$3000=$A46)*(Transaksi!$H$2:$H$3000&gt;0))&gt;0,"✓",IF(SUMPRODUCT(ISNUMBER(SEARCH(", "&amp;TEXT(N$43,"yyyy-mm")&amp;":",", "&amp;Transaksi!$F$2:$F$3000&amp;","))*(Transaksi!$C$2:$C$3000=$A46)*(Transaksi!$H$2:$H$3000&gt;0))&gt;0,"½",IF(N$43&gt;TODAY(),"·","✗"))))</f>
        <v/>
      </c>
      <c r="O46" s="36">
        <f>IF(OR(O$43&lt;Tetapan!$B7,AND(Tetapan!$C7&lt;&gt;"",O$43&gt;Tetapan!$C7),Tetapan!$E7=0,O$43&gt;Tetapan!$B$21),"–",IF(SUMPRODUCT(ISNUMBER(SEARCH(", "&amp;TEXT(O$43,"yyyy-mm")&amp;",",", "&amp;Transaksi!$F$2:$F$3000&amp;","))*(Transaksi!$C$2:$C$3000=$A46)*(Transaksi!$H$2:$H$3000&gt;0))&gt;0,"✓",IF(SUMPRODUCT(ISNUMBER(SEARCH(", "&amp;TEXT(O$43,"yyyy-mm")&amp;":",", "&amp;Transaksi!$F$2:$F$3000&amp;","))*(Transaksi!$C$2:$C$3000=$A46)*(Transaksi!$H$2:$H$3000&gt;0))&gt;0,"½",IF(O$43&gt;TODAY(),"·","✗"))))</f>
        <v/>
      </c>
      <c r="P46" s="36">
        <f>IF(OR(P$43&lt;Tetapan!$B7,AND(Tetapan!$C7&lt;&gt;"",P$43&gt;Tetapan!$C7),Tetapan!$E7=0,P$43&gt;Tetapan!$B$21),"–",IF(SUMPRODUCT(ISNUMBER(SEARCH(", "&amp;TEXT(P$43,"yyyy-mm")&amp;",",", "&amp;Transaksi!$F$2:$F$3000&amp;","))*(Transaksi!$C$2:$C$3000=$A46)*(Transaksi!$H$2:$H$3000&gt;0))&gt;0,"✓",IF(SUMPRODUCT(ISNUMBER(SEARCH(", "&amp;TEXT(P$43,"yyyy-mm")&amp;":",", "&amp;Transaksi!$F$2:$F$3000&amp;","))*(Transaksi!$C$2:$C$3000=$A46)*(Transaksi!$H$2:$H$3000&gt;0))&gt;0,"½",IF(P$43&gt;TODAY(),"·","✗"))))</f>
        <v/>
      </c>
      <c r="Q46" s="36">
        <f>IF(OR(Q$43&lt;Tetapan!$B7,AND(Tetapan!$C7&lt;&gt;"",Q$43&gt;Tetapan!$C7),Tetapan!$E7=0,Q$43&gt;Tetapan!$B$21),"–",IF(SUMPRODUCT(ISNUMBER(SEARCH(", "&amp;TEXT(Q$43,"yyyy-mm")&amp;",",", "&amp;Transaksi!$F$2:$F$3000&amp;","))*(Transaksi!$C$2:$C$3000=$A46)*(Transaksi!$H$2:$H$3000&gt;0))&gt;0,"✓",IF(SUMPRODUCT(ISNUMBER(SEARCH(", "&amp;TEXT(Q$43,"yyyy-mm")&amp;":",", "&amp;Transaksi!$F$2:$F$3000&amp;","))*(Transaksi!$C$2:$C$3000=$A46)*(Transaksi!$H$2:$H$3000&gt;0))&gt;0,"½",IF(Q$43&gt;TODAY(),"·","✗"))))</f>
        <v/>
      </c>
      <c r="R46" s="36">
        <f>IF(OR(R$43&lt;Tetapan!$B7,AND(Tetapan!$C7&lt;&gt;"",R$43&gt;Tetapan!$C7),Tetapan!$E7=0,R$43&gt;Tetapan!$B$21),"–",IF(SUMPRODUCT(ISNUMBER(SEARCH(", "&amp;TEXT(R$43,"yyyy-mm")&amp;",",", "&amp;Transaksi!$F$2:$F$3000&amp;","))*(Transaksi!$C$2:$C$3000=$A46)*(Transaksi!$H$2:$H$3000&gt;0))&gt;0,"✓",IF(SUMPRODUCT(ISNUMBER(SEARCH(", "&amp;TEXT(R$43,"yyyy-mm")&amp;":",", "&amp;Transaksi!$F$2:$F$3000&amp;","))*(Transaksi!$C$2:$C$3000=$A46)*(Transaksi!$H$2:$H$3000&gt;0))&gt;0,"½",IF(R$43&gt;TODAY(),"·","✗"))))</f>
        <v/>
      </c>
      <c r="S46" s="36">
        <f>IF(OR(S$43&lt;Tetapan!$B7,AND(Tetapan!$C7&lt;&gt;"",S$43&gt;Tetapan!$C7),Tetapan!$E7=0,S$43&gt;Tetapan!$B$21),"–",IF(SUMPRODUCT(ISNUMBER(SEARCH(", "&amp;TEXT(S$43,"yyyy-mm")&amp;",",", "&amp;Transaksi!$F$2:$F$3000&amp;","))*(Transaksi!$C$2:$C$3000=$A46)*(Transaksi!$H$2:$H$3000&gt;0))&gt;0,"✓",IF(SUMPRODUCT(ISNUMBER(SEARCH(", "&amp;TEXT(S$43,"yyyy-mm")&amp;":",", "&amp;Transaksi!$F$2:$F$3000&amp;","))*(Transaksi!$C$2:$C$3000=$A46)*(Transaksi!$H$2:$H$3000&gt;0))&gt;0,"½",IF(S$43&gt;TODAY(),"·","✗"))))</f>
        <v/>
      </c>
      <c r="T46" s="36">
        <f>IF(OR(T$43&lt;Tetapan!$B7,AND(Tetapan!$C7&lt;&gt;"",T$43&gt;Tetapan!$C7),Tetapan!$E7=0,T$43&gt;Tetapan!$B$21),"–",IF(SUMPRODUCT(ISNUMBER(SEARCH(", "&amp;TEXT(T$43,"yyyy-mm")&amp;",",", "&amp;Transaksi!$F$2:$F$3000&amp;","))*(Transaksi!$C$2:$C$3000=$A46)*(Transaksi!$H$2:$H$3000&gt;0))&gt;0,"✓",IF(SUMPRODUCT(ISNUMBER(SEARCH(", "&amp;TEXT(T$43,"yyyy-mm")&amp;":",", "&amp;Transaksi!$F$2:$F$3000&amp;","))*(Transaksi!$C$2:$C$3000=$A46)*(Transaksi!$H$2:$H$3000&gt;0))&gt;0,"½",IF(T$43&gt;TODAY(),"·","✗"))))</f>
        <v/>
      </c>
      <c r="V46" s="37">
        <f>IF(B46="✗",TEXT(B$43,"mmm yy")&amp;", ",IF(B46="½",TEXT(B$43,"mmm yy")&amp;" (separa), ",""))&amp;IF(C46="✗",TEXT(C$43,"mmm yy")&amp;", ",IF(C46="½",TEXT(C$43,"mmm yy")&amp;" (separa), ",""))&amp;IF(D46="✗",TEXT(D$43,"mmm yy")&amp;", ",IF(D46="½",TEXT(D$43,"mmm yy")&amp;" (separa), ",""))&amp;IF(E46="✗",TEXT(E$43,"mmm yy")&amp;", ",IF(E46="½",TEXT(E$43,"mmm yy")&amp;" (separa), ",""))&amp;IF(F46="✗",TEXT(F$43,"mmm yy")&amp;", ",IF(F46="½",TEXT(F$43,"mmm yy")&amp;" (separa), ",""))&amp;IF(G46="✗",TEXT(G$43,"mmm yy")&amp;", ",IF(G46="½",TEXT(G$43,"mmm yy")&amp;" (separa), ",""))&amp;IF(H46="✗",TEXT(H$43,"mmm yy")&amp;", ",IF(H46="½",TEXT(H$43,"mmm yy")&amp;" (separa), ",""))&amp;IF(I46="✗",TEXT(I$43,"mmm yy")&amp;", ",IF(I46="½",TEXT(I$43,"mmm yy")&amp;" (separa), ",""))&amp;IF(J46="✗",TEXT(J$43,"mmm yy")&amp;", ",IF(J46="½",TEXT(J$43,"mmm yy")&amp;" (separa), ",""))&amp;IF(K46="✗",TEXT(K$43,"mmm yy")&amp;", ",IF(K46="½",TEXT(K$43,"mmm yy")&amp;" (separa), ",""))&amp;IF(L46="✗",TEXT(L$43,"mmm yy")&amp;", ",IF(L46="½",TEXT(L$43,"mmm yy")&amp;" (separa), ",""))&amp;IF(M46="✗",TEXT(M$43,"mmm yy")&amp;", ",IF(M46="½",TEXT(M$43,"mmm yy")&amp;" (separa), ",""))&amp;IF(N46="✗",TEXT(N$43,"mmm yy")&amp;", ",IF(N46="½",TEXT(N$43,"mmm yy")&amp;" (separa), ",""))&amp;IF(O46="✗",TEXT(O$43,"mmm yy")&amp;", ",IF(O46="½",TEXT(O$43,"mmm yy")&amp;" (separa), ",""))&amp;IF(P46="✗",TEXT(P$43,"mmm yy")&amp;", ",IF(P46="½",TEXT(P$43,"mmm yy")&amp;" (separa), ",""))&amp;IF(Q46="✗",TEXT(Q$43,"mmm yy")&amp;", ",IF(Q46="½",TEXT(Q$43,"mmm yy")&amp;" (separa), ",""))&amp;IF(R46="✗",TEXT(R$43,"mmm yy")&amp;", ",IF(R46="½",TEXT(R$43,"mmm yy")&amp;" (separa), ",""))&amp;IF(S46="✗",TEXT(S$43,"mmm yy")&amp;", ",IF(S46="½",TEXT(S$43,"mmm yy")&amp;" (separa), ",""))&amp;IF(T46="✗",TEXT(T$43,"mmm yy")&amp;", ",IF(T46="½",TEXT(T$43,"mmm yy")&amp;" (separa), ",""))</f>
        <v/>
      </c>
    </row>
    <row r="47">
      <c r="A47" s="32">
        <f>Tetapan!A8</f>
        <v/>
      </c>
      <c r="B47" s="36">
        <f>IF(OR(B$43&lt;Tetapan!$B8,AND(Tetapan!$C8&lt;&gt;"",B$43&gt;Tetapan!$C8),Tetapan!$E8=0,B$43&gt;Tetapan!$B$21),"–",IF(SUMPRODUCT(ISNUMBER(SEARCH(", "&amp;TEXT(B$43,"yyyy-mm")&amp;",",", "&amp;Transaksi!$F$2:$F$3000&amp;","))*(Transaksi!$C$2:$C$3000=$A47)*(Transaksi!$H$2:$H$3000&gt;0))&gt;0,"✓",IF(SUMPRODUCT(ISNUMBER(SEARCH(", "&amp;TEXT(B$43,"yyyy-mm")&amp;":",", "&amp;Transaksi!$F$2:$F$3000&amp;","))*(Transaksi!$C$2:$C$3000=$A47)*(Transaksi!$H$2:$H$3000&gt;0))&gt;0,"½",IF(B$43&gt;TODAY(),"·","✗"))))</f>
        <v/>
      </c>
      <c r="C47" s="36">
        <f>IF(OR(C$43&lt;Tetapan!$B8,AND(Tetapan!$C8&lt;&gt;"",C$43&gt;Tetapan!$C8),Tetapan!$E8=0,C$43&gt;Tetapan!$B$21),"–",IF(SUMPRODUCT(ISNUMBER(SEARCH(", "&amp;TEXT(C$43,"yyyy-mm")&amp;",",", "&amp;Transaksi!$F$2:$F$3000&amp;","))*(Transaksi!$C$2:$C$3000=$A47)*(Transaksi!$H$2:$H$3000&gt;0))&gt;0,"✓",IF(SUMPRODUCT(ISNUMBER(SEARCH(", "&amp;TEXT(C$43,"yyyy-mm")&amp;":",", "&amp;Transaksi!$F$2:$F$3000&amp;","))*(Transaksi!$C$2:$C$3000=$A47)*(Transaksi!$H$2:$H$3000&gt;0))&gt;0,"½",IF(C$43&gt;TODAY(),"·","✗"))))</f>
        <v/>
      </c>
      <c r="D47" s="36">
        <f>IF(OR(D$43&lt;Tetapan!$B8,AND(Tetapan!$C8&lt;&gt;"",D$43&gt;Tetapan!$C8),Tetapan!$E8=0,D$43&gt;Tetapan!$B$21),"–",IF(SUMPRODUCT(ISNUMBER(SEARCH(", "&amp;TEXT(D$43,"yyyy-mm")&amp;",",", "&amp;Transaksi!$F$2:$F$3000&amp;","))*(Transaksi!$C$2:$C$3000=$A47)*(Transaksi!$H$2:$H$3000&gt;0))&gt;0,"✓",IF(SUMPRODUCT(ISNUMBER(SEARCH(", "&amp;TEXT(D$43,"yyyy-mm")&amp;":",", "&amp;Transaksi!$F$2:$F$3000&amp;","))*(Transaksi!$C$2:$C$3000=$A47)*(Transaksi!$H$2:$H$3000&gt;0))&gt;0,"½",IF(D$43&gt;TODAY(),"·","✗"))))</f>
        <v/>
      </c>
      <c r="E47" s="36">
        <f>IF(OR(E$43&lt;Tetapan!$B8,AND(Tetapan!$C8&lt;&gt;"",E$43&gt;Tetapan!$C8),Tetapan!$E8=0,E$43&gt;Tetapan!$B$21),"–",IF(SUMPRODUCT(ISNUMBER(SEARCH(", "&amp;TEXT(E$43,"yyyy-mm")&amp;",",", "&amp;Transaksi!$F$2:$F$3000&amp;","))*(Transaksi!$C$2:$C$3000=$A47)*(Transaksi!$H$2:$H$3000&gt;0))&gt;0,"✓",IF(SUMPRODUCT(ISNUMBER(SEARCH(", "&amp;TEXT(E$43,"yyyy-mm")&amp;":",", "&amp;Transaksi!$F$2:$F$3000&amp;","))*(Transaksi!$C$2:$C$3000=$A47)*(Transaksi!$H$2:$H$3000&gt;0))&gt;0,"½",IF(E$43&gt;TODAY(),"·","✗"))))</f>
        <v/>
      </c>
      <c r="F47" s="36">
        <f>IF(OR(F$43&lt;Tetapan!$B8,AND(Tetapan!$C8&lt;&gt;"",F$43&gt;Tetapan!$C8),Tetapan!$E8=0,F$43&gt;Tetapan!$B$21),"–",IF(SUMPRODUCT(ISNUMBER(SEARCH(", "&amp;TEXT(F$43,"yyyy-mm")&amp;",",", "&amp;Transaksi!$F$2:$F$3000&amp;","))*(Transaksi!$C$2:$C$3000=$A47)*(Transaksi!$H$2:$H$3000&gt;0))&gt;0,"✓",IF(SUMPRODUCT(ISNUMBER(SEARCH(", "&amp;TEXT(F$43,"yyyy-mm")&amp;":",", "&amp;Transaksi!$F$2:$F$3000&amp;","))*(Transaksi!$C$2:$C$3000=$A47)*(Transaksi!$H$2:$H$3000&gt;0))&gt;0,"½",IF(F$43&gt;TODAY(),"·","✗"))))</f>
        <v/>
      </c>
      <c r="G47" s="36">
        <f>IF(OR(G$43&lt;Tetapan!$B8,AND(Tetapan!$C8&lt;&gt;"",G$43&gt;Tetapan!$C8),Tetapan!$E8=0,G$43&gt;Tetapan!$B$21),"–",IF(SUMPRODUCT(ISNUMBER(SEARCH(", "&amp;TEXT(G$43,"yyyy-mm")&amp;",",", "&amp;Transaksi!$F$2:$F$3000&amp;","))*(Transaksi!$C$2:$C$3000=$A47)*(Transaksi!$H$2:$H$3000&gt;0))&gt;0,"✓",IF(SUMPRODUCT(ISNUMBER(SEARCH(", "&amp;TEXT(G$43,"yyyy-mm")&amp;":",", "&amp;Transaksi!$F$2:$F$3000&amp;","))*(Transaksi!$C$2:$C$3000=$A47)*(Transaksi!$H$2:$H$3000&gt;0))&gt;0,"½",IF(G$43&gt;TODAY(),"·","✗"))))</f>
        <v/>
      </c>
      <c r="H47" s="36">
        <f>IF(OR(H$43&lt;Tetapan!$B8,AND(Tetapan!$C8&lt;&gt;"",H$43&gt;Tetapan!$C8),Tetapan!$E8=0,H$43&gt;Tetapan!$B$21),"–",IF(SUMPRODUCT(ISNUMBER(SEARCH(", "&amp;TEXT(H$43,"yyyy-mm")&amp;",",", "&amp;Transaksi!$F$2:$F$3000&amp;","))*(Transaksi!$C$2:$C$3000=$A47)*(Transaksi!$H$2:$H$3000&gt;0))&gt;0,"✓",IF(SUMPRODUCT(ISNUMBER(SEARCH(", "&amp;TEXT(H$43,"yyyy-mm")&amp;":",", "&amp;Transaksi!$F$2:$F$3000&amp;","))*(Transaksi!$C$2:$C$3000=$A47)*(Transaksi!$H$2:$H$3000&gt;0))&gt;0,"½",IF(H$43&gt;TODAY(),"·","✗"))))</f>
        <v/>
      </c>
      <c r="I47" s="36">
        <f>IF(OR(I$43&lt;Tetapan!$B8,AND(Tetapan!$C8&lt;&gt;"",I$43&gt;Tetapan!$C8),Tetapan!$E8=0,I$43&gt;Tetapan!$B$21),"–",IF(SUMPRODUCT(ISNUMBER(SEARCH(", "&amp;TEXT(I$43,"yyyy-mm")&amp;",",", "&amp;Transaksi!$F$2:$F$3000&amp;","))*(Transaksi!$C$2:$C$3000=$A47)*(Transaksi!$H$2:$H$3000&gt;0))&gt;0,"✓",IF(SUMPRODUCT(ISNUMBER(SEARCH(", "&amp;TEXT(I$43,"yyyy-mm")&amp;":",", "&amp;Transaksi!$F$2:$F$3000&amp;","))*(Transaksi!$C$2:$C$3000=$A47)*(Transaksi!$H$2:$H$3000&gt;0))&gt;0,"½",IF(I$43&gt;TODAY(),"·","✗"))))</f>
        <v/>
      </c>
      <c r="J47" s="36">
        <f>IF(OR(J$43&lt;Tetapan!$B8,AND(Tetapan!$C8&lt;&gt;"",J$43&gt;Tetapan!$C8),Tetapan!$E8=0,J$43&gt;Tetapan!$B$21),"–",IF(SUMPRODUCT(ISNUMBER(SEARCH(", "&amp;TEXT(J$43,"yyyy-mm")&amp;",",", "&amp;Transaksi!$F$2:$F$3000&amp;","))*(Transaksi!$C$2:$C$3000=$A47)*(Transaksi!$H$2:$H$3000&gt;0))&gt;0,"✓",IF(SUMPRODUCT(ISNUMBER(SEARCH(", "&amp;TEXT(J$43,"yyyy-mm")&amp;":",", "&amp;Transaksi!$F$2:$F$3000&amp;","))*(Transaksi!$C$2:$C$3000=$A47)*(Transaksi!$H$2:$H$3000&gt;0))&gt;0,"½",IF(J$43&gt;TODAY(),"·","✗"))))</f>
        <v/>
      </c>
      <c r="K47" s="36">
        <f>IF(OR(K$43&lt;Tetapan!$B8,AND(Tetapan!$C8&lt;&gt;"",K$43&gt;Tetapan!$C8),Tetapan!$E8=0,K$43&gt;Tetapan!$B$21),"–",IF(SUMPRODUCT(ISNUMBER(SEARCH(", "&amp;TEXT(K$43,"yyyy-mm")&amp;",",", "&amp;Transaksi!$F$2:$F$3000&amp;","))*(Transaksi!$C$2:$C$3000=$A47)*(Transaksi!$H$2:$H$3000&gt;0))&gt;0,"✓",IF(SUMPRODUCT(ISNUMBER(SEARCH(", "&amp;TEXT(K$43,"yyyy-mm")&amp;":",", "&amp;Transaksi!$F$2:$F$3000&amp;","))*(Transaksi!$C$2:$C$3000=$A47)*(Transaksi!$H$2:$H$3000&gt;0))&gt;0,"½",IF(K$43&gt;TODAY(),"·","✗"))))</f>
        <v/>
      </c>
      <c r="L47" s="36">
        <f>IF(OR(L$43&lt;Tetapan!$B8,AND(Tetapan!$C8&lt;&gt;"",L$43&gt;Tetapan!$C8),Tetapan!$E8=0,L$43&gt;Tetapan!$B$21),"–",IF(SUMPRODUCT(ISNUMBER(SEARCH(", "&amp;TEXT(L$43,"yyyy-mm")&amp;",",", "&amp;Transaksi!$F$2:$F$3000&amp;","))*(Transaksi!$C$2:$C$3000=$A47)*(Transaksi!$H$2:$H$3000&gt;0))&gt;0,"✓",IF(SUMPRODUCT(ISNUMBER(SEARCH(", "&amp;TEXT(L$43,"yyyy-mm")&amp;":",", "&amp;Transaksi!$F$2:$F$3000&amp;","))*(Transaksi!$C$2:$C$3000=$A47)*(Transaksi!$H$2:$H$3000&gt;0))&gt;0,"½",IF(L$43&gt;TODAY(),"·","✗"))))</f>
        <v/>
      </c>
      <c r="M47" s="36">
        <f>IF(OR(M$43&lt;Tetapan!$B8,AND(Tetapan!$C8&lt;&gt;"",M$43&gt;Tetapan!$C8),Tetapan!$E8=0,M$43&gt;Tetapan!$B$21),"–",IF(SUMPRODUCT(ISNUMBER(SEARCH(", "&amp;TEXT(M$43,"yyyy-mm")&amp;",",", "&amp;Transaksi!$F$2:$F$3000&amp;","))*(Transaksi!$C$2:$C$3000=$A47)*(Transaksi!$H$2:$H$3000&gt;0))&gt;0,"✓",IF(SUMPRODUCT(ISNUMBER(SEARCH(", "&amp;TEXT(M$43,"yyyy-mm")&amp;":",", "&amp;Transaksi!$F$2:$F$3000&amp;","))*(Transaksi!$C$2:$C$3000=$A47)*(Transaksi!$H$2:$H$3000&gt;0))&gt;0,"½",IF(M$43&gt;TODAY(),"·","✗"))))</f>
        <v/>
      </c>
      <c r="N47" s="36">
        <f>IF(OR(N$43&lt;Tetapan!$B8,AND(Tetapan!$C8&lt;&gt;"",N$43&gt;Tetapan!$C8),Tetapan!$E8=0,N$43&gt;Tetapan!$B$21),"–",IF(SUMPRODUCT(ISNUMBER(SEARCH(", "&amp;TEXT(N$43,"yyyy-mm")&amp;",",", "&amp;Transaksi!$F$2:$F$3000&amp;","))*(Transaksi!$C$2:$C$3000=$A47)*(Transaksi!$H$2:$H$3000&gt;0))&gt;0,"✓",IF(SUMPRODUCT(ISNUMBER(SEARCH(", "&amp;TEXT(N$43,"yyyy-mm")&amp;":",", "&amp;Transaksi!$F$2:$F$3000&amp;","))*(Transaksi!$C$2:$C$3000=$A47)*(Transaksi!$H$2:$H$3000&gt;0))&gt;0,"½",IF(N$43&gt;TODAY(),"·","✗"))))</f>
        <v/>
      </c>
      <c r="O47" s="36">
        <f>IF(OR(O$43&lt;Tetapan!$B8,AND(Tetapan!$C8&lt;&gt;"",O$43&gt;Tetapan!$C8),Tetapan!$E8=0,O$43&gt;Tetapan!$B$21),"–",IF(SUMPRODUCT(ISNUMBER(SEARCH(", "&amp;TEXT(O$43,"yyyy-mm")&amp;",",", "&amp;Transaksi!$F$2:$F$3000&amp;","))*(Transaksi!$C$2:$C$3000=$A47)*(Transaksi!$H$2:$H$3000&gt;0))&gt;0,"✓",IF(SUMPRODUCT(ISNUMBER(SEARCH(", "&amp;TEXT(O$43,"yyyy-mm")&amp;":",", "&amp;Transaksi!$F$2:$F$3000&amp;","))*(Transaksi!$C$2:$C$3000=$A47)*(Transaksi!$H$2:$H$3000&gt;0))&gt;0,"½",IF(O$43&gt;TODAY(),"·","✗"))))</f>
        <v/>
      </c>
      <c r="P47" s="36">
        <f>IF(OR(P$43&lt;Tetapan!$B8,AND(Tetapan!$C8&lt;&gt;"",P$43&gt;Tetapan!$C8),Tetapan!$E8=0,P$43&gt;Tetapan!$B$21),"–",IF(SUMPRODUCT(ISNUMBER(SEARCH(", "&amp;TEXT(P$43,"yyyy-mm")&amp;",",", "&amp;Transaksi!$F$2:$F$3000&amp;","))*(Transaksi!$C$2:$C$3000=$A47)*(Transaksi!$H$2:$H$3000&gt;0))&gt;0,"✓",IF(SUMPRODUCT(ISNUMBER(SEARCH(", "&amp;TEXT(P$43,"yyyy-mm")&amp;":",", "&amp;Transaksi!$F$2:$F$3000&amp;","))*(Transaksi!$C$2:$C$3000=$A47)*(Transaksi!$H$2:$H$3000&gt;0))&gt;0,"½",IF(P$43&gt;TODAY(),"·","✗"))))</f>
        <v/>
      </c>
      <c r="Q47" s="36">
        <f>IF(OR(Q$43&lt;Tetapan!$B8,AND(Tetapan!$C8&lt;&gt;"",Q$43&gt;Tetapan!$C8),Tetapan!$E8=0,Q$43&gt;Tetapan!$B$21),"–",IF(SUMPRODUCT(ISNUMBER(SEARCH(", "&amp;TEXT(Q$43,"yyyy-mm")&amp;",",", "&amp;Transaksi!$F$2:$F$3000&amp;","))*(Transaksi!$C$2:$C$3000=$A47)*(Transaksi!$H$2:$H$3000&gt;0))&gt;0,"✓",IF(SUMPRODUCT(ISNUMBER(SEARCH(", "&amp;TEXT(Q$43,"yyyy-mm")&amp;":",", "&amp;Transaksi!$F$2:$F$3000&amp;","))*(Transaksi!$C$2:$C$3000=$A47)*(Transaksi!$H$2:$H$3000&gt;0))&gt;0,"½",IF(Q$43&gt;TODAY(),"·","✗"))))</f>
        <v/>
      </c>
      <c r="R47" s="36">
        <f>IF(OR(R$43&lt;Tetapan!$B8,AND(Tetapan!$C8&lt;&gt;"",R$43&gt;Tetapan!$C8),Tetapan!$E8=0,R$43&gt;Tetapan!$B$21),"–",IF(SUMPRODUCT(ISNUMBER(SEARCH(", "&amp;TEXT(R$43,"yyyy-mm")&amp;",",", "&amp;Transaksi!$F$2:$F$3000&amp;","))*(Transaksi!$C$2:$C$3000=$A47)*(Transaksi!$H$2:$H$3000&gt;0))&gt;0,"✓",IF(SUMPRODUCT(ISNUMBER(SEARCH(", "&amp;TEXT(R$43,"yyyy-mm")&amp;":",", "&amp;Transaksi!$F$2:$F$3000&amp;","))*(Transaksi!$C$2:$C$3000=$A47)*(Transaksi!$H$2:$H$3000&gt;0))&gt;0,"½",IF(R$43&gt;TODAY(),"·","✗"))))</f>
        <v/>
      </c>
      <c r="S47" s="36">
        <f>IF(OR(S$43&lt;Tetapan!$B8,AND(Tetapan!$C8&lt;&gt;"",S$43&gt;Tetapan!$C8),Tetapan!$E8=0,S$43&gt;Tetapan!$B$21),"–",IF(SUMPRODUCT(ISNUMBER(SEARCH(", "&amp;TEXT(S$43,"yyyy-mm")&amp;",",", "&amp;Transaksi!$F$2:$F$3000&amp;","))*(Transaksi!$C$2:$C$3000=$A47)*(Transaksi!$H$2:$H$3000&gt;0))&gt;0,"✓",IF(SUMPRODUCT(ISNUMBER(SEARCH(", "&amp;TEXT(S$43,"yyyy-mm")&amp;":",", "&amp;Transaksi!$F$2:$F$3000&amp;","))*(Transaksi!$C$2:$C$3000=$A47)*(Transaksi!$H$2:$H$3000&gt;0))&gt;0,"½",IF(S$43&gt;TODAY(),"·","✗"))))</f>
        <v/>
      </c>
      <c r="T47" s="36">
        <f>IF(OR(T$43&lt;Tetapan!$B8,AND(Tetapan!$C8&lt;&gt;"",T$43&gt;Tetapan!$C8),Tetapan!$E8=0,T$43&gt;Tetapan!$B$21),"–",IF(SUMPRODUCT(ISNUMBER(SEARCH(", "&amp;TEXT(T$43,"yyyy-mm")&amp;",",", "&amp;Transaksi!$F$2:$F$3000&amp;","))*(Transaksi!$C$2:$C$3000=$A47)*(Transaksi!$H$2:$H$3000&gt;0))&gt;0,"✓",IF(SUMPRODUCT(ISNUMBER(SEARCH(", "&amp;TEXT(T$43,"yyyy-mm")&amp;":",", "&amp;Transaksi!$F$2:$F$3000&amp;","))*(Transaksi!$C$2:$C$3000=$A47)*(Transaksi!$H$2:$H$3000&gt;0))&gt;0,"½",IF(T$43&gt;TODAY(),"·","✗"))))</f>
        <v/>
      </c>
      <c r="V47" s="37">
        <f>IF(B47="✗",TEXT(B$43,"mmm yy")&amp;", ",IF(B47="½",TEXT(B$43,"mmm yy")&amp;" (separa), ",""))&amp;IF(C47="✗",TEXT(C$43,"mmm yy")&amp;", ",IF(C47="½",TEXT(C$43,"mmm yy")&amp;" (separa), ",""))&amp;IF(D47="✗",TEXT(D$43,"mmm yy")&amp;", ",IF(D47="½",TEXT(D$43,"mmm yy")&amp;" (separa), ",""))&amp;IF(E47="✗",TEXT(E$43,"mmm yy")&amp;", ",IF(E47="½",TEXT(E$43,"mmm yy")&amp;" (separa), ",""))&amp;IF(F47="✗",TEXT(F$43,"mmm yy")&amp;", ",IF(F47="½",TEXT(F$43,"mmm yy")&amp;" (separa), ",""))&amp;IF(G47="✗",TEXT(G$43,"mmm yy")&amp;", ",IF(G47="½",TEXT(G$43,"mmm yy")&amp;" (separa), ",""))&amp;IF(H47="✗",TEXT(H$43,"mmm yy")&amp;", ",IF(H47="½",TEXT(H$43,"mmm yy")&amp;" (separa), ",""))&amp;IF(I47="✗",TEXT(I$43,"mmm yy")&amp;", ",IF(I47="½",TEXT(I$43,"mmm yy")&amp;" (separa), ",""))&amp;IF(J47="✗",TEXT(J$43,"mmm yy")&amp;", ",IF(J47="½",TEXT(J$43,"mmm yy")&amp;" (separa), ",""))&amp;IF(K47="✗",TEXT(K$43,"mmm yy")&amp;", ",IF(K47="½",TEXT(K$43,"mmm yy")&amp;" (separa), ",""))&amp;IF(L47="✗",TEXT(L$43,"mmm yy")&amp;", ",IF(L47="½",TEXT(L$43,"mmm yy")&amp;" (separa), ",""))&amp;IF(M47="✗",TEXT(M$43,"mmm yy")&amp;", ",IF(M47="½",TEXT(M$43,"mmm yy")&amp;" (separa), ",""))&amp;IF(N47="✗",TEXT(N$43,"mmm yy")&amp;", ",IF(N47="½",TEXT(N$43,"mmm yy")&amp;" (separa), ",""))&amp;IF(O47="✗",TEXT(O$43,"mmm yy")&amp;", ",IF(O47="½",TEXT(O$43,"mmm yy")&amp;" (separa), ",""))&amp;IF(P47="✗",TEXT(P$43,"mmm yy")&amp;", ",IF(P47="½",TEXT(P$43,"mmm yy")&amp;" (separa), ",""))&amp;IF(Q47="✗",TEXT(Q$43,"mmm yy")&amp;", ",IF(Q47="½",TEXT(Q$43,"mmm yy")&amp;" (separa), ",""))&amp;IF(R47="✗",TEXT(R$43,"mmm yy")&amp;", ",IF(R47="½",TEXT(R$43,"mmm yy")&amp;" (separa), ",""))&amp;IF(S47="✗",TEXT(S$43,"mmm yy")&amp;", ",IF(S47="½",TEXT(S$43,"mmm yy")&amp;" (separa), ",""))&amp;IF(T47="✗",TEXT(T$43,"mmm yy")&amp;", ",IF(T47="½",TEXT(T$43,"mmm yy")&amp;" (separa), ",""))</f>
        <v/>
      </c>
    </row>
    <row r="48">
      <c r="A48" s="32">
        <f>Tetapan!A9</f>
        <v/>
      </c>
      <c r="B48" s="36">
        <f>IF(OR(B$43&lt;Tetapan!$B9,AND(Tetapan!$C9&lt;&gt;"",B$43&gt;Tetapan!$C9),Tetapan!$E9=0,B$43&gt;Tetapan!$B$21),"–",IF(SUMPRODUCT(ISNUMBER(SEARCH(", "&amp;TEXT(B$43,"yyyy-mm")&amp;",",", "&amp;Transaksi!$F$2:$F$3000&amp;","))*(Transaksi!$C$2:$C$3000=$A48)*(Transaksi!$H$2:$H$3000&gt;0))&gt;0,"✓",IF(SUMPRODUCT(ISNUMBER(SEARCH(", "&amp;TEXT(B$43,"yyyy-mm")&amp;":",", "&amp;Transaksi!$F$2:$F$3000&amp;","))*(Transaksi!$C$2:$C$3000=$A48)*(Transaksi!$H$2:$H$3000&gt;0))&gt;0,"½",IF(B$43&gt;TODAY(),"·","✗"))))</f>
        <v/>
      </c>
      <c r="C48" s="36">
        <f>IF(OR(C$43&lt;Tetapan!$B9,AND(Tetapan!$C9&lt;&gt;"",C$43&gt;Tetapan!$C9),Tetapan!$E9=0,C$43&gt;Tetapan!$B$21),"–",IF(SUMPRODUCT(ISNUMBER(SEARCH(", "&amp;TEXT(C$43,"yyyy-mm")&amp;",",", "&amp;Transaksi!$F$2:$F$3000&amp;","))*(Transaksi!$C$2:$C$3000=$A48)*(Transaksi!$H$2:$H$3000&gt;0))&gt;0,"✓",IF(SUMPRODUCT(ISNUMBER(SEARCH(", "&amp;TEXT(C$43,"yyyy-mm")&amp;":",", "&amp;Transaksi!$F$2:$F$3000&amp;","))*(Transaksi!$C$2:$C$3000=$A48)*(Transaksi!$H$2:$H$3000&gt;0))&gt;0,"½",IF(C$43&gt;TODAY(),"·","✗"))))</f>
        <v/>
      </c>
      <c r="D48" s="36">
        <f>IF(OR(D$43&lt;Tetapan!$B9,AND(Tetapan!$C9&lt;&gt;"",D$43&gt;Tetapan!$C9),Tetapan!$E9=0,D$43&gt;Tetapan!$B$21),"–",IF(SUMPRODUCT(ISNUMBER(SEARCH(", "&amp;TEXT(D$43,"yyyy-mm")&amp;",",", "&amp;Transaksi!$F$2:$F$3000&amp;","))*(Transaksi!$C$2:$C$3000=$A48)*(Transaksi!$H$2:$H$3000&gt;0))&gt;0,"✓",IF(SUMPRODUCT(ISNUMBER(SEARCH(", "&amp;TEXT(D$43,"yyyy-mm")&amp;":",", "&amp;Transaksi!$F$2:$F$3000&amp;","))*(Transaksi!$C$2:$C$3000=$A48)*(Transaksi!$H$2:$H$3000&gt;0))&gt;0,"½",IF(D$43&gt;TODAY(),"·","✗"))))</f>
        <v/>
      </c>
      <c r="E48" s="36">
        <f>IF(OR(E$43&lt;Tetapan!$B9,AND(Tetapan!$C9&lt;&gt;"",E$43&gt;Tetapan!$C9),Tetapan!$E9=0,E$43&gt;Tetapan!$B$21),"–",IF(SUMPRODUCT(ISNUMBER(SEARCH(", "&amp;TEXT(E$43,"yyyy-mm")&amp;",",", "&amp;Transaksi!$F$2:$F$3000&amp;","))*(Transaksi!$C$2:$C$3000=$A48)*(Transaksi!$H$2:$H$3000&gt;0))&gt;0,"✓",IF(SUMPRODUCT(ISNUMBER(SEARCH(", "&amp;TEXT(E$43,"yyyy-mm")&amp;":",", "&amp;Transaksi!$F$2:$F$3000&amp;","))*(Transaksi!$C$2:$C$3000=$A48)*(Transaksi!$H$2:$H$3000&gt;0))&gt;0,"½",IF(E$43&gt;TODAY(),"·","✗"))))</f>
        <v/>
      </c>
      <c r="F48" s="36">
        <f>IF(OR(F$43&lt;Tetapan!$B9,AND(Tetapan!$C9&lt;&gt;"",F$43&gt;Tetapan!$C9),Tetapan!$E9=0,F$43&gt;Tetapan!$B$21),"–",IF(SUMPRODUCT(ISNUMBER(SEARCH(", "&amp;TEXT(F$43,"yyyy-mm")&amp;",",", "&amp;Transaksi!$F$2:$F$3000&amp;","))*(Transaksi!$C$2:$C$3000=$A48)*(Transaksi!$H$2:$H$3000&gt;0))&gt;0,"✓",IF(SUMPRODUCT(ISNUMBER(SEARCH(", "&amp;TEXT(F$43,"yyyy-mm")&amp;":",", "&amp;Transaksi!$F$2:$F$3000&amp;","))*(Transaksi!$C$2:$C$3000=$A48)*(Transaksi!$H$2:$H$3000&gt;0))&gt;0,"½",IF(F$43&gt;TODAY(),"·","✗"))))</f>
        <v/>
      </c>
      <c r="G48" s="36">
        <f>IF(OR(G$43&lt;Tetapan!$B9,AND(Tetapan!$C9&lt;&gt;"",G$43&gt;Tetapan!$C9),Tetapan!$E9=0,G$43&gt;Tetapan!$B$21),"–",IF(SUMPRODUCT(ISNUMBER(SEARCH(", "&amp;TEXT(G$43,"yyyy-mm")&amp;",",", "&amp;Transaksi!$F$2:$F$3000&amp;","))*(Transaksi!$C$2:$C$3000=$A48)*(Transaksi!$H$2:$H$3000&gt;0))&gt;0,"✓",IF(SUMPRODUCT(ISNUMBER(SEARCH(", "&amp;TEXT(G$43,"yyyy-mm")&amp;":",", "&amp;Transaksi!$F$2:$F$3000&amp;","))*(Transaksi!$C$2:$C$3000=$A48)*(Transaksi!$H$2:$H$3000&gt;0))&gt;0,"½",IF(G$43&gt;TODAY(),"·","✗"))))</f>
        <v/>
      </c>
      <c r="H48" s="36">
        <f>IF(OR(H$43&lt;Tetapan!$B9,AND(Tetapan!$C9&lt;&gt;"",H$43&gt;Tetapan!$C9),Tetapan!$E9=0,H$43&gt;Tetapan!$B$21),"–",IF(SUMPRODUCT(ISNUMBER(SEARCH(", "&amp;TEXT(H$43,"yyyy-mm")&amp;",",", "&amp;Transaksi!$F$2:$F$3000&amp;","))*(Transaksi!$C$2:$C$3000=$A48)*(Transaksi!$H$2:$H$3000&gt;0))&gt;0,"✓",IF(SUMPRODUCT(ISNUMBER(SEARCH(", "&amp;TEXT(H$43,"yyyy-mm")&amp;":",", "&amp;Transaksi!$F$2:$F$3000&amp;","))*(Transaksi!$C$2:$C$3000=$A48)*(Transaksi!$H$2:$H$3000&gt;0))&gt;0,"½",IF(H$43&gt;TODAY(),"·","✗"))))</f>
        <v/>
      </c>
      <c r="I48" s="36">
        <f>IF(OR(I$43&lt;Tetapan!$B9,AND(Tetapan!$C9&lt;&gt;"",I$43&gt;Tetapan!$C9),Tetapan!$E9=0,I$43&gt;Tetapan!$B$21),"–",IF(SUMPRODUCT(ISNUMBER(SEARCH(", "&amp;TEXT(I$43,"yyyy-mm")&amp;",",", "&amp;Transaksi!$F$2:$F$3000&amp;","))*(Transaksi!$C$2:$C$3000=$A48)*(Transaksi!$H$2:$H$3000&gt;0))&gt;0,"✓",IF(SUMPRODUCT(ISNUMBER(SEARCH(", "&amp;TEXT(I$43,"yyyy-mm")&amp;":",", "&amp;Transaksi!$F$2:$F$3000&amp;","))*(Transaksi!$C$2:$C$3000=$A48)*(Transaksi!$H$2:$H$3000&gt;0))&gt;0,"½",IF(I$43&gt;TODAY(),"·","✗"))))</f>
        <v/>
      </c>
      <c r="J48" s="36">
        <f>IF(OR(J$43&lt;Tetapan!$B9,AND(Tetapan!$C9&lt;&gt;"",J$43&gt;Tetapan!$C9),Tetapan!$E9=0,J$43&gt;Tetapan!$B$21),"–",IF(SUMPRODUCT(ISNUMBER(SEARCH(", "&amp;TEXT(J$43,"yyyy-mm")&amp;",",", "&amp;Transaksi!$F$2:$F$3000&amp;","))*(Transaksi!$C$2:$C$3000=$A48)*(Transaksi!$H$2:$H$3000&gt;0))&gt;0,"✓",IF(SUMPRODUCT(ISNUMBER(SEARCH(", "&amp;TEXT(J$43,"yyyy-mm")&amp;":",", "&amp;Transaksi!$F$2:$F$3000&amp;","))*(Transaksi!$C$2:$C$3000=$A48)*(Transaksi!$H$2:$H$3000&gt;0))&gt;0,"½",IF(J$43&gt;TODAY(),"·","✗"))))</f>
        <v/>
      </c>
      <c r="K48" s="36">
        <f>IF(OR(K$43&lt;Tetapan!$B9,AND(Tetapan!$C9&lt;&gt;"",K$43&gt;Tetapan!$C9),Tetapan!$E9=0,K$43&gt;Tetapan!$B$21),"–",IF(SUMPRODUCT(ISNUMBER(SEARCH(", "&amp;TEXT(K$43,"yyyy-mm")&amp;",",", "&amp;Transaksi!$F$2:$F$3000&amp;","))*(Transaksi!$C$2:$C$3000=$A48)*(Transaksi!$H$2:$H$3000&gt;0))&gt;0,"✓",IF(SUMPRODUCT(ISNUMBER(SEARCH(", "&amp;TEXT(K$43,"yyyy-mm")&amp;":",", "&amp;Transaksi!$F$2:$F$3000&amp;","))*(Transaksi!$C$2:$C$3000=$A48)*(Transaksi!$H$2:$H$3000&gt;0))&gt;0,"½",IF(K$43&gt;TODAY(),"·","✗"))))</f>
        <v/>
      </c>
      <c r="L48" s="36">
        <f>IF(OR(L$43&lt;Tetapan!$B9,AND(Tetapan!$C9&lt;&gt;"",L$43&gt;Tetapan!$C9),Tetapan!$E9=0,L$43&gt;Tetapan!$B$21),"–",IF(SUMPRODUCT(ISNUMBER(SEARCH(", "&amp;TEXT(L$43,"yyyy-mm")&amp;",",", "&amp;Transaksi!$F$2:$F$3000&amp;","))*(Transaksi!$C$2:$C$3000=$A48)*(Transaksi!$H$2:$H$3000&gt;0))&gt;0,"✓",IF(SUMPRODUCT(ISNUMBER(SEARCH(", "&amp;TEXT(L$43,"yyyy-mm")&amp;":",", "&amp;Transaksi!$F$2:$F$3000&amp;","))*(Transaksi!$C$2:$C$3000=$A48)*(Transaksi!$H$2:$H$3000&gt;0))&gt;0,"½",IF(L$43&gt;TODAY(),"·","✗"))))</f>
        <v/>
      </c>
      <c r="M48" s="36">
        <f>IF(OR(M$43&lt;Tetapan!$B9,AND(Tetapan!$C9&lt;&gt;"",M$43&gt;Tetapan!$C9),Tetapan!$E9=0,M$43&gt;Tetapan!$B$21),"–",IF(SUMPRODUCT(ISNUMBER(SEARCH(", "&amp;TEXT(M$43,"yyyy-mm")&amp;",",", "&amp;Transaksi!$F$2:$F$3000&amp;","))*(Transaksi!$C$2:$C$3000=$A48)*(Transaksi!$H$2:$H$3000&gt;0))&gt;0,"✓",IF(SUMPRODUCT(ISNUMBER(SEARCH(", "&amp;TEXT(M$43,"yyyy-mm")&amp;":",", "&amp;Transaksi!$F$2:$F$3000&amp;","))*(Transaksi!$C$2:$C$3000=$A48)*(Transaksi!$H$2:$H$3000&gt;0))&gt;0,"½",IF(M$43&gt;TODAY(),"·","✗"))))</f>
        <v/>
      </c>
      <c r="N48" s="36">
        <f>IF(OR(N$43&lt;Tetapan!$B9,AND(Tetapan!$C9&lt;&gt;"",N$43&gt;Tetapan!$C9),Tetapan!$E9=0,N$43&gt;Tetapan!$B$21),"–",IF(SUMPRODUCT(ISNUMBER(SEARCH(", "&amp;TEXT(N$43,"yyyy-mm")&amp;",",", "&amp;Transaksi!$F$2:$F$3000&amp;","))*(Transaksi!$C$2:$C$3000=$A48)*(Transaksi!$H$2:$H$3000&gt;0))&gt;0,"✓",IF(SUMPRODUCT(ISNUMBER(SEARCH(", "&amp;TEXT(N$43,"yyyy-mm")&amp;":",", "&amp;Transaksi!$F$2:$F$3000&amp;","))*(Transaksi!$C$2:$C$3000=$A48)*(Transaksi!$H$2:$H$3000&gt;0))&gt;0,"½",IF(N$43&gt;TODAY(),"·","✗"))))</f>
        <v/>
      </c>
      <c r="O48" s="36">
        <f>IF(OR(O$43&lt;Tetapan!$B9,AND(Tetapan!$C9&lt;&gt;"",O$43&gt;Tetapan!$C9),Tetapan!$E9=0,O$43&gt;Tetapan!$B$21),"–",IF(SUMPRODUCT(ISNUMBER(SEARCH(", "&amp;TEXT(O$43,"yyyy-mm")&amp;",",", "&amp;Transaksi!$F$2:$F$3000&amp;","))*(Transaksi!$C$2:$C$3000=$A48)*(Transaksi!$H$2:$H$3000&gt;0))&gt;0,"✓",IF(SUMPRODUCT(ISNUMBER(SEARCH(", "&amp;TEXT(O$43,"yyyy-mm")&amp;":",", "&amp;Transaksi!$F$2:$F$3000&amp;","))*(Transaksi!$C$2:$C$3000=$A48)*(Transaksi!$H$2:$H$3000&gt;0))&gt;0,"½",IF(O$43&gt;TODAY(),"·","✗"))))</f>
        <v/>
      </c>
      <c r="P48" s="36">
        <f>IF(OR(P$43&lt;Tetapan!$B9,AND(Tetapan!$C9&lt;&gt;"",P$43&gt;Tetapan!$C9),Tetapan!$E9=0,P$43&gt;Tetapan!$B$21),"–",IF(SUMPRODUCT(ISNUMBER(SEARCH(", "&amp;TEXT(P$43,"yyyy-mm")&amp;",",", "&amp;Transaksi!$F$2:$F$3000&amp;","))*(Transaksi!$C$2:$C$3000=$A48)*(Transaksi!$H$2:$H$3000&gt;0))&gt;0,"✓",IF(SUMPRODUCT(ISNUMBER(SEARCH(", "&amp;TEXT(P$43,"yyyy-mm")&amp;":",", "&amp;Transaksi!$F$2:$F$3000&amp;","))*(Transaksi!$C$2:$C$3000=$A48)*(Transaksi!$H$2:$H$3000&gt;0))&gt;0,"½",IF(P$43&gt;TODAY(),"·","✗"))))</f>
        <v/>
      </c>
      <c r="Q48" s="36">
        <f>IF(OR(Q$43&lt;Tetapan!$B9,AND(Tetapan!$C9&lt;&gt;"",Q$43&gt;Tetapan!$C9),Tetapan!$E9=0,Q$43&gt;Tetapan!$B$21),"–",IF(SUMPRODUCT(ISNUMBER(SEARCH(", "&amp;TEXT(Q$43,"yyyy-mm")&amp;",",", "&amp;Transaksi!$F$2:$F$3000&amp;","))*(Transaksi!$C$2:$C$3000=$A48)*(Transaksi!$H$2:$H$3000&gt;0))&gt;0,"✓",IF(SUMPRODUCT(ISNUMBER(SEARCH(", "&amp;TEXT(Q$43,"yyyy-mm")&amp;":",", "&amp;Transaksi!$F$2:$F$3000&amp;","))*(Transaksi!$C$2:$C$3000=$A48)*(Transaksi!$H$2:$H$3000&gt;0))&gt;0,"½",IF(Q$43&gt;TODAY(),"·","✗"))))</f>
        <v/>
      </c>
      <c r="R48" s="36">
        <f>IF(OR(R$43&lt;Tetapan!$B9,AND(Tetapan!$C9&lt;&gt;"",R$43&gt;Tetapan!$C9),Tetapan!$E9=0,R$43&gt;Tetapan!$B$21),"–",IF(SUMPRODUCT(ISNUMBER(SEARCH(", "&amp;TEXT(R$43,"yyyy-mm")&amp;",",", "&amp;Transaksi!$F$2:$F$3000&amp;","))*(Transaksi!$C$2:$C$3000=$A48)*(Transaksi!$H$2:$H$3000&gt;0))&gt;0,"✓",IF(SUMPRODUCT(ISNUMBER(SEARCH(", "&amp;TEXT(R$43,"yyyy-mm")&amp;":",", "&amp;Transaksi!$F$2:$F$3000&amp;","))*(Transaksi!$C$2:$C$3000=$A48)*(Transaksi!$H$2:$H$3000&gt;0))&gt;0,"½",IF(R$43&gt;TODAY(),"·","✗"))))</f>
        <v/>
      </c>
      <c r="S48" s="36">
        <f>IF(OR(S$43&lt;Tetapan!$B9,AND(Tetapan!$C9&lt;&gt;"",S$43&gt;Tetapan!$C9),Tetapan!$E9=0,S$43&gt;Tetapan!$B$21),"–",IF(SUMPRODUCT(ISNUMBER(SEARCH(", "&amp;TEXT(S$43,"yyyy-mm")&amp;",",", "&amp;Transaksi!$F$2:$F$3000&amp;","))*(Transaksi!$C$2:$C$3000=$A48)*(Transaksi!$H$2:$H$3000&gt;0))&gt;0,"✓",IF(SUMPRODUCT(ISNUMBER(SEARCH(", "&amp;TEXT(S$43,"yyyy-mm")&amp;":",", "&amp;Transaksi!$F$2:$F$3000&amp;","))*(Transaksi!$C$2:$C$3000=$A48)*(Transaksi!$H$2:$H$3000&gt;0))&gt;0,"½",IF(S$43&gt;TODAY(),"·","✗"))))</f>
        <v/>
      </c>
      <c r="T48" s="36">
        <f>IF(OR(T$43&lt;Tetapan!$B9,AND(Tetapan!$C9&lt;&gt;"",T$43&gt;Tetapan!$C9),Tetapan!$E9=0,T$43&gt;Tetapan!$B$21),"–",IF(SUMPRODUCT(ISNUMBER(SEARCH(", "&amp;TEXT(T$43,"yyyy-mm")&amp;",",", "&amp;Transaksi!$F$2:$F$3000&amp;","))*(Transaksi!$C$2:$C$3000=$A48)*(Transaksi!$H$2:$H$3000&gt;0))&gt;0,"✓",IF(SUMPRODUCT(ISNUMBER(SEARCH(", "&amp;TEXT(T$43,"yyyy-mm")&amp;":",", "&amp;Transaksi!$F$2:$F$3000&amp;","))*(Transaksi!$C$2:$C$3000=$A48)*(Transaksi!$H$2:$H$3000&gt;0))&gt;0,"½",IF(T$43&gt;TODAY(),"·","✗"))))</f>
        <v/>
      </c>
      <c r="V48" s="37">
        <f>IF(B48="✗",TEXT(B$43,"mmm yy")&amp;", ",IF(B48="½",TEXT(B$43,"mmm yy")&amp;" (separa), ",""))&amp;IF(C48="✗",TEXT(C$43,"mmm yy")&amp;", ",IF(C48="½",TEXT(C$43,"mmm yy")&amp;" (separa), ",""))&amp;IF(D48="✗",TEXT(D$43,"mmm yy")&amp;", ",IF(D48="½",TEXT(D$43,"mmm yy")&amp;" (separa), ",""))&amp;IF(E48="✗",TEXT(E$43,"mmm yy")&amp;", ",IF(E48="½",TEXT(E$43,"mmm yy")&amp;" (separa), ",""))&amp;IF(F48="✗",TEXT(F$43,"mmm yy")&amp;", ",IF(F48="½",TEXT(F$43,"mmm yy")&amp;" (separa), ",""))&amp;IF(G48="✗",TEXT(G$43,"mmm yy")&amp;", ",IF(G48="½",TEXT(G$43,"mmm yy")&amp;" (separa), ",""))&amp;IF(H48="✗",TEXT(H$43,"mmm yy")&amp;", ",IF(H48="½",TEXT(H$43,"mmm yy")&amp;" (separa), ",""))&amp;IF(I48="✗",TEXT(I$43,"mmm yy")&amp;", ",IF(I48="½",TEXT(I$43,"mmm yy")&amp;" (separa), ",""))&amp;IF(J48="✗",TEXT(J$43,"mmm yy")&amp;", ",IF(J48="½",TEXT(J$43,"mmm yy")&amp;" (separa), ",""))&amp;IF(K48="✗",TEXT(K$43,"mmm yy")&amp;", ",IF(K48="½",TEXT(K$43,"mmm yy")&amp;" (separa), ",""))&amp;IF(L48="✗",TEXT(L$43,"mmm yy")&amp;", ",IF(L48="½",TEXT(L$43,"mmm yy")&amp;" (separa), ",""))&amp;IF(M48="✗",TEXT(M$43,"mmm yy")&amp;", ",IF(M48="½",TEXT(M$43,"mmm yy")&amp;" (separa), ",""))&amp;IF(N48="✗",TEXT(N$43,"mmm yy")&amp;", ",IF(N48="½",TEXT(N$43,"mmm yy")&amp;" (separa), ",""))&amp;IF(O48="✗",TEXT(O$43,"mmm yy")&amp;", ",IF(O48="½",TEXT(O$43,"mmm yy")&amp;" (separa), ",""))&amp;IF(P48="✗",TEXT(P$43,"mmm yy")&amp;", ",IF(P48="½",TEXT(P$43,"mmm yy")&amp;" (separa), ",""))&amp;IF(Q48="✗",TEXT(Q$43,"mmm yy")&amp;", ",IF(Q48="½",TEXT(Q$43,"mmm yy")&amp;" (separa), ",""))&amp;IF(R48="✗",TEXT(R$43,"mmm yy")&amp;", ",IF(R48="½",TEXT(R$43,"mmm yy")&amp;" (separa), ",""))&amp;IF(S48="✗",TEXT(S$43,"mmm yy")&amp;", ",IF(S48="½",TEXT(S$43,"mmm yy")&amp;" (separa), ",""))&amp;IF(T48="✗",TEXT(T$43,"mmm yy")&amp;", ",IF(T48="½",TEXT(T$43,"mmm yy")&amp;" (separa), ",""))</f>
        <v/>
      </c>
    </row>
    <row r="49">
      <c r="A49" s="32">
        <f>Tetapan!A10</f>
        <v/>
      </c>
      <c r="B49" s="36">
        <f>IF(OR(B$43&lt;Tetapan!$B10,AND(Tetapan!$C10&lt;&gt;"",B$43&gt;Tetapan!$C10),Tetapan!$E10=0,B$43&gt;Tetapan!$B$21),"–",IF(SUMPRODUCT(ISNUMBER(SEARCH(", "&amp;TEXT(B$43,"yyyy-mm")&amp;",",", "&amp;Transaksi!$F$2:$F$3000&amp;","))*(Transaksi!$C$2:$C$3000=$A49)*(Transaksi!$H$2:$H$3000&gt;0))&gt;0,"✓",IF(SUMPRODUCT(ISNUMBER(SEARCH(", "&amp;TEXT(B$43,"yyyy-mm")&amp;":",", "&amp;Transaksi!$F$2:$F$3000&amp;","))*(Transaksi!$C$2:$C$3000=$A49)*(Transaksi!$H$2:$H$3000&gt;0))&gt;0,"½",IF(B$43&gt;TODAY(),"·","✗"))))</f>
        <v/>
      </c>
      <c r="C49" s="36">
        <f>IF(OR(C$43&lt;Tetapan!$B10,AND(Tetapan!$C10&lt;&gt;"",C$43&gt;Tetapan!$C10),Tetapan!$E10=0,C$43&gt;Tetapan!$B$21),"–",IF(SUMPRODUCT(ISNUMBER(SEARCH(", "&amp;TEXT(C$43,"yyyy-mm")&amp;",",", "&amp;Transaksi!$F$2:$F$3000&amp;","))*(Transaksi!$C$2:$C$3000=$A49)*(Transaksi!$H$2:$H$3000&gt;0))&gt;0,"✓",IF(SUMPRODUCT(ISNUMBER(SEARCH(", "&amp;TEXT(C$43,"yyyy-mm")&amp;":",", "&amp;Transaksi!$F$2:$F$3000&amp;","))*(Transaksi!$C$2:$C$3000=$A49)*(Transaksi!$H$2:$H$3000&gt;0))&gt;0,"½",IF(C$43&gt;TODAY(),"·","✗"))))</f>
        <v/>
      </c>
      <c r="D49" s="36">
        <f>IF(OR(D$43&lt;Tetapan!$B10,AND(Tetapan!$C10&lt;&gt;"",D$43&gt;Tetapan!$C10),Tetapan!$E10=0,D$43&gt;Tetapan!$B$21),"–",IF(SUMPRODUCT(ISNUMBER(SEARCH(", "&amp;TEXT(D$43,"yyyy-mm")&amp;",",", "&amp;Transaksi!$F$2:$F$3000&amp;","))*(Transaksi!$C$2:$C$3000=$A49)*(Transaksi!$H$2:$H$3000&gt;0))&gt;0,"✓",IF(SUMPRODUCT(ISNUMBER(SEARCH(", "&amp;TEXT(D$43,"yyyy-mm")&amp;":",", "&amp;Transaksi!$F$2:$F$3000&amp;","))*(Transaksi!$C$2:$C$3000=$A49)*(Transaksi!$H$2:$H$3000&gt;0))&gt;0,"½",IF(D$43&gt;TODAY(),"·","✗"))))</f>
        <v/>
      </c>
      <c r="E49" s="36">
        <f>IF(OR(E$43&lt;Tetapan!$B10,AND(Tetapan!$C10&lt;&gt;"",E$43&gt;Tetapan!$C10),Tetapan!$E10=0,E$43&gt;Tetapan!$B$21),"–",IF(SUMPRODUCT(ISNUMBER(SEARCH(", "&amp;TEXT(E$43,"yyyy-mm")&amp;",",", "&amp;Transaksi!$F$2:$F$3000&amp;","))*(Transaksi!$C$2:$C$3000=$A49)*(Transaksi!$H$2:$H$3000&gt;0))&gt;0,"✓",IF(SUMPRODUCT(ISNUMBER(SEARCH(", "&amp;TEXT(E$43,"yyyy-mm")&amp;":",", "&amp;Transaksi!$F$2:$F$3000&amp;","))*(Transaksi!$C$2:$C$3000=$A49)*(Transaksi!$H$2:$H$3000&gt;0))&gt;0,"½",IF(E$43&gt;TODAY(),"·","✗"))))</f>
        <v/>
      </c>
      <c r="F49" s="36">
        <f>IF(OR(F$43&lt;Tetapan!$B10,AND(Tetapan!$C10&lt;&gt;"",F$43&gt;Tetapan!$C10),Tetapan!$E10=0,F$43&gt;Tetapan!$B$21),"–",IF(SUMPRODUCT(ISNUMBER(SEARCH(", "&amp;TEXT(F$43,"yyyy-mm")&amp;",",", "&amp;Transaksi!$F$2:$F$3000&amp;","))*(Transaksi!$C$2:$C$3000=$A49)*(Transaksi!$H$2:$H$3000&gt;0))&gt;0,"✓",IF(SUMPRODUCT(ISNUMBER(SEARCH(", "&amp;TEXT(F$43,"yyyy-mm")&amp;":",", "&amp;Transaksi!$F$2:$F$3000&amp;","))*(Transaksi!$C$2:$C$3000=$A49)*(Transaksi!$H$2:$H$3000&gt;0))&gt;0,"½",IF(F$43&gt;TODAY(),"·","✗"))))</f>
        <v/>
      </c>
      <c r="G49" s="36">
        <f>IF(OR(G$43&lt;Tetapan!$B10,AND(Tetapan!$C10&lt;&gt;"",G$43&gt;Tetapan!$C10),Tetapan!$E10=0,G$43&gt;Tetapan!$B$21),"–",IF(SUMPRODUCT(ISNUMBER(SEARCH(", "&amp;TEXT(G$43,"yyyy-mm")&amp;",",", "&amp;Transaksi!$F$2:$F$3000&amp;","))*(Transaksi!$C$2:$C$3000=$A49)*(Transaksi!$H$2:$H$3000&gt;0))&gt;0,"✓",IF(SUMPRODUCT(ISNUMBER(SEARCH(", "&amp;TEXT(G$43,"yyyy-mm")&amp;":",", "&amp;Transaksi!$F$2:$F$3000&amp;","))*(Transaksi!$C$2:$C$3000=$A49)*(Transaksi!$H$2:$H$3000&gt;0))&gt;0,"½",IF(G$43&gt;TODAY(),"·","✗"))))</f>
        <v/>
      </c>
      <c r="H49" s="36">
        <f>IF(OR(H$43&lt;Tetapan!$B10,AND(Tetapan!$C10&lt;&gt;"",H$43&gt;Tetapan!$C10),Tetapan!$E10=0,H$43&gt;Tetapan!$B$21),"–",IF(SUMPRODUCT(ISNUMBER(SEARCH(", "&amp;TEXT(H$43,"yyyy-mm")&amp;",",", "&amp;Transaksi!$F$2:$F$3000&amp;","))*(Transaksi!$C$2:$C$3000=$A49)*(Transaksi!$H$2:$H$3000&gt;0))&gt;0,"✓",IF(SUMPRODUCT(ISNUMBER(SEARCH(", "&amp;TEXT(H$43,"yyyy-mm")&amp;":",", "&amp;Transaksi!$F$2:$F$3000&amp;","))*(Transaksi!$C$2:$C$3000=$A49)*(Transaksi!$H$2:$H$3000&gt;0))&gt;0,"½",IF(H$43&gt;TODAY(),"·","✗"))))</f>
        <v/>
      </c>
      <c r="I49" s="36">
        <f>IF(OR(I$43&lt;Tetapan!$B10,AND(Tetapan!$C10&lt;&gt;"",I$43&gt;Tetapan!$C10),Tetapan!$E10=0,I$43&gt;Tetapan!$B$21),"–",IF(SUMPRODUCT(ISNUMBER(SEARCH(", "&amp;TEXT(I$43,"yyyy-mm")&amp;",",", "&amp;Transaksi!$F$2:$F$3000&amp;","))*(Transaksi!$C$2:$C$3000=$A49)*(Transaksi!$H$2:$H$3000&gt;0))&gt;0,"✓",IF(SUMPRODUCT(ISNUMBER(SEARCH(", "&amp;TEXT(I$43,"yyyy-mm")&amp;":",", "&amp;Transaksi!$F$2:$F$3000&amp;","))*(Transaksi!$C$2:$C$3000=$A49)*(Transaksi!$H$2:$H$3000&gt;0))&gt;0,"½",IF(I$43&gt;TODAY(),"·","✗"))))</f>
        <v/>
      </c>
      <c r="J49" s="36">
        <f>IF(OR(J$43&lt;Tetapan!$B10,AND(Tetapan!$C10&lt;&gt;"",J$43&gt;Tetapan!$C10),Tetapan!$E10=0,J$43&gt;Tetapan!$B$21),"–",IF(SUMPRODUCT(ISNUMBER(SEARCH(", "&amp;TEXT(J$43,"yyyy-mm")&amp;",",", "&amp;Transaksi!$F$2:$F$3000&amp;","))*(Transaksi!$C$2:$C$3000=$A49)*(Transaksi!$H$2:$H$3000&gt;0))&gt;0,"✓",IF(SUMPRODUCT(ISNUMBER(SEARCH(", "&amp;TEXT(J$43,"yyyy-mm")&amp;":",", "&amp;Transaksi!$F$2:$F$3000&amp;","))*(Transaksi!$C$2:$C$3000=$A49)*(Transaksi!$H$2:$H$3000&gt;0))&gt;0,"½",IF(J$43&gt;TODAY(),"·","✗"))))</f>
        <v/>
      </c>
      <c r="K49" s="36">
        <f>IF(OR(K$43&lt;Tetapan!$B10,AND(Tetapan!$C10&lt;&gt;"",K$43&gt;Tetapan!$C10),Tetapan!$E10=0,K$43&gt;Tetapan!$B$21),"–",IF(SUMPRODUCT(ISNUMBER(SEARCH(", "&amp;TEXT(K$43,"yyyy-mm")&amp;",",", "&amp;Transaksi!$F$2:$F$3000&amp;","))*(Transaksi!$C$2:$C$3000=$A49)*(Transaksi!$H$2:$H$3000&gt;0))&gt;0,"✓",IF(SUMPRODUCT(ISNUMBER(SEARCH(", "&amp;TEXT(K$43,"yyyy-mm")&amp;":",", "&amp;Transaksi!$F$2:$F$3000&amp;","))*(Transaksi!$C$2:$C$3000=$A49)*(Transaksi!$H$2:$H$3000&gt;0))&gt;0,"½",IF(K$43&gt;TODAY(),"·","✗"))))</f>
        <v/>
      </c>
      <c r="L49" s="36">
        <f>IF(OR(L$43&lt;Tetapan!$B10,AND(Tetapan!$C10&lt;&gt;"",L$43&gt;Tetapan!$C10),Tetapan!$E10=0,L$43&gt;Tetapan!$B$21),"–",IF(SUMPRODUCT(ISNUMBER(SEARCH(", "&amp;TEXT(L$43,"yyyy-mm")&amp;",",", "&amp;Transaksi!$F$2:$F$3000&amp;","))*(Transaksi!$C$2:$C$3000=$A49)*(Transaksi!$H$2:$H$3000&gt;0))&gt;0,"✓",IF(SUMPRODUCT(ISNUMBER(SEARCH(", "&amp;TEXT(L$43,"yyyy-mm")&amp;":",", "&amp;Transaksi!$F$2:$F$3000&amp;","))*(Transaksi!$C$2:$C$3000=$A49)*(Transaksi!$H$2:$H$3000&gt;0))&gt;0,"½",IF(L$43&gt;TODAY(),"·","✗"))))</f>
        <v/>
      </c>
      <c r="M49" s="36">
        <f>IF(OR(M$43&lt;Tetapan!$B10,AND(Tetapan!$C10&lt;&gt;"",M$43&gt;Tetapan!$C10),Tetapan!$E10=0,M$43&gt;Tetapan!$B$21),"–",IF(SUMPRODUCT(ISNUMBER(SEARCH(", "&amp;TEXT(M$43,"yyyy-mm")&amp;",",", "&amp;Transaksi!$F$2:$F$3000&amp;","))*(Transaksi!$C$2:$C$3000=$A49)*(Transaksi!$H$2:$H$3000&gt;0))&gt;0,"✓",IF(SUMPRODUCT(ISNUMBER(SEARCH(", "&amp;TEXT(M$43,"yyyy-mm")&amp;":",", "&amp;Transaksi!$F$2:$F$3000&amp;","))*(Transaksi!$C$2:$C$3000=$A49)*(Transaksi!$H$2:$H$3000&gt;0))&gt;0,"½",IF(M$43&gt;TODAY(),"·","✗"))))</f>
        <v/>
      </c>
      <c r="N49" s="36">
        <f>IF(OR(N$43&lt;Tetapan!$B10,AND(Tetapan!$C10&lt;&gt;"",N$43&gt;Tetapan!$C10),Tetapan!$E10=0,N$43&gt;Tetapan!$B$21),"–",IF(SUMPRODUCT(ISNUMBER(SEARCH(", "&amp;TEXT(N$43,"yyyy-mm")&amp;",",", "&amp;Transaksi!$F$2:$F$3000&amp;","))*(Transaksi!$C$2:$C$3000=$A49)*(Transaksi!$H$2:$H$3000&gt;0))&gt;0,"✓",IF(SUMPRODUCT(ISNUMBER(SEARCH(", "&amp;TEXT(N$43,"yyyy-mm")&amp;":",", "&amp;Transaksi!$F$2:$F$3000&amp;","))*(Transaksi!$C$2:$C$3000=$A49)*(Transaksi!$H$2:$H$3000&gt;0))&gt;0,"½",IF(N$43&gt;TODAY(),"·","✗"))))</f>
        <v/>
      </c>
      <c r="O49" s="36">
        <f>IF(OR(O$43&lt;Tetapan!$B10,AND(Tetapan!$C10&lt;&gt;"",O$43&gt;Tetapan!$C10),Tetapan!$E10=0,O$43&gt;Tetapan!$B$21),"–",IF(SUMPRODUCT(ISNUMBER(SEARCH(", "&amp;TEXT(O$43,"yyyy-mm")&amp;",",", "&amp;Transaksi!$F$2:$F$3000&amp;","))*(Transaksi!$C$2:$C$3000=$A49)*(Transaksi!$H$2:$H$3000&gt;0))&gt;0,"✓",IF(SUMPRODUCT(ISNUMBER(SEARCH(", "&amp;TEXT(O$43,"yyyy-mm")&amp;":",", "&amp;Transaksi!$F$2:$F$3000&amp;","))*(Transaksi!$C$2:$C$3000=$A49)*(Transaksi!$H$2:$H$3000&gt;0))&gt;0,"½",IF(O$43&gt;TODAY(),"·","✗"))))</f>
        <v/>
      </c>
      <c r="P49" s="36">
        <f>IF(OR(P$43&lt;Tetapan!$B10,AND(Tetapan!$C10&lt;&gt;"",P$43&gt;Tetapan!$C10),Tetapan!$E10=0,P$43&gt;Tetapan!$B$21),"–",IF(SUMPRODUCT(ISNUMBER(SEARCH(", "&amp;TEXT(P$43,"yyyy-mm")&amp;",",", "&amp;Transaksi!$F$2:$F$3000&amp;","))*(Transaksi!$C$2:$C$3000=$A49)*(Transaksi!$H$2:$H$3000&gt;0))&gt;0,"✓",IF(SUMPRODUCT(ISNUMBER(SEARCH(", "&amp;TEXT(P$43,"yyyy-mm")&amp;":",", "&amp;Transaksi!$F$2:$F$3000&amp;","))*(Transaksi!$C$2:$C$3000=$A49)*(Transaksi!$H$2:$H$3000&gt;0))&gt;0,"½",IF(P$43&gt;TODAY(),"·","✗"))))</f>
        <v/>
      </c>
      <c r="Q49" s="36">
        <f>IF(OR(Q$43&lt;Tetapan!$B10,AND(Tetapan!$C10&lt;&gt;"",Q$43&gt;Tetapan!$C10),Tetapan!$E10=0,Q$43&gt;Tetapan!$B$21),"–",IF(SUMPRODUCT(ISNUMBER(SEARCH(", "&amp;TEXT(Q$43,"yyyy-mm")&amp;",",", "&amp;Transaksi!$F$2:$F$3000&amp;","))*(Transaksi!$C$2:$C$3000=$A49)*(Transaksi!$H$2:$H$3000&gt;0))&gt;0,"✓",IF(SUMPRODUCT(ISNUMBER(SEARCH(", "&amp;TEXT(Q$43,"yyyy-mm")&amp;":",", "&amp;Transaksi!$F$2:$F$3000&amp;","))*(Transaksi!$C$2:$C$3000=$A49)*(Transaksi!$H$2:$H$3000&gt;0))&gt;0,"½",IF(Q$43&gt;TODAY(),"·","✗"))))</f>
        <v/>
      </c>
      <c r="R49" s="36">
        <f>IF(OR(R$43&lt;Tetapan!$B10,AND(Tetapan!$C10&lt;&gt;"",R$43&gt;Tetapan!$C10),Tetapan!$E10=0,R$43&gt;Tetapan!$B$21),"–",IF(SUMPRODUCT(ISNUMBER(SEARCH(", "&amp;TEXT(R$43,"yyyy-mm")&amp;",",", "&amp;Transaksi!$F$2:$F$3000&amp;","))*(Transaksi!$C$2:$C$3000=$A49)*(Transaksi!$H$2:$H$3000&gt;0))&gt;0,"✓",IF(SUMPRODUCT(ISNUMBER(SEARCH(", "&amp;TEXT(R$43,"yyyy-mm")&amp;":",", "&amp;Transaksi!$F$2:$F$3000&amp;","))*(Transaksi!$C$2:$C$3000=$A49)*(Transaksi!$H$2:$H$3000&gt;0))&gt;0,"½",IF(R$43&gt;TODAY(),"·","✗"))))</f>
        <v/>
      </c>
      <c r="S49" s="36">
        <f>IF(OR(S$43&lt;Tetapan!$B10,AND(Tetapan!$C10&lt;&gt;"",S$43&gt;Tetapan!$C10),Tetapan!$E10=0,S$43&gt;Tetapan!$B$21),"–",IF(SUMPRODUCT(ISNUMBER(SEARCH(", "&amp;TEXT(S$43,"yyyy-mm")&amp;",",", "&amp;Transaksi!$F$2:$F$3000&amp;","))*(Transaksi!$C$2:$C$3000=$A49)*(Transaksi!$H$2:$H$3000&gt;0))&gt;0,"✓",IF(SUMPRODUCT(ISNUMBER(SEARCH(", "&amp;TEXT(S$43,"yyyy-mm")&amp;":",", "&amp;Transaksi!$F$2:$F$3000&amp;","))*(Transaksi!$C$2:$C$3000=$A49)*(Transaksi!$H$2:$H$3000&gt;0))&gt;0,"½",IF(S$43&gt;TODAY(),"·","✗"))))</f>
        <v/>
      </c>
      <c r="T49" s="36">
        <f>IF(OR(T$43&lt;Tetapan!$B10,AND(Tetapan!$C10&lt;&gt;"",T$43&gt;Tetapan!$C10),Tetapan!$E10=0,T$43&gt;Tetapan!$B$21),"–",IF(SUMPRODUCT(ISNUMBER(SEARCH(", "&amp;TEXT(T$43,"yyyy-mm")&amp;",",", "&amp;Transaksi!$F$2:$F$3000&amp;","))*(Transaksi!$C$2:$C$3000=$A49)*(Transaksi!$H$2:$H$3000&gt;0))&gt;0,"✓",IF(SUMPRODUCT(ISNUMBER(SEARCH(", "&amp;TEXT(T$43,"yyyy-mm")&amp;":",", "&amp;Transaksi!$F$2:$F$3000&amp;","))*(Transaksi!$C$2:$C$3000=$A49)*(Transaksi!$H$2:$H$3000&gt;0))&gt;0,"½",IF(T$43&gt;TODAY(),"·","✗"))))</f>
        <v/>
      </c>
      <c r="V49" s="37">
        <f>IF(B49="✗",TEXT(B$43,"mmm yy")&amp;", ",IF(B49="½",TEXT(B$43,"mmm yy")&amp;" (separa), ",""))&amp;IF(C49="✗",TEXT(C$43,"mmm yy")&amp;", ",IF(C49="½",TEXT(C$43,"mmm yy")&amp;" (separa), ",""))&amp;IF(D49="✗",TEXT(D$43,"mmm yy")&amp;", ",IF(D49="½",TEXT(D$43,"mmm yy")&amp;" (separa), ",""))&amp;IF(E49="✗",TEXT(E$43,"mmm yy")&amp;", ",IF(E49="½",TEXT(E$43,"mmm yy")&amp;" (separa), ",""))&amp;IF(F49="✗",TEXT(F$43,"mmm yy")&amp;", ",IF(F49="½",TEXT(F$43,"mmm yy")&amp;" (separa), ",""))&amp;IF(G49="✗",TEXT(G$43,"mmm yy")&amp;", ",IF(G49="½",TEXT(G$43,"mmm yy")&amp;" (separa), ",""))&amp;IF(H49="✗",TEXT(H$43,"mmm yy")&amp;", ",IF(H49="½",TEXT(H$43,"mmm yy")&amp;" (separa), ",""))&amp;IF(I49="✗",TEXT(I$43,"mmm yy")&amp;", ",IF(I49="½",TEXT(I$43,"mmm yy")&amp;" (separa), ",""))&amp;IF(J49="✗",TEXT(J$43,"mmm yy")&amp;", ",IF(J49="½",TEXT(J$43,"mmm yy")&amp;" (separa), ",""))&amp;IF(K49="✗",TEXT(K$43,"mmm yy")&amp;", ",IF(K49="½",TEXT(K$43,"mmm yy")&amp;" (separa), ",""))&amp;IF(L49="✗",TEXT(L$43,"mmm yy")&amp;", ",IF(L49="½",TEXT(L$43,"mmm yy")&amp;" (separa), ",""))&amp;IF(M49="✗",TEXT(M$43,"mmm yy")&amp;", ",IF(M49="½",TEXT(M$43,"mmm yy")&amp;" (separa), ",""))&amp;IF(N49="✗",TEXT(N$43,"mmm yy")&amp;", ",IF(N49="½",TEXT(N$43,"mmm yy")&amp;" (separa), ",""))&amp;IF(O49="✗",TEXT(O$43,"mmm yy")&amp;", ",IF(O49="½",TEXT(O$43,"mmm yy")&amp;" (separa), ",""))&amp;IF(P49="✗",TEXT(P$43,"mmm yy")&amp;", ",IF(P49="½",TEXT(P$43,"mmm yy")&amp;" (separa), ",""))&amp;IF(Q49="✗",TEXT(Q$43,"mmm yy")&amp;", ",IF(Q49="½",TEXT(Q$43,"mmm yy")&amp;" (separa), ",""))&amp;IF(R49="✗",TEXT(R$43,"mmm yy")&amp;", ",IF(R49="½",TEXT(R$43,"mmm yy")&amp;" (separa), ",""))&amp;IF(S49="✗",TEXT(S$43,"mmm yy")&amp;", ",IF(S49="½",TEXT(S$43,"mmm yy")&amp;" (separa), ",""))&amp;IF(T49="✗",TEXT(T$43,"mmm yy")&amp;", ",IF(T49="½",TEXT(T$43,"mmm yy")&amp;" (separa), ",""))</f>
        <v/>
      </c>
    </row>
    <row r="50">
      <c r="A50" s="32">
        <f>Tetapan!A11</f>
        <v/>
      </c>
      <c r="B50" s="36">
        <f>IF(OR(B$43&lt;Tetapan!$B11,AND(Tetapan!$C11&lt;&gt;"",B$43&gt;Tetapan!$C11),Tetapan!$E11=0,B$43&gt;Tetapan!$B$21),"–",IF(SUMPRODUCT(ISNUMBER(SEARCH(", "&amp;TEXT(B$43,"yyyy-mm")&amp;",",", "&amp;Transaksi!$F$2:$F$3000&amp;","))*(Transaksi!$C$2:$C$3000=$A50)*(Transaksi!$H$2:$H$3000&gt;0))&gt;0,"✓",IF(SUMPRODUCT(ISNUMBER(SEARCH(", "&amp;TEXT(B$43,"yyyy-mm")&amp;":",", "&amp;Transaksi!$F$2:$F$3000&amp;","))*(Transaksi!$C$2:$C$3000=$A50)*(Transaksi!$H$2:$H$3000&gt;0))&gt;0,"½",IF(B$43&gt;TODAY(),"·","✗"))))</f>
        <v/>
      </c>
      <c r="C50" s="36">
        <f>IF(OR(C$43&lt;Tetapan!$B11,AND(Tetapan!$C11&lt;&gt;"",C$43&gt;Tetapan!$C11),Tetapan!$E11=0,C$43&gt;Tetapan!$B$21),"–",IF(SUMPRODUCT(ISNUMBER(SEARCH(", "&amp;TEXT(C$43,"yyyy-mm")&amp;",",", "&amp;Transaksi!$F$2:$F$3000&amp;","))*(Transaksi!$C$2:$C$3000=$A50)*(Transaksi!$H$2:$H$3000&gt;0))&gt;0,"✓",IF(SUMPRODUCT(ISNUMBER(SEARCH(", "&amp;TEXT(C$43,"yyyy-mm")&amp;":",", "&amp;Transaksi!$F$2:$F$3000&amp;","))*(Transaksi!$C$2:$C$3000=$A50)*(Transaksi!$H$2:$H$3000&gt;0))&gt;0,"½",IF(C$43&gt;TODAY(),"·","✗"))))</f>
        <v/>
      </c>
      <c r="D50" s="36">
        <f>IF(OR(D$43&lt;Tetapan!$B11,AND(Tetapan!$C11&lt;&gt;"",D$43&gt;Tetapan!$C11),Tetapan!$E11=0,D$43&gt;Tetapan!$B$21),"–",IF(SUMPRODUCT(ISNUMBER(SEARCH(", "&amp;TEXT(D$43,"yyyy-mm")&amp;",",", "&amp;Transaksi!$F$2:$F$3000&amp;","))*(Transaksi!$C$2:$C$3000=$A50)*(Transaksi!$H$2:$H$3000&gt;0))&gt;0,"✓",IF(SUMPRODUCT(ISNUMBER(SEARCH(", "&amp;TEXT(D$43,"yyyy-mm")&amp;":",", "&amp;Transaksi!$F$2:$F$3000&amp;","))*(Transaksi!$C$2:$C$3000=$A50)*(Transaksi!$H$2:$H$3000&gt;0))&gt;0,"½",IF(D$43&gt;TODAY(),"·","✗"))))</f>
        <v/>
      </c>
      <c r="E50" s="36">
        <f>IF(OR(E$43&lt;Tetapan!$B11,AND(Tetapan!$C11&lt;&gt;"",E$43&gt;Tetapan!$C11),Tetapan!$E11=0,E$43&gt;Tetapan!$B$21),"–",IF(SUMPRODUCT(ISNUMBER(SEARCH(", "&amp;TEXT(E$43,"yyyy-mm")&amp;",",", "&amp;Transaksi!$F$2:$F$3000&amp;","))*(Transaksi!$C$2:$C$3000=$A50)*(Transaksi!$H$2:$H$3000&gt;0))&gt;0,"✓",IF(SUMPRODUCT(ISNUMBER(SEARCH(", "&amp;TEXT(E$43,"yyyy-mm")&amp;":",", "&amp;Transaksi!$F$2:$F$3000&amp;","))*(Transaksi!$C$2:$C$3000=$A50)*(Transaksi!$H$2:$H$3000&gt;0))&gt;0,"½",IF(E$43&gt;TODAY(),"·","✗"))))</f>
        <v/>
      </c>
      <c r="F50" s="36">
        <f>IF(OR(F$43&lt;Tetapan!$B11,AND(Tetapan!$C11&lt;&gt;"",F$43&gt;Tetapan!$C11),Tetapan!$E11=0,F$43&gt;Tetapan!$B$21),"–",IF(SUMPRODUCT(ISNUMBER(SEARCH(", "&amp;TEXT(F$43,"yyyy-mm")&amp;",",", "&amp;Transaksi!$F$2:$F$3000&amp;","))*(Transaksi!$C$2:$C$3000=$A50)*(Transaksi!$H$2:$H$3000&gt;0))&gt;0,"✓",IF(SUMPRODUCT(ISNUMBER(SEARCH(", "&amp;TEXT(F$43,"yyyy-mm")&amp;":",", "&amp;Transaksi!$F$2:$F$3000&amp;","))*(Transaksi!$C$2:$C$3000=$A50)*(Transaksi!$H$2:$H$3000&gt;0))&gt;0,"½",IF(F$43&gt;TODAY(),"·","✗"))))</f>
        <v/>
      </c>
      <c r="G50" s="36">
        <f>IF(OR(G$43&lt;Tetapan!$B11,AND(Tetapan!$C11&lt;&gt;"",G$43&gt;Tetapan!$C11),Tetapan!$E11=0,G$43&gt;Tetapan!$B$21),"–",IF(SUMPRODUCT(ISNUMBER(SEARCH(", "&amp;TEXT(G$43,"yyyy-mm")&amp;",",", "&amp;Transaksi!$F$2:$F$3000&amp;","))*(Transaksi!$C$2:$C$3000=$A50)*(Transaksi!$H$2:$H$3000&gt;0))&gt;0,"✓",IF(SUMPRODUCT(ISNUMBER(SEARCH(", "&amp;TEXT(G$43,"yyyy-mm")&amp;":",", "&amp;Transaksi!$F$2:$F$3000&amp;","))*(Transaksi!$C$2:$C$3000=$A50)*(Transaksi!$H$2:$H$3000&gt;0))&gt;0,"½",IF(G$43&gt;TODAY(),"·","✗"))))</f>
        <v/>
      </c>
      <c r="H50" s="36">
        <f>IF(OR(H$43&lt;Tetapan!$B11,AND(Tetapan!$C11&lt;&gt;"",H$43&gt;Tetapan!$C11),Tetapan!$E11=0,H$43&gt;Tetapan!$B$21),"–",IF(SUMPRODUCT(ISNUMBER(SEARCH(", "&amp;TEXT(H$43,"yyyy-mm")&amp;",",", "&amp;Transaksi!$F$2:$F$3000&amp;","))*(Transaksi!$C$2:$C$3000=$A50)*(Transaksi!$H$2:$H$3000&gt;0))&gt;0,"✓",IF(SUMPRODUCT(ISNUMBER(SEARCH(", "&amp;TEXT(H$43,"yyyy-mm")&amp;":",", "&amp;Transaksi!$F$2:$F$3000&amp;","))*(Transaksi!$C$2:$C$3000=$A50)*(Transaksi!$H$2:$H$3000&gt;0))&gt;0,"½",IF(H$43&gt;TODAY(),"·","✗"))))</f>
        <v/>
      </c>
      <c r="I50" s="36">
        <f>IF(OR(I$43&lt;Tetapan!$B11,AND(Tetapan!$C11&lt;&gt;"",I$43&gt;Tetapan!$C11),Tetapan!$E11=0,I$43&gt;Tetapan!$B$21),"–",IF(SUMPRODUCT(ISNUMBER(SEARCH(", "&amp;TEXT(I$43,"yyyy-mm")&amp;",",", "&amp;Transaksi!$F$2:$F$3000&amp;","))*(Transaksi!$C$2:$C$3000=$A50)*(Transaksi!$H$2:$H$3000&gt;0))&gt;0,"✓",IF(SUMPRODUCT(ISNUMBER(SEARCH(", "&amp;TEXT(I$43,"yyyy-mm")&amp;":",", "&amp;Transaksi!$F$2:$F$3000&amp;","))*(Transaksi!$C$2:$C$3000=$A50)*(Transaksi!$H$2:$H$3000&gt;0))&gt;0,"½",IF(I$43&gt;TODAY(),"·","✗"))))</f>
        <v/>
      </c>
      <c r="J50" s="36">
        <f>IF(OR(J$43&lt;Tetapan!$B11,AND(Tetapan!$C11&lt;&gt;"",J$43&gt;Tetapan!$C11),Tetapan!$E11=0,J$43&gt;Tetapan!$B$21),"–",IF(SUMPRODUCT(ISNUMBER(SEARCH(", "&amp;TEXT(J$43,"yyyy-mm")&amp;",",", "&amp;Transaksi!$F$2:$F$3000&amp;","))*(Transaksi!$C$2:$C$3000=$A50)*(Transaksi!$H$2:$H$3000&gt;0))&gt;0,"✓",IF(SUMPRODUCT(ISNUMBER(SEARCH(", "&amp;TEXT(J$43,"yyyy-mm")&amp;":",", "&amp;Transaksi!$F$2:$F$3000&amp;","))*(Transaksi!$C$2:$C$3000=$A50)*(Transaksi!$H$2:$H$3000&gt;0))&gt;0,"½",IF(J$43&gt;TODAY(),"·","✗"))))</f>
        <v/>
      </c>
      <c r="K50" s="36">
        <f>IF(OR(K$43&lt;Tetapan!$B11,AND(Tetapan!$C11&lt;&gt;"",K$43&gt;Tetapan!$C11),Tetapan!$E11=0,K$43&gt;Tetapan!$B$21),"–",IF(SUMPRODUCT(ISNUMBER(SEARCH(", "&amp;TEXT(K$43,"yyyy-mm")&amp;",",", "&amp;Transaksi!$F$2:$F$3000&amp;","))*(Transaksi!$C$2:$C$3000=$A50)*(Transaksi!$H$2:$H$3000&gt;0))&gt;0,"✓",IF(SUMPRODUCT(ISNUMBER(SEARCH(", "&amp;TEXT(K$43,"yyyy-mm")&amp;":",", "&amp;Transaksi!$F$2:$F$3000&amp;","))*(Transaksi!$C$2:$C$3000=$A50)*(Transaksi!$H$2:$H$3000&gt;0))&gt;0,"½",IF(K$43&gt;TODAY(),"·","✗"))))</f>
        <v/>
      </c>
      <c r="L50" s="36">
        <f>IF(OR(L$43&lt;Tetapan!$B11,AND(Tetapan!$C11&lt;&gt;"",L$43&gt;Tetapan!$C11),Tetapan!$E11=0,L$43&gt;Tetapan!$B$21),"–",IF(SUMPRODUCT(ISNUMBER(SEARCH(", "&amp;TEXT(L$43,"yyyy-mm")&amp;",",", "&amp;Transaksi!$F$2:$F$3000&amp;","))*(Transaksi!$C$2:$C$3000=$A50)*(Transaksi!$H$2:$H$3000&gt;0))&gt;0,"✓",IF(SUMPRODUCT(ISNUMBER(SEARCH(", "&amp;TEXT(L$43,"yyyy-mm")&amp;":",", "&amp;Transaksi!$F$2:$F$3000&amp;","))*(Transaksi!$C$2:$C$3000=$A50)*(Transaksi!$H$2:$H$3000&gt;0))&gt;0,"½",IF(L$43&gt;TODAY(),"·","✗"))))</f>
        <v/>
      </c>
      <c r="M50" s="36">
        <f>IF(OR(M$43&lt;Tetapan!$B11,AND(Tetapan!$C11&lt;&gt;"",M$43&gt;Tetapan!$C11),Tetapan!$E11=0,M$43&gt;Tetapan!$B$21),"–",IF(SUMPRODUCT(ISNUMBER(SEARCH(", "&amp;TEXT(M$43,"yyyy-mm")&amp;",",", "&amp;Transaksi!$F$2:$F$3000&amp;","))*(Transaksi!$C$2:$C$3000=$A50)*(Transaksi!$H$2:$H$3000&gt;0))&gt;0,"✓",IF(SUMPRODUCT(ISNUMBER(SEARCH(", "&amp;TEXT(M$43,"yyyy-mm")&amp;":",", "&amp;Transaksi!$F$2:$F$3000&amp;","))*(Transaksi!$C$2:$C$3000=$A50)*(Transaksi!$H$2:$H$3000&gt;0))&gt;0,"½",IF(M$43&gt;TODAY(),"·","✗"))))</f>
        <v/>
      </c>
      <c r="N50" s="36">
        <f>IF(OR(N$43&lt;Tetapan!$B11,AND(Tetapan!$C11&lt;&gt;"",N$43&gt;Tetapan!$C11),Tetapan!$E11=0,N$43&gt;Tetapan!$B$21),"–",IF(SUMPRODUCT(ISNUMBER(SEARCH(", "&amp;TEXT(N$43,"yyyy-mm")&amp;",",", "&amp;Transaksi!$F$2:$F$3000&amp;","))*(Transaksi!$C$2:$C$3000=$A50)*(Transaksi!$H$2:$H$3000&gt;0))&gt;0,"✓",IF(SUMPRODUCT(ISNUMBER(SEARCH(", "&amp;TEXT(N$43,"yyyy-mm")&amp;":",", "&amp;Transaksi!$F$2:$F$3000&amp;","))*(Transaksi!$C$2:$C$3000=$A50)*(Transaksi!$H$2:$H$3000&gt;0))&gt;0,"½",IF(N$43&gt;TODAY(),"·","✗"))))</f>
        <v/>
      </c>
      <c r="O50" s="36">
        <f>IF(OR(O$43&lt;Tetapan!$B11,AND(Tetapan!$C11&lt;&gt;"",O$43&gt;Tetapan!$C11),Tetapan!$E11=0,O$43&gt;Tetapan!$B$21),"–",IF(SUMPRODUCT(ISNUMBER(SEARCH(", "&amp;TEXT(O$43,"yyyy-mm")&amp;",",", "&amp;Transaksi!$F$2:$F$3000&amp;","))*(Transaksi!$C$2:$C$3000=$A50)*(Transaksi!$H$2:$H$3000&gt;0))&gt;0,"✓",IF(SUMPRODUCT(ISNUMBER(SEARCH(", "&amp;TEXT(O$43,"yyyy-mm")&amp;":",", "&amp;Transaksi!$F$2:$F$3000&amp;","))*(Transaksi!$C$2:$C$3000=$A50)*(Transaksi!$H$2:$H$3000&gt;0))&gt;0,"½",IF(O$43&gt;TODAY(),"·","✗"))))</f>
        <v/>
      </c>
      <c r="P50" s="36">
        <f>IF(OR(P$43&lt;Tetapan!$B11,AND(Tetapan!$C11&lt;&gt;"",P$43&gt;Tetapan!$C11),Tetapan!$E11=0,P$43&gt;Tetapan!$B$21),"–",IF(SUMPRODUCT(ISNUMBER(SEARCH(", "&amp;TEXT(P$43,"yyyy-mm")&amp;",",", "&amp;Transaksi!$F$2:$F$3000&amp;","))*(Transaksi!$C$2:$C$3000=$A50)*(Transaksi!$H$2:$H$3000&gt;0))&gt;0,"✓",IF(SUMPRODUCT(ISNUMBER(SEARCH(", "&amp;TEXT(P$43,"yyyy-mm")&amp;":",", "&amp;Transaksi!$F$2:$F$3000&amp;","))*(Transaksi!$C$2:$C$3000=$A50)*(Transaksi!$H$2:$H$3000&gt;0))&gt;0,"½",IF(P$43&gt;TODAY(),"·","✗"))))</f>
        <v/>
      </c>
      <c r="Q50" s="36">
        <f>IF(OR(Q$43&lt;Tetapan!$B11,AND(Tetapan!$C11&lt;&gt;"",Q$43&gt;Tetapan!$C11),Tetapan!$E11=0,Q$43&gt;Tetapan!$B$21),"–",IF(SUMPRODUCT(ISNUMBER(SEARCH(", "&amp;TEXT(Q$43,"yyyy-mm")&amp;",",", "&amp;Transaksi!$F$2:$F$3000&amp;","))*(Transaksi!$C$2:$C$3000=$A50)*(Transaksi!$H$2:$H$3000&gt;0))&gt;0,"✓",IF(SUMPRODUCT(ISNUMBER(SEARCH(", "&amp;TEXT(Q$43,"yyyy-mm")&amp;":",", "&amp;Transaksi!$F$2:$F$3000&amp;","))*(Transaksi!$C$2:$C$3000=$A50)*(Transaksi!$H$2:$H$3000&gt;0))&gt;0,"½",IF(Q$43&gt;TODAY(),"·","✗"))))</f>
        <v/>
      </c>
      <c r="R50" s="36">
        <f>IF(OR(R$43&lt;Tetapan!$B11,AND(Tetapan!$C11&lt;&gt;"",R$43&gt;Tetapan!$C11),Tetapan!$E11=0,R$43&gt;Tetapan!$B$21),"–",IF(SUMPRODUCT(ISNUMBER(SEARCH(", "&amp;TEXT(R$43,"yyyy-mm")&amp;",",", "&amp;Transaksi!$F$2:$F$3000&amp;","))*(Transaksi!$C$2:$C$3000=$A50)*(Transaksi!$H$2:$H$3000&gt;0))&gt;0,"✓",IF(SUMPRODUCT(ISNUMBER(SEARCH(", "&amp;TEXT(R$43,"yyyy-mm")&amp;":",", "&amp;Transaksi!$F$2:$F$3000&amp;","))*(Transaksi!$C$2:$C$3000=$A50)*(Transaksi!$H$2:$H$3000&gt;0))&gt;0,"½",IF(R$43&gt;TODAY(),"·","✗"))))</f>
        <v/>
      </c>
      <c r="S50" s="36">
        <f>IF(OR(S$43&lt;Tetapan!$B11,AND(Tetapan!$C11&lt;&gt;"",S$43&gt;Tetapan!$C11),Tetapan!$E11=0,S$43&gt;Tetapan!$B$21),"–",IF(SUMPRODUCT(ISNUMBER(SEARCH(", "&amp;TEXT(S$43,"yyyy-mm")&amp;",",", "&amp;Transaksi!$F$2:$F$3000&amp;","))*(Transaksi!$C$2:$C$3000=$A50)*(Transaksi!$H$2:$H$3000&gt;0))&gt;0,"✓",IF(SUMPRODUCT(ISNUMBER(SEARCH(", "&amp;TEXT(S$43,"yyyy-mm")&amp;":",", "&amp;Transaksi!$F$2:$F$3000&amp;","))*(Transaksi!$C$2:$C$3000=$A50)*(Transaksi!$H$2:$H$3000&gt;0))&gt;0,"½",IF(S$43&gt;TODAY(),"·","✗"))))</f>
        <v/>
      </c>
      <c r="T50" s="36">
        <f>IF(OR(T$43&lt;Tetapan!$B11,AND(Tetapan!$C11&lt;&gt;"",T$43&gt;Tetapan!$C11),Tetapan!$E11=0,T$43&gt;Tetapan!$B$21),"–",IF(SUMPRODUCT(ISNUMBER(SEARCH(", "&amp;TEXT(T$43,"yyyy-mm")&amp;",",", "&amp;Transaksi!$F$2:$F$3000&amp;","))*(Transaksi!$C$2:$C$3000=$A50)*(Transaksi!$H$2:$H$3000&gt;0))&gt;0,"✓",IF(SUMPRODUCT(ISNUMBER(SEARCH(", "&amp;TEXT(T$43,"yyyy-mm")&amp;":",", "&amp;Transaksi!$F$2:$F$3000&amp;","))*(Transaksi!$C$2:$C$3000=$A50)*(Transaksi!$H$2:$H$3000&gt;0))&gt;0,"½",IF(T$43&gt;TODAY(),"·","✗"))))</f>
        <v/>
      </c>
      <c r="V50" s="37">
        <f>IF(B50="✗",TEXT(B$43,"mmm yy")&amp;", ",IF(B50="½",TEXT(B$43,"mmm yy")&amp;" (separa), ",""))&amp;IF(C50="✗",TEXT(C$43,"mmm yy")&amp;", ",IF(C50="½",TEXT(C$43,"mmm yy")&amp;" (separa), ",""))&amp;IF(D50="✗",TEXT(D$43,"mmm yy")&amp;", ",IF(D50="½",TEXT(D$43,"mmm yy")&amp;" (separa), ",""))&amp;IF(E50="✗",TEXT(E$43,"mmm yy")&amp;", ",IF(E50="½",TEXT(E$43,"mmm yy")&amp;" (separa), ",""))&amp;IF(F50="✗",TEXT(F$43,"mmm yy")&amp;", ",IF(F50="½",TEXT(F$43,"mmm yy")&amp;" (separa), ",""))&amp;IF(G50="✗",TEXT(G$43,"mmm yy")&amp;", ",IF(G50="½",TEXT(G$43,"mmm yy")&amp;" (separa), ",""))&amp;IF(H50="✗",TEXT(H$43,"mmm yy")&amp;", ",IF(H50="½",TEXT(H$43,"mmm yy")&amp;" (separa), ",""))&amp;IF(I50="✗",TEXT(I$43,"mmm yy")&amp;", ",IF(I50="½",TEXT(I$43,"mmm yy")&amp;" (separa), ",""))&amp;IF(J50="✗",TEXT(J$43,"mmm yy")&amp;", ",IF(J50="½",TEXT(J$43,"mmm yy")&amp;" (separa), ",""))&amp;IF(K50="✗",TEXT(K$43,"mmm yy")&amp;", ",IF(K50="½",TEXT(K$43,"mmm yy")&amp;" (separa), ",""))&amp;IF(L50="✗",TEXT(L$43,"mmm yy")&amp;", ",IF(L50="½",TEXT(L$43,"mmm yy")&amp;" (separa), ",""))&amp;IF(M50="✗",TEXT(M$43,"mmm yy")&amp;", ",IF(M50="½",TEXT(M$43,"mmm yy")&amp;" (separa), ",""))&amp;IF(N50="✗",TEXT(N$43,"mmm yy")&amp;", ",IF(N50="½",TEXT(N$43,"mmm yy")&amp;" (separa), ",""))&amp;IF(O50="✗",TEXT(O$43,"mmm yy")&amp;", ",IF(O50="½",TEXT(O$43,"mmm yy")&amp;" (separa), ",""))&amp;IF(P50="✗",TEXT(P$43,"mmm yy")&amp;", ",IF(P50="½",TEXT(P$43,"mmm yy")&amp;" (separa), ",""))&amp;IF(Q50="✗",TEXT(Q$43,"mmm yy")&amp;", ",IF(Q50="½",TEXT(Q$43,"mmm yy")&amp;" (separa), ",""))&amp;IF(R50="✗",TEXT(R$43,"mmm yy")&amp;", ",IF(R50="½",TEXT(R$43,"mmm yy")&amp;" (separa), ",""))&amp;IF(S50="✗",TEXT(S$43,"mmm yy")&amp;", ",IF(S50="½",TEXT(S$43,"mmm yy")&amp;" (separa), ",""))&amp;IF(T50="✗",TEXT(T$43,"mmm yy")&amp;", ",IF(T50="½",TEXT(T$43,"mmm yy")&amp;" (separa), ",""))</f>
        <v/>
      </c>
    </row>
    <row r="51">
      <c r="A51" s="32">
        <f>Tetapan!A12</f>
        <v/>
      </c>
      <c r="B51" s="36">
        <f>IF(OR(B$43&lt;Tetapan!$B12,AND(Tetapan!$C12&lt;&gt;"",B$43&gt;Tetapan!$C12),Tetapan!$E12=0,B$43&gt;Tetapan!$B$21),"–",IF(SUMPRODUCT(ISNUMBER(SEARCH(", "&amp;TEXT(B$43,"yyyy-mm")&amp;",",", "&amp;Transaksi!$F$2:$F$3000&amp;","))*(Transaksi!$C$2:$C$3000=$A51)*(Transaksi!$H$2:$H$3000&gt;0))&gt;0,"✓",IF(SUMPRODUCT(ISNUMBER(SEARCH(", "&amp;TEXT(B$43,"yyyy-mm")&amp;":",", "&amp;Transaksi!$F$2:$F$3000&amp;","))*(Transaksi!$C$2:$C$3000=$A51)*(Transaksi!$H$2:$H$3000&gt;0))&gt;0,"½",IF(B$43&gt;TODAY(),"·","✗"))))</f>
        <v/>
      </c>
      <c r="C51" s="36">
        <f>IF(OR(C$43&lt;Tetapan!$B12,AND(Tetapan!$C12&lt;&gt;"",C$43&gt;Tetapan!$C12),Tetapan!$E12=0,C$43&gt;Tetapan!$B$21),"–",IF(SUMPRODUCT(ISNUMBER(SEARCH(", "&amp;TEXT(C$43,"yyyy-mm")&amp;",",", "&amp;Transaksi!$F$2:$F$3000&amp;","))*(Transaksi!$C$2:$C$3000=$A51)*(Transaksi!$H$2:$H$3000&gt;0))&gt;0,"✓",IF(SUMPRODUCT(ISNUMBER(SEARCH(", "&amp;TEXT(C$43,"yyyy-mm")&amp;":",", "&amp;Transaksi!$F$2:$F$3000&amp;","))*(Transaksi!$C$2:$C$3000=$A51)*(Transaksi!$H$2:$H$3000&gt;0))&gt;0,"½",IF(C$43&gt;TODAY(),"·","✗"))))</f>
        <v/>
      </c>
      <c r="D51" s="36">
        <f>IF(OR(D$43&lt;Tetapan!$B12,AND(Tetapan!$C12&lt;&gt;"",D$43&gt;Tetapan!$C12),Tetapan!$E12=0,D$43&gt;Tetapan!$B$21),"–",IF(SUMPRODUCT(ISNUMBER(SEARCH(", "&amp;TEXT(D$43,"yyyy-mm")&amp;",",", "&amp;Transaksi!$F$2:$F$3000&amp;","))*(Transaksi!$C$2:$C$3000=$A51)*(Transaksi!$H$2:$H$3000&gt;0))&gt;0,"✓",IF(SUMPRODUCT(ISNUMBER(SEARCH(", "&amp;TEXT(D$43,"yyyy-mm")&amp;":",", "&amp;Transaksi!$F$2:$F$3000&amp;","))*(Transaksi!$C$2:$C$3000=$A51)*(Transaksi!$H$2:$H$3000&gt;0))&gt;0,"½",IF(D$43&gt;TODAY(),"·","✗"))))</f>
        <v/>
      </c>
      <c r="E51" s="36">
        <f>IF(OR(E$43&lt;Tetapan!$B12,AND(Tetapan!$C12&lt;&gt;"",E$43&gt;Tetapan!$C12),Tetapan!$E12=0,E$43&gt;Tetapan!$B$21),"–",IF(SUMPRODUCT(ISNUMBER(SEARCH(", "&amp;TEXT(E$43,"yyyy-mm")&amp;",",", "&amp;Transaksi!$F$2:$F$3000&amp;","))*(Transaksi!$C$2:$C$3000=$A51)*(Transaksi!$H$2:$H$3000&gt;0))&gt;0,"✓",IF(SUMPRODUCT(ISNUMBER(SEARCH(", "&amp;TEXT(E$43,"yyyy-mm")&amp;":",", "&amp;Transaksi!$F$2:$F$3000&amp;","))*(Transaksi!$C$2:$C$3000=$A51)*(Transaksi!$H$2:$H$3000&gt;0))&gt;0,"½",IF(E$43&gt;TODAY(),"·","✗"))))</f>
        <v/>
      </c>
      <c r="F51" s="36">
        <f>IF(OR(F$43&lt;Tetapan!$B12,AND(Tetapan!$C12&lt;&gt;"",F$43&gt;Tetapan!$C12),Tetapan!$E12=0,F$43&gt;Tetapan!$B$21),"–",IF(SUMPRODUCT(ISNUMBER(SEARCH(", "&amp;TEXT(F$43,"yyyy-mm")&amp;",",", "&amp;Transaksi!$F$2:$F$3000&amp;","))*(Transaksi!$C$2:$C$3000=$A51)*(Transaksi!$H$2:$H$3000&gt;0))&gt;0,"✓",IF(SUMPRODUCT(ISNUMBER(SEARCH(", "&amp;TEXT(F$43,"yyyy-mm")&amp;":",", "&amp;Transaksi!$F$2:$F$3000&amp;","))*(Transaksi!$C$2:$C$3000=$A51)*(Transaksi!$H$2:$H$3000&gt;0))&gt;0,"½",IF(F$43&gt;TODAY(),"·","✗"))))</f>
        <v/>
      </c>
      <c r="G51" s="36">
        <f>IF(OR(G$43&lt;Tetapan!$B12,AND(Tetapan!$C12&lt;&gt;"",G$43&gt;Tetapan!$C12),Tetapan!$E12=0,G$43&gt;Tetapan!$B$21),"–",IF(SUMPRODUCT(ISNUMBER(SEARCH(", "&amp;TEXT(G$43,"yyyy-mm")&amp;",",", "&amp;Transaksi!$F$2:$F$3000&amp;","))*(Transaksi!$C$2:$C$3000=$A51)*(Transaksi!$H$2:$H$3000&gt;0))&gt;0,"✓",IF(SUMPRODUCT(ISNUMBER(SEARCH(", "&amp;TEXT(G$43,"yyyy-mm")&amp;":",", "&amp;Transaksi!$F$2:$F$3000&amp;","))*(Transaksi!$C$2:$C$3000=$A51)*(Transaksi!$H$2:$H$3000&gt;0))&gt;0,"½",IF(G$43&gt;TODAY(),"·","✗"))))</f>
        <v/>
      </c>
      <c r="H51" s="36">
        <f>IF(OR(H$43&lt;Tetapan!$B12,AND(Tetapan!$C12&lt;&gt;"",H$43&gt;Tetapan!$C12),Tetapan!$E12=0,H$43&gt;Tetapan!$B$21),"–",IF(SUMPRODUCT(ISNUMBER(SEARCH(", "&amp;TEXT(H$43,"yyyy-mm")&amp;",",", "&amp;Transaksi!$F$2:$F$3000&amp;","))*(Transaksi!$C$2:$C$3000=$A51)*(Transaksi!$H$2:$H$3000&gt;0))&gt;0,"✓",IF(SUMPRODUCT(ISNUMBER(SEARCH(", "&amp;TEXT(H$43,"yyyy-mm")&amp;":",", "&amp;Transaksi!$F$2:$F$3000&amp;","))*(Transaksi!$C$2:$C$3000=$A51)*(Transaksi!$H$2:$H$3000&gt;0))&gt;0,"½",IF(H$43&gt;TODAY(),"·","✗"))))</f>
        <v/>
      </c>
      <c r="I51" s="36">
        <f>IF(OR(I$43&lt;Tetapan!$B12,AND(Tetapan!$C12&lt;&gt;"",I$43&gt;Tetapan!$C12),Tetapan!$E12=0,I$43&gt;Tetapan!$B$21),"–",IF(SUMPRODUCT(ISNUMBER(SEARCH(", "&amp;TEXT(I$43,"yyyy-mm")&amp;",",", "&amp;Transaksi!$F$2:$F$3000&amp;","))*(Transaksi!$C$2:$C$3000=$A51)*(Transaksi!$H$2:$H$3000&gt;0))&gt;0,"✓",IF(SUMPRODUCT(ISNUMBER(SEARCH(", "&amp;TEXT(I$43,"yyyy-mm")&amp;":",", "&amp;Transaksi!$F$2:$F$3000&amp;","))*(Transaksi!$C$2:$C$3000=$A51)*(Transaksi!$H$2:$H$3000&gt;0))&gt;0,"½",IF(I$43&gt;TODAY(),"·","✗"))))</f>
        <v/>
      </c>
      <c r="J51" s="36">
        <f>IF(OR(J$43&lt;Tetapan!$B12,AND(Tetapan!$C12&lt;&gt;"",J$43&gt;Tetapan!$C12),Tetapan!$E12=0,J$43&gt;Tetapan!$B$21),"–",IF(SUMPRODUCT(ISNUMBER(SEARCH(", "&amp;TEXT(J$43,"yyyy-mm")&amp;",",", "&amp;Transaksi!$F$2:$F$3000&amp;","))*(Transaksi!$C$2:$C$3000=$A51)*(Transaksi!$H$2:$H$3000&gt;0))&gt;0,"✓",IF(SUMPRODUCT(ISNUMBER(SEARCH(", "&amp;TEXT(J$43,"yyyy-mm")&amp;":",", "&amp;Transaksi!$F$2:$F$3000&amp;","))*(Transaksi!$C$2:$C$3000=$A51)*(Transaksi!$H$2:$H$3000&gt;0))&gt;0,"½",IF(J$43&gt;TODAY(),"·","✗"))))</f>
        <v/>
      </c>
      <c r="K51" s="36">
        <f>IF(OR(K$43&lt;Tetapan!$B12,AND(Tetapan!$C12&lt;&gt;"",K$43&gt;Tetapan!$C12),Tetapan!$E12=0,K$43&gt;Tetapan!$B$21),"–",IF(SUMPRODUCT(ISNUMBER(SEARCH(", "&amp;TEXT(K$43,"yyyy-mm")&amp;",",", "&amp;Transaksi!$F$2:$F$3000&amp;","))*(Transaksi!$C$2:$C$3000=$A51)*(Transaksi!$H$2:$H$3000&gt;0))&gt;0,"✓",IF(SUMPRODUCT(ISNUMBER(SEARCH(", "&amp;TEXT(K$43,"yyyy-mm")&amp;":",", "&amp;Transaksi!$F$2:$F$3000&amp;","))*(Transaksi!$C$2:$C$3000=$A51)*(Transaksi!$H$2:$H$3000&gt;0))&gt;0,"½",IF(K$43&gt;TODAY(),"·","✗"))))</f>
        <v/>
      </c>
      <c r="L51" s="36">
        <f>IF(OR(L$43&lt;Tetapan!$B12,AND(Tetapan!$C12&lt;&gt;"",L$43&gt;Tetapan!$C12),Tetapan!$E12=0,L$43&gt;Tetapan!$B$21),"–",IF(SUMPRODUCT(ISNUMBER(SEARCH(", "&amp;TEXT(L$43,"yyyy-mm")&amp;",",", "&amp;Transaksi!$F$2:$F$3000&amp;","))*(Transaksi!$C$2:$C$3000=$A51)*(Transaksi!$H$2:$H$3000&gt;0))&gt;0,"✓",IF(SUMPRODUCT(ISNUMBER(SEARCH(", "&amp;TEXT(L$43,"yyyy-mm")&amp;":",", "&amp;Transaksi!$F$2:$F$3000&amp;","))*(Transaksi!$C$2:$C$3000=$A51)*(Transaksi!$H$2:$H$3000&gt;0))&gt;0,"½",IF(L$43&gt;TODAY(),"·","✗"))))</f>
        <v/>
      </c>
      <c r="M51" s="36">
        <f>IF(OR(M$43&lt;Tetapan!$B12,AND(Tetapan!$C12&lt;&gt;"",M$43&gt;Tetapan!$C12),Tetapan!$E12=0,M$43&gt;Tetapan!$B$21),"–",IF(SUMPRODUCT(ISNUMBER(SEARCH(", "&amp;TEXT(M$43,"yyyy-mm")&amp;",",", "&amp;Transaksi!$F$2:$F$3000&amp;","))*(Transaksi!$C$2:$C$3000=$A51)*(Transaksi!$H$2:$H$3000&gt;0))&gt;0,"✓",IF(SUMPRODUCT(ISNUMBER(SEARCH(", "&amp;TEXT(M$43,"yyyy-mm")&amp;":",", "&amp;Transaksi!$F$2:$F$3000&amp;","))*(Transaksi!$C$2:$C$3000=$A51)*(Transaksi!$H$2:$H$3000&gt;0))&gt;0,"½",IF(M$43&gt;TODAY(),"·","✗"))))</f>
        <v/>
      </c>
      <c r="N51" s="36">
        <f>IF(OR(N$43&lt;Tetapan!$B12,AND(Tetapan!$C12&lt;&gt;"",N$43&gt;Tetapan!$C12),Tetapan!$E12=0,N$43&gt;Tetapan!$B$21),"–",IF(SUMPRODUCT(ISNUMBER(SEARCH(", "&amp;TEXT(N$43,"yyyy-mm")&amp;",",", "&amp;Transaksi!$F$2:$F$3000&amp;","))*(Transaksi!$C$2:$C$3000=$A51)*(Transaksi!$H$2:$H$3000&gt;0))&gt;0,"✓",IF(SUMPRODUCT(ISNUMBER(SEARCH(", "&amp;TEXT(N$43,"yyyy-mm")&amp;":",", "&amp;Transaksi!$F$2:$F$3000&amp;","))*(Transaksi!$C$2:$C$3000=$A51)*(Transaksi!$H$2:$H$3000&gt;0))&gt;0,"½",IF(N$43&gt;TODAY(),"·","✗"))))</f>
        <v/>
      </c>
      <c r="O51" s="36">
        <f>IF(OR(O$43&lt;Tetapan!$B12,AND(Tetapan!$C12&lt;&gt;"",O$43&gt;Tetapan!$C12),Tetapan!$E12=0,O$43&gt;Tetapan!$B$21),"–",IF(SUMPRODUCT(ISNUMBER(SEARCH(", "&amp;TEXT(O$43,"yyyy-mm")&amp;",",", "&amp;Transaksi!$F$2:$F$3000&amp;","))*(Transaksi!$C$2:$C$3000=$A51)*(Transaksi!$H$2:$H$3000&gt;0))&gt;0,"✓",IF(SUMPRODUCT(ISNUMBER(SEARCH(", "&amp;TEXT(O$43,"yyyy-mm")&amp;":",", "&amp;Transaksi!$F$2:$F$3000&amp;","))*(Transaksi!$C$2:$C$3000=$A51)*(Transaksi!$H$2:$H$3000&gt;0))&gt;0,"½",IF(O$43&gt;TODAY(),"·","✗"))))</f>
        <v/>
      </c>
      <c r="P51" s="36">
        <f>IF(OR(P$43&lt;Tetapan!$B12,AND(Tetapan!$C12&lt;&gt;"",P$43&gt;Tetapan!$C12),Tetapan!$E12=0,P$43&gt;Tetapan!$B$21),"–",IF(SUMPRODUCT(ISNUMBER(SEARCH(", "&amp;TEXT(P$43,"yyyy-mm")&amp;",",", "&amp;Transaksi!$F$2:$F$3000&amp;","))*(Transaksi!$C$2:$C$3000=$A51)*(Transaksi!$H$2:$H$3000&gt;0))&gt;0,"✓",IF(SUMPRODUCT(ISNUMBER(SEARCH(", "&amp;TEXT(P$43,"yyyy-mm")&amp;":",", "&amp;Transaksi!$F$2:$F$3000&amp;","))*(Transaksi!$C$2:$C$3000=$A51)*(Transaksi!$H$2:$H$3000&gt;0))&gt;0,"½",IF(P$43&gt;TODAY(),"·","✗"))))</f>
        <v/>
      </c>
      <c r="Q51" s="36">
        <f>IF(OR(Q$43&lt;Tetapan!$B12,AND(Tetapan!$C12&lt;&gt;"",Q$43&gt;Tetapan!$C12),Tetapan!$E12=0,Q$43&gt;Tetapan!$B$21),"–",IF(SUMPRODUCT(ISNUMBER(SEARCH(", "&amp;TEXT(Q$43,"yyyy-mm")&amp;",",", "&amp;Transaksi!$F$2:$F$3000&amp;","))*(Transaksi!$C$2:$C$3000=$A51)*(Transaksi!$H$2:$H$3000&gt;0))&gt;0,"✓",IF(SUMPRODUCT(ISNUMBER(SEARCH(", "&amp;TEXT(Q$43,"yyyy-mm")&amp;":",", "&amp;Transaksi!$F$2:$F$3000&amp;","))*(Transaksi!$C$2:$C$3000=$A51)*(Transaksi!$H$2:$H$3000&gt;0))&gt;0,"½",IF(Q$43&gt;TODAY(),"·","✗"))))</f>
        <v/>
      </c>
      <c r="R51" s="36">
        <f>IF(OR(R$43&lt;Tetapan!$B12,AND(Tetapan!$C12&lt;&gt;"",R$43&gt;Tetapan!$C12),Tetapan!$E12=0,R$43&gt;Tetapan!$B$21),"–",IF(SUMPRODUCT(ISNUMBER(SEARCH(", "&amp;TEXT(R$43,"yyyy-mm")&amp;",",", "&amp;Transaksi!$F$2:$F$3000&amp;","))*(Transaksi!$C$2:$C$3000=$A51)*(Transaksi!$H$2:$H$3000&gt;0))&gt;0,"✓",IF(SUMPRODUCT(ISNUMBER(SEARCH(", "&amp;TEXT(R$43,"yyyy-mm")&amp;":",", "&amp;Transaksi!$F$2:$F$3000&amp;","))*(Transaksi!$C$2:$C$3000=$A51)*(Transaksi!$H$2:$H$3000&gt;0))&gt;0,"½",IF(R$43&gt;TODAY(),"·","✗"))))</f>
        <v/>
      </c>
      <c r="S51" s="36">
        <f>IF(OR(S$43&lt;Tetapan!$B12,AND(Tetapan!$C12&lt;&gt;"",S$43&gt;Tetapan!$C12),Tetapan!$E12=0,S$43&gt;Tetapan!$B$21),"–",IF(SUMPRODUCT(ISNUMBER(SEARCH(", "&amp;TEXT(S$43,"yyyy-mm")&amp;",",", "&amp;Transaksi!$F$2:$F$3000&amp;","))*(Transaksi!$C$2:$C$3000=$A51)*(Transaksi!$H$2:$H$3000&gt;0))&gt;0,"✓",IF(SUMPRODUCT(ISNUMBER(SEARCH(", "&amp;TEXT(S$43,"yyyy-mm")&amp;":",", "&amp;Transaksi!$F$2:$F$3000&amp;","))*(Transaksi!$C$2:$C$3000=$A51)*(Transaksi!$H$2:$H$3000&gt;0))&gt;0,"½",IF(S$43&gt;TODAY(),"·","✗"))))</f>
        <v/>
      </c>
      <c r="T51" s="36">
        <f>IF(OR(T$43&lt;Tetapan!$B12,AND(Tetapan!$C12&lt;&gt;"",T$43&gt;Tetapan!$C12),Tetapan!$E12=0,T$43&gt;Tetapan!$B$21),"–",IF(SUMPRODUCT(ISNUMBER(SEARCH(", "&amp;TEXT(T$43,"yyyy-mm")&amp;",",", "&amp;Transaksi!$F$2:$F$3000&amp;","))*(Transaksi!$C$2:$C$3000=$A51)*(Transaksi!$H$2:$H$3000&gt;0))&gt;0,"✓",IF(SUMPRODUCT(ISNUMBER(SEARCH(", "&amp;TEXT(T$43,"yyyy-mm")&amp;":",", "&amp;Transaksi!$F$2:$F$3000&amp;","))*(Transaksi!$C$2:$C$3000=$A51)*(Transaksi!$H$2:$H$3000&gt;0))&gt;0,"½",IF(T$43&gt;TODAY(),"·","✗"))))</f>
        <v/>
      </c>
      <c r="V51" s="37">
        <f>IF(B51="✗",TEXT(B$43,"mmm yy")&amp;", ",IF(B51="½",TEXT(B$43,"mmm yy")&amp;" (separa), ",""))&amp;IF(C51="✗",TEXT(C$43,"mmm yy")&amp;", ",IF(C51="½",TEXT(C$43,"mmm yy")&amp;" (separa), ",""))&amp;IF(D51="✗",TEXT(D$43,"mmm yy")&amp;", ",IF(D51="½",TEXT(D$43,"mmm yy")&amp;" (separa), ",""))&amp;IF(E51="✗",TEXT(E$43,"mmm yy")&amp;", ",IF(E51="½",TEXT(E$43,"mmm yy")&amp;" (separa), ",""))&amp;IF(F51="✗",TEXT(F$43,"mmm yy")&amp;", ",IF(F51="½",TEXT(F$43,"mmm yy")&amp;" (separa), ",""))&amp;IF(G51="✗",TEXT(G$43,"mmm yy")&amp;", ",IF(G51="½",TEXT(G$43,"mmm yy")&amp;" (separa), ",""))&amp;IF(H51="✗",TEXT(H$43,"mmm yy")&amp;", ",IF(H51="½",TEXT(H$43,"mmm yy")&amp;" (separa), ",""))&amp;IF(I51="✗",TEXT(I$43,"mmm yy")&amp;", ",IF(I51="½",TEXT(I$43,"mmm yy")&amp;" (separa), ",""))&amp;IF(J51="✗",TEXT(J$43,"mmm yy")&amp;", ",IF(J51="½",TEXT(J$43,"mmm yy")&amp;" (separa), ",""))&amp;IF(K51="✗",TEXT(K$43,"mmm yy")&amp;", ",IF(K51="½",TEXT(K$43,"mmm yy")&amp;" (separa), ",""))&amp;IF(L51="✗",TEXT(L$43,"mmm yy")&amp;", ",IF(L51="½",TEXT(L$43,"mmm yy")&amp;" (separa), ",""))&amp;IF(M51="✗",TEXT(M$43,"mmm yy")&amp;", ",IF(M51="½",TEXT(M$43,"mmm yy")&amp;" (separa), ",""))&amp;IF(N51="✗",TEXT(N$43,"mmm yy")&amp;", ",IF(N51="½",TEXT(N$43,"mmm yy")&amp;" (separa), ",""))&amp;IF(O51="✗",TEXT(O$43,"mmm yy")&amp;", ",IF(O51="½",TEXT(O$43,"mmm yy")&amp;" (separa), ",""))&amp;IF(P51="✗",TEXT(P$43,"mmm yy")&amp;", ",IF(P51="½",TEXT(P$43,"mmm yy")&amp;" (separa), ",""))&amp;IF(Q51="✗",TEXT(Q$43,"mmm yy")&amp;", ",IF(Q51="½",TEXT(Q$43,"mmm yy")&amp;" (separa), ",""))&amp;IF(R51="✗",TEXT(R$43,"mmm yy")&amp;", ",IF(R51="½",TEXT(R$43,"mmm yy")&amp;" (separa), ",""))&amp;IF(S51="✗",TEXT(S$43,"mmm yy")&amp;", ",IF(S51="½",TEXT(S$43,"mmm yy")&amp;" (separa), ",""))&amp;IF(T51="✗",TEXT(T$43,"mmm yy")&amp;", ",IF(T51="½",TEXT(T$43,"mmm yy")&amp;" (separa), ",""))</f>
        <v/>
      </c>
    </row>
    <row r="52">
      <c r="A52" s="32">
        <f>Tetapan!A13</f>
        <v/>
      </c>
      <c r="B52" s="36">
        <f>IF(OR(B$43&lt;Tetapan!$B13,AND(Tetapan!$C13&lt;&gt;"",B$43&gt;Tetapan!$C13),Tetapan!$E13=0,B$43&gt;Tetapan!$B$21),"–",IF(SUMPRODUCT(ISNUMBER(SEARCH(", "&amp;TEXT(B$43,"yyyy-mm")&amp;",",", "&amp;Transaksi!$F$2:$F$3000&amp;","))*(Transaksi!$C$2:$C$3000=$A52)*(Transaksi!$H$2:$H$3000&gt;0))&gt;0,"✓",IF(SUMPRODUCT(ISNUMBER(SEARCH(", "&amp;TEXT(B$43,"yyyy-mm")&amp;":",", "&amp;Transaksi!$F$2:$F$3000&amp;","))*(Transaksi!$C$2:$C$3000=$A52)*(Transaksi!$H$2:$H$3000&gt;0))&gt;0,"½",IF(B$43&gt;TODAY(),"·","✗"))))</f>
        <v/>
      </c>
      <c r="C52" s="36">
        <f>IF(OR(C$43&lt;Tetapan!$B13,AND(Tetapan!$C13&lt;&gt;"",C$43&gt;Tetapan!$C13),Tetapan!$E13=0,C$43&gt;Tetapan!$B$21),"–",IF(SUMPRODUCT(ISNUMBER(SEARCH(", "&amp;TEXT(C$43,"yyyy-mm")&amp;",",", "&amp;Transaksi!$F$2:$F$3000&amp;","))*(Transaksi!$C$2:$C$3000=$A52)*(Transaksi!$H$2:$H$3000&gt;0))&gt;0,"✓",IF(SUMPRODUCT(ISNUMBER(SEARCH(", "&amp;TEXT(C$43,"yyyy-mm")&amp;":",", "&amp;Transaksi!$F$2:$F$3000&amp;","))*(Transaksi!$C$2:$C$3000=$A52)*(Transaksi!$H$2:$H$3000&gt;0))&gt;0,"½",IF(C$43&gt;TODAY(),"·","✗"))))</f>
        <v/>
      </c>
      <c r="D52" s="36">
        <f>IF(OR(D$43&lt;Tetapan!$B13,AND(Tetapan!$C13&lt;&gt;"",D$43&gt;Tetapan!$C13),Tetapan!$E13=0,D$43&gt;Tetapan!$B$21),"–",IF(SUMPRODUCT(ISNUMBER(SEARCH(", "&amp;TEXT(D$43,"yyyy-mm")&amp;",",", "&amp;Transaksi!$F$2:$F$3000&amp;","))*(Transaksi!$C$2:$C$3000=$A52)*(Transaksi!$H$2:$H$3000&gt;0))&gt;0,"✓",IF(SUMPRODUCT(ISNUMBER(SEARCH(", "&amp;TEXT(D$43,"yyyy-mm")&amp;":",", "&amp;Transaksi!$F$2:$F$3000&amp;","))*(Transaksi!$C$2:$C$3000=$A52)*(Transaksi!$H$2:$H$3000&gt;0))&gt;0,"½",IF(D$43&gt;TODAY(),"·","✗"))))</f>
        <v/>
      </c>
      <c r="E52" s="36">
        <f>IF(OR(E$43&lt;Tetapan!$B13,AND(Tetapan!$C13&lt;&gt;"",E$43&gt;Tetapan!$C13),Tetapan!$E13=0,E$43&gt;Tetapan!$B$21),"–",IF(SUMPRODUCT(ISNUMBER(SEARCH(", "&amp;TEXT(E$43,"yyyy-mm")&amp;",",", "&amp;Transaksi!$F$2:$F$3000&amp;","))*(Transaksi!$C$2:$C$3000=$A52)*(Transaksi!$H$2:$H$3000&gt;0))&gt;0,"✓",IF(SUMPRODUCT(ISNUMBER(SEARCH(", "&amp;TEXT(E$43,"yyyy-mm")&amp;":",", "&amp;Transaksi!$F$2:$F$3000&amp;","))*(Transaksi!$C$2:$C$3000=$A52)*(Transaksi!$H$2:$H$3000&gt;0))&gt;0,"½",IF(E$43&gt;TODAY(),"·","✗"))))</f>
        <v/>
      </c>
      <c r="F52" s="36">
        <f>IF(OR(F$43&lt;Tetapan!$B13,AND(Tetapan!$C13&lt;&gt;"",F$43&gt;Tetapan!$C13),Tetapan!$E13=0,F$43&gt;Tetapan!$B$21),"–",IF(SUMPRODUCT(ISNUMBER(SEARCH(", "&amp;TEXT(F$43,"yyyy-mm")&amp;",",", "&amp;Transaksi!$F$2:$F$3000&amp;","))*(Transaksi!$C$2:$C$3000=$A52)*(Transaksi!$H$2:$H$3000&gt;0))&gt;0,"✓",IF(SUMPRODUCT(ISNUMBER(SEARCH(", "&amp;TEXT(F$43,"yyyy-mm")&amp;":",", "&amp;Transaksi!$F$2:$F$3000&amp;","))*(Transaksi!$C$2:$C$3000=$A52)*(Transaksi!$H$2:$H$3000&gt;0))&gt;0,"½",IF(F$43&gt;TODAY(),"·","✗"))))</f>
        <v/>
      </c>
      <c r="G52" s="36">
        <f>IF(OR(G$43&lt;Tetapan!$B13,AND(Tetapan!$C13&lt;&gt;"",G$43&gt;Tetapan!$C13),Tetapan!$E13=0,G$43&gt;Tetapan!$B$21),"–",IF(SUMPRODUCT(ISNUMBER(SEARCH(", "&amp;TEXT(G$43,"yyyy-mm")&amp;",",", "&amp;Transaksi!$F$2:$F$3000&amp;","))*(Transaksi!$C$2:$C$3000=$A52)*(Transaksi!$H$2:$H$3000&gt;0))&gt;0,"✓",IF(SUMPRODUCT(ISNUMBER(SEARCH(", "&amp;TEXT(G$43,"yyyy-mm")&amp;":",", "&amp;Transaksi!$F$2:$F$3000&amp;","))*(Transaksi!$C$2:$C$3000=$A52)*(Transaksi!$H$2:$H$3000&gt;0))&gt;0,"½",IF(G$43&gt;TODAY(),"·","✗"))))</f>
        <v/>
      </c>
      <c r="H52" s="36">
        <f>IF(OR(H$43&lt;Tetapan!$B13,AND(Tetapan!$C13&lt;&gt;"",H$43&gt;Tetapan!$C13),Tetapan!$E13=0,H$43&gt;Tetapan!$B$21),"–",IF(SUMPRODUCT(ISNUMBER(SEARCH(", "&amp;TEXT(H$43,"yyyy-mm")&amp;",",", "&amp;Transaksi!$F$2:$F$3000&amp;","))*(Transaksi!$C$2:$C$3000=$A52)*(Transaksi!$H$2:$H$3000&gt;0))&gt;0,"✓",IF(SUMPRODUCT(ISNUMBER(SEARCH(", "&amp;TEXT(H$43,"yyyy-mm")&amp;":",", "&amp;Transaksi!$F$2:$F$3000&amp;","))*(Transaksi!$C$2:$C$3000=$A52)*(Transaksi!$H$2:$H$3000&gt;0))&gt;0,"½",IF(H$43&gt;TODAY(),"·","✗"))))</f>
        <v/>
      </c>
      <c r="I52" s="36">
        <f>IF(OR(I$43&lt;Tetapan!$B13,AND(Tetapan!$C13&lt;&gt;"",I$43&gt;Tetapan!$C13),Tetapan!$E13=0,I$43&gt;Tetapan!$B$21),"–",IF(SUMPRODUCT(ISNUMBER(SEARCH(", "&amp;TEXT(I$43,"yyyy-mm")&amp;",",", "&amp;Transaksi!$F$2:$F$3000&amp;","))*(Transaksi!$C$2:$C$3000=$A52)*(Transaksi!$H$2:$H$3000&gt;0))&gt;0,"✓",IF(SUMPRODUCT(ISNUMBER(SEARCH(", "&amp;TEXT(I$43,"yyyy-mm")&amp;":",", "&amp;Transaksi!$F$2:$F$3000&amp;","))*(Transaksi!$C$2:$C$3000=$A52)*(Transaksi!$H$2:$H$3000&gt;0))&gt;0,"½",IF(I$43&gt;TODAY(),"·","✗"))))</f>
        <v/>
      </c>
      <c r="J52" s="36">
        <f>IF(OR(J$43&lt;Tetapan!$B13,AND(Tetapan!$C13&lt;&gt;"",J$43&gt;Tetapan!$C13),Tetapan!$E13=0,J$43&gt;Tetapan!$B$21),"–",IF(SUMPRODUCT(ISNUMBER(SEARCH(", "&amp;TEXT(J$43,"yyyy-mm")&amp;",",", "&amp;Transaksi!$F$2:$F$3000&amp;","))*(Transaksi!$C$2:$C$3000=$A52)*(Transaksi!$H$2:$H$3000&gt;0))&gt;0,"✓",IF(SUMPRODUCT(ISNUMBER(SEARCH(", "&amp;TEXT(J$43,"yyyy-mm")&amp;":",", "&amp;Transaksi!$F$2:$F$3000&amp;","))*(Transaksi!$C$2:$C$3000=$A52)*(Transaksi!$H$2:$H$3000&gt;0))&gt;0,"½",IF(J$43&gt;TODAY(),"·","✗"))))</f>
        <v/>
      </c>
      <c r="K52" s="36">
        <f>IF(OR(K$43&lt;Tetapan!$B13,AND(Tetapan!$C13&lt;&gt;"",K$43&gt;Tetapan!$C13),Tetapan!$E13=0,K$43&gt;Tetapan!$B$21),"–",IF(SUMPRODUCT(ISNUMBER(SEARCH(", "&amp;TEXT(K$43,"yyyy-mm")&amp;",",", "&amp;Transaksi!$F$2:$F$3000&amp;","))*(Transaksi!$C$2:$C$3000=$A52)*(Transaksi!$H$2:$H$3000&gt;0))&gt;0,"✓",IF(SUMPRODUCT(ISNUMBER(SEARCH(", "&amp;TEXT(K$43,"yyyy-mm")&amp;":",", "&amp;Transaksi!$F$2:$F$3000&amp;","))*(Transaksi!$C$2:$C$3000=$A52)*(Transaksi!$H$2:$H$3000&gt;0))&gt;0,"½",IF(K$43&gt;TODAY(),"·","✗"))))</f>
        <v/>
      </c>
      <c r="L52" s="36">
        <f>IF(OR(L$43&lt;Tetapan!$B13,AND(Tetapan!$C13&lt;&gt;"",L$43&gt;Tetapan!$C13),Tetapan!$E13=0,L$43&gt;Tetapan!$B$21),"–",IF(SUMPRODUCT(ISNUMBER(SEARCH(", "&amp;TEXT(L$43,"yyyy-mm")&amp;",",", "&amp;Transaksi!$F$2:$F$3000&amp;","))*(Transaksi!$C$2:$C$3000=$A52)*(Transaksi!$H$2:$H$3000&gt;0))&gt;0,"✓",IF(SUMPRODUCT(ISNUMBER(SEARCH(", "&amp;TEXT(L$43,"yyyy-mm")&amp;":",", "&amp;Transaksi!$F$2:$F$3000&amp;","))*(Transaksi!$C$2:$C$3000=$A52)*(Transaksi!$H$2:$H$3000&gt;0))&gt;0,"½",IF(L$43&gt;TODAY(),"·","✗"))))</f>
        <v/>
      </c>
      <c r="M52" s="36">
        <f>IF(OR(M$43&lt;Tetapan!$B13,AND(Tetapan!$C13&lt;&gt;"",M$43&gt;Tetapan!$C13),Tetapan!$E13=0,M$43&gt;Tetapan!$B$21),"–",IF(SUMPRODUCT(ISNUMBER(SEARCH(", "&amp;TEXT(M$43,"yyyy-mm")&amp;",",", "&amp;Transaksi!$F$2:$F$3000&amp;","))*(Transaksi!$C$2:$C$3000=$A52)*(Transaksi!$H$2:$H$3000&gt;0))&gt;0,"✓",IF(SUMPRODUCT(ISNUMBER(SEARCH(", "&amp;TEXT(M$43,"yyyy-mm")&amp;":",", "&amp;Transaksi!$F$2:$F$3000&amp;","))*(Transaksi!$C$2:$C$3000=$A52)*(Transaksi!$H$2:$H$3000&gt;0))&gt;0,"½",IF(M$43&gt;TODAY(),"·","✗"))))</f>
        <v/>
      </c>
      <c r="N52" s="36">
        <f>IF(OR(N$43&lt;Tetapan!$B13,AND(Tetapan!$C13&lt;&gt;"",N$43&gt;Tetapan!$C13),Tetapan!$E13=0,N$43&gt;Tetapan!$B$21),"–",IF(SUMPRODUCT(ISNUMBER(SEARCH(", "&amp;TEXT(N$43,"yyyy-mm")&amp;",",", "&amp;Transaksi!$F$2:$F$3000&amp;","))*(Transaksi!$C$2:$C$3000=$A52)*(Transaksi!$H$2:$H$3000&gt;0))&gt;0,"✓",IF(SUMPRODUCT(ISNUMBER(SEARCH(", "&amp;TEXT(N$43,"yyyy-mm")&amp;":",", "&amp;Transaksi!$F$2:$F$3000&amp;","))*(Transaksi!$C$2:$C$3000=$A52)*(Transaksi!$H$2:$H$3000&gt;0))&gt;0,"½",IF(N$43&gt;TODAY(),"·","✗"))))</f>
        <v/>
      </c>
      <c r="O52" s="36">
        <f>IF(OR(O$43&lt;Tetapan!$B13,AND(Tetapan!$C13&lt;&gt;"",O$43&gt;Tetapan!$C13),Tetapan!$E13=0,O$43&gt;Tetapan!$B$21),"–",IF(SUMPRODUCT(ISNUMBER(SEARCH(", "&amp;TEXT(O$43,"yyyy-mm")&amp;",",", "&amp;Transaksi!$F$2:$F$3000&amp;","))*(Transaksi!$C$2:$C$3000=$A52)*(Transaksi!$H$2:$H$3000&gt;0))&gt;0,"✓",IF(SUMPRODUCT(ISNUMBER(SEARCH(", "&amp;TEXT(O$43,"yyyy-mm")&amp;":",", "&amp;Transaksi!$F$2:$F$3000&amp;","))*(Transaksi!$C$2:$C$3000=$A52)*(Transaksi!$H$2:$H$3000&gt;0))&gt;0,"½",IF(O$43&gt;TODAY(),"·","✗"))))</f>
        <v/>
      </c>
      <c r="P52" s="36">
        <f>IF(OR(P$43&lt;Tetapan!$B13,AND(Tetapan!$C13&lt;&gt;"",P$43&gt;Tetapan!$C13),Tetapan!$E13=0,P$43&gt;Tetapan!$B$21),"–",IF(SUMPRODUCT(ISNUMBER(SEARCH(", "&amp;TEXT(P$43,"yyyy-mm")&amp;",",", "&amp;Transaksi!$F$2:$F$3000&amp;","))*(Transaksi!$C$2:$C$3000=$A52)*(Transaksi!$H$2:$H$3000&gt;0))&gt;0,"✓",IF(SUMPRODUCT(ISNUMBER(SEARCH(", "&amp;TEXT(P$43,"yyyy-mm")&amp;":",", "&amp;Transaksi!$F$2:$F$3000&amp;","))*(Transaksi!$C$2:$C$3000=$A52)*(Transaksi!$H$2:$H$3000&gt;0))&gt;0,"½",IF(P$43&gt;TODAY(),"·","✗"))))</f>
        <v/>
      </c>
      <c r="Q52" s="36">
        <f>IF(OR(Q$43&lt;Tetapan!$B13,AND(Tetapan!$C13&lt;&gt;"",Q$43&gt;Tetapan!$C13),Tetapan!$E13=0,Q$43&gt;Tetapan!$B$21),"–",IF(SUMPRODUCT(ISNUMBER(SEARCH(", "&amp;TEXT(Q$43,"yyyy-mm")&amp;",",", "&amp;Transaksi!$F$2:$F$3000&amp;","))*(Transaksi!$C$2:$C$3000=$A52)*(Transaksi!$H$2:$H$3000&gt;0))&gt;0,"✓",IF(SUMPRODUCT(ISNUMBER(SEARCH(", "&amp;TEXT(Q$43,"yyyy-mm")&amp;":",", "&amp;Transaksi!$F$2:$F$3000&amp;","))*(Transaksi!$C$2:$C$3000=$A52)*(Transaksi!$H$2:$H$3000&gt;0))&gt;0,"½",IF(Q$43&gt;TODAY(),"·","✗"))))</f>
        <v/>
      </c>
      <c r="R52" s="36">
        <f>IF(OR(R$43&lt;Tetapan!$B13,AND(Tetapan!$C13&lt;&gt;"",R$43&gt;Tetapan!$C13),Tetapan!$E13=0,R$43&gt;Tetapan!$B$21),"–",IF(SUMPRODUCT(ISNUMBER(SEARCH(", "&amp;TEXT(R$43,"yyyy-mm")&amp;",",", "&amp;Transaksi!$F$2:$F$3000&amp;","))*(Transaksi!$C$2:$C$3000=$A52)*(Transaksi!$H$2:$H$3000&gt;0))&gt;0,"✓",IF(SUMPRODUCT(ISNUMBER(SEARCH(", "&amp;TEXT(R$43,"yyyy-mm")&amp;":",", "&amp;Transaksi!$F$2:$F$3000&amp;","))*(Transaksi!$C$2:$C$3000=$A52)*(Transaksi!$H$2:$H$3000&gt;0))&gt;0,"½",IF(R$43&gt;TODAY(),"·","✗"))))</f>
        <v/>
      </c>
      <c r="S52" s="36">
        <f>IF(OR(S$43&lt;Tetapan!$B13,AND(Tetapan!$C13&lt;&gt;"",S$43&gt;Tetapan!$C13),Tetapan!$E13=0,S$43&gt;Tetapan!$B$21),"–",IF(SUMPRODUCT(ISNUMBER(SEARCH(", "&amp;TEXT(S$43,"yyyy-mm")&amp;",",", "&amp;Transaksi!$F$2:$F$3000&amp;","))*(Transaksi!$C$2:$C$3000=$A52)*(Transaksi!$H$2:$H$3000&gt;0))&gt;0,"✓",IF(SUMPRODUCT(ISNUMBER(SEARCH(", "&amp;TEXT(S$43,"yyyy-mm")&amp;":",", "&amp;Transaksi!$F$2:$F$3000&amp;","))*(Transaksi!$C$2:$C$3000=$A52)*(Transaksi!$H$2:$H$3000&gt;0))&gt;0,"½",IF(S$43&gt;TODAY(),"·","✗"))))</f>
        <v/>
      </c>
      <c r="T52" s="36">
        <f>IF(OR(T$43&lt;Tetapan!$B13,AND(Tetapan!$C13&lt;&gt;"",T$43&gt;Tetapan!$C13),Tetapan!$E13=0,T$43&gt;Tetapan!$B$21),"–",IF(SUMPRODUCT(ISNUMBER(SEARCH(", "&amp;TEXT(T$43,"yyyy-mm")&amp;",",", "&amp;Transaksi!$F$2:$F$3000&amp;","))*(Transaksi!$C$2:$C$3000=$A52)*(Transaksi!$H$2:$H$3000&gt;0))&gt;0,"✓",IF(SUMPRODUCT(ISNUMBER(SEARCH(", "&amp;TEXT(T$43,"yyyy-mm")&amp;":",", "&amp;Transaksi!$F$2:$F$3000&amp;","))*(Transaksi!$C$2:$C$3000=$A52)*(Transaksi!$H$2:$H$3000&gt;0))&gt;0,"½",IF(T$43&gt;TODAY(),"·","✗"))))</f>
        <v/>
      </c>
      <c r="V52" s="37">
        <f>IF(B52="✗",TEXT(B$43,"mmm yy")&amp;", ",IF(B52="½",TEXT(B$43,"mmm yy")&amp;" (separa), ",""))&amp;IF(C52="✗",TEXT(C$43,"mmm yy")&amp;", ",IF(C52="½",TEXT(C$43,"mmm yy")&amp;" (separa), ",""))&amp;IF(D52="✗",TEXT(D$43,"mmm yy")&amp;", ",IF(D52="½",TEXT(D$43,"mmm yy")&amp;" (separa), ",""))&amp;IF(E52="✗",TEXT(E$43,"mmm yy")&amp;", ",IF(E52="½",TEXT(E$43,"mmm yy")&amp;" (separa), ",""))&amp;IF(F52="✗",TEXT(F$43,"mmm yy")&amp;", ",IF(F52="½",TEXT(F$43,"mmm yy")&amp;" (separa), ",""))&amp;IF(G52="✗",TEXT(G$43,"mmm yy")&amp;", ",IF(G52="½",TEXT(G$43,"mmm yy")&amp;" (separa), ",""))&amp;IF(H52="✗",TEXT(H$43,"mmm yy")&amp;", ",IF(H52="½",TEXT(H$43,"mmm yy")&amp;" (separa), ",""))&amp;IF(I52="✗",TEXT(I$43,"mmm yy")&amp;", ",IF(I52="½",TEXT(I$43,"mmm yy")&amp;" (separa), ",""))&amp;IF(J52="✗",TEXT(J$43,"mmm yy")&amp;", ",IF(J52="½",TEXT(J$43,"mmm yy")&amp;" (separa), ",""))&amp;IF(K52="✗",TEXT(K$43,"mmm yy")&amp;", ",IF(K52="½",TEXT(K$43,"mmm yy")&amp;" (separa), ",""))&amp;IF(L52="✗",TEXT(L$43,"mmm yy")&amp;", ",IF(L52="½",TEXT(L$43,"mmm yy")&amp;" (separa), ",""))&amp;IF(M52="✗",TEXT(M$43,"mmm yy")&amp;", ",IF(M52="½",TEXT(M$43,"mmm yy")&amp;" (separa), ",""))&amp;IF(N52="✗",TEXT(N$43,"mmm yy")&amp;", ",IF(N52="½",TEXT(N$43,"mmm yy")&amp;" (separa), ",""))&amp;IF(O52="✗",TEXT(O$43,"mmm yy")&amp;", ",IF(O52="½",TEXT(O$43,"mmm yy")&amp;" (separa), ",""))&amp;IF(P52="✗",TEXT(P$43,"mmm yy")&amp;", ",IF(P52="½",TEXT(P$43,"mmm yy")&amp;" (separa), ",""))&amp;IF(Q52="✗",TEXT(Q$43,"mmm yy")&amp;", ",IF(Q52="½",TEXT(Q$43,"mmm yy")&amp;" (separa), ",""))&amp;IF(R52="✗",TEXT(R$43,"mmm yy")&amp;", ",IF(R52="½",TEXT(R$43,"mmm yy")&amp;" (separa), ",""))&amp;IF(S52="✗",TEXT(S$43,"mmm yy")&amp;", ",IF(S52="½",TEXT(S$43,"mmm yy")&amp;" (separa), ",""))&amp;IF(T52="✗",TEXT(T$43,"mmm yy")&amp;", ",IF(T52="½",TEXT(T$43,"mmm yy")&amp;" (separa), ",""))</f>
        <v/>
      </c>
    </row>
    <row r="53">
      <c r="A53" s="32">
        <f>Tetapan!A14</f>
        <v/>
      </c>
      <c r="B53" s="36">
        <f>IF(OR(B$43&lt;Tetapan!$B14,AND(Tetapan!$C14&lt;&gt;"",B$43&gt;Tetapan!$C14),Tetapan!$E14=0,B$43&gt;Tetapan!$B$21),"–",IF(SUMPRODUCT(ISNUMBER(SEARCH(", "&amp;TEXT(B$43,"yyyy-mm")&amp;",",", "&amp;Transaksi!$F$2:$F$3000&amp;","))*(Transaksi!$C$2:$C$3000=$A53)*(Transaksi!$H$2:$H$3000&gt;0))&gt;0,"✓",IF(SUMPRODUCT(ISNUMBER(SEARCH(", "&amp;TEXT(B$43,"yyyy-mm")&amp;":",", "&amp;Transaksi!$F$2:$F$3000&amp;","))*(Transaksi!$C$2:$C$3000=$A53)*(Transaksi!$H$2:$H$3000&gt;0))&gt;0,"½",IF(B$43&gt;TODAY(),"·","✗"))))</f>
        <v/>
      </c>
      <c r="C53" s="36">
        <f>IF(OR(C$43&lt;Tetapan!$B14,AND(Tetapan!$C14&lt;&gt;"",C$43&gt;Tetapan!$C14),Tetapan!$E14=0,C$43&gt;Tetapan!$B$21),"–",IF(SUMPRODUCT(ISNUMBER(SEARCH(", "&amp;TEXT(C$43,"yyyy-mm")&amp;",",", "&amp;Transaksi!$F$2:$F$3000&amp;","))*(Transaksi!$C$2:$C$3000=$A53)*(Transaksi!$H$2:$H$3000&gt;0))&gt;0,"✓",IF(SUMPRODUCT(ISNUMBER(SEARCH(", "&amp;TEXT(C$43,"yyyy-mm")&amp;":",", "&amp;Transaksi!$F$2:$F$3000&amp;","))*(Transaksi!$C$2:$C$3000=$A53)*(Transaksi!$H$2:$H$3000&gt;0))&gt;0,"½",IF(C$43&gt;TODAY(),"·","✗"))))</f>
        <v/>
      </c>
      <c r="D53" s="36">
        <f>IF(OR(D$43&lt;Tetapan!$B14,AND(Tetapan!$C14&lt;&gt;"",D$43&gt;Tetapan!$C14),Tetapan!$E14=0,D$43&gt;Tetapan!$B$21),"–",IF(SUMPRODUCT(ISNUMBER(SEARCH(", "&amp;TEXT(D$43,"yyyy-mm")&amp;",",", "&amp;Transaksi!$F$2:$F$3000&amp;","))*(Transaksi!$C$2:$C$3000=$A53)*(Transaksi!$H$2:$H$3000&gt;0))&gt;0,"✓",IF(SUMPRODUCT(ISNUMBER(SEARCH(", "&amp;TEXT(D$43,"yyyy-mm")&amp;":",", "&amp;Transaksi!$F$2:$F$3000&amp;","))*(Transaksi!$C$2:$C$3000=$A53)*(Transaksi!$H$2:$H$3000&gt;0))&gt;0,"½",IF(D$43&gt;TODAY(),"·","✗"))))</f>
        <v/>
      </c>
      <c r="E53" s="36">
        <f>IF(OR(E$43&lt;Tetapan!$B14,AND(Tetapan!$C14&lt;&gt;"",E$43&gt;Tetapan!$C14),Tetapan!$E14=0,E$43&gt;Tetapan!$B$21),"–",IF(SUMPRODUCT(ISNUMBER(SEARCH(", "&amp;TEXT(E$43,"yyyy-mm")&amp;",",", "&amp;Transaksi!$F$2:$F$3000&amp;","))*(Transaksi!$C$2:$C$3000=$A53)*(Transaksi!$H$2:$H$3000&gt;0))&gt;0,"✓",IF(SUMPRODUCT(ISNUMBER(SEARCH(", "&amp;TEXT(E$43,"yyyy-mm")&amp;":",", "&amp;Transaksi!$F$2:$F$3000&amp;","))*(Transaksi!$C$2:$C$3000=$A53)*(Transaksi!$H$2:$H$3000&gt;0))&gt;0,"½",IF(E$43&gt;TODAY(),"·","✗"))))</f>
        <v/>
      </c>
      <c r="F53" s="36">
        <f>IF(OR(F$43&lt;Tetapan!$B14,AND(Tetapan!$C14&lt;&gt;"",F$43&gt;Tetapan!$C14),Tetapan!$E14=0,F$43&gt;Tetapan!$B$21),"–",IF(SUMPRODUCT(ISNUMBER(SEARCH(", "&amp;TEXT(F$43,"yyyy-mm")&amp;",",", "&amp;Transaksi!$F$2:$F$3000&amp;","))*(Transaksi!$C$2:$C$3000=$A53)*(Transaksi!$H$2:$H$3000&gt;0))&gt;0,"✓",IF(SUMPRODUCT(ISNUMBER(SEARCH(", "&amp;TEXT(F$43,"yyyy-mm")&amp;":",", "&amp;Transaksi!$F$2:$F$3000&amp;","))*(Transaksi!$C$2:$C$3000=$A53)*(Transaksi!$H$2:$H$3000&gt;0))&gt;0,"½",IF(F$43&gt;TODAY(),"·","✗"))))</f>
        <v/>
      </c>
      <c r="G53" s="36">
        <f>IF(OR(G$43&lt;Tetapan!$B14,AND(Tetapan!$C14&lt;&gt;"",G$43&gt;Tetapan!$C14),Tetapan!$E14=0,G$43&gt;Tetapan!$B$21),"–",IF(SUMPRODUCT(ISNUMBER(SEARCH(", "&amp;TEXT(G$43,"yyyy-mm")&amp;",",", "&amp;Transaksi!$F$2:$F$3000&amp;","))*(Transaksi!$C$2:$C$3000=$A53)*(Transaksi!$H$2:$H$3000&gt;0))&gt;0,"✓",IF(SUMPRODUCT(ISNUMBER(SEARCH(", "&amp;TEXT(G$43,"yyyy-mm")&amp;":",", "&amp;Transaksi!$F$2:$F$3000&amp;","))*(Transaksi!$C$2:$C$3000=$A53)*(Transaksi!$H$2:$H$3000&gt;0))&gt;0,"½",IF(G$43&gt;TODAY(),"·","✗"))))</f>
        <v/>
      </c>
      <c r="H53" s="36">
        <f>IF(OR(H$43&lt;Tetapan!$B14,AND(Tetapan!$C14&lt;&gt;"",H$43&gt;Tetapan!$C14),Tetapan!$E14=0,H$43&gt;Tetapan!$B$21),"–",IF(SUMPRODUCT(ISNUMBER(SEARCH(", "&amp;TEXT(H$43,"yyyy-mm")&amp;",",", "&amp;Transaksi!$F$2:$F$3000&amp;","))*(Transaksi!$C$2:$C$3000=$A53)*(Transaksi!$H$2:$H$3000&gt;0))&gt;0,"✓",IF(SUMPRODUCT(ISNUMBER(SEARCH(", "&amp;TEXT(H$43,"yyyy-mm")&amp;":",", "&amp;Transaksi!$F$2:$F$3000&amp;","))*(Transaksi!$C$2:$C$3000=$A53)*(Transaksi!$H$2:$H$3000&gt;0))&gt;0,"½",IF(H$43&gt;TODAY(),"·","✗"))))</f>
        <v/>
      </c>
      <c r="I53" s="36">
        <f>IF(OR(I$43&lt;Tetapan!$B14,AND(Tetapan!$C14&lt;&gt;"",I$43&gt;Tetapan!$C14),Tetapan!$E14=0,I$43&gt;Tetapan!$B$21),"–",IF(SUMPRODUCT(ISNUMBER(SEARCH(", "&amp;TEXT(I$43,"yyyy-mm")&amp;",",", "&amp;Transaksi!$F$2:$F$3000&amp;","))*(Transaksi!$C$2:$C$3000=$A53)*(Transaksi!$H$2:$H$3000&gt;0))&gt;0,"✓",IF(SUMPRODUCT(ISNUMBER(SEARCH(", "&amp;TEXT(I$43,"yyyy-mm")&amp;":",", "&amp;Transaksi!$F$2:$F$3000&amp;","))*(Transaksi!$C$2:$C$3000=$A53)*(Transaksi!$H$2:$H$3000&gt;0))&gt;0,"½",IF(I$43&gt;TODAY(),"·","✗"))))</f>
        <v/>
      </c>
      <c r="J53" s="36">
        <f>IF(OR(J$43&lt;Tetapan!$B14,AND(Tetapan!$C14&lt;&gt;"",J$43&gt;Tetapan!$C14),Tetapan!$E14=0,J$43&gt;Tetapan!$B$21),"–",IF(SUMPRODUCT(ISNUMBER(SEARCH(", "&amp;TEXT(J$43,"yyyy-mm")&amp;",",", "&amp;Transaksi!$F$2:$F$3000&amp;","))*(Transaksi!$C$2:$C$3000=$A53)*(Transaksi!$H$2:$H$3000&gt;0))&gt;0,"✓",IF(SUMPRODUCT(ISNUMBER(SEARCH(", "&amp;TEXT(J$43,"yyyy-mm")&amp;":",", "&amp;Transaksi!$F$2:$F$3000&amp;","))*(Transaksi!$C$2:$C$3000=$A53)*(Transaksi!$H$2:$H$3000&gt;0))&gt;0,"½",IF(J$43&gt;TODAY(),"·","✗"))))</f>
        <v/>
      </c>
      <c r="K53" s="36">
        <f>IF(OR(K$43&lt;Tetapan!$B14,AND(Tetapan!$C14&lt;&gt;"",K$43&gt;Tetapan!$C14),Tetapan!$E14=0,K$43&gt;Tetapan!$B$21),"–",IF(SUMPRODUCT(ISNUMBER(SEARCH(", "&amp;TEXT(K$43,"yyyy-mm")&amp;",",", "&amp;Transaksi!$F$2:$F$3000&amp;","))*(Transaksi!$C$2:$C$3000=$A53)*(Transaksi!$H$2:$H$3000&gt;0))&gt;0,"✓",IF(SUMPRODUCT(ISNUMBER(SEARCH(", "&amp;TEXT(K$43,"yyyy-mm")&amp;":",", "&amp;Transaksi!$F$2:$F$3000&amp;","))*(Transaksi!$C$2:$C$3000=$A53)*(Transaksi!$H$2:$H$3000&gt;0))&gt;0,"½",IF(K$43&gt;TODAY(),"·","✗"))))</f>
        <v/>
      </c>
      <c r="L53" s="36">
        <f>IF(OR(L$43&lt;Tetapan!$B14,AND(Tetapan!$C14&lt;&gt;"",L$43&gt;Tetapan!$C14),Tetapan!$E14=0,L$43&gt;Tetapan!$B$21),"–",IF(SUMPRODUCT(ISNUMBER(SEARCH(", "&amp;TEXT(L$43,"yyyy-mm")&amp;",",", "&amp;Transaksi!$F$2:$F$3000&amp;","))*(Transaksi!$C$2:$C$3000=$A53)*(Transaksi!$H$2:$H$3000&gt;0))&gt;0,"✓",IF(SUMPRODUCT(ISNUMBER(SEARCH(", "&amp;TEXT(L$43,"yyyy-mm")&amp;":",", "&amp;Transaksi!$F$2:$F$3000&amp;","))*(Transaksi!$C$2:$C$3000=$A53)*(Transaksi!$H$2:$H$3000&gt;0))&gt;0,"½",IF(L$43&gt;TODAY(),"·","✗"))))</f>
        <v/>
      </c>
      <c r="M53" s="36">
        <f>IF(OR(M$43&lt;Tetapan!$B14,AND(Tetapan!$C14&lt;&gt;"",M$43&gt;Tetapan!$C14),Tetapan!$E14=0,M$43&gt;Tetapan!$B$21),"–",IF(SUMPRODUCT(ISNUMBER(SEARCH(", "&amp;TEXT(M$43,"yyyy-mm")&amp;",",", "&amp;Transaksi!$F$2:$F$3000&amp;","))*(Transaksi!$C$2:$C$3000=$A53)*(Transaksi!$H$2:$H$3000&gt;0))&gt;0,"✓",IF(SUMPRODUCT(ISNUMBER(SEARCH(", "&amp;TEXT(M$43,"yyyy-mm")&amp;":",", "&amp;Transaksi!$F$2:$F$3000&amp;","))*(Transaksi!$C$2:$C$3000=$A53)*(Transaksi!$H$2:$H$3000&gt;0))&gt;0,"½",IF(M$43&gt;TODAY(),"·","✗"))))</f>
        <v/>
      </c>
      <c r="N53" s="36">
        <f>IF(OR(N$43&lt;Tetapan!$B14,AND(Tetapan!$C14&lt;&gt;"",N$43&gt;Tetapan!$C14),Tetapan!$E14=0,N$43&gt;Tetapan!$B$21),"–",IF(SUMPRODUCT(ISNUMBER(SEARCH(", "&amp;TEXT(N$43,"yyyy-mm")&amp;",",", "&amp;Transaksi!$F$2:$F$3000&amp;","))*(Transaksi!$C$2:$C$3000=$A53)*(Transaksi!$H$2:$H$3000&gt;0))&gt;0,"✓",IF(SUMPRODUCT(ISNUMBER(SEARCH(", "&amp;TEXT(N$43,"yyyy-mm")&amp;":",", "&amp;Transaksi!$F$2:$F$3000&amp;","))*(Transaksi!$C$2:$C$3000=$A53)*(Transaksi!$H$2:$H$3000&gt;0))&gt;0,"½",IF(N$43&gt;TODAY(),"·","✗"))))</f>
        <v/>
      </c>
      <c r="O53" s="36">
        <f>IF(OR(O$43&lt;Tetapan!$B14,AND(Tetapan!$C14&lt;&gt;"",O$43&gt;Tetapan!$C14),Tetapan!$E14=0,O$43&gt;Tetapan!$B$21),"–",IF(SUMPRODUCT(ISNUMBER(SEARCH(", "&amp;TEXT(O$43,"yyyy-mm")&amp;",",", "&amp;Transaksi!$F$2:$F$3000&amp;","))*(Transaksi!$C$2:$C$3000=$A53)*(Transaksi!$H$2:$H$3000&gt;0))&gt;0,"✓",IF(SUMPRODUCT(ISNUMBER(SEARCH(", "&amp;TEXT(O$43,"yyyy-mm")&amp;":",", "&amp;Transaksi!$F$2:$F$3000&amp;","))*(Transaksi!$C$2:$C$3000=$A53)*(Transaksi!$H$2:$H$3000&gt;0))&gt;0,"½",IF(O$43&gt;TODAY(),"·","✗"))))</f>
        <v/>
      </c>
      <c r="P53" s="36">
        <f>IF(OR(P$43&lt;Tetapan!$B14,AND(Tetapan!$C14&lt;&gt;"",P$43&gt;Tetapan!$C14),Tetapan!$E14=0,P$43&gt;Tetapan!$B$21),"–",IF(SUMPRODUCT(ISNUMBER(SEARCH(", "&amp;TEXT(P$43,"yyyy-mm")&amp;",",", "&amp;Transaksi!$F$2:$F$3000&amp;","))*(Transaksi!$C$2:$C$3000=$A53)*(Transaksi!$H$2:$H$3000&gt;0))&gt;0,"✓",IF(SUMPRODUCT(ISNUMBER(SEARCH(", "&amp;TEXT(P$43,"yyyy-mm")&amp;":",", "&amp;Transaksi!$F$2:$F$3000&amp;","))*(Transaksi!$C$2:$C$3000=$A53)*(Transaksi!$H$2:$H$3000&gt;0))&gt;0,"½",IF(P$43&gt;TODAY(),"·","✗"))))</f>
        <v/>
      </c>
      <c r="Q53" s="36">
        <f>IF(OR(Q$43&lt;Tetapan!$B14,AND(Tetapan!$C14&lt;&gt;"",Q$43&gt;Tetapan!$C14),Tetapan!$E14=0,Q$43&gt;Tetapan!$B$21),"–",IF(SUMPRODUCT(ISNUMBER(SEARCH(", "&amp;TEXT(Q$43,"yyyy-mm")&amp;",",", "&amp;Transaksi!$F$2:$F$3000&amp;","))*(Transaksi!$C$2:$C$3000=$A53)*(Transaksi!$H$2:$H$3000&gt;0))&gt;0,"✓",IF(SUMPRODUCT(ISNUMBER(SEARCH(", "&amp;TEXT(Q$43,"yyyy-mm")&amp;":",", "&amp;Transaksi!$F$2:$F$3000&amp;","))*(Transaksi!$C$2:$C$3000=$A53)*(Transaksi!$H$2:$H$3000&gt;0))&gt;0,"½",IF(Q$43&gt;TODAY(),"·","✗"))))</f>
        <v/>
      </c>
      <c r="R53" s="36">
        <f>IF(OR(R$43&lt;Tetapan!$B14,AND(Tetapan!$C14&lt;&gt;"",R$43&gt;Tetapan!$C14),Tetapan!$E14=0,R$43&gt;Tetapan!$B$21),"–",IF(SUMPRODUCT(ISNUMBER(SEARCH(", "&amp;TEXT(R$43,"yyyy-mm")&amp;",",", "&amp;Transaksi!$F$2:$F$3000&amp;","))*(Transaksi!$C$2:$C$3000=$A53)*(Transaksi!$H$2:$H$3000&gt;0))&gt;0,"✓",IF(SUMPRODUCT(ISNUMBER(SEARCH(", "&amp;TEXT(R$43,"yyyy-mm")&amp;":",", "&amp;Transaksi!$F$2:$F$3000&amp;","))*(Transaksi!$C$2:$C$3000=$A53)*(Transaksi!$H$2:$H$3000&gt;0))&gt;0,"½",IF(R$43&gt;TODAY(),"·","✗"))))</f>
        <v/>
      </c>
      <c r="S53" s="36">
        <f>IF(OR(S$43&lt;Tetapan!$B14,AND(Tetapan!$C14&lt;&gt;"",S$43&gt;Tetapan!$C14),Tetapan!$E14=0,S$43&gt;Tetapan!$B$21),"–",IF(SUMPRODUCT(ISNUMBER(SEARCH(", "&amp;TEXT(S$43,"yyyy-mm")&amp;",",", "&amp;Transaksi!$F$2:$F$3000&amp;","))*(Transaksi!$C$2:$C$3000=$A53)*(Transaksi!$H$2:$H$3000&gt;0))&gt;0,"✓",IF(SUMPRODUCT(ISNUMBER(SEARCH(", "&amp;TEXT(S$43,"yyyy-mm")&amp;":",", "&amp;Transaksi!$F$2:$F$3000&amp;","))*(Transaksi!$C$2:$C$3000=$A53)*(Transaksi!$H$2:$H$3000&gt;0))&gt;0,"½",IF(S$43&gt;TODAY(),"·","✗"))))</f>
        <v/>
      </c>
      <c r="T53" s="36">
        <f>IF(OR(T$43&lt;Tetapan!$B14,AND(Tetapan!$C14&lt;&gt;"",T$43&gt;Tetapan!$C14),Tetapan!$E14=0,T$43&gt;Tetapan!$B$21),"–",IF(SUMPRODUCT(ISNUMBER(SEARCH(", "&amp;TEXT(T$43,"yyyy-mm")&amp;",",", "&amp;Transaksi!$F$2:$F$3000&amp;","))*(Transaksi!$C$2:$C$3000=$A53)*(Transaksi!$H$2:$H$3000&gt;0))&gt;0,"✓",IF(SUMPRODUCT(ISNUMBER(SEARCH(", "&amp;TEXT(T$43,"yyyy-mm")&amp;":",", "&amp;Transaksi!$F$2:$F$3000&amp;","))*(Transaksi!$C$2:$C$3000=$A53)*(Transaksi!$H$2:$H$3000&gt;0))&gt;0,"½",IF(T$43&gt;TODAY(),"·","✗"))))</f>
        <v/>
      </c>
      <c r="V53" s="37">
        <f>IF(B53="✗",TEXT(B$43,"mmm yy")&amp;", ",IF(B53="½",TEXT(B$43,"mmm yy")&amp;" (separa), ",""))&amp;IF(C53="✗",TEXT(C$43,"mmm yy")&amp;", ",IF(C53="½",TEXT(C$43,"mmm yy")&amp;" (separa), ",""))&amp;IF(D53="✗",TEXT(D$43,"mmm yy")&amp;", ",IF(D53="½",TEXT(D$43,"mmm yy")&amp;" (separa), ",""))&amp;IF(E53="✗",TEXT(E$43,"mmm yy")&amp;", ",IF(E53="½",TEXT(E$43,"mmm yy")&amp;" (separa), ",""))&amp;IF(F53="✗",TEXT(F$43,"mmm yy")&amp;", ",IF(F53="½",TEXT(F$43,"mmm yy")&amp;" (separa), ",""))&amp;IF(G53="✗",TEXT(G$43,"mmm yy")&amp;", ",IF(G53="½",TEXT(G$43,"mmm yy")&amp;" (separa), ",""))&amp;IF(H53="✗",TEXT(H$43,"mmm yy")&amp;", ",IF(H53="½",TEXT(H$43,"mmm yy")&amp;" (separa), ",""))&amp;IF(I53="✗",TEXT(I$43,"mmm yy")&amp;", ",IF(I53="½",TEXT(I$43,"mmm yy")&amp;" (separa), ",""))&amp;IF(J53="✗",TEXT(J$43,"mmm yy")&amp;", ",IF(J53="½",TEXT(J$43,"mmm yy")&amp;" (separa), ",""))&amp;IF(K53="✗",TEXT(K$43,"mmm yy")&amp;", ",IF(K53="½",TEXT(K$43,"mmm yy")&amp;" (separa), ",""))&amp;IF(L53="✗",TEXT(L$43,"mmm yy")&amp;", ",IF(L53="½",TEXT(L$43,"mmm yy")&amp;" (separa), ",""))&amp;IF(M53="✗",TEXT(M$43,"mmm yy")&amp;", ",IF(M53="½",TEXT(M$43,"mmm yy")&amp;" (separa), ",""))&amp;IF(N53="✗",TEXT(N$43,"mmm yy")&amp;", ",IF(N53="½",TEXT(N$43,"mmm yy")&amp;" (separa), ",""))&amp;IF(O53="✗",TEXT(O$43,"mmm yy")&amp;", ",IF(O53="½",TEXT(O$43,"mmm yy")&amp;" (separa), ",""))&amp;IF(P53="✗",TEXT(P$43,"mmm yy")&amp;", ",IF(P53="½",TEXT(P$43,"mmm yy")&amp;" (separa), ",""))&amp;IF(Q53="✗",TEXT(Q$43,"mmm yy")&amp;", ",IF(Q53="½",TEXT(Q$43,"mmm yy")&amp;" (separa), ",""))&amp;IF(R53="✗",TEXT(R$43,"mmm yy")&amp;", ",IF(R53="½",TEXT(R$43,"mmm yy")&amp;" (separa), ",""))&amp;IF(S53="✗",TEXT(S$43,"mmm yy")&amp;", ",IF(S53="½",TEXT(S$43,"mmm yy")&amp;" (separa), ",""))&amp;IF(T53="✗",TEXT(T$43,"mmm yy")&amp;", ",IF(T53="½",TEXT(T$43,"mmm yy")&amp;" (separa), ",""))</f>
        <v/>
      </c>
    </row>
    <row r="54">
      <c r="A54" s="32">
        <f>Tetapan!A15</f>
        <v/>
      </c>
      <c r="B54" s="36">
        <f>IF(OR(B$43&lt;Tetapan!$B15,AND(Tetapan!$C15&lt;&gt;"",B$43&gt;Tetapan!$C15),Tetapan!$E15=0,B$43&gt;Tetapan!$B$21),"–",IF(SUMPRODUCT(ISNUMBER(SEARCH(", "&amp;TEXT(B$43,"yyyy-mm")&amp;",",", "&amp;Transaksi!$F$2:$F$3000&amp;","))*(Transaksi!$C$2:$C$3000=$A54)*(Transaksi!$H$2:$H$3000&gt;0))&gt;0,"✓",IF(SUMPRODUCT(ISNUMBER(SEARCH(", "&amp;TEXT(B$43,"yyyy-mm")&amp;":",", "&amp;Transaksi!$F$2:$F$3000&amp;","))*(Transaksi!$C$2:$C$3000=$A54)*(Transaksi!$H$2:$H$3000&gt;0))&gt;0,"½",IF(B$43&gt;TODAY(),"·","✗"))))</f>
        <v/>
      </c>
      <c r="C54" s="36">
        <f>IF(OR(C$43&lt;Tetapan!$B15,AND(Tetapan!$C15&lt;&gt;"",C$43&gt;Tetapan!$C15),Tetapan!$E15=0,C$43&gt;Tetapan!$B$21),"–",IF(SUMPRODUCT(ISNUMBER(SEARCH(", "&amp;TEXT(C$43,"yyyy-mm")&amp;",",", "&amp;Transaksi!$F$2:$F$3000&amp;","))*(Transaksi!$C$2:$C$3000=$A54)*(Transaksi!$H$2:$H$3000&gt;0))&gt;0,"✓",IF(SUMPRODUCT(ISNUMBER(SEARCH(", "&amp;TEXT(C$43,"yyyy-mm")&amp;":",", "&amp;Transaksi!$F$2:$F$3000&amp;","))*(Transaksi!$C$2:$C$3000=$A54)*(Transaksi!$H$2:$H$3000&gt;0))&gt;0,"½",IF(C$43&gt;TODAY(),"·","✗"))))</f>
        <v/>
      </c>
      <c r="D54" s="36">
        <f>IF(OR(D$43&lt;Tetapan!$B15,AND(Tetapan!$C15&lt;&gt;"",D$43&gt;Tetapan!$C15),Tetapan!$E15=0,D$43&gt;Tetapan!$B$21),"–",IF(SUMPRODUCT(ISNUMBER(SEARCH(", "&amp;TEXT(D$43,"yyyy-mm")&amp;",",", "&amp;Transaksi!$F$2:$F$3000&amp;","))*(Transaksi!$C$2:$C$3000=$A54)*(Transaksi!$H$2:$H$3000&gt;0))&gt;0,"✓",IF(SUMPRODUCT(ISNUMBER(SEARCH(", "&amp;TEXT(D$43,"yyyy-mm")&amp;":",", "&amp;Transaksi!$F$2:$F$3000&amp;","))*(Transaksi!$C$2:$C$3000=$A54)*(Transaksi!$H$2:$H$3000&gt;0))&gt;0,"½",IF(D$43&gt;TODAY(),"·","✗"))))</f>
        <v/>
      </c>
      <c r="E54" s="36">
        <f>IF(OR(E$43&lt;Tetapan!$B15,AND(Tetapan!$C15&lt;&gt;"",E$43&gt;Tetapan!$C15),Tetapan!$E15=0,E$43&gt;Tetapan!$B$21),"–",IF(SUMPRODUCT(ISNUMBER(SEARCH(", "&amp;TEXT(E$43,"yyyy-mm")&amp;",",", "&amp;Transaksi!$F$2:$F$3000&amp;","))*(Transaksi!$C$2:$C$3000=$A54)*(Transaksi!$H$2:$H$3000&gt;0))&gt;0,"✓",IF(SUMPRODUCT(ISNUMBER(SEARCH(", "&amp;TEXT(E$43,"yyyy-mm")&amp;":",", "&amp;Transaksi!$F$2:$F$3000&amp;","))*(Transaksi!$C$2:$C$3000=$A54)*(Transaksi!$H$2:$H$3000&gt;0))&gt;0,"½",IF(E$43&gt;TODAY(),"·","✗"))))</f>
        <v/>
      </c>
      <c r="F54" s="36">
        <f>IF(OR(F$43&lt;Tetapan!$B15,AND(Tetapan!$C15&lt;&gt;"",F$43&gt;Tetapan!$C15),Tetapan!$E15=0,F$43&gt;Tetapan!$B$21),"–",IF(SUMPRODUCT(ISNUMBER(SEARCH(", "&amp;TEXT(F$43,"yyyy-mm")&amp;",",", "&amp;Transaksi!$F$2:$F$3000&amp;","))*(Transaksi!$C$2:$C$3000=$A54)*(Transaksi!$H$2:$H$3000&gt;0))&gt;0,"✓",IF(SUMPRODUCT(ISNUMBER(SEARCH(", "&amp;TEXT(F$43,"yyyy-mm")&amp;":",", "&amp;Transaksi!$F$2:$F$3000&amp;","))*(Transaksi!$C$2:$C$3000=$A54)*(Transaksi!$H$2:$H$3000&gt;0))&gt;0,"½",IF(F$43&gt;TODAY(),"·","✗"))))</f>
        <v/>
      </c>
      <c r="G54" s="36">
        <f>IF(OR(G$43&lt;Tetapan!$B15,AND(Tetapan!$C15&lt;&gt;"",G$43&gt;Tetapan!$C15),Tetapan!$E15=0,G$43&gt;Tetapan!$B$21),"–",IF(SUMPRODUCT(ISNUMBER(SEARCH(", "&amp;TEXT(G$43,"yyyy-mm")&amp;",",", "&amp;Transaksi!$F$2:$F$3000&amp;","))*(Transaksi!$C$2:$C$3000=$A54)*(Transaksi!$H$2:$H$3000&gt;0))&gt;0,"✓",IF(SUMPRODUCT(ISNUMBER(SEARCH(", "&amp;TEXT(G$43,"yyyy-mm")&amp;":",", "&amp;Transaksi!$F$2:$F$3000&amp;","))*(Transaksi!$C$2:$C$3000=$A54)*(Transaksi!$H$2:$H$3000&gt;0))&gt;0,"½",IF(G$43&gt;TODAY(),"·","✗"))))</f>
        <v/>
      </c>
      <c r="H54" s="36">
        <f>IF(OR(H$43&lt;Tetapan!$B15,AND(Tetapan!$C15&lt;&gt;"",H$43&gt;Tetapan!$C15),Tetapan!$E15=0,H$43&gt;Tetapan!$B$21),"–",IF(SUMPRODUCT(ISNUMBER(SEARCH(", "&amp;TEXT(H$43,"yyyy-mm")&amp;",",", "&amp;Transaksi!$F$2:$F$3000&amp;","))*(Transaksi!$C$2:$C$3000=$A54)*(Transaksi!$H$2:$H$3000&gt;0))&gt;0,"✓",IF(SUMPRODUCT(ISNUMBER(SEARCH(", "&amp;TEXT(H$43,"yyyy-mm")&amp;":",", "&amp;Transaksi!$F$2:$F$3000&amp;","))*(Transaksi!$C$2:$C$3000=$A54)*(Transaksi!$H$2:$H$3000&gt;0))&gt;0,"½",IF(H$43&gt;TODAY(),"·","✗"))))</f>
        <v/>
      </c>
      <c r="I54" s="36">
        <f>IF(OR(I$43&lt;Tetapan!$B15,AND(Tetapan!$C15&lt;&gt;"",I$43&gt;Tetapan!$C15),Tetapan!$E15=0,I$43&gt;Tetapan!$B$21),"–",IF(SUMPRODUCT(ISNUMBER(SEARCH(", "&amp;TEXT(I$43,"yyyy-mm")&amp;",",", "&amp;Transaksi!$F$2:$F$3000&amp;","))*(Transaksi!$C$2:$C$3000=$A54)*(Transaksi!$H$2:$H$3000&gt;0))&gt;0,"✓",IF(SUMPRODUCT(ISNUMBER(SEARCH(", "&amp;TEXT(I$43,"yyyy-mm")&amp;":",", "&amp;Transaksi!$F$2:$F$3000&amp;","))*(Transaksi!$C$2:$C$3000=$A54)*(Transaksi!$H$2:$H$3000&gt;0))&gt;0,"½",IF(I$43&gt;TODAY(),"·","✗"))))</f>
        <v/>
      </c>
      <c r="J54" s="36">
        <f>IF(OR(J$43&lt;Tetapan!$B15,AND(Tetapan!$C15&lt;&gt;"",J$43&gt;Tetapan!$C15),Tetapan!$E15=0,J$43&gt;Tetapan!$B$21),"–",IF(SUMPRODUCT(ISNUMBER(SEARCH(", "&amp;TEXT(J$43,"yyyy-mm")&amp;",",", "&amp;Transaksi!$F$2:$F$3000&amp;","))*(Transaksi!$C$2:$C$3000=$A54)*(Transaksi!$H$2:$H$3000&gt;0))&gt;0,"✓",IF(SUMPRODUCT(ISNUMBER(SEARCH(", "&amp;TEXT(J$43,"yyyy-mm")&amp;":",", "&amp;Transaksi!$F$2:$F$3000&amp;","))*(Transaksi!$C$2:$C$3000=$A54)*(Transaksi!$H$2:$H$3000&gt;0))&gt;0,"½",IF(J$43&gt;TODAY(),"·","✗"))))</f>
        <v/>
      </c>
      <c r="K54" s="36">
        <f>IF(OR(K$43&lt;Tetapan!$B15,AND(Tetapan!$C15&lt;&gt;"",K$43&gt;Tetapan!$C15),Tetapan!$E15=0,K$43&gt;Tetapan!$B$21),"–",IF(SUMPRODUCT(ISNUMBER(SEARCH(", "&amp;TEXT(K$43,"yyyy-mm")&amp;",",", "&amp;Transaksi!$F$2:$F$3000&amp;","))*(Transaksi!$C$2:$C$3000=$A54)*(Transaksi!$H$2:$H$3000&gt;0))&gt;0,"✓",IF(SUMPRODUCT(ISNUMBER(SEARCH(", "&amp;TEXT(K$43,"yyyy-mm")&amp;":",", "&amp;Transaksi!$F$2:$F$3000&amp;","))*(Transaksi!$C$2:$C$3000=$A54)*(Transaksi!$H$2:$H$3000&gt;0))&gt;0,"½",IF(K$43&gt;TODAY(),"·","✗"))))</f>
        <v/>
      </c>
      <c r="L54" s="36">
        <f>IF(OR(L$43&lt;Tetapan!$B15,AND(Tetapan!$C15&lt;&gt;"",L$43&gt;Tetapan!$C15),Tetapan!$E15=0,L$43&gt;Tetapan!$B$21),"–",IF(SUMPRODUCT(ISNUMBER(SEARCH(", "&amp;TEXT(L$43,"yyyy-mm")&amp;",",", "&amp;Transaksi!$F$2:$F$3000&amp;","))*(Transaksi!$C$2:$C$3000=$A54)*(Transaksi!$H$2:$H$3000&gt;0))&gt;0,"✓",IF(SUMPRODUCT(ISNUMBER(SEARCH(", "&amp;TEXT(L$43,"yyyy-mm")&amp;":",", "&amp;Transaksi!$F$2:$F$3000&amp;","))*(Transaksi!$C$2:$C$3000=$A54)*(Transaksi!$H$2:$H$3000&gt;0))&gt;0,"½",IF(L$43&gt;TODAY(),"·","✗"))))</f>
        <v/>
      </c>
      <c r="M54" s="36">
        <f>IF(OR(M$43&lt;Tetapan!$B15,AND(Tetapan!$C15&lt;&gt;"",M$43&gt;Tetapan!$C15),Tetapan!$E15=0,M$43&gt;Tetapan!$B$21),"–",IF(SUMPRODUCT(ISNUMBER(SEARCH(", "&amp;TEXT(M$43,"yyyy-mm")&amp;",",", "&amp;Transaksi!$F$2:$F$3000&amp;","))*(Transaksi!$C$2:$C$3000=$A54)*(Transaksi!$H$2:$H$3000&gt;0))&gt;0,"✓",IF(SUMPRODUCT(ISNUMBER(SEARCH(", "&amp;TEXT(M$43,"yyyy-mm")&amp;":",", "&amp;Transaksi!$F$2:$F$3000&amp;","))*(Transaksi!$C$2:$C$3000=$A54)*(Transaksi!$H$2:$H$3000&gt;0))&gt;0,"½",IF(M$43&gt;TODAY(),"·","✗"))))</f>
        <v/>
      </c>
      <c r="N54" s="36">
        <f>IF(OR(N$43&lt;Tetapan!$B15,AND(Tetapan!$C15&lt;&gt;"",N$43&gt;Tetapan!$C15),Tetapan!$E15=0,N$43&gt;Tetapan!$B$21),"–",IF(SUMPRODUCT(ISNUMBER(SEARCH(", "&amp;TEXT(N$43,"yyyy-mm")&amp;",",", "&amp;Transaksi!$F$2:$F$3000&amp;","))*(Transaksi!$C$2:$C$3000=$A54)*(Transaksi!$H$2:$H$3000&gt;0))&gt;0,"✓",IF(SUMPRODUCT(ISNUMBER(SEARCH(", "&amp;TEXT(N$43,"yyyy-mm")&amp;":",", "&amp;Transaksi!$F$2:$F$3000&amp;","))*(Transaksi!$C$2:$C$3000=$A54)*(Transaksi!$H$2:$H$3000&gt;0))&gt;0,"½",IF(N$43&gt;TODAY(),"·","✗"))))</f>
        <v/>
      </c>
      <c r="O54" s="36">
        <f>IF(OR(O$43&lt;Tetapan!$B15,AND(Tetapan!$C15&lt;&gt;"",O$43&gt;Tetapan!$C15),Tetapan!$E15=0,O$43&gt;Tetapan!$B$21),"–",IF(SUMPRODUCT(ISNUMBER(SEARCH(", "&amp;TEXT(O$43,"yyyy-mm")&amp;",",", "&amp;Transaksi!$F$2:$F$3000&amp;","))*(Transaksi!$C$2:$C$3000=$A54)*(Transaksi!$H$2:$H$3000&gt;0))&gt;0,"✓",IF(SUMPRODUCT(ISNUMBER(SEARCH(", "&amp;TEXT(O$43,"yyyy-mm")&amp;":",", "&amp;Transaksi!$F$2:$F$3000&amp;","))*(Transaksi!$C$2:$C$3000=$A54)*(Transaksi!$H$2:$H$3000&gt;0))&gt;0,"½",IF(O$43&gt;TODAY(),"·","✗"))))</f>
        <v/>
      </c>
      <c r="P54" s="36">
        <f>IF(OR(P$43&lt;Tetapan!$B15,AND(Tetapan!$C15&lt;&gt;"",P$43&gt;Tetapan!$C15),Tetapan!$E15=0,P$43&gt;Tetapan!$B$21),"–",IF(SUMPRODUCT(ISNUMBER(SEARCH(", "&amp;TEXT(P$43,"yyyy-mm")&amp;",",", "&amp;Transaksi!$F$2:$F$3000&amp;","))*(Transaksi!$C$2:$C$3000=$A54)*(Transaksi!$H$2:$H$3000&gt;0))&gt;0,"✓",IF(SUMPRODUCT(ISNUMBER(SEARCH(", "&amp;TEXT(P$43,"yyyy-mm")&amp;":",", "&amp;Transaksi!$F$2:$F$3000&amp;","))*(Transaksi!$C$2:$C$3000=$A54)*(Transaksi!$H$2:$H$3000&gt;0))&gt;0,"½",IF(P$43&gt;TODAY(),"·","✗"))))</f>
        <v/>
      </c>
      <c r="Q54" s="36">
        <f>IF(OR(Q$43&lt;Tetapan!$B15,AND(Tetapan!$C15&lt;&gt;"",Q$43&gt;Tetapan!$C15),Tetapan!$E15=0,Q$43&gt;Tetapan!$B$21),"–",IF(SUMPRODUCT(ISNUMBER(SEARCH(", "&amp;TEXT(Q$43,"yyyy-mm")&amp;",",", "&amp;Transaksi!$F$2:$F$3000&amp;","))*(Transaksi!$C$2:$C$3000=$A54)*(Transaksi!$H$2:$H$3000&gt;0))&gt;0,"✓",IF(SUMPRODUCT(ISNUMBER(SEARCH(", "&amp;TEXT(Q$43,"yyyy-mm")&amp;":",", "&amp;Transaksi!$F$2:$F$3000&amp;","))*(Transaksi!$C$2:$C$3000=$A54)*(Transaksi!$H$2:$H$3000&gt;0))&gt;0,"½",IF(Q$43&gt;TODAY(),"·","✗"))))</f>
        <v/>
      </c>
      <c r="R54" s="36">
        <f>IF(OR(R$43&lt;Tetapan!$B15,AND(Tetapan!$C15&lt;&gt;"",R$43&gt;Tetapan!$C15),Tetapan!$E15=0,R$43&gt;Tetapan!$B$21),"–",IF(SUMPRODUCT(ISNUMBER(SEARCH(", "&amp;TEXT(R$43,"yyyy-mm")&amp;",",", "&amp;Transaksi!$F$2:$F$3000&amp;","))*(Transaksi!$C$2:$C$3000=$A54)*(Transaksi!$H$2:$H$3000&gt;0))&gt;0,"✓",IF(SUMPRODUCT(ISNUMBER(SEARCH(", "&amp;TEXT(R$43,"yyyy-mm")&amp;":",", "&amp;Transaksi!$F$2:$F$3000&amp;","))*(Transaksi!$C$2:$C$3000=$A54)*(Transaksi!$H$2:$H$3000&gt;0))&gt;0,"½",IF(R$43&gt;TODAY(),"·","✗"))))</f>
        <v/>
      </c>
      <c r="S54" s="36">
        <f>IF(OR(S$43&lt;Tetapan!$B15,AND(Tetapan!$C15&lt;&gt;"",S$43&gt;Tetapan!$C15),Tetapan!$E15=0,S$43&gt;Tetapan!$B$21),"–",IF(SUMPRODUCT(ISNUMBER(SEARCH(", "&amp;TEXT(S$43,"yyyy-mm")&amp;",",", "&amp;Transaksi!$F$2:$F$3000&amp;","))*(Transaksi!$C$2:$C$3000=$A54)*(Transaksi!$H$2:$H$3000&gt;0))&gt;0,"✓",IF(SUMPRODUCT(ISNUMBER(SEARCH(", "&amp;TEXT(S$43,"yyyy-mm")&amp;":",", "&amp;Transaksi!$F$2:$F$3000&amp;","))*(Transaksi!$C$2:$C$3000=$A54)*(Transaksi!$H$2:$H$3000&gt;0))&gt;0,"½",IF(S$43&gt;TODAY(),"·","✗"))))</f>
        <v/>
      </c>
      <c r="T54" s="36">
        <f>IF(OR(T$43&lt;Tetapan!$B15,AND(Tetapan!$C15&lt;&gt;"",T$43&gt;Tetapan!$C15),Tetapan!$E15=0,T$43&gt;Tetapan!$B$21),"–",IF(SUMPRODUCT(ISNUMBER(SEARCH(", "&amp;TEXT(T$43,"yyyy-mm")&amp;",",", "&amp;Transaksi!$F$2:$F$3000&amp;","))*(Transaksi!$C$2:$C$3000=$A54)*(Transaksi!$H$2:$H$3000&gt;0))&gt;0,"✓",IF(SUMPRODUCT(ISNUMBER(SEARCH(", "&amp;TEXT(T$43,"yyyy-mm")&amp;":",", "&amp;Transaksi!$F$2:$F$3000&amp;","))*(Transaksi!$C$2:$C$3000=$A54)*(Transaksi!$H$2:$H$3000&gt;0))&gt;0,"½",IF(T$43&gt;TODAY(),"·","✗"))))</f>
        <v/>
      </c>
      <c r="V54" s="37">
        <f>IF(B54="✗",TEXT(B$43,"mmm yy")&amp;", ",IF(B54="½",TEXT(B$43,"mmm yy")&amp;" (separa), ",""))&amp;IF(C54="✗",TEXT(C$43,"mmm yy")&amp;", ",IF(C54="½",TEXT(C$43,"mmm yy")&amp;" (separa), ",""))&amp;IF(D54="✗",TEXT(D$43,"mmm yy")&amp;", ",IF(D54="½",TEXT(D$43,"mmm yy")&amp;" (separa), ",""))&amp;IF(E54="✗",TEXT(E$43,"mmm yy")&amp;", ",IF(E54="½",TEXT(E$43,"mmm yy")&amp;" (separa), ",""))&amp;IF(F54="✗",TEXT(F$43,"mmm yy")&amp;", ",IF(F54="½",TEXT(F$43,"mmm yy")&amp;" (separa), ",""))&amp;IF(G54="✗",TEXT(G$43,"mmm yy")&amp;", ",IF(G54="½",TEXT(G$43,"mmm yy")&amp;" (separa), ",""))&amp;IF(H54="✗",TEXT(H$43,"mmm yy")&amp;", ",IF(H54="½",TEXT(H$43,"mmm yy")&amp;" (separa), ",""))&amp;IF(I54="✗",TEXT(I$43,"mmm yy")&amp;", ",IF(I54="½",TEXT(I$43,"mmm yy")&amp;" (separa), ",""))&amp;IF(J54="✗",TEXT(J$43,"mmm yy")&amp;", ",IF(J54="½",TEXT(J$43,"mmm yy")&amp;" (separa), ",""))&amp;IF(K54="✗",TEXT(K$43,"mmm yy")&amp;", ",IF(K54="½",TEXT(K$43,"mmm yy")&amp;" (separa), ",""))&amp;IF(L54="✗",TEXT(L$43,"mmm yy")&amp;", ",IF(L54="½",TEXT(L$43,"mmm yy")&amp;" (separa), ",""))&amp;IF(M54="✗",TEXT(M$43,"mmm yy")&amp;", ",IF(M54="½",TEXT(M$43,"mmm yy")&amp;" (separa), ",""))&amp;IF(N54="✗",TEXT(N$43,"mmm yy")&amp;", ",IF(N54="½",TEXT(N$43,"mmm yy")&amp;" (separa), ",""))&amp;IF(O54="✗",TEXT(O$43,"mmm yy")&amp;", ",IF(O54="½",TEXT(O$43,"mmm yy")&amp;" (separa), ",""))&amp;IF(P54="✗",TEXT(P$43,"mmm yy")&amp;", ",IF(P54="½",TEXT(P$43,"mmm yy")&amp;" (separa), ",""))&amp;IF(Q54="✗",TEXT(Q$43,"mmm yy")&amp;", ",IF(Q54="½",TEXT(Q$43,"mmm yy")&amp;" (separa), ",""))&amp;IF(R54="✗",TEXT(R$43,"mmm yy")&amp;", ",IF(R54="½",TEXT(R$43,"mmm yy")&amp;" (separa), ",""))&amp;IF(S54="✗",TEXT(S$43,"mmm yy")&amp;", ",IF(S54="½",TEXT(S$43,"mmm yy")&amp;" (separa), ",""))&amp;IF(T54="✗",TEXT(T$43,"mmm yy")&amp;", ",IF(T54="½",TEXT(T$43,"mmm yy")&amp;" (separa), ",""))</f>
        <v/>
      </c>
    </row>
    <row r="55">
      <c r="A55" s="32">
        <f>Tetapan!A16</f>
        <v/>
      </c>
      <c r="B55" s="36">
        <f>IF(OR(B$43&lt;Tetapan!$B16,AND(Tetapan!$C16&lt;&gt;"",B$43&gt;Tetapan!$C16),Tetapan!$E16=0,B$43&gt;Tetapan!$B$21),"–",IF(SUMPRODUCT(ISNUMBER(SEARCH(", "&amp;TEXT(B$43,"yyyy-mm")&amp;",",", "&amp;Transaksi!$F$2:$F$3000&amp;","))*(Transaksi!$C$2:$C$3000=$A55)*(Transaksi!$H$2:$H$3000&gt;0))&gt;0,"✓",IF(SUMPRODUCT(ISNUMBER(SEARCH(", "&amp;TEXT(B$43,"yyyy-mm")&amp;":",", "&amp;Transaksi!$F$2:$F$3000&amp;","))*(Transaksi!$C$2:$C$3000=$A55)*(Transaksi!$H$2:$H$3000&gt;0))&gt;0,"½",IF(B$43&gt;TODAY(),"·","✗"))))</f>
        <v/>
      </c>
      <c r="C55" s="36">
        <f>IF(OR(C$43&lt;Tetapan!$B16,AND(Tetapan!$C16&lt;&gt;"",C$43&gt;Tetapan!$C16),Tetapan!$E16=0,C$43&gt;Tetapan!$B$21),"–",IF(SUMPRODUCT(ISNUMBER(SEARCH(", "&amp;TEXT(C$43,"yyyy-mm")&amp;",",", "&amp;Transaksi!$F$2:$F$3000&amp;","))*(Transaksi!$C$2:$C$3000=$A55)*(Transaksi!$H$2:$H$3000&gt;0))&gt;0,"✓",IF(SUMPRODUCT(ISNUMBER(SEARCH(", "&amp;TEXT(C$43,"yyyy-mm")&amp;":",", "&amp;Transaksi!$F$2:$F$3000&amp;","))*(Transaksi!$C$2:$C$3000=$A55)*(Transaksi!$H$2:$H$3000&gt;0))&gt;0,"½",IF(C$43&gt;TODAY(),"·","✗"))))</f>
        <v/>
      </c>
      <c r="D55" s="36">
        <f>IF(OR(D$43&lt;Tetapan!$B16,AND(Tetapan!$C16&lt;&gt;"",D$43&gt;Tetapan!$C16),Tetapan!$E16=0,D$43&gt;Tetapan!$B$21),"–",IF(SUMPRODUCT(ISNUMBER(SEARCH(", "&amp;TEXT(D$43,"yyyy-mm")&amp;",",", "&amp;Transaksi!$F$2:$F$3000&amp;","))*(Transaksi!$C$2:$C$3000=$A55)*(Transaksi!$H$2:$H$3000&gt;0))&gt;0,"✓",IF(SUMPRODUCT(ISNUMBER(SEARCH(", "&amp;TEXT(D$43,"yyyy-mm")&amp;":",", "&amp;Transaksi!$F$2:$F$3000&amp;","))*(Transaksi!$C$2:$C$3000=$A55)*(Transaksi!$H$2:$H$3000&gt;0))&gt;0,"½",IF(D$43&gt;TODAY(),"·","✗"))))</f>
        <v/>
      </c>
      <c r="E55" s="36">
        <f>IF(OR(E$43&lt;Tetapan!$B16,AND(Tetapan!$C16&lt;&gt;"",E$43&gt;Tetapan!$C16),Tetapan!$E16=0,E$43&gt;Tetapan!$B$21),"–",IF(SUMPRODUCT(ISNUMBER(SEARCH(", "&amp;TEXT(E$43,"yyyy-mm")&amp;",",", "&amp;Transaksi!$F$2:$F$3000&amp;","))*(Transaksi!$C$2:$C$3000=$A55)*(Transaksi!$H$2:$H$3000&gt;0))&gt;0,"✓",IF(SUMPRODUCT(ISNUMBER(SEARCH(", "&amp;TEXT(E$43,"yyyy-mm")&amp;":",", "&amp;Transaksi!$F$2:$F$3000&amp;","))*(Transaksi!$C$2:$C$3000=$A55)*(Transaksi!$H$2:$H$3000&gt;0))&gt;0,"½",IF(E$43&gt;TODAY(),"·","✗"))))</f>
        <v/>
      </c>
      <c r="F55" s="36">
        <f>IF(OR(F$43&lt;Tetapan!$B16,AND(Tetapan!$C16&lt;&gt;"",F$43&gt;Tetapan!$C16),Tetapan!$E16=0,F$43&gt;Tetapan!$B$21),"–",IF(SUMPRODUCT(ISNUMBER(SEARCH(", "&amp;TEXT(F$43,"yyyy-mm")&amp;",",", "&amp;Transaksi!$F$2:$F$3000&amp;","))*(Transaksi!$C$2:$C$3000=$A55)*(Transaksi!$H$2:$H$3000&gt;0))&gt;0,"✓",IF(SUMPRODUCT(ISNUMBER(SEARCH(", "&amp;TEXT(F$43,"yyyy-mm")&amp;":",", "&amp;Transaksi!$F$2:$F$3000&amp;","))*(Transaksi!$C$2:$C$3000=$A55)*(Transaksi!$H$2:$H$3000&gt;0))&gt;0,"½",IF(F$43&gt;TODAY(),"·","✗"))))</f>
        <v/>
      </c>
      <c r="G55" s="36">
        <f>IF(OR(G$43&lt;Tetapan!$B16,AND(Tetapan!$C16&lt;&gt;"",G$43&gt;Tetapan!$C16),Tetapan!$E16=0,G$43&gt;Tetapan!$B$21),"–",IF(SUMPRODUCT(ISNUMBER(SEARCH(", "&amp;TEXT(G$43,"yyyy-mm")&amp;",",", "&amp;Transaksi!$F$2:$F$3000&amp;","))*(Transaksi!$C$2:$C$3000=$A55)*(Transaksi!$H$2:$H$3000&gt;0))&gt;0,"✓",IF(SUMPRODUCT(ISNUMBER(SEARCH(", "&amp;TEXT(G$43,"yyyy-mm")&amp;":",", "&amp;Transaksi!$F$2:$F$3000&amp;","))*(Transaksi!$C$2:$C$3000=$A55)*(Transaksi!$H$2:$H$3000&gt;0))&gt;0,"½",IF(G$43&gt;TODAY(),"·","✗"))))</f>
        <v/>
      </c>
      <c r="H55" s="36">
        <f>IF(OR(H$43&lt;Tetapan!$B16,AND(Tetapan!$C16&lt;&gt;"",H$43&gt;Tetapan!$C16),Tetapan!$E16=0,H$43&gt;Tetapan!$B$21),"–",IF(SUMPRODUCT(ISNUMBER(SEARCH(", "&amp;TEXT(H$43,"yyyy-mm")&amp;",",", "&amp;Transaksi!$F$2:$F$3000&amp;","))*(Transaksi!$C$2:$C$3000=$A55)*(Transaksi!$H$2:$H$3000&gt;0))&gt;0,"✓",IF(SUMPRODUCT(ISNUMBER(SEARCH(", "&amp;TEXT(H$43,"yyyy-mm")&amp;":",", "&amp;Transaksi!$F$2:$F$3000&amp;","))*(Transaksi!$C$2:$C$3000=$A55)*(Transaksi!$H$2:$H$3000&gt;0))&gt;0,"½",IF(H$43&gt;TODAY(),"·","✗"))))</f>
        <v/>
      </c>
      <c r="I55" s="36">
        <f>IF(OR(I$43&lt;Tetapan!$B16,AND(Tetapan!$C16&lt;&gt;"",I$43&gt;Tetapan!$C16),Tetapan!$E16=0,I$43&gt;Tetapan!$B$21),"–",IF(SUMPRODUCT(ISNUMBER(SEARCH(", "&amp;TEXT(I$43,"yyyy-mm")&amp;",",", "&amp;Transaksi!$F$2:$F$3000&amp;","))*(Transaksi!$C$2:$C$3000=$A55)*(Transaksi!$H$2:$H$3000&gt;0))&gt;0,"✓",IF(SUMPRODUCT(ISNUMBER(SEARCH(", "&amp;TEXT(I$43,"yyyy-mm")&amp;":",", "&amp;Transaksi!$F$2:$F$3000&amp;","))*(Transaksi!$C$2:$C$3000=$A55)*(Transaksi!$H$2:$H$3000&gt;0))&gt;0,"½",IF(I$43&gt;TODAY(),"·","✗"))))</f>
        <v/>
      </c>
      <c r="J55" s="36">
        <f>IF(OR(J$43&lt;Tetapan!$B16,AND(Tetapan!$C16&lt;&gt;"",J$43&gt;Tetapan!$C16),Tetapan!$E16=0,J$43&gt;Tetapan!$B$21),"–",IF(SUMPRODUCT(ISNUMBER(SEARCH(", "&amp;TEXT(J$43,"yyyy-mm")&amp;",",", "&amp;Transaksi!$F$2:$F$3000&amp;","))*(Transaksi!$C$2:$C$3000=$A55)*(Transaksi!$H$2:$H$3000&gt;0))&gt;0,"✓",IF(SUMPRODUCT(ISNUMBER(SEARCH(", "&amp;TEXT(J$43,"yyyy-mm")&amp;":",", "&amp;Transaksi!$F$2:$F$3000&amp;","))*(Transaksi!$C$2:$C$3000=$A55)*(Transaksi!$H$2:$H$3000&gt;0))&gt;0,"½",IF(J$43&gt;TODAY(),"·","✗"))))</f>
        <v/>
      </c>
      <c r="K55" s="36">
        <f>IF(OR(K$43&lt;Tetapan!$B16,AND(Tetapan!$C16&lt;&gt;"",K$43&gt;Tetapan!$C16),Tetapan!$E16=0,K$43&gt;Tetapan!$B$21),"–",IF(SUMPRODUCT(ISNUMBER(SEARCH(", "&amp;TEXT(K$43,"yyyy-mm")&amp;",",", "&amp;Transaksi!$F$2:$F$3000&amp;","))*(Transaksi!$C$2:$C$3000=$A55)*(Transaksi!$H$2:$H$3000&gt;0))&gt;0,"✓",IF(SUMPRODUCT(ISNUMBER(SEARCH(", "&amp;TEXT(K$43,"yyyy-mm")&amp;":",", "&amp;Transaksi!$F$2:$F$3000&amp;","))*(Transaksi!$C$2:$C$3000=$A55)*(Transaksi!$H$2:$H$3000&gt;0))&gt;0,"½",IF(K$43&gt;TODAY(),"·","✗"))))</f>
        <v/>
      </c>
      <c r="L55" s="36">
        <f>IF(OR(L$43&lt;Tetapan!$B16,AND(Tetapan!$C16&lt;&gt;"",L$43&gt;Tetapan!$C16),Tetapan!$E16=0,L$43&gt;Tetapan!$B$21),"–",IF(SUMPRODUCT(ISNUMBER(SEARCH(", "&amp;TEXT(L$43,"yyyy-mm")&amp;",",", "&amp;Transaksi!$F$2:$F$3000&amp;","))*(Transaksi!$C$2:$C$3000=$A55)*(Transaksi!$H$2:$H$3000&gt;0))&gt;0,"✓",IF(SUMPRODUCT(ISNUMBER(SEARCH(", "&amp;TEXT(L$43,"yyyy-mm")&amp;":",", "&amp;Transaksi!$F$2:$F$3000&amp;","))*(Transaksi!$C$2:$C$3000=$A55)*(Transaksi!$H$2:$H$3000&gt;0))&gt;0,"½",IF(L$43&gt;TODAY(),"·","✗"))))</f>
        <v/>
      </c>
      <c r="M55" s="36">
        <f>IF(OR(M$43&lt;Tetapan!$B16,AND(Tetapan!$C16&lt;&gt;"",M$43&gt;Tetapan!$C16),Tetapan!$E16=0,M$43&gt;Tetapan!$B$21),"–",IF(SUMPRODUCT(ISNUMBER(SEARCH(", "&amp;TEXT(M$43,"yyyy-mm")&amp;",",", "&amp;Transaksi!$F$2:$F$3000&amp;","))*(Transaksi!$C$2:$C$3000=$A55)*(Transaksi!$H$2:$H$3000&gt;0))&gt;0,"✓",IF(SUMPRODUCT(ISNUMBER(SEARCH(", "&amp;TEXT(M$43,"yyyy-mm")&amp;":",", "&amp;Transaksi!$F$2:$F$3000&amp;","))*(Transaksi!$C$2:$C$3000=$A55)*(Transaksi!$H$2:$H$3000&gt;0))&gt;0,"½",IF(M$43&gt;TODAY(),"·","✗"))))</f>
        <v/>
      </c>
      <c r="N55" s="36">
        <f>IF(OR(N$43&lt;Tetapan!$B16,AND(Tetapan!$C16&lt;&gt;"",N$43&gt;Tetapan!$C16),Tetapan!$E16=0,N$43&gt;Tetapan!$B$21),"–",IF(SUMPRODUCT(ISNUMBER(SEARCH(", "&amp;TEXT(N$43,"yyyy-mm")&amp;",",", "&amp;Transaksi!$F$2:$F$3000&amp;","))*(Transaksi!$C$2:$C$3000=$A55)*(Transaksi!$H$2:$H$3000&gt;0))&gt;0,"✓",IF(SUMPRODUCT(ISNUMBER(SEARCH(", "&amp;TEXT(N$43,"yyyy-mm")&amp;":",", "&amp;Transaksi!$F$2:$F$3000&amp;","))*(Transaksi!$C$2:$C$3000=$A55)*(Transaksi!$H$2:$H$3000&gt;0))&gt;0,"½",IF(N$43&gt;TODAY(),"·","✗"))))</f>
        <v/>
      </c>
      <c r="O55" s="36">
        <f>IF(OR(O$43&lt;Tetapan!$B16,AND(Tetapan!$C16&lt;&gt;"",O$43&gt;Tetapan!$C16),Tetapan!$E16=0,O$43&gt;Tetapan!$B$21),"–",IF(SUMPRODUCT(ISNUMBER(SEARCH(", "&amp;TEXT(O$43,"yyyy-mm")&amp;",",", "&amp;Transaksi!$F$2:$F$3000&amp;","))*(Transaksi!$C$2:$C$3000=$A55)*(Transaksi!$H$2:$H$3000&gt;0))&gt;0,"✓",IF(SUMPRODUCT(ISNUMBER(SEARCH(", "&amp;TEXT(O$43,"yyyy-mm")&amp;":",", "&amp;Transaksi!$F$2:$F$3000&amp;","))*(Transaksi!$C$2:$C$3000=$A55)*(Transaksi!$H$2:$H$3000&gt;0))&gt;0,"½",IF(O$43&gt;TODAY(),"·","✗"))))</f>
        <v/>
      </c>
      <c r="P55" s="36">
        <f>IF(OR(P$43&lt;Tetapan!$B16,AND(Tetapan!$C16&lt;&gt;"",P$43&gt;Tetapan!$C16),Tetapan!$E16=0,P$43&gt;Tetapan!$B$21),"–",IF(SUMPRODUCT(ISNUMBER(SEARCH(", "&amp;TEXT(P$43,"yyyy-mm")&amp;",",", "&amp;Transaksi!$F$2:$F$3000&amp;","))*(Transaksi!$C$2:$C$3000=$A55)*(Transaksi!$H$2:$H$3000&gt;0))&gt;0,"✓",IF(SUMPRODUCT(ISNUMBER(SEARCH(", "&amp;TEXT(P$43,"yyyy-mm")&amp;":",", "&amp;Transaksi!$F$2:$F$3000&amp;","))*(Transaksi!$C$2:$C$3000=$A55)*(Transaksi!$H$2:$H$3000&gt;0))&gt;0,"½",IF(P$43&gt;TODAY(),"·","✗"))))</f>
        <v/>
      </c>
      <c r="Q55" s="36">
        <f>IF(OR(Q$43&lt;Tetapan!$B16,AND(Tetapan!$C16&lt;&gt;"",Q$43&gt;Tetapan!$C16),Tetapan!$E16=0,Q$43&gt;Tetapan!$B$21),"–",IF(SUMPRODUCT(ISNUMBER(SEARCH(", "&amp;TEXT(Q$43,"yyyy-mm")&amp;",",", "&amp;Transaksi!$F$2:$F$3000&amp;","))*(Transaksi!$C$2:$C$3000=$A55)*(Transaksi!$H$2:$H$3000&gt;0))&gt;0,"✓",IF(SUMPRODUCT(ISNUMBER(SEARCH(", "&amp;TEXT(Q$43,"yyyy-mm")&amp;":",", "&amp;Transaksi!$F$2:$F$3000&amp;","))*(Transaksi!$C$2:$C$3000=$A55)*(Transaksi!$H$2:$H$3000&gt;0))&gt;0,"½",IF(Q$43&gt;TODAY(),"·","✗"))))</f>
        <v/>
      </c>
      <c r="R55" s="36">
        <f>IF(OR(R$43&lt;Tetapan!$B16,AND(Tetapan!$C16&lt;&gt;"",R$43&gt;Tetapan!$C16),Tetapan!$E16=0,R$43&gt;Tetapan!$B$21),"–",IF(SUMPRODUCT(ISNUMBER(SEARCH(", "&amp;TEXT(R$43,"yyyy-mm")&amp;",",", "&amp;Transaksi!$F$2:$F$3000&amp;","))*(Transaksi!$C$2:$C$3000=$A55)*(Transaksi!$H$2:$H$3000&gt;0))&gt;0,"✓",IF(SUMPRODUCT(ISNUMBER(SEARCH(", "&amp;TEXT(R$43,"yyyy-mm")&amp;":",", "&amp;Transaksi!$F$2:$F$3000&amp;","))*(Transaksi!$C$2:$C$3000=$A55)*(Transaksi!$H$2:$H$3000&gt;0))&gt;0,"½",IF(R$43&gt;TODAY(),"·","✗"))))</f>
        <v/>
      </c>
      <c r="S55" s="36">
        <f>IF(OR(S$43&lt;Tetapan!$B16,AND(Tetapan!$C16&lt;&gt;"",S$43&gt;Tetapan!$C16),Tetapan!$E16=0,S$43&gt;Tetapan!$B$21),"–",IF(SUMPRODUCT(ISNUMBER(SEARCH(", "&amp;TEXT(S$43,"yyyy-mm")&amp;",",", "&amp;Transaksi!$F$2:$F$3000&amp;","))*(Transaksi!$C$2:$C$3000=$A55)*(Transaksi!$H$2:$H$3000&gt;0))&gt;0,"✓",IF(SUMPRODUCT(ISNUMBER(SEARCH(", "&amp;TEXT(S$43,"yyyy-mm")&amp;":",", "&amp;Transaksi!$F$2:$F$3000&amp;","))*(Transaksi!$C$2:$C$3000=$A55)*(Transaksi!$H$2:$H$3000&gt;0))&gt;0,"½",IF(S$43&gt;TODAY(),"·","✗"))))</f>
        <v/>
      </c>
      <c r="T55" s="36">
        <f>IF(OR(T$43&lt;Tetapan!$B16,AND(Tetapan!$C16&lt;&gt;"",T$43&gt;Tetapan!$C16),Tetapan!$E16=0,T$43&gt;Tetapan!$B$21),"–",IF(SUMPRODUCT(ISNUMBER(SEARCH(", "&amp;TEXT(T$43,"yyyy-mm")&amp;",",", "&amp;Transaksi!$F$2:$F$3000&amp;","))*(Transaksi!$C$2:$C$3000=$A55)*(Transaksi!$H$2:$H$3000&gt;0))&gt;0,"✓",IF(SUMPRODUCT(ISNUMBER(SEARCH(", "&amp;TEXT(T$43,"yyyy-mm")&amp;":",", "&amp;Transaksi!$F$2:$F$3000&amp;","))*(Transaksi!$C$2:$C$3000=$A55)*(Transaksi!$H$2:$H$3000&gt;0))&gt;0,"½",IF(T$43&gt;TODAY(),"·","✗"))))</f>
        <v/>
      </c>
      <c r="V55" s="37">
        <f>IF(B55="✗",TEXT(B$43,"mmm yy")&amp;", ",IF(B55="½",TEXT(B$43,"mmm yy")&amp;" (separa), ",""))&amp;IF(C55="✗",TEXT(C$43,"mmm yy")&amp;", ",IF(C55="½",TEXT(C$43,"mmm yy")&amp;" (separa), ",""))&amp;IF(D55="✗",TEXT(D$43,"mmm yy")&amp;", ",IF(D55="½",TEXT(D$43,"mmm yy")&amp;" (separa), ",""))&amp;IF(E55="✗",TEXT(E$43,"mmm yy")&amp;", ",IF(E55="½",TEXT(E$43,"mmm yy")&amp;" (separa), ",""))&amp;IF(F55="✗",TEXT(F$43,"mmm yy")&amp;", ",IF(F55="½",TEXT(F$43,"mmm yy")&amp;" (separa), ",""))&amp;IF(G55="✗",TEXT(G$43,"mmm yy")&amp;", ",IF(G55="½",TEXT(G$43,"mmm yy")&amp;" (separa), ",""))&amp;IF(H55="✗",TEXT(H$43,"mmm yy")&amp;", ",IF(H55="½",TEXT(H$43,"mmm yy")&amp;" (separa), ",""))&amp;IF(I55="✗",TEXT(I$43,"mmm yy")&amp;", ",IF(I55="½",TEXT(I$43,"mmm yy")&amp;" (separa), ",""))&amp;IF(J55="✗",TEXT(J$43,"mmm yy")&amp;", ",IF(J55="½",TEXT(J$43,"mmm yy")&amp;" (separa), ",""))&amp;IF(K55="✗",TEXT(K$43,"mmm yy")&amp;", ",IF(K55="½",TEXT(K$43,"mmm yy")&amp;" (separa), ",""))&amp;IF(L55="✗",TEXT(L$43,"mmm yy")&amp;", ",IF(L55="½",TEXT(L$43,"mmm yy")&amp;" (separa), ",""))&amp;IF(M55="✗",TEXT(M$43,"mmm yy")&amp;", ",IF(M55="½",TEXT(M$43,"mmm yy")&amp;" (separa), ",""))&amp;IF(N55="✗",TEXT(N$43,"mmm yy")&amp;", ",IF(N55="½",TEXT(N$43,"mmm yy")&amp;" (separa), ",""))&amp;IF(O55="✗",TEXT(O$43,"mmm yy")&amp;", ",IF(O55="½",TEXT(O$43,"mmm yy")&amp;" (separa), ",""))&amp;IF(P55="✗",TEXT(P$43,"mmm yy")&amp;", ",IF(P55="½",TEXT(P$43,"mmm yy")&amp;" (separa), ",""))&amp;IF(Q55="✗",TEXT(Q$43,"mmm yy")&amp;", ",IF(Q55="½",TEXT(Q$43,"mmm yy")&amp;" (separa), ",""))&amp;IF(R55="✗",TEXT(R$43,"mmm yy")&amp;", ",IF(R55="½",TEXT(R$43,"mmm yy")&amp;" (separa), ",""))&amp;IF(S55="✗",TEXT(S$43,"mmm yy")&amp;", ",IF(S55="½",TEXT(S$43,"mmm yy")&amp;" (separa), ",""))&amp;IF(T55="✗",TEXT(T$43,"mmm yy")&amp;", ",IF(T55="½",TEXT(T$43,"mmm yy")&amp;" (separa), ",""))</f>
        <v/>
      </c>
    </row>
    <row r="56">
      <c r="A56" s="32">
        <f>Tetapan!A17</f>
        <v/>
      </c>
      <c r="B56" s="36">
        <f>IF(OR(B$43&lt;Tetapan!$B17,AND(Tetapan!$C17&lt;&gt;"",B$43&gt;Tetapan!$C17),Tetapan!$E17=0,B$43&gt;Tetapan!$B$21),"–",IF(SUMPRODUCT(ISNUMBER(SEARCH(", "&amp;TEXT(B$43,"yyyy-mm")&amp;",",", "&amp;Transaksi!$F$2:$F$3000&amp;","))*(Transaksi!$C$2:$C$3000=$A56)*(Transaksi!$H$2:$H$3000&gt;0))&gt;0,"✓",IF(SUMPRODUCT(ISNUMBER(SEARCH(", "&amp;TEXT(B$43,"yyyy-mm")&amp;":",", "&amp;Transaksi!$F$2:$F$3000&amp;","))*(Transaksi!$C$2:$C$3000=$A56)*(Transaksi!$H$2:$H$3000&gt;0))&gt;0,"½",IF(B$43&gt;TODAY(),"·","✗"))))</f>
        <v/>
      </c>
      <c r="C56" s="36">
        <f>IF(OR(C$43&lt;Tetapan!$B17,AND(Tetapan!$C17&lt;&gt;"",C$43&gt;Tetapan!$C17),Tetapan!$E17=0,C$43&gt;Tetapan!$B$21),"–",IF(SUMPRODUCT(ISNUMBER(SEARCH(", "&amp;TEXT(C$43,"yyyy-mm")&amp;",",", "&amp;Transaksi!$F$2:$F$3000&amp;","))*(Transaksi!$C$2:$C$3000=$A56)*(Transaksi!$H$2:$H$3000&gt;0))&gt;0,"✓",IF(SUMPRODUCT(ISNUMBER(SEARCH(", "&amp;TEXT(C$43,"yyyy-mm")&amp;":",", "&amp;Transaksi!$F$2:$F$3000&amp;","))*(Transaksi!$C$2:$C$3000=$A56)*(Transaksi!$H$2:$H$3000&gt;0))&gt;0,"½",IF(C$43&gt;TODAY(),"·","✗"))))</f>
        <v/>
      </c>
      <c r="D56" s="36">
        <f>IF(OR(D$43&lt;Tetapan!$B17,AND(Tetapan!$C17&lt;&gt;"",D$43&gt;Tetapan!$C17),Tetapan!$E17=0,D$43&gt;Tetapan!$B$21),"–",IF(SUMPRODUCT(ISNUMBER(SEARCH(", "&amp;TEXT(D$43,"yyyy-mm")&amp;",",", "&amp;Transaksi!$F$2:$F$3000&amp;","))*(Transaksi!$C$2:$C$3000=$A56)*(Transaksi!$H$2:$H$3000&gt;0))&gt;0,"✓",IF(SUMPRODUCT(ISNUMBER(SEARCH(", "&amp;TEXT(D$43,"yyyy-mm")&amp;":",", "&amp;Transaksi!$F$2:$F$3000&amp;","))*(Transaksi!$C$2:$C$3000=$A56)*(Transaksi!$H$2:$H$3000&gt;0))&gt;0,"½",IF(D$43&gt;TODAY(),"·","✗"))))</f>
        <v/>
      </c>
      <c r="E56" s="36">
        <f>IF(OR(E$43&lt;Tetapan!$B17,AND(Tetapan!$C17&lt;&gt;"",E$43&gt;Tetapan!$C17),Tetapan!$E17=0,E$43&gt;Tetapan!$B$21),"–",IF(SUMPRODUCT(ISNUMBER(SEARCH(", "&amp;TEXT(E$43,"yyyy-mm")&amp;",",", "&amp;Transaksi!$F$2:$F$3000&amp;","))*(Transaksi!$C$2:$C$3000=$A56)*(Transaksi!$H$2:$H$3000&gt;0))&gt;0,"✓",IF(SUMPRODUCT(ISNUMBER(SEARCH(", "&amp;TEXT(E$43,"yyyy-mm")&amp;":",", "&amp;Transaksi!$F$2:$F$3000&amp;","))*(Transaksi!$C$2:$C$3000=$A56)*(Transaksi!$H$2:$H$3000&gt;0))&gt;0,"½",IF(E$43&gt;TODAY(),"·","✗"))))</f>
        <v/>
      </c>
      <c r="F56" s="36">
        <f>IF(OR(F$43&lt;Tetapan!$B17,AND(Tetapan!$C17&lt;&gt;"",F$43&gt;Tetapan!$C17),Tetapan!$E17=0,F$43&gt;Tetapan!$B$21),"–",IF(SUMPRODUCT(ISNUMBER(SEARCH(", "&amp;TEXT(F$43,"yyyy-mm")&amp;",",", "&amp;Transaksi!$F$2:$F$3000&amp;","))*(Transaksi!$C$2:$C$3000=$A56)*(Transaksi!$H$2:$H$3000&gt;0))&gt;0,"✓",IF(SUMPRODUCT(ISNUMBER(SEARCH(", "&amp;TEXT(F$43,"yyyy-mm")&amp;":",", "&amp;Transaksi!$F$2:$F$3000&amp;","))*(Transaksi!$C$2:$C$3000=$A56)*(Transaksi!$H$2:$H$3000&gt;0))&gt;0,"½",IF(F$43&gt;TODAY(),"·","✗"))))</f>
        <v/>
      </c>
      <c r="G56" s="36">
        <f>IF(OR(G$43&lt;Tetapan!$B17,AND(Tetapan!$C17&lt;&gt;"",G$43&gt;Tetapan!$C17),Tetapan!$E17=0,G$43&gt;Tetapan!$B$21),"–",IF(SUMPRODUCT(ISNUMBER(SEARCH(", "&amp;TEXT(G$43,"yyyy-mm")&amp;",",", "&amp;Transaksi!$F$2:$F$3000&amp;","))*(Transaksi!$C$2:$C$3000=$A56)*(Transaksi!$H$2:$H$3000&gt;0))&gt;0,"✓",IF(SUMPRODUCT(ISNUMBER(SEARCH(", "&amp;TEXT(G$43,"yyyy-mm")&amp;":",", "&amp;Transaksi!$F$2:$F$3000&amp;","))*(Transaksi!$C$2:$C$3000=$A56)*(Transaksi!$H$2:$H$3000&gt;0))&gt;0,"½",IF(G$43&gt;TODAY(),"·","✗"))))</f>
        <v/>
      </c>
      <c r="H56" s="36">
        <f>IF(OR(H$43&lt;Tetapan!$B17,AND(Tetapan!$C17&lt;&gt;"",H$43&gt;Tetapan!$C17),Tetapan!$E17=0,H$43&gt;Tetapan!$B$21),"–",IF(SUMPRODUCT(ISNUMBER(SEARCH(", "&amp;TEXT(H$43,"yyyy-mm")&amp;",",", "&amp;Transaksi!$F$2:$F$3000&amp;","))*(Transaksi!$C$2:$C$3000=$A56)*(Transaksi!$H$2:$H$3000&gt;0))&gt;0,"✓",IF(SUMPRODUCT(ISNUMBER(SEARCH(", "&amp;TEXT(H$43,"yyyy-mm")&amp;":",", "&amp;Transaksi!$F$2:$F$3000&amp;","))*(Transaksi!$C$2:$C$3000=$A56)*(Transaksi!$H$2:$H$3000&gt;0))&gt;0,"½",IF(H$43&gt;TODAY(),"·","✗"))))</f>
        <v/>
      </c>
      <c r="I56" s="36">
        <f>IF(OR(I$43&lt;Tetapan!$B17,AND(Tetapan!$C17&lt;&gt;"",I$43&gt;Tetapan!$C17),Tetapan!$E17=0,I$43&gt;Tetapan!$B$21),"–",IF(SUMPRODUCT(ISNUMBER(SEARCH(", "&amp;TEXT(I$43,"yyyy-mm")&amp;",",", "&amp;Transaksi!$F$2:$F$3000&amp;","))*(Transaksi!$C$2:$C$3000=$A56)*(Transaksi!$H$2:$H$3000&gt;0))&gt;0,"✓",IF(SUMPRODUCT(ISNUMBER(SEARCH(", "&amp;TEXT(I$43,"yyyy-mm")&amp;":",", "&amp;Transaksi!$F$2:$F$3000&amp;","))*(Transaksi!$C$2:$C$3000=$A56)*(Transaksi!$H$2:$H$3000&gt;0))&gt;0,"½",IF(I$43&gt;TODAY(),"·","✗"))))</f>
        <v/>
      </c>
      <c r="J56" s="36">
        <f>IF(OR(J$43&lt;Tetapan!$B17,AND(Tetapan!$C17&lt;&gt;"",J$43&gt;Tetapan!$C17),Tetapan!$E17=0,J$43&gt;Tetapan!$B$21),"–",IF(SUMPRODUCT(ISNUMBER(SEARCH(", "&amp;TEXT(J$43,"yyyy-mm")&amp;",",", "&amp;Transaksi!$F$2:$F$3000&amp;","))*(Transaksi!$C$2:$C$3000=$A56)*(Transaksi!$H$2:$H$3000&gt;0))&gt;0,"✓",IF(SUMPRODUCT(ISNUMBER(SEARCH(", "&amp;TEXT(J$43,"yyyy-mm")&amp;":",", "&amp;Transaksi!$F$2:$F$3000&amp;","))*(Transaksi!$C$2:$C$3000=$A56)*(Transaksi!$H$2:$H$3000&gt;0))&gt;0,"½",IF(J$43&gt;TODAY(),"·","✗"))))</f>
        <v/>
      </c>
      <c r="K56" s="36">
        <f>IF(OR(K$43&lt;Tetapan!$B17,AND(Tetapan!$C17&lt;&gt;"",K$43&gt;Tetapan!$C17),Tetapan!$E17=0,K$43&gt;Tetapan!$B$21),"–",IF(SUMPRODUCT(ISNUMBER(SEARCH(", "&amp;TEXT(K$43,"yyyy-mm")&amp;",",", "&amp;Transaksi!$F$2:$F$3000&amp;","))*(Transaksi!$C$2:$C$3000=$A56)*(Transaksi!$H$2:$H$3000&gt;0))&gt;0,"✓",IF(SUMPRODUCT(ISNUMBER(SEARCH(", "&amp;TEXT(K$43,"yyyy-mm")&amp;":",", "&amp;Transaksi!$F$2:$F$3000&amp;","))*(Transaksi!$C$2:$C$3000=$A56)*(Transaksi!$H$2:$H$3000&gt;0))&gt;0,"½",IF(K$43&gt;TODAY(),"·","✗"))))</f>
        <v/>
      </c>
      <c r="L56" s="36">
        <f>IF(OR(L$43&lt;Tetapan!$B17,AND(Tetapan!$C17&lt;&gt;"",L$43&gt;Tetapan!$C17),Tetapan!$E17=0,L$43&gt;Tetapan!$B$21),"–",IF(SUMPRODUCT(ISNUMBER(SEARCH(", "&amp;TEXT(L$43,"yyyy-mm")&amp;",",", "&amp;Transaksi!$F$2:$F$3000&amp;","))*(Transaksi!$C$2:$C$3000=$A56)*(Transaksi!$H$2:$H$3000&gt;0))&gt;0,"✓",IF(SUMPRODUCT(ISNUMBER(SEARCH(", "&amp;TEXT(L$43,"yyyy-mm")&amp;":",", "&amp;Transaksi!$F$2:$F$3000&amp;","))*(Transaksi!$C$2:$C$3000=$A56)*(Transaksi!$H$2:$H$3000&gt;0))&gt;0,"½",IF(L$43&gt;TODAY(),"·","✗"))))</f>
        <v/>
      </c>
      <c r="M56" s="36">
        <f>IF(OR(M$43&lt;Tetapan!$B17,AND(Tetapan!$C17&lt;&gt;"",M$43&gt;Tetapan!$C17),Tetapan!$E17=0,M$43&gt;Tetapan!$B$21),"–",IF(SUMPRODUCT(ISNUMBER(SEARCH(", "&amp;TEXT(M$43,"yyyy-mm")&amp;",",", "&amp;Transaksi!$F$2:$F$3000&amp;","))*(Transaksi!$C$2:$C$3000=$A56)*(Transaksi!$H$2:$H$3000&gt;0))&gt;0,"✓",IF(SUMPRODUCT(ISNUMBER(SEARCH(", "&amp;TEXT(M$43,"yyyy-mm")&amp;":",", "&amp;Transaksi!$F$2:$F$3000&amp;","))*(Transaksi!$C$2:$C$3000=$A56)*(Transaksi!$H$2:$H$3000&gt;0))&gt;0,"½",IF(M$43&gt;TODAY(),"·","✗"))))</f>
        <v/>
      </c>
      <c r="N56" s="36">
        <f>IF(OR(N$43&lt;Tetapan!$B17,AND(Tetapan!$C17&lt;&gt;"",N$43&gt;Tetapan!$C17),Tetapan!$E17=0,N$43&gt;Tetapan!$B$21),"–",IF(SUMPRODUCT(ISNUMBER(SEARCH(", "&amp;TEXT(N$43,"yyyy-mm")&amp;",",", "&amp;Transaksi!$F$2:$F$3000&amp;","))*(Transaksi!$C$2:$C$3000=$A56)*(Transaksi!$H$2:$H$3000&gt;0))&gt;0,"✓",IF(SUMPRODUCT(ISNUMBER(SEARCH(", "&amp;TEXT(N$43,"yyyy-mm")&amp;":",", "&amp;Transaksi!$F$2:$F$3000&amp;","))*(Transaksi!$C$2:$C$3000=$A56)*(Transaksi!$H$2:$H$3000&gt;0))&gt;0,"½",IF(N$43&gt;TODAY(),"·","✗"))))</f>
        <v/>
      </c>
      <c r="O56" s="36">
        <f>IF(OR(O$43&lt;Tetapan!$B17,AND(Tetapan!$C17&lt;&gt;"",O$43&gt;Tetapan!$C17),Tetapan!$E17=0,O$43&gt;Tetapan!$B$21),"–",IF(SUMPRODUCT(ISNUMBER(SEARCH(", "&amp;TEXT(O$43,"yyyy-mm")&amp;",",", "&amp;Transaksi!$F$2:$F$3000&amp;","))*(Transaksi!$C$2:$C$3000=$A56)*(Transaksi!$H$2:$H$3000&gt;0))&gt;0,"✓",IF(SUMPRODUCT(ISNUMBER(SEARCH(", "&amp;TEXT(O$43,"yyyy-mm")&amp;":",", "&amp;Transaksi!$F$2:$F$3000&amp;","))*(Transaksi!$C$2:$C$3000=$A56)*(Transaksi!$H$2:$H$3000&gt;0))&gt;0,"½",IF(O$43&gt;TODAY(),"·","✗"))))</f>
        <v/>
      </c>
      <c r="P56" s="36">
        <f>IF(OR(P$43&lt;Tetapan!$B17,AND(Tetapan!$C17&lt;&gt;"",P$43&gt;Tetapan!$C17),Tetapan!$E17=0,P$43&gt;Tetapan!$B$21),"–",IF(SUMPRODUCT(ISNUMBER(SEARCH(", "&amp;TEXT(P$43,"yyyy-mm")&amp;",",", "&amp;Transaksi!$F$2:$F$3000&amp;","))*(Transaksi!$C$2:$C$3000=$A56)*(Transaksi!$H$2:$H$3000&gt;0))&gt;0,"✓",IF(SUMPRODUCT(ISNUMBER(SEARCH(", "&amp;TEXT(P$43,"yyyy-mm")&amp;":",", "&amp;Transaksi!$F$2:$F$3000&amp;","))*(Transaksi!$C$2:$C$3000=$A56)*(Transaksi!$H$2:$H$3000&gt;0))&gt;0,"½",IF(P$43&gt;TODAY(),"·","✗"))))</f>
        <v/>
      </c>
      <c r="Q56" s="36">
        <f>IF(OR(Q$43&lt;Tetapan!$B17,AND(Tetapan!$C17&lt;&gt;"",Q$43&gt;Tetapan!$C17),Tetapan!$E17=0,Q$43&gt;Tetapan!$B$21),"–",IF(SUMPRODUCT(ISNUMBER(SEARCH(", "&amp;TEXT(Q$43,"yyyy-mm")&amp;",",", "&amp;Transaksi!$F$2:$F$3000&amp;","))*(Transaksi!$C$2:$C$3000=$A56)*(Transaksi!$H$2:$H$3000&gt;0))&gt;0,"✓",IF(SUMPRODUCT(ISNUMBER(SEARCH(", "&amp;TEXT(Q$43,"yyyy-mm")&amp;":",", "&amp;Transaksi!$F$2:$F$3000&amp;","))*(Transaksi!$C$2:$C$3000=$A56)*(Transaksi!$H$2:$H$3000&gt;0))&gt;0,"½",IF(Q$43&gt;TODAY(),"·","✗"))))</f>
        <v/>
      </c>
      <c r="R56" s="36">
        <f>IF(OR(R$43&lt;Tetapan!$B17,AND(Tetapan!$C17&lt;&gt;"",R$43&gt;Tetapan!$C17),Tetapan!$E17=0,R$43&gt;Tetapan!$B$21),"–",IF(SUMPRODUCT(ISNUMBER(SEARCH(", "&amp;TEXT(R$43,"yyyy-mm")&amp;",",", "&amp;Transaksi!$F$2:$F$3000&amp;","))*(Transaksi!$C$2:$C$3000=$A56)*(Transaksi!$H$2:$H$3000&gt;0))&gt;0,"✓",IF(SUMPRODUCT(ISNUMBER(SEARCH(", "&amp;TEXT(R$43,"yyyy-mm")&amp;":",", "&amp;Transaksi!$F$2:$F$3000&amp;","))*(Transaksi!$C$2:$C$3000=$A56)*(Transaksi!$H$2:$H$3000&gt;0))&gt;0,"½",IF(R$43&gt;TODAY(),"·","✗"))))</f>
        <v/>
      </c>
      <c r="S56" s="36">
        <f>IF(OR(S$43&lt;Tetapan!$B17,AND(Tetapan!$C17&lt;&gt;"",S$43&gt;Tetapan!$C17),Tetapan!$E17=0,S$43&gt;Tetapan!$B$21),"–",IF(SUMPRODUCT(ISNUMBER(SEARCH(", "&amp;TEXT(S$43,"yyyy-mm")&amp;",",", "&amp;Transaksi!$F$2:$F$3000&amp;","))*(Transaksi!$C$2:$C$3000=$A56)*(Transaksi!$H$2:$H$3000&gt;0))&gt;0,"✓",IF(SUMPRODUCT(ISNUMBER(SEARCH(", "&amp;TEXT(S$43,"yyyy-mm")&amp;":",", "&amp;Transaksi!$F$2:$F$3000&amp;","))*(Transaksi!$C$2:$C$3000=$A56)*(Transaksi!$H$2:$H$3000&gt;0))&gt;0,"½",IF(S$43&gt;TODAY(),"·","✗"))))</f>
        <v/>
      </c>
      <c r="T56" s="36">
        <f>IF(OR(T$43&lt;Tetapan!$B17,AND(Tetapan!$C17&lt;&gt;"",T$43&gt;Tetapan!$C17),Tetapan!$E17=0,T$43&gt;Tetapan!$B$21),"–",IF(SUMPRODUCT(ISNUMBER(SEARCH(", "&amp;TEXT(T$43,"yyyy-mm")&amp;",",", "&amp;Transaksi!$F$2:$F$3000&amp;","))*(Transaksi!$C$2:$C$3000=$A56)*(Transaksi!$H$2:$H$3000&gt;0))&gt;0,"✓",IF(SUMPRODUCT(ISNUMBER(SEARCH(", "&amp;TEXT(T$43,"yyyy-mm")&amp;":",", "&amp;Transaksi!$F$2:$F$3000&amp;","))*(Transaksi!$C$2:$C$3000=$A56)*(Transaksi!$H$2:$H$3000&gt;0))&gt;0,"½",IF(T$43&gt;TODAY(),"·","✗"))))</f>
        <v/>
      </c>
      <c r="V56" s="37">
        <f>IF(B56="✗",TEXT(B$43,"mmm yy")&amp;", ",IF(B56="½",TEXT(B$43,"mmm yy")&amp;" (separa), ",""))&amp;IF(C56="✗",TEXT(C$43,"mmm yy")&amp;", ",IF(C56="½",TEXT(C$43,"mmm yy")&amp;" (separa), ",""))&amp;IF(D56="✗",TEXT(D$43,"mmm yy")&amp;", ",IF(D56="½",TEXT(D$43,"mmm yy")&amp;" (separa), ",""))&amp;IF(E56="✗",TEXT(E$43,"mmm yy")&amp;", ",IF(E56="½",TEXT(E$43,"mmm yy")&amp;" (separa), ",""))&amp;IF(F56="✗",TEXT(F$43,"mmm yy")&amp;", ",IF(F56="½",TEXT(F$43,"mmm yy")&amp;" (separa), ",""))&amp;IF(G56="✗",TEXT(G$43,"mmm yy")&amp;", ",IF(G56="½",TEXT(G$43,"mmm yy")&amp;" (separa), ",""))&amp;IF(H56="✗",TEXT(H$43,"mmm yy")&amp;", ",IF(H56="½",TEXT(H$43,"mmm yy")&amp;" (separa), ",""))&amp;IF(I56="✗",TEXT(I$43,"mmm yy")&amp;", ",IF(I56="½",TEXT(I$43,"mmm yy")&amp;" (separa), ",""))&amp;IF(J56="✗",TEXT(J$43,"mmm yy")&amp;", ",IF(J56="½",TEXT(J$43,"mmm yy")&amp;" (separa), ",""))&amp;IF(K56="✗",TEXT(K$43,"mmm yy")&amp;", ",IF(K56="½",TEXT(K$43,"mmm yy")&amp;" (separa), ",""))&amp;IF(L56="✗",TEXT(L$43,"mmm yy")&amp;", ",IF(L56="½",TEXT(L$43,"mmm yy")&amp;" (separa), ",""))&amp;IF(M56="✗",TEXT(M$43,"mmm yy")&amp;", ",IF(M56="½",TEXT(M$43,"mmm yy")&amp;" (separa), ",""))&amp;IF(N56="✗",TEXT(N$43,"mmm yy")&amp;", ",IF(N56="½",TEXT(N$43,"mmm yy")&amp;" (separa), ",""))&amp;IF(O56="✗",TEXT(O$43,"mmm yy")&amp;", ",IF(O56="½",TEXT(O$43,"mmm yy")&amp;" (separa), ",""))&amp;IF(P56="✗",TEXT(P$43,"mmm yy")&amp;", ",IF(P56="½",TEXT(P$43,"mmm yy")&amp;" (separa), ",""))&amp;IF(Q56="✗",TEXT(Q$43,"mmm yy")&amp;", ",IF(Q56="½",TEXT(Q$43,"mmm yy")&amp;" (separa), ",""))&amp;IF(R56="✗",TEXT(R$43,"mmm yy")&amp;", ",IF(R56="½",TEXT(R$43,"mmm yy")&amp;" (separa), ",""))&amp;IF(S56="✗",TEXT(S$43,"mmm yy")&amp;", ",IF(S56="½",TEXT(S$43,"mmm yy")&amp;" (separa), ",""))&amp;IF(T56="✗",TEXT(T$43,"mmm yy")&amp;", ",IF(T56="½",TEXT(T$43,"mmm yy")&amp;" (separa), ",""))</f>
        <v/>
      </c>
    </row>
    <row r="57">
      <c r="A57" s="32">
        <f>Tetapan!A18</f>
        <v/>
      </c>
      <c r="B57" s="36">
        <f>IF(OR(B$43&lt;Tetapan!$B18,AND(Tetapan!$C18&lt;&gt;"",B$43&gt;Tetapan!$C18),Tetapan!$E18=0,B$43&gt;Tetapan!$B$21),"–",IF(SUMPRODUCT(ISNUMBER(SEARCH(", "&amp;TEXT(B$43,"yyyy-mm")&amp;",",", "&amp;Transaksi!$F$2:$F$3000&amp;","))*(Transaksi!$C$2:$C$3000=$A57)*(Transaksi!$H$2:$H$3000&gt;0))&gt;0,"✓",IF(SUMPRODUCT(ISNUMBER(SEARCH(", "&amp;TEXT(B$43,"yyyy-mm")&amp;":",", "&amp;Transaksi!$F$2:$F$3000&amp;","))*(Transaksi!$C$2:$C$3000=$A57)*(Transaksi!$H$2:$H$3000&gt;0))&gt;0,"½",IF(B$43&gt;TODAY(),"·","✗"))))</f>
        <v/>
      </c>
      <c r="C57" s="36">
        <f>IF(OR(C$43&lt;Tetapan!$B18,AND(Tetapan!$C18&lt;&gt;"",C$43&gt;Tetapan!$C18),Tetapan!$E18=0,C$43&gt;Tetapan!$B$21),"–",IF(SUMPRODUCT(ISNUMBER(SEARCH(", "&amp;TEXT(C$43,"yyyy-mm")&amp;",",", "&amp;Transaksi!$F$2:$F$3000&amp;","))*(Transaksi!$C$2:$C$3000=$A57)*(Transaksi!$H$2:$H$3000&gt;0))&gt;0,"✓",IF(SUMPRODUCT(ISNUMBER(SEARCH(", "&amp;TEXT(C$43,"yyyy-mm")&amp;":",", "&amp;Transaksi!$F$2:$F$3000&amp;","))*(Transaksi!$C$2:$C$3000=$A57)*(Transaksi!$H$2:$H$3000&gt;0))&gt;0,"½",IF(C$43&gt;TODAY(),"·","✗"))))</f>
        <v/>
      </c>
      <c r="D57" s="36">
        <f>IF(OR(D$43&lt;Tetapan!$B18,AND(Tetapan!$C18&lt;&gt;"",D$43&gt;Tetapan!$C18),Tetapan!$E18=0,D$43&gt;Tetapan!$B$21),"–",IF(SUMPRODUCT(ISNUMBER(SEARCH(", "&amp;TEXT(D$43,"yyyy-mm")&amp;",",", "&amp;Transaksi!$F$2:$F$3000&amp;","))*(Transaksi!$C$2:$C$3000=$A57)*(Transaksi!$H$2:$H$3000&gt;0))&gt;0,"✓",IF(SUMPRODUCT(ISNUMBER(SEARCH(", "&amp;TEXT(D$43,"yyyy-mm")&amp;":",", "&amp;Transaksi!$F$2:$F$3000&amp;","))*(Transaksi!$C$2:$C$3000=$A57)*(Transaksi!$H$2:$H$3000&gt;0))&gt;0,"½",IF(D$43&gt;TODAY(),"·","✗"))))</f>
        <v/>
      </c>
      <c r="E57" s="36">
        <f>IF(OR(E$43&lt;Tetapan!$B18,AND(Tetapan!$C18&lt;&gt;"",E$43&gt;Tetapan!$C18),Tetapan!$E18=0,E$43&gt;Tetapan!$B$21),"–",IF(SUMPRODUCT(ISNUMBER(SEARCH(", "&amp;TEXT(E$43,"yyyy-mm")&amp;",",", "&amp;Transaksi!$F$2:$F$3000&amp;","))*(Transaksi!$C$2:$C$3000=$A57)*(Transaksi!$H$2:$H$3000&gt;0))&gt;0,"✓",IF(SUMPRODUCT(ISNUMBER(SEARCH(", "&amp;TEXT(E$43,"yyyy-mm")&amp;":",", "&amp;Transaksi!$F$2:$F$3000&amp;","))*(Transaksi!$C$2:$C$3000=$A57)*(Transaksi!$H$2:$H$3000&gt;0))&gt;0,"½",IF(E$43&gt;TODAY(),"·","✗"))))</f>
        <v/>
      </c>
      <c r="F57" s="36">
        <f>IF(OR(F$43&lt;Tetapan!$B18,AND(Tetapan!$C18&lt;&gt;"",F$43&gt;Tetapan!$C18),Tetapan!$E18=0,F$43&gt;Tetapan!$B$21),"–",IF(SUMPRODUCT(ISNUMBER(SEARCH(", "&amp;TEXT(F$43,"yyyy-mm")&amp;",",", "&amp;Transaksi!$F$2:$F$3000&amp;","))*(Transaksi!$C$2:$C$3000=$A57)*(Transaksi!$H$2:$H$3000&gt;0))&gt;0,"✓",IF(SUMPRODUCT(ISNUMBER(SEARCH(", "&amp;TEXT(F$43,"yyyy-mm")&amp;":",", "&amp;Transaksi!$F$2:$F$3000&amp;","))*(Transaksi!$C$2:$C$3000=$A57)*(Transaksi!$H$2:$H$3000&gt;0))&gt;0,"½",IF(F$43&gt;TODAY(),"·","✗"))))</f>
        <v/>
      </c>
      <c r="G57" s="36">
        <f>IF(OR(G$43&lt;Tetapan!$B18,AND(Tetapan!$C18&lt;&gt;"",G$43&gt;Tetapan!$C18),Tetapan!$E18=0,G$43&gt;Tetapan!$B$21),"–",IF(SUMPRODUCT(ISNUMBER(SEARCH(", "&amp;TEXT(G$43,"yyyy-mm")&amp;",",", "&amp;Transaksi!$F$2:$F$3000&amp;","))*(Transaksi!$C$2:$C$3000=$A57)*(Transaksi!$H$2:$H$3000&gt;0))&gt;0,"✓",IF(SUMPRODUCT(ISNUMBER(SEARCH(", "&amp;TEXT(G$43,"yyyy-mm")&amp;":",", "&amp;Transaksi!$F$2:$F$3000&amp;","))*(Transaksi!$C$2:$C$3000=$A57)*(Transaksi!$H$2:$H$3000&gt;0))&gt;0,"½",IF(G$43&gt;TODAY(),"·","✗"))))</f>
        <v/>
      </c>
      <c r="H57" s="36">
        <f>IF(OR(H$43&lt;Tetapan!$B18,AND(Tetapan!$C18&lt;&gt;"",H$43&gt;Tetapan!$C18),Tetapan!$E18=0,H$43&gt;Tetapan!$B$21),"–",IF(SUMPRODUCT(ISNUMBER(SEARCH(", "&amp;TEXT(H$43,"yyyy-mm")&amp;",",", "&amp;Transaksi!$F$2:$F$3000&amp;","))*(Transaksi!$C$2:$C$3000=$A57)*(Transaksi!$H$2:$H$3000&gt;0))&gt;0,"✓",IF(SUMPRODUCT(ISNUMBER(SEARCH(", "&amp;TEXT(H$43,"yyyy-mm")&amp;":",", "&amp;Transaksi!$F$2:$F$3000&amp;","))*(Transaksi!$C$2:$C$3000=$A57)*(Transaksi!$H$2:$H$3000&gt;0))&gt;0,"½",IF(H$43&gt;TODAY(),"·","✗"))))</f>
        <v/>
      </c>
      <c r="I57" s="36">
        <f>IF(OR(I$43&lt;Tetapan!$B18,AND(Tetapan!$C18&lt;&gt;"",I$43&gt;Tetapan!$C18),Tetapan!$E18=0,I$43&gt;Tetapan!$B$21),"–",IF(SUMPRODUCT(ISNUMBER(SEARCH(", "&amp;TEXT(I$43,"yyyy-mm")&amp;",",", "&amp;Transaksi!$F$2:$F$3000&amp;","))*(Transaksi!$C$2:$C$3000=$A57)*(Transaksi!$H$2:$H$3000&gt;0))&gt;0,"✓",IF(SUMPRODUCT(ISNUMBER(SEARCH(", "&amp;TEXT(I$43,"yyyy-mm")&amp;":",", "&amp;Transaksi!$F$2:$F$3000&amp;","))*(Transaksi!$C$2:$C$3000=$A57)*(Transaksi!$H$2:$H$3000&gt;0))&gt;0,"½",IF(I$43&gt;TODAY(),"·","✗"))))</f>
        <v/>
      </c>
      <c r="J57" s="36">
        <f>IF(OR(J$43&lt;Tetapan!$B18,AND(Tetapan!$C18&lt;&gt;"",J$43&gt;Tetapan!$C18),Tetapan!$E18=0,J$43&gt;Tetapan!$B$21),"–",IF(SUMPRODUCT(ISNUMBER(SEARCH(", "&amp;TEXT(J$43,"yyyy-mm")&amp;",",", "&amp;Transaksi!$F$2:$F$3000&amp;","))*(Transaksi!$C$2:$C$3000=$A57)*(Transaksi!$H$2:$H$3000&gt;0))&gt;0,"✓",IF(SUMPRODUCT(ISNUMBER(SEARCH(", "&amp;TEXT(J$43,"yyyy-mm")&amp;":",", "&amp;Transaksi!$F$2:$F$3000&amp;","))*(Transaksi!$C$2:$C$3000=$A57)*(Transaksi!$H$2:$H$3000&gt;0))&gt;0,"½",IF(J$43&gt;TODAY(),"·","✗"))))</f>
        <v/>
      </c>
      <c r="K57" s="36">
        <f>IF(OR(K$43&lt;Tetapan!$B18,AND(Tetapan!$C18&lt;&gt;"",K$43&gt;Tetapan!$C18),Tetapan!$E18=0,K$43&gt;Tetapan!$B$21),"–",IF(SUMPRODUCT(ISNUMBER(SEARCH(", "&amp;TEXT(K$43,"yyyy-mm")&amp;",",", "&amp;Transaksi!$F$2:$F$3000&amp;","))*(Transaksi!$C$2:$C$3000=$A57)*(Transaksi!$H$2:$H$3000&gt;0))&gt;0,"✓",IF(SUMPRODUCT(ISNUMBER(SEARCH(", "&amp;TEXT(K$43,"yyyy-mm")&amp;":",", "&amp;Transaksi!$F$2:$F$3000&amp;","))*(Transaksi!$C$2:$C$3000=$A57)*(Transaksi!$H$2:$H$3000&gt;0))&gt;0,"½",IF(K$43&gt;TODAY(),"·","✗"))))</f>
        <v/>
      </c>
      <c r="L57" s="36">
        <f>IF(OR(L$43&lt;Tetapan!$B18,AND(Tetapan!$C18&lt;&gt;"",L$43&gt;Tetapan!$C18),Tetapan!$E18=0,L$43&gt;Tetapan!$B$21),"–",IF(SUMPRODUCT(ISNUMBER(SEARCH(", "&amp;TEXT(L$43,"yyyy-mm")&amp;",",", "&amp;Transaksi!$F$2:$F$3000&amp;","))*(Transaksi!$C$2:$C$3000=$A57)*(Transaksi!$H$2:$H$3000&gt;0))&gt;0,"✓",IF(SUMPRODUCT(ISNUMBER(SEARCH(", "&amp;TEXT(L$43,"yyyy-mm")&amp;":",", "&amp;Transaksi!$F$2:$F$3000&amp;","))*(Transaksi!$C$2:$C$3000=$A57)*(Transaksi!$H$2:$H$3000&gt;0))&gt;0,"½",IF(L$43&gt;TODAY(),"·","✗"))))</f>
        <v/>
      </c>
      <c r="M57" s="36">
        <f>IF(OR(M$43&lt;Tetapan!$B18,AND(Tetapan!$C18&lt;&gt;"",M$43&gt;Tetapan!$C18),Tetapan!$E18=0,M$43&gt;Tetapan!$B$21),"–",IF(SUMPRODUCT(ISNUMBER(SEARCH(", "&amp;TEXT(M$43,"yyyy-mm")&amp;",",", "&amp;Transaksi!$F$2:$F$3000&amp;","))*(Transaksi!$C$2:$C$3000=$A57)*(Transaksi!$H$2:$H$3000&gt;0))&gt;0,"✓",IF(SUMPRODUCT(ISNUMBER(SEARCH(", "&amp;TEXT(M$43,"yyyy-mm")&amp;":",", "&amp;Transaksi!$F$2:$F$3000&amp;","))*(Transaksi!$C$2:$C$3000=$A57)*(Transaksi!$H$2:$H$3000&gt;0))&gt;0,"½",IF(M$43&gt;TODAY(),"·","✗"))))</f>
        <v/>
      </c>
      <c r="N57" s="36">
        <f>IF(OR(N$43&lt;Tetapan!$B18,AND(Tetapan!$C18&lt;&gt;"",N$43&gt;Tetapan!$C18),Tetapan!$E18=0,N$43&gt;Tetapan!$B$21),"–",IF(SUMPRODUCT(ISNUMBER(SEARCH(", "&amp;TEXT(N$43,"yyyy-mm")&amp;",",", "&amp;Transaksi!$F$2:$F$3000&amp;","))*(Transaksi!$C$2:$C$3000=$A57)*(Transaksi!$H$2:$H$3000&gt;0))&gt;0,"✓",IF(SUMPRODUCT(ISNUMBER(SEARCH(", "&amp;TEXT(N$43,"yyyy-mm")&amp;":",", "&amp;Transaksi!$F$2:$F$3000&amp;","))*(Transaksi!$C$2:$C$3000=$A57)*(Transaksi!$H$2:$H$3000&gt;0))&gt;0,"½",IF(N$43&gt;TODAY(),"·","✗"))))</f>
        <v/>
      </c>
      <c r="O57" s="36">
        <f>IF(OR(O$43&lt;Tetapan!$B18,AND(Tetapan!$C18&lt;&gt;"",O$43&gt;Tetapan!$C18),Tetapan!$E18=0,O$43&gt;Tetapan!$B$21),"–",IF(SUMPRODUCT(ISNUMBER(SEARCH(", "&amp;TEXT(O$43,"yyyy-mm")&amp;",",", "&amp;Transaksi!$F$2:$F$3000&amp;","))*(Transaksi!$C$2:$C$3000=$A57)*(Transaksi!$H$2:$H$3000&gt;0))&gt;0,"✓",IF(SUMPRODUCT(ISNUMBER(SEARCH(", "&amp;TEXT(O$43,"yyyy-mm")&amp;":",", "&amp;Transaksi!$F$2:$F$3000&amp;","))*(Transaksi!$C$2:$C$3000=$A57)*(Transaksi!$H$2:$H$3000&gt;0))&gt;0,"½",IF(O$43&gt;TODAY(),"·","✗"))))</f>
        <v/>
      </c>
      <c r="P57" s="36">
        <f>IF(OR(P$43&lt;Tetapan!$B18,AND(Tetapan!$C18&lt;&gt;"",P$43&gt;Tetapan!$C18),Tetapan!$E18=0,P$43&gt;Tetapan!$B$21),"–",IF(SUMPRODUCT(ISNUMBER(SEARCH(", "&amp;TEXT(P$43,"yyyy-mm")&amp;",",", "&amp;Transaksi!$F$2:$F$3000&amp;","))*(Transaksi!$C$2:$C$3000=$A57)*(Transaksi!$H$2:$H$3000&gt;0))&gt;0,"✓",IF(SUMPRODUCT(ISNUMBER(SEARCH(", "&amp;TEXT(P$43,"yyyy-mm")&amp;":",", "&amp;Transaksi!$F$2:$F$3000&amp;","))*(Transaksi!$C$2:$C$3000=$A57)*(Transaksi!$H$2:$H$3000&gt;0))&gt;0,"½",IF(P$43&gt;TODAY(),"·","✗"))))</f>
        <v/>
      </c>
      <c r="Q57" s="36">
        <f>IF(OR(Q$43&lt;Tetapan!$B18,AND(Tetapan!$C18&lt;&gt;"",Q$43&gt;Tetapan!$C18),Tetapan!$E18=0,Q$43&gt;Tetapan!$B$21),"–",IF(SUMPRODUCT(ISNUMBER(SEARCH(", "&amp;TEXT(Q$43,"yyyy-mm")&amp;",",", "&amp;Transaksi!$F$2:$F$3000&amp;","))*(Transaksi!$C$2:$C$3000=$A57)*(Transaksi!$H$2:$H$3000&gt;0))&gt;0,"✓",IF(SUMPRODUCT(ISNUMBER(SEARCH(", "&amp;TEXT(Q$43,"yyyy-mm")&amp;":",", "&amp;Transaksi!$F$2:$F$3000&amp;","))*(Transaksi!$C$2:$C$3000=$A57)*(Transaksi!$H$2:$H$3000&gt;0))&gt;0,"½",IF(Q$43&gt;TODAY(),"·","✗"))))</f>
        <v/>
      </c>
      <c r="R57" s="36">
        <f>IF(OR(R$43&lt;Tetapan!$B18,AND(Tetapan!$C18&lt;&gt;"",R$43&gt;Tetapan!$C18),Tetapan!$E18=0,R$43&gt;Tetapan!$B$21),"–",IF(SUMPRODUCT(ISNUMBER(SEARCH(", "&amp;TEXT(R$43,"yyyy-mm")&amp;",",", "&amp;Transaksi!$F$2:$F$3000&amp;","))*(Transaksi!$C$2:$C$3000=$A57)*(Transaksi!$H$2:$H$3000&gt;0))&gt;0,"✓",IF(SUMPRODUCT(ISNUMBER(SEARCH(", "&amp;TEXT(R$43,"yyyy-mm")&amp;":",", "&amp;Transaksi!$F$2:$F$3000&amp;","))*(Transaksi!$C$2:$C$3000=$A57)*(Transaksi!$H$2:$H$3000&gt;0))&gt;0,"½",IF(R$43&gt;TODAY(),"·","✗"))))</f>
        <v/>
      </c>
      <c r="S57" s="36">
        <f>IF(OR(S$43&lt;Tetapan!$B18,AND(Tetapan!$C18&lt;&gt;"",S$43&gt;Tetapan!$C18),Tetapan!$E18=0,S$43&gt;Tetapan!$B$21),"–",IF(SUMPRODUCT(ISNUMBER(SEARCH(", "&amp;TEXT(S$43,"yyyy-mm")&amp;",",", "&amp;Transaksi!$F$2:$F$3000&amp;","))*(Transaksi!$C$2:$C$3000=$A57)*(Transaksi!$H$2:$H$3000&gt;0))&gt;0,"✓",IF(SUMPRODUCT(ISNUMBER(SEARCH(", "&amp;TEXT(S$43,"yyyy-mm")&amp;":",", "&amp;Transaksi!$F$2:$F$3000&amp;","))*(Transaksi!$C$2:$C$3000=$A57)*(Transaksi!$H$2:$H$3000&gt;0))&gt;0,"½",IF(S$43&gt;TODAY(),"·","✗"))))</f>
        <v/>
      </c>
      <c r="T57" s="36">
        <f>IF(OR(T$43&lt;Tetapan!$B18,AND(Tetapan!$C18&lt;&gt;"",T$43&gt;Tetapan!$C18),Tetapan!$E18=0,T$43&gt;Tetapan!$B$21),"–",IF(SUMPRODUCT(ISNUMBER(SEARCH(", "&amp;TEXT(T$43,"yyyy-mm")&amp;",",", "&amp;Transaksi!$F$2:$F$3000&amp;","))*(Transaksi!$C$2:$C$3000=$A57)*(Transaksi!$H$2:$H$3000&gt;0))&gt;0,"✓",IF(SUMPRODUCT(ISNUMBER(SEARCH(", "&amp;TEXT(T$43,"yyyy-mm")&amp;":",", "&amp;Transaksi!$F$2:$F$3000&amp;","))*(Transaksi!$C$2:$C$3000=$A57)*(Transaksi!$H$2:$H$3000&gt;0))&gt;0,"½",IF(T$43&gt;TODAY(),"·","✗"))))</f>
        <v/>
      </c>
      <c r="V57" s="37">
        <f>IF(B57="✗",TEXT(B$43,"mmm yy")&amp;", ",IF(B57="½",TEXT(B$43,"mmm yy")&amp;" (separa), ",""))&amp;IF(C57="✗",TEXT(C$43,"mmm yy")&amp;", ",IF(C57="½",TEXT(C$43,"mmm yy")&amp;" (separa), ",""))&amp;IF(D57="✗",TEXT(D$43,"mmm yy")&amp;", ",IF(D57="½",TEXT(D$43,"mmm yy")&amp;" (separa), ",""))&amp;IF(E57="✗",TEXT(E$43,"mmm yy")&amp;", ",IF(E57="½",TEXT(E$43,"mmm yy")&amp;" (separa), ",""))&amp;IF(F57="✗",TEXT(F$43,"mmm yy")&amp;", ",IF(F57="½",TEXT(F$43,"mmm yy")&amp;" (separa), ",""))&amp;IF(G57="✗",TEXT(G$43,"mmm yy")&amp;", ",IF(G57="½",TEXT(G$43,"mmm yy")&amp;" (separa), ",""))&amp;IF(H57="✗",TEXT(H$43,"mmm yy")&amp;", ",IF(H57="½",TEXT(H$43,"mmm yy")&amp;" (separa), ",""))&amp;IF(I57="✗",TEXT(I$43,"mmm yy")&amp;", ",IF(I57="½",TEXT(I$43,"mmm yy")&amp;" (separa), ",""))&amp;IF(J57="✗",TEXT(J$43,"mmm yy")&amp;", ",IF(J57="½",TEXT(J$43,"mmm yy")&amp;" (separa), ",""))&amp;IF(K57="✗",TEXT(K$43,"mmm yy")&amp;", ",IF(K57="½",TEXT(K$43,"mmm yy")&amp;" (separa), ",""))&amp;IF(L57="✗",TEXT(L$43,"mmm yy")&amp;", ",IF(L57="½",TEXT(L$43,"mmm yy")&amp;" (separa), ",""))&amp;IF(M57="✗",TEXT(M$43,"mmm yy")&amp;", ",IF(M57="½",TEXT(M$43,"mmm yy")&amp;" (separa), ",""))&amp;IF(N57="✗",TEXT(N$43,"mmm yy")&amp;", ",IF(N57="½",TEXT(N$43,"mmm yy")&amp;" (separa), ",""))&amp;IF(O57="✗",TEXT(O$43,"mmm yy")&amp;", ",IF(O57="½",TEXT(O$43,"mmm yy")&amp;" (separa), ",""))&amp;IF(P57="✗",TEXT(P$43,"mmm yy")&amp;", ",IF(P57="½",TEXT(P$43,"mmm yy")&amp;" (separa), ",""))&amp;IF(Q57="✗",TEXT(Q$43,"mmm yy")&amp;", ",IF(Q57="½",TEXT(Q$43,"mmm yy")&amp;" (separa), ",""))&amp;IF(R57="✗",TEXT(R$43,"mmm yy")&amp;", ",IF(R57="½",TEXT(R$43,"mmm yy")&amp;" (separa), ",""))&amp;IF(S57="✗",TEXT(S$43,"mmm yy")&amp;", ",IF(S57="½",TEXT(S$43,"mmm yy")&amp;" (separa), ",""))&amp;IF(T57="✗",TEXT(T$43,"mmm yy")&amp;", ",IF(T57="½",TEXT(T$43,"mmm yy")&amp;" (separa), ",""))</f>
        <v/>
      </c>
    </row>
    <row r="58">
      <c r="A58" s="32">
        <f>Tetapan!A19</f>
        <v/>
      </c>
      <c r="B58" s="36">
        <f>IF(OR(B$43&lt;Tetapan!$B19,AND(Tetapan!$C19&lt;&gt;"",B$43&gt;Tetapan!$C19),Tetapan!$E19=0,B$43&gt;Tetapan!$B$21),"–",IF(SUMPRODUCT(ISNUMBER(SEARCH(", "&amp;TEXT(B$43,"yyyy-mm")&amp;",",", "&amp;Transaksi!$F$2:$F$3000&amp;","))*(Transaksi!$C$2:$C$3000=$A58)*(Transaksi!$H$2:$H$3000&gt;0))&gt;0,"✓",IF(SUMPRODUCT(ISNUMBER(SEARCH(", "&amp;TEXT(B$43,"yyyy-mm")&amp;":",", "&amp;Transaksi!$F$2:$F$3000&amp;","))*(Transaksi!$C$2:$C$3000=$A58)*(Transaksi!$H$2:$H$3000&gt;0))&gt;0,"½",IF(B$43&gt;TODAY(),"·","✗"))))</f>
        <v/>
      </c>
      <c r="C58" s="36">
        <f>IF(OR(C$43&lt;Tetapan!$B19,AND(Tetapan!$C19&lt;&gt;"",C$43&gt;Tetapan!$C19),Tetapan!$E19=0,C$43&gt;Tetapan!$B$21),"–",IF(SUMPRODUCT(ISNUMBER(SEARCH(", "&amp;TEXT(C$43,"yyyy-mm")&amp;",",", "&amp;Transaksi!$F$2:$F$3000&amp;","))*(Transaksi!$C$2:$C$3000=$A58)*(Transaksi!$H$2:$H$3000&gt;0))&gt;0,"✓",IF(SUMPRODUCT(ISNUMBER(SEARCH(", "&amp;TEXT(C$43,"yyyy-mm")&amp;":",", "&amp;Transaksi!$F$2:$F$3000&amp;","))*(Transaksi!$C$2:$C$3000=$A58)*(Transaksi!$H$2:$H$3000&gt;0))&gt;0,"½",IF(C$43&gt;TODAY(),"·","✗"))))</f>
        <v/>
      </c>
      <c r="D58" s="36">
        <f>IF(OR(D$43&lt;Tetapan!$B19,AND(Tetapan!$C19&lt;&gt;"",D$43&gt;Tetapan!$C19),Tetapan!$E19=0,D$43&gt;Tetapan!$B$21),"–",IF(SUMPRODUCT(ISNUMBER(SEARCH(", "&amp;TEXT(D$43,"yyyy-mm")&amp;",",", "&amp;Transaksi!$F$2:$F$3000&amp;","))*(Transaksi!$C$2:$C$3000=$A58)*(Transaksi!$H$2:$H$3000&gt;0))&gt;0,"✓",IF(SUMPRODUCT(ISNUMBER(SEARCH(", "&amp;TEXT(D$43,"yyyy-mm")&amp;":",", "&amp;Transaksi!$F$2:$F$3000&amp;","))*(Transaksi!$C$2:$C$3000=$A58)*(Transaksi!$H$2:$H$3000&gt;0))&gt;0,"½",IF(D$43&gt;TODAY(),"·","✗"))))</f>
        <v/>
      </c>
      <c r="E58" s="36">
        <f>IF(OR(E$43&lt;Tetapan!$B19,AND(Tetapan!$C19&lt;&gt;"",E$43&gt;Tetapan!$C19),Tetapan!$E19=0,E$43&gt;Tetapan!$B$21),"–",IF(SUMPRODUCT(ISNUMBER(SEARCH(", "&amp;TEXT(E$43,"yyyy-mm")&amp;",",", "&amp;Transaksi!$F$2:$F$3000&amp;","))*(Transaksi!$C$2:$C$3000=$A58)*(Transaksi!$H$2:$H$3000&gt;0))&gt;0,"✓",IF(SUMPRODUCT(ISNUMBER(SEARCH(", "&amp;TEXT(E$43,"yyyy-mm")&amp;":",", "&amp;Transaksi!$F$2:$F$3000&amp;","))*(Transaksi!$C$2:$C$3000=$A58)*(Transaksi!$H$2:$H$3000&gt;0))&gt;0,"½",IF(E$43&gt;TODAY(),"·","✗"))))</f>
        <v/>
      </c>
      <c r="F58" s="36">
        <f>IF(OR(F$43&lt;Tetapan!$B19,AND(Tetapan!$C19&lt;&gt;"",F$43&gt;Tetapan!$C19),Tetapan!$E19=0,F$43&gt;Tetapan!$B$21),"–",IF(SUMPRODUCT(ISNUMBER(SEARCH(", "&amp;TEXT(F$43,"yyyy-mm")&amp;",",", "&amp;Transaksi!$F$2:$F$3000&amp;","))*(Transaksi!$C$2:$C$3000=$A58)*(Transaksi!$H$2:$H$3000&gt;0))&gt;0,"✓",IF(SUMPRODUCT(ISNUMBER(SEARCH(", "&amp;TEXT(F$43,"yyyy-mm")&amp;":",", "&amp;Transaksi!$F$2:$F$3000&amp;","))*(Transaksi!$C$2:$C$3000=$A58)*(Transaksi!$H$2:$H$3000&gt;0))&gt;0,"½",IF(F$43&gt;TODAY(),"·","✗"))))</f>
        <v/>
      </c>
      <c r="G58" s="36">
        <f>IF(OR(G$43&lt;Tetapan!$B19,AND(Tetapan!$C19&lt;&gt;"",G$43&gt;Tetapan!$C19),Tetapan!$E19=0,G$43&gt;Tetapan!$B$21),"–",IF(SUMPRODUCT(ISNUMBER(SEARCH(", "&amp;TEXT(G$43,"yyyy-mm")&amp;",",", "&amp;Transaksi!$F$2:$F$3000&amp;","))*(Transaksi!$C$2:$C$3000=$A58)*(Transaksi!$H$2:$H$3000&gt;0))&gt;0,"✓",IF(SUMPRODUCT(ISNUMBER(SEARCH(", "&amp;TEXT(G$43,"yyyy-mm")&amp;":",", "&amp;Transaksi!$F$2:$F$3000&amp;","))*(Transaksi!$C$2:$C$3000=$A58)*(Transaksi!$H$2:$H$3000&gt;0))&gt;0,"½",IF(G$43&gt;TODAY(),"·","✗"))))</f>
        <v/>
      </c>
      <c r="H58" s="36">
        <f>IF(OR(H$43&lt;Tetapan!$B19,AND(Tetapan!$C19&lt;&gt;"",H$43&gt;Tetapan!$C19),Tetapan!$E19=0,H$43&gt;Tetapan!$B$21),"–",IF(SUMPRODUCT(ISNUMBER(SEARCH(", "&amp;TEXT(H$43,"yyyy-mm")&amp;",",", "&amp;Transaksi!$F$2:$F$3000&amp;","))*(Transaksi!$C$2:$C$3000=$A58)*(Transaksi!$H$2:$H$3000&gt;0))&gt;0,"✓",IF(SUMPRODUCT(ISNUMBER(SEARCH(", "&amp;TEXT(H$43,"yyyy-mm")&amp;":",", "&amp;Transaksi!$F$2:$F$3000&amp;","))*(Transaksi!$C$2:$C$3000=$A58)*(Transaksi!$H$2:$H$3000&gt;0))&gt;0,"½",IF(H$43&gt;TODAY(),"·","✗"))))</f>
        <v/>
      </c>
      <c r="I58" s="36">
        <f>IF(OR(I$43&lt;Tetapan!$B19,AND(Tetapan!$C19&lt;&gt;"",I$43&gt;Tetapan!$C19),Tetapan!$E19=0,I$43&gt;Tetapan!$B$21),"–",IF(SUMPRODUCT(ISNUMBER(SEARCH(", "&amp;TEXT(I$43,"yyyy-mm")&amp;",",", "&amp;Transaksi!$F$2:$F$3000&amp;","))*(Transaksi!$C$2:$C$3000=$A58)*(Transaksi!$H$2:$H$3000&gt;0))&gt;0,"✓",IF(SUMPRODUCT(ISNUMBER(SEARCH(", "&amp;TEXT(I$43,"yyyy-mm")&amp;":",", "&amp;Transaksi!$F$2:$F$3000&amp;","))*(Transaksi!$C$2:$C$3000=$A58)*(Transaksi!$H$2:$H$3000&gt;0))&gt;0,"½",IF(I$43&gt;TODAY(),"·","✗"))))</f>
        <v/>
      </c>
      <c r="J58" s="36">
        <f>IF(OR(J$43&lt;Tetapan!$B19,AND(Tetapan!$C19&lt;&gt;"",J$43&gt;Tetapan!$C19),Tetapan!$E19=0,J$43&gt;Tetapan!$B$21),"–",IF(SUMPRODUCT(ISNUMBER(SEARCH(", "&amp;TEXT(J$43,"yyyy-mm")&amp;",",", "&amp;Transaksi!$F$2:$F$3000&amp;","))*(Transaksi!$C$2:$C$3000=$A58)*(Transaksi!$H$2:$H$3000&gt;0))&gt;0,"✓",IF(SUMPRODUCT(ISNUMBER(SEARCH(", "&amp;TEXT(J$43,"yyyy-mm")&amp;":",", "&amp;Transaksi!$F$2:$F$3000&amp;","))*(Transaksi!$C$2:$C$3000=$A58)*(Transaksi!$H$2:$H$3000&gt;0))&gt;0,"½",IF(J$43&gt;TODAY(),"·","✗"))))</f>
        <v/>
      </c>
      <c r="K58" s="36">
        <f>IF(OR(K$43&lt;Tetapan!$B19,AND(Tetapan!$C19&lt;&gt;"",K$43&gt;Tetapan!$C19),Tetapan!$E19=0,K$43&gt;Tetapan!$B$21),"–",IF(SUMPRODUCT(ISNUMBER(SEARCH(", "&amp;TEXT(K$43,"yyyy-mm")&amp;",",", "&amp;Transaksi!$F$2:$F$3000&amp;","))*(Transaksi!$C$2:$C$3000=$A58)*(Transaksi!$H$2:$H$3000&gt;0))&gt;0,"✓",IF(SUMPRODUCT(ISNUMBER(SEARCH(", "&amp;TEXT(K$43,"yyyy-mm")&amp;":",", "&amp;Transaksi!$F$2:$F$3000&amp;","))*(Transaksi!$C$2:$C$3000=$A58)*(Transaksi!$H$2:$H$3000&gt;0))&gt;0,"½",IF(K$43&gt;TODAY(),"·","✗"))))</f>
        <v/>
      </c>
      <c r="L58" s="36">
        <f>IF(OR(L$43&lt;Tetapan!$B19,AND(Tetapan!$C19&lt;&gt;"",L$43&gt;Tetapan!$C19),Tetapan!$E19=0,L$43&gt;Tetapan!$B$21),"–",IF(SUMPRODUCT(ISNUMBER(SEARCH(", "&amp;TEXT(L$43,"yyyy-mm")&amp;",",", "&amp;Transaksi!$F$2:$F$3000&amp;","))*(Transaksi!$C$2:$C$3000=$A58)*(Transaksi!$H$2:$H$3000&gt;0))&gt;0,"✓",IF(SUMPRODUCT(ISNUMBER(SEARCH(", "&amp;TEXT(L$43,"yyyy-mm")&amp;":",", "&amp;Transaksi!$F$2:$F$3000&amp;","))*(Transaksi!$C$2:$C$3000=$A58)*(Transaksi!$H$2:$H$3000&gt;0))&gt;0,"½",IF(L$43&gt;TODAY(),"·","✗"))))</f>
        <v/>
      </c>
      <c r="M58" s="36">
        <f>IF(OR(M$43&lt;Tetapan!$B19,AND(Tetapan!$C19&lt;&gt;"",M$43&gt;Tetapan!$C19),Tetapan!$E19=0,M$43&gt;Tetapan!$B$21),"–",IF(SUMPRODUCT(ISNUMBER(SEARCH(", "&amp;TEXT(M$43,"yyyy-mm")&amp;",",", "&amp;Transaksi!$F$2:$F$3000&amp;","))*(Transaksi!$C$2:$C$3000=$A58)*(Transaksi!$H$2:$H$3000&gt;0))&gt;0,"✓",IF(SUMPRODUCT(ISNUMBER(SEARCH(", "&amp;TEXT(M$43,"yyyy-mm")&amp;":",", "&amp;Transaksi!$F$2:$F$3000&amp;","))*(Transaksi!$C$2:$C$3000=$A58)*(Transaksi!$H$2:$H$3000&gt;0))&gt;0,"½",IF(M$43&gt;TODAY(),"·","✗"))))</f>
        <v/>
      </c>
      <c r="N58" s="36">
        <f>IF(OR(N$43&lt;Tetapan!$B19,AND(Tetapan!$C19&lt;&gt;"",N$43&gt;Tetapan!$C19),Tetapan!$E19=0,N$43&gt;Tetapan!$B$21),"–",IF(SUMPRODUCT(ISNUMBER(SEARCH(", "&amp;TEXT(N$43,"yyyy-mm")&amp;",",", "&amp;Transaksi!$F$2:$F$3000&amp;","))*(Transaksi!$C$2:$C$3000=$A58)*(Transaksi!$H$2:$H$3000&gt;0))&gt;0,"✓",IF(SUMPRODUCT(ISNUMBER(SEARCH(", "&amp;TEXT(N$43,"yyyy-mm")&amp;":",", "&amp;Transaksi!$F$2:$F$3000&amp;","))*(Transaksi!$C$2:$C$3000=$A58)*(Transaksi!$H$2:$H$3000&gt;0))&gt;0,"½",IF(N$43&gt;TODAY(),"·","✗"))))</f>
        <v/>
      </c>
      <c r="O58" s="36">
        <f>IF(OR(O$43&lt;Tetapan!$B19,AND(Tetapan!$C19&lt;&gt;"",O$43&gt;Tetapan!$C19),Tetapan!$E19=0,O$43&gt;Tetapan!$B$21),"–",IF(SUMPRODUCT(ISNUMBER(SEARCH(", "&amp;TEXT(O$43,"yyyy-mm")&amp;",",", "&amp;Transaksi!$F$2:$F$3000&amp;","))*(Transaksi!$C$2:$C$3000=$A58)*(Transaksi!$H$2:$H$3000&gt;0))&gt;0,"✓",IF(SUMPRODUCT(ISNUMBER(SEARCH(", "&amp;TEXT(O$43,"yyyy-mm")&amp;":",", "&amp;Transaksi!$F$2:$F$3000&amp;","))*(Transaksi!$C$2:$C$3000=$A58)*(Transaksi!$H$2:$H$3000&gt;0))&gt;0,"½",IF(O$43&gt;TODAY(),"·","✗"))))</f>
        <v/>
      </c>
      <c r="P58" s="36">
        <f>IF(OR(P$43&lt;Tetapan!$B19,AND(Tetapan!$C19&lt;&gt;"",P$43&gt;Tetapan!$C19),Tetapan!$E19=0,P$43&gt;Tetapan!$B$21),"–",IF(SUMPRODUCT(ISNUMBER(SEARCH(", "&amp;TEXT(P$43,"yyyy-mm")&amp;",",", "&amp;Transaksi!$F$2:$F$3000&amp;","))*(Transaksi!$C$2:$C$3000=$A58)*(Transaksi!$H$2:$H$3000&gt;0))&gt;0,"✓",IF(SUMPRODUCT(ISNUMBER(SEARCH(", "&amp;TEXT(P$43,"yyyy-mm")&amp;":",", "&amp;Transaksi!$F$2:$F$3000&amp;","))*(Transaksi!$C$2:$C$3000=$A58)*(Transaksi!$H$2:$H$3000&gt;0))&gt;0,"½",IF(P$43&gt;TODAY(),"·","✗"))))</f>
        <v/>
      </c>
      <c r="Q58" s="36">
        <f>IF(OR(Q$43&lt;Tetapan!$B19,AND(Tetapan!$C19&lt;&gt;"",Q$43&gt;Tetapan!$C19),Tetapan!$E19=0,Q$43&gt;Tetapan!$B$21),"–",IF(SUMPRODUCT(ISNUMBER(SEARCH(", "&amp;TEXT(Q$43,"yyyy-mm")&amp;",",", "&amp;Transaksi!$F$2:$F$3000&amp;","))*(Transaksi!$C$2:$C$3000=$A58)*(Transaksi!$H$2:$H$3000&gt;0))&gt;0,"✓",IF(SUMPRODUCT(ISNUMBER(SEARCH(", "&amp;TEXT(Q$43,"yyyy-mm")&amp;":",", "&amp;Transaksi!$F$2:$F$3000&amp;","))*(Transaksi!$C$2:$C$3000=$A58)*(Transaksi!$H$2:$H$3000&gt;0))&gt;0,"½",IF(Q$43&gt;TODAY(),"·","✗"))))</f>
        <v/>
      </c>
      <c r="R58" s="36">
        <f>IF(OR(R$43&lt;Tetapan!$B19,AND(Tetapan!$C19&lt;&gt;"",R$43&gt;Tetapan!$C19),Tetapan!$E19=0,R$43&gt;Tetapan!$B$21),"–",IF(SUMPRODUCT(ISNUMBER(SEARCH(", "&amp;TEXT(R$43,"yyyy-mm")&amp;",",", "&amp;Transaksi!$F$2:$F$3000&amp;","))*(Transaksi!$C$2:$C$3000=$A58)*(Transaksi!$H$2:$H$3000&gt;0))&gt;0,"✓",IF(SUMPRODUCT(ISNUMBER(SEARCH(", "&amp;TEXT(R$43,"yyyy-mm")&amp;":",", "&amp;Transaksi!$F$2:$F$3000&amp;","))*(Transaksi!$C$2:$C$3000=$A58)*(Transaksi!$H$2:$H$3000&gt;0))&gt;0,"½",IF(R$43&gt;TODAY(),"·","✗"))))</f>
        <v/>
      </c>
      <c r="S58" s="36">
        <f>IF(OR(S$43&lt;Tetapan!$B19,AND(Tetapan!$C19&lt;&gt;"",S$43&gt;Tetapan!$C19),Tetapan!$E19=0,S$43&gt;Tetapan!$B$21),"–",IF(SUMPRODUCT(ISNUMBER(SEARCH(", "&amp;TEXT(S$43,"yyyy-mm")&amp;",",", "&amp;Transaksi!$F$2:$F$3000&amp;","))*(Transaksi!$C$2:$C$3000=$A58)*(Transaksi!$H$2:$H$3000&gt;0))&gt;0,"✓",IF(SUMPRODUCT(ISNUMBER(SEARCH(", "&amp;TEXT(S$43,"yyyy-mm")&amp;":",", "&amp;Transaksi!$F$2:$F$3000&amp;","))*(Transaksi!$C$2:$C$3000=$A58)*(Transaksi!$H$2:$H$3000&gt;0))&gt;0,"½",IF(S$43&gt;TODAY(),"·","✗"))))</f>
        <v/>
      </c>
      <c r="T58" s="36">
        <f>IF(OR(T$43&lt;Tetapan!$B19,AND(Tetapan!$C19&lt;&gt;"",T$43&gt;Tetapan!$C19),Tetapan!$E19=0,T$43&gt;Tetapan!$B$21),"–",IF(SUMPRODUCT(ISNUMBER(SEARCH(", "&amp;TEXT(T$43,"yyyy-mm")&amp;",",", "&amp;Transaksi!$F$2:$F$3000&amp;","))*(Transaksi!$C$2:$C$3000=$A58)*(Transaksi!$H$2:$H$3000&gt;0))&gt;0,"✓",IF(SUMPRODUCT(ISNUMBER(SEARCH(", "&amp;TEXT(T$43,"yyyy-mm")&amp;":",", "&amp;Transaksi!$F$2:$F$3000&amp;","))*(Transaksi!$C$2:$C$3000=$A58)*(Transaksi!$H$2:$H$3000&gt;0))&gt;0,"½",IF(T$43&gt;TODAY(),"·","✗"))))</f>
        <v/>
      </c>
      <c r="V58" s="37">
        <f>IF(B58="✗",TEXT(B$43,"mmm yy")&amp;", ",IF(B58="½",TEXT(B$43,"mmm yy")&amp;" (separa), ",""))&amp;IF(C58="✗",TEXT(C$43,"mmm yy")&amp;", ",IF(C58="½",TEXT(C$43,"mmm yy")&amp;" (separa), ",""))&amp;IF(D58="✗",TEXT(D$43,"mmm yy")&amp;", ",IF(D58="½",TEXT(D$43,"mmm yy")&amp;" (separa), ",""))&amp;IF(E58="✗",TEXT(E$43,"mmm yy")&amp;", ",IF(E58="½",TEXT(E$43,"mmm yy")&amp;" (separa), ",""))&amp;IF(F58="✗",TEXT(F$43,"mmm yy")&amp;", ",IF(F58="½",TEXT(F$43,"mmm yy")&amp;" (separa), ",""))&amp;IF(G58="✗",TEXT(G$43,"mmm yy")&amp;", ",IF(G58="½",TEXT(G$43,"mmm yy")&amp;" (separa), ",""))&amp;IF(H58="✗",TEXT(H$43,"mmm yy")&amp;", ",IF(H58="½",TEXT(H$43,"mmm yy")&amp;" (separa), ",""))&amp;IF(I58="✗",TEXT(I$43,"mmm yy")&amp;", ",IF(I58="½",TEXT(I$43,"mmm yy")&amp;" (separa), ",""))&amp;IF(J58="✗",TEXT(J$43,"mmm yy")&amp;", ",IF(J58="½",TEXT(J$43,"mmm yy")&amp;" (separa), ",""))&amp;IF(K58="✗",TEXT(K$43,"mmm yy")&amp;", ",IF(K58="½",TEXT(K$43,"mmm yy")&amp;" (separa), ",""))&amp;IF(L58="✗",TEXT(L$43,"mmm yy")&amp;", ",IF(L58="½",TEXT(L$43,"mmm yy")&amp;" (separa), ",""))&amp;IF(M58="✗",TEXT(M$43,"mmm yy")&amp;", ",IF(M58="½",TEXT(M$43,"mmm yy")&amp;" (separa), ",""))&amp;IF(N58="✗",TEXT(N$43,"mmm yy")&amp;", ",IF(N58="½",TEXT(N$43,"mmm yy")&amp;" (separa), ",""))&amp;IF(O58="✗",TEXT(O$43,"mmm yy")&amp;", ",IF(O58="½",TEXT(O$43,"mmm yy")&amp;" (separa), ",""))&amp;IF(P58="✗",TEXT(P$43,"mmm yy")&amp;", ",IF(P58="½",TEXT(P$43,"mmm yy")&amp;" (separa), ",""))&amp;IF(Q58="✗",TEXT(Q$43,"mmm yy")&amp;", ",IF(Q58="½",TEXT(Q$43,"mmm yy")&amp;" (separa), ",""))&amp;IF(R58="✗",TEXT(R$43,"mmm yy")&amp;", ",IF(R58="½",TEXT(R$43,"mmm yy")&amp;" (separa), ",""))&amp;IF(S58="✗",TEXT(S$43,"mmm yy")&amp;", ",IF(S58="½",TEXT(S$43,"mmm yy")&amp;" (separa), ",""))&amp;IF(T58="✗",TEXT(T$43,"mmm yy")&amp;", ",IF(T58="½",TEXT(T$43,"mmm yy")&amp;" (separa), ",""))</f>
        <v/>
      </c>
    </row>
  </sheetData>
  <mergeCells count="34">
    <mergeCell ref="C15:J15"/>
    <mergeCell ref="L15:T15"/>
    <mergeCell ref="L18:T18"/>
    <mergeCell ref="C6:J6"/>
    <mergeCell ref="L5:T5"/>
    <mergeCell ref="L8:T8"/>
    <mergeCell ref="C14:J14"/>
    <mergeCell ref="L14:T14"/>
    <mergeCell ref="C5:J5"/>
    <mergeCell ref="A1:T1"/>
    <mergeCell ref="L20:T20"/>
    <mergeCell ref="L10:T10"/>
    <mergeCell ref="C20:J20"/>
    <mergeCell ref="C10:J10"/>
    <mergeCell ref="C16:J16"/>
    <mergeCell ref="L9:T9"/>
    <mergeCell ref="C9:J9"/>
    <mergeCell ref="L6:T6"/>
    <mergeCell ref="C12:J12"/>
    <mergeCell ref="C11:J11"/>
    <mergeCell ref="L11:T11"/>
    <mergeCell ref="A2:T2"/>
    <mergeCell ref="L17:T17"/>
    <mergeCell ref="C8:J8"/>
    <mergeCell ref="L7:T7"/>
    <mergeCell ref="C17:J17"/>
    <mergeCell ref="L16:T16"/>
    <mergeCell ref="C7:J7"/>
    <mergeCell ref="L19:T19"/>
    <mergeCell ref="C13:J13"/>
    <mergeCell ref="L13:T13"/>
    <mergeCell ref="C19:J19"/>
    <mergeCell ref="C18:J18"/>
    <mergeCell ref="L12:T12"/>
  </mergeCells>
  <conditionalFormatting sqref="B6:B20">
    <cfRule type="cellIs" priority="1" operator="greaterThan" dxfId="5">
      <formula>0</formula>
    </cfRule>
  </conditionalFormatting>
  <conditionalFormatting sqref="K6:K20">
    <cfRule type="cellIs" priority="2" operator="greaterThan" dxfId="5">
      <formula>0</formula>
    </cfRule>
  </conditionalFormatting>
  <conditionalFormatting sqref="C6:C20">
    <cfRule type="expression" priority="3" dxfId="4">
      <formula>LEFT(C6,1)="✓"</formula>
    </cfRule>
  </conditionalFormatting>
  <conditionalFormatting sqref="L6:L20">
    <cfRule type="expression" priority="4" dxfId="4">
      <formula>LEFT(L6,1)="✓"</formula>
    </cfRule>
  </conditionalFormatting>
  <conditionalFormatting sqref="B25:T39">
    <cfRule type="cellIs" priority="5" operator="equal" dxfId="6">
      <formula>"✓"</formula>
    </cfRule>
    <cfRule type="cellIs" priority="6" operator="equal" dxfId="5">
      <formula>"✗"</formula>
    </cfRule>
    <cfRule type="cellIs" priority="7" operator="equal" dxfId="7">
      <formula>"½"</formula>
    </cfRule>
    <cfRule type="cellIs" priority="8" operator="equal" dxfId="2">
      <formula>"–"</formula>
    </cfRule>
    <cfRule type="cellIs" priority="9" operator="equal" dxfId="2">
      <formula>"·"</formula>
    </cfRule>
  </conditionalFormatting>
  <conditionalFormatting sqref="B44:T58">
    <cfRule type="cellIs" priority="10" operator="equal" dxfId="6">
      <formula>"✓"</formula>
    </cfRule>
    <cfRule type="cellIs" priority="11" operator="equal" dxfId="5">
      <formula>"✗"</formula>
    </cfRule>
    <cfRule type="cellIs" priority="12" operator="equal" dxfId="7">
      <formula>"½"</formula>
    </cfRule>
    <cfRule type="cellIs" priority="13" operator="equal" dxfId="2">
      <formula>"–"</formula>
    </cfRule>
    <cfRule type="cellIs" priority="14" operator="equal" dxfId="2">
      <formula>"·"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5" customWidth="1" min="4" max="4"/>
    <col width="16" customWidth="1" min="5" max="5"/>
    <col width="8" customWidth="1" min="6" max="6"/>
    <col width="52" customWidth="1" min="7" max="7"/>
    <col width="3" customWidth="1" min="8" max="8"/>
    <col width="22" customWidth="1" min="9" max="9"/>
    <col width="22" customWidth="1" min="10" max="10"/>
  </cols>
  <sheetData>
    <row r="1" ht="36" customHeight="1">
      <c r="A1" s="1" t="inlineStr">
        <is>
          <t>Tetapan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Senarai ahli, kadar yuran dan kategori. Aplikasi &amp; tab lain membaca helaian ini.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8" customHeight="1">
      <c r="A4" s="11" t="inlineStr">
        <is>
          <t>Ahli</t>
        </is>
      </c>
      <c r="B4" s="11" t="inlineStr">
        <is>
          <t>Mula</t>
        </is>
      </c>
      <c r="C4" s="11" t="inlineStr">
        <is>
          <t>Tamat</t>
        </is>
      </c>
      <c r="D4" s="11" t="inlineStr">
        <is>
          <t>Kelab / bulan</t>
        </is>
      </c>
      <c r="E4" s="11" t="inlineStr">
        <is>
          <t>Lawatan / bulan</t>
        </is>
      </c>
      <c r="F4" s="11" t="inlineStr">
        <is>
          <t>Aktif</t>
        </is>
      </c>
      <c r="G4" s="11" t="inlineStr">
        <is>
          <t>Catatan</t>
        </is>
      </c>
      <c r="I4" s="11" t="inlineStr">
        <is>
          <t>Kategori</t>
        </is>
      </c>
    </row>
    <row r="5">
      <c r="A5" s="38" t="inlineStr">
        <is>
          <t>Amir</t>
        </is>
      </c>
      <c r="B5" s="39" t="n">
        <v>45809</v>
      </c>
      <c r="C5" s="39" t="n"/>
      <c r="D5" s="40" t="n">
        <v>35</v>
      </c>
      <c r="E5" s="40" t="n">
        <v>50</v>
      </c>
      <c r="F5" s="38" t="inlineStr">
        <is>
          <t>Ya</t>
        </is>
      </c>
      <c r="G5" s="38" t="n"/>
      <c r="I5" s="41" t="inlineStr">
        <is>
          <t>Yuran</t>
        </is>
      </c>
      <c r="J5" s="26" t="inlineStr">
        <is>
          <t>← masuk (baris 5-8)</t>
        </is>
      </c>
    </row>
    <row r="6">
      <c r="A6" s="38" t="inlineStr">
        <is>
          <t>Asnawi</t>
        </is>
      </c>
      <c r="B6" s="39" t="n">
        <v>45809</v>
      </c>
      <c r="C6" s="39" t="n"/>
      <c r="D6" s="40" t="n">
        <v>35</v>
      </c>
      <c r="E6" s="40" t="n">
        <v>50</v>
      </c>
      <c r="F6" s="38" t="inlineStr">
        <is>
          <t>Ya</t>
        </is>
      </c>
      <c r="G6" s="38" t="n"/>
      <c r="I6" s="41" t="inlineStr">
        <is>
          <t>Majlis</t>
        </is>
      </c>
    </row>
    <row r="7">
      <c r="A7" s="38" t="inlineStr">
        <is>
          <t>Bang Mie</t>
        </is>
      </c>
      <c r="B7" s="39" t="n">
        <v>45809</v>
      </c>
      <c r="C7" s="39" t="n"/>
      <c r="D7" s="40" t="n">
        <v>35</v>
      </c>
      <c r="E7" s="40" t="n">
        <v>50</v>
      </c>
      <c r="F7" s="38" t="inlineStr">
        <is>
          <t>Ya</t>
        </is>
      </c>
      <c r="G7" s="38" t="n"/>
      <c r="I7" s="41" t="inlineStr">
        <is>
          <t>Sumbangan</t>
        </is>
      </c>
    </row>
    <row r="8">
      <c r="A8" s="38" t="inlineStr">
        <is>
          <t>Boss Khairil</t>
        </is>
      </c>
      <c r="B8" s="39" t="n">
        <v>45809</v>
      </c>
      <c r="C8" s="39" t="n">
        <v>45901</v>
      </c>
      <c r="D8" s="40" t="n">
        <v>35</v>
      </c>
      <c r="E8" s="40" t="n">
        <v>50</v>
      </c>
      <c r="F8" s="38" t="inlineStr">
        <is>
          <t>Tidak</t>
        </is>
      </c>
      <c r="G8" s="38" t="n"/>
      <c r="I8" s="41" t="inlineStr">
        <is>
          <t>Lain-lain</t>
        </is>
      </c>
    </row>
    <row r="9">
      <c r="A9" s="38" t="inlineStr">
        <is>
          <t>Boss Wan</t>
        </is>
      </c>
      <c r="B9" s="39" t="n">
        <v>45809</v>
      </c>
      <c r="C9" s="39" t="n"/>
      <c r="D9" s="40" t="n">
        <v>35</v>
      </c>
      <c r="E9" s="40" t="n">
        <v>50</v>
      </c>
      <c r="F9" s="38" t="inlineStr">
        <is>
          <t>Ya</t>
        </is>
      </c>
      <c r="G9" s="38" t="n"/>
      <c r="I9" s="41" t="inlineStr">
        <is>
          <t>Duit Pantri</t>
        </is>
      </c>
      <c r="J9" s="26" t="inlineStr">
        <is>
          <t>← keluar (baris 9-15)</t>
        </is>
      </c>
    </row>
    <row r="10">
      <c r="A10" s="38" t="inlineStr">
        <is>
          <t>Chang</t>
        </is>
      </c>
      <c r="B10" s="39" t="n">
        <v>45809</v>
      </c>
      <c r="C10" s="39" t="n"/>
      <c r="D10" s="40" t="n">
        <v>35</v>
      </c>
      <c r="E10" s="40" t="n">
        <v>50</v>
      </c>
      <c r="F10" s="38" t="inlineStr">
        <is>
          <t>Ya</t>
        </is>
      </c>
      <c r="G10" s="38" t="n"/>
      <c r="I10" s="41" t="inlineStr">
        <is>
          <t>Lawatan / Trip</t>
        </is>
      </c>
    </row>
    <row r="11">
      <c r="A11" s="38" t="inlineStr">
        <is>
          <t>Hadi</t>
        </is>
      </c>
      <c r="B11" s="39" t="n">
        <v>45809</v>
      </c>
      <c r="C11" s="39" t="n"/>
      <c r="D11" s="40" t="n">
        <v>35</v>
      </c>
      <c r="E11" s="40" t="n">
        <v>50</v>
      </c>
      <c r="F11" s="38" t="inlineStr">
        <is>
          <t>Ya</t>
        </is>
      </c>
      <c r="G11" s="38" t="n"/>
      <c r="I11" s="41" t="inlineStr">
        <is>
          <t>Majlis &amp; Hadiah</t>
        </is>
      </c>
    </row>
    <row r="12">
      <c r="A12" s="38" t="inlineStr">
        <is>
          <t>Hasnol</t>
        </is>
      </c>
      <c r="B12" s="39" t="n">
        <v>45809</v>
      </c>
      <c r="C12" s="39" t="n"/>
      <c r="D12" s="40" t="n">
        <v>35</v>
      </c>
      <c r="E12" s="40" t="n">
        <v>50</v>
      </c>
      <c r="F12" s="38" t="inlineStr">
        <is>
          <t>Ya</t>
        </is>
      </c>
      <c r="G12" s="38" t="n"/>
      <c r="I12" s="41" t="inlineStr">
        <is>
          <t>Pakaian</t>
        </is>
      </c>
    </row>
    <row r="13">
      <c r="A13" s="38" t="inlineStr">
        <is>
          <t>Joe</t>
        </is>
      </c>
      <c r="B13" s="39" t="n">
        <v>45809</v>
      </c>
      <c r="C13" s="39" t="n"/>
      <c r="D13" s="40" t="n">
        <v>35</v>
      </c>
      <c r="E13" s="40" t="n">
        <v>50</v>
      </c>
      <c r="F13" s="38" t="inlineStr">
        <is>
          <t>Ya</t>
        </is>
      </c>
      <c r="G13" s="38" t="n"/>
      <c r="I13" s="41" t="inlineStr">
        <is>
          <t>Langganan / Bahan</t>
        </is>
      </c>
    </row>
    <row r="14">
      <c r="A14" s="38" t="inlineStr">
        <is>
          <t>Khairiri</t>
        </is>
      </c>
      <c r="B14" s="39" t="n">
        <v>45809</v>
      </c>
      <c r="C14" s="39" t="n"/>
      <c r="D14" s="40" t="n">
        <v>35</v>
      </c>
      <c r="E14" s="40" t="n">
        <v>50</v>
      </c>
      <c r="F14" s="38" t="inlineStr">
        <is>
          <t>Ya</t>
        </is>
      </c>
      <c r="G14" s="38" t="n"/>
      <c r="I14" s="41" t="inlineStr">
        <is>
          <t>Refund</t>
        </is>
      </c>
    </row>
    <row r="15">
      <c r="A15" s="38" t="inlineStr">
        <is>
          <t>Kuchai</t>
        </is>
      </c>
      <c r="B15" s="39" t="n">
        <v>45809</v>
      </c>
      <c r="C15" s="39" t="n"/>
      <c r="D15" s="40" t="n">
        <v>35</v>
      </c>
      <c r="E15" s="40" t="n">
        <v>0</v>
      </c>
      <c r="F15" s="38" t="inlineStr">
        <is>
          <t>Ya</t>
        </is>
      </c>
      <c r="G15" s="38" t="inlineStr">
        <is>
          <t>Tiada kutipan lawatan (refund 400 Jan 2026) - semak</t>
        </is>
      </c>
      <c r="I15" s="41" t="inlineStr">
        <is>
          <t>Pelbagai</t>
        </is>
      </c>
    </row>
    <row r="16">
      <c r="A16" s="38" t="inlineStr">
        <is>
          <t>Suhaimi</t>
        </is>
      </c>
      <c r="B16" s="39" t="n">
        <v>45809</v>
      </c>
      <c r="C16" s="39" t="n">
        <v>45870</v>
      </c>
      <c r="D16" s="40" t="n">
        <v>35</v>
      </c>
      <c r="E16" s="40" t="n">
        <v>50</v>
      </c>
      <c r="F16" s="38" t="inlineStr">
        <is>
          <t>Tidak</t>
        </is>
      </c>
      <c r="G16" s="38" t="n"/>
    </row>
    <row r="17">
      <c r="A17" s="38" t="inlineStr">
        <is>
          <t>Ustaz</t>
        </is>
      </c>
      <c r="B17" s="39" t="n">
        <v>45809</v>
      </c>
      <c r="C17" s="39" t="n"/>
      <c r="D17" s="40" t="n">
        <v>35</v>
      </c>
      <c r="E17" s="40" t="n">
        <v>50</v>
      </c>
      <c r="F17" s="38" t="inlineStr">
        <is>
          <t>Ya</t>
        </is>
      </c>
      <c r="G17" s="38" t="n"/>
    </row>
    <row r="18">
      <c r="A18" s="38" t="inlineStr">
        <is>
          <t>Wafi</t>
        </is>
      </c>
      <c r="B18" s="39" t="n">
        <v>45809</v>
      </c>
      <c r="C18" s="39" t="n">
        <v>46082</v>
      </c>
      <c r="D18" s="40" t="n">
        <v>35</v>
      </c>
      <c r="E18" s="40" t="n">
        <v>0</v>
      </c>
      <c r="F18" s="38" t="inlineStr">
        <is>
          <t>Tidak</t>
        </is>
      </c>
      <c r="G18" s="38" t="inlineStr">
        <is>
          <t>Lawatan diuruskan berasingan - semak</t>
        </is>
      </c>
    </row>
    <row r="19">
      <c r="A19" s="38" t="inlineStr">
        <is>
          <t>Aiman</t>
        </is>
      </c>
      <c r="B19" s="39" t="n">
        <v>45992</v>
      </c>
      <c r="C19" s="39" t="n"/>
      <c r="D19" s="40" t="n">
        <v>35</v>
      </c>
      <c r="E19" s="40" t="n">
        <v>50</v>
      </c>
      <c r="F19" s="38" t="inlineStr">
        <is>
          <t>Ya</t>
        </is>
      </c>
      <c r="G19" s="38" t="n"/>
    </row>
    <row r="21">
      <c r="A21" s="42" t="inlineStr">
        <is>
          <t>Lawatan dikutip sehingga</t>
        </is>
      </c>
      <c r="B21" s="43" t="n">
        <v>46054</v>
      </c>
    </row>
    <row r="22">
      <c r="A22" s="42" t="inlineStr">
        <is>
          <t>Tarikh mula rekod</t>
        </is>
      </c>
      <c r="B22" s="43" t="n">
        <v>45809</v>
      </c>
    </row>
    <row r="24">
      <c r="A24" s="44" t="inlineStr">
        <is>
          <t>Mula/Tamat ahli hanyalah anggaran daripada data lama - semak dan betulkan. 'Tamat' kosong = masih aktif. Kadar 0 = dikecualikan.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2026-10-10T08:31:01Z</dcterms:created>
  <dcterms:modified xmlns:dcterms="http://purl.org/dc/terms/" xmlns:xsi="http://www.w3.org/2001/XMLSchema-instance" xsi:type="dcterms:W3CDTF">2026-10-10T08:31:03Z</dcterms:modified>
</cp:coreProperties>
</file>